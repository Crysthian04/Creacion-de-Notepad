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worksheets/sheet12.xml" ContentType="application/vnd.openxmlformats-officedocument.spreadsheetml.worksheet+xml"/>
  <Override PartName="/xl/drawings/drawing2.xml" ContentType="application/vnd.openxmlformats-officedocument.drawing+xml"/>
  <Override PartName="/xl/worksheets/sheet13.xml" ContentType="application/vnd.openxmlformats-officedocument.spreadsheetml.worksheet+xml"/>
  <Override PartName="/xl/drawings/drawing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tables/table11.xml" ContentType="application/vnd.openxmlformats-officedocument.spreadsheetml.table+xml"/>
  <Override PartName="/xl/worksheets/sheet22.xml" ContentType="application/vnd.openxmlformats-officedocument.spreadsheetml.worksheet+xml"/>
  <Override PartName="/xl/tables/table12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CALENDARIO" sheetId="9" state="visible" r:id="rId9"/>
    <sheet name="PERFIL_HH" sheetId="10" state="visible" r:id="rId10"/>
    <sheet name="PLAN_SEMANAL" sheetId="11" state="visible" r:id="rId11"/>
    <sheet name="ADHERENCIA" sheetId="12" state="visible" r:id="rId12"/>
    <sheet name="COSTOS" sheetId="13" state="visible" r:id="rId13"/>
    <sheet name="BACKLOG" sheetId="14" state="visible" r:id="rId14"/>
    <sheet name="EQUIPOS_CRITICOS" sheetId="15" state="visible" r:id="rId15"/>
    <sheet name="VALIDACION" sheetId="16" state="visible" r:id="rId16"/>
    <sheet name="CAT_CENTROS_COSTO" sheetId="17" state="visible" r:id="rId17"/>
    <sheet name="CAT_PUESTOS" sheetId="18" state="visible" r:id="rId18"/>
    <sheet name="CAT_ACTIVIDADES" sheetId="19" state="visible" r:id="rId19"/>
    <sheet name="CAT_TIPOS_OT" sheetId="20" state="visible" r:id="rId20"/>
    <sheet name="CAT_ESTADOS_ERP" sheetId="21" state="visible" r:id="rId21"/>
    <sheet name="CAT_TURNOS" sheetId="22" state="visible" r:id="rId22"/>
    <sheet name="EXPORTAR" sheetId="23" state="visible" r:id="rId23"/>
    <sheet name="_COMPATIBILIDAD" sheetId="24" state="visible" r:id="rId24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p_dias_laborables_base">PARAMETROS!$B$18</definedName>
    <definedName name="p_base_semanal_horas">PARAMETROS!$B$19</definedName>
    <definedName name="lista_no_disponible">PARAMETROS!$G$5:$G$6</definedName>
    <definedName name="lista_dias">PARAMETROS!$I$5:$I$11</definedName>
    <definedName name="lista_tecnicos">TECNICOS!$B$4:$B$15</definedName>
    <definedName name="patronHabil">CALENDARIO!$B$5:$B$11</definedName>
    <definedName name="cal_fechas">CALENDARIO!$I$5:$I$764</definedName>
    <definedName name="cal_habil">CALENDARIO!$J$5:$J$764</definedName>
    <definedName name="lista_turnos">CAT_TURNOS!$G$4:$G$9</definedName>
    <definedName name="_xlnm._FilterDatabase" localSheetId="10" hidden="1">'PLAN_SEMANAL'!$A$25:$N$1225</definedName>
    <definedName name="_xlnm.Print_Area" localSheetId="10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6.76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Q1203" headerRowCount="1">
  <autoFilter ref="A3:AQ1203"/>
  <tableColumns count="43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es_habil"/>
    <tableColumn id="20" name="clasificacion"/>
    <tableColumn id="21" name="linea"/>
    <tableColumn id="22" name="area"/>
    <tableColumn id="23" name="sub_area"/>
    <tableColumn id="24" name="coordinador"/>
    <tableColumn id="25" name="especialidad"/>
    <tableColumn id="26" name="actividad"/>
    <tableColumn id="27" name="backlog_dias"/>
    <tableColumn id="28" name="backlog_habiles"/>
    <tableColumn id="29" name="estado_backlog"/>
    <tableColumn id="30" name="en_plan"/>
    <tableColumn id="31" name="tecnico_asignado"/>
    <tableColumn id="32" name="turno_asignado"/>
    <tableColumn id="33" name="HHA"/>
    <tableColumn id="34" name="HHD"/>
    <tableColumn id="35" name="costo_servicio"/>
    <tableColumn id="36" name="costo_materiales"/>
    <tableColumn id="37" name="costo_total"/>
    <tableColumn id="38" name="permiso_requerido"/>
    <tableColumn id="39" name="bloqueo_energia"/>
    <tableColumn id="40" name="link_checklist"/>
    <tableColumn id="41" name="abrir_checklist"/>
    <tableColumn id="42" name="observaciones"/>
    <tableColumn id="43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L339" headerRowCount="1">
  <autoFilter ref="A3:L339"/>
  <tableColumns count="12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fecha"/>
    <tableColumn id="9" name="horas_disponibles"/>
    <tableColumn id="10" name="clave"/>
    <tableColumn id="11" name="hora_inicio"/>
    <tableColumn id="12" name="hora_fin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Excepciones" displayName="tblExcepciones" ref="A14:G214" headerRowCount="1">
  <autoFilter ref="A14:G214"/>
  <tableColumns count="7">
    <tableColumn id="1" name="fecha"/>
    <tableColumn id="2" name="tipo"/>
    <tableColumn id="3" name="habil"/>
    <tableColumn id="4" name="area"/>
    <tableColumn id="5" name="sub_area"/>
    <tableColumn id="6" name="motivo"/>
    <tableColumn id="7" name="clav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tblTurnos" displayName="tblTurnos" ref="A3:E7" headerRowCount="1">
  <autoFilter ref="A3:E7"/>
  <tableColumns count="5">
    <tableColumn id="1" name="turno"/>
    <tableColumn id="2" name="nombre"/>
    <tableColumn id="3" name="hora_inicio"/>
    <tableColumn id="4" name="hora_fin"/>
    <tableColumn id="5" name="tip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2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2.6.0 · generado 2026-07-22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9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8</v>
      </c>
      <c r="C7" s="2" t="inlineStr">
        <is>
          <t>Horas de trabajo por técnico y día (REGLA-5).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B,T1,T2,T3</t>
        </is>
      </c>
      <c r="C9" s="2" t="inlineStr">
        <is>
          <t>Códigos de turno válidos. La definición manda en CAT_TURNOS.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  <row r="18">
      <c r="A18" s="3" t="inlineStr">
        <is>
          <t>dias_laborables_base</t>
        </is>
      </c>
      <c r="B18" s="6" t="n">
        <v>6</v>
      </c>
      <c r="C18" s="2" t="inlineStr">
        <is>
          <t>Días laborables base por semana (lunes a sábado). Base de REGLA-5 / 48 h.</t>
        </is>
      </c>
    </row>
    <row r="19">
      <c r="A19" s="3" t="inlineStr">
        <is>
          <t>base_semanal_horas</t>
        </is>
      </c>
      <c r="B19" s="3">
        <f>p_horas_jornada*p_dias_laborables_base</f>
        <v/>
      </c>
      <c r="C19" s="2" t="inlineStr">
        <is>
          <t>Base obligatoria por técnico y semana = horas_jornada × dias_laborables_base.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 B18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2-MEDIA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3-BAJA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2-MEDIA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OT-000138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3-BAJA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OT-000139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1-ALTA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OT-000140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2-MEDIA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OT-000141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3-BAJA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OT-000142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1-ALTA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OT-000143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2-MEDIA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OT-000144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3-BAJA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OT-000145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1-ALTA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OT-000146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2-MEDIA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OT-000147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3-BAJA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OT-000148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1-ALTA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OT-000149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2-MEDIA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OT-000150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3-BAJA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OT-000151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1-ALTA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OT-000152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2-MEDIA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OT-000153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3-BAJA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OT-000154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1-ALTA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OT-000155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2-MEDIA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OT-000156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3-BAJA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OT-000157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1-ALTA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OT-000158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2-MEDIA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OT-000159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3-BAJA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OT-000160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1-ALTA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OT-000161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2-MEDIA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OT-000162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3-BAJA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OT-000163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1-ALTA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OT-000164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2-MEDIA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OT-000165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3-BAJA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OT-000166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1-ALTA</t>
        </is>
      </c>
      <c r="E139" s="3" t="inlineStr">
        <is>
          <t>PARADO</t>
        </is>
      </c>
      <c r="F139" s="10" t="n">
        <v>40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OT-000167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2-MEDIA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OT-000168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3-BAJA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OT-000169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1-ALTA</t>
        </is>
      </c>
      <c r="E142" s="3" t="inlineStr">
        <is>
          <t>OPERATIVO</t>
        </is>
      </c>
      <c r="F142" s="10" t="n">
        <v>260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OT-000170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2-MEDIA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OT-000171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3-BAJA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OT-000172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1-ALTA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OT-000173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2-MEDIA</t>
        </is>
      </c>
      <c r="E146" s="3" t="inlineStr">
        <is>
          <t>OPERATIVO</t>
        </is>
      </c>
      <c r="F146" s="10" t="n">
        <v>96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OT-000174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3-BAJA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OT-000175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1-ALTA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OT-000176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2-MEDIA</t>
        </is>
      </c>
      <c r="E149" s="3" t="inlineStr">
        <is>
          <t>PARADO</t>
        </is>
      </c>
      <c r="F149" s="10" t="n">
        <v>250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OT-000177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3-BAJA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OT-000178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1-ALTA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OT-000179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2-MEDIA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OT-000180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3-BAJA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3-BAJA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1-ALTA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2-MEDIA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3-BAJA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1-ALTA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2-MEDIA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3-BAJA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1-ALTA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OT-000200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2-MEDIA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OT-000990</t>
        </is>
      </c>
      <c r="B163" s="3" t="inlineStr">
        <is>
          <t>0010</t>
        </is>
      </c>
      <c r="C163" s="3" t="inlineStr">
        <is>
          <t>LIB</t>
        </is>
      </c>
      <c r="D163" s="3" t="inlineStr">
        <is>
          <t>2-MEDIA</t>
        </is>
      </c>
      <c r="E163" s="3" t="inlineStr">
        <is>
          <t>OPERATIVO</t>
        </is>
      </c>
      <c r="F163" s="10" t="n">
        <v>50</v>
      </c>
      <c r="G163" s="10" t="n">
        <v>0</v>
      </c>
      <c r="H163" s="10" t="n">
        <v>150</v>
      </c>
      <c r="I163" s="3" t="inlineStr">
        <is>
          <t>LIBERADA</t>
        </is>
      </c>
      <c r="J163" s="3">
        <f>IF($A163="","",$A163&amp;IF($B163="","0010",$B163))</f>
        <v/>
      </c>
    </row>
    <row r="164">
      <c r="A164" s="3" t="inlineStr">
        <is>
          <t>OT-000991</t>
        </is>
      </c>
      <c r="B164" s="3" t="inlineStr">
        <is>
          <t>0010</t>
        </is>
      </c>
      <c r="C164" s="3" t="inlineStr">
        <is>
          <t>LIB</t>
        </is>
      </c>
      <c r="D164" s="3" t="inlineStr">
        <is>
          <t>2-MEDIA</t>
        </is>
      </c>
      <c r="E164" s="3" t="inlineStr">
        <is>
          <t>OPERATIVO</t>
        </is>
      </c>
      <c r="F164" s="10" t="n">
        <v>50</v>
      </c>
      <c r="G164" s="10" t="n">
        <v>0</v>
      </c>
      <c r="H164" s="10" t="n">
        <v>150</v>
      </c>
      <c r="I164" s="3" t="inlineStr">
        <is>
          <t>LIBERADA</t>
        </is>
      </c>
      <c r="J164" s="3">
        <f>IF($A164="","",$A164&amp;IF($B164="","0010",$B164))</f>
        <v/>
      </c>
    </row>
    <row r="165">
      <c r="A165" s="3" t="inlineStr">
        <is>
          <t>OT-000992</t>
        </is>
      </c>
      <c r="B165" s="3" t="inlineStr">
        <is>
          <t>0010</t>
        </is>
      </c>
      <c r="C165" s="3" t="inlineStr">
        <is>
          <t>LIB</t>
        </is>
      </c>
      <c r="D165" s="3" t="inlineStr">
        <is>
          <t>2-MEDIA</t>
        </is>
      </c>
      <c r="E165" s="3" t="inlineStr">
        <is>
          <t>OPERATIVO</t>
        </is>
      </c>
      <c r="F165" s="10" t="n">
        <v>50</v>
      </c>
      <c r="G165" s="10" t="n">
        <v>0</v>
      </c>
      <c r="H165" s="10" t="n">
        <v>150</v>
      </c>
      <c r="I165" s="3" t="inlineStr">
        <is>
          <t>LIBERADA</t>
        </is>
      </c>
      <c r="J165" s="3">
        <f>IF($A165="","",$A165&amp;IF($B165="","0010",$B165))</f>
        <v/>
      </c>
    </row>
    <row r="166">
      <c r="A166" s="3" t="n"/>
      <c r="B166" s="3" t="n"/>
      <c r="C166" s="3" t="n"/>
      <c r="D166" s="3" t="n"/>
      <c r="E166" s="3" t="n"/>
      <c r="F166" s="10" t="n"/>
      <c r="G166" s="10" t="n"/>
      <c r="H166" s="10" t="n"/>
      <c r="I166" s="3" t="n"/>
      <c r="J166" s="3">
        <f>IF($A166="","",$A166&amp;IF($B166="","0010",$B166))</f>
        <v/>
      </c>
    </row>
    <row r="167">
      <c r="A167" s="3" t="n"/>
      <c r="B167" s="3" t="n"/>
      <c r="C167" s="3" t="n"/>
      <c r="D167" s="3" t="n"/>
      <c r="E167" s="3" t="n"/>
      <c r="F167" s="10" t="n"/>
      <c r="G167" s="10" t="n"/>
      <c r="H167" s="10" t="n"/>
      <c r="I167" s="3" t="n"/>
      <c r="J167" s="3">
        <f>IF($A167="","",$A167&amp;IF($B167="","0010",$B167))</f>
        <v/>
      </c>
    </row>
    <row r="168">
      <c r="A168" s="3" t="n"/>
      <c r="B168" s="3" t="n"/>
      <c r="C168" s="3" t="n"/>
      <c r="D168" s="3" t="n"/>
      <c r="E168" s="3" t="n"/>
      <c r="F168" s="10" t="n"/>
      <c r="G168" s="10" t="n"/>
      <c r="H168" s="10" t="n"/>
      <c r="I168" s="3" t="n"/>
      <c r="J168" s="3">
        <f>IF($A168="","",$A168&amp;IF($B168="","0010",$B168))</f>
        <v/>
      </c>
    </row>
    <row r="169">
      <c r="A169" s="3" t="n"/>
      <c r="B169" s="3" t="n"/>
      <c r="C169" s="3" t="n"/>
      <c r="D169" s="3" t="n"/>
      <c r="E169" s="3" t="n"/>
      <c r="F169" s="10" t="n"/>
      <c r="G169" s="10" t="n"/>
      <c r="H169" s="10" t="n"/>
      <c r="I169" s="3" t="n"/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Q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4" customWidth="1" min="29" max="29"/>
    <col width="12" customWidth="1" min="30" max="30"/>
    <col width="14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5" customWidth="1" min="43" max="43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es_habil</t>
        </is>
      </c>
      <c r="T3" s="5" t="inlineStr">
        <is>
          <t>clasificacion</t>
        </is>
      </c>
      <c r="U3" s="5" t="inlineStr">
        <is>
          <t>linea</t>
        </is>
      </c>
      <c r="V3" s="5" t="inlineStr">
        <is>
          <t>area</t>
        </is>
      </c>
      <c r="W3" s="5" t="inlineStr">
        <is>
          <t>sub_area</t>
        </is>
      </c>
      <c r="X3" s="5" t="inlineStr">
        <is>
          <t>coordinador</t>
        </is>
      </c>
      <c r="Y3" s="5" t="inlineStr">
        <is>
          <t>especialidad</t>
        </is>
      </c>
      <c r="Z3" s="5" t="inlineStr">
        <is>
          <t>actividad</t>
        </is>
      </c>
      <c r="AA3" s="5" t="inlineStr">
        <is>
          <t>backlog_dias</t>
        </is>
      </c>
      <c r="AB3" s="5" t="inlineStr">
        <is>
          <t>backlog_habiles</t>
        </is>
      </c>
      <c r="AC3" s="5" t="inlineStr">
        <is>
          <t>estado_backlog</t>
        </is>
      </c>
      <c r="AD3" s="5" t="inlineStr">
        <is>
          <t>en_plan</t>
        </is>
      </c>
      <c r="AE3" s="5" t="inlineStr">
        <is>
          <t>tecnico_asignado</t>
        </is>
      </c>
      <c r="AF3" s="5" t="inlineStr">
        <is>
          <t>turno_asignado</t>
        </is>
      </c>
      <c r="AG3" s="5" t="inlineStr">
        <is>
          <t>HHA</t>
        </is>
      </c>
      <c r="AH3" s="5" t="inlineStr">
        <is>
          <t>HHD</t>
        </is>
      </c>
      <c r="AI3" s="5" t="inlineStr">
        <is>
          <t>costo_servicio</t>
        </is>
      </c>
      <c r="AJ3" s="5" t="inlineStr">
        <is>
          <t>costo_materiales</t>
        </is>
      </c>
      <c r="AK3" s="5" t="inlineStr">
        <is>
          <t>costo_total</t>
        </is>
      </c>
      <c r="AL3" s="5" t="inlineStr">
        <is>
          <t>permiso_requerido</t>
        </is>
      </c>
      <c r="AM3" s="5" t="inlineStr">
        <is>
          <t>bloqueo_energia</t>
        </is>
      </c>
      <c r="AN3" s="5" t="inlineStr">
        <is>
          <t>link_checklist</t>
        </is>
      </c>
      <c r="AO3" s="5" t="inlineStr">
        <is>
          <t>abrir_checklist</t>
        </is>
      </c>
      <c r="AP3" s="5" t="inlineStr">
        <is>
          <t>observaciones</t>
        </is>
      </c>
      <c r="AQ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IF($A4="","",IFERROR(INDEX('AJUSTES'!$B$4:$B$303,MATCH($AQ4,'AJUSTES'!$A$4:$A$303,0)),IF($K4="","",$K4)))</f>
        <v/>
      </c>
      <c r="N4" s="3">
        <f>IF($A4="","",IFERROR(INDEX('CAT_ESTADOS_ERP'!$B$4:$B$7,MATCH(IFERROR(INDEX('2_IMPORTAR_EJECUCION'!$C$9:$C$1208,MATCH($AQ4,'2_IMPORTAR_EJECUCION'!$J$9:$J$1208,0)),""),'CAT_ESTADOS_ERP'!$A$4:$A$7,0)),"Pendiente"))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J4="","",IFERROR(INDEX('CALENDARIO'!$C$15:$C$214,MATCH(TEXT($J4,"yyyy-mm-dd")&amp;"|"&amp;$V4&amp;"|"&amp;$W4,'CALENDARIO'!$G$15:$G$214,0)),IFERROR(INDEX('CALENDARIO'!$C$15:$C$214,MATCH(TEXT($J4,"yyyy-mm-dd")&amp;"|"&amp;$V4&amp;"|",'CALENDARIO'!$G$15:$G$214,0)),IFERROR(INDEX('CALENDARIO'!$C$15:$C$214,MATCH(TEXT($J4,"yyyy-mm-dd")&amp;"||",'CALENDARIO'!$G$15:$G$214,0)),INDEX(patronHabil,WEEKDAY($J4,2))))))</f>
        <v/>
      </c>
      <c r="T4" s="3">
        <f>IF($I4="","",IFERROR(INDEX('CAT_TIPOS_OT'!$C$4:$C$7,MATCH($I4,'CAT_TIPOS_OT'!$A$4:$A$7,0)),"sin_clasificar"))</f>
        <v/>
      </c>
      <c r="U4" s="3">
        <f>IF($F4="","",IFERROR(INDEX('CAT_CENTROS_COSTO'!$F$4:$F$13,MATCH($F4,'CAT_CENTROS_COSTO'!$A$4:$A$13,0)),"(sin catálogo)"))</f>
        <v/>
      </c>
      <c r="V4" s="3">
        <f>IF($F4="","",IFERROR(INDEX('CAT_CENTROS_COSTO'!$D$4:$D$13,MATCH($F4,'CAT_CENTROS_COSTO'!$A$4:$A$13,0)),"(sin catálogo)"))</f>
        <v/>
      </c>
      <c r="W4" s="3">
        <f>IF($F4="","",IF((IFERROR(INDEX('CAT_CENTROS_COSTO'!$E$4:$E$13,MATCH($F4,'CAT_CENTROS_COSTO'!$A$4:$A$13,0)),""))&lt;&gt;"",IFERROR(INDEX('CAT_CENTROS_COSTO'!$E$4:$E$13,MATCH($F4,'CAT_CENTROS_COSTO'!$A$4:$A$13,0)),""),$V4))</f>
        <v/>
      </c>
      <c r="X4" s="3">
        <f>IF($F4="","",IFERROR(INDEX('CAT_CENTROS_COSTO'!$G$4:$G$13,MATCH($F4,'CAT_CENTROS_COSTO'!$A$4:$A$13,0)),"(sin catálogo)"))</f>
        <v/>
      </c>
      <c r="Y4" s="3">
        <f>IF($G4="","",IFERROR(INDEX('CAT_PUESTOS'!$B$4:$B$8,MATCH($G4,'CAT_PUESTOS'!$A$4:$A$8,0)),"(sin catálogo)"))</f>
        <v/>
      </c>
      <c r="Z4" s="3">
        <f>IF($H4="","",IFERROR(INDEX('CAT_ACTIVIDADES'!$B$4:$B$8,MATCH($H4,'CAT_ACTIVIDADES'!$A$4:$A$8,0)),"(sin catálogo)"))</f>
        <v/>
      </c>
      <c r="AA4" s="12">
        <f>IF($J4="","",TODAY()-$J4)</f>
        <v/>
      </c>
      <c r="AB4" s="12">
        <f>IF($J4="","",IF($J4&lt;=TODAY(),COUNTIFS(cal_fechas,"&gt;="&amp;$J4,cal_fechas,"&lt;"&amp;TODAY(),cal_habil,"sí"),-COUNTIFS(cal_fechas,"&gt;="&amp;TODAY(),cal_fechas,"&lt;"&amp;$J4,cal_habil,"sí")))</f>
        <v/>
      </c>
      <c r="AC4" s="3">
        <f>IF($AB4="","",IF($AB4&lt;0,"FUTURO",IF($AB4&gt;p_dias_backlog_max,"BACKLOG","MES CORRIENTE")))</f>
        <v/>
      </c>
      <c r="AD4" s="3">
        <f>IF($AB4="",FALSE,AND($AB4&gt;p_dias_backlog_min,$AB4&lt;=p_dias_backlog_max))</f>
        <v/>
      </c>
      <c r="AE4" s="6" t="inlineStr">
        <is>
          <t>Técnico 01</t>
        </is>
      </c>
      <c r="AF4" s="3">
        <f>IF($AE4="","",IF((IFERROR(INDEX('ASIGNACIONES'!$F$4:$F$339,MATCH($O4&amp;"|"&amp;$R4&amp;"|"&amp;$AE4,'ASIGNACIONES'!$J$4:$J$339,0)),""))=0,"",IFERROR(INDEX('ASIGNACIONES'!$F$4:$F$339,MATCH($O4&amp;"|"&amp;$R4&amp;"|"&amp;$AE4,'ASIGNACIONES'!$J$4:$J$339,0)),"")))</f>
        <v/>
      </c>
      <c r="AG4" s="13">
        <f>IF($AE4="","",SUMIFS('ORDENES'!$M$4:$M$1203,'ORDENES'!$AE$4:$AE$1203,$AE4,'ORDENES'!$O$4:$O$1203,$O4,'ORDENES'!$R$4:$R$1203,$R4))</f>
        <v/>
      </c>
      <c r="AH4" s="13">
        <f>IF($AG4="","",p_factor_productividad*IFERROR(INDEX('ASIGNACIONES'!$I$4:$I$339,MATCH($O4&amp;"|"&amp;$R4&amp;"|"&amp;$AE4,'ASIGNACIONES'!$J$4:$J$339,0)),0)-$AG4)</f>
        <v/>
      </c>
      <c r="AI4" s="10">
        <f>IF($A4="","",IFERROR(INDEX('2_IMPORTAR_EJECUCION'!$F$9:$F$1208,MATCH($AQ4,'2_IMPORTAR_EJECUCION'!$J$9:$J$1208,0)),0))</f>
        <v/>
      </c>
      <c r="AJ4" s="10">
        <f>IF($A4="","",MAX(0,IFERROR(INDEX('2_IMPORTAR_EJECUCION'!$H$9:$H$1208,MATCH($AQ4,'2_IMPORTAR_EJECUCION'!$J$9:$J$1208,0)),0)-$AI4))</f>
        <v/>
      </c>
      <c r="AK4" s="10">
        <f>IF($A4="","",$AI4+$AJ4)</f>
        <v/>
      </c>
      <c r="AL4" s="6" t="inlineStr"/>
      <c r="AM4" s="6" t="inlineStr"/>
      <c r="AN4" s="6" t="inlineStr">
        <is>
          <t>ACT-02.pdf</t>
        </is>
      </c>
      <c r="AO4" s="3">
        <f>IF($AN4="","",HYPERLINK(p_ruta_base_checklists&amp;$AN4,"abrir"))</f>
        <v/>
      </c>
      <c r="AP4" s="6" t="inlineStr"/>
      <c r="AQ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IF($A5="","",IFERROR(INDEX('AJUSTES'!$B$4:$B$303,MATCH($AQ5,'AJUSTES'!$A$4:$A$303,0)),IF($K5="","",$K5)))</f>
        <v/>
      </c>
      <c r="N5" s="3">
        <f>IF($A5="","",IFERROR(INDEX('CAT_ESTADOS_ERP'!$B$4:$B$7,MATCH(IFERROR(INDEX('2_IMPORTAR_EJECUCION'!$C$9:$C$1208,MATCH($AQ5,'2_IMPORTAR_EJECUCION'!$J$9:$J$1208,0)),""),'CAT_ESTADOS_ERP'!$A$4:$A$7,0)),"Pendiente"))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J5="","",IFERROR(INDEX('CALENDARIO'!$C$15:$C$214,MATCH(TEXT($J5,"yyyy-mm-dd")&amp;"|"&amp;$V5&amp;"|"&amp;$W5,'CALENDARIO'!$G$15:$G$214,0)),IFERROR(INDEX('CALENDARIO'!$C$15:$C$214,MATCH(TEXT($J5,"yyyy-mm-dd")&amp;"|"&amp;$V5&amp;"|",'CALENDARIO'!$G$15:$G$214,0)),IFERROR(INDEX('CALENDARIO'!$C$15:$C$214,MATCH(TEXT($J5,"yyyy-mm-dd")&amp;"||",'CALENDARIO'!$G$15:$G$214,0)),INDEX(patronHabil,WEEKDAY($J5,2))))))</f>
        <v/>
      </c>
      <c r="T5" s="3">
        <f>IF($I5="","",IFERROR(INDEX('CAT_TIPOS_OT'!$C$4:$C$7,MATCH($I5,'CAT_TIPOS_OT'!$A$4:$A$7,0)),"sin_clasificar"))</f>
        <v/>
      </c>
      <c r="U5" s="3">
        <f>IF($F5="","",IFERROR(INDEX('CAT_CENTROS_COSTO'!$F$4:$F$13,MATCH($F5,'CAT_CENTROS_COSTO'!$A$4:$A$13,0)),"(sin catálogo)"))</f>
        <v/>
      </c>
      <c r="V5" s="3">
        <f>IF($F5="","",IFERROR(INDEX('CAT_CENTROS_COSTO'!$D$4:$D$13,MATCH($F5,'CAT_CENTROS_COSTO'!$A$4:$A$13,0)),"(sin catálogo)"))</f>
        <v/>
      </c>
      <c r="W5" s="3">
        <f>IF($F5="","",IF((IFERROR(INDEX('CAT_CENTROS_COSTO'!$E$4:$E$13,MATCH($F5,'CAT_CENTROS_COSTO'!$A$4:$A$13,0)),""))&lt;&gt;"",IFERROR(INDEX('CAT_CENTROS_COSTO'!$E$4:$E$13,MATCH($F5,'CAT_CENTROS_COSTO'!$A$4:$A$13,0)),""),$V5))</f>
        <v/>
      </c>
      <c r="X5" s="3">
        <f>IF($F5="","",IFERROR(INDEX('CAT_CENTROS_COSTO'!$G$4:$G$13,MATCH($F5,'CAT_CENTROS_COSTO'!$A$4:$A$13,0)),"(sin catálogo)"))</f>
        <v/>
      </c>
      <c r="Y5" s="3">
        <f>IF($G5="","",IFERROR(INDEX('CAT_PUESTOS'!$B$4:$B$8,MATCH($G5,'CAT_PUESTOS'!$A$4:$A$8,0)),"(sin catálogo)"))</f>
        <v/>
      </c>
      <c r="Z5" s="3">
        <f>IF($H5="","",IFERROR(INDEX('CAT_ACTIVIDADES'!$B$4:$B$8,MATCH($H5,'CAT_ACTIVIDADES'!$A$4:$A$8,0)),"(sin catálogo)"))</f>
        <v/>
      </c>
      <c r="AA5" s="12">
        <f>IF($J5="","",TODAY()-$J5)</f>
        <v/>
      </c>
      <c r="AB5" s="12">
        <f>IF($J5="","",IF($J5&lt;=TODAY(),COUNTIFS(cal_fechas,"&gt;="&amp;$J5,cal_fechas,"&lt;"&amp;TODAY(),cal_habil,"sí"),-COUNTIFS(cal_fechas,"&gt;="&amp;TODAY(),cal_fechas,"&lt;"&amp;$J5,cal_habil,"sí")))</f>
        <v/>
      </c>
      <c r="AC5" s="3">
        <f>IF($AB5="","",IF($AB5&lt;0,"FUTURO",IF($AB5&gt;p_dias_backlog_max,"BACKLOG","MES CORRIENTE")))</f>
        <v/>
      </c>
      <c r="AD5" s="3">
        <f>IF($AB5="",FALSE,AND($AB5&gt;p_dias_backlog_min,$AB5&lt;=p_dias_backlog_max))</f>
        <v/>
      </c>
      <c r="AE5" s="6" t="inlineStr">
        <is>
          <t>Técnico 02</t>
        </is>
      </c>
      <c r="AF5" s="3">
        <f>IF($AE5="","",IF((IFERROR(INDEX('ASIGNACIONES'!$F$4:$F$339,MATCH($O5&amp;"|"&amp;$R5&amp;"|"&amp;$AE5,'ASIGNACIONES'!$J$4:$J$339,0)),""))=0,"",IFERROR(INDEX('ASIGNACIONES'!$F$4:$F$339,MATCH($O5&amp;"|"&amp;$R5&amp;"|"&amp;$AE5,'ASIGNACIONES'!$J$4:$J$339,0)),"")))</f>
        <v/>
      </c>
      <c r="AG5" s="13">
        <f>IF($AE5="","",SUMIFS('ORDENES'!$M$4:$M$1203,'ORDENES'!$AE$4:$AE$1203,$AE5,'ORDENES'!$O$4:$O$1203,$O5,'ORDENES'!$R$4:$R$1203,$R5))</f>
        <v/>
      </c>
      <c r="AH5" s="13">
        <f>IF($AG5="","",p_factor_productividad*IFERROR(INDEX('ASIGNACIONES'!$I$4:$I$339,MATCH($O5&amp;"|"&amp;$R5&amp;"|"&amp;$AE5,'ASIGNACIONES'!$J$4:$J$339,0)),0)-$AG5)</f>
        <v/>
      </c>
      <c r="AI5" s="10">
        <f>IF($A5="","",IFERROR(INDEX('2_IMPORTAR_EJECUCION'!$F$9:$F$1208,MATCH($AQ5,'2_IMPORTAR_EJECUCION'!$J$9:$J$1208,0)),0))</f>
        <v/>
      </c>
      <c r="AJ5" s="10">
        <f>IF($A5="","",MAX(0,IFERROR(INDEX('2_IMPORTAR_EJECUCION'!$H$9:$H$1208,MATCH($AQ5,'2_IMPORTAR_EJECUCION'!$J$9:$J$1208,0)),0)-$AI5))</f>
        <v/>
      </c>
      <c r="AK5" s="10">
        <f>IF($A5="","",$AI5+$AJ5)</f>
        <v/>
      </c>
      <c r="AL5" s="6" t="inlineStr"/>
      <c r="AM5" s="6" t="inlineStr"/>
      <c r="AN5" s="6" t="inlineStr">
        <is>
          <t>ACT-04.pdf</t>
        </is>
      </c>
      <c r="AO5" s="3">
        <f>IF($AN5="","",HYPERLINK(p_ruta_base_checklists&amp;$AN5,"abrir"))</f>
        <v/>
      </c>
      <c r="AP5" s="6" t="inlineStr"/>
      <c r="AQ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IF($A6="","",IFERROR(INDEX('AJUSTES'!$B$4:$B$303,MATCH($AQ6,'AJUSTES'!$A$4:$A$303,0)),IF($K6="","",$K6)))</f>
        <v/>
      </c>
      <c r="N6" s="3">
        <f>IF($A6="","",IFERROR(INDEX('CAT_ESTADOS_ERP'!$B$4:$B$7,MATCH(IFERROR(INDEX('2_IMPORTAR_EJECUCION'!$C$9:$C$1208,MATCH($AQ6,'2_IMPORTAR_EJECUCION'!$J$9:$J$1208,0)),""),'CAT_ESTADOS_ERP'!$A$4:$A$7,0)),"Pendiente"))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J6="","",IFERROR(INDEX('CALENDARIO'!$C$15:$C$214,MATCH(TEXT($J6,"yyyy-mm-dd")&amp;"|"&amp;$V6&amp;"|"&amp;$W6,'CALENDARIO'!$G$15:$G$214,0)),IFERROR(INDEX('CALENDARIO'!$C$15:$C$214,MATCH(TEXT($J6,"yyyy-mm-dd")&amp;"|"&amp;$V6&amp;"|",'CALENDARIO'!$G$15:$G$214,0)),IFERROR(INDEX('CALENDARIO'!$C$15:$C$214,MATCH(TEXT($J6,"yyyy-mm-dd")&amp;"||",'CALENDARIO'!$G$15:$G$214,0)),INDEX(patronHabil,WEEKDAY($J6,2))))))</f>
        <v/>
      </c>
      <c r="T6" s="3">
        <f>IF($I6="","",IFERROR(INDEX('CAT_TIPOS_OT'!$C$4:$C$7,MATCH($I6,'CAT_TIPOS_OT'!$A$4:$A$7,0)),"sin_clasificar"))</f>
        <v/>
      </c>
      <c r="U6" s="3">
        <f>IF($F6="","",IFERROR(INDEX('CAT_CENTROS_COSTO'!$F$4:$F$13,MATCH($F6,'CAT_CENTROS_COSTO'!$A$4:$A$13,0)),"(sin catálogo)"))</f>
        <v/>
      </c>
      <c r="V6" s="3">
        <f>IF($F6="","",IFERROR(INDEX('CAT_CENTROS_COSTO'!$D$4:$D$13,MATCH($F6,'CAT_CENTROS_COSTO'!$A$4:$A$13,0)),"(sin catálogo)"))</f>
        <v/>
      </c>
      <c r="W6" s="3">
        <f>IF($F6="","",IF((IFERROR(INDEX('CAT_CENTROS_COSTO'!$E$4:$E$13,MATCH($F6,'CAT_CENTROS_COSTO'!$A$4:$A$13,0)),""))&lt;&gt;"",IFERROR(INDEX('CAT_CENTROS_COSTO'!$E$4:$E$13,MATCH($F6,'CAT_CENTROS_COSTO'!$A$4:$A$13,0)),""),$V6))</f>
        <v/>
      </c>
      <c r="X6" s="3">
        <f>IF($F6="","",IFERROR(INDEX('CAT_CENTROS_COSTO'!$G$4:$G$13,MATCH($F6,'CAT_CENTROS_COSTO'!$A$4:$A$13,0)),"(sin catálogo)"))</f>
        <v/>
      </c>
      <c r="Y6" s="3">
        <f>IF($G6="","",IFERROR(INDEX('CAT_PUESTOS'!$B$4:$B$8,MATCH($G6,'CAT_PUESTOS'!$A$4:$A$8,0)),"(sin catálogo)"))</f>
        <v/>
      </c>
      <c r="Z6" s="3">
        <f>IF($H6="","",IFERROR(INDEX('CAT_ACTIVIDADES'!$B$4:$B$8,MATCH($H6,'CAT_ACTIVIDADES'!$A$4:$A$8,0)),"(sin catálogo)"))</f>
        <v/>
      </c>
      <c r="AA6" s="12">
        <f>IF($J6="","",TODAY()-$J6)</f>
        <v/>
      </c>
      <c r="AB6" s="12">
        <f>IF($J6="","",IF($J6&lt;=TODAY(),COUNTIFS(cal_fechas,"&gt;="&amp;$J6,cal_fechas,"&lt;"&amp;TODAY(),cal_habil,"sí"),-COUNTIFS(cal_fechas,"&gt;="&amp;TODAY(),cal_fechas,"&lt;"&amp;$J6,cal_habil,"sí")))</f>
        <v/>
      </c>
      <c r="AC6" s="3">
        <f>IF($AB6="","",IF($AB6&lt;0,"FUTURO",IF($AB6&gt;p_dias_backlog_max,"BACKLOG","MES CORRIENTE")))</f>
        <v/>
      </c>
      <c r="AD6" s="3">
        <f>IF($AB6="",FALSE,AND($AB6&gt;p_dias_backlog_min,$AB6&lt;=p_dias_backlog_max))</f>
        <v/>
      </c>
      <c r="AE6" s="6" t="inlineStr">
        <is>
          <t>Técnico 03</t>
        </is>
      </c>
      <c r="AF6" s="3">
        <f>IF($AE6="","",IF((IFERROR(INDEX('ASIGNACIONES'!$F$4:$F$339,MATCH($O6&amp;"|"&amp;$R6&amp;"|"&amp;$AE6,'ASIGNACIONES'!$J$4:$J$339,0)),""))=0,"",IFERROR(INDEX('ASIGNACIONES'!$F$4:$F$339,MATCH($O6&amp;"|"&amp;$R6&amp;"|"&amp;$AE6,'ASIGNACIONES'!$J$4:$J$339,0)),"")))</f>
        <v/>
      </c>
      <c r="AG6" s="13">
        <f>IF($AE6="","",SUMIFS('ORDENES'!$M$4:$M$1203,'ORDENES'!$AE$4:$AE$1203,$AE6,'ORDENES'!$O$4:$O$1203,$O6,'ORDENES'!$R$4:$R$1203,$R6))</f>
        <v/>
      </c>
      <c r="AH6" s="13">
        <f>IF($AG6="","",p_factor_productividad*IFERROR(INDEX('ASIGNACIONES'!$I$4:$I$339,MATCH($O6&amp;"|"&amp;$R6&amp;"|"&amp;$AE6,'ASIGNACIONES'!$J$4:$J$339,0)),0)-$AG6)</f>
        <v/>
      </c>
      <c r="AI6" s="10">
        <f>IF($A6="","",IFERROR(INDEX('2_IMPORTAR_EJECUCION'!$F$9:$F$1208,MATCH($AQ6,'2_IMPORTAR_EJECUCION'!$J$9:$J$1208,0)),0))</f>
        <v/>
      </c>
      <c r="AJ6" s="10">
        <f>IF($A6="","",MAX(0,IFERROR(INDEX('2_IMPORTAR_EJECUCION'!$H$9:$H$1208,MATCH($AQ6,'2_IMPORTAR_EJECUCION'!$J$9:$J$1208,0)),0)-$AI6))</f>
        <v/>
      </c>
      <c r="AK6" s="10">
        <f>IF($A6="","",$AI6+$AJ6)</f>
        <v/>
      </c>
      <c r="AL6" s="6" t="inlineStr"/>
      <c r="AM6" s="6" t="inlineStr"/>
      <c r="AN6" s="6" t="inlineStr">
        <is>
          <t>ACT-01.pdf</t>
        </is>
      </c>
      <c r="AO6" s="3">
        <f>IF($AN6="","",HYPERLINK(p_ruta_base_checklists&amp;$AN6,"abrir"))</f>
        <v/>
      </c>
      <c r="AP6" s="6" t="inlineStr"/>
      <c r="AQ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IF($A7="","",IFERROR(INDEX('AJUSTES'!$B$4:$B$303,MATCH($AQ7,'AJUSTES'!$A$4:$A$303,0)),IF($K7="","",$K7)))</f>
        <v/>
      </c>
      <c r="N7" s="3">
        <f>IF($A7="","",IFERROR(INDEX('CAT_ESTADOS_ERP'!$B$4:$B$7,MATCH(IFERROR(INDEX('2_IMPORTAR_EJECUCION'!$C$9:$C$1208,MATCH($AQ7,'2_IMPORTAR_EJECUCION'!$J$9:$J$1208,0)),""),'CAT_ESTADOS_ERP'!$A$4:$A$7,0)),"Pendiente"))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J7="","",IFERROR(INDEX('CALENDARIO'!$C$15:$C$214,MATCH(TEXT($J7,"yyyy-mm-dd")&amp;"|"&amp;$V7&amp;"|"&amp;$W7,'CALENDARIO'!$G$15:$G$214,0)),IFERROR(INDEX('CALENDARIO'!$C$15:$C$214,MATCH(TEXT($J7,"yyyy-mm-dd")&amp;"|"&amp;$V7&amp;"|",'CALENDARIO'!$G$15:$G$214,0)),IFERROR(INDEX('CALENDARIO'!$C$15:$C$214,MATCH(TEXT($J7,"yyyy-mm-dd")&amp;"||",'CALENDARIO'!$G$15:$G$214,0)),INDEX(patronHabil,WEEKDAY($J7,2))))))</f>
        <v/>
      </c>
      <c r="T7" s="3">
        <f>IF($I7="","",IFERROR(INDEX('CAT_TIPOS_OT'!$C$4:$C$7,MATCH($I7,'CAT_TIPOS_OT'!$A$4:$A$7,0)),"sin_clasificar"))</f>
        <v/>
      </c>
      <c r="U7" s="3">
        <f>IF($F7="","",IFERROR(INDEX('CAT_CENTROS_COSTO'!$F$4:$F$13,MATCH($F7,'CAT_CENTROS_COSTO'!$A$4:$A$13,0)),"(sin catálogo)"))</f>
        <v/>
      </c>
      <c r="V7" s="3">
        <f>IF($F7="","",IFERROR(INDEX('CAT_CENTROS_COSTO'!$D$4:$D$13,MATCH($F7,'CAT_CENTROS_COSTO'!$A$4:$A$13,0)),"(sin catálogo)"))</f>
        <v/>
      </c>
      <c r="W7" s="3">
        <f>IF($F7="","",IF((IFERROR(INDEX('CAT_CENTROS_COSTO'!$E$4:$E$13,MATCH($F7,'CAT_CENTROS_COSTO'!$A$4:$A$13,0)),""))&lt;&gt;"",IFERROR(INDEX('CAT_CENTROS_COSTO'!$E$4:$E$13,MATCH($F7,'CAT_CENTROS_COSTO'!$A$4:$A$13,0)),""),$V7))</f>
        <v/>
      </c>
      <c r="X7" s="3">
        <f>IF($F7="","",IFERROR(INDEX('CAT_CENTROS_COSTO'!$G$4:$G$13,MATCH($F7,'CAT_CENTROS_COSTO'!$A$4:$A$13,0)),"(sin catálogo)"))</f>
        <v/>
      </c>
      <c r="Y7" s="3">
        <f>IF($G7="","",IFERROR(INDEX('CAT_PUESTOS'!$B$4:$B$8,MATCH($G7,'CAT_PUESTOS'!$A$4:$A$8,0)),"(sin catálogo)"))</f>
        <v/>
      </c>
      <c r="Z7" s="3">
        <f>IF($H7="","",IFERROR(INDEX('CAT_ACTIVIDADES'!$B$4:$B$8,MATCH($H7,'CAT_ACTIVIDADES'!$A$4:$A$8,0)),"(sin catálogo)"))</f>
        <v/>
      </c>
      <c r="AA7" s="12">
        <f>IF($J7="","",TODAY()-$J7)</f>
        <v/>
      </c>
      <c r="AB7" s="12">
        <f>IF($J7="","",IF($J7&lt;=TODAY(),COUNTIFS(cal_fechas,"&gt;="&amp;$J7,cal_fechas,"&lt;"&amp;TODAY(),cal_habil,"sí"),-COUNTIFS(cal_fechas,"&gt;="&amp;TODAY(),cal_fechas,"&lt;"&amp;$J7,cal_habil,"sí")))</f>
        <v/>
      </c>
      <c r="AC7" s="3">
        <f>IF($AB7="","",IF($AB7&lt;0,"FUTURO",IF($AB7&gt;p_dias_backlog_max,"BACKLOG","MES CORRIENTE")))</f>
        <v/>
      </c>
      <c r="AD7" s="3">
        <f>IF($AB7="",FALSE,AND($AB7&gt;p_dias_backlog_min,$AB7&lt;=p_dias_backlog_max))</f>
        <v/>
      </c>
      <c r="AE7" s="6" t="inlineStr">
        <is>
          <t>Técnico 04</t>
        </is>
      </c>
      <c r="AF7" s="3">
        <f>IF($AE7="","",IF((IFERROR(INDEX('ASIGNACIONES'!$F$4:$F$339,MATCH($O7&amp;"|"&amp;$R7&amp;"|"&amp;$AE7,'ASIGNACIONES'!$J$4:$J$339,0)),""))=0,"",IFERROR(INDEX('ASIGNACIONES'!$F$4:$F$339,MATCH($O7&amp;"|"&amp;$R7&amp;"|"&amp;$AE7,'ASIGNACIONES'!$J$4:$J$339,0)),"")))</f>
        <v/>
      </c>
      <c r="AG7" s="13">
        <f>IF($AE7="","",SUMIFS('ORDENES'!$M$4:$M$1203,'ORDENES'!$AE$4:$AE$1203,$AE7,'ORDENES'!$O$4:$O$1203,$O7,'ORDENES'!$R$4:$R$1203,$R7))</f>
        <v/>
      </c>
      <c r="AH7" s="13">
        <f>IF($AG7="","",p_factor_productividad*IFERROR(INDEX('ASIGNACIONES'!$I$4:$I$339,MATCH($O7&amp;"|"&amp;$R7&amp;"|"&amp;$AE7,'ASIGNACIONES'!$J$4:$J$339,0)),0)-$AG7)</f>
        <v/>
      </c>
      <c r="AI7" s="10">
        <f>IF($A7="","",IFERROR(INDEX('2_IMPORTAR_EJECUCION'!$F$9:$F$1208,MATCH($AQ7,'2_IMPORTAR_EJECUCION'!$J$9:$J$1208,0)),0))</f>
        <v/>
      </c>
      <c r="AJ7" s="10">
        <f>IF($A7="","",MAX(0,IFERROR(INDEX('2_IMPORTAR_EJECUCION'!$H$9:$H$1208,MATCH($AQ7,'2_IMPORTAR_EJECUCION'!$J$9:$J$1208,0)),0)-$AI7))</f>
        <v/>
      </c>
      <c r="AK7" s="10">
        <f>IF($A7="","",$AI7+$AJ7)</f>
        <v/>
      </c>
      <c r="AL7" s="6" t="inlineStr"/>
      <c r="AM7" s="6" t="inlineStr"/>
      <c r="AN7" s="6" t="inlineStr">
        <is>
          <t>ACT-02.pdf</t>
        </is>
      </c>
      <c r="AO7" s="3">
        <f>IF($AN7="","",HYPERLINK(p_ruta_base_checklists&amp;$AN7,"abrir"))</f>
        <v/>
      </c>
      <c r="AP7" s="6" t="inlineStr"/>
      <c r="AQ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IF($A8="","",IFERROR(INDEX('AJUSTES'!$B$4:$B$303,MATCH($AQ8,'AJUSTES'!$A$4:$A$303,0)),IF($K8="","",$K8)))</f>
        <v/>
      </c>
      <c r="N8" s="3">
        <f>IF($A8="","",IFERROR(INDEX('CAT_ESTADOS_ERP'!$B$4:$B$7,MATCH(IFERROR(INDEX('2_IMPORTAR_EJECUCION'!$C$9:$C$1208,MATCH($AQ8,'2_IMPORTAR_EJECUCION'!$J$9:$J$1208,0)),""),'CAT_ESTADOS_ERP'!$A$4:$A$7,0)),"Pendiente"))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J8="","",IFERROR(INDEX('CALENDARIO'!$C$15:$C$214,MATCH(TEXT($J8,"yyyy-mm-dd")&amp;"|"&amp;$V8&amp;"|"&amp;$W8,'CALENDARIO'!$G$15:$G$214,0)),IFERROR(INDEX('CALENDARIO'!$C$15:$C$214,MATCH(TEXT($J8,"yyyy-mm-dd")&amp;"|"&amp;$V8&amp;"|",'CALENDARIO'!$G$15:$G$214,0)),IFERROR(INDEX('CALENDARIO'!$C$15:$C$214,MATCH(TEXT($J8,"yyyy-mm-dd")&amp;"||",'CALENDARIO'!$G$15:$G$214,0)),INDEX(patronHabil,WEEKDAY($J8,2))))))</f>
        <v/>
      </c>
      <c r="T8" s="3">
        <f>IF($I8="","",IFERROR(INDEX('CAT_TIPOS_OT'!$C$4:$C$7,MATCH($I8,'CAT_TIPOS_OT'!$A$4:$A$7,0)),"sin_clasificar"))</f>
        <v/>
      </c>
      <c r="U8" s="3">
        <f>IF($F8="","",IFERROR(INDEX('CAT_CENTROS_COSTO'!$F$4:$F$13,MATCH($F8,'CAT_CENTROS_COSTO'!$A$4:$A$13,0)),"(sin catálogo)"))</f>
        <v/>
      </c>
      <c r="V8" s="3">
        <f>IF($F8="","",IFERROR(INDEX('CAT_CENTROS_COSTO'!$D$4:$D$13,MATCH($F8,'CAT_CENTROS_COSTO'!$A$4:$A$13,0)),"(sin catálogo)"))</f>
        <v/>
      </c>
      <c r="W8" s="3">
        <f>IF($F8="","",IF((IFERROR(INDEX('CAT_CENTROS_COSTO'!$E$4:$E$13,MATCH($F8,'CAT_CENTROS_COSTO'!$A$4:$A$13,0)),""))&lt;&gt;"",IFERROR(INDEX('CAT_CENTROS_COSTO'!$E$4:$E$13,MATCH($F8,'CAT_CENTROS_COSTO'!$A$4:$A$13,0)),""),$V8))</f>
        <v/>
      </c>
      <c r="X8" s="3">
        <f>IF($F8="","",IFERROR(INDEX('CAT_CENTROS_COSTO'!$G$4:$G$13,MATCH($F8,'CAT_CENTROS_COSTO'!$A$4:$A$13,0)),"(sin catálogo)"))</f>
        <v/>
      </c>
      <c r="Y8" s="3">
        <f>IF($G8="","",IFERROR(INDEX('CAT_PUESTOS'!$B$4:$B$8,MATCH($G8,'CAT_PUESTOS'!$A$4:$A$8,0)),"(sin catálogo)"))</f>
        <v/>
      </c>
      <c r="Z8" s="3">
        <f>IF($H8="","",IFERROR(INDEX('CAT_ACTIVIDADES'!$B$4:$B$8,MATCH($H8,'CAT_ACTIVIDADES'!$A$4:$A$8,0)),"(sin catálogo)"))</f>
        <v/>
      </c>
      <c r="AA8" s="12">
        <f>IF($J8="","",TODAY()-$J8)</f>
        <v/>
      </c>
      <c r="AB8" s="12">
        <f>IF($J8="","",IF($J8&lt;=TODAY(),COUNTIFS(cal_fechas,"&gt;="&amp;$J8,cal_fechas,"&lt;"&amp;TODAY(),cal_habil,"sí"),-COUNTIFS(cal_fechas,"&gt;="&amp;TODAY(),cal_fechas,"&lt;"&amp;$J8,cal_habil,"sí")))</f>
        <v/>
      </c>
      <c r="AC8" s="3">
        <f>IF($AB8="","",IF($AB8&lt;0,"FUTURO",IF($AB8&gt;p_dias_backlog_max,"BACKLOG","MES CORRIENTE")))</f>
        <v/>
      </c>
      <c r="AD8" s="3">
        <f>IF($AB8="",FALSE,AND($AB8&gt;p_dias_backlog_min,$AB8&lt;=p_dias_backlog_max))</f>
        <v/>
      </c>
      <c r="AE8" s="6" t="inlineStr">
        <is>
          <t>Técnico 01</t>
        </is>
      </c>
      <c r="AF8" s="3">
        <f>IF($AE8="","",IF((IFERROR(INDEX('ASIGNACIONES'!$F$4:$F$339,MATCH($O8&amp;"|"&amp;$R8&amp;"|"&amp;$AE8,'ASIGNACIONES'!$J$4:$J$339,0)),""))=0,"",IFERROR(INDEX('ASIGNACIONES'!$F$4:$F$339,MATCH($O8&amp;"|"&amp;$R8&amp;"|"&amp;$AE8,'ASIGNACIONES'!$J$4:$J$339,0)),"")))</f>
        <v/>
      </c>
      <c r="AG8" s="13">
        <f>IF($AE8="","",SUMIFS('ORDENES'!$M$4:$M$1203,'ORDENES'!$AE$4:$AE$1203,$AE8,'ORDENES'!$O$4:$O$1203,$O8,'ORDENES'!$R$4:$R$1203,$R8))</f>
        <v/>
      </c>
      <c r="AH8" s="13">
        <f>IF($AG8="","",p_factor_productividad*IFERROR(INDEX('ASIGNACIONES'!$I$4:$I$339,MATCH($O8&amp;"|"&amp;$R8&amp;"|"&amp;$AE8,'ASIGNACIONES'!$J$4:$J$339,0)),0)-$AG8)</f>
        <v/>
      </c>
      <c r="AI8" s="10">
        <f>IF($A8="","",IFERROR(INDEX('2_IMPORTAR_EJECUCION'!$F$9:$F$1208,MATCH($AQ8,'2_IMPORTAR_EJECUCION'!$J$9:$J$1208,0)),0))</f>
        <v/>
      </c>
      <c r="AJ8" s="10">
        <f>IF($A8="","",MAX(0,IFERROR(INDEX('2_IMPORTAR_EJECUCION'!$H$9:$H$1208,MATCH($AQ8,'2_IMPORTAR_EJECUCION'!$J$9:$J$1208,0)),0)-$AI8))</f>
        <v/>
      </c>
      <c r="AK8" s="10">
        <f>IF($A8="","",$AI8+$AJ8)</f>
        <v/>
      </c>
      <c r="AL8" s="6" t="inlineStr"/>
      <c r="AM8" s="6" t="inlineStr"/>
      <c r="AN8" s="6" t="inlineStr">
        <is>
          <t>ACT-04.pdf</t>
        </is>
      </c>
      <c r="AO8" s="3">
        <f>IF($AN8="","",HYPERLINK(p_ruta_base_checklists&amp;$AN8,"abrir"))</f>
        <v/>
      </c>
      <c r="AP8" s="6" t="inlineStr"/>
      <c r="AQ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IF($A9="","",IFERROR(INDEX('AJUSTES'!$B$4:$B$303,MATCH($AQ9,'AJUSTES'!$A$4:$A$303,0)),IF($K9="","",$K9)))</f>
        <v/>
      </c>
      <c r="N9" s="3">
        <f>IF($A9="","",IFERROR(INDEX('CAT_ESTADOS_ERP'!$B$4:$B$7,MATCH(IFERROR(INDEX('2_IMPORTAR_EJECUCION'!$C$9:$C$1208,MATCH($AQ9,'2_IMPORTAR_EJECUCION'!$J$9:$J$1208,0)),""),'CAT_ESTADOS_ERP'!$A$4:$A$7,0)),"Pendiente"))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J9="","",IFERROR(INDEX('CALENDARIO'!$C$15:$C$214,MATCH(TEXT($J9,"yyyy-mm-dd")&amp;"|"&amp;$V9&amp;"|"&amp;$W9,'CALENDARIO'!$G$15:$G$214,0)),IFERROR(INDEX('CALENDARIO'!$C$15:$C$214,MATCH(TEXT($J9,"yyyy-mm-dd")&amp;"|"&amp;$V9&amp;"|",'CALENDARIO'!$G$15:$G$214,0)),IFERROR(INDEX('CALENDARIO'!$C$15:$C$214,MATCH(TEXT($J9,"yyyy-mm-dd")&amp;"||",'CALENDARIO'!$G$15:$G$214,0)),INDEX(patronHabil,WEEKDAY($J9,2))))))</f>
        <v/>
      </c>
      <c r="T9" s="3">
        <f>IF($I9="","",IFERROR(INDEX('CAT_TIPOS_OT'!$C$4:$C$7,MATCH($I9,'CAT_TIPOS_OT'!$A$4:$A$7,0)),"sin_clasificar"))</f>
        <v/>
      </c>
      <c r="U9" s="3">
        <f>IF($F9="","",IFERROR(INDEX('CAT_CENTROS_COSTO'!$F$4:$F$13,MATCH($F9,'CAT_CENTROS_COSTO'!$A$4:$A$13,0)),"(sin catálogo)"))</f>
        <v/>
      </c>
      <c r="V9" s="3">
        <f>IF($F9="","",IFERROR(INDEX('CAT_CENTROS_COSTO'!$D$4:$D$13,MATCH($F9,'CAT_CENTROS_COSTO'!$A$4:$A$13,0)),"(sin catálogo)"))</f>
        <v/>
      </c>
      <c r="W9" s="3">
        <f>IF($F9="","",IF((IFERROR(INDEX('CAT_CENTROS_COSTO'!$E$4:$E$13,MATCH($F9,'CAT_CENTROS_COSTO'!$A$4:$A$13,0)),""))&lt;&gt;"",IFERROR(INDEX('CAT_CENTROS_COSTO'!$E$4:$E$13,MATCH($F9,'CAT_CENTROS_COSTO'!$A$4:$A$13,0)),""),$V9))</f>
        <v/>
      </c>
      <c r="X9" s="3">
        <f>IF($F9="","",IFERROR(INDEX('CAT_CENTROS_COSTO'!$G$4:$G$13,MATCH($F9,'CAT_CENTROS_COSTO'!$A$4:$A$13,0)),"(sin catálogo)"))</f>
        <v/>
      </c>
      <c r="Y9" s="3">
        <f>IF($G9="","",IFERROR(INDEX('CAT_PUESTOS'!$B$4:$B$8,MATCH($G9,'CAT_PUESTOS'!$A$4:$A$8,0)),"(sin catálogo)"))</f>
        <v/>
      </c>
      <c r="Z9" s="3">
        <f>IF($H9="","",IFERROR(INDEX('CAT_ACTIVIDADES'!$B$4:$B$8,MATCH($H9,'CAT_ACTIVIDADES'!$A$4:$A$8,0)),"(sin catálogo)"))</f>
        <v/>
      </c>
      <c r="AA9" s="12">
        <f>IF($J9="","",TODAY()-$J9)</f>
        <v/>
      </c>
      <c r="AB9" s="12">
        <f>IF($J9="","",IF($J9&lt;=TODAY(),COUNTIFS(cal_fechas,"&gt;="&amp;$J9,cal_fechas,"&lt;"&amp;TODAY(),cal_habil,"sí"),-COUNTIFS(cal_fechas,"&gt;="&amp;TODAY(),cal_fechas,"&lt;"&amp;$J9,cal_habil,"sí")))</f>
        <v/>
      </c>
      <c r="AC9" s="3">
        <f>IF($AB9="","",IF($AB9&lt;0,"FUTURO",IF($AB9&gt;p_dias_backlog_max,"BACKLOG","MES CORRIENTE")))</f>
        <v/>
      </c>
      <c r="AD9" s="3">
        <f>IF($AB9="",FALSE,AND($AB9&gt;p_dias_backlog_min,$AB9&lt;=p_dias_backlog_max))</f>
        <v/>
      </c>
      <c r="AE9" s="6" t="inlineStr">
        <is>
          <t>Técnico 02</t>
        </is>
      </c>
      <c r="AF9" s="3">
        <f>IF($AE9="","",IF((IFERROR(INDEX('ASIGNACIONES'!$F$4:$F$339,MATCH($O9&amp;"|"&amp;$R9&amp;"|"&amp;$AE9,'ASIGNACIONES'!$J$4:$J$339,0)),""))=0,"",IFERROR(INDEX('ASIGNACIONES'!$F$4:$F$339,MATCH($O9&amp;"|"&amp;$R9&amp;"|"&amp;$AE9,'ASIGNACIONES'!$J$4:$J$339,0)),"")))</f>
        <v/>
      </c>
      <c r="AG9" s="13">
        <f>IF($AE9="","",SUMIFS('ORDENES'!$M$4:$M$1203,'ORDENES'!$AE$4:$AE$1203,$AE9,'ORDENES'!$O$4:$O$1203,$O9,'ORDENES'!$R$4:$R$1203,$R9))</f>
        <v/>
      </c>
      <c r="AH9" s="13">
        <f>IF($AG9="","",p_factor_productividad*IFERROR(INDEX('ASIGNACIONES'!$I$4:$I$339,MATCH($O9&amp;"|"&amp;$R9&amp;"|"&amp;$AE9,'ASIGNACIONES'!$J$4:$J$339,0)),0)-$AG9)</f>
        <v/>
      </c>
      <c r="AI9" s="10">
        <f>IF($A9="","",IFERROR(INDEX('2_IMPORTAR_EJECUCION'!$F$9:$F$1208,MATCH($AQ9,'2_IMPORTAR_EJECUCION'!$J$9:$J$1208,0)),0))</f>
        <v/>
      </c>
      <c r="AJ9" s="10">
        <f>IF($A9="","",MAX(0,IFERROR(INDEX('2_IMPORTAR_EJECUCION'!$H$9:$H$1208,MATCH($AQ9,'2_IMPORTAR_EJECUCION'!$J$9:$J$1208,0)),0)-$AI9))</f>
        <v/>
      </c>
      <c r="AK9" s="10">
        <f>IF($A9="","",$AI9+$AJ9)</f>
        <v/>
      </c>
      <c r="AL9" s="6" t="inlineStr"/>
      <c r="AM9" s="6" t="inlineStr"/>
      <c r="AN9" s="6" t="inlineStr">
        <is>
          <t>ACT-01.pdf</t>
        </is>
      </c>
      <c r="AO9" s="3">
        <f>IF($AN9="","",HYPERLINK(p_ruta_base_checklists&amp;$AN9,"abrir"))</f>
        <v/>
      </c>
      <c r="AP9" s="6" t="inlineStr"/>
      <c r="AQ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IF($A10="","",IFERROR(INDEX('AJUSTES'!$B$4:$B$303,MATCH($AQ10,'AJUSTES'!$A$4:$A$303,0)),IF($K10="","",$K10)))</f>
        <v/>
      </c>
      <c r="N10" s="3">
        <f>IF($A10="","",IFERROR(INDEX('CAT_ESTADOS_ERP'!$B$4:$B$7,MATCH(IFERROR(INDEX('2_IMPORTAR_EJECUCION'!$C$9:$C$1208,MATCH($AQ10,'2_IMPORTAR_EJECUCION'!$J$9:$J$1208,0)),""),'CAT_ESTADOS_ERP'!$A$4:$A$7,0)),"Pendiente"))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J10="","",IFERROR(INDEX('CALENDARIO'!$C$15:$C$214,MATCH(TEXT($J10,"yyyy-mm-dd")&amp;"|"&amp;$V10&amp;"|"&amp;$W10,'CALENDARIO'!$G$15:$G$214,0)),IFERROR(INDEX('CALENDARIO'!$C$15:$C$214,MATCH(TEXT($J10,"yyyy-mm-dd")&amp;"|"&amp;$V10&amp;"|",'CALENDARIO'!$G$15:$G$214,0)),IFERROR(INDEX('CALENDARIO'!$C$15:$C$214,MATCH(TEXT($J10,"yyyy-mm-dd")&amp;"||",'CALENDARIO'!$G$15:$G$214,0)),INDEX(patronHabil,WEEKDAY($J10,2))))))</f>
        <v/>
      </c>
      <c r="T10" s="3">
        <f>IF($I10="","",IFERROR(INDEX('CAT_TIPOS_OT'!$C$4:$C$7,MATCH($I10,'CAT_TIPOS_OT'!$A$4:$A$7,0)),"sin_clasificar"))</f>
        <v/>
      </c>
      <c r="U10" s="3">
        <f>IF($F10="","",IFERROR(INDEX('CAT_CENTROS_COSTO'!$F$4:$F$13,MATCH($F10,'CAT_CENTROS_COSTO'!$A$4:$A$13,0)),"(sin catálogo)"))</f>
        <v/>
      </c>
      <c r="V10" s="3">
        <f>IF($F10="","",IFERROR(INDEX('CAT_CENTROS_COSTO'!$D$4:$D$13,MATCH($F10,'CAT_CENTROS_COSTO'!$A$4:$A$13,0)),"(sin catálogo)"))</f>
        <v/>
      </c>
      <c r="W10" s="3">
        <f>IF($F10="","",IF((IFERROR(INDEX('CAT_CENTROS_COSTO'!$E$4:$E$13,MATCH($F10,'CAT_CENTROS_COSTO'!$A$4:$A$13,0)),""))&lt;&gt;"",IFERROR(INDEX('CAT_CENTROS_COSTO'!$E$4:$E$13,MATCH($F10,'CAT_CENTROS_COSTO'!$A$4:$A$13,0)),""),$V10))</f>
        <v/>
      </c>
      <c r="X10" s="3">
        <f>IF($F10="","",IFERROR(INDEX('CAT_CENTROS_COSTO'!$G$4:$G$13,MATCH($F10,'CAT_CENTROS_COSTO'!$A$4:$A$13,0)),"(sin catálogo)"))</f>
        <v/>
      </c>
      <c r="Y10" s="3">
        <f>IF($G10="","",IFERROR(INDEX('CAT_PUESTOS'!$B$4:$B$8,MATCH($G10,'CAT_PUESTOS'!$A$4:$A$8,0)),"(sin catálogo)"))</f>
        <v/>
      </c>
      <c r="Z10" s="3">
        <f>IF($H10="","",IFERROR(INDEX('CAT_ACTIVIDADES'!$B$4:$B$8,MATCH($H10,'CAT_ACTIVIDADES'!$A$4:$A$8,0)),"(sin catálogo)"))</f>
        <v/>
      </c>
      <c r="AA10" s="12">
        <f>IF($J10="","",TODAY()-$J10)</f>
        <v/>
      </c>
      <c r="AB10" s="12">
        <f>IF($J10="","",IF($J10&lt;=TODAY(),COUNTIFS(cal_fechas,"&gt;="&amp;$J10,cal_fechas,"&lt;"&amp;TODAY(),cal_habil,"sí"),-COUNTIFS(cal_fechas,"&gt;="&amp;TODAY(),cal_fechas,"&lt;"&amp;$J10,cal_habil,"sí")))</f>
        <v/>
      </c>
      <c r="AC10" s="3">
        <f>IF($AB10="","",IF($AB10&lt;0,"FUTURO",IF($AB10&gt;p_dias_backlog_max,"BACKLOG","MES CORRIENTE")))</f>
        <v/>
      </c>
      <c r="AD10" s="3">
        <f>IF($AB10="",FALSE,AND($AB10&gt;p_dias_backlog_min,$AB10&lt;=p_dias_backlog_max))</f>
        <v/>
      </c>
      <c r="AE10" s="6" t="inlineStr">
        <is>
          <t>Técnico 03</t>
        </is>
      </c>
      <c r="AF10" s="3">
        <f>IF($AE10="","",IF((IFERROR(INDEX('ASIGNACIONES'!$F$4:$F$339,MATCH($O10&amp;"|"&amp;$R10&amp;"|"&amp;$AE10,'ASIGNACIONES'!$J$4:$J$339,0)),""))=0,"",IFERROR(INDEX('ASIGNACIONES'!$F$4:$F$339,MATCH($O10&amp;"|"&amp;$R10&amp;"|"&amp;$AE10,'ASIGNACIONES'!$J$4:$J$339,0)),"")))</f>
        <v/>
      </c>
      <c r="AG10" s="13">
        <f>IF($AE10="","",SUMIFS('ORDENES'!$M$4:$M$1203,'ORDENES'!$AE$4:$AE$1203,$AE10,'ORDENES'!$O$4:$O$1203,$O10,'ORDENES'!$R$4:$R$1203,$R10))</f>
        <v/>
      </c>
      <c r="AH10" s="13">
        <f>IF($AG10="","",p_factor_productividad*IFERROR(INDEX('ASIGNACIONES'!$I$4:$I$339,MATCH($O10&amp;"|"&amp;$R10&amp;"|"&amp;$AE10,'ASIGNACIONES'!$J$4:$J$339,0)),0)-$AG10)</f>
        <v/>
      </c>
      <c r="AI10" s="10">
        <f>IF($A10="","",IFERROR(INDEX('2_IMPORTAR_EJECUCION'!$F$9:$F$1208,MATCH($AQ10,'2_IMPORTAR_EJECUCION'!$J$9:$J$1208,0)),0))</f>
        <v/>
      </c>
      <c r="AJ10" s="10">
        <f>IF($A10="","",MAX(0,IFERROR(INDEX('2_IMPORTAR_EJECUCION'!$H$9:$H$1208,MATCH($AQ10,'2_IMPORTAR_EJECUCION'!$J$9:$J$1208,0)),0)-$AI10))</f>
        <v/>
      </c>
      <c r="AK10" s="10">
        <f>IF($A10="","",$AI10+$AJ10)</f>
        <v/>
      </c>
      <c r="AL10" s="6" t="inlineStr"/>
      <c r="AM10" s="6" t="inlineStr"/>
      <c r="AN10" s="6" t="inlineStr">
        <is>
          <t>ACT-02.pdf</t>
        </is>
      </c>
      <c r="AO10" s="3">
        <f>IF($AN10="","",HYPERLINK(p_ruta_base_checklists&amp;$AN10,"abrir"))</f>
        <v/>
      </c>
      <c r="AP10" s="6" t="inlineStr"/>
      <c r="AQ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IF($A11="","",IFERROR(INDEX('AJUSTES'!$B$4:$B$303,MATCH($AQ11,'AJUSTES'!$A$4:$A$303,0)),IF($K11="","",$K11)))</f>
        <v/>
      </c>
      <c r="N11" s="3">
        <f>IF($A11="","",IFERROR(INDEX('CAT_ESTADOS_ERP'!$B$4:$B$7,MATCH(IFERROR(INDEX('2_IMPORTAR_EJECUCION'!$C$9:$C$1208,MATCH($AQ11,'2_IMPORTAR_EJECUCION'!$J$9:$J$1208,0)),""),'CAT_ESTADOS_ERP'!$A$4:$A$7,0)),"Pendiente"))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J11="","",IFERROR(INDEX('CALENDARIO'!$C$15:$C$214,MATCH(TEXT($J11,"yyyy-mm-dd")&amp;"|"&amp;$V11&amp;"|"&amp;$W11,'CALENDARIO'!$G$15:$G$214,0)),IFERROR(INDEX('CALENDARIO'!$C$15:$C$214,MATCH(TEXT($J11,"yyyy-mm-dd")&amp;"|"&amp;$V11&amp;"|",'CALENDARIO'!$G$15:$G$214,0)),IFERROR(INDEX('CALENDARIO'!$C$15:$C$214,MATCH(TEXT($J11,"yyyy-mm-dd")&amp;"||",'CALENDARIO'!$G$15:$G$214,0)),INDEX(patronHabil,WEEKDAY($J11,2))))))</f>
        <v/>
      </c>
      <c r="T11" s="3">
        <f>IF($I11="","",IFERROR(INDEX('CAT_TIPOS_OT'!$C$4:$C$7,MATCH($I11,'CAT_TIPOS_OT'!$A$4:$A$7,0)),"sin_clasificar"))</f>
        <v/>
      </c>
      <c r="U11" s="3">
        <f>IF($F11="","",IFERROR(INDEX('CAT_CENTROS_COSTO'!$F$4:$F$13,MATCH($F11,'CAT_CENTROS_COSTO'!$A$4:$A$13,0)),"(sin catálogo)"))</f>
        <v/>
      </c>
      <c r="V11" s="3">
        <f>IF($F11="","",IFERROR(INDEX('CAT_CENTROS_COSTO'!$D$4:$D$13,MATCH($F11,'CAT_CENTROS_COSTO'!$A$4:$A$13,0)),"(sin catálogo)"))</f>
        <v/>
      </c>
      <c r="W11" s="3">
        <f>IF($F11="","",IF((IFERROR(INDEX('CAT_CENTROS_COSTO'!$E$4:$E$13,MATCH($F11,'CAT_CENTROS_COSTO'!$A$4:$A$13,0)),""))&lt;&gt;"",IFERROR(INDEX('CAT_CENTROS_COSTO'!$E$4:$E$13,MATCH($F11,'CAT_CENTROS_COSTO'!$A$4:$A$13,0)),""),$V11))</f>
        <v/>
      </c>
      <c r="X11" s="3">
        <f>IF($F11="","",IFERROR(INDEX('CAT_CENTROS_COSTO'!$G$4:$G$13,MATCH($F11,'CAT_CENTROS_COSTO'!$A$4:$A$13,0)),"(sin catálogo)"))</f>
        <v/>
      </c>
      <c r="Y11" s="3">
        <f>IF($G11="","",IFERROR(INDEX('CAT_PUESTOS'!$B$4:$B$8,MATCH($G11,'CAT_PUESTOS'!$A$4:$A$8,0)),"(sin catálogo)"))</f>
        <v/>
      </c>
      <c r="Z11" s="3">
        <f>IF($H11="","",IFERROR(INDEX('CAT_ACTIVIDADES'!$B$4:$B$8,MATCH($H11,'CAT_ACTIVIDADES'!$A$4:$A$8,0)),"(sin catálogo)"))</f>
        <v/>
      </c>
      <c r="AA11" s="12">
        <f>IF($J11="","",TODAY()-$J11)</f>
        <v/>
      </c>
      <c r="AB11" s="12">
        <f>IF($J11="","",IF($J11&lt;=TODAY(),COUNTIFS(cal_fechas,"&gt;="&amp;$J11,cal_fechas,"&lt;"&amp;TODAY(),cal_habil,"sí"),-COUNTIFS(cal_fechas,"&gt;="&amp;TODAY(),cal_fechas,"&lt;"&amp;$J11,cal_habil,"sí")))</f>
        <v/>
      </c>
      <c r="AC11" s="3">
        <f>IF($AB11="","",IF($AB11&lt;0,"FUTURO",IF($AB11&gt;p_dias_backlog_max,"BACKLOG","MES CORRIENTE")))</f>
        <v/>
      </c>
      <c r="AD11" s="3">
        <f>IF($AB11="",FALSE,AND($AB11&gt;p_dias_backlog_min,$AB11&lt;=p_dias_backlog_max))</f>
        <v/>
      </c>
      <c r="AE11" s="6" t="inlineStr">
        <is>
          <t>Técnico 04</t>
        </is>
      </c>
      <c r="AF11" s="3">
        <f>IF($AE11="","",IF((IFERROR(INDEX('ASIGNACIONES'!$F$4:$F$339,MATCH($O11&amp;"|"&amp;$R11&amp;"|"&amp;$AE11,'ASIGNACIONES'!$J$4:$J$339,0)),""))=0,"",IFERROR(INDEX('ASIGNACIONES'!$F$4:$F$339,MATCH($O11&amp;"|"&amp;$R11&amp;"|"&amp;$AE11,'ASIGNACIONES'!$J$4:$J$339,0)),"")))</f>
        <v/>
      </c>
      <c r="AG11" s="13">
        <f>IF($AE11="","",SUMIFS('ORDENES'!$M$4:$M$1203,'ORDENES'!$AE$4:$AE$1203,$AE11,'ORDENES'!$O$4:$O$1203,$O11,'ORDENES'!$R$4:$R$1203,$R11))</f>
        <v/>
      </c>
      <c r="AH11" s="13">
        <f>IF($AG11="","",p_factor_productividad*IFERROR(INDEX('ASIGNACIONES'!$I$4:$I$339,MATCH($O11&amp;"|"&amp;$R11&amp;"|"&amp;$AE11,'ASIGNACIONES'!$J$4:$J$339,0)),0)-$AG11)</f>
        <v/>
      </c>
      <c r="AI11" s="10">
        <f>IF($A11="","",IFERROR(INDEX('2_IMPORTAR_EJECUCION'!$F$9:$F$1208,MATCH($AQ11,'2_IMPORTAR_EJECUCION'!$J$9:$J$1208,0)),0))</f>
        <v/>
      </c>
      <c r="AJ11" s="10">
        <f>IF($A11="","",MAX(0,IFERROR(INDEX('2_IMPORTAR_EJECUCION'!$H$9:$H$1208,MATCH($AQ11,'2_IMPORTAR_EJECUCION'!$J$9:$J$1208,0)),0)-$AI11))</f>
        <v/>
      </c>
      <c r="AK11" s="10">
        <f>IF($A11="","",$AI11+$AJ11)</f>
        <v/>
      </c>
      <c r="AL11" s="6" t="inlineStr"/>
      <c r="AM11" s="6" t="inlineStr"/>
      <c r="AN11" s="6" t="inlineStr">
        <is>
          <t>ACT-04.pdf</t>
        </is>
      </c>
      <c r="AO11" s="3">
        <f>IF($AN11="","",HYPERLINK(p_ruta_base_checklists&amp;$AN11,"abrir"))</f>
        <v/>
      </c>
      <c r="AP11" s="6" t="inlineStr"/>
      <c r="AQ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IF($A12="","",IFERROR(INDEX('AJUSTES'!$B$4:$B$303,MATCH($AQ12,'AJUSTES'!$A$4:$A$303,0)),IF($K12="","",$K12)))</f>
        <v/>
      </c>
      <c r="N12" s="3">
        <f>IF($A12="","",IFERROR(INDEX('CAT_ESTADOS_ERP'!$B$4:$B$7,MATCH(IFERROR(INDEX('2_IMPORTAR_EJECUCION'!$C$9:$C$1208,MATCH($AQ12,'2_IMPORTAR_EJECUCION'!$J$9:$J$1208,0)),""),'CAT_ESTADOS_ERP'!$A$4:$A$7,0)),"Pendiente"))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J12="","",IFERROR(INDEX('CALENDARIO'!$C$15:$C$214,MATCH(TEXT($J12,"yyyy-mm-dd")&amp;"|"&amp;$V12&amp;"|"&amp;$W12,'CALENDARIO'!$G$15:$G$214,0)),IFERROR(INDEX('CALENDARIO'!$C$15:$C$214,MATCH(TEXT($J12,"yyyy-mm-dd")&amp;"|"&amp;$V12&amp;"|",'CALENDARIO'!$G$15:$G$214,0)),IFERROR(INDEX('CALENDARIO'!$C$15:$C$214,MATCH(TEXT($J12,"yyyy-mm-dd")&amp;"||",'CALENDARIO'!$G$15:$G$214,0)),INDEX(patronHabil,WEEKDAY($J12,2))))))</f>
        <v/>
      </c>
      <c r="T12" s="3">
        <f>IF($I12="","",IFERROR(INDEX('CAT_TIPOS_OT'!$C$4:$C$7,MATCH($I12,'CAT_TIPOS_OT'!$A$4:$A$7,0)),"sin_clasificar"))</f>
        <v/>
      </c>
      <c r="U12" s="3">
        <f>IF($F12="","",IFERROR(INDEX('CAT_CENTROS_COSTO'!$F$4:$F$13,MATCH($F12,'CAT_CENTROS_COSTO'!$A$4:$A$13,0)),"(sin catálogo)"))</f>
        <v/>
      </c>
      <c r="V12" s="3">
        <f>IF($F12="","",IFERROR(INDEX('CAT_CENTROS_COSTO'!$D$4:$D$13,MATCH($F12,'CAT_CENTROS_COSTO'!$A$4:$A$13,0)),"(sin catálogo)"))</f>
        <v/>
      </c>
      <c r="W12" s="3">
        <f>IF($F12="","",IF((IFERROR(INDEX('CAT_CENTROS_COSTO'!$E$4:$E$13,MATCH($F12,'CAT_CENTROS_COSTO'!$A$4:$A$13,0)),""))&lt;&gt;"",IFERROR(INDEX('CAT_CENTROS_COSTO'!$E$4:$E$13,MATCH($F12,'CAT_CENTROS_COSTO'!$A$4:$A$13,0)),""),$V12))</f>
        <v/>
      </c>
      <c r="X12" s="3">
        <f>IF($F12="","",IFERROR(INDEX('CAT_CENTROS_COSTO'!$G$4:$G$13,MATCH($F12,'CAT_CENTROS_COSTO'!$A$4:$A$13,0)),"(sin catálogo)"))</f>
        <v/>
      </c>
      <c r="Y12" s="3">
        <f>IF($G12="","",IFERROR(INDEX('CAT_PUESTOS'!$B$4:$B$8,MATCH($G12,'CAT_PUESTOS'!$A$4:$A$8,0)),"(sin catálogo)"))</f>
        <v/>
      </c>
      <c r="Z12" s="3">
        <f>IF($H12="","",IFERROR(INDEX('CAT_ACTIVIDADES'!$B$4:$B$8,MATCH($H12,'CAT_ACTIVIDADES'!$A$4:$A$8,0)),"(sin catálogo)"))</f>
        <v/>
      </c>
      <c r="AA12" s="12">
        <f>IF($J12="","",TODAY()-$J12)</f>
        <v/>
      </c>
      <c r="AB12" s="12">
        <f>IF($J12="","",IF($J12&lt;=TODAY(),COUNTIFS(cal_fechas,"&gt;="&amp;$J12,cal_fechas,"&lt;"&amp;TODAY(),cal_habil,"sí"),-COUNTIFS(cal_fechas,"&gt;="&amp;TODAY(),cal_fechas,"&lt;"&amp;$J12,cal_habil,"sí")))</f>
        <v/>
      </c>
      <c r="AC12" s="3">
        <f>IF($AB12="","",IF($AB12&lt;0,"FUTURO",IF($AB12&gt;p_dias_backlog_max,"BACKLOG","MES CORRIENTE")))</f>
        <v/>
      </c>
      <c r="AD12" s="3">
        <f>IF($AB12="",FALSE,AND($AB12&gt;p_dias_backlog_min,$AB12&lt;=p_dias_backlog_max))</f>
        <v/>
      </c>
      <c r="AE12" s="6" t="inlineStr">
        <is>
          <t>Técnico 01</t>
        </is>
      </c>
      <c r="AF12" s="3">
        <f>IF($AE12="","",IF((IFERROR(INDEX('ASIGNACIONES'!$F$4:$F$339,MATCH($O12&amp;"|"&amp;$R12&amp;"|"&amp;$AE12,'ASIGNACIONES'!$J$4:$J$339,0)),""))=0,"",IFERROR(INDEX('ASIGNACIONES'!$F$4:$F$339,MATCH($O12&amp;"|"&amp;$R12&amp;"|"&amp;$AE12,'ASIGNACIONES'!$J$4:$J$339,0)),"")))</f>
        <v/>
      </c>
      <c r="AG12" s="13">
        <f>IF($AE12="","",SUMIFS('ORDENES'!$M$4:$M$1203,'ORDENES'!$AE$4:$AE$1203,$AE12,'ORDENES'!$O$4:$O$1203,$O12,'ORDENES'!$R$4:$R$1203,$R12))</f>
        <v/>
      </c>
      <c r="AH12" s="13">
        <f>IF($AG12="","",p_factor_productividad*IFERROR(INDEX('ASIGNACIONES'!$I$4:$I$339,MATCH($O12&amp;"|"&amp;$R12&amp;"|"&amp;$AE12,'ASIGNACIONES'!$J$4:$J$339,0)),0)-$AG12)</f>
        <v/>
      </c>
      <c r="AI12" s="10">
        <f>IF($A12="","",IFERROR(INDEX('2_IMPORTAR_EJECUCION'!$F$9:$F$1208,MATCH($AQ12,'2_IMPORTAR_EJECUCION'!$J$9:$J$1208,0)),0))</f>
        <v/>
      </c>
      <c r="AJ12" s="10">
        <f>IF($A12="","",MAX(0,IFERROR(INDEX('2_IMPORTAR_EJECUCION'!$H$9:$H$1208,MATCH($AQ12,'2_IMPORTAR_EJECUCION'!$J$9:$J$1208,0)),0)-$AI12))</f>
        <v/>
      </c>
      <c r="AK12" s="10">
        <f>IF($A12="","",$AI12+$AJ12)</f>
        <v/>
      </c>
      <c r="AL12" s="6" t="inlineStr"/>
      <c r="AM12" s="6" t="inlineStr"/>
      <c r="AN12" s="6" t="inlineStr">
        <is>
          <t>ACT-01.pdf</t>
        </is>
      </c>
      <c r="AO12" s="3">
        <f>IF($AN12="","",HYPERLINK(p_ruta_base_checklists&amp;$AN12,"abrir"))</f>
        <v/>
      </c>
      <c r="AP12" s="6" t="inlineStr"/>
      <c r="AQ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IF($A13="","",IFERROR(INDEX('AJUSTES'!$B$4:$B$303,MATCH($AQ13,'AJUSTES'!$A$4:$A$303,0)),IF($K13="","",$K13)))</f>
        <v/>
      </c>
      <c r="N13" s="3">
        <f>IF($A13="","",IFERROR(INDEX('CAT_ESTADOS_ERP'!$B$4:$B$7,MATCH(IFERROR(INDEX('2_IMPORTAR_EJECUCION'!$C$9:$C$1208,MATCH($AQ13,'2_IMPORTAR_EJECUCION'!$J$9:$J$1208,0)),""),'CAT_ESTADOS_ERP'!$A$4:$A$7,0)),"Pendiente"))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J13="","",IFERROR(INDEX('CALENDARIO'!$C$15:$C$214,MATCH(TEXT($J13,"yyyy-mm-dd")&amp;"|"&amp;$V13&amp;"|"&amp;$W13,'CALENDARIO'!$G$15:$G$214,0)),IFERROR(INDEX('CALENDARIO'!$C$15:$C$214,MATCH(TEXT($J13,"yyyy-mm-dd")&amp;"|"&amp;$V13&amp;"|",'CALENDARIO'!$G$15:$G$214,0)),IFERROR(INDEX('CALENDARIO'!$C$15:$C$214,MATCH(TEXT($J13,"yyyy-mm-dd")&amp;"||",'CALENDARIO'!$G$15:$G$214,0)),INDEX(patronHabil,WEEKDAY($J13,2))))))</f>
        <v/>
      </c>
      <c r="T13" s="3">
        <f>IF($I13="","",IFERROR(INDEX('CAT_TIPOS_OT'!$C$4:$C$7,MATCH($I13,'CAT_TIPOS_OT'!$A$4:$A$7,0)),"sin_clasificar"))</f>
        <v/>
      </c>
      <c r="U13" s="3">
        <f>IF($F13="","",IFERROR(INDEX('CAT_CENTROS_COSTO'!$F$4:$F$13,MATCH($F13,'CAT_CENTROS_COSTO'!$A$4:$A$13,0)),"(sin catálogo)"))</f>
        <v/>
      </c>
      <c r="V13" s="3">
        <f>IF($F13="","",IFERROR(INDEX('CAT_CENTROS_COSTO'!$D$4:$D$13,MATCH($F13,'CAT_CENTROS_COSTO'!$A$4:$A$13,0)),"(sin catálogo)"))</f>
        <v/>
      </c>
      <c r="W13" s="3">
        <f>IF($F13="","",IF((IFERROR(INDEX('CAT_CENTROS_COSTO'!$E$4:$E$13,MATCH($F13,'CAT_CENTROS_COSTO'!$A$4:$A$13,0)),""))&lt;&gt;"",IFERROR(INDEX('CAT_CENTROS_COSTO'!$E$4:$E$13,MATCH($F13,'CAT_CENTROS_COSTO'!$A$4:$A$13,0)),""),$V13))</f>
        <v/>
      </c>
      <c r="X13" s="3">
        <f>IF($F13="","",IFERROR(INDEX('CAT_CENTROS_COSTO'!$G$4:$G$13,MATCH($F13,'CAT_CENTROS_COSTO'!$A$4:$A$13,0)),"(sin catálogo)"))</f>
        <v/>
      </c>
      <c r="Y13" s="3">
        <f>IF($G13="","",IFERROR(INDEX('CAT_PUESTOS'!$B$4:$B$8,MATCH($G13,'CAT_PUESTOS'!$A$4:$A$8,0)),"(sin catálogo)"))</f>
        <v/>
      </c>
      <c r="Z13" s="3">
        <f>IF($H13="","",IFERROR(INDEX('CAT_ACTIVIDADES'!$B$4:$B$8,MATCH($H13,'CAT_ACTIVIDADES'!$A$4:$A$8,0)),"(sin catálogo)"))</f>
        <v/>
      </c>
      <c r="AA13" s="12">
        <f>IF($J13="","",TODAY()-$J13)</f>
        <v/>
      </c>
      <c r="AB13" s="12">
        <f>IF($J13="","",IF($J13&lt;=TODAY(),COUNTIFS(cal_fechas,"&gt;="&amp;$J13,cal_fechas,"&lt;"&amp;TODAY(),cal_habil,"sí"),-COUNTIFS(cal_fechas,"&gt;="&amp;TODAY(),cal_fechas,"&lt;"&amp;$J13,cal_habil,"sí")))</f>
        <v/>
      </c>
      <c r="AC13" s="3">
        <f>IF($AB13="","",IF($AB13&lt;0,"FUTURO",IF($AB13&gt;p_dias_backlog_max,"BACKLOG","MES CORRIENTE")))</f>
        <v/>
      </c>
      <c r="AD13" s="3">
        <f>IF($AB13="",FALSE,AND($AB13&gt;p_dias_backlog_min,$AB13&lt;=p_dias_backlog_max))</f>
        <v/>
      </c>
      <c r="AE13" s="6" t="inlineStr">
        <is>
          <t>Técnico 02</t>
        </is>
      </c>
      <c r="AF13" s="3">
        <f>IF($AE13="","",IF((IFERROR(INDEX('ASIGNACIONES'!$F$4:$F$339,MATCH($O13&amp;"|"&amp;$R13&amp;"|"&amp;$AE13,'ASIGNACIONES'!$J$4:$J$339,0)),""))=0,"",IFERROR(INDEX('ASIGNACIONES'!$F$4:$F$339,MATCH($O13&amp;"|"&amp;$R13&amp;"|"&amp;$AE13,'ASIGNACIONES'!$J$4:$J$339,0)),"")))</f>
        <v/>
      </c>
      <c r="AG13" s="13">
        <f>IF($AE13="","",SUMIFS('ORDENES'!$M$4:$M$1203,'ORDENES'!$AE$4:$AE$1203,$AE13,'ORDENES'!$O$4:$O$1203,$O13,'ORDENES'!$R$4:$R$1203,$R13))</f>
        <v/>
      </c>
      <c r="AH13" s="13">
        <f>IF($AG13="","",p_factor_productividad*IFERROR(INDEX('ASIGNACIONES'!$I$4:$I$339,MATCH($O13&amp;"|"&amp;$R13&amp;"|"&amp;$AE13,'ASIGNACIONES'!$J$4:$J$339,0)),0)-$AG13)</f>
        <v/>
      </c>
      <c r="AI13" s="10">
        <f>IF($A13="","",IFERROR(INDEX('2_IMPORTAR_EJECUCION'!$F$9:$F$1208,MATCH($AQ13,'2_IMPORTAR_EJECUCION'!$J$9:$J$1208,0)),0))</f>
        <v/>
      </c>
      <c r="AJ13" s="10">
        <f>IF($A13="","",MAX(0,IFERROR(INDEX('2_IMPORTAR_EJECUCION'!$H$9:$H$1208,MATCH($AQ13,'2_IMPORTAR_EJECUCION'!$J$9:$J$1208,0)),0)-$AI13))</f>
        <v/>
      </c>
      <c r="AK13" s="10">
        <f>IF($A13="","",$AI13+$AJ13)</f>
        <v/>
      </c>
      <c r="AL13" s="6" t="inlineStr"/>
      <c r="AM13" s="6" t="inlineStr"/>
      <c r="AN13" s="6" t="inlineStr">
        <is>
          <t>ACT-02.pdf</t>
        </is>
      </c>
      <c r="AO13" s="3">
        <f>IF($AN13="","",HYPERLINK(p_ruta_base_checklists&amp;$AN13,"abrir"))</f>
        <v/>
      </c>
      <c r="AP13" s="6" t="inlineStr"/>
      <c r="AQ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IF($A14="","",IFERROR(INDEX('AJUSTES'!$B$4:$B$303,MATCH($AQ14,'AJUSTES'!$A$4:$A$303,0)),IF($K14="","",$K14)))</f>
        <v/>
      </c>
      <c r="N14" s="3">
        <f>IF($A14="","",IFERROR(INDEX('CAT_ESTADOS_ERP'!$B$4:$B$7,MATCH(IFERROR(INDEX('2_IMPORTAR_EJECUCION'!$C$9:$C$1208,MATCH($AQ14,'2_IMPORTAR_EJECUCION'!$J$9:$J$1208,0)),""),'CAT_ESTADOS_ERP'!$A$4:$A$7,0)),"Pendiente"))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J14="","",IFERROR(INDEX('CALENDARIO'!$C$15:$C$214,MATCH(TEXT($J14,"yyyy-mm-dd")&amp;"|"&amp;$V14&amp;"|"&amp;$W14,'CALENDARIO'!$G$15:$G$214,0)),IFERROR(INDEX('CALENDARIO'!$C$15:$C$214,MATCH(TEXT($J14,"yyyy-mm-dd")&amp;"|"&amp;$V14&amp;"|",'CALENDARIO'!$G$15:$G$214,0)),IFERROR(INDEX('CALENDARIO'!$C$15:$C$214,MATCH(TEXT($J14,"yyyy-mm-dd")&amp;"||",'CALENDARIO'!$G$15:$G$214,0)),INDEX(patronHabil,WEEKDAY($J14,2))))))</f>
        <v/>
      </c>
      <c r="T14" s="3">
        <f>IF($I14="","",IFERROR(INDEX('CAT_TIPOS_OT'!$C$4:$C$7,MATCH($I14,'CAT_TIPOS_OT'!$A$4:$A$7,0)),"sin_clasificar"))</f>
        <v/>
      </c>
      <c r="U14" s="3">
        <f>IF($F14="","",IFERROR(INDEX('CAT_CENTROS_COSTO'!$F$4:$F$13,MATCH($F14,'CAT_CENTROS_COSTO'!$A$4:$A$13,0)),"(sin catálogo)"))</f>
        <v/>
      </c>
      <c r="V14" s="3">
        <f>IF($F14="","",IFERROR(INDEX('CAT_CENTROS_COSTO'!$D$4:$D$13,MATCH($F14,'CAT_CENTROS_COSTO'!$A$4:$A$13,0)),"(sin catálogo)"))</f>
        <v/>
      </c>
      <c r="W14" s="3">
        <f>IF($F14="","",IF((IFERROR(INDEX('CAT_CENTROS_COSTO'!$E$4:$E$13,MATCH($F14,'CAT_CENTROS_COSTO'!$A$4:$A$13,0)),""))&lt;&gt;"",IFERROR(INDEX('CAT_CENTROS_COSTO'!$E$4:$E$13,MATCH($F14,'CAT_CENTROS_COSTO'!$A$4:$A$13,0)),""),$V14))</f>
        <v/>
      </c>
      <c r="X14" s="3">
        <f>IF($F14="","",IFERROR(INDEX('CAT_CENTROS_COSTO'!$G$4:$G$13,MATCH($F14,'CAT_CENTROS_COSTO'!$A$4:$A$13,0)),"(sin catálogo)"))</f>
        <v/>
      </c>
      <c r="Y14" s="3">
        <f>IF($G14="","",IFERROR(INDEX('CAT_PUESTOS'!$B$4:$B$8,MATCH($G14,'CAT_PUESTOS'!$A$4:$A$8,0)),"(sin catálogo)"))</f>
        <v/>
      </c>
      <c r="Z14" s="3">
        <f>IF($H14="","",IFERROR(INDEX('CAT_ACTIVIDADES'!$B$4:$B$8,MATCH($H14,'CAT_ACTIVIDADES'!$A$4:$A$8,0)),"(sin catálogo)"))</f>
        <v/>
      </c>
      <c r="AA14" s="12">
        <f>IF($J14="","",TODAY()-$J14)</f>
        <v/>
      </c>
      <c r="AB14" s="12">
        <f>IF($J14="","",IF($J14&lt;=TODAY(),COUNTIFS(cal_fechas,"&gt;="&amp;$J14,cal_fechas,"&lt;"&amp;TODAY(),cal_habil,"sí"),-COUNTIFS(cal_fechas,"&gt;="&amp;TODAY(),cal_fechas,"&lt;"&amp;$J14,cal_habil,"sí")))</f>
        <v/>
      </c>
      <c r="AC14" s="3">
        <f>IF($AB14="","",IF($AB14&lt;0,"FUTURO",IF($AB14&gt;p_dias_backlog_max,"BACKLOG","MES CORRIENTE")))</f>
        <v/>
      </c>
      <c r="AD14" s="3">
        <f>IF($AB14="",FALSE,AND($AB14&gt;p_dias_backlog_min,$AB14&lt;=p_dias_backlog_max))</f>
        <v/>
      </c>
      <c r="AE14" s="6" t="inlineStr">
        <is>
          <t>Técnico 03</t>
        </is>
      </c>
      <c r="AF14" s="3">
        <f>IF($AE14="","",IF((IFERROR(INDEX('ASIGNACIONES'!$F$4:$F$339,MATCH($O14&amp;"|"&amp;$R14&amp;"|"&amp;$AE14,'ASIGNACIONES'!$J$4:$J$339,0)),""))=0,"",IFERROR(INDEX('ASIGNACIONES'!$F$4:$F$339,MATCH($O14&amp;"|"&amp;$R14&amp;"|"&amp;$AE14,'ASIGNACIONES'!$J$4:$J$339,0)),"")))</f>
        <v/>
      </c>
      <c r="AG14" s="13">
        <f>IF($AE14="","",SUMIFS('ORDENES'!$M$4:$M$1203,'ORDENES'!$AE$4:$AE$1203,$AE14,'ORDENES'!$O$4:$O$1203,$O14,'ORDENES'!$R$4:$R$1203,$R14))</f>
        <v/>
      </c>
      <c r="AH14" s="13">
        <f>IF($AG14="","",p_factor_productividad*IFERROR(INDEX('ASIGNACIONES'!$I$4:$I$339,MATCH($O14&amp;"|"&amp;$R14&amp;"|"&amp;$AE14,'ASIGNACIONES'!$J$4:$J$339,0)),0)-$AG14)</f>
        <v/>
      </c>
      <c r="AI14" s="10">
        <f>IF($A14="","",IFERROR(INDEX('2_IMPORTAR_EJECUCION'!$F$9:$F$1208,MATCH($AQ14,'2_IMPORTAR_EJECUCION'!$J$9:$J$1208,0)),0))</f>
        <v/>
      </c>
      <c r="AJ14" s="10">
        <f>IF($A14="","",MAX(0,IFERROR(INDEX('2_IMPORTAR_EJECUCION'!$H$9:$H$1208,MATCH($AQ14,'2_IMPORTAR_EJECUCION'!$J$9:$J$1208,0)),0)-$AI14))</f>
        <v/>
      </c>
      <c r="AK14" s="10">
        <f>IF($A14="","",$AI14+$AJ14)</f>
        <v/>
      </c>
      <c r="AL14" s="6" t="inlineStr"/>
      <c r="AM14" s="6" t="inlineStr"/>
      <c r="AN14" s="6" t="inlineStr"/>
      <c r="AO14" s="3">
        <f>IF($AN14="","",HYPERLINK(p_ruta_base_checklists&amp;$AN14,"abrir"))</f>
        <v/>
      </c>
      <c r="AP14" s="6" t="inlineStr"/>
      <c r="AQ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IF($A15="","",IFERROR(INDEX('AJUSTES'!$B$4:$B$303,MATCH($AQ15,'AJUSTES'!$A$4:$A$303,0)),IF($K15="","",$K15)))</f>
        <v/>
      </c>
      <c r="N15" s="3">
        <f>IF($A15="","",IFERROR(INDEX('CAT_ESTADOS_ERP'!$B$4:$B$7,MATCH(IFERROR(INDEX('2_IMPORTAR_EJECUCION'!$C$9:$C$1208,MATCH($AQ15,'2_IMPORTAR_EJECUCION'!$J$9:$J$1208,0)),""),'CAT_ESTADOS_ERP'!$A$4:$A$7,0)),"Pendiente"))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J15="","",IFERROR(INDEX('CALENDARIO'!$C$15:$C$214,MATCH(TEXT($J15,"yyyy-mm-dd")&amp;"|"&amp;$V15&amp;"|"&amp;$W15,'CALENDARIO'!$G$15:$G$214,0)),IFERROR(INDEX('CALENDARIO'!$C$15:$C$214,MATCH(TEXT($J15,"yyyy-mm-dd")&amp;"|"&amp;$V15&amp;"|",'CALENDARIO'!$G$15:$G$214,0)),IFERROR(INDEX('CALENDARIO'!$C$15:$C$214,MATCH(TEXT($J15,"yyyy-mm-dd")&amp;"||",'CALENDARIO'!$G$15:$G$214,0)),INDEX(patronHabil,WEEKDAY($J15,2))))))</f>
        <v/>
      </c>
      <c r="T15" s="3">
        <f>IF($I15="","",IFERROR(INDEX('CAT_TIPOS_OT'!$C$4:$C$7,MATCH($I15,'CAT_TIPOS_OT'!$A$4:$A$7,0)),"sin_clasificar"))</f>
        <v/>
      </c>
      <c r="U15" s="3">
        <f>IF($F15="","",IFERROR(INDEX('CAT_CENTROS_COSTO'!$F$4:$F$13,MATCH($F15,'CAT_CENTROS_COSTO'!$A$4:$A$13,0)),"(sin catálogo)"))</f>
        <v/>
      </c>
      <c r="V15" s="3">
        <f>IF($F15="","",IFERROR(INDEX('CAT_CENTROS_COSTO'!$D$4:$D$13,MATCH($F15,'CAT_CENTROS_COSTO'!$A$4:$A$13,0)),"(sin catálogo)"))</f>
        <v/>
      </c>
      <c r="W15" s="3">
        <f>IF($F15="","",IF((IFERROR(INDEX('CAT_CENTROS_COSTO'!$E$4:$E$13,MATCH($F15,'CAT_CENTROS_COSTO'!$A$4:$A$13,0)),""))&lt;&gt;"",IFERROR(INDEX('CAT_CENTROS_COSTO'!$E$4:$E$13,MATCH($F15,'CAT_CENTROS_COSTO'!$A$4:$A$13,0)),""),$V15))</f>
        <v/>
      </c>
      <c r="X15" s="3">
        <f>IF($F15="","",IFERROR(INDEX('CAT_CENTROS_COSTO'!$G$4:$G$13,MATCH($F15,'CAT_CENTROS_COSTO'!$A$4:$A$13,0)),"(sin catálogo)"))</f>
        <v/>
      </c>
      <c r="Y15" s="3">
        <f>IF($G15="","",IFERROR(INDEX('CAT_PUESTOS'!$B$4:$B$8,MATCH($G15,'CAT_PUESTOS'!$A$4:$A$8,0)),"(sin catálogo)"))</f>
        <v/>
      </c>
      <c r="Z15" s="3">
        <f>IF($H15="","",IFERROR(INDEX('CAT_ACTIVIDADES'!$B$4:$B$8,MATCH($H15,'CAT_ACTIVIDADES'!$A$4:$A$8,0)),"(sin catálogo)"))</f>
        <v/>
      </c>
      <c r="AA15" s="12">
        <f>IF($J15="","",TODAY()-$J15)</f>
        <v/>
      </c>
      <c r="AB15" s="12">
        <f>IF($J15="","",IF($J15&lt;=TODAY(),COUNTIFS(cal_fechas,"&gt;="&amp;$J15,cal_fechas,"&lt;"&amp;TODAY(),cal_habil,"sí"),-COUNTIFS(cal_fechas,"&gt;="&amp;TODAY(),cal_fechas,"&lt;"&amp;$J15,cal_habil,"sí")))</f>
        <v/>
      </c>
      <c r="AC15" s="3">
        <f>IF($AB15="","",IF($AB15&lt;0,"FUTURO",IF($AB15&gt;p_dias_backlog_max,"BACKLOG","MES CORRIENTE")))</f>
        <v/>
      </c>
      <c r="AD15" s="3">
        <f>IF($AB15="",FALSE,AND($AB15&gt;p_dias_backlog_min,$AB15&lt;=p_dias_backlog_max))</f>
        <v/>
      </c>
      <c r="AE15" s="6" t="inlineStr"/>
      <c r="AF15" s="3">
        <f>IF($AE15="","",IF((IFERROR(INDEX('ASIGNACIONES'!$F$4:$F$339,MATCH($O15&amp;"|"&amp;$R15&amp;"|"&amp;$AE15,'ASIGNACIONES'!$J$4:$J$339,0)),""))=0,"",IFERROR(INDEX('ASIGNACIONES'!$F$4:$F$339,MATCH($O15&amp;"|"&amp;$R15&amp;"|"&amp;$AE15,'ASIGNACIONES'!$J$4:$J$339,0)),"")))</f>
        <v/>
      </c>
      <c r="AG15" s="13">
        <f>IF($AE15="","",SUMIFS('ORDENES'!$M$4:$M$1203,'ORDENES'!$AE$4:$AE$1203,$AE15,'ORDENES'!$O$4:$O$1203,$O15,'ORDENES'!$R$4:$R$1203,$R15))</f>
        <v/>
      </c>
      <c r="AH15" s="13">
        <f>IF($AG15="","",p_factor_productividad*IFERROR(INDEX('ASIGNACIONES'!$I$4:$I$339,MATCH($O15&amp;"|"&amp;$R15&amp;"|"&amp;$AE15,'ASIGNACIONES'!$J$4:$J$339,0)),0)-$AG15)</f>
        <v/>
      </c>
      <c r="AI15" s="10">
        <f>IF($A15="","",IFERROR(INDEX('2_IMPORTAR_EJECUCION'!$F$9:$F$1208,MATCH($AQ15,'2_IMPORTAR_EJECUCION'!$J$9:$J$1208,0)),0))</f>
        <v/>
      </c>
      <c r="AJ15" s="10">
        <f>IF($A15="","",MAX(0,IFERROR(INDEX('2_IMPORTAR_EJECUCION'!$H$9:$H$1208,MATCH($AQ15,'2_IMPORTAR_EJECUCION'!$J$9:$J$1208,0)),0)-$AI15))</f>
        <v/>
      </c>
      <c r="AK15" s="10">
        <f>IF($A15="","",$AI15+$AJ15)</f>
        <v/>
      </c>
      <c r="AL15" s="6" t="inlineStr">
        <is>
          <t>PT-CALIENTE</t>
        </is>
      </c>
      <c r="AM15" s="6" t="inlineStr">
        <is>
          <t>LOTO</t>
        </is>
      </c>
      <c r="AN15" s="6" t="inlineStr"/>
      <c r="AO15" s="3">
        <f>IF($AN15="","",HYPERLINK(p_ruta_base_checklists&amp;$AN15,"abrir"))</f>
        <v/>
      </c>
      <c r="AP15" s="6" t="inlineStr"/>
      <c r="AQ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IF($A16="","",IFERROR(INDEX('AJUSTES'!$B$4:$B$303,MATCH($AQ16,'AJUSTES'!$A$4:$A$303,0)),IF($K16="","",$K16)))</f>
        <v/>
      </c>
      <c r="N16" s="3">
        <f>IF($A16="","",IFERROR(INDEX('CAT_ESTADOS_ERP'!$B$4:$B$7,MATCH(IFERROR(INDEX('2_IMPORTAR_EJECUCION'!$C$9:$C$1208,MATCH($AQ16,'2_IMPORTAR_EJECUCION'!$J$9:$J$1208,0)),""),'CAT_ESTADOS_ERP'!$A$4:$A$7,0)),"Pendiente"))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J16="","",IFERROR(INDEX('CALENDARIO'!$C$15:$C$214,MATCH(TEXT($J16,"yyyy-mm-dd")&amp;"|"&amp;$V16&amp;"|"&amp;$W16,'CALENDARIO'!$G$15:$G$214,0)),IFERROR(INDEX('CALENDARIO'!$C$15:$C$214,MATCH(TEXT($J16,"yyyy-mm-dd")&amp;"|"&amp;$V16&amp;"|",'CALENDARIO'!$G$15:$G$214,0)),IFERROR(INDEX('CALENDARIO'!$C$15:$C$214,MATCH(TEXT($J16,"yyyy-mm-dd")&amp;"||",'CALENDARIO'!$G$15:$G$214,0)),INDEX(patronHabil,WEEKDAY($J16,2))))))</f>
        <v/>
      </c>
      <c r="T16" s="3">
        <f>IF($I16="","",IFERROR(INDEX('CAT_TIPOS_OT'!$C$4:$C$7,MATCH($I16,'CAT_TIPOS_OT'!$A$4:$A$7,0)),"sin_clasificar"))</f>
        <v/>
      </c>
      <c r="U16" s="3">
        <f>IF($F16="","",IFERROR(INDEX('CAT_CENTROS_COSTO'!$F$4:$F$13,MATCH($F16,'CAT_CENTROS_COSTO'!$A$4:$A$13,0)),"(sin catálogo)"))</f>
        <v/>
      </c>
      <c r="V16" s="3">
        <f>IF($F16="","",IFERROR(INDEX('CAT_CENTROS_COSTO'!$D$4:$D$13,MATCH($F16,'CAT_CENTROS_COSTO'!$A$4:$A$13,0)),"(sin catálogo)"))</f>
        <v/>
      </c>
      <c r="W16" s="3">
        <f>IF($F16="","",IF((IFERROR(INDEX('CAT_CENTROS_COSTO'!$E$4:$E$13,MATCH($F16,'CAT_CENTROS_COSTO'!$A$4:$A$13,0)),""))&lt;&gt;"",IFERROR(INDEX('CAT_CENTROS_COSTO'!$E$4:$E$13,MATCH($F16,'CAT_CENTROS_COSTO'!$A$4:$A$13,0)),""),$V16))</f>
        <v/>
      </c>
      <c r="X16" s="3">
        <f>IF($F16="","",IFERROR(INDEX('CAT_CENTROS_COSTO'!$G$4:$G$13,MATCH($F16,'CAT_CENTROS_COSTO'!$A$4:$A$13,0)),"(sin catálogo)"))</f>
        <v/>
      </c>
      <c r="Y16" s="3">
        <f>IF($G16="","",IFERROR(INDEX('CAT_PUESTOS'!$B$4:$B$8,MATCH($G16,'CAT_PUESTOS'!$A$4:$A$8,0)),"(sin catálogo)"))</f>
        <v/>
      </c>
      <c r="Z16" s="3">
        <f>IF($H16="","",IFERROR(INDEX('CAT_ACTIVIDADES'!$B$4:$B$8,MATCH($H16,'CAT_ACTIVIDADES'!$A$4:$A$8,0)),"(sin catálogo)"))</f>
        <v/>
      </c>
      <c r="AA16" s="12">
        <f>IF($J16="","",TODAY()-$J16)</f>
        <v/>
      </c>
      <c r="AB16" s="12">
        <f>IF($J16="","",IF($J16&lt;=TODAY(),COUNTIFS(cal_fechas,"&gt;="&amp;$J16,cal_fechas,"&lt;"&amp;TODAY(),cal_habil,"sí"),-COUNTIFS(cal_fechas,"&gt;="&amp;TODAY(),cal_fechas,"&lt;"&amp;$J16,cal_habil,"sí")))</f>
        <v/>
      </c>
      <c r="AC16" s="3">
        <f>IF($AB16="","",IF($AB16&lt;0,"FUTURO",IF($AB16&gt;p_dias_backlog_max,"BACKLOG","MES CORRIENTE")))</f>
        <v/>
      </c>
      <c r="AD16" s="3">
        <f>IF($AB16="",FALSE,AND($AB16&gt;p_dias_backlog_min,$AB16&lt;=p_dias_backlog_max))</f>
        <v/>
      </c>
      <c r="AE16" s="6" t="inlineStr">
        <is>
          <t>Técnico 01</t>
        </is>
      </c>
      <c r="AF16" s="3">
        <f>IF($AE16="","",IF((IFERROR(INDEX('ASIGNACIONES'!$F$4:$F$339,MATCH($O16&amp;"|"&amp;$R16&amp;"|"&amp;$AE16,'ASIGNACIONES'!$J$4:$J$339,0)),""))=0,"",IFERROR(INDEX('ASIGNACIONES'!$F$4:$F$339,MATCH($O16&amp;"|"&amp;$R16&amp;"|"&amp;$AE16,'ASIGNACIONES'!$J$4:$J$339,0)),"")))</f>
        <v/>
      </c>
      <c r="AG16" s="13">
        <f>IF($AE16="","",SUMIFS('ORDENES'!$M$4:$M$1203,'ORDENES'!$AE$4:$AE$1203,$AE16,'ORDENES'!$O$4:$O$1203,$O16,'ORDENES'!$R$4:$R$1203,$R16))</f>
        <v/>
      </c>
      <c r="AH16" s="13">
        <f>IF($AG16="","",p_factor_productividad*IFERROR(INDEX('ASIGNACIONES'!$I$4:$I$339,MATCH($O16&amp;"|"&amp;$R16&amp;"|"&amp;$AE16,'ASIGNACIONES'!$J$4:$J$339,0)),0)-$AG16)</f>
        <v/>
      </c>
      <c r="AI16" s="10">
        <f>IF($A16="","",IFERROR(INDEX('2_IMPORTAR_EJECUCION'!$F$9:$F$1208,MATCH($AQ16,'2_IMPORTAR_EJECUCION'!$J$9:$J$1208,0)),0))</f>
        <v/>
      </c>
      <c r="AJ16" s="10">
        <f>IF($A16="","",MAX(0,IFERROR(INDEX('2_IMPORTAR_EJECUCION'!$H$9:$H$1208,MATCH($AQ16,'2_IMPORTAR_EJECUCION'!$J$9:$J$1208,0)),0)-$AI16))</f>
        <v/>
      </c>
      <c r="AK16" s="10">
        <f>IF($A16="","",$AI16+$AJ16)</f>
        <v/>
      </c>
      <c r="AL16" s="6" t="inlineStr"/>
      <c r="AM16" s="6" t="inlineStr"/>
      <c r="AN16" s="6" t="inlineStr">
        <is>
          <t>ACT-02.pdf</t>
        </is>
      </c>
      <c r="AO16" s="3">
        <f>IF($AN16="","",HYPERLINK(p_ruta_base_checklists&amp;$AN16,"abrir"))</f>
        <v/>
      </c>
      <c r="AP16" s="6" t="inlineStr"/>
      <c r="AQ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IF($A17="","",IFERROR(INDEX('AJUSTES'!$B$4:$B$303,MATCH($AQ17,'AJUSTES'!$A$4:$A$303,0)),IF($K17="","",$K17)))</f>
        <v/>
      </c>
      <c r="N17" s="3">
        <f>IF($A17="","",IFERROR(INDEX('CAT_ESTADOS_ERP'!$B$4:$B$7,MATCH(IFERROR(INDEX('2_IMPORTAR_EJECUCION'!$C$9:$C$1208,MATCH($AQ17,'2_IMPORTAR_EJECUCION'!$J$9:$J$1208,0)),""),'CAT_ESTADOS_ERP'!$A$4:$A$7,0)),"Pendiente"))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J17="","",IFERROR(INDEX('CALENDARIO'!$C$15:$C$214,MATCH(TEXT($J17,"yyyy-mm-dd")&amp;"|"&amp;$V17&amp;"|"&amp;$W17,'CALENDARIO'!$G$15:$G$214,0)),IFERROR(INDEX('CALENDARIO'!$C$15:$C$214,MATCH(TEXT($J17,"yyyy-mm-dd")&amp;"|"&amp;$V17&amp;"|",'CALENDARIO'!$G$15:$G$214,0)),IFERROR(INDEX('CALENDARIO'!$C$15:$C$214,MATCH(TEXT($J17,"yyyy-mm-dd")&amp;"||",'CALENDARIO'!$G$15:$G$214,0)),INDEX(patronHabil,WEEKDAY($J17,2))))))</f>
        <v/>
      </c>
      <c r="T17" s="3">
        <f>IF($I17="","",IFERROR(INDEX('CAT_TIPOS_OT'!$C$4:$C$7,MATCH($I17,'CAT_TIPOS_OT'!$A$4:$A$7,0)),"sin_clasificar"))</f>
        <v/>
      </c>
      <c r="U17" s="3">
        <f>IF($F17="","",IFERROR(INDEX('CAT_CENTROS_COSTO'!$F$4:$F$13,MATCH($F17,'CAT_CENTROS_COSTO'!$A$4:$A$13,0)),"(sin catálogo)"))</f>
        <v/>
      </c>
      <c r="V17" s="3">
        <f>IF($F17="","",IFERROR(INDEX('CAT_CENTROS_COSTO'!$D$4:$D$13,MATCH($F17,'CAT_CENTROS_COSTO'!$A$4:$A$13,0)),"(sin catálogo)"))</f>
        <v/>
      </c>
      <c r="W17" s="3">
        <f>IF($F17="","",IF((IFERROR(INDEX('CAT_CENTROS_COSTO'!$E$4:$E$13,MATCH($F17,'CAT_CENTROS_COSTO'!$A$4:$A$13,0)),""))&lt;&gt;"",IFERROR(INDEX('CAT_CENTROS_COSTO'!$E$4:$E$13,MATCH($F17,'CAT_CENTROS_COSTO'!$A$4:$A$13,0)),""),$V17))</f>
        <v/>
      </c>
      <c r="X17" s="3">
        <f>IF($F17="","",IFERROR(INDEX('CAT_CENTROS_COSTO'!$G$4:$G$13,MATCH($F17,'CAT_CENTROS_COSTO'!$A$4:$A$13,0)),"(sin catálogo)"))</f>
        <v/>
      </c>
      <c r="Y17" s="3">
        <f>IF($G17="","",IFERROR(INDEX('CAT_PUESTOS'!$B$4:$B$8,MATCH($G17,'CAT_PUESTOS'!$A$4:$A$8,0)),"(sin catálogo)"))</f>
        <v/>
      </c>
      <c r="Z17" s="3">
        <f>IF($H17="","",IFERROR(INDEX('CAT_ACTIVIDADES'!$B$4:$B$8,MATCH($H17,'CAT_ACTIVIDADES'!$A$4:$A$8,0)),"(sin catálogo)"))</f>
        <v/>
      </c>
      <c r="AA17" s="12">
        <f>IF($J17="","",TODAY()-$J17)</f>
        <v/>
      </c>
      <c r="AB17" s="12">
        <f>IF($J17="","",IF($J17&lt;=TODAY(),COUNTIFS(cal_fechas,"&gt;="&amp;$J17,cal_fechas,"&lt;"&amp;TODAY(),cal_habil,"sí"),-COUNTIFS(cal_fechas,"&gt;="&amp;TODAY(),cal_fechas,"&lt;"&amp;$J17,cal_habil,"sí")))</f>
        <v/>
      </c>
      <c r="AC17" s="3">
        <f>IF($AB17="","",IF($AB17&lt;0,"FUTURO",IF($AB17&gt;p_dias_backlog_max,"BACKLOG","MES CORRIENTE")))</f>
        <v/>
      </c>
      <c r="AD17" s="3">
        <f>IF($AB17="",FALSE,AND($AB17&gt;p_dias_backlog_min,$AB17&lt;=p_dias_backlog_max))</f>
        <v/>
      </c>
      <c r="AE17" s="6" t="inlineStr">
        <is>
          <t>Técnico 02</t>
        </is>
      </c>
      <c r="AF17" s="3">
        <f>IF($AE17="","",IF((IFERROR(INDEX('ASIGNACIONES'!$F$4:$F$339,MATCH($O17&amp;"|"&amp;$R17&amp;"|"&amp;$AE17,'ASIGNACIONES'!$J$4:$J$339,0)),""))=0,"",IFERROR(INDEX('ASIGNACIONES'!$F$4:$F$339,MATCH($O17&amp;"|"&amp;$R17&amp;"|"&amp;$AE17,'ASIGNACIONES'!$J$4:$J$339,0)),"")))</f>
        <v/>
      </c>
      <c r="AG17" s="13">
        <f>IF($AE17="","",SUMIFS('ORDENES'!$M$4:$M$1203,'ORDENES'!$AE$4:$AE$1203,$AE17,'ORDENES'!$O$4:$O$1203,$O17,'ORDENES'!$R$4:$R$1203,$R17))</f>
        <v/>
      </c>
      <c r="AH17" s="13">
        <f>IF($AG17="","",p_factor_productividad*IFERROR(INDEX('ASIGNACIONES'!$I$4:$I$339,MATCH($O17&amp;"|"&amp;$R17&amp;"|"&amp;$AE17,'ASIGNACIONES'!$J$4:$J$339,0)),0)-$AG17)</f>
        <v/>
      </c>
      <c r="AI17" s="10">
        <f>IF($A17="","",IFERROR(INDEX('2_IMPORTAR_EJECUCION'!$F$9:$F$1208,MATCH($AQ17,'2_IMPORTAR_EJECUCION'!$J$9:$J$1208,0)),0))</f>
        <v/>
      </c>
      <c r="AJ17" s="10">
        <f>IF($A17="","",MAX(0,IFERROR(INDEX('2_IMPORTAR_EJECUCION'!$H$9:$H$1208,MATCH($AQ17,'2_IMPORTAR_EJECUCION'!$J$9:$J$1208,0)),0)-$AI17))</f>
        <v/>
      </c>
      <c r="AK17" s="10">
        <f>IF($A17="","",$AI17+$AJ17)</f>
        <v/>
      </c>
      <c r="AL17" s="6" t="inlineStr"/>
      <c r="AM17" s="6" t="inlineStr"/>
      <c r="AN17" s="6" t="inlineStr">
        <is>
          <t>ACT-04.pdf</t>
        </is>
      </c>
      <c r="AO17" s="3">
        <f>IF($AN17="","",HYPERLINK(p_ruta_base_checklists&amp;$AN17,"abrir"))</f>
        <v/>
      </c>
      <c r="AP17" s="6" t="inlineStr"/>
      <c r="AQ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IF($A18="","",IFERROR(INDEX('AJUSTES'!$B$4:$B$303,MATCH($AQ18,'AJUSTES'!$A$4:$A$303,0)),IF($K18="","",$K18)))</f>
        <v/>
      </c>
      <c r="N18" s="3">
        <f>IF($A18="","",IFERROR(INDEX('CAT_ESTADOS_ERP'!$B$4:$B$7,MATCH(IFERROR(INDEX('2_IMPORTAR_EJECUCION'!$C$9:$C$1208,MATCH($AQ18,'2_IMPORTAR_EJECUCION'!$J$9:$J$1208,0)),""),'CAT_ESTADOS_ERP'!$A$4:$A$7,0)),"Pendiente"))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J18="","",IFERROR(INDEX('CALENDARIO'!$C$15:$C$214,MATCH(TEXT($J18,"yyyy-mm-dd")&amp;"|"&amp;$V18&amp;"|"&amp;$W18,'CALENDARIO'!$G$15:$G$214,0)),IFERROR(INDEX('CALENDARIO'!$C$15:$C$214,MATCH(TEXT($J18,"yyyy-mm-dd")&amp;"|"&amp;$V18&amp;"|",'CALENDARIO'!$G$15:$G$214,0)),IFERROR(INDEX('CALENDARIO'!$C$15:$C$214,MATCH(TEXT($J18,"yyyy-mm-dd")&amp;"||",'CALENDARIO'!$G$15:$G$214,0)),INDEX(patronHabil,WEEKDAY($J18,2))))))</f>
        <v/>
      </c>
      <c r="T18" s="3">
        <f>IF($I18="","",IFERROR(INDEX('CAT_TIPOS_OT'!$C$4:$C$7,MATCH($I18,'CAT_TIPOS_OT'!$A$4:$A$7,0)),"sin_clasificar"))</f>
        <v/>
      </c>
      <c r="U18" s="3">
        <f>IF($F18="","",IFERROR(INDEX('CAT_CENTROS_COSTO'!$F$4:$F$13,MATCH($F18,'CAT_CENTROS_COSTO'!$A$4:$A$13,0)),"(sin catálogo)"))</f>
        <v/>
      </c>
      <c r="V18" s="3">
        <f>IF($F18="","",IFERROR(INDEX('CAT_CENTROS_COSTO'!$D$4:$D$13,MATCH($F18,'CAT_CENTROS_COSTO'!$A$4:$A$13,0)),"(sin catálogo)"))</f>
        <v/>
      </c>
      <c r="W18" s="3">
        <f>IF($F18="","",IF((IFERROR(INDEX('CAT_CENTROS_COSTO'!$E$4:$E$13,MATCH($F18,'CAT_CENTROS_COSTO'!$A$4:$A$13,0)),""))&lt;&gt;"",IFERROR(INDEX('CAT_CENTROS_COSTO'!$E$4:$E$13,MATCH($F18,'CAT_CENTROS_COSTO'!$A$4:$A$13,0)),""),$V18))</f>
        <v/>
      </c>
      <c r="X18" s="3">
        <f>IF($F18="","",IFERROR(INDEX('CAT_CENTROS_COSTO'!$G$4:$G$13,MATCH($F18,'CAT_CENTROS_COSTO'!$A$4:$A$13,0)),"(sin catálogo)"))</f>
        <v/>
      </c>
      <c r="Y18" s="3">
        <f>IF($G18="","",IFERROR(INDEX('CAT_PUESTOS'!$B$4:$B$8,MATCH($G18,'CAT_PUESTOS'!$A$4:$A$8,0)),"(sin catálogo)"))</f>
        <v/>
      </c>
      <c r="Z18" s="3">
        <f>IF($H18="","",IFERROR(INDEX('CAT_ACTIVIDADES'!$B$4:$B$8,MATCH($H18,'CAT_ACTIVIDADES'!$A$4:$A$8,0)),"(sin catálogo)"))</f>
        <v/>
      </c>
      <c r="AA18" s="12">
        <f>IF($J18="","",TODAY()-$J18)</f>
        <v/>
      </c>
      <c r="AB18" s="12">
        <f>IF($J18="","",IF($J18&lt;=TODAY(),COUNTIFS(cal_fechas,"&gt;="&amp;$J18,cal_fechas,"&lt;"&amp;TODAY(),cal_habil,"sí"),-COUNTIFS(cal_fechas,"&gt;="&amp;TODAY(),cal_fechas,"&lt;"&amp;$J18,cal_habil,"sí")))</f>
        <v/>
      </c>
      <c r="AC18" s="3">
        <f>IF($AB18="","",IF($AB18&lt;0,"FUTURO",IF($AB18&gt;p_dias_backlog_max,"BACKLOG","MES CORRIENTE")))</f>
        <v/>
      </c>
      <c r="AD18" s="3">
        <f>IF($AB18="",FALSE,AND($AB18&gt;p_dias_backlog_min,$AB18&lt;=p_dias_backlog_max))</f>
        <v/>
      </c>
      <c r="AE18" s="6" t="inlineStr">
        <is>
          <t>Técnico 03</t>
        </is>
      </c>
      <c r="AF18" s="3">
        <f>IF($AE18="","",IF((IFERROR(INDEX('ASIGNACIONES'!$F$4:$F$339,MATCH($O18&amp;"|"&amp;$R18&amp;"|"&amp;$AE18,'ASIGNACIONES'!$J$4:$J$339,0)),""))=0,"",IFERROR(INDEX('ASIGNACIONES'!$F$4:$F$339,MATCH($O18&amp;"|"&amp;$R18&amp;"|"&amp;$AE18,'ASIGNACIONES'!$J$4:$J$339,0)),"")))</f>
        <v/>
      </c>
      <c r="AG18" s="13">
        <f>IF($AE18="","",SUMIFS('ORDENES'!$M$4:$M$1203,'ORDENES'!$AE$4:$AE$1203,$AE18,'ORDENES'!$O$4:$O$1203,$O18,'ORDENES'!$R$4:$R$1203,$R18))</f>
        <v/>
      </c>
      <c r="AH18" s="13">
        <f>IF($AG18="","",p_factor_productividad*IFERROR(INDEX('ASIGNACIONES'!$I$4:$I$339,MATCH($O18&amp;"|"&amp;$R18&amp;"|"&amp;$AE18,'ASIGNACIONES'!$J$4:$J$339,0)),0)-$AG18)</f>
        <v/>
      </c>
      <c r="AI18" s="10">
        <f>IF($A18="","",IFERROR(INDEX('2_IMPORTAR_EJECUCION'!$F$9:$F$1208,MATCH($AQ18,'2_IMPORTAR_EJECUCION'!$J$9:$J$1208,0)),0))</f>
        <v/>
      </c>
      <c r="AJ18" s="10">
        <f>IF($A18="","",MAX(0,IFERROR(INDEX('2_IMPORTAR_EJECUCION'!$H$9:$H$1208,MATCH($AQ18,'2_IMPORTAR_EJECUCION'!$J$9:$J$1208,0)),0)-$AI18))</f>
        <v/>
      </c>
      <c r="AK18" s="10">
        <f>IF($A18="","",$AI18+$AJ18)</f>
        <v/>
      </c>
      <c r="AL18" s="6" t="inlineStr"/>
      <c r="AM18" s="6" t="inlineStr"/>
      <c r="AN18" s="6" t="inlineStr">
        <is>
          <t>ACT-01.pdf</t>
        </is>
      </c>
      <c r="AO18" s="3">
        <f>IF($AN18="","",HYPERLINK(p_ruta_base_checklists&amp;$AN18,"abrir"))</f>
        <v/>
      </c>
      <c r="AP18" s="6" t="inlineStr"/>
      <c r="AQ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IF($A19="","",IFERROR(INDEX('AJUSTES'!$B$4:$B$303,MATCH($AQ19,'AJUSTES'!$A$4:$A$303,0)),IF($K19="","",$K19)))</f>
        <v/>
      </c>
      <c r="N19" s="3">
        <f>IF($A19="","",IFERROR(INDEX('CAT_ESTADOS_ERP'!$B$4:$B$7,MATCH(IFERROR(INDEX('2_IMPORTAR_EJECUCION'!$C$9:$C$1208,MATCH($AQ19,'2_IMPORTAR_EJECUCION'!$J$9:$J$1208,0)),""),'CAT_ESTADOS_ERP'!$A$4:$A$7,0)),"Pendiente"))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J19="","",IFERROR(INDEX('CALENDARIO'!$C$15:$C$214,MATCH(TEXT($J19,"yyyy-mm-dd")&amp;"|"&amp;$V19&amp;"|"&amp;$W19,'CALENDARIO'!$G$15:$G$214,0)),IFERROR(INDEX('CALENDARIO'!$C$15:$C$214,MATCH(TEXT($J19,"yyyy-mm-dd")&amp;"|"&amp;$V19&amp;"|",'CALENDARIO'!$G$15:$G$214,0)),IFERROR(INDEX('CALENDARIO'!$C$15:$C$214,MATCH(TEXT($J19,"yyyy-mm-dd")&amp;"||",'CALENDARIO'!$G$15:$G$214,0)),INDEX(patronHabil,WEEKDAY($J19,2))))))</f>
        <v/>
      </c>
      <c r="T19" s="3">
        <f>IF($I19="","",IFERROR(INDEX('CAT_TIPOS_OT'!$C$4:$C$7,MATCH($I19,'CAT_TIPOS_OT'!$A$4:$A$7,0)),"sin_clasificar"))</f>
        <v/>
      </c>
      <c r="U19" s="3">
        <f>IF($F19="","",IFERROR(INDEX('CAT_CENTROS_COSTO'!$F$4:$F$13,MATCH($F19,'CAT_CENTROS_COSTO'!$A$4:$A$13,0)),"(sin catálogo)"))</f>
        <v/>
      </c>
      <c r="V19" s="3">
        <f>IF($F19="","",IFERROR(INDEX('CAT_CENTROS_COSTO'!$D$4:$D$13,MATCH($F19,'CAT_CENTROS_COSTO'!$A$4:$A$13,0)),"(sin catálogo)"))</f>
        <v/>
      </c>
      <c r="W19" s="3">
        <f>IF($F19="","",IF((IFERROR(INDEX('CAT_CENTROS_COSTO'!$E$4:$E$13,MATCH($F19,'CAT_CENTROS_COSTO'!$A$4:$A$13,0)),""))&lt;&gt;"",IFERROR(INDEX('CAT_CENTROS_COSTO'!$E$4:$E$13,MATCH($F19,'CAT_CENTROS_COSTO'!$A$4:$A$13,0)),""),$V19))</f>
        <v/>
      </c>
      <c r="X19" s="3">
        <f>IF($F19="","",IFERROR(INDEX('CAT_CENTROS_COSTO'!$G$4:$G$13,MATCH($F19,'CAT_CENTROS_COSTO'!$A$4:$A$13,0)),"(sin catálogo)"))</f>
        <v/>
      </c>
      <c r="Y19" s="3">
        <f>IF($G19="","",IFERROR(INDEX('CAT_PUESTOS'!$B$4:$B$8,MATCH($G19,'CAT_PUESTOS'!$A$4:$A$8,0)),"(sin catálogo)"))</f>
        <v/>
      </c>
      <c r="Z19" s="3">
        <f>IF($H19="","",IFERROR(INDEX('CAT_ACTIVIDADES'!$B$4:$B$8,MATCH($H19,'CAT_ACTIVIDADES'!$A$4:$A$8,0)),"(sin catálogo)"))</f>
        <v/>
      </c>
      <c r="AA19" s="12">
        <f>IF($J19="","",TODAY()-$J19)</f>
        <v/>
      </c>
      <c r="AB19" s="12">
        <f>IF($J19="","",IF($J19&lt;=TODAY(),COUNTIFS(cal_fechas,"&gt;="&amp;$J19,cal_fechas,"&lt;"&amp;TODAY(),cal_habil,"sí"),-COUNTIFS(cal_fechas,"&gt;="&amp;TODAY(),cal_fechas,"&lt;"&amp;$J19,cal_habil,"sí")))</f>
        <v/>
      </c>
      <c r="AC19" s="3">
        <f>IF($AB19="","",IF($AB19&lt;0,"FUTURO",IF($AB19&gt;p_dias_backlog_max,"BACKLOG","MES CORRIENTE")))</f>
        <v/>
      </c>
      <c r="AD19" s="3">
        <f>IF($AB19="",FALSE,AND($AB19&gt;p_dias_backlog_min,$AB19&lt;=p_dias_backlog_max))</f>
        <v/>
      </c>
      <c r="AE19" s="6" t="inlineStr">
        <is>
          <t>Técnico 04</t>
        </is>
      </c>
      <c r="AF19" s="3">
        <f>IF($AE19="","",IF((IFERROR(INDEX('ASIGNACIONES'!$F$4:$F$339,MATCH($O19&amp;"|"&amp;$R19&amp;"|"&amp;$AE19,'ASIGNACIONES'!$J$4:$J$339,0)),""))=0,"",IFERROR(INDEX('ASIGNACIONES'!$F$4:$F$339,MATCH($O19&amp;"|"&amp;$R19&amp;"|"&amp;$AE19,'ASIGNACIONES'!$J$4:$J$339,0)),"")))</f>
        <v/>
      </c>
      <c r="AG19" s="13">
        <f>IF($AE19="","",SUMIFS('ORDENES'!$M$4:$M$1203,'ORDENES'!$AE$4:$AE$1203,$AE19,'ORDENES'!$O$4:$O$1203,$O19,'ORDENES'!$R$4:$R$1203,$R19))</f>
        <v/>
      </c>
      <c r="AH19" s="13">
        <f>IF($AG19="","",p_factor_productividad*IFERROR(INDEX('ASIGNACIONES'!$I$4:$I$339,MATCH($O19&amp;"|"&amp;$R19&amp;"|"&amp;$AE19,'ASIGNACIONES'!$J$4:$J$339,0)),0)-$AG19)</f>
        <v/>
      </c>
      <c r="AI19" s="10">
        <f>IF($A19="","",IFERROR(INDEX('2_IMPORTAR_EJECUCION'!$F$9:$F$1208,MATCH($AQ19,'2_IMPORTAR_EJECUCION'!$J$9:$J$1208,0)),0))</f>
        <v/>
      </c>
      <c r="AJ19" s="10">
        <f>IF($A19="","",MAX(0,IFERROR(INDEX('2_IMPORTAR_EJECUCION'!$H$9:$H$1208,MATCH($AQ19,'2_IMPORTAR_EJECUCION'!$J$9:$J$1208,0)),0)-$AI19))</f>
        <v/>
      </c>
      <c r="AK19" s="10">
        <f>IF($A19="","",$AI19+$AJ19)</f>
        <v/>
      </c>
      <c r="AL19" s="6" t="inlineStr"/>
      <c r="AM19" s="6" t="inlineStr"/>
      <c r="AN19" s="6" t="inlineStr">
        <is>
          <t>ACT-02.pdf</t>
        </is>
      </c>
      <c r="AO19" s="3">
        <f>IF($AN19="","",HYPERLINK(p_ruta_base_checklists&amp;$AN19,"abrir"))</f>
        <v/>
      </c>
      <c r="AP19" s="6" t="inlineStr"/>
      <c r="AQ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IF($A20="","",IFERROR(INDEX('AJUSTES'!$B$4:$B$303,MATCH($AQ20,'AJUSTES'!$A$4:$A$303,0)),IF($K20="","",$K20)))</f>
        <v/>
      </c>
      <c r="N20" s="3">
        <f>IF($A20="","",IFERROR(INDEX('CAT_ESTADOS_ERP'!$B$4:$B$7,MATCH(IFERROR(INDEX('2_IMPORTAR_EJECUCION'!$C$9:$C$1208,MATCH($AQ20,'2_IMPORTAR_EJECUCION'!$J$9:$J$1208,0)),""),'CAT_ESTADOS_ERP'!$A$4:$A$7,0)),"Pendiente"))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J20="","",IFERROR(INDEX('CALENDARIO'!$C$15:$C$214,MATCH(TEXT($J20,"yyyy-mm-dd")&amp;"|"&amp;$V20&amp;"|"&amp;$W20,'CALENDARIO'!$G$15:$G$214,0)),IFERROR(INDEX('CALENDARIO'!$C$15:$C$214,MATCH(TEXT($J20,"yyyy-mm-dd")&amp;"|"&amp;$V20&amp;"|",'CALENDARIO'!$G$15:$G$214,0)),IFERROR(INDEX('CALENDARIO'!$C$15:$C$214,MATCH(TEXT($J20,"yyyy-mm-dd")&amp;"||",'CALENDARIO'!$G$15:$G$214,0)),INDEX(patronHabil,WEEKDAY($J20,2))))))</f>
        <v/>
      </c>
      <c r="T20" s="3">
        <f>IF($I20="","",IFERROR(INDEX('CAT_TIPOS_OT'!$C$4:$C$7,MATCH($I20,'CAT_TIPOS_OT'!$A$4:$A$7,0)),"sin_clasificar"))</f>
        <v/>
      </c>
      <c r="U20" s="3">
        <f>IF($F20="","",IFERROR(INDEX('CAT_CENTROS_COSTO'!$F$4:$F$13,MATCH($F20,'CAT_CENTROS_COSTO'!$A$4:$A$13,0)),"(sin catálogo)"))</f>
        <v/>
      </c>
      <c r="V20" s="3">
        <f>IF($F20="","",IFERROR(INDEX('CAT_CENTROS_COSTO'!$D$4:$D$13,MATCH($F20,'CAT_CENTROS_COSTO'!$A$4:$A$13,0)),"(sin catálogo)"))</f>
        <v/>
      </c>
      <c r="W20" s="3">
        <f>IF($F20="","",IF((IFERROR(INDEX('CAT_CENTROS_COSTO'!$E$4:$E$13,MATCH($F20,'CAT_CENTROS_COSTO'!$A$4:$A$13,0)),""))&lt;&gt;"",IFERROR(INDEX('CAT_CENTROS_COSTO'!$E$4:$E$13,MATCH($F20,'CAT_CENTROS_COSTO'!$A$4:$A$13,0)),""),$V20))</f>
        <v/>
      </c>
      <c r="X20" s="3">
        <f>IF($F20="","",IFERROR(INDEX('CAT_CENTROS_COSTO'!$G$4:$G$13,MATCH($F20,'CAT_CENTROS_COSTO'!$A$4:$A$13,0)),"(sin catálogo)"))</f>
        <v/>
      </c>
      <c r="Y20" s="3">
        <f>IF($G20="","",IFERROR(INDEX('CAT_PUESTOS'!$B$4:$B$8,MATCH($G20,'CAT_PUESTOS'!$A$4:$A$8,0)),"(sin catálogo)"))</f>
        <v/>
      </c>
      <c r="Z20" s="3">
        <f>IF($H20="","",IFERROR(INDEX('CAT_ACTIVIDADES'!$B$4:$B$8,MATCH($H20,'CAT_ACTIVIDADES'!$A$4:$A$8,0)),"(sin catálogo)"))</f>
        <v/>
      </c>
      <c r="AA20" s="12">
        <f>IF($J20="","",TODAY()-$J20)</f>
        <v/>
      </c>
      <c r="AB20" s="12">
        <f>IF($J20="","",IF($J20&lt;=TODAY(),COUNTIFS(cal_fechas,"&gt;="&amp;$J20,cal_fechas,"&lt;"&amp;TODAY(),cal_habil,"sí"),-COUNTIFS(cal_fechas,"&gt;="&amp;TODAY(),cal_fechas,"&lt;"&amp;$J20,cal_habil,"sí")))</f>
        <v/>
      </c>
      <c r="AC20" s="3">
        <f>IF($AB20="","",IF($AB20&lt;0,"FUTURO",IF($AB20&gt;p_dias_backlog_max,"BACKLOG","MES CORRIENTE")))</f>
        <v/>
      </c>
      <c r="AD20" s="3">
        <f>IF($AB20="",FALSE,AND($AB20&gt;p_dias_backlog_min,$AB20&lt;=p_dias_backlog_max))</f>
        <v/>
      </c>
      <c r="AE20" s="6" t="inlineStr">
        <is>
          <t>Técnico 01</t>
        </is>
      </c>
      <c r="AF20" s="3">
        <f>IF($AE20="","",IF((IFERROR(INDEX('ASIGNACIONES'!$F$4:$F$339,MATCH($O20&amp;"|"&amp;$R20&amp;"|"&amp;$AE20,'ASIGNACIONES'!$J$4:$J$339,0)),""))=0,"",IFERROR(INDEX('ASIGNACIONES'!$F$4:$F$339,MATCH($O20&amp;"|"&amp;$R20&amp;"|"&amp;$AE20,'ASIGNACIONES'!$J$4:$J$339,0)),"")))</f>
        <v/>
      </c>
      <c r="AG20" s="13">
        <f>IF($AE20="","",SUMIFS('ORDENES'!$M$4:$M$1203,'ORDENES'!$AE$4:$AE$1203,$AE20,'ORDENES'!$O$4:$O$1203,$O20,'ORDENES'!$R$4:$R$1203,$R20))</f>
        <v/>
      </c>
      <c r="AH20" s="13">
        <f>IF($AG20="","",p_factor_productividad*IFERROR(INDEX('ASIGNACIONES'!$I$4:$I$339,MATCH($O20&amp;"|"&amp;$R20&amp;"|"&amp;$AE20,'ASIGNACIONES'!$J$4:$J$339,0)),0)-$AG20)</f>
        <v/>
      </c>
      <c r="AI20" s="10">
        <f>IF($A20="","",IFERROR(INDEX('2_IMPORTAR_EJECUCION'!$F$9:$F$1208,MATCH($AQ20,'2_IMPORTAR_EJECUCION'!$J$9:$J$1208,0)),0))</f>
        <v/>
      </c>
      <c r="AJ20" s="10">
        <f>IF($A20="","",MAX(0,IFERROR(INDEX('2_IMPORTAR_EJECUCION'!$H$9:$H$1208,MATCH($AQ20,'2_IMPORTAR_EJECUCION'!$J$9:$J$1208,0)),0)-$AI20))</f>
        <v/>
      </c>
      <c r="AK20" s="10">
        <f>IF($A20="","",$AI20+$AJ20)</f>
        <v/>
      </c>
      <c r="AL20" s="6" t="inlineStr"/>
      <c r="AM20" s="6" t="inlineStr"/>
      <c r="AN20" s="6" t="inlineStr">
        <is>
          <t>ACT-04.pdf</t>
        </is>
      </c>
      <c r="AO20" s="3">
        <f>IF($AN20="","",HYPERLINK(p_ruta_base_checklists&amp;$AN20,"abrir"))</f>
        <v/>
      </c>
      <c r="AP20" s="6" t="inlineStr">
        <is>
          <t>Ajuste 8 → 12 h en hoja AJUSTES</t>
        </is>
      </c>
      <c r="AQ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IF($A21="","",IFERROR(INDEX('AJUSTES'!$B$4:$B$303,MATCH($AQ21,'AJUSTES'!$A$4:$A$303,0)),IF($K21="","",$K21)))</f>
        <v/>
      </c>
      <c r="N21" s="3">
        <f>IF($A21="","",IFERROR(INDEX('CAT_ESTADOS_ERP'!$B$4:$B$7,MATCH(IFERROR(INDEX('2_IMPORTAR_EJECUCION'!$C$9:$C$1208,MATCH($AQ21,'2_IMPORTAR_EJECUCION'!$J$9:$J$1208,0)),""),'CAT_ESTADOS_ERP'!$A$4:$A$7,0)),"Pendiente"))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J21="","",IFERROR(INDEX('CALENDARIO'!$C$15:$C$214,MATCH(TEXT($J21,"yyyy-mm-dd")&amp;"|"&amp;$V21&amp;"|"&amp;$W21,'CALENDARIO'!$G$15:$G$214,0)),IFERROR(INDEX('CALENDARIO'!$C$15:$C$214,MATCH(TEXT($J21,"yyyy-mm-dd")&amp;"|"&amp;$V21&amp;"|",'CALENDARIO'!$G$15:$G$214,0)),IFERROR(INDEX('CALENDARIO'!$C$15:$C$214,MATCH(TEXT($J21,"yyyy-mm-dd")&amp;"||",'CALENDARIO'!$G$15:$G$214,0)),INDEX(patronHabil,WEEKDAY($J21,2))))))</f>
        <v/>
      </c>
      <c r="T21" s="3">
        <f>IF($I21="","",IFERROR(INDEX('CAT_TIPOS_OT'!$C$4:$C$7,MATCH($I21,'CAT_TIPOS_OT'!$A$4:$A$7,0)),"sin_clasificar"))</f>
        <v/>
      </c>
      <c r="U21" s="3">
        <f>IF($F21="","",IFERROR(INDEX('CAT_CENTROS_COSTO'!$F$4:$F$13,MATCH($F21,'CAT_CENTROS_COSTO'!$A$4:$A$13,0)),"(sin catálogo)"))</f>
        <v/>
      </c>
      <c r="V21" s="3">
        <f>IF($F21="","",IFERROR(INDEX('CAT_CENTROS_COSTO'!$D$4:$D$13,MATCH($F21,'CAT_CENTROS_COSTO'!$A$4:$A$13,0)),"(sin catálogo)"))</f>
        <v/>
      </c>
      <c r="W21" s="3">
        <f>IF($F21="","",IF((IFERROR(INDEX('CAT_CENTROS_COSTO'!$E$4:$E$13,MATCH($F21,'CAT_CENTROS_COSTO'!$A$4:$A$13,0)),""))&lt;&gt;"",IFERROR(INDEX('CAT_CENTROS_COSTO'!$E$4:$E$13,MATCH($F21,'CAT_CENTROS_COSTO'!$A$4:$A$13,0)),""),$V21))</f>
        <v/>
      </c>
      <c r="X21" s="3">
        <f>IF($F21="","",IFERROR(INDEX('CAT_CENTROS_COSTO'!$G$4:$G$13,MATCH($F21,'CAT_CENTROS_COSTO'!$A$4:$A$13,0)),"(sin catálogo)"))</f>
        <v/>
      </c>
      <c r="Y21" s="3">
        <f>IF($G21="","",IFERROR(INDEX('CAT_PUESTOS'!$B$4:$B$8,MATCH($G21,'CAT_PUESTOS'!$A$4:$A$8,0)),"(sin catálogo)"))</f>
        <v/>
      </c>
      <c r="Z21" s="3">
        <f>IF($H21="","",IFERROR(INDEX('CAT_ACTIVIDADES'!$B$4:$B$8,MATCH($H21,'CAT_ACTIVIDADES'!$A$4:$A$8,0)),"(sin catálogo)"))</f>
        <v/>
      </c>
      <c r="AA21" s="12">
        <f>IF($J21="","",TODAY()-$J21)</f>
        <v/>
      </c>
      <c r="AB21" s="12">
        <f>IF($J21="","",IF($J21&lt;=TODAY(),COUNTIFS(cal_fechas,"&gt;="&amp;$J21,cal_fechas,"&lt;"&amp;TODAY(),cal_habil,"sí"),-COUNTIFS(cal_fechas,"&gt;="&amp;TODAY(),cal_fechas,"&lt;"&amp;$J21,cal_habil,"sí")))</f>
        <v/>
      </c>
      <c r="AC21" s="3">
        <f>IF($AB21="","",IF($AB21&lt;0,"FUTURO",IF($AB21&gt;p_dias_backlog_max,"BACKLOG","MES CORRIENTE")))</f>
        <v/>
      </c>
      <c r="AD21" s="3">
        <f>IF($AB21="",FALSE,AND($AB21&gt;p_dias_backlog_min,$AB21&lt;=p_dias_backlog_max))</f>
        <v/>
      </c>
      <c r="AE21" s="6" t="inlineStr">
        <is>
          <t>Técnico 02</t>
        </is>
      </c>
      <c r="AF21" s="3">
        <f>IF($AE21="","",IF((IFERROR(INDEX('ASIGNACIONES'!$F$4:$F$339,MATCH($O21&amp;"|"&amp;$R21&amp;"|"&amp;$AE21,'ASIGNACIONES'!$J$4:$J$339,0)),""))=0,"",IFERROR(INDEX('ASIGNACIONES'!$F$4:$F$339,MATCH($O21&amp;"|"&amp;$R21&amp;"|"&amp;$AE21,'ASIGNACIONES'!$J$4:$J$339,0)),"")))</f>
        <v/>
      </c>
      <c r="AG21" s="13">
        <f>IF($AE21="","",SUMIFS('ORDENES'!$M$4:$M$1203,'ORDENES'!$AE$4:$AE$1203,$AE21,'ORDENES'!$O$4:$O$1203,$O21,'ORDENES'!$R$4:$R$1203,$R21))</f>
        <v/>
      </c>
      <c r="AH21" s="13">
        <f>IF($AG21="","",p_factor_productividad*IFERROR(INDEX('ASIGNACIONES'!$I$4:$I$339,MATCH($O21&amp;"|"&amp;$R21&amp;"|"&amp;$AE21,'ASIGNACIONES'!$J$4:$J$339,0)),0)-$AG21)</f>
        <v/>
      </c>
      <c r="AI21" s="10">
        <f>IF($A21="","",IFERROR(INDEX('2_IMPORTAR_EJECUCION'!$F$9:$F$1208,MATCH($AQ21,'2_IMPORTAR_EJECUCION'!$J$9:$J$1208,0)),0))</f>
        <v/>
      </c>
      <c r="AJ21" s="10">
        <f>IF($A21="","",MAX(0,IFERROR(INDEX('2_IMPORTAR_EJECUCION'!$H$9:$H$1208,MATCH($AQ21,'2_IMPORTAR_EJECUCION'!$J$9:$J$1208,0)),0)-$AI21))</f>
        <v/>
      </c>
      <c r="AK21" s="10">
        <f>IF($A21="","",$AI21+$AJ21)</f>
        <v/>
      </c>
      <c r="AL21" s="6" t="inlineStr"/>
      <c r="AM21" s="6" t="inlineStr"/>
      <c r="AN21" s="6" t="inlineStr">
        <is>
          <t>ACT-01.pdf</t>
        </is>
      </c>
      <c r="AO21" s="3">
        <f>IF($AN21="","",HYPERLINK(p_ruta_base_checklists&amp;$AN21,"abrir"))</f>
        <v/>
      </c>
      <c r="AP21" s="6" t="inlineStr"/>
      <c r="AQ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IF($A22="","",IFERROR(INDEX('AJUSTES'!$B$4:$B$303,MATCH($AQ22,'AJUSTES'!$A$4:$A$303,0)),IF($K22="","",$K22)))</f>
        <v/>
      </c>
      <c r="N22" s="3">
        <f>IF($A22="","",IFERROR(INDEX('CAT_ESTADOS_ERP'!$B$4:$B$7,MATCH(IFERROR(INDEX('2_IMPORTAR_EJECUCION'!$C$9:$C$1208,MATCH($AQ22,'2_IMPORTAR_EJECUCION'!$J$9:$J$1208,0)),""),'CAT_ESTADOS_ERP'!$A$4:$A$7,0)),"Pendiente"))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J22="","",IFERROR(INDEX('CALENDARIO'!$C$15:$C$214,MATCH(TEXT($J22,"yyyy-mm-dd")&amp;"|"&amp;$V22&amp;"|"&amp;$W22,'CALENDARIO'!$G$15:$G$214,0)),IFERROR(INDEX('CALENDARIO'!$C$15:$C$214,MATCH(TEXT($J22,"yyyy-mm-dd")&amp;"|"&amp;$V22&amp;"|",'CALENDARIO'!$G$15:$G$214,0)),IFERROR(INDEX('CALENDARIO'!$C$15:$C$214,MATCH(TEXT($J22,"yyyy-mm-dd")&amp;"||",'CALENDARIO'!$G$15:$G$214,0)),INDEX(patronHabil,WEEKDAY($J22,2))))))</f>
        <v/>
      </c>
      <c r="T22" s="3">
        <f>IF($I22="","",IFERROR(INDEX('CAT_TIPOS_OT'!$C$4:$C$7,MATCH($I22,'CAT_TIPOS_OT'!$A$4:$A$7,0)),"sin_clasificar"))</f>
        <v/>
      </c>
      <c r="U22" s="3">
        <f>IF($F22="","",IFERROR(INDEX('CAT_CENTROS_COSTO'!$F$4:$F$13,MATCH($F22,'CAT_CENTROS_COSTO'!$A$4:$A$13,0)),"(sin catálogo)"))</f>
        <v/>
      </c>
      <c r="V22" s="3">
        <f>IF($F22="","",IFERROR(INDEX('CAT_CENTROS_COSTO'!$D$4:$D$13,MATCH($F22,'CAT_CENTROS_COSTO'!$A$4:$A$13,0)),"(sin catálogo)"))</f>
        <v/>
      </c>
      <c r="W22" s="3">
        <f>IF($F22="","",IF((IFERROR(INDEX('CAT_CENTROS_COSTO'!$E$4:$E$13,MATCH($F22,'CAT_CENTROS_COSTO'!$A$4:$A$13,0)),""))&lt;&gt;"",IFERROR(INDEX('CAT_CENTROS_COSTO'!$E$4:$E$13,MATCH($F22,'CAT_CENTROS_COSTO'!$A$4:$A$13,0)),""),$V22))</f>
        <v/>
      </c>
      <c r="X22" s="3">
        <f>IF($F22="","",IFERROR(INDEX('CAT_CENTROS_COSTO'!$G$4:$G$13,MATCH($F22,'CAT_CENTROS_COSTO'!$A$4:$A$13,0)),"(sin catálogo)"))</f>
        <v/>
      </c>
      <c r="Y22" s="3">
        <f>IF($G22="","",IFERROR(INDEX('CAT_PUESTOS'!$B$4:$B$8,MATCH($G22,'CAT_PUESTOS'!$A$4:$A$8,0)),"(sin catálogo)"))</f>
        <v/>
      </c>
      <c r="Z22" s="3">
        <f>IF($H22="","",IFERROR(INDEX('CAT_ACTIVIDADES'!$B$4:$B$8,MATCH($H22,'CAT_ACTIVIDADES'!$A$4:$A$8,0)),"(sin catálogo)"))</f>
        <v/>
      </c>
      <c r="AA22" s="12">
        <f>IF($J22="","",TODAY()-$J22)</f>
        <v/>
      </c>
      <c r="AB22" s="12">
        <f>IF($J22="","",IF($J22&lt;=TODAY(),COUNTIFS(cal_fechas,"&gt;="&amp;$J22,cal_fechas,"&lt;"&amp;TODAY(),cal_habil,"sí"),-COUNTIFS(cal_fechas,"&gt;="&amp;TODAY(),cal_fechas,"&lt;"&amp;$J22,cal_habil,"sí")))</f>
        <v/>
      </c>
      <c r="AC22" s="3">
        <f>IF($AB22="","",IF($AB22&lt;0,"FUTURO",IF($AB22&gt;p_dias_backlog_max,"BACKLOG","MES CORRIENTE")))</f>
        <v/>
      </c>
      <c r="AD22" s="3">
        <f>IF($AB22="",FALSE,AND($AB22&gt;p_dias_backlog_min,$AB22&lt;=p_dias_backlog_max))</f>
        <v/>
      </c>
      <c r="AE22" s="6" t="inlineStr">
        <is>
          <t>Técnico 03</t>
        </is>
      </c>
      <c r="AF22" s="3">
        <f>IF($AE22="","",IF((IFERROR(INDEX('ASIGNACIONES'!$F$4:$F$339,MATCH($O22&amp;"|"&amp;$R22&amp;"|"&amp;$AE22,'ASIGNACIONES'!$J$4:$J$339,0)),""))=0,"",IFERROR(INDEX('ASIGNACIONES'!$F$4:$F$339,MATCH($O22&amp;"|"&amp;$R22&amp;"|"&amp;$AE22,'ASIGNACIONES'!$J$4:$J$339,0)),"")))</f>
        <v/>
      </c>
      <c r="AG22" s="13">
        <f>IF($AE22="","",SUMIFS('ORDENES'!$M$4:$M$1203,'ORDENES'!$AE$4:$AE$1203,$AE22,'ORDENES'!$O$4:$O$1203,$O22,'ORDENES'!$R$4:$R$1203,$R22))</f>
        <v/>
      </c>
      <c r="AH22" s="13">
        <f>IF($AG22="","",p_factor_productividad*IFERROR(INDEX('ASIGNACIONES'!$I$4:$I$339,MATCH($O22&amp;"|"&amp;$R22&amp;"|"&amp;$AE22,'ASIGNACIONES'!$J$4:$J$339,0)),0)-$AG22)</f>
        <v/>
      </c>
      <c r="AI22" s="10">
        <f>IF($A22="","",IFERROR(INDEX('2_IMPORTAR_EJECUCION'!$F$9:$F$1208,MATCH($AQ22,'2_IMPORTAR_EJECUCION'!$J$9:$J$1208,0)),0))</f>
        <v/>
      </c>
      <c r="AJ22" s="10">
        <f>IF($A22="","",MAX(0,IFERROR(INDEX('2_IMPORTAR_EJECUCION'!$H$9:$H$1208,MATCH($AQ22,'2_IMPORTAR_EJECUCION'!$J$9:$J$1208,0)),0)-$AI22))</f>
        <v/>
      </c>
      <c r="AK22" s="10">
        <f>IF($A22="","",$AI22+$AJ22)</f>
        <v/>
      </c>
      <c r="AL22" s="6" t="inlineStr"/>
      <c r="AM22" s="6" t="inlineStr"/>
      <c r="AN22" s="6" t="inlineStr">
        <is>
          <t>ACT-02.pdf</t>
        </is>
      </c>
      <c r="AO22" s="3">
        <f>IF($AN22="","",HYPERLINK(p_ruta_base_checklists&amp;$AN22,"abrir"))</f>
        <v/>
      </c>
      <c r="AP22" s="6" t="inlineStr"/>
      <c r="AQ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IF($A23="","",IFERROR(INDEX('AJUSTES'!$B$4:$B$303,MATCH($AQ23,'AJUSTES'!$A$4:$A$303,0)),IF($K23="","",$K23)))</f>
        <v/>
      </c>
      <c r="N23" s="3">
        <f>IF($A23="","",IFERROR(INDEX('CAT_ESTADOS_ERP'!$B$4:$B$7,MATCH(IFERROR(INDEX('2_IMPORTAR_EJECUCION'!$C$9:$C$1208,MATCH($AQ23,'2_IMPORTAR_EJECUCION'!$J$9:$J$1208,0)),""),'CAT_ESTADOS_ERP'!$A$4:$A$7,0)),"Pendiente"))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J23="","",IFERROR(INDEX('CALENDARIO'!$C$15:$C$214,MATCH(TEXT($J23,"yyyy-mm-dd")&amp;"|"&amp;$V23&amp;"|"&amp;$W23,'CALENDARIO'!$G$15:$G$214,0)),IFERROR(INDEX('CALENDARIO'!$C$15:$C$214,MATCH(TEXT($J23,"yyyy-mm-dd")&amp;"|"&amp;$V23&amp;"|",'CALENDARIO'!$G$15:$G$214,0)),IFERROR(INDEX('CALENDARIO'!$C$15:$C$214,MATCH(TEXT($J23,"yyyy-mm-dd")&amp;"||",'CALENDARIO'!$G$15:$G$214,0)),INDEX(patronHabil,WEEKDAY($J23,2))))))</f>
        <v/>
      </c>
      <c r="T23" s="3">
        <f>IF($I23="","",IFERROR(INDEX('CAT_TIPOS_OT'!$C$4:$C$7,MATCH($I23,'CAT_TIPOS_OT'!$A$4:$A$7,0)),"sin_clasificar"))</f>
        <v/>
      </c>
      <c r="U23" s="3">
        <f>IF($F23="","",IFERROR(INDEX('CAT_CENTROS_COSTO'!$F$4:$F$13,MATCH($F23,'CAT_CENTROS_COSTO'!$A$4:$A$13,0)),"(sin catálogo)"))</f>
        <v/>
      </c>
      <c r="V23" s="3">
        <f>IF($F23="","",IFERROR(INDEX('CAT_CENTROS_COSTO'!$D$4:$D$13,MATCH($F23,'CAT_CENTROS_COSTO'!$A$4:$A$13,0)),"(sin catálogo)"))</f>
        <v/>
      </c>
      <c r="W23" s="3">
        <f>IF($F23="","",IF((IFERROR(INDEX('CAT_CENTROS_COSTO'!$E$4:$E$13,MATCH($F23,'CAT_CENTROS_COSTO'!$A$4:$A$13,0)),""))&lt;&gt;"",IFERROR(INDEX('CAT_CENTROS_COSTO'!$E$4:$E$13,MATCH($F23,'CAT_CENTROS_COSTO'!$A$4:$A$13,0)),""),$V23))</f>
        <v/>
      </c>
      <c r="X23" s="3">
        <f>IF($F23="","",IFERROR(INDEX('CAT_CENTROS_COSTO'!$G$4:$G$13,MATCH($F23,'CAT_CENTROS_COSTO'!$A$4:$A$13,0)),"(sin catálogo)"))</f>
        <v/>
      </c>
      <c r="Y23" s="3">
        <f>IF($G23="","",IFERROR(INDEX('CAT_PUESTOS'!$B$4:$B$8,MATCH($G23,'CAT_PUESTOS'!$A$4:$A$8,0)),"(sin catálogo)"))</f>
        <v/>
      </c>
      <c r="Z23" s="3">
        <f>IF($H23="","",IFERROR(INDEX('CAT_ACTIVIDADES'!$B$4:$B$8,MATCH($H23,'CAT_ACTIVIDADES'!$A$4:$A$8,0)),"(sin catálogo)"))</f>
        <v/>
      </c>
      <c r="AA23" s="12">
        <f>IF($J23="","",TODAY()-$J23)</f>
        <v/>
      </c>
      <c r="AB23" s="12">
        <f>IF($J23="","",IF($J23&lt;=TODAY(),COUNTIFS(cal_fechas,"&gt;="&amp;$J23,cal_fechas,"&lt;"&amp;TODAY(),cal_habil,"sí"),-COUNTIFS(cal_fechas,"&gt;="&amp;TODAY(),cal_fechas,"&lt;"&amp;$J23,cal_habil,"sí")))</f>
        <v/>
      </c>
      <c r="AC23" s="3">
        <f>IF($AB23="","",IF($AB23&lt;0,"FUTURO",IF($AB23&gt;p_dias_backlog_max,"BACKLOG","MES CORRIENTE")))</f>
        <v/>
      </c>
      <c r="AD23" s="3">
        <f>IF($AB23="",FALSE,AND($AB23&gt;p_dias_backlog_min,$AB23&lt;=p_dias_backlog_max))</f>
        <v/>
      </c>
      <c r="AE23" s="6" t="inlineStr">
        <is>
          <t>Técnico 04</t>
        </is>
      </c>
      <c r="AF23" s="3">
        <f>IF($AE23="","",IF((IFERROR(INDEX('ASIGNACIONES'!$F$4:$F$339,MATCH($O23&amp;"|"&amp;$R23&amp;"|"&amp;$AE23,'ASIGNACIONES'!$J$4:$J$339,0)),""))=0,"",IFERROR(INDEX('ASIGNACIONES'!$F$4:$F$339,MATCH($O23&amp;"|"&amp;$R23&amp;"|"&amp;$AE23,'ASIGNACIONES'!$J$4:$J$339,0)),"")))</f>
        <v/>
      </c>
      <c r="AG23" s="13">
        <f>IF($AE23="","",SUMIFS('ORDENES'!$M$4:$M$1203,'ORDENES'!$AE$4:$AE$1203,$AE23,'ORDENES'!$O$4:$O$1203,$O23,'ORDENES'!$R$4:$R$1203,$R23))</f>
        <v/>
      </c>
      <c r="AH23" s="13">
        <f>IF($AG23="","",p_factor_productividad*IFERROR(INDEX('ASIGNACIONES'!$I$4:$I$339,MATCH($O23&amp;"|"&amp;$R23&amp;"|"&amp;$AE23,'ASIGNACIONES'!$J$4:$J$339,0)),0)-$AG23)</f>
        <v/>
      </c>
      <c r="AI23" s="10">
        <f>IF($A23="","",IFERROR(INDEX('2_IMPORTAR_EJECUCION'!$F$9:$F$1208,MATCH($AQ23,'2_IMPORTAR_EJECUCION'!$J$9:$J$1208,0)),0))</f>
        <v/>
      </c>
      <c r="AJ23" s="10">
        <f>IF($A23="","",MAX(0,IFERROR(INDEX('2_IMPORTAR_EJECUCION'!$H$9:$H$1208,MATCH($AQ23,'2_IMPORTAR_EJECUCION'!$J$9:$J$1208,0)),0)-$AI23))</f>
        <v/>
      </c>
      <c r="AK23" s="10">
        <f>IF($A23="","",$AI23+$AJ23)</f>
        <v/>
      </c>
      <c r="AL23" s="6" t="inlineStr"/>
      <c r="AM23" s="6" t="inlineStr"/>
      <c r="AN23" s="6" t="inlineStr">
        <is>
          <t>ACT-04.pdf</t>
        </is>
      </c>
      <c r="AO23" s="3">
        <f>IF($AN23="","",HYPERLINK(p_ruta_base_checklists&amp;$AN23,"abrir"))</f>
        <v/>
      </c>
      <c r="AP23" s="6" t="inlineStr"/>
      <c r="AQ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IF($A24="","",IFERROR(INDEX('AJUSTES'!$B$4:$B$303,MATCH($AQ24,'AJUSTES'!$A$4:$A$303,0)),IF($K24="","",$K24)))</f>
        <v/>
      </c>
      <c r="N24" s="3">
        <f>IF($A24="","",IFERROR(INDEX('CAT_ESTADOS_ERP'!$B$4:$B$7,MATCH(IFERROR(INDEX('2_IMPORTAR_EJECUCION'!$C$9:$C$1208,MATCH($AQ24,'2_IMPORTAR_EJECUCION'!$J$9:$J$1208,0)),""),'CAT_ESTADOS_ERP'!$A$4:$A$7,0)),"Pendiente"))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J24="","",IFERROR(INDEX('CALENDARIO'!$C$15:$C$214,MATCH(TEXT($J24,"yyyy-mm-dd")&amp;"|"&amp;$V24&amp;"|"&amp;$W24,'CALENDARIO'!$G$15:$G$214,0)),IFERROR(INDEX('CALENDARIO'!$C$15:$C$214,MATCH(TEXT($J24,"yyyy-mm-dd")&amp;"|"&amp;$V24&amp;"|",'CALENDARIO'!$G$15:$G$214,0)),IFERROR(INDEX('CALENDARIO'!$C$15:$C$214,MATCH(TEXT($J24,"yyyy-mm-dd")&amp;"||",'CALENDARIO'!$G$15:$G$214,0)),INDEX(patronHabil,WEEKDAY($J24,2))))))</f>
        <v/>
      </c>
      <c r="T24" s="3">
        <f>IF($I24="","",IFERROR(INDEX('CAT_TIPOS_OT'!$C$4:$C$7,MATCH($I24,'CAT_TIPOS_OT'!$A$4:$A$7,0)),"sin_clasificar"))</f>
        <v/>
      </c>
      <c r="U24" s="3">
        <f>IF($F24="","",IFERROR(INDEX('CAT_CENTROS_COSTO'!$F$4:$F$13,MATCH($F24,'CAT_CENTROS_COSTO'!$A$4:$A$13,0)),"(sin catálogo)"))</f>
        <v/>
      </c>
      <c r="V24" s="3">
        <f>IF($F24="","",IFERROR(INDEX('CAT_CENTROS_COSTO'!$D$4:$D$13,MATCH($F24,'CAT_CENTROS_COSTO'!$A$4:$A$13,0)),"(sin catálogo)"))</f>
        <v/>
      </c>
      <c r="W24" s="3">
        <f>IF($F24="","",IF((IFERROR(INDEX('CAT_CENTROS_COSTO'!$E$4:$E$13,MATCH($F24,'CAT_CENTROS_COSTO'!$A$4:$A$13,0)),""))&lt;&gt;"",IFERROR(INDEX('CAT_CENTROS_COSTO'!$E$4:$E$13,MATCH($F24,'CAT_CENTROS_COSTO'!$A$4:$A$13,0)),""),$V24))</f>
        <v/>
      </c>
      <c r="X24" s="3">
        <f>IF($F24="","",IFERROR(INDEX('CAT_CENTROS_COSTO'!$G$4:$G$13,MATCH($F24,'CAT_CENTROS_COSTO'!$A$4:$A$13,0)),"(sin catálogo)"))</f>
        <v/>
      </c>
      <c r="Y24" s="3">
        <f>IF($G24="","",IFERROR(INDEX('CAT_PUESTOS'!$B$4:$B$8,MATCH($G24,'CAT_PUESTOS'!$A$4:$A$8,0)),"(sin catálogo)"))</f>
        <v/>
      </c>
      <c r="Z24" s="3">
        <f>IF($H24="","",IFERROR(INDEX('CAT_ACTIVIDADES'!$B$4:$B$8,MATCH($H24,'CAT_ACTIVIDADES'!$A$4:$A$8,0)),"(sin catálogo)"))</f>
        <v/>
      </c>
      <c r="AA24" s="12">
        <f>IF($J24="","",TODAY()-$J24)</f>
        <v/>
      </c>
      <c r="AB24" s="12">
        <f>IF($J24="","",IF($J24&lt;=TODAY(),COUNTIFS(cal_fechas,"&gt;="&amp;$J24,cal_fechas,"&lt;"&amp;TODAY(),cal_habil,"sí"),-COUNTIFS(cal_fechas,"&gt;="&amp;TODAY(),cal_fechas,"&lt;"&amp;$J24,cal_habil,"sí")))</f>
        <v/>
      </c>
      <c r="AC24" s="3">
        <f>IF($AB24="","",IF($AB24&lt;0,"FUTURO",IF($AB24&gt;p_dias_backlog_max,"BACKLOG","MES CORRIENTE")))</f>
        <v/>
      </c>
      <c r="AD24" s="3">
        <f>IF($AB24="",FALSE,AND($AB24&gt;p_dias_backlog_min,$AB24&lt;=p_dias_backlog_max))</f>
        <v/>
      </c>
      <c r="AE24" s="6" t="inlineStr">
        <is>
          <t>Técnico 01</t>
        </is>
      </c>
      <c r="AF24" s="3">
        <f>IF($AE24="","",IF((IFERROR(INDEX('ASIGNACIONES'!$F$4:$F$339,MATCH($O24&amp;"|"&amp;$R24&amp;"|"&amp;$AE24,'ASIGNACIONES'!$J$4:$J$339,0)),""))=0,"",IFERROR(INDEX('ASIGNACIONES'!$F$4:$F$339,MATCH($O24&amp;"|"&amp;$R24&amp;"|"&amp;$AE24,'ASIGNACIONES'!$J$4:$J$339,0)),"")))</f>
        <v/>
      </c>
      <c r="AG24" s="13">
        <f>IF($AE24="","",SUMIFS('ORDENES'!$M$4:$M$1203,'ORDENES'!$AE$4:$AE$1203,$AE24,'ORDENES'!$O$4:$O$1203,$O24,'ORDENES'!$R$4:$R$1203,$R24))</f>
        <v/>
      </c>
      <c r="AH24" s="13">
        <f>IF($AG24="","",p_factor_productividad*IFERROR(INDEX('ASIGNACIONES'!$I$4:$I$339,MATCH($O24&amp;"|"&amp;$R24&amp;"|"&amp;$AE24,'ASIGNACIONES'!$J$4:$J$339,0)),0)-$AG24)</f>
        <v/>
      </c>
      <c r="AI24" s="10">
        <f>IF($A24="","",IFERROR(INDEX('2_IMPORTAR_EJECUCION'!$F$9:$F$1208,MATCH($AQ24,'2_IMPORTAR_EJECUCION'!$J$9:$J$1208,0)),0))</f>
        <v/>
      </c>
      <c r="AJ24" s="10">
        <f>IF($A24="","",MAX(0,IFERROR(INDEX('2_IMPORTAR_EJECUCION'!$H$9:$H$1208,MATCH($AQ24,'2_IMPORTAR_EJECUCION'!$J$9:$J$1208,0)),0)-$AI24))</f>
        <v/>
      </c>
      <c r="AK24" s="10">
        <f>IF($A24="","",$AI24+$AJ24)</f>
        <v/>
      </c>
      <c r="AL24" s="6" t="inlineStr"/>
      <c r="AM24" s="6" t="inlineStr"/>
      <c r="AN24" s="6" t="inlineStr">
        <is>
          <t>ACT-01.pdf</t>
        </is>
      </c>
      <c r="AO24" s="3">
        <f>IF($AN24="","",HYPERLINK(p_ruta_base_checklists&amp;$AN24,"abrir"))</f>
        <v/>
      </c>
      <c r="AP24" s="6" t="inlineStr"/>
      <c r="AQ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IF($A25="","",IFERROR(INDEX('AJUSTES'!$B$4:$B$303,MATCH($AQ25,'AJUSTES'!$A$4:$A$303,0)),IF($K25="","",$K25)))</f>
        <v/>
      </c>
      <c r="N25" s="3">
        <f>IF($A25="","",IFERROR(INDEX('CAT_ESTADOS_ERP'!$B$4:$B$7,MATCH(IFERROR(INDEX('2_IMPORTAR_EJECUCION'!$C$9:$C$1208,MATCH($AQ25,'2_IMPORTAR_EJECUCION'!$J$9:$J$1208,0)),""),'CAT_ESTADOS_ERP'!$A$4:$A$7,0)),"Pendiente"))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J25="","",IFERROR(INDEX('CALENDARIO'!$C$15:$C$214,MATCH(TEXT($J25,"yyyy-mm-dd")&amp;"|"&amp;$V25&amp;"|"&amp;$W25,'CALENDARIO'!$G$15:$G$214,0)),IFERROR(INDEX('CALENDARIO'!$C$15:$C$214,MATCH(TEXT($J25,"yyyy-mm-dd")&amp;"|"&amp;$V25&amp;"|",'CALENDARIO'!$G$15:$G$214,0)),IFERROR(INDEX('CALENDARIO'!$C$15:$C$214,MATCH(TEXT($J25,"yyyy-mm-dd")&amp;"||",'CALENDARIO'!$G$15:$G$214,0)),INDEX(patronHabil,WEEKDAY($J25,2))))))</f>
        <v/>
      </c>
      <c r="T25" s="3">
        <f>IF($I25="","",IFERROR(INDEX('CAT_TIPOS_OT'!$C$4:$C$7,MATCH($I25,'CAT_TIPOS_OT'!$A$4:$A$7,0)),"sin_clasificar"))</f>
        <v/>
      </c>
      <c r="U25" s="3">
        <f>IF($F25="","",IFERROR(INDEX('CAT_CENTROS_COSTO'!$F$4:$F$13,MATCH($F25,'CAT_CENTROS_COSTO'!$A$4:$A$13,0)),"(sin catálogo)"))</f>
        <v/>
      </c>
      <c r="V25" s="3">
        <f>IF($F25="","",IFERROR(INDEX('CAT_CENTROS_COSTO'!$D$4:$D$13,MATCH($F25,'CAT_CENTROS_COSTO'!$A$4:$A$13,0)),"(sin catálogo)"))</f>
        <v/>
      </c>
      <c r="W25" s="3">
        <f>IF($F25="","",IF((IFERROR(INDEX('CAT_CENTROS_COSTO'!$E$4:$E$13,MATCH($F25,'CAT_CENTROS_COSTO'!$A$4:$A$13,0)),""))&lt;&gt;"",IFERROR(INDEX('CAT_CENTROS_COSTO'!$E$4:$E$13,MATCH($F25,'CAT_CENTROS_COSTO'!$A$4:$A$13,0)),""),$V25))</f>
        <v/>
      </c>
      <c r="X25" s="3">
        <f>IF($F25="","",IFERROR(INDEX('CAT_CENTROS_COSTO'!$G$4:$G$13,MATCH($F25,'CAT_CENTROS_COSTO'!$A$4:$A$13,0)),"(sin catálogo)"))</f>
        <v/>
      </c>
      <c r="Y25" s="3">
        <f>IF($G25="","",IFERROR(INDEX('CAT_PUESTOS'!$B$4:$B$8,MATCH($G25,'CAT_PUESTOS'!$A$4:$A$8,0)),"(sin catálogo)"))</f>
        <v/>
      </c>
      <c r="Z25" s="3">
        <f>IF($H25="","",IFERROR(INDEX('CAT_ACTIVIDADES'!$B$4:$B$8,MATCH($H25,'CAT_ACTIVIDADES'!$A$4:$A$8,0)),"(sin catálogo)"))</f>
        <v/>
      </c>
      <c r="AA25" s="12">
        <f>IF($J25="","",TODAY()-$J25)</f>
        <v/>
      </c>
      <c r="AB25" s="12">
        <f>IF($J25="","",IF($J25&lt;=TODAY(),COUNTIFS(cal_fechas,"&gt;="&amp;$J25,cal_fechas,"&lt;"&amp;TODAY(),cal_habil,"sí"),-COUNTIFS(cal_fechas,"&gt;="&amp;TODAY(),cal_fechas,"&lt;"&amp;$J25,cal_habil,"sí")))</f>
        <v/>
      </c>
      <c r="AC25" s="3">
        <f>IF($AB25="","",IF($AB25&lt;0,"FUTURO",IF($AB25&gt;p_dias_backlog_max,"BACKLOG","MES CORRIENTE")))</f>
        <v/>
      </c>
      <c r="AD25" s="3">
        <f>IF($AB25="",FALSE,AND($AB25&gt;p_dias_backlog_min,$AB25&lt;=p_dias_backlog_max))</f>
        <v/>
      </c>
      <c r="AE25" s="6" t="inlineStr">
        <is>
          <t>Técnico 02</t>
        </is>
      </c>
      <c r="AF25" s="3">
        <f>IF($AE25="","",IF((IFERROR(INDEX('ASIGNACIONES'!$F$4:$F$339,MATCH($O25&amp;"|"&amp;$R25&amp;"|"&amp;$AE25,'ASIGNACIONES'!$J$4:$J$339,0)),""))=0,"",IFERROR(INDEX('ASIGNACIONES'!$F$4:$F$339,MATCH($O25&amp;"|"&amp;$R25&amp;"|"&amp;$AE25,'ASIGNACIONES'!$J$4:$J$339,0)),"")))</f>
        <v/>
      </c>
      <c r="AG25" s="13">
        <f>IF($AE25="","",SUMIFS('ORDENES'!$M$4:$M$1203,'ORDENES'!$AE$4:$AE$1203,$AE25,'ORDENES'!$O$4:$O$1203,$O25,'ORDENES'!$R$4:$R$1203,$R25))</f>
        <v/>
      </c>
      <c r="AH25" s="13">
        <f>IF($AG25="","",p_factor_productividad*IFERROR(INDEX('ASIGNACIONES'!$I$4:$I$339,MATCH($O25&amp;"|"&amp;$R25&amp;"|"&amp;$AE25,'ASIGNACIONES'!$J$4:$J$339,0)),0)-$AG25)</f>
        <v/>
      </c>
      <c r="AI25" s="10">
        <f>IF($A25="","",IFERROR(INDEX('2_IMPORTAR_EJECUCION'!$F$9:$F$1208,MATCH($AQ25,'2_IMPORTAR_EJECUCION'!$J$9:$J$1208,0)),0))</f>
        <v/>
      </c>
      <c r="AJ25" s="10">
        <f>IF($A25="","",MAX(0,IFERROR(INDEX('2_IMPORTAR_EJECUCION'!$H$9:$H$1208,MATCH($AQ25,'2_IMPORTAR_EJECUCION'!$J$9:$J$1208,0)),0)-$AI25))</f>
        <v/>
      </c>
      <c r="AK25" s="10">
        <f>IF($A25="","",$AI25+$AJ25)</f>
        <v/>
      </c>
      <c r="AL25" s="6" t="inlineStr"/>
      <c r="AM25" s="6" t="inlineStr"/>
      <c r="AN25" s="6" t="inlineStr">
        <is>
          <t>ACT-02.pdf</t>
        </is>
      </c>
      <c r="AO25" s="3">
        <f>IF($AN25="","",HYPERLINK(p_ruta_base_checklists&amp;$AN25,"abrir"))</f>
        <v/>
      </c>
      <c r="AP25" s="6" t="inlineStr"/>
      <c r="AQ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IF($A26="","",IFERROR(INDEX('AJUSTES'!$B$4:$B$303,MATCH($AQ26,'AJUSTES'!$A$4:$A$303,0)),IF($K26="","",$K26)))</f>
        <v/>
      </c>
      <c r="N26" s="3">
        <f>IF($A26="","",IFERROR(INDEX('CAT_ESTADOS_ERP'!$B$4:$B$7,MATCH(IFERROR(INDEX('2_IMPORTAR_EJECUCION'!$C$9:$C$1208,MATCH($AQ26,'2_IMPORTAR_EJECUCION'!$J$9:$J$1208,0)),""),'CAT_ESTADOS_ERP'!$A$4:$A$7,0)),"Pendiente"))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J26="","",IFERROR(INDEX('CALENDARIO'!$C$15:$C$214,MATCH(TEXT($J26,"yyyy-mm-dd")&amp;"|"&amp;$V26&amp;"|"&amp;$W26,'CALENDARIO'!$G$15:$G$214,0)),IFERROR(INDEX('CALENDARIO'!$C$15:$C$214,MATCH(TEXT($J26,"yyyy-mm-dd")&amp;"|"&amp;$V26&amp;"|",'CALENDARIO'!$G$15:$G$214,0)),IFERROR(INDEX('CALENDARIO'!$C$15:$C$214,MATCH(TEXT($J26,"yyyy-mm-dd")&amp;"||",'CALENDARIO'!$G$15:$G$214,0)),INDEX(patronHabil,WEEKDAY($J26,2))))))</f>
        <v/>
      </c>
      <c r="T26" s="3">
        <f>IF($I26="","",IFERROR(INDEX('CAT_TIPOS_OT'!$C$4:$C$7,MATCH($I26,'CAT_TIPOS_OT'!$A$4:$A$7,0)),"sin_clasificar"))</f>
        <v/>
      </c>
      <c r="U26" s="3">
        <f>IF($F26="","",IFERROR(INDEX('CAT_CENTROS_COSTO'!$F$4:$F$13,MATCH($F26,'CAT_CENTROS_COSTO'!$A$4:$A$13,0)),"(sin catálogo)"))</f>
        <v/>
      </c>
      <c r="V26" s="3">
        <f>IF($F26="","",IFERROR(INDEX('CAT_CENTROS_COSTO'!$D$4:$D$13,MATCH($F26,'CAT_CENTROS_COSTO'!$A$4:$A$13,0)),"(sin catálogo)"))</f>
        <v/>
      </c>
      <c r="W26" s="3">
        <f>IF($F26="","",IF((IFERROR(INDEX('CAT_CENTROS_COSTO'!$E$4:$E$13,MATCH($F26,'CAT_CENTROS_COSTO'!$A$4:$A$13,0)),""))&lt;&gt;"",IFERROR(INDEX('CAT_CENTROS_COSTO'!$E$4:$E$13,MATCH($F26,'CAT_CENTROS_COSTO'!$A$4:$A$13,0)),""),$V26))</f>
        <v/>
      </c>
      <c r="X26" s="3">
        <f>IF($F26="","",IFERROR(INDEX('CAT_CENTROS_COSTO'!$G$4:$G$13,MATCH($F26,'CAT_CENTROS_COSTO'!$A$4:$A$13,0)),"(sin catálogo)"))</f>
        <v/>
      </c>
      <c r="Y26" s="3">
        <f>IF($G26="","",IFERROR(INDEX('CAT_PUESTOS'!$B$4:$B$8,MATCH($G26,'CAT_PUESTOS'!$A$4:$A$8,0)),"(sin catálogo)"))</f>
        <v/>
      </c>
      <c r="Z26" s="3">
        <f>IF($H26="","",IFERROR(INDEX('CAT_ACTIVIDADES'!$B$4:$B$8,MATCH($H26,'CAT_ACTIVIDADES'!$A$4:$A$8,0)),"(sin catálogo)"))</f>
        <v/>
      </c>
      <c r="AA26" s="12">
        <f>IF($J26="","",TODAY()-$J26)</f>
        <v/>
      </c>
      <c r="AB26" s="12">
        <f>IF($J26="","",IF($J26&lt;=TODAY(),COUNTIFS(cal_fechas,"&gt;="&amp;$J26,cal_fechas,"&lt;"&amp;TODAY(),cal_habil,"sí"),-COUNTIFS(cal_fechas,"&gt;="&amp;TODAY(),cal_fechas,"&lt;"&amp;$J26,cal_habil,"sí")))</f>
        <v/>
      </c>
      <c r="AC26" s="3">
        <f>IF($AB26="","",IF($AB26&lt;0,"FUTURO",IF($AB26&gt;p_dias_backlog_max,"BACKLOG","MES CORRIENTE")))</f>
        <v/>
      </c>
      <c r="AD26" s="3">
        <f>IF($AB26="",FALSE,AND($AB26&gt;p_dias_backlog_min,$AB26&lt;=p_dias_backlog_max))</f>
        <v/>
      </c>
      <c r="AE26" s="6" t="inlineStr">
        <is>
          <t>Técnico 03</t>
        </is>
      </c>
      <c r="AF26" s="3">
        <f>IF($AE26="","",IF((IFERROR(INDEX('ASIGNACIONES'!$F$4:$F$339,MATCH($O26&amp;"|"&amp;$R26&amp;"|"&amp;$AE26,'ASIGNACIONES'!$J$4:$J$339,0)),""))=0,"",IFERROR(INDEX('ASIGNACIONES'!$F$4:$F$339,MATCH($O26&amp;"|"&amp;$R26&amp;"|"&amp;$AE26,'ASIGNACIONES'!$J$4:$J$339,0)),"")))</f>
        <v/>
      </c>
      <c r="AG26" s="13">
        <f>IF($AE26="","",SUMIFS('ORDENES'!$M$4:$M$1203,'ORDENES'!$AE$4:$AE$1203,$AE26,'ORDENES'!$O$4:$O$1203,$O26,'ORDENES'!$R$4:$R$1203,$R26))</f>
        <v/>
      </c>
      <c r="AH26" s="13">
        <f>IF($AG26="","",p_factor_productividad*IFERROR(INDEX('ASIGNACIONES'!$I$4:$I$339,MATCH($O26&amp;"|"&amp;$R26&amp;"|"&amp;$AE26,'ASIGNACIONES'!$J$4:$J$339,0)),0)-$AG26)</f>
        <v/>
      </c>
      <c r="AI26" s="10">
        <f>IF($A26="","",IFERROR(INDEX('2_IMPORTAR_EJECUCION'!$F$9:$F$1208,MATCH($AQ26,'2_IMPORTAR_EJECUCION'!$J$9:$J$1208,0)),0))</f>
        <v/>
      </c>
      <c r="AJ26" s="10">
        <f>IF($A26="","",MAX(0,IFERROR(INDEX('2_IMPORTAR_EJECUCION'!$H$9:$H$1208,MATCH($AQ26,'2_IMPORTAR_EJECUCION'!$J$9:$J$1208,0)),0)-$AI26))</f>
        <v/>
      </c>
      <c r="AK26" s="10">
        <f>IF($A26="","",$AI26+$AJ26)</f>
        <v/>
      </c>
      <c r="AL26" s="6" t="inlineStr"/>
      <c r="AM26" s="6" t="inlineStr"/>
      <c r="AN26" s="6" t="inlineStr"/>
      <c r="AO26" s="3">
        <f>IF($AN26="","",HYPERLINK(p_ruta_base_checklists&amp;$AN26,"abrir"))</f>
        <v/>
      </c>
      <c r="AP26" s="6" t="inlineStr"/>
      <c r="AQ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IF($A27="","",IFERROR(INDEX('AJUSTES'!$B$4:$B$303,MATCH($AQ27,'AJUSTES'!$A$4:$A$303,0)),IF($K27="","",$K27)))</f>
        <v/>
      </c>
      <c r="N27" s="3">
        <f>IF($A27="","",IFERROR(INDEX('CAT_ESTADOS_ERP'!$B$4:$B$7,MATCH(IFERROR(INDEX('2_IMPORTAR_EJECUCION'!$C$9:$C$1208,MATCH($AQ27,'2_IMPORTAR_EJECUCION'!$J$9:$J$1208,0)),""),'CAT_ESTADOS_ERP'!$A$4:$A$7,0)),"Pendiente"))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J27="","",IFERROR(INDEX('CALENDARIO'!$C$15:$C$214,MATCH(TEXT($J27,"yyyy-mm-dd")&amp;"|"&amp;$V27&amp;"|"&amp;$W27,'CALENDARIO'!$G$15:$G$214,0)),IFERROR(INDEX('CALENDARIO'!$C$15:$C$214,MATCH(TEXT($J27,"yyyy-mm-dd")&amp;"|"&amp;$V27&amp;"|",'CALENDARIO'!$G$15:$G$214,0)),IFERROR(INDEX('CALENDARIO'!$C$15:$C$214,MATCH(TEXT($J27,"yyyy-mm-dd")&amp;"||",'CALENDARIO'!$G$15:$G$214,0)),INDEX(patronHabil,WEEKDAY($J27,2))))))</f>
        <v/>
      </c>
      <c r="T27" s="3">
        <f>IF($I27="","",IFERROR(INDEX('CAT_TIPOS_OT'!$C$4:$C$7,MATCH($I27,'CAT_TIPOS_OT'!$A$4:$A$7,0)),"sin_clasificar"))</f>
        <v/>
      </c>
      <c r="U27" s="3">
        <f>IF($F27="","",IFERROR(INDEX('CAT_CENTROS_COSTO'!$F$4:$F$13,MATCH($F27,'CAT_CENTROS_COSTO'!$A$4:$A$13,0)),"(sin catálogo)"))</f>
        <v/>
      </c>
      <c r="V27" s="3">
        <f>IF($F27="","",IFERROR(INDEX('CAT_CENTROS_COSTO'!$D$4:$D$13,MATCH($F27,'CAT_CENTROS_COSTO'!$A$4:$A$13,0)),"(sin catálogo)"))</f>
        <v/>
      </c>
      <c r="W27" s="3">
        <f>IF($F27="","",IF((IFERROR(INDEX('CAT_CENTROS_COSTO'!$E$4:$E$13,MATCH($F27,'CAT_CENTROS_COSTO'!$A$4:$A$13,0)),""))&lt;&gt;"",IFERROR(INDEX('CAT_CENTROS_COSTO'!$E$4:$E$13,MATCH($F27,'CAT_CENTROS_COSTO'!$A$4:$A$13,0)),""),$V27))</f>
        <v/>
      </c>
      <c r="X27" s="3">
        <f>IF($F27="","",IFERROR(INDEX('CAT_CENTROS_COSTO'!$G$4:$G$13,MATCH($F27,'CAT_CENTROS_COSTO'!$A$4:$A$13,0)),"(sin catálogo)"))</f>
        <v/>
      </c>
      <c r="Y27" s="3">
        <f>IF($G27="","",IFERROR(INDEX('CAT_PUESTOS'!$B$4:$B$8,MATCH($G27,'CAT_PUESTOS'!$A$4:$A$8,0)),"(sin catálogo)"))</f>
        <v/>
      </c>
      <c r="Z27" s="3">
        <f>IF($H27="","",IFERROR(INDEX('CAT_ACTIVIDADES'!$B$4:$B$8,MATCH($H27,'CAT_ACTIVIDADES'!$A$4:$A$8,0)),"(sin catálogo)"))</f>
        <v/>
      </c>
      <c r="AA27" s="12">
        <f>IF($J27="","",TODAY()-$J27)</f>
        <v/>
      </c>
      <c r="AB27" s="12">
        <f>IF($J27="","",IF($J27&lt;=TODAY(),COUNTIFS(cal_fechas,"&gt;="&amp;$J27,cal_fechas,"&lt;"&amp;TODAY(),cal_habil,"sí"),-COUNTIFS(cal_fechas,"&gt;="&amp;TODAY(),cal_fechas,"&lt;"&amp;$J27,cal_habil,"sí")))</f>
        <v/>
      </c>
      <c r="AC27" s="3">
        <f>IF($AB27="","",IF($AB27&lt;0,"FUTURO",IF($AB27&gt;p_dias_backlog_max,"BACKLOG","MES CORRIENTE")))</f>
        <v/>
      </c>
      <c r="AD27" s="3">
        <f>IF($AB27="",FALSE,AND($AB27&gt;p_dias_backlog_min,$AB27&lt;=p_dias_backlog_max))</f>
        <v/>
      </c>
      <c r="AE27" s="6" t="inlineStr"/>
      <c r="AF27" s="3">
        <f>IF($AE27="","",IF((IFERROR(INDEX('ASIGNACIONES'!$F$4:$F$339,MATCH($O27&amp;"|"&amp;$R27&amp;"|"&amp;$AE27,'ASIGNACIONES'!$J$4:$J$339,0)),""))=0,"",IFERROR(INDEX('ASIGNACIONES'!$F$4:$F$339,MATCH($O27&amp;"|"&amp;$R27&amp;"|"&amp;$AE27,'ASIGNACIONES'!$J$4:$J$339,0)),"")))</f>
        <v/>
      </c>
      <c r="AG27" s="13">
        <f>IF($AE27="","",SUMIFS('ORDENES'!$M$4:$M$1203,'ORDENES'!$AE$4:$AE$1203,$AE27,'ORDENES'!$O$4:$O$1203,$O27,'ORDENES'!$R$4:$R$1203,$R27))</f>
        <v/>
      </c>
      <c r="AH27" s="13">
        <f>IF($AG27="","",p_factor_productividad*IFERROR(INDEX('ASIGNACIONES'!$I$4:$I$339,MATCH($O27&amp;"|"&amp;$R27&amp;"|"&amp;$AE27,'ASIGNACIONES'!$J$4:$J$339,0)),0)-$AG27)</f>
        <v/>
      </c>
      <c r="AI27" s="10">
        <f>IF($A27="","",IFERROR(INDEX('2_IMPORTAR_EJECUCION'!$F$9:$F$1208,MATCH($AQ27,'2_IMPORTAR_EJECUCION'!$J$9:$J$1208,0)),0))</f>
        <v/>
      </c>
      <c r="AJ27" s="10">
        <f>IF($A27="","",MAX(0,IFERROR(INDEX('2_IMPORTAR_EJECUCION'!$H$9:$H$1208,MATCH($AQ27,'2_IMPORTAR_EJECUCION'!$J$9:$J$1208,0)),0)-$AI27))</f>
        <v/>
      </c>
      <c r="AK27" s="10">
        <f>IF($A27="","",$AI27+$AJ27)</f>
        <v/>
      </c>
      <c r="AL27" s="6" t="inlineStr">
        <is>
          <t>PT-CALIENTE</t>
        </is>
      </c>
      <c r="AM27" s="6" t="inlineStr">
        <is>
          <t>LOTO</t>
        </is>
      </c>
      <c r="AN27" s="6" t="inlineStr"/>
      <c r="AO27" s="3">
        <f>IF($AN27="","",HYPERLINK(p_ruta_base_checklists&amp;$AN27,"abrir"))</f>
        <v/>
      </c>
      <c r="AP27" s="6" t="inlineStr"/>
      <c r="AQ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IF($A28="","",IFERROR(INDEX('AJUSTES'!$B$4:$B$303,MATCH($AQ28,'AJUSTES'!$A$4:$A$303,0)),IF($K28="","",$K28)))</f>
        <v/>
      </c>
      <c r="N28" s="3">
        <f>IF($A28="","",IFERROR(INDEX('CAT_ESTADOS_ERP'!$B$4:$B$7,MATCH(IFERROR(INDEX('2_IMPORTAR_EJECUCION'!$C$9:$C$1208,MATCH($AQ28,'2_IMPORTAR_EJECUCION'!$J$9:$J$1208,0)),""),'CAT_ESTADOS_ERP'!$A$4:$A$7,0)),"Pendiente"))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J28="","",IFERROR(INDEX('CALENDARIO'!$C$15:$C$214,MATCH(TEXT($J28,"yyyy-mm-dd")&amp;"|"&amp;$V28&amp;"|"&amp;$W28,'CALENDARIO'!$G$15:$G$214,0)),IFERROR(INDEX('CALENDARIO'!$C$15:$C$214,MATCH(TEXT($J28,"yyyy-mm-dd")&amp;"|"&amp;$V28&amp;"|",'CALENDARIO'!$G$15:$G$214,0)),IFERROR(INDEX('CALENDARIO'!$C$15:$C$214,MATCH(TEXT($J28,"yyyy-mm-dd")&amp;"||",'CALENDARIO'!$G$15:$G$214,0)),INDEX(patronHabil,WEEKDAY($J28,2))))))</f>
        <v/>
      </c>
      <c r="T28" s="3">
        <f>IF($I28="","",IFERROR(INDEX('CAT_TIPOS_OT'!$C$4:$C$7,MATCH($I28,'CAT_TIPOS_OT'!$A$4:$A$7,0)),"sin_clasificar"))</f>
        <v/>
      </c>
      <c r="U28" s="3">
        <f>IF($F28="","",IFERROR(INDEX('CAT_CENTROS_COSTO'!$F$4:$F$13,MATCH($F28,'CAT_CENTROS_COSTO'!$A$4:$A$13,0)),"(sin catálogo)"))</f>
        <v/>
      </c>
      <c r="V28" s="3">
        <f>IF($F28="","",IFERROR(INDEX('CAT_CENTROS_COSTO'!$D$4:$D$13,MATCH($F28,'CAT_CENTROS_COSTO'!$A$4:$A$13,0)),"(sin catálogo)"))</f>
        <v/>
      </c>
      <c r="W28" s="3">
        <f>IF($F28="","",IF((IFERROR(INDEX('CAT_CENTROS_COSTO'!$E$4:$E$13,MATCH($F28,'CAT_CENTROS_COSTO'!$A$4:$A$13,0)),""))&lt;&gt;"",IFERROR(INDEX('CAT_CENTROS_COSTO'!$E$4:$E$13,MATCH($F28,'CAT_CENTROS_COSTO'!$A$4:$A$13,0)),""),$V28))</f>
        <v/>
      </c>
      <c r="X28" s="3">
        <f>IF($F28="","",IFERROR(INDEX('CAT_CENTROS_COSTO'!$G$4:$G$13,MATCH($F28,'CAT_CENTROS_COSTO'!$A$4:$A$13,0)),"(sin catálogo)"))</f>
        <v/>
      </c>
      <c r="Y28" s="3">
        <f>IF($G28="","",IFERROR(INDEX('CAT_PUESTOS'!$B$4:$B$8,MATCH($G28,'CAT_PUESTOS'!$A$4:$A$8,0)),"(sin catálogo)"))</f>
        <v/>
      </c>
      <c r="Z28" s="3">
        <f>IF($H28="","",IFERROR(INDEX('CAT_ACTIVIDADES'!$B$4:$B$8,MATCH($H28,'CAT_ACTIVIDADES'!$A$4:$A$8,0)),"(sin catálogo)"))</f>
        <v/>
      </c>
      <c r="AA28" s="12">
        <f>IF($J28="","",TODAY()-$J28)</f>
        <v/>
      </c>
      <c r="AB28" s="12">
        <f>IF($J28="","",IF($J28&lt;=TODAY(),COUNTIFS(cal_fechas,"&gt;="&amp;$J28,cal_fechas,"&lt;"&amp;TODAY(),cal_habil,"sí"),-COUNTIFS(cal_fechas,"&gt;="&amp;TODAY(),cal_fechas,"&lt;"&amp;$J28,cal_habil,"sí")))</f>
        <v/>
      </c>
      <c r="AC28" s="3">
        <f>IF($AB28="","",IF($AB28&lt;0,"FUTURO",IF($AB28&gt;p_dias_backlog_max,"BACKLOG","MES CORRIENTE")))</f>
        <v/>
      </c>
      <c r="AD28" s="3">
        <f>IF($AB28="",FALSE,AND($AB28&gt;p_dias_backlog_min,$AB28&lt;=p_dias_backlog_max))</f>
        <v/>
      </c>
      <c r="AE28" s="6" t="inlineStr">
        <is>
          <t>Técnico 01</t>
        </is>
      </c>
      <c r="AF28" s="3">
        <f>IF($AE28="","",IF((IFERROR(INDEX('ASIGNACIONES'!$F$4:$F$339,MATCH($O28&amp;"|"&amp;$R28&amp;"|"&amp;$AE28,'ASIGNACIONES'!$J$4:$J$339,0)),""))=0,"",IFERROR(INDEX('ASIGNACIONES'!$F$4:$F$339,MATCH($O28&amp;"|"&amp;$R28&amp;"|"&amp;$AE28,'ASIGNACIONES'!$J$4:$J$339,0)),"")))</f>
        <v/>
      </c>
      <c r="AG28" s="13">
        <f>IF($AE28="","",SUMIFS('ORDENES'!$M$4:$M$1203,'ORDENES'!$AE$4:$AE$1203,$AE28,'ORDENES'!$O$4:$O$1203,$O28,'ORDENES'!$R$4:$R$1203,$R28))</f>
        <v/>
      </c>
      <c r="AH28" s="13">
        <f>IF($AG28="","",p_factor_productividad*IFERROR(INDEX('ASIGNACIONES'!$I$4:$I$339,MATCH($O28&amp;"|"&amp;$R28&amp;"|"&amp;$AE28,'ASIGNACIONES'!$J$4:$J$339,0)),0)-$AG28)</f>
        <v/>
      </c>
      <c r="AI28" s="10">
        <f>IF($A28="","",IFERROR(INDEX('2_IMPORTAR_EJECUCION'!$F$9:$F$1208,MATCH($AQ28,'2_IMPORTAR_EJECUCION'!$J$9:$J$1208,0)),0))</f>
        <v/>
      </c>
      <c r="AJ28" s="10">
        <f>IF($A28="","",MAX(0,IFERROR(INDEX('2_IMPORTAR_EJECUCION'!$H$9:$H$1208,MATCH($AQ28,'2_IMPORTAR_EJECUCION'!$J$9:$J$1208,0)),0)-$AI28))</f>
        <v/>
      </c>
      <c r="AK28" s="10">
        <f>IF($A28="","",$AI28+$AJ28)</f>
        <v/>
      </c>
      <c r="AL28" s="6" t="inlineStr"/>
      <c r="AM28" s="6" t="inlineStr"/>
      <c r="AN28" s="6" t="inlineStr"/>
      <c r="AO28" s="3">
        <f>IF($AN28="","",HYPERLINK(p_ruta_base_checklists&amp;$AN28,"abrir"))</f>
        <v/>
      </c>
      <c r="AP28" s="6" t="inlineStr"/>
      <c r="AQ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IF($A29="","",IFERROR(INDEX('AJUSTES'!$B$4:$B$303,MATCH($AQ29,'AJUSTES'!$A$4:$A$303,0)),IF($K29="","",$K29)))</f>
        <v/>
      </c>
      <c r="N29" s="3">
        <f>IF($A29="","",IFERROR(INDEX('CAT_ESTADOS_ERP'!$B$4:$B$7,MATCH(IFERROR(INDEX('2_IMPORTAR_EJECUCION'!$C$9:$C$1208,MATCH($AQ29,'2_IMPORTAR_EJECUCION'!$J$9:$J$1208,0)),""),'CAT_ESTADOS_ERP'!$A$4:$A$7,0)),"Pendiente"))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J29="","",IFERROR(INDEX('CALENDARIO'!$C$15:$C$214,MATCH(TEXT($J29,"yyyy-mm-dd")&amp;"|"&amp;$V29&amp;"|"&amp;$W29,'CALENDARIO'!$G$15:$G$214,0)),IFERROR(INDEX('CALENDARIO'!$C$15:$C$214,MATCH(TEXT($J29,"yyyy-mm-dd")&amp;"|"&amp;$V29&amp;"|",'CALENDARIO'!$G$15:$G$214,0)),IFERROR(INDEX('CALENDARIO'!$C$15:$C$214,MATCH(TEXT($J29,"yyyy-mm-dd")&amp;"||",'CALENDARIO'!$G$15:$G$214,0)),INDEX(patronHabil,WEEKDAY($J29,2))))))</f>
        <v/>
      </c>
      <c r="T29" s="3">
        <f>IF($I29="","",IFERROR(INDEX('CAT_TIPOS_OT'!$C$4:$C$7,MATCH($I29,'CAT_TIPOS_OT'!$A$4:$A$7,0)),"sin_clasificar"))</f>
        <v/>
      </c>
      <c r="U29" s="3">
        <f>IF($F29="","",IFERROR(INDEX('CAT_CENTROS_COSTO'!$F$4:$F$13,MATCH($F29,'CAT_CENTROS_COSTO'!$A$4:$A$13,0)),"(sin catálogo)"))</f>
        <v/>
      </c>
      <c r="V29" s="3">
        <f>IF($F29="","",IFERROR(INDEX('CAT_CENTROS_COSTO'!$D$4:$D$13,MATCH($F29,'CAT_CENTROS_COSTO'!$A$4:$A$13,0)),"(sin catálogo)"))</f>
        <v/>
      </c>
      <c r="W29" s="3">
        <f>IF($F29="","",IF((IFERROR(INDEX('CAT_CENTROS_COSTO'!$E$4:$E$13,MATCH($F29,'CAT_CENTROS_COSTO'!$A$4:$A$13,0)),""))&lt;&gt;"",IFERROR(INDEX('CAT_CENTROS_COSTO'!$E$4:$E$13,MATCH($F29,'CAT_CENTROS_COSTO'!$A$4:$A$13,0)),""),$V29))</f>
        <v/>
      </c>
      <c r="X29" s="3">
        <f>IF($F29="","",IFERROR(INDEX('CAT_CENTROS_COSTO'!$G$4:$G$13,MATCH($F29,'CAT_CENTROS_COSTO'!$A$4:$A$13,0)),"(sin catálogo)"))</f>
        <v/>
      </c>
      <c r="Y29" s="3">
        <f>IF($G29="","",IFERROR(INDEX('CAT_PUESTOS'!$B$4:$B$8,MATCH($G29,'CAT_PUESTOS'!$A$4:$A$8,0)),"(sin catálogo)"))</f>
        <v/>
      </c>
      <c r="Z29" s="3">
        <f>IF($H29="","",IFERROR(INDEX('CAT_ACTIVIDADES'!$B$4:$B$8,MATCH($H29,'CAT_ACTIVIDADES'!$A$4:$A$8,0)),"(sin catálogo)"))</f>
        <v/>
      </c>
      <c r="AA29" s="12">
        <f>IF($J29="","",TODAY()-$J29)</f>
        <v/>
      </c>
      <c r="AB29" s="12">
        <f>IF($J29="","",IF($J29&lt;=TODAY(),COUNTIFS(cal_fechas,"&gt;="&amp;$J29,cal_fechas,"&lt;"&amp;TODAY(),cal_habil,"sí"),-COUNTIFS(cal_fechas,"&gt;="&amp;TODAY(),cal_fechas,"&lt;"&amp;$J29,cal_habil,"sí")))</f>
        <v/>
      </c>
      <c r="AC29" s="3">
        <f>IF($AB29="","",IF($AB29&lt;0,"FUTURO",IF($AB29&gt;p_dias_backlog_max,"BACKLOG","MES CORRIENTE")))</f>
        <v/>
      </c>
      <c r="AD29" s="3">
        <f>IF($AB29="",FALSE,AND($AB29&gt;p_dias_backlog_min,$AB29&lt;=p_dias_backlog_max))</f>
        <v/>
      </c>
      <c r="AE29" s="6" t="inlineStr">
        <is>
          <t>Técnico 04</t>
        </is>
      </c>
      <c r="AF29" s="3">
        <f>IF($AE29="","",IF((IFERROR(INDEX('ASIGNACIONES'!$F$4:$F$339,MATCH($O29&amp;"|"&amp;$R29&amp;"|"&amp;$AE29,'ASIGNACIONES'!$J$4:$J$339,0)),""))=0,"",IFERROR(INDEX('ASIGNACIONES'!$F$4:$F$339,MATCH($O29&amp;"|"&amp;$R29&amp;"|"&amp;$AE29,'ASIGNACIONES'!$J$4:$J$339,0)),"")))</f>
        <v/>
      </c>
      <c r="AG29" s="13">
        <f>IF($AE29="","",SUMIFS('ORDENES'!$M$4:$M$1203,'ORDENES'!$AE$4:$AE$1203,$AE29,'ORDENES'!$O$4:$O$1203,$O29,'ORDENES'!$R$4:$R$1203,$R29))</f>
        <v/>
      </c>
      <c r="AH29" s="13">
        <f>IF($AG29="","",p_factor_productividad*IFERROR(INDEX('ASIGNACIONES'!$I$4:$I$339,MATCH($O29&amp;"|"&amp;$R29&amp;"|"&amp;$AE29,'ASIGNACIONES'!$J$4:$J$339,0)),0)-$AG29)</f>
        <v/>
      </c>
      <c r="AI29" s="10">
        <f>IF($A29="","",IFERROR(INDEX('2_IMPORTAR_EJECUCION'!$F$9:$F$1208,MATCH($AQ29,'2_IMPORTAR_EJECUCION'!$J$9:$J$1208,0)),0))</f>
        <v/>
      </c>
      <c r="AJ29" s="10">
        <f>IF($A29="","",MAX(0,IFERROR(INDEX('2_IMPORTAR_EJECUCION'!$H$9:$H$1208,MATCH($AQ29,'2_IMPORTAR_EJECUCION'!$J$9:$J$1208,0)),0)-$AI29))</f>
        <v/>
      </c>
      <c r="AK29" s="10">
        <f>IF($A29="","",$AI29+$AJ29)</f>
        <v/>
      </c>
      <c r="AL29" s="6" t="inlineStr"/>
      <c r="AM29" s="6" t="inlineStr"/>
      <c r="AN29" s="6" t="inlineStr">
        <is>
          <t>ACT-04.pdf</t>
        </is>
      </c>
      <c r="AO29" s="3">
        <f>IF($AN29="","",HYPERLINK(p_ruta_base_checklists&amp;$AN29,"abrir"))</f>
        <v/>
      </c>
      <c r="AP29" s="6" t="inlineStr">
        <is>
          <t>Demo: asignada a técnico de vacaciones (HHD = −HHA)</t>
        </is>
      </c>
      <c r="AQ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IF($A30="","",IFERROR(INDEX('AJUSTES'!$B$4:$B$303,MATCH($AQ30,'AJUSTES'!$A$4:$A$303,0)),IF($K30="","",$K30)))</f>
        <v/>
      </c>
      <c r="N30" s="3">
        <f>IF($A30="","",IFERROR(INDEX('CAT_ESTADOS_ERP'!$B$4:$B$7,MATCH(IFERROR(INDEX('2_IMPORTAR_EJECUCION'!$C$9:$C$1208,MATCH($AQ30,'2_IMPORTAR_EJECUCION'!$J$9:$J$1208,0)),""),'CAT_ESTADOS_ERP'!$A$4:$A$7,0)),"Pendiente"))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J30="","",IFERROR(INDEX('CALENDARIO'!$C$15:$C$214,MATCH(TEXT($J30,"yyyy-mm-dd")&amp;"|"&amp;$V30&amp;"|"&amp;$W30,'CALENDARIO'!$G$15:$G$214,0)),IFERROR(INDEX('CALENDARIO'!$C$15:$C$214,MATCH(TEXT($J30,"yyyy-mm-dd")&amp;"|"&amp;$V30&amp;"|",'CALENDARIO'!$G$15:$G$214,0)),IFERROR(INDEX('CALENDARIO'!$C$15:$C$214,MATCH(TEXT($J30,"yyyy-mm-dd")&amp;"||",'CALENDARIO'!$G$15:$G$214,0)),INDEX(patronHabil,WEEKDAY($J30,2))))))</f>
        <v/>
      </c>
      <c r="T30" s="3">
        <f>IF($I30="","",IFERROR(INDEX('CAT_TIPOS_OT'!$C$4:$C$7,MATCH($I30,'CAT_TIPOS_OT'!$A$4:$A$7,0)),"sin_clasificar"))</f>
        <v/>
      </c>
      <c r="U30" s="3">
        <f>IF($F30="","",IFERROR(INDEX('CAT_CENTROS_COSTO'!$F$4:$F$13,MATCH($F30,'CAT_CENTROS_COSTO'!$A$4:$A$13,0)),"(sin catálogo)"))</f>
        <v/>
      </c>
      <c r="V30" s="3">
        <f>IF($F30="","",IFERROR(INDEX('CAT_CENTROS_COSTO'!$D$4:$D$13,MATCH($F30,'CAT_CENTROS_COSTO'!$A$4:$A$13,0)),"(sin catálogo)"))</f>
        <v/>
      </c>
      <c r="W30" s="3">
        <f>IF($F30="","",IF((IFERROR(INDEX('CAT_CENTROS_COSTO'!$E$4:$E$13,MATCH($F30,'CAT_CENTROS_COSTO'!$A$4:$A$13,0)),""))&lt;&gt;"",IFERROR(INDEX('CAT_CENTROS_COSTO'!$E$4:$E$13,MATCH($F30,'CAT_CENTROS_COSTO'!$A$4:$A$13,0)),""),$V30))</f>
        <v/>
      </c>
      <c r="X30" s="3">
        <f>IF($F30="","",IFERROR(INDEX('CAT_CENTROS_COSTO'!$G$4:$G$13,MATCH($F30,'CAT_CENTROS_COSTO'!$A$4:$A$13,0)),"(sin catálogo)"))</f>
        <v/>
      </c>
      <c r="Y30" s="3">
        <f>IF($G30="","",IFERROR(INDEX('CAT_PUESTOS'!$B$4:$B$8,MATCH($G30,'CAT_PUESTOS'!$A$4:$A$8,0)),"(sin catálogo)"))</f>
        <v/>
      </c>
      <c r="Z30" s="3">
        <f>IF($H30="","",IFERROR(INDEX('CAT_ACTIVIDADES'!$B$4:$B$8,MATCH($H30,'CAT_ACTIVIDADES'!$A$4:$A$8,0)),"(sin catálogo)"))</f>
        <v/>
      </c>
      <c r="AA30" s="12">
        <f>IF($J30="","",TODAY()-$J30)</f>
        <v/>
      </c>
      <c r="AB30" s="12">
        <f>IF($J30="","",IF($J30&lt;=TODAY(),COUNTIFS(cal_fechas,"&gt;="&amp;$J30,cal_fechas,"&lt;"&amp;TODAY(),cal_habil,"sí"),-COUNTIFS(cal_fechas,"&gt;="&amp;TODAY(),cal_fechas,"&lt;"&amp;$J30,cal_habil,"sí")))</f>
        <v/>
      </c>
      <c r="AC30" s="3">
        <f>IF($AB30="","",IF($AB30&lt;0,"FUTURO",IF($AB30&gt;p_dias_backlog_max,"BACKLOG","MES CORRIENTE")))</f>
        <v/>
      </c>
      <c r="AD30" s="3">
        <f>IF($AB30="",FALSE,AND($AB30&gt;p_dias_backlog_min,$AB30&lt;=p_dias_backlog_max))</f>
        <v/>
      </c>
      <c r="AE30" s="6" t="inlineStr">
        <is>
          <t>Técnico 03</t>
        </is>
      </c>
      <c r="AF30" s="3">
        <f>IF($AE30="","",IF((IFERROR(INDEX('ASIGNACIONES'!$F$4:$F$339,MATCH($O30&amp;"|"&amp;$R30&amp;"|"&amp;$AE30,'ASIGNACIONES'!$J$4:$J$339,0)),""))=0,"",IFERROR(INDEX('ASIGNACIONES'!$F$4:$F$339,MATCH($O30&amp;"|"&amp;$R30&amp;"|"&amp;$AE30,'ASIGNACIONES'!$J$4:$J$339,0)),"")))</f>
        <v/>
      </c>
      <c r="AG30" s="13">
        <f>IF($AE30="","",SUMIFS('ORDENES'!$M$4:$M$1203,'ORDENES'!$AE$4:$AE$1203,$AE30,'ORDENES'!$O$4:$O$1203,$O30,'ORDENES'!$R$4:$R$1203,$R30))</f>
        <v/>
      </c>
      <c r="AH30" s="13">
        <f>IF($AG30="","",p_factor_productividad*IFERROR(INDEX('ASIGNACIONES'!$I$4:$I$339,MATCH($O30&amp;"|"&amp;$R30&amp;"|"&amp;$AE30,'ASIGNACIONES'!$J$4:$J$339,0)),0)-$AG30)</f>
        <v/>
      </c>
      <c r="AI30" s="10">
        <f>IF($A30="","",IFERROR(INDEX('2_IMPORTAR_EJECUCION'!$F$9:$F$1208,MATCH($AQ30,'2_IMPORTAR_EJECUCION'!$J$9:$J$1208,0)),0))</f>
        <v/>
      </c>
      <c r="AJ30" s="10">
        <f>IF($A30="","",MAX(0,IFERROR(INDEX('2_IMPORTAR_EJECUCION'!$H$9:$H$1208,MATCH($AQ30,'2_IMPORTAR_EJECUCION'!$J$9:$J$1208,0)),0)-$AI30))</f>
        <v/>
      </c>
      <c r="AK30" s="10">
        <f>IF($A30="","",$AI30+$AJ30)</f>
        <v/>
      </c>
      <c r="AL30" s="6" t="inlineStr"/>
      <c r="AM30" s="6" t="inlineStr"/>
      <c r="AN30" s="6" t="inlineStr">
        <is>
          <t>ACT-01.pdf</t>
        </is>
      </c>
      <c r="AO30" s="3">
        <f>IF($AN30="","",HYPERLINK(p_ruta_base_checklists&amp;$AN30,"abrir"))</f>
        <v/>
      </c>
      <c r="AP30" s="6" t="inlineStr"/>
      <c r="AQ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IF($A31="","",IFERROR(INDEX('AJUSTES'!$B$4:$B$303,MATCH($AQ31,'AJUSTES'!$A$4:$A$303,0)),IF($K31="","",$K31)))</f>
        <v/>
      </c>
      <c r="N31" s="3">
        <f>IF($A31="","",IFERROR(INDEX('CAT_ESTADOS_ERP'!$B$4:$B$7,MATCH(IFERROR(INDEX('2_IMPORTAR_EJECUCION'!$C$9:$C$1208,MATCH($AQ31,'2_IMPORTAR_EJECUCION'!$J$9:$J$1208,0)),""),'CAT_ESTADOS_ERP'!$A$4:$A$7,0)),"Pendiente"))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J31="","",IFERROR(INDEX('CALENDARIO'!$C$15:$C$214,MATCH(TEXT($J31,"yyyy-mm-dd")&amp;"|"&amp;$V31&amp;"|"&amp;$W31,'CALENDARIO'!$G$15:$G$214,0)),IFERROR(INDEX('CALENDARIO'!$C$15:$C$214,MATCH(TEXT($J31,"yyyy-mm-dd")&amp;"|"&amp;$V31&amp;"|",'CALENDARIO'!$G$15:$G$214,0)),IFERROR(INDEX('CALENDARIO'!$C$15:$C$214,MATCH(TEXT($J31,"yyyy-mm-dd")&amp;"||",'CALENDARIO'!$G$15:$G$214,0)),INDEX(patronHabil,WEEKDAY($J31,2))))))</f>
        <v/>
      </c>
      <c r="T31" s="3">
        <f>IF($I31="","",IFERROR(INDEX('CAT_TIPOS_OT'!$C$4:$C$7,MATCH($I31,'CAT_TIPOS_OT'!$A$4:$A$7,0)),"sin_clasificar"))</f>
        <v/>
      </c>
      <c r="U31" s="3">
        <f>IF($F31="","",IFERROR(INDEX('CAT_CENTROS_COSTO'!$F$4:$F$13,MATCH($F31,'CAT_CENTROS_COSTO'!$A$4:$A$13,0)),"(sin catálogo)"))</f>
        <v/>
      </c>
      <c r="V31" s="3">
        <f>IF($F31="","",IFERROR(INDEX('CAT_CENTROS_COSTO'!$D$4:$D$13,MATCH($F31,'CAT_CENTROS_COSTO'!$A$4:$A$13,0)),"(sin catálogo)"))</f>
        <v/>
      </c>
      <c r="W31" s="3">
        <f>IF($F31="","",IF((IFERROR(INDEX('CAT_CENTROS_COSTO'!$E$4:$E$13,MATCH($F31,'CAT_CENTROS_COSTO'!$A$4:$A$13,0)),""))&lt;&gt;"",IFERROR(INDEX('CAT_CENTROS_COSTO'!$E$4:$E$13,MATCH($F31,'CAT_CENTROS_COSTO'!$A$4:$A$13,0)),""),$V31))</f>
        <v/>
      </c>
      <c r="X31" s="3">
        <f>IF($F31="","",IFERROR(INDEX('CAT_CENTROS_COSTO'!$G$4:$G$13,MATCH($F31,'CAT_CENTROS_COSTO'!$A$4:$A$13,0)),"(sin catálogo)"))</f>
        <v/>
      </c>
      <c r="Y31" s="3">
        <f>IF($G31="","",IFERROR(INDEX('CAT_PUESTOS'!$B$4:$B$8,MATCH($G31,'CAT_PUESTOS'!$A$4:$A$8,0)),"(sin catálogo)"))</f>
        <v/>
      </c>
      <c r="Z31" s="3">
        <f>IF($H31="","",IFERROR(INDEX('CAT_ACTIVIDADES'!$B$4:$B$8,MATCH($H31,'CAT_ACTIVIDADES'!$A$4:$A$8,0)),"(sin catálogo)"))</f>
        <v/>
      </c>
      <c r="AA31" s="12">
        <f>IF($J31="","",TODAY()-$J31)</f>
        <v/>
      </c>
      <c r="AB31" s="12">
        <f>IF($J31="","",IF($J31&lt;=TODAY(),COUNTIFS(cal_fechas,"&gt;="&amp;$J31,cal_fechas,"&lt;"&amp;TODAY(),cal_habil,"sí"),-COUNTIFS(cal_fechas,"&gt;="&amp;TODAY(),cal_fechas,"&lt;"&amp;$J31,cal_habil,"sí")))</f>
        <v/>
      </c>
      <c r="AC31" s="3">
        <f>IF($AB31="","",IF($AB31&lt;0,"FUTURO",IF($AB31&gt;p_dias_backlog_max,"BACKLOG","MES CORRIENTE")))</f>
        <v/>
      </c>
      <c r="AD31" s="3">
        <f>IF($AB31="",FALSE,AND($AB31&gt;p_dias_backlog_min,$AB31&lt;=p_dias_backlog_max))</f>
        <v/>
      </c>
      <c r="AE31" s="6" t="inlineStr">
        <is>
          <t>Técnico 01</t>
        </is>
      </c>
      <c r="AF31" s="3">
        <f>IF($AE31="","",IF((IFERROR(INDEX('ASIGNACIONES'!$F$4:$F$339,MATCH($O31&amp;"|"&amp;$R31&amp;"|"&amp;$AE31,'ASIGNACIONES'!$J$4:$J$339,0)),""))=0,"",IFERROR(INDEX('ASIGNACIONES'!$F$4:$F$339,MATCH($O31&amp;"|"&amp;$R31&amp;"|"&amp;$AE31,'ASIGNACIONES'!$J$4:$J$339,0)),"")))</f>
        <v/>
      </c>
      <c r="AG31" s="13">
        <f>IF($AE31="","",SUMIFS('ORDENES'!$M$4:$M$1203,'ORDENES'!$AE$4:$AE$1203,$AE31,'ORDENES'!$O$4:$O$1203,$O31,'ORDENES'!$R$4:$R$1203,$R31))</f>
        <v/>
      </c>
      <c r="AH31" s="13">
        <f>IF($AG31="","",p_factor_productividad*IFERROR(INDEX('ASIGNACIONES'!$I$4:$I$339,MATCH($O31&amp;"|"&amp;$R31&amp;"|"&amp;$AE31,'ASIGNACIONES'!$J$4:$J$339,0)),0)-$AG31)</f>
        <v/>
      </c>
      <c r="AI31" s="10">
        <f>IF($A31="","",IFERROR(INDEX('2_IMPORTAR_EJECUCION'!$F$9:$F$1208,MATCH($AQ31,'2_IMPORTAR_EJECUCION'!$J$9:$J$1208,0)),0))</f>
        <v/>
      </c>
      <c r="AJ31" s="10">
        <f>IF($A31="","",MAX(0,IFERROR(INDEX('2_IMPORTAR_EJECUCION'!$H$9:$H$1208,MATCH($AQ31,'2_IMPORTAR_EJECUCION'!$J$9:$J$1208,0)),0)-$AI31))</f>
        <v/>
      </c>
      <c r="AK31" s="10">
        <f>IF($A31="","",$AI31+$AJ31)</f>
        <v/>
      </c>
      <c r="AL31" s="6" t="inlineStr"/>
      <c r="AM31" s="6" t="inlineStr"/>
      <c r="AN31" s="6" t="inlineStr">
        <is>
          <t>ACT-02.pdf</t>
        </is>
      </c>
      <c r="AO31" s="3">
        <f>IF($AN31="","",HYPERLINK(p_ruta_base_checklists&amp;$AN31,"abrir"))</f>
        <v/>
      </c>
      <c r="AP31" s="6" t="inlineStr"/>
      <c r="AQ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IF($A32="","",IFERROR(INDEX('AJUSTES'!$B$4:$B$303,MATCH($AQ32,'AJUSTES'!$A$4:$A$303,0)),IF($K32="","",$K32)))</f>
        <v/>
      </c>
      <c r="N32" s="3">
        <f>IF($A32="","",IFERROR(INDEX('CAT_ESTADOS_ERP'!$B$4:$B$7,MATCH(IFERROR(INDEX('2_IMPORTAR_EJECUCION'!$C$9:$C$1208,MATCH($AQ32,'2_IMPORTAR_EJECUCION'!$J$9:$J$1208,0)),""),'CAT_ESTADOS_ERP'!$A$4:$A$7,0)),"Pendiente"))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J32="","",IFERROR(INDEX('CALENDARIO'!$C$15:$C$214,MATCH(TEXT($J32,"yyyy-mm-dd")&amp;"|"&amp;$V32&amp;"|"&amp;$W32,'CALENDARIO'!$G$15:$G$214,0)),IFERROR(INDEX('CALENDARIO'!$C$15:$C$214,MATCH(TEXT($J32,"yyyy-mm-dd")&amp;"|"&amp;$V32&amp;"|",'CALENDARIO'!$G$15:$G$214,0)),IFERROR(INDEX('CALENDARIO'!$C$15:$C$214,MATCH(TEXT($J32,"yyyy-mm-dd")&amp;"||",'CALENDARIO'!$G$15:$G$214,0)),INDEX(patronHabil,WEEKDAY($J32,2))))))</f>
        <v/>
      </c>
      <c r="T32" s="3">
        <f>IF($I32="","",IFERROR(INDEX('CAT_TIPOS_OT'!$C$4:$C$7,MATCH($I32,'CAT_TIPOS_OT'!$A$4:$A$7,0)),"sin_clasificar"))</f>
        <v/>
      </c>
      <c r="U32" s="3">
        <f>IF($F32="","",IFERROR(INDEX('CAT_CENTROS_COSTO'!$F$4:$F$13,MATCH($F32,'CAT_CENTROS_COSTO'!$A$4:$A$13,0)),"(sin catálogo)"))</f>
        <v/>
      </c>
      <c r="V32" s="3">
        <f>IF($F32="","",IFERROR(INDEX('CAT_CENTROS_COSTO'!$D$4:$D$13,MATCH($F32,'CAT_CENTROS_COSTO'!$A$4:$A$13,0)),"(sin catálogo)"))</f>
        <v/>
      </c>
      <c r="W32" s="3">
        <f>IF($F32="","",IF((IFERROR(INDEX('CAT_CENTROS_COSTO'!$E$4:$E$13,MATCH($F32,'CAT_CENTROS_COSTO'!$A$4:$A$13,0)),""))&lt;&gt;"",IFERROR(INDEX('CAT_CENTROS_COSTO'!$E$4:$E$13,MATCH($F32,'CAT_CENTROS_COSTO'!$A$4:$A$13,0)),""),$V32))</f>
        <v/>
      </c>
      <c r="X32" s="3">
        <f>IF($F32="","",IFERROR(INDEX('CAT_CENTROS_COSTO'!$G$4:$G$13,MATCH($F32,'CAT_CENTROS_COSTO'!$A$4:$A$13,0)),"(sin catálogo)"))</f>
        <v/>
      </c>
      <c r="Y32" s="3">
        <f>IF($G32="","",IFERROR(INDEX('CAT_PUESTOS'!$B$4:$B$8,MATCH($G32,'CAT_PUESTOS'!$A$4:$A$8,0)),"(sin catálogo)"))</f>
        <v/>
      </c>
      <c r="Z32" s="3">
        <f>IF($H32="","",IFERROR(INDEX('CAT_ACTIVIDADES'!$B$4:$B$8,MATCH($H32,'CAT_ACTIVIDADES'!$A$4:$A$8,0)),"(sin catálogo)"))</f>
        <v/>
      </c>
      <c r="AA32" s="12">
        <f>IF($J32="","",TODAY()-$J32)</f>
        <v/>
      </c>
      <c r="AB32" s="12">
        <f>IF($J32="","",IF($J32&lt;=TODAY(),COUNTIFS(cal_fechas,"&gt;="&amp;$J32,cal_fechas,"&lt;"&amp;TODAY(),cal_habil,"sí"),-COUNTIFS(cal_fechas,"&gt;="&amp;TODAY(),cal_fechas,"&lt;"&amp;$J32,cal_habil,"sí")))</f>
        <v/>
      </c>
      <c r="AC32" s="3">
        <f>IF($AB32="","",IF($AB32&lt;0,"FUTURO",IF($AB32&gt;p_dias_backlog_max,"BACKLOG","MES CORRIENTE")))</f>
        <v/>
      </c>
      <c r="AD32" s="3">
        <f>IF($AB32="",FALSE,AND($AB32&gt;p_dias_backlog_min,$AB32&lt;=p_dias_backlog_max))</f>
        <v/>
      </c>
      <c r="AE32" s="6" t="inlineStr">
        <is>
          <t>Técnico 02</t>
        </is>
      </c>
      <c r="AF32" s="3">
        <f>IF($AE32="","",IF((IFERROR(INDEX('ASIGNACIONES'!$F$4:$F$339,MATCH($O32&amp;"|"&amp;$R32&amp;"|"&amp;$AE32,'ASIGNACIONES'!$J$4:$J$339,0)),""))=0,"",IFERROR(INDEX('ASIGNACIONES'!$F$4:$F$339,MATCH($O32&amp;"|"&amp;$R32&amp;"|"&amp;$AE32,'ASIGNACIONES'!$J$4:$J$339,0)),"")))</f>
        <v/>
      </c>
      <c r="AG32" s="13">
        <f>IF($AE32="","",SUMIFS('ORDENES'!$M$4:$M$1203,'ORDENES'!$AE$4:$AE$1203,$AE32,'ORDENES'!$O$4:$O$1203,$O32,'ORDENES'!$R$4:$R$1203,$R32))</f>
        <v/>
      </c>
      <c r="AH32" s="13">
        <f>IF($AG32="","",p_factor_productividad*IFERROR(INDEX('ASIGNACIONES'!$I$4:$I$339,MATCH($O32&amp;"|"&amp;$R32&amp;"|"&amp;$AE32,'ASIGNACIONES'!$J$4:$J$339,0)),0)-$AG32)</f>
        <v/>
      </c>
      <c r="AI32" s="10">
        <f>IF($A32="","",IFERROR(INDEX('2_IMPORTAR_EJECUCION'!$F$9:$F$1208,MATCH($AQ32,'2_IMPORTAR_EJECUCION'!$J$9:$J$1208,0)),0))</f>
        <v/>
      </c>
      <c r="AJ32" s="10">
        <f>IF($A32="","",MAX(0,IFERROR(INDEX('2_IMPORTAR_EJECUCION'!$H$9:$H$1208,MATCH($AQ32,'2_IMPORTAR_EJECUCION'!$J$9:$J$1208,0)),0)-$AI32))</f>
        <v/>
      </c>
      <c r="AK32" s="10">
        <f>IF($A32="","",$AI32+$AJ32)</f>
        <v/>
      </c>
      <c r="AL32" s="6" t="inlineStr"/>
      <c r="AM32" s="6" t="inlineStr"/>
      <c r="AN32" s="6" t="inlineStr">
        <is>
          <t>ACT-04.pdf</t>
        </is>
      </c>
      <c r="AO32" s="3">
        <f>IF($AN32="","",HYPERLINK(p_ruta_base_checklists&amp;$AN32,"abrir"))</f>
        <v/>
      </c>
      <c r="AP32" s="6" t="inlineStr"/>
      <c r="AQ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IF($A33="","",IFERROR(INDEX('AJUSTES'!$B$4:$B$303,MATCH($AQ33,'AJUSTES'!$A$4:$A$303,0)),IF($K33="","",$K33)))</f>
        <v/>
      </c>
      <c r="N33" s="3">
        <f>IF($A33="","",IFERROR(INDEX('CAT_ESTADOS_ERP'!$B$4:$B$7,MATCH(IFERROR(INDEX('2_IMPORTAR_EJECUCION'!$C$9:$C$1208,MATCH($AQ33,'2_IMPORTAR_EJECUCION'!$J$9:$J$1208,0)),""),'CAT_ESTADOS_ERP'!$A$4:$A$7,0)),"Pendiente"))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J33="","",IFERROR(INDEX('CALENDARIO'!$C$15:$C$214,MATCH(TEXT($J33,"yyyy-mm-dd")&amp;"|"&amp;$V33&amp;"|"&amp;$W33,'CALENDARIO'!$G$15:$G$214,0)),IFERROR(INDEX('CALENDARIO'!$C$15:$C$214,MATCH(TEXT($J33,"yyyy-mm-dd")&amp;"|"&amp;$V33&amp;"|",'CALENDARIO'!$G$15:$G$214,0)),IFERROR(INDEX('CALENDARIO'!$C$15:$C$214,MATCH(TEXT($J33,"yyyy-mm-dd")&amp;"||",'CALENDARIO'!$G$15:$G$214,0)),INDEX(patronHabil,WEEKDAY($J33,2))))))</f>
        <v/>
      </c>
      <c r="T33" s="3">
        <f>IF($I33="","",IFERROR(INDEX('CAT_TIPOS_OT'!$C$4:$C$7,MATCH($I33,'CAT_TIPOS_OT'!$A$4:$A$7,0)),"sin_clasificar"))</f>
        <v/>
      </c>
      <c r="U33" s="3">
        <f>IF($F33="","",IFERROR(INDEX('CAT_CENTROS_COSTO'!$F$4:$F$13,MATCH($F33,'CAT_CENTROS_COSTO'!$A$4:$A$13,0)),"(sin catálogo)"))</f>
        <v/>
      </c>
      <c r="V33" s="3">
        <f>IF($F33="","",IFERROR(INDEX('CAT_CENTROS_COSTO'!$D$4:$D$13,MATCH($F33,'CAT_CENTROS_COSTO'!$A$4:$A$13,0)),"(sin catálogo)"))</f>
        <v/>
      </c>
      <c r="W33" s="3">
        <f>IF($F33="","",IF((IFERROR(INDEX('CAT_CENTROS_COSTO'!$E$4:$E$13,MATCH($F33,'CAT_CENTROS_COSTO'!$A$4:$A$13,0)),""))&lt;&gt;"",IFERROR(INDEX('CAT_CENTROS_COSTO'!$E$4:$E$13,MATCH($F33,'CAT_CENTROS_COSTO'!$A$4:$A$13,0)),""),$V33))</f>
        <v/>
      </c>
      <c r="X33" s="3">
        <f>IF($F33="","",IFERROR(INDEX('CAT_CENTROS_COSTO'!$G$4:$G$13,MATCH($F33,'CAT_CENTROS_COSTO'!$A$4:$A$13,0)),"(sin catálogo)"))</f>
        <v/>
      </c>
      <c r="Y33" s="3">
        <f>IF($G33="","",IFERROR(INDEX('CAT_PUESTOS'!$B$4:$B$8,MATCH($G33,'CAT_PUESTOS'!$A$4:$A$8,0)),"(sin catálogo)"))</f>
        <v/>
      </c>
      <c r="Z33" s="3">
        <f>IF($H33="","",IFERROR(INDEX('CAT_ACTIVIDADES'!$B$4:$B$8,MATCH($H33,'CAT_ACTIVIDADES'!$A$4:$A$8,0)),"(sin catálogo)"))</f>
        <v/>
      </c>
      <c r="AA33" s="12">
        <f>IF($J33="","",TODAY()-$J33)</f>
        <v/>
      </c>
      <c r="AB33" s="12">
        <f>IF($J33="","",IF($J33&lt;=TODAY(),COUNTIFS(cal_fechas,"&gt;="&amp;$J33,cal_fechas,"&lt;"&amp;TODAY(),cal_habil,"sí"),-COUNTIFS(cal_fechas,"&gt;="&amp;TODAY(),cal_fechas,"&lt;"&amp;$J33,cal_habil,"sí")))</f>
        <v/>
      </c>
      <c r="AC33" s="3">
        <f>IF($AB33="","",IF($AB33&lt;0,"FUTURO",IF($AB33&gt;p_dias_backlog_max,"BACKLOG","MES CORRIENTE")))</f>
        <v/>
      </c>
      <c r="AD33" s="3">
        <f>IF($AB33="",FALSE,AND($AB33&gt;p_dias_backlog_min,$AB33&lt;=p_dias_backlog_max))</f>
        <v/>
      </c>
      <c r="AE33" s="6" t="inlineStr">
        <is>
          <t>Técnico 03</t>
        </is>
      </c>
      <c r="AF33" s="3">
        <f>IF($AE33="","",IF((IFERROR(INDEX('ASIGNACIONES'!$F$4:$F$339,MATCH($O33&amp;"|"&amp;$R33&amp;"|"&amp;$AE33,'ASIGNACIONES'!$J$4:$J$339,0)),""))=0,"",IFERROR(INDEX('ASIGNACIONES'!$F$4:$F$339,MATCH($O33&amp;"|"&amp;$R33&amp;"|"&amp;$AE33,'ASIGNACIONES'!$J$4:$J$339,0)),"")))</f>
        <v/>
      </c>
      <c r="AG33" s="13">
        <f>IF($AE33="","",SUMIFS('ORDENES'!$M$4:$M$1203,'ORDENES'!$AE$4:$AE$1203,$AE33,'ORDENES'!$O$4:$O$1203,$O33,'ORDENES'!$R$4:$R$1203,$R33))</f>
        <v/>
      </c>
      <c r="AH33" s="13">
        <f>IF($AG33="","",p_factor_productividad*IFERROR(INDEX('ASIGNACIONES'!$I$4:$I$339,MATCH($O33&amp;"|"&amp;$R33&amp;"|"&amp;$AE33,'ASIGNACIONES'!$J$4:$J$339,0)),0)-$AG33)</f>
        <v/>
      </c>
      <c r="AI33" s="10">
        <f>IF($A33="","",IFERROR(INDEX('2_IMPORTAR_EJECUCION'!$F$9:$F$1208,MATCH($AQ33,'2_IMPORTAR_EJECUCION'!$J$9:$J$1208,0)),0))</f>
        <v/>
      </c>
      <c r="AJ33" s="10">
        <f>IF($A33="","",MAX(0,IFERROR(INDEX('2_IMPORTAR_EJECUCION'!$H$9:$H$1208,MATCH($AQ33,'2_IMPORTAR_EJECUCION'!$J$9:$J$1208,0)),0)-$AI33))</f>
        <v/>
      </c>
      <c r="AK33" s="10">
        <f>IF($A33="","",$AI33+$AJ33)</f>
        <v/>
      </c>
      <c r="AL33" s="6" t="inlineStr"/>
      <c r="AM33" s="6" t="inlineStr"/>
      <c r="AN33" s="6" t="inlineStr">
        <is>
          <t>ACT-01.pdf</t>
        </is>
      </c>
      <c r="AO33" s="3">
        <f>IF($AN33="","",HYPERLINK(p_ruta_base_checklists&amp;$AN33,"abrir"))</f>
        <v/>
      </c>
      <c r="AP33" s="6" t="inlineStr"/>
      <c r="AQ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IF($A34="","",IFERROR(INDEX('AJUSTES'!$B$4:$B$303,MATCH($AQ34,'AJUSTES'!$A$4:$A$303,0)),IF($K34="","",$K34)))</f>
        <v/>
      </c>
      <c r="N34" s="3">
        <f>IF($A34="","",IFERROR(INDEX('CAT_ESTADOS_ERP'!$B$4:$B$7,MATCH(IFERROR(INDEX('2_IMPORTAR_EJECUCION'!$C$9:$C$1208,MATCH($AQ34,'2_IMPORTAR_EJECUCION'!$J$9:$J$1208,0)),""),'CAT_ESTADOS_ERP'!$A$4:$A$7,0)),"Pendiente"))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J34="","",IFERROR(INDEX('CALENDARIO'!$C$15:$C$214,MATCH(TEXT($J34,"yyyy-mm-dd")&amp;"|"&amp;$V34&amp;"|"&amp;$W34,'CALENDARIO'!$G$15:$G$214,0)),IFERROR(INDEX('CALENDARIO'!$C$15:$C$214,MATCH(TEXT($J34,"yyyy-mm-dd")&amp;"|"&amp;$V34&amp;"|",'CALENDARIO'!$G$15:$G$214,0)),IFERROR(INDEX('CALENDARIO'!$C$15:$C$214,MATCH(TEXT($J34,"yyyy-mm-dd")&amp;"||",'CALENDARIO'!$G$15:$G$214,0)),INDEX(patronHabil,WEEKDAY($J34,2))))))</f>
        <v/>
      </c>
      <c r="T34" s="3">
        <f>IF($I34="","",IFERROR(INDEX('CAT_TIPOS_OT'!$C$4:$C$7,MATCH($I34,'CAT_TIPOS_OT'!$A$4:$A$7,0)),"sin_clasificar"))</f>
        <v/>
      </c>
      <c r="U34" s="3">
        <f>IF($F34="","",IFERROR(INDEX('CAT_CENTROS_COSTO'!$F$4:$F$13,MATCH($F34,'CAT_CENTROS_COSTO'!$A$4:$A$13,0)),"(sin catálogo)"))</f>
        <v/>
      </c>
      <c r="V34" s="3">
        <f>IF($F34="","",IFERROR(INDEX('CAT_CENTROS_COSTO'!$D$4:$D$13,MATCH($F34,'CAT_CENTROS_COSTO'!$A$4:$A$13,0)),"(sin catálogo)"))</f>
        <v/>
      </c>
      <c r="W34" s="3">
        <f>IF($F34="","",IF((IFERROR(INDEX('CAT_CENTROS_COSTO'!$E$4:$E$13,MATCH($F34,'CAT_CENTROS_COSTO'!$A$4:$A$13,0)),""))&lt;&gt;"",IFERROR(INDEX('CAT_CENTROS_COSTO'!$E$4:$E$13,MATCH($F34,'CAT_CENTROS_COSTO'!$A$4:$A$13,0)),""),$V34))</f>
        <v/>
      </c>
      <c r="X34" s="3">
        <f>IF($F34="","",IFERROR(INDEX('CAT_CENTROS_COSTO'!$G$4:$G$13,MATCH($F34,'CAT_CENTROS_COSTO'!$A$4:$A$13,0)),"(sin catálogo)"))</f>
        <v/>
      </c>
      <c r="Y34" s="3">
        <f>IF($G34="","",IFERROR(INDEX('CAT_PUESTOS'!$B$4:$B$8,MATCH($G34,'CAT_PUESTOS'!$A$4:$A$8,0)),"(sin catálogo)"))</f>
        <v/>
      </c>
      <c r="Z34" s="3">
        <f>IF($H34="","",IFERROR(INDEX('CAT_ACTIVIDADES'!$B$4:$B$8,MATCH($H34,'CAT_ACTIVIDADES'!$A$4:$A$8,0)),"(sin catálogo)"))</f>
        <v/>
      </c>
      <c r="AA34" s="12">
        <f>IF($J34="","",TODAY()-$J34)</f>
        <v/>
      </c>
      <c r="AB34" s="12">
        <f>IF($J34="","",IF($J34&lt;=TODAY(),COUNTIFS(cal_fechas,"&gt;="&amp;$J34,cal_fechas,"&lt;"&amp;TODAY(),cal_habil,"sí"),-COUNTIFS(cal_fechas,"&gt;="&amp;TODAY(),cal_fechas,"&lt;"&amp;$J34,cal_habil,"sí")))</f>
        <v/>
      </c>
      <c r="AC34" s="3">
        <f>IF($AB34="","",IF($AB34&lt;0,"FUTURO",IF($AB34&gt;p_dias_backlog_max,"BACKLOG","MES CORRIENTE")))</f>
        <v/>
      </c>
      <c r="AD34" s="3">
        <f>IF($AB34="",FALSE,AND($AB34&gt;p_dias_backlog_min,$AB34&lt;=p_dias_backlog_max))</f>
        <v/>
      </c>
      <c r="AE34" s="6" t="inlineStr">
        <is>
          <t>Técnico 01</t>
        </is>
      </c>
      <c r="AF34" s="3">
        <f>IF($AE34="","",IF((IFERROR(INDEX('ASIGNACIONES'!$F$4:$F$339,MATCH($O34&amp;"|"&amp;$R34&amp;"|"&amp;$AE34,'ASIGNACIONES'!$J$4:$J$339,0)),""))=0,"",IFERROR(INDEX('ASIGNACIONES'!$F$4:$F$339,MATCH($O34&amp;"|"&amp;$R34&amp;"|"&amp;$AE34,'ASIGNACIONES'!$J$4:$J$339,0)),"")))</f>
        <v/>
      </c>
      <c r="AG34" s="13">
        <f>IF($AE34="","",SUMIFS('ORDENES'!$M$4:$M$1203,'ORDENES'!$AE$4:$AE$1203,$AE34,'ORDENES'!$O$4:$O$1203,$O34,'ORDENES'!$R$4:$R$1203,$R34))</f>
        <v/>
      </c>
      <c r="AH34" s="13">
        <f>IF($AG34="","",p_factor_productividad*IFERROR(INDEX('ASIGNACIONES'!$I$4:$I$339,MATCH($O34&amp;"|"&amp;$R34&amp;"|"&amp;$AE34,'ASIGNACIONES'!$J$4:$J$339,0)),0)-$AG34)</f>
        <v/>
      </c>
      <c r="AI34" s="10">
        <f>IF($A34="","",IFERROR(INDEX('2_IMPORTAR_EJECUCION'!$F$9:$F$1208,MATCH($AQ34,'2_IMPORTAR_EJECUCION'!$J$9:$J$1208,0)),0))</f>
        <v/>
      </c>
      <c r="AJ34" s="10">
        <f>IF($A34="","",MAX(0,IFERROR(INDEX('2_IMPORTAR_EJECUCION'!$H$9:$H$1208,MATCH($AQ34,'2_IMPORTAR_EJECUCION'!$J$9:$J$1208,0)),0)-$AI34))</f>
        <v/>
      </c>
      <c r="AK34" s="10">
        <f>IF($A34="","",$AI34+$AJ34)</f>
        <v/>
      </c>
      <c r="AL34" s="6" t="inlineStr"/>
      <c r="AM34" s="6" t="inlineStr"/>
      <c r="AN34" s="6" t="inlineStr">
        <is>
          <t>ACT-02.pdf</t>
        </is>
      </c>
      <c r="AO34" s="3">
        <f>IF($AN34="","",HYPERLINK(p_ruta_base_checklists&amp;$AN34,"abrir"))</f>
        <v/>
      </c>
      <c r="AP34" s="6" t="inlineStr"/>
      <c r="AQ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IF($A35="","",IFERROR(INDEX('AJUSTES'!$B$4:$B$303,MATCH($AQ35,'AJUSTES'!$A$4:$A$303,0)),IF($K35="","",$K35)))</f>
        <v/>
      </c>
      <c r="N35" s="3">
        <f>IF($A35="","",IFERROR(INDEX('CAT_ESTADOS_ERP'!$B$4:$B$7,MATCH(IFERROR(INDEX('2_IMPORTAR_EJECUCION'!$C$9:$C$1208,MATCH($AQ35,'2_IMPORTAR_EJECUCION'!$J$9:$J$1208,0)),""),'CAT_ESTADOS_ERP'!$A$4:$A$7,0)),"Pendiente"))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J35="","",IFERROR(INDEX('CALENDARIO'!$C$15:$C$214,MATCH(TEXT($J35,"yyyy-mm-dd")&amp;"|"&amp;$V35&amp;"|"&amp;$W35,'CALENDARIO'!$G$15:$G$214,0)),IFERROR(INDEX('CALENDARIO'!$C$15:$C$214,MATCH(TEXT($J35,"yyyy-mm-dd")&amp;"|"&amp;$V35&amp;"|",'CALENDARIO'!$G$15:$G$214,0)),IFERROR(INDEX('CALENDARIO'!$C$15:$C$214,MATCH(TEXT($J35,"yyyy-mm-dd")&amp;"||",'CALENDARIO'!$G$15:$G$214,0)),INDEX(patronHabil,WEEKDAY($J35,2))))))</f>
        <v/>
      </c>
      <c r="T35" s="3">
        <f>IF($I35="","",IFERROR(INDEX('CAT_TIPOS_OT'!$C$4:$C$7,MATCH($I35,'CAT_TIPOS_OT'!$A$4:$A$7,0)),"sin_clasificar"))</f>
        <v/>
      </c>
      <c r="U35" s="3">
        <f>IF($F35="","",IFERROR(INDEX('CAT_CENTROS_COSTO'!$F$4:$F$13,MATCH($F35,'CAT_CENTROS_COSTO'!$A$4:$A$13,0)),"(sin catálogo)"))</f>
        <v/>
      </c>
      <c r="V35" s="3">
        <f>IF($F35="","",IFERROR(INDEX('CAT_CENTROS_COSTO'!$D$4:$D$13,MATCH($F35,'CAT_CENTROS_COSTO'!$A$4:$A$13,0)),"(sin catálogo)"))</f>
        <v/>
      </c>
      <c r="W35" s="3">
        <f>IF($F35="","",IF((IFERROR(INDEX('CAT_CENTROS_COSTO'!$E$4:$E$13,MATCH($F35,'CAT_CENTROS_COSTO'!$A$4:$A$13,0)),""))&lt;&gt;"",IFERROR(INDEX('CAT_CENTROS_COSTO'!$E$4:$E$13,MATCH($F35,'CAT_CENTROS_COSTO'!$A$4:$A$13,0)),""),$V35))</f>
        <v/>
      </c>
      <c r="X35" s="3">
        <f>IF($F35="","",IFERROR(INDEX('CAT_CENTROS_COSTO'!$G$4:$G$13,MATCH($F35,'CAT_CENTROS_COSTO'!$A$4:$A$13,0)),"(sin catálogo)"))</f>
        <v/>
      </c>
      <c r="Y35" s="3">
        <f>IF($G35="","",IFERROR(INDEX('CAT_PUESTOS'!$B$4:$B$8,MATCH($G35,'CAT_PUESTOS'!$A$4:$A$8,0)),"(sin catálogo)"))</f>
        <v/>
      </c>
      <c r="Z35" s="3">
        <f>IF($H35="","",IFERROR(INDEX('CAT_ACTIVIDADES'!$B$4:$B$8,MATCH($H35,'CAT_ACTIVIDADES'!$A$4:$A$8,0)),"(sin catálogo)"))</f>
        <v/>
      </c>
      <c r="AA35" s="12">
        <f>IF($J35="","",TODAY()-$J35)</f>
        <v/>
      </c>
      <c r="AB35" s="12">
        <f>IF($J35="","",IF($J35&lt;=TODAY(),COUNTIFS(cal_fechas,"&gt;="&amp;$J35,cal_fechas,"&lt;"&amp;TODAY(),cal_habil,"sí"),-COUNTIFS(cal_fechas,"&gt;="&amp;TODAY(),cal_fechas,"&lt;"&amp;$J35,cal_habil,"sí")))</f>
        <v/>
      </c>
      <c r="AC35" s="3">
        <f>IF($AB35="","",IF($AB35&lt;0,"FUTURO",IF($AB35&gt;p_dias_backlog_max,"BACKLOG","MES CORRIENTE")))</f>
        <v/>
      </c>
      <c r="AD35" s="3">
        <f>IF($AB35="",FALSE,AND($AB35&gt;p_dias_backlog_min,$AB35&lt;=p_dias_backlog_max))</f>
        <v/>
      </c>
      <c r="AE35" s="6" t="inlineStr">
        <is>
          <t>Técnico 02</t>
        </is>
      </c>
      <c r="AF35" s="3">
        <f>IF($AE35="","",IF((IFERROR(INDEX('ASIGNACIONES'!$F$4:$F$339,MATCH($O35&amp;"|"&amp;$R35&amp;"|"&amp;$AE35,'ASIGNACIONES'!$J$4:$J$339,0)),""))=0,"",IFERROR(INDEX('ASIGNACIONES'!$F$4:$F$339,MATCH($O35&amp;"|"&amp;$R35&amp;"|"&amp;$AE35,'ASIGNACIONES'!$J$4:$J$339,0)),"")))</f>
        <v/>
      </c>
      <c r="AG35" s="13">
        <f>IF($AE35="","",SUMIFS('ORDENES'!$M$4:$M$1203,'ORDENES'!$AE$4:$AE$1203,$AE35,'ORDENES'!$O$4:$O$1203,$O35,'ORDENES'!$R$4:$R$1203,$R35))</f>
        <v/>
      </c>
      <c r="AH35" s="13">
        <f>IF($AG35="","",p_factor_productividad*IFERROR(INDEX('ASIGNACIONES'!$I$4:$I$339,MATCH($O35&amp;"|"&amp;$R35&amp;"|"&amp;$AE35,'ASIGNACIONES'!$J$4:$J$339,0)),0)-$AG35)</f>
        <v/>
      </c>
      <c r="AI35" s="10">
        <f>IF($A35="","",IFERROR(INDEX('2_IMPORTAR_EJECUCION'!$F$9:$F$1208,MATCH($AQ35,'2_IMPORTAR_EJECUCION'!$J$9:$J$1208,0)),0))</f>
        <v/>
      </c>
      <c r="AJ35" s="10">
        <f>IF($A35="","",MAX(0,IFERROR(INDEX('2_IMPORTAR_EJECUCION'!$H$9:$H$1208,MATCH($AQ35,'2_IMPORTAR_EJECUCION'!$J$9:$J$1208,0)),0)-$AI35))</f>
        <v/>
      </c>
      <c r="AK35" s="10">
        <f>IF($A35="","",$AI35+$AJ35)</f>
        <v/>
      </c>
      <c r="AL35" s="6" t="inlineStr"/>
      <c r="AM35" s="6" t="inlineStr"/>
      <c r="AN35" s="6" t="inlineStr">
        <is>
          <t>ACT-04.pdf</t>
        </is>
      </c>
      <c r="AO35" s="3">
        <f>IF($AN35="","",HYPERLINK(p_ruta_base_checklists&amp;$AN35,"abrir"))</f>
        <v/>
      </c>
      <c r="AP35" s="6" t="inlineStr"/>
      <c r="AQ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IF($A36="","",IFERROR(INDEX('AJUSTES'!$B$4:$B$303,MATCH($AQ36,'AJUSTES'!$A$4:$A$303,0)),IF($K36="","",$K36)))</f>
        <v/>
      </c>
      <c r="N36" s="3">
        <f>IF($A36="","",IFERROR(INDEX('CAT_ESTADOS_ERP'!$B$4:$B$7,MATCH(IFERROR(INDEX('2_IMPORTAR_EJECUCION'!$C$9:$C$1208,MATCH($AQ36,'2_IMPORTAR_EJECUCION'!$J$9:$J$1208,0)),""),'CAT_ESTADOS_ERP'!$A$4:$A$7,0)),"Pendiente"))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J36="","",IFERROR(INDEX('CALENDARIO'!$C$15:$C$214,MATCH(TEXT($J36,"yyyy-mm-dd")&amp;"|"&amp;$V36&amp;"|"&amp;$W36,'CALENDARIO'!$G$15:$G$214,0)),IFERROR(INDEX('CALENDARIO'!$C$15:$C$214,MATCH(TEXT($J36,"yyyy-mm-dd")&amp;"|"&amp;$V36&amp;"|",'CALENDARIO'!$G$15:$G$214,0)),IFERROR(INDEX('CALENDARIO'!$C$15:$C$214,MATCH(TEXT($J36,"yyyy-mm-dd")&amp;"||",'CALENDARIO'!$G$15:$G$214,0)),INDEX(patronHabil,WEEKDAY($J36,2))))))</f>
        <v/>
      </c>
      <c r="T36" s="3">
        <f>IF($I36="","",IFERROR(INDEX('CAT_TIPOS_OT'!$C$4:$C$7,MATCH($I36,'CAT_TIPOS_OT'!$A$4:$A$7,0)),"sin_clasificar"))</f>
        <v/>
      </c>
      <c r="U36" s="3">
        <f>IF($F36="","",IFERROR(INDEX('CAT_CENTROS_COSTO'!$F$4:$F$13,MATCH($F36,'CAT_CENTROS_COSTO'!$A$4:$A$13,0)),"(sin catálogo)"))</f>
        <v/>
      </c>
      <c r="V36" s="3">
        <f>IF($F36="","",IFERROR(INDEX('CAT_CENTROS_COSTO'!$D$4:$D$13,MATCH($F36,'CAT_CENTROS_COSTO'!$A$4:$A$13,0)),"(sin catálogo)"))</f>
        <v/>
      </c>
      <c r="W36" s="3">
        <f>IF($F36="","",IF((IFERROR(INDEX('CAT_CENTROS_COSTO'!$E$4:$E$13,MATCH($F36,'CAT_CENTROS_COSTO'!$A$4:$A$13,0)),""))&lt;&gt;"",IFERROR(INDEX('CAT_CENTROS_COSTO'!$E$4:$E$13,MATCH($F36,'CAT_CENTROS_COSTO'!$A$4:$A$13,0)),""),$V36))</f>
        <v/>
      </c>
      <c r="X36" s="3">
        <f>IF($F36="","",IFERROR(INDEX('CAT_CENTROS_COSTO'!$G$4:$G$13,MATCH($F36,'CAT_CENTROS_COSTO'!$A$4:$A$13,0)),"(sin catálogo)"))</f>
        <v/>
      </c>
      <c r="Y36" s="3">
        <f>IF($G36="","",IFERROR(INDEX('CAT_PUESTOS'!$B$4:$B$8,MATCH($G36,'CAT_PUESTOS'!$A$4:$A$8,0)),"(sin catálogo)"))</f>
        <v/>
      </c>
      <c r="Z36" s="3">
        <f>IF($H36="","",IFERROR(INDEX('CAT_ACTIVIDADES'!$B$4:$B$8,MATCH($H36,'CAT_ACTIVIDADES'!$A$4:$A$8,0)),"(sin catálogo)"))</f>
        <v/>
      </c>
      <c r="AA36" s="12">
        <f>IF($J36="","",TODAY()-$J36)</f>
        <v/>
      </c>
      <c r="AB36" s="12">
        <f>IF($J36="","",IF($J36&lt;=TODAY(),COUNTIFS(cal_fechas,"&gt;="&amp;$J36,cal_fechas,"&lt;"&amp;TODAY(),cal_habil,"sí"),-COUNTIFS(cal_fechas,"&gt;="&amp;TODAY(),cal_fechas,"&lt;"&amp;$J36,cal_habil,"sí")))</f>
        <v/>
      </c>
      <c r="AC36" s="3">
        <f>IF($AB36="","",IF($AB36&lt;0,"FUTURO",IF($AB36&gt;p_dias_backlog_max,"BACKLOG","MES CORRIENTE")))</f>
        <v/>
      </c>
      <c r="AD36" s="3">
        <f>IF($AB36="",FALSE,AND($AB36&gt;p_dias_backlog_min,$AB36&lt;=p_dias_backlog_max))</f>
        <v/>
      </c>
      <c r="AE36" s="6" t="inlineStr">
        <is>
          <t>Técnico 03</t>
        </is>
      </c>
      <c r="AF36" s="3">
        <f>IF($AE36="","",IF((IFERROR(INDEX('ASIGNACIONES'!$F$4:$F$339,MATCH($O36&amp;"|"&amp;$R36&amp;"|"&amp;$AE36,'ASIGNACIONES'!$J$4:$J$339,0)),""))=0,"",IFERROR(INDEX('ASIGNACIONES'!$F$4:$F$339,MATCH($O36&amp;"|"&amp;$R36&amp;"|"&amp;$AE36,'ASIGNACIONES'!$J$4:$J$339,0)),"")))</f>
        <v/>
      </c>
      <c r="AG36" s="13">
        <f>IF($AE36="","",SUMIFS('ORDENES'!$M$4:$M$1203,'ORDENES'!$AE$4:$AE$1203,$AE36,'ORDENES'!$O$4:$O$1203,$O36,'ORDENES'!$R$4:$R$1203,$R36))</f>
        <v/>
      </c>
      <c r="AH36" s="13">
        <f>IF($AG36="","",p_factor_productividad*IFERROR(INDEX('ASIGNACIONES'!$I$4:$I$339,MATCH($O36&amp;"|"&amp;$R36&amp;"|"&amp;$AE36,'ASIGNACIONES'!$J$4:$J$339,0)),0)-$AG36)</f>
        <v/>
      </c>
      <c r="AI36" s="10">
        <f>IF($A36="","",IFERROR(INDEX('2_IMPORTAR_EJECUCION'!$F$9:$F$1208,MATCH($AQ36,'2_IMPORTAR_EJECUCION'!$J$9:$J$1208,0)),0))</f>
        <v/>
      </c>
      <c r="AJ36" s="10">
        <f>IF($A36="","",MAX(0,IFERROR(INDEX('2_IMPORTAR_EJECUCION'!$H$9:$H$1208,MATCH($AQ36,'2_IMPORTAR_EJECUCION'!$J$9:$J$1208,0)),0)-$AI36))</f>
        <v/>
      </c>
      <c r="AK36" s="10">
        <f>IF($A36="","",$AI36+$AJ36)</f>
        <v/>
      </c>
      <c r="AL36" s="6" t="inlineStr"/>
      <c r="AM36" s="6" t="inlineStr"/>
      <c r="AN36" s="6" t="inlineStr">
        <is>
          <t>ACT-01.pdf</t>
        </is>
      </c>
      <c r="AO36" s="3">
        <f>IF($AN36="","",HYPERLINK(p_ruta_base_checklists&amp;$AN36,"abrir"))</f>
        <v/>
      </c>
      <c r="AP36" s="6" t="inlineStr"/>
      <c r="AQ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IF($A37="","",IFERROR(INDEX('AJUSTES'!$B$4:$B$303,MATCH($AQ37,'AJUSTES'!$A$4:$A$303,0)),IF($K37="","",$K37)))</f>
        <v/>
      </c>
      <c r="N37" s="3">
        <f>IF($A37="","",IFERROR(INDEX('CAT_ESTADOS_ERP'!$B$4:$B$7,MATCH(IFERROR(INDEX('2_IMPORTAR_EJECUCION'!$C$9:$C$1208,MATCH($AQ37,'2_IMPORTAR_EJECUCION'!$J$9:$J$1208,0)),""),'CAT_ESTADOS_ERP'!$A$4:$A$7,0)),"Pendiente"))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J37="","",IFERROR(INDEX('CALENDARIO'!$C$15:$C$214,MATCH(TEXT($J37,"yyyy-mm-dd")&amp;"|"&amp;$V37&amp;"|"&amp;$W37,'CALENDARIO'!$G$15:$G$214,0)),IFERROR(INDEX('CALENDARIO'!$C$15:$C$214,MATCH(TEXT($J37,"yyyy-mm-dd")&amp;"|"&amp;$V37&amp;"|",'CALENDARIO'!$G$15:$G$214,0)),IFERROR(INDEX('CALENDARIO'!$C$15:$C$214,MATCH(TEXT($J37,"yyyy-mm-dd")&amp;"||",'CALENDARIO'!$G$15:$G$214,0)),INDEX(patronHabil,WEEKDAY($J37,2))))))</f>
        <v/>
      </c>
      <c r="T37" s="3">
        <f>IF($I37="","",IFERROR(INDEX('CAT_TIPOS_OT'!$C$4:$C$7,MATCH($I37,'CAT_TIPOS_OT'!$A$4:$A$7,0)),"sin_clasificar"))</f>
        <v/>
      </c>
      <c r="U37" s="3">
        <f>IF($F37="","",IFERROR(INDEX('CAT_CENTROS_COSTO'!$F$4:$F$13,MATCH($F37,'CAT_CENTROS_COSTO'!$A$4:$A$13,0)),"(sin catálogo)"))</f>
        <v/>
      </c>
      <c r="V37" s="3">
        <f>IF($F37="","",IFERROR(INDEX('CAT_CENTROS_COSTO'!$D$4:$D$13,MATCH($F37,'CAT_CENTROS_COSTO'!$A$4:$A$13,0)),"(sin catálogo)"))</f>
        <v/>
      </c>
      <c r="W37" s="3">
        <f>IF($F37="","",IF((IFERROR(INDEX('CAT_CENTROS_COSTO'!$E$4:$E$13,MATCH($F37,'CAT_CENTROS_COSTO'!$A$4:$A$13,0)),""))&lt;&gt;"",IFERROR(INDEX('CAT_CENTROS_COSTO'!$E$4:$E$13,MATCH($F37,'CAT_CENTROS_COSTO'!$A$4:$A$13,0)),""),$V37))</f>
        <v/>
      </c>
      <c r="X37" s="3">
        <f>IF($F37="","",IFERROR(INDEX('CAT_CENTROS_COSTO'!$G$4:$G$13,MATCH($F37,'CAT_CENTROS_COSTO'!$A$4:$A$13,0)),"(sin catálogo)"))</f>
        <v/>
      </c>
      <c r="Y37" s="3">
        <f>IF($G37="","",IFERROR(INDEX('CAT_PUESTOS'!$B$4:$B$8,MATCH($G37,'CAT_PUESTOS'!$A$4:$A$8,0)),"(sin catálogo)"))</f>
        <v/>
      </c>
      <c r="Z37" s="3">
        <f>IF($H37="","",IFERROR(INDEX('CAT_ACTIVIDADES'!$B$4:$B$8,MATCH($H37,'CAT_ACTIVIDADES'!$A$4:$A$8,0)),"(sin catálogo)"))</f>
        <v/>
      </c>
      <c r="AA37" s="12">
        <f>IF($J37="","",TODAY()-$J37)</f>
        <v/>
      </c>
      <c r="AB37" s="12">
        <f>IF($J37="","",IF($J37&lt;=TODAY(),COUNTIFS(cal_fechas,"&gt;="&amp;$J37,cal_fechas,"&lt;"&amp;TODAY(),cal_habil,"sí"),-COUNTIFS(cal_fechas,"&gt;="&amp;TODAY(),cal_fechas,"&lt;"&amp;$J37,cal_habil,"sí")))</f>
        <v/>
      </c>
      <c r="AC37" s="3">
        <f>IF($AB37="","",IF($AB37&lt;0,"FUTURO",IF($AB37&gt;p_dias_backlog_max,"BACKLOG","MES CORRIENTE")))</f>
        <v/>
      </c>
      <c r="AD37" s="3">
        <f>IF($AB37="",FALSE,AND($AB37&gt;p_dias_backlog_min,$AB37&lt;=p_dias_backlog_max))</f>
        <v/>
      </c>
      <c r="AE37" s="6" t="inlineStr">
        <is>
          <t>Técnico 01</t>
        </is>
      </c>
      <c r="AF37" s="3">
        <f>IF($AE37="","",IF((IFERROR(INDEX('ASIGNACIONES'!$F$4:$F$339,MATCH($O37&amp;"|"&amp;$R37&amp;"|"&amp;$AE37,'ASIGNACIONES'!$J$4:$J$339,0)),""))=0,"",IFERROR(INDEX('ASIGNACIONES'!$F$4:$F$339,MATCH($O37&amp;"|"&amp;$R37&amp;"|"&amp;$AE37,'ASIGNACIONES'!$J$4:$J$339,0)),"")))</f>
        <v/>
      </c>
      <c r="AG37" s="13">
        <f>IF($AE37="","",SUMIFS('ORDENES'!$M$4:$M$1203,'ORDENES'!$AE$4:$AE$1203,$AE37,'ORDENES'!$O$4:$O$1203,$O37,'ORDENES'!$R$4:$R$1203,$R37))</f>
        <v/>
      </c>
      <c r="AH37" s="13">
        <f>IF($AG37="","",p_factor_productividad*IFERROR(INDEX('ASIGNACIONES'!$I$4:$I$339,MATCH($O37&amp;"|"&amp;$R37&amp;"|"&amp;$AE37,'ASIGNACIONES'!$J$4:$J$339,0)),0)-$AG37)</f>
        <v/>
      </c>
      <c r="AI37" s="10">
        <f>IF($A37="","",IFERROR(INDEX('2_IMPORTAR_EJECUCION'!$F$9:$F$1208,MATCH($AQ37,'2_IMPORTAR_EJECUCION'!$J$9:$J$1208,0)),0))</f>
        <v/>
      </c>
      <c r="AJ37" s="10">
        <f>IF($A37="","",MAX(0,IFERROR(INDEX('2_IMPORTAR_EJECUCION'!$H$9:$H$1208,MATCH($AQ37,'2_IMPORTAR_EJECUCION'!$J$9:$J$1208,0)),0)-$AI37))</f>
        <v/>
      </c>
      <c r="AK37" s="10">
        <f>IF($A37="","",$AI37+$AJ37)</f>
        <v/>
      </c>
      <c r="AL37" s="6" t="inlineStr"/>
      <c r="AM37" s="6" t="inlineStr"/>
      <c r="AN37" s="6" t="inlineStr">
        <is>
          <t>ACT-02.pdf</t>
        </is>
      </c>
      <c r="AO37" s="3">
        <f>IF($AN37="","",HYPERLINK(p_ruta_base_checklists&amp;$AN37,"abrir"))</f>
        <v/>
      </c>
      <c r="AP37" s="6" t="inlineStr"/>
      <c r="AQ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IF($A38="","",IFERROR(INDEX('AJUSTES'!$B$4:$B$303,MATCH($AQ38,'AJUSTES'!$A$4:$A$303,0)),IF($K38="","",$K38)))</f>
        <v/>
      </c>
      <c r="N38" s="3">
        <f>IF($A38="","",IFERROR(INDEX('CAT_ESTADOS_ERP'!$B$4:$B$7,MATCH(IFERROR(INDEX('2_IMPORTAR_EJECUCION'!$C$9:$C$1208,MATCH($AQ38,'2_IMPORTAR_EJECUCION'!$J$9:$J$1208,0)),""),'CAT_ESTADOS_ERP'!$A$4:$A$7,0)),"Pendiente"))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J38="","",IFERROR(INDEX('CALENDARIO'!$C$15:$C$214,MATCH(TEXT($J38,"yyyy-mm-dd")&amp;"|"&amp;$V38&amp;"|"&amp;$W38,'CALENDARIO'!$G$15:$G$214,0)),IFERROR(INDEX('CALENDARIO'!$C$15:$C$214,MATCH(TEXT($J38,"yyyy-mm-dd")&amp;"|"&amp;$V38&amp;"|",'CALENDARIO'!$G$15:$G$214,0)),IFERROR(INDEX('CALENDARIO'!$C$15:$C$214,MATCH(TEXT($J38,"yyyy-mm-dd")&amp;"||",'CALENDARIO'!$G$15:$G$214,0)),INDEX(patronHabil,WEEKDAY($J38,2))))))</f>
        <v/>
      </c>
      <c r="T38" s="3">
        <f>IF($I38="","",IFERROR(INDEX('CAT_TIPOS_OT'!$C$4:$C$7,MATCH($I38,'CAT_TIPOS_OT'!$A$4:$A$7,0)),"sin_clasificar"))</f>
        <v/>
      </c>
      <c r="U38" s="3">
        <f>IF($F38="","",IFERROR(INDEX('CAT_CENTROS_COSTO'!$F$4:$F$13,MATCH($F38,'CAT_CENTROS_COSTO'!$A$4:$A$13,0)),"(sin catálogo)"))</f>
        <v/>
      </c>
      <c r="V38" s="3">
        <f>IF($F38="","",IFERROR(INDEX('CAT_CENTROS_COSTO'!$D$4:$D$13,MATCH($F38,'CAT_CENTROS_COSTO'!$A$4:$A$13,0)),"(sin catálogo)"))</f>
        <v/>
      </c>
      <c r="W38" s="3">
        <f>IF($F38="","",IF((IFERROR(INDEX('CAT_CENTROS_COSTO'!$E$4:$E$13,MATCH($F38,'CAT_CENTROS_COSTO'!$A$4:$A$13,0)),""))&lt;&gt;"",IFERROR(INDEX('CAT_CENTROS_COSTO'!$E$4:$E$13,MATCH($F38,'CAT_CENTROS_COSTO'!$A$4:$A$13,0)),""),$V38))</f>
        <v/>
      </c>
      <c r="X38" s="3">
        <f>IF($F38="","",IFERROR(INDEX('CAT_CENTROS_COSTO'!$G$4:$G$13,MATCH($F38,'CAT_CENTROS_COSTO'!$A$4:$A$13,0)),"(sin catálogo)"))</f>
        <v/>
      </c>
      <c r="Y38" s="3">
        <f>IF($G38="","",IFERROR(INDEX('CAT_PUESTOS'!$B$4:$B$8,MATCH($G38,'CAT_PUESTOS'!$A$4:$A$8,0)),"(sin catálogo)"))</f>
        <v/>
      </c>
      <c r="Z38" s="3">
        <f>IF($H38="","",IFERROR(INDEX('CAT_ACTIVIDADES'!$B$4:$B$8,MATCH($H38,'CAT_ACTIVIDADES'!$A$4:$A$8,0)),"(sin catálogo)"))</f>
        <v/>
      </c>
      <c r="AA38" s="12">
        <f>IF($J38="","",TODAY()-$J38)</f>
        <v/>
      </c>
      <c r="AB38" s="12">
        <f>IF($J38="","",IF($J38&lt;=TODAY(),COUNTIFS(cal_fechas,"&gt;="&amp;$J38,cal_fechas,"&lt;"&amp;TODAY(),cal_habil,"sí"),-COUNTIFS(cal_fechas,"&gt;="&amp;TODAY(),cal_fechas,"&lt;"&amp;$J38,cal_habil,"sí")))</f>
        <v/>
      </c>
      <c r="AC38" s="3">
        <f>IF($AB38="","",IF($AB38&lt;0,"FUTURO",IF($AB38&gt;p_dias_backlog_max,"BACKLOG","MES CORRIENTE")))</f>
        <v/>
      </c>
      <c r="AD38" s="3">
        <f>IF($AB38="",FALSE,AND($AB38&gt;p_dias_backlog_min,$AB38&lt;=p_dias_backlog_max))</f>
        <v/>
      </c>
      <c r="AE38" s="6" t="inlineStr">
        <is>
          <t>Técnico 02</t>
        </is>
      </c>
      <c r="AF38" s="3">
        <f>IF($AE38="","",IF((IFERROR(INDEX('ASIGNACIONES'!$F$4:$F$339,MATCH($O38&amp;"|"&amp;$R38&amp;"|"&amp;$AE38,'ASIGNACIONES'!$J$4:$J$339,0)),""))=0,"",IFERROR(INDEX('ASIGNACIONES'!$F$4:$F$339,MATCH($O38&amp;"|"&amp;$R38&amp;"|"&amp;$AE38,'ASIGNACIONES'!$J$4:$J$339,0)),"")))</f>
        <v/>
      </c>
      <c r="AG38" s="13">
        <f>IF($AE38="","",SUMIFS('ORDENES'!$M$4:$M$1203,'ORDENES'!$AE$4:$AE$1203,$AE38,'ORDENES'!$O$4:$O$1203,$O38,'ORDENES'!$R$4:$R$1203,$R38))</f>
        <v/>
      </c>
      <c r="AH38" s="13">
        <f>IF($AG38="","",p_factor_productividad*IFERROR(INDEX('ASIGNACIONES'!$I$4:$I$339,MATCH($O38&amp;"|"&amp;$R38&amp;"|"&amp;$AE38,'ASIGNACIONES'!$J$4:$J$339,0)),0)-$AG38)</f>
        <v/>
      </c>
      <c r="AI38" s="10">
        <f>IF($A38="","",IFERROR(INDEX('2_IMPORTAR_EJECUCION'!$F$9:$F$1208,MATCH($AQ38,'2_IMPORTAR_EJECUCION'!$J$9:$J$1208,0)),0))</f>
        <v/>
      </c>
      <c r="AJ38" s="10">
        <f>IF($A38="","",MAX(0,IFERROR(INDEX('2_IMPORTAR_EJECUCION'!$H$9:$H$1208,MATCH($AQ38,'2_IMPORTAR_EJECUCION'!$J$9:$J$1208,0)),0)-$AI38))</f>
        <v/>
      </c>
      <c r="AK38" s="10">
        <f>IF($A38="","",$AI38+$AJ38)</f>
        <v/>
      </c>
      <c r="AL38" s="6" t="inlineStr"/>
      <c r="AM38" s="6" t="inlineStr"/>
      <c r="AN38" s="6" t="inlineStr">
        <is>
          <t>ACT-04.pdf</t>
        </is>
      </c>
      <c r="AO38" s="3">
        <f>IF($AN38="","",HYPERLINK(p_ruta_base_checklists&amp;$AN38,"abrir"))</f>
        <v/>
      </c>
      <c r="AP38" s="6" t="inlineStr"/>
      <c r="AQ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IF($A39="","",IFERROR(INDEX('AJUSTES'!$B$4:$B$303,MATCH($AQ39,'AJUSTES'!$A$4:$A$303,0)),IF($K39="","",$K39)))</f>
        <v/>
      </c>
      <c r="N39" s="3">
        <f>IF($A39="","",IFERROR(INDEX('CAT_ESTADOS_ERP'!$B$4:$B$7,MATCH(IFERROR(INDEX('2_IMPORTAR_EJECUCION'!$C$9:$C$1208,MATCH($AQ39,'2_IMPORTAR_EJECUCION'!$J$9:$J$1208,0)),""),'CAT_ESTADOS_ERP'!$A$4:$A$7,0)),"Pendiente"))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J39="","",IFERROR(INDEX('CALENDARIO'!$C$15:$C$214,MATCH(TEXT($J39,"yyyy-mm-dd")&amp;"|"&amp;$V39&amp;"|"&amp;$W39,'CALENDARIO'!$G$15:$G$214,0)),IFERROR(INDEX('CALENDARIO'!$C$15:$C$214,MATCH(TEXT($J39,"yyyy-mm-dd")&amp;"|"&amp;$V39&amp;"|",'CALENDARIO'!$G$15:$G$214,0)),IFERROR(INDEX('CALENDARIO'!$C$15:$C$214,MATCH(TEXT($J39,"yyyy-mm-dd")&amp;"||",'CALENDARIO'!$G$15:$G$214,0)),INDEX(patronHabil,WEEKDAY($J39,2))))))</f>
        <v/>
      </c>
      <c r="T39" s="3">
        <f>IF($I39="","",IFERROR(INDEX('CAT_TIPOS_OT'!$C$4:$C$7,MATCH($I39,'CAT_TIPOS_OT'!$A$4:$A$7,0)),"sin_clasificar"))</f>
        <v/>
      </c>
      <c r="U39" s="3">
        <f>IF($F39="","",IFERROR(INDEX('CAT_CENTROS_COSTO'!$F$4:$F$13,MATCH($F39,'CAT_CENTROS_COSTO'!$A$4:$A$13,0)),"(sin catálogo)"))</f>
        <v/>
      </c>
      <c r="V39" s="3">
        <f>IF($F39="","",IFERROR(INDEX('CAT_CENTROS_COSTO'!$D$4:$D$13,MATCH($F39,'CAT_CENTROS_COSTO'!$A$4:$A$13,0)),"(sin catálogo)"))</f>
        <v/>
      </c>
      <c r="W39" s="3">
        <f>IF($F39="","",IF((IFERROR(INDEX('CAT_CENTROS_COSTO'!$E$4:$E$13,MATCH($F39,'CAT_CENTROS_COSTO'!$A$4:$A$13,0)),""))&lt;&gt;"",IFERROR(INDEX('CAT_CENTROS_COSTO'!$E$4:$E$13,MATCH($F39,'CAT_CENTROS_COSTO'!$A$4:$A$13,0)),""),$V39))</f>
        <v/>
      </c>
      <c r="X39" s="3">
        <f>IF($F39="","",IFERROR(INDEX('CAT_CENTROS_COSTO'!$G$4:$G$13,MATCH($F39,'CAT_CENTROS_COSTO'!$A$4:$A$13,0)),"(sin catálogo)"))</f>
        <v/>
      </c>
      <c r="Y39" s="3">
        <f>IF($G39="","",IFERROR(INDEX('CAT_PUESTOS'!$B$4:$B$8,MATCH($G39,'CAT_PUESTOS'!$A$4:$A$8,0)),"(sin catálogo)"))</f>
        <v/>
      </c>
      <c r="Z39" s="3">
        <f>IF($H39="","",IFERROR(INDEX('CAT_ACTIVIDADES'!$B$4:$B$8,MATCH($H39,'CAT_ACTIVIDADES'!$A$4:$A$8,0)),"(sin catálogo)"))</f>
        <v/>
      </c>
      <c r="AA39" s="12">
        <f>IF($J39="","",TODAY()-$J39)</f>
        <v/>
      </c>
      <c r="AB39" s="12">
        <f>IF($J39="","",IF($J39&lt;=TODAY(),COUNTIFS(cal_fechas,"&gt;="&amp;$J39,cal_fechas,"&lt;"&amp;TODAY(),cal_habil,"sí"),-COUNTIFS(cal_fechas,"&gt;="&amp;TODAY(),cal_fechas,"&lt;"&amp;$J39,cal_habil,"sí")))</f>
        <v/>
      </c>
      <c r="AC39" s="3">
        <f>IF($AB39="","",IF($AB39&lt;0,"FUTURO",IF($AB39&gt;p_dias_backlog_max,"BACKLOG","MES CORRIENTE")))</f>
        <v/>
      </c>
      <c r="AD39" s="3">
        <f>IF($AB39="",FALSE,AND($AB39&gt;p_dias_backlog_min,$AB39&lt;=p_dias_backlog_max))</f>
        <v/>
      </c>
      <c r="AE39" s="6" t="inlineStr"/>
      <c r="AF39" s="3">
        <f>IF($AE39="","",IF((IFERROR(INDEX('ASIGNACIONES'!$F$4:$F$339,MATCH($O39&amp;"|"&amp;$R39&amp;"|"&amp;$AE39,'ASIGNACIONES'!$J$4:$J$339,0)),""))=0,"",IFERROR(INDEX('ASIGNACIONES'!$F$4:$F$339,MATCH($O39&amp;"|"&amp;$R39&amp;"|"&amp;$AE39,'ASIGNACIONES'!$J$4:$J$339,0)),"")))</f>
        <v/>
      </c>
      <c r="AG39" s="13">
        <f>IF($AE39="","",SUMIFS('ORDENES'!$M$4:$M$1203,'ORDENES'!$AE$4:$AE$1203,$AE39,'ORDENES'!$O$4:$O$1203,$O39,'ORDENES'!$R$4:$R$1203,$R39))</f>
        <v/>
      </c>
      <c r="AH39" s="13">
        <f>IF($AG39="","",p_factor_productividad*IFERROR(INDEX('ASIGNACIONES'!$I$4:$I$339,MATCH($O39&amp;"|"&amp;$R39&amp;"|"&amp;$AE39,'ASIGNACIONES'!$J$4:$J$339,0)),0)-$AG39)</f>
        <v/>
      </c>
      <c r="AI39" s="10">
        <f>IF($A39="","",IFERROR(INDEX('2_IMPORTAR_EJECUCION'!$F$9:$F$1208,MATCH($AQ39,'2_IMPORTAR_EJECUCION'!$J$9:$J$1208,0)),0))</f>
        <v/>
      </c>
      <c r="AJ39" s="10">
        <f>IF($A39="","",MAX(0,IFERROR(INDEX('2_IMPORTAR_EJECUCION'!$H$9:$H$1208,MATCH($AQ39,'2_IMPORTAR_EJECUCION'!$J$9:$J$1208,0)),0)-$AI39))</f>
        <v/>
      </c>
      <c r="AK39" s="10">
        <f>IF($A39="","",$AI39+$AJ39)</f>
        <v/>
      </c>
      <c r="AL39" s="6" t="inlineStr">
        <is>
          <t>PT-CALIENTE</t>
        </is>
      </c>
      <c r="AM39" s="6" t="inlineStr">
        <is>
          <t>LOTO</t>
        </is>
      </c>
      <c r="AN39" s="6" t="inlineStr"/>
      <c r="AO39" s="3">
        <f>IF($AN39="","",HYPERLINK(p_ruta_base_checklists&amp;$AN39,"abrir"))</f>
        <v/>
      </c>
      <c r="AP39" s="6" t="inlineStr"/>
      <c r="AQ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IF($A40="","",IFERROR(INDEX('AJUSTES'!$B$4:$B$303,MATCH($AQ40,'AJUSTES'!$A$4:$A$303,0)),IF($K40="","",$K40)))</f>
        <v/>
      </c>
      <c r="N40" s="3">
        <f>IF($A40="","",IFERROR(INDEX('CAT_ESTADOS_ERP'!$B$4:$B$7,MATCH(IFERROR(INDEX('2_IMPORTAR_EJECUCION'!$C$9:$C$1208,MATCH($AQ40,'2_IMPORTAR_EJECUCION'!$J$9:$J$1208,0)),""),'CAT_ESTADOS_ERP'!$A$4:$A$7,0)),"Pendiente"))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J40="","",IFERROR(INDEX('CALENDARIO'!$C$15:$C$214,MATCH(TEXT($J40,"yyyy-mm-dd")&amp;"|"&amp;$V40&amp;"|"&amp;$W40,'CALENDARIO'!$G$15:$G$214,0)),IFERROR(INDEX('CALENDARIO'!$C$15:$C$214,MATCH(TEXT($J40,"yyyy-mm-dd")&amp;"|"&amp;$V40&amp;"|",'CALENDARIO'!$G$15:$G$214,0)),IFERROR(INDEX('CALENDARIO'!$C$15:$C$214,MATCH(TEXT($J40,"yyyy-mm-dd")&amp;"||",'CALENDARIO'!$G$15:$G$214,0)),INDEX(patronHabil,WEEKDAY($J40,2))))))</f>
        <v/>
      </c>
      <c r="T40" s="3">
        <f>IF($I40="","",IFERROR(INDEX('CAT_TIPOS_OT'!$C$4:$C$7,MATCH($I40,'CAT_TIPOS_OT'!$A$4:$A$7,0)),"sin_clasificar"))</f>
        <v/>
      </c>
      <c r="U40" s="3">
        <f>IF($F40="","",IFERROR(INDEX('CAT_CENTROS_COSTO'!$F$4:$F$13,MATCH($F40,'CAT_CENTROS_COSTO'!$A$4:$A$13,0)),"(sin catálogo)"))</f>
        <v/>
      </c>
      <c r="V40" s="3">
        <f>IF($F40="","",IFERROR(INDEX('CAT_CENTROS_COSTO'!$D$4:$D$13,MATCH($F40,'CAT_CENTROS_COSTO'!$A$4:$A$13,0)),"(sin catálogo)"))</f>
        <v/>
      </c>
      <c r="W40" s="3">
        <f>IF($F40="","",IF((IFERROR(INDEX('CAT_CENTROS_COSTO'!$E$4:$E$13,MATCH($F40,'CAT_CENTROS_COSTO'!$A$4:$A$13,0)),""))&lt;&gt;"",IFERROR(INDEX('CAT_CENTROS_COSTO'!$E$4:$E$13,MATCH($F40,'CAT_CENTROS_COSTO'!$A$4:$A$13,0)),""),$V40))</f>
        <v/>
      </c>
      <c r="X40" s="3">
        <f>IF($F40="","",IFERROR(INDEX('CAT_CENTROS_COSTO'!$G$4:$G$13,MATCH($F40,'CAT_CENTROS_COSTO'!$A$4:$A$13,0)),"(sin catálogo)"))</f>
        <v/>
      </c>
      <c r="Y40" s="3">
        <f>IF($G40="","",IFERROR(INDEX('CAT_PUESTOS'!$B$4:$B$8,MATCH($G40,'CAT_PUESTOS'!$A$4:$A$8,0)),"(sin catálogo)"))</f>
        <v/>
      </c>
      <c r="Z40" s="3">
        <f>IF($H40="","",IFERROR(INDEX('CAT_ACTIVIDADES'!$B$4:$B$8,MATCH($H40,'CAT_ACTIVIDADES'!$A$4:$A$8,0)),"(sin catálogo)"))</f>
        <v/>
      </c>
      <c r="AA40" s="12">
        <f>IF($J40="","",TODAY()-$J40)</f>
        <v/>
      </c>
      <c r="AB40" s="12">
        <f>IF($J40="","",IF($J40&lt;=TODAY(),COUNTIFS(cal_fechas,"&gt;="&amp;$J40,cal_fechas,"&lt;"&amp;TODAY(),cal_habil,"sí"),-COUNTIFS(cal_fechas,"&gt;="&amp;TODAY(),cal_fechas,"&lt;"&amp;$J40,cal_habil,"sí")))</f>
        <v/>
      </c>
      <c r="AC40" s="3">
        <f>IF($AB40="","",IF($AB40&lt;0,"FUTURO",IF($AB40&gt;p_dias_backlog_max,"BACKLOG","MES CORRIENTE")))</f>
        <v/>
      </c>
      <c r="AD40" s="3">
        <f>IF($AB40="",FALSE,AND($AB40&gt;p_dias_backlog_min,$AB40&lt;=p_dias_backlog_max))</f>
        <v/>
      </c>
      <c r="AE40" s="6" t="inlineStr">
        <is>
          <t>Técnico 01</t>
        </is>
      </c>
      <c r="AF40" s="3">
        <f>IF($AE40="","",IF((IFERROR(INDEX('ASIGNACIONES'!$F$4:$F$339,MATCH($O40&amp;"|"&amp;$R40&amp;"|"&amp;$AE40,'ASIGNACIONES'!$J$4:$J$339,0)),""))=0,"",IFERROR(INDEX('ASIGNACIONES'!$F$4:$F$339,MATCH($O40&amp;"|"&amp;$R40&amp;"|"&amp;$AE40,'ASIGNACIONES'!$J$4:$J$339,0)),"")))</f>
        <v/>
      </c>
      <c r="AG40" s="13">
        <f>IF($AE40="","",SUMIFS('ORDENES'!$M$4:$M$1203,'ORDENES'!$AE$4:$AE$1203,$AE40,'ORDENES'!$O$4:$O$1203,$O40,'ORDENES'!$R$4:$R$1203,$R40))</f>
        <v/>
      </c>
      <c r="AH40" s="13">
        <f>IF($AG40="","",p_factor_productividad*IFERROR(INDEX('ASIGNACIONES'!$I$4:$I$339,MATCH($O40&amp;"|"&amp;$R40&amp;"|"&amp;$AE40,'ASIGNACIONES'!$J$4:$J$339,0)),0)-$AG40)</f>
        <v/>
      </c>
      <c r="AI40" s="10">
        <f>IF($A40="","",IFERROR(INDEX('2_IMPORTAR_EJECUCION'!$F$9:$F$1208,MATCH($AQ40,'2_IMPORTAR_EJECUCION'!$J$9:$J$1208,0)),0))</f>
        <v/>
      </c>
      <c r="AJ40" s="10">
        <f>IF($A40="","",MAX(0,IFERROR(INDEX('2_IMPORTAR_EJECUCION'!$H$9:$H$1208,MATCH($AQ40,'2_IMPORTAR_EJECUCION'!$J$9:$J$1208,0)),0)-$AI40))</f>
        <v/>
      </c>
      <c r="AK40" s="10">
        <f>IF($A40="","",$AI40+$AJ40)</f>
        <v/>
      </c>
      <c r="AL40" s="6" t="inlineStr"/>
      <c r="AM40" s="6" t="inlineStr"/>
      <c r="AN40" s="6" t="inlineStr"/>
      <c r="AO40" s="3">
        <f>IF($AN40="","",HYPERLINK(p_ruta_base_checklists&amp;$AN40,"abrir"))</f>
        <v/>
      </c>
      <c r="AP40" s="6" t="inlineStr"/>
      <c r="AQ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IF($A41="","",IFERROR(INDEX('AJUSTES'!$B$4:$B$303,MATCH($AQ41,'AJUSTES'!$A$4:$A$303,0)),IF($K41="","",$K41)))</f>
        <v/>
      </c>
      <c r="N41" s="3">
        <f>IF($A41="","",IFERROR(INDEX('CAT_ESTADOS_ERP'!$B$4:$B$7,MATCH(IFERROR(INDEX('2_IMPORTAR_EJECUCION'!$C$9:$C$1208,MATCH($AQ41,'2_IMPORTAR_EJECUCION'!$J$9:$J$1208,0)),""),'CAT_ESTADOS_ERP'!$A$4:$A$7,0)),"Pendiente"))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J41="","",IFERROR(INDEX('CALENDARIO'!$C$15:$C$214,MATCH(TEXT($J41,"yyyy-mm-dd")&amp;"|"&amp;$V41&amp;"|"&amp;$W41,'CALENDARIO'!$G$15:$G$214,0)),IFERROR(INDEX('CALENDARIO'!$C$15:$C$214,MATCH(TEXT($J41,"yyyy-mm-dd")&amp;"|"&amp;$V41&amp;"|",'CALENDARIO'!$G$15:$G$214,0)),IFERROR(INDEX('CALENDARIO'!$C$15:$C$214,MATCH(TEXT($J41,"yyyy-mm-dd")&amp;"||",'CALENDARIO'!$G$15:$G$214,0)),INDEX(patronHabil,WEEKDAY($J41,2))))))</f>
        <v/>
      </c>
      <c r="T41" s="3">
        <f>IF($I41="","",IFERROR(INDEX('CAT_TIPOS_OT'!$C$4:$C$7,MATCH($I41,'CAT_TIPOS_OT'!$A$4:$A$7,0)),"sin_clasificar"))</f>
        <v/>
      </c>
      <c r="U41" s="3">
        <f>IF($F41="","",IFERROR(INDEX('CAT_CENTROS_COSTO'!$F$4:$F$13,MATCH($F41,'CAT_CENTROS_COSTO'!$A$4:$A$13,0)),"(sin catálogo)"))</f>
        <v/>
      </c>
      <c r="V41" s="3">
        <f>IF($F41="","",IFERROR(INDEX('CAT_CENTROS_COSTO'!$D$4:$D$13,MATCH($F41,'CAT_CENTROS_COSTO'!$A$4:$A$13,0)),"(sin catálogo)"))</f>
        <v/>
      </c>
      <c r="W41" s="3">
        <f>IF($F41="","",IF((IFERROR(INDEX('CAT_CENTROS_COSTO'!$E$4:$E$13,MATCH($F41,'CAT_CENTROS_COSTO'!$A$4:$A$13,0)),""))&lt;&gt;"",IFERROR(INDEX('CAT_CENTROS_COSTO'!$E$4:$E$13,MATCH($F41,'CAT_CENTROS_COSTO'!$A$4:$A$13,0)),""),$V41))</f>
        <v/>
      </c>
      <c r="X41" s="3">
        <f>IF($F41="","",IFERROR(INDEX('CAT_CENTROS_COSTO'!$G$4:$G$13,MATCH($F41,'CAT_CENTROS_COSTO'!$A$4:$A$13,0)),"(sin catálogo)"))</f>
        <v/>
      </c>
      <c r="Y41" s="3">
        <f>IF($G41="","",IFERROR(INDEX('CAT_PUESTOS'!$B$4:$B$8,MATCH($G41,'CAT_PUESTOS'!$A$4:$A$8,0)),"(sin catálogo)"))</f>
        <v/>
      </c>
      <c r="Z41" s="3">
        <f>IF($H41="","",IFERROR(INDEX('CAT_ACTIVIDADES'!$B$4:$B$8,MATCH($H41,'CAT_ACTIVIDADES'!$A$4:$A$8,0)),"(sin catálogo)"))</f>
        <v/>
      </c>
      <c r="AA41" s="12">
        <f>IF($J41="","",TODAY()-$J41)</f>
        <v/>
      </c>
      <c r="AB41" s="12">
        <f>IF($J41="","",IF($J41&lt;=TODAY(),COUNTIFS(cal_fechas,"&gt;="&amp;$J41,cal_fechas,"&lt;"&amp;TODAY(),cal_habil,"sí"),-COUNTIFS(cal_fechas,"&gt;="&amp;TODAY(),cal_fechas,"&lt;"&amp;$J41,cal_habil,"sí")))</f>
        <v/>
      </c>
      <c r="AC41" s="3">
        <f>IF($AB41="","",IF($AB41&lt;0,"FUTURO",IF($AB41&gt;p_dias_backlog_max,"BACKLOG","MES CORRIENTE")))</f>
        <v/>
      </c>
      <c r="AD41" s="3">
        <f>IF($AB41="",FALSE,AND($AB41&gt;p_dias_backlog_min,$AB41&lt;=p_dias_backlog_max))</f>
        <v/>
      </c>
      <c r="AE41" s="6" t="inlineStr">
        <is>
          <t>Técnico 02</t>
        </is>
      </c>
      <c r="AF41" s="3">
        <f>IF($AE41="","",IF((IFERROR(INDEX('ASIGNACIONES'!$F$4:$F$339,MATCH($O41&amp;"|"&amp;$R41&amp;"|"&amp;$AE41,'ASIGNACIONES'!$J$4:$J$339,0)),""))=0,"",IFERROR(INDEX('ASIGNACIONES'!$F$4:$F$339,MATCH($O41&amp;"|"&amp;$R41&amp;"|"&amp;$AE41,'ASIGNACIONES'!$J$4:$J$339,0)),"")))</f>
        <v/>
      </c>
      <c r="AG41" s="13">
        <f>IF($AE41="","",SUMIFS('ORDENES'!$M$4:$M$1203,'ORDENES'!$AE$4:$AE$1203,$AE41,'ORDENES'!$O$4:$O$1203,$O41,'ORDENES'!$R$4:$R$1203,$R41))</f>
        <v/>
      </c>
      <c r="AH41" s="13">
        <f>IF($AG41="","",p_factor_productividad*IFERROR(INDEX('ASIGNACIONES'!$I$4:$I$339,MATCH($O41&amp;"|"&amp;$R41&amp;"|"&amp;$AE41,'ASIGNACIONES'!$J$4:$J$339,0)),0)-$AG41)</f>
        <v/>
      </c>
      <c r="AI41" s="10">
        <f>IF($A41="","",IFERROR(INDEX('2_IMPORTAR_EJECUCION'!$F$9:$F$1208,MATCH($AQ41,'2_IMPORTAR_EJECUCION'!$J$9:$J$1208,0)),0))</f>
        <v/>
      </c>
      <c r="AJ41" s="10">
        <f>IF($A41="","",MAX(0,IFERROR(INDEX('2_IMPORTAR_EJECUCION'!$H$9:$H$1208,MATCH($AQ41,'2_IMPORTAR_EJECUCION'!$J$9:$J$1208,0)),0)-$AI41))</f>
        <v/>
      </c>
      <c r="AK41" s="10">
        <f>IF($A41="","",$AI41+$AJ41)</f>
        <v/>
      </c>
      <c r="AL41" s="6" t="inlineStr"/>
      <c r="AM41" s="6" t="inlineStr"/>
      <c r="AN41" s="6" t="inlineStr">
        <is>
          <t>ACT-04.pdf</t>
        </is>
      </c>
      <c r="AO41" s="3">
        <f>IF($AN41="","",HYPERLINK(p_ruta_base_checklists&amp;$AN41,"abrir"))</f>
        <v/>
      </c>
      <c r="AP41" s="6" t="inlineStr"/>
      <c r="AQ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IF($A42="","",IFERROR(INDEX('AJUSTES'!$B$4:$B$303,MATCH($AQ42,'AJUSTES'!$A$4:$A$303,0)),IF($K42="","",$K42)))</f>
        <v/>
      </c>
      <c r="N42" s="3">
        <f>IF($A42="","",IFERROR(INDEX('CAT_ESTADOS_ERP'!$B$4:$B$7,MATCH(IFERROR(INDEX('2_IMPORTAR_EJECUCION'!$C$9:$C$1208,MATCH($AQ42,'2_IMPORTAR_EJECUCION'!$J$9:$J$1208,0)),""),'CAT_ESTADOS_ERP'!$A$4:$A$7,0)),"Pendiente"))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J42="","",IFERROR(INDEX('CALENDARIO'!$C$15:$C$214,MATCH(TEXT($J42,"yyyy-mm-dd")&amp;"|"&amp;$V42&amp;"|"&amp;$W42,'CALENDARIO'!$G$15:$G$214,0)),IFERROR(INDEX('CALENDARIO'!$C$15:$C$214,MATCH(TEXT($J42,"yyyy-mm-dd")&amp;"|"&amp;$V42&amp;"|",'CALENDARIO'!$G$15:$G$214,0)),IFERROR(INDEX('CALENDARIO'!$C$15:$C$214,MATCH(TEXT($J42,"yyyy-mm-dd")&amp;"||",'CALENDARIO'!$G$15:$G$214,0)),INDEX(patronHabil,WEEKDAY($J42,2))))))</f>
        <v/>
      </c>
      <c r="T42" s="3">
        <f>IF($I42="","",IFERROR(INDEX('CAT_TIPOS_OT'!$C$4:$C$7,MATCH($I42,'CAT_TIPOS_OT'!$A$4:$A$7,0)),"sin_clasificar"))</f>
        <v/>
      </c>
      <c r="U42" s="3">
        <f>IF($F42="","",IFERROR(INDEX('CAT_CENTROS_COSTO'!$F$4:$F$13,MATCH($F42,'CAT_CENTROS_COSTO'!$A$4:$A$13,0)),"(sin catálogo)"))</f>
        <v/>
      </c>
      <c r="V42" s="3">
        <f>IF($F42="","",IFERROR(INDEX('CAT_CENTROS_COSTO'!$D$4:$D$13,MATCH($F42,'CAT_CENTROS_COSTO'!$A$4:$A$13,0)),"(sin catálogo)"))</f>
        <v/>
      </c>
      <c r="W42" s="3">
        <f>IF($F42="","",IF((IFERROR(INDEX('CAT_CENTROS_COSTO'!$E$4:$E$13,MATCH($F42,'CAT_CENTROS_COSTO'!$A$4:$A$13,0)),""))&lt;&gt;"",IFERROR(INDEX('CAT_CENTROS_COSTO'!$E$4:$E$13,MATCH($F42,'CAT_CENTROS_COSTO'!$A$4:$A$13,0)),""),$V42))</f>
        <v/>
      </c>
      <c r="X42" s="3">
        <f>IF($F42="","",IFERROR(INDEX('CAT_CENTROS_COSTO'!$G$4:$G$13,MATCH($F42,'CAT_CENTROS_COSTO'!$A$4:$A$13,0)),"(sin catálogo)"))</f>
        <v/>
      </c>
      <c r="Y42" s="3">
        <f>IF($G42="","",IFERROR(INDEX('CAT_PUESTOS'!$B$4:$B$8,MATCH($G42,'CAT_PUESTOS'!$A$4:$A$8,0)),"(sin catálogo)"))</f>
        <v/>
      </c>
      <c r="Z42" s="3">
        <f>IF($H42="","",IFERROR(INDEX('CAT_ACTIVIDADES'!$B$4:$B$8,MATCH($H42,'CAT_ACTIVIDADES'!$A$4:$A$8,0)),"(sin catálogo)"))</f>
        <v/>
      </c>
      <c r="AA42" s="12">
        <f>IF($J42="","",TODAY()-$J42)</f>
        <v/>
      </c>
      <c r="AB42" s="12">
        <f>IF($J42="","",IF($J42&lt;=TODAY(),COUNTIFS(cal_fechas,"&gt;="&amp;$J42,cal_fechas,"&lt;"&amp;TODAY(),cal_habil,"sí"),-COUNTIFS(cal_fechas,"&gt;="&amp;TODAY(),cal_fechas,"&lt;"&amp;$J42,cal_habil,"sí")))</f>
        <v/>
      </c>
      <c r="AC42" s="3">
        <f>IF($AB42="","",IF($AB42&lt;0,"FUTURO",IF($AB42&gt;p_dias_backlog_max,"BACKLOG","MES CORRIENTE")))</f>
        <v/>
      </c>
      <c r="AD42" s="3">
        <f>IF($AB42="",FALSE,AND($AB42&gt;p_dias_backlog_min,$AB42&lt;=p_dias_backlog_max))</f>
        <v/>
      </c>
      <c r="AE42" s="6" t="inlineStr">
        <is>
          <t>Técnico 03</t>
        </is>
      </c>
      <c r="AF42" s="3">
        <f>IF($AE42="","",IF((IFERROR(INDEX('ASIGNACIONES'!$F$4:$F$339,MATCH($O42&amp;"|"&amp;$R42&amp;"|"&amp;$AE42,'ASIGNACIONES'!$J$4:$J$339,0)),""))=0,"",IFERROR(INDEX('ASIGNACIONES'!$F$4:$F$339,MATCH($O42&amp;"|"&amp;$R42&amp;"|"&amp;$AE42,'ASIGNACIONES'!$J$4:$J$339,0)),"")))</f>
        <v/>
      </c>
      <c r="AG42" s="13">
        <f>IF($AE42="","",SUMIFS('ORDENES'!$M$4:$M$1203,'ORDENES'!$AE$4:$AE$1203,$AE42,'ORDENES'!$O$4:$O$1203,$O42,'ORDENES'!$R$4:$R$1203,$R42))</f>
        <v/>
      </c>
      <c r="AH42" s="13">
        <f>IF($AG42="","",p_factor_productividad*IFERROR(INDEX('ASIGNACIONES'!$I$4:$I$339,MATCH($O42&amp;"|"&amp;$R42&amp;"|"&amp;$AE42,'ASIGNACIONES'!$J$4:$J$339,0)),0)-$AG42)</f>
        <v/>
      </c>
      <c r="AI42" s="10">
        <f>IF($A42="","",IFERROR(INDEX('2_IMPORTAR_EJECUCION'!$F$9:$F$1208,MATCH($AQ42,'2_IMPORTAR_EJECUCION'!$J$9:$J$1208,0)),0))</f>
        <v/>
      </c>
      <c r="AJ42" s="10">
        <f>IF($A42="","",MAX(0,IFERROR(INDEX('2_IMPORTAR_EJECUCION'!$H$9:$H$1208,MATCH($AQ42,'2_IMPORTAR_EJECUCION'!$J$9:$J$1208,0)),0)-$AI42))</f>
        <v/>
      </c>
      <c r="AK42" s="10">
        <f>IF($A42="","",$AI42+$AJ42)</f>
        <v/>
      </c>
      <c r="AL42" s="6" t="inlineStr"/>
      <c r="AM42" s="6" t="inlineStr"/>
      <c r="AN42" s="6" t="inlineStr">
        <is>
          <t>ACT-01.pdf</t>
        </is>
      </c>
      <c r="AO42" s="3">
        <f>IF($AN42="","",HYPERLINK(p_ruta_base_checklists&amp;$AN42,"abrir"))</f>
        <v/>
      </c>
      <c r="AP42" s="6" t="inlineStr"/>
      <c r="AQ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IF($A43="","",IFERROR(INDEX('AJUSTES'!$B$4:$B$303,MATCH($AQ43,'AJUSTES'!$A$4:$A$303,0)),IF($K43="","",$K43)))</f>
        <v/>
      </c>
      <c r="N43" s="3">
        <f>IF($A43="","",IFERROR(INDEX('CAT_ESTADOS_ERP'!$B$4:$B$7,MATCH(IFERROR(INDEX('2_IMPORTAR_EJECUCION'!$C$9:$C$1208,MATCH($AQ43,'2_IMPORTAR_EJECUCION'!$J$9:$J$1208,0)),""),'CAT_ESTADOS_ERP'!$A$4:$A$7,0)),"Pendiente"))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J43="","",IFERROR(INDEX('CALENDARIO'!$C$15:$C$214,MATCH(TEXT($J43,"yyyy-mm-dd")&amp;"|"&amp;$V43&amp;"|"&amp;$W43,'CALENDARIO'!$G$15:$G$214,0)),IFERROR(INDEX('CALENDARIO'!$C$15:$C$214,MATCH(TEXT($J43,"yyyy-mm-dd")&amp;"|"&amp;$V43&amp;"|",'CALENDARIO'!$G$15:$G$214,0)),IFERROR(INDEX('CALENDARIO'!$C$15:$C$214,MATCH(TEXT($J43,"yyyy-mm-dd")&amp;"||",'CALENDARIO'!$G$15:$G$214,0)),INDEX(patronHabil,WEEKDAY($J43,2))))))</f>
        <v/>
      </c>
      <c r="T43" s="3">
        <f>IF($I43="","",IFERROR(INDEX('CAT_TIPOS_OT'!$C$4:$C$7,MATCH($I43,'CAT_TIPOS_OT'!$A$4:$A$7,0)),"sin_clasificar"))</f>
        <v/>
      </c>
      <c r="U43" s="3">
        <f>IF($F43="","",IFERROR(INDEX('CAT_CENTROS_COSTO'!$F$4:$F$13,MATCH($F43,'CAT_CENTROS_COSTO'!$A$4:$A$13,0)),"(sin catálogo)"))</f>
        <v/>
      </c>
      <c r="V43" s="3">
        <f>IF($F43="","",IFERROR(INDEX('CAT_CENTROS_COSTO'!$D$4:$D$13,MATCH($F43,'CAT_CENTROS_COSTO'!$A$4:$A$13,0)),"(sin catálogo)"))</f>
        <v/>
      </c>
      <c r="W43" s="3">
        <f>IF($F43="","",IF((IFERROR(INDEX('CAT_CENTROS_COSTO'!$E$4:$E$13,MATCH($F43,'CAT_CENTROS_COSTO'!$A$4:$A$13,0)),""))&lt;&gt;"",IFERROR(INDEX('CAT_CENTROS_COSTO'!$E$4:$E$13,MATCH($F43,'CAT_CENTROS_COSTO'!$A$4:$A$13,0)),""),$V43))</f>
        <v/>
      </c>
      <c r="X43" s="3">
        <f>IF($F43="","",IFERROR(INDEX('CAT_CENTROS_COSTO'!$G$4:$G$13,MATCH($F43,'CAT_CENTROS_COSTO'!$A$4:$A$13,0)),"(sin catálogo)"))</f>
        <v/>
      </c>
      <c r="Y43" s="3">
        <f>IF($G43="","",IFERROR(INDEX('CAT_PUESTOS'!$B$4:$B$8,MATCH($G43,'CAT_PUESTOS'!$A$4:$A$8,0)),"(sin catálogo)"))</f>
        <v/>
      </c>
      <c r="Z43" s="3">
        <f>IF($H43="","",IFERROR(INDEX('CAT_ACTIVIDADES'!$B$4:$B$8,MATCH($H43,'CAT_ACTIVIDADES'!$A$4:$A$8,0)),"(sin catálogo)"))</f>
        <v/>
      </c>
      <c r="AA43" s="12">
        <f>IF($J43="","",TODAY()-$J43)</f>
        <v/>
      </c>
      <c r="AB43" s="12">
        <f>IF($J43="","",IF($J43&lt;=TODAY(),COUNTIFS(cal_fechas,"&gt;="&amp;$J43,cal_fechas,"&lt;"&amp;TODAY(),cal_habil,"sí"),-COUNTIFS(cal_fechas,"&gt;="&amp;TODAY(),cal_fechas,"&lt;"&amp;$J43,cal_habil,"sí")))</f>
        <v/>
      </c>
      <c r="AC43" s="3">
        <f>IF($AB43="","",IF($AB43&lt;0,"FUTURO",IF($AB43&gt;p_dias_backlog_max,"BACKLOG","MES CORRIENTE")))</f>
        <v/>
      </c>
      <c r="AD43" s="3">
        <f>IF($AB43="",FALSE,AND($AB43&gt;p_dias_backlog_min,$AB43&lt;=p_dias_backlog_max))</f>
        <v/>
      </c>
      <c r="AE43" s="6" t="inlineStr">
        <is>
          <t>Técnico 04</t>
        </is>
      </c>
      <c r="AF43" s="3">
        <f>IF($AE43="","",IF((IFERROR(INDEX('ASIGNACIONES'!$F$4:$F$339,MATCH($O43&amp;"|"&amp;$R43&amp;"|"&amp;$AE43,'ASIGNACIONES'!$J$4:$J$339,0)),""))=0,"",IFERROR(INDEX('ASIGNACIONES'!$F$4:$F$339,MATCH($O43&amp;"|"&amp;$R43&amp;"|"&amp;$AE43,'ASIGNACIONES'!$J$4:$J$339,0)),"")))</f>
        <v/>
      </c>
      <c r="AG43" s="13">
        <f>IF($AE43="","",SUMIFS('ORDENES'!$M$4:$M$1203,'ORDENES'!$AE$4:$AE$1203,$AE43,'ORDENES'!$O$4:$O$1203,$O43,'ORDENES'!$R$4:$R$1203,$R43))</f>
        <v/>
      </c>
      <c r="AH43" s="13">
        <f>IF($AG43="","",p_factor_productividad*IFERROR(INDEX('ASIGNACIONES'!$I$4:$I$339,MATCH($O43&amp;"|"&amp;$R43&amp;"|"&amp;$AE43,'ASIGNACIONES'!$J$4:$J$339,0)),0)-$AG43)</f>
        <v/>
      </c>
      <c r="AI43" s="10">
        <f>IF($A43="","",IFERROR(INDEX('2_IMPORTAR_EJECUCION'!$F$9:$F$1208,MATCH($AQ43,'2_IMPORTAR_EJECUCION'!$J$9:$J$1208,0)),0))</f>
        <v/>
      </c>
      <c r="AJ43" s="10">
        <f>IF($A43="","",MAX(0,IFERROR(INDEX('2_IMPORTAR_EJECUCION'!$H$9:$H$1208,MATCH($AQ43,'2_IMPORTAR_EJECUCION'!$J$9:$J$1208,0)),0)-$AI43))</f>
        <v/>
      </c>
      <c r="AK43" s="10">
        <f>IF($A43="","",$AI43+$AJ43)</f>
        <v/>
      </c>
      <c r="AL43" s="6" t="inlineStr"/>
      <c r="AM43" s="6" t="inlineStr"/>
      <c r="AN43" s="6" t="inlineStr">
        <is>
          <t>ACT-02.pdf</t>
        </is>
      </c>
      <c r="AO43" s="3">
        <f>IF($AN43="","",HYPERLINK(p_ruta_base_checklists&amp;$AN43,"abrir"))</f>
        <v/>
      </c>
      <c r="AP43" s="6" t="inlineStr"/>
      <c r="AQ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IF($A44="","",IFERROR(INDEX('AJUSTES'!$B$4:$B$303,MATCH($AQ44,'AJUSTES'!$A$4:$A$303,0)),IF($K44="","",$K44)))</f>
        <v/>
      </c>
      <c r="N44" s="3">
        <f>IF($A44="","",IFERROR(INDEX('CAT_ESTADOS_ERP'!$B$4:$B$7,MATCH(IFERROR(INDEX('2_IMPORTAR_EJECUCION'!$C$9:$C$1208,MATCH($AQ44,'2_IMPORTAR_EJECUCION'!$J$9:$J$1208,0)),""),'CAT_ESTADOS_ERP'!$A$4:$A$7,0)),"Pendiente"))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J44="","",IFERROR(INDEX('CALENDARIO'!$C$15:$C$214,MATCH(TEXT($J44,"yyyy-mm-dd")&amp;"|"&amp;$V44&amp;"|"&amp;$W44,'CALENDARIO'!$G$15:$G$214,0)),IFERROR(INDEX('CALENDARIO'!$C$15:$C$214,MATCH(TEXT($J44,"yyyy-mm-dd")&amp;"|"&amp;$V44&amp;"|",'CALENDARIO'!$G$15:$G$214,0)),IFERROR(INDEX('CALENDARIO'!$C$15:$C$214,MATCH(TEXT($J44,"yyyy-mm-dd")&amp;"||",'CALENDARIO'!$G$15:$G$214,0)),INDEX(patronHabil,WEEKDAY($J44,2))))))</f>
        <v/>
      </c>
      <c r="T44" s="3">
        <f>IF($I44="","",IFERROR(INDEX('CAT_TIPOS_OT'!$C$4:$C$7,MATCH($I44,'CAT_TIPOS_OT'!$A$4:$A$7,0)),"sin_clasificar"))</f>
        <v/>
      </c>
      <c r="U44" s="3">
        <f>IF($F44="","",IFERROR(INDEX('CAT_CENTROS_COSTO'!$F$4:$F$13,MATCH($F44,'CAT_CENTROS_COSTO'!$A$4:$A$13,0)),"(sin catálogo)"))</f>
        <v/>
      </c>
      <c r="V44" s="3">
        <f>IF($F44="","",IFERROR(INDEX('CAT_CENTROS_COSTO'!$D$4:$D$13,MATCH($F44,'CAT_CENTROS_COSTO'!$A$4:$A$13,0)),"(sin catálogo)"))</f>
        <v/>
      </c>
      <c r="W44" s="3">
        <f>IF($F44="","",IF((IFERROR(INDEX('CAT_CENTROS_COSTO'!$E$4:$E$13,MATCH($F44,'CAT_CENTROS_COSTO'!$A$4:$A$13,0)),""))&lt;&gt;"",IFERROR(INDEX('CAT_CENTROS_COSTO'!$E$4:$E$13,MATCH($F44,'CAT_CENTROS_COSTO'!$A$4:$A$13,0)),""),$V44))</f>
        <v/>
      </c>
      <c r="X44" s="3">
        <f>IF($F44="","",IFERROR(INDEX('CAT_CENTROS_COSTO'!$G$4:$G$13,MATCH($F44,'CAT_CENTROS_COSTO'!$A$4:$A$13,0)),"(sin catálogo)"))</f>
        <v/>
      </c>
      <c r="Y44" s="3">
        <f>IF($G44="","",IFERROR(INDEX('CAT_PUESTOS'!$B$4:$B$8,MATCH($G44,'CAT_PUESTOS'!$A$4:$A$8,0)),"(sin catálogo)"))</f>
        <v/>
      </c>
      <c r="Z44" s="3">
        <f>IF($H44="","",IFERROR(INDEX('CAT_ACTIVIDADES'!$B$4:$B$8,MATCH($H44,'CAT_ACTIVIDADES'!$A$4:$A$8,0)),"(sin catálogo)"))</f>
        <v/>
      </c>
      <c r="AA44" s="12">
        <f>IF($J44="","",TODAY()-$J44)</f>
        <v/>
      </c>
      <c r="AB44" s="12">
        <f>IF($J44="","",IF($J44&lt;=TODAY(),COUNTIFS(cal_fechas,"&gt;="&amp;$J44,cal_fechas,"&lt;"&amp;TODAY(),cal_habil,"sí"),-COUNTIFS(cal_fechas,"&gt;="&amp;TODAY(),cal_fechas,"&lt;"&amp;$J44,cal_habil,"sí")))</f>
        <v/>
      </c>
      <c r="AC44" s="3">
        <f>IF($AB44="","",IF($AB44&lt;0,"FUTURO",IF($AB44&gt;p_dias_backlog_max,"BACKLOG","MES CORRIENTE")))</f>
        <v/>
      </c>
      <c r="AD44" s="3">
        <f>IF($AB44="",FALSE,AND($AB44&gt;p_dias_backlog_min,$AB44&lt;=p_dias_backlog_max))</f>
        <v/>
      </c>
      <c r="AE44" s="6" t="inlineStr">
        <is>
          <t>Técnico 01</t>
        </is>
      </c>
      <c r="AF44" s="3">
        <f>IF($AE44="","",IF((IFERROR(INDEX('ASIGNACIONES'!$F$4:$F$339,MATCH($O44&amp;"|"&amp;$R44&amp;"|"&amp;$AE44,'ASIGNACIONES'!$J$4:$J$339,0)),""))=0,"",IFERROR(INDEX('ASIGNACIONES'!$F$4:$F$339,MATCH($O44&amp;"|"&amp;$R44&amp;"|"&amp;$AE44,'ASIGNACIONES'!$J$4:$J$339,0)),"")))</f>
        <v/>
      </c>
      <c r="AG44" s="13">
        <f>IF($AE44="","",SUMIFS('ORDENES'!$M$4:$M$1203,'ORDENES'!$AE$4:$AE$1203,$AE44,'ORDENES'!$O$4:$O$1203,$O44,'ORDENES'!$R$4:$R$1203,$R44))</f>
        <v/>
      </c>
      <c r="AH44" s="13">
        <f>IF($AG44="","",p_factor_productividad*IFERROR(INDEX('ASIGNACIONES'!$I$4:$I$339,MATCH($O44&amp;"|"&amp;$R44&amp;"|"&amp;$AE44,'ASIGNACIONES'!$J$4:$J$339,0)),0)-$AG44)</f>
        <v/>
      </c>
      <c r="AI44" s="10">
        <f>IF($A44="","",IFERROR(INDEX('2_IMPORTAR_EJECUCION'!$F$9:$F$1208,MATCH($AQ44,'2_IMPORTAR_EJECUCION'!$J$9:$J$1208,0)),0))</f>
        <v/>
      </c>
      <c r="AJ44" s="10">
        <f>IF($A44="","",MAX(0,IFERROR(INDEX('2_IMPORTAR_EJECUCION'!$H$9:$H$1208,MATCH($AQ44,'2_IMPORTAR_EJECUCION'!$J$9:$J$1208,0)),0)-$AI44))</f>
        <v/>
      </c>
      <c r="AK44" s="10">
        <f>IF($A44="","",$AI44+$AJ44)</f>
        <v/>
      </c>
      <c r="AL44" s="6" t="inlineStr"/>
      <c r="AM44" s="6" t="inlineStr"/>
      <c r="AN44" s="6" t="inlineStr">
        <is>
          <t>ACT-04.pdf</t>
        </is>
      </c>
      <c r="AO44" s="3">
        <f>IF($AN44="","",HYPERLINK(p_ruta_base_checklists&amp;$AN44,"abrir"))</f>
        <v/>
      </c>
      <c r="AP44" s="6" t="inlineStr"/>
      <c r="AQ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IF($A45="","",IFERROR(INDEX('AJUSTES'!$B$4:$B$303,MATCH($AQ45,'AJUSTES'!$A$4:$A$303,0)),IF($K45="","",$K45)))</f>
        <v/>
      </c>
      <c r="N45" s="3">
        <f>IF($A45="","",IFERROR(INDEX('CAT_ESTADOS_ERP'!$B$4:$B$7,MATCH(IFERROR(INDEX('2_IMPORTAR_EJECUCION'!$C$9:$C$1208,MATCH($AQ45,'2_IMPORTAR_EJECUCION'!$J$9:$J$1208,0)),""),'CAT_ESTADOS_ERP'!$A$4:$A$7,0)),"Pendiente"))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J45="","",IFERROR(INDEX('CALENDARIO'!$C$15:$C$214,MATCH(TEXT($J45,"yyyy-mm-dd")&amp;"|"&amp;$V45&amp;"|"&amp;$W45,'CALENDARIO'!$G$15:$G$214,0)),IFERROR(INDEX('CALENDARIO'!$C$15:$C$214,MATCH(TEXT($J45,"yyyy-mm-dd")&amp;"|"&amp;$V45&amp;"|",'CALENDARIO'!$G$15:$G$214,0)),IFERROR(INDEX('CALENDARIO'!$C$15:$C$214,MATCH(TEXT($J45,"yyyy-mm-dd")&amp;"||",'CALENDARIO'!$G$15:$G$214,0)),INDEX(patronHabil,WEEKDAY($J45,2))))))</f>
        <v/>
      </c>
      <c r="T45" s="3">
        <f>IF($I45="","",IFERROR(INDEX('CAT_TIPOS_OT'!$C$4:$C$7,MATCH($I45,'CAT_TIPOS_OT'!$A$4:$A$7,0)),"sin_clasificar"))</f>
        <v/>
      </c>
      <c r="U45" s="3">
        <f>IF($F45="","",IFERROR(INDEX('CAT_CENTROS_COSTO'!$F$4:$F$13,MATCH($F45,'CAT_CENTROS_COSTO'!$A$4:$A$13,0)),"(sin catálogo)"))</f>
        <v/>
      </c>
      <c r="V45" s="3">
        <f>IF($F45="","",IFERROR(INDEX('CAT_CENTROS_COSTO'!$D$4:$D$13,MATCH($F45,'CAT_CENTROS_COSTO'!$A$4:$A$13,0)),"(sin catálogo)"))</f>
        <v/>
      </c>
      <c r="W45" s="3">
        <f>IF($F45="","",IF((IFERROR(INDEX('CAT_CENTROS_COSTO'!$E$4:$E$13,MATCH($F45,'CAT_CENTROS_COSTO'!$A$4:$A$13,0)),""))&lt;&gt;"",IFERROR(INDEX('CAT_CENTROS_COSTO'!$E$4:$E$13,MATCH($F45,'CAT_CENTROS_COSTO'!$A$4:$A$13,0)),""),$V45))</f>
        <v/>
      </c>
      <c r="X45" s="3">
        <f>IF($F45="","",IFERROR(INDEX('CAT_CENTROS_COSTO'!$G$4:$G$13,MATCH($F45,'CAT_CENTROS_COSTO'!$A$4:$A$13,0)),"(sin catálogo)"))</f>
        <v/>
      </c>
      <c r="Y45" s="3">
        <f>IF($G45="","",IFERROR(INDEX('CAT_PUESTOS'!$B$4:$B$8,MATCH($G45,'CAT_PUESTOS'!$A$4:$A$8,0)),"(sin catálogo)"))</f>
        <v/>
      </c>
      <c r="Z45" s="3">
        <f>IF($H45="","",IFERROR(INDEX('CAT_ACTIVIDADES'!$B$4:$B$8,MATCH($H45,'CAT_ACTIVIDADES'!$A$4:$A$8,0)),"(sin catálogo)"))</f>
        <v/>
      </c>
      <c r="AA45" s="12">
        <f>IF($J45="","",TODAY()-$J45)</f>
        <v/>
      </c>
      <c r="AB45" s="12">
        <f>IF($J45="","",IF($J45&lt;=TODAY(),COUNTIFS(cal_fechas,"&gt;="&amp;$J45,cal_fechas,"&lt;"&amp;TODAY(),cal_habil,"sí"),-COUNTIFS(cal_fechas,"&gt;="&amp;TODAY(),cal_fechas,"&lt;"&amp;$J45,cal_habil,"sí")))</f>
        <v/>
      </c>
      <c r="AC45" s="3">
        <f>IF($AB45="","",IF($AB45&lt;0,"FUTURO",IF($AB45&gt;p_dias_backlog_max,"BACKLOG","MES CORRIENTE")))</f>
        <v/>
      </c>
      <c r="AD45" s="3">
        <f>IF($AB45="",FALSE,AND($AB45&gt;p_dias_backlog_min,$AB45&lt;=p_dias_backlog_max))</f>
        <v/>
      </c>
      <c r="AE45" s="6" t="inlineStr">
        <is>
          <t>Técnico 02</t>
        </is>
      </c>
      <c r="AF45" s="3">
        <f>IF($AE45="","",IF((IFERROR(INDEX('ASIGNACIONES'!$F$4:$F$339,MATCH($O45&amp;"|"&amp;$R45&amp;"|"&amp;$AE45,'ASIGNACIONES'!$J$4:$J$339,0)),""))=0,"",IFERROR(INDEX('ASIGNACIONES'!$F$4:$F$339,MATCH($O45&amp;"|"&amp;$R45&amp;"|"&amp;$AE45,'ASIGNACIONES'!$J$4:$J$339,0)),"")))</f>
        <v/>
      </c>
      <c r="AG45" s="13">
        <f>IF($AE45="","",SUMIFS('ORDENES'!$M$4:$M$1203,'ORDENES'!$AE$4:$AE$1203,$AE45,'ORDENES'!$O$4:$O$1203,$O45,'ORDENES'!$R$4:$R$1203,$R45))</f>
        <v/>
      </c>
      <c r="AH45" s="13">
        <f>IF($AG45="","",p_factor_productividad*IFERROR(INDEX('ASIGNACIONES'!$I$4:$I$339,MATCH($O45&amp;"|"&amp;$R45&amp;"|"&amp;$AE45,'ASIGNACIONES'!$J$4:$J$339,0)),0)-$AG45)</f>
        <v/>
      </c>
      <c r="AI45" s="10">
        <f>IF($A45="","",IFERROR(INDEX('2_IMPORTAR_EJECUCION'!$F$9:$F$1208,MATCH($AQ45,'2_IMPORTAR_EJECUCION'!$J$9:$J$1208,0)),0))</f>
        <v/>
      </c>
      <c r="AJ45" s="10">
        <f>IF($A45="","",MAX(0,IFERROR(INDEX('2_IMPORTAR_EJECUCION'!$H$9:$H$1208,MATCH($AQ45,'2_IMPORTAR_EJECUCION'!$J$9:$J$1208,0)),0)-$AI45))</f>
        <v/>
      </c>
      <c r="AK45" s="10">
        <f>IF($A45="","",$AI45+$AJ45)</f>
        <v/>
      </c>
      <c r="AL45" s="6" t="inlineStr"/>
      <c r="AM45" s="6" t="inlineStr"/>
      <c r="AN45" s="6" t="inlineStr">
        <is>
          <t>ACT-01.pdf</t>
        </is>
      </c>
      <c r="AO45" s="3">
        <f>IF($AN45="","",HYPERLINK(p_ruta_base_checklists&amp;$AN45,"abrir"))</f>
        <v/>
      </c>
      <c r="AP45" s="6" t="inlineStr"/>
      <c r="AQ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IF($A46="","",IFERROR(INDEX('AJUSTES'!$B$4:$B$303,MATCH($AQ46,'AJUSTES'!$A$4:$A$303,0)),IF($K46="","",$K46)))</f>
        <v/>
      </c>
      <c r="N46" s="3">
        <f>IF($A46="","",IFERROR(INDEX('CAT_ESTADOS_ERP'!$B$4:$B$7,MATCH(IFERROR(INDEX('2_IMPORTAR_EJECUCION'!$C$9:$C$1208,MATCH($AQ46,'2_IMPORTAR_EJECUCION'!$J$9:$J$1208,0)),""),'CAT_ESTADOS_ERP'!$A$4:$A$7,0)),"Pendiente"))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J46="","",IFERROR(INDEX('CALENDARIO'!$C$15:$C$214,MATCH(TEXT($J46,"yyyy-mm-dd")&amp;"|"&amp;$V46&amp;"|"&amp;$W46,'CALENDARIO'!$G$15:$G$214,0)),IFERROR(INDEX('CALENDARIO'!$C$15:$C$214,MATCH(TEXT($J46,"yyyy-mm-dd")&amp;"|"&amp;$V46&amp;"|",'CALENDARIO'!$G$15:$G$214,0)),IFERROR(INDEX('CALENDARIO'!$C$15:$C$214,MATCH(TEXT($J46,"yyyy-mm-dd")&amp;"||",'CALENDARIO'!$G$15:$G$214,0)),INDEX(patronHabil,WEEKDAY($J46,2))))))</f>
        <v/>
      </c>
      <c r="T46" s="3">
        <f>IF($I46="","",IFERROR(INDEX('CAT_TIPOS_OT'!$C$4:$C$7,MATCH($I46,'CAT_TIPOS_OT'!$A$4:$A$7,0)),"sin_clasificar"))</f>
        <v/>
      </c>
      <c r="U46" s="3">
        <f>IF($F46="","",IFERROR(INDEX('CAT_CENTROS_COSTO'!$F$4:$F$13,MATCH($F46,'CAT_CENTROS_COSTO'!$A$4:$A$13,0)),"(sin catálogo)"))</f>
        <v/>
      </c>
      <c r="V46" s="3">
        <f>IF($F46="","",IFERROR(INDEX('CAT_CENTROS_COSTO'!$D$4:$D$13,MATCH($F46,'CAT_CENTROS_COSTO'!$A$4:$A$13,0)),"(sin catálogo)"))</f>
        <v/>
      </c>
      <c r="W46" s="3">
        <f>IF($F46="","",IF((IFERROR(INDEX('CAT_CENTROS_COSTO'!$E$4:$E$13,MATCH($F46,'CAT_CENTROS_COSTO'!$A$4:$A$13,0)),""))&lt;&gt;"",IFERROR(INDEX('CAT_CENTROS_COSTO'!$E$4:$E$13,MATCH($F46,'CAT_CENTROS_COSTO'!$A$4:$A$13,0)),""),$V46))</f>
        <v/>
      </c>
      <c r="X46" s="3">
        <f>IF($F46="","",IFERROR(INDEX('CAT_CENTROS_COSTO'!$G$4:$G$13,MATCH($F46,'CAT_CENTROS_COSTO'!$A$4:$A$13,0)),"(sin catálogo)"))</f>
        <v/>
      </c>
      <c r="Y46" s="3">
        <f>IF($G46="","",IFERROR(INDEX('CAT_PUESTOS'!$B$4:$B$8,MATCH($G46,'CAT_PUESTOS'!$A$4:$A$8,0)),"(sin catálogo)"))</f>
        <v/>
      </c>
      <c r="Z46" s="3">
        <f>IF($H46="","",IFERROR(INDEX('CAT_ACTIVIDADES'!$B$4:$B$8,MATCH($H46,'CAT_ACTIVIDADES'!$A$4:$A$8,0)),"(sin catálogo)"))</f>
        <v/>
      </c>
      <c r="AA46" s="12">
        <f>IF($J46="","",TODAY()-$J46)</f>
        <v/>
      </c>
      <c r="AB46" s="12">
        <f>IF($J46="","",IF($J46&lt;=TODAY(),COUNTIFS(cal_fechas,"&gt;="&amp;$J46,cal_fechas,"&lt;"&amp;TODAY(),cal_habil,"sí"),-COUNTIFS(cal_fechas,"&gt;="&amp;TODAY(),cal_fechas,"&lt;"&amp;$J46,cal_habil,"sí")))</f>
        <v/>
      </c>
      <c r="AC46" s="3">
        <f>IF($AB46="","",IF($AB46&lt;0,"FUTURO",IF($AB46&gt;p_dias_backlog_max,"BACKLOG","MES CORRIENTE")))</f>
        <v/>
      </c>
      <c r="AD46" s="3">
        <f>IF($AB46="",FALSE,AND($AB46&gt;p_dias_backlog_min,$AB46&lt;=p_dias_backlog_max))</f>
        <v/>
      </c>
      <c r="AE46" s="6" t="inlineStr">
        <is>
          <t>Técnico 03</t>
        </is>
      </c>
      <c r="AF46" s="3">
        <f>IF($AE46="","",IF((IFERROR(INDEX('ASIGNACIONES'!$F$4:$F$339,MATCH($O46&amp;"|"&amp;$R46&amp;"|"&amp;$AE46,'ASIGNACIONES'!$J$4:$J$339,0)),""))=0,"",IFERROR(INDEX('ASIGNACIONES'!$F$4:$F$339,MATCH($O46&amp;"|"&amp;$R46&amp;"|"&amp;$AE46,'ASIGNACIONES'!$J$4:$J$339,0)),"")))</f>
        <v/>
      </c>
      <c r="AG46" s="13">
        <f>IF($AE46="","",SUMIFS('ORDENES'!$M$4:$M$1203,'ORDENES'!$AE$4:$AE$1203,$AE46,'ORDENES'!$O$4:$O$1203,$O46,'ORDENES'!$R$4:$R$1203,$R46))</f>
        <v/>
      </c>
      <c r="AH46" s="13">
        <f>IF($AG46="","",p_factor_productividad*IFERROR(INDEX('ASIGNACIONES'!$I$4:$I$339,MATCH($O46&amp;"|"&amp;$R46&amp;"|"&amp;$AE46,'ASIGNACIONES'!$J$4:$J$339,0)),0)-$AG46)</f>
        <v/>
      </c>
      <c r="AI46" s="10">
        <f>IF($A46="","",IFERROR(INDEX('2_IMPORTAR_EJECUCION'!$F$9:$F$1208,MATCH($AQ46,'2_IMPORTAR_EJECUCION'!$J$9:$J$1208,0)),0))</f>
        <v/>
      </c>
      <c r="AJ46" s="10">
        <f>IF($A46="","",MAX(0,IFERROR(INDEX('2_IMPORTAR_EJECUCION'!$H$9:$H$1208,MATCH($AQ46,'2_IMPORTAR_EJECUCION'!$J$9:$J$1208,0)),0)-$AI46))</f>
        <v/>
      </c>
      <c r="AK46" s="10">
        <f>IF($A46="","",$AI46+$AJ46)</f>
        <v/>
      </c>
      <c r="AL46" s="6" t="inlineStr"/>
      <c r="AM46" s="6" t="inlineStr"/>
      <c r="AN46" s="6" t="inlineStr">
        <is>
          <t>ACT-02.pdf</t>
        </is>
      </c>
      <c r="AO46" s="3">
        <f>IF($AN46="","",HYPERLINK(p_ruta_base_checklists&amp;$AN46,"abrir"))</f>
        <v/>
      </c>
      <c r="AP46" s="6" t="inlineStr"/>
      <c r="AQ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IF($A47="","",IFERROR(INDEX('AJUSTES'!$B$4:$B$303,MATCH($AQ47,'AJUSTES'!$A$4:$A$303,0)),IF($K47="","",$K47)))</f>
        <v/>
      </c>
      <c r="N47" s="3">
        <f>IF($A47="","",IFERROR(INDEX('CAT_ESTADOS_ERP'!$B$4:$B$7,MATCH(IFERROR(INDEX('2_IMPORTAR_EJECUCION'!$C$9:$C$1208,MATCH($AQ47,'2_IMPORTAR_EJECUCION'!$J$9:$J$1208,0)),""),'CAT_ESTADOS_ERP'!$A$4:$A$7,0)),"Pendiente"))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J47="","",IFERROR(INDEX('CALENDARIO'!$C$15:$C$214,MATCH(TEXT($J47,"yyyy-mm-dd")&amp;"|"&amp;$V47&amp;"|"&amp;$W47,'CALENDARIO'!$G$15:$G$214,0)),IFERROR(INDEX('CALENDARIO'!$C$15:$C$214,MATCH(TEXT($J47,"yyyy-mm-dd")&amp;"|"&amp;$V47&amp;"|",'CALENDARIO'!$G$15:$G$214,0)),IFERROR(INDEX('CALENDARIO'!$C$15:$C$214,MATCH(TEXT($J47,"yyyy-mm-dd")&amp;"||",'CALENDARIO'!$G$15:$G$214,0)),INDEX(patronHabil,WEEKDAY($J47,2))))))</f>
        <v/>
      </c>
      <c r="T47" s="3">
        <f>IF($I47="","",IFERROR(INDEX('CAT_TIPOS_OT'!$C$4:$C$7,MATCH($I47,'CAT_TIPOS_OT'!$A$4:$A$7,0)),"sin_clasificar"))</f>
        <v/>
      </c>
      <c r="U47" s="3">
        <f>IF($F47="","",IFERROR(INDEX('CAT_CENTROS_COSTO'!$F$4:$F$13,MATCH($F47,'CAT_CENTROS_COSTO'!$A$4:$A$13,0)),"(sin catálogo)"))</f>
        <v/>
      </c>
      <c r="V47" s="3">
        <f>IF($F47="","",IFERROR(INDEX('CAT_CENTROS_COSTO'!$D$4:$D$13,MATCH($F47,'CAT_CENTROS_COSTO'!$A$4:$A$13,0)),"(sin catálogo)"))</f>
        <v/>
      </c>
      <c r="W47" s="3">
        <f>IF($F47="","",IF((IFERROR(INDEX('CAT_CENTROS_COSTO'!$E$4:$E$13,MATCH($F47,'CAT_CENTROS_COSTO'!$A$4:$A$13,0)),""))&lt;&gt;"",IFERROR(INDEX('CAT_CENTROS_COSTO'!$E$4:$E$13,MATCH($F47,'CAT_CENTROS_COSTO'!$A$4:$A$13,0)),""),$V47))</f>
        <v/>
      </c>
      <c r="X47" s="3">
        <f>IF($F47="","",IFERROR(INDEX('CAT_CENTROS_COSTO'!$G$4:$G$13,MATCH($F47,'CAT_CENTROS_COSTO'!$A$4:$A$13,0)),"(sin catálogo)"))</f>
        <v/>
      </c>
      <c r="Y47" s="3">
        <f>IF($G47="","",IFERROR(INDEX('CAT_PUESTOS'!$B$4:$B$8,MATCH($G47,'CAT_PUESTOS'!$A$4:$A$8,0)),"(sin catálogo)"))</f>
        <v/>
      </c>
      <c r="Z47" s="3">
        <f>IF($H47="","",IFERROR(INDEX('CAT_ACTIVIDADES'!$B$4:$B$8,MATCH($H47,'CAT_ACTIVIDADES'!$A$4:$A$8,0)),"(sin catálogo)"))</f>
        <v/>
      </c>
      <c r="AA47" s="12">
        <f>IF($J47="","",TODAY()-$J47)</f>
        <v/>
      </c>
      <c r="AB47" s="12">
        <f>IF($J47="","",IF($J47&lt;=TODAY(),COUNTIFS(cal_fechas,"&gt;="&amp;$J47,cal_fechas,"&lt;"&amp;TODAY(),cal_habil,"sí"),-COUNTIFS(cal_fechas,"&gt;="&amp;TODAY(),cal_fechas,"&lt;"&amp;$J47,cal_habil,"sí")))</f>
        <v/>
      </c>
      <c r="AC47" s="3">
        <f>IF($AB47="","",IF($AB47&lt;0,"FUTURO",IF($AB47&gt;p_dias_backlog_max,"BACKLOG","MES CORRIENTE")))</f>
        <v/>
      </c>
      <c r="AD47" s="3">
        <f>IF($AB47="",FALSE,AND($AB47&gt;p_dias_backlog_min,$AB47&lt;=p_dias_backlog_max))</f>
        <v/>
      </c>
      <c r="AE47" s="6" t="inlineStr">
        <is>
          <t>Técnico 04</t>
        </is>
      </c>
      <c r="AF47" s="3">
        <f>IF($AE47="","",IF((IFERROR(INDEX('ASIGNACIONES'!$F$4:$F$339,MATCH($O47&amp;"|"&amp;$R47&amp;"|"&amp;$AE47,'ASIGNACIONES'!$J$4:$J$339,0)),""))=0,"",IFERROR(INDEX('ASIGNACIONES'!$F$4:$F$339,MATCH($O47&amp;"|"&amp;$R47&amp;"|"&amp;$AE47,'ASIGNACIONES'!$J$4:$J$339,0)),"")))</f>
        <v/>
      </c>
      <c r="AG47" s="13">
        <f>IF($AE47="","",SUMIFS('ORDENES'!$M$4:$M$1203,'ORDENES'!$AE$4:$AE$1203,$AE47,'ORDENES'!$O$4:$O$1203,$O47,'ORDENES'!$R$4:$R$1203,$R47))</f>
        <v/>
      </c>
      <c r="AH47" s="13">
        <f>IF($AG47="","",p_factor_productividad*IFERROR(INDEX('ASIGNACIONES'!$I$4:$I$339,MATCH($O47&amp;"|"&amp;$R47&amp;"|"&amp;$AE47,'ASIGNACIONES'!$J$4:$J$339,0)),0)-$AG47)</f>
        <v/>
      </c>
      <c r="AI47" s="10">
        <f>IF($A47="","",IFERROR(INDEX('2_IMPORTAR_EJECUCION'!$F$9:$F$1208,MATCH($AQ47,'2_IMPORTAR_EJECUCION'!$J$9:$J$1208,0)),0))</f>
        <v/>
      </c>
      <c r="AJ47" s="10">
        <f>IF($A47="","",MAX(0,IFERROR(INDEX('2_IMPORTAR_EJECUCION'!$H$9:$H$1208,MATCH($AQ47,'2_IMPORTAR_EJECUCION'!$J$9:$J$1208,0)),0)-$AI47))</f>
        <v/>
      </c>
      <c r="AK47" s="10">
        <f>IF($A47="","",$AI47+$AJ47)</f>
        <v/>
      </c>
      <c r="AL47" s="6" t="inlineStr"/>
      <c r="AM47" s="6" t="inlineStr"/>
      <c r="AN47" s="6" t="inlineStr">
        <is>
          <t>ACT-04.pdf</t>
        </is>
      </c>
      <c r="AO47" s="3">
        <f>IF($AN47="","",HYPERLINK(p_ruta_base_checklists&amp;$AN47,"abrir"))</f>
        <v/>
      </c>
      <c r="AP47" s="6" t="inlineStr"/>
      <c r="AQ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IF($A48="","",IFERROR(INDEX('AJUSTES'!$B$4:$B$303,MATCH($AQ48,'AJUSTES'!$A$4:$A$303,0)),IF($K48="","",$K48)))</f>
        <v/>
      </c>
      <c r="N48" s="3">
        <f>IF($A48="","",IFERROR(INDEX('CAT_ESTADOS_ERP'!$B$4:$B$7,MATCH(IFERROR(INDEX('2_IMPORTAR_EJECUCION'!$C$9:$C$1208,MATCH($AQ48,'2_IMPORTAR_EJECUCION'!$J$9:$J$1208,0)),""),'CAT_ESTADOS_ERP'!$A$4:$A$7,0)),"Pendiente"))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J48="","",IFERROR(INDEX('CALENDARIO'!$C$15:$C$214,MATCH(TEXT($J48,"yyyy-mm-dd")&amp;"|"&amp;$V48&amp;"|"&amp;$W48,'CALENDARIO'!$G$15:$G$214,0)),IFERROR(INDEX('CALENDARIO'!$C$15:$C$214,MATCH(TEXT($J48,"yyyy-mm-dd")&amp;"|"&amp;$V48&amp;"|",'CALENDARIO'!$G$15:$G$214,0)),IFERROR(INDEX('CALENDARIO'!$C$15:$C$214,MATCH(TEXT($J48,"yyyy-mm-dd")&amp;"||",'CALENDARIO'!$G$15:$G$214,0)),INDEX(patronHabil,WEEKDAY($J48,2))))))</f>
        <v/>
      </c>
      <c r="T48" s="3">
        <f>IF($I48="","",IFERROR(INDEX('CAT_TIPOS_OT'!$C$4:$C$7,MATCH($I48,'CAT_TIPOS_OT'!$A$4:$A$7,0)),"sin_clasificar"))</f>
        <v/>
      </c>
      <c r="U48" s="3">
        <f>IF($F48="","",IFERROR(INDEX('CAT_CENTROS_COSTO'!$F$4:$F$13,MATCH($F48,'CAT_CENTROS_COSTO'!$A$4:$A$13,0)),"(sin catálogo)"))</f>
        <v/>
      </c>
      <c r="V48" s="3">
        <f>IF($F48="","",IFERROR(INDEX('CAT_CENTROS_COSTO'!$D$4:$D$13,MATCH($F48,'CAT_CENTROS_COSTO'!$A$4:$A$13,0)),"(sin catálogo)"))</f>
        <v/>
      </c>
      <c r="W48" s="3">
        <f>IF($F48="","",IF((IFERROR(INDEX('CAT_CENTROS_COSTO'!$E$4:$E$13,MATCH($F48,'CAT_CENTROS_COSTO'!$A$4:$A$13,0)),""))&lt;&gt;"",IFERROR(INDEX('CAT_CENTROS_COSTO'!$E$4:$E$13,MATCH($F48,'CAT_CENTROS_COSTO'!$A$4:$A$13,0)),""),$V48))</f>
        <v/>
      </c>
      <c r="X48" s="3">
        <f>IF($F48="","",IFERROR(INDEX('CAT_CENTROS_COSTO'!$G$4:$G$13,MATCH($F48,'CAT_CENTROS_COSTO'!$A$4:$A$13,0)),"(sin catálogo)"))</f>
        <v/>
      </c>
      <c r="Y48" s="3">
        <f>IF($G48="","",IFERROR(INDEX('CAT_PUESTOS'!$B$4:$B$8,MATCH($G48,'CAT_PUESTOS'!$A$4:$A$8,0)),"(sin catálogo)"))</f>
        <v/>
      </c>
      <c r="Z48" s="3">
        <f>IF($H48="","",IFERROR(INDEX('CAT_ACTIVIDADES'!$B$4:$B$8,MATCH($H48,'CAT_ACTIVIDADES'!$A$4:$A$8,0)),"(sin catálogo)"))</f>
        <v/>
      </c>
      <c r="AA48" s="12">
        <f>IF($J48="","",TODAY()-$J48)</f>
        <v/>
      </c>
      <c r="AB48" s="12">
        <f>IF($J48="","",IF($J48&lt;=TODAY(),COUNTIFS(cal_fechas,"&gt;="&amp;$J48,cal_fechas,"&lt;"&amp;TODAY(),cal_habil,"sí"),-COUNTIFS(cal_fechas,"&gt;="&amp;TODAY(),cal_fechas,"&lt;"&amp;$J48,cal_habil,"sí")))</f>
        <v/>
      </c>
      <c r="AC48" s="3">
        <f>IF($AB48="","",IF($AB48&lt;0,"FUTURO",IF($AB48&gt;p_dias_backlog_max,"BACKLOG","MES CORRIENTE")))</f>
        <v/>
      </c>
      <c r="AD48" s="3">
        <f>IF($AB48="",FALSE,AND($AB48&gt;p_dias_backlog_min,$AB48&lt;=p_dias_backlog_max))</f>
        <v/>
      </c>
      <c r="AE48" s="6" t="inlineStr">
        <is>
          <t>Técnico 01</t>
        </is>
      </c>
      <c r="AF48" s="3">
        <f>IF($AE48="","",IF((IFERROR(INDEX('ASIGNACIONES'!$F$4:$F$339,MATCH($O48&amp;"|"&amp;$R48&amp;"|"&amp;$AE48,'ASIGNACIONES'!$J$4:$J$339,0)),""))=0,"",IFERROR(INDEX('ASIGNACIONES'!$F$4:$F$339,MATCH($O48&amp;"|"&amp;$R48&amp;"|"&amp;$AE48,'ASIGNACIONES'!$J$4:$J$339,0)),"")))</f>
        <v/>
      </c>
      <c r="AG48" s="13">
        <f>IF($AE48="","",SUMIFS('ORDENES'!$M$4:$M$1203,'ORDENES'!$AE$4:$AE$1203,$AE48,'ORDENES'!$O$4:$O$1203,$O48,'ORDENES'!$R$4:$R$1203,$R48))</f>
        <v/>
      </c>
      <c r="AH48" s="13">
        <f>IF($AG48="","",p_factor_productividad*IFERROR(INDEX('ASIGNACIONES'!$I$4:$I$339,MATCH($O48&amp;"|"&amp;$R48&amp;"|"&amp;$AE48,'ASIGNACIONES'!$J$4:$J$339,0)),0)-$AG48)</f>
        <v/>
      </c>
      <c r="AI48" s="10">
        <f>IF($A48="","",IFERROR(INDEX('2_IMPORTAR_EJECUCION'!$F$9:$F$1208,MATCH($AQ48,'2_IMPORTAR_EJECUCION'!$J$9:$J$1208,0)),0))</f>
        <v/>
      </c>
      <c r="AJ48" s="10">
        <f>IF($A48="","",MAX(0,IFERROR(INDEX('2_IMPORTAR_EJECUCION'!$H$9:$H$1208,MATCH($AQ48,'2_IMPORTAR_EJECUCION'!$J$9:$J$1208,0)),0)-$AI48))</f>
        <v/>
      </c>
      <c r="AK48" s="10">
        <f>IF($A48="","",$AI48+$AJ48)</f>
        <v/>
      </c>
      <c r="AL48" s="6" t="inlineStr"/>
      <c r="AM48" s="6" t="inlineStr"/>
      <c r="AN48" s="6" t="inlineStr">
        <is>
          <t>ACT-01.pdf</t>
        </is>
      </c>
      <c r="AO48" s="3">
        <f>IF($AN48="","",HYPERLINK(p_ruta_base_checklists&amp;$AN48,"abrir"))</f>
        <v/>
      </c>
      <c r="AP48" s="6" t="inlineStr"/>
      <c r="AQ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IF($A49="","",IFERROR(INDEX('AJUSTES'!$B$4:$B$303,MATCH($AQ49,'AJUSTES'!$A$4:$A$303,0)),IF($K49="","",$K49)))</f>
        <v/>
      </c>
      <c r="N49" s="3">
        <f>IF($A49="","",IFERROR(INDEX('CAT_ESTADOS_ERP'!$B$4:$B$7,MATCH(IFERROR(INDEX('2_IMPORTAR_EJECUCION'!$C$9:$C$1208,MATCH($AQ49,'2_IMPORTAR_EJECUCION'!$J$9:$J$1208,0)),""),'CAT_ESTADOS_ERP'!$A$4:$A$7,0)),"Pendiente"))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J49="","",IFERROR(INDEX('CALENDARIO'!$C$15:$C$214,MATCH(TEXT($J49,"yyyy-mm-dd")&amp;"|"&amp;$V49&amp;"|"&amp;$W49,'CALENDARIO'!$G$15:$G$214,0)),IFERROR(INDEX('CALENDARIO'!$C$15:$C$214,MATCH(TEXT($J49,"yyyy-mm-dd")&amp;"|"&amp;$V49&amp;"|",'CALENDARIO'!$G$15:$G$214,0)),IFERROR(INDEX('CALENDARIO'!$C$15:$C$214,MATCH(TEXT($J49,"yyyy-mm-dd")&amp;"||",'CALENDARIO'!$G$15:$G$214,0)),INDEX(patronHabil,WEEKDAY($J49,2))))))</f>
        <v/>
      </c>
      <c r="T49" s="3">
        <f>IF($I49="","",IFERROR(INDEX('CAT_TIPOS_OT'!$C$4:$C$7,MATCH($I49,'CAT_TIPOS_OT'!$A$4:$A$7,0)),"sin_clasificar"))</f>
        <v/>
      </c>
      <c r="U49" s="3">
        <f>IF($F49="","",IFERROR(INDEX('CAT_CENTROS_COSTO'!$F$4:$F$13,MATCH($F49,'CAT_CENTROS_COSTO'!$A$4:$A$13,0)),"(sin catálogo)"))</f>
        <v/>
      </c>
      <c r="V49" s="3">
        <f>IF($F49="","",IFERROR(INDEX('CAT_CENTROS_COSTO'!$D$4:$D$13,MATCH($F49,'CAT_CENTROS_COSTO'!$A$4:$A$13,0)),"(sin catálogo)"))</f>
        <v/>
      </c>
      <c r="W49" s="3">
        <f>IF($F49="","",IF((IFERROR(INDEX('CAT_CENTROS_COSTO'!$E$4:$E$13,MATCH($F49,'CAT_CENTROS_COSTO'!$A$4:$A$13,0)),""))&lt;&gt;"",IFERROR(INDEX('CAT_CENTROS_COSTO'!$E$4:$E$13,MATCH($F49,'CAT_CENTROS_COSTO'!$A$4:$A$13,0)),""),$V49))</f>
        <v/>
      </c>
      <c r="X49" s="3">
        <f>IF($F49="","",IFERROR(INDEX('CAT_CENTROS_COSTO'!$G$4:$G$13,MATCH($F49,'CAT_CENTROS_COSTO'!$A$4:$A$13,0)),"(sin catálogo)"))</f>
        <v/>
      </c>
      <c r="Y49" s="3">
        <f>IF($G49="","",IFERROR(INDEX('CAT_PUESTOS'!$B$4:$B$8,MATCH($G49,'CAT_PUESTOS'!$A$4:$A$8,0)),"(sin catálogo)"))</f>
        <v/>
      </c>
      <c r="Z49" s="3">
        <f>IF($H49="","",IFERROR(INDEX('CAT_ACTIVIDADES'!$B$4:$B$8,MATCH($H49,'CAT_ACTIVIDADES'!$A$4:$A$8,0)),"(sin catálogo)"))</f>
        <v/>
      </c>
      <c r="AA49" s="12">
        <f>IF($J49="","",TODAY()-$J49)</f>
        <v/>
      </c>
      <c r="AB49" s="12">
        <f>IF($J49="","",IF($J49&lt;=TODAY(),COUNTIFS(cal_fechas,"&gt;="&amp;$J49,cal_fechas,"&lt;"&amp;TODAY(),cal_habil,"sí"),-COUNTIFS(cal_fechas,"&gt;="&amp;TODAY(),cal_fechas,"&lt;"&amp;$J49,cal_habil,"sí")))</f>
        <v/>
      </c>
      <c r="AC49" s="3">
        <f>IF($AB49="","",IF($AB49&lt;0,"FUTURO",IF($AB49&gt;p_dias_backlog_max,"BACKLOG","MES CORRIENTE")))</f>
        <v/>
      </c>
      <c r="AD49" s="3">
        <f>IF($AB49="",FALSE,AND($AB49&gt;p_dias_backlog_min,$AB49&lt;=p_dias_backlog_max))</f>
        <v/>
      </c>
      <c r="AE49" s="6" t="inlineStr">
        <is>
          <t>Técnico 02</t>
        </is>
      </c>
      <c r="AF49" s="3">
        <f>IF($AE49="","",IF((IFERROR(INDEX('ASIGNACIONES'!$F$4:$F$339,MATCH($O49&amp;"|"&amp;$R49&amp;"|"&amp;$AE49,'ASIGNACIONES'!$J$4:$J$339,0)),""))=0,"",IFERROR(INDEX('ASIGNACIONES'!$F$4:$F$339,MATCH($O49&amp;"|"&amp;$R49&amp;"|"&amp;$AE49,'ASIGNACIONES'!$J$4:$J$339,0)),"")))</f>
        <v/>
      </c>
      <c r="AG49" s="13">
        <f>IF($AE49="","",SUMIFS('ORDENES'!$M$4:$M$1203,'ORDENES'!$AE$4:$AE$1203,$AE49,'ORDENES'!$O$4:$O$1203,$O49,'ORDENES'!$R$4:$R$1203,$R49))</f>
        <v/>
      </c>
      <c r="AH49" s="13">
        <f>IF($AG49="","",p_factor_productividad*IFERROR(INDEX('ASIGNACIONES'!$I$4:$I$339,MATCH($O49&amp;"|"&amp;$R49&amp;"|"&amp;$AE49,'ASIGNACIONES'!$J$4:$J$339,0)),0)-$AG49)</f>
        <v/>
      </c>
      <c r="AI49" s="10">
        <f>IF($A49="","",IFERROR(INDEX('2_IMPORTAR_EJECUCION'!$F$9:$F$1208,MATCH($AQ49,'2_IMPORTAR_EJECUCION'!$J$9:$J$1208,0)),0))</f>
        <v/>
      </c>
      <c r="AJ49" s="10">
        <f>IF($A49="","",MAX(0,IFERROR(INDEX('2_IMPORTAR_EJECUCION'!$H$9:$H$1208,MATCH($AQ49,'2_IMPORTAR_EJECUCION'!$J$9:$J$1208,0)),0)-$AI49))</f>
        <v/>
      </c>
      <c r="AK49" s="10">
        <f>IF($A49="","",$AI49+$AJ49)</f>
        <v/>
      </c>
      <c r="AL49" s="6" t="inlineStr"/>
      <c r="AM49" s="6" t="inlineStr"/>
      <c r="AN49" s="6" t="inlineStr">
        <is>
          <t>ACT-02.pdf</t>
        </is>
      </c>
      <c r="AO49" s="3">
        <f>IF($AN49="","",HYPERLINK(p_ruta_base_checklists&amp;$AN49,"abrir"))</f>
        <v/>
      </c>
      <c r="AP49" s="6" t="inlineStr"/>
      <c r="AQ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IF($A50="","",IFERROR(INDEX('AJUSTES'!$B$4:$B$303,MATCH($AQ50,'AJUSTES'!$A$4:$A$303,0)),IF($K50="","",$K50)))</f>
        <v/>
      </c>
      <c r="N50" s="3">
        <f>IF($A50="","",IFERROR(INDEX('CAT_ESTADOS_ERP'!$B$4:$B$7,MATCH(IFERROR(INDEX('2_IMPORTAR_EJECUCION'!$C$9:$C$1208,MATCH($AQ50,'2_IMPORTAR_EJECUCION'!$J$9:$J$1208,0)),""),'CAT_ESTADOS_ERP'!$A$4:$A$7,0)),"Pendiente"))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J50="","",IFERROR(INDEX('CALENDARIO'!$C$15:$C$214,MATCH(TEXT($J50,"yyyy-mm-dd")&amp;"|"&amp;$V50&amp;"|"&amp;$W50,'CALENDARIO'!$G$15:$G$214,0)),IFERROR(INDEX('CALENDARIO'!$C$15:$C$214,MATCH(TEXT($J50,"yyyy-mm-dd")&amp;"|"&amp;$V50&amp;"|",'CALENDARIO'!$G$15:$G$214,0)),IFERROR(INDEX('CALENDARIO'!$C$15:$C$214,MATCH(TEXT($J50,"yyyy-mm-dd")&amp;"||",'CALENDARIO'!$G$15:$G$214,0)),INDEX(patronHabil,WEEKDAY($J50,2))))))</f>
        <v/>
      </c>
      <c r="T50" s="3">
        <f>IF($I50="","",IFERROR(INDEX('CAT_TIPOS_OT'!$C$4:$C$7,MATCH($I50,'CAT_TIPOS_OT'!$A$4:$A$7,0)),"sin_clasificar"))</f>
        <v/>
      </c>
      <c r="U50" s="3">
        <f>IF($F50="","",IFERROR(INDEX('CAT_CENTROS_COSTO'!$F$4:$F$13,MATCH($F50,'CAT_CENTROS_COSTO'!$A$4:$A$13,0)),"(sin catálogo)"))</f>
        <v/>
      </c>
      <c r="V50" s="3">
        <f>IF($F50="","",IFERROR(INDEX('CAT_CENTROS_COSTO'!$D$4:$D$13,MATCH($F50,'CAT_CENTROS_COSTO'!$A$4:$A$13,0)),"(sin catálogo)"))</f>
        <v/>
      </c>
      <c r="W50" s="3">
        <f>IF($F50="","",IF((IFERROR(INDEX('CAT_CENTROS_COSTO'!$E$4:$E$13,MATCH($F50,'CAT_CENTROS_COSTO'!$A$4:$A$13,0)),""))&lt;&gt;"",IFERROR(INDEX('CAT_CENTROS_COSTO'!$E$4:$E$13,MATCH($F50,'CAT_CENTROS_COSTO'!$A$4:$A$13,0)),""),$V50))</f>
        <v/>
      </c>
      <c r="X50" s="3">
        <f>IF($F50="","",IFERROR(INDEX('CAT_CENTROS_COSTO'!$G$4:$G$13,MATCH($F50,'CAT_CENTROS_COSTO'!$A$4:$A$13,0)),"(sin catálogo)"))</f>
        <v/>
      </c>
      <c r="Y50" s="3">
        <f>IF($G50="","",IFERROR(INDEX('CAT_PUESTOS'!$B$4:$B$8,MATCH($G50,'CAT_PUESTOS'!$A$4:$A$8,0)),"(sin catálogo)"))</f>
        <v/>
      </c>
      <c r="Z50" s="3">
        <f>IF($H50="","",IFERROR(INDEX('CAT_ACTIVIDADES'!$B$4:$B$8,MATCH($H50,'CAT_ACTIVIDADES'!$A$4:$A$8,0)),"(sin catálogo)"))</f>
        <v/>
      </c>
      <c r="AA50" s="12">
        <f>IF($J50="","",TODAY()-$J50)</f>
        <v/>
      </c>
      <c r="AB50" s="12">
        <f>IF($J50="","",IF($J50&lt;=TODAY(),COUNTIFS(cal_fechas,"&gt;="&amp;$J50,cal_fechas,"&lt;"&amp;TODAY(),cal_habil,"sí"),-COUNTIFS(cal_fechas,"&gt;="&amp;TODAY(),cal_fechas,"&lt;"&amp;$J50,cal_habil,"sí")))</f>
        <v/>
      </c>
      <c r="AC50" s="3">
        <f>IF($AB50="","",IF($AB50&lt;0,"FUTURO",IF($AB50&gt;p_dias_backlog_max,"BACKLOG","MES CORRIENTE")))</f>
        <v/>
      </c>
      <c r="AD50" s="3">
        <f>IF($AB50="",FALSE,AND($AB50&gt;p_dias_backlog_min,$AB50&lt;=p_dias_backlog_max))</f>
        <v/>
      </c>
      <c r="AE50" s="6" t="inlineStr">
        <is>
          <t>Técnico 03</t>
        </is>
      </c>
      <c r="AF50" s="3">
        <f>IF($AE50="","",IF((IFERROR(INDEX('ASIGNACIONES'!$F$4:$F$339,MATCH($O50&amp;"|"&amp;$R50&amp;"|"&amp;$AE50,'ASIGNACIONES'!$J$4:$J$339,0)),""))=0,"",IFERROR(INDEX('ASIGNACIONES'!$F$4:$F$339,MATCH($O50&amp;"|"&amp;$R50&amp;"|"&amp;$AE50,'ASIGNACIONES'!$J$4:$J$339,0)),"")))</f>
        <v/>
      </c>
      <c r="AG50" s="13">
        <f>IF($AE50="","",SUMIFS('ORDENES'!$M$4:$M$1203,'ORDENES'!$AE$4:$AE$1203,$AE50,'ORDENES'!$O$4:$O$1203,$O50,'ORDENES'!$R$4:$R$1203,$R50))</f>
        <v/>
      </c>
      <c r="AH50" s="13">
        <f>IF($AG50="","",p_factor_productividad*IFERROR(INDEX('ASIGNACIONES'!$I$4:$I$339,MATCH($O50&amp;"|"&amp;$R50&amp;"|"&amp;$AE50,'ASIGNACIONES'!$J$4:$J$339,0)),0)-$AG50)</f>
        <v/>
      </c>
      <c r="AI50" s="10">
        <f>IF($A50="","",IFERROR(INDEX('2_IMPORTAR_EJECUCION'!$F$9:$F$1208,MATCH($AQ50,'2_IMPORTAR_EJECUCION'!$J$9:$J$1208,0)),0))</f>
        <v/>
      </c>
      <c r="AJ50" s="10">
        <f>IF($A50="","",MAX(0,IFERROR(INDEX('2_IMPORTAR_EJECUCION'!$H$9:$H$1208,MATCH($AQ50,'2_IMPORTAR_EJECUCION'!$J$9:$J$1208,0)),0)-$AI50))</f>
        <v/>
      </c>
      <c r="AK50" s="10">
        <f>IF($A50="","",$AI50+$AJ50)</f>
        <v/>
      </c>
      <c r="AL50" s="6" t="inlineStr"/>
      <c r="AM50" s="6" t="inlineStr"/>
      <c r="AN50" s="6" t="inlineStr"/>
      <c r="AO50" s="3">
        <f>IF($AN50="","",HYPERLINK(p_ruta_base_checklists&amp;$AN50,"abrir"))</f>
        <v/>
      </c>
      <c r="AP50" s="6" t="inlineStr"/>
      <c r="AQ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IF($A51="","",IFERROR(INDEX('AJUSTES'!$B$4:$B$303,MATCH($AQ51,'AJUSTES'!$A$4:$A$303,0)),IF($K51="","",$K51)))</f>
        <v/>
      </c>
      <c r="N51" s="3">
        <f>IF($A51="","",IFERROR(INDEX('CAT_ESTADOS_ERP'!$B$4:$B$7,MATCH(IFERROR(INDEX('2_IMPORTAR_EJECUCION'!$C$9:$C$1208,MATCH($AQ51,'2_IMPORTAR_EJECUCION'!$J$9:$J$1208,0)),""),'CAT_ESTADOS_ERP'!$A$4:$A$7,0)),"Pendiente"))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J51="","",IFERROR(INDEX('CALENDARIO'!$C$15:$C$214,MATCH(TEXT($J51,"yyyy-mm-dd")&amp;"|"&amp;$V51&amp;"|"&amp;$W51,'CALENDARIO'!$G$15:$G$214,0)),IFERROR(INDEX('CALENDARIO'!$C$15:$C$214,MATCH(TEXT($J51,"yyyy-mm-dd")&amp;"|"&amp;$V51&amp;"|",'CALENDARIO'!$G$15:$G$214,0)),IFERROR(INDEX('CALENDARIO'!$C$15:$C$214,MATCH(TEXT($J51,"yyyy-mm-dd")&amp;"||",'CALENDARIO'!$G$15:$G$214,0)),INDEX(patronHabil,WEEKDAY($J51,2))))))</f>
        <v/>
      </c>
      <c r="T51" s="3">
        <f>IF($I51="","",IFERROR(INDEX('CAT_TIPOS_OT'!$C$4:$C$7,MATCH($I51,'CAT_TIPOS_OT'!$A$4:$A$7,0)),"sin_clasificar"))</f>
        <v/>
      </c>
      <c r="U51" s="3">
        <f>IF($F51="","",IFERROR(INDEX('CAT_CENTROS_COSTO'!$F$4:$F$13,MATCH($F51,'CAT_CENTROS_COSTO'!$A$4:$A$13,0)),"(sin catálogo)"))</f>
        <v/>
      </c>
      <c r="V51" s="3">
        <f>IF($F51="","",IFERROR(INDEX('CAT_CENTROS_COSTO'!$D$4:$D$13,MATCH($F51,'CAT_CENTROS_COSTO'!$A$4:$A$13,0)),"(sin catálogo)"))</f>
        <v/>
      </c>
      <c r="W51" s="3">
        <f>IF($F51="","",IF((IFERROR(INDEX('CAT_CENTROS_COSTO'!$E$4:$E$13,MATCH($F51,'CAT_CENTROS_COSTO'!$A$4:$A$13,0)),""))&lt;&gt;"",IFERROR(INDEX('CAT_CENTROS_COSTO'!$E$4:$E$13,MATCH($F51,'CAT_CENTROS_COSTO'!$A$4:$A$13,0)),""),$V51))</f>
        <v/>
      </c>
      <c r="X51" s="3">
        <f>IF($F51="","",IFERROR(INDEX('CAT_CENTROS_COSTO'!$G$4:$G$13,MATCH($F51,'CAT_CENTROS_COSTO'!$A$4:$A$13,0)),"(sin catálogo)"))</f>
        <v/>
      </c>
      <c r="Y51" s="3">
        <f>IF($G51="","",IFERROR(INDEX('CAT_PUESTOS'!$B$4:$B$8,MATCH($G51,'CAT_PUESTOS'!$A$4:$A$8,0)),"(sin catálogo)"))</f>
        <v/>
      </c>
      <c r="Z51" s="3">
        <f>IF($H51="","",IFERROR(INDEX('CAT_ACTIVIDADES'!$B$4:$B$8,MATCH($H51,'CAT_ACTIVIDADES'!$A$4:$A$8,0)),"(sin catálogo)"))</f>
        <v/>
      </c>
      <c r="AA51" s="12">
        <f>IF($J51="","",TODAY()-$J51)</f>
        <v/>
      </c>
      <c r="AB51" s="12">
        <f>IF($J51="","",IF($J51&lt;=TODAY(),COUNTIFS(cal_fechas,"&gt;="&amp;$J51,cal_fechas,"&lt;"&amp;TODAY(),cal_habil,"sí"),-COUNTIFS(cal_fechas,"&gt;="&amp;TODAY(),cal_fechas,"&lt;"&amp;$J51,cal_habil,"sí")))</f>
        <v/>
      </c>
      <c r="AC51" s="3">
        <f>IF($AB51="","",IF($AB51&lt;0,"FUTURO",IF($AB51&gt;p_dias_backlog_max,"BACKLOG","MES CORRIENTE")))</f>
        <v/>
      </c>
      <c r="AD51" s="3">
        <f>IF($AB51="",FALSE,AND($AB51&gt;p_dias_backlog_min,$AB51&lt;=p_dias_backlog_max))</f>
        <v/>
      </c>
      <c r="AE51" s="6" t="inlineStr"/>
      <c r="AF51" s="3">
        <f>IF($AE51="","",IF((IFERROR(INDEX('ASIGNACIONES'!$F$4:$F$339,MATCH($O51&amp;"|"&amp;$R51&amp;"|"&amp;$AE51,'ASIGNACIONES'!$J$4:$J$339,0)),""))=0,"",IFERROR(INDEX('ASIGNACIONES'!$F$4:$F$339,MATCH($O51&amp;"|"&amp;$R51&amp;"|"&amp;$AE51,'ASIGNACIONES'!$J$4:$J$339,0)),"")))</f>
        <v/>
      </c>
      <c r="AG51" s="13">
        <f>IF($AE51="","",SUMIFS('ORDENES'!$M$4:$M$1203,'ORDENES'!$AE$4:$AE$1203,$AE51,'ORDENES'!$O$4:$O$1203,$O51,'ORDENES'!$R$4:$R$1203,$R51))</f>
        <v/>
      </c>
      <c r="AH51" s="13">
        <f>IF($AG51="","",p_factor_productividad*IFERROR(INDEX('ASIGNACIONES'!$I$4:$I$339,MATCH($O51&amp;"|"&amp;$R51&amp;"|"&amp;$AE51,'ASIGNACIONES'!$J$4:$J$339,0)),0)-$AG51)</f>
        <v/>
      </c>
      <c r="AI51" s="10">
        <f>IF($A51="","",IFERROR(INDEX('2_IMPORTAR_EJECUCION'!$F$9:$F$1208,MATCH($AQ51,'2_IMPORTAR_EJECUCION'!$J$9:$J$1208,0)),0))</f>
        <v/>
      </c>
      <c r="AJ51" s="10">
        <f>IF($A51="","",MAX(0,IFERROR(INDEX('2_IMPORTAR_EJECUCION'!$H$9:$H$1208,MATCH($AQ51,'2_IMPORTAR_EJECUCION'!$J$9:$J$1208,0)),0)-$AI51))</f>
        <v/>
      </c>
      <c r="AK51" s="10">
        <f>IF($A51="","",$AI51+$AJ51)</f>
        <v/>
      </c>
      <c r="AL51" s="6" t="inlineStr">
        <is>
          <t>PT-CALIENTE</t>
        </is>
      </c>
      <c r="AM51" s="6" t="inlineStr">
        <is>
          <t>LOTO</t>
        </is>
      </c>
      <c r="AN51" s="6" t="inlineStr"/>
      <c r="AO51" s="3">
        <f>IF($AN51="","",HYPERLINK(p_ruta_base_checklists&amp;$AN51,"abrir"))</f>
        <v/>
      </c>
      <c r="AP51" s="6" t="inlineStr"/>
      <c r="AQ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IF($A52="","",IFERROR(INDEX('AJUSTES'!$B$4:$B$303,MATCH($AQ52,'AJUSTES'!$A$4:$A$303,0)),IF($K52="","",$K52)))</f>
        <v/>
      </c>
      <c r="N52" s="3">
        <f>IF($A52="","",IFERROR(INDEX('CAT_ESTADOS_ERP'!$B$4:$B$7,MATCH(IFERROR(INDEX('2_IMPORTAR_EJECUCION'!$C$9:$C$1208,MATCH($AQ52,'2_IMPORTAR_EJECUCION'!$J$9:$J$1208,0)),""),'CAT_ESTADOS_ERP'!$A$4:$A$7,0)),"Pendiente"))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J52="","",IFERROR(INDEX('CALENDARIO'!$C$15:$C$214,MATCH(TEXT($J52,"yyyy-mm-dd")&amp;"|"&amp;$V52&amp;"|"&amp;$W52,'CALENDARIO'!$G$15:$G$214,0)),IFERROR(INDEX('CALENDARIO'!$C$15:$C$214,MATCH(TEXT($J52,"yyyy-mm-dd")&amp;"|"&amp;$V52&amp;"|",'CALENDARIO'!$G$15:$G$214,0)),IFERROR(INDEX('CALENDARIO'!$C$15:$C$214,MATCH(TEXT($J52,"yyyy-mm-dd")&amp;"||",'CALENDARIO'!$G$15:$G$214,0)),INDEX(patronHabil,WEEKDAY($J52,2))))))</f>
        <v/>
      </c>
      <c r="T52" s="3">
        <f>IF($I52="","",IFERROR(INDEX('CAT_TIPOS_OT'!$C$4:$C$7,MATCH($I52,'CAT_TIPOS_OT'!$A$4:$A$7,0)),"sin_clasificar"))</f>
        <v/>
      </c>
      <c r="U52" s="3">
        <f>IF($F52="","",IFERROR(INDEX('CAT_CENTROS_COSTO'!$F$4:$F$13,MATCH($F52,'CAT_CENTROS_COSTO'!$A$4:$A$13,0)),"(sin catálogo)"))</f>
        <v/>
      </c>
      <c r="V52" s="3">
        <f>IF($F52="","",IFERROR(INDEX('CAT_CENTROS_COSTO'!$D$4:$D$13,MATCH($F52,'CAT_CENTROS_COSTO'!$A$4:$A$13,0)),"(sin catálogo)"))</f>
        <v/>
      </c>
      <c r="W52" s="3">
        <f>IF($F52="","",IF((IFERROR(INDEX('CAT_CENTROS_COSTO'!$E$4:$E$13,MATCH($F52,'CAT_CENTROS_COSTO'!$A$4:$A$13,0)),""))&lt;&gt;"",IFERROR(INDEX('CAT_CENTROS_COSTO'!$E$4:$E$13,MATCH($F52,'CAT_CENTROS_COSTO'!$A$4:$A$13,0)),""),$V52))</f>
        <v/>
      </c>
      <c r="X52" s="3">
        <f>IF($F52="","",IFERROR(INDEX('CAT_CENTROS_COSTO'!$G$4:$G$13,MATCH($F52,'CAT_CENTROS_COSTO'!$A$4:$A$13,0)),"(sin catálogo)"))</f>
        <v/>
      </c>
      <c r="Y52" s="3">
        <f>IF($G52="","",IFERROR(INDEX('CAT_PUESTOS'!$B$4:$B$8,MATCH($G52,'CAT_PUESTOS'!$A$4:$A$8,0)),"(sin catálogo)"))</f>
        <v/>
      </c>
      <c r="Z52" s="3">
        <f>IF($H52="","",IFERROR(INDEX('CAT_ACTIVIDADES'!$B$4:$B$8,MATCH($H52,'CAT_ACTIVIDADES'!$A$4:$A$8,0)),"(sin catálogo)"))</f>
        <v/>
      </c>
      <c r="AA52" s="12">
        <f>IF($J52="","",TODAY()-$J52)</f>
        <v/>
      </c>
      <c r="AB52" s="12">
        <f>IF($J52="","",IF($J52&lt;=TODAY(),COUNTIFS(cal_fechas,"&gt;="&amp;$J52,cal_fechas,"&lt;"&amp;TODAY(),cal_habil,"sí"),-COUNTIFS(cal_fechas,"&gt;="&amp;TODAY(),cal_fechas,"&lt;"&amp;$J52,cal_habil,"sí")))</f>
        <v/>
      </c>
      <c r="AC52" s="3">
        <f>IF($AB52="","",IF($AB52&lt;0,"FUTURO",IF($AB52&gt;p_dias_backlog_max,"BACKLOG","MES CORRIENTE")))</f>
        <v/>
      </c>
      <c r="AD52" s="3">
        <f>IF($AB52="",FALSE,AND($AB52&gt;p_dias_backlog_min,$AB52&lt;=p_dias_backlog_max))</f>
        <v/>
      </c>
      <c r="AE52" s="6" t="inlineStr">
        <is>
          <t>Técnico 05</t>
        </is>
      </c>
      <c r="AF52" s="3">
        <f>IF($AE52="","",IF((IFERROR(INDEX('ASIGNACIONES'!$F$4:$F$339,MATCH($O52&amp;"|"&amp;$R52&amp;"|"&amp;$AE52,'ASIGNACIONES'!$J$4:$J$339,0)),""))=0,"",IFERROR(INDEX('ASIGNACIONES'!$F$4:$F$339,MATCH($O52&amp;"|"&amp;$R52&amp;"|"&amp;$AE52,'ASIGNACIONES'!$J$4:$J$339,0)),"")))</f>
        <v/>
      </c>
      <c r="AG52" s="13">
        <f>IF($AE52="","",SUMIFS('ORDENES'!$M$4:$M$1203,'ORDENES'!$AE$4:$AE$1203,$AE52,'ORDENES'!$O$4:$O$1203,$O52,'ORDENES'!$R$4:$R$1203,$R52))</f>
        <v/>
      </c>
      <c r="AH52" s="13">
        <f>IF($AG52="","",p_factor_productividad*IFERROR(INDEX('ASIGNACIONES'!$I$4:$I$339,MATCH($O52&amp;"|"&amp;$R52&amp;"|"&amp;$AE52,'ASIGNACIONES'!$J$4:$J$339,0)),0)-$AG52)</f>
        <v/>
      </c>
      <c r="AI52" s="10">
        <f>IF($A52="","",IFERROR(INDEX('2_IMPORTAR_EJECUCION'!$F$9:$F$1208,MATCH($AQ52,'2_IMPORTAR_EJECUCION'!$J$9:$J$1208,0)),0))</f>
        <v/>
      </c>
      <c r="AJ52" s="10">
        <f>IF($A52="","",MAX(0,IFERROR(INDEX('2_IMPORTAR_EJECUCION'!$H$9:$H$1208,MATCH($AQ52,'2_IMPORTAR_EJECUCION'!$J$9:$J$1208,0)),0)-$AI52))</f>
        <v/>
      </c>
      <c r="AK52" s="10">
        <f>IF($A52="","",$AI52+$AJ52)</f>
        <v/>
      </c>
      <c r="AL52" s="6" t="inlineStr"/>
      <c r="AM52" s="6" t="inlineStr"/>
      <c r="AN52" s="6" t="inlineStr">
        <is>
          <t>ACT-02.pdf</t>
        </is>
      </c>
      <c r="AO52" s="3">
        <f>IF($AN52="","",HYPERLINK(p_ruta_base_checklists&amp;$AN52,"abrir"))</f>
        <v/>
      </c>
      <c r="AP52" s="6" t="inlineStr"/>
      <c r="AQ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IF($A53="","",IFERROR(INDEX('AJUSTES'!$B$4:$B$303,MATCH($AQ53,'AJUSTES'!$A$4:$A$303,0)),IF($K53="","",$K53)))</f>
        <v/>
      </c>
      <c r="N53" s="3">
        <f>IF($A53="","",IFERROR(INDEX('CAT_ESTADOS_ERP'!$B$4:$B$7,MATCH(IFERROR(INDEX('2_IMPORTAR_EJECUCION'!$C$9:$C$1208,MATCH($AQ53,'2_IMPORTAR_EJECUCION'!$J$9:$J$1208,0)),""),'CAT_ESTADOS_ERP'!$A$4:$A$7,0)),"Pendiente"))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J53="","",IFERROR(INDEX('CALENDARIO'!$C$15:$C$214,MATCH(TEXT($J53,"yyyy-mm-dd")&amp;"|"&amp;$V53&amp;"|"&amp;$W53,'CALENDARIO'!$G$15:$G$214,0)),IFERROR(INDEX('CALENDARIO'!$C$15:$C$214,MATCH(TEXT($J53,"yyyy-mm-dd")&amp;"|"&amp;$V53&amp;"|",'CALENDARIO'!$G$15:$G$214,0)),IFERROR(INDEX('CALENDARIO'!$C$15:$C$214,MATCH(TEXT($J53,"yyyy-mm-dd")&amp;"||",'CALENDARIO'!$G$15:$G$214,0)),INDEX(patronHabil,WEEKDAY($J53,2))))))</f>
        <v/>
      </c>
      <c r="T53" s="3">
        <f>IF($I53="","",IFERROR(INDEX('CAT_TIPOS_OT'!$C$4:$C$7,MATCH($I53,'CAT_TIPOS_OT'!$A$4:$A$7,0)),"sin_clasificar"))</f>
        <v/>
      </c>
      <c r="U53" s="3">
        <f>IF($F53="","",IFERROR(INDEX('CAT_CENTROS_COSTO'!$F$4:$F$13,MATCH($F53,'CAT_CENTROS_COSTO'!$A$4:$A$13,0)),"(sin catálogo)"))</f>
        <v/>
      </c>
      <c r="V53" s="3">
        <f>IF($F53="","",IFERROR(INDEX('CAT_CENTROS_COSTO'!$D$4:$D$13,MATCH($F53,'CAT_CENTROS_COSTO'!$A$4:$A$13,0)),"(sin catálogo)"))</f>
        <v/>
      </c>
      <c r="W53" s="3">
        <f>IF($F53="","",IF((IFERROR(INDEX('CAT_CENTROS_COSTO'!$E$4:$E$13,MATCH($F53,'CAT_CENTROS_COSTO'!$A$4:$A$13,0)),""))&lt;&gt;"",IFERROR(INDEX('CAT_CENTROS_COSTO'!$E$4:$E$13,MATCH($F53,'CAT_CENTROS_COSTO'!$A$4:$A$13,0)),""),$V53))</f>
        <v/>
      </c>
      <c r="X53" s="3">
        <f>IF($F53="","",IFERROR(INDEX('CAT_CENTROS_COSTO'!$G$4:$G$13,MATCH($F53,'CAT_CENTROS_COSTO'!$A$4:$A$13,0)),"(sin catálogo)"))</f>
        <v/>
      </c>
      <c r="Y53" s="3">
        <f>IF($G53="","",IFERROR(INDEX('CAT_PUESTOS'!$B$4:$B$8,MATCH($G53,'CAT_PUESTOS'!$A$4:$A$8,0)),"(sin catálogo)"))</f>
        <v/>
      </c>
      <c r="Z53" s="3">
        <f>IF($H53="","",IFERROR(INDEX('CAT_ACTIVIDADES'!$B$4:$B$8,MATCH($H53,'CAT_ACTIVIDADES'!$A$4:$A$8,0)),"(sin catálogo)"))</f>
        <v/>
      </c>
      <c r="AA53" s="12">
        <f>IF($J53="","",TODAY()-$J53)</f>
        <v/>
      </c>
      <c r="AB53" s="12">
        <f>IF($J53="","",IF($J53&lt;=TODAY(),COUNTIFS(cal_fechas,"&gt;="&amp;$J53,cal_fechas,"&lt;"&amp;TODAY(),cal_habil,"sí"),-COUNTIFS(cal_fechas,"&gt;="&amp;TODAY(),cal_fechas,"&lt;"&amp;$J53,cal_habil,"sí")))</f>
        <v/>
      </c>
      <c r="AC53" s="3">
        <f>IF($AB53="","",IF($AB53&lt;0,"FUTURO",IF($AB53&gt;p_dias_backlog_max,"BACKLOG","MES CORRIENTE")))</f>
        <v/>
      </c>
      <c r="AD53" s="3">
        <f>IF($AB53="",FALSE,AND($AB53&gt;p_dias_backlog_min,$AB53&lt;=p_dias_backlog_max))</f>
        <v/>
      </c>
      <c r="AE53" s="6" t="inlineStr">
        <is>
          <t>Técnico 06</t>
        </is>
      </c>
      <c r="AF53" s="3">
        <f>IF($AE53="","",IF((IFERROR(INDEX('ASIGNACIONES'!$F$4:$F$339,MATCH($O53&amp;"|"&amp;$R53&amp;"|"&amp;$AE53,'ASIGNACIONES'!$J$4:$J$339,0)),""))=0,"",IFERROR(INDEX('ASIGNACIONES'!$F$4:$F$339,MATCH($O53&amp;"|"&amp;$R53&amp;"|"&amp;$AE53,'ASIGNACIONES'!$J$4:$J$339,0)),"")))</f>
        <v/>
      </c>
      <c r="AG53" s="13">
        <f>IF($AE53="","",SUMIFS('ORDENES'!$M$4:$M$1203,'ORDENES'!$AE$4:$AE$1203,$AE53,'ORDENES'!$O$4:$O$1203,$O53,'ORDENES'!$R$4:$R$1203,$R53))</f>
        <v/>
      </c>
      <c r="AH53" s="13">
        <f>IF($AG53="","",p_factor_productividad*IFERROR(INDEX('ASIGNACIONES'!$I$4:$I$339,MATCH($O53&amp;"|"&amp;$R53&amp;"|"&amp;$AE53,'ASIGNACIONES'!$J$4:$J$339,0)),0)-$AG53)</f>
        <v/>
      </c>
      <c r="AI53" s="10">
        <f>IF($A53="","",IFERROR(INDEX('2_IMPORTAR_EJECUCION'!$F$9:$F$1208,MATCH($AQ53,'2_IMPORTAR_EJECUCION'!$J$9:$J$1208,0)),0))</f>
        <v/>
      </c>
      <c r="AJ53" s="10">
        <f>IF($A53="","",MAX(0,IFERROR(INDEX('2_IMPORTAR_EJECUCION'!$H$9:$H$1208,MATCH($AQ53,'2_IMPORTAR_EJECUCION'!$J$9:$J$1208,0)),0)-$AI53))</f>
        <v/>
      </c>
      <c r="AK53" s="10">
        <f>IF($A53="","",$AI53+$AJ53)</f>
        <v/>
      </c>
      <c r="AL53" s="6" t="inlineStr"/>
      <c r="AM53" s="6" t="inlineStr"/>
      <c r="AN53" s="6" t="inlineStr">
        <is>
          <t>ACT-04.pdf</t>
        </is>
      </c>
      <c r="AO53" s="3">
        <f>IF($AN53="","",HYPERLINK(p_ruta_base_checklists&amp;$AN53,"abrir"))</f>
        <v/>
      </c>
      <c r="AP53" s="6" t="inlineStr"/>
      <c r="AQ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IF($A54="","",IFERROR(INDEX('AJUSTES'!$B$4:$B$303,MATCH($AQ54,'AJUSTES'!$A$4:$A$303,0)),IF($K54="","",$K54)))</f>
        <v/>
      </c>
      <c r="N54" s="3">
        <f>IF($A54="","",IFERROR(INDEX('CAT_ESTADOS_ERP'!$B$4:$B$7,MATCH(IFERROR(INDEX('2_IMPORTAR_EJECUCION'!$C$9:$C$1208,MATCH($AQ54,'2_IMPORTAR_EJECUCION'!$J$9:$J$1208,0)),""),'CAT_ESTADOS_ERP'!$A$4:$A$7,0)),"Pendiente"))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J54="","",IFERROR(INDEX('CALENDARIO'!$C$15:$C$214,MATCH(TEXT($J54,"yyyy-mm-dd")&amp;"|"&amp;$V54&amp;"|"&amp;$W54,'CALENDARIO'!$G$15:$G$214,0)),IFERROR(INDEX('CALENDARIO'!$C$15:$C$214,MATCH(TEXT($J54,"yyyy-mm-dd")&amp;"|"&amp;$V54&amp;"|",'CALENDARIO'!$G$15:$G$214,0)),IFERROR(INDEX('CALENDARIO'!$C$15:$C$214,MATCH(TEXT($J54,"yyyy-mm-dd")&amp;"||",'CALENDARIO'!$G$15:$G$214,0)),INDEX(patronHabil,WEEKDAY($J54,2))))))</f>
        <v/>
      </c>
      <c r="T54" s="3">
        <f>IF($I54="","",IFERROR(INDEX('CAT_TIPOS_OT'!$C$4:$C$7,MATCH($I54,'CAT_TIPOS_OT'!$A$4:$A$7,0)),"sin_clasificar"))</f>
        <v/>
      </c>
      <c r="U54" s="3">
        <f>IF($F54="","",IFERROR(INDEX('CAT_CENTROS_COSTO'!$F$4:$F$13,MATCH($F54,'CAT_CENTROS_COSTO'!$A$4:$A$13,0)),"(sin catálogo)"))</f>
        <v/>
      </c>
      <c r="V54" s="3">
        <f>IF($F54="","",IFERROR(INDEX('CAT_CENTROS_COSTO'!$D$4:$D$13,MATCH($F54,'CAT_CENTROS_COSTO'!$A$4:$A$13,0)),"(sin catálogo)"))</f>
        <v/>
      </c>
      <c r="W54" s="3">
        <f>IF($F54="","",IF((IFERROR(INDEX('CAT_CENTROS_COSTO'!$E$4:$E$13,MATCH($F54,'CAT_CENTROS_COSTO'!$A$4:$A$13,0)),""))&lt;&gt;"",IFERROR(INDEX('CAT_CENTROS_COSTO'!$E$4:$E$13,MATCH($F54,'CAT_CENTROS_COSTO'!$A$4:$A$13,0)),""),$V54))</f>
        <v/>
      </c>
      <c r="X54" s="3">
        <f>IF($F54="","",IFERROR(INDEX('CAT_CENTROS_COSTO'!$G$4:$G$13,MATCH($F54,'CAT_CENTROS_COSTO'!$A$4:$A$13,0)),"(sin catálogo)"))</f>
        <v/>
      </c>
      <c r="Y54" s="3">
        <f>IF($G54="","",IFERROR(INDEX('CAT_PUESTOS'!$B$4:$B$8,MATCH($G54,'CAT_PUESTOS'!$A$4:$A$8,0)),"(sin catálogo)"))</f>
        <v/>
      </c>
      <c r="Z54" s="3">
        <f>IF($H54="","",IFERROR(INDEX('CAT_ACTIVIDADES'!$B$4:$B$8,MATCH($H54,'CAT_ACTIVIDADES'!$A$4:$A$8,0)),"(sin catálogo)"))</f>
        <v/>
      </c>
      <c r="AA54" s="12">
        <f>IF($J54="","",TODAY()-$J54)</f>
        <v/>
      </c>
      <c r="AB54" s="12">
        <f>IF($J54="","",IF($J54&lt;=TODAY(),COUNTIFS(cal_fechas,"&gt;="&amp;$J54,cal_fechas,"&lt;"&amp;TODAY(),cal_habil,"sí"),-COUNTIFS(cal_fechas,"&gt;="&amp;TODAY(),cal_fechas,"&lt;"&amp;$J54,cal_habil,"sí")))</f>
        <v/>
      </c>
      <c r="AC54" s="3">
        <f>IF($AB54="","",IF($AB54&lt;0,"FUTURO",IF($AB54&gt;p_dias_backlog_max,"BACKLOG","MES CORRIENTE")))</f>
        <v/>
      </c>
      <c r="AD54" s="3">
        <f>IF($AB54="",FALSE,AND($AB54&gt;p_dias_backlog_min,$AB54&lt;=p_dias_backlog_max))</f>
        <v/>
      </c>
      <c r="AE54" s="6" t="inlineStr">
        <is>
          <t>Técnico 07</t>
        </is>
      </c>
      <c r="AF54" s="3">
        <f>IF($AE54="","",IF((IFERROR(INDEX('ASIGNACIONES'!$F$4:$F$339,MATCH($O54&amp;"|"&amp;$R54&amp;"|"&amp;$AE54,'ASIGNACIONES'!$J$4:$J$339,0)),""))=0,"",IFERROR(INDEX('ASIGNACIONES'!$F$4:$F$339,MATCH($O54&amp;"|"&amp;$R54&amp;"|"&amp;$AE54,'ASIGNACIONES'!$J$4:$J$339,0)),"")))</f>
        <v/>
      </c>
      <c r="AG54" s="13">
        <f>IF($AE54="","",SUMIFS('ORDENES'!$M$4:$M$1203,'ORDENES'!$AE$4:$AE$1203,$AE54,'ORDENES'!$O$4:$O$1203,$O54,'ORDENES'!$R$4:$R$1203,$R54))</f>
        <v/>
      </c>
      <c r="AH54" s="13">
        <f>IF($AG54="","",p_factor_productividad*IFERROR(INDEX('ASIGNACIONES'!$I$4:$I$339,MATCH($O54&amp;"|"&amp;$R54&amp;"|"&amp;$AE54,'ASIGNACIONES'!$J$4:$J$339,0)),0)-$AG54)</f>
        <v/>
      </c>
      <c r="AI54" s="10">
        <f>IF($A54="","",IFERROR(INDEX('2_IMPORTAR_EJECUCION'!$F$9:$F$1208,MATCH($AQ54,'2_IMPORTAR_EJECUCION'!$J$9:$J$1208,0)),0))</f>
        <v/>
      </c>
      <c r="AJ54" s="10">
        <f>IF($A54="","",MAX(0,IFERROR(INDEX('2_IMPORTAR_EJECUCION'!$H$9:$H$1208,MATCH($AQ54,'2_IMPORTAR_EJECUCION'!$J$9:$J$1208,0)),0)-$AI54))</f>
        <v/>
      </c>
      <c r="AK54" s="10">
        <f>IF($A54="","",$AI54+$AJ54)</f>
        <v/>
      </c>
      <c r="AL54" s="6" t="inlineStr"/>
      <c r="AM54" s="6" t="inlineStr"/>
      <c r="AN54" s="6" t="inlineStr">
        <is>
          <t>ACT-01.pdf</t>
        </is>
      </c>
      <c r="AO54" s="3">
        <f>IF($AN54="","",HYPERLINK(p_ruta_base_checklists&amp;$AN54,"abrir"))</f>
        <v/>
      </c>
      <c r="AP54" s="6" t="inlineStr"/>
      <c r="AQ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IF($A55="","",IFERROR(INDEX('AJUSTES'!$B$4:$B$303,MATCH($AQ55,'AJUSTES'!$A$4:$A$303,0)),IF($K55="","",$K55)))</f>
        <v/>
      </c>
      <c r="N55" s="3">
        <f>IF($A55="","",IFERROR(INDEX('CAT_ESTADOS_ERP'!$B$4:$B$7,MATCH(IFERROR(INDEX('2_IMPORTAR_EJECUCION'!$C$9:$C$1208,MATCH($AQ55,'2_IMPORTAR_EJECUCION'!$J$9:$J$1208,0)),""),'CAT_ESTADOS_ERP'!$A$4:$A$7,0)),"Pendiente"))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J55="","",IFERROR(INDEX('CALENDARIO'!$C$15:$C$214,MATCH(TEXT($J55,"yyyy-mm-dd")&amp;"|"&amp;$V55&amp;"|"&amp;$W55,'CALENDARIO'!$G$15:$G$214,0)),IFERROR(INDEX('CALENDARIO'!$C$15:$C$214,MATCH(TEXT($J55,"yyyy-mm-dd")&amp;"|"&amp;$V55&amp;"|",'CALENDARIO'!$G$15:$G$214,0)),IFERROR(INDEX('CALENDARIO'!$C$15:$C$214,MATCH(TEXT($J55,"yyyy-mm-dd")&amp;"||",'CALENDARIO'!$G$15:$G$214,0)),INDEX(patronHabil,WEEKDAY($J55,2))))))</f>
        <v/>
      </c>
      <c r="T55" s="3">
        <f>IF($I55="","",IFERROR(INDEX('CAT_TIPOS_OT'!$C$4:$C$7,MATCH($I55,'CAT_TIPOS_OT'!$A$4:$A$7,0)),"sin_clasificar"))</f>
        <v/>
      </c>
      <c r="U55" s="3">
        <f>IF($F55="","",IFERROR(INDEX('CAT_CENTROS_COSTO'!$F$4:$F$13,MATCH($F55,'CAT_CENTROS_COSTO'!$A$4:$A$13,0)),"(sin catálogo)"))</f>
        <v/>
      </c>
      <c r="V55" s="3">
        <f>IF($F55="","",IFERROR(INDEX('CAT_CENTROS_COSTO'!$D$4:$D$13,MATCH($F55,'CAT_CENTROS_COSTO'!$A$4:$A$13,0)),"(sin catálogo)"))</f>
        <v/>
      </c>
      <c r="W55" s="3">
        <f>IF($F55="","",IF((IFERROR(INDEX('CAT_CENTROS_COSTO'!$E$4:$E$13,MATCH($F55,'CAT_CENTROS_COSTO'!$A$4:$A$13,0)),""))&lt;&gt;"",IFERROR(INDEX('CAT_CENTROS_COSTO'!$E$4:$E$13,MATCH($F55,'CAT_CENTROS_COSTO'!$A$4:$A$13,0)),""),$V55))</f>
        <v/>
      </c>
      <c r="X55" s="3">
        <f>IF($F55="","",IFERROR(INDEX('CAT_CENTROS_COSTO'!$G$4:$G$13,MATCH($F55,'CAT_CENTROS_COSTO'!$A$4:$A$13,0)),"(sin catálogo)"))</f>
        <v/>
      </c>
      <c r="Y55" s="3">
        <f>IF($G55="","",IFERROR(INDEX('CAT_PUESTOS'!$B$4:$B$8,MATCH($G55,'CAT_PUESTOS'!$A$4:$A$8,0)),"(sin catálogo)"))</f>
        <v/>
      </c>
      <c r="Z55" s="3">
        <f>IF($H55="","",IFERROR(INDEX('CAT_ACTIVIDADES'!$B$4:$B$8,MATCH($H55,'CAT_ACTIVIDADES'!$A$4:$A$8,0)),"(sin catálogo)"))</f>
        <v/>
      </c>
      <c r="AA55" s="12">
        <f>IF($J55="","",TODAY()-$J55)</f>
        <v/>
      </c>
      <c r="AB55" s="12">
        <f>IF($J55="","",IF($J55&lt;=TODAY(),COUNTIFS(cal_fechas,"&gt;="&amp;$J55,cal_fechas,"&lt;"&amp;TODAY(),cal_habil,"sí"),-COUNTIFS(cal_fechas,"&gt;="&amp;TODAY(),cal_fechas,"&lt;"&amp;$J55,cal_habil,"sí")))</f>
        <v/>
      </c>
      <c r="AC55" s="3">
        <f>IF($AB55="","",IF($AB55&lt;0,"FUTURO",IF($AB55&gt;p_dias_backlog_max,"BACKLOG","MES CORRIENTE")))</f>
        <v/>
      </c>
      <c r="AD55" s="3">
        <f>IF($AB55="",FALSE,AND($AB55&gt;p_dias_backlog_min,$AB55&lt;=p_dias_backlog_max))</f>
        <v/>
      </c>
      <c r="AE55" s="6" t="inlineStr">
        <is>
          <t>Técnico 05</t>
        </is>
      </c>
      <c r="AF55" s="3">
        <f>IF($AE55="","",IF((IFERROR(INDEX('ASIGNACIONES'!$F$4:$F$339,MATCH($O55&amp;"|"&amp;$R55&amp;"|"&amp;$AE55,'ASIGNACIONES'!$J$4:$J$339,0)),""))=0,"",IFERROR(INDEX('ASIGNACIONES'!$F$4:$F$339,MATCH($O55&amp;"|"&amp;$R55&amp;"|"&amp;$AE55,'ASIGNACIONES'!$J$4:$J$339,0)),"")))</f>
        <v/>
      </c>
      <c r="AG55" s="13">
        <f>IF($AE55="","",SUMIFS('ORDENES'!$M$4:$M$1203,'ORDENES'!$AE$4:$AE$1203,$AE55,'ORDENES'!$O$4:$O$1203,$O55,'ORDENES'!$R$4:$R$1203,$R55))</f>
        <v/>
      </c>
      <c r="AH55" s="13">
        <f>IF($AG55="","",p_factor_productividad*IFERROR(INDEX('ASIGNACIONES'!$I$4:$I$339,MATCH($O55&amp;"|"&amp;$R55&amp;"|"&amp;$AE55,'ASIGNACIONES'!$J$4:$J$339,0)),0)-$AG55)</f>
        <v/>
      </c>
      <c r="AI55" s="10">
        <f>IF($A55="","",IFERROR(INDEX('2_IMPORTAR_EJECUCION'!$F$9:$F$1208,MATCH($AQ55,'2_IMPORTAR_EJECUCION'!$J$9:$J$1208,0)),0))</f>
        <v/>
      </c>
      <c r="AJ55" s="10">
        <f>IF($A55="","",MAX(0,IFERROR(INDEX('2_IMPORTAR_EJECUCION'!$H$9:$H$1208,MATCH($AQ55,'2_IMPORTAR_EJECUCION'!$J$9:$J$1208,0)),0)-$AI55))</f>
        <v/>
      </c>
      <c r="AK55" s="10">
        <f>IF($A55="","",$AI55+$AJ55)</f>
        <v/>
      </c>
      <c r="AL55" s="6" t="inlineStr"/>
      <c r="AM55" s="6" t="inlineStr"/>
      <c r="AN55" s="6" t="inlineStr">
        <is>
          <t>ACT-02.pdf</t>
        </is>
      </c>
      <c r="AO55" s="3">
        <f>IF($AN55="","",HYPERLINK(p_ruta_base_checklists&amp;$AN55,"abrir"))</f>
        <v/>
      </c>
      <c r="AP55" s="6" t="inlineStr"/>
      <c r="AQ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IF($A56="","",IFERROR(INDEX('AJUSTES'!$B$4:$B$303,MATCH($AQ56,'AJUSTES'!$A$4:$A$303,0)),IF($K56="","",$K56)))</f>
        <v/>
      </c>
      <c r="N56" s="3">
        <f>IF($A56="","",IFERROR(INDEX('CAT_ESTADOS_ERP'!$B$4:$B$7,MATCH(IFERROR(INDEX('2_IMPORTAR_EJECUCION'!$C$9:$C$1208,MATCH($AQ56,'2_IMPORTAR_EJECUCION'!$J$9:$J$1208,0)),""),'CAT_ESTADOS_ERP'!$A$4:$A$7,0)),"Pendiente"))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J56="","",IFERROR(INDEX('CALENDARIO'!$C$15:$C$214,MATCH(TEXT($J56,"yyyy-mm-dd")&amp;"|"&amp;$V56&amp;"|"&amp;$W56,'CALENDARIO'!$G$15:$G$214,0)),IFERROR(INDEX('CALENDARIO'!$C$15:$C$214,MATCH(TEXT($J56,"yyyy-mm-dd")&amp;"|"&amp;$V56&amp;"|",'CALENDARIO'!$G$15:$G$214,0)),IFERROR(INDEX('CALENDARIO'!$C$15:$C$214,MATCH(TEXT($J56,"yyyy-mm-dd")&amp;"||",'CALENDARIO'!$G$15:$G$214,0)),INDEX(patronHabil,WEEKDAY($J56,2))))))</f>
        <v/>
      </c>
      <c r="T56" s="3">
        <f>IF($I56="","",IFERROR(INDEX('CAT_TIPOS_OT'!$C$4:$C$7,MATCH($I56,'CAT_TIPOS_OT'!$A$4:$A$7,0)),"sin_clasificar"))</f>
        <v/>
      </c>
      <c r="U56" s="3">
        <f>IF($F56="","",IFERROR(INDEX('CAT_CENTROS_COSTO'!$F$4:$F$13,MATCH($F56,'CAT_CENTROS_COSTO'!$A$4:$A$13,0)),"(sin catálogo)"))</f>
        <v/>
      </c>
      <c r="V56" s="3">
        <f>IF($F56="","",IFERROR(INDEX('CAT_CENTROS_COSTO'!$D$4:$D$13,MATCH($F56,'CAT_CENTROS_COSTO'!$A$4:$A$13,0)),"(sin catálogo)"))</f>
        <v/>
      </c>
      <c r="W56" s="3">
        <f>IF($F56="","",IF((IFERROR(INDEX('CAT_CENTROS_COSTO'!$E$4:$E$13,MATCH($F56,'CAT_CENTROS_COSTO'!$A$4:$A$13,0)),""))&lt;&gt;"",IFERROR(INDEX('CAT_CENTROS_COSTO'!$E$4:$E$13,MATCH($F56,'CAT_CENTROS_COSTO'!$A$4:$A$13,0)),""),$V56))</f>
        <v/>
      </c>
      <c r="X56" s="3">
        <f>IF($F56="","",IFERROR(INDEX('CAT_CENTROS_COSTO'!$G$4:$G$13,MATCH($F56,'CAT_CENTROS_COSTO'!$A$4:$A$13,0)),"(sin catálogo)"))</f>
        <v/>
      </c>
      <c r="Y56" s="3">
        <f>IF($G56="","",IFERROR(INDEX('CAT_PUESTOS'!$B$4:$B$8,MATCH($G56,'CAT_PUESTOS'!$A$4:$A$8,0)),"(sin catálogo)"))</f>
        <v/>
      </c>
      <c r="Z56" s="3">
        <f>IF($H56="","",IFERROR(INDEX('CAT_ACTIVIDADES'!$B$4:$B$8,MATCH($H56,'CAT_ACTIVIDADES'!$A$4:$A$8,0)),"(sin catálogo)"))</f>
        <v/>
      </c>
      <c r="AA56" s="12">
        <f>IF($J56="","",TODAY()-$J56)</f>
        <v/>
      </c>
      <c r="AB56" s="12">
        <f>IF($J56="","",IF($J56&lt;=TODAY(),COUNTIFS(cal_fechas,"&gt;="&amp;$J56,cal_fechas,"&lt;"&amp;TODAY(),cal_habil,"sí"),-COUNTIFS(cal_fechas,"&gt;="&amp;TODAY(),cal_fechas,"&lt;"&amp;$J56,cal_habil,"sí")))</f>
        <v/>
      </c>
      <c r="AC56" s="3">
        <f>IF($AB56="","",IF($AB56&lt;0,"FUTURO",IF($AB56&gt;p_dias_backlog_max,"BACKLOG","MES CORRIENTE")))</f>
        <v/>
      </c>
      <c r="AD56" s="3">
        <f>IF($AB56="",FALSE,AND($AB56&gt;p_dias_backlog_min,$AB56&lt;=p_dias_backlog_max))</f>
        <v/>
      </c>
      <c r="AE56" s="6" t="inlineStr">
        <is>
          <t>Técnico 06</t>
        </is>
      </c>
      <c r="AF56" s="3">
        <f>IF($AE56="","",IF((IFERROR(INDEX('ASIGNACIONES'!$F$4:$F$339,MATCH($O56&amp;"|"&amp;$R56&amp;"|"&amp;$AE56,'ASIGNACIONES'!$J$4:$J$339,0)),""))=0,"",IFERROR(INDEX('ASIGNACIONES'!$F$4:$F$339,MATCH($O56&amp;"|"&amp;$R56&amp;"|"&amp;$AE56,'ASIGNACIONES'!$J$4:$J$339,0)),"")))</f>
        <v/>
      </c>
      <c r="AG56" s="13">
        <f>IF($AE56="","",SUMIFS('ORDENES'!$M$4:$M$1203,'ORDENES'!$AE$4:$AE$1203,$AE56,'ORDENES'!$O$4:$O$1203,$O56,'ORDENES'!$R$4:$R$1203,$R56))</f>
        <v/>
      </c>
      <c r="AH56" s="13">
        <f>IF($AG56="","",p_factor_productividad*IFERROR(INDEX('ASIGNACIONES'!$I$4:$I$339,MATCH($O56&amp;"|"&amp;$R56&amp;"|"&amp;$AE56,'ASIGNACIONES'!$J$4:$J$339,0)),0)-$AG56)</f>
        <v/>
      </c>
      <c r="AI56" s="10">
        <f>IF($A56="","",IFERROR(INDEX('2_IMPORTAR_EJECUCION'!$F$9:$F$1208,MATCH($AQ56,'2_IMPORTAR_EJECUCION'!$J$9:$J$1208,0)),0))</f>
        <v/>
      </c>
      <c r="AJ56" s="10">
        <f>IF($A56="","",MAX(0,IFERROR(INDEX('2_IMPORTAR_EJECUCION'!$H$9:$H$1208,MATCH($AQ56,'2_IMPORTAR_EJECUCION'!$J$9:$J$1208,0)),0)-$AI56))</f>
        <v/>
      </c>
      <c r="AK56" s="10">
        <f>IF($A56="","",$AI56+$AJ56)</f>
        <v/>
      </c>
      <c r="AL56" s="6" t="inlineStr"/>
      <c r="AM56" s="6" t="inlineStr"/>
      <c r="AN56" s="6" t="inlineStr">
        <is>
          <t>ACT-04.pdf</t>
        </is>
      </c>
      <c r="AO56" s="3">
        <f>IF($AN56="","",HYPERLINK(p_ruta_base_checklists&amp;$AN56,"abrir"))</f>
        <v/>
      </c>
      <c r="AP56" s="6" t="inlineStr"/>
      <c r="AQ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IF($A57="","",IFERROR(INDEX('AJUSTES'!$B$4:$B$303,MATCH($AQ57,'AJUSTES'!$A$4:$A$303,0)),IF($K57="","",$K57)))</f>
        <v/>
      </c>
      <c r="N57" s="3">
        <f>IF($A57="","",IFERROR(INDEX('CAT_ESTADOS_ERP'!$B$4:$B$7,MATCH(IFERROR(INDEX('2_IMPORTAR_EJECUCION'!$C$9:$C$1208,MATCH($AQ57,'2_IMPORTAR_EJECUCION'!$J$9:$J$1208,0)),""),'CAT_ESTADOS_ERP'!$A$4:$A$7,0)),"Pendiente"))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J57="","",IFERROR(INDEX('CALENDARIO'!$C$15:$C$214,MATCH(TEXT($J57,"yyyy-mm-dd")&amp;"|"&amp;$V57&amp;"|"&amp;$W57,'CALENDARIO'!$G$15:$G$214,0)),IFERROR(INDEX('CALENDARIO'!$C$15:$C$214,MATCH(TEXT($J57,"yyyy-mm-dd")&amp;"|"&amp;$V57&amp;"|",'CALENDARIO'!$G$15:$G$214,0)),IFERROR(INDEX('CALENDARIO'!$C$15:$C$214,MATCH(TEXT($J57,"yyyy-mm-dd")&amp;"||",'CALENDARIO'!$G$15:$G$214,0)),INDEX(patronHabil,WEEKDAY($J57,2))))))</f>
        <v/>
      </c>
      <c r="T57" s="3">
        <f>IF($I57="","",IFERROR(INDEX('CAT_TIPOS_OT'!$C$4:$C$7,MATCH($I57,'CAT_TIPOS_OT'!$A$4:$A$7,0)),"sin_clasificar"))</f>
        <v/>
      </c>
      <c r="U57" s="3">
        <f>IF($F57="","",IFERROR(INDEX('CAT_CENTROS_COSTO'!$F$4:$F$13,MATCH($F57,'CAT_CENTROS_COSTO'!$A$4:$A$13,0)),"(sin catálogo)"))</f>
        <v/>
      </c>
      <c r="V57" s="3">
        <f>IF($F57="","",IFERROR(INDEX('CAT_CENTROS_COSTO'!$D$4:$D$13,MATCH($F57,'CAT_CENTROS_COSTO'!$A$4:$A$13,0)),"(sin catálogo)"))</f>
        <v/>
      </c>
      <c r="W57" s="3">
        <f>IF($F57="","",IF((IFERROR(INDEX('CAT_CENTROS_COSTO'!$E$4:$E$13,MATCH($F57,'CAT_CENTROS_COSTO'!$A$4:$A$13,0)),""))&lt;&gt;"",IFERROR(INDEX('CAT_CENTROS_COSTO'!$E$4:$E$13,MATCH($F57,'CAT_CENTROS_COSTO'!$A$4:$A$13,0)),""),$V57))</f>
        <v/>
      </c>
      <c r="X57" s="3">
        <f>IF($F57="","",IFERROR(INDEX('CAT_CENTROS_COSTO'!$G$4:$G$13,MATCH($F57,'CAT_CENTROS_COSTO'!$A$4:$A$13,0)),"(sin catálogo)"))</f>
        <v/>
      </c>
      <c r="Y57" s="3">
        <f>IF($G57="","",IFERROR(INDEX('CAT_PUESTOS'!$B$4:$B$8,MATCH($G57,'CAT_PUESTOS'!$A$4:$A$8,0)),"(sin catálogo)"))</f>
        <v/>
      </c>
      <c r="Z57" s="3">
        <f>IF($H57="","",IFERROR(INDEX('CAT_ACTIVIDADES'!$B$4:$B$8,MATCH($H57,'CAT_ACTIVIDADES'!$A$4:$A$8,0)),"(sin catálogo)"))</f>
        <v/>
      </c>
      <c r="AA57" s="12">
        <f>IF($J57="","",TODAY()-$J57)</f>
        <v/>
      </c>
      <c r="AB57" s="12">
        <f>IF($J57="","",IF($J57&lt;=TODAY(),COUNTIFS(cal_fechas,"&gt;="&amp;$J57,cal_fechas,"&lt;"&amp;TODAY(),cal_habil,"sí"),-COUNTIFS(cal_fechas,"&gt;="&amp;TODAY(),cal_fechas,"&lt;"&amp;$J57,cal_habil,"sí")))</f>
        <v/>
      </c>
      <c r="AC57" s="3">
        <f>IF($AB57="","",IF($AB57&lt;0,"FUTURO",IF($AB57&gt;p_dias_backlog_max,"BACKLOG","MES CORRIENTE")))</f>
        <v/>
      </c>
      <c r="AD57" s="3">
        <f>IF($AB57="",FALSE,AND($AB57&gt;p_dias_backlog_min,$AB57&lt;=p_dias_backlog_max))</f>
        <v/>
      </c>
      <c r="AE57" s="6" t="inlineStr">
        <is>
          <t>Técnico 07</t>
        </is>
      </c>
      <c r="AF57" s="3">
        <f>IF($AE57="","",IF((IFERROR(INDEX('ASIGNACIONES'!$F$4:$F$339,MATCH($O57&amp;"|"&amp;$R57&amp;"|"&amp;$AE57,'ASIGNACIONES'!$J$4:$J$339,0)),""))=0,"",IFERROR(INDEX('ASIGNACIONES'!$F$4:$F$339,MATCH($O57&amp;"|"&amp;$R57&amp;"|"&amp;$AE57,'ASIGNACIONES'!$J$4:$J$339,0)),"")))</f>
        <v/>
      </c>
      <c r="AG57" s="13">
        <f>IF($AE57="","",SUMIFS('ORDENES'!$M$4:$M$1203,'ORDENES'!$AE$4:$AE$1203,$AE57,'ORDENES'!$O$4:$O$1203,$O57,'ORDENES'!$R$4:$R$1203,$R57))</f>
        <v/>
      </c>
      <c r="AH57" s="13">
        <f>IF($AG57="","",p_factor_productividad*IFERROR(INDEX('ASIGNACIONES'!$I$4:$I$339,MATCH($O57&amp;"|"&amp;$R57&amp;"|"&amp;$AE57,'ASIGNACIONES'!$J$4:$J$339,0)),0)-$AG57)</f>
        <v/>
      </c>
      <c r="AI57" s="10">
        <f>IF($A57="","",IFERROR(INDEX('2_IMPORTAR_EJECUCION'!$F$9:$F$1208,MATCH($AQ57,'2_IMPORTAR_EJECUCION'!$J$9:$J$1208,0)),0))</f>
        <v/>
      </c>
      <c r="AJ57" s="10">
        <f>IF($A57="","",MAX(0,IFERROR(INDEX('2_IMPORTAR_EJECUCION'!$H$9:$H$1208,MATCH($AQ57,'2_IMPORTAR_EJECUCION'!$J$9:$J$1208,0)),0)-$AI57))</f>
        <v/>
      </c>
      <c r="AK57" s="10">
        <f>IF($A57="","",$AI57+$AJ57)</f>
        <v/>
      </c>
      <c r="AL57" s="6" t="inlineStr"/>
      <c r="AM57" s="6" t="inlineStr"/>
      <c r="AN57" s="6" t="inlineStr">
        <is>
          <t>ACT-01.pdf</t>
        </is>
      </c>
      <c r="AO57" s="3">
        <f>IF($AN57="","",HYPERLINK(p_ruta_base_checklists&amp;$AN57,"abrir"))</f>
        <v/>
      </c>
      <c r="AP57" s="6" t="inlineStr"/>
      <c r="AQ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IF($A58="","",IFERROR(INDEX('AJUSTES'!$B$4:$B$303,MATCH($AQ58,'AJUSTES'!$A$4:$A$303,0)),IF($K58="","",$K58)))</f>
        <v/>
      </c>
      <c r="N58" s="3">
        <f>IF($A58="","",IFERROR(INDEX('CAT_ESTADOS_ERP'!$B$4:$B$7,MATCH(IFERROR(INDEX('2_IMPORTAR_EJECUCION'!$C$9:$C$1208,MATCH($AQ58,'2_IMPORTAR_EJECUCION'!$J$9:$J$1208,0)),""),'CAT_ESTADOS_ERP'!$A$4:$A$7,0)),"Pendiente"))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J58="","",IFERROR(INDEX('CALENDARIO'!$C$15:$C$214,MATCH(TEXT($J58,"yyyy-mm-dd")&amp;"|"&amp;$V58&amp;"|"&amp;$W58,'CALENDARIO'!$G$15:$G$214,0)),IFERROR(INDEX('CALENDARIO'!$C$15:$C$214,MATCH(TEXT($J58,"yyyy-mm-dd")&amp;"|"&amp;$V58&amp;"|",'CALENDARIO'!$G$15:$G$214,0)),IFERROR(INDEX('CALENDARIO'!$C$15:$C$214,MATCH(TEXT($J58,"yyyy-mm-dd")&amp;"||",'CALENDARIO'!$G$15:$G$214,0)),INDEX(patronHabil,WEEKDAY($J58,2))))))</f>
        <v/>
      </c>
      <c r="T58" s="3">
        <f>IF($I58="","",IFERROR(INDEX('CAT_TIPOS_OT'!$C$4:$C$7,MATCH($I58,'CAT_TIPOS_OT'!$A$4:$A$7,0)),"sin_clasificar"))</f>
        <v/>
      </c>
      <c r="U58" s="3">
        <f>IF($F58="","",IFERROR(INDEX('CAT_CENTROS_COSTO'!$F$4:$F$13,MATCH($F58,'CAT_CENTROS_COSTO'!$A$4:$A$13,0)),"(sin catálogo)"))</f>
        <v/>
      </c>
      <c r="V58" s="3">
        <f>IF($F58="","",IFERROR(INDEX('CAT_CENTROS_COSTO'!$D$4:$D$13,MATCH($F58,'CAT_CENTROS_COSTO'!$A$4:$A$13,0)),"(sin catálogo)"))</f>
        <v/>
      </c>
      <c r="W58" s="3">
        <f>IF($F58="","",IF((IFERROR(INDEX('CAT_CENTROS_COSTO'!$E$4:$E$13,MATCH($F58,'CAT_CENTROS_COSTO'!$A$4:$A$13,0)),""))&lt;&gt;"",IFERROR(INDEX('CAT_CENTROS_COSTO'!$E$4:$E$13,MATCH($F58,'CAT_CENTROS_COSTO'!$A$4:$A$13,0)),""),$V58))</f>
        <v/>
      </c>
      <c r="X58" s="3">
        <f>IF($F58="","",IFERROR(INDEX('CAT_CENTROS_COSTO'!$G$4:$G$13,MATCH($F58,'CAT_CENTROS_COSTO'!$A$4:$A$13,0)),"(sin catálogo)"))</f>
        <v/>
      </c>
      <c r="Y58" s="3">
        <f>IF($G58="","",IFERROR(INDEX('CAT_PUESTOS'!$B$4:$B$8,MATCH($G58,'CAT_PUESTOS'!$A$4:$A$8,0)),"(sin catálogo)"))</f>
        <v/>
      </c>
      <c r="Z58" s="3">
        <f>IF($H58="","",IFERROR(INDEX('CAT_ACTIVIDADES'!$B$4:$B$8,MATCH($H58,'CAT_ACTIVIDADES'!$A$4:$A$8,0)),"(sin catálogo)"))</f>
        <v/>
      </c>
      <c r="AA58" s="12">
        <f>IF($J58="","",TODAY()-$J58)</f>
        <v/>
      </c>
      <c r="AB58" s="12">
        <f>IF($J58="","",IF($J58&lt;=TODAY(),COUNTIFS(cal_fechas,"&gt;="&amp;$J58,cal_fechas,"&lt;"&amp;TODAY(),cal_habil,"sí"),-COUNTIFS(cal_fechas,"&gt;="&amp;TODAY(),cal_fechas,"&lt;"&amp;$J58,cal_habil,"sí")))</f>
        <v/>
      </c>
      <c r="AC58" s="3">
        <f>IF($AB58="","",IF($AB58&lt;0,"FUTURO",IF($AB58&gt;p_dias_backlog_max,"BACKLOG","MES CORRIENTE")))</f>
        <v/>
      </c>
      <c r="AD58" s="3">
        <f>IF($AB58="",FALSE,AND($AB58&gt;p_dias_backlog_min,$AB58&lt;=p_dias_backlog_max))</f>
        <v/>
      </c>
      <c r="AE58" s="6" t="inlineStr">
        <is>
          <t>Técnico 05</t>
        </is>
      </c>
      <c r="AF58" s="3">
        <f>IF($AE58="","",IF((IFERROR(INDEX('ASIGNACIONES'!$F$4:$F$339,MATCH($O58&amp;"|"&amp;$R58&amp;"|"&amp;$AE58,'ASIGNACIONES'!$J$4:$J$339,0)),""))=0,"",IFERROR(INDEX('ASIGNACIONES'!$F$4:$F$339,MATCH($O58&amp;"|"&amp;$R58&amp;"|"&amp;$AE58,'ASIGNACIONES'!$J$4:$J$339,0)),"")))</f>
        <v/>
      </c>
      <c r="AG58" s="13">
        <f>IF($AE58="","",SUMIFS('ORDENES'!$M$4:$M$1203,'ORDENES'!$AE$4:$AE$1203,$AE58,'ORDENES'!$O$4:$O$1203,$O58,'ORDENES'!$R$4:$R$1203,$R58))</f>
        <v/>
      </c>
      <c r="AH58" s="13">
        <f>IF($AG58="","",p_factor_productividad*IFERROR(INDEX('ASIGNACIONES'!$I$4:$I$339,MATCH($O58&amp;"|"&amp;$R58&amp;"|"&amp;$AE58,'ASIGNACIONES'!$J$4:$J$339,0)),0)-$AG58)</f>
        <v/>
      </c>
      <c r="AI58" s="10">
        <f>IF($A58="","",IFERROR(INDEX('2_IMPORTAR_EJECUCION'!$F$9:$F$1208,MATCH($AQ58,'2_IMPORTAR_EJECUCION'!$J$9:$J$1208,0)),0))</f>
        <v/>
      </c>
      <c r="AJ58" s="10">
        <f>IF($A58="","",MAX(0,IFERROR(INDEX('2_IMPORTAR_EJECUCION'!$H$9:$H$1208,MATCH($AQ58,'2_IMPORTAR_EJECUCION'!$J$9:$J$1208,0)),0)-$AI58))</f>
        <v/>
      </c>
      <c r="AK58" s="10">
        <f>IF($A58="","",$AI58+$AJ58)</f>
        <v/>
      </c>
      <c r="AL58" s="6" t="inlineStr"/>
      <c r="AM58" s="6" t="inlineStr"/>
      <c r="AN58" s="6" t="inlineStr">
        <is>
          <t>ACT-02.pdf</t>
        </is>
      </c>
      <c r="AO58" s="3">
        <f>IF($AN58="","",HYPERLINK(p_ruta_base_checklists&amp;$AN58,"abrir"))</f>
        <v/>
      </c>
      <c r="AP58" s="6" t="inlineStr"/>
      <c r="AQ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IF($A59="","",IFERROR(INDEX('AJUSTES'!$B$4:$B$303,MATCH($AQ59,'AJUSTES'!$A$4:$A$303,0)),IF($K59="","",$K59)))</f>
        <v/>
      </c>
      <c r="N59" s="3">
        <f>IF($A59="","",IFERROR(INDEX('CAT_ESTADOS_ERP'!$B$4:$B$7,MATCH(IFERROR(INDEX('2_IMPORTAR_EJECUCION'!$C$9:$C$1208,MATCH($AQ59,'2_IMPORTAR_EJECUCION'!$J$9:$J$1208,0)),""),'CAT_ESTADOS_ERP'!$A$4:$A$7,0)),"Pendiente"))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J59="","",IFERROR(INDEX('CALENDARIO'!$C$15:$C$214,MATCH(TEXT($J59,"yyyy-mm-dd")&amp;"|"&amp;$V59&amp;"|"&amp;$W59,'CALENDARIO'!$G$15:$G$214,0)),IFERROR(INDEX('CALENDARIO'!$C$15:$C$214,MATCH(TEXT($J59,"yyyy-mm-dd")&amp;"|"&amp;$V59&amp;"|",'CALENDARIO'!$G$15:$G$214,0)),IFERROR(INDEX('CALENDARIO'!$C$15:$C$214,MATCH(TEXT($J59,"yyyy-mm-dd")&amp;"||",'CALENDARIO'!$G$15:$G$214,0)),INDEX(patronHabil,WEEKDAY($J59,2))))))</f>
        <v/>
      </c>
      <c r="T59" s="3">
        <f>IF($I59="","",IFERROR(INDEX('CAT_TIPOS_OT'!$C$4:$C$7,MATCH($I59,'CAT_TIPOS_OT'!$A$4:$A$7,0)),"sin_clasificar"))</f>
        <v/>
      </c>
      <c r="U59" s="3">
        <f>IF($F59="","",IFERROR(INDEX('CAT_CENTROS_COSTO'!$F$4:$F$13,MATCH($F59,'CAT_CENTROS_COSTO'!$A$4:$A$13,0)),"(sin catálogo)"))</f>
        <v/>
      </c>
      <c r="V59" s="3">
        <f>IF($F59="","",IFERROR(INDEX('CAT_CENTROS_COSTO'!$D$4:$D$13,MATCH($F59,'CAT_CENTROS_COSTO'!$A$4:$A$13,0)),"(sin catálogo)"))</f>
        <v/>
      </c>
      <c r="W59" s="3">
        <f>IF($F59="","",IF((IFERROR(INDEX('CAT_CENTROS_COSTO'!$E$4:$E$13,MATCH($F59,'CAT_CENTROS_COSTO'!$A$4:$A$13,0)),""))&lt;&gt;"",IFERROR(INDEX('CAT_CENTROS_COSTO'!$E$4:$E$13,MATCH($F59,'CAT_CENTROS_COSTO'!$A$4:$A$13,0)),""),$V59))</f>
        <v/>
      </c>
      <c r="X59" s="3">
        <f>IF($F59="","",IFERROR(INDEX('CAT_CENTROS_COSTO'!$G$4:$G$13,MATCH($F59,'CAT_CENTROS_COSTO'!$A$4:$A$13,0)),"(sin catálogo)"))</f>
        <v/>
      </c>
      <c r="Y59" s="3">
        <f>IF($G59="","",IFERROR(INDEX('CAT_PUESTOS'!$B$4:$B$8,MATCH($G59,'CAT_PUESTOS'!$A$4:$A$8,0)),"(sin catálogo)"))</f>
        <v/>
      </c>
      <c r="Z59" s="3">
        <f>IF($H59="","",IFERROR(INDEX('CAT_ACTIVIDADES'!$B$4:$B$8,MATCH($H59,'CAT_ACTIVIDADES'!$A$4:$A$8,0)),"(sin catálogo)"))</f>
        <v/>
      </c>
      <c r="AA59" s="12">
        <f>IF($J59="","",TODAY()-$J59)</f>
        <v/>
      </c>
      <c r="AB59" s="12">
        <f>IF($J59="","",IF($J59&lt;=TODAY(),COUNTIFS(cal_fechas,"&gt;="&amp;$J59,cal_fechas,"&lt;"&amp;TODAY(),cal_habil,"sí"),-COUNTIFS(cal_fechas,"&gt;="&amp;TODAY(),cal_fechas,"&lt;"&amp;$J59,cal_habil,"sí")))</f>
        <v/>
      </c>
      <c r="AC59" s="3">
        <f>IF($AB59="","",IF($AB59&lt;0,"FUTURO",IF($AB59&gt;p_dias_backlog_max,"BACKLOG","MES CORRIENTE")))</f>
        <v/>
      </c>
      <c r="AD59" s="3">
        <f>IF($AB59="",FALSE,AND($AB59&gt;p_dias_backlog_min,$AB59&lt;=p_dias_backlog_max))</f>
        <v/>
      </c>
      <c r="AE59" s="6" t="inlineStr">
        <is>
          <t>Técnico 06</t>
        </is>
      </c>
      <c r="AF59" s="3">
        <f>IF($AE59="","",IF((IFERROR(INDEX('ASIGNACIONES'!$F$4:$F$339,MATCH($O59&amp;"|"&amp;$R59&amp;"|"&amp;$AE59,'ASIGNACIONES'!$J$4:$J$339,0)),""))=0,"",IFERROR(INDEX('ASIGNACIONES'!$F$4:$F$339,MATCH($O59&amp;"|"&amp;$R59&amp;"|"&amp;$AE59,'ASIGNACIONES'!$J$4:$J$339,0)),"")))</f>
        <v/>
      </c>
      <c r="AG59" s="13">
        <f>IF($AE59="","",SUMIFS('ORDENES'!$M$4:$M$1203,'ORDENES'!$AE$4:$AE$1203,$AE59,'ORDENES'!$O$4:$O$1203,$O59,'ORDENES'!$R$4:$R$1203,$R59))</f>
        <v/>
      </c>
      <c r="AH59" s="13">
        <f>IF($AG59="","",p_factor_productividad*IFERROR(INDEX('ASIGNACIONES'!$I$4:$I$339,MATCH($O59&amp;"|"&amp;$R59&amp;"|"&amp;$AE59,'ASIGNACIONES'!$J$4:$J$339,0)),0)-$AG59)</f>
        <v/>
      </c>
      <c r="AI59" s="10">
        <f>IF($A59="","",IFERROR(INDEX('2_IMPORTAR_EJECUCION'!$F$9:$F$1208,MATCH($AQ59,'2_IMPORTAR_EJECUCION'!$J$9:$J$1208,0)),0))</f>
        <v/>
      </c>
      <c r="AJ59" s="10">
        <f>IF($A59="","",MAX(0,IFERROR(INDEX('2_IMPORTAR_EJECUCION'!$H$9:$H$1208,MATCH($AQ59,'2_IMPORTAR_EJECUCION'!$J$9:$J$1208,0)),0)-$AI59))</f>
        <v/>
      </c>
      <c r="AK59" s="10">
        <f>IF($A59="","",$AI59+$AJ59)</f>
        <v/>
      </c>
      <c r="AL59" s="6" t="inlineStr"/>
      <c r="AM59" s="6" t="inlineStr"/>
      <c r="AN59" s="6" t="inlineStr">
        <is>
          <t>ACT-04.pdf</t>
        </is>
      </c>
      <c r="AO59" s="3">
        <f>IF($AN59="","",HYPERLINK(p_ruta_base_checklists&amp;$AN59,"abrir"))</f>
        <v/>
      </c>
      <c r="AP59" s="6" t="inlineStr"/>
      <c r="AQ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IF($A60="","",IFERROR(INDEX('AJUSTES'!$B$4:$B$303,MATCH($AQ60,'AJUSTES'!$A$4:$A$303,0)),IF($K60="","",$K60)))</f>
        <v/>
      </c>
      <c r="N60" s="3">
        <f>IF($A60="","",IFERROR(INDEX('CAT_ESTADOS_ERP'!$B$4:$B$7,MATCH(IFERROR(INDEX('2_IMPORTAR_EJECUCION'!$C$9:$C$1208,MATCH($AQ60,'2_IMPORTAR_EJECUCION'!$J$9:$J$1208,0)),""),'CAT_ESTADOS_ERP'!$A$4:$A$7,0)),"Pendiente"))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J60="","",IFERROR(INDEX('CALENDARIO'!$C$15:$C$214,MATCH(TEXT($J60,"yyyy-mm-dd")&amp;"|"&amp;$V60&amp;"|"&amp;$W60,'CALENDARIO'!$G$15:$G$214,0)),IFERROR(INDEX('CALENDARIO'!$C$15:$C$214,MATCH(TEXT($J60,"yyyy-mm-dd")&amp;"|"&amp;$V60&amp;"|",'CALENDARIO'!$G$15:$G$214,0)),IFERROR(INDEX('CALENDARIO'!$C$15:$C$214,MATCH(TEXT($J60,"yyyy-mm-dd")&amp;"||",'CALENDARIO'!$G$15:$G$214,0)),INDEX(patronHabil,WEEKDAY($J60,2))))))</f>
        <v/>
      </c>
      <c r="T60" s="3">
        <f>IF($I60="","",IFERROR(INDEX('CAT_TIPOS_OT'!$C$4:$C$7,MATCH($I60,'CAT_TIPOS_OT'!$A$4:$A$7,0)),"sin_clasificar"))</f>
        <v/>
      </c>
      <c r="U60" s="3">
        <f>IF($F60="","",IFERROR(INDEX('CAT_CENTROS_COSTO'!$F$4:$F$13,MATCH($F60,'CAT_CENTROS_COSTO'!$A$4:$A$13,0)),"(sin catálogo)"))</f>
        <v/>
      </c>
      <c r="V60" s="3">
        <f>IF($F60="","",IFERROR(INDEX('CAT_CENTROS_COSTO'!$D$4:$D$13,MATCH($F60,'CAT_CENTROS_COSTO'!$A$4:$A$13,0)),"(sin catálogo)"))</f>
        <v/>
      </c>
      <c r="W60" s="3">
        <f>IF($F60="","",IF((IFERROR(INDEX('CAT_CENTROS_COSTO'!$E$4:$E$13,MATCH($F60,'CAT_CENTROS_COSTO'!$A$4:$A$13,0)),""))&lt;&gt;"",IFERROR(INDEX('CAT_CENTROS_COSTO'!$E$4:$E$13,MATCH($F60,'CAT_CENTROS_COSTO'!$A$4:$A$13,0)),""),$V60))</f>
        <v/>
      </c>
      <c r="X60" s="3">
        <f>IF($F60="","",IFERROR(INDEX('CAT_CENTROS_COSTO'!$G$4:$G$13,MATCH($F60,'CAT_CENTROS_COSTO'!$A$4:$A$13,0)),"(sin catálogo)"))</f>
        <v/>
      </c>
      <c r="Y60" s="3">
        <f>IF($G60="","",IFERROR(INDEX('CAT_PUESTOS'!$B$4:$B$8,MATCH($G60,'CAT_PUESTOS'!$A$4:$A$8,0)),"(sin catálogo)"))</f>
        <v/>
      </c>
      <c r="Z60" s="3">
        <f>IF($H60="","",IFERROR(INDEX('CAT_ACTIVIDADES'!$B$4:$B$8,MATCH($H60,'CAT_ACTIVIDADES'!$A$4:$A$8,0)),"(sin catálogo)"))</f>
        <v/>
      </c>
      <c r="AA60" s="12">
        <f>IF($J60="","",TODAY()-$J60)</f>
        <v/>
      </c>
      <c r="AB60" s="12">
        <f>IF($J60="","",IF($J60&lt;=TODAY(),COUNTIFS(cal_fechas,"&gt;="&amp;$J60,cal_fechas,"&lt;"&amp;TODAY(),cal_habil,"sí"),-COUNTIFS(cal_fechas,"&gt;="&amp;TODAY(),cal_fechas,"&lt;"&amp;$J60,cal_habil,"sí")))</f>
        <v/>
      </c>
      <c r="AC60" s="3">
        <f>IF($AB60="","",IF($AB60&lt;0,"FUTURO",IF($AB60&gt;p_dias_backlog_max,"BACKLOG","MES CORRIENTE")))</f>
        <v/>
      </c>
      <c r="AD60" s="3">
        <f>IF($AB60="",FALSE,AND($AB60&gt;p_dias_backlog_min,$AB60&lt;=p_dias_backlog_max))</f>
        <v/>
      </c>
      <c r="AE60" s="6" t="inlineStr">
        <is>
          <t>Técnico 07</t>
        </is>
      </c>
      <c r="AF60" s="3">
        <f>IF($AE60="","",IF((IFERROR(INDEX('ASIGNACIONES'!$F$4:$F$339,MATCH($O60&amp;"|"&amp;$R60&amp;"|"&amp;$AE60,'ASIGNACIONES'!$J$4:$J$339,0)),""))=0,"",IFERROR(INDEX('ASIGNACIONES'!$F$4:$F$339,MATCH($O60&amp;"|"&amp;$R60&amp;"|"&amp;$AE60,'ASIGNACIONES'!$J$4:$J$339,0)),"")))</f>
        <v/>
      </c>
      <c r="AG60" s="13">
        <f>IF($AE60="","",SUMIFS('ORDENES'!$M$4:$M$1203,'ORDENES'!$AE$4:$AE$1203,$AE60,'ORDENES'!$O$4:$O$1203,$O60,'ORDENES'!$R$4:$R$1203,$R60))</f>
        <v/>
      </c>
      <c r="AH60" s="13">
        <f>IF($AG60="","",p_factor_productividad*IFERROR(INDEX('ASIGNACIONES'!$I$4:$I$339,MATCH($O60&amp;"|"&amp;$R60&amp;"|"&amp;$AE60,'ASIGNACIONES'!$J$4:$J$339,0)),0)-$AG60)</f>
        <v/>
      </c>
      <c r="AI60" s="10">
        <f>IF($A60="","",IFERROR(INDEX('2_IMPORTAR_EJECUCION'!$F$9:$F$1208,MATCH($AQ60,'2_IMPORTAR_EJECUCION'!$J$9:$J$1208,0)),0))</f>
        <v/>
      </c>
      <c r="AJ60" s="10">
        <f>IF($A60="","",MAX(0,IFERROR(INDEX('2_IMPORTAR_EJECUCION'!$H$9:$H$1208,MATCH($AQ60,'2_IMPORTAR_EJECUCION'!$J$9:$J$1208,0)),0)-$AI60))</f>
        <v/>
      </c>
      <c r="AK60" s="10">
        <f>IF($A60="","",$AI60+$AJ60)</f>
        <v/>
      </c>
      <c r="AL60" s="6" t="inlineStr"/>
      <c r="AM60" s="6" t="inlineStr"/>
      <c r="AN60" s="6" t="inlineStr"/>
      <c r="AO60" s="3">
        <f>IF($AN60="","",HYPERLINK(p_ruta_base_checklists&amp;$AN60,"abrir"))</f>
        <v/>
      </c>
      <c r="AP60" s="6" t="inlineStr"/>
      <c r="AQ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IF($A61="","",IFERROR(INDEX('AJUSTES'!$B$4:$B$303,MATCH($AQ61,'AJUSTES'!$A$4:$A$303,0)),IF($K61="","",$K61)))</f>
        <v/>
      </c>
      <c r="N61" s="3">
        <f>IF($A61="","",IFERROR(INDEX('CAT_ESTADOS_ERP'!$B$4:$B$7,MATCH(IFERROR(INDEX('2_IMPORTAR_EJECUCION'!$C$9:$C$1208,MATCH($AQ61,'2_IMPORTAR_EJECUCION'!$J$9:$J$1208,0)),""),'CAT_ESTADOS_ERP'!$A$4:$A$7,0)),"Pendiente"))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J61="","",IFERROR(INDEX('CALENDARIO'!$C$15:$C$214,MATCH(TEXT($J61,"yyyy-mm-dd")&amp;"|"&amp;$V61&amp;"|"&amp;$W61,'CALENDARIO'!$G$15:$G$214,0)),IFERROR(INDEX('CALENDARIO'!$C$15:$C$214,MATCH(TEXT($J61,"yyyy-mm-dd")&amp;"|"&amp;$V61&amp;"|",'CALENDARIO'!$G$15:$G$214,0)),IFERROR(INDEX('CALENDARIO'!$C$15:$C$214,MATCH(TEXT($J61,"yyyy-mm-dd")&amp;"||",'CALENDARIO'!$G$15:$G$214,0)),INDEX(patronHabil,WEEKDAY($J61,2))))))</f>
        <v/>
      </c>
      <c r="T61" s="3">
        <f>IF($I61="","",IFERROR(INDEX('CAT_TIPOS_OT'!$C$4:$C$7,MATCH($I61,'CAT_TIPOS_OT'!$A$4:$A$7,0)),"sin_clasificar"))</f>
        <v/>
      </c>
      <c r="U61" s="3">
        <f>IF($F61="","",IFERROR(INDEX('CAT_CENTROS_COSTO'!$F$4:$F$13,MATCH($F61,'CAT_CENTROS_COSTO'!$A$4:$A$13,0)),"(sin catálogo)"))</f>
        <v/>
      </c>
      <c r="V61" s="3">
        <f>IF($F61="","",IFERROR(INDEX('CAT_CENTROS_COSTO'!$D$4:$D$13,MATCH($F61,'CAT_CENTROS_COSTO'!$A$4:$A$13,0)),"(sin catálogo)"))</f>
        <v/>
      </c>
      <c r="W61" s="3">
        <f>IF($F61="","",IF((IFERROR(INDEX('CAT_CENTROS_COSTO'!$E$4:$E$13,MATCH($F61,'CAT_CENTROS_COSTO'!$A$4:$A$13,0)),""))&lt;&gt;"",IFERROR(INDEX('CAT_CENTROS_COSTO'!$E$4:$E$13,MATCH($F61,'CAT_CENTROS_COSTO'!$A$4:$A$13,0)),""),$V61))</f>
        <v/>
      </c>
      <c r="X61" s="3">
        <f>IF($F61="","",IFERROR(INDEX('CAT_CENTROS_COSTO'!$G$4:$G$13,MATCH($F61,'CAT_CENTROS_COSTO'!$A$4:$A$13,0)),"(sin catálogo)"))</f>
        <v/>
      </c>
      <c r="Y61" s="3">
        <f>IF($G61="","",IFERROR(INDEX('CAT_PUESTOS'!$B$4:$B$8,MATCH($G61,'CAT_PUESTOS'!$A$4:$A$8,0)),"(sin catálogo)"))</f>
        <v/>
      </c>
      <c r="Z61" s="3">
        <f>IF($H61="","",IFERROR(INDEX('CAT_ACTIVIDADES'!$B$4:$B$8,MATCH($H61,'CAT_ACTIVIDADES'!$A$4:$A$8,0)),"(sin catálogo)"))</f>
        <v/>
      </c>
      <c r="AA61" s="12">
        <f>IF($J61="","",TODAY()-$J61)</f>
        <v/>
      </c>
      <c r="AB61" s="12">
        <f>IF($J61="","",IF($J61&lt;=TODAY(),COUNTIFS(cal_fechas,"&gt;="&amp;$J61,cal_fechas,"&lt;"&amp;TODAY(),cal_habil,"sí"),-COUNTIFS(cal_fechas,"&gt;="&amp;TODAY(),cal_fechas,"&lt;"&amp;$J61,cal_habil,"sí")))</f>
        <v/>
      </c>
      <c r="AC61" s="3">
        <f>IF($AB61="","",IF($AB61&lt;0,"FUTURO",IF($AB61&gt;p_dias_backlog_max,"BACKLOG","MES CORRIENTE")))</f>
        <v/>
      </c>
      <c r="AD61" s="3">
        <f>IF($AB61="",FALSE,AND($AB61&gt;p_dias_backlog_min,$AB61&lt;=p_dias_backlog_max))</f>
        <v/>
      </c>
      <c r="AE61" s="6" t="inlineStr">
        <is>
          <t>Técnico 05</t>
        </is>
      </c>
      <c r="AF61" s="3">
        <f>IF($AE61="","",IF((IFERROR(INDEX('ASIGNACIONES'!$F$4:$F$339,MATCH($O61&amp;"|"&amp;$R61&amp;"|"&amp;$AE61,'ASIGNACIONES'!$J$4:$J$339,0)),""))=0,"",IFERROR(INDEX('ASIGNACIONES'!$F$4:$F$339,MATCH($O61&amp;"|"&amp;$R61&amp;"|"&amp;$AE61,'ASIGNACIONES'!$J$4:$J$339,0)),"")))</f>
        <v/>
      </c>
      <c r="AG61" s="13">
        <f>IF($AE61="","",SUMIFS('ORDENES'!$M$4:$M$1203,'ORDENES'!$AE$4:$AE$1203,$AE61,'ORDENES'!$O$4:$O$1203,$O61,'ORDENES'!$R$4:$R$1203,$R61))</f>
        <v/>
      </c>
      <c r="AH61" s="13">
        <f>IF($AG61="","",p_factor_productividad*IFERROR(INDEX('ASIGNACIONES'!$I$4:$I$339,MATCH($O61&amp;"|"&amp;$R61&amp;"|"&amp;$AE61,'ASIGNACIONES'!$J$4:$J$339,0)),0)-$AG61)</f>
        <v/>
      </c>
      <c r="AI61" s="10">
        <f>IF($A61="","",IFERROR(INDEX('2_IMPORTAR_EJECUCION'!$F$9:$F$1208,MATCH($AQ61,'2_IMPORTAR_EJECUCION'!$J$9:$J$1208,0)),0))</f>
        <v/>
      </c>
      <c r="AJ61" s="10">
        <f>IF($A61="","",MAX(0,IFERROR(INDEX('2_IMPORTAR_EJECUCION'!$H$9:$H$1208,MATCH($AQ61,'2_IMPORTAR_EJECUCION'!$J$9:$J$1208,0)),0)-$AI61))</f>
        <v/>
      </c>
      <c r="AK61" s="10">
        <f>IF($A61="","",$AI61+$AJ61)</f>
        <v/>
      </c>
      <c r="AL61" s="6" t="inlineStr"/>
      <c r="AM61" s="6" t="inlineStr"/>
      <c r="AN61" s="6" t="inlineStr"/>
      <c r="AO61" s="3">
        <f>IF($AN61="","",HYPERLINK(p_ruta_base_checklists&amp;$AN61,"abrir"))</f>
        <v/>
      </c>
      <c r="AP61" s="6" t="inlineStr"/>
      <c r="AQ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IF($A62="","",IFERROR(INDEX('AJUSTES'!$B$4:$B$303,MATCH($AQ62,'AJUSTES'!$A$4:$A$303,0)),IF($K62="","",$K62)))</f>
        <v/>
      </c>
      <c r="N62" s="3">
        <f>IF($A62="","",IFERROR(INDEX('CAT_ESTADOS_ERP'!$B$4:$B$7,MATCH(IFERROR(INDEX('2_IMPORTAR_EJECUCION'!$C$9:$C$1208,MATCH($AQ62,'2_IMPORTAR_EJECUCION'!$J$9:$J$1208,0)),""),'CAT_ESTADOS_ERP'!$A$4:$A$7,0)),"Pendiente"))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J62="","",IFERROR(INDEX('CALENDARIO'!$C$15:$C$214,MATCH(TEXT($J62,"yyyy-mm-dd")&amp;"|"&amp;$V62&amp;"|"&amp;$W62,'CALENDARIO'!$G$15:$G$214,0)),IFERROR(INDEX('CALENDARIO'!$C$15:$C$214,MATCH(TEXT($J62,"yyyy-mm-dd")&amp;"|"&amp;$V62&amp;"|",'CALENDARIO'!$G$15:$G$214,0)),IFERROR(INDEX('CALENDARIO'!$C$15:$C$214,MATCH(TEXT($J62,"yyyy-mm-dd")&amp;"||",'CALENDARIO'!$G$15:$G$214,0)),INDEX(patronHabil,WEEKDAY($J62,2))))))</f>
        <v/>
      </c>
      <c r="T62" s="3">
        <f>IF($I62="","",IFERROR(INDEX('CAT_TIPOS_OT'!$C$4:$C$7,MATCH($I62,'CAT_TIPOS_OT'!$A$4:$A$7,0)),"sin_clasificar"))</f>
        <v/>
      </c>
      <c r="U62" s="3">
        <f>IF($F62="","",IFERROR(INDEX('CAT_CENTROS_COSTO'!$F$4:$F$13,MATCH($F62,'CAT_CENTROS_COSTO'!$A$4:$A$13,0)),"(sin catálogo)"))</f>
        <v/>
      </c>
      <c r="V62" s="3">
        <f>IF($F62="","",IFERROR(INDEX('CAT_CENTROS_COSTO'!$D$4:$D$13,MATCH($F62,'CAT_CENTROS_COSTO'!$A$4:$A$13,0)),"(sin catálogo)"))</f>
        <v/>
      </c>
      <c r="W62" s="3">
        <f>IF($F62="","",IF((IFERROR(INDEX('CAT_CENTROS_COSTO'!$E$4:$E$13,MATCH($F62,'CAT_CENTROS_COSTO'!$A$4:$A$13,0)),""))&lt;&gt;"",IFERROR(INDEX('CAT_CENTROS_COSTO'!$E$4:$E$13,MATCH($F62,'CAT_CENTROS_COSTO'!$A$4:$A$13,0)),""),$V62))</f>
        <v/>
      </c>
      <c r="X62" s="3">
        <f>IF($F62="","",IFERROR(INDEX('CAT_CENTROS_COSTO'!$G$4:$G$13,MATCH($F62,'CAT_CENTROS_COSTO'!$A$4:$A$13,0)),"(sin catálogo)"))</f>
        <v/>
      </c>
      <c r="Y62" s="3">
        <f>IF($G62="","",IFERROR(INDEX('CAT_PUESTOS'!$B$4:$B$8,MATCH($G62,'CAT_PUESTOS'!$A$4:$A$8,0)),"(sin catálogo)"))</f>
        <v/>
      </c>
      <c r="Z62" s="3">
        <f>IF($H62="","",IFERROR(INDEX('CAT_ACTIVIDADES'!$B$4:$B$8,MATCH($H62,'CAT_ACTIVIDADES'!$A$4:$A$8,0)),"(sin catálogo)"))</f>
        <v/>
      </c>
      <c r="AA62" s="12">
        <f>IF($J62="","",TODAY()-$J62)</f>
        <v/>
      </c>
      <c r="AB62" s="12">
        <f>IF($J62="","",IF($J62&lt;=TODAY(),COUNTIFS(cal_fechas,"&gt;="&amp;$J62,cal_fechas,"&lt;"&amp;TODAY(),cal_habil,"sí"),-COUNTIFS(cal_fechas,"&gt;="&amp;TODAY(),cal_fechas,"&lt;"&amp;$J62,cal_habil,"sí")))</f>
        <v/>
      </c>
      <c r="AC62" s="3">
        <f>IF($AB62="","",IF($AB62&lt;0,"FUTURO",IF($AB62&gt;p_dias_backlog_max,"BACKLOG","MES CORRIENTE")))</f>
        <v/>
      </c>
      <c r="AD62" s="3">
        <f>IF($AB62="",FALSE,AND($AB62&gt;p_dias_backlog_min,$AB62&lt;=p_dias_backlog_max))</f>
        <v/>
      </c>
      <c r="AE62" s="6" t="inlineStr">
        <is>
          <t>Técnico 06</t>
        </is>
      </c>
      <c r="AF62" s="3">
        <f>IF($AE62="","",IF((IFERROR(INDEX('ASIGNACIONES'!$F$4:$F$339,MATCH($O62&amp;"|"&amp;$R62&amp;"|"&amp;$AE62,'ASIGNACIONES'!$J$4:$J$339,0)),""))=0,"",IFERROR(INDEX('ASIGNACIONES'!$F$4:$F$339,MATCH($O62&amp;"|"&amp;$R62&amp;"|"&amp;$AE62,'ASIGNACIONES'!$J$4:$J$339,0)),"")))</f>
        <v/>
      </c>
      <c r="AG62" s="13">
        <f>IF($AE62="","",SUMIFS('ORDENES'!$M$4:$M$1203,'ORDENES'!$AE$4:$AE$1203,$AE62,'ORDENES'!$O$4:$O$1203,$O62,'ORDENES'!$R$4:$R$1203,$R62))</f>
        <v/>
      </c>
      <c r="AH62" s="13">
        <f>IF($AG62="","",p_factor_productividad*IFERROR(INDEX('ASIGNACIONES'!$I$4:$I$339,MATCH($O62&amp;"|"&amp;$R62&amp;"|"&amp;$AE62,'ASIGNACIONES'!$J$4:$J$339,0)),0)-$AG62)</f>
        <v/>
      </c>
      <c r="AI62" s="10">
        <f>IF($A62="","",IFERROR(INDEX('2_IMPORTAR_EJECUCION'!$F$9:$F$1208,MATCH($AQ62,'2_IMPORTAR_EJECUCION'!$J$9:$J$1208,0)),0))</f>
        <v/>
      </c>
      <c r="AJ62" s="10">
        <f>IF($A62="","",MAX(0,IFERROR(INDEX('2_IMPORTAR_EJECUCION'!$H$9:$H$1208,MATCH($AQ62,'2_IMPORTAR_EJECUCION'!$J$9:$J$1208,0)),0)-$AI62))</f>
        <v/>
      </c>
      <c r="AK62" s="10">
        <f>IF($A62="","",$AI62+$AJ62)</f>
        <v/>
      </c>
      <c r="AL62" s="6" t="inlineStr"/>
      <c r="AM62" s="6" t="inlineStr"/>
      <c r="AN62" s="6" t="inlineStr">
        <is>
          <t>ACT-04.pdf</t>
        </is>
      </c>
      <c r="AO62" s="3">
        <f>IF($AN62="","",HYPERLINK(p_ruta_base_checklists&amp;$AN62,"abrir"))</f>
        <v/>
      </c>
      <c r="AP62" s="6" t="inlineStr"/>
      <c r="AQ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IF($A63="","",IFERROR(INDEX('AJUSTES'!$B$4:$B$303,MATCH($AQ63,'AJUSTES'!$A$4:$A$303,0)),IF($K63="","",$K63)))</f>
        <v/>
      </c>
      <c r="N63" s="3">
        <f>IF($A63="","",IFERROR(INDEX('CAT_ESTADOS_ERP'!$B$4:$B$7,MATCH(IFERROR(INDEX('2_IMPORTAR_EJECUCION'!$C$9:$C$1208,MATCH($AQ63,'2_IMPORTAR_EJECUCION'!$J$9:$J$1208,0)),""),'CAT_ESTADOS_ERP'!$A$4:$A$7,0)),"Pendiente"))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J63="","",IFERROR(INDEX('CALENDARIO'!$C$15:$C$214,MATCH(TEXT($J63,"yyyy-mm-dd")&amp;"|"&amp;$V63&amp;"|"&amp;$W63,'CALENDARIO'!$G$15:$G$214,0)),IFERROR(INDEX('CALENDARIO'!$C$15:$C$214,MATCH(TEXT($J63,"yyyy-mm-dd")&amp;"|"&amp;$V63&amp;"|",'CALENDARIO'!$G$15:$G$214,0)),IFERROR(INDEX('CALENDARIO'!$C$15:$C$214,MATCH(TEXT($J63,"yyyy-mm-dd")&amp;"||",'CALENDARIO'!$G$15:$G$214,0)),INDEX(patronHabil,WEEKDAY($J63,2))))))</f>
        <v/>
      </c>
      <c r="T63" s="3">
        <f>IF($I63="","",IFERROR(INDEX('CAT_TIPOS_OT'!$C$4:$C$7,MATCH($I63,'CAT_TIPOS_OT'!$A$4:$A$7,0)),"sin_clasificar"))</f>
        <v/>
      </c>
      <c r="U63" s="3">
        <f>IF($F63="","",IFERROR(INDEX('CAT_CENTROS_COSTO'!$F$4:$F$13,MATCH($F63,'CAT_CENTROS_COSTO'!$A$4:$A$13,0)),"(sin catálogo)"))</f>
        <v/>
      </c>
      <c r="V63" s="3">
        <f>IF($F63="","",IFERROR(INDEX('CAT_CENTROS_COSTO'!$D$4:$D$13,MATCH($F63,'CAT_CENTROS_COSTO'!$A$4:$A$13,0)),"(sin catálogo)"))</f>
        <v/>
      </c>
      <c r="W63" s="3">
        <f>IF($F63="","",IF((IFERROR(INDEX('CAT_CENTROS_COSTO'!$E$4:$E$13,MATCH($F63,'CAT_CENTROS_COSTO'!$A$4:$A$13,0)),""))&lt;&gt;"",IFERROR(INDEX('CAT_CENTROS_COSTO'!$E$4:$E$13,MATCH($F63,'CAT_CENTROS_COSTO'!$A$4:$A$13,0)),""),$V63))</f>
        <v/>
      </c>
      <c r="X63" s="3">
        <f>IF($F63="","",IFERROR(INDEX('CAT_CENTROS_COSTO'!$G$4:$G$13,MATCH($F63,'CAT_CENTROS_COSTO'!$A$4:$A$13,0)),"(sin catálogo)"))</f>
        <v/>
      </c>
      <c r="Y63" s="3">
        <f>IF($G63="","",IFERROR(INDEX('CAT_PUESTOS'!$B$4:$B$8,MATCH($G63,'CAT_PUESTOS'!$A$4:$A$8,0)),"(sin catálogo)"))</f>
        <v/>
      </c>
      <c r="Z63" s="3">
        <f>IF($H63="","",IFERROR(INDEX('CAT_ACTIVIDADES'!$B$4:$B$8,MATCH($H63,'CAT_ACTIVIDADES'!$A$4:$A$8,0)),"(sin catálogo)"))</f>
        <v/>
      </c>
      <c r="AA63" s="12">
        <f>IF($J63="","",TODAY()-$J63)</f>
        <v/>
      </c>
      <c r="AB63" s="12">
        <f>IF($J63="","",IF($J63&lt;=TODAY(),COUNTIFS(cal_fechas,"&gt;="&amp;$J63,cal_fechas,"&lt;"&amp;TODAY(),cal_habil,"sí"),-COUNTIFS(cal_fechas,"&gt;="&amp;TODAY(),cal_fechas,"&lt;"&amp;$J63,cal_habil,"sí")))</f>
        <v/>
      </c>
      <c r="AC63" s="3">
        <f>IF($AB63="","",IF($AB63&lt;0,"FUTURO",IF($AB63&gt;p_dias_backlog_max,"BACKLOG","MES CORRIENTE")))</f>
        <v/>
      </c>
      <c r="AD63" s="3">
        <f>IF($AB63="",FALSE,AND($AB63&gt;p_dias_backlog_min,$AB63&lt;=p_dias_backlog_max))</f>
        <v/>
      </c>
      <c r="AE63" s="6" t="inlineStr"/>
      <c r="AF63" s="3">
        <f>IF($AE63="","",IF((IFERROR(INDEX('ASIGNACIONES'!$F$4:$F$339,MATCH($O63&amp;"|"&amp;$R63&amp;"|"&amp;$AE63,'ASIGNACIONES'!$J$4:$J$339,0)),""))=0,"",IFERROR(INDEX('ASIGNACIONES'!$F$4:$F$339,MATCH($O63&amp;"|"&amp;$R63&amp;"|"&amp;$AE63,'ASIGNACIONES'!$J$4:$J$339,0)),"")))</f>
        <v/>
      </c>
      <c r="AG63" s="13">
        <f>IF($AE63="","",SUMIFS('ORDENES'!$M$4:$M$1203,'ORDENES'!$AE$4:$AE$1203,$AE63,'ORDENES'!$O$4:$O$1203,$O63,'ORDENES'!$R$4:$R$1203,$R63))</f>
        <v/>
      </c>
      <c r="AH63" s="13">
        <f>IF($AG63="","",p_factor_productividad*IFERROR(INDEX('ASIGNACIONES'!$I$4:$I$339,MATCH($O63&amp;"|"&amp;$R63&amp;"|"&amp;$AE63,'ASIGNACIONES'!$J$4:$J$339,0)),0)-$AG63)</f>
        <v/>
      </c>
      <c r="AI63" s="10">
        <f>IF($A63="","",IFERROR(INDEX('2_IMPORTAR_EJECUCION'!$F$9:$F$1208,MATCH($AQ63,'2_IMPORTAR_EJECUCION'!$J$9:$J$1208,0)),0))</f>
        <v/>
      </c>
      <c r="AJ63" s="10">
        <f>IF($A63="","",MAX(0,IFERROR(INDEX('2_IMPORTAR_EJECUCION'!$H$9:$H$1208,MATCH($AQ63,'2_IMPORTAR_EJECUCION'!$J$9:$J$1208,0)),0)-$AI63))</f>
        <v/>
      </c>
      <c r="AK63" s="10">
        <f>IF($A63="","",$AI63+$AJ63)</f>
        <v/>
      </c>
      <c r="AL63" s="6" t="inlineStr"/>
      <c r="AM63" s="6" t="inlineStr"/>
      <c r="AN63" s="6" t="inlineStr">
        <is>
          <t>ACT-01.pdf</t>
        </is>
      </c>
      <c r="AO63" s="3">
        <f>IF($AN63="","",HYPERLINK(p_ruta_base_checklists&amp;$AN63,"abrir"))</f>
        <v/>
      </c>
      <c r="AP63" s="6" t="inlineStr"/>
      <c r="AQ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IF($A64="","",IFERROR(INDEX('AJUSTES'!$B$4:$B$303,MATCH($AQ64,'AJUSTES'!$A$4:$A$303,0)),IF($K64="","",$K64)))</f>
        <v/>
      </c>
      <c r="N64" s="3">
        <f>IF($A64="","",IFERROR(INDEX('CAT_ESTADOS_ERP'!$B$4:$B$7,MATCH(IFERROR(INDEX('2_IMPORTAR_EJECUCION'!$C$9:$C$1208,MATCH($AQ64,'2_IMPORTAR_EJECUCION'!$J$9:$J$1208,0)),""),'CAT_ESTADOS_ERP'!$A$4:$A$7,0)),"Pendiente"))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J64="","",IFERROR(INDEX('CALENDARIO'!$C$15:$C$214,MATCH(TEXT($J64,"yyyy-mm-dd")&amp;"|"&amp;$V64&amp;"|"&amp;$W64,'CALENDARIO'!$G$15:$G$214,0)),IFERROR(INDEX('CALENDARIO'!$C$15:$C$214,MATCH(TEXT($J64,"yyyy-mm-dd")&amp;"|"&amp;$V64&amp;"|",'CALENDARIO'!$G$15:$G$214,0)),IFERROR(INDEX('CALENDARIO'!$C$15:$C$214,MATCH(TEXT($J64,"yyyy-mm-dd")&amp;"||",'CALENDARIO'!$G$15:$G$214,0)),INDEX(patronHabil,WEEKDAY($J64,2))))))</f>
        <v/>
      </c>
      <c r="T64" s="3">
        <f>IF($I64="","",IFERROR(INDEX('CAT_TIPOS_OT'!$C$4:$C$7,MATCH($I64,'CAT_TIPOS_OT'!$A$4:$A$7,0)),"sin_clasificar"))</f>
        <v/>
      </c>
      <c r="U64" s="3">
        <f>IF($F64="","",IFERROR(INDEX('CAT_CENTROS_COSTO'!$F$4:$F$13,MATCH($F64,'CAT_CENTROS_COSTO'!$A$4:$A$13,0)),"(sin catálogo)"))</f>
        <v/>
      </c>
      <c r="V64" s="3">
        <f>IF($F64="","",IFERROR(INDEX('CAT_CENTROS_COSTO'!$D$4:$D$13,MATCH($F64,'CAT_CENTROS_COSTO'!$A$4:$A$13,0)),"(sin catálogo)"))</f>
        <v/>
      </c>
      <c r="W64" s="3">
        <f>IF($F64="","",IF((IFERROR(INDEX('CAT_CENTROS_COSTO'!$E$4:$E$13,MATCH($F64,'CAT_CENTROS_COSTO'!$A$4:$A$13,0)),""))&lt;&gt;"",IFERROR(INDEX('CAT_CENTROS_COSTO'!$E$4:$E$13,MATCH($F64,'CAT_CENTROS_COSTO'!$A$4:$A$13,0)),""),$V64))</f>
        <v/>
      </c>
      <c r="X64" s="3">
        <f>IF($F64="","",IFERROR(INDEX('CAT_CENTROS_COSTO'!$G$4:$G$13,MATCH($F64,'CAT_CENTROS_COSTO'!$A$4:$A$13,0)),"(sin catálogo)"))</f>
        <v/>
      </c>
      <c r="Y64" s="3">
        <f>IF($G64="","",IFERROR(INDEX('CAT_PUESTOS'!$B$4:$B$8,MATCH($G64,'CAT_PUESTOS'!$A$4:$A$8,0)),"(sin catálogo)"))</f>
        <v/>
      </c>
      <c r="Z64" s="3">
        <f>IF($H64="","",IFERROR(INDEX('CAT_ACTIVIDADES'!$B$4:$B$8,MATCH($H64,'CAT_ACTIVIDADES'!$A$4:$A$8,0)),"(sin catálogo)"))</f>
        <v/>
      </c>
      <c r="AA64" s="12">
        <f>IF($J64="","",TODAY()-$J64)</f>
        <v/>
      </c>
      <c r="AB64" s="12">
        <f>IF($J64="","",IF($J64&lt;=TODAY(),COUNTIFS(cal_fechas,"&gt;="&amp;$J64,cal_fechas,"&lt;"&amp;TODAY(),cal_habil,"sí"),-COUNTIFS(cal_fechas,"&gt;="&amp;TODAY(),cal_fechas,"&lt;"&amp;$J64,cal_habil,"sí")))</f>
        <v/>
      </c>
      <c r="AC64" s="3">
        <f>IF($AB64="","",IF($AB64&lt;0,"FUTURO",IF($AB64&gt;p_dias_backlog_max,"BACKLOG","MES CORRIENTE")))</f>
        <v/>
      </c>
      <c r="AD64" s="3">
        <f>IF($AB64="",FALSE,AND($AB64&gt;p_dias_backlog_min,$AB64&lt;=p_dias_backlog_max))</f>
        <v/>
      </c>
      <c r="AE64" s="6" t="inlineStr">
        <is>
          <t>Técnico 05</t>
        </is>
      </c>
      <c r="AF64" s="3">
        <f>IF($AE64="","",IF((IFERROR(INDEX('ASIGNACIONES'!$F$4:$F$339,MATCH($O64&amp;"|"&amp;$R64&amp;"|"&amp;$AE64,'ASIGNACIONES'!$J$4:$J$339,0)),""))=0,"",IFERROR(INDEX('ASIGNACIONES'!$F$4:$F$339,MATCH($O64&amp;"|"&amp;$R64&amp;"|"&amp;$AE64,'ASIGNACIONES'!$J$4:$J$339,0)),"")))</f>
        <v/>
      </c>
      <c r="AG64" s="13">
        <f>IF($AE64="","",SUMIFS('ORDENES'!$M$4:$M$1203,'ORDENES'!$AE$4:$AE$1203,$AE64,'ORDENES'!$O$4:$O$1203,$O64,'ORDENES'!$R$4:$R$1203,$R64))</f>
        <v/>
      </c>
      <c r="AH64" s="13">
        <f>IF($AG64="","",p_factor_productividad*IFERROR(INDEX('ASIGNACIONES'!$I$4:$I$339,MATCH($O64&amp;"|"&amp;$R64&amp;"|"&amp;$AE64,'ASIGNACIONES'!$J$4:$J$339,0)),0)-$AG64)</f>
        <v/>
      </c>
      <c r="AI64" s="10">
        <f>IF($A64="","",IFERROR(INDEX('2_IMPORTAR_EJECUCION'!$F$9:$F$1208,MATCH($AQ64,'2_IMPORTAR_EJECUCION'!$J$9:$J$1208,0)),0))</f>
        <v/>
      </c>
      <c r="AJ64" s="10">
        <f>IF($A64="","",MAX(0,IFERROR(INDEX('2_IMPORTAR_EJECUCION'!$H$9:$H$1208,MATCH($AQ64,'2_IMPORTAR_EJECUCION'!$J$9:$J$1208,0)),0)-$AI64))</f>
        <v/>
      </c>
      <c r="AK64" s="10">
        <f>IF($A64="","",$AI64+$AJ64)</f>
        <v/>
      </c>
      <c r="AL64" s="6" t="inlineStr"/>
      <c r="AM64" s="6" t="inlineStr"/>
      <c r="AN64" s="6" t="inlineStr">
        <is>
          <t>ACT-02.pdf</t>
        </is>
      </c>
      <c r="AO64" s="3">
        <f>IF($AN64="","",HYPERLINK(p_ruta_base_checklists&amp;$AN64,"abrir"))</f>
        <v/>
      </c>
      <c r="AP64" s="6" t="inlineStr">
        <is>
          <t>Ajuste 6 → 4 h en hoja AJUSTES</t>
        </is>
      </c>
      <c r="AQ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IF($A65="","",IFERROR(INDEX('AJUSTES'!$B$4:$B$303,MATCH($AQ65,'AJUSTES'!$A$4:$A$303,0)),IF($K65="","",$K65)))</f>
        <v/>
      </c>
      <c r="N65" s="3">
        <f>IF($A65="","",IFERROR(INDEX('CAT_ESTADOS_ERP'!$B$4:$B$7,MATCH(IFERROR(INDEX('2_IMPORTAR_EJECUCION'!$C$9:$C$1208,MATCH($AQ65,'2_IMPORTAR_EJECUCION'!$J$9:$J$1208,0)),""),'CAT_ESTADOS_ERP'!$A$4:$A$7,0)),"Pendiente"))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J65="","",IFERROR(INDEX('CALENDARIO'!$C$15:$C$214,MATCH(TEXT($J65,"yyyy-mm-dd")&amp;"|"&amp;$V65&amp;"|"&amp;$W65,'CALENDARIO'!$G$15:$G$214,0)),IFERROR(INDEX('CALENDARIO'!$C$15:$C$214,MATCH(TEXT($J65,"yyyy-mm-dd")&amp;"|"&amp;$V65&amp;"|",'CALENDARIO'!$G$15:$G$214,0)),IFERROR(INDEX('CALENDARIO'!$C$15:$C$214,MATCH(TEXT($J65,"yyyy-mm-dd")&amp;"||",'CALENDARIO'!$G$15:$G$214,0)),INDEX(patronHabil,WEEKDAY($J65,2))))))</f>
        <v/>
      </c>
      <c r="T65" s="3">
        <f>IF($I65="","",IFERROR(INDEX('CAT_TIPOS_OT'!$C$4:$C$7,MATCH($I65,'CAT_TIPOS_OT'!$A$4:$A$7,0)),"sin_clasificar"))</f>
        <v/>
      </c>
      <c r="U65" s="3">
        <f>IF($F65="","",IFERROR(INDEX('CAT_CENTROS_COSTO'!$F$4:$F$13,MATCH($F65,'CAT_CENTROS_COSTO'!$A$4:$A$13,0)),"(sin catálogo)"))</f>
        <v/>
      </c>
      <c r="V65" s="3">
        <f>IF($F65="","",IFERROR(INDEX('CAT_CENTROS_COSTO'!$D$4:$D$13,MATCH($F65,'CAT_CENTROS_COSTO'!$A$4:$A$13,0)),"(sin catálogo)"))</f>
        <v/>
      </c>
      <c r="W65" s="3">
        <f>IF($F65="","",IF((IFERROR(INDEX('CAT_CENTROS_COSTO'!$E$4:$E$13,MATCH($F65,'CAT_CENTROS_COSTO'!$A$4:$A$13,0)),""))&lt;&gt;"",IFERROR(INDEX('CAT_CENTROS_COSTO'!$E$4:$E$13,MATCH($F65,'CAT_CENTROS_COSTO'!$A$4:$A$13,0)),""),$V65))</f>
        <v/>
      </c>
      <c r="X65" s="3">
        <f>IF($F65="","",IFERROR(INDEX('CAT_CENTROS_COSTO'!$G$4:$G$13,MATCH($F65,'CAT_CENTROS_COSTO'!$A$4:$A$13,0)),"(sin catálogo)"))</f>
        <v/>
      </c>
      <c r="Y65" s="3">
        <f>IF($G65="","",IFERROR(INDEX('CAT_PUESTOS'!$B$4:$B$8,MATCH($G65,'CAT_PUESTOS'!$A$4:$A$8,0)),"(sin catálogo)"))</f>
        <v/>
      </c>
      <c r="Z65" s="3">
        <f>IF($H65="","",IFERROR(INDEX('CAT_ACTIVIDADES'!$B$4:$B$8,MATCH($H65,'CAT_ACTIVIDADES'!$A$4:$A$8,0)),"(sin catálogo)"))</f>
        <v/>
      </c>
      <c r="AA65" s="12">
        <f>IF($J65="","",TODAY()-$J65)</f>
        <v/>
      </c>
      <c r="AB65" s="12">
        <f>IF($J65="","",IF($J65&lt;=TODAY(),COUNTIFS(cal_fechas,"&gt;="&amp;$J65,cal_fechas,"&lt;"&amp;TODAY(),cal_habil,"sí"),-COUNTIFS(cal_fechas,"&gt;="&amp;TODAY(),cal_fechas,"&lt;"&amp;$J65,cal_habil,"sí")))</f>
        <v/>
      </c>
      <c r="AC65" s="3">
        <f>IF($AB65="","",IF($AB65&lt;0,"FUTURO",IF($AB65&gt;p_dias_backlog_max,"BACKLOG","MES CORRIENTE")))</f>
        <v/>
      </c>
      <c r="AD65" s="3">
        <f>IF($AB65="",FALSE,AND($AB65&gt;p_dias_backlog_min,$AB65&lt;=p_dias_backlog_max))</f>
        <v/>
      </c>
      <c r="AE65" s="6" t="inlineStr">
        <is>
          <t>Técnico 06</t>
        </is>
      </c>
      <c r="AF65" s="3">
        <f>IF($AE65="","",IF((IFERROR(INDEX('ASIGNACIONES'!$F$4:$F$339,MATCH($O65&amp;"|"&amp;$R65&amp;"|"&amp;$AE65,'ASIGNACIONES'!$J$4:$J$339,0)),""))=0,"",IFERROR(INDEX('ASIGNACIONES'!$F$4:$F$339,MATCH($O65&amp;"|"&amp;$R65&amp;"|"&amp;$AE65,'ASIGNACIONES'!$J$4:$J$339,0)),"")))</f>
        <v/>
      </c>
      <c r="AG65" s="13">
        <f>IF($AE65="","",SUMIFS('ORDENES'!$M$4:$M$1203,'ORDENES'!$AE$4:$AE$1203,$AE65,'ORDENES'!$O$4:$O$1203,$O65,'ORDENES'!$R$4:$R$1203,$R65))</f>
        <v/>
      </c>
      <c r="AH65" s="13">
        <f>IF($AG65="","",p_factor_productividad*IFERROR(INDEX('ASIGNACIONES'!$I$4:$I$339,MATCH($O65&amp;"|"&amp;$R65&amp;"|"&amp;$AE65,'ASIGNACIONES'!$J$4:$J$339,0)),0)-$AG65)</f>
        <v/>
      </c>
      <c r="AI65" s="10">
        <f>IF($A65="","",IFERROR(INDEX('2_IMPORTAR_EJECUCION'!$F$9:$F$1208,MATCH($AQ65,'2_IMPORTAR_EJECUCION'!$J$9:$J$1208,0)),0))</f>
        <v/>
      </c>
      <c r="AJ65" s="10">
        <f>IF($A65="","",MAX(0,IFERROR(INDEX('2_IMPORTAR_EJECUCION'!$H$9:$H$1208,MATCH($AQ65,'2_IMPORTAR_EJECUCION'!$J$9:$J$1208,0)),0)-$AI65))</f>
        <v/>
      </c>
      <c r="AK65" s="10">
        <f>IF($A65="","",$AI65+$AJ65)</f>
        <v/>
      </c>
      <c r="AL65" s="6" t="inlineStr"/>
      <c r="AM65" s="6" t="inlineStr"/>
      <c r="AN65" s="6" t="inlineStr">
        <is>
          <t>ACT-04.pdf</t>
        </is>
      </c>
      <c r="AO65" s="3">
        <f>IF($AN65="","",HYPERLINK(p_ruta_base_checklists&amp;$AN65,"abrir"))</f>
        <v/>
      </c>
      <c r="AP65" s="6" t="inlineStr"/>
      <c r="AQ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IF($A66="","",IFERROR(INDEX('AJUSTES'!$B$4:$B$303,MATCH($AQ66,'AJUSTES'!$A$4:$A$303,0)),IF($K66="","",$K66)))</f>
        <v/>
      </c>
      <c r="N66" s="3">
        <f>IF($A66="","",IFERROR(INDEX('CAT_ESTADOS_ERP'!$B$4:$B$7,MATCH(IFERROR(INDEX('2_IMPORTAR_EJECUCION'!$C$9:$C$1208,MATCH($AQ66,'2_IMPORTAR_EJECUCION'!$J$9:$J$1208,0)),""),'CAT_ESTADOS_ERP'!$A$4:$A$7,0)),"Pendiente"))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J66="","",IFERROR(INDEX('CALENDARIO'!$C$15:$C$214,MATCH(TEXT($J66,"yyyy-mm-dd")&amp;"|"&amp;$V66&amp;"|"&amp;$W66,'CALENDARIO'!$G$15:$G$214,0)),IFERROR(INDEX('CALENDARIO'!$C$15:$C$214,MATCH(TEXT($J66,"yyyy-mm-dd")&amp;"|"&amp;$V66&amp;"|",'CALENDARIO'!$G$15:$G$214,0)),IFERROR(INDEX('CALENDARIO'!$C$15:$C$214,MATCH(TEXT($J66,"yyyy-mm-dd")&amp;"||",'CALENDARIO'!$G$15:$G$214,0)),INDEX(patronHabil,WEEKDAY($J66,2))))))</f>
        <v/>
      </c>
      <c r="T66" s="3">
        <f>IF($I66="","",IFERROR(INDEX('CAT_TIPOS_OT'!$C$4:$C$7,MATCH($I66,'CAT_TIPOS_OT'!$A$4:$A$7,0)),"sin_clasificar"))</f>
        <v/>
      </c>
      <c r="U66" s="3">
        <f>IF($F66="","",IFERROR(INDEX('CAT_CENTROS_COSTO'!$F$4:$F$13,MATCH($F66,'CAT_CENTROS_COSTO'!$A$4:$A$13,0)),"(sin catálogo)"))</f>
        <v/>
      </c>
      <c r="V66" s="3">
        <f>IF($F66="","",IFERROR(INDEX('CAT_CENTROS_COSTO'!$D$4:$D$13,MATCH($F66,'CAT_CENTROS_COSTO'!$A$4:$A$13,0)),"(sin catálogo)"))</f>
        <v/>
      </c>
      <c r="W66" s="3">
        <f>IF($F66="","",IF((IFERROR(INDEX('CAT_CENTROS_COSTO'!$E$4:$E$13,MATCH($F66,'CAT_CENTROS_COSTO'!$A$4:$A$13,0)),""))&lt;&gt;"",IFERROR(INDEX('CAT_CENTROS_COSTO'!$E$4:$E$13,MATCH($F66,'CAT_CENTROS_COSTO'!$A$4:$A$13,0)),""),$V66))</f>
        <v/>
      </c>
      <c r="X66" s="3">
        <f>IF($F66="","",IFERROR(INDEX('CAT_CENTROS_COSTO'!$G$4:$G$13,MATCH($F66,'CAT_CENTROS_COSTO'!$A$4:$A$13,0)),"(sin catálogo)"))</f>
        <v/>
      </c>
      <c r="Y66" s="3">
        <f>IF($G66="","",IFERROR(INDEX('CAT_PUESTOS'!$B$4:$B$8,MATCH($G66,'CAT_PUESTOS'!$A$4:$A$8,0)),"(sin catálogo)"))</f>
        <v/>
      </c>
      <c r="Z66" s="3">
        <f>IF($H66="","",IFERROR(INDEX('CAT_ACTIVIDADES'!$B$4:$B$8,MATCH($H66,'CAT_ACTIVIDADES'!$A$4:$A$8,0)),"(sin catálogo)"))</f>
        <v/>
      </c>
      <c r="AA66" s="12">
        <f>IF($J66="","",TODAY()-$J66)</f>
        <v/>
      </c>
      <c r="AB66" s="12">
        <f>IF($J66="","",IF($J66&lt;=TODAY(),COUNTIFS(cal_fechas,"&gt;="&amp;$J66,cal_fechas,"&lt;"&amp;TODAY(),cal_habil,"sí"),-COUNTIFS(cal_fechas,"&gt;="&amp;TODAY(),cal_fechas,"&lt;"&amp;$J66,cal_habil,"sí")))</f>
        <v/>
      </c>
      <c r="AC66" s="3">
        <f>IF($AB66="","",IF($AB66&lt;0,"FUTURO",IF($AB66&gt;p_dias_backlog_max,"BACKLOG","MES CORRIENTE")))</f>
        <v/>
      </c>
      <c r="AD66" s="3">
        <f>IF($AB66="",FALSE,AND($AB66&gt;p_dias_backlog_min,$AB66&lt;=p_dias_backlog_max))</f>
        <v/>
      </c>
      <c r="AE66" s="6" t="inlineStr">
        <is>
          <t>Técnico 07</t>
        </is>
      </c>
      <c r="AF66" s="3">
        <f>IF($AE66="","",IF((IFERROR(INDEX('ASIGNACIONES'!$F$4:$F$339,MATCH($O66&amp;"|"&amp;$R66&amp;"|"&amp;$AE66,'ASIGNACIONES'!$J$4:$J$339,0)),""))=0,"",IFERROR(INDEX('ASIGNACIONES'!$F$4:$F$339,MATCH($O66&amp;"|"&amp;$R66&amp;"|"&amp;$AE66,'ASIGNACIONES'!$J$4:$J$339,0)),"")))</f>
        <v/>
      </c>
      <c r="AG66" s="13">
        <f>IF($AE66="","",SUMIFS('ORDENES'!$M$4:$M$1203,'ORDENES'!$AE$4:$AE$1203,$AE66,'ORDENES'!$O$4:$O$1203,$O66,'ORDENES'!$R$4:$R$1203,$R66))</f>
        <v/>
      </c>
      <c r="AH66" s="13">
        <f>IF($AG66="","",p_factor_productividad*IFERROR(INDEX('ASIGNACIONES'!$I$4:$I$339,MATCH($O66&amp;"|"&amp;$R66&amp;"|"&amp;$AE66,'ASIGNACIONES'!$J$4:$J$339,0)),0)-$AG66)</f>
        <v/>
      </c>
      <c r="AI66" s="10">
        <f>IF($A66="","",IFERROR(INDEX('2_IMPORTAR_EJECUCION'!$F$9:$F$1208,MATCH($AQ66,'2_IMPORTAR_EJECUCION'!$J$9:$J$1208,0)),0))</f>
        <v/>
      </c>
      <c r="AJ66" s="10">
        <f>IF($A66="","",MAX(0,IFERROR(INDEX('2_IMPORTAR_EJECUCION'!$H$9:$H$1208,MATCH($AQ66,'2_IMPORTAR_EJECUCION'!$J$9:$J$1208,0)),0)-$AI66))</f>
        <v/>
      </c>
      <c r="AK66" s="10">
        <f>IF($A66="","",$AI66+$AJ66)</f>
        <v/>
      </c>
      <c r="AL66" s="6" t="inlineStr"/>
      <c r="AM66" s="6" t="inlineStr"/>
      <c r="AN66" s="6" t="inlineStr">
        <is>
          <t>ACT-01.pdf</t>
        </is>
      </c>
      <c r="AO66" s="3">
        <f>IF($AN66="","",HYPERLINK(p_ruta_base_checklists&amp;$AN66,"abrir"))</f>
        <v/>
      </c>
      <c r="AP66" s="6" t="inlineStr"/>
      <c r="AQ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IF($A67="","",IFERROR(INDEX('AJUSTES'!$B$4:$B$303,MATCH($AQ67,'AJUSTES'!$A$4:$A$303,0)),IF($K67="","",$K67)))</f>
        <v/>
      </c>
      <c r="N67" s="3">
        <f>IF($A67="","",IFERROR(INDEX('CAT_ESTADOS_ERP'!$B$4:$B$7,MATCH(IFERROR(INDEX('2_IMPORTAR_EJECUCION'!$C$9:$C$1208,MATCH($AQ67,'2_IMPORTAR_EJECUCION'!$J$9:$J$1208,0)),""),'CAT_ESTADOS_ERP'!$A$4:$A$7,0)),"Pendiente"))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J67="","",IFERROR(INDEX('CALENDARIO'!$C$15:$C$214,MATCH(TEXT($J67,"yyyy-mm-dd")&amp;"|"&amp;$V67&amp;"|"&amp;$W67,'CALENDARIO'!$G$15:$G$214,0)),IFERROR(INDEX('CALENDARIO'!$C$15:$C$214,MATCH(TEXT($J67,"yyyy-mm-dd")&amp;"|"&amp;$V67&amp;"|",'CALENDARIO'!$G$15:$G$214,0)),IFERROR(INDEX('CALENDARIO'!$C$15:$C$214,MATCH(TEXT($J67,"yyyy-mm-dd")&amp;"||",'CALENDARIO'!$G$15:$G$214,0)),INDEX(patronHabil,WEEKDAY($J67,2))))))</f>
        <v/>
      </c>
      <c r="T67" s="3">
        <f>IF($I67="","",IFERROR(INDEX('CAT_TIPOS_OT'!$C$4:$C$7,MATCH($I67,'CAT_TIPOS_OT'!$A$4:$A$7,0)),"sin_clasificar"))</f>
        <v/>
      </c>
      <c r="U67" s="3">
        <f>IF($F67="","",IFERROR(INDEX('CAT_CENTROS_COSTO'!$F$4:$F$13,MATCH($F67,'CAT_CENTROS_COSTO'!$A$4:$A$13,0)),"(sin catálogo)"))</f>
        <v/>
      </c>
      <c r="V67" s="3">
        <f>IF($F67="","",IFERROR(INDEX('CAT_CENTROS_COSTO'!$D$4:$D$13,MATCH($F67,'CAT_CENTROS_COSTO'!$A$4:$A$13,0)),"(sin catálogo)"))</f>
        <v/>
      </c>
      <c r="W67" s="3">
        <f>IF($F67="","",IF((IFERROR(INDEX('CAT_CENTROS_COSTO'!$E$4:$E$13,MATCH($F67,'CAT_CENTROS_COSTO'!$A$4:$A$13,0)),""))&lt;&gt;"",IFERROR(INDEX('CAT_CENTROS_COSTO'!$E$4:$E$13,MATCH($F67,'CAT_CENTROS_COSTO'!$A$4:$A$13,0)),""),$V67))</f>
        <v/>
      </c>
      <c r="X67" s="3">
        <f>IF($F67="","",IFERROR(INDEX('CAT_CENTROS_COSTO'!$G$4:$G$13,MATCH($F67,'CAT_CENTROS_COSTO'!$A$4:$A$13,0)),"(sin catálogo)"))</f>
        <v/>
      </c>
      <c r="Y67" s="3">
        <f>IF($G67="","",IFERROR(INDEX('CAT_PUESTOS'!$B$4:$B$8,MATCH($G67,'CAT_PUESTOS'!$A$4:$A$8,0)),"(sin catálogo)"))</f>
        <v/>
      </c>
      <c r="Z67" s="3">
        <f>IF($H67="","",IFERROR(INDEX('CAT_ACTIVIDADES'!$B$4:$B$8,MATCH($H67,'CAT_ACTIVIDADES'!$A$4:$A$8,0)),"(sin catálogo)"))</f>
        <v/>
      </c>
      <c r="AA67" s="12">
        <f>IF($J67="","",TODAY()-$J67)</f>
        <v/>
      </c>
      <c r="AB67" s="12">
        <f>IF($J67="","",IF($J67&lt;=TODAY(),COUNTIFS(cal_fechas,"&gt;="&amp;$J67,cal_fechas,"&lt;"&amp;TODAY(),cal_habil,"sí"),-COUNTIFS(cal_fechas,"&gt;="&amp;TODAY(),cal_fechas,"&lt;"&amp;$J67,cal_habil,"sí")))</f>
        <v/>
      </c>
      <c r="AC67" s="3">
        <f>IF($AB67="","",IF($AB67&lt;0,"FUTURO",IF($AB67&gt;p_dias_backlog_max,"BACKLOG","MES CORRIENTE")))</f>
        <v/>
      </c>
      <c r="AD67" s="3">
        <f>IF($AB67="",FALSE,AND($AB67&gt;p_dias_backlog_min,$AB67&lt;=p_dias_backlog_max))</f>
        <v/>
      </c>
      <c r="AE67" s="6" t="inlineStr">
        <is>
          <t>Técnico 05</t>
        </is>
      </c>
      <c r="AF67" s="3">
        <f>IF($AE67="","",IF((IFERROR(INDEX('ASIGNACIONES'!$F$4:$F$339,MATCH($O67&amp;"|"&amp;$R67&amp;"|"&amp;$AE67,'ASIGNACIONES'!$J$4:$J$339,0)),""))=0,"",IFERROR(INDEX('ASIGNACIONES'!$F$4:$F$339,MATCH($O67&amp;"|"&amp;$R67&amp;"|"&amp;$AE67,'ASIGNACIONES'!$J$4:$J$339,0)),"")))</f>
        <v/>
      </c>
      <c r="AG67" s="13">
        <f>IF($AE67="","",SUMIFS('ORDENES'!$M$4:$M$1203,'ORDENES'!$AE$4:$AE$1203,$AE67,'ORDENES'!$O$4:$O$1203,$O67,'ORDENES'!$R$4:$R$1203,$R67))</f>
        <v/>
      </c>
      <c r="AH67" s="13">
        <f>IF($AG67="","",p_factor_productividad*IFERROR(INDEX('ASIGNACIONES'!$I$4:$I$339,MATCH($O67&amp;"|"&amp;$R67&amp;"|"&amp;$AE67,'ASIGNACIONES'!$J$4:$J$339,0)),0)-$AG67)</f>
        <v/>
      </c>
      <c r="AI67" s="10">
        <f>IF($A67="","",IFERROR(INDEX('2_IMPORTAR_EJECUCION'!$F$9:$F$1208,MATCH($AQ67,'2_IMPORTAR_EJECUCION'!$J$9:$J$1208,0)),0))</f>
        <v/>
      </c>
      <c r="AJ67" s="10">
        <f>IF($A67="","",MAX(0,IFERROR(INDEX('2_IMPORTAR_EJECUCION'!$H$9:$H$1208,MATCH($AQ67,'2_IMPORTAR_EJECUCION'!$J$9:$J$1208,0)),0)-$AI67))</f>
        <v/>
      </c>
      <c r="AK67" s="10">
        <f>IF($A67="","",$AI67+$AJ67)</f>
        <v/>
      </c>
      <c r="AL67" s="6" t="inlineStr"/>
      <c r="AM67" s="6" t="inlineStr"/>
      <c r="AN67" s="6" t="inlineStr">
        <is>
          <t>ACT-02.pdf</t>
        </is>
      </c>
      <c r="AO67" s="3">
        <f>IF($AN67="","",HYPERLINK(p_ruta_base_checklists&amp;$AN67,"abrir"))</f>
        <v/>
      </c>
      <c r="AP67" s="6" t="inlineStr"/>
      <c r="AQ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IF($A68="","",IFERROR(INDEX('AJUSTES'!$B$4:$B$303,MATCH($AQ68,'AJUSTES'!$A$4:$A$303,0)),IF($K68="","",$K68)))</f>
        <v/>
      </c>
      <c r="N68" s="3">
        <f>IF($A68="","",IFERROR(INDEX('CAT_ESTADOS_ERP'!$B$4:$B$7,MATCH(IFERROR(INDEX('2_IMPORTAR_EJECUCION'!$C$9:$C$1208,MATCH($AQ68,'2_IMPORTAR_EJECUCION'!$J$9:$J$1208,0)),""),'CAT_ESTADOS_ERP'!$A$4:$A$7,0)),"Pendiente"))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J68="","",IFERROR(INDEX('CALENDARIO'!$C$15:$C$214,MATCH(TEXT($J68,"yyyy-mm-dd")&amp;"|"&amp;$V68&amp;"|"&amp;$W68,'CALENDARIO'!$G$15:$G$214,0)),IFERROR(INDEX('CALENDARIO'!$C$15:$C$214,MATCH(TEXT($J68,"yyyy-mm-dd")&amp;"|"&amp;$V68&amp;"|",'CALENDARIO'!$G$15:$G$214,0)),IFERROR(INDEX('CALENDARIO'!$C$15:$C$214,MATCH(TEXT($J68,"yyyy-mm-dd")&amp;"||",'CALENDARIO'!$G$15:$G$214,0)),INDEX(patronHabil,WEEKDAY($J68,2))))))</f>
        <v/>
      </c>
      <c r="T68" s="3">
        <f>IF($I68="","",IFERROR(INDEX('CAT_TIPOS_OT'!$C$4:$C$7,MATCH($I68,'CAT_TIPOS_OT'!$A$4:$A$7,0)),"sin_clasificar"))</f>
        <v/>
      </c>
      <c r="U68" s="3">
        <f>IF($F68="","",IFERROR(INDEX('CAT_CENTROS_COSTO'!$F$4:$F$13,MATCH($F68,'CAT_CENTROS_COSTO'!$A$4:$A$13,0)),"(sin catálogo)"))</f>
        <v/>
      </c>
      <c r="V68" s="3">
        <f>IF($F68="","",IFERROR(INDEX('CAT_CENTROS_COSTO'!$D$4:$D$13,MATCH($F68,'CAT_CENTROS_COSTO'!$A$4:$A$13,0)),"(sin catálogo)"))</f>
        <v/>
      </c>
      <c r="W68" s="3">
        <f>IF($F68="","",IF((IFERROR(INDEX('CAT_CENTROS_COSTO'!$E$4:$E$13,MATCH($F68,'CAT_CENTROS_COSTO'!$A$4:$A$13,0)),""))&lt;&gt;"",IFERROR(INDEX('CAT_CENTROS_COSTO'!$E$4:$E$13,MATCH($F68,'CAT_CENTROS_COSTO'!$A$4:$A$13,0)),""),$V68))</f>
        <v/>
      </c>
      <c r="X68" s="3">
        <f>IF($F68="","",IFERROR(INDEX('CAT_CENTROS_COSTO'!$G$4:$G$13,MATCH($F68,'CAT_CENTROS_COSTO'!$A$4:$A$13,0)),"(sin catálogo)"))</f>
        <v/>
      </c>
      <c r="Y68" s="3">
        <f>IF($G68="","",IFERROR(INDEX('CAT_PUESTOS'!$B$4:$B$8,MATCH($G68,'CAT_PUESTOS'!$A$4:$A$8,0)),"(sin catálogo)"))</f>
        <v/>
      </c>
      <c r="Z68" s="3">
        <f>IF($H68="","",IFERROR(INDEX('CAT_ACTIVIDADES'!$B$4:$B$8,MATCH($H68,'CAT_ACTIVIDADES'!$A$4:$A$8,0)),"(sin catálogo)"))</f>
        <v/>
      </c>
      <c r="AA68" s="12">
        <f>IF($J68="","",TODAY()-$J68)</f>
        <v/>
      </c>
      <c r="AB68" s="12">
        <f>IF($J68="","",IF($J68&lt;=TODAY(),COUNTIFS(cal_fechas,"&gt;="&amp;$J68,cal_fechas,"&lt;"&amp;TODAY(),cal_habil,"sí"),-COUNTIFS(cal_fechas,"&gt;="&amp;TODAY(),cal_fechas,"&lt;"&amp;$J68,cal_habil,"sí")))</f>
        <v/>
      </c>
      <c r="AC68" s="3">
        <f>IF($AB68="","",IF($AB68&lt;0,"FUTURO",IF($AB68&gt;p_dias_backlog_max,"BACKLOG","MES CORRIENTE")))</f>
        <v/>
      </c>
      <c r="AD68" s="3">
        <f>IF($AB68="",FALSE,AND($AB68&gt;p_dias_backlog_min,$AB68&lt;=p_dias_backlog_max))</f>
        <v/>
      </c>
      <c r="AE68" s="6" t="inlineStr">
        <is>
          <t>Técnico 06</t>
        </is>
      </c>
      <c r="AF68" s="3">
        <f>IF($AE68="","",IF((IFERROR(INDEX('ASIGNACIONES'!$F$4:$F$339,MATCH($O68&amp;"|"&amp;$R68&amp;"|"&amp;$AE68,'ASIGNACIONES'!$J$4:$J$339,0)),""))=0,"",IFERROR(INDEX('ASIGNACIONES'!$F$4:$F$339,MATCH($O68&amp;"|"&amp;$R68&amp;"|"&amp;$AE68,'ASIGNACIONES'!$J$4:$J$339,0)),"")))</f>
        <v/>
      </c>
      <c r="AG68" s="13">
        <f>IF($AE68="","",SUMIFS('ORDENES'!$M$4:$M$1203,'ORDENES'!$AE$4:$AE$1203,$AE68,'ORDENES'!$O$4:$O$1203,$O68,'ORDENES'!$R$4:$R$1203,$R68))</f>
        <v/>
      </c>
      <c r="AH68" s="13">
        <f>IF($AG68="","",p_factor_productividad*IFERROR(INDEX('ASIGNACIONES'!$I$4:$I$339,MATCH($O68&amp;"|"&amp;$R68&amp;"|"&amp;$AE68,'ASIGNACIONES'!$J$4:$J$339,0)),0)-$AG68)</f>
        <v/>
      </c>
      <c r="AI68" s="10">
        <f>IF($A68="","",IFERROR(INDEX('2_IMPORTAR_EJECUCION'!$F$9:$F$1208,MATCH($AQ68,'2_IMPORTAR_EJECUCION'!$J$9:$J$1208,0)),0))</f>
        <v/>
      </c>
      <c r="AJ68" s="10">
        <f>IF($A68="","",MAX(0,IFERROR(INDEX('2_IMPORTAR_EJECUCION'!$H$9:$H$1208,MATCH($AQ68,'2_IMPORTAR_EJECUCION'!$J$9:$J$1208,0)),0)-$AI68))</f>
        <v/>
      </c>
      <c r="AK68" s="10">
        <f>IF($A68="","",$AI68+$AJ68)</f>
        <v/>
      </c>
      <c r="AL68" s="6" t="inlineStr"/>
      <c r="AM68" s="6" t="inlineStr"/>
      <c r="AN68" s="6" t="inlineStr">
        <is>
          <t>ACT-04.pdf</t>
        </is>
      </c>
      <c r="AO68" s="3">
        <f>IF($AN68="","",HYPERLINK(p_ruta_base_checklists&amp;$AN68,"abrir"))</f>
        <v/>
      </c>
      <c r="AP68" s="6" t="inlineStr"/>
      <c r="AQ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IF($A69="","",IFERROR(INDEX('AJUSTES'!$B$4:$B$303,MATCH($AQ69,'AJUSTES'!$A$4:$A$303,0)),IF($K69="","",$K69)))</f>
        <v/>
      </c>
      <c r="N69" s="3">
        <f>IF($A69="","",IFERROR(INDEX('CAT_ESTADOS_ERP'!$B$4:$B$7,MATCH(IFERROR(INDEX('2_IMPORTAR_EJECUCION'!$C$9:$C$1208,MATCH($AQ69,'2_IMPORTAR_EJECUCION'!$J$9:$J$1208,0)),""),'CAT_ESTADOS_ERP'!$A$4:$A$7,0)),"Pendiente"))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J69="","",IFERROR(INDEX('CALENDARIO'!$C$15:$C$214,MATCH(TEXT($J69,"yyyy-mm-dd")&amp;"|"&amp;$V69&amp;"|"&amp;$W69,'CALENDARIO'!$G$15:$G$214,0)),IFERROR(INDEX('CALENDARIO'!$C$15:$C$214,MATCH(TEXT($J69,"yyyy-mm-dd")&amp;"|"&amp;$V69&amp;"|",'CALENDARIO'!$G$15:$G$214,0)),IFERROR(INDEX('CALENDARIO'!$C$15:$C$214,MATCH(TEXT($J69,"yyyy-mm-dd")&amp;"||",'CALENDARIO'!$G$15:$G$214,0)),INDEX(patronHabil,WEEKDAY($J69,2))))))</f>
        <v/>
      </c>
      <c r="T69" s="3">
        <f>IF($I69="","",IFERROR(INDEX('CAT_TIPOS_OT'!$C$4:$C$7,MATCH($I69,'CAT_TIPOS_OT'!$A$4:$A$7,0)),"sin_clasificar"))</f>
        <v/>
      </c>
      <c r="U69" s="3">
        <f>IF($F69="","",IFERROR(INDEX('CAT_CENTROS_COSTO'!$F$4:$F$13,MATCH($F69,'CAT_CENTROS_COSTO'!$A$4:$A$13,0)),"(sin catálogo)"))</f>
        <v/>
      </c>
      <c r="V69" s="3">
        <f>IF($F69="","",IFERROR(INDEX('CAT_CENTROS_COSTO'!$D$4:$D$13,MATCH($F69,'CAT_CENTROS_COSTO'!$A$4:$A$13,0)),"(sin catálogo)"))</f>
        <v/>
      </c>
      <c r="W69" s="3">
        <f>IF($F69="","",IF((IFERROR(INDEX('CAT_CENTROS_COSTO'!$E$4:$E$13,MATCH($F69,'CAT_CENTROS_COSTO'!$A$4:$A$13,0)),""))&lt;&gt;"",IFERROR(INDEX('CAT_CENTROS_COSTO'!$E$4:$E$13,MATCH($F69,'CAT_CENTROS_COSTO'!$A$4:$A$13,0)),""),$V69))</f>
        <v/>
      </c>
      <c r="X69" s="3">
        <f>IF($F69="","",IFERROR(INDEX('CAT_CENTROS_COSTO'!$G$4:$G$13,MATCH($F69,'CAT_CENTROS_COSTO'!$A$4:$A$13,0)),"(sin catálogo)"))</f>
        <v/>
      </c>
      <c r="Y69" s="3">
        <f>IF($G69="","",IFERROR(INDEX('CAT_PUESTOS'!$B$4:$B$8,MATCH($G69,'CAT_PUESTOS'!$A$4:$A$8,0)),"(sin catálogo)"))</f>
        <v/>
      </c>
      <c r="Z69" s="3">
        <f>IF($H69="","",IFERROR(INDEX('CAT_ACTIVIDADES'!$B$4:$B$8,MATCH($H69,'CAT_ACTIVIDADES'!$A$4:$A$8,0)),"(sin catálogo)"))</f>
        <v/>
      </c>
      <c r="AA69" s="12">
        <f>IF($J69="","",TODAY()-$J69)</f>
        <v/>
      </c>
      <c r="AB69" s="12">
        <f>IF($J69="","",IF($J69&lt;=TODAY(),COUNTIFS(cal_fechas,"&gt;="&amp;$J69,cal_fechas,"&lt;"&amp;TODAY(),cal_habil,"sí"),-COUNTIFS(cal_fechas,"&gt;="&amp;TODAY(),cal_fechas,"&lt;"&amp;$J69,cal_habil,"sí")))</f>
        <v/>
      </c>
      <c r="AC69" s="3">
        <f>IF($AB69="","",IF($AB69&lt;0,"FUTURO",IF($AB69&gt;p_dias_backlog_max,"BACKLOG","MES CORRIENTE")))</f>
        <v/>
      </c>
      <c r="AD69" s="3">
        <f>IF($AB69="",FALSE,AND($AB69&gt;p_dias_backlog_min,$AB69&lt;=p_dias_backlog_max))</f>
        <v/>
      </c>
      <c r="AE69" s="6" t="inlineStr">
        <is>
          <t>Técnico 07</t>
        </is>
      </c>
      <c r="AF69" s="3">
        <f>IF($AE69="","",IF((IFERROR(INDEX('ASIGNACIONES'!$F$4:$F$339,MATCH($O69&amp;"|"&amp;$R69&amp;"|"&amp;$AE69,'ASIGNACIONES'!$J$4:$J$339,0)),""))=0,"",IFERROR(INDEX('ASIGNACIONES'!$F$4:$F$339,MATCH($O69&amp;"|"&amp;$R69&amp;"|"&amp;$AE69,'ASIGNACIONES'!$J$4:$J$339,0)),"")))</f>
        <v/>
      </c>
      <c r="AG69" s="13">
        <f>IF($AE69="","",SUMIFS('ORDENES'!$M$4:$M$1203,'ORDENES'!$AE$4:$AE$1203,$AE69,'ORDENES'!$O$4:$O$1203,$O69,'ORDENES'!$R$4:$R$1203,$R69))</f>
        <v/>
      </c>
      <c r="AH69" s="13">
        <f>IF($AG69="","",p_factor_productividad*IFERROR(INDEX('ASIGNACIONES'!$I$4:$I$339,MATCH($O69&amp;"|"&amp;$R69&amp;"|"&amp;$AE69,'ASIGNACIONES'!$J$4:$J$339,0)),0)-$AG69)</f>
        <v/>
      </c>
      <c r="AI69" s="10">
        <f>IF($A69="","",IFERROR(INDEX('2_IMPORTAR_EJECUCION'!$F$9:$F$1208,MATCH($AQ69,'2_IMPORTAR_EJECUCION'!$J$9:$J$1208,0)),0))</f>
        <v/>
      </c>
      <c r="AJ69" s="10">
        <f>IF($A69="","",MAX(0,IFERROR(INDEX('2_IMPORTAR_EJECUCION'!$H$9:$H$1208,MATCH($AQ69,'2_IMPORTAR_EJECUCION'!$J$9:$J$1208,0)),0)-$AI69))</f>
        <v/>
      </c>
      <c r="AK69" s="10">
        <f>IF($A69="","",$AI69+$AJ69)</f>
        <v/>
      </c>
      <c r="AL69" s="6" t="inlineStr"/>
      <c r="AM69" s="6" t="inlineStr"/>
      <c r="AN69" s="6" t="inlineStr">
        <is>
          <t>ACT-01.pdf</t>
        </is>
      </c>
      <c r="AO69" s="3">
        <f>IF($AN69="","",HYPERLINK(p_ruta_base_checklists&amp;$AN69,"abrir"))</f>
        <v/>
      </c>
      <c r="AP69" s="6" t="inlineStr"/>
      <c r="AQ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IF($A70="","",IFERROR(INDEX('AJUSTES'!$B$4:$B$303,MATCH($AQ70,'AJUSTES'!$A$4:$A$303,0)),IF($K70="","",$K70)))</f>
        <v/>
      </c>
      <c r="N70" s="3">
        <f>IF($A70="","",IFERROR(INDEX('CAT_ESTADOS_ERP'!$B$4:$B$7,MATCH(IFERROR(INDEX('2_IMPORTAR_EJECUCION'!$C$9:$C$1208,MATCH($AQ70,'2_IMPORTAR_EJECUCION'!$J$9:$J$1208,0)),""),'CAT_ESTADOS_ERP'!$A$4:$A$7,0)),"Pendiente"))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J70="","",IFERROR(INDEX('CALENDARIO'!$C$15:$C$214,MATCH(TEXT($J70,"yyyy-mm-dd")&amp;"|"&amp;$V70&amp;"|"&amp;$W70,'CALENDARIO'!$G$15:$G$214,0)),IFERROR(INDEX('CALENDARIO'!$C$15:$C$214,MATCH(TEXT($J70,"yyyy-mm-dd")&amp;"|"&amp;$V70&amp;"|",'CALENDARIO'!$G$15:$G$214,0)),IFERROR(INDEX('CALENDARIO'!$C$15:$C$214,MATCH(TEXT($J70,"yyyy-mm-dd")&amp;"||",'CALENDARIO'!$G$15:$G$214,0)),INDEX(patronHabil,WEEKDAY($J70,2))))))</f>
        <v/>
      </c>
      <c r="T70" s="3">
        <f>IF($I70="","",IFERROR(INDEX('CAT_TIPOS_OT'!$C$4:$C$7,MATCH($I70,'CAT_TIPOS_OT'!$A$4:$A$7,0)),"sin_clasificar"))</f>
        <v/>
      </c>
      <c r="U70" s="3">
        <f>IF($F70="","",IFERROR(INDEX('CAT_CENTROS_COSTO'!$F$4:$F$13,MATCH($F70,'CAT_CENTROS_COSTO'!$A$4:$A$13,0)),"(sin catálogo)"))</f>
        <v/>
      </c>
      <c r="V70" s="3">
        <f>IF($F70="","",IFERROR(INDEX('CAT_CENTROS_COSTO'!$D$4:$D$13,MATCH($F70,'CAT_CENTROS_COSTO'!$A$4:$A$13,0)),"(sin catálogo)"))</f>
        <v/>
      </c>
      <c r="W70" s="3">
        <f>IF($F70="","",IF((IFERROR(INDEX('CAT_CENTROS_COSTO'!$E$4:$E$13,MATCH($F70,'CAT_CENTROS_COSTO'!$A$4:$A$13,0)),""))&lt;&gt;"",IFERROR(INDEX('CAT_CENTROS_COSTO'!$E$4:$E$13,MATCH($F70,'CAT_CENTROS_COSTO'!$A$4:$A$13,0)),""),$V70))</f>
        <v/>
      </c>
      <c r="X70" s="3">
        <f>IF($F70="","",IFERROR(INDEX('CAT_CENTROS_COSTO'!$G$4:$G$13,MATCH($F70,'CAT_CENTROS_COSTO'!$A$4:$A$13,0)),"(sin catálogo)"))</f>
        <v/>
      </c>
      <c r="Y70" s="3">
        <f>IF($G70="","",IFERROR(INDEX('CAT_PUESTOS'!$B$4:$B$8,MATCH($G70,'CAT_PUESTOS'!$A$4:$A$8,0)),"(sin catálogo)"))</f>
        <v/>
      </c>
      <c r="Z70" s="3">
        <f>IF($H70="","",IFERROR(INDEX('CAT_ACTIVIDADES'!$B$4:$B$8,MATCH($H70,'CAT_ACTIVIDADES'!$A$4:$A$8,0)),"(sin catálogo)"))</f>
        <v/>
      </c>
      <c r="AA70" s="12">
        <f>IF($J70="","",TODAY()-$J70)</f>
        <v/>
      </c>
      <c r="AB70" s="12">
        <f>IF($J70="","",IF($J70&lt;=TODAY(),COUNTIFS(cal_fechas,"&gt;="&amp;$J70,cal_fechas,"&lt;"&amp;TODAY(),cal_habil,"sí"),-COUNTIFS(cal_fechas,"&gt;="&amp;TODAY(),cal_fechas,"&lt;"&amp;$J70,cal_habil,"sí")))</f>
        <v/>
      </c>
      <c r="AC70" s="3">
        <f>IF($AB70="","",IF($AB70&lt;0,"FUTURO",IF($AB70&gt;p_dias_backlog_max,"BACKLOG","MES CORRIENTE")))</f>
        <v/>
      </c>
      <c r="AD70" s="3">
        <f>IF($AB70="",FALSE,AND($AB70&gt;p_dias_backlog_min,$AB70&lt;=p_dias_backlog_max))</f>
        <v/>
      </c>
      <c r="AE70" s="6" t="inlineStr">
        <is>
          <t>Técnico 05</t>
        </is>
      </c>
      <c r="AF70" s="3">
        <f>IF($AE70="","",IF((IFERROR(INDEX('ASIGNACIONES'!$F$4:$F$339,MATCH($O70&amp;"|"&amp;$R70&amp;"|"&amp;$AE70,'ASIGNACIONES'!$J$4:$J$339,0)),""))=0,"",IFERROR(INDEX('ASIGNACIONES'!$F$4:$F$339,MATCH($O70&amp;"|"&amp;$R70&amp;"|"&amp;$AE70,'ASIGNACIONES'!$J$4:$J$339,0)),"")))</f>
        <v/>
      </c>
      <c r="AG70" s="13">
        <f>IF($AE70="","",SUMIFS('ORDENES'!$M$4:$M$1203,'ORDENES'!$AE$4:$AE$1203,$AE70,'ORDENES'!$O$4:$O$1203,$O70,'ORDENES'!$R$4:$R$1203,$R70))</f>
        <v/>
      </c>
      <c r="AH70" s="13">
        <f>IF($AG70="","",p_factor_productividad*IFERROR(INDEX('ASIGNACIONES'!$I$4:$I$339,MATCH($O70&amp;"|"&amp;$R70&amp;"|"&amp;$AE70,'ASIGNACIONES'!$J$4:$J$339,0)),0)-$AG70)</f>
        <v/>
      </c>
      <c r="AI70" s="10">
        <f>IF($A70="","",IFERROR(INDEX('2_IMPORTAR_EJECUCION'!$F$9:$F$1208,MATCH($AQ70,'2_IMPORTAR_EJECUCION'!$J$9:$J$1208,0)),0))</f>
        <v/>
      </c>
      <c r="AJ70" s="10">
        <f>IF($A70="","",MAX(0,IFERROR(INDEX('2_IMPORTAR_EJECUCION'!$H$9:$H$1208,MATCH($AQ70,'2_IMPORTAR_EJECUCION'!$J$9:$J$1208,0)),0)-$AI70))</f>
        <v/>
      </c>
      <c r="AK70" s="10">
        <f>IF($A70="","",$AI70+$AJ70)</f>
        <v/>
      </c>
      <c r="AL70" s="6" t="inlineStr"/>
      <c r="AM70" s="6" t="inlineStr"/>
      <c r="AN70" s="6" t="inlineStr"/>
      <c r="AO70" s="3">
        <f>IF($AN70="","",HYPERLINK(p_ruta_base_checklists&amp;$AN70,"abrir"))</f>
        <v/>
      </c>
      <c r="AP70" s="6" t="inlineStr"/>
      <c r="AQ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IF($A71="","",IFERROR(INDEX('AJUSTES'!$B$4:$B$303,MATCH($AQ71,'AJUSTES'!$A$4:$A$303,0)),IF($K71="","",$K71)))</f>
        <v/>
      </c>
      <c r="N71" s="3">
        <f>IF($A71="","",IFERROR(INDEX('CAT_ESTADOS_ERP'!$B$4:$B$7,MATCH(IFERROR(INDEX('2_IMPORTAR_EJECUCION'!$C$9:$C$1208,MATCH($AQ71,'2_IMPORTAR_EJECUCION'!$J$9:$J$1208,0)),""),'CAT_ESTADOS_ERP'!$A$4:$A$7,0)),"Pendiente"))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J71="","",IFERROR(INDEX('CALENDARIO'!$C$15:$C$214,MATCH(TEXT($J71,"yyyy-mm-dd")&amp;"|"&amp;$V71&amp;"|"&amp;$W71,'CALENDARIO'!$G$15:$G$214,0)),IFERROR(INDEX('CALENDARIO'!$C$15:$C$214,MATCH(TEXT($J71,"yyyy-mm-dd")&amp;"|"&amp;$V71&amp;"|",'CALENDARIO'!$G$15:$G$214,0)),IFERROR(INDEX('CALENDARIO'!$C$15:$C$214,MATCH(TEXT($J71,"yyyy-mm-dd")&amp;"||",'CALENDARIO'!$G$15:$G$214,0)),INDEX(patronHabil,WEEKDAY($J71,2))))))</f>
        <v/>
      </c>
      <c r="T71" s="3">
        <f>IF($I71="","",IFERROR(INDEX('CAT_TIPOS_OT'!$C$4:$C$7,MATCH($I71,'CAT_TIPOS_OT'!$A$4:$A$7,0)),"sin_clasificar"))</f>
        <v/>
      </c>
      <c r="U71" s="3">
        <f>IF($F71="","",IFERROR(INDEX('CAT_CENTROS_COSTO'!$F$4:$F$13,MATCH($F71,'CAT_CENTROS_COSTO'!$A$4:$A$13,0)),"(sin catálogo)"))</f>
        <v/>
      </c>
      <c r="V71" s="3">
        <f>IF($F71="","",IFERROR(INDEX('CAT_CENTROS_COSTO'!$D$4:$D$13,MATCH($F71,'CAT_CENTROS_COSTO'!$A$4:$A$13,0)),"(sin catálogo)"))</f>
        <v/>
      </c>
      <c r="W71" s="3">
        <f>IF($F71="","",IF((IFERROR(INDEX('CAT_CENTROS_COSTO'!$E$4:$E$13,MATCH($F71,'CAT_CENTROS_COSTO'!$A$4:$A$13,0)),""))&lt;&gt;"",IFERROR(INDEX('CAT_CENTROS_COSTO'!$E$4:$E$13,MATCH($F71,'CAT_CENTROS_COSTO'!$A$4:$A$13,0)),""),$V71))</f>
        <v/>
      </c>
      <c r="X71" s="3">
        <f>IF($F71="","",IFERROR(INDEX('CAT_CENTROS_COSTO'!$G$4:$G$13,MATCH($F71,'CAT_CENTROS_COSTO'!$A$4:$A$13,0)),"(sin catálogo)"))</f>
        <v/>
      </c>
      <c r="Y71" s="3">
        <f>IF($G71="","",IFERROR(INDEX('CAT_PUESTOS'!$B$4:$B$8,MATCH($G71,'CAT_PUESTOS'!$A$4:$A$8,0)),"(sin catálogo)"))</f>
        <v/>
      </c>
      <c r="Z71" s="3">
        <f>IF($H71="","",IFERROR(INDEX('CAT_ACTIVIDADES'!$B$4:$B$8,MATCH($H71,'CAT_ACTIVIDADES'!$A$4:$A$8,0)),"(sin catálogo)"))</f>
        <v/>
      </c>
      <c r="AA71" s="12">
        <f>IF($J71="","",TODAY()-$J71)</f>
        <v/>
      </c>
      <c r="AB71" s="12">
        <f>IF($J71="","",IF($J71&lt;=TODAY(),COUNTIFS(cal_fechas,"&gt;="&amp;$J71,cal_fechas,"&lt;"&amp;TODAY(),cal_habil,"sí"),-COUNTIFS(cal_fechas,"&gt;="&amp;TODAY(),cal_fechas,"&lt;"&amp;$J71,cal_habil,"sí")))</f>
        <v/>
      </c>
      <c r="AC71" s="3">
        <f>IF($AB71="","",IF($AB71&lt;0,"FUTURO",IF($AB71&gt;p_dias_backlog_max,"BACKLOG","MES CORRIENTE")))</f>
        <v/>
      </c>
      <c r="AD71" s="3">
        <f>IF($AB71="",FALSE,AND($AB71&gt;p_dias_backlog_min,$AB71&lt;=p_dias_backlog_max))</f>
        <v/>
      </c>
      <c r="AE71" s="6" t="inlineStr">
        <is>
          <t>Técnico 06</t>
        </is>
      </c>
      <c r="AF71" s="3">
        <f>IF($AE71="","",IF((IFERROR(INDEX('ASIGNACIONES'!$F$4:$F$339,MATCH($O71&amp;"|"&amp;$R71&amp;"|"&amp;$AE71,'ASIGNACIONES'!$J$4:$J$339,0)),""))=0,"",IFERROR(INDEX('ASIGNACIONES'!$F$4:$F$339,MATCH($O71&amp;"|"&amp;$R71&amp;"|"&amp;$AE71,'ASIGNACIONES'!$J$4:$J$339,0)),"")))</f>
        <v/>
      </c>
      <c r="AG71" s="13">
        <f>IF($AE71="","",SUMIFS('ORDENES'!$M$4:$M$1203,'ORDENES'!$AE$4:$AE$1203,$AE71,'ORDENES'!$O$4:$O$1203,$O71,'ORDENES'!$R$4:$R$1203,$R71))</f>
        <v/>
      </c>
      <c r="AH71" s="13">
        <f>IF($AG71="","",p_factor_productividad*IFERROR(INDEX('ASIGNACIONES'!$I$4:$I$339,MATCH($O71&amp;"|"&amp;$R71&amp;"|"&amp;$AE71,'ASIGNACIONES'!$J$4:$J$339,0)),0)-$AG71)</f>
        <v/>
      </c>
      <c r="AI71" s="10">
        <f>IF($A71="","",IFERROR(INDEX('2_IMPORTAR_EJECUCION'!$F$9:$F$1208,MATCH($AQ71,'2_IMPORTAR_EJECUCION'!$J$9:$J$1208,0)),0))</f>
        <v/>
      </c>
      <c r="AJ71" s="10">
        <f>IF($A71="","",MAX(0,IFERROR(INDEX('2_IMPORTAR_EJECUCION'!$H$9:$H$1208,MATCH($AQ71,'2_IMPORTAR_EJECUCION'!$J$9:$J$1208,0)),0)-$AI71))</f>
        <v/>
      </c>
      <c r="AK71" s="10">
        <f>IF($A71="","",$AI71+$AJ71)</f>
        <v/>
      </c>
      <c r="AL71" s="6" t="inlineStr">
        <is>
          <t>PT-CALIENTE</t>
        </is>
      </c>
      <c r="AM71" s="6" t="inlineStr">
        <is>
          <t>LOTO</t>
        </is>
      </c>
      <c r="AN71" s="6" t="inlineStr"/>
      <c r="AO71" s="3">
        <f>IF($AN71="","",HYPERLINK(p_ruta_base_checklists&amp;$AN71,"abrir"))</f>
        <v/>
      </c>
      <c r="AP71" s="6" t="inlineStr"/>
      <c r="AQ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IF($A72="","",IFERROR(INDEX('AJUSTES'!$B$4:$B$303,MATCH($AQ72,'AJUSTES'!$A$4:$A$303,0)),IF($K72="","",$K72)))</f>
        <v/>
      </c>
      <c r="N72" s="3">
        <f>IF($A72="","",IFERROR(INDEX('CAT_ESTADOS_ERP'!$B$4:$B$7,MATCH(IFERROR(INDEX('2_IMPORTAR_EJECUCION'!$C$9:$C$1208,MATCH($AQ72,'2_IMPORTAR_EJECUCION'!$J$9:$J$1208,0)),""),'CAT_ESTADOS_ERP'!$A$4:$A$7,0)),"Pendiente"))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J72="","",IFERROR(INDEX('CALENDARIO'!$C$15:$C$214,MATCH(TEXT($J72,"yyyy-mm-dd")&amp;"|"&amp;$V72&amp;"|"&amp;$W72,'CALENDARIO'!$G$15:$G$214,0)),IFERROR(INDEX('CALENDARIO'!$C$15:$C$214,MATCH(TEXT($J72,"yyyy-mm-dd")&amp;"|"&amp;$V72&amp;"|",'CALENDARIO'!$G$15:$G$214,0)),IFERROR(INDEX('CALENDARIO'!$C$15:$C$214,MATCH(TEXT($J72,"yyyy-mm-dd")&amp;"||",'CALENDARIO'!$G$15:$G$214,0)),INDEX(patronHabil,WEEKDAY($J72,2))))))</f>
        <v/>
      </c>
      <c r="T72" s="3">
        <f>IF($I72="","",IFERROR(INDEX('CAT_TIPOS_OT'!$C$4:$C$7,MATCH($I72,'CAT_TIPOS_OT'!$A$4:$A$7,0)),"sin_clasificar"))</f>
        <v/>
      </c>
      <c r="U72" s="3">
        <f>IF($F72="","",IFERROR(INDEX('CAT_CENTROS_COSTO'!$F$4:$F$13,MATCH($F72,'CAT_CENTROS_COSTO'!$A$4:$A$13,0)),"(sin catálogo)"))</f>
        <v/>
      </c>
      <c r="V72" s="3">
        <f>IF($F72="","",IFERROR(INDEX('CAT_CENTROS_COSTO'!$D$4:$D$13,MATCH($F72,'CAT_CENTROS_COSTO'!$A$4:$A$13,0)),"(sin catálogo)"))</f>
        <v/>
      </c>
      <c r="W72" s="3">
        <f>IF($F72="","",IF((IFERROR(INDEX('CAT_CENTROS_COSTO'!$E$4:$E$13,MATCH($F72,'CAT_CENTROS_COSTO'!$A$4:$A$13,0)),""))&lt;&gt;"",IFERROR(INDEX('CAT_CENTROS_COSTO'!$E$4:$E$13,MATCH($F72,'CAT_CENTROS_COSTO'!$A$4:$A$13,0)),""),$V72))</f>
        <v/>
      </c>
      <c r="X72" s="3">
        <f>IF($F72="","",IFERROR(INDEX('CAT_CENTROS_COSTO'!$G$4:$G$13,MATCH($F72,'CAT_CENTROS_COSTO'!$A$4:$A$13,0)),"(sin catálogo)"))</f>
        <v/>
      </c>
      <c r="Y72" s="3">
        <f>IF($G72="","",IFERROR(INDEX('CAT_PUESTOS'!$B$4:$B$8,MATCH($G72,'CAT_PUESTOS'!$A$4:$A$8,0)),"(sin catálogo)"))</f>
        <v/>
      </c>
      <c r="Z72" s="3">
        <f>IF($H72="","",IFERROR(INDEX('CAT_ACTIVIDADES'!$B$4:$B$8,MATCH($H72,'CAT_ACTIVIDADES'!$A$4:$A$8,0)),"(sin catálogo)"))</f>
        <v/>
      </c>
      <c r="AA72" s="12">
        <f>IF($J72="","",TODAY()-$J72)</f>
        <v/>
      </c>
      <c r="AB72" s="12">
        <f>IF($J72="","",IF($J72&lt;=TODAY(),COUNTIFS(cal_fechas,"&gt;="&amp;$J72,cal_fechas,"&lt;"&amp;TODAY(),cal_habil,"sí"),-COUNTIFS(cal_fechas,"&gt;="&amp;TODAY(),cal_fechas,"&lt;"&amp;$J72,cal_habil,"sí")))</f>
        <v/>
      </c>
      <c r="AC72" s="3">
        <f>IF($AB72="","",IF($AB72&lt;0,"FUTURO",IF($AB72&gt;p_dias_backlog_max,"BACKLOG","MES CORRIENTE")))</f>
        <v/>
      </c>
      <c r="AD72" s="3">
        <f>IF($AB72="",FALSE,AND($AB72&gt;p_dias_backlog_min,$AB72&lt;=p_dias_backlog_max))</f>
        <v/>
      </c>
      <c r="AE72" s="6" t="inlineStr">
        <is>
          <t>Técnico 07</t>
        </is>
      </c>
      <c r="AF72" s="3">
        <f>IF($AE72="","",IF((IFERROR(INDEX('ASIGNACIONES'!$F$4:$F$339,MATCH($O72&amp;"|"&amp;$R72&amp;"|"&amp;$AE72,'ASIGNACIONES'!$J$4:$J$339,0)),""))=0,"",IFERROR(INDEX('ASIGNACIONES'!$F$4:$F$339,MATCH($O72&amp;"|"&amp;$R72&amp;"|"&amp;$AE72,'ASIGNACIONES'!$J$4:$J$339,0)),"")))</f>
        <v/>
      </c>
      <c r="AG72" s="13">
        <f>IF($AE72="","",SUMIFS('ORDENES'!$M$4:$M$1203,'ORDENES'!$AE$4:$AE$1203,$AE72,'ORDENES'!$O$4:$O$1203,$O72,'ORDENES'!$R$4:$R$1203,$R72))</f>
        <v/>
      </c>
      <c r="AH72" s="13">
        <f>IF($AG72="","",p_factor_productividad*IFERROR(INDEX('ASIGNACIONES'!$I$4:$I$339,MATCH($O72&amp;"|"&amp;$R72&amp;"|"&amp;$AE72,'ASIGNACIONES'!$J$4:$J$339,0)),0)-$AG72)</f>
        <v/>
      </c>
      <c r="AI72" s="10">
        <f>IF($A72="","",IFERROR(INDEX('2_IMPORTAR_EJECUCION'!$F$9:$F$1208,MATCH($AQ72,'2_IMPORTAR_EJECUCION'!$J$9:$J$1208,0)),0))</f>
        <v/>
      </c>
      <c r="AJ72" s="10">
        <f>IF($A72="","",MAX(0,IFERROR(INDEX('2_IMPORTAR_EJECUCION'!$H$9:$H$1208,MATCH($AQ72,'2_IMPORTAR_EJECUCION'!$J$9:$J$1208,0)),0)-$AI72))</f>
        <v/>
      </c>
      <c r="AK72" s="10">
        <f>IF($A72="","",$AI72+$AJ72)</f>
        <v/>
      </c>
      <c r="AL72" s="6" t="inlineStr"/>
      <c r="AM72" s="6" t="inlineStr"/>
      <c r="AN72" s="6" t="inlineStr">
        <is>
          <t>ACT-01.pdf</t>
        </is>
      </c>
      <c r="AO72" s="3">
        <f>IF($AN72="","",HYPERLINK(p_ruta_base_checklists&amp;$AN72,"abrir"))</f>
        <v/>
      </c>
      <c r="AP72" s="6" t="inlineStr"/>
      <c r="AQ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IF($A73="","",IFERROR(INDEX('AJUSTES'!$B$4:$B$303,MATCH($AQ73,'AJUSTES'!$A$4:$A$303,0)),IF($K73="","",$K73)))</f>
        <v/>
      </c>
      <c r="N73" s="3">
        <f>IF($A73="","",IFERROR(INDEX('CAT_ESTADOS_ERP'!$B$4:$B$7,MATCH(IFERROR(INDEX('2_IMPORTAR_EJECUCION'!$C$9:$C$1208,MATCH($AQ73,'2_IMPORTAR_EJECUCION'!$J$9:$J$1208,0)),""),'CAT_ESTADOS_ERP'!$A$4:$A$7,0)),"Pendiente"))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J73="","",IFERROR(INDEX('CALENDARIO'!$C$15:$C$214,MATCH(TEXT($J73,"yyyy-mm-dd")&amp;"|"&amp;$V73&amp;"|"&amp;$W73,'CALENDARIO'!$G$15:$G$214,0)),IFERROR(INDEX('CALENDARIO'!$C$15:$C$214,MATCH(TEXT($J73,"yyyy-mm-dd")&amp;"|"&amp;$V73&amp;"|",'CALENDARIO'!$G$15:$G$214,0)),IFERROR(INDEX('CALENDARIO'!$C$15:$C$214,MATCH(TEXT($J73,"yyyy-mm-dd")&amp;"||",'CALENDARIO'!$G$15:$G$214,0)),INDEX(patronHabil,WEEKDAY($J73,2))))))</f>
        <v/>
      </c>
      <c r="T73" s="3">
        <f>IF($I73="","",IFERROR(INDEX('CAT_TIPOS_OT'!$C$4:$C$7,MATCH($I73,'CAT_TIPOS_OT'!$A$4:$A$7,0)),"sin_clasificar"))</f>
        <v/>
      </c>
      <c r="U73" s="3">
        <f>IF($F73="","",IFERROR(INDEX('CAT_CENTROS_COSTO'!$F$4:$F$13,MATCH($F73,'CAT_CENTROS_COSTO'!$A$4:$A$13,0)),"(sin catálogo)"))</f>
        <v/>
      </c>
      <c r="V73" s="3">
        <f>IF($F73="","",IFERROR(INDEX('CAT_CENTROS_COSTO'!$D$4:$D$13,MATCH($F73,'CAT_CENTROS_COSTO'!$A$4:$A$13,0)),"(sin catálogo)"))</f>
        <v/>
      </c>
      <c r="W73" s="3">
        <f>IF($F73="","",IF((IFERROR(INDEX('CAT_CENTROS_COSTO'!$E$4:$E$13,MATCH($F73,'CAT_CENTROS_COSTO'!$A$4:$A$13,0)),""))&lt;&gt;"",IFERROR(INDEX('CAT_CENTROS_COSTO'!$E$4:$E$13,MATCH($F73,'CAT_CENTROS_COSTO'!$A$4:$A$13,0)),""),$V73))</f>
        <v/>
      </c>
      <c r="X73" s="3">
        <f>IF($F73="","",IFERROR(INDEX('CAT_CENTROS_COSTO'!$G$4:$G$13,MATCH($F73,'CAT_CENTROS_COSTO'!$A$4:$A$13,0)),"(sin catálogo)"))</f>
        <v/>
      </c>
      <c r="Y73" s="3">
        <f>IF($G73="","",IFERROR(INDEX('CAT_PUESTOS'!$B$4:$B$8,MATCH($G73,'CAT_PUESTOS'!$A$4:$A$8,0)),"(sin catálogo)"))</f>
        <v/>
      </c>
      <c r="Z73" s="3">
        <f>IF($H73="","",IFERROR(INDEX('CAT_ACTIVIDADES'!$B$4:$B$8,MATCH($H73,'CAT_ACTIVIDADES'!$A$4:$A$8,0)),"(sin catálogo)"))</f>
        <v/>
      </c>
      <c r="AA73" s="12">
        <f>IF($J73="","",TODAY()-$J73)</f>
        <v/>
      </c>
      <c r="AB73" s="12">
        <f>IF($J73="","",IF($J73&lt;=TODAY(),COUNTIFS(cal_fechas,"&gt;="&amp;$J73,cal_fechas,"&lt;"&amp;TODAY(),cal_habil,"sí"),-COUNTIFS(cal_fechas,"&gt;="&amp;TODAY(),cal_fechas,"&lt;"&amp;$J73,cal_habil,"sí")))</f>
        <v/>
      </c>
      <c r="AC73" s="3">
        <f>IF($AB73="","",IF($AB73&lt;0,"FUTURO",IF($AB73&gt;p_dias_backlog_max,"BACKLOG","MES CORRIENTE")))</f>
        <v/>
      </c>
      <c r="AD73" s="3">
        <f>IF($AB73="",FALSE,AND($AB73&gt;p_dias_backlog_min,$AB73&lt;=p_dias_backlog_max))</f>
        <v/>
      </c>
      <c r="AE73" s="6" t="inlineStr">
        <is>
          <t>Técnico 05</t>
        </is>
      </c>
      <c r="AF73" s="3">
        <f>IF($AE73="","",IF((IFERROR(INDEX('ASIGNACIONES'!$F$4:$F$339,MATCH($O73&amp;"|"&amp;$R73&amp;"|"&amp;$AE73,'ASIGNACIONES'!$J$4:$J$339,0)),""))=0,"",IFERROR(INDEX('ASIGNACIONES'!$F$4:$F$339,MATCH($O73&amp;"|"&amp;$R73&amp;"|"&amp;$AE73,'ASIGNACIONES'!$J$4:$J$339,0)),"")))</f>
        <v/>
      </c>
      <c r="AG73" s="13">
        <f>IF($AE73="","",SUMIFS('ORDENES'!$M$4:$M$1203,'ORDENES'!$AE$4:$AE$1203,$AE73,'ORDENES'!$O$4:$O$1203,$O73,'ORDENES'!$R$4:$R$1203,$R73))</f>
        <v/>
      </c>
      <c r="AH73" s="13">
        <f>IF($AG73="","",p_factor_productividad*IFERROR(INDEX('ASIGNACIONES'!$I$4:$I$339,MATCH($O73&amp;"|"&amp;$R73&amp;"|"&amp;$AE73,'ASIGNACIONES'!$J$4:$J$339,0)),0)-$AG73)</f>
        <v/>
      </c>
      <c r="AI73" s="10">
        <f>IF($A73="","",IFERROR(INDEX('2_IMPORTAR_EJECUCION'!$F$9:$F$1208,MATCH($AQ73,'2_IMPORTAR_EJECUCION'!$J$9:$J$1208,0)),0))</f>
        <v/>
      </c>
      <c r="AJ73" s="10">
        <f>IF($A73="","",MAX(0,IFERROR(INDEX('2_IMPORTAR_EJECUCION'!$H$9:$H$1208,MATCH($AQ73,'2_IMPORTAR_EJECUCION'!$J$9:$J$1208,0)),0)-$AI73))</f>
        <v/>
      </c>
      <c r="AK73" s="10">
        <f>IF($A73="","",$AI73+$AJ73)</f>
        <v/>
      </c>
      <c r="AL73" s="6" t="inlineStr"/>
      <c r="AM73" s="6" t="inlineStr"/>
      <c r="AN73" s="6" t="inlineStr">
        <is>
          <t>ACT-02.pdf</t>
        </is>
      </c>
      <c r="AO73" s="3">
        <f>IF($AN73="","",HYPERLINK(p_ruta_base_checklists&amp;$AN73,"abrir"))</f>
        <v/>
      </c>
      <c r="AP73" s="6" t="inlineStr"/>
      <c r="AQ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IF($A74="","",IFERROR(INDEX('AJUSTES'!$B$4:$B$303,MATCH($AQ74,'AJUSTES'!$A$4:$A$303,0)),IF($K74="","",$K74)))</f>
        <v/>
      </c>
      <c r="N74" s="3">
        <f>IF($A74="","",IFERROR(INDEX('CAT_ESTADOS_ERP'!$B$4:$B$7,MATCH(IFERROR(INDEX('2_IMPORTAR_EJECUCION'!$C$9:$C$1208,MATCH($AQ74,'2_IMPORTAR_EJECUCION'!$J$9:$J$1208,0)),""),'CAT_ESTADOS_ERP'!$A$4:$A$7,0)),"Pendiente"))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J74="","",IFERROR(INDEX('CALENDARIO'!$C$15:$C$214,MATCH(TEXT($J74,"yyyy-mm-dd")&amp;"|"&amp;$V74&amp;"|"&amp;$W74,'CALENDARIO'!$G$15:$G$214,0)),IFERROR(INDEX('CALENDARIO'!$C$15:$C$214,MATCH(TEXT($J74,"yyyy-mm-dd")&amp;"|"&amp;$V74&amp;"|",'CALENDARIO'!$G$15:$G$214,0)),IFERROR(INDEX('CALENDARIO'!$C$15:$C$214,MATCH(TEXT($J74,"yyyy-mm-dd")&amp;"||",'CALENDARIO'!$G$15:$G$214,0)),INDEX(patronHabil,WEEKDAY($J74,2))))))</f>
        <v/>
      </c>
      <c r="T74" s="3">
        <f>IF($I74="","",IFERROR(INDEX('CAT_TIPOS_OT'!$C$4:$C$7,MATCH($I74,'CAT_TIPOS_OT'!$A$4:$A$7,0)),"sin_clasificar"))</f>
        <v/>
      </c>
      <c r="U74" s="3">
        <f>IF($F74="","",IFERROR(INDEX('CAT_CENTROS_COSTO'!$F$4:$F$13,MATCH($F74,'CAT_CENTROS_COSTO'!$A$4:$A$13,0)),"(sin catálogo)"))</f>
        <v/>
      </c>
      <c r="V74" s="3">
        <f>IF($F74="","",IFERROR(INDEX('CAT_CENTROS_COSTO'!$D$4:$D$13,MATCH($F74,'CAT_CENTROS_COSTO'!$A$4:$A$13,0)),"(sin catálogo)"))</f>
        <v/>
      </c>
      <c r="W74" s="3">
        <f>IF($F74="","",IF((IFERROR(INDEX('CAT_CENTROS_COSTO'!$E$4:$E$13,MATCH($F74,'CAT_CENTROS_COSTO'!$A$4:$A$13,0)),""))&lt;&gt;"",IFERROR(INDEX('CAT_CENTROS_COSTO'!$E$4:$E$13,MATCH($F74,'CAT_CENTROS_COSTO'!$A$4:$A$13,0)),""),$V74))</f>
        <v/>
      </c>
      <c r="X74" s="3">
        <f>IF($F74="","",IFERROR(INDEX('CAT_CENTROS_COSTO'!$G$4:$G$13,MATCH($F74,'CAT_CENTROS_COSTO'!$A$4:$A$13,0)),"(sin catálogo)"))</f>
        <v/>
      </c>
      <c r="Y74" s="3">
        <f>IF($G74="","",IFERROR(INDEX('CAT_PUESTOS'!$B$4:$B$8,MATCH($G74,'CAT_PUESTOS'!$A$4:$A$8,0)),"(sin catálogo)"))</f>
        <v/>
      </c>
      <c r="Z74" s="3">
        <f>IF($H74="","",IFERROR(INDEX('CAT_ACTIVIDADES'!$B$4:$B$8,MATCH($H74,'CAT_ACTIVIDADES'!$A$4:$A$8,0)),"(sin catálogo)"))</f>
        <v/>
      </c>
      <c r="AA74" s="12">
        <f>IF($J74="","",TODAY()-$J74)</f>
        <v/>
      </c>
      <c r="AB74" s="12">
        <f>IF($J74="","",IF($J74&lt;=TODAY(),COUNTIFS(cal_fechas,"&gt;="&amp;$J74,cal_fechas,"&lt;"&amp;TODAY(),cal_habil,"sí"),-COUNTIFS(cal_fechas,"&gt;="&amp;TODAY(),cal_fechas,"&lt;"&amp;$J74,cal_habil,"sí")))</f>
        <v/>
      </c>
      <c r="AC74" s="3">
        <f>IF($AB74="","",IF($AB74&lt;0,"FUTURO",IF($AB74&gt;p_dias_backlog_max,"BACKLOG","MES CORRIENTE")))</f>
        <v/>
      </c>
      <c r="AD74" s="3">
        <f>IF($AB74="",FALSE,AND($AB74&gt;p_dias_backlog_min,$AB74&lt;=p_dias_backlog_max))</f>
        <v/>
      </c>
      <c r="AE74" s="6" t="inlineStr">
        <is>
          <t>Técnico 06</t>
        </is>
      </c>
      <c r="AF74" s="3">
        <f>IF($AE74="","",IF((IFERROR(INDEX('ASIGNACIONES'!$F$4:$F$339,MATCH($O74&amp;"|"&amp;$R74&amp;"|"&amp;$AE74,'ASIGNACIONES'!$J$4:$J$339,0)),""))=0,"",IFERROR(INDEX('ASIGNACIONES'!$F$4:$F$339,MATCH($O74&amp;"|"&amp;$R74&amp;"|"&amp;$AE74,'ASIGNACIONES'!$J$4:$J$339,0)),"")))</f>
        <v/>
      </c>
      <c r="AG74" s="13">
        <f>IF($AE74="","",SUMIFS('ORDENES'!$M$4:$M$1203,'ORDENES'!$AE$4:$AE$1203,$AE74,'ORDENES'!$O$4:$O$1203,$O74,'ORDENES'!$R$4:$R$1203,$R74))</f>
        <v/>
      </c>
      <c r="AH74" s="13">
        <f>IF($AG74="","",p_factor_productividad*IFERROR(INDEX('ASIGNACIONES'!$I$4:$I$339,MATCH($O74&amp;"|"&amp;$R74&amp;"|"&amp;$AE74,'ASIGNACIONES'!$J$4:$J$339,0)),0)-$AG74)</f>
        <v/>
      </c>
      <c r="AI74" s="10">
        <f>IF($A74="","",IFERROR(INDEX('2_IMPORTAR_EJECUCION'!$F$9:$F$1208,MATCH($AQ74,'2_IMPORTAR_EJECUCION'!$J$9:$J$1208,0)),0))</f>
        <v/>
      </c>
      <c r="AJ74" s="10">
        <f>IF($A74="","",MAX(0,IFERROR(INDEX('2_IMPORTAR_EJECUCION'!$H$9:$H$1208,MATCH($AQ74,'2_IMPORTAR_EJECUCION'!$J$9:$J$1208,0)),0)-$AI74))</f>
        <v/>
      </c>
      <c r="AK74" s="10">
        <f>IF($A74="","",$AI74+$AJ74)</f>
        <v/>
      </c>
      <c r="AL74" s="6" t="inlineStr"/>
      <c r="AM74" s="6" t="inlineStr"/>
      <c r="AN74" s="6" t="inlineStr">
        <is>
          <t>ACT-04.pdf</t>
        </is>
      </c>
      <c r="AO74" s="3">
        <f>IF($AN74="","",HYPERLINK(p_ruta_base_checklists&amp;$AN74,"abrir"))</f>
        <v/>
      </c>
      <c r="AP74" s="6" t="inlineStr"/>
      <c r="AQ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IF($A75="","",IFERROR(INDEX('AJUSTES'!$B$4:$B$303,MATCH($AQ75,'AJUSTES'!$A$4:$A$303,0)),IF($K75="","",$K75)))</f>
        <v/>
      </c>
      <c r="N75" s="3">
        <f>IF($A75="","",IFERROR(INDEX('CAT_ESTADOS_ERP'!$B$4:$B$7,MATCH(IFERROR(INDEX('2_IMPORTAR_EJECUCION'!$C$9:$C$1208,MATCH($AQ75,'2_IMPORTAR_EJECUCION'!$J$9:$J$1208,0)),""),'CAT_ESTADOS_ERP'!$A$4:$A$7,0)),"Pendiente"))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J75="","",IFERROR(INDEX('CALENDARIO'!$C$15:$C$214,MATCH(TEXT($J75,"yyyy-mm-dd")&amp;"|"&amp;$V75&amp;"|"&amp;$W75,'CALENDARIO'!$G$15:$G$214,0)),IFERROR(INDEX('CALENDARIO'!$C$15:$C$214,MATCH(TEXT($J75,"yyyy-mm-dd")&amp;"|"&amp;$V75&amp;"|",'CALENDARIO'!$G$15:$G$214,0)),IFERROR(INDEX('CALENDARIO'!$C$15:$C$214,MATCH(TEXT($J75,"yyyy-mm-dd")&amp;"||",'CALENDARIO'!$G$15:$G$214,0)),INDEX(patronHabil,WEEKDAY($J75,2))))))</f>
        <v/>
      </c>
      <c r="T75" s="3">
        <f>IF($I75="","",IFERROR(INDEX('CAT_TIPOS_OT'!$C$4:$C$7,MATCH($I75,'CAT_TIPOS_OT'!$A$4:$A$7,0)),"sin_clasificar"))</f>
        <v/>
      </c>
      <c r="U75" s="3">
        <f>IF($F75="","",IFERROR(INDEX('CAT_CENTROS_COSTO'!$F$4:$F$13,MATCH($F75,'CAT_CENTROS_COSTO'!$A$4:$A$13,0)),"(sin catálogo)"))</f>
        <v/>
      </c>
      <c r="V75" s="3">
        <f>IF($F75="","",IFERROR(INDEX('CAT_CENTROS_COSTO'!$D$4:$D$13,MATCH($F75,'CAT_CENTROS_COSTO'!$A$4:$A$13,0)),"(sin catálogo)"))</f>
        <v/>
      </c>
      <c r="W75" s="3">
        <f>IF($F75="","",IF((IFERROR(INDEX('CAT_CENTROS_COSTO'!$E$4:$E$13,MATCH($F75,'CAT_CENTROS_COSTO'!$A$4:$A$13,0)),""))&lt;&gt;"",IFERROR(INDEX('CAT_CENTROS_COSTO'!$E$4:$E$13,MATCH($F75,'CAT_CENTROS_COSTO'!$A$4:$A$13,0)),""),$V75))</f>
        <v/>
      </c>
      <c r="X75" s="3">
        <f>IF($F75="","",IFERROR(INDEX('CAT_CENTROS_COSTO'!$G$4:$G$13,MATCH($F75,'CAT_CENTROS_COSTO'!$A$4:$A$13,0)),"(sin catálogo)"))</f>
        <v/>
      </c>
      <c r="Y75" s="3">
        <f>IF($G75="","",IFERROR(INDEX('CAT_PUESTOS'!$B$4:$B$8,MATCH($G75,'CAT_PUESTOS'!$A$4:$A$8,0)),"(sin catálogo)"))</f>
        <v/>
      </c>
      <c r="Z75" s="3">
        <f>IF($H75="","",IFERROR(INDEX('CAT_ACTIVIDADES'!$B$4:$B$8,MATCH($H75,'CAT_ACTIVIDADES'!$A$4:$A$8,0)),"(sin catálogo)"))</f>
        <v/>
      </c>
      <c r="AA75" s="12">
        <f>IF($J75="","",TODAY()-$J75)</f>
        <v/>
      </c>
      <c r="AB75" s="12">
        <f>IF($J75="","",IF($J75&lt;=TODAY(),COUNTIFS(cal_fechas,"&gt;="&amp;$J75,cal_fechas,"&lt;"&amp;TODAY(),cal_habil,"sí"),-COUNTIFS(cal_fechas,"&gt;="&amp;TODAY(),cal_fechas,"&lt;"&amp;$J75,cal_habil,"sí")))</f>
        <v/>
      </c>
      <c r="AC75" s="3">
        <f>IF($AB75="","",IF($AB75&lt;0,"FUTURO",IF($AB75&gt;p_dias_backlog_max,"BACKLOG","MES CORRIENTE")))</f>
        <v/>
      </c>
      <c r="AD75" s="3">
        <f>IF($AB75="",FALSE,AND($AB75&gt;p_dias_backlog_min,$AB75&lt;=p_dias_backlog_max))</f>
        <v/>
      </c>
      <c r="AE75" s="6" t="inlineStr"/>
      <c r="AF75" s="3">
        <f>IF($AE75="","",IF((IFERROR(INDEX('ASIGNACIONES'!$F$4:$F$339,MATCH($O75&amp;"|"&amp;$R75&amp;"|"&amp;$AE75,'ASIGNACIONES'!$J$4:$J$339,0)),""))=0,"",IFERROR(INDEX('ASIGNACIONES'!$F$4:$F$339,MATCH($O75&amp;"|"&amp;$R75&amp;"|"&amp;$AE75,'ASIGNACIONES'!$J$4:$J$339,0)),"")))</f>
        <v/>
      </c>
      <c r="AG75" s="13">
        <f>IF($AE75="","",SUMIFS('ORDENES'!$M$4:$M$1203,'ORDENES'!$AE$4:$AE$1203,$AE75,'ORDENES'!$O$4:$O$1203,$O75,'ORDENES'!$R$4:$R$1203,$R75))</f>
        <v/>
      </c>
      <c r="AH75" s="13">
        <f>IF($AG75="","",p_factor_productividad*IFERROR(INDEX('ASIGNACIONES'!$I$4:$I$339,MATCH($O75&amp;"|"&amp;$R75&amp;"|"&amp;$AE75,'ASIGNACIONES'!$J$4:$J$339,0)),0)-$AG75)</f>
        <v/>
      </c>
      <c r="AI75" s="10">
        <f>IF($A75="","",IFERROR(INDEX('2_IMPORTAR_EJECUCION'!$F$9:$F$1208,MATCH($AQ75,'2_IMPORTAR_EJECUCION'!$J$9:$J$1208,0)),0))</f>
        <v/>
      </c>
      <c r="AJ75" s="10">
        <f>IF($A75="","",MAX(0,IFERROR(INDEX('2_IMPORTAR_EJECUCION'!$H$9:$H$1208,MATCH($AQ75,'2_IMPORTAR_EJECUCION'!$J$9:$J$1208,0)),0)-$AI75))</f>
        <v/>
      </c>
      <c r="AK75" s="10">
        <f>IF($A75="","",$AI75+$AJ75)</f>
        <v/>
      </c>
      <c r="AL75" s="6" t="inlineStr"/>
      <c r="AM75" s="6" t="inlineStr"/>
      <c r="AN75" s="6" t="inlineStr">
        <is>
          <t>ACT-01.pdf</t>
        </is>
      </c>
      <c r="AO75" s="3">
        <f>IF($AN75="","",HYPERLINK(p_ruta_base_checklists&amp;$AN75,"abrir"))</f>
        <v/>
      </c>
      <c r="AP75" s="6" t="inlineStr"/>
      <c r="AQ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IF($A76="","",IFERROR(INDEX('AJUSTES'!$B$4:$B$303,MATCH($AQ76,'AJUSTES'!$A$4:$A$303,0)),IF($K76="","",$K76)))</f>
        <v/>
      </c>
      <c r="N76" s="3">
        <f>IF($A76="","",IFERROR(INDEX('CAT_ESTADOS_ERP'!$B$4:$B$7,MATCH(IFERROR(INDEX('2_IMPORTAR_EJECUCION'!$C$9:$C$1208,MATCH($AQ76,'2_IMPORTAR_EJECUCION'!$J$9:$J$1208,0)),""),'CAT_ESTADOS_ERP'!$A$4:$A$7,0)),"Pendiente"))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J76="","",IFERROR(INDEX('CALENDARIO'!$C$15:$C$214,MATCH(TEXT($J76,"yyyy-mm-dd")&amp;"|"&amp;$V76&amp;"|"&amp;$W76,'CALENDARIO'!$G$15:$G$214,0)),IFERROR(INDEX('CALENDARIO'!$C$15:$C$214,MATCH(TEXT($J76,"yyyy-mm-dd")&amp;"|"&amp;$V76&amp;"|",'CALENDARIO'!$G$15:$G$214,0)),IFERROR(INDEX('CALENDARIO'!$C$15:$C$214,MATCH(TEXT($J76,"yyyy-mm-dd")&amp;"||",'CALENDARIO'!$G$15:$G$214,0)),INDEX(patronHabil,WEEKDAY($J76,2))))))</f>
        <v/>
      </c>
      <c r="T76" s="3">
        <f>IF($I76="","",IFERROR(INDEX('CAT_TIPOS_OT'!$C$4:$C$7,MATCH($I76,'CAT_TIPOS_OT'!$A$4:$A$7,0)),"sin_clasificar"))</f>
        <v/>
      </c>
      <c r="U76" s="3">
        <f>IF($F76="","",IFERROR(INDEX('CAT_CENTROS_COSTO'!$F$4:$F$13,MATCH($F76,'CAT_CENTROS_COSTO'!$A$4:$A$13,0)),"(sin catálogo)"))</f>
        <v/>
      </c>
      <c r="V76" s="3">
        <f>IF($F76="","",IFERROR(INDEX('CAT_CENTROS_COSTO'!$D$4:$D$13,MATCH($F76,'CAT_CENTROS_COSTO'!$A$4:$A$13,0)),"(sin catálogo)"))</f>
        <v/>
      </c>
      <c r="W76" s="3">
        <f>IF($F76="","",IF((IFERROR(INDEX('CAT_CENTROS_COSTO'!$E$4:$E$13,MATCH($F76,'CAT_CENTROS_COSTO'!$A$4:$A$13,0)),""))&lt;&gt;"",IFERROR(INDEX('CAT_CENTROS_COSTO'!$E$4:$E$13,MATCH($F76,'CAT_CENTROS_COSTO'!$A$4:$A$13,0)),""),$V76))</f>
        <v/>
      </c>
      <c r="X76" s="3">
        <f>IF($F76="","",IFERROR(INDEX('CAT_CENTROS_COSTO'!$G$4:$G$13,MATCH($F76,'CAT_CENTROS_COSTO'!$A$4:$A$13,0)),"(sin catálogo)"))</f>
        <v/>
      </c>
      <c r="Y76" s="3">
        <f>IF($G76="","",IFERROR(INDEX('CAT_PUESTOS'!$B$4:$B$8,MATCH($G76,'CAT_PUESTOS'!$A$4:$A$8,0)),"(sin catálogo)"))</f>
        <v/>
      </c>
      <c r="Z76" s="3">
        <f>IF($H76="","",IFERROR(INDEX('CAT_ACTIVIDADES'!$B$4:$B$8,MATCH($H76,'CAT_ACTIVIDADES'!$A$4:$A$8,0)),"(sin catálogo)"))</f>
        <v/>
      </c>
      <c r="AA76" s="12">
        <f>IF($J76="","",TODAY()-$J76)</f>
        <v/>
      </c>
      <c r="AB76" s="12">
        <f>IF($J76="","",IF($J76&lt;=TODAY(),COUNTIFS(cal_fechas,"&gt;="&amp;$J76,cal_fechas,"&lt;"&amp;TODAY(),cal_habil,"sí"),-COUNTIFS(cal_fechas,"&gt;="&amp;TODAY(),cal_fechas,"&lt;"&amp;$J76,cal_habil,"sí")))</f>
        <v/>
      </c>
      <c r="AC76" s="3">
        <f>IF($AB76="","",IF($AB76&lt;0,"FUTURO",IF($AB76&gt;p_dias_backlog_max,"BACKLOG","MES CORRIENTE")))</f>
        <v/>
      </c>
      <c r="AD76" s="3">
        <f>IF($AB76="",FALSE,AND($AB76&gt;p_dias_backlog_min,$AB76&lt;=p_dias_backlog_max))</f>
        <v/>
      </c>
      <c r="AE76" s="6" t="inlineStr">
        <is>
          <t>Técnico 05</t>
        </is>
      </c>
      <c r="AF76" s="3">
        <f>IF($AE76="","",IF((IFERROR(INDEX('ASIGNACIONES'!$F$4:$F$339,MATCH($O76&amp;"|"&amp;$R76&amp;"|"&amp;$AE76,'ASIGNACIONES'!$J$4:$J$339,0)),""))=0,"",IFERROR(INDEX('ASIGNACIONES'!$F$4:$F$339,MATCH($O76&amp;"|"&amp;$R76&amp;"|"&amp;$AE76,'ASIGNACIONES'!$J$4:$J$339,0)),"")))</f>
        <v/>
      </c>
      <c r="AG76" s="13">
        <f>IF($AE76="","",SUMIFS('ORDENES'!$M$4:$M$1203,'ORDENES'!$AE$4:$AE$1203,$AE76,'ORDENES'!$O$4:$O$1203,$O76,'ORDENES'!$R$4:$R$1203,$R76))</f>
        <v/>
      </c>
      <c r="AH76" s="13">
        <f>IF($AG76="","",p_factor_productividad*IFERROR(INDEX('ASIGNACIONES'!$I$4:$I$339,MATCH($O76&amp;"|"&amp;$R76&amp;"|"&amp;$AE76,'ASIGNACIONES'!$J$4:$J$339,0)),0)-$AG76)</f>
        <v/>
      </c>
      <c r="AI76" s="10">
        <f>IF($A76="","",IFERROR(INDEX('2_IMPORTAR_EJECUCION'!$F$9:$F$1208,MATCH($AQ76,'2_IMPORTAR_EJECUCION'!$J$9:$J$1208,0)),0))</f>
        <v/>
      </c>
      <c r="AJ76" s="10">
        <f>IF($A76="","",MAX(0,IFERROR(INDEX('2_IMPORTAR_EJECUCION'!$H$9:$H$1208,MATCH($AQ76,'2_IMPORTAR_EJECUCION'!$J$9:$J$1208,0)),0)-$AI76))</f>
        <v/>
      </c>
      <c r="AK76" s="10">
        <f>IF($A76="","",$AI76+$AJ76)</f>
        <v/>
      </c>
      <c r="AL76" s="6" t="inlineStr"/>
      <c r="AM76" s="6" t="inlineStr"/>
      <c r="AN76" s="6" t="inlineStr">
        <is>
          <t>ACT-02.pdf</t>
        </is>
      </c>
      <c r="AO76" s="3">
        <f>IF($AN76="","",HYPERLINK(p_ruta_base_checklists&amp;$AN76,"abrir"))</f>
        <v/>
      </c>
      <c r="AP76" s="6" t="inlineStr"/>
      <c r="AQ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IF($A77="","",IFERROR(INDEX('AJUSTES'!$B$4:$B$303,MATCH($AQ77,'AJUSTES'!$A$4:$A$303,0)),IF($K77="","",$K77)))</f>
        <v/>
      </c>
      <c r="N77" s="3">
        <f>IF($A77="","",IFERROR(INDEX('CAT_ESTADOS_ERP'!$B$4:$B$7,MATCH(IFERROR(INDEX('2_IMPORTAR_EJECUCION'!$C$9:$C$1208,MATCH($AQ77,'2_IMPORTAR_EJECUCION'!$J$9:$J$1208,0)),""),'CAT_ESTADOS_ERP'!$A$4:$A$7,0)),"Pendiente"))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J77="","",IFERROR(INDEX('CALENDARIO'!$C$15:$C$214,MATCH(TEXT($J77,"yyyy-mm-dd")&amp;"|"&amp;$V77&amp;"|"&amp;$W77,'CALENDARIO'!$G$15:$G$214,0)),IFERROR(INDEX('CALENDARIO'!$C$15:$C$214,MATCH(TEXT($J77,"yyyy-mm-dd")&amp;"|"&amp;$V77&amp;"|",'CALENDARIO'!$G$15:$G$214,0)),IFERROR(INDEX('CALENDARIO'!$C$15:$C$214,MATCH(TEXT($J77,"yyyy-mm-dd")&amp;"||",'CALENDARIO'!$G$15:$G$214,0)),INDEX(patronHabil,WEEKDAY($J77,2))))))</f>
        <v/>
      </c>
      <c r="T77" s="3">
        <f>IF($I77="","",IFERROR(INDEX('CAT_TIPOS_OT'!$C$4:$C$7,MATCH($I77,'CAT_TIPOS_OT'!$A$4:$A$7,0)),"sin_clasificar"))</f>
        <v/>
      </c>
      <c r="U77" s="3">
        <f>IF($F77="","",IFERROR(INDEX('CAT_CENTROS_COSTO'!$F$4:$F$13,MATCH($F77,'CAT_CENTROS_COSTO'!$A$4:$A$13,0)),"(sin catálogo)"))</f>
        <v/>
      </c>
      <c r="V77" s="3">
        <f>IF($F77="","",IFERROR(INDEX('CAT_CENTROS_COSTO'!$D$4:$D$13,MATCH($F77,'CAT_CENTROS_COSTO'!$A$4:$A$13,0)),"(sin catálogo)"))</f>
        <v/>
      </c>
      <c r="W77" s="3">
        <f>IF($F77="","",IF((IFERROR(INDEX('CAT_CENTROS_COSTO'!$E$4:$E$13,MATCH($F77,'CAT_CENTROS_COSTO'!$A$4:$A$13,0)),""))&lt;&gt;"",IFERROR(INDEX('CAT_CENTROS_COSTO'!$E$4:$E$13,MATCH($F77,'CAT_CENTROS_COSTO'!$A$4:$A$13,0)),""),$V77))</f>
        <v/>
      </c>
      <c r="X77" s="3">
        <f>IF($F77="","",IFERROR(INDEX('CAT_CENTROS_COSTO'!$G$4:$G$13,MATCH($F77,'CAT_CENTROS_COSTO'!$A$4:$A$13,0)),"(sin catálogo)"))</f>
        <v/>
      </c>
      <c r="Y77" s="3">
        <f>IF($G77="","",IFERROR(INDEX('CAT_PUESTOS'!$B$4:$B$8,MATCH($G77,'CAT_PUESTOS'!$A$4:$A$8,0)),"(sin catálogo)"))</f>
        <v/>
      </c>
      <c r="Z77" s="3">
        <f>IF($H77="","",IFERROR(INDEX('CAT_ACTIVIDADES'!$B$4:$B$8,MATCH($H77,'CAT_ACTIVIDADES'!$A$4:$A$8,0)),"(sin catálogo)"))</f>
        <v/>
      </c>
      <c r="AA77" s="12">
        <f>IF($J77="","",TODAY()-$J77)</f>
        <v/>
      </c>
      <c r="AB77" s="12">
        <f>IF($J77="","",IF($J77&lt;=TODAY(),COUNTIFS(cal_fechas,"&gt;="&amp;$J77,cal_fechas,"&lt;"&amp;TODAY(),cal_habil,"sí"),-COUNTIFS(cal_fechas,"&gt;="&amp;TODAY(),cal_fechas,"&lt;"&amp;$J77,cal_habil,"sí")))</f>
        <v/>
      </c>
      <c r="AC77" s="3">
        <f>IF($AB77="","",IF($AB77&lt;0,"FUTURO",IF($AB77&gt;p_dias_backlog_max,"BACKLOG","MES CORRIENTE")))</f>
        <v/>
      </c>
      <c r="AD77" s="3">
        <f>IF($AB77="",FALSE,AND($AB77&gt;p_dias_backlog_min,$AB77&lt;=p_dias_backlog_max))</f>
        <v/>
      </c>
      <c r="AE77" s="6" t="inlineStr">
        <is>
          <t>Técnico 06</t>
        </is>
      </c>
      <c r="AF77" s="3">
        <f>IF($AE77="","",IF((IFERROR(INDEX('ASIGNACIONES'!$F$4:$F$339,MATCH($O77&amp;"|"&amp;$R77&amp;"|"&amp;$AE77,'ASIGNACIONES'!$J$4:$J$339,0)),""))=0,"",IFERROR(INDEX('ASIGNACIONES'!$F$4:$F$339,MATCH($O77&amp;"|"&amp;$R77&amp;"|"&amp;$AE77,'ASIGNACIONES'!$J$4:$J$339,0)),"")))</f>
        <v/>
      </c>
      <c r="AG77" s="13">
        <f>IF($AE77="","",SUMIFS('ORDENES'!$M$4:$M$1203,'ORDENES'!$AE$4:$AE$1203,$AE77,'ORDENES'!$O$4:$O$1203,$O77,'ORDENES'!$R$4:$R$1203,$R77))</f>
        <v/>
      </c>
      <c r="AH77" s="13">
        <f>IF($AG77="","",p_factor_productividad*IFERROR(INDEX('ASIGNACIONES'!$I$4:$I$339,MATCH($O77&amp;"|"&amp;$R77&amp;"|"&amp;$AE77,'ASIGNACIONES'!$J$4:$J$339,0)),0)-$AG77)</f>
        <v/>
      </c>
      <c r="AI77" s="10">
        <f>IF($A77="","",IFERROR(INDEX('2_IMPORTAR_EJECUCION'!$F$9:$F$1208,MATCH($AQ77,'2_IMPORTAR_EJECUCION'!$J$9:$J$1208,0)),0))</f>
        <v/>
      </c>
      <c r="AJ77" s="10">
        <f>IF($A77="","",MAX(0,IFERROR(INDEX('2_IMPORTAR_EJECUCION'!$H$9:$H$1208,MATCH($AQ77,'2_IMPORTAR_EJECUCION'!$J$9:$J$1208,0)),0)-$AI77))</f>
        <v/>
      </c>
      <c r="AK77" s="10">
        <f>IF($A77="","",$AI77+$AJ77)</f>
        <v/>
      </c>
      <c r="AL77" s="6" t="inlineStr"/>
      <c r="AM77" s="6" t="inlineStr"/>
      <c r="AN77" s="6" t="inlineStr">
        <is>
          <t>ACT-04.pdf</t>
        </is>
      </c>
      <c r="AO77" s="3">
        <f>IF($AN77="","",HYPERLINK(p_ruta_base_checklists&amp;$AN77,"abrir"))</f>
        <v/>
      </c>
      <c r="AP77" s="6" t="inlineStr"/>
      <c r="AQ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IF($A78="","",IFERROR(INDEX('AJUSTES'!$B$4:$B$303,MATCH($AQ78,'AJUSTES'!$A$4:$A$303,0)),IF($K78="","",$K78)))</f>
        <v/>
      </c>
      <c r="N78" s="3">
        <f>IF($A78="","",IFERROR(INDEX('CAT_ESTADOS_ERP'!$B$4:$B$7,MATCH(IFERROR(INDEX('2_IMPORTAR_EJECUCION'!$C$9:$C$1208,MATCH($AQ78,'2_IMPORTAR_EJECUCION'!$J$9:$J$1208,0)),""),'CAT_ESTADOS_ERP'!$A$4:$A$7,0)),"Pendiente"))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J78="","",IFERROR(INDEX('CALENDARIO'!$C$15:$C$214,MATCH(TEXT($J78,"yyyy-mm-dd")&amp;"|"&amp;$V78&amp;"|"&amp;$W78,'CALENDARIO'!$G$15:$G$214,0)),IFERROR(INDEX('CALENDARIO'!$C$15:$C$214,MATCH(TEXT($J78,"yyyy-mm-dd")&amp;"|"&amp;$V78&amp;"|",'CALENDARIO'!$G$15:$G$214,0)),IFERROR(INDEX('CALENDARIO'!$C$15:$C$214,MATCH(TEXT($J78,"yyyy-mm-dd")&amp;"||",'CALENDARIO'!$G$15:$G$214,0)),INDEX(patronHabil,WEEKDAY($J78,2))))))</f>
        <v/>
      </c>
      <c r="T78" s="3">
        <f>IF($I78="","",IFERROR(INDEX('CAT_TIPOS_OT'!$C$4:$C$7,MATCH($I78,'CAT_TIPOS_OT'!$A$4:$A$7,0)),"sin_clasificar"))</f>
        <v/>
      </c>
      <c r="U78" s="3">
        <f>IF($F78="","",IFERROR(INDEX('CAT_CENTROS_COSTO'!$F$4:$F$13,MATCH($F78,'CAT_CENTROS_COSTO'!$A$4:$A$13,0)),"(sin catálogo)"))</f>
        <v/>
      </c>
      <c r="V78" s="3">
        <f>IF($F78="","",IFERROR(INDEX('CAT_CENTROS_COSTO'!$D$4:$D$13,MATCH($F78,'CAT_CENTROS_COSTO'!$A$4:$A$13,0)),"(sin catálogo)"))</f>
        <v/>
      </c>
      <c r="W78" s="3">
        <f>IF($F78="","",IF((IFERROR(INDEX('CAT_CENTROS_COSTO'!$E$4:$E$13,MATCH($F78,'CAT_CENTROS_COSTO'!$A$4:$A$13,0)),""))&lt;&gt;"",IFERROR(INDEX('CAT_CENTROS_COSTO'!$E$4:$E$13,MATCH($F78,'CAT_CENTROS_COSTO'!$A$4:$A$13,0)),""),$V78))</f>
        <v/>
      </c>
      <c r="X78" s="3">
        <f>IF($F78="","",IFERROR(INDEX('CAT_CENTROS_COSTO'!$G$4:$G$13,MATCH($F78,'CAT_CENTROS_COSTO'!$A$4:$A$13,0)),"(sin catálogo)"))</f>
        <v/>
      </c>
      <c r="Y78" s="3">
        <f>IF($G78="","",IFERROR(INDEX('CAT_PUESTOS'!$B$4:$B$8,MATCH($G78,'CAT_PUESTOS'!$A$4:$A$8,0)),"(sin catálogo)"))</f>
        <v/>
      </c>
      <c r="Z78" s="3">
        <f>IF($H78="","",IFERROR(INDEX('CAT_ACTIVIDADES'!$B$4:$B$8,MATCH($H78,'CAT_ACTIVIDADES'!$A$4:$A$8,0)),"(sin catálogo)"))</f>
        <v/>
      </c>
      <c r="AA78" s="12">
        <f>IF($J78="","",TODAY()-$J78)</f>
        <v/>
      </c>
      <c r="AB78" s="12">
        <f>IF($J78="","",IF($J78&lt;=TODAY(),COUNTIFS(cal_fechas,"&gt;="&amp;$J78,cal_fechas,"&lt;"&amp;TODAY(),cal_habil,"sí"),-COUNTIFS(cal_fechas,"&gt;="&amp;TODAY(),cal_fechas,"&lt;"&amp;$J78,cal_habil,"sí")))</f>
        <v/>
      </c>
      <c r="AC78" s="3">
        <f>IF($AB78="","",IF($AB78&lt;0,"FUTURO",IF($AB78&gt;p_dias_backlog_max,"BACKLOG","MES CORRIENTE")))</f>
        <v/>
      </c>
      <c r="AD78" s="3">
        <f>IF($AB78="",FALSE,AND($AB78&gt;p_dias_backlog_min,$AB78&lt;=p_dias_backlog_max))</f>
        <v/>
      </c>
      <c r="AE78" s="6" t="inlineStr">
        <is>
          <t>Técnico 07</t>
        </is>
      </c>
      <c r="AF78" s="3">
        <f>IF($AE78="","",IF((IFERROR(INDEX('ASIGNACIONES'!$F$4:$F$339,MATCH($O78&amp;"|"&amp;$R78&amp;"|"&amp;$AE78,'ASIGNACIONES'!$J$4:$J$339,0)),""))=0,"",IFERROR(INDEX('ASIGNACIONES'!$F$4:$F$339,MATCH($O78&amp;"|"&amp;$R78&amp;"|"&amp;$AE78,'ASIGNACIONES'!$J$4:$J$339,0)),"")))</f>
        <v/>
      </c>
      <c r="AG78" s="13">
        <f>IF($AE78="","",SUMIFS('ORDENES'!$M$4:$M$1203,'ORDENES'!$AE$4:$AE$1203,$AE78,'ORDENES'!$O$4:$O$1203,$O78,'ORDENES'!$R$4:$R$1203,$R78))</f>
        <v/>
      </c>
      <c r="AH78" s="13">
        <f>IF($AG78="","",p_factor_productividad*IFERROR(INDEX('ASIGNACIONES'!$I$4:$I$339,MATCH($O78&amp;"|"&amp;$R78&amp;"|"&amp;$AE78,'ASIGNACIONES'!$J$4:$J$339,0)),0)-$AG78)</f>
        <v/>
      </c>
      <c r="AI78" s="10">
        <f>IF($A78="","",IFERROR(INDEX('2_IMPORTAR_EJECUCION'!$F$9:$F$1208,MATCH($AQ78,'2_IMPORTAR_EJECUCION'!$J$9:$J$1208,0)),0))</f>
        <v/>
      </c>
      <c r="AJ78" s="10">
        <f>IF($A78="","",MAX(0,IFERROR(INDEX('2_IMPORTAR_EJECUCION'!$H$9:$H$1208,MATCH($AQ78,'2_IMPORTAR_EJECUCION'!$J$9:$J$1208,0)),0)-$AI78))</f>
        <v/>
      </c>
      <c r="AK78" s="10">
        <f>IF($A78="","",$AI78+$AJ78)</f>
        <v/>
      </c>
      <c r="AL78" s="6" t="inlineStr"/>
      <c r="AM78" s="6" t="inlineStr"/>
      <c r="AN78" s="6" t="inlineStr">
        <is>
          <t>ACT-01.pdf</t>
        </is>
      </c>
      <c r="AO78" s="3">
        <f>IF($AN78="","",HYPERLINK(p_ruta_base_checklists&amp;$AN78,"abrir"))</f>
        <v/>
      </c>
      <c r="AP78" s="6" t="inlineStr"/>
      <c r="AQ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IF($A79="","",IFERROR(INDEX('AJUSTES'!$B$4:$B$303,MATCH($AQ79,'AJUSTES'!$A$4:$A$303,0)),IF($K79="","",$K79)))</f>
        <v/>
      </c>
      <c r="N79" s="3">
        <f>IF($A79="","",IFERROR(INDEX('CAT_ESTADOS_ERP'!$B$4:$B$7,MATCH(IFERROR(INDEX('2_IMPORTAR_EJECUCION'!$C$9:$C$1208,MATCH($AQ79,'2_IMPORTAR_EJECUCION'!$J$9:$J$1208,0)),""),'CAT_ESTADOS_ERP'!$A$4:$A$7,0)),"Pendiente"))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J79="","",IFERROR(INDEX('CALENDARIO'!$C$15:$C$214,MATCH(TEXT($J79,"yyyy-mm-dd")&amp;"|"&amp;$V79&amp;"|"&amp;$W79,'CALENDARIO'!$G$15:$G$214,0)),IFERROR(INDEX('CALENDARIO'!$C$15:$C$214,MATCH(TEXT($J79,"yyyy-mm-dd")&amp;"|"&amp;$V79&amp;"|",'CALENDARIO'!$G$15:$G$214,0)),IFERROR(INDEX('CALENDARIO'!$C$15:$C$214,MATCH(TEXT($J79,"yyyy-mm-dd")&amp;"||",'CALENDARIO'!$G$15:$G$214,0)),INDEX(patronHabil,WEEKDAY($J79,2))))))</f>
        <v/>
      </c>
      <c r="T79" s="3">
        <f>IF($I79="","",IFERROR(INDEX('CAT_TIPOS_OT'!$C$4:$C$7,MATCH($I79,'CAT_TIPOS_OT'!$A$4:$A$7,0)),"sin_clasificar"))</f>
        <v/>
      </c>
      <c r="U79" s="3">
        <f>IF($F79="","",IFERROR(INDEX('CAT_CENTROS_COSTO'!$F$4:$F$13,MATCH($F79,'CAT_CENTROS_COSTO'!$A$4:$A$13,0)),"(sin catálogo)"))</f>
        <v/>
      </c>
      <c r="V79" s="3">
        <f>IF($F79="","",IFERROR(INDEX('CAT_CENTROS_COSTO'!$D$4:$D$13,MATCH($F79,'CAT_CENTROS_COSTO'!$A$4:$A$13,0)),"(sin catálogo)"))</f>
        <v/>
      </c>
      <c r="W79" s="3">
        <f>IF($F79="","",IF((IFERROR(INDEX('CAT_CENTROS_COSTO'!$E$4:$E$13,MATCH($F79,'CAT_CENTROS_COSTO'!$A$4:$A$13,0)),""))&lt;&gt;"",IFERROR(INDEX('CAT_CENTROS_COSTO'!$E$4:$E$13,MATCH($F79,'CAT_CENTROS_COSTO'!$A$4:$A$13,0)),""),$V79))</f>
        <v/>
      </c>
      <c r="X79" s="3">
        <f>IF($F79="","",IFERROR(INDEX('CAT_CENTROS_COSTO'!$G$4:$G$13,MATCH($F79,'CAT_CENTROS_COSTO'!$A$4:$A$13,0)),"(sin catálogo)"))</f>
        <v/>
      </c>
      <c r="Y79" s="3">
        <f>IF($G79="","",IFERROR(INDEX('CAT_PUESTOS'!$B$4:$B$8,MATCH($G79,'CAT_PUESTOS'!$A$4:$A$8,0)),"(sin catálogo)"))</f>
        <v/>
      </c>
      <c r="Z79" s="3">
        <f>IF($H79="","",IFERROR(INDEX('CAT_ACTIVIDADES'!$B$4:$B$8,MATCH($H79,'CAT_ACTIVIDADES'!$A$4:$A$8,0)),"(sin catálogo)"))</f>
        <v/>
      </c>
      <c r="AA79" s="12">
        <f>IF($J79="","",TODAY()-$J79)</f>
        <v/>
      </c>
      <c r="AB79" s="12">
        <f>IF($J79="","",IF($J79&lt;=TODAY(),COUNTIFS(cal_fechas,"&gt;="&amp;$J79,cal_fechas,"&lt;"&amp;TODAY(),cal_habil,"sí"),-COUNTIFS(cal_fechas,"&gt;="&amp;TODAY(),cal_fechas,"&lt;"&amp;$J79,cal_habil,"sí")))</f>
        <v/>
      </c>
      <c r="AC79" s="3">
        <f>IF($AB79="","",IF($AB79&lt;0,"FUTURO",IF($AB79&gt;p_dias_backlog_max,"BACKLOG","MES CORRIENTE")))</f>
        <v/>
      </c>
      <c r="AD79" s="3">
        <f>IF($AB79="",FALSE,AND($AB79&gt;p_dias_backlog_min,$AB79&lt;=p_dias_backlog_max))</f>
        <v/>
      </c>
      <c r="AE79" s="6" t="inlineStr">
        <is>
          <t>Técnico 05</t>
        </is>
      </c>
      <c r="AF79" s="3">
        <f>IF($AE79="","",IF((IFERROR(INDEX('ASIGNACIONES'!$F$4:$F$339,MATCH($O79&amp;"|"&amp;$R79&amp;"|"&amp;$AE79,'ASIGNACIONES'!$J$4:$J$339,0)),""))=0,"",IFERROR(INDEX('ASIGNACIONES'!$F$4:$F$339,MATCH($O79&amp;"|"&amp;$R79&amp;"|"&amp;$AE79,'ASIGNACIONES'!$J$4:$J$339,0)),"")))</f>
        <v/>
      </c>
      <c r="AG79" s="13">
        <f>IF($AE79="","",SUMIFS('ORDENES'!$M$4:$M$1203,'ORDENES'!$AE$4:$AE$1203,$AE79,'ORDENES'!$O$4:$O$1203,$O79,'ORDENES'!$R$4:$R$1203,$R79))</f>
        <v/>
      </c>
      <c r="AH79" s="13">
        <f>IF($AG79="","",p_factor_productividad*IFERROR(INDEX('ASIGNACIONES'!$I$4:$I$339,MATCH($O79&amp;"|"&amp;$R79&amp;"|"&amp;$AE79,'ASIGNACIONES'!$J$4:$J$339,0)),0)-$AG79)</f>
        <v/>
      </c>
      <c r="AI79" s="10">
        <f>IF($A79="","",IFERROR(INDEX('2_IMPORTAR_EJECUCION'!$F$9:$F$1208,MATCH($AQ79,'2_IMPORTAR_EJECUCION'!$J$9:$J$1208,0)),0))</f>
        <v/>
      </c>
      <c r="AJ79" s="10">
        <f>IF($A79="","",MAX(0,IFERROR(INDEX('2_IMPORTAR_EJECUCION'!$H$9:$H$1208,MATCH($AQ79,'2_IMPORTAR_EJECUCION'!$J$9:$J$1208,0)),0)-$AI79))</f>
        <v/>
      </c>
      <c r="AK79" s="10">
        <f>IF($A79="","",$AI79+$AJ79)</f>
        <v/>
      </c>
      <c r="AL79" s="6" t="inlineStr"/>
      <c r="AM79" s="6" t="inlineStr"/>
      <c r="AN79" s="6" t="inlineStr">
        <is>
          <t>ACT-02.pdf</t>
        </is>
      </c>
      <c r="AO79" s="3">
        <f>IF($AN79="","",HYPERLINK(p_ruta_base_checklists&amp;$AN79,"abrir"))</f>
        <v/>
      </c>
      <c r="AP79" s="6" t="inlineStr"/>
      <c r="AQ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IF($A80="","",IFERROR(INDEX('AJUSTES'!$B$4:$B$303,MATCH($AQ80,'AJUSTES'!$A$4:$A$303,0)),IF($K80="","",$K80)))</f>
        <v/>
      </c>
      <c r="N80" s="3">
        <f>IF($A80="","",IFERROR(INDEX('CAT_ESTADOS_ERP'!$B$4:$B$7,MATCH(IFERROR(INDEX('2_IMPORTAR_EJECUCION'!$C$9:$C$1208,MATCH($AQ80,'2_IMPORTAR_EJECUCION'!$J$9:$J$1208,0)),""),'CAT_ESTADOS_ERP'!$A$4:$A$7,0)),"Pendiente"))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J80="","",IFERROR(INDEX('CALENDARIO'!$C$15:$C$214,MATCH(TEXT($J80,"yyyy-mm-dd")&amp;"|"&amp;$V80&amp;"|"&amp;$W80,'CALENDARIO'!$G$15:$G$214,0)),IFERROR(INDEX('CALENDARIO'!$C$15:$C$214,MATCH(TEXT($J80,"yyyy-mm-dd")&amp;"|"&amp;$V80&amp;"|",'CALENDARIO'!$G$15:$G$214,0)),IFERROR(INDEX('CALENDARIO'!$C$15:$C$214,MATCH(TEXT($J80,"yyyy-mm-dd")&amp;"||",'CALENDARIO'!$G$15:$G$214,0)),INDEX(patronHabil,WEEKDAY($J80,2))))))</f>
        <v/>
      </c>
      <c r="T80" s="3">
        <f>IF($I80="","",IFERROR(INDEX('CAT_TIPOS_OT'!$C$4:$C$7,MATCH($I80,'CAT_TIPOS_OT'!$A$4:$A$7,0)),"sin_clasificar"))</f>
        <v/>
      </c>
      <c r="U80" s="3">
        <f>IF($F80="","",IFERROR(INDEX('CAT_CENTROS_COSTO'!$F$4:$F$13,MATCH($F80,'CAT_CENTROS_COSTO'!$A$4:$A$13,0)),"(sin catálogo)"))</f>
        <v/>
      </c>
      <c r="V80" s="3">
        <f>IF($F80="","",IFERROR(INDEX('CAT_CENTROS_COSTO'!$D$4:$D$13,MATCH($F80,'CAT_CENTROS_COSTO'!$A$4:$A$13,0)),"(sin catálogo)"))</f>
        <v/>
      </c>
      <c r="W80" s="3">
        <f>IF($F80="","",IF((IFERROR(INDEX('CAT_CENTROS_COSTO'!$E$4:$E$13,MATCH($F80,'CAT_CENTROS_COSTO'!$A$4:$A$13,0)),""))&lt;&gt;"",IFERROR(INDEX('CAT_CENTROS_COSTO'!$E$4:$E$13,MATCH($F80,'CAT_CENTROS_COSTO'!$A$4:$A$13,0)),""),$V80))</f>
        <v/>
      </c>
      <c r="X80" s="3">
        <f>IF($F80="","",IFERROR(INDEX('CAT_CENTROS_COSTO'!$G$4:$G$13,MATCH($F80,'CAT_CENTROS_COSTO'!$A$4:$A$13,0)),"(sin catálogo)"))</f>
        <v/>
      </c>
      <c r="Y80" s="3">
        <f>IF($G80="","",IFERROR(INDEX('CAT_PUESTOS'!$B$4:$B$8,MATCH($G80,'CAT_PUESTOS'!$A$4:$A$8,0)),"(sin catálogo)"))</f>
        <v/>
      </c>
      <c r="Z80" s="3">
        <f>IF($H80="","",IFERROR(INDEX('CAT_ACTIVIDADES'!$B$4:$B$8,MATCH($H80,'CAT_ACTIVIDADES'!$A$4:$A$8,0)),"(sin catálogo)"))</f>
        <v/>
      </c>
      <c r="AA80" s="12">
        <f>IF($J80="","",TODAY()-$J80)</f>
        <v/>
      </c>
      <c r="AB80" s="12">
        <f>IF($J80="","",IF($J80&lt;=TODAY(),COUNTIFS(cal_fechas,"&gt;="&amp;$J80,cal_fechas,"&lt;"&amp;TODAY(),cal_habil,"sí"),-COUNTIFS(cal_fechas,"&gt;="&amp;TODAY(),cal_fechas,"&lt;"&amp;$J80,cal_habil,"sí")))</f>
        <v/>
      </c>
      <c r="AC80" s="3">
        <f>IF($AB80="","",IF($AB80&lt;0,"FUTURO",IF($AB80&gt;p_dias_backlog_max,"BACKLOG","MES CORRIENTE")))</f>
        <v/>
      </c>
      <c r="AD80" s="3">
        <f>IF($AB80="",FALSE,AND($AB80&gt;p_dias_backlog_min,$AB80&lt;=p_dias_backlog_max))</f>
        <v/>
      </c>
      <c r="AE80" s="6" t="inlineStr">
        <is>
          <t>Técnico 06</t>
        </is>
      </c>
      <c r="AF80" s="3">
        <f>IF($AE80="","",IF((IFERROR(INDEX('ASIGNACIONES'!$F$4:$F$339,MATCH($O80&amp;"|"&amp;$R80&amp;"|"&amp;$AE80,'ASIGNACIONES'!$J$4:$J$339,0)),""))=0,"",IFERROR(INDEX('ASIGNACIONES'!$F$4:$F$339,MATCH($O80&amp;"|"&amp;$R80&amp;"|"&amp;$AE80,'ASIGNACIONES'!$J$4:$J$339,0)),"")))</f>
        <v/>
      </c>
      <c r="AG80" s="13">
        <f>IF($AE80="","",SUMIFS('ORDENES'!$M$4:$M$1203,'ORDENES'!$AE$4:$AE$1203,$AE80,'ORDENES'!$O$4:$O$1203,$O80,'ORDENES'!$R$4:$R$1203,$R80))</f>
        <v/>
      </c>
      <c r="AH80" s="13">
        <f>IF($AG80="","",p_factor_productividad*IFERROR(INDEX('ASIGNACIONES'!$I$4:$I$339,MATCH($O80&amp;"|"&amp;$R80&amp;"|"&amp;$AE80,'ASIGNACIONES'!$J$4:$J$339,0)),0)-$AG80)</f>
        <v/>
      </c>
      <c r="AI80" s="10">
        <f>IF($A80="","",IFERROR(INDEX('2_IMPORTAR_EJECUCION'!$F$9:$F$1208,MATCH($AQ80,'2_IMPORTAR_EJECUCION'!$J$9:$J$1208,0)),0))</f>
        <v/>
      </c>
      <c r="AJ80" s="10">
        <f>IF($A80="","",MAX(0,IFERROR(INDEX('2_IMPORTAR_EJECUCION'!$H$9:$H$1208,MATCH($AQ80,'2_IMPORTAR_EJECUCION'!$J$9:$J$1208,0)),0)-$AI80))</f>
        <v/>
      </c>
      <c r="AK80" s="10">
        <f>IF($A80="","",$AI80+$AJ80)</f>
        <v/>
      </c>
      <c r="AL80" s="6" t="inlineStr"/>
      <c r="AM80" s="6" t="inlineStr"/>
      <c r="AN80" s="6" t="inlineStr"/>
      <c r="AO80" s="3">
        <f>IF($AN80="","",HYPERLINK(p_ruta_base_checklists&amp;$AN80,"abrir"))</f>
        <v/>
      </c>
      <c r="AP80" s="6" t="inlineStr"/>
      <c r="AQ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IF($A81="","",IFERROR(INDEX('AJUSTES'!$B$4:$B$303,MATCH($AQ81,'AJUSTES'!$A$4:$A$303,0)),IF($K81="","",$K81)))</f>
        <v/>
      </c>
      <c r="N81" s="3">
        <f>IF($A81="","",IFERROR(INDEX('CAT_ESTADOS_ERP'!$B$4:$B$7,MATCH(IFERROR(INDEX('2_IMPORTAR_EJECUCION'!$C$9:$C$1208,MATCH($AQ81,'2_IMPORTAR_EJECUCION'!$J$9:$J$1208,0)),""),'CAT_ESTADOS_ERP'!$A$4:$A$7,0)),"Pendiente"))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J81="","",IFERROR(INDEX('CALENDARIO'!$C$15:$C$214,MATCH(TEXT($J81,"yyyy-mm-dd")&amp;"|"&amp;$V81&amp;"|"&amp;$W81,'CALENDARIO'!$G$15:$G$214,0)),IFERROR(INDEX('CALENDARIO'!$C$15:$C$214,MATCH(TEXT($J81,"yyyy-mm-dd")&amp;"|"&amp;$V81&amp;"|",'CALENDARIO'!$G$15:$G$214,0)),IFERROR(INDEX('CALENDARIO'!$C$15:$C$214,MATCH(TEXT($J81,"yyyy-mm-dd")&amp;"||",'CALENDARIO'!$G$15:$G$214,0)),INDEX(patronHabil,WEEKDAY($J81,2))))))</f>
        <v/>
      </c>
      <c r="T81" s="3">
        <f>IF($I81="","",IFERROR(INDEX('CAT_TIPOS_OT'!$C$4:$C$7,MATCH($I81,'CAT_TIPOS_OT'!$A$4:$A$7,0)),"sin_clasificar"))</f>
        <v/>
      </c>
      <c r="U81" s="3">
        <f>IF($F81="","",IFERROR(INDEX('CAT_CENTROS_COSTO'!$F$4:$F$13,MATCH($F81,'CAT_CENTROS_COSTO'!$A$4:$A$13,0)),"(sin catálogo)"))</f>
        <v/>
      </c>
      <c r="V81" s="3">
        <f>IF($F81="","",IFERROR(INDEX('CAT_CENTROS_COSTO'!$D$4:$D$13,MATCH($F81,'CAT_CENTROS_COSTO'!$A$4:$A$13,0)),"(sin catálogo)"))</f>
        <v/>
      </c>
      <c r="W81" s="3">
        <f>IF($F81="","",IF((IFERROR(INDEX('CAT_CENTROS_COSTO'!$E$4:$E$13,MATCH($F81,'CAT_CENTROS_COSTO'!$A$4:$A$13,0)),""))&lt;&gt;"",IFERROR(INDEX('CAT_CENTROS_COSTO'!$E$4:$E$13,MATCH($F81,'CAT_CENTROS_COSTO'!$A$4:$A$13,0)),""),$V81))</f>
        <v/>
      </c>
      <c r="X81" s="3">
        <f>IF($F81="","",IFERROR(INDEX('CAT_CENTROS_COSTO'!$G$4:$G$13,MATCH($F81,'CAT_CENTROS_COSTO'!$A$4:$A$13,0)),"(sin catálogo)"))</f>
        <v/>
      </c>
      <c r="Y81" s="3">
        <f>IF($G81="","",IFERROR(INDEX('CAT_PUESTOS'!$B$4:$B$8,MATCH($G81,'CAT_PUESTOS'!$A$4:$A$8,0)),"(sin catálogo)"))</f>
        <v/>
      </c>
      <c r="Z81" s="3">
        <f>IF($H81="","",IFERROR(INDEX('CAT_ACTIVIDADES'!$B$4:$B$8,MATCH($H81,'CAT_ACTIVIDADES'!$A$4:$A$8,0)),"(sin catálogo)"))</f>
        <v/>
      </c>
      <c r="AA81" s="12">
        <f>IF($J81="","",TODAY()-$J81)</f>
        <v/>
      </c>
      <c r="AB81" s="12">
        <f>IF($J81="","",IF($J81&lt;=TODAY(),COUNTIFS(cal_fechas,"&gt;="&amp;$J81,cal_fechas,"&lt;"&amp;TODAY(),cal_habil,"sí"),-COUNTIFS(cal_fechas,"&gt;="&amp;TODAY(),cal_fechas,"&lt;"&amp;$J81,cal_habil,"sí")))</f>
        <v/>
      </c>
      <c r="AC81" s="3">
        <f>IF($AB81="","",IF($AB81&lt;0,"FUTURO",IF($AB81&gt;p_dias_backlog_max,"BACKLOG","MES CORRIENTE")))</f>
        <v/>
      </c>
      <c r="AD81" s="3">
        <f>IF($AB81="",FALSE,AND($AB81&gt;p_dias_backlog_min,$AB81&lt;=p_dias_backlog_max))</f>
        <v/>
      </c>
      <c r="AE81" s="6" t="inlineStr">
        <is>
          <t>Técnico 07</t>
        </is>
      </c>
      <c r="AF81" s="3">
        <f>IF($AE81="","",IF((IFERROR(INDEX('ASIGNACIONES'!$F$4:$F$339,MATCH($O81&amp;"|"&amp;$R81&amp;"|"&amp;$AE81,'ASIGNACIONES'!$J$4:$J$339,0)),""))=0,"",IFERROR(INDEX('ASIGNACIONES'!$F$4:$F$339,MATCH($O81&amp;"|"&amp;$R81&amp;"|"&amp;$AE81,'ASIGNACIONES'!$J$4:$J$339,0)),"")))</f>
        <v/>
      </c>
      <c r="AG81" s="13">
        <f>IF($AE81="","",SUMIFS('ORDENES'!$M$4:$M$1203,'ORDENES'!$AE$4:$AE$1203,$AE81,'ORDENES'!$O$4:$O$1203,$O81,'ORDENES'!$R$4:$R$1203,$R81))</f>
        <v/>
      </c>
      <c r="AH81" s="13">
        <f>IF($AG81="","",p_factor_productividad*IFERROR(INDEX('ASIGNACIONES'!$I$4:$I$339,MATCH($O81&amp;"|"&amp;$R81&amp;"|"&amp;$AE81,'ASIGNACIONES'!$J$4:$J$339,0)),0)-$AG81)</f>
        <v/>
      </c>
      <c r="AI81" s="10">
        <f>IF($A81="","",IFERROR(INDEX('2_IMPORTAR_EJECUCION'!$F$9:$F$1208,MATCH($AQ81,'2_IMPORTAR_EJECUCION'!$J$9:$J$1208,0)),0))</f>
        <v/>
      </c>
      <c r="AJ81" s="10">
        <f>IF($A81="","",MAX(0,IFERROR(INDEX('2_IMPORTAR_EJECUCION'!$H$9:$H$1208,MATCH($AQ81,'2_IMPORTAR_EJECUCION'!$J$9:$J$1208,0)),0)-$AI81))</f>
        <v/>
      </c>
      <c r="AK81" s="10">
        <f>IF($A81="","",$AI81+$AJ81)</f>
        <v/>
      </c>
      <c r="AL81" s="6" t="inlineStr"/>
      <c r="AM81" s="6" t="inlineStr"/>
      <c r="AN81" s="6" t="inlineStr">
        <is>
          <t>ACT-01.pdf</t>
        </is>
      </c>
      <c r="AO81" s="3">
        <f>IF($AN81="","",HYPERLINK(p_ruta_base_checklists&amp;$AN81,"abrir"))</f>
        <v/>
      </c>
      <c r="AP81" s="6" t="inlineStr"/>
      <c r="AQ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IF($A82="","",IFERROR(INDEX('AJUSTES'!$B$4:$B$303,MATCH($AQ82,'AJUSTES'!$A$4:$A$303,0)),IF($K82="","",$K82)))</f>
        <v/>
      </c>
      <c r="N82" s="3">
        <f>IF($A82="","",IFERROR(INDEX('CAT_ESTADOS_ERP'!$B$4:$B$7,MATCH(IFERROR(INDEX('2_IMPORTAR_EJECUCION'!$C$9:$C$1208,MATCH($AQ82,'2_IMPORTAR_EJECUCION'!$J$9:$J$1208,0)),""),'CAT_ESTADOS_ERP'!$A$4:$A$7,0)),"Pendiente"))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J82="","",IFERROR(INDEX('CALENDARIO'!$C$15:$C$214,MATCH(TEXT($J82,"yyyy-mm-dd")&amp;"|"&amp;$V82&amp;"|"&amp;$W82,'CALENDARIO'!$G$15:$G$214,0)),IFERROR(INDEX('CALENDARIO'!$C$15:$C$214,MATCH(TEXT($J82,"yyyy-mm-dd")&amp;"|"&amp;$V82&amp;"|",'CALENDARIO'!$G$15:$G$214,0)),IFERROR(INDEX('CALENDARIO'!$C$15:$C$214,MATCH(TEXT($J82,"yyyy-mm-dd")&amp;"||",'CALENDARIO'!$G$15:$G$214,0)),INDEX(patronHabil,WEEKDAY($J82,2))))))</f>
        <v/>
      </c>
      <c r="T82" s="3">
        <f>IF($I82="","",IFERROR(INDEX('CAT_TIPOS_OT'!$C$4:$C$7,MATCH($I82,'CAT_TIPOS_OT'!$A$4:$A$7,0)),"sin_clasificar"))</f>
        <v/>
      </c>
      <c r="U82" s="3">
        <f>IF($F82="","",IFERROR(INDEX('CAT_CENTROS_COSTO'!$F$4:$F$13,MATCH($F82,'CAT_CENTROS_COSTO'!$A$4:$A$13,0)),"(sin catálogo)"))</f>
        <v/>
      </c>
      <c r="V82" s="3">
        <f>IF($F82="","",IFERROR(INDEX('CAT_CENTROS_COSTO'!$D$4:$D$13,MATCH($F82,'CAT_CENTROS_COSTO'!$A$4:$A$13,0)),"(sin catálogo)"))</f>
        <v/>
      </c>
      <c r="W82" s="3">
        <f>IF($F82="","",IF((IFERROR(INDEX('CAT_CENTROS_COSTO'!$E$4:$E$13,MATCH($F82,'CAT_CENTROS_COSTO'!$A$4:$A$13,0)),""))&lt;&gt;"",IFERROR(INDEX('CAT_CENTROS_COSTO'!$E$4:$E$13,MATCH($F82,'CAT_CENTROS_COSTO'!$A$4:$A$13,0)),""),$V82))</f>
        <v/>
      </c>
      <c r="X82" s="3">
        <f>IF($F82="","",IFERROR(INDEX('CAT_CENTROS_COSTO'!$G$4:$G$13,MATCH($F82,'CAT_CENTROS_COSTO'!$A$4:$A$13,0)),"(sin catálogo)"))</f>
        <v/>
      </c>
      <c r="Y82" s="3">
        <f>IF($G82="","",IFERROR(INDEX('CAT_PUESTOS'!$B$4:$B$8,MATCH($G82,'CAT_PUESTOS'!$A$4:$A$8,0)),"(sin catálogo)"))</f>
        <v/>
      </c>
      <c r="Z82" s="3">
        <f>IF($H82="","",IFERROR(INDEX('CAT_ACTIVIDADES'!$B$4:$B$8,MATCH($H82,'CAT_ACTIVIDADES'!$A$4:$A$8,0)),"(sin catálogo)"))</f>
        <v/>
      </c>
      <c r="AA82" s="12">
        <f>IF($J82="","",TODAY()-$J82)</f>
        <v/>
      </c>
      <c r="AB82" s="12">
        <f>IF($J82="","",IF($J82&lt;=TODAY(),COUNTIFS(cal_fechas,"&gt;="&amp;$J82,cal_fechas,"&lt;"&amp;TODAY(),cal_habil,"sí"),-COUNTIFS(cal_fechas,"&gt;="&amp;TODAY(),cal_fechas,"&lt;"&amp;$J82,cal_habil,"sí")))</f>
        <v/>
      </c>
      <c r="AC82" s="3">
        <f>IF($AB82="","",IF($AB82&lt;0,"FUTURO",IF($AB82&gt;p_dias_backlog_max,"BACKLOG","MES CORRIENTE")))</f>
        <v/>
      </c>
      <c r="AD82" s="3">
        <f>IF($AB82="",FALSE,AND($AB82&gt;p_dias_backlog_min,$AB82&lt;=p_dias_backlog_max))</f>
        <v/>
      </c>
      <c r="AE82" s="6" t="inlineStr">
        <is>
          <t>Técnico 05</t>
        </is>
      </c>
      <c r="AF82" s="3">
        <f>IF($AE82="","",IF((IFERROR(INDEX('ASIGNACIONES'!$F$4:$F$339,MATCH($O82&amp;"|"&amp;$R82&amp;"|"&amp;$AE82,'ASIGNACIONES'!$J$4:$J$339,0)),""))=0,"",IFERROR(INDEX('ASIGNACIONES'!$F$4:$F$339,MATCH($O82&amp;"|"&amp;$R82&amp;"|"&amp;$AE82,'ASIGNACIONES'!$J$4:$J$339,0)),"")))</f>
        <v/>
      </c>
      <c r="AG82" s="13">
        <f>IF($AE82="","",SUMIFS('ORDENES'!$M$4:$M$1203,'ORDENES'!$AE$4:$AE$1203,$AE82,'ORDENES'!$O$4:$O$1203,$O82,'ORDENES'!$R$4:$R$1203,$R82))</f>
        <v/>
      </c>
      <c r="AH82" s="13">
        <f>IF($AG82="","",p_factor_productividad*IFERROR(INDEX('ASIGNACIONES'!$I$4:$I$339,MATCH($O82&amp;"|"&amp;$R82&amp;"|"&amp;$AE82,'ASIGNACIONES'!$J$4:$J$339,0)),0)-$AG82)</f>
        <v/>
      </c>
      <c r="AI82" s="10">
        <f>IF($A82="","",IFERROR(INDEX('2_IMPORTAR_EJECUCION'!$F$9:$F$1208,MATCH($AQ82,'2_IMPORTAR_EJECUCION'!$J$9:$J$1208,0)),0))</f>
        <v/>
      </c>
      <c r="AJ82" s="10">
        <f>IF($A82="","",MAX(0,IFERROR(INDEX('2_IMPORTAR_EJECUCION'!$H$9:$H$1208,MATCH($AQ82,'2_IMPORTAR_EJECUCION'!$J$9:$J$1208,0)),0)-$AI82))</f>
        <v/>
      </c>
      <c r="AK82" s="10">
        <f>IF($A82="","",$AI82+$AJ82)</f>
        <v/>
      </c>
      <c r="AL82" s="6" t="inlineStr"/>
      <c r="AM82" s="6" t="inlineStr"/>
      <c r="AN82" s="6" t="inlineStr">
        <is>
          <t>ACT-02.pdf</t>
        </is>
      </c>
      <c r="AO82" s="3">
        <f>IF($AN82="","",HYPERLINK(p_ruta_base_checklists&amp;$AN82,"abrir"))</f>
        <v/>
      </c>
      <c r="AP82" s="6" t="inlineStr"/>
      <c r="AQ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IF($A83="","",IFERROR(INDEX('AJUSTES'!$B$4:$B$303,MATCH($AQ83,'AJUSTES'!$A$4:$A$303,0)),IF($K83="","",$K83)))</f>
        <v/>
      </c>
      <c r="N83" s="3">
        <f>IF($A83="","",IFERROR(INDEX('CAT_ESTADOS_ERP'!$B$4:$B$7,MATCH(IFERROR(INDEX('2_IMPORTAR_EJECUCION'!$C$9:$C$1208,MATCH($AQ83,'2_IMPORTAR_EJECUCION'!$J$9:$J$1208,0)),""),'CAT_ESTADOS_ERP'!$A$4:$A$7,0)),"Pendiente"))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J83="","",IFERROR(INDEX('CALENDARIO'!$C$15:$C$214,MATCH(TEXT($J83,"yyyy-mm-dd")&amp;"|"&amp;$V83&amp;"|"&amp;$W83,'CALENDARIO'!$G$15:$G$214,0)),IFERROR(INDEX('CALENDARIO'!$C$15:$C$214,MATCH(TEXT($J83,"yyyy-mm-dd")&amp;"|"&amp;$V83&amp;"|",'CALENDARIO'!$G$15:$G$214,0)),IFERROR(INDEX('CALENDARIO'!$C$15:$C$214,MATCH(TEXT($J83,"yyyy-mm-dd")&amp;"||",'CALENDARIO'!$G$15:$G$214,0)),INDEX(patronHabil,WEEKDAY($J83,2))))))</f>
        <v/>
      </c>
      <c r="T83" s="3">
        <f>IF($I83="","",IFERROR(INDEX('CAT_TIPOS_OT'!$C$4:$C$7,MATCH($I83,'CAT_TIPOS_OT'!$A$4:$A$7,0)),"sin_clasificar"))</f>
        <v/>
      </c>
      <c r="U83" s="3">
        <f>IF($F83="","",IFERROR(INDEX('CAT_CENTROS_COSTO'!$F$4:$F$13,MATCH($F83,'CAT_CENTROS_COSTO'!$A$4:$A$13,0)),"(sin catálogo)"))</f>
        <v/>
      </c>
      <c r="V83" s="3">
        <f>IF($F83="","",IFERROR(INDEX('CAT_CENTROS_COSTO'!$D$4:$D$13,MATCH($F83,'CAT_CENTROS_COSTO'!$A$4:$A$13,0)),"(sin catálogo)"))</f>
        <v/>
      </c>
      <c r="W83" s="3">
        <f>IF($F83="","",IF((IFERROR(INDEX('CAT_CENTROS_COSTO'!$E$4:$E$13,MATCH($F83,'CAT_CENTROS_COSTO'!$A$4:$A$13,0)),""))&lt;&gt;"",IFERROR(INDEX('CAT_CENTROS_COSTO'!$E$4:$E$13,MATCH($F83,'CAT_CENTROS_COSTO'!$A$4:$A$13,0)),""),$V83))</f>
        <v/>
      </c>
      <c r="X83" s="3">
        <f>IF($F83="","",IFERROR(INDEX('CAT_CENTROS_COSTO'!$G$4:$G$13,MATCH($F83,'CAT_CENTROS_COSTO'!$A$4:$A$13,0)),"(sin catálogo)"))</f>
        <v/>
      </c>
      <c r="Y83" s="3">
        <f>IF($G83="","",IFERROR(INDEX('CAT_PUESTOS'!$B$4:$B$8,MATCH($G83,'CAT_PUESTOS'!$A$4:$A$8,0)),"(sin catálogo)"))</f>
        <v/>
      </c>
      <c r="Z83" s="3">
        <f>IF($H83="","",IFERROR(INDEX('CAT_ACTIVIDADES'!$B$4:$B$8,MATCH($H83,'CAT_ACTIVIDADES'!$A$4:$A$8,0)),"(sin catálogo)"))</f>
        <v/>
      </c>
      <c r="AA83" s="12">
        <f>IF($J83="","",TODAY()-$J83)</f>
        <v/>
      </c>
      <c r="AB83" s="12">
        <f>IF($J83="","",IF($J83&lt;=TODAY(),COUNTIFS(cal_fechas,"&gt;="&amp;$J83,cal_fechas,"&lt;"&amp;TODAY(),cal_habil,"sí"),-COUNTIFS(cal_fechas,"&gt;="&amp;TODAY(),cal_fechas,"&lt;"&amp;$J83,cal_habil,"sí")))</f>
        <v/>
      </c>
      <c r="AC83" s="3">
        <f>IF($AB83="","",IF($AB83&lt;0,"FUTURO",IF($AB83&gt;p_dias_backlog_max,"BACKLOG","MES CORRIENTE")))</f>
        <v/>
      </c>
      <c r="AD83" s="3">
        <f>IF($AB83="",FALSE,AND($AB83&gt;p_dias_backlog_min,$AB83&lt;=p_dias_backlog_max))</f>
        <v/>
      </c>
      <c r="AE83" s="6" t="inlineStr">
        <is>
          <t>Técnico 06</t>
        </is>
      </c>
      <c r="AF83" s="3">
        <f>IF($AE83="","",IF((IFERROR(INDEX('ASIGNACIONES'!$F$4:$F$339,MATCH($O83&amp;"|"&amp;$R83&amp;"|"&amp;$AE83,'ASIGNACIONES'!$J$4:$J$339,0)),""))=0,"",IFERROR(INDEX('ASIGNACIONES'!$F$4:$F$339,MATCH($O83&amp;"|"&amp;$R83&amp;"|"&amp;$AE83,'ASIGNACIONES'!$J$4:$J$339,0)),"")))</f>
        <v/>
      </c>
      <c r="AG83" s="13">
        <f>IF($AE83="","",SUMIFS('ORDENES'!$M$4:$M$1203,'ORDENES'!$AE$4:$AE$1203,$AE83,'ORDENES'!$O$4:$O$1203,$O83,'ORDENES'!$R$4:$R$1203,$R83))</f>
        <v/>
      </c>
      <c r="AH83" s="13">
        <f>IF($AG83="","",p_factor_productividad*IFERROR(INDEX('ASIGNACIONES'!$I$4:$I$339,MATCH($O83&amp;"|"&amp;$R83&amp;"|"&amp;$AE83,'ASIGNACIONES'!$J$4:$J$339,0)),0)-$AG83)</f>
        <v/>
      </c>
      <c r="AI83" s="10">
        <f>IF($A83="","",IFERROR(INDEX('2_IMPORTAR_EJECUCION'!$F$9:$F$1208,MATCH($AQ83,'2_IMPORTAR_EJECUCION'!$J$9:$J$1208,0)),0))</f>
        <v/>
      </c>
      <c r="AJ83" s="10">
        <f>IF($A83="","",MAX(0,IFERROR(INDEX('2_IMPORTAR_EJECUCION'!$H$9:$H$1208,MATCH($AQ83,'2_IMPORTAR_EJECUCION'!$J$9:$J$1208,0)),0)-$AI83))</f>
        <v/>
      </c>
      <c r="AK83" s="10">
        <f>IF($A83="","",$AI83+$AJ83)</f>
        <v/>
      </c>
      <c r="AL83" s="6" t="inlineStr"/>
      <c r="AM83" s="6" t="inlineStr"/>
      <c r="AN83" s="6" t="inlineStr">
        <is>
          <t>ACT-04.pdf</t>
        </is>
      </c>
      <c r="AO83" s="3">
        <f>IF($AN83="","",HYPERLINK(p_ruta_base_checklists&amp;$AN83,"abrir"))</f>
        <v/>
      </c>
      <c r="AP83" s="6" t="inlineStr"/>
      <c r="AQ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IF($A84="","",IFERROR(INDEX('AJUSTES'!$B$4:$B$303,MATCH($AQ84,'AJUSTES'!$A$4:$A$303,0)),IF($K84="","",$K84)))</f>
        <v/>
      </c>
      <c r="N84" s="3">
        <f>IF($A84="","",IFERROR(INDEX('CAT_ESTADOS_ERP'!$B$4:$B$7,MATCH(IFERROR(INDEX('2_IMPORTAR_EJECUCION'!$C$9:$C$1208,MATCH($AQ84,'2_IMPORTAR_EJECUCION'!$J$9:$J$1208,0)),""),'CAT_ESTADOS_ERP'!$A$4:$A$7,0)),"Pendiente"))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J84="","",IFERROR(INDEX('CALENDARIO'!$C$15:$C$214,MATCH(TEXT($J84,"yyyy-mm-dd")&amp;"|"&amp;$V84&amp;"|"&amp;$W84,'CALENDARIO'!$G$15:$G$214,0)),IFERROR(INDEX('CALENDARIO'!$C$15:$C$214,MATCH(TEXT($J84,"yyyy-mm-dd")&amp;"|"&amp;$V84&amp;"|",'CALENDARIO'!$G$15:$G$214,0)),IFERROR(INDEX('CALENDARIO'!$C$15:$C$214,MATCH(TEXT($J84,"yyyy-mm-dd")&amp;"||",'CALENDARIO'!$G$15:$G$214,0)),INDEX(patronHabil,WEEKDAY($J84,2))))))</f>
        <v/>
      </c>
      <c r="T84" s="3">
        <f>IF($I84="","",IFERROR(INDEX('CAT_TIPOS_OT'!$C$4:$C$7,MATCH($I84,'CAT_TIPOS_OT'!$A$4:$A$7,0)),"sin_clasificar"))</f>
        <v/>
      </c>
      <c r="U84" s="3">
        <f>IF($F84="","",IFERROR(INDEX('CAT_CENTROS_COSTO'!$F$4:$F$13,MATCH($F84,'CAT_CENTROS_COSTO'!$A$4:$A$13,0)),"(sin catálogo)"))</f>
        <v/>
      </c>
      <c r="V84" s="3">
        <f>IF($F84="","",IFERROR(INDEX('CAT_CENTROS_COSTO'!$D$4:$D$13,MATCH($F84,'CAT_CENTROS_COSTO'!$A$4:$A$13,0)),"(sin catálogo)"))</f>
        <v/>
      </c>
      <c r="W84" s="3">
        <f>IF($F84="","",IF((IFERROR(INDEX('CAT_CENTROS_COSTO'!$E$4:$E$13,MATCH($F84,'CAT_CENTROS_COSTO'!$A$4:$A$13,0)),""))&lt;&gt;"",IFERROR(INDEX('CAT_CENTROS_COSTO'!$E$4:$E$13,MATCH($F84,'CAT_CENTROS_COSTO'!$A$4:$A$13,0)),""),$V84))</f>
        <v/>
      </c>
      <c r="X84" s="3">
        <f>IF($F84="","",IFERROR(INDEX('CAT_CENTROS_COSTO'!$G$4:$G$13,MATCH($F84,'CAT_CENTROS_COSTO'!$A$4:$A$13,0)),"(sin catálogo)"))</f>
        <v/>
      </c>
      <c r="Y84" s="3">
        <f>IF($G84="","",IFERROR(INDEX('CAT_PUESTOS'!$B$4:$B$8,MATCH($G84,'CAT_PUESTOS'!$A$4:$A$8,0)),"(sin catálogo)"))</f>
        <v/>
      </c>
      <c r="Z84" s="3">
        <f>IF($H84="","",IFERROR(INDEX('CAT_ACTIVIDADES'!$B$4:$B$8,MATCH($H84,'CAT_ACTIVIDADES'!$A$4:$A$8,0)),"(sin catálogo)"))</f>
        <v/>
      </c>
      <c r="AA84" s="12">
        <f>IF($J84="","",TODAY()-$J84)</f>
        <v/>
      </c>
      <c r="AB84" s="12">
        <f>IF($J84="","",IF($J84&lt;=TODAY(),COUNTIFS(cal_fechas,"&gt;="&amp;$J84,cal_fechas,"&lt;"&amp;TODAY(),cal_habil,"sí"),-COUNTIFS(cal_fechas,"&gt;="&amp;TODAY(),cal_fechas,"&lt;"&amp;$J84,cal_habil,"sí")))</f>
        <v/>
      </c>
      <c r="AC84" s="3">
        <f>IF($AB84="","",IF($AB84&lt;0,"FUTURO",IF($AB84&gt;p_dias_backlog_max,"BACKLOG","MES CORRIENTE")))</f>
        <v/>
      </c>
      <c r="AD84" s="3">
        <f>IF($AB84="",FALSE,AND($AB84&gt;p_dias_backlog_min,$AB84&lt;=p_dias_backlog_max))</f>
        <v/>
      </c>
      <c r="AE84" s="6" t="inlineStr">
        <is>
          <t>Técnico 07</t>
        </is>
      </c>
      <c r="AF84" s="3">
        <f>IF($AE84="","",IF((IFERROR(INDEX('ASIGNACIONES'!$F$4:$F$339,MATCH($O84&amp;"|"&amp;$R84&amp;"|"&amp;$AE84,'ASIGNACIONES'!$J$4:$J$339,0)),""))=0,"",IFERROR(INDEX('ASIGNACIONES'!$F$4:$F$339,MATCH($O84&amp;"|"&amp;$R84&amp;"|"&amp;$AE84,'ASIGNACIONES'!$J$4:$J$339,0)),"")))</f>
        <v/>
      </c>
      <c r="AG84" s="13">
        <f>IF($AE84="","",SUMIFS('ORDENES'!$M$4:$M$1203,'ORDENES'!$AE$4:$AE$1203,$AE84,'ORDENES'!$O$4:$O$1203,$O84,'ORDENES'!$R$4:$R$1203,$R84))</f>
        <v/>
      </c>
      <c r="AH84" s="13">
        <f>IF($AG84="","",p_factor_productividad*IFERROR(INDEX('ASIGNACIONES'!$I$4:$I$339,MATCH($O84&amp;"|"&amp;$R84&amp;"|"&amp;$AE84,'ASIGNACIONES'!$J$4:$J$339,0)),0)-$AG84)</f>
        <v/>
      </c>
      <c r="AI84" s="10">
        <f>IF($A84="","",IFERROR(INDEX('2_IMPORTAR_EJECUCION'!$F$9:$F$1208,MATCH($AQ84,'2_IMPORTAR_EJECUCION'!$J$9:$J$1208,0)),0))</f>
        <v/>
      </c>
      <c r="AJ84" s="10">
        <f>IF($A84="","",MAX(0,IFERROR(INDEX('2_IMPORTAR_EJECUCION'!$H$9:$H$1208,MATCH($AQ84,'2_IMPORTAR_EJECUCION'!$J$9:$J$1208,0)),0)-$AI84))</f>
        <v/>
      </c>
      <c r="AK84" s="10">
        <f>IF($A84="","",$AI84+$AJ84)</f>
        <v/>
      </c>
      <c r="AL84" s="6" t="inlineStr"/>
      <c r="AM84" s="6" t="inlineStr"/>
      <c r="AN84" s="6" t="inlineStr">
        <is>
          <t>ACT-01.pdf</t>
        </is>
      </c>
      <c r="AO84" s="3">
        <f>IF($AN84="","",HYPERLINK(p_ruta_base_checklists&amp;$AN84,"abrir"))</f>
        <v/>
      </c>
      <c r="AP84" s="6" t="inlineStr"/>
      <c r="AQ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IF($A85="","",IFERROR(INDEX('AJUSTES'!$B$4:$B$303,MATCH($AQ85,'AJUSTES'!$A$4:$A$303,0)),IF($K85="","",$K85)))</f>
        <v/>
      </c>
      <c r="N85" s="3">
        <f>IF($A85="","",IFERROR(INDEX('CAT_ESTADOS_ERP'!$B$4:$B$7,MATCH(IFERROR(INDEX('2_IMPORTAR_EJECUCION'!$C$9:$C$1208,MATCH($AQ85,'2_IMPORTAR_EJECUCION'!$J$9:$J$1208,0)),""),'CAT_ESTADOS_ERP'!$A$4:$A$7,0)),"Pendiente"))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J85="","",IFERROR(INDEX('CALENDARIO'!$C$15:$C$214,MATCH(TEXT($J85,"yyyy-mm-dd")&amp;"|"&amp;$V85&amp;"|"&amp;$W85,'CALENDARIO'!$G$15:$G$214,0)),IFERROR(INDEX('CALENDARIO'!$C$15:$C$214,MATCH(TEXT($J85,"yyyy-mm-dd")&amp;"|"&amp;$V85&amp;"|",'CALENDARIO'!$G$15:$G$214,0)),IFERROR(INDEX('CALENDARIO'!$C$15:$C$214,MATCH(TEXT($J85,"yyyy-mm-dd")&amp;"||",'CALENDARIO'!$G$15:$G$214,0)),INDEX(patronHabil,WEEKDAY($J85,2))))))</f>
        <v/>
      </c>
      <c r="T85" s="3">
        <f>IF($I85="","",IFERROR(INDEX('CAT_TIPOS_OT'!$C$4:$C$7,MATCH($I85,'CAT_TIPOS_OT'!$A$4:$A$7,0)),"sin_clasificar"))</f>
        <v/>
      </c>
      <c r="U85" s="3">
        <f>IF($F85="","",IFERROR(INDEX('CAT_CENTROS_COSTO'!$F$4:$F$13,MATCH($F85,'CAT_CENTROS_COSTO'!$A$4:$A$13,0)),"(sin catálogo)"))</f>
        <v/>
      </c>
      <c r="V85" s="3">
        <f>IF($F85="","",IFERROR(INDEX('CAT_CENTROS_COSTO'!$D$4:$D$13,MATCH($F85,'CAT_CENTROS_COSTO'!$A$4:$A$13,0)),"(sin catálogo)"))</f>
        <v/>
      </c>
      <c r="W85" s="3">
        <f>IF($F85="","",IF((IFERROR(INDEX('CAT_CENTROS_COSTO'!$E$4:$E$13,MATCH($F85,'CAT_CENTROS_COSTO'!$A$4:$A$13,0)),""))&lt;&gt;"",IFERROR(INDEX('CAT_CENTROS_COSTO'!$E$4:$E$13,MATCH($F85,'CAT_CENTROS_COSTO'!$A$4:$A$13,0)),""),$V85))</f>
        <v/>
      </c>
      <c r="X85" s="3">
        <f>IF($F85="","",IFERROR(INDEX('CAT_CENTROS_COSTO'!$G$4:$G$13,MATCH($F85,'CAT_CENTROS_COSTO'!$A$4:$A$13,0)),"(sin catálogo)"))</f>
        <v/>
      </c>
      <c r="Y85" s="3">
        <f>IF($G85="","",IFERROR(INDEX('CAT_PUESTOS'!$B$4:$B$8,MATCH($G85,'CAT_PUESTOS'!$A$4:$A$8,0)),"(sin catálogo)"))</f>
        <v/>
      </c>
      <c r="Z85" s="3">
        <f>IF($H85="","",IFERROR(INDEX('CAT_ACTIVIDADES'!$B$4:$B$8,MATCH($H85,'CAT_ACTIVIDADES'!$A$4:$A$8,0)),"(sin catálogo)"))</f>
        <v/>
      </c>
      <c r="AA85" s="12">
        <f>IF($J85="","",TODAY()-$J85)</f>
        <v/>
      </c>
      <c r="AB85" s="12">
        <f>IF($J85="","",IF($J85&lt;=TODAY(),COUNTIFS(cal_fechas,"&gt;="&amp;$J85,cal_fechas,"&lt;"&amp;TODAY(),cal_habil,"sí"),-COUNTIFS(cal_fechas,"&gt;="&amp;TODAY(),cal_fechas,"&lt;"&amp;$J85,cal_habil,"sí")))</f>
        <v/>
      </c>
      <c r="AC85" s="3">
        <f>IF($AB85="","",IF($AB85&lt;0,"FUTURO",IF($AB85&gt;p_dias_backlog_max,"BACKLOG","MES CORRIENTE")))</f>
        <v/>
      </c>
      <c r="AD85" s="3">
        <f>IF($AB85="",FALSE,AND($AB85&gt;p_dias_backlog_min,$AB85&lt;=p_dias_backlog_max))</f>
        <v/>
      </c>
      <c r="AE85" s="6" t="inlineStr">
        <is>
          <t>Técnico 05</t>
        </is>
      </c>
      <c r="AF85" s="3">
        <f>IF($AE85="","",IF((IFERROR(INDEX('ASIGNACIONES'!$F$4:$F$339,MATCH($O85&amp;"|"&amp;$R85&amp;"|"&amp;$AE85,'ASIGNACIONES'!$J$4:$J$339,0)),""))=0,"",IFERROR(INDEX('ASIGNACIONES'!$F$4:$F$339,MATCH($O85&amp;"|"&amp;$R85&amp;"|"&amp;$AE85,'ASIGNACIONES'!$J$4:$J$339,0)),"")))</f>
        <v/>
      </c>
      <c r="AG85" s="13">
        <f>IF($AE85="","",SUMIFS('ORDENES'!$M$4:$M$1203,'ORDENES'!$AE$4:$AE$1203,$AE85,'ORDENES'!$O$4:$O$1203,$O85,'ORDENES'!$R$4:$R$1203,$R85))</f>
        <v/>
      </c>
      <c r="AH85" s="13">
        <f>IF($AG85="","",p_factor_productividad*IFERROR(INDEX('ASIGNACIONES'!$I$4:$I$339,MATCH($O85&amp;"|"&amp;$R85&amp;"|"&amp;$AE85,'ASIGNACIONES'!$J$4:$J$339,0)),0)-$AG85)</f>
        <v/>
      </c>
      <c r="AI85" s="10">
        <f>IF($A85="","",IFERROR(INDEX('2_IMPORTAR_EJECUCION'!$F$9:$F$1208,MATCH($AQ85,'2_IMPORTAR_EJECUCION'!$J$9:$J$1208,0)),0))</f>
        <v/>
      </c>
      <c r="AJ85" s="10">
        <f>IF($A85="","",MAX(0,IFERROR(INDEX('2_IMPORTAR_EJECUCION'!$H$9:$H$1208,MATCH($AQ85,'2_IMPORTAR_EJECUCION'!$J$9:$J$1208,0)),0)-$AI85))</f>
        <v/>
      </c>
      <c r="AK85" s="10">
        <f>IF($A85="","",$AI85+$AJ85)</f>
        <v/>
      </c>
      <c r="AL85" s="6" t="inlineStr"/>
      <c r="AM85" s="6" t="inlineStr"/>
      <c r="AN85" s="6" t="inlineStr">
        <is>
          <t>ACT-02.pdf</t>
        </is>
      </c>
      <c r="AO85" s="3">
        <f>IF($AN85="","",HYPERLINK(p_ruta_base_checklists&amp;$AN85,"abrir"))</f>
        <v/>
      </c>
      <c r="AP85" s="6" t="inlineStr"/>
      <c r="AQ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IF($A86="","",IFERROR(INDEX('AJUSTES'!$B$4:$B$303,MATCH($AQ86,'AJUSTES'!$A$4:$A$303,0)),IF($K86="","",$K86)))</f>
        <v/>
      </c>
      <c r="N86" s="3">
        <f>IF($A86="","",IFERROR(INDEX('CAT_ESTADOS_ERP'!$B$4:$B$7,MATCH(IFERROR(INDEX('2_IMPORTAR_EJECUCION'!$C$9:$C$1208,MATCH($AQ86,'2_IMPORTAR_EJECUCION'!$J$9:$J$1208,0)),""),'CAT_ESTADOS_ERP'!$A$4:$A$7,0)),"Pendiente"))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J86="","",IFERROR(INDEX('CALENDARIO'!$C$15:$C$214,MATCH(TEXT($J86,"yyyy-mm-dd")&amp;"|"&amp;$V86&amp;"|"&amp;$W86,'CALENDARIO'!$G$15:$G$214,0)),IFERROR(INDEX('CALENDARIO'!$C$15:$C$214,MATCH(TEXT($J86,"yyyy-mm-dd")&amp;"|"&amp;$V86&amp;"|",'CALENDARIO'!$G$15:$G$214,0)),IFERROR(INDEX('CALENDARIO'!$C$15:$C$214,MATCH(TEXT($J86,"yyyy-mm-dd")&amp;"||",'CALENDARIO'!$G$15:$G$214,0)),INDEX(patronHabil,WEEKDAY($J86,2))))))</f>
        <v/>
      </c>
      <c r="T86" s="3">
        <f>IF($I86="","",IFERROR(INDEX('CAT_TIPOS_OT'!$C$4:$C$7,MATCH($I86,'CAT_TIPOS_OT'!$A$4:$A$7,0)),"sin_clasificar"))</f>
        <v/>
      </c>
      <c r="U86" s="3">
        <f>IF($F86="","",IFERROR(INDEX('CAT_CENTROS_COSTO'!$F$4:$F$13,MATCH($F86,'CAT_CENTROS_COSTO'!$A$4:$A$13,0)),"(sin catálogo)"))</f>
        <v/>
      </c>
      <c r="V86" s="3">
        <f>IF($F86="","",IFERROR(INDEX('CAT_CENTROS_COSTO'!$D$4:$D$13,MATCH($F86,'CAT_CENTROS_COSTO'!$A$4:$A$13,0)),"(sin catálogo)"))</f>
        <v/>
      </c>
      <c r="W86" s="3">
        <f>IF($F86="","",IF((IFERROR(INDEX('CAT_CENTROS_COSTO'!$E$4:$E$13,MATCH($F86,'CAT_CENTROS_COSTO'!$A$4:$A$13,0)),""))&lt;&gt;"",IFERROR(INDEX('CAT_CENTROS_COSTO'!$E$4:$E$13,MATCH($F86,'CAT_CENTROS_COSTO'!$A$4:$A$13,0)),""),$V86))</f>
        <v/>
      </c>
      <c r="X86" s="3">
        <f>IF($F86="","",IFERROR(INDEX('CAT_CENTROS_COSTO'!$G$4:$G$13,MATCH($F86,'CAT_CENTROS_COSTO'!$A$4:$A$13,0)),"(sin catálogo)"))</f>
        <v/>
      </c>
      <c r="Y86" s="3">
        <f>IF($G86="","",IFERROR(INDEX('CAT_PUESTOS'!$B$4:$B$8,MATCH($G86,'CAT_PUESTOS'!$A$4:$A$8,0)),"(sin catálogo)"))</f>
        <v/>
      </c>
      <c r="Z86" s="3">
        <f>IF($H86="","",IFERROR(INDEX('CAT_ACTIVIDADES'!$B$4:$B$8,MATCH($H86,'CAT_ACTIVIDADES'!$A$4:$A$8,0)),"(sin catálogo)"))</f>
        <v/>
      </c>
      <c r="AA86" s="12">
        <f>IF($J86="","",TODAY()-$J86)</f>
        <v/>
      </c>
      <c r="AB86" s="12">
        <f>IF($J86="","",IF($J86&lt;=TODAY(),COUNTIFS(cal_fechas,"&gt;="&amp;$J86,cal_fechas,"&lt;"&amp;TODAY(),cal_habil,"sí"),-COUNTIFS(cal_fechas,"&gt;="&amp;TODAY(),cal_fechas,"&lt;"&amp;$J86,cal_habil,"sí")))</f>
        <v/>
      </c>
      <c r="AC86" s="3">
        <f>IF($AB86="","",IF($AB86&lt;0,"FUTURO",IF($AB86&gt;p_dias_backlog_max,"BACKLOG","MES CORRIENTE")))</f>
        <v/>
      </c>
      <c r="AD86" s="3">
        <f>IF($AB86="",FALSE,AND($AB86&gt;p_dias_backlog_min,$AB86&lt;=p_dias_backlog_max))</f>
        <v/>
      </c>
      <c r="AE86" s="6" t="inlineStr">
        <is>
          <t>Técnico 06</t>
        </is>
      </c>
      <c r="AF86" s="3">
        <f>IF($AE86="","",IF((IFERROR(INDEX('ASIGNACIONES'!$F$4:$F$339,MATCH($O86&amp;"|"&amp;$R86&amp;"|"&amp;$AE86,'ASIGNACIONES'!$J$4:$J$339,0)),""))=0,"",IFERROR(INDEX('ASIGNACIONES'!$F$4:$F$339,MATCH($O86&amp;"|"&amp;$R86&amp;"|"&amp;$AE86,'ASIGNACIONES'!$J$4:$J$339,0)),"")))</f>
        <v/>
      </c>
      <c r="AG86" s="13">
        <f>IF($AE86="","",SUMIFS('ORDENES'!$M$4:$M$1203,'ORDENES'!$AE$4:$AE$1203,$AE86,'ORDENES'!$O$4:$O$1203,$O86,'ORDENES'!$R$4:$R$1203,$R86))</f>
        <v/>
      </c>
      <c r="AH86" s="13">
        <f>IF($AG86="","",p_factor_productividad*IFERROR(INDEX('ASIGNACIONES'!$I$4:$I$339,MATCH($O86&amp;"|"&amp;$R86&amp;"|"&amp;$AE86,'ASIGNACIONES'!$J$4:$J$339,0)),0)-$AG86)</f>
        <v/>
      </c>
      <c r="AI86" s="10">
        <f>IF($A86="","",IFERROR(INDEX('2_IMPORTAR_EJECUCION'!$F$9:$F$1208,MATCH($AQ86,'2_IMPORTAR_EJECUCION'!$J$9:$J$1208,0)),0))</f>
        <v/>
      </c>
      <c r="AJ86" s="10">
        <f>IF($A86="","",MAX(0,IFERROR(INDEX('2_IMPORTAR_EJECUCION'!$H$9:$H$1208,MATCH($AQ86,'2_IMPORTAR_EJECUCION'!$J$9:$J$1208,0)),0)-$AI86))</f>
        <v/>
      </c>
      <c r="AK86" s="10">
        <f>IF($A86="","",$AI86+$AJ86)</f>
        <v/>
      </c>
      <c r="AL86" s="6" t="inlineStr"/>
      <c r="AM86" s="6" t="inlineStr"/>
      <c r="AN86" s="6" t="inlineStr">
        <is>
          <t>ACT-04.pdf</t>
        </is>
      </c>
      <c r="AO86" s="3">
        <f>IF($AN86="","",HYPERLINK(p_ruta_base_checklists&amp;$AN86,"abrir"))</f>
        <v/>
      </c>
      <c r="AP86" s="6" t="inlineStr"/>
      <c r="AQ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IF($A87="","",IFERROR(INDEX('AJUSTES'!$B$4:$B$303,MATCH($AQ87,'AJUSTES'!$A$4:$A$303,0)),IF($K87="","",$K87)))</f>
        <v/>
      </c>
      <c r="N87" s="3">
        <f>IF($A87="","",IFERROR(INDEX('CAT_ESTADOS_ERP'!$B$4:$B$7,MATCH(IFERROR(INDEX('2_IMPORTAR_EJECUCION'!$C$9:$C$1208,MATCH($AQ87,'2_IMPORTAR_EJECUCION'!$J$9:$J$1208,0)),""),'CAT_ESTADOS_ERP'!$A$4:$A$7,0)),"Pendiente"))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J87="","",IFERROR(INDEX('CALENDARIO'!$C$15:$C$214,MATCH(TEXT($J87,"yyyy-mm-dd")&amp;"|"&amp;$V87&amp;"|"&amp;$W87,'CALENDARIO'!$G$15:$G$214,0)),IFERROR(INDEX('CALENDARIO'!$C$15:$C$214,MATCH(TEXT($J87,"yyyy-mm-dd")&amp;"|"&amp;$V87&amp;"|",'CALENDARIO'!$G$15:$G$214,0)),IFERROR(INDEX('CALENDARIO'!$C$15:$C$214,MATCH(TEXT($J87,"yyyy-mm-dd")&amp;"||",'CALENDARIO'!$G$15:$G$214,0)),INDEX(patronHabil,WEEKDAY($J87,2))))))</f>
        <v/>
      </c>
      <c r="T87" s="3">
        <f>IF($I87="","",IFERROR(INDEX('CAT_TIPOS_OT'!$C$4:$C$7,MATCH($I87,'CAT_TIPOS_OT'!$A$4:$A$7,0)),"sin_clasificar"))</f>
        <v/>
      </c>
      <c r="U87" s="3">
        <f>IF($F87="","",IFERROR(INDEX('CAT_CENTROS_COSTO'!$F$4:$F$13,MATCH($F87,'CAT_CENTROS_COSTO'!$A$4:$A$13,0)),"(sin catálogo)"))</f>
        <v/>
      </c>
      <c r="V87" s="3">
        <f>IF($F87="","",IFERROR(INDEX('CAT_CENTROS_COSTO'!$D$4:$D$13,MATCH($F87,'CAT_CENTROS_COSTO'!$A$4:$A$13,0)),"(sin catálogo)"))</f>
        <v/>
      </c>
      <c r="W87" s="3">
        <f>IF($F87="","",IF((IFERROR(INDEX('CAT_CENTROS_COSTO'!$E$4:$E$13,MATCH($F87,'CAT_CENTROS_COSTO'!$A$4:$A$13,0)),""))&lt;&gt;"",IFERROR(INDEX('CAT_CENTROS_COSTO'!$E$4:$E$13,MATCH($F87,'CAT_CENTROS_COSTO'!$A$4:$A$13,0)),""),$V87))</f>
        <v/>
      </c>
      <c r="X87" s="3">
        <f>IF($F87="","",IFERROR(INDEX('CAT_CENTROS_COSTO'!$G$4:$G$13,MATCH($F87,'CAT_CENTROS_COSTO'!$A$4:$A$13,0)),"(sin catálogo)"))</f>
        <v/>
      </c>
      <c r="Y87" s="3">
        <f>IF($G87="","",IFERROR(INDEX('CAT_PUESTOS'!$B$4:$B$8,MATCH($G87,'CAT_PUESTOS'!$A$4:$A$8,0)),"(sin catálogo)"))</f>
        <v/>
      </c>
      <c r="Z87" s="3">
        <f>IF($H87="","",IFERROR(INDEX('CAT_ACTIVIDADES'!$B$4:$B$8,MATCH($H87,'CAT_ACTIVIDADES'!$A$4:$A$8,0)),"(sin catálogo)"))</f>
        <v/>
      </c>
      <c r="AA87" s="12">
        <f>IF($J87="","",TODAY()-$J87)</f>
        <v/>
      </c>
      <c r="AB87" s="12">
        <f>IF($J87="","",IF($J87&lt;=TODAY(),COUNTIFS(cal_fechas,"&gt;="&amp;$J87,cal_fechas,"&lt;"&amp;TODAY(),cal_habil,"sí"),-COUNTIFS(cal_fechas,"&gt;="&amp;TODAY(),cal_fechas,"&lt;"&amp;$J87,cal_habil,"sí")))</f>
        <v/>
      </c>
      <c r="AC87" s="3">
        <f>IF($AB87="","",IF($AB87&lt;0,"FUTURO",IF($AB87&gt;p_dias_backlog_max,"BACKLOG","MES CORRIENTE")))</f>
        <v/>
      </c>
      <c r="AD87" s="3">
        <f>IF($AB87="",FALSE,AND($AB87&gt;p_dias_backlog_min,$AB87&lt;=p_dias_backlog_max))</f>
        <v/>
      </c>
      <c r="AE87" s="6" t="inlineStr"/>
      <c r="AF87" s="3">
        <f>IF($AE87="","",IF((IFERROR(INDEX('ASIGNACIONES'!$F$4:$F$339,MATCH($O87&amp;"|"&amp;$R87&amp;"|"&amp;$AE87,'ASIGNACIONES'!$J$4:$J$339,0)),""))=0,"",IFERROR(INDEX('ASIGNACIONES'!$F$4:$F$339,MATCH($O87&amp;"|"&amp;$R87&amp;"|"&amp;$AE87,'ASIGNACIONES'!$J$4:$J$339,0)),"")))</f>
        <v/>
      </c>
      <c r="AG87" s="13">
        <f>IF($AE87="","",SUMIFS('ORDENES'!$M$4:$M$1203,'ORDENES'!$AE$4:$AE$1203,$AE87,'ORDENES'!$O$4:$O$1203,$O87,'ORDENES'!$R$4:$R$1203,$R87))</f>
        <v/>
      </c>
      <c r="AH87" s="13">
        <f>IF($AG87="","",p_factor_productividad*IFERROR(INDEX('ASIGNACIONES'!$I$4:$I$339,MATCH($O87&amp;"|"&amp;$R87&amp;"|"&amp;$AE87,'ASIGNACIONES'!$J$4:$J$339,0)),0)-$AG87)</f>
        <v/>
      </c>
      <c r="AI87" s="10">
        <f>IF($A87="","",IFERROR(INDEX('2_IMPORTAR_EJECUCION'!$F$9:$F$1208,MATCH($AQ87,'2_IMPORTAR_EJECUCION'!$J$9:$J$1208,0)),0))</f>
        <v/>
      </c>
      <c r="AJ87" s="10">
        <f>IF($A87="","",MAX(0,IFERROR(INDEX('2_IMPORTAR_EJECUCION'!$H$9:$H$1208,MATCH($AQ87,'2_IMPORTAR_EJECUCION'!$J$9:$J$1208,0)),0)-$AI87))</f>
        <v/>
      </c>
      <c r="AK87" s="10">
        <f>IF($A87="","",$AI87+$AJ87)</f>
        <v/>
      </c>
      <c r="AL87" s="6" t="inlineStr">
        <is>
          <t>PT-CALIENTE</t>
        </is>
      </c>
      <c r="AM87" s="6" t="inlineStr">
        <is>
          <t>LOTO</t>
        </is>
      </c>
      <c r="AN87" s="6" t="inlineStr"/>
      <c r="AO87" s="3">
        <f>IF($AN87="","",HYPERLINK(p_ruta_base_checklists&amp;$AN87,"abrir"))</f>
        <v/>
      </c>
      <c r="AP87" s="6" t="inlineStr"/>
      <c r="AQ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IF($A88="","",IFERROR(INDEX('AJUSTES'!$B$4:$B$303,MATCH($AQ88,'AJUSTES'!$A$4:$A$303,0)),IF($K88="","",$K88)))</f>
        <v/>
      </c>
      <c r="N88" s="3">
        <f>IF($A88="","",IFERROR(INDEX('CAT_ESTADOS_ERP'!$B$4:$B$7,MATCH(IFERROR(INDEX('2_IMPORTAR_EJECUCION'!$C$9:$C$1208,MATCH($AQ88,'2_IMPORTAR_EJECUCION'!$J$9:$J$1208,0)),""),'CAT_ESTADOS_ERP'!$A$4:$A$7,0)),"Pendiente"))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J88="","",IFERROR(INDEX('CALENDARIO'!$C$15:$C$214,MATCH(TEXT($J88,"yyyy-mm-dd")&amp;"|"&amp;$V88&amp;"|"&amp;$W88,'CALENDARIO'!$G$15:$G$214,0)),IFERROR(INDEX('CALENDARIO'!$C$15:$C$214,MATCH(TEXT($J88,"yyyy-mm-dd")&amp;"|"&amp;$V88&amp;"|",'CALENDARIO'!$G$15:$G$214,0)),IFERROR(INDEX('CALENDARIO'!$C$15:$C$214,MATCH(TEXT($J88,"yyyy-mm-dd")&amp;"||",'CALENDARIO'!$G$15:$G$214,0)),INDEX(patronHabil,WEEKDAY($J88,2))))))</f>
        <v/>
      </c>
      <c r="T88" s="3">
        <f>IF($I88="","",IFERROR(INDEX('CAT_TIPOS_OT'!$C$4:$C$7,MATCH($I88,'CAT_TIPOS_OT'!$A$4:$A$7,0)),"sin_clasificar"))</f>
        <v/>
      </c>
      <c r="U88" s="3">
        <f>IF($F88="","",IFERROR(INDEX('CAT_CENTROS_COSTO'!$F$4:$F$13,MATCH($F88,'CAT_CENTROS_COSTO'!$A$4:$A$13,0)),"(sin catálogo)"))</f>
        <v/>
      </c>
      <c r="V88" s="3">
        <f>IF($F88="","",IFERROR(INDEX('CAT_CENTROS_COSTO'!$D$4:$D$13,MATCH($F88,'CAT_CENTROS_COSTO'!$A$4:$A$13,0)),"(sin catálogo)"))</f>
        <v/>
      </c>
      <c r="W88" s="3">
        <f>IF($F88="","",IF((IFERROR(INDEX('CAT_CENTROS_COSTO'!$E$4:$E$13,MATCH($F88,'CAT_CENTROS_COSTO'!$A$4:$A$13,0)),""))&lt;&gt;"",IFERROR(INDEX('CAT_CENTROS_COSTO'!$E$4:$E$13,MATCH($F88,'CAT_CENTROS_COSTO'!$A$4:$A$13,0)),""),$V88))</f>
        <v/>
      </c>
      <c r="X88" s="3">
        <f>IF($F88="","",IFERROR(INDEX('CAT_CENTROS_COSTO'!$G$4:$G$13,MATCH($F88,'CAT_CENTROS_COSTO'!$A$4:$A$13,0)),"(sin catálogo)"))</f>
        <v/>
      </c>
      <c r="Y88" s="3">
        <f>IF($G88="","",IFERROR(INDEX('CAT_PUESTOS'!$B$4:$B$8,MATCH($G88,'CAT_PUESTOS'!$A$4:$A$8,0)),"(sin catálogo)"))</f>
        <v/>
      </c>
      <c r="Z88" s="3">
        <f>IF($H88="","",IFERROR(INDEX('CAT_ACTIVIDADES'!$B$4:$B$8,MATCH($H88,'CAT_ACTIVIDADES'!$A$4:$A$8,0)),"(sin catálogo)"))</f>
        <v/>
      </c>
      <c r="AA88" s="12">
        <f>IF($J88="","",TODAY()-$J88)</f>
        <v/>
      </c>
      <c r="AB88" s="12">
        <f>IF($J88="","",IF($J88&lt;=TODAY(),COUNTIFS(cal_fechas,"&gt;="&amp;$J88,cal_fechas,"&lt;"&amp;TODAY(),cal_habil,"sí"),-COUNTIFS(cal_fechas,"&gt;="&amp;TODAY(),cal_fechas,"&lt;"&amp;$J88,cal_habil,"sí")))</f>
        <v/>
      </c>
      <c r="AC88" s="3">
        <f>IF($AB88="","",IF($AB88&lt;0,"FUTURO",IF($AB88&gt;p_dias_backlog_max,"BACKLOG","MES CORRIENTE")))</f>
        <v/>
      </c>
      <c r="AD88" s="3">
        <f>IF($AB88="",FALSE,AND($AB88&gt;p_dias_backlog_min,$AB88&lt;=p_dias_backlog_max))</f>
        <v/>
      </c>
      <c r="AE88" s="6" t="inlineStr">
        <is>
          <t>Técnico 08</t>
        </is>
      </c>
      <c r="AF88" s="3">
        <f>IF($AE88="","",IF((IFERROR(INDEX('ASIGNACIONES'!$F$4:$F$339,MATCH($O88&amp;"|"&amp;$R88&amp;"|"&amp;$AE88,'ASIGNACIONES'!$J$4:$J$339,0)),""))=0,"",IFERROR(INDEX('ASIGNACIONES'!$F$4:$F$339,MATCH($O88&amp;"|"&amp;$R88&amp;"|"&amp;$AE88,'ASIGNACIONES'!$J$4:$J$339,0)),"")))</f>
        <v/>
      </c>
      <c r="AG88" s="13">
        <f>IF($AE88="","",SUMIFS('ORDENES'!$M$4:$M$1203,'ORDENES'!$AE$4:$AE$1203,$AE88,'ORDENES'!$O$4:$O$1203,$O88,'ORDENES'!$R$4:$R$1203,$R88))</f>
        <v/>
      </c>
      <c r="AH88" s="13">
        <f>IF($AG88="","",p_factor_productividad*IFERROR(INDEX('ASIGNACIONES'!$I$4:$I$339,MATCH($O88&amp;"|"&amp;$R88&amp;"|"&amp;$AE88,'ASIGNACIONES'!$J$4:$J$339,0)),0)-$AG88)</f>
        <v/>
      </c>
      <c r="AI88" s="10">
        <f>IF($A88="","",IFERROR(INDEX('2_IMPORTAR_EJECUCION'!$F$9:$F$1208,MATCH($AQ88,'2_IMPORTAR_EJECUCION'!$J$9:$J$1208,0)),0))</f>
        <v/>
      </c>
      <c r="AJ88" s="10">
        <f>IF($A88="","",MAX(0,IFERROR(INDEX('2_IMPORTAR_EJECUCION'!$H$9:$H$1208,MATCH($AQ88,'2_IMPORTAR_EJECUCION'!$J$9:$J$1208,0)),0)-$AI88))</f>
        <v/>
      </c>
      <c r="AK88" s="10">
        <f>IF($A88="","",$AI88+$AJ88)</f>
        <v/>
      </c>
      <c r="AL88" s="6" t="inlineStr"/>
      <c r="AM88" s="6" t="inlineStr"/>
      <c r="AN88" s="6" t="inlineStr">
        <is>
          <t>ACT-02.pdf</t>
        </is>
      </c>
      <c r="AO88" s="3">
        <f>IF($AN88="","",HYPERLINK(p_ruta_base_checklists&amp;$AN88,"abrir"))</f>
        <v/>
      </c>
      <c r="AP88" s="6" t="inlineStr"/>
      <c r="AQ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IF($A89="","",IFERROR(INDEX('AJUSTES'!$B$4:$B$303,MATCH($AQ89,'AJUSTES'!$A$4:$A$303,0)),IF($K89="","",$K89)))</f>
        <v/>
      </c>
      <c r="N89" s="3">
        <f>IF($A89="","",IFERROR(INDEX('CAT_ESTADOS_ERP'!$B$4:$B$7,MATCH(IFERROR(INDEX('2_IMPORTAR_EJECUCION'!$C$9:$C$1208,MATCH($AQ89,'2_IMPORTAR_EJECUCION'!$J$9:$J$1208,0)),""),'CAT_ESTADOS_ERP'!$A$4:$A$7,0)),"Pendiente"))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J89="","",IFERROR(INDEX('CALENDARIO'!$C$15:$C$214,MATCH(TEXT($J89,"yyyy-mm-dd")&amp;"|"&amp;$V89&amp;"|"&amp;$W89,'CALENDARIO'!$G$15:$G$214,0)),IFERROR(INDEX('CALENDARIO'!$C$15:$C$214,MATCH(TEXT($J89,"yyyy-mm-dd")&amp;"|"&amp;$V89&amp;"|",'CALENDARIO'!$G$15:$G$214,0)),IFERROR(INDEX('CALENDARIO'!$C$15:$C$214,MATCH(TEXT($J89,"yyyy-mm-dd")&amp;"||",'CALENDARIO'!$G$15:$G$214,0)),INDEX(patronHabil,WEEKDAY($J89,2))))))</f>
        <v/>
      </c>
      <c r="T89" s="3">
        <f>IF($I89="","",IFERROR(INDEX('CAT_TIPOS_OT'!$C$4:$C$7,MATCH($I89,'CAT_TIPOS_OT'!$A$4:$A$7,0)),"sin_clasificar"))</f>
        <v/>
      </c>
      <c r="U89" s="3">
        <f>IF($F89="","",IFERROR(INDEX('CAT_CENTROS_COSTO'!$F$4:$F$13,MATCH($F89,'CAT_CENTROS_COSTO'!$A$4:$A$13,0)),"(sin catálogo)"))</f>
        <v/>
      </c>
      <c r="V89" s="3">
        <f>IF($F89="","",IFERROR(INDEX('CAT_CENTROS_COSTO'!$D$4:$D$13,MATCH($F89,'CAT_CENTROS_COSTO'!$A$4:$A$13,0)),"(sin catálogo)"))</f>
        <v/>
      </c>
      <c r="W89" s="3">
        <f>IF($F89="","",IF((IFERROR(INDEX('CAT_CENTROS_COSTO'!$E$4:$E$13,MATCH($F89,'CAT_CENTROS_COSTO'!$A$4:$A$13,0)),""))&lt;&gt;"",IFERROR(INDEX('CAT_CENTROS_COSTO'!$E$4:$E$13,MATCH($F89,'CAT_CENTROS_COSTO'!$A$4:$A$13,0)),""),$V89))</f>
        <v/>
      </c>
      <c r="X89" s="3">
        <f>IF($F89="","",IFERROR(INDEX('CAT_CENTROS_COSTO'!$G$4:$G$13,MATCH($F89,'CAT_CENTROS_COSTO'!$A$4:$A$13,0)),"(sin catálogo)"))</f>
        <v/>
      </c>
      <c r="Y89" s="3">
        <f>IF($G89="","",IFERROR(INDEX('CAT_PUESTOS'!$B$4:$B$8,MATCH($G89,'CAT_PUESTOS'!$A$4:$A$8,0)),"(sin catálogo)"))</f>
        <v/>
      </c>
      <c r="Z89" s="3">
        <f>IF($H89="","",IFERROR(INDEX('CAT_ACTIVIDADES'!$B$4:$B$8,MATCH($H89,'CAT_ACTIVIDADES'!$A$4:$A$8,0)),"(sin catálogo)"))</f>
        <v/>
      </c>
      <c r="AA89" s="12">
        <f>IF($J89="","",TODAY()-$J89)</f>
        <v/>
      </c>
      <c r="AB89" s="12">
        <f>IF($J89="","",IF($J89&lt;=TODAY(),COUNTIFS(cal_fechas,"&gt;="&amp;$J89,cal_fechas,"&lt;"&amp;TODAY(),cal_habil,"sí"),-COUNTIFS(cal_fechas,"&gt;="&amp;TODAY(),cal_fechas,"&lt;"&amp;$J89,cal_habil,"sí")))</f>
        <v/>
      </c>
      <c r="AC89" s="3">
        <f>IF($AB89="","",IF($AB89&lt;0,"FUTURO",IF($AB89&gt;p_dias_backlog_max,"BACKLOG","MES CORRIENTE")))</f>
        <v/>
      </c>
      <c r="AD89" s="3">
        <f>IF($AB89="",FALSE,AND($AB89&gt;p_dias_backlog_min,$AB89&lt;=p_dias_backlog_max))</f>
        <v/>
      </c>
      <c r="AE89" s="6" t="inlineStr">
        <is>
          <t>Técnico 09</t>
        </is>
      </c>
      <c r="AF89" s="3">
        <f>IF($AE89="","",IF((IFERROR(INDEX('ASIGNACIONES'!$F$4:$F$339,MATCH($O89&amp;"|"&amp;$R89&amp;"|"&amp;$AE89,'ASIGNACIONES'!$J$4:$J$339,0)),""))=0,"",IFERROR(INDEX('ASIGNACIONES'!$F$4:$F$339,MATCH($O89&amp;"|"&amp;$R89&amp;"|"&amp;$AE89,'ASIGNACIONES'!$J$4:$J$339,0)),"")))</f>
        <v/>
      </c>
      <c r="AG89" s="13">
        <f>IF($AE89="","",SUMIFS('ORDENES'!$M$4:$M$1203,'ORDENES'!$AE$4:$AE$1203,$AE89,'ORDENES'!$O$4:$O$1203,$O89,'ORDENES'!$R$4:$R$1203,$R89))</f>
        <v/>
      </c>
      <c r="AH89" s="13">
        <f>IF($AG89="","",p_factor_productividad*IFERROR(INDEX('ASIGNACIONES'!$I$4:$I$339,MATCH($O89&amp;"|"&amp;$R89&amp;"|"&amp;$AE89,'ASIGNACIONES'!$J$4:$J$339,0)),0)-$AG89)</f>
        <v/>
      </c>
      <c r="AI89" s="10">
        <f>IF($A89="","",IFERROR(INDEX('2_IMPORTAR_EJECUCION'!$F$9:$F$1208,MATCH($AQ89,'2_IMPORTAR_EJECUCION'!$J$9:$J$1208,0)),0))</f>
        <v/>
      </c>
      <c r="AJ89" s="10">
        <f>IF($A89="","",MAX(0,IFERROR(INDEX('2_IMPORTAR_EJECUCION'!$H$9:$H$1208,MATCH($AQ89,'2_IMPORTAR_EJECUCION'!$J$9:$J$1208,0)),0)-$AI89))</f>
        <v/>
      </c>
      <c r="AK89" s="10">
        <f>IF($A89="","",$AI89+$AJ89)</f>
        <v/>
      </c>
      <c r="AL89" s="6" t="inlineStr"/>
      <c r="AM89" s="6" t="inlineStr"/>
      <c r="AN89" s="6" t="inlineStr">
        <is>
          <t>ACT-04.pdf</t>
        </is>
      </c>
      <c r="AO89" s="3">
        <f>IF($AN89="","",HYPERLINK(p_ruta_base_checklists&amp;$AN89,"abrir"))</f>
        <v/>
      </c>
      <c r="AP89" s="6" t="inlineStr"/>
      <c r="AQ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IF($A90="","",IFERROR(INDEX('AJUSTES'!$B$4:$B$303,MATCH($AQ90,'AJUSTES'!$A$4:$A$303,0)),IF($K90="","",$K90)))</f>
        <v/>
      </c>
      <c r="N90" s="3">
        <f>IF($A90="","",IFERROR(INDEX('CAT_ESTADOS_ERP'!$B$4:$B$7,MATCH(IFERROR(INDEX('2_IMPORTAR_EJECUCION'!$C$9:$C$1208,MATCH($AQ90,'2_IMPORTAR_EJECUCION'!$J$9:$J$1208,0)),""),'CAT_ESTADOS_ERP'!$A$4:$A$7,0)),"Pendiente"))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J90="","",IFERROR(INDEX('CALENDARIO'!$C$15:$C$214,MATCH(TEXT($J90,"yyyy-mm-dd")&amp;"|"&amp;$V90&amp;"|"&amp;$W90,'CALENDARIO'!$G$15:$G$214,0)),IFERROR(INDEX('CALENDARIO'!$C$15:$C$214,MATCH(TEXT($J90,"yyyy-mm-dd")&amp;"|"&amp;$V90&amp;"|",'CALENDARIO'!$G$15:$G$214,0)),IFERROR(INDEX('CALENDARIO'!$C$15:$C$214,MATCH(TEXT($J90,"yyyy-mm-dd")&amp;"||",'CALENDARIO'!$G$15:$G$214,0)),INDEX(patronHabil,WEEKDAY($J90,2))))))</f>
        <v/>
      </c>
      <c r="T90" s="3">
        <f>IF($I90="","",IFERROR(INDEX('CAT_TIPOS_OT'!$C$4:$C$7,MATCH($I90,'CAT_TIPOS_OT'!$A$4:$A$7,0)),"sin_clasificar"))</f>
        <v/>
      </c>
      <c r="U90" s="3">
        <f>IF($F90="","",IFERROR(INDEX('CAT_CENTROS_COSTO'!$F$4:$F$13,MATCH($F90,'CAT_CENTROS_COSTO'!$A$4:$A$13,0)),"(sin catálogo)"))</f>
        <v/>
      </c>
      <c r="V90" s="3">
        <f>IF($F90="","",IFERROR(INDEX('CAT_CENTROS_COSTO'!$D$4:$D$13,MATCH($F90,'CAT_CENTROS_COSTO'!$A$4:$A$13,0)),"(sin catálogo)"))</f>
        <v/>
      </c>
      <c r="W90" s="3">
        <f>IF($F90="","",IF((IFERROR(INDEX('CAT_CENTROS_COSTO'!$E$4:$E$13,MATCH($F90,'CAT_CENTROS_COSTO'!$A$4:$A$13,0)),""))&lt;&gt;"",IFERROR(INDEX('CAT_CENTROS_COSTO'!$E$4:$E$13,MATCH($F90,'CAT_CENTROS_COSTO'!$A$4:$A$13,0)),""),$V90))</f>
        <v/>
      </c>
      <c r="X90" s="3">
        <f>IF($F90="","",IFERROR(INDEX('CAT_CENTROS_COSTO'!$G$4:$G$13,MATCH($F90,'CAT_CENTROS_COSTO'!$A$4:$A$13,0)),"(sin catálogo)"))</f>
        <v/>
      </c>
      <c r="Y90" s="3">
        <f>IF($G90="","",IFERROR(INDEX('CAT_PUESTOS'!$B$4:$B$8,MATCH($G90,'CAT_PUESTOS'!$A$4:$A$8,0)),"(sin catálogo)"))</f>
        <v/>
      </c>
      <c r="Z90" s="3">
        <f>IF($H90="","",IFERROR(INDEX('CAT_ACTIVIDADES'!$B$4:$B$8,MATCH($H90,'CAT_ACTIVIDADES'!$A$4:$A$8,0)),"(sin catálogo)"))</f>
        <v/>
      </c>
      <c r="AA90" s="12">
        <f>IF($J90="","",TODAY()-$J90)</f>
        <v/>
      </c>
      <c r="AB90" s="12">
        <f>IF($J90="","",IF($J90&lt;=TODAY(),COUNTIFS(cal_fechas,"&gt;="&amp;$J90,cal_fechas,"&lt;"&amp;TODAY(),cal_habil,"sí"),-COUNTIFS(cal_fechas,"&gt;="&amp;TODAY(),cal_fechas,"&lt;"&amp;$J90,cal_habil,"sí")))</f>
        <v/>
      </c>
      <c r="AC90" s="3">
        <f>IF($AB90="","",IF($AB90&lt;0,"FUTURO",IF($AB90&gt;p_dias_backlog_max,"BACKLOG","MES CORRIENTE")))</f>
        <v/>
      </c>
      <c r="AD90" s="3">
        <f>IF($AB90="",FALSE,AND($AB90&gt;p_dias_backlog_min,$AB90&lt;=p_dias_backlog_max))</f>
        <v/>
      </c>
      <c r="AE90" s="6" t="inlineStr">
        <is>
          <t>Técnico 08</t>
        </is>
      </c>
      <c r="AF90" s="3">
        <f>IF($AE90="","",IF((IFERROR(INDEX('ASIGNACIONES'!$F$4:$F$339,MATCH($O90&amp;"|"&amp;$R90&amp;"|"&amp;$AE90,'ASIGNACIONES'!$J$4:$J$339,0)),""))=0,"",IFERROR(INDEX('ASIGNACIONES'!$F$4:$F$339,MATCH($O90&amp;"|"&amp;$R90&amp;"|"&amp;$AE90,'ASIGNACIONES'!$J$4:$J$339,0)),"")))</f>
        <v/>
      </c>
      <c r="AG90" s="13">
        <f>IF($AE90="","",SUMIFS('ORDENES'!$M$4:$M$1203,'ORDENES'!$AE$4:$AE$1203,$AE90,'ORDENES'!$O$4:$O$1203,$O90,'ORDENES'!$R$4:$R$1203,$R90))</f>
        <v/>
      </c>
      <c r="AH90" s="13">
        <f>IF($AG90="","",p_factor_productividad*IFERROR(INDEX('ASIGNACIONES'!$I$4:$I$339,MATCH($O90&amp;"|"&amp;$R90&amp;"|"&amp;$AE90,'ASIGNACIONES'!$J$4:$J$339,0)),0)-$AG90)</f>
        <v/>
      </c>
      <c r="AI90" s="10">
        <f>IF($A90="","",IFERROR(INDEX('2_IMPORTAR_EJECUCION'!$F$9:$F$1208,MATCH($AQ90,'2_IMPORTAR_EJECUCION'!$J$9:$J$1208,0)),0))</f>
        <v/>
      </c>
      <c r="AJ90" s="10">
        <f>IF($A90="","",MAX(0,IFERROR(INDEX('2_IMPORTAR_EJECUCION'!$H$9:$H$1208,MATCH($AQ90,'2_IMPORTAR_EJECUCION'!$J$9:$J$1208,0)),0)-$AI90))</f>
        <v/>
      </c>
      <c r="AK90" s="10">
        <f>IF($A90="","",$AI90+$AJ90)</f>
        <v/>
      </c>
      <c r="AL90" s="6" t="inlineStr"/>
      <c r="AM90" s="6" t="inlineStr"/>
      <c r="AN90" s="6" t="inlineStr">
        <is>
          <t>ACT-01.pdf</t>
        </is>
      </c>
      <c r="AO90" s="3">
        <f>IF($AN90="","",HYPERLINK(p_ruta_base_checklists&amp;$AN90,"abrir"))</f>
        <v/>
      </c>
      <c r="AP90" s="6" t="inlineStr"/>
      <c r="AQ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IF($A91="","",IFERROR(INDEX('AJUSTES'!$B$4:$B$303,MATCH($AQ91,'AJUSTES'!$A$4:$A$303,0)),IF($K91="","",$K91)))</f>
        <v/>
      </c>
      <c r="N91" s="3">
        <f>IF($A91="","",IFERROR(INDEX('CAT_ESTADOS_ERP'!$B$4:$B$7,MATCH(IFERROR(INDEX('2_IMPORTAR_EJECUCION'!$C$9:$C$1208,MATCH($AQ91,'2_IMPORTAR_EJECUCION'!$J$9:$J$1208,0)),""),'CAT_ESTADOS_ERP'!$A$4:$A$7,0)),"Pendiente"))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J91="","",IFERROR(INDEX('CALENDARIO'!$C$15:$C$214,MATCH(TEXT($J91,"yyyy-mm-dd")&amp;"|"&amp;$V91&amp;"|"&amp;$W91,'CALENDARIO'!$G$15:$G$214,0)),IFERROR(INDEX('CALENDARIO'!$C$15:$C$214,MATCH(TEXT($J91,"yyyy-mm-dd")&amp;"|"&amp;$V91&amp;"|",'CALENDARIO'!$G$15:$G$214,0)),IFERROR(INDEX('CALENDARIO'!$C$15:$C$214,MATCH(TEXT($J91,"yyyy-mm-dd")&amp;"||",'CALENDARIO'!$G$15:$G$214,0)),INDEX(patronHabil,WEEKDAY($J91,2))))))</f>
        <v/>
      </c>
      <c r="T91" s="3">
        <f>IF($I91="","",IFERROR(INDEX('CAT_TIPOS_OT'!$C$4:$C$7,MATCH($I91,'CAT_TIPOS_OT'!$A$4:$A$7,0)),"sin_clasificar"))</f>
        <v/>
      </c>
      <c r="U91" s="3">
        <f>IF($F91="","",IFERROR(INDEX('CAT_CENTROS_COSTO'!$F$4:$F$13,MATCH($F91,'CAT_CENTROS_COSTO'!$A$4:$A$13,0)),"(sin catálogo)"))</f>
        <v/>
      </c>
      <c r="V91" s="3">
        <f>IF($F91="","",IFERROR(INDEX('CAT_CENTROS_COSTO'!$D$4:$D$13,MATCH($F91,'CAT_CENTROS_COSTO'!$A$4:$A$13,0)),"(sin catálogo)"))</f>
        <v/>
      </c>
      <c r="W91" s="3">
        <f>IF($F91="","",IF((IFERROR(INDEX('CAT_CENTROS_COSTO'!$E$4:$E$13,MATCH($F91,'CAT_CENTROS_COSTO'!$A$4:$A$13,0)),""))&lt;&gt;"",IFERROR(INDEX('CAT_CENTROS_COSTO'!$E$4:$E$13,MATCH($F91,'CAT_CENTROS_COSTO'!$A$4:$A$13,0)),""),$V91))</f>
        <v/>
      </c>
      <c r="X91" s="3">
        <f>IF($F91="","",IFERROR(INDEX('CAT_CENTROS_COSTO'!$G$4:$G$13,MATCH($F91,'CAT_CENTROS_COSTO'!$A$4:$A$13,0)),"(sin catálogo)"))</f>
        <v/>
      </c>
      <c r="Y91" s="3">
        <f>IF($G91="","",IFERROR(INDEX('CAT_PUESTOS'!$B$4:$B$8,MATCH($G91,'CAT_PUESTOS'!$A$4:$A$8,0)),"(sin catálogo)"))</f>
        <v/>
      </c>
      <c r="Z91" s="3">
        <f>IF($H91="","",IFERROR(INDEX('CAT_ACTIVIDADES'!$B$4:$B$8,MATCH($H91,'CAT_ACTIVIDADES'!$A$4:$A$8,0)),"(sin catálogo)"))</f>
        <v/>
      </c>
      <c r="AA91" s="12">
        <f>IF($J91="","",TODAY()-$J91)</f>
        <v/>
      </c>
      <c r="AB91" s="12">
        <f>IF($J91="","",IF($J91&lt;=TODAY(),COUNTIFS(cal_fechas,"&gt;="&amp;$J91,cal_fechas,"&lt;"&amp;TODAY(),cal_habil,"sí"),-COUNTIFS(cal_fechas,"&gt;="&amp;TODAY(),cal_fechas,"&lt;"&amp;$J91,cal_habil,"sí")))</f>
        <v/>
      </c>
      <c r="AC91" s="3">
        <f>IF($AB91="","",IF($AB91&lt;0,"FUTURO",IF($AB91&gt;p_dias_backlog_max,"BACKLOG","MES CORRIENTE")))</f>
        <v/>
      </c>
      <c r="AD91" s="3">
        <f>IF($AB91="",FALSE,AND($AB91&gt;p_dias_backlog_min,$AB91&lt;=p_dias_backlog_max))</f>
        <v/>
      </c>
      <c r="AE91" s="6" t="inlineStr">
        <is>
          <t>Técnico 09</t>
        </is>
      </c>
      <c r="AF91" s="3">
        <f>IF($AE91="","",IF((IFERROR(INDEX('ASIGNACIONES'!$F$4:$F$339,MATCH($O91&amp;"|"&amp;$R91&amp;"|"&amp;$AE91,'ASIGNACIONES'!$J$4:$J$339,0)),""))=0,"",IFERROR(INDEX('ASIGNACIONES'!$F$4:$F$339,MATCH($O91&amp;"|"&amp;$R91&amp;"|"&amp;$AE91,'ASIGNACIONES'!$J$4:$J$339,0)),"")))</f>
        <v/>
      </c>
      <c r="AG91" s="13">
        <f>IF($AE91="","",SUMIFS('ORDENES'!$M$4:$M$1203,'ORDENES'!$AE$4:$AE$1203,$AE91,'ORDENES'!$O$4:$O$1203,$O91,'ORDENES'!$R$4:$R$1203,$R91))</f>
        <v/>
      </c>
      <c r="AH91" s="13">
        <f>IF($AG91="","",p_factor_productividad*IFERROR(INDEX('ASIGNACIONES'!$I$4:$I$339,MATCH($O91&amp;"|"&amp;$R91&amp;"|"&amp;$AE91,'ASIGNACIONES'!$J$4:$J$339,0)),0)-$AG91)</f>
        <v/>
      </c>
      <c r="AI91" s="10">
        <f>IF($A91="","",IFERROR(INDEX('2_IMPORTAR_EJECUCION'!$F$9:$F$1208,MATCH($AQ91,'2_IMPORTAR_EJECUCION'!$J$9:$J$1208,0)),0))</f>
        <v/>
      </c>
      <c r="AJ91" s="10">
        <f>IF($A91="","",MAX(0,IFERROR(INDEX('2_IMPORTAR_EJECUCION'!$H$9:$H$1208,MATCH($AQ91,'2_IMPORTAR_EJECUCION'!$J$9:$J$1208,0)),0)-$AI91))</f>
        <v/>
      </c>
      <c r="AK91" s="10">
        <f>IF($A91="","",$AI91+$AJ91)</f>
        <v/>
      </c>
      <c r="AL91" s="6" t="inlineStr"/>
      <c r="AM91" s="6" t="inlineStr"/>
      <c r="AN91" s="6" t="inlineStr">
        <is>
          <t>ACT-02.pdf</t>
        </is>
      </c>
      <c r="AO91" s="3">
        <f>IF($AN91="","",HYPERLINK(p_ruta_base_checklists&amp;$AN91,"abrir"))</f>
        <v/>
      </c>
      <c r="AP91" s="6" t="inlineStr"/>
      <c r="AQ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IF($A92="","",IFERROR(INDEX('AJUSTES'!$B$4:$B$303,MATCH($AQ92,'AJUSTES'!$A$4:$A$303,0)),IF($K92="","",$K92)))</f>
        <v/>
      </c>
      <c r="N92" s="3">
        <f>IF($A92="","",IFERROR(INDEX('CAT_ESTADOS_ERP'!$B$4:$B$7,MATCH(IFERROR(INDEX('2_IMPORTAR_EJECUCION'!$C$9:$C$1208,MATCH($AQ92,'2_IMPORTAR_EJECUCION'!$J$9:$J$1208,0)),""),'CAT_ESTADOS_ERP'!$A$4:$A$7,0)),"Pendiente"))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J92="","",IFERROR(INDEX('CALENDARIO'!$C$15:$C$214,MATCH(TEXT($J92,"yyyy-mm-dd")&amp;"|"&amp;$V92&amp;"|"&amp;$W92,'CALENDARIO'!$G$15:$G$214,0)),IFERROR(INDEX('CALENDARIO'!$C$15:$C$214,MATCH(TEXT($J92,"yyyy-mm-dd")&amp;"|"&amp;$V92&amp;"|",'CALENDARIO'!$G$15:$G$214,0)),IFERROR(INDEX('CALENDARIO'!$C$15:$C$214,MATCH(TEXT($J92,"yyyy-mm-dd")&amp;"||",'CALENDARIO'!$G$15:$G$214,0)),INDEX(patronHabil,WEEKDAY($J92,2))))))</f>
        <v/>
      </c>
      <c r="T92" s="3">
        <f>IF($I92="","",IFERROR(INDEX('CAT_TIPOS_OT'!$C$4:$C$7,MATCH($I92,'CAT_TIPOS_OT'!$A$4:$A$7,0)),"sin_clasificar"))</f>
        <v/>
      </c>
      <c r="U92" s="3">
        <f>IF($F92="","",IFERROR(INDEX('CAT_CENTROS_COSTO'!$F$4:$F$13,MATCH($F92,'CAT_CENTROS_COSTO'!$A$4:$A$13,0)),"(sin catálogo)"))</f>
        <v/>
      </c>
      <c r="V92" s="3">
        <f>IF($F92="","",IFERROR(INDEX('CAT_CENTROS_COSTO'!$D$4:$D$13,MATCH($F92,'CAT_CENTROS_COSTO'!$A$4:$A$13,0)),"(sin catálogo)"))</f>
        <v/>
      </c>
      <c r="W92" s="3">
        <f>IF($F92="","",IF((IFERROR(INDEX('CAT_CENTROS_COSTO'!$E$4:$E$13,MATCH($F92,'CAT_CENTROS_COSTO'!$A$4:$A$13,0)),""))&lt;&gt;"",IFERROR(INDEX('CAT_CENTROS_COSTO'!$E$4:$E$13,MATCH($F92,'CAT_CENTROS_COSTO'!$A$4:$A$13,0)),""),$V92))</f>
        <v/>
      </c>
      <c r="X92" s="3">
        <f>IF($F92="","",IFERROR(INDEX('CAT_CENTROS_COSTO'!$G$4:$G$13,MATCH($F92,'CAT_CENTROS_COSTO'!$A$4:$A$13,0)),"(sin catálogo)"))</f>
        <v/>
      </c>
      <c r="Y92" s="3">
        <f>IF($G92="","",IFERROR(INDEX('CAT_PUESTOS'!$B$4:$B$8,MATCH($G92,'CAT_PUESTOS'!$A$4:$A$8,0)),"(sin catálogo)"))</f>
        <v/>
      </c>
      <c r="Z92" s="3">
        <f>IF($H92="","",IFERROR(INDEX('CAT_ACTIVIDADES'!$B$4:$B$8,MATCH($H92,'CAT_ACTIVIDADES'!$A$4:$A$8,0)),"(sin catálogo)"))</f>
        <v/>
      </c>
      <c r="AA92" s="12">
        <f>IF($J92="","",TODAY()-$J92)</f>
        <v/>
      </c>
      <c r="AB92" s="12">
        <f>IF($J92="","",IF($J92&lt;=TODAY(),COUNTIFS(cal_fechas,"&gt;="&amp;$J92,cal_fechas,"&lt;"&amp;TODAY(),cal_habil,"sí"),-COUNTIFS(cal_fechas,"&gt;="&amp;TODAY(),cal_fechas,"&lt;"&amp;$J92,cal_habil,"sí")))</f>
        <v/>
      </c>
      <c r="AC92" s="3">
        <f>IF($AB92="","",IF($AB92&lt;0,"FUTURO",IF($AB92&gt;p_dias_backlog_max,"BACKLOG","MES CORRIENTE")))</f>
        <v/>
      </c>
      <c r="AD92" s="3">
        <f>IF($AB92="",FALSE,AND($AB92&gt;p_dias_backlog_min,$AB92&lt;=p_dias_backlog_max))</f>
        <v/>
      </c>
      <c r="AE92" s="6" t="inlineStr">
        <is>
          <t>Técnico 08</t>
        </is>
      </c>
      <c r="AF92" s="3">
        <f>IF($AE92="","",IF((IFERROR(INDEX('ASIGNACIONES'!$F$4:$F$339,MATCH($O92&amp;"|"&amp;$R92&amp;"|"&amp;$AE92,'ASIGNACIONES'!$J$4:$J$339,0)),""))=0,"",IFERROR(INDEX('ASIGNACIONES'!$F$4:$F$339,MATCH($O92&amp;"|"&amp;$R92&amp;"|"&amp;$AE92,'ASIGNACIONES'!$J$4:$J$339,0)),"")))</f>
        <v/>
      </c>
      <c r="AG92" s="13">
        <f>IF($AE92="","",SUMIFS('ORDENES'!$M$4:$M$1203,'ORDENES'!$AE$4:$AE$1203,$AE92,'ORDENES'!$O$4:$O$1203,$O92,'ORDENES'!$R$4:$R$1203,$R92))</f>
        <v/>
      </c>
      <c r="AH92" s="13">
        <f>IF($AG92="","",p_factor_productividad*IFERROR(INDEX('ASIGNACIONES'!$I$4:$I$339,MATCH($O92&amp;"|"&amp;$R92&amp;"|"&amp;$AE92,'ASIGNACIONES'!$J$4:$J$339,0)),0)-$AG92)</f>
        <v/>
      </c>
      <c r="AI92" s="10">
        <f>IF($A92="","",IFERROR(INDEX('2_IMPORTAR_EJECUCION'!$F$9:$F$1208,MATCH($AQ92,'2_IMPORTAR_EJECUCION'!$J$9:$J$1208,0)),0))</f>
        <v/>
      </c>
      <c r="AJ92" s="10">
        <f>IF($A92="","",MAX(0,IFERROR(INDEX('2_IMPORTAR_EJECUCION'!$H$9:$H$1208,MATCH($AQ92,'2_IMPORTAR_EJECUCION'!$J$9:$J$1208,0)),0)-$AI92))</f>
        <v/>
      </c>
      <c r="AK92" s="10">
        <f>IF($A92="","",$AI92+$AJ92)</f>
        <v/>
      </c>
      <c r="AL92" s="6" t="inlineStr"/>
      <c r="AM92" s="6" t="inlineStr"/>
      <c r="AN92" s="6" t="inlineStr">
        <is>
          <t>ACT-04.pdf</t>
        </is>
      </c>
      <c r="AO92" s="3">
        <f>IF($AN92="","",HYPERLINK(p_ruta_base_checklists&amp;$AN92,"abrir"))</f>
        <v/>
      </c>
      <c r="AP92" s="6" t="inlineStr"/>
      <c r="AQ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IF($A93="","",IFERROR(INDEX('AJUSTES'!$B$4:$B$303,MATCH($AQ93,'AJUSTES'!$A$4:$A$303,0)),IF($K93="","",$K93)))</f>
        <v/>
      </c>
      <c r="N93" s="3">
        <f>IF($A93="","",IFERROR(INDEX('CAT_ESTADOS_ERP'!$B$4:$B$7,MATCH(IFERROR(INDEX('2_IMPORTAR_EJECUCION'!$C$9:$C$1208,MATCH($AQ93,'2_IMPORTAR_EJECUCION'!$J$9:$J$1208,0)),""),'CAT_ESTADOS_ERP'!$A$4:$A$7,0)),"Pendiente"))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J93="","",IFERROR(INDEX('CALENDARIO'!$C$15:$C$214,MATCH(TEXT($J93,"yyyy-mm-dd")&amp;"|"&amp;$V93&amp;"|"&amp;$W93,'CALENDARIO'!$G$15:$G$214,0)),IFERROR(INDEX('CALENDARIO'!$C$15:$C$214,MATCH(TEXT($J93,"yyyy-mm-dd")&amp;"|"&amp;$V93&amp;"|",'CALENDARIO'!$G$15:$G$214,0)),IFERROR(INDEX('CALENDARIO'!$C$15:$C$214,MATCH(TEXT($J93,"yyyy-mm-dd")&amp;"||",'CALENDARIO'!$G$15:$G$214,0)),INDEX(patronHabil,WEEKDAY($J93,2))))))</f>
        <v/>
      </c>
      <c r="T93" s="3">
        <f>IF($I93="","",IFERROR(INDEX('CAT_TIPOS_OT'!$C$4:$C$7,MATCH($I93,'CAT_TIPOS_OT'!$A$4:$A$7,0)),"sin_clasificar"))</f>
        <v/>
      </c>
      <c r="U93" s="3">
        <f>IF($F93="","",IFERROR(INDEX('CAT_CENTROS_COSTO'!$F$4:$F$13,MATCH($F93,'CAT_CENTROS_COSTO'!$A$4:$A$13,0)),"(sin catálogo)"))</f>
        <v/>
      </c>
      <c r="V93" s="3">
        <f>IF($F93="","",IFERROR(INDEX('CAT_CENTROS_COSTO'!$D$4:$D$13,MATCH($F93,'CAT_CENTROS_COSTO'!$A$4:$A$13,0)),"(sin catálogo)"))</f>
        <v/>
      </c>
      <c r="W93" s="3">
        <f>IF($F93="","",IF((IFERROR(INDEX('CAT_CENTROS_COSTO'!$E$4:$E$13,MATCH($F93,'CAT_CENTROS_COSTO'!$A$4:$A$13,0)),""))&lt;&gt;"",IFERROR(INDEX('CAT_CENTROS_COSTO'!$E$4:$E$13,MATCH($F93,'CAT_CENTROS_COSTO'!$A$4:$A$13,0)),""),$V93))</f>
        <v/>
      </c>
      <c r="X93" s="3">
        <f>IF($F93="","",IFERROR(INDEX('CAT_CENTROS_COSTO'!$G$4:$G$13,MATCH($F93,'CAT_CENTROS_COSTO'!$A$4:$A$13,0)),"(sin catálogo)"))</f>
        <v/>
      </c>
      <c r="Y93" s="3">
        <f>IF($G93="","",IFERROR(INDEX('CAT_PUESTOS'!$B$4:$B$8,MATCH($G93,'CAT_PUESTOS'!$A$4:$A$8,0)),"(sin catálogo)"))</f>
        <v/>
      </c>
      <c r="Z93" s="3">
        <f>IF($H93="","",IFERROR(INDEX('CAT_ACTIVIDADES'!$B$4:$B$8,MATCH($H93,'CAT_ACTIVIDADES'!$A$4:$A$8,0)),"(sin catálogo)"))</f>
        <v/>
      </c>
      <c r="AA93" s="12">
        <f>IF($J93="","",TODAY()-$J93)</f>
        <v/>
      </c>
      <c r="AB93" s="12">
        <f>IF($J93="","",IF($J93&lt;=TODAY(),COUNTIFS(cal_fechas,"&gt;="&amp;$J93,cal_fechas,"&lt;"&amp;TODAY(),cal_habil,"sí"),-COUNTIFS(cal_fechas,"&gt;="&amp;TODAY(),cal_fechas,"&lt;"&amp;$J93,cal_habil,"sí")))</f>
        <v/>
      </c>
      <c r="AC93" s="3">
        <f>IF($AB93="","",IF($AB93&lt;0,"FUTURO",IF($AB93&gt;p_dias_backlog_max,"BACKLOG","MES CORRIENTE")))</f>
        <v/>
      </c>
      <c r="AD93" s="3">
        <f>IF($AB93="",FALSE,AND($AB93&gt;p_dias_backlog_min,$AB93&lt;=p_dias_backlog_max))</f>
        <v/>
      </c>
      <c r="AE93" s="6" t="inlineStr">
        <is>
          <t>Técnico 09</t>
        </is>
      </c>
      <c r="AF93" s="3">
        <f>IF($AE93="","",IF((IFERROR(INDEX('ASIGNACIONES'!$F$4:$F$339,MATCH($O93&amp;"|"&amp;$R93&amp;"|"&amp;$AE93,'ASIGNACIONES'!$J$4:$J$339,0)),""))=0,"",IFERROR(INDEX('ASIGNACIONES'!$F$4:$F$339,MATCH($O93&amp;"|"&amp;$R93&amp;"|"&amp;$AE93,'ASIGNACIONES'!$J$4:$J$339,0)),"")))</f>
        <v/>
      </c>
      <c r="AG93" s="13">
        <f>IF($AE93="","",SUMIFS('ORDENES'!$M$4:$M$1203,'ORDENES'!$AE$4:$AE$1203,$AE93,'ORDENES'!$O$4:$O$1203,$O93,'ORDENES'!$R$4:$R$1203,$R93))</f>
        <v/>
      </c>
      <c r="AH93" s="13">
        <f>IF($AG93="","",p_factor_productividad*IFERROR(INDEX('ASIGNACIONES'!$I$4:$I$339,MATCH($O93&amp;"|"&amp;$R93&amp;"|"&amp;$AE93,'ASIGNACIONES'!$J$4:$J$339,0)),0)-$AG93)</f>
        <v/>
      </c>
      <c r="AI93" s="10">
        <f>IF($A93="","",IFERROR(INDEX('2_IMPORTAR_EJECUCION'!$F$9:$F$1208,MATCH($AQ93,'2_IMPORTAR_EJECUCION'!$J$9:$J$1208,0)),0))</f>
        <v/>
      </c>
      <c r="AJ93" s="10">
        <f>IF($A93="","",MAX(0,IFERROR(INDEX('2_IMPORTAR_EJECUCION'!$H$9:$H$1208,MATCH($AQ93,'2_IMPORTAR_EJECUCION'!$J$9:$J$1208,0)),0)-$AI93))</f>
        <v/>
      </c>
      <c r="AK93" s="10">
        <f>IF($A93="","",$AI93+$AJ93)</f>
        <v/>
      </c>
      <c r="AL93" s="6" t="inlineStr"/>
      <c r="AM93" s="6" t="inlineStr"/>
      <c r="AN93" s="6" t="inlineStr"/>
      <c r="AO93" s="3">
        <f>IF($AN93="","",HYPERLINK(p_ruta_base_checklists&amp;$AN93,"abrir"))</f>
        <v/>
      </c>
      <c r="AP93" s="6" t="inlineStr"/>
      <c r="AQ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IF($A94="","",IFERROR(INDEX('AJUSTES'!$B$4:$B$303,MATCH($AQ94,'AJUSTES'!$A$4:$A$303,0)),IF($K94="","",$K94)))</f>
        <v/>
      </c>
      <c r="N94" s="3">
        <f>IF($A94="","",IFERROR(INDEX('CAT_ESTADOS_ERP'!$B$4:$B$7,MATCH(IFERROR(INDEX('2_IMPORTAR_EJECUCION'!$C$9:$C$1208,MATCH($AQ94,'2_IMPORTAR_EJECUCION'!$J$9:$J$1208,0)),""),'CAT_ESTADOS_ERP'!$A$4:$A$7,0)),"Pendiente"))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J94="","",IFERROR(INDEX('CALENDARIO'!$C$15:$C$214,MATCH(TEXT($J94,"yyyy-mm-dd")&amp;"|"&amp;$V94&amp;"|"&amp;$W94,'CALENDARIO'!$G$15:$G$214,0)),IFERROR(INDEX('CALENDARIO'!$C$15:$C$214,MATCH(TEXT($J94,"yyyy-mm-dd")&amp;"|"&amp;$V94&amp;"|",'CALENDARIO'!$G$15:$G$214,0)),IFERROR(INDEX('CALENDARIO'!$C$15:$C$214,MATCH(TEXT($J94,"yyyy-mm-dd")&amp;"||",'CALENDARIO'!$G$15:$G$214,0)),INDEX(patronHabil,WEEKDAY($J94,2))))))</f>
        <v/>
      </c>
      <c r="T94" s="3">
        <f>IF($I94="","",IFERROR(INDEX('CAT_TIPOS_OT'!$C$4:$C$7,MATCH($I94,'CAT_TIPOS_OT'!$A$4:$A$7,0)),"sin_clasificar"))</f>
        <v/>
      </c>
      <c r="U94" s="3">
        <f>IF($F94="","",IFERROR(INDEX('CAT_CENTROS_COSTO'!$F$4:$F$13,MATCH($F94,'CAT_CENTROS_COSTO'!$A$4:$A$13,0)),"(sin catálogo)"))</f>
        <v/>
      </c>
      <c r="V94" s="3">
        <f>IF($F94="","",IFERROR(INDEX('CAT_CENTROS_COSTO'!$D$4:$D$13,MATCH($F94,'CAT_CENTROS_COSTO'!$A$4:$A$13,0)),"(sin catálogo)"))</f>
        <v/>
      </c>
      <c r="W94" s="3">
        <f>IF($F94="","",IF((IFERROR(INDEX('CAT_CENTROS_COSTO'!$E$4:$E$13,MATCH($F94,'CAT_CENTROS_COSTO'!$A$4:$A$13,0)),""))&lt;&gt;"",IFERROR(INDEX('CAT_CENTROS_COSTO'!$E$4:$E$13,MATCH($F94,'CAT_CENTROS_COSTO'!$A$4:$A$13,0)),""),$V94))</f>
        <v/>
      </c>
      <c r="X94" s="3">
        <f>IF($F94="","",IFERROR(INDEX('CAT_CENTROS_COSTO'!$G$4:$G$13,MATCH($F94,'CAT_CENTROS_COSTO'!$A$4:$A$13,0)),"(sin catálogo)"))</f>
        <v/>
      </c>
      <c r="Y94" s="3">
        <f>IF($G94="","",IFERROR(INDEX('CAT_PUESTOS'!$B$4:$B$8,MATCH($G94,'CAT_PUESTOS'!$A$4:$A$8,0)),"(sin catálogo)"))</f>
        <v/>
      </c>
      <c r="Z94" s="3">
        <f>IF($H94="","",IFERROR(INDEX('CAT_ACTIVIDADES'!$B$4:$B$8,MATCH($H94,'CAT_ACTIVIDADES'!$A$4:$A$8,0)),"(sin catálogo)"))</f>
        <v/>
      </c>
      <c r="AA94" s="12">
        <f>IF($J94="","",TODAY()-$J94)</f>
        <v/>
      </c>
      <c r="AB94" s="12">
        <f>IF($J94="","",IF($J94&lt;=TODAY(),COUNTIFS(cal_fechas,"&gt;="&amp;$J94,cal_fechas,"&lt;"&amp;TODAY(),cal_habil,"sí"),-COUNTIFS(cal_fechas,"&gt;="&amp;TODAY(),cal_fechas,"&lt;"&amp;$J94,cal_habil,"sí")))</f>
        <v/>
      </c>
      <c r="AC94" s="3">
        <f>IF($AB94="","",IF($AB94&lt;0,"FUTURO",IF($AB94&gt;p_dias_backlog_max,"BACKLOG","MES CORRIENTE")))</f>
        <v/>
      </c>
      <c r="AD94" s="3">
        <f>IF($AB94="",FALSE,AND($AB94&gt;p_dias_backlog_min,$AB94&lt;=p_dias_backlog_max))</f>
        <v/>
      </c>
      <c r="AE94" s="6" t="inlineStr">
        <is>
          <t>Técnico 08</t>
        </is>
      </c>
      <c r="AF94" s="3">
        <f>IF($AE94="","",IF((IFERROR(INDEX('ASIGNACIONES'!$F$4:$F$339,MATCH($O94&amp;"|"&amp;$R94&amp;"|"&amp;$AE94,'ASIGNACIONES'!$J$4:$J$339,0)),""))=0,"",IFERROR(INDEX('ASIGNACIONES'!$F$4:$F$339,MATCH($O94&amp;"|"&amp;$R94&amp;"|"&amp;$AE94,'ASIGNACIONES'!$J$4:$J$339,0)),"")))</f>
        <v/>
      </c>
      <c r="AG94" s="13">
        <f>IF($AE94="","",SUMIFS('ORDENES'!$M$4:$M$1203,'ORDENES'!$AE$4:$AE$1203,$AE94,'ORDENES'!$O$4:$O$1203,$O94,'ORDENES'!$R$4:$R$1203,$R94))</f>
        <v/>
      </c>
      <c r="AH94" s="13">
        <f>IF($AG94="","",p_factor_productividad*IFERROR(INDEX('ASIGNACIONES'!$I$4:$I$339,MATCH($O94&amp;"|"&amp;$R94&amp;"|"&amp;$AE94,'ASIGNACIONES'!$J$4:$J$339,0)),0)-$AG94)</f>
        <v/>
      </c>
      <c r="AI94" s="10">
        <f>IF($A94="","",IFERROR(INDEX('2_IMPORTAR_EJECUCION'!$F$9:$F$1208,MATCH($AQ94,'2_IMPORTAR_EJECUCION'!$J$9:$J$1208,0)),0))</f>
        <v/>
      </c>
      <c r="AJ94" s="10">
        <f>IF($A94="","",MAX(0,IFERROR(INDEX('2_IMPORTAR_EJECUCION'!$H$9:$H$1208,MATCH($AQ94,'2_IMPORTAR_EJECUCION'!$J$9:$J$1208,0)),0)-$AI94))</f>
        <v/>
      </c>
      <c r="AK94" s="10">
        <f>IF($A94="","",$AI94+$AJ94)</f>
        <v/>
      </c>
      <c r="AL94" s="6" t="inlineStr"/>
      <c r="AM94" s="6" t="inlineStr"/>
      <c r="AN94" s="6" t="inlineStr">
        <is>
          <t>ACT-02.pdf</t>
        </is>
      </c>
      <c r="AO94" s="3">
        <f>IF($AN94="","",HYPERLINK(p_ruta_base_checklists&amp;$AN94,"abrir"))</f>
        <v/>
      </c>
      <c r="AP94" s="6" t="inlineStr"/>
      <c r="AQ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IF($A95="","",IFERROR(INDEX('AJUSTES'!$B$4:$B$303,MATCH($AQ95,'AJUSTES'!$A$4:$A$303,0)),IF($K95="","",$K95)))</f>
        <v/>
      </c>
      <c r="N95" s="3">
        <f>IF($A95="","",IFERROR(INDEX('CAT_ESTADOS_ERP'!$B$4:$B$7,MATCH(IFERROR(INDEX('2_IMPORTAR_EJECUCION'!$C$9:$C$1208,MATCH($AQ95,'2_IMPORTAR_EJECUCION'!$J$9:$J$1208,0)),""),'CAT_ESTADOS_ERP'!$A$4:$A$7,0)),"Pendiente"))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J95="","",IFERROR(INDEX('CALENDARIO'!$C$15:$C$214,MATCH(TEXT($J95,"yyyy-mm-dd")&amp;"|"&amp;$V95&amp;"|"&amp;$W95,'CALENDARIO'!$G$15:$G$214,0)),IFERROR(INDEX('CALENDARIO'!$C$15:$C$214,MATCH(TEXT($J95,"yyyy-mm-dd")&amp;"|"&amp;$V95&amp;"|",'CALENDARIO'!$G$15:$G$214,0)),IFERROR(INDEX('CALENDARIO'!$C$15:$C$214,MATCH(TEXT($J95,"yyyy-mm-dd")&amp;"||",'CALENDARIO'!$G$15:$G$214,0)),INDEX(patronHabil,WEEKDAY($J95,2))))))</f>
        <v/>
      </c>
      <c r="T95" s="3">
        <f>IF($I95="","",IFERROR(INDEX('CAT_TIPOS_OT'!$C$4:$C$7,MATCH($I95,'CAT_TIPOS_OT'!$A$4:$A$7,0)),"sin_clasificar"))</f>
        <v/>
      </c>
      <c r="U95" s="3">
        <f>IF($F95="","",IFERROR(INDEX('CAT_CENTROS_COSTO'!$F$4:$F$13,MATCH($F95,'CAT_CENTROS_COSTO'!$A$4:$A$13,0)),"(sin catálogo)"))</f>
        <v/>
      </c>
      <c r="V95" s="3">
        <f>IF($F95="","",IFERROR(INDEX('CAT_CENTROS_COSTO'!$D$4:$D$13,MATCH($F95,'CAT_CENTROS_COSTO'!$A$4:$A$13,0)),"(sin catálogo)"))</f>
        <v/>
      </c>
      <c r="W95" s="3">
        <f>IF($F95="","",IF((IFERROR(INDEX('CAT_CENTROS_COSTO'!$E$4:$E$13,MATCH($F95,'CAT_CENTROS_COSTO'!$A$4:$A$13,0)),""))&lt;&gt;"",IFERROR(INDEX('CAT_CENTROS_COSTO'!$E$4:$E$13,MATCH($F95,'CAT_CENTROS_COSTO'!$A$4:$A$13,0)),""),$V95))</f>
        <v/>
      </c>
      <c r="X95" s="3">
        <f>IF($F95="","",IFERROR(INDEX('CAT_CENTROS_COSTO'!$G$4:$G$13,MATCH($F95,'CAT_CENTROS_COSTO'!$A$4:$A$13,0)),"(sin catálogo)"))</f>
        <v/>
      </c>
      <c r="Y95" s="3">
        <f>IF($G95="","",IFERROR(INDEX('CAT_PUESTOS'!$B$4:$B$8,MATCH($G95,'CAT_PUESTOS'!$A$4:$A$8,0)),"(sin catálogo)"))</f>
        <v/>
      </c>
      <c r="Z95" s="3">
        <f>IF($H95="","",IFERROR(INDEX('CAT_ACTIVIDADES'!$B$4:$B$8,MATCH($H95,'CAT_ACTIVIDADES'!$A$4:$A$8,0)),"(sin catálogo)"))</f>
        <v/>
      </c>
      <c r="AA95" s="12">
        <f>IF($J95="","",TODAY()-$J95)</f>
        <v/>
      </c>
      <c r="AB95" s="12">
        <f>IF($J95="","",IF($J95&lt;=TODAY(),COUNTIFS(cal_fechas,"&gt;="&amp;$J95,cal_fechas,"&lt;"&amp;TODAY(),cal_habil,"sí"),-COUNTIFS(cal_fechas,"&gt;="&amp;TODAY(),cal_fechas,"&lt;"&amp;$J95,cal_habil,"sí")))</f>
        <v/>
      </c>
      <c r="AC95" s="3">
        <f>IF($AB95="","",IF($AB95&lt;0,"FUTURO",IF($AB95&gt;p_dias_backlog_max,"BACKLOG","MES CORRIENTE")))</f>
        <v/>
      </c>
      <c r="AD95" s="3">
        <f>IF($AB95="",FALSE,AND($AB95&gt;p_dias_backlog_min,$AB95&lt;=p_dias_backlog_max))</f>
        <v/>
      </c>
      <c r="AE95" s="6" t="inlineStr">
        <is>
          <t>Técnico 09</t>
        </is>
      </c>
      <c r="AF95" s="3">
        <f>IF($AE95="","",IF((IFERROR(INDEX('ASIGNACIONES'!$F$4:$F$339,MATCH($O95&amp;"|"&amp;$R95&amp;"|"&amp;$AE95,'ASIGNACIONES'!$J$4:$J$339,0)),""))=0,"",IFERROR(INDEX('ASIGNACIONES'!$F$4:$F$339,MATCH($O95&amp;"|"&amp;$R95&amp;"|"&amp;$AE95,'ASIGNACIONES'!$J$4:$J$339,0)),"")))</f>
        <v/>
      </c>
      <c r="AG95" s="13">
        <f>IF($AE95="","",SUMIFS('ORDENES'!$M$4:$M$1203,'ORDENES'!$AE$4:$AE$1203,$AE95,'ORDENES'!$O$4:$O$1203,$O95,'ORDENES'!$R$4:$R$1203,$R95))</f>
        <v/>
      </c>
      <c r="AH95" s="13">
        <f>IF($AG95="","",p_factor_productividad*IFERROR(INDEX('ASIGNACIONES'!$I$4:$I$339,MATCH($O95&amp;"|"&amp;$R95&amp;"|"&amp;$AE95,'ASIGNACIONES'!$J$4:$J$339,0)),0)-$AG95)</f>
        <v/>
      </c>
      <c r="AI95" s="10">
        <f>IF($A95="","",IFERROR(INDEX('2_IMPORTAR_EJECUCION'!$F$9:$F$1208,MATCH($AQ95,'2_IMPORTAR_EJECUCION'!$J$9:$J$1208,0)),0))</f>
        <v/>
      </c>
      <c r="AJ95" s="10">
        <f>IF($A95="","",MAX(0,IFERROR(INDEX('2_IMPORTAR_EJECUCION'!$H$9:$H$1208,MATCH($AQ95,'2_IMPORTAR_EJECUCION'!$J$9:$J$1208,0)),0)-$AI95))</f>
        <v/>
      </c>
      <c r="AK95" s="10">
        <f>IF($A95="","",$AI95+$AJ95)</f>
        <v/>
      </c>
      <c r="AL95" s="6" t="inlineStr"/>
      <c r="AM95" s="6" t="inlineStr"/>
      <c r="AN95" s="6" t="inlineStr">
        <is>
          <t>ACT-04.pdf</t>
        </is>
      </c>
      <c r="AO95" s="3">
        <f>IF($AN95="","",HYPERLINK(p_ruta_base_checklists&amp;$AN95,"abrir"))</f>
        <v/>
      </c>
      <c r="AP95" s="6" t="inlineStr"/>
      <c r="AQ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IF($A96="","",IFERROR(INDEX('AJUSTES'!$B$4:$B$303,MATCH($AQ96,'AJUSTES'!$A$4:$A$303,0)),IF($K96="","",$K96)))</f>
        <v/>
      </c>
      <c r="N96" s="3">
        <f>IF($A96="","",IFERROR(INDEX('CAT_ESTADOS_ERP'!$B$4:$B$7,MATCH(IFERROR(INDEX('2_IMPORTAR_EJECUCION'!$C$9:$C$1208,MATCH($AQ96,'2_IMPORTAR_EJECUCION'!$J$9:$J$1208,0)),""),'CAT_ESTADOS_ERP'!$A$4:$A$7,0)),"Pendiente"))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J96="","",IFERROR(INDEX('CALENDARIO'!$C$15:$C$214,MATCH(TEXT($J96,"yyyy-mm-dd")&amp;"|"&amp;$V96&amp;"|"&amp;$W96,'CALENDARIO'!$G$15:$G$214,0)),IFERROR(INDEX('CALENDARIO'!$C$15:$C$214,MATCH(TEXT($J96,"yyyy-mm-dd")&amp;"|"&amp;$V96&amp;"|",'CALENDARIO'!$G$15:$G$214,0)),IFERROR(INDEX('CALENDARIO'!$C$15:$C$214,MATCH(TEXT($J96,"yyyy-mm-dd")&amp;"||",'CALENDARIO'!$G$15:$G$214,0)),INDEX(patronHabil,WEEKDAY($J96,2))))))</f>
        <v/>
      </c>
      <c r="T96" s="3">
        <f>IF($I96="","",IFERROR(INDEX('CAT_TIPOS_OT'!$C$4:$C$7,MATCH($I96,'CAT_TIPOS_OT'!$A$4:$A$7,0)),"sin_clasificar"))</f>
        <v/>
      </c>
      <c r="U96" s="3">
        <f>IF($F96="","",IFERROR(INDEX('CAT_CENTROS_COSTO'!$F$4:$F$13,MATCH($F96,'CAT_CENTROS_COSTO'!$A$4:$A$13,0)),"(sin catálogo)"))</f>
        <v/>
      </c>
      <c r="V96" s="3">
        <f>IF($F96="","",IFERROR(INDEX('CAT_CENTROS_COSTO'!$D$4:$D$13,MATCH($F96,'CAT_CENTROS_COSTO'!$A$4:$A$13,0)),"(sin catálogo)"))</f>
        <v/>
      </c>
      <c r="W96" s="3">
        <f>IF($F96="","",IF((IFERROR(INDEX('CAT_CENTROS_COSTO'!$E$4:$E$13,MATCH($F96,'CAT_CENTROS_COSTO'!$A$4:$A$13,0)),""))&lt;&gt;"",IFERROR(INDEX('CAT_CENTROS_COSTO'!$E$4:$E$13,MATCH($F96,'CAT_CENTROS_COSTO'!$A$4:$A$13,0)),""),$V96))</f>
        <v/>
      </c>
      <c r="X96" s="3">
        <f>IF($F96="","",IFERROR(INDEX('CAT_CENTROS_COSTO'!$G$4:$G$13,MATCH($F96,'CAT_CENTROS_COSTO'!$A$4:$A$13,0)),"(sin catálogo)"))</f>
        <v/>
      </c>
      <c r="Y96" s="3">
        <f>IF($G96="","",IFERROR(INDEX('CAT_PUESTOS'!$B$4:$B$8,MATCH($G96,'CAT_PUESTOS'!$A$4:$A$8,0)),"(sin catálogo)"))</f>
        <v/>
      </c>
      <c r="Z96" s="3">
        <f>IF($H96="","",IFERROR(INDEX('CAT_ACTIVIDADES'!$B$4:$B$8,MATCH($H96,'CAT_ACTIVIDADES'!$A$4:$A$8,0)),"(sin catálogo)"))</f>
        <v/>
      </c>
      <c r="AA96" s="12">
        <f>IF($J96="","",TODAY()-$J96)</f>
        <v/>
      </c>
      <c r="AB96" s="12">
        <f>IF($J96="","",IF($J96&lt;=TODAY(),COUNTIFS(cal_fechas,"&gt;="&amp;$J96,cal_fechas,"&lt;"&amp;TODAY(),cal_habil,"sí"),-COUNTIFS(cal_fechas,"&gt;="&amp;TODAY(),cal_fechas,"&lt;"&amp;$J96,cal_habil,"sí")))</f>
        <v/>
      </c>
      <c r="AC96" s="3">
        <f>IF($AB96="","",IF($AB96&lt;0,"FUTURO",IF($AB96&gt;p_dias_backlog_max,"BACKLOG","MES CORRIENTE")))</f>
        <v/>
      </c>
      <c r="AD96" s="3">
        <f>IF($AB96="",FALSE,AND($AB96&gt;p_dias_backlog_min,$AB96&lt;=p_dias_backlog_max))</f>
        <v/>
      </c>
      <c r="AE96" s="6" t="inlineStr">
        <is>
          <t>Técnico 08</t>
        </is>
      </c>
      <c r="AF96" s="3">
        <f>IF($AE96="","",IF((IFERROR(INDEX('ASIGNACIONES'!$F$4:$F$339,MATCH($O96&amp;"|"&amp;$R96&amp;"|"&amp;$AE96,'ASIGNACIONES'!$J$4:$J$339,0)),""))=0,"",IFERROR(INDEX('ASIGNACIONES'!$F$4:$F$339,MATCH($O96&amp;"|"&amp;$R96&amp;"|"&amp;$AE96,'ASIGNACIONES'!$J$4:$J$339,0)),"")))</f>
        <v/>
      </c>
      <c r="AG96" s="13">
        <f>IF($AE96="","",SUMIFS('ORDENES'!$M$4:$M$1203,'ORDENES'!$AE$4:$AE$1203,$AE96,'ORDENES'!$O$4:$O$1203,$O96,'ORDENES'!$R$4:$R$1203,$R96))</f>
        <v/>
      </c>
      <c r="AH96" s="13">
        <f>IF($AG96="","",p_factor_productividad*IFERROR(INDEX('ASIGNACIONES'!$I$4:$I$339,MATCH($O96&amp;"|"&amp;$R96&amp;"|"&amp;$AE96,'ASIGNACIONES'!$J$4:$J$339,0)),0)-$AG96)</f>
        <v/>
      </c>
      <c r="AI96" s="10">
        <f>IF($A96="","",IFERROR(INDEX('2_IMPORTAR_EJECUCION'!$F$9:$F$1208,MATCH($AQ96,'2_IMPORTAR_EJECUCION'!$J$9:$J$1208,0)),0))</f>
        <v/>
      </c>
      <c r="AJ96" s="10">
        <f>IF($A96="","",MAX(0,IFERROR(INDEX('2_IMPORTAR_EJECUCION'!$H$9:$H$1208,MATCH($AQ96,'2_IMPORTAR_EJECUCION'!$J$9:$J$1208,0)),0)-$AI96))</f>
        <v/>
      </c>
      <c r="AK96" s="10">
        <f>IF($A96="","",$AI96+$AJ96)</f>
        <v/>
      </c>
      <c r="AL96" s="6" t="inlineStr"/>
      <c r="AM96" s="6" t="inlineStr"/>
      <c r="AN96" s="6" t="inlineStr">
        <is>
          <t>ACT-01.pdf</t>
        </is>
      </c>
      <c r="AO96" s="3">
        <f>IF($AN96="","",HYPERLINK(p_ruta_base_checklists&amp;$AN96,"abrir"))</f>
        <v/>
      </c>
      <c r="AP96" s="6" t="inlineStr"/>
      <c r="AQ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IF($A97="","",IFERROR(INDEX('AJUSTES'!$B$4:$B$303,MATCH($AQ97,'AJUSTES'!$A$4:$A$303,0)),IF($K97="","",$K97)))</f>
        <v/>
      </c>
      <c r="N97" s="3">
        <f>IF($A97="","",IFERROR(INDEX('CAT_ESTADOS_ERP'!$B$4:$B$7,MATCH(IFERROR(INDEX('2_IMPORTAR_EJECUCION'!$C$9:$C$1208,MATCH($AQ97,'2_IMPORTAR_EJECUCION'!$J$9:$J$1208,0)),""),'CAT_ESTADOS_ERP'!$A$4:$A$7,0)),"Pendiente"))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J97="","",IFERROR(INDEX('CALENDARIO'!$C$15:$C$214,MATCH(TEXT($J97,"yyyy-mm-dd")&amp;"|"&amp;$V97&amp;"|"&amp;$W97,'CALENDARIO'!$G$15:$G$214,0)),IFERROR(INDEX('CALENDARIO'!$C$15:$C$214,MATCH(TEXT($J97,"yyyy-mm-dd")&amp;"|"&amp;$V97&amp;"|",'CALENDARIO'!$G$15:$G$214,0)),IFERROR(INDEX('CALENDARIO'!$C$15:$C$214,MATCH(TEXT($J97,"yyyy-mm-dd")&amp;"||",'CALENDARIO'!$G$15:$G$214,0)),INDEX(patronHabil,WEEKDAY($J97,2))))))</f>
        <v/>
      </c>
      <c r="T97" s="3">
        <f>IF($I97="","",IFERROR(INDEX('CAT_TIPOS_OT'!$C$4:$C$7,MATCH($I97,'CAT_TIPOS_OT'!$A$4:$A$7,0)),"sin_clasificar"))</f>
        <v/>
      </c>
      <c r="U97" s="3">
        <f>IF($F97="","",IFERROR(INDEX('CAT_CENTROS_COSTO'!$F$4:$F$13,MATCH($F97,'CAT_CENTROS_COSTO'!$A$4:$A$13,0)),"(sin catálogo)"))</f>
        <v/>
      </c>
      <c r="V97" s="3">
        <f>IF($F97="","",IFERROR(INDEX('CAT_CENTROS_COSTO'!$D$4:$D$13,MATCH($F97,'CAT_CENTROS_COSTO'!$A$4:$A$13,0)),"(sin catálogo)"))</f>
        <v/>
      </c>
      <c r="W97" s="3">
        <f>IF($F97="","",IF((IFERROR(INDEX('CAT_CENTROS_COSTO'!$E$4:$E$13,MATCH($F97,'CAT_CENTROS_COSTO'!$A$4:$A$13,0)),""))&lt;&gt;"",IFERROR(INDEX('CAT_CENTROS_COSTO'!$E$4:$E$13,MATCH($F97,'CAT_CENTROS_COSTO'!$A$4:$A$13,0)),""),$V97))</f>
        <v/>
      </c>
      <c r="X97" s="3">
        <f>IF($F97="","",IFERROR(INDEX('CAT_CENTROS_COSTO'!$G$4:$G$13,MATCH($F97,'CAT_CENTROS_COSTO'!$A$4:$A$13,0)),"(sin catálogo)"))</f>
        <v/>
      </c>
      <c r="Y97" s="3">
        <f>IF($G97="","",IFERROR(INDEX('CAT_PUESTOS'!$B$4:$B$8,MATCH($G97,'CAT_PUESTOS'!$A$4:$A$8,0)),"(sin catálogo)"))</f>
        <v/>
      </c>
      <c r="Z97" s="3">
        <f>IF($H97="","",IFERROR(INDEX('CAT_ACTIVIDADES'!$B$4:$B$8,MATCH($H97,'CAT_ACTIVIDADES'!$A$4:$A$8,0)),"(sin catálogo)"))</f>
        <v/>
      </c>
      <c r="AA97" s="12">
        <f>IF($J97="","",TODAY()-$J97)</f>
        <v/>
      </c>
      <c r="AB97" s="12">
        <f>IF($J97="","",IF($J97&lt;=TODAY(),COUNTIFS(cal_fechas,"&gt;="&amp;$J97,cal_fechas,"&lt;"&amp;TODAY(),cal_habil,"sí"),-COUNTIFS(cal_fechas,"&gt;="&amp;TODAY(),cal_fechas,"&lt;"&amp;$J97,cal_habil,"sí")))</f>
        <v/>
      </c>
      <c r="AC97" s="3">
        <f>IF($AB97="","",IF($AB97&lt;0,"FUTURO",IF($AB97&gt;p_dias_backlog_max,"BACKLOG","MES CORRIENTE")))</f>
        <v/>
      </c>
      <c r="AD97" s="3">
        <f>IF($AB97="",FALSE,AND($AB97&gt;p_dias_backlog_min,$AB97&lt;=p_dias_backlog_max))</f>
        <v/>
      </c>
      <c r="AE97" s="6" t="inlineStr">
        <is>
          <t>Técnico 09</t>
        </is>
      </c>
      <c r="AF97" s="3">
        <f>IF($AE97="","",IF((IFERROR(INDEX('ASIGNACIONES'!$F$4:$F$339,MATCH($O97&amp;"|"&amp;$R97&amp;"|"&amp;$AE97,'ASIGNACIONES'!$J$4:$J$339,0)),""))=0,"",IFERROR(INDEX('ASIGNACIONES'!$F$4:$F$339,MATCH($O97&amp;"|"&amp;$R97&amp;"|"&amp;$AE97,'ASIGNACIONES'!$J$4:$J$339,0)),"")))</f>
        <v/>
      </c>
      <c r="AG97" s="13">
        <f>IF($AE97="","",SUMIFS('ORDENES'!$M$4:$M$1203,'ORDENES'!$AE$4:$AE$1203,$AE97,'ORDENES'!$O$4:$O$1203,$O97,'ORDENES'!$R$4:$R$1203,$R97))</f>
        <v/>
      </c>
      <c r="AH97" s="13">
        <f>IF($AG97="","",p_factor_productividad*IFERROR(INDEX('ASIGNACIONES'!$I$4:$I$339,MATCH($O97&amp;"|"&amp;$R97&amp;"|"&amp;$AE97,'ASIGNACIONES'!$J$4:$J$339,0)),0)-$AG97)</f>
        <v/>
      </c>
      <c r="AI97" s="10">
        <f>IF($A97="","",IFERROR(INDEX('2_IMPORTAR_EJECUCION'!$F$9:$F$1208,MATCH($AQ97,'2_IMPORTAR_EJECUCION'!$J$9:$J$1208,0)),0))</f>
        <v/>
      </c>
      <c r="AJ97" s="10">
        <f>IF($A97="","",MAX(0,IFERROR(INDEX('2_IMPORTAR_EJECUCION'!$H$9:$H$1208,MATCH($AQ97,'2_IMPORTAR_EJECUCION'!$J$9:$J$1208,0)),0)-$AI97))</f>
        <v/>
      </c>
      <c r="AK97" s="10">
        <f>IF($A97="","",$AI97+$AJ97)</f>
        <v/>
      </c>
      <c r="AL97" s="6" t="inlineStr"/>
      <c r="AM97" s="6" t="inlineStr"/>
      <c r="AN97" s="6" t="inlineStr">
        <is>
          <t>ACT-02.pdf</t>
        </is>
      </c>
      <c r="AO97" s="3">
        <f>IF($AN97="","",HYPERLINK(p_ruta_base_checklists&amp;$AN97,"abrir"))</f>
        <v/>
      </c>
      <c r="AP97" s="6" t="inlineStr"/>
      <c r="AQ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IF($A98="","",IFERROR(INDEX('AJUSTES'!$B$4:$B$303,MATCH($AQ98,'AJUSTES'!$A$4:$A$303,0)),IF($K98="","",$K98)))</f>
        <v/>
      </c>
      <c r="N98" s="3">
        <f>IF($A98="","",IFERROR(INDEX('CAT_ESTADOS_ERP'!$B$4:$B$7,MATCH(IFERROR(INDEX('2_IMPORTAR_EJECUCION'!$C$9:$C$1208,MATCH($AQ98,'2_IMPORTAR_EJECUCION'!$J$9:$J$1208,0)),""),'CAT_ESTADOS_ERP'!$A$4:$A$7,0)),"Pendiente"))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J98="","",IFERROR(INDEX('CALENDARIO'!$C$15:$C$214,MATCH(TEXT($J98,"yyyy-mm-dd")&amp;"|"&amp;$V98&amp;"|"&amp;$W98,'CALENDARIO'!$G$15:$G$214,0)),IFERROR(INDEX('CALENDARIO'!$C$15:$C$214,MATCH(TEXT($J98,"yyyy-mm-dd")&amp;"|"&amp;$V98&amp;"|",'CALENDARIO'!$G$15:$G$214,0)),IFERROR(INDEX('CALENDARIO'!$C$15:$C$214,MATCH(TEXT($J98,"yyyy-mm-dd")&amp;"||",'CALENDARIO'!$G$15:$G$214,0)),INDEX(patronHabil,WEEKDAY($J98,2))))))</f>
        <v/>
      </c>
      <c r="T98" s="3">
        <f>IF($I98="","",IFERROR(INDEX('CAT_TIPOS_OT'!$C$4:$C$7,MATCH($I98,'CAT_TIPOS_OT'!$A$4:$A$7,0)),"sin_clasificar"))</f>
        <v/>
      </c>
      <c r="U98" s="3">
        <f>IF($F98="","",IFERROR(INDEX('CAT_CENTROS_COSTO'!$F$4:$F$13,MATCH($F98,'CAT_CENTROS_COSTO'!$A$4:$A$13,0)),"(sin catálogo)"))</f>
        <v/>
      </c>
      <c r="V98" s="3">
        <f>IF($F98="","",IFERROR(INDEX('CAT_CENTROS_COSTO'!$D$4:$D$13,MATCH($F98,'CAT_CENTROS_COSTO'!$A$4:$A$13,0)),"(sin catálogo)"))</f>
        <v/>
      </c>
      <c r="W98" s="3">
        <f>IF($F98="","",IF((IFERROR(INDEX('CAT_CENTROS_COSTO'!$E$4:$E$13,MATCH($F98,'CAT_CENTROS_COSTO'!$A$4:$A$13,0)),""))&lt;&gt;"",IFERROR(INDEX('CAT_CENTROS_COSTO'!$E$4:$E$13,MATCH($F98,'CAT_CENTROS_COSTO'!$A$4:$A$13,0)),""),$V98))</f>
        <v/>
      </c>
      <c r="X98" s="3">
        <f>IF($F98="","",IFERROR(INDEX('CAT_CENTROS_COSTO'!$G$4:$G$13,MATCH($F98,'CAT_CENTROS_COSTO'!$A$4:$A$13,0)),"(sin catálogo)"))</f>
        <v/>
      </c>
      <c r="Y98" s="3">
        <f>IF($G98="","",IFERROR(INDEX('CAT_PUESTOS'!$B$4:$B$8,MATCH($G98,'CAT_PUESTOS'!$A$4:$A$8,0)),"(sin catálogo)"))</f>
        <v/>
      </c>
      <c r="Z98" s="3">
        <f>IF($H98="","",IFERROR(INDEX('CAT_ACTIVIDADES'!$B$4:$B$8,MATCH($H98,'CAT_ACTIVIDADES'!$A$4:$A$8,0)),"(sin catálogo)"))</f>
        <v/>
      </c>
      <c r="AA98" s="12">
        <f>IF($J98="","",TODAY()-$J98)</f>
        <v/>
      </c>
      <c r="AB98" s="12">
        <f>IF($J98="","",IF($J98&lt;=TODAY(),COUNTIFS(cal_fechas,"&gt;="&amp;$J98,cal_fechas,"&lt;"&amp;TODAY(),cal_habil,"sí"),-COUNTIFS(cal_fechas,"&gt;="&amp;TODAY(),cal_fechas,"&lt;"&amp;$J98,cal_habil,"sí")))</f>
        <v/>
      </c>
      <c r="AC98" s="3">
        <f>IF($AB98="","",IF($AB98&lt;0,"FUTURO",IF($AB98&gt;p_dias_backlog_max,"BACKLOG","MES CORRIENTE")))</f>
        <v/>
      </c>
      <c r="AD98" s="3">
        <f>IF($AB98="",FALSE,AND($AB98&gt;p_dias_backlog_min,$AB98&lt;=p_dias_backlog_max))</f>
        <v/>
      </c>
      <c r="AE98" s="6" t="inlineStr">
        <is>
          <t>Técnico 08</t>
        </is>
      </c>
      <c r="AF98" s="3">
        <f>IF($AE98="","",IF((IFERROR(INDEX('ASIGNACIONES'!$F$4:$F$339,MATCH($O98&amp;"|"&amp;$R98&amp;"|"&amp;$AE98,'ASIGNACIONES'!$J$4:$J$339,0)),""))=0,"",IFERROR(INDEX('ASIGNACIONES'!$F$4:$F$339,MATCH($O98&amp;"|"&amp;$R98&amp;"|"&amp;$AE98,'ASIGNACIONES'!$J$4:$J$339,0)),"")))</f>
        <v/>
      </c>
      <c r="AG98" s="13">
        <f>IF($AE98="","",SUMIFS('ORDENES'!$M$4:$M$1203,'ORDENES'!$AE$4:$AE$1203,$AE98,'ORDENES'!$O$4:$O$1203,$O98,'ORDENES'!$R$4:$R$1203,$R98))</f>
        <v/>
      </c>
      <c r="AH98" s="13">
        <f>IF($AG98="","",p_factor_productividad*IFERROR(INDEX('ASIGNACIONES'!$I$4:$I$339,MATCH($O98&amp;"|"&amp;$R98&amp;"|"&amp;$AE98,'ASIGNACIONES'!$J$4:$J$339,0)),0)-$AG98)</f>
        <v/>
      </c>
      <c r="AI98" s="10">
        <f>IF($A98="","",IFERROR(INDEX('2_IMPORTAR_EJECUCION'!$F$9:$F$1208,MATCH($AQ98,'2_IMPORTAR_EJECUCION'!$J$9:$J$1208,0)),0))</f>
        <v/>
      </c>
      <c r="AJ98" s="10">
        <f>IF($A98="","",MAX(0,IFERROR(INDEX('2_IMPORTAR_EJECUCION'!$H$9:$H$1208,MATCH($AQ98,'2_IMPORTAR_EJECUCION'!$J$9:$J$1208,0)),0)-$AI98))</f>
        <v/>
      </c>
      <c r="AK98" s="10">
        <f>IF($A98="","",$AI98+$AJ98)</f>
        <v/>
      </c>
      <c r="AL98" s="6" t="inlineStr"/>
      <c r="AM98" s="6" t="inlineStr"/>
      <c r="AN98" s="6" t="inlineStr">
        <is>
          <t>ACT-04.pdf</t>
        </is>
      </c>
      <c r="AO98" s="3">
        <f>IF($AN98="","",HYPERLINK(p_ruta_base_checklists&amp;$AN98,"abrir"))</f>
        <v/>
      </c>
      <c r="AP98" s="6" t="inlineStr"/>
      <c r="AQ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IF($A99="","",IFERROR(INDEX('AJUSTES'!$B$4:$B$303,MATCH($AQ99,'AJUSTES'!$A$4:$A$303,0)),IF($K99="","",$K99)))</f>
        <v/>
      </c>
      <c r="N99" s="3">
        <f>IF($A99="","",IFERROR(INDEX('CAT_ESTADOS_ERP'!$B$4:$B$7,MATCH(IFERROR(INDEX('2_IMPORTAR_EJECUCION'!$C$9:$C$1208,MATCH($AQ99,'2_IMPORTAR_EJECUCION'!$J$9:$J$1208,0)),""),'CAT_ESTADOS_ERP'!$A$4:$A$7,0)),"Pendiente"))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J99="","",IFERROR(INDEX('CALENDARIO'!$C$15:$C$214,MATCH(TEXT($J99,"yyyy-mm-dd")&amp;"|"&amp;$V99&amp;"|"&amp;$W99,'CALENDARIO'!$G$15:$G$214,0)),IFERROR(INDEX('CALENDARIO'!$C$15:$C$214,MATCH(TEXT($J99,"yyyy-mm-dd")&amp;"|"&amp;$V99&amp;"|",'CALENDARIO'!$G$15:$G$214,0)),IFERROR(INDEX('CALENDARIO'!$C$15:$C$214,MATCH(TEXT($J99,"yyyy-mm-dd")&amp;"||",'CALENDARIO'!$G$15:$G$214,0)),INDEX(patronHabil,WEEKDAY($J99,2))))))</f>
        <v/>
      </c>
      <c r="T99" s="3">
        <f>IF($I99="","",IFERROR(INDEX('CAT_TIPOS_OT'!$C$4:$C$7,MATCH($I99,'CAT_TIPOS_OT'!$A$4:$A$7,0)),"sin_clasificar"))</f>
        <v/>
      </c>
      <c r="U99" s="3">
        <f>IF($F99="","",IFERROR(INDEX('CAT_CENTROS_COSTO'!$F$4:$F$13,MATCH($F99,'CAT_CENTROS_COSTO'!$A$4:$A$13,0)),"(sin catálogo)"))</f>
        <v/>
      </c>
      <c r="V99" s="3">
        <f>IF($F99="","",IFERROR(INDEX('CAT_CENTROS_COSTO'!$D$4:$D$13,MATCH($F99,'CAT_CENTROS_COSTO'!$A$4:$A$13,0)),"(sin catálogo)"))</f>
        <v/>
      </c>
      <c r="W99" s="3">
        <f>IF($F99="","",IF((IFERROR(INDEX('CAT_CENTROS_COSTO'!$E$4:$E$13,MATCH($F99,'CAT_CENTROS_COSTO'!$A$4:$A$13,0)),""))&lt;&gt;"",IFERROR(INDEX('CAT_CENTROS_COSTO'!$E$4:$E$13,MATCH($F99,'CAT_CENTROS_COSTO'!$A$4:$A$13,0)),""),$V99))</f>
        <v/>
      </c>
      <c r="X99" s="3">
        <f>IF($F99="","",IFERROR(INDEX('CAT_CENTROS_COSTO'!$G$4:$G$13,MATCH($F99,'CAT_CENTROS_COSTO'!$A$4:$A$13,0)),"(sin catálogo)"))</f>
        <v/>
      </c>
      <c r="Y99" s="3">
        <f>IF($G99="","",IFERROR(INDEX('CAT_PUESTOS'!$B$4:$B$8,MATCH($G99,'CAT_PUESTOS'!$A$4:$A$8,0)),"(sin catálogo)"))</f>
        <v/>
      </c>
      <c r="Z99" s="3">
        <f>IF($H99="","",IFERROR(INDEX('CAT_ACTIVIDADES'!$B$4:$B$8,MATCH($H99,'CAT_ACTIVIDADES'!$A$4:$A$8,0)),"(sin catálogo)"))</f>
        <v/>
      </c>
      <c r="AA99" s="12">
        <f>IF($J99="","",TODAY()-$J99)</f>
        <v/>
      </c>
      <c r="AB99" s="12">
        <f>IF($J99="","",IF($J99&lt;=TODAY(),COUNTIFS(cal_fechas,"&gt;="&amp;$J99,cal_fechas,"&lt;"&amp;TODAY(),cal_habil,"sí"),-COUNTIFS(cal_fechas,"&gt;="&amp;TODAY(),cal_fechas,"&lt;"&amp;$J99,cal_habil,"sí")))</f>
        <v/>
      </c>
      <c r="AC99" s="3">
        <f>IF($AB99="","",IF($AB99&lt;0,"FUTURO",IF($AB99&gt;p_dias_backlog_max,"BACKLOG","MES CORRIENTE")))</f>
        <v/>
      </c>
      <c r="AD99" s="3">
        <f>IF($AB99="",FALSE,AND($AB99&gt;p_dias_backlog_min,$AB99&lt;=p_dias_backlog_max))</f>
        <v/>
      </c>
      <c r="AE99" s="6" t="inlineStr"/>
      <c r="AF99" s="3">
        <f>IF($AE99="","",IF((IFERROR(INDEX('ASIGNACIONES'!$F$4:$F$339,MATCH($O99&amp;"|"&amp;$R99&amp;"|"&amp;$AE99,'ASIGNACIONES'!$J$4:$J$339,0)),""))=0,"",IFERROR(INDEX('ASIGNACIONES'!$F$4:$F$339,MATCH($O99&amp;"|"&amp;$R99&amp;"|"&amp;$AE99,'ASIGNACIONES'!$J$4:$J$339,0)),"")))</f>
        <v/>
      </c>
      <c r="AG99" s="13">
        <f>IF($AE99="","",SUMIFS('ORDENES'!$M$4:$M$1203,'ORDENES'!$AE$4:$AE$1203,$AE99,'ORDENES'!$O$4:$O$1203,$O99,'ORDENES'!$R$4:$R$1203,$R99))</f>
        <v/>
      </c>
      <c r="AH99" s="13">
        <f>IF($AG99="","",p_factor_productividad*IFERROR(INDEX('ASIGNACIONES'!$I$4:$I$339,MATCH($O99&amp;"|"&amp;$R99&amp;"|"&amp;$AE99,'ASIGNACIONES'!$J$4:$J$339,0)),0)-$AG99)</f>
        <v/>
      </c>
      <c r="AI99" s="10">
        <f>IF($A99="","",IFERROR(INDEX('2_IMPORTAR_EJECUCION'!$F$9:$F$1208,MATCH($AQ99,'2_IMPORTAR_EJECUCION'!$J$9:$J$1208,0)),0))</f>
        <v/>
      </c>
      <c r="AJ99" s="10">
        <f>IF($A99="","",MAX(0,IFERROR(INDEX('2_IMPORTAR_EJECUCION'!$H$9:$H$1208,MATCH($AQ99,'2_IMPORTAR_EJECUCION'!$J$9:$J$1208,0)),0)-$AI99))</f>
        <v/>
      </c>
      <c r="AK99" s="10">
        <f>IF($A99="","",$AI99+$AJ99)</f>
        <v/>
      </c>
      <c r="AL99" s="6" t="inlineStr">
        <is>
          <t>PT-CALIENTE</t>
        </is>
      </c>
      <c r="AM99" s="6" t="inlineStr">
        <is>
          <t>LOTO</t>
        </is>
      </c>
      <c r="AN99" s="6" t="inlineStr"/>
      <c r="AO99" s="3">
        <f>IF($AN99="","",HYPERLINK(p_ruta_base_checklists&amp;$AN99,"abrir"))</f>
        <v/>
      </c>
      <c r="AP99" s="6" t="inlineStr"/>
      <c r="AQ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IF($A100="","",IFERROR(INDEX('AJUSTES'!$B$4:$B$303,MATCH($AQ100,'AJUSTES'!$A$4:$A$303,0)),IF($K100="","",$K100)))</f>
        <v/>
      </c>
      <c r="N100" s="3">
        <f>IF($A100="","",IFERROR(INDEX('CAT_ESTADOS_ERP'!$B$4:$B$7,MATCH(IFERROR(INDEX('2_IMPORTAR_EJECUCION'!$C$9:$C$1208,MATCH($AQ100,'2_IMPORTAR_EJECUCION'!$J$9:$J$1208,0)),""),'CAT_ESTADOS_ERP'!$A$4:$A$7,0)),"Pendiente"))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J100="","",IFERROR(INDEX('CALENDARIO'!$C$15:$C$214,MATCH(TEXT($J100,"yyyy-mm-dd")&amp;"|"&amp;$V100&amp;"|"&amp;$W100,'CALENDARIO'!$G$15:$G$214,0)),IFERROR(INDEX('CALENDARIO'!$C$15:$C$214,MATCH(TEXT($J100,"yyyy-mm-dd")&amp;"|"&amp;$V100&amp;"|",'CALENDARIO'!$G$15:$G$214,0)),IFERROR(INDEX('CALENDARIO'!$C$15:$C$214,MATCH(TEXT($J100,"yyyy-mm-dd")&amp;"||",'CALENDARIO'!$G$15:$G$214,0)),INDEX(patronHabil,WEEKDAY($J100,2))))))</f>
        <v/>
      </c>
      <c r="T100" s="3">
        <f>IF($I100="","",IFERROR(INDEX('CAT_TIPOS_OT'!$C$4:$C$7,MATCH($I100,'CAT_TIPOS_OT'!$A$4:$A$7,0)),"sin_clasificar"))</f>
        <v/>
      </c>
      <c r="U100" s="3">
        <f>IF($F100="","",IFERROR(INDEX('CAT_CENTROS_COSTO'!$F$4:$F$13,MATCH($F100,'CAT_CENTROS_COSTO'!$A$4:$A$13,0)),"(sin catálogo)"))</f>
        <v/>
      </c>
      <c r="V100" s="3">
        <f>IF($F100="","",IFERROR(INDEX('CAT_CENTROS_COSTO'!$D$4:$D$13,MATCH($F100,'CAT_CENTROS_COSTO'!$A$4:$A$13,0)),"(sin catálogo)"))</f>
        <v/>
      </c>
      <c r="W100" s="3">
        <f>IF($F100="","",IF((IFERROR(INDEX('CAT_CENTROS_COSTO'!$E$4:$E$13,MATCH($F100,'CAT_CENTROS_COSTO'!$A$4:$A$13,0)),""))&lt;&gt;"",IFERROR(INDEX('CAT_CENTROS_COSTO'!$E$4:$E$13,MATCH($F100,'CAT_CENTROS_COSTO'!$A$4:$A$13,0)),""),$V100))</f>
        <v/>
      </c>
      <c r="X100" s="3">
        <f>IF($F100="","",IFERROR(INDEX('CAT_CENTROS_COSTO'!$G$4:$G$13,MATCH($F100,'CAT_CENTROS_COSTO'!$A$4:$A$13,0)),"(sin catálogo)"))</f>
        <v/>
      </c>
      <c r="Y100" s="3">
        <f>IF($G100="","",IFERROR(INDEX('CAT_PUESTOS'!$B$4:$B$8,MATCH($G100,'CAT_PUESTOS'!$A$4:$A$8,0)),"(sin catálogo)"))</f>
        <v/>
      </c>
      <c r="Z100" s="3">
        <f>IF($H100="","",IFERROR(INDEX('CAT_ACTIVIDADES'!$B$4:$B$8,MATCH($H100,'CAT_ACTIVIDADES'!$A$4:$A$8,0)),"(sin catálogo)"))</f>
        <v/>
      </c>
      <c r="AA100" s="12">
        <f>IF($J100="","",TODAY()-$J100)</f>
        <v/>
      </c>
      <c r="AB100" s="12">
        <f>IF($J100="","",IF($J100&lt;=TODAY(),COUNTIFS(cal_fechas,"&gt;="&amp;$J100,cal_fechas,"&lt;"&amp;TODAY(),cal_habil,"sí"),-COUNTIFS(cal_fechas,"&gt;="&amp;TODAY(),cal_fechas,"&lt;"&amp;$J100,cal_habil,"sí")))</f>
        <v/>
      </c>
      <c r="AC100" s="3">
        <f>IF($AB100="","",IF($AB100&lt;0,"FUTURO",IF($AB100&gt;p_dias_backlog_max,"BACKLOG","MES CORRIENTE")))</f>
        <v/>
      </c>
      <c r="AD100" s="3">
        <f>IF($AB100="",FALSE,AND($AB100&gt;p_dias_backlog_min,$AB100&lt;=p_dias_backlog_max))</f>
        <v/>
      </c>
      <c r="AE100" s="6" t="inlineStr">
        <is>
          <t>Técnico 08</t>
        </is>
      </c>
      <c r="AF100" s="3">
        <f>IF($AE100="","",IF((IFERROR(INDEX('ASIGNACIONES'!$F$4:$F$339,MATCH($O100&amp;"|"&amp;$R100&amp;"|"&amp;$AE100,'ASIGNACIONES'!$J$4:$J$339,0)),""))=0,"",IFERROR(INDEX('ASIGNACIONES'!$F$4:$F$339,MATCH($O100&amp;"|"&amp;$R100&amp;"|"&amp;$AE100,'ASIGNACIONES'!$J$4:$J$339,0)),"")))</f>
        <v/>
      </c>
      <c r="AG100" s="13">
        <f>IF($AE100="","",SUMIFS('ORDENES'!$M$4:$M$1203,'ORDENES'!$AE$4:$AE$1203,$AE100,'ORDENES'!$O$4:$O$1203,$O100,'ORDENES'!$R$4:$R$1203,$R100))</f>
        <v/>
      </c>
      <c r="AH100" s="13">
        <f>IF($AG100="","",p_factor_productividad*IFERROR(INDEX('ASIGNACIONES'!$I$4:$I$339,MATCH($O100&amp;"|"&amp;$R100&amp;"|"&amp;$AE100,'ASIGNACIONES'!$J$4:$J$339,0)),0)-$AG100)</f>
        <v/>
      </c>
      <c r="AI100" s="10">
        <f>IF($A100="","",IFERROR(INDEX('2_IMPORTAR_EJECUCION'!$F$9:$F$1208,MATCH($AQ100,'2_IMPORTAR_EJECUCION'!$J$9:$J$1208,0)),0))</f>
        <v/>
      </c>
      <c r="AJ100" s="10">
        <f>IF($A100="","",MAX(0,IFERROR(INDEX('2_IMPORTAR_EJECUCION'!$H$9:$H$1208,MATCH($AQ100,'2_IMPORTAR_EJECUCION'!$J$9:$J$1208,0)),0)-$AI100))</f>
        <v/>
      </c>
      <c r="AK100" s="10">
        <f>IF($A100="","",$AI100+$AJ100)</f>
        <v/>
      </c>
      <c r="AL100" s="6" t="inlineStr"/>
      <c r="AM100" s="6" t="inlineStr"/>
      <c r="AN100" s="6" t="inlineStr">
        <is>
          <t>ACT-02.pdf</t>
        </is>
      </c>
      <c r="AO100" s="3">
        <f>IF($AN100="","",HYPERLINK(p_ruta_base_checklists&amp;$AN100,"abrir"))</f>
        <v/>
      </c>
      <c r="AP100" s="6" t="inlineStr"/>
      <c r="AQ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IF($A101="","",IFERROR(INDEX('AJUSTES'!$B$4:$B$303,MATCH($AQ101,'AJUSTES'!$A$4:$A$303,0)),IF($K101="","",$K101)))</f>
        <v/>
      </c>
      <c r="N101" s="3">
        <f>IF($A101="","",IFERROR(INDEX('CAT_ESTADOS_ERP'!$B$4:$B$7,MATCH(IFERROR(INDEX('2_IMPORTAR_EJECUCION'!$C$9:$C$1208,MATCH($AQ101,'2_IMPORTAR_EJECUCION'!$J$9:$J$1208,0)),""),'CAT_ESTADOS_ERP'!$A$4:$A$7,0)),"Pendiente"))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J101="","",IFERROR(INDEX('CALENDARIO'!$C$15:$C$214,MATCH(TEXT($J101,"yyyy-mm-dd")&amp;"|"&amp;$V101&amp;"|"&amp;$W101,'CALENDARIO'!$G$15:$G$214,0)),IFERROR(INDEX('CALENDARIO'!$C$15:$C$214,MATCH(TEXT($J101,"yyyy-mm-dd")&amp;"|"&amp;$V101&amp;"|",'CALENDARIO'!$G$15:$G$214,0)),IFERROR(INDEX('CALENDARIO'!$C$15:$C$214,MATCH(TEXT($J101,"yyyy-mm-dd")&amp;"||",'CALENDARIO'!$G$15:$G$214,0)),INDEX(patronHabil,WEEKDAY($J101,2))))))</f>
        <v/>
      </c>
      <c r="T101" s="3">
        <f>IF($I101="","",IFERROR(INDEX('CAT_TIPOS_OT'!$C$4:$C$7,MATCH($I101,'CAT_TIPOS_OT'!$A$4:$A$7,0)),"sin_clasificar"))</f>
        <v/>
      </c>
      <c r="U101" s="3">
        <f>IF($F101="","",IFERROR(INDEX('CAT_CENTROS_COSTO'!$F$4:$F$13,MATCH($F101,'CAT_CENTROS_COSTO'!$A$4:$A$13,0)),"(sin catálogo)"))</f>
        <v/>
      </c>
      <c r="V101" s="3">
        <f>IF($F101="","",IFERROR(INDEX('CAT_CENTROS_COSTO'!$D$4:$D$13,MATCH($F101,'CAT_CENTROS_COSTO'!$A$4:$A$13,0)),"(sin catálogo)"))</f>
        <v/>
      </c>
      <c r="W101" s="3">
        <f>IF($F101="","",IF((IFERROR(INDEX('CAT_CENTROS_COSTO'!$E$4:$E$13,MATCH($F101,'CAT_CENTROS_COSTO'!$A$4:$A$13,0)),""))&lt;&gt;"",IFERROR(INDEX('CAT_CENTROS_COSTO'!$E$4:$E$13,MATCH($F101,'CAT_CENTROS_COSTO'!$A$4:$A$13,0)),""),$V101))</f>
        <v/>
      </c>
      <c r="X101" s="3">
        <f>IF($F101="","",IFERROR(INDEX('CAT_CENTROS_COSTO'!$G$4:$G$13,MATCH($F101,'CAT_CENTROS_COSTO'!$A$4:$A$13,0)),"(sin catálogo)"))</f>
        <v/>
      </c>
      <c r="Y101" s="3">
        <f>IF($G101="","",IFERROR(INDEX('CAT_PUESTOS'!$B$4:$B$8,MATCH($G101,'CAT_PUESTOS'!$A$4:$A$8,0)),"(sin catálogo)"))</f>
        <v/>
      </c>
      <c r="Z101" s="3">
        <f>IF($H101="","",IFERROR(INDEX('CAT_ACTIVIDADES'!$B$4:$B$8,MATCH($H101,'CAT_ACTIVIDADES'!$A$4:$A$8,0)),"(sin catálogo)"))</f>
        <v/>
      </c>
      <c r="AA101" s="12">
        <f>IF($J101="","",TODAY()-$J101)</f>
        <v/>
      </c>
      <c r="AB101" s="12">
        <f>IF($J101="","",IF($J101&lt;=TODAY(),COUNTIFS(cal_fechas,"&gt;="&amp;$J101,cal_fechas,"&lt;"&amp;TODAY(),cal_habil,"sí"),-COUNTIFS(cal_fechas,"&gt;="&amp;TODAY(),cal_fechas,"&lt;"&amp;$J101,cal_habil,"sí")))</f>
        <v/>
      </c>
      <c r="AC101" s="3">
        <f>IF($AB101="","",IF($AB101&lt;0,"FUTURO",IF($AB101&gt;p_dias_backlog_max,"BACKLOG","MES CORRIENTE")))</f>
        <v/>
      </c>
      <c r="AD101" s="3">
        <f>IF($AB101="",FALSE,AND($AB101&gt;p_dias_backlog_min,$AB101&lt;=p_dias_backlog_max))</f>
        <v/>
      </c>
      <c r="AE101" s="6" t="inlineStr">
        <is>
          <t>Técnico 09</t>
        </is>
      </c>
      <c r="AF101" s="3">
        <f>IF($AE101="","",IF((IFERROR(INDEX('ASIGNACIONES'!$F$4:$F$339,MATCH($O101&amp;"|"&amp;$R101&amp;"|"&amp;$AE101,'ASIGNACIONES'!$J$4:$J$339,0)),""))=0,"",IFERROR(INDEX('ASIGNACIONES'!$F$4:$F$339,MATCH($O101&amp;"|"&amp;$R101&amp;"|"&amp;$AE101,'ASIGNACIONES'!$J$4:$J$339,0)),"")))</f>
        <v/>
      </c>
      <c r="AG101" s="13">
        <f>IF($AE101="","",SUMIFS('ORDENES'!$M$4:$M$1203,'ORDENES'!$AE$4:$AE$1203,$AE101,'ORDENES'!$O$4:$O$1203,$O101,'ORDENES'!$R$4:$R$1203,$R101))</f>
        <v/>
      </c>
      <c r="AH101" s="13">
        <f>IF($AG101="","",p_factor_productividad*IFERROR(INDEX('ASIGNACIONES'!$I$4:$I$339,MATCH($O101&amp;"|"&amp;$R101&amp;"|"&amp;$AE101,'ASIGNACIONES'!$J$4:$J$339,0)),0)-$AG101)</f>
        <v/>
      </c>
      <c r="AI101" s="10">
        <f>IF($A101="","",IFERROR(INDEX('2_IMPORTAR_EJECUCION'!$F$9:$F$1208,MATCH($AQ101,'2_IMPORTAR_EJECUCION'!$J$9:$J$1208,0)),0))</f>
        <v/>
      </c>
      <c r="AJ101" s="10">
        <f>IF($A101="","",MAX(0,IFERROR(INDEX('2_IMPORTAR_EJECUCION'!$H$9:$H$1208,MATCH($AQ101,'2_IMPORTAR_EJECUCION'!$J$9:$J$1208,0)),0)-$AI101))</f>
        <v/>
      </c>
      <c r="AK101" s="10">
        <f>IF($A101="","",$AI101+$AJ101)</f>
        <v/>
      </c>
      <c r="AL101" s="6" t="inlineStr"/>
      <c r="AM101" s="6" t="inlineStr"/>
      <c r="AN101" s="6" t="inlineStr">
        <is>
          <t>ACT-04.pdf</t>
        </is>
      </c>
      <c r="AO101" s="3">
        <f>IF($AN101="","",HYPERLINK(p_ruta_base_checklists&amp;$AN101,"abrir"))</f>
        <v/>
      </c>
      <c r="AP101" s="6" t="inlineStr"/>
      <c r="AQ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IF($A102="","",IFERROR(INDEX('AJUSTES'!$B$4:$B$303,MATCH($AQ102,'AJUSTES'!$A$4:$A$303,0)),IF($K102="","",$K102)))</f>
        <v/>
      </c>
      <c r="N102" s="3">
        <f>IF($A102="","",IFERROR(INDEX('CAT_ESTADOS_ERP'!$B$4:$B$7,MATCH(IFERROR(INDEX('2_IMPORTAR_EJECUCION'!$C$9:$C$1208,MATCH($AQ102,'2_IMPORTAR_EJECUCION'!$J$9:$J$1208,0)),""),'CAT_ESTADOS_ERP'!$A$4:$A$7,0)),"Pendiente"))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J102="","",IFERROR(INDEX('CALENDARIO'!$C$15:$C$214,MATCH(TEXT($J102,"yyyy-mm-dd")&amp;"|"&amp;$V102&amp;"|"&amp;$W102,'CALENDARIO'!$G$15:$G$214,0)),IFERROR(INDEX('CALENDARIO'!$C$15:$C$214,MATCH(TEXT($J102,"yyyy-mm-dd")&amp;"|"&amp;$V102&amp;"|",'CALENDARIO'!$G$15:$G$214,0)),IFERROR(INDEX('CALENDARIO'!$C$15:$C$214,MATCH(TEXT($J102,"yyyy-mm-dd")&amp;"||",'CALENDARIO'!$G$15:$G$214,0)),INDEX(patronHabil,WEEKDAY($J102,2))))))</f>
        <v/>
      </c>
      <c r="T102" s="3">
        <f>IF($I102="","",IFERROR(INDEX('CAT_TIPOS_OT'!$C$4:$C$7,MATCH($I102,'CAT_TIPOS_OT'!$A$4:$A$7,0)),"sin_clasificar"))</f>
        <v/>
      </c>
      <c r="U102" s="3">
        <f>IF($F102="","",IFERROR(INDEX('CAT_CENTROS_COSTO'!$F$4:$F$13,MATCH($F102,'CAT_CENTROS_COSTO'!$A$4:$A$13,0)),"(sin catálogo)"))</f>
        <v/>
      </c>
      <c r="V102" s="3">
        <f>IF($F102="","",IFERROR(INDEX('CAT_CENTROS_COSTO'!$D$4:$D$13,MATCH($F102,'CAT_CENTROS_COSTO'!$A$4:$A$13,0)),"(sin catálogo)"))</f>
        <v/>
      </c>
      <c r="W102" s="3">
        <f>IF($F102="","",IF((IFERROR(INDEX('CAT_CENTROS_COSTO'!$E$4:$E$13,MATCH($F102,'CAT_CENTROS_COSTO'!$A$4:$A$13,0)),""))&lt;&gt;"",IFERROR(INDEX('CAT_CENTROS_COSTO'!$E$4:$E$13,MATCH($F102,'CAT_CENTROS_COSTO'!$A$4:$A$13,0)),""),$V102))</f>
        <v/>
      </c>
      <c r="X102" s="3">
        <f>IF($F102="","",IFERROR(INDEX('CAT_CENTROS_COSTO'!$G$4:$G$13,MATCH($F102,'CAT_CENTROS_COSTO'!$A$4:$A$13,0)),"(sin catálogo)"))</f>
        <v/>
      </c>
      <c r="Y102" s="3">
        <f>IF($G102="","",IFERROR(INDEX('CAT_PUESTOS'!$B$4:$B$8,MATCH($G102,'CAT_PUESTOS'!$A$4:$A$8,0)),"(sin catálogo)"))</f>
        <v/>
      </c>
      <c r="Z102" s="3">
        <f>IF($H102="","",IFERROR(INDEX('CAT_ACTIVIDADES'!$B$4:$B$8,MATCH($H102,'CAT_ACTIVIDADES'!$A$4:$A$8,0)),"(sin catálogo)"))</f>
        <v/>
      </c>
      <c r="AA102" s="12">
        <f>IF($J102="","",TODAY()-$J102)</f>
        <v/>
      </c>
      <c r="AB102" s="12">
        <f>IF($J102="","",IF($J102&lt;=TODAY(),COUNTIFS(cal_fechas,"&gt;="&amp;$J102,cal_fechas,"&lt;"&amp;TODAY(),cal_habil,"sí"),-COUNTIFS(cal_fechas,"&gt;="&amp;TODAY(),cal_fechas,"&lt;"&amp;$J102,cal_habil,"sí")))</f>
        <v/>
      </c>
      <c r="AC102" s="3">
        <f>IF($AB102="","",IF($AB102&lt;0,"FUTURO",IF($AB102&gt;p_dias_backlog_max,"BACKLOG","MES CORRIENTE")))</f>
        <v/>
      </c>
      <c r="AD102" s="3">
        <f>IF($AB102="",FALSE,AND($AB102&gt;p_dias_backlog_min,$AB102&lt;=p_dias_backlog_max))</f>
        <v/>
      </c>
      <c r="AE102" s="6" t="inlineStr">
        <is>
          <t>Técnico 08</t>
        </is>
      </c>
      <c r="AF102" s="3">
        <f>IF($AE102="","",IF((IFERROR(INDEX('ASIGNACIONES'!$F$4:$F$339,MATCH($O102&amp;"|"&amp;$R102&amp;"|"&amp;$AE102,'ASIGNACIONES'!$J$4:$J$339,0)),""))=0,"",IFERROR(INDEX('ASIGNACIONES'!$F$4:$F$339,MATCH($O102&amp;"|"&amp;$R102&amp;"|"&amp;$AE102,'ASIGNACIONES'!$J$4:$J$339,0)),"")))</f>
        <v/>
      </c>
      <c r="AG102" s="13">
        <f>IF($AE102="","",SUMIFS('ORDENES'!$M$4:$M$1203,'ORDENES'!$AE$4:$AE$1203,$AE102,'ORDENES'!$O$4:$O$1203,$O102,'ORDENES'!$R$4:$R$1203,$R102))</f>
        <v/>
      </c>
      <c r="AH102" s="13">
        <f>IF($AG102="","",p_factor_productividad*IFERROR(INDEX('ASIGNACIONES'!$I$4:$I$339,MATCH($O102&amp;"|"&amp;$R102&amp;"|"&amp;$AE102,'ASIGNACIONES'!$J$4:$J$339,0)),0)-$AG102)</f>
        <v/>
      </c>
      <c r="AI102" s="10">
        <f>IF($A102="","",IFERROR(INDEX('2_IMPORTAR_EJECUCION'!$F$9:$F$1208,MATCH($AQ102,'2_IMPORTAR_EJECUCION'!$J$9:$J$1208,0)),0))</f>
        <v/>
      </c>
      <c r="AJ102" s="10">
        <f>IF($A102="","",MAX(0,IFERROR(INDEX('2_IMPORTAR_EJECUCION'!$H$9:$H$1208,MATCH($AQ102,'2_IMPORTAR_EJECUCION'!$J$9:$J$1208,0)),0)-$AI102))</f>
        <v/>
      </c>
      <c r="AK102" s="10">
        <f>IF($A102="","",$AI102+$AJ102)</f>
        <v/>
      </c>
      <c r="AL102" s="6" t="inlineStr"/>
      <c r="AM102" s="6" t="inlineStr"/>
      <c r="AN102" s="6" t="inlineStr">
        <is>
          <t>ACT-01.pdf</t>
        </is>
      </c>
      <c r="AO102" s="3">
        <f>IF($AN102="","",HYPERLINK(p_ruta_base_checklists&amp;$AN102,"abrir"))</f>
        <v/>
      </c>
      <c r="AP102" s="6" t="inlineStr"/>
      <c r="AQ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IF($A103="","",IFERROR(INDEX('AJUSTES'!$B$4:$B$303,MATCH($AQ103,'AJUSTES'!$A$4:$A$303,0)),IF($K103="","",$K103)))</f>
        <v/>
      </c>
      <c r="N103" s="3">
        <f>IF($A103="","",IFERROR(INDEX('CAT_ESTADOS_ERP'!$B$4:$B$7,MATCH(IFERROR(INDEX('2_IMPORTAR_EJECUCION'!$C$9:$C$1208,MATCH($AQ103,'2_IMPORTAR_EJECUCION'!$J$9:$J$1208,0)),""),'CAT_ESTADOS_ERP'!$A$4:$A$7,0)),"Pendiente"))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J103="","",IFERROR(INDEX('CALENDARIO'!$C$15:$C$214,MATCH(TEXT($J103,"yyyy-mm-dd")&amp;"|"&amp;$V103&amp;"|"&amp;$W103,'CALENDARIO'!$G$15:$G$214,0)),IFERROR(INDEX('CALENDARIO'!$C$15:$C$214,MATCH(TEXT($J103,"yyyy-mm-dd")&amp;"|"&amp;$V103&amp;"|",'CALENDARIO'!$G$15:$G$214,0)),IFERROR(INDEX('CALENDARIO'!$C$15:$C$214,MATCH(TEXT($J103,"yyyy-mm-dd")&amp;"||",'CALENDARIO'!$G$15:$G$214,0)),INDEX(patronHabil,WEEKDAY($J103,2))))))</f>
        <v/>
      </c>
      <c r="T103" s="3">
        <f>IF($I103="","",IFERROR(INDEX('CAT_TIPOS_OT'!$C$4:$C$7,MATCH($I103,'CAT_TIPOS_OT'!$A$4:$A$7,0)),"sin_clasificar"))</f>
        <v/>
      </c>
      <c r="U103" s="3">
        <f>IF($F103="","",IFERROR(INDEX('CAT_CENTROS_COSTO'!$F$4:$F$13,MATCH($F103,'CAT_CENTROS_COSTO'!$A$4:$A$13,0)),"(sin catálogo)"))</f>
        <v/>
      </c>
      <c r="V103" s="3">
        <f>IF($F103="","",IFERROR(INDEX('CAT_CENTROS_COSTO'!$D$4:$D$13,MATCH($F103,'CAT_CENTROS_COSTO'!$A$4:$A$13,0)),"(sin catálogo)"))</f>
        <v/>
      </c>
      <c r="W103" s="3">
        <f>IF($F103="","",IF((IFERROR(INDEX('CAT_CENTROS_COSTO'!$E$4:$E$13,MATCH($F103,'CAT_CENTROS_COSTO'!$A$4:$A$13,0)),""))&lt;&gt;"",IFERROR(INDEX('CAT_CENTROS_COSTO'!$E$4:$E$13,MATCH($F103,'CAT_CENTROS_COSTO'!$A$4:$A$13,0)),""),$V103))</f>
        <v/>
      </c>
      <c r="X103" s="3">
        <f>IF($F103="","",IFERROR(INDEX('CAT_CENTROS_COSTO'!$G$4:$G$13,MATCH($F103,'CAT_CENTROS_COSTO'!$A$4:$A$13,0)),"(sin catálogo)"))</f>
        <v/>
      </c>
      <c r="Y103" s="3">
        <f>IF($G103="","",IFERROR(INDEX('CAT_PUESTOS'!$B$4:$B$8,MATCH($G103,'CAT_PUESTOS'!$A$4:$A$8,0)),"(sin catálogo)"))</f>
        <v/>
      </c>
      <c r="Z103" s="3">
        <f>IF($H103="","",IFERROR(INDEX('CAT_ACTIVIDADES'!$B$4:$B$8,MATCH($H103,'CAT_ACTIVIDADES'!$A$4:$A$8,0)),"(sin catálogo)"))</f>
        <v/>
      </c>
      <c r="AA103" s="12">
        <f>IF($J103="","",TODAY()-$J103)</f>
        <v/>
      </c>
      <c r="AB103" s="12">
        <f>IF($J103="","",IF($J103&lt;=TODAY(),COUNTIFS(cal_fechas,"&gt;="&amp;$J103,cal_fechas,"&lt;"&amp;TODAY(),cal_habil,"sí"),-COUNTIFS(cal_fechas,"&gt;="&amp;TODAY(),cal_fechas,"&lt;"&amp;$J103,cal_habil,"sí")))</f>
        <v/>
      </c>
      <c r="AC103" s="3">
        <f>IF($AB103="","",IF($AB103&lt;0,"FUTURO",IF($AB103&gt;p_dias_backlog_max,"BACKLOG","MES CORRIENTE")))</f>
        <v/>
      </c>
      <c r="AD103" s="3">
        <f>IF($AB103="",FALSE,AND($AB103&gt;p_dias_backlog_min,$AB103&lt;=p_dias_backlog_max))</f>
        <v/>
      </c>
      <c r="AE103" s="6" t="inlineStr">
        <is>
          <t>Técnico 09</t>
        </is>
      </c>
      <c r="AF103" s="3">
        <f>IF($AE103="","",IF((IFERROR(INDEX('ASIGNACIONES'!$F$4:$F$339,MATCH($O103&amp;"|"&amp;$R103&amp;"|"&amp;$AE103,'ASIGNACIONES'!$J$4:$J$339,0)),""))=0,"",IFERROR(INDEX('ASIGNACIONES'!$F$4:$F$339,MATCH($O103&amp;"|"&amp;$R103&amp;"|"&amp;$AE103,'ASIGNACIONES'!$J$4:$J$339,0)),"")))</f>
        <v/>
      </c>
      <c r="AG103" s="13">
        <f>IF($AE103="","",SUMIFS('ORDENES'!$M$4:$M$1203,'ORDENES'!$AE$4:$AE$1203,$AE103,'ORDENES'!$O$4:$O$1203,$O103,'ORDENES'!$R$4:$R$1203,$R103))</f>
        <v/>
      </c>
      <c r="AH103" s="13">
        <f>IF($AG103="","",p_factor_productividad*IFERROR(INDEX('ASIGNACIONES'!$I$4:$I$339,MATCH($O103&amp;"|"&amp;$R103&amp;"|"&amp;$AE103,'ASIGNACIONES'!$J$4:$J$339,0)),0)-$AG103)</f>
        <v/>
      </c>
      <c r="AI103" s="10">
        <f>IF($A103="","",IFERROR(INDEX('2_IMPORTAR_EJECUCION'!$F$9:$F$1208,MATCH($AQ103,'2_IMPORTAR_EJECUCION'!$J$9:$J$1208,0)),0))</f>
        <v/>
      </c>
      <c r="AJ103" s="10">
        <f>IF($A103="","",MAX(0,IFERROR(INDEX('2_IMPORTAR_EJECUCION'!$H$9:$H$1208,MATCH($AQ103,'2_IMPORTAR_EJECUCION'!$J$9:$J$1208,0)),0)-$AI103))</f>
        <v/>
      </c>
      <c r="AK103" s="10">
        <f>IF($A103="","",$AI103+$AJ103)</f>
        <v/>
      </c>
      <c r="AL103" s="6" t="inlineStr"/>
      <c r="AM103" s="6" t="inlineStr"/>
      <c r="AN103" s="6" t="inlineStr">
        <is>
          <t>ACT-02.pdf</t>
        </is>
      </c>
      <c r="AO103" s="3">
        <f>IF($AN103="","",HYPERLINK(p_ruta_base_checklists&amp;$AN103,"abrir"))</f>
        <v/>
      </c>
      <c r="AP103" s="6" t="inlineStr"/>
      <c r="AQ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IF($A104="","",IFERROR(INDEX('AJUSTES'!$B$4:$B$303,MATCH($AQ104,'AJUSTES'!$A$4:$A$303,0)),IF($K104="","",$K104)))</f>
        <v/>
      </c>
      <c r="N104" s="3">
        <f>IF($A104="","",IFERROR(INDEX('CAT_ESTADOS_ERP'!$B$4:$B$7,MATCH(IFERROR(INDEX('2_IMPORTAR_EJECUCION'!$C$9:$C$1208,MATCH($AQ104,'2_IMPORTAR_EJECUCION'!$J$9:$J$1208,0)),""),'CAT_ESTADOS_ERP'!$A$4:$A$7,0)),"Pendiente"))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J104="","",IFERROR(INDEX('CALENDARIO'!$C$15:$C$214,MATCH(TEXT($J104,"yyyy-mm-dd")&amp;"|"&amp;$V104&amp;"|"&amp;$W104,'CALENDARIO'!$G$15:$G$214,0)),IFERROR(INDEX('CALENDARIO'!$C$15:$C$214,MATCH(TEXT($J104,"yyyy-mm-dd")&amp;"|"&amp;$V104&amp;"|",'CALENDARIO'!$G$15:$G$214,0)),IFERROR(INDEX('CALENDARIO'!$C$15:$C$214,MATCH(TEXT($J104,"yyyy-mm-dd")&amp;"||",'CALENDARIO'!$G$15:$G$214,0)),INDEX(patronHabil,WEEKDAY($J104,2))))))</f>
        <v/>
      </c>
      <c r="T104" s="3">
        <f>IF($I104="","",IFERROR(INDEX('CAT_TIPOS_OT'!$C$4:$C$7,MATCH($I104,'CAT_TIPOS_OT'!$A$4:$A$7,0)),"sin_clasificar"))</f>
        <v/>
      </c>
      <c r="U104" s="3">
        <f>IF($F104="","",IFERROR(INDEX('CAT_CENTROS_COSTO'!$F$4:$F$13,MATCH($F104,'CAT_CENTROS_COSTO'!$A$4:$A$13,0)),"(sin catálogo)"))</f>
        <v/>
      </c>
      <c r="V104" s="3">
        <f>IF($F104="","",IFERROR(INDEX('CAT_CENTROS_COSTO'!$D$4:$D$13,MATCH($F104,'CAT_CENTROS_COSTO'!$A$4:$A$13,0)),"(sin catálogo)"))</f>
        <v/>
      </c>
      <c r="W104" s="3">
        <f>IF($F104="","",IF((IFERROR(INDEX('CAT_CENTROS_COSTO'!$E$4:$E$13,MATCH($F104,'CAT_CENTROS_COSTO'!$A$4:$A$13,0)),""))&lt;&gt;"",IFERROR(INDEX('CAT_CENTROS_COSTO'!$E$4:$E$13,MATCH($F104,'CAT_CENTROS_COSTO'!$A$4:$A$13,0)),""),$V104))</f>
        <v/>
      </c>
      <c r="X104" s="3">
        <f>IF($F104="","",IFERROR(INDEX('CAT_CENTROS_COSTO'!$G$4:$G$13,MATCH($F104,'CAT_CENTROS_COSTO'!$A$4:$A$13,0)),"(sin catálogo)"))</f>
        <v/>
      </c>
      <c r="Y104" s="3">
        <f>IF($G104="","",IFERROR(INDEX('CAT_PUESTOS'!$B$4:$B$8,MATCH($G104,'CAT_PUESTOS'!$A$4:$A$8,0)),"(sin catálogo)"))</f>
        <v/>
      </c>
      <c r="Z104" s="3">
        <f>IF($H104="","",IFERROR(INDEX('CAT_ACTIVIDADES'!$B$4:$B$8,MATCH($H104,'CAT_ACTIVIDADES'!$A$4:$A$8,0)),"(sin catálogo)"))</f>
        <v/>
      </c>
      <c r="AA104" s="12">
        <f>IF($J104="","",TODAY()-$J104)</f>
        <v/>
      </c>
      <c r="AB104" s="12">
        <f>IF($J104="","",IF($J104&lt;=TODAY(),COUNTIFS(cal_fechas,"&gt;="&amp;$J104,cal_fechas,"&lt;"&amp;TODAY(),cal_habil,"sí"),-COUNTIFS(cal_fechas,"&gt;="&amp;TODAY(),cal_fechas,"&lt;"&amp;$J104,cal_habil,"sí")))</f>
        <v/>
      </c>
      <c r="AC104" s="3">
        <f>IF($AB104="","",IF($AB104&lt;0,"FUTURO",IF($AB104&gt;p_dias_backlog_max,"BACKLOG","MES CORRIENTE")))</f>
        <v/>
      </c>
      <c r="AD104" s="3">
        <f>IF($AB104="",FALSE,AND($AB104&gt;p_dias_backlog_min,$AB104&lt;=p_dias_backlog_max))</f>
        <v/>
      </c>
      <c r="AE104" s="6" t="inlineStr">
        <is>
          <t>Técnico 08</t>
        </is>
      </c>
      <c r="AF104" s="3">
        <f>IF($AE104="","",IF((IFERROR(INDEX('ASIGNACIONES'!$F$4:$F$339,MATCH($O104&amp;"|"&amp;$R104&amp;"|"&amp;$AE104,'ASIGNACIONES'!$J$4:$J$339,0)),""))=0,"",IFERROR(INDEX('ASIGNACIONES'!$F$4:$F$339,MATCH($O104&amp;"|"&amp;$R104&amp;"|"&amp;$AE104,'ASIGNACIONES'!$J$4:$J$339,0)),"")))</f>
        <v/>
      </c>
      <c r="AG104" s="13">
        <f>IF($AE104="","",SUMIFS('ORDENES'!$M$4:$M$1203,'ORDENES'!$AE$4:$AE$1203,$AE104,'ORDENES'!$O$4:$O$1203,$O104,'ORDENES'!$R$4:$R$1203,$R104))</f>
        <v/>
      </c>
      <c r="AH104" s="13">
        <f>IF($AG104="","",p_factor_productividad*IFERROR(INDEX('ASIGNACIONES'!$I$4:$I$339,MATCH($O104&amp;"|"&amp;$R104&amp;"|"&amp;$AE104,'ASIGNACIONES'!$J$4:$J$339,0)),0)-$AG104)</f>
        <v/>
      </c>
      <c r="AI104" s="10">
        <f>IF($A104="","",IFERROR(INDEX('2_IMPORTAR_EJECUCION'!$F$9:$F$1208,MATCH($AQ104,'2_IMPORTAR_EJECUCION'!$J$9:$J$1208,0)),0))</f>
        <v/>
      </c>
      <c r="AJ104" s="10">
        <f>IF($A104="","",MAX(0,IFERROR(INDEX('2_IMPORTAR_EJECUCION'!$H$9:$H$1208,MATCH($AQ104,'2_IMPORTAR_EJECUCION'!$J$9:$J$1208,0)),0)-$AI104))</f>
        <v/>
      </c>
      <c r="AK104" s="10">
        <f>IF($A104="","",$AI104+$AJ104)</f>
        <v/>
      </c>
      <c r="AL104" s="6" t="inlineStr"/>
      <c r="AM104" s="6" t="inlineStr"/>
      <c r="AN104" s="6" t="inlineStr"/>
      <c r="AO104" s="3">
        <f>IF($AN104="","",HYPERLINK(p_ruta_base_checklists&amp;$AN104,"abrir"))</f>
        <v/>
      </c>
      <c r="AP104" s="6" t="inlineStr"/>
      <c r="AQ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IF($A105="","",IFERROR(INDEX('AJUSTES'!$B$4:$B$303,MATCH($AQ105,'AJUSTES'!$A$4:$A$303,0)),IF($K105="","",$K105)))</f>
        <v/>
      </c>
      <c r="N105" s="3">
        <f>IF($A105="","",IFERROR(INDEX('CAT_ESTADOS_ERP'!$B$4:$B$7,MATCH(IFERROR(INDEX('2_IMPORTAR_EJECUCION'!$C$9:$C$1208,MATCH($AQ105,'2_IMPORTAR_EJECUCION'!$J$9:$J$1208,0)),""),'CAT_ESTADOS_ERP'!$A$4:$A$7,0)),"Pendiente"))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J105="","",IFERROR(INDEX('CALENDARIO'!$C$15:$C$214,MATCH(TEXT($J105,"yyyy-mm-dd")&amp;"|"&amp;$V105&amp;"|"&amp;$W105,'CALENDARIO'!$G$15:$G$214,0)),IFERROR(INDEX('CALENDARIO'!$C$15:$C$214,MATCH(TEXT($J105,"yyyy-mm-dd")&amp;"|"&amp;$V105&amp;"|",'CALENDARIO'!$G$15:$G$214,0)),IFERROR(INDEX('CALENDARIO'!$C$15:$C$214,MATCH(TEXT($J105,"yyyy-mm-dd")&amp;"||",'CALENDARIO'!$G$15:$G$214,0)),INDEX(patronHabil,WEEKDAY($J105,2))))))</f>
        <v/>
      </c>
      <c r="T105" s="3">
        <f>IF($I105="","",IFERROR(INDEX('CAT_TIPOS_OT'!$C$4:$C$7,MATCH($I105,'CAT_TIPOS_OT'!$A$4:$A$7,0)),"sin_clasificar"))</f>
        <v/>
      </c>
      <c r="U105" s="3">
        <f>IF($F105="","",IFERROR(INDEX('CAT_CENTROS_COSTO'!$F$4:$F$13,MATCH($F105,'CAT_CENTROS_COSTO'!$A$4:$A$13,0)),"(sin catálogo)"))</f>
        <v/>
      </c>
      <c r="V105" s="3">
        <f>IF($F105="","",IFERROR(INDEX('CAT_CENTROS_COSTO'!$D$4:$D$13,MATCH($F105,'CAT_CENTROS_COSTO'!$A$4:$A$13,0)),"(sin catálogo)"))</f>
        <v/>
      </c>
      <c r="W105" s="3">
        <f>IF($F105="","",IF((IFERROR(INDEX('CAT_CENTROS_COSTO'!$E$4:$E$13,MATCH($F105,'CAT_CENTROS_COSTO'!$A$4:$A$13,0)),""))&lt;&gt;"",IFERROR(INDEX('CAT_CENTROS_COSTO'!$E$4:$E$13,MATCH($F105,'CAT_CENTROS_COSTO'!$A$4:$A$13,0)),""),$V105))</f>
        <v/>
      </c>
      <c r="X105" s="3">
        <f>IF($F105="","",IFERROR(INDEX('CAT_CENTROS_COSTO'!$G$4:$G$13,MATCH($F105,'CAT_CENTROS_COSTO'!$A$4:$A$13,0)),"(sin catálogo)"))</f>
        <v/>
      </c>
      <c r="Y105" s="3">
        <f>IF($G105="","",IFERROR(INDEX('CAT_PUESTOS'!$B$4:$B$8,MATCH($G105,'CAT_PUESTOS'!$A$4:$A$8,0)),"(sin catálogo)"))</f>
        <v/>
      </c>
      <c r="Z105" s="3">
        <f>IF($H105="","",IFERROR(INDEX('CAT_ACTIVIDADES'!$B$4:$B$8,MATCH($H105,'CAT_ACTIVIDADES'!$A$4:$A$8,0)),"(sin catálogo)"))</f>
        <v/>
      </c>
      <c r="AA105" s="12">
        <f>IF($J105="","",TODAY()-$J105)</f>
        <v/>
      </c>
      <c r="AB105" s="12">
        <f>IF($J105="","",IF($J105&lt;=TODAY(),COUNTIFS(cal_fechas,"&gt;="&amp;$J105,cal_fechas,"&lt;"&amp;TODAY(),cal_habil,"sí"),-COUNTIFS(cal_fechas,"&gt;="&amp;TODAY(),cal_fechas,"&lt;"&amp;$J105,cal_habil,"sí")))</f>
        <v/>
      </c>
      <c r="AC105" s="3">
        <f>IF($AB105="","",IF($AB105&lt;0,"FUTURO",IF($AB105&gt;p_dias_backlog_max,"BACKLOG","MES CORRIENTE")))</f>
        <v/>
      </c>
      <c r="AD105" s="3">
        <f>IF($AB105="",FALSE,AND($AB105&gt;p_dias_backlog_min,$AB105&lt;=p_dias_backlog_max))</f>
        <v/>
      </c>
      <c r="AE105" s="6" t="inlineStr">
        <is>
          <t>Técnico 09</t>
        </is>
      </c>
      <c r="AF105" s="3">
        <f>IF($AE105="","",IF((IFERROR(INDEX('ASIGNACIONES'!$F$4:$F$339,MATCH($O105&amp;"|"&amp;$R105&amp;"|"&amp;$AE105,'ASIGNACIONES'!$J$4:$J$339,0)),""))=0,"",IFERROR(INDEX('ASIGNACIONES'!$F$4:$F$339,MATCH($O105&amp;"|"&amp;$R105&amp;"|"&amp;$AE105,'ASIGNACIONES'!$J$4:$J$339,0)),"")))</f>
        <v/>
      </c>
      <c r="AG105" s="13">
        <f>IF($AE105="","",SUMIFS('ORDENES'!$M$4:$M$1203,'ORDENES'!$AE$4:$AE$1203,$AE105,'ORDENES'!$O$4:$O$1203,$O105,'ORDENES'!$R$4:$R$1203,$R105))</f>
        <v/>
      </c>
      <c r="AH105" s="13">
        <f>IF($AG105="","",p_factor_productividad*IFERROR(INDEX('ASIGNACIONES'!$I$4:$I$339,MATCH($O105&amp;"|"&amp;$R105&amp;"|"&amp;$AE105,'ASIGNACIONES'!$J$4:$J$339,0)),0)-$AG105)</f>
        <v/>
      </c>
      <c r="AI105" s="10">
        <f>IF($A105="","",IFERROR(INDEX('2_IMPORTAR_EJECUCION'!$F$9:$F$1208,MATCH($AQ105,'2_IMPORTAR_EJECUCION'!$J$9:$J$1208,0)),0))</f>
        <v/>
      </c>
      <c r="AJ105" s="10">
        <f>IF($A105="","",MAX(0,IFERROR(INDEX('2_IMPORTAR_EJECUCION'!$H$9:$H$1208,MATCH($AQ105,'2_IMPORTAR_EJECUCION'!$J$9:$J$1208,0)),0)-$AI105))</f>
        <v/>
      </c>
      <c r="AK105" s="10">
        <f>IF($A105="","",$AI105+$AJ105)</f>
        <v/>
      </c>
      <c r="AL105" s="6" t="inlineStr"/>
      <c r="AM105" s="6" t="inlineStr"/>
      <c r="AN105" s="6" t="inlineStr">
        <is>
          <t>ACT-01.pdf</t>
        </is>
      </c>
      <c r="AO105" s="3">
        <f>IF($AN105="","",HYPERLINK(p_ruta_base_checklists&amp;$AN105,"abrir"))</f>
        <v/>
      </c>
      <c r="AP105" s="6" t="inlineStr"/>
      <c r="AQ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IF($A106="","",IFERROR(INDEX('AJUSTES'!$B$4:$B$303,MATCH($AQ106,'AJUSTES'!$A$4:$A$303,0)),IF($K106="","",$K106)))</f>
        <v/>
      </c>
      <c r="N106" s="3">
        <f>IF($A106="","",IFERROR(INDEX('CAT_ESTADOS_ERP'!$B$4:$B$7,MATCH(IFERROR(INDEX('2_IMPORTAR_EJECUCION'!$C$9:$C$1208,MATCH($AQ106,'2_IMPORTAR_EJECUCION'!$J$9:$J$1208,0)),""),'CAT_ESTADOS_ERP'!$A$4:$A$7,0)),"Pendiente"))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J106="","",IFERROR(INDEX('CALENDARIO'!$C$15:$C$214,MATCH(TEXT($J106,"yyyy-mm-dd")&amp;"|"&amp;$V106&amp;"|"&amp;$W106,'CALENDARIO'!$G$15:$G$214,0)),IFERROR(INDEX('CALENDARIO'!$C$15:$C$214,MATCH(TEXT($J106,"yyyy-mm-dd")&amp;"|"&amp;$V106&amp;"|",'CALENDARIO'!$G$15:$G$214,0)),IFERROR(INDEX('CALENDARIO'!$C$15:$C$214,MATCH(TEXT($J106,"yyyy-mm-dd")&amp;"||",'CALENDARIO'!$G$15:$G$214,0)),INDEX(patronHabil,WEEKDAY($J106,2))))))</f>
        <v/>
      </c>
      <c r="T106" s="3">
        <f>IF($I106="","",IFERROR(INDEX('CAT_TIPOS_OT'!$C$4:$C$7,MATCH($I106,'CAT_TIPOS_OT'!$A$4:$A$7,0)),"sin_clasificar"))</f>
        <v/>
      </c>
      <c r="U106" s="3">
        <f>IF($F106="","",IFERROR(INDEX('CAT_CENTROS_COSTO'!$F$4:$F$13,MATCH($F106,'CAT_CENTROS_COSTO'!$A$4:$A$13,0)),"(sin catálogo)"))</f>
        <v/>
      </c>
      <c r="V106" s="3">
        <f>IF($F106="","",IFERROR(INDEX('CAT_CENTROS_COSTO'!$D$4:$D$13,MATCH($F106,'CAT_CENTROS_COSTO'!$A$4:$A$13,0)),"(sin catálogo)"))</f>
        <v/>
      </c>
      <c r="W106" s="3">
        <f>IF($F106="","",IF((IFERROR(INDEX('CAT_CENTROS_COSTO'!$E$4:$E$13,MATCH($F106,'CAT_CENTROS_COSTO'!$A$4:$A$13,0)),""))&lt;&gt;"",IFERROR(INDEX('CAT_CENTROS_COSTO'!$E$4:$E$13,MATCH($F106,'CAT_CENTROS_COSTO'!$A$4:$A$13,0)),""),$V106))</f>
        <v/>
      </c>
      <c r="X106" s="3">
        <f>IF($F106="","",IFERROR(INDEX('CAT_CENTROS_COSTO'!$G$4:$G$13,MATCH($F106,'CAT_CENTROS_COSTO'!$A$4:$A$13,0)),"(sin catálogo)"))</f>
        <v/>
      </c>
      <c r="Y106" s="3">
        <f>IF($G106="","",IFERROR(INDEX('CAT_PUESTOS'!$B$4:$B$8,MATCH($G106,'CAT_PUESTOS'!$A$4:$A$8,0)),"(sin catálogo)"))</f>
        <v/>
      </c>
      <c r="Z106" s="3">
        <f>IF($H106="","",IFERROR(INDEX('CAT_ACTIVIDADES'!$B$4:$B$8,MATCH($H106,'CAT_ACTIVIDADES'!$A$4:$A$8,0)),"(sin catálogo)"))</f>
        <v/>
      </c>
      <c r="AA106" s="12">
        <f>IF($J106="","",TODAY()-$J106)</f>
        <v/>
      </c>
      <c r="AB106" s="12">
        <f>IF($J106="","",IF($J106&lt;=TODAY(),COUNTIFS(cal_fechas,"&gt;="&amp;$J106,cal_fechas,"&lt;"&amp;TODAY(),cal_habil,"sí"),-COUNTIFS(cal_fechas,"&gt;="&amp;TODAY(),cal_fechas,"&lt;"&amp;$J106,cal_habil,"sí")))</f>
        <v/>
      </c>
      <c r="AC106" s="3">
        <f>IF($AB106="","",IF($AB106&lt;0,"FUTURO",IF($AB106&gt;p_dias_backlog_max,"BACKLOG","MES CORRIENTE")))</f>
        <v/>
      </c>
      <c r="AD106" s="3">
        <f>IF($AB106="",FALSE,AND($AB106&gt;p_dias_backlog_min,$AB106&lt;=p_dias_backlog_max))</f>
        <v/>
      </c>
      <c r="AE106" s="6" t="inlineStr">
        <is>
          <t>Técnico 08</t>
        </is>
      </c>
      <c r="AF106" s="3">
        <f>IF($AE106="","",IF((IFERROR(INDEX('ASIGNACIONES'!$F$4:$F$339,MATCH($O106&amp;"|"&amp;$R106&amp;"|"&amp;$AE106,'ASIGNACIONES'!$J$4:$J$339,0)),""))=0,"",IFERROR(INDEX('ASIGNACIONES'!$F$4:$F$339,MATCH($O106&amp;"|"&amp;$R106&amp;"|"&amp;$AE106,'ASIGNACIONES'!$J$4:$J$339,0)),"")))</f>
        <v/>
      </c>
      <c r="AG106" s="13">
        <f>IF($AE106="","",SUMIFS('ORDENES'!$M$4:$M$1203,'ORDENES'!$AE$4:$AE$1203,$AE106,'ORDENES'!$O$4:$O$1203,$O106,'ORDENES'!$R$4:$R$1203,$R106))</f>
        <v/>
      </c>
      <c r="AH106" s="13">
        <f>IF($AG106="","",p_factor_productividad*IFERROR(INDEX('ASIGNACIONES'!$I$4:$I$339,MATCH($O106&amp;"|"&amp;$R106&amp;"|"&amp;$AE106,'ASIGNACIONES'!$J$4:$J$339,0)),0)-$AG106)</f>
        <v/>
      </c>
      <c r="AI106" s="10">
        <f>IF($A106="","",IFERROR(INDEX('2_IMPORTAR_EJECUCION'!$F$9:$F$1208,MATCH($AQ106,'2_IMPORTAR_EJECUCION'!$J$9:$J$1208,0)),0))</f>
        <v/>
      </c>
      <c r="AJ106" s="10">
        <f>IF($A106="","",MAX(0,IFERROR(INDEX('2_IMPORTAR_EJECUCION'!$H$9:$H$1208,MATCH($AQ106,'2_IMPORTAR_EJECUCION'!$J$9:$J$1208,0)),0)-$AI106))</f>
        <v/>
      </c>
      <c r="AK106" s="10">
        <f>IF($A106="","",$AI106+$AJ106)</f>
        <v/>
      </c>
      <c r="AL106" s="6" t="inlineStr"/>
      <c r="AM106" s="6" t="inlineStr"/>
      <c r="AN106" s="6" t="inlineStr">
        <is>
          <t>ACT-02.pdf</t>
        </is>
      </c>
      <c r="AO106" s="3">
        <f>IF($AN106="","",HYPERLINK(p_ruta_base_checklists&amp;$AN106,"abrir"))</f>
        <v/>
      </c>
      <c r="AP106" s="6" t="inlineStr"/>
      <c r="AQ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IF($A107="","",IFERROR(INDEX('AJUSTES'!$B$4:$B$303,MATCH($AQ107,'AJUSTES'!$A$4:$A$303,0)),IF($K107="","",$K107)))</f>
        <v/>
      </c>
      <c r="N107" s="3">
        <f>IF($A107="","",IFERROR(INDEX('CAT_ESTADOS_ERP'!$B$4:$B$7,MATCH(IFERROR(INDEX('2_IMPORTAR_EJECUCION'!$C$9:$C$1208,MATCH($AQ107,'2_IMPORTAR_EJECUCION'!$J$9:$J$1208,0)),""),'CAT_ESTADOS_ERP'!$A$4:$A$7,0)),"Pendiente"))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J107="","",IFERROR(INDEX('CALENDARIO'!$C$15:$C$214,MATCH(TEXT($J107,"yyyy-mm-dd")&amp;"|"&amp;$V107&amp;"|"&amp;$W107,'CALENDARIO'!$G$15:$G$214,0)),IFERROR(INDEX('CALENDARIO'!$C$15:$C$214,MATCH(TEXT($J107,"yyyy-mm-dd")&amp;"|"&amp;$V107&amp;"|",'CALENDARIO'!$G$15:$G$214,0)),IFERROR(INDEX('CALENDARIO'!$C$15:$C$214,MATCH(TEXT($J107,"yyyy-mm-dd")&amp;"||",'CALENDARIO'!$G$15:$G$214,0)),INDEX(patronHabil,WEEKDAY($J107,2))))))</f>
        <v/>
      </c>
      <c r="T107" s="3">
        <f>IF($I107="","",IFERROR(INDEX('CAT_TIPOS_OT'!$C$4:$C$7,MATCH($I107,'CAT_TIPOS_OT'!$A$4:$A$7,0)),"sin_clasificar"))</f>
        <v/>
      </c>
      <c r="U107" s="3">
        <f>IF($F107="","",IFERROR(INDEX('CAT_CENTROS_COSTO'!$F$4:$F$13,MATCH($F107,'CAT_CENTROS_COSTO'!$A$4:$A$13,0)),"(sin catálogo)"))</f>
        <v/>
      </c>
      <c r="V107" s="3">
        <f>IF($F107="","",IFERROR(INDEX('CAT_CENTROS_COSTO'!$D$4:$D$13,MATCH($F107,'CAT_CENTROS_COSTO'!$A$4:$A$13,0)),"(sin catálogo)"))</f>
        <v/>
      </c>
      <c r="W107" s="3">
        <f>IF($F107="","",IF((IFERROR(INDEX('CAT_CENTROS_COSTO'!$E$4:$E$13,MATCH($F107,'CAT_CENTROS_COSTO'!$A$4:$A$13,0)),""))&lt;&gt;"",IFERROR(INDEX('CAT_CENTROS_COSTO'!$E$4:$E$13,MATCH($F107,'CAT_CENTROS_COSTO'!$A$4:$A$13,0)),""),$V107))</f>
        <v/>
      </c>
      <c r="X107" s="3">
        <f>IF($F107="","",IFERROR(INDEX('CAT_CENTROS_COSTO'!$G$4:$G$13,MATCH($F107,'CAT_CENTROS_COSTO'!$A$4:$A$13,0)),"(sin catálogo)"))</f>
        <v/>
      </c>
      <c r="Y107" s="3">
        <f>IF($G107="","",IFERROR(INDEX('CAT_PUESTOS'!$B$4:$B$8,MATCH($G107,'CAT_PUESTOS'!$A$4:$A$8,0)),"(sin catálogo)"))</f>
        <v/>
      </c>
      <c r="Z107" s="3">
        <f>IF($H107="","",IFERROR(INDEX('CAT_ACTIVIDADES'!$B$4:$B$8,MATCH($H107,'CAT_ACTIVIDADES'!$A$4:$A$8,0)),"(sin catálogo)"))</f>
        <v/>
      </c>
      <c r="AA107" s="12">
        <f>IF($J107="","",TODAY()-$J107)</f>
        <v/>
      </c>
      <c r="AB107" s="12">
        <f>IF($J107="","",IF($J107&lt;=TODAY(),COUNTIFS(cal_fechas,"&gt;="&amp;$J107,cal_fechas,"&lt;"&amp;TODAY(),cal_habil,"sí"),-COUNTIFS(cal_fechas,"&gt;="&amp;TODAY(),cal_fechas,"&lt;"&amp;$J107,cal_habil,"sí")))</f>
        <v/>
      </c>
      <c r="AC107" s="3">
        <f>IF($AB107="","",IF($AB107&lt;0,"FUTURO",IF($AB107&gt;p_dias_backlog_max,"BACKLOG","MES CORRIENTE")))</f>
        <v/>
      </c>
      <c r="AD107" s="3">
        <f>IF($AB107="",FALSE,AND($AB107&gt;p_dias_backlog_min,$AB107&lt;=p_dias_backlog_max))</f>
        <v/>
      </c>
      <c r="AE107" s="6" t="inlineStr">
        <is>
          <t>Técnico 09</t>
        </is>
      </c>
      <c r="AF107" s="3">
        <f>IF($AE107="","",IF((IFERROR(INDEX('ASIGNACIONES'!$F$4:$F$339,MATCH($O107&amp;"|"&amp;$R107&amp;"|"&amp;$AE107,'ASIGNACIONES'!$J$4:$J$339,0)),""))=0,"",IFERROR(INDEX('ASIGNACIONES'!$F$4:$F$339,MATCH($O107&amp;"|"&amp;$R107&amp;"|"&amp;$AE107,'ASIGNACIONES'!$J$4:$J$339,0)),"")))</f>
        <v/>
      </c>
      <c r="AG107" s="13">
        <f>IF($AE107="","",SUMIFS('ORDENES'!$M$4:$M$1203,'ORDENES'!$AE$4:$AE$1203,$AE107,'ORDENES'!$O$4:$O$1203,$O107,'ORDENES'!$R$4:$R$1203,$R107))</f>
        <v/>
      </c>
      <c r="AH107" s="13">
        <f>IF($AG107="","",p_factor_productividad*IFERROR(INDEX('ASIGNACIONES'!$I$4:$I$339,MATCH($O107&amp;"|"&amp;$R107&amp;"|"&amp;$AE107,'ASIGNACIONES'!$J$4:$J$339,0)),0)-$AG107)</f>
        <v/>
      </c>
      <c r="AI107" s="10">
        <f>IF($A107="","",IFERROR(INDEX('2_IMPORTAR_EJECUCION'!$F$9:$F$1208,MATCH($AQ107,'2_IMPORTAR_EJECUCION'!$J$9:$J$1208,0)),0))</f>
        <v/>
      </c>
      <c r="AJ107" s="10">
        <f>IF($A107="","",MAX(0,IFERROR(INDEX('2_IMPORTAR_EJECUCION'!$H$9:$H$1208,MATCH($AQ107,'2_IMPORTAR_EJECUCION'!$J$9:$J$1208,0)),0)-$AI107))</f>
        <v/>
      </c>
      <c r="AK107" s="10">
        <f>IF($A107="","",$AI107+$AJ107)</f>
        <v/>
      </c>
      <c r="AL107" s="6" t="inlineStr"/>
      <c r="AM107" s="6" t="inlineStr"/>
      <c r="AN107" s="6" t="inlineStr">
        <is>
          <t>ACT-04.pdf</t>
        </is>
      </c>
      <c r="AO107" s="3">
        <f>IF($AN107="","",HYPERLINK(p_ruta_base_checklists&amp;$AN107,"abrir"))</f>
        <v/>
      </c>
      <c r="AP107" s="6" t="inlineStr"/>
      <c r="AQ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IF($A108="","",IFERROR(INDEX('AJUSTES'!$B$4:$B$303,MATCH($AQ108,'AJUSTES'!$A$4:$A$303,0)),IF($K108="","",$K108)))</f>
        <v/>
      </c>
      <c r="N108" s="3">
        <f>IF($A108="","",IFERROR(INDEX('CAT_ESTADOS_ERP'!$B$4:$B$7,MATCH(IFERROR(INDEX('2_IMPORTAR_EJECUCION'!$C$9:$C$1208,MATCH($AQ108,'2_IMPORTAR_EJECUCION'!$J$9:$J$1208,0)),""),'CAT_ESTADOS_ERP'!$A$4:$A$7,0)),"Pendiente"))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J108="","",IFERROR(INDEX('CALENDARIO'!$C$15:$C$214,MATCH(TEXT($J108,"yyyy-mm-dd")&amp;"|"&amp;$V108&amp;"|"&amp;$W108,'CALENDARIO'!$G$15:$G$214,0)),IFERROR(INDEX('CALENDARIO'!$C$15:$C$214,MATCH(TEXT($J108,"yyyy-mm-dd")&amp;"|"&amp;$V108&amp;"|",'CALENDARIO'!$G$15:$G$214,0)),IFERROR(INDEX('CALENDARIO'!$C$15:$C$214,MATCH(TEXT($J108,"yyyy-mm-dd")&amp;"||",'CALENDARIO'!$G$15:$G$214,0)),INDEX(patronHabil,WEEKDAY($J108,2))))))</f>
        <v/>
      </c>
      <c r="T108" s="3">
        <f>IF($I108="","",IFERROR(INDEX('CAT_TIPOS_OT'!$C$4:$C$7,MATCH($I108,'CAT_TIPOS_OT'!$A$4:$A$7,0)),"sin_clasificar"))</f>
        <v/>
      </c>
      <c r="U108" s="3">
        <f>IF($F108="","",IFERROR(INDEX('CAT_CENTROS_COSTO'!$F$4:$F$13,MATCH($F108,'CAT_CENTROS_COSTO'!$A$4:$A$13,0)),"(sin catálogo)"))</f>
        <v/>
      </c>
      <c r="V108" s="3">
        <f>IF($F108="","",IFERROR(INDEX('CAT_CENTROS_COSTO'!$D$4:$D$13,MATCH($F108,'CAT_CENTROS_COSTO'!$A$4:$A$13,0)),"(sin catálogo)"))</f>
        <v/>
      </c>
      <c r="W108" s="3">
        <f>IF($F108="","",IF((IFERROR(INDEX('CAT_CENTROS_COSTO'!$E$4:$E$13,MATCH($F108,'CAT_CENTROS_COSTO'!$A$4:$A$13,0)),""))&lt;&gt;"",IFERROR(INDEX('CAT_CENTROS_COSTO'!$E$4:$E$13,MATCH($F108,'CAT_CENTROS_COSTO'!$A$4:$A$13,0)),""),$V108))</f>
        <v/>
      </c>
      <c r="X108" s="3">
        <f>IF($F108="","",IFERROR(INDEX('CAT_CENTROS_COSTO'!$G$4:$G$13,MATCH($F108,'CAT_CENTROS_COSTO'!$A$4:$A$13,0)),"(sin catálogo)"))</f>
        <v/>
      </c>
      <c r="Y108" s="3">
        <f>IF($G108="","",IFERROR(INDEX('CAT_PUESTOS'!$B$4:$B$8,MATCH($G108,'CAT_PUESTOS'!$A$4:$A$8,0)),"(sin catálogo)"))</f>
        <v/>
      </c>
      <c r="Z108" s="3">
        <f>IF($H108="","",IFERROR(INDEX('CAT_ACTIVIDADES'!$B$4:$B$8,MATCH($H108,'CAT_ACTIVIDADES'!$A$4:$A$8,0)),"(sin catálogo)"))</f>
        <v/>
      </c>
      <c r="AA108" s="12">
        <f>IF($J108="","",TODAY()-$J108)</f>
        <v/>
      </c>
      <c r="AB108" s="12">
        <f>IF($J108="","",IF($J108&lt;=TODAY(),COUNTIFS(cal_fechas,"&gt;="&amp;$J108,cal_fechas,"&lt;"&amp;TODAY(),cal_habil,"sí"),-COUNTIFS(cal_fechas,"&gt;="&amp;TODAY(),cal_fechas,"&lt;"&amp;$J108,cal_habil,"sí")))</f>
        <v/>
      </c>
      <c r="AC108" s="3">
        <f>IF($AB108="","",IF($AB108&lt;0,"FUTURO",IF($AB108&gt;p_dias_backlog_max,"BACKLOG","MES CORRIENTE")))</f>
        <v/>
      </c>
      <c r="AD108" s="3">
        <f>IF($AB108="",FALSE,AND($AB108&gt;p_dias_backlog_min,$AB108&lt;=p_dias_backlog_max))</f>
        <v/>
      </c>
      <c r="AE108" s="6" t="inlineStr">
        <is>
          <t>Técnico 08</t>
        </is>
      </c>
      <c r="AF108" s="3">
        <f>IF($AE108="","",IF((IFERROR(INDEX('ASIGNACIONES'!$F$4:$F$339,MATCH($O108&amp;"|"&amp;$R108&amp;"|"&amp;$AE108,'ASIGNACIONES'!$J$4:$J$339,0)),""))=0,"",IFERROR(INDEX('ASIGNACIONES'!$F$4:$F$339,MATCH($O108&amp;"|"&amp;$R108&amp;"|"&amp;$AE108,'ASIGNACIONES'!$J$4:$J$339,0)),"")))</f>
        <v/>
      </c>
      <c r="AG108" s="13">
        <f>IF($AE108="","",SUMIFS('ORDENES'!$M$4:$M$1203,'ORDENES'!$AE$4:$AE$1203,$AE108,'ORDENES'!$O$4:$O$1203,$O108,'ORDENES'!$R$4:$R$1203,$R108))</f>
        <v/>
      </c>
      <c r="AH108" s="13">
        <f>IF($AG108="","",p_factor_productividad*IFERROR(INDEX('ASIGNACIONES'!$I$4:$I$339,MATCH($O108&amp;"|"&amp;$R108&amp;"|"&amp;$AE108,'ASIGNACIONES'!$J$4:$J$339,0)),0)-$AG108)</f>
        <v/>
      </c>
      <c r="AI108" s="10">
        <f>IF($A108="","",IFERROR(INDEX('2_IMPORTAR_EJECUCION'!$F$9:$F$1208,MATCH($AQ108,'2_IMPORTAR_EJECUCION'!$J$9:$J$1208,0)),0))</f>
        <v/>
      </c>
      <c r="AJ108" s="10">
        <f>IF($A108="","",MAX(0,IFERROR(INDEX('2_IMPORTAR_EJECUCION'!$H$9:$H$1208,MATCH($AQ108,'2_IMPORTAR_EJECUCION'!$J$9:$J$1208,0)),0)-$AI108))</f>
        <v/>
      </c>
      <c r="AK108" s="10">
        <f>IF($A108="","",$AI108+$AJ108)</f>
        <v/>
      </c>
      <c r="AL108" s="6" t="inlineStr"/>
      <c r="AM108" s="6" t="inlineStr"/>
      <c r="AN108" s="6" t="inlineStr">
        <is>
          <t>ACT-01.pdf</t>
        </is>
      </c>
      <c r="AO108" s="3">
        <f>IF($AN108="","",HYPERLINK(p_ruta_base_checklists&amp;$AN108,"abrir"))</f>
        <v/>
      </c>
      <c r="AP108" s="6" t="inlineStr"/>
      <c r="AQ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IF($A109="","",IFERROR(INDEX('AJUSTES'!$B$4:$B$303,MATCH($AQ109,'AJUSTES'!$A$4:$A$303,0)),IF($K109="","",$K109)))</f>
        <v/>
      </c>
      <c r="N109" s="3">
        <f>IF($A109="","",IFERROR(INDEX('CAT_ESTADOS_ERP'!$B$4:$B$7,MATCH(IFERROR(INDEX('2_IMPORTAR_EJECUCION'!$C$9:$C$1208,MATCH($AQ109,'2_IMPORTAR_EJECUCION'!$J$9:$J$1208,0)),""),'CAT_ESTADOS_ERP'!$A$4:$A$7,0)),"Pendiente"))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J109="","",IFERROR(INDEX('CALENDARIO'!$C$15:$C$214,MATCH(TEXT($J109,"yyyy-mm-dd")&amp;"|"&amp;$V109&amp;"|"&amp;$W109,'CALENDARIO'!$G$15:$G$214,0)),IFERROR(INDEX('CALENDARIO'!$C$15:$C$214,MATCH(TEXT($J109,"yyyy-mm-dd")&amp;"|"&amp;$V109&amp;"|",'CALENDARIO'!$G$15:$G$214,0)),IFERROR(INDEX('CALENDARIO'!$C$15:$C$214,MATCH(TEXT($J109,"yyyy-mm-dd")&amp;"||",'CALENDARIO'!$G$15:$G$214,0)),INDEX(patronHabil,WEEKDAY($J109,2))))))</f>
        <v/>
      </c>
      <c r="T109" s="3">
        <f>IF($I109="","",IFERROR(INDEX('CAT_TIPOS_OT'!$C$4:$C$7,MATCH($I109,'CAT_TIPOS_OT'!$A$4:$A$7,0)),"sin_clasificar"))</f>
        <v/>
      </c>
      <c r="U109" s="3">
        <f>IF($F109="","",IFERROR(INDEX('CAT_CENTROS_COSTO'!$F$4:$F$13,MATCH($F109,'CAT_CENTROS_COSTO'!$A$4:$A$13,0)),"(sin catálogo)"))</f>
        <v/>
      </c>
      <c r="V109" s="3">
        <f>IF($F109="","",IFERROR(INDEX('CAT_CENTROS_COSTO'!$D$4:$D$13,MATCH($F109,'CAT_CENTROS_COSTO'!$A$4:$A$13,0)),"(sin catálogo)"))</f>
        <v/>
      </c>
      <c r="W109" s="3">
        <f>IF($F109="","",IF((IFERROR(INDEX('CAT_CENTROS_COSTO'!$E$4:$E$13,MATCH($F109,'CAT_CENTROS_COSTO'!$A$4:$A$13,0)),""))&lt;&gt;"",IFERROR(INDEX('CAT_CENTROS_COSTO'!$E$4:$E$13,MATCH($F109,'CAT_CENTROS_COSTO'!$A$4:$A$13,0)),""),$V109))</f>
        <v/>
      </c>
      <c r="X109" s="3">
        <f>IF($F109="","",IFERROR(INDEX('CAT_CENTROS_COSTO'!$G$4:$G$13,MATCH($F109,'CAT_CENTROS_COSTO'!$A$4:$A$13,0)),"(sin catálogo)"))</f>
        <v/>
      </c>
      <c r="Y109" s="3">
        <f>IF($G109="","",IFERROR(INDEX('CAT_PUESTOS'!$B$4:$B$8,MATCH($G109,'CAT_PUESTOS'!$A$4:$A$8,0)),"(sin catálogo)"))</f>
        <v/>
      </c>
      <c r="Z109" s="3">
        <f>IF($H109="","",IFERROR(INDEX('CAT_ACTIVIDADES'!$B$4:$B$8,MATCH($H109,'CAT_ACTIVIDADES'!$A$4:$A$8,0)),"(sin catálogo)"))</f>
        <v/>
      </c>
      <c r="AA109" s="12">
        <f>IF($J109="","",TODAY()-$J109)</f>
        <v/>
      </c>
      <c r="AB109" s="12">
        <f>IF($J109="","",IF($J109&lt;=TODAY(),COUNTIFS(cal_fechas,"&gt;="&amp;$J109,cal_fechas,"&lt;"&amp;TODAY(),cal_habil,"sí"),-COUNTIFS(cal_fechas,"&gt;="&amp;TODAY(),cal_fechas,"&lt;"&amp;$J109,cal_habil,"sí")))</f>
        <v/>
      </c>
      <c r="AC109" s="3">
        <f>IF($AB109="","",IF($AB109&lt;0,"FUTURO",IF($AB109&gt;p_dias_backlog_max,"BACKLOG","MES CORRIENTE")))</f>
        <v/>
      </c>
      <c r="AD109" s="3">
        <f>IF($AB109="",FALSE,AND($AB109&gt;p_dias_backlog_min,$AB109&lt;=p_dias_backlog_max))</f>
        <v/>
      </c>
      <c r="AE109" s="6" t="inlineStr">
        <is>
          <t>Técnico 09</t>
        </is>
      </c>
      <c r="AF109" s="3">
        <f>IF($AE109="","",IF((IFERROR(INDEX('ASIGNACIONES'!$F$4:$F$339,MATCH($O109&amp;"|"&amp;$R109&amp;"|"&amp;$AE109,'ASIGNACIONES'!$J$4:$J$339,0)),""))=0,"",IFERROR(INDEX('ASIGNACIONES'!$F$4:$F$339,MATCH($O109&amp;"|"&amp;$R109&amp;"|"&amp;$AE109,'ASIGNACIONES'!$J$4:$J$339,0)),"")))</f>
        <v/>
      </c>
      <c r="AG109" s="13">
        <f>IF($AE109="","",SUMIFS('ORDENES'!$M$4:$M$1203,'ORDENES'!$AE$4:$AE$1203,$AE109,'ORDENES'!$O$4:$O$1203,$O109,'ORDENES'!$R$4:$R$1203,$R109))</f>
        <v/>
      </c>
      <c r="AH109" s="13">
        <f>IF($AG109="","",p_factor_productividad*IFERROR(INDEX('ASIGNACIONES'!$I$4:$I$339,MATCH($O109&amp;"|"&amp;$R109&amp;"|"&amp;$AE109,'ASIGNACIONES'!$J$4:$J$339,0)),0)-$AG109)</f>
        <v/>
      </c>
      <c r="AI109" s="10">
        <f>IF($A109="","",IFERROR(INDEX('2_IMPORTAR_EJECUCION'!$F$9:$F$1208,MATCH($AQ109,'2_IMPORTAR_EJECUCION'!$J$9:$J$1208,0)),0))</f>
        <v/>
      </c>
      <c r="AJ109" s="10">
        <f>IF($A109="","",MAX(0,IFERROR(INDEX('2_IMPORTAR_EJECUCION'!$H$9:$H$1208,MATCH($AQ109,'2_IMPORTAR_EJECUCION'!$J$9:$J$1208,0)),0)-$AI109))</f>
        <v/>
      </c>
      <c r="AK109" s="10">
        <f>IF($A109="","",$AI109+$AJ109)</f>
        <v/>
      </c>
      <c r="AL109" s="6" t="inlineStr"/>
      <c r="AM109" s="6" t="inlineStr"/>
      <c r="AN109" s="6" t="inlineStr"/>
      <c r="AO109" s="3">
        <f>IF($AN109="","",HYPERLINK(p_ruta_base_checklists&amp;$AN109,"abrir"))</f>
        <v/>
      </c>
      <c r="AP109" s="6" t="inlineStr"/>
      <c r="AQ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IF($A110="","",IFERROR(INDEX('AJUSTES'!$B$4:$B$303,MATCH($AQ110,'AJUSTES'!$A$4:$A$303,0)),IF($K110="","",$K110)))</f>
        <v/>
      </c>
      <c r="N110" s="3">
        <f>IF($A110="","",IFERROR(INDEX('CAT_ESTADOS_ERP'!$B$4:$B$7,MATCH(IFERROR(INDEX('2_IMPORTAR_EJECUCION'!$C$9:$C$1208,MATCH($AQ110,'2_IMPORTAR_EJECUCION'!$J$9:$J$1208,0)),""),'CAT_ESTADOS_ERP'!$A$4:$A$7,0)),"Pendiente"))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J110="","",IFERROR(INDEX('CALENDARIO'!$C$15:$C$214,MATCH(TEXT($J110,"yyyy-mm-dd")&amp;"|"&amp;$V110&amp;"|"&amp;$W110,'CALENDARIO'!$G$15:$G$214,0)),IFERROR(INDEX('CALENDARIO'!$C$15:$C$214,MATCH(TEXT($J110,"yyyy-mm-dd")&amp;"|"&amp;$V110&amp;"|",'CALENDARIO'!$G$15:$G$214,0)),IFERROR(INDEX('CALENDARIO'!$C$15:$C$214,MATCH(TEXT($J110,"yyyy-mm-dd")&amp;"||",'CALENDARIO'!$G$15:$G$214,0)),INDEX(patronHabil,WEEKDAY($J110,2))))))</f>
        <v/>
      </c>
      <c r="T110" s="3">
        <f>IF($I110="","",IFERROR(INDEX('CAT_TIPOS_OT'!$C$4:$C$7,MATCH($I110,'CAT_TIPOS_OT'!$A$4:$A$7,0)),"sin_clasificar"))</f>
        <v/>
      </c>
      <c r="U110" s="3">
        <f>IF($F110="","",IFERROR(INDEX('CAT_CENTROS_COSTO'!$F$4:$F$13,MATCH($F110,'CAT_CENTROS_COSTO'!$A$4:$A$13,0)),"(sin catálogo)"))</f>
        <v/>
      </c>
      <c r="V110" s="3">
        <f>IF($F110="","",IFERROR(INDEX('CAT_CENTROS_COSTO'!$D$4:$D$13,MATCH($F110,'CAT_CENTROS_COSTO'!$A$4:$A$13,0)),"(sin catálogo)"))</f>
        <v/>
      </c>
      <c r="W110" s="3">
        <f>IF($F110="","",IF((IFERROR(INDEX('CAT_CENTROS_COSTO'!$E$4:$E$13,MATCH($F110,'CAT_CENTROS_COSTO'!$A$4:$A$13,0)),""))&lt;&gt;"",IFERROR(INDEX('CAT_CENTROS_COSTO'!$E$4:$E$13,MATCH($F110,'CAT_CENTROS_COSTO'!$A$4:$A$13,0)),""),$V110))</f>
        <v/>
      </c>
      <c r="X110" s="3">
        <f>IF($F110="","",IFERROR(INDEX('CAT_CENTROS_COSTO'!$G$4:$G$13,MATCH($F110,'CAT_CENTROS_COSTO'!$A$4:$A$13,0)),"(sin catálogo)"))</f>
        <v/>
      </c>
      <c r="Y110" s="3">
        <f>IF($G110="","",IFERROR(INDEX('CAT_PUESTOS'!$B$4:$B$8,MATCH($G110,'CAT_PUESTOS'!$A$4:$A$8,0)),"(sin catálogo)"))</f>
        <v/>
      </c>
      <c r="Z110" s="3">
        <f>IF($H110="","",IFERROR(INDEX('CAT_ACTIVIDADES'!$B$4:$B$8,MATCH($H110,'CAT_ACTIVIDADES'!$A$4:$A$8,0)),"(sin catálogo)"))</f>
        <v/>
      </c>
      <c r="AA110" s="12">
        <f>IF($J110="","",TODAY()-$J110)</f>
        <v/>
      </c>
      <c r="AB110" s="12">
        <f>IF($J110="","",IF($J110&lt;=TODAY(),COUNTIFS(cal_fechas,"&gt;="&amp;$J110,cal_fechas,"&lt;"&amp;TODAY(),cal_habil,"sí"),-COUNTIFS(cal_fechas,"&gt;="&amp;TODAY(),cal_fechas,"&lt;"&amp;$J110,cal_habil,"sí")))</f>
        <v/>
      </c>
      <c r="AC110" s="3">
        <f>IF($AB110="","",IF($AB110&lt;0,"FUTURO",IF($AB110&gt;p_dias_backlog_max,"BACKLOG","MES CORRIENTE")))</f>
        <v/>
      </c>
      <c r="AD110" s="3">
        <f>IF($AB110="",FALSE,AND($AB110&gt;p_dias_backlog_min,$AB110&lt;=p_dias_backlog_max))</f>
        <v/>
      </c>
      <c r="AE110" s="6" t="inlineStr">
        <is>
          <t>Técnico 11</t>
        </is>
      </c>
      <c r="AF110" s="3">
        <f>IF($AE110="","",IF((IFERROR(INDEX('ASIGNACIONES'!$F$4:$F$339,MATCH($O110&amp;"|"&amp;$R110&amp;"|"&amp;$AE110,'ASIGNACIONES'!$J$4:$J$339,0)),""))=0,"",IFERROR(INDEX('ASIGNACIONES'!$F$4:$F$339,MATCH($O110&amp;"|"&amp;$R110&amp;"|"&amp;$AE110,'ASIGNACIONES'!$J$4:$J$339,0)),"")))</f>
        <v/>
      </c>
      <c r="AG110" s="13">
        <f>IF($AE110="","",SUMIFS('ORDENES'!$M$4:$M$1203,'ORDENES'!$AE$4:$AE$1203,$AE110,'ORDENES'!$O$4:$O$1203,$O110,'ORDENES'!$R$4:$R$1203,$R110))</f>
        <v/>
      </c>
      <c r="AH110" s="13">
        <f>IF($AG110="","",p_factor_productividad*IFERROR(INDEX('ASIGNACIONES'!$I$4:$I$339,MATCH($O110&amp;"|"&amp;$R110&amp;"|"&amp;$AE110,'ASIGNACIONES'!$J$4:$J$339,0)),0)-$AG110)</f>
        <v/>
      </c>
      <c r="AI110" s="10">
        <f>IF($A110="","",IFERROR(INDEX('2_IMPORTAR_EJECUCION'!$F$9:$F$1208,MATCH($AQ110,'2_IMPORTAR_EJECUCION'!$J$9:$J$1208,0)),0))</f>
        <v/>
      </c>
      <c r="AJ110" s="10">
        <f>IF($A110="","",MAX(0,IFERROR(INDEX('2_IMPORTAR_EJECUCION'!$H$9:$H$1208,MATCH($AQ110,'2_IMPORTAR_EJECUCION'!$J$9:$J$1208,0)),0)-$AI110))</f>
        <v/>
      </c>
      <c r="AK110" s="10">
        <f>IF($A110="","",$AI110+$AJ110)</f>
        <v/>
      </c>
      <c r="AL110" s="6" t="inlineStr"/>
      <c r="AM110" s="6" t="inlineStr"/>
      <c r="AN110" s="6" t="inlineStr">
        <is>
          <t>ACT-04.pdf</t>
        </is>
      </c>
      <c r="AO110" s="3">
        <f>IF($AN110="","",HYPERLINK(p_ruta_base_checklists&amp;$AN110,"abrir"))</f>
        <v/>
      </c>
      <c r="AP110" s="6" t="inlineStr"/>
      <c r="AQ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IF($A111="","",IFERROR(INDEX('AJUSTES'!$B$4:$B$303,MATCH($AQ111,'AJUSTES'!$A$4:$A$303,0)),IF($K111="","",$K111)))</f>
        <v/>
      </c>
      <c r="N111" s="3">
        <f>IF($A111="","",IFERROR(INDEX('CAT_ESTADOS_ERP'!$B$4:$B$7,MATCH(IFERROR(INDEX('2_IMPORTAR_EJECUCION'!$C$9:$C$1208,MATCH($AQ111,'2_IMPORTAR_EJECUCION'!$J$9:$J$1208,0)),""),'CAT_ESTADOS_ERP'!$A$4:$A$7,0)),"Pendiente"))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J111="","",IFERROR(INDEX('CALENDARIO'!$C$15:$C$214,MATCH(TEXT($J111,"yyyy-mm-dd")&amp;"|"&amp;$V111&amp;"|"&amp;$W111,'CALENDARIO'!$G$15:$G$214,0)),IFERROR(INDEX('CALENDARIO'!$C$15:$C$214,MATCH(TEXT($J111,"yyyy-mm-dd")&amp;"|"&amp;$V111&amp;"|",'CALENDARIO'!$G$15:$G$214,0)),IFERROR(INDEX('CALENDARIO'!$C$15:$C$214,MATCH(TEXT($J111,"yyyy-mm-dd")&amp;"||",'CALENDARIO'!$G$15:$G$214,0)),INDEX(patronHabil,WEEKDAY($J111,2))))))</f>
        <v/>
      </c>
      <c r="T111" s="3">
        <f>IF($I111="","",IFERROR(INDEX('CAT_TIPOS_OT'!$C$4:$C$7,MATCH($I111,'CAT_TIPOS_OT'!$A$4:$A$7,0)),"sin_clasificar"))</f>
        <v/>
      </c>
      <c r="U111" s="3">
        <f>IF($F111="","",IFERROR(INDEX('CAT_CENTROS_COSTO'!$F$4:$F$13,MATCH($F111,'CAT_CENTROS_COSTO'!$A$4:$A$13,0)),"(sin catálogo)"))</f>
        <v/>
      </c>
      <c r="V111" s="3">
        <f>IF($F111="","",IFERROR(INDEX('CAT_CENTROS_COSTO'!$D$4:$D$13,MATCH($F111,'CAT_CENTROS_COSTO'!$A$4:$A$13,0)),"(sin catálogo)"))</f>
        <v/>
      </c>
      <c r="W111" s="3">
        <f>IF($F111="","",IF((IFERROR(INDEX('CAT_CENTROS_COSTO'!$E$4:$E$13,MATCH($F111,'CAT_CENTROS_COSTO'!$A$4:$A$13,0)),""))&lt;&gt;"",IFERROR(INDEX('CAT_CENTROS_COSTO'!$E$4:$E$13,MATCH($F111,'CAT_CENTROS_COSTO'!$A$4:$A$13,0)),""),$V111))</f>
        <v/>
      </c>
      <c r="X111" s="3">
        <f>IF($F111="","",IFERROR(INDEX('CAT_CENTROS_COSTO'!$G$4:$G$13,MATCH($F111,'CAT_CENTROS_COSTO'!$A$4:$A$13,0)),"(sin catálogo)"))</f>
        <v/>
      </c>
      <c r="Y111" s="3">
        <f>IF($G111="","",IFERROR(INDEX('CAT_PUESTOS'!$B$4:$B$8,MATCH($G111,'CAT_PUESTOS'!$A$4:$A$8,0)),"(sin catálogo)"))</f>
        <v/>
      </c>
      <c r="Z111" s="3">
        <f>IF($H111="","",IFERROR(INDEX('CAT_ACTIVIDADES'!$B$4:$B$8,MATCH($H111,'CAT_ACTIVIDADES'!$A$4:$A$8,0)),"(sin catálogo)"))</f>
        <v/>
      </c>
      <c r="AA111" s="12">
        <f>IF($J111="","",TODAY()-$J111)</f>
        <v/>
      </c>
      <c r="AB111" s="12">
        <f>IF($J111="","",IF($J111&lt;=TODAY(),COUNTIFS(cal_fechas,"&gt;="&amp;$J111,cal_fechas,"&lt;"&amp;TODAY(),cal_habil,"sí"),-COUNTIFS(cal_fechas,"&gt;="&amp;TODAY(),cal_fechas,"&lt;"&amp;$J111,cal_habil,"sí")))</f>
        <v/>
      </c>
      <c r="AC111" s="3">
        <f>IF($AB111="","",IF($AB111&lt;0,"FUTURO",IF($AB111&gt;p_dias_backlog_max,"BACKLOG","MES CORRIENTE")))</f>
        <v/>
      </c>
      <c r="AD111" s="3">
        <f>IF($AB111="",FALSE,AND($AB111&gt;p_dias_backlog_min,$AB111&lt;=p_dias_backlog_max))</f>
        <v/>
      </c>
      <c r="AE111" s="6" t="inlineStr"/>
      <c r="AF111" s="3">
        <f>IF($AE111="","",IF((IFERROR(INDEX('ASIGNACIONES'!$F$4:$F$339,MATCH($O111&amp;"|"&amp;$R111&amp;"|"&amp;$AE111,'ASIGNACIONES'!$J$4:$J$339,0)),""))=0,"",IFERROR(INDEX('ASIGNACIONES'!$F$4:$F$339,MATCH($O111&amp;"|"&amp;$R111&amp;"|"&amp;$AE111,'ASIGNACIONES'!$J$4:$J$339,0)),"")))</f>
        <v/>
      </c>
      <c r="AG111" s="13">
        <f>IF($AE111="","",SUMIFS('ORDENES'!$M$4:$M$1203,'ORDENES'!$AE$4:$AE$1203,$AE111,'ORDENES'!$O$4:$O$1203,$O111,'ORDENES'!$R$4:$R$1203,$R111))</f>
        <v/>
      </c>
      <c r="AH111" s="13">
        <f>IF($AG111="","",p_factor_productividad*IFERROR(INDEX('ASIGNACIONES'!$I$4:$I$339,MATCH($O111&amp;"|"&amp;$R111&amp;"|"&amp;$AE111,'ASIGNACIONES'!$J$4:$J$339,0)),0)-$AG111)</f>
        <v/>
      </c>
      <c r="AI111" s="10">
        <f>IF($A111="","",IFERROR(INDEX('2_IMPORTAR_EJECUCION'!$F$9:$F$1208,MATCH($AQ111,'2_IMPORTAR_EJECUCION'!$J$9:$J$1208,0)),0))</f>
        <v/>
      </c>
      <c r="AJ111" s="10">
        <f>IF($A111="","",MAX(0,IFERROR(INDEX('2_IMPORTAR_EJECUCION'!$H$9:$H$1208,MATCH($AQ111,'2_IMPORTAR_EJECUCION'!$J$9:$J$1208,0)),0)-$AI111))</f>
        <v/>
      </c>
      <c r="AK111" s="10">
        <f>IF($A111="","",$AI111+$AJ111)</f>
        <v/>
      </c>
      <c r="AL111" s="6" t="inlineStr"/>
      <c r="AM111" s="6" t="inlineStr"/>
      <c r="AN111" s="6" t="inlineStr">
        <is>
          <t>ACT-01.pdf</t>
        </is>
      </c>
      <c r="AO111" s="3">
        <f>IF($AN111="","",HYPERLINK(p_ruta_base_checklists&amp;$AN111,"abrir"))</f>
        <v/>
      </c>
      <c r="AP111" s="6" t="inlineStr"/>
      <c r="AQ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IF($A112="","",IFERROR(INDEX('AJUSTES'!$B$4:$B$303,MATCH($AQ112,'AJUSTES'!$A$4:$A$303,0)),IF($K112="","",$K112)))</f>
        <v/>
      </c>
      <c r="N112" s="3">
        <f>IF($A112="","",IFERROR(INDEX('CAT_ESTADOS_ERP'!$B$4:$B$7,MATCH(IFERROR(INDEX('2_IMPORTAR_EJECUCION'!$C$9:$C$1208,MATCH($AQ112,'2_IMPORTAR_EJECUCION'!$J$9:$J$1208,0)),""),'CAT_ESTADOS_ERP'!$A$4:$A$7,0)),"Pendiente"))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J112="","",IFERROR(INDEX('CALENDARIO'!$C$15:$C$214,MATCH(TEXT($J112,"yyyy-mm-dd")&amp;"|"&amp;$V112&amp;"|"&amp;$W112,'CALENDARIO'!$G$15:$G$214,0)),IFERROR(INDEX('CALENDARIO'!$C$15:$C$214,MATCH(TEXT($J112,"yyyy-mm-dd")&amp;"|"&amp;$V112&amp;"|",'CALENDARIO'!$G$15:$G$214,0)),IFERROR(INDEX('CALENDARIO'!$C$15:$C$214,MATCH(TEXT($J112,"yyyy-mm-dd")&amp;"||",'CALENDARIO'!$G$15:$G$214,0)),INDEX(patronHabil,WEEKDAY($J112,2))))))</f>
        <v/>
      </c>
      <c r="T112" s="3">
        <f>IF($I112="","",IFERROR(INDEX('CAT_TIPOS_OT'!$C$4:$C$7,MATCH($I112,'CAT_TIPOS_OT'!$A$4:$A$7,0)),"sin_clasificar"))</f>
        <v/>
      </c>
      <c r="U112" s="3">
        <f>IF($F112="","",IFERROR(INDEX('CAT_CENTROS_COSTO'!$F$4:$F$13,MATCH($F112,'CAT_CENTROS_COSTO'!$A$4:$A$13,0)),"(sin catálogo)"))</f>
        <v/>
      </c>
      <c r="V112" s="3">
        <f>IF($F112="","",IFERROR(INDEX('CAT_CENTROS_COSTO'!$D$4:$D$13,MATCH($F112,'CAT_CENTROS_COSTO'!$A$4:$A$13,0)),"(sin catálogo)"))</f>
        <v/>
      </c>
      <c r="W112" s="3">
        <f>IF($F112="","",IF((IFERROR(INDEX('CAT_CENTROS_COSTO'!$E$4:$E$13,MATCH($F112,'CAT_CENTROS_COSTO'!$A$4:$A$13,0)),""))&lt;&gt;"",IFERROR(INDEX('CAT_CENTROS_COSTO'!$E$4:$E$13,MATCH($F112,'CAT_CENTROS_COSTO'!$A$4:$A$13,0)),""),$V112))</f>
        <v/>
      </c>
      <c r="X112" s="3">
        <f>IF($F112="","",IFERROR(INDEX('CAT_CENTROS_COSTO'!$G$4:$G$13,MATCH($F112,'CAT_CENTROS_COSTO'!$A$4:$A$13,0)),"(sin catálogo)"))</f>
        <v/>
      </c>
      <c r="Y112" s="3">
        <f>IF($G112="","",IFERROR(INDEX('CAT_PUESTOS'!$B$4:$B$8,MATCH($G112,'CAT_PUESTOS'!$A$4:$A$8,0)),"(sin catálogo)"))</f>
        <v/>
      </c>
      <c r="Z112" s="3">
        <f>IF($H112="","",IFERROR(INDEX('CAT_ACTIVIDADES'!$B$4:$B$8,MATCH($H112,'CAT_ACTIVIDADES'!$A$4:$A$8,0)),"(sin catálogo)"))</f>
        <v/>
      </c>
      <c r="AA112" s="12">
        <f>IF($J112="","",TODAY()-$J112)</f>
        <v/>
      </c>
      <c r="AB112" s="12">
        <f>IF($J112="","",IF($J112&lt;=TODAY(),COUNTIFS(cal_fechas,"&gt;="&amp;$J112,cal_fechas,"&lt;"&amp;TODAY(),cal_habil,"sí"),-COUNTIFS(cal_fechas,"&gt;="&amp;TODAY(),cal_fechas,"&lt;"&amp;$J112,cal_habil,"sí")))</f>
        <v/>
      </c>
      <c r="AC112" s="3">
        <f>IF($AB112="","",IF($AB112&lt;0,"FUTURO",IF($AB112&gt;p_dias_backlog_max,"BACKLOG","MES CORRIENTE")))</f>
        <v/>
      </c>
      <c r="AD112" s="3">
        <f>IF($AB112="",FALSE,AND($AB112&gt;p_dias_backlog_min,$AB112&lt;=p_dias_backlog_max))</f>
        <v/>
      </c>
      <c r="AE112" s="6" t="inlineStr">
        <is>
          <t>Técnico 10</t>
        </is>
      </c>
      <c r="AF112" s="3">
        <f>IF($AE112="","",IF((IFERROR(INDEX('ASIGNACIONES'!$F$4:$F$339,MATCH($O112&amp;"|"&amp;$R112&amp;"|"&amp;$AE112,'ASIGNACIONES'!$J$4:$J$339,0)),""))=0,"",IFERROR(INDEX('ASIGNACIONES'!$F$4:$F$339,MATCH($O112&amp;"|"&amp;$R112&amp;"|"&amp;$AE112,'ASIGNACIONES'!$J$4:$J$339,0)),"")))</f>
        <v/>
      </c>
      <c r="AG112" s="13">
        <f>IF($AE112="","",SUMIFS('ORDENES'!$M$4:$M$1203,'ORDENES'!$AE$4:$AE$1203,$AE112,'ORDENES'!$O$4:$O$1203,$O112,'ORDENES'!$R$4:$R$1203,$R112))</f>
        <v/>
      </c>
      <c r="AH112" s="13">
        <f>IF($AG112="","",p_factor_productividad*IFERROR(INDEX('ASIGNACIONES'!$I$4:$I$339,MATCH($O112&amp;"|"&amp;$R112&amp;"|"&amp;$AE112,'ASIGNACIONES'!$J$4:$J$339,0)),0)-$AG112)</f>
        <v/>
      </c>
      <c r="AI112" s="10">
        <f>IF($A112="","",IFERROR(INDEX('2_IMPORTAR_EJECUCION'!$F$9:$F$1208,MATCH($AQ112,'2_IMPORTAR_EJECUCION'!$J$9:$J$1208,0)),0))</f>
        <v/>
      </c>
      <c r="AJ112" s="10">
        <f>IF($A112="","",MAX(0,IFERROR(INDEX('2_IMPORTAR_EJECUCION'!$H$9:$H$1208,MATCH($AQ112,'2_IMPORTAR_EJECUCION'!$J$9:$J$1208,0)),0)-$AI112))</f>
        <v/>
      </c>
      <c r="AK112" s="10">
        <f>IF($A112="","",$AI112+$AJ112)</f>
        <v/>
      </c>
      <c r="AL112" s="6" t="inlineStr"/>
      <c r="AM112" s="6" t="inlineStr"/>
      <c r="AN112" s="6" t="inlineStr">
        <is>
          <t>ACT-02.pdf</t>
        </is>
      </c>
      <c r="AO112" s="3">
        <f>IF($AN112="","",HYPERLINK(p_ruta_base_checklists&amp;$AN112,"abrir"))</f>
        <v/>
      </c>
      <c r="AP112" s="6" t="inlineStr"/>
      <c r="AQ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IF($A113="","",IFERROR(INDEX('AJUSTES'!$B$4:$B$303,MATCH($AQ113,'AJUSTES'!$A$4:$A$303,0)),IF($K113="","",$K113)))</f>
        <v/>
      </c>
      <c r="N113" s="3">
        <f>IF($A113="","",IFERROR(INDEX('CAT_ESTADOS_ERP'!$B$4:$B$7,MATCH(IFERROR(INDEX('2_IMPORTAR_EJECUCION'!$C$9:$C$1208,MATCH($AQ113,'2_IMPORTAR_EJECUCION'!$J$9:$J$1208,0)),""),'CAT_ESTADOS_ERP'!$A$4:$A$7,0)),"Pendiente"))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J113="","",IFERROR(INDEX('CALENDARIO'!$C$15:$C$214,MATCH(TEXT($J113,"yyyy-mm-dd")&amp;"|"&amp;$V113&amp;"|"&amp;$W113,'CALENDARIO'!$G$15:$G$214,0)),IFERROR(INDEX('CALENDARIO'!$C$15:$C$214,MATCH(TEXT($J113,"yyyy-mm-dd")&amp;"|"&amp;$V113&amp;"|",'CALENDARIO'!$G$15:$G$214,0)),IFERROR(INDEX('CALENDARIO'!$C$15:$C$214,MATCH(TEXT($J113,"yyyy-mm-dd")&amp;"||",'CALENDARIO'!$G$15:$G$214,0)),INDEX(patronHabil,WEEKDAY($J113,2))))))</f>
        <v/>
      </c>
      <c r="T113" s="3">
        <f>IF($I113="","",IFERROR(INDEX('CAT_TIPOS_OT'!$C$4:$C$7,MATCH($I113,'CAT_TIPOS_OT'!$A$4:$A$7,0)),"sin_clasificar"))</f>
        <v/>
      </c>
      <c r="U113" s="3">
        <f>IF($F113="","",IFERROR(INDEX('CAT_CENTROS_COSTO'!$F$4:$F$13,MATCH($F113,'CAT_CENTROS_COSTO'!$A$4:$A$13,0)),"(sin catálogo)"))</f>
        <v/>
      </c>
      <c r="V113" s="3">
        <f>IF($F113="","",IFERROR(INDEX('CAT_CENTROS_COSTO'!$D$4:$D$13,MATCH($F113,'CAT_CENTROS_COSTO'!$A$4:$A$13,0)),"(sin catálogo)"))</f>
        <v/>
      </c>
      <c r="W113" s="3">
        <f>IF($F113="","",IF((IFERROR(INDEX('CAT_CENTROS_COSTO'!$E$4:$E$13,MATCH($F113,'CAT_CENTROS_COSTO'!$A$4:$A$13,0)),""))&lt;&gt;"",IFERROR(INDEX('CAT_CENTROS_COSTO'!$E$4:$E$13,MATCH($F113,'CAT_CENTROS_COSTO'!$A$4:$A$13,0)),""),$V113))</f>
        <v/>
      </c>
      <c r="X113" s="3">
        <f>IF($F113="","",IFERROR(INDEX('CAT_CENTROS_COSTO'!$G$4:$G$13,MATCH($F113,'CAT_CENTROS_COSTO'!$A$4:$A$13,0)),"(sin catálogo)"))</f>
        <v/>
      </c>
      <c r="Y113" s="3">
        <f>IF($G113="","",IFERROR(INDEX('CAT_PUESTOS'!$B$4:$B$8,MATCH($G113,'CAT_PUESTOS'!$A$4:$A$8,0)),"(sin catálogo)"))</f>
        <v/>
      </c>
      <c r="Z113" s="3">
        <f>IF($H113="","",IFERROR(INDEX('CAT_ACTIVIDADES'!$B$4:$B$8,MATCH($H113,'CAT_ACTIVIDADES'!$A$4:$A$8,0)),"(sin catálogo)"))</f>
        <v/>
      </c>
      <c r="AA113" s="12">
        <f>IF($J113="","",TODAY()-$J113)</f>
        <v/>
      </c>
      <c r="AB113" s="12">
        <f>IF($J113="","",IF($J113&lt;=TODAY(),COUNTIFS(cal_fechas,"&gt;="&amp;$J113,cal_fechas,"&lt;"&amp;TODAY(),cal_habil,"sí"),-COUNTIFS(cal_fechas,"&gt;="&amp;TODAY(),cal_fechas,"&lt;"&amp;$J113,cal_habil,"sí")))</f>
        <v/>
      </c>
      <c r="AC113" s="3">
        <f>IF($AB113="","",IF($AB113&lt;0,"FUTURO",IF($AB113&gt;p_dias_backlog_max,"BACKLOG","MES CORRIENTE")))</f>
        <v/>
      </c>
      <c r="AD113" s="3">
        <f>IF($AB113="",FALSE,AND($AB113&gt;p_dias_backlog_min,$AB113&lt;=p_dias_backlog_max))</f>
        <v/>
      </c>
      <c r="AE113" s="6" t="inlineStr">
        <is>
          <t>Técnico 11</t>
        </is>
      </c>
      <c r="AF113" s="3">
        <f>IF($AE113="","",IF((IFERROR(INDEX('ASIGNACIONES'!$F$4:$F$339,MATCH($O113&amp;"|"&amp;$R113&amp;"|"&amp;$AE113,'ASIGNACIONES'!$J$4:$J$339,0)),""))=0,"",IFERROR(INDEX('ASIGNACIONES'!$F$4:$F$339,MATCH($O113&amp;"|"&amp;$R113&amp;"|"&amp;$AE113,'ASIGNACIONES'!$J$4:$J$339,0)),"")))</f>
        <v/>
      </c>
      <c r="AG113" s="13">
        <f>IF($AE113="","",SUMIFS('ORDENES'!$M$4:$M$1203,'ORDENES'!$AE$4:$AE$1203,$AE113,'ORDENES'!$O$4:$O$1203,$O113,'ORDENES'!$R$4:$R$1203,$R113))</f>
        <v/>
      </c>
      <c r="AH113" s="13">
        <f>IF($AG113="","",p_factor_productividad*IFERROR(INDEX('ASIGNACIONES'!$I$4:$I$339,MATCH($O113&amp;"|"&amp;$R113&amp;"|"&amp;$AE113,'ASIGNACIONES'!$J$4:$J$339,0)),0)-$AG113)</f>
        <v/>
      </c>
      <c r="AI113" s="10">
        <f>IF($A113="","",IFERROR(INDEX('2_IMPORTAR_EJECUCION'!$F$9:$F$1208,MATCH($AQ113,'2_IMPORTAR_EJECUCION'!$J$9:$J$1208,0)),0))</f>
        <v/>
      </c>
      <c r="AJ113" s="10">
        <f>IF($A113="","",MAX(0,IFERROR(INDEX('2_IMPORTAR_EJECUCION'!$H$9:$H$1208,MATCH($AQ113,'2_IMPORTAR_EJECUCION'!$J$9:$J$1208,0)),0)-$AI113))</f>
        <v/>
      </c>
      <c r="AK113" s="10">
        <f>IF($A113="","",$AI113+$AJ113)</f>
        <v/>
      </c>
      <c r="AL113" s="6" t="inlineStr"/>
      <c r="AM113" s="6" t="inlineStr"/>
      <c r="AN113" s="6" t="inlineStr">
        <is>
          <t>ACT-04.pdf</t>
        </is>
      </c>
      <c r="AO113" s="3">
        <f>IF($AN113="","",HYPERLINK(p_ruta_base_checklists&amp;$AN113,"abrir"))</f>
        <v/>
      </c>
      <c r="AP113" s="6" t="inlineStr"/>
      <c r="AQ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IF($A114="","",IFERROR(INDEX('AJUSTES'!$B$4:$B$303,MATCH($AQ114,'AJUSTES'!$A$4:$A$303,0)),IF($K114="","",$K114)))</f>
        <v/>
      </c>
      <c r="N114" s="3">
        <f>IF($A114="","",IFERROR(INDEX('CAT_ESTADOS_ERP'!$B$4:$B$7,MATCH(IFERROR(INDEX('2_IMPORTAR_EJECUCION'!$C$9:$C$1208,MATCH($AQ114,'2_IMPORTAR_EJECUCION'!$J$9:$J$1208,0)),""),'CAT_ESTADOS_ERP'!$A$4:$A$7,0)),"Pendiente"))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J114="","",IFERROR(INDEX('CALENDARIO'!$C$15:$C$214,MATCH(TEXT($J114,"yyyy-mm-dd")&amp;"|"&amp;$V114&amp;"|"&amp;$W114,'CALENDARIO'!$G$15:$G$214,0)),IFERROR(INDEX('CALENDARIO'!$C$15:$C$214,MATCH(TEXT($J114,"yyyy-mm-dd")&amp;"|"&amp;$V114&amp;"|",'CALENDARIO'!$G$15:$G$214,0)),IFERROR(INDEX('CALENDARIO'!$C$15:$C$214,MATCH(TEXT($J114,"yyyy-mm-dd")&amp;"||",'CALENDARIO'!$G$15:$G$214,0)),INDEX(patronHabil,WEEKDAY($J114,2))))))</f>
        <v/>
      </c>
      <c r="T114" s="3">
        <f>IF($I114="","",IFERROR(INDEX('CAT_TIPOS_OT'!$C$4:$C$7,MATCH($I114,'CAT_TIPOS_OT'!$A$4:$A$7,0)),"sin_clasificar"))</f>
        <v/>
      </c>
      <c r="U114" s="3">
        <f>IF($F114="","",IFERROR(INDEX('CAT_CENTROS_COSTO'!$F$4:$F$13,MATCH($F114,'CAT_CENTROS_COSTO'!$A$4:$A$13,0)),"(sin catálogo)"))</f>
        <v/>
      </c>
      <c r="V114" s="3">
        <f>IF($F114="","",IFERROR(INDEX('CAT_CENTROS_COSTO'!$D$4:$D$13,MATCH($F114,'CAT_CENTROS_COSTO'!$A$4:$A$13,0)),"(sin catálogo)"))</f>
        <v/>
      </c>
      <c r="W114" s="3">
        <f>IF($F114="","",IF((IFERROR(INDEX('CAT_CENTROS_COSTO'!$E$4:$E$13,MATCH($F114,'CAT_CENTROS_COSTO'!$A$4:$A$13,0)),""))&lt;&gt;"",IFERROR(INDEX('CAT_CENTROS_COSTO'!$E$4:$E$13,MATCH($F114,'CAT_CENTROS_COSTO'!$A$4:$A$13,0)),""),$V114))</f>
        <v/>
      </c>
      <c r="X114" s="3">
        <f>IF($F114="","",IFERROR(INDEX('CAT_CENTROS_COSTO'!$G$4:$G$13,MATCH($F114,'CAT_CENTROS_COSTO'!$A$4:$A$13,0)),"(sin catálogo)"))</f>
        <v/>
      </c>
      <c r="Y114" s="3">
        <f>IF($G114="","",IFERROR(INDEX('CAT_PUESTOS'!$B$4:$B$8,MATCH($G114,'CAT_PUESTOS'!$A$4:$A$8,0)),"(sin catálogo)"))</f>
        <v/>
      </c>
      <c r="Z114" s="3">
        <f>IF($H114="","",IFERROR(INDEX('CAT_ACTIVIDADES'!$B$4:$B$8,MATCH($H114,'CAT_ACTIVIDADES'!$A$4:$A$8,0)),"(sin catálogo)"))</f>
        <v/>
      </c>
      <c r="AA114" s="12">
        <f>IF($J114="","",TODAY()-$J114)</f>
        <v/>
      </c>
      <c r="AB114" s="12">
        <f>IF($J114="","",IF($J114&lt;=TODAY(),COUNTIFS(cal_fechas,"&gt;="&amp;$J114,cal_fechas,"&lt;"&amp;TODAY(),cal_habil,"sí"),-COUNTIFS(cal_fechas,"&gt;="&amp;TODAY(),cal_fechas,"&lt;"&amp;$J114,cal_habil,"sí")))</f>
        <v/>
      </c>
      <c r="AC114" s="3">
        <f>IF($AB114="","",IF($AB114&lt;0,"FUTURO",IF($AB114&gt;p_dias_backlog_max,"BACKLOG","MES CORRIENTE")))</f>
        <v/>
      </c>
      <c r="AD114" s="3">
        <f>IF($AB114="",FALSE,AND($AB114&gt;p_dias_backlog_min,$AB114&lt;=p_dias_backlog_max))</f>
        <v/>
      </c>
      <c r="AE114" s="6" t="inlineStr">
        <is>
          <t>Técnico 12</t>
        </is>
      </c>
      <c r="AF114" s="3">
        <f>IF($AE114="","",IF((IFERROR(INDEX('ASIGNACIONES'!$F$4:$F$339,MATCH($O114&amp;"|"&amp;$R114&amp;"|"&amp;$AE114,'ASIGNACIONES'!$J$4:$J$339,0)),""))=0,"",IFERROR(INDEX('ASIGNACIONES'!$F$4:$F$339,MATCH($O114&amp;"|"&amp;$R114&amp;"|"&amp;$AE114,'ASIGNACIONES'!$J$4:$J$339,0)),"")))</f>
        <v/>
      </c>
      <c r="AG114" s="13">
        <f>IF($AE114="","",SUMIFS('ORDENES'!$M$4:$M$1203,'ORDENES'!$AE$4:$AE$1203,$AE114,'ORDENES'!$O$4:$O$1203,$O114,'ORDENES'!$R$4:$R$1203,$R114))</f>
        <v/>
      </c>
      <c r="AH114" s="13">
        <f>IF($AG114="","",p_factor_productividad*IFERROR(INDEX('ASIGNACIONES'!$I$4:$I$339,MATCH($O114&amp;"|"&amp;$R114&amp;"|"&amp;$AE114,'ASIGNACIONES'!$J$4:$J$339,0)),0)-$AG114)</f>
        <v/>
      </c>
      <c r="AI114" s="10">
        <f>IF($A114="","",IFERROR(INDEX('2_IMPORTAR_EJECUCION'!$F$9:$F$1208,MATCH($AQ114,'2_IMPORTAR_EJECUCION'!$J$9:$J$1208,0)),0))</f>
        <v/>
      </c>
      <c r="AJ114" s="10">
        <f>IF($A114="","",MAX(0,IFERROR(INDEX('2_IMPORTAR_EJECUCION'!$H$9:$H$1208,MATCH($AQ114,'2_IMPORTAR_EJECUCION'!$J$9:$J$1208,0)),0)-$AI114))</f>
        <v/>
      </c>
      <c r="AK114" s="10">
        <f>IF($A114="","",$AI114+$AJ114)</f>
        <v/>
      </c>
      <c r="AL114" s="6" t="inlineStr"/>
      <c r="AM114" s="6" t="inlineStr"/>
      <c r="AN114" s="6" t="inlineStr"/>
      <c r="AO114" s="3">
        <f>IF($AN114="","",HYPERLINK(p_ruta_base_checklists&amp;$AN114,"abrir"))</f>
        <v/>
      </c>
      <c r="AP114" s="6" t="inlineStr"/>
      <c r="AQ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IF($A115="","",IFERROR(INDEX('AJUSTES'!$B$4:$B$303,MATCH($AQ115,'AJUSTES'!$A$4:$A$303,0)),IF($K115="","",$K115)))</f>
        <v/>
      </c>
      <c r="N115" s="3">
        <f>IF($A115="","",IFERROR(INDEX('CAT_ESTADOS_ERP'!$B$4:$B$7,MATCH(IFERROR(INDEX('2_IMPORTAR_EJECUCION'!$C$9:$C$1208,MATCH($AQ115,'2_IMPORTAR_EJECUCION'!$J$9:$J$1208,0)),""),'CAT_ESTADOS_ERP'!$A$4:$A$7,0)),"Pendiente"))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J115="","",IFERROR(INDEX('CALENDARIO'!$C$15:$C$214,MATCH(TEXT($J115,"yyyy-mm-dd")&amp;"|"&amp;$V115&amp;"|"&amp;$W115,'CALENDARIO'!$G$15:$G$214,0)),IFERROR(INDEX('CALENDARIO'!$C$15:$C$214,MATCH(TEXT($J115,"yyyy-mm-dd")&amp;"|"&amp;$V115&amp;"|",'CALENDARIO'!$G$15:$G$214,0)),IFERROR(INDEX('CALENDARIO'!$C$15:$C$214,MATCH(TEXT($J115,"yyyy-mm-dd")&amp;"||",'CALENDARIO'!$G$15:$G$214,0)),INDEX(patronHabil,WEEKDAY($J115,2))))))</f>
        <v/>
      </c>
      <c r="T115" s="3">
        <f>IF($I115="","",IFERROR(INDEX('CAT_TIPOS_OT'!$C$4:$C$7,MATCH($I115,'CAT_TIPOS_OT'!$A$4:$A$7,0)),"sin_clasificar"))</f>
        <v/>
      </c>
      <c r="U115" s="3">
        <f>IF($F115="","",IFERROR(INDEX('CAT_CENTROS_COSTO'!$F$4:$F$13,MATCH($F115,'CAT_CENTROS_COSTO'!$A$4:$A$13,0)),"(sin catálogo)"))</f>
        <v/>
      </c>
      <c r="V115" s="3">
        <f>IF($F115="","",IFERROR(INDEX('CAT_CENTROS_COSTO'!$D$4:$D$13,MATCH($F115,'CAT_CENTROS_COSTO'!$A$4:$A$13,0)),"(sin catálogo)"))</f>
        <v/>
      </c>
      <c r="W115" s="3">
        <f>IF($F115="","",IF((IFERROR(INDEX('CAT_CENTROS_COSTO'!$E$4:$E$13,MATCH($F115,'CAT_CENTROS_COSTO'!$A$4:$A$13,0)),""))&lt;&gt;"",IFERROR(INDEX('CAT_CENTROS_COSTO'!$E$4:$E$13,MATCH($F115,'CAT_CENTROS_COSTO'!$A$4:$A$13,0)),""),$V115))</f>
        <v/>
      </c>
      <c r="X115" s="3">
        <f>IF($F115="","",IFERROR(INDEX('CAT_CENTROS_COSTO'!$G$4:$G$13,MATCH($F115,'CAT_CENTROS_COSTO'!$A$4:$A$13,0)),"(sin catálogo)"))</f>
        <v/>
      </c>
      <c r="Y115" s="3">
        <f>IF($G115="","",IFERROR(INDEX('CAT_PUESTOS'!$B$4:$B$8,MATCH($G115,'CAT_PUESTOS'!$A$4:$A$8,0)),"(sin catálogo)"))</f>
        <v/>
      </c>
      <c r="Z115" s="3">
        <f>IF($H115="","",IFERROR(INDEX('CAT_ACTIVIDADES'!$B$4:$B$8,MATCH($H115,'CAT_ACTIVIDADES'!$A$4:$A$8,0)),"(sin catálogo)"))</f>
        <v/>
      </c>
      <c r="AA115" s="12">
        <f>IF($J115="","",TODAY()-$J115)</f>
        <v/>
      </c>
      <c r="AB115" s="12">
        <f>IF($J115="","",IF($J115&lt;=TODAY(),COUNTIFS(cal_fechas,"&gt;="&amp;$J115,cal_fechas,"&lt;"&amp;TODAY(),cal_habil,"sí"),-COUNTIFS(cal_fechas,"&gt;="&amp;TODAY(),cal_fechas,"&lt;"&amp;$J115,cal_habil,"sí")))</f>
        <v/>
      </c>
      <c r="AC115" s="3">
        <f>IF($AB115="","",IF($AB115&lt;0,"FUTURO",IF($AB115&gt;p_dias_backlog_max,"BACKLOG","MES CORRIENTE")))</f>
        <v/>
      </c>
      <c r="AD115" s="3">
        <f>IF($AB115="",FALSE,AND($AB115&gt;p_dias_backlog_min,$AB115&lt;=p_dias_backlog_max))</f>
        <v/>
      </c>
      <c r="AE115" s="6" t="inlineStr">
        <is>
          <t>Técnico 10</t>
        </is>
      </c>
      <c r="AF115" s="3">
        <f>IF($AE115="","",IF((IFERROR(INDEX('ASIGNACIONES'!$F$4:$F$339,MATCH($O115&amp;"|"&amp;$R115&amp;"|"&amp;$AE115,'ASIGNACIONES'!$J$4:$J$339,0)),""))=0,"",IFERROR(INDEX('ASIGNACIONES'!$F$4:$F$339,MATCH($O115&amp;"|"&amp;$R115&amp;"|"&amp;$AE115,'ASIGNACIONES'!$J$4:$J$339,0)),"")))</f>
        <v/>
      </c>
      <c r="AG115" s="13">
        <f>IF($AE115="","",SUMIFS('ORDENES'!$M$4:$M$1203,'ORDENES'!$AE$4:$AE$1203,$AE115,'ORDENES'!$O$4:$O$1203,$O115,'ORDENES'!$R$4:$R$1203,$R115))</f>
        <v/>
      </c>
      <c r="AH115" s="13">
        <f>IF($AG115="","",p_factor_productividad*IFERROR(INDEX('ASIGNACIONES'!$I$4:$I$339,MATCH($O115&amp;"|"&amp;$R115&amp;"|"&amp;$AE115,'ASIGNACIONES'!$J$4:$J$339,0)),0)-$AG115)</f>
        <v/>
      </c>
      <c r="AI115" s="10">
        <f>IF($A115="","",IFERROR(INDEX('2_IMPORTAR_EJECUCION'!$F$9:$F$1208,MATCH($AQ115,'2_IMPORTAR_EJECUCION'!$J$9:$J$1208,0)),0))</f>
        <v/>
      </c>
      <c r="AJ115" s="10">
        <f>IF($A115="","",MAX(0,IFERROR(INDEX('2_IMPORTAR_EJECUCION'!$H$9:$H$1208,MATCH($AQ115,'2_IMPORTAR_EJECUCION'!$J$9:$J$1208,0)),0)-$AI115))</f>
        <v/>
      </c>
      <c r="AK115" s="10">
        <f>IF($A115="","",$AI115+$AJ115)</f>
        <v/>
      </c>
      <c r="AL115" s="6" t="inlineStr"/>
      <c r="AM115" s="6" t="inlineStr"/>
      <c r="AN115" s="6" t="inlineStr">
        <is>
          <t>ACT-02.pdf</t>
        </is>
      </c>
      <c r="AO115" s="3">
        <f>IF($AN115="","",HYPERLINK(p_ruta_base_checklists&amp;$AN115,"abrir"))</f>
        <v/>
      </c>
      <c r="AP115" s="6" t="inlineStr"/>
      <c r="AQ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IF($A116="","",IFERROR(INDEX('AJUSTES'!$B$4:$B$303,MATCH($AQ116,'AJUSTES'!$A$4:$A$303,0)),IF($K116="","",$K116)))</f>
        <v/>
      </c>
      <c r="N116" s="3">
        <f>IF($A116="","",IFERROR(INDEX('CAT_ESTADOS_ERP'!$B$4:$B$7,MATCH(IFERROR(INDEX('2_IMPORTAR_EJECUCION'!$C$9:$C$1208,MATCH($AQ116,'2_IMPORTAR_EJECUCION'!$J$9:$J$1208,0)),""),'CAT_ESTADOS_ERP'!$A$4:$A$7,0)),"Pendiente"))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J116="","",IFERROR(INDEX('CALENDARIO'!$C$15:$C$214,MATCH(TEXT($J116,"yyyy-mm-dd")&amp;"|"&amp;$V116&amp;"|"&amp;$W116,'CALENDARIO'!$G$15:$G$214,0)),IFERROR(INDEX('CALENDARIO'!$C$15:$C$214,MATCH(TEXT($J116,"yyyy-mm-dd")&amp;"|"&amp;$V116&amp;"|",'CALENDARIO'!$G$15:$G$214,0)),IFERROR(INDEX('CALENDARIO'!$C$15:$C$214,MATCH(TEXT($J116,"yyyy-mm-dd")&amp;"||",'CALENDARIO'!$G$15:$G$214,0)),INDEX(patronHabil,WEEKDAY($J116,2))))))</f>
        <v/>
      </c>
      <c r="T116" s="3">
        <f>IF($I116="","",IFERROR(INDEX('CAT_TIPOS_OT'!$C$4:$C$7,MATCH($I116,'CAT_TIPOS_OT'!$A$4:$A$7,0)),"sin_clasificar"))</f>
        <v/>
      </c>
      <c r="U116" s="3">
        <f>IF($F116="","",IFERROR(INDEX('CAT_CENTROS_COSTO'!$F$4:$F$13,MATCH($F116,'CAT_CENTROS_COSTO'!$A$4:$A$13,0)),"(sin catálogo)"))</f>
        <v/>
      </c>
      <c r="V116" s="3">
        <f>IF($F116="","",IFERROR(INDEX('CAT_CENTROS_COSTO'!$D$4:$D$13,MATCH($F116,'CAT_CENTROS_COSTO'!$A$4:$A$13,0)),"(sin catálogo)"))</f>
        <v/>
      </c>
      <c r="W116" s="3">
        <f>IF($F116="","",IF((IFERROR(INDEX('CAT_CENTROS_COSTO'!$E$4:$E$13,MATCH($F116,'CAT_CENTROS_COSTO'!$A$4:$A$13,0)),""))&lt;&gt;"",IFERROR(INDEX('CAT_CENTROS_COSTO'!$E$4:$E$13,MATCH($F116,'CAT_CENTROS_COSTO'!$A$4:$A$13,0)),""),$V116))</f>
        <v/>
      </c>
      <c r="X116" s="3">
        <f>IF($F116="","",IFERROR(INDEX('CAT_CENTROS_COSTO'!$G$4:$G$13,MATCH($F116,'CAT_CENTROS_COSTO'!$A$4:$A$13,0)),"(sin catálogo)"))</f>
        <v/>
      </c>
      <c r="Y116" s="3">
        <f>IF($G116="","",IFERROR(INDEX('CAT_PUESTOS'!$B$4:$B$8,MATCH($G116,'CAT_PUESTOS'!$A$4:$A$8,0)),"(sin catálogo)"))</f>
        <v/>
      </c>
      <c r="Z116" s="3">
        <f>IF($H116="","",IFERROR(INDEX('CAT_ACTIVIDADES'!$B$4:$B$8,MATCH($H116,'CAT_ACTIVIDADES'!$A$4:$A$8,0)),"(sin catálogo)"))</f>
        <v/>
      </c>
      <c r="AA116" s="12">
        <f>IF($J116="","",TODAY()-$J116)</f>
        <v/>
      </c>
      <c r="AB116" s="12">
        <f>IF($J116="","",IF($J116&lt;=TODAY(),COUNTIFS(cal_fechas,"&gt;="&amp;$J116,cal_fechas,"&lt;"&amp;TODAY(),cal_habil,"sí"),-COUNTIFS(cal_fechas,"&gt;="&amp;TODAY(),cal_fechas,"&lt;"&amp;$J116,cal_habil,"sí")))</f>
        <v/>
      </c>
      <c r="AC116" s="3">
        <f>IF($AB116="","",IF($AB116&lt;0,"FUTURO",IF($AB116&gt;p_dias_backlog_max,"BACKLOG","MES CORRIENTE")))</f>
        <v/>
      </c>
      <c r="AD116" s="3">
        <f>IF($AB116="",FALSE,AND($AB116&gt;p_dias_backlog_min,$AB116&lt;=p_dias_backlog_max))</f>
        <v/>
      </c>
      <c r="AE116" s="6" t="inlineStr">
        <is>
          <t>Técnico 11</t>
        </is>
      </c>
      <c r="AF116" s="3">
        <f>IF($AE116="","",IF((IFERROR(INDEX('ASIGNACIONES'!$F$4:$F$339,MATCH($O116&amp;"|"&amp;$R116&amp;"|"&amp;$AE116,'ASIGNACIONES'!$J$4:$J$339,0)),""))=0,"",IFERROR(INDEX('ASIGNACIONES'!$F$4:$F$339,MATCH($O116&amp;"|"&amp;$R116&amp;"|"&amp;$AE116,'ASIGNACIONES'!$J$4:$J$339,0)),"")))</f>
        <v/>
      </c>
      <c r="AG116" s="13">
        <f>IF($AE116="","",SUMIFS('ORDENES'!$M$4:$M$1203,'ORDENES'!$AE$4:$AE$1203,$AE116,'ORDENES'!$O$4:$O$1203,$O116,'ORDENES'!$R$4:$R$1203,$R116))</f>
        <v/>
      </c>
      <c r="AH116" s="13">
        <f>IF($AG116="","",p_factor_productividad*IFERROR(INDEX('ASIGNACIONES'!$I$4:$I$339,MATCH($O116&amp;"|"&amp;$R116&amp;"|"&amp;$AE116,'ASIGNACIONES'!$J$4:$J$339,0)),0)-$AG116)</f>
        <v/>
      </c>
      <c r="AI116" s="10">
        <f>IF($A116="","",IFERROR(INDEX('2_IMPORTAR_EJECUCION'!$F$9:$F$1208,MATCH($AQ116,'2_IMPORTAR_EJECUCION'!$J$9:$J$1208,0)),0))</f>
        <v/>
      </c>
      <c r="AJ116" s="10">
        <f>IF($A116="","",MAX(0,IFERROR(INDEX('2_IMPORTAR_EJECUCION'!$H$9:$H$1208,MATCH($AQ116,'2_IMPORTAR_EJECUCION'!$J$9:$J$1208,0)),0)-$AI116))</f>
        <v/>
      </c>
      <c r="AK116" s="10">
        <f>IF($A116="","",$AI116+$AJ116)</f>
        <v/>
      </c>
      <c r="AL116" s="6" t="inlineStr"/>
      <c r="AM116" s="6" t="inlineStr"/>
      <c r="AN116" s="6" t="inlineStr">
        <is>
          <t>ACT-04.pdf</t>
        </is>
      </c>
      <c r="AO116" s="3">
        <f>IF($AN116="","",HYPERLINK(p_ruta_base_checklists&amp;$AN116,"abrir"))</f>
        <v/>
      </c>
      <c r="AP116" s="6" t="inlineStr"/>
      <c r="AQ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IF($A117="","",IFERROR(INDEX('AJUSTES'!$B$4:$B$303,MATCH($AQ117,'AJUSTES'!$A$4:$A$303,0)),IF($K117="","",$K117)))</f>
        <v/>
      </c>
      <c r="N117" s="3">
        <f>IF($A117="","",IFERROR(INDEX('CAT_ESTADOS_ERP'!$B$4:$B$7,MATCH(IFERROR(INDEX('2_IMPORTAR_EJECUCION'!$C$9:$C$1208,MATCH($AQ117,'2_IMPORTAR_EJECUCION'!$J$9:$J$1208,0)),""),'CAT_ESTADOS_ERP'!$A$4:$A$7,0)),"Pendiente"))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J117="","",IFERROR(INDEX('CALENDARIO'!$C$15:$C$214,MATCH(TEXT($J117,"yyyy-mm-dd")&amp;"|"&amp;$V117&amp;"|"&amp;$W117,'CALENDARIO'!$G$15:$G$214,0)),IFERROR(INDEX('CALENDARIO'!$C$15:$C$214,MATCH(TEXT($J117,"yyyy-mm-dd")&amp;"|"&amp;$V117&amp;"|",'CALENDARIO'!$G$15:$G$214,0)),IFERROR(INDEX('CALENDARIO'!$C$15:$C$214,MATCH(TEXT($J117,"yyyy-mm-dd")&amp;"||",'CALENDARIO'!$G$15:$G$214,0)),INDEX(patronHabil,WEEKDAY($J117,2))))))</f>
        <v/>
      </c>
      <c r="T117" s="3">
        <f>IF($I117="","",IFERROR(INDEX('CAT_TIPOS_OT'!$C$4:$C$7,MATCH($I117,'CAT_TIPOS_OT'!$A$4:$A$7,0)),"sin_clasificar"))</f>
        <v/>
      </c>
      <c r="U117" s="3">
        <f>IF($F117="","",IFERROR(INDEX('CAT_CENTROS_COSTO'!$F$4:$F$13,MATCH($F117,'CAT_CENTROS_COSTO'!$A$4:$A$13,0)),"(sin catálogo)"))</f>
        <v/>
      </c>
      <c r="V117" s="3">
        <f>IF($F117="","",IFERROR(INDEX('CAT_CENTROS_COSTO'!$D$4:$D$13,MATCH($F117,'CAT_CENTROS_COSTO'!$A$4:$A$13,0)),"(sin catálogo)"))</f>
        <v/>
      </c>
      <c r="W117" s="3">
        <f>IF($F117="","",IF((IFERROR(INDEX('CAT_CENTROS_COSTO'!$E$4:$E$13,MATCH($F117,'CAT_CENTROS_COSTO'!$A$4:$A$13,0)),""))&lt;&gt;"",IFERROR(INDEX('CAT_CENTROS_COSTO'!$E$4:$E$13,MATCH($F117,'CAT_CENTROS_COSTO'!$A$4:$A$13,0)),""),$V117))</f>
        <v/>
      </c>
      <c r="X117" s="3">
        <f>IF($F117="","",IFERROR(INDEX('CAT_CENTROS_COSTO'!$G$4:$G$13,MATCH($F117,'CAT_CENTROS_COSTO'!$A$4:$A$13,0)),"(sin catálogo)"))</f>
        <v/>
      </c>
      <c r="Y117" s="3">
        <f>IF($G117="","",IFERROR(INDEX('CAT_PUESTOS'!$B$4:$B$8,MATCH($G117,'CAT_PUESTOS'!$A$4:$A$8,0)),"(sin catálogo)"))</f>
        <v/>
      </c>
      <c r="Z117" s="3">
        <f>IF($H117="","",IFERROR(INDEX('CAT_ACTIVIDADES'!$B$4:$B$8,MATCH($H117,'CAT_ACTIVIDADES'!$A$4:$A$8,0)),"(sin catálogo)"))</f>
        <v/>
      </c>
      <c r="AA117" s="12">
        <f>IF($J117="","",TODAY()-$J117)</f>
        <v/>
      </c>
      <c r="AB117" s="12">
        <f>IF($J117="","",IF($J117&lt;=TODAY(),COUNTIFS(cal_fechas,"&gt;="&amp;$J117,cal_fechas,"&lt;"&amp;TODAY(),cal_habil,"sí"),-COUNTIFS(cal_fechas,"&gt;="&amp;TODAY(),cal_fechas,"&lt;"&amp;$J117,cal_habil,"sí")))</f>
        <v/>
      </c>
      <c r="AC117" s="3">
        <f>IF($AB117="","",IF($AB117&lt;0,"FUTURO",IF($AB117&gt;p_dias_backlog_max,"BACKLOG","MES CORRIENTE")))</f>
        <v/>
      </c>
      <c r="AD117" s="3">
        <f>IF($AB117="",FALSE,AND($AB117&gt;p_dias_backlog_min,$AB117&lt;=p_dias_backlog_max))</f>
        <v/>
      </c>
      <c r="AE117" s="6" t="inlineStr">
        <is>
          <t>Técnico 12</t>
        </is>
      </c>
      <c r="AF117" s="3">
        <f>IF($AE117="","",IF((IFERROR(INDEX('ASIGNACIONES'!$F$4:$F$339,MATCH($O117&amp;"|"&amp;$R117&amp;"|"&amp;$AE117,'ASIGNACIONES'!$J$4:$J$339,0)),""))=0,"",IFERROR(INDEX('ASIGNACIONES'!$F$4:$F$339,MATCH($O117&amp;"|"&amp;$R117&amp;"|"&amp;$AE117,'ASIGNACIONES'!$J$4:$J$339,0)),"")))</f>
        <v/>
      </c>
      <c r="AG117" s="13">
        <f>IF($AE117="","",SUMIFS('ORDENES'!$M$4:$M$1203,'ORDENES'!$AE$4:$AE$1203,$AE117,'ORDENES'!$O$4:$O$1203,$O117,'ORDENES'!$R$4:$R$1203,$R117))</f>
        <v/>
      </c>
      <c r="AH117" s="13">
        <f>IF($AG117="","",p_factor_productividad*IFERROR(INDEX('ASIGNACIONES'!$I$4:$I$339,MATCH($O117&amp;"|"&amp;$R117&amp;"|"&amp;$AE117,'ASIGNACIONES'!$J$4:$J$339,0)),0)-$AG117)</f>
        <v/>
      </c>
      <c r="AI117" s="10">
        <f>IF($A117="","",IFERROR(INDEX('2_IMPORTAR_EJECUCION'!$F$9:$F$1208,MATCH($AQ117,'2_IMPORTAR_EJECUCION'!$J$9:$J$1208,0)),0))</f>
        <v/>
      </c>
      <c r="AJ117" s="10">
        <f>IF($A117="","",MAX(0,IFERROR(INDEX('2_IMPORTAR_EJECUCION'!$H$9:$H$1208,MATCH($AQ117,'2_IMPORTAR_EJECUCION'!$J$9:$J$1208,0)),0)-$AI117))</f>
        <v/>
      </c>
      <c r="AK117" s="10">
        <f>IF($A117="","",$AI117+$AJ117)</f>
        <v/>
      </c>
      <c r="AL117" s="6" t="inlineStr"/>
      <c r="AM117" s="6" t="inlineStr"/>
      <c r="AN117" s="6" t="inlineStr">
        <is>
          <t>ACT-01.pdf</t>
        </is>
      </c>
      <c r="AO117" s="3">
        <f>IF($AN117="","",HYPERLINK(p_ruta_base_checklists&amp;$AN117,"abrir"))</f>
        <v/>
      </c>
      <c r="AP117" s="6" t="inlineStr"/>
      <c r="AQ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IF($A118="","",IFERROR(INDEX('AJUSTES'!$B$4:$B$303,MATCH($AQ118,'AJUSTES'!$A$4:$A$303,0)),IF($K118="","",$K118)))</f>
        <v/>
      </c>
      <c r="N118" s="3">
        <f>IF($A118="","",IFERROR(INDEX('CAT_ESTADOS_ERP'!$B$4:$B$7,MATCH(IFERROR(INDEX('2_IMPORTAR_EJECUCION'!$C$9:$C$1208,MATCH($AQ118,'2_IMPORTAR_EJECUCION'!$J$9:$J$1208,0)),""),'CAT_ESTADOS_ERP'!$A$4:$A$7,0)),"Pendiente"))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J118="","",IFERROR(INDEX('CALENDARIO'!$C$15:$C$214,MATCH(TEXT($J118,"yyyy-mm-dd")&amp;"|"&amp;$V118&amp;"|"&amp;$W118,'CALENDARIO'!$G$15:$G$214,0)),IFERROR(INDEX('CALENDARIO'!$C$15:$C$214,MATCH(TEXT($J118,"yyyy-mm-dd")&amp;"|"&amp;$V118&amp;"|",'CALENDARIO'!$G$15:$G$214,0)),IFERROR(INDEX('CALENDARIO'!$C$15:$C$214,MATCH(TEXT($J118,"yyyy-mm-dd")&amp;"||",'CALENDARIO'!$G$15:$G$214,0)),INDEX(patronHabil,WEEKDAY($J118,2))))))</f>
        <v/>
      </c>
      <c r="T118" s="3">
        <f>IF($I118="","",IFERROR(INDEX('CAT_TIPOS_OT'!$C$4:$C$7,MATCH($I118,'CAT_TIPOS_OT'!$A$4:$A$7,0)),"sin_clasificar"))</f>
        <v/>
      </c>
      <c r="U118" s="3">
        <f>IF($F118="","",IFERROR(INDEX('CAT_CENTROS_COSTO'!$F$4:$F$13,MATCH($F118,'CAT_CENTROS_COSTO'!$A$4:$A$13,0)),"(sin catálogo)"))</f>
        <v/>
      </c>
      <c r="V118" s="3">
        <f>IF($F118="","",IFERROR(INDEX('CAT_CENTROS_COSTO'!$D$4:$D$13,MATCH($F118,'CAT_CENTROS_COSTO'!$A$4:$A$13,0)),"(sin catálogo)"))</f>
        <v/>
      </c>
      <c r="W118" s="3">
        <f>IF($F118="","",IF((IFERROR(INDEX('CAT_CENTROS_COSTO'!$E$4:$E$13,MATCH($F118,'CAT_CENTROS_COSTO'!$A$4:$A$13,0)),""))&lt;&gt;"",IFERROR(INDEX('CAT_CENTROS_COSTO'!$E$4:$E$13,MATCH($F118,'CAT_CENTROS_COSTO'!$A$4:$A$13,0)),""),$V118))</f>
        <v/>
      </c>
      <c r="X118" s="3">
        <f>IF($F118="","",IFERROR(INDEX('CAT_CENTROS_COSTO'!$G$4:$G$13,MATCH($F118,'CAT_CENTROS_COSTO'!$A$4:$A$13,0)),"(sin catálogo)"))</f>
        <v/>
      </c>
      <c r="Y118" s="3">
        <f>IF($G118="","",IFERROR(INDEX('CAT_PUESTOS'!$B$4:$B$8,MATCH($G118,'CAT_PUESTOS'!$A$4:$A$8,0)),"(sin catálogo)"))</f>
        <v/>
      </c>
      <c r="Z118" s="3">
        <f>IF($H118="","",IFERROR(INDEX('CAT_ACTIVIDADES'!$B$4:$B$8,MATCH($H118,'CAT_ACTIVIDADES'!$A$4:$A$8,0)),"(sin catálogo)"))</f>
        <v/>
      </c>
      <c r="AA118" s="12">
        <f>IF($J118="","",TODAY()-$J118)</f>
        <v/>
      </c>
      <c r="AB118" s="12">
        <f>IF($J118="","",IF($J118&lt;=TODAY(),COUNTIFS(cal_fechas,"&gt;="&amp;$J118,cal_fechas,"&lt;"&amp;TODAY(),cal_habil,"sí"),-COUNTIFS(cal_fechas,"&gt;="&amp;TODAY(),cal_fechas,"&lt;"&amp;$J118,cal_habil,"sí")))</f>
        <v/>
      </c>
      <c r="AC118" s="3">
        <f>IF($AB118="","",IF($AB118&lt;0,"FUTURO",IF($AB118&gt;p_dias_backlog_max,"BACKLOG","MES CORRIENTE")))</f>
        <v/>
      </c>
      <c r="AD118" s="3">
        <f>IF($AB118="",FALSE,AND($AB118&gt;p_dias_backlog_min,$AB118&lt;=p_dias_backlog_max))</f>
        <v/>
      </c>
      <c r="AE118" s="6" t="inlineStr">
        <is>
          <t>Técnico 10</t>
        </is>
      </c>
      <c r="AF118" s="3">
        <f>IF($AE118="","",IF((IFERROR(INDEX('ASIGNACIONES'!$F$4:$F$339,MATCH($O118&amp;"|"&amp;$R118&amp;"|"&amp;$AE118,'ASIGNACIONES'!$J$4:$J$339,0)),""))=0,"",IFERROR(INDEX('ASIGNACIONES'!$F$4:$F$339,MATCH($O118&amp;"|"&amp;$R118&amp;"|"&amp;$AE118,'ASIGNACIONES'!$J$4:$J$339,0)),"")))</f>
        <v/>
      </c>
      <c r="AG118" s="13">
        <f>IF($AE118="","",SUMIFS('ORDENES'!$M$4:$M$1203,'ORDENES'!$AE$4:$AE$1203,$AE118,'ORDENES'!$O$4:$O$1203,$O118,'ORDENES'!$R$4:$R$1203,$R118))</f>
        <v/>
      </c>
      <c r="AH118" s="13">
        <f>IF($AG118="","",p_factor_productividad*IFERROR(INDEX('ASIGNACIONES'!$I$4:$I$339,MATCH($O118&amp;"|"&amp;$R118&amp;"|"&amp;$AE118,'ASIGNACIONES'!$J$4:$J$339,0)),0)-$AG118)</f>
        <v/>
      </c>
      <c r="AI118" s="10">
        <f>IF($A118="","",IFERROR(INDEX('2_IMPORTAR_EJECUCION'!$F$9:$F$1208,MATCH($AQ118,'2_IMPORTAR_EJECUCION'!$J$9:$J$1208,0)),0))</f>
        <v/>
      </c>
      <c r="AJ118" s="10">
        <f>IF($A118="","",MAX(0,IFERROR(INDEX('2_IMPORTAR_EJECUCION'!$H$9:$H$1208,MATCH($AQ118,'2_IMPORTAR_EJECUCION'!$J$9:$J$1208,0)),0)-$AI118))</f>
        <v/>
      </c>
      <c r="AK118" s="10">
        <f>IF($A118="","",$AI118+$AJ118)</f>
        <v/>
      </c>
      <c r="AL118" s="6" t="inlineStr"/>
      <c r="AM118" s="6" t="inlineStr"/>
      <c r="AN118" s="6" t="inlineStr">
        <is>
          <t>ACT-02.pdf</t>
        </is>
      </c>
      <c r="AO118" s="3">
        <f>IF($AN118="","",HYPERLINK(p_ruta_base_checklists&amp;$AN118,"abrir"))</f>
        <v/>
      </c>
      <c r="AP118" s="6" t="inlineStr"/>
      <c r="AQ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IF($A119="","",IFERROR(INDEX('AJUSTES'!$B$4:$B$303,MATCH($AQ119,'AJUSTES'!$A$4:$A$303,0)),IF($K119="","",$K119)))</f>
        <v/>
      </c>
      <c r="N119" s="3">
        <f>IF($A119="","",IFERROR(INDEX('CAT_ESTADOS_ERP'!$B$4:$B$7,MATCH(IFERROR(INDEX('2_IMPORTAR_EJECUCION'!$C$9:$C$1208,MATCH($AQ119,'2_IMPORTAR_EJECUCION'!$J$9:$J$1208,0)),""),'CAT_ESTADOS_ERP'!$A$4:$A$7,0)),"Pendiente"))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J119="","",IFERROR(INDEX('CALENDARIO'!$C$15:$C$214,MATCH(TEXT($J119,"yyyy-mm-dd")&amp;"|"&amp;$V119&amp;"|"&amp;$W119,'CALENDARIO'!$G$15:$G$214,0)),IFERROR(INDEX('CALENDARIO'!$C$15:$C$214,MATCH(TEXT($J119,"yyyy-mm-dd")&amp;"|"&amp;$V119&amp;"|",'CALENDARIO'!$G$15:$G$214,0)),IFERROR(INDEX('CALENDARIO'!$C$15:$C$214,MATCH(TEXT($J119,"yyyy-mm-dd")&amp;"||",'CALENDARIO'!$G$15:$G$214,0)),INDEX(patronHabil,WEEKDAY($J119,2))))))</f>
        <v/>
      </c>
      <c r="T119" s="3">
        <f>IF($I119="","",IFERROR(INDEX('CAT_TIPOS_OT'!$C$4:$C$7,MATCH($I119,'CAT_TIPOS_OT'!$A$4:$A$7,0)),"sin_clasificar"))</f>
        <v/>
      </c>
      <c r="U119" s="3">
        <f>IF($F119="","",IFERROR(INDEX('CAT_CENTROS_COSTO'!$F$4:$F$13,MATCH($F119,'CAT_CENTROS_COSTO'!$A$4:$A$13,0)),"(sin catálogo)"))</f>
        <v/>
      </c>
      <c r="V119" s="3">
        <f>IF($F119="","",IFERROR(INDEX('CAT_CENTROS_COSTO'!$D$4:$D$13,MATCH($F119,'CAT_CENTROS_COSTO'!$A$4:$A$13,0)),"(sin catálogo)"))</f>
        <v/>
      </c>
      <c r="W119" s="3">
        <f>IF($F119="","",IF((IFERROR(INDEX('CAT_CENTROS_COSTO'!$E$4:$E$13,MATCH($F119,'CAT_CENTROS_COSTO'!$A$4:$A$13,0)),""))&lt;&gt;"",IFERROR(INDEX('CAT_CENTROS_COSTO'!$E$4:$E$13,MATCH($F119,'CAT_CENTROS_COSTO'!$A$4:$A$13,0)),""),$V119))</f>
        <v/>
      </c>
      <c r="X119" s="3">
        <f>IF($F119="","",IFERROR(INDEX('CAT_CENTROS_COSTO'!$G$4:$G$13,MATCH($F119,'CAT_CENTROS_COSTO'!$A$4:$A$13,0)),"(sin catálogo)"))</f>
        <v/>
      </c>
      <c r="Y119" s="3">
        <f>IF($G119="","",IFERROR(INDEX('CAT_PUESTOS'!$B$4:$B$8,MATCH($G119,'CAT_PUESTOS'!$A$4:$A$8,0)),"(sin catálogo)"))</f>
        <v/>
      </c>
      <c r="Z119" s="3">
        <f>IF($H119="","",IFERROR(INDEX('CAT_ACTIVIDADES'!$B$4:$B$8,MATCH($H119,'CAT_ACTIVIDADES'!$A$4:$A$8,0)),"(sin catálogo)"))</f>
        <v/>
      </c>
      <c r="AA119" s="12">
        <f>IF($J119="","",TODAY()-$J119)</f>
        <v/>
      </c>
      <c r="AB119" s="12">
        <f>IF($J119="","",IF($J119&lt;=TODAY(),COUNTIFS(cal_fechas,"&gt;="&amp;$J119,cal_fechas,"&lt;"&amp;TODAY(),cal_habil,"sí"),-COUNTIFS(cal_fechas,"&gt;="&amp;TODAY(),cal_fechas,"&lt;"&amp;$J119,cal_habil,"sí")))</f>
        <v/>
      </c>
      <c r="AC119" s="3">
        <f>IF($AB119="","",IF($AB119&lt;0,"FUTURO",IF($AB119&gt;p_dias_backlog_max,"BACKLOG","MES CORRIENTE")))</f>
        <v/>
      </c>
      <c r="AD119" s="3">
        <f>IF($AB119="",FALSE,AND($AB119&gt;p_dias_backlog_min,$AB119&lt;=p_dias_backlog_max))</f>
        <v/>
      </c>
      <c r="AE119" s="6" t="inlineStr">
        <is>
          <t>Técnico 11</t>
        </is>
      </c>
      <c r="AF119" s="3">
        <f>IF($AE119="","",IF((IFERROR(INDEX('ASIGNACIONES'!$F$4:$F$339,MATCH($O119&amp;"|"&amp;$R119&amp;"|"&amp;$AE119,'ASIGNACIONES'!$J$4:$J$339,0)),""))=0,"",IFERROR(INDEX('ASIGNACIONES'!$F$4:$F$339,MATCH($O119&amp;"|"&amp;$R119&amp;"|"&amp;$AE119,'ASIGNACIONES'!$J$4:$J$339,0)),"")))</f>
        <v/>
      </c>
      <c r="AG119" s="13">
        <f>IF($AE119="","",SUMIFS('ORDENES'!$M$4:$M$1203,'ORDENES'!$AE$4:$AE$1203,$AE119,'ORDENES'!$O$4:$O$1203,$O119,'ORDENES'!$R$4:$R$1203,$R119))</f>
        <v/>
      </c>
      <c r="AH119" s="13">
        <f>IF($AG119="","",p_factor_productividad*IFERROR(INDEX('ASIGNACIONES'!$I$4:$I$339,MATCH($O119&amp;"|"&amp;$R119&amp;"|"&amp;$AE119,'ASIGNACIONES'!$J$4:$J$339,0)),0)-$AG119)</f>
        <v/>
      </c>
      <c r="AI119" s="10">
        <f>IF($A119="","",IFERROR(INDEX('2_IMPORTAR_EJECUCION'!$F$9:$F$1208,MATCH($AQ119,'2_IMPORTAR_EJECUCION'!$J$9:$J$1208,0)),0))</f>
        <v/>
      </c>
      <c r="AJ119" s="10">
        <f>IF($A119="","",MAX(0,IFERROR(INDEX('2_IMPORTAR_EJECUCION'!$H$9:$H$1208,MATCH($AQ119,'2_IMPORTAR_EJECUCION'!$J$9:$J$1208,0)),0)-$AI119))</f>
        <v/>
      </c>
      <c r="AK119" s="10">
        <f>IF($A119="","",$AI119+$AJ119)</f>
        <v/>
      </c>
      <c r="AL119" s="6" t="inlineStr"/>
      <c r="AM119" s="6" t="inlineStr"/>
      <c r="AN119" s="6" t="inlineStr">
        <is>
          <t>ACT-04.pdf</t>
        </is>
      </c>
      <c r="AO119" s="3">
        <f>IF($AN119="","",HYPERLINK(p_ruta_base_checklists&amp;$AN119,"abrir"))</f>
        <v/>
      </c>
      <c r="AP119" s="6" t="inlineStr"/>
      <c r="AQ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IF($A120="","",IFERROR(INDEX('AJUSTES'!$B$4:$B$303,MATCH($AQ120,'AJUSTES'!$A$4:$A$303,0)),IF($K120="","",$K120)))</f>
        <v/>
      </c>
      <c r="N120" s="3">
        <f>IF($A120="","",IFERROR(INDEX('CAT_ESTADOS_ERP'!$B$4:$B$7,MATCH(IFERROR(INDEX('2_IMPORTAR_EJECUCION'!$C$9:$C$1208,MATCH($AQ120,'2_IMPORTAR_EJECUCION'!$J$9:$J$1208,0)),""),'CAT_ESTADOS_ERP'!$A$4:$A$7,0)),"Pendiente"))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J120="","",IFERROR(INDEX('CALENDARIO'!$C$15:$C$214,MATCH(TEXT($J120,"yyyy-mm-dd")&amp;"|"&amp;$V120&amp;"|"&amp;$W120,'CALENDARIO'!$G$15:$G$214,0)),IFERROR(INDEX('CALENDARIO'!$C$15:$C$214,MATCH(TEXT($J120,"yyyy-mm-dd")&amp;"|"&amp;$V120&amp;"|",'CALENDARIO'!$G$15:$G$214,0)),IFERROR(INDEX('CALENDARIO'!$C$15:$C$214,MATCH(TEXT($J120,"yyyy-mm-dd")&amp;"||",'CALENDARIO'!$G$15:$G$214,0)),INDEX(patronHabil,WEEKDAY($J120,2))))))</f>
        <v/>
      </c>
      <c r="T120" s="3">
        <f>IF($I120="","",IFERROR(INDEX('CAT_TIPOS_OT'!$C$4:$C$7,MATCH($I120,'CAT_TIPOS_OT'!$A$4:$A$7,0)),"sin_clasificar"))</f>
        <v/>
      </c>
      <c r="U120" s="3">
        <f>IF($F120="","",IFERROR(INDEX('CAT_CENTROS_COSTO'!$F$4:$F$13,MATCH($F120,'CAT_CENTROS_COSTO'!$A$4:$A$13,0)),"(sin catálogo)"))</f>
        <v/>
      </c>
      <c r="V120" s="3">
        <f>IF($F120="","",IFERROR(INDEX('CAT_CENTROS_COSTO'!$D$4:$D$13,MATCH($F120,'CAT_CENTROS_COSTO'!$A$4:$A$13,0)),"(sin catálogo)"))</f>
        <v/>
      </c>
      <c r="W120" s="3">
        <f>IF($F120="","",IF((IFERROR(INDEX('CAT_CENTROS_COSTO'!$E$4:$E$13,MATCH($F120,'CAT_CENTROS_COSTO'!$A$4:$A$13,0)),""))&lt;&gt;"",IFERROR(INDEX('CAT_CENTROS_COSTO'!$E$4:$E$13,MATCH($F120,'CAT_CENTROS_COSTO'!$A$4:$A$13,0)),""),$V120))</f>
        <v/>
      </c>
      <c r="X120" s="3">
        <f>IF($F120="","",IFERROR(INDEX('CAT_CENTROS_COSTO'!$G$4:$G$13,MATCH($F120,'CAT_CENTROS_COSTO'!$A$4:$A$13,0)),"(sin catálogo)"))</f>
        <v/>
      </c>
      <c r="Y120" s="3">
        <f>IF($G120="","",IFERROR(INDEX('CAT_PUESTOS'!$B$4:$B$8,MATCH($G120,'CAT_PUESTOS'!$A$4:$A$8,0)),"(sin catálogo)"))</f>
        <v/>
      </c>
      <c r="Z120" s="3">
        <f>IF($H120="","",IFERROR(INDEX('CAT_ACTIVIDADES'!$B$4:$B$8,MATCH($H120,'CAT_ACTIVIDADES'!$A$4:$A$8,0)),"(sin catálogo)"))</f>
        <v/>
      </c>
      <c r="AA120" s="12">
        <f>IF($J120="","",TODAY()-$J120)</f>
        <v/>
      </c>
      <c r="AB120" s="12">
        <f>IF($J120="","",IF($J120&lt;=TODAY(),COUNTIFS(cal_fechas,"&gt;="&amp;$J120,cal_fechas,"&lt;"&amp;TODAY(),cal_habil,"sí"),-COUNTIFS(cal_fechas,"&gt;="&amp;TODAY(),cal_fechas,"&lt;"&amp;$J120,cal_habil,"sí")))</f>
        <v/>
      </c>
      <c r="AC120" s="3">
        <f>IF($AB120="","",IF($AB120&lt;0,"FUTURO",IF($AB120&gt;p_dias_backlog_max,"BACKLOG","MES CORRIENTE")))</f>
        <v/>
      </c>
      <c r="AD120" s="3">
        <f>IF($AB120="",FALSE,AND($AB120&gt;p_dias_backlog_min,$AB120&lt;=p_dias_backlog_max))</f>
        <v/>
      </c>
      <c r="AE120" s="6" t="inlineStr">
        <is>
          <t>Técnico 12</t>
        </is>
      </c>
      <c r="AF120" s="3">
        <f>IF($AE120="","",IF((IFERROR(INDEX('ASIGNACIONES'!$F$4:$F$339,MATCH($O120&amp;"|"&amp;$R120&amp;"|"&amp;$AE120,'ASIGNACIONES'!$J$4:$J$339,0)),""))=0,"",IFERROR(INDEX('ASIGNACIONES'!$F$4:$F$339,MATCH($O120&amp;"|"&amp;$R120&amp;"|"&amp;$AE120,'ASIGNACIONES'!$J$4:$J$339,0)),"")))</f>
        <v/>
      </c>
      <c r="AG120" s="13">
        <f>IF($AE120="","",SUMIFS('ORDENES'!$M$4:$M$1203,'ORDENES'!$AE$4:$AE$1203,$AE120,'ORDENES'!$O$4:$O$1203,$O120,'ORDENES'!$R$4:$R$1203,$R120))</f>
        <v/>
      </c>
      <c r="AH120" s="13">
        <f>IF($AG120="","",p_factor_productividad*IFERROR(INDEX('ASIGNACIONES'!$I$4:$I$339,MATCH($O120&amp;"|"&amp;$R120&amp;"|"&amp;$AE120,'ASIGNACIONES'!$J$4:$J$339,0)),0)-$AG120)</f>
        <v/>
      </c>
      <c r="AI120" s="10">
        <f>IF($A120="","",IFERROR(INDEX('2_IMPORTAR_EJECUCION'!$F$9:$F$1208,MATCH($AQ120,'2_IMPORTAR_EJECUCION'!$J$9:$J$1208,0)),0))</f>
        <v/>
      </c>
      <c r="AJ120" s="10">
        <f>IF($A120="","",MAX(0,IFERROR(INDEX('2_IMPORTAR_EJECUCION'!$H$9:$H$1208,MATCH($AQ120,'2_IMPORTAR_EJECUCION'!$J$9:$J$1208,0)),0)-$AI120))</f>
        <v/>
      </c>
      <c r="AK120" s="10">
        <f>IF($A120="","",$AI120+$AJ120)</f>
        <v/>
      </c>
      <c r="AL120" s="6" t="inlineStr"/>
      <c r="AM120" s="6" t="inlineStr"/>
      <c r="AN120" s="6" t="inlineStr"/>
      <c r="AO120" s="3">
        <f>IF($AN120="","",HYPERLINK(p_ruta_base_checklists&amp;$AN120,"abrir"))</f>
        <v/>
      </c>
      <c r="AP120" s="6" t="inlineStr"/>
      <c r="AQ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IF($A121="","",IFERROR(INDEX('AJUSTES'!$B$4:$B$303,MATCH($AQ121,'AJUSTES'!$A$4:$A$303,0)),IF($K121="","",$K121)))</f>
        <v/>
      </c>
      <c r="N121" s="3">
        <f>IF($A121="","",IFERROR(INDEX('CAT_ESTADOS_ERP'!$B$4:$B$7,MATCH(IFERROR(INDEX('2_IMPORTAR_EJECUCION'!$C$9:$C$1208,MATCH($AQ121,'2_IMPORTAR_EJECUCION'!$J$9:$J$1208,0)),""),'CAT_ESTADOS_ERP'!$A$4:$A$7,0)),"Pendiente"))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J121="","",IFERROR(INDEX('CALENDARIO'!$C$15:$C$214,MATCH(TEXT($J121,"yyyy-mm-dd")&amp;"|"&amp;$V121&amp;"|"&amp;$W121,'CALENDARIO'!$G$15:$G$214,0)),IFERROR(INDEX('CALENDARIO'!$C$15:$C$214,MATCH(TEXT($J121,"yyyy-mm-dd")&amp;"|"&amp;$V121&amp;"|",'CALENDARIO'!$G$15:$G$214,0)),IFERROR(INDEX('CALENDARIO'!$C$15:$C$214,MATCH(TEXT($J121,"yyyy-mm-dd")&amp;"||",'CALENDARIO'!$G$15:$G$214,0)),INDEX(patronHabil,WEEKDAY($J121,2))))))</f>
        <v/>
      </c>
      <c r="T121" s="3">
        <f>IF($I121="","",IFERROR(INDEX('CAT_TIPOS_OT'!$C$4:$C$7,MATCH($I121,'CAT_TIPOS_OT'!$A$4:$A$7,0)),"sin_clasificar"))</f>
        <v/>
      </c>
      <c r="U121" s="3">
        <f>IF($F121="","",IFERROR(INDEX('CAT_CENTROS_COSTO'!$F$4:$F$13,MATCH($F121,'CAT_CENTROS_COSTO'!$A$4:$A$13,0)),"(sin catálogo)"))</f>
        <v/>
      </c>
      <c r="V121" s="3">
        <f>IF($F121="","",IFERROR(INDEX('CAT_CENTROS_COSTO'!$D$4:$D$13,MATCH($F121,'CAT_CENTROS_COSTO'!$A$4:$A$13,0)),"(sin catálogo)"))</f>
        <v/>
      </c>
      <c r="W121" s="3">
        <f>IF($F121="","",IF((IFERROR(INDEX('CAT_CENTROS_COSTO'!$E$4:$E$13,MATCH($F121,'CAT_CENTROS_COSTO'!$A$4:$A$13,0)),""))&lt;&gt;"",IFERROR(INDEX('CAT_CENTROS_COSTO'!$E$4:$E$13,MATCH($F121,'CAT_CENTROS_COSTO'!$A$4:$A$13,0)),""),$V121))</f>
        <v/>
      </c>
      <c r="X121" s="3">
        <f>IF($F121="","",IFERROR(INDEX('CAT_CENTROS_COSTO'!$G$4:$G$13,MATCH($F121,'CAT_CENTROS_COSTO'!$A$4:$A$13,0)),"(sin catálogo)"))</f>
        <v/>
      </c>
      <c r="Y121" s="3">
        <f>IF($G121="","",IFERROR(INDEX('CAT_PUESTOS'!$B$4:$B$8,MATCH($G121,'CAT_PUESTOS'!$A$4:$A$8,0)),"(sin catálogo)"))</f>
        <v/>
      </c>
      <c r="Z121" s="3">
        <f>IF($H121="","",IFERROR(INDEX('CAT_ACTIVIDADES'!$B$4:$B$8,MATCH($H121,'CAT_ACTIVIDADES'!$A$4:$A$8,0)),"(sin catálogo)"))</f>
        <v/>
      </c>
      <c r="AA121" s="12">
        <f>IF($J121="","",TODAY()-$J121)</f>
        <v/>
      </c>
      <c r="AB121" s="12">
        <f>IF($J121="","",IF($J121&lt;=TODAY(),COUNTIFS(cal_fechas,"&gt;="&amp;$J121,cal_fechas,"&lt;"&amp;TODAY(),cal_habil,"sí"),-COUNTIFS(cal_fechas,"&gt;="&amp;TODAY(),cal_fechas,"&lt;"&amp;$J121,cal_habil,"sí")))</f>
        <v/>
      </c>
      <c r="AC121" s="3">
        <f>IF($AB121="","",IF($AB121&lt;0,"FUTURO",IF($AB121&gt;p_dias_backlog_max,"BACKLOG","MES CORRIENTE")))</f>
        <v/>
      </c>
      <c r="AD121" s="3">
        <f>IF($AB121="",FALSE,AND($AB121&gt;p_dias_backlog_min,$AB121&lt;=p_dias_backlog_max))</f>
        <v/>
      </c>
      <c r="AE121" s="6" t="inlineStr">
        <is>
          <t>Técnico 10</t>
        </is>
      </c>
      <c r="AF121" s="3">
        <f>IF($AE121="","",IF((IFERROR(INDEX('ASIGNACIONES'!$F$4:$F$339,MATCH($O121&amp;"|"&amp;$R121&amp;"|"&amp;$AE121,'ASIGNACIONES'!$J$4:$J$339,0)),""))=0,"",IFERROR(INDEX('ASIGNACIONES'!$F$4:$F$339,MATCH($O121&amp;"|"&amp;$R121&amp;"|"&amp;$AE121,'ASIGNACIONES'!$J$4:$J$339,0)),"")))</f>
        <v/>
      </c>
      <c r="AG121" s="13">
        <f>IF($AE121="","",SUMIFS('ORDENES'!$M$4:$M$1203,'ORDENES'!$AE$4:$AE$1203,$AE121,'ORDENES'!$O$4:$O$1203,$O121,'ORDENES'!$R$4:$R$1203,$R121))</f>
        <v/>
      </c>
      <c r="AH121" s="13">
        <f>IF($AG121="","",p_factor_productividad*IFERROR(INDEX('ASIGNACIONES'!$I$4:$I$339,MATCH($O121&amp;"|"&amp;$R121&amp;"|"&amp;$AE121,'ASIGNACIONES'!$J$4:$J$339,0)),0)-$AG121)</f>
        <v/>
      </c>
      <c r="AI121" s="10">
        <f>IF($A121="","",IFERROR(INDEX('2_IMPORTAR_EJECUCION'!$F$9:$F$1208,MATCH($AQ121,'2_IMPORTAR_EJECUCION'!$J$9:$J$1208,0)),0))</f>
        <v/>
      </c>
      <c r="AJ121" s="10">
        <f>IF($A121="","",MAX(0,IFERROR(INDEX('2_IMPORTAR_EJECUCION'!$H$9:$H$1208,MATCH($AQ121,'2_IMPORTAR_EJECUCION'!$J$9:$J$1208,0)),0)-$AI121))</f>
        <v/>
      </c>
      <c r="AK121" s="10">
        <f>IF($A121="","",$AI121+$AJ121)</f>
        <v/>
      </c>
      <c r="AL121" s="6" t="inlineStr"/>
      <c r="AM121" s="6" t="inlineStr"/>
      <c r="AN121" s="6" t="inlineStr">
        <is>
          <t>ACT-02.pdf</t>
        </is>
      </c>
      <c r="AO121" s="3">
        <f>IF($AN121="","",HYPERLINK(p_ruta_base_checklists&amp;$AN121,"abrir"))</f>
        <v/>
      </c>
      <c r="AP121" s="6" t="inlineStr"/>
      <c r="AQ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IF($A122="","",IFERROR(INDEX('AJUSTES'!$B$4:$B$303,MATCH($AQ122,'AJUSTES'!$A$4:$A$303,0)),IF($K122="","",$K122)))</f>
        <v/>
      </c>
      <c r="N122" s="3">
        <f>IF($A122="","",IFERROR(INDEX('CAT_ESTADOS_ERP'!$B$4:$B$7,MATCH(IFERROR(INDEX('2_IMPORTAR_EJECUCION'!$C$9:$C$1208,MATCH($AQ122,'2_IMPORTAR_EJECUCION'!$J$9:$J$1208,0)),""),'CAT_ESTADOS_ERP'!$A$4:$A$7,0)),"Pendiente"))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J122="","",IFERROR(INDEX('CALENDARIO'!$C$15:$C$214,MATCH(TEXT($J122,"yyyy-mm-dd")&amp;"|"&amp;$V122&amp;"|"&amp;$W122,'CALENDARIO'!$G$15:$G$214,0)),IFERROR(INDEX('CALENDARIO'!$C$15:$C$214,MATCH(TEXT($J122,"yyyy-mm-dd")&amp;"|"&amp;$V122&amp;"|",'CALENDARIO'!$G$15:$G$214,0)),IFERROR(INDEX('CALENDARIO'!$C$15:$C$214,MATCH(TEXT($J122,"yyyy-mm-dd")&amp;"||",'CALENDARIO'!$G$15:$G$214,0)),INDEX(patronHabil,WEEKDAY($J122,2))))))</f>
        <v/>
      </c>
      <c r="T122" s="3">
        <f>IF($I122="","",IFERROR(INDEX('CAT_TIPOS_OT'!$C$4:$C$7,MATCH($I122,'CAT_TIPOS_OT'!$A$4:$A$7,0)),"sin_clasificar"))</f>
        <v/>
      </c>
      <c r="U122" s="3">
        <f>IF($F122="","",IFERROR(INDEX('CAT_CENTROS_COSTO'!$F$4:$F$13,MATCH($F122,'CAT_CENTROS_COSTO'!$A$4:$A$13,0)),"(sin catálogo)"))</f>
        <v/>
      </c>
      <c r="V122" s="3">
        <f>IF($F122="","",IFERROR(INDEX('CAT_CENTROS_COSTO'!$D$4:$D$13,MATCH($F122,'CAT_CENTROS_COSTO'!$A$4:$A$13,0)),"(sin catálogo)"))</f>
        <v/>
      </c>
      <c r="W122" s="3">
        <f>IF($F122="","",IF((IFERROR(INDEX('CAT_CENTROS_COSTO'!$E$4:$E$13,MATCH($F122,'CAT_CENTROS_COSTO'!$A$4:$A$13,0)),""))&lt;&gt;"",IFERROR(INDEX('CAT_CENTROS_COSTO'!$E$4:$E$13,MATCH($F122,'CAT_CENTROS_COSTO'!$A$4:$A$13,0)),""),$V122))</f>
        <v/>
      </c>
      <c r="X122" s="3">
        <f>IF($F122="","",IFERROR(INDEX('CAT_CENTROS_COSTO'!$G$4:$G$13,MATCH($F122,'CAT_CENTROS_COSTO'!$A$4:$A$13,0)),"(sin catálogo)"))</f>
        <v/>
      </c>
      <c r="Y122" s="3">
        <f>IF($G122="","",IFERROR(INDEX('CAT_PUESTOS'!$B$4:$B$8,MATCH($G122,'CAT_PUESTOS'!$A$4:$A$8,0)),"(sin catálogo)"))</f>
        <v/>
      </c>
      <c r="Z122" s="3">
        <f>IF($H122="","",IFERROR(INDEX('CAT_ACTIVIDADES'!$B$4:$B$8,MATCH($H122,'CAT_ACTIVIDADES'!$A$4:$A$8,0)),"(sin catálogo)"))</f>
        <v/>
      </c>
      <c r="AA122" s="12">
        <f>IF($J122="","",TODAY()-$J122)</f>
        <v/>
      </c>
      <c r="AB122" s="12">
        <f>IF($J122="","",IF($J122&lt;=TODAY(),COUNTIFS(cal_fechas,"&gt;="&amp;$J122,cal_fechas,"&lt;"&amp;TODAY(),cal_habil,"sí"),-COUNTIFS(cal_fechas,"&gt;="&amp;TODAY(),cal_fechas,"&lt;"&amp;$J122,cal_habil,"sí")))</f>
        <v/>
      </c>
      <c r="AC122" s="3">
        <f>IF($AB122="","",IF($AB122&lt;0,"FUTURO",IF($AB122&gt;p_dias_backlog_max,"BACKLOG","MES CORRIENTE")))</f>
        <v/>
      </c>
      <c r="AD122" s="3">
        <f>IF($AB122="",FALSE,AND($AB122&gt;p_dias_backlog_min,$AB122&lt;=p_dias_backlog_max))</f>
        <v/>
      </c>
      <c r="AE122" s="6" t="inlineStr">
        <is>
          <t>Técnico 11</t>
        </is>
      </c>
      <c r="AF122" s="3">
        <f>IF($AE122="","",IF((IFERROR(INDEX('ASIGNACIONES'!$F$4:$F$339,MATCH($O122&amp;"|"&amp;$R122&amp;"|"&amp;$AE122,'ASIGNACIONES'!$J$4:$J$339,0)),""))=0,"",IFERROR(INDEX('ASIGNACIONES'!$F$4:$F$339,MATCH($O122&amp;"|"&amp;$R122&amp;"|"&amp;$AE122,'ASIGNACIONES'!$J$4:$J$339,0)),"")))</f>
        <v/>
      </c>
      <c r="AG122" s="13">
        <f>IF($AE122="","",SUMIFS('ORDENES'!$M$4:$M$1203,'ORDENES'!$AE$4:$AE$1203,$AE122,'ORDENES'!$O$4:$O$1203,$O122,'ORDENES'!$R$4:$R$1203,$R122))</f>
        <v/>
      </c>
      <c r="AH122" s="13">
        <f>IF($AG122="","",p_factor_productividad*IFERROR(INDEX('ASIGNACIONES'!$I$4:$I$339,MATCH($O122&amp;"|"&amp;$R122&amp;"|"&amp;$AE122,'ASIGNACIONES'!$J$4:$J$339,0)),0)-$AG122)</f>
        <v/>
      </c>
      <c r="AI122" s="10">
        <f>IF($A122="","",IFERROR(INDEX('2_IMPORTAR_EJECUCION'!$F$9:$F$1208,MATCH($AQ122,'2_IMPORTAR_EJECUCION'!$J$9:$J$1208,0)),0))</f>
        <v/>
      </c>
      <c r="AJ122" s="10">
        <f>IF($A122="","",MAX(0,IFERROR(INDEX('2_IMPORTAR_EJECUCION'!$H$9:$H$1208,MATCH($AQ122,'2_IMPORTAR_EJECUCION'!$J$9:$J$1208,0)),0)-$AI122))</f>
        <v/>
      </c>
      <c r="AK122" s="10">
        <f>IF($A122="","",$AI122+$AJ122)</f>
        <v/>
      </c>
      <c r="AL122" s="6" t="inlineStr"/>
      <c r="AM122" s="6" t="inlineStr"/>
      <c r="AN122" s="6" t="inlineStr">
        <is>
          <t>ACT-04.pdf</t>
        </is>
      </c>
      <c r="AO122" s="3">
        <f>IF($AN122="","",HYPERLINK(p_ruta_base_checklists&amp;$AN122,"abrir"))</f>
        <v/>
      </c>
      <c r="AP122" s="6" t="inlineStr"/>
      <c r="AQ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IF($A123="","",IFERROR(INDEX('AJUSTES'!$B$4:$B$303,MATCH($AQ123,'AJUSTES'!$A$4:$A$303,0)),IF($K123="","",$K123)))</f>
        <v/>
      </c>
      <c r="N123" s="3">
        <f>IF($A123="","",IFERROR(INDEX('CAT_ESTADOS_ERP'!$B$4:$B$7,MATCH(IFERROR(INDEX('2_IMPORTAR_EJECUCION'!$C$9:$C$1208,MATCH($AQ123,'2_IMPORTAR_EJECUCION'!$J$9:$J$1208,0)),""),'CAT_ESTADOS_ERP'!$A$4:$A$7,0)),"Pendiente"))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J123="","",IFERROR(INDEX('CALENDARIO'!$C$15:$C$214,MATCH(TEXT($J123,"yyyy-mm-dd")&amp;"|"&amp;$V123&amp;"|"&amp;$W123,'CALENDARIO'!$G$15:$G$214,0)),IFERROR(INDEX('CALENDARIO'!$C$15:$C$214,MATCH(TEXT($J123,"yyyy-mm-dd")&amp;"|"&amp;$V123&amp;"|",'CALENDARIO'!$G$15:$G$214,0)),IFERROR(INDEX('CALENDARIO'!$C$15:$C$214,MATCH(TEXT($J123,"yyyy-mm-dd")&amp;"||",'CALENDARIO'!$G$15:$G$214,0)),INDEX(patronHabil,WEEKDAY($J123,2))))))</f>
        <v/>
      </c>
      <c r="T123" s="3">
        <f>IF($I123="","",IFERROR(INDEX('CAT_TIPOS_OT'!$C$4:$C$7,MATCH($I123,'CAT_TIPOS_OT'!$A$4:$A$7,0)),"sin_clasificar"))</f>
        <v/>
      </c>
      <c r="U123" s="3">
        <f>IF($F123="","",IFERROR(INDEX('CAT_CENTROS_COSTO'!$F$4:$F$13,MATCH($F123,'CAT_CENTROS_COSTO'!$A$4:$A$13,0)),"(sin catálogo)"))</f>
        <v/>
      </c>
      <c r="V123" s="3">
        <f>IF($F123="","",IFERROR(INDEX('CAT_CENTROS_COSTO'!$D$4:$D$13,MATCH($F123,'CAT_CENTROS_COSTO'!$A$4:$A$13,0)),"(sin catálogo)"))</f>
        <v/>
      </c>
      <c r="W123" s="3">
        <f>IF($F123="","",IF((IFERROR(INDEX('CAT_CENTROS_COSTO'!$E$4:$E$13,MATCH($F123,'CAT_CENTROS_COSTO'!$A$4:$A$13,0)),""))&lt;&gt;"",IFERROR(INDEX('CAT_CENTROS_COSTO'!$E$4:$E$13,MATCH($F123,'CAT_CENTROS_COSTO'!$A$4:$A$13,0)),""),$V123))</f>
        <v/>
      </c>
      <c r="X123" s="3">
        <f>IF($F123="","",IFERROR(INDEX('CAT_CENTROS_COSTO'!$G$4:$G$13,MATCH($F123,'CAT_CENTROS_COSTO'!$A$4:$A$13,0)),"(sin catálogo)"))</f>
        <v/>
      </c>
      <c r="Y123" s="3">
        <f>IF($G123="","",IFERROR(INDEX('CAT_PUESTOS'!$B$4:$B$8,MATCH($G123,'CAT_PUESTOS'!$A$4:$A$8,0)),"(sin catálogo)"))</f>
        <v/>
      </c>
      <c r="Z123" s="3">
        <f>IF($H123="","",IFERROR(INDEX('CAT_ACTIVIDADES'!$B$4:$B$8,MATCH($H123,'CAT_ACTIVIDADES'!$A$4:$A$8,0)),"(sin catálogo)"))</f>
        <v/>
      </c>
      <c r="AA123" s="12">
        <f>IF($J123="","",TODAY()-$J123)</f>
        <v/>
      </c>
      <c r="AB123" s="12">
        <f>IF($J123="","",IF($J123&lt;=TODAY(),COUNTIFS(cal_fechas,"&gt;="&amp;$J123,cal_fechas,"&lt;"&amp;TODAY(),cal_habil,"sí"),-COUNTIFS(cal_fechas,"&gt;="&amp;TODAY(),cal_fechas,"&lt;"&amp;$J123,cal_habil,"sí")))</f>
        <v/>
      </c>
      <c r="AC123" s="3">
        <f>IF($AB123="","",IF($AB123&lt;0,"FUTURO",IF($AB123&gt;p_dias_backlog_max,"BACKLOG","MES CORRIENTE")))</f>
        <v/>
      </c>
      <c r="AD123" s="3">
        <f>IF($AB123="",FALSE,AND($AB123&gt;p_dias_backlog_min,$AB123&lt;=p_dias_backlog_max))</f>
        <v/>
      </c>
      <c r="AE123" s="6" t="inlineStr"/>
      <c r="AF123" s="3">
        <f>IF($AE123="","",IF((IFERROR(INDEX('ASIGNACIONES'!$F$4:$F$339,MATCH($O123&amp;"|"&amp;$R123&amp;"|"&amp;$AE123,'ASIGNACIONES'!$J$4:$J$339,0)),""))=0,"",IFERROR(INDEX('ASIGNACIONES'!$F$4:$F$339,MATCH($O123&amp;"|"&amp;$R123&amp;"|"&amp;$AE123,'ASIGNACIONES'!$J$4:$J$339,0)),"")))</f>
        <v/>
      </c>
      <c r="AG123" s="13">
        <f>IF($AE123="","",SUMIFS('ORDENES'!$M$4:$M$1203,'ORDENES'!$AE$4:$AE$1203,$AE123,'ORDENES'!$O$4:$O$1203,$O123,'ORDENES'!$R$4:$R$1203,$R123))</f>
        <v/>
      </c>
      <c r="AH123" s="13">
        <f>IF($AG123="","",p_factor_productividad*IFERROR(INDEX('ASIGNACIONES'!$I$4:$I$339,MATCH($O123&amp;"|"&amp;$R123&amp;"|"&amp;$AE123,'ASIGNACIONES'!$J$4:$J$339,0)),0)-$AG123)</f>
        <v/>
      </c>
      <c r="AI123" s="10">
        <f>IF($A123="","",IFERROR(INDEX('2_IMPORTAR_EJECUCION'!$F$9:$F$1208,MATCH($AQ123,'2_IMPORTAR_EJECUCION'!$J$9:$J$1208,0)),0))</f>
        <v/>
      </c>
      <c r="AJ123" s="10">
        <f>IF($A123="","",MAX(0,IFERROR(INDEX('2_IMPORTAR_EJECUCION'!$H$9:$H$1208,MATCH($AQ123,'2_IMPORTAR_EJECUCION'!$J$9:$J$1208,0)),0)-$AI123))</f>
        <v/>
      </c>
      <c r="AK123" s="10">
        <f>IF($A123="","",$AI123+$AJ123)</f>
        <v/>
      </c>
      <c r="AL123" s="6" t="inlineStr"/>
      <c r="AM123" s="6" t="inlineStr"/>
      <c r="AN123" s="6" t="inlineStr">
        <is>
          <t>ACT-01.pdf</t>
        </is>
      </c>
      <c r="AO123" s="3">
        <f>IF($AN123="","",HYPERLINK(p_ruta_base_checklists&amp;$AN123,"abrir"))</f>
        <v/>
      </c>
      <c r="AP123" s="6" t="inlineStr"/>
      <c r="AQ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IF($A124="","",IFERROR(INDEX('AJUSTES'!$B$4:$B$303,MATCH($AQ124,'AJUSTES'!$A$4:$A$303,0)),IF($K124="","",$K124)))</f>
        <v/>
      </c>
      <c r="N124" s="3">
        <f>IF($A124="","",IFERROR(INDEX('CAT_ESTADOS_ERP'!$B$4:$B$7,MATCH(IFERROR(INDEX('2_IMPORTAR_EJECUCION'!$C$9:$C$1208,MATCH($AQ124,'2_IMPORTAR_EJECUCION'!$J$9:$J$1208,0)),""),'CAT_ESTADOS_ERP'!$A$4:$A$7,0)),"Pendiente"))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J124="","",IFERROR(INDEX('CALENDARIO'!$C$15:$C$214,MATCH(TEXT($J124,"yyyy-mm-dd")&amp;"|"&amp;$V124&amp;"|"&amp;$W124,'CALENDARIO'!$G$15:$G$214,0)),IFERROR(INDEX('CALENDARIO'!$C$15:$C$214,MATCH(TEXT($J124,"yyyy-mm-dd")&amp;"|"&amp;$V124&amp;"|",'CALENDARIO'!$G$15:$G$214,0)),IFERROR(INDEX('CALENDARIO'!$C$15:$C$214,MATCH(TEXT($J124,"yyyy-mm-dd")&amp;"||",'CALENDARIO'!$G$15:$G$214,0)),INDEX(patronHabil,WEEKDAY($J124,2))))))</f>
        <v/>
      </c>
      <c r="T124" s="3">
        <f>IF($I124="","",IFERROR(INDEX('CAT_TIPOS_OT'!$C$4:$C$7,MATCH($I124,'CAT_TIPOS_OT'!$A$4:$A$7,0)),"sin_clasificar"))</f>
        <v/>
      </c>
      <c r="U124" s="3">
        <f>IF($F124="","",IFERROR(INDEX('CAT_CENTROS_COSTO'!$F$4:$F$13,MATCH($F124,'CAT_CENTROS_COSTO'!$A$4:$A$13,0)),"(sin catálogo)"))</f>
        <v/>
      </c>
      <c r="V124" s="3">
        <f>IF($F124="","",IFERROR(INDEX('CAT_CENTROS_COSTO'!$D$4:$D$13,MATCH($F124,'CAT_CENTROS_COSTO'!$A$4:$A$13,0)),"(sin catálogo)"))</f>
        <v/>
      </c>
      <c r="W124" s="3">
        <f>IF($F124="","",IF((IFERROR(INDEX('CAT_CENTROS_COSTO'!$E$4:$E$13,MATCH($F124,'CAT_CENTROS_COSTO'!$A$4:$A$13,0)),""))&lt;&gt;"",IFERROR(INDEX('CAT_CENTROS_COSTO'!$E$4:$E$13,MATCH($F124,'CAT_CENTROS_COSTO'!$A$4:$A$13,0)),""),$V124))</f>
        <v/>
      </c>
      <c r="X124" s="3">
        <f>IF($F124="","",IFERROR(INDEX('CAT_CENTROS_COSTO'!$G$4:$G$13,MATCH($F124,'CAT_CENTROS_COSTO'!$A$4:$A$13,0)),"(sin catálogo)"))</f>
        <v/>
      </c>
      <c r="Y124" s="3">
        <f>IF($G124="","",IFERROR(INDEX('CAT_PUESTOS'!$B$4:$B$8,MATCH($G124,'CAT_PUESTOS'!$A$4:$A$8,0)),"(sin catálogo)"))</f>
        <v/>
      </c>
      <c r="Z124" s="3">
        <f>IF($H124="","",IFERROR(INDEX('CAT_ACTIVIDADES'!$B$4:$B$8,MATCH($H124,'CAT_ACTIVIDADES'!$A$4:$A$8,0)),"(sin catálogo)"))</f>
        <v/>
      </c>
      <c r="AA124" s="12">
        <f>IF($J124="","",TODAY()-$J124)</f>
        <v/>
      </c>
      <c r="AB124" s="12">
        <f>IF($J124="","",IF($J124&lt;=TODAY(),COUNTIFS(cal_fechas,"&gt;="&amp;$J124,cal_fechas,"&lt;"&amp;TODAY(),cal_habil,"sí"),-COUNTIFS(cal_fechas,"&gt;="&amp;TODAY(),cal_fechas,"&lt;"&amp;$J124,cal_habil,"sí")))</f>
        <v/>
      </c>
      <c r="AC124" s="3">
        <f>IF($AB124="","",IF($AB124&lt;0,"FUTURO",IF($AB124&gt;p_dias_backlog_max,"BACKLOG","MES CORRIENTE")))</f>
        <v/>
      </c>
      <c r="AD124" s="3">
        <f>IF($AB124="",FALSE,AND($AB124&gt;p_dias_backlog_min,$AB124&lt;=p_dias_backlog_max))</f>
        <v/>
      </c>
      <c r="AE124" s="6" t="inlineStr">
        <is>
          <t>Técnico 10</t>
        </is>
      </c>
      <c r="AF124" s="3">
        <f>IF($AE124="","",IF((IFERROR(INDEX('ASIGNACIONES'!$F$4:$F$339,MATCH($O124&amp;"|"&amp;$R124&amp;"|"&amp;$AE124,'ASIGNACIONES'!$J$4:$J$339,0)),""))=0,"",IFERROR(INDEX('ASIGNACIONES'!$F$4:$F$339,MATCH($O124&amp;"|"&amp;$R124&amp;"|"&amp;$AE124,'ASIGNACIONES'!$J$4:$J$339,0)),"")))</f>
        <v/>
      </c>
      <c r="AG124" s="13">
        <f>IF($AE124="","",SUMIFS('ORDENES'!$M$4:$M$1203,'ORDENES'!$AE$4:$AE$1203,$AE124,'ORDENES'!$O$4:$O$1203,$O124,'ORDENES'!$R$4:$R$1203,$R124))</f>
        <v/>
      </c>
      <c r="AH124" s="13">
        <f>IF($AG124="","",p_factor_productividad*IFERROR(INDEX('ASIGNACIONES'!$I$4:$I$339,MATCH($O124&amp;"|"&amp;$R124&amp;"|"&amp;$AE124,'ASIGNACIONES'!$J$4:$J$339,0)),0)-$AG124)</f>
        <v/>
      </c>
      <c r="AI124" s="10">
        <f>IF($A124="","",IFERROR(INDEX('2_IMPORTAR_EJECUCION'!$F$9:$F$1208,MATCH($AQ124,'2_IMPORTAR_EJECUCION'!$J$9:$J$1208,0)),0))</f>
        <v/>
      </c>
      <c r="AJ124" s="10">
        <f>IF($A124="","",MAX(0,IFERROR(INDEX('2_IMPORTAR_EJECUCION'!$H$9:$H$1208,MATCH($AQ124,'2_IMPORTAR_EJECUCION'!$J$9:$J$1208,0)),0)-$AI124))</f>
        <v/>
      </c>
      <c r="AK124" s="10">
        <f>IF($A124="","",$AI124+$AJ124)</f>
        <v/>
      </c>
      <c r="AL124" s="6" t="inlineStr"/>
      <c r="AM124" s="6" t="inlineStr"/>
      <c r="AN124" s="6" t="inlineStr"/>
      <c r="AO124" s="3">
        <f>IF($AN124="","",HYPERLINK(p_ruta_base_checklists&amp;$AN124,"abrir"))</f>
        <v/>
      </c>
      <c r="AP124" s="6" t="inlineStr"/>
      <c r="AQ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IF($A125="","",IFERROR(INDEX('AJUSTES'!$B$4:$B$303,MATCH($AQ125,'AJUSTES'!$A$4:$A$303,0)),IF($K125="","",$K125)))</f>
        <v/>
      </c>
      <c r="N125" s="3">
        <f>IF($A125="","",IFERROR(INDEX('CAT_ESTADOS_ERP'!$B$4:$B$7,MATCH(IFERROR(INDEX('2_IMPORTAR_EJECUCION'!$C$9:$C$1208,MATCH($AQ125,'2_IMPORTAR_EJECUCION'!$J$9:$J$1208,0)),""),'CAT_ESTADOS_ERP'!$A$4:$A$7,0)),"Pendiente"))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J125="","",IFERROR(INDEX('CALENDARIO'!$C$15:$C$214,MATCH(TEXT($J125,"yyyy-mm-dd")&amp;"|"&amp;$V125&amp;"|"&amp;$W125,'CALENDARIO'!$G$15:$G$214,0)),IFERROR(INDEX('CALENDARIO'!$C$15:$C$214,MATCH(TEXT($J125,"yyyy-mm-dd")&amp;"|"&amp;$V125&amp;"|",'CALENDARIO'!$G$15:$G$214,0)),IFERROR(INDEX('CALENDARIO'!$C$15:$C$214,MATCH(TEXT($J125,"yyyy-mm-dd")&amp;"||",'CALENDARIO'!$G$15:$G$214,0)),INDEX(patronHabil,WEEKDAY($J125,2))))))</f>
        <v/>
      </c>
      <c r="T125" s="3">
        <f>IF($I125="","",IFERROR(INDEX('CAT_TIPOS_OT'!$C$4:$C$7,MATCH($I125,'CAT_TIPOS_OT'!$A$4:$A$7,0)),"sin_clasificar"))</f>
        <v/>
      </c>
      <c r="U125" s="3">
        <f>IF($F125="","",IFERROR(INDEX('CAT_CENTROS_COSTO'!$F$4:$F$13,MATCH($F125,'CAT_CENTROS_COSTO'!$A$4:$A$13,0)),"(sin catálogo)"))</f>
        <v/>
      </c>
      <c r="V125" s="3">
        <f>IF($F125="","",IFERROR(INDEX('CAT_CENTROS_COSTO'!$D$4:$D$13,MATCH($F125,'CAT_CENTROS_COSTO'!$A$4:$A$13,0)),"(sin catálogo)"))</f>
        <v/>
      </c>
      <c r="W125" s="3">
        <f>IF($F125="","",IF((IFERROR(INDEX('CAT_CENTROS_COSTO'!$E$4:$E$13,MATCH($F125,'CAT_CENTROS_COSTO'!$A$4:$A$13,0)),""))&lt;&gt;"",IFERROR(INDEX('CAT_CENTROS_COSTO'!$E$4:$E$13,MATCH($F125,'CAT_CENTROS_COSTO'!$A$4:$A$13,0)),""),$V125))</f>
        <v/>
      </c>
      <c r="X125" s="3">
        <f>IF($F125="","",IFERROR(INDEX('CAT_CENTROS_COSTO'!$G$4:$G$13,MATCH($F125,'CAT_CENTROS_COSTO'!$A$4:$A$13,0)),"(sin catálogo)"))</f>
        <v/>
      </c>
      <c r="Y125" s="3">
        <f>IF($G125="","",IFERROR(INDEX('CAT_PUESTOS'!$B$4:$B$8,MATCH($G125,'CAT_PUESTOS'!$A$4:$A$8,0)),"(sin catálogo)"))</f>
        <v/>
      </c>
      <c r="Z125" s="3">
        <f>IF($H125="","",IFERROR(INDEX('CAT_ACTIVIDADES'!$B$4:$B$8,MATCH($H125,'CAT_ACTIVIDADES'!$A$4:$A$8,0)),"(sin catálogo)"))</f>
        <v/>
      </c>
      <c r="AA125" s="12">
        <f>IF($J125="","",TODAY()-$J125)</f>
        <v/>
      </c>
      <c r="AB125" s="12">
        <f>IF($J125="","",IF($J125&lt;=TODAY(),COUNTIFS(cal_fechas,"&gt;="&amp;$J125,cal_fechas,"&lt;"&amp;TODAY(),cal_habil,"sí"),-COUNTIFS(cal_fechas,"&gt;="&amp;TODAY(),cal_fechas,"&lt;"&amp;$J125,cal_habil,"sí")))</f>
        <v/>
      </c>
      <c r="AC125" s="3">
        <f>IF($AB125="","",IF($AB125&lt;0,"FUTURO",IF($AB125&gt;p_dias_backlog_max,"BACKLOG","MES CORRIENTE")))</f>
        <v/>
      </c>
      <c r="AD125" s="3">
        <f>IF($AB125="",FALSE,AND($AB125&gt;p_dias_backlog_min,$AB125&lt;=p_dias_backlog_max))</f>
        <v/>
      </c>
      <c r="AE125" s="6" t="inlineStr">
        <is>
          <t>Técnico 11</t>
        </is>
      </c>
      <c r="AF125" s="3">
        <f>IF($AE125="","",IF((IFERROR(INDEX('ASIGNACIONES'!$F$4:$F$339,MATCH($O125&amp;"|"&amp;$R125&amp;"|"&amp;$AE125,'ASIGNACIONES'!$J$4:$J$339,0)),""))=0,"",IFERROR(INDEX('ASIGNACIONES'!$F$4:$F$339,MATCH($O125&amp;"|"&amp;$R125&amp;"|"&amp;$AE125,'ASIGNACIONES'!$J$4:$J$339,0)),"")))</f>
        <v/>
      </c>
      <c r="AG125" s="13">
        <f>IF($AE125="","",SUMIFS('ORDENES'!$M$4:$M$1203,'ORDENES'!$AE$4:$AE$1203,$AE125,'ORDENES'!$O$4:$O$1203,$O125,'ORDENES'!$R$4:$R$1203,$R125))</f>
        <v/>
      </c>
      <c r="AH125" s="13">
        <f>IF($AG125="","",p_factor_productividad*IFERROR(INDEX('ASIGNACIONES'!$I$4:$I$339,MATCH($O125&amp;"|"&amp;$R125&amp;"|"&amp;$AE125,'ASIGNACIONES'!$J$4:$J$339,0)),0)-$AG125)</f>
        <v/>
      </c>
      <c r="AI125" s="10">
        <f>IF($A125="","",IFERROR(INDEX('2_IMPORTAR_EJECUCION'!$F$9:$F$1208,MATCH($AQ125,'2_IMPORTAR_EJECUCION'!$J$9:$J$1208,0)),0))</f>
        <v/>
      </c>
      <c r="AJ125" s="10">
        <f>IF($A125="","",MAX(0,IFERROR(INDEX('2_IMPORTAR_EJECUCION'!$H$9:$H$1208,MATCH($AQ125,'2_IMPORTAR_EJECUCION'!$J$9:$J$1208,0)),0)-$AI125))</f>
        <v/>
      </c>
      <c r="AK125" s="10">
        <f>IF($A125="","",$AI125+$AJ125)</f>
        <v/>
      </c>
      <c r="AL125" s="6" t="inlineStr"/>
      <c r="AM125" s="6" t="inlineStr"/>
      <c r="AN125" s="6" t="inlineStr">
        <is>
          <t>ACT-04.pdf</t>
        </is>
      </c>
      <c r="AO125" s="3">
        <f>IF($AN125="","",HYPERLINK(p_ruta_base_checklists&amp;$AN125,"abrir"))</f>
        <v/>
      </c>
      <c r="AP125" s="6" t="inlineStr"/>
      <c r="AQ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IF($A126="","",IFERROR(INDEX('AJUSTES'!$B$4:$B$303,MATCH($AQ126,'AJUSTES'!$A$4:$A$303,0)),IF($K126="","",$K126)))</f>
        <v/>
      </c>
      <c r="N126" s="3">
        <f>IF($A126="","",IFERROR(INDEX('CAT_ESTADOS_ERP'!$B$4:$B$7,MATCH(IFERROR(INDEX('2_IMPORTAR_EJECUCION'!$C$9:$C$1208,MATCH($AQ126,'2_IMPORTAR_EJECUCION'!$J$9:$J$1208,0)),""),'CAT_ESTADOS_ERP'!$A$4:$A$7,0)),"Pendiente"))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J126="","",IFERROR(INDEX('CALENDARIO'!$C$15:$C$214,MATCH(TEXT($J126,"yyyy-mm-dd")&amp;"|"&amp;$V126&amp;"|"&amp;$W126,'CALENDARIO'!$G$15:$G$214,0)),IFERROR(INDEX('CALENDARIO'!$C$15:$C$214,MATCH(TEXT($J126,"yyyy-mm-dd")&amp;"|"&amp;$V126&amp;"|",'CALENDARIO'!$G$15:$G$214,0)),IFERROR(INDEX('CALENDARIO'!$C$15:$C$214,MATCH(TEXT($J126,"yyyy-mm-dd")&amp;"||",'CALENDARIO'!$G$15:$G$214,0)),INDEX(patronHabil,WEEKDAY($J126,2))))))</f>
        <v/>
      </c>
      <c r="T126" s="3">
        <f>IF($I126="","",IFERROR(INDEX('CAT_TIPOS_OT'!$C$4:$C$7,MATCH($I126,'CAT_TIPOS_OT'!$A$4:$A$7,0)),"sin_clasificar"))</f>
        <v/>
      </c>
      <c r="U126" s="3">
        <f>IF($F126="","",IFERROR(INDEX('CAT_CENTROS_COSTO'!$F$4:$F$13,MATCH($F126,'CAT_CENTROS_COSTO'!$A$4:$A$13,0)),"(sin catálogo)"))</f>
        <v/>
      </c>
      <c r="V126" s="3">
        <f>IF($F126="","",IFERROR(INDEX('CAT_CENTROS_COSTO'!$D$4:$D$13,MATCH($F126,'CAT_CENTROS_COSTO'!$A$4:$A$13,0)),"(sin catálogo)"))</f>
        <v/>
      </c>
      <c r="W126" s="3">
        <f>IF($F126="","",IF((IFERROR(INDEX('CAT_CENTROS_COSTO'!$E$4:$E$13,MATCH($F126,'CAT_CENTROS_COSTO'!$A$4:$A$13,0)),""))&lt;&gt;"",IFERROR(INDEX('CAT_CENTROS_COSTO'!$E$4:$E$13,MATCH($F126,'CAT_CENTROS_COSTO'!$A$4:$A$13,0)),""),$V126))</f>
        <v/>
      </c>
      <c r="X126" s="3">
        <f>IF($F126="","",IFERROR(INDEX('CAT_CENTROS_COSTO'!$G$4:$G$13,MATCH($F126,'CAT_CENTROS_COSTO'!$A$4:$A$13,0)),"(sin catálogo)"))</f>
        <v/>
      </c>
      <c r="Y126" s="3">
        <f>IF($G126="","",IFERROR(INDEX('CAT_PUESTOS'!$B$4:$B$8,MATCH($G126,'CAT_PUESTOS'!$A$4:$A$8,0)),"(sin catálogo)"))</f>
        <v/>
      </c>
      <c r="Z126" s="3">
        <f>IF($H126="","",IFERROR(INDEX('CAT_ACTIVIDADES'!$B$4:$B$8,MATCH($H126,'CAT_ACTIVIDADES'!$A$4:$A$8,0)),"(sin catálogo)"))</f>
        <v/>
      </c>
      <c r="AA126" s="12">
        <f>IF($J126="","",TODAY()-$J126)</f>
        <v/>
      </c>
      <c r="AB126" s="12">
        <f>IF($J126="","",IF($J126&lt;=TODAY(),COUNTIFS(cal_fechas,"&gt;="&amp;$J126,cal_fechas,"&lt;"&amp;TODAY(),cal_habil,"sí"),-COUNTIFS(cal_fechas,"&gt;="&amp;TODAY(),cal_fechas,"&lt;"&amp;$J126,cal_habil,"sí")))</f>
        <v/>
      </c>
      <c r="AC126" s="3">
        <f>IF($AB126="","",IF($AB126&lt;0,"FUTURO",IF($AB126&gt;p_dias_backlog_max,"BACKLOG","MES CORRIENTE")))</f>
        <v/>
      </c>
      <c r="AD126" s="3">
        <f>IF($AB126="",FALSE,AND($AB126&gt;p_dias_backlog_min,$AB126&lt;=p_dias_backlog_max))</f>
        <v/>
      </c>
      <c r="AE126" s="6" t="inlineStr">
        <is>
          <t>Técnico 12</t>
        </is>
      </c>
      <c r="AF126" s="3">
        <f>IF($AE126="","",IF((IFERROR(INDEX('ASIGNACIONES'!$F$4:$F$339,MATCH($O126&amp;"|"&amp;$R126&amp;"|"&amp;$AE126,'ASIGNACIONES'!$J$4:$J$339,0)),""))=0,"",IFERROR(INDEX('ASIGNACIONES'!$F$4:$F$339,MATCH($O126&amp;"|"&amp;$R126&amp;"|"&amp;$AE126,'ASIGNACIONES'!$J$4:$J$339,0)),"")))</f>
        <v/>
      </c>
      <c r="AG126" s="13">
        <f>IF($AE126="","",SUMIFS('ORDENES'!$M$4:$M$1203,'ORDENES'!$AE$4:$AE$1203,$AE126,'ORDENES'!$O$4:$O$1203,$O126,'ORDENES'!$R$4:$R$1203,$R126))</f>
        <v/>
      </c>
      <c r="AH126" s="13">
        <f>IF($AG126="","",p_factor_productividad*IFERROR(INDEX('ASIGNACIONES'!$I$4:$I$339,MATCH($O126&amp;"|"&amp;$R126&amp;"|"&amp;$AE126,'ASIGNACIONES'!$J$4:$J$339,0)),0)-$AG126)</f>
        <v/>
      </c>
      <c r="AI126" s="10">
        <f>IF($A126="","",IFERROR(INDEX('2_IMPORTAR_EJECUCION'!$F$9:$F$1208,MATCH($AQ126,'2_IMPORTAR_EJECUCION'!$J$9:$J$1208,0)),0))</f>
        <v/>
      </c>
      <c r="AJ126" s="10">
        <f>IF($A126="","",MAX(0,IFERROR(INDEX('2_IMPORTAR_EJECUCION'!$H$9:$H$1208,MATCH($AQ126,'2_IMPORTAR_EJECUCION'!$J$9:$J$1208,0)),0)-$AI126))</f>
        <v/>
      </c>
      <c r="AK126" s="10">
        <f>IF($A126="","",$AI126+$AJ126)</f>
        <v/>
      </c>
      <c r="AL126" s="6" t="inlineStr"/>
      <c r="AM126" s="6" t="inlineStr"/>
      <c r="AN126" s="6" t="inlineStr">
        <is>
          <t>ACT-01.pdf</t>
        </is>
      </c>
      <c r="AO126" s="3">
        <f>IF($AN126="","",HYPERLINK(p_ruta_base_checklists&amp;$AN126,"abrir"))</f>
        <v/>
      </c>
      <c r="AP126" s="6" t="inlineStr"/>
      <c r="AQ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IF($A127="","",IFERROR(INDEX('AJUSTES'!$B$4:$B$303,MATCH($AQ127,'AJUSTES'!$A$4:$A$303,0)),IF($K127="","",$K127)))</f>
        <v/>
      </c>
      <c r="N127" s="3">
        <f>IF($A127="","",IFERROR(INDEX('CAT_ESTADOS_ERP'!$B$4:$B$7,MATCH(IFERROR(INDEX('2_IMPORTAR_EJECUCION'!$C$9:$C$1208,MATCH($AQ127,'2_IMPORTAR_EJECUCION'!$J$9:$J$1208,0)),""),'CAT_ESTADOS_ERP'!$A$4:$A$7,0)),"Pendiente"))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J127="","",IFERROR(INDEX('CALENDARIO'!$C$15:$C$214,MATCH(TEXT($J127,"yyyy-mm-dd")&amp;"|"&amp;$V127&amp;"|"&amp;$W127,'CALENDARIO'!$G$15:$G$214,0)),IFERROR(INDEX('CALENDARIO'!$C$15:$C$214,MATCH(TEXT($J127,"yyyy-mm-dd")&amp;"|"&amp;$V127&amp;"|",'CALENDARIO'!$G$15:$G$214,0)),IFERROR(INDEX('CALENDARIO'!$C$15:$C$214,MATCH(TEXT($J127,"yyyy-mm-dd")&amp;"||",'CALENDARIO'!$G$15:$G$214,0)),INDEX(patronHabil,WEEKDAY($J127,2))))))</f>
        <v/>
      </c>
      <c r="T127" s="3">
        <f>IF($I127="","",IFERROR(INDEX('CAT_TIPOS_OT'!$C$4:$C$7,MATCH($I127,'CAT_TIPOS_OT'!$A$4:$A$7,0)),"sin_clasificar"))</f>
        <v/>
      </c>
      <c r="U127" s="3">
        <f>IF($F127="","",IFERROR(INDEX('CAT_CENTROS_COSTO'!$F$4:$F$13,MATCH($F127,'CAT_CENTROS_COSTO'!$A$4:$A$13,0)),"(sin catálogo)"))</f>
        <v/>
      </c>
      <c r="V127" s="3">
        <f>IF($F127="","",IFERROR(INDEX('CAT_CENTROS_COSTO'!$D$4:$D$13,MATCH($F127,'CAT_CENTROS_COSTO'!$A$4:$A$13,0)),"(sin catálogo)"))</f>
        <v/>
      </c>
      <c r="W127" s="3">
        <f>IF($F127="","",IF((IFERROR(INDEX('CAT_CENTROS_COSTO'!$E$4:$E$13,MATCH($F127,'CAT_CENTROS_COSTO'!$A$4:$A$13,0)),""))&lt;&gt;"",IFERROR(INDEX('CAT_CENTROS_COSTO'!$E$4:$E$13,MATCH($F127,'CAT_CENTROS_COSTO'!$A$4:$A$13,0)),""),$V127))</f>
        <v/>
      </c>
      <c r="X127" s="3">
        <f>IF($F127="","",IFERROR(INDEX('CAT_CENTROS_COSTO'!$G$4:$G$13,MATCH($F127,'CAT_CENTROS_COSTO'!$A$4:$A$13,0)),"(sin catálogo)"))</f>
        <v/>
      </c>
      <c r="Y127" s="3">
        <f>IF($G127="","",IFERROR(INDEX('CAT_PUESTOS'!$B$4:$B$8,MATCH($G127,'CAT_PUESTOS'!$A$4:$A$8,0)),"(sin catálogo)"))</f>
        <v/>
      </c>
      <c r="Z127" s="3">
        <f>IF($H127="","",IFERROR(INDEX('CAT_ACTIVIDADES'!$B$4:$B$8,MATCH($H127,'CAT_ACTIVIDADES'!$A$4:$A$8,0)),"(sin catálogo)"))</f>
        <v/>
      </c>
      <c r="AA127" s="12">
        <f>IF($J127="","",TODAY()-$J127)</f>
        <v/>
      </c>
      <c r="AB127" s="12">
        <f>IF($J127="","",IF($J127&lt;=TODAY(),COUNTIFS(cal_fechas,"&gt;="&amp;$J127,cal_fechas,"&lt;"&amp;TODAY(),cal_habil,"sí"),-COUNTIFS(cal_fechas,"&gt;="&amp;TODAY(),cal_fechas,"&lt;"&amp;$J127,cal_habil,"sí")))</f>
        <v/>
      </c>
      <c r="AC127" s="3">
        <f>IF($AB127="","",IF($AB127&lt;0,"FUTURO",IF($AB127&gt;p_dias_backlog_max,"BACKLOG","MES CORRIENTE")))</f>
        <v/>
      </c>
      <c r="AD127" s="3">
        <f>IF($AB127="",FALSE,AND($AB127&gt;p_dias_backlog_min,$AB127&lt;=p_dias_backlog_max))</f>
        <v/>
      </c>
      <c r="AE127" s="6" t="inlineStr">
        <is>
          <t>Técnico 10</t>
        </is>
      </c>
      <c r="AF127" s="3">
        <f>IF($AE127="","",IF((IFERROR(INDEX('ASIGNACIONES'!$F$4:$F$339,MATCH($O127&amp;"|"&amp;$R127&amp;"|"&amp;$AE127,'ASIGNACIONES'!$J$4:$J$339,0)),""))=0,"",IFERROR(INDEX('ASIGNACIONES'!$F$4:$F$339,MATCH($O127&amp;"|"&amp;$R127&amp;"|"&amp;$AE127,'ASIGNACIONES'!$J$4:$J$339,0)),"")))</f>
        <v/>
      </c>
      <c r="AG127" s="13">
        <f>IF($AE127="","",SUMIFS('ORDENES'!$M$4:$M$1203,'ORDENES'!$AE$4:$AE$1203,$AE127,'ORDENES'!$O$4:$O$1203,$O127,'ORDENES'!$R$4:$R$1203,$R127))</f>
        <v/>
      </c>
      <c r="AH127" s="13">
        <f>IF($AG127="","",p_factor_productividad*IFERROR(INDEX('ASIGNACIONES'!$I$4:$I$339,MATCH($O127&amp;"|"&amp;$R127&amp;"|"&amp;$AE127,'ASIGNACIONES'!$J$4:$J$339,0)),0)-$AG127)</f>
        <v/>
      </c>
      <c r="AI127" s="10">
        <f>IF($A127="","",IFERROR(INDEX('2_IMPORTAR_EJECUCION'!$F$9:$F$1208,MATCH($AQ127,'2_IMPORTAR_EJECUCION'!$J$9:$J$1208,0)),0))</f>
        <v/>
      </c>
      <c r="AJ127" s="10">
        <f>IF($A127="","",MAX(0,IFERROR(INDEX('2_IMPORTAR_EJECUCION'!$H$9:$H$1208,MATCH($AQ127,'2_IMPORTAR_EJECUCION'!$J$9:$J$1208,0)),0)-$AI127))</f>
        <v/>
      </c>
      <c r="AK127" s="10">
        <f>IF($A127="","",$AI127+$AJ127)</f>
        <v/>
      </c>
      <c r="AL127" s="6" t="inlineStr"/>
      <c r="AM127" s="6" t="inlineStr"/>
      <c r="AN127" s="6" t="inlineStr">
        <is>
          <t>ACT-02.pdf</t>
        </is>
      </c>
      <c r="AO127" s="3">
        <f>IF($AN127="","",HYPERLINK(p_ruta_base_checklists&amp;$AN127,"abrir"))</f>
        <v/>
      </c>
      <c r="AP127" s="6" t="inlineStr"/>
      <c r="AQ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IF($A128="","",IFERROR(INDEX('AJUSTES'!$B$4:$B$303,MATCH($AQ128,'AJUSTES'!$A$4:$A$303,0)),IF($K128="","",$K128)))</f>
        <v/>
      </c>
      <c r="N128" s="3">
        <f>IF($A128="","",IFERROR(INDEX('CAT_ESTADOS_ERP'!$B$4:$B$7,MATCH(IFERROR(INDEX('2_IMPORTAR_EJECUCION'!$C$9:$C$1208,MATCH($AQ128,'2_IMPORTAR_EJECUCION'!$J$9:$J$1208,0)),""),'CAT_ESTADOS_ERP'!$A$4:$A$7,0)),"Pendiente"))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J128="","",IFERROR(INDEX('CALENDARIO'!$C$15:$C$214,MATCH(TEXT($J128,"yyyy-mm-dd")&amp;"|"&amp;$V128&amp;"|"&amp;$W128,'CALENDARIO'!$G$15:$G$214,0)),IFERROR(INDEX('CALENDARIO'!$C$15:$C$214,MATCH(TEXT($J128,"yyyy-mm-dd")&amp;"|"&amp;$V128&amp;"|",'CALENDARIO'!$G$15:$G$214,0)),IFERROR(INDEX('CALENDARIO'!$C$15:$C$214,MATCH(TEXT($J128,"yyyy-mm-dd")&amp;"||",'CALENDARIO'!$G$15:$G$214,0)),INDEX(patronHabil,WEEKDAY($J128,2))))))</f>
        <v/>
      </c>
      <c r="T128" s="3">
        <f>IF($I128="","",IFERROR(INDEX('CAT_TIPOS_OT'!$C$4:$C$7,MATCH($I128,'CAT_TIPOS_OT'!$A$4:$A$7,0)),"sin_clasificar"))</f>
        <v/>
      </c>
      <c r="U128" s="3">
        <f>IF($F128="","",IFERROR(INDEX('CAT_CENTROS_COSTO'!$F$4:$F$13,MATCH($F128,'CAT_CENTROS_COSTO'!$A$4:$A$13,0)),"(sin catálogo)"))</f>
        <v/>
      </c>
      <c r="V128" s="3">
        <f>IF($F128="","",IFERROR(INDEX('CAT_CENTROS_COSTO'!$D$4:$D$13,MATCH($F128,'CAT_CENTROS_COSTO'!$A$4:$A$13,0)),"(sin catálogo)"))</f>
        <v/>
      </c>
      <c r="W128" s="3">
        <f>IF($F128="","",IF((IFERROR(INDEX('CAT_CENTROS_COSTO'!$E$4:$E$13,MATCH($F128,'CAT_CENTROS_COSTO'!$A$4:$A$13,0)),""))&lt;&gt;"",IFERROR(INDEX('CAT_CENTROS_COSTO'!$E$4:$E$13,MATCH($F128,'CAT_CENTROS_COSTO'!$A$4:$A$13,0)),""),$V128))</f>
        <v/>
      </c>
      <c r="X128" s="3">
        <f>IF($F128="","",IFERROR(INDEX('CAT_CENTROS_COSTO'!$G$4:$G$13,MATCH($F128,'CAT_CENTROS_COSTO'!$A$4:$A$13,0)),"(sin catálogo)"))</f>
        <v/>
      </c>
      <c r="Y128" s="3">
        <f>IF($G128="","",IFERROR(INDEX('CAT_PUESTOS'!$B$4:$B$8,MATCH($G128,'CAT_PUESTOS'!$A$4:$A$8,0)),"(sin catálogo)"))</f>
        <v/>
      </c>
      <c r="Z128" s="3">
        <f>IF($H128="","",IFERROR(INDEX('CAT_ACTIVIDADES'!$B$4:$B$8,MATCH($H128,'CAT_ACTIVIDADES'!$A$4:$A$8,0)),"(sin catálogo)"))</f>
        <v/>
      </c>
      <c r="AA128" s="12">
        <f>IF($J128="","",TODAY()-$J128)</f>
        <v/>
      </c>
      <c r="AB128" s="12">
        <f>IF($J128="","",IF($J128&lt;=TODAY(),COUNTIFS(cal_fechas,"&gt;="&amp;$J128,cal_fechas,"&lt;"&amp;TODAY(),cal_habil,"sí"),-COUNTIFS(cal_fechas,"&gt;="&amp;TODAY(),cal_fechas,"&lt;"&amp;$J128,cal_habil,"sí")))</f>
        <v/>
      </c>
      <c r="AC128" s="3">
        <f>IF($AB128="","",IF($AB128&lt;0,"FUTURO",IF($AB128&gt;p_dias_backlog_max,"BACKLOG","MES CORRIENTE")))</f>
        <v/>
      </c>
      <c r="AD128" s="3">
        <f>IF($AB128="",FALSE,AND($AB128&gt;p_dias_backlog_min,$AB128&lt;=p_dias_backlog_max))</f>
        <v/>
      </c>
      <c r="AE128" s="6" t="inlineStr">
        <is>
          <t>Técnico 11</t>
        </is>
      </c>
      <c r="AF128" s="3">
        <f>IF($AE128="","",IF((IFERROR(INDEX('ASIGNACIONES'!$F$4:$F$339,MATCH($O128&amp;"|"&amp;$R128&amp;"|"&amp;$AE128,'ASIGNACIONES'!$J$4:$J$339,0)),""))=0,"",IFERROR(INDEX('ASIGNACIONES'!$F$4:$F$339,MATCH($O128&amp;"|"&amp;$R128&amp;"|"&amp;$AE128,'ASIGNACIONES'!$J$4:$J$339,0)),"")))</f>
        <v/>
      </c>
      <c r="AG128" s="13">
        <f>IF($AE128="","",SUMIFS('ORDENES'!$M$4:$M$1203,'ORDENES'!$AE$4:$AE$1203,$AE128,'ORDENES'!$O$4:$O$1203,$O128,'ORDENES'!$R$4:$R$1203,$R128))</f>
        <v/>
      </c>
      <c r="AH128" s="13">
        <f>IF($AG128="","",p_factor_productividad*IFERROR(INDEX('ASIGNACIONES'!$I$4:$I$339,MATCH($O128&amp;"|"&amp;$R128&amp;"|"&amp;$AE128,'ASIGNACIONES'!$J$4:$J$339,0)),0)-$AG128)</f>
        <v/>
      </c>
      <c r="AI128" s="10">
        <f>IF($A128="","",IFERROR(INDEX('2_IMPORTAR_EJECUCION'!$F$9:$F$1208,MATCH($AQ128,'2_IMPORTAR_EJECUCION'!$J$9:$J$1208,0)),0))</f>
        <v/>
      </c>
      <c r="AJ128" s="10">
        <f>IF($A128="","",MAX(0,IFERROR(INDEX('2_IMPORTAR_EJECUCION'!$H$9:$H$1208,MATCH($AQ128,'2_IMPORTAR_EJECUCION'!$J$9:$J$1208,0)),0)-$AI128))</f>
        <v/>
      </c>
      <c r="AK128" s="10">
        <f>IF($A128="","",$AI128+$AJ128)</f>
        <v/>
      </c>
      <c r="AL128" s="6" t="inlineStr"/>
      <c r="AM128" s="6" t="inlineStr"/>
      <c r="AN128" s="6" t="inlineStr"/>
      <c r="AO128" s="3">
        <f>IF($AN128="","",HYPERLINK(p_ruta_base_checklists&amp;$AN128,"abrir"))</f>
        <v/>
      </c>
      <c r="AP128" s="6" t="inlineStr"/>
      <c r="AQ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IF($A129="","",IFERROR(INDEX('AJUSTES'!$B$4:$B$303,MATCH($AQ129,'AJUSTES'!$A$4:$A$303,0)),IF($K129="","",$K129)))</f>
        <v/>
      </c>
      <c r="N129" s="3">
        <f>IF($A129="","",IFERROR(INDEX('CAT_ESTADOS_ERP'!$B$4:$B$7,MATCH(IFERROR(INDEX('2_IMPORTAR_EJECUCION'!$C$9:$C$1208,MATCH($AQ129,'2_IMPORTAR_EJECUCION'!$J$9:$J$1208,0)),""),'CAT_ESTADOS_ERP'!$A$4:$A$7,0)),"Pendiente"))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J129="","",IFERROR(INDEX('CALENDARIO'!$C$15:$C$214,MATCH(TEXT($J129,"yyyy-mm-dd")&amp;"|"&amp;$V129&amp;"|"&amp;$W129,'CALENDARIO'!$G$15:$G$214,0)),IFERROR(INDEX('CALENDARIO'!$C$15:$C$214,MATCH(TEXT($J129,"yyyy-mm-dd")&amp;"|"&amp;$V129&amp;"|",'CALENDARIO'!$G$15:$G$214,0)),IFERROR(INDEX('CALENDARIO'!$C$15:$C$214,MATCH(TEXT($J129,"yyyy-mm-dd")&amp;"||",'CALENDARIO'!$G$15:$G$214,0)),INDEX(patronHabil,WEEKDAY($J129,2))))))</f>
        <v/>
      </c>
      <c r="T129" s="3">
        <f>IF($I129="","",IFERROR(INDEX('CAT_TIPOS_OT'!$C$4:$C$7,MATCH($I129,'CAT_TIPOS_OT'!$A$4:$A$7,0)),"sin_clasificar"))</f>
        <v/>
      </c>
      <c r="U129" s="3">
        <f>IF($F129="","",IFERROR(INDEX('CAT_CENTROS_COSTO'!$F$4:$F$13,MATCH($F129,'CAT_CENTROS_COSTO'!$A$4:$A$13,0)),"(sin catálogo)"))</f>
        <v/>
      </c>
      <c r="V129" s="3">
        <f>IF($F129="","",IFERROR(INDEX('CAT_CENTROS_COSTO'!$D$4:$D$13,MATCH($F129,'CAT_CENTROS_COSTO'!$A$4:$A$13,0)),"(sin catálogo)"))</f>
        <v/>
      </c>
      <c r="W129" s="3">
        <f>IF($F129="","",IF((IFERROR(INDEX('CAT_CENTROS_COSTO'!$E$4:$E$13,MATCH($F129,'CAT_CENTROS_COSTO'!$A$4:$A$13,0)),""))&lt;&gt;"",IFERROR(INDEX('CAT_CENTROS_COSTO'!$E$4:$E$13,MATCH($F129,'CAT_CENTROS_COSTO'!$A$4:$A$13,0)),""),$V129))</f>
        <v/>
      </c>
      <c r="X129" s="3">
        <f>IF($F129="","",IFERROR(INDEX('CAT_CENTROS_COSTO'!$G$4:$G$13,MATCH($F129,'CAT_CENTROS_COSTO'!$A$4:$A$13,0)),"(sin catálogo)"))</f>
        <v/>
      </c>
      <c r="Y129" s="3">
        <f>IF($G129="","",IFERROR(INDEX('CAT_PUESTOS'!$B$4:$B$8,MATCH($G129,'CAT_PUESTOS'!$A$4:$A$8,0)),"(sin catálogo)"))</f>
        <v/>
      </c>
      <c r="Z129" s="3">
        <f>IF($H129="","",IFERROR(INDEX('CAT_ACTIVIDADES'!$B$4:$B$8,MATCH($H129,'CAT_ACTIVIDADES'!$A$4:$A$8,0)),"(sin catálogo)"))</f>
        <v/>
      </c>
      <c r="AA129" s="12">
        <f>IF($J129="","",TODAY()-$J129)</f>
        <v/>
      </c>
      <c r="AB129" s="12">
        <f>IF($J129="","",IF($J129&lt;=TODAY(),COUNTIFS(cal_fechas,"&gt;="&amp;$J129,cal_fechas,"&lt;"&amp;TODAY(),cal_habil,"sí"),-COUNTIFS(cal_fechas,"&gt;="&amp;TODAY(),cal_fechas,"&lt;"&amp;$J129,cal_habil,"sí")))</f>
        <v/>
      </c>
      <c r="AC129" s="3">
        <f>IF($AB129="","",IF($AB129&lt;0,"FUTURO",IF($AB129&gt;p_dias_backlog_max,"BACKLOG","MES CORRIENTE")))</f>
        <v/>
      </c>
      <c r="AD129" s="3">
        <f>IF($AB129="",FALSE,AND($AB129&gt;p_dias_backlog_min,$AB129&lt;=p_dias_backlog_max))</f>
        <v/>
      </c>
      <c r="AE129" s="6" t="inlineStr"/>
      <c r="AF129" s="3">
        <f>IF($AE129="","",IF((IFERROR(INDEX('ASIGNACIONES'!$F$4:$F$339,MATCH($O129&amp;"|"&amp;$R129&amp;"|"&amp;$AE129,'ASIGNACIONES'!$J$4:$J$339,0)),""))=0,"",IFERROR(INDEX('ASIGNACIONES'!$F$4:$F$339,MATCH($O129&amp;"|"&amp;$R129&amp;"|"&amp;$AE129,'ASIGNACIONES'!$J$4:$J$339,0)),"")))</f>
        <v/>
      </c>
      <c r="AG129" s="13">
        <f>IF($AE129="","",SUMIFS('ORDENES'!$M$4:$M$1203,'ORDENES'!$AE$4:$AE$1203,$AE129,'ORDENES'!$O$4:$O$1203,$O129,'ORDENES'!$R$4:$R$1203,$R129))</f>
        <v/>
      </c>
      <c r="AH129" s="13">
        <f>IF($AG129="","",p_factor_productividad*IFERROR(INDEX('ASIGNACIONES'!$I$4:$I$339,MATCH($O129&amp;"|"&amp;$R129&amp;"|"&amp;$AE129,'ASIGNACIONES'!$J$4:$J$339,0)),0)-$AG129)</f>
        <v/>
      </c>
      <c r="AI129" s="10">
        <f>IF($A129="","",IFERROR(INDEX('2_IMPORTAR_EJECUCION'!$F$9:$F$1208,MATCH($AQ129,'2_IMPORTAR_EJECUCION'!$J$9:$J$1208,0)),0))</f>
        <v/>
      </c>
      <c r="AJ129" s="10">
        <f>IF($A129="","",MAX(0,IFERROR(INDEX('2_IMPORTAR_EJECUCION'!$H$9:$H$1208,MATCH($AQ129,'2_IMPORTAR_EJECUCION'!$J$9:$J$1208,0)),0)-$AI129))</f>
        <v/>
      </c>
      <c r="AK129" s="10">
        <f>IF($A129="","",$AI129+$AJ129)</f>
        <v/>
      </c>
      <c r="AL129" s="6" t="inlineStr"/>
      <c r="AM129" s="6" t="inlineStr"/>
      <c r="AN129" s="6" t="inlineStr"/>
      <c r="AO129" s="3">
        <f>IF($AN129="","",HYPERLINK(p_ruta_base_checklists&amp;$AN129,"abrir"))</f>
        <v/>
      </c>
      <c r="AP129" s="6" t="inlineStr"/>
      <c r="AQ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IF($A130="","",IFERROR(INDEX('AJUSTES'!$B$4:$B$303,MATCH($AQ130,'AJUSTES'!$A$4:$A$303,0)),IF($K130="","",$K130)))</f>
        <v/>
      </c>
      <c r="N130" s="3">
        <f>IF($A130="","",IFERROR(INDEX('CAT_ESTADOS_ERP'!$B$4:$B$7,MATCH(IFERROR(INDEX('2_IMPORTAR_EJECUCION'!$C$9:$C$1208,MATCH($AQ130,'2_IMPORTAR_EJECUCION'!$J$9:$J$1208,0)),""),'CAT_ESTADOS_ERP'!$A$4:$A$7,0)),"Pendiente"))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J130="","",IFERROR(INDEX('CALENDARIO'!$C$15:$C$214,MATCH(TEXT($J130,"yyyy-mm-dd")&amp;"|"&amp;$V130&amp;"|"&amp;$W130,'CALENDARIO'!$G$15:$G$214,0)),IFERROR(INDEX('CALENDARIO'!$C$15:$C$214,MATCH(TEXT($J130,"yyyy-mm-dd")&amp;"|"&amp;$V130&amp;"|",'CALENDARIO'!$G$15:$G$214,0)),IFERROR(INDEX('CALENDARIO'!$C$15:$C$214,MATCH(TEXT($J130,"yyyy-mm-dd")&amp;"||",'CALENDARIO'!$G$15:$G$214,0)),INDEX(patronHabil,WEEKDAY($J130,2))))))</f>
        <v/>
      </c>
      <c r="T130" s="3">
        <f>IF($I130="","",IFERROR(INDEX('CAT_TIPOS_OT'!$C$4:$C$7,MATCH($I130,'CAT_TIPOS_OT'!$A$4:$A$7,0)),"sin_clasificar"))</f>
        <v/>
      </c>
      <c r="U130" s="3">
        <f>IF($F130="","",IFERROR(INDEX('CAT_CENTROS_COSTO'!$F$4:$F$13,MATCH($F130,'CAT_CENTROS_COSTO'!$A$4:$A$13,0)),"(sin catálogo)"))</f>
        <v/>
      </c>
      <c r="V130" s="3">
        <f>IF($F130="","",IFERROR(INDEX('CAT_CENTROS_COSTO'!$D$4:$D$13,MATCH($F130,'CAT_CENTROS_COSTO'!$A$4:$A$13,0)),"(sin catálogo)"))</f>
        <v/>
      </c>
      <c r="W130" s="3">
        <f>IF($F130="","",IF((IFERROR(INDEX('CAT_CENTROS_COSTO'!$E$4:$E$13,MATCH($F130,'CAT_CENTROS_COSTO'!$A$4:$A$13,0)),""))&lt;&gt;"",IFERROR(INDEX('CAT_CENTROS_COSTO'!$E$4:$E$13,MATCH($F130,'CAT_CENTROS_COSTO'!$A$4:$A$13,0)),""),$V130))</f>
        <v/>
      </c>
      <c r="X130" s="3">
        <f>IF($F130="","",IFERROR(INDEX('CAT_CENTROS_COSTO'!$G$4:$G$13,MATCH($F130,'CAT_CENTROS_COSTO'!$A$4:$A$13,0)),"(sin catálogo)"))</f>
        <v/>
      </c>
      <c r="Y130" s="3">
        <f>IF($G130="","",IFERROR(INDEX('CAT_PUESTOS'!$B$4:$B$8,MATCH($G130,'CAT_PUESTOS'!$A$4:$A$8,0)),"(sin catálogo)"))</f>
        <v/>
      </c>
      <c r="Z130" s="3">
        <f>IF($H130="","",IFERROR(INDEX('CAT_ACTIVIDADES'!$B$4:$B$8,MATCH($H130,'CAT_ACTIVIDADES'!$A$4:$A$8,0)),"(sin catálogo)"))</f>
        <v/>
      </c>
      <c r="AA130" s="12">
        <f>IF($J130="","",TODAY()-$J130)</f>
        <v/>
      </c>
      <c r="AB130" s="12">
        <f>IF($J130="","",IF($J130&lt;=TODAY(),COUNTIFS(cal_fechas,"&gt;="&amp;$J130,cal_fechas,"&lt;"&amp;TODAY(),cal_habil,"sí"),-COUNTIFS(cal_fechas,"&gt;="&amp;TODAY(),cal_fechas,"&lt;"&amp;$J130,cal_habil,"sí")))</f>
        <v/>
      </c>
      <c r="AC130" s="3">
        <f>IF($AB130="","",IF($AB130&lt;0,"FUTURO",IF($AB130&gt;p_dias_backlog_max,"BACKLOG","MES CORRIENTE")))</f>
        <v/>
      </c>
      <c r="AD130" s="3">
        <f>IF($AB130="",FALSE,AND($AB130&gt;p_dias_backlog_min,$AB130&lt;=p_dias_backlog_max))</f>
        <v/>
      </c>
      <c r="AE130" s="6" t="inlineStr"/>
      <c r="AF130" s="3">
        <f>IF($AE130="","",IF((IFERROR(INDEX('ASIGNACIONES'!$F$4:$F$339,MATCH($O130&amp;"|"&amp;$R130&amp;"|"&amp;$AE130,'ASIGNACIONES'!$J$4:$J$339,0)),""))=0,"",IFERROR(INDEX('ASIGNACIONES'!$F$4:$F$339,MATCH($O130&amp;"|"&amp;$R130&amp;"|"&amp;$AE130,'ASIGNACIONES'!$J$4:$J$339,0)),"")))</f>
        <v/>
      </c>
      <c r="AG130" s="13">
        <f>IF($AE130="","",SUMIFS('ORDENES'!$M$4:$M$1203,'ORDENES'!$AE$4:$AE$1203,$AE130,'ORDENES'!$O$4:$O$1203,$O130,'ORDENES'!$R$4:$R$1203,$R130))</f>
        <v/>
      </c>
      <c r="AH130" s="13">
        <f>IF($AG130="","",p_factor_productividad*IFERROR(INDEX('ASIGNACIONES'!$I$4:$I$339,MATCH($O130&amp;"|"&amp;$R130&amp;"|"&amp;$AE130,'ASIGNACIONES'!$J$4:$J$339,0)),0)-$AG130)</f>
        <v/>
      </c>
      <c r="AI130" s="10">
        <f>IF($A130="","",IFERROR(INDEX('2_IMPORTAR_EJECUCION'!$F$9:$F$1208,MATCH($AQ130,'2_IMPORTAR_EJECUCION'!$J$9:$J$1208,0)),0))</f>
        <v/>
      </c>
      <c r="AJ130" s="10">
        <f>IF($A130="","",MAX(0,IFERROR(INDEX('2_IMPORTAR_EJECUCION'!$H$9:$H$1208,MATCH($AQ130,'2_IMPORTAR_EJECUCION'!$J$9:$J$1208,0)),0)-$AI130))</f>
        <v/>
      </c>
      <c r="AK130" s="10">
        <f>IF($A130="","",$AI130+$AJ130)</f>
        <v/>
      </c>
      <c r="AL130" s="6" t="inlineStr"/>
      <c r="AM130" s="6" t="inlineStr"/>
      <c r="AN130" s="6" t="inlineStr"/>
      <c r="AO130" s="3">
        <f>IF($AN130="","",HYPERLINK(p_ruta_base_checklists&amp;$AN130,"abrir"))</f>
        <v/>
      </c>
      <c r="AP130" s="6" t="inlineStr"/>
      <c r="AQ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IF($A131="","",IFERROR(INDEX('AJUSTES'!$B$4:$B$303,MATCH($AQ131,'AJUSTES'!$A$4:$A$303,0)),IF($K131="","",$K131)))</f>
        <v/>
      </c>
      <c r="N131" s="3">
        <f>IF($A131="","",IFERROR(INDEX('CAT_ESTADOS_ERP'!$B$4:$B$7,MATCH(IFERROR(INDEX('2_IMPORTAR_EJECUCION'!$C$9:$C$1208,MATCH($AQ131,'2_IMPORTAR_EJECUCION'!$J$9:$J$1208,0)),""),'CAT_ESTADOS_ERP'!$A$4:$A$7,0)),"Pendiente"))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J131="","",IFERROR(INDEX('CALENDARIO'!$C$15:$C$214,MATCH(TEXT($J131,"yyyy-mm-dd")&amp;"|"&amp;$V131&amp;"|"&amp;$W131,'CALENDARIO'!$G$15:$G$214,0)),IFERROR(INDEX('CALENDARIO'!$C$15:$C$214,MATCH(TEXT($J131,"yyyy-mm-dd")&amp;"|"&amp;$V131&amp;"|",'CALENDARIO'!$G$15:$G$214,0)),IFERROR(INDEX('CALENDARIO'!$C$15:$C$214,MATCH(TEXT($J131,"yyyy-mm-dd")&amp;"||",'CALENDARIO'!$G$15:$G$214,0)),INDEX(patronHabil,WEEKDAY($J131,2))))))</f>
        <v/>
      </c>
      <c r="T131" s="3">
        <f>IF($I131="","",IFERROR(INDEX('CAT_TIPOS_OT'!$C$4:$C$7,MATCH($I131,'CAT_TIPOS_OT'!$A$4:$A$7,0)),"sin_clasificar"))</f>
        <v/>
      </c>
      <c r="U131" s="3">
        <f>IF($F131="","",IFERROR(INDEX('CAT_CENTROS_COSTO'!$F$4:$F$13,MATCH($F131,'CAT_CENTROS_COSTO'!$A$4:$A$13,0)),"(sin catálogo)"))</f>
        <v/>
      </c>
      <c r="V131" s="3">
        <f>IF($F131="","",IFERROR(INDEX('CAT_CENTROS_COSTO'!$D$4:$D$13,MATCH($F131,'CAT_CENTROS_COSTO'!$A$4:$A$13,0)),"(sin catálogo)"))</f>
        <v/>
      </c>
      <c r="W131" s="3">
        <f>IF($F131="","",IF((IFERROR(INDEX('CAT_CENTROS_COSTO'!$E$4:$E$13,MATCH($F131,'CAT_CENTROS_COSTO'!$A$4:$A$13,0)),""))&lt;&gt;"",IFERROR(INDEX('CAT_CENTROS_COSTO'!$E$4:$E$13,MATCH($F131,'CAT_CENTROS_COSTO'!$A$4:$A$13,0)),""),$V131))</f>
        <v/>
      </c>
      <c r="X131" s="3">
        <f>IF($F131="","",IFERROR(INDEX('CAT_CENTROS_COSTO'!$G$4:$G$13,MATCH($F131,'CAT_CENTROS_COSTO'!$A$4:$A$13,0)),"(sin catálogo)"))</f>
        <v/>
      </c>
      <c r="Y131" s="3">
        <f>IF($G131="","",IFERROR(INDEX('CAT_PUESTOS'!$B$4:$B$8,MATCH($G131,'CAT_PUESTOS'!$A$4:$A$8,0)),"(sin catálogo)"))</f>
        <v/>
      </c>
      <c r="Z131" s="3">
        <f>IF($H131="","",IFERROR(INDEX('CAT_ACTIVIDADES'!$B$4:$B$8,MATCH($H131,'CAT_ACTIVIDADES'!$A$4:$A$8,0)),"(sin catálogo)"))</f>
        <v/>
      </c>
      <c r="AA131" s="12">
        <f>IF($J131="","",TODAY()-$J131)</f>
        <v/>
      </c>
      <c r="AB131" s="12">
        <f>IF($J131="","",IF($J131&lt;=TODAY(),COUNTIFS(cal_fechas,"&gt;="&amp;$J131,cal_fechas,"&lt;"&amp;TODAY(),cal_habil,"sí"),-COUNTIFS(cal_fechas,"&gt;="&amp;TODAY(),cal_fechas,"&lt;"&amp;$J131,cal_habil,"sí")))</f>
        <v/>
      </c>
      <c r="AC131" s="3">
        <f>IF($AB131="","",IF($AB131&lt;0,"FUTURO",IF($AB131&gt;p_dias_backlog_max,"BACKLOG","MES CORRIENTE")))</f>
        <v/>
      </c>
      <c r="AD131" s="3">
        <f>IF($AB131="",FALSE,AND($AB131&gt;p_dias_backlog_min,$AB131&lt;=p_dias_backlog_max))</f>
        <v/>
      </c>
      <c r="AE131" s="6" t="inlineStr"/>
      <c r="AF131" s="3">
        <f>IF($AE131="","",IF((IFERROR(INDEX('ASIGNACIONES'!$F$4:$F$339,MATCH($O131&amp;"|"&amp;$R131&amp;"|"&amp;$AE131,'ASIGNACIONES'!$J$4:$J$339,0)),""))=0,"",IFERROR(INDEX('ASIGNACIONES'!$F$4:$F$339,MATCH($O131&amp;"|"&amp;$R131&amp;"|"&amp;$AE131,'ASIGNACIONES'!$J$4:$J$339,0)),"")))</f>
        <v/>
      </c>
      <c r="AG131" s="13">
        <f>IF($AE131="","",SUMIFS('ORDENES'!$M$4:$M$1203,'ORDENES'!$AE$4:$AE$1203,$AE131,'ORDENES'!$O$4:$O$1203,$O131,'ORDENES'!$R$4:$R$1203,$R131))</f>
        <v/>
      </c>
      <c r="AH131" s="13">
        <f>IF($AG131="","",p_factor_productividad*IFERROR(INDEX('ASIGNACIONES'!$I$4:$I$339,MATCH($O131&amp;"|"&amp;$R131&amp;"|"&amp;$AE131,'ASIGNACIONES'!$J$4:$J$339,0)),0)-$AG131)</f>
        <v/>
      </c>
      <c r="AI131" s="10">
        <f>IF($A131="","",IFERROR(INDEX('2_IMPORTAR_EJECUCION'!$F$9:$F$1208,MATCH($AQ131,'2_IMPORTAR_EJECUCION'!$J$9:$J$1208,0)),0))</f>
        <v/>
      </c>
      <c r="AJ131" s="10">
        <f>IF($A131="","",MAX(0,IFERROR(INDEX('2_IMPORTAR_EJECUCION'!$H$9:$H$1208,MATCH($AQ131,'2_IMPORTAR_EJECUCION'!$J$9:$J$1208,0)),0)-$AI131))</f>
        <v/>
      </c>
      <c r="AK131" s="10">
        <f>IF($A131="","",$AI131+$AJ131)</f>
        <v/>
      </c>
      <c r="AL131" s="6" t="inlineStr"/>
      <c r="AM131" s="6" t="inlineStr"/>
      <c r="AN131" s="6" t="inlineStr"/>
      <c r="AO131" s="3">
        <f>IF($AN131="","",HYPERLINK(p_ruta_base_checklists&amp;$AN131,"abrir"))</f>
        <v/>
      </c>
      <c r="AP131" s="6" t="inlineStr"/>
      <c r="AQ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IF($A132="","",IFERROR(INDEX('AJUSTES'!$B$4:$B$303,MATCH($AQ132,'AJUSTES'!$A$4:$A$303,0)),IF($K132="","",$K132)))</f>
        <v/>
      </c>
      <c r="N132" s="3">
        <f>IF($A132="","",IFERROR(INDEX('CAT_ESTADOS_ERP'!$B$4:$B$7,MATCH(IFERROR(INDEX('2_IMPORTAR_EJECUCION'!$C$9:$C$1208,MATCH($AQ132,'2_IMPORTAR_EJECUCION'!$J$9:$J$1208,0)),""),'CAT_ESTADOS_ERP'!$A$4:$A$7,0)),"Pendiente"))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J132="","",IFERROR(INDEX('CALENDARIO'!$C$15:$C$214,MATCH(TEXT($J132,"yyyy-mm-dd")&amp;"|"&amp;$V132&amp;"|"&amp;$W132,'CALENDARIO'!$G$15:$G$214,0)),IFERROR(INDEX('CALENDARIO'!$C$15:$C$214,MATCH(TEXT($J132,"yyyy-mm-dd")&amp;"|"&amp;$V132&amp;"|",'CALENDARIO'!$G$15:$G$214,0)),IFERROR(INDEX('CALENDARIO'!$C$15:$C$214,MATCH(TEXT($J132,"yyyy-mm-dd")&amp;"||",'CALENDARIO'!$G$15:$G$214,0)),INDEX(patronHabil,WEEKDAY($J132,2))))))</f>
        <v/>
      </c>
      <c r="T132" s="3">
        <f>IF($I132="","",IFERROR(INDEX('CAT_TIPOS_OT'!$C$4:$C$7,MATCH($I132,'CAT_TIPOS_OT'!$A$4:$A$7,0)),"sin_clasificar"))</f>
        <v/>
      </c>
      <c r="U132" s="3">
        <f>IF($F132="","",IFERROR(INDEX('CAT_CENTROS_COSTO'!$F$4:$F$13,MATCH($F132,'CAT_CENTROS_COSTO'!$A$4:$A$13,0)),"(sin catálogo)"))</f>
        <v/>
      </c>
      <c r="V132" s="3">
        <f>IF($F132="","",IFERROR(INDEX('CAT_CENTROS_COSTO'!$D$4:$D$13,MATCH($F132,'CAT_CENTROS_COSTO'!$A$4:$A$13,0)),"(sin catálogo)"))</f>
        <v/>
      </c>
      <c r="W132" s="3">
        <f>IF($F132="","",IF((IFERROR(INDEX('CAT_CENTROS_COSTO'!$E$4:$E$13,MATCH($F132,'CAT_CENTROS_COSTO'!$A$4:$A$13,0)),""))&lt;&gt;"",IFERROR(INDEX('CAT_CENTROS_COSTO'!$E$4:$E$13,MATCH($F132,'CAT_CENTROS_COSTO'!$A$4:$A$13,0)),""),$V132))</f>
        <v/>
      </c>
      <c r="X132" s="3">
        <f>IF($F132="","",IFERROR(INDEX('CAT_CENTROS_COSTO'!$G$4:$G$13,MATCH($F132,'CAT_CENTROS_COSTO'!$A$4:$A$13,0)),"(sin catálogo)"))</f>
        <v/>
      </c>
      <c r="Y132" s="3">
        <f>IF($G132="","",IFERROR(INDEX('CAT_PUESTOS'!$B$4:$B$8,MATCH($G132,'CAT_PUESTOS'!$A$4:$A$8,0)),"(sin catálogo)"))</f>
        <v/>
      </c>
      <c r="Z132" s="3">
        <f>IF($H132="","",IFERROR(INDEX('CAT_ACTIVIDADES'!$B$4:$B$8,MATCH($H132,'CAT_ACTIVIDADES'!$A$4:$A$8,0)),"(sin catálogo)"))</f>
        <v/>
      </c>
      <c r="AA132" s="12">
        <f>IF($J132="","",TODAY()-$J132)</f>
        <v/>
      </c>
      <c r="AB132" s="12">
        <f>IF($J132="","",IF($J132&lt;=TODAY(),COUNTIFS(cal_fechas,"&gt;="&amp;$J132,cal_fechas,"&lt;"&amp;TODAY(),cal_habil,"sí"),-COUNTIFS(cal_fechas,"&gt;="&amp;TODAY(),cal_fechas,"&lt;"&amp;$J132,cal_habil,"sí")))</f>
        <v/>
      </c>
      <c r="AC132" s="3">
        <f>IF($AB132="","",IF($AB132&lt;0,"FUTURO",IF($AB132&gt;p_dias_backlog_max,"BACKLOG","MES CORRIENTE")))</f>
        <v/>
      </c>
      <c r="AD132" s="3">
        <f>IF($AB132="",FALSE,AND($AB132&gt;p_dias_backlog_min,$AB132&lt;=p_dias_backlog_max))</f>
        <v/>
      </c>
      <c r="AE132" s="6" t="inlineStr"/>
      <c r="AF132" s="3">
        <f>IF($AE132="","",IF((IFERROR(INDEX('ASIGNACIONES'!$F$4:$F$339,MATCH($O132&amp;"|"&amp;$R132&amp;"|"&amp;$AE132,'ASIGNACIONES'!$J$4:$J$339,0)),""))=0,"",IFERROR(INDEX('ASIGNACIONES'!$F$4:$F$339,MATCH($O132&amp;"|"&amp;$R132&amp;"|"&amp;$AE132,'ASIGNACIONES'!$J$4:$J$339,0)),"")))</f>
        <v/>
      </c>
      <c r="AG132" s="13">
        <f>IF($AE132="","",SUMIFS('ORDENES'!$M$4:$M$1203,'ORDENES'!$AE$4:$AE$1203,$AE132,'ORDENES'!$O$4:$O$1203,$O132,'ORDENES'!$R$4:$R$1203,$R132))</f>
        <v/>
      </c>
      <c r="AH132" s="13">
        <f>IF($AG132="","",p_factor_productividad*IFERROR(INDEX('ASIGNACIONES'!$I$4:$I$339,MATCH($O132&amp;"|"&amp;$R132&amp;"|"&amp;$AE132,'ASIGNACIONES'!$J$4:$J$339,0)),0)-$AG132)</f>
        <v/>
      </c>
      <c r="AI132" s="10">
        <f>IF($A132="","",IFERROR(INDEX('2_IMPORTAR_EJECUCION'!$F$9:$F$1208,MATCH($AQ132,'2_IMPORTAR_EJECUCION'!$J$9:$J$1208,0)),0))</f>
        <v/>
      </c>
      <c r="AJ132" s="10">
        <f>IF($A132="","",MAX(0,IFERROR(INDEX('2_IMPORTAR_EJECUCION'!$H$9:$H$1208,MATCH($AQ132,'2_IMPORTAR_EJECUCION'!$J$9:$J$1208,0)),0)-$AI132))</f>
        <v/>
      </c>
      <c r="AK132" s="10">
        <f>IF($A132="","",$AI132+$AJ132)</f>
        <v/>
      </c>
      <c r="AL132" s="6" t="inlineStr"/>
      <c r="AM132" s="6" t="inlineStr"/>
      <c r="AN132" s="6" t="inlineStr"/>
      <c r="AO132" s="3">
        <f>IF($AN132="","",HYPERLINK(p_ruta_base_checklists&amp;$AN132,"abrir"))</f>
        <v/>
      </c>
      <c r="AP132" s="6" t="inlineStr"/>
      <c r="AQ132" s="3">
        <f>IF($A132="","",$A132&amp;IF($B132="","0010",$B132))</f>
        <v/>
      </c>
    </row>
    <row r="133">
      <c r="A133" s="3" t="inlineStr">
        <is>
          <t>OT-000130</t>
        </is>
      </c>
      <c r="B133" s="3" t="inlineStr">
        <is>
          <t>0010</t>
        </is>
      </c>
      <c r="C133" s="3" t="inlineStr">
        <is>
          <t>Reparación de falla — EQ-101</t>
        </is>
      </c>
      <c r="D133" s="3" t="inlineStr">
        <is>
          <t>Reparación de falla en EQ-101</t>
        </is>
      </c>
      <c r="E133" s="3" t="inlineStr">
        <is>
          <t>EQ-101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ACT-03</t>
        </is>
      </c>
      <c r="I133" s="3" t="inlineStr">
        <is>
          <t>TIPO-C1</t>
        </is>
      </c>
      <c r="J133" s="11" t="n">
        <v>46228</v>
      </c>
      <c r="K133" s="3" t="n">
        <v>6</v>
      </c>
      <c r="L133" s="10" t="n">
        <v>240</v>
      </c>
      <c r="M133" s="3">
        <f>IF($A133="","",IFERROR(INDEX('AJUSTES'!$B$4:$B$303,MATCH($AQ133,'AJUSTES'!$A$4:$A$303,0)),IF($K133="","",$K133)))</f>
        <v/>
      </c>
      <c r="N133" s="3">
        <f>IF($A133="","",IFERROR(INDEX('CAT_ESTADOS_ERP'!$B$4:$B$7,MATCH(IFERROR(INDEX('2_IMPORTAR_EJECUCION'!$C$9:$C$1208,MATCH($AQ133,'2_IMPORTAR_EJECUCION'!$J$9:$J$1208,0)),""),'CAT_ESTADOS_ERP'!$A$4:$A$7,0)),"Pendiente"))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J133="","",IFERROR(INDEX('CALENDARIO'!$C$15:$C$214,MATCH(TEXT($J133,"yyyy-mm-dd")&amp;"|"&amp;$V133&amp;"|"&amp;$W133,'CALENDARIO'!$G$15:$G$214,0)),IFERROR(INDEX('CALENDARIO'!$C$15:$C$214,MATCH(TEXT($J133,"yyyy-mm-dd")&amp;"|"&amp;$V133&amp;"|",'CALENDARIO'!$G$15:$G$214,0)),IFERROR(INDEX('CALENDARIO'!$C$15:$C$214,MATCH(TEXT($J133,"yyyy-mm-dd")&amp;"||",'CALENDARIO'!$G$15:$G$214,0)),INDEX(patronHabil,WEEKDAY($J133,2))))))</f>
        <v/>
      </c>
      <c r="T133" s="3">
        <f>IF($I133="","",IFERROR(INDEX('CAT_TIPOS_OT'!$C$4:$C$7,MATCH($I133,'CAT_TIPOS_OT'!$A$4:$A$7,0)),"sin_clasificar"))</f>
        <v/>
      </c>
      <c r="U133" s="3">
        <f>IF($F133="","",IFERROR(INDEX('CAT_CENTROS_COSTO'!$F$4:$F$13,MATCH($F133,'CAT_CENTROS_COSTO'!$A$4:$A$13,0)),"(sin catálogo)"))</f>
        <v/>
      </c>
      <c r="V133" s="3">
        <f>IF($F133="","",IFERROR(INDEX('CAT_CENTROS_COSTO'!$D$4:$D$13,MATCH($F133,'CAT_CENTROS_COSTO'!$A$4:$A$13,0)),"(sin catálogo)"))</f>
        <v/>
      </c>
      <c r="W133" s="3">
        <f>IF($F133="","",IF((IFERROR(INDEX('CAT_CENTROS_COSTO'!$E$4:$E$13,MATCH($F133,'CAT_CENTROS_COSTO'!$A$4:$A$13,0)),""))&lt;&gt;"",IFERROR(INDEX('CAT_CENTROS_COSTO'!$E$4:$E$13,MATCH($F133,'CAT_CENTROS_COSTO'!$A$4:$A$13,0)),""),$V133))</f>
        <v/>
      </c>
      <c r="X133" s="3">
        <f>IF($F133="","",IFERROR(INDEX('CAT_CENTROS_COSTO'!$G$4:$G$13,MATCH($F133,'CAT_CENTROS_COSTO'!$A$4:$A$13,0)),"(sin catálogo)"))</f>
        <v/>
      </c>
      <c r="Y133" s="3">
        <f>IF($G133="","",IFERROR(INDEX('CAT_PUESTOS'!$B$4:$B$8,MATCH($G133,'CAT_PUESTOS'!$A$4:$A$8,0)),"(sin catálogo)"))</f>
        <v/>
      </c>
      <c r="Z133" s="3">
        <f>IF($H133="","",IFERROR(INDEX('CAT_ACTIVIDADES'!$B$4:$B$8,MATCH($H133,'CAT_ACTIVIDADES'!$A$4:$A$8,0)),"(sin catálogo)"))</f>
        <v/>
      </c>
      <c r="AA133" s="12">
        <f>IF($J133="","",TODAY()-$J133)</f>
        <v/>
      </c>
      <c r="AB133" s="12">
        <f>IF($J133="","",IF($J133&lt;=TODAY(),COUNTIFS(cal_fechas,"&gt;="&amp;$J133,cal_fechas,"&lt;"&amp;TODAY(),cal_habil,"sí"),-COUNTIFS(cal_fechas,"&gt;="&amp;TODAY(),cal_fechas,"&lt;"&amp;$J133,cal_habil,"sí")))</f>
        <v/>
      </c>
      <c r="AC133" s="3">
        <f>IF($AB133="","",IF($AB133&lt;0,"FUTURO",IF($AB133&gt;p_dias_backlog_max,"BACKLOG","MES CORRIENTE")))</f>
        <v/>
      </c>
      <c r="AD133" s="3">
        <f>IF($AB133="",FALSE,AND($AB133&gt;p_dias_backlog_min,$AB133&lt;=p_dias_backlog_max))</f>
        <v/>
      </c>
      <c r="AE133" s="6" t="inlineStr">
        <is>
          <t>Técnico 01</t>
        </is>
      </c>
      <c r="AF133" s="3">
        <f>IF($AE133="","",IF((IFERROR(INDEX('ASIGNACIONES'!$F$4:$F$339,MATCH($O133&amp;"|"&amp;$R133&amp;"|"&amp;$AE133,'ASIGNACIONES'!$J$4:$J$339,0)),""))=0,"",IFERROR(INDEX('ASIGNACIONES'!$F$4:$F$339,MATCH($O133&amp;"|"&amp;$R133&amp;"|"&amp;$AE133,'ASIGNACIONES'!$J$4:$J$339,0)),"")))</f>
        <v/>
      </c>
      <c r="AG133" s="13">
        <f>IF($AE133="","",SUMIFS('ORDENES'!$M$4:$M$1203,'ORDENES'!$AE$4:$AE$1203,$AE133,'ORDENES'!$O$4:$O$1203,$O133,'ORDENES'!$R$4:$R$1203,$R133))</f>
        <v/>
      </c>
      <c r="AH133" s="13">
        <f>IF($AG133="","",p_factor_productividad*IFERROR(INDEX('ASIGNACIONES'!$I$4:$I$339,MATCH($O133&amp;"|"&amp;$R133&amp;"|"&amp;$AE133,'ASIGNACIONES'!$J$4:$J$339,0)),0)-$AG133)</f>
        <v/>
      </c>
      <c r="AI133" s="10">
        <f>IF($A133="","",IFERROR(INDEX('2_IMPORTAR_EJECUCION'!$F$9:$F$1208,MATCH($AQ133,'2_IMPORTAR_EJECUCION'!$J$9:$J$1208,0)),0))</f>
        <v/>
      </c>
      <c r="AJ133" s="10">
        <f>IF($A133="","",MAX(0,IFERROR(INDEX('2_IMPORTAR_EJECUCION'!$H$9:$H$1208,MATCH($AQ133,'2_IMPORTAR_EJECUCION'!$J$9:$J$1208,0)),0)-$AI133))</f>
        <v/>
      </c>
      <c r="AK133" s="10">
        <f>IF($A133="","",$AI133+$AJ133)</f>
        <v/>
      </c>
      <c r="AL133" s="6" t="inlineStr"/>
      <c r="AM133" s="6" t="inlineStr"/>
      <c r="AN133" s="6" t="inlineStr"/>
      <c r="AO133" s="3">
        <f>IF($AN133="","",HYPERLINK(p_ruta_base_checklists&amp;$AN133,"abrir"))</f>
        <v/>
      </c>
      <c r="AP133" s="6" t="inlineStr"/>
      <c r="AQ133" s="3">
        <f>IF($A133="","",$A133&amp;IF($B133="","0010",$B133))</f>
        <v/>
      </c>
    </row>
    <row r="134">
      <c r="A134" s="3" t="inlineStr">
        <is>
          <t>OT-000131</t>
        </is>
      </c>
      <c r="B134" s="3" t="inlineStr">
        <is>
          <t>0010</t>
        </is>
      </c>
      <c r="C134" s="3" t="inlineStr">
        <is>
          <t>Reparación de falla — EQ-102</t>
        </is>
      </c>
      <c r="D134" s="3" t="inlineStr">
        <is>
          <t>Reparación de falla en EQ-102</t>
        </is>
      </c>
      <c r="E134" s="3" t="inlineStr">
        <is>
          <t>EQ-102</t>
        </is>
      </c>
      <c r="F134" s="3" t="inlineStr">
        <is>
          <t>CC-120</t>
        </is>
      </c>
      <c r="G134" s="3" t="inlineStr">
        <is>
          <t>PU-ELE</t>
        </is>
      </c>
      <c r="H134" s="3" t="inlineStr">
        <is>
          <t>ACT-03</t>
        </is>
      </c>
      <c r="I134" s="3" t="inlineStr">
        <is>
          <t>TIPO-C2</t>
        </is>
      </c>
      <c r="J134" s="11" t="n">
        <v>46228</v>
      </c>
      <c r="K134" s="3" t="n">
        <v>4</v>
      </c>
      <c r="L134" s="10" t="n">
        <v>160</v>
      </c>
      <c r="M134" s="3">
        <f>IF($A134="","",IFERROR(INDEX('AJUSTES'!$B$4:$B$303,MATCH($AQ134,'AJUSTES'!$A$4:$A$303,0)),IF($K134="","",$K134)))</f>
        <v/>
      </c>
      <c r="N134" s="3">
        <f>IF($A134="","",IFERROR(INDEX('CAT_ESTADOS_ERP'!$B$4:$B$7,MATCH(IFERROR(INDEX('2_IMPORTAR_EJECUCION'!$C$9:$C$1208,MATCH($AQ134,'2_IMPORTAR_EJECUCION'!$J$9:$J$1208,0)),""),'CAT_ESTADOS_ERP'!$A$4:$A$7,0)),"Pendiente"))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J134="","",IFERROR(INDEX('CALENDARIO'!$C$15:$C$214,MATCH(TEXT($J134,"yyyy-mm-dd")&amp;"|"&amp;$V134&amp;"|"&amp;$W134,'CALENDARIO'!$G$15:$G$214,0)),IFERROR(INDEX('CALENDARIO'!$C$15:$C$214,MATCH(TEXT($J134,"yyyy-mm-dd")&amp;"|"&amp;$V134&amp;"|",'CALENDARIO'!$G$15:$G$214,0)),IFERROR(INDEX('CALENDARIO'!$C$15:$C$214,MATCH(TEXT($J134,"yyyy-mm-dd")&amp;"||",'CALENDARIO'!$G$15:$G$214,0)),INDEX(patronHabil,WEEKDAY($J134,2))))))</f>
        <v/>
      </c>
      <c r="T134" s="3">
        <f>IF($I134="","",IFERROR(INDEX('CAT_TIPOS_OT'!$C$4:$C$7,MATCH($I134,'CAT_TIPOS_OT'!$A$4:$A$7,0)),"sin_clasificar"))</f>
        <v/>
      </c>
      <c r="U134" s="3">
        <f>IF($F134="","",IFERROR(INDEX('CAT_CENTROS_COSTO'!$F$4:$F$13,MATCH($F134,'CAT_CENTROS_COSTO'!$A$4:$A$13,0)),"(sin catálogo)"))</f>
        <v/>
      </c>
      <c r="V134" s="3">
        <f>IF($F134="","",IFERROR(INDEX('CAT_CENTROS_COSTO'!$D$4:$D$13,MATCH($F134,'CAT_CENTROS_COSTO'!$A$4:$A$13,0)),"(sin catálogo)"))</f>
        <v/>
      </c>
      <c r="W134" s="3">
        <f>IF($F134="","",IF((IFERROR(INDEX('CAT_CENTROS_COSTO'!$E$4:$E$13,MATCH($F134,'CAT_CENTROS_COSTO'!$A$4:$A$13,0)),""))&lt;&gt;"",IFERROR(INDEX('CAT_CENTROS_COSTO'!$E$4:$E$13,MATCH($F134,'CAT_CENTROS_COSTO'!$A$4:$A$13,0)),""),$V134))</f>
        <v/>
      </c>
      <c r="X134" s="3">
        <f>IF($F134="","",IFERROR(INDEX('CAT_CENTROS_COSTO'!$G$4:$G$13,MATCH($F134,'CAT_CENTROS_COSTO'!$A$4:$A$13,0)),"(sin catálogo)"))</f>
        <v/>
      </c>
      <c r="Y134" s="3">
        <f>IF($G134="","",IFERROR(INDEX('CAT_PUESTOS'!$B$4:$B$8,MATCH($G134,'CAT_PUESTOS'!$A$4:$A$8,0)),"(sin catálogo)"))</f>
        <v/>
      </c>
      <c r="Z134" s="3">
        <f>IF($H134="","",IFERROR(INDEX('CAT_ACTIVIDADES'!$B$4:$B$8,MATCH($H134,'CAT_ACTIVIDADES'!$A$4:$A$8,0)),"(sin catálogo)"))</f>
        <v/>
      </c>
      <c r="AA134" s="12">
        <f>IF($J134="","",TODAY()-$J134)</f>
        <v/>
      </c>
      <c r="AB134" s="12">
        <f>IF($J134="","",IF($J134&lt;=TODAY(),COUNTIFS(cal_fechas,"&gt;="&amp;$J134,cal_fechas,"&lt;"&amp;TODAY(),cal_habil,"sí"),-COUNTIFS(cal_fechas,"&gt;="&amp;TODAY(),cal_fechas,"&lt;"&amp;$J134,cal_habil,"sí")))</f>
        <v/>
      </c>
      <c r="AC134" s="3">
        <f>IF($AB134="","",IF($AB134&lt;0,"FUTURO",IF($AB134&gt;p_dias_backlog_max,"BACKLOG","MES CORRIENTE")))</f>
        <v/>
      </c>
      <c r="AD134" s="3">
        <f>IF($AB134="",FALSE,AND($AB134&gt;p_dias_backlog_min,$AB134&lt;=p_dias_backlog_max))</f>
        <v/>
      </c>
      <c r="AE134" s="6" t="inlineStr">
        <is>
          <t>Técnico 05</t>
        </is>
      </c>
      <c r="AF134" s="3">
        <f>IF($AE134="","",IF((IFERROR(INDEX('ASIGNACIONES'!$F$4:$F$339,MATCH($O134&amp;"|"&amp;$R134&amp;"|"&amp;$AE134,'ASIGNACIONES'!$J$4:$J$339,0)),""))=0,"",IFERROR(INDEX('ASIGNACIONES'!$F$4:$F$339,MATCH($O134&amp;"|"&amp;$R134&amp;"|"&amp;$AE134,'ASIGNACIONES'!$J$4:$J$339,0)),"")))</f>
        <v/>
      </c>
      <c r="AG134" s="13">
        <f>IF($AE134="","",SUMIFS('ORDENES'!$M$4:$M$1203,'ORDENES'!$AE$4:$AE$1203,$AE134,'ORDENES'!$O$4:$O$1203,$O134,'ORDENES'!$R$4:$R$1203,$R134))</f>
        <v/>
      </c>
      <c r="AH134" s="13">
        <f>IF($AG134="","",p_factor_productividad*IFERROR(INDEX('ASIGNACIONES'!$I$4:$I$339,MATCH($O134&amp;"|"&amp;$R134&amp;"|"&amp;$AE134,'ASIGNACIONES'!$J$4:$J$339,0)),0)-$AG134)</f>
        <v/>
      </c>
      <c r="AI134" s="10">
        <f>IF($A134="","",IFERROR(INDEX('2_IMPORTAR_EJECUCION'!$F$9:$F$1208,MATCH($AQ134,'2_IMPORTAR_EJECUCION'!$J$9:$J$1208,0)),0))</f>
        <v/>
      </c>
      <c r="AJ134" s="10">
        <f>IF($A134="","",MAX(0,IFERROR(INDEX('2_IMPORTAR_EJECUCION'!$H$9:$H$1208,MATCH($AQ134,'2_IMPORTAR_EJECUCION'!$J$9:$J$1208,0)),0)-$AI134))</f>
        <v/>
      </c>
      <c r="AK134" s="10">
        <f>IF($A134="","",$AI134+$AJ134)</f>
        <v/>
      </c>
      <c r="AL134" s="6" t="inlineStr"/>
      <c r="AM134" s="6" t="inlineStr"/>
      <c r="AN134" s="6" t="inlineStr"/>
      <c r="AO134" s="3">
        <f>IF($AN134="","",HYPERLINK(p_ruta_base_checklists&amp;$AN134,"abrir"))</f>
        <v/>
      </c>
      <c r="AP134" s="6" t="inlineStr"/>
      <c r="AQ134" s="3">
        <f>IF($A134="","",$A134&amp;IF($B134="","0010",$B134))</f>
        <v/>
      </c>
    </row>
    <row r="135">
      <c r="A135" s="3" t="inlineStr">
        <is>
          <t>OT-000132</t>
        </is>
      </c>
      <c r="B135" s="3" t="inlineStr">
        <is>
          <t>0010</t>
        </is>
      </c>
      <c r="C135" s="3" t="inlineStr">
        <is>
          <t>Reparación de falla — EQ-106</t>
        </is>
      </c>
      <c r="D135" s="3" t="inlineStr">
        <is>
          <t>Reparación de falla en EQ-106</t>
        </is>
      </c>
      <c r="E135" s="3" t="inlineStr">
        <is>
          <t>EQ-106</t>
        </is>
      </c>
      <c r="F135" s="3" t="inlineStr">
        <is>
          <t>CC-210</t>
        </is>
      </c>
      <c r="G135" s="3" t="inlineStr">
        <is>
          <t>PU-OP</t>
        </is>
      </c>
      <c r="H135" s="3" t="inlineStr">
        <is>
          <t>ACT-03</t>
        </is>
      </c>
      <c r="I135" s="3" t="inlineStr">
        <is>
          <t>TIPO-C1</t>
        </is>
      </c>
      <c r="J135" s="11" t="n">
        <v>46229</v>
      </c>
      <c r="K135" s="3" t="n">
        <v>8</v>
      </c>
      <c r="L135" s="10" t="n">
        <v>320</v>
      </c>
      <c r="M135" s="3">
        <f>IF($A135="","",IFERROR(INDEX('AJUSTES'!$B$4:$B$303,MATCH($AQ135,'AJUSTES'!$A$4:$A$303,0)),IF($K135="","",$K135)))</f>
        <v/>
      </c>
      <c r="N135" s="3">
        <f>IF($A135="","",IFERROR(INDEX('CAT_ESTADOS_ERP'!$B$4:$B$7,MATCH(IFERROR(INDEX('2_IMPORTAR_EJECUCION'!$C$9:$C$1208,MATCH($AQ135,'2_IMPORTAR_EJECUCION'!$J$9:$J$1208,0)),""),'CAT_ESTADOS_ERP'!$A$4:$A$7,0)),"Pendiente"))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J135="","",IFERROR(INDEX('CALENDARIO'!$C$15:$C$214,MATCH(TEXT($J135,"yyyy-mm-dd")&amp;"|"&amp;$V135&amp;"|"&amp;$W135,'CALENDARIO'!$G$15:$G$214,0)),IFERROR(INDEX('CALENDARIO'!$C$15:$C$214,MATCH(TEXT($J135,"yyyy-mm-dd")&amp;"|"&amp;$V135&amp;"|",'CALENDARIO'!$G$15:$G$214,0)),IFERROR(INDEX('CALENDARIO'!$C$15:$C$214,MATCH(TEXT($J135,"yyyy-mm-dd")&amp;"||",'CALENDARIO'!$G$15:$G$214,0)),INDEX(patronHabil,WEEKDAY($J135,2))))))</f>
        <v/>
      </c>
      <c r="T135" s="3">
        <f>IF($I135="","",IFERROR(INDEX('CAT_TIPOS_OT'!$C$4:$C$7,MATCH($I135,'CAT_TIPOS_OT'!$A$4:$A$7,0)),"sin_clasificar"))</f>
        <v/>
      </c>
      <c r="U135" s="3">
        <f>IF($F135="","",IFERROR(INDEX('CAT_CENTROS_COSTO'!$F$4:$F$13,MATCH($F135,'CAT_CENTROS_COSTO'!$A$4:$A$13,0)),"(sin catálogo)"))</f>
        <v/>
      </c>
      <c r="V135" s="3">
        <f>IF($F135="","",IFERROR(INDEX('CAT_CENTROS_COSTO'!$D$4:$D$13,MATCH($F135,'CAT_CENTROS_COSTO'!$A$4:$A$13,0)),"(sin catálogo)"))</f>
        <v/>
      </c>
      <c r="W135" s="3">
        <f>IF($F135="","",IF((IFERROR(INDEX('CAT_CENTROS_COSTO'!$E$4:$E$13,MATCH($F135,'CAT_CENTROS_COSTO'!$A$4:$A$13,0)),""))&lt;&gt;"",IFERROR(INDEX('CAT_CENTROS_COSTO'!$E$4:$E$13,MATCH($F135,'CAT_CENTROS_COSTO'!$A$4:$A$13,0)),""),$V135))</f>
        <v/>
      </c>
      <c r="X135" s="3">
        <f>IF($F135="","",IFERROR(INDEX('CAT_CENTROS_COSTO'!$G$4:$G$13,MATCH($F135,'CAT_CENTROS_COSTO'!$A$4:$A$13,0)),"(sin catálogo)"))</f>
        <v/>
      </c>
      <c r="Y135" s="3">
        <f>IF($G135="","",IFERROR(INDEX('CAT_PUESTOS'!$B$4:$B$8,MATCH($G135,'CAT_PUESTOS'!$A$4:$A$8,0)),"(sin catálogo)"))</f>
        <v/>
      </c>
      <c r="Z135" s="3">
        <f>IF($H135="","",IFERROR(INDEX('CAT_ACTIVIDADES'!$B$4:$B$8,MATCH($H135,'CAT_ACTIVIDADES'!$A$4:$A$8,0)),"(sin catálogo)"))</f>
        <v/>
      </c>
      <c r="AA135" s="12">
        <f>IF($J135="","",TODAY()-$J135)</f>
        <v/>
      </c>
      <c r="AB135" s="12">
        <f>IF($J135="","",IF($J135&lt;=TODAY(),COUNTIFS(cal_fechas,"&gt;="&amp;$J135,cal_fechas,"&lt;"&amp;TODAY(),cal_habil,"sí"),-COUNTIFS(cal_fechas,"&gt;="&amp;TODAY(),cal_fechas,"&lt;"&amp;$J135,cal_habil,"sí")))</f>
        <v/>
      </c>
      <c r="AC135" s="3">
        <f>IF($AB135="","",IF($AB135&lt;0,"FUTURO",IF($AB135&gt;p_dias_backlog_max,"BACKLOG","MES CORRIENTE")))</f>
        <v/>
      </c>
      <c r="AD135" s="3">
        <f>IF($AB135="",FALSE,AND($AB135&gt;p_dias_backlog_min,$AB135&lt;=p_dias_backlog_max))</f>
        <v/>
      </c>
      <c r="AE135" s="6" t="inlineStr"/>
      <c r="AF135" s="3">
        <f>IF($AE135="","",IF((IFERROR(INDEX('ASIGNACIONES'!$F$4:$F$339,MATCH($O135&amp;"|"&amp;$R135&amp;"|"&amp;$AE135,'ASIGNACIONES'!$J$4:$J$339,0)),""))=0,"",IFERROR(INDEX('ASIGNACIONES'!$F$4:$F$339,MATCH($O135&amp;"|"&amp;$R135&amp;"|"&amp;$AE135,'ASIGNACIONES'!$J$4:$J$339,0)),"")))</f>
        <v/>
      </c>
      <c r="AG135" s="13">
        <f>IF($AE135="","",SUMIFS('ORDENES'!$M$4:$M$1203,'ORDENES'!$AE$4:$AE$1203,$AE135,'ORDENES'!$O$4:$O$1203,$O135,'ORDENES'!$R$4:$R$1203,$R135))</f>
        <v/>
      </c>
      <c r="AH135" s="13">
        <f>IF($AG135="","",p_factor_productividad*IFERROR(INDEX('ASIGNACIONES'!$I$4:$I$339,MATCH($O135&amp;"|"&amp;$R135&amp;"|"&amp;$AE135,'ASIGNACIONES'!$J$4:$J$339,0)),0)-$AG135)</f>
        <v/>
      </c>
      <c r="AI135" s="10">
        <f>IF($A135="","",IFERROR(INDEX('2_IMPORTAR_EJECUCION'!$F$9:$F$1208,MATCH($AQ135,'2_IMPORTAR_EJECUCION'!$J$9:$J$1208,0)),0))</f>
        <v/>
      </c>
      <c r="AJ135" s="10">
        <f>IF($A135="","",MAX(0,IFERROR(INDEX('2_IMPORTAR_EJECUCION'!$H$9:$H$1208,MATCH($AQ135,'2_IMPORTAR_EJECUCION'!$J$9:$J$1208,0)),0)-$AI135))</f>
        <v/>
      </c>
      <c r="AK135" s="10">
        <f>IF($A135="","",$AI135+$AJ135)</f>
        <v/>
      </c>
      <c r="AL135" s="6" t="inlineStr"/>
      <c r="AM135" s="6" t="inlineStr"/>
      <c r="AN135" s="6" t="inlineStr"/>
      <c r="AO135" s="3">
        <f>IF($AN135="","",HYPERLINK(p_ruta_base_checklists&amp;$AN135,"abrir"))</f>
        <v/>
      </c>
      <c r="AP135" s="6" t="inlineStr"/>
      <c r="AQ135" s="3">
        <f>IF($A135="","",$A135&amp;IF($B135="","0010",$B135))</f>
        <v/>
      </c>
    </row>
    <row r="136">
      <c r="A136" s="3" t="inlineStr">
        <is>
          <t>OT-000133</t>
        </is>
      </c>
      <c r="B136" s="3" t="inlineStr">
        <is>
          <t>0010</t>
        </is>
      </c>
      <c r="C136" s="3" t="inlineStr">
        <is>
          <t>Lubricación programada — EQ-111</t>
        </is>
      </c>
      <c r="D136" s="3" t="inlineStr">
        <is>
          <t>Mantenimiento especial de CO2 (domingo laborable)</t>
        </is>
      </c>
      <c r="E136" s="3" t="inlineStr">
        <is>
          <t>EQ-111</t>
        </is>
      </c>
      <c r="F136" s="3" t="inlineStr">
        <is>
          <t>CC-330</t>
        </is>
      </c>
      <c r="G136" s="3" t="inlineStr">
        <is>
          <t>PU-OP</t>
        </is>
      </c>
      <c r="H136" s="3" t="inlineStr">
        <is>
          <t>ACT-02</t>
        </is>
      </c>
      <c r="I136" s="3" t="inlineStr">
        <is>
          <t>TIPO-P1</t>
        </is>
      </c>
      <c r="J136" s="11" t="n">
        <v>46236</v>
      </c>
      <c r="K136" s="3" t="n">
        <v>6</v>
      </c>
      <c r="L136" s="10" t="n">
        <v>150</v>
      </c>
      <c r="M136" s="3">
        <f>IF($A136="","",IFERROR(INDEX('AJUSTES'!$B$4:$B$303,MATCH($AQ136,'AJUSTES'!$A$4:$A$303,0)),IF($K136="","",$K136)))</f>
        <v/>
      </c>
      <c r="N136" s="3">
        <f>IF($A136="","",IFERROR(INDEX('CAT_ESTADOS_ERP'!$B$4:$B$7,MATCH(IFERROR(INDEX('2_IMPORTAR_EJECUCION'!$C$9:$C$1208,MATCH($AQ136,'2_IMPORTAR_EJECUCION'!$J$9:$J$1208,0)),""),'CAT_ESTADOS_ERP'!$A$4:$A$7,0)),"Pendiente"))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J136="","",IFERROR(INDEX('CALENDARIO'!$C$15:$C$214,MATCH(TEXT($J136,"yyyy-mm-dd")&amp;"|"&amp;$V136&amp;"|"&amp;$W136,'CALENDARIO'!$G$15:$G$214,0)),IFERROR(INDEX('CALENDARIO'!$C$15:$C$214,MATCH(TEXT($J136,"yyyy-mm-dd")&amp;"|"&amp;$V136&amp;"|",'CALENDARIO'!$G$15:$G$214,0)),IFERROR(INDEX('CALENDARIO'!$C$15:$C$214,MATCH(TEXT($J136,"yyyy-mm-dd")&amp;"||",'CALENDARIO'!$G$15:$G$214,0)),INDEX(patronHabil,WEEKDAY($J136,2))))))</f>
        <v/>
      </c>
      <c r="T136" s="3">
        <f>IF($I136="","",IFERROR(INDEX('CAT_TIPOS_OT'!$C$4:$C$7,MATCH($I136,'CAT_TIPOS_OT'!$A$4:$A$7,0)),"sin_clasificar"))</f>
        <v/>
      </c>
      <c r="U136" s="3">
        <f>IF($F136="","",IFERROR(INDEX('CAT_CENTROS_COSTO'!$F$4:$F$13,MATCH($F136,'CAT_CENTROS_COSTO'!$A$4:$A$13,0)),"(sin catálogo)"))</f>
        <v/>
      </c>
      <c r="V136" s="3">
        <f>IF($F136="","",IFERROR(INDEX('CAT_CENTROS_COSTO'!$D$4:$D$13,MATCH($F136,'CAT_CENTROS_COSTO'!$A$4:$A$13,0)),"(sin catálogo)"))</f>
        <v/>
      </c>
      <c r="W136" s="3">
        <f>IF($F136="","",IF((IFERROR(INDEX('CAT_CENTROS_COSTO'!$E$4:$E$13,MATCH($F136,'CAT_CENTROS_COSTO'!$A$4:$A$13,0)),""))&lt;&gt;"",IFERROR(INDEX('CAT_CENTROS_COSTO'!$E$4:$E$13,MATCH($F136,'CAT_CENTROS_COSTO'!$A$4:$A$13,0)),""),$V136))</f>
        <v/>
      </c>
      <c r="X136" s="3">
        <f>IF($F136="","",IFERROR(INDEX('CAT_CENTROS_COSTO'!$G$4:$G$13,MATCH($F136,'CAT_CENTROS_COSTO'!$A$4:$A$13,0)),"(sin catálogo)"))</f>
        <v/>
      </c>
      <c r="Y136" s="3">
        <f>IF($G136="","",IFERROR(INDEX('CAT_PUESTOS'!$B$4:$B$8,MATCH($G136,'CAT_PUESTOS'!$A$4:$A$8,0)),"(sin catálogo)"))</f>
        <v/>
      </c>
      <c r="Z136" s="3">
        <f>IF($H136="","",IFERROR(INDEX('CAT_ACTIVIDADES'!$B$4:$B$8,MATCH($H136,'CAT_ACTIVIDADES'!$A$4:$A$8,0)),"(sin catálogo)"))</f>
        <v/>
      </c>
      <c r="AA136" s="12">
        <f>IF($J136="","",TODAY()-$J136)</f>
        <v/>
      </c>
      <c r="AB136" s="12">
        <f>IF($J136="","",IF($J136&lt;=TODAY(),COUNTIFS(cal_fechas,"&gt;="&amp;$J136,cal_fechas,"&lt;"&amp;TODAY(),cal_habil,"sí"),-COUNTIFS(cal_fechas,"&gt;="&amp;TODAY(),cal_fechas,"&lt;"&amp;$J136,cal_habil,"sí")))</f>
        <v/>
      </c>
      <c r="AC136" s="3">
        <f>IF($AB136="","",IF($AB136&lt;0,"FUTURO",IF($AB136&gt;p_dias_backlog_max,"BACKLOG","MES CORRIENTE")))</f>
        <v/>
      </c>
      <c r="AD136" s="3">
        <f>IF($AB136="",FALSE,AND($AB136&gt;p_dias_backlog_min,$AB136&lt;=p_dias_backlog_max))</f>
        <v/>
      </c>
      <c r="AE136" s="6" t="inlineStr">
        <is>
          <t>Técnico 12</t>
        </is>
      </c>
      <c r="AF136" s="3">
        <f>IF($AE136="","",IF((IFERROR(INDEX('ASIGNACIONES'!$F$4:$F$339,MATCH($O136&amp;"|"&amp;$R136&amp;"|"&amp;$AE136,'ASIGNACIONES'!$J$4:$J$339,0)),""))=0,"",IFERROR(INDEX('ASIGNACIONES'!$F$4:$F$339,MATCH($O136&amp;"|"&amp;$R136&amp;"|"&amp;$AE136,'ASIGNACIONES'!$J$4:$J$339,0)),"")))</f>
        <v/>
      </c>
      <c r="AG136" s="13">
        <f>IF($AE136="","",SUMIFS('ORDENES'!$M$4:$M$1203,'ORDENES'!$AE$4:$AE$1203,$AE136,'ORDENES'!$O$4:$O$1203,$O136,'ORDENES'!$R$4:$R$1203,$R136))</f>
        <v/>
      </c>
      <c r="AH136" s="13">
        <f>IF($AG136="","",p_factor_productividad*IFERROR(INDEX('ASIGNACIONES'!$I$4:$I$339,MATCH($O136&amp;"|"&amp;$R136&amp;"|"&amp;$AE136,'ASIGNACIONES'!$J$4:$J$339,0)),0)-$AG136)</f>
        <v/>
      </c>
      <c r="AI136" s="10">
        <f>IF($A136="","",IFERROR(INDEX('2_IMPORTAR_EJECUCION'!$F$9:$F$1208,MATCH($AQ136,'2_IMPORTAR_EJECUCION'!$J$9:$J$1208,0)),0))</f>
        <v/>
      </c>
      <c r="AJ136" s="10">
        <f>IF($A136="","",MAX(0,IFERROR(INDEX('2_IMPORTAR_EJECUCION'!$H$9:$H$1208,MATCH($AQ136,'2_IMPORTAR_EJECUCION'!$J$9:$J$1208,0)),0)-$AI136))</f>
        <v/>
      </c>
      <c r="AK136" s="10">
        <f>IF($A136="","",$AI136+$AJ136)</f>
        <v/>
      </c>
      <c r="AL136" s="6" t="inlineStr"/>
      <c r="AM136" s="6" t="inlineStr"/>
      <c r="AN136" s="6" t="inlineStr"/>
      <c r="AO136" s="3">
        <f>IF($AN136="","",HYPERLINK(p_ruta_base_checklists&amp;$AN136,"abrir"))</f>
        <v/>
      </c>
      <c r="AP136" s="6" t="inlineStr"/>
      <c r="AQ136" s="3">
        <f>IF($A136="","",$A136&amp;IF($B136="","0010",$B136))</f>
        <v/>
      </c>
    </row>
    <row r="137">
      <c r="A137" s="3" t="inlineStr">
        <is>
          <t>OT-000001</t>
        </is>
      </c>
      <c r="B137" s="3" t="inlineStr">
        <is>
          <t>0020</t>
        </is>
      </c>
      <c r="C137" s="3" t="inlineStr">
        <is>
          <t>Lubricación programada — EQ-102</t>
        </is>
      </c>
      <c r="D137" s="3" t="inlineStr">
        <is>
          <t>Segunda operación — EQ-102</t>
        </is>
      </c>
      <c r="E137" s="3" t="inlineStr">
        <is>
          <t>EQ-102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ACT-02</t>
        </is>
      </c>
      <c r="I137" s="3" t="inlineStr">
        <is>
          <t>TIPO-P2</t>
        </is>
      </c>
      <c r="J137" s="11" t="n">
        <v>46216</v>
      </c>
      <c r="K137" s="3" t="n">
        <v>2</v>
      </c>
      <c r="L137" s="10" t="n">
        <v>50</v>
      </c>
      <c r="M137" s="3">
        <f>IF($A137="","",IFERROR(INDEX('AJUSTES'!$B$4:$B$303,MATCH($AQ137,'AJUSTES'!$A$4:$A$303,0)),IF($K137="","",$K137)))</f>
        <v/>
      </c>
      <c r="N137" s="3">
        <f>IF($A137="","",IFERROR(INDEX('CAT_ESTADOS_ERP'!$B$4:$B$7,MATCH(IFERROR(INDEX('2_IMPORTAR_EJECUCION'!$C$9:$C$1208,MATCH($AQ137,'2_IMPORTAR_EJECUCION'!$J$9:$J$1208,0)),""),'CAT_ESTADOS_ERP'!$A$4:$A$7,0)),"Pendiente"))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J137="","",IFERROR(INDEX('CALENDARIO'!$C$15:$C$214,MATCH(TEXT($J137,"yyyy-mm-dd")&amp;"|"&amp;$V137&amp;"|"&amp;$W137,'CALENDARIO'!$G$15:$G$214,0)),IFERROR(INDEX('CALENDARIO'!$C$15:$C$214,MATCH(TEXT($J137,"yyyy-mm-dd")&amp;"|"&amp;$V137&amp;"|",'CALENDARIO'!$G$15:$G$214,0)),IFERROR(INDEX('CALENDARIO'!$C$15:$C$214,MATCH(TEXT($J137,"yyyy-mm-dd")&amp;"||",'CALENDARIO'!$G$15:$G$214,0)),INDEX(patronHabil,WEEKDAY($J137,2))))))</f>
        <v/>
      </c>
      <c r="T137" s="3">
        <f>IF($I137="","",IFERROR(INDEX('CAT_TIPOS_OT'!$C$4:$C$7,MATCH($I137,'CAT_TIPOS_OT'!$A$4:$A$7,0)),"sin_clasificar"))</f>
        <v/>
      </c>
      <c r="U137" s="3">
        <f>IF($F137="","",IFERROR(INDEX('CAT_CENTROS_COSTO'!$F$4:$F$13,MATCH($F137,'CAT_CENTROS_COSTO'!$A$4:$A$13,0)),"(sin catálogo)"))</f>
        <v/>
      </c>
      <c r="V137" s="3">
        <f>IF($F137="","",IFERROR(INDEX('CAT_CENTROS_COSTO'!$D$4:$D$13,MATCH($F137,'CAT_CENTROS_COSTO'!$A$4:$A$13,0)),"(sin catálogo)"))</f>
        <v/>
      </c>
      <c r="W137" s="3">
        <f>IF($F137="","",IF((IFERROR(INDEX('CAT_CENTROS_COSTO'!$E$4:$E$13,MATCH($F137,'CAT_CENTROS_COSTO'!$A$4:$A$13,0)),""))&lt;&gt;"",IFERROR(INDEX('CAT_CENTROS_COSTO'!$E$4:$E$13,MATCH($F137,'CAT_CENTROS_COSTO'!$A$4:$A$13,0)),""),$V137))</f>
        <v/>
      </c>
      <c r="X137" s="3">
        <f>IF($F137="","",IFERROR(INDEX('CAT_CENTROS_COSTO'!$G$4:$G$13,MATCH($F137,'CAT_CENTROS_COSTO'!$A$4:$A$13,0)),"(sin catálogo)"))</f>
        <v/>
      </c>
      <c r="Y137" s="3">
        <f>IF($G137="","",IFERROR(INDEX('CAT_PUESTOS'!$B$4:$B$8,MATCH($G137,'CAT_PUESTOS'!$A$4:$A$8,0)),"(sin catálogo)"))</f>
        <v/>
      </c>
      <c r="Z137" s="3">
        <f>IF($H137="","",IFERROR(INDEX('CAT_ACTIVIDADES'!$B$4:$B$8,MATCH($H137,'CAT_ACTIVIDADES'!$A$4:$A$8,0)),"(sin catálogo)"))</f>
        <v/>
      </c>
      <c r="AA137" s="12">
        <f>IF($J137="","",TODAY()-$J137)</f>
        <v/>
      </c>
      <c r="AB137" s="12">
        <f>IF($J137="","",IF($J137&lt;=TODAY(),COUNTIFS(cal_fechas,"&gt;="&amp;$J137,cal_fechas,"&lt;"&amp;TODAY(),cal_habil,"sí"),-COUNTIFS(cal_fechas,"&gt;="&amp;TODAY(),cal_fechas,"&lt;"&amp;$J137,cal_habil,"sí")))</f>
        <v/>
      </c>
      <c r="AC137" s="3">
        <f>IF($AB137="","",IF($AB137&lt;0,"FUTURO",IF($AB137&gt;p_dias_backlog_max,"BACKLOG","MES CORRIENTE")))</f>
        <v/>
      </c>
      <c r="AD137" s="3">
        <f>IF($AB137="",FALSE,AND($AB137&gt;p_dias_backlog_min,$AB137&lt;=p_dias_backlog_max))</f>
        <v/>
      </c>
      <c r="AE137" s="6" t="inlineStr">
        <is>
          <t>Técnico 01</t>
        </is>
      </c>
      <c r="AF137" s="3">
        <f>IF($AE137="","",IF((IFERROR(INDEX('ASIGNACIONES'!$F$4:$F$339,MATCH($O137&amp;"|"&amp;$R137&amp;"|"&amp;$AE137,'ASIGNACIONES'!$J$4:$J$339,0)),""))=0,"",IFERROR(INDEX('ASIGNACIONES'!$F$4:$F$339,MATCH($O137&amp;"|"&amp;$R137&amp;"|"&amp;$AE137,'ASIGNACIONES'!$J$4:$J$339,0)),"")))</f>
        <v/>
      </c>
      <c r="AG137" s="13">
        <f>IF($AE137="","",SUMIFS('ORDENES'!$M$4:$M$1203,'ORDENES'!$AE$4:$AE$1203,$AE137,'ORDENES'!$O$4:$O$1203,$O137,'ORDENES'!$R$4:$R$1203,$R137))</f>
        <v/>
      </c>
      <c r="AH137" s="13">
        <f>IF($AG137="","",p_factor_productividad*IFERROR(INDEX('ASIGNACIONES'!$I$4:$I$339,MATCH($O137&amp;"|"&amp;$R137&amp;"|"&amp;$AE137,'ASIGNACIONES'!$J$4:$J$339,0)),0)-$AG137)</f>
        <v/>
      </c>
      <c r="AI137" s="10">
        <f>IF($A137="","",IFERROR(INDEX('2_IMPORTAR_EJECUCION'!$F$9:$F$1208,MATCH($AQ137,'2_IMPORTAR_EJECUCION'!$J$9:$J$1208,0)),0))</f>
        <v/>
      </c>
      <c r="AJ137" s="10">
        <f>IF($A137="","",MAX(0,IFERROR(INDEX('2_IMPORTAR_EJECUCION'!$H$9:$H$1208,MATCH($AQ137,'2_IMPORTAR_EJECUCION'!$J$9:$J$1208,0)),0)-$AI137))</f>
        <v/>
      </c>
      <c r="AK137" s="10">
        <f>IF($A137="","",$AI137+$AJ137)</f>
        <v/>
      </c>
      <c r="AL137" s="6" t="inlineStr"/>
      <c r="AM137" s="6" t="inlineStr"/>
      <c r="AN137" s="6" t="inlineStr"/>
      <c r="AO137" s="3">
        <f>IF($AN137="","",HYPERLINK(p_ruta_base_checklists&amp;$AN137,"abrir"))</f>
        <v/>
      </c>
      <c r="AP137" s="6" t="inlineStr"/>
      <c r="AQ137" s="3">
        <f>IF($A137="","",$A137&amp;IF($B137="","0010",$B137))</f>
        <v/>
      </c>
    </row>
    <row r="138">
      <c r="A138" s="3" t="inlineStr">
        <is>
          <t>OT-000041</t>
        </is>
      </c>
      <c r="B138" s="3" t="inlineStr">
        <is>
          <t>0020</t>
        </is>
      </c>
      <c r="C138" s="3" t="inlineStr">
        <is>
          <t>Análisis predictivo — EQ-107</t>
        </is>
      </c>
      <c r="D138" s="3" t="inlineStr">
        <is>
          <t>Segunda operación — EQ-107</t>
        </is>
      </c>
      <c r="E138" s="3" t="inlineStr">
        <is>
          <t>EQ-107</t>
        </is>
      </c>
      <c r="F138" s="3" t="inlineStr">
        <is>
          <t>CC-210</t>
        </is>
      </c>
      <c r="G138" s="3" t="inlineStr">
        <is>
          <t>PU-MEC</t>
        </is>
      </c>
      <c r="H138" s="3" t="inlineStr">
        <is>
          <t>ACT-04</t>
        </is>
      </c>
      <c r="I138" s="3" t="inlineStr">
        <is>
          <t>TIPO-P2</t>
        </is>
      </c>
      <c r="J138" s="11" t="n">
        <v>46237</v>
      </c>
      <c r="K138" s="3" t="n">
        <v>2</v>
      </c>
      <c r="L138" s="10" t="n">
        <v>50</v>
      </c>
      <c r="M138" s="3">
        <f>IF($A138="","",IFERROR(INDEX('AJUSTES'!$B$4:$B$303,MATCH($AQ138,'AJUSTES'!$A$4:$A$303,0)),IF($K138="","",$K138)))</f>
        <v/>
      </c>
      <c r="N138" s="3">
        <f>IF($A138="","",IFERROR(INDEX('CAT_ESTADOS_ERP'!$B$4:$B$7,MATCH(IFERROR(INDEX('2_IMPORTAR_EJECUCION'!$C$9:$C$1208,MATCH($AQ138,'2_IMPORTAR_EJECUCION'!$J$9:$J$1208,0)),""),'CAT_ESTADOS_ERP'!$A$4:$A$7,0)),"Pendiente"))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J138="","",IFERROR(INDEX('CALENDARIO'!$C$15:$C$214,MATCH(TEXT($J138,"yyyy-mm-dd")&amp;"|"&amp;$V138&amp;"|"&amp;$W138,'CALENDARIO'!$G$15:$G$214,0)),IFERROR(INDEX('CALENDARIO'!$C$15:$C$214,MATCH(TEXT($J138,"yyyy-mm-dd")&amp;"|"&amp;$V138&amp;"|",'CALENDARIO'!$G$15:$G$214,0)),IFERROR(INDEX('CALENDARIO'!$C$15:$C$214,MATCH(TEXT($J138,"yyyy-mm-dd")&amp;"||",'CALENDARIO'!$G$15:$G$214,0)),INDEX(patronHabil,WEEKDAY($J138,2))))))</f>
        <v/>
      </c>
      <c r="T138" s="3">
        <f>IF($I138="","",IFERROR(INDEX('CAT_TIPOS_OT'!$C$4:$C$7,MATCH($I138,'CAT_TIPOS_OT'!$A$4:$A$7,0)),"sin_clasificar"))</f>
        <v/>
      </c>
      <c r="U138" s="3">
        <f>IF($F138="","",IFERROR(INDEX('CAT_CENTROS_COSTO'!$F$4:$F$13,MATCH($F138,'CAT_CENTROS_COSTO'!$A$4:$A$13,0)),"(sin catálogo)"))</f>
        <v/>
      </c>
      <c r="V138" s="3">
        <f>IF($F138="","",IFERROR(INDEX('CAT_CENTROS_COSTO'!$D$4:$D$13,MATCH($F138,'CAT_CENTROS_COSTO'!$A$4:$A$13,0)),"(sin catálogo)"))</f>
        <v/>
      </c>
      <c r="W138" s="3">
        <f>IF($F138="","",IF((IFERROR(INDEX('CAT_CENTROS_COSTO'!$E$4:$E$13,MATCH($F138,'CAT_CENTROS_COSTO'!$A$4:$A$13,0)),""))&lt;&gt;"",IFERROR(INDEX('CAT_CENTROS_COSTO'!$E$4:$E$13,MATCH($F138,'CAT_CENTROS_COSTO'!$A$4:$A$13,0)),""),$V138))</f>
        <v/>
      </c>
      <c r="X138" s="3">
        <f>IF($F138="","",IFERROR(INDEX('CAT_CENTROS_COSTO'!$G$4:$G$13,MATCH($F138,'CAT_CENTROS_COSTO'!$A$4:$A$13,0)),"(sin catálogo)"))</f>
        <v/>
      </c>
      <c r="Y138" s="3">
        <f>IF($G138="","",IFERROR(INDEX('CAT_PUESTOS'!$B$4:$B$8,MATCH($G138,'CAT_PUESTOS'!$A$4:$A$8,0)),"(sin catálogo)"))</f>
        <v/>
      </c>
      <c r="Z138" s="3">
        <f>IF($H138="","",IFERROR(INDEX('CAT_ACTIVIDADES'!$B$4:$B$8,MATCH($H138,'CAT_ACTIVIDADES'!$A$4:$A$8,0)),"(sin catálogo)"))</f>
        <v/>
      </c>
      <c r="AA138" s="12">
        <f>IF($J138="","",TODAY()-$J138)</f>
        <v/>
      </c>
      <c r="AB138" s="12">
        <f>IF($J138="","",IF($J138&lt;=TODAY(),COUNTIFS(cal_fechas,"&gt;="&amp;$J138,cal_fechas,"&lt;"&amp;TODAY(),cal_habil,"sí"),-COUNTIFS(cal_fechas,"&gt;="&amp;TODAY(),cal_fechas,"&lt;"&amp;$J138,cal_habil,"sí")))</f>
        <v/>
      </c>
      <c r="AC138" s="3">
        <f>IF($AB138="","",IF($AB138&lt;0,"FUTURO",IF($AB138&gt;p_dias_backlog_max,"BACKLOG","MES CORRIENTE")))</f>
        <v/>
      </c>
      <c r="AD138" s="3">
        <f>IF($AB138="",FALSE,AND($AB138&gt;p_dias_backlog_min,$AB138&lt;=p_dias_backlog_max))</f>
        <v/>
      </c>
      <c r="AE138" s="6" t="inlineStr">
        <is>
          <t>Técnico 01</t>
        </is>
      </c>
      <c r="AF138" s="3">
        <f>IF($AE138="","",IF((IFERROR(INDEX('ASIGNACIONES'!$F$4:$F$339,MATCH($O138&amp;"|"&amp;$R138&amp;"|"&amp;$AE138,'ASIGNACIONES'!$J$4:$J$339,0)),""))=0,"",IFERROR(INDEX('ASIGNACIONES'!$F$4:$F$339,MATCH($O138&amp;"|"&amp;$R138&amp;"|"&amp;$AE138,'ASIGNACIONES'!$J$4:$J$339,0)),"")))</f>
        <v/>
      </c>
      <c r="AG138" s="13">
        <f>IF($AE138="","",SUMIFS('ORDENES'!$M$4:$M$1203,'ORDENES'!$AE$4:$AE$1203,$AE138,'ORDENES'!$O$4:$O$1203,$O138,'ORDENES'!$R$4:$R$1203,$R138))</f>
        <v/>
      </c>
      <c r="AH138" s="13">
        <f>IF($AG138="","",p_factor_productividad*IFERROR(INDEX('ASIGNACIONES'!$I$4:$I$339,MATCH($O138&amp;"|"&amp;$R138&amp;"|"&amp;$AE138,'ASIGNACIONES'!$J$4:$J$339,0)),0)-$AG138)</f>
        <v/>
      </c>
      <c r="AI138" s="10">
        <f>IF($A138="","",IFERROR(INDEX('2_IMPORTAR_EJECUCION'!$F$9:$F$1208,MATCH($AQ138,'2_IMPORTAR_EJECUCION'!$J$9:$J$1208,0)),0))</f>
        <v/>
      </c>
      <c r="AJ138" s="10">
        <f>IF($A138="","",MAX(0,IFERROR(INDEX('2_IMPORTAR_EJECUCION'!$H$9:$H$1208,MATCH($AQ138,'2_IMPORTAR_EJECUCION'!$J$9:$J$1208,0)),0)-$AI138))</f>
        <v/>
      </c>
      <c r="AK138" s="10">
        <f>IF($A138="","",$AI138+$AJ138)</f>
        <v/>
      </c>
      <c r="AL138" s="6" t="inlineStr"/>
      <c r="AM138" s="6" t="inlineStr"/>
      <c r="AN138" s="6" t="inlineStr"/>
      <c r="AO138" s="3">
        <f>IF($AN138="","",HYPERLINK(p_ruta_base_checklists&amp;$AN138,"abrir"))</f>
        <v/>
      </c>
      <c r="AP138" s="6" t="inlineStr"/>
      <c r="AQ138" s="3">
        <f>IF($A138="","",$A138&amp;IF($B138="","0010",$B138))</f>
        <v/>
      </c>
    </row>
    <row r="139">
      <c r="A139" s="3" t="inlineStr">
        <is>
          <t>OT-000081</t>
        </is>
      </c>
      <c r="B139" s="3" t="inlineStr">
        <is>
          <t>0020</t>
        </is>
      </c>
      <c r="C139" s="3" t="inlineStr">
        <is>
          <t>Inspección de rutina — EQ-102</t>
        </is>
      </c>
      <c r="D139" s="3" t="inlineStr">
        <is>
          <t>Segunda operación — EQ-102</t>
        </is>
      </c>
      <c r="E139" s="3" t="inlineStr">
        <is>
          <t>EQ-102</t>
        </is>
      </c>
      <c r="F139" s="3" t="inlineStr">
        <is>
          <t>CC-120</t>
        </is>
      </c>
      <c r="G139" s="3" t="inlineStr">
        <is>
          <t>PU-ELE</t>
        </is>
      </c>
      <c r="H139" s="3" t="inlineStr">
        <is>
          <t>ACT-01</t>
        </is>
      </c>
      <c r="I139" s="3" t="inlineStr">
        <is>
          <t>TIPO-P2</t>
        </is>
      </c>
      <c r="J139" s="11" t="n">
        <v>46237</v>
      </c>
      <c r="K139" s="3" t="n">
        <v>2</v>
      </c>
      <c r="L139" s="10" t="n">
        <v>50</v>
      </c>
      <c r="M139" s="3">
        <f>IF($A139="","",IFERROR(INDEX('AJUSTES'!$B$4:$B$303,MATCH($AQ139,'AJUSTES'!$A$4:$A$303,0)),IF($K139="","",$K139)))</f>
        <v/>
      </c>
      <c r="N139" s="3">
        <f>IF($A139="","",IFERROR(INDEX('CAT_ESTADOS_ERP'!$B$4:$B$7,MATCH(IFERROR(INDEX('2_IMPORTAR_EJECUCION'!$C$9:$C$1208,MATCH($AQ139,'2_IMPORTAR_EJECUCION'!$J$9:$J$1208,0)),""),'CAT_ESTADOS_ERP'!$A$4:$A$7,0)),"Pendiente"))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J139="","",IFERROR(INDEX('CALENDARIO'!$C$15:$C$214,MATCH(TEXT($J139,"yyyy-mm-dd")&amp;"|"&amp;$V139&amp;"|"&amp;$W139,'CALENDARIO'!$G$15:$G$214,0)),IFERROR(INDEX('CALENDARIO'!$C$15:$C$214,MATCH(TEXT($J139,"yyyy-mm-dd")&amp;"|"&amp;$V139&amp;"|",'CALENDARIO'!$G$15:$G$214,0)),IFERROR(INDEX('CALENDARIO'!$C$15:$C$214,MATCH(TEXT($J139,"yyyy-mm-dd")&amp;"||",'CALENDARIO'!$G$15:$G$214,0)),INDEX(patronHabil,WEEKDAY($J139,2))))))</f>
        <v/>
      </c>
      <c r="T139" s="3">
        <f>IF($I139="","",IFERROR(INDEX('CAT_TIPOS_OT'!$C$4:$C$7,MATCH($I139,'CAT_TIPOS_OT'!$A$4:$A$7,0)),"sin_clasificar"))</f>
        <v/>
      </c>
      <c r="U139" s="3">
        <f>IF($F139="","",IFERROR(INDEX('CAT_CENTROS_COSTO'!$F$4:$F$13,MATCH($F139,'CAT_CENTROS_COSTO'!$A$4:$A$13,0)),"(sin catálogo)"))</f>
        <v/>
      </c>
      <c r="V139" s="3">
        <f>IF($F139="","",IFERROR(INDEX('CAT_CENTROS_COSTO'!$D$4:$D$13,MATCH($F139,'CAT_CENTROS_COSTO'!$A$4:$A$13,0)),"(sin catálogo)"))</f>
        <v/>
      </c>
      <c r="W139" s="3">
        <f>IF($F139="","",IF((IFERROR(INDEX('CAT_CENTROS_COSTO'!$E$4:$E$13,MATCH($F139,'CAT_CENTROS_COSTO'!$A$4:$A$13,0)),""))&lt;&gt;"",IFERROR(INDEX('CAT_CENTROS_COSTO'!$E$4:$E$13,MATCH($F139,'CAT_CENTROS_COSTO'!$A$4:$A$13,0)),""),$V139))</f>
        <v/>
      </c>
      <c r="X139" s="3">
        <f>IF($F139="","",IFERROR(INDEX('CAT_CENTROS_COSTO'!$G$4:$G$13,MATCH($F139,'CAT_CENTROS_COSTO'!$A$4:$A$13,0)),"(sin catálogo)"))</f>
        <v/>
      </c>
      <c r="Y139" s="3">
        <f>IF($G139="","",IFERROR(INDEX('CAT_PUESTOS'!$B$4:$B$8,MATCH($G139,'CAT_PUESTOS'!$A$4:$A$8,0)),"(sin catálogo)"))</f>
        <v/>
      </c>
      <c r="Z139" s="3">
        <f>IF($H139="","",IFERROR(INDEX('CAT_ACTIVIDADES'!$B$4:$B$8,MATCH($H139,'CAT_ACTIVIDADES'!$A$4:$A$8,0)),"(sin catálogo)"))</f>
        <v/>
      </c>
      <c r="AA139" s="12">
        <f>IF($J139="","",TODAY()-$J139)</f>
        <v/>
      </c>
      <c r="AB139" s="12">
        <f>IF($J139="","",IF($J139&lt;=TODAY(),COUNTIFS(cal_fechas,"&gt;="&amp;$J139,cal_fechas,"&lt;"&amp;TODAY(),cal_habil,"sí"),-COUNTIFS(cal_fechas,"&gt;="&amp;TODAY(),cal_fechas,"&lt;"&amp;$J139,cal_habil,"sí")))</f>
        <v/>
      </c>
      <c r="AC139" s="3">
        <f>IF($AB139="","",IF($AB139&lt;0,"FUTURO",IF($AB139&gt;p_dias_backlog_max,"BACKLOG","MES CORRIENTE")))</f>
        <v/>
      </c>
      <c r="AD139" s="3">
        <f>IF($AB139="",FALSE,AND($AB139&gt;p_dias_backlog_min,$AB139&lt;=p_dias_backlog_max))</f>
        <v/>
      </c>
      <c r="AE139" s="6" t="inlineStr">
        <is>
          <t>Técnico 07</t>
        </is>
      </c>
      <c r="AF139" s="3">
        <f>IF($AE139="","",IF((IFERROR(INDEX('ASIGNACIONES'!$F$4:$F$339,MATCH($O139&amp;"|"&amp;$R139&amp;"|"&amp;$AE139,'ASIGNACIONES'!$J$4:$J$339,0)),""))=0,"",IFERROR(INDEX('ASIGNACIONES'!$F$4:$F$339,MATCH($O139&amp;"|"&amp;$R139&amp;"|"&amp;$AE139,'ASIGNACIONES'!$J$4:$J$339,0)),"")))</f>
        <v/>
      </c>
      <c r="AG139" s="13">
        <f>IF($AE139="","",SUMIFS('ORDENES'!$M$4:$M$1203,'ORDENES'!$AE$4:$AE$1203,$AE139,'ORDENES'!$O$4:$O$1203,$O139,'ORDENES'!$R$4:$R$1203,$R139))</f>
        <v/>
      </c>
      <c r="AH139" s="13">
        <f>IF($AG139="","",p_factor_productividad*IFERROR(INDEX('ASIGNACIONES'!$I$4:$I$339,MATCH($O139&amp;"|"&amp;$R139&amp;"|"&amp;$AE139,'ASIGNACIONES'!$J$4:$J$339,0)),0)-$AG139)</f>
        <v/>
      </c>
      <c r="AI139" s="10">
        <f>IF($A139="","",IFERROR(INDEX('2_IMPORTAR_EJECUCION'!$F$9:$F$1208,MATCH($AQ139,'2_IMPORTAR_EJECUCION'!$J$9:$J$1208,0)),0))</f>
        <v/>
      </c>
      <c r="AJ139" s="10">
        <f>IF($A139="","",MAX(0,IFERROR(INDEX('2_IMPORTAR_EJECUCION'!$H$9:$H$1208,MATCH($AQ139,'2_IMPORTAR_EJECUCION'!$J$9:$J$1208,0)),0)-$AI139))</f>
        <v/>
      </c>
      <c r="AK139" s="10">
        <f>IF($A139="","",$AI139+$AJ139)</f>
        <v/>
      </c>
      <c r="AL139" s="6" t="inlineStr"/>
      <c r="AM139" s="6" t="inlineStr"/>
      <c r="AN139" s="6" t="inlineStr"/>
      <c r="AO139" s="3">
        <f>IF($AN139="","",HYPERLINK(p_ruta_base_checklists&amp;$AN139,"abrir"))</f>
        <v/>
      </c>
      <c r="AP139" s="6" t="inlineStr"/>
      <c r="AQ139" s="3">
        <f>IF($A139="","",$A139&amp;IF($B139="","0010",$B139))</f>
        <v/>
      </c>
    </row>
    <row r="140">
      <c r="A140" s="3" t="inlineStr">
        <is>
          <t>OT-000121</t>
        </is>
      </c>
      <c r="B140" s="3" t="inlineStr">
        <is>
          <t>0020</t>
        </is>
      </c>
      <c r="C140" s="3" t="inlineStr">
        <is>
          <t>Reparación de falla — EQ-102</t>
        </is>
      </c>
      <c r="D140" s="3" t="inlineStr">
        <is>
          <t>Segunda operación — EQ-102</t>
        </is>
      </c>
      <c r="E140" s="3" t="inlineStr">
        <is>
          <t>EQ-102</t>
        </is>
      </c>
      <c r="F140" s="3" t="inlineStr">
        <is>
          <t>CC-120</t>
        </is>
      </c>
      <c r="G140" s="3" t="inlineStr">
        <is>
          <t>PU-OP</t>
        </is>
      </c>
      <c r="H140" s="3" t="inlineStr">
        <is>
          <t>ACT-03</t>
        </is>
      </c>
      <c r="I140" s="3" t="inlineStr">
        <is>
          <t>TIPO-C2</t>
        </is>
      </c>
      <c r="J140" s="11" t="n">
        <v>46230</v>
      </c>
      <c r="K140" s="3" t="n">
        <v>2</v>
      </c>
      <c r="L140" s="10" t="n">
        <v>80</v>
      </c>
      <c r="M140" s="3">
        <f>IF($A140="","",IFERROR(INDEX('AJUSTES'!$B$4:$B$303,MATCH($AQ140,'AJUSTES'!$A$4:$A$303,0)),IF($K140="","",$K140)))</f>
        <v/>
      </c>
      <c r="N140" s="3">
        <f>IF($A140="","",IFERROR(INDEX('CAT_ESTADOS_ERP'!$B$4:$B$7,MATCH(IFERROR(INDEX('2_IMPORTAR_EJECUCION'!$C$9:$C$1208,MATCH($AQ140,'2_IMPORTAR_EJECUCION'!$J$9:$J$1208,0)),""),'CAT_ESTADOS_ERP'!$A$4:$A$7,0)),"Pendiente"))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J140="","",IFERROR(INDEX('CALENDARIO'!$C$15:$C$214,MATCH(TEXT($J140,"yyyy-mm-dd")&amp;"|"&amp;$V140&amp;"|"&amp;$W140,'CALENDARIO'!$G$15:$G$214,0)),IFERROR(INDEX('CALENDARIO'!$C$15:$C$214,MATCH(TEXT($J140,"yyyy-mm-dd")&amp;"|"&amp;$V140&amp;"|",'CALENDARIO'!$G$15:$G$214,0)),IFERROR(INDEX('CALENDARIO'!$C$15:$C$214,MATCH(TEXT($J140,"yyyy-mm-dd")&amp;"||",'CALENDARIO'!$G$15:$G$214,0)),INDEX(patronHabil,WEEKDAY($J140,2))))))</f>
        <v/>
      </c>
      <c r="T140" s="3">
        <f>IF($I140="","",IFERROR(INDEX('CAT_TIPOS_OT'!$C$4:$C$7,MATCH($I140,'CAT_TIPOS_OT'!$A$4:$A$7,0)),"sin_clasificar"))</f>
        <v/>
      </c>
      <c r="U140" s="3">
        <f>IF($F140="","",IFERROR(INDEX('CAT_CENTROS_COSTO'!$F$4:$F$13,MATCH($F140,'CAT_CENTROS_COSTO'!$A$4:$A$13,0)),"(sin catálogo)"))</f>
        <v/>
      </c>
      <c r="V140" s="3">
        <f>IF($F140="","",IFERROR(INDEX('CAT_CENTROS_COSTO'!$D$4:$D$13,MATCH($F140,'CAT_CENTROS_COSTO'!$A$4:$A$13,0)),"(sin catálogo)"))</f>
        <v/>
      </c>
      <c r="W140" s="3">
        <f>IF($F140="","",IF((IFERROR(INDEX('CAT_CENTROS_COSTO'!$E$4:$E$13,MATCH($F140,'CAT_CENTROS_COSTO'!$A$4:$A$13,0)),""))&lt;&gt;"",IFERROR(INDEX('CAT_CENTROS_COSTO'!$E$4:$E$13,MATCH($F140,'CAT_CENTROS_COSTO'!$A$4:$A$13,0)),""),$V140))</f>
        <v/>
      </c>
      <c r="X140" s="3">
        <f>IF($F140="","",IFERROR(INDEX('CAT_CENTROS_COSTO'!$G$4:$G$13,MATCH($F140,'CAT_CENTROS_COSTO'!$A$4:$A$13,0)),"(sin catálogo)"))</f>
        <v/>
      </c>
      <c r="Y140" s="3">
        <f>IF($G140="","",IFERROR(INDEX('CAT_PUESTOS'!$B$4:$B$8,MATCH($G140,'CAT_PUESTOS'!$A$4:$A$8,0)),"(sin catálogo)"))</f>
        <v/>
      </c>
      <c r="Z140" s="3">
        <f>IF($H140="","",IFERROR(INDEX('CAT_ACTIVIDADES'!$B$4:$B$8,MATCH($H140,'CAT_ACTIVIDADES'!$A$4:$A$8,0)),"(sin catálogo)"))</f>
        <v/>
      </c>
      <c r="AA140" s="12">
        <f>IF($J140="","",TODAY()-$J140)</f>
        <v/>
      </c>
      <c r="AB140" s="12">
        <f>IF($J140="","",IF($J140&lt;=TODAY(),COUNTIFS(cal_fechas,"&gt;="&amp;$J140,cal_fechas,"&lt;"&amp;TODAY(),cal_habil,"sí"),-COUNTIFS(cal_fechas,"&gt;="&amp;TODAY(),cal_fechas,"&lt;"&amp;$J140,cal_habil,"sí")))</f>
        <v/>
      </c>
      <c r="AC140" s="3">
        <f>IF($AB140="","",IF($AB140&lt;0,"FUTURO",IF($AB140&gt;p_dias_backlog_max,"BACKLOG","MES CORRIENTE")))</f>
        <v/>
      </c>
      <c r="AD140" s="3">
        <f>IF($AB140="",FALSE,AND($AB140&gt;p_dias_backlog_min,$AB140&lt;=p_dias_backlog_max))</f>
        <v/>
      </c>
      <c r="AE140" s="6" t="inlineStr">
        <is>
          <t>Técnico 10</t>
        </is>
      </c>
      <c r="AF140" s="3">
        <f>IF($AE140="","",IF((IFERROR(INDEX('ASIGNACIONES'!$F$4:$F$339,MATCH($O140&amp;"|"&amp;$R140&amp;"|"&amp;$AE140,'ASIGNACIONES'!$J$4:$J$339,0)),""))=0,"",IFERROR(INDEX('ASIGNACIONES'!$F$4:$F$339,MATCH($O140&amp;"|"&amp;$R140&amp;"|"&amp;$AE140,'ASIGNACIONES'!$J$4:$J$339,0)),"")))</f>
        <v/>
      </c>
      <c r="AG140" s="13">
        <f>IF($AE140="","",SUMIFS('ORDENES'!$M$4:$M$1203,'ORDENES'!$AE$4:$AE$1203,$AE140,'ORDENES'!$O$4:$O$1203,$O140,'ORDENES'!$R$4:$R$1203,$R140))</f>
        <v/>
      </c>
      <c r="AH140" s="13">
        <f>IF($AG140="","",p_factor_productividad*IFERROR(INDEX('ASIGNACIONES'!$I$4:$I$339,MATCH($O140&amp;"|"&amp;$R140&amp;"|"&amp;$AE140,'ASIGNACIONES'!$J$4:$J$339,0)),0)-$AG140)</f>
        <v/>
      </c>
      <c r="AI140" s="10">
        <f>IF($A140="","",IFERROR(INDEX('2_IMPORTAR_EJECUCION'!$F$9:$F$1208,MATCH($AQ140,'2_IMPORTAR_EJECUCION'!$J$9:$J$1208,0)),0))</f>
        <v/>
      </c>
      <c r="AJ140" s="10">
        <f>IF($A140="","",MAX(0,IFERROR(INDEX('2_IMPORTAR_EJECUCION'!$H$9:$H$1208,MATCH($AQ140,'2_IMPORTAR_EJECUCION'!$J$9:$J$1208,0)),0)-$AI140))</f>
        <v/>
      </c>
      <c r="AK140" s="10">
        <f>IF($A140="","",$AI140+$AJ140)</f>
        <v/>
      </c>
      <c r="AL140" s="6" t="inlineStr"/>
      <c r="AM140" s="6" t="inlineStr"/>
      <c r="AN140" s="6" t="inlineStr"/>
      <c r="AO140" s="3">
        <f>IF($AN140="","",HYPERLINK(p_ruta_base_checklists&amp;$AN140,"abrir"))</f>
        <v/>
      </c>
      <c r="AP140" s="6" t="inlineStr"/>
      <c r="AQ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EQ-104</t>
        </is>
      </c>
      <c r="D141" s="3" t="inlineStr">
        <is>
          <t>Reparación de falla en EQ-104</t>
        </is>
      </c>
      <c r="E141" s="3" t="inlineStr">
        <is>
          <t>EQ-104</t>
        </is>
      </c>
      <c r="F141" s="3" t="inlineStr">
        <is>
          <t>CC-110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46180</v>
      </c>
      <c r="K141" s="3" t="n">
        <v>4</v>
      </c>
      <c r="L141" s="10" t="n">
        <v>160</v>
      </c>
      <c r="M141" s="3">
        <f>IF($A141="","",IFERROR(INDEX('AJUSTES'!$B$4:$B$303,MATCH($AQ141,'AJUSTES'!$A$4:$A$303,0)),IF($K141="","",$K141)))</f>
        <v/>
      </c>
      <c r="N141" s="3">
        <f>IF($A141="","",IFERROR(INDEX('CAT_ESTADOS_ERP'!$B$4:$B$7,MATCH(IFERROR(INDEX('2_IMPORTAR_EJECUCION'!$C$9:$C$1208,MATCH($AQ141,'2_IMPORTAR_EJECUCION'!$J$9:$J$1208,0)),""),'CAT_ESTADOS_ERP'!$A$4:$A$7,0)),"Pendiente"))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J141="","",IFERROR(INDEX('CALENDARIO'!$C$15:$C$214,MATCH(TEXT($J141,"yyyy-mm-dd")&amp;"|"&amp;$V141&amp;"|"&amp;$W141,'CALENDARIO'!$G$15:$G$214,0)),IFERROR(INDEX('CALENDARIO'!$C$15:$C$214,MATCH(TEXT($J141,"yyyy-mm-dd")&amp;"|"&amp;$V141&amp;"|",'CALENDARIO'!$G$15:$G$214,0)),IFERROR(INDEX('CALENDARIO'!$C$15:$C$214,MATCH(TEXT($J141,"yyyy-mm-dd")&amp;"||",'CALENDARIO'!$G$15:$G$214,0)),INDEX(patronHabil,WEEKDAY($J141,2))))))</f>
        <v/>
      </c>
      <c r="T141" s="3">
        <f>IF($I141="","",IFERROR(INDEX('CAT_TIPOS_OT'!$C$4:$C$7,MATCH($I141,'CAT_TIPOS_OT'!$A$4:$A$7,0)),"sin_clasificar"))</f>
        <v/>
      </c>
      <c r="U141" s="3">
        <f>IF($F141="","",IFERROR(INDEX('CAT_CENTROS_COSTO'!$F$4:$F$13,MATCH($F141,'CAT_CENTROS_COSTO'!$A$4:$A$13,0)),"(sin catálogo)"))</f>
        <v/>
      </c>
      <c r="V141" s="3">
        <f>IF($F141="","",IFERROR(INDEX('CAT_CENTROS_COSTO'!$D$4:$D$13,MATCH($F141,'CAT_CENTROS_COSTO'!$A$4:$A$13,0)),"(sin catálogo)"))</f>
        <v/>
      </c>
      <c r="W141" s="3">
        <f>IF($F141="","",IF((IFERROR(INDEX('CAT_CENTROS_COSTO'!$E$4:$E$13,MATCH($F141,'CAT_CENTROS_COSTO'!$A$4:$A$13,0)),""))&lt;&gt;"",IFERROR(INDEX('CAT_CENTROS_COSTO'!$E$4:$E$13,MATCH($F141,'CAT_CENTROS_COSTO'!$A$4:$A$13,0)),""),$V141))</f>
        <v/>
      </c>
      <c r="X141" s="3">
        <f>IF($F141="","",IFERROR(INDEX('CAT_CENTROS_COSTO'!$G$4:$G$13,MATCH($F141,'CAT_CENTROS_COSTO'!$A$4:$A$13,0)),"(sin catálogo)"))</f>
        <v/>
      </c>
      <c r="Y141" s="3">
        <f>IF($G141="","",IFERROR(INDEX('CAT_PUESTOS'!$B$4:$B$8,MATCH($G141,'CAT_PUESTOS'!$A$4:$A$8,0)),"(sin catálogo)"))</f>
        <v/>
      </c>
      <c r="Z141" s="3">
        <f>IF($H141="","",IFERROR(INDEX('CAT_ACTIVIDADES'!$B$4:$B$8,MATCH($H141,'CAT_ACTIVIDADES'!$A$4:$A$8,0)),"(sin catálogo)"))</f>
        <v/>
      </c>
      <c r="AA141" s="12">
        <f>IF($J141="","",TODAY()-$J141)</f>
        <v/>
      </c>
      <c r="AB141" s="12">
        <f>IF($J141="","",IF($J141&lt;=TODAY(),COUNTIFS(cal_fechas,"&gt;="&amp;$J141,cal_fechas,"&lt;"&amp;TODAY(),cal_habil,"sí"),-COUNTIFS(cal_fechas,"&gt;="&amp;TODAY(),cal_fechas,"&lt;"&amp;$J141,cal_habil,"sí")))</f>
        <v/>
      </c>
      <c r="AC141" s="3">
        <f>IF($AB141="","",IF($AB141&lt;0,"FUTURO",IF($AB141&gt;p_dias_backlog_max,"BACKLOG","MES CORRIENTE")))</f>
        <v/>
      </c>
      <c r="AD141" s="3">
        <f>IF($AB141="",FALSE,AND($AB141&gt;p_dias_backlog_min,$AB141&lt;=p_dias_backlog_max))</f>
        <v/>
      </c>
      <c r="AE141" s="6" t="inlineStr"/>
      <c r="AF141" s="3">
        <f>IF($AE141="","",IF((IFERROR(INDEX('ASIGNACIONES'!$F$4:$F$339,MATCH($O141&amp;"|"&amp;$R141&amp;"|"&amp;$AE141,'ASIGNACIONES'!$J$4:$J$339,0)),""))=0,"",IFERROR(INDEX('ASIGNACIONES'!$F$4:$F$339,MATCH($O141&amp;"|"&amp;$R141&amp;"|"&amp;$AE141,'ASIGNACIONES'!$J$4:$J$339,0)),"")))</f>
        <v/>
      </c>
      <c r="AG141" s="13">
        <f>IF($AE141="","",SUMIFS('ORDENES'!$M$4:$M$1203,'ORDENES'!$AE$4:$AE$1203,$AE141,'ORDENES'!$O$4:$O$1203,$O141,'ORDENES'!$R$4:$R$1203,$R141))</f>
        <v/>
      </c>
      <c r="AH141" s="13">
        <f>IF($AG141="","",p_factor_productividad*IFERROR(INDEX('ASIGNACIONES'!$I$4:$I$339,MATCH($O141&amp;"|"&amp;$R141&amp;"|"&amp;$AE141,'ASIGNACIONES'!$J$4:$J$339,0)),0)-$AG141)</f>
        <v/>
      </c>
      <c r="AI141" s="10">
        <f>IF($A141="","",IFERROR(INDEX('2_IMPORTAR_EJECUCION'!$F$9:$F$1208,MATCH($AQ141,'2_IMPORTAR_EJECUCION'!$J$9:$J$1208,0)),0))</f>
        <v/>
      </c>
      <c r="AJ141" s="10">
        <f>IF($A141="","",MAX(0,IFERROR(INDEX('2_IMPORTAR_EJECUCION'!$H$9:$H$1208,MATCH($AQ141,'2_IMPORTAR_EJECUCION'!$J$9:$J$1208,0)),0)-$AI141))</f>
        <v/>
      </c>
      <c r="AK141" s="10">
        <f>IF($A141="","",$AI141+$AJ141)</f>
        <v/>
      </c>
      <c r="AL141" s="6" t="inlineStr"/>
      <c r="AM141" s="6" t="inlineStr"/>
      <c r="AN141" s="6" t="inlineStr"/>
      <c r="AO141" s="3">
        <f>IF($AN141="","",HYPERLINK(p_ruta_base_checklists&amp;$AN141,"abrir"))</f>
        <v/>
      </c>
      <c r="AP141" s="6" t="inlineStr"/>
      <c r="AQ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EQ-105</t>
        </is>
      </c>
      <c r="D142" s="3" t="inlineStr">
        <is>
          <t>Reparación de falla en EQ-105</t>
        </is>
      </c>
      <c r="E142" s="3" t="inlineStr">
        <is>
          <t>EQ-105</t>
        </is>
      </c>
      <c r="F142" s="3" t="inlineStr">
        <is>
          <t>CC-120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46180</v>
      </c>
      <c r="K142" s="3" t="n">
        <v>6</v>
      </c>
      <c r="L142" s="10" t="n">
        <v>240</v>
      </c>
      <c r="M142" s="3">
        <f>IF($A142="","",IFERROR(INDEX('AJUSTES'!$B$4:$B$303,MATCH($AQ142,'AJUSTES'!$A$4:$A$303,0)),IF($K142="","",$K142)))</f>
        <v/>
      </c>
      <c r="N142" s="3">
        <f>IF($A142="","",IFERROR(INDEX('CAT_ESTADOS_ERP'!$B$4:$B$7,MATCH(IFERROR(INDEX('2_IMPORTAR_EJECUCION'!$C$9:$C$1208,MATCH($AQ142,'2_IMPORTAR_EJECUCION'!$J$9:$J$1208,0)),""),'CAT_ESTADOS_ERP'!$A$4:$A$7,0)),"Pendiente"))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J142="","",IFERROR(INDEX('CALENDARIO'!$C$15:$C$214,MATCH(TEXT($J142,"yyyy-mm-dd")&amp;"|"&amp;$V142&amp;"|"&amp;$W142,'CALENDARIO'!$G$15:$G$214,0)),IFERROR(INDEX('CALENDARIO'!$C$15:$C$214,MATCH(TEXT($J142,"yyyy-mm-dd")&amp;"|"&amp;$V142&amp;"|",'CALENDARIO'!$G$15:$G$214,0)),IFERROR(INDEX('CALENDARIO'!$C$15:$C$214,MATCH(TEXT($J142,"yyyy-mm-dd")&amp;"||",'CALENDARIO'!$G$15:$G$214,0)),INDEX(patronHabil,WEEKDAY($J142,2))))))</f>
        <v/>
      </c>
      <c r="T142" s="3">
        <f>IF($I142="","",IFERROR(INDEX('CAT_TIPOS_OT'!$C$4:$C$7,MATCH($I142,'CAT_TIPOS_OT'!$A$4:$A$7,0)),"sin_clasificar"))</f>
        <v/>
      </c>
      <c r="U142" s="3">
        <f>IF($F142="","",IFERROR(INDEX('CAT_CENTROS_COSTO'!$F$4:$F$13,MATCH($F142,'CAT_CENTROS_COSTO'!$A$4:$A$13,0)),"(sin catálogo)"))</f>
        <v/>
      </c>
      <c r="V142" s="3">
        <f>IF($F142="","",IFERROR(INDEX('CAT_CENTROS_COSTO'!$D$4:$D$13,MATCH($F142,'CAT_CENTROS_COSTO'!$A$4:$A$13,0)),"(sin catálogo)"))</f>
        <v/>
      </c>
      <c r="W142" s="3">
        <f>IF($F142="","",IF((IFERROR(INDEX('CAT_CENTROS_COSTO'!$E$4:$E$13,MATCH($F142,'CAT_CENTROS_COSTO'!$A$4:$A$13,0)),""))&lt;&gt;"",IFERROR(INDEX('CAT_CENTROS_COSTO'!$E$4:$E$13,MATCH($F142,'CAT_CENTROS_COSTO'!$A$4:$A$13,0)),""),$V142))</f>
        <v/>
      </c>
      <c r="X142" s="3">
        <f>IF($F142="","",IFERROR(INDEX('CAT_CENTROS_COSTO'!$G$4:$G$13,MATCH($F142,'CAT_CENTROS_COSTO'!$A$4:$A$13,0)),"(sin catálogo)"))</f>
        <v/>
      </c>
      <c r="Y142" s="3">
        <f>IF($G142="","",IFERROR(INDEX('CAT_PUESTOS'!$B$4:$B$8,MATCH($G142,'CAT_PUESTOS'!$A$4:$A$8,0)),"(sin catálogo)"))</f>
        <v/>
      </c>
      <c r="Z142" s="3">
        <f>IF($H142="","",IFERROR(INDEX('CAT_ACTIVIDADES'!$B$4:$B$8,MATCH($H142,'CAT_ACTIVIDADES'!$A$4:$A$8,0)),"(sin catálogo)"))</f>
        <v/>
      </c>
      <c r="AA142" s="12">
        <f>IF($J142="","",TODAY()-$J142)</f>
        <v/>
      </c>
      <c r="AB142" s="12">
        <f>IF($J142="","",IF($J142&lt;=TODAY(),COUNTIFS(cal_fechas,"&gt;="&amp;$J142,cal_fechas,"&lt;"&amp;TODAY(),cal_habil,"sí"),-COUNTIFS(cal_fechas,"&gt;="&amp;TODAY(),cal_fechas,"&lt;"&amp;$J142,cal_habil,"sí")))</f>
        <v/>
      </c>
      <c r="AC142" s="3">
        <f>IF($AB142="","",IF($AB142&lt;0,"FUTURO",IF($AB142&gt;p_dias_backlog_max,"BACKLOG","MES CORRIENTE")))</f>
        <v/>
      </c>
      <c r="AD142" s="3">
        <f>IF($AB142="",FALSE,AND($AB142&gt;p_dias_backlog_min,$AB142&lt;=p_dias_backlog_max))</f>
        <v/>
      </c>
      <c r="AE142" s="6" t="inlineStr"/>
      <c r="AF142" s="3">
        <f>IF($AE142="","",IF((IFERROR(INDEX('ASIGNACIONES'!$F$4:$F$339,MATCH($O142&amp;"|"&amp;$R142&amp;"|"&amp;$AE142,'ASIGNACIONES'!$J$4:$J$339,0)),""))=0,"",IFERROR(INDEX('ASIGNACIONES'!$F$4:$F$339,MATCH($O142&amp;"|"&amp;$R142&amp;"|"&amp;$AE142,'ASIGNACIONES'!$J$4:$J$339,0)),"")))</f>
        <v/>
      </c>
      <c r="AG142" s="13">
        <f>IF($AE142="","",SUMIFS('ORDENES'!$M$4:$M$1203,'ORDENES'!$AE$4:$AE$1203,$AE142,'ORDENES'!$O$4:$O$1203,$O142,'ORDENES'!$R$4:$R$1203,$R142))</f>
        <v/>
      </c>
      <c r="AH142" s="13">
        <f>IF($AG142="","",p_factor_productividad*IFERROR(INDEX('ASIGNACIONES'!$I$4:$I$339,MATCH($O142&amp;"|"&amp;$R142&amp;"|"&amp;$AE142,'ASIGNACIONES'!$J$4:$J$339,0)),0)-$AG142)</f>
        <v/>
      </c>
      <c r="AI142" s="10">
        <f>IF($A142="","",IFERROR(INDEX('2_IMPORTAR_EJECUCION'!$F$9:$F$1208,MATCH($AQ142,'2_IMPORTAR_EJECUCION'!$J$9:$J$1208,0)),0))</f>
        <v/>
      </c>
      <c r="AJ142" s="10">
        <f>IF($A142="","",MAX(0,IFERROR(INDEX('2_IMPORTAR_EJECUCION'!$H$9:$H$1208,MATCH($AQ142,'2_IMPORTAR_EJECUCION'!$J$9:$J$1208,0)),0)-$AI142))</f>
        <v/>
      </c>
      <c r="AK142" s="10">
        <f>IF($A142="","",$AI142+$AJ142)</f>
        <v/>
      </c>
      <c r="AL142" s="6" t="inlineStr"/>
      <c r="AM142" s="6" t="inlineStr"/>
      <c r="AN142" s="6" t="inlineStr"/>
      <c r="AO142" s="3">
        <f>IF($AN142="","",HYPERLINK(p_ruta_base_checklists&amp;$AN142,"abrir"))</f>
        <v/>
      </c>
      <c r="AP142" s="6" t="inlineStr"/>
      <c r="AQ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EQ-106</t>
        </is>
      </c>
      <c r="D143" s="3" t="inlineStr">
        <is>
          <t>Reparación de falla en EQ-106</t>
        </is>
      </c>
      <c r="E143" s="3" t="inlineStr">
        <is>
          <t>EQ-106</t>
        </is>
      </c>
      <c r="F143" s="3" t="inlineStr">
        <is>
          <t>CC-210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46180</v>
      </c>
      <c r="K143" s="3" t="n">
        <v>8</v>
      </c>
      <c r="L143" s="10" t="n">
        <v>320</v>
      </c>
      <c r="M143" s="3">
        <f>IF($A143="","",IFERROR(INDEX('AJUSTES'!$B$4:$B$303,MATCH($AQ143,'AJUSTES'!$A$4:$A$303,0)),IF($K143="","",$K143)))</f>
        <v/>
      </c>
      <c r="N143" s="3">
        <f>IF($A143="","",IFERROR(INDEX('CAT_ESTADOS_ERP'!$B$4:$B$7,MATCH(IFERROR(INDEX('2_IMPORTAR_EJECUCION'!$C$9:$C$1208,MATCH($AQ143,'2_IMPORTAR_EJECUCION'!$J$9:$J$1208,0)),""),'CAT_ESTADOS_ERP'!$A$4:$A$7,0)),"Pendiente"))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J143="","",IFERROR(INDEX('CALENDARIO'!$C$15:$C$214,MATCH(TEXT($J143,"yyyy-mm-dd")&amp;"|"&amp;$V143&amp;"|"&amp;$W143,'CALENDARIO'!$G$15:$G$214,0)),IFERROR(INDEX('CALENDARIO'!$C$15:$C$214,MATCH(TEXT($J143,"yyyy-mm-dd")&amp;"|"&amp;$V143&amp;"|",'CALENDARIO'!$G$15:$G$214,0)),IFERROR(INDEX('CALENDARIO'!$C$15:$C$214,MATCH(TEXT($J143,"yyyy-mm-dd")&amp;"||",'CALENDARIO'!$G$15:$G$214,0)),INDEX(patronHabil,WEEKDAY($J143,2))))))</f>
        <v/>
      </c>
      <c r="T143" s="3">
        <f>IF($I143="","",IFERROR(INDEX('CAT_TIPOS_OT'!$C$4:$C$7,MATCH($I143,'CAT_TIPOS_OT'!$A$4:$A$7,0)),"sin_clasificar"))</f>
        <v/>
      </c>
      <c r="U143" s="3">
        <f>IF($F143="","",IFERROR(INDEX('CAT_CENTROS_COSTO'!$F$4:$F$13,MATCH($F143,'CAT_CENTROS_COSTO'!$A$4:$A$13,0)),"(sin catálogo)"))</f>
        <v/>
      </c>
      <c r="V143" s="3">
        <f>IF($F143="","",IFERROR(INDEX('CAT_CENTROS_COSTO'!$D$4:$D$13,MATCH($F143,'CAT_CENTROS_COSTO'!$A$4:$A$13,0)),"(sin catálogo)"))</f>
        <v/>
      </c>
      <c r="W143" s="3">
        <f>IF($F143="","",IF((IFERROR(INDEX('CAT_CENTROS_COSTO'!$E$4:$E$13,MATCH($F143,'CAT_CENTROS_COSTO'!$A$4:$A$13,0)),""))&lt;&gt;"",IFERROR(INDEX('CAT_CENTROS_COSTO'!$E$4:$E$13,MATCH($F143,'CAT_CENTROS_COSTO'!$A$4:$A$13,0)),""),$V143))</f>
        <v/>
      </c>
      <c r="X143" s="3">
        <f>IF($F143="","",IFERROR(INDEX('CAT_CENTROS_COSTO'!$G$4:$G$13,MATCH($F143,'CAT_CENTROS_COSTO'!$A$4:$A$13,0)),"(sin catálogo)"))</f>
        <v/>
      </c>
      <c r="Y143" s="3">
        <f>IF($G143="","",IFERROR(INDEX('CAT_PUESTOS'!$B$4:$B$8,MATCH($G143,'CAT_PUESTOS'!$A$4:$A$8,0)),"(sin catálogo)"))</f>
        <v/>
      </c>
      <c r="Z143" s="3">
        <f>IF($H143="","",IFERROR(INDEX('CAT_ACTIVIDADES'!$B$4:$B$8,MATCH($H143,'CAT_ACTIVIDADES'!$A$4:$A$8,0)),"(sin catálogo)"))</f>
        <v/>
      </c>
      <c r="AA143" s="12">
        <f>IF($J143="","",TODAY()-$J143)</f>
        <v/>
      </c>
      <c r="AB143" s="12">
        <f>IF($J143="","",IF($J143&lt;=TODAY(),COUNTIFS(cal_fechas,"&gt;="&amp;$J143,cal_fechas,"&lt;"&amp;TODAY(),cal_habil,"sí"),-COUNTIFS(cal_fechas,"&gt;="&amp;TODAY(),cal_fechas,"&lt;"&amp;$J143,cal_habil,"sí")))</f>
        <v/>
      </c>
      <c r="AC143" s="3">
        <f>IF($AB143="","",IF($AB143&lt;0,"FUTURO",IF($AB143&gt;p_dias_backlog_max,"BACKLOG","MES CORRIENTE")))</f>
        <v/>
      </c>
      <c r="AD143" s="3">
        <f>IF($AB143="",FALSE,AND($AB143&gt;p_dias_backlog_min,$AB143&lt;=p_dias_backlog_max))</f>
        <v/>
      </c>
      <c r="AE143" s="6" t="inlineStr"/>
      <c r="AF143" s="3">
        <f>IF($AE143="","",IF((IFERROR(INDEX('ASIGNACIONES'!$F$4:$F$339,MATCH($O143&amp;"|"&amp;$R143&amp;"|"&amp;$AE143,'ASIGNACIONES'!$J$4:$J$339,0)),""))=0,"",IFERROR(INDEX('ASIGNACIONES'!$F$4:$F$339,MATCH($O143&amp;"|"&amp;$R143&amp;"|"&amp;$AE143,'ASIGNACIONES'!$J$4:$J$339,0)),"")))</f>
        <v/>
      </c>
      <c r="AG143" s="13">
        <f>IF($AE143="","",SUMIFS('ORDENES'!$M$4:$M$1203,'ORDENES'!$AE$4:$AE$1203,$AE143,'ORDENES'!$O$4:$O$1203,$O143,'ORDENES'!$R$4:$R$1203,$R143))</f>
        <v/>
      </c>
      <c r="AH143" s="13">
        <f>IF($AG143="","",p_factor_productividad*IFERROR(INDEX('ASIGNACIONES'!$I$4:$I$339,MATCH($O143&amp;"|"&amp;$R143&amp;"|"&amp;$AE143,'ASIGNACIONES'!$J$4:$J$339,0)),0)-$AG143)</f>
        <v/>
      </c>
      <c r="AI143" s="10">
        <f>IF($A143="","",IFERROR(INDEX('2_IMPORTAR_EJECUCION'!$F$9:$F$1208,MATCH($AQ143,'2_IMPORTAR_EJECUCION'!$J$9:$J$1208,0)),0))</f>
        <v/>
      </c>
      <c r="AJ143" s="10">
        <f>IF($A143="","",MAX(0,IFERROR(INDEX('2_IMPORTAR_EJECUCION'!$H$9:$H$1208,MATCH($AQ143,'2_IMPORTAR_EJECUCION'!$J$9:$J$1208,0)),0)-$AI143))</f>
        <v/>
      </c>
      <c r="AK143" s="10">
        <f>IF($A143="","",$AI143+$AJ143)</f>
        <v/>
      </c>
      <c r="AL143" s="6" t="inlineStr"/>
      <c r="AM143" s="6" t="inlineStr"/>
      <c r="AN143" s="6" t="inlineStr"/>
      <c r="AO143" s="3">
        <f>IF($AN143="","",HYPERLINK(p_ruta_base_checklists&amp;$AN143,"abrir"))</f>
        <v/>
      </c>
      <c r="AP143" s="6" t="inlineStr"/>
      <c r="AQ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EQ-107</t>
        </is>
      </c>
      <c r="D144" s="3" t="inlineStr">
        <is>
          <t>Inspección de rutina en EQ-107</t>
        </is>
      </c>
      <c r="E144" s="3" t="inlineStr">
        <is>
          <t>EQ-107</t>
        </is>
      </c>
      <c r="F144" s="3" t="inlineStr">
        <is>
          <t>CC-220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46180</v>
      </c>
      <c r="K144" s="3" t="n">
        <v>4</v>
      </c>
      <c r="L144" s="10" t="n">
        <v>100</v>
      </c>
      <c r="M144" s="3">
        <f>IF($A144="","",IFERROR(INDEX('AJUSTES'!$B$4:$B$303,MATCH($AQ144,'AJUSTES'!$A$4:$A$303,0)),IF($K144="","",$K144)))</f>
        <v/>
      </c>
      <c r="N144" s="3">
        <f>IF($A144="","",IFERROR(INDEX('CAT_ESTADOS_ERP'!$B$4:$B$7,MATCH(IFERROR(INDEX('2_IMPORTAR_EJECUCION'!$C$9:$C$1208,MATCH($AQ144,'2_IMPORTAR_EJECUCION'!$J$9:$J$1208,0)),""),'CAT_ESTADOS_ERP'!$A$4:$A$7,0)),"Pendiente"))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J144="","",IFERROR(INDEX('CALENDARIO'!$C$15:$C$214,MATCH(TEXT($J144,"yyyy-mm-dd")&amp;"|"&amp;$V144&amp;"|"&amp;$W144,'CALENDARIO'!$G$15:$G$214,0)),IFERROR(INDEX('CALENDARIO'!$C$15:$C$214,MATCH(TEXT($J144,"yyyy-mm-dd")&amp;"|"&amp;$V144&amp;"|",'CALENDARIO'!$G$15:$G$214,0)),IFERROR(INDEX('CALENDARIO'!$C$15:$C$214,MATCH(TEXT($J144,"yyyy-mm-dd")&amp;"||",'CALENDARIO'!$G$15:$G$214,0)),INDEX(patronHabil,WEEKDAY($J144,2))))))</f>
        <v/>
      </c>
      <c r="T144" s="3">
        <f>IF($I144="","",IFERROR(INDEX('CAT_TIPOS_OT'!$C$4:$C$7,MATCH($I144,'CAT_TIPOS_OT'!$A$4:$A$7,0)),"sin_clasificar"))</f>
        <v/>
      </c>
      <c r="U144" s="3">
        <f>IF($F144="","",IFERROR(INDEX('CAT_CENTROS_COSTO'!$F$4:$F$13,MATCH($F144,'CAT_CENTROS_COSTO'!$A$4:$A$13,0)),"(sin catálogo)"))</f>
        <v/>
      </c>
      <c r="V144" s="3">
        <f>IF($F144="","",IFERROR(INDEX('CAT_CENTROS_COSTO'!$D$4:$D$13,MATCH($F144,'CAT_CENTROS_COSTO'!$A$4:$A$13,0)),"(sin catálogo)"))</f>
        <v/>
      </c>
      <c r="W144" s="3">
        <f>IF($F144="","",IF((IFERROR(INDEX('CAT_CENTROS_COSTO'!$E$4:$E$13,MATCH($F144,'CAT_CENTROS_COSTO'!$A$4:$A$13,0)),""))&lt;&gt;"",IFERROR(INDEX('CAT_CENTROS_COSTO'!$E$4:$E$13,MATCH($F144,'CAT_CENTROS_COSTO'!$A$4:$A$13,0)),""),$V144))</f>
        <v/>
      </c>
      <c r="X144" s="3">
        <f>IF($F144="","",IFERROR(INDEX('CAT_CENTROS_COSTO'!$G$4:$G$13,MATCH($F144,'CAT_CENTROS_COSTO'!$A$4:$A$13,0)),"(sin catálogo)"))</f>
        <v/>
      </c>
      <c r="Y144" s="3">
        <f>IF($G144="","",IFERROR(INDEX('CAT_PUESTOS'!$B$4:$B$8,MATCH($G144,'CAT_PUESTOS'!$A$4:$A$8,0)),"(sin catálogo)"))</f>
        <v/>
      </c>
      <c r="Z144" s="3">
        <f>IF($H144="","",IFERROR(INDEX('CAT_ACTIVIDADES'!$B$4:$B$8,MATCH($H144,'CAT_ACTIVIDADES'!$A$4:$A$8,0)),"(sin catálogo)"))</f>
        <v/>
      </c>
      <c r="AA144" s="12">
        <f>IF($J144="","",TODAY()-$J144)</f>
        <v/>
      </c>
      <c r="AB144" s="12">
        <f>IF($J144="","",IF($J144&lt;=TODAY(),COUNTIFS(cal_fechas,"&gt;="&amp;$J144,cal_fechas,"&lt;"&amp;TODAY(),cal_habil,"sí"),-COUNTIFS(cal_fechas,"&gt;="&amp;TODAY(),cal_fechas,"&lt;"&amp;$J144,cal_habil,"sí")))</f>
        <v/>
      </c>
      <c r="AC144" s="3">
        <f>IF($AB144="","",IF($AB144&lt;0,"FUTURO",IF($AB144&gt;p_dias_backlog_max,"BACKLOG","MES CORRIENTE")))</f>
        <v/>
      </c>
      <c r="AD144" s="3">
        <f>IF($AB144="",FALSE,AND($AB144&gt;p_dias_backlog_min,$AB144&lt;=p_dias_backlog_max))</f>
        <v/>
      </c>
      <c r="AE144" s="6" t="inlineStr"/>
      <c r="AF144" s="3">
        <f>IF($AE144="","",IF((IFERROR(INDEX('ASIGNACIONES'!$F$4:$F$339,MATCH($O144&amp;"|"&amp;$R144&amp;"|"&amp;$AE144,'ASIGNACIONES'!$J$4:$J$339,0)),""))=0,"",IFERROR(INDEX('ASIGNACIONES'!$F$4:$F$339,MATCH($O144&amp;"|"&amp;$R144&amp;"|"&amp;$AE144,'ASIGNACIONES'!$J$4:$J$339,0)),"")))</f>
        <v/>
      </c>
      <c r="AG144" s="13">
        <f>IF($AE144="","",SUMIFS('ORDENES'!$M$4:$M$1203,'ORDENES'!$AE$4:$AE$1203,$AE144,'ORDENES'!$O$4:$O$1203,$O144,'ORDENES'!$R$4:$R$1203,$R144))</f>
        <v/>
      </c>
      <c r="AH144" s="13">
        <f>IF($AG144="","",p_factor_productividad*IFERROR(INDEX('ASIGNACIONES'!$I$4:$I$339,MATCH($O144&amp;"|"&amp;$R144&amp;"|"&amp;$AE144,'ASIGNACIONES'!$J$4:$J$339,0)),0)-$AG144)</f>
        <v/>
      </c>
      <c r="AI144" s="10">
        <f>IF($A144="","",IFERROR(INDEX('2_IMPORTAR_EJECUCION'!$F$9:$F$1208,MATCH($AQ144,'2_IMPORTAR_EJECUCION'!$J$9:$J$1208,0)),0))</f>
        <v/>
      </c>
      <c r="AJ144" s="10">
        <f>IF($A144="","",MAX(0,IFERROR(INDEX('2_IMPORTAR_EJECUCION'!$H$9:$H$1208,MATCH($AQ144,'2_IMPORTAR_EJECUCION'!$J$9:$J$1208,0)),0)-$AI144))</f>
        <v/>
      </c>
      <c r="AK144" s="10">
        <f>IF($A144="","",$AI144+$AJ144)</f>
        <v/>
      </c>
      <c r="AL144" s="6" t="inlineStr"/>
      <c r="AM144" s="6" t="inlineStr"/>
      <c r="AN144" s="6" t="inlineStr"/>
      <c r="AO144" s="3">
        <f>IF($AN144="","",HYPERLINK(p_ruta_base_checklists&amp;$AN144,"abrir"))</f>
        <v/>
      </c>
      <c r="AP144" s="6" t="inlineStr"/>
      <c r="AQ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EQ-111</t>
        </is>
      </c>
      <c r="D145" s="3" t="inlineStr">
        <is>
          <t>Reparación de falla en EQ-111</t>
        </is>
      </c>
      <c r="E145" s="3" t="inlineStr">
        <is>
          <t>EQ-111</t>
        </is>
      </c>
      <c r="F145" s="3" t="inlineStr">
        <is>
          <t>CC-310</t>
        </is>
      </c>
      <c r="G145" s="3" t="inlineStr">
        <is>
          <t>PU-MEC</t>
        </is>
      </c>
      <c r="H145" s="3" t="inlineStr">
        <is>
          <t>ACT-03</t>
        </is>
      </c>
      <c r="I145" s="3" t="inlineStr">
        <is>
          <t>TIPO-C1</t>
        </is>
      </c>
      <c r="J145" s="11" t="n">
        <v>46180</v>
      </c>
      <c r="K145" s="3" t="n">
        <v>6</v>
      </c>
      <c r="L145" s="10" t="n">
        <v>240</v>
      </c>
      <c r="M145" s="3">
        <f>IF($A145="","",IFERROR(INDEX('AJUSTES'!$B$4:$B$303,MATCH($AQ145,'AJUSTES'!$A$4:$A$303,0)),IF($K145="","",$K145)))</f>
        <v/>
      </c>
      <c r="N145" s="3">
        <f>IF($A145="","",IFERROR(INDEX('CAT_ESTADOS_ERP'!$B$4:$B$7,MATCH(IFERROR(INDEX('2_IMPORTAR_EJECUCION'!$C$9:$C$1208,MATCH($AQ145,'2_IMPORTAR_EJECUCION'!$J$9:$J$1208,0)),""),'CAT_ESTADOS_ERP'!$A$4:$A$7,0)),"Pendiente"))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J145="","",IFERROR(INDEX('CALENDARIO'!$C$15:$C$214,MATCH(TEXT($J145,"yyyy-mm-dd")&amp;"|"&amp;$V145&amp;"|"&amp;$W145,'CALENDARIO'!$G$15:$G$214,0)),IFERROR(INDEX('CALENDARIO'!$C$15:$C$214,MATCH(TEXT($J145,"yyyy-mm-dd")&amp;"|"&amp;$V145&amp;"|",'CALENDARIO'!$G$15:$G$214,0)),IFERROR(INDEX('CALENDARIO'!$C$15:$C$214,MATCH(TEXT($J145,"yyyy-mm-dd")&amp;"||",'CALENDARIO'!$G$15:$G$214,0)),INDEX(patronHabil,WEEKDAY($J145,2))))))</f>
        <v/>
      </c>
      <c r="T145" s="3">
        <f>IF($I145="","",IFERROR(INDEX('CAT_TIPOS_OT'!$C$4:$C$7,MATCH($I145,'CAT_TIPOS_OT'!$A$4:$A$7,0)),"sin_clasificar"))</f>
        <v/>
      </c>
      <c r="U145" s="3">
        <f>IF($F145="","",IFERROR(INDEX('CAT_CENTROS_COSTO'!$F$4:$F$13,MATCH($F145,'CAT_CENTROS_COSTO'!$A$4:$A$13,0)),"(sin catálogo)"))</f>
        <v/>
      </c>
      <c r="V145" s="3">
        <f>IF($F145="","",IFERROR(INDEX('CAT_CENTROS_COSTO'!$D$4:$D$13,MATCH($F145,'CAT_CENTROS_COSTO'!$A$4:$A$13,0)),"(sin catálogo)"))</f>
        <v/>
      </c>
      <c r="W145" s="3">
        <f>IF($F145="","",IF((IFERROR(INDEX('CAT_CENTROS_COSTO'!$E$4:$E$13,MATCH($F145,'CAT_CENTROS_COSTO'!$A$4:$A$13,0)),""))&lt;&gt;"",IFERROR(INDEX('CAT_CENTROS_COSTO'!$E$4:$E$13,MATCH($F145,'CAT_CENTROS_COSTO'!$A$4:$A$13,0)),""),$V145))</f>
        <v/>
      </c>
      <c r="X145" s="3">
        <f>IF($F145="","",IFERROR(INDEX('CAT_CENTROS_COSTO'!$G$4:$G$13,MATCH($F145,'CAT_CENTROS_COSTO'!$A$4:$A$13,0)),"(sin catálogo)"))</f>
        <v/>
      </c>
      <c r="Y145" s="3">
        <f>IF($G145="","",IFERROR(INDEX('CAT_PUESTOS'!$B$4:$B$8,MATCH($G145,'CAT_PUESTOS'!$A$4:$A$8,0)),"(sin catálogo)"))</f>
        <v/>
      </c>
      <c r="Z145" s="3">
        <f>IF($H145="","",IFERROR(INDEX('CAT_ACTIVIDADES'!$B$4:$B$8,MATCH($H145,'CAT_ACTIVIDADES'!$A$4:$A$8,0)),"(sin catálogo)"))</f>
        <v/>
      </c>
      <c r="AA145" s="12">
        <f>IF($J145="","",TODAY()-$J145)</f>
        <v/>
      </c>
      <c r="AB145" s="12">
        <f>IF($J145="","",IF($J145&lt;=TODAY(),COUNTIFS(cal_fechas,"&gt;="&amp;$J145,cal_fechas,"&lt;"&amp;TODAY(),cal_habil,"sí"),-COUNTIFS(cal_fechas,"&gt;="&amp;TODAY(),cal_fechas,"&lt;"&amp;$J145,cal_habil,"sí")))</f>
        <v/>
      </c>
      <c r="AC145" s="3">
        <f>IF($AB145="","",IF($AB145&lt;0,"FUTURO",IF($AB145&gt;p_dias_backlog_max,"BACKLOG","MES CORRIENTE")))</f>
        <v/>
      </c>
      <c r="AD145" s="3">
        <f>IF($AB145="",FALSE,AND($AB145&gt;p_dias_backlog_min,$AB145&lt;=p_dias_backlog_max))</f>
        <v/>
      </c>
      <c r="AE145" s="6" t="inlineStr"/>
      <c r="AF145" s="3">
        <f>IF($AE145="","",IF((IFERROR(INDEX('ASIGNACIONES'!$F$4:$F$339,MATCH($O145&amp;"|"&amp;$R145&amp;"|"&amp;$AE145,'ASIGNACIONES'!$J$4:$J$339,0)),""))=0,"",IFERROR(INDEX('ASIGNACIONES'!$F$4:$F$339,MATCH($O145&amp;"|"&amp;$R145&amp;"|"&amp;$AE145,'ASIGNACIONES'!$J$4:$J$339,0)),"")))</f>
        <v/>
      </c>
      <c r="AG145" s="13">
        <f>IF($AE145="","",SUMIFS('ORDENES'!$M$4:$M$1203,'ORDENES'!$AE$4:$AE$1203,$AE145,'ORDENES'!$O$4:$O$1203,$O145,'ORDENES'!$R$4:$R$1203,$R145))</f>
        <v/>
      </c>
      <c r="AH145" s="13">
        <f>IF($AG145="","",p_factor_productividad*IFERROR(INDEX('ASIGNACIONES'!$I$4:$I$339,MATCH($O145&amp;"|"&amp;$R145&amp;"|"&amp;$AE145,'ASIGNACIONES'!$J$4:$J$339,0)),0)-$AG145)</f>
        <v/>
      </c>
      <c r="AI145" s="10">
        <f>IF($A145="","",IFERROR(INDEX('2_IMPORTAR_EJECUCION'!$F$9:$F$1208,MATCH($AQ145,'2_IMPORTAR_EJECUCION'!$J$9:$J$1208,0)),0))</f>
        <v/>
      </c>
      <c r="AJ145" s="10">
        <f>IF($A145="","",MAX(0,IFERROR(INDEX('2_IMPORTAR_EJECUCION'!$H$9:$H$1208,MATCH($AQ145,'2_IMPORTAR_EJECUCION'!$J$9:$J$1208,0)),0)-$AI145))</f>
        <v/>
      </c>
      <c r="AK145" s="10">
        <f>IF($A145="","",$AI145+$AJ145)</f>
        <v/>
      </c>
      <c r="AL145" s="6" t="inlineStr"/>
      <c r="AM145" s="6" t="inlineStr"/>
      <c r="AN145" s="6" t="inlineStr"/>
      <c r="AO145" s="3">
        <f>IF($AN145="","",HYPERLINK(p_ruta_base_checklists&amp;$AN145,"abrir"))</f>
        <v/>
      </c>
      <c r="AP145" s="6" t="inlineStr"/>
      <c r="AQ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EQ-112</t>
        </is>
      </c>
      <c r="D146" s="3" t="inlineStr">
        <is>
          <t>Reparación de falla en EQ-112</t>
        </is>
      </c>
      <c r="E146" s="3" t="inlineStr">
        <is>
          <t>EQ-112</t>
        </is>
      </c>
      <c r="F146" s="3" t="inlineStr">
        <is>
          <t>CC-311</t>
        </is>
      </c>
      <c r="G146" s="3" t="inlineStr">
        <is>
          <t>PU-ELE</t>
        </is>
      </c>
      <c r="H146" s="3" t="inlineStr">
        <is>
          <t>ACT-03</t>
        </is>
      </c>
      <c r="I146" s="3" t="inlineStr">
        <is>
          <t>TIPO-C2</t>
        </is>
      </c>
      <c r="J146" s="11" t="n">
        <v>46180</v>
      </c>
      <c r="K146" s="3" t="n">
        <v>8</v>
      </c>
      <c r="L146" s="10" t="n">
        <v>320</v>
      </c>
      <c r="M146" s="3">
        <f>IF($A146="","",IFERROR(INDEX('AJUSTES'!$B$4:$B$303,MATCH($AQ146,'AJUSTES'!$A$4:$A$303,0)),IF($K146="","",$K146)))</f>
        <v/>
      </c>
      <c r="N146" s="3">
        <f>IF($A146="","",IFERROR(INDEX('CAT_ESTADOS_ERP'!$B$4:$B$7,MATCH(IFERROR(INDEX('2_IMPORTAR_EJECUCION'!$C$9:$C$1208,MATCH($AQ146,'2_IMPORTAR_EJECUCION'!$J$9:$J$1208,0)),""),'CAT_ESTADOS_ERP'!$A$4:$A$7,0)),"Pendiente"))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J146="","",IFERROR(INDEX('CALENDARIO'!$C$15:$C$214,MATCH(TEXT($J146,"yyyy-mm-dd")&amp;"|"&amp;$V146&amp;"|"&amp;$W146,'CALENDARIO'!$G$15:$G$214,0)),IFERROR(INDEX('CALENDARIO'!$C$15:$C$214,MATCH(TEXT($J146,"yyyy-mm-dd")&amp;"|"&amp;$V146&amp;"|",'CALENDARIO'!$G$15:$G$214,0)),IFERROR(INDEX('CALENDARIO'!$C$15:$C$214,MATCH(TEXT($J146,"yyyy-mm-dd")&amp;"||",'CALENDARIO'!$G$15:$G$214,0)),INDEX(patronHabil,WEEKDAY($J146,2))))))</f>
        <v/>
      </c>
      <c r="T146" s="3">
        <f>IF($I146="","",IFERROR(INDEX('CAT_TIPOS_OT'!$C$4:$C$7,MATCH($I146,'CAT_TIPOS_OT'!$A$4:$A$7,0)),"sin_clasificar"))</f>
        <v/>
      </c>
      <c r="U146" s="3">
        <f>IF($F146="","",IFERROR(INDEX('CAT_CENTROS_COSTO'!$F$4:$F$13,MATCH($F146,'CAT_CENTROS_COSTO'!$A$4:$A$13,0)),"(sin catálogo)"))</f>
        <v/>
      </c>
      <c r="V146" s="3">
        <f>IF($F146="","",IFERROR(INDEX('CAT_CENTROS_COSTO'!$D$4:$D$13,MATCH($F146,'CAT_CENTROS_COSTO'!$A$4:$A$13,0)),"(sin catálogo)"))</f>
        <v/>
      </c>
      <c r="W146" s="3">
        <f>IF($F146="","",IF((IFERROR(INDEX('CAT_CENTROS_COSTO'!$E$4:$E$13,MATCH($F146,'CAT_CENTROS_COSTO'!$A$4:$A$13,0)),""))&lt;&gt;"",IFERROR(INDEX('CAT_CENTROS_COSTO'!$E$4:$E$13,MATCH($F146,'CAT_CENTROS_COSTO'!$A$4:$A$13,0)),""),$V146))</f>
        <v/>
      </c>
      <c r="X146" s="3">
        <f>IF($F146="","",IFERROR(INDEX('CAT_CENTROS_COSTO'!$G$4:$G$13,MATCH($F146,'CAT_CENTROS_COSTO'!$A$4:$A$13,0)),"(sin catálogo)"))</f>
        <v/>
      </c>
      <c r="Y146" s="3">
        <f>IF($G146="","",IFERROR(INDEX('CAT_PUESTOS'!$B$4:$B$8,MATCH($G146,'CAT_PUESTOS'!$A$4:$A$8,0)),"(sin catálogo)"))</f>
        <v/>
      </c>
      <c r="Z146" s="3">
        <f>IF($H146="","",IFERROR(INDEX('CAT_ACTIVIDADES'!$B$4:$B$8,MATCH($H146,'CAT_ACTIVIDADES'!$A$4:$A$8,0)),"(sin catálogo)"))</f>
        <v/>
      </c>
      <c r="AA146" s="12">
        <f>IF($J146="","",TODAY()-$J146)</f>
        <v/>
      </c>
      <c r="AB146" s="12">
        <f>IF($J146="","",IF($J146&lt;=TODAY(),COUNTIFS(cal_fechas,"&gt;="&amp;$J146,cal_fechas,"&lt;"&amp;TODAY(),cal_habil,"sí"),-COUNTIFS(cal_fechas,"&gt;="&amp;TODAY(),cal_fechas,"&lt;"&amp;$J146,cal_habil,"sí")))</f>
        <v/>
      </c>
      <c r="AC146" s="3">
        <f>IF($AB146="","",IF($AB146&lt;0,"FUTURO",IF($AB146&gt;p_dias_backlog_max,"BACKLOG","MES CORRIENTE")))</f>
        <v/>
      </c>
      <c r="AD146" s="3">
        <f>IF($AB146="",FALSE,AND($AB146&gt;p_dias_backlog_min,$AB146&lt;=p_dias_backlog_max))</f>
        <v/>
      </c>
      <c r="AE146" s="6" t="inlineStr"/>
      <c r="AF146" s="3">
        <f>IF($AE146="","",IF((IFERROR(INDEX('ASIGNACIONES'!$F$4:$F$339,MATCH($O146&amp;"|"&amp;$R146&amp;"|"&amp;$AE146,'ASIGNACIONES'!$J$4:$J$339,0)),""))=0,"",IFERROR(INDEX('ASIGNACIONES'!$F$4:$F$339,MATCH($O146&amp;"|"&amp;$R146&amp;"|"&amp;$AE146,'ASIGNACIONES'!$J$4:$J$339,0)),"")))</f>
        <v/>
      </c>
      <c r="AG146" s="13">
        <f>IF($AE146="","",SUMIFS('ORDENES'!$M$4:$M$1203,'ORDENES'!$AE$4:$AE$1203,$AE146,'ORDENES'!$O$4:$O$1203,$O146,'ORDENES'!$R$4:$R$1203,$R146))</f>
        <v/>
      </c>
      <c r="AH146" s="13">
        <f>IF($AG146="","",p_factor_productividad*IFERROR(INDEX('ASIGNACIONES'!$I$4:$I$339,MATCH($O146&amp;"|"&amp;$R146&amp;"|"&amp;$AE146,'ASIGNACIONES'!$J$4:$J$339,0)),0)-$AG146)</f>
        <v/>
      </c>
      <c r="AI146" s="10">
        <f>IF($A146="","",IFERROR(INDEX('2_IMPORTAR_EJECUCION'!$F$9:$F$1208,MATCH($AQ146,'2_IMPORTAR_EJECUCION'!$J$9:$J$1208,0)),0))</f>
        <v/>
      </c>
      <c r="AJ146" s="10">
        <f>IF($A146="","",MAX(0,IFERROR(INDEX('2_IMPORTAR_EJECUCION'!$H$9:$H$1208,MATCH($AQ146,'2_IMPORTAR_EJECUCION'!$J$9:$J$1208,0)),0)-$AI146))</f>
        <v/>
      </c>
      <c r="AK146" s="10">
        <f>IF($A146="","",$AI146+$AJ146)</f>
        <v/>
      </c>
      <c r="AL146" s="6" t="inlineStr"/>
      <c r="AM146" s="6" t="inlineStr"/>
      <c r="AN146" s="6" t="inlineStr"/>
      <c r="AO146" s="3">
        <f>IF($AN146="","",HYPERLINK(p_ruta_base_checklists&amp;$AN146,"abrir"))</f>
        <v/>
      </c>
      <c r="AP146" s="6" t="inlineStr"/>
      <c r="AQ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EQ-110</t>
        </is>
      </c>
      <c r="D147" s="3" t="inlineStr">
        <is>
          <t>Reparación de falla en EQ-110</t>
        </is>
      </c>
      <c r="E147" s="3" t="inlineStr">
        <is>
          <t>EQ-110</t>
        </is>
      </c>
      <c r="F147" s="3" t="inlineStr">
        <is>
          <t>CC-320</t>
        </is>
      </c>
      <c r="G147" s="3" t="inlineStr">
        <is>
          <t>PU-AUT</t>
        </is>
      </c>
      <c r="H147" s="3" t="inlineStr">
        <is>
          <t>ACT-03</t>
        </is>
      </c>
      <c r="I147" s="3" t="inlineStr">
        <is>
          <t>TIPO-C1</t>
        </is>
      </c>
      <c r="J147" s="11" t="n">
        <v>46180</v>
      </c>
      <c r="K147" s="3" t="n">
        <v>4</v>
      </c>
      <c r="L147" s="10" t="n">
        <v>160</v>
      </c>
      <c r="M147" s="3">
        <f>IF($A147="","",IFERROR(INDEX('AJUSTES'!$B$4:$B$303,MATCH($AQ147,'AJUSTES'!$A$4:$A$303,0)),IF($K147="","",$K147)))</f>
        <v/>
      </c>
      <c r="N147" s="3">
        <f>IF($A147="","",IFERROR(INDEX('CAT_ESTADOS_ERP'!$B$4:$B$7,MATCH(IFERROR(INDEX('2_IMPORTAR_EJECUCION'!$C$9:$C$1208,MATCH($AQ147,'2_IMPORTAR_EJECUCION'!$J$9:$J$1208,0)),""),'CAT_ESTADOS_ERP'!$A$4:$A$7,0)),"Pendiente"))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J147="","",IFERROR(INDEX('CALENDARIO'!$C$15:$C$214,MATCH(TEXT($J147,"yyyy-mm-dd")&amp;"|"&amp;$V147&amp;"|"&amp;$W147,'CALENDARIO'!$G$15:$G$214,0)),IFERROR(INDEX('CALENDARIO'!$C$15:$C$214,MATCH(TEXT($J147,"yyyy-mm-dd")&amp;"|"&amp;$V147&amp;"|",'CALENDARIO'!$G$15:$G$214,0)),IFERROR(INDEX('CALENDARIO'!$C$15:$C$214,MATCH(TEXT($J147,"yyyy-mm-dd")&amp;"||",'CALENDARIO'!$G$15:$G$214,0)),INDEX(patronHabil,WEEKDAY($J147,2))))))</f>
        <v/>
      </c>
      <c r="T147" s="3">
        <f>IF($I147="","",IFERROR(INDEX('CAT_TIPOS_OT'!$C$4:$C$7,MATCH($I147,'CAT_TIPOS_OT'!$A$4:$A$7,0)),"sin_clasificar"))</f>
        <v/>
      </c>
      <c r="U147" s="3">
        <f>IF($F147="","",IFERROR(INDEX('CAT_CENTROS_COSTO'!$F$4:$F$13,MATCH($F147,'CAT_CENTROS_COSTO'!$A$4:$A$13,0)),"(sin catálogo)"))</f>
        <v/>
      </c>
      <c r="V147" s="3">
        <f>IF($F147="","",IFERROR(INDEX('CAT_CENTROS_COSTO'!$D$4:$D$13,MATCH($F147,'CAT_CENTROS_COSTO'!$A$4:$A$13,0)),"(sin catálogo)"))</f>
        <v/>
      </c>
      <c r="W147" s="3">
        <f>IF($F147="","",IF((IFERROR(INDEX('CAT_CENTROS_COSTO'!$E$4:$E$13,MATCH($F147,'CAT_CENTROS_COSTO'!$A$4:$A$13,0)),""))&lt;&gt;"",IFERROR(INDEX('CAT_CENTROS_COSTO'!$E$4:$E$13,MATCH($F147,'CAT_CENTROS_COSTO'!$A$4:$A$13,0)),""),$V147))</f>
        <v/>
      </c>
      <c r="X147" s="3">
        <f>IF($F147="","",IFERROR(INDEX('CAT_CENTROS_COSTO'!$G$4:$G$13,MATCH($F147,'CAT_CENTROS_COSTO'!$A$4:$A$13,0)),"(sin catálogo)"))</f>
        <v/>
      </c>
      <c r="Y147" s="3">
        <f>IF($G147="","",IFERROR(INDEX('CAT_PUESTOS'!$B$4:$B$8,MATCH($G147,'CAT_PUESTOS'!$A$4:$A$8,0)),"(sin catálogo)"))</f>
        <v/>
      </c>
      <c r="Z147" s="3">
        <f>IF($H147="","",IFERROR(INDEX('CAT_ACTIVIDADES'!$B$4:$B$8,MATCH($H147,'CAT_ACTIVIDADES'!$A$4:$A$8,0)),"(sin catálogo)"))</f>
        <v/>
      </c>
      <c r="AA147" s="12">
        <f>IF($J147="","",TODAY()-$J147)</f>
        <v/>
      </c>
      <c r="AB147" s="12">
        <f>IF($J147="","",IF($J147&lt;=TODAY(),COUNTIFS(cal_fechas,"&gt;="&amp;$J147,cal_fechas,"&lt;"&amp;TODAY(),cal_habil,"sí"),-COUNTIFS(cal_fechas,"&gt;="&amp;TODAY(),cal_fechas,"&lt;"&amp;$J147,cal_habil,"sí")))</f>
        <v/>
      </c>
      <c r="AC147" s="3">
        <f>IF($AB147="","",IF($AB147&lt;0,"FUTURO",IF($AB147&gt;p_dias_backlog_max,"BACKLOG","MES CORRIENTE")))</f>
        <v/>
      </c>
      <c r="AD147" s="3">
        <f>IF($AB147="",FALSE,AND($AB147&gt;p_dias_backlog_min,$AB147&lt;=p_dias_backlog_max))</f>
        <v/>
      </c>
      <c r="AE147" s="6" t="inlineStr"/>
      <c r="AF147" s="3">
        <f>IF($AE147="","",IF((IFERROR(INDEX('ASIGNACIONES'!$F$4:$F$339,MATCH($O147&amp;"|"&amp;$R147&amp;"|"&amp;$AE147,'ASIGNACIONES'!$J$4:$J$339,0)),""))=0,"",IFERROR(INDEX('ASIGNACIONES'!$F$4:$F$339,MATCH($O147&amp;"|"&amp;$R147&amp;"|"&amp;$AE147,'ASIGNACIONES'!$J$4:$J$339,0)),"")))</f>
        <v/>
      </c>
      <c r="AG147" s="13">
        <f>IF($AE147="","",SUMIFS('ORDENES'!$M$4:$M$1203,'ORDENES'!$AE$4:$AE$1203,$AE147,'ORDENES'!$O$4:$O$1203,$O147,'ORDENES'!$R$4:$R$1203,$R147))</f>
        <v/>
      </c>
      <c r="AH147" s="13">
        <f>IF($AG147="","",p_factor_productividad*IFERROR(INDEX('ASIGNACIONES'!$I$4:$I$339,MATCH($O147&amp;"|"&amp;$R147&amp;"|"&amp;$AE147,'ASIGNACIONES'!$J$4:$J$339,0)),0)-$AG147)</f>
        <v/>
      </c>
      <c r="AI147" s="10">
        <f>IF($A147="","",IFERROR(INDEX('2_IMPORTAR_EJECUCION'!$F$9:$F$1208,MATCH($AQ147,'2_IMPORTAR_EJECUCION'!$J$9:$J$1208,0)),0))</f>
        <v/>
      </c>
      <c r="AJ147" s="10">
        <f>IF($A147="","",MAX(0,IFERROR(INDEX('2_IMPORTAR_EJECUCION'!$H$9:$H$1208,MATCH($AQ147,'2_IMPORTAR_EJECUCION'!$J$9:$J$1208,0)),0)-$AI147))</f>
        <v/>
      </c>
      <c r="AK147" s="10">
        <f>IF($A147="","",$AI147+$AJ147)</f>
        <v/>
      </c>
      <c r="AL147" s="6" t="inlineStr"/>
      <c r="AM147" s="6" t="inlineStr"/>
      <c r="AN147" s="6" t="inlineStr"/>
      <c r="AO147" s="3">
        <f>IF($AN147="","",HYPERLINK(p_ruta_base_checklists&amp;$AN147,"abrir"))</f>
        <v/>
      </c>
      <c r="AP147" s="6" t="inlineStr"/>
      <c r="AQ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CC-321</t>
        </is>
      </c>
      <c r="G148" s="3" t="inlineStr">
        <is>
          <t>PU-OP</t>
        </is>
      </c>
      <c r="H148" s="3" t="inlineStr">
        <is>
          <t>ACT-02</t>
        </is>
      </c>
      <c r="I148" s="3" t="inlineStr">
        <is>
          <t>TIPO-P2</t>
        </is>
      </c>
      <c r="J148" s="11" t="n">
        <v>46180</v>
      </c>
      <c r="K148" s="3" t="n">
        <v>6</v>
      </c>
      <c r="L148" s="10" t="n">
        <v>150</v>
      </c>
      <c r="M148" s="3">
        <f>IF($A148="","",IFERROR(INDEX('AJUSTES'!$B$4:$B$303,MATCH($AQ148,'AJUSTES'!$A$4:$A$303,0)),IF($K148="","",$K148)))</f>
        <v/>
      </c>
      <c r="N148" s="3">
        <f>IF($A148="","",IFERROR(INDEX('CAT_ESTADOS_ERP'!$B$4:$B$7,MATCH(IFERROR(INDEX('2_IMPORTAR_EJECUCION'!$C$9:$C$1208,MATCH($AQ148,'2_IMPORTAR_EJECUCION'!$J$9:$J$1208,0)),""),'CAT_ESTADOS_ERP'!$A$4:$A$7,0)),"Pendiente"))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J148="","",IFERROR(INDEX('CALENDARIO'!$C$15:$C$214,MATCH(TEXT($J148,"yyyy-mm-dd")&amp;"|"&amp;$V148&amp;"|"&amp;$W148,'CALENDARIO'!$G$15:$G$214,0)),IFERROR(INDEX('CALENDARIO'!$C$15:$C$214,MATCH(TEXT($J148,"yyyy-mm-dd")&amp;"|"&amp;$V148&amp;"|",'CALENDARIO'!$G$15:$G$214,0)),IFERROR(INDEX('CALENDARIO'!$C$15:$C$214,MATCH(TEXT($J148,"yyyy-mm-dd")&amp;"||",'CALENDARIO'!$G$15:$G$214,0)),INDEX(patronHabil,WEEKDAY($J148,2))))))</f>
        <v/>
      </c>
      <c r="T148" s="3">
        <f>IF($I148="","",IFERROR(INDEX('CAT_TIPOS_OT'!$C$4:$C$7,MATCH($I148,'CAT_TIPOS_OT'!$A$4:$A$7,0)),"sin_clasificar"))</f>
        <v/>
      </c>
      <c r="U148" s="3">
        <f>IF($F148="","",IFERROR(INDEX('CAT_CENTROS_COSTO'!$F$4:$F$13,MATCH($F148,'CAT_CENTROS_COSTO'!$A$4:$A$13,0)),"(sin catálogo)"))</f>
        <v/>
      </c>
      <c r="V148" s="3">
        <f>IF($F148="","",IFERROR(INDEX('CAT_CENTROS_COSTO'!$D$4:$D$13,MATCH($F148,'CAT_CENTROS_COSTO'!$A$4:$A$13,0)),"(sin catálogo)"))</f>
        <v/>
      </c>
      <c r="W148" s="3">
        <f>IF($F148="","",IF((IFERROR(INDEX('CAT_CENTROS_COSTO'!$E$4:$E$13,MATCH($F148,'CAT_CENTROS_COSTO'!$A$4:$A$13,0)),""))&lt;&gt;"",IFERROR(INDEX('CAT_CENTROS_COSTO'!$E$4:$E$13,MATCH($F148,'CAT_CENTROS_COSTO'!$A$4:$A$13,0)),""),$V148))</f>
        <v/>
      </c>
      <c r="X148" s="3">
        <f>IF($F148="","",IFERROR(INDEX('CAT_CENTROS_COSTO'!$G$4:$G$13,MATCH($F148,'CAT_CENTROS_COSTO'!$A$4:$A$13,0)),"(sin catálogo)"))</f>
        <v/>
      </c>
      <c r="Y148" s="3">
        <f>IF($G148="","",IFERROR(INDEX('CAT_PUESTOS'!$B$4:$B$8,MATCH($G148,'CAT_PUESTOS'!$A$4:$A$8,0)),"(sin catálogo)"))</f>
        <v/>
      </c>
      <c r="Z148" s="3">
        <f>IF($H148="","",IFERROR(INDEX('CAT_ACTIVIDADES'!$B$4:$B$8,MATCH($H148,'CAT_ACTIVIDADES'!$A$4:$A$8,0)),"(sin catálogo)"))</f>
        <v/>
      </c>
      <c r="AA148" s="12">
        <f>IF($J148="","",TODAY()-$J148)</f>
        <v/>
      </c>
      <c r="AB148" s="12">
        <f>IF($J148="","",IF($J148&lt;=TODAY(),COUNTIFS(cal_fechas,"&gt;="&amp;$J148,cal_fechas,"&lt;"&amp;TODAY(),cal_habil,"sí"),-COUNTIFS(cal_fechas,"&gt;="&amp;TODAY(),cal_fechas,"&lt;"&amp;$J148,cal_habil,"sí")))</f>
        <v/>
      </c>
      <c r="AC148" s="3">
        <f>IF($AB148="","",IF($AB148&lt;0,"FUTURO",IF($AB148&gt;p_dias_backlog_max,"BACKLOG","MES CORRIENTE")))</f>
        <v/>
      </c>
      <c r="AD148" s="3">
        <f>IF($AB148="",FALSE,AND($AB148&gt;p_dias_backlog_min,$AB148&lt;=p_dias_backlog_max))</f>
        <v/>
      </c>
      <c r="AE148" s="6" t="inlineStr"/>
      <c r="AF148" s="3">
        <f>IF($AE148="","",IF((IFERROR(INDEX('ASIGNACIONES'!$F$4:$F$339,MATCH($O148&amp;"|"&amp;$R148&amp;"|"&amp;$AE148,'ASIGNACIONES'!$J$4:$J$339,0)),""))=0,"",IFERROR(INDEX('ASIGNACIONES'!$F$4:$F$339,MATCH($O148&amp;"|"&amp;$R148&amp;"|"&amp;$AE148,'ASIGNACIONES'!$J$4:$J$339,0)),"")))</f>
        <v/>
      </c>
      <c r="AG148" s="13">
        <f>IF($AE148="","",SUMIFS('ORDENES'!$M$4:$M$1203,'ORDENES'!$AE$4:$AE$1203,$AE148,'ORDENES'!$O$4:$O$1203,$O148,'ORDENES'!$R$4:$R$1203,$R148))</f>
        <v/>
      </c>
      <c r="AH148" s="13">
        <f>IF($AG148="","",p_factor_productividad*IFERROR(INDEX('ASIGNACIONES'!$I$4:$I$339,MATCH($O148&amp;"|"&amp;$R148&amp;"|"&amp;$AE148,'ASIGNACIONES'!$J$4:$J$339,0)),0)-$AG148)</f>
        <v/>
      </c>
      <c r="AI148" s="10">
        <f>IF($A148="","",IFERROR(INDEX('2_IMPORTAR_EJECUCION'!$F$9:$F$1208,MATCH($AQ148,'2_IMPORTAR_EJECUCION'!$J$9:$J$1208,0)),0))</f>
        <v/>
      </c>
      <c r="AJ148" s="10">
        <f>IF($A148="","",MAX(0,IFERROR(INDEX('2_IMPORTAR_EJECUCION'!$H$9:$H$1208,MATCH($AQ148,'2_IMPORTAR_EJECUCION'!$J$9:$J$1208,0)),0)-$AI148))</f>
        <v/>
      </c>
      <c r="AK148" s="10">
        <f>IF($A148="","",$AI148+$AJ148)</f>
        <v/>
      </c>
      <c r="AL148" s="6" t="inlineStr"/>
      <c r="AM148" s="6" t="inlineStr"/>
      <c r="AN148" s="6" t="inlineStr"/>
      <c r="AO148" s="3">
        <f>IF($AN148="","",HYPERLINK(p_ruta_base_checklists&amp;$AN148,"abrir"))</f>
        <v/>
      </c>
      <c r="AP148" s="6" t="inlineStr"/>
      <c r="AQ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EQ-102</t>
        </is>
      </c>
      <c r="D149" s="3" t="inlineStr">
        <is>
          <t>Reparación de falla en EQ-102</t>
        </is>
      </c>
      <c r="E149" s="3" t="inlineStr">
        <is>
          <t>EQ-102</t>
        </is>
      </c>
      <c r="F149" s="3" t="inlineStr">
        <is>
          <t>CC-120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46150</v>
      </c>
      <c r="K149" s="3" t="n">
        <v>4</v>
      </c>
      <c r="L149" s="10" t="n">
        <v>160</v>
      </c>
      <c r="M149" s="3">
        <f>IF($A149="","",IFERROR(INDEX('AJUSTES'!$B$4:$B$303,MATCH($AQ149,'AJUSTES'!$A$4:$A$303,0)),IF($K149="","",$K149)))</f>
        <v/>
      </c>
      <c r="N149" s="3">
        <f>IF($A149="","",IFERROR(INDEX('CAT_ESTADOS_ERP'!$B$4:$B$7,MATCH(IFERROR(INDEX('2_IMPORTAR_EJECUCION'!$C$9:$C$1208,MATCH($AQ149,'2_IMPORTAR_EJECUCION'!$J$9:$J$1208,0)),""),'CAT_ESTADOS_ERP'!$A$4:$A$7,0)),"Pendiente"))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J149="","",IFERROR(INDEX('CALENDARIO'!$C$15:$C$214,MATCH(TEXT($J149,"yyyy-mm-dd")&amp;"|"&amp;$V149&amp;"|"&amp;$W149,'CALENDARIO'!$G$15:$G$214,0)),IFERROR(INDEX('CALENDARIO'!$C$15:$C$214,MATCH(TEXT($J149,"yyyy-mm-dd")&amp;"|"&amp;$V149&amp;"|",'CALENDARIO'!$G$15:$G$214,0)),IFERROR(INDEX('CALENDARIO'!$C$15:$C$214,MATCH(TEXT($J149,"yyyy-mm-dd")&amp;"||",'CALENDARIO'!$G$15:$G$214,0)),INDEX(patronHabil,WEEKDAY($J149,2))))))</f>
        <v/>
      </c>
      <c r="T149" s="3">
        <f>IF($I149="","",IFERROR(INDEX('CAT_TIPOS_OT'!$C$4:$C$7,MATCH($I149,'CAT_TIPOS_OT'!$A$4:$A$7,0)),"sin_clasificar"))</f>
        <v/>
      </c>
      <c r="U149" s="3">
        <f>IF($F149="","",IFERROR(INDEX('CAT_CENTROS_COSTO'!$F$4:$F$13,MATCH($F149,'CAT_CENTROS_COSTO'!$A$4:$A$13,0)),"(sin catálogo)"))</f>
        <v/>
      </c>
      <c r="V149" s="3">
        <f>IF($F149="","",IFERROR(INDEX('CAT_CENTROS_COSTO'!$D$4:$D$13,MATCH($F149,'CAT_CENTROS_COSTO'!$A$4:$A$13,0)),"(sin catálogo)"))</f>
        <v/>
      </c>
      <c r="W149" s="3">
        <f>IF($F149="","",IF((IFERROR(INDEX('CAT_CENTROS_COSTO'!$E$4:$E$13,MATCH($F149,'CAT_CENTROS_COSTO'!$A$4:$A$13,0)),""))&lt;&gt;"",IFERROR(INDEX('CAT_CENTROS_COSTO'!$E$4:$E$13,MATCH($F149,'CAT_CENTROS_COSTO'!$A$4:$A$13,0)),""),$V149))</f>
        <v/>
      </c>
      <c r="X149" s="3">
        <f>IF($F149="","",IFERROR(INDEX('CAT_CENTROS_COSTO'!$G$4:$G$13,MATCH($F149,'CAT_CENTROS_COSTO'!$A$4:$A$13,0)),"(sin catálogo)"))</f>
        <v/>
      </c>
      <c r="Y149" s="3">
        <f>IF($G149="","",IFERROR(INDEX('CAT_PUESTOS'!$B$4:$B$8,MATCH($G149,'CAT_PUESTOS'!$A$4:$A$8,0)),"(sin catálogo)"))</f>
        <v/>
      </c>
      <c r="Z149" s="3">
        <f>IF($H149="","",IFERROR(INDEX('CAT_ACTIVIDADES'!$B$4:$B$8,MATCH($H149,'CAT_ACTIVIDADES'!$A$4:$A$8,0)),"(sin catálogo)"))</f>
        <v/>
      </c>
      <c r="AA149" s="12">
        <f>IF($J149="","",TODAY()-$J149)</f>
        <v/>
      </c>
      <c r="AB149" s="12">
        <f>IF($J149="","",IF($J149&lt;=TODAY(),COUNTIFS(cal_fechas,"&gt;="&amp;$J149,cal_fechas,"&lt;"&amp;TODAY(),cal_habil,"sí"),-COUNTIFS(cal_fechas,"&gt;="&amp;TODAY(),cal_fechas,"&lt;"&amp;$J149,cal_habil,"sí")))</f>
        <v/>
      </c>
      <c r="AC149" s="3">
        <f>IF($AB149="","",IF($AB149&lt;0,"FUTURO",IF($AB149&gt;p_dias_backlog_max,"BACKLOG","MES CORRIENTE")))</f>
        <v/>
      </c>
      <c r="AD149" s="3">
        <f>IF($AB149="",FALSE,AND($AB149&gt;p_dias_backlog_min,$AB149&lt;=p_dias_backlog_max))</f>
        <v/>
      </c>
      <c r="AE149" s="6" t="inlineStr"/>
      <c r="AF149" s="3">
        <f>IF($AE149="","",IF((IFERROR(INDEX('ASIGNACIONES'!$F$4:$F$339,MATCH($O149&amp;"|"&amp;$R149&amp;"|"&amp;$AE149,'ASIGNACIONES'!$J$4:$J$339,0)),""))=0,"",IFERROR(INDEX('ASIGNACIONES'!$F$4:$F$339,MATCH($O149&amp;"|"&amp;$R149&amp;"|"&amp;$AE149,'ASIGNACIONES'!$J$4:$J$339,0)),"")))</f>
        <v/>
      </c>
      <c r="AG149" s="13">
        <f>IF($AE149="","",SUMIFS('ORDENES'!$M$4:$M$1203,'ORDENES'!$AE$4:$AE$1203,$AE149,'ORDENES'!$O$4:$O$1203,$O149,'ORDENES'!$R$4:$R$1203,$R149))</f>
        <v/>
      </c>
      <c r="AH149" s="13">
        <f>IF($AG149="","",p_factor_productividad*IFERROR(INDEX('ASIGNACIONES'!$I$4:$I$339,MATCH($O149&amp;"|"&amp;$R149&amp;"|"&amp;$AE149,'ASIGNACIONES'!$J$4:$J$339,0)),0)-$AG149)</f>
        <v/>
      </c>
      <c r="AI149" s="10">
        <f>IF($A149="","",IFERROR(INDEX('2_IMPORTAR_EJECUCION'!$F$9:$F$1208,MATCH($AQ149,'2_IMPORTAR_EJECUCION'!$J$9:$J$1208,0)),0))</f>
        <v/>
      </c>
      <c r="AJ149" s="10">
        <f>IF($A149="","",MAX(0,IFERROR(INDEX('2_IMPORTAR_EJECUCION'!$H$9:$H$1208,MATCH($AQ149,'2_IMPORTAR_EJECUCION'!$J$9:$J$1208,0)),0)-$AI149))</f>
        <v/>
      </c>
      <c r="AK149" s="10">
        <f>IF($A149="","",$AI149+$AJ149)</f>
        <v/>
      </c>
      <c r="AL149" s="6" t="inlineStr"/>
      <c r="AM149" s="6" t="inlineStr"/>
      <c r="AN149" s="6" t="inlineStr"/>
      <c r="AO149" s="3">
        <f>IF($AN149="","",HYPERLINK(p_ruta_base_checklists&amp;$AN149,"abrir"))</f>
        <v/>
      </c>
      <c r="AP149" s="6" t="inlineStr"/>
      <c r="AQ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EQ-109</t>
        </is>
      </c>
      <c r="D150" s="3" t="inlineStr">
        <is>
          <t>Reparación de falla en EQ-109</t>
        </is>
      </c>
      <c r="E150" s="3" t="inlineStr">
        <is>
          <t>EQ-109</t>
        </is>
      </c>
      <c r="F150" s="3" t="inlineStr">
        <is>
          <t>CC-210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46150</v>
      </c>
      <c r="K150" s="3" t="n">
        <v>6</v>
      </c>
      <c r="L150" s="10" t="n">
        <v>240</v>
      </c>
      <c r="M150" s="3">
        <f>IF($A150="","",IFERROR(INDEX('AJUSTES'!$B$4:$B$303,MATCH($AQ150,'AJUSTES'!$A$4:$A$303,0)),IF($K150="","",$K150)))</f>
        <v/>
      </c>
      <c r="N150" s="3">
        <f>IF($A150="","",IFERROR(INDEX('CAT_ESTADOS_ERP'!$B$4:$B$7,MATCH(IFERROR(INDEX('2_IMPORTAR_EJECUCION'!$C$9:$C$1208,MATCH($AQ150,'2_IMPORTAR_EJECUCION'!$J$9:$J$1208,0)),""),'CAT_ESTADOS_ERP'!$A$4:$A$7,0)),"Pendiente"))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J150="","",IFERROR(INDEX('CALENDARIO'!$C$15:$C$214,MATCH(TEXT($J150,"yyyy-mm-dd")&amp;"|"&amp;$V150&amp;"|"&amp;$W150,'CALENDARIO'!$G$15:$G$214,0)),IFERROR(INDEX('CALENDARIO'!$C$15:$C$214,MATCH(TEXT($J150,"yyyy-mm-dd")&amp;"|"&amp;$V150&amp;"|",'CALENDARIO'!$G$15:$G$214,0)),IFERROR(INDEX('CALENDARIO'!$C$15:$C$214,MATCH(TEXT($J150,"yyyy-mm-dd")&amp;"||",'CALENDARIO'!$G$15:$G$214,0)),INDEX(patronHabil,WEEKDAY($J150,2))))))</f>
        <v/>
      </c>
      <c r="T150" s="3">
        <f>IF($I150="","",IFERROR(INDEX('CAT_TIPOS_OT'!$C$4:$C$7,MATCH($I150,'CAT_TIPOS_OT'!$A$4:$A$7,0)),"sin_clasificar"))</f>
        <v/>
      </c>
      <c r="U150" s="3">
        <f>IF($F150="","",IFERROR(INDEX('CAT_CENTROS_COSTO'!$F$4:$F$13,MATCH($F150,'CAT_CENTROS_COSTO'!$A$4:$A$13,0)),"(sin catálogo)"))</f>
        <v/>
      </c>
      <c r="V150" s="3">
        <f>IF($F150="","",IFERROR(INDEX('CAT_CENTROS_COSTO'!$D$4:$D$13,MATCH($F150,'CAT_CENTROS_COSTO'!$A$4:$A$13,0)),"(sin catálogo)"))</f>
        <v/>
      </c>
      <c r="W150" s="3">
        <f>IF($F150="","",IF((IFERROR(INDEX('CAT_CENTROS_COSTO'!$E$4:$E$13,MATCH($F150,'CAT_CENTROS_COSTO'!$A$4:$A$13,0)),""))&lt;&gt;"",IFERROR(INDEX('CAT_CENTROS_COSTO'!$E$4:$E$13,MATCH($F150,'CAT_CENTROS_COSTO'!$A$4:$A$13,0)),""),$V150))</f>
        <v/>
      </c>
      <c r="X150" s="3">
        <f>IF($F150="","",IFERROR(INDEX('CAT_CENTROS_COSTO'!$G$4:$G$13,MATCH($F150,'CAT_CENTROS_COSTO'!$A$4:$A$13,0)),"(sin catálogo)"))</f>
        <v/>
      </c>
      <c r="Y150" s="3">
        <f>IF($G150="","",IFERROR(INDEX('CAT_PUESTOS'!$B$4:$B$8,MATCH($G150,'CAT_PUESTOS'!$A$4:$A$8,0)),"(sin catálogo)"))</f>
        <v/>
      </c>
      <c r="Z150" s="3">
        <f>IF($H150="","",IFERROR(INDEX('CAT_ACTIVIDADES'!$B$4:$B$8,MATCH($H150,'CAT_ACTIVIDADES'!$A$4:$A$8,0)),"(sin catálogo)"))</f>
        <v/>
      </c>
      <c r="AA150" s="12">
        <f>IF($J150="","",TODAY()-$J150)</f>
        <v/>
      </c>
      <c r="AB150" s="12">
        <f>IF($J150="","",IF($J150&lt;=TODAY(),COUNTIFS(cal_fechas,"&gt;="&amp;$J150,cal_fechas,"&lt;"&amp;TODAY(),cal_habil,"sí"),-COUNTIFS(cal_fechas,"&gt;="&amp;TODAY(),cal_fechas,"&lt;"&amp;$J150,cal_habil,"sí")))</f>
        <v/>
      </c>
      <c r="AC150" s="3">
        <f>IF($AB150="","",IF($AB150&lt;0,"FUTURO",IF($AB150&gt;p_dias_backlog_max,"BACKLOG","MES CORRIENTE")))</f>
        <v/>
      </c>
      <c r="AD150" s="3">
        <f>IF($AB150="",FALSE,AND($AB150&gt;p_dias_backlog_min,$AB150&lt;=p_dias_backlog_max))</f>
        <v/>
      </c>
      <c r="AE150" s="6" t="inlineStr"/>
      <c r="AF150" s="3">
        <f>IF($AE150="","",IF((IFERROR(INDEX('ASIGNACIONES'!$F$4:$F$339,MATCH($O150&amp;"|"&amp;$R150&amp;"|"&amp;$AE150,'ASIGNACIONES'!$J$4:$J$339,0)),""))=0,"",IFERROR(INDEX('ASIGNACIONES'!$F$4:$F$339,MATCH($O150&amp;"|"&amp;$R150&amp;"|"&amp;$AE150,'ASIGNACIONES'!$J$4:$J$339,0)),"")))</f>
        <v/>
      </c>
      <c r="AG150" s="13">
        <f>IF($AE150="","",SUMIFS('ORDENES'!$M$4:$M$1203,'ORDENES'!$AE$4:$AE$1203,$AE150,'ORDENES'!$O$4:$O$1203,$O150,'ORDENES'!$R$4:$R$1203,$R150))</f>
        <v/>
      </c>
      <c r="AH150" s="13">
        <f>IF($AG150="","",p_factor_productividad*IFERROR(INDEX('ASIGNACIONES'!$I$4:$I$339,MATCH($O150&amp;"|"&amp;$R150&amp;"|"&amp;$AE150,'ASIGNACIONES'!$J$4:$J$339,0)),0)-$AG150)</f>
        <v/>
      </c>
      <c r="AI150" s="10">
        <f>IF($A150="","",IFERROR(INDEX('2_IMPORTAR_EJECUCION'!$F$9:$F$1208,MATCH($AQ150,'2_IMPORTAR_EJECUCION'!$J$9:$J$1208,0)),0))</f>
        <v/>
      </c>
      <c r="AJ150" s="10">
        <f>IF($A150="","",MAX(0,IFERROR(INDEX('2_IMPORTAR_EJECUCION'!$H$9:$H$1208,MATCH($AQ150,'2_IMPORTAR_EJECUCION'!$J$9:$J$1208,0)),0)-$AI150))</f>
        <v/>
      </c>
      <c r="AK150" s="10">
        <f>IF($A150="","",$AI150+$AJ150)</f>
        <v/>
      </c>
      <c r="AL150" s="6" t="inlineStr"/>
      <c r="AM150" s="6" t="inlineStr"/>
      <c r="AN150" s="6" t="inlineStr"/>
      <c r="AO150" s="3">
        <f>IF($AN150="","",HYPERLINK(p_ruta_base_checklists&amp;$AN150,"abrir"))</f>
        <v/>
      </c>
      <c r="AP150" s="6" t="inlineStr"/>
      <c r="AQ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CC-220</t>
        </is>
      </c>
      <c r="G151" s="3" t="inlineStr">
        <is>
          <t>PU-OP</t>
        </is>
      </c>
      <c r="H151" s="3" t="inlineStr">
        <is>
          <t>ACT-03</t>
        </is>
      </c>
      <c r="I151" s="3" t="inlineStr">
        <is>
          <t>TIPO-C1</t>
        </is>
      </c>
      <c r="J151" s="11" t="n">
        <v>46150</v>
      </c>
      <c r="K151" s="3" t="n">
        <v>8</v>
      </c>
      <c r="L151" s="10" t="n">
        <v>320</v>
      </c>
      <c r="M151" s="3">
        <f>IF($A151="","",IFERROR(INDEX('AJUSTES'!$B$4:$B$303,MATCH($AQ151,'AJUSTES'!$A$4:$A$303,0)),IF($K151="","",$K151)))</f>
        <v/>
      </c>
      <c r="N151" s="3">
        <f>IF($A151="","",IFERROR(INDEX('CAT_ESTADOS_ERP'!$B$4:$B$7,MATCH(IFERROR(INDEX('2_IMPORTAR_EJECUCION'!$C$9:$C$1208,MATCH($AQ151,'2_IMPORTAR_EJECUCION'!$J$9:$J$1208,0)),""),'CAT_ESTADOS_ERP'!$A$4:$A$7,0)),"Pendiente"))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J151="","",IFERROR(INDEX('CALENDARIO'!$C$15:$C$214,MATCH(TEXT($J151,"yyyy-mm-dd")&amp;"|"&amp;$V151&amp;"|"&amp;$W151,'CALENDARIO'!$G$15:$G$214,0)),IFERROR(INDEX('CALENDARIO'!$C$15:$C$214,MATCH(TEXT($J151,"yyyy-mm-dd")&amp;"|"&amp;$V151&amp;"|",'CALENDARIO'!$G$15:$G$214,0)),IFERROR(INDEX('CALENDARIO'!$C$15:$C$214,MATCH(TEXT($J151,"yyyy-mm-dd")&amp;"||",'CALENDARIO'!$G$15:$G$214,0)),INDEX(patronHabil,WEEKDAY($J151,2))))))</f>
        <v/>
      </c>
      <c r="T151" s="3">
        <f>IF($I151="","",IFERROR(INDEX('CAT_TIPOS_OT'!$C$4:$C$7,MATCH($I151,'CAT_TIPOS_OT'!$A$4:$A$7,0)),"sin_clasificar"))</f>
        <v/>
      </c>
      <c r="U151" s="3">
        <f>IF($F151="","",IFERROR(INDEX('CAT_CENTROS_COSTO'!$F$4:$F$13,MATCH($F151,'CAT_CENTROS_COSTO'!$A$4:$A$13,0)),"(sin catálogo)"))</f>
        <v/>
      </c>
      <c r="V151" s="3">
        <f>IF($F151="","",IFERROR(INDEX('CAT_CENTROS_COSTO'!$D$4:$D$13,MATCH($F151,'CAT_CENTROS_COSTO'!$A$4:$A$13,0)),"(sin catálogo)"))</f>
        <v/>
      </c>
      <c r="W151" s="3">
        <f>IF($F151="","",IF((IFERROR(INDEX('CAT_CENTROS_COSTO'!$E$4:$E$13,MATCH($F151,'CAT_CENTROS_COSTO'!$A$4:$A$13,0)),""))&lt;&gt;"",IFERROR(INDEX('CAT_CENTROS_COSTO'!$E$4:$E$13,MATCH($F151,'CAT_CENTROS_COSTO'!$A$4:$A$13,0)),""),$V151))</f>
        <v/>
      </c>
      <c r="X151" s="3">
        <f>IF($F151="","",IFERROR(INDEX('CAT_CENTROS_COSTO'!$G$4:$G$13,MATCH($F151,'CAT_CENTROS_COSTO'!$A$4:$A$13,0)),"(sin catálogo)"))</f>
        <v/>
      </c>
      <c r="Y151" s="3">
        <f>IF($G151="","",IFERROR(INDEX('CAT_PUESTOS'!$B$4:$B$8,MATCH($G151,'CAT_PUESTOS'!$A$4:$A$8,0)),"(sin catálogo)"))</f>
        <v/>
      </c>
      <c r="Z151" s="3">
        <f>IF($H151="","",IFERROR(INDEX('CAT_ACTIVIDADES'!$B$4:$B$8,MATCH($H151,'CAT_ACTIVIDADES'!$A$4:$A$8,0)),"(sin catálogo)"))</f>
        <v/>
      </c>
      <c r="AA151" s="12">
        <f>IF($J151="","",TODAY()-$J151)</f>
        <v/>
      </c>
      <c r="AB151" s="12">
        <f>IF($J151="","",IF($J151&lt;=TODAY(),COUNTIFS(cal_fechas,"&gt;="&amp;$J151,cal_fechas,"&lt;"&amp;TODAY(),cal_habil,"sí"),-COUNTIFS(cal_fechas,"&gt;="&amp;TODAY(),cal_fechas,"&lt;"&amp;$J151,cal_habil,"sí")))</f>
        <v/>
      </c>
      <c r="AC151" s="3">
        <f>IF($AB151="","",IF($AB151&lt;0,"FUTURO",IF($AB151&gt;p_dias_backlog_max,"BACKLOG","MES CORRIENTE")))</f>
        <v/>
      </c>
      <c r="AD151" s="3">
        <f>IF($AB151="",FALSE,AND($AB151&gt;p_dias_backlog_min,$AB151&lt;=p_dias_backlog_max))</f>
        <v/>
      </c>
      <c r="AE151" s="6" t="inlineStr"/>
      <c r="AF151" s="3">
        <f>IF($AE151="","",IF((IFERROR(INDEX('ASIGNACIONES'!$F$4:$F$339,MATCH($O151&amp;"|"&amp;$R151&amp;"|"&amp;$AE151,'ASIGNACIONES'!$J$4:$J$339,0)),""))=0,"",IFERROR(INDEX('ASIGNACIONES'!$F$4:$F$339,MATCH($O151&amp;"|"&amp;$R151&amp;"|"&amp;$AE151,'ASIGNACIONES'!$J$4:$J$339,0)),"")))</f>
        <v/>
      </c>
      <c r="AG151" s="13">
        <f>IF($AE151="","",SUMIFS('ORDENES'!$M$4:$M$1203,'ORDENES'!$AE$4:$AE$1203,$AE151,'ORDENES'!$O$4:$O$1203,$O151,'ORDENES'!$R$4:$R$1203,$R151))</f>
        <v/>
      </c>
      <c r="AH151" s="13">
        <f>IF($AG151="","",p_factor_productividad*IFERROR(INDEX('ASIGNACIONES'!$I$4:$I$339,MATCH($O151&amp;"|"&amp;$R151&amp;"|"&amp;$AE151,'ASIGNACIONES'!$J$4:$J$339,0)),0)-$AG151)</f>
        <v/>
      </c>
      <c r="AI151" s="10">
        <f>IF($A151="","",IFERROR(INDEX('2_IMPORTAR_EJECUCION'!$F$9:$F$1208,MATCH($AQ151,'2_IMPORTAR_EJECUCION'!$J$9:$J$1208,0)),0))</f>
        <v/>
      </c>
      <c r="AJ151" s="10">
        <f>IF($A151="","",MAX(0,IFERROR(INDEX('2_IMPORTAR_EJECUCION'!$H$9:$H$1208,MATCH($AQ151,'2_IMPORTAR_EJECUCION'!$J$9:$J$1208,0)),0)-$AI151))</f>
        <v/>
      </c>
      <c r="AK151" s="10">
        <f>IF($A151="","",$AI151+$AJ151)</f>
        <v/>
      </c>
      <c r="AL151" s="6" t="inlineStr"/>
      <c r="AM151" s="6" t="inlineStr"/>
      <c r="AN151" s="6" t="inlineStr"/>
      <c r="AO151" s="3">
        <f>IF($AN151="","",HYPERLINK(p_ruta_base_checklists&amp;$AN151,"abrir"))</f>
        <v/>
      </c>
      <c r="AP151" s="6" t="inlineStr"/>
      <c r="AQ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Análisis predictivo — EQ-112</t>
        </is>
      </c>
      <c r="D152" s="3" t="inlineStr">
        <is>
          <t>Análisis predictivo en EQ-112</t>
        </is>
      </c>
      <c r="E152" s="3" t="inlineStr">
        <is>
          <t>EQ-112</t>
        </is>
      </c>
      <c r="F152" s="3" t="inlineStr">
        <is>
          <t>CC-310</t>
        </is>
      </c>
      <c r="G152" s="3" t="inlineStr">
        <is>
          <t>PU-MEC</t>
        </is>
      </c>
      <c r="H152" s="3" t="inlineStr">
        <is>
          <t>ACT-04</t>
        </is>
      </c>
      <c r="I152" s="3" t="inlineStr">
        <is>
          <t>TIPO-P2</t>
        </is>
      </c>
      <c r="J152" s="11" t="n">
        <v>46150</v>
      </c>
      <c r="K152" s="3" t="n">
        <v>4</v>
      </c>
      <c r="L152" s="10" t="n">
        <v>100</v>
      </c>
      <c r="M152" s="3">
        <f>IF($A152="","",IFERROR(INDEX('AJUSTES'!$B$4:$B$303,MATCH($AQ152,'AJUSTES'!$A$4:$A$303,0)),IF($K152="","",$K152)))</f>
        <v/>
      </c>
      <c r="N152" s="3">
        <f>IF($A152="","",IFERROR(INDEX('CAT_ESTADOS_ERP'!$B$4:$B$7,MATCH(IFERROR(INDEX('2_IMPORTAR_EJECUCION'!$C$9:$C$1208,MATCH($AQ152,'2_IMPORTAR_EJECUCION'!$J$9:$J$1208,0)),""),'CAT_ESTADOS_ERP'!$A$4:$A$7,0)),"Pendiente"))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J152="","",IFERROR(INDEX('CALENDARIO'!$C$15:$C$214,MATCH(TEXT($J152,"yyyy-mm-dd")&amp;"|"&amp;$V152&amp;"|"&amp;$W152,'CALENDARIO'!$G$15:$G$214,0)),IFERROR(INDEX('CALENDARIO'!$C$15:$C$214,MATCH(TEXT($J152,"yyyy-mm-dd")&amp;"|"&amp;$V152&amp;"|",'CALENDARIO'!$G$15:$G$214,0)),IFERROR(INDEX('CALENDARIO'!$C$15:$C$214,MATCH(TEXT($J152,"yyyy-mm-dd")&amp;"||",'CALENDARIO'!$G$15:$G$214,0)),INDEX(patronHabil,WEEKDAY($J152,2))))))</f>
        <v/>
      </c>
      <c r="T152" s="3">
        <f>IF($I152="","",IFERROR(INDEX('CAT_TIPOS_OT'!$C$4:$C$7,MATCH($I152,'CAT_TIPOS_OT'!$A$4:$A$7,0)),"sin_clasificar"))</f>
        <v/>
      </c>
      <c r="U152" s="3">
        <f>IF($F152="","",IFERROR(INDEX('CAT_CENTROS_COSTO'!$F$4:$F$13,MATCH($F152,'CAT_CENTROS_COSTO'!$A$4:$A$13,0)),"(sin catálogo)"))</f>
        <v/>
      </c>
      <c r="V152" s="3">
        <f>IF($F152="","",IFERROR(INDEX('CAT_CENTROS_COSTO'!$D$4:$D$13,MATCH($F152,'CAT_CENTROS_COSTO'!$A$4:$A$13,0)),"(sin catálogo)"))</f>
        <v/>
      </c>
      <c r="W152" s="3">
        <f>IF($F152="","",IF((IFERROR(INDEX('CAT_CENTROS_COSTO'!$E$4:$E$13,MATCH($F152,'CAT_CENTROS_COSTO'!$A$4:$A$13,0)),""))&lt;&gt;"",IFERROR(INDEX('CAT_CENTROS_COSTO'!$E$4:$E$13,MATCH($F152,'CAT_CENTROS_COSTO'!$A$4:$A$13,0)),""),$V152))</f>
        <v/>
      </c>
      <c r="X152" s="3">
        <f>IF($F152="","",IFERROR(INDEX('CAT_CENTROS_COSTO'!$G$4:$G$13,MATCH($F152,'CAT_CENTROS_COSTO'!$A$4:$A$13,0)),"(sin catálogo)"))</f>
        <v/>
      </c>
      <c r="Y152" s="3">
        <f>IF($G152="","",IFERROR(INDEX('CAT_PUESTOS'!$B$4:$B$8,MATCH($G152,'CAT_PUESTOS'!$A$4:$A$8,0)),"(sin catálogo)"))</f>
        <v/>
      </c>
      <c r="Z152" s="3">
        <f>IF($H152="","",IFERROR(INDEX('CAT_ACTIVIDADES'!$B$4:$B$8,MATCH($H152,'CAT_ACTIVIDADES'!$A$4:$A$8,0)),"(sin catálogo)"))</f>
        <v/>
      </c>
      <c r="AA152" s="12">
        <f>IF($J152="","",TODAY()-$J152)</f>
        <v/>
      </c>
      <c r="AB152" s="12">
        <f>IF($J152="","",IF($J152&lt;=TODAY(),COUNTIFS(cal_fechas,"&gt;="&amp;$J152,cal_fechas,"&lt;"&amp;TODAY(),cal_habil,"sí"),-COUNTIFS(cal_fechas,"&gt;="&amp;TODAY(),cal_fechas,"&lt;"&amp;$J152,cal_habil,"sí")))</f>
        <v/>
      </c>
      <c r="AC152" s="3">
        <f>IF($AB152="","",IF($AB152&lt;0,"FUTURO",IF($AB152&gt;p_dias_backlog_max,"BACKLOG","MES CORRIENTE")))</f>
        <v/>
      </c>
      <c r="AD152" s="3">
        <f>IF($AB152="",FALSE,AND($AB152&gt;p_dias_backlog_min,$AB152&lt;=p_dias_backlog_max))</f>
        <v/>
      </c>
      <c r="AE152" s="6" t="inlineStr"/>
      <c r="AF152" s="3">
        <f>IF($AE152="","",IF((IFERROR(INDEX('ASIGNACIONES'!$F$4:$F$339,MATCH($O152&amp;"|"&amp;$R152&amp;"|"&amp;$AE152,'ASIGNACIONES'!$J$4:$J$339,0)),""))=0,"",IFERROR(INDEX('ASIGNACIONES'!$F$4:$F$339,MATCH($O152&amp;"|"&amp;$R152&amp;"|"&amp;$AE152,'ASIGNACIONES'!$J$4:$J$339,0)),"")))</f>
        <v/>
      </c>
      <c r="AG152" s="13">
        <f>IF($AE152="","",SUMIFS('ORDENES'!$M$4:$M$1203,'ORDENES'!$AE$4:$AE$1203,$AE152,'ORDENES'!$O$4:$O$1203,$O152,'ORDENES'!$R$4:$R$1203,$R152))</f>
        <v/>
      </c>
      <c r="AH152" s="13">
        <f>IF($AG152="","",p_factor_productividad*IFERROR(INDEX('ASIGNACIONES'!$I$4:$I$339,MATCH($O152&amp;"|"&amp;$R152&amp;"|"&amp;$AE152,'ASIGNACIONES'!$J$4:$J$339,0)),0)-$AG152)</f>
        <v/>
      </c>
      <c r="AI152" s="10">
        <f>IF($A152="","",IFERROR(INDEX('2_IMPORTAR_EJECUCION'!$F$9:$F$1208,MATCH($AQ152,'2_IMPORTAR_EJECUCION'!$J$9:$J$1208,0)),0))</f>
        <v/>
      </c>
      <c r="AJ152" s="10">
        <f>IF($A152="","",MAX(0,IFERROR(INDEX('2_IMPORTAR_EJECUCION'!$H$9:$H$1208,MATCH($AQ152,'2_IMPORTAR_EJECUCION'!$J$9:$J$1208,0)),0)-$AI152))</f>
        <v/>
      </c>
      <c r="AK152" s="10">
        <f>IF($A152="","",$AI152+$AJ152)</f>
        <v/>
      </c>
      <c r="AL152" s="6" t="inlineStr"/>
      <c r="AM152" s="6" t="inlineStr"/>
      <c r="AN152" s="6" t="inlineStr"/>
      <c r="AO152" s="3">
        <f>IF($AN152="","",HYPERLINK(p_ruta_base_checklists&amp;$AN152,"abrir"))</f>
        <v/>
      </c>
      <c r="AP152" s="6" t="inlineStr"/>
      <c r="AQ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CC-311</t>
        </is>
      </c>
      <c r="G153" s="3" t="inlineStr">
        <is>
          <t>PU-ELE</t>
        </is>
      </c>
      <c r="H153" s="3" t="inlineStr">
        <is>
          <t>ACT-03</t>
        </is>
      </c>
      <c r="I153" s="3" t="inlineStr">
        <is>
          <t>TIPO-C1</t>
        </is>
      </c>
      <c r="J153" s="11" t="n">
        <v>46150</v>
      </c>
      <c r="K153" s="3" t="n">
        <v>6</v>
      </c>
      <c r="L153" s="10" t="n">
        <v>240</v>
      </c>
      <c r="M153" s="3">
        <f>IF($A153="","",IFERROR(INDEX('AJUSTES'!$B$4:$B$303,MATCH($AQ153,'AJUSTES'!$A$4:$A$303,0)),IF($K153="","",$K153)))</f>
        <v/>
      </c>
      <c r="N153" s="3">
        <f>IF($A153="","",IFERROR(INDEX('CAT_ESTADOS_ERP'!$B$4:$B$7,MATCH(IFERROR(INDEX('2_IMPORTAR_EJECUCION'!$C$9:$C$1208,MATCH($AQ153,'2_IMPORTAR_EJECUCION'!$J$9:$J$1208,0)),""),'CAT_ESTADOS_ERP'!$A$4:$A$7,0)),"Pendiente"))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J153="","",IFERROR(INDEX('CALENDARIO'!$C$15:$C$214,MATCH(TEXT($J153,"yyyy-mm-dd")&amp;"|"&amp;$V153&amp;"|"&amp;$W153,'CALENDARIO'!$G$15:$G$214,0)),IFERROR(INDEX('CALENDARIO'!$C$15:$C$214,MATCH(TEXT($J153,"yyyy-mm-dd")&amp;"|"&amp;$V153&amp;"|",'CALENDARIO'!$G$15:$G$214,0)),IFERROR(INDEX('CALENDARIO'!$C$15:$C$214,MATCH(TEXT($J153,"yyyy-mm-dd")&amp;"||",'CALENDARIO'!$G$15:$G$214,0)),INDEX(patronHabil,WEEKDAY($J153,2))))))</f>
        <v/>
      </c>
      <c r="T153" s="3">
        <f>IF($I153="","",IFERROR(INDEX('CAT_TIPOS_OT'!$C$4:$C$7,MATCH($I153,'CAT_TIPOS_OT'!$A$4:$A$7,0)),"sin_clasificar"))</f>
        <v/>
      </c>
      <c r="U153" s="3">
        <f>IF($F153="","",IFERROR(INDEX('CAT_CENTROS_COSTO'!$F$4:$F$13,MATCH($F153,'CAT_CENTROS_COSTO'!$A$4:$A$13,0)),"(sin catálogo)"))</f>
        <v/>
      </c>
      <c r="V153" s="3">
        <f>IF($F153="","",IFERROR(INDEX('CAT_CENTROS_COSTO'!$D$4:$D$13,MATCH($F153,'CAT_CENTROS_COSTO'!$A$4:$A$13,0)),"(sin catálogo)"))</f>
        <v/>
      </c>
      <c r="W153" s="3">
        <f>IF($F153="","",IF((IFERROR(INDEX('CAT_CENTROS_COSTO'!$E$4:$E$13,MATCH($F153,'CAT_CENTROS_COSTO'!$A$4:$A$13,0)),""))&lt;&gt;"",IFERROR(INDEX('CAT_CENTROS_COSTO'!$E$4:$E$13,MATCH($F153,'CAT_CENTROS_COSTO'!$A$4:$A$13,0)),""),$V153))</f>
        <v/>
      </c>
      <c r="X153" s="3">
        <f>IF($F153="","",IFERROR(INDEX('CAT_CENTROS_COSTO'!$G$4:$G$13,MATCH($F153,'CAT_CENTROS_COSTO'!$A$4:$A$13,0)),"(sin catálogo)"))</f>
        <v/>
      </c>
      <c r="Y153" s="3">
        <f>IF($G153="","",IFERROR(INDEX('CAT_PUESTOS'!$B$4:$B$8,MATCH($G153,'CAT_PUESTOS'!$A$4:$A$8,0)),"(sin catálogo)"))</f>
        <v/>
      </c>
      <c r="Z153" s="3">
        <f>IF($H153="","",IFERROR(INDEX('CAT_ACTIVIDADES'!$B$4:$B$8,MATCH($H153,'CAT_ACTIVIDADES'!$A$4:$A$8,0)),"(sin catálogo)"))</f>
        <v/>
      </c>
      <c r="AA153" s="12">
        <f>IF($J153="","",TODAY()-$J153)</f>
        <v/>
      </c>
      <c r="AB153" s="12">
        <f>IF($J153="","",IF($J153&lt;=TODAY(),COUNTIFS(cal_fechas,"&gt;="&amp;$J153,cal_fechas,"&lt;"&amp;TODAY(),cal_habil,"sí"),-COUNTIFS(cal_fechas,"&gt;="&amp;TODAY(),cal_fechas,"&lt;"&amp;$J153,cal_habil,"sí")))</f>
        <v/>
      </c>
      <c r="AC153" s="3">
        <f>IF($AB153="","",IF($AB153&lt;0,"FUTURO",IF($AB153&gt;p_dias_backlog_max,"BACKLOG","MES CORRIENTE")))</f>
        <v/>
      </c>
      <c r="AD153" s="3">
        <f>IF($AB153="",FALSE,AND($AB153&gt;p_dias_backlog_min,$AB153&lt;=p_dias_backlog_max))</f>
        <v/>
      </c>
      <c r="AE153" s="6" t="inlineStr"/>
      <c r="AF153" s="3">
        <f>IF($AE153="","",IF((IFERROR(INDEX('ASIGNACIONES'!$F$4:$F$339,MATCH($O153&amp;"|"&amp;$R153&amp;"|"&amp;$AE153,'ASIGNACIONES'!$J$4:$J$339,0)),""))=0,"",IFERROR(INDEX('ASIGNACIONES'!$F$4:$F$339,MATCH($O153&amp;"|"&amp;$R153&amp;"|"&amp;$AE153,'ASIGNACIONES'!$J$4:$J$339,0)),"")))</f>
        <v/>
      </c>
      <c r="AG153" s="13">
        <f>IF($AE153="","",SUMIFS('ORDENES'!$M$4:$M$1203,'ORDENES'!$AE$4:$AE$1203,$AE153,'ORDENES'!$O$4:$O$1203,$O153,'ORDENES'!$R$4:$R$1203,$R153))</f>
        <v/>
      </c>
      <c r="AH153" s="13">
        <f>IF($AG153="","",p_factor_productividad*IFERROR(INDEX('ASIGNACIONES'!$I$4:$I$339,MATCH($O153&amp;"|"&amp;$R153&amp;"|"&amp;$AE153,'ASIGNACIONES'!$J$4:$J$339,0)),0)-$AG153)</f>
        <v/>
      </c>
      <c r="AI153" s="10">
        <f>IF($A153="","",IFERROR(INDEX('2_IMPORTAR_EJECUCION'!$F$9:$F$1208,MATCH($AQ153,'2_IMPORTAR_EJECUCION'!$J$9:$J$1208,0)),0))</f>
        <v/>
      </c>
      <c r="AJ153" s="10">
        <f>IF($A153="","",MAX(0,IFERROR(INDEX('2_IMPORTAR_EJECUCION'!$H$9:$H$1208,MATCH($AQ153,'2_IMPORTAR_EJECUCION'!$J$9:$J$1208,0)),0)-$AI153))</f>
        <v/>
      </c>
      <c r="AK153" s="10">
        <f>IF($A153="","",$AI153+$AJ153)</f>
        <v/>
      </c>
      <c r="AL153" s="6" t="inlineStr"/>
      <c r="AM153" s="6" t="inlineStr"/>
      <c r="AN153" s="6" t="inlineStr"/>
      <c r="AO153" s="3">
        <f>IF($AN153="","",HYPERLINK(p_ruta_base_checklists&amp;$AN153,"abrir"))</f>
        <v/>
      </c>
      <c r="AP153" s="6" t="inlineStr"/>
      <c r="AQ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Reparación de falla — EQ-111</t>
        </is>
      </c>
      <c r="D154" s="3" t="inlineStr">
        <is>
          <t>Reparación de falla en EQ-111</t>
        </is>
      </c>
      <c r="E154" s="3" t="inlineStr">
        <is>
          <t>EQ-111</t>
        </is>
      </c>
      <c r="F154" s="3" t="inlineStr">
        <is>
          <t>CC-320</t>
        </is>
      </c>
      <c r="G154" s="3" t="inlineStr">
        <is>
          <t>PU-AUT</t>
        </is>
      </c>
      <c r="H154" s="3" t="inlineStr">
        <is>
          <t>ACT-03</t>
        </is>
      </c>
      <c r="I154" s="3" t="inlineStr">
        <is>
          <t>TIPO-C2</t>
        </is>
      </c>
      <c r="J154" s="11" t="n">
        <v>46150</v>
      </c>
      <c r="K154" s="3" t="n">
        <v>8</v>
      </c>
      <c r="L154" s="10" t="n">
        <v>320</v>
      </c>
      <c r="M154" s="3">
        <f>IF($A154="","",IFERROR(INDEX('AJUSTES'!$B$4:$B$303,MATCH($AQ154,'AJUSTES'!$A$4:$A$303,0)),IF($K154="","",$K154)))</f>
        <v/>
      </c>
      <c r="N154" s="3">
        <f>IF($A154="","",IFERROR(INDEX('CAT_ESTADOS_ERP'!$B$4:$B$7,MATCH(IFERROR(INDEX('2_IMPORTAR_EJECUCION'!$C$9:$C$1208,MATCH($AQ154,'2_IMPORTAR_EJECUCION'!$J$9:$J$1208,0)),""),'CAT_ESTADOS_ERP'!$A$4:$A$7,0)),"Pendiente"))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J154="","",IFERROR(INDEX('CALENDARIO'!$C$15:$C$214,MATCH(TEXT($J154,"yyyy-mm-dd")&amp;"|"&amp;$V154&amp;"|"&amp;$W154,'CALENDARIO'!$G$15:$G$214,0)),IFERROR(INDEX('CALENDARIO'!$C$15:$C$214,MATCH(TEXT($J154,"yyyy-mm-dd")&amp;"|"&amp;$V154&amp;"|",'CALENDARIO'!$G$15:$G$214,0)),IFERROR(INDEX('CALENDARIO'!$C$15:$C$214,MATCH(TEXT($J154,"yyyy-mm-dd")&amp;"||",'CALENDARIO'!$G$15:$G$214,0)),INDEX(patronHabil,WEEKDAY($J154,2))))))</f>
        <v/>
      </c>
      <c r="T154" s="3">
        <f>IF($I154="","",IFERROR(INDEX('CAT_TIPOS_OT'!$C$4:$C$7,MATCH($I154,'CAT_TIPOS_OT'!$A$4:$A$7,0)),"sin_clasificar"))</f>
        <v/>
      </c>
      <c r="U154" s="3">
        <f>IF($F154="","",IFERROR(INDEX('CAT_CENTROS_COSTO'!$F$4:$F$13,MATCH($F154,'CAT_CENTROS_COSTO'!$A$4:$A$13,0)),"(sin catálogo)"))</f>
        <v/>
      </c>
      <c r="V154" s="3">
        <f>IF($F154="","",IFERROR(INDEX('CAT_CENTROS_COSTO'!$D$4:$D$13,MATCH($F154,'CAT_CENTROS_COSTO'!$A$4:$A$13,0)),"(sin catálogo)"))</f>
        <v/>
      </c>
      <c r="W154" s="3">
        <f>IF($F154="","",IF((IFERROR(INDEX('CAT_CENTROS_COSTO'!$E$4:$E$13,MATCH($F154,'CAT_CENTROS_COSTO'!$A$4:$A$13,0)),""))&lt;&gt;"",IFERROR(INDEX('CAT_CENTROS_COSTO'!$E$4:$E$13,MATCH($F154,'CAT_CENTROS_COSTO'!$A$4:$A$13,0)),""),$V154))</f>
        <v/>
      </c>
      <c r="X154" s="3">
        <f>IF($F154="","",IFERROR(INDEX('CAT_CENTROS_COSTO'!$G$4:$G$13,MATCH($F154,'CAT_CENTROS_COSTO'!$A$4:$A$13,0)),"(sin catálogo)"))</f>
        <v/>
      </c>
      <c r="Y154" s="3">
        <f>IF($G154="","",IFERROR(INDEX('CAT_PUESTOS'!$B$4:$B$8,MATCH($G154,'CAT_PUESTOS'!$A$4:$A$8,0)),"(sin catálogo)"))</f>
        <v/>
      </c>
      <c r="Z154" s="3">
        <f>IF($H154="","",IFERROR(INDEX('CAT_ACTIVIDADES'!$B$4:$B$8,MATCH($H154,'CAT_ACTIVIDADES'!$A$4:$A$8,0)),"(sin catálogo)"))</f>
        <v/>
      </c>
      <c r="AA154" s="12">
        <f>IF($J154="","",TODAY()-$J154)</f>
        <v/>
      </c>
      <c r="AB154" s="12">
        <f>IF($J154="","",IF($J154&lt;=TODAY(),COUNTIFS(cal_fechas,"&gt;="&amp;$J154,cal_fechas,"&lt;"&amp;TODAY(),cal_habil,"sí"),-COUNTIFS(cal_fechas,"&gt;="&amp;TODAY(),cal_fechas,"&lt;"&amp;$J154,cal_habil,"sí")))</f>
        <v/>
      </c>
      <c r="AC154" s="3">
        <f>IF($AB154="","",IF($AB154&lt;0,"FUTURO",IF($AB154&gt;p_dias_backlog_max,"BACKLOG","MES CORRIENTE")))</f>
        <v/>
      </c>
      <c r="AD154" s="3">
        <f>IF($AB154="",FALSE,AND($AB154&gt;p_dias_backlog_min,$AB154&lt;=p_dias_backlog_max))</f>
        <v/>
      </c>
      <c r="AE154" s="6" t="inlineStr"/>
      <c r="AF154" s="3">
        <f>IF($AE154="","",IF((IFERROR(INDEX('ASIGNACIONES'!$F$4:$F$339,MATCH($O154&amp;"|"&amp;$R154&amp;"|"&amp;$AE154,'ASIGNACIONES'!$J$4:$J$339,0)),""))=0,"",IFERROR(INDEX('ASIGNACIONES'!$F$4:$F$339,MATCH($O154&amp;"|"&amp;$R154&amp;"|"&amp;$AE154,'ASIGNACIONES'!$J$4:$J$339,0)),"")))</f>
        <v/>
      </c>
      <c r="AG154" s="13">
        <f>IF($AE154="","",SUMIFS('ORDENES'!$M$4:$M$1203,'ORDENES'!$AE$4:$AE$1203,$AE154,'ORDENES'!$O$4:$O$1203,$O154,'ORDENES'!$R$4:$R$1203,$R154))</f>
        <v/>
      </c>
      <c r="AH154" s="13">
        <f>IF($AG154="","",p_factor_productividad*IFERROR(INDEX('ASIGNACIONES'!$I$4:$I$339,MATCH($O154&amp;"|"&amp;$R154&amp;"|"&amp;$AE154,'ASIGNACIONES'!$J$4:$J$339,0)),0)-$AG154)</f>
        <v/>
      </c>
      <c r="AI154" s="10">
        <f>IF($A154="","",IFERROR(INDEX('2_IMPORTAR_EJECUCION'!$F$9:$F$1208,MATCH($AQ154,'2_IMPORTAR_EJECUCION'!$J$9:$J$1208,0)),0))</f>
        <v/>
      </c>
      <c r="AJ154" s="10">
        <f>IF($A154="","",MAX(0,IFERROR(INDEX('2_IMPORTAR_EJECUCION'!$H$9:$H$1208,MATCH($AQ154,'2_IMPORTAR_EJECUCION'!$J$9:$J$1208,0)),0)-$AI154))</f>
        <v/>
      </c>
      <c r="AK154" s="10">
        <f>IF($A154="","",$AI154+$AJ154)</f>
        <v/>
      </c>
      <c r="AL154" s="6" t="inlineStr"/>
      <c r="AM154" s="6" t="inlineStr"/>
      <c r="AN154" s="6" t="inlineStr"/>
      <c r="AO154" s="3">
        <f>IF($AN154="","",HYPERLINK(p_ruta_base_checklists&amp;$AN154,"abrir"))</f>
        <v/>
      </c>
      <c r="AP154" s="6" t="inlineStr"/>
      <c r="AQ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EQ-106</t>
        </is>
      </c>
      <c r="D155" s="3" t="inlineStr">
        <is>
          <t>Reparación de falla en EQ-106</t>
        </is>
      </c>
      <c r="E155" s="3" t="inlineStr">
        <is>
          <t>EQ-106</t>
        </is>
      </c>
      <c r="F155" s="3" t="inlineStr">
        <is>
          <t>CC-210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46125</v>
      </c>
      <c r="K155" s="3" t="n">
        <v>4</v>
      </c>
      <c r="L155" s="10" t="n">
        <v>160</v>
      </c>
      <c r="M155" s="3">
        <f>IF($A155="","",IFERROR(INDEX('AJUSTES'!$B$4:$B$303,MATCH($AQ155,'AJUSTES'!$A$4:$A$303,0)),IF($K155="","",$K155)))</f>
        <v/>
      </c>
      <c r="N155" s="3">
        <f>IF($A155="","",IFERROR(INDEX('CAT_ESTADOS_ERP'!$B$4:$B$7,MATCH(IFERROR(INDEX('2_IMPORTAR_EJECUCION'!$C$9:$C$1208,MATCH($AQ155,'2_IMPORTAR_EJECUCION'!$J$9:$J$1208,0)),""),'CAT_ESTADOS_ERP'!$A$4:$A$7,0)),"Pendiente"))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J155="","",IFERROR(INDEX('CALENDARIO'!$C$15:$C$214,MATCH(TEXT($J155,"yyyy-mm-dd")&amp;"|"&amp;$V155&amp;"|"&amp;$W155,'CALENDARIO'!$G$15:$G$214,0)),IFERROR(INDEX('CALENDARIO'!$C$15:$C$214,MATCH(TEXT($J155,"yyyy-mm-dd")&amp;"|"&amp;$V155&amp;"|",'CALENDARIO'!$G$15:$G$214,0)),IFERROR(INDEX('CALENDARIO'!$C$15:$C$214,MATCH(TEXT($J155,"yyyy-mm-dd")&amp;"||",'CALENDARIO'!$G$15:$G$214,0)),INDEX(patronHabil,WEEKDAY($J155,2))))))</f>
        <v/>
      </c>
      <c r="T155" s="3">
        <f>IF($I155="","",IFERROR(INDEX('CAT_TIPOS_OT'!$C$4:$C$7,MATCH($I155,'CAT_TIPOS_OT'!$A$4:$A$7,0)),"sin_clasificar"))</f>
        <v/>
      </c>
      <c r="U155" s="3">
        <f>IF($F155="","",IFERROR(INDEX('CAT_CENTROS_COSTO'!$F$4:$F$13,MATCH($F155,'CAT_CENTROS_COSTO'!$A$4:$A$13,0)),"(sin catálogo)"))</f>
        <v/>
      </c>
      <c r="V155" s="3">
        <f>IF($F155="","",IFERROR(INDEX('CAT_CENTROS_COSTO'!$D$4:$D$13,MATCH($F155,'CAT_CENTROS_COSTO'!$A$4:$A$13,0)),"(sin catálogo)"))</f>
        <v/>
      </c>
      <c r="W155" s="3">
        <f>IF($F155="","",IF((IFERROR(INDEX('CAT_CENTROS_COSTO'!$E$4:$E$13,MATCH($F155,'CAT_CENTROS_COSTO'!$A$4:$A$13,0)),""))&lt;&gt;"",IFERROR(INDEX('CAT_CENTROS_COSTO'!$E$4:$E$13,MATCH($F155,'CAT_CENTROS_COSTO'!$A$4:$A$13,0)),""),$V155))</f>
        <v/>
      </c>
      <c r="X155" s="3">
        <f>IF($F155="","",IFERROR(INDEX('CAT_CENTROS_COSTO'!$G$4:$G$13,MATCH($F155,'CAT_CENTROS_COSTO'!$A$4:$A$13,0)),"(sin catálogo)"))</f>
        <v/>
      </c>
      <c r="Y155" s="3">
        <f>IF($G155="","",IFERROR(INDEX('CAT_PUESTOS'!$B$4:$B$8,MATCH($G155,'CAT_PUESTOS'!$A$4:$A$8,0)),"(sin catálogo)"))</f>
        <v/>
      </c>
      <c r="Z155" s="3">
        <f>IF($H155="","",IFERROR(INDEX('CAT_ACTIVIDADES'!$B$4:$B$8,MATCH($H155,'CAT_ACTIVIDADES'!$A$4:$A$8,0)),"(sin catálogo)"))</f>
        <v/>
      </c>
      <c r="AA155" s="12">
        <f>IF($J155="","",TODAY()-$J155)</f>
        <v/>
      </c>
      <c r="AB155" s="12">
        <f>IF($J155="","",IF($J155&lt;=TODAY(),COUNTIFS(cal_fechas,"&gt;="&amp;$J155,cal_fechas,"&lt;"&amp;TODAY(),cal_habil,"sí"),-COUNTIFS(cal_fechas,"&gt;="&amp;TODAY(),cal_fechas,"&lt;"&amp;$J155,cal_habil,"sí")))</f>
        <v/>
      </c>
      <c r="AC155" s="3">
        <f>IF($AB155="","",IF($AB155&lt;0,"FUTURO",IF($AB155&gt;p_dias_backlog_max,"BACKLOG","MES CORRIENTE")))</f>
        <v/>
      </c>
      <c r="AD155" s="3">
        <f>IF($AB155="",FALSE,AND($AB155&gt;p_dias_backlog_min,$AB155&lt;=p_dias_backlog_max))</f>
        <v/>
      </c>
      <c r="AE155" s="6" t="inlineStr"/>
      <c r="AF155" s="3">
        <f>IF($AE155="","",IF((IFERROR(INDEX('ASIGNACIONES'!$F$4:$F$339,MATCH($O155&amp;"|"&amp;$R155&amp;"|"&amp;$AE155,'ASIGNACIONES'!$J$4:$J$339,0)),""))=0,"",IFERROR(INDEX('ASIGNACIONES'!$F$4:$F$339,MATCH($O155&amp;"|"&amp;$R155&amp;"|"&amp;$AE155,'ASIGNACIONES'!$J$4:$J$339,0)),"")))</f>
        <v/>
      </c>
      <c r="AG155" s="13">
        <f>IF($AE155="","",SUMIFS('ORDENES'!$M$4:$M$1203,'ORDENES'!$AE$4:$AE$1203,$AE155,'ORDENES'!$O$4:$O$1203,$O155,'ORDENES'!$R$4:$R$1203,$R155))</f>
        <v/>
      </c>
      <c r="AH155" s="13">
        <f>IF($AG155="","",p_factor_productividad*IFERROR(INDEX('ASIGNACIONES'!$I$4:$I$339,MATCH($O155&amp;"|"&amp;$R155&amp;"|"&amp;$AE155,'ASIGNACIONES'!$J$4:$J$339,0)),0)-$AG155)</f>
        <v/>
      </c>
      <c r="AI155" s="10">
        <f>IF($A155="","",IFERROR(INDEX('2_IMPORTAR_EJECUCION'!$F$9:$F$1208,MATCH($AQ155,'2_IMPORTAR_EJECUCION'!$J$9:$J$1208,0)),0))</f>
        <v/>
      </c>
      <c r="AJ155" s="10">
        <f>IF($A155="","",MAX(0,IFERROR(INDEX('2_IMPORTAR_EJECUCION'!$H$9:$H$1208,MATCH($AQ155,'2_IMPORTAR_EJECUCION'!$J$9:$J$1208,0)),0)-$AI155))</f>
        <v/>
      </c>
      <c r="AK155" s="10">
        <f>IF($A155="","",$AI155+$AJ155)</f>
        <v/>
      </c>
      <c r="AL155" s="6" t="inlineStr"/>
      <c r="AM155" s="6" t="inlineStr"/>
      <c r="AN155" s="6" t="inlineStr"/>
      <c r="AO155" s="3">
        <f>IF($AN155="","",HYPERLINK(p_ruta_base_checklists&amp;$AN155,"abrir"))</f>
        <v/>
      </c>
      <c r="AP155" s="6" t="inlineStr"/>
      <c r="AQ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EQ-107</t>
        </is>
      </c>
      <c r="D156" s="3" t="inlineStr">
        <is>
          <t>Reparación de falla en EQ-107</t>
        </is>
      </c>
      <c r="E156" s="3" t="inlineStr">
        <is>
          <t>EQ-107</t>
        </is>
      </c>
      <c r="F156" s="3" t="inlineStr">
        <is>
          <t>CC-220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46125</v>
      </c>
      <c r="K156" s="3" t="n">
        <v>6</v>
      </c>
      <c r="L156" s="10" t="n">
        <v>240</v>
      </c>
      <c r="M156" s="3">
        <f>IF($A156="","",IFERROR(INDEX('AJUSTES'!$B$4:$B$303,MATCH($AQ156,'AJUSTES'!$A$4:$A$303,0)),IF($K156="","",$K156)))</f>
        <v/>
      </c>
      <c r="N156" s="3">
        <f>IF($A156="","",IFERROR(INDEX('CAT_ESTADOS_ERP'!$B$4:$B$7,MATCH(IFERROR(INDEX('2_IMPORTAR_EJECUCION'!$C$9:$C$1208,MATCH($AQ156,'2_IMPORTAR_EJECUCION'!$J$9:$J$1208,0)),""),'CAT_ESTADOS_ERP'!$A$4:$A$7,0)),"Pendiente"))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J156="","",IFERROR(INDEX('CALENDARIO'!$C$15:$C$214,MATCH(TEXT($J156,"yyyy-mm-dd")&amp;"|"&amp;$V156&amp;"|"&amp;$W156,'CALENDARIO'!$G$15:$G$214,0)),IFERROR(INDEX('CALENDARIO'!$C$15:$C$214,MATCH(TEXT($J156,"yyyy-mm-dd")&amp;"|"&amp;$V156&amp;"|",'CALENDARIO'!$G$15:$G$214,0)),IFERROR(INDEX('CALENDARIO'!$C$15:$C$214,MATCH(TEXT($J156,"yyyy-mm-dd")&amp;"||",'CALENDARIO'!$G$15:$G$214,0)),INDEX(patronHabil,WEEKDAY($J156,2))))))</f>
        <v/>
      </c>
      <c r="T156" s="3">
        <f>IF($I156="","",IFERROR(INDEX('CAT_TIPOS_OT'!$C$4:$C$7,MATCH($I156,'CAT_TIPOS_OT'!$A$4:$A$7,0)),"sin_clasificar"))</f>
        <v/>
      </c>
      <c r="U156" s="3">
        <f>IF($F156="","",IFERROR(INDEX('CAT_CENTROS_COSTO'!$F$4:$F$13,MATCH($F156,'CAT_CENTROS_COSTO'!$A$4:$A$13,0)),"(sin catálogo)"))</f>
        <v/>
      </c>
      <c r="V156" s="3">
        <f>IF($F156="","",IFERROR(INDEX('CAT_CENTROS_COSTO'!$D$4:$D$13,MATCH($F156,'CAT_CENTROS_COSTO'!$A$4:$A$13,0)),"(sin catálogo)"))</f>
        <v/>
      </c>
      <c r="W156" s="3">
        <f>IF($F156="","",IF((IFERROR(INDEX('CAT_CENTROS_COSTO'!$E$4:$E$13,MATCH($F156,'CAT_CENTROS_COSTO'!$A$4:$A$13,0)),""))&lt;&gt;"",IFERROR(INDEX('CAT_CENTROS_COSTO'!$E$4:$E$13,MATCH($F156,'CAT_CENTROS_COSTO'!$A$4:$A$13,0)),""),$V156))</f>
        <v/>
      </c>
      <c r="X156" s="3">
        <f>IF($F156="","",IFERROR(INDEX('CAT_CENTROS_COSTO'!$G$4:$G$13,MATCH($F156,'CAT_CENTROS_COSTO'!$A$4:$A$13,0)),"(sin catálogo)"))</f>
        <v/>
      </c>
      <c r="Y156" s="3">
        <f>IF($G156="","",IFERROR(INDEX('CAT_PUESTOS'!$B$4:$B$8,MATCH($G156,'CAT_PUESTOS'!$A$4:$A$8,0)),"(sin catálogo)"))</f>
        <v/>
      </c>
      <c r="Z156" s="3">
        <f>IF($H156="","",IFERROR(INDEX('CAT_ACTIVIDADES'!$B$4:$B$8,MATCH($H156,'CAT_ACTIVIDADES'!$A$4:$A$8,0)),"(sin catálogo)"))</f>
        <v/>
      </c>
      <c r="AA156" s="12">
        <f>IF($J156="","",TODAY()-$J156)</f>
        <v/>
      </c>
      <c r="AB156" s="12">
        <f>IF($J156="","",IF($J156&lt;=TODAY(),COUNTIFS(cal_fechas,"&gt;="&amp;$J156,cal_fechas,"&lt;"&amp;TODAY(),cal_habil,"sí"),-COUNTIFS(cal_fechas,"&gt;="&amp;TODAY(),cal_fechas,"&lt;"&amp;$J156,cal_habil,"sí")))</f>
        <v/>
      </c>
      <c r="AC156" s="3">
        <f>IF($AB156="","",IF($AB156&lt;0,"FUTURO",IF($AB156&gt;p_dias_backlog_max,"BACKLOG","MES CORRIENTE")))</f>
        <v/>
      </c>
      <c r="AD156" s="3">
        <f>IF($AB156="",FALSE,AND($AB156&gt;p_dias_backlog_min,$AB156&lt;=p_dias_backlog_max))</f>
        <v/>
      </c>
      <c r="AE156" s="6" t="inlineStr"/>
      <c r="AF156" s="3">
        <f>IF($AE156="","",IF((IFERROR(INDEX('ASIGNACIONES'!$F$4:$F$339,MATCH($O156&amp;"|"&amp;$R156&amp;"|"&amp;$AE156,'ASIGNACIONES'!$J$4:$J$339,0)),""))=0,"",IFERROR(INDEX('ASIGNACIONES'!$F$4:$F$339,MATCH($O156&amp;"|"&amp;$R156&amp;"|"&amp;$AE156,'ASIGNACIONES'!$J$4:$J$339,0)),"")))</f>
        <v/>
      </c>
      <c r="AG156" s="13">
        <f>IF($AE156="","",SUMIFS('ORDENES'!$M$4:$M$1203,'ORDENES'!$AE$4:$AE$1203,$AE156,'ORDENES'!$O$4:$O$1203,$O156,'ORDENES'!$R$4:$R$1203,$R156))</f>
        <v/>
      </c>
      <c r="AH156" s="13">
        <f>IF($AG156="","",p_factor_productividad*IFERROR(INDEX('ASIGNACIONES'!$I$4:$I$339,MATCH($O156&amp;"|"&amp;$R156&amp;"|"&amp;$AE156,'ASIGNACIONES'!$J$4:$J$339,0)),0)-$AG156)</f>
        <v/>
      </c>
      <c r="AI156" s="10">
        <f>IF($A156="","",IFERROR(INDEX('2_IMPORTAR_EJECUCION'!$F$9:$F$1208,MATCH($AQ156,'2_IMPORTAR_EJECUCION'!$J$9:$J$1208,0)),0))</f>
        <v/>
      </c>
      <c r="AJ156" s="10">
        <f>IF($A156="","",MAX(0,IFERROR(INDEX('2_IMPORTAR_EJECUCION'!$H$9:$H$1208,MATCH($AQ156,'2_IMPORTAR_EJECUCION'!$J$9:$J$1208,0)),0)-$AI156))</f>
        <v/>
      </c>
      <c r="AK156" s="10">
        <f>IF($A156="","",$AI156+$AJ156)</f>
        <v/>
      </c>
      <c r="AL156" s="6" t="inlineStr"/>
      <c r="AM156" s="6" t="inlineStr"/>
      <c r="AN156" s="6" t="inlineStr"/>
      <c r="AO156" s="3">
        <f>IF($AN156="","",HYPERLINK(p_ruta_base_checklists&amp;$AN156,"abrir"))</f>
        <v/>
      </c>
      <c r="AP156" s="6" t="inlineStr"/>
      <c r="AQ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EQ-111</t>
        </is>
      </c>
      <c r="D157" s="3" t="inlineStr">
        <is>
          <t>Reparación de falla en EQ-111</t>
        </is>
      </c>
      <c r="E157" s="3" t="inlineStr">
        <is>
          <t>EQ-111</t>
        </is>
      </c>
      <c r="F157" s="3" t="inlineStr">
        <is>
          <t>CC-310</t>
        </is>
      </c>
      <c r="G157" s="3" t="inlineStr">
        <is>
          <t>PU-MEC</t>
        </is>
      </c>
      <c r="H157" s="3" t="inlineStr">
        <is>
          <t>ACT-03</t>
        </is>
      </c>
      <c r="I157" s="3" t="inlineStr">
        <is>
          <t>TIPO-C1</t>
        </is>
      </c>
      <c r="J157" s="11" t="n">
        <v>46125</v>
      </c>
      <c r="K157" s="3" t="n">
        <v>8</v>
      </c>
      <c r="L157" s="10" t="n">
        <v>320</v>
      </c>
      <c r="M157" s="3">
        <f>IF($A157="","",IFERROR(INDEX('AJUSTES'!$B$4:$B$303,MATCH($AQ157,'AJUSTES'!$A$4:$A$303,0)),IF($K157="","",$K157)))</f>
        <v/>
      </c>
      <c r="N157" s="3">
        <f>IF($A157="","",IFERROR(INDEX('CAT_ESTADOS_ERP'!$B$4:$B$7,MATCH(IFERROR(INDEX('2_IMPORTAR_EJECUCION'!$C$9:$C$1208,MATCH($AQ157,'2_IMPORTAR_EJECUCION'!$J$9:$J$1208,0)),""),'CAT_ESTADOS_ERP'!$A$4:$A$7,0)),"Pendiente"))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J157="","",IFERROR(INDEX('CALENDARIO'!$C$15:$C$214,MATCH(TEXT($J157,"yyyy-mm-dd")&amp;"|"&amp;$V157&amp;"|"&amp;$W157,'CALENDARIO'!$G$15:$G$214,0)),IFERROR(INDEX('CALENDARIO'!$C$15:$C$214,MATCH(TEXT($J157,"yyyy-mm-dd")&amp;"|"&amp;$V157&amp;"|",'CALENDARIO'!$G$15:$G$214,0)),IFERROR(INDEX('CALENDARIO'!$C$15:$C$214,MATCH(TEXT($J157,"yyyy-mm-dd")&amp;"||",'CALENDARIO'!$G$15:$G$214,0)),INDEX(patronHabil,WEEKDAY($J157,2))))))</f>
        <v/>
      </c>
      <c r="T157" s="3">
        <f>IF($I157="","",IFERROR(INDEX('CAT_TIPOS_OT'!$C$4:$C$7,MATCH($I157,'CAT_TIPOS_OT'!$A$4:$A$7,0)),"sin_clasificar"))</f>
        <v/>
      </c>
      <c r="U157" s="3">
        <f>IF($F157="","",IFERROR(INDEX('CAT_CENTROS_COSTO'!$F$4:$F$13,MATCH($F157,'CAT_CENTROS_COSTO'!$A$4:$A$13,0)),"(sin catálogo)"))</f>
        <v/>
      </c>
      <c r="V157" s="3">
        <f>IF($F157="","",IFERROR(INDEX('CAT_CENTROS_COSTO'!$D$4:$D$13,MATCH($F157,'CAT_CENTROS_COSTO'!$A$4:$A$13,0)),"(sin catálogo)"))</f>
        <v/>
      </c>
      <c r="W157" s="3">
        <f>IF($F157="","",IF((IFERROR(INDEX('CAT_CENTROS_COSTO'!$E$4:$E$13,MATCH($F157,'CAT_CENTROS_COSTO'!$A$4:$A$13,0)),""))&lt;&gt;"",IFERROR(INDEX('CAT_CENTROS_COSTO'!$E$4:$E$13,MATCH($F157,'CAT_CENTROS_COSTO'!$A$4:$A$13,0)),""),$V157))</f>
        <v/>
      </c>
      <c r="X157" s="3">
        <f>IF($F157="","",IFERROR(INDEX('CAT_CENTROS_COSTO'!$G$4:$G$13,MATCH($F157,'CAT_CENTROS_COSTO'!$A$4:$A$13,0)),"(sin catálogo)"))</f>
        <v/>
      </c>
      <c r="Y157" s="3">
        <f>IF($G157="","",IFERROR(INDEX('CAT_PUESTOS'!$B$4:$B$8,MATCH($G157,'CAT_PUESTOS'!$A$4:$A$8,0)),"(sin catálogo)"))</f>
        <v/>
      </c>
      <c r="Z157" s="3">
        <f>IF($H157="","",IFERROR(INDEX('CAT_ACTIVIDADES'!$B$4:$B$8,MATCH($H157,'CAT_ACTIVIDADES'!$A$4:$A$8,0)),"(sin catálogo)"))</f>
        <v/>
      </c>
      <c r="AA157" s="12">
        <f>IF($J157="","",TODAY()-$J157)</f>
        <v/>
      </c>
      <c r="AB157" s="12">
        <f>IF($J157="","",IF($J157&lt;=TODAY(),COUNTIFS(cal_fechas,"&gt;="&amp;$J157,cal_fechas,"&lt;"&amp;TODAY(),cal_habil,"sí"),-COUNTIFS(cal_fechas,"&gt;="&amp;TODAY(),cal_fechas,"&lt;"&amp;$J157,cal_habil,"sí")))</f>
        <v/>
      </c>
      <c r="AC157" s="3">
        <f>IF($AB157="","",IF($AB157&lt;0,"FUTURO",IF($AB157&gt;p_dias_backlog_max,"BACKLOG","MES CORRIENTE")))</f>
        <v/>
      </c>
      <c r="AD157" s="3">
        <f>IF($AB157="",FALSE,AND($AB157&gt;p_dias_backlog_min,$AB157&lt;=p_dias_backlog_max))</f>
        <v/>
      </c>
      <c r="AE157" s="6" t="inlineStr"/>
      <c r="AF157" s="3">
        <f>IF($AE157="","",IF((IFERROR(INDEX('ASIGNACIONES'!$F$4:$F$339,MATCH($O157&amp;"|"&amp;$R157&amp;"|"&amp;$AE157,'ASIGNACIONES'!$J$4:$J$339,0)),""))=0,"",IFERROR(INDEX('ASIGNACIONES'!$F$4:$F$339,MATCH($O157&amp;"|"&amp;$R157&amp;"|"&amp;$AE157,'ASIGNACIONES'!$J$4:$J$339,0)),"")))</f>
        <v/>
      </c>
      <c r="AG157" s="13">
        <f>IF($AE157="","",SUMIFS('ORDENES'!$M$4:$M$1203,'ORDENES'!$AE$4:$AE$1203,$AE157,'ORDENES'!$O$4:$O$1203,$O157,'ORDENES'!$R$4:$R$1203,$R157))</f>
        <v/>
      </c>
      <c r="AH157" s="13">
        <f>IF($AG157="","",p_factor_productividad*IFERROR(INDEX('ASIGNACIONES'!$I$4:$I$339,MATCH($O157&amp;"|"&amp;$R157&amp;"|"&amp;$AE157,'ASIGNACIONES'!$J$4:$J$339,0)),0)-$AG157)</f>
        <v/>
      </c>
      <c r="AI157" s="10">
        <f>IF($A157="","",IFERROR(INDEX('2_IMPORTAR_EJECUCION'!$F$9:$F$1208,MATCH($AQ157,'2_IMPORTAR_EJECUCION'!$J$9:$J$1208,0)),0))</f>
        <v/>
      </c>
      <c r="AJ157" s="10">
        <f>IF($A157="","",MAX(0,IFERROR(INDEX('2_IMPORTAR_EJECUCION'!$H$9:$H$1208,MATCH($AQ157,'2_IMPORTAR_EJECUCION'!$J$9:$J$1208,0)),0)-$AI157))</f>
        <v/>
      </c>
      <c r="AK157" s="10">
        <f>IF($A157="","",$AI157+$AJ157)</f>
        <v/>
      </c>
      <c r="AL157" s="6" t="inlineStr"/>
      <c r="AM157" s="6" t="inlineStr"/>
      <c r="AN157" s="6" t="inlineStr"/>
      <c r="AO157" s="3">
        <f>IF($AN157="","",HYPERLINK(p_ruta_base_checklists&amp;$AN157,"abrir"))</f>
        <v/>
      </c>
      <c r="AP157" s="6" t="inlineStr"/>
      <c r="AQ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Análisis predictivo — EQ-112</t>
        </is>
      </c>
      <c r="D158" s="3" t="inlineStr">
        <is>
          <t>Análisis predictivo en EQ-112</t>
        </is>
      </c>
      <c r="E158" s="3" t="inlineStr">
        <is>
          <t>EQ-112</t>
        </is>
      </c>
      <c r="F158" s="3" t="inlineStr">
        <is>
          <t>CC-311</t>
        </is>
      </c>
      <c r="G158" s="3" t="inlineStr">
        <is>
          <t>PU-ELE</t>
        </is>
      </c>
      <c r="H158" s="3" t="inlineStr">
        <is>
          <t>ACT-04</t>
        </is>
      </c>
      <c r="I158" s="3" t="inlineStr">
        <is>
          <t>TIPO-P2</t>
        </is>
      </c>
      <c r="J158" s="11" t="n">
        <v>46125</v>
      </c>
      <c r="K158" s="3" t="n">
        <v>4</v>
      </c>
      <c r="L158" s="10" t="n">
        <v>100</v>
      </c>
      <c r="M158" s="3">
        <f>IF($A158="","",IFERROR(INDEX('AJUSTES'!$B$4:$B$303,MATCH($AQ158,'AJUSTES'!$A$4:$A$303,0)),IF($K158="","",$K158)))</f>
        <v/>
      </c>
      <c r="N158" s="3">
        <f>IF($A158="","",IFERROR(INDEX('CAT_ESTADOS_ERP'!$B$4:$B$7,MATCH(IFERROR(INDEX('2_IMPORTAR_EJECUCION'!$C$9:$C$1208,MATCH($AQ158,'2_IMPORTAR_EJECUCION'!$J$9:$J$1208,0)),""),'CAT_ESTADOS_ERP'!$A$4:$A$7,0)),"Pendiente"))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J158="","",IFERROR(INDEX('CALENDARIO'!$C$15:$C$214,MATCH(TEXT($J158,"yyyy-mm-dd")&amp;"|"&amp;$V158&amp;"|"&amp;$W158,'CALENDARIO'!$G$15:$G$214,0)),IFERROR(INDEX('CALENDARIO'!$C$15:$C$214,MATCH(TEXT($J158,"yyyy-mm-dd")&amp;"|"&amp;$V158&amp;"|",'CALENDARIO'!$G$15:$G$214,0)),IFERROR(INDEX('CALENDARIO'!$C$15:$C$214,MATCH(TEXT($J158,"yyyy-mm-dd")&amp;"||",'CALENDARIO'!$G$15:$G$214,0)),INDEX(patronHabil,WEEKDAY($J158,2))))))</f>
        <v/>
      </c>
      <c r="T158" s="3">
        <f>IF($I158="","",IFERROR(INDEX('CAT_TIPOS_OT'!$C$4:$C$7,MATCH($I158,'CAT_TIPOS_OT'!$A$4:$A$7,0)),"sin_clasificar"))</f>
        <v/>
      </c>
      <c r="U158" s="3">
        <f>IF($F158="","",IFERROR(INDEX('CAT_CENTROS_COSTO'!$F$4:$F$13,MATCH($F158,'CAT_CENTROS_COSTO'!$A$4:$A$13,0)),"(sin catálogo)"))</f>
        <v/>
      </c>
      <c r="V158" s="3">
        <f>IF($F158="","",IFERROR(INDEX('CAT_CENTROS_COSTO'!$D$4:$D$13,MATCH($F158,'CAT_CENTROS_COSTO'!$A$4:$A$13,0)),"(sin catálogo)"))</f>
        <v/>
      </c>
      <c r="W158" s="3">
        <f>IF($F158="","",IF((IFERROR(INDEX('CAT_CENTROS_COSTO'!$E$4:$E$13,MATCH($F158,'CAT_CENTROS_COSTO'!$A$4:$A$13,0)),""))&lt;&gt;"",IFERROR(INDEX('CAT_CENTROS_COSTO'!$E$4:$E$13,MATCH($F158,'CAT_CENTROS_COSTO'!$A$4:$A$13,0)),""),$V158))</f>
        <v/>
      </c>
      <c r="X158" s="3">
        <f>IF($F158="","",IFERROR(INDEX('CAT_CENTROS_COSTO'!$G$4:$G$13,MATCH($F158,'CAT_CENTROS_COSTO'!$A$4:$A$13,0)),"(sin catálogo)"))</f>
        <v/>
      </c>
      <c r="Y158" s="3">
        <f>IF($G158="","",IFERROR(INDEX('CAT_PUESTOS'!$B$4:$B$8,MATCH($G158,'CAT_PUESTOS'!$A$4:$A$8,0)),"(sin catálogo)"))</f>
        <v/>
      </c>
      <c r="Z158" s="3">
        <f>IF($H158="","",IFERROR(INDEX('CAT_ACTIVIDADES'!$B$4:$B$8,MATCH($H158,'CAT_ACTIVIDADES'!$A$4:$A$8,0)),"(sin catálogo)"))</f>
        <v/>
      </c>
      <c r="AA158" s="12">
        <f>IF($J158="","",TODAY()-$J158)</f>
        <v/>
      </c>
      <c r="AB158" s="12">
        <f>IF($J158="","",IF($J158&lt;=TODAY(),COUNTIFS(cal_fechas,"&gt;="&amp;$J158,cal_fechas,"&lt;"&amp;TODAY(),cal_habil,"sí"),-COUNTIFS(cal_fechas,"&gt;="&amp;TODAY(),cal_fechas,"&lt;"&amp;$J158,cal_habil,"sí")))</f>
        <v/>
      </c>
      <c r="AC158" s="3">
        <f>IF($AB158="","",IF($AB158&lt;0,"FUTURO",IF($AB158&gt;p_dias_backlog_max,"BACKLOG","MES CORRIENTE")))</f>
        <v/>
      </c>
      <c r="AD158" s="3">
        <f>IF($AB158="",FALSE,AND($AB158&gt;p_dias_backlog_min,$AB158&lt;=p_dias_backlog_max))</f>
        <v/>
      </c>
      <c r="AE158" s="6" t="inlineStr"/>
      <c r="AF158" s="3">
        <f>IF($AE158="","",IF((IFERROR(INDEX('ASIGNACIONES'!$F$4:$F$339,MATCH($O158&amp;"|"&amp;$R158&amp;"|"&amp;$AE158,'ASIGNACIONES'!$J$4:$J$339,0)),""))=0,"",IFERROR(INDEX('ASIGNACIONES'!$F$4:$F$339,MATCH($O158&amp;"|"&amp;$R158&amp;"|"&amp;$AE158,'ASIGNACIONES'!$J$4:$J$339,0)),"")))</f>
        <v/>
      </c>
      <c r="AG158" s="13">
        <f>IF($AE158="","",SUMIFS('ORDENES'!$M$4:$M$1203,'ORDENES'!$AE$4:$AE$1203,$AE158,'ORDENES'!$O$4:$O$1203,$O158,'ORDENES'!$R$4:$R$1203,$R158))</f>
        <v/>
      </c>
      <c r="AH158" s="13">
        <f>IF($AG158="","",p_factor_productividad*IFERROR(INDEX('ASIGNACIONES'!$I$4:$I$339,MATCH($O158&amp;"|"&amp;$R158&amp;"|"&amp;$AE158,'ASIGNACIONES'!$J$4:$J$339,0)),0)-$AG158)</f>
        <v/>
      </c>
      <c r="AI158" s="10">
        <f>IF($A158="","",IFERROR(INDEX('2_IMPORTAR_EJECUCION'!$F$9:$F$1208,MATCH($AQ158,'2_IMPORTAR_EJECUCION'!$J$9:$J$1208,0)),0))</f>
        <v/>
      </c>
      <c r="AJ158" s="10">
        <f>IF($A158="","",MAX(0,IFERROR(INDEX('2_IMPORTAR_EJECUCION'!$H$9:$H$1208,MATCH($AQ158,'2_IMPORTAR_EJECUCION'!$J$9:$J$1208,0)),0)-$AI158))</f>
        <v/>
      </c>
      <c r="AK158" s="10">
        <f>IF($A158="","",$AI158+$AJ158)</f>
        <v/>
      </c>
      <c r="AL158" s="6" t="inlineStr"/>
      <c r="AM158" s="6" t="inlineStr"/>
      <c r="AN158" s="6" t="inlineStr"/>
      <c r="AO158" s="3">
        <f>IF($AN158="","",HYPERLINK(p_ruta_base_checklists&amp;$AN158,"abrir"))</f>
        <v/>
      </c>
      <c r="AP158" s="6" t="inlineStr"/>
      <c r="AQ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CC-320</t>
        </is>
      </c>
      <c r="G159" s="3" t="inlineStr">
        <is>
          <t>PU-AUT</t>
        </is>
      </c>
      <c r="H159" s="3" t="inlineStr">
        <is>
          <t>ACT-03</t>
        </is>
      </c>
      <c r="I159" s="3" t="inlineStr">
        <is>
          <t>TIPO-C1</t>
        </is>
      </c>
      <c r="J159" s="11" t="n">
        <v>46125</v>
      </c>
      <c r="K159" s="3" t="n">
        <v>6</v>
      </c>
      <c r="L159" s="10" t="n">
        <v>240</v>
      </c>
      <c r="M159" s="3">
        <f>IF($A159="","",IFERROR(INDEX('AJUSTES'!$B$4:$B$303,MATCH($AQ159,'AJUSTES'!$A$4:$A$303,0)),IF($K159="","",$K159)))</f>
        <v/>
      </c>
      <c r="N159" s="3">
        <f>IF($A159="","",IFERROR(INDEX('CAT_ESTADOS_ERP'!$B$4:$B$7,MATCH(IFERROR(INDEX('2_IMPORTAR_EJECUCION'!$C$9:$C$1208,MATCH($AQ159,'2_IMPORTAR_EJECUCION'!$J$9:$J$1208,0)),""),'CAT_ESTADOS_ERP'!$A$4:$A$7,0)),"Pendiente"))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J159="","",IFERROR(INDEX('CALENDARIO'!$C$15:$C$214,MATCH(TEXT($J159,"yyyy-mm-dd")&amp;"|"&amp;$V159&amp;"|"&amp;$W159,'CALENDARIO'!$G$15:$G$214,0)),IFERROR(INDEX('CALENDARIO'!$C$15:$C$214,MATCH(TEXT($J159,"yyyy-mm-dd")&amp;"|"&amp;$V159&amp;"|",'CALENDARIO'!$G$15:$G$214,0)),IFERROR(INDEX('CALENDARIO'!$C$15:$C$214,MATCH(TEXT($J159,"yyyy-mm-dd")&amp;"||",'CALENDARIO'!$G$15:$G$214,0)),INDEX(patronHabil,WEEKDAY($J159,2))))))</f>
        <v/>
      </c>
      <c r="T159" s="3">
        <f>IF($I159="","",IFERROR(INDEX('CAT_TIPOS_OT'!$C$4:$C$7,MATCH($I159,'CAT_TIPOS_OT'!$A$4:$A$7,0)),"sin_clasificar"))</f>
        <v/>
      </c>
      <c r="U159" s="3">
        <f>IF($F159="","",IFERROR(INDEX('CAT_CENTROS_COSTO'!$F$4:$F$13,MATCH($F159,'CAT_CENTROS_COSTO'!$A$4:$A$13,0)),"(sin catálogo)"))</f>
        <v/>
      </c>
      <c r="V159" s="3">
        <f>IF($F159="","",IFERROR(INDEX('CAT_CENTROS_COSTO'!$D$4:$D$13,MATCH($F159,'CAT_CENTROS_COSTO'!$A$4:$A$13,0)),"(sin catálogo)"))</f>
        <v/>
      </c>
      <c r="W159" s="3">
        <f>IF($F159="","",IF((IFERROR(INDEX('CAT_CENTROS_COSTO'!$E$4:$E$13,MATCH($F159,'CAT_CENTROS_COSTO'!$A$4:$A$13,0)),""))&lt;&gt;"",IFERROR(INDEX('CAT_CENTROS_COSTO'!$E$4:$E$13,MATCH($F159,'CAT_CENTROS_COSTO'!$A$4:$A$13,0)),""),$V159))</f>
        <v/>
      </c>
      <c r="X159" s="3">
        <f>IF($F159="","",IFERROR(INDEX('CAT_CENTROS_COSTO'!$G$4:$G$13,MATCH($F159,'CAT_CENTROS_COSTO'!$A$4:$A$13,0)),"(sin catálogo)"))</f>
        <v/>
      </c>
      <c r="Y159" s="3">
        <f>IF($G159="","",IFERROR(INDEX('CAT_PUESTOS'!$B$4:$B$8,MATCH($G159,'CAT_PUESTOS'!$A$4:$A$8,0)),"(sin catálogo)"))</f>
        <v/>
      </c>
      <c r="Z159" s="3">
        <f>IF($H159="","",IFERROR(INDEX('CAT_ACTIVIDADES'!$B$4:$B$8,MATCH($H159,'CAT_ACTIVIDADES'!$A$4:$A$8,0)),"(sin catálogo)"))</f>
        <v/>
      </c>
      <c r="AA159" s="12">
        <f>IF($J159="","",TODAY()-$J159)</f>
        <v/>
      </c>
      <c r="AB159" s="12">
        <f>IF($J159="","",IF($J159&lt;=TODAY(),COUNTIFS(cal_fechas,"&gt;="&amp;$J159,cal_fechas,"&lt;"&amp;TODAY(),cal_habil,"sí"),-COUNTIFS(cal_fechas,"&gt;="&amp;TODAY(),cal_fechas,"&lt;"&amp;$J159,cal_habil,"sí")))</f>
        <v/>
      </c>
      <c r="AC159" s="3">
        <f>IF($AB159="","",IF($AB159&lt;0,"FUTURO",IF($AB159&gt;p_dias_backlog_max,"BACKLOG","MES CORRIENTE")))</f>
        <v/>
      </c>
      <c r="AD159" s="3">
        <f>IF($AB159="",FALSE,AND($AB159&gt;p_dias_backlog_min,$AB159&lt;=p_dias_backlog_max))</f>
        <v/>
      </c>
      <c r="AE159" s="6" t="inlineStr"/>
      <c r="AF159" s="3">
        <f>IF($AE159="","",IF((IFERROR(INDEX('ASIGNACIONES'!$F$4:$F$339,MATCH($O159&amp;"|"&amp;$R159&amp;"|"&amp;$AE159,'ASIGNACIONES'!$J$4:$J$339,0)),""))=0,"",IFERROR(INDEX('ASIGNACIONES'!$F$4:$F$339,MATCH($O159&amp;"|"&amp;$R159&amp;"|"&amp;$AE159,'ASIGNACIONES'!$J$4:$J$339,0)),"")))</f>
        <v/>
      </c>
      <c r="AG159" s="13">
        <f>IF($AE159="","",SUMIFS('ORDENES'!$M$4:$M$1203,'ORDENES'!$AE$4:$AE$1203,$AE159,'ORDENES'!$O$4:$O$1203,$O159,'ORDENES'!$R$4:$R$1203,$R159))</f>
        <v/>
      </c>
      <c r="AH159" s="13">
        <f>IF($AG159="","",p_factor_productividad*IFERROR(INDEX('ASIGNACIONES'!$I$4:$I$339,MATCH($O159&amp;"|"&amp;$R159&amp;"|"&amp;$AE159,'ASIGNACIONES'!$J$4:$J$339,0)),0)-$AG159)</f>
        <v/>
      </c>
      <c r="AI159" s="10">
        <f>IF($A159="","",IFERROR(INDEX('2_IMPORTAR_EJECUCION'!$F$9:$F$1208,MATCH($AQ159,'2_IMPORTAR_EJECUCION'!$J$9:$J$1208,0)),0))</f>
        <v/>
      </c>
      <c r="AJ159" s="10">
        <f>IF($A159="","",MAX(0,IFERROR(INDEX('2_IMPORTAR_EJECUCION'!$H$9:$H$1208,MATCH($AQ159,'2_IMPORTAR_EJECUCION'!$J$9:$J$1208,0)),0)-$AI159))</f>
        <v/>
      </c>
      <c r="AK159" s="10">
        <f>IF($A159="","",$AI159+$AJ159)</f>
        <v/>
      </c>
      <c r="AL159" s="6" t="inlineStr"/>
      <c r="AM159" s="6" t="inlineStr"/>
      <c r="AN159" s="6" t="inlineStr"/>
      <c r="AO159" s="3">
        <f>IF($AN159="","",HYPERLINK(p_ruta_base_checklists&amp;$AN159,"abrir"))</f>
        <v/>
      </c>
      <c r="AP159" s="6" t="inlineStr"/>
      <c r="AQ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Reparación de falla — EQ-111</t>
        </is>
      </c>
      <c r="D160" s="3" t="inlineStr">
        <is>
          <t>Reparación de falla en EQ-111</t>
        </is>
      </c>
      <c r="E160" s="3" t="inlineStr">
        <is>
          <t>EQ-111</t>
        </is>
      </c>
      <c r="F160" s="3" t="inlineStr">
        <is>
          <t>CC-321</t>
        </is>
      </c>
      <c r="G160" s="3" t="inlineStr">
        <is>
          <t>PU-OP</t>
        </is>
      </c>
      <c r="H160" s="3" t="inlineStr">
        <is>
          <t>ACT-03</t>
        </is>
      </c>
      <c r="I160" s="3" t="inlineStr">
        <is>
          <t>TIPO-C2</t>
        </is>
      </c>
      <c r="J160" s="11" t="n">
        <v>46125</v>
      </c>
      <c r="K160" s="3" t="n">
        <v>8</v>
      </c>
      <c r="L160" s="10" t="n">
        <v>320</v>
      </c>
      <c r="M160" s="3">
        <f>IF($A160="","",IFERROR(INDEX('AJUSTES'!$B$4:$B$303,MATCH($AQ160,'AJUSTES'!$A$4:$A$303,0)),IF($K160="","",$K160)))</f>
        <v/>
      </c>
      <c r="N160" s="3">
        <f>IF($A160="","",IFERROR(INDEX('CAT_ESTADOS_ERP'!$B$4:$B$7,MATCH(IFERROR(INDEX('2_IMPORTAR_EJECUCION'!$C$9:$C$1208,MATCH($AQ160,'2_IMPORTAR_EJECUCION'!$J$9:$J$1208,0)),""),'CAT_ESTADOS_ERP'!$A$4:$A$7,0)),"Pendiente"))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J160="","",IFERROR(INDEX('CALENDARIO'!$C$15:$C$214,MATCH(TEXT($J160,"yyyy-mm-dd")&amp;"|"&amp;$V160&amp;"|"&amp;$W160,'CALENDARIO'!$G$15:$G$214,0)),IFERROR(INDEX('CALENDARIO'!$C$15:$C$214,MATCH(TEXT($J160,"yyyy-mm-dd")&amp;"|"&amp;$V160&amp;"|",'CALENDARIO'!$G$15:$G$214,0)),IFERROR(INDEX('CALENDARIO'!$C$15:$C$214,MATCH(TEXT($J160,"yyyy-mm-dd")&amp;"||",'CALENDARIO'!$G$15:$G$214,0)),INDEX(patronHabil,WEEKDAY($J160,2))))))</f>
        <v/>
      </c>
      <c r="T160" s="3">
        <f>IF($I160="","",IFERROR(INDEX('CAT_TIPOS_OT'!$C$4:$C$7,MATCH($I160,'CAT_TIPOS_OT'!$A$4:$A$7,0)),"sin_clasificar"))</f>
        <v/>
      </c>
      <c r="U160" s="3">
        <f>IF($F160="","",IFERROR(INDEX('CAT_CENTROS_COSTO'!$F$4:$F$13,MATCH($F160,'CAT_CENTROS_COSTO'!$A$4:$A$13,0)),"(sin catálogo)"))</f>
        <v/>
      </c>
      <c r="V160" s="3">
        <f>IF($F160="","",IFERROR(INDEX('CAT_CENTROS_COSTO'!$D$4:$D$13,MATCH($F160,'CAT_CENTROS_COSTO'!$A$4:$A$13,0)),"(sin catálogo)"))</f>
        <v/>
      </c>
      <c r="W160" s="3">
        <f>IF($F160="","",IF((IFERROR(INDEX('CAT_CENTROS_COSTO'!$E$4:$E$13,MATCH($F160,'CAT_CENTROS_COSTO'!$A$4:$A$13,0)),""))&lt;&gt;"",IFERROR(INDEX('CAT_CENTROS_COSTO'!$E$4:$E$13,MATCH($F160,'CAT_CENTROS_COSTO'!$A$4:$A$13,0)),""),$V160))</f>
        <v/>
      </c>
      <c r="X160" s="3">
        <f>IF($F160="","",IFERROR(INDEX('CAT_CENTROS_COSTO'!$G$4:$G$13,MATCH($F160,'CAT_CENTROS_COSTO'!$A$4:$A$13,0)),"(sin catálogo)"))</f>
        <v/>
      </c>
      <c r="Y160" s="3">
        <f>IF($G160="","",IFERROR(INDEX('CAT_PUESTOS'!$B$4:$B$8,MATCH($G160,'CAT_PUESTOS'!$A$4:$A$8,0)),"(sin catálogo)"))</f>
        <v/>
      </c>
      <c r="Z160" s="3">
        <f>IF($H160="","",IFERROR(INDEX('CAT_ACTIVIDADES'!$B$4:$B$8,MATCH($H160,'CAT_ACTIVIDADES'!$A$4:$A$8,0)),"(sin catálogo)"))</f>
        <v/>
      </c>
      <c r="AA160" s="12">
        <f>IF($J160="","",TODAY()-$J160)</f>
        <v/>
      </c>
      <c r="AB160" s="12">
        <f>IF($J160="","",IF($J160&lt;=TODAY(),COUNTIFS(cal_fechas,"&gt;="&amp;$J160,cal_fechas,"&lt;"&amp;TODAY(),cal_habil,"sí"),-COUNTIFS(cal_fechas,"&gt;="&amp;TODAY(),cal_fechas,"&lt;"&amp;$J160,cal_habil,"sí")))</f>
        <v/>
      </c>
      <c r="AC160" s="3">
        <f>IF($AB160="","",IF($AB160&lt;0,"FUTURO",IF($AB160&gt;p_dias_backlog_max,"BACKLOG","MES CORRIENTE")))</f>
        <v/>
      </c>
      <c r="AD160" s="3">
        <f>IF($AB160="",FALSE,AND($AB160&gt;p_dias_backlog_min,$AB160&lt;=p_dias_backlog_max))</f>
        <v/>
      </c>
      <c r="AE160" s="6" t="inlineStr"/>
      <c r="AF160" s="3">
        <f>IF($AE160="","",IF((IFERROR(INDEX('ASIGNACIONES'!$F$4:$F$339,MATCH($O160&amp;"|"&amp;$R160&amp;"|"&amp;$AE160,'ASIGNACIONES'!$J$4:$J$339,0)),""))=0,"",IFERROR(INDEX('ASIGNACIONES'!$F$4:$F$339,MATCH($O160&amp;"|"&amp;$R160&amp;"|"&amp;$AE160,'ASIGNACIONES'!$J$4:$J$339,0)),"")))</f>
        <v/>
      </c>
      <c r="AG160" s="13">
        <f>IF($AE160="","",SUMIFS('ORDENES'!$M$4:$M$1203,'ORDENES'!$AE$4:$AE$1203,$AE160,'ORDENES'!$O$4:$O$1203,$O160,'ORDENES'!$R$4:$R$1203,$R160))</f>
        <v/>
      </c>
      <c r="AH160" s="13">
        <f>IF($AG160="","",p_factor_productividad*IFERROR(INDEX('ASIGNACIONES'!$I$4:$I$339,MATCH($O160&amp;"|"&amp;$R160&amp;"|"&amp;$AE160,'ASIGNACIONES'!$J$4:$J$339,0)),0)-$AG160)</f>
        <v/>
      </c>
      <c r="AI160" s="10">
        <f>IF($A160="","",IFERROR(INDEX('2_IMPORTAR_EJECUCION'!$F$9:$F$1208,MATCH($AQ160,'2_IMPORTAR_EJECUCION'!$J$9:$J$1208,0)),0))</f>
        <v/>
      </c>
      <c r="AJ160" s="10">
        <f>IF($A160="","",MAX(0,IFERROR(INDEX('2_IMPORTAR_EJECUCION'!$H$9:$H$1208,MATCH($AQ160,'2_IMPORTAR_EJECUCION'!$J$9:$J$1208,0)),0)-$AI160))</f>
        <v/>
      </c>
      <c r="AK160" s="10">
        <f>IF($A160="","",$AI160+$AJ160)</f>
        <v/>
      </c>
      <c r="AL160" s="6" t="inlineStr"/>
      <c r="AM160" s="6" t="inlineStr"/>
      <c r="AN160" s="6" t="inlineStr"/>
      <c r="AO160" s="3">
        <f>IF($AN160="","",HYPERLINK(p_ruta_base_checklists&amp;$AN160,"abrir"))</f>
        <v/>
      </c>
      <c r="AP160" s="6" t="inlineStr"/>
      <c r="AQ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EQ-108</t>
        </is>
      </c>
      <c r="D161" s="3" t="inlineStr">
        <is>
          <t>Reparación de falla en EQ-108</t>
        </is>
      </c>
      <c r="E161" s="3" t="inlineStr">
        <is>
          <t>EQ-108</t>
        </is>
      </c>
      <c r="F161" s="3" t="inlineStr">
        <is>
          <t>CC-220</t>
        </is>
      </c>
      <c r="G161" s="3" t="inlineStr">
        <is>
          <t>PU-OP</t>
        </is>
      </c>
      <c r="H161" s="3" t="inlineStr">
        <is>
          <t>ACT-03</t>
        </is>
      </c>
      <c r="I161" s="3" t="inlineStr">
        <is>
          <t>TIPO-C1</t>
        </is>
      </c>
      <c r="J161" s="11" t="n">
        <v>46105</v>
      </c>
      <c r="K161" s="3" t="n">
        <v>4</v>
      </c>
      <c r="L161" s="10" t="n">
        <v>160</v>
      </c>
      <c r="M161" s="3">
        <f>IF($A161="","",IFERROR(INDEX('AJUSTES'!$B$4:$B$303,MATCH($AQ161,'AJUSTES'!$A$4:$A$303,0)),IF($K161="","",$K161)))</f>
        <v/>
      </c>
      <c r="N161" s="3">
        <f>IF($A161="","",IFERROR(INDEX('CAT_ESTADOS_ERP'!$B$4:$B$7,MATCH(IFERROR(INDEX('2_IMPORTAR_EJECUCION'!$C$9:$C$1208,MATCH($AQ161,'2_IMPORTAR_EJECUCION'!$J$9:$J$1208,0)),""),'CAT_ESTADOS_ERP'!$A$4:$A$7,0)),"Pendiente"))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J161="","",IFERROR(INDEX('CALENDARIO'!$C$15:$C$214,MATCH(TEXT($J161,"yyyy-mm-dd")&amp;"|"&amp;$V161&amp;"|"&amp;$W161,'CALENDARIO'!$G$15:$G$214,0)),IFERROR(INDEX('CALENDARIO'!$C$15:$C$214,MATCH(TEXT($J161,"yyyy-mm-dd")&amp;"|"&amp;$V161&amp;"|",'CALENDARIO'!$G$15:$G$214,0)),IFERROR(INDEX('CALENDARIO'!$C$15:$C$214,MATCH(TEXT($J161,"yyyy-mm-dd")&amp;"||",'CALENDARIO'!$G$15:$G$214,0)),INDEX(patronHabil,WEEKDAY($J161,2))))))</f>
        <v/>
      </c>
      <c r="T161" s="3">
        <f>IF($I161="","",IFERROR(INDEX('CAT_TIPOS_OT'!$C$4:$C$7,MATCH($I161,'CAT_TIPOS_OT'!$A$4:$A$7,0)),"sin_clasificar"))</f>
        <v/>
      </c>
      <c r="U161" s="3">
        <f>IF($F161="","",IFERROR(INDEX('CAT_CENTROS_COSTO'!$F$4:$F$13,MATCH($F161,'CAT_CENTROS_COSTO'!$A$4:$A$13,0)),"(sin catálogo)"))</f>
        <v/>
      </c>
      <c r="V161" s="3">
        <f>IF($F161="","",IFERROR(INDEX('CAT_CENTROS_COSTO'!$D$4:$D$13,MATCH($F161,'CAT_CENTROS_COSTO'!$A$4:$A$13,0)),"(sin catálogo)"))</f>
        <v/>
      </c>
      <c r="W161" s="3">
        <f>IF($F161="","",IF((IFERROR(INDEX('CAT_CENTROS_COSTO'!$E$4:$E$13,MATCH($F161,'CAT_CENTROS_COSTO'!$A$4:$A$13,0)),""))&lt;&gt;"",IFERROR(INDEX('CAT_CENTROS_COSTO'!$E$4:$E$13,MATCH($F161,'CAT_CENTROS_COSTO'!$A$4:$A$13,0)),""),$V161))</f>
        <v/>
      </c>
      <c r="X161" s="3">
        <f>IF($F161="","",IFERROR(INDEX('CAT_CENTROS_COSTO'!$G$4:$G$13,MATCH($F161,'CAT_CENTROS_COSTO'!$A$4:$A$13,0)),"(sin catálogo)"))</f>
        <v/>
      </c>
      <c r="Y161" s="3">
        <f>IF($G161="","",IFERROR(INDEX('CAT_PUESTOS'!$B$4:$B$8,MATCH($G161,'CAT_PUESTOS'!$A$4:$A$8,0)),"(sin catálogo)"))</f>
        <v/>
      </c>
      <c r="Z161" s="3">
        <f>IF($H161="","",IFERROR(INDEX('CAT_ACTIVIDADES'!$B$4:$B$8,MATCH($H161,'CAT_ACTIVIDADES'!$A$4:$A$8,0)),"(sin catálogo)"))</f>
        <v/>
      </c>
      <c r="AA161" s="12">
        <f>IF($J161="","",TODAY()-$J161)</f>
        <v/>
      </c>
      <c r="AB161" s="12">
        <f>IF($J161="","",IF($J161&lt;=TODAY(),COUNTIFS(cal_fechas,"&gt;="&amp;$J161,cal_fechas,"&lt;"&amp;TODAY(),cal_habil,"sí"),-COUNTIFS(cal_fechas,"&gt;="&amp;TODAY(),cal_fechas,"&lt;"&amp;$J161,cal_habil,"sí")))</f>
        <v/>
      </c>
      <c r="AC161" s="3">
        <f>IF($AB161="","",IF($AB161&lt;0,"FUTURO",IF($AB161&gt;p_dias_backlog_max,"BACKLOG","MES CORRIENTE")))</f>
        <v/>
      </c>
      <c r="AD161" s="3">
        <f>IF($AB161="",FALSE,AND($AB161&gt;p_dias_backlog_min,$AB161&lt;=p_dias_backlog_max))</f>
        <v/>
      </c>
      <c r="AE161" s="6" t="inlineStr"/>
      <c r="AF161" s="3">
        <f>IF($AE161="","",IF((IFERROR(INDEX('ASIGNACIONES'!$F$4:$F$339,MATCH($O161&amp;"|"&amp;$R161&amp;"|"&amp;$AE161,'ASIGNACIONES'!$J$4:$J$339,0)),""))=0,"",IFERROR(INDEX('ASIGNACIONES'!$F$4:$F$339,MATCH($O161&amp;"|"&amp;$R161&amp;"|"&amp;$AE161,'ASIGNACIONES'!$J$4:$J$339,0)),"")))</f>
        <v/>
      </c>
      <c r="AG161" s="13">
        <f>IF($AE161="","",SUMIFS('ORDENES'!$M$4:$M$1203,'ORDENES'!$AE$4:$AE$1203,$AE161,'ORDENES'!$O$4:$O$1203,$O161,'ORDENES'!$R$4:$R$1203,$R161))</f>
        <v/>
      </c>
      <c r="AH161" s="13">
        <f>IF($AG161="","",p_factor_productividad*IFERROR(INDEX('ASIGNACIONES'!$I$4:$I$339,MATCH($O161&amp;"|"&amp;$R161&amp;"|"&amp;$AE161,'ASIGNACIONES'!$J$4:$J$339,0)),0)-$AG161)</f>
        <v/>
      </c>
      <c r="AI161" s="10">
        <f>IF($A161="","",IFERROR(INDEX('2_IMPORTAR_EJECUCION'!$F$9:$F$1208,MATCH($AQ161,'2_IMPORTAR_EJECUCION'!$J$9:$J$1208,0)),0))</f>
        <v/>
      </c>
      <c r="AJ161" s="10">
        <f>IF($A161="","",MAX(0,IFERROR(INDEX('2_IMPORTAR_EJECUCION'!$H$9:$H$1208,MATCH($AQ161,'2_IMPORTAR_EJECUCION'!$J$9:$J$1208,0)),0)-$AI161))</f>
        <v/>
      </c>
      <c r="AK161" s="10">
        <f>IF($A161="","",$AI161+$AJ161)</f>
        <v/>
      </c>
      <c r="AL161" s="6" t="inlineStr"/>
      <c r="AM161" s="6" t="inlineStr"/>
      <c r="AN161" s="6" t="inlineStr"/>
      <c r="AO161" s="3">
        <f>IF($AN161="","",HYPERLINK(p_ruta_base_checklists&amp;$AN161,"abrir"))</f>
        <v/>
      </c>
      <c r="AP161" s="6" t="inlineStr"/>
      <c r="AQ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CC-310</t>
        </is>
      </c>
      <c r="G162" s="3" t="inlineStr">
        <is>
          <t>PU-MEC</t>
        </is>
      </c>
      <c r="H162" s="3" t="inlineStr">
        <is>
          <t>ACT-03</t>
        </is>
      </c>
      <c r="I162" s="3" t="inlineStr">
        <is>
          <t>TIPO-C2</t>
        </is>
      </c>
      <c r="J162" s="11" t="n">
        <v>46105</v>
      </c>
      <c r="K162" s="3" t="n">
        <v>6</v>
      </c>
      <c r="L162" s="10" t="n">
        <v>240</v>
      </c>
      <c r="M162" s="3">
        <f>IF($A162="","",IFERROR(INDEX('AJUSTES'!$B$4:$B$303,MATCH($AQ162,'AJUSTES'!$A$4:$A$303,0)),IF($K162="","",$K162)))</f>
        <v/>
      </c>
      <c r="N162" s="3">
        <f>IF($A162="","",IFERROR(INDEX('CAT_ESTADOS_ERP'!$B$4:$B$7,MATCH(IFERROR(INDEX('2_IMPORTAR_EJECUCION'!$C$9:$C$1208,MATCH($AQ162,'2_IMPORTAR_EJECUCION'!$J$9:$J$1208,0)),""),'CAT_ESTADOS_ERP'!$A$4:$A$7,0)),"Pendiente"))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J162="","",IFERROR(INDEX('CALENDARIO'!$C$15:$C$214,MATCH(TEXT($J162,"yyyy-mm-dd")&amp;"|"&amp;$V162&amp;"|"&amp;$W162,'CALENDARIO'!$G$15:$G$214,0)),IFERROR(INDEX('CALENDARIO'!$C$15:$C$214,MATCH(TEXT($J162,"yyyy-mm-dd")&amp;"|"&amp;$V162&amp;"|",'CALENDARIO'!$G$15:$G$214,0)),IFERROR(INDEX('CALENDARIO'!$C$15:$C$214,MATCH(TEXT($J162,"yyyy-mm-dd")&amp;"||",'CALENDARIO'!$G$15:$G$214,0)),INDEX(patronHabil,WEEKDAY($J162,2))))))</f>
        <v/>
      </c>
      <c r="T162" s="3">
        <f>IF($I162="","",IFERROR(INDEX('CAT_TIPOS_OT'!$C$4:$C$7,MATCH($I162,'CAT_TIPOS_OT'!$A$4:$A$7,0)),"sin_clasificar"))</f>
        <v/>
      </c>
      <c r="U162" s="3">
        <f>IF($F162="","",IFERROR(INDEX('CAT_CENTROS_COSTO'!$F$4:$F$13,MATCH($F162,'CAT_CENTROS_COSTO'!$A$4:$A$13,0)),"(sin catálogo)"))</f>
        <v/>
      </c>
      <c r="V162" s="3">
        <f>IF($F162="","",IFERROR(INDEX('CAT_CENTROS_COSTO'!$D$4:$D$13,MATCH($F162,'CAT_CENTROS_COSTO'!$A$4:$A$13,0)),"(sin catálogo)"))</f>
        <v/>
      </c>
      <c r="W162" s="3">
        <f>IF($F162="","",IF((IFERROR(INDEX('CAT_CENTROS_COSTO'!$E$4:$E$13,MATCH($F162,'CAT_CENTROS_COSTO'!$A$4:$A$13,0)),""))&lt;&gt;"",IFERROR(INDEX('CAT_CENTROS_COSTO'!$E$4:$E$13,MATCH($F162,'CAT_CENTROS_COSTO'!$A$4:$A$13,0)),""),$V162))</f>
        <v/>
      </c>
      <c r="X162" s="3">
        <f>IF($F162="","",IFERROR(INDEX('CAT_CENTROS_COSTO'!$G$4:$G$13,MATCH($F162,'CAT_CENTROS_COSTO'!$A$4:$A$13,0)),"(sin catálogo)"))</f>
        <v/>
      </c>
      <c r="Y162" s="3">
        <f>IF($G162="","",IFERROR(INDEX('CAT_PUESTOS'!$B$4:$B$8,MATCH($G162,'CAT_PUESTOS'!$A$4:$A$8,0)),"(sin catálogo)"))</f>
        <v/>
      </c>
      <c r="Z162" s="3">
        <f>IF($H162="","",IFERROR(INDEX('CAT_ACTIVIDADES'!$B$4:$B$8,MATCH($H162,'CAT_ACTIVIDADES'!$A$4:$A$8,0)),"(sin catálogo)"))</f>
        <v/>
      </c>
      <c r="AA162" s="12">
        <f>IF($J162="","",TODAY()-$J162)</f>
        <v/>
      </c>
      <c r="AB162" s="12">
        <f>IF($J162="","",IF($J162&lt;=TODAY(),COUNTIFS(cal_fechas,"&gt;="&amp;$J162,cal_fechas,"&lt;"&amp;TODAY(),cal_habil,"sí"),-COUNTIFS(cal_fechas,"&gt;="&amp;TODAY(),cal_fechas,"&lt;"&amp;$J162,cal_habil,"sí")))</f>
        <v/>
      </c>
      <c r="AC162" s="3">
        <f>IF($AB162="","",IF($AB162&lt;0,"FUTURO",IF($AB162&gt;p_dias_backlog_max,"BACKLOG","MES CORRIENTE")))</f>
        <v/>
      </c>
      <c r="AD162" s="3">
        <f>IF($AB162="",FALSE,AND($AB162&gt;p_dias_backlog_min,$AB162&lt;=p_dias_backlog_max))</f>
        <v/>
      </c>
      <c r="AE162" s="6" t="inlineStr"/>
      <c r="AF162" s="3">
        <f>IF($AE162="","",IF((IFERROR(INDEX('ASIGNACIONES'!$F$4:$F$339,MATCH($O162&amp;"|"&amp;$R162&amp;"|"&amp;$AE162,'ASIGNACIONES'!$J$4:$J$339,0)),""))=0,"",IFERROR(INDEX('ASIGNACIONES'!$F$4:$F$339,MATCH($O162&amp;"|"&amp;$R162&amp;"|"&amp;$AE162,'ASIGNACIONES'!$J$4:$J$339,0)),"")))</f>
        <v/>
      </c>
      <c r="AG162" s="13">
        <f>IF($AE162="","",SUMIFS('ORDENES'!$M$4:$M$1203,'ORDENES'!$AE$4:$AE$1203,$AE162,'ORDENES'!$O$4:$O$1203,$O162,'ORDENES'!$R$4:$R$1203,$R162))</f>
        <v/>
      </c>
      <c r="AH162" s="13">
        <f>IF($AG162="","",p_factor_productividad*IFERROR(INDEX('ASIGNACIONES'!$I$4:$I$339,MATCH($O162&amp;"|"&amp;$R162&amp;"|"&amp;$AE162,'ASIGNACIONES'!$J$4:$J$339,0)),0)-$AG162)</f>
        <v/>
      </c>
      <c r="AI162" s="10">
        <f>IF($A162="","",IFERROR(INDEX('2_IMPORTAR_EJECUCION'!$F$9:$F$1208,MATCH($AQ162,'2_IMPORTAR_EJECUCION'!$J$9:$J$1208,0)),0))</f>
        <v/>
      </c>
      <c r="AJ162" s="10">
        <f>IF($A162="","",MAX(0,IFERROR(INDEX('2_IMPORTAR_EJECUCION'!$H$9:$H$1208,MATCH($AQ162,'2_IMPORTAR_EJECUCION'!$J$9:$J$1208,0)),0)-$AI162))</f>
        <v/>
      </c>
      <c r="AK162" s="10">
        <f>IF($A162="","",$AI162+$AJ162)</f>
        <v/>
      </c>
      <c r="AL162" s="6" t="inlineStr"/>
      <c r="AM162" s="6" t="inlineStr"/>
      <c r="AN162" s="6" t="inlineStr"/>
      <c r="AO162" s="3">
        <f>IF($AN162="","",HYPERLINK(p_ruta_base_checklists&amp;$AN162,"abrir"))</f>
        <v/>
      </c>
      <c r="AP162" s="6" t="inlineStr"/>
      <c r="AQ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CC-311</t>
        </is>
      </c>
      <c r="G163" s="3" t="inlineStr">
        <is>
          <t>PU-ELE</t>
        </is>
      </c>
      <c r="H163" s="3" t="inlineStr">
        <is>
          <t>ACT-03</t>
        </is>
      </c>
      <c r="I163" s="3" t="inlineStr">
        <is>
          <t>TIPO-C1</t>
        </is>
      </c>
      <c r="J163" s="11" t="n">
        <v>46105</v>
      </c>
      <c r="K163" s="3" t="n">
        <v>8</v>
      </c>
      <c r="L163" s="10" t="n">
        <v>320</v>
      </c>
      <c r="M163" s="3">
        <f>IF($A163="","",IFERROR(INDEX('AJUSTES'!$B$4:$B$303,MATCH($AQ163,'AJUSTES'!$A$4:$A$303,0)),IF($K163="","",$K163)))</f>
        <v/>
      </c>
      <c r="N163" s="3">
        <f>IF($A163="","",IFERROR(INDEX('CAT_ESTADOS_ERP'!$B$4:$B$7,MATCH(IFERROR(INDEX('2_IMPORTAR_EJECUCION'!$C$9:$C$1208,MATCH($AQ163,'2_IMPORTAR_EJECUCION'!$J$9:$J$1208,0)),""),'CAT_ESTADOS_ERP'!$A$4:$A$7,0)),"Pendiente"))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J163="","",IFERROR(INDEX('CALENDARIO'!$C$15:$C$214,MATCH(TEXT($J163,"yyyy-mm-dd")&amp;"|"&amp;$V163&amp;"|"&amp;$W163,'CALENDARIO'!$G$15:$G$214,0)),IFERROR(INDEX('CALENDARIO'!$C$15:$C$214,MATCH(TEXT($J163,"yyyy-mm-dd")&amp;"|"&amp;$V163&amp;"|",'CALENDARIO'!$G$15:$G$214,0)),IFERROR(INDEX('CALENDARIO'!$C$15:$C$214,MATCH(TEXT($J163,"yyyy-mm-dd")&amp;"||",'CALENDARIO'!$G$15:$G$214,0)),INDEX(patronHabil,WEEKDAY($J163,2))))))</f>
        <v/>
      </c>
      <c r="T163" s="3">
        <f>IF($I163="","",IFERROR(INDEX('CAT_TIPOS_OT'!$C$4:$C$7,MATCH($I163,'CAT_TIPOS_OT'!$A$4:$A$7,0)),"sin_clasificar"))</f>
        <v/>
      </c>
      <c r="U163" s="3">
        <f>IF($F163="","",IFERROR(INDEX('CAT_CENTROS_COSTO'!$F$4:$F$13,MATCH($F163,'CAT_CENTROS_COSTO'!$A$4:$A$13,0)),"(sin catálogo)"))</f>
        <v/>
      </c>
      <c r="V163" s="3">
        <f>IF($F163="","",IFERROR(INDEX('CAT_CENTROS_COSTO'!$D$4:$D$13,MATCH($F163,'CAT_CENTROS_COSTO'!$A$4:$A$13,0)),"(sin catálogo)"))</f>
        <v/>
      </c>
      <c r="W163" s="3">
        <f>IF($F163="","",IF((IFERROR(INDEX('CAT_CENTROS_COSTO'!$E$4:$E$13,MATCH($F163,'CAT_CENTROS_COSTO'!$A$4:$A$13,0)),""))&lt;&gt;"",IFERROR(INDEX('CAT_CENTROS_COSTO'!$E$4:$E$13,MATCH($F163,'CAT_CENTROS_COSTO'!$A$4:$A$13,0)),""),$V163))</f>
        <v/>
      </c>
      <c r="X163" s="3">
        <f>IF($F163="","",IFERROR(INDEX('CAT_CENTROS_COSTO'!$G$4:$G$13,MATCH($F163,'CAT_CENTROS_COSTO'!$A$4:$A$13,0)),"(sin catálogo)"))</f>
        <v/>
      </c>
      <c r="Y163" s="3">
        <f>IF($G163="","",IFERROR(INDEX('CAT_PUESTOS'!$B$4:$B$8,MATCH($G163,'CAT_PUESTOS'!$A$4:$A$8,0)),"(sin catálogo)"))</f>
        <v/>
      </c>
      <c r="Z163" s="3">
        <f>IF($H163="","",IFERROR(INDEX('CAT_ACTIVIDADES'!$B$4:$B$8,MATCH($H163,'CAT_ACTIVIDADES'!$A$4:$A$8,0)),"(sin catálogo)"))</f>
        <v/>
      </c>
      <c r="AA163" s="12">
        <f>IF($J163="","",TODAY()-$J163)</f>
        <v/>
      </c>
      <c r="AB163" s="12">
        <f>IF($J163="","",IF($J163&lt;=TODAY(),COUNTIFS(cal_fechas,"&gt;="&amp;$J163,cal_fechas,"&lt;"&amp;TODAY(),cal_habil,"sí"),-COUNTIFS(cal_fechas,"&gt;="&amp;TODAY(),cal_fechas,"&lt;"&amp;$J163,cal_habil,"sí")))</f>
        <v/>
      </c>
      <c r="AC163" s="3">
        <f>IF($AB163="","",IF($AB163&lt;0,"FUTURO",IF($AB163&gt;p_dias_backlog_max,"BACKLOG","MES CORRIENTE")))</f>
        <v/>
      </c>
      <c r="AD163" s="3">
        <f>IF($AB163="",FALSE,AND($AB163&gt;p_dias_backlog_min,$AB163&lt;=p_dias_backlog_max))</f>
        <v/>
      </c>
      <c r="AE163" s="6" t="inlineStr"/>
      <c r="AF163" s="3">
        <f>IF($AE163="","",IF((IFERROR(INDEX('ASIGNACIONES'!$F$4:$F$339,MATCH($O163&amp;"|"&amp;$R163&amp;"|"&amp;$AE163,'ASIGNACIONES'!$J$4:$J$339,0)),""))=0,"",IFERROR(INDEX('ASIGNACIONES'!$F$4:$F$339,MATCH($O163&amp;"|"&amp;$R163&amp;"|"&amp;$AE163,'ASIGNACIONES'!$J$4:$J$339,0)),"")))</f>
        <v/>
      </c>
      <c r="AG163" s="13">
        <f>IF($AE163="","",SUMIFS('ORDENES'!$M$4:$M$1203,'ORDENES'!$AE$4:$AE$1203,$AE163,'ORDENES'!$O$4:$O$1203,$O163,'ORDENES'!$R$4:$R$1203,$R163))</f>
        <v/>
      </c>
      <c r="AH163" s="13">
        <f>IF($AG163="","",p_factor_productividad*IFERROR(INDEX('ASIGNACIONES'!$I$4:$I$339,MATCH($O163&amp;"|"&amp;$R163&amp;"|"&amp;$AE163,'ASIGNACIONES'!$J$4:$J$339,0)),0)-$AG163)</f>
        <v/>
      </c>
      <c r="AI163" s="10">
        <f>IF($A163="","",IFERROR(INDEX('2_IMPORTAR_EJECUCION'!$F$9:$F$1208,MATCH($AQ163,'2_IMPORTAR_EJECUCION'!$J$9:$J$1208,0)),0))</f>
        <v/>
      </c>
      <c r="AJ163" s="10">
        <f>IF($A163="","",MAX(0,IFERROR(INDEX('2_IMPORTAR_EJECUCION'!$H$9:$H$1208,MATCH($AQ163,'2_IMPORTAR_EJECUCION'!$J$9:$J$1208,0)),0)-$AI163))</f>
        <v/>
      </c>
      <c r="AK163" s="10">
        <f>IF($A163="","",$AI163+$AJ163)</f>
        <v/>
      </c>
      <c r="AL163" s="6" t="inlineStr"/>
      <c r="AM163" s="6" t="inlineStr"/>
      <c r="AN163" s="6" t="inlineStr"/>
      <c r="AO163" s="3">
        <f>IF($AN163="","",HYPERLINK(p_ruta_base_checklists&amp;$AN163,"abrir"))</f>
        <v/>
      </c>
      <c r="AP163" s="6" t="inlineStr"/>
      <c r="AQ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CC-320</t>
        </is>
      </c>
      <c r="G164" s="3" t="inlineStr">
        <is>
          <t>PU-AUT</t>
        </is>
      </c>
      <c r="H164" s="3" t="inlineStr">
        <is>
          <t>ACT-04</t>
        </is>
      </c>
      <c r="I164" s="3" t="inlineStr">
        <is>
          <t>TIPO-P2</t>
        </is>
      </c>
      <c r="J164" s="11" t="n">
        <v>46105</v>
      </c>
      <c r="K164" s="3" t="n">
        <v>4</v>
      </c>
      <c r="L164" s="10" t="n">
        <v>100</v>
      </c>
      <c r="M164" s="3">
        <f>IF($A164="","",IFERROR(INDEX('AJUSTES'!$B$4:$B$303,MATCH($AQ164,'AJUSTES'!$A$4:$A$303,0)),IF($K164="","",$K164)))</f>
        <v/>
      </c>
      <c r="N164" s="3">
        <f>IF($A164="","",IFERROR(INDEX('CAT_ESTADOS_ERP'!$B$4:$B$7,MATCH(IFERROR(INDEX('2_IMPORTAR_EJECUCION'!$C$9:$C$1208,MATCH($AQ164,'2_IMPORTAR_EJECUCION'!$J$9:$J$1208,0)),""),'CAT_ESTADOS_ERP'!$A$4:$A$7,0)),"Pendiente"))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J164="","",IFERROR(INDEX('CALENDARIO'!$C$15:$C$214,MATCH(TEXT($J164,"yyyy-mm-dd")&amp;"|"&amp;$V164&amp;"|"&amp;$W164,'CALENDARIO'!$G$15:$G$214,0)),IFERROR(INDEX('CALENDARIO'!$C$15:$C$214,MATCH(TEXT($J164,"yyyy-mm-dd")&amp;"|"&amp;$V164&amp;"|",'CALENDARIO'!$G$15:$G$214,0)),IFERROR(INDEX('CALENDARIO'!$C$15:$C$214,MATCH(TEXT($J164,"yyyy-mm-dd")&amp;"||",'CALENDARIO'!$G$15:$G$214,0)),INDEX(patronHabil,WEEKDAY($J164,2))))))</f>
        <v/>
      </c>
      <c r="T164" s="3">
        <f>IF($I164="","",IFERROR(INDEX('CAT_TIPOS_OT'!$C$4:$C$7,MATCH($I164,'CAT_TIPOS_OT'!$A$4:$A$7,0)),"sin_clasificar"))</f>
        <v/>
      </c>
      <c r="U164" s="3">
        <f>IF($F164="","",IFERROR(INDEX('CAT_CENTROS_COSTO'!$F$4:$F$13,MATCH($F164,'CAT_CENTROS_COSTO'!$A$4:$A$13,0)),"(sin catálogo)"))</f>
        <v/>
      </c>
      <c r="V164" s="3">
        <f>IF($F164="","",IFERROR(INDEX('CAT_CENTROS_COSTO'!$D$4:$D$13,MATCH($F164,'CAT_CENTROS_COSTO'!$A$4:$A$13,0)),"(sin catálogo)"))</f>
        <v/>
      </c>
      <c r="W164" s="3">
        <f>IF($F164="","",IF((IFERROR(INDEX('CAT_CENTROS_COSTO'!$E$4:$E$13,MATCH($F164,'CAT_CENTROS_COSTO'!$A$4:$A$13,0)),""))&lt;&gt;"",IFERROR(INDEX('CAT_CENTROS_COSTO'!$E$4:$E$13,MATCH($F164,'CAT_CENTROS_COSTO'!$A$4:$A$13,0)),""),$V164))</f>
        <v/>
      </c>
      <c r="X164" s="3">
        <f>IF($F164="","",IFERROR(INDEX('CAT_CENTROS_COSTO'!$G$4:$G$13,MATCH($F164,'CAT_CENTROS_COSTO'!$A$4:$A$13,0)),"(sin catálogo)"))</f>
        <v/>
      </c>
      <c r="Y164" s="3">
        <f>IF($G164="","",IFERROR(INDEX('CAT_PUESTOS'!$B$4:$B$8,MATCH($G164,'CAT_PUESTOS'!$A$4:$A$8,0)),"(sin catálogo)"))</f>
        <v/>
      </c>
      <c r="Z164" s="3">
        <f>IF($H164="","",IFERROR(INDEX('CAT_ACTIVIDADES'!$B$4:$B$8,MATCH($H164,'CAT_ACTIVIDADES'!$A$4:$A$8,0)),"(sin catálogo)"))</f>
        <v/>
      </c>
      <c r="AA164" s="12">
        <f>IF($J164="","",TODAY()-$J164)</f>
        <v/>
      </c>
      <c r="AB164" s="12">
        <f>IF($J164="","",IF($J164&lt;=TODAY(),COUNTIFS(cal_fechas,"&gt;="&amp;$J164,cal_fechas,"&lt;"&amp;TODAY(),cal_habil,"sí"),-COUNTIFS(cal_fechas,"&gt;="&amp;TODAY(),cal_fechas,"&lt;"&amp;$J164,cal_habil,"sí")))</f>
        <v/>
      </c>
      <c r="AC164" s="3">
        <f>IF($AB164="","",IF($AB164&lt;0,"FUTURO",IF($AB164&gt;p_dias_backlog_max,"BACKLOG","MES CORRIENTE")))</f>
        <v/>
      </c>
      <c r="AD164" s="3">
        <f>IF($AB164="",FALSE,AND($AB164&gt;p_dias_backlog_min,$AB164&lt;=p_dias_backlog_max))</f>
        <v/>
      </c>
      <c r="AE164" s="6" t="inlineStr"/>
      <c r="AF164" s="3">
        <f>IF($AE164="","",IF((IFERROR(INDEX('ASIGNACIONES'!$F$4:$F$339,MATCH($O164&amp;"|"&amp;$R164&amp;"|"&amp;$AE164,'ASIGNACIONES'!$J$4:$J$339,0)),""))=0,"",IFERROR(INDEX('ASIGNACIONES'!$F$4:$F$339,MATCH($O164&amp;"|"&amp;$R164&amp;"|"&amp;$AE164,'ASIGNACIONES'!$J$4:$J$339,0)),"")))</f>
        <v/>
      </c>
      <c r="AG164" s="13">
        <f>IF($AE164="","",SUMIFS('ORDENES'!$M$4:$M$1203,'ORDENES'!$AE$4:$AE$1203,$AE164,'ORDENES'!$O$4:$O$1203,$O164,'ORDENES'!$R$4:$R$1203,$R164))</f>
        <v/>
      </c>
      <c r="AH164" s="13">
        <f>IF($AG164="","",p_factor_productividad*IFERROR(INDEX('ASIGNACIONES'!$I$4:$I$339,MATCH($O164&amp;"|"&amp;$R164&amp;"|"&amp;$AE164,'ASIGNACIONES'!$J$4:$J$339,0)),0)-$AG164)</f>
        <v/>
      </c>
      <c r="AI164" s="10">
        <f>IF($A164="","",IFERROR(INDEX('2_IMPORTAR_EJECUCION'!$F$9:$F$1208,MATCH($AQ164,'2_IMPORTAR_EJECUCION'!$J$9:$J$1208,0)),0))</f>
        <v/>
      </c>
      <c r="AJ164" s="10">
        <f>IF($A164="","",MAX(0,IFERROR(INDEX('2_IMPORTAR_EJECUCION'!$H$9:$H$1208,MATCH($AQ164,'2_IMPORTAR_EJECUCION'!$J$9:$J$1208,0)),0)-$AI164))</f>
        <v/>
      </c>
      <c r="AK164" s="10">
        <f>IF($A164="","",$AI164+$AJ164)</f>
        <v/>
      </c>
      <c r="AL164" s="6" t="inlineStr"/>
      <c r="AM164" s="6" t="inlineStr"/>
      <c r="AN164" s="6" t="inlineStr"/>
      <c r="AO164" s="3">
        <f>IF($AN164="","",HYPERLINK(p_ruta_base_checklists&amp;$AN164,"abrir"))</f>
        <v/>
      </c>
      <c r="AP164" s="6" t="inlineStr"/>
      <c r="AQ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Reparación de falla — EQ-110</t>
        </is>
      </c>
      <c r="D165" s="3" t="inlineStr">
        <is>
          <t>Reparación de falla en EQ-110</t>
        </is>
      </c>
      <c r="E165" s="3" t="inlineStr">
        <is>
          <t>EQ-110</t>
        </is>
      </c>
      <c r="F165" s="3" t="inlineStr">
        <is>
          <t>CC-310</t>
        </is>
      </c>
      <c r="G165" s="3" t="inlineStr">
        <is>
          <t>PU-MEC</t>
        </is>
      </c>
      <c r="H165" s="3" t="inlineStr">
        <is>
          <t>ACT-03</t>
        </is>
      </c>
      <c r="I165" s="3" t="inlineStr">
        <is>
          <t>TIPO-C1</t>
        </is>
      </c>
      <c r="J165" s="11" t="n">
        <v>46075</v>
      </c>
      <c r="K165" s="3" t="n">
        <v>4</v>
      </c>
      <c r="L165" s="10" t="n">
        <v>160</v>
      </c>
      <c r="M165" s="3">
        <f>IF($A165="","",IFERROR(INDEX('AJUSTES'!$B$4:$B$303,MATCH($AQ165,'AJUSTES'!$A$4:$A$303,0)),IF($K165="","",$K165)))</f>
        <v/>
      </c>
      <c r="N165" s="3">
        <f>IF($A165="","",IFERROR(INDEX('CAT_ESTADOS_ERP'!$B$4:$B$7,MATCH(IFERROR(INDEX('2_IMPORTAR_EJECUCION'!$C$9:$C$1208,MATCH($AQ165,'2_IMPORTAR_EJECUCION'!$J$9:$J$1208,0)),""),'CAT_ESTADOS_ERP'!$A$4:$A$7,0)),"Pendiente"))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J165="","",IFERROR(INDEX('CALENDARIO'!$C$15:$C$214,MATCH(TEXT($J165,"yyyy-mm-dd")&amp;"|"&amp;$V165&amp;"|"&amp;$W165,'CALENDARIO'!$G$15:$G$214,0)),IFERROR(INDEX('CALENDARIO'!$C$15:$C$214,MATCH(TEXT($J165,"yyyy-mm-dd")&amp;"|"&amp;$V165&amp;"|",'CALENDARIO'!$G$15:$G$214,0)),IFERROR(INDEX('CALENDARIO'!$C$15:$C$214,MATCH(TEXT($J165,"yyyy-mm-dd")&amp;"||",'CALENDARIO'!$G$15:$G$214,0)),INDEX(patronHabil,WEEKDAY($J165,2))))))</f>
        <v/>
      </c>
      <c r="T165" s="3">
        <f>IF($I165="","",IFERROR(INDEX('CAT_TIPOS_OT'!$C$4:$C$7,MATCH($I165,'CAT_TIPOS_OT'!$A$4:$A$7,0)),"sin_clasificar"))</f>
        <v/>
      </c>
      <c r="U165" s="3">
        <f>IF($F165="","",IFERROR(INDEX('CAT_CENTROS_COSTO'!$F$4:$F$13,MATCH($F165,'CAT_CENTROS_COSTO'!$A$4:$A$13,0)),"(sin catálogo)"))</f>
        <v/>
      </c>
      <c r="V165" s="3">
        <f>IF($F165="","",IFERROR(INDEX('CAT_CENTROS_COSTO'!$D$4:$D$13,MATCH($F165,'CAT_CENTROS_COSTO'!$A$4:$A$13,0)),"(sin catálogo)"))</f>
        <v/>
      </c>
      <c r="W165" s="3">
        <f>IF($F165="","",IF((IFERROR(INDEX('CAT_CENTROS_COSTO'!$E$4:$E$13,MATCH($F165,'CAT_CENTROS_COSTO'!$A$4:$A$13,0)),""))&lt;&gt;"",IFERROR(INDEX('CAT_CENTROS_COSTO'!$E$4:$E$13,MATCH($F165,'CAT_CENTROS_COSTO'!$A$4:$A$13,0)),""),$V165))</f>
        <v/>
      </c>
      <c r="X165" s="3">
        <f>IF($F165="","",IFERROR(INDEX('CAT_CENTROS_COSTO'!$G$4:$G$13,MATCH($F165,'CAT_CENTROS_COSTO'!$A$4:$A$13,0)),"(sin catálogo)"))</f>
        <v/>
      </c>
      <c r="Y165" s="3">
        <f>IF($G165="","",IFERROR(INDEX('CAT_PUESTOS'!$B$4:$B$8,MATCH($G165,'CAT_PUESTOS'!$A$4:$A$8,0)),"(sin catálogo)"))</f>
        <v/>
      </c>
      <c r="Z165" s="3">
        <f>IF($H165="","",IFERROR(INDEX('CAT_ACTIVIDADES'!$B$4:$B$8,MATCH($H165,'CAT_ACTIVIDADES'!$A$4:$A$8,0)),"(sin catálogo)"))</f>
        <v/>
      </c>
      <c r="AA165" s="12">
        <f>IF($J165="","",TODAY()-$J165)</f>
        <v/>
      </c>
      <c r="AB165" s="12">
        <f>IF($J165="","",IF($J165&lt;=TODAY(),COUNTIFS(cal_fechas,"&gt;="&amp;$J165,cal_fechas,"&lt;"&amp;TODAY(),cal_habil,"sí"),-COUNTIFS(cal_fechas,"&gt;="&amp;TODAY(),cal_fechas,"&lt;"&amp;$J165,cal_habil,"sí")))</f>
        <v/>
      </c>
      <c r="AC165" s="3">
        <f>IF($AB165="","",IF($AB165&lt;0,"FUTURO",IF($AB165&gt;p_dias_backlog_max,"BACKLOG","MES CORRIENTE")))</f>
        <v/>
      </c>
      <c r="AD165" s="3">
        <f>IF($AB165="",FALSE,AND($AB165&gt;p_dias_backlog_min,$AB165&lt;=p_dias_backlog_max))</f>
        <v/>
      </c>
      <c r="AE165" s="6" t="inlineStr"/>
      <c r="AF165" s="3">
        <f>IF($AE165="","",IF((IFERROR(INDEX('ASIGNACIONES'!$F$4:$F$339,MATCH($O165&amp;"|"&amp;$R165&amp;"|"&amp;$AE165,'ASIGNACIONES'!$J$4:$J$339,0)),""))=0,"",IFERROR(INDEX('ASIGNACIONES'!$F$4:$F$339,MATCH($O165&amp;"|"&amp;$R165&amp;"|"&amp;$AE165,'ASIGNACIONES'!$J$4:$J$339,0)),"")))</f>
        <v/>
      </c>
      <c r="AG165" s="13">
        <f>IF($AE165="","",SUMIFS('ORDENES'!$M$4:$M$1203,'ORDENES'!$AE$4:$AE$1203,$AE165,'ORDENES'!$O$4:$O$1203,$O165,'ORDENES'!$R$4:$R$1203,$R165))</f>
        <v/>
      </c>
      <c r="AH165" s="13">
        <f>IF($AG165="","",p_factor_productividad*IFERROR(INDEX('ASIGNACIONES'!$I$4:$I$339,MATCH($O165&amp;"|"&amp;$R165&amp;"|"&amp;$AE165,'ASIGNACIONES'!$J$4:$J$339,0)),0)-$AG165)</f>
        <v/>
      </c>
      <c r="AI165" s="10">
        <f>IF($A165="","",IFERROR(INDEX('2_IMPORTAR_EJECUCION'!$F$9:$F$1208,MATCH($AQ165,'2_IMPORTAR_EJECUCION'!$J$9:$J$1208,0)),0))</f>
        <v/>
      </c>
      <c r="AJ165" s="10">
        <f>IF($A165="","",MAX(0,IFERROR(INDEX('2_IMPORTAR_EJECUCION'!$H$9:$H$1208,MATCH($AQ165,'2_IMPORTAR_EJECUCION'!$J$9:$J$1208,0)),0)-$AI165))</f>
        <v/>
      </c>
      <c r="AK165" s="10">
        <f>IF($A165="","",$AI165+$AJ165)</f>
        <v/>
      </c>
      <c r="AL165" s="6" t="inlineStr"/>
      <c r="AM165" s="6" t="inlineStr"/>
      <c r="AN165" s="6" t="inlineStr"/>
      <c r="AO165" s="3">
        <f>IF($AN165="","",HYPERLINK(p_ruta_base_checklists&amp;$AN165,"abrir"))</f>
        <v/>
      </c>
      <c r="AP165" s="6" t="inlineStr"/>
      <c r="AQ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EQ-111</t>
        </is>
      </c>
      <c r="D166" s="3" t="inlineStr">
        <is>
          <t>Reparación de falla en EQ-111</t>
        </is>
      </c>
      <c r="E166" s="3" t="inlineStr">
        <is>
          <t>EQ-111</t>
        </is>
      </c>
      <c r="F166" s="3" t="inlineStr">
        <is>
          <t>CC-311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46075</v>
      </c>
      <c r="K166" s="3" t="n">
        <v>6</v>
      </c>
      <c r="L166" s="10" t="n">
        <v>240</v>
      </c>
      <c r="M166" s="3">
        <f>IF($A166="","",IFERROR(INDEX('AJUSTES'!$B$4:$B$303,MATCH($AQ166,'AJUSTES'!$A$4:$A$303,0)),IF($K166="","",$K166)))</f>
        <v/>
      </c>
      <c r="N166" s="3">
        <f>IF($A166="","",IFERROR(INDEX('CAT_ESTADOS_ERP'!$B$4:$B$7,MATCH(IFERROR(INDEX('2_IMPORTAR_EJECUCION'!$C$9:$C$1208,MATCH($AQ166,'2_IMPORTAR_EJECUCION'!$J$9:$J$1208,0)),""),'CAT_ESTADOS_ERP'!$A$4:$A$7,0)),"Pendiente"))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J166="","",IFERROR(INDEX('CALENDARIO'!$C$15:$C$214,MATCH(TEXT($J166,"yyyy-mm-dd")&amp;"|"&amp;$V166&amp;"|"&amp;$W166,'CALENDARIO'!$G$15:$G$214,0)),IFERROR(INDEX('CALENDARIO'!$C$15:$C$214,MATCH(TEXT($J166,"yyyy-mm-dd")&amp;"|"&amp;$V166&amp;"|",'CALENDARIO'!$G$15:$G$214,0)),IFERROR(INDEX('CALENDARIO'!$C$15:$C$214,MATCH(TEXT($J166,"yyyy-mm-dd")&amp;"||",'CALENDARIO'!$G$15:$G$214,0)),INDEX(patronHabil,WEEKDAY($J166,2))))))</f>
        <v/>
      </c>
      <c r="T166" s="3">
        <f>IF($I166="","",IFERROR(INDEX('CAT_TIPOS_OT'!$C$4:$C$7,MATCH($I166,'CAT_TIPOS_OT'!$A$4:$A$7,0)),"sin_clasificar"))</f>
        <v/>
      </c>
      <c r="U166" s="3">
        <f>IF($F166="","",IFERROR(INDEX('CAT_CENTROS_COSTO'!$F$4:$F$13,MATCH($F166,'CAT_CENTROS_COSTO'!$A$4:$A$13,0)),"(sin catálogo)"))</f>
        <v/>
      </c>
      <c r="V166" s="3">
        <f>IF($F166="","",IFERROR(INDEX('CAT_CENTROS_COSTO'!$D$4:$D$13,MATCH($F166,'CAT_CENTROS_COSTO'!$A$4:$A$13,0)),"(sin catálogo)"))</f>
        <v/>
      </c>
      <c r="W166" s="3">
        <f>IF($F166="","",IF((IFERROR(INDEX('CAT_CENTROS_COSTO'!$E$4:$E$13,MATCH($F166,'CAT_CENTROS_COSTO'!$A$4:$A$13,0)),""))&lt;&gt;"",IFERROR(INDEX('CAT_CENTROS_COSTO'!$E$4:$E$13,MATCH($F166,'CAT_CENTROS_COSTO'!$A$4:$A$13,0)),""),$V166))</f>
        <v/>
      </c>
      <c r="X166" s="3">
        <f>IF($F166="","",IFERROR(INDEX('CAT_CENTROS_COSTO'!$G$4:$G$13,MATCH($F166,'CAT_CENTROS_COSTO'!$A$4:$A$13,0)),"(sin catálogo)"))</f>
        <v/>
      </c>
      <c r="Y166" s="3">
        <f>IF($G166="","",IFERROR(INDEX('CAT_PUESTOS'!$B$4:$B$8,MATCH($G166,'CAT_PUESTOS'!$A$4:$A$8,0)),"(sin catálogo)"))</f>
        <v/>
      </c>
      <c r="Z166" s="3">
        <f>IF($H166="","",IFERROR(INDEX('CAT_ACTIVIDADES'!$B$4:$B$8,MATCH($H166,'CAT_ACTIVIDADES'!$A$4:$A$8,0)),"(sin catálogo)"))</f>
        <v/>
      </c>
      <c r="AA166" s="12">
        <f>IF($J166="","",TODAY()-$J166)</f>
        <v/>
      </c>
      <c r="AB166" s="12">
        <f>IF($J166="","",IF($J166&lt;=TODAY(),COUNTIFS(cal_fechas,"&gt;="&amp;$J166,cal_fechas,"&lt;"&amp;TODAY(),cal_habil,"sí"),-COUNTIFS(cal_fechas,"&gt;="&amp;TODAY(),cal_fechas,"&lt;"&amp;$J166,cal_habil,"sí")))</f>
        <v/>
      </c>
      <c r="AC166" s="3">
        <f>IF($AB166="","",IF($AB166&lt;0,"FUTURO",IF($AB166&gt;p_dias_backlog_max,"BACKLOG","MES CORRIENTE")))</f>
        <v/>
      </c>
      <c r="AD166" s="3">
        <f>IF($AB166="",FALSE,AND($AB166&gt;p_dias_backlog_min,$AB166&lt;=p_dias_backlog_max))</f>
        <v/>
      </c>
      <c r="AE166" s="6" t="inlineStr"/>
      <c r="AF166" s="3">
        <f>IF($AE166="","",IF((IFERROR(INDEX('ASIGNACIONES'!$F$4:$F$339,MATCH($O166&amp;"|"&amp;$R166&amp;"|"&amp;$AE166,'ASIGNACIONES'!$J$4:$J$339,0)),""))=0,"",IFERROR(INDEX('ASIGNACIONES'!$F$4:$F$339,MATCH($O166&amp;"|"&amp;$R166&amp;"|"&amp;$AE166,'ASIGNACIONES'!$J$4:$J$339,0)),"")))</f>
        <v/>
      </c>
      <c r="AG166" s="13">
        <f>IF($AE166="","",SUMIFS('ORDENES'!$M$4:$M$1203,'ORDENES'!$AE$4:$AE$1203,$AE166,'ORDENES'!$O$4:$O$1203,$O166,'ORDENES'!$R$4:$R$1203,$R166))</f>
        <v/>
      </c>
      <c r="AH166" s="13">
        <f>IF($AG166="","",p_factor_productividad*IFERROR(INDEX('ASIGNACIONES'!$I$4:$I$339,MATCH($O166&amp;"|"&amp;$R166&amp;"|"&amp;$AE166,'ASIGNACIONES'!$J$4:$J$339,0)),0)-$AG166)</f>
        <v/>
      </c>
      <c r="AI166" s="10">
        <f>IF($A166="","",IFERROR(INDEX('2_IMPORTAR_EJECUCION'!$F$9:$F$1208,MATCH($AQ166,'2_IMPORTAR_EJECUCION'!$J$9:$J$1208,0)),0))</f>
        <v/>
      </c>
      <c r="AJ166" s="10">
        <f>IF($A166="","",MAX(0,IFERROR(INDEX('2_IMPORTAR_EJECUCION'!$H$9:$H$1208,MATCH($AQ166,'2_IMPORTAR_EJECUCION'!$J$9:$J$1208,0)),0)-$AI166))</f>
        <v/>
      </c>
      <c r="AK166" s="10">
        <f>IF($A166="","",$AI166+$AJ166)</f>
        <v/>
      </c>
      <c r="AL166" s="6" t="inlineStr"/>
      <c r="AM166" s="6" t="inlineStr"/>
      <c r="AN166" s="6" t="inlineStr"/>
      <c r="AO166" s="3">
        <f>IF($AN166="","",HYPERLINK(p_ruta_base_checklists&amp;$AN166,"abrir"))</f>
        <v/>
      </c>
      <c r="AP166" s="6" t="inlineStr"/>
      <c r="AQ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Reparación de falla — EQ-112</t>
        </is>
      </c>
      <c r="D167" s="3" t="inlineStr">
        <is>
          <t>Reparación de falla en EQ-112</t>
        </is>
      </c>
      <c r="E167" s="3" t="inlineStr">
        <is>
          <t>EQ-112</t>
        </is>
      </c>
      <c r="F167" s="3" t="inlineStr">
        <is>
          <t>CC-320</t>
        </is>
      </c>
      <c r="G167" s="3" t="inlineStr">
        <is>
          <t>PU-AUT</t>
        </is>
      </c>
      <c r="H167" s="3" t="inlineStr">
        <is>
          <t>ACT-03</t>
        </is>
      </c>
      <c r="I167" s="3" t="inlineStr">
        <is>
          <t>TIPO-C1</t>
        </is>
      </c>
      <c r="J167" s="11" t="n">
        <v>46075</v>
      </c>
      <c r="K167" s="3" t="n">
        <v>8</v>
      </c>
      <c r="L167" s="10" t="n">
        <v>320</v>
      </c>
      <c r="M167" s="3">
        <f>IF($A167="","",IFERROR(INDEX('AJUSTES'!$B$4:$B$303,MATCH($AQ167,'AJUSTES'!$A$4:$A$303,0)),IF($K167="","",$K167)))</f>
        <v/>
      </c>
      <c r="N167" s="3">
        <f>IF($A167="","",IFERROR(INDEX('CAT_ESTADOS_ERP'!$B$4:$B$7,MATCH(IFERROR(INDEX('2_IMPORTAR_EJECUCION'!$C$9:$C$1208,MATCH($AQ167,'2_IMPORTAR_EJECUCION'!$J$9:$J$1208,0)),""),'CAT_ESTADOS_ERP'!$A$4:$A$7,0)),"Pendiente"))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J167="","",IFERROR(INDEX('CALENDARIO'!$C$15:$C$214,MATCH(TEXT($J167,"yyyy-mm-dd")&amp;"|"&amp;$V167&amp;"|"&amp;$W167,'CALENDARIO'!$G$15:$G$214,0)),IFERROR(INDEX('CALENDARIO'!$C$15:$C$214,MATCH(TEXT($J167,"yyyy-mm-dd")&amp;"|"&amp;$V167&amp;"|",'CALENDARIO'!$G$15:$G$214,0)),IFERROR(INDEX('CALENDARIO'!$C$15:$C$214,MATCH(TEXT($J167,"yyyy-mm-dd")&amp;"||",'CALENDARIO'!$G$15:$G$214,0)),INDEX(patronHabil,WEEKDAY($J167,2))))))</f>
        <v/>
      </c>
      <c r="T167" s="3">
        <f>IF($I167="","",IFERROR(INDEX('CAT_TIPOS_OT'!$C$4:$C$7,MATCH($I167,'CAT_TIPOS_OT'!$A$4:$A$7,0)),"sin_clasificar"))</f>
        <v/>
      </c>
      <c r="U167" s="3">
        <f>IF($F167="","",IFERROR(INDEX('CAT_CENTROS_COSTO'!$F$4:$F$13,MATCH($F167,'CAT_CENTROS_COSTO'!$A$4:$A$13,0)),"(sin catálogo)"))</f>
        <v/>
      </c>
      <c r="V167" s="3">
        <f>IF($F167="","",IFERROR(INDEX('CAT_CENTROS_COSTO'!$D$4:$D$13,MATCH($F167,'CAT_CENTROS_COSTO'!$A$4:$A$13,0)),"(sin catálogo)"))</f>
        <v/>
      </c>
      <c r="W167" s="3">
        <f>IF($F167="","",IF((IFERROR(INDEX('CAT_CENTROS_COSTO'!$E$4:$E$13,MATCH($F167,'CAT_CENTROS_COSTO'!$A$4:$A$13,0)),""))&lt;&gt;"",IFERROR(INDEX('CAT_CENTROS_COSTO'!$E$4:$E$13,MATCH($F167,'CAT_CENTROS_COSTO'!$A$4:$A$13,0)),""),$V167))</f>
        <v/>
      </c>
      <c r="X167" s="3">
        <f>IF($F167="","",IFERROR(INDEX('CAT_CENTROS_COSTO'!$G$4:$G$13,MATCH($F167,'CAT_CENTROS_COSTO'!$A$4:$A$13,0)),"(sin catálogo)"))</f>
        <v/>
      </c>
      <c r="Y167" s="3">
        <f>IF($G167="","",IFERROR(INDEX('CAT_PUESTOS'!$B$4:$B$8,MATCH($G167,'CAT_PUESTOS'!$A$4:$A$8,0)),"(sin catálogo)"))</f>
        <v/>
      </c>
      <c r="Z167" s="3">
        <f>IF($H167="","",IFERROR(INDEX('CAT_ACTIVIDADES'!$B$4:$B$8,MATCH($H167,'CAT_ACTIVIDADES'!$A$4:$A$8,0)),"(sin catálogo)"))</f>
        <v/>
      </c>
      <c r="AA167" s="12">
        <f>IF($J167="","",TODAY()-$J167)</f>
        <v/>
      </c>
      <c r="AB167" s="12">
        <f>IF($J167="","",IF($J167&lt;=TODAY(),COUNTIFS(cal_fechas,"&gt;="&amp;$J167,cal_fechas,"&lt;"&amp;TODAY(),cal_habil,"sí"),-COUNTIFS(cal_fechas,"&gt;="&amp;TODAY(),cal_fechas,"&lt;"&amp;$J167,cal_habil,"sí")))</f>
        <v/>
      </c>
      <c r="AC167" s="3">
        <f>IF($AB167="","",IF($AB167&lt;0,"FUTURO",IF($AB167&gt;p_dias_backlog_max,"BACKLOG","MES CORRIENTE")))</f>
        <v/>
      </c>
      <c r="AD167" s="3">
        <f>IF($AB167="",FALSE,AND($AB167&gt;p_dias_backlog_min,$AB167&lt;=p_dias_backlog_max))</f>
        <v/>
      </c>
      <c r="AE167" s="6" t="inlineStr"/>
      <c r="AF167" s="3">
        <f>IF($AE167="","",IF((IFERROR(INDEX('ASIGNACIONES'!$F$4:$F$339,MATCH($O167&amp;"|"&amp;$R167&amp;"|"&amp;$AE167,'ASIGNACIONES'!$J$4:$J$339,0)),""))=0,"",IFERROR(INDEX('ASIGNACIONES'!$F$4:$F$339,MATCH($O167&amp;"|"&amp;$R167&amp;"|"&amp;$AE167,'ASIGNACIONES'!$J$4:$J$339,0)),"")))</f>
        <v/>
      </c>
      <c r="AG167" s="13">
        <f>IF($AE167="","",SUMIFS('ORDENES'!$M$4:$M$1203,'ORDENES'!$AE$4:$AE$1203,$AE167,'ORDENES'!$O$4:$O$1203,$O167,'ORDENES'!$R$4:$R$1203,$R167))</f>
        <v/>
      </c>
      <c r="AH167" s="13">
        <f>IF($AG167="","",p_factor_productividad*IFERROR(INDEX('ASIGNACIONES'!$I$4:$I$339,MATCH($O167&amp;"|"&amp;$R167&amp;"|"&amp;$AE167,'ASIGNACIONES'!$J$4:$J$339,0)),0)-$AG167)</f>
        <v/>
      </c>
      <c r="AI167" s="10">
        <f>IF($A167="","",IFERROR(INDEX('2_IMPORTAR_EJECUCION'!$F$9:$F$1208,MATCH($AQ167,'2_IMPORTAR_EJECUCION'!$J$9:$J$1208,0)),0))</f>
        <v/>
      </c>
      <c r="AJ167" s="10">
        <f>IF($A167="","",MAX(0,IFERROR(INDEX('2_IMPORTAR_EJECUCION'!$H$9:$H$1208,MATCH($AQ167,'2_IMPORTAR_EJECUCION'!$J$9:$J$1208,0)),0)-$AI167))</f>
        <v/>
      </c>
      <c r="AK167" s="10">
        <f>IF($A167="","",$AI167+$AJ167)</f>
        <v/>
      </c>
      <c r="AL167" s="6" t="inlineStr"/>
      <c r="AM167" s="6" t="inlineStr"/>
      <c r="AN167" s="6" t="inlineStr"/>
      <c r="AO167" s="3">
        <f>IF($AN167="","",HYPERLINK(p_ruta_base_checklists&amp;$AN167,"abrir"))</f>
        <v/>
      </c>
      <c r="AP167" s="6" t="inlineStr"/>
      <c r="AQ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Inspección de rutina — EQ-110</t>
        </is>
      </c>
      <c r="D168" s="3" t="inlineStr">
        <is>
          <t>Inspección de rutina en EQ-110</t>
        </is>
      </c>
      <c r="E168" s="3" t="inlineStr">
        <is>
          <t>EQ-110</t>
        </is>
      </c>
      <c r="F168" s="3" t="inlineStr">
        <is>
          <t>CC-321</t>
        </is>
      </c>
      <c r="G168" s="3" t="inlineStr">
        <is>
          <t>PU-OP</t>
        </is>
      </c>
      <c r="H168" s="3" t="inlineStr">
        <is>
          <t>ACT-01</t>
        </is>
      </c>
      <c r="I168" s="3" t="inlineStr">
        <is>
          <t>TIPO-P2</t>
        </is>
      </c>
      <c r="J168" s="11" t="n">
        <v>46075</v>
      </c>
      <c r="K168" s="3" t="n">
        <v>4</v>
      </c>
      <c r="L168" s="10" t="n">
        <v>100</v>
      </c>
      <c r="M168" s="3">
        <f>IF($A168="","",IFERROR(INDEX('AJUSTES'!$B$4:$B$303,MATCH($AQ168,'AJUSTES'!$A$4:$A$303,0)),IF($K168="","",$K168)))</f>
        <v/>
      </c>
      <c r="N168" s="3">
        <f>IF($A168="","",IFERROR(INDEX('CAT_ESTADOS_ERP'!$B$4:$B$7,MATCH(IFERROR(INDEX('2_IMPORTAR_EJECUCION'!$C$9:$C$1208,MATCH($AQ168,'2_IMPORTAR_EJECUCION'!$J$9:$J$1208,0)),""),'CAT_ESTADOS_ERP'!$A$4:$A$7,0)),"Pendiente"))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J168="","",IFERROR(INDEX('CALENDARIO'!$C$15:$C$214,MATCH(TEXT($J168,"yyyy-mm-dd")&amp;"|"&amp;$V168&amp;"|"&amp;$W168,'CALENDARIO'!$G$15:$G$214,0)),IFERROR(INDEX('CALENDARIO'!$C$15:$C$214,MATCH(TEXT($J168,"yyyy-mm-dd")&amp;"|"&amp;$V168&amp;"|",'CALENDARIO'!$G$15:$G$214,0)),IFERROR(INDEX('CALENDARIO'!$C$15:$C$214,MATCH(TEXT($J168,"yyyy-mm-dd")&amp;"||",'CALENDARIO'!$G$15:$G$214,0)),INDEX(patronHabil,WEEKDAY($J168,2))))))</f>
        <v/>
      </c>
      <c r="T168" s="3">
        <f>IF($I168="","",IFERROR(INDEX('CAT_TIPOS_OT'!$C$4:$C$7,MATCH($I168,'CAT_TIPOS_OT'!$A$4:$A$7,0)),"sin_clasificar"))</f>
        <v/>
      </c>
      <c r="U168" s="3">
        <f>IF($F168="","",IFERROR(INDEX('CAT_CENTROS_COSTO'!$F$4:$F$13,MATCH($F168,'CAT_CENTROS_COSTO'!$A$4:$A$13,0)),"(sin catálogo)"))</f>
        <v/>
      </c>
      <c r="V168" s="3">
        <f>IF($F168="","",IFERROR(INDEX('CAT_CENTROS_COSTO'!$D$4:$D$13,MATCH($F168,'CAT_CENTROS_COSTO'!$A$4:$A$13,0)),"(sin catálogo)"))</f>
        <v/>
      </c>
      <c r="W168" s="3">
        <f>IF($F168="","",IF((IFERROR(INDEX('CAT_CENTROS_COSTO'!$E$4:$E$13,MATCH($F168,'CAT_CENTROS_COSTO'!$A$4:$A$13,0)),""))&lt;&gt;"",IFERROR(INDEX('CAT_CENTROS_COSTO'!$E$4:$E$13,MATCH($F168,'CAT_CENTROS_COSTO'!$A$4:$A$13,0)),""),$V168))</f>
        <v/>
      </c>
      <c r="X168" s="3">
        <f>IF($F168="","",IFERROR(INDEX('CAT_CENTROS_COSTO'!$G$4:$G$13,MATCH($F168,'CAT_CENTROS_COSTO'!$A$4:$A$13,0)),"(sin catálogo)"))</f>
        <v/>
      </c>
      <c r="Y168" s="3">
        <f>IF($G168="","",IFERROR(INDEX('CAT_PUESTOS'!$B$4:$B$8,MATCH($G168,'CAT_PUESTOS'!$A$4:$A$8,0)),"(sin catálogo)"))</f>
        <v/>
      </c>
      <c r="Z168" s="3">
        <f>IF($H168="","",IFERROR(INDEX('CAT_ACTIVIDADES'!$B$4:$B$8,MATCH($H168,'CAT_ACTIVIDADES'!$A$4:$A$8,0)),"(sin catálogo)"))</f>
        <v/>
      </c>
      <c r="AA168" s="12">
        <f>IF($J168="","",TODAY()-$J168)</f>
        <v/>
      </c>
      <c r="AB168" s="12">
        <f>IF($J168="","",IF($J168&lt;=TODAY(),COUNTIFS(cal_fechas,"&gt;="&amp;$J168,cal_fechas,"&lt;"&amp;TODAY(),cal_habil,"sí"),-COUNTIFS(cal_fechas,"&gt;="&amp;TODAY(),cal_fechas,"&lt;"&amp;$J168,cal_habil,"sí")))</f>
        <v/>
      </c>
      <c r="AC168" s="3">
        <f>IF($AB168="","",IF($AB168&lt;0,"FUTURO",IF($AB168&gt;p_dias_backlog_max,"BACKLOG","MES CORRIENTE")))</f>
        <v/>
      </c>
      <c r="AD168" s="3">
        <f>IF($AB168="",FALSE,AND($AB168&gt;p_dias_backlog_min,$AB168&lt;=p_dias_backlog_max))</f>
        <v/>
      </c>
      <c r="AE168" s="6" t="inlineStr"/>
      <c r="AF168" s="3">
        <f>IF($AE168="","",IF((IFERROR(INDEX('ASIGNACIONES'!$F$4:$F$339,MATCH($O168&amp;"|"&amp;$R168&amp;"|"&amp;$AE168,'ASIGNACIONES'!$J$4:$J$339,0)),""))=0,"",IFERROR(INDEX('ASIGNACIONES'!$F$4:$F$339,MATCH($O168&amp;"|"&amp;$R168&amp;"|"&amp;$AE168,'ASIGNACIONES'!$J$4:$J$339,0)),"")))</f>
        <v/>
      </c>
      <c r="AG168" s="13">
        <f>IF($AE168="","",SUMIFS('ORDENES'!$M$4:$M$1203,'ORDENES'!$AE$4:$AE$1203,$AE168,'ORDENES'!$O$4:$O$1203,$O168,'ORDENES'!$R$4:$R$1203,$R168))</f>
        <v/>
      </c>
      <c r="AH168" s="13">
        <f>IF($AG168="","",p_factor_productividad*IFERROR(INDEX('ASIGNACIONES'!$I$4:$I$339,MATCH($O168&amp;"|"&amp;$R168&amp;"|"&amp;$AE168,'ASIGNACIONES'!$J$4:$J$339,0)),0)-$AG168)</f>
        <v/>
      </c>
      <c r="AI168" s="10">
        <f>IF($A168="","",IFERROR(INDEX('2_IMPORTAR_EJECUCION'!$F$9:$F$1208,MATCH($AQ168,'2_IMPORTAR_EJECUCION'!$J$9:$J$1208,0)),0))</f>
        <v/>
      </c>
      <c r="AJ168" s="10">
        <f>IF($A168="","",MAX(0,IFERROR(INDEX('2_IMPORTAR_EJECUCION'!$H$9:$H$1208,MATCH($AQ168,'2_IMPORTAR_EJECUCION'!$J$9:$J$1208,0)),0)-$AI168))</f>
        <v/>
      </c>
      <c r="AK168" s="10">
        <f>IF($A168="","",$AI168+$AJ168)</f>
        <v/>
      </c>
      <c r="AL168" s="6" t="inlineStr"/>
      <c r="AM168" s="6" t="inlineStr"/>
      <c r="AN168" s="6" t="inlineStr"/>
      <c r="AO168" s="3">
        <f>IF($AN168="","",HYPERLINK(p_ruta_base_checklists&amp;$AN168,"abrir"))</f>
        <v/>
      </c>
      <c r="AP168" s="6" t="inlineStr"/>
      <c r="AQ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EQ-102</t>
        </is>
      </c>
      <c r="D169" s="3" t="inlineStr">
        <is>
          <t>Lubricación programada en EQ-102</t>
        </is>
      </c>
      <c r="E169" s="3" t="inlineStr">
        <is>
          <t>EQ-102</t>
        </is>
      </c>
      <c r="F169" s="3" t="inlineStr">
        <is>
          <t>CC-110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46185</v>
      </c>
      <c r="K169" s="3" t="n">
        <v>4</v>
      </c>
      <c r="L169" s="10" t="n">
        <v>100</v>
      </c>
      <c r="M169" s="3">
        <f>IF($A169="","",IFERROR(INDEX('AJUSTES'!$B$4:$B$303,MATCH($AQ169,'AJUSTES'!$A$4:$A$303,0)),IF($K169="","",$K169)))</f>
        <v/>
      </c>
      <c r="N169" s="3">
        <f>IF($A169="","",IFERROR(INDEX('CAT_ESTADOS_ERP'!$B$4:$B$7,MATCH(IFERROR(INDEX('2_IMPORTAR_EJECUCION'!$C$9:$C$1208,MATCH($AQ169,'2_IMPORTAR_EJECUCION'!$J$9:$J$1208,0)),""),'CAT_ESTADOS_ERP'!$A$4:$A$7,0)),"Pendiente"))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J169="","",IFERROR(INDEX('CALENDARIO'!$C$15:$C$214,MATCH(TEXT($J169,"yyyy-mm-dd")&amp;"|"&amp;$V169&amp;"|"&amp;$W169,'CALENDARIO'!$G$15:$G$214,0)),IFERROR(INDEX('CALENDARIO'!$C$15:$C$214,MATCH(TEXT($J169,"yyyy-mm-dd")&amp;"|"&amp;$V169&amp;"|",'CALENDARIO'!$G$15:$G$214,0)),IFERROR(INDEX('CALENDARIO'!$C$15:$C$214,MATCH(TEXT($J169,"yyyy-mm-dd")&amp;"||",'CALENDARIO'!$G$15:$G$214,0)),INDEX(patronHabil,WEEKDAY($J169,2))))))</f>
        <v/>
      </c>
      <c r="T169" s="3">
        <f>IF($I169="","",IFERROR(INDEX('CAT_TIPOS_OT'!$C$4:$C$7,MATCH($I169,'CAT_TIPOS_OT'!$A$4:$A$7,0)),"sin_clasificar"))</f>
        <v/>
      </c>
      <c r="U169" s="3">
        <f>IF($F169="","",IFERROR(INDEX('CAT_CENTROS_COSTO'!$F$4:$F$13,MATCH($F169,'CAT_CENTROS_COSTO'!$A$4:$A$13,0)),"(sin catálogo)"))</f>
        <v/>
      </c>
      <c r="V169" s="3">
        <f>IF($F169="","",IFERROR(INDEX('CAT_CENTROS_COSTO'!$D$4:$D$13,MATCH($F169,'CAT_CENTROS_COSTO'!$A$4:$A$13,0)),"(sin catálogo)"))</f>
        <v/>
      </c>
      <c r="W169" s="3">
        <f>IF($F169="","",IF((IFERROR(INDEX('CAT_CENTROS_COSTO'!$E$4:$E$13,MATCH($F169,'CAT_CENTROS_COSTO'!$A$4:$A$13,0)),""))&lt;&gt;"",IFERROR(INDEX('CAT_CENTROS_COSTO'!$E$4:$E$13,MATCH($F169,'CAT_CENTROS_COSTO'!$A$4:$A$13,0)),""),$V169))</f>
        <v/>
      </c>
      <c r="X169" s="3">
        <f>IF($F169="","",IFERROR(INDEX('CAT_CENTROS_COSTO'!$G$4:$G$13,MATCH($F169,'CAT_CENTROS_COSTO'!$A$4:$A$13,0)),"(sin catálogo)"))</f>
        <v/>
      </c>
      <c r="Y169" s="3">
        <f>IF($G169="","",IFERROR(INDEX('CAT_PUESTOS'!$B$4:$B$8,MATCH($G169,'CAT_PUESTOS'!$A$4:$A$8,0)),"(sin catálogo)"))</f>
        <v/>
      </c>
      <c r="Z169" s="3">
        <f>IF($H169="","",IFERROR(INDEX('CAT_ACTIVIDADES'!$B$4:$B$8,MATCH($H169,'CAT_ACTIVIDADES'!$A$4:$A$8,0)),"(sin catálogo)"))</f>
        <v/>
      </c>
      <c r="AA169" s="12">
        <f>IF($J169="","",TODAY()-$J169)</f>
        <v/>
      </c>
      <c r="AB169" s="12">
        <f>IF($J169="","",IF($J169&lt;=TODAY(),COUNTIFS(cal_fechas,"&gt;="&amp;$J169,cal_fechas,"&lt;"&amp;TODAY(),cal_habil,"sí"),-COUNTIFS(cal_fechas,"&gt;="&amp;TODAY(),cal_fechas,"&lt;"&amp;$J169,cal_habil,"sí")))</f>
        <v/>
      </c>
      <c r="AC169" s="3">
        <f>IF($AB169="","",IF($AB169&lt;0,"FUTURO",IF($AB169&gt;p_dias_backlog_max,"BACKLOG","MES CORRIENTE")))</f>
        <v/>
      </c>
      <c r="AD169" s="3">
        <f>IF($AB169="",FALSE,AND($AB169&gt;p_dias_backlog_min,$AB169&lt;=p_dias_backlog_max))</f>
        <v/>
      </c>
      <c r="AE169" s="6" t="inlineStr"/>
      <c r="AF169" s="3">
        <f>IF($AE169="","",IF((IFERROR(INDEX('ASIGNACIONES'!$F$4:$F$339,MATCH($O169&amp;"|"&amp;$R169&amp;"|"&amp;$AE169,'ASIGNACIONES'!$J$4:$J$339,0)),""))=0,"",IFERROR(INDEX('ASIGNACIONES'!$F$4:$F$339,MATCH($O169&amp;"|"&amp;$R169&amp;"|"&amp;$AE169,'ASIGNACIONES'!$J$4:$J$339,0)),"")))</f>
        <v/>
      </c>
      <c r="AG169" s="13">
        <f>IF($AE169="","",SUMIFS('ORDENES'!$M$4:$M$1203,'ORDENES'!$AE$4:$AE$1203,$AE169,'ORDENES'!$O$4:$O$1203,$O169,'ORDENES'!$R$4:$R$1203,$R169))</f>
        <v/>
      </c>
      <c r="AH169" s="13">
        <f>IF($AG169="","",p_factor_productividad*IFERROR(INDEX('ASIGNACIONES'!$I$4:$I$339,MATCH($O169&amp;"|"&amp;$R169&amp;"|"&amp;$AE169,'ASIGNACIONES'!$J$4:$J$339,0)),0)-$AG169)</f>
        <v/>
      </c>
      <c r="AI169" s="10">
        <f>IF($A169="","",IFERROR(INDEX('2_IMPORTAR_EJECUCION'!$F$9:$F$1208,MATCH($AQ169,'2_IMPORTAR_EJECUCION'!$J$9:$J$1208,0)),0))</f>
        <v/>
      </c>
      <c r="AJ169" s="10">
        <f>IF($A169="","",MAX(0,IFERROR(INDEX('2_IMPORTAR_EJECUCION'!$H$9:$H$1208,MATCH($AQ169,'2_IMPORTAR_EJECUCION'!$J$9:$J$1208,0)),0)-$AI169))</f>
        <v/>
      </c>
      <c r="AK169" s="10">
        <f>IF($A169="","",$AI169+$AJ169)</f>
        <v/>
      </c>
      <c r="AL169" s="6" t="inlineStr"/>
      <c r="AM169" s="6" t="inlineStr"/>
      <c r="AN169" s="6" t="inlineStr"/>
      <c r="AO169" s="3">
        <f>IF($AN169="","",HYPERLINK(p_ruta_base_checklists&amp;$AN169,"abrir"))</f>
        <v/>
      </c>
      <c r="AP169" s="6" t="inlineStr"/>
      <c r="AQ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EQ-103</t>
        </is>
      </c>
      <c r="D170" s="3" t="inlineStr">
        <is>
          <t>Reparación de falla en EQ-103</t>
        </is>
      </c>
      <c r="E170" s="3" t="inlineStr">
        <is>
          <t>EQ-103</t>
        </is>
      </c>
      <c r="F170" s="3" t="inlineStr">
        <is>
          <t>CC-120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46178</v>
      </c>
      <c r="K170" s="3" t="n">
        <v>6</v>
      </c>
      <c r="L170" s="10" t="n">
        <v>240</v>
      </c>
      <c r="M170" s="3">
        <f>IF($A170="","",IFERROR(INDEX('AJUSTES'!$B$4:$B$303,MATCH($AQ170,'AJUSTES'!$A$4:$A$303,0)),IF($K170="","",$K170)))</f>
        <v/>
      </c>
      <c r="N170" s="3">
        <f>IF($A170="","",IFERROR(INDEX('CAT_ESTADOS_ERP'!$B$4:$B$7,MATCH(IFERROR(INDEX('2_IMPORTAR_EJECUCION'!$C$9:$C$1208,MATCH($AQ170,'2_IMPORTAR_EJECUCION'!$J$9:$J$1208,0)),""),'CAT_ESTADOS_ERP'!$A$4:$A$7,0)),"Pendiente"))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J170="","",IFERROR(INDEX('CALENDARIO'!$C$15:$C$214,MATCH(TEXT($J170,"yyyy-mm-dd")&amp;"|"&amp;$V170&amp;"|"&amp;$W170,'CALENDARIO'!$G$15:$G$214,0)),IFERROR(INDEX('CALENDARIO'!$C$15:$C$214,MATCH(TEXT($J170,"yyyy-mm-dd")&amp;"|"&amp;$V170&amp;"|",'CALENDARIO'!$G$15:$G$214,0)),IFERROR(INDEX('CALENDARIO'!$C$15:$C$214,MATCH(TEXT($J170,"yyyy-mm-dd")&amp;"||",'CALENDARIO'!$G$15:$G$214,0)),INDEX(patronHabil,WEEKDAY($J170,2))))))</f>
        <v/>
      </c>
      <c r="T170" s="3">
        <f>IF($I170="","",IFERROR(INDEX('CAT_TIPOS_OT'!$C$4:$C$7,MATCH($I170,'CAT_TIPOS_OT'!$A$4:$A$7,0)),"sin_clasificar"))</f>
        <v/>
      </c>
      <c r="U170" s="3">
        <f>IF($F170="","",IFERROR(INDEX('CAT_CENTROS_COSTO'!$F$4:$F$13,MATCH($F170,'CAT_CENTROS_COSTO'!$A$4:$A$13,0)),"(sin catálogo)"))</f>
        <v/>
      </c>
      <c r="V170" s="3">
        <f>IF($F170="","",IFERROR(INDEX('CAT_CENTROS_COSTO'!$D$4:$D$13,MATCH($F170,'CAT_CENTROS_COSTO'!$A$4:$A$13,0)),"(sin catálogo)"))</f>
        <v/>
      </c>
      <c r="W170" s="3">
        <f>IF($F170="","",IF((IFERROR(INDEX('CAT_CENTROS_COSTO'!$E$4:$E$13,MATCH($F170,'CAT_CENTROS_COSTO'!$A$4:$A$13,0)),""))&lt;&gt;"",IFERROR(INDEX('CAT_CENTROS_COSTO'!$E$4:$E$13,MATCH($F170,'CAT_CENTROS_COSTO'!$A$4:$A$13,0)),""),$V170))</f>
        <v/>
      </c>
      <c r="X170" s="3">
        <f>IF($F170="","",IFERROR(INDEX('CAT_CENTROS_COSTO'!$G$4:$G$13,MATCH($F170,'CAT_CENTROS_COSTO'!$A$4:$A$13,0)),"(sin catálogo)"))</f>
        <v/>
      </c>
      <c r="Y170" s="3">
        <f>IF($G170="","",IFERROR(INDEX('CAT_PUESTOS'!$B$4:$B$8,MATCH($G170,'CAT_PUESTOS'!$A$4:$A$8,0)),"(sin catálogo)"))</f>
        <v/>
      </c>
      <c r="Z170" s="3">
        <f>IF($H170="","",IFERROR(INDEX('CAT_ACTIVIDADES'!$B$4:$B$8,MATCH($H170,'CAT_ACTIVIDADES'!$A$4:$A$8,0)),"(sin catálogo)"))</f>
        <v/>
      </c>
      <c r="AA170" s="12">
        <f>IF($J170="","",TODAY()-$J170)</f>
        <v/>
      </c>
      <c r="AB170" s="12">
        <f>IF($J170="","",IF($J170&lt;=TODAY(),COUNTIFS(cal_fechas,"&gt;="&amp;$J170,cal_fechas,"&lt;"&amp;TODAY(),cal_habil,"sí"),-COUNTIFS(cal_fechas,"&gt;="&amp;TODAY(),cal_fechas,"&lt;"&amp;$J170,cal_habil,"sí")))</f>
        <v/>
      </c>
      <c r="AC170" s="3">
        <f>IF($AB170="","",IF($AB170&lt;0,"FUTURO",IF($AB170&gt;p_dias_backlog_max,"BACKLOG","MES CORRIENTE")))</f>
        <v/>
      </c>
      <c r="AD170" s="3">
        <f>IF($AB170="",FALSE,AND($AB170&gt;p_dias_backlog_min,$AB170&lt;=p_dias_backlog_max))</f>
        <v/>
      </c>
      <c r="AE170" s="6" t="inlineStr"/>
      <c r="AF170" s="3">
        <f>IF($AE170="","",IF((IFERROR(INDEX('ASIGNACIONES'!$F$4:$F$339,MATCH($O170&amp;"|"&amp;$R170&amp;"|"&amp;$AE170,'ASIGNACIONES'!$J$4:$J$339,0)),""))=0,"",IFERROR(INDEX('ASIGNACIONES'!$F$4:$F$339,MATCH($O170&amp;"|"&amp;$R170&amp;"|"&amp;$AE170,'ASIGNACIONES'!$J$4:$J$339,0)),"")))</f>
        <v/>
      </c>
      <c r="AG170" s="13">
        <f>IF($AE170="","",SUMIFS('ORDENES'!$M$4:$M$1203,'ORDENES'!$AE$4:$AE$1203,$AE170,'ORDENES'!$O$4:$O$1203,$O170,'ORDENES'!$R$4:$R$1203,$R170))</f>
        <v/>
      </c>
      <c r="AH170" s="13">
        <f>IF($AG170="","",p_factor_productividad*IFERROR(INDEX('ASIGNACIONES'!$I$4:$I$339,MATCH($O170&amp;"|"&amp;$R170&amp;"|"&amp;$AE170,'ASIGNACIONES'!$J$4:$J$339,0)),0)-$AG170)</f>
        <v/>
      </c>
      <c r="AI170" s="10">
        <f>IF($A170="","",IFERROR(INDEX('2_IMPORTAR_EJECUCION'!$F$9:$F$1208,MATCH($AQ170,'2_IMPORTAR_EJECUCION'!$J$9:$J$1208,0)),0))</f>
        <v/>
      </c>
      <c r="AJ170" s="10">
        <f>IF($A170="","",MAX(0,IFERROR(INDEX('2_IMPORTAR_EJECUCION'!$H$9:$H$1208,MATCH($AQ170,'2_IMPORTAR_EJECUCION'!$J$9:$J$1208,0)),0)-$AI170))</f>
        <v/>
      </c>
      <c r="AK170" s="10">
        <f>IF($A170="","",$AI170+$AJ170)</f>
        <v/>
      </c>
      <c r="AL170" s="6" t="inlineStr"/>
      <c r="AM170" s="6" t="inlineStr"/>
      <c r="AN170" s="6" t="inlineStr"/>
      <c r="AO170" s="3">
        <f>IF($AN170="","",HYPERLINK(p_ruta_base_checklists&amp;$AN170,"abrir"))</f>
        <v/>
      </c>
      <c r="AP170" s="6" t="inlineStr"/>
      <c r="AQ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EQ-106</t>
        </is>
      </c>
      <c r="D171" s="3" t="inlineStr">
        <is>
          <t>Inspección de rutina en EQ-106</t>
        </is>
      </c>
      <c r="E171" s="3" t="inlineStr">
        <is>
          <t>EQ-106</t>
        </is>
      </c>
      <c r="F171" s="3" t="inlineStr">
        <is>
          <t>CC-210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46171</v>
      </c>
      <c r="K171" s="3" t="n">
        <v>8</v>
      </c>
      <c r="L171" s="10" t="n">
        <v>200</v>
      </c>
      <c r="M171" s="3">
        <f>IF($A171="","",IFERROR(INDEX('AJUSTES'!$B$4:$B$303,MATCH($AQ171,'AJUSTES'!$A$4:$A$303,0)),IF($K171="","",$K171)))</f>
        <v/>
      </c>
      <c r="N171" s="3">
        <f>IF($A171="","",IFERROR(INDEX('CAT_ESTADOS_ERP'!$B$4:$B$7,MATCH(IFERROR(INDEX('2_IMPORTAR_EJECUCION'!$C$9:$C$1208,MATCH($AQ171,'2_IMPORTAR_EJECUCION'!$J$9:$J$1208,0)),""),'CAT_ESTADOS_ERP'!$A$4:$A$7,0)),"Pendiente"))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J171="","",IFERROR(INDEX('CALENDARIO'!$C$15:$C$214,MATCH(TEXT($J171,"yyyy-mm-dd")&amp;"|"&amp;$V171&amp;"|"&amp;$W171,'CALENDARIO'!$G$15:$G$214,0)),IFERROR(INDEX('CALENDARIO'!$C$15:$C$214,MATCH(TEXT($J171,"yyyy-mm-dd")&amp;"|"&amp;$V171&amp;"|",'CALENDARIO'!$G$15:$G$214,0)),IFERROR(INDEX('CALENDARIO'!$C$15:$C$214,MATCH(TEXT($J171,"yyyy-mm-dd")&amp;"||",'CALENDARIO'!$G$15:$G$214,0)),INDEX(patronHabil,WEEKDAY($J171,2))))))</f>
        <v/>
      </c>
      <c r="T171" s="3">
        <f>IF($I171="","",IFERROR(INDEX('CAT_TIPOS_OT'!$C$4:$C$7,MATCH($I171,'CAT_TIPOS_OT'!$A$4:$A$7,0)),"sin_clasificar"))</f>
        <v/>
      </c>
      <c r="U171" s="3">
        <f>IF($F171="","",IFERROR(INDEX('CAT_CENTROS_COSTO'!$F$4:$F$13,MATCH($F171,'CAT_CENTROS_COSTO'!$A$4:$A$13,0)),"(sin catálogo)"))</f>
        <v/>
      </c>
      <c r="V171" s="3">
        <f>IF($F171="","",IFERROR(INDEX('CAT_CENTROS_COSTO'!$D$4:$D$13,MATCH($F171,'CAT_CENTROS_COSTO'!$A$4:$A$13,0)),"(sin catálogo)"))</f>
        <v/>
      </c>
      <c r="W171" s="3">
        <f>IF($F171="","",IF((IFERROR(INDEX('CAT_CENTROS_COSTO'!$E$4:$E$13,MATCH($F171,'CAT_CENTROS_COSTO'!$A$4:$A$13,0)),""))&lt;&gt;"",IFERROR(INDEX('CAT_CENTROS_COSTO'!$E$4:$E$13,MATCH($F171,'CAT_CENTROS_COSTO'!$A$4:$A$13,0)),""),$V171))</f>
        <v/>
      </c>
      <c r="X171" s="3">
        <f>IF($F171="","",IFERROR(INDEX('CAT_CENTROS_COSTO'!$G$4:$G$13,MATCH($F171,'CAT_CENTROS_COSTO'!$A$4:$A$13,0)),"(sin catálogo)"))</f>
        <v/>
      </c>
      <c r="Y171" s="3">
        <f>IF($G171="","",IFERROR(INDEX('CAT_PUESTOS'!$B$4:$B$8,MATCH($G171,'CAT_PUESTOS'!$A$4:$A$8,0)),"(sin catálogo)"))</f>
        <v/>
      </c>
      <c r="Z171" s="3">
        <f>IF($H171="","",IFERROR(INDEX('CAT_ACTIVIDADES'!$B$4:$B$8,MATCH($H171,'CAT_ACTIVIDADES'!$A$4:$A$8,0)),"(sin catálogo)"))</f>
        <v/>
      </c>
      <c r="AA171" s="12">
        <f>IF($J171="","",TODAY()-$J171)</f>
        <v/>
      </c>
      <c r="AB171" s="12">
        <f>IF($J171="","",IF($J171&lt;=TODAY(),COUNTIFS(cal_fechas,"&gt;="&amp;$J171,cal_fechas,"&lt;"&amp;TODAY(),cal_habil,"sí"),-COUNTIFS(cal_fechas,"&gt;="&amp;TODAY(),cal_fechas,"&lt;"&amp;$J171,cal_habil,"sí")))</f>
        <v/>
      </c>
      <c r="AC171" s="3">
        <f>IF($AB171="","",IF($AB171&lt;0,"FUTURO",IF($AB171&gt;p_dias_backlog_max,"BACKLOG","MES CORRIENTE")))</f>
        <v/>
      </c>
      <c r="AD171" s="3">
        <f>IF($AB171="",FALSE,AND($AB171&gt;p_dias_backlog_min,$AB171&lt;=p_dias_backlog_max))</f>
        <v/>
      </c>
      <c r="AE171" s="6" t="inlineStr"/>
      <c r="AF171" s="3">
        <f>IF($AE171="","",IF((IFERROR(INDEX('ASIGNACIONES'!$F$4:$F$339,MATCH($O171&amp;"|"&amp;$R171&amp;"|"&amp;$AE171,'ASIGNACIONES'!$J$4:$J$339,0)),""))=0,"",IFERROR(INDEX('ASIGNACIONES'!$F$4:$F$339,MATCH($O171&amp;"|"&amp;$R171&amp;"|"&amp;$AE171,'ASIGNACIONES'!$J$4:$J$339,0)),"")))</f>
        <v/>
      </c>
      <c r="AG171" s="13">
        <f>IF($AE171="","",SUMIFS('ORDENES'!$M$4:$M$1203,'ORDENES'!$AE$4:$AE$1203,$AE171,'ORDENES'!$O$4:$O$1203,$O171,'ORDENES'!$R$4:$R$1203,$R171))</f>
        <v/>
      </c>
      <c r="AH171" s="13">
        <f>IF($AG171="","",p_factor_productividad*IFERROR(INDEX('ASIGNACIONES'!$I$4:$I$339,MATCH($O171&amp;"|"&amp;$R171&amp;"|"&amp;$AE171,'ASIGNACIONES'!$J$4:$J$339,0)),0)-$AG171)</f>
        <v/>
      </c>
      <c r="AI171" s="10">
        <f>IF($A171="","",IFERROR(INDEX('2_IMPORTAR_EJECUCION'!$F$9:$F$1208,MATCH($AQ171,'2_IMPORTAR_EJECUCION'!$J$9:$J$1208,0)),0))</f>
        <v/>
      </c>
      <c r="AJ171" s="10">
        <f>IF($A171="","",MAX(0,IFERROR(INDEX('2_IMPORTAR_EJECUCION'!$H$9:$H$1208,MATCH($AQ171,'2_IMPORTAR_EJECUCION'!$J$9:$J$1208,0)),0)-$AI171))</f>
        <v/>
      </c>
      <c r="AK171" s="10">
        <f>IF($A171="","",$AI171+$AJ171)</f>
        <v/>
      </c>
      <c r="AL171" s="6" t="inlineStr"/>
      <c r="AM171" s="6" t="inlineStr"/>
      <c r="AN171" s="6" t="inlineStr"/>
      <c r="AO171" s="3">
        <f>IF($AN171="","",HYPERLINK(p_ruta_base_checklists&amp;$AN171,"abrir"))</f>
        <v/>
      </c>
      <c r="AP171" s="6" t="inlineStr"/>
      <c r="AQ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EQ-107</t>
        </is>
      </c>
      <c r="D172" s="3" t="inlineStr">
        <is>
          <t>Reparación de falla en EQ-107</t>
        </is>
      </c>
      <c r="E172" s="3" t="inlineStr">
        <is>
          <t>EQ-107</t>
        </is>
      </c>
      <c r="F172" s="3" t="inlineStr">
        <is>
          <t>CC-220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46164</v>
      </c>
      <c r="K172" s="3" t="n">
        <v>4</v>
      </c>
      <c r="L172" s="10" t="n">
        <v>160</v>
      </c>
      <c r="M172" s="3">
        <f>IF($A172="","",IFERROR(INDEX('AJUSTES'!$B$4:$B$303,MATCH($AQ172,'AJUSTES'!$A$4:$A$303,0)),IF($K172="","",$K172)))</f>
        <v/>
      </c>
      <c r="N172" s="3">
        <f>IF($A172="","",IFERROR(INDEX('CAT_ESTADOS_ERP'!$B$4:$B$7,MATCH(IFERROR(INDEX('2_IMPORTAR_EJECUCION'!$C$9:$C$1208,MATCH($AQ172,'2_IMPORTAR_EJECUCION'!$J$9:$J$1208,0)),""),'CAT_ESTADOS_ERP'!$A$4:$A$7,0)),"Pendiente"))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J172="","",IFERROR(INDEX('CALENDARIO'!$C$15:$C$214,MATCH(TEXT($J172,"yyyy-mm-dd")&amp;"|"&amp;$V172&amp;"|"&amp;$W172,'CALENDARIO'!$G$15:$G$214,0)),IFERROR(INDEX('CALENDARIO'!$C$15:$C$214,MATCH(TEXT($J172,"yyyy-mm-dd")&amp;"|"&amp;$V172&amp;"|",'CALENDARIO'!$G$15:$G$214,0)),IFERROR(INDEX('CALENDARIO'!$C$15:$C$214,MATCH(TEXT($J172,"yyyy-mm-dd")&amp;"||",'CALENDARIO'!$G$15:$G$214,0)),INDEX(patronHabil,WEEKDAY($J172,2))))))</f>
        <v/>
      </c>
      <c r="T172" s="3">
        <f>IF($I172="","",IFERROR(INDEX('CAT_TIPOS_OT'!$C$4:$C$7,MATCH($I172,'CAT_TIPOS_OT'!$A$4:$A$7,0)),"sin_clasificar"))</f>
        <v/>
      </c>
      <c r="U172" s="3">
        <f>IF($F172="","",IFERROR(INDEX('CAT_CENTROS_COSTO'!$F$4:$F$13,MATCH($F172,'CAT_CENTROS_COSTO'!$A$4:$A$13,0)),"(sin catálogo)"))</f>
        <v/>
      </c>
      <c r="V172" s="3">
        <f>IF($F172="","",IFERROR(INDEX('CAT_CENTROS_COSTO'!$D$4:$D$13,MATCH($F172,'CAT_CENTROS_COSTO'!$A$4:$A$13,0)),"(sin catálogo)"))</f>
        <v/>
      </c>
      <c r="W172" s="3">
        <f>IF($F172="","",IF((IFERROR(INDEX('CAT_CENTROS_COSTO'!$E$4:$E$13,MATCH($F172,'CAT_CENTROS_COSTO'!$A$4:$A$13,0)),""))&lt;&gt;"",IFERROR(INDEX('CAT_CENTROS_COSTO'!$E$4:$E$13,MATCH($F172,'CAT_CENTROS_COSTO'!$A$4:$A$13,0)),""),$V172))</f>
        <v/>
      </c>
      <c r="X172" s="3">
        <f>IF($F172="","",IFERROR(INDEX('CAT_CENTROS_COSTO'!$G$4:$G$13,MATCH($F172,'CAT_CENTROS_COSTO'!$A$4:$A$13,0)),"(sin catálogo)"))</f>
        <v/>
      </c>
      <c r="Y172" s="3">
        <f>IF($G172="","",IFERROR(INDEX('CAT_PUESTOS'!$B$4:$B$8,MATCH($G172,'CAT_PUESTOS'!$A$4:$A$8,0)),"(sin catálogo)"))</f>
        <v/>
      </c>
      <c r="Z172" s="3">
        <f>IF($H172="","",IFERROR(INDEX('CAT_ACTIVIDADES'!$B$4:$B$8,MATCH($H172,'CAT_ACTIVIDADES'!$A$4:$A$8,0)),"(sin catálogo)"))</f>
        <v/>
      </c>
      <c r="AA172" s="12">
        <f>IF($J172="","",TODAY()-$J172)</f>
        <v/>
      </c>
      <c r="AB172" s="12">
        <f>IF($J172="","",IF($J172&lt;=TODAY(),COUNTIFS(cal_fechas,"&gt;="&amp;$J172,cal_fechas,"&lt;"&amp;TODAY(),cal_habil,"sí"),-COUNTIFS(cal_fechas,"&gt;="&amp;TODAY(),cal_fechas,"&lt;"&amp;$J172,cal_habil,"sí")))</f>
        <v/>
      </c>
      <c r="AC172" s="3">
        <f>IF($AB172="","",IF($AB172&lt;0,"FUTURO",IF($AB172&gt;p_dias_backlog_max,"BACKLOG","MES CORRIENTE")))</f>
        <v/>
      </c>
      <c r="AD172" s="3">
        <f>IF($AB172="",FALSE,AND($AB172&gt;p_dias_backlog_min,$AB172&lt;=p_dias_backlog_max))</f>
        <v/>
      </c>
      <c r="AE172" s="6" t="inlineStr"/>
      <c r="AF172" s="3">
        <f>IF($AE172="","",IF((IFERROR(INDEX('ASIGNACIONES'!$F$4:$F$339,MATCH($O172&amp;"|"&amp;$R172&amp;"|"&amp;$AE172,'ASIGNACIONES'!$J$4:$J$339,0)),""))=0,"",IFERROR(INDEX('ASIGNACIONES'!$F$4:$F$339,MATCH($O172&amp;"|"&amp;$R172&amp;"|"&amp;$AE172,'ASIGNACIONES'!$J$4:$J$339,0)),"")))</f>
        <v/>
      </c>
      <c r="AG172" s="13">
        <f>IF($AE172="","",SUMIFS('ORDENES'!$M$4:$M$1203,'ORDENES'!$AE$4:$AE$1203,$AE172,'ORDENES'!$O$4:$O$1203,$O172,'ORDENES'!$R$4:$R$1203,$R172))</f>
        <v/>
      </c>
      <c r="AH172" s="13">
        <f>IF($AG172="","",p_factor_productividad*IFERROR(INDEX('ASIGNACIONES'!$I$4:$I$339,MATCH($O172&amp;"|"&amp;$R172&amp;"|"&amp;$AE172,'ASIGNACIONES'!$J$4:$J$339,0)),0)-$AG172)</f>
        <v/>
      </c>
      <c r="AI172" s="10">
        <f>IF($A172="","",IFERROR(INDEX('2_IMPORTAR_EJECUCION'!$F$9:$F$1208,MATCH($AQ172,'2_IMPORTAR_EJECUCION'!$J$9:$J$1208,0)),0))</f>
        <v/>
      </c>
      <c r="AJ172" s="10">
        <f>IF($A172="","",MAX(0,IFERROR(INDEX('2_IMPORTAR_EJECUCION'!$H$9:$H$1208,MATCH($AQ172,'2_IMPORTAR_EJECUCION'!$J$9:$J$1208,0)),0)-$AI172))</f>
        <v/>
      </c>
      <c r="AK172" s="10">
        <f>IF($A172="","",$AI172+$AJ172)</f>
        <v/>
      </c>
      <c r="AL172" s="6" t="inlineStr"/>
      <c r="AM172" s="6" t="inlineStr"/>
      <c r="AN172" s="6" t="inlineStr"/>
      <c r="AO172" s="3">
        <f>IF($AN172="","",HYPERLINK(p_ruta_base_checklists&amp;$AN172,"abrir"))</f>
        <v/>
      </c>
      <c r="AP172" s="6" t="inlineStr"/>
      <c r="AQ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CC-310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46157</v>
      </c>
      <c r="K173" s="3" t="n">
        <v>6</v>
      </c>
      <c r="L173" s="10" t="n">
        <v>150</v>
      </c>
      <c r="M173" s="3">
        <f>IF($A173="","",IFERROR(INDEX('AJUSTES'!$B$4:$B$303,MATCH($AQ173,'AJUSTES'!$A$4:$A$303,0)),IF($K173="","",$K173)))</f>
        <v/>
      </c>
      <c r="N173" s="3">
        <f>IF($A173="","",IFERROR(INDEX('CAT_ESTADOS_ERP'!$B$4:$B$7,MATCH(IFERROR(INDEX('2_IMPORTAR_EJECUCION'!$C$9:$C$1208,MATCH($AQ173,'2_IMPORTAR_EJECUCION'!$J$9:$J$1208,0)),""),'CAT_ESTADOS_ERP'!$A$4:$A$7,0)),"Pendiente"))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J173="","",IFERROR(INDEX('CALENDARIO'!$C$15:$C$214,MATCH(TEXT($J173,"yyyy-mm-dd")&amp;"|"&amp;$V173&amp;"|"&amp;$W173,'CALENDARIO'!$G$15:$G$214,0)),IFERROR(INDEX('CALENDARIO'!$C$15:$C$214,MATCH(TEXT($J173,"yyyy-mm-dd")&amp;"|"&amp;$V173&amp;"|",'CALENDARIO'!$G$15:$G$214,0)),IFERROR(INDEX('CALENDARIO'!$C$15:$C$214,MATCH(TEXT($J173,"yyyy-mm-dd")&amp;"||",'CALENDARIO'!$G$15:$G$214,0)),INDEX(patronHabil,WEEKDAY($J173,2))))))</f>
        <v/>
      </c>
      <c r="T173" s="3">
        <f>IF($I173="","",IFERROR(INDEX('CAT_TIPOS_OT'!$C$4:$C$7,MATCH($I173,'CAT_TIPOS_OT'!$A$4:$A$7,0)),"sin_clasificar"))</f>
        <v/>
      </c>
      <c r="U173" s="3">
        <f>IF($F173="","",IFERROR(INDEX('CAT_CENTROS_COSTO'!$F$4:$F$13,MATCH($F173,'CAT_CENTROS_COSTO'!$A$4:$A$13,0)),"(sin catálogo)"))</f>
        <v/>
      </c>
      <c r="V173" s="3">
        <f>IF($F173="","",IFERROR(INDEX('CAT_CENTROS_COSTO'!$D$4:$D$13,MATCH($F173,'CAT_CENTROS_COSTO'!$A$4:$A$13,0)),"(sin catálogo)"))</f>
        <v/>
      </c>
      <c r="W173" s="3">
        <f>IF($F173="","",IF((IFERROR(INDEX('CAT_CENTROS_COSTO'!$E$4:$E$13,MATCH($F173,'CAT_CENTROS_COSTO'!$A$4:$A$13,0)),""))&lt;&gt;"",IFERROR(INDEX('CAT_CENTROS_COSTO'!$E$4:$E$13,MATCH($F173,'CAT_CENTROS_COSTO'!$A$4:$A$13,0)),""),$V173))</f>
        <v/>
      </c>
      <c r="X173" s="3">
        <f>IF($F173="","",IFERROR(INDEX('CAT_CENTROS_COSTO'!$G$4:$G$13,MATCH($F173,'CAT_CENTROS_COSTO'!$A$4:$A$13,0)),"(sin catálogo)"))</f>
        <v/>
      </c>
      <c r="Y173" s="3">
        <f>IF($G173="","",IFERROR(INDEX('CAT_PUESTOS'!$B$4:$B$8,MATCH($G173,'CAT_PUESTOS'!$A$4:$A$8,0)),"(sin catálogo)"))</f>
        <v/>
      </c>
      <c r="Z173" s="3">
        <f>IF($H173="","",IFERROR(INDEX('CAT_ACTIVIDADES'!$B$4:$B$8,MATCH($H173,'CAT_ACTIVIDADES'!$A$4:$A$8,0)),"(sin catálogo)"))</f>
        <v/>
      </c>
      <c r="AA173" s="12">
        <f>IF($J173="","",TODAY()-$J173)</f>
        <v/>
      </c>
      <c r="AB173" s="12">
        <f>IF($J173="","",IF($J173&lt;=TODAY(),COUNTIFS(cal_fechas,"&gt;="&amp;$J173,cal_fechas,"&lt;"&amp;TODAY(),cal_habil,"sí"),-COUNTIFS(cal_fechas,"&gt;="&amp;TODAY(),cal_fechas,"&lt;"&amp;$J173,cal_habil,"sí")))</f>
        <v/>
      </c>
      <c r="AC173" s="3">
        <f>IF($AB173="","",IF($AB173&lt;0,"FUTURO",IF($AB173&gt;p_dias_backlog_max,"BACKLOG","MES CORRIENTE")))</f>
        <v/>
      </c>
      <c r="AD173" s="3">
        <f>IF($AB173="",FALSE,AND($AB173&gt;p_dias_backlog_min,$AB173&lt;=p_dias_backlog_max))</f>
        <v/>
      </c>
      <c r="AE173" s="6" t="inlineStr"/>
      <c r="AF173" s="3">
        <f>IF($AE173="","",IF((IFERROR(INDEX('ASIGNACIONES'!$F$4:$F$339,MATCH($O173&amp;"|"&amp;$R173&amp;"|"&amp;$AE173,'ASIGNACIONES'!$J$4:$J$339,0)),""))=0,"",IFERROR(INDEX('ASIGNACIONES'!$F$4:$F$339,MATCH($O173&amp;"|"&amp;$R173&amp;"|"&amp;$AE173,'ASIGNACIONES'!$J$4:$J$339,0)),"")))</f>
        <v/>
      </c>
      <c r="AG173" s="13">
        <f>IF($AE173="","",SUMIFS('ORDENES'!$M$4:$M$1203,'ORDENES'!$AE$4:$AE$1203,$AE173,'ORDENES'!$O$4:$O$1203,$O173,'ORDENES'!$R$4:$R$1203,$R173))</f>
        <v/>
      </c>
      <c r="AH173" s="13">
        <f>IF($AG173="","",p_factor_productividad*IFERROR(INDEX('ASIGNACIONES'!$I$4:$I$339,MATCH($O173&amp;"|"&amp;$R173&amp;"|"&amp;$AE173,'ASIGNACIONES'!$J$4:$J$339,0)),0)-$AG173)</f>
        <v/>
      </c>
      <c r="AI173" s="10">
        <f>IF($A173="","",IFERROR(INDEX('2_IMPORTAR_EJECUCION'!$F$9:$F$1208,MATCH($AQ173,'2_IMPORTAR_EJECUCION'!$J$9:$J$1208,0)),0))</f>
        <v/>
      </c>
      <c r="AJ173" s="10">
        <f>IF($A173="","",MAX(0,IFERROR(INDEX('2_IMPORTAR_EJECUCION'!$H$9:$H$1208,MATCH($AQ173,'2_IMPORTAR_EJECUCION'!$J$9:$J$1208,0)),0)-$AI173))</f>
        <v/>
      </c>
      <c r="AK173" s="10">
        <f>IF($A173="","",$AI173+$AJ173)</f>
        <v/>
      </c>
      <c r="AL173" s="6" t="inlineStr"/>
      <c r="AM173" s="6" t="inlineStr"/>
      <c r="AN173" s="6" t="inlineStr"/>
      <c r="AO173" s="3">
        <f>IF($AN173="","",HYPERLINK(p_ruta_base_checklists&amp;$AN173,"abrir"))</f>
        <v/>
      </c>
      <c r="AP173" s="6" t="inlineStr"/>
      <c r="AQ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CC-311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46150</v>
      </c>
      <c r="K174" s="3" t="n">
        <v>8</v>
      </c>
      <c r="L174" s="10" t="n">
        <v>320</v>
      </c>
      <c r="M174" s="3">
        <f>IF($A174="","",IFERROR(INDEX('AJUSTES'!$B$4:$B$303,MATCH($AQ174,'AJUSTES'!$A$4:$A$303,0)),IF($K174="","",$K174)))</f>
        <v/>
      </c>
      <c r="N174" s="3">
        <f>IF($A174="","",IFERROR(INDEX('CAT_ESTADOS_ERP'!$B$4:$B$7,MATCH(IFERROR(INDEX('2_IMPORTAR_EJECUCION'!$C$9:$C$1208,MATCH($AQ174,'2_IMPORTAR_EJECUCION'!$J$9:$J$1208,0)),""),'CAT_ESTADOS_ERP'!$A$4:$A$7,0)),"Pendiente"))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J174="","",IFERROR(INDEX('CALENDARIO'!$C$15:$C$214,MATCH(TEXT($J174,"yyyy-mm-dd")&amp;"|"&amp;$V174&amp;"|"&amp;$W174,'CALENDARIO'!$G$15:$G$214,0)),IFERROR(INDEX('CALENDARIO'!$C$15:$C$214,MATCH(TEXT($J174,"yyyy-mm-dd")&amp;"|"&amp;$V174&amp;"|",'CALENDARIO'!$G$15:$G$214,0)),IFERROR(INDEX('CALENDARIO'!$C$15:$C$214,MATCH(TEXT($J174,"yyyy-mm-dd")&amp;"||",'CALENDARIO'!$G$15:$G$214,0)),INDEX(patronHabil,WEEKDAY($J174,2))))))</f>
        <v/>
      </c>
      <c r="T174" s="3">
        <f>IF($I174="","",IFERROR(INDEX('CAT_TIPOS_OT'!$C$4:$C$7,MATCH($I174,'CAT_TIPOS_OT'!$A$4:$A$7,0)),"sin_clasificar"))</f>
        <v/>
      </c>
      <c r="U174" s="3">
        <f>IF($F174="","",IFERROR(INDEX('CAT_CENTROS_COSTO'!$F$4:$F$13,MATCH($F174,'CAT_CENTROS_COSTO'!$A$4:$A$13,0)),"(sin catálogo)"))</f>
        <v/>
      </c>
      <c r="V174" s="3">
        <f>IF($F174="","",IFERROR(INDEX('CAT_CENTROS_COSTO'!$D$4:$D$13,MATCH($F174,'CAT_CENTROS_COSTO'!$A$4:$A$13,0)),"(sin catálogo)"))</f>
        <v/>
      </c>
      <c r="W174" s="3">
        <f>IF($F174="","",IF((IFERROR(INDEX('CAT_CENTROS_COSTO'!$E$4:$E$13,MATCH($F174,'CAT_CENTROS_COSTO'!$A$4:$A$13,0)),""))&lt;&gt;"",IFERROR(INDEX('CAT_CENTROS_COSTO'!$E$4:$E$13,MATCH($F174,'CAT_CENTROS_COSTO'!$A$4:$A$13,0)),""),$V174))</f>
        <v/>
      </c>
      <c r="X174" s="3">
        <f>IF($F174="","",IFERROR(INDEX('CAT_CENTROS_COSTO'!$G$4:$G$13,MATCH($F174,'CAT_CENTROS_COSTO'!$A$4:$A$13,0)),"(sin catálogo)"))</f>
        <v/>
      </c>
      <c r="Y174" s="3">
        <f>IF($G174="","",IFERROR(INDEX('CAT_PUESTOS'!$B$4:$B$8,MATCH($G174,'CAT_PUESTOS'!$A$4:$A$8,0)),"(sin catálogo)"))</f>
        <v/>
      </c>
      <c r="Z174" s="3">
        <f>IF($H174="","",IFERROR(INDEX('CAT_ACTIVIDADES'!$B$4:$B$8,MATCH($H174,'CAT_ACTIVIDADES'!$A$4:$A$8,0)),"(sin catálogo)"))</f>
        <v/>
      </c>
      <c r="AA174" s="12">
        <f>IF($J174="","",TODAY()-$J174)</f>
        <v/>
      </c>
      <c r="AB174" s="12">
        <f>IF($J174="","",IF($J174&lt;=TODAY(),COUNTIFS(cal_fechas,"&gt;="&amp;$J174,cal_fechas,"&lt;"&amp;TODAY(),cal_habil,"sí"),-COUNTIFS(cal_fechas,"&gt;="&amp;TODAY(),cal_fechas,"&lt;"&amp;$J174,cal_habil,"sí")))</f>
        <v/>
      </c>
      <c r="AC174" s="3">
        <f>IF($AB174="","",IF($AB174&lt;0,"FUTURO",IF($AB174&gt;p_dias_backlog_max,"BACKLOG","MES CORRIENTE")))</f>
        <v/>
      </c>
      <c r="AD174" s="3">
        <f>IF($AB174="",FALSE,AND($AB174&gt;p_dias_backlog_min,$AB174&lt;=p_dias_backlog_max))</f>
        <v/>
      </c>
      <c r="AE174" s="6" t="inlineStr"/>
      <c r="AF174" s="3">
        <f>IF($AE174="","",IF((IFERROR(INDEX('ASIGNACIONES'!$F$4:$F$339,MATCH($O174&amp;"|"&amp;$R174&amp;"|"&amp;$AE174,'ASIGNACIONES'!$J$4:$J$339,0)),""))=0,"",IFERROR(INDEX('ASIGNACIONES'!$F$4:$F$339,MATCH($O174&amp;"|"&amp;$R174&amp;"|"&amp;$AE174,'ASIGNACIONES'!$J$4:$J$339,0)),"")))</f>
        <v/>
      </c>
      <c r="AG174" s="13">
        <f>IF($AE174="","",SUMIFS('ORDENES'!$M$4:$M$1203,'ORDENES'!$AE$4:$AE$1203,$AE174,'ORDENES'!$O$4:$O$1203,$O174,'ORDENES'!$R$4:$R$1203,$R174))</f>
        <v/>
      </c>
      <c r="AH174" s="13">
        <f>IF($AG174="","",p_factor_productividad*IFERROR(INDEX('ASIGNACIONES'!$I$4:$I$339,MATCH($O174&amp;"|"&amp;$R174&amp;"|"&amp;$AE174,'ASIGNACIONES'!$J$4:$J$339,0)),0)-$AG174)</f>
        <v/>
      </c>
      <c r="AI174" s="10">
        <f>IF($A174="","",IFERROR(INDEX('2_IMPORTAR_EJECUCION'!$F$9:$F$1208,MATCH($AQ174,'2_IMPORTAR_EJECUCION'!$J$9:$J$1208,0)),0))</f>
        <v/>
      </c>
      <c r="AJ174" s="10">
        <f>IF($A174="","",MAX(0,IFERROR(INDEX('2_IMPORTAR_EJECUCION'!$H$9:$H$1208,MATCH($AQ174,'2_IMPORTAR_EJECUCION'!$J$9:$J$1208,0)),0)-$AI174))</f>
        <v/>
      </c>
      <c r="AK174" s="10">
        <f>IF($A174="","",$AI174+$AJ174)</f>
        <v/>
      </c>
      <c r="AL174" s="6" t="inlineStr"/>
      <c r="AM174" s="6" t="inlineStr"/>
      <c r="AN174" s="6" t="inlineStr"/>
      <c r="AO174" s="3">
        <f>IF($AN174="","",HYPERLINK(p_ruta_base_checklists&amp;$AN174,"abrir"))</f>
        <v/>
      </c>
      <c r="AP174" s="6" t="inlineStr"/>
      <c r="AQ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EQ-111</t>
        </is>
      </c>
      <c r="D175" s="3" t="inlineStr">
        <is>
          <t>Lubricación programada en EQ-111</t>
        </is>
      </c>
      <c r="E175" s="3" t="inlineStr">
        <is>
          <t>EQ-111</t>
        </is>
      </c>
      <c r="F175" s="3" t="inlineStr">
        <is>
          <t>CC-320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46143</v>
      </c>
      <c r="K175" s="3" t="n">
        <v>4</v>
      </c>
      <c r="L175" s="10" t="n">
        <v>100</v>
      </c>
      <c r="M175" s="3">
        <f>IF($A175="","",IFERROR(INDEX('AJUSTES'!$B$4:$B$303,MATCH($AQ175,'AJUSTES'!$A$4:$A$303,0)),IF($K175="","",$K175)))</f>
        <v/>
      </c>
      <c r="N175" s="3">
        <f>IF($A175="","",IFERROR(INDEX('CAT_ESTADOS_ERP'!$B$4:$B$7,MATCH(IFERROR(INDEX('2_IMPORTAR_EJECUCION'!$C$9:$C$1208,MATCH($AQ175,'2_IMPORTAR_EJECUCION'!$J$9:$J$1208,0)),""),'CAT_ESTADOS_ERP'!$A$4:$A$7,0)),"Pendiente"))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J175="","",IFERROR(INDEX('CALENDARIO'!$C$15:$C$214,MATCH(TEXT($J175,"yyyy-mm-dd")&amp;"|"&amp;$V175&amp;"|"&amp;$W175,'CALENDARIO'!$G$15:$G$214,0)),IFERROR(INDEX('CALENDARIO'!$C$15:$C$214,MATCH(TEXT($J175,"yyyy-mm-dd")&amp;"|"&amp;$V175&amp;"|",'CALENDARIO'!$G$15:$G$214,0)),IFERROR(INDEX('CALENDARIO'!$C$15:$C$214,MATCH(TEXT($J175,"yyyy-mm-dd")&amp;"||",'CALENDARIO'!$G$15:$G$214,0)),INDEX(patronHabil,WEEKDAY($J175,2))))))</f>
        <v/>
      </c>
      <c r="T175" s="3">
        <f>IF($I175="","",IFERROR(INDEX('CAT_TIPOS_OT'!$C$4:$C$7,MATCH($I175,'CAT_TIPOS_OT'!$A$4:$A$7,0)),"sin_clasificar"))</f>
        <v/>
      </c>
      <c r="U175" s="3">
        <f>IF($F175="","",IFERROR(INDEX('CAT_CENTROS_COSTO'!$F$4:$F$13,MATCH($F175,'CAT_CENTROS_COSTO'!$A$4:$A$13,0)),"(sin catálogo)"))</f>
        <v/>
      </c>
      <c r="V175" s="3">
        <f>IF($F175="","",IFERROR(INDEX('CAT_CENTROS_COSTO'!$D$4:$D$13,MATCH($F175,'CAT_CENTROS_COSTO'!$A$4:$A$13,0)),"(sin catálogo)"))</f>
        <v/>
      </c>
      <c r="W175" s="3">
        <f>IF($F175="","",IF((IFERROR(INDEX('CAT_CENTROS_COSTO'!$E$4:$E$13,MATCH($F175,'CAT_CENTROS_COSTO'!$A$4:$A$13,0)),""))&lt;&gt;"",IFERROR(INDEX('CAT_CENTROS_COSTO'!$E$4:$E$13,MATCH($F175,'CAT_CENTROS_COSTO'!$A$4:$A$13,0)),""),$V175))</f>
        <v/>
      </c>
      <c r="X175" s="3">
        <f>IF($F175="","",IFERROR(INDEX('CAT_CENTROS_COSTO'!$G$4:$G$13,MATCH($F175,'CAT_CENTROS_COSTO'!$A$4:$A$13,0)),"(sin catálogo)"))</f>
        <v/>
      </c>
      <c r="Y175" s="3">
        <f>IF($G175="","",IFERROR(INDEX('CAT_PUESTOS'!$B$4:$B$8,MATCH($G175,'CAT_PUESTOS'!$A$4:$A$8,0)),"(sin catálogo)"))</f>
        <v/>
      </c>
      <c r="Z175" s="3">
        <f>IF($H175="","",IFERROR(INDEX('CAT_ACTIVIDADES'!$B$4:$B$8,MATCH($H175,'CAT_ACTIVIDADES'!$A$4:$A$8,0)),"(sin catálogo)"))</f>
        <v/>
      </c>
      <c r="AA175" s="12">
        <f>IF($J175="","",TODAY()-$J175)</f>
        <v/>
      </c>
      <c r="AB175" s="12">
        <f>IF($J175="","",IF($J175&lt;=TODAY(),COUNTIFS(cal_fechas,"&gt;="&amp;$J175,cal_fechas,"&lt;"&amp;TODAY(),cal_habil,"sí"),-COUNTIFS(cal_fechas,"&gt;="&amp;TODAY(),cal_fechas,"&lt;"&amp;$J175,cal_habil,"sí")))</f>
        <v/>
      </c>
      <c r="AC175" s="3">
        <f>IF($AB175="","",IF($AB175&lt;0,"FUTURO",IF($AB175&gt;p_dias_backlog_max,"BACKLOG","MES CORRIENTE")))</f>
        <v/>
      </c>
      <c r="AD175" s="3">
        <f>IF($AB175="",FALSE,AND($AB175&gt;p_dias_backlog_min,$AB175&lt;=p_dias_backlog_max))</f>
        <v/>
      </c>
      <c r="AE175" s="6" t="inlineStr"/>
      <c r="AF175" s="3">
        <f>IF($AE175="","",IF((IFERROR(INDEX('ASIGNACIONES'!$F$4:$F$339,MATCH($O175&amp;"|"&amp;$R175&amp;"|"&amp;$AE175,'ASIGNACIONES'!$J$4:$J$339,0)),""))=0,"",IFERROR(INDEX('ASIGNACIONES'!$F$4:$F$339,MATCH($O175&amp;"|"&amp;$R175&amp;"|"&amp;$AE175,'ASIGNACIONES'!$J$4:$J$339,0)),"")))</f>
        <v/>
      </c>
      <c r="AG175" s="13">
        <f>IF($AE175="","",SUMIFS('ORDENES'!$M$4:$M$1203,'ORDENES'!$AE$4:$AE$1203,$AE175,'ORDENES'!$O$4:$O$1203,$O175,'ORDENES'!$R$4:$R$1203,$R175))</f>
        <v/>
      </c>
      <c r="AH175" s="13">
        <f>IF($AG175="","",p_factor_productividad*IFERROR(INDEX('ASIGNACIONES'!$I$4:$I$339,MATCH($O175&amp;"|"&amp;$R175&amp;"|"&amp;$AE175,'ASIGNACIONES'!$J$4:$J$339,0)),0)-$AG175)</f>
        <v/>
      </c>
      <c r="AI175" s="10">
        <f>IF($A175="","",IFERROR(INDEX('2_IMPORTAR_EJECUCION'!$F$9:$F$1208,MATCH($AQ175,'2_IMPORTAR_EJECUCION'!$J$9:$J$1208,0)),0))</f>
        <v/>
      </c>
      <c r="AJ175" s="10">
        <f>IF($A175="","",MAX(0,IFERROR(INDEX('2_IMPORTAR_EJECUCION'!$H$9:$H$1208,MATCH($AQ175,'2_IMPORTAR_EJECUCION'!$J$9:$J$1208,0)),0)-$AI175))</f>
        <v/>
      </c>
      <c r="AK175" s="10">
        <f>IF($A175="","",$AI175+$AJ175)</f>
        <v/>
      </c>
      <c r="AL175" s="6" t="inlineStr"/>
      <c r="AM175" s="6" t="inlineStr"/>
      <c r="AN175" s="6" t="inlineStr"/>
      <c r="AO175" s="3">
        <f>IF($AN175="","",HYPERLINK(p_ruta_base_checklists&amp;$AN175,"abrir"))</f>
        <v/>
      </c>
      <c r="AP175" s="6" t="inlineStr"/>
      <c r="AQ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EQ-112</t>
        </is>
      </c>
      <c r="D176" s="3" t="inlineStr">
        <is>
          <t>Reparación de falla en EQ-112</t>
        </is>
      </c>
      <c r="E176" s="3" t="inlineStr">
        <is>
          <t>EQ-112</t>
        </is>
      </c>
      <c r="F176" s="3" t="inlineStr">
        <is>
          <t>CC-321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46136</v>
      </c>
      <c r="K176" s="3" t="n">
        <v>6</v>
      </c>
      <c r="L176" s="10" t="n">
        <v>240</v>
      </c>
      <c r="M176" s="3">
        <f>IF($A176="","",IFERROR(INDEX('AJUSTES'!$B$4:$B$303,MATCH($AQ176,'AJUSTES'!$A$4:$A$303,0)),IF($K176="","",$K176)))</f>
        <v/>
      </c>
      <c r="N176" s="3">
        <f>IF($A176="","",IFERROR(INDEX('CAT_ESTADOS_ERP'!$B$4:$B$7,MATCH(IFERROR(INDEX('2_IMPORTAR_EJECUCION'!$C$9:$C$1208,MATCH($AQ176,'2_IMPORTAR_EJECUCION'!$J$9:$J$1208,0)),""),'CAT_ESTADOS_ERP'!$A$4:$A$7,0)),"Pendiente"))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J176="","",IFERROR(INDEX('CALENDARIO'!$C$15:$C$214,MATCH(TEXT($J176,"yyyy-mm-dd")&amp;"|"&amp;$V176&amp;"|"&amp;$W176,'CALENDARIO'!$G$15:$G$214,0)),IFERROR(INDEX('CALENDARIO'!$C$15:$C$214,MATCH(TEXT($J176,"yyyy-mm-dd")&amp;"|"&amp;$V176&amp;"|",'CALENDARIO'!$G$15:$G$214,0)),IFERROR(INDEX('CALENDARIO'!$C$15:$C$214,MATCH(TEXT($J176,"yyyy-mm-dd")&amp;"||",'CALENDARIO'!$G$15:$G$214,0)),INDEX(patronHabil,WEEKDAY($J176,2))))))</f>
        <v/>
      </c>
      <c r="T176" s="3">
        <f>IF($I176="","",IFERROR(INDEX('CAT_TIPOS_OT'!$C$4:$C$7,MATCH($I176,'CAT_TIPOS_OT'!$A$4:$A$7,0)),"sin_clasificar"))</f>
        <v/>
      </c>
      <c r="U176" s="3">
        <f>IF($F176="","",IFERROR(INDEX('CAT_CENTROS_COSTO'!$F$4:$F$13,MATCH($F176,'CAT_CENTROS_COSTO'!$A$4:$A$13,0)),"(sin catálogo)"))</f>
        <v/>
      </c>
      <c r="V176" s="3">
        <f>IF($F176="","",IFERROR(INDEX('CAT_CENTROS_COSTO'!$D$4:$D$13,MATCH($F176,'CAT_CENTROS_COSTO'!$A$4:$A$13,0)),"(sin catálogo)"))</f>
        <v/>
      </c>
      <c r="W176" s="3">
        <f>IF($F176="","",IF((IFERROR(INDEX('CAT_CENTROS_COSTO'!$E$4:$E$13,MATCH($F176,'CAT_CENTROS_COSTO'!$A$4:$A$13,0)),""))&lt;&gt;"",IFERROR(INDEX('CAT_CENTROS_COSTO'!$E$4:$E$13,MATCH($F176,'CAT_CENTROS_COSTO'!$A$4:$A$13,0)),""),$V176))</f>
        <v/>
      </c>
      <c r="X176" s="3">
        <f>IF($F176="","",IFERROR(INDEX('CAT_CENTROS_COSTO'!$G$4:$G$13,MATCH($F176,'CAT_CENTROS_COSTO'!$A$4:$A$13,0)),"(sin catálogo)"))</f>
        <v/>
      </c>
      <c r="Y176" s="3">
        <f>IF($G176="","",IFERROR(INDEX('CAT_PUESTOS'!$B$4:$B$8,MATCH($G176,'CAT_PUESTOS'!$A$4:$A$8,0)),"(sin catálogo)"))</f>
        <v/>
      </c>
      <c r="Z176" s="3">
        <f>IF($H176="","",IFERROR(INDEX('CAT_ACTIVIDADES'!$B$4:$B$8,MATCH($H176,'CAT_ACTIVIDADES'!$A$4:$A$8,0)),"(sin catálogo)"))</f>
        <v/>
      </c>
      <c r="AA176" s="12">
        <f>IF($J176="","",TODAY()-$J176)</f>
        <v/>
      </c>
      <c r="AB176" s="12">
        <f>IF($J176="","",IF($J176&lt;=TODAY(),COUNTIFS(cal_fechas,"&gt;="&amp;$J176,cal_fechas,"&lt;"&amp;TODAY(),cal_habil,"sí"),-COUNTIFS(cal_fechas,"&gt;="&amp;TODAY(),cal_fechas,"&lt;"&amp;$J176,cal_habil,"sí")))</f>
        <v/>
      </c>
      <c r="AC176" s="3">
        <f>IF($AB176="","",IF($AB176&lt;0,"FUTURO",IF($AB176&gt;p_dias_backlog_max,"BACKLOG","MES CORRIENTE")))</f>
        <v/>
      </c>
      <c r="AD176" s="3">
        <f>IF($AB176="",FALSE,AND($AB176&gt;p_dias_backlog_min,$AB176&lt;=p_dias_backlog_max))</f>
        <v/>
      </c>
      <c r="AE176" s="6" t="inlineStr"/>
      <c r="AF176" s="3">
        <f>IF($AE176="","",IF((IFERROR(INDEX('ASIGNACIONES'!$F$4:$F$339,MATCH($O176&amp;"|"&amp;$R176&amp;"|"&amp;$AE176,'ASIGNACIONES'!$J$4:$J$339,0)),""))=0,"",IFERROR(INDEX('ASIGNACIONES'!$F$4:$F$339,MATCH($O176&amp;"|"&amp;$R176&amp;"|"&amp;$AE176,'ASIGNACIONES'!$J$4:$J$339,0)),"")))</f>
        <v/>
      </c>
      <c r="AG176" s="13">
        <f>IF($AE176="","",SUMIFS('ORDENES'!$M$4:$M$1203,'ORDENES'!$AE$4:$AE$1203,$AE176,'ORDENES'!$O$4:$O$1203,$O176,'ORDENES'!$R$4:$R$1203,$R176))</f>
        <v/>
      </c>
      <c r="AH176" s="13">
        <f>IF($AG176="","",p_factor_productividad*IFERROR(INDEX('ASIGNACIONES'!$I$4:$I$339,MATCH($O176&amp;"|"&amp;$R176&amp;"|"&amp;$AE176,'ASIGNACIONES'!$J$4:$J$339,0)),0)-$AG176)</f>
        <v/>
      </c>
      <c r="AI176" s="10">
        <f>IF($A176="","",IFERROR(INDEX('2_IMPORTAR_EJECUCION'!$F$9:$F$1208,MATCH($AQ176,'2_IMPORTAR_EJECUCION'!$J$9:$J$1208,0)),0))</f>
        <v/>
      </c>
      <c r="AJ176" s="10">
        <f>IF($A176="","",MAX(0,IFERROR(INDEX('2_IMPORTAR_EJECUCION'!$H$9:$H$1208,MATCH($AQ176,'2_IMPORTAR_EJECUCION'!$J$9:$J$1208,0)),0)-$AI176))</f>
        <v/>
      </c>
      <c r="AK176" s="10">
        <f>IF($A176="","",$AI176+$AJ176)</f>
        <v/>
      </c>
      <c r="AL176" s="6" t="inlineStr"/>
      <c r="AM176" s="6" t="inlineStr"/>
      <c r="AN176" s="6" t="inlineStr"/>
      <c r="AO176" s="3">
        <f>IF($AN176="","",HYPERLINK(p_ruta_base_checklists&amp;$AN176,"abrir"))</f>
        <v/>
      </c>
      <c r="AP176" s="6" t="inlineStr"/>
      <c r="AQ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EQ-110</t>
        </is>
      </c>
      <c r="D177" s="3" t="inlineStr">
        <is>
          <t>Inspección de rutina en EQ-110</t>
        </is>
      </c>
      <c r="E177" s="3" t="inlineStr">
        <is>
          <t>EQ-110</t>
        </is>
      </c>
      <c r="F177" s="3" t="inlineStr">
        <is>
          <t>CC-330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46129</v>
      </c>
      <c r="K177" s="3" t="n">
        <v>8</v>
      </c>
      <c r="L177" s="10" t="n">
        <v>200</v>
      </c>
      <c r="M177" s="3">
        <f>IF($A177="","",IFERROR(INDEX('AJUSTES'!$B$4:$B$303,MATCH($AQ177,'AJUSTES'!$A$4:$A$303,0)),IF($K177="","",$K177)))</f>
        <v/>
      </c>
      <c r="N177" s="3">
        <f>IF($A177="","",IFERROR(INDEX('CAT_ESTADOS_ERP'!$B$4:$B$7,MATCH(IFERROR(INDEX('2_IMPORTAR_EJECUCION'!$C$9:$C$1208,MATCH($AQ177,'2_IMPORTAR_EJECUCION'!$J$9:$J$1208,0)),""),'CAT_ESTADOS_ERP'!$A$4:$A$7,0)),"Pendiente"))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J177="","",IFERROR(INDEX('CALENDARIO'!$C$15:$C$214,MATCH(TEXT($J177,"yyyy-mm-dd")&amp;"|"&amp;$V177&amp;"|"&amp;$W177,'CALENDARIO'!$G$15:$G$214,0)),IFERROR(INDEX('CALENDARIO'!$C$15:$C$214,MATCH(TEXT($J177,"yyyy-mm-dd")&amp;"|"&amp;$V177&amp;"|",'CALENDARIO'!$G$15:$G$214,0)),IFERROR(INDEX('CALENDARIO'!$C$15:$C$214,MATCH(TEXT($J177,"yyyy-mm-dd")&amp;"||",'CALENDARIO'!$G$15:$G$214,0)),INDEX(patronHabil,WEEKDAY($J177,2))))))</f>
        <v/>
      </c>
      <c r="T177" s="3">
        <f>IF($I177="","",IFERROR(INDEX('CAT_TIPOS_OT'!$C$4:$C$7,MATCH($I177,'CAT_TIPOS_OT'!$A$4:$A$7,0)),"sin_clasificar"))</f>
        <v/>
      </c>
      <c r="U177" s="3">
        <f>IF($F177="","",IFERROR(INDEX('CAT_CENTROS_COSTO'!$F$4:$F$13,MATCH($F177,'CAT_CENTROS_COSTO'!$A$4:$A$13,0)),"(sin catálogo)"))</f>
        <v/>
      </c>
      <c r="V177" s="3">
        <f>IF($F177="","",IFERROR(INDEX('CAT_CENTROS_COSTO'!$D$4:$D$13,MATCH($F177,'CAT_CENTROS_COSTO'!$A$4:$A$13,0)),"(sin catálogo)"))</f>
        <v/>
      </c>
      <c r="W177" s="3">
        <f>IF($F177="","",IF((IFERROR(INDEX('CAT_CENTROS_COSTO'!$E$4:$E$13,MATCH($F177,'CAT_CENTROS_COSTO'!$A$4:$A$13,0)),""))&lt;&gt;"",IFERROR(INDEX('CAT_CENTROS_COSTO'!$E$4:$E$13,MATCH($F177,'CAT_CENTROS_COSTO'!$A$4:$A$13,0)),""),$V177))</f>
        <v/>
      </c>
      <c r="X177" s="3">
        <f>IF($F177="","",IFERROR(INDEX('CAT_CENTROS_COSTO'!$G$4:$G$13,MATCH($F177,'CAT_CENTROS_COSTO'!$A$4:$A$13,0)),"(sin catálogo)"))</f>
        <v/>
      </c>
      <c r="Y177" s="3">
        <f>IF($G177="","",IFERROR(INDEX('CAT_PUESTOS'!$B$4:$B$8,MATCH($G177,'CAT_PUESTOS'!$A$4:$A$8,0)),"(sin catálogo)"))</f>
        <v/>
      </c>
      <c r="Z177" s="3">
        <f>IF($H177="","",IFERROR(INDEX('CAT_ACTIVIDADES'!$B$4:$B$8,MATCH($H177,'CAT_ACTIVIDADES'!$A$4:$A$8,0)),"(sin catálogo)"))</f>
        <v/>
      </c>
      <c r="AA177" s="12">
        <f>IF($J177="","",TODAY()-$J177)</f>
        <v/>
      </c>
      <c r="AB177" s="12">
        <f>IF($J177="","",IF($J177&lt;=TODAY(),COUNTIFS(cal_fechas,"&gt;="&amp;$J177,cal_fechas,"&lt;"&amp;TODAY(),cal_habil,"sí"),-COUNTIFS(cal_fechas,"&gt;="&amp;TODAY(),cal_fechas,"&lt;"&amp;$J177,cal_habil,"sí")))</f>
        <v/>
      </c>
      <c r="AC177" s="3">
        <f>IF($AB177="","",IF($AB177&lt;0,"FUTURO",IF($AB177&gt;p_dias_backlog_max,"BACKLOG","MES CORRIENTE")))</f>
        <v/>
      </c>
      <c r="AD177" s="3">
        <f>IF($AB177="",FALSE,AND($AB177&gt;p_dias_backlog_min,$AB177&lt;=p_dias_backlog_max))</f>
        <v/>
      </c>
      <c r="AE177" s="6" t="inlineStr"/>
      <c r="AF177" s="3">
        <f>IF($AE177="","",IF((IFERROR(INDEX('ASIGNACIONES'!$F$4:$F$339,MATCH($O177&amp;"|"&amp;$R177&amp;"|"&amp;$AE177,'ASIGNACIONES'!$J$4:$J$339,0)),""))=0,"",IFERROR(INDEX('ASIGNACIONES'!$F$4:$F$339,MATCH($O177&amp;"|"&amp;$R177&amp;"|"&amp;$AE177,'ASIGNACIONES'!$J$4:$J$339,0)),"")))</f>
        <v/>
      </c>
      <c r="AG177" s="13">
        <f>IF($AE177="","",SUMIFS('ORDENES'!$M$4:$M$1203,'ORDENES'!$AE$4:$AE$1203,$AE177,'ORDENES'!$O$4:$O$1203,$O177,'ORDENES'!$R$4:$R$1203,$R177))</f>
        <v/>
      </c>
      <c r="AH177" s="13">
        <f>IF($AG177="","",p_factor_productividad*IFERROR(INDEX('ASIGNACIONES'!$I$4:$I$339,MATCH($O177&amp;"|"&amp;$R177&amp;"|"&amp;$AE177,'ASIGNACIONES'!$J$4:$J$339,0)),0)-$AG177)</f>
        <v/>
      </c>
      <c r="AI177" s="10">
        <f>IF($A177="","",IFERROR(INDEX('2_IMPORTAR_EJECUCION'!$F$9:$F$1208,MATCH($AQ177,'2_IMPORTAR_EJECUCION'!$J$9:$J$1208,0)),0))</f>
        <v/>
      </c>
      <c r="AJ177" s="10">
        <f>IF($A177="","",MAX(0,IFERROR(INDEX('2_IMPORTAR_EJECUCION'!$H$9:$H$1208,MATCH($AQ177,'2_IMPORTAR_EJECUCION'!$J$9:$J$1208,0)),0)-$AI177))</f>
        <v/>
      </c>
      <c r="AK177" s="10">
        <f>IF($A177="","",$AI177+$AJ177)</f>
        <v/>
      </c>
      <c r="AL177" s="6" t="inlineStr"/>
      <c r="AM177" s="6" t="inlineStr"/>
      <c r="AN177" s="6" t="inlineStr"/>
      <c r="AO177" s="3">
        <f>IF($AN177="","",HYPERLINK(p_ruta_base_checklists&amp;$AN177,"abrir"))</f>
        <v/>
      </c>
      <c r="AP177" s="6" t="inlineStr"/>
      <c r="AQ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EQ-111</t>
        </is>
      </c>
      <c r="D178" s="3" t="inlineStr">
        <is>
          <t>Reparación de falla en EQ-111</t>
        </is>
      </c>
      <c r="E178" s="3" t="inlineStr">
        <is>
          <t>EQ-111</t>
        </is>
      </c>
      <c r="F178" s="3" t="inlineStr">
        <is>
          <t>CC-340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46122</v>
      </c>
      <c r="K178" s="3" t="n">
        <v>4</v>
      </c>
      <c r="L178" s="10" t="n">
        <v>160</v>
      </c>
      <c r="M178" s="3">
        <f>IF($A178="","",IFERROR(INDEX('AJUSTES'!$B$4:$B$303,MATCH($AQ178,'AJUSTES'!$A$4:$A$303,0)),IF($K178="","",$K178)))</f>
        <v/>
      </c>
      <c r="N178" s="3">
        <f>IF($A178="","",IFERROR(INDEX('CAT_ESTADOS_ERP'!$B$4:$B$7,MATCH(IFERROR(INDEX('2_IMPORTAR_EJECUCION'!$C$9:$C$1208,MATCH($AQ178,'2_IMPORTAR_EJECUCION'!$J$9:$J$1208,0)),""),'CAT_ESTADOS_ERP'!$A$4:$A$7,0)),"Pendiente"))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J178="","",IFERROR(INDEX('CALENDARIO'!$C$15:$C$214,MATCH(TEXT($J178,"yyyy-mm-dd")&amp;"|"&amp;$V178&amp;"|"&amp;$W178,'CALENDARIO'!$G$15:$G$214,0)),IFERROR(INDEX('CALENDARIO'!$C$15:$C$214,MATCH(TEXT($J178,"yyyy-mm-dd")&amp;"|"&amp;$V178&amp;"|",'CALENDARIO'!$G$15:$G$214,0)),IFERROR(INDEX('CALENDARIO'!$C$15:$C$214,MATCH(TEXT($J178,"yyyy-mm-dd")&amp;"||",'CALENDARIO'!$G$15:$G$214,0)),INDEX(patronHabil,WEEKDAY($J178,2))))))</f>
        <v/>
      </c>
      <c r="T178" s="3">
        <f>IF($I178="","",IFERROR(INDEX('CAT_TIPOS_OT'!$C$4:$C$7,MATCH($I178,'CAT_TIPOS_OT'!$A$4:$A$7,0)),"sin_clasificar"))</f>
        <v/>
      </c>
      <c r="U178" s="3">
        <f>IF($F178="","",IFERROR(INDEX('CAT_CENTROS_COSTO'!$F$4:$F$13,MATCH($F178,'CAT_CENTROS_COSTO'!$A$4:$A$13,0)),"(sin catálogo)"))</f>
        <v/>
      </c>
      <c r="V178" s="3">
        <f>IF($F178="","",IFERROR(INDEX('CAT_CENTROS_COSTO'!$D$4:$D$13,MATCH($F178,'CAT_CENTROS_COSTO'!$A$4:$A$13,0)),"(sin catálogo)"))</f>
        <v/>
      </c>
      <c r="W178" s="3">
        <f>IF($F178="","",IF((IFERROR(INDEX('CAT_CENTROS_COSTO'!$E$4:$E$13,MATCH($F178,'CAT_CENTROS_COSTO'!$A$4:$A$13,0)),""))&lt;&gt;"",IFERROR(INDEX('CAT_CENTROS_COSTO'!$E$4:$E$13,MATCH($F178,'CAT_CENTROS_COSTO'!$A$4:$A$13,0)),""),$V178))</f>
        <v/>
      </c>
      <c r="X178" s="3">
        <f>IF($F178="","",IFERROR(INDEX('CAT_CENTROS_COSTO'!$G$4:$G$13,MATCH($F178,'CAT_CENTROS_COSTO'!$A$4:$A$13,0)),"(sin catálogo)"))</f>
        <v/>
      </c>
      <c r="Y178" s="3">
        <f>IF($G178="","",IFERROR(INDEX('CAT_PUESTOS'!$B$4:$B$8,MATCH($G178,'CAT_PUESTOS'!$A$4:$A$8,0)),"(sin catálogo)"))</f>
        <v/>
      </c>
      <c r="Z178" s="3">
        <f>IF($H178="","",IFERROR(INDEX('CAT_ACTIVIDADES'!$B$4:$B$8,MATCH($H178,'CAT_ACTIVIDADES'!$A$4:$A$8,0)),"(sin catálogo)"))</f>
        <v/>
      </c>
      <c r="AA178" s="12">
        <f>IF($J178="","",TODAY()-$J178)</f>
        <v/>
      </c>
      <c r="AB178" s="12">
        <f>IF($J178="","",IF($J178&lt;=TODAY(),COUNTIFS(cal_fechas,"&gt;="&amp;$J178,cal_fechas,"&lt;"&amp;TODAY(),cal_habil,"sí"),-COUNTIFS(cal_fechas,"&gt;="&amp;TODAY(),cal_fechas,"&lt;"&amp;$J178,cal_habil,"sí")))</f>
        <v/>
      </c>
      <c r="AC178" s="3">
        <f>IF($AB178="","",IF($AB178&lt;0,"FUTURO",IF($AB178&gt;p_dias_backlog_max,"BACKLOG","MES CORRIENTE")))</f>
        <v/>
      </c>
      <c r="AD178" s="3">
        <f>IF($AB178="",FALSE,AND($AB178&gt;p_dias_backlog_min,$AB178&lt;=p_dias_backlog_max))</f>
        <v/>
      </c>
      <c r="AE178" s="6" t="inlineStr"/>
      <c r="AF178" s="3">
        <f>IF($AE178="","",IF((IFERROR(INDEX('ASIGNACIONES'!$F$4:$F$339,MATCH($O178&amp;"|"&amp;$R178&amp;"|"&amp;$AE178,'ASIGNACIONES'!$J$4:$J$339,0)),""))=0,"",IFERROR(INDEX('ASIGNACIONES'!$F$4:$F$339,MATCH($O178&amp;"|"&amp;$R178&amp;"|"&amp;$AE178,'ASIGNACIONES'!$J$4:$J$339,0)),"")))</f>
        <v/>
      </c>
      <c r="AG178" s="13">
        <f>IF($AE178="","",SUMIFS('ORDENES'!$M$4:$M$1203,'ORDENES'!$AE$4:$AE$1203,$AE178,'ORDENES'!$O$4:$O$1203,$O178,'ORDENES'!$R$4:$R$1203,$R178))</f>
        <v/>
      </c>
      <c r="AH178" s="13">
        <f>IF($AG178="","",p_factor_productividad*IFERROR(INDEX('ASIGNACIONES'!$I$4:$I$339,MATCH($O178&amp;"|"&amp;$R178&amp;"|"&amp;$AE178,'ASIGNACIONES'!$J$4:$J$339,0)),0)-$AG178)</f>
        <v/>
      </c>
      <c r="AI178" s="10">
        <f>IF($A178="","",IFERROR(INDEX('2_IMPORTAR_EJECUCION'!$F$9:$F$1208,MATCH($AQ178,'2_IMPORTAR_EJECUCION'!$J$9:$J$1208,0)),0))</f>
        <v/>
      </c>
      <c r="AJ178" s="10">
        <f>IF($A178="","",MAX(0,IFERROR(INDEX('2_IMPORTAR_EJECUCION'!$H$9:$H$1208,MATCH($AQ178,'2_IMPORTAR_EJECUCION'!$J$9:$J$1208,0)),0)-$AI178))</f>
        <v/>
      </c>
      <c r="AK178" s="10">
        <f>IF($A178="","",$AI178+$AJ178)</f>
        <v/>
      </c>
      <c r="AL178" s="6" t="inlineStr"/>
      <c r="AM178" s="6" t="inlineStr"/>
      <c r="AN178" s="6" t="inlineStr"/>
      <c r="AO178" s="3">
        <f>IF($AN178="","",HYPERLINK(p_ruta_base_checklists&amp;$AN178,"abrir"))</f>
        <v/>
      </c>
      <c r="AP178" s="6" t="inlineStr"/>
      <c r="AQ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EQ-102</t>
        </is>
      </c>
      <c r="D179" s="3" t="inlineStr">
        <is>
          <t>Análisis predictivo en EQ-102</t>
        </is>
      </c>
      <c r="E179" s="3" t="inlineStr">
        <is>
          <t>EQ-102</t>
        </is>
      </c>
      <c r="F179" s="3" t="inlineStr">
        <is>
          <t>CC-110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46115</v>
      </c>
      <c r="K179" s="3" t="n">
        <v>6</v>
      </c>
      <c r="L179" s="10" t="n">
        <v>150</v>
      </c>
      <c r="M179" s="3">
        <f>IF($A179="","",IFERROR(INDEX('AJUSTES'!$B$4:$B$303,MATCH($AQ179,'AJUSTES'!$A$4:$A$303,0)),IF($K179="","",$K179)))</f>
        <v/>
      </c>
      <c r="N179" s="3">
        <f>IF($A179="","",IFERROR(INDEX('CAT_ESTADOS_ERP'!$B$4:$B$7,MATCH(IFERROR(INDEX('2_IMPORTAR_EJECUCION'!$C$9:$C$1208,MATCH($AQ179,'2_IMPORTAR_EJECUCION'!$J$9:$J$1208,0)),""),'CAT_ESTADOS_ERP'!$A$4:$A$7,0)),"Pendiente"))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J179="","",IFERROR(INDEX('CALENDARIO'!$C$15:$C$214,MATCH(TEXT($J179,"yyyy-mm-dd")&amp;"|"&amp;$V179&amp;"|"&amp;$W179,'CALENDARIO'!$G$15:$G$214,0)),IFERROR(INDEX('CALENDARIO'!$C$15:$C$214,MATCH(TEXT($J179,"yyyy-mm-dd")&amp;"|"&amp;$V179&amp;"|",'CALENDARIO'!$G$15:$G$214,0)),IFERROR(INDEX('CALENDARIO'!$C$15:$C$214,MATCH(TEXT($J179,"yyyy-mm-dd")&amp;"||",'CALENDARIO'!$G$15:$G$214,0)),INDEX(patronHabil,WEEKDAY($J179,2))))))</f>
        <v/>
      </c>
      <c r="T179" s="3">
        <f>IF($I179="","",IFERROR(INDEX('CAT_TIPOS_OT'!$C$4:$C$7,MATCH($I179,'CAT_TIPOS_OT'!$A$4:$A$7,0)),"sin_clasificar"))</f>
        <v/>
      </c>
      <c r="U179" s="3">
        <f>IF($F179="","",IFERROR(INDEX('CAT_CENTROS_COSTO'!$F$4:$F$13,MATCH($F179,'CAT_CENTROS_COSTO'!$A$4:$A$13,0)),"(sin catálogo)"))</f>
        <v/>
      </c>
      <c r="V179" s="3">
        <f>IF($F179="","",IFERROR(INDEX('CAT_CENTROS_COSTO'!$D$4:$D$13,MATCH($F179,'CAT_CENTROS_COSTO'!$A$4:$A$13,0)),"(sin catálogo)"))</f>
        <v/>
      </c>
      <c r="W179" s="3">
        <f>IF($F179="","",IF((IFERROR(INDEX('CAT_CENTROS_COSTO'!$E$4:$E$13,MATCH($F179,'CAT_CENTROS_COSTO'!$A$4:$A$13,0)),""))&lt;&gt;"",IFERROR(INDEX('CAT_CENTROS_COSTO'!$E$4:$E$13,MATCH($F179,'CAT_CENTROS_COSTO'!$A$4:$A$13,0)),""),$V179))</f>
        <v/>
      </c>
      <c r="X179" s="3">
        <f>IF($F179="","",IFERROR(INDEX('CAT_CENTROS_COSTO'!$G$4:$G$13,MATCH($F179,'CAT_CENTROS_COSTO'!$A$4:$A$13,0)),"(sin catálogo)"))</f>
        <v/>
      </c>
      <c r="Y179" s="3">
        <f>IF($G179="","",IFERROR(INDEX('CAT_PUESTOS'!$B$4:$B$8,MATCH($G179,'CAT_PUESTOS'!$A$4:$A$8,0)),"(sin catálogo)"))</f>
        <v/>
      </c>
      <c r="Z179" s="3">
        <f>IF($H179="","",IFERROR(INDEX('CAT_ACTIVIDADES'!$B$4:$B$8,MATCH($H179,'CAT_ACTIVIDADES'!$A$4:$A$8,0)),"(sin catálogo)"))</f>
        <v/>
      </c>
      <c r="AA179" s="12">
        <f>IF($J179="","",TODAY()-$J179)</f>
        <v/>
      </c>
      <c r="AB179" s="12">
        <f>IF($J179="","",IF($J179&lt;=TODAY(),COUNTIFS(cal_fechas,"&gt;="&amp;$J179,cal_fechas,"&lt;"&amp;TODAY(),cal_habil,"sí"),-COUNTIFS(cal_fechas,"&gt;="&amp;TODAY(),cal_fechas,"&lt;"&amp;$J179,cal_habil,"sí")))</f>
        <v/>
      </c>
      <c r="AC179" s="3">
        <f>IF($AB179="","",IF($AB179&lt;0,"FUTURO",IF($AB179&gt;p_dias_backlog_max,"BACKLOG","MES CORRIENTE")))</f>
        <v/>
      </c>
      <c r="AD179" s="3">
        <f>IF($AB179="",FALSE,AND($AB179&gt;p_dias_backlog_min,$AB179&lt;=p_dias_backlog_max))</f>
        <v/>
      </c>
      <c r="AE179" s="6" t="inlineStr"/>
      <c r="AF179" s="3">
        <f>IF($AE179="","",IF((IFERROR(INDEX('ASIGNACIONES'!$F$4:$F$339,MATCH($O179&amp;"|"&amp;$R179&amp;"|"&amp;$AE179,'ASIGNACIONES'!$J$4:$J$339,0)),""))=0,"",IFERROR(INDEX('ASIGNACIONES'!$F$4:$F$339,MATCH($O179&amp;"|"&amp;$R179&amp;"|"&amp;$AE179,'ASIGNACIONES'!$J$4:$J$339,0)),"")))</f>
        <v/>
      </c>
      <c r="AG179" s="13">
        <f>IF($AE179="","",SUMIFS('ORDENES'!$M$4:$M$1203,'ORDENES'!$AE$4:$AE$1203,$AE179,'ORDENES'!$O$4:$O$1203,$O179,'ORDENES'!$R$4:$R$1203,$R179))</f>
        <v/>
      </c>
      <c r="AH179" s="13">
        <f>IF($AG179="","",p_factor_productividad*IFERROR(INDEX('ASIGNACIONES'!$I$4:$I$339,MATCH($O179&amp;"|"&amp;$R179&amp;"|"&amp;$AE179,'ASIGNACIONES'!$J$4:$J$339,0)),0)-$AG179)</f>
        <v/>
      </c>
      <c r="AI179" s="10">
        <f>IF($A179="","",IFERROR(INDEX('2_IMPORTAR_EJECUCION'!$F$9:$F$1208,MATCH($AQ179,'2_IMPORTAR_EJECUCION'!$J$9:$J$1208,0)),0))</f>
        <v/>
      </c>
      <c r="AJ179" s="10">
        <f>IF($A179="","",MAX(0,IFERROR(INDEX('2_IMPORTAR_EJECUCION'!$H$9:$H$1208,MATCH($AQ179,'2_IMPORTAR_EJECUCION'!$J$9:$J$1208,0)),0)-$AI179))</f>
        <v/>
      </c>
      <c r="AK179" s="10">
        <f>IF($A179="","",$AI179+$AJ179)</f>
        <v/>
      </c>
      <c r="AL179" s="6" t="inlineStr"/>
      <c r="AM179" s="6" t="inlineStr"/>
      <c r="AN179" s="6" t="inlineStr"/>
      <c r="AO179" s="3">
        <f>IF($AN179="","",HYPERLINK(p_ruta_base_checklists&amp;$AN179,"abrir"))</f>
        <v/>
      </c>
      <c r="AP179" s="6" t="inlineStr"/>
      <c r="AQ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Reparación de falla — EQ-103</t>
        </is>
      </c>
      <c r="D180" s="3" t="inlineStr">
        <is>
          <t>Reparación de falla en EQ-103</t>
        </is>
      </c>
      <c r="E180" s="3" t="inlineStr">
        <is>
          <t>EQ-103</t>
        </is>
      </c>
      <c r="F180" s="3" t="inlineStr">
        <is>
          <t>CC-120</t>
        </is>
      </c>
      <c r="G180" s="3" t="inlineStr">
        <is>
          <t>PU-OP</t>
        </is>
      </c>
      <c r="H180" s="3" t="inlineStr">
        <is>
          <t>ACT-03</t>
        </is>
      </c>
      <c r="I180" s="3" t="inlineStr">
        <is>
          <t>TIPO-C2</t>
        </is>
      </c>
      <c r="J180" s="11" t="n">
        <v>46108</v>
      </c>
      <c r="K180" s="3" t="n">
        <v>8</v>
      </c>
      <c r="L180" s="10" t="n">
        <v>320</v>
      </c>
      <c r="M180" s="3">
        <f>IF($A180="","",IFERROR(INDEX('AJUSTES'!$B$4:$B$303,MATCH($AQ180,'AJUSTES'!$A$4:$A$303,0)),IF($K180="","",$K180)))</f>
        <v/>
      </c>
      <c r="N180" s="3">
        <f>IF($A180="","",IFERROR(INDEX('CAT_ESTADOS_ERP'!$B$4:$B$7,MATCH(IFERROR(INDEX('2_IMPORTAR_EJECUCION'!$C$9:$C$1208,MATCH($AQ180,'2_IMPORTAR_EJECUCION'!$J$9:$J$1208,0)),""),'CAT_ESTADOS_ERP'!$A$4:$A$7,0)),"Pendiente"))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J180="","",IFERROR(INDEX('CALENDARIO'!$C$15:$C$214,MATCH(TEXT($J180,"yyyy-mm-dd")&amp;"|"&amp;$V180&amp;"|"&amp;$W180,'CALENDARIO'!$G$15:$G$214,0)),IFERROR(INDEX('CALENDARIO'!$C$15:$C$214,MATCH(TEXT($J180,"yyyy-mm-dd")&amp;"|"&amp;$V180&amp;"|",'CALENDARIO'!$G$15:$G$214,0)),IFERROR(INDEX('CALENDARIO'!$C$15:$C$214,MATCH(TEXT($J180,"yyyy-mm-dd")&amp;"||",'CALENDARIO'!$G$15:$G$214,0)),INDEX(patronHabil,WEEKDAY($J180,2))))))</f>
        <v/>
      </c>
      <c r="T180" s="3">
        <f>IF($I180="","",IFERROR(INDEX('CAT_TIPOS_OT'!$C$4:$C$7,MATCH($I180,'CAT_TIPOS_OT'!$A$4:$A$7,0)),"sin_clasificar"))</f>
        <v/>
      </c>
      <c r="U180" s="3">
        <f>IF($F180="","",IFERROR(INDEX('CAT_CENTROS_COSTO'!$F$4:$F$13,MATCH($F180,'CAT_CENTROS_COSTO'!$A$4:$A$13,0)),"(sin catálogo)"))</f>
        <v/>
      </c>
      <c r="V180" s="3">
        <f>IF($F180="","",IFERROR(INDEX('CAT_CENTROS_COSTO'!$D$4:$D$13,MATCH($F180,'CAT_CENTROS_COSTO'!$A$4:$A$13,0)),"(sin catálogo)"))</f>
        <v/>
      </c>
      <c r="W180" s="3">
        <f>IF($F180="","",IF((IFERROR(INDEX('CAT_CENTROS_COSTO'!$E$4:$E$13,MATCH($F180,'CAT_CENTROS_COSTO'!$A$4:$A$13,0)),""))&lt;&gt;"",IFERROR(INDEX('CAT_CENTROS_COSTO'!$E$4:$E$13,MATCH($F180,'CAT_CENTROS_COSTO'!$A$4:$A$13,0)),""),$V180))</f>
        <v/>
      </c>
      <c r="X180" s="3">
        <f>IF($F180="","",IFERROR(INDEX('CAT_CENTROS_COSTO'!$G$4:$G$13,MATCH($F180,'CAT_CENTROS_COSTO'!$A$4:$A$13,0)),"(sin catálogo)"))</f>
        <v/>
      </c>
      <c r="Y180" s="3">
        <f>IF($G180="","",IFERROR(INDEX('CAT_PUESTOS'!$B$4:$B$8,MATCH($G180,'CAT_PUESTOS'!$A$4:$A$8,0)),"(sin catálogo)"))</f>
        <v/>
      </c>
      <c r="Z180" s="3">
        <f>IF($H180="","",IFERROR(INDEX('CAT_ACTIVIDADES'!$B$4:$B$8,MATCH($H180,'CAT_ACTIVIDADES'!$A$4:$A$8,0)),"(sin catálogo)"))</f>
        <v/>
      </c>
      <c r="AA180" s="12">
        <f>IF($J180="","",TODAY()-$J180)</f>
        <v/>
      </c>
      <c r="AB180" s="12">
        <f>IF($J180="","",IF($J180&lt;=TODAY(),COUNTIFS(cal_fechas,"&gt;="&amp;$J180,cal_fechas,"&lt;"&amp;TODAY(),cal_habil,"sí"),-COUNTIFS(cal_fechas,"&gt;="&amp;TODAY(),cal_fechas,"&lt;"&amp;$J180,cal_habil,"sí")))</f>
        <v/>
      </c>
      <c r="AC180" s="3">
        <f>IF($AB180="","",IF($AB180&lt;0,"FUTURO",IF($AB180&gt;p_dias_backlog_max,"BACKLOG","MES CORRIENTE")))</f>
        <v/>
      </c>
      <c r="AD180" s="3">
        <f>IF($AB180="",FALSE,AND($AB180&gt;p_dias_backlog_min,$AB180&lt;=p_dias_backlog_max))</f>
        <v/>
      </c>
      <c r="AE180" s="6" t="inlineStr"/>
      <c r="AF180" s="3">
        <f>IF($AE180="","",IF((IFERROR(INDEX('ASIGNACIONES'!$F$4:$F$339,MATCH($O180&amp;"|"&amp;$R180&amp;"|"&amp;$AE180,'ASIGNACIONES'!$J$4:$J$339,0)),""))=0,"",IFERROR(INDEX('ASIGNACIONES'!$F$4:$F$339,MATCH($O180&amp;"|"&amp;$R180&amp;"|"&amp;$AE180,'ASIGNACIONES'!$J$4:$J$339,0)),"")))</f>
        <v/>
      </c>
      <c r="AG180" s="13">
        <f>IF($AE180="","",SUMIFS('ORDENES'!$M$4:$M$1203,'ORDENES'!$AE$4:$AE$1203,$AE180,'ORDENES'!$O$4:$O$1203,$O180,'ORDENES'!$R$4:$R$1203,$R180))</f>
        <v/>
      </c>
      <c r="AH180" s="13">
        <f>IF($AG180="","",p_factor_productividad*IFERROR(INDEX('ASIGNACIONES'!$I$4:$I$339,MATCH($O180&amp;"|"&amp;$R180&amp;"|"&amp;$AE180,'ASIGNACIONES'!$J$4:$J$339,0)),0)-$AG180)</f>
        <v/>
      </c>
      <c r="AI180" s="10">
        <f>IF($A180="","",IFERROR(INDEX('2_IMPORTAR_EJECUCION'!$F$9:$F$1208,MATCH($AQ180,'2_IMPORTAR_EJECUCION'!$J$9:$J$1208,0)),0))</f>
        <v/>
      </c>
      <c r="AJ180" s="10">
        <f>IF($A180="","",MAX(0,IFERROR(INDEX('2_IMPORTAR_EJECUCION'!$H$9:$H$1208,MATCH($AQ180,'2_IMPORTAR_EJECUCION'!$J$9:$J$1208,0)),0)-$AI180))</f>
        <v/>
      </c>
      <c r="AK180" s="10">
        <f>IF($A180="","",$AI180+$AJ180)</f>
        <v/>
      </c>
      <c r="AL180" s="6" t="inlineStr"/>
      <c r="AM180" s="6" t="inlineStr"/>
      <c r="AN180" s="6" t="inlineStr"/>
      <c r="AO180" s="3">
        <f>IF($AN180="","",HYPERLINK(p_ruta_base_checklists&amp;$AN180,"abrir"))</f>
        <v/>
      </c>
      <c r="AP180" s="6" t="inlineStr"/>
      <c r="AQ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EQ-108</t>
        </is>
      </c>
      <c r="D181" s="3" t="inlineStr">
        <is>
          <t>Lubricación programada en EQ-108</t>
        </is>
      </c>
      <c r="E181" s="3" t="inlineStr">
        <is>
          <t>EQ-108</t>
        </is>
      </c>
      <c r="F181" s="3" t="inlineStr">
        <is>
          <t>CC-210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46101</v>
      </c>
      <c r="K181" s="3" t="n">
        <v>4</v>
      </c>
      <c r="L181" s="10" t="n">
        <v>100</v>
      </c>
      <c r="M181" s="3">
        <f>IF($A181="","",IFERROR(INDEX('AJUSTES'!$B$4:$B$303,MATCH($AQ181,'AJUSTES'!$A$4:$A$303,0)),IF($K181="","",$K181)))</f>
        <v/>
      </c>
      <c r="N181" s="3">
        <f>IF($A181="","",IFERROR(INDEX('CAT_ESTADOS_ERP'!$B$4:$B$7,MATCH(IFERROR(INDEX('2_IMPORTAR_EJECUCION'!$C$9:$C$1208,MATCH($AQ181,'2_IMPORTAR_EJECUCION'!$J$9:$J$1208,0)),""),'CAT_ESTADOS_ERP'!$A$4:$A$7,0)),"Pendiente"))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J181="","",IFERROR(INDEX('CALENDARIO'!$C$15:$C$214,MATCH(TEXT($J181,"yyyy-mm-dd")&amp;"|"&amp;$V181&amp;"|"&amp;$W181,'CALENDARIO'!$G$15:$G$214,0)),IFERROR(INDEX('CALENDARIO'!$C$15:$C$214,MATCH(TEXT($J181,"yyyy-mm-dd")&amp;"|"&amp;$V181&amp;"|",'CALENDARIO'!$G$15:$G$214,0)),IFERROR(INDEX('CALENDARIO'!$C$15:$C$214,MATCH(TEXT($J181,"yyyy-mm-dd")&amp;"||",'CALENDARIO'!$G$15:$G$214,0)),INDEX(patronHabil,WEEKDAY($J181,2))))))</f>
        <v/>
      </c>
      <c r="T181" s="3">
        <f>IF($I181="","",IFERROR(INDEX('CAT_TIPOS_OT'!$C$4:$C$7,MATCH($I181,'CAT_TIPOS_OT'!$A$4:$A$7,0)),"sin_clasificar"))</f>
        <v/>
      </c>
      <c r="U181" s="3">
        <f>IF($F181="","",IFERROR(INDEX('CAT_CENTROS_COSTO'!$F$4:$F$13,MATCH($F181,'CAT_CENTROS_COSTO'!$A$4:$A$13,0)),"(sin catálogo)"))</f>
        <v/>
      </c>
      <c r="V181" s="3">
        <f>IF($F181="","",IFERROR(INDEX('CAT_CENTROS_COSTO'!$D$4:$D$13,MATCH($F181,'CAT_CENTROS_COSTO'!$A$4:$A$13,0)),"(sin catálogo)"))</f>
        <v/>
      </c>
      <c r="W181" s="3">
        <f>IF($F181="","",IF((IFERROR(INDEX('CAT_CENTROS_COSTO'!$E$4:$E$13,MATCH($F181,'CAT_CENTROS_COSTO'!$A$4:$A$13,0)),""))&lt;&gt;"",IFERROR(INDEX('CAT_CENTROS_COSTO'!$E$4:$E$13,MATCH($F181,'CAT_CENTROS_COSTO'!$A$4:$A$13,0)),""),$V181))</f>
        <v/>
      </c>
      <c r="X181" s="3">
        <f>IF($F181="","",IFERROR(INDEX('CAT_CENTROS_COSTO'!$G$4:$G$13,MATCH($F181,'CAT_CENTROS_COSTO'!$A$4:$A$13,0)),"(sin catálogo)"))</f>
        <v/>
      </c>
      <c r="Y181" s="3">
        <f>IF($G181="","",IFERROR(INDEX('CAT_PUESTOS'!$B$4:$B$8,MATCH($G181,'CAT_PUESTOS'!$A$4:$A$8,0)),"(sin catálogo)"))</f>
        <v/>
      </c>
      <c r="Z181" s="3">
        <f>IF($H181="","",IFERROR(INDEX('CAT_ACTIVIDADES'!$B$4:$B$8,MATCH($H181,'CAT_ACTIVIDADES'!$A$4:$A$8,0)),"(sin catálogo)"))</f>
        <v/>
      </c>
      <c r="AA181" s="12">
        <f>IF($J181="","",TODAY()-$J181)</f>
        <v/>
      </c>
      <c r="AB181" s="12">
        <f>IF($J181="","",IF($J181&lt;=TODAY(),COUNTIFS(cal_fechas,"&gt;="&amp;$J181,cal_fechas,"&lt;"&amp;TODAY(),cal_habil,"sí"),-COUNTIFS(cal_fechas,"&gt;="&amp;TODAY(),cal_fechas,"&lt;"&amp;$J181,cal_habil,"sí")))</f>
        <v/>
      </c>
      <c r="AC181" s="3">
        <f>IF($AB181="","",IF($AB181&lt;0,"FUTURO",IF($AB181&gt;p_dias_backlog_max,"BACKLOG","MES CORRIENTE")))</f>
        <v/>
      </c>
      <c r="AD181" s="3">
        <f>IF($AB181="",FALSE,AND($AB181&gt;p_dias_backlog_min,$AB181&lt;=p_dias_backlog_max))</f>
        <v/>
      </c>
      <c r="AE181" s="6" t="inlineStr"/>
      <c r="AF181" s="3">
        <f>IF($AE181="","",IF((IFERROR(INDEX('ASIGNACIONES'!$F$4:$F$339,MATCH($O181&amp;"|"&amp;$R181&amp;"|"&amp;$AE181,'ASIGNACIONES'!$J$4:$J$339,0)),""))=0,"",IFERROR(INDEX('ASIGNACIONES'!$F$4:$F$339,MATCH($O181&amp;"|"&amp;$R181&amp;"|"&amp;$AE181,'ASIGNACIONES'!$J$4:$J$339,0)),"")))</f>
        <v/>
      </c>
      <c r="AG181" s="13">
        <f>IF($AE181="","",SUMIFS('ORDENES'!$M$4:$M$1203,'ORDENES'!$AE$4:$AE$1203,$AE181,'ORDENES'!$O$4:$O$1203,$O181,'ORDENES'!$R$4:$R$1203,$R181))</f>
        <v/>
      </c>
      <c r="AH181" s="13">
        <f>IF($AG181="","",p_factor_productividad*IFERROR(INDEX('ASIGNACIONES'!$I$4:$I$339,MATCH($O181&amp;"|"&amp;$R181&amp;"|"&amp;$AE181,'ASIGNACIONES'!$J$4:$J$339,0)),0)-$AG181)</f>
        <v/>
      </c>
      <c r="AI181" s="10">
        <f>IF($A181="","",IFERROR(INDEX('2_IMPORTAR_EJECUCION'!$F$9:$F$1208,MATCH($AQ181,'2_IMPORTAR_EJECUCION'!$J$9:$J$1208,0)),0))</f>
        <v/>
      </c>
      <c r="AJ181" s="10">
        <f>IF($A181="","",MAX(0,IFERROR(INDEX('2_IMPORTAR_EJECUCION'!$H$9:$H$1208,MATCH($AQ181,'2_IMPORTAR_EJECUCION'!$J$9:$J$1208,0)),0)-$AI181))</f>
        <v/>
      </c>
      <c r="AK181" s="10">
        <f>IF($A181="","",$AI181+$AJ181)</f>
        <v/>
      </c>
      <c r="AL181" s="6" t="inlineStr"/>
      <c r="AM181" s="6" t="inlineStr"/>
      <c r="AN181" s="6" t="inlineStr"/>
      <c r="AO181" s="3">
        <f>IF($AN181="","",HYPERLINK(p_ruta_base_checklists&amp;$AN181,"abrir"))</f>
        <v/>
      </c>
      <c r="AP181" s="6" t="inlineStr"/>
      <c r="AQ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Reparación de falla — EQ-109</t>
        </is>
      </c>
      <c r="D182" s="3" t="inlineStr">
        <is>
          <t>Reparación de falla en EQ-109</t>
        </is>
      </c>
      <c r="E182" s="3" t="inlineStr">
        <is>
          <t>EQ-109</t>
        </is>
      </c>
      <c r="F182" s="3" t="inlineStr">
        <is>
          <t>CC-220</t>
        </is>
      </c>
      <c r="G182" s="3" t="inlineStr">
        <is>
          <t>PU-ELE</t>
        </is>
      </c>
      <c r="H182" s="3" t="inlineStr">
        <is>
          <t>ACT-03</t>
        </is>
      </c>
      <c r="I182" s="3" t="inlineStr">
        <is>
          <t>TIPO-C2</t>
        </is>
      </c>
      <c r="J182" s="11" t="n">
        <v>46094</v>
      </c>
      <c r="K182" s="3" t="n">
        <v>6</v>
      </c>
      <c r="L182" s="10" t="n">
        <v>240</v>
      </c>
      <c r="M182" s="3">
        <f>IF($A182="","",IFERROR(INDEX('AJUSTES'!$B$4:$B$303,MATCH($AQ182,'AJUSTES'!$A$4:$A$303,0)),IF($K182="","",$K182)))</f>
        <v/>
      </c>
      <c r="N182" s="3">
        <f>IF($A182="","",IFERROR(INDEX('CAT_ESTADOS_ERP'!$B$4:$B$7,MATCH(IFERROR(INDEX('2_IMPORTAR_EJECUCION'!$C$9:$C$1208,MATCH($AQ182,'2_IMPORTAR_EJECUCION'!$J$9:$J$1208,0)),""),'CAT_ESTADOS_ERP'!$A$4:$A$7,0)),"Pendiente"))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J182="","",IFERROR(INDEX('CALENDARIO'!$C$15:$C$214,MATCH(TEXT($J182,"yyyy-mm-dd")&amp;"|"&amp;$V182&amp;"|"&amp;$W182,'CALENDARIO'!$G$15:$G$214,0)),IFERROR(INDEX('CALENDARIO'!$C$15:$C$214,MATCH(TEXT($J182,"yyyy-mm-dd")&amp;"|"&amp;$V182&amp;"|",'CALENDARIO'!$G$15:$G$214,0)),IFERROR(INDEX('CALENDARIO'!$C$15:$C$214,MATCH(TEXT($J182,"yyyy-mm-dd")&amp;"||",'CALENDARIO'!$G$15:$G$214,0)),INDEX(patronHabil,WEEKDAY($J182,2))))))</f>
        <v/>
      </c>
      <c r="T182" s="3">
        <f>IF($I182="","",IFERROR(INDEX('CAT_TIPOS_OT'!$C$4:$C$7,MATCH($I182,'CAT_TIPOS_OT'!$A$4:$A$7,0)),"sin_clasificar"))</f>
        <v/>
      </c>
      <c r="U182" s="3">
        <f>IF($F182="","",IFERROR(INDEX('CAT_CENTROS_COSTO'!$F$4:$F$13,MATCH($F182,'CAT_CENTROS_COSTO'!$A$4:$A$13,0)),"(sin catálogo)"))</f>
        <v/>
      </c>
      <c r="V182" s="3">
        <f>IF($F182="","",IFERROR(INDEX('CAT_CENTROS_COSTO'!$D$4:$D$13,MATCH($F182,'CAT_CENTROS_COSTO'!$A$4:$A$13,0)),"(sin catálogo)"))</f>
        <v/>
      </c>
      <c r="W182" s="3">
        <f>IF($F182="","",IF((IFERROR(INDEX('CAT_CENTROS_COSTO'!$E$4:$E$13,MATCH($F182,'CAT_CENTROS_COSTO'!$A$4:$A$13,0)),""))&lt;&gt;"",IFERROR(INDEX('CAT_CENTROS_COSTO'!$E$4:$E$13,MATCH($F182,'CAT_CENTROS_COSTO'!$A$4:$A$13,0)),""),$V182))</f>
        <v/>
      </c>
      <c r="X182" s="3">
        <f>IF($F182="","",IFERROR(INDEX('CAT_CENTROS_COSTO'!$G$4:$G$13,MATCH($F182,'CAT_CENTROS_COSTO'!$A$4:$A$13,0)),"(sin catálogo)"))</f>
        <v/>
      </c>
      <c r="Y182" s="3">
        <f>IF($G182="","",IFERROR(INDEX('CAT_PUESTOS'!$B$4:$B$8,MATCH($G182,'CAT_PUESTOS'!$A$4:$A$8,0)),"(sin catálogo)"))</f>
        <v/>
      </c>
      <c r="Z182" s="3">
        <f>IF($H182="","",IFERROR(INDEX('CAT_ACTIVIDADES'!$B$4:$B$8,MATCH($H182,'CAT_ACTIVIDADES'!$A$4:$A$8,0)),"(sin catálogo)"))</f>
        <v/>
      </c>
      <c r="AA182" s="12">
        <f>IF($J182="","",TODAY()-$J182)</f>
        <v/>
      </c>
      <c r="AB182" s="12">
        <f>IF($J182="","",IF($J182&lt;=TODAY(),COUNTIFS(cal_fechas,"&gt;="&amp;$J182,cal_fechas,"&lt;"&amp;TODAY(),cal_habil,"sí"),-COUNTIFS(cal_fechas,"&gt;="&amp;TODAY(),cal_fechas,"&lt;"&amp;$J182,cal_habil,"sí")))</f>
        <v/>
      </c>
      <c r="AC182" s="3">
        <f>IF($AB182="","",IF($AB182&lt;0,"FUTURO",IF($AB182&gt;p_dias_backlog_max,"BACKLOG","MES CORRIENTE")))</f>
        <v/>
      </c>
      <c r="AD182" s="3">
        <f>IF($AB182="",FALSE,AND($AB182&gt;p_dias_backlog_min,$AB182&lt;=p_dias_backlog_max))</f>
        <v/>
      </c>
      <c r="AE182" s="6" t="inlineStr"/>
      <c r="AF182" s="3">
        <f>IF($AE182="","",IF((IFERROR(INDEX('ASIGNACIONES'!$F$4:$F$339,MATCH($O182&amp;"|"&amp;$R182&amp;"|"&amp;$AE182,'ASIGNACIONES'!$J$4:$J$339,0)),""))=0,"",IFERROR(INDEX('ASIGNACIONES'!$F$4:$F$339,MATCH($O182&amp;"|"&amp;$R182&amp;"|"&amp;$AE182,'ASIGNACIONES'!$J$4:$J$339,0)),"")))</f>
        <v/>
      </c>
      <c r="AG182" s="13">
        <f>IF($AE182="","",SUMIFS('ORDENES'!$M$4:$M$1203,'ORDENES'!$AE$4:$AE$1203,$AE182,'ORDENES'!$O$4:$O$1203,$O182,'ORDENES'!$R$4:$R$1203,$R182))</f>
        <v/>
      </c>
      <c r="AH182" s="13">
        <f>IF($AG182="","",p_factor_productividad*IFERROR(INDEX('ASIGNACIONES'!$I$4:$I$339,MATCH($O182&amp;"|"&amp;$R182&amp;"|"&amp;$AE182,'ASIGNACIONES'!$J$4:$J$339,0)),0)-$AG182)</f>
        <v/>
      </c>
      <c r="AI182" s="10">
        <f>IF($A182="","",IFERROR(INDEX('2_IMPORTAR_EJECUCION'!$F$9:$F$1208,MATCH($AQ182,'2_IMPORTAR_EJECUCION'!$J$9:$J$1208,0)),0))</f>
        <v/>
      </c>
      <c r="AJ182" s="10">
        <f>IF($A182="","",MAX(0,IFERROR(INDEX('2_IMPORTAR_EJECUCION'!$H$9:$H$1208,MATCH($AQ182,'2_IMPORTAR_EJECUCION'!$J$9:$J$1208,0)),0)-$AI182))</f>
        <v/>
      </c>
      <c r="AK182" s="10">
        <f>IF($A182="","",$AI182+$AJ182)</f>
        <v/>
      </c>
      <c r="AL182" s="6" t="inlineStr"/>
      <c r="AM182" s="6" t="inlineStr"/>
      <c r="AN182" s="6" t="inlineStr"/>
      <c r="AO182" s="3">
        <f>IF($AN182="","",HYPERLINK(p_ruta_base_checklists&amp;$AN182,"abrir"))</f>
        <v/>
      </c>
      <c r="AP182" s="6" t="inlineStr"/>
      <c r="AQ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EQ-110</t>
        </is>
      </c>
      <c r="D183" s="3" t="inlineStr">
        <is>
          <t>Inspección de rutina en EQ-110</t>
        </is>
      </c>
      <c r="E183" s="3" t="inlineStr">
        <is>
          <t>EQ-110</t>
        </is>
      </c>
      <c r="F183" s="3" t="inlineStr">
        <is>
          <t>CC-310</t>
        </is>
      </c>
      <c r="G183" s="3" t="inlineStr">
        <is>
          <t>PU-AUT</t>
        </is>
      </c>
      <c r="H183" s="3" t="inlineStr">
        <is>
          <t>ACT-01</t>
        </is>
      </c>
      <c r="I183" s="3" t="inlineStr">
        <is>
          <t>TIPO-P1</t>
        </is>
      </c>
      <c r="J183" s="11" t="n">
        <v>46087</v>
      </c>
      <c r="K183" s="3" t="n">
        <v>8</v>
      </c>
      <c r="L183" s="10" t="n">
        <v>200</v>
      </c>
      <c r="M183" s="3">
        <f>IF($A183="","",IFERROR(INDEX('AJUSTES'!$B$4:$B$303,MATCH($AQ183,'AJUSTES'!$A$4:$A$303,0)),IF($K183="","",$K183)))</f>
        <v/>
      </c>
      <c r="N183" s="3">
        <f>IF($A183="","",IFERROR(INDEX('CAT_ESTADOS_ERP'!$B$4:$B$7,MATCH(IFERROR(INDEX('2_IMPORTAR_EJECUCION'!$C$9:$C$1208,MATCH($AQ183,'2_IMPORTAR_EJECUCION'!$J$9:$J$1208,0)),""),'CAT_ESTADOS_ERP'!$A$4:$A$7,0)),"Pendiente"))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J183="","",IFERROR(INDEX('CALENDARIO'!$C$15:$C$214,MATCH(TEXT($J183,"yyyy-mm-dd")&amp;"|"&amp;$V183&amp;"|"&amp;$W183,'CALENDARIO'!$G$15:$G$214,0)),IFERROR(INDEX('CALENDARIO'!$C$15:$C$214,MATCH(TEXT($J183,"yyyy-mm-dd")&amp;"|"&amp;$V183&amp;"|",'CALENDARIO'!$G$15:$G$214,0)),IFERROR(INDEX('CALENDARIO'!$C$15:$C$214,MATCH(TEXT($J183,"yyyy-mm-dd")&amp;"||",'CALENDARIO'!$G$15:$G$214,0)),INDEX(patronHabil,WEEKDAY($J183,2))))))</f>
        <v/>
      </c>
      <c r="T183" s="3">
        <f>IF($I183="","",IFERROR(INDEX('CAT_TIPOS_OT'!$C$4:$C$7,MATCH($I183,'CAT_TIPOS_OT'!$A$4:$A$7,0)),"sin_clasificar"))</f>
        <v/>
      </c>
      <c r="U183" s="3">
        <f>IF($F183="","",IFERROR(INDEX('CAT_CENTROS_COSTO'!$F$4:$F$13,MATCH($F183,'CAT_CENTROS_COSTO'!$A$4:$A$13,0)),"(sin catálogo)"))</f>
        <v/>
      </c>
      <c r="V183" s="3">
        <f>IF($F183="","",IFERROR(INDEX('CAT_CENTROS_COSTO'!$D$4:$D$13,MATCH($F183,'CAT_CENTROS_COSTO'!$A$4:$A$13,0)),"(sin catálogo)"))</f>
        <v/>
      </c>
      <c r="W183" s="3">
        <f>IF($F183="","",IF((IFERROR(INDEX('CAT_CENTROS_COSTO'!$E$4:$E$13,MATCH($F183,'CAT_CENTROS_COSTO'!$A$4:$A$13,0)),""))&lt;&gt;"",IFERROR(INDEX('CAT_CENTROS_COSTO'!$E$4:$E$13,MATCH($F183,'CAT_CENTROS_COSTO'!$A$4:$A$13,0)),""),$V183))</f>
        <v/>
      </c>
      <c r="X183" s="3">
        <f>IF($F183="","",IFERROR(INDEX('CAT_CENTROS_COSTO'!$G$4:$G$13,MATCH($F183,'CAT_CENTROS_COSTO'!$A$4:$A$13,0)),"(sin catálogo)"))</f>
        <v/>
      </c>
      <c r="Y183" s="3">
        <f>IF($G183="","",IFERROR(INDEX('CAT_PUESTOS'!$B$4:$B$8,MATCH($G183,'CAT_PUESTOS'!$A$4:$A$8,0)),"(sin catálogo)"))</f>
        <v/>
      </c>
      <c r="Z183" s="3">
        <f>IF($H183="","",IFERROR(INDEX('CAT_ACTIVIDADES'!$B$4:$B$8,MATCH($H183,'CAT_ACTIVIDADES'!$A$4:$A$8,0)),"(sin catálogo)"))</f>
        <v/>
      </c>
      <c r="AA183" s="12">
        <f>IF($J183="","",TODAY()-$J183)</f>
        <v/>
      </c>
      <c r="AB183" s="12">
        <f>IF($J183="","",IF($J183&lt;=TODAY(),COUNTIFS(cal_fechas,"&gt;="&amp;$J183,cal_fechas,"&lt;"&amp;TODAY(),cal_habil,"sí"),-COUNTIFS(cal_fechas,"&gt;="&amp;TODAY(),cal_fechas,"&lt;"&amp;$J183,cal_habil,"sí")))</f>
        <v/>
      </c>
      <c r="AC183" s="3">
        <f>IF($AB183="","",IF($AB183&lt;0,"FUTURO",IF($AB183&gt;p_dias_backlog_max,"BACKLOG","MES CORRIENTE")))</f>
        <v/>
      </c>
      <c r="AD183" s="3">
        <f>IF($AB183="",FALSE,AND($AB183&gt;p_dias_backlog_min,$AB183&lt;=p_dias_backlog_max))</f>
        <v/>
      </c>
      <c r="AE183" s="6" t="inlineStr"/>
      <c r="AF183" s="3">
        <f>IF($AE183="","",IF((IFERROR(INDEX('ASIGNACIONES'!$F$4:$F$339,MATCH($O183&amp;"|"&amp;$R183&amp;"|"&amp;$AE183,'ASIGNACIONES'!$J$4:$J$339,0)),""))=0,"",IFERROR(INDEX('ASIGNACIONES'!$F$4:$F$339,MATCH($O183&amp;"|"&amp;$R183&amp;"|"&amp;$AE183,'ASIGNACIONES'!$J$4:$J$339,0)),"")))</f>
        <v/>
      </c>
      <c r="AG183" s="13">
        <f>IF($AE183="","",SUMIFS('ORDENES'!$M$4:$M$1203,'ORDENES'!$AE$4:$AE$1203,$AE183,'ORDENES'!$O$4:$O$1203,$O183,'ORDENES'!$R$4:$R$1203,$R183))</f>
        <v/>
      </c>
      <c r="AH183" s="13">
        <f>IF($AG183="","",p_factor_productividad*IFERROR(INDEX('ASIGNACIONES'!$I$4:$I$339,MATCH($O183&amp;"|"&amp;$R183&amp;"|"&amp;$AE183,'ASIGNACIONES'!$J$4:$J$339,0)),0)-$AG183)</f>
        <v/>
      </c>
      <c r="AI183" s="10">
        <f>IF($A183="","",IFERROR(INDEX('2_IMPORTAR_EJECUCION'!$F$9:$F$1208,MATCH($AQ183,'2_IMPORTAR_EJECUCION'!$J$9:$J$1208,0)),0))</f>
        <v/>
      </c>
      <c r="AJ183" s="10">
        <f>IF($A183="","",MAX(0,IFERROR(INDEX('2_IMPORTAR_EJECUCION'!$H$9:$H$1208,MATCH($AQ183,'2_IMPORTAR_EJECUCION'!$J$9:$J$1208,0)),0)-$AI183))</f>
        <v/>
      </c>
      <c r="AK183" s="10">
        <f>IF($A183="","",$AI183+$AJ183)</f>
        <v/>
      </c>
      <c r="AL183" s="6" t="inlineStr"/>
      <c r="AM183" s="6" t="inlineStr"/>
      <c r="AN183" s="6" t="inlineStr"/>
      <c r="AO183" s="3">
        <f>IF($AN183="","",HYPERLINK(p_ruta_base_checklists&amp;$AN183,"abrir"))</f>
        <v/>
      </c>
      <c r="AP183" s="6" t="inlineStr"/>
      <c r="AQ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PU-MEC</t>
        </is>
      </c>
      <c r="H184" s="3" t="inlineStr">
        <is>
          <t>ACT-02</t>
        </is>
      </c>
      <c r="I184" s="3" t="inlineStr">
        <is>
          <t>TIPO-P2</t>
        </is>
      </c>
      <c r="J184" s="11" t="n">
        <v>46265</v>
      </c>
      <c r="K184" s="3" t="n">
        <v>6</v>
      </c>
      <c r="L184" s="10" t="n">
        <v>150</v>
      </c>
      <c r="M184" s="3">
        <f>IF($A184="","",IFERROR(INDEX('AJUSTES'!$B$4:$B$303,MATCH($AQ184,'AJUSTES'!$A$4:$A$303,0)),IF($K184="","",$K184)))</f>
        <v/>
      </c>
      <c r="N184" s="3">
        <f>IF($A184="","",IFERROR(INDEX('CAT_ESTADOS_ERP'!$B$4:$B$7,MATCH(IFERROR(INDEX('2_IMPORTAR_EJECUCION'!$C$9:$C$1208,MATCH($AQ184,'2_IMPORTAR_EJECUCION'!$J$9:$J$1208,0)),""),'CAT_ESTADOS_ERP'!$A$4:$A$7,0)),"Pendiente"))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J184="","",IFERROR(INDEX('CALENDARIO'!$C$15:$C$214,MATCH(TEXT($J184,"yyyy-mm-dd")&amp;"|"&amp;$V184&amp;"|"&amp;$W184,'CALENDARIO'!$G$15:$G$214,0)),IFERROR(INDEX('CALENDARIO'!$C$15:$C$214,MATCH(TEXT($J184,"yyyy-mm-dd")&amp;"|"&amp;$V184&amp;"|",'CALENDARIO'!$G$15:$G$214,0)),IFERROR(INDEX('CALENDARIO'!$C$15:$C$214,MATCH(TEXT($J184,"yyyy-mm-dd")&amp;"||",'CALENDARIO'!$G$15:$G$214,0)),INDEX(patronHabil,WEEKDAY($J184,2))))))</f>
        <v/>
      </c>
      <c r="T184" s="3">
        <f>IF($I184="","",IFERROR(INDEX('CAT_TIPOS_OT'!$C$4:$C$7,MATCH($I184,'CAT_TIPOS_OT'!$A$4:$A$7,0)),"sin_clasificar"))</f>
        <v/>
      </c>
      <c r="U184" s="3">
        <f>IF($F184="","",IFERROR(INDEX('CAT_CENTROS_COSTO'!$F$4:$F$13,MATCH($F184,'CAT_CENTROS_COSTO'!$A$4:$A$13,0)),"(sin catálogo)"))</f>
        <v/>
      </c>
      <c r="V184" s="3">
        <f>IF($F184="","",IFERROR(INDEX('CAT_CENTROS_COSTO'!$D$4:$D$13,MATCH($F184,'CAT_CENTROS_COSTO'!$A$4:$A$13,0)),"(sin catálogo)"))</f>
        <v/>
      </c>
      <c r="W184" s="3">
        <f>IF($F184="","",IF((IFERROR(INDEX('CAT_CENTROS_COSTO'!$E$4:$E$13,MATCH($F184,'CAT_CENTROS_COSTO'!$A$4:$A$13,0)),""))&lt;&gt;"",IFERROR(INDEX('CAT_CENTROS_COSTO'!$E$4:$E$13,MATCH($F184,'CAT_CENTROS_COSTO'!$A$4:$A$13,0)),""),$V184))</f>
        <v/>
      </c>
      <c r="X184" s="3">
        <f>IF($F184="","",IFERROR(INDEX('CAT_CENTROS_COSTO'!$G$4:$G$13,MATCH($F184,'CAT_CENTROS_COSTO'!$A$4:$A$13,0)),"(sin catálogo)"))</f>
        <v/>
      </c>
      <c r="Y184" s="3">
        <f>IF($G184="","",IFERROR(INDEX('CAT_PUESTOS'!$B$4:$B$8,MATCH($G184,'CAT_PUESTOS'!$A$4:$A$8,0)),"(sin catálogo)"))</f>
        <v/>
      </c>
      <c r="Z184" s="3">
        <f>IF($H184="","",IFERROR(INDEX('CAT_ACTIVIDADES'!$B$4:$B$8,MATCH($H184,'CAT_ACTIVIDADES'!$A$4:$A$8,0)),"(sin catálogo)"))</f>
        <v/>
      </c>
      <c r="AA184" s="12">
        <f>IF($J184="","",TODAY()-$J184)</f>
        <v/>
      </c>
      <c r="AB184" s="12">
        <f>IF($J184="","",IF($J184&lt;=TODAY(),COUNTIFS(cal_fechas,"&gt;="&amp;$J184,cal_fechas,"&lt;"&amp;TODAY(),cal_habil,"sí"),-COUNTIFS(cal_fechas,"&gt;="&amp;TODAY(),cal_fechas,"&lt;"&amp;$J184,cal_habil,"sí")))</f>
        <v/>
      </c>
      <c r="AC184" s="3">
        <f>IF($AB184="","",IF($AB184&lt;0,"FUTURO",IF($AB184&gt;p_dias_backlog_max,"BACKLOG","MES CORRIENTE")))</f>
        <v/>
      </c>
      <c r="AD184" s="3">
        <f>IF($AB184="",FALSE,AND($AB184&gt;p_dias_backlog_min,$AB184&lt;=p_dias_backlog_max))</f>
        <v/>
      </c>
      <c r="AE184" s="6" t="inlineStr"/>
      <c r="AF184" s="3">
        <f>IF($AE184="","",IF((IFERROR(INDEX('ASIGNACIONES'!$F$4:$F$339,MATCH($O184&amp;"|"&amp;$R184&amp;"|"&amp;$AE184,'ASIGNACIONES'!$J$4:$J$339,0)),""))=0,"",IFERROR(INDEX('ASIGNACIONES'!$F$4:$F$339,MATCH($O184&amp;"|"&amp;$R184&amp;"|"&amp;$AE184,'ASIGNACIONES'!$J$4:$J$339,0)),"")))</f>
        <v/>
      </c>
      <c r="AG184" s="13">
        <f>IF($AE184="","",SUMIFS('ORDENES'!$M$4:$M$1203,'ORDENES'!$AE$4:$AE$1203,$AE184,'ORDENES'!$O$4:$O$1203,$O184,'ORDENES'!$R$4:$R$1203,$R184))</f>
        <v/>
      </c>
      <c r="AH184" s="13">
        <f>IF($AG184="","",p_factor_productividad*IFERROR(INDEX('ASIGNACIONES'!$I$4:$I$339,MATCH($O184&amp;"|"&amp;$R184&amp;"|"&amp;$AE184,'ASIGNACIONES'!$J$4:$J$339,0)),0)-$AG184)</f>
        <v/>
      </c>
      <c r="AI184" s="10">
        <f>IF($A184="","",IFERROR(INDEX('2_IMPORTAR_EJECUCION'!$F$9:$F$1208,MATCH($AQ184,'2_IMPORTAR_EJECUCION'!$J$9:$J$1208,0)),0))</f>
        <v/>
      </c>
      <c r="AJ184" s="10">
        <f>IF($A184="","",MAX(0,IFERROR(INDEX('2_IMPORTAR_EJECUCION'!$H$9:$H$1208,MATCH($AQ184,'2_IMPORTAR_EJECUCION'!$J$9:$J$1208,0)),0)-$AI184))</f>
        <v/>
      </c>
      <c r="AK184" s="10">
        <f>IF($A184="","",$AI184+$AJ184)</f>
        <v/>
      </c>
      <c r="AL184" s="6" t="inlineStr"/>
      <c r="AM184" s="6" t="inlineStr"/>
      <c r="AN184" s="6" t="inlineStr"/>
      <c r="AO184" s="3">
        <f>IF($AN184="","",HYPERLINK(p_ruta_base_checklists&amp;$AN184,"abrir"))</f>
        <v/>
      </c>
      <c r="AP184" s="6" t="inlineStr"/>
      <c r="AQ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PU-MEC</t>
        </is>
      </c>
      <c r="H185" s="3" t="inlineStr">
        <is>
          <t>ACT-04</t>
        </is>
      </c>
      <c r="I185" s="3" t="inlineStr">
        <is>
          <t>TIPO-P1</t>
        </is>
      </c>
      <c r="J185" s="11" t="n">
        <v>46265</v>
      </c>
      <c r="K185" s="3" t="n">
        <v>6</v>
      </c>
      <c r="L185" s="10" t="n">
        <v>150</v>
      </c>
      <c r="M185" s="3">
        <f>IF($A185="","",IFERROR(INDEX('AJUSTES'!$B$4:$B$303,MATCH($AQ185,'AJUSTES'!$A$4:$A$303,0)),IF($K185="","",$K185)))</f>
        <v/>
      </c>
      <c r="N185" s="3">
        <f>IF($A185="","",IFERROR(INDEX('CAT_ESTADOS_ERP'!$B$4:$B$7,MATCH(IFERROR(INDEX('2_IMPORTAR_EJECUCION'!$C$9:$C$1208,MATCH($AQ185,'2_IMPORTAR_EJECUCION'!$J$9:$J$1208,0)),""),'CAT_ESTADOS_ERP'!$A$4:$A$7,0)),"Pendiente"))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J185="","",IFERROR(INDEX('CALENDARIO'!$C$15:$C$214,MATCH(TEXT($J185,"yyyy-mm-dd")&amp;"|"&amp;$V185&amp;"|"&amp;$W185,'CALENDARIO'!$G$15:$G$214,0)),IFERROR(INDEX('CALENDARIO'!$C$15:$C$214,MATCH(TEXT($J185,"yyyy-mm-dd")&amp;"|"&amp;$V185&amp;"|",'CALENDARIO'!$G$15:$G$214,0)),IFERROR(INDEX('CALENDARIO'!$C$15:$C$214,MATCH(TEXT($J185,"yyyy-mm-dd")&amp;"||",'CALENDARIO'!$G$15:$G$214,0)),INDEX(patronHabil,WEEKDAY($J185,2))))))</f>
        <v/>
      </c>
      <c r="T185" s="3">
        <f>IF($I185="","",IFERROR(INDEX('CAT_TIPOS_OT'!$C$4:$C$7,MATCH($I185,'CAT_TIPOS_OT'!$A$4:$A$7,0)),"sin_clasificar"))</f>
        <v/>
      </c>
      <c r="U185" s="3">
        <f>IF($F185="","",IFERROR(INDEX('CAT_CENTROS_COSTO'!$F$4:$F$13,MATCH($F185,'CAT_CENTROS_COSTO'!$A$4:$A$13,0)),"(sin catálogo)"))</f>
        <v/>
      </c>
      <c r="V185" s="3">
        <f>IF($F185="","",IFERROR(INDEX('CAT_CENTROS_COSTO'!$D$4:$D$13,MATCH($F185,'CAT_CENTROS_COSTO'!$A$4:$A$13,0)),"(sin catálogo)"))</f>
        <v/>
      </c>
      <c r="W185" s="3">
        <f>IF($F185="","",IF((IFERROR(INDEX('CAT_CENTROS_COSTO'!$E$4:$E$13,MATCH($F185,'CAT_CENTROS_COSTO'!$A$4:$A$13,0)),""))&lt;&gt;"",IFERROR(INDEX('CAT_CENTROS_COSTO'!$E$4:$E$13,MATCH($F185,'CAT_CENTROS_COSTO'!$A$4:$A$13,0)),""),$V185))</f>
        <v/>
      </c>
      <c r="X185" s="3">
        <f>IF($F185="","",IFERROR(INDEX('CAT_CENTROS_COSTO'!$G$4:$G$13,MATCH($F185,'CAT_CENTROS_COSTO'!$A$4:$A$13,0)),"(sin catálogo)"))</f>
        <v/>
      </c>
      <c r="Y185" s="3">
        <f>IF($G185="","",IFERROR(INDEX('CAT_PUESTOS'!$B$4:$B$8,MATCH($G185,'CAT_PUESTOS'!$A$4:$A$8,0)),"(sin catálogo)"))</f>
        <v/>
      </c>
      <c r="Z185" s="3">
        <f>IF($H185="","",IFERROR(INDEX('CAT_ACTIVIDADES'!$B$4:$B$8,MATCH($H185,'CAT_ACTIVIDADES'!$A$4:$A$8,0)),"(sin catálogo)"))</f>
        <v/>
      </c>
      <c r="AA185" s="12">
        <f>IF($J185="","",TODAY()-$J185)</f>
        <v/>
      </c>
      <c r="AB185" s="12">
        <f>IF($J185="","",IF($J185&lt;=TODAY(),COUNTIFS(cal_fechas,"&gt;="&amp;$J185,cal_fechas,"&lt;"&amp;TODAY(),cal_habil,"sí"),-COUNTIFS(cal_fechas,"&gt;="&amp;TODAY(),cal_fechas,"&lt;"&amp;$J185,cal_habil,"sí")))</f>
        <v/>
      </c>
      <c r="AC185" s="3">
        <f>IF($AB185="","",IF($AB185&lt;0,"FUTURO",IF($AB185&gt;p_dias_backlog_max,"BACKLOG","MES CORRIENTE")))</f>
        <v/>
      </c>
      <c r="AD185" s="3">
        <f>IF($AB185="",FALSE,AND($AB185&gt;p_dias_backlog_min,$AB185&lt;=p_dias_backlog_max))</f>
        <v/>
      </c>
      <c r="AE185" s="6" t="inlineStr"/>
      <c r="AF185" s="3">
        <f>IF($AE185="","",IF((IFERROR(INDEX('ASIGNACIONES'!$F$4:$F$339,MATCH($O185&amp;"|"&amp;$R185&amp;"|"&amp;$AE185,'ASIGNACIONES'!$J$4:$J$339,0)),""))=0,"",IFERROR(INDEX('ASIGNACIONES'!$F$4:$F$339,MATCH($O185&amp;"|"&amp;$R185&amp;"|"&amp;$AE185,'ASIGNACIONES'!$J$4:$J$339,0)),"")))</f>
        <v/>
      </c>
      <c r="AG185" s="13">
        <f>IF($AE185="","",SUMIFS('ORDENES'!$M$4:$M$1203,'ORDENES'!$AE$4:$AE$1203,$AE185,'ORDENES'!$O$4:$O$1203,$O185,'ORDENES'!$R$4:$R$1203,$R185))</f>
        <v/>
      </c>
      <c r="AH185" s="13">
        <f>IF($AG185="","",p_factor_productividad*IFERROR(INDEX('ASIGNACIONES'!$I$4:$I$339,MATCH($O185&amp;"|"&amp;$R185&amp;"|"&amp;$AE185,'ASIGNACIONES'!$J$4:$J$339,0)),0)-$AG185)</f>
        <v/>
      </c>
      <c r="AI185" s="10">
        <f>IF($A185="","",IFERROR(INDEX('2_IMPORTAR_EJECUCION'!$F$9:$F$1208,MATCH($AQ185,'2_IMPORTAR_EJECUCION'!$J$9:$J$1208,0)),0))</f>
        <v/>
      </c>
      <c r="AJ185" s="10">
        <f>IF($A185="","",MAX(0,IFERROR(INDEX('2_IMPORTAR_EJECUCION'!$H$9:$H$1208,MATCH($AQ185,'2_IMPORTAR_EJECUCION'!$J$9:$J$1208,0)),0)-$AI185))</f>
        <v/>
      </c>
      <c r="AK185" s="10">
        <f>IF($A185="","",$AI185+$AJ185)</f>
        <v/>
      </c>
      <c r="AL185" s="6" t="inlineStr"/>
      <c r="AM185" s="6" t="inlineStr"/>
      <c r="AN185" s="6" t="inlineStr"/>
      <c r="AO185" s="3">
        <f>IF($AN185="","",HYPERLINK(p_ruta_base_checklists&amp;$AN185,"abrir"))</f>
        <v/>
      </c>
      <c r="AP185" s="6" t="inlineStr"/>
      <c r="AQ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46265</v>
      </c>
      <c r="K186" s="3" t="n">
        <v>6</v>
      </c>
      <c r="L186" s="10" t="n">
        <v>150</v>
      </c>
      <c r="M186" s="3">
        <f>IF($A186="","",IFERROR(INDEX('AJUSTES'!$B$4:$B$303,MATCH($AQ186,'AJUSTES'!$A$4:$A$303,0)),IF($K186="","",$K186)))</f>
        <v/>
      </c>
      <c r="N186" s="3">
        <f>IF($A186="","",IFERROR(INDEX('CAT_ESTADOS_ERP'!$B$4:$B$7,MATCH(IFERROR(INDEX('2_IMPORTAR_EJECUCION'!$C$9:$C$1208,MATCH($AQ186,'2_IMPORTAR_EJECUCION'!$J$9:$J$1208,0)),""),'CAT_ESTADOS_ERP'!$A$4:$A$7,0)),"Pendiente"))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J186="","",IFERROR(INDEX('CALENDARIO'!$C$15:$C$214,MATCH(TEXT($J186,"yyyy-mm-dd")&amp;"|"&amp;$V186&amp;"|"&amp;$W186,'CALENDARIO'!$G$15:$G$214,0)),IFERROR(INDEX('CALENDARIO'!$C$15:$C$214,MATCH(TEXT($J186,"yyyy-mm-dd")&amp;"|"&amp;$V186&amp;"|",'CALENDARIO'!$G$15:$G$214,0)),IFERROR(INDEX('CALENDARIO'!$C$15:$C$214,MATCH(TEXT($J186,"yyyy-mm-dd")&amp;"||",'CALENDARIO'!$G$15:$G$214,0)),INDEX(patronHabil,WEEKDAY($J186,2))))))</f>
        <v/>
      </c>
      <c r="T186" s="3">
        <f>IF($I186="","",IFERROR(INDEX('CAT_TIPOS_OT'!$C$4:$C$7,MATCH($I186,'CAT_TIPOS_OT'!$A$4:$A$7,0)),"sin_clasificar"))</f>
        <v/>
      </c>
      <c r="U186" s="3">
        <f>IF($F186="","",IFERROR(INDEX('CAT_CENTROS_COSTO'!$F$4:$F$13,MATCH($F186,'CAT_CENTROS_COSTO'!$A$4:$A$13,0)),"(sin catálogo)"))</f>
        <v/>
      </c>
      <c r="V186" s="3">
        <f>IF($F186="","",IFERROR(INDEX('CAT_CENTROS_COSTO'!$D$4:$D$13,MATCH($F186,'CAT_CENTROS_COSTO'!$A$4:$A$13,0)),"(sin catálogo)"))</f>
        <v/>
      </c>
      <c r="W186" s="3">
        <f>IF($F186="","",IF((IFERROR(INDEX('CAT_CENTROS_COSTO'!$E$4:$E$13,MATCH($F186,'CAT_CENTROS_COSTO'!$A$4:$A$13,0)),""))&lt;&gt;"",IFERROR(INDEX('CAT_CENTROS_COSTO'!$E$4:$E$13,MATCH($F186,'CAT_CENTROS_COSTO'!$A$4:$A$13,0)),""),$V186))</f>
        <v/>
      </c>
      <c r="X186" s="3">
        <f>IF($F186="","",IFERROR(INDEX('CAT_CENTROS_COSTO'!$G$4:$G$13,MATCH($F186,'CAT_CENTROS_COSTO'!$A$4:$A$13,0)),"(sin catálogo)"))</f>
        <v/>
      </c>
      <c r="Y186" s="3">
        <f>IF($G186="","",IFERROR(INDEX('CAT_PUESTOS'!$B$4:$B$8,MATCH($G186,'CAT_PUESTOS'!$A$4:$A$8,0)),"(sin catálogo)"))</f>
        <v/>
      </c>
      <c r="Z186" s="3">
        <f>IF($H186="","",IFERROR(INDEX('CAT_ACTIVIDADES'!$B$4:$B$8,MATCH($H186,'CAT_ACTIVIDADES'!$A$4:$A$8,0)),"(sin catálogo)"))</f>
        <v/>
      </c>
      <c r="AA186" s="12">
        <f>IF($J186="","",TODAY()-$J186)</f>
        <v/>
      </c>
      <c r="AB186" s="12">
        <f>IF($J186="","",IF($J186&lt;=TODAY(),COUNTIFS(cal_fechas,"&gt;="&amp;$J186,cal_fechas,"&lt;"&amp;TODAY(),cal_habil,"sí"),-COUNTIFS(cal_fechas,"&gt;="&amp;TODAY(),cal_fechas,"&lt;"&amp;$J186,cal_habil,"sí")))</f>
        <v/>
      </c>
      <c r="AC186" s="3">
        <f>IF($AB186="","",IF($AB186&lt;0,"FUTURO",IF($AB186&gt;p_dias_backlog_max,"BACKLOG","MES CORRIENTE")))</f>
        <v/>
      </c>
      <c r="AD186" s="3">
        <f>IF($AB186="",FALSE,AND($AB186&gt;p_dias_backlog_min,$AB186&lt;=p_dias_backlog_max))</f>
        <v/>
      </c>
      <c r="AE186" s="6" t="inlineStr"/>
      <c r="AF186" s="3">
        <f>IF($AE186="","",IF((IFERROR(INDEX('ASIGNACIONES'!$F$4:$F$339,MATCH($O186&amp;"|"&amp;$R186&amp;"|"&amp;$AE186,'ASIGNACIONES'!$J$4:$J$339,0)),""))=0,"",IFERROR(INDEX('ASIGNACIONES'!$F$4:$F$339,MATCH($O186&amp;"|"&amp;$R186&amp;"|"&amp;$AE186,'ASIGNACIONES'!$J$4:$J$339,0)),"")))</f>
        <v/>
      </c>
      <c r="AG186" s="13">
        <f>IF($AE186="","",SUMIFS('ORDENES'!$M$4:$M$1203,'ORDENES'!$AE$4:$AE$1203,$AE186,'ORDENES'!$O$4:$O$1203,$O186,'ORDENES'!$R$4:$R$1203,$R186))</f>
        <v/>
      </c>
      <c r="AH186" s="13">
        <f>IF($AG186="","",p_factor_productividad*IFERROR(INDEX('ASIGNACIONES'!$I$4:$I$339,MATCH($O186&amp;"|"&amp;$R186&amp;"|"&amp;$AE186,'ASIGNACIONES'!$J$4:$J$339,0)),0)-$AG186)</f>
        <v/>
      </c>
      <c r="AI186" s="10">
        <f>IF($A186="","",IFERROR(INDEX('2_IMPORTAR_EJECUCION'!$F$9:$F$1208,MATCH($AQ186,'2_IMPORTAR_EJECUCION'!$J$9:$J$1208,0)),0))</f>
        <v/>
      </c>
      <c r="AJ186" s="10">
        <f>IF($A186="","",MAX(0,IFERROR(INDEX('2_IMPORTAR_EJECUCION'!$H$9:$H$1208,MATCH($AQ186,'2_IMPORTAR_EJECUCION'!$J$9:$J$1208,0)),0)-$AI186))</f>
        <v/>
      </c>
      <c r="AK186" s="10">
        <f>IF($A186="","",$AI186+$AJ186)</f>
        <v/>
      </c>
      <c r="AL186" s="6" t="inlineStr"/>
      <c r="AM186" s="6" t="inlineStr"/>
      <c r="AN186" s="6" t="inlineStr"/>
      <c r="AO186" s="3">
        <f>IF($AN186="","",HYPERLINK(p_ruta_base_checklists&amp;$AN186,"abrir"))</f>
        <v/>
      </c>
      <c r="AP186" s="6" t="inlineStr"/>
      <c r="AQ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46325</v>
      </c>
      <c r="K187" s="3" t="n">
        <v>6</v>
      </c>
      <c r="L187" s="10" t="n">
        <v>150</v>
      </c>
      <c r="M187" s="3">
        <f>IF($A187="","",IFERROR(INDEX('AJUSTES'!$B$4:$B$303,MATCH($AQ187,'AJUSTES'!$A$4:$A$303,0)),IF($K187="","",$K187)))</f>
        <v/>
      </c>
      <c r="N187" s="3">
        <f>IF($A187="","",IFERROR(INDEX('CAT_ESTADOS_ERP'!$B$4:$B$7,MATCH(IFERROR(INDEX('2_IMPORTAR_EJECUCION'!$C$9:$C$1208,MATCH($AQ187,'2_IMPORTAR_EJECUCION'!$J$9:$J$1208,0)),""),'CAT_ESTADOS_ERP'!$A$4:$A$7,0)),"Pendiente"))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J187="","",IFERROR(INDEX('CALENDARIO'!$C$15:$C$214,MATCH(TEXT($J187,"yyyy-mm-dd")&amp;"|"&amp;$V187&amp;"|"&amp;$W187,'CALENDARIO'!$G$15:$G$214,0)),IFERROR(INDEX('CALENDARIO'!$C$15:$C$214,MATCH(TEXT($J187,"yyyy-mm-dd")&amp;"|"&amp;$V187&amp;"|",'CALENDARIO'!$G$15:$G$214,0)),IFERROR(INDEX('CALENDARIO'!$C$15:$C$214,MATCH(TEXT($J187,"yyyy-mm-dd")&amp;"||",'CALENDARIO'!$G$15:$G$214,0)),INDEX(patronHabil,WEEKDAY($J187,2))))))</f>
        <v/>
      </c>
      <c r="T187" s="3">
        <f>IF($I187="","",IFERROR(INDEX('CAT_TIPOS_OT'!$C$4:$C$7,MATCH($I187,'CAT_TIPOS_OT'!$A$4:$A$7,0)),"sin_clasificar"))</f>
        <v/>
      </c>
      <c r="U187" s="3">
        <f>IF($F187="","",IFERROR(INDEX('CAT_CENTROS_COSTO'!$F$4:$F$13,MATCH($F187,'CAT_CENTROS_COSTO'!$A$4:$A$13,0)),"(sin catálogo)"))</f>
        <v/>
      </c>
      <c r="V187" s="3">
        <f>IF($F187="","",IFERROR(INDEX('CAT_CENTROS_COSTO'!$D$4:$D$13,MATCH($F187,'CAT_CENTROS_COSTO'!$A$4:$A$13,0)),"(sin catálogo)"))</f>
        <v/>
      </c>
      <c r="W187" s="3">
        <f>IF($F187="","",IF((IFERROR(INDEX('CAT_CENTROS_COSTO'!$E$4:$E$13,MATCH($F187,'CAT_CENTROS_COSTO'!$A$4:$A$13,0)),""))&lt;&gt;"",IFERROR(INDEX('CAT_CENTROS_COSTO'!$E$4:$E$13,MATCH($F187,'CAT_CENTROS_COSTO'!$A$4:$A$13,0)),""),$V187))</f>
        <v/>
      </c>
      <c r="X187" s="3">
        <f>IF($F187="","",IFERROR(INDEX('CAT_CENTROS_COSTO'!$G$4:$G$13,MATCH($F187,'CAT_CENTROS_COSTO'!$A$4:$A$13,0)),"(sin catálogo)"))</f>
        <v/>
      </c>
      <c r="Y187" s="3">
        <f>IF($G187="","",IFERROR(INDEX('CAT_PUESTOS'!$B$4:$B$8,MATCH($G187,'CAT_PUESTOS'!$A$4:$A$8,0)),"(sin catálogo)"))</f>
        <v/>
      </c>
      <c r="Z187" s="3">
        <f>IF($H187="","",IFERROR(INDEX('CAT_ACTIVIDADES'!$B$4:$B$8,MATCH($H187,'CAT_ACTIVIDADES'!$A$4:$A$8,0)),"(sin catálogo)"))</f>
        <v/>
      </c>
      <c r="AA187" s="12">
        <f>IF($J187="","",TODAY()-$J187)</f>
        <v/>
      </c>
      <c r="AB187" s="12">
        <f>IF($J187="","",IF($J187&lt;=TODAY(),COUNTIFS(cal_fechas,"&gt;="&amp;$J187,cal_fechas,"&lt;"&amp;TODAY(),cal_habil,"sí"),-COUNTIFS(cal_fechas,"&gt;="&amp;TODAY(),cal_fechas,"&lt;"&amp;$J187,cal_habil,"sí")))</f>
        <v/>
      </c>
      <c r="AC187" s="3">
        <f>IF($AB187="","",IF($AB187&lt;0,"FUTURO",IF($AB187&gt;p_dias_backlog_max,"BACKLOG","MES CORRIENTE")))</f>
        <v/>
      </c>
      <c r="AD187" s="3">
        <f>IF($AB187="",FALSE,AND($AB187&gt;p_dias_backlog_min,$AB187&lt;=p_dias_backlog_max))</f>
        <v/>
      </c>
      <c r="AE187" s="6" t="inlineStr"/>
      <c r="AF187" s="3">
        <f>IF($AE187="","",IF((IFERROR(INDEX('ASIGNACIONES'!$F$4:$F$339,MATCH($O187&amp;"|"&amp;$R187&amp;"|"&amp;$AE187,'ASIGNACIONES'!$J$4:$J$339,0)),""))=0,"",IFERROR(INDEX('ASIGNACIONES'!$F$4:$F$339,MATCH($O187&amp;"|"&amp;$R187&amp;"|"&amp;$AE187,'ASIGNACIONES'!$J$4:$J$339,0)),"")))</f>
        <v/>
      </c>
      <c r="AG187" s="13">
        <f>IF($AE187="","",SUMIFS('ORDENES'!$M$4:$M$1203,'ORDENES'!$AE$4:$AE$1203,$AE187,'ORDENES'!$O$4:$O$1203,$O187,'ORDENES'!$R$4:$R$1203,$R187))</f>
        <v/>
      </c>
      <c r="AH187" s="13">
        <f>IF($AG187="","",p_factor_productividad*IFERROR(INDEX('ASIGNACIONES'!$I$4:$I$339,MATCH($O187&amp;"|"&amp;$R187&amp;"|"&amp;$AE187,'ASIGNACIONES'!$J$4:$J$339,0)),0)-$AG187)</f>
        <v/>
      </c>
      <c r="AI187" s="10">
        <f>IF($A187="","",IFERROR(INDEX('2_IMPORTAR_EJECUCION'!$F$9:$F$1208,MATCH($AQ187,'2_IMPORTAR_EJECUCION'!$J$9:$J$1208,0)),0))</f>
        <v/>
      </c>
      <c r="AJ187" s="10">
        <f>IF($A187="","",MAX(0,IFERROR(INDEX('2_IMPORTAR_EJECUCION'!$H$9:$H$1208,MATCH($AQ187,'2_IMPORTAR_EJECUCION'!$J$9:$J$1208,0)),0)-$AI187))</f>
        <v/>
      </c>
      <c r="AK187" s="10">
        <f>IF($A187="","",$AI187+$AJ187)</f>
        <v/>
      </c>
      <c r="AL187" s="6" t="inlineStr"/>
      <c r="AM187" s="6" t="inlineStr"/>
      <c r="AN187" s="6" t="inlineStr"/>
      <c r="AO187" s="3">
        <f>IF($AN187="","",HYPERLINK(p_ruta_base_checklists&amp;$AN187,"abrir"))</f>
        <v/>
      </c>
      <c r="AP187" s="6" t="inlineStr"/>
      <c r="AQ187" s="3">
        <f>IF($A187="","",$A187&amp;IF($B187="","0010",$B187))</f>
        <v/>
      </c>
    </row>
    <row r="188">
      <c r="A188" s="3" t="inlineStr">
        <is>
          <t>OT-000185</t>
        </is>
      </c>
      <c r="B188" s="3" t="inlineStr">
        <is>
          <t>0010</t>
        </is>
      </c>
      <c r="C188" s="3" t="inlineStr">
        <is>
          <t>Análisis predictivo — EQ-101</t>
        </is>
      </c>
      <c r="D188" s="3" t="inlineStr">
        <is>
          <t>Análisis predictivo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PU-ELE</t>
        </is>
      </c>
      <c r="H188" s="3" t="inlineStr">
        <is>
          <t>ACT-04</t>
        </is>
      </c>
      <c r="I188" s="3" t="inlineStr">
        <is>
          <t>TIPO-P2</t>
        </is>
      </c>
      <c r="J188" s="11" t="n">
        <v>46325</v>
      </c>
      <c r="K188" s="3" t="n">
        <v>6</v>
      </c>
      <c r="L188" s="10" t="n">
        <v>150</v>
      </c>
      <c r="M188" s="3">
        <f>IF($A188="","",IFERROR(INDEX('AJUSTES'!$B$4:$B$303,MATCH($AQ188,'AJUSTES'!$A$4:$A$303,0)),IF($K188="","",$K188)))</f>
        <v/>
      </c>
      <c r="N188" s="3">
        <f>IF($A188="","",IFERROR(INDEX('CAT_ESTADOS_ERP'!$B$4:$B$7,MATCH(IFERROR(INDEX('2_IMPORTAR_EJECUCION'!$C$9:$C$1208,MATCH($AQ188,'2_IMPORTAR_EJECUCION'!$J$9:$J$1208,0)),""),'CAT_ESTADOS_ERP'!$A$4:$A$7,0)),"Pendiente"))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J188="","",IFERROR(INDEX('CALENDARIO'!$C$15:$C$214,MATCH(TEXT($J188,"yyyy-mm-dd")&amp;"|"&amp;$V188&amp;"|"&amp;$W188,'CALENDARIO'!$G$15:$G$214,0)),IFERROR(INDEX('CALENDARIO'!$C$15:$C$214,MATCH(TEXT($J188,"yyyy-mm-dd")&amp;"|"&amp;$V188&amp;"|",'CALENDARIO'!$G$15:$G$214,0)),IFERROR(INDEX('CALENDARIO'!$C$15:$C$214,MATCH(TEXT($J188,"yyyy-mm-dd")&amp;"||",'CALENDARIO'!$G$15:$G$214,0)),INDEX(patronHabil,WEEKDAY($J188,2))))))</f>
        <v/>
      </c>
      <c r="T188" s="3">
        <f>IF($I188="","",IFERROR(INDEX('CAT_TIPOS_OT'!$C$4:$C$7,MATCH($I188,'CAT_TIPOS_OT'!$A$4:$A$7,0)),"sin_clasificar"))</f>
        <v/>
      </c>
      <c r="U188" s="3">
        <f>IF($F188="","",IFERROR(INDEX('CAT_CENTROS_COSTO'!$F$4:$F$13,MATCH($F188,'CAT_CENTROS_COSTO'!$A$4:$A$13,0)),"(sin catálogo)"))</f>
        <v/>
      </c>
      <c r="V188" s="3">
        <f>IF($F188="","",IFERROR(INDEX('CAT_CENTROS_COSTO'!$D$4:$D$13,MATCH($F188,'CAT_CENTROS_COSTO'!$A$4:$A$13,0)),"(sin catálogo)"))</f>
        <v/>
      </c>
      <c r="W188" s="3">
        <f>IF($F188="","",IF((IFERROR(INDEX('CAT_CENTROS_COSTO'!$E$4:$E$13,MATCH($F188,'CAT_CENTROS_COSTO'!$A$4:$A$13,0)),""))&lt;&gt;"",IFERROR(INDEX('CAT_CENTROS_COSTO'!$E$4:$E$13,MATCH($F188,'CAT_CENTROS_COSTO'!$A$4:$A$13,0)),""),$V188))</f>
        <v/>
      </c>
      <c r="X188" s="3">
        <f>IF($F188="","",IFERROR(INDEX('CAT_CENTROS_COSTO'!$G$4:$G$13,MATCH($F188,'CAT_CENTROS_COSTO'!$A$4:$A$13,0)),"(sin catálogo)"))</f>
        <v/>
      </c>
      <c r="Y188" s="3">
        <f>IF($G188="","",IFERROR(INDEX('CAT_PUESTOS'!$B$4:$B$8,MATCH($G188,'CAT_PUESTOS'!$A$4:$A$8,0)),"(sin catálogo)"))</f>
        <v/>
      </c>
      <c r="Z188" s="3">
        <f>IF($H188="","",IFERROR(INDEX('CAT_ACTIVIDADES'!$B$4:$B$8,MATCH($H188,'CAT_ACTIVIDADES'!$A$4:$A$8,0)),"(sin catálogo)"))</f>
        <v/>
      </c>
      <c r="AA188" s="12">
        <f>IF($J188="","",TODAY()-$J188)</f>
        <v/>
      </c>
      <c r="AB188" s="12">
        <f>IF($J188="","",IF($J188&lt;=TODAY(),COUNTIFS(cal_fechas,"&gt;="&amp;$J188,cal_fechas,"&lt;"&amp;TODAY(),cal_habil,"sí"),-COUNTIFS(cal_fechas,"&gt;="&amp;TODAY(),cal_fechas,"&lt;"&amp;$J188,cal_habil,"sí")))</f>
        <v/>
      </c>
      <c r="AC188" s="3">
        <f>IF($AB188="","",IF($AB188&lt;0,"FUTURO",IF($AB188&gt;p_dias_backlog_max,"BACKLOG","MES CORRIENTE")))</f>
        <v/>
      </c>
      <c r="AD188" s="3">
        <f>IF($AB188="",FALSE,AND($AB188&gt;p_dias_backlog_min,$AB188&lt;=p_dias_backlog_max))</f>
        <v/>
      </c>
      <c r="AE188" s="6" t="inlineStr"/>
      <c r="AF188" s="3">
        <f>IF($AE188="","",IF((IFERROR(INDEX('ASIGNACIONES'!$F$4:$F$339,MATCH($O188&amp;"|"&amp;$R188&amp;"|"&amp;$AE188,'ASIGNACIONES'!$J$4:$J$339,0)),""))=0,"",IFERROR(INDEX('ASIGNACIONES'!$F$4:$F$339,MATCH($O188&amp;"|"&amp;$R188&amp;"|"&amp;$AE188,'ASIGNACIONES'!$J$4:$J$339,0)),"")))</f>
        <v/>
      </c>
      <c r="AG188" s="13">
        <f>IF($AE188="","",SUMIFS('ORDENES'!$M$4:$M$1203,'ORDENES'!$AE$4:$AE$1203,$AE188,'ORDENES'!$O$4:$O$1203,$O188,'ORDENES'!$R$4:$R$1203,$R188))</f>
        <v/>
      </c>
      <c r="AH188" s="13">
        <f>IF($AG188="","",p_factor_productividad*IFERROR(INDEX('ASIGNACIONES'!$I$4:$I$339,MATCH($O188&amp;"|"&amp;$R188&amp;"|"&amp;$AE188,'ASIGNACIONES'!$J$4:$J$339,0)),0)-$AG188)</f>
        <v/>
      </c>
      <c r="AI188" s="10">
        <f>IF($A188="","",IFERROR(INDEX('2_IMPORTAR_EJECUCION'!$F$9:$F$1208,MATCH($AQ188,'2_IMPORTAR_EJECUCION'!$J$9:$J$1208,0)),0))</f>
        <v/>
      </c>
      <c r="AJ188" s="10">
        <f>IF($A188="","",MAX(0,IFERROR(INDEX('2_IMPORTAR_EJECUCION'!$H$9:$H$1208,MATCH($AQ188,'2_IMPORTAR_EJECUCION'!$J$9:$J$1208,0)),0)-$AI188))</f>
        <v/>
      </c>
      <c r="AK188" s="10">
        <f>IF($A188="","",$AI188+$AJ188)</f>
        <v/>
      </c>
      <c r="AL188" s="6" t="inlineStr"/>
      <c r="AM188" s="6" t="inlineStr"/>
      <c r="AN188" s="6" t="inlineStr"/>
      <c r="AO188" s="3">
        <f>IF($AN188="","",HYPERLINK(p_ruta_base_checklists&amp;$AN188,"abrir"))</f>
        <v/>
      </c>
      <c r="AP188" s="6" t="inlineStr"/>
      <c r="AQ188" s="3">
        <f>IF($A188="","",$A188&amp;IF($B188="","0010",$B188))</f>
        <v/>
      </c>
    </row>
    <row r="189">
      <c r="A189" s="3" t="inlineStr">
        <is>
          <t>OT-000186</t>
        </is>
      </c>
      <c r="B189" s="3" t="inlineStr">
        <is>
          <t>0010</t>
        </is>
      </c>
      <c r="C189" s="3" t="inlineStr">
        <is>
          <t>Inspección de rutina — EQ-102</t>
        </is>
      </c>
      <c r="D189" s="3" t="inlineStr">
        <is>
          <t>Inspección de rutina en EQ-102</t>
        </is>
      </c>
      <c r="E189" s="3" t="inlineStr">
        <is>
          <t>EQ-102</t>
        </is>
      </c>
      <c r="F189" s="3" t="inlineStr">
        <is>
          <t>CC-110</t>
        </is>
      </c>
      <c r="G189" s="3" t="inlineStr">
        <is>
          <t>PU-AUT</t>
        </is>
      </c>
      <c r="H189" s="3" t="inlineStr">
        <is>
          <t>ACT-01</t>
        </is>
      </c>
      <c r="I189" s="3" t="inlineStr">
        <is>
          <t>TIPO-P1</t>
        </is>
      </c>
      <c r="J189" s="11" t="n">
        <v>46385</v>
      </c>
      <c r="K189" s="3" t="n">
        <v>4</v>
      </c>
      <c r="L189" s="10" t="n">
        <v>100</v>
      </c>
      <c r="M189" s="3">
        <f>IF($A189="","",IFERROR(INDEX('AJUSTES'!$B$4:$B$303,MATCH($AQ189,'AJUSTES'!$A$4:$A$303,0)),IF($K189="","",$K189)))</f>
        <v/>
      </c>
      <c r="N189" s="3">
        <f>IF($A189="","",IFERROR(INDEX('CAT_ESTADOS_ERP'!$B$4:$B$7,MATCH(IFERROR(INDEX('2_IMPORTAR_EJECUCION'!$C$9:$C$1208,MATCH($AQ189,'2_IMPORTAR_EJECUCION'!$J$9:$J$1208,0)),""),'CAT_ESTADOS_ERP'!$A$4:$A$7,0)),"Pendiente"))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J189="","",IFERROR(INDEX('CALENDARIO'!$C$15:$C$214,MATCH(TEXT($J189,"yyyy-mm-dd")&amp;"|"&amp;$V189&amp;"|"&amp;$W189,'CALENDARIO'!$G$15:$G$214,0)),IFERROR(INDEX('CALENDARIO'!$C$15:$C$214,MATCH(TEXT($J189,"yyyy-mm-dd")&amp;"|"&amp;$V189&amp;"|",'CALENDARIO'!$G$15:$G$214,0)),IFERROR(INDEX('CALENDARIO'!$C$15:$C$214,MATCH(TEXT($J189,"yyyy-mm-dd")&amp;"||",'CALENDARIO'!$G$15:$G$214,0)),INDEX(patronHabil,WEEKDAY($J189,2))))))</f>
        <v/>
      </c>
      <c r="T189" s="3">
        <f>IF($I189="","",IFERROR(INDEX('CAT_TIPOS_OT'!$C$4:$C$7,MATCH($I189,'CAT_TIPOS_OT'!$A$4:$A$7,0)),"sin_clasificar"))</f>
        <v/>
      </c>
      <c r="U189" s="3">
        <f>IF($F189="","",IFERROR(INDEX('CAT_CENTROS_COSTO'!$F$4:$F$13,MATCH($F189,'CAT_CENTROS_COSTO'!$A$4:$A$13,0)),"(sin catálogo)"))</f>
        <v/>
      </c>
      <c r="V189" s="3">
        <f>IF($F189="","",IFERROR(INDEX('CAT_CENTROS_COSTO'!$D$4:$D$13,MATCH($F189,'CAT_CENTROS_COSTO'!$A$4:$A$13,0)),"(sin catálogo)"))</f>
        <v/>
      </c>
      <c r="W189" s="3">
        <f>IF($F189="","",IF((IFERROR(INDEX('CAT_CENTROS_COSTO'!$E$4:$E$13,MATCH($F189,'CAT_CENTROS_COSTO'!$A$4:$A$13,0)),""))&lt;&gt;"",IFERROR(INDEX('CAT_CENTROS_COSTO'!$E$4:$E$13,MATCH($F189,'CAT_CENTROS_COSTO'!$A$4:$A$13,0)),""),$V189))</f>
        <v/>
      </c>
      <c r="X189" s="3">
        <f>IF($F189="","",IFERROR(INDEX('CAT_CENTROS_COSTO'!$G$4:$G$13,MATCH($F189,'CAT_CENTROS_COSTO'!$A$4:$A$13,0)),"(sin catálogo)"))</f>
        <v/>
      </c>
      <c r="Y189" s="3">
        <f>IF($G189="","",IFERROR(INDEX('CAT_PUESTOS'!$B$4:$B$8,MATCH($G189,'CAT_PUESTOS'!$A$4:$A$8,0)),"(sin catálogo)"))</f>
        <v/>
      </c>
      <c r="Z189" s="3">
        <f>IF($H189="","",IFERROR(INDEX('CAT_ACTIVIDADES'!$B$4:$B$8,MATCH($H189,'CAT_ACTIVIDADES'!$A$4:$A$8,0)),"(sin catálogo)"))</f>
        <v/>
      </c>
      <c r="AA189" s="12">
        <f>IF($J189="","",TODAY()-$J189)</f>
        <v/>
      </c>
      <c r="AB189" s="12">
        <f>IF($J189="","",IF($J189&lt;=TODAY(),COUNTIFS(cal_fechas,"&gt;="&amp;$J189,cal_fechas,"&lt;"&amp;TODAY(),cal_habil,"sí"),-COUNTIFS(cal_fechas,"&gt;="&amp;TODAY(),cal_fechas,"&lt;"&amp;$J189,cal_habil,"sí")))</f>
        <v/>
      </c>
      <c r="AC189" s="3">
        <f>IF($AB189="","",IF($AB189&lt;0,"FUTURO",IF($AB189&gt;p_dias_backlog_max,"BACKLOG","MES CORRIENTE")))</f>
        <v/>
      </c>
      <c r="AD189" s="3">
        <f>IF($AB189="",FALSE,AND($AB189&gt;p_dias_backlog_min,$AB189&lt;=p_dias_backlog_max))</f>
        <v/>
      </c>
      <c r="AE189" s="6" t="inlineStr"/>
      <c r="AF189" s="3">
        <f>IF($AE189="","",IF((IFERROR(INDEX('ASIGNACIONES'!$F$4:$F$339,MATCH($O189&amp;"|"&amp;$R189&amp;"|"&amp;$AE189,'ASIGNACIONES'!$J$4:$J$339,0)),""))=0,"",IFERROR(INDEX('ASIGNACIONES'!$F$4:$F$339,MATCH($O189&amp;"|"&amp;$R189&amp;"|"&amp;$AE189,'ASIGNACIONES'!$J$4:$J$339,0)),"")))</f>
        <v/>
      </c>
      <c r="AG189" s="13">
        <f>IF($AE189="","",SUMIFS('ORDENES'!$M$4:$M$1203,'ORDENES'!$AE$4:$AE$1203,$AE189,'ORDENES'!$O$4:$O$1203,$O189,'ORDENES'!$R$4:$R$1203,$R189))</f>
        <v/>
      </c>
      <c r="AH189" s="13">
        <f>IF($AG189="","",p_factor_productividad*IFERROR(INDEX('ASIGNACIONES'!$I$4:$I$339,MATCH($O189&amp;"|"&amp;$R189&amp;"|"&amp;$AE189,'ASIGNACIONES'!$J$4:$J$339,0)),0)-$AG189)</f>
        <v/>
      </c>
      <c r="AI189" s="10">
        <f>IF($A189="","",IFERROR(INDEX('2_IMPORTAR_EJECUCION'!$F$9:$F$1208,MATCH($AQ189,'2_IMPORTAR_EJECUCION'!$J$9:$J$1208,0)),0))</f>
        <v/>
      </c>
      <c r="AJ189" s="10">
        <f>IF($A189="","",MAX(0,IFERROR(INDEX('2_IMPORTAR_EJECUCION'!$H$9:$H$1208,MATCH($AQ189,'2_IMPORTAR_EJECUCION'!$J$9:$J$1208,0)),0)-$AI189))</f>
        <v/>
      </c>
      <c r="AK189" s="10">
        <f>IF($A189="","",$AI189+$AJ189)</f>
        <v/>
      </c>
      <c r="AL189" s="6" t="inlineStr"/>
      <c r="AM189" s="6" t="inlineStr"/>
      <c r="AN189" s="6" t="inlineStr"/>
      <c r="AO189" s="3">
        <f>IF($AN189="","",HYPERLINK(p_ruta_base_checklists&amp;$AN189,"abrir"))</f>
        <v/>
      </c>
      <c r="AP189" s="6" t="inlineStr"/>
      <c r="AQ189" s="3">
        <f>IF($A189="","",$A189&amp;IF($B189="","0010",$B189))</f>
        <v/>
      </c>
    </row>
    <row r="190">
      <c r="A190" s="3" t="inlineStr">
        <is>
          <t>OT-000187</t>
        </is>
      </c>
      <c r="B190" s="3" t="inlineStr">
        <is>
          <t>0010</t>
        </is>
      </c>
      <c r="C190" s="3" t="inlineStr">
        <is>
          <t>Lubricación programada — EQ-103</t>
        </is>
      </c>
      <c r="D190" s="3" t="inlineStr">
        <is>
          <t>Lubricación programada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PU-MEC</t>
        </is>
      </c>
      <c r="H190" s="3" t="inlineStr">
        <is>
          <t>ACT-02</t>
        </is>
      </c>
      <c r="I190" s="3" t="inlineStr">
        <is>
          <t>TIPO-P2</t>
        </is>
      </c>
      <c r="J190" s="11" t="n">
        <v>46388</v>
      </c>
      <c r="K190" s="3" t="n">
        <v>4</v>
      </c>
      <c r="L190" s="10" t="n">
        <v>100</v>
      </c>
      <c r="M190" s="3">
        <f>IF($A190="","",IFERROR(INDEX('AJUSTES'!$B$4:$B$303,MATCH($AQ190,'AJUSTES'!$A$4:$A$303,0)),IF($K190="","",$K190)))</f>
        <v/>
      </c>
      <c r="N190" s="3">
        <f>IF($A190="","",IFERROR(INDEX('CAT_ESTADOS_ERP'!$B$4:$B$7,MATCH(IFERROR(INDEX('2_IMPORTAR_EJECUCION'!$C$9:$C$1208,MATCH($AQ190,'2_IMPORTAR_EJECUCION'!$J$9:$J$1208,0)),""),'CAT_ESTADOS_ERP'!$A$4:$A$7,0)),"Pendiente"))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J190="","",IFERROR(INDEX('CALENDARIO'!$C$15:$C$214,MATCH(TEXT($J190,"yyyy-mm-dd")&amp;"|"&amp;$V190&amp;"|"&amp;$W190,'CALENDARIO'!$G$15:$G$214,0)),IFERROR(INDEX('CALENDARIO'!$C$15:$C$214,MATCH(TEXT($J190,"yyyy-mm-dd")&amp;"|"&amp;$V190&amp;"|",'CALENDARIO'!$G$15:$G$214,0)),IFERROR(INDEX('CALENDARIO'!$C$15:$C$214,MATCH(TEXT($J190,"yyyy-mm-dd")&amp;"||",'CALENDARIO'!$G$15:$G$214,0)),INDEX(patronHabil,WEEKDAY($J190,2))))))</f>
        <v/>
      </c>
      <c r="T190" s="3">
        <f>IF($I190="","",IFERROR(INDEX('CAT_TIPOS_OT'!$C$4:$C$7,MATCH($I190,'CAT_TIPOS_OT'!$A$4:$A$7,0)),"sin_clasificar"))</f>
        <v/>
      </c>
      <c r="U190" s="3">
        <f>IF($F190="","",IFERROR(INDEX('CAT_CENTROS_COSTO'!$F$4:$F$13,MATCH($F190,'CAT_CENTROS_COSTO'!$A$4:$A$13,0)),"(sin catálogo)"))</f>
        <v/>
      </c>
      <c r="V190" s="3">
        <f>IF($F190="","",IFERROR(INDEX('CAT_CENTROS_COSTO'!$D$4:$D$13,MATCH($F190,'CAT_CENTROS_COSTO'!$A$4:$A$13,0)),"(sin catálogo)"))</f>
        <v/>
      </c>
      <c r="W190" s="3">
        <f>IF($F190="","",IF((IFERROR(INDEX('CAT_CENTROS_COSTO'!$E$4:$E$13,MATCH($F190,'CAT_CENTROS_COSTO'!$A$4:$A$13,0)),""))&lt;&gt;"",IFERROR(INDEX('CAT_CENTROS_COSTO'!$E$4:$E$13,MATCH($F190,'CAT_CENTROS_COSTO'!$A$4:$A$13,0)),""),$V190))</f>
        <v/>
      </c>
      <c r="X190" s="3">
        <f>IF($F190="","",IFERROR(INDEX('CAT_CENTROS_COSTO'!$G$4:$G$13,MATCH($F190,'CAT_CENTROS_COSTO'!$A$4:$A$13,0)),"(sin catálogo)"))</f>
        <v/>
      </c>
      <c r="Y190" s="3">
        <f>IF($G190="","",IFERROR(INDEX('CAT_PUESTOS'!$B$4:$B$8,MATCH($G190,'CAT_PUESTOS'!$A$4:$A$8,0)),"(sin catálogo)"))</f>
        <v/>
      </c>
      <c r="Z190" s="3">
        <f>IF($H190="","",IFERROR(INDEX('CAT_ACTIVIDADES'!$B$4:$B$8,MATCH($H190,'CAT_ACTIVIDADES'!$A$4:$A$8,0)),"(sin catálogo)"))</f>
        <v/>
      </c>
      <c r="AA190" s="12">
        <f>IF($J190="","",TODAY()-$J190)</f>
        <v/>
      </c>
      <c r="AB190" s="12">
        <f>IF($J190="","",IF($J190&lt;=TODAY(),COUNTIFS(cal_fechas,"&gt;="&amp;$J190,cal_fechas,"&lt;"&amp;TODAY(),cal_habil,"sí"),-COUNTIFS(cal_fechas,"&gt;="&amp;TODAY(),cal_fechas,"&lt;"&amp;$J190,cal_habil,"sí")))</f>
        <v/>
      </c>
      <c r="AC190" s="3">
        <f>IF($AB190="","",IF($AB190&lt;0,"FUTURO",IF($AB190&gt;p_dias_backlog_max,"BACKLOG","MES CORRIENTE")))</f>
        <v/>
      </c>
      <c r="AD190" s="3">
        <f>IF($AB190="",FALSE,AND($AB190&gt;p_dias_backlog_min,$AB190&lt;=p_dias_backlog_max))</f>
        <v/>
      </c>
      <c r="AE190" s="6" t="inlineStr"/>
      <c r="AF190" s="3">
        <f>IF($AE190="","",IF((IFERROR(INDEX('ASIGNACIONES'!$F$4:$F$339,MATCH($O190&amp;"|"&amp;$R190&amp;"|"&amp;$AE190,'ASIGNACIONES'!$J$4:$J$339,0)),""))=0,"",IFERROR(INDEX('ASIGNACIONES'!$F$4:$F$339,MATCH($O190&amp;"|"&amp;$R190&amp;"|"&amp;$AE190,'ASIGNACIONES'!$J$4:$J$339,0)),"")))</f>
        <v/>
      </c>
      <c r="AG190" s="13">
        <f>IF($AE190="","",SUMIFS('ORDENES'!$M$4:$M$1203,'ORDENES'!$AE$4:$AE$1203,$AE190,'ORDENES'!$O$4:$O$1203,$O190,'ORDENES'!$R$4:$R$1203,$R190))</f>
        <v/>
      </c>
      <c r="AH190" s="13">
        <f>IF($AG190="","",p_factor_productividad*IFERROR(INDEX('ASIGNACIONES'!$I$4:$I$339,MATCH($O190&amp;"|"&amp;$R190&amp;"|"&amp;$AE190,'ASIGNACIONES'!$J$4:$J$339,0)),0)-$AG190)</f>
        <v/>
      </c>
      <c r="AI190" s="10">
        <f>IF($A190="","",IFERROR(INDEX('2_IMPORTAR_EJECUCION'!$F$9:$F$1208,MATCH($AQ190,'2_IMPORTAR_EJECUCION'!$J$9:$J$1208,0)),0))</f>
        <v/>
      </c>
      <c r="AJ190" s="10">
        <f>IF($A190="","",MAX(0,IFERROR(INDEX('2_IMPORTAR_EJECUCION'!$H$9:$H$1208,MATCH($AQ190,'2_IMPORTAR_EJECUCION'!$J$9:$J$1208,0)),0)-$AI190))</f>
        <v/>
      </c>
      <c r="AK190" s="10">
        <f>IF($A190="","",$AI190+$AJ190)</f>
        <v/>
      </c>
      <c r="AL190" s="6" t="inlineStr"/>
      <c r="AM190" s="6" t="inlineStr"/>
      <c r="AN190" s="6" t="inlineStr"/>
      <c r="AO190" s="3">
        <f>IF($AN190="","",HYPERLINK(p_ruta_base_checklists&amp;$AN190,"abrir"))</f>
        <v/>
      </c>
      <c r="AP190" s="6" t="inlineStr"/>
      <c r="AQ190" s="3">
        <f>IF($A190="","",$A190&amp;IF($B190="","0010",$B190))</f>
        <v/>
      </c>
    </row>
    <row r="191">
      <c r="A191" s="3" t="inlineStr">
        <is>
          <t>OT-000188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PU-ELE</t>
        </is>
      </c>
      <c r="H191" s="3" t="inlineStr">
        <is>
          <t>ACT-04</t>
        </is>
      </c>
      <c r="I191" s="3" t="inlineStr">
        <is>
          <t>TIPO-P1</t>
        </is>
      </c>
      <c r="J191" s="11" t="n">
        <v>46392</v>
      </c>
      <c r="K191" s="3" t="n">
        <v>4</v>
      </c>
      <c r="L191" s="10" t="n">
        <v>100</v>
      </c>
      <c r="M191" s="3">
        <f>IF($A191="","",IFERROR(INDEX('AJUSTES'!$B$4:$B$303,MATCH($AQ191,'AJUSTES'!$A$4:$A$303,0)),IF($K191="","",$K191)))</f>
        <v/>
      </c>
      <c r="N191" s="3">
        <f>IF($A191="","",IFERROR(INDEX('CAT_ESTADOS_ERP'!$B$4:$B$7,MATCH(IFERROR(INDEX('2_IMPORTAR_EJECUCION'!$C$9:$C$1208,MATCH($AQ191,'2_IMPORTAR_EJECUCION'!$J$9:$J$1208,0)),""),'CAT_ESTADOS_ERP'!$A$4:$A$7,0)),"Pendiente"))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J191="","",IFERROR(INDEX('CALENDARIO'!$C$15:$C$214,MATCH(TEXT($J191,"yyyy-mm-dd")&amp;"|"&amp;$V191&amp;"|"&amp;$W191,'CALENDARIO'!$G$15:$G$214,0)),IFERROR(INDEX('CALENDARIO'!$C$15:$C$214,MATCH(TEXT($J191,"yyyy-mm-dd")&amp;"|"&amp;$V191&amp;"|",'CALENDARIO'!$G$15:$G$214,0)),IFERROR(INDEX('CALENDARIO'!$C$15:$C$214,MATCH(TEXT($J191,"yyyy-mm-dd")&amp;"||",'CALENDARIO'!$G$15:$G$214,0)),INDEX(patronHabil,WEEKDAY($J191,2))))))</f>
        <v/>
      </c>
      <c r="T191" s="3">
        <f>IF($I191="","",IFERROR(INDEX('CAT_TIPOS_OT'!$C$4:$C$7,MATCH($I191,'CAT_TIPOS_OT'!$A$4:$A$7,0)),"sin_clasificar"))</f>
        <v/>
      </c>
      <c r="U191" s="3">
        <f>IF($F191="","",IFERROR(INDEX('CAT_CENTROS_COSTO'!$F$4:$F$13,MATCH($F191,'CAT_CENTROS_COSTO'!$A$4:$A$13,0)),"(sin catálogo)"))</f>
        <v/>
      </c>
      <c r="V191" s="3">
        <f>IF($F191="","",IFERROR(INDEX('CAT_CENTROS_COSTO'!$D$4:$D$13,MATCH($F191,'CAT_CENTROS_COSTO'!$A$4:$A$13,0)),"(sin catálogo)"))</f>
        <v/>
      </c>
      <c r="W191" s="3">
        <f>IF($F191="","",IF((IFERROR(INDEX('CAT_CENTROS_COSTO'!$E$4:$E$13,MATCH($F191,'CAT_CENTROS_COSTO'!$A$4:$A$13,0)),""))&lt;&gt;"",IFERROR(INDEX('CAT_CENTROS_COSTO'!$E$4:$E$13,MATCH($F191,'CAT_CENTROS_COSTO'!$A$4:$A$13,0)),""),$V191))</f>
        <v/>
      </c>
      <c r="X191" s="3">
        <f>IF($F191="","",IFERROR(INDEX('CAT_CENTROS_COSTO'!$G$4:$G$13,MATCH($F191,'CAT_CENTROS_COSTO'!$A$4:$A$13,0)),"(sin catálogo)"))</f>
        <v/>
      </c>
      <c r="Y191" s="3">
        <f>IF($G191="","",IFERROR(INDEX('CAT_PUESTOS'!$B$4:$B$8,MATCH($G191,'CAT_PUESTOS'!$A$4:$A$8,0)),"(sin catálogo)"))</f>
        <v/>
      </c>
      <c r="Z191" s="3">
        <f>IF($H191="","",IFERROR(INDEX('CAT_ACTIVIDADES'!$B$4:$B$8,MATCH($H191,'CAT_ACTIVIDADES'!$A$4:$A$8,0)),"(sin catálogo)"))</f>
        <v/>
      </c>
      <c r="AA191" s="12">
        <f>IF($J191="","",TODAY()-$J191)</f>
        <v/>
      </c>
      <c r="AB191" s="12">
        <f>IF($J191="","",IF($J191&lt;=TODAY(),COUNTIFS(cal_fechas,"&gt;="&amp;$J191,cal_fechas,"&lt;"&amp;TODAY(),cal_habil,"sí"),-COUNTIFS(cal_fechas,"&gt;="&amp;TODAY(),cal_fechas,"&lt;"&amp;$J191,cal_habil,"sí")))</f>
        <v/>
      </c>
      <c r="AC191" s="3">
        <f>IF($AB191="","",IF($AB191&lt;0,"FUTURO",IF($AB191&gt;p_dias_backlog_max,"BACKLOG","MES CORRIENTE")))</f>
        <v/>
      </c>
      <c r="AD191" s="3">
        <f>IF($AB191="",FALSE,AND($AB191&gt;p_dias_backlog_min,$AB191&lt;=p_dias_backlog_max))</f>
        <v/>
      </c>
      <c r="AE191" s="6" t="inlineStr"/>
      <c r="AF191" s="3">
        <f>IF($AE191="","",IF((IFERROR(INDEX('ASIGNACIONES'!$F$4:$F$339,MATCH($O191&amp;"|"&amp;$R191&amp;"|"&amp;$AE191,'ASIGNACIONES'!$J$4:$J$339,0)),""))=0,"",IFERROR(INDEX('ASIGNACIONES'!$F$4:$F$339,MATCH($O191&amp;"|"&amp;$R191&amp;"|"&amp;$AE191,'ASIGNACIONES'!$J$4:$J$339,0)),"")))</f>
        <v/>
      </c>
      <c r="AG191" s="13">
        <f>IF($AE191="","",SUMIFS('ORDENES'!$M$4:$M$1203,'ORDENES'!$AE$4:$AE$1203,$AE191,'ORDENES'!$O$4:$O$1203,$O191,'ORDENES'!$R$4:$R$1203,$R191))</f>
        <v/>
      </c>
      <c r="AH191" s="13">
        <f>IF($AG191="","",p_factor_productividad*IFERROR(INDEX('ASIGNACIONES'!$I$4:$I$339,MATCH($O191&amp;"|"&amp;$R191&amp;"|"&amp;$AE191,'ASIGNACIONES'!$J$4:$J$339,0)),0)-$AG191)</f>
        <v/>
      </c>
      <c r="AI191" s="10">
        <f>IF($A191="","",IFERROR(INDEX('2_IMPORTAR_EJECUCION'!$F$9:$F$1208,MATCH($AQ191,'2_IMPORTAR_EJECUCION'!$J$9:$J$1208,0)),0))</f>
        <v/>
      </c>
      <c r="AJ191" s="10">
        <f>IF($A191="","",MAX(0,IFERROR(INDEX('2_IMPORTAR_EJECUCION'!$H$9:$H$1208,MATCH($AQ191,'2_IMPORTAR_EJECUCION'!$J$9:$J$1208,0)),0)-$AI191))</f>
        <v/>
      </c>
      <c r="AK191" s="10">
        <f>IF($A191="","",$AI191+$AJ191)</f>
        <v/>
      </c>
      <c r="AL191" s="6" t="inlineStr"/>
      <c r="AM191" s="6" t="inlineStr"/>
      <c r="AN191" s="6" t="inlineStr"/>
      <c r="AO191" s="3">
        <f>IF($AN191="","",HYPERLINK(p_ruta_base_checklists&amp;$AN191,"abrir"))</f>
        <v/>
      </c>
      <c r="AP191" s="6" t="inlineStr"/>
      <c r="AQ191" s="3">
        <f>IF($A191="","",$A191&amp;IF($B191="","0010",$B191))</f>
        <v/>
      </c>
    </row>
    <row r="192">
      <c r="A192" s="3" t="inlineStr">
        <is>
          <t>OT-000900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PU-MEC</t>
        </is>
      </c>
      <c r="H192" s="3" t="inlineStr">
        <is>
          <t>ACT-03</t>
        </is>
      </c>
      <c r="I192" s="3" t="inlineStr">
        <is>
          <t>TIPO-C2</t>
        </is>
      </c>
      <c r="J192" s="11" t="n">
        <v>46175</v>
      </c>
      <c r="K192" s="3" t="n">
        <v>6</v>
      </c>
      <c r="L192" s="10" t="n">
        <v>240</v>
      </c>
      <c r="M192" s="3">
        <f>IF($A192="","",IFERROR(INDEX('AJUSTES'!$B$4:$B$303,MATCH($AQ192,'AJUSTES'!$A$4:$A$303,0)),IF($K192="","",$K192)))</f>
        <v/>
      </c>
      <c r="N192" s="3">
        <f>IF($A192="","",IFERROR(INDEX('CAT_ESTADOS_ERP'!$B$4:$B$7,MATCH(IFERROR(INDEX('2_IMPORTAR_EJECUCION'!$C$9:$C$1208,MATCH($AQ192,'2_IMPORTAR_EJECUCION'!$J$9:$J$1208,0)),""),'CAT_ESTADOS_ERP'!$A$4:$A$7,0)),"Pendiente"))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J192="","",IFERROR(INDEX('CALENDARIO'!$C$15:$C$214,MATCH(TEXT($J192,"yyyy-mm-dd")&amp;"|"&amp;$V192&amp;"|"&amp;$W192,'CALENDARIO'!$G$15:$G$214,0)),IFERROR(INDEX('CALENDARIO'!$C$15:$C$214,MATCH(TEXT($J192,"yyyy-mm-dd")&amp;"|"&amp;$V192&amp;"|",'CALENDARIO'!$G$15:$G$214,0)),IFERROR(INDEX('CALENDARIO'!$C$15:$C$214,MATCH(TEXT($J192,"yyyy-mm-dd")&amp;"||",'CALENDARIO'!$G$15:$G$214,0)),INDEX(patronHabil,WEEKDAY($J192,2))))))</f>
        <v/>
      </c>
      <c r="T192" s="3">
        <f>IF($I192="","",IFERROR(INDEX('CAT_TIPOS_OT'!$C$4:$C$7,MATCH($I192,'CAT_TIPOS_OT'!$A$4:$A$7,0)),"sin_clasificar"))</f>
        <v/>
      </c>
      <c r="U192" s="3">
        <f>IF($F192="","",IFERROR(INDEX('CAT_CENTROS_COSTO'!$F$4:$F$13,MATCH($F192,'CAT_CENTROS_COSTO'!$A$4:$A$13,0)),"(sin catálogo)"))</f>
        <v/>
      </c>
      <c r="V192" s="3">
        <f>IF($F192="","",IFERROR(INDEX('CAT_CENTROS_COSTO'!$D$4:$D$13,MATCH($F192,'CAT_CENTROS_COSTO'!$A$4:$A$13,0)),"(sin catálogo)"))</f>
        <v/>
      </c>
      <c r="W192" s="3">
        <f>IF($F192="","",IF((IFERROR(INDEX('CAT_CENTROS_COSTO'!$E$4:$E$13,MATCH($F192,'CAT_CENTROS_COSTO'!$A$4:$A$13,0)),""))&lt;&gt;"",IFERROR(INDEX('CAT_CENTROS_COSTO'!$E$4:$E$13,MATCH($F192,'CAT_CENTROS_COSTO'!$A$4:$A$13,0)),""),$V192))</f>
        <v/>
      </c>
      <c r="X192" s="3">
        <f>IF($F192="","",IFERROR(INDEX('CAT_CENTROS_COSTO'!$G$4:$G$13,MATCH($F192,'CAT_CENTROS_COSTO'!$A$4:$A$13,0)),"(sin catálogo)"))</f>
        <v/>
      </c>
      <c r="Y192" s="3">
        <f>IF($G192="","",IFERROR(INDEX('CAT_PUESTOS'!$B$4:$B$8,MATCH($G192,'CAT_PUESTOS'!$A$4:$A$8,0)),"(sin catálogo)"))</f>
        <v/>
      </c>
      <c r="Z192" s="3">
        <f>IF($H192="","",IFERROR(INDEX('CAT_ACTIVIDADES'!$B$4:$B$8,MATCH($H192,'CAT_ACTIVIDADES'!$A$4:$A$8,0)),"(sin catálogo)"))</f>
        <v/>
      </c>
      <c r="AA192" s="12">
        <f>IF($J192="","",TODAY()-$J192)</f>
        <v/>
      </c>
      <c r="AB192" s="12">
        <f>IF($J192="","",IF($J192&lt;=TODAY(),COUNTIFS(cal_fechas,"&gt;="&amp;$J192,cal_fechas,"&lt;"&amp;TODAY(),cal_habil,"sí"),-COUNTIFS(cal_fechas,"&gt;="&amp;TODAY(),cal_fechas,"&lt;"&amp;$J192,cal_habil,"sí")))</f>
        <v/>
      </c>
      <c r="AC192" s="3">
        <f>IF($AB192="","",IF($AB192&lt;0,"FUTURO",IF($AB192&gt;p_dias_backlog_max,"BACKLOG","MES CORRIENTE")))</f>
        <v/>
      </c>
      <c r="AD192" s="3">
        <f>IF($AB192="",FALSE,AND($AB192&gt;p_dias_backlog_min,$AB192&lt;=p_dias_backlog_max))</f>
        <v/>
      </c>
      <c r="AE192" s="6" t="inlineStr"/>
      <c r="AF192" s="3">
        <f>IF($AE192="","",IF((IFERROR(INDEX('ASIGNACIONES'!$F$4:$F$339,MATCH($O192&amp;"|"&amp;$R192&amp;"|"&amp;$AE192,'ASIGNACIONES'!$J$4:$J$339,0)),""))=0,"",IFERROR(INDEX('ASIGNACIONES'!$F$4:$F$339,MATCH($O192&amp;"|"&amp;$R192&amp;"|"&amp;$AE192,'ASIGNACIONES'!$J$4:$J$339,0)),"")))</f>
        <v/>
      </c>
      <c r="AG192" s="13">
        <f>IF($AE192="","",SUMIFS('ORDENES'!$M$4:$M$1203,'ORDENES'!$AE$4:$AE$1203,$AE192,'ORDENES'!$O$4:$O$1203,$O192,'ORDENES'!$R$4:$R$1203,$R192))</f>
        <v/>
      </c>
      <c r="AH192" s="13">
        <f>IF($AG192="","",p_factor_productividad*IFERROR(INDEX('ASIGNACIONES'!$I$4:$I$339,MATCH($O192&amp;"|"&amp;$R192&amp;"|"&amp;$AE192,'ASIGNACIONES'!$J$4:$J$339,0)),0)-$AG192)</f>
        <v/>
      </c>
      <c r="AI192" s="10">
        <f>IF($A192="","",IFERROR(INDEX('2_IMPORTAR_EJECUCION'!$F$9:$F$1208,MATCH($AQ192,'2_IMPORTAR_EJECUCION'!$J$9:$J$1208,0)),0))</f>
        <v/>
      </c>
      <c r="AJ192" s="10">
        <f>IF($A192="","",MAX(0,IFERROR(INDEX('2_IMPORTAR_EJECUCION'!$H$9:$H$1208,MATCH($AQ192,'2_IMPORTAR_EJECUCION'!$J$9:$J$1208,0)),0)-$AI192))</f>
        <v/>
      </c>
      <c r="AK192" s="10">
        <f>IF($A192="","",$AI192+$AJ192)</f>
        <v/>
      </c>
      <c r="AL192" s="6" t="inlineStr"/>
      <c r="AM192" s="6" t="inlineStr"/>
      <c r="AN192" s="6" t="inlineStr"/>
      <c r="AO192" s="3">
        <f>IF($AN192="","",HYPERLINK(p_ruta_base_checklists&amp;$AN192,"abrir"))</f>
        <v/>
      </c>
      <c r="AP192" s="6" t="inlineStr"/>
      <c r="AQ192" s="3">
        <f>IF($A192="","",$A192&amp;IF($B192="","0010",$B192))</f>
        <v/>
      </c>
    </row>
    <row r="193">
      <c r="A193" s="3" t="inlineStr">
        <is>
          <t>OT-000900</t>
        </is>
      </c>
      <c r="B193" s="3" t="inlineStr">
        <is>
          <t>0010</t>
        </is>
      </c>
      <c r="C193" s="3" t="inlineStr">
        <is>
          <t>Reparación de falla — EQ-105</t>
        </is>
      </c>
      <c r="D193" s="3" t="inlineStr">
        <is>
          <t>Reparación de falla en EQ-105</t>
        </is>
      </c>
      <c r="E193" s="3" t="inlineStr">
        <is>
          <t>EQ-105</t>
        </is>
      </c>
      <c r="F193" s="3" t="inlineStr">
        <is>
          <t>CC-110</t>
        </is>
      </c>
      <c r="G193" s="3" t="inlineStr">
        <is>
          <t>PU-MEC</t>
        </is>
      </c>
      <c r="H193" s="3" t="inlineStr">
        <is>
          <t>ACT-03</t>
        </is>
      </c>
      <c r="I193" s="3" t="inlineStr">
        <is>
          <t>TIPO-C2</t>
        </is>
      </c>
      <c r="J193" s="11" t="n">
        <v>46175</v>
      </c>
      <c r="K193" s="3" t="n">
        <v>6</v>
      </c>
      <c r="L193" s="10" t="n">
        <v>240</v>
      </c>
      <c r="M193" s="3">
        <f>IF($A193="","",IFERROR(INDEX('AJUSTES'!$B$4:$B$303,MATCH($AQ193,'AJUSTES'!$A$4:$A$303,0)),IF($K193="","",$K193)))</f>
        <v/>
      </c>
      <c r="N193" s="3">
        <f>IF($A193="","",IFERROR(INDEX('CAT_ESTADOS_ERP'!$B$4:$B$7,MATCH(IFERROR(INDEX('2_IMPORTAR_EJECUCION'!$C$9:$C$1208,MATCH($AQ193,'2_IMPORTAR_EJECUCION'!$J$9:$J$1208,0)),""),'CAT_ESTADOS_ERP'!$A$4:$A$7,0)),"Pendiente"))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J193="","",IFERROR(INDEX('CALENDARIO'!$C$15:$C$214,MATCH(TEXT($J193,"yyyy-mm-dd")&amp;"|"&amp;$V193&amp;"|"&amp;$W193,'CALENDARIO'!$G$15:$G$214,0)),IFERROR(INDEX('CALENDARIO'!$C$15:$C$214,MATCH(TEXT($J193,"yyyy-mm-dd")&amp;"|"&amp;$V193&amp;"|",'CALENDARIO'!$G$15:$G$214,0)),IFERROR(INDEX('CALENDARIO'!$C$15:$C$214,MATCH(TEXT($J193,"yyyy-mm-dd")&amp;"||",'CALENDARIO'!$G$15:$G$214,0)),INDEX(patronHabil,WEEKDAY($J193,2))))))</f>
        <v/>
      </c>
      <c r="T193" s="3">
        <f>IF($I193="","",IFERROR(INDEX('CAT_TIPOS_OT'!$C$4:$C$7,MATCH($I193,'CAT_TIPOS_OT'!$A$4:$A$7,0)),"sin_clasificar"))</f>
        <v/>
      </c>
      <c r="U193" s="3">
        <f>IF($F193="","",IFERROR(INDEX('CAT_CENTROS_COSTO'!$F$4:$F$13,MATCH($F193,'CAT_CENTROS_COSTO'!$A$4:$A$13,0)),"(sin catálogo)"))</f>
        <v/>
      </c>
      <c r="V193" s="3">
        <f>IF($F193="","",IFERROR(INDEX('CAT_CENTROS_COSTO'!$D$4:$D$13,MATCH($F193,'CAT_CENTROS_COSTO'!$A$4:$A$13,0)),"(sin catálogo)"))</f>
        <v/>
      </c>
      <c r="W193" s="3">
        <f>IF($F193="","",IF((IFERROR(INDEX('CAT_CENTROS_COSTO'!$E$4:$E$13,MATCH($F193,'CAT_CENTROS_COSTO'!$A$4:$A$13,0)),""))&lt;&gt;"",IFERROR(INDEX('CAT_CENTROS_COSTO'!$E$4:$E$13,MATCH($F193,'CAT_CENTROS_COSTO'!$A$4:$A$13,0)),""),$V193))</f>
        <v/>
      </c>
      <c r="X193" s="3">
        <f>IF($F193="","",IFERROR(INDEX('CAT_CENTROS_COSTO'!$G$4:$G$13,MATCH($F193,'CAT_CENTROS_COSTO'!$A$4:$A$13,0)),"(sin catálogo)"))</f>
        <v/>
      </c>
      <c r="Y193" s="3">
        <f>IF($G193="","",IFERROR(INDEX('CAT_PUESTOS'!$B$4:$B$8,MATCH($G193,'CAT_PUESTOS'!$A$4:$A$8,0)),"(sin catálogo)"))</f>
        <v/>
      </c>
      <c r="Z193" s="3">
        <f>IF($H193="","",IFERROR(INDEX('CAT_ACTIVIDADES'!$B$4:$B$8,MATCH($H193,'CAT_ACTIVIDADES'!$A$4:$A$8,0)),"(sin catálogo)"))</f>
        <v/>
      </c>
      <c r="AA193" s="12">
        <f>IF($J193="","",TODAY()-$J193)</f>
        <v/>
      </c>
      <c r="AB193" s="12">
        <f>IF($J193="","",IF($J193&lt;=TODAY(),COUNTIFS(cal_fechas,"&gt;="&amp;$J193,cal_fechas,"&lt;"&amp;TODAY(),cal_habil,"sí"),-COUNTIFS(cal_fechas,"&gt;="&amp;TODAY(),cal_fechas,"&lt;"&amp;$J193,cal_habil,"sí")))</f>
        <v/>
      </c>
      <c r="AC193" s="3">
        <f>IF($AB193="","",IF($AB193&lt;0,"FUTURO",IF($AB193&gt;p_dias_backlog_max,"BACKLOG","MES CORRIENTE")))</f>
        <v/>
      </c>
      <c r="AD193" s="3">
        <f>IF($AB193="",FALSE,AND($AB193&gt;p_dias_backlog_min,$AB193&lt;=p_dias_backlog_max))</f>
        <v/>
      </c>
      <c r="AE193" s="6" t="inlineStr"/>
      <c r="AF193" s="3">
        <f>IF($AE193="","",IF((IFERROR(INDEX('ASIGNACIONES'!$F$4:$F$339,MATCH($O193&amp;"|"&amp;$R193&amp;"|"&amp;$AE193,'ASIGNACIONES'!$J$4:$J$339,0)),""))=0,"",IFERROR(INDEX('ASIGNACIONES'!$F$4:$F$339,MATCH($O193&amp;"|"&amp;$R193&amp;"|"&amp;$AE193,'ASIGNACIONES'!$J$4:$J$339,0)),"")))</f>
        <v/>
      </c>
      <c r="AG193" s="13">
        <f>IF($AE193="","",SUMIFS('ORDENES'!$M$4:$M$1203,'ORDENES'!$AE$4:$AE$1203,$AE193,'ORDENES'!$O$4:$O$1203,$O193,'ORDENES'!$R$4:$R$1203,$R193))</f>
        <v/>
      </c>
      <c r="AH193" s="13">
        <f>IF($AG193="","",p_factor_productividad*IFERROR(INDEX('ASIGNACIONES'!$I$4:$I$339,MATCH($O193&amp;"|"&amp;$R193&amp;"|"&amp;$AE193,'ASIGNACIONES'!$J$4:$J$339,0)),0)-$AG193)</f>
        <v/>
      </c>
      <c r="AI193" s="10">
        <f>IF($A193="","",IFERROR(INDEX('2_IMPORTAR_EJECUCION'!$F$9:$F$1208,MATCH($AQ193,'2_IMPORTAR_EJECUCION'!$J$9:$J$1208,0)),0))</f>
        <v/>
      </c>
      <c r="AJ193" s="10">
        <f>IF($A193="","",MAX(0,IFERROR(INDEX('2_IMPORTAR_EJECUCION'!$H$9:$H$1208,MATCH($AQ193,'2_IMPORTAR_EJECUCION'!$J$9:$J$1208,0)),0)-$AI193))</f>
        <v/>
      </c>
      <c r="AK193" s="10">
        <f>IF($A193="","",$AI193+$AJ193)</f>
        <v/>
      </c>
      <c r="AL193" s="6" t="inlineStr"/>
      <c r="AM193" s="6" t="inlineStr"/>
      <c r="AN193" s="6" t="inlineStr"/>
      <c r="AO193" s="3">
        <f>IF($AN193="","",HYPERLINK(p_ruta_base_checklists&amp;$AN193,"abrir"))</f>
        <v/>
      </c>
      <c r="AP193" s="6" t="inlineStr"/>
      <c r="AQ193" s="3">
        <f>IF($A193="","",$A193&amp;IF($B193="","0010",$B193))</f>
        <v/>
      </c>
    </row>
    <row r="194">
      <c r="A194" s="3" t="inlineStr">
        <is>
          <t>OT-000901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PU-ELE</t>
        </is>
      </c>
      <c r="H194" s="3" t="inlineStr">
        <is>
          <t>ACT-03</t>
        </is>
      </c>
      <c r="I194" s="3" t="inlineStr">
        <is>
          <t>TIPO-C2</t>
        </is>
      </c>
      <c r="J194" s="11" t="n"/>
      <c r="K194" s="3" t="n">
        <v>4</v>
      </c>
      <c r="L194" s="10" t="n">
        <v>160</v>
      </c>
      <c r="M194" s="3">
        <f>IF($A194="","",IFERROR(INDEX('AJUSTES'!$B$4:$B$303,MATCH($AQ194,'AJUSTES'!$A$4:$A$303,0)),IF($K194="","",$K194)))</f>
        <v/>
      </c>
      <c r="N194" s="3">
        <f>IF($A194="","",IFERROR(INDEX('CAT_ESTADOS_ERP'!$B$4:$B$7,MATCH(IFERROR(INDEX('2_IMPORTAR_EJECUCION'!$C$9:$C$1208,MATCH($AQ194,'2_IMPORTAR_EJECUCION'!$J$9:$J$1208,0)),""),'CAT_ESTADOS_ERP'!$A$4:$A$7,0)),"Pendiente"))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J194="","",IFERROR(INDEX('CALENDARIO'!$C$15:$C$214,MATCH(TEXT($J194,"yyyy-mm-dd")&amp;"|"&amp;$V194&amp;"|"&amp;$W194,'CALENDARIO'!$G$15:$G$214,0)),IFERROR(INDEX('CALENDARIO'!$C$15:$C$214,MATCH(TEXT($J194,"yyyy-mm-dd")&amp;"|"&amp;$V194&amp;"|",'CALENDARIO'!$G$15:$G$214,0)),IFERROR(INDEX('CALENDARIO'!$C$15:$C$214,MATCH(TEXT($J194,"yyyy-mm-dd")&amp;"||",'CALENDARIO'!$G$15:$G$214,0)),INDEX(patronHabil,WEEKDAY($J194,2))))))</f>
        <v/>
      </c>
      <c r="T194" s="3">
        <f>IF($I194="","",IFERROR(INDEX('CAT_TIPOS_OT'!$C$4:$C$7,MATCH($I194,'CAT_TIPOS_OT'!$A$4:$A$7,0)),"sin_clasificar"))</f>
        <v/>
      </c>
      <c r="U194" s="3">
        <f>IF($F194="","",IFERROR(INDEX('CAT_CENTROS_COSTO'!$F$4:$F$13,MATCH($F194,'CAT_CENTROS_COSTO'!$A$4:$A$13,0)),"(sin catálogo)"))</f>
        <v/>
      </c>
      <c r="V194" s="3">
        <f>IF($F194="","",IFERROR(INDEX('CAT_CENTROS_COSTO'!$D$4:$D$13,MATCH($F194,'CAT_CENTROS_COSTO'!$A$4:$A$13,0)),"(sin catálogo)"))</f>
        <v/>
      </c>
      <c r="W194" s="3">
        <f>IF($F194="","",IF((IFERROR(INDEX('CAT_CENTROS_COSTO'!$E$4:$E$13,MATCH($F194,'CAT_CENTROS_COSTO'!$A$4:$A$13,0)),""))&lt;&gt;"",IFERROR(INDEX('CAT_CENTROS_COSTO'!$E$4:$E$13,MATCH($F194,'CAT_CENTROS_COSTO'!$A$4:$A$13,0)),""),$V194))</f>
        <v/>
      </c>
      <c r="X194" s="3">
        <f>IF($F194="","",IFERROR(INDEX('CAT_CENTROS_COSTO'!$G$4:$G$13,MATCH($F194,'CAT_CENTROS_COSTO'!$A$4:$A$13,0)),"(sin catálogo)"))</f>
        <v/>
      </c>
      <c r="Y194" s="3">
        <f>IF($G194="","",IFERROR(INDEX('CAT_PUESTOS'!$B$4:$B$8,MATCH($G194,'CAT_PUESTOS'!$A$4:$A$8,0)),"(sin catálogo)"))</f>
        <v/>
      </c>
      <c r="Z194" s="3">
        <f>IF($H194="","",IFERROR(INDEX('CAT_ACTIVIDADES'!$B$4:$B$8,MATCH($H194,'CAT_ACTIVIDADES'!$A$4:$A$8,0)),"(sin catálogo)"))</f>
        <v/>
      </c>
      <c r="AA194" s="12">
        <f>IF($J194="","",TODAY()-$J194)</f>
        <v/>
      </c>
      <c r="AB194" s="12">
        <f>IF($J194="","",IF($J194&lt;=TODAY(),COUNTIFS(cal_fechas,"&gt;="&amp;$J194,cal_fechas,"&lt;"&amp;TODAY(),cal_habil,"sí"),-COUNTIFS(cal_fechas,"&gt;="&amp;TODAY(),cal_fechas,"&lt;"&amp;$J194,cal_habil,"sí")))</f>
        <v/>
      </c>
      <c r="AC194" s="3">
        <f>IF($AB194="","",IF($AB194&lt;0,"FUTURO",IF($AB194&gt;p_dias_backlog_max,"BACKLOG","MES CORRIENTE")))</f>
        <v/>
      </c>
      <c r="AD194" s="3">
        <f>IF($AB194="",FALSE,AND($AB194&gt;p_dias_backlog_min,$AB194&lt;=p_dias_backlog_max))</f>
        <v/>
      </c>
      <c r="AE194" s="6" t="inlineStr"/>
      <c r="AF194" s="3">
        <f>IF($AE194="","",IF((IFERROR(INDEX('ASIGNACIONES'!$F$4:$F$339,MATCH($O194&amp;"|"&amp;$R194&amp;"|"&amp;$AE194,'ASIGNACIONES'!$J$4:$J$339,0)),""))=0,"",IFERROR(INDEX('ASIGNACIONES'!$F$4:$F$339,MATCH($O194&amp;"|"&amp;$R194&amp;"|"&amp;$AE194,'ASIGNACIONES'!$J$4:$J$339,0)),"")))</f>
        <v/>
      </c>
      <c r="AG194" s="13">
        <f>IF($AE194="","",SUMIFS('ORDENES'!$M$4:$M$1203,'ORDENES'!$AE$4:$AE$1203,$AE194,'ORDENES'!$O$4:$O$1203,$O194,'ORDENES'!$R$4:$R$1203,$R194))</f>
        <v/>
      </c>
      <c r="AH194" s="13">
        <f>IF($AG194="","",p_factor_productividad*IFERROR(INDEX('ASIGNACIONES'!$I$4:$I$339,MATCH($O194&amp;"|"&amp;$R194&amp;"|"&amp;$AE194,'ASIGNACIONES'!$J$4:$J$339,0)),0)-$AG194)</f>
        <v/>
      </c>
      <c r="AI194" s="10">
        <f>IF($A194="","",IFERROR(INDEX('2_IMPORTAR_EJECUCION'!$F$9:$F$1208,MATCH($AQ194,'2_IMPORTAR_EJECUCION'!$J$9:$J$1208,0)),0))</f>
        <v/>
      </c>
      <c r="AJ194" s="10">
        <f>IF($A194="","",MAX(0,IFERROR(INDEX('2_IMPORTAR_EJECUCION'!$H$9:$H$1208,MATCH($AQ194,'2_IMPORTAR_EJECUCION'!$J$9:$J$1208,0)),0)-$AI194))</f>
        <v/>
      </c>
      <c r="AK194" s="10">
        <f>IF($A194="","",$AI194+$AJ194)</f>
        <v/>
      </c>
      <c r="AL194" s="6" t="inlineStr"/>
      <c r="AM194" s="6" t="inlineStr"/>
      <c r="AN194" s="6" t="inlineStr"/>
      <c r="AO194" s="3">
        <f>IF($AN194="","",HYPERLINK(p_ruta_base_checklists&amp;$AN194,"abrir"))</f>
        <v/>
      </c>
      <c r="AP194" s="6" t="inlineStr"/>
      <c r="AQ194" s="3">
        <f>IF($A194="","",$A194&amp;IF($B194="","0010",$B194))</f>
        <v/>
      </c>
    </row>
    <row r="195">
      <c r="A195" s="3" t="inlineStr">
        <is>
          <t>OT-000902</t>
        </is>
      </c>
      <c r="B195" s="3" t="inlineStr">
        <is>
          <t>0010</t>
        </is>
      </c>
      <c r="C195" s="3" t="inlineStr">
        <is>
          <t>Inspección de rutina — EQ-103</t>
        </is>
      </c>
      <c r="D195" s="3" t="inlineStr">
        <is>
          <t>Inspección de rutina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PU-MEC</t>
        </is>
      </c>
      <c r="H195" s="3" t="inlineStr">
        <is>
          <t>ACT-01</t>
        </is>
      </c>
      <c r="I195" s="3" t="inlineStr">
        <is>
          <t>TIPO-P1</t>
        </is>
      </c>
      <c r="J195" s="11" t="n"/>
      <c r="K195" s="3" t="n">
        <v>6</v>
      </c>
      <c r="L195" s="10" t="n">
        <v>150</v>
      </c>
      <c r="M195" s="3">
        <f>IF($A195="","",IFERROR(INDEX('AJUSTES'!$B$4:$B$303,MATCH($AQ195,'AJUSTES'!$A$4:$A$303,0)),IF($K195="","",$K195)))</f>
        <v/>
      </c>
      <c r="N195" s="3">
        <f>IF($A195="","",IFERROR(INDEX('CAT_ESTADOS_ERP'!$B$4:$B$7,MATCH(IFERROR(INDEX('2_IMPORTAR_EJECUCION'!$C$9:$C$1208,MATCH($AQ195,'2_IMPORTAR_EJECUCION'!$J$9:$J$1208,0)),""),'CAT_ESTADOS_ERP'!$A$4:$A$7,0)),"Pendiente"))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J195="","",IFERROR(INDEX('CALENDARIO'!$C$15:$C$214,MATCH(TEXT($J195,"yyyy-mm-dd")&amp;"|"&amp;$V195&amp;"|"&amp;$W195,'CALENDARIO'!$G$15:$G$214,0)),IFERROR(INDEX('CALENDARIO'!$C$15:$C$214,MATCH(TEXT($J195,"yyyy-mm-dd")&amp;"|"&amp;$V195&amp;"|",'CALENDARIO'!$G$15:$G$214,0)),IFERROR(INDEX('CALENDARIO'!$C$15:$C$214,MATCH(TEXT($J195,"yyyy-mm-dd")&amp;"||",'CALENDARIO'!$G$15:$G$214,0)),INDEX(patronHabil,WEEKDAY($J195,2))))))</f>
        <v/>
      </c>
      <c r="T195" s="3">
        <f>IF($I195="","",IFERROR(INDEX('CAT_TIPOS_OT'!$C$4:$C$7,MATCH($I195,'CAT_TIPOS_OT'!$A$4:$A$7,0)),"sin_clasificar"))</f>
        <v/>
      </c>
      <c r="U195" s="3">
        <f>IF($F195="","",IFERROR(INDEX('CAT_CENTROS_COSTO'!$F$4:$F$13,MATCH($F195,'CAT_CENTROS_COSTO'!$A$4:$A$13,0)),"(sin catálogo)"))</f>
        <v/>
      </c>
      <c r="V195" s="3">
        <f>IF($F195="","",IFERROR(INDEX('CAT_CENTROS_COSTO'!$D$4:$D$13,MATCH($F195,'CAT_CENTROS_COSTO'!$A$4:$A$13,0)),"(sin catálogo)"))</f>
        <v/>
      </c>
      <c r="W195" s="3">
        <f>IF($F195="","",IF((IFERROR(INDEX('CAT_CENTROS_COSTO'!$E$4:$E$13,MATCH($F195,'CAT_CENTROS_COSTO'!$A$4:$A$13,0)),""))&lt;&gt;"",IFERROR(INDEX('CAT_CENTROS_COSTO'!$E$4:$E$13,MATCH($F195,'CAT_CENTROS_COSTO'!$A$4:$A$13,0)),""),$V195))</f>
        <v/>
      </c>
      <c r="X195" s="3">
        <f>IF($F195="","",IFERROR(INDEX('CAT_CENTROS_COSTO'!$G$4:$G$13,MATCH($F195,'CAT_CENTROS_COSTO'!$A$4:$A$13,0)),"(sin catálogo)"))</f>
        <v/>
      </c>
      <c r="Y195" s="3">
        <f>IF($G195="","",IFERROR(INDEX('CAT_PUESTOS'!$B$4:$B$8,MATCH($G195,'CAT_PUESTOS'!$A$4:$A$8,0)),"(sin catálogo)"))</f>
        <v/>
      </c>
      <c r="Z195" s="3">
        <f>IF($H195="","",IFERROR(INDEX('CAT_ACTIVIDADES'!$B$4:$B$8,MATCH($H195,'CAT_ACTIVIDADES'!$A$4:$A$8,0)),"(sin catálogo)"))</f>
        <v/>
      </c>
      <c r="AA195" s="12">
        <f>IF($J195="","",TODAY()-$J195)</f>
        <v/>
      </c>
      <c r="AB195" s="12">
        <f>IF($J195="","",IF($J195&lt;=TODAY(),COUNTIFS(cal_fechas,"&gt;="&amp;$J195,cal_fechas,"&lt;"&amp;TODAY(),cal_habil,"sí"),-COUNTIFS(cal_fechas,"&gt;="&amp;TODAY(),cal_fechas,"&lt;"&amp;$J195,cal_habil,"sí")))</f>
        <v/>
      </c>
      <c r="AC195" s="3">
        <f>IF($AB195="","",IF($AB195&lt;0,"FUTURO",IF($AB195&gt;p_dias_backlog_max,"BACKLOG","MES CORRIENTE")))</f>
        <v/>
      </c>
      <c r="AD195" s="3">
        <f>IF($AB195="",FALSE,AND($AB195&gt;p_dias_backlog_min,$AB195&lt;=p_dias_backlog_max))</f>
        <v/>
      </c>
      <c r="AE195" s="6" t="inlineStr"/>
      <c r="AF195" s="3">
        <f>IF($AE195="","",IF((IFERROR(INDEX('ASIGNACIONES'!$F$4:$F$339,MATCH($O195&amp;"|"&amp;$R195&amp;"|"&amp;$AE195,'ASIGNACIONES'!$J$4:$J$339,0)),""))=0,"",IFERROR(INDEX('ASIGNACIONES'!$F$4:$F$339,MATCH($O195&amp;"|"&amp;$R195&amp;"|"&amp;$AE195,'ASIGNACIONES'!$J$4:$J$339,0)),"")))</f>
        <v/>
      </c>
      <c r="AG195" s="13">
        <f>IF($AE195="","",SUMIFS('ORDENES'!$M$4:$M$1203,'ORDENES'!$AE$4:$AE$1203,$AE195,'ORDENES'!$O$4:$O$1203,$O195,'ORDENES'!$R$4:$R$1203,$R195))</f>
        <v/>
      </c>
      <c r="AH195" s="13">
        <f>IF($AG195="","",p_factor_productividad*IFERROR(INDEX('ASIGNACIONES'!$I$4:$I$339,MATCH($O195&amp;"|"&amp;$R195&amp;"|"&amp;$AE195,'ASIGNACIONES'!$J$4:$J$339,0)),0)-$AG195)</f>
        <v/>
      </c>
      <c r="AI195" s="10">
        <f>IF($A195="","",IFERROR(INDEX('2_IMPORTAR_EJECUCION'!$F$9:$F$1208,MATCH($AQ195,'2_IMPORTAR_EJECUCION'!$J$9:$J$1208,0)),0))</f>
        <v/>
      </c>
      <c r="AJ195" s="10">
        <f>IF($A195="","",MAX(0,IFERROR(INDEX('2_IMPORTAR_EJECUCION'!$H$9:$H$1208,MATCH($AQ195,'2_IMPORTAR_EJECUCION'!$J$9:$J$1208,0)),0)-$AI195))</f>
        <v/>
      </c>
      <c r="AK195" s="10">
        <f>IF($A195="","",$AI195+$AJ195)</f>
        <v/>
      </c>
      <c r="AL195" s="6" t="inlineStr"/>
      <c r="AM195" s="6" t="inlineStr"/>
      <c r="AN195" s="6" t="inlineStr"/>
      <c r="AO195" s="3">
        <f>IF($AN195="","",HYPERLINK(p_ruta_base_checklists&amp;$AN195,"abrir"))</f>
        <v/>
      </c>
      <c r="AP195" s="6" t="inlineStr"/>
      <c r="AQ195" s="3">
        <f>IF($A195="","",$A195&amp;IF($B195="","0010",$B195))</f>
        <v/>
      </c>
    </row>
    <row r="196">
      <c r="A196" s="3" t="inlineStr">
        <is>
          <t>OT-000903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CC-110</t>
        </is>
      </c>
      <c r="G196" s="3" t="inlineStr">
        <is>
          <t>PU-AUT</t>
        </is>
      </c>
      <c r="H196" s="3" t="inlineStr">
        <is>
          <t>ACT-03</t>
        </is>
      </c>
      <c r="I196" s="3" t="inlineStr">
        <is>
          <t>TIPO-C2</t>
        </is>
      </c>
      <c r="J196" s="11" t="n">
        <v>46170</v>
      </c>
      <c r="K196" s="3" t="n"/>
      <c r="L196" s="10" t="n">
        <v>0</v>
      </c>
      <c r="M196" s="3">
        <f>IF($A196="","",IFERROR(INDEX('AJUSTES'!$B$4:$B$303,MATCH($AQ196,'AJUSTES'!$A$4:$A$303,0)),IF($K196="","",$K196)))</f>
        <v/>
      </c>
      <c r="N196" s="3">
        <f>IF($A196="","",IFERROR(INDEX('CAT_ESTADOS_ERP'!$B$4:$B$7,MATCH(IFERROR(INDEX('2_IMPORTAR_EJECUCION'!$C$9:$C$1208,MATCH($AQ196,'2_IMPORTAR_EJECUCION'!$J$9:$J$1208,0)),""),'CAT_ESTADOS_ERP'!$A$4:$A$7,0)),"Pendiente"))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J196="","",IFERROR(INDEX('CALENDARIO'!$C$15:$C$214,MATCH(TEXT($J196,"yyyy-mm-dd")&amp;"|"&amp;$V196&amp;"|"&amp;$W196,'CALENDARIO'!$G$15:$G$214,0)),IFERROR(INDEX('CALENDARIO'!$C$15:$C$214,MATCH(TEXT($J196,"yyyy-mm-dd")&amp;"|"&amp;$V196&amp;"|",'CALENDARIO'!$G$15:$G$214,0)),IFERROR(INDEX('CALENDARIO'!$C$15:$C$214,MATCH(TEXT($J196,"yyyy-mm-dd")&amp;"||",'CALENDARIO'!$G$15:$G$214,0)),INDEX(patronHabil,WEEKDAY($J196,2))))))</f>
        <v/>
      </c>
      <c r="T196" s="3">
        <f>IF($I196="","",IFERROR(INDEX('CAT_TIPOS_OT'!$C$4:$C$7,MATCH($I196,'CAT_TIPOS_OT'!$A$4:$A$7,0)),"sin_clasificar"))</f>
        <v/>
      </c>
      <c r="U196" s="3">
        <f>IF($F196="","",IFERROR(INDEX('CAT_CENTROS_COSTO'!$F$4:$F$13,MATCH($F196,'CAT_CENTROS_COSTO'!$A$4:$A$13,0)),"(sin catálogo)"))</f>
        <v/>
      </c>
      <c r="V196" s="3">
        <f>IF($F196="","",IFERROR(INDEX('CAT_CENTROS_COSTO'!$D$4:$D$13,MATCH($F196,'CAT_CENTROS_COSTO'!$A$4:$A$13,0)),"(sin catálogo)"))</f>
        <v/>
      </c>
      <c r="W196" s="3">
        <f>IF($F196="","",IF((IFERROR(INDEX('CAT_CENTROS_COSTO'!$E$4:$E$13,MATCH($F196,'CAT_CENTROS_COSTO'!$A$4:$A$13,0)),""))&lt;&gt;"",IFERROR(INDEX('CAT_CENTROS_COSTO'!$E$4:$E$13,MATCH($F196,'CAT_CENTROS_COSTO'!$A$4:$A$13,0)),""),$V196))</f>
        <v/>
      </c>
      <c r="X196" s="3">
        <f>IF($F196="","",IFERROR(INDEX('CAT_CENTROS_COSTO'!$G$4:$G$13,MATCH($F196,'CAT_CENTROS_COSTO'!$A$4:$A$13,0)),"(sin catálogo)"))</f>
        <v/>
      </c>
      <c r="Y196" s="3">
        <f>IF($G196="","",IFERROR(INDEX('CAT_PUESTOS'!$B$4:$B$8,MATCH($G196,'CAT_PUESTOS'!$A$4:$A$8,0)),"(sin catálogo)"))</f>
        <v/>
      </c>
      <c r="Z196" s="3">
        <f>IF($H196="","",IFERROR(INDEX('CAT_ACTIVIDADES'!$B$4:$B$8,MATCH($H196,'CAT_ACTIVIDADES'!$A$4:$A$8,0)),"(sin catálogo)"))</f>
        <v/>
      </c>
      <c r="AA196" s="12">
        <f>IF($J196="","",TODAY()-$J196)</f>
        <v/>
      </c>
      <c r="AB196" s="12">
        <f>IF($J196="","",IF($J196&lt;=TODAY(),COUNTIFS(cal_fechas,"&gt;="&amp;$J196,cal_fechas,"&lt;"&amp;TODAY(),cal_habil,"sí"),-COUNTIFS(cal_fechas,"&gt;="&amp;TODAY(),cal_fechas,"&lt;"&amp;$J196,cal_habil,"sí")))</f>
        <v/>
      </c>
      <c r="AC196" s="3">
        <f>IF($AB196="","",IF($AB196&lt;0,"FUTURO",IF($AB196&gt;p_dias_backlog_max,"BACKLOG","MES CORRIENTE")))</f>
        <v/>
      </c>
      <c r="AD196" s="3">
        <f>IF($AB196="",FALSE,AND($AB196&gt;p_dias_backlog_min,$AB196&lt;=p_dias_backlog_max))</f>
        <v/>
      </c>
      <c r="AE196" s="6" t="inlineStr"/>
      <c r="AF196" s="3">
        <f>IF($AE196="","",IF((IFERROR(INDEX('ASIGNACIONES'!$F$4:$F$339,MATCH($O196&amp;"|"&amp;$R196&amp;"|"&amp;$AE196,'ASIGNACIONES'!$J$4:$J$339,0)),""))=0,"",IFERROR(INDEX('ASIGNACIONES'!$F$4:$F$339,MATCH($O196&amp;"|"&amp;$R196&amp;"|"&amp;$AE196,'ASIGNACIONES'!$J$4:$J$339,0)),"")))</f>
        <v/>
      </c>
      <c r="AG196" s="13">
        <f>IF($AE196="","",SUMIFS('ORDENES'!$M$4:$M$1203,'ORDENES'!$AE$4:$AE$1203,$AE196,'ORDENES'!$O$4:$O$1203,$O196,'ORDENES'!$R$4:$R$1203,$R196))</f>
        <v/>
      </c>
      <c r="AH196" s="13">
        <f>IF($AG196="","",p_factor_productividad*IFERROR(INDEX('ASIGNACIONES'!$I$4:$I$339,MATCH($O196&amp;"|"&amp;$R196&amp;"|"&amp;$AE196,'ASIGNACIONES'!$J$4:$J$339,0)),0)-$AG196)</f>
        <v/>
      </c>
      <c r="AI196" s="10">
        <f>IF($A196="","",IFERROR(INDEX('2_IMPORTAR_EJECUCION'!$F$9:$F$1208,MATCH($AQ196,'2_IMPORTAR_EJECUCION'!$J$9:$J$1208,0)),0))</f>
        <v/>
      </c>
      <c r="AJ196" s="10">
        <f>IF($A196="","",MAX(0,IFERROR(INDEX('2_IMPORTAR_EJECUCION'!$H$9:$H$1208,MATCH($AQ196,'2_IMPORTAR_EJECUCION'!$J$9:$J$1208,0)),0)-$AI196))</f>
        <v/>
      </c>
      <c r="AK196" s="10">
        <f>IF($A196="","",$AI196+$AJ196)</f>
        <v/>
      </c>
      <c r="AL196" s="6" t="inlineStr"/>
      <c r="AM196" s="6" t="inlineStr"/>
      <c r="AN196" s="6" t="inlineStr"/>
      <c r="AO196" s="3">
        <f>IF($AN196="","",HYPERLINK(p_ruta_base_checklists&amp;$AN196,"abrir"))</f>
        <v/>
      </c>
      <c r="AP196" s="6" t="inlineStr"/>
      <c r="AQ196" s="3">
        <f>IF($A196="","",$A196&amp;IF($B196="","0010",$B196))</f>
        <v/>
      </c>
    </row>
    <row r="197">
      <c r="A197" s="3" t="inlineStr">
        <is>
          <t>OT-000904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PU-OP</t>
        </is>
      </c>
      <c r="H197" s="3" t="inlineStr">
        <is>
          <t>ACT-03</t>
        </is>
      </c>
      <c r="I197" s="3" t="inlineStr">
        <is>
          <t>TIPO-C1</t>
        </is>
      </c>
      <c r="J197" s="11" t="n">
        <v>46170</v>
      </c>
      <c r="K197" s="3" t="n"/>
      <c r="L197" s="10" t="n">
        <v>0</v>
      </c>
      <c r="M197" s="3">
        <f>IF($A197="","",IFERROR(INDEX('AJUSTES'!$B$4:$B$303,MATCH($AQ197,'AJUSTES'!$A$4:$A$303,0)),IF($K197="","",$K197)))</f>
        <v/>
      </c>
      <c r="N197" s="3">
        <f>IF($A197="","",IFERROR(INDEX('CAT_ESTADOS_ERP'!$B$4:$B$7,MATCH(IFERROR(INDEX('2_IMPORTAR_EJECUCION'!$C$9:$C$1208,MATCH($AQ197,'2_IMPORTAR_EJECUCION'!$J$9:$J$1208,0)),""),'CAT_ESTADOS_ERP'!$A$4:$A$7,0)),"Pendiente"))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J197="","",IFERROR(INDEX('CALENDARIO'!$C$15:$C$214,MATCH(TEXT($J197,"yyyy-mm-dd")&amp;"|"&amp;$V197&amp;"|"&amp;$W197,'CALENDARIO'!$G$15:$G$214,0)),IFERROR(INDEX('CALENDARIO'!$C$15:$C$214,MATCH(TEXT($J197,"yyyy-mm-dd")&amp;"|"&amp;$V197&amp;"|",'CALENDARIO'!$G$15:$G$214,0)),IFERROR(INDEX('CALENDARIO'!$C$15:$C$214,MATCH(TEXT($J197,"yyyy-mm-dd")&amp;"||",'CALENDARIO'!$G$15:$G$214,0)),INDEX(patronHabil,WEEKDAY($J197,2))))))</f>
        <v/>
      </c>
      <c r="T197" s="3">
        <f>IF($I197="","",IFERROR(INDEX('CAT_TIPOS_OT'!$C$4:$C$7,MATCH($I197,'CAT_TIPOS_OT'!$A$4:$A$7,0)),"sin_clasificar"))</f>
        <v/>
      </c>
      <c r="U197" s="3">
        <f>IF($F197="","",IFERROR(INDEX('CAT_CENTROS_COSTO'!$F$4:$F$13,MATCH($F197,'CAT_CENTROS_COSTO'!$A$4:$A$13,0)),"(sin catálogo)"))</f>
        <v/>
      </c>
      <c r="V197" s="3">
        <f>IF($F197="","",IFERROR(INDEX('CAT_CENTROS_COSTO'!$D$4:$D$13,MATCH($F197,'CAT_CENTROS_COSTO'!$A$4:$A$13,0)),"(sin catálogo)"))</f>
        <v/>
      </c>
      <c r="W197" s="3">
        <f>IF($F197="","",IF((IFERROR(INDEX('CAT_CENTROS_COSTO'!$E$4:$E$13,MATCH($F197,'CAT_CENTROS_COSTO'!$A$4:$A$13,0)),""))&lt;&gt;"",IFERROR(INDEX('CAT_CENTROS_COSTO'!$E$4:$E$13,MATCH($F197,'CAT_CENTROS_COSTO'!$A$4:$A$13,0)),""),$V197))</f>
        <v/>
      </c>
      <c r="X197" s="3">
        <f>IF($F197="","",IFERROR(INDEX('CAT_CENTROS_COSTO'!$G$4:$G$13,MATCH($F197,'CAT_CENTROS_COSTO'!$A$4:$A$13,0)),"(sin catálogo)"))</f>
        <v/>
      </c>
      <c r="Y197" s="3">
        <f>IF($G197="","",IFERROR(INDEX('CAT_PUESTOS'!$B$4:$B$8,MATCH($G197,'CAT_PUESTOS'!$A$4:$A$8,0)),"(sin catálogo)"))</f>
        <v/>
      </c>
      <c r="Z197" s="3">
        <f>IF($H197="","",IFERROR(INDEX('CAT_ACTIVIDADES'!$B$4:$B$8,MATCH($H197,'CAT_ACTIVIDADES'!$A$4:$A$8,0)),"(sin catálogo)"))</f>
        <v/>
      </c>
      <c r="AA197" s="12">
        <f>IF($J197="","",TODAY()-$J197)</f>
        <v/>
      </c>
      <c r="AB197" s="12">
        <f>IF($J197="","",IF($J197&lt;=TODAY(),COUNTIFS(cal_fechas,"&gt;="&amp;$J197,cal_fechas,"&lt;"&amp;TODAY(),cal_habil,"sí"),-COUNTIFS(cal_fechas,"&gt;="&amp;TODAY(),cal_fechas,"&lt;"&amp;$J197,cal_habil,"sí")))</f>
        <v/>
      </c>
      <c r="AC197" s="3">
        <f>IF($AB197="","",IF($AB197&lt;0,"FUTURO",IF($AB197&gt;p_dias_backlog_max,"BACKLOG","MES CORRIENTE")))</f>
        <v/>
      </c>
      <c r="AD197" s="3">
        <f>IF($AB197="",FALSE,AND($AB197&gt;p_dias_backlog_min,$AB197&lt;=p_dias_backlog_max))</f>
        <v/>
      </c>
      <c r="AE197" s="6" t="inlineStr"/>
      <c r="AF197" s="3">
        <f>IF($AE197="","",IF((IFERROR(INDEX('ASIGNACIONES'!$F$4:$F$339,MATCH($O197&amp;"|"&amp;$R197&amp;"|"&amp;$AE197,'ASIGNACIONES'!$J$4:$J$339,0)),""))=0,"",IFERROR(INDEX('ASIGNACIONES'!$F$4:$F$339,MATCH($O197&amp;"|"&amp;$R197&amp;"|"&amp;$AE197,'ASIGNACIONES'!$J$4:$J$339,0)),"")))</f>
        <v/>
      </c>
      <c r="AG197" s="13">
        <f>IF($AE197="","",SUMIFS('ORDENES'!$M$4:$M$1203,'ORDENES'!$AE$4:$AE$1203,$AE197,'ORDENES'!$O$4:$O$1203,$O197,'ORDENES'!$R$4:$R$1203,$R197))</f>
        <v/>
      </c>
      <c r="AH197" s="13">
        <f>IF($AG197="","",p_factor_productividad*IFERROR(INDEX('ASIGNACIONES'!$I$4:$I$339,MATCH($O197&amp;"|"&amp;$R197&amp;"|"&amp;$AE197,'ASIGNACIONES'!$J$4:$J$339,0)),0)-$AG197)</f>
        <v/>
      </c>
      <c r="AI197" s="10">
        <f>IF($A197="","",IFERROR(INDEX('2_IMPORTAR_EJECUCION'!$F$9:$F$1208,MATCH($AQ197,'2_IMPORTAR_EJECUCION'!$J$9:$J$1208,0)),0))</f>
        <v/>
      </c>
      <c r="AJ197" s="10">
        <f>IF($A197="","",MAX(0,IFERROR(INDEX('2_IMPORTAR_EJECUCION'!$H$9:$H$1208,MATCH($AQ197,'2_IMPORTAR_EJECUCION'!$J$9:$J$1208,0)),0)-$AI197))</f>
        <v/>
      </c>
      <c r="AK197" s="10">
        <f>IF($A197="","",$AI197+$AJ197)</f>
        <v/>
      </c>
      <c r="AL197" s="6" t="inlineStr"/>
      <c r="AM197" s="6" t="inlineStr"/>
      <c r="AN197" s="6" t="inlineStr"/>
      <c r="AO197" s="3">
        <f>IF($AN197="","",HYPERLINK(p_ruta_base_checklists&amp;$AN197,"abrir"))</f>
        <v/>
      </c>
      <c r="AP197" s="6" t="inlineStr"/>
      <c r="AQ197" s="3">
        <f>IF($A197="","",$A197&amp;IF($B197="","0010",$B197))</f>
        <v/>
      </c>
    </row>
    <row r="198">
      <c r="A198" s="3" t="inlineStr">
        <is>
          <t>OT-000905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PU-MEC</t>
        </is>
      </c>
      <c r="H198" s="3" t="inlineStr">
        <is>
          <t>ACT-03</t>
        </is>
      </c>
      <c r="I198" s="3" t="inlineStr">
        <is>
          <t>TIPO-X9</t>
        </is>
      </c>
      <c r="J198" s="11" t="n">
        <v>46165</v>
      </c>
      <c r="K198" s="3" t="n">
        <v>4</v>
      </c>
      <c r="L198" s="10" t="n">
        <v>160</v>
      </c>
      <c r="M198" s="3">
        <f>IF($A198="","",IFERROR(INDEX('AJUSTES'!$B$4:$B$303,MATCH($AQ198,'AJUSTES'!$A$4:$A$303,0)),IF($K198="","",$K198)))</f>
        <v/>
      </c>
      <c r="N198" s="3">
        <f>IF($A198="","",IFERROR(INDEX('CAT_ESTADOS_ERP'!$B$4:$B$7,MATCH(IFERROR(INDEX('2_IMPORTAR_EJECUCION'!$C$9:$C$1208,MATCH($AQ198,'2_IMPORTAR_EJECUCION'!$J$9:$J$1208,0)),""),'CAT_ESTADOS_ERP'!$A$4:$A$7,0)),"Pendiente"))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J198="","",IFERROR(INDEX('CALENDARIO'!$C$15:$C$214,MATCH(TEXT($J198,"yyyy-mm-dd")&amp;"|"&amp;$V198&amp;"|"&amp;$W198,'CALENDARIO'!$G$15:$G$214,0)),IFERROR(INDEX('CALENDARIO'!$C$15:$C$214,MATCH(TEXT($J198,"yyyy-mm-dd")&amp;"|"&amp;$V198&amp;"|",'CALENDARIO'!$G$15:$G$214,0)),IFERROR(INDEX('CALENDARIO'!$C$15:$C$214,MATCH(TEXT($J198,"yyyy-mm-dd")&amp;"||",'CALENDARIO'!$G$15:$G$214,0)),INDEX(patronHabil,WEEKDAY($J198,2))))))</f>
        <v/>
      </c>
      <c r="T198" s="3">
        <f>IF($I198="","",IFERROR(INDEX('CAT_TIPOS_OT'!$C$4:$C$7,MATCH($I198,'CAT_TIPOS_OT'!$A$4:$A$7,0)),"sin_clasificar"))</f>
        <v/>
      </c>
      <c r="U198" s="3">
        <f>IF($F198="","",IFERROR(INDEX('CAT_CENTROS_COSTO'!$F$4:$F$13,MATCH($F198,'CAT_CENTROS_COSTO'!$A$4:$A$13,0)),"(sin catálogo)"))</f>
        <v/>
      </c>
      <c r="V198" s="3">
        <f>IF($F198="","",IFERROR(INDEX('CAT_CENTROS_COSTO'!$D$4:$D$13,MATCH($F198,'CAT_CENTROS_COSTO'!$A$4:$A$13,0)),"(sin catálogo)"))</f>
        <v/>
      </c>
      <c r="W198" s="3">
        <f>IF($F198="","",IF((IFERROR(INDEX('CAT_CENTROS_COSTO'!$E$4:$E$13,MATCH($F198,'CAT_CENTROS_COSTO'!$A$4:$A$13,0)),""))&lt;&gt;"",IFERROR(INDEX('CAT_CENTROS_COSTO'!$E$4:$E$13,MATCH($F198,'CAT_CENTROS_COSTO'!$A$4:$A$13,0)),""),$V198))</f>
        <v/>
      </c>
      <c r="X198" s="3">
        <f>IF($F198="","",IFERROR(INDEX('CAT_CENTROS_COSTO'!$G$4:$G$13,MATCH($F198,'CAT_CENTROS_COSTO'!$A$4:$A$13,0)),"(sin catálogo)"))</f>
        <v/>
      </c>
      <c r="Y198" s="3">
        <f>IF($G198="","",IFERROR(INDEX('CAT_PUESTOS'!$B$4:$B$8,MATCH($G198,'CAT_PUESTOS'!$A$4:$A$8,0)),"(sin catálogo)"))</f>
        <v/>
      </c>
      <c r="Z198" s="3">
        <f>IF($H198="","",IFERROR(INDEX('CAT_ACTIVIDADES'!$B$4:$B$8,MATCH($H198,'CAT_ACTIVIDADES'!$A$4:$A$8,0)),"(sin catálogo)"))</f>
        <v/>
      </c>
      <c r="AA198" s="12">
        <f>IF($J198="","",TODAY()-$J198)</f>
        <v/>
      </c>
      <c r="AB198" s="12">
        <f>IF($J198="","",IF($J198&lt;=TODAY(),COUNTIFS(cal_fechas,"&gt;="&amp;$J198,cal_fechas,"&lt;"&amp;TODAY(),cal_habil,"sí"),-COUNTIFS(cal_fechas,"&gt;="&amp;TODAY(),cal_fechas,"&lt;"&amp;$J198,cal_habil,"sí")))</f>
        <v/>
      </c>
      <c r="AC198" s="3">
        <f>IF($AB198="","",IF($AB198&lt;0,"FUTURO",IF($AB198&gt;p_dias_backlog_max,"BACKLOG","MES CORRIENTE")))</f>
        <v/>
      </c>
      <c r="AD198" s="3">
        <f>IF($AB198="",FALSE,AND($AB198&gt;p_dias_backlog_min,$AB198&lt;=p_dias_backlog_max))</f>
        <v/>
      </c>
      <c r="AE198" s="6" t="inlineStr"/>
      <c r="AF198" s="3">
        <f>IF($AE198="","",IF((IFERROR(INDEX('ASIGNACIONES'!$F$4:$F$339,MATCH($O198&amp;"|"&amp;$R198&amp;"|"&amp;$AE198,'ASIGNACIONES'!$J$4:$J$339,0)),""))=0,"",IFERROR(INDEX('ASIGNACIONES'!$F$4:$F$339,MATCH($O198&amp;"|"&amp;$R198&amp;"|"&amp;$AE198,'ASIGNACIONES'!$J$4:$J$339,0)),"")))</f>
        <v/>
      </c>
      <c r="AG198" s="13">
        <f>IF($AE198="","",SUMIFS('ORDENES'!$M$4:$M$1203,'ORDENES'!$AE$4:$AE$1203,$AE198,'ORDENES'!$O$4:$O$1203,$O198,'ORDENES'!$R$4:$R$1203,$R198))</f>
        <v/>
      </c>
      <c r="AH198" s="13">
        <f>IF($AG198="","",p_factor_productividad*IFERROR(INDEX('ASIGNACIONES'!$I$4:$I$339,MATCH($O198&amp;"|"&amp;$R198&amp;"|"&amp;$AE198,'ASIGNACIONES'!$J$4:$J$339,0)),0)-$AG198)</f>
        <v/>
      </c>
      <c r="AI198" s="10">
        <f>IF($A198="","",IFERROR(INDEX('2_IMPORTAR_EJECUCION'!$F$9:$F$1208,MATCH($AQ198,'2_IMPORTAR_EJECUCION'!$J$9:$J$1208,0)),0))</f>
        <v/>
      </c>
      <c r="AJ198" s="10">
        <f>IF($A198="","",MAX(0,IFERROR(INDEX('2_IMPORTAR_EJECUCION'!$H$9:$H$1208,MATCH($AQ198,'2_IMPORTAR_EJECUCION'!$J$9:$J$1208,0)),0)-$AI198))</f>
        <v/>
      </c>
      <c r="AK198" s="10">
        <f>IF($A198="","",$AI198+$AJ198)</f>
        <v/>
      </c>
      <c r="AL198" s="6" t="inlineStr"/>
      <c r="AM198" s="6" t="inlineStr"/>
      <c r="AN198" s="6" t="inlineStr"/>
      <c r="AO198" s="3">
        <f>IF($AN198="","",HYPERLINK(p_ruta_base_checklists&amp;$AN198,"abrir"))</f>
        <v/>
      </c>
      <c r="AP198" s="6" t="inlineStr"/>
      <c r="AQ198" s="3">
        <f>IF($A198="","",$A198&amp;IF($B198="","0010",$B198))</f>
        <v/>
      </c>
    </row>
    <row r="199">
      <c r="A199" s="3" t="inlineStr">
        <is>
          <t>OT-000906</t>
        </is>
      </c>
      <c r="B199" s="3" t="inlineStr">
        <is>
          <t>0010</t>
        </is>
      </c>
      <c r="C199" s="3" t="inlineStr">
        <is>
          <t>Reparación de falla — EQ-102</t>
        </is>
      </c>
      <c r="D199" s="3" t="inlineStr">
        <is>
          <t>Reparación de falla en EQ-102</t>
        </is>
      </c>
      <c r="E199" s="3" t="inlineStr">
        <is>
          <t>EQ-102</t>
        </is>
      </c>
      <c r="F199" s="3" t="inlineStr">
        <is>
          <t>CC-110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TIPO-X9</t>
        </is>
      </c>
      <c r="J199" s="11" t="n">
        <v>46165</v>
      </c>
      <c r="K199" s="3" t="n">
        <v>4</v>
      </c>
      <c r="L199" s="10" t="n">
        <v>160</v>
      </c>
      <c r="M199" s="3">
        <f>IF($A199="","",IFERROR(INDEX('AJUSTES'!$B$4:$B$303,MATCH($AQ199,'AJUSTES'!$A$4:$A$303,0)),IF($K199="","",$K199)))</f>
        <v/>
      </c>
      <c r="N199" s="3">
        <f>IF($A199="","",IFERROR(INDEX('CAT_ESTADOS_ERP'!$B$4:$B$7,MATCH(IFERROR(INDEX('2_IMPORTAR_EJECUCION'!$C$9:$C$1208,MATCH($AQ199,'2_IMPORTAR_EJECUCION'!$J$9:$J$1208,0)),""),'CAT_ESTADOS_ERP'!$A$4:$A$7,0)),"Pendiente"))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J199="","",IFERROR(INDEX('CALENDARIO'!$C$15:$C$214,MATCH(TEXT($J199,"yyyy-mm-dd")&amp;"|"&amp;$V199&amp;"|"&amp;$W199,'CALENDARIO'!$G$15:$G$214,0)),IFERROR(INDEX('CALENDARIO'!$C$15:$C$214,MATCH(TEXT($J199,"yyyy-mm-dd")&amp;"|"&amp;$V199&amp;"|",'CALENDARIO'!$G$15:$G$214,0)),IFERROR(INDEX('CALENDARIO'!$C$15:$C$214,MATCH(TEXT($J199,"yyyy-mm-dd")&amp;"||",'CALENDARIO'!$G$15:$G$214,0)),INDEX(patronHabil,WEEKDAY($J199,2))))))</f>
        <v/>
      </c>
      <c r="T199" s="3">
        <f>IF($I199="","",IFERROR(INDEX('CAT_TIPOS_OT'!$C$4:$C$7,MATCH($I199,'CAT_TIPOS_OT'!$A$4:$A$7,0)),"sin_clasificar"))</f>
        <v/>
      </c>
      <c r="U199" s="3">
        <f>IF($F199="","",IFERROR(INDEX('CAT_CENTROS_COSTO'!$F$4:$F$13,MATCH($F199,'CAT_CENTROS_COSTO'!$A$4:$A$13,0)),"(sin catálogo)"))</f>
        <v/>
      </c>
      <c r="V199" s="3">
        <f>IF($F199="","",IFERROR(INDEX('CAT_CENTROS_COSTO'!$D$4:$D$13,MATCH($F199,'CAT_CENTROS_COSTO'!$A$4:$A$13,0)),"(sin catálogo)"))</f>
        <v/>
      </c>
      <c r="W199" s="3">
        <f>IF($F199="","",IF((IFERROR(INDEX('CAT_CENTROS_COSTO'!$E$4:$E$13,MATCH($F199,'CAT_CENTROS_COSTO'!$A$4:$A$13,0)),""))&lt;&gt;"",IFERROR(INDEX('CAT_CENTROS_COSTO'!$E$4:$E$13,MATCH($F199,'CAT_CENTROS_COSTO'!$A$4:$A$13,0)),""),$V199))</f>
        <v/>
      </c>
      <c r="X199" s="3">
        <f>IF($F199="","",IFERROR(INDEX('CAT_CENTROS_COSTO'!$G$4:$G$13,MATCH($F199,'CAT_CENTROS_COSTO'!$A$4:$A$13,0)),"(sin catálogo)"))</f>
        <v/>
      </c>
      <c r="Y199" s="3">
        <f>IF($G199="","",IFERROR(INDEX('CAT_PUESTOS'!$B$4:$B$8,MATCH($G199,'CAT_PUESTOS'!$A$4:$A$8,0)),"(sin catálogo)"))</f>
        <v/>
      </c>
      <c r="Z199" s="3">
        <f>IF($H199="","",IFERROR(INDEX('CAT_ACTIVIDADES'!$B$4:$B$8,MATCH($H199,'CAT_ACTIVIDADES'!$A$4:$A$8,0)),"(sin catálogo)"))</f>
        <v/>
      </c>
      <c r="AA199" s="12">
        <f>IF($J199="","",TODAY()-$J199)</f>
        <v/>
      </c>
      <c r="AB199" s="12">
        <f>IF($J199="","",IF($J199&lt;=TODAY(),COUNTIFS(cal_fechas,"&gt;="&amp;$J199,cal_fechas,"&lt;"&amp;TODAY(),cal_habil,"sí"),-COUNTIFS(cal_fechas,"&gt;="&amp;TODAY(),cal_fechas,"&lt;"&amp;$J199,cal_habil,"sí")))</f>
        <v/>
      </c>
      <c r="AC199" s="3">
        <f>IF($AB199="","",IF($AB199&lt;0,"FUTURO",IF($AB199&gt;p_dias_backlog_max,"BACKLOG","MES CORRIENTE")))</f>
        <v/>
      </c>
      <c r="AD199" s="3">
        <f>IF($AB199="",FALSE,AND($AB199&gt;p_dias_backlog_min,$AB199&lt;=p_dias_backlog_max))</f>
        <v/>
      </c>
      <c r="AE199" s="6" t="inlineStr"/>
      <c r="AF199" s="3">
        <f>IF($AE199="","",IF((IFERROR(INDEX('ASIGNACIONES'!$F$4:$F$339,MATCH($O199&amp;"|"&amp;$R199&amp;"|"&amp;$AE199,'ASIGNACIONES'!$J$4:$J$339,0)),""))=0,"",IFERROR(INDEX('ASIGNACIONES'!$F$4:$F$339,MATCH($O199&amp;"|"&amp;$R199&amp;"|"&amp;$AE199,'ASIGNACIONES'!$J$4:$J$339,0)),"")))</f>
        <v/>
      </c>
      <c r="AG199" s="13">
        <f>IF($AE199="","",SUMIFS('ORDENES'!$M$4:$M$1203,'ORDENES'!$AE$4:$AE$1203,$AE199,'ORDENES'!$O$4:$O$1203,$O199,'ORDENES'!$R$4:$R$1203,$R199))</f>
        <v/>
      </c>
      <c r="AH199" s="13">
        <f>IF($AG199="","",p_factor_productividad*IFERROR(INDEX('ASIGNACIONES'!$I$4:$I$339,MATCH($O199&amp;"|"&amp;$R199&amp;"|"&amp;$AE199,'ASIGNACIONES'!$J$4:$J$339,0)),0)-$AG199)</f>
        <v/>
      </c>
      <c r="AI199" s="10">
        <f>IF($A199="","",IFERROR(INDEX('2_IMPORTAR_EJECUCION'!$F$9:$F$1208,MATCH($AQ199,'2_IMPORTAR_EJECUCION'!$J$9:$J$1208,0)),0))</f>
        <v/>
      </c>
      <c r="AJ199" s="10">
        <f>IF($A199="","",MAX(0,IFERROR(INDEX('2_IMPORTAR_EJECUCION'!$H$9:$H$1208,MATCH($AQ199,'2_IMPORTAR_EJECUCION'!$J$9:$J$1208,0)),0)-$AI199))</f>
        <v/>
      </c>
      <c r="AK199" s="10">
        <f>IF($A199="","",$AI199+$AJ199)</f>
        <v/>
      </c>
      <c r="AL199" s="6" t="inlineStr"/>
      <c r="AM199" s="6" t="inlineStr"/>
      <c r="AN199" s="6" t="inlineStr"/>
      <c r="AO199" s="3">
        <f>IF($AN199="","",HYPERLINK(p_ruta_base_checklists&amp;$AN199,"abrir"))</f>
        <v/>
      </c>
      <c r="AP199" s="6" t="inlineStr"/>
      <c r="AQ199" s="3">
        <f>IF($A199="","",$A199&amp;IF($B199="","0010",$B199))</f>
        <v/>
      </c>
    </row>
    <row r="200">
      <c r="A200" s="3" t="inlineStr">
        <is>
          <t>OT-000907</t>
        </is>
      </c>
      <c r="B200" s="3" t="inlineStr">
        <is>
          <t>0010</t>
        </is>
      </c>
      <c r="C200" s="3" t="inlineStr">
        <is>
          <t>Reparación de falla — EQ-103</t>
        </is>
      </c>
      <c r="D200" s="3" t="inlineStr">
        <is>
          <t>Reparación de falla en EQ-103</t>
        </is>
      </c>
      <c r="E200" s="3" t="inlineStr">
        <is>
          <t>EQ-103</t>
        </is>
      </c>
      <c r="F200" s="3" t="inlineStr">
        <is>
          <t>CC-999</t>
        </is>
      </c>
      <c r="G200" s="3" t="inlineStr">
        <is>
          <t>PU-MEC</t>
        </is>
      </c>
      <c r="H200" s="3" t="inlineStr">
        <is>
          <t>ACT-03</t>
        </is>
      </c>
      <c r="I200" s="3" t="inlineStr">
        <is>
          <t>TIPO-C2</t>
        </is>
      </c>
      <c r="J200" s="11" t="n">
        <v>46163</v>
      </c>
      <c r="K200" s="3" t="n">
        <v>4</v>
      </c>
      <c r="L200" s="10" t="n">
        <v>160</v>
      </c>
      <c r="M200" s="3">
        <f>IF($A200="","",IFERROR(INDEX('AJUSTES'!$B$4:$B$303,MATCH($AQ200,'AJUSTES'!$A$4:$A$303,0)),IF($K200="","",$K200)))</f>
        <v/>
      </c>
      <c r="N200" s="3">
        <f>IF($A200="","",IFERROR(INDEX('CAT_ESTADOS_ERP'!$B$4:$B$7,MATCH(IFERROR(INDEX('2_IMPORTAR_EJECUCION'!$C$9:$C$1208,MATCH($AQ200,'2_IMPORTAR_EJECUCION'!$J$9:$J$1208,0)),""),'CAT_ESTADOS_ERP'!$A$4:$A$7,0)),"Pendiente"))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J200="","",IFERROR(INDEX('CALENDARIO'!$C$15:$C$214,MATCH(TEXT($J200,"yyyy-mm-dd")&amp;"|"&amp;$V200&amp;"|"&amp;$W200,'CALENDARIO'!$G$15:$G$214,0)),IFERROR(INDEX('CALENDARIO'!$C$15:$C$214,MATCH(TEXT($J200,"yyyy-mm-dd")&amp;"|"&amp;$V200&amp;"|",'CALENDARIO'!$G$15:$G$214,0)),IFERROR(INDEX('CALENDARIO'!$C$15:$C$214,MATCH(TEXT($J200,"yyyy-mm-dd")&amp;"||",'CALENDARIO'!$G$15:$G$214,0)),INDEX(patronHabil,WEEKDAY($J200,2))))))</f>
        <v/>
      </c>
      <c r="T200" s="3">
        <f>IF($I200="","",IFERROR(INDEX('CAT_TIPOS_OT'!$C$4:$C$7,MATCH($I200,'CAT_TIPOS_OT'!$A$4:$A$7,0)),"sin_clasificar"))</f>
        <v/>
      </c>
      <c r="U200" s="3">
        <f>IF($F200="","",IFERROR(INDEX('CAT_CENTROS_COSTO'!$F$4:$F$13,MATCH($F200,'CAT_CENTROS_COSTO'!$A$4:$A$13,0)),"(sin catálogo)"))</f>
        <v/>
      </c>
      <c r="V200" s="3">
        <f>IF($F200="","",IFERROR(INDEX('CAT_CENTROS_COSTO'!$D$4:$D$13,MATCH($F200,'CAT_CENTROS_COSTO'!$A$4:$A$13,0)),"(sin catálogo)"))</f>
        <v/>
      </c>
      <c r="W200" s="3">
        <f>IF($F200="","",IF((IFERROR(INDEX('CAT_CENTROS_COSTO'!$E$4:$E$13,MATCH($F200,'CAT_CENTROS_COSTO'!$A$4:$A$13,0)),""))&lt;&gt;"",IFERROR(INDEX('CAT_CENTROS_COSTO'!$E$4:$E$13,MATCH($F200,'CAT_CENTROS_COSTO'!$A$4:$A$13,0)),""),$V200))</f>
        <v/>
      </c>
      <c r="X200" s="3">
        <f>IF($F200="","",IFERROR(INDEX('CAT_CENTROS_COSTO'!$G$4:$G$13,MATCH($F200,'CAT_CENTROS_COSTO'!$A$4:$A$13,0)),"(sin catálogo)"))</f>
        <v/>
      </c>
      <c r="Y200" s="3">
        <f>IF($G200="","",IFERROR(INDEX('CAT_PUESTOS'!$B$4:$B$8,MATCH($G200,'CAT_PUESTOS'!$A$4:$A$8,0)),"(sin catálogo)"))</f>
        <v/>
      </c>
      <c r="Z200" s="3">
        <f>IF($H200="","",IFERROR(INDEX('CAT_ACTIVIDADES'!$B$4:$B$8,MATCH($H200,'CAT_ACTIVIDADES'!$A$4:$A$8,0)),"(sin catálogo)"))</f>
        <v/>
      </c>
      <c r="AA200" s="12">
        <f>IF($J200="","",TODAY()-$J200)</f>
        <v/>
      </c>
      <c r="AB200" s="12">
        <f>IF($J200="","",IF($J200&lt;=TODAY(),COUNTIFS(cal_fechas,"&gt;="&amp;$J200,cal_fechas,"&lt;"&amp;TODAY(),cal_habil,"sí"),-COUNTIFS(cal_fechas,"&gt;="&amp;TODAY(),cal_fechas,"&lt;"&amp;$J200,cal_habil,"sí")))</f>
        <v/>
      </c>
      <c r="AC200" s="3">
        <f>IF($AB200="","",IF($AB200&lt;0,"FUTURO",IF($AB200&gt;p_dias_backlog_max,"BACKLOG","MES CORRIENTE")))</f>
        <v/>
      </c>
      <c r="AD200" s="3">
        <f>IF($AB200="",FALSE,AND($AB200&gt;p_dias_backlog_min,$AB200&lt;=p_dias_backlog_max))</f>
        <v/>
      </c>
      <c r="AE200" s="6" t="inlineStr"/>
      <c r="AF200" s="3">
        <f>IF($AE200="","",IF((IFERROR(INDEX('ASIGNACIONES'!$F$4:$F$339,MATCH($O200&amp;"|"&amp;$R200&amp;"|"&amp;$AE200,'ASIGNACIONES'!$J$4:$J$339,0)),""))=0,"",IFERROR(INDEX('ASIGNACIONES'!$F$4:$F$339,MATCH($O200&amp;"|"&amp;$R200&amp;"|"&amp;$AE200,'ASIGNACIONES'!$J$4:$J$339,0)),"")))</f>
        <v/>
      </c>
      <c r="AG200" s="13">
        <f>IF($AE200="","",SUMIFS('ORDENES'!$M$4:$M$1203,'ORDENES'!$AE$4:$AE$1203,$AE200,'ORDENES'!$O$4:$O$1203,$O200,'ORDENES'!$R$4:$R$1203,$R200))</f>
        <v/>
      </c>
      <c r="AH200" s="13">
        <f>IF($AG200="","",p_factor_productividad*IFERROR(INDEX('ASIGNACIONES'!$I$4:$I$339,MATCH($O200&amp;"|"&amp;$R200&amp;"|"&amp;$AE200,'ASIGNACIONES'!$J$4:$J$339,0)),0)-$AG200)</f>
        <v/>
      </c>
      <c r="AI200" s="10">
        <f>IF($A200="","",IFERROR(INDEX('2_IMPORTAR_EJECUCION'!$F$9:$F$1208,MATCH($AQ200,'2_IMPORTAR_EJECUCION'!$J$9:$J$1208,0)),0))</f>
        <v/>
      </c>
      <c r="AJ200" s="10">
        <f>IF($A200="","",MAX(0,IFERROR(INDEX('2_IMPORTAR_EJECUCION'!$H$9:$H$1208,MATCH($AQ200,'2_IMPORTAR_EJECUCION'!$J$9:$J$1208,0)),0)-$AI200))</f>
        <v/>
      </c>
      <c r="AK200" s="10">
        <f>IF($A200="","",$AI200+$AJ200)</f>
        <v/>
      </c>
      <c r="AL200" s="6" t="inlineStr"/>
      <c r="AM200" s="6" t="inlineStr"/>
      <c r="AN200" s="6" t="inlineStr"/>
      <c r="AO200" s="3">
        <f>IF($AN200="","",HYPERLINK(p_ruta_base_checklists&amp;$AN200,"abrir"))</f>
        <v/>
      </c>
      <c r="AP200" s="6" t="inlineStr"/>
      <c r="AQ200" s="3">
        <f>IF($A200="","",$A200&amp;IF($B200="","0010",$B200))</f>
        <v/>
      </c>
    </row>
    <row r="201">
      <c r="A201" s="3" t="inlineStr">
        <is>
          <t>OT-000908</t>
        </is>
      </c>
      <c r="B201" s="3" t="inlineStr">
        <is>
          <t>0010</t>
        </is>
      </c>
      <c r="C201" s="3" t="inlineStr">
        <is>
          <t>Reparación de falla — EQ-104</t>
        </is>
      </c>
      <c r="D201" s="3" t="inlineStr">
        <is>
          <t>Reparación de falla en EQ-104</t>
        </is>
      </c>
      <c r="E201" s="3" t="inlineStr">
        <is>
          <t>EQ-104</t>
        </is>
      </c>
      <c r="F201" s="3" t="inlineStr">
        <is>
          <t>CC-110</t>
        </is>
      </c>
      <c r="G201" s="3" t="inlineStr">
        <is>
          <t>PU-XXX</t>
        </is>
      </c>
      <c r="H201" s="3" t="inlineStr">
        <is>
          <t>ACT-03</t>
        </is>
      </c>
      <c r="I201" s="3" t="inlineStr">
        <is>
          <t>TIPO-C1</t>
        </is>
      </c>
      <c r="J201" s="11" t="n">
        <v>46163</v>
      </c>
      <c r="K201" s="3" t="n">
        <v>4</v>
      </c>
      <c r="L201" s="10" t="n">
        <v>160</v>
      </c>
      <c r="M201" s="3">
        <f>IF($A201="","",IFERROR(INDEX('AJUSTES'!$B$4:$B$303,MATCH($AQ201,'AJUSTES'!$A$4:$A$303,0)),IF($K201="","",$K201)))</f>
        <v/>
      </c>
      <c r="N201" s="3">
        <f>IF($A201="","",IFERROR(INDEX('CAT_ESTADOS_ERP'!$B$4:$B$7,MATCH(IFERROR(INDEX('2_IMPORTAR_EJECUCION'!$C$9:$C$1208,MATCH($AQ201,'2_IMPORTAR_EJECUCION'!$J$9:$J$1208,0)),""),'CAT_ESTADOS_ERP'!$A$4:$A$7,0)),"Pendiente"))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J201="","",IFERROR(INDEX('CALENDARIO'!$C$15:$C$214,MATCH(TEXT($J201,"yyyy-mm-dd")&amp;"|"&amp;$V201&amp;"|"&amp;$W201,'CALENDARIO'!$G$15:$G$214,0)),IFERROR(INDEX('CALENDARIO'!$C$15:$C$214,MATCH(TEXT($J201,"yyyy-mm-dd")&amp;"|"&amp;$V201&amp;"|",'CALENDARIO'!$G$15:$G$214,0)),IFERROR(INDEX('CALENDARIO'!$C$15:$C$214,MATCH(TEXT($J201,"yyyy-mm-dd")&amp;"||",'CALENDARIO'!$G$15:$G$214,0)),INDEX(patronHabil,WEEKDAY($J201,2))))))</f>
        <v/>
      </c>
      <c r="T201" s="3">
        <f>IF($I201="","",IFERROR(INDEX('CAT_TIPOS_OT'!$C$4:$C$7,MATCH($I201,'CAT_TIPOS_OT'!$A$4:$A$7,0)),"sin_clasificar"))</f>
        <v/>
      </c>
      <c r="U201" s="3">
        <f>IF($F201="","",IFERROR(INDEX('CAT_CENTROS_COSTO'!$F$4:$F$13,MATCH($F201,'CAT_CENTROS_COSTO'!$A$4:$A$13,0)),"(sin catálogo)"))</f>
        <v/>
      </c>
      <c r="V201" s="3">
        <f>IF($F201="","",IFERROR(INDEX('CAT_CENTROS_COSTO'!$D$4:$D$13,MATCH($F201,'CAT_CENTROS_COSTO'!$A$4:$A$13,0)),"(sin catálogo)"))</f>
        <v/>
      </c>
      <c r="W201" s="3">
        <f>IF($F201="","",IF((IFERROR(INDEX('CAT_CENTROS_COSTO'!$E$4:$E$13,MATCH($F201,'CAT_CENTROS_COSTO'!$A$4:$A$13,0)),""))&lt;&gt;"",IFERROR(INDEX('CAT_CENTROS_COSTO'!$E$4:$E$13,MATCH($F201,'CAT_CENTROS_COSTO'!$A$4:$A$13,0)),""),$V201))</f>
        <v/>
      </c>
      <c r="X201" s="3">
        <f>IF($F201="","",IFERROR(INDEX('CAT_CENTROS_COSTO'!$G$4:$G$13,MATCH($F201,'CAT_CENTROS_COSTO'!$A$4:$A$13,0)),"(sin catálogo)"))</f>
        <v/>
      </c>
      <c r="Y201" s="3">
        <f>IF($G201="","",IFERROR(INDEX('CAT_PUESTOS'!$B$4:$B$8,MATCH($G201,'CAT_PUESTOS'!$A$4:$A$8,0)),"(sin catálogo)"))</f>
        <v/>
      </c>
      <c r="Z201" s="3">
        <f>IF($H201="","",IFERROR(INDEX('CAT_ACTIVIDADES'!$B$4:$B$8,MATCH($H201,'CAT_ACTIVIDADES'!$A$4:$A$8,0)),"(sin catálogo)"))</f>
        <v/>
      </c>
      <c r="AA201" s="12">
        <f>IF($J201="","",TODAY()-$J201)</f>
        <v/>
      </c>
      <c r="AB201" s="12">
        <f>IF($J201="","",IF($J201&lt;=TODAY(),COUNTIFS(cal_fechas,"&gt;="&amp;$J201,cal_fechas,"&lt;"&amp;TODAY(),cal_habil,"sí"),-COUNTIFS(cal_fechas,"&gt;="&amp;TODAY(),cal_fechas,"&lt;"&amp;$J201,cal_habil,"sí")))</f>
        <v/>
      </c>
      <c r="AC201" s="3">
        <f>IF($AB201="","",IF($AB201&lt;0,"FUTURO",IF($AB201&gt;p_dias_backlog_max,"BACKLOG","MES CORRIENTE")))</f>
        <v/>
      </c>
      <c r="AD201" s="3">
        <f>IF($AB201="",FALSE,AND($AB201&gt;p_dias_backlog_min,$AB201&lt;=p_dias_backlog_max))</f>
        <v/>
      </c>
      <c r="AE201" s="6" t="inlineStr"/>
      <c r="AF201" s="3">
        <f>IF($AE201="","",IF((IFERROR(INDEX('ASIGNACIONES'!$F$4:$F$339,MATCH($O201&amp;"|"&amp;$R201&amp;"|"&amp;$AE201,'ASIGNACIONES'!$J$4:$J$339,0)),""))=0,"",IFERROR(INDEX('ASIGNACIONES'!$F$4:$F$339,MATCH($O201&amp;"|"&amp;$R201&amp;"|"&amp;$AE201,'ASIGNACIONES'!$J$4:$J$339,0)),"")))</f>
        <v/>
      </c>
      <c r="AG201" s="13">
        <f>IF($AE201="","",SUMIFS('ORDENES'!$M$4:$M$1203,'ORDENES'!$AE$4:$AE$1203,$AE201,'ORDENES'!$O$4:$O$1203,$O201,'ORDENES'!$R$4:$R$1203,$R201))</f>
        <v/>
      </c>
      <c r="AH201" s="13">
        <f>IF($AG201="","",p_factor_productividad*IFERROR(INDEX('ASIGNACIONES'!$I$4:$I$339,MATCH($O201&amp;"|"&amp;$R201&amp;"|"&amp;$AE201,'ASIGNACIONES'!$J$4:$J$339,0)),0)-$AG201)</f>
        <v/>
      </c>
      <c r="AI201" s="10">
        <f>IF($A201="","",IFERROR(INDEX('2_IMPORTAR_EJECUCION'!$F$9:$F$1208,MATCH($AQ201,'2_IMPORTAR_EJECUCION'!$J$9:$J$1208,0)),0))</f>
        <v/>
      </c>
      <c r="AJ201" s="10">
        <f>IF($A201="","",MAX(0,IFERROR(INDEX('2_IMPORTAR_EJECUCION'!$H$9:$H$1208,MATCH($AQ201,'2_IMPORTAR_EJECUCION'!$J$9:$J$1208,0)),0)-$AI201))</f>
        <v/>
      </c>
      <c r="AK201" s="10">
        <f>IF($A201="","",$AI201+$AJ201)</f>
        <v/>
      </c>
      <c r="AL201" s="6" t="inlineStr"/>
      <c r="AM201" s="6" t="inlineStr"/>
      <c r="AN201" s="6" t="inlineStr"/>
      <c r="AO201" s="3">
        <f>IF($AN201="","",HYPERLINK(p_ruta_base_checklists&amp;$AN201,"abrir"))</f>
        <v/>
      </c>
      <c r="AP201" s="6" t="inlineStr"/>
      <c r="AQ201" s="3">
        <f>IF($A201="","",$A201&amp;IF($B201="","0010",$B201))</f>
        <v/>
      </c>
    </row>
    <row r="202">
      <c r="A202" s="3" t="inlineStr">
        <is>
          <t>OT-000909</t>
        </is>
      </c>
      <c r="B202" s="3" t="inlineStr">
        <is>
          <t>0010</t>
        </is>
      </c>
      <c r="C202" s="3" t="inlineStr">
        <is>
          <t>Reparación de falla — EQ-105</t>
        </is>
      </c>
      <c r="D202" s="3" t="inlineStr">
        <is>
          <t>Reparación de falla en EQ-105</t>
        </is>
      </c>
      <c r="E202" s="3" t="inlineStr">
        <is>
          <t>EQ-105</t>
        </is>
      </c>
      <c r="F202" s="3" t="inlineStr">
        <is>
          <t>CC-110</t>
        </is>
      </c>
      <c r="G202" s="3" t="inlineStr">
        <is>
          <t>PU-AUT</t>
        </is>
      </c>
      <c r="H202" s="3" t="inlineStr">
        <is>
          <t>ACT-99</t>
        </is>
      </c>
      <c r="I202" s="3" t="inlineStr">
        <is>
          <t>TIPO-C2</t>
        </is>
      </c>
      <c r="J202" s="11" t="n">
        <v>46161</v>
      </c>
      <c r="K202" s="3" t="n">
        <v>4</v>
      </c>
      <c r="L202" s="10" t="n">
        <v>160</v>
      </c>
      <c r="M202" s="3">
        <f>IF($A202="","",IFERROR(INDEX('AJUSTES'!$B$4:$B$303,MATCH($AQ202,'AJUSTES'!$A$4:$A$303,0)),IF($K202="","",$K202)))</f>
        <v/>
      </c>
      <c r="N202" s="3">
        <f>IF($A202="","",IFERROR(INDEX('CAT_ESTADOS_ERP'!$B$4:$B$7,MATCH(IFERROR(INDEX('2_IMPORTAR_EJECUCION'!$C$9:$C$1208,MATCH($AQ202,'2_IMPORTAR_EJECUCION'!$J$9:$J$1208,0)),""),'CAT_ESTADOS_ERP'!$A$4:$A$7,0)),"Pendiente"))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J202="","",IFERROR(INDEX('CALENDARIO'!$C$15:$C$214,MATCH(TEXT($J202,"yyyy-mm-dd")&amp;"|"&amp;$V202&amp;"|"&amp;$W202,'CALENDARIO'!$G$15:$G$214,0)),IFERROR(INDEX('CALENDARIO'!$C$15:$C$214,MATCH(TEXT($J202,"yyyy-mm-dd")&amp;"|"&amp;$V202&amp;"|",'CALENDARIO'!$G$15:$G$214,0)),IFERROR(INDEX('CALENDARIO'!$C$15:$C$214,MATCH(TEXT($J202,"yyyy-mm-dd")&amp;"||",'CALENDARIO'!$G$15:$G$214,0)),INDEX(patronHabil,WEEKDAY($J202,2))))))</f>
        <v/>
      </c>
      <c r="T202" s="3">
        <f>IF($I202="","",IFERROR(INDEX('CAT_TIPOS_OT'!$C$4:$C$7,MATCH($I202,'CAT_TIPOS_OT'!$A$4:$A$7,0)),"sin_clasificar"))</f>
        <v/>
      </c>
      <c r="U202" s="3">
        <f>IF($F202="","",IFERROR(INDEX('CAT_CENTROS_COSTO'!$F$4:$F$13,MATCH($F202,'CAT_CENTROS_COSTO'!$A$4:$A$13,0)),"(sin catálogo)"))</f>
        <v/>
      </c>
      <c r="V202" s="3">
        <f>IF($F202="","",IFERROR(INDEX('CAT_CENTROS_COSTO'!$D$4:$D$13,MATCH($F202,'CAT_CENTROS_COSTO'!$A$4:$A$13,0)),"(sin catálogo)"))</f>
        <v/>
      </c>
      <c r="W202" s="3">
        <f>IF($F202="","",IF((IFERROR(INDEX('CAT_CENTROS_COSTO'!$E$4:$E$13,MATCH($F202,'CAT_CENTROS_COSTO'!$A$4:$A$13,0)),""))&lt;&gt;"",IFERROR(INDEX('CAT_CENTROS_COSTO'!$E$4:$E$13,MATCH($F202,'CAT_CENTROS_COSTO'!$A$4:$A$13,0)),""),$V202))</f>
        <v/>
      </c>
      <c r="X202" s="3">
        <f>IF($F202="","",IFERROR(INDEX('CAT_CENTROS_COSTO'!$G$4:$G$13,MATCH($F202,'CAT_CENTROS_COSTO'!$A$4:$A$13,0)),"(sin catálogo)"))</f>
        <v/>
      </c>
      <c r="Y202" s="3">
        <f>IF($G202="","",IFERROR(INDEX('CAT_PUESTOS'!$B$4:$B$8,MATCH($G202,'CAT_PUESTOS'!$A$4:$A$8,0)),"(sin catálogo)"))</f>
        <v/>
      </c>
      <c r="Z202" s="3">
        <f>IF($H202="","",IFERROR(INDEX('CAT_ACTIVIDADES'!$B$4:$B$8,MATCH($H202,'CAT_ACTIVIDADES'!$A$4:$A$8,0)),"(sin catálogo)"))</f>
        <v/>
      </c>
      <c r="AA202" s="12">
        <f>IF($J202="","",TODAY()-$J202)</f>
        <v/>
      </c>
      <c r="AB202" s="12">
        <f>IF($J202="","",IF($J202&lt;=TODAY(),COUNTIFS(cal_fechas,"&gt;="&amp;$J202,cal_fechas,"&lt;"&amp;TODAY(),cal_habil,"sí"),-COUNTIFS(cal_fechas,"&gt;="&amp;TODAY(),cal_fechas,"&lt;"&amp;$J202,cal_habil,"sí")))</f>
        <v/>
      </c>
      <c r="AC202" s="3">
        <f>IF($AB202="","",IF($AB202&lt;0,"FUTURO",IF($AB202&gt;p_dias_backlog_max,"BACKLOG","MES CORRIENTE")))</f>
        <v/>
      </c>
      <c r="AD202" s="3">
        <f>IF($AB202="",FALSE,AND($AB202&gt;p_dias_backlog_min,$AB202&lt;=p_dias_backlog_max))</f>
        <v/>
      </c>
      <c r="AE202" s="6" t="inlineStr"/>
      <c r="AF202" s="3">
        <f>IF($AE202="","",IF((IFERROR(INDEX('ASIGNACIONES'!$F$4:$F$339,MATCH($O202&amp;"|"&amp;$R202&amp;"|"&amp;$AE202,'ASIGNACIONES'!$J$4:$J$339,0)),""))=0,"",IFERROR(INDEX('ASIGNACIONES'!$F$4:$F$339,MATCH($O202&amp;"|"&amp;$R202&amp;"|"&amp;$AE202,'ASIGNACIONES'!$J$4:$J$339,0)),"")))</f>
        <v/>
      </c>
      <c r="AG202" s="13">
        <f>IF($AE202="","",SUMIFS('ORDENES'!$M$4:$M$1203,'ORDENES'!$AE$4:$AE$1203,$AE202,'ORDENES'!$O$4:$O$1203,$O202,'ORDENES'!$R$4:$R$1203,$R202))</f>
        <v/>
      </c>
      <c r="AH202" s="13">
        <f>IF($AG202="","",p_factor_productividad*IFERROR(INDEX('ASIGNACIONES'!$I$4:$I$339,MATCH($O202&amp;"|"&amp;$R202&amp;"|"&amp;$AE202,'ASIGNACIONES'!$J$4:$J$339,0)),0)-$AG202)</f>
        <v/>
      </c>
      <c r="AI202" s="10">
        <f>IF($A202="","",IFERROR(INDEX('2_IMPORTAR_EJECUCION'!$F$9:$F$1208,MATCH($AQ202,'2_IMPORTAR_EJECUCION'!$J$9:$J$1208,0)),0))</f>
        <v/>
      </c>
      <c r="AJ202" s="10">
        <f>IF($A202="","",MAX(0,IFERROR(INDEX('2_IMPORTAR_EJECUCION'!$H$9:$H$1208,MATCH($AQ202,'2_IMPORTAR_EJECUCION'!$J$9:$J$1208,0)),0)-$AI202))</f>
        <v/>
      </c>
      <c r="AK202" s="10">
        <f>IF($A202="","",$AI202+$AJ202)</f>
        <v/>
      </c>
      <c r="AL202" s="6" t="inlineStr"/>
      <c r="AM202" s="6" t="inlineStr"/>
      <c r="AN202" s="6" t="inlineStr"/>
      <c r="AO202" s="3">
        <f>IF($AN202="","",HYPERLINK(p_ruta_base_checklists&amp;$AN202,"abrir"))</f>
        <v/>
      </c>
      <c r="AP202" s="6" t="inlineStr"/>
      <c r="AQ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46190</v>
      </c>
      <c r="K203" s="3" t="n">
        <v>2</v>
      </c>
      <c r="L203" s="10" t="n">
        <v>80</v>
      </c>
      <c r="M203" s="3">
        <f>IF($A203="","",IFERROR(INDEX('AJUSTES'!$B$4:$B$303,MATCH($AQ203,'AJUSTES'!$A$4:$A$303,0)),IF($K203="","",$K203)))</f>
        <v/>
      </c>
      <c r="N203" s="3">
        <f>IF($A203="","",IFERROR(INDEX('CAT_ESTADOS_ERP'!$B$4:$B$7,MATCH(IFERROR(INDEX('2_IMPORTAR_EJECUCION'!$C$9:$C$1208,MATCH($AQ203,'2_IMPORTAR_EJECUCION'!$J$9:$J$1208,0)),""),'CAT_ESTADOS_ERP'!$A$4:$A$7,0)),"Pendiente"))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J203="","",IFERROR(INDEX('CALENDARIO'!$C$15:$C$214,MATCH(TEXT($J203,"yyyy-mm-dd")&amp;"|"&amp;$V203&amp;"|"&amp;$W203,'CALENDARIO'!$G$15:$G$214,0)),IFERROR(INDEX('CALENDARIO'!$C$15:$C$214,MATCH(TEXT($J203,"yyyy-mm-dd")&amp;"|"&amp;$V203&amp;"|",'CALENDARIO'!$G$15:$G$214,0)),IFERROR(INDEX('CALENDARIO'!$C$15:$C$214,MATCH(TEXT($J203,"yyyy-mm-dd")&amp;"||",'CALENDARIO'!$G$15:$G$214,0)),INDEX(patronHabil,WEEKDAY($J203,2))))))</f>
        <v/>
      </c>
      <c r="T203" s="3">
        <f>IF($I203="","",IFERROR(INDEX('CAT_TIPOS_OT'!$C$4:$C$7,MATCH($I203,'CAT_TIPOS_OT'!$A$4:$A$7,0)),"sin_clasificar"))</f>
        <v/>
      </c>
      <c r="U203" s="3">
        <f>IF($F203="","",IFERROR(INDEX('CAT_CENTROS_COSTO'!$F$4:$F$13,MATCH($F203,'CAT_CENTROS_COSTO'!$A$4:$A$13,0)),"(sin catálogo)"))</f>
        <v/>
      </c>
      <c r="V203" s="3">
        <f>IF($F203="","",IFERROR(INDEX('CAT_CENTROS_COSTO'!$D$4:$D$13,MATCH($F203,'CAT_CENTROS_COSTO'!$A$4:$A$13,0)),"(sin catálogo)"))</f>
        <v/>
      </c>
      <c r="W203" s="3">
        <f>IF($F203="","",IF((IFERROR(INDEX('CAT_CENTROS_COSTO'!$E$4:$E$13,MATCH($F203,'CAT_CENTROS_COSTO'!$A$4:$A$13,0)),""))&lt;&gt;"",IFERROR(INDEX('CAT_CENTROS_COSTO'!$E$4:$E$13,MATCH($F203,'CAT_CENTROS_COSTO'!$A$4:$A$13,0)),""),$V203))</f>
        <v/>
      </c>
      <c r="X203" s="3">
        <f>IF($F203="","",IFERROR(INDEX('CAT_CENTROS_COSTO'!$G$4:$G$13,MATCH($F203,'CAT_CENTROS_COSTO'!$A$4:$A$13,0)),"(sin catálogo)"))</f>
        <v/>
      </c>
      <c r="Y203" s="3">
        <f>IF($G203="","",IFERROR(INDEX('CAT_PUESTOS'!$B$4:$B$8,MATCH($G203,'CAT_PUESTOS'!$A$4:$A$8,0)),"(sin catálogo)"))</f>
        <v/>
      </c>
      <c r="Z203" s="3">
        <f>IF($H203="","",IFERROR(INDEX('CAT_ACTIVIDADES'!$B$4:$B$8,MATCH($H203,'CAT_ACTIVIDADES'!$A$4:$A$8,0)),"(sin catálogo)"))</f>
        <v/>
      </c>
      <c r="AA203" s="12">
        <f>IF($J203="","",TODAY()-$J203)</f>
        <v/>
      </c>
      <c r="AB203" s="12">
        <f>IF($J203="","",IF($J203&lt;=TODAY(),COUNTIFS(cal_fechas,"&gt;="&amp;$J203,cal_fechas,"&lt;"&amp;TODAY(),cal_habil,"sí"),-COUNTIFS(cal_fechas,"&gt;="&amp;TODAY(),cal_fechas,"&lt;"&amp;$J203,cal_habil,"sí")))</f>
        <v/>
      </c>
      <c r="AC203" s="3">
        <f>IF($AB203="","",IF($AB203&lt;0,"FUTURO",IF($AB203&gt;p_dias_backlog_max,"BACKLOG","MES CORRIENTE")))</f>
        <v/>
      </c>
      <c r="AD203" s="3">
        <f>IF($AB203="",FALSE,AND($AB203&gt;p_dias_backlog_min,$AB203&lt;=p_dias_backlog_max))</f>
        <v/>
      </c>
      <c r="AE203" s="6" t="inlineStr"/>
      <c r="AF203" s="3">
        <f>IF($AE203="","",IF((IFERROR(INDEX('ASIGNACIONES'!$F$4:$F$339,MATCH($O203&amp;"|"&amp;$R203&amp;"|"&amp;$AE203,'ASIGNACIONES'!$J$4:$J$339,0)),""))=0,"",IFERROR(INDEX('ASIGNACIONES'!$F$4:$F$339,MATCH($O203&amp;"|"&amp;$R203&amp;"|"&amp;$AE203,'ASIGNACIONES'!$J$4:$J$339,0)),"")))</f>
        <v/>
      </c>
      <c r="AG203" s="13">
        <f>IF($AE203="","",SUMIFS('ORDENES'!$M$4:$M$1203,'ORDENES'!$AE$4:$AE$1203,$AE203,'ORDENES'!$O$4:$O$1203,$O203,'ORDENES'!$R$4:$R$1203,$R203))</f>
        <v/>
      </c>
      <c r="AH203" s="13">
        <f>IF($AG203="","",p_factor_productividad*IFERROR(INDEX('ASIGNACIONES'!$I$4:$I$339,MATCH($O203&amp;"|"&amp;$R203&amp;"|"&amp;$AE203,'ASIGNACIONES'!$J$4:$J$339,0)),0)-$AG203)</f>
        <v/>
      </c>
      <c r="AI203" s="10">
        <f>IF($A203="","",IFERROR(INDEX('2_IMPORTAR_EJECUCION'!$F$9:$F$1208,MATCH($AQ203,'2_IMPORTAR_EJECUCION'!$J$9:$J$1208,0)),0))</f>
        <v/>
      </c>
      <c r="AJ203" s="10">
        <f>IF($A203="","",MAX(0,IFERROR(INDEX('2_IMPORTAR_EJECUCION'!$H$9:$H$1208,MATCH($AQ203,'2_IMPORTAR_EJECUCION'!$J$9:$J$1208,0)),0)-$AI203))</f>
        <v/>
      </c>
      <c r="AK203" s="10">
        <f>IF($A203="","",$AI203+$AJ203)</f>
        <v/>
      </c>
      <c r="AL203" s="6" t="inlineStr"/>
      <c r="AM203" s="6" t="inlineStr"/>
      <c r="AN203" s="6" t="inlineStr"/>
      <c r="AO203" s="3">
        <f>IF($AN203="","",HYPERLINK(p_ruta_base_checklists&amp;$AN203,"abrir"))</f>
        <v/>
      </c>
      <c r="AP203" s="6" t="inlineStr"/>
      <c r="AQ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IF($A204="","",IFERROR(INDEX('AJUSTES'!$B$4:$B$303,MATCH($AQ204,'AJUSTES'!$A$4:$A$303,0)),IF($K204="","",$K204)))</f>
        <v/>
      </c>
      <c r="N204" s="3">
        <f>IF($A204="","",IFERROR(INDEX('CAT_ESTADOS_ERP'!$B$4:$B$7,MATCH(IFERROR(INDEX('2_IMPORTAR_EJECUCION'!$C$9:$C$1208,MATCH($AQ204,'2_IMPORTAR_EJECUCION'!$J$9:$J$1208,0)),""),'CAT_ESTADOS_ERP'!$A$4:$A$7,0)),"Pendiente"))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J204="","",IFERROR(INDEX('CALENDARIO'!$C$15:$C$214,MATCH(TEXT($J204,"yyyy-mm-dd")&amp;"|"&amp;$V204&amp;"|"&amp;$W204,'CALENDARIO'!$G$15:$G$214,0)),IFERROR(INDEX('CALENDARIO'!$C$15:$C$214,MATCH(TEXT($J204,"yyyy-mm-dd")&amp;"|"&amp;$V204&amp;"|",'CALENDARIO'!$G$15:$G$214,0)),IFERROR(INDEX('CALENDARIO'!$C$15:$C$214,MATCH(TEXT($J204,"yyyy-mm-dd")&amp;"||",'CALENDARIO'!$G$15:$G$214,0)),INDEX(patronHabil,WEEKDAY($J204,2))))))</f>
        <v/>
      </c>
      <c r="T204" s="3">
        <f>IF($I204="","",IFERROR(INDEX('CAT_TIPOS_OT'!$C$4:$C$7,MATCH($I204,'CAT_TIPOS_OT'!$A$4:$A$7,0)),"sin_clasificar"))</f>
        <v/>
      </c>
      <c r="U204" s="3">
        <f>IF($F204="","",IFERROR(INDEX('CAT_CENTROS_COSTO'!$F$4:$F$13,MATCH($F204,'CAT_CENTROS_COSTO'!$A$4:$A$13,0)),"(sin catálogo)"))</f>
        <v/>
      </c>
      <c r="V204" s="3">
        <f>IF($F204="","",IFERROR(INDEX('CAT_CENTROS_COSTO'!$D$4:$D$13,MATCH($F204,'CAT_CENTROS_COSTO'!$A$4:$A$13,0)),"(sin catálogo)"))</f>
        <v/>
      </c>
      <c r="W204" s="3">
        <f>IF($F204="","",IF((IFERROR(INDEX('CAT_CENTROS_COSTO'!$E$4:$E$13,MATCH($F204,'CAT_CENTROS_COSTO'!$A$4:$A$13,0)),""))&lt;&gt;"",IFERROR(INDEX('CAT_CENTROS_COSTO'!$E$4:$E$13,MATCH($F204,'CAT_CENTROS_COSTO'!$A$4:$A$13,0)),""),$V204))</f>
        <v/>
      </c>
      <c r="X204" s="3">
        <f>IF($F204="","",IFERROR(INDEX('CAT_CENTROS_COSTO'!$G$4:$G$13,MATCH($F204,'CAT_CENTROS_COSTO'!$A$4:$A$13,0)),"(sin catálogo)"))</f>
        <v/>
      </c>
      <c r="Y204" s="3">
        <f>IF($G204="","",IFERROR(INDEX('CAT_PUESTOS'!$B$4:$B$8,MATCH($G204,'CAT_PUESTOS'!$A$4:$A$8,0)),"(sin catálogo)"))</f>
        <v/>
      </c>
      <c r="Z204" s="3">
        <f>IF($H204="","",IFERROR(INDEX('CAT_ACTIVIDADES'!$B$4:$B$8,MATCH($H204,'CAT_ACTIVIDADES'!$A$4:$A$8,0)),"(sin catálogo)"))</f>
        <v/>
      </c>
      <c r="AA204" s="12">
        <f>IF($J204="","",TODAY()-$J204)</f>
        <v/>
      </c>
      <c r="AB204" s="12">
        <f>IF($J204="","",IF($J204&lt;=TODAY(),COUNTIFS(cal_fechas,"&gt;="&amp;$J204,cal_fechas,"&lt;"&amp;TODAY(),cal_habil,"sí"),-COUNTIFS(cal_fechas,"&gt;="&amp;TODAY(),cal_fechas,"&lt;"&amp;$J204,cal_habil,"sí")))</f>
        <v/>
      </c>
      <c r="AC204" s="3">
        <f>IF($AB204="","",IF($AB204&lt;0,"FUTURO",IF($AB204&gt;p_dias_backlog_max,"BACKLOG","MES CORRIENTE")))</f>
        <v/>
      </c>
      <c r="AD204" s="3">
        <f>IF($AB204="",FALSE,AND($AB204&gt;p_dias_backlog_min,$AB204&lt;=p_dias_backlog_max))</f>
        <v/>
      </c>
      <c r="AE204" s="6" t="n"/>
      <c r="AF204" s="3">
        <f>IF($AE204="","",IF((IFERROR(INDEX('ASIGNACIONES'!$F$4:$F$339,MATCH($O204&amp;"|"&amp;$R204&amp;"|"&amp;$AE204,'ASIGNACIONES'!$J$4:$J$339,0)),""))=0,"",IFERROR(INDEX('ASIGNACIONES'!$F$4:$F$339,MATCH($O204&amp;"|"&amp;$R204&amp;"|"&amp;$AE204,'ASIGNACIONES'!$J$4:$J$339,0)),"")))</f>
        <v/>
      </c>
      <c r="AG204" s="13">
        <f>IF($AE204="","",SUMIFS('ORDENES'!$M$4:$M$1203,'ORDENES'!$AE$4:$AE$1203,$AE204,'ORDENES'!$O$4:$O$1203,$O204,'ORDENES'!$R$4:$R$1203,$R204))</f>
        <v/>
      </c>
      <c r="AH204" s="13">
        <f>IF($AG204="","",p_factor_productividad*IFERROR(INDEX('ASIGNACIONES'!$I$4:$I$339,MATCH($O204&amp;"|"&amp;$R204&amp;"|"&amp;$AE204,'ASIGNACIONES'!$J$4:$J$339,0)),0)-$AG204)</f>
        <v/>
      </c>
      <c r="AI204" s="10">
        <f>IF($A204="","",IFERROR(INDEX('2_IMPORTAR_EJECUCION'!$F$9:$F$1208,MATCH($AQ204,'2_IMPORTAR_EJECUCION'!$J$9:$J$1208,0)),0))</f>
        <v/>
      </c>
      <c r="AJ204" s="10">
        <f>IF($A204="","",MAX(0,IFERROR(INDEX('2_IMPORTAR_EJECUCION'!$H$9:$H$1208,MATCH($AQ204,'2_IMPORTAR_EJECUCION'!$J$9:$J$1208,0)),0)-$AI204))</f>
        <v/>
      </c>
      <c r="AK204" s="10">
        <f>IF($A204="","",$AI204+$AJ204)</f>
        <v/>
      </c>
      <c r="AL204" s="6" t="n"/>
      <c r="AM204" s="6" t="n"/>
      <c r="AN204" s="6" t="n"/>
      <c r="AO204" s="3">
        <f>IF($AN204="","",HYPERLINK(p_ruta_base_checklists&amp;$AN204,"abrir"))</f>
        <v/>
      </c>
      <c r="AP204" s="6" t="n"/>
      <c r="AQ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IF($A205="","",IFERROR(INDEX('AJUSTES'!$B$4:$B$303,MATCH($AQ205,'AJUSTES'!$A$4:$A$303,0)),IF($K205="","",$K205)))</f>
        <v/>
      </c>
      <c r="N205" s="3">
        <f>IF($A205="","",IFERROR(INDEX('CAT_ESTADOS_ERP'!$B$4:$B$7,MATCH(IFERROR(INDEX('2_IMPORTAR_EJECUCION'!$C$9:$C$1208,MATCH($AQ205,'2_IMPORTAR_EJECUCION'!$J$9:$J$1208,0)),""),'CAT_ESTADOS_ERP'!$A$4:$A$7,0)),"Pendiente"))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J205="","",IFERROR(INDEX('CALENDARIO'!$C$15:$C$214,MATCH(TEXT($J205,"yyyy-mm-dd")&amp;"|"&amp;$V205&amp;"|"&amp;$W205,'CALENDARIO'!$G$15:$G$214,0)),IFERROR(INDEX('CALENDARIO'!$C$15:$C$214,MATCH(TEXT($J205,"yyyy-mm-dd")&amp;"|"&amp;$V205&amp;"|",'CALENDARIO'!$G$15:$G$214,0)),IFERROR(INDEX('CALENDARIO'!$C$15:$C$214,MATCH(TEXT($J205,"yyyy-mm-dd")&amp;"||",'CALENDARIO'!$G$15:$G$214,0)),INDEX(patronHabil,WEEKDAY($J205,2))))))</f>
        <v/>
      </c>
      <c r="T205" s="3">
        <f>IF($I205="","",IFERROR(INDEX('CAT_TIPOS_OT'!$C$4:$C$7,MATCH($I205,'CAT_TIPOS_OT'!$A$4:$A$7,0)),"sin_clasificar"))</f>
        <v/>
      </c>
      <c r="U205" s="3">
        <f>IF($F205="","",IFERROR(INDEX('CAT_CENTROS_COSTO'!$F$4:$F$13,MATCH($F205,'CAT_CENTROS_COSTO'!$A$4:$A$13,0)),"(sin catálogo)"))</f>
        <v/>
      </c>
      <c r="V205" s="3">
        <f>IF($F205="","",IFERROR(INDEX('CAT_CENTROS_COSTO'!$D$4:$D$13,MATCH($F205,'CAT_CENTROS_COSTO'!$A$4:$A$13,0)),"(sin catálogo)"))</f>
        <v/>
      </c>
      <c r="W205" s="3">
        <f>IF($F205="","",IF((IFERROR(INDEX('CAT_CENTROS_COSTO'!$E$4:$E$13,MATCH($F205,'CAT_CENTROS_COSTO'!$A$4:$A$13,0)),""))&lt;&gt;"",IFERROR(INDEX('CAT_CENTROS_COSTO'!$E$4:$E$13,MATCH($F205,'CAT_CENTROS_COSTO'!$A$4:$A$13,0)),""),$V205))</f>
        <v/>
      </c>
      <c r="X205" s="3">
        <f>IF($F205="","",IFERROR(INDEX('CAT_CENTROS_COSTO'!$G$4:$G$13,MATCH($F205,'CAT_CENTROS_COSTO'!$A$4:$A$13,0)),"(sin catálogo)"))</f>
        <v/>
      </c>
      <c r="Y205" s="3">
        <f>IF($G205="","",IFERROR(INDEX('CAT_PUESTOS'!$B$4:$B$8,MATCH($G205,'CAT_PUESTOS'!$A$4:$A$8,0)),"(sin catálogo)"))</f>
        <v/>
      </c>
      <c r="Z205" s="3">
        <f>IF($H205="","",IFERROR(INDEX('CAT_ACTIVIDADES'!$B$4:$B$8,MATCH($H205,'CAT_ACTIVIDADES'!$A$4:$A$8,0)),"(sin catálogo)"))</f>
        <v/>
      </c>
      <c r="AA205" s="12">
        <f>IF($J205="","",TODAY()-$J205)</f>
        <v/>
      </c>
      <c r="AB205" s="12">
        <f>IF($J205="","",IF($J205&lt;=TODAY(),COUNTIFS(cal_fechas,"&gt;="&amp;$J205,cal_fechas,"&lt;"&amp;TODAY(),cal_habil,"sí"),-COUNTIFS(cal_fechas,"&gt;="&amp;TODAY(),cal_fechas,"&lt;"&amp;$J205,cal_habil,"sí")))</f>
        <v/>
      </c>
      <c r="AC205" s="3">
        <f>IF($AB205="","",IF($AB205&lt;0,"FUTURO",IF($AB205&gt;p_dias_backlog_max,"BACKLOG","MES CORRIENTE")))</f>
        <v/>
      </c>
      <c r="AD205" s="3">
        <f>IF($AB205="",FALSE,AND($AB205&gt;p_dias_backlog_min,$AB205&lt;=p_dias_backlog_max))</f>
        <v/>
      </c>
      <c r="AE205" s="6" t="n"/>
      <c r="AF205" s="3">
        <f>IF($AE205="","",IF((IFERROR(INDEX('ASIGNACIONES'!$F$4:$F$339,MATCH($O205&amp;"|"&amp;$R205&amp;"|"&amp;$AE205,'ASIGNACIONES'!$J$4:$J$339,0)),""))=0,"",IFERROR(INDEX('ASIGNACIONES'!$F$4:$F$339,MATCH($O205&amp;"|"&amp;$R205&amp;"|"&amp;$AE205,'ASIGNACIONES'!$J$4:$J$339,0)),"")))</f>
        <v/>
      </c>
      <c r="AG205" s="13">
        <f>IF($AE205="","",SUMIFS('ORDENES'!$M$4:$M$1203,'ORDENES'!$AE$4:$AE$1203,$AE205,'ORDENES'!$O$4:$O$1203,$O205,'ORDENES'!$R$4:$R$1203,$R205))</f>
        <v/>
      </c>
      <c r="AH205" s="13">
        <f>IF($AG205="","",p_factor_productividad*IFERROR(INDEX('ASIGNACIONES'!$I$4:$I$339,MATCH($O205&amp;"|"&amp;$R205&amp;"|"&amp;$AE205,'ASIGNACIONES'!$J$4:$J$339,0)),0)-$AG205)</f>
        <v/>
      </c>
      <c r="AI205" s="10">
        <f>IF($A205="","",IFERROR(INDEX('2_IMPORTAR_EJECUCION'!$F$9:$F$1208,MATCH($AQ205,'2_IMPORTAR_EJECUCION'!$J$9:$J$1208,0)),0))</f>
        <v/>
      </c>
      <c r="AJ205" s="10">
        <f>IF($A205="","",MAX(0,IFERROR(INDEX('2_IMPORTAR_EJECUCION'!$H$9:$H$1208,MATCH($AQ205,'2_IMPORTAR_EJECUCION'!$J$9:$J$1208,0)),0)-$AI205))</f>
        <v/>
      </c>
      <c r="AK205" s="10">
        <f>IF($A205="","",$AI205+$AJ205)</f>
        <v/>
      </c>
      <c r="AL205" s="6" t="n"/>
      <c r="AM205" s="6" t="n"/>
      <c r="AN205" s="6" t="n"/>
      <c r="AO205" s="3">
        <f>IF($AN205="","",HYPERLINK(p_ruta_base_checklists&amp;$AN205,"abrir"))</f>
        <v/>
      </c>
      <c r="AP205" s="6" t="n"/>
      <c r="AQ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IF($A206="","",IFERROR(INDEX('AJUSTES'!$B$4:$B$303,MATCH($AQ206,'AJUSTES'!$A$4:$A$303,0)),IF($K206="","",$K206)))</f>
        <v/>
      </c>
      <c r="N206" s="3">
        <f>IF($A206="","",IFERROR(INDEX('CAT_ESTADOS_ERP'!$B$4:$B$7,MATCH(IFERROR(INDEX('2_IMPORTAR_EJECUCION'!$C$9:$C$1208,MATCH($AQ206,'2_IMPORTAR_EJECUCION'!$J$9:$J$1208,0)),""),'CAT_ESTADOS_ERP'!$A$4:$A$7,0)),"Pendiente"))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J206="","",IFERROR(INDEX('CALENDARIO'!$C$15:$C$214,MATCH(TEXT($J206,"yyyy-mm-dd")&amp;"|"&amp;$V206&amp;"|"&amp;$W206,'CALENDARIO'!$G$15:$G$214,0)),IFERROR(INDEX('CALENDARIO'!$C$15:$C$214,MATCH(TEXT($J206,"yyyy-mm-dd")&amp;"|"&amp;$V206&amp;"|",'CALENDARIO'!$G$15:$G$214,0)),IFERROR(INDEX('CALENDARIO'!$C$15:$C$214,MATCH(TEXT($J206,"yyyy-mm-dd")&amp;"||",'CALENDARIO'!$G$15:$G$214,0)),INDEX(patronHabil,WEEKDAY($J206,2))))))</f>
        <v/>
      </c>
      <c r="T206" s="3">
        <f>IF($I206="","",IFERROR(INDEX('CAT_TIPOS_OT'!$C$4:$C$7,MATCH($I206,'CAT_TIPOS_OT'!$A$4:$A$7,0)),"sin_clasificar"))</f>
        <v/>
      </c>
      <c r="U206" s="3">
        <f>IF($F206="","",IFERROR(INDEX('CAT_CENTROS_COSTO'!$F$4:$F$13,MATCH($F206,'CAT_CENTROS_COSTO'!$A$4:$A$13,0)),"(sin catálogo)"))</f>
        <v/>
      </c>
      <c r="V206" s="3">
        <f>IF($F206="","",IFERROR(INDEX('CAT_CENTROS_COSTO'!$D$4:$D$13,MATCH($F206,'CAT_CENTROS_COSTO'!$A$4:$A$13,0)),"(sin catálogo)"))</f>
        <v/>
      </c>
      <c r="W206" s="3">
        <f>IF($F206="","",IF((IFERROR(INDEX('CAT_CENTROS_COSTO'!$E$4:$E$13,MATCH($F206,'CAT_CENTROS_COSTO'!$A$4:$A$13,0)),""))&lt;&gt;"",IFERROR(INDEX('CAT_CENTROS_COSTO'!$E$4:$E$13,MATCH($F206,'CAT_CENTROS_COSTO'!$A$4:$A$13,0)),""),$V206))</f>
        <v/>
      </c>
      <c r="X206" s="3">
        <f>IF($F206="","",IFERROR(INDEX('CAT_CENTROS_COSTO'!$G$4:$G$13,MATCH($F206,'CAT_CENTROS_COSTO'!$A$4:$A$13,0)),"(sin catálogo)"))</f>
        <v/>
      </c>
      <c r="Y206" s="3">
        <f>IF($G206="","",IFERROR(INDEX('CAT_PUESTOS'!$B$4:$B$8,MATCH($G206,'CAT_PUESTOS'!$A$4:$A$8,0)),"(sin catálogo)"))</f>
        <v/>
      </c>
      <c r="Z206" s="3">
        <f>IF($H206="","",IFERROR(INDEX('CAT_ACTIVIDADES'!$B$4:$B$8,MATCH($H206,'CAT_ACTIVIDADES'!$A$4:$A$8,0)),"(sin catálogo)"))</f>
        <v/>
      </c>
      <c r="AA206" s="12">
        <f>IF($J206="","",TODAY()-$J206)</f>
        <v/>
      </c>
      <c r="AB206" s="12">
        <f>IF($J206="","",IF($J206&lt;=TODAY(),COUNTIFS(cal_fechas,"&gt;="&amp;$J206,cal_fechas,"&lt;"&amp;TODAY(),cal_habil,"sí"),-COUNTIFS(cal_fechas,"&gt;="&amp;TODAY(),cal_fechas,"&lt;"&amp;$J206,cal_habil,"sí")))</f>
        <v/>
      </c>
      <c r="AC206" s="3">
        <f>IF($AB206="","",IF($AB206&lt;0,"FUTURO",IF($AB206&gt;p_dias_backlog_max,"BACKLOG","MES CORRIENTE")))</f>
        <v/>
      </c>
      <c r="AD206" s="3">
        <f>IF($AB206="",FALSE,AND($AB206&gt;p_dias_backlog_min,$AB206&lt;=p_dias_backlog_max))</f>
        <v/>
      </c>
      <c r="AE206" s="6" t="n"/>
      <c r="AF206" s="3">
        <f>IF($AE206="","",IF((IFERROR(INDEX('ASIGNACIONES'!$F$4:$F$339,MATCH($O206&amp;"|"&amp;$R206&amp;"|"&amp;$AE206,'ASIGNACIONES'!$J$4:$J$339,0)),""))=0,"",IFERROR(INDEX('ASIGNACIONES'!$F$4:$F$339,MATCH($O206&amp;"|"&amp;$R206&amp;"|"&amp;$AE206,'ASIGNACIONES'!$J$4:$J$339,0)),"")))</f>
        <v/>
      </c>
      <c r="AG206" s="13">
        <f>IF($AE206="","",SUMIFS('ORDENES'!$M$4:$M$1203,'ORDENES'!$AE$4:$AE$1203,$AE206,'ORDENES'!$O$4:$O$1203,$O206,'ORDENES'!$R$4:$R$1203,$R206))</f>
        <v/>
      </c>
      <c r="AH206" s="13">
        <f>IF($AG206="","",p_factor_productividad*IFERROR(INDEX('ASIGNACIONES'!$I$4:$I$339,MATCH($O206&amp;"|"&amp;$R206&amp;"|"&amp;$AE206,'ASIGNACIONES'!$J$4:$J$339,0)),0)-$AG206)</f>
        <v/>
      </c>
      <c r="AI206" s="10">
        <f>IF($A206="","",IFERROR(INDEX('2_IMPORTAR_EJECUCION'!$F$9:$F$1208,MATCH($AQ206,'2_IMPORTAR_EJECUCION'!$J$9:$J$1208,0)),0))</f>
        <v/>
      </c>
      <c r="AJ206" s="10">
        <f>IF($A206="","",MAX(0,IFERROR(INDEX('2_IMPORTAR_EJECUCION'!$H$9:$H$1208,MATCH($AQ206,'2_IMPORTAR_EJECUCION'!$J$9:$J$1208,0)),0)-$AI206))</f>
        <v/>
      </c>
      <c r="AK206" s="10">
        <f>IF($A206="","",$AI206+$AJ206)</f>
        <v/>
      </c>
      <c r="AL206" s="6" t="n"/>
      <c r="AM206" s="6" t="n"/>
      <c r="AN206" s="6" t="n"/>
      <c r="AO206" s="3">
        <f>IF($AN206="","",HYPERLINK(p_ruta_base_checklists&amp;$AN206,"abrir"))</f>
        <v/>
      </c>
      <c r="AP206" s="6" t="n"/>
      <c r="AQ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IF($A207="","",IFERROR(INDEX('AJUSTES'!$B$4:$B$303,MATCH($AQ207,'AJUSTES'!$A$4:$A$303,0)),IF($K207="","",$K207)))</f>
        <v/>
      </c>
      <c r="N207" s="3">
        <f>IF($A207="","",IFERROR(INDEX('CAT_ESTADOS_ERP'!$B$4:$B$7,MATCH(IFERROR(INDEX('2_IMPORTAR_EJECUCION'!$C$9:$C$1208,MATCH($AQ207,'2_IMPORTAR_EJECUCION'!$J$9:$J$1208,0)),""),'CAT_ESTADOS_ERP'!$A$4:$A$7,0)),"Pendiente"))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J207="","",IFERROR(INDEX('CALENDARIO'!$C$15:$C$214,MATCH(TEXT($J207,"yyyy-mm-dd")&amp;"|"&amp;$V207&amp;"|"&amp;$W207,'CALENDARIO'!$G$15:$G$214,0)),IFERROR(INDEX('CALENDARIO'!$C$15:$C$214,MATCH(TEXT($J207,"yyyy-mm-dd")&amp;"|"&amp;$V207&amp;"|",'CALENDARIO'!$G$15:$G$214,0)),IFERROR(INDEX('CALENDARIO'!$C$15:$C$214,MATCH(TEXT($J207,"yyyy-mm-dd")&amp;"||",'CALENDARIO'!$G$15:$G$214,0)),INDEX(patronHabil,WEEKDAY($J207,2))))))</f>
        <v/>
      </c>
      <c r="T207" s="3">
        <f>IF($I207="","",IFERROR(INDEX('CAT_TIPOS_OT'!$C$4:$C$7,MATCH($I207,'CAT_TIPOS_OT'!$A$4:$A$7,0)),"sin_clasificar"))</f>
        <v/>
      </c>
      <c r="U207" s="3">
        <f>IF($F207="","",IFERROR(INDEX('CAT_CENTROS_COSTO'!$F$4:$F$13,MATCH($F207,'CAT_CENTROS_COSTO'!$A$4:$A$13,0)),"(sin catálogo)"))</f>
        <v/>
      </c>
      <c r="V207" s="3">
        <f>IF($F207="","",IFERROR(INDEX('CAT_CENTROS_COSTO'!$D$4:$D$13,MATCH($F207,'CAT_CENTROS_COSTO'!$A$4:$A$13,0)),"(sin catálogo)"))</f>
        <v/>
      </c>
      <c r="W207" s="3">
        <f>IF($F207="","",IF((IFERROR(INDEX('CAT_CENTROS_COSTO'!$E$4:$E$13,MATCH($F207,'CAT_CENTROS_COSTO'!$A$4:$A$13,0)),""))&lt;&gt;"",IFERROR(INDEX('CAT_CENTROS_COSTO'!$E$4:$E$13,MATCH($F207,'CAT_CENTROS_COSTO'!$A$4:$A$13,0)),""),$V207))</f>
        <v/>
      </c>
      <c r="X207" s="3">
        <f>IF($F207="","",IFERROR(INDEX('CAT_CENTROS_COSTO'!$G$4:$G$13,MATCH($F207,'CAT_CENTROS_COSTO'!$A$4:$A$13,0)),"(sin catálogo)"))</f>
        <v/>
      </c>
      <c r="Y207" s="3">
        <f>IF($G207="","",IFERROR(INDEX('CAT_PUESTOS'!$B$4:$B$8,MATCH($G207,'CAT_PUESTOS'!$A$4:$A$8,0)),"(sin catálogo)"))</f>
        <v/>
      </c>
      <c r="Z207" s="3">
        <f>IF($H207="","",IFERROR(INDEX('CAT_ACTIVIDADES'!$B$4:$B$8,MATCH($H207,'CAT_ACTIVIDADES'!$A$4:$A$8,0)),"(sin catálogo)"))</f>
        <v/>
      </c>
      <c r="AA207" s="12">
        <f>IF($J207="","",TODAY()-$J207)</f>
        <v/>
      </c>
      <c r="AB207" s="12">
        <f>IF($J207="","",IF($J207&lt;=TODAY(),COUNTIFS(cal_fechas,"&gt;="&amp;$J207,cal_fechas,"&lt;"&amp;TODAY(),cal_habil,"sí"),-COUNTIFS(cal_fechas,"&gt;="&amp;TODAY(),cal_fechas,"&lt;"&amp;$J207,cal_habil,"sí")))</f>
        <v/>
      </c>
      <c r="AC207" s="3">
        <f>IF($AB207="","",IF($AB207&lt;0,"FUTURO",IF($AB207&gt;p_dias_backlog_max,"BACKLOG","MES CORRIENTE")))</f>
        <v/>
      </c>
      <c r="AD207" s="3">
        <f>IF($AB207="",FALSE,AND($AB207&gt;p_dias_backlog_min,$AB207&lt;=p_dias_backlog_max))</f>
        <v/>
      </c>
      <c r="AE207" s="6" t="n"/>
      <c r="AF207" s="3">
        <f>IF($AE207="","",IF((IFERROR(INDEX('ASIGNACIONES'!$F$4:$F$339,MATCH($O207&amp;"|"&amp;$R207&amp;"|"&amp;$AE207,'ASIGNACIONES'!$J$4:$J$339,0)),""))=0,"",IFERROR(INDEX('ASIGNACIONES'!$F$4:$F$339,MATCH($O207&amp;"|"&amp;$R207&amp;"|"&amp;$AE207,'ASIGNACIONES'!$J$4:$J$339,0)),"")))</f>
        <v/>
      </c>
      <c r="AG207" s="13">
        <f>IF($AE207="","",SUMIFS('ORDENES'!$M$4:$M$1203,'ORDENES'!$AE$4:$AE$1203,$AE207,'ORDENES'!$O$4:$O$1203,$O207,'ORDENES'!$R$4:$R$1203,$R207))</f>
        <v/>
      </c>
      <c r="AH207" s="13">
        <f>IF($AG207="","",p_factor_productividad*IFERROR(INDEX('ASIGNACIONES'!$I$4:$I$339,MATCH($O207&amp;"|"&amp;$R207&amp;"|"&amp;$AE207,'ASIGNACIONES'!$J$4:$J$339,0)),0)-$AG207)</f>
        <v/>
      </c>
      <c r="AI207" s="10">
        <f>IF($A207="","",IFERROR(INDEX('2_IMPORTAR_EJECUCION'!$F$9:$F$1208,MATCH($AQ207,'2_IMPORTAR_EJECUCION'!$J$9:$J$1208,0)),0))</f>
        <v/>
      </c>
      <c r="AJ207" s="10">
        <f>IF($A207="","",MAX(0,IFERROR(INDEX('2_IMPORTAR_EJECUCION'!$H$9:$H$1208,MATCH($AQ207,'2_IMPORTAR_EJECUCION'!$J$9:$J$1208,0)),0)-$AI207))</f>
        <v/>
      </c>
      <c r="AK207" s="10">
        <f>IF($A207="","",$AI207+$AJ207)</f>
        <v/>
      </c>
      <c r="AL207" s="6" t="n"/>
      <c r="AM207" s="6" t="n"/>
      <c r="AN207" s="6" t="n"/>
      <c r="AO207" s="3">
        <f>IF($AN207="","",HYPERLINK(p_ruta_base_checklists&amp;$AN207,"abrir"))</f>
        <v/>
      </c>
      <c r="AP207" s="6" t="n"/>
      <c r="AQ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IF($A208="","",IFERROR(INDEX('AJUSTES'!$B$4:$B$303,MATCH($AQ208,'AJUSTES'!$A$4:$A$303,0)),IF($K208="","",$K208)))</f>
        <v/>
      </c>
      <c r="N208" s="3">
        <f>IF($A208="","",IFERROR(INDEX('CAT_ESTADOS_ERP'!$B$4:$B$7,MATCH(IFERROR(INDEX('2_IMPORTAR_EJECUCION'!$C$9:$C$1208,MATCH($AQ208,'2_IMPORTAR_EJECUCION'!$J$9:$J$1208,0)),""),'CAT_ESTADOS_ERP'!$A$4:$A$7,0)),"Pendiente"))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J208="","",IFERROR(INDEX('CALENDARIO'!$C$15:$C$214,MATCH(TEXT($J208,"yyyy-mm-dd")&amp;"|"&amp;$V208&amp;"|"&amp;$W208,'CALENDARIO'!$G$15:$G$214,0)),IFERROR(INDEX('CALENDARIO'!$C$15:$C$214,MATCH(TEXT($J208,"yyyy-mm-dd")&amp;"|"&amp;$V208&amp;"|",'CALENDARIO'!$G$15:$G$214,0)),IFERROR(INDEX('CALENDARIO'!$C$15:$C$214,MATCH(TEXT($J208,"yyyy-mm-dd")&amp;"||",'CALENDARIO'!$G$15:$G$214,0)),INDEX(patronHabil,WEEKDAY($J208,2))))))</f>
        <v/>
      </c>
      <c r="T208" s="3">
        <f>IF($I208="","",IFERROR(INDEX('CAT_TIPOS_OT'!$C$4:$C$7,MATCH($I208,'CAT_TIPOS_OT'!$A$4:$A$7,0)),"sin_clasificar"))</f>
        <v/>
      </c>
      <c r="U208" s="3">
        <f>IF($F208="","",IFERROR(INDEX('CAT_CENTROS_COSTO'!$F$4:$F$13,MATCH($F208,'CAT_CENTROS_COSTO'!$A$4:$A$13,0)),"(sin catálogo)"))</f>
        <v/>
      </c>
      <c r="V208" s="3">
        <f>IF($F208="","",IFERROR(INDEX('CAT_CENTROS_COSTO'!$D$4:$D$13,MATCH($F208,'CAT_CENTROS_COSTO'!$A$4:$A$13,0)),"(sin catálogo)"))</f>
        <v/>
      </c>
      <c r="W208" s="3">
        <f>IF($F208="","",IF((IFERROR(INDEX('CAT_CENTROS_COSTO'!$E$4:$E$13,MATCH($F208,'CAT_CENTROS_COSTO'!$A$4:$A$13,0)),""))&lt;&gt;"",IFERROR(INDEX('CAT_CENTROS_COSTO'!$E$4:$E$13,MATCH($F208,'CAT_CENTROS_COSTO'!$A$4:$A$13,0)),""),$V208))</f>
        <v/>
      </c>
      <c r="X208" s="3">
        <f>IF($F208="","",IFERROR(INDEX('CAT_CENTROS_COSTO'!$G$4:$G$13,MATCH($F208,'CAT_CENTROS_COSTO'!$A$4:$A$13,0)),"(sin catálogo)"))</f>
        <v/>
      </c>
      <c r="Y208" s="3">
        <f>IF($G208="","",IFERROR(INDEX('CAT_PUESTOS'!$B$4:$B$8,MATCH($G208,'CAT_PUESTOS'!$A$4:$A$8,0)),"(sin catálogo)"))</f>
        <v/>
      </c>
      <c r="Z208" s="3">
        <f>IF($H208="","",IFERROR(INDEX('CAT_ACTIVIDADES'!$B$4:$B$8,MATCH($H208,'CAT_ACTIVIDADES'!$A$4:$A$8,0)),"(sin catálogo)"))</f>
        <v/>
      </c>
      <c r="AA208" s="12">
        <f>IF($J208="","",TODAY()-$J208)</f>
        <v/>
      </c>
      <c r="AB208" s="12">
        <f>IF($J208="","",IF($J208&lt;=TODAY(),COUNTIFS(cal_fechas,"&gt;="&amp;$J208,cal_fechas,"&lt;"&amp;TODAY(),cal_habil,"sí"),-COUNTIFS(cal_fechas,"&gt;="&amp;TODAY(),cal_fechas,"&lt;"&amp;$J208,cal_habil,"sí")))</f>
        <v/>
      </c>
      <c r="AC208" s="3">
        <f>IF($AB208="","",IF($AB208&lt;0,"FUTURO",IF($AB208&gt;p_dias_backlog_max,"BACKLOG","MES CORRIENTE")))</f>
        <v/>
      </c>
      <c r="AD208" s="3">
        <f>IF($AB208="",FALSE,AND($AB208&gt;p_dias_backlog_min,$AB208&lt;=p_dias_backlog_max))</f>
        <v/>
      </c>
      <c r="AE208" s="6" t="n"/>
      <c r="AF208" s="3">
        <f>IF($AE208="","",IF((IFERROR(INDEX('ASIGNACIONES'!$F$4:$F$339,MATCH($O208&amp;"|"&amp;$R208&amp;"|"&amp;$AE208,'ASIGNACIONES'!$J$4:$J$339,0)),""))=0,"",IFERROR(INDEX('ASIGNACIONES'!$F$4:$F$339,MATCH($O208&amp;"|"&amp;$R208&amp;"|"&amp;$AE208,'ASIGNACIONES'!$J$4:$J$339,0)),"")))</f>
        <v/>
      </c>
      <c r="AG208" s="13">
        <f>IF($AE208="","",SUMIFS('ORDENES'!$M$4:$M$1203,'ORDENES'!$AE$4:$AE$1203,$AE208,'ORDENES'!$O$4:$O$1203,$O208,'ORDENES'!$R$4:$R$1203,$R208))</f>
        <v/>
      </c>
      <c r="AH208" s="13">
        <f>IF($AG208="","",p_factor_productividad*IFERROR(INDEX('ASIGNACIONES'!$I$4:$I$339,MATCH($O208&amp;"|"&amp;$R208&amp;"|"&amp;$AE208,'ASIGNACIONES'!$J$4:$J$339,0)),0)-$AG208)</f>
        <v/>
      </c>
      <c r="AI208" s="10">
        <f>IF($A208="","",IFERROR(INDEX('2_IMPORTAR_EJECUCION'!$F$9:$F$1208,MATCH($AQ208,'2_IMPORTAR_EJECUCION'!$J$9:$J$1208,0)),0))</f>
        <v/>
      </c>
      <c r="AJ208" s="10">
        <f>IF($A208="","",MAX(0,IFERROR(INDEX('2_IMPORTAR_EJECUCION'!$H$9:$H$1208,MATCH($AQ208,'2_IMPORTAR_EJECUCION'!$J$9:$J$1208,0)),0)-$AI208))</f>
        <v/>
      </c>
      <c r="AK208" s="10">
        <f>IF($A208="","",$AI208+$AJ208)</f>
        <v/>
      </c>
      <c r="AL208" s="6" t="n"/>
      <c r="AM208" s="6" t="n"/>
      <c r="AN208" s="6" t="n"/>
      <c r="AO208" s="3">
        <f>IF($AN208="","",HYPERLINK(p_ruta_base_checklists&amp;$AN208,"abrir"))</f>
        <v/>
      </c>
      <c r="AP208" s="6" t="n"/>
      <c r="AQ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IF($A209="","",IFERROR(INDEX('AJUSTES'!$B$4:$B$303,MATCH($AQ209,'AJUSTES'!$A$4:$A$303,0)),IF($K209="","",$K209)))</f>
        <v/>
      </c>
      <c r="N209" s="3">
        <f>IF($A209="","",IFERROR(INDEX('CAT_ESTADOS_ERP'!$B$4:$B$7,MATCH(IFERROR(INDEX('2_IMPORTAR_EJECUCION'!$C$9:$C$1208,MATCH($AQ209,'2_IMPORTAR_EJECUCION'!$J$9:$J$1208,0)),""),'CAT_ESTADOS_ERP'!$A$4:$A$7,0)),"Pendiente"))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J209="","",IFERROR(INDEX('CALENDARIO'!$C$15:$C$214,MATCH(TEXT($J209,"yyyy-mm-dd")&amp;"|"&amp;$V209&amp;"|"&amp;$W209,'CALENDARIO'!$G$15:$G$214,0)),IFERROR(INDEX('CALENDARIO'!$C$15:$C$214,MATCH(TEXT($J209,"yyyy-mm-dd")&amp;"|"&amp;$V209&amp;"|",'CALENDARIO'!$G$15:$G$214,0)),IFERROR(INDEX('CALENDARIO'!$C$15:$C$214,MATCH(TEXT($J209,"yyyy-mm-dd")&amp;"||",'CALENDARIO'!$G$15:$G$214,0)),INDEX(patronHabil,WEEKDAY($J209,2))))))</f>
        <v/>
      </c>
      <c r="T209" s="3">
        <f>IF($I209="","",IFERROR(INDEX('CAT_TIPOS_OT'!$C$4:$C$7,MATCH($I209,'CAT_TIPOS_OT'!$A$4:$A$7,0)),"sin_clasificar"))</f>
        <v/>
      </c>
      <c r="U209" s="3">
        <f>IF($F209="","",IFERROR(INDEX('CAT_CENTROS_COSTO'!$F$4:$F$13,MATCH($F209,'CAT_CENTROS_COSTO'!$A$4:$A$13,0)),"(sin catálogo)"))</f>
        <v/>
      </c>
      <c r="V209" s="3">
        <f>IF($F209="","",IFERROR(INDEX('CAT_CENTROS_COSTO'!$D$4:$D$13,MATCH($F209,'CAT_CENTROS_COSTO'!$A$4:$A$13,0)),"(sin catálogo)"))</f>
        <v/>
      </c>
      <c r="W209" s="3">
        <f>IF($F209="","",IF((IFERROR(INDEX('CAT_CENTROS_COSTO'!$E$4:$E$13,MATCH($F209,'CAT_CENTROS_COSTO'!$A$4:$A$13,0)),""))&lt;&gt;"",IFERROR(INDEX('CAT_CENTROS_COSTO'!$E$4:$E$13,MATCH($F209,'CAT_CENTROS_COSTO'!$A$4:$A$13,0)),""),$V209))</f>
        <v/>
      </c>
      <c r="X209" s="3">
        <f>IF($F209="","",IFERROR(INDEX('CAT_CENTROS_COSTO'!$G$4:$G$13,MATCH($F209,'CAT_CENTROS_COSTO'!$A$4:$A$13,0)),"(sin catálogo)"))</f>
        <v/>
      </c>
      <c r="Y209" s="3">
        <f>IF($G209="","",IFERROR(INDEX('CAT_PUESTOS'!$B$4:$B$8,MATCH($G209,'CAT_PUESTOS'!$A$4:$A$8,0)),"(sin catálogo)"))</f>
        <v/>
      </c>
      <c r="Z209" s="3">
        <f>IF($H209="","",IFERROR(INDEX('CAT_ACTIVIDADES'!$B$4:$B$8,MATCH($H209,'CAT_ACTIVIDADES'!$A$4:$A$8,0)),"(sin catálogo)"))</f>
        <v/>
      </c>
      <c r="AA209" s="12">
        <f>IF($J209="","",TODAY()-$J209)</f>
        <v/>
      </c>
      <c r="AB209" s="12">
        <f>IF($J209="","",IF($J209&lt;=TODAY(),COUNTIFS(cal_fechas,"&gt;="&amp;$J209,cal_fechas,"&lt;"&amp;TODAY(),cal_habil,"sí"),-COUNTIFS(cal_fechas,"&gt;="&amp;TODAY(),cal_fechas,"&lt;"&amp;$J209,cal_habil,"sí")))</f>
        <v/>
      </c>
      <c r="AC209" s="3">
        <f>IF($AB209="","",IF($AB209&lt;0,"FUTURO",IF($AB209&gt;p_dias_backlog_max,"BACKLOG","MES CORRIENTE")))</f>
        <v/>
      </c>
      <c r="AD209" s="3">
        <f>IF($AB209="",FALSE,AND($AB209&gt;p_dias_backlog_min,$AB209&lt;=p_dias_backlog_max))</f>
        <v/>
      </c>
      <c r="AE209" s="6" t="n"/>
      <c r="AF209" s="3">
        <f>IF($AE209="","",IF((IFERROR(INDEX('ASIGNACIONES'!$F$4:$F$339,MATCH($O209&amp;"|"&amp;$R209&amp;"|"&amp;$AE209,'ASIGNACIONES'!$J$4:$J$339,0)),""))=0,"",IFERROR(INDEX('ASIGNACIONES'!$F$4:$F$339,MATCH($O209&amp;"|"&amp;$R209&amp;"|"&amp;$AE209,'ASIGNACIONES'!$J$4:$J$339,0)),"")))</f>
        <v/>
      </c>
      <c r="AG209" s="13">
        <f>IF($AE209="","",SUMIFS('ORDENES'!$M$4:$M$1203,'ORDENES'!$AE$4:$AE$1203,$AE209,'ORDENES'!$O$4:$O$1203,$O209,'ORDENES'!$R$4:$R$1203,$R209))</f>
        <v/>
      </c>
      <c r="AH209" s="13">
        <f>IF($AG209="","",p_factor_productividad*IFERROR(INDEX('ASIGNACIONES'!$I$4:$I$339,MATCH($O209&amp;"|"&amp;$R209&amp;"|"&amp;$AE209,'ASIGNACIONES'!$J$4:$J$339,0)),0)-$AG209)</f>
        <v/>
      </c>
      <c r="AI209" s="10">
        <f>IF($A209="","",IFERROR(INDEX('2_IMPORTAR_EJECUCION'!$F$9:$F$1208,MATCH($AQ209,'2_IMPORTAR_EJECUCION'!$J$9:$J$1208,0)),0))</f>
        <v/>
      </c>
      <c r="AJ209" s="10">
        <f>IF($A209="","",MAX(0,IFERROR(INDEX('2_IMPORTAR_EJECUCION'!$H$9:$H$1208,MATCH($AQ209,'2_IMPORTAR_EJECUCION'!$J$9:$J$1208,0)),0)-$AI209))</f>
        <v/>
      </c>
      <c r="AK209" s="10">
        <f>IF($A209="","",$AI209+$AJ209)</f>
        <v/>
      </c>
      <c r="AL209" s="6" t="n"/>
      <c r="AM209" s="6" t="n"/>
      <c r="AN209" s="6" t="n"/>
      <c r="AO209" s="3">
        <f>IF($AN209="","",HYPERLINK(p_ruta_base_checklists&amp;$AN209,"abrir"))</f>
        <v/>
      </c>
      <c r="AP209" s="6" t="n"/>
      <c r="AQ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IF($A210="","",IFERROR(INDEX('AJUSTES'!$B$4:$B$303,MATCH($AQ210,'AJUSTES'!$A$4:$A$303,0)),IF($K210="","",$K210)))</f>
        <v/>
      </c>
      <c r="N210" s="3">
        <f>IF($A210="","",IFERROR(INDEX('CAT_ESTADOS_ERP'!$B$4:$B$7,MATCH(IFERROR(INDEX('2_IMPORTAR_EJECUCION'!$C$9:$C$1208,MATCH($AQ210,'2_IMPORTAR_EJECUCION'!$J$9:$J$1208,0)),""),'CAT_ESTADOS_ERP'!$A$4:$A$7,0)),"Pendiente"))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J210="","",IFERROR(INDEX('CALENDARIO'!$C$15:$C$214,MATCH(TEXT($J210,"yyyy-mm-dd")&amp;"|"&amp;$V210&amp;"|"&amp;$W210,'CALENDARIO'!$G$15:$G$214,0)),IFERROR(INDEX('CALENDARIO'!$C$15:$C$214,MATCH(TEXT($J210,"yyyy-mm-dd")&amp;"|"&amp;$V210&amp;"|",'CALENDARIO'!$G$15:$G$214,0)),IFERROR(INDEX('CALENDARIO'!$C$15:$C$214,MATCH(TEXT($J210,"yyyy-mm-dd")&amp;"||",'CALENDARIO'!$G$15:$G$214,0)),INDEX(patronHabil,WEEKDAY($J210,2))))))</f>
        <v/>
      </c>
      <c r="T210" s="3">
        <f>IF($I210="","",IFERROR(INDEX('CAT_TIPOS_OT'!$C$4:$C$7,MATCH($I210,'CAT_TIPOS_OT'!$A$4:$A$7,0)),"sin_clasificar"))</f>
        <v/>
      </c>
      <c r="U210" s="3">
        <f>IF($F210="","",IFERROR(INDEX('CAT_CENTROS_COSTO'!$F$4:$F$13,MATCH($F210,'CAT_CENTROS_COSTO'!$A$4:$A$13,0)),"(sin catálogo)"))</f>
        <v/>
      </c>
      <c r="V210" s="3">
        <f>IF($F210="","",IFERROR(INDEX('CAT_CENTROS_COSTO'!$D$4:$D$13,MATCH($F210,'CAT_CENTROS_COSTO'!$A$4:$A$13,0)),"(sin catálogo)"))</f>
        <v/>
      </c>
      <c r="W210" s="3">
        <f>IF($F210="","",IF((IFERROR(INDEX('CAT_CENTROS_COSTO'!$E$4:$E$13,MATCH($F210,'CAT_CENTROS_COSTO'!$A$4:$A$13,0)),""))&lt;&gt;"",IFERROR(INDEX('CAT_CENTROS_COSTO'!$E$4:$E$13,MATCH($F210,'CAT_CENTROS_COSTO'!$A$4:$A$13,0)),""),$V210))</f>
        <v/>
      </c>
      <c r="X210" s="3">
        <f>IF($F210="","",IFERROR(INDEX('CAT_CENTROS_COSTO'!$G$4:$G$13,MATCH($F210,'CAT_CENTROS_COSTO'!$A$4:$A$13,0)),"(sin catálogo)"))</f>
        <v/>
      </c>
      <c r="Y210" s="3">
        <f>IF($G210="","",IFERROR(INDEX('CAT_PUESTOS'!$B$4:$B$8,MATCH($G210,'CAT_PUESTOS'!$A$4:$A$8,0)),"(sin catálogo)"))</f>
        <v/>
      </c>
      <c r="Z210" s="3">
        <f>IF($H210="","",IFERROR(INDEX('CAT_ACTIVIDADES'!$B$4:$B$8,MATCH($H210,'CAT_ACTIVIDADES'!$A$4:$A$8,0)),"(sin catálogo)"))</f>
        <v/>
      </c>
      <c r="AA210" s="12">
        <f>IF($J210="","",TODAY()-$J210)</f>
        <v/>
      </c>
      <c r="AB210" s="12">
        <f>IF($J210="","",IF($J210&lt;=TODAY(),COUNTIFS(cal_fechas,"&gt;="&amp;$J210,cal_fechas,"&lt;"&amp;TODAY(),cal_habil,"sí"),-COUNTIFS(cal_fechas,"&gt;="&amp;TODAY(),cal_fechas,"&lt;"&amp;$J210,cal_habil,"sí")))</f>
        <v/>
      </c>
      <c r="AC210" s="3">
        <f>IF($AB210="","",IF($AB210&lt;0,"FUTURO",IF($AB210&gt;p_dias_backlog_max,"BACKLOG","MES CORRIENTE")))</f>
        <v/>
      </c>
      <c r="AD210" s="3">
        <f>IF($AB210="",FALSE,AND($AB210&gt;p_dias_backlog_min,$AB210&lt;=p_dias_backlog_max))</f>
        <v/>
      </c>
      <c r="AE210" s="6" t="n"/>
      <c r="AF210" s="3">
        <f>IF($AE210="","",IF((IFERROR(INDEX('ASIGNACIONES'!$F$4:$F$339,MATCH($O210&amp;"|"&amp;$R210&amp;"|"&amp;$AE210,'ASIGNACIONES'!$J$4:$J$339,0)),""))=0,"",IFERROR(INDEX('ASIGNACIONES'!$F$4:$F$339,MATCH($O210&amp;"|"&amp;$R210&amp;"|"&amp;$AE210,'ASIGNACIONES'!$J$4:$J$339,0)),"")))</f>
        <v/>
      </c>
      <c r="AG210" s="13">
        <f>IF($AE210="","",SUMIFS('ORDENES'!$M$4:$M$1203,'ORDENES'!$AE$4:$AE$1203,$AE210,'ORDENES'!$O$4:$O$1203,$O210,'ORDENES'!$R$4:$R$1203,$R210))</f>
        <v/>
      </c>
      <c r="AH210" s="13">
        <f>IF($AG210="","",p_factor_productividad*IFERROR(INDEX('ASIGNACIONES'!$I$4:$I$339,MATCH($O210&amp;"|"&amp;$R210&amp;"|"&amp;$AE210,'ASIGNACIONES'!$J$4:$J$339,0)),0)-$AG210)</f>
        <v/>
      </c>
      <c r="AI210" s="10">
        <f>IF($A210="","",IFERROR(INDEX('2_IMPORTAR_EJECUCION'!$F$9:$F$1208,MATCH($AQ210,'2_IMPORTAR_EJECUCION'!$J$9:$J$1208,0)),0))</f>
        <v/>
      </c>
      <c r="AJ210" s="10">
        <f>IF($A210="","",MAX(0,IFERROR(INDEX('2_IMPORTAR_EJECUCION'!$H$9:$H$1208,MATCH($AQ210,'2_IMPORTAR_EJECUCION'!$J$9:$J$1208,0)),0)-$AI210))</f>
        <v/>
      </c>
      <c r="AK210" s="10">
        <f>IF($A210="","",$AI210+$AJ210)</f>
        <v/>
      </c>
      <c r="AL210" s="6" t="n"/>
      <c r="AM210" s="6" t="n"/>
      <c r="AN210" s="6" t="n"/>
      <c r="AO210" s="3">
        <f>IF($AN210="","",HYPERLINK(p_ruta_base_checklists&amp;$AN210,"abrir"))</f>
        <v/>
      </c>
      <c r="AP210" s="6" t="n"/>
      <c r="AQ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IF($A211="","",IFERROR(INDEX('AJUSTES'!$B$4:$B$303,MATCH($AQ211,'AJUSTES'!$A$4:$A$303,0)),IF($K211="","",$K211)))</f>
        <v/>
      </c>
      <c r="N211" s="3">
        <f>IF($A211="","",IFERROR(INDEX('CAT_ESTADOS_ERP'!$B$4:$B$7,MATCH(IFERROR(INDEX('2_IMPORTAR_EJECUCION'!$C$9:$C$1208,MATCH($AQ211,'2_IMPORTAR_EJECUCION'!$J$9:$J$1208,0)),""),'CAT_ESTADOS_ERP'!$A$4:$A$7,0)),"Pendiente"))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J211="","",IFERROR(INDEX('CALENDARIO'!$C$15:$C$214,MATCH(TEXT($J211,"yyyy-mm-dd")&amp;"|"&amp;$V211&amp;"|"&amp;$W211,'CALENDARIO'!$G$15:$G$214,0)),IFERROR(INDEX('CALENDARIO'!$C$15:$C$214,MATCH(TEXT($J211,"yyyy-mm-dd")&amp;"|"&amp;$V211&amp;"|",'CALENDARIO'!$G$15:$G$214,0)),IFERROR(INDEX('CALENDARIO'!$C$15:$C$214,MATCH(TEXT($J211,"yyyy-mm-dd")&amp;"||",'CALENDARIO'!$G$15:$G$214,0)),INDEX(patronHabil,WEEKDAY($J211,2))))))</f>
        <v/>
      </c>
      <c r="T211" s="3">
        <f>IF($I211="","",IFERROR(INDEX('CAT_TIPOS_OT'!$C$4:$C$7,MATCH($I211,'CAT_TIPOS_OT'!$A$4:$A$7,0)),"sin_clasificar"))</f>
        <v/>
      </c>
      <c r="U211" s="3">
        <f>IF($F211="","",IFERROR(INDEX('CAT_CENTROS_COSTO'!$F$4:$F$13,MATCH($F211,'CAT_CENTROS_COSTO'!$A$4:$A$13,0)),"(sin catálogo)"))</f>
        <v/>
      </c>
      <c r="V211" s="3">
        <f>IF($F211="","",IFERROR(INDEX('CAT_CENTROS_COSTO'!$D$4:$D$13,MATCH($F211,'CAT_CENTROS_COSTO'!$A$4:$A$13,0)),"(sin catálogo)"))</f>
        <v/>
      </c>
      <c r="W211" s="3">
        <f>IF($F211="","",IF((IFERROR(INDEX('CAT_CENTROS_COSTO'!$E$4:$E$13,MATCH($F211,'CAT_CENTROS_COSTO'!$A$4:$A$13,0)),""))&lt;&gt;"",IFERROR(INDEX('CAT_CENTROS_COSTO'!$E$4:$E$13,MATCH($F211,'CAT_CENTROS_COSTO'!$A$4:$A$13,0)),""),$V211))</f>
        <v/>
      </c>
      <c r="X211" s="3">
        <f>IF($F211="","",IFERROR(INDEX('CAT_CENTROS_COSTO'!$G$4:$G$13,MATCH($F211,'CAT_CENTROS_COSTO'!$A$4:$A$13,0)),"(sin catálogo)"))</f>
        <v/>
      </c>
      <c r="Y211" s="3">
        <f>IF($G211="","",IFERROR(INDEX('CAT_PUESTOS'!$B$4:$B$8,MATCH($G211,'CAT_PUESTOS'!$A$4:$A$8,0)),"(sin catálogo)"))</f>
        <v/>
      </c>
      <c r="Z211" s="3">
        <f>IF($H211="","",IFERROR(INDEX('CAT_ACTIVIDADES'!$B$4:$B$8,MATCH($H211,'CAT_ACTIVIDADES'!$A$4:$A$8,0)),"(sin catálogo)"))</f>
        <v/>
      </c>
      <c r="AA211" s="12">
        <f>IF($J211="","",TODAY()-$J211)</f>
        <v/>
      </c>
      <c r="AB211" s="12">
        <f>IF($J211="","",IF($J211&lt;=TODAY(),COUNTIFS(cal_fechas,"&gt;="&amp;$J211,cal_fechas,"&lt;"&amp;TODAY(),cal_habil,"sí"),-COUNTIFS(cal_fechas,"&gt;="&amp;TODAY(),cal_fechas,"&lt;"&amp;$J211,cal_habil,"sí")))</f>
        <v/>
      </c>
      <c r="AC211" s="3">
        <f>IF($AB211="","",IF($AB211&lt;0,"FUTURO",IF($AB211&gt;p_dias_backlog_max,"BACKLOG","MES CORRIENTE")))</f>
        <v/>
      </c>
      <c r="AD211" s="3">
        <f>IF($AB211="",FALSE,AND($AB211&gt;p_dias_backlog_min,$AB211&lt;=p_dias_backlog_max))</f>
        <v/>
      </c>
      <c r="AE211" s="6" t="n"/>
      <c r="AF211" s="3">
        <f>IF($AE211="","",IF((IFERROR(INDEX('ASIGNACIONES'!$F$4:$F$339,MATCH($O211&amp;"|"&amp;$R211&amp;"|"&amp;$AE211,'ASIGNACIONES'!$J$4:$J$339,0)),""))=0,"",IFERROR(INDEX('ASIGNACIONES'!$F$4:$F$339,MATCH($O211&amp;"|"&amp;$R211&amp;"|"&amp;$AE211,'ASIGNACIONES'!$J$4:$J$339,0)),"")))</f>
        <v/>
      </c>
      <c r="AG211" s="13">
        <f>IF($AE211="","",SUMIFS('ORDENES'!$M$4:$M$1203,'ORDENES'!$AE$4:$AE$1203,$AE211,'ORDENES'!$O$4:$O$1203,$O211,'ORDENES'!$R$4:$R$1203,$R211))</f>
        <v/>
      </c>
      <c r="AH211" s="13">
        <f>IF($AG211="","",p_factor_productividad*IFERROR(INDEX('ASIGNACIONES'!$I$4:$I$339,MATCH($O211&amp;"|"&amp;$R211&amp;"|"&amp;$AE211,'ASIGNACIONES'!$J$4:$J$339,0)),0)-$AG211)</f>
        <v/>
      </c>
      <c r="AI211" s="10">
        <f>IF($A211="","",IFERROR(INDEX('2_IMPORTAR_EJECUCION'!$F$9:$F$1208,MATCH($AQ211,'2_IMPORTAR_EJECUCION'!$J$9:$J$1208,0)),0))</f>
        <v/>
      </c>
      <c r="AJ211" s="10">
        <f>IF($A211="","",MAX(0,IFERROR(INDEX('2_IMPORTAR_EJECUCION'!$H$9:$H$1208,MATCH($AQ211,'2_IMPORTAR_EJECUCION'!$J$9:$J$1208,0)),0)-$AI211))</f>
        <v/>
      </c>
      <c r="AK211" s="10">
        <f>IF($A211="","",$AI211+$AJ211)</f>
        <v/>
      </c>
      <c r="AL211" s="6" t="n"/>
      <c r="AM211" s="6" t="n"/>
      <c r="AN211" s="6" t="n"/>
      <c r="AO211" s="3">
        <f>IF($AN211="","",HYPERLINK(p_ruta_base_checklists&amp;$AN211,"abrir"))</f>
        <v/>
      </c>
      <c r="AP211" s="6" t="n"/>
      <c r="AQ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IF($A212="","",IFERROR(INDEX('AJUSTES'!$B$4:$B$303,MATCH($AQ212,'AJUSTES'!$A$4:$A$303,0)),IF($K212="","",$K212)))</f>
        <v/>
      </c>
      <c r="N212" s="3">
        <f>IF($A212="","",IFERROR(INDEX('CAT_ESTADOS_ERP'!$B$4:$B$7,MATCH(IFERROR(INDEX('2_IMPORTAR_EJECUCION'!$C$9:$C$1208,MATCH($AQ212,'2_IMPORTAR_EJECUCION'!$J$9:$J$1208,0)),""),'CAT_ESTADOS_ERP'!$A$4:$A$7,0)),"Pendiente"))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J212="","",IFERROR(INDEX('CALENDARIO'!$C$15:$C$214,MATCH(TEXT($J212,"yyyy-mm-dd")&amp;"|"&amp;$V212&amp;"|"&amp;$W212,'CALENDARIO'!$G$15:$G$214,0)),IFERROR(INDEX('CALENDARIO'!$C$15:$C$214,MATCH(TEXT($J212,"yyyy-mm-dd")&amp;"|"&amp;$V212&amp;"|",'CALENDARIO'!$G$15:$G$214,0)),IFERROR(INDEX('CALENDARIO'!$C$15:$C$214,MATCH(TEXT($J212,"yyyy-mm-dd")&amp;"||",'CALENDARIO'!$G$15:$G$214,0)),INDEX(patronHabil,WEEKDAY($J212,2))))))</f>
        <v/>
      </c>
      <c r="T212" s="3">
        <f>IF($I212="","",IFERROR(INDEX('CAT_TIPOS_OT'!$C$4:$C$7,MATCH($I212,'CAT_TIPOS_OT'!$A$4:$A$7,0)),"sin_clasificar"))</f>
        <v/>
      </c>
      <c r="U212" s="3">
        <f>IF($F212="","",IFERROR(INDEX('CAT_CENTROS_COSTO'!$F$4:$F$13,MATCH($F212,'CAT_CENTROS_COSTO'!$A$4:$A$13,0)),"(sin catálogo)"))</f>
        <v/>
      </c>
      <c r="V212" s="3">
        <f>IF($F212="","",IFERROR(INDEX('CAT_CENTROS_COSTO'!$D$4:$D$13,MATCH($F212,'CAT_CENTROS_COSTO'!$A$4:$A$13,0)),"(sin catálogo)"))</f>
        <v/>
      </c>
      <c r="W212" s="3">
        <f>IF($F212="","",IF((IFERROR(INDEX('CAT_CENTROS_COSTO'!$E$4:$E$13,MATCH($F212,'CAT_CENTROS_COSTO'!$A$4:$A$13,0)),""))&lt;&gt;"",IFERROR(INDEX('CAT_CENTROS_COSTO'!$E$4:$E$13,MATCH($F212,'CAT_CENTROS_COSTO'!$A$4:$A$13,0)),""),$V212))</f>
        <v/>
      </c>
      <c r="X212" s="3">
        <f>IF($F212="","",IFERROR(INDEX('CAT_CENTROS_COSTO'!$G$4:$G$13,MATCH($F212,'CAT_CENTROS_COSTO'!$A$4:$A$13,0)),"(sin catálogo)"))</f>
        <v/>
      </c>
      <c r="Y212" s="3">
        <f>IF($G212="","",IFERROR(INDEX('CAT_PUESTOS'!$B$4:$B$8,MATCH($G212,'CAT_PUESTOS'!$A$4:$A$8,0)),"(sin catálogo)"))</f>
        <v/>
      </c>
      <c r="Z212" s="3">
        <f>IF($H212="","",IFERROR(INDEX('CAT_ACTIVIDADES'!$B$4:$B$8,MATCH($H212,'CAT_ACTIVIDADES'!$A$4:$A$8,0)),"(sin catálogo)"))</f>
        <v/>
      </c>
      <c r="AA212" s="12">
        <f>IF($J212="","",TODAY()-$J212)</f>
        <v/>
      </c>
      <c r="AB212" s="12">
        <f>IF($J212="","",IF($J212&lt;=TODAY(),COUNTIFS(cal_fechas,"&gt;="&amp;$J212,cal_fechas,"&lt;"&amp;TODAY(),cal_habil,"sí"),-COUNTIFS(cal_fechas,"&gt;="&amp;TODAY(),cal_fechas,"&lt;"&amp;$J212,cal_habil,"sí")))</f>
        <v/>
      </c>
      <c r="AC212" s="3">
        <f>IF($AB212="","",IF($AB212&lt;0,"FUTURO",IF($AB212&gt;p_dias_backlog_max,"BACKLOG","MES CORRIENTE")))</f>
        <v/>
      </c>
      <c r="AD212" s="3">
        <f>IF($AB212="",FALSE,AND($AB212&gt;p_dias_backlog_min,$AB212&lt;=p_dias_backlog_max))</f>
        <v/>
      </c>
      <c r="AE212" s="6" t="n"/>
      <c r="AF212" s="3">
        <f>IF($AE212="","",IF((IFERROR(INDEX('ASIGNACIONES'!$F$4:$F$339,MATCH($O212&amp;"|"&amp;$R212&amp;"|"&amp;$AE212,'ASIGNACIONES'!$J$4:$J$339,0)),""))=0,"",IFERROR(INDEX('ASIGNACIONES'!$F$4:$F$339,MATCH($O212&amp;"|"&amp;$R212&amp;"|"&amp;$AE212,'ASIGNACIONES'!$J$4:$J$339,0)),"")))</f>
        <v/>
      </c>
      <c r="AG212" s="13">
        <f>IF($AE212="","",SUMIFS('ORDENES'!$M$4:$M$1203,'ORDENES'!$AE$4:$AE$1203,$AE212,'ORDENES'!$O$4:$O$1203,$O212,'ORDENES'!$R$4:$R$1203,$R212))</f>
        <v/>
      </c>
      <c r="AH212" s="13">
        <f>IF($AG212="","",p_factor_productividad*IFERROR(INDEX('ASIGNACIONES'!$I$4:$I$339,MATCH($O212&amp;"|"&amp;$R212&amp;"|"&amp;$AE212,'ASIGNACIONES'!$J$4:$J$339,0)),0)-$AG212)</f>
        <v/>
      </c>
      <c r="AI212" s="10">
        <f>IF($A212="","",IFERROR(INDEX('2_IMPORTAR_EJECUCION'!$F$9:$F$1208,MATCH($AQ212,'2_IMPORTAR_EJECUCION'!$J$9:$J$1208,0)),0))</f>
        <v/>
      </c>
      <c r="AJ212" s="10">
        <f>IF($A212="","",MAX(0,IFERROR(INDEX('2_IMPORTAR_EJECUCION'!$H$9:$H$1208,MATCH($AQ212,'2_IMPORTAR_EJECUCION'!$J$9:$J$1208,0)),0)-$AI212))</f>
        <v/>
      </c>
      <c r="AK212" s="10">
        <f>IF($A212="","",$AI212+$AJ212)</f>
        <v/>
      </c>
      <c r="AL212" s="6" t="n"/>
      <c r="AM212" s="6" t="n"/>
      <c r="AN212" s="6" t="n"/>
      <c r="AO212" s="3">
        <f>IF($AN212="","",HYPERLINK(p_ruta_base_checklists&amp;$AN212,"abrir"))</f>
        <v/>
      </c>
      <c r="AP212" s="6" t="n"/>
      <c r="AQ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IF($A213="","",IFERROR(INDEX('AJUSTES'!$B$4:$B$303,MATCH($AQ213,'AJUSTES'!$A$4:$A$303,0)),IF($K213="","",$K213)))</f>
        <v/>
      </c>
      <c r="N213" s="3">
        <f>IF($A213="","",IFERROR(INDEX('CAT_ESTADOS_ERP'!$B$4:$B$7,MATCH(IFERROR(INDEX('2_IMPORTAR_EJECUCION'!$C$9:$C$1208,MATCH($AQ213,'2_IMPORTAR_EJECUCION'!$J$9:$J$1208,0)),""),'CAT_ESTADOS_ERP'!$A$4:$A$7,0)),"Pendiente"))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J213="","",IFERROR(INDEX('CALENDARIO'!$C$15:$C$214,MATCH(TEXT($J213,"yyyy-mm-dd")&amp;"|"&amp;$V213&amp;"|"&amp;$W213,'CALENDARIO'!$G$15:$G$214,0)),IFERROR(INDEX('CALENDARIO'!$C$15:$C$214,MATCH(TEXT($J213,"yyyy-mm-dd")&amp;"|"&amp;$V213&amp;"|",'CALENDARIO'!$G$15:$G$214,0)),IFERROR(INDEX('CALENDARIO'!$C$15:$C$214,MATCH(TEXT($J213,"yyyy-mm-dd")&amp;"||",'CALENDARIO'!$G$15:$G$214,0)),INDEX(patronHabil,WEEKDAY($J213,2))))))</f>
        <v/>
      </c>
      <c r="T213" s="3">
        <f>IF($I213="","",IFERROR(INDEX('CAT_TIPOS_OT'!$C$4:$C$7,MATCH($I213,'CAT_TIPOS_OT'!$A$4:$A$7,0)),"sin_clasificar"))</f>
        <v/>
      </c>
      <c r="U213" s="3">
        <f>IF($F213="","",IFERROR(INDEX('CAT_CENTROS_COSTO'!$F$4:$F$13,MATCH($F213,'CAT_CENTROS_COSTO'!$A$4:$A$13,0)),"(sin catálogo)"))</f>
        <v/>
      </c>
      <c r="V213" s="3">
        <f>IF($F213="","",IFERROR(INDEX('CAT_CENTROS_COSTO'!$D$4:$D$13,MATCH($F213,'CAT_CENTROS_COSTO'!$A$4:$A$13,0)),"(sin catálogo)"))</f>
        <v/>
      </c>
      <c r="W213" s="3">
        <f>IF($F213="","",IF((IFERROR(INDEX('CAT_CENTROS_COSTO'!$E$4:$E$13,MATCH($F213,'CAT_CENTROS_COSTO'!$A$4:$A$13,0)),""))&lt;&gt;"",IFERROR(INDEX('CAT_CENTROS_COSTO'!$E$4:$E$13,MATCH($F213,'CAT_CENTROS_COSTO'!$A$4:$A$13,0)),""),$V213))</f>
        <v/>
      </c>
      <c r="X213" s="3">
        <f>IF($F213="","",IFERROR(INDEX('CAT_CENTROS_COSTO'!$G$4:$G$13,MATCH($F213,'CAT_CENTROS_COSTO'!$A$4:$A$13,0)),"(sin catálogo)"))</f>
        <v/>
      </c>
      <c r="Y213" s="3">
        <f>IF($G213="","",IFERROR(INDEX('CAT_PUESTOS'!$B$4:$B$8,MATCH($G213,'CAT_PUESTOS'!$A$4:$A$8,0)),"(sin catálogo)"))</f>
        <v/>
      </c>
      <c r="Z213" s="3">
        <f>IF($H213="","",IFERROR(INDEX('CAT_ACTIVIDADES'!$B$4:$B$8,MATCH($H213,'CAT_ACTIVIDADES'!$A$4:$A$8,0)),"(sin catálogo)"))</f>
        <v/>
      </c>
      <c r="AA213" s="12">
        <f>IF($J213="","",TODAY()-$J213)</f>
        <v/>
      </c>
      <c r="AB213" s="12">
        <f>IF($J213="","",IF($J213&lt;=TODAY(),COUNTIFS(cal_fechas,"&gt;="&amp;$J213,cal_fechas,"&lt;"&amp;TODAY(),cal_habil,"sí"),-COUNTIFS(cal_fechas,"&gt;="&amp;TODAY(),cal_fechas,"&lt;"&amp;$J213,cal_habil,"sí")))</f>
        <v/>
      </c>
      <c r="AC213" s="3">
        <f>IF($AB213="","",IF($AB213&lt;0,"FUTURO",IF($AB213&gt;p_dias_backlog_max,"BACKLOG","MES CORRIENTE")))</f>
        <v/>
      </c>
      <c r="AD213" s="3">
        <f>IF($AB213="",FALSE,AND($AB213&gt;p_dias_backlog_min,$AB213&lt;=p_dias_backlog_max))</f>
        <v/>
      </c>
      <c r="AE213" s="6" t="n"/>
      <c r="AF213" s="3">
        <f>IF($AE213="","",IF((IFERROR(INDEX('ASIGNACIONES'!$F$4:$F$339,MATCH($O213&amp;"|"&amp;$R213&amp;"|"&amp;$AE213,'ASIGNACIONES'!$J$4:$J$339,0)),""))=0,"",IFERROR(INDEX('ASIGNACIONES'!$F$4:$F$339,MATCH($O213&amp;"|"&amp;$R213&amp;"|"&amp;$AE213,'ASIGNACIONES'!$J$4:$J$339,0)),"")))</f>
        <v/>
      </c>
      <c r="AG213" s="13">
        <f>IF($AE213="","",SUMIFS('ORDENES'!$M$4:$M$1203,'ORDENES'!$AE$4:$AE$1203,$AE213,'ORDENES'!$O$4:$O$1203,$O213,'ORDENES'!$R$4:$R$1203,$R213))</f>
        <v/>
      </c>
      <c r="AH213" s="13">
        <f>IF($AG213="","",p_factor_productividad*IFERROR(INDEX('ASIGNACIONES'!$I$4:$I$339,MATCH($O213&amp;"|"&amp;$R213&amp;"|"&amp;$AE213,'ASIGNACIONES'!$J$4:$J$339,0)),0)-$AG213)</f>
        <v/>
      </c>
      <c r="AI213" s="10">
        <f>IF($A213="","",IFERROR(INDEX('2_IMPORTAR_EJECUCION'!$F$9:$F$1208,MATCH($AQ213,'2_IMPORTAR_EJECUCION'!$J$9:$J$1208,0)),0))</f>
        <v/>
      </c>
      <c r="AJ213" s="10">
        <f>IF($A213="","",MAX(0,IFERROR(INDEX('2_IMPORTAR_EJECUCION'!$H$9:$H$1208,MATCH($AQ213,'2_IMPORTAR_EJECUCION'!$J$9:$J$1208,0)),0)-$AI213))</f>
        <v/>
      </c>
      <c r="AK213" s="10">
        <f>IF($A213="","",$AI213+$AJ213)</f>
        <v/>
      </c>
      <c r="AL213" s="6" t="n"/>
      <c r="AM213" s="6" t="n"/>
      <c r="AN213" s="6" t="n"/>
      <c r="AO213" s="3">
        <f>IF($AN213="","",HYPERLINK(p_ruta_base_checklists&amp;$AN213,"abrir"))</f>
        <v/>
      </c>
      <c r="AP213" s="6" t="n"/>
      <c r="AQ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IF($A214="","",IFERROR(INDEX('AJUSTES'!$B$4:$B$303,MATCH($AQ214,'AJUSTES'!$A$4:$A$303,0)),IF($K214="","",$K214)))</f>
        <v/>
      </c>
      <c r="N214" s="3">
        <f>IF($A214="","",IFERROR(INDEX('CAT_ESTADOS_ERP'!$B$4:$B$7,MATCH(IFERROR(INDEX('2_IMPORTAR_EJECUCION'!$C$9:$C$1208,MATCH($AQ214,'2_IMPORTAR_EJECUCION'!$J$9:$J$1208,0)),""),'CAT_ESTADOS_ERP'!$A$4:$A$7,0)),"Pendiente"))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J214="","",IFERROR(INDEX('CALENDARIO'!$C$15:$C$214,MATCH(TEXT($J214,"yyyy-mm-dd")&amp;"|"&amp;$V214&amp;"|"&amp;$W214,'CALENDARIO'!$G$15:$G$214,0)),IFERROR(INDEX('CALENDARIO'!$C$15:$C$214,MATCH(TEXT($J214,"yyyy-mm-dd")&amp;"|"&amp;$V214&amp;"|",'CALENDARIO'!$G$15:$G$214,0)),IFERROR(INDEX('CALENDARIO'!$C$15:$C$214,MATCH(TEXT($J214,"yyyy-mm-dd")&amp;"||",'CALENDARIO'!$G$15:$G$214,0)),INDEX(patronHabil,WEEKDAY($J214,2))))))</f>
        <v/>
      </c>
      <c r="T214" s="3">
        <f>IF($I214="","",IFERROR(INDEX('CAT_TIPOS_OT'!$C$4:$C$7,MATCH($I214,'CAT_TIPOS_OT'!$A$4:$A$7,0)),"sin_clasificar"))</f>
        <v/>
      </c>
      <c r="U214" s="3">
        <f>IF($F214="","",IFERROR(INDEX('CAT_CENTROS_COSTO'!$F$4:$F$13,MATCH($F214,'CAT_CENTROS_COSTO'!$A$4:$A$13,0)),"(sin catálogo)"))</f>
        <v/>
      </c>
      <c r="V214" s="3">
        <f>IF($F214="","",IFERROR(INDEX('CAT_CENTROS_COSTO'!$D$4:$D$13,MATCH($F214,'CAT_CENTROS_COSTO'!$A$4:$A$13,0)),"(sin catálogo)"))</f>
        <v/>
      </c>
      <c r="W214" s="3">
        <f>IF($F214="","",IF((IFERROR(INDEX('CAT_CENTROS_COSTO'!$E$4:$E$13,MATCH($F214,'CAT_CENTROS_COSTO'!$A$4:$A$13,0)),""))&lt;&gt;"",IFERROR(INDEX('CAT_CENTROS_COSTO'!$E$4:$E$13,MATCH($F214,'CAT_CENTROS_COSTO'!$A$4:$A$13,0)),""),$V214))</f>
        <v/>
      </c>
      <c r="X214" s="3">
        <f>IF($F214="","",IFERROR(INDEX('CAT_CENTROS_COSTO'!$G$4:$G$13,MATCH($F214,'CAT_CENTROS_COSTO'!$A$4:$A$13,0)),"(sin catálogo)"))</f>
        <v/>
      </c>
      <c r="Y214" s="3">
        <f>IF($G214="","",IFERROR(INDEX('CAT_PUESTOS'!$B$4:$B$8,MATCH($G214,'CAT_PUESTOS'!$A$4:$A$8,0)),"(sin catálogo)"))</f>
        <v/>
      </c>
      <c r="Z214" s="3">
        <f>IF($H214="","",IFERROR(INDEX('CAT_ACTIVIDADES'!$B$4:$B$8,MATCH($H214,'CAT_ACTIVIDADES'!$A$4:$A$8,0)),"(sin catálogo)"))</f>
        <v/>
      </c>
      <c r="AA214" s="12">
        <f>IF($J214="","",TODAY()-$J214)</f>
        <v/>
      </c>
      <c r="AB214" s="12">
        <f>IF($J214="","",IF($J214&lt;=TODAY(),COUNTIFS(cal_fechas,"&gt;="&amp;$J214,cal_fechas,"&lt;"&amp;TODAY(),cal_habil,"sí"),-COUNTIFS(cal_fechas,"&gt;="&amp;TODAY(),cal_fechas,"&lt;"&amp;$J214,cal_habil,"sí")))</f>
        <v/>
      </c>
      <c r="AC214" s="3">
        <f>IF($AB214="","",IF($AB214&lt;0,"FUTURO",IF($AB214&gt;p_dias_backlog_max,"BACKLOG","MES CORRIENTE")))</f>
        <v/>
      </c>
      <c r="AD214" s="3">
        <f>IF($AB214="",FALSE,AND($AB214&gt;p_dias_backlog_min,$AB214&lt;=p_dias_backlog_max))</f>
        <v/>
      </c>
      <c r="AE214" s="6" t="n"/>
      <c r="AF214" s="3">
        <f>IF($AE214="","",IF((IFERROR(INDEX('ASIGNACIONES'!$F$4:$F$339,MATCH($O214&amp;"|"&amp;$R214&amp;"|"&amp;$AE214,'ASIGNACIONES'!$J$4:$J$339,0)),""))=0,"",IFERROR(INDEX('ASIGNACIONES'!$F$4:$F$339,MATCH($O214&amp;"|"&amp;$R214&amp;"|"&amp;$AE214,'ASIGNACIONES'!$J$4:$J$339,0)),"")))</f>
        <v/>
      </c>
      <c r="AG214" s="13">
        <f>IF($AE214="","",SUMIFS('ORDENES'!$M$4:$M$1203,'ORDENES'!$AE$4:$AE$1203,$AE214,'ORDENES'!$O$4:$O$1203,$O214,'ORDENES'!$R$4:$R$1203,$R214))</f>
        <v/>
      </c>
      <c r="AH214" s="13">
        <f>IF($AG214="","",p_factor_productividad*IFERROR(INDEX('ASIGNACIONES'!$I$4:$I$339,MATCH($O214&amp;"|"&amp;$R214&amp;"|"&amp;$AE214,'ASIGNACIONES'!$J$4:$J$339,0)),0)-$AG214)</f>
        <v/>
      </c>
      <c r="AI214" s="10">
        <f>IF($A214="","",IFERROR(INDEX('2_IMPORTAR_EJECUCION'!$F$9:$F$1208,MATCH($AQ214,'2_IMPORTAR_EJECUCION'!$J$9:$J$1208,0)),0))</f>
        <v/>
      </c>
      <c r="AJ214" s="10">
        <f>IF($A214="","",MAX(0,IFERROR(INDEX('2_IMPORTAR_EJECUCION'!$H$9:$H$1208,MATCH($AQ214,'2_IMPORTAR_EJECUCION'!$J$9:$J$1208,0)),0)-$AI214))</f>
        <v/>
      </c>
      <c r="AK214" s="10">
        <f>IF($A214="","",$AI214+$AJ214)</f>
        <v/>
      </c>
      <c r="AL214" s="6" t="n"/>
      <c r="AM214" s="6" t="n"/>
      <c r="AN214" s="6" t="n"/>
      <c r="AO214" s="3">
        <f>IF($AN214="","",HYPERLINK(p_ruta_base_checklists&amp;$AN214,"abrir"))</f>
        <v/>
      </c>
      <c r="AP214" s="6" t="n"/>
      <c r="AQ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IF($A215="","",IFERROR(INDEX('AJUSTES'!$B$4:$B$303,MATCH($AQ215,'AJUSTES'!$A$4:$A$303,0)),IF($K215="","",$K215)))</f>
        <v/>
      </c>
      <c r="N215" s="3">
        <f>IF($A215="","",IFERROR(INDEX('CAT_ESTADOS_ERP'!$B$4:$B$7,MATCH(IFERROR(INDEX('2_IMPORTAR_EJECUCION'!$C$9:$C$1208,MATCH($AQ215,'2_IMPORTAR_EJECUCION'!$J$9:$J$1208,0)),""),'CAT_ESTADOS_ERP'!$A$4:$A$7,0)),"Pendiente"))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J215="","",IFERROR(INDEX('CALENDARIO'!$C$15:$C$214,MATCH(TEXT($J215,"yyyy-mm-dd")&amp;"|"&amp;$V215&amp;"|"&amp;$W215,'CALENDARIO'!$G$15:$G$214,0)),IFERROR(INDEX('CALENDARIO'!$C$15:$C$214,MATCH(TEXT($J215,"yyyy-mm-dd")&amp;"|"&amp;$V215&amp;"|",'CALENDARIO'!$G$15:$G$214,0)),IFERROR(INDEX('CALENDARIO'!$C$15:$C$214,MATCH(TEXT($J215,"yyyy-mm-dd")&amp;"||",'CALENDARIO'!$G$15:$G$214,0)),INDEX(patronHabil,WEEKDAY($J215,2))))))</f>
        <v/>
      </c>
      <c r="T215" s="3">
        <f>IF($I215="","",IFERROR(INDEX('CAT_TIPOS_OT'!$C$4:$C$7,MATCH($I215,'CAT_TIPOS_OT'!$A$4:$A$7,0)),"sin_clasificar"))</f>
        <v/>
      </c>
      <c r="U215" s="3">
        <f>IF($F215="","",IFERROR(INDEX('CAT_CENTROS_COSTO'!$F$4:$F$13,MATCH($F215,'CAT_CENTROS_COSTO'!$A$4:$A$13,0)),"(sin catálogo)"))</f>
        <v/>
      </c>
      <c r="V215" s="3">
        <f>IF($F215="","",IFERROR(INDEX('CAT_CENTROS_COSTO'!$D$4:$D$13,MATCH($F215,'CAT_CENTROS_COSTO'!$A$4:$A$13,0)),"(sin catálogo)"))</f>
        <v/>
      </c>
      <c r="W215" s="3">
        <f>IF($F215="","",IF((IFERROR(INDEX('CAT_CENTROS_COSTO'!$E$4:$E$13,MATCH($F215,'CAT_CENTROS_COSTO'!$A$4:$A$13,0)),""))&lt;&gt;"",IFERROR(INDEX('CAT_CENTROS_COSTO'!$E$4:$E$13,MATCH($F215,'CAT_CENTROS_COSTO'!$A$4:$A$13,0)),""),$V215))</f>
        <v/>
      </c>
      <c r="X215" s="3">
        <f>IF($F215="","",IFERROR(INDEX('CAT_CENTROS_COSTO'!$G$4:$G$13,MATCH($F215,'CAT_CENTROS_COSTO'!$A$4:$A$13,0)),"(sin catálogo)"))</f>
        <v/>
      </c>
      <c r="Y215" s="3">
        <f>IF($G215="","",IFERROR(INDEX('CAT_PUESTOS'!$B$4:$B$8,MATCH($G215,'CAT_PUESTOS'!$A$4:$A$8,0)),"(sin catálogo)"))</f>
        <v/>
      </c>
      <c r="Z215" s="3">
        <f>IF($H215="","",IFERROR(INDEX('CAT_ACTIVIDADES'!$B$4:$B$8,MATCH($H215,'CAT_ACTIVIDADES'!$A$4:$A$8,0)),"(sin catálogo)"))</f>
        <v/>
      </c>
      <c r="AA215" s="12">
        <f>IF($J215="","",TODAY()-$J215)</f>
        <v/>
      </c>
      <c r="AB215" s="12">
        <f>IF($J215="","",IF($J215&lt;=TODAY(),COUNTIFS(cal_fechas,"&gt;="&amp;$J215,cal_fechas,"&lt;"&amp;TODAY(),cal_habil,"sí"),-COUNTIFS(cal_fechas,"&gt;="&amp;TODAY(),cal_fechas,"&lt;"&amp;$J215,cal_habil,"sí")))</f>
        <v/>
      </c>
      <c r="AC215" s="3">
        <f>IF($AB215="","",IF($AB215&lt;0,"FUTURO",IF($AB215&gt;p_dias_backlog_max,"BACKLOG","MES CORRIENTE")))</f>
        <v/>
      </c>
      <c r="AD215" s="3">
        <f>IF($AB215="",FALSE,AND($AB215&gt;p_dias_backlog_min,$AB215&lt;=p_dias_backlog_max))</f>
        <v/>
      </c>
      <c r="AE215" s="6" t="n"/>
      <c r="AF215" s="3">
        <f>IF($AE215="","",IF((IFERROR(INDEX('ASIGNACIONES'!$F$4:$F$339,MATCH($O215&amp;"|"&amp;$R215&amp;"|"&amp;$AE215,'ASIGNACIONES'!$J$4:$J$339,0)),""))=0,"",IFERROR(INDEX('ASIGNACIONES'!$F$4:$F$339,MATCH($O215&amp;"|"&amp;$R215&amp;"|"&amp;$AE215,'ASIGNACIONES'!$J$4:$J$339,0)),"")))</f>
        <v/>
      </c>
      <c r="AG215" s="13">
        <f>IF($AE215="","",SUMIFS('ORDENES'!$M$4:$M$1203,'ORDENES'!$AE$4:$AE$1203,$AE215,'ORDENES'!$O$4:$O$1203,$O215,'ORDENES'!$R$4:$R$1203,$R215))</f>
        <v/>
      </c>
      <c r="AH215" s="13">
        <f>IF($AG215="","",p_factor_productividad*IFERROR(INDEX('ASIGNACIONES'!$I$4:$I$339,MATCH($O215&amp;"|"&amp;$R215&amp;"|"&amp;$AE215,'ASIGNACIONES'!$J$4:$J$339,0)),0)-$AG215)</f>
        <v/>
      </c>
      <c r="AI215" s="10">
        <f>IF($A215="","",IFERROR(INDEX('2_IMPORTAR_EJECUCION'!$F$9:$F$1208,MATCH($AQ215,'2_IMPORTAR_EJECUCION'!$J$9:$J$1208,0)),0))</f>
        <v/>
      </c>
      <c r="AJ215" s="10">
        <f>IF($A215="","",MAX(0,IFERROR(INDEX('2_IMPORTAR_EJECUCION'!$H$9:$H$1208,MATCH($AQ215,'2_IMPORTAR_EJECUCION'!$J$9:$J$1208,0)),0)-$AI215))</f>
        <v/>
      </c>
      <c r="AK215" s="10">
        <f>IF($A215="","",$AI215+$AJ215)</f>
        <v/>
      </c>
      <c r="AL215" s="6" t="n"/>
      <c r="AM215" s="6" t="n"/>
      <c r="AN215" s="6" t="n"/>
      <c r="AO215" s="3">
        <f>IF($AN215="","",HYPERLINK(p_ruta_base_checklists&amp;$AN215,"abrir"))</f>
        <v/>
      </c>
      <c r="AP215" s="6" t="n"/>
      <c r="AQ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IF($A216="","",IFERROR(INDEX('AJUSTES'!$B$4:$B$303,MATCH($AQ216,'AJUSTES'!$A$4:$A$303,0)),IF($K216="","",$K216)))</f>
        <v/>
      </c>
      <c r="N216" s="3">
        <f>IF($A216="","",IFERROR(INDEX('CAT_ESTADOS_ERP'!$B$4:$B$7,MATCH(IFERROR(INDEX('2_IMPORTAR_EJECUCION'!$C$9:$C$1208,MATCH($AQ216,'2_IMPORTAR_EJECUCION'!$J$9:$J$1208,0)),""),'CAT_ESTADOS_ERP'!$A$4:$A$7,0)),"Pendiente"))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J216="","",IFERROR(INDEX('CALENDARIO'!$C$15:$C$214,MATCH(TEXT($J216,"yyyy-mm-dd")&amp;"|"&amp;$V216&amp;"|"&amp;$W216,'CALENDARIO'!$G$15:$G$214,0)),IFERROR(INDEX('CALENDARIO'!$C$15:$C$214,MATCH(TEXT($J216,"yyyy-mm-dd")&amp;"|"&amp;$V216&amp;"|",'CALENDARIO'!$G$15:$G$214,0)),IFERROR(INDEX('CALENDARIO'!$C$15:$C$214,MATCH(TEXT($J216,"yyyy-mm-dd")&amp;"||",'CALENDARIO'!$G$15:$G$214,0)),INDEX(patronHabil,WEEKDAY($J216,2))))))</f>
        <v/>
      </c>
      <c r="T216" s="3">
        <f>IF($I216="","",IFERROR(INDEX('CAT_TIPOS_OT'!$C$4:$C$7,MATCH($I216,'CAT_TIPOS_OT'!$A$4:$A$7,0)),"sin_clasificar"))</f>
        <v/>
      </c>
      <c r="U216" s="3">
        <f>IF($F216="","",IFERROR(INDEX('CAT_CENTROS_COSTO'!$F$4:$F$13,MATCH($F216,'CAT_CENTROS_COSTO'!$A$4:$A$13,0)),"(sin catálogo)"))</f>
        <v/>
      </c>
      <c r="V216" s="3">
        <f>IF($F216="","",IFERROR(INDEX('CAT_CENTROS_COSTO'!$D$4:$D$13,MATCH($F216,'CAT_CENTROS_COSTO'!$A$4:$A$13,0)),"(sin catálogo)"))</f>
        <v/>
      </c>
      <c r="W216" s="3">
        <f>IF($F216="","",IF((IFERROR(INDEX('CAT_CENTROS_COSTO'!$E$4:$E$13,MATCH($F216,'CAT_CENTROS_COSTO'!$A$4:$A$13,0)),""))&lt;&gt;"",IFERROR(INDEX('CAT_CENTROS_COSTO'!$E$4:$E$13,MATCH($F216,'CAT_CENTROS_COSTO'!$A$4:$A$13,0)),""),$V216))</f>
        <v/>
      </c>
      <c r="X216" s="3">
        <f>IF($F216="","",IFERROR(INDEX('CAT_CENTROS_COSTO'!$G$4:$G$13,MATCH($F216,'CAT_CENTROS_COSTO'!$A$4:$A$13,0)),"(sin catálogo)"))</f>
        <v/>
      </c>
      <c r="Y216" s="3">
        <f>IF($G216="","",IFERROR(INDEX('CAT_PUESTOS'!$B$4:$B$8,MATCH($G216,'CAT_PUESTOS'!$A$4:$A$8,0)),"(sin catálogo)"))</f>
        <v/>
      </c>
      <c r="Z216" s="3">
        <f>IF($H216="","",IFERROR(INDEX('CAT_ACTIVIDADES'!$B$4:$B$8,MATCH($H216,'CAT_ACTIVIDADES'!$A$4:$A$8,0)),"(sin catálogo)"))</f>
        <v/>
      </c>
      <c r="AA216" s="12">
        <f>IF($J216="","",TODAY()-$J216)</f>
        <v/>
      </c>
      <c r="AB216" s="12">
        <f>IF($J216="","",IF($J216&lt;=TODAY(),COUNTIFS(cal_fechas,"&gt;="&amp;$J216,cal_fechas,"&lt;"&amp;TODAY(),cal_habil,"sí"),-COUNTIFS(cal_fechas,"&gt;="&amp;TODAY(),cal_fechas,"&lt;"&amp;$J216,cal_habil,"sí")))</f>
        <v/>
      </c>
      <c r="AC216" s="3">
        <f>IF($AB216="","",IF($AB216&lt;0,"FUTURO",IF($AB216&gt;p_dias_backlog_max,"BACKLOG","MES CORRIENTE")))</f>
        <v/>
      </c>
      <c r="AD216" s="3">
        <f>IF($AB216="",FALSE,AND($AB216&gt;p_dias_backlog_min,$AB216&lt;=p_dias_backlog_max))</f>
        <v/>
      </c>
      <c r="AE216" s="6" t="n"/>
      <c r="AF216" s="3">
        <f>IF($AE216="","",IF((IFERROR(INDEX('ASIGNACIONES'!$F$4:$F$339,MATCH($O216&amp;"|"&amp;$R216&amp;"|"&amp;$AE216,'ASIGNACIONES'!$J$4:$J$339,0)),""))=0,"",IFERROR(INDEX('ASIGNACIONES'!$F$4:$F$339,MATCH($O216&amp;"|"&amp;$R216&amp;"|"&amp;$AE216,'ASIGNACIONES'!$J$4:$J$339,0)),"")))</f>
        <v/>
      </c>
      <c r="AG216" s="13">
        <f>IF($AE216="","",SUMIFS('ORDENES'!$M$4:$M$1203,'ORDENES'!$AE$4:$AE$1203,$AE216,'ORDENES'!$O$4:$O$1203,$O216,'ORDENES'!$R$4:$R$1203,$R216))</f>
        <v/>
      </c>
      <c r="AH216" s="13">
        <f>IF($AG216="","",p_factor_productividad*IFERROR(INDEX('ASIGNACIONES'!$I$4:$I$339,MATCH($O216&amp;"|"&amp;$R216&amp;"|"&amp;$AE216,'ASIGNACIONES'!$J$4:$J$339,0)),0)-$AG216)</f>
        <v/>
      </c>
      <c r="AI216" s="10">
        <f>IF($A216="","",IFERROR(INDEX('2_IMPORTAR_EJECUCION'!$F$9:$F$1208,MATCH($AQ216,'2_IMPORTAR_EJECUCION'!$J$9:$J$1208,0)),0))</f>
        <v/>
      </c>
      <c r="AJ216" s="10">
        <f>IF($A216="","",MAX(0,IFERROR(INDEX('2_IMPORTAR_EJECUCION'!$H$9:$H$1208,MATCH($AQ216,'2_IMPORTAR_EJECUCION'!$J$9:$J$1208,0)),0)-$AI216))</f>
        <v/>
      </c>
      <c r="AK216" s="10">
        <f>IF($A216="","",$AI216+$AJ216)</f>
        <v/>
      </c>
      <c r="AL216" s="6" t="n"/>
      <c r="AM216" s="6" t="n"/>
      <c r="AN216" s="6" t="n"/>
      <c r="AO216" s="3">
        <f>IF($AN216="","",HYPERLINK(p_ruta_base_checklists&amp;$AN216,"abrir"))</f>
        <v/>
      </c>
      <c r="AP216" s="6" t="n"/>
      <c r="AQ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IF($A217="","",IFERROR(INDEX('AJUSTES'!$B$4:$B$303,MATCH($AQ217,'AJUSTES'!$A$4:$A$303,0)),IF($K217="","",$K217)))</f>
        <v/>
      </c>
      <c r="N217" s="3">
        <f>IF($A217="","",IFERROR(INDEX('CAT_ESTADOS_ERP'!$B$4:$B$7,MATCH(IFERROR(INDEX('2_IMPORTAR_EJECUCION'!$C$9:$C$1208,MATCH($AQ217,'2_IMPORTAR_EJECUCION'!$J$9:$J$1208,0)),""),'CAT_ESTADOS_ERP'!$A$4:$A$7,0)),"Pendiente"))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J217="","",IFERROR(INDEX('CALENDARIO'!$C$15:$C$214,MATCH(TEXT($J217,"yyyy-mm-dd")&amp;"|"&amp;$V217&amp;"|"&amp;$W217,'CALENDARIO'!$G$15:$G$214,0)),IFERROR(INDEX('CALENDARIO'!$C$15:$C$214,MATCH(TEXT($J217,"yyyy-mm-dd")&amp;"|"&amp;$V217&amp;"|",'CALENDARIO'!$G$15:$G$214,0)),IFERROR(INDEX('CALENDARIO'!$C$15:$C$214,MATCH(TEXT($J217,"yyyy-mm-dd")&amp;"||",'CALENDARIO'!$G$15:$G$214,0)),INDEX(patronHabil,WEEKDAY($J217,2))))))</f>
        <v/>
      </c>
      <c r="T217" s="3">
        <f>IF($I217="","",IFERROR(INDEX('CAT_TIPOS_OT'!$C$4:$C$7,MATCH($I217,'CAT_TIPOS_OT'!$A$4:$A$7,0)),"sin_clasificar"))</f>
        <v/>
      </c>
      <c r="U217" s="3">
        <f>IF($F217="","",IFERROR(INDEX('CAT_CENTROS_COSTO'!$F$4:$F$13,MATCH($F217,'CAT_CENTROS_COSTO'!$A$4:$A$13,0)),"(sin catálogo)"))</f>
        <v/>
      </c>
      <c r="V217" s="3">
        <f>IF($F217="","",IFERROR(INDEX('CAT_CENTROS_COSTO'!$D$4:$D$13,MATCH($F217,'CAT_CENTROS_COSTO'!$A$4:$A$13,0)),"(sin catálogo)"))</f>
        <v/>
      </c>
      <c r="W217" s="3">
        <f>IF($F217="","",IF((IFERROR(INDEX('CAT_CENTROS_COSTO'!$E$4:$E$13,MATCH($F217,'CAT_CENTROS_COSTO'!$A$4:$A$13,0)),""))&lt;&gt;"",IFERROR(INDEX('CAT_CENTROS_COSTO'!$E$4:$E$13,MATCH($F217,'CAT_CENTROS_COSTO'!$A$4:$A$13,0)),""),$V217))</f>
        <v/>
      </c>
      <c r="X217" s="3">
        <f>IF($F217="","",IFERROR(INDEX('CAT_CENTROS_COSTO'!$G$4:$G$13,MATCH($F217,'CAT_CENTROS_COSTO'!$A$4:$A$13,0)),"(sin catálogo)"))</f>
        <v/>
      </c>
      <c r="Y217" s="3">
        <f>IF($G217="","",IFERROR(INDEX('CAT_PUESTOS'!$B$4:$B$8,MATCH($G217,'CAT_PUESTOS'!$A$4:$A$8,0)),"(sin catálogo)"))</f>
        <v/>
      </c>
      <c r="Z217" s="3">
        <f>IF($H217="","",IFERROR(INDEX('CAT_ACTIVIDADES'!$B$4:$B$8,MATCH($H217,'CAT_ACTIVIDADES'!$A$4:$A$8,0)),"(sin catálogo)"))</f>
        <v/>
      </c>
      <c r="AA217" s="12">
        <f>IF($J217="","",TODAY()-$J217)</f>
        <v/>
      </c>
      <c r="AB217" s="12">
        <f>IF($J217="","",IF($J217&lt;=TODAY(),COUNTIFS(cal_fechas,"&gt;="&amp;$J217,cal_fechas,"&lt;"&amp;TODAY(),cal_habil,"sí"),-COUNTIFS(cal_fechas,"&gt;="&amp;TODAY(),cal_fechas,"&lt;"&amp;$J217,cal_habil,"sí")))</f>
        <v/>
      </c>
      <c r="AC217" s="3">
        <f>IF($AB217="","",IF($AB217&lt;0,"FUTURO",IF($AB217&gt;p_dias_backlog_max,"BACKLOG","MES CORRIENTE")))</f>
        <v/>
      </c>
      <c r="AD217" s="3">
        <f>IF($AB217="",FALSE,AND($AB217&gt;p_dias_backlog_min,$AB217&lt;=p_dias_backlog_max))</f>
        <v/>
      </c>
      <c r="AE217" s="6" t="n"/>
      <c r="AF217" s="3">
        <f>IF($AE217="","",IF((IFERROR(INDEX('ASIGNACIONES'!$F$4:$F$339,MATCH($O217&amp;"|"&amp;$R217&amp;"|"&amp;$AE217,'ASIGNACIONES'!$J$4:$J$339,0)),""))=0,"",IFERROR(INDEX('ASIGNACIONES'!$F$4:$F$339,MATCH($O217&amp;"|"&amp;$R217&amp;"|"&amp;$AE217,'ASIGNACIONES'!$J$4:$J$339,0)),"")))</f>
        <v/>
      </c>
      <c r="AG217" s="13">
        <f>IF($AE217="","",SUMIFS('ORDENES'!$M$4:$M$1203,'ORDENES'!$AE$4:$AE$1203,$AE217,'ORDENES'!$O$4:$O$1203,$O217,'ORDENES'!$R$4:$R$1203,$R217))</f>
        <v/>
      </c>
      <c r="AH217" s="13">
        <f>IF($AG217="","",p_factor_productividad*IFERROR(INDEX('ASIGNACIONES'!$I$4:$I$339,MATCH($O217&amp;"|"&amp;$R217&amp;"|"&amp;$AE217,'ASIGNACIONES'!$J$4:$J$339,0)),0)-$AG217)</f>
        <v/>
      </c>
      <c r="AI217" s="10">
        <f>IF($A217="","",IFERROR(INDEX('2_IMPORTAR_EJECUCION'!$F$9:$F$1208,MATCH($AQ217,'2_IMPORTAR_EJECUCION'!$J$9:$J$1208,0)),0))</f>
        <v/>
      </c>
      <c r="AJ217" s="10">
        <f>IF($A217="","",MAX(0,IFERROR(INDEX('2_IMPORTAR_EJECUCION'!$H$9:$H$1208,MATCH($AQ217,'2_IMPORTAR_EJECUCION'!$J$9:$J$1208,0)),0)-$AI217))</f>
        <v/>
      </c>
      <c r="AK217" s="10">
        <f>IF($A217="","",$AI217+$AJ217)</f>
        <v/>
      </c>
      <c r="AL217" s="6" t="n"/>
      <c r="AM217" s="6" t="n"/>
      <c r="AN217" s="6" t="n"/>
      <c r="AO217" s="3">
        <f>IF($AN217="","",HYPERLINK(p_ruta_base_checklists&amp;$AN217,"abrir"))</f>
        <v/>
      </c>
      <c r="AP217" s="6" t="n"/>
      <c r="AQ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IF($A218="","",IFERROR(INDEX('AJUSTES'!$B$4:$B$303,MATCH($AQ218,'AJUSTES'!$A$4:$A$303,0)),IF($K218="","",$K218)))</f>
        <v/>
      </c>
      <c r="N218" s="3">
        <f>IF($A218="","",IFERROR(INDEX('CAT_ESTADOS_ERP'!$B$4:$B$7,MATCH(IFERROR(INDEX('2_IMPORTAR_EJECUCION'!$C$9:$C$1208,MATCH($AQ218,'2_IMPORTAR_EJECUCION'!$J$9:$J$1208,0)),""),'CAT_ESTADOS_ERP'!$A$4:$A$7,0)),"Pendiente"))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J218="","",IFERROR(INDEX('CALENDARIO'!$C$15:$C$214,MATCH(TEXT($J218,"yyyy-mm-dd")&amp;"|"&amp;$V218&amp;"|"&amp;$W218,'CALENDARIO'!$G$15:$G$214,0)),IFERROR(INDEX('CALENDARIO'!$C$15:$C$214,MATCH(TEXT($J218,"yyyy-mm-dd")&amp;"|"&amp;$V218&amp;"|",'CALENDARIO'!$G$15:$G$214,0)),IFERROR(INDEX('CALENDARIO'!$C$15:$C$214,MATCH(TEXT($J218,"yyyy-mm-dd")&amp;"||",'CALENDARIO'!$G$15:$G$214,0)),INDEX(patronHabil,WEEKDAY($J218,2))))))</f>
        <v/>
      </c>
      <c r="T218" s="3">
        <f>IF($I218="","",IFERROR(INDEX('CAT_TIPOS_OT'!$C$4:$C$7,MATCH($I218,'CAT_TIPOS_OT'!$A$4:$A$7,0)),"sin_clasificar"))</f>
        <v/>
      </c>
      <c r="U218" s="3">
        <f>IF($F218="","",IFERROR(INDEX('CAT_CENTROS_COSTO'!$F$4:$F$13,MATCH($F218,'CAT_CENTROS_COSTO'!$A$4:$A$13,0)),"(sin catálogo)"))</f>
        <v/>
      </c>
      <c r="V218" s="3">
        <f>IF($F218="","",IFERROR(INDEX('CAT_CENTROS_COSTO'!$D$4:$D$13,MATCH($F218,'CAT_CENTROS_COSTO'!$A$4:$A$13,0)),"(sin catálogo)"))</f>
        <v/>
      </c>
      <c r="W218" s="3">
        <f>IF($F218="","",IF((IFERROR(INDEX('CAT_CENTROS_COSTO'!$E$4:$E$13,MATCH($F218,'CAT_CENTROS_COSTO'!$A$4:$A$13,0)),""))&lt;&gt;"",IFERROR(INDEX('CAT_CENTROS_COSTO'!$E$4:$E$13,MATCH($F218,'CAT_CENTROS_COSTO'!$A$4:$A$13,0)),""),$V218))</f>
        <v/>
      </c>
      <c r="X218" s="3">
        <f>IF($F218="","",IFERROR(INDEX('CAT_CENTROS_COSTO'!$G$4:$G$13,MATCH($F218,'CAT_CENTROS_COSTO'!$A$4:$A$13,0)),"(sin catálogo)"))</f>
        <v/>
      </c>
      <c r="Y218" s="3">
        <f>IF($G218="","",IFERROR(INDEX('CAT_PUESTOS'!$B$4:$B$8,MATCH($G218,'CAT_PUESTOS'!$A$4:$A$8,0)),"(sin catálogo)"))</f>
        <v/>
      </c>
      <c r="Z218" s="3">
        <f>IF($H218="","",IFERROR(INDEX('CAT_ACTIVIDADES'!$B$4:$B$8,MATCH($H218,'CAT_ACTIVIDADES'!$A$4:$A$8,0)),"(sin catálogo)"))</f>
        <v/>
      </c>
      <c r="AA218" s="12">
        <f>IF($J218="","",TODAY()-$J218)</f>
        <v/>
      </c>
      <c r="AB218" s="12">
        <f>IF($J218="","",IF($J218&lt;=TODAY(),COUNTIFS(cal_fechas,"&gt;="&amp;$J218,cal_fechas,"&lt;"&amp;TODAY(),cal_habil,"sí"),-COUNTIFS(cal_fechas,"&gt;="&amp;TODAY(),cal_fechas,"&lt;"&amp;$J218,cal_habil,"sí")))</f>
        <v/>
      </c>
      <c r="AC218" s="3">
        <f>IF($AB218="","",IF($AB218&lt;0,"FUTURO",IF($AB218&gt;p_dias_backlog_max,"BACKLOG","MES CORRIENTE")))</f>
        <v/>
      </c>
      <c r="AD218" s="3">
        <f>IF($AB218="",FALSE,AND($AB218&gt;p_dias_backlog_min,$AB218&lt;=p_dias_backlog_max))</f>
        <v/>
      </c>
      <c r="AE218" s="6" t="n"/>
      <c r="AF218" s="3">
        <f>IF($AE218="","",IF((IFERROR(INDEX('ASIGNACIONES'!$F$4:$F$339,MATCH($O218&amp;"|"&amp;$R218&amp;"|"&amp;$AE218,'ASIGNACIONES'!$J$4:$J$339,0)),""))=0,"",IFERROR(INDEX('ASIGNACIONES'!$F$4:$F$339,MATCH($O218&amp;"|"&amp;$R218&amp;"|"&amp;$AE218,'ASIGNACIONES'!$J$4:$J$339,0)),"")))</f>
        <v/>
      </c>
      <c r="AG218" s="13">
        <f>IF($AE218="","",SUMIFS('ORDENES'!$M$4:$M$1203,'ORDENES'!$AE$4:$AE$1203,$AE218,'ORDENES'!$O$4:$O$1203,$O218,'ORDENES'!$R$4:$R$1203,$R218))</f>
        <v/>
      </c>
      <c r="AH218" s="13">
        <f>IF($AG218="","",p_factor_productividad*IFERROR(INDEX('ASIGNACIONES'!$I$4:$I$339,MATCH($O218&amp;"|"&amp;$R218&amp;"|"&amp;$AE218,'ASIGNACIONES'!$J$4:$J$339,0)),0)-$AG218)</f>
        <v/>
      </c>
      <c r="AI218" s="10">
        <f>IF($A218="","",IFERROR(INDEX('2_IMPORTAR_EJECUCION'!$F$9:$F$1208,MATCH($AQ218,'2_IMPORTAR_EJECUCION'!$J$9:$J$1208,0)),0))</f>
        <v/>
      </c>
      <c r="AJ218" s="10">
        <f>IF($A218="","",MAX(0,IFERROR(INDEX('2_IMPORTAR_EJECUCION'!$H$9:$H$1208,MATCH($AQ218,'2_IMPORTAR_EJECUCION'!$J$9:$J$1208,0)),0)-$AI218))</f>
        <v/>
      </c>
      <c r="AK218" s="10">
        <f>IF($A218="","",$AI218+$AJ218)</f>
        <v/>
      </c>
      <c r="AL218" s="6" t="n"/>
      <c r="AM218" s="6" t="n"/>
      <c r="AN218" s="6" t="n"/>
      <c r="AO218" s="3">
        <f>IF($AN218="","",HYPERLINK(p_ruta_base_checklists&amp;$AN218,"abrir"))</f>
        <v/>
      </c>
      <c r="AP218" s="6" t="n"/>
      <c r="AQ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IF($A219="","",IFERROR(INDEX('AJUSTES'!$B$4:$B$303,MATCH($AQ219,'AJUSTES'!$A$4:$A$303,0)),IF($K219="","",$K219)))</f>
        <v/>
      </c>
      <c r="N219" s="3">
        <f>IF($A219="","",IFERROR(INDEX('CAT_ESTADOS_ERP'!$B$4:$B$7,MATCH(IFERROR(INDEX('2_IMPORTAR_EJECUCION'!$C$9:$C$1208,MATCH($AQ219,'2_IMPORTAR_EJECUCION'!$J$9:$J$1208,0)),""),'CAT_ESTADOS_ERP'!$A$4:$A$7,0)),"Pendiente"))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J219="","",IFERROR(INDEX('CALENDARIO'!$C$15:$C$214,MATCH(TEXT($J219,"yyyy-mm-dd")&amp;"|"&amp;$V219&amp;"|"&amp;$W219,'CALENDARIO'!$G$15:$G$214,0)),IFERROR(INDEX('CALENDARIO'!$C$15:$C$214,MATCH(TEXT($J219,"yyyy-mm-dd")&amp;"|"&amp;$V219&amp;"|",'CALENDARIO'!$G$15:$G$214,0)),IFERROR(INDEX('CALENDARIO'!$C$15:$C$214,MATCH(TEXT($J219,"yyyy-mm-dd")&amp;"||",'CALENDARIO'!$G$15:$G$214,0)),INDEX(patronHabil,WEEKDAY($J219,2))))))</f>
        <v/>
      </c>
      <c r="T219" s="3">
        <f>IF($I219="","",IFERROR(INDEX('CAT_TIPOS_OT'!$C$4:$C$7,MATCH($I219,'CAT_TIPOS_OT'!$A$4:$A$7,0)),"sin_clasificar"))</f>
        <v/>
      </c>
      <c r="U219" s="3">
        <f>IF($F219="","",IFERROR(INDEX('CAT_CENTROS_COSTO'!$F$4:$F$13,MATCH($F219,'CAT_CENTROS_COSTO'!$A$4:$A$13,0)),"(sin catálogo)"))</f>
        <v/>
      </c>
      <c r="V219" s="3">
        <f>IF($F219="","",IFERROR(INDEX('CAT_CENTROS_COSTO'!$D$4:$D$13,MATCH($F219,'CAT_CENTROS_COSTO'!$A$4:$A$13,0)),"(sin catálogo)"))</f>
        <v/>
      </c>
      <c r="W219" s="3">
        <f>IF($F219="","",IF((IFERROR(INDEX('CAT_CENTROS_COSTO'!$E$4:$E$13,MATCH($F219,'CAT_CENTROS_COSTO'!$A$4:$A$13,0)),""))&lt;&gt;"",IFERROR(INDEX('CAT_CENTROS_COSTO'!$E$4:$E$13,MATCH($F219,'CAT_CENTROS_COSTO'!$A$4:$A$13,0)),""),$V219))</f>
        <v/>
      </c>
      <c r="X219" s="3">
        <f>IF($F219="","",IFERROR(INDEX('CAT_CENTROS_COSTO'!$G$4:$G$13,MATCH($F219,'CAT_CENTROS_COSTO'!$A$4:$A$13,0)),"(sin catálogo)"))</f>
        <v/>
      </c>
      <c r="Y219" s="3">
        <f>IF($G219="","",IFERROR(INDEX('CAT_PUESTOS'!$B$4:$B$8,MATCH($G219,'CAT_PUESTOS'!$A$4:$A$8,0)),"(sin catálogo)"))</f>
        <v/>
      </c>
      <c r="Z219" s="3">
        <f>IF($H219="","",IFERROR(INDEX('CAT_ACTIVIDADES'!$B$4:$B$8,MATCH($H219,'CAT_ACTIVIDADES'!$A$4:$A$8,0)),"(sin catálogo)"))</f>
        <v/>
      </c>
      <c r="AA219" s="12">
        <f>IF($J219="","",TODAY()-$J219)</f>
        <v/>
      </c>
      <c r="AB219" s="12">
        <f>IF($J219="","",IF($J219&lt;=TODAY(),COUNTIFS(cal_fechas,"&gt;="&amp;$J219,cal_fechas,"&lt;"&amp;TODAY(),cal_habil,"sí"),-COUNTIFS(cal_fechas,"&gt;="&amp;TODAY(),cal_fechas,"&lt;"&amp;$J219,cal_habil,"sí")))</f>
        <v/>
      </c>
      <c r="AC219" s="3">
        <f>IF($AB219="","",IF($AB219&lt;0,"FUTURO",IF($AB219&gt;p_dias_backlog_max,"BACKLOG","MES CORRIENTE")))</f>
        <v/>
      </c>
      <c r="AD219" s="3">
        <f>IF($AB219="",FALSE,AND($AB219&gt;p_dias_backlog_min,$AB219&lt;=p_dias_backlog_max))</f>
        <v/>
      </c>
      <c r="AE219" s="6" t="n"/>
      <c r="AF219" s="3">
        <f>IF($AE219="","",IF((IFERROR(INDEX('ASIGNACIONES'!$F$4:$F$339,MATCH($O219&amp;"|"&amp;$R219&amp;"|"&amp;$AE219,'ASIGNACIONES'!$J$4:$J$339,0)),""))=0,"",IFERROR(INDEX('ASIGNACIONES'!$F$4:$F$339,MATCH($O219&amp;"|"&amp;$R219&amp;"|"&amp;$AE219,'ASIGNACIONES'!$J$4:$J$339,0)),"")))</f>
        <v/>
      </c>
      <c r="AG219" s="13">
        <f>IF($AE219="","",SUMIFS('ORDENES'!$M$4:$M$1203,'ORDENES'!$AE$4:$AE$1203,$AE219,'ORDENES'!$O$4:$O$1203,$O219,'ORDENES'!$R$4:$R$1203,$R219))</f>
        <v/>
      </c>
      <c r="AH219" s="13">
        <f>IF($AG219="","",p_factor_productividad*IFERROR(INDEX('ASIGNACIONES'!$I$4:$I$339,MATCH($O219&amp;"|"&amp;$R219&amp;"|"&amp;$AE219,'ASIGNACIONES'!$J$4:$J$339,0)),0)-$AG219)</f>
        <v/>
      </c>
      <c r="AI219" s="10">
        <f>IF($A219="","",IFERROR(INDEX('2_IMPORTAR_EJECUCION'!$F$9:$F$1208,MATCH($AQ219,'2_IMPORTAR_EJECUCION'!$J$9:$J$1208,0)),0))</f>
        <v/>
      </c>
      <c r="AJ219" s="10">
        <f>IF($A219="","",MAX(0,IFERROR(INDEX('2_IMPORTAR_EJECUCION'!$H$9:$H$1208,MATCH($AQ219,'2_IMPORTAR_EJECUCION'!$J$9:$J$1208,0)),0)-$AI219))</f>
        <v/>
      </c>
      <c r="AK219" s="10">
        <f>IF($A219="","",$AI219+$AJ219)</f>
        <v/>
      </c>
      <c r="AL219" s="6" t="n"/>
      <c r="AM219" s="6" t="n"/>
      <c r="AN219" s="6" t="n"/>
      <c r="AO219" s="3">
        <f>IF($AN219="","",HYPERLINK(p_ruta_base_checklists&amp;$AN219,"abrir"))</f>
        <v/>
      </c>
      <c r="AP219" s="6" t="n"/>
      <c r="AQ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IF($A220="","",IFERROR(INDEX('AJUSTES'!$B$4:$B$303,MATCH($AQ220,'AJUSTES'!$A$4:$A$303,0)),IF($K220="","",$K220)))</f>
        <v/>
      </c>
      <c r="N220" s="3">
        <f>IF($A220="","",IFERROR(INDEX('CAT_ESTADOS_ERP'!$B$4:$B$7,MATCH(IFERROR(INDEX('2_IMPORTAR_EJECUCION'!$C$9:$C$1208,MATCH($AQ220,'2_IMPORTAR_EJECUCION'!$J$9:$J$1208,0)),""),'CAT_ESTADOS_ERP'!$A$4:$A$7,0)),"Pendiente"))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J220="","",IFERROR(INDEX('CALENDARIO'!$C$15:$C$214,MATCH(TEXT($J220,"yyyy-mm-dd")&amp;"|"&amp;$V220&amp;"|"&amp;$W220,'CALENDARIO'!$G$15:$G$214,0)),IFERROR(INDEX('CALENDARIO'!$C$15:$C$214,MATCH(TEXT($J220,"yyyy-mm-dd")&amp;"|"&amp;$V220&amp;"|",'CALENDARIO'!$G$15:$G$214,0)),IFERROR(INDEX('CALENDARIO'!$C$15:$C$214,MATCH(TEXT($J220,"yyyy-mm-dd")&amp;"||",'CALENDARIO'!$G$15:$G$214,0)),INDEX(patronHabil,WEEKDAY($J220,2))))))</f>
        <v/>
      </c>
      <c r="T220" s="3">
        <f>IF($I220="","",IFERROR(INDEX('CAT_TIPOS_OT'!$C$4:$C$7,MATCH($I220,'CAT_TIPOS_OT'!$A$4:$A$7,0)),"sin_clasificar"))</f>
        <v/>
      </c>
      <c r="U220" s="3">
        <f>IF($F220="","",IFERROR(INDEX('CAT_CENTROS_COSTO'!$F$4:$F$13,MATCH($F220,'CAT_CENTROS_COSTO'!$A$4:$A$13,0)),"(sin catálogo)"))</f>
        <v/>
      </c>
      <c r="V220" s="3">
        <f>IF($F220="","",IFERROR(INDEX('CAT_CENTROS_COSTO'!$D$4:$D$13,MATCH($F220,'CAT_CENTROS_COSTO'!$A$4:$A$13,0)),"(sin catálogo)"))</f>
        <v/>
      </c>
      <c r="W220" s="3">
        <f>IF($F220="","",IF((IFERROR(INDEX('CAT_CENTROS_COSTO'!$E$4:$E$13,MATCH($F220,'CAT_CENTROS_COSTO'!$A$4:$A$13,0)),""))&lt;&gt;"",IFERROR(INDEX('CAT_CENTROS_COSTO'!$E$4:$E$13,MATCH($F220,'CAT_CENTROS_COSTO'!$A$4:$A$13,0)),""),$V220))</f>
        <v/>
      </c>
      <c r="X220" s="3">
        <f>IF($F220="","",IFERROR(INDEX('CAT_CENTROS_COSTO'!$G$4:$G$13,MATCH($F220,'CAT_CENTROS_COSTO'!$A$4:$A$13,0)),"(sin catálogo)"))</f>
        <v/>
      </c>
      <c r="Y220" s="3">
        <f>IF($G220="","",IFERROR(INDEX('CAT_PUESTOS'!$B$4:$B$8,MATCH($G220,'CAT_PUESTOS'!$A$4:$A$8,0)),"(sin catálogo)"))</f>
        <v/>
      </c>
      <c r="Z220" s="3">
        <f>IF($H220="","",IFERROR(INDEX('CAT_ACTIVIDADES'!$B$4:$B$8,MATCH($H220,'CAT_ACTIVIDADES'!$A$4:$A$8,0)),"(sin catálogo)"))</f>
        <v/>
      </c>
      <c r="AA220" s="12">
        <f>IF($J220="","",TODAY()-$J220)</f>
        <v/>
      </c>
      <c r="AB220" s="12">
        <f>IF($J220="","",IF($J220&lt;=TODAY(),COUNTIFS(cal_fechas,"&gt;="&amp;$J220,cal_fechas,"&lt;"&amp;TODAY(),cal_habil,"sí"),-COUNTIFS(cal_fechas,"&gt;="&amp;TODAY(),cal_fechas,"&lt;"&amp;$J220,cal_habil,"sí")))</f>
        <v/>
      </c>
      <c r="AC220" s="3">
        <f>IF($AB220="","",IF($AB220&lt;0,"FUTURO",IF($AB220&gt;p_dias_backlog_max,"BACKLOG","MES CORRIENTE")))</f>
        <v/>
      </c>
      <c r="AD220" s="3">
        <f>IF($AB220="",FALSE,AND($AB220&gt;p_dias_backlog_min,$AB220&lt;=p_dias_backlog_max))</f>
        <v/>
      </c>
      <c r="AE220" s="6" t="n"/>
      <c r="AF220" s="3">
        <f>IF($AE220="","",IF((IFERROR(INDEX('ASIGNACIONES'!$F$4:$F$339,MATCH($O220&amp;"|"&amp;$R220&amp;"|"&amp;$AE220,'ASIGNACIONES'!$J$4:$J$339,0)),""))=0,"",IFERROR(INDEX('ASIGNACIONES'!$F$4:$F$339,MATCH($O220&amp;"|"&amp;$R220&amp;"|"&amp;$AE220,'ASIGNACIONES'!$J$4:$J$339,0)),"")))</f>
        <v/>
      </c>
      <c r="AG220" s="13">
        <f>IF($AE220="","",SUMIFS('ORDENES'!$M$4:$M$1203,'ORDENES'!$AE$4:$AE$1203,$AE220,'ORDENES'!$O$4:$O$1203,$O220,'ORDENES'!$R$4:$R$1203,$R220))</f>
        <v/>
      </c>
      <c r="AH220" s="13">
        <f>IF($AG220="","",p_factor_productividad*IFERROR(INDEX('ASIGNACIONES'!$I$4:$I$339,MATCH($O220&amp;"|"&amp;$R220&amp;"|"&amp;$AE220,'ASIGNACIONES'!$J$4:$J$339,0)),0)-$AG220)</f>
        <v/>
      </c>
      <c r="AI220" s="10">
        <f>IF($A220="","",IFERROR(INDEX('2_IMPORTAR_EJECUCION'!$F$9:$F$1208,MATCH($AQ220,'2_IMPORTAR_EJECUCION'!$J$9:$J$1208,0)),0))</f>
        <v/>
      </c>
      <c r="AJ220" s="10">
        <f>IF($A220="","",MAX(0,IFERROR(INDEX('2_IMPORTAR_EJECUCION'!$H$9:$H$1208,MATCH($AQ220,'2_IMPORTAR_EJECUCION'!$J$9:$J$1208,0)),0)-$AI220))</f>
        <v/>
      </c>
      <c r="AK220" s="10">
        <f>IF($A220="","",$AI220+$AJ220)</f>
        <v/>
      </c>
      <c r="AL220" s="6" t="n"/>
      <c r="AM220" s="6" t="n"/>
      <c r="AN220" s="6" t="n"/>
      <c r="AO220" s="3">
        <f>IF($AN220="","",HYPERLINK(p_ruta_base_checklists&amp;$AN220,"abrir"))</f>
        <v/>
      </c>
      <c r="AP220" s="6" t="n"/>
      <c r="AQ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IF($A221="","",IFERROR(INDEX('AJUSTES'!$B$4:$B$303,MATCH($AQ221,'AJUSTES'!$A$4:$A$303,0)),IF($K221="","",$K221)))</f>
        <v/>
      </c>
      <c r="N221" s="3">
        <f>IF($A221="","",IFERROR(INDEX('CAT_ESTADOS_ERP'!$B$4:$B$7,MATCH(IFERROR(INDEX('2_IMPORTAR_EJECUCION'!$C$9:$C$1208,MATCH($AQ221,'2_IMPORTAR_EJECUCION'!$J$9:$J$1208,0)),""),'CAT_ESTADOS_ERP'!$A$4:$A$7,0)),"Pendiente"))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J221="","",IFERROR(INDEX('CALENDARIO'!$C$15:$C$214,MATCH(TEXT($J221,"yyyy-mm-dd")&amp;"|"&amp;$V221&amp;"|"&amp;$W221,'CALENDARIO'!$G$15:$G$214,0)),IFERROR(INDEX('CALENDARIO'!$C$15:$C$214,MATCH(TEXT($J221,"yyyy-mm-dd")&amp;"|"&amp;$V221&amp;"|",'CALENDARIO'!$G$15:$G$214,0)),IFERROR(INDEX('CALENDARIO'!$C$15:$C$214,MATCH(TEXT($J221,"yyyy-mm-dd")&amp;"||",'CALENDARIO'!$G$15:$G$214,0)),INDEX(patronHabil,WEEKDAY($J221,2))))))</f>
        <v/>
      </c>
      <c r="T221" s="3">
        <f>IF($I221="","",IFERROR(INDEX('CAT_TIPOS_OT'!$C$4:$C$7,MATCH($I221,'CAT_TIPOS_OT'!$A$4:$A$7,0)),"sin_clasificar"))</f>
        <v/>
      </c>
      <c r="U221" s="3">
        <f>IF($F221="","",IFERROR(INDEX('CAT_CENTROS_COSTO'!$F$4:$F$13,MATCH($F221,'CAT_CENTROS_COSTO'!$A$4:$A$13,0)),"(sin catálogo)"))</f>
        <v/>
      </c>
      <c r="V221" s="3">
        <f>IF($F221="","",IFERROR(INDEX('CAT_CENTROS_COSTO'!$D$4:$D$13,MATCH($F221,'CAT_CENTROS_COSTO'!$A$4:$A$13,0)),"(sin catálogo)"))</f>
        <v/>
      </c>
      <c r="W221" s="3">
        <f>IF($F221="","",IF((IFERROR(INDEX('CAT_CENTROS_COSTO'!$E$4:$E$13,MATCH($F221,'CAT_CENTROS_COSTO'!$A$4:$A$13,0)),""))&lt;&gt;"",IFERROR(INDEX('CAT_CENTROS_COSTO'!$E$4:$E$13,MATCH($F221,'CAT_CENTROS_COSTO'!$A$4:$A$13,0)),""),$V221))</f>
        <v/>
      </c>
      <c r="X221" s="3">
        <f>IF($F221="","",IFERROR(INDEX('CAT_CENTROS_COSTO'!$G$4:$G$13,MATCH($F221,'CAT_CENTROS_COSTO'!$A$4:$A$13,0)),"(sin catálogo)"))</f>
        <v/>
      </c>
      <c r="Y221" s="3">
        <f>IF($G221="","",IFERROR(INDEX('CAT_PUESTOS'!$B$4:$B$8,MATCH($G221,'CAT_PUESTOS'!$A$4:$A$8,0)),"(sin catálogo)"))</f>
        <v/>
      </c>
      <c r="Z221" s="3">
        <f>IF($H221="","",IFERROR(INDEX('CAT_ACTIVIDADES'!$B$4:$B$8,MATCH($H221,'CAT_ACTIVIDADES'!$A$4:$A$8,0)),"(sin catálogo)"))</f>
        <v/>
      </c>
      <c r="AA221" s="12">
        <f>IF($J221="","",TODAY()-$J221)</f>
        <v/>
      </c>
      <c r="AB221" s="12">
        <f>IF($J221="","",IF($J221&lt;=TODAY(),COUNTIFS(cal_fechas,"&gt;="&amp;$J221,cal_fechas,"&lt;"&amp;TODAY(),cal_habil,"sí"),-COUNTIFS(cal_fechas,"&gt;="&amp;TODAY(),cal_fechas,"&lt;"&amp;$J221,cal_habil,"sí")))</f>
        <v/>
      </c>
      <c r="AC221" s="3">
        <f>IF($AB221="","",IF($AB221&lt;0,"FUTURO",IF($AB221&gt;p_dias_backlog_max,"BACKLOG","MES CORRIENTE")))</f>
        <v/>
      </c>
      <c r="AD221" s="3">
        <f>IF($AB221="",FALSE,AND($AB221&gt;p_dias_backlog_min,$AB221&lt;=p_dias_backlog_max))</f>
        <v/>
      </c>
      <c r="AE221" s="6" t="n"/>
      <c r="AF221" s="3">
        <f>IF($AE221="","",IF((IFERROR(INDEX('ASIGNACIONES'!$F$4:$F$339,MATCH($O221&amp;"|"&amp;$R221&amp;"|"&amp;$AE221,'ASIGNACIONES'!$J$4:$J$339,0)),""))=0,"",IFERROR(INDEX('ASIGNACIONES'!$F$4:$F$339,MATCH($O221&amp;"|"&amp;$R221&amp;"|"&amp;$AE221,'ASIGNACIONES'!$J$4:$J$339,0)),"")))</f>
        <v/>
      </c>
      <c r="AG221" s="13">
        <f>IF($AE221="","",SUMIFS('ORDENES'!$M$4:$M$1203,'ORDENES'!$AE$4:$AE$1203,$AE221,'ORDENES'!$O$4:$O$1203,$O221,'ORDENES'!$R$4:$R$1203,$R221))</f>
        <v/>
      </c>
      <c r="AH221" s="13">
        <f>IF($AG221="","",p_factor_productividad*IFERROR(INDEX('ASIGNACIONES'!$I$4:$I$339,MATCH($O221&amp;"|"&amp;$R221&amp;"|"&amp;$AE221,'ASIGNACIONES'!$J$4:$J$339,0)),0)-$AG221)</f>
        <v/>
      </c>
      <c r="AI221" s="10">
        <f>IF($A221="","",IFERROR(INDEX('2_IMPORTAR_EJECUCION'!$F$9:$F$1208,MATCH($AQ221,'2_IMPORTAR_EJECUCION'!$J$9:$J$1208,0)),0))</f>
        <v/>
      </c>
      <c r="AJ221" s="10">
        <f>IF($A221="","",MAX(0,IFERROR(INDEX('2_IMPORTAR_EJECUCION'!$H$9:$H$1208,MATCH($AQ221,'2_IMPORTAR_EJECUCION'!$J$9:$J$1208,0)),0)-$AI221))</f>
        <v/>
      </c>
      <c r="AK221" s="10">
        <f>IF($A221="","",$AI221+$AJ221)</f>
        <v/>
      </c>
      <c r="AL221" s="6" t="n"/>
      <c r="AM221" s="6" t="n"/>
      <c r="AN221" s="6" t="n"/>
      <c r="AO221" s="3">
        <f>IF($AN221="","",HYPERLINK(p_ruta_base_checklists&amp;$AN221,"abrir"))</f>
        <v/>
      </c>
      <c r="AP221" s="6" t="n"/>
      <c r="AQ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IF($A222="","",IFERROR(INDEX('AJUSTES'!$B$4:$B$303,MATCH($AQ222,'AJUSTES'!$A$4:$A$303,0)),IF($K222="","",$K222)))</f>
        <v/>
      </c>
      <c r="N222" s="3">
        <f>IF($A222="","",IFERROR(INDEX('CAT_ESTADOS_ERP'!$B$4:$B$7,MATCH(IFERROR(INDEX('2_IMPORTAR_EJECUCION'!$C$9:$C$1208,MATCH($AQ222,'2_IMPORTAR_EJECUCION'!$J$9:$J$1208,0)),""),'CAT_ESTADOS_ERP'!$A$4:$A$7,0)),"Pendiente"))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J222="","",IFERROR(INDEX('CALENDARIO'!$C$15:$C$214,MATCH(TEXT($J222,"yyyy-mm-dd")&amp;"|"&amp;$V222&amp;"|"&amp;$W222,'CALENDARIO'!$G$15:$G$214,0)),IFERROR(INDEX('CALENDARIO'!$C$15:$C$214,MATCH(TEXT($J222,"yyyy-mm-dd")&amp;"|"&amp;$V222&amp;"|",'CALENDARIO'!$G$15:$G$214,0)),IFERROR(INDEX('CALENDARIO'!$C$15:$C$214,MATCH(TEXT($J222,"yyyy-mm-dd")&amp;"||",'CALENDARIO'!$G$15:$G$214,0)),INDEX(patronHabil,WEEKDAY($J222,2))))))</f>
        <v/>
      </c>
      <c r="T222" s="3">
        <f>IF($I222="","",IFERROR(INDEX('CAT_TIPOS_OT'!$C$4:$C$7,MATCH($I222,'CAT_TIPOS_OT'!$A$4:$A$7,0)),"sin_clasificar"))</f>
        <v/>
      </c>
      <c r="U222" s="3">
        <f>IF($F222="","",IFERROR(INDEX('CAT_CENTROS_COSTO'!$F$4:$F$13,MATCH($F222,'CAT_CENTROS_COSTO'!$A$4:$A$13,0)),"(sin catálogo)"))</f>
        <v/>
      </c>
      <c r="V222" s="3">
        <f>IF($F222="","",IFERROR(INDEX('CAT_CENTROS_COSTO'!$D$4:$D$13,MATCH($F222,'CAT_CENTROS_COSTO'!$A$4:$A$13,0)),"(sin catálogo)"))</f>
        <v/>
      </c>
      <c r="W222" s="3">
        <f>IF($F222="","",IF((IFERROR(INDEX('CAT_CENTROS_COSTO'!$E$4:$E$13,MATCH($F222,'CAT_CENTROS_COSTO'!$A$4:$A$13,0)),""))&lt;&gt;"",IFERROR(INDEX('CAT_CENTROS_COSTO'!$E$4:$E$13,MATCH($F222,'CAT_CENTROS_COSTO'!$A$4:$A$13,0)),""),$V222))</f>
        <v/>
      </c>
      <c r="X222" s="3">
        <f>IF($F222="","",IFERROR(INDEX('CAT_CENTROS_COSTO'!$G$4:$G$13,MATCH($F222,'CAT_CENTROS_COSTO'!$A$4:$A$13,0)),"(sin catálogo)"))</f>
        <v/>
      </c>
      <c r="Y222" s="3">
        <f>IF($G222="","",IFERROR(INDEX('CAT_PUESTOS'!$B$4:$B$8,MATCH($G222,'CAT_PUESTOS'!$A$4:$A$8,0)),"(sin catálogo)"))</f>
        <v/>
      </c>
      <c r="Z222" s="3">
        <f>IF($H222="","",IFERROR(INDEX('CAT_ACTIVIDADES'!$B$4:$B$8,MATCH($H222,'CAT_ACTIVIDADES'!$A$4:$A$8,0)),"(sin catálogo)"))</f>
        <v/>
      </c>
      <c r="AA222" s="12">
        <f>IF($J222="","",TODAY()-$J222)</f>
        <v/>
      </c>
      <c r="AB222" s="12">
        <f>IF($J222="","",IF($J222&lt;=TODAY(),COUNTIFS(cal_fechas,"&gt;="&amp;$J222,cal_fechas,"&lt;"&amp;TODAY(),cal_habil,"sí"),-COUNTIFS(cal_fechas,"&gt;="&amp;TODAY(),cal_fechas,"&lt;"&amp;$J222,cal_habil,"sí")))</f>
        <v/>
      </c>
      <c r="AC222" s="3">
        <f>IF($AB222="","",IF($AB222&lt;0,"FUTURO",IF($AB222&gt;p_dias_backlog_max,"BACKLOG","MES CORRIENTE")))</f>
        <v/>
      </c>
      <c r="AD222" s="3">
        <f>IF($AB222="",FALSE,AND($AB222&gt;p_dias_backlog_min,$AB222&lt;=p_dias_backlog_max))</f>
        <v/>
      </c>
      <c r="AE222" s="6" t="n"/>
      <c r="AF222" s="3">
        <f>IF($AE222="","",IF((IFERROR(INDEX('ASIGNACIONES'!$F$4:$F$339,MATCH($O222&amp;"|"&amp;$R222&amp;"|"&amp;$AE222,'ASIGNACIONES'!$J$4:$J$339,0)),""))=0,"",IFERROR(INDEX('ASIGNACIONES'!$F$4:$F$339,MATCH($O222&amp;"|"&amp;$R222&amp;"|"&amp;$AE222,'ASIGNACIONES'!$J$4:$J$339,0)),"")))</f>
        <v/>
      </c>
      <c r="AG222" s="13">
        <f>IF($AE222="","",SUMIFS('ORDENES'!$M$4:$M$1203,'ORDENES'!$AE$4:$AE$1203,$AE222,'ORDENES'!$O$4:$O$1203,$O222,'ORDENES'!$R$4:$R$1203,$R222))</f>
        <v/>
      </c>
      <c r="AH222" s="13">
        <f>IF($AG222="","",p_factor_productividad*IFERROR(INDEX('ASIGNACIONES'!$I$4:$I$339,MATCH($O222&amp;"|"&amp;$R222&amp;"|"&amp;$AE222,'ASIGNACIONES'!$J$4:$J$339,0)),0)-$AG222)</f>
        <v/>
      </c>
      <c r="AI222" s="10">
        <f>IF($A222="","",IFERROR(INDEX('2_IMPORTAR_EJECUCION'!$F$9:$F$1208,MATCH($AQ222,'2_IMPORTAR_EJECUCION'!$J$9:$J$1208,0)),0))</f>
        <v/>
      </c>
      <c r="AJ222" s="10">
        <f>IF($A222="","",MAX(0,IFERROR(INDEX('2_IMPORTAR_EJECUCION'!$H$9:$H$1208,MATCH($AQ222,'2_IMPORTAR_EJECUCION'!$J$9:$J$1208,0)),0)-$AI222))</f>
        <v/>
      </c>
      <c r="AK222" s="10">
        <f>IF($A222="","",$AI222+$AJ222)</f>
        <v/>
      </c>
      <c r="AL222" s="6" t="n"/>
      <c r="AM222" s="6" t="n"/>
      <c r="AN222" s="6" t="n"/>
      <c r="AO222" s="3">
        <f>IF($AN222="","",HYPERLINK(p_ruta_base_checklists&amp;$AN222,"abrir"))</f>
        <v/>
      </c>
      <c r="AP222" s="6" t="n"/>
      <c r="AQ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IF($A223="","",IFERROR(INDEX('AJUSTES'!$B$4:$B$303,MATCH($AQ223,'AJUSTES'!$A$4:$A$303,0)),IF($K223="","",$K223)))</f>
        <v/>
      </c>
      <c r="N223" s="3">
        <f>IF($A223="","",IFERROR(INDEX('CAT_ESTADOS_ERP'!$B$4:$B$7,MATCH(IFERROR(INDEX('2_IMPORTAR_EJECUCION'!$C$9:$C$1208,MATCH($AQ223,'2_IMPORTAR_EJECUCION'!$J$9:$J$1208,0)),""),'CAT_ESTADOS_ERP'!$A$4:$A$7,0)),"Pendiente"))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J223="","",IFERROR(INDEX('CALENDARIO'!$C$15:$C$214,MATCH(TEXT($J223,"yyyy-mm-dd")&amp;"|"&amp;$V223&amp;"|"&amp;$W223,'CALENDARIO'!$G$15:$G$214,0)),IFERROR(INDEX('CALENDARIO'!$C$15:$C$214,MATCH(TEXT($J223,"yyyy-mm-dd")&amp;"|"&amp;$V223&amp;"|",'CALENDARIO'!$G$15:$G$214,0)),IFERROR(INDEX('CALENDARIO'!$C$15:$C$214,MATCH(TEXT($J223,"yyyy-mm-dd")&amp;"||",'CALENDARIO'!$G$15:$G$214,0)),INDEX(patronHabil,WEEKDAY($J223,2))))))</f>
        <v/>
      </c>
      <c r="T223" s="3">
        <f>IF($I223="","",IFERROR(INDEX('CAT_TIPOS_OT'!$C$4:$C$7,MATCH($I223,'CAT_TIPOS_OT'!$A$4:$A$7,0)),"sin_clasificar"))</f>
        <v/>
      </c>
      <c r="U223" s="3">
        <f>IF($F223="","",IFERROR(INDEX('CAT_CENTROS_COSTO'!$F$4:$F$13,MATCH($F223,'CAT_CENTROS_COSTO'!$A$4:$A$13,0)),"(sin catálogo)"))</f>
        <v/>
      </c>
      <c r="V223" s="3">
        <f>IF($F223="","",IFERROR(INDEX('CAT_CENTROS_COSTO'!$D$4:$D$13,MATCH($F223,'CAT_CENTROS_COSTO'!$A$4:$A$13,0)),"(sin catálogo)"))</f>
        <v/>
      </c>
      <c r="W223" s="3">
        <f>IF($F223="","",IF((IFERROR(INDEX('CAT_CENTROS_COSTO'!$E$4:$E$13,MATCH($F223,'CAT_CENTROS_COSTO'!$A$4:$A$13,0)),""))&lt;&gt;"",IFERROR(INDEX('CAT_CENTROS_COSTO'!$E$4:$E$13,MATCH($F223,'CAT_CENTROS_COSTO'!$A$4:$A$13,0)),""),$V223))</f>
        <v/>
      </c>
      <c r="X223" s="3">
        <f>IF($F223="","",IFERROR(INDEX('CAT_CENTROS_COSTO'!$G$4:$G$13,MATCH($F223,'CAT_CENTROS_COSTO'!$A$4:$A$13,0)),"(sin catálogo)"))</f>
        <v/>
      </c>
      <c r="Y223" s="3">
        <f>IF($G223="","",IFERROR(INDEX('CAT_PUESTOS'!$B$4:$B$8,MATCH($G223,'CAT_PUESTOS'!$A$4:$A$8,0)),"(sin catálogo)"))</f>
        <v/>
      </c>
      <c r="Z223" s="3">
        <f>IF($H223="","",IFERROR(INDEX('CAT_ACTIVIDADES'!$B$4:$B$8,MATCH($H223,'CAT_ACTIVIDADES'!$A$4:$A$8,0)),"(sin catálogo)"))</f>
        <v/>
      </c>
      <c r="AA223" s="12">
        <f>IF($J223="","",TODAY()-$J223)</f>
        <v/>
      </c>
      <c r="AB223" s="12">
        <f>IF($J223="","",IF($J223&lt;=TODAY(),COUNTIFS(cal_fechas,"&gt;="&amp;$J223,cal_fechas,"&lt;"&amp;TODAY(),cal_habil,"sí"),-COUNTIFS(cal_fechas,"&gt;="&amp;TODAY(),cal_fechas,"&lt;"&amp;$J223,cal_habil,"sí")))</f>
        <v/>
      </c>
      <c r="AC223" s="3">
        <f>IF($AB223="","",IF($AB223&lt;0,"FUTURO",IF($AB223&gt;p_dias_backlog_max,"BACKLOG","MES CORRIENTE")))</f>
        <v/>
      </c>
      <c r="AD223" s="3">
        <f>IF($AB223="",FALSE,AND($AB223&gt;p_dias_backlog_min,$AB223&lt;=p_dias_backlog_max))</f>
        <v/>
      </c>
      <c r="AE223" s="6" t="n"/>
      <c r="AF223" s="3">
        <f>IF($AE223="","",IF((IFERROR(INDEX('ASIGNACIONES'!$F$4:$F$339,MATCH($O223&amp;"|"&amp;$R223&amp;"|"&amp;$AE223,'ASIGNACIONES'!$J$4:$J$339,0)),""))=0,"",IFERROR(INDEX('ASIGNACIONES'!$F$4:$F$339,MATCH($O223&amp;"|"&amp;$R223&amp;"|"&amp;$AE223,'ASIGNACIONES'!$J$4:$J$339,0)),"")))</f>
        <v/>
      </c>
      <c r="AG223" s="13">
        <f>IF($AE223="","",SUMIFS('ORDENES'!$M$4:$M$1203,'ORDENES'!$AE$4:$AE$1203,$AE223,'ORDENES'!$O$4:$O$1203,$O223,'ORDENES'!$R$4:$R$1203,$R223))</f>
        <v/>
      </c>
      <c r="AH223" s="13">
        <f>IF($AG223="","",p_factor_productividad*IFERROR(INDEX('ASIGNACIONES'!$I$4:$I$339,MATCH($O223&amp;"|"&amp;$R223&amp;"|"&amp;$AE223,'ASIGNACIONES'!$J$4:$J$339,0)),0)-$AG223)</f>
        <v/>
      </c>
      <c r="AI223" s="10">
        <f>IF($A223="","",IFERROR(INDEX('2_IMPORTAR_EJECUCION'!$F$9:$F$1208,MATCH($AQ223,'2_IMPORTAR_EJECUCION'!$J$9:$J$1208,0)),0))</f>
        <v/>
      </c>
      <c r="AJ223" s="10">
        <f>IF($A223="","",MAX(0,IFERROR(INDEX('2_IMPORTAR_EJECUCION'!$H$9:$H$1208,MATCH($AQ223,'2_IMPORTAR_EJECUCION'!$J$9:$J$1208,0)),0)-$AI223))</f>
        <v/>
      </c>
      <c r="AK223" s="10">
        <f>IF($A223="","",$AI223+$AJ223)</f>
        <v/>
      </c>
      <c r="AL223" s="6" t="n"/>
      <c r="AM223" s="6" t="n"/>
      <c r="AN223" s="6" t="n"/>
      <c r="AO223" s="3">
        <f>IF($AN223="","",HYPERLINK(p_ruta_base_checklists&amp;$AN223,"abrir"))</f>
        <v/>
      </c>
      <c r="AP223" s="6" t="n"/>
      <c r="AQ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IF($A224="","",IFERROR(INDEX('AJUSTES'!$B$4:$B$303,MATCH($AQ224,'AJUSTES'!$A$4:$A$303,0)),IF($K224="","",$K224)))</f>
        <v/>
      </c>
      <c r="N224" s="3">
        <f>IF($A224="","",IFERROR(INDEX('CAT_ESTADOS_ERP'!$B$4:$B$7,MATCH(IFERROR(INDEX('2_IMPORTAR_EJECUCION'!$C$9:$C$1208,MATCH($AQ224,'2_IMPORTAR_EJECUCION'!$J$9:$J$1208,0)),""),'CAT_ESTADOS_ERP'!$A$4:$A$7,0)),"Pendiente"))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J224="","",IFERROR(INDEX('CALENDARIO'!$C$15:$C$214,MATCH(TEXT($J224,"yyyy-mm-dd")&amp;"|"&amp;$V224&amp;"|"&amp;$W224,'CALENDARIO'!$G$15:$G$214,0)),IFERROR(INDEX('CALENDARIO'!$C$15:$C$214,MATCH(TEXT($J224,"yyyy-mm-dd")&amp;"|"&amp;$V224&amp;"|",'CALENDARIO'!$G$15:$G$214,0)),IFERROR(INDEX('CALENDARIO'!$C$15:$C$214,MATCH(TEXT($J224,"yyyy-mm-dd")&amp;"||",'CALENDARIO'!$G$15:$G$214,0)),INDEX(patronHabil,WEEKDAY($J224,2))))))</f>
        <v/>
      </c>
      <c r="T224" s="3">
        <f>IF($I224="","",IFERROR(INDEX('CAT_TIPOS_OT'!$C$4:$C$7,MATCH($I224,'CAT_TIPOS_OT'!$A$4:$A$7,0)),"sin_clasificar"))</f>
        <v/>
      </c>
      <c r="U224" s="3">
        <f>IF($F224="","",IFERROR(INDEX('CAT_CENTROS_COSTO'!$F$4:$F$13,MATCH($F224,'CAT_CENTROS_COSTO'!$A$4:$A$13,0)),"(sin catálogo)"))</f>
        <v/>
      </c>
      <c r="V224" s="3">
        <f>IF($F224="","",IFERROR(INDEX('CAT_CENTROS_COSTO'!$D$4:$D$13,MATCH($F224,'CAT_CENTROS_COSTO'!$A$4:$A$13,0)),"(sin catálogo)"))</f>
        <v/>
      </c>
      <c r="W224" s="3">
        <f>IF($F224="","",IF((IFERROR(INDEX('CAT_CENTROS_COSTO'!$E$4:$E$13,MATCH($F224,'CAT_CENTROS_COSTO'!$A$4:$A$13,0)),""))&lt;&gt;"",IFERROR(INDEX('CAT_CENTROS_COSTO'!$E$4:$E$13,MATCH($F224,'CAT_CENTROS_COSTO'!$A$4:$A$13,0)),""),$V224))</f>
        <v/>
      </c>
      <c r="X224" s="3">
        <f>IF($F224="","",IFERROR(INDEX('CAT_CENTROS_COSTO'!$G$4:$G$13,MATCH($F224,'CAT_CENTROS_COSTO'!$A$4:$A$13,0)),"(sin catálogo)"))</f>
        <v/>
      </c>
      <c r="Y224" s="3">
        <f>IF($G224="","",IFERROR(INDEX('CAT_PUESTOS'!$B$4:$B$8,MATCH($G224,'CAT_PUESTOS'!$A$4:$A$8,0)),"(sin catálogo)"))</f>
        <v/>
      </c>
      <c r="Z224" s="3">
        <f>IF($H224="","",IFERROR(INDEX('CAT_ACTIVIDADES'!$B$4:$B$8,MATCH($H224,'CAT_ACTIVIDADES'!$A$4:$A$8,0)),"(sin catálogo)"))</f>
        <v/>
      </c>
      <c r="AA224" s="12">
        <f>IF($J224="","",TODAY()-$J224)</f>
        <v/>
      </c>
      <c r="AB224" s="12">
        <f>IF($J224="","",IF($J224&lt;=TODAY(),COUNTIFS(cal_fechas,"&gt;="&amp;$J224,cal_fechas,"&lt;"&amp;TODAY(),cal_habil,"sí"),-COUNTIFS(cal_fechas,"&gt;="&amp;TODAY(),cal_fechas,"&lt;"&amp;$J224,cal_habil,"sí")))</f>
        <v/>
      </c>
      <c r="AC224" s="3">
        <f>IF($AB224="","",IF($AB224&lt;0,"FUTURO",IF($AB224&gt;p_dias_backlog_max,"BACKLOG","MES CORRIENTE")))</f>
        <v/>
      </c>
      <c r="AD224" s="3">
        <f>IF($AB224="",FALSE,AND($AB224&gt;p_dias_backlog_min,$AB224&lt;=p_dias_backlog_max))</f>
        <v/>
      </c>
      <c r="AE224" s="6" t="n"/>
      <c r="AF224" s="3">
        <f>IF($AE224="","",IF((IFERROR(INDEX('ASIGNACIONES'!$F$4:$F$339,MATCH($O224&amp;"|"&amp;$R224&amp;"|"&amp;$AE224,'ASIGNACIONES'!$J$4:$J$339,0)),""))=0,"",IFERROR(INDEX('ASIGNACIONES'!$F$4:$F$339,MATCH($O224&amp;"|"&amp;$R224&amp;"|"&amp;$AE224,'ASIGNACIONES'!$J$4:$J$339,0)),"")))</f>
        <v/>
      </c>
      <c r="AG224" s="13">
        <f>IF($AE224="","",SUMIFS('ORDENES'!$M$4:$M$1203,'ORDENES'!$AE$4:$AE$1203,$AE224,'ORDENES'!$O$4:$O$1203,$O224,'ORDENES'!$R$4:$R$1203,$R224))</f>
        <v/>
      </c>
      <c r="AH224" s="13">
        <f>IF($AG224="","",p_factor_productividad*IFERROR(INDEX('ASIGNACIONES'!$I$4:$I$339,MATCH($O224&amp;"|"&amp;$R224&amp;"|"&amp;$AE224,'ASIGNACIONES'!$J$4:$J$339,0)),0)-$AG224)</f>
        <v/>
      </c>
      <c r="AI224" s="10">
        <f>IF($A224="","",IFERROR(INDEX('2_IMPORTAR_EJECUCION'!$F$9:$F$1208,MATCH($AQ224,'2_IMPORTAR_EJECUCION'!$J$9:$J$1208,0)),0))</f>
        <v/>
      </c>
      <c r="AJ224" s="10">
        <f>IF($A224="","",MAX(0,IFERROR(INDEX('2_IMPORTAR_EJECUCION'!$H$9:$H$1208,MATCH($AQ224,'2_IMPORTAR_EJECUCION'!$J$9:$J$1208,0)),0)-$AI224))</f>
        <v/>
      </c>
      <c r="AK224" s="10">
        <f>IF($A224="","",$AI224+$AJ224)</f>
        <v/>
      </c>
      <c r="AL224" s="6" t="n"/>
      <c r="AM224" s="6" t="n"/>
      <c r="AN224" s="6" t="n"/>
      <c r="AO224" s="3">
        <f>IF($AN224="","",HYPERLINK(p_ruta_base_checklists&amp;$AN224,"abrir"))</f>
        <v/>
      </c>
      <c r="AP224" s="6" t="n"/>
      <c r="AQ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IF($A225="","",IFERROR(INDEX('AJUSTES'!$B$4:$B$303,MATCH($AQ225,'AJUSTES'!$A$4:$A$303,0)),IF($K225="","",$K225)))</f>
        <v/>
      </c>
      <c r="N225" s="3">
        <f>IF($A225="","",IFERROR(INDEX('CAT_ESTADOS_ERP'!$B$4:$B$7,MATCH(IFERROR(INDEX('2_IMPORTAR_EJECUCION'!$C$9:$C$1208,MATCH($AQ225,'2_IMPORTAR_EJECUCION'!$J$9:$J$1208,0)),""),'CAT_ESTADOS_ERP'!$A$4:$A$7,0)),"Pendiente"))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J225="","",IFERROR(INDEX('CALENDARIO'!$C$15:$C$214,MATCH(TEXT($J225,"yyyy-mm-dd")&amp;"|"&amp;$V225&amp;"|"&amp;$W225,'CALENDARIO'!$G$15:$G$214,0)),IFERROR(INDEX('CALENDARIO'!$C$15:$C$214,MATCH(TEXT($J225,"yyyy-mm-dd")&amp;"|"&amp;$V225&amp;"|",'CALENDARIO'!$G$15:$G$214,0)),IFERROR(INDEX('CALENDARIO'!$C$15:$C$214,MATCH(TEXT($J225,"yyyy-mm-dd")&amp;"||",'CALENDARIO'!$G$15:$G$214,0)),INDEX(patronHabil,WEEKDAY($J225,2))))))</f>
        <v/>
      </c>
      <c r="T225" s="3">
        <f>IF($I225="","",IFERROR(INDEX('CAT_TIPOS_OT'!$C$4:$C$7,MATCH($I225,'CAT_TIPOS_OT'!$A$4:$A$7,0)),"sin_clasificar"))</f>
        <v/>
      </c>
      <c r="U225" s="3">
        <f>IF($F225="","",IFERROR(INDEX('CAT_CENTROS_COSTO'!$F$4:$F$13,MATCH($F225,'CAT_CENTROS_COSTO'!$A$4:$A$13,0)),"(sin catálogo)"))</f>
        <v/>
      </c>
      <c r="V225" s="3">
        <f>IF($F225="","",IFERROR(INDEX('CAT_CENTROS_COSTO'!$D$4:$D$13,MATCH($F225,'CAT_CENTROS_COSTO'!$A$4:$A$13,0)),"(sin catálogo)"))</f>
        <v/>
      </c>
      <c r="W225" s="3">
        <f>IF($F225="","",IF((IFERROR(INDEX('CAT_CENTROS_COSTO'!$E$4:$E$13,MATCH($F225,'CAT_CENTROS_COSTO'!$A$4:$A$13,0)),""))&lt;&gt;"",IFERROR(INDEX('CAT_CENTROS_COSTO'!$E$4:$E$13,MATCH($F225,'CAT_CENTROS_COSTO'!$A$4:$A$13,0)),""),$V225))</f>
        <v/>
      </c>
      <c r="X225" s="3">
        <f>IF($F225="","",IFERROR(INDEX('CAT_CENTROS_COSTO'!$G$4:$G$13,MATCH($F225,'CAT_CENTROS_COSTO'!$A$4:$A$13,0)),"(sin catálogo)"))</f>
        <v/>
      </c>
      <c r="Y225" s="3">
        <f>IF($G225="","",IFERROR(INDEX('CAT_PUESTOS'!$B$4:$B$8,MATCH($G225,'CAT_PUESTOS'!$A$4:$A$8,0)),"(sin catálogo)"))</f>
        <v/>
      </c>
      <c r="Z225" s="3">
        <f>IF($H225="","",IFERROR(INDEX('CAT_ACTIVIDADES'!$B$4:$B$8,MATCH($H225,'CAT_ACTIVIDADES'!$A$4:$A$8,0)),"(sin catálogo)"))</f>
        <v/>
      </c>
      <c r="AA225" s="12">
        <f>IF($J225="","",TODAY()-$J225)</f>
        <v/>
      </c>
      <c r="AB225" s="12">
        <f>IF($J225="","",IF($J225&lt;=TODAY(),COUNTIFS(cal_fechas,"&gt;="&amp;$J225,cal_fechas,"&lt;"&amp;TODAY(),cal_habil,"sí"),-COUNTIFS(cal_fechas,"&gt;="&amp;TODAY(),cal_fechas,"&lt;"&amp;$J225,cal_habil,"sí")))</f>
        <v/>
      </c>
      <c r="AC225" s="3">
        <f>IF($AB225="","",IF($AB225&lt;0,"FUTURO",IF($AB225&gt;p_dias_backlog_max,"BACKLOG","MES CORRIENTE")))</f>
        <v/>
      </c>
      <c r="AD225" s="3">
        <f>IF($AB225="",FALSE,AND($AB225&gt;p_dias_backlog_min,$AB225&lt;=p_dias_backlog_max))</f>
        <v/>
      </c>
      <c r="AE225" s="6" t="n"/>
      <c r="AF225" s="3">
        <f>IF($AE225="","",IF((IFERROR(INDEX('ASIGNACIONES'!$F$4:$F$339,MATCH($O225&amp;"|"&amp;$R225&amp;"|"&amp;$AE225,'ASIGNACIONES'!$J$4:$J$339,0)),""))=0,"",IFERROR(INDEX('ASIGNACIONES'!$F$4:$F$339,MATCH($O225&amp;"|"&amp;$R225&amp;"|"&amp;$AE225,'ASIGNACIONES'!$J$4:$J$339,0)),"")))</f>
        <v/>
      </c>
      <c r="AG225" s="13">
        <f>IF($AE225="","",SUMIFS('ORDENES'!$M$4:$M$1203,'ORDENES'!$AE$4:$AE$1203,$AE225,'ORDENES'!$O$4:$O$1203,$O225,'ORDENES'!$R$4:$R$1203,$R225))</f>
        <v/>
      </c>
      <c r="AH225" s="13">
        <f>IF($AG225="","",p_factor_productividad*IFERROR(INDEX('ASIGNACIONES'!$I$4:$I$339,MATCH($O225&amp;"|"&amp;$R225&amp;"|"&amp;$AE225,'ASIGNACIONES'!$J$4:$J$339,0)),0)-$AG225)</f>
        <v/>
      </c>
      <c r="AI225" s="10">
        <f>IF($A225="","",IFERROR(INDEX('2_IMPORTAR_EJECUCION'!$F$9:$F$1208,MATCH($AQ225,'2_IMPORTAR_EJECUCION'!$J$9:$J$1208,0)),0))</f>
        <v/>
      </c>
      <c r="AJ225" s="10">
        <f>IF($A225="","",MAX(0,IFERROR(INDEX('2_IMPORTAR_EJECUCION'!$H$9:$H$1208,MATCH($AQ225,'2_IMPORTAR_EJECUCION'!$J$9:$J$1208,0)),0)-$AI225))</f>
        <v/>
      </c>
      <c r="AK225" s="10">
        <f>IF($A225="","",$AI225+$AJ225)</f>
        <v/>
      </c>
      <c r="AL225" s="6" t="n"/>
      <c r="AM225" s="6" t="n"/>
      <c r="AN225" s="6" t="n"/>
      <c r="AO225" s="3">
        <f>IF($AN225="","",HYPERLINK(p_ruta_base_checklists&amp;$AN225,"abrir"))</f>
        <v/>
      </c>
      <c r="AP225" s="6" t="n"/>
      <c r="AQ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IF($A226="","",IFERROR(INDEX('AJUSTES'!$B$4:$B$303,MATCH($AQ226,'AJUSTES'!$A$4:$A$303,0)),IF($K226="","",$K226)))</f>
        <v/>
      </c>
      <c r="N226" s="3">
        <f>IF($A226="","",IFERROR(INDEX('CAT_ESTADOS_ERP'!$B$4:$B$7,MATCH(IFERROR(INDEX('2_IMPORTAR_EJECUCION'!$C$9:$C$1208,MATCH($AQ226,'2_IMPORTAR_EJECUCION'!$J$9:$J$1208,0)),""),'CAT_ESTADOS_ERP'!$A$4:$A$7,0)),"Pendiente"))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J226="","",IFERROR(INDEX('CALENDARIO'!$C$15:$C$214,MATCH(TEXT($J226,"yyyy-mm-dd")&amp;"|"&amp;$V226&amp;"|"&amp;$W226,'CALENDARIO'!$G$15:$G$214,0)),IFERROR(INDEX('CALENDARIO'!$C$15:$C$214,MATCH(TEXT($J226,"yyyy-mm-dd")&amp;"|"&amp;$V226&amp;"|",'CALENDARIO'!$G$15:$G$214,0)),IFERROR(INDEX('CALENDARIO'!$C$15:$C$214,MATCH(TEXT($J226,"yyyy-mm-dd")&amp;"||",'CALENDARIO'!$G$15:$G$214,0)),INDEX(patronHabil,WEEKDAY($J226,2))))))</f>
        <v/>
      </c>
      <c r="T226" s="3">
        <f>IF($I226="","",IFERROR(INDEX('CAT_TIPOS_OT'!$C$4:$C$7,MATCH($I226,'CAT_TIPOS_OT'!$A$4:$A$7,0)),"sin_clasificar"))</f>
        <v/>
      </c>
      <c r="U226" s="3">
        <f>IF($F226="","",IFERROR(INDEX('CAT_CENTROS_COSTO'!$F$4:$F$13,MATCH($F226,'CAT_CENTROS_COSTO'!$A$4:$A$13,0)),"(sin catálogo)"))</f>
        <v/>
      </c>
      <c r="V226" s="3">
        <f>IF($F226="","",IFERROR(INDEX('CAT_CENTROS_COSTO'!$D$4:$D$13,MATCH($F226,'CAT_CENTROS_COSTO'!$A$4:$A$13,0)),"(sin catálogo)"))</f>
        <v/>
      </c>
      <c r="W226" s="3">
        <f>IF($F226="","",IF((IFERROR(INDEX('CAT_CENTROS_COSTO'!$E$4:$E$13,MATCH($F226,'CAT_CENTROS_COSTO'!$A$4:$A$13,0)),""))&lt;&gt;"",IFERROR(INDEX('CAT_CENTROS_COSTO'!$E$4:$E$13,MATCH($F226,'CAT_CENTROS_COSTO'!$A$4:$A$13,0)),""),$V226))</f>
        <v/>
      </c>
      <c r="X226" s="3">
        <f>IF($F226="","",IFERROR(INDEX('CAT_CENTROS_COSTO'!$G$4:$G$13,MATCH($F226,'CAT_CENTROS_COSTO'!$A$4:$A$13,0)),"(sin catálogo)"))</f>
        <v/>
      </c>
      <c r="Y226" s="3">
        <f>IF($G226="","",IFERROR(INDEX('CAT_PUESTOS'!$B$4:$B$8,MATCH($G226,'CAT_PUESTOS'!$A$4:$A$8,0)),"(sin catálogo)"))</f>
        <v/>
      </c>
      <c r="Z226" s="3">
        <f>IF($H226="","",IFERROR(INDEX('CAT_ACTIVIDADES'!$B$4:$B$8,MATCH($H226,'CAT_ACTIVIDADES'!$A$4:$A$8,0)),"(sin catálogo)"))</f>
        <v/>
      </c>
      <c r="AA226" s="12">
        <f>IF($J226="","",TODAY()-$J226)</f>
        <v/>
      </c>
      <c r="AB226" s="12">
        <f>IF($J226="","",IF($J226&lt;=TODAY(),COUNTIFS(cal_fechas,"&gt;="&amp;$J226,cal_fechas,"&lt;"&amp;TODAY(),cal_habil,"sí"),-COUNTIFS(cal_fechas,"&gt;="&amp;TODAY(),cal_fechas,"&lt;"&amp;$J226,cal_habil,"sí")))</f>
        <v/>
      </c>
      <c r="AC226" s="3">
        <f>IF($AB226="","",IF($AB226&lt;0,"FUTURO",IF($AB226&gt;p_dias_backlog_max,"BACKLOG","MES CORRIENTE")))</f>
        <v/>
      </c>
      <c r="AD226" s="3">
        <f>IF($AB226="",FALSE,AND($AB226&gt;p_dias_backlog_min,$AB226&lt;=p_dias_backlog_max))</f>
        <v/>
      </c>
      <c r="AE226" s="6" t="n"/>
      <c r="AF226" s="3">
        <f>IF($AE226="","",IF((IFERROR(INDEX('ASIGNACIONES'!$F$4:$F$339,MATCH($O226&amp;"|"&amp;$R226&amp;"|"&amp;$AE226,'ASIGNACIONES'!$J$4:$J$339,0)),""))=0,"",IFERROR(INDEX('ASIGNACIONES'!$F$4:$F$339,MATCH($O226&amp;"|"&amp;$R226&amp;"|"&amp;$AE226,'ASIGNACIONES'!$J$4:$J$339,0)),"")))</f>
        <v/>
      </c>
      <c r="AG226" s="13">
        <f>IF($AE226="","",SUMIFS('ORDENES'!$M$4:$M$1203,'ORDENES'!$AE$4:$AE$1203,$AE226,'ORDENES'!$O$4:$O$1203,$O226,'ORDENES'!$R$4:$R$1203,$R226))</f>
        <v/>
      </c>
      <c r="AH226" s="13">
        <f>IF($AG226="","",p_factor_productividad*IFERROR(INDEX('ASIGNACIONES'!$I$4:$I$339,MATCH($O226&amp;"|"&amp;$R226&amp;"|"&amp;$AE226,'ASIGNACIONES'!$J$4:$J$339,0)),0)-$AG226)</f>
        <v/>
      </c>
      <c r="AI226" s="10">
        <f>IF($A226="","",IFERROR(INDEX('2_IMPORTAR_EJECUCION'!$F$9:$F$1208,MATCH($AQ226,'2_IMPORTAR_EJECUCION'!$J$9:$J$1208,0)),0))</f>
        <v/>
      </c>
      <c r="AJ226" s="10">
        <f>IF($A226="","",MAX(0,IFERROR(INDEX('2_IMPORTAR_EJECUCION'!$H$9:$H$1208,MATCH($AQ226,'2_IMPORTAR_EJECUCION'!$J$9:$J$1208,0)),0)-$AI226))</f>
        <v/>
      </c>
      <c r="AK226" s="10">
        <f>IF($A226="","",$AI226+$AJ226)</f>
        <v/>
      </c>
      <c r="AL226" s="6" t="n"/>
      <c r="AM226" s="6" t="n"/>
      <c r="AN226" s="6" t="n"/>
      <c r="AO226" s="3">
        <f>IF($AN226="","",HYPERLINK(p_ruta_base_checklists&amp;$AN226,"abrir"))</f>
        <v/>
      </c>
      <c r="AP226" s="6" t="n"/>
      <c r="AQ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IF($A227="","",IFERROR(INDEX('AJUSTES'!$B$4:$B$303,MATCH($AQ227,'AJUSTES'!$A$4:$A$303,0)),IF($K227="","",$K227)))</f>
        <v/>
      </c>
      <c r="N227" s="3">
        <f>IF($A227="","",IFERROR(INDEX('CAT_ESTADOS_ERP'!$B$4:$B$7,MATCH(IFERROR(INDEX('2_IMPORTAR_EJECUCION'!$C$9:$C$1208,MATCH($AQ227,'2_IMPORTAR_EJECUCION'!$J$9:$J$1208,0)),""),'CAT_ESTADOS_ERP'!$A$4:$A$7,0)),"Pendiente"))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J227="","",IFERROR(INDEX('CALENDARIO'!$C$15:$C$214,MATCH(TEXT($J227,"yyyy-mm-dd")&amp;"|"&amp;$V227&amp;"|"&amp;$W227,'CALENDARIO'!$G$15:$G$214,0)),IFERROR(INDEX('CALENDARIO'!$C$15:$C$214,MATCH(TEXT($J227,"yyyy-mm-dd")&amp;"|"&amp;$V227&amp;"|",'CALENDARIO'!$G$15:$G$214,0)),IFERROR(INDEX('CALENDARIO'!$C$15:$C$214,MATCH(TEXT($J227,"yyyy-mm-dd")&amp;"||",'CALENDARIO'!$G$15:$G$214,0)),INDEX(patronHabil,WEEKDAY($J227,2))))))</f>
        <v/>
      </c>
      <c r="T227" s="3">
        <f>IF($I227="","",IFERROR(INDEX('CAT_TIPOS_OT'!$C$4:$C$7,MATCH($I227,'CAT_TIPOS_OT'!$A$4:$A$7,0)),"sin_clasificar"))</f>
        <v/>
      </c>
      <c r="U227" s="3">
        <f>IF($F227="","",IFERROR(INDEX('CAT_CENTROS_COSTO'!$F$4:$F$13,MATCH($F227,'CAT_CENTROS_COSTO'!$A$4:$A$13,0)),"(sin catálogo)"))</f>
        <v/>
      </c>
      <c r="V227" s="3">
        <f>IF($F227="","",IFERROR(INDEX('CAT_CENTROS_COSTO'!$D$4:$D$13,MATCH($F227,'CAT_CENTROS_COSTO'!$A$4:$A$13,0)),"(sin catálogo)"))</f>
        <v/>
      </c>
      <c r="W227" s="3">
        <f>IF($F227="","",IF((IFERROR(INDEX('CAT_CENTROS_COSTO'!$E$4:$E$13,MATCH($F227,'CAT_CENTROS_COSTO'!$A$4:$A$13,0)),""))&lt;&gt;"",IFERROR(INDEX('CAT_CENTROS_COSTO'!$E$4:$E$13,MATCH($F227,'CAT_CENTROS_COSTO'!$A$4:$A$13,0)),""),$V227))</f>
        <v/>
      </c>
      <c r="X227" s="3">
        <f>IF($F227="","",IFERROR(INDEX('CAT_CENTROS_COSTO'!$G$4:$G$13,MATCH($F227,'CAT_CENTROS_COSTO'!$A$4:$A$13,0)),"(sin catálogo)"))</f>
        <v/>
      </c>
      <c r="Y227" s="3">
        <f>IF($G227="","",IFERROR(INDEX('CAT_PUESTOS'!$B$4:$B$8,MATCH($G227,'CAT_PUESTOS'!$A$4:$A$8,0)),"(sin catálogo)"))</f>
        <v/>
      </c>
      <c r="Z227" s="3">
        <f>IF($H227="","",IFERROR(INDEX('CAT_ACTIVIDADES'!$B$4:$B$8,MATCH($H227,'CAT_ACTIVIDADES'!$A$4:$A$8,0)),"(sin catálogo)"))</f>
        <v/>
      </c>
      <c r="AA227" s="12">
        <f>IF($J227="","",TODAY()-$J227)</f>
        <v/>
      </c>
      <c r="AB227" s="12">
        <f>IF($J227="","",IF($J227&lt;=TODAY(),COUNTIFS(cal_fechas,"&gt;="&amp;$J227,cal_fechas,"&lt;"&amp;TODAY(),cal_habil,"sí"),-COUNTIFS(cal_fechas,"&gt;="&amp;TODAY(),cal_fechas,"&lt;"&amp;$J227,cal_habil,"sí")))</f>
        <v/>
      </c>
      <c r="AC227" s="3">
        <f>IF($AB227="","",IF($AB227&lt;0,"FUTURO",IF($AB227&gt;p_dias_backlog_max,"BACKLOG","MES CORRIENTE")))</f>
        <v/>
      </c>
      <c r="AD227" s="3">
        <f>IF($AB227="",FALSE,AND($AB227&gt;p_dias_backlog_min,$AB227&lt;=p_dias_backlog_max))</f>
        <v/>
      </c>
      <c r="AE227" s="6" t="n"/>
      <c r="AF227" s="3">
        <f>IF($AE227="","",IF((IFERROR(INDEX('ASIGNACIONES'!$F$4:$F$339,MATCH($O227&amp;"|"&amp;$R227&amp;"|"&amp;$AE227,'ASIGNACIONES'!$J$4:$J$339,0)),""))=0,"",IFERROR(INDEX('ASIGNACIONES'!$F$4:$F$339,MATCH($O227&amp;"|"&amp;$R227&amp;"|"&amp;$AE227,'ASIGNACIONES'!$J$4:$J$339,0)),"")))</f>
        <v/>
      </c>
      <c r="AG227" s="13">
        <f>IF($AE227="","",SUMIFS('ORDENES'!$M$4:$M$1203,'ORDENES'!$AE$4:$AE$1203,$AE227,'ORDENES'!$O$4:$O$1203,$O227,'ORDENES'!$R$4:$R$1203,$R227))</f>
        <v/>
      </c>
      <c r="AH227" s="13">
        <f>IF($AG227="","",p_factor_productividad*IFERROR(INDEX('ASIGNACIONES'!$I$4:$I$339,MATCH($O227&amp;"|"&amp;$R227&amp;"|"&amp;$AE227,'ASIGNACIONES'!$J$4:$J$339,0)),0)-$AG227)</f>
        <v/>
      </c>
      <c r="AI227" s="10">
        <f>IF($A227="","",IFERROR(INDEX('2_IMPORTAR_EJECUCION'!$F$9:$F$1208,MATCH($AQ227,'2_IMPORTAR_EJECUCION'!$J$9:$J$1208,0)),0))</f>
        <v/>
      </c>
      <c r="AJ227" s="10">
        <f>IF($A227="","",MAX(0,IFERROR(INDEX('2_IMPORTAR_EJECUCION'!$H$9:$H$1208,MATCH($AQ227,'2_IMPORTAR_EJECUCION'!$J$9:$J$1208,0)),0)-$AI227))</f>
        <v/>
      </c>
      <c r="AK227" s="10">
        <f>IF($A227="","",$AI227+$AJ227)</f>
        <v/>
      </c>
      <c r="AL227" s="6" t="n"/>
      <c r="AM227" s="6" t="n"/>
      <c r="AN227" s="6" t="n"/>
      <c r="AO227" s="3">
        <f>IF($AN227="","",HYPERLINK(p_ruta_base_checklists&amp;$AN227,"abrir"))</f>
        <v/>
      </c>
      <c r="AP227" s="6" t="n"/>
      <c r="AQ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IF($A228="","",IFERROR(INDEX('AJUSTES'!$B$4:$B$303,MATCH($AQ228,'AJUSTES'!$A$4:$A$303,0)),IF($K228="","",$K228)))</f>
        <v/>
      </c>
      <c r="N228" s="3">
        <f>IF($A228="","",IFERROR(INDEX('CAT_ESTADOS_ERP'!$B$4:$B$7,MATCH(IFERROR(INDEX('2_IMPORTAR_EJECUCION'!$C$9:$C$1208,MATCH($AQ228,'2_IMPORTAR_EJECUCION'!$J$9:$J$1208,0)),""),'CAT_ESTADOS_ERP'!$A$4:$A$7,0)),"Pendiente"))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J228="","",IFERROR(INDEX('CALENDARIO'!$C$15:$C$214,MATCH(TEXT($J228,"yyyy-mm-dd")&amp;"|"&amp;$V228&amp;"|"&amp;$W228,'CALENDARIO'!$G$15:$G$214,0)),IFERROR(INDEX('CALENDARIO'!$C$15:$C$214,MATCH(TEXT($J228,"yyyy-mm-dd")&amp;"|"&amp;$V228&amp;"|",'CALENDARIO'!$G$15:$G$214,0)),IFERROR(INDEX('CALENDARIO'!$C$15:$C$214,MATCH(TEXT($J228,"yyyy-mm-dd")&amp;"||",'CALENDARIO'!$G$15:$G$214,0)),INDEX(patronHabil,WEEKDAY($J228,2))))))</f>
        <v/>
      </c>
      <c r="T228" s="3">
        <f>IF($I228="","",IFERROR(INDEX('CAT_TIPOS_OT'!$C$4:$C$7,MATCH($I228,'CAT_TIPOS_OT'!$A$4:$A$7,0)),"sin_clasificar"))</f>
        <v/>
      </c>
      <c r="U228" s="3">
        <f>IF($F228="","",IFERROR(INDEX('CAT_CENTROS_COSTO'!$F$4:$F$13,MATCH($F228,'CAT_CENTROS_COSTO'!$A$4:$A$13,0)),"(sin catálogo)"))</f>
        <v/>
      </c>
      <c r="V228" s="3">
        <f>IF($F228="","",IFERROR(INDEX('CAT_CENTROS_COSTO'!$D$4:$D$13,MATCH($F228,'CAT_CENTROS_COSTO'!$A$4:$A$13,0)),"(sin catálogo)"))</f>
        <v/>
      </c>
      <c r="W228" s="3">
        <f>IF($F228="","",IF((IFERROR(INDEX('CAT_CENTROS_COSTO'!$E$4:$E$13,MATCH($F228,'CAT_CENTROS_COSTO'!$A$4:$A$13,0)),""))&lt;&gt;"",IFERROR(INDEX('CAT_CENTROS_COSTO'!$E$4:$E$13,MATCH($F228,'CAT_CENTROS_COSTO'!$A$4:$A$13,0)),""),$V228))</f>
        <v/>
      </c>
      <c r="X228" s="3">
        <f>IF($F228="","",IFERROR(INDEX('CAT_CENTROS_COSTO'!$G$4:$G$13,MATCH($F228,'CAT_CENTROS_COSTO'!$A$4:$A$13,0)),"(sin catálogo)"))</f>
        <v/>
      </c>
      <c r="Y228" s="3">
        <f>IF($G228="","",IFERROR(INDEX('CAT_PUESTOS'!$B$4:$B$8,MATCH($G228,'CAT_PUESTOS'!$A$4:$A$8,0)),"(sin catálogo)"))</f>
        <v/>
      </c>
      <c r="Z228" s="3">
        <f>IF($H228="","",IFERROR(INDEX('CAT_ACTIVIDADES'!$B$4:$B$8,MATCH($H228,'CAT_ACTIVIDADES'!$A$4:$A$8,0)),"(sin catálogo)"))</f>
        <v/>
      </c>
      <c r="AA228" s="12">
        <f>IF($J228="","",TODAY()-$J228)</f>
        <v/>
      </c>
      <c r="AB228" s="12">
        <f>IF($J228="","",IF($J228&lt;=TODAY(),COUNTIFS(cal_fechas,"&gt;="&amp;$J228,cal_fechas,"&lt;"&amp;TODAY(),cal_habil,"sí"),-COUNTIFS(cal_fechas,"&gt;="&amp;TODAY(),cal_fechas,"&lt;"&amp;$J228,cal_habil,"sí")))</f>
        <v/>
      </c>
      <c r="AC228" s="3">
        <f>IF($AB228="","",IF($AB228&lt;0,"FUTURO",IF($AB228&gt;p_dias_backlog_max,"BACKLOG","MES CORRIENTE")))</f>
        <v/>
      </c>
      <c r="AD228" s="3">
        <f>IF($AB228="",FALSE,AND($AB228&gt;p_dias_backlog_min,$AB228&lt;=p_dias_backlog_max))</f>
        <v/>
      </c>
      <c r="AE228" s="6" t="n"/>
      <c r="AF228" s="3">
        <f>IF($AE228="","",IF((IFERROR(INDEX('ASIGNACIONES'!$F$4:$F$339,MATCH($O228&amp;"|"&amp;$R228&amp;"|"&amp;$AE228,'ASIGNACIONES'!$J$4:$J$339,0)),""))=0,"",IFERROR(INDEX('ASIGNACIONES'!$F$4:$F$339,MATCH($O228&amp;"|"&amp;$R228&amp;"|"&amp;$AE228,'ASIGNACIONES'!$J$4:$J$339,0)),"")))</f>
        <v/>
      </c>
      <c r="AG228" s="13">
        <f>IF($AE228="","",SUMIFS('ORDENES'!$M$4:$M$1203,'ORDENES'!$AE$4:$AE$1203,$AE228,'ORDENES'!$O$4:$O$1203,$O228,'ORDENES'!$R$4:$R$1203,$R228))</f>
        <v/>
      </c>
      <c r="AH228" s="13">
        <f>IF($AG228="","",p_factor_productividad*IFERROR(INDEX('ASIGNACIONES'!$I$4:$I$339,MATCH($O228&amp;"|"&amp;$R228&amp;"|"&amp;$AE228,'ASIGNACIONES'!$J$4:$J$339,0)),0)-$AG228)</f>
        <v/>
      </c>
      <c r="AI228" s="10">
        <f>IF($A228="","",IFERROR(INDEX('2_IMPORTAR_EJECUCION'!$F$9:$F$1208,MATCH($AQ228,'2_IMPORTAR_EJECUCION'!$J$9:$J$1208,0)),0))</f>
        <v/>
      </c>
      <c r="AJ228" s="10">
        <f>IF($A228="","",MAX(0,IFERROR(INDEX('2_IMPORTAR_EJECUCION'!$H$9:$H$1208,MATCH($AQ228,'2_IMPORTAR_EJECUCION'!$J$9:$J$1208,0)),0)-$AI228))</f>
        <v/>
      </c>
      <c r="AK228" s="10">
        <f>IF($A228="","",$AI228+$AJ228)</f>
        <v/>
      </c>
      <c r="AL228" s="6" t="n"/>
      <c r="AM228" s="6" t="n"/>
      <c r="AN228" s="6" t="n"/>
      <c r="AO228" s="3">
        <f>IF($AN228="","",HYPERLINK(p_ruta_base_checklists&amp;$AN228,"abrir"))</f>
        <v/>
      </c>
      <c r="AP228" s="6" t="n"/>
      <c r="AQ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IF($A229="","",IFERROR(INDEX('AJUSTES'!$B$4:$B$303,MATCH($AQ229,'AJUSTES'!$A$4:$A$303,0)),IF($K229="","",$K229)))</f>
        <v/>
      </c>
      <c r="N229" s="3">
        <f>IF($A229="","",IFERROR(INDEX('CAT_ESTADOS_ERP'!$B$4:$B$7,MATCH(IFERROR(INDEX('2_IMPORTAR_EJECUCION'!$C$9:$C$1208,MATCH($AQ229,'2_IMPORTAR_EJECUCION'!$J$9:$J$1208,0)),""),'CAT_ESTADOS_ERP'!$A$4:$A$7,0)),"Pendiente"))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J229="","",IFERROR(INDEX('CALENDARIO'!$C$15:$C$214,MATCH(TEXT($J229,"yyyy-mm-dd")&amp;"|"&amp;$V229&amp;"|"&amp;$W229,'CALENDARIO'!$G$15:$G$214,0)),IFERROR(INDEX('CALENDARIO'!$C$15:$C$214,MATCH(TEXT($J229,"yyyy-mm-dd")&amp;"|"&amp;$V229&amp;"|",'CALENDARIO'!$G$15:$G$214,0)),IFERROR(INDEX('CALENDARIO'!$C$15:$C$214,MATCH(TEXT($J229,"yyyy-mm-dd")&amp;"||",'CALENDARIO'!$G$15:$G$214,0)),INDEX(patronHabil,WEEKDAY($J229,2))))))</f>
        <v/>
      </c>
      <c r="T229" s="3">
        <f>IF($I229="","",IFERROR(INDEX('CAT_TIPOS_OT'!$C$4:$C$7,MATCH($I229,'CAT_TIPOS_OT'!$A$4:$A$7,0)),"sin_clasificar"))</f>
        <v/>
      </c>
      <c r="U229" s="3">
        <f>IF($F229="","",IFERROR(INDEX('CAT_CENTROS_COSTO'!$F$4:$F$13,MATCH($F229,'CAT_CENTROS_COSTO'!$A$4:$A$13,0)),"(sin catálogo)"))</f>
        <v/>
      </c>
      <c r="V229" s="3">
        <f>IF($F229="","",IFERROR(INDEX('CAT_CENTROS_COSTO'!$D$4:$D$13,MATCH($F229,'CAT_CENTROS_COSTO'!$A$4:$A$13,0)),"(sin catálogo)"))</f>
        <v/>
      </c>
      <c r="W229" s="3">
        <f>IF($F229="","",IF((IFERROR(INDEX('CAT_CENTROS_COSTO'!$E$4:$E$13,MATCH($F229,'CAT_CENTROS_COSTO'!$A$4:$A$13,0)),""))&lt;&gt;"",IFERROR(INDEX('CAT_CENTROS_COSTO'!$E$4:$E$13,MATCH($F229,'CAT_CENTROS_COSTO'!$A$4:$A$13,0)),""),$V229))</f>
        <v/>
      </c>
      <c r="X229" s="3">
        <f>IF($F229="","",IFERROR(INDEX('CAT_CENTROS_COSTO'!$G$4:$G$13,MATCH($F229,'CAT_CENTROS_COSTO'!$A$4:$A$13,0)),"(sin catálogo)"))</f>
        <v/>
      </c>
      <c r="Y229" s="3">
        <f>IF($G229="","",IFERROR(INDEX('CAT_PUESTOS'!$B$4:$B$8,MATCH($G229,'CAT_PUESTOS'!$A$4:$A$8,0)),"(sin catálogo)"))</f>
        <v/>
      </c>
      <c r="Z229" s="3">
        <f>IF($H229="","",IFERROR(INDEX('CAT_ACTIVIDADES'!$B$4:$B$8,MATCH($H229,'CAT_ACTIVIDADES'!$A$4:$A$8,0)),"(sin catálogo)"))</f>
        <v/>
      </c>
      <c r="AA229" s="12">
        <f>IF($J229="","",TODAY()-$J229)</f>
        <v/>
      </c>
      <c r="AB229" s="12">
        <f>IF($J229="","",IF($J229&lt;=TODAY(),COUNTIFS(cal_fechas,"&gt;="&amp;$J229,cal_fechas,"&lt;"&amp;TODAY(),cal_habil,"sí"),-COUNTIFS(cal_fechas,"&gt;="&amp;TODAY(),cal_fechas,"&lt;"&amp;$J229,cal_habil,"sí")))</f>
        <v/>
      </c>
      <c r="AC229" s="3">
        <f>IF($AB229="","",IF($AB229&lt;0,"FUTURO",IF($AB229&gt;p_dias_backlog_max,"BACKLOG","MES CORRIENTE")))</f>
        <v/>
      </c>
      <c r="AD229" s="3">
        <f>IF($AB229="",FALSE,AND($AB229&gt;p_dias_backlog_min,$AB229&lt;=p_dias_backlog_max))</f>
        <v/>
      </c>
      <c r="AE229" s="6" t="n"/>
      <c r="AF229" s="3">
        <f>IF($AE229="","",IF((IFERROR(INDEX('ASIGNACIONES'!$F$4:$F$339,MATCH($O229&amp;"|"&amp;$R229&amp;"|"&amp;$AE229,'ASIGNACIONES'!$J$4:$J$339,0)),""))=0,"",IFERROR(INDEX('ASIGNACIONES'!$F$4:$F$339,MATCH($O229&amp;"|"&amp;$R229&amp;"|"&amp;$AE229,'ASIGNACIONES'!$J$4:$J$339,0)),"")))</f>
        <v/>
      </c>
      <c r="AG229" s="13">
        <f>IF($AE229="","",SUMIFS('ORDENES'!$M$4:$M$1203,'ORDENES'!$AE$4:$AE$1203,$AE229,'ORDENES'!$O$4:$O$1203,$O229,'ORDENES'!$R$4:$R$1203,$R229))</f>
        <v/>
      </c>
      <c r="AH229" s="13">
        <f>IF($AG229="","",p_factor_productividad*IFERROR(INDEX('ASIGNACIONES'!$I$4:$I$339,MATCH($O229&amp;"|"&amp;$R229&amp;"|"&amp;$AE229,'ASIGNACIONES'!$J$4:$J$339,0)),0)-$AG229)</f>
        <v/>
      </c>
      <c r="AI229" s="10">
        <f>IF($A229="","",IFERROR(INDEX('2_IMPORTAR_EJECUCION'!$F$9:$F$1208,MATCH($AQ229,'2_IMPORTAR_EJECUCION'!$J$9:$J$1208,0)),0))</f>
        <v/>
      </c>
      <c r="AJ229" s="10">
        <f>IF($A229="","",MAX(0,IFERROR(INDEX('2_IMPORTAR_EJECUCION'!$H$9:$H$1208,MATCH($AQ229,'2_IMPORTAR_EJECUCION'!$J$9:$J$1208,0)),0)-$AI229))</f>
        <v/>
      </c>
      <c r="AK229" s="10">
        <f>IF($A229="","",$AI229+$AJ229)</f>
        <v/>
      </c>
      <c r="AL229" s="6" t="n"/>
      <c r="AM229" s="6" t="n"/>
      <c r="AN229" s="6" t="n"/>
      <c r="AO229" s="3">
        <f>IF($AN229="","",HYPERLINK(p_ruta_base_checklists&amp;$AN229,"abrir"))</f>
        <v/>
      </c>
      <c r="AP229" s="6" t="n"/>
      <c r="AQ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IF($A230="","",IFERROR(INDEX('AJUSTES'!$B$4:$B$303,MATCH($AQ230,'AJUSTES'!$A$4:$A$303,0)),IF($K230="","",$K230)))</f>
        <v/>
      </c>
      <c r="N230" s="3">
        <f>IF($A230="","",IFERROR(INDEX('CAT_ESTADOS_ERP'!$B$4:$B$7,MATCH(IFERROR(INDEX('2_IMPORTAR_EJECUCION'!$C$9:$C$1208,MATCH($AQ230,'2_IMPORTAR_EJECUCION'!$J$9:$J$1208,0)),""),'CAT_ESTADOS_ERP'!$A$4:$A$7,0)),"Pendiente"))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J230="","",IFERROR(INDEX('CALENDARIO'!$C$15:$C$214,MATCH(TEXT($J230,"yyyy-mm-dd")&amp;"|"&amp;$V230&amp;"|"&amp;$W230,'CALENDARIO'!$G$15:$G$214,0)),IFERROR(INDEX('CALENDARIO'!$C$15:$C$214,MATCH(TEXT($J230,"yyyy-mm-dd")&amp;"|"&amp;$V230&amp;"|",'CALENDARIO'!$G$15:$G$214,0)),IFERROR(INDEX('CALENDARIO'!$C$15:$C$214,MATCH(TEXT($J230,"yyyy-mm-dd")&amp;"||",'CALENDARIO'!$G$15:$G$214,0)),INDEX(patronHabil,WEEKDAY($J230,2))))))</f>
        <v/>
      </c>
      <c r="T230" s="3">
        <f>IF($I230="","",IFERROR(INDEX('CAT_TIPOS_OT'!$C$4:$C$7,MATCH($I230,'CAT_TIPOS_OT'!$A$4:$A$7,0)),"sin_clasificar"))</f>
        <v/>
      </c>
      <c r="U230" s="3">
        <f>IF($F230="","",IFERROR(INDEX('CAT_CENTROS_COSTO'!$F$4:$F$13,MATCH($F230,'CAT_CENTROS_COSTO'!$A$4:$A$13,0)),"(sin catálogo)"))</f>
        <v/>
      </c>
      <c r="V230" s="3">
        <f>IF($F230="","",IFERROR(INDEX('CAT_CENTROS_COSTO'!$D$4:$D$13,MATCH($F230,'CAT_CENTROS_COSTO'!$A$4:$A$13,0)),"(sin catálogo)"))</f>
        <v/>
      </c>
      <c r="W230" s="3">
        <f>IF($F230="","",IF((IFERROR(INDEX('CAT_CENTROS_COSTO'!$E$4:$E$13,MATCH($F230,'CAT_CENTROS_COSTO'!$A$4:$A$13,0)),""))&lt;&gt;"",IFERROR(INDEX('CAT_CENTROS_COSTO'!$E$4:$E$13,MATCH($F230,'CAT_CENTROS_COSTO'!$A$4:$A$13,0)),""),$V230))</f>
        <v/>
      </c>
      <c r="X230" s="3">
        <f>IF($F230="","",IFERROR(INDEX('CAT_CENTROS_COSTO'!$G$4:$G$13,MATCH($F230,'CAT_CENTROS_COSTO'!$A$4:$A$13,0)),"(sin catálogo)"))</f>
        <v/>
      </c>
      <c r="Y230" s="3">
        <f>IF($G230="","",IFERROR(INDEX('CAT_PUESTOS'!$B$4:$B$8,MATCH($G230,'CAT_PUESTOS'!$A$4:$A$8,0)),"(sin catálogo)"))</f>
        <v/>
      </c>
      <c r="Z230" s="3">
        <f>IF($H230="","",IFERROR(INDEX('CAT_ACTIVIDADES'!$B$4:$B$8,MATCH($H230,'CAT_ACTIVIDADES'!$A$4:$A$8,0)),"(sin catálogo)"))</f>
        <v/>
      </c>
      <c r="AA230" s="12">
        <f>IF($J230="","",TODAY()-$J230)</f>
        <v/>
      </c>
      <c r="AB230" s="12">
        <f>IF($J230="","",IF($J230&lt;=TODAY(),COUNTIFS(cal_fechas,"&gt;="&amp;$J230,cal_fechas,"&lt;"&amp;TODAY(),cal_habil,"sí"),-COUNTIFS(cal_fechas,"&gt;="&amp;TODAY(),cal_fechas,"&lt;"&amp;$J230,cal_habil,"sí")))</f>
        <v/>
      </c>
      <c r="AC230" s="3">
        <f>IF($AB230="","",IF($AB230&lt;0,"FUTURO",IF($AB230&gt;p_dias_backlog_max,"BACKLOG","MES CORRIENTE")))</f>
        <v/>
      </c>
      <c r="AD230" s="3">
        <f>IF($AB230="",FALSE,AND($AB230&gt;p_dias_backlog_min,$AB230&lt;=p_dias_backlog_max))</f>
        <v/>
      </c>
      <c r="AE230" s="6" t="n"/>
      <c r="AF230" s="3">
        <f>IF($AE230="","",IF((IFERROR(INDEX('ASIGNACIONES'!$F$4:$F$339,MATCH($O230&amp;"|"&amp;$R230&amp;"|"&amp;$AE230,'ASIGNACIONES'!$J$4:$J$339,0)),""))=0,"",IFERROR(INDEX('ASIGNACIONES'!$F$4:$F$339,MATCH($O230&amp;"|"&amp;$R230&amp;"|"&amp;$AE230,'ASIGNACIONES'!$J$4:$J$339,0)),"")))</f>
        <v/>
      </c>
      <c r="AG230" s="13">
        <f>IF($AE230="","",SUMIFS('ORDENES'!$M$4:$M$1203,'ORDENES'!$AE$4:$AE$1203,$AE230,'ORDENES'!$O$4:$O$1203,$O230,'ORDENES'!$R$4:$R$1203,$R230))</f>
        <v/>
      </c>
      <c r="AH230" s="13">
        <f>IF($AG230="","",p_factor_productividad*IFERROR(INDEX('ASIGNACIONES'!$I$4:$I$339,MATCH($O230&amp;"|"&amp;$R230&amp;"|"&amp;$AE230,'ASIGNACIONES'!$J$4:$J$339,0)),0)-$AG230)</f>
        <v/>
      </c>
      <c r="AI230" s="10">
        <f>IF($A230="","",IFERROR(INDEX('2_IMPORTAR_EJECUCION'!$F$9:$F$1208,MATCH($AQ230,'2_IMPORTAR_EJECUCION'!$J$9:$J$1208,0)),0))</f>
        <v/>
      </c>
      <c r="AJ230" s="10">
        <f>IF($A230="","",MAX(0,IFERROR(INDEX('2_IMPORTAR_EJECUCION'!$H$9:$H$1208,MATCH($AQ230,'2_IMPORTAR_EJECUCION'!$J$9:$J$1208,0)),0)-$AI230))</f>
        <v/>
      </c>
      <c r="AK230" s="10">
        <f>IF($A230="","",$AI230+$AJ230)</f>
        <v/>
      </c>
      <c r="AL230" s="6" t="n"/>
      <c r="AM230" s="6" t="n"/>
      <c r="AN230" s="6" t="n"/>
      <c r="AO230" s="3">
        <f>IF($AN230="","",HYPERLINK(p_ruta_base_checklists&amp;$AN230,"abrir"))</f>
        <v/>
      </c>
      <c r="AP230" s="6" t="n"/>
      <c r="AQ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IF($A231="","",IFERROR(INDEX('AJUSTES'!$B$4:$B$303,MATCH($AQ231,'AJUSTES'!$A$4:$A$303,0)),IF($K231="","",$K231)))</f>
        <v/>
      </c>
      <c r="N231" s="3">
        <f>IF($A231="","",IFERROR(INDEX('CAT_ESTADOS_ERP'!$B$4:$B$7,MATCH(IFERROR(INDEX('2_IMPORTAR_EJECUCION'!$C$9:$C$1208,MATCH($AQ231,'2_IMPORTAR_EJECUCION'!$J$9:$J$1208,0)),""),'CAT_ESTADOS_ERP'!$A$4:$A$7,0)),"Pendiente"))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J231="","",IFERROR(INDEX('CALENDARIO'!$C$15:$C$214,MATCH(TEXT($J231,"yyyy-mm-dd")&amp;"|"&amp;$V231&amp;"|"&amp;$W231,'CALENDARIO'!$G$15:$G$214,0)),IFERROR(INDEX('CALENDARIO'!$C$15:$C$214,MATCH(TEXT($J231,"yyyy-mm-dd")&amp;"|"&amp;$V231&amp;"|",'CALENDARIO'!$G$15:$G$214,0)),IFERROR(INDEX('CALENDARIO'!$C$15:$C$214,MATCH(TEXT($J231,"yyyy-mm-dd")&amp;"||",'CALENDARIO'!$G$15:$G$214,0)),INDEX(patronHabil,WEEKDAY($J231,2))))))</f>
        <v/>
      </c>
      <c r="T231" s="3">
        <f>IF($I231="","",IFERROR(INDEX('CAT_TIPOS_OT'!$C$4:$C$7,MATCH($I231,'CAT_TIPOS_OT'!$A$4:$A$7,0)),"sin_clasificar"))</f>
        <v/>
      </c>
      <c r="U231" s="3">
        <f>IF($F231="","",IFERROR(INDEX('CAT_CENTROS_COSTO'!$F$4:$F$13,MATCH($F231,'CAT_CENTROS_COSTO'!$A$4:$A$13,0)),"(sin catálogo)"))</f>
        <v/>
      </c>
      <c r="V231" s="3">
        <f>IF($F231="","",IFERROR(INDEX('CAT_CENTROS_COSTO'!$D$4:$D$13,MATCH($F231,'CAT_CENTROS_COSTO'!$A$4:$A$13,0)),"(sin catálogo)"))</f>
        <v/>
      </c>
      <c r="W231" s="3">
        <f>IF($F231="","",IF((IFERROR(INDEX('CAT_CENTROS_COSTO'!$E$4:$E$13,MATCH($F231,'CAT_CENTROS_COSTO'!$A$4:$A$13,0)),""))&lt;&gt;"",IFERROR(INDEX('CAT_CENTROS_COSTO'!$E$4:$E$13,MATCH($F231,'CAT_CENTROS_COSTO'!$A$4:$A$13,0)),""),$V231))</f>
        <v/>
      </c>
      <c r="X231" s="3">
        <f>IF($F231="","",IFERROR(INDEX('CAT_CENTROS_COSTO'!$G$4:$G$13,MATCH($F231,'CAT_CENTROS_COSTO'!$A$4:$A$13,0)),"(sin catálogo)"))</f>
        <v/>
      </c>
      <c r="Y231" s="3">
        <f>IF($G231="","",IFERROR(INDEX('CAT_PUESTOS'!$B$4:$B$8,MATCH($G231,'CAT_PUESTOS'!$A$4:$A$8,0)),"(sin catálogo)"))</f>
        <v/>
      </c>
      <c r="Z231" s="3">
        <f>IF($H231="","",IFERROR(INDEX('CAT_ACTIVIDADES'!$B$4:$B$8,MATCH($H231,'CAT_ACTIVIDADES'!$A$4:$A$8,0)),"(sin catálogo)"))</f>
        <v/>
      </c>
      <c r="AA231" s="12">
        <f>IF($J231="","",TODAY()-$J231)</f>
        <v/>
      </c>
      <c r="AB231" s="12">
        <f>IF($J231="","",IF($J231&lt;=TODAY(),COUNTIFS(cal_fechas,"&gt;="&amp;$J231,cal_fechas,"&lt;"&amp;TODAY(),cal_habil,"sí"),-COUNTIFS(cal_fechas,"&gt;="&amp;TODAY(),cal_fechas,"&lt;"&amp;$J231,cal_habil,"sí")))</f>
        <v/>
      </c>
      <c r="AC231" s="3">
        <f>IF($AB231="","",IF($AB231&lt;0,"FUTURO",IF($AB231&gt;p_dias_backlog_max,"BACKLOG","MES CORRIENTE")))</f>
        <v/>
      </c>
      <c r="AD231" s="3">
        <f>IF($AB231="",FALSE,AND($AB231&gt;p_dias_backlog_min,$AB231&lt;=p_dias_backlog_max))</f>
        <v/>
      </c>
      <c r="AE231" s="6" t="n"/>
      <c r="AF231" s="3">
        <f>IF($AE231="","",IF((IFERROR(INDEX('ASIGNACIONES'!$F$4:$F$339,MATCH($O231&amp;"|"&amp;$R231&amp;"|"&amp;$AE231,'ASIGNACIONES'!$J$4:$J$339,0)),""))=0,"",IFERROR(INDEX('ASIGNACIONES'!$F$4:$F$339,MATCH($O231&amp;"|"&amp;$R231&amp;"|"&amp;$AE231,'ASIGNACIONES'!$J$4:$J$339,0)),"")))</f>
        <v/>
      </c>
      <c r="AG231" s="13">
        <f>IF($AE231="","",SUMIFS('ORDENES'!$M$4:$M$1203,'ORDENES'!$AE$4:$AE$1203,$AE231,'ORDENES'!$O$4:$O$1203,$O231,'ORDENES'!$R$4:$R$1203,$R231))</f>
        <v/>
      </c>
      <c r="AH231" s="13">
        <f>IF($AG231="","",p_factor_productividad*IFERROR(INDEX('ASIGNACIONES'!$I$4:$I$339,MATCH($O231&amp;"|"&amp;$R231&amp;"|"&amp;$AE231,'ASIGNACIONES'!$J$4:$J$339,0)),0)-$AG231)</f>
        <v/>
      </c>
      <c r="AI231" s="10">
        <f>IF($A231="","",IFERROR(INDEX('2_IMPORTAR_EJECUCION'!$F$9:$F$1208,MATCH($AQ231,'2_IMPORTAR_EJECUCION'!$J$9:$J$1208,0)),0))</f>
        <v/>
      </c>
      <c r="AJ231" s="10">
        <f>IF($A231="","",MAX(0,IFERROR(INDEX('2_IMPORTAR_EJECUCION'!$H$9:$H$1208,MATCH($AQ231,'2_IMPORTAR_EJECUCION'!$J$9:$J$1208,0)),0)-$AI231))</f>
        <v/>
      </c>
      <c r="AK231" s="10">
        <f>IF($A231="","",$AI231+$AJ231)</f>
        <v/>
      </c>
      <c r="AL231" s="6" t="n"/>
      <c r="AM231" s="6" t="n"/>
      <c r="AN231" s="6" t="n"/>
      <c r="AO231" s="3">
        <f>IF($AN231="","",HYPERLINK(p_ruta_base_checklists&amp;$AN231,"abrir"))</f>
        <v/>
      </c>
      <c r="AP231" s="6" t="n"/>
      <c r="AQ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IF($A232="","",IFERROR(INDEX('AJUSTES'!$B$4:$B$303,MATCH($AQ232,'AJUSTES'!$A$4:$A$303,0)),IF($K232="","",$K232)))</f>
        <v/>
      </c>
      <c r="N232" s="3">
        <f>IF($A232="","",IFERROR(INDEX('CAT_ESTADOS_ERP'!$B$4:$B$7,MATCH(IFERROR(INDEX('2_IMPORTAR_EJECUCION'!$C$9:$C$1208,MATCH($AQ232,'2_IMPORTAR_EJECUCION'!$J$9:$J$1208,0)),""),'CAT_ESTADOS_ERP'!$A$4:$A$7,0)),"Pendiente"))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J232="","",IFERROR(INDEX('CALENDARIO'!$C$15:$C$214,MATCH(TEXT($J232,"yyyy-mm-dd")&amp;"|"&amp;$V232&amp;"|"&amp;$W232,'CALENDARIO'!$G$15:$G$214,0)),IFERROR(INDEX('CALENDARIO'!$C$15:$C$214,MATCH(TEXT($J232,"yyyy-mm-dd")&amp;"|"&amp;$V232&amp;"|",'CALENDARIO'!$G$15:$G$214,0)),IFERROR(INDEX('CALENDARIO'!$C$15:$C$214,MATCH(TEXT($J232,"yyyy-mm-dd")&amp;"||",'CALENDARIO'!$G$15:$G$214,0)),INDEX(patronHabil,WEEKDAY($J232,2))))))</f>
        <v/>
      </c>
      <c r="T232" s="3">
        <f>IF($I232="","",IFERROR(INDEX('CAT_TIPOS_OT'!$C$4:$C$7,MATCH($I232,'CAT_TIPOS_OT'!$A$4:$A$7,0)),"sin_clasificar"))</f>
        <v/>
      </c>
      <c r="U232" s="3">
        <f>IF($F232="","",IFERROR(INDEX('CAT_CENTROS_COSTO'!$F$4:$F$13,MATCH($F232,'CAT_CENTROS_COSTO'!$A$4:$A$13,0)),"(sin catálogo)"))</f>
        <v/>
      </c>
      <c r="V232" s="3">
        <f>IF($F232="","",IFERROR(INDEX('CAT_CENTROS_COSTO'!$D$4:$D$13,MATCH($F232,'CAT_CENTROS_COSTO'!$A$4:$A$13,0)),"(sin catálogo)"))</f>
        <v/>
      </c>
      <c r="W232" s="3">
        <f>IF($F232="","",IF((IFERROR(INDEX('CAT_CENTROS_COSTO'!$E$4:$E$13,MATCH($F232,'CAT_CENTROS_COSTO'!$A$4:$A$13,0)),""))&lt;&gt;"",IFERROR(INDEX('CAT_CENTROS_COSTO'!$E$4:$E$13,MATCH($F232,'CAT_CENTROS_COSTO'!$A$4:$A$13,0)),""),$V232))</f>
        <v/>
      </c>
      <c r="X232" s="3">
        <f>IF($F232="","",IFERROR(INDEX('CAT_CENTROS_COSTO'!$G$4:$G$13,MATCH($F232,'CAT_CENTROS_COSTO'!$A$4:$A$13,0)),"(sin catálogo)"))</f>
        <v/>
      </c>
      <c r="Y232" s="3">
        <f>IF($G232="","",IFERROR(INDEX('CAT_PUESTOS'!$B$4:$B$8,MATCH($G232,'CAT_PUESTOS'!$A$4:$A$8,0)),"(sin catálogo)"))</f>
        <v/>
      </c>
      <c r="Z232" s="3">
        <f>IF($H232="","",IFERROR(INDEX('CAT_ACTIVIDADES'!$B$4:$B$8,MATCH($H232,'CAT_ACTIVIDADES'!$A$4:$A$8,0)),"(sin catálogo)"))</f>
        <v/>
      </c>
      <c r="AA232" s="12">
        <f>IF($J232="","",TODAY()-$J232)</f>
        <v/>
      </c>
      <c r="AB232" s="12">
        <f>IF($J232="","",IF($J232&lt;=TODAY(),COUNTIFS(cal_fechas,"&gt;="&amp;$J232,cal_fechas,"&lt;"&amp;TODAY(),cal_habil,"sí"),-COUNTIFS(cal_fechas,"&gt;="&amp;TODAY(),cal_fechas,"&lt;"&amp;$J232,cal_habil,"sí")))</f>
        <v/>
      </c>
      <c r="AC232" s="3">
        <f>IF($AB232="","",IF($AB232&lt;0,"FUTURO",IF($AB232&gt;p_dias_backlog_max,"BACKLOG","MES CORRIENTE")))</f>
        <v/>
      </c>
      <c r="AD232" s="3">
        <f>IF($AB232="",FALSE,AND($AB232&gt;p_dias_backlog_min,$AB232&lt;=p_dias_backlog_max))</f>
        <v/>
      </c>
      <c r="AE232" s="6" t="n"/>
      <c r="AF232" s="3">
        <f>IF($AE232="","",IF((IFERROR(INDEX('ASIGNACIONES'!$F$4:$F$339,MATCH($O232&amp;"|"&amp;$R232&amp;"|"&amp;$AE232,'ASIGNACIONES'!$J$4:$J$339,0)),""))=0,"",IFERROR(INDEX('ASIGNACIONES'!$F$4:$F$339,MATCH($O232&amp;"|"&amp;$R232&amp;"|"&amp;$AE232,'ASIGNACIONES'!$J$4:$J$339,0)),"")))</f>
        <v/>
      </c>
      <c r="AG232" s="13">
        <f>IF($AE232="","",SUMIFS('ORDENES'!$M$4:$M$1203,'ORDENES'!$AE$4:$AE$1203,$AE232,'ORDENES'!$O$4:$O$1203,$O232,'ORDENES'!$R$4:$R$1203,$R232))</f>
        <v/>
      </c>
      <c r="AH232" s="13">
        <f>IF($AG232="","",p_factor_productividad*IFERROR(INDEX('ASIGNACIONES'!$I$4:$I$339,MATCH($O232&amp;"|"&amp;$R232&amp;"|"&amp;$AE232,'ASIGNACIONES'!$J$4:$J$339,0)),0)-$AG232)</f>
        <v/>
      </c>
      <c r="AI232" s="10">
        <f>IF($A232="","",IFERROR(INDEX('2_IMPORTAR_EJECUCION'!$F$9:$F$1208,MATCH($AQ232,'2_IMPORTAR_EJECUCION'!$J$9:$J$1208,0)),0))</f>
        <v/>
      </c>
      <c r="AJ232" s="10">
        <f>IF($A232="","",MAX(0,IFERROR(INDEX('2_IMPORTAR_EJECUCION'!$H$9:$H$1208,MATCH($AQ232,'2_IMPORTAR_EJECUCION'!$J$9:$J$1208,0)),0)-$AI232))</f>
        <v/>
      </c>
      <c r="AK232" s="10">
        <f>IF($A232="","",$AI232+$AJ232)</f>
        <v/>
      </c>
      <c r="AL232" s="6" t="n"/>
      <c r="AM232" s="6" t="n"/>
      <c r="AN232" s="6" t="n"/>
      <c r="AO232" s="3">
        <f>IF($AN232="","",HYPERLINK(p_ruta_base_checklists&amp;$AN232,"abrir"))</f>
        <v/>
      </c>
      <c r="AP232" s="6" t="n"/>
      <c r="AQ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IF($A233="","",IFERROR(INDEX('AJUSTES'!$B$4:$B$303,MATCH($AQ233,'AJUSTES'!$A$4:$A$303,0)),IF($K233="","",$K233)))</f>
        <v/>
      </c>
      <c r="N233" s="3">
        <f>IF($A233="","",IFERROR(INDEX('CAT_ESTADOS_ERP'!$B$4:$B$7,MATCH(IFERROR(INDEX('2_IMPORTAR_EJECUCION'!$C$9:$C$1208,MATCH($AQ233,'2_IMPORTAR_EJECUCION'!$J$9:$J$1208,0)),""),'CAT_ESTADOS_ERP'!$A$4:$A$7,0)),"Pendiente"))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J233="","",IFERROR(INDEX('CALENDARIO'!$C$15:$C$214,MATCH(TEXT($J233,"yyyy-mm-dd")&amp;"|"&amp;$V233&amp;"|"&amp;$W233,'CALENDARIO'!$G$15:$G$214,0)),IFERROR(INDEX('CALENDARIO'!$C$15:$C$214,MATCH(TEXT($J233,"yyyy-mm-dd")&amp;"|"&amp;$V233&amp;"|",'CALENDARIO'!$G$15:$G$214,0)),IFERROR(INDEX('CALENDARIO'!$C$15:$C$214,MATCH(TEXT($J233,"yyyy-mm-dd")&amp;"||",'CALENDARIO'!$G$15:$G$214,0)),INDEX(patronHabil,WEEKDAY($J233,2))))))</f>
        <v/>
      </c>
      <c r="T233" s="3">
        <f>IF($I233="","",IFERROR(INDEX('CAT_TIPOS_OT'!$C$4:$C$7,MATCH($I233,'CAT_TIPOS_OT'!$A$4:$A$7,0)),"sin_clasificar"))</f>
        <v/>
      </c>
      <c r="U233" s="3">
        <f>IF($F233="","",IFERROR(INDEX('CAT_CENTROS_COSTO'!$F$4:$F$13,MATCH($F233,'CAT_CENTROS_COSTO'!$A$4:$A$13,0)),"(sin catálogo)"))</f>
        <v/>
      </c>
      <c r="V233" s="3">
        <f>IF($F233="","",IFERROR(INDEX('CAT_CENTROS_COSTO'!$D$4:$D$13,MATCH($F233,'CAT_CENTROS_COSTO'!$A$4:$A$13,0)),"(sin catálogo)"))</f>
        <v/>
      </c>
      <c r="W233" s="3">
        <f>IF($F233="","",IF((IFERROR(INDEX('CAT_CENTROS_COSTO'!$E$4:$E$13,MATCH($F233,'CAT_CENTROS_COSTO'!$A$4:$A$13,0)),""))&lt;&gt;"",IFERROR(INDEX('CAT_CENTROS_COSTO'!$E$4:$E$13,MATCH($F233,'CAT_CENTROS_COSTO'!$A$4:$A$13,0)),""),$V233))</f>
        <v/>
      </c>
      <c r="X233" s="3">
        <f>IF($F233="","",IFERROR(INDEX('CAT_CENTROS_COSTO'!$G$4:$G$13,MATCH($F233,'CAT_CENTROS_COSTO'!$A$4:$A$13,0)),"(sin catálogo)"))</f>
        <v/>
      </c>
      <c r="Y233" s="3">
        <f>IF($G233="","",IFERROR(INDEX('CAT_PUESTOS'!$B$4:$B$8,MATCH($G233,'CAT_PUESTOS'!$A$4:$A$8,0)),"(sin catálogo)"))</f>
        <v/>
      </c>
      <c r="Z233" s="3">
        <f>IF($H233="","",IFERROR(INDEX('CAT_ACTIVIDADES'!$B$4:$B$8,MATCH($H233,'CAT_ACTIVIDADES'!$A$4:$A$8,0)),"(sin catálogo)"))</f>
        <v/>
      </c>
      <c r="AA233" s="12">
        <f>IF($J233="","",TODAY()-$J233)</f>
        <v/>
      </c>
      <c r="AB233" s="12">
        <f>IF($J233="","",IF($J233&lt;=TODAY(),COUNTIFS(cal_fechas,"&gt;="&amp;$J233,cal_fechas,"&lt;"&amp;TODAY(),cal_habil,"sí"),-COUNTIFS(cal_fechas,"&gt;="&amp;TODAY(),cal_fechas,"&lt;"&amp;$J233,cal_habil,"sí")))</f>
        <v/>
      </c>
      <c r="AC233" s="3">
        <f>IF($AB233="","",IF($AB233&lt;0,"FUTURO",IF($AB233&gt;p_dias_backlog_max,"BACKLOG","MES CORRIENTE")))</f>
        <v/>
      </c>
      <c r="AD233" s="3">
        <f>IF($AB233="",FALSE,AND($AB233&gt;p_dias_backlog_min,$AB233&lt;=p_dias_backlog_max))</f>
        <v/>
      </c>
      <c r="AE233" s="6" t="n"/>
      <c r="AF233" s="3">
        <f>IF($AE233="","",IF((IFERROR(INDEX('ASIGNACIONES'!$F$4:$F$339,MATCH($O233&amp;"|"&amp;$R233&amp;"|"&amp;$AE233,'ASIGNACIONES'!$J$4:$J$339,0)),""))=0,"",IFERROR(INDEX('ASIGNACIONES'!$F$4:$F$339,MATCH($O233&amp;"|"&amp;$R233&amp;"|"&amp;$AE233,'ASIGNACIONES'!$J$4:$J$339,0)),"")))</f>
        <v/>
      </c>
      <c r="AG233" s="13">
        <f>IF($AE233="","",SUMIFS('ORDENES'!$M$4:$M$1203,'ORDENES'!$AE$4:$AE$1203,$AE233,'ORDENES'!$O$4:$O$1203,$O233,'ORDENES'!$R$4:$R$1203,$R233))</f>
        <v/>
      </c>
      <c r="AH233" s="13">
        <f>IF($AG233="","",p_factor_productividad*IFERROR(INDEX('ASIGNACIONES'!$I$4:$I$339,MATCH($O233&amp;"|"&amp;$R233&amp;"|"&amp;$AE233,'ASIGNACIONES'!$J$4:$J$339,0)),0)-$AG233)</f>
        <v/>
      </c>
      <c r="AI233" s="10">
        <f>IF($A233="","",IFERROR(INDEX('2_IMPORTAR_EJECUCION'!$F$9:$F$1208,MATCH($AQ233,'2_IMPORTAR_EJECUCION'!$J$9:$J$1208,0)),0))</f>
        <v/>
      </c>
      <c r="AJ233" s="10">
        <f>IF($A233="","",MAX(0,IFERROR(INDEX('2_IMPORTAR_EJECUCION'!$H$9:$H$1208,MATCH($AQ233,'2_IMPORTAR_EJECUCION'!$J$9:$J$1208,0)),0)-$AI233))</f>
        <v/>
      </c>
      <c r="AK233" s="10">
        <f>IF($A233="","",$AI233+$AJ233)</f>
        <v/>
      </c>
      <c r="AL233" s="6" t="n"/>
      <c r="AM233" s="6" t="n"/>
      <c r="AN233" s="6" t="n"/>
      <c r="AO233" s="3">
        <f>IF($AN233="","",HYPERLINK(p_ruta_base_checklists&amp;$AN233,"abrir"))</f>
        <v/>
      </c>
      <c r="AP233" s="6" t="n"/>
      <c r="AQ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IF($A234="","",IFERROR(INDEX('AJUSTES'!$B$4:$B$303,MATCH($AQ234,'AJUSTES'!$A$4:$A$303,0)),IF($K234="","",$K234)))</f>
        <v/>
      </c>
      <c r="N234" s="3">
        <f>IF($A234="","",IFERROR(INDEX('CAT_ESTADOS_ERP'!$B$4:$B$7,MATCH(IFERROR(INDEX('2_IMPORTAR_EJECUCION'!$C$9:$C$1208,MATCH($AQ234,'2_IMPORTAR_EJECUCION'!$J$9:$J$1208,0)),""),'CAT_ESTADOS_ERP'!$A$4:$A$7,0)),"Pendiente"))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J234="","",IFERROR(INDEX('CALENDARIO'!$C$15:$C$214,MATCH(TEXT($J234,"yyyy-mm-dd")&amp;"|"&amp;$V234&amp;"|"&amp;$W234,'CALENDARIO'!$G$15:$G$214,0)),IFERROR(INDEX('CALENDARIO'!$C$15:$C$214,MATCH(TEXT($J234,"yyyy-mm-dd")&amp;"|"&amp;$V234&amp;"|",'CALENDARIO'!$G$15:$G$214,0)),IFERROR(INDEX('CALENDARIO'!$C$15:$C$214,MATCH(TEXT($J234,"yyyy-mm-dd")&amp;"||",'CALENDARIO'!$G$15:$G$214,0)),INDEX(patronHabil,WEEKDAY($J234,2))))))</f>
        <v/>
      </c>
      <c r="T234" s="3">
        <f>IF($I234="","",IFERROR(INDEX('CAT_TIPOS_OT'!$C$4:$C$7,MATCH($I234,'CAT_TIPOS_OT'!$A$4:$A$7,0)),"sin_clasificar"))</f>
        <v/>
      </c>
      <c r="U234" s="3">
        <f>IF($F234="","",IFERROR(INDEX('CAT_CENTROS_COSTO'!$F$4:$F$13,MATCH($F234,'CAT_CENTROS_COSTO'!$A$4:$A$13,0)),"(sin catálogo)"))</f>
        <v/>
      </c>
      <c r="V234" s="3">
        <f>IF($F234="","",IFERROR(INDEX('CAT_CENTROS_COSTO'!$D$4:$D$13,MATCH($F234,'CAT_CENTROS_COSTO'!$A$4:$A$13,0)),"(sin catálogo)"))</f>
        <v/>
      </c>
      <c r="W234" s="3">
        <f>IF($F234="","",IF((IFERROR(INDEX('CAT_CENTROS_COSTO'!$E$4:$E$13,MATCH($F234,'CAT_CENTROS_COSTO'!$A$4:$A$13,0)),""))&lt;&gt;"",IFERROR(INDEX('CAT_CENTROS_COSTO'!$E$4:$E$13,MATCH($F234,'CAT_CENTROS_COSTO'!$A$4:$A$13,0)),""),$V234))</f>
        <v/>
      </c>
      <c r="X234" s="3">
        <f>IF($F234="","",IFERROR(INDEX('CAT_CENTROS_COSTO'!$G$4:$G$13,MATCH($F234,'CAT_CENTROS_COSTO'!$A$4:$A$13,0)),"(sin catálogo)"))</f>
        <v/>
      </c>
      <c r="Y234" s="3">
        <f>IF($G234="","",IFERROR(INDEX('CAT_PUESTOS'!$B$4:$B$8,MATCH($G234,'CAT_PUESTOS'!$A$4:$A$8,0)),"(sin catálogo)"))</f>
        <v/>
      </c>
      <c r="Z234" s="3">
        <f>IF($H234="","",IFERROR(INDEX('CAT_ACTIVIDADES'!$B$4:$B$8,MATCH($H234,'CAT_ACTIVIDADES'!$A$4:$A$8,0)),"(sin catálogo)"))</f>
        <v/>
      </c>
      <c r="AA234" s="12">
        <f>IF($J234="","",TODAY()-$J234)</f>
        <v/>
      </c>
      <c r="AB234" s="12">
        <f>IF($J234="","",IF($J234&lt;=TODAY(),COUNTIFS(cal_fechas,"&gt;="&amp;$J234,cal_fechas,"&lt;"&amp;TODAY(),cal_habil,"sí"),-COUNTIFS(cal_fechas,"&gt;="&amp;TODAY(),cal_fechas,"&lt;"&amp;$J234,cal_habil,"sí")))</f>
        <v/>
      </c>
      <c r="AC234" s="3">
        <f>IF($AB234="","",IF($AB234&lt;0,"FUTURO",IF($AB234&gt;p_dias_backlog_max,"BACKLOG","MES CORRIENTE")))</f>
        <v/>
      </c>
      <c r="AD234" s="3">
        <f>IF($AB234="",FALSE,AND($AB234&gt;p_dias_backlog_min,$AB234&lt;=p_dias_backlog_max))</f>
        <v/>
      </c>
      <c r="AE234" s="6" t="n"/>
      <c r="AF234" s="3">
        <f>IF($AE234="","",IF((IFERROR(INDEX('ASIGNACIONES'!$F$4:$F$339,MATCH($O234&amp;"|"&amp;$R234&amp;"|"&amp;$AE234,'ASIGNACIONES'!$J$4:$J$339,0)),""))=0,"",IFERROR(INDEX('ASIGNACIONES'!$F$4:$F$339,MATCH($O234&amp;"|"&amp;$R234&amp;"|"&amp;$AE234,'ASIGNACIONES'!$J$4:$J$339,0)),"")))</f>
        <v/>
      </c>
      <c r="AG234" s="13">
        <f>IF($AE234="","",SUMIFS('ORDENES'!$M$4:$M$1203,'ORDENES'!$AE$4:$AE$1203,$AE234,'ORDENES'!$O$4:$O$1203,$O234,'ORDENES'!$R$4:$R$1203,$R234))</f>
        <v/>
      </c>
      <c r="AH234" s="13">
        <f>IF($AG234="","",p_factor_productividad*IFERROR(INDEX('ASIGNACIONES'!$I$4:$I$339,MATCH($O234&amp;"|"&amp;$R234&amp;"|"&amp;$AE234,'ASIGNACIONES'!$J$4:$J$339,0)),0)-$AG234)</f>
        <v/>
      </c>
      <c r="AI234" s="10">
        <f>IF($A234="","",IFERROR(INDEX('2_IMPORTAR_EJECUCION'!$F$9:$F$1208,MATCH($AQ234,'2_IMPORTAR_EJECUCION'!$J$9:$J$1208,0)),0))</f>
        <v/>
      </c>
      <c r="AJ234" s="10">
        <f>IF($A234="","",MAX(0,IFERROR(INDEX('2_IMPORTAR_EJECUCION'!$H$9:$H$1208,MATCH($AQ234,'2_IMPORTAR_EJECUCION'!$J$9:$J$1208,0)),0)-$AI234))</f>
        <v/>
      </c>
      <c r="AK234" s="10">
        <f>IF($A234="","",$AI234+$AJ234)</f>
        <v/>
      </c>
      <c r="AL234" s="6" t="n"/>
      <c r="AM234" s="6" t="n"/>
      <c r="AN234" s="6" t="n"/>
      <c r="AO234" s="3">
        <f>IF($AN234="","",HYPERLINK(p_ruta_base_checklists&amp;$AN234,"abrir"))</f>
        <v/>
      </c>
      <c r="AP234" s="6" t="n"/>
      <c r="AQ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IF($A235="","",IFERROR(INDEX('AJUSTES'!$B$4:$B$303,MATCH($AQ235,'AJUSTES'!$A$4:$A$303,0)),IF($K235="","",$K235)))</f>
        <v/>
      </c>
      <c r="N235" s="3">
        <f>IF($A235="","",IFERROR(INDEX('CAT_ESTADOS_ERP'!$B$4:$B$7,MATCH(IFERROR(INDEX('2_IMPORTAR_EJECUCION'!$C$9:$C$1208,MATCH($AQ235,'2_IMPORTAR_EJECUCION'!$J$9:$J$1208,0)),""),'CAT_ESTADOS_ERP'!$A$4:$A$7,0)),"Pendiente"))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J235="","",IFERROR(INDEX('CALENDARIO'!$C$15:$C$214,MATCH(TEXT($J235,"yyyy-mm-dd")&amp;"|"&amp;$V235&amp;"|"&amp;$W235,'CALENDARIO'!$G$15:$G$214,0)),IFERROR(INDEX('CALENDARIO'!$C$15:$C$214,MATCH(TEXT($J235,"yyyy-mm-dd")&amp;"|"&amp;$V235&amp;"|",'CALENDARIO'!$G$15:$G$214,0)),IFERROR(INDEX('CALENDARIO'!$C$15:$C$214,MATCH(TEXT($J235,"yyyy-mm-dd")&amp;"||",'CALENDARIO'!$G$15:$G$214,0)),INDEX(patronHabil,WEEKDAY($J235,2))))))</f>
        <v/>
      </c>
      <c r="T235" s="3">
        <f>IF($I235="","",IFERROR(INDEX('CAT_TIPOS_OT'!$C$4:$C$7,MATCH($I235,'CAT_TIPOS_OT'!$A$4:$A$7,0)),"sin_clasificar"))</f>
        <v/>
      </c>
      <c r="U235" s="3">
        <f>IF($F235="","",IFERROR(INDEX('CAT_CENTROS_COSTO'!$F$4:$F$13,MATCH($F235,'CAT_CENTROS_COSTO'!$A$4:$A$13,0)),"(sin catálogo)"))</f>
        <v/>
      </c>
      <c r="V235" s="3">
        <f>IF($F235="","",IFERROR(INDEX('CAT_CENTROS_COSTO'!$D$4:$D$13,MATCH($F235,'CAT_CENTROS_COSTO'!$A$4:$A$13,0)),"(sin catálogo)"))</f>
        <v/>
      </c>
      <c r="W235" s="3">
        <f>IF($F235="","",IF((IFERROR(INDEX('CAT_CENTROS_COSTO'!$E$4:$E$13,MATCH($F235,'CAT_CENTROS_COSTO'!$A$4:$A$13,0)),""))&lt;&gt;"",IFERROR(INDEX('CAT_CENTROS_COSTO'!$E$4:$E$13,MATCH($F235,'CAT_CENTROS_COSTO'!$A$4:$A$13,0)),""),$V235))</f>
        <v/>
      </c>
      <c r="X235" s="3">
        <f>IF($F235="","",IFERROR(INDEX('CAT_CENTROS_COSTO'!$G$4:$G$13,MATCH($F235,'CAT_CENTROS_COSTO'!$A$4:$A$13,0)),"(sin catálogo)"))</f>
        <v/>
      </c>
      <c r="Y235" s="3">
        <f>IF($G235="","",IFERROR(INDEX('CAT_PUESTOS'!$B$4:$B$8,MATCH($G235,'CAT_PUESTOS'!$A$4:$A$8,0)),"(sin catálogo)"))</f>
        <v/>
      </c>
      <c r="Z235" s="3">
        <f>IF($H235="","",IFERROR(INDEX('CAT_ACTIVIDADES'!$B$4:$B$8,MATCH($H235,'CAT_ACTIVIDADES'!$A$4:$A$8,0)),"(sin catálogo)"))</f>
        <v/>
      </c>
      <c r="AA235" s="12">
        <f>IF($J235="","",TODAY()-$J235)</f>
        <v/>
      </c>
      <c r="AB235" s="12">
        <f>IF($J235="","",IF($J235&lt;=TODAY(),COUNTIFS(cal_fechas,"&gt;="&amp;$J235,cal_fechas,"&lt;"&amp;TODAY(),cal_habil,"sí"),-COUNTIFS(cal_fechas,"&gt;="&amp;TODAY(),cal_fechas,"&lt;"&amp;$J235,cal_habil,"sí")))</f>
        <v/>
      </c>
      <c r="AC235" s="3">
        <f>IF($AB235="","",IF($AB235&lt;0,"FUTURO",IF($AB235&gt;p_dias_backlog_max,"BACKLOG","MES CORRIENTE")))</f>
        <v/>
      </c>
      <c r="AD235" s="3">
        <f>IF($AB235="",FALSE,AND($AB235&gt;p_dias_backlog_min,$AB235&lt;=p_dias_backlog_max))</f>
        <v/>
      </c>
      <c r="AE235" s="6" t="n"/>
      <c r="AF235" s="3">
        <f>IF($AE235="","",IF((IFERROR(INDEX('ASIGNACIONES'!$F$4:$F$339,MATCH($O235&amp;"|"&amp;$R235&amp;"|"&amp;$AE235,'ASIGNACIONES'!$J$4:$J$339,0)),""))=0,"",IFERROR(INDEX('ASIGNACIONES'!$F$4:$F$339,MATCH($O235&amp;"|"&amp;$R235&amp;"|"&amp;$AE235,'ASIGNACIONES'!$J$4:$J$339,0)),"")))</f>
        <v/>
      </c>
      <c r="AG235" s="13">
        <f>IF($AE235="","",SUMIFS('ORDENES'!$M$4:$M$1203,'ORDENES'!$AE$4:$AE$1203,$AE235,'ORDENES'!$O$4:$O$1203,$O235,'ORDENES'!$R$4:$R$1203,$R235))</f>
        <v/>
      </c>
      <c r="AH235" s="13">
        <f>IF($AG235="","",p_factor_productividad*IFERROR(INDEX('ASIGNACIONES'!$I$4:$I$339,MATCH($O235&amp;"|"&amp;$R235&amp;"|"&amp;$AE235,'ASIGNACIONES'!$J$4:$J$339,0)),0)-$AG235)</f>
        <v/>
      </c>
      <c r="AI235" s="10">
        <f>IF($A235="","",IFERROR(INDEX('2_IMPORTAR_EJECUCION'!$F$9:$F$1208,MATCH($AQ235,'2_IMPORTAR_EJECUCION'!$J$9:$J$1208,0)),0))</f>
        <v/>
      </c>
      <c r="AJ235" s="10">
        <f>IF($A235="","",MAX(0,IFERROR(INDEX('2_IMPORTAR_EJECUCION'!$H$9:$H$1208,MATCH($AQ235,'2_IMPORTAR_EJECUCION'!$J$9:$J$1208,0)),0)-$AI235))</f>
        <v/>
      </c>
      <c r="AK235" s="10">
        <f>IF($A235="","",$AI235+$AJ235)</f>
        <v/>
      </c>
      <c r="AL235" s="6" t="n"/>
      <c r="AM235" s="6" t="n"/>
      <c r="AN235" s="6" t="n"/>
      <c r="AO235" s="3">
        <f>IF($AN235="","",HYPERLINK(p_ruta_base_checklists&amp;$AN235,"abrir"))</f>
        <v/>
      </c>
      <c r="AP235" s="6" t="n"/>
      <c r="AQ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IF($A236="","",IFERROR(INDEX('AJUSTES'!$B$4:$B$303,MATCH($AQ236,'AJUSTES'!$A$4:$A$303,0)),IF($K236="","",$K236)))</f>
        <v/>
      </c>
      <c r="N236" s="3">
        <f>IF($A236="","",IFERROR(INDEX('CAT_ESTADOS_ERP'!$B$4:$B$7,MATCH(IFERROR(INDEX('2_IMPORTAR_EJECUCION'!$C$9:$C$1208,MATCH($AQ236,'2_IMPORTAR_EJECUCION'!$J$9:$J$1208,0)),""),'CAT_ESTADOS_ERP'!$A$4:$A$7,0)),"Pendiente"))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J236="","",IFERROR(INDEX('CALENDARIO'!$C$15:$C$214,MATCH(TEXT($J236,"yyyy-mm-dd")&amp;"|"&amp;$V236&amp;"|"&amp;$W236,'CALENDARIO'!$G$15:$G$214,0)),IFERROR(INDEX('CALENDARIO'!$C$15:$C$214,MATCH(TEXT($J236,"yyyy-mm-dd")&amp;"|"&amp;$V236&amp;"|",'CALENDARIO'!$G$15:$G$214,0)),IFERROR(INDEX('CALENDARIO'!$C$15:$C$214,MATCH(TEXT($J236,"yyyy-mm-dd")&amp;"||",'CALENDARIO'!$G$15:$G$214,0)),INDEX(patronHabil,WEEKDAY($J236,2))))))</f>
        <v/>
      </c>
      <c r="T236" s="3">
        <f>IF($I236="","",IFERROR(INDEX('CAT_TIPOS_OT'!$C$4:$C$7,MATCH($I236,'CAT_TIPOS_OT'!$A$4:$A$7,0)),"sin_clasificar"))</f>
        <v/>
      </c>
      <c r="U236" s="3">
        <f>IF($F236="","",IFERROR(INDEX('CAT_CENTROS_COSTO'!$F$4:$F$13,MATCH($F236,'CAT_CENTROS_COSTO'!$A$4:$A$13,0)),"(sin catálogo)"))</f>
        <v/>
      </c>
      <c r="V236" s="3">
        <f>IF($F236="","",IFERROR(INDEX('CAT_CENTROS_COSTO'!$D$4:$D$13,MATCH($F236,'CAT_CENTROS_COSTO'!$A$4:$A$13,0)),"(sin catálogo)"))</f>
        <v/>
      </c>
      <c r="W236" s="3">
        <f>IF($F236="","",IF((IFERROR(INDEX('CAT_CENTROS_COSTO'!$E$4:$E$13,MATCH($F236,'CAT_CENTROS_COSTO'!$A$4:$A$13,0)),""))&lt;&gt;"",IFERROR(INDEX('CAT_CENTROS_COSTO'!$E$4:$E$13,MATCH($F236,'CAT_CENTROS_COSTO'!$A$4:$A$13,0)),""),$V236))</f>
        <v/>
      </c>
      <c r="X236" s="3">
        <f>IF($F236="","",IFERROR(INDEX('CAT_CENTROS_COSTO'!$G$4:$G$13,MATCH($F236,'CAT_CENTROS_COSTO'!$A$4:$A$13,0)),"(sin catálogo)"))</f>
        <v/>
      </c>
      <c r="Y236" s="3">
        <f>IF($G236="","",IFERROR(INDEX('CAT_PUESTOS'!$B$4:$B$8,MATCH($G236,'CAT_PUESTOS'!$A$4:$A$8,0)),"(sin catálogo)"))</f>
        <v/>
      </c>
      <c r="Z236" s="3">
        <f>IF($H236="","",IFERROR(INDEX('CAT_ACTIVIDADES'!$B$4:$B$8,MATCH($H236,'CAT_ACTIVIDADES'!$A$4:$A$8,0)),"(sin catálogo)"))</f>
        <v/>
      </c>
      <c r="AA236" s="12">
        <f>IF($J236="","",TODAY()-$J236)</f>
        <v/>
      </c>
      <c r="AB236" s="12">
        <f>IF($J236="","",IF($J236&lt;=TODAY(),COUNTIFS(cal_fechas,"&gt;="&amp;$J236,cal_fechas,"&lt;"&amp;TODAY(),cal_habil,"sí"),-COUNTIFS(cal_fechas,"&gt;="&amp;TODAY(),cal_fechas,"&lt;"&amp;$J236,cal_habil,"sí")))</f>
        <v/>
      </c>
      <c r="AC236" s="3">
        <f>IF($AB236="","",IF($AB236&lt;0,"FUTURO",IF($AB236&gt;p_dias_backlog_max,"BACKLOG","MES CORRIENTE")))</f>
        <v/>
      </c>
      <c r="AD236" s="3">
        <f>IF($AB236="",FALSE,AND($AB236&gt;p_dias_backlog_min,$AB236&lt;=p_dias_backlog_max))</f>
        <v/>
      </c>
      <c r="AE236" s="6" t="n"/>
      <c r="AF236" s="3">
        <f>IF($AE236="","",IF((IFERROR(INDEX('ASIGNACIONES'!$F$4:$F$339,MATCH($O236&amp;"|"&amp;$R236&amp;"|"&amp;$AE236,'ASIGNACIONES'!$J$4:$J$339,0)),""))=0,"",IFERROR(INDEX('ASIGNACIONES'!$F$4:$F$339,MATCH($O236&amp;"|"&amp;$R236&amp;"|"&amp;$AE236,'ASIGNACIONES'!$J$4:$J$339,0)),"")))</f>
        <v/>
      </c>
      <c r="AG236" s="13">
        <f>IF($AE236="","",SUMIFS('ORDENES'!$M$4:$M$1203,'ORDENES'!$AE$4:$AE$1203,$AE236,'ORDENES'!$O$4:$O$1203,$O236,'ORDENES'!$R$4:$R$1203,$R236))</f>
        <v/>
      </c>
      <c r="AH236" s="13">
        <f>IF($AG236="","",p_factor_productividad*IFERROR(INDEX('ASIGNACIONES'!$I$4:$I$339,MATCH($O236&amp;"|"&amp;$R236&amp;"|"&amp;$AE236,'ASIGNACIONES'!$J$4:$J$339,0)),0)-$AG236)</f>
        <v/>
      </c>
      <c r="AI236" s="10">
        <f>IF($A236="","",IFERROR(INDEX('2_IMPORTAR_EJECUCION'!$F$9:$F$1208,MATCH($AQ236,'2_IMPORTAR_EJECUCION'!$J$9:$J$1208,0)),0))</f>
        <v/>
      </c>
      <c r="AJ236" s="10">
        <f>IF($A236="","",MAX(0,IFERROR(INDEX('2_IMPORTAR_EJECUCION'!$H$9:$H$1208,MATCH($AQ236,'2_IMPORTAR_EJECUCION'!$J$9:$J$1208,0)),0)-$AI236))</f>
        <v/>
      </c>
      <c r="AK236" s="10">
        <f>IF($A236="","",$AI236+$AJ236)</f>
        <v/>
      </c>
      <c r="AL236" s="6" t="n"/>
      <c r="AM236" s="6" t="n"/>
      <c r="AN236" s="6" t="n"/>
      <c r="AO236" s="3">
        <f>IF($AN236="","",HYPERLINK(p_ruta_base_checklists&amp;$AN236,"abrir"))</f>
        <v/>
      </c>
      <c r="AP236" s="6" t="n"/>
      <c r="AQ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IF($A237="","",IFERROR(INDEX('AJUSTES'!$B$4:$B$303,MATCH($AQ237,'AJUSTES'!$A$4:$A$303,0)),IF($K237="","",$K237)))</f>
        <v/>
      </c>
      <c r="N237" s="3">
        <f>IF($A237="","",IFERROR(INDEX('CAT_ESTADOS_ERP'!$B$4:$B$7,MATCH(IFERROR(INDEX('2_IMPORTAR_EJECUCION'!$C$9:$C$1208,MATCH($AQ237,'2_IMPORTAR_EJECUCION'!$J$9:$J$1208,0)),""),'CAT_ESTADOS_ERP'!$A$4:$A$7,0)),"Pendiente"))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J237="","",IFERROR(INDEX('CALENDARIO'!$C$15:$C$214,MATCH(TEXT($J237,"yyyy-mm-dd")&amp;"|"&amp;$V237&amp;"|"&amp;$W237,'CALENDARIO'!$G$15:$G$214,0)),IFERROR(INDEX('CALENDARIO'!$C$15:$C$214,MATCH(TEXT($J237,"yyyy-mm-dd")&amp;"|"&amp;$V237&amp;"|",'CALENDARIO'!$G$15:$G$214,0)),IFERROR(INDEX('CALENDARIO'!$C$15:$C$214,MATCH(TEXT($J237,"yyyy-mm-dd")&amp;"||",'CALENDARIO'!$G$15:$G$214,0)),INDEX(patronHabil,WEEKDAY($J237,2))))))</f>
        <v/>
      </c>
      <c r="T237" s="3">
        <f>IF($I237="","",IFERROR(INDEX('CAT_TIPOS_OT'!$C$4:$C$7,MATCH($I237,'CAT_TIPOS_OT'!$A$4:$A$7,0)),"sin_clasificar"))</f>
        <v/>
      </c>
      <c r="U237" s="3">
        <f>IF($F237="","",IFERROR(INDEX('CAT_CENTROS_COSTO'!$F$4:$F$13,MATCH($F237,'CAT_CENTROS_COSTO'!$A$4:$A$13,0)),"(sin catálogo)"))</f>
        <v/>
      </c>
      <c r="V237" s="3">
        <f>IF($F237="","",IFERROR(INDEX('CAT_CENTROS_COSTO'!$D$4:$D$13,MATCH($F237,'CAT_CENTROS_COSTO'!$A$4:$A$13,0)),"(sin catálogo)"))</f>
        <v/>
      </c>
      <c r="W237" s="3">
        <f>IF($F237="","",IF((IFERROR(INDEX('CAT_CENTROS_COSTO'!$E$4:$E$13,MATCH($F237,'CAT_CENTROS_COSTO'!$A$4:$A$13,0)),""))&lt;&gt;"",IFERROR(INDEX('CAT_CENTROS_COSTO'!$E$4:$E$13,MATCH($F237,'CAT_CENTROS_COSTO'!$A$4:$A$13,0)),""),$V237))</f>
        <v/>
      </c>
      <c r="X237" s="3">
        <f>IF($F237="","",IFERROR(INDEX('CAT_CENTROS_COSTO'!$G$4:$G$13,MATCH($F237,'CAT_CENTROS_COSTO'!$A$4:$A$13,0)),"(sin catálogo)"))</f>
        <v/>
      </c>
      <c r="Y237" s="3">
        <f>IF($G237="","",IFERROR(INDEX('CAT_PUESTOS'!$B$4:$B$8,MATCH($G237,'CAT_PUESTOS'!$A$4:$A$8,0)),"(sin catálogo)"))</f>
        <v/>
      </c>
      <c r="Z237" s="3">
        <f>IF($H237="","",IFERROR(INDEX('CAT_ACTIVIDADES'!$B$4:$B$8,MATCH($H237,'CAT_ACTIVIDADES'!$A$4:$A$8,0)),"(sin catálogo)"))</f>
        <v/>
      </c>
      <c r="AA237" s="12">
        <f>IF($J237="","",TODAY()-$J237)</f>
        <v/>
      </c>
      <c r="AB237" s="12">
        <f>IF($J237="","",IF($J237&lt;=TODAY(),COUNTIFS(cal_fechas,"&gt;="&amp;$J237,cal_fechas,"&lt;"&amp;TODAY(),cal_habil,"sí"),-COUNTIFS(cal_fechas,"&gt;="&amp;TODAY(),cal_fechas,"&lt;"&amp;$J237,cal_habil,"sí")))</f>
        <v/>
      </c>
      <c r="AC237" s="3">
        <f>IF($AB237="","",IF($AB237&lt;0,"FUTURO",IF($AB237&gt;p_dias_backlog_max,"BACKLOG","MES CORRIENTE")))</f>
        <v/>
      </c>
      <c r="AD237" s="3">
        <f>IF($AB237="",FALSE,AND($AB237&gt;p_dias_backlog_min,$AB237&lt;=p_dias_backlog_max))</f>
        <v/>
      </c>
      <c r="AE237" s="6" t="n"/>
      <c r="AF237" s="3">
        <f>IF($AE237="","",IF((IFERROR(INDEX('ASIGNACIONES'!$F$4:$F$339,MATCH($O237&amp;"|"&amp;$R237&amp;"|"&amp;$AE237,'ASIGNACIONES'!$J$4:$J$339,0)),""))=0,"",IFERROR(INDEX('ASIGNACIONES'!$F$4:$F$339,MATCH($O237&amp;"|"&amp;$R237&amp;"|"&amp;$AE237,'ASIGNACIONES'!$J$4:$J$339,0)),"")))</f>
        <v/>
      </c>
      <c r="AG237" s="13">
        <f>IF($AE237="","",SUMIFS('ORDENES'!$M$4:$M$1203,'ORDENES'!$AE$4:$AE$1203,$AE237,'ORDENES'!$O$4:$O$1203,$O237,'ORDENES'!$R$4:$R$1203,$R237))</f>
        <v/>
      </c>
      <c r="AH237" s="13">
        <f>IF($AG237="","",p_factor_productividad*IFERROR(INDEX('ASIGNACIONES'!$I$4:$I$339,MATCH($O237&amp;"|"&amp;$R237&amp;"|"&amp;$AE237,'ASIGNACIONES'!$J$4:$J$339,0)),0)-$AG237)</f>
        <v/>
      </c>
      <c r="AI237" s="10">
        <f>IF($A237="","",IFERROR(INDEX('2_IMPORTAR_EJECUCION'!$F$9:$F$1208,MATCH($AQ237,'2_IMPORTAR_EJECUCION'!$J$9:$J$1208,0)),0))</f>
        <v/>
      </c>
      <c r="AJ237" s="10">
        <f>IF($A237="","",MAX(0,IFERROR(INDEX('2_IMPORTAR_EJECUCION'!$H$9:$H$1208,MATCH($AQ237,'2_IMPORTAR_EJECUCION'!$J$9:$J$1208,0)),0)-$AI237))</f>
        <v/>
      </c>
      <c r="AK237" s="10">
        <f>IF($A237="","",$AI237+$AJ237)</f>
        <v/>
      </c>
      <c r="AL237" s="6" t="n"/>
      <c r="AM237" s="6" t="n"/>
      <c r="AN237" s="6" t="n"/>
      <c r="AO237" s="3">
        <f>IF($AN237="","",HYPERLINK(p_ruta_base_checklists&amp;$AN237,"abrir"))</f>
        <v/>
      </c>
      <c r="AP237" s="6" t="n"/>
      <c r="AQ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IF($A238="","",IFERROR(INDEX('AJUSTES'!$B$4:$B$303,MATCH($AQ238,'AJUSTES'!$A$4:$A$303,0)),IF($K238="","",$K238)))</f>
        <v/>
      </c>
      <c r="N238" s="3">
        <f>IF($A238="","",IFERROR(INDEX('CAT_ESTADOS_ERP'!$B$4:$B$7,MATCH(IFERROR(INDEX('2_IMPORTAR_EJECUCION'!$C$9:$C$1208,MATCH($AQ238,'2_IMPORTAR_EJECUCION'!$J$9:$J$1208,0)),""),'CAT_ESTADOS_ERP'!$A$4:$A$7,0)),"Pendiente"))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J238="","",IFERROR(INDEX('CALENDARIO'!$C$15:$C$214,MATCH(TEXT($J238,"yyyy-mm-dd")&amp;"|"&amp;$V238&amp;"|"&amp;$W238,'CALENDARIO'!$G$15:$G$214,0)),IFERROR(INDEX('CALENDARIO'!$C$15:$C$214,MATCH(TEXT($J238,"yyyy-mm-dd")&amp;"|"&amp;$V238&amp;"|",'CALENDARIO'!$G$15:$G$214,0)),IFERROR(INDEX('CALENDARIO'!$C$15:$C$214,MATCH(TEXT($J238,"yyyy-mm-dd")&amp;"||",'CALENDARIO'!$G$15:$G$214,0)),INDEX(patronHabil,WEEKDAY($J238,2))))))</f>
        <v/>
      </c>
      <c r="T238" s="3">
        <f>IF($I238="","",IFERROR(INDEX('CAT_TIPOS_OT'!$C$4:$C$7,MATCH($I238,'CAT_TIPOS_OT'!$A$4:$A$7,0)),"sin_clasificar"))</f>
        <v/>
      </c>
      <c r="U238" s="3">
        <f>IF($F238="","",IFERROR(INDEX('CAT_CENTROS_COSTO'!$F$4:$F$13,MATCH($F238,'CAT_CENTROS_COSTO'!$A$4:$A$13,0)),"(sin catálogo)"))</f>
        <v/>
      </c>
      <c r="V238" s="3">
        <f>IF($F238="","",IFERROR(INDEX('CAT_CENTROS_COSTO'!$D$4:$D$13,MATCH($F238,'CAT_CENTROS_COSTO'!$A$4:$A$13,0)),"(sin catálogo)"))</f>
        <v/>
      </c>
      <c r="W238" s="3">
        <f>IF($F238="","",IF((IFERROR(INDEX('CAT_CENTROS_COSTO'!$E$4:$E$13,MATCH($F238,'CAT_CENTROS_COSTO'!$A$4:$A$13,0)),""))&lt;&gt;"",IFERROR(INDEX('CAT_CENTROS_COSTO'!$E$4:$E$13,MATCH($F238,'CAT_CENTROS_COSTO'!$A$4:$A$13,0)),""),$V238))</f>
        <v/>
      </c>
      <c r="X238" s="3">
        <f>IF($F238="","",IFERROR(INDEX('CAT_CENTROS_COSTO'!$G$4:$G$13,MATCH($F238,'CAT_CENTROS_COSTO'!$A$4:$A$13,0)),"(sin catálogo)"))</f>
        <v/>
      </c>
      <c r="Y238" s="3">
        <f>IF($G238="","",IFERROR(INDEX('CAT_PUESTOS'!$B$4:$B$8,MATCH($G238,'CAT_PUESTOS'!$A$4:$A$8,0)),"(sin catálogo)"))</f>
        <v/>
      </c>
      <c r="Z238" s="3">
        <f>IF($H238="","",IFERROR(INDEX('CAT_ACTIVIDADES'!$B$4:$B$8,MATCH($H238,'CAT_ACTIVIDADES'!$A$4:$A$8,0)),"(sin catálogo)"))</f>
        <v/>
      </c>
      <c r="AA238" s="12">
        <f>IF($J238="","",TODAY()-$J238)</f>
        <v/>
      </c>
      <c r="AB238" s="12">
        <f>IF($J238="","",IF($J238&lt;=TODAY(),COUNTIFS(cal_fechas,"&gt;="&amp;$J238,cal_fechas,"&lt;"&amp;TODAY(),cal_habil,"sí"),-COUNTIFS(cal_fechas,"&gt;="&amp;TODAY(),cal_fechas,"&lt;"&amp;$J238,cal_habil,"sí")))</f>
        <v/>
      </c>
      <c r="AC238" s="3">
        <f>IF($AB238="","",IF($AB238&lt;0,"FUTURO",IF($AB238&gt;p_dias_backlog_max,"BACKLOG","MES CORRIENTE")))</f>
        <v/>
      </c>
      <c r="AD238" s="3">
        <f>IF($AB238="",FALSE,AND($AB238&gt;p_dias_backlog_min,$AB238&lt;=p_dias_backlog_max))</f>
        <v/>
      </c>
      <c r="AE238" s="6" t="n"/>
      <c r="AF238" s="3">
        <f>IF($AE238="","",IF((IFERROR(INDEX('ASIGNACIONES'!$F$4:$F$339,MATCH($O238&amp;"|"&amp;$R238&amp;"|"&amp;$AE238,'ASIGNACIONES'!$J$4:$J$339,0)),""))=0,"",IFERROR(INDEX('ASIGNACIONES'!$F$4:$F$339,MATCH($O238&amp;"|"&amp;$R238&amp;"|"&amp;$AE238,'ASIGNACIONES'!$J$4:$J$339,0)),"")))</f>
        <v/>
      </c>
      <c r="AG238" s="13">
        <f>IF($AE238="","",SUMIFS('ORDENES'!$M$4:$M$1203,'ORDENES'!$AE$4:$AE$1203,$AE238,'ORDENES'!$O$4:$O$1203,$O238,'ORDENES'!$R$4:$R$1203,$R238))</f>
        <v/>
      </c>
      <c r="AH238" s="13">
        <f>IF($AG238="","",p_factor_productividad*IFERROR(INDEX('ASIGNACIONES'!$I$4:$I$339,MATCH($O238&amp;"|"&amp;$R238&amp;"|"&amp;$AE238,'ASIGNACIONES'!$J$4:$J$339,0)),0)-$AG238)</f>
        <v/>
      </c>
      <c r="AI238" s="10">
        <f>IF($A238="","",IFERROR(INDEX('2_IMPORTAR_EJECUCION'!$F$9:$F$1208,MATCH($AQ238,'2_IMPORTAR_EJECUCION'!$J$9:$J$1208,0)),0))</f>
        <v/>
      </c>
      <c r="AJ238" s="10">
        <f>IF($A238="","",MAX(0,IFERROR(INDEX('2_IMPORTAR_EJECUCION'!$H$9:$H$1208,MATCH($AQ238,'2_IMPORTAR_EJECUCION'!$J$9:$J$1208,0)),0)-$AI238))</f>
        <v/>
      </c>
      <c r="AK238" s="10">
        <f>IF($A238="","",$AI238+$AJ238)</f>
        <v/>
      </c>
      <c r="AL238" s="6" t="n"/>
      <c r="AM238" s="6" t="n"/>
      <c r="AN238" s="6" t="n"/>
      <c r="AO238" s="3">
        <f>IF($AN238="","",HYPERLINK(p_ruta_base_checklists&amp;$AN238,"abrir"))</f>
        <v/>
      </c>
      <c r="AP238" s="6" t="n"/>
      <c r="AQ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IF($A239="","",IFERROR(INDEX('AJUSTES'!$B$4:$B$303,MATCH($AQ239,'AJUSTES'!$A$4:$A$303,0)),IF($K239="","",$K239)))</f>
        <v/>
      </c>
      <c r="N239" s="3">
        <f>IF($A239="","",IFERROR(INDEX('CAT_ESTADOS_ERP'!$B$4:$B$7,MATCH(IFERROR(INDEX('2_IMPORTAR_EJECUCION'!$C$9:$C$1208,MATCH($AQ239,'2_IMPORTAR_EJECUCION'!$J$9:$J$1208,0)),""),'CAT_ESTADOS_ERP'!$A$4:$A$7,0)),"Pendiente"))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J239="","",IFERROR(INDEX('CALENDARIO'!$C$15:$C$214,MATCH(TEXT($J239,"yyyy-mm-dd")&amp;"|"&amp;$V239&amp;"|"&amp;$W239,'CALENDARIO'!$G$15:$G$214,0)),IFERROR(INDEX('CALENDARIO'!$C$15:$C$214,MATCH(TEXT($J239,"yyyy-mm-dd")&amp;"|"&amp;$V239&amp;"|",'CALENDARIO'!$G$15:$G$214,0)),IFERROR(INDEX('CALENDARIO'!$C$15:$C$214,MATCH(TEXT($J239,"yyyy-mm-dd")&amp;"||",'CALENDARIO'!$G$15:$G$214,0)),INDEX(patronHabil,WEEKDAY($J239,2))))))</f>
        <v/>
      </c>
      <c r="T239" s="3">
        <f>IF($I239="","",IFERROR(INDEX('CAT_TIPOS_OT'!$C$4:$C$7,MATCH($I239,'CAT_TIPOS_OT'!$A$4:$A$7,0)),"sin_clasificar"))</f>
        <v/>
      </c>
      <c r="U239" s="3">
        <f>IF($F239="","",IFERROR(INDEX('CAT_CENTROS_COSTO'!$F$4:$F$13,MATCH($F239,'CAT_CENTROS_COSTO'!$A$4:$A$13,0)),"(sin catálogo)"))</f>
        <v/>
      </c>
      <c r="V239" s="3">
        <f>IF($F239="","",IFERROR(INDEX('CAT_CENTROS_COSTO'!$D$4:$D$13,MATCH($F239,'CAT_CENTROS_COSTO'!$A$4:$A$13,0)),"(sin catálogo)"))</f>
        <v/>
      </c>
      <c r="W239" s="3">
        <f>IF($F239="","",IF((IFERROR(INDEX('CAT_CENTROS_COSTO'!$E$4:$E$13,MATCH($F239,'CAT_CENTROS_COSTO'!$A$4:$A$13,0)),""))&lt;&gt;"",IFERROR(INDEX('CAT_CENTROS_COSTO'!$E$4:$E$13,MATCH($F239,'CAT_CENTROS_COSTO'!$A$4:$A$13,0)),""),$V239))</f>
        <v/>
      </c>
      <c r="X239" s="3">
        <f>IF($F239="","",IFERROR(INDEX('CAT_CENTROS_COSTO'!$G$4:$G$13,MATCH($F239,'CAT_CENTROS_COSTO'!$A$4:$A$13,0)),"(sin catálogo)"))</f>
        <v/>
      </c>
      <c r="Y239" s="3">
        <f>IF($G239="","",IFERROR(INDEX('CAT_PUESTOS'!$B$4:$B$8,MATCH($G239,'CAT_PUESTOS'!$A$4:$A$8,0)),"(sin catálogo)"))</f>
        <v/>
      </c>
      <c r="Z239" s="3">
        <f>IF($H239="","",IFERROR(INDEX('CAT_ACTIVIDADES'!$B$4:$B$8,MATCH($H239,'CAT_ACTIVIDADES'!$A$4:$A$8,0)),"(sin catálogo)"))</f>
        <v/>
      </c>
      <c r="AA239" s="12">
        <f>IF($J239="","",TODAY()-$J239)</f>
        <v/>
      </c>
      <c r="AB239" s="12">
        <f>IF($J239="","",IF($J239&lt;=TODAY(),COUNTIFS(cal_fechas,"&gt;="&amp;$J239,cal_fechas,"&lt;"&amp;TODAY(),cal_habil,"sí"),-COUNTIFS(cal_fechas,"&gt;="&amp;TODAY(),cal_fechas,"&lt;"&amp;$J239,cal_habil,"sí")))</f>
        <v/>
      </c>
      <c r="AC239" s="3">
        <f>IF($AB239="","",IF($AB239&lt;0,"FUTURO",IF($AB239&gt;p_dias_backlog_max,"BACKLOG","MES CORRIENTE")))</f>
        <v/>
      </c>
      <c r="AD239" s="3">
        <f>IF($AB239="",FALSE,AND($AB239&gt;p_dias_backlog_min,$AB239&lt;=p_dias_backlog_max))</f>
        <v/>
      </c>
      <c r="AE239" s="6" t="n"/>
      <c r="AF239" s="3">
        <f>IF($AE239="","",IF((IFERROR(INDEX('ASIGNACIONES'!$F$4:$F$339,MATCH($O239&amp;"|"&amp;$R239&amp;"|"&amp;$AE239,'ASIGNACIONES'!$J$4:$J$339,0)),""))=0,"",IFERROR(INDEX('ASIGNACIONES'!$F$4:$F$339,MATCH($O239&amp;"|"&amp;$R239&amp;"|"&amp;$AE239,'ASIGNACIONES'!$J$4:$J$339,0)),"")))</f>
        <v/>
      </c>
      <c r="AG239" s="13">
        <f>IF($AE239="","",SUMIFS('ORDENES'!$M$4:$M$1203,'ORDENES'!$AE$4:$AE$1203,$AE239,'ORDENES'!$O$4:$O$1203,$O239,'ORDENES'!$R$4:$R$1203,$R239))</f>
        <v/>
      </c>
      <c r="AH239" s="13">
        <f>IF($AG239="","",p_factor_productividad*IFERROR(INDEX('ASIGNACIONES'!$I$4:$I$339,MATCH($O239&amp;"|"&amp;$R239&amp;"|"&amp;$AE239,'ASIGNACIONES'!$J$4:$J$339,0)),0)-$AG239)</f>
        <v/>
      </c>
      <c r="AI239" s="10">
        <f>IF($A239="","",IFERROR(INDEX('2_IMPORTAR_EJECUCION'!$F$9:$F$1208,MATCH($AQ239,'2_IMPORTAR_EJECUCION'!$J$9:$J$1208,0)),0))</f>
        <v/>
      </c>
      <c r="AJ239" s="10">
        <f>IF($A239="","",MAX(0,IFERROR(INDEX('2_IMPORTAR_EJECUCION'!$H$9:$H$1208,MATCH($AQ239,'2_IMPORTAR_EJECUCION'!$J$9:$J$1208,0)),0)-$AI239))</f>
        <v/>
      </c>
      <c r="AK239" s="10">
        <f>IF($A239="","",$AI239+$AJ239)</f>
        <v/>
      </c>
      <c r="AL239" s="6" t="n"/>
      <c r="AM239" s="6" t="n"/>
      <c r="AN239" s="6" t="n"/>
      <c r="AO239" s="3">
        <f>IF($AN239="","",HYPERLINK(p_ruta_base_checklists&amp;$AN239,"abrir"))</f>
        <v/>
      </c>
      <c r="AP239" s="6" t="n"/>
      <c r="AQ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IF($A240="","",IFERROR(INDEX('AJUSTES'!$B$4:$B$303,MATCH($AQ240,'AJUSTES'!$A$4:$A$303,0)),IF($K240="","",$K240)))</f>
        <v/>
      </c>
      <c r="N240" s="3">
        <f>IF($A240="","",IFERROR(INDEX('CAT_ESTADOS_ERP'!$B$4:$B$7,MATCH(IFERROR(INDEX('2_IMPORTAR_EJECUCION'!$C$9:$C$1208,MATCH($AQ240,'2_IMPORTAR_EJECUCION'!$J$9:$J$1208,0)),""),'CAT_ESTADOS_ERP'!$A$4:$A$7,0)),"Pendiente"))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J240="","",IFERROR(INDEX('CALENDARIO'!$C$15:$C$214,MATCH(TEXT($J240,"yyyy-mm-dd")&amp;"|"&amp;$V240&amp;"|"&amp;$W240,'CALENDARIO'!$G$15:$G$214,0)),IFERROR(INDEX('CALENDARIO'!$C$15:$C$214,MATCH(TEXT($J240,"yyyy-mm-dd")&amp;"|"&amp;$V240&amp;"|",'CALENDARIO'!$G$15:$G$214,0)),IFERROR(INDEX('CALENDARIO'!$C$15:$C$214,MATCH(TEXT($J240,"yyyy-mm-dd")&amp;"||",'CALENDARIO'!$G$15:$G$214,0)),INDEX(patronHabil,WEEKDAY($J240,2))))))</f>
        <v/>
      </c>
      <c r="T240" s="3">
        <f>IF($I240="","",IFERROR(INDEX('CAT_TIPOS_OT'!$C$4:$C$7,MATCH($I240,'CAT_TIPOS_OT'!$A$4:$A$7,0)),"sin_clasificar"))</f>
        <v/>
      </c>
      <c r="U240" s="3">
        <f>IF($F240="","",IFERROR(INDEX('CAT_CENTROS_COSTO'!$F$4:$F$13,MATCH($F240,'CAT_CENTROS_COSTO'!$A$4:$A$13,0)),"(sin catálogo)"))</f>
        <v/>
      </c>
      <c r="V240" s="3">
        <f>IF($F240="","",IFERROR(INDEX('CAT_CENTROS_COSTO'!$D$4:$D$13,MATCH($F240,'CAT_CENTROS_COSTO'!$A$4:$A$13,0)),"(sin catálogo)"))</f>
        <v/>
      </c>
      <c r="W240" s="3">
        <f>IF($F240="","",IF((IFERROR(INDEX('CAT_CENTROS_COSTO'!$E$4:$E$13,MATCH($F240,'CAT_CENTROS_COSTO'!$A$4:$A$13,0)),""))&lt;&gt;"",IFERROR(INDEX('CAT_CENTROS_COSTO'!$E$4:$E$13,MATCH($F240,'CAT_CENTROS_COSTO'!$A$4:$A$13,0)),""),$V240))</f>
        <v/>
      </c>
      <c r="X240" s="3">
        <f>IF($F240="","",IFERROR(INDEX('CAT_CENTROS_COSTO'!$G$4:$G$13,MATCH($F240,'CAT_CENTROS_COSTO'!$A$4:$A$13,0)),"(sin catálogo)"))</f>
        <v/>
      </c>
      <c r="Y240" s="3">
        <f>IF($G240="","",IFERROR(INDEX('CAT_PUESTOS'!$B$4:$B$8,MATCH($G240,'CAT_PUESTOS'!$A$4:$A$8,0)),"(sin catálogo)"))</f>
        <v/>
      </c>
      <c r="Z240" s="3">
        <f>IF($H240="","",IFERROR(INDEX('CAT_ACTIVIDADES'!$B$4:$B$8,MATCH($H240,'CAT_ACTIVIDADES'!$A$4:$A$8,0)),"(sin catálogo)"))</f>
        <v/>
      </c>
      <c r="AA240" s="12">
        <f>IF($J240="","",TODAY()-$J240)</f>
        <v/>
      </c>
      <c r="AB240" s="12">
        <f>IF($J240="","",IF($J240&lt;=TODAY(),COUNTIFS(cal_fechas,"&gt;="&amp;$J240,cal_fechas,"&lt;"&amp;TODAY(),cal_habil,"sí"),-COUNTIFS(cal_fechas,"&gt;="&amp;TODAY(),cal_fechas,"&lt;"&amp;$J240,cal_habil,"sí")))</f>
        <v/>
      </c>
      <c r="AC240" s="3">
        <f>IF($AB240="","",IF($AB240&lt;0,"FUTURO",IF($AB240&gt;p_dias_backlog_max,"BACKLOG","MES CORRIENTE")))</f>
        <v/>
      </c>
      <c r="AD240" s="3">
        <f>IF($AB240="",FALSE,AND($AB240&gt;p_dias_backlog_min,$AB240&lt;=p_dias_backlog_max))</f>
        <v/>
      </c>
      <c r="AE240" s="6" t="n"/>
      <c r="AF240" s="3">
        <f>IF($AE240="","",IF((IFERROR(INDEX('ASIGNACIONES'!$F$4:$F$339,MATCH($O240&amp;"|"&amp;$R240&amp;"|"&amp;$AE240,'ASIGNACIONES'!$J$4:$J$339,0)),""))=0,"",IFERROR(INDEX('ASIGNACIONES'!$F$4:$F$339,MATCH($O240&amp;"|"&amp;$R240&amp;"|"&amp;$AE240,'ASIGNACIONES'!$J$4:$J$339,0)),"")))</f>
        <v/>
      </c>
      <c r="AG240" s="13">
        <f>IF($AE240="","",SUMIFS('ORDENES'!$M$4:$M$1203,'ORDENES'!$AE$4:$AE$1203,$AE240,'ORDENES'!$O$4:$O$1203,$O240,'ORDENES'!$R$4:$R$1203,$R240))</f>
        <v/>
      </c>
      <c r="AH240" s="13">
        <f>IF($AG240="","",p_factor_productividad*IFERROR(INDEX('ASIGNACIONES'!$I$4:$I$339,MATCH($O240&amp;"|"&amp;$R240&amp;"|"&amp;$AE240,'ASIGNACIONES'!$J$4:$J$339,0)),0)-$AG240)</f>
        <v/>
      </c>
      <c r="AI240" s="10">
        <f>IF($A240="","",IFERROR(INDEX('2_IMPORTAR_EJECUCION'!$F$9:$F$1208,MATCH($AQ240,'2_IMPORTAR_EJECUCION'!$J$9:$J$1208,0)),0))</f>
        <v/>
      </c>
      <c r="AJ240" s="10">
        <f>IF($A240="","",MAX(0,IFERROR(INDEX('2_IMPORTAR_EJECUCION'!$H$9:$H$1208,MATCH($AQ240,'2_IMPORTAR_EJECUCION'!$J$9:$J$1208,0)),0)-$AI240))</f>
        <v/>
      </c>
      <c r="AK240" s="10">
        <f>IF($A240="","",$AI240+$AJ240)</f>
        <v/>
      </c>
      <c r="AL240" s="6" t="n"/>
      <c r="AM240" s="6" t="n"/>
      <c r="AN240" s="6" t="n"/>
      <c r="AO240" s="3">
        <f>IF($AN240="","",HYPERLINK(p_ruta_base_checklists&amp;$AN240,"abrir"))</f>
        <v/>
      </c>
      <c r="AP240" s="6" t="n"/>
      <c r="AQ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IF($A241="","",IFERROR(INDEX('AJUSTES'!$B$4:$B$303,MATCH($AQ241,'AJUSTES'!$A$4:$A$303,0)),IF($K241="","",$K241)))</f>
        <v/>
      </c>
      <c r="N241" s="3">
        <f>IF($A241="","",IFERROR(INDEX('CAT_ESTADOS_ERP'!$B$4:$B$7,MATCH(IFERROR(INDEX('2_IMPORTAR_EJECUCION'!$C$9:$C$1208,MATCH($AQ241,'2_IMPORTAR_EJECUCION'!$J$9:$J$1208,0)),""),'CAT_ESTADOS_ERP'!$A$4:$A$7,0)),"Pendiente"))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J241="","",IFERROR(INDEX('CALENDARIO'!$C$15:$C$214,MATCH(TEXT($J241,"yyyy-mm-dd")&amp;"|"&amp;$V241&amp;"|"&amp;$W241,'CALENDARIO'!$G$15:$G$214,0)),IFERROR(INDEX('CALENDARIO'!$C$15:$C$214,MATCH(TEXT($J241,"yyyy-mm-dd")&amp;"|"&amp;$V241&amp;"|",'CALENDARIO'!$G$15:$G$214,0)),IFERROR(INDEX('CALENDARIO'!$C$15:$C$214,MATCH(TEXT($J241,"yyyy-mm-dd")&amp;"||",'CALENDARIO'!$G$15:$G$214,0)),INDEX(patronHabil,WEEKDAY($J241,2))))))</f>
        <v/>
      </c>
      <c r="T241" s="3">
        <f>IF($I241="","",IFERROR(INDEX('CAT_TIPOS_OT'!$C$4:$C$7,MATCH($I241,'CAT_TIPOS_OT'!$A$4:$A$7,0)),"sin_clasificar"))</f>
        <v/>
      </c>
      <c r="U241" s="3">
        <f>IF($F241="","",IFERROR(INDEX('CAT_CENTROS_COSTO'!$F$4:$F$13,MATCH($F241,'CAT_CENTROS_COSTO'!$A$4:$A$13,0)),"(sin catálogo)"))</f>
        <v/>
      </c>
      <c r="V241" s="3">
        <f>IF($F241="","",IFERROR(INDEX('CAT_CENTROS_COSTO'!$D$4:$D$13,MATCH($F241,'CAT_CENTROS_COSTO'!$A$4:$A$13,0)),"(sin catálogo)"))</f>
        <v/>
      </c>
      <c r="W241" s="3">
        <f>IF($F241="","",IF((IFERROR(INDEX('CAT_CENTROS_COSTO'!$E$4:$E$13,MATCH($F241,'CAT_CENTROS_COSTO'!$A$4:$A$13,0)),""))&lt;&gt;"",IFERROR(INDEX('CAT_CENTROS_COSTO'!$E$4:$E$13,MATCH($F241,'CAT_CENTROS_COSTO'!$A$4:$A$13,0)),""),$V241))</f>
        <v/>
      </c>
      <c r="X241" s="3">
        <f>IF($F241="","",IFERROR(INDEX('CAT_CENTROS_COSTO'!$G$4:$G$13,MATCH($F241,'CAT_CENTROS_COSTO'!$A$4:$A$13,0)),"(sin catálogo)"))</f>
        <v/>
      </c>
      <c r="Y241" s="3">
        <f>IF($G241="","",IFERROR(INDEX('CAT_PUESTOS'!$B$4:$B$8,MATCH($G241,'CAT_PUESTOS'!$A$4:$A$8,0)),"(sin catálogo)"))</f>
        <v/>
      </c>
      <c r="Z241" s="3">
        <f>IF($H241="","",IFERROR(INDEX('CAT_ACTIVIDADES'!$B$4:$B$8,MATCH($H241,'CAT_ACTIVIDADES'!$A$4:$A$8,0)),"(sin catálogo)"))</f>
        <v/>
      </c>
      <c r="AA241" s="12">
        <f>IF($J241="","",TODAY()-$J241)</f>
        <v/>
      </c>
      <c r="AB241" s="12">
        <f>IF($J241="","",IF($J241&lt;=TODAY(),COUNTIFS(cal_fechas,"&gt;="&amp;$J241,cal_fechas,"&lt;"&amp;TODAY(),cal_habil,"sí"),-COUNTIFS(cal_fechas,"&gt;="&amp;TODAY(),cal_fechas,"&lt;"&amp;$J241,cal_habil,"sí")))</f>
        <v/>
      </c>
      <c r="AC241" s="3">
        <f>IF($AB241="","",IF($AB241&lt;0,"FUTURO",IF($AB241&gt;p_dias_backlog_max,"BACKLOG","MES CORRIENTE")))</f>
        <v/>
      </c>
      <c r="AD241" s="3">
        <f>IF($AB241="",FALSE,AND($AB241&gt;p_dias_backlog_min,$AB241&lt;=p_dias_backlog_max))</f>
        <v/>
      </c>
      <c r="AE241" s="6" t="n"/>
      <c r="AF241" s="3">
        <f>IF($AE241="","",IF((IFERROR(INDEX('ASIGNACIONES'!$F$4:$F$339,MATCH($O241&amp;"|"&amp;$R241&amp;"|"&amp;$AE241,'ASIGNACIONES'!$J$4:$J$339,0)),""))=0,"",IFERROR(INDEX('ASIGNACIONES'!$F$4:$F$339,MATCH($O241&amp;"|"&amp;$R241&amp;"|"&amp;$AE241,'ASIGNACIONES'!$J$4:$J$339,0)),"")))</f>
        <v/>
      </c>
      <c r="AG241" s="13">
        <f>IF($AE241="","",SUMIFS('ORDENES'!$M$4:$M$1203,'ORDENES'!$AE$4:$AE$1203,$AE241,'ORDENES'!$O$4:$O$1203,$O241,'ORDENES'!$R$4:$R$1203,$R241))</f>
        <v/>
      </c>
      <c r="AH241" s="13">
        <f>IF($AG241="","",p_factor_productividad*IFERROR(INDEX('ASIGNACIONES'!$I$4:$I$339,MATCH($O241&amp;"|"&amp;$R241&amp;"|"&amp;$AE241,'ASIGNACIONES'!$J$4:$J$339,0)),0)-$AG241)</f>
        <v/>
      </c>
      <c r="AI241" s="10">
        <f>IF($A241="","",IFERROR(INDEX('2_IMPORTAR_EJECUCION'!$F$9:$F$1208,MATCH($AQ241,'2_IMPORTAR_EJECUCION'!$J$9:$J$1208,0)),0))</f>
        <v/>
      </c>
      <c r="AJ241" s="10">
        <f>IF($A241="","",MAX(0,IFERROR(INDEX('2_IMPORTAR_EJECUCION'!$H$9:$H$1208,MATCH($AQ241,'2_IMPORTAR_EJECUCION'!$J$9:$J$1208,0)),0)-$AI241))</f>
        <v/>
      </c>
      <c r="AK241" s="10">
        <f>IF($A241="","",$AI241+$AJ241)</f>
        <v/>
      </c>
      <c r="AL241" s="6" t="n"/>
      <c r="AM241" s="6" t="n"/>
      <c r="AN241" s="6" t="n"/>
      <c r="AO241" s="3">
        <f>IF($AN241="","",HYPERLINK(p_ruta_base_checklists&amp;$AN241,"abrir"))</f>
        <v/>
      </c>
      <c r="AP241" s="6" t="n"/>
      <c r="AQ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IF($A242="","",IFERROR(INDEX('AJUSTES'!$B$4:$B$303,MATCH($AQ242,'AJUSTES'!$A$4:$A$303,0)),IF($K242="","",$K242)))</f>
        <v/>
      </c>
      <c r="N242" s="3">
        <f>IF($A242="","",IFERROR(INDEX('CAT_ESTADOS_ERP'!$B$4:$B$7,MATCH(IFERROR(INDEX('2_IMPORTAR_EJECUCION'!$C$9:$C$1208,MATCH($AQ242,'2_IMPORTAR_EJECUCION'!$J$9:$J$1208,0)),""),'CAT_ESTADOS_ERP'!$A$4:$A$7,0)),"Pendiente"))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J242="","",IFERROR(INDEX('CALENDARIO'!$C$15:$C$214,MATCH(TEXT($J242,"yyyy-mm-dd")&amp;"|"&amp;$V242&amp;"|"&amp;$W242,'CALENDARIO'!$G$15:$G$214,0)),IFERROR(INDEX('CALENDARIO'!$C$15:$C$214,MATCH(TEXT($J242,"yyyy-mm-dd")&amp;"|"&amp;$V242&amp;"|",'CALENDARIO'!$G$15:$G$214,0)),IFERROR(INDEX('CALENDARIO'!$C$15:$C$214,MATCH(TEXT($J242,"yyyy-mm-dd")&amp;"||",'CALENDARIO'!$G$15:$G$214,0)),INDEX(patronHabil,WEEKDAY($J242,2))))))</f>
        <v/>
      </c>
      <c r="T242" s="3">
        <f>IF($I242="","",IFERROR(INDEX('CAT_TIPOS_OT'!$C$4:$C$7,MATCH($I242,'CAT_TIPOS_OT'!$A$4:$A$7,0)),"sin_clasificar"))</f>
        <v/>
      </c>
      <c r="U242" s="3">
        <f>IF($F242="","",IFERROR(INDEX('CAT_CENTROS_COSTO'!$F$4:$F$13,MATCH($F242,'CAT_CENTROS_COSTO'!$A$4:$A$13,0)),"(sin catálogo)"))</f>
        <v/>
      </c>
      <c r="V242" s="3">
        <f>IF($F242="","",IFERROR(INDEX('CAT_CENTROS_COSTO'!$D$4:$D$13,MATCH($F242,'CAT_CENTROS_COSTO'!$A$4:$A$13,0)),"(sin catálogo)"))</f>
        <v/>
      </c>
      <c r="W242" s="3">
        <f>IF($F242="","",IF((IFERROR(INDEX('CAT_CENTROS_COSTO'!$E$4:$E$13,MATCH($F242,'CAT_CENTROS_COSTO'!$A$4:$A$13,0)),""))&lt;&gt;"",IFERROR(INDEX('CAT_CENTROS_COSTO'!$E$4:$E$13,MATCH($F242,'CAT_CENTROS_COSTO'!$A$4:$A$13,0)),""),$V242))</f>
        <v/>
      </c>
      <c r="X242" s="3">
        <f>IF($F242="","",IFERROR(INDEX('CAT_CENTROS_COSTO'!$G$4:$G$13,MATCH($F242,'CAT_CENTROS_COSTO'!$A$4:$A$13,0)),"(sin catálogo)"))</f>
        <v/>
      </c>
      <c r="Y242" s="3">
        <f>IF($G242="","",IFERROR(INDEX('CAT_PUESTOS'!$B$4:$B$8,MATCH($G242,'CAT_PUESTOS'!$A$4:$A$8,0)),"(sin catálogo)"))</f>
        <v/>
      </c>
      <c r="Z242" s="3">
        <f>IF($H242="","",IFERROR(INDEX('CAT_ACTIVIDADES'!$B$4:$B$8,MATCH($H242,'CAT_ACTIVIDADES'!$A$4:$A$8,0)),"(sin catálogo)"))</f>
        <v/>
      </c>
      <c r="AA242" s="12">
        <f>IF($J242="","",TODAY()-$J242)</f>
        <v/>
      </c>
      <c r="AB242" s="12">
        <f>IF($J242="","",IF($J242&lt;=TODAY(),COUNTIFS(cal_fechas,"&gt;="&amp;$J242,cal_fechas,"&lt;"&amp;TODAY(),cal_habil,"sí"),-COUNTIFS(cal_fechas,"&gt;="&amp;TODAY(),cal_fechas,"&lt;"&amp;$J242,cal_habil,"sí")))</f>
        <v/>
      </c>
      <c r="AC242" s="3">
        <f>IF($AB242="","",IF($AB242&lt;0,"FUTURO",IF($AB242&gt;p_dias_backlog_max,"BACKLOG","MES CORRIENTE")))</f>
        <v/>
      </c>
      <c r="AD242" s="3">
        <f>IF($AB242="",FALSE,AND($AB242&gt;p_dias_backlog_min,$AB242&lt;=p_dias_backlog_max))</f>
        <v/>
      </c>
      <c r="AE242" s="6" t="n"/>
      <c r="AF242" s="3">
        <f>IF($AE242="","",IF((IFERROR(INDEX('ASIGNACIONES'!$F$4:$F$339,MATCH($O242&amp;"|"&amp;$R242&amp;"|"&amp;$AE242,'ASIGNACIONES'!$J$4:$J$339,0)),""))=0,"",IFERROR(INDEX('ASIGNACIONES'!$F$4:$F$339,MATCH($O242&amp;"|"&amp;$R242&amp;"|"&amp;$AE242,'ASIGNACIONES'!$J$4:$J$339,0)),"")))</f>
        <v/>
      </c>
      <c r="AG242" s="13">
        <f>IF($AE242="","",SUMIFS('ORDENES'!$M$4:$M$1203,'ORDENES'!$AE$4:$AE$1203,$AE242,'ORDENES'!$O$4:$O$1203,$O242,'ORDENES'!$R$4:$R$1203,$R242))</f>
        <v/>
      </c>
      <c r="AH242" s="13">
        <f>IF($AG242="","",p_factor_productividad*IFERROR(INDEX('ASIGNACIONES'!$I$4:$I$339,MATCH($O242&amp;"|"&amp;$R242&amp;"|"&amp;$AE242,'ASIGNACIONES'!$J$4:$J$339,0)),0)-$AG242)</f>
        <v/>
      </c>
      <c r="AI242" s="10">
        <f>IF($A242="","",IFERROR(INDEX('2_IMPORTAR_EJECUCION'!$F$9:$F$1208,MATCH($AQ242,'2_IMPORTAR_EJECUCION'!$J$9:$J$1208,0)),0))</f>
        <v/>
      </c>
      <c r="AJ242" s="10">
        <f>IF($A242="","",MAX(0,IFERROR(INDEX('2_IMPORTAR_EJECUCION'!$H$9:$H$1208,MATCH($AQ242,'2_IMPORTAR_EJECUCION'!$J$9:$J$1208,0)),0)-$AI242))</f>
        <v/>
      </c>
      <c r="AK242" s="10">
        <f>IF($A242="","",$AI242+$AJ242)</f>
        <v/>
      </c>
      <c r="AL242" s="6" t="n"/>
      <c r="AM242" s="6" t="n"/>
      <c r="AN242" s="6" t="n"/>
      <c r="AO242" s="3">
        <f>IF($AN242="","",HYPERLINK(p_ruta_base_checklists&amp;$AN242,"abrir"))</f>
        <v/>
      </c>
      <c r="AP242" s="6" t="n"/>
      <c r="AQ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IF($A243="","",IFERROR(INDEX('AJUSTES'!$B$4:$B$303,MATCH($AQ243,'AJUSTES'!$A$4:$A$303,0)),IF($K243="","",$K243)))</f>
        <v/>
      </c>
      <c r="N243" s="3">
        <f>IF($A243="","",IFERROR(INDEX('CAT_ESTADOS_ERP'!$B$4:$B$7,MATCH(IFERROR(INDEX('2_IMPORTAR_EJECUCION'!$C$9:$C$1208,MATCH($AQ243,'2_IMPORTAR_EJECUCION'!$J$9:$J$1208,0)),""),'CAT_ESTADOS_ERP'!$A$4:$A$7,0)),"Pendiente"))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J243="","",IFERROR(INDEX('CALENDARIO'!$C$15:$C$214,MATCH(TEXT($J243,"yyyy-mm-dd")&amp;"|"&amp;$V243&amp;"|"&amp;$W243,'CALENDARIO'!$G$15:$G$214,0)),IFERROR(INDEX('CALENDARIO'!$C$15:$C$214,MATCH(TEXT($J243,"yyyy-mm-dd")&amp;"|"&amp;$V243&amp;"|",'CALENDARIO'!$G$15:$G$214,0)),IFERROR(INDEX('CALENDARIO'!$C$15:$C$214,MATCH(TEXT($J243,"yyyy-mm-dd")&amp;"||",'CALENDARIO'!$G$15:$G$214,0)),INDEX(patronHabil,WEEKDAY($J243,2))))))</f>
        <v/>
      </c>
      <c r="T243" s="3">
        <f>IF($I243="","",IFERROR(INDEX('CAT_TIPOS_OT'!$C$4:$C$7,MATCH($I243,'CAT_TIPOS_OT'!$A$4:$A$7,0)),"sin_clasificar"))</f>
        <v/>
      </c>
      <c r="U243" s="3">
        <f>IF($F243="","",IFERROR(INDEX('CAT_CENTROS_COSTO'!$F$4:$F$13,MATCH($F243,'CAT_CENTROS_COSTO'!$A$4:$A$13,0)),"(sin catálogo)"))</f>
        <v/>
      </c>
      <c r="V243" s="3">
        <f>IF($F243="","",IFERROR(INDEX('CAT_CENTROS_COSTO'!$D$4:$D$13,MATCH($F243,'CAT_CENTROS_COSTO'!$A$4:$A$13,0)),"(sin catálogo)"))</f>
        <v/>
      </c>
      <c r="W243" s="3">
        <f>IF($F243="","",IF((IFERROR(INDEX('CAT_CENTROS_COSTO'!$E$4:$E$13,MATCH($F243,'CAT_CENTROS_COSTO'!$A$4:$A$13,0)),""))&lt;&gt;"",IFERROR(INDEX('CAT_CENTROS_COSTO'!$E$4:$E$13,MATCH($F243,'CAT_CENTROS_COSTO'!$A$4:$A$13,0)),""),$V243))</f>
        <v/>
      </c>
      <c r="X243" s="3">
        <f>IF($F243="","",IFERROR(INDEX('CAT_CENTROS_COSTO'!$G$4:$G$13,MATCH($F243,'CAT_CENTROS_COSTO'!$A$4:$A$13,0)),"(sin catálogo)"))</f>
        <v/>
      </c>
      <c r="Y243" s="3">
        <f>IF($G243="","",IFERROR(INDEX('CAT_PUESTOS'!$B$4:$B$8,MATCH($G243,'CAT_PUESTOS'!$A$4:$A$8,0)),"(sin catálogo)"))</f>
        <v/>
      </c>
      <c r="Z243" s="3">
        <f>IF($H243="","",IFERROR(INDEX('CAT_ACTIVIDADES'!$B$4:$B$8,MATCH($H243,'CAT_ACTIVIDADES'!$A$4:$A$8,0)),"(sin catálogo)"))</f>
        <v/>
      </c>
      <c r="AA243" s="12">
        <f>IF($J243="","",TODAY()-$J243)</f>
        <v/>
      </c>
      <c r="AB243" s="12">
        <f>IF($J243="","",IF($J243&lt;=TODAY(),COUNTIFS(cal_fechas,"&gt;="&amp;$J243,cal_fechas,"&lt;"&amp;TODAY(),cal_habil,"sí"),-COUNTIFS(cal_fechas,"&gt;="&amp;TODAY(),cal_fechas,"&lt;"&amp;$J243,cal_habil,"sí")))</f>
        <v/>
      </c>
      <c r="AC243" s="3">
        <f>IF($AB243="","",IF($AB243&lt;0,"FUTURO",IF($AB243&gt;p_dias_backlog_max,"BACKLOG","MES CORRIENTE")))</f>
        <v/>
      </c>
      <c r="AD243" s="3">
        <f>IF($AB243="",FALSE,AND($AB243&gt;p_dias_backlog_min,$AB243&lt;=p_dias_backlog_max))</f>
        <v/>
      </c>
      <c r="AE243" s="6" t="n"/>
      <c r="AF243" s="3">
        <f>IF($AE243="","",IF((IFERROR(INDEX('ASIGNACIONES'!$F$4:$F$339,MATCH($O243&amp;"|"&amp;$R243&amp;"|"&amp;$AE243,'ASIGNACIONES'!$J$4:$J$339,0)),""))=0,"",IFERROR(INDEX('ASIGNACIONES'!$F$4:$F$339,MATCH($O243&amp;"|"&amp;$R243&amp;"|"&amp;$AE243,'ASIGNACIONES'!$J$4:$J$339,0)),"")))</f>
        <v/>
      </c>
      <c r="AG243" s="13">
        <f>IF($AE243="","",SUMIFS('ORDENES'!$M$4:$M$1203,'ORDENES'!$AE$4:$AE$1203,$AE243,'ORDENES'!$O$4:$O$1203,$O243,'ORDENES'!$R$4:$R$1203,$R243))</f>
        <v/>
      </c>
      <c r="AH243" s="13">
        <f>IF($AG243="","",p_factor_productividad*IFERROR(INDEX('ASIGNACIONES'!$I$4:$I$339,MATCH($O243&amp;"|"&amp;$R243&amp;"|"&amp;$AE243,'ASIGNACIONES'!$J$4:$J$339,0)),0)-$AG243)</f>
        <v/>
      </c>
      <c r="AI243" s="10">
        <f>IF($A243="","",IFERROR(INDEX('2_IMPORTAR_EJECUCION'!$F$9:$F$1208,MATCH($AQ243,'2_IMPORTAR_EJECUCION'!$J$9:$J$1208,0)),0))</f>
        <v/>
      </c>
      <c r="AJ243" s="10">
        <f>IF($A243="","",MAX(0,IFERROR(INDEX('2_IMPORTAR_EJECUCION'!$H$9:$H$1208,MATCH($AQ243,'2_IMPORTAR_EJECUCION'!$J$9:$J$1208,0)),0)-$AI243))</f>
        <v/>
      </c>
      <c r="AK243" s="10">
        <f>IF($A243="","",$AI243+$AJ243)</f>
        <v/>
      </c>
      <c r="AL243" s="6" t="n"/>
      <c r="AM243" s="6" t="n"/>
      <c r="AN243" s="6" t="n"/>
      <c r="AO243" s="3">
        <f>IF($AN243="","",HYPERLINK(p_ruta_base_checklists&amp;$AN243,"abrir"))</f>
        <v/>
      </c>
      <c r="AP243" s="6" t="n"/>
      <c r="AQ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IF($A244="","",IFERROR(INDEX('AJUSTES'!$B$4:$B$303,MATCH($AQ244,'AJUSTES'!$A$4:$A$303,0)),IF($K244="","",$K244)))</f>
        <v/>
      </c>
      <c r="N244" s="3">
        <f>IF($A244="","",IFERROR(INDEX('CAT_ESTADOS_ERP'!$B$4:$B$7,MATCH(IFERROR(INDEX('2_IMPORTAR_EJECUCION'!$C$9:$C$1208,MATCH($AQ244,'2_IMPORTAR_EJECUCION'!$J$9:$J$1208,0)),""),'CAT_ESTADOS_ERP'!$A$4:$A$7,0)),"Pendiente"))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J244="","",IFERROR(INDEX('CALENDARIO'!$C$15:$C$214,MATCH(TEXT($J244,"yyyy-mm-dd")&amp;"|"&amp;$V244&amp;"|"&amp;$W244,'CALENDARIO'!$G$15:$G$214,0)),IFERROR(INDEX('CALENDARIO'!$C$15:$C$214,MATCH(TEXT($J244,"yyyy-mm-dd")&amp;"|"&amp;$V244&amp;"|",'CALENDARIO'!$G$15:$G$214,0)),IFERROR(INDEX('CALENDARIO'!$C$15:$C$214,MATCH(TEXT($J244,"yyyy-mm-dd")&amp;"||",'CALENDARIO'!$G$15:$G$214,0)),INDEX(patronHabil,WEEKDAY($J244,2))))))</f>
        <v/>
      </c>
      <c r="T244" s="3">
        <f>IF($I244="","",IFERROR(INDEX('CAT_TIPOS_OT'!$C$4:$C$7,MATCH($I244,'CAT_TIPOS_OT'!$A$4:$A$7,0)),"sin_clasificar"))</f>
        <v/>
      </c>
      <c r="U244" s="3">
        <f>IF($F244="","",IFERROR(INDEX('CAT_CENTROS_COSTO'!$F$4:$F$13,MATCH($F244,'CAT_CENTROS_COSTO'!$A$4:$A$13,0)),"(sin catálogo)"))</f>
        <v/>
      </c>
      <c r="V244" s="3">
        <f>IF($F244="","",IFERROR(INDEX('CAT_CENTROS_COSTO'!$D$4:$D$13,MATCH($F244,'CAT_CENTROS_COSTO'!$A$4:$A$13,0)),"(sin catálogo)"))</f>
        <v/>
      </c>
      <c r="W244" s="3">
        <f>IF($F244="","",IF((IFERROR(INDEX('CAT_CENTROS_COSTO'!$E$4:$E$13,MATCH($F244,'CAT_CENTROS_COSTO'!$A$4:$A$13,0)),""))&lt;&gt;"",IFERROR(INDEX('CAT_CENTROS_COSTO'!$E$4:$E$13,MATCH($F244,'CAT_CENTROS_COSTO'!$A$4:$A$13,0)),""),$V244))</f>
        <v/>
      </c>
      <c r="X244" s="3">
        <f>IF($F244="","",IFERROR(INDEX('CAT_CENTROS_COSTO'!$G$4:$G$13,MATCH($F244,'CAT_CENTROS_COSTO'!$A$4:$A$13,0)),"(sin catálogo)"))</f>
        <v/>
      </c>
      <c r="Y244" s="3">
        <f>IF($G244="","",IFERROR(INDEX('CAT_PUESTOS'!$B$4:$B$8,MATCH($G244,'CAT_PUESTOS'!$A$4:$A$8,0)),"(sin catálogo)"))</f>
        <v/>
      </c>
      <c r="Z244" s="3">
        <f>IF($H244="","",IFERROR(INDEX('CAT_ACTIVIDADES'!$B$4:$B$8,MATCH($H244,'CAT_ACTIVIDADES'!$A$4:$A$8,0)),"(sin catálogo)"))</f>
        <v/>
      </c>
      <c r="AA244" s="12">
        <f>IF($J244="","",TODAY()-$J244)</f>
        <v/>
      </c>
      <c r="AB244" s="12">
        <f>IF($J244="","",IF($J244&lt;=TODAY(),COUNTIFS(cal_fechas,"&gt;="&amp;$J244,cal_fechas,"&lt;"&amp;TODAY(),cal_habil,"sí"),-COUNTIFS(cal_fechas,"&gt;="&amp;TODAY(),cal_fechas,"&lt;"&amp;$J244,cal_habil,"sí")))</f>
        <v/>
      </c>
      <c r="AC244" s="3">
        <f>IF($AB244="","",IF($AB244&lt;0,"FUTURO",IF($AB244&gt;p_dias_backlog_max,"BACKLOG","MES CORRIENTE")))</f>
        <v/>
      </c>
      <c r="AD244" s="3">
        <f>IF($AB244="",FALSE,AND($AB244&gt;p_dias_backlog_min,$AB244&lt;=p_dias_backlog_max))</f>
        <v/>
      </c>
      <c r="AE244" s="6" t="n"/>
      <c r="AF244" s="3">
        <f>IF($AE244="","",IF((IFERROR(INDEX('ASIGNACIONES'!$F$4:$F$339,MATCH($O244&amp;"|"&amp;$R244&amp;"|"&amp;$AE244,'ASIGNACIONES'!$J$4:$J$339,0)),""))=0,"",IFERROR(INDEX('ASIGNACIONES'!$F$4:$F$339,MATCH($O244&amp;"|"&amp;$R244&amp;"|"&amp;$AE244,'ASIGNACIONES'!$J$4:$J$339,0)),"")))</f>
        <v/>
      </c>
      <c r="AG244" s="13">
        <f>IF($AE244="","",SUMIFS('ORDENES'!$M$4:$M$1203,'ORDENES'!$AE$4:$AE$1203,$AE244,'ORDENES'!$O$4:$O$1203,$O244,'ORDENES'!$R$4:$R$1203,$R244))</f>
        <v/>
      </c>
      <c r="AH244" s="13">
        <f>IF($AG244="","",p_factor_productividad*IFERROR(INDEX('ASIGNACIONES'!$I$4:$I$339,MATCH($O244&amp;"|"&amp;$R244&amp;"|"&amp;$AE244,'ASIGNACIONES'!$J$4:$J$339,0)),0)-$AG244)</f>
        <v/>
      </c>
      <c r="AI244" s="10">
        <f>IF($A244="","",IFERROR(INDEX('2_IMPORTAR_EJECUCION'!$F$9:$F$1208,MATCH($AQ244,'2_IMPORTAR_EJECUCION'!$J$9:$J$1208,0)),0))</f>
        <v/>
      </c>
      <c r="AJ244" s="10">
        <f>IF($A244="","",MAX(0,IFERROR(INDEX('2_IMPORTAR_EJECUCION'!$H$9:$H$1208,MATCH($AQ244,'2_IMPORTAR_EJECUCION'!$J$9:$J$1208,0)),0)-$AI244))</f>
        <v/>
      </c>
      <c r="AK244" s="10">
        <f>IF($A244="","",$AI244+$AJ244)</f>
        <v/>
      </c>
      <c r="AL244" s="6" t="n"/>
      <c r="AM244" s="6" t="n"/>
      <c r="AN244" s="6" t="n"/>
      <c r="AO244" s="3">
        <f>IF($AN244="","",HYPERLINK(p_ruta_base_checklists&amp;$AN244,"abrir"))</f>
        <v/>
      </c>
      <c r="AP244" s="6" t="n"/>
      <c r="AQ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IF($A245="","",IFERROR(INDEX('AJUSTES'!$B$4:$B$303,MATCH($AQ245,'AJUSTES'!$A$4:$A$303,0)),IF($K245="","",$K245)))</f>
        <v/>
      </c>
      <c r="N245" s="3">
        <f>IF($A245="","",IFERROR(INDEX('CAT_ESTADOS_ERP'!$B$4:$B$7,MATCH(IFERROR(INDEX('2_IMPORTAR_EJECUCION'!$C$9:$C$1208,MATCH($AQ245,'2_IMPORTAR_EJECUCION'!$J$9:$J$1208,0)),""),'CAT_ESTADOS_ERP'!$A$4:$A$7,0)),"Pendiente"))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J245="","",IFERROR(INDEX('CALENDARIO'!$C$15:$C$214,MATCH(TEXT($J245,"yyyy-mm-dd")&amp;"|"&amp;$V245&amp;"|"&amp;$W245,'CALENDARIO'!$G$15:$G$214,0)),IFERROR(INDEX('CALENDARIO'!$C$15:$C$214,MATCH(TEXT($J245,"yyyy-mm-dd")&amp;"|"&amp;$V245&amp;"|",'CALENDARIO'!$G$15:$G$214,0)),IFERROR(INDEX('CALENDARIO'!$C$15:$C$214,MATCH(TEXT($J245,"yyyy-mm-dd")&amp;"||",'CALENDARIO'!$G$15:$G$214,0)),INDEX(patronHabil,WEEKDAY($J245,2))))))</f>
        <v/>
      </c>
      <c r="T245" s="3">
        <f>IF($I245="","",IFERROR(INDEX('CAT_TIPOS_OT'!$C$4:$C$7,MATCH($I245,'CAT_TIPOS_OT'!$A$4:$A$7,0)),"sin_clasificar"))</f>
        <v/>
      </c>
      <c r="U245" s="3">
        <f>IF($F245="","",IFERROR(INDEX('CAT_CENTROS_COSTO'!$F$4:$F$13,MATCH($F245,'CAT_CENTROS_COSTO'!$A$4:$A$13,0)),"(sin catálogo)"))</f>
        <v/>
      </c>
      <c r="V245" s="3">
        <f>IF($F245="","",IFERROR(INDEX('CAT_CENTROS_COSTO'!$D$4:$D$13,MATCH($F245,'CAT_CENTROS_COSTO'!$A$4:$A$13,0)),"(sin catálogo)"))</f>
        <v/>
      </c>
      <c r="W245" s="3">
        <f>IF($F245="","",IF((IFERROR(INDEX('CAT_CENTROS_COSTO'!$E$4:$E$13,MATCH($F245,'CAT_CENTROS_COSTO'!$A$4:$A$13,0)),""))&lt;&gt;"",IFERROR(INDEX('CAT_CENTROS_COSTO'!$E$4:$E$13,MATCH($F245,'CAT_CENTROS_COSTO'!$A$4:$A$13,0)),""),$V245))</f>
        <v/>
      </c>
      <c r="X245" s="3">
        <f>IF($F245="","",IFERROR(INDEX('CAT_CENTROS_COSTO'!$G$4:$G$13,MATCH($F245,'CAT_CENTROS_COSTO'!$A$4:$A$13,0)),"(sin catálogo)"))</f>
        <v/>
      </c>
      <c r="Y245" s="3">
        <f>IF($G245="","",IFERROR(INDEX('CAT_PUESTOS'!$B$4:$B$8,MATCH($G245,'CAT_PUESTOS'!$A$4:$A$8,0)),"(sin catálogo)"))</f>
        <v/>
      </c>
      <c r="Z245" s="3">
        <f>IF($H245="","",IFERROR(INDEX('CAT_ACTIVIDADES'!$B$4:$B$8,MATCH($H245,'CAT_ACTIVIDADES'!$A$4:$A$8,0)),"(sin catálogo)"))</f>
        <v/>
      </c>
      <c r="AA245" s="12">
        <f>IF($J245="","",TODAY()-$J245)</f>
        <v/>
      </c>
      <c r="AB245" s="12">
        <f>IF($J245="","",IF($J245&lt;=TODAY(),COUNTIFS(cal_fechas,"&gt;="&amp;$J245,cal_fechas,"&lt;"&amp;TODAY(),cal_habil,"sí"),-COUNTIFS(cal_fechas,"&gt;="&amp;TODAY(),cal_fechas,"&lt;"&amp;$J245,cal_habil,"sí")))</f>
        <v/>
      </c>
      <c r="AC245" s="3">
        <f>IF($AB245="","",IF($AB245&lt;0,"FUTURO",IF($AB245&gt;p_dias_backlog_max,"BACKLOG","MES CORRIENTE")))</f>
        <v/>
      </c>
      <c r="AD245" s="3">
        <f>IF($AB245="",FALSE,AND($AB245&gt;p_dias_backlog_min,$AB245&lt;=p_dias_backlog_max))</f>
        <v/>
      </c>
      <c r="AE245" s="6" t="n"/>
      <c r="AF245" s="3">
        <f>IF($AE245="","",IF((IFERROR(INDEX('ASIGNACIONES'!$F$4:$F$339,MATCH($O245&amp;"|"&amp;$R245&amp;"|"&amp;$AE245,'ASIGNACIONES'!$J$4:$J$339,0)),""))=0,"",IFERROR(INDEX('ASIGNACIONES'!$F$4:$F$339,MATCH($O245&amp;"|"&amp;$R245&amp;"|"&amp;$AE245,'ASIGNACIONES'!$J$4:$J$339,0)),"")))</f>
        <v/>
      </c>
      <c r="AG245" s="13">
        <f>IF($AE245="","",SUMIFS('ORDENES'!$M$4:$M$1203,'ORDENES'!$AE$4:$AE$1203,$AE245,'ORDENES'!$O$4:$O$1203,$O245,'ORDENES'!$R$4:$R$1203,$R245))</f>
        <v/>
      </c>
      <c r="AH245" s="13">
        <f>IF($AG245="","",p_factor_productividad*IFERROR(INDEX('ASIGNACIONES'!$I$4:$I$339,MATCH($O245&amp;"|"&amp;$R245&amp;"|"&amp;$AE245,'ASIGNACIONES'!$J$4:$J$339,0)),0)-$AG245)</f>
        <v/>
      </c>
      <c r="AI245" s="10">
        <f>IF($A245="","",IFERROR(INDEX('2_IMPORTAR_EJECUCION'!$F$9:$F$1208,MATCH($AQ245,'2_IMPORTAR_EJECUCION'!$J$9:$J$1208,0)),0))</f>
        <v/>
      </c>
      <c r="AJ245" s="10">
        <f>IF($A245="","",MAX(0,IFERROR(INDEX('2_IMPORTAR_EJECUCION'!$H$9:$H$1208,MATCH($AQ245,'2_IMPORTAR_EJECUCION'!$J$9:$J$1208,0)),0)-$AI245))</f>
        <v/>
      </c>
      <c r="AK245" s="10">
        <f>IF($A245="","",$AI245+$AJ245)</f>
        <v/>
      </c>
      <c r="AL245" s="6" t="n"/>
      <c r="AM245" s="6" t="n"/>
      <c r="AN245" s="6" t="n"/>
      <c r="AO245" s="3">
        <f>IF($AN245="","",HYPERLINK(p_ruta_base_checklists&amp;$AN245,"abrir"))</f>
        <v/>
      </c>
      <c r="AP245" s="6" t="n"/>
      <c r="AQ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IF($A246="","",IFERROR(INDEX('AJUSTES'!$B$4:$B$303,MATCH($AQ246,'AJUSTES'!$A$4:$A$303,0)),IF($K246="","",$K246)))</f>
        <v/>
      </c>
      <c r="N246" s="3">
        <f>IF($A246="","",IFERROR(INDEX('CAT_ESTADOS_ERP'!$B$4:$B$7,MATCH(IFERROR(INDEX('2_IMPORTAR_EJECUCION'!$C$9:$C$1208,MATCH($AQ246,'2_IMPORTAR_EJECUCION'!$J$9:$J$1208,0)),""),'CAT_ESTADOS_ERP'!$A$4:$A$7,0)),"Pendiente"))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J246="","",IFERROR(INDEX('CALENDARIO'!$C$15:$C$214,MATCH(TEXT($J246,"yyyy-mm-dd")&amp;"|"&amp;$V246&amp;"|"&amp;$W246,'CALENDARIO'!$G$15:$G$214,0)),IFERROR(INDEX('CALENDARIO'!$C$15:$C$214,MATCH(TEXT($J246,"yyyy-mm-dd")&amp;"|"&amp;$V246&amp;"|",'CALENDARIO'!$G$15:$G$214,0)),IFERROR(INDEX('CALENDARIO'!$C$15:$C$214,MATCH(TEXT($J246,"yyyy-mm-dd")&amp;"||",'CALENDARIO'!$G$15:$G$214,0)),INDEX(patronHabil,WEEKDAY($J246,2))))))</f>
        <v/>
      </c>
      <c r="T246" s="3">
        <f>IF($I246="","",IFERROR(INDEX('CAT_TIPOS_OT'!$C$4:$C$7,MATCH($I246,'CAT_TIPOS_OT'!$A$4:$A$7,0)),"sin_clasificar"))</f>
        <v/>
      </c>
      <c r="U246" s="3">
        <f>IF($F246="","",IFERROR(INDEX('CAT_CENTROS_COSTO'!$F$4:$F$13,MATCH($F246,'CAT_CENTROS_COSTO'!$A$4:$A$13,0)),"(sin catálogo)"))</f>
        <v/>
      </c>
      <c r="V246" s="3">
        <f>IF($F246="","",IFERROR(INDEX('CAT_CENTROS_COSTO'!$D$4:$D$13,MATCH($F246,'CAT_CENTROS_COSTO'!$A$4:$A$13,0)),"(sin catálogo)"))</f>
        <v/>
      </c>
      <c r="W246" s="3">
        <f>IF($F246="","",IF((IFERROR(INDEX('CAT_CENTROS_COSTO'!$E$4:$E$13,MATCH($F246,'CAT_CENTROS_COSTO'!$A$4:$A$13,0)),""))&lt;&gt;"",IFERROR(INDEX('CAT_CENTROS_COSTO'!$E$4:$E$13,MATCH($F246,'CAT_CENTROS_COSTO'!$A$4:$A$13,0)),""),$V246))</f>
        <v/>
      </c>
      <c r="X246" s="3">
        <f>IF($F246="","",IFERROR(INDEX('CAT_CENTROS_COSTO'!$G$4:$G$13,MATCH($F246,'CAT_CENTROS_COSTO'!$A$4:$A$13,0)),"(sin catálogo)"))</f>
        <v/>
      </c>
      <c r="Y246" s="3">
        <f>IF($G246="","",IFERROR(INDEX('CAT_PUESTOS'!$B$4:$B$8,MATCH($G246,'CAT_PUESTOS'!$A$4:$A$8,0)),"(sin catálogo)"))</f>
        <v/>
      </c>
      <c r="Z246" s="3">
        <f>IF($H246="","",IFERROR(INDEX('CAT_ACTIVIDADES'!$B$4:$B$8,MATCH($H246,'CAT_ACTIVIDADES'!$A$4:$A$8,0)),"(sin catálogo)"))</f>
        <v/>
      </c>
      <c r="AA246" s="12">
        <f>IF($J246="","",TODAY()-$J246)</f>
        <v/>
      </c>
      <c r="AB246" s="12">
        <f>IF($J246="","",IF($J246&lt;=TODAY(),COUNTIFS(cal_fechas,"&gt;="&amp;$J246,cal_fechas,"&lt;"&amp;TODAY(),cal_habil,"sí"),-COUNTIFS(cal_fechas,"&gt;="&amp;TODAY(),cal_fechas,"&lt;"&amp;$J246,cal_habil,"sí")))</f>
        <v/>
      </c>
      <c r="AC246" s="3">
        <f>IF($AB246="","",IF($AB246&lt;0,"FUTURO",IF($AB246&gt;p_dias_backlog_max,"BACKLOG","MES CORRIENTE")))</f>
        <v/>
      </c>
      <c r="AD246" s="3">
        <f>IF($AB246="",FALSE,AND($AB246&gt;p_dias_backlog_min,$AB246&lt;=p_dias_backlog_max))</f>
        <v/>
      </c>
      <c r="AE246" s="6" t="n"/>
      <c r="AF246" s="3">
        <f>IF($AE246="","",IF((IFERROR(INDEX('ASIGNACIONES'!$F$4:$F$339,MATCH($O246&amp;"|"&amp;$R246&amp;"|"&amp;$AE246,'ASIGNACIONES'!$J$4:$J$339,0)),""))=0,"",IFERROR(INDEX('ASIGNACIONES'!$F$4:$F$339,MATCH($O246&amp;"|"&amp;$R246&amp;"|"&amp;$AE246,'ASIGNACIONES'!$J$4:$J$339,0)),"")))</f>
        <v/>
      </c>
      <c r="AG246" s="13">
        <f>IF($AE246="","",SUMIFS('ORDENES'!$M$4:$M$1203,'ORDENES'!$AE$4:$AE$1203,$AE246,'ORDENES'!$O$4:$O$1203,$O246,'ORDENES'!$R$4:$R$1203,$R246))</f>
        <v/>
      </c>
      <c r="AH246" s="13">
        <f>IF($AG246="","",p_factor_productividad*IFERROR(INDEX('ASIGNACIONES'!$I$4:$I$339,MATCH($O246&amp;"|"&amp;$R246&amp;"|"&amp;$AE246,'ASIGNACIONES'!$J$4:$J$339,0)),0)-$AG246)</f>
        <v/>
      </c>
      <c r="AI246" s="10">
        <f>IF($A246="","",IFERROR(INDEX('2_IMPORTAR_EJECUCION'!$F$9:$F$1208,MATCH($AQ246,'2_IMPORTAR_EJECUCION'!$J$9:$J$1208,0)),0))</f>
        <v/>
      </c>
      <c r="AJ246" s="10">
        <f>IF($A246="","",MAX(0,IFERROR(INDEX('2_IMPORTAR_EJECUCION'!$H$9:$H$1208,MATCH($AQ246,'2_IMPORTAR_EJECUCION'!$J$9:$J$1208,0)),0)-$AI246))</f>
        <v/>
      </c>
      <c r="AK246" s="10">
        <f>IF($A246="","",$AI246+$AJ246)</f>
        <v/>
      </c>
      <c r="AL246" s="6" t="n"/>
      <c r="AM246" s="6" t="n"/>
      <c r="AN246" s="6" t="n"/>
      <c r="AO246" s="3">
        <f>IF($AN246="","",HYPERLINK(p_ruta_base_checklists&amp;$AN246,"abrir"))</f>
        <v/>
      </c>
      <c r="AP246" s="6" t="n"/>
      <c r="AQ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IF($A247="","",IFERROR(INDEX('AJUSTES'!$B$4:$B$303,MATCH($AQ247,'AJUSTES'!$A$4:$A$303,0)),IF($K247="","",$K247)))</f>
        <v/>
      </c>
      <c r="N247" s="3">
        <f>IF($A247="","",IFERROR(INDEX('CAT_ESTADOS_ERP'!$B$4:$B$7,MATCH(IFERROR(INDEX('2_IMPORTAR_EJECUCION'!$C$9:$C$1208,MATCH($AQ247,'2_IMPORTAR_EJECUCION'!$J$9:$J$1208,0)),""),'CAT_ESTADOS_ERP'!$A$4:$A$7,0)),"Pendiente"))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J247="","",IFERROR(INDEX('CALENDARIO'!$C$15:$C$214,MATCH(TEXT($J247,"yyyy-mm-dd")&amp;"|"&amp;$V247&amp;"|"&amp;$W247,'CALENDARIO'!$G$15:$G$214,0)),IFERROR(INDEX('CALENDARIO'!$C$15:$C$214,MATCH(TEXT($J247,"yyyy-mm-dd")&amp;"|"&amp;$V247&amp;"|",'CALENDARIO'!$G$15:$G$214,0)),IFERROR(INDEX('CALENDARIO'!$C$15:$C$214,MATCH(TEXT($J247,"yyyy-mm-dd")&amp;"||",'CALENDARIO'!$G$15:$G$214,0)),INDEX(patronHabil,WEEKDAY($J247,2))))))</f>
        <v/>
      </c>
      <c r="T247" s="3">
        <f>IF($I247="","",IFERROR(INDEX('CAT_TIPOS_OT'!$C$4:$C$7,MATCH($I247,'CAT_TIPOS_OT'!$A$4:$A$7,0)),"sin_clasificar"))</f>
        <v/>
      </c>
      <c r="U247" s="3">
        <f>IF($F247="","",IFERROR(INDEX('CAT_CENTROS_COSTO'!$F$4:$F$13,MATCH($F247,'CAT_CENTROS_COSTO'!$A$4:$A$13,0)),"(sin catálogo)"))</f>
        <v/>
      </c>
      <c r="V247" s="3">
        <f>IF($F247="","",IFERROR(INDEX('CAT_CENTROS_COSTO'!$D$4:$D$13,MATCH($F247,'CAT_CENTROS_COSTO'!$A$4:$A$13,0)),"(sin catálogo)"))</f>
        <v/>
      </c>
      <c r="W247" s="3">
        <f>IF($F247="","",IF((IFERROR(INDEX('CAT_CENTROS_COSTO'!$E$4:$E$13,MATCH($F247,'CAT_CENTROS_COSTO'!$A$4:$A$13,0)),""))&lt;&gt;"",IFERROR(INDEX('CAT_CENTROS_COSTO'!$E$4:$E$13,MATCH($F247,'CAT_CENTROS_COSTO'!$A$4:$A$13,0)),""),$V247))</f>
        <v/>
      </c>
      <c r="X247" s="3">
        <f>IF($F247="","",IFERROR(INDEX('CAT_CENTROS_COSTO'!$G$4:$G$13,MATCH($F247,'CAT_CENTROS_COSTO'!$A$4:$A$13,0)),"(sin catálogo)"))</f>
        <v/>
      </c>
      <c r="Y247" s="3">
        <f>IF($G247="","",IFERROR(INDEX('CAT_PUESTOS'!$B$4:$B$8,MATCH($G247,'CAT_PUESTOS'!$A$4:$A$8,0)),"(sin catálogo)"))</f>
        <v/>
      </c>
      <c r="Z247" s="3">
        <f>IF($H247="","",IFERROR(INDEX('CAT_ACTIVIDADES'!$B$4:$B$8,MATCH($H247,'CAT_ACTIVIDADES'!$A$4:$A$8,0)),"(sin catálogo)"))</f>
        <v/>
      </c>
      <c r="AA247" s="12">
        <f>IF($J247="","",TODAY()-$J247)</f>
        <v/>
      </c>
      <c r="AB247" s="12">
        <f>IF($J247="","",IF($J247&lt;=TODAY(),COUNTIFS(cal_fechas,"&gt;="&amp;$J247,cal_fechas,"&lt;"&amp;TODAY(),cal_habil,"sí"),-COUNTIFS(cal_fechas,"&gt;="&amp;TODAY(),cal_fechas,"&lt;"&amp;$J247,cal_habil,"sí")))</f>
        <v/>
      </c>
      <c r="AC247" s="3">
        <f>IF($AB247="","",IF($AB247&lt;0,"FUTURO",IF($AB247&gt;p_dias_backlog_max,"BACKLOG","MES CORRIENTE")))</f>
        <v/>
      </c>
      <c r="AD247" s="3">
        <f>IF($AB247="",FALSE,AND($AB247&gt;p_dias_backlog_min,$AB247&lt;=p_dias_backlog_max))</f>
        <v/>
      </c>
      <c r="AE247" s="6" t="n"/>
      <c r="AF247" s="3">
        <f>IF($AE247="","",IF((IFERROR(INDEX('ASIGNACIONES'!$F$4:$F$339,MATCH($O247&amp;"|"&amp;$R247&amp;"|"&amp;$AE247,'ASIGNACIONES'!$J$4:$J$339,0)),""))=0,"",IFERROR(INDEX('ASIGNACIONES'!$F$4:$F$339,MATCH($O247&amp;"|"&amp;$R247&amp;"|"&amp;$AE247,'ASIGNACIONES'!$J$4:$J$339,0)),"")))</f>
        <v/>
      </c>
      <c r="AG247" s="13">
        <f>IF($AE247="","",SUMIFS('ORDENES'!$M$4:$M$1203,'ORDENES'!$AE$4:$AE$1203,$AE247,'ORDENES'!$O$4:$O$1203,$O247,'ORDENES'!$R$4:$R$1203,$R247))</f>
        <v/>
      </c>
      <c r="AH247" s="13">
        <f>IF($AG247="","",p_factor_productividad*IFERROR(INDEX('ASIGNACIONES'!$I$4:$I$339,MATCH($O247&amp;"|"&amp;$R247&amp;"|"&amp;$AE247,'ASIGNACIONES'!$J$4:$J$339,0)),0)-$AG247)</f>
        <v/>
      </c>
      <c r="AI247" s="10">
        <f>IF($A247="","",IFERROR(INDEX('2_IMPORTAR_EJECUCION'!$F$9:$F$1208,MATCH($AQ247,'2_IMPORTAR_EJECUCION'!$J$9:$J$1208,0)),0))</f>
        <v/>
      </c>
      <c r="AJ247" s="10">
        <f>IF($A247="","",MAX(0,IFERROR(INDEX('2_IMPORTAR_EJECUCION'!$H$9:$H$1208,MATCH($AQ247,'2_IMPORTAR_EJECUCION'!$J$9:$J$1208,0)),0)-$AI247))</f>
        <v/>
      </c>
      <c r="AK247" s="10">
        <f>IF($A247="","",$AI247+$AJ247)</f>
        <v/>
      </c>
      <c r="AL247" s="6" t="n"/>
      <c r="AM247" s="6" t="n"/>
      <c r="AN247" s="6" t="n"/>
      <c r="AO247" s="3">
        <f>IF($AN247="","",HYPERLINK(p_ruta_base_checklists&amp;$AN247,"abrir"))</f>
        <v/>
      </c>
      <c r="AP247" s="6" t="n"/>
      <c r="AQ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IF($A248="","",IFERROR(INDEX('AJUSTES'!$B$4:$B$303,MATCH($AQ248,'AJUSTES'!$A$4:$A$303,0)),IF($K248="","",$K248)))</f>
        <v/>
      </c>
      <c r="N248" s="3">
        <f>IF($A248="","",IFERROR(INDEX('CAT_ESTADOS_ERP'!$B$4:$B$7,MATCH(IFERROR(INDEX('2_IMPORTAR_EJECUCION'!$C$9:$C$1208,MATCH($AQ248,'2_IMPORTAR_EJECUCION'!$J$9:$J$1208,0)),""),'CAT_ESTADOS_ERP'!$A$4:$A$7,0)),"Pendiente"))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J248="","",IFERROR(INDEX('CALENDARIO'!$C$15:$C$214,MATCH(TEXT($J248,"yyyy-mm-dd")&amp;"|"&amp;$V248&amp;"|"&amp;$W248,'CALENDARIO'!$G$15:$G$214,0)),IFERROR(INDEX('CALENDARIO'!$C$15:$C$214,MATCH(TEXT($J248,"yyyy-mm-dd")&amp;"|"&amp;$V248&amp;"|",'CALENDARIO'!$G$15:$G$214,0)),IFERROR(INDEX('CALENDARIO'!$C$15:$C$214,MATCH(TEXT($J248,"yyyy-mm-dd")&amp;"||",'CALENDARIO'!$G$15:$G$214,0)),INDEX(patronHabil,WEEKDAY($J248,2))))))</f>
        <v/>
      </c>
      <c r="T248" s="3">
        <f>IF($I248="","",IFERROR(INDEX('CAT_TIPOS_OT'!$C$4:$C$7,MATCH($I248,'CAT_TIPOS_OT'!$A$4:$A$7,0)),"sin_clasificar"))</f>
        <v/>
      </c>
      <c r="U248" s="3">
        <f>IF($F248="","",IFERROR(INDEX('CAT_CENTROS_COSTO'!$F$4:$F$13,MATCH($F248,'CAT_CENTROS_COSTO'!$A$4:$A$13,0)),"(sin catálogo)"))</f>
        <v/>
      </c>
      <c r="V248" s="3">
        <f>IF($F248="","",IFERROR(INDEX('CAT_CENTROS_COSTO'!$D$4:$D$13,MATCH($F248,'CAT_CENTROS_COSTO'!$A$4:$A$13,0)),"(sin catálogo)"))</f>
        <v/>
      </c>
      <c r="W248" s="3">
        <f>IF($F248="","",IF((IFERROR(INDEX('CAT_CENTROS_COSTO'!$E$4:$E$13,MATCH($F248,'CAT_CENTROS_COSTO'!$A$4:$A$13,0)),""))&lt;&gt;"",IFERROR(INDEX('CAT_CENTROS_COSTO'!$E$4:$E$13,MATCH($F248,'CAT_CENTROS_COSTO'!$A$4:$A$13,0)),""),$V248))</f>
        <v/>
      </c>
      <c r="X248" s="3">
        <f>IF($F248="","",IFERROR(INDEX('CAT_CENTROS_COSTO'!$G$4:$G$13,MATCH($F248,'CAT_CENTROS_COSTO'!$A$4:$A$13,0)),"(sin catálogo)"))</f>
        <v/>
      </c>
      <c r="Y248" s="3">
        <f>IF($G248="","",IFERROR(INDEX('CAT_PUESTOS'!$B$4:$B$8,MATCH($G248,'CAT_PUESTOS'!$A$4:$A$8,0)),"(sin catálogo)"))</f>
        <v/>
      </c>
      <c r="Z248" s="3">
        <f>IF($H248="","",IFERROR(INDEX('CAT_ACTIVIDADES'!$B$4:$B$8,MATCH($H248,'CAT_ACTIVIDADES'!$A$4:$A$8,0)),"(sin catálogo)"))</f>
        <v/>
      </c>
      <c r="AA248" s="12">
        <f>IF($J248="","",TODAY()-$J248)</f>
        <v/>
      </c>
      <c r="AB248" s="12">
        <f>IF($J248="","",IF($J248&lt;=TODAY(),COUNTIFS(cal_fechas,"&gt;="&amp;$J248,cal_fechas,"&lt;"&amp;TODAY(),cal_habil,"sí"),-COUNTIFS(cal_fechas,"&gt;="&amp;TODAY(),cal_fechas,"&lt;"&amp;$J248,cal_habil,"sí")))</f>
        <v/>
      </c>
      <c r="AC248" s="3">
        <f>IF($AB248="","",IF($AB248&lt;0,"FUTURO",IF($AB248&gt;p_dias_backlog_max,"BACKLOG","MES CORRIENTE")))</f>
        <v/>
      </c>
      <c r="AD248" s="3">
        <f>IF($AB248="",FALSE,AND($AB248&gt;p_dias_backlog_min,$AB248&lt;=p_dias_backlog_max))</f>
        <v/>
      </c>
      <c r="AE248" s="6" t="n"/>
      <c r="AF248" s="3">
        <f>IF($AE248="","",IF((IFERROR(INDEX('ASIGNACIONES'!$F$4:$F$339,MATCH($O248&amp;"|"&amp;$R248&amp;"|"&amp;$AE248,'ASIGNACIONES'!$J$4:$J$339,0)),""))=0,"",IFERROR(INDEX('ASIGNACIONES'!$F$4:$F$339,MATCH($O248&amp;"|"&amp;$R248&amp;"|"&amp;$AE248,'ASIGNACIONES'!$J$4:$J$339,0)),"")))</f>
        <v/>
      </c>
      <c r="AG248" s="13">
        <f>IF($AE248="","",SUMIFS('ORDENES'!$M$4:$M$1203,'ORDENES'!$AE$4:$AE$1203,$AE248,'ORDENES'!$O$4:$O$1203,$O248,'ORDENES'!$R$4:$R$1203,$R248))</f>
        <v/>
      </c>
      <c r="AH248" s="13">
        <f>IF($AG248="","",p_factor_productividad*IFERROR(INDEX('ASIGNACIONES'!$I$4:$I$339,MATCH($O248&amp;"|"&amp;$R248&amp;"|"&amp;$AE248,'ASIGNACIONES'!$J$4:$J$339,0)),0)-$AG248)</f>
        <v/>
      </c>
      <c r="AI248" s="10">
        <f>IF($A248="","",IFERROR(INDEX('2_IMPORTAR_EJECUCION'!$F$9:$F$1208,MATCH($AQ248,'2_IMPORTAR_EJECUCION'!$J$9:$J$1208,0)),0))</f>
        <v/>
      </c>
      <c r="AJ248" s="10">
        <f>IF($A248="","",MAX(0,IFERROR(INDEX('2_IMPORTAR_EJECUCION'!$H$9:$H$1208,MATCH($AQ248,'2_IMPORTAR_EJECUCION'!$J$9:$J$1208,0)),0)-$AI248))</f>
        <v/>
      </c>
      <c r="AK248" s="10">
        <f>IF($A248="","",$AI248+$AJ248)</f>
        <v/>
      </c>
      <c r="AL248" s="6" t="n"/>
      <c r="AM248" s="6" t="n"/>
      <c r="AN248" s="6" t="n"/>
      <c r="AO248" s="3">
        <f>IF($AN248="","",HYPERLINK(p_ruta_base_checklists&amp;$AN248,"abrir"))</f>
        <v/>
      </c>
      <c r="AP248" s="6" t="n"/>
      <c r="AQ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IF($A249="","",IFERROR(INDEX('AJUSTES'!$B$4:$B$303,MATCH($AQ249,'AJUSTES'!$A$4:$A$303,0)),IF($K249="","",$K249)))</f>
        <v/>
      </c>
      <c r="N249" s="3">
        <f>IF($A249="","",IFERROR(INDEX('CAT_ESTADOS_ERP'!$B$4:$B$7,MATCH(IFERROR(INDEX('2_IMPORTAR_EJECUCION'!$C$9:$C$1208,MATCH($AQ249,'2_IMPORTAR_EJECUCION'!$J$9:$J$1208,0)),""),'CAT_ESTADOS_ERP'!$A$4:$A$7,0)),"Pendiente"))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J249="","",IFERROR(INDEX('CALENDARIO'!$C$15:$C$214,MATCH(TEXT($J249,"yyyy-mm-dd")&amp;"|"&amp;$V249&amp;"|"&amp;$W249,'CALENDARIO'!$G$15:$G$214,0)),IFERROR(INDEX('CALENDARIO'!$C$15:$C$214,MATCH(TEXT($J249,"yyyy-mm-dd")&amp;"|"&amp;$V249&amp;"|",'CALENDARIO'!$G$15:$G$214,0)),IFERROR(INDEX('CALENDARIO'!$C$15:$C$214,MATCH(TEXT($J249,"yyyy-mm-dd")&amp;"||",'CALENDARIO'!$G$15:$G$214,0)),INDEX(patronHabil,WEEKDAY($J249,2))))))</f>
        <v/>
      </c>
      <c r="T249" s="3">
        <f>IF($I249="","",IFERROR(INDEX('CAT_TIPOS_OT'!$C$4:$C$7,MATCH($I249,'CAT_TIPOS_OT'!$A$4:$A$7,0)),"sin_clasificar"))</f>
        <v/>
      </c>
      <c r="U249" s="3">
        <f>IF($F249="","",IFERROR(INDEX('CAT_CENTROS_COSTO'!$F$4:$F$13,MATCH($F249,'CAT_CENTROS_COSTO'!$A$4:$A$13,0)),"(sin catálogo)"))</f>
        <v/>
      </c>
      <c r="V249" s="3">
        <f>IF($F249="","",IFERROR(INDEX('CAT_CENTROS_COSTO'!$D$4:$D$13,MATCH($F249,'CAT_CENTROS_COSTO'!$A$4:$A$13,0)),"(sin catálogo)"))</f>
        <v/>
      </c>
      <c r="W249" s="3">
        <f>IF($F249="","",IF((IFERROR(INDEX('CAT_CENTROS_COSTO'!$E$4:$E$13,MATCH($F249,'CAT_CENTROS_COSTO'!$A$4:$A$13,0)),""))&lt;&gt;"",IFERROR(INDEX('CAT_CENTROS_COSTO'!$E$4:$E$13,MATCH($F249,'CAT_CENTROS_COSTO'!$A$4:$A$13,0)),""),$V249))</f>
        <v/>
      </c>
      <c r="X249" s="3">
        <f>IF($F249="","",IFERROR(INDEX('CAT_CENTROS_COSTO'!$G$4:$G$13,MATCH($F249,'CAT_CENTROS_COSTO'!$A$4:$A$13,0)),"(sin catálogo)"))</f>
        <v/>
      </c>
      <c r="Y249" s="3">
        <f>IF($G249="","",IFERROR(INDEX('CAT_PUESTOS'!$B$4:$B$8,MATCH($G249,'CAT_PUESTOS'!$A$4:$A$8,0)),"(sin catálogo)"))</f>
        <v/>
      </c>
      <c r="Z249" s="3">
        <f>IF($H249="","",IFERROR(INDEX('CAT_ACTIVIDADES'!$B$4:$B$8,MATCH($H249,'CAT_ACTIVIDADES'!$A$4:$A$8,0)),"(sin catálogo)"))</f>
        <v/>
      </c>
      <c r="AA249" s="12">
        <f>IF($J249="","",TODAY()-$J249)</f>
        <v/>
      </c>
      <c r="AB249" s="12">
        <f>IF($J249="","",IF($J249&lt;=TODAY(),COUNTIFS(cal_fechas,"&gt;="&amp;$J249,cal_fechas,"&lt;"&amp;TODAY(),cal_habil,"sí"),-COUNTIFS(cal_fechas,"&gt;="&amp;TODAY(),cal_fechas,"&lt;"&amp;$J249,cal_habil,"sí")))</f>
        <v/>
      </c>
      <c r="AC249" s="3">
        <f>IF($AB249="","",IF($AB249&lt;0,"FUTURO",IF($AB249&gt;p_dias_backlog_max,"BACKLOG","MES CORRIENTE")))</f>
        <v/>
      </c>
      <c r="AD249" s="3">
        <f>IF($AB249="",FALSE,AND($AB249&gt;p_dias_backlog_min,$AB249&lt;=p_dias_backlog_max))</f>
        <v/>
      </c>
      <c r="AE249" s="6" t="n"/>
      <c r="AF249" s="3">
        <f>IF($AE249="","",IF((IFERROR(INDEX('ASIGNACIONES'!$F$4:$F$339,MATCH($O249&amp;"|"&amp;$R249&amp;"|"&amp;$AE249,'ASIGNACIONES'!$J$4:$J$339,0)),""))=0,"",IFERROR(INDEX('ASIGNACIONES'!$F$4:$F$339,MATCH($O249&amp;"|"&amp;$R249&amp;"|"&amp;$AE249,'ASIGNACIONES'!$J$4:$J$339,0)),"")))</f>
        <v/>
      </c>
      <c r="AG249" s="13">
        <f>IF($AE249="","",SUMIFS('ORDENES'!$M$4:$M$1203,'ORDENES'!$AE$4:$AE$1203,$AE249,'ORDENES'!$O$4:$O$1203,$O249,'ORDENES'!$R$4:$R$1203,$R249))</f>
        <v/>
      </c>
      <c r="AH249" s="13">
        <f>IF($AG249="","",p_factor_productividad*IFERROR(INDEX('ASIGNACIONES'!$I$4:$I$339,MATCH($O249&amp;"|"&amp;$R249&amp;"|"&amp;$AE249,'ASIGNACIONES'!$J$4:$J$339,0)),0)-$AG249)</f>
        <v/>
      </c>
      <c r="AI249" s="10">
        <f>IF($A249="","",IFERROR(INDEX('2_IMPORTAR_EJECUCION'!$F$9:$F$1208,MATCH($AQ249,'2_IMPORTAR_EJECUCION'!$J$9:$J$1208,0)),0))</f>
        <v/>
      </c>
      <c r="AJ249" s="10">
        <f>IF($A249="","",MAX(0,IFERROR(INDEX('2_IMPORTAR_EJECUCION'!$H$9:$H$1208,MATCH($AQ249,'2_IMPORTAR_EJECUCION'!$J$9:$J$1208,0)),0)-$AI249))</f>
        <v/>
      </c>
      <c r="AK249" s="10">
        <f>IF($A249="","",$AI249+$AJ249)</f>
        <v/>
      </c>
      <c r="AL249" s="6" t="n"/>
      <c r="AM249" s="6" t="n"/>
      <c r="AN249" s="6" t="n"/>
      <c r="AO249" s="3">
        <f>IF($AN249="","",HYPERLINK(p_ruta_base_checklists&amp;$AN249,"abrir"))</f>
        <v/>
      </c>
      <c r="AP249" s="6" t="n"/>
      <c r="AQ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IF($A250="","",IFERROR(INDEX('AJUSTES'!$B$4:$B$303,MATCH($AQ250,'AJUSTES'!$A$4:$A$303,0)),IF($K250="","",$K250)))</f>
        <v/>
      </c>
      <c r="N250" s="3">
        <f>IF($A250="","",IFERROR(INDEX('CAT_ESTADOS_ERP'!$B$4:$B$7,MATCH(IFERROR(INDEX('2_IMPORTAR_EJECUCION'!$C$9:$C$1208,MATCH($AQ250,'2_IMPORTAR_EJECUCION'!$J$9:$J$1208,0)),""),'CAT_ESTADOS_ERP'!$A$4:$A$7,0)),"Pendiente"))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J250="","",IFERROR(INDEX('CALENDARIO'!$C$15:$C$214,MATCH(TEXT($J250,"yyyy-mm-dd")&amp;"|"&amp;$V250&amp;"|"&amp;$W250,'CALENDARIO'!$G$15:$G$214,0)),IFERROR(INDEX('CALENDARIO'!$C$15:$C$214,MATCH(TEXT($J250,"yyyy-mm-dd")&amp;"|"&amp;$V250&amp;"|",'CALENDARIO'!$G$15:$G$214,0)),IFERROR(INDEX('CALENDARIO'!$C$15:$C$214,MATCH(TEXT($J250,"yyyy-mm-dd")&amp;"||",'CALENDARIO'!$G$15:$G$214,0)),INDEX(patronHabil,WEEKDAY($J250,2))))))</f>
        <v/>
      </c>
      <c r="T250" s="3">
        <f>IF($I250="","",IFERROR(INDEX('CAT_TIPOS_OT'!$C$4:$C$7,MATCH($I250,'CAT_TIPOS_OT'!$A$4:$A$7,0)),"sin_clasificar"))</f>
        <v/>
      </c>
      <c r="U250" s="3">
        <f>IF($F250="","",IFERROR(INDEX('CAT_CENTROS_COSTO'!$F$4:$F$13,MATCH($F250,'CAT_CENTROS_COSTO'!$A$4:$A$13,0)),"(sin catálogo)"))</f>
        <v/>
      </c>
      <c r="V250" s="3">
        <f>IF($F250="","",IFERROR(INDEX('CAT_CENTROS_COSTO'!$D$4:$D$13,MATCH($F250,'CAT_CENTROS_COSTO'!$A$4:$A$13,0)),"(sin catálogo)"))</f>
        <v/>
      </c>
      <c r="W250" s="3">
        <f>IF($F250="","",IF((IFERROR(INDEX('CAT_CENTROS_COSTO'!$E$4:$E$13,MATCH($F250,'CAT_CENTROS_COSTO'!$A$4:$A$13,0)),""))&lt;&gt;"",IFERROR(INDEX('CAT_CENTROS_COSTO'!$E$4:$E$13,MATCH($F250,'CAT_CENTROS_COSTO'!$A$4:$A$13,0)),""),$V250))</f>
        <v/>
      </c>
      <c r="X250" s="3">
        <f>IF($F250="","",IFERROR(INDEX('CAT_CENTROS_COSTO'!$G$4:$G$13,MATCH($F250,'CAT_CENTROS_COSTO'!$A$4:$A$13,0)),"(sin catálogo)"))</f>
        <v/>
      </c>
      <c r="Y250" s="3">
        <f>IF($G250="","",IFERROR(INDEX('CAT_PUESTOS'!$B$4:$B$8,MATCH($G250,'CAT_PUESTOS'!$A$4:$A$8,0)),"(sin catálogo)"))</f>
        <v/>
      </c>
      <c r="Z250" s="3">
        <f>IF($H250="","",IFERROR(INDEX('CAT_ACTIVIDADES'!$B$4:$B$8,MATCH($H250,'CAT_ACTIVIDADES'!$A$4:$A$8,0)),"(sin catálogo)"))</f>
        <v/>
      </c>
      <c r="AA250" s="12">
        <f>IF($J250="","",TODAY()-$J250)</f>
        <v/>
      </c>
      <c r="AB250" s="12">
        <f>IF($J250="","",IF($J250&lt;=TODAY(),COUNTIFS(cal_fechas,"&gt;="&amp;$J250,cal_fechas,"&lt;"&amp;TODAY(),cal_habil,"sí"),-COUNTIFS(cal_fechas,"&gt;="&amp;TODAY(),cal_fechas,"&lt;"&amp;$J250,cal_habil,"sí")))</f>
        <v/>
      </c>
      <c r="AC250" s="3">
        <f>IF($AB250="","",IF($AB250&lt;0,"FUTURO",IF($AB250&gt;p_dias_backlog_max,"BACKLOG","MES CORRIENTE")))</f>
        <v/>
      </c>
      <c r="AD250" s="3">
        <f>IF($AB250="",FALSE,AND($AB250&gt;p_dias_backlog_min,$AB250&lt;=p_dias_backlog_max))</f>
        <v/>
      </c>
      <c r="AE250" s="6" t="n"/>
      <c r="AF250" s="3">
        <f>IF($AE250="","",IF((IFERROR(INDEX('ASIGNACIONES'!$F$4:$F$339,MATCH($O250&amp;"|"&amp;$R250&amp;"|"&amp;$AE250,'ASIGNACIONES'!$J$4:$J$339,0)),""))=0,"",IFERROR(INDEX('ASIGNACIONES'!$F$4:$F$339,MATCH($O250&amp;"|"&amp;$R250&amp;"|"&amp;$AE250,'ASIGNACIONES'!$J$4:$J$339,0)),"")))</f>
        <v/>
      </c>
      <c r="AG250" s="13">
        <f>IF($AE250="","",SUMIFS('ORDENES'!$M$4:$M$1203,'ORDENES'!$AE$4:$AE$1203,$AE250,'ORDENES'!$O$4:$O$1203,$O250,'ORDENES'!$R$4:$R$1203,$R250))</f>
        <v/>
      </c>
      <c r="AH250" s="13">
        <f>IF($AG250="","",p_factor_productividad*IFERROR(INDEX('ASIGNACIONES'!$I$4:$I$339,MATCH($O250&amp;"|"&amp;$R250&amp;"|"&amp;$AE250,'ASIGNACIONES'!$J$4:$J$339,0)),0)-$AG250)</f>
        <v/>
      </c>
      <c r="AI250" s="10">
        <f>IF($A250="","",IFERROR(INDEX('2_IMPORTAR_EJECUCION'!$F$9:$F$1208,MATCH($AQ250,'2_IMPORTAR_EJECUCION'!$J$9:$J$1208,0)),0))</f>
        <v/>
      </c>
      <c r="AJ250" s="10">
        <f>IF($A250="","",MAX(0,IFERROR(INDEX('2_IMPORTAR_EJECUCION'!$H$9:$H$1208,MATCH($AQ250,'2_IMPORTAR_EJECUCION'!$J$9:$J$1208,0)),0)-$AI250))</f>
        <v/>
      </c>
      <c r="AK250" s="10">
        <f>IF($A250="","",$AI250+$AJ250)</f>
        <v/>
      </c>
      <c r="AL250" s="6" t="n"/>
      <c r="AM250" s="6" t="n"/>
      <c r="AN250" s="6" t="n"/>
      <c r="AO250" s="3">
        <f>IF($AN250="","",HYPERLINK(p_ruta_base_checklists&amp;$AN250,"abrir"))</f>
        <v/>
      </c>
      <c r="AP250" s="6" t="n"/>
      <c r="AQ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IF($A251="","",IFERROR(INDEX('AJUSTES'!$B$4:$B$303,MATCH($AQ251,'AJUSTES'!$A$4:$A$303,0)),IF($K251="","",$K251)))</f>
        <v/>
      </c>
      <c r="N251" s="3">
        <f>IF($A251="","",IFERROR(INDEX('CAT_ESTADOS_ERP'!$B$4:$B$7,MATCH(IFERROR(INDEX('2_IMPORTAR_EJECUCION'!$C$9:$C$1208,MATCH($AQ251,'2_IMPORTAR_EJECUCION'!$J$9:$J$1208,0)),""),'CAT_ESTADOS_ERP'!$A$4:$A$7,0)),"Pendiente"))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J251="","",IFERROR(INDEX('CALENDARIO'!$C$15:$C$214,MATCH(TEXT($J251,"yyyy-mm-dd")&amp;"|"&amp;$V251&amp;"|"&amp;$W251,'CALENDARIO'!$G$15:$G$214,0)),IFERROR(INDEX('CALENDARIO'!$C$15:$C$214,MATCH(TEXT($J251,"yyyy-mm-dd")&amp;"|"&amp;$V251&amp;"|",'CALENDARIO'!$G$15:$G$214,0)),IFERROR(INDEX('CALENDARIO'!$C$15:$C$214,MATCH(TEXT($J251,"yyyy-mm-dd")&amp;"||",'CALENDARIO'!$G$15:$G$214,0)),INDEX(patronHabil,WEEKDAY($J251,2))))))</f>
        <v/>
      </c>
      <c r="T251" s="3">
        <f>IF($I251="","",IFERROR(INDEX('CAT_TIPOS_OT'!$C$4:$C$7,MATCH($I251,'CAT_TIPOS_OT'!$A$4:$A$7,0)),"sin_clasificar"))</f>
        <v/>
      </c>
      <c r="U251" s="3">
        <f>IF($F251="","",IFERROR(INDEX('CAT_CENTROS_COSTO'!$F$4:$F$13,MATCH($F251,'CAT_CENTROS_COSTO'!$A$4:$A$13,0)),"(sin catálogo)"))</f>
        <v/>
      </c>
      <c r="V251" s="3">
        <f>IF($F251="","",IFERROR(INDEX('CAT_CENTROS_COSTO'!$D$4:$D$13,MATCH($F251,'CAT_CENTROS_COSTO'!$A$4:$A$13,0)),"(sin catálogo)"))</f>
        <v/>
      </c>
      <c r="W251" s="3">
        <f>IF($F251="","",IF((IFERROR(INDEX('CAT_CENTROS_COSTO'!$E$4:$E$13,MATCH($F251,'CAT_CENTROS_COSTO'!$A$4:$A$13,0)),""))&lt;&gt;"",IFERROR(INDEX('CAT_CENTROS_COSTO'!$E$4:$E$13,MATCH($F251,'CAT_CENTROS_COSTO'!$A$4:$A$13,0)),""),$V251))</f>
        <v/>
      </c>
      <c r="X251" s="3">
        <f>IF($F251="","",IFERROR(INDEX('CAT_CENTROS_COSTO'!$G$4:$G$13,MATCH($F251,'CAT_CENTROS_COSTO'!$A$4:$A$13,0)),"(sin catálogo)"))</f>
        <v/>
      </c>
      <c r="Y251" s="3">
        <f>IF($G251="","",IFERROR(INDEX('CAT_PUESTOS'!$B$4:$B$8,MATCH($G251,'CAT_PUESTOS'!$A$4:$A$8,0)),"(sin catálogo)"))</f>
        <v/>
      </c>
      <c r="Z251" s="3">
        <f>IF($H251="","",IFERROR(INDEX('CAT_ACTIVIDADES'!$B$4:$B$8,MATCH($H251,'CAT_ACTIVIDADES'!$A$4:$A$8,0)),"(sin catálogo)"))</f>
        <v/>
      </c>
      <c r="AA251" s="12">
        <f>IF($J251="","",TODAY()-$J251)</f>
        <v/>
      </c>
      <c r="AB251" s="12">
        <f>IF($J251="","",IF($J251&lt;=TODAY(),COUNTIFS(cal_fechas,"&gt;="&amp;$J251,cal_fechas,"&lt;"&amp;TODAY(),cal_habil,"sí"),-COUNTIFS(cal_fechas,"&gt;="&amp;TODAY(),cal_fechas,"&lt;"&amp;$J251,cal_habil,"sí")))</f>
        <v/>
      </c>
      <c r="AC251" s="3">
        <f>IF($AB251="","",IF($AB251&lt;0,"FUTURO",IF($AB251&gt;p_dias_backlog_max,"BACKLOG","MES CORRIENTE")))</f>
        <v/>
      </c>
      <c r="AD251" s="3">
        <f>IF($AB251="",FALSE,AND($AB251&gt;p_dias_backlog_min,$AB251&lt;=p_dias_backlog_max))</f>
        <v/>
      </c>
      <c r="AE251" s="6" t="n"/>
      <c r="AF251" s="3">
        <f>IF($AE251="","",IF((IFERROR(INDEX('ASIGNACIONES'!$F$4:$F$339,MATCH($O251&amp;"|"&amp;$R251&amp;"|"&amp;$AE251,'ASIGNACIONES'!$J$4:$J$339,0)),""))=0,"",IFERROR(INDEX('ASIGNACIONES'!$F$4:$F$339,MATCH($O251&amp;"|"&amp;$R251&amp;"|"&amp;$AE251,'ASIGNACIONES'!$J$4:$J$339,0)),"")))</f>
        <v/>
      </c>
      <c r="AG251" s="13">
        <f>IF($AE251="","",SUMIFS('ORDENES'!$M$4:$M$1203,'ORDENES'!$AE$4:$AE$1203,$AE251,'ORDENES'!$O$4:$O$1203,$O251,'ORDENES'!$R$4:$R$1203,$R251))</f>
        <v/>
      </c>
      <c r="AH251" s="13">
        <f>IF($AG251="","",p_factor_productividad*IFERROR(INDEX('ASIGNACIONES'!$I$4:$I$339,MATCH($O251&amp;"|"&amp;$R251&amp;"|"&amp;$AE251,'ASIGNACIONES'!$J$4:$J$339,0)),0)-$AG251)</f>
        <v/>
      </c>
      <c r="AI251" s="10">
        <f>IF($A251="","",IFERROR(INDEX('2_IMPORTAR_EJECUCION'!$F$9:$F$1208,MATCH($AQ251,'2_IMPORTAR_EJECUCION'!$J$9:$J$1208,0)),0))</f>
        <v/>
      </c>
      <c r="AJ251" s="10">
        <f>IF($A251="","",MAX(0,IFERROR(INDEX('2_IMPORTAR_EJECUCION'!$H$9:$H$1208,MATCH($AQ251,'2_IMPORTAR_EJECUCION'!$J$9:$J$1208,0)),0)-$AI251))</f>
        <v/>
      </c>
      <c r="AK251" s="10">
        <f>IF($A251="","",$AI251+$AJ251)</f>
        <v/>
      </c>
      <c r="AL251" s="6" t="n"/>
      <c r="AM251" s="6" t="n"/>
      <c r="AN251" s="6" t="n"/>
      <c r="AO251" s="3">
        <f>IF($AN251="","",HYPERLINK(p_ruta_base_checklists&amp;$AN251,"abrir"))</f>
        <v/>
      </c>
      <c r="AP251" s="6" t="n"/>
      <c r="AQ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IF($A252="","",IFERROR(INDEX('AJUSTES'!$B$4:$B$303,MATCH($AQ252,'AJUSTES'!$A$4:$A$303,0)),IF($K252="","",$K252)))</f>
        <v/>
      </c>
      <c r="N252" s="3">
        <f>IF($A252="","",IFERROR(INDEX('CAT_ESTADOS_ERP'!$B$4:$B$7,MATCH(IFERROR(INDEX('2_IMPORTAR_EJECUCION'!$C$9:$C$1208,MATCH($AQ252,'2_IMPORTAR_EJECUCION'!$J$9:$J$1208,0)),""),'CAT_ESTADOS_ERP'!$A$4:$A$7,0)),"Pendiente"))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J252="","",IFERROR(INDEX('CALENDARIO'!$C$15:$C$214,MATCH(TEXT($J252,"yyyy-mm-dd")&amp;"|"&amp;$V252&amp;"|"&amp;$W252,'CALENDARIO'!$G$15:$G$214,0)),IFERROR(INDEX('CALENDARIO'!$C$15:$C$214,MATCH(TEXT($J252,"yyyy-mm-dd")&amp;"|"&amp;$V252&amp;"|",'CALENDARIO'!$G$15:$G$214,0)),IFERROR(INDEX('CALENDARIO'!$C$15:$C$214,MATCH(TEXT($J252,"yyyy-mm-dd")&amp;"||",'CALENDARIO'!$G$15:$G$214,0)),INDEX(patronHabil,WEEKDAY($J252,2))))))</f>
        <v/>
      </c>
      <c r="T252" s="3">
        <f>IF($I252="","",IFERROR(INDEX('CAT_TIPOS_OT'!$C$4:$C$7,MATCH($I252,'CAT_TIPOS_OT'!$A$4:$A$7,0)),"sin_clasificar"))</f>
        <v/>
      </c>
      <c r="U252" s="3">
        <f>IF($F252="","",IFERROR(INDEX('CAT_CENTROS_COSTO'!$F$4:$F$13,MATCH($F252,'CAT_CENTROS_COSTO'!$A$4:$A$13,0)),"(sin catálogo)"))</f>
        <v/>
      </c>
      <c r="V252" s="3">
        <f>IF($F252="","",IFERROR(INDEX('CAT_CENTROS_COSTO'!$D$4:$D$13,MATCH($F252,'CAT_CENTROS_COSTO'!$A$4:$A$13,0)),"(sin catálogo)"))</f>
        <v/>
      </c>
      <c r="W252" s="3">
        <f>IF($F252="","",IF((IFERROR(INDEX('CAT_CENTROS_COSTO'!$E$4:$E$13,MATCH($F252,'CAT_CENTROS_COSTO'!$A$4:$A$13,0)),""))&lt;&gt;"",IFERROR(INDEX('CAT_CENTROS_COSTO'!$E$4:$E$13,MATCH($F252,'CAT_CENTROS_COSTO'!$A$4:$A$13,0)),""),$V252))</f>
        <v/>
      </c>
      <c r="X252" s="3">
        <f>IF($F252="","",IFERROR(INDEX('CAT_CENTROS_COSTO'!$G$4:$G$13,MATCH($F252,'CAT_CENTROS_COSTO'!$A$4:$A$13,0)),"(sin catálogo)"))</f>
        <v/>
      </c>
      <c r="Y252" s="3">
        <f>IF($G252="","",IFERROR(INDEX('CAT_PUESTOS'!$B$4:$B$8,MATCH($G252,'CAT_PUESTOS'!$A$4:$A$8,0)),"(sin catálogo)"))</f>
        <v/>
      </c>
      <c r="Z252" s="3">
        <f>IF($H252="","",IFERROR(INDEX('CAT_ACTIVIDADES'!$B$4:$B$8,MATCH($H252,'CAT_ACTIVIDADES'!$A$4:$A$8,0)),"(sin catálogo)"))</f>
        <v/>
      </c>
      <c r="AA252" s="12">
        <f>IF($J252="","",TODAY()-$J252)</f>
        <v/>
      </c>
      <c r="AB252" s="12">
        <f>IF($J252="","",IF($J252&lt;=TODAY(),COUNTIFS(cal_fechas,"&gt;="&amp;$J252,cal_fechas,"&lt;"&amp;TODAY(),cal_habil,"sí"),-COUNTIFS(cal_fechas,"&gt;="&amp;TODAY(),cal_fechas,"&lt;"&amp;$J252,cal_habil,"sí")))</f>
        <v/>
      </c>
      <c r="AC252" s="3">
        <f>IF($AB252="","",IF($AB252&lt;0,"FUTURO",IF($AB252&gt;p_dias_backlog_max,"BACKLOG","MES CORRIENTE")))</f>
        <v/>
      </c>
      <c r="AD252" s="3">
        <f>IF($AB252="",FALSE,AND($AB252&gt;p_dias_backlog_min,$AB252&lt;=p_dias_backlog_max))</f>
        <v/>
      </c>
      <c r="AE252" s="6" t="n"/>
      <c r="AF252" s="3">
        <f>IF($AE252="","",IF((IFERROR(INDEX('ASIGNACIONES'!$F$4:$F$339,MATCH($O252&amp;"|"&amp;$R252&amp;"|"&amp;$AE252,'ASIGNACIONES'!$J$4:$J$339,0)),""))=0,"",IFERROR(INDEX('ASIGNACIONES'!$F$4:$F$339,MATCH($O252&amp;"|"&amp;$R252&amp;"|"&amp;$AE252,'ASIGNACIONES'!$J$4:$J$339,0)),"")))</f>
        <v/>
      </c>
      <c r="AG252" s="13">
        <f>IF($AE252="","",SUMIFS('ORDENES'!$M$4:$M$1203,'ORDENES'!$AE$4:$AE$1203,$AE252,'ORDENES'!$O$4:$O$1203,$O252,'ORDENES'!$R$4:$R$1203,$R252))</f>
        <v/>
      </c>
      <c r="AH252" s="13">
        <f>IF($AG252="","",p_factor_productividad*IFERROR(INDEX('ASIGNACIONES'!$I$4:$I$339,MATCH($O252&amp;"|"&amp;$R252&amp;"|"&amp;$AE252,'ASIGNACIONES'!$J$4:$J$339,0)),0)-$AG252)</f>
        <v/>
      </c>
      <c r="AI252" s="10">
        <f>IF($A252="","",IFERROR(INDEX('2_IMPORTAR_EJECUCION'!$F$9:$F$1208,MATCH($AQ252,'2_IMPORTAR_EJECUCION'!$J$9:$J$1208,0)),0))</f>
        <v/>
      </c>
      <c r="AJ252" s="10">
        <f>IF($A252="","",MAX(0,IFERROR(INDEX('2_IMPORTAR_EJECUCION'!$H$9:$H$1208,MATCH($AQ252,'2_IMPORTAR_EJECUCION'!$J$9:$J$1208,0)),0)-$AI252))</f>
        <v/>
      </c>
      <c r="AK252" s="10">
        <f>IF($A252="","",$AI252+$AJ252)</f>
        <v/>
      </c>
      <c r="AL252" s="6" t="n"/>
      <c r="AM252" s="6" t="n"/>
      <c r="AN252" s="6" t="n"/>
      <c r="AO252" s="3">
        <f>IF($AN252="","",HYPERLINK(p_ruta_base_checklists&amp;$AN252,"abrir"))</f>
        <v/>
      </c>
      <c r="AP252" s="6" t="n"/>
      <c r="AQ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IF($A253="","",IFERROR(INDEX('AJUSTES'!$B$4:$B$303,MATCH($AQ253,'AJUSTES'!$A$4:$A$303,0)),IF($K253="","",$K253)))</f>
        <v/>
      </c>
      <c r="N253" s="3">
        <f>IF($A253="","",IFERROR(INDEX('CAT_ESTADOS_ERP'!$B$4:$B$7,MATCH(IFERROR(INDEX('2_IMPORTAR_EJECUCION'!$C$9:$C$1208,MATCH($AQ253,'2_IMPORTAR_EJECUCION'!$J$9:$J$1208,0)),""),'CAT_ESTADOS_ERP'!$A$4:$A$7,0)),"Pendiente"))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J253="","",IFERROR(INDEX('CALENDARIO'!$C$15:$C$214,MATCH(TEXT($J253,"yyyy-mm-dd")&amp;"|"&amp;$V253&amp;"|"&amp;$W253,'CALENDARIO'!$G$15:$G$214,0)),IFERROR(INDEX('CALENDARIO'!$C$15:$C$214,MATCH(TEXT($J253,"yyyy-mm-dd")&amp;"|"&amp;$V253&amp;"|",'CALENDARIO'!$G$15:$G$214,0)),IFERROR(INDEX('CALENDARIO'!$C$15:$C$214,MATCH(TEXT($J253,"yyyy-mm-dd")&amp;"||",'CALENDARIO'!$G$15:$G$214,0)),INDEX(patronHabil,WEEKDAY($J253,2))))))</f>
        <v/>
      </c>
      <c r="T253" s="3">
        <f>IF($I253="","",IFERROR(INDEX('CAT_TIPOS_OT'!$C$4:$C$7,MATCH($I253,'CAT_TIPOS_OT'!$A$4:$A$7,0)),"sin_clasificar"))</f>
        <v/>
      </c>
      <c r="U253" s="3">
        <f>IF($F253="","",IFERROR(INDEX('CAT_CENTROS_COSTO'!$F$4:$F$13,MATCH($F253,'CAT_CENTROS_COSTO'!$A$4:$A$13,0)),"(sin catálogo)"))</f>
        <v/>
      </c>
      <c r="V253" s="3">
        <f>IF($F253="","",IFERROR(INDEX('CAT_CENTROS_COSTO'!$D$4:$D$13,MATCH($F253,'CAT_CENTROS_COSTO'!$A$4:$A$13,0)),"(sin catálogo)"))</f>
        <v/>
      </c>
      <c r="W253" s="3">
        <f>IF($F253="","",IF((IFERROR(INDEX('CAT_CENTROS_COSTO'!$E$4:$E$13,MATCH($F253,'CAT_CENTROS_COSTO'!$A$4:$A$13,0)),""))&lt;&gt;"",IFERROR(INDEX('CAT_CENTROS_COSTO'!$E$4:$E$13,MATCH($F253,'CAT_CENTROS_COSTO'!$A$4:$A$13,0)),""),$V253))</f>
        <v/>
      </c>
      <c r="X253" s="3">
        <f>IF($F253="","",IFERROR(INDEX('CAT_CENTROS_COSTO'!$G$4:$G$13,MATCH($F253,'CAT_CENTROS_COSTO'!$A$4:$A$13,0)),"(sin catálogo)"))</f>
        <v/>
      </c>
      <c r="Y253" s="3">
        <f>IF($G253="","",IFERROR(INDEX('CAT_PUESTOS'!$B$4:$B$8,MATCH($G253,'CAT_PUESTOS'!$A$4:$A$8,0)),"(sin catálogo)"))</f>
        <v/>
      </c>
      <c r="Z253" s="3">
        <f>IF($H253="","",IFERROR(INDEX('CAT_ACTIVIDADES'!$B$4:$B$8,MATCH($H253,'CAT_ACTIVIDADES'!$A$4:$A$8,0)),"(sin catálogo)"))</f>
        <v/>
      </c>
      <c r="AA253" s="12">
        <f>IF($J253="","",TODAY()-$J253)</f>
        <v/>
      </c>
      <c r="AB253" s="12">
        <f>IF($J253="","",IF($J253&lt;=TODAY(),COUNTIFS(cal_fechas,"&gt;="&amp;$J253,cal_fechas,"&lt;"&amp;TODAY(),cal_habil,"sí"),-COUNTIFS(cal_fechas,"&gt;="&amp;TODAY(),cal_fechas,"&lt;"&amp;$J253,cal_habil,"sí")))</f>
        <v/>
      </c>
      <c r="AC253" s="3">
        <f>IF($AB253="","",IF($AB253&lt;0,"FUTURO",IF($AB253&gt;p_dias_backlog_max,"BACKLOG","MES CORRIENTE")))</f>
        <v/>
      </c>
      <c r="AD253" s="3">
        <f>IF($AB253="",FALSE,AND($AB253&gt;p_dias_backlog_min,$AB253&lt;=p_dias_backlog_max))</f>
        <v/>
      </c>
      <c r="AE253" s="6" t="n"/>
      <c r="AF253" s="3">
        <f>IF($AE253="","",IF((IFERROR(INDEX('ASIGNACIONES'!$F$4:$F$339,MATCH($O253&amp;"|"&amp;$R253&amp;"|"&amp;$AE253,'ASIGNACIONES'!$J$4:$J$339,0)),""))=0,"",IFERROR(INDEX('ASIGNACIONES'!$F$4:$F$339,MATCH($O253&amp;"|"&amp;$R253&amp;"|"&amp;$AE253,'ASIGNACIONES'!$J$4:$J$339,0)),"")))</f>
        <v/>
      </c>
      <c r="AG253" s="13">
        <f>IF($AE253="","",SUMIFS('ORDENES'!$M$4:$M$1203,'ORDENES'!$AE$4:$AE$1203,$AE253,'ORDENES'!$O$4:$O$1203,$O253,'ORDENES'!$R$4:$R$1203,$R253))</f>
        <v/>
      </c>
      <c r="AH253" s="13">
        <f>IF($AG253="","",p_factor_productividad*IFERROR(INDEX('ASIGNACIONES'!$I$4:$I$339,MATCH($O253&amp;"|"&amp;$R253&amp;"|"&amp;$AE253,'ASIGNACIONES'!$J$4:$J$339,0)),0)-$AG253)</f>
        <v/>
      </c>
      <c r="AI253" s="10">
        <f>IF($A253="","",IFERROR(INDEX('2_IMPORTAR_EJECUCION'!$F$9:$F$1208,MATCH($AQ253,'2_IMPORTAR_EJECUCION'!$J$9:$J$1208,0)),0))</f>
        <v/>
      </c>
      <c r="AJ253" s="10">
        <f>IF($A253="","",MAX(0,IFERROR(INDEX('2_IMPORTAR_EJECUCION'!$H$9:$H$1208,MATCH($AQ253,'2_IMPORTAR_EJECUCION'!$J$9:$J$1208,0)),0)-$AI253))</f>
        <v/>
      </c>
      <c r="AK253" s="10">
        <f>IF($A253="","",$AI253+$AJ253)</f>
        <v/>
      </c>
      <c r="AL253" s="6" t="n"/>
      <c r="AM253" s="6" t="n"/>
      <c r="AN253" s="6" t="n"/>
      <c r="AO253" s="3">
        <f>IF($AN253="","",HYPERLINK(p_ruta_base_checklists&amp;$AN253,"abrir"))</f>
        <v/>
      </c>
      <c r="AP253" s="6" t="n"/>
      <c r="AQ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IF($A254="","",IFERROR(INDEX('AJUSTES'!$B$4:$B$303,MATCH($AQ254,'AJUSTES'!$A$4:$A$303,0)),IF($K254="","",$K254)))</f>
        <v/>
      </c>
      <c r="N254" s="3">
        <f>IF($A254="","",IFERROR(INDEX('CAT_ESTADOS_ERP'!$B$4:$B$7,MATCH(IFERROR(INDEX('2_IMPORTAR_EJECUCION'!$C$9:$C$1208,MATCH($AQ254,'2_IMPORTAR_EJECUCION'!$J$9:$J$1208,0)),""),'CAT_ESTADOS_ERP'!$A$4:$A$7,0)),"Pendiente"))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J254="","",IFERROR(INDEX('CALENDARIO'!$C$15:$C$214,MATCH(TEXT($J254,"yyyy-mm-dd")&amp;"|"&amp;$V254&amp;"|"&amp;$W254,'CALENDARIO'!$G$15:$G$214,0)),IFERROR(INDEX('CALENDARIO'!$C$15:$C$214,MATCH(TEXT($J254,"yyyy-mm-dd")&amp;"|"&amp;$V254&amp;"|",'CALENDARIO'!$G$15:$G$214,0)),IFERROR(INDEX('CALENDARIO'!$C$15:$C$214,MATCH(TEXT($J254,"yyyy-mm-dd")&amp;"||",'CALENDARIO'!$G$15:$G$214,0)),INDEX(patronHabil,WEEKDAY($J254,2))))))</f>
        <v/>
      </c>
      <c r="T254" s="3">
        <f>IF($I254="","",IFERROR(INDEX('CAT_TIPOS_OT'!$C$4:$C$7,MATCH($I254,'CAT_TIPOS_OT'!$A$4:$A$7,0)),"sin_clasificar"))</f>
        <v/>
      </c>
      <c r="U254" s="3">
        <f>IF($F254="","",IFERROR(INDEX('CAT_CENTROS_COSTO'!$F$4:$F$13,MATCH($F254,'CAT_CENTROS_COSTO'!$A$4:$A$13,0)),"(sin catálogo)"))</f>
        <v/>
      </c>
      <c r="V254" s="3">
        <f>IF($F254="","",IFERROR(INDEX('CAT_CENTROS_COSTO'!$D$4:$D$13,MATCH($F254,'CAT_CENTROS_COSTO'!$A$4:$A$13,0)),"(sin catálogo)"))</f>
        <v/>
      </c>
      <c r="W254" s="3">
        <f>IF($F254="","",IF((IFERROR(INDEX('CAT_CENTROS_COSTO'!$E$4:$E$13,MATCH($F254,'CAT_CENTROS_COSTO'!$A$4:$A$13,0)),""))&lt;&gt;"",IFERROR(INDEX('CAT_CENTROS_COSTO'!$E$4:$E$13,MATCH($F254,'CAT_CENTROS_COSTO'!$A$4:$A$13,0)),""),$V254))</f>
        <v/>
      </c>
      <c r="X254" s="3">
        <f>IF($F254="","",IFERROR(INDEX('CAT_CENTROS_COSTO'!$G$4:$G$13,MATCH($F254,'CAT_CENTROS_COSTO'!$A$4:$A$13,0)),"(sin catálogo)"))</f>
        <v/>
      </c>
      <c r="Y254" s="3">
        <f>IF($G254="","",IFERROR(INDEX('CAT_PUESTOS'!$B$4:$B$8,MATCH($G254,'CAT_PUESTOS'!$A$4:$A$8,0)),"(sin catálogo)"))</f>
        <v/>
      </c>
      <c r="Z254" s="3">
        <f>IF($H254="","",IFERROR(INDEX('CAT_ACTIVIDADES'!$B$4:$B$8,MATCH($H254,'CAT_ACTIVIDADES'!$A$4:$A$8,0)),"(sin catálogo)"))</f>
        <v/>
      </c>
      <c r="AA254" s="12">
        <f>IF($J254="","",TODAY()-$J254)</f>
        <v/>
      </c>
      <c r="AB254" s="12">
        <f>IF($J254="","",IF($J254&lt;=TODAY(),COUNTIFS(cal_fechas,"&gt;="&amp;$J254,cal_fechas,"&lt;"&amp;TODAY(),cal_habil,"sí"),-COUNTIFS(cal_fechas,"&gt;="&amp;TODAY(),cal_fechas,"&lt;"&amp;$J254,cal_habil,"sí")))</f>
        <v/>
      </c>
      <c r="AC254" s="3">
        <f>IF($AB254="","",IF($AB254&lt;0,"FUTURO",IF($AB254&gt;p_dias_backlog_max,"BACKLOG","MES CORRIENTE")))</f>
        <v/>
      </c>
      <c r="AD254" s="3">
        <f>IF($AB254="",FALSE,AND($AB254&gt;p_dias_backlog_min,$AB254&lt;=p_dias_backlog_max))</f>
        <v/>
      </c>
      <c r="AE254" s="6" t="n"/>
      <c r="AF254" s="3">
        <f>IF($AE254="","",IF((IFERROR(INDEX('ASIGNACIONES'!$F$4:$F$339,MATCH($O254&amp;"|"&amp;$R254&amp;"|"&amp;$AE254,'ASIGNACIONES'!$J$4:$J$339,0)),""))=0,"",IFERROR(INDEX('ASIGNACIONES'!$F$4:$F$339,MATCH($O254&amp;"|"&amp;$R254&amp;"|"&amp;$AE254,'ASIGNACIONES'!$J$4:$J$339,0)),"")))</f>
        <v/>
      </c>
      <c r="AG254" s="13">
        <f>IF($AE254="","",SUMIFS('ORDENES'!$M$4:$M$1203,'ORDENES'!$AE$4:$AE$1203,$AE254,'ORDENES'!$O$4:$O$1203,$O254,'ORDENES'!$R$4:$R$1203,$R254))</f>
        <v/>
      </c>
      <c r="AH254" s="13">
        <f>IF($AG254="","",p_factor_productividad*IFERROR(INDEX('ASIGNACIONES'!$I$4:$I$339,MATCH($O254&amp;"|"&amp;$R254&amp;"|"&amp;$AE254,'ASIGNACIONES'!$J$4:$J$339,0)),0)-$AG254)</f>
        <v/>
      </c>
      <c r="AI254" s="10">
        <f>IF($A254="","",IFERROR(INDEX('2_IMPORTAR_EJECUCION'!$F$9:$F$1208,MATCH($AQ254,'2_IMPORTAR_EJECUCION'!$J$9:$J$1208,0)),0))</f>
        <v/>
      </c>
      <c r="AJ254" s="10">
        <f>IF($A254="","",MAX(0,IFERROR(INDEX('2_IMPORTAR_EJECUCION'!$H$9:$H$1208,MATCH($AQ254,'2_IMPORTAR_EJECUCION'!$J$9:$J$1208,0)),0)-$AI254))</f>
        <v/>
      </c>
      <c r="AK254" s="10">
        <f>IF($A254="","",$AI254+$AJ254)</f>
        <v/>
      </c>
      <c r="AL254" s="6" t="n"/>
      <c r="AM254" s="6" t="n"/>
      <c r="AN254" s="6" t="n"/>
      <c r="AO254" s="3">
        <f>IF($AN254="","",HYPERLINK(p_ruta_base_checklists&amp;$AN254,"abrir"))</f>
        <v/>
      </c>
      <c r="AP254" s="6" t="n"/>
      <c r="AQ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IF($A255="","",IFERROR(INDEX('AJUSTES'!$B$4:$B$303,MATCH($AQ255,'AJUSTES'!$A$4:$A$303,0)),IF($K255="","",$K255)))</f>
        <v/>
      </c>
      <c r="N255" s="3">
        <f>IF($A255="","",IFERROR(INDEX('CAT_ESTADOS_ERP'!$B$4:$B$7,MATCH(IFERROR(INDEX('2_IMPORTAR_EJECUCION'!$C$9:$C$1208,MATCH($AQ255,'2_IMPORTAR_EJECUCION'!$J$9:$J$1208,0)),""),'CAT_ESTADOS_ERP'!$A$4:$A$7,0)),"Pendiente"))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J255="","",IFERROR(INDEX('CALENDARIO'!$C$15:$C$214,MATCH(TEXT($J255,"yyyy-mm-dd")&amp;"|"&amp;$V255&amp;"|"&amp;$W255,'CALENDARIO'!$G$15:$G$214,0)),IFERROR(INDEX('CALENDARIO'!$C$15:$C$214,MATCH(TEXT($J255,"yyyy-mm-dd")&amp;"|"&amp;$V255&amp;"|",'CALENDARIO'!$G$15:$G$214,0)),IFERROR(INDEX('CALENDARIO'!$C$15:$C$214,MATCH(TEXT($J255,"yyyy-mm-dd")&amp;"||",'CALENDARIO'!$G$15:$G$214,0)),INDEX(patronHabil,WEEKDAY($J255,2))))))</f>
        <v/>
      </c>
      <c r="T255" s="3">
        <f>IF($I255="","",IFERROR(INDEX('CAT_TIPOS_OT'!$C$4:$C$7,MATCH($I255,'CAT_TIPOS_OT'!$A$4:$A$7,0)),"sin_clasificar"))</f>
        <v/>
      </c>
      <c r="U255" s="3">
        <f>IF($F255="","",IFERROR(INDEX('CAT_CENTROS_COSTO'!$F$4:$F$13,MATCH($F255,'CAT_CENTROS_COSTO'!$A$4:$A$13,0)),"(sin catálogo)"))</f>
        <v/>
      </c>
      <c r="V255" s="3">
        <f>IF($F255="","",IFERROR(INDEX('CAT_CENTROS_COSTO'!$D$4:$D$13,MATCH($F255,'CAT_CENTROS_COSTO'!$A$4:$A$13,0)),"(sin catálogo)"))</f>
        <v/>
      </c>
      <c r="W255" s="3">
        <f>IF($F255="","",IF((IFERROR(INDEX('CAT_CENTROS_COSTO'!$E$4:$E$13,MATCH($F255,'CAT_CENTROS_COSTO'!$A$4:$A$13,0)),""))&lt;&gt;"",IFERROR(INDEX('CAT_CENTROS_COSTO'!$E$4:$E$13,MATCH($F255,'CAT_CENTROS_COSTO'!$A$4:$A$13,0)),""),$V255))</f>
        <v/>
      </c>
      <c r="X255" s="3">
        <f>IF($F255="","",IFERROR(INDEX('CAT_CENTROS_COSTO'!$G$4:$G$13,MATCH($F255,'CAT_CENTROS_COSTO'!$A$4:$A$13,0)),"(sin catálogo)"))</f>
        <v/>
      </c>
      <c r="Y255" s="3">
        <f>IF($G255="","",IFERROR(INDEX('CAT_PUESTOS'!$B$4:$B$8,MATCH($G255,'CAT_PUESTOS'!$A$4:$A$8,0)),"(sin catálogo)"))</f>
        <v/>
      </c>
      <c r="Z255" s="3">
        <f>IF($H255="","",IFERROR(INDEX('CAT_ACTIVIDADES'!$B$4:$B$8,MATCH($H255,'CAT_ACTIVIDADES'!$A$4:$A$8,0)),"(sin catálogo)"))</f>
        <v/>
      </c>
      <c r="AA255" s="12">
        <f>IF($J255="","",TODAY()-$J255)</f>
        <v/>
      </c>
      <c r="AB255" s="12">
        <f>IF($J255="","",IF($J255&lt;=TODAY(),COUNTIFS(cal_fechas,"&gt;="&amp;$J255,cal_fechas,"&lt;"&amp;TODAY(),cal_habil,"sí"),-COUNTIFS(cal_fechas,"&gt;="&amp;TODAY(),cal_fechas,"&lt;"&amp;$J255,cal_habil,"sí")))</f>
        <v/>
      </c>
      <c r="AC255" s="3">
        <f>IF($AB255="","",IF($AB255&lt;0,"FUTURO",IF($AB255&gt;p_dias_backlog_max,"BACKLOG","MES CORRIENTE")))</f>
        <v/>
      </c>
      <c r="AD255" s="3">
        <f>IF($AB255="",FALSE,AND($AB255&gt;p_dias_backlog_min,$AB255&lt;=p_dias_backlog_max))</f>
        <v/>
      </c>
      <c r="AE255" s="6" t="n"/>
      <c r="AF255" s="3">
        <f>IF($AE255="","",IF((IFERROR(INDEX('ASIGNACIONES'!$F$4:$F$339,MATCH($O255&amp;"|"&amp;$R255&amp;"|"&amp;$AE255,'ASIGNACIONES'!$J$4:$J$339,0)),""))=0,"",IFERROR(INDEX('ASIGNACIONES'!$F$4:$F$339,MATCH($O255&amp;"|"&amp;$R255&amp;"|"&amp;$AE255,'ASIGNACIONES'!$J$4:$J$339,0)),"")))</f>
        <v/>
      </c>
      <c r="AG255" s="13">
        <f>IF($AE255="","",SUMIFS('ORDENES'!$M$4:$M$1203,'ORDENES'!$AE$4:$AE$1203,$AE255,'ORDENES'!$O$4:$O$1203,$O255,'ORDENES'!$R$4:$R$1203,$R255))</f>
        <v/>
      </c>
      <c r="AH255" s="13">
        <f>IF($AG255="","",p_factor_productividad*IFERROR(INDEX('ASIGNACIONES'!$I$4:$I$339,MATCH($O255&amp;"|"&amp;$R255&amp;"|"&amp;$AE255,'ASIGNACIONES'!$J$4:$J$339,0)),0)-$AG255)</f>
        <v/>
      </c>
      <c r="AI255" s="10">
        <f>IF($A255="","",IFERROR(INDEX('2_IMPORTAR_EJECUCION'!$F$9:$F$1208,MATCH($AQ255,'2_IMPORTAR_EJECUCION'!$J$9:$J$1208,0)),0))</f>
        <v/>
      </c>
      <c r="AJ255" s="10">
        <f>IF($A255="","",MAX(0,IFERROR(INDEX('2_IMPORTAR_EJECUCION'!$H$9:$H$1208,MATCH($AQ255,'2_IMPORTAR_EJECUCION'!$J$9:$J$1208,0)),0)-$AI255))</f>
        <v/>
      </c>
      <c r="AK255" s="10">
        <f>IF($A255="","",$AI255+$AJ255)</f>
        <v/>
      </c>
      <c r="AL255" s="6" t="n"/>
      <c r="AM255" s="6" t="n"/>
      <c r="AN255" s="6" t="n"/>
      <c r="AO255" s="3">
        <f>IF($AN255="","",HYPERLINK(p_ruta_base_checklists&amp;$AN255,"abrir"))</f>
        <v/>
      </c>
      <c r="AP255" s="6" t="n"/>
      <c r="AQ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IF($A256="","",IFERROR(INDEX('AJUSTES'!$B$4:$B$303,MATCH($AQ256,'AJUSTES'!$A$4:$A$303,0)),IF($K256="","",$K256)))</f>
        <v/>
      </c>
      <c r="N256" s="3">
        <f>IF($A256="","",IFERROR(INDEX('CAT_ESTADOS_ERP'!$B$4:$B$7,MATCH(IFERROR(INDEX('2_IMPORTAR_EJECUCION'!$C$9:$C$1208,MATCH($AQ256,'2_IMPORTAR_EJECUCION'!$J$9:$J$1208,0)),""),'CAT_ESTADOS_ERP'!$A$4:$A$7,0)),"Pendiente"))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J256="","",IFERROR(INDEX('CALENDARIO'!$C$15:$C$214,MATCH(TEXT($J256,"yyyy-mm-dd")&amp;"|"&amp;$V256&amp;"|"&amp;$W256,'CALENDARIO'!$G$15:$G$214,0)),IFERROR(INDEX('CALENDARIO'!$C$15:$C$214,MATCH(TEXT($J256,"yyyy-mm-dd")&amp;"|"&amp;$V256&amp;"|",'CALENDARIO'!$G$15:$G$214,0)),IFERROR(INDEX('CALENDARIO'!$C$15:$C$214,MATCH(TEXT($J256,"yyyy-mm-dd")&amp;"||",'CALENDARIO'!$G$15:$G$214,0)),INDEX(patronHabil,WEEKDAY($J256,2))))))</f>
        <v/>
      </c>
      <c r="T256" s="3">
        <f>IF($I256="","",IFERROR(INDEX('CAT_TIPOS_OT'!$C$4:$C$7,MATCH($I256,'CAT_TIPOS_OT'!$A$4:$A$7,0)),"sin_clasificar"))</f>
        <v/>
      </c>
      <c r="U256" s="3">
        <f>IF($F256="","",IFERROR(INDEX('CAT_CENTROS_COSTO'!$F$4:$F$13,MATCH($F256,'CAT_CENTROS_COSTO'!$A$4:$A$13,0)),"(sin catálogo)"))</f>
        <v/>
      </c>
      <c r="V256" s="3">
        <f>IF($F256="","",IFERROR(INDEX('CAT_CENTROS_COSTO'!$D$4:$D$13,MATCH($F256,'CAT_CENTROS_COSTO'!$A$4:$A$13,0)),"(sin catálogo)"))</f>
        <v/>
      </c>
      <c r="W256" s="3">
        <f>IF($F256="","",IF((IFERROR(INDEX('CAT_CENTROS_COSTO'!$E$4:$E$13,MATCH($F256,'CAT_CENTROS_COSTO'!$A$4:$A$13,0)),""))&lt;&gt;"",IFERROR(INDEX('CAT_CENTROS_COSTO'!$E$4:$E$13,MATCH($F256,'CAT_CENTROS_COSTO'!$A$4:$A$13,0)),""),$V256))</f>
        <v/>
      </c>
      <c r="X256" s="3">
        <f>IF($F256="","",IFERROR(INDEX('CAT_CENTROS_COSTO'!$G$4:$G$13,MATCH($F256,'CAT_CENTROS_COSTO'!$A$4:$A$13,0)),"(sin catálogo)"))</f>
        <v/>
      </c>
      <c r="Y256" s="3">
        <f>IF($G256="","",IFERROR(INDEX('CAT_PUESTOS'!$B$4:$B$8,MATCH($G256,'CAT_PUESTOS'!$A$4:$A$8,0)),"(sin catálogo)"))</f>
        <v/>
      </c>
      <c r="Z256" s="3">
        <f>IF($H256="","",IFERROR(INDEX('CAT_ACTIVIDADES'!$B$4:$B$8,MATCH($H256,'CAT_ACTIVIDADES'!$A$4:$A$8,0)),"(sin catálogo)"))</f>
        <v/>
      </c>
      <c r="AA256" s="12">
        <f>IF($J256="","",TODAY()-$J256)</f>
        <v/>
      </c>
      <c r="AB256" s="12">
        <f>IF($J256="","",IF($J256&lt;=TODAY(),COUNTIFS(cal_fechas,"&gt;="&amp;$J256,cal_fechas,"&lt;"&amp;TODAY(),cal_habil,"sí"),-COUNTIFS(cal_fechas,"&gt;="&amp;TODAY(),cal_fechas,"&lt;"&amp;$J256,cal_habil,"sí")))</f>
        <v/>
      </c>
      <c r="AC256" s="3">
        <f>IF($AB256="","",IF($AB256&lt;0,"FUTURO",IF($AB256&gt;p_dias_backlog_max,"BACKLOG","MES CORRIENTE")))</f>
        <v/>
      </c>
      <c r="AD256" s="3">
        <f>IF($AB256="",FALSE,AND($AB256&gt;p_dias_backlog_min,$AB256&lt;=p_dias_backlog_max))</f>
        <v/>
      </c>
      <c r="AE256" s="6" t="n"/>
      <c r="AF256" s="3">
        <f>IF($AE256="","",IF((IFERROR(INDEX('ASIGNACIONES'!$F$4:$F$339,MATCH($O256&amp;"|"&amp;$R256&amp;"|"&amp;$AE256,'ASIGNACIONES'!$J$4:$J$339,0)),""))=0,"",IFERROR(INDEX('ASIGNACIONES'!$F$4:$F$339,MATCH($O256&amp;"|"&amp;$R256&amp;"|"&amp;$AE256,'ASIGNACIONES'!$J$4:$J$339,0)),"")))</f>
        <v/>
      </c>
      <c r="AG256" s="13">
        <f>IF($AE256="","",SUMIFS('ORDENES'!$M$4:$M$1203,'ORDENES'!$AE$4:$AE$1203,$AE256,'ORDENES'!$O$4:$O$1203,$O256,'ORDENES'!$R$4:$R$1203,$R256))</f>
        <v/>
      </c>
      <c r="AH256" s="13">
        <f>IF($AG256="","",p_factor_productividad*IFERROR(INDEX('ASIGNACIONES'!$I$4:$I$339,MATCH($O256&amp;"|"&amp;$R256&amp;"|"&amp;$AE256,'ASIGNACIONES'!$J$4:$J$339,0)),0)-$AG256)</f>
        <v/>
      </c>
      <c r="AI256" s="10">
        <f>IF($A256="","",IFERROR(INDEX('2_IMPORTAR_EJECUCION'!$F$9:$F$1208,MATCH($AQ256,'2_IMPORTAR_EJECUCION'!$J$9:$J$1208,0)),0))</f>
        <v/>
      </c>
      <c r="AJ256" s="10">
        <f>IF($A256="","",MAX(0,IFERROR(INDEX('2_IMPORTAR_EJECUCION'!$H$9:$H$1208,MATCH($AQ256,'2_IMPORTAR_EJECUCION'!$J$9:$J$1208,0)),0)-$AI256))</f>
        <v/>
      </c>
      <c r="AK256" s="10">
        <f>IF($A256="","",$AI256+$AJ256)</f>
        <v/>
      </c>
      <c r="AL256" s="6" t="n"/>
      <c r="AM256" s="6" t="n"/>
      <c r="AN256" s="6" t="n"/>
      <c r="AO256" s="3">
        <f>IF($AN256="","",HYPERLINK(p_ruta_base_checklists&amp;$AN256,"abrir"))</f>
        <v/>
      </c>
      <c r="AP256" s="6" t="n"/>
      <c r="AQ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IF($A257="","",IFERROR(INDEX('AJUSTES'!$B$4:$B$303,MATCH($AQ257,'AJUSTES'!$A$4:$A$303,0)),IF($K257="","",$K257)))</f>
        <v/>
      </c>
      <c r="N257" s="3">
        <f>IF($A257="","",IFERROR(INDEX('CAT_ESTADOS_ERP'!$B$4:$B$7,MATCH(IFERROR(INDEX('2_IMPORTAR_EJECUCION'!$C$9:$C$1208,MATCH($AQ257,'2_IMPORTAR_EJECUCION'!$J$9:$J$1208,0)),""),'CAT_ESTADOS_ERP'!$A$4:$A$7,0)),"Pendiente"))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J257="","",IFERROR(INDEX('CALENDARIO'!$C$15:$C$214,MATCH(TEXT($J257,"yyyy-mm-dd")&amp;"|"&amp;$V257&amp;"|"&amp;$W257,'CALENDARIO'!$G$15:$G$214,0)),IFERROR(INDEX('CALENDARIO'!$C$15:$C$214,MATCH(TEXT($J257,"yyyy-mm-dd")&amp;"|"&amp;$V257&amp;"|",'CALENDARIO'!$G$15:$G$214,0)),IFERROR(INDEX('CALENDARIO'!$C$15:$C$214,MATCH(TEXT($J257,"yyyy-mm-dd")&amp;"||",'CALENDARIO'!$G$15:$G$214,0)),INDEX(patronHabil,WEEKDAY($J257,2))))))</f>
        <v/>
      </c>
      <c r="T257" s="3">
        <f>IF($I257="","",IFERROR(INDEX('CAT_TIPOS_OT'!$C$4:$C$7,MATCH($I257,'CAT_TIPOS_OT'!$A$4:$A$7,0)),"sin_clasificar"))</f>
        <v/>
      </c>
      <c r="U257" s="3">
        <f>IF($F257="","",IFERROR(INDEX('CAT_CENTROS_COSTO'!$F$4:$F$13,MATCH($F257,'CAT_CENTROS_COSTO'!$A$4:$A$13,0)),"(sin catálogo)"))</f>
        <v/>
      </c>
      <c r="V257" s="3">
        <f>IF($F257="","",IFERROR(INDEX('CAT_CENTROS_COSTO'!$D$4:$D$13,MATCH($F257,'CAT_CENTROS_COSTO'!$A$4:$A$13,0)),"(sin catálogo)"))</f>
        <v/>
      </c>
      <c r="W257" s="3">
        <f>IF($F257="","",IF((IFERROR(INDEX('CAT_CENTROS_COSTO'!$E$4:$E$13,MATCH($F257,'CAT_CENTROS_COSTO'!$A$4:$A$13,0)),""))&lt;&gt;"",IFERROR(INDEX('CAT_CENTROS_COSTO'!$E$4:$E$13,MATCH($F257,'CAT_CENTROS_COSTO'!$A$4:$A$13,0)),""),$V257))</f>
        <v/>
      </c>
      <c r="X257" s="3">
        <f>IF($F257="","",IFERROR(INDEX('CAT_CENTROS_COSTO'!$G$4:$G$13,MATCH($F257,'CAT_CENTROS_COSTO'!$A$4:$A$13,0)),"(sin catálogo)"))</f>
        <v/>
      </c>
      <c r="Y257" s="3">
        <f>IF($G257="","",IFERROR(INDEX('CAT_PUESTOS'!$B$4:$B$8,MATCH($G257,'CAT_PUESTOS'!$A$4:$A$8,0)),"(sin catálogo)"))</f>
        <v/>
      </c>
      <c r="Z257" s="3">
        <f>IF($H257="","",IFERROR(INDEX('CAT_ACTIVIDADES'!$B$4:$B$8,MATCH($H257,'CAT_ACTIVIDADES'!$A$4:$A$8,0)),"(sin catálogo)"))</f>
        <v/>
      </c>
      <c r="AA257" s="12">
        <f>IF($J257="","",TODAY()-$J257)</f>
        <v/>
      </c>
      <c r="AB257" s="12">
        <f>IF($J257="","",IF($J257&lt;=TODAY(),COUNTIFS(cal_fechas,"&gt;="&amp;$J257,cal_fechas,"&lt;"&amp;TODAY(),cal_habil,"sí"),-COUNTIFS(cal_fechas,"&gt;="&amp;TODAY(),cal_fechas,"&lt;"&amp;$J257,cal_habil,"sí")))</f>
        <v/>
      </c>
      <c r="AC257" s="3">
        <f>IF($AB257="","",IF($AB257&lt;0,"FUTURO",IF($AB257&gt;p_dias_backlog_max,"BACKLOG","MES CORRIENTE")))</f>
        <v/>
      </c>
      <c r="AD257" s="3">
        <f>IF($AB257="",FALSE,AND($AB257&gt;p_dias_backlog_min,$AB257&lt;=p_dias_backlog_max))</f>
        <v/>
      </c>
      <c r="AE257" s="6" t="n"/>
      <c r="AF257" s="3">
        <f>IF($AE257="","",IF((IFERROR(INDEX('ASIGNACIONES'!$F$4:$F$339,MATCH($O257&amp;"|"&amp;$R257&amp;"|"&amp;$AE257,'ASIGNACIONES'!$J$4:$J$339,0)),""))=0,"",IFERROR(INDEX('ASIGNACIONES'!$F$4:$F$339,MATCH($O257&amp;"|"&amp;$R257&amp;"|"&amp;$AE257,'ASIGNACIONES'!$J$4:$J$339,0)),"")))</f>
        <v/>
      </c>
      <c r="AG257" s="13">
        <f>IF($AE257="","",SUMIFS('ORDENES'!$M$4:$M$1203,'ORDENES'!$AE$4:$AE$1203,$AE257,'ORDENES'!$O$4:$O$1203,$O257,'ORDENES'!$R$4:$R$1203,$R257))</f>
        <v/>
      </c>
      <c r="AH257" s="13">
        <f>IF($AG257="","",p_factor_productividad*IFERROR(INDEX('ASIGNACIONES'!$I$4:$I$339,MATCH($O257&amp;"|"&amp;$R257&amp;"|"&amp;$AE257,'ASIGNACIONES'!$J$4:$J$339,0)),0)-$AG257)</f>
        <v/>
      </c>
      <c r="AI257" s="10">
        <f>IF($A257="","",IFERROR(INDEX('2_IMPORTAR_EJECUCION'!$F$9:$F$1208,MATCH($AQ257,'2_IMPORTAR_EJECUCION'!$J$9:$J$1208,0)),0))</f>
        <v/>
      </c>
      <c r="AJ257" s="10">
        <f>IF($A257="","",MAX(0,IFERROR(INDEX('2_IMPORTAR_EJECUCION'!$H$9:$H$1208,MATCH($AQ257,'2_IMPORTAR_EJECUCION'!$J$9:$J$1208,0)),0)-$AI257))</f>
        <v/>
      </c>
      <c r="AK257" s="10">
        <f>IF($A257="","",$AI257+$AJ257)</f>
        <v/>
      </c>
      <c r="AL257" s="6" t="n"/>
      <c r="AM257" s="6" t="n"/>
      <c r="AN257" s="6" t="n"/>
      <c r="AO257" s="3">
        <f>IF($AN257="","",HYPERLINK(p_ruta_base_checklists&amp;$AN257,"abrir"))</f>
        <v/>
      </c>
      <c r="AP257" s="6" t="n"/>
      <c r="AQ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IF($A258="","",IFERROR(INDEX('AJUSTES'!$B$4:$B$303,MATCH($AQ258,'AJUSTES'!$A$4:$A$303,0)),IF($K258="","",$K258)))</f>
        <v/>
      </c>
      <c r="N258" s="3">
        <f>IF($A258="","",IFERROR(INDEX('CAT_ESTADOS_ERP'!$B$4:$B$7,MATCH(IFERROR(INDEX('2_IMPORTAR_EJECUCION'!$C$9:$C$1208,MATCH($AQ258,'2_IMPORTAR_EJECUCION'!$J$9:$J$1208,0)),""),'CAT_ESTADOS_ERP'!$A$4:$A$7,0)),"Pendiente"))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J258="","",IFERROR(INDEX('CALENDARIO'!$C$15:$C$214,MATCH(TEXT($J258,"yyyy-mm-dd")&amp;"|"&amp;$V258&amp;"|"&amp;$W258,'CALENDARIO'!$G$15:$G$214,0)),IFERROR(INDEX('CALENDARIO'!$C$15:$C$214,MATCH(TEXT($J258,"yyyy-mm-dd")&amp;"|"&amp;$V258&amp;"|",'CALENDARIO'!$G$15:$G$214,0)),IFERROR(INDEX('CALENDARIO'!$C$15:$C$214,MATCH(TEXT($J258,"yyyy-mm-dd")&amp;"||",'CALENDARIO'!$G$15:$G$214,0)),INDEX(patronHabil,WEEKDAY($J258,2))))))</f>
        <v/>
      </c>
      <c r="T258" s="3">
        <f>IF($I258="","",IFERROR(INDEX('CAT_TIPOS_OT'!$C$4:$C$7,MATCH($I258,'CAT_TIPOS_OT'!$A$4:$A$7,0)),"sin_clasificar"))</f>
        <v/>
      </c>
      <c r="U258" s="3">
        <f>IF($F258="","",IFERROR(INDEX('CAT_CENTROS_COSTO'!$F$4:$F$13,MATCH($F258,'CAT_CENTROS_COSTO'!$A$4:$A$13,0)),"(sin catálogo)"))</f>
        <v/>
      </c>
      <c r="V258" s="3">
        <f>IF($F258="","",IFERROR(INDEX('CAT_CENTROS_COSTO'!$D$4:$D$13,MATCH($F258,'CAT_CENTROS_COSTO'!$A$4:$A$13,0)),"(sin catálogo)"))</f>
        <v/>
      </c>
      <c r="W258" s="3">
        <f>IF($F258="","",IF((IFERROR(INDEX('CAT_CENTROS_COSTO'!$E$4:$E$13,MATCH($F258,'CAT_CENTROS_COSTO'!$A$4:$A$13,0)),""))&lt;&gt;"",IFERROR(INDEX('CAT_CENTROS_COSTO'!$E$4:$E$13,MATCH($F258,'CAT_CENTROS_COSTO'!$A$4:$A$13,0)),""),$V258))</f>
        <v/>
      </c>
      <c r="X258" s="3">
        <f>IF($F258="","",IFERROR(INDEX('CAT_CENTROS_COSTO'!$G$4:$G$13,MATCH($F258,'CAT_CENTROS_COSTO'!$A$4:$A$13,0)),"(sin catálogo)"))</f>
        <v/>
      </c>
      <c r="Y258" s="3">
        <f>IF($G258="","",IFERROR(INDEX('CAT_PUESTOS'!$B$4:$B$8,MATCH($G258,'CAT_PUESTOS'!$A$4:$A$8,0)),"(sin catálogo)"))</f>
        <v/>
      </c>
      <c r="Z258" s="3">
        <f>IF($H258="","",IFERROR(INDEX('CAT_ACTIVIDADES'!$B$4:$B$8,MATCH($H258,'CAT_ACTIVIDADES'!$A$4:$A$8,0)),"(sin catálogo)"))</f>
        <v/>
      </c>
      <c r="AA258" s="12">
        <f>IF($J258="","",TODAY()-$J258)</f>
        <v/>
      </c>
      <c r="AB258" s="12">
        <f>IF($J258="","",IF($J258&lt;=TODAY(),COUNTIFS(cal_fechas,"&gt;="&amp;$J258,cal_fechas,"&lt;"&amp;TODAY(),cal_habil,"sí"),-COUNTIFS(cal_fechas,"&gt;="&amp;TODAY(),cal_fechas,"&lt;"&amp;$J258,cal_habil,"sí")))</f>
        <v/>
      </c>
      <c r="AC258" s="3">
        <f>IF($AB258="","",IF($AB258&lt;0,"FUTURO",IF($AB258&gt;p_dias_backlog_max,"BACKLOG","MES CORRIENTE")))</f>
        <v/>
      </c>
      <c r="AD258" s="3">
        <f>IF($AB258="",FALSE,AND($AB258&gt;p_dias_backlog_min,$AB258&lt;=p_dias_backlog_max))</f>
        <v/>
      </c>
      <c r="AE258" s="6" t="n"/>
      <c r="AF258" s="3">
        <f>IF($AE258="","",IF((IFERROR(INDEX('ASIGNACIONES'!$F$4:$F$339,MATCH($O258&amp;"|"&amp;$R258&amp;"|"&amp;$AE258,'ASIGNACIONES'!$J$4:$J$339,0)),""))=0,"",IFERROR(INDEX('ASIGNACIONES'!$F$4:$F$339,MATCH($O258&amp;"|"&amp;$R258&amp;"|"&amp;$AE258,'ASIGNACIONES'!$J$4:$J$339,0)),"")))</f>
        <v/>
      </c>
      <c r="AG258" s="13">
        <f>IF($AE258="","",SUMIFS('ORDENES'!$M$4:$M$1203,'ORDENES'!$AE$4:$AE$1203,$AE258,'ORDENES'!$O$4:$O$1203,$O258,'ORDENES'!$R$4:$R$1203,$R258))</f>
        <v/>
      </c>
      <c r="AH258" s="13">
        <f>IF($AG258="","",p_factor_productividad*IFERROR(INDEX('ASIGNACIONES'!$I$4:$I$339,MATCH($O258&amp;"|"&amp;$R258&amp;"|"&amp;$AE258,'ASIGNACIONES'!$J$4:$J$339,0)),0)-$AG258)</f>
        <v/>
      </c>
      <c r="AI258" s="10">
        <f>IF($A258="","",IFERROR(INDEX('2_IMPORTAR_EJECUCION'!$F$9:$F$1208,MATCH($AQ258,'2_IMPORTAR_EJECUCION'!$J$9:$J$1208,0)),0))</f>
        <v/>
      </c>
      <c r="AJ258" s="10">
        <f>IF($A258="","",MAX(0,IFERROR(INDEX('2_IMPORTAR_EJECUCION'!$H$9:$H$1208,MATCH($AQ258,'2_IMPORTAR_EJECUCION'!$J$9:$J$1208,0)),0)-$AI258))</f>
        <v/>
      </c>
      <c r="AK258" s="10">
        <f>IF($A258="","",$AI258+$AJ258)</f>
        <v/>
      </c>
      <c r="AL258" s="6" t="n"/>
      <c r="AM258" s="6" t="n"/>
      <c r="AN258" s="6" t="n"/>
      <c r="AO258" s="3">
        <f>IF($AN258="","",HYPERLINK(p_ruta_base_checklists&amp;$AN258,"abrir"))</f>
        <v/>
      </c>
      <c r="AP258" s="6" t="n"/>
      <c r="AQ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IF($A259="","",IFERROR(INDEX('AJUSTES'!$B$4:$B$303,MATCH($AQ259,'AJUSTES'!$A$4:$A$303,0)),IF($K259="","",$K259)))</f>
        <v/>
      </c>
      <c r="N259" s="3">
        <f>IF($A259="","",IFERROR(INDEX('CAT_ESTADOS_ERP'!$B$4:$B$7,MATCH(IFERROR(INDEX('2_IMPORTAR_EJECUCION'!$C$9:$C$1208,MATCH($AQ259,'2_IMPORTAR_EJECUCION'!$J$9:$J$1208,0)),""),'CAT_ESTADOS_ERP'!$A$4:$A$7,0)),"Pendiente"))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J259="","",IFERROR(INDEX('CALENDARIO'!$C$15:$C$214,MATCH(TEXT($J259,"yyyy-mm-dd")&amp;"|"&amp;$V259&amp;"|"&amp;$W259,'CALENDARIO'!$G$15:$G$214,0)),IFERROR(INDEX('CALENDARIO'!$C$15:$C$214,MATCH(TEXT($J259,"yyyy-mm-dd")&amp;"|"&amp;$V259&amp;"|",'CALENDARIO'!$G$15:$G$214,0)),IFERROR(INDEX('CALENDARIO'!$C$15:$C$214,MATCH(TEXT($J259,"yyyy-mm-dd")&amp;"||",'CALENDARIO'!$G$15:$G$214,0)),INDEX(patronHabil,WEEKDAY($J259,2))))))</f>
        <v/>
      </c>
      <c r="T259" s="3">
        <f>IF($I259="","",IFERROR(INDEX('CAT_TIPOS_OT'!$C$4:$C$7,MATCH($I259,'CAT_TIPOS_OT'!$A$4:$A$7,0)),"sin_clasificar"))</f>
        <v/>
      </c>
      <c r="U259" s="3">
        <f>IF($F259="","",IFERROR(INDEX('CAT_CENTROS_COSTO'!$F$4:$F$13,MATCH($F259,'CAT_CENTROS_COSTO'!$A$4:$A$13,0)),"(sin catálogo)"))</f>
        <v/>
      </c>
      <c r="V259" s="3">
        <f>IF($F259="","",IFERROR(INDEX('CAT_CENTROS_COSTO'!$D$4:$D$13,MATCH($F259,'CAT_CENTROS_COSTO'!$A$4:$A$13,0)),"(sin catálogo)"))</f>
        <v/>
      </c>
      <c r="W259" s="3">
        <f>IF($F259="","",IF((IFERROR(INDEX('CAT_CENTROS_COSTO'!$E$4:$E$13,MATCH($F259,'CAT_CENTROS_COSTO'!$A$4:$A$13,0)),""))&lt;&gt;"",IFERROR(INDEX('CAT_CENTROS_COSTO'!$E$4:$E$13,MATCH($F259,'CAT_CENTROS_COSTO'!$A$4:$A$13,0)),""),$V259))</f>
        <v/>
      </c>
      <c r="X259" s="3">
        <f>IF($F259="","",IFERROR(INDEX('CAT_CENTROS_COSTO'!$G$4:$G$13,MATCH($F259,'CAT_CENTROS_COSTO'!$A$4:$A$13,0)),"(sin catálogo)"))</f>
        <v/>
      </c>
      <c r="Y259" s="3">
        <f>IF($G259="","",IFERROR(INDEX('CAT_PUESTOS'!$B$4:$B$8,MATCH($G259,'CAT_PUESTOS'!$A$4:$A$8,0)),"(sin catálogo)"))</f>
        <v/>
      </c>
      <c r="Z259" s="3">
        <f>IF($H259="","",IFERROR(INDEX('CAT_ACTIVIDADES'!$B$4:$B$8,MATCH($H259,'CAT_ACTIVIDADES'!$A$4:$A$8,0)),"(sin catálogo)"))</f>
        <v/>
      </c>
      <c r="AA259" s="12">
        <f>IF($J259="","",TODAY()-$J259)</f>
        <v/>
      </c>
      <c r="AB259" s="12">
        <f>IF($J259="","",IF($J259&lt;=TODAY(),COUNTIFS(cal_fechas,"&gt;="&amp;$J259,cal_fechas,"&lt;"&amp;TODAY(),cal_habil,"sí"),-COUNTIFS(cal_fechas,"&gt;="&amp;TODAY(),cal_fechas,"&lt;"&amp;$J259,cal_habil,"sí")))</f>
        <v/>
      </c>
      <c r="AC259" s="3">
        <f>IF($AB259="","",IF($AB259&lt;0,"FUTURO",IF($AB259&gt;p_dias_backlog_max,"BACKLOG","MES CORRIENTE")))</f>
        <v/>
      </c>
      <c r="AD259" s="3">
        <f>IF($AB259="",FALSE,AND($AB259&gt;p_dias_backlog_min,$AB259&lt;=p_dias_backlog_max))</f>
        <v/>
      </c>
      <c r="AE259" s="6" t="n"/>
      <c r="AF259" s="3">
        <f>IF($AE259="","",IF((IFERROR(INDEX('ASIGNACIONES'!$F$4:$F$339,MATCH($O259&amp;"|"&amp;$R259&amp;"|"&amp;$AE259,'ASIGNACIONES'!$J$4:$J$339,0)),""))=0,"",IFERROR(INDEX('ASIGNACIONES'!$F$4:$F$339,MATCH($O259&amp;"|"&amp;$R259&amp;"|"&amp;$AE259,'ASIGNACIONES'!$J$4:$J$339,0)),"")))</f>
        <v/>
      </c>
      <c r="AG259" s="13">
        <f>IF($AE259="","",SUMIFS('ORDENES'!$M$4:$M$1203,'ORDENES'!$AE$4:$AE$1203,$AE259,'ORDENES'!$O$4:$O$1203,$O259,'ORDENES'!$R$4:$R$1203,$R259))</f>
        <v/>
      </c>
      <c r="AH259" s="13">
        <f>IF($AG259="","",p_factor_productividad*IFERROR(INDEX('ASIGNACIONES'!$I$4:$I$339,MATCH($O259&amp;"|"&amp;$R259&amp;"|"&amp;$AE259,'ASIGNACIONES'!$J$4:$J$339,0)),0)-$AG259)</f>
        <v/>
      </c>
      <c r="AI259" s="10">
        <f>IF($A259="","",IFERROR(INDEX('2_IMPORTAR_EJECUCION'!$F$9:$F$1208,MATCH($AQ259,'2_IMPORTAR_EJECUCION'!$J$9:$J$1208,0)),0))</f>
        <v/>
      </c>
      <c r="AJ259" s="10">
        <f>IF($A259="","",MAX(0,IFERROR(INDEX('2_IMPORTAR_EJECUCION'!$H$9:$H$1208,MATCH($AQ259,'2_IMPORTAR_EJECUCION'!$J$9:$J$1208,0)),0)-$AI259))</f>
        <v/>
      </c>
      <c r="AK259" s="10">
        <f>IF($A259="","",$AI259+$AJ259)</f>
        <v/>
      </c>
      <c r="AL259" s="6" t="n"/>
      <c r="AM259" s="6" t="n"/>
      <c r="AN259" s="6" t="n"/>
      <c r="AO259" s="3">
        <f>IF($AN259="","",HYPERLINK(p_ruta_base_checklists&amp;$AN259,"abrir"))</f>
        <v/>
      </c>
      <c r="AP259" s="6" t="n"/>
      <c r="AQ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IF($A260="","",IFERROR(INDEX('AJUSTES'!$B$4:$B$303,MATCH($AQ260,'AJUSTES'!$A$4:$A$303,0)),IF($K260="","",$K260)))</f>
        <v/>
      </c>
      <c r="N260" s="3">
        <f>IF($A260="","",IFERROR(INDEX('CAT_ESTADOS_ERP'!$B$4:$B$7,MATCH(IFERROR(INDEX('2_IMPORTAR_EJECUCION'!$C$9:$C$1208,MATCH($AQ260,'2_IMPORTAR_EJECUCION'!$J$9:$J$1208,0)),""),'CAT_ESTADOS_ERP'!$A$4:$A$7,0)),"Pendiente"))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J260="","",IFERROR(INDEX('CALENDARIO'!$C$15:$C$214,MATCH(TEXT($J260,"yyyy-mm-dd")&amp;"|"&amp;$V260&amp;"|"&amp;$W260,'CALENDARIO'!$G$15:$G$214,0)),IFERROR(INDEX('CALENDARIO'!$C$15:$C$214,MATCH(TEXT($J260,"yyyy-mm-dd")&amp;"|"&amp;$V260&amp;"|",'CALENDARIO'!$G$15:$G$214,0)),IFERROR(INDEX('CALENDARIO'!$C$15:$C$214,MATCH(TEXT($J260,"yyyy-mm-dd")&amp;"||",'CALENDARIO'!$G$15:$G$214,0)),INDEX(patronHabil,WEEKDAY($J260,2))))))</f>
        <v/>
      </c>
      <c r="T260" s="3">
        <f>IF($I260="","",IFERROR(INDEX('CAT_TIPOS_OT'!$C$4:$C$7,MATCH($I260,'CAT_TIPOS_OT'!$A$4:$A$7,0)),"sin_clasificar"))</f>
        <v/>
      </c>
      <c r="U260" s="3">
        <f>IF($F260="","",IFERROR(INDEX('CAT_CENTROS_COSTO'!$F$4:$F$13,MATCH($F260,'CAT_CENTROS_COSTO'!$A$4:$A$13,0)),"(sin catálogo)"))</f>
        <v/>
      </c>
      <c r="V260" s="3">
        <f>IF($F260="","",IFERROR(INDEX('CAT_CENTROS_COSTO'!$D$4:$D$13,MATCH($F260,'CAT_CENTROS_COSTO'!$A$4:$A$13,0)),"(sin catálogo)"))</f>
        <v/>
      </c>
      <c r="W260" s="3">
        <f>IF($F260="","",IF((IFERROR(INDEX('CAT_CENTROS_COSTO'!$E$4:$E$13,MATCH($F260,'CAT_CENTROS_COSTO'!$A$4:$A$13,0)),""))&lt;&gt;"",IFERROR(INDEX('CAT_CENTROS_COSTO'!$E$4:$E$13,MATCH($F260,'CAT_CENTROS_COSTO'!$A$4:$A$13,0)),""),$V260))</f>
        <v/>
      </c>
      <c r="X260" s="3">
        <f>IF($F260="","",IFERROR(INDEX('CAT_CENTROS_COSTO'!$G$4:$G$13,MATCH($F260,'CAT_CENTROS_COSTO'!$A$4:$A$13,0)),"(sin catálogo)"))</f>
        <v/>
      </c>
      <c r="Y260" s="3">
        <f>IF($G260="","",IFERROR(INDEX('CAT_PUESTOS'!$B$4:$B$8,MATCH($G260,'CAT_PUESTOS'!$A$4:$A$8,0)),"(sin catálogo)"))</f>
        <v/>
      </c>
      <c r="Z260" s="3">
        <f>IF($H260="","",IFERROR(INDEX('CAT_ACTIVIDADES'!$B$4:$B$8,MATCH($H260,'CAT_ACTIVIDADES'!$A$4:$A$8,0)),"(sin catálogo)"))</f>
        <v/>
      </c>
      <c r="AA260" s="12">
        <f>IF($J260="","",TODAY()-$J260)</f>
        <v/>
      </c>
      <c r="AB260" s="12">
        <f>IF($J260="","",IF($J260&lt;=TODAY(),COUNTIFS(cal_fechas,"&gt;="&amp;$J260,cal_fechas,"&lt;"&amp;TODAY(),cal_habil,"sí"),-COUNTIFS(cal_fechas,"&gt;="&amp;TODAY(),cal_fechas,"&lt;"&amp;$J260,cal_habil,"sí")))</f>
        <v/>
      </c>
      <c r="AC260" s="3">
        <f>IF($AB260="","",IF($AB260&lt;0,"FUTURO",IF($AB260&gt;p_dias_backlog_max,"BACKLOG","MES CORRIENTE")))</f>
        <v/>
      </c>
      <c r="AD260" s="3">
        <f>IF($AB260="",FALSE,AND($AB260&gt;p_dias_backlog_min,$AB260&lt;=p_dias_backlog_max))</f>
        <v/>
      </c>
      <c r="AE260" s="6" t="n"/>
      <c r="AF260" s="3">
        <f>IF($AE260="","",IF((IFERROR(INDEX('ASIGNACIONES'!$F$4:$F$339,MATCH($O260&amp;"|"&amp;$R260&amp;"|"&amp;$AE260,'ASIGNACIONES'!$J$4:$J$339,0)),""))=0,"",IFERROR(INDEX('ASIGNACIONES'!$F$4:$F$339,MATCH($O260&amp;"|"&amp;$R260&amp;"|"&amp;$AE260,'ASIGNACIONES'!$J$4:$J$339,0)),"")))</f>
        <v/>
      </c>
      <c r="AG260" s="13">
        <f>IF($AE260="","",SUMIFS('ORDENES'!$M$4:$M$1203,'ORDENES'!$AE$4:$AE$1203,$AE260,'ORDENES'!$O$4:$O$1203,$O260,'ORDENES'!$R$4:$R$1203,$R260))</f>
        <v/>
      </c>
      <c r="AH260" s="13">
        <f>IF($AG260="","",p_factor_productividad*IFERROR(INDEX('ASIGNACIONES'!$I$4:$I$339,MATCH($O260&amp;"|"&amp;$R260&amp;"|"&amp;$AE260,'ASIGNACIONES'!$J$4:$J$339,0)),0)-$AG260)</f>
        <v/>
      </c>
      <c r="AI260" s="10">
        <f>IF($A260="","",IFERROR(INDEX('2_IMPORTAR_EJECUCION'!$F$9:$F$1208,MATCH($AQ260,'2_IMPORTAR_EJECUCION'!$J$9:$J$1208,0)),0))</f>
        <v/>
      </c>
      <c r="AJ260" s="10">
        <f>IF($A260="","",MAX(0,IFERROR(INDEX('2_IMPORTAR_EJECUCION'!$H$9:$H$1208,MATCH($AQ260,'2_IMPORTAR_EJECUCION'!$J$9:$J$1208,0)),0)-$AI260))</f>
        <v/>
      </c>
      <c r="AK260" s="10">
        <f>IF($A260="","",$AI260+$AJ260)</f>
        <v/>
      </c>
      <c r="AL260" s="6" t="n"/>
      <c r="AM260" s="6" t="n"/>
      <c r="AN260" s="6" t="n"/>
      <c r="AO260" s="3">
        <f>IF($AN260="","",HYPERLINK(p_ruta_base_checklists&amp;$AN260,"abrir"))</f>
        <v/>
      </c>
      <c r="AP260" s="6" t="n"/>
      <c r="AQ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IF($A261="","",IFERROR(INDEX('AJUSTES'!$B$4:$B$303,MATCH($AQ261,'AJUSTES'!$A$4:$A$303,0)),IF($K261="","",$K261)))</f>
        <v/>
      </c>
      <c r="N261" s="3">
        <f>IF($A261="","",IFERROR(INDEX('CAT_ESTADOS_ERP'!$B$4:$B$7,MATCH(IFERROR(INDEX('2_IMPORTAR_EJECUCION'!$C$9:$C$1208,MATCH($AQ261,'2_IMPORTAR_EJECUCION'!$J$9:$J$1208,0)),""),'CAT_ESTADOS_ERP'!$A$4:$A$7,0)),"Pendiente"))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J261="","",IFERROR(INDEX('CALENDARIO'!$C$15:$C$214,MATCH(TEXT($J261,"yyyy-mm-dd")&amp;"|"&amp;$V261&amp;"|"&amp;$W261,'CALENDARIO'!$G$15:$G$214,0)),IFERROR(INDEX('CALENDARIO'!$C$15:$C$214,MATCH(TEXT($J261,"yyyy-mm-dd")&amp;"|"&amp;$V261&amp;"|",'CALENDARIO'!$G$15:$G$214,0)),IFERROR(INDEX('CALENDARIO'!$C$15:$C$214,MATCH(TEXT($J261,"yyyy-mm-dd")&amp;"||",'CALENDARIO'!$G$15:$G$214,0)),INDEX(patronHabil,WEEKDAY($J261,2))))))</f>
        <v/>
      </c>
      <c r="T261" s="3">
        <f>IF($I261="","",IFERROR(INDEX('CAT_TIPOS_OT'!$C$4:$C$7,MATCH($I261,'CAT_TIPOS_OT'!$A$4:$A$7,0)),"sin_clasificar"))</f>
        <v/>
      </c>
      <c r="U261" s="3">
        <f>IF($F261="","",IFERROR(INDEX('CAT_CENTROS_COSTO'!$F$4:$F$13,MATCH($F261,'CAT_CENTROS_COSTO'!$A$4:$A$13,0)),"(sin catálogo)"))</f>
        <v/>
      </c>
      <c r="V261" s="3">
        <f>IF($F261="","",IFERROR(INDEX('CAT_CENTROS_COSTO'!$D$4:$D$13,MATCH($F261,'CAT_CENTROS_COSTO'!$A$4:$A$13,0)),"(sin catálogo)"))</f>
        <v/>
      </c>
      <c r="W261" s="3">
        <f>IF($F261="","",IF((IFERROR(INDEX('CAT_CENTROS_COSTO'!$E$4:$E$13,MATCH($F261,'CAT_CENTROS_COSTO'!$A$4:$A$13,0)),""))&lt;&gt;"",IFERROR(INDEX('CAT_CENTROS_COSTO'!$E$4:$E$13,MATCH($F261,'CAT_CENTROS_COSTO'!$A$4:$A$13,0)),""),$V261))</f>
        <v/>
      </c>
      <c r="X261" s="3">
        <f>IF($F261="","",IFERROR(INDEX('CAT_CENTROS_COSTO'!$G$4:$G$13,MATCH($F261,'CAT_CENTROS_COSTO'!$A$4:$A$13,0)),"(sin catálogo)"))</f>
        <v/>
      </c>
      <c r="Y261" s="3">
        <f>IF($G261="","",IFERROR(INDEX('CAT_PUESTOS'!$B$4:$B$8,MATCH($G261,'CAT_PUESTOS'!$A$4:$A$8,0)),"(sin catálogo)"))</f>
        <v/>
      </c>
      <c r="Z261" s="3">
        <f>IF($H261="","",IFERROR(INDEX('CAT_ACTIVIDADES'!$B$4:$B$8,MATCH($H261,'CAT_ACTIVIDADES'!$A$4:$A$8,0)),"(sin catálogo)"))</f>
        <v/>
      </c>
      <c r="AA261" s="12">
        <f>IF($J261="","",TODAY()-$J261)</f>
        <v/>
      </c>
      <c r="AB261" s="12">
        <f>IF($J261="","",IF($J261&lt;=TODAY(),COUNTIFS(cal_fechas,"&gt;="&amp;$J261,cal_fechas,"&lt;"&amp;TODAY(),cal_habil,"sí"),-COUNTIFS(cal_fechas,"&gt;="&amp;TODAY(),cal_fechas,"&lt;"&amp;$J261,cal_habil,"sí")))</f>
        <v/>
      </c>
      <c r="AC261" s="3">
        <f>IF($AB261="","",IF($AB261&lt;0,"FUTURO",IF($AB261&gt;p_dias_backlog_max,"BACKLOG","MES CORRIENTE")))</f>
        <v/>
      </c>
      <c r="AD261" s="3">
        <f>IF($AB261="",FALSE,AND($AB261&gt;p_dias_backlog_min,$AB261&lt;=p_dias_backlog_max))</f>
        <v/>
      </c>
      <c r="AE261" s="6" t="n"/>
      <c r="AF261" s="3">
        <f>IF($AE261="","",IF((IFERROR(INDEX('ASIGNACIONES'!$F$4:$F$339,MATCH($O261&amp;"|"&amp;$R261&amp;"|"&amp;$AE261,'ASIGNACIONES'!$J$4:$J$339,0)),""))=0,"",IFERROR(INDEX('ASIGNACIONES'!$F$4:$F$339,MATCH($O261&amp;"|"&amp;$R261&amp;"|"&amp;$AE261,'ASIGNACIONES'!$J$4:$J$339,0)),"")))</f>
        <v/>
      </c>
      <c r="AG261" s="13">
        <f>IF($AE261="","",SUMIFS('ORDENES'!$M$4:$M$1203,'ORDENES'!$AE$4:$AE$1203,$AE261,'ORDENES'!$O$4:$O$1203,$O261,'ORDENES'!$R$4:$R$1203,$R261))</f>
        <v/>
      </c>
      <c r="AH261" s="13">
        <f>IF($AG261="","",p_factor_productividad*IFERROR(INDEX('ASIGNACIONES'!$I$4:$I$339,MATCH($O261&amp;"|"&amp;$R261&amp;"|"&amp;$AE261,'ASIGNACIONES'!$J$4:$J$339,0)),0)-$AG261)</f>
        <v/>
      </c>
      <c r="AI261" s="10">
        <f>IF($A261="","",IFERROR(INDEX('2_IMPORTAR_EJECUCION'!$F$9:$F$1208,MATCH($AQ261,'2_IMPORTAR_EJECUCION'!$J$9:$J$1208,0)),0))</f>
        <v/>
      </c>
      <c r="AJ261" s="10">
        <f>IF($A261="","",MAX(0,IFERROR(INDEX('2_IMPORTAR_EJECUCION'!$H$9:$H$1208,MATCH($AQ261,'2_IMPORTAR_EJECUCION'!$J$9:$J$1208,0)),0)-$AI261))</f>
        <v/>
      </c>
      <c r="AK261" s="10">
        <f>IF($A261="","",$AI261+$AJ261)</f>
        <v/>
      </c>
      <c r="AL261" s="6" t="n"/>
      <c r="AM261" s="6" t="n"/>
      <c r="AN261" s="6" t="n"/>
      <c r="AO261" s="3">
        <f>IF($AN261="","",HYPERLINK(p_ruta_base_checklists&amp;$AN261,"abrir"))</f>
        <v/>
      </c>
      <c r="AP261" s="6" t="n"/>
      <c r="AQ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IF($A262="","",IFERROR(INDEX('AJUSTES'!$B$4:$B$303,MATCH($AQ262,'AJUSTES'!$A$4:$A$303,0)),IF($K262="","",$K262)))</f>
        <v/>
      </c>
      <c r="N262" s="3">
        <f>IF($A262="","",IFERROR(INDEX('CAT_ESTADOS_ERP'!$B$4:$B$7,MATCH(IFERROR(INDEX('2_IMPORTAR_EJECUCION'!$C$9:$C$1208,MATCH($AQ262,'2_IMPORTAR_EJECUCION'!$J$9:$J$1208,0)),""),'CAT_ESTADOS_ERP'!$A$4:$A$7,0)),"Pendiente"))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J262="","",IFERROR(INDEX('CALENDARIO'!$C$15:$C$214,MATCH(TEXT($J262,"yyyy-mm-dd")&amp;"|"&amp;$V262&amp;"|"&amp;$W262,'CALENDARIO'!$G$15:$G$214,0)),IFERROR(INDEX('CALENDARIO'!$C$15:$C$214,MATCH(TEXT($J262,"yyyy-mm-dd")&amp;"|"&amp;$V262&amp;"|",'CALENDARIO'!$G$15:$G$214,0)),IFERROR(INDEX('CALENDARIO'!$C$15:$C$214,MATCH(TEXT($J262,"yyyy-mm-dd")&amp;"||",'CALENDARIO'!$G$15:$G$214,0)),INDEX(patronHabil,WEEKDAY($J262,2))))))</f>
        <v/>
      </c>
      <c r="T262" s="3">
        <f>IF($I262="","",IFERROR(INDEX('CAT_TIPOS_OT'!$C$4:$C$7,MATCH($I262,'CAT_TIPOS_OT'!$A$4:$A$7,0)),"sin_clasificar"))</f>
        <v/>
      </c>
      <c r="U262" s="3">
        <f>IF($F262="","",IFERROR(INDEX('CAT_CENTROS_COSTO'!$F$4:$F$13,MATCH($F262,'CAT_CENTROS_COSTO'!$A$4:$A$13,0)),"(sin catálogo)"))</f>
        <v/>
      </c>
      <c r="V262" s="3">
        <f>IF($F262="","",IFERROR(INDEX('CAT_CENTROS_COSTO'!$D$4:$D$13,MATCH($F262,'CAT_CENTROS_COSTO'!$A$4:$A$13,0)),"(sin catálogo)"))</f>
        <v/>
      </c>
      <c r="W262" s="3">
        <f>IF($F262="","",IF((IFERROR(INDEX('CAT_CENTROS_COSTO'!$E$4:$E$13,MATCH($F262,'CAT_CENTROS_COSTO'!$A$4:$A$13,0)),""))&lt;&gt;"",IFERROR(INDEX('CAT_CENTROS_COSTO'!$E$4:$E$13,MATCH($F262,'CAT_CENTROS_COSTO'!$A$4:$A$13,0)),""),$V262))</f>
        <v/>
      </c>
      <c r="X262" s="3">
        <f>IF($F262="","",IFERROR(INDEX('CAT_CENTROS_COSTO'!$G$4:$G$13,MATCH($F262,'CAT_CENTROS_COSTO'!$A$4:$A$13,0)),"(sin catálogo)"))</f>
        <v/>
      </c>
      <c r="Y262" s="3">
        <f>IF($G262="","",IFERROR(INDEX('CAT_PUESTOS'!$B$4:$B$8,MATCH($G262,'CAT_PUESTOS'!$A$4:$A$8,0)),"(sin catálogo)"))</f>
        <v/>
      </c>
      <c r="Z262" s="3">
        <f>IF($H262="","",IFERROR(INDEX('CAT_ACTIVIDADES'!$B$4:$B$8,MATCH($H262,'CAT_ACTIVIDADES'!$A$4:$A$8,0)),"(sin catálogo)"))</f>
        <v/>
      </c>
      <c r="AA262" s="12">
        <f>IF($J262="","",TODAY()-$J262)</f>
        <v/>
      </c>
      <c r="AB262" s="12">
        <f>IF($J262="","",IF($J262&lt;=TODAY(),COUNTIFS(cal_fechas,"&gt;="&amp;$J262,cal_fechas,"&lt;"&amp;TODAY(),cal_habil,"sí"),-COUNTIFS(cal_fechas,"&gt;="&amp;TODAY(),cal_fechas,"&lt;"&amp;$J262,cal_habil,"sí")))</f>
        <v/>
      </c>
      <c r="AC262" s="3">
        <f>IF($AB262="","",IF($AB262&lt;0,"FUTURO",IF($AB262&gt;p_dias_backlog_max,"BACKLOG","MES CORRIENTE")))</f>
        <v/>
      </c>
      <c r="AD262" s="3">
        <f>IF($AB262="",FALSE,AND($AB262&gt;p_dias_backlog_min,$AB262&lt;=p_dias_backlog_max))</f>
        <v/>
      </c>
      <c r="AE262" s="6" t="n"/>
      <c r="AF262" s="3">
        <f>IF($AE262="","",IF((IFERROR(INDEX('ASIGNACIONES'!$F$4:$F$339,MATCH($O262&amp;"|"&amp;$R262&amp;"|"&amp;$AE262,'ASIGNACIONES'!$J$4:$J$339,0)),""))=0,"",IFERROR(INDEX('ASIGNACIONES'!$F$4:$F$339,MATCH($O262&amp;"|"&amp;$R262&amp;"|"&amp;$AE262,'ASIGNACIONES'!$J$4:$J$339,0)),"")))</f>
        <v/>
      </c>
      <c r="AG262" s="13">
        <f>IF($AE262="","",SUMIFS('ORDENES'!$M$4:$M$1203,'ORDENES'!$AE$4:$AE$1203,$AE262,'ORDENES'!$O$4:$O$1203,$O262,'ORDENES'!$R$4:$R$1203,$R262))</f>
        <v/>
      </c>
      <c r="AH262" s="13">
        <f>IF($AG262="","",p_factor_productividad*IFERROR(INDEX('ASIGNACIONES'!$I$4:$I$339,MATCH($O262&amp;"|"&amp;$R262&amp;"|"&amp;$AE262,'ASIGNACIONES'!$J$4:$J$339,0)),0)-$AG262)</f>
        <v/>
      </c>
      <c r="AI262" s="10">
        <f>IF($A262="","",IFERROR(INDEX('2_IMPORTAR_EJECUCION'!$F$9:$F$1208,MATCH($AQ262,'2_IMPORTAR_EJECUCION'!$J$9:$J$1208,0)),0))</f>
        <v/>
      </c>
      <c r="AJ262" s="10">
        <f>IF($A262="","",MAX(0,IFERROR(INDEX('2_IMPORTAR_EJECUCION'!$H$9:$H$1208,MATCH($AQ262,'2_IMPORTAR_EJECUCION'!$J$9:$J$1208,0)),0)-$AI262))</f>
        <v/>
      </c>
      <c r="AK262" s="10">
        <f>IF($A262="","",$AI262+$AJ262)</f>
        <v/>
      </c>
      <c r="AL262" s="6" t="n"/>
      <c r="AM262" s="6" t="n"/>
      <c r="AN262" s="6" t="n"/>
      <c r="AO262" s="3">
        <f>IF($AN262="","",HYPERLINK(p_ruta_base_checklists&amp;$AN262,"abrir"))</f>
        <v/>
      </c>
      <c r="AP262" s="6" t="n"/>
      <c r="AQ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IF($A263="","",IFERROR(INDEX('AJUSTES'!$B$4:$B$303,MATCH($AQ263,'AJUSTES'!$A$4:$A$303,0)),IF($K263="","",$K263)))</f>
        <v/>
      </c>
      <c r="N263" s="3">
        <f>IF($A263="","",IFERROR(INDEX('CAT_ESTADOS_ERP'!$B$4:$B$7,MATCH(IFERROR(INDEX('2_IMPORTAR_EJECUCION'!$C$9:$C$1208,MATCH($AQ263,'2_IMPORTAR_EJECUCION'!$J$9:$J$1208,0)),""),'CAT_ESTADOS_ERP'!$A$4:$A$7,0)),"Pendiente"))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J263="","",IFERROR(INDEX('CALENDARIO'!$C$15:$C$214,MATCH(TEXT($J263,"yyyy-mm-dd")&amp;"|"&amp;$V263&amp;"|"&amp;$W263,'CALENDARIO'!$G$15:$G$214,0)),IFERROR(INDEX('CALENDARIO'!$C$15:$C$214,MATCH(TEXT($J263,"yyyy-mm-dd")&amp;"|"&amp;$V263&amp;"|",'CALENDARIO'!$G$15:$G$214,0)),IFERROR(INDEX('CALENDARIO'!$C$15:$C$214,MATCH(TEXT($J263,"yyyy-mm-dd")&amp;"||",'CALENDARIO'!$G$15:$G$214,0)),INDEX(patronHabil,WEEKDAY($J263,2))))))</f>
        <v/>
      </c>
      <c r="T263" s="3">
        <f>IF($I263="","",IFERROR(INDEX('CAT_TIPOS_OT'!$C$4:$C$7,MATCH($I263,'CAT_TIPOS_OT'!$A$4:$A$7,0)),"sin_clasificar"))</f>
        <v/>
      </c>
      <c r="U263" s="3">
        <f>IF($F263="","",IFERROR(INDEX('CAT_CENTROS_COSTO'!$F$4:$F$13,MATCH($F263,'CAT_CENTROS_COSTO'!$A$4:$A$13,0)),"(sin catálogo)"))</f>
        <v/>
      </c>
      <c r="V263" s="3">
        <f>IF($F263="","",IFERROR(INDEX('CAT_CENTROS_COSTO'!$D$4:$D$13,MATCH($F263,'CAT_CENTROS_COSTO'!$A$4:$A$13,0)),"(sin catálogo)"))</f>
        <v/>
      </c>
      <c r="W263" s="3">
        <f>IF($F263="","",IF((IFERROR(INDEX('CAT_CENTROS_COSTO'!$E$4:$E$13,MATCH($F263,'CAT_CENTROS_COSTO'!$A$4:$A$13,0)),""))&lt;&gt;"",IFERROR(INDEX('CAT_CENTROS_COSTO'!$E$4:$E$13,MATCH($F263,'CAT_CENTROS_COSTO'!$A$4:$A$13,0)),""),$V263))</f>
        <v/>
      </c>
      <c r="X263" s="3">
        <f>IF($F263="","",IFERROR(INDEX('CAT_CENTROS_COSTO'!$G$4:$G$13,MATCH($F263,'CAT_CENTROS_COSTO'!$A$4:$A$13,0)),"(sin catálogo)"))</f>
        <v/>
      </c>
      <c r="Y263" s="3">
        <f>IF($G263="","",IFERROR(INDEX('CAT_PUESTOS'!$B$4:$B$8,MATCH($G263,'CAT_PUESTOS'!$A$4:$A$8,0)),"(sin catálogo)"))</f>
        <v/>
      </c>
      <c r="Z263" s="3">
        <f>IF($H263="","",IFERROR(INDEX('CAT_ACTIVIDADES'!$B$4:$B$8,MATCH($H263,'CAT_ACTIVIDADES'!$A$4:$A$8,0)),"(sin catálogo)"))</f>
        <v/>
      </c>
      <c r="AA263" s="12">
        <f>IF($J263="","",TODAY()-$J263)</f>
        <v/>
      </c>
      <c r="AB263" s="12">
        <f>IF($J263="","",IF($J263&lt;=TODAY(),COUNTIFS(cal_fechas,"&gt;="&amp;$J263,cal_fechas,"&lt;"&amp;TODAY(),cal_habil,"sí"),-COUNTIFS(cal_fechas,"&gt;="&amp;TODAY(),cal_fechas,"&lt;"&amp;$J263,cal_habil,"sí")))</f>
        <v/>
      </c>
      <c r="AC263" s="3">
        <f>IF($AB263="","",IF($AB263&lt;0,"FUTURO",IF($AB263&gt;p_dias_backlog_max,"BACKLOG","MES CORRIENTE")))</f>
        <v/>
      </c>
      <c r="AD263" s="3">
        <f>IF($AB263="",FALSE,AND($AB263&gt;p_dias_backlog_min,$AB263&lt;=p_dias_backlog_max))</f>
        <v/>
      </c>
      <c r="AE263" s="6" t="n"/>
      <c r="AF263" s="3">
        <f>IF($AE263="","",IF((IFERROR(INDEX('ASIGNACIONES'!$F$4:$F$339,MATCH($O263&amp;"|"&amp;$R263&amp;"|"&amp;$AE263,'ASIGNACIONES'!$J$4:$J$339,0)),""))=0,"",IFERROR(INDEX('ASIGNACIONES'!$F$4:$F$339,MATCH($O263&amp;"|"&amp;$R263&amp;"|"&amp;$AE263,'ASIGNACIONES'!$J$4:$J$339,0)),"")))</f>
        <v/>
      </c>
      <c r="AG263" s="13">
        <f>IF($AE263="","",SUMIFS('ORDENES'!$M$4:$M$1203,'ORDENES'!$AE$4:$AE$1203,$AE263,'ORDENES'!$O$4:$O$1203,$O263,'ORDENES'!$R$4:$R$1203,$R263))</f>
        <v/>
      </c>
      <c r="AH263" s="13">
        <f>IF($AG263="","",p_factor_productividad*IFERROR(INDEX('ASIGNACIONES'!$I$4:$I$339,MATCH($O263&amp;"|"&amp;$R263&amp;"|"&amp;$AE263,'ASIGNACIONES'!$J$4:$J$339,0)),0)-$AG263)</f>
        <v/>
      </c>
      <c r="AI263" s="10">
        <f>IF($A263="","",IFERROR(INDEX('2_IMPORTAR_EJECUCION'!$F$9:$F$1208,MATCH($AQ263,'2_IMPORTAR_EJECUCION'!$J$9:$J$1208,0)),0))</f>
        <v/>
      </c>
      <c r="AJ263" s="10">
        <f>IF($A263="","",MAX(0,IFERROR(INDEX('2_IMPORTAR_EJECUCION'!$H$9:$H$1208,MATCH($AQ263,'2_IMPORTAR_EJECUCION'!$J$9:$J$1208,0)),0)-$AI263))</f>
        <v/>
      </c>
      <c r="AK263" s="10">
        <f>IF($A263="","",$AI263+$AJ263)</f>
        <v/>
      </c>
      <c r="AL263" s="6" t="n"/>
      <c r="AM263" s="6" t="n"/>
      <c r="AN263" s="6" t="n"/>
      <c r="AO263" s="3">
        <f>IF($AN263="","",HYPERLINK(p_ruta_base_checklists&amp;$AN263,"abrir"))</f>
        <v/>
      </c>
      <c r="AP263" s="6" t="n"/>
      <c r="AQ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IF($A264="","",IFERROR(INDEX('AJUSTES'!$B$4:$B$303,MATCH($AQ264,'AJUSTES'!$A$4:$A$303,0)),IF($K264="","",$K264)))</f>
        <v/>
      </c>
      <c r="N264" s="3">
        <f>IF($A264="","",IFERROR(INDEX('CAT_ESTADOS_ERP'!$B$4:$B$7,MATCH(IFERROR(INDEX('2_IMPORTAR_EJECUCION'!$C$9:$C$1208,MATCH($AQ264,'2_IMPORTAR_EJECUCION'!$J$9:$J$1208,0)),""),'CAT_ESTADOS_ERP'!$A$4:$A$7,0)),"Pendiente"))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J264="","",IFERROR(INDEX('CALENDARIO'!$C$15:$C$214,MATCH(TEXT($J264,"yyyy-mm-dd")&amp;"|"&amp;$V264&amp;"|"&amp;$W264,'CALENDARIO'!$G$15:$G$214,0)),IFERROR(INDEX('CALENDARIO'!$C$15:$C$214,MATCH(TEXT($J264,"yyyy-mm-dd")&amp;"|"&amp;$V264&amp;"|",'CALENDARIO'!$G$15:$G$214,0)),IFERROR(INDEX('CALENDARIO'!$C$15:$C$214,MATCH(TEXT($J264,"yyyy-mm-dd")&amp;"||",'CALENDARIO'!$G$15:$G$214,0)),INDEX(patronHabil,WEEKDAY($J264,2))))))</f>
        <v/>
      </c>
      <c r="T264" s="3">
        <f>IF($I264="","",IFERROR(INDEX('CAT_TIPOS_OT'!$C$4:$C$7,MATCH($I264,'CAT_TIPOS_OT'!$A$4:$A$7,0)),"sin_clasificar"))</f>
        <v/>
      </c>
      <c r="U264" s="3">
        <f>IF($F264="","",IFERROR(INDEX('CAT_CENTROS_COSTO'!$F$4:$F$13,MATCH($F264,'CAT_CENTROS_COSTO'!$A$4:$A$13,0)),"(sin catálogo)"))</f>
        <v/>
      </c>
      <c r="V264" s="3">
        <f>IF($F264="","",IFERROR(INDEX('CAT_CENTROS_COSTO'!$D$4:$D$13,MATCH($F264,'CAT_CENTROS_COSTO'!$A$4:$A$13,0)),"(sin catálogo)"))</f>
        <v/>
      </c>
      <c r="W264" s="3">
        <f>IF($F264="","",IF((IFERROR(INDEX('CAT_CENTROS_COSTO'!$E$4:$E$13,MATCH($F264,'CAT_CENTROS_COSTO'!$A$4:$A$13,0)),""))&lt;&gt;"",IFERROR(INDEX('CAT_CENTROS_COSTO'!$E$4:$E$13,MATCH($F264,'CAT_CENTROS_COSTO'!$A$4:$A$13,0)),""),$V264))</f>
        <v/>
      </c>
      <c r="X264" s="3">
        <f>IF($F264="","",IFERROR(INDEX('CAT_CENTROS_COSTO'!$G$4:$G$13,MATCH($F264,'CAT_CENTROS_COSTO'!$A$4:$A$13,0)),"(sin catálogo)"))</f>
        <v/>
      </c>
      <c r="Y264" s="3">
        <f>IF($G264="","",IFERROR(INDEX('CAT_PUESTOS'!$B$4:$B$8,MATCH($G264,'CAT_PUESTOS'!$A$4:$A$8,0)),"(sin catálogo)"))</f>
        <v/>
      </c>
      <c r="Z264" s="3">
        <f>IF($H264="","",IFERROR(INDEX('CAT_ACTIVIDADES'!$B$4:$B$8,MATCH($H264,'CAT_ACTIVIDADES'!$A$4:$A$8,0)),"(sin catálogo)"))</f>
        <v/>
      </c>
      <c r="AA264" s="12">
        <f>IF($J264="","",TODAY()-$J264)</f>
        <v/>
      </c>
      <c r="AB264" s="12">
        <f>IF($J264="","",IF($J264&lt;=TODAY(),COUNTIFS(cal_fechas,"&gt;="&amp;$J264,cal_fechas,"&lt;"&amp;TODAY(),cal_habil,"sí"),-COUNTIFS(cal_fechas,"&gt;="&amp;TODAY(),cal_fechas,"&lt;"&amp;$J264,cal_habil,"sí")))</f>
        <v/>
      </c>
      <c r="AC264" s="3">
        <f>IF($AB264="","",IF($AB264&lt;0,"FUTURO",IF($AB264&gt;p_dias_backlog_max,"BACKLOG","MES CORRIENTE")))</f>
        <v/>
      </c>
      <c r="AD264" s="3">
        <f>IF($AB264="",FALSE,AND($AB264&gt;p_dias_backlog_min,$AB264&lt;=p_dias_backlog_max))</f>
        <v/>
      </c>
      <c r="AE264" s="6" t="n"/>
      <c r="AF264" s="3">
        <f>IF($AE264="","",IF((IFERROR(INDEX('ASIGNACIONES'!$F$4:$F$339,MATCH($O264&amp;"|"&amp;$R264&amp;"|"&amp;$AE264,'ASIGNACIONES'!$J$4:$J$339,0)),""))=0,"",IFERROR(INDEX('ASIGNACIONES'!$F$4:$F$339,MATCH($O264&amp;"|"&amp;$R264&amp;"|"&amp;$AE264,'ASIGNACIONES'!$J$4:$J$339,0)),"")))</f>
        <v/>
      </c>
      <c r="AG264" s="13">
        <f>IF($AE264="","",SUMIFS('ORDENES'!$M$4:$M$1203,'ORDENES'!$AE$4:$AE$1203,$AE264,'ORDENES'!$O$4:$O$1203,$O264,'ORDENES'!$R$4:$R$1203,$R264))</f>
        <v/>
      </c>
      <c r="AH264" s="13">
        <f>IF($AG264="","",p_factor_productividad*IFERROR(INDEX('ASIGNACIONES'!$I$4:$I$339,MATCH($O264&amp;"|"&amp;$R264&amp;"|"&amp;$AE264,'ASIGNACIONES'!$J$4:$J$339,0)),0)-$AG264)</f>
        <v/>
      </c>
      <c r="AI264" s="10">
        <f>IF($A264="","",IFERROR(INDEX('2_IMPORTAR_EJECUCION'!$F$9:$F$1208,MATCH($AQ264,'2_IMPORTAR_EJECUCION'!$J$9:$J$1208,0)),0))</f>
        <v/>
      </c>
      <c r="AJ264" s="10">
        <f>IF($A264="","",MAX(0,IFERROR(INDEX('2_IMPORTAR_EJECUCION'!$H$9:$H$1208,MATCH($AQ264,'2_IMPORTAR_EJECUCION'!$J$9:$J$1208,0)),0)-$AI264))</f>
        <v/>
      </c>
      <c r="AK264" s="10">
        <f>IF($A264="","",$AI264+$AJ264)</f>
        <v/>
      </c>
      <c r="AL264" s="6" t="n"/>
      <c r="AM264" s="6" t="n"/>
      <c r="AN264" s="6" t="n"/>
      <c r="AO264" s="3">
        <f>IF($AN264="","",HYPERLINK(p_ruta_base_checklists&amp;$AN264,"abrir"))</f>
        <v/>
      </c>
      <c r="AP264" s="6" t="n"/>
      <c r="AQ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IF($A265="","",IFERROR(INDEX('AJUSTES'!$B$4:$B$303,MATCH($AQ265,'AJUSTES'!$A$4:$A$303,0)),IF($K265="","",$K265)))</f>
        <v/>
      </c>
      <c r="N265" s="3">
        <f>IF($A265="","",IFERROR(INDEX('CAT_ESTADOS_ERP'!$B$4:$B$7,MATCH(IFERROR(INDEX('2_IMPORTAR_EJECUCION'!$C$9:$C$1208,MATCH($AQ265,'2_IMPORTAR_EJECUCION'!$J$9:$J$1208,0)),""),'CAT_ESTADOS_ERP'!$A$4:$A$7,0)),"Pendiente"))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J265="","",IFERROR(INDEX('CALENDARIO'!$C$15:$C$214,MATCH(TEXT($J265,"yyyy-mm-dd")&amp;"|"&amp;$V265&amp;"|"&amp;$W265,'CALENDARIO'!$G$15:$G$214,0)),IFERROR(INDEX('CALENDARIO'!$C$15:$C$214,MATCH(TEXT($J265,"yyyy-mm-dd")&amp;"|"&amp;$V265&amp;"|",'CALENDARIO'!$G$15:$G$214,0)),IFERROR(INDEX('CALENDARIO'!$C$15:$C$214,MATCH(TEXT($J265,"yyyy-mm-dd")&amp;"||",'CALENDARIO'!$G$15:$G$214,0)),INDEX(patronHabil,WEEKDAY($J265,2))))))</f>
        <v/>
      </c>
      <c r="T265" s="3">
        <f>IF($I265="","",IFERROR(INDEX('CAT_TIPOS_OT'!$C$4:$C$7,MATCH($I265,'CAT_TIPOS_OT'!$A$4:$A$7,0)),"sin_clasificar"))</f>
        <v/>
      </c>
      <c r="U265" s="3">
        <f>IF($F265="","",IFERROR(INDEX('CAT_CENTROS_COSTO'!$F$4:$F$13,MATCH($F265,'CAT_CENTROS_COSTO'!$A$4:$A$13,0)),"(sin catálogo)"))</f>
        <v/>
      </c>
      <c r="V265" s="3">
        <f>IF($F265="","",IFERROR(INDEX('CAT_CENTROS_COSTO'!$D$4:$D$13,MATCH($F265,'CAT_CENTROS_COSTO'!$A$4:$A$13,0)),"(sin catálogo)"))</f>
        <v/>
      </c>
      <c r="W265" s="3">
        <f>IF($F265="","",IF((IFERROR(INDEX('CAT_CENTROS_COSTO'!$E$4:$E$13,MATCH($F265,'CAT_CENTROS_COSTO'!$A$4:$A$13,0)),""))&lt;&gt;"",IFERROR(INDEX('CAT_CENTROS_COSTO'!$E$4:$E$13,MATCH($F265,'CAT_CENTROS_COSTO'!$A$4:$A$13,0)),""),$V265))</f>
        <v/>
      </c>
      <c r="X265" s="3">
        <f>IF($F265="","",IFERROR(INDEX('CAT_CENTROS_COSTO'!$G$4:$G$13,MATCH($F265,'CAT_CENTROS_COSTO'!$A$4:$A$13,0)),"(sin catálogo)"))</f>
        <v/>
      </c>
      <c r="Y265" s="3">
        <f>IF($G265="","",IFERROR(INDEX('CAT_PUESTOS'!$B$4:$B$8,MATCH($G265,'CAT_PUESTOS'!$A$4:$A$8,0)),"(sin catálogo)"))</f>
        <v/>
      </c>
      <c r="Z265" s="3">
        <f>IF($H265="","",IFERROR(INDEX('CAT_ACTIVIDADES'!$B$4:$B$8,MATCH($H265,'CAT_ACTIVIDADES'!$A$4:$A$8,0)),"(sin catálogo)"))</f>
        <v/>
      </c>
      <c r="AA265" s="12">
        <f>IF($J265="","",TODAY()-$J265)</f>
        <v/>
      </c>
      <c r="AB265" s="12">
        <f>IF($J265="","",IF($J265&lt;=TODAY(),COUNTIFS(cal_fechas,"&gt;="&amp;$J265,cal_fechas,"&lt;"&amp;TODAY(),cal_habil,"sí"),-COUNTIFS(cal_fechas,"&gt;="&amp;TODAY(),cal_fechas,"&lt;"&amp;$J265,cal_habil,"sí")))</f>
        <v/>
      </c>
      <c r="AC265" s="3">
        <f>IF($AB265="","",IF($AB265&lt;0,"FUTURO",IF($AB265&gt;p_dias_backlog_max,"BACKLOG","MES CORRIENTE")))</f>
        <v/>
      </c>
      <c r="AD265" s="3">
        <f>IF($AB265="",FALSE,AND($AB265&gt;p_dias_backlog_min,$AB265&lt;=p_dias_backlog_max))</f>
        <v/>
      </c>
      <c r="AE265" s="6" t="n"/>
      <c r="AF265" s="3">
        <f>IF($AE265="","",IF((IFERROR(INDEX('ASIGNACIONES'!$F$4:$F$339,MATCH($O265&amp;"|"&amp;$R265&amp;"|"&amp;$AE265,'ASIGNACIONES'!$J$4:$J$339,0)),""))=0,"",IFERROR(INDEX('ASIGNACIONES'!$F$4:$F$339,MATCH($O265&amp;"|"&amp;$R265&amp;"|"&amp;$AE265,'ASIGNACIONES'!$J$4:$J$339,0)),"")))</f>
        <v/>
      </c>
      <c r="AG265" s="13">
        <f>IF($AE265="","",SUMIFS('ORDENES'!$M$4:$M$1203,'ORDENES'!$AE$4:$AE$1203,$AE265,'ORDENES'!$O$4:$O$1203,$O265,'ORDENES'!$R$4:$R$1203,$R265))</f>
        <v/>
      </c>
      <c r="AH265" s="13">
        <f>IF($AG265="","",p_factor_productividad*IFERROR(INDEX('ASIGNACIONES'!$I$4:$I$339,MATCH($O265&amp;"|"&amp;$R265&amp;"|"&amp;$AE265,'ASIGNACIONES'!$J$4:$J$339,0)),0)-$AG265)</f>
        <v/>
      </c>
      <c r="AI265" s="10">
        <f>IF($A265="","",IFERROR(INDEX('2_IMPORTAR_EJECUCION'!$F$9:$F$1208,MATCH($AQ265,'2_IMPORTAR_EJECUCION'!$J$9:$J$1208,0)),0))</f>
        <v/>
      </c>
      <c r="AJ265" s="10">
        <f>IF($A265="","",MAX(0,IFERROR(INDEX('2_IMPORTAR_EJECUCION'!$H$9:$H$1208,MATCH($AQ265,'2_IMPORTAR_EJECUCION'!$J$9:$J$1208,0)),0)-$AI265))</f>
        <v/>
      </c>
      <c r="AK265" s="10">
        <f>IF($A265="","",$AI265+$AJ265)</f>
        <v/>
      </c>
      <c r="AL265" s="6" t="n"/>
      <c r="AM265" s="6" t="n"/>
      <c r="AN265" s="6" t="n"/>
      <c r="AO265" s="3">
        <f>IF($AN265="","",HYPERLINK(p_ruta_base_checklists&amp;$AN265,"abrir"))</f>
        <v/>
      </c>
      <c r="AP265" s="6" t="n"/>
      <c r="AQ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IF($A266="","",IFERROR(INDEX('AJUSTES'!$B$4:$B$303,MATCH($AQ266,'AJUSTES'!$A$4:$A$303,0)),IF($K266="","",$K266)))</f>
        <v/>
      </c>
      <c r="N266" s="3">
        <f>IF($A266="","",IFERROR(INDEX('CAT_ESTADOS_ERP'!$B$4:$B$7,MATCH(IFERROR(INDEX('2_IMPORTAR_EJECUCION'!$C$9:$C$1208,MATCH($AQ266,'2_IMPORTAR_EJECUCION'!$J$9:$J$1208,0)),""),'CAT_ESTADOS_ERP'!$A$4:$A$7,0)),"Pendiente"))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J266="","",IFERROR(INDEX('CALENDARIO'!$C$15:$C$214,MATCH(TEXT($J266,"yyyy-mm-dd")&amp;"|"&amp;$V266&amp;"|"&amp;$W266,'CALENDARIO'!$G$15:$G$214,0)),IFERROR(INDEX('CALENDARIO'!$C$15:$C$214,MATCH(TEXT($J266,"yyyy-mm-dd")&amp;"|"&amp;$V266&amp;"|",'CALENDARIO'!$G$15:$G$214,0)),IFERROR(INDEX('CALENDARIO'!$C$15:$C$214,MATCH(TEXT($J266,"yyyy-mm-dd")&amp;"||",'CALENDARIO'!$G$15:$G$214,0)),INDEX(patronHabil,WEEKDAY($J266,2))))))</f>
        <v/>
      </c>
      <c r="T266" s="3">
        <f>IF($I266="","",IFERROR(INDEX('CAT_TIPOS_OT'!$C$4:$C$7,MATCH($I266,'CAT_TIPOS_OT'!$A$4:$A$7,0)),"sin_clasificar"))</f>
        <v/>
      </c>
      <c r="U266" s="3">
        <f>IF($F266="","",IFERROR(INDEX('CAT_CENTROS_COSTO'!$F$4:$F$13,MATCH($F266,'CAT_CENTROS_COSTO'!$A$4:$A$13,0)),"(sin catálogo)"))</f>
        <v/>
      </c>
      <c r="V266" s="3">
        <f>IF($F266="","",IFERROR(INDEX('CAT_CENTROS_COSTO'!$D$4:$D$13,MATCH($F266,'CAT_CENTROS_COSTO'!$A$4:$A$13,0)),"(sin catálogo)"))</f>
        <v/>
      </c>
      <c r="W266" s="3">
        <f>IF($F266="","",IF((IFERROR(INDEX('CAT_CENTROS_COSTO'!$E$4:$E$13,MATCH($F266,'CAT_CENTROS_COSTO'!$A$4:$A$13,0)),""))&lt;&gt;"",IFERROR(INDEX('CAT_CENTROS_COSTO'!$E$4:$E$13,MATCH($F266,'CAT_CENTROS_COSTO'!$A$4:$A$13,0)),""),$V266))</f>
        <v/>
      </c>
      <c r="X266" s="3">
        <f>IF($F266="","",IFERROR(INDEX('CAT_CENTROS_COSTO'!$G$4:$G$13,MATCH($F266,'CAT_CENTROS_COSTO'!$A$4:$A$13,0)),"(sin catálogo)"))</f>
        <v/>
      </c>
      <c r="Y266" s="3">
        <f>IF($G266="","",IFERROR(INDEX('CAT_PUESTOS'!$B$4:$B$8,MATCH($G266,'CAT_PUESTOS'!$A$4:$A$8,0)),"(sin catálogo)"))</f>
        <v/>
      </c>
      <c r="Z266" s="3">
        <f>IF($H266="","",IFERROR(INDEX('CAT_ACTIVIDADES'!$B$4:$B$8,MATCH($H266,'CAT_ACTIVIDADES'!$A$4:$A$8,0)),"(sin catálogo)"))</f>
        <v/>
      </c>
      <c r="AA266" s="12">
        <f>IF($J266="","",TODAY()-$J266)</f>
        <v/>
      </c>
      <c r="AB266" s="12">
        <f>IF($J266="","",IF($J266&lt;=TODAY(),COUNTIFS(cal_fechas,"&gt;="&amp;$J266,cal_fechas,"&lt;"&amp;TODAY(),cal_habil,"sí"),-COUNTIFS(cal_fechas,"&gt;="&amp;TODAY(),cal_fechas,"&lt;"&amp;$J266,cal_habil,"sí")))</f>
        <v/>
      </c>
      <c r="AC266" s="3">
        <f>IF($AB266="","",IF($AB266&lt;0,"FUTURO",IF($AB266&gt;p_dias_backlog_max,"BACKLOG","MES CORRIENTE")))</f>
        <v/>
      </c>
      <c r="AD266" s="3">
        <f>IF($AB266="",FALSE,AND($AB266&gt;p_dias_backlog_min,$AB266&lt;=p_dias_backlog_max))</f>
        <v/>
      </c>
      <c r="AE266" s="6" t="n"/>
      <c r="AF266" s="3">
        <f>IF($AE266="","",IF((IFERROR(INDEX('ASIGNACIONES'!$F$4:$F$339,MATCH($O266&amp;"|"&amp;$R266&amp;"|"&amp;$AE266,'ASIGNACIONES'!$J$4:$J$339,0)),""))=0,"",IFERROR(INDEX('ASIGNACIONES'!$F$4:$F$339,MATCH($O266&amp;"|"&amp;$R266&amp;"|"&amp;$AE266,'ASIGNACIONES'!$J$4:$J$339,0)),"")))</f>
        <v/>
      </c>
      <c r="AG266" s="13">
        <f>IF($AE266="","",SUMIFS('ORDENES'!$M$4:$M$1203,'ORDENES'!$AE$4:$AE$1203,$AE266,'ORDENES'!$O$4:$O$1203,$O266,'ORDENES'!$R$4:$R$1203,$R266))</f>
        <v/>
      </c>
      <c r="AH266" s="13">
        <f>IF($AG266="","",p_factor_productividad*IFERROR(INDEX('ASIGNACIONES'!$I$4:$I$339,MATCH($O266&amp;"|"&amp;$R266&amp;"|"&amp;$AE266,'ASIGNACIONES'!$J$4:$J$339,0)),0)-$AG266)</f>
        <v/>
      </c>
      <c r="AI266" s="10">
        <f>IF($A266="","",IFERROR(INDEX('2_IMPORTAR_EJECUCION'!$F$9:$F$1208,MATCH($AQ266,'2_IMPORTAR_EJECUCION'!$J$9:$J$1208,0)),0))</f>
        <v/>
      </c>
      <c r="AJ266" s="10">
        <f>IF($A266="","",MAX(0,IFERROR(INDEX('2_IMPORTAR_EJECUCION'!$H$9:$H$1208,MATCH($AQ266,'2_IMPORTAR_EJECUCION'!$J$9:$J$1208,0)),0)-$AI266))</f>
        <v/>
      </c>
      <c r="AK266" s="10">
        <f>IF($A266="","",$AI266+$AJ266)</f>
        <v/>
      </c>
      <c r="AL266" s="6" t="n"/>
      <c r="AM266" s="6" t="n"/>
      <c r="AN266" s="6" t="n"/>
      <c r="AO266" s="3">
        <f>IF($AN266="","",HYPERLINK(p_ruta_base_checklists&amp;$AN266,"abrir"))</f>
        <v/>
      </c>
      <c r="AP266" s="6" t="n"/>
      <c r="AQ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IF($A267="","",IFERROR(INDEX('AJUSTES'!$B$4:$B$303,MATCH($AQ267,'AJUSTES'!$A$4:$A$303,0)),IF($K267="","",$K267)))</f>
        <v/>
      </c>
      <c r="N267" s="3">
        <f>IF($A267="","",IFERROR(INDEX('CAT_ESTADOS_ERP'!$B$4:$B$7,MATCH(IFERROR(INDEX('2_IMPORTAR_EJECUCION'!$C$9:$C$1208,MATCH($AQ267,'2_IMPORTAR_EJECUCION'!$J$9:$J$1208,0)),""),'CAT_ESTADOS_ERP'!$A$4:$A$7,0)),"Pendiente"))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J267="","",IFERROR(INDEX('CALENDARIO'!$C$15:$C$214,MATCH(TEXT($J267,"yyyy-mm-dd")&amp;"|"&amp;$V267&amp;"|"&amp;$W267,'CALENDARIO'!$G$15:$G$214,0)),IFERROR(INDEX('CALENDARIO'!$C$15:$C$214,MATCH(TEXT($J267,"yyyy-mm-dd")&amp;"|"&amp;$V267&amp;"|",'CALENDARIO'!$G$15:$G$214,0)),IFERROR(INDEX('CALENDARIO'!$C$15:$C$214,MATCH(TEXT($J267,"yyyy-mm-dd")&amp;"||",'CALENDARIO'!$G$15:$G$214,0)),INDEX(patronHabil,WEEKDAY($J267,2))))))</f>
        <v/>
      </c>
      <c r="T267" s="3">
        <f>IF($I267="","",IFERROR(INDEX('CAT_TIPOS_OT'!$C$4:$C$7,MATCH($I267,'CAT_TIPOS_OT'!$A$4:$A$7,0)),"sin_clasificar"))</f>
        <v/>
      </c>
      <c r="U267" s="3">
        <f>IF($F267="","",IFERROR(INDEX('CAT_CENTROS_COSTO'!$F$4:$F$13,MATCH($F267,'CAT_CENTROS_COSTO'!$A$4:$A$13,0)),"(sin catálogo)"))</f>
        <v/>
      </c>
      <c r="V267" s="3">
        <f>IF($F267="","",IFERROR(INDEX('CAT_CENTROS_COSTO'!$D$4:$D$13,MATCH($F267,'CAT_CENTROS_COSTO'!$A$4:$A$13,0)),"(sin catálogo)"))</f>
        <v/>
      </c>
      <c r="W267" s="3">
        <f>IF($F267="","",IF((IFERROR(INDEX('CAT_CENTROS_COSTO'!$E$4:$E$13,MATCH($F267,'CAT_CENTROS_COSTO'!$A$4:$A$13,0)),""))&lt;&gt;"",IFERROR(INDEX('CAT_CENTROS_COSTO'!$E$4:$E$13,MATCH($F267,'CAT_CENTROS_COSTO'!$A$4:$A$13,0)),""),$V267))</f>
        <v/>
      </c>
      <c r="X267" s="3">
        <f>IF($F267="","",IFERROR(INDEX('CAT_CENTROS_COSTO'!$G$4:$G$13,MATCH($F267,'CAT_CENTROS_COSTO'!$A$4:$A$13,0)),"(sin catálogo)"))</f>
        <v/>
      </c>
      <c r="Y267" s="3">
        <f>IF($G267="","",IFERROR(INDEX('CAT_PUESTOS'!$B$4:$B$8,MATCH($G267,'CAT_PUESTOS'!$A$4:$A$8,0)),"(sin catálogo)"))</f>
        <v/>
      </c>
      <c r="Z267" s="3">
        <f>IF($H267="","",IFERROR(INDEX('CAT_ACTIVIDADES'!$B$4:$B$8,MATCH($H267,'CAT_ACTIVIDADES'!$A$4:$A$8,0)),"(sin catálogo)"))</f>
        <v/>
      </c>
      <c r="AA267" s="12">
        <f>IF($J267="","",TODAY()-$J267)</f>
        <v/>
      </c>
      <c r="AB267" s="12">
        <f>IF($J267="","",IF($J267&lt;=TODAY(),COUNTIFS(cal_fechas,"&gt;="&amp;$J267,cal_fechas,"&lt;"&amp;TODAY(),cal_habil,"sí"),-COUNTIFS(cal_fechas,"&gt;="&amp;TODAY(),cal_fechas,"&lt;"&amp;$J267,cal_habil,"sí")))</f>
        <v/>
      </c>
      <c r="AC267" s="3">
        <f>IF($AB267="","",IF($AB267&lt;0,"FUTURO",IF($AB267&gt;p_dias_backlog_max,"BACKLOG","MES CORRIENTE")))</f>
        <v/>
      </c>
      <c r="AD267" s="3">
        <f>IF($AB267="",FALSE,AND($AB267&gt;p_dias_backlog_min,$AB267&lt;=p_dias_backlog_max))</f>
        <v/>
      </c>
      <c r="AE267" s="6" t="n"/>
      <c r="AF267" s="3">
        <f>IF($AE267="","",IF((IFERROR(INDEX('ASIGNACIONES'!$F$4:$F$339,MATCH($O267&amp;"|"&amp;$R267&amp;"|"&amp;$AE267,'ASIGNACIONES'!$J$4:$J$339,0)),""))=0,"",IFERROR(INDEX('ASIGNACIONES'!$F$4:$F$339,MATCH($O267&amp;"|"&amp;$R267&amp;"|"&amp;$AE267,'ASIGNACIONES'!$J$4:$J$339,0)),"")))</f>
        <v/>
      </c>
      <c r="AG267" s="13">
        <f>IF($AE267="","",SUMIFS('ORDENES'!$M$4:$M$1203,'ORDENES'!$AE$4:$AE$1203,$AE267,'ORDENES'!$O$4:$O$1203,$O267,'ORDENES'!$R$4:$R$1203,$R267))</f>
        <v/>
      </c>
      <c r="AH267" s="13">
        <f>IF($AG267="","",p_factor_productividad*IFERROR(INDEX('ASIGNACIONES'!$I$4:$I$339,MATCH($O267&amp;"|"&amp;$R267&amp;"|"&amp;$AE267,'ASIGNACIONES'!$J$4:$J$339,0)),0)-$AG267)</f>
        <v/>
      </c>
      <c r="AI267" s="10">
        <f>IF($A267="","",IFERROR(INDEX('2_IMPORTAR_EJECUCION'!$F$9:$F$1208,MATCH($AQ267,'2_IMPORTAR_EJECUCION'!$J$9:$J$1208,0)),0))</f>
        <v/>
      </c>
      <c r="AJ267" s="10">
        <f>IF($A267="","",MAX(0,IFERROR(INDEX('2_IMPORTAR_EJECUCION'!$H$9:$H$1208,MATCH($AQ267,'2_IMPORTAR_EJECUCION'!$J$9:$J$1208,0)),0)-$AI267))</f>
        <v/>
      </c>
      <c r="AK267" s="10">
        <f>IF($A267="","",$AI267+$AJ267)</f>
        <v/>
      </c>
      <c r="AL267" s="6" t="n"/>
      <c r="AM267" s="6" t="n"/>
      <c r="AN267" s="6" t="n"/>
      <c r="AO267" s="3">
        <f>IF($AN267="","",HYPERLINK(p_ruta_base_checklists&amp;$AN267,"abrir"))</f>
        <v/>
      </c>
      <c r="AP267" s="6" t="n"/>
      <c r="AQ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IF($A268="","",IFERROR(INDEX('AJUSTES'!$B$4:$B$303,MATCH($AQ268,'AJUSTES'!$A$4:$A$303,0)),IF($K268="","",$K268)))</f>
        <v/>
      </c>
      <c r="N268" s="3">
        <f>IF($A268="","",IFERROR(INDEX('CAT_ESTADOS_ERP'!$B$4:$B$7,MATCH(IFERROR(INDEX('2_IMPORTAR_EJECUCION'!$C$9:$C$1208,MATCH($AQ268,'2_IMPORTAR_EJECUCION'!$J$9:$J$1208,0)),""),'CAT_ESTADOS_ERP'!$A$4:$A$7,0)),"Pendiente"))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J268="","",IFERROR(INDEX('CALENDARIO'!$C$15:$C$214,MATCH(TEXT($J268,"yyyy-mm-dd")&amp;"|"&amp;$V268&amp;"|"&amp;$W268,'CALENDARIO'!$G$15:$G$214,0)),IFERROR(INDEX('CALENDARIO'!$C$15:$C$214,MATCH(TEXT($J268,"yyyy-mm-dd")&amp;"|"&amp;$V268&amp;"|",'CALENDARIO'!$G$15:$G$214,0)),IFERROR(INDEX('CALENDARIO'!$C$15:$C$214,MATCH(TEXT($J268,"yyyy-mm-dd")&amp;"||",'CALENDARIO'!$G$15:$G$214,0)),INDEX(patronHabil,WEEKDAY($J268,2))))))</f>
        <v/>
      </c>
      <c r="T268" s="3">
        <f>IF($I268="","",IFERROR(INDEX('CAT_TIPOS_OT'!$C$4:$C$7,MATCH($I268,'CAT_TIPOS_OT'!$A$4:$A$7,0)),"sin_clasificar"))</f>
        <v/>
      </c>
      <c r="U268" s="3">
        <f>IF($F268="","",IFERROR(INDEX('CAT_CENTROS_COSTO'!$F$4:$F$13,MATCH($F268,'CAT_CENTROS_COSTO'!$A$4:$A$13,0)),"(sin catálogo)"))</f>
        <v/>
      </c>
      <c r="V268" s="3">
        <f>IF($F268="","",IFERROR(INDEX('CAT_CENTROS_COSTO'!$D$4:$D$13,MATCH($F268,'CAT_CENTROS_COSTO'!$A$4:$A$13,0)),"(sin catálogo)"))</f>
        <v/>
      </c>
      <c r="W268" s="3">
        <f>IF($F268="","",IF((IFERROR(INDEX('CAT_CENTROS_COSTO'!$E$4:$E$13,MATCH($F268,'CAT_CENTROS_COSTO'!$A$4:$A$13,0)),""))&lt;&gt;"",IFERROR(INDEX('CAT_CENTROS_COSTO'!$E$4:$E$13,MATCH($F268,'CAT_CENTROS_COSTO'!$A$4:$A$13,0)),""),$V268))</f>
        <v/>
      </c>
      <c r="X268" s="3">
        <f>IF($F268="","",IFERROR(INDEX('CAT_CENTROS_COSTO'!$G$4:$G$13,MATCH($F268,'CAT_CENTROS_COSTO'!$A$4:$A$13,0)),"(sin catálogo)"))</f>
        <v/>
      </c>
      <c r="Y268" s="3">
        <f>IF($G268="","",IFERROR(INDEX('CAT_PUESTOS'!$B$4:$B$8,MATCH($G268,'CAT_PUESTOS'!$A$4:$A$8,0)),"(sin catálogo)"))</f>
        <v/>
      </c>
      <c r="Z268" s="3">
        <f>IF($H268="","",IFERROR(INDEX('CAT_ACTIVIDADES'!$B$4:$B$8,MATCH($H268,'CAT_ACTIVIDADES'!$A$4:$A$8,0)),"(sin catálogo)"))</f>
        <v/>
      </c>
      <c r="AA268" s="12">
        <f>IF($J268="","",TODAY()-$J268)</f>
        <v/>
      </c>
      <c r="AB268" s="12">
        <f>IF($J268="","",IF($J268&lt;=TODAY(),COUNTIFS(cal_fechas,"&gt;="&amp;$J268,cal_fechas,"&lt;"&amp;TODAY(),cal_habil,"sí"),-COUNTIFS(cal_fechas,"&gt;="&amp;TODAY(),cal_fechas,"&lt;"&amp;$J268,cal_habil,"sí")))</f>
        <v/>
      </c>
      <c r="AC268" s="3">
        <f>IF($AB268="","",IF($AB268&lt;0,"FUTURO",IF($AB268&gt;p_dias_backlog_max,"BACKLOG","MES CORRIENTE")))</f>
        <v/>
      </c>
      <c r="AD268" s="3">
        <f>IF($AB268="",FALSE,AND($AB268&gt;p_dias_backlog_min,$AB268&lt;=p_dias_backlog_max))</f>
        <v/>
      </c>
      <c r="AE268" s="6" t="n"/>
      <c r="AF268" s="3">
        <f>IF($AE268="","",IF((IFERROR(INDEX('ASIGNACIONES'!$F$4:$F$339,MATCH($O268&amp;"|"&amp;$R268&amp;"|"&amp;$AE268,'ASIGNACIONES'!$J$4:$J$339,0)),""))=0,"",IFERROR(INDEX('ASIGNACIONES'!$F$4:$F$339,MATCH($O268&amp;"|"&amp;$R268&amp;"|"&amp;$AE268,'ASIGNACIONES'!$J$4:$J$339,0)),"")))</f>
        <v/>
      </c>
      <c r="AG268" s="13">
        <f>IF($AE268="","",SUMIFS('ORDENES'!$M$4:$M$1203,'ORDENES'!$AE$4:$AE$1203,$AE268,'ORDENES'!$O$4:$O$1203,$O268,'ORDENES'!$R$4:$R$1203,$R268))</f>
        <v/>
      </c>
      <c r="AH268" s="13">
        <f>IF($AG268="","",p_factor_productividad*IFERROR(INDEX('ASIGNACIONES'!$I$4:$I$339,MATCH($O268&amp;"|"&amp;$R268&amp;"|"&amp;$AE268,'ASIGNACIONES'!$J$4:$J$339,0)),0)-$AG268)</f>
        <v/>
      </c>
      <c r="AI268" s="10">
        <f>IF($A268="","",IFERROR(INDEX('2_IMPORTAR_EJECUCION'!$F$9:$F$1208,MATCH($AQ268,'2_IMPORTAR_EJECUCION'!$J$9:$J$1208,0)),0))</f>
        <v/>
      </c>
      <c r="AJ268" s="10">
        <f>IF($A268="","",MAX(0,IFERROR(INDEX('2_IMPORTAR_EJECUCION'!$H$9:$H$1208,MATCH($AQ268,'2_IMPORTAR_EJECUCION'!$J$9:$J$1208,0)),0)-$AI268))</f>
        <v/>
      </c>
      <c r="AK268" s="10">
        <f>IF($A268="","",$AI268+$AJ268)</f>
        <v/>
      </c>
      <c r="AL268" s="6" t="n"/>
      <c r="AM268" s="6" t="n"/>
      <c r="AN268" s="6" t="n"/>
      <c r="AO268" s="3">
        <f>IF($AN268="","",HYPERLINK(p_ruta_base_checklists&amp;$AN268,"abrir"))</f>
        <v/>
      </c>
      <c r="AP268" s="6" t="n"/>
      <c r="AQ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IF($A269="","",IFERROR(INDEX('AJUSTES'!$B$4:$B$303,MATCH($AQ269,'AJUSTES'!$A$4:$A$303,0)),IF($K269="","",$K269)))</f>
        <v/>
      </c>
      <c r="N269" s="3">
        <f>IF($A269="","",IFERROR(INDEX('CAT_ESTADOS_ERP'!$B$4:$B$7,MATCH(IFERROR(INDEX('2_IMPORTAR_EJECUCION'!$C$9:$C$1208,MATCH($AQ269,'2_IMPORTAR_EJECUCION'!$J$9:$J$1208,0)),""),'CAT_ESTADOS_ERP'!$A$4:$A$7,0)),"Pendiente"))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J269="","",IFERROR(INDEX('CALENDARIO'!$C$15:$C$214,MATCH(TEXT($J269,"yyyy-mm-dd")&amp;"|"&amp;$V269&amp;"|"&amp;$W269,'CALENDARIO'!$G$15:$G$214,0)),IFERROR(INDEX('CALENDARIO'!$C$15:$C$214,MATCH(TEXT($J269,"yyyy-mm-dd")&amp;"|"&amp;$V269&amp;"|",'CALENDARIO'!$G$15:$G$214,0)),IFERROR(INDEX('CALENDARIO'!$C$15:$C$214,MATCH(TEXT($J269,"yyyy-mm-dd")&amp;"||",'CALENDARIO'!$G$15:$G$214,0)),INDEX(patronHabil,WEEKDAY($J269,2))))))</f>
        <v/>
      </c>
      <c r="T269" s="3">
        <f>IF($I269="","",IFERROR(INDEX('CAT_TIPOS_OT'!$C$4:$C$7,MATCH($I269,'CAT_TIPOS_OT'!$A$4:$A$7,0)),"sin_clasificar"))</f>
        <v/>
      </c>
      <c r="U269" s="3">
        <f>IF($F269="","",IFERROR(INDEX('CAT_CENTROS_COSTO'!$F$4:$F$13,MATCH($F269,'CAT_CENTROS_COSTO'!$A$4:$A$13,0)),"(sin catálogo)"))</f>
        <v/>
      </c>
      <c r="V269" s="3">
        <f>IF($F269="","",IFERROR(INDEX('CAT_CENTROS_COSTO'!$D$4:$D$13,MATCH($F269,'CAT_CENTROS_COSTO'!$A$4:$A$13,0)),"(sin catálogo)"))</f>
        <v/>
      </c>
      <c r="W269" s="3">
        <f>IF($F269="","",IF((IFERROR(INDEX('CAT_CENTROS_COSTO'!$E$4:$E$13,MATCH($F269,'CAT_CENTROS_COSTO'!$A$4:$A$13,0)),""))&lt;&gt;"",IFERROR(INDEX('CAT_CENTROS_COSTO'!$E$4:$E$13,MATCH($F269,'CAT_CENTROS_COSTO'!$A$4:$A$13,0)),""),$V269))</f>
        <v/>
      </c>
      <c r="X269" s="3">
        <f>IF($F269="","",IFERROR(INDEX('CAT_CENTROS_COSTO'!$G$4:$G$13,MATCH($F269,'CAT_CENTROS_COSTO'!$A$4:$A$13,0)),"(sin catálogo)"))</f>
        <v/>
      </c>
      <c r="Y269" s="3">
        <f>IF($G269="","",IFERROR(INDEX('CAT_PUESTOS'!$B$4:$B$8,MATCH($G269,'CAT_PUESTOS'!$A$4:$A$8,0)),"(sin catálogo)"))</f>
        <v/>
      </c>
      <c r="Z269" s="3">
        <f>IF($H269="","",IFERROR(INDEX('CAT_ACTIVIDADES'!$B$4:$B$8,MATCH($H269,'CAT_ACTIVIDADES'!$A$4:$A$8,0)),"(sin catálogo)"))</f>
        <v/>
      </c>
      <c r="AA269" s="12">
        <f>IF($J269="","",TODAY()-$J269)</f>
        <v/>
      </c>
      <c r="AB269" s="12">
        <f>IF($J269="","",IF($J269&lt;=TODAY(),COUNTIFS(cal_fechas,"&gt;="&amp;$J269,cal_fechas,"&lt;"&amp;TODAY(),cal_habil,"sí"),-COUNTIFS(cal_fechas,"&gt;="&amp;TODAY(),cal_fechas,"&lt;"&amp;$J269,cal_habil,"sí")))</f>
        <v/>
      </c>
      <c r="AC269" s="3">
        <f>IF($AB269="","",IF($AB269&lt;0,"FUTURO",IF($AB269&gt;p_dias_backlog_max,"BACKLOG","MES CORRIENTE")))</f>
        <v/>
      </c>
      <c r="AD269" s="3">
        <f>IF($AB269="",FALSE,AND($AB269&gt;p_dias_backlog_min,$AB269&lt;=p_dias_backlog_max))</f>
        <v/>
      </c>
      <c r="AE269" s="6" t="n"/>
      <c r="AF269" s="3">
        <f>IF($AE269="","",IF((IFERROR(INDEX('ASIGNACIONES'!$F$4:$F$339,MATCH($O269&amp;"|"&amp;$R269&amp;"|"&amp;$AE269,'ASIGNACIONES'!$J$4:$J$339,0)),""))=0,"",IFERROR(INDEX('ASIGNACIONES'!$F$4:$F$339,MATCH($O269&amp;"|"&amp;$R269&amp;"|"&amp;$AE269,'ASIGNACIONES'!$J$4:$J$339,0)),"")))</f>
        <v/>
      </c>
      <c r="AG269" s="13">
        <f>IF($AE269="","",SUMIFS('ORDENES'!$M$4:$M$1203,'ORDENES'!$AE$4:$AE$1203,$AE269,'ORDENES'!$O$4:$O$1203,$O269,'ORDENES'!$R$4:$R$1203,$R269))</f>
        <v/>
      </c>
      <c r="AH269" s="13">
        <f>IF($AG269="","",p_factor_productividad*IFERROR(INDEX('ASIGNACIONES'!$I$4:$I$339,MATCH($O269&amp;"|"&amp;$R269&amp;"|"&amp;$AE269,'ASIGNACIONES'!$J$4:$J$339,0)),0)-$AG269)</f>
        <v/>
      </c>
      <c r="AI269" s="10">
        <f>IF($A269="","",IFERROR(INDEX('2_IMPORTAR_EJECUCION'!$F$9:$F$1208,MATCH($AQ269,'2_IMPORTAR_EJECUCION'!$J$9:$J$1208,0)),0))</f>
        <v/>
      </c>
      <c r="AJ269" s="10">
        <f>IF($A269="","",MAX(0,IFERROR(INDEX('2_IMPORTAR_EJECUCION'!$H$9:$H$1208,MATCH($AQ269,'2_IMPORTAR_EJECUCION'!$J$9:$J$1208,0)),0)-$AI269))</f>
        <v/>
      </c>
      <c r="AK269" s="10">
        <f>IF($A269="","",$AI269+$AJ269)</f>
        <v/>
      </c>
      <c r="AL269" s="6" t="n"/>
      <c r="AM269" s="6" t="n"/>
      <c r="AN269" s="6" t="n"/>
      <c r="AO269" s="3">
        <f>IF($AN269="","",HYPERLINK(p_ruta_base_checklists&amp;$AN269,"abrir"))</f>
        <v/>
      </c>
      <c r="AP269" s="6" t="n"/>
      <c r="AQ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IF($A270="","",IFERROR(INDEX('AJUSTES'!$B$4:$B$303,MATCH($AQ270,'AJUSTES'!$A$4:$A$303,0)),IF($K270="","",$K270)))</f>
        <v/>
      </c>
      <c r="N270" s="3">
        <f>IF($A270="","",IFERROR(INDEX('CAT_ESTADOS_ERP'!$B$4:$B$7,MATCH(IFERROR(INDEX('2_IMPORTAR_EJECUCION'!$C$9:$C$1208,MATCH($AQ270,'2_IMPORTAR_EJECUCION'!$J$9:$J$1208,0)),""),'CAT_ESTADOS_ERP'!$A$4:$A$7,0)),"Pendiente"))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J270="","",IFERROR(INDEX('CALENDARIO'!$C$15:$C$214,MATCH(TEXT($J270,"yyyy-mm-dd")&amp;"|"&amp;$V270&amp;"|"&amp;$W270,'CALENDARIO'!$G$15:$G$214,0)),IFERROR(INDEX('CALENDARIO'!$C$15:$C$214,MATCH(TEXT($J270,"yyyy-mm-dd")&amp;"|"&amp;$V270&amp;"|",'CALENDARIO'!$G$15:$G$214,0)),IFERROR(INDEX('CALENDARIO'!$C$15:$C$214,MATCH(TEXT($J270,"yyyy-mm-dd")&amp;"||",'CALENDARIO'!$G$15:$G$214,0)),INDEX(patronHabil,WEEKDAY($J270,2))))))</f>
        <v/>
      </c>
      <c r="T270" s="3">
        <f>IF($I270="","",IFERROR(INDEX('CAT_TIPOS_OT'!$C$4:$C$7,MATCH($I270,'CAT_TIPOS_OT'!$A$4:$A$7,0)),"sin_clasificar"))</f>
        <v/>
      </c>
      <c r="U270" s="3">
        <f>IF($F270="","",IFERROR(INDEX('CAT_CENTROS_COSTO'!$F$4:$F$13,MATCH($F270,'CAT_CENTROS_COSTO'!$A$4:$A$13,0)),"(sin catálogo)"))</f>
        <v/>
      </c>
      <c r="V270" s="3">
        <f>IF($F270="","",IFERROR(INDEX('CAT_CENTROS_COSTO'!$D$4:$D$13,MATCH($F270,'CAT_CENTROS_COSTO'!$A$4:$A$13,0)),"(sin catálogo)"))</f>
        <v/>
      </c>
      <c r="W270" s="3">
        <f>IF($F270="","",IF((IFERROR(INDEX('CAT_CENTROS_COSTO'!$E$4:$E$13,MATCH($F270,'CAT_CENTROS_COSTO'!$A$4:$A$13,0)),""))&lt;&gt;"",IFERROR(INDEX('CAT_CENTROS_COSTO'!$E$4:$E$13,MATCH($F270,'CAT_CENTROS_COSTO'!$A$4:$A$13,0)),""),$V270))</f>
        <v/>
      </c>
      <c r="X270" s="3">
        <f>IF($F270="","",IFERROR(INDEX('CAT_CENTROS_COSTO'!$G$4:$G$13,MATCH($F270,'CAT_CENTROS_COSTO'!$A$4:$A$13,0)),"(sin catálogo)"))</f>
        <v/>
      </c>
      <c r="Y270" s="3">
        <f>IF($G270="","",IFERROR(INDEX('CAT_PUESTOS'!$B$4:$B$8,MATCH($G270,'CAT_PUESTOS'!$A$4:$A$8,0)),"(sin catálogo)"))</f>
        <v/>
      </c>
      <c r="Z270" s="3">
        <f>IF($H270="","",IFERROR(INDEX('CAT_ACTIVIDADES'!$B$4:$B$8,MATCH($H270,'CAT_ACTIVIDADES'!$A$4:$A$8,0)),"(sin catálogo)"))</f>
        <v/>
      </c>
      <c r="AA270" s="12">
        <f>IF($J270="","",TODAY()-$J270)</f>
        <v/>
      </c>
      <c r="AB270" s="12">
        <f>IF($J270="","",IF($J270&lt;=TODAY(),COUNTIFS(cal_fechas,"&gt;="&amp;$J270,cal_fechas,"&lt;"&amp;TODAY(),cal_habil,"sí"),-COUNTIFS(cal_fechas,"&gt;="&amp;TODAY(),cal_fechas,"&lt;"&amp;$J270,cal_habil,"sí")))</f>
        <v/>
      </c>
      <c r="AC270" s="3">
        <f>IF($AB270="","",IF($AB270&lt;0,"FUTURO",IF($AB270&gt;p_dias_backlog_max,"BACKLOG","MES CORRIENTE")))</f>
        <v/>
      </c>
      <c r="AD270" s="3">
        <f>IF($AB270="",FALSE,AND($AB270&gt;p_dias_backlog_min,$AB270&lt;=p_dias_backlog_max))</f>
        <v/>
      </c>
      <c r="AE270" s="6" t="n"/>
      <c r="AF270" s="3">
        <f>IF($AE270="","",IF((IFERROR(INDEX('ASIGNACIONES'!$F$4:$F$339,MATCH($O270&amp;"|"&amp;$R270&amp;"|"&amp;$AE270,'ASIGNACIONES'!$J$4:$J$339,0)),""))=0,"",IFERROR(INDEX('ASIGNACIONES'!$F$4:$F$339,MATCH($O270&amp;"|"&amp;$R270&amp;"|"&amp;$AE270,'ASIGNACIONES'!$J$4:$J$339,0)),"")))</f>
        <v/>
      </c>
      <c r="AG270" s="13">
        <f>IF($AE270="","",SUMIFS('ORDENES'!$M$4:$M$1203,'ORDENES'!$AE$4:$AE$1203,$AE270,'ORDENES'!$O$4:$O$1203,$O270,'ORDENES'!$R$4:$R$1203,$R270))</f>
        <v/>
      </c>
      <c r="AH270" s="13">
        <f>IF($AG270="","",p_factor_productividad*IFERROR(INDEX('ASIGNACIONES'!$I$4:$I$339,MATCH($O270&amp;"|"&amp;$R270&amp;"|"&amp;$AE270,'ASIGNACIONES'!$J$4:$J$339,0)),0)-$AG270)</f>
        <v/>
      </c>
      <c r="AI270" s="10">
        <f>IF($A270="","",IFERROR(INDEX('2_IMPORTAR_EJECUCION'!$F$9:$F$1208,MATCH($AQ270,'2_IMPORTAR_EJECUCION'!$J$9:$J$1208,0)),0))</f>
        <v/>
      </c>
      <c r="AJ270" s="10">
        <f>IF($A270="","",MAX(0,IFERROR(INDEX('2_IMPORTAR_EJECUCION'!$H$9:$H$1208,MATCH($AQ270,'2_IMPORTAR_EJECUCION'!$J$9:$J$1208,0)),0)-$AI270))</f>
        <v/>
      </c>
      <c r="AK270" s="10">
        <f>IF($A270="","",$AI270+$AJ270)</f>
        <v/>
      </c>
      <c r="AL270" s="6" t="n"/>
      <c r="AM270" s="6" t="n"/>
      <c r="AN270" s="6" t="n"/>
      <c r="AO270" s="3">
        <f>IF($AN270="","",HYPERLINK(p_ruta_base_checklists&amp;$AN270,"abrir"))</f>
        <v/>
      </c>
      <c r="AP270" s="6" t="n"/>
      <c r="AQ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IF($A271="","",IFERROR(INDEX('AJUSTES'!$B$4:$B$303,MATCH($AQ271,'AJUSTES'!$A$4:$A$303,0)),IF($K271="","",$K271)))</f>
        <v/>
      </c>
      <c r="N271" s="3">
        <f>IF($A271="","",IFERROR(INDEX('CAT_ESTADOS_ERP'!$B$4:$B$7,MATCH(IFERROR(INDEX('2_IMPORTAR_EJECUCION'!$C$9:$C$1208,MATCH($AQ271,'2_IMPORTAR_EJECUCION'!$J$9:$J$1208,0)),""),'CAT_ESTADOS_ERP'!$A$4:$A$7,0)),"Pendiente"))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J271="","",IFERROR(INDEX('CALENDARIO'!$C$15:$C$214,MATCH(TEXT($J271,"yyyy-mm-dd")&amp;"|"&amp;$V271&amp;"|"&amp;$W271,'CALENDARIO'!$G$15:$G$214,0)),IFERROR(INDEX('CALENDARIO'!$C$15:$C$214,MATCH(TEXT($J271,"yyyy-mm-dd")&amp;"|"&amp;$V271&amp;"|",'CALENDARIO'!$G$15:$G$214,0)),IFERROR(INDEX('CALENDARIO'!$C$15:$C$214,MATCH(TEXT($J271,"yyyy-mm-dd")&amp;"||",'CALENDARIO'!$G$15:$G$214,0)),INDEX(patronHabil,WEEKDAY($J271,2))))))</f>
        <v/>
      </c>
      <c r="T271" s="3">
        <f>IF($I271="","",IFERROR(INDEX('CAT_TIPOS_OT'!$C$4:$C$7,MATCH($I271,'CAT_TIPOS_OT'!$A$4:$A$7,0)),"sin_clasificar"))</f>
        <v/>
      </c>
      <c r="U271" s="3">
        <f>IF($F271="","",IFERROR(INDEX('CAT_CENTROS_COSTO'!$F$4:$F$13,MATCH($F271,'CAT_CENTROS_COSTO'!$A$4:$A$13,0)),"(sin catálogo)"))</f>
        <v/>
      </c>
      <c r="V271" s="3">
        <f>IF($F271="","",IFERROR(INDEX('CAT_CENTROS_COSTO'!$D$4:$D$13,MATCH($F271,'CAT_CENTROS_COSTO'!$A$4:$A$13,0)),"(sin catálogo)"))</f>
        <v/>
      </c>
      <c r="W271" s="3">
        <f>IF($F271="","",IF((IFERROR(INDEX('CAT_CENTROS_COSTO'!$E$4:$E$13,MATCH($F271,'CAT_CENTROS_COSTO'!$A$4:$A$13,0)),""))&lt;&gt;"",IFERROR(INDEX('CAT_CENTROS_COSTO'!$E$4:$E$13,MATCH($F271,'CAT_CENTROS_COSTO'!$A$4:$A$13,0)),""),$V271))</f>
        <v/>
      </c>
      <c r="X271" s="3">
        <f>IF($F271="","",IFERROR(INDEX('CAT_CENTROS_COSTO'!$G$4:$G$13,MATCH($F271,'CAT_CENTROS_COSTO'!$A$4:$A$13,0)),"(sin catálogo)"))</f>
        <v/>
      </c>
      <c r="Y271" s="3">
        <f>IF($G271="","",IFERROR(INDEX('CAT_PUESTOS'!$B$4:$B$8,MATCH($G271,'CAT_PUESTOS'!$A$4:$A$8,0)),"(sin catálogo)"))</f>
        <v/>
      </c>
      <c r="Z271" s="3">
        <f>IF($H271="","",IFERROR(INDEX('CAT_ACTIVIDADES'!$B$4:$B$8,MATCH($H271,'CAT_ACTIVIDADES'!$A$4:$A$8,0)),"(sin catálogo)"))</f>
        <v/>
      </c>
      <c r="AA271" s="12">
        <f>IF($J271="","",TODAY()-$J271)</f>
        <v/>
      </c>
      <c r="AB271" s="12">
        <f>IF($J271="","",IF($J271&lt;=TODAY(),COUNTIFS(cal_fechas,"&gt;="&amp;$J271,cal_fechas,"&lt;"&amp;TODAY(),cal_habil,"sí"),-COUNTIFS(cal_fechas,"&gt;="&amp;TODAY(),cal_fechas,"&lt;"&amp;$J271,cal_habil,"sí")))</f>
        <v/>
      </c>
      <c r="AC271" s="3">
        <f>IF($AB271="","",IF($AB271&lt;0,"FUTURO",IF($AB271&gt;p_dias_backlog_max,"BACKLOG","MES CORRIENTE")))</f>
        <v/>
      </c>
      <c r="AD271" s="3">
        <f>IF($AB271="",FALSE,AND($AB271&gt;p_dias_backlog_min,$AB271&lt;=p_dias_backlog_max))</f>
        <v/>
      </c>
      <c r="AE271" s="6" t="n"/>
      <c r="AF271" s="3">
        <f>IF($AE271="","",IF((IFERROR(INDEX('ASIGNACIONES'!$F$4:$F$339,MATCH($O271&amp;"|"&amp;$R271&amp;"|"&amp;$AE271,'ASIGNACIONES'!$J$4:$J$339,0)),""))=0,"",IFERROR(INDEX('ASIGNACIONES'!$F$4:$F$339,MATCH($O271&amp;"|"&amp;$R271&amp;"|"&amp;$AE271,'ASIGNACIONES'!$J$4:$J$339,0)),"")))</f>
        <v/>
      </c>
      <c r="AG271" s="13">
        <f>IF($AE271="","",SUMIFS('ORDENES'!$M$4:$M$1203,'ORDENES'!$AE$4:$AE$1203,$AE271,'ORDENES'!$O$4:$O$1203,$O271,'ORDENES'!$R$4:$R$1203,$R271))</f>
        <v/>
      </c>
      <c r="AH271" s="13">
        <f>IF($AG271="","",p_factor_productividad*IFERROR(INDEX('ASIGNACIONES'!$I$4:$I$339,MATCH($O271&amp;"|"&amp;$R271&amp;"|"&amp;$AE271,'ASIGNACIONES'!$J$4:$J$339,0)),0)-$AG271)</f>
        <v/>
      </c>
      <c r="AI271" s="10">
        <f>IF($A271="","",IFERROR(INDEX('2_IMPORTAR_EJECUCION'!$F$9:$F$1208,MATCH($AQ271,'2_IMPORTAR_EJECUCION'!$J$9:$J$1208,0)),0))</f>
        <v/>
      </c>
      <c r="AJ271" s="10">
        <f>IF($A271="","",MAX(0,IFERROR(INDEX('2_IMPORTAR_EJECUCION'!$H$9:$H$1208,MATCH($AQ271,'2_IMPORTAR_EJECUCION'!$J$9:$J$1208,0)),0)-$AI271))</f>
        <v/>
      </c>
      <c r="AK271" s="10">
        <f>IF($A271="","",$AI271+$AJ271)</f>
        <v/>
      </c>
      <c r="AL271" s="6" t="n"/>
      <c r="AM271" s="6" t="n"/>
      <c r="AN271" s="6" t="n"/>
      <c r="AO271" s="3">
        <f>IF($AN271="","",HYPERLINK(p_ruta_base_checklists&amp;$AN271,"abrir"))</f>
        <v/>
      </c>
      <c r="AP271" s="6" t="n"/>
      <c r="AQ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IF($A272="","",IFERROR(INDEX('AJUSTES'!$B$4:$B$303,MATCH($AQ272,'AJUSTES'!$A$4:$A$303,0)),IF($K272="","",$K272)))</f>
        <v/>
      </c>
      <c r="N272" s="3">
        <f>IF($A272="","",IFERROR(INDEX('CAT_ESTADOS_ERP'!$B$4:$B$7,MATCH(IFERROR(INDEX('2_IMPORTAR_EJECUCION'!$C$9:$C$1208,MATCH($AQ272,'2_IMPORTAR_EJECUCION'!$J$9:$J$1208,0)),""),'CAT_ESTADOS_ERP'!$A$4:$A$7,0)),"Pendiente"))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J272="","",IFERROR(INDEX('CALENDARIO'!$C$15:$C$214,MATCH(TEXT($J272,"yyyy-mm-dd")&amp;"|"&amp;$V272&amp;"|"&amp;$W272,'CALENDARIO'!$G$15:$G$214,0)),IFERROR(INDEX('CALENDARIO'!$C$15:$C$214,MATCH(TEXT($J272,"yyyy-mm-dd")&amp;"|"&amp;$V272&amp;"|",'CALENDARIO'!$G$15:$G$214,0)),IFERROR(INDEX('CALENDARIO'!$C$15:$C$214,MATCH(TEXT($J272,"yyyy-mm-dd")&amp;"||",'CALENDARIO'!$G$15:$G$214,0)),INDEX(patronHabil,WEEKDAY($J272,2))))))</f>
        <v/>
      </c>
      <c r="T272" s="3">
        <f>IF($I272="","",IFERROR(INDEX('CAT_TIPOS_OT'!$C$4:$C$7,MATCH($I272,'CAT_TIPOS_OT'!$A$4:$A$7,0)),"sin_clasificar"))</f>
        <v/>
      </c>
      <c r="U272" s="3">
        <f>IF($F272="","",IFERROR(INDEX('CAT_CENTROS_COSTO'!$F$4:$F$13,MATCH($F272,'CAT_CENTROS_COSTO'!$A$4:$A$13,0)),"(sin catálogo)"))</f>
        <v/>
      </c>
      <c r="V272" s="3">
        <f>IF($F272="","",IFERROR(INDEX('CAT_CENTROS_COSTO'!$D$4:$D$13,MATCH($F272,'CAT_CENTROS_COSTO'!$A$4:$A$13,0)),"(sin catálogo)"))</f>
        <v/>
      </c>
      <c r="W272" s="3">
        <f>IF($F272="","",IF((IFERROR(INDEX('CAT_CENTROS_COSTO'!$E$4:$E$13,MATCH($F272,'CAT_CENTROS_COSTO'!$A$4:$A$13,0)),""))&lt;&gt;"",IFERROR(INDEX('CAT_CENTROS_COSTO'!$E$4:$E$13,MATCH($F272,'CAT_CENTROS_COSTO'!$A$4:$A$13,0)),""),$V272))</f>
        <v/>
      </c>
      <c r="X272" s="3">
        <f>IF($F272="","",IFERROR(INDEX('CAT_CENTROS_COSTO'!$G$4:$G$13,MATCH($F272,'CAT_CENTROS_COSTO'!$A$4:$A$13,0)),"(sin catálogo)"))</f>
        <v/>
      </c>
      <c r="Y272" s="3">
        <f>IF($G272="","",IFERROR(INDEX('CAT_PUESTOS'!$B$4:$B$8,MATCH($G272,'CAT_PUESTOS'!$A$4:$A$8,0)),"(sin catálogo)"))</f>
        <v/>
      </c>
      <c r="Z272" s="3">
        <f>IF($H272="","",IFERROR(INDEX('CAT_ACTIVIDADES'!$B$4:$B$8,MATCH($H272,'CAT_ACTIVIDADES'!$A$4:$A$8,0)),"(sin catálogo)"))</f>
        <v/>
      </c>
      <c r="AA272" s="12">
        <f>IF($J272="","",TODAY()-$J272)</f>
        <v/>
      </c>
      <c r="AB272" s="12">
        <f>IF($J272="","",IF($J272&lt;=TODAY(),COUNTIFS(cal_fechas,"&gt;="&amp;$J272,cal_fechas,"&lt;"&amp;TODAY(),cal_habil,"sí"),-COUNTIFS(cal_fechas,"&gt;="&amp;TODAY(),cal_fechas,"&lt;"&amp;$J272,cal_habil,"sí")))</f>
        <v/>
      </c>
      <c r="AC272" s="3">
        <f>IF($AB272="","",IF($AB272&lt;0,"FUTURO",IF($AB272&gt;p_dias_backlog_max,"BACKLOG","MES CORRIENTE")))</f>
        <v/>
      </c>
      <c r="AD272" s="3">
        <f>IF($AB272="",FALSE,AND($AB272&gt;p_dias_backlog_min,$AB272&lt;=p_dias_backlog_max))</f>
        <v/>
      </c>
      <c r="AE272" s="6" t="n"/>
      <c r="AF272" s="3">
        <f>IF($AE272="","",IF((IFERROR(INDEX('ASIGNACIONES'!$F$4:$F$339,MATCH($O272&amp;"|"&amp;$R272&amp;"|"&amp;$AE272,'ASIGNACIONES'!$J$4:$J$339,0)),""))=0,"",IFERROR(INDEX('ASIGNACIONES'!$F$4:$F$339,MATCH($O272&amp;"|"&amp;$R272&amp;"|"&amp;$AE272,'ASIGNACIONES'!$J$4:$J$339,0)),"")))</f>
        <v/>
      </c>
      <c r="AG272" s="13">
        <f>IF($AE272="","",SUMIFS('ORDENES'!$M$4:$M$1203,'ORDENES'!$AE$4:$AE$1203,$AE272,'ORDENES'!$O$4:$O$1203,$O272,'ORDENES'!$R$4:$R$1203,$R272))</f>
        <v/>
      </c>
      <c r="AH272" s="13">
        <f>IF($AG272="","",p_factor_productividad*IFERROR(INDEX('ASIGNACIONES'!$I$4:$I$339,MATCH($O272&amp;"|"&amp;$R272&amp;"|"&amp;$AE272,'ASIGNACIONES'!$J$4:$J$339,0)),0)-$AG272)</f>
        <v/>
      </c>
      <c r="AI272" s="10">
        <f>IF($A272="","",IFERROR(INDEX('2_IMPORTAR_EJECUCION'!$F$9:$F$1208,MATCH($AQ272,'2_IMPORTAR_EJECUCION'!$J$9:$J$1208,0)),0))</f>
        <v/>
      </c>
      <c r="AJ272" s="10">
        <f>IF($A272="","",MAX(0,IFERROR(INDEX('2_IMPORTAR_EJECUCION'!$H$9:$H$1208,MATCH($AQ272,'2_IMPORTAR_EJECUCION'!$J$9:$J$1208,0)),0)-$AI272))</f>
        <v/>
      </c>
      <c r="AK272" s="10">
        <f>IF($A272="","",$AI272+$AJ272)</f>
        <v/>
      </c>
      <c r="AL272" s="6" t="n"/>
      <c r="AM272" s="6" t="n"/>
      <c r="AN272" s="6" t="n"/>
      <c r="AO272" s="3">
        <f>IF($AN272="","",HYPERLINK(p_ruta_base_checklists&amp;$AN272,"abrir"))</f>
        <v/>
      </c>
      <c r="AP272" s="6" t="n"/>
      <c r="AQ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IF($A273="","",IFERROR(INDEX('AJUSTES'!$B$4:$B$303,MATCH($AQ273,'AJUSTES'!$A$4:$A$303,0)),IF($K273="","",$K273)))</f>
        <v/>
      </c>
      <c r="N273" s="3">
        <f>IF($A273="","",IFERROR(INDEX('CAT_ESTADOS_ERP'!$B$4:$B$7,MATCH(IFERROR(INDEX('2_IMPORTAR_EJECUCION'!$C$9:$C$1208,MATCH($AQ273,'2_IMPORTAR_EJECUCION'!$J$9:$J$1208,0)),""),'CAT_ESTADOS_ERP'!$A$4:$A$7,0)),"Pendiente"))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J273="","",IFERROR(INDEX('CALENDARIO'!$C$15:$C$214,MATCH(TEXT($J273,"yyyy-mm-dd")&amp;"|"&amp;$V273&amp;"|"&amp;$W273,'CALENDARIO'!$G$15:$G$214,0)),IFERROR(INDEX('CALENDARIO'!$C$15:$C$214,MATCH(TEXT($J273,"yyyy-mm-dd")&amp;"|"&amp;$V273&amp;"|",'CALENDARIO'!$G$15:$G$214,0)),IFERROR(INDEX('CALENDARIO'!$C$15:$C$214,MATCH(TEXT($J273,"yyyy-mm-dd")&amp;"||",'CALENDARIO'!$G$15:$G$214,0)),INDEX(patronHabil,WEEKDAY($J273,2))))))</f>
        <v/>
      </c>
      <c r="T273" s="3">
        <f>IF($I273="","",IFERROR(INDEX('CAT_TIPOS_OT'!$C$4:$C$7,MATCH($I273,'CAT_TIPOS_OT'!$A$4:$A$7,0)),"sin_clasificar"))</f>
        <v/>
      </c>
      <c r="U273" s="3">
        <f>IF($F273="","",IFERROR(INDEX('CAT_CENTROS_COSTO'!$F$4:$F$13,MATCH($F273,'CAT_CENTROS_COSTO'!$A$4:$A$13,0)),"(sin catálogo)"))</f>
        <v/>
      </c>
      <c r="V273" s="3">
        <f>IF($F273="","",IFERROR(INDEX('CAT_CENTROS_COSTO'!$D$4:$D$13,MATCH($F273,'CAT_CENTROS_COSTO'!$A$4:$A$13,0)),"(sin catálogo)"))</f>
        <v/>
      </c>
      <c r="W273" s="3">
        <f>IF($F273="","",IF((IFERROR(INDEX('CAT_CENTROS_COSTO'!$E$4:$E$13,MATCH($F273,'CAT_CENTROS_COSTO'!$A$4:$A$13,0)),""))&lt;&gt;"",IFERROR(INDEX('CAT_CENTROS_COSTO'!$E$4:$E$13,MATCH($F273,'CAT_CENTROS_COSTO'!$A$4:$A$13,0)),""),$V273))</f>
        <v/>
      </c>
      <c r="X273" s="3">
        <f>IF($F273="","",IFERROR(INDEX('CAT_CENTROS_COSTO'!$G$4:$G$13,MATCH($F273,'CAT_CENTROS_COSTO'!$A$4:$A$13,0)),"(sin catálogo)"))</f>
        <v/>
      </c>
      <c r="Y273" s="3">
        <f>IF($G273="","",IFERROR(INDEX('CAT_PUESTOS'!$B$4:$B$8,MATCH($G273,'CAT_PUESTOS'!$A$4:$A$8,0)),"(sin catálogo)"))</f>
        <v/>
      </c>
      <c r="Z273" s="3">
        <f>IF($H273="","",IFERROR(INDEX('CAT_ACTIVIDADES'!$B$4:$B$8,MATCH($H273,'CAT_ACTIVIDADES'!$A$4:$A$8,0)),"(sin catálogo)"))</f>
        <v/>
      </c>
      <c r="AA273" s="12">
        <f>IF($J273="","",TODAY()-$J273)</f>
        <v/>
      </c>
      <c r="AB273" s="12">
        <f>IF($J273="","",IF($J273&lt;=TODAY(),COUNTIFS(cal_fechas,"&gt;="&amp;$J273,cal_fechas,"&lt;"&amp;TODAY(),cal_habil,"sí"),-COUNTIFS(cal_fechas,"&gt;="&amp;TODAY(),cal_fechas,"&lt;"&amp;$J273,cal_habil,"sí")))</f>
        <v/>
      </c>
      <c r="AC273" s="3">
        <f>IF($AB273="","",IF($AB273&lt;0,"FUTURO",IF($AB273&gt;p_dias_backlog_max,"BACKLOG","MES CORRIENTE")))</f>
        <v/>
      </c>
      <c r="AD273" s="3">
        <f>IF($AB273="",FALSE,AND($AB273&gt;p_dias_backlog_min,$AB273&lt;=p_dias_backlog_max))</f>
        <v/>
      </c>
      <c r="AE273" s="6" t="n"/>
      <c r="AF273" s="3">
        <f>IF($AE273="","",IF((IFERROR(INDEX('ASIGNACIONES'!$F$4:$F$339,MATCH($O273&amp;"|"&amp;$R273&amp;"|"&amp;$AE273,'ASIGNACIONES'!$J$4:$J$339,0)),""))=0,"",IFERROR(INDEX('ASIGNACIONES'!$F$4:$F$339,MATCH($O273&amp;"|"&amp;$R273&amp;"|"&amp;$AE273,'ASIGNACIONES'!$J$4:$J$339,0)),"")))</f>
        <v/>
      </c>
      <c r="AG273" s="13">
        <f>IF($AE273="","",SUMIFS('ORDENES'!$M$4:$M$1203,'ORDENES'!$AE$4:$AE$1203,$AE273,'ORDENES'!$O$4:$O$1203,$O273,'ORDENES'!$R$4:$R$1203,$R273))</f>
        <v/>
      </c>
      <c r="AH273" s="13">
        <f>IF($AG273="","",p_factor_productividad*IFERROR(INDEX('ASIGNACIONES'!$I$4:$I$339,MATCH($O273&amp;"|"&amp;$R273&amp;"|"&amp;$AE273,'ASIGNACIONES'!$J$4:$J$339,0)),0)-$AG273)</f>
        <v/>
      </c>
      <c r="AI273" s="10">
        <f>IF($A273="","",IFERROR(INDEX('2_IMPORTAR_EJECUCION'!$F$9:$F$1208,MATCH($AQ273,'2_IMPORTAR_EJECUCION'!$J$9:$J$1208,0)),0))</f>
        <v/>
      </c>
      <c r="AJ273" s="10">
        <f>IF($A273="","",MAX(0,IFERROR(INDEX('2_IMPORTAR_EJECUCION'!$H$9:$H$1208,MATCH($AQ273,'2_IMPORTAR_EJECUCION'!$J$9:$J$1208,0)),0)-$AI273))</f>
        <v/>
      </c>
      <c r="AK273" s="10">
        <f>IF($A273="","",$AI273+$AJ273)</f>
        <v/>
      </c>
      <c r="AL273" s="6" t="n"/>
      <c r="AM273" s="6" t="n"/>
      <c r="AN273" s="6" t="n"/>
      <c r="AO273" s="3">
        <f>IF($AN273="","",HYPERLINK(p_ruta_base_checklists&amp;$AN273,"abrir"))</f>
        <v/>
      </c>
      <c r="AP273" s="6" t="n"/>
      <c r="AQ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IF($A274="","",IFERROR(INDEX('AJUSTES'!$B$4:$B$303,MATCH($AQ274,'AJUSTES'!$A$4:$A$303,0)),IF($K274="","",$K274)))</f>
        <v/>
      </c>
      <c r="N274" s="3">
        <f>IF($A274="","",IFERROR(INDEX('CAT_ESTADOS_ERP'!$B$4:$B$7,MATCH(IFERROR(INDEX('2_IMPORTAR_EJECUCION'!$C$9:$C$1208,MATCH($AQ274,'2_IMPORTAR_EJECUCION'!$J$9:$J$1208,0)),""),'CAT_ESTADOS_ERP'!$A$4:$A$7,0)),"Pendiente"))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J274="","",IFERROR(INDEX('CALENDARIO'!$C$15:$C$214,MATCH(TEXT($J274,"yyyy-mm-dd")&amp;"|"&amp;$V274&amp;"|"&amp;$W274,'CALENDARIO'!$G$15:$G$214,0)),IFERROR(INDEX('CALENDARIO'!$C$15:$C$214,MATCH(TEXT($J274,"yyyy-mm-dd")&amp;"|"&amp;$V274&amp;"|",'CALENDARIO'!$G$15:$G$214,0)),IFERROR(INDEX('CALENDARIO'!$C$15:$C$214,MATCH(TEXT($J274,"yyyy-mm-dd")&amp;"||",'CALENDARIO'!$G$15:$G$214,0)),INDEX(patronHabil,WEEKDAY($J274,2))))))</f>
        <v/>
      </c>
      <c r="T274" s="3">
        <f>IF($I274="","",IFERROR(INDEX('CAT_TIPOS_OT'!$C$4:$C$7,MATCH($I274,'CAT_TIPOS_OT'!$A$4:$A$7,0)),"sin_clasificar"))</f>
        <v/>
      </c>
      <c r="U274" s="3">
        <f>IF($F274="","",IFERROR(INDEX('CAT_CENTROS_COSTO'!$F$4:$F$13,MATCH($F274,'CAT_CENTROS_COSTO'!$A$4:$A$13,0)),"(sin catálogo)"))</f>
        <v/>
      </c>
      <c r="V274" s="3">
        <f>IF($F274="","",IFERROR(INDEX('CAT_CENTROS_COSTO'!$D$4:$D$13,MATCH($F274,'CAT_CENTROS_COSTO'!$A$4:$A$13,0)),"(sin catálogo)"))</f>
        <v/>
      </c>
      <c r="W274" s="3">
        <f>IF($F274="","",IF((IFERROR(INDEX('CAT_CENTROS_COSTO'!$E$4:$E$13,MATCH($F274,'CAT_CENTROS_COSTO'!$A$4:$A$13,0)),""))&lt;&gt;"",IFERROR(INDEX('CAT_CENTROS_COSTO'!$E$4:$E$13,MATCH($F274,'CAT_CENTROS_COSTO'!$A$4:$A$13,0)),""),$V274))</f>
        <v/>
      </c>
      <c r="X274" s="3">
        <f>IF($F274="","",IFERROR(INDEX('CAT_CENTROS_COSTO'!$G$4:$G$13,MATCH($F274,'CAT_CENTROS_COSTO'!$A$4:$A$13,0)),"(sin catálogo)"))</f>
        <v/>
      </c>
      <c r="Y274" s="3">
        <f>IF($G274="","",IFERROR(INDEX('CAT_PUESTOS'!$B$4:$B$8,MATCH($G274,'CAT_PUESTOS'!$A$4:$A$8,0)),"(sin catálogo)"))</f>
        <v/>
      </c>
      <c r="Z274" s="3">
        <f>IF($H274="","",IFERROR(INDEX('CAT_ACTIVIDADES'!$B$4:$B$8,MATCH($H274,'CAT_ACTIVIDADES'!$A$4:$A$8,0)),"(sin catálogo)"))</f>
        <v/>
      </c>
      <c r="AA274" s="12">
        <f>IF($J274="","",TODAY()-$J274)</f>
        <v/>
      </c>
      <c r="AB274" s="12">
        <f>IF($J274="","",IF($J274&lt;=TODAY(),COUNTIFS(cal_fechas,"&gt;="&amp;$J274,cal_fechas,"&lt;"&amp;TODAY(),cal_habil,"sí"),-COUNTIFS(cal_fechas,"&gt;="&amp;TODAY(),cal_fechas,"&lt;"&amp;$J274,cal_habil,"sí")))</f>
        <v/>
      </c>
      <c r="AC274" s="3">
        <f>IF($AB274="","",IF($AB274&lt;0,"FUTURO",IF($AB274&gt;p_dias_backlog_max,"BACKLOG","MES CORRIENTE")))</f>
        <v/>
      </c>
      <c r="AD274" s="3">
        <f>IF($AB274="",FALSE,AND($AB274&gt;p_dias_backlog_min,$AB274&lt;=p_dias_backlog_max))</f>
        <v/>
      </c>
      <c r="AE274" s="6" t="n"/>
      <c r="AF274" s="3">
        <f>IF($AE274="","",IF((IFERROR(INDEX('ASIGNACIONES'!$F$4:$F$339,MATCH($O274&amp;"|"&amp;$R274&amp;"|"&amp;$AE274,'ASIGNACIONES'!$J$4:$J$339,0)),""))=0,"",IFERROR(INDEX('ASIGNACIONES'!$F$4:$F$339,MATCH($O274&amp;"|"&amp;$R274&amp;"|"&amp;$AE274,'ASIGNACIONES'!$J$4:$J$339,0)),"")))</f>
        <v/>
      </c>
      <c r="AG274" s="13">
        <f>IF($AE274="","",SUMIFS('ORDENES'!$M$4:$M$1203,'ORDENES'!$AE$4:$AE$1203,$AE274,'ORDENES'!$O$4:$O$1203,$O274,'ORDENES'!$R$4:$R$1203,$R274))</f>
        <v/>
      </c>
      <c r="AH274" s="13">
        <f>IF($AG274="","",p_factor_productividad*IFERROR(INDEX('ASIGNACIONES'!$I$4:$I$339,MATCH($O274&amp;"|"&amp;$R274&amp;"|"&amp;$AE274,'ASIGNACIONES'!$J$4:$J$339,0)),0)-$AG274)</f>
        <v/>
      </c>
      <c r="AI274" s="10">
        <f>IF($A274="","",IFERROR(INDEX('2_IMPORTAR_EJECUCION'!$F$9:$F$1208,MATCH($AQ274,'2_IMPORTAR_EJECUCION'!$J$9:$J$1208,0)),0))</f>
        <v/>
      </c>
      <c r="AJ274" s="10">
        <f>IF($A274="","",MAX(0,IFERROR(INDEX('2_IMPORTAR_EJECUCION'!$H$9:$H$1208,MATCH($AQ274,'2_IMPORTAR_EJECUCION'!$J$9:$J$1208,0)),0)-$AI274))</f>
        <v/>
      </c>
      <c r="AK274" s="10">
        <f>IF($A274="","",$AI274+$AJ274)</f>
        <v/>
      </c>
      <c r="AL274" s="6" t="n"/>
      <c r="AM274" s="6" t="n"/>
      <c r="AN274" s="6" t="n"/>
      <c r="AO274" s="3">
        <f>IF($AN274="","",HYPERLINK(p_ruta_base_checklists&amp;$AN274,"abrir"))</f>
        <v/>
      </c>
      <c r="AP274" s="6" t="n"/>
      <c r="AQ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IF($A275="","",IFERROR(INDEX('AJUSTES'!$B$4:$B$303,MATCH($AQ275,'AJUSTES'!$A$4:$A$303,0)),IF($K275="","",$K275)))</f>
        <v/>
      </c>
      <c r="N275" s="3">
        <f>IF($A275="","",IFERROR(INDEX('CAT_ESTADOS_ERP'!$B$4:$B$7,MATCH(IFERROR(INDEX('2_IMPORTAR_EJECUCION'!$C$9:$C$1208,MATCH($AQ275,'2_IMPORTAR_EJECUCION'!$J$9:$J$1208,0)),""),'CAT_ESTADOS_ERP'!$A$4:$A$7,0)),"Pendiente"))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J275="","",IFERROR(INDEX('CALENDARIO'!$C$15:$C$214,MATCH(TEXT($J275,"yyyy-mm-dd")&amp;"|"&amp;$V275&amp;"|"&amp;$W275,'CALENDARIO'!$G$15:$G$214,0)),IFERROR(INDEX('CALENDARIO'!$C$15:$C$214,MATCH(TEXT($J275,"yyyy-mm-dd")&amp;"|"&amp;$V275&amp;"|",'CALENDARIO'!$G$15:$G$214,0)),IFERROR(INDEX('CALENDARIO'!$C$15:$C$214,MATCH(TEXT($J275,"yyyy-mm-dd")&amp;"||",'CALENDARIO'!$G$15:$G$214,0)),INDEX(patronHabil,WEEKDAY($J275,2))))))</f>
        <v/>
      </c>
      <c r="T275" s="3">
        <f>IF($I275="","",IFERROR(INDEX('CAT_TIPOS_OT'!$C$4:$C$7,MATCH($I275,'CAT_TIPOS_OT'!$A$4:$A$7,0)),"sin_clasificar"))</f>
        <v/>
      </c>
      <c r="U275" s="3">
        <f>IF($F275="","",IFERROR(INDEX('CAT_CENTROS_COSTO'!$F$4:$F$13,MATCH($F275,'CAT_CENTROS_COSTO'!$A$4:$A$13,0)),"(sin catálogo)"))</f>
        <v/>
      </c>
      <c r="V275" s="3">
        <f>IF($F275="","",IFERROR(INDEX('CAT_CENTROS_COSTO'!$D$4:$D$13,MATCH($F275,'CAT_CENTROS_COSTO'!$A$4:$A$13,0)),"(sin catálogo)"))</f>
        <v/>
      </c>
      <c r="W275" s="3">
        <f>IF($F275="","",IF((IFERROR(INDEX('CAT_CENTROS_COSTO'!$E$4:$E$13,MATCH($F275,'CAT_CENTROS_COSTO'!$A$4:$A$13,0)),""))&lt;&gt;"",IFERROR(INDEX('CAT_CENTROS_COSTO'!$E$4:$E$13,MATCH($F275,'CAT_CENTROS_COSTO'!$A$4:$A$13,0)),""),$V275))</f>
        <v/>
      </c>
      <c r="X275" s="3">
        <f>IF($F275="","",IFERROR(INDEX('CAT_CENTROS_COSTO'!$G$4:$G$13,MATCH($F275,'CAT_CENTROS_COSTO'!$A$4:$A$13,0)),"(sin catálogo)"))</f>
        <v/>
      </c>
      <c r="Y275" s="3">
        <f>IF($G275="","",IFERROR(INDEX('CAT_PUESTOS'!$B$4:$B$8,MATCH($G275,'CAT_PUESTOS'!$A$4:$A$8,0)),"(sin catálogo)"))</f>
        <v/>
      </c>
      <c r="Z275" s="3">
        <f>IF($H275="","",IFERROR(INDEX('CAT_ACTIVIDADES'!$B$4:$B$8,MATCH($H275,'CAT_ACTIVIDADES'!$A$4:$A$8,0)),"(sin catálogo)"))</f>
        <v/>
      </c>
      <c r="AA275" s="12">
        <f>IF($J275="","",TODAY()-$J275)</f>
        <v/>
      </c>
      <c r="AB275" s="12">
        <f>IF($J275="","",IF($J275&lt;=TODAY(),COUNTIFS(cal_fechas,"&gt;="&amp;$J275,cal_fechas,"&lt;"&amp;TODAY(),cal_habil,"sí"),-COUNTIFS(cal_fechas,"&gt;="&amp;TODAY(),cal_fechas,"&lt;"&amp;$J275,cal_habil,"sí")))</f>
        <v/>
      </c>
      <c r="AC275" s="3">
        <f>IF($AB275="","",IF($AB275&lt;0,"FUTURO",IF($AB275&gt;p_dias_backlog_max,"BACKLOG","MES CORRIENTE")))</f>
        <v/>
      </c>
      <c r="AD275" s="3">
        <f>IF($AB275="",FALSE,AND($AB275&gt;p_dias_backlog_min,$AB275&lt;=p_dias_backlog_max))</f>
        <v/>
      </c>
      <c r="AE275" s="6" t="n"/>
      <c r="AF275" s="3">
        <f>IF($AE275="","",IF((IFERROR(INDEX('ASIGNACIONES'!$F$4:$F$339,MATCH($O275&amp;"|"&amp;$R275&amp;"|"&amp;$AE275,'ASIGNACIONES'!$J$4:$J$339,0)),""))=0,"",IFERROR(INDEX('ASIGNACIONES'!$F$4:$F$339,MATCH($O275&amp;"|"&amp;$R275&amp;"|"&amp;$AE275,'ASIGNACIONES'!$J$4:$J$339,0)),"")))</f>
        <v/>
      </c>
      <c r="AG275" s="13">
        <f>IF($AE275="","",SUMIFS('ORDENES'!$M$4:$M$1203,'ORDENES'!$AE$4:$AE$1203,$AE275,'ORDENES'!$O$4:$O$1203,$O275,'ORDENES'!$R$4:$R$1203,$R275))</f>
        <v/>
      </c>
      <c r="AH275" s="13">
        <f>IF($AG275="","",p_factor_productividad*IFERROR(INDEX('ASIGNACIONES'!$I$4:$I$339,MATCH($O275&amp;"|"&amp;$R275&amp;"|"&amp;$AE275,'ASIGNACIONES'!$J$4:$J$339,0)),0)-$AG275)</f>
        <v/>
      </c>
      <c r="AI275" s="10">
        <f>IF($A275="","",IFERROR(INDEX('2_IMPORTAR_EJECUCION'!$F$9:$F$1208,MATCH($AQ275,'2_IMPORTAR_EJECUCION'!$J$9:$J$1208,0)),0))</f>
        <v/>
      </c>
      <c r="AJ275" s="10">
        <f>IF($A275="","",MAX(0,IFERROR(INDEX('2_IMPORTAR_EJECUCION'!$H$9:$H$1208,MATCH($AQ275,'2_IMPORTAR_EJECUCION'!$J$9:$J$1208,0)),0)-$AI275))</f>
        <v/>
      </c>
      <c r="AK275" s="10">
        <f>IF($A275="","",$AI275+$AJ275)</f>
        <v/>
      </c>
      <c r="AL275" s="6" t="n"/>
      <c r="AM275" s="6" t="n"/>
      <c r="AN275" s="6" t="n"/>
      <c r="AO275" s="3">
        <f>IF($AN275="","",HYPERLINK(p_ruta_base_checklists&amp;$AN275,"abrir"))</f>
        <v/>
      </c>
      <c r="AP275" s="6" t="n"/>
      <c r="AQ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IF($A276="","",IFERROR(INDEX('AJUSTES'!$B$4:$B$303,MATCH($AQ276,'AJUSTES'!$A$4:$A$303,0)),IF($K276="","",$K276)))</f>
        <v/>
      </c>
      <c r="N276" s="3">
        <f>IF($A276="","",IFERROR(INDEX('CAT_ESTADOS_ERP'!$B$4:$B$7,MATCH(IFERROR(INDEX('2_IMPORTAR_EJECUCION'!$C$9:$C$1208,MATCH($AQ276,'2_IMPORTAR_EJECUCION'!$J$9:$J$1208,0)),""),'CAT_ESTADOS_ERP'!$A$4:$A$7,0)),"Pendiente"))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J276="","",IFERROR(INDEX('CALENDARIO'!$C$15:$C$214,MATCH(TEXT($J276,"yyyy-mm-dd")&amp;"|"&amp;$V276&amp;"|"&amp;$W276,'CALENDARIO'!$G$15:$G$214,0)),IFERROR(INDEX('CALENDARIO'!$C$15:$C$214,MATCH(TEXT($J276,"yyyy-mm-dd")&amp;"|"&amp;$V276&amp;"|",'CALENDARIO'!$G$15:$G$214,0)),IFERROR(INDEX('CALENDARIO'!$C$15:$C$214,MATCH(TEXT($J276,"yyyy-mm-dd")&amp;"||",'CALENDARIO'!$G$15:$G$214,0)),INDEX(patronHabil,WEEKDAY($J276,2))))))</f>
        <v/>
      </c>
      <c r="T276" s="3">
        <f>IF($I276="","",IFERROR(INDEX('CAT_TIPOS_OT'!$C$4:$C$7,MATCH($I276,'CAT_TIPOS_OT'!$A$4:$A$7,0)),"sin_clasificar"))</f>
        <v/>
      </c>
      <c r="U276" s="3">
        <f>IF($F276="","",IFERROR(INDEX('CAT_CENTROS_COSTO'!$F$4:$F$13,MATCH($F276,'CAT_CENTROS_COSTO'!$A$4:$A$13,0)),"(sin catálogo)"))</f>
        <v/>
      </c>
      <c r="V276" s="3">
        <f>IF($F276="","",IFERROR(INDEX('CAT_CENTROS_COSTO'!$D$4:$D$13,MATCH($F276,'CAT_CENTROS_COSTO'!$A$4:$A$13,0)),"(sin catálogo)"))</f>
        <v/>
      </c>
      <c r="W276" s="3">
        <f>IF($F276="","",IF((IFERROR(INDEX('CAT_CENTROS_COSTO'!$E$4:$E$13,MATCH($F276,'CAT_CENTROS_COSTO'!$A$4:$A$13,0)),""))&lt;&gt;"",IFERROR(INDEX('CAT_CENTROS_COSTO'!$E$4:$E$13,MATCH($F276,'CAT_CENTROS_COSTO'!$A$4:$A$13,0)),""),$V276))</f>
        <v/>
      </c>
      <c r="X276" s="3">
        <f>IF($F276="","",IFERROR(INDEX('CAT_CENTROS_COSTO'!$G$4:$G$13,MATCH($F276,'CAT_CENTROS_COSTO'!$A$4:$A$13,0)),"(sin catálogo)"))</f>
        <v/>
      </c>
      <c r="Y276" s="3">
        <f>IF($G276="","",IFERROR(INDEX('CAT_PUESTOS'!$B$4:$B$8,MATCH($G276,'CAT_PUESTOS'!$A$4:$A$8,0)),"(sin catálogo)"))</f>
        <v/>
      </c>
      <c r="Z276" s="3">
        <f>IF($H276="","",IFERROR(INDEX('CAT_ACTIVIDADES'!$B$4:$B$8,MATCH($H276,'CAT_ACTIVIDADES'!$A$4:$A$8,0)),"(sin catálogo)"))</f>
        <v/>
      </c>
      <c r="AA276" s="12">
        <f>IF($J276="","",TODAY()-$J276)</f>
        <v/>
      </c>
      <c r="AB276" s="12">
        <f>IF($J276="","",IF($J276&lt;=TODAY(),COUNTIFS(cal_fechas,"&gt;="&amp;$J276,cal_fechas,"&lt;"&amp;TODAY(),cal_habil,"sí"),-COUNTIFS(cal_fechas,"&gt;="&amp;TODAY(),cal_fechas,"&lt;"&amp;$J276,cal_habil,"sí")))</f>
        <v/>
      </c>
      <c r="AC276" s="3">
        <f>IF($AB276="","",IF($AB276&lt;0,"FUTURO",IF($AB276&gt;p_dias_backlog_max,"BACKLOG","MES CORRIENTE")))</f>
        <v/>
      </c>
      <c r="AD276" s="3">
        <f>IF($AB276="",FALSE,AND($AB276&gt;p_dias_backlog_min,$AB276&lt;=p_dias_backlog_max))</f>
        <v/>
      </c>
      <c r="AE276" s="6" t="n"/>
      <c r="AF276" s="3">
        <f>IF($AE276="","",IF((IFERROR(INDEX('ASIGNACIONES'!$F$4:$F$339,MATCH($O276&amp;"|"&amp;$R276&amp;"|"&amp;$AE276,'ASIGNACIONES'!$J$4:$J$339,0)),""))=0,"",IFERROR(INDEX('ASIGNACIONES'!$F$4:$F$339,MATCH($O276&amp;"|"&amp;$R276&amp;"|"&amp;$AE276,'ASIGNACIONES'!$J$4:$J$339,0)),"")))</f>
        <v/>
      </c>
      <c r="AG276" s="13">
        <f>IF($AE276="","",SUMIFS('ORDENES'!$M$4:$M$1203,'ORDENES'!$AE$4:$AE$1203,$AE276,'ORDENES'!$O$4:$O$1203,$O276,'ORDENES'!$R$4:$R$1203,$R276))</f>
        <v/>
      </c>
      <c r="AH276" s="13">
        <f>IF($AG276="","",p_factor_productividad*IFERROR(INDEX('ASIGNACIONES'!$I$4:$I$339,MATCH($O276&amp;"|"&amp;$R276&amp;"|"&amp;$AE276,'ASIGNACIONES'!$J$4:$J$339,0)),0)-$AG276)</f>
        <v/>
      </c>
      <c r="AI276" s="10">
        <f>IF($A276="","",IFERROR(INDEX('2_IMPORTAR_EJECUCION'!$F$9:$F$1208,MATCH($AQ276,'2_IMPORTAR_EJECUCION'!$J$9:$J$1208,0)),0))</f>
        <v/>
      </c>
      <c r="AJ276" s="10">
        <f>IF($A276="","",MAX(0,IFERROR(INDEX('2_IMPORTAR_EJECUCION'!$H$9:$H$1208,MATCH($AQ276,'2_IMPORTAR_EJECUCION'!$J$9:$J$1208,0)),0)-$AI276))</f>
        <v/>
      </c>
      <c r="AK276" s="10">
        <f>IF($A276="","",$AI276+$AJ276)</f>
        <v/>
      </c>
      <c r="AL276" s="6" t="n"/>
      <c r="AM276" s="6" t="n"/>
      <c r="AN276" s="6" t="n"/>
      <c r="AO276" s="3">
        <f>IF($AN276="","",HYPERLINK(p_ruta_base_checklists&amp;$AN276,"abrir"))</f>
        <v/>
      </c>
      <c r="AP276" s="6" t="n"/>
      <c r="AQ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IF($A277="","",IFERROR(INDEX('AJUSTES'!$B$4:$B$303,MATCH($AQ277,'AJUSTES'!$A$4:$A$303,0)),IF($K277="","",$K277)))</f>
        <v/>
      </c>
      <c r="N277" s="3">
        <f>IF($A277="","",IFERROR(INDEX('CAT_ESTADOS_ERP'!$B$4:$B$7,MATCH(IFERROR(INDEX('2_IMPORTAR_EJECUCION'!$C$9:$C$1208,MATCH($AQ277,'2_IMPORTAR_EJECUCION'!$J$9:$J$1208,0)),""),'CAT_ESTADOS_ERP'!$A$4:$A$7,0)),"Pendiente"))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J277="","",IFERROR(INDEX('CALENDARIO'!$C$15:$C$214,MATCH(TEXT($J277,"yyyy-mm-dd")&amp;"|"&amp;$V277&amp;"|"&amp;$W277,'CALENDARIO'!$G$15:$G$214,0)),IFERROR(INDEX('CALENDARIO'!$C$15:$C$214,MATCH(TEXT($J277,"yyyy-mm-dd")&amp;"|"&amp;$V277&amp;"|",'CALENDARIO'!$G$15:$G$214,0)),IFERROR(INDEX('CALENDARIO'!$C$15:$C$214,MATCH(TEXT($J277,"yyyy-mm-dd")&amp;"||",'CALENDARIO'!$G$15:$G$214,0)),INDEX(patronHabil,WEEKDAY($J277,2))))))</f>
        <v/>
      </c>
      <c r="T277" s="3">
        <f>IF($I277="","",IFERROR(INDEX('CAT_TIPOS_OT'!$C$4:$C$7,MATCH($I277,'CAT_TIPOS_OT'!$A$4:$A$7,0)),"sin_clasificar"))</f>
        <v/>
      </c>
      <c r="U277" s="3">
        <f>IF($F277="","",IFERROR(INDEX('CAT_CENTROS_COSTO'!$F$4:$F$13,MATCH($F277,'CAT_CENTROS_COSTO'!$A$4:$A$13,0)),"(sin catálogo)"))</f>
        <v/>
      </c>
      <c r="V277" s="3">
        <f>IF($F277="","",IFERROR(INDEX('CAT_CENTROS_COSTO'!$D$4:$D$13,MATCH($F277,'CAT_CENTROS_COSTO'!$A$4:$A$13,0)),"(sin catálogo)"))</f>
        <v/>
      </c>
      <c r="W277" s="3">
        <f>IF($F277="","",IF((IFERROR(INDEX('CAT_CENTROS_COSTO'!$E$4:$E$13,MATCH($F277,'CAT_CENTROS_COSTO'!$A$4:$A$13,0)),""))&lt;&gt;"",IFERROR(INDEX('CAT_CENTROS_COSTO'!$E$4:$E$13,MATCH($F277,'CAT_CENTROS_COSTO'!$A$4:$A$13,0)),""),$V277))</f>
        <v/>
      </c>
      <c r="X277" s="3">
        <f>IF($F277="","",IFERROR(INDEX('CAT_CENTROS_COSTO'!$G$4:$G$13,MATCH($F277,'CAT_CENTROS_COSTO'!$A$4:$A$13,0)),"(sin catálogo)"))</f>
        <v/>
      </c>
      <c r="Y277" s="3">
        <f>IF($G277="","",IFERROR(INDEX('CAT_PUESTOS'!$B$4:$B$8,MATCH($G277,'CAT_PUESTOS'!$A$4:$A$8,0)),"(sin catálogo)"))</f>
        <v/>
      </c>
      <c r="Z277" s="3">
        <f>IF($H277="","",IFERROR(INDEX('CAT_ACTIVIDADES'!$B$4:$B$8,MATCH($H277,'CAT_ACTIVIDADES'!$A$4:$A$8,0)),"(sin catálogo)"))</f>
        <v/>
      </c>
      <c r="AA277" s="12">
        <f>IF($J277="","",TODAY()-$J277)</f>
        <v/>
      </c>
      <c r="AB277" s="12">
        <f>IF($J277="","",IF($J277&lt;=TODAY(),COUNTIFS(cal_fechas,"&gt;="&amp;$J277,cal_fechas,"&lt;"&amp;TODAY(),cal_habil,"sí"),-COUNTIFS(cal_fechas,"&gt;="&amp;TODAY(),cal_fechas,"&lt;"&amp;$J277,cal_habil,"sí")))</f>
        <v/>
      </c>
      <c r="AC277" s="3">
        <f>IF($AB277="","",IF($AB277&lt;0,"FUTURO",IF($AB277&gt;p_dias_backlog_max,"BACKLOG","MES CORRIENTE")))</f>
        <v/>
      </c>
      <c r="AD277" s="3">
        <f>IF($AB277="",FALSE,AND($AB277&gt;p_dias_backlog_min,$AB277&lt;=p_dias_backlog_max))</f>
        <v/>
      </c>
      <c r="AE277" s="6" t="n"/>
      <c r="AF277" s="3">
        <f>IF($AE277="","",IF((IFERROR(INDEX('ASIGNACIONES'!$F$4:$F$339,MATCH($O277&amp;"|"&amp;$R277&amp;"|"&amp;$AE277,'ASIGNACIONES'!$J$4:$J$339,0)),""))=0,"",IFERROR(INDEX('ASIGNACIONES'!$F$4:$F$339,MATCH($O277&amp;"|"&amp;$R277&amp;"|"&amp;$AE277,'ASIGNACIONES'!$J$4:$J$339,0)),"")))</f>
        <v/>
      </c>
      <c r="AG277" s="13">
        <f>IF($AE277="","",SUMIFS('ORDENES'!$M$4:$M$1203,'ORDENES'!$AE$4:$AE$1203,$AE277,'ORDENES'!$O$4:$O$1203,$O277,'ORDENES'!$R$4:$R$1203,$R277))</f>
        <v/>
      </c>
      <c r="AH277" s="13">
        <f>IF($AG277="","",p_factor_productividad*IFERROR(INDEX('ASIGNACIONES'!$I$4:$I$339,MATCH($O277&amp;"|"&amp;$R277&amp;"|"&amp;$AE277,'ASIGNACIONES'!$J$4:$J$339,0)),0)-$AG277)</f>
        <v/>
      </c>
      <c r="AI277" s="10">
        <f>IF($A277="","",IFERROR(INDEX('2_IMPORTAR_EJECUCION'!$F$9:$F$1208,MATCH($AQ277,'2_IMPORTAR_EJECUCION'!$J$9:$J$1208,0)),0))</f>
        <v/>
      </c>
      <c r="AJ277" s="10">
        <f>IF($A277="","",MAX(0,IFERROR(INDEX('2_IMPORTAR_EJECUCION'!$H$9:$H$1208,MATCH($AQ277,'2_IMPORTAR_EJECUCION'!$J$9:$J$1208,0)),0)-$AI277))</f>
        <v/>
      </c>
      <c r="AK277" s="10">
        <f>IF($A277="","",$AI277+$AJ277)</f>
        <v/>
      </c>
      <c r="AL277" s="6" t="n"/>
      <c r="AM277" s="6" t="n"/>
      <c r="AN277" s="6" t="n"/>
      <c r="AO277" s="3">
        <f>IF($AN277="","",HYPERLINK(p_ruta_base_checklists&amp;$AN277,"abrir"))</f>
        <v/>
      </c>
      <c r="AP277" s="6" t="n"/>
      <c r="AQ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IF($A278="","",IFERROR(INDEX('AJUSTES'!$B$4:$B$303,MATCH($AQ278,'AJUSTES'!$A$4:$A$303,0)),IF($K278="","",$K278)))</f>
        <v/>
      </c>
      <c r="N278" s="3">
        <f>IF($A278="","",IFERROR(INDEX('CAT_ESTADOS_ERP'!$B$4:$B$7,MATCH(IFERROR(INDEX('2_IMPORTAR_EJECUCION'!$C$9:$C$1208,MATCH($AQ278,'2_IMPORTAR_EJECUCION'!$J$9:$J$1208,0)),""),'CAT_ESTADOS_ERP'!$A$4:$A$7,0)),"Pendiente"))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J278="","",IFERROR(INDEX('CALENDARIO'!$C$15:$C$214,MATCH(TEXT($J278,"yyyy-mm-dd")&amp;"|"&amp;$V278&amp;"|"&amp;$W278,'CALENDARIO'!$G$15:$G$214,0)),IFERROR(INDEX('CALENDARIO'!$C$15:$C$214,MATCH(TEXT($J278,"yyyy-mm-dd")&amp;"|"&amp;$V278&amp;"|",'CALENDARIO'!$G$15:$G$214,0)),IFERROR(INDEX('CALENDARIO'!$C$15:$C$214,MATCH(TEXT($J278,"yyyy-mm-dd")&amp;"||",'CALENDARIO'!$G$15:$G$214,0)),INDEX(patronHabil,WEEKDAY($J278,2))))))</f>
        <v/>
      </c>
      <c r="T278" s="3">
        <f>IF($I278="","",IFERROR(INDEX('CAT_TIPOS_OT'!$C$4:$C$7,MATCH($I278,'CAT_TIPOS_OT'!$A$4:$A$7,0)),"sin_clasificar"))</f>
        <v/>
      </c>
      <c r="U278" s="3">
        <f>IF($F278="","",IFERROR(INDEX('CAT_CENTROS_COSTO'!$F$4:$F$13,MATCH($F278,'CAT_CENTROS_COSTO'!$A$4:$A$13,0)),"(sin catálogo)"))</f>
        <v/>
      </c>
      <c r="V278" s="3">
        <f>IF($F278="","",IFERROR(INDEX('CAT_CENTROS_COSTO'!$D$4:$D$13,MATCH($F278,'CAT_CENTROS_COSTO'!$A$4:$A$13,0)),"(sin catálogo)"))</f>
        <v/>
      </c>
      <c r="W278" s="3">
        <f>IF($F278="","",IF((IFERROR(INDEX('CAT_CENTROS_COSTO'!$E$4:$E$13,MATCH($F278,'CAT_CENTROS_COSTO'!$A$4:$A$13,0)),""))&lt;&gt;"",IFERROR(INDEX('CAT_CENTROS_COSTO'!$E$4:$E$13,MATCH($F278,'CAT_CENTROS_COSTO'!$A$4:$A$13,0)),""),$V278))</f>
        <v/>
      </c>
      <c r="X278" s="3">
        <f>IF($F278="","",IFERROR(INDEX('CAT_CENTROS_COSTO'!$G$4:$G$13,MATCH($F278,'CAT_CENTROS_COSTO'!$A$4:$A$13,0)),"(sin catálogo)"))</f>
        <v/>
      </c>
      <c r="Y278" s="3">
        <f>IF($G278="","",IFERROR(INDEX('CAT_PUESTOS'!$B$4:$B$8,MATCH($G278,'CAT_PUESTOS'!$A$4:$A$8,0)),"(sin catálogo)"))</f>
        <v/>
      </c>
      <c r="Z278" s="3">
        <f>IF($H278="","",IFERROR(INDEX('CAT_ACTIVIDADES'!$B$4:$B$8,MATCH($H278,'CAT_ACTIVIDADES'!$A$4:$A$8,0)),"(sin catálogo)"))</f>
        <v/>
      </c>
      <c r="AA278" s="12">
        <f>IF($J278="","",TODAY()-$J278)</f>
        <v/>
      </c>
      <c r="AB278" s="12">
        <f>IF($J278="","",IF($J278&lt;=TODAY(),COUNTIFS(cal_fechas,"&gt;="&amp;$J278,cal_fechas,"&lt;"&amp;TODAY(),cal_habil,"sí"),-COUNTIFS(cal_fechas,"&gt;="&amp;TODAY(),cal_fechas,"&lt;"&amp;$J278,cal_habil,"sí")))</f>
        <v/>
      </c>
      <c r="AC278" s="3">
        <f>IF($AB278="","",IF($AB278&lt;0,"FUTURO",IF($AB278&gt;p_dias_backlog_max,"BACKLOG","MES CORRIENTE")))</f>
        <v/>
      </c>
      <c r="AD278" s="3">
        <f>IF($AB278="",FALSE,AND($AB278&gt;p_dias_backlog_min,$AB278&lt;=p_dias_backlog_max))</f>
        <v/>
      </c>
      <c r="AE278" s="6" t="n"/>
      <c r="AF278" s="3">
        <f>IF($AE278="","",IF((IFERROR(INDEX('ASIGNACIONES'!$F$4:$F$339,MATCH($O278&amp;"|"&amp;$R278&amp;"|"&amp;$AE278,'ASIGNACIONES'!$J$4:$J$339,0)),""))=0,"",IFERROR(INDEX('ASIGNACIONES'!$F$4:$F$339,MATCH($O278&amp;"|"&amp;$R278&amp;"|"&amp;$AE278,'ASIGNACIONES'!$J$4:$J$339,0)),"")))</f>
        <v/>
      </c>
      <c r="AG278" s="13">
        <f>IF($AE278="","",SUMIFS('ORDENES'!$M$4:$M$1203,'ORDENES'!$AE$4:$AE$1203,$AE278,'ORDENES'!$O$4:$O$1203,$O278,'ORDENES'!$R$4:$R$1203,$R278))</f>
        <v/>
      </c>
      <c r="AH278" s="13">
        <f>IF($AG278="","",p_factor_productividad*IFERROR(INDEX('ASIGNACIONES'!$I$4:$I$339,MATCH($O278&amp;"|"&amp;$R278&amp;"|"&amp;$AE278,'ASIGNACIONES'!$J$4:$J$339,0)),0)-$AG278)</f>
        <v/>
      </c>
      <c r="AI278" s="10">
        <f>IF($A278="","",IFERROR(INDEX('2_IMPORTAR_EJECUCION'!$F$9:$F$1208,MATCH($AQ278,'2_IMPORTAR_EJECUCION'!$J$9:$J$1208,0)),0))</f>
        <v/>
      </c>
      <c r="AJ278" s="10">
        <f>IF($A278="","",MAX(0,IFERROR(INDEX('2_IMPORTAR_EJECUCION'!$H$9:$H$1208,MATCH($AQ278,'2_IMPORTAR_EJECUCION'!$J$9:$J$1208,0)),0)-$AI278))</f>
        <v/>
      </c>
      <c r="AK278" s="10">
        <f>IF($A278="","",$AI278+$AJ278)</f>
        <v/>
      </c>
      <c r="AL278" s="6" t="n"/>
      <c r="AM278" s="6" t="n"/>
      <c r="AN278" s="6" t="n"/>
      <c r="AO278" s="3">
        <f>IF($AN278="","",HYPERLINK(p_ruta_base_checklists&amp;$AN278,"abrir"))</f>
        <v/>
      </c>
      <c r="AP278" s="6" t="n"/>
      <c r="AQ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IF($A279="","",IFERROR(INDEX('AJUSTES'!$B$4:$B$303,MATCH($AQ279,'AJUSTES'!$A$4:$A$303,0)),IF($K279="","",$K279)))</f>
        <v/>
      </c>
      <c r="N279" s="3">
        <f>IF($A279="","",IFERROR(INDEX('CAT_ESTADOS_ERP'!$B$4:$B$7,MATCH(IFERROR(INDEX('2_IMPORTAR_EJECUCION'!$C$9:$C$1208,MATCH($AQ279,'2_IMPORTAR_EJECUCION'!$J$9:$J$1208,0)),""),'CAT_ESTADOS_ERP'!$A$4:$A$7,0)),"Pendiente"))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J279="","",IFERROR(INDEX('CALENDARIO'!$C$15:$C$214,MATCH(TEXT($J279,"yyyy-mm-dd")&amp;"|"&amp;$V279&amp;"|"&amp;$W279,'CALENDARIO'!$G$15:$G$214,0)),IFERROR(INDEX('CALENDARIO'!$C$15:$C$214,MATCH(TEXT($J279,"yyyy-mm-dd")&amp;"|"&amp;$V279&amp;"|",'CALENDARIO'!$G$15:$G$214,0)),IFERROR(INDEX('CALENDARIO'!$C$15:$C$214,MATCH(TEXT($J279,"yyyy-mm-dd")&amp;"||",'CALENDARIO'!$G$15:$G$214,0)),INDEX(patronHabil,WEEKDAY($J279,2))))))</f>
        <v/>
      </c>
      <c r="T279" s="3">
        <f>IF($I279="","",IFERROR(INDEX('CAT_TIPOS_OT'!$C$4:$C$7,MATCH($I279,'CAT_TIPOS_OT'!$A$4:$A$7,0)),"sin_clasificar"))</f>
        <v/>
      </c>
      <c r="U279" s="3">
        <f>IF($F279="","",IFERROR(INDEX('CAT_CENTROS_COSTO'!$F$4:$F$13,MATCH($F279,'CAT_CENTROS_COSTO'!$A$4:$A$13,0)),"(sin catálogo)"))</f>
        <v/>
      </c>
      <c r="V279" s="3">
        <f>IF($F279="","",IFERROR(INDEX('CAT_CENTROS_COSTO'!$D$4:$D$13,MATCH($F279,'CAT_CENTROS_COSTO'!$A$4:$A$13,0)),"(sin catálogo)"))</f>
        <v/>
      </c>
      <c r="W279" s="3">
        <f>IF($F279="","",IF((IFERROR(INDEX('CAT_CENTROS_COSTO'!$E$4:$E$13,MATCH($F279,'CAT_CENTROS_COSTO'!$A$4:$A$13,0)),""))&lt;&gt;"",IFERROR(INDEX('CAT_CENTROS_COSTO'!$E$4:$E$13,MATCH($F279,'CAT_CENTROS_COSTO'!$A$4:$A$13,0)),""),$V279))</f>
        <v/>
      </c>
      <c r="X279" s="3">
        <f>IF($F279="","",IFERROR(INDEX('CAT_CENTROS_COSTO'!$G$4:$G$13,MATCH($F279,'CAT_CENTROS_COSTO'!$A$4:$A$13,0)),"(sin catálogo)"))</f>
        <v/>
      </c>
      <c r="Y279" s="3">
        <f>IF($G279="","",IFERROR(INDEX('CAT_PUESTOS'!$B$4:$B$8,MATCH($G279,'CAT_PUESTOS'!$A$4:$A$8,0)),"(sin catálogo)"))</f>
        <v/>
      </c>
      <c r="Z279" s="3">
        <f>IF($H279="","",IFERROR(INDEX('CAT_ACTIVIDADES'!$B$4:$B$8,MATCH($H279,'CAT_ACTIVIDADES'!$A$4:$A$8,0)),"(sin catálogo)"))</f>
        <v/>
      </c>
      <c r="AA279" s="12">
        <f>IF($J279="","",TODAY()-$J279)</f>
        <v/>
      </c>
      <c r="AB279" s="12">
        <f>IF($J279="","",IF($J279&lt;=TODAY(),COUNTIFS(cal_fechas,"&gt;="&amp;$J279,cal_fechas,"&lt;"&amp;TODAY(),cal_habil,"sí"),-COUNTIFS(cal_fechas,"&gt;="&amp;TODAY(),cal_fechas,"&lt;"&amp;$J279,cal_habil,"sí")))</f>
        <v/>
      </c>
      <c r="AC279" s="3">
        <f>IF($AB279="","",IF($AB279&lt;0,"FUTURO",IF($AB279&gt;p_dias_backlog_max,"BACKLOG","MES CORRIENTE")))</f>
        <v/>
      </c>
      <c r="AD279" s="3">
        <f>IF($AB279="",FALSE,AND($AB279&gt;p_dias_backlog_min,$AB279&lt;=p_dias_backlog_max))</f>
        <v/>
      </c>
      <c r="AE279" s="6" t="n"/>
      <c r="AF279" s="3">
        <f>IF($AE279="","",IF((IFERROR(INDEX('ASIGNACIONES'!$F$4:$F$339,MATCH($O279&amp;"|"&amp;$R279&amp;"|"&amp;$AE279,'ASIGNACIONES'!$J$4:$J$339,0)),""))=0,"",IFERROR(INDEX('ASIGNACIONES'!$F$4:$F$339,MATCH($O279&amp;"|"&amp;$R279&amp;"|"&amp;$AE279,'ASIGNACIONES'!$J$4:$J$339,0)),"")))</f>
        <v/>
      </c>
      <c r="AG279" s="13">
        <f>IF($AE279="","",SUMIFS('ORDENES'!$M$4:$M$1203,'ORDENES'!$AE$4:$AE$1203,$AE279,'ORDENES'!$O$4:$O$1203,$O279,'ORDENES'!$R$4:$R$1203,$R279))</f>
        <v/>
      </c>
      <c r="AH279" s="13">
        <f>IF($AG279="","",p_factor_productividad*IFERROR(INDEX('ASIGNACIONES'!$I$4:$I$339,MATCH($O279&amp;"|"&amp;$R279&amp;"|"&amp;$AE279,'ASIGNACIONES'!$J$4:$J$339,0)),0)-$AG279)</f>
        <v/>
      </c>
      <c r="AI279" s="10">
        <f>IF($A279="","",IFERROR(INDEX('2_IMPORTAR_EJECUCION'!$F$9:$F$1208,MATCH($AQ279,'2_IMPORTAR_EJECUCION'!$J$9:$J$1208,0)),0))</f>
        <v/>
      </c>
      <c r="AJ279" s="10">
        <f>IF($A279="","",MAX(0,IFERROR(INDEX('2_IMPORTAR_EJECUCION'!$H$9:$H$1208,MATCH($AQ279,'2_IMPORTAR_EJECUCION'!$J$9:$J$1208,0)),0)-$AI279))</f>
        <v/>
      </c>
      <c r="AK279" s="10">
        <f>IF($A279="","",$AI279+$AJ279)</f>
        <v/>
      </c>
      <c r="AL279" s="6" t="n"/>
      <c r="AM279" s="6" t="n"/>
      <c r="AN279" s="6" t="n"/>
      <c r="AO279" s="3">
        <f>IF($AN279="","",HYPERLINK(p_ruta_base_checklists&amp;$AN279,"abrir"))</f>
        <v/>
      </c>
      <c r="AP279" s="6" t="n"/>
      <c r="AQ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IF($A280="","",IFERROR(INDEX('AJUSTES'!$B$4:$B$303,MATCH($AQ280,'AJUSTES'!$A$4:$A$303,0)),IF($K280="","",$K280)))</f>
        <v/>
      </c>
      <c r="N280" s="3">
        <f>IF($A280="","",IFERROR(INDEX('CAT_ESTADOS_ERP'!$B$4:$B$7,MATCH(IFERROR(INDEX('2_IMPORTAR_EJECUCION'!$C$9:$C$1208,MATCH($AQ280,'2_IMPORTAR_EJECUCION'!$J$9:$J$1208,0)),""),'CAT_ESTADOS_ERP'!$A$4:$A$7,0)),"Pendiente"))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J280="","",IFERROR(INDEX('CALENDARIO'!$C$15:$C$214,MATCH(TEXT($J280,"yyyy-mm-dd")&amp;"|"&amp;$V280&amp;"|"&amp;$W280,'CALENDARIO'!$G$15:$G$214,0)),IFERROR(INDEX('CALENDARIO'!$C$15:$C$214,MATCH(TEXT($J280,"yyyy-mm-dd")&amp;"|"&amp;$V280&amp;"|",'CALENDARIO'!$G$15:$G$214,0)),IFERROR(INDEX('CALENDARIO'!$C$15:$C$214,MATCH(TEXT($J280,"yyyy-mm-dd")&amp;"||",'CALENDARIO'!$G$15:$G$214,0)),INDEX(patronHabil,WEEKDAY($J280,2))))))</f>
        <v/>
      </c>
      <c r="T280" s="3">
        <f>IF($I280="","",IFERROR(INDEX('CAT_TIPOS_OT'!$C$4:$C$7,MATCH($I280,'CAT_TIPOS_OT'!$A$4:$A$7,0)),"sin_clasificar"))</f>
        <v/>
      </c>
      <c r="U280" s="3">
        <f>IF($F280="","",IFERROR(INDEX('CAT_CENTROS_COSTO'!$F$4:$F$13,MATCH($F280,'CAT_CENTROS_COSTO'!$A$4:$A$13,0)),"(sin catálogo)"))</f>
        <v/>
      </c>
      <c r="V280" s="3">
        <f>IF($F280="","",IFERROR(INDEX('CAT_CENTROS_COSTO'!$D$4:$D$13,MATCH($F280,'CAT_CENTROS_COSTO'!$A$4:$A$13,0)),"(sin catálogo)"))</f>
        <v/>
      </c>
      <c r="W280" s="3">
        <f>IF($F280="","",IF((IFERROR(INDEX('CAT_CENTROS_COSTO'!$E$4:$E$13,MATCH($F280,'CAT_CENTROS_COSTO'!$A$4:$A$13,0)),""))&lt;&gt;"",IFERROR(INDEX('CAT_CENTROS_COSTO'!$E$4:$E$13,MATCH($F280,'CAT_CENTROS_COSTO'!$A$4:$A$13,0)),""),$V280))</f>
        <v/>
      </c>
      <c r="X280" s="3">
        <f>IF($F280="","",IFERROR(INDEX('CAT_CENTROS_COSTO'!$G$4:$G$13,MATCH($F280,'CAT_CENTROS_COSTO'!$A$4:$A$13,0)),"(sin catálogo)"))</f>
        <v/>
      </c>
      <c r="Y280" s="3">
        <f>IF($G280="","",IFERROR(INDEX('CAT_PUESTOS'!$B$4:$B$8,MATCH($G280,'CAT_PUESTOS'!$A$4:$A$8,0)),"(sin catálogo)"))</f>
        <v/>
      </c>
      <c r="Z280" s="3">
        <f>IF($H280="","",IFERROR(INDEX('CAT_ACTIVIDADES'!$B$4:$B$8,MATCH($H280,'CAT_ACTIVIDADES'!$A$4:$A$8,0)),"(sin catálogo)"))</f>
        <v/>
      </c>
      <c r="AA280" s="12">
        <f>IF($J280="","",TODAY()-$J280)</f>
        <v/>
      </c>
      <c r="AB280" s="12">
        <f>IF($J280="","",IF($J280&lt;=TODAY(),COUNTIFS(cal_fechas,"&gt;="&amp;$J280,cal_fechas,"&lt;"&amp;TODAY(),cal_habil,"sí"),-COUNTIFS(cal_fechas,"&gt;="&amp;TODAY(),cal_fechas,"&lt;"&amp;$J280,cal_habil,"sí")))</f>
        <v/>
      </c>
      <c r="AC280" s="3">
        <f>IF($AB280="","",IF($AB280&lt;0,"FUTURO",IF($AB280&gt;p_dias_backlog_max,"BACKLOG","MES CORRIENTE")))</f>
        <v/>
      </c>
      <c r="AD280" s="3">
        <f>IF($AB280="",FALSE,AND($AB280&gt;p_dias_backlog_min,$AB280&lt;=p_dias_backlog_max))</f>
        <v/>
      </c>
      <c r="AE280" s="6" t="n"/>
      <c r="AF280" s="3">
        <f>IF($AE280="","",IF((IFERROR(INDEX('ASIGNACIONES'!$F$4:$F$339,MATCH($O280&amp;"|"&amp;$R280&amp;"|"&amp;$AE280,'ASIGNACIONES'!$J$4:$J$339,0)),""))=0,"",IFERROR(INDEX('ASIGNACIONES'!$F$4:$F$339,MATCH($O280&amp;"|"&amp;$R280&amp;"|"&amp;$AE280,'ASIGNACIONES'!$J$4:$J$339,0)),"")))</f>
        <v/>
      </c>
      <c r="AG280" s="13">
        <f>IF($AE280="","",SUMIFS('ORDENES'!$M$4:$M$1203,'ORDENES'!$AE$4:$AE$1203,$AE280,'ORDENES'!$O$4:$O$1203,$O280,'ORDENES'!$R$4:$R$1203,$R280))</f>
        <v/>
      </c>
      <c r="AH280" s="13">
        <f>IF($AG280="","",p_factor_productividad*IFERROR(INDEX('ASIGNACIONES'!$I$4:$I$339,MATCH($O280&amp;"|"&amp;$R280&amp;"|"&amp;$AE280,'ASIGNACIONES'!$J$4:$J$339,0)),0)-$AG280)</f>
        <v/>
      </c>
      <c r="AI280" s="10">
        <f>IF($A280="","",IFERROR(INDEX('2_IMPORTAR_EJECUCION'!$F$9:$F$1208,MATCH($AQ280,'2_IMPORTAR_EJECUCION'!$J$9:$J$1208,0)),0))</f>
        <v/>
      </c>
      <c r="AJ280" s="10">
        <f>IF($A280="","",MAX(0,IFERROR(INDEX('2_IMPORTAR_EJECUCION'!$H$9:$H$1208,MATCH($AQ280,'2_IMPORTAR_EJECUCION'!$J$9:$J$1208,0)),0)-$AI280))</f>
        <v/>
      </c>
      <c r="AK280" s="10">
        <f>IF($A280="","",$AI280+$AJ280)</f>
        <v/>
      </c>
      <c r="AL280" s="6" t="n"/>
      <c r="AM280" s="6" t="n"/>
      <c r="AN280" s="6" t="n"/>
      <c r="AO280" s="3">
        <f>IF($AN280="","",HYPERLINK(p_ruta_base_checklists&amp;$AN280,"abrir"))</f>
        <v/>
      </c>
      <c r="AP280" s="6" t="n"/>
      <c r="AQ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IF($A281="","",IFERROR(INDEX('AJUSTES'!$B$4:$B$303,MATCH($AQ281,'AJUSTES'!$A$4:$A$303,0)),IF($K281="","",$K281)))</f>
        <v/>
      </c>
      <c r="N281" s="3">
        <f>IF($A281="","",IFERROR(INDEX('CAT_ESTADOS_ERP'!$B$4:$B$7,MATCH(IFERROR(INDEX('2_IMPORTAR_EJECUCION'!$C$9:$C$1208,MATCH($AQ281,'2_IMPORTAR_EJECUCION'!$J$9:$J$1208,0)),""),'CAT_ESTADOS_ERP'!$A$4:$A$7,0)),"Pendiente"))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J281="","",IFERROR(INDEX('CALENDARIO'!$C$15:$C$214,MATCH(TEXT($J281,"yyyy-mm-dd")&amp;"|"&amp;$V281&amp;"|"&amp;$W281,'CALENDARIO'!$G$15:$G$214,0)),IFERROR(INDEX('CALENDARIO'!$C$15:$C$214,MATCH(TEXT($J281,"yyyy-mm-dd")&amp;"|"&amp;$V281&amp;"|",'CALENDARIO'!$G$15:$G$214,0)),IFERROR(INDEX('CALENDARIO'!$C$15:$C$214,MATCH(TEXT($J281,"yyyy-mm-dd")&amp;"||",'CALENDARIO'!$G$15:$G$214,0)),INDEX(patronHabil,WEEKDAY($J281,2))))))</f>
        <v/>
      </c>
      <c r="T281" s="3">
        <f>IF($I281="","",IFERROR(INDEX('CAT_TIPOS_OT'!$C$4:$C$7,MATCH($I281,'CAT_TIPOS_OT'!$A$4:$A$7,0)),"sin_clasificar"))</f>
        <v/>
      </c>
      <c r="U281" s="3">
        <f>IF($F281="","",IFERROR(INDEX('CAT_CENTROS_COSTO'!$F$4:$F$13,MATCH($F281,'CAT_CENTROS_COSTO'!$A$4:$A$13,0)),"(sin catálogo)"))</f>
        <v/>
      </c>
      <c r="V281" s="3">
        <f>IF($F281="","",IFERROR(INDEX('CAT_CENTROS_COSTO'!$D$4:$D$13,MATCH($F281,'CAT_CENTROS_COSTO'!$A$4:$A$13,0)),"(sin catálogo)"))</f>
        <v/>
      </c>
      <c r="W281" s="3">
        <f>IF($F281="","",IF((IFERROR(INDEX('CAT_CENTROS_COSTO'!$E$4:$E$13,MATCH($F281,'CAT_CENTROS_COSTO'!$A$4:$A$13,0)),""))&lt;&gt;"",IFERROR(INDEX('CAT_CENTROS_COSTO'!$E$4:$E$13,MATCH($F281,'CAT_CENTROS_COSTO'!$A$4:$A$13,0)),""),$V281))</f>
        <v/>
      </c>
      <c r="X281" s="3">
        <f>IF($F281="","",IFERROR(INDEX('CAT_CENTROS_COSTO'!$G$4:$G$13,MATCH($F281,'CAT_CENTROS_COSTO'!$A$4:$A$13,0)),"(sin catálogo)"))</f>
        <v/>
      </c>
      <c r="Y281" s="3">
        <f>IF($G281="","",IFERROR(INDEX('CAT_PUESTOS'!$B$4:$B$8,MATCH($G281,'CAT_PUESTOS'!$A$4:$A$8,0)),"(sin catálogo)"))</f>
        <v/>
      </c>
      <c r="Z281" s="3">
        <f>IF($H281="","",IFERROR(INDEX('CAT_ACTIVIDADES'!$B$4:$B$8,MATCH($H281,'CAT_ACTIVIDADES'!$A$4:$A$8,0)),"(sin catálogo)"))</f>
        <v/>
      </c>
      <c r="AA281" s="12">
        <f>IF($J281="","",TODAY()-$J281)</f>
        <v/>
      </c>
      <c r="AB281" s="12">
        <f>IF($J281="","",IF($J281&lt;=TODAY(),COUNTIFS(cal_fechas,"&gt;="&amp;$J281,cal_fechas,"&lt;"&amp;TODAY(),cal_habil,"sí"),-COUNTIFS(cal_fechas,"&gt;="&amp;TODAY(),cal_fechas,"&lt;"&amp;$J281,cal_habil,"sí")))</f>
        <v/>
      </c>
      <c r="AC281" s="3">
        <f>IF($AB281="","",IF($AB281&lt;0,"FUTURO",IF($AB281&gt;p_dias_backlog_max,"BACKLOG","MES CORRIENTE")))</f>
        <v/>
      </c>
      <c r="AD281" s="3">
        <f>IF($AB281="",FALSE,AND($AB281&gt;p_dias_backlog_min,$AB281&lt;=p_dias_backlog_max))</f>
        <v/>
      </c>
      <c r="AE281" s="6" t="n"/>
      <c r="AF281" s="3">
        <f>IF($AE281="","",IF((IFERROR(INDEX('ASIGNACIONES'!$F$4:$F$339,MATCH($O281&amp;"|"&amp;$R281&amp;"|"&amp;$AE281,'ASIGNACIONES'!$J$4:$J$339,0)),""))=0,"",IFERROR(INDEX('ASIGNACIONES'!$F$4:$F$339,MATCH($O281&amp;"|"&amp;$R281&amp;"|"&amp;$AE281,'ASIGNACIONES'!$J$4:$J$339,0)),"")))</f>
        <v/>
      </c>
      <c r="AG281" s="13">
        <f>IF($AE281="","",SUMIFS('ORDENES'!$M$4:$M$1203,'ORDENES'!$AE$4:$AE$1203,$AE281,'ORDENES'!$O$4:$O$1203,$O281,'ORDENES'!$R$4:$R$1203,$R281))</f>
        <v/>
      </c>
      <c r="AH281" s="13">
        <f>IF($AG281="","",p_factor_productividad*IFERROR(INDEX('ASIGNACIONES'!$I$4:$I$339,MATCH($O281&amp;"|"&amp;$R281&amp;"|"&amp;$AE281,'ASIGNACIONES'!$J$4:$J$339,0)),0)-$AG281)</f>
        <v/>
      </c>
      <c r="AI281" s="10">
        <f>IF($A281="","",IFERROR(INDEX('2_IMPORTAR_EJECUCION'!$F$9:$F$1208,MATCH($AQ281,'2_IMPORTAR_EJECUCION'!$J$9:$J$1208,0)),0))</f>
        <v/>
      </c>
      <c r="AJ281" s="10">
        <f>IF($A281="","",MAX(0,IFERROR(INDEX('2_IMPORTAR_EJECUCION'!$H$9:$H$1208,MATCH($AQ281,'2_IMPORTAR_EJECUCION'!$J$9:$J$1208,0)),0)-$AI281))</f>
        <v/>
      </c>
      <c r="AK281" s="10">
        <f>IF($A281="","",$AI281+$AJ281)</f>
        <v/>
      </c>
      <c r="AL281" s="6" t="n"/>
      <c r="AM281" s="6" t="n"/>
      <c r="AN281" s="6" t="n"/>
      <c r="AO281" s="3">
        <f>IF($AN281="","",HYPERLINK(p_ruta_base_checklists&amp;$AN281,"abrir"))</f>
        <v/>
      </c>
      <c r="AP281" s="6" t="n"/>
      <c r="AQ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IF($A282="","",IFERROR(INDEX('AJUSTES'!$B$4:$B$303,MATCH($AQ282,'AJUSTES'!$A$4:$A$303,0)),IF($K282="","",$K282)))</f>
        <v/>
      </c>
      <c r="N282" s="3">
        <f>IF($A282="","",IFERROR(INDEX('CAT_ESTADOS_ERP'!$B$4:$B$7,MATCH(IFERROR(INDEX('2_IMPORTAR_EJECUCION'!$C$9:$C$1208,MATCH($AQ282,'2_IMPORTAR_EJECUCION'!$J$9:$J$1208,0)),""),'CAT_ESTADOS_ERP'!$A$4:$A$7,0)),"Pendiente"))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J282="","",IFERROR(INDEX('CALENDARIO'!$C$15:$C$214,MATCH(TEXT($J282,"yyyy-mm-dd")&amp;"|"&amp;$V282&amp;"|"&amp;$W282,'CALENDARIO'!$G$15:$G$214,0)),IFERROR(INDEX('CALENDARIO'!$C$15:$C$214,MATCH(TEXT($J282,"yyyy-mm-dd")&amp;"|"&amp;$V282&amp;"|",'CALENDARIO'!$G$15:$G$214,0)),IFERROR(INDEX('CALENDARIO'!$C$15:$C$214,MATCH(TEXT($J282,"yyyy-mm-dd")&amp;"||",'CALENDARIO'!$G$15:$G$214,0)),INDEX(patronHabil,WEEKDAY($J282,2))))))</f>
        <v/>
      </c>
      <c r="T282" s="3">
        <f>IF($I282="","",IFERROR(INDEX('CAT_TIPOS_OT'!$C$4:$C$7,MATCH($I282,'CAT_TIPOS_OT'!$A$4:$A$7,0)),"sin_clasificar"))</f>
        <v/>
      </c>
      <c r="U282" s="3">
        <f>IF($F282="","",IFERROR(INDEX('CAT_CENTROS_COSTO'!$F$4:$F$13,MATCH($F282,'CAT_CENTROS_COSTO'!$A$4:$A$13,0)),"(sin catálogo)"))</f>
        <v/>
      </c>
      <c r="V282" s="3">
        <f>IF($F282="","",IFERROR(INDEX('CAT_CENTROS_COSTO'!$D$4:$D$13,MATCH($F282,'CAT_CENTROS_COSTO'!$A$4:$A$13,0)),"(sin catálogo)"))</f>
        <v/>
      </c>
      <c r="W282" s="3">
        <f>IF($F282="","",IF((IFERROR(INDEX('CAT_CENTROS_COSTO'!$E$4:$E$13,MATCH($F282,'CAT_CENTROS_COSTO'!$A$4:$A$13,0)),""))&lt;&gt;"",IFERROR(INDEX('CAT_CENTROS_COSTO'!$E$4:$E$13,MATCH($F282,'CAT_CENTROS_COSTO'!$A$4:$A$13,0)),""),$V282))</f>
        <v/>
      </c>
      <c r="X282" s="3">
        <f>IF($F282="","",IFERROR(INDEX('CAT_CENTROS_COSTO'!$G$4:$G$13,MATCH($F282,'CAT_CENTROS_COSTO'!$A$4:$A$13,0)),"(sin catálogo)"))</f>
        <v/>
      </c>
      <c r="Y282" s="3">
        <f>IF($G282="","",IFERROR(INDEX('CAT_PUESTOS'!$B$4:$B$8,MATCH($G282,'CAT_PUESTOS'!$A$4:$A$8,0)),"(sin catálogo)"))</f>
        <v/>
      </c>
      <c r="Z282" s="3">
        <f>IF($H282="","",IFERROR(INDEX('CAT_ACTIVIDADES'!$B$4:$B$8,MATCH($H282,'CAT_ACTIVIDADES'!$A$4:$A$8,0)),"(sin catálogo)"))</f>
        <v/>
      </c>
      <c r="AA282" s="12">
        <f>IF($J282="","",TODAY()-$J282)</f>
        <v/>
      </c>
      <c r="AB282" s="12">
        <f>IF($J282="","",IF($J282&lt;=TODAY(),COUNTIFS(cal_fechas,"&gt;="&amp;$J282,cal_fechas,"&lt;"&amp;TODAY(),cal_habil,"sí"),-COUNTIFS(cal_fechas,"&gt;="&amp;TODAY(),cal_fechas,"&lt;"&amp;$J282,cal_habil,"sí")))</f>
        <v/>
      </c>
      <c r="AC282" s="3">
        <f>IF($AB282="","",IF($AB282&lt;0,"FUTURO",IF($AB282&gt;p_dias_backlog_max,"BACKLOG","MES CORRIENTE")))</f>
        <v/>
      </c>
      <c r="AD282" s="3">
        <f>IF($AB282="",FALSE,AND($AB282&gt;p_dias_backlog_min,$AB282&lt;=p_dias_backlog_max))</f>
        <v/>
      </c>
      <c r="AE282" s="6" t="n"/>
      <c r="AF282" s="3">
        <f>IF($AE282="","",IF((IFERROR(INDEX('ASIGNACIONES'!$F$4:$F$339,MATCH($O282&amp;"|"&amp;$R282&amp;"|"&amp;$AE282,'ASIGNACIONES'!$J$4:$J$339,0)),""))=0,"",IFERROR(INDEX('ASIGNACIONES'!$F$4:$F$339,MATCH($O282&amp;"|"&amp;$R282&amp;"|"&amp;$AE282,'ASIGNACIONES'!$J$4:$J$339,0)),"")))</f>
        <v/>
      </c>
      <c r="AG282" s="13">
        <f>IF($AE282="","",SUMIFS('ORDENES'!$M$4:$M$1203,'ORDENES'!$AE$4:$AE$1203,$AE282,'ORDENES'!$O$4:$O$1203,$O282,'ORDENES'!$R$4:$R$1203,$R282))</f>
        <v/>
      </c>
      <c r="AH282" s="13">
        <f>IF($AG282="","",p_factor_productividad*IFERROR(INDEX('ASIGNACIONES'!$I$4:$I$339,MATCH($O282&amp;"|"&amp;$R282&amp;"|"&amp;$AE282,'ASIGNACIONES'!$J$4:$J$339,0)),0)-$AG282)</f>
        <v/>
      </c>
      <c r="AI282" s="10">
        <f>IF($A282="","",IFERROR(INDEX('2_IMPORTAR_EJECUCION'!$F$9:$F$1208,MATCH($AQ282,'2_IMPORTAR_EJECUCION'!$J$9:$J$1208,0)),0))</f>
        <v/>
      </c>
      <c r="AJ282" s="10">
        <f>IF($A282="","",MAX(0,IFERROR(INDEX('2_IMPORTAR_EJECUCION'!$H$9:$H$1208,MATCH($AQ282,'2_IMPORTAR_EJECUCION'!$J$9:$J$1208,0)),0)-$AI282))</f>
        <v/>
      </c>
      <c r="AK282" s="10">
        <f>IF($A282="","",$AI282+$AJ282)</f>
        <v/>
      </c>
      <c r="AL282" s="6" t="n"/>
      <c r="AM282" s="6" t="n"/>
      <c r="AN282" s="6" t="n"/>
      <c r="AO282" s="3">
        <f>IF($AN282="","",HYPERLINK(p_ruta_base_checklists&amp;$AN282,"abrir"))</f>
        <v/>
      </c>
      <c r="AP282" s="6" t="n"/>
      <c r="AQ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IF($A283="","",IFERROR(INDEX('AJUSTES'!$B$4:$B$303,MATCH($AQ283,'AJUSTES'!$A$4:$A$303,0)),IF($K283="","",$K283)))</f>
        <v/>
      </c>
      <c r="N283" s="3">
        <f>IF($A283="","",IFERROR(INDEX('CAT_ESTADOS_ERP'!$B$4:$B$7,MATCH(IFERROR(INDEX('2_IMPORTAR_EJECUCION'!$C$9:$C$1208,MATCH($AQ283,'2_IMPORTAR_EJECUCION'!$J$9:$J$1208,0)),""),'CAT_ESTADOS_ERP'!$A$4:$A$7,0)),"Pendiente"))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J283="","",IFERROR(INDEX('CALENDARIO'!$C$15:$C$214,MATCH(TEXT($J283,"yyyy-mm-dd")&amp;"|"&amp;$V283&amp;"|"&amp;$W283,'CALENDARIO'!$G$15:$G$214,0)),IFERROR(INDEX('CALENDARIO'!$C$15:$C$214,MATCH(TEXT($J283,"yyyy-mm-dd")&amp;"|"&amp;$V283&amp;"|",'CALENDARIO'!$G$15:$G$214,0)),IFERROR(INDEX('CALENDARIO'!$C$15:$C$214,MATCH(TEXT($J283,"yyyy-mm-dd")&amp;"||",'CALENDARIO'!$G$15:$G$214,0)),INDEX(patronHabil,WEEKDAY($J283,2))))))</f>
        <v/>
      </c>
      <c r="T283" s="3">
        <f>IF($I283="","",IFERROR(INDEX('CAT_TIPOS_OT'!$C$4:$C$7,MATCH($I283,'CAT_TIPOS_OT'!$A$4:$A$7,0)),"sin_clasificar"))</f>
        <v/>
      </c>
      <c r="U283" s="3">
        <f>IF($F283="","",IFERROR(INDEX('CAT_CENTROS_COSTO'!$F$4:$F$13,MATCH($F283,'CAT_CENTROS_COSTO'!$A$4:$A$13,0)),"(sin catálogo)"))</f>
        <v/>
      </c>
      <c r="V283" s="3">
        <f>IF($F283="","",IFERROR(INDEX('CAT_CENTROS_COSTO'!$D$4:$D$13,MATCH($F283,'CAT_CENTROS_COSTO'!$A$4:$A$13,0)),"(sin catálogo)"))</f>
        <v/>
      </c>
      <c r="W283" s="3">
        <f>IF($F283="","",IF((IFERROR(INDEX('CAT_CENTROS_COSTO'!$E$4:$E$13,MATCH($F283,'CAT_CENTROS_COSTO'!$A$4:$A$13,0)),""))&lt;&gt;"",IFERROR(INDEX('CAT_CENTROS_COSTO'!$E$4:$E$13,MATCH($F283,'CAT_CENTROS_COSTO'!$A$4:$A$13,0)),""),$V283))</f>
        <v/>
      </c>
      <c r="X283" s="3">
        <f>IF($F283="","",IFERROR(INDEX('CAT_CENTROS_COSTO'!$G$4:$G$13,MATCH($F283,'CAT_CENTROS_COSTO'!$A$4:$A$13,0)),"(sin catálogo)"))</f>
        <v/>
      </c>
      <c r="Y283" s="3">
        <f>IF($G283="","",IFERROR(INDEX('CAT_PUESTOS'!$B$4:$B$8,MATCH($G283,'CAT_PUESTOS'!$A$4:$A$8,0)),"(sin catálogo)"))</f>
        <v/>
      </c>
      <c r="Z283" s="3">
        <f>IF($H283="","",IFERROR(INDEX('CAT_ACTIVIDADES'!$B$4:$B$8,MATCH($H283,'CAT_ACTIVIDADES'!$A$4:$A$8,0)),"(sin catálogo)"))</f>
        <v/>
      </c>
      <c r="AA283" s="12">
        <f>IF($J283="","",TODAY()-$J283)</f>
        <v/>
      </c>
      <c r="AB283" s="12">
        <f>IF($J283="","",IF($J283&lt;=TODAY(),COUNTIFS(cal_fechas,"&gt;="&amp;$J283,cal_fechas,"&lt;"&amp;TODAY(),cal_habil,"sí"),-COUNTIFS(cal_fechas,"&gt;="&amp;TODAY(),cal_fechas,"&lt;"&amp;$J283,cal_habil,"sí")))</f>
        <v/>
      </c>
      <c r="AC283" s="3">
        <f>IF($AB283="","",IF($AB283&lt;0,"FUTURO",IF($AB283&gt;p_dias_backlog_max,"BACKLOG","MES CORRIENTE")))</f>
        <v/>
      </c>
      <c r="AD283" s="3">
        <f>IF($AB283="",FALSE,AND($AB283&gt;p_dias_backlog_min,$AB283&lt;=p_dias_backlog_max))</f>
        <v/>
      </c>
      <c r="AE283" s="6" t="n"/>
      <c r="AF283" s="3">
        <f>IF($AE283="","",IF((IFERROR(INDEX('ASIGNACIONES'!$F$4:$F$339,MATCH($O283&amp;"|"&amp;$R283&amp;"|"&amp;$AE283,'ASIGNACIONES'!$J$4:$J$339,0)),""))=0,"",IFERROR(INDEX('ASIGNACIONES'!$F$4:$F$339,MATCH($O283&amp;"|"&amp;$R283&amp;"|"&amp;$AE283,'ASIGNACIONES'!$J$4:$J$339,0)),"")))</f>
        <v/>
      </c>
      <c r="AG283" s="13">
        <f>IF($AE283="","",SUMIFS('ORDENES'!$M$4:$M$1203,'ORDENES'!$AE$4:$AE$1203,$AE283,'ORDENES'!$O$4:$O$1203,$O283,'ORDENES'!$R$4:$R$1203,$R283))</f>
        <v/>
      </c>
      <c r="AH283" s="13">
        <f>IF($AG283="","",p_factor_productividad*IFERROR(INDEX('ASIGNACIONES'!$I$4:$I$339,MATCH($O283&amp;"|"&amp;$R283&amp;"|"&amp;$AE283,'ASIGNACIONES'!$J$4:$J$339,0)),0)-$AG283)</f>
        <v/>
      </c>
      <c r="AI283" s="10">
        <f>IF($A283="","",IFERROR(INDEX('2_IMPORTAR_EJECUCION'!$F$9:$F$1208,MATCH($AQ283,'2_IMPORTAR_EJECUCION'!$J$9:$J$1208,0)),0))</f>
        <v/>
      </c>
      <c r="AJ283" s="10">
        <f>IF($A283="","",MAX(0,IFERROR(INDEX('2_IMPORTAR_EJECUCION'!$H$9:$H$1208,MATCH($AQ283,'2_IMPORTAR_EJECUCION'!$J$9:$J$1208,0)),0)-$AI283))</f>
        <v/>
      </c>
      <c r="AK283" s="10">
        <f>IF($A283="","",$AI283+$AJ283)</f>
        <v/>
      </c>
      <c r="AL283" s="6" t="n"/>
      <c r="AM283" s="6" t="n"/>
      <c r="AN283" s="6" t="n"/>
      <c r="AO283" s="3">
        <f>IF($AN283="","",HYPERLINK(p_ruta_base_checklists&amp;$AN283,"abrir"))</f>
        <v/>
      </c>
      <c r="AP283" s="6" t="n"/>
      <c r="AQ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IF($A284="","",IFERROR(INDEX('AJUSTES'!$B$4:$B$303,MATCH($AQ284,'AJUSTES'!$A$4:$A$303,0)),IF($K284="","",$K284)))</f>
        <v/>
      </c>
      <c r="N284" s="3">
        <f>IF($A284="","",IFERROR(INDEX('CAT_ESTADOS_ERP'!$B$4:$B$7,MATCH(IFERROR(INDEX('2_IMPORTAR_EJECUCION'!$C$9:$C$1208,MATCH($AQ284,'2_IMPORTAR_EJECUCION'!$J$9:$J$1208,0)),""),'CAT_ESTADOS_ERP'!$A$4:$A$7,0)),"Pendiente"))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J284="","",IFERROR(INDEX('CALENDARIO'!$C$15:$C$214,MATCH(TEXT($J284,"yyyy-mm-dd")&amp;"|"&amp;$V284&amp;"|"&amp;$W284,'CALENDARIO'!$G$15:$G$214,0)),IFERROR(INDEX('CALENDARIO'!$C$15:$C$214,MATCH(TEXT($J284,"yyyy-mm-dd")&amp;"|"&amp;$V284&amp;"|",'CALENDARIO'!$G$15:$G$214,0)),IFERROR(INDEX('CALENDARIO'!$C$15:$C$214,MATCH(TEXT($J284,"yyyy-mm-dd")&amp;"||",'CALENDARIO'!$G$15:$G$214,0)),INDEX(patronHabil,WEEKDAY($J284,2))))))</f>
        <v/>
      </c>
      <c r="T284" s="3">
        <f>IF($I284="","",IFERROR(INDEX('CAT_TIPOS_OT'!$C$4:$C$7,MATCH($I284,'CAT_TIPOS_OT'!$A$4:$A$7,0)),"sin_clasificar"))</f>
        <v/>
      </c>
      <c r="U284" s="3">
        <f>IF($F284="","",IFERROR(INDEX('CAT_CENTROS_COSTO'!$F$4:$F$13,MATCH($F284,'CAT_CENTROS_COSTO'!$A$4:$A$13,0)),"(sin catálogo)"))</f>
        <v/>
      </c>
      <c r="V284" s="3">
        <f>IF($F284="","",IFERROR(INDEX('CAT_CENTROS_COSTO'!$D$4:$D$13,MATCH($F284,'CAT_CENTROS_COSTO'!$A$4:$A$13,0)),"(sin catálogo)"))</f>
        <v/>
      </c>
      <c r="W284" s="3">
        <f>IF($F284="","",IF((IFERROR(INDEX('CAT_CENTROS_COSTO'!$E$4:$E$13,MATCH($F284,'CAT_CENTROS_COSTO'!$A$4:$A$13,0)),""))&lt;&gt;"",IFERROR(INDEX('CAT_CENTROS_COSTO'!$E$4:$E$13,MATCH($F284,'CAT_CENTROS_COSTO'!$A$4:$A$13,0)),""),$V284))</f>
        <v/>
      </c>
      <c r="X284" s="3">
        <f>IF($F284="","",IFERROR(INDEX('CAT_CENTROS_COSTO'!$G$4:$G$13,MATCH($F284,'CAT_CENTROS_COSTO'!$A$4:$A$13,0)),"(sin catálogo)"))</f>
        <v/>
      </c>
      <c r="Y284" s="3">
        <f>IF($G284="","",IFERROR(INDEX('CAT_PUESTOS'!$B$4:$B$8,MATCH($G284,'CAT_PUESTOS'!$A$4:$A$8,0)),"(sin catálogo)"))</f>
        <v/>
      </c>
      <c r="Z284" s="3">
        <f>IF($H284="","",IFERROR(INDEX('CAT_ACTIVIDADES'!$B$4:$B$8,MATCH($H284,'CAT_ACTIVIDADES'!$A$4:$A$8,0)),"(sin catálogo)"))</f>
        <v/>
      </c>
      <c r="AA284" s="12">
        <f>IF($J284="","",TODAY()-$J284)</f>
        <v/>
      </c>
      <c r="AB284" s="12">
        <f>IF($J284="","",IF($J284&lt;=TODAY(),COUNTIFS(cal_fechas,"&gt;="&amp;$J284,cal_fechas,"&lt;"&amp;TODAY(),cal_habil,"sí"),-COUNTIFS(cal_fechas,"&gt;="&amp;TODAY(),cal_fechas,"&lt;"&amp;$J284,cal_habil,"sí")))</f>
        <v/>
      </c>
      <c r="AC284" s="3">
        <f>IF($AB284="","",IF($AB284&lt;0,"FUTURO",IF($AB284&gt;p_dias_backlog_max,"BACKLOG","MES CORRIENTE")))</f>
        <v/>
      </c>
      <c r="AD284" s="3">
        <f>IF($AB284="",FALSE,AND($AB284&gt;p_dias_backlog_min,$AB284&lt;=p_dias_backlog_max))</f>
        <v/>
      </c>
      <c r="AE284" s="6" t="n"/>
      <c r="AF284" s="3">
        <f>IF($AE284="","",IF((IFERROR(INDEX('ASIGNACIONES'!$F$4:$F$339,MATCH($O284&amp;"|"&amp;$R284&amp;"|"&amp;$AE284,'ASIGNACIONES'!$J$4:$J$339,0)),""))=0,"",IFERROR(INDEX('ASIGNACIONES'!$F$4:$F$339,MATCH($O284&amp;"|"&amp;$R284&amp;"|"&amp;$AE284,'ASIGNACIONES'!$J$4:$J$339,0)),"")))</f>
        <v/>
      </c>
      <c r="AG284" s="13">
        <f>IF($AE284="","",SUMIFS('ORDENES'!$M$4:$M$1203,'ORDENES'!$AE$4:$AE$1203,$AE284,'ORDENES'!$O$4:$O$1203,$O284,'ORDENES'!$R$4:$R$1203,$R284))</f>
        <v/>
      </c>
      <c r="AH284" s="13">
        <f>IF($AG284="","",p_factor_productividad*IFERROR(INDEX('ASIGNACIONES'!$I$4:$I$339,MATCH($O284&amp;"|"&amp;$R284&amp;"|"&amp;$AE284,'ASIGNACIONES'!$J$4:$J$339,0)),0)-$AG284)</f>
        <v/>
      </c>
      <c r="AI284" s="10">
        <f>IF($A284="","",IFERROR(INDEX('2_IMPORTAR_EJECUCION'!$F$9:$F$1208,MATCH($AQ284,'2_IMPORTAR_EJECUCION'!$J$9:$J$1208,0)),0))</f>
        <v/>
      </c>
      <c r="AJ284" s="10">
        <f>IF($A284="","",MAX(0,IFERROR(INDEX('2_IMPORTAR_EJECUCION'!$H$9:$H$1208,MATCH($AQ284,'2_IMPORTAR_EJECUCION'!$J$9:$J$1208,0)),0)-$AI284))</f>
        <v/>
      </c>
      <c r="AK284" s="10">
        <f>IF($A284="","",$AI284+$AJ284)</f>
        <v/>
      </c>
      <c r="AL284" s="6" t="n"/>
      <c r="AM284" s="6" t="n"/>
      <c r="AN284" s="6" t="n"/>
      <c r="AO284" s="3">
        <f>IF($AN284="","",HYPERLINK(p_ruta_base_checklists&amp;$AN284,"abrir"))</f>
        <v/>
      </c>
      <c r="AP284" s="6" t="n"/>
      <c r="AQ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IF($A285="","",IFERROR(INDEX('AJUSTES'!$B$4:$B$303,MATCH($AQ285,'AJUSTES'!$A$4:$A$303,0)),IF($K285="","",$K285)))</f>
        <v/>
      </c>
      <c r="N285" s="3">
        <f>IF($A285="","",IFERROR(INDEX('CAT_ESTADOS_ERP'!$B$4:$B$7,MATCH(IFERROR(INDEX('2_IMPORTAR_EJECUCION'!$C$9:$C$1208,MATCH($AQ285,'2_IMPORTAR_EJECUCION'!$J$9:$J$1208,0)),""),'CAT_ESTADOS_ERP'!$A$4:$A$7,0)),"Pendiente"))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J285="","",IFERROR(INDEX('CALENDARIO'!$C$15:$C$214,MATCH(TEXT($J285,"yyyy-mm-dd")&amp;"|"&amp;$V285&amp;"|"&amp;$W285,'CALENDARIO'!$G$15:$G$214,0)),IFERROR(INDEX('CALENDARIO'!$C$15:$C$214,MATCH(TEXT($J285,"yyyy-mm-dd")&amp;"|"&amp;$V285&amp;"|",'CALENDARIO'!$G$15:$G$214,0)),IFERROR(INDEX('CALENDARIO'!$C$15:$C$214,MATCH(TEXT($J285,"yyyy-mm-dd")&amp;"||",'CALENDARIO'!$G$15:$G$214,0)),INDEX(patronHabil,WEEKDAY($J285,2))))))</f>
        <v/>
      </c>
      <c r="T285" s="3">
        <f>IF($I285="","",IFERROR(INDEX('CAT_TIPOS_OT'!$C$4:$C$7,MATCH($I285,'CAT_TIPOS_OT'!$A$4:$A$7,0)),"sin_clasificar"))</f>
        <v/>
      </c>
      <c r="U285" s="3">
        <f>IF($F285="","",IFERROR(INDEX('CAT_CENTROS_COSTO'!$F$4:$F$13,MATCH($F285,'CAT_CENTROS_COSTO'!$A$4:$A$13,0)),"(sin catálogo)"))</f>
        <v/>
      </c>
      <c r="V285" s="3">
        <f>IF($F285="","",IFERROR(INDEX('CAT_CENTROS_COSTO'!$D$4:$D$13,MATCH($F285,'CAT_CENTROS_COSTO'!$A$4:$A$13,0)),"(sin catálogo)"))</f>
        <v/>
      </c>
      <c r="W285" s="3">
        <f>IF($F285="","",IF((IFERROR(INDEX('CAT_CENTROS_COSTO'!$E$4:$E$13,MATCH($F285,'CAT_CENTROS_COSTO'!$A$4:$A$13,0)),""))&lt;&gt;"",IFERROR(INDEX('CAT_CENTROS_COSTO'!$E$4:$E$13,MATCH($F285,'CAT_CENTROS_COSTO'!$A$4:$A$13,0)),""),$V285))</f>
        <v/>
      </c>
      <c r="X285" s="3">
        <f>IF($F285="","",IFERROR(INDEX('CAT_CENTROS_COSTO'!$G$4:$G$13,MATCH($F285,'CAT_CENTROS_COSTO'!$A$4:$A$13,0)),"(sin catálogo)"))</f>
        <v/>
      </c>
      <c r="Y285" s="3">
        <f>IF($G285="","",IFERROR(INDEX('CAT_PUESTOS'!$B$4:$B$8,MATCH($G285,'CAT_PUESTOS'!$A$4:$A$8,0)),"(sin catálogo)"))</f>
        <v/>
      </c>
      <c r="Z285" s="3">
        <f>IF($H285="","",IFERROR(INDEX('CAT_ACTIVIDADES'!$B$4:$B$8,MATCH($H285,'CAT_ACTIVIDADES'!$A$4:$A$8,0)),"(sin catálogo)"))</f>
        <v/>
      </c>
      <c r="AA285" s="12">
        <f>IF($J285="","",TODAY()-$J285)</f>
        <v/>
      </c>
      <c r="AB285" s="12">
        <f>IF($J285="","",IF($J285&lt;=TODAY(),COUNTIFS(cal_fechas,"&gt;="&amp;$J285,cal_fechas,"&lt;"&amp;TODAY(),cal_habil,"sí"),-COUNTIFS(cal_fechas,"&gt;="&amp;TODAY(),cal_fechas,"&lt;"&amp;$J285,cal_habil,"sí")))</f>
        <v/>
      </c>
      <c r="AC285" s="3">
        <f>IF($AB285="","",IF($AB285&lt;0,"FUTURO",IF($AB285&gt;p_dias_backlog_max,"BACKLOG","MES CORRIENTE")))</f>
        <v/>
      </c>
      <c r="AD285" s="3">
        <f>IF($AB285="",FALSE,AND($AB285&gt;p_dias_backlog_min,$AB285&lt;=p_dias_backlog_max))</f>
        <v/>
      </c>
      <c r="AE285" s="6" t="n"/>
      <c r="AF285" s="3">
        <f>IF($AE285="","",IF((IFERROR(INDEX('ASIGNACIONES'!$F$4:$F$339,MATCH($O285&amp;"|"&amp;$R285&amp;"|"&amp;$AE285,'ASIGNACIONES'!$J$4:$J$339,0)),""))=0,"",IFERROR(INDEX('ASIGNACIONES'!$F$4:$F$339,MATCH($O285&amp;"|"&amp;$R285&amp;"|"&amp;$AE285,'ASIGNACIONES'!$J$4:$J$339,0)),"")))</f>
        <v/>
      </c>
      <c r="AG285" s="13">
        <f>IF($AE285="","",SUMIFS('ORDENES'!$M$4:$M$1203,'ORDENES'!$AE$4:$AE$1203,$AE285,'ORDENES'!$O$4:$O$1203,$O285,'ORDENES'!$R$4:$R$1203,$R285))</f>
        <v/>
      </c>
      <c r="AH285" s="13">
        <f>IF($AG285="","",p_factor_productividad*IFERROR(INDEX('ASIGNACIONES'!$I$4:$I$339,MATCH($O285&amp;"|"&amp;$R285&amp;"|"&amp;$AE285,'ASIGNACIONES'!$J$4:$J$339,0)),0)-$AG285)</f>
        <v/>
      </c>
      <c r="AI285" s="10">
        <f>IF($A285="","",IFERROR(INDEX('2_IMPORTAR_EJECUCION'!$F$9:$F$1208,MATCH($AQ285,'2_IMPORTAR_EJECUCION'!$J$9:$J$1208,0)),0))</f>
        <v/>
      </c>
      <c r="AJ285" s="10">
        <f>IF($A285="","",MAX(0,IFERROR(INDEX('2_IMPORTAR_EJECUCION'!$H$9:$H$1208,MATCH($AQ285,'2_IMPORTAR_EJECUCION'!$J$9:$J$1208,0)),0)-$AI285))</f>
        <v/>
      </c>
      <c r="AK285" s="10">
        <f>IF($A285="","",$AI285+$AJ285)</f>
        <v/>
      </c>
      <c r="AL285" s="6" t="n"/>
      <c r="AM285" s="6" t="n"/>
      <c r="AN285" s="6" t="n"/>
      <c r="AO285" s="3">
        <f>IF($AN285="","",HYPERLINK(p_ruta_base_checklists&amp;$AN285,"abrir"))</f>
        <v/>
      </c>
      <c r="AP285" s="6" t="n"/>
      <c r="AQ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IF($A286="","",IFERROR(INDEX('AJUSTES'!$B$4:$B$303,MATCH($AQ286,'AJUSTES'!$A$4:$A$303,0)),IF($K286="","",$K286)))</f>
        <v/>
      </c>
      <c r="N286" s="3">
        <f>IF($A286="","",IFERROR(INDEX('CAT_ESTADOS_ERP'!$B$4:$B$7,MATCH(IFERROR(INDEX('2_IMPORTAR_EJECUCION'!$C$9:$C$1208,MATCH($AQ286,'2_IMPORTAR_EJECUCION'!$J$9:$J$1208,0)),""),'CAT_ESTADOS_ERP'!$A$4:$A$7,0)),"Pendiente"))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J286="","",IFERROR(INDEX('CALENDARIO'!$C$15:$C$214,MATCH(TEXT($J286,"yyyy-mm-dd")&amp;"|"&amp;$V286&amp;"|"&amp;$W286,'CALENDARIO'!$G$15:$G$214,0)),IFERROR(INDEX('CALENDARIO'!$C$15:$C$214,MATCH(TEXT($J286,"yyyy-mm-dd")&amp;"|"&amp;$V286&amp;"|",'CALENDARIO'!$G$15:$G$214,0)),IFERROR(INDEX('CALENDARIO'!$C$15:$C$214,MATCH(TEXT($J286,"yyyy-mm-dd")&amp;"||",'CALENDARIO'!$G$15:$G$214,0)),INDEX(patronHabil,WEEKDAY($J286,2))))))</f>
        <v/>
      </c>
      <c r="T286" s="3">
        <f>IF($I286="","",IFERROR(INDEX('CAT_TIPOS_OT'!$C$4:$C$7,MATCH($I286,'CAT_TIPOS_OT'!$A$4:$A$7,0)),"sin_clasificar"))</f>
        <v/>
      </c>
      <c r="U286" s="3">
        <f>IF($F286="","",IFERROR(INDEX('CAT_CENTROS_COSTO'!$F$4:$F$13,MATCH($F286,'CAT_CENTROS_COSTO'!$A$4:$A$13,0)),"(sin catálogo)"))</f>
        <v/>
      </c>
      <c r="V286" s="3">
        <f>IF($F286="","",IFERROR(INDEX('CAT_CENTROS_COSTO'!$D$4:$D$13,MATCH($F286,'CAT_CENTROS_COSTO'!$A$4:$A$13,0)),"(sin catálogo)"))</f>
        <v/>
      </c>
      <c r="W286" s="3">
        <f>IF($F286="","",IF((IFERROR(INDEX('CAT_CENTROS_COSTO'!$E$4:$E$13,MATCH($F286,'CAT_CENTROS_COSTO'!$A$4:$A$13,0)),""))&lt;&gt;"",IFERROR(INDEX('CAT_CENTROS_COSTO'!$E$4:$E$13,MATCH($F286,'CAT_CENTROS_COSTO'!$A$4:$A$13,0)),""),$V286))</f>
        <v/>
      </c>
      <c r="X286" s="3">
        <f>IF($F286="","",IFERROR(INDEX('CAT_CENTROS_COSTO'!$G$4:$G$13,MATCH($F286,'CAT_CENTROS_COSTO'!$A$4:$A$13,0)),"(sin catálogo)"))</f>
        <v/>
      </c>
      <c r="Y286" s="3">
        <f>IF($G286="","",IFERROR(INDEX('CAT_PUESTOS'!$B$4:$B$8,MATCH($G286,'CAT_PUESTOS'!$A$4:$A$8,0)),"(sin catálogo)"))</f>
        <v/>
      </c>
      <c r="Z286" s="3">
        <f>IF($H286="","",IFERROR(INDEX('CAT_ACTIVIDADES'!$B$4:$B$8,MATCH($H286,'CAT_ACTIVIDADES'!$A$4:$A$8,0)),"(sin catálogo)"))</f>
        <v/>
      </c>
      <c r="AA286" s="12">
        <f>IF($J286="","",TODAY()-$J286)</f>
        <v/>
      </c>
      <c r="AB286" s="12">
        <f>IF($J286="","",IF($J286&lt;=TODAY(),COUNTIFS(cal_fechas,"&gt;="&amp;$J286,cal_fechas,"&lt;"&amp;TODAY(),cal_habil,"sí"),-COUNTIFS(cal_fechas,"&gt;="&amp;TODAY(),cal_fechas,"&lt;"&amp;$J286,cal_habil,"sí")))</f>
        <v/>
      </c>
      <c r="AC286" s="3">
        <f>IF($AB286="","",IF($AB286&lt;0,"FUTURO",IF($AB286&gt;p_dias_backlog_max,"BACKLOG","MES CORRIENTE")))</f>
        <v/>
      </c>
      <c r="AD286" s="3">
        <f>IF($AB286="",FALSE,AND($AB286&gt;p_dias_backlog_min,$AB286&lt;=p_dias_backlog_max))</f>
        <v/>
      </c>
      <c r="AE286" s="6" t="n"/>
      <c r="AF286" s="3">
        <f>IF($AE286="","",IF((IFERROR(INDEX('ASIGNACIONES'!$F$4:$F$339,MATCH($O286&amp;"|"&amp;$R286&amp;"|"&amp;$AE286,'ASIGNACIONES'!$J$4:$J$339,0)),""))=0,"",IFERROR(INDEX('ASIGNACIONES'!$F$4:$F$339,MATCH($O286&amp;"|"&amp;$R286&amp;"|"&amp;$AE286,'ASIGNACIONES'!$J$4:$J$339,0)),"")))</f>
        <v/>
      </c>
      <c r="AG286" s="13">
        <f>IF($AE286="","",SUMIFS('ORDENES'!$M$4:$M$1203,'ORDENES'!$AE$4:$AE$1203,$AE286,'ORDENES'!$O$4:$O$1203,$O286,'ORDENES'!$R$4:$R$1203,$R286))</f>
        <v/>
      </c>
      <c r="AH286" s="13">
        <f>IF($AG286="","",p_factor_productividad*IFERROR(INDEX('ASIGNACIONES'!$I$4:$I$339,MATCH($O286&amp;"|"&amp;$R286&amp;"|"&amp;$AE286,'ASIGNACIONES'!$J$4:$J$339,0)),0)-$AG286)</f>
        <v/>
      </c>
      <c r="AI286" s="10">
        <f>IF($A286="","",IFERROR(INDEX('2_IMPORTAR_EJECUCION'!$F$9:$F$1208,MATCH($AQ286,'2_IMPORTAR_EJECUCION'!$J$9:$J$1208,0)),0))</f>
        <v/>
      </c>
      <c r="AJ286" s="10">
        <f>IF($A286="","",MAX(0,IFERROR(INDEX('2_IMPORTAR_EJECUCION'!$H$9:$H$1208,MATCH($AQ286,'2_IMPORTAR_EJECUCION'!$J$9:$J$1208,0)),0)-$AI286))</f>
        <v/>
      </c>
      <c r="AK286" s="10">
        <f>IF($A286="","",$AI286+$AJ286)</f>
        <v/>
      </c>
      <c r="AL286" s="6" t="n"/>
      <c r="AM286" s="6" t="n"/>
      <c r="AN286" s="6" t="n"/>
      <c r="AO286" s="3">
        <f>IF($AN286="","",HYPERLINK(p_ruta_base_checklists&amp;$AN286,"abrir"))</f>
        <v/>
      </c>
      <c r="AP286" s="6" t="n"/>
      <c r="AQ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IF($A287="","",IFERROR(INDEX('AJUSTES'!$B$4:$B$303,MATCH($AQ287,'AJUSTES'!$A$4:$A$303,0)),IF($K287="","",$K287)))</f>
        <v/>
      </c>
      <c r="N287" s="3">
        <f>IF($A287="","",IFERROR(INDEX('CAT_ESTADOS_ERP'!$B$4:$B$7,MATCH(IFERROR(INDEX('2_IMPORTAR_EJECUCION'!$C$9:$C$1208,MATCH($AQ287,'2_IMPORTAR_EJECUCION'!$J$9:$J$1208,0)),""),'CAT_ESTADOS_ERP'!$A$4:$A$7,0)),"Pendiente"))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J287="","",IFERROR(INDEX('CALENDARIO'!$C$15:$C$214,MATCH(TEXT($J287,"yyyy-mm-dd")&amp;"|"&amp;$V287&amp;"|"&amp;$W287,'CALENDARIO'!$G$15:$G$214,0)),IFERROR(INDEX('CALENDARIO'!$C$15:$C$214,MATCH(TEXT($J287,"yyyy-mm-dd")&amp;"|"&amp;$V287&amp;"|",'CALENDARIO'!$G$15:$G$214,0)),IFERROR(INDEX('CALENDARIO'!$C$15:$C$214,MATCH(TEXT($J287,"yyyy-mm-dd")&amp;"||",'CALENDARIO'!$G$15:$G$214,0)),INDEX(patronHabil,WEEKDAY($J287,2))))))</f>
        <v/>
      </c>
      <c r="T287" s="3">
        <f>IF($I287="","",IFERROR(INDEX('CAT_TIPOS_OT'!$C$4:$C$7,MATCH($I287,'CAT_TIPOS_OT'!$A$4:$A$7,0)),"sin_clasificar"))</f>
        <v/>
      </c>
      <c r="U287" s="3">
        <f>IF($F287="","",IFERROR(INDEX('CAT_CENTROS_COSTO'!$F$4:$F$13,MATCH($F287,'CAT_CENTROS_COSTO'!$A$4:$A$13,0)),"(sin catálogo)"))</f>
        <v/>
      </c>
      <c r="V287" s="3">
        <f>IF($F287="","",IFERROR(INDEX('CAT_CENTROS_COSTO'!$D$4:$D$13,MATCH($F287,'CAT_CENTROS_COSTO'!$A$4:$A$13,0)),"(sin catálogo)"))</f>
        <v/>
      </c>
      <c r="W287" s="3">
        <f>IF($F287="","",IF((IFERROR(INDEX('CAT_CENTROS_COSTO'!$E$4:$E$13,MATCH($F287,'CAT_CENTROS_COSTO'!$A$4:$A$13,0)),""))&lt;&gt;"",IFERROR(INDEX('CAT_CENTROS_COSTO'!$E$4:$E$13,MATCH($F287,'CAT_CENTROS_COSTO'!$A$4:$A$13,0)),""),$V287))</f>
        <v/>
      </c>
      <c r="X287" s="3">
        <f>IF($F287="","",IFERROR(INDEX('CAT_CENTROS_COSTO'!$G$4:$G$13,MATCH($F287,'CAT_CENTROS_COSTO'!$A$4:$A$13,0)),"(sin catálogo)"))</f>
        <v/>
      </c>
      <c r="Y287" s="3">
        <f>IF($G287="","",IFERROR(INDEX('CAT_PUESTOS'!$B$4:$B$8,MATCH($G287,'CAT_PUESTOS'!$A$4:$A$8,0)),"(sin catálogo)"))</f>
        <v/>
      </c>
      <c r="Z287" s="3">
        <f>IF($H287="","",IFERROR(INDEX('CAT_ACTIVIDADES'!$B$4:$B$8,MATCH($H287,'CAT_ACTIVIDADES'!$A$4:$A$8,0)),"(sin catálogo)"))</f>
        <v/>
      </c>
      <c r="AA287" s="12">
        <f>IF($J287="","",TODAY()-$J287)</f>
        <v/>
      </c>
      <c r="AB287" s="12">
        <f>IF($J287="","",IF($J287&lt;=TODAY(),COUNTIFS(cal_fechas,"&gt;="&amp;$J287,cal_fechas,"&lt;"&amp;TODAY(),cal_habil,"sí"),-COUNTIFS(cal_fechas,"&gt;="&amp;TODAY(),cal_fechas,"&lt;"&amp;$J287,cal_habil,"sí")))</f>
        <v/>
      </c>
      <c r="AC287" s="3">
        <f>IF($AB287="","",IF($AB287&lt;0,"FUTURO",IF($AB287&gt;p_dias_backlog_max,"BACKLOG","MES CORRIENTE")))</f>
        <v/>
      </c>
      <c r="AD287" s="3">
        <f>IF($AB287="",FALSE,AND($AB287&gt;p_dias_backlog_min,$AB287&lt;=p_dias_backlog_max))</f>
        <v/>
      </c>
      <c r="AE287" s="6" t="n"/>
      <c r="AF287" s="3">
        <f>IF($AE287="","",IF((IFERROR(INDEX('ASIGNACIONES'!$F$4:$F$339,MATCH($O287&amp;"|"&amp;$R287&amp;"|"&amp;$AE287,'ASIGNACIONES'!$J$4:$J$339,0)),""))=0,"",IFERROR(INDEX('ASIGNACIONES'!$F$4:$F$339,MATCH($O287&amp;"|"&amp;$R287&amp;"|"&amp;$AE287,'ASIGNACIONES'!$J$4:$J$339,0)),"")))</f>
        <v/>
      </c>
      <c r="AG287" s="13">
        <f>IF($AE287="","",SUMIFS('ORDENES'!$M$4:$M$1203,'ORDENES'!$AE$4:$AE$1203,$AE287,'ORDENES'!$O$4:$O$1203,$O287,'ORDENES'!$R$4:$R$1203,$R287))</f>
        <v/>
      </c>
      <c r="AH287" s="13">
        <f>IF($AG287="","",p_factor_productividad*IFERROR(INDEX('ASIGNACIONES'!$I$4:$I$339,MATCH($O287&amp;"|"&amp;$R287&amp;"|"&amp;$AE287,'ASIGNACIONES'!$J$4:$J$339,0)),0)-$AG287)</f>
        <v/>
      </c>
      <c r="AI287" s="10">
        <f>IF($A287="","",IFERROR(INDEX('2_IMPORTAR_EJECUCION'!$F$9:$F$1208,MATCH($AQ287,'2_IMPORTAR_EJECUCION'!$J$9:$J$1208,0)),0))</f>
        <v/>
      </c>
      <c r="AJ287" s="10">
        <f>IF($A287="","",MAX(0,IFERROR(INDEX('2_IMPORTAR_EJECUCION'!$H$9:$H$1208,MATCH($AQ287,'2_IMPORTAR_EJECUCION'!$J$9:$J$1208,0)),0)-$AI287))</f>
        <v/>
      </c>
      <c r="AK287" s="10">
        <f>IF($A287="","",$AI287+$AJ287)</f>
        <v/>
      </c>
      <c r="AL287" s="6" t="n"/>
      <c r="AM287" s="6" t="n"/>
      <c r="AN287" s="6" t="n"/>
      <c r="AO287" s="3">
        <f>IF($AN287="","",HYPERLINK(p_ruta_base_checklists&amp;$AN287,"abrir"))</f>
        <v/>
      </c>
      <c r="AP287" s="6" t="n"/>
      <c r="AQ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IF($A288="","",IFERROR(INDEX('AJUSTES'!$B$4:$B$303,MATCH($AQ288,'AJUSTES'!$A$4:$A$303,0)),IF($K288="","",$K288)))</f>
        <v/>
      </c>
      <c r="N288" s="3">
        <f>IF($A288="","",IFERROR(INDEX('CAT_ESTADOS_ERP'!$B$4:$B$7,MATCH(IFERROR(INDEX('2_IMPORTAR_EJECUCION'!$C$9:$C$1208,MATCH($AQ288,'2_IMPORTAR_EJECUCION'!$J$9:$J$1208,0)),""),'CAT_ESTADOS_ERP'!$A$4:$A$7,0)),"Pendiente"))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J288="","",IFERROR(INDEX('CALENDARIO'!$C$15:$C$214,MATCH(TEXT($J288,"yyyy-mm-dd")&amp;"|"&amp;$V288&amp;"|"&amp;$W288,'CALENDARIO'!$G$15:$G$214,0)),IFERROR(INDEX('CALENDARIO'!$C$15:$C$214,MATCH(TEXT($J288,"yyyy-mm-dd")&amp;"|"&amp;$V288&amp;"|",'CALENDARIO'!$G$15:$G$214,0)),IFERROR(INDEX('CALENDARIO'!$C$15:$C$214,MATCH(TEXT($J288,"yyyy-mm-dd")&amp;"||",'CALENDARIO'!$G$15:$G$214,0)),INDEX(patronHabil,WEEKDAY($J288,2))))))</f>
        <v/>
      </c>
      <c r="T288" s="3">
        <f>IF($I288="","",IFERROR(INDEX('CAT_TIPOS_OT'!$C$4:$C$7,MATCH($I288,'CAT_TIPOS_OT'!$A$4:$A$7,0)),"sin_clasificar"))</f>
        <v/>
      </c>
      <c r="U288" s="3">
        <f>IF($F288="","",IFERROR(INDEX('CAT_CENTROS_COSTO'!$F$4:$F$13,MATCH($F288,'CAT_CENTROS_COSTO'!$A$4:$A$13,0)),"(sin catálogo)"))</f>
        <v/>
      </c>
      <c r="V288" s="3">
        <f>IF($F288="","",IFERROR(INDEX('CAT_CENTROS_COSTO'!$D$4:$D$13,MATCH($F288,'CAT_CENTROS_COSTO'!$A$4:$A$13,0)),"(sin catálogo)"))</f>
        <v/>
      </c>
      <c r="W288" s="3">
        <f>IF($F288="","",IF((IFERROR(INDEX('CAT_CENTROS_COSTO'!$E$4:$E$13,MATCH($F288,'CAT_CENTROS_COSTO'!$A$4:$A$13,0)),""))&lt;&gt;"",IFERROR(INDEX('CAT_CENTROS_COSTO'!$E$4:$E$13,MATCH($F288,'CAT_CENTROS_COSTO'!$A$4:$A$13,0)),""),$V288))</f>
        <v/>
      </c>
      <c r="X288" s="3">
        <f>IF($F288="","",IFERROR(INDEX('CAT_CENTROS_COSTO'!$G$4:$G$13,MATCH($F288,'CAT_CENTROS_COSTO'!$A$4:$A$13,0)),"(sin catálogo)"))</f>
        <v/>
      </c>
      <c r="Y288" s="3">
        <f>IF($G288="","",IFERROR(INDEX('CAT_PUESTOS'!$B$4:$B$8,MATCH($G288,'CAT_PUESTOS'!$A$4:$A$8,0)),"(sin catálogo)"))</f>
        <v/>
      </c>
      <c r="Z288" s="3">
        <f>IF($H288="","",IFERROR(INDEX('CAT_ACTIVIDADES'!$B$4:$B$8,MATCH($H288,'CAT_ACTIVIDADES'!$A$4:$A$8,0)),"(sin catálogo)"))</f>
        <v/>
      </c>
      <c r="AA288" s="12">
        <f>IF($J288="","",TODAY()-$J288)</f>
        <v/>
      </c>
      <c r="AB288" s="12">
        <f>IF($J288="","",IF($J288&lt;=TODAY(),COUNTIFS(cal_fechas,"&gt;="&amp;$J288,cal_fechas,"&lt;"&amp;TODAY(),cal_habil,"sí"),-COUNTIFS(cal_fechas,"&gt;="&amp;TODAY(),cal_fechas,"&lt;"&amp;$J288,cal_habil,"sí")))</f>
        <v/>
      </c>
      <c r="AC288" s="3">
        <f>IF($AB288="","",IF($AB288&lt;0,"FUTURO",IF($AB288&gt;p_dias_backlog_max,"BACKLOG","MES CORRIENTE")))</f>
        <v/>
      </c>
      <c r="AD288" s="3">
        <f>IF($AB288="",FALSE,AND($AB288&gt;p_dias_backlog_min,$AB288&lt;=p_dias_backlog_max))</f>
        <v/>
      </c>
      <c r="AE288" s="6" t="n"/>
      <c r="AF288" s="3">
        <f>IF($AE288="","",IF((IFERROR(INDEX('ASIGNACIONES'!$F$4:$F$339,MATCH($O288&amp;"|"&amp;$R288&amp;"|"&amp;$AE288,'ASIGNACIONES'!$J$4:$J$339,0)),""))=0,"",IFERROR(INDEX('ASIGNACIONES'!$F$4:$F$339,MATCH($O288&amp;"|"&amp;$R288&amp;"|"&amp;$AE288,'ASIGNACIONES'!$J$4:$J$339,0)),"")))</f>
        <v/>
      </c>
      <c r="AG288" s="13">
        <f>IF($AE288="","",SUMIFS('ORDENES'!$M$4:$M$1203,'ORDENES'!$AE$4:$AE$1203,$AE288,'ORDENES'!$O$4:$O$1203,$O288,'ORDENES'!$R$4:$R$1203,$R288))</f>
        <v/>
      </c>
      <c r="AH288" s="13">
        <f>IF($AG288="","",p_factor_productividad*IFERROR(INDEX('ASIGNACIONES'!$I$4:$I$339,MATCH($O288&amp;"|"&amp;$R288&amp;"|"&amp;$AE288,'ASIGNACIONES'!$J$4:$J$339,0)),0)-$AG288)</f>
        <v/>
      </c>
      <c r="AI288" s="10">
        <f>IF($A288="","",IFERROR(INDEX('2_IMPORTAR_EJECUCION'!$F$9:$F$1208,MATCH($AQ288,'2_IMPORTAR_EJECUCION'!$J$9:$J$1208,0)),0))</f>
        <v/>
      </c>
      <c r="AJ288" s="10">
        <f>IF($A288="","",MAX(0,IFERROR(INDEX('2_IMPORTAR_EJECUCION'!$H$9:$H$1208,MATCH($AQ288,'2_IMPORTAR_EJECUCION'!$J$9:$J$1208,0)),0)-$AI288))</f>
        <v/>
      </c>
      <c r="AK288" s="10">
        <f>IF($A288="","",$AI288+$AJ288)</f>
        <v/>
      </c>
      <c r="AL288" s="6" t="n"/>
      <c r="AM288" s="6" t="n"/>
      <c r="AN288" s="6" t="n"/>
      <c r="AO288" s="3">
        <f>IF($AN288="","",HYPERLINK(p_ruta_base_checklists&amp;$AN288,"abrir"))</f>
        <v/>
      </c>
      <c r="AP288" s="6" t="n"/>
      <c r="AQ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IF($A289="","",IFERROR(INDEX('AJUSTES'!$B$4:$B$303,MATCH($AQ289,'AJUSTES'!$A$4:$A$303,0)),IF($K289="","",$K289)))</f>
        <v/>
      </c>
      <c r="N289" s="3">
        <f>IF($A289="","",IFERROR(INDEX('CAT_ESTADOS_ERP'!$B$4:$B$7,MATCH(IFERROR(INDEX('2_IMPORTAR_EJECUCION'!$C$9:$C$1208,MATCH($AQ289,'2_IMPORTAR_EJECUCION'!$J$9:$J$1208,0)),""),'CAT_ESTADOS_ERP'!$A$4:$A$7,0)),"Pendiente"))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J289="","",IFERROR(INDEX('CALENDARIO'!$C$15:$C$214,MATCH(TEXT($J289,"yyyy-mm-dd")&amp;"|"&amp;$V289&amp;"|"&amp;$W289,'CALENDARIO'!$G$15:$G$214,0)),IFERROR(INDEX('CALENDARIO'!$C$15:$C$214,MATCH(TEXT($J289,"yyyy-mm-dd")&amp;"|"&amp;$V289&amp;"|",'CALENDARIO'!$G$15:$G$214,0)),IFERROR(INDEX('CALENDARIO'!$C$15:$C$214,MATCH(TEXT($J289,"yyyy-mm-dd")&amp;"||",'CALENDARIO'!$G$15:$G$214,0)),INDEX(patronHabil,WEEKDAY($J289,2))))))</f>
        <v/>
      </c>
      <c r="T289" s="3">
        <f>IF($I289="","",IFERROR(INDEX('CAT_TIPOS_OT'!$C$4:$C$7,MATCH($I289,'CAT_TIPOS_OT'!$A$4:$A$7,0)),"sin_clasificar"))</f>
        <v/>
      </c>
      <c r="U289" s="3">
        <f>IF($F289="","",IFERROR(INDEX('CAT_CENTROS_COSTO'!$F$4:$F$13,MATCH($F289,'CAT_CENTROS_COSTO'!$A$4:$A$13,0)),"(sin catálogo)"))</f>
        <v/>
      </c>
      <c r="V289" s="3">
        <f>IF($F289="","",IFERROR(INDEX('CAT_CENTROS_COSTO'!$D$4:$D$13,MATCH($F289,'CAT_CENTROS_COSTO'!$A$4:$A$13,0)),"(sin catálogo)"))</f>
        <v/>
      </c>
      <c r="W289" s="3">
        <f>IF($F289="","",IF((IFERROR(INDEX('CAT_CENTROS_COSTO'!$E$4:$E$13,MATCH($F289,'CAT_CENTROS_COSTO'!$A$4:$A$13,0)),""))&lt;&gt;"",IFERROR(INDEX('CAT_CENTROS_COSTO'!$E$4:$E$13,MATCH($F289,'CAT_CENTROS_COSTO'!$A$4:$A$13,0)),""),$V289))</f>
        <v/>
      </c>
      <c r="X289" s="3">
        <f>IF($F289="","",IFERROR(INDEX('CAT_CENTROS_COSTO'!$G$4:$G$13,MATCH($F289,'CAT_CENTROS_COSTO'!$A$4:$A$13,0)),"(sin catálogo)"))</f>
        <v/>
      </c>
      <c r="Y289" s="3">
        <f>IF($G289="","",IFERROR(INDEX('CAT_PUESTOS'!$B$4:$B$8,MATCH($G289,'CAT_PUESTOS'!$A$4:$A$8,0)),"(sin catálogo)"))</f>
        <v/>
      </c>
      <c r="Z289" s="3">
        <f>IF($H289="","",IFERROR(INDEX('CAT_ACTIVIDADES'!$B$4:$B$8,MATCH($H289,'CAT_ACTIVIDADES'!$A$4:$A$8,0)),"(sin catálogo)"))</f>
        <v/>
      </c>
      <c r="AA289" s="12">
        <f>IF($J289="","",TODAY()-$J289)</f>
        <v/>
      </c>
      <c r="AB289" s="12">
        <f>IF($J289="","",IF($J289&lt;=TODAY(),COUNTIFS(cal_fechas,"&gt;="&amp;$J289,cal_fechas,"&lt;"&amp;TODAY(),cal_habil,"sí"),-COUNTIFS(cal_fechas,"&gt;="&amp;TODAY(),cal_fechas,"&lt;"&amp;$J289,cal_habil,"sí")))</f>
        <v/>
      </c>
      <c r="AC289" s="3">
        <f>IF($AB289="","",IF($AB289&lt;0,"FUTURO",IF($AB289&gt;p_dias_backlog_max,"BACKLOG","MES CORRIENTE")))</f>
        <v/>
      </c>
      <c r="AD289" s="3">
        <f>IF($AB289="",FALSE,AND($AB289&gt;p_dias_backlog_min,$AB289&lt;=p_dias_backlog_max))</f>
        <v/>
      </c>
      <c r="AE289" s="6" t="n"/>
      <c r="AF289" s="3">
        <f>IF($AE289="","",IF((IFERROR(INDEX('ASIGNACIONES'!$F$4:$F$339,MATCH($O289&amp;"|"&amp;$R289&amp;"|"&amp;$AE289,'ASIGNACIONES'!$J$4:$J$339,0)),""))=0,"",IFERROR(INDEX('ASIGNACIONES'!$F$4:$F$339,MATCH($O289&amp;"|"&amp;$R289&amp;"|"&amp;$AE289,'ASIGNACIONES'!$J$4:$J$339,0)),"")))</f>
        <v/>
      </c>
      <c r="AG289" s="13">
        <f>IF($AE289="","",SUMIFS('ORDENES'!$M$4:$M$1203,'ORDENES'!$AE$4:$AE$1203,$AE289,'ORDENES'!$O$4:$O$1203,$O289,'ORDENES'!$R$4:$R$1203,$R289))</f>
        <v/>
      </c>
      <c r="AH289" s="13">
        <f>IF($AG289="","",p_factor_productividad*IFERROR(INDEX('ASIGNACIONES'!$I$4:$I$339,MATCH($O289&amp;"|"&amp;$R289&amp;"|"&amp;$AE289,'ASIGNACIONES'!$J$4:$J$339,0)),0)-$AG289)</f>
        <v/>
      </c>
      <c r="AI289" s="10">
        <f>IF($A289="","",IFERROR(INDEX('2_IMPORTAR_EJECUCION'!$F$9:$F$1208,MATCH($AQ289,'2_IMPORTAR_EJECUCION'!$J$9:$J$1208,0)),0))</f>
        <v/>
      </c>
      <c r="AJ289" s="10">
        <f>IF($A289="","",MAX(0,IFERROR(INDEX('2_IMPORTAR_EJECUCION'!$H$9:$H$1208,MATCH($AQ289,'2_IMPORTAR_EJECUCION'!$J$9:$J$1208,0)),0)-$AI289))</f>
        <v/>
      </c>
      <c r="AK289" s="10">
        <f>IF($A289="","",$AI289+$AJ289)</f>
        <v/>
      </c>
      <c r="AL289" s="6" t="n"/>
      <c r="AM289" s="6" t="n"/>
      <c r="AN289" s="6" t="n"/>
      <c r="AO289" s="3">
        <f>IF($AN289="","",HYPERLINK(p_ruta_base_checklists&amp;$AN289,"abrir"))</f>
        <v/>
      </c>
      <c r="AP289" s="6" t="n"/>
      <c r="AQ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IF($A290="","",IFERROR(INDEX('AJUSTES'!$B$4:$B$303,MATCH($AQ290,'AJUSTES'!$A$4:$A$303,0)),IF($K290="","",$K290)))</f>
        <v/>
      </c>
      <c r="N290" s="3">
        <f>IF($A290="","",IFERROR(INDEX('CAT_ESTADOS_ERP'!$B$4:$B$7,MATCH(IFERROR(INDEX('2_IMPORTAR_EJECUCION'!$C$9:$C$1208,MATCH($AQ290,'2_IMPORTAR_EJECUCION'!$J$9:$J$1208,0)),""),'CAT_ESTADOS_ERP'!$A$4:$A$7,0)),"Pendiente"))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J290="","",IFERROR(INDEX('CALENDARIO'!$C$15:$C$214,MATCH(TEXT($J290,"yyyy-mm-dd")&amp;"|"&amp;$V290&amp;"|"&amp;$W290,'CALENDARIO'!$G$15:$G$214,0)),IFERROR(INDEX('CALENDARIO'!$C$15:$C$214,MATCH(TEXT($J290,"yyyy-mm-dd")&amp;"|"&amp;$V290&amp;"|",'CALENDARIO'!$G$15:$G$214,0)),IFERROR(INDEX('CALENDARIO'!$C$15:$C$214,MATCH(TEXT($J290,"yyyy-mm-dd")&amp;"||",'CALENDARIO'!$G$15:$G$214,0)),INDEX(patronHabil,WEEKDAY($J290,2))))))</f>
        <v/>
      </c>
      <c r="T290" s="3">
        <f>IF($I290="","",IFERROR(INDEX('CAT_TIPOS_OT'!$C$4:$C$7,MATCH($I290,'CAT_TIPOS_OT'!$A$4:$A$7,0)),"sin_clasificar"))</f>
        <v/>
      </c>
      <c r="U290" s="3">
        <f>IF($F290="","",IFERROR(INDEX('CAT_CENTROS_COSTO'!$F$4:$F$13,MATCH($F290,'CAT_CENTROS_COSTO'!$A$4:$A$13,0)),"(sin catálogo)"))</f>
        <v/>
      </c>
      <c r="V290" s="3">
        <f>IF($F290="","",IFERROR(INDEX('CAT_CENTROS_COSTO'!$D$4:$D$13,MATCH($F290,'CAT_CENTROS_COSTO'!$A$4:$A$13,0)),"(sin catálogo)"))</f>
        <v/>
      </c>
      <c r="W290" s="3">
        <f>IF($F290="","",IF((IFERROR(INDEX('CAT_CENTROS_COSTO'!$E$4:$E$13,MATCH($F290,'CAT_CENTROS_COSTO'!$A$4:$A$13,0)),""))&lt;&gt;"",IFERROR(INDEX('CAT_CENTROS_COSTO'!$E$4:$E$13,MATCH($F290,'CAT_CENTROS_COSTO'!$A$4:$A$13,0)),""),$V290))</f>
        <v/>
      </c>
      <c r="X290" s="3">
        <f>IF($F290="","",IFERROR(INDEX('CAT_CENTROS_COSTO'!$G$4:$G$13,MATCH($F290,'CAT_CENTROS_COSTO'!$A$4:$A$13,0)),"(sin catálogo)"))</f>
        <v/>
      </c>
      <c r="Y290" s="3">
        <f>IF($G290="","",IFERROR(INDEX('CAT_PUESTOS'!$B$4:$B$8,MATCH($G290,'CAT_PUESTOS'!$A$4:$A$8,0)),"(sin catálogo)"))</f>
        <v/>
      </c>
      <c r="Z290" s="3">
        <f>IF($H290="","",IFERROR(INDEX('CAT_ACTIVIDADES'!$B$4:$B$8,MATCH($H290,'CAT_ACTIVIDADES'!$A$4:$A$8,0)),"(sin catálogo)"))</f>
        <v/>
      </c>
      <c r="AA290" s="12">
        <f>IF($J290="","",TODAY()-$J290)</f>
        <v/>
      </c>
      <c r="AB290" s="12">
        <f>IF($J290="","",IF($J290&lt;=TODAY(),COUNTIFS(cal_fechas,"&gt;="&amp;$J290,cal_fechas,"&lt;"&amp;TODAY(),cal_habil,"sí"),-COUNTIFS(cal_fechas,"&gt;="&amp;TODAY(),cal_fechas,"&lt;"&amp;$J290,cal_habil,"sí")))</f>
        <v/>
      </c>
      <c r="AC290" s="3">
        <f>IF($AB290="","",IF($AB290&lt;0,"FUTURO",IF($AB290&gt;p_dias_backlog_max,"BACKLOG","MES CORRIENTE")))</f>
        <v/>
      </c>
      <c r="AD290" s="3">
        <f>IF($AB290="",FALSE,AND($AB290&gt;p_dias_backlog_min,$AB290&lt;=p_dias_backlog_max))</f>
        <v/>
      </c>
      <c r="AE290" s="6" t="n"/>
      <c r="AF290" s="3">
        <f>IF($AE290="","",IF((IFERROR(INDEX('ASIGNACIONES'!$F$4:$F$339,MATCH($O290&amp;"|"&amp;$R290&amp;"|"&amp;$AE290,'ASIGNACIONES'!$J$4:$J$339,0)),""))=0,"",IFERROR(INDEX('ASIGNACIONES'!$F$4:$F$339,MATCH($O290&amp;"|"&amp;$R290&amp;"|"&amp;$AE290,'ASIGNACIONES'!$J$4:$J$339,0)),"")))</f>
        <v/>
      </c>
      <c r="AG290" s="13">
        <f>IF($AE290="","",SUMIFS('ORDENES'!$M$4:$M$1203,'ORDENES'!$AE$4:$AE$1203,$AE290,'ORDENES'!$O$4:$O$1203,$O290,'ORDENES'!$R$4:$R$1203,$R290))</f>
        <v/>
      </c>
      <c r="AH290" s="13">
        <f>IF($AG290="","",p_factor_productividad*IFERROR(INDEX('ASIGNACIONES'!$I$4:$I$339,MATCH($O290&amp;"|"&amp;$R290&amp;"|"&amp;$AE290,'ASIGNACIONES'!$J$4:$J$339,0)),0)-$AG290)</f>
        <v/>
      </c>
      <c r="AI290" s="10">
        <f>IF($A290="","",IFERROR(INDEX('2_IMPORTAR_EJECUCION'!$F$9:$F$1208,MATCH($AQ290,'2_IMPORTAR_EJECUCION'!$J$9:$J$1208,0)),0))</f>
        <v/>
      </c>
      <c r="AJ290" s="10">
        <f>IF($A290="","",MAX(0,IFERROR(INDEX('2_IMPORTAR_EJECUCION'!$H$9:$H$1208,MATCH($AQ290,'2_IMPORTAR_EJECUCION'!$J$9:$J$1208,0)),0)-$AI290))</f>
        <v/>
      </c>
      <c r="AK290" s="10">
        <f>IF($A290="","",$AI290+$AJ290)</f>
        <v/>
      </c>
      <c r="AL290" s="6" t="n"/>
      <c r="AM290" s="6" t="n"/>
      <c r="AN290" s="6" t="n"/>
      <c r="AO290" s="3">
        <f>IF($AN290="","",HYPERLINK(p_ruta_base_checklists&amp;$AN290,"abrir"))</f>
        <v/>
      </c>
      <c r="AP290" s="6" t="n"/>
      <c r="AQ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IF($A291="","",IFERROR(INDEX('AJUSTES'!$B$4:$B$303,MATCH($AQ291,'AJUSTES'!$A$4:$A$303,0)),IF($K291="","",$K291)))</f>
        <v/>
      </c>
      <c r="N291" s="3">
        <f>IF($A291="","",IFERROR(INDEX('CAT_ESTADOS_ERP'!$B$4:$B$7,MATCH(IFERROR(INDEX('2_IMPORTAR_EJECUCION'!$C$9:$C$1208,MATCH($AQ291,'2_IMPORTAR_EJECUCION'!$J$9:$J$1208,0)),""),'CAT_ESTADOS_ERP'!$A$4:$A$7,0)),"Pendiente"))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J291="","",IFERROR(INDEX('CALENDARIO'!$C$15:$C$214,MATCH(TEXT($J291,"yyyy-mm-dd")&amp;"|"&amp;$V291&amp;"|"&amp;$W291,'CALENDARIO'!$G$15:$G$214,0)),IFERROR(INDEX('CALENDARIO'!$C$15:$C$214,MATCH(TEXT($J291,"yyyy-mm-dd")&amp;"|"&amp;$V291&amp;"|",'CALENDARIO'!$G$15:$G$214,0)),IFERROR(INDEX('CALENDARIO'!$C$15:$C$214,MATCH(TEXT($J291,"yyyy-mm-dd")&amp;"||",'CALENDARIO'!$G$15:$G$214,0)),INDEX(patronHabil,WEEKDAY($J291,2))))))</f>
        <v/>
      </c>
      <c r="T291" s="3">
        <f>IF($I291="","",IFERROR(INDEX('CAT_TIPOS_OT'!$C$4:$C$7,MATCH($I291,'CAT_TIPOS_OT'!$A$4:$A$7,0)),"sin_clasificar"))</f>
        <v/>
      </c>
      <c r="U291" s="3">
        <f>IF($F291="","",IFERROR(INDEX('CAT_CENTROS_COSTO'!$F$4:$F$13,MATCH($F291,'CAT_CENTROS_COSTO'!$A$4:$A$13,0)),"(sin catálogo)"))</f>
        <v/>
      </c>
      <c r="V291" s="3">
        <f>IF($F291="","",IFERROR(INDEX('CAT_CENTROS_COSTO'!$D$4:$D$13,MATCH($F291,'CAT_CENTROS_COSTO'!$A$4:$A$13,0)),"(sin catálogo)"))</f>
        <v/>
      </c>
      <c r="W291" s="3">
        <f>IF($F291="","",IF((IFERROR(INDEX('CAT_CENTROS_COSTO'!$E$4:$E$13,MATCH($F291,'CAT_CENTROS_COSTO'!$A$4:$A$13,0)),""))&lt;&gt;"",IFERROR(INDEX('CAT_CENTROS_COSTO'!$E$4:$E$13,MATCH($F291,'CAT_CENTROS_COSTO'!$A$4:$A$13,0)),""),$V291))</f>
        <v/>
      </c>
      <c r="X291" s="3">
        <f>IF($F291="","",IFERROR(INDEX('CAT_CENTROS_COSTO'!$G$4:$G$13,MATCH($F291,'CAT_CENTROS_COSTO'!$A$4:$A$13,0)),"(sin catálogo)"))</f>
        <v/>
      </c>
      <c r="Y291" s="3">
        <f>IF($G291="","",IFERROR(INDEX('CAT_PUESTOS'!$B$4:$B$8,MATCH($G291,'CAT_PUESTOS'!$A$4:$A$8,0)),"(sin catálogo)"))</f>
        <v/>
      </c>
      <c r="Z291" s="3">
        <f>IF($H291="","",IFERROR(INDEX('CAT_ACTIVIDADES'!$B$4:$B$8,MATCH($H291,'CAT_ACTIVIDADES'!$A$4:$A$8,0)),"(sin catálogo)"))</f>
        <v/>
      </c>
      <c r="AA291" s="12">
        <f>IF($J291="","",TODAY()-$J291)</f>
        <v/>
      </c>
      <c r="AB291" s="12">
        <f>IF($J291="","",IF($J291&lt;=TODAY(),COUNTIFS(cal_fechas,"&gt;="&amp;$J291,cal_fechas,"&lt;"&amp;TODAY(),cal_habil,"sí"),-COUNTIFS(cal_fechas,"&gt;="&amp;TODAY(),cal_fechas,"&lt;"&amp;$J291,cal_habil,"sí")))</f>
        <v/>
      </c>
      <c r="AC291" s="3">
        <f>IF($AB291="","",IF($AB291&lt;0,"FUTURO",IF($AB291&gt;p_dias_backlog_max,"BACKLOG","MES CORRIENTE")))</f>
        <v/>
      </c>
      <c r="AD291" s="3">
        <f>IF($AB291="",FALSE,AND($AB291&gt;p_dias_backlog_min,$AB291&lt;=p_dias_backlog_max))</f>
        <v/>
      </c>
      <c r="AE291" s="6" t="n"/>
      <c r="AF291" s="3">
        <f>IF($AE291="","",IF((IFERROR(INDEX('ASIGNACIONES'!$F$4:$F$339,MATCH($O291&amp;"|"&amp;$R291&amp;"|"&amp;$AE291,'ASIGNACIONES'!$J$4:$J$339,0)),""))=0,"",IFERROR(INDEX('ASIGNACIONES'!$F$4:$F$339,MATCH($O291&amp;"|"&amp;$R291&amp;"|"&amp;$AE291,'ASIGNACIONES'!$J$4:$J$339,0)),"")))</f>
        <v/>
      </c>
      <c r="AG291" s="13">
        <f>IF($AE291="","",SUMIFS('ORDENES'!$M$4:$M$1203,'ORDENES'!$AE$4:$AE$1203,$AE291,'ORDENES'!$O$4:$O$1203,$O291,'ORDENES'!$R$4:$R$1203,$R291))</f>
        <v/>
      </c>
      <c r="AH291" s="13">
        <f>IF($AG291="","",p_factor_productividad*IFERROR(INDEX('ASIGNACIONES'!$I$4:$I$339,MATCH($O291&amp;"|"&amp;$R291&amp;"|"&amp;$AE291,'ASIGNACIONES'!$J$4:$J$339,0)),0)-$AG291)</f>
        <v/>
      </c>
      <c r="AI291" s="10">
        <f>IF($A291="","",IFERROR(INDEX('2_IMPORTAR_EJECUCION'!$F$9:$F$1208,MATCH($AQ291,'2_IMPORTAR_EJECUCION'!$J$9:$J$1208,0)),0))</f>
        <v/>
      </c>
      <c r="AJ291" s="10">
        <f>IF($A291="","",MAX(0,IFERROR(INDEX('2_IMPORTAR_EJECUCION'!$H$9:$H$1208,MATCH($AQ291,'2_IMPORTAR_EJECUCION'!$J$9:$J$1208,0)),0)-$AI291))</f>
        <v/>
      </c>
      <c r="AK291" s="10">
        <f>IF($A291="","",$AI291+$AJ291)</f>
        <v/>
      </c>
      <c r="AL291" s="6" t="n"/>
      <c r="AM291" s="6" t="n"/>
      <c r="AN291" s="6" t="n"/>
      <c r="AO291" s="3">
        <f>IF($AN291="","",HYPERLINK(p_ruta_base_checklists&amp;$AN291,"abrir"))</f>
        <v/>
      </c>
      <c r="AP291" s="6" t="n"/>
      <c r="AQ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IF($A292="","",IFERROR(INDEX('AJUSTES'!$B$4:$B$303,MATCH($AQ292,'AJUSTES'!$A$4:$A$303,0)),IF($K292="","",$K292)))</f>
        <v/>
      </c>
      <c r="N292" s="3">
        <f>IF($A292="","",IFERROR(INDEX('CAT_ESTADOS_ERP'!$B$4:$B$7,MATCH(IFERROR(INDEX('2_IMPORTAR_EJECUCION'!$C$9:$C$1208,MATCH($AQ292,'2_IMPORTAR_EJECUCION'!$J$9:$J$1208,0)),""),'CAT_ESTADOS_ERP'!$A$4:$A$7,0)),"Pendiente"))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J292="","",IFERROR(INDEX('CALENDARIO'!$C$15:$C$214,MATCH(TEXT($J292,"yyyy-mm-dd")&amp;"|"&amp;$V292&amp;"|"&amp;$W292,'CALENDARIO'!$G$15:$G$214,0)),IFERROR(INDEX('CALENDARIO'!$C$15:$C$214,MATCH(TEXT($J292,"yyyy-mm-dd")&amp;"|"&amp;$V292&amp;"|",'CALENDARIO'!$G$15:$G$214,0)),IFERROR(INDEX('CALENDARIO'!$C$15:$C$214,MATCH(TEXT($J292,"yyyy-mm-dd")&amp;"||",'CALENDARIO'!$G$15:$G$214,0)),INDEX(patronHabil,WEEKDAY($J292,2))))))</f>
        <v/>
      </c>
      <c r="T292" s="3">
        <f>IF($I292="","",IFERROR(INDEX('CAT_TIPOS_OT'!$C$4:$C$7,MATCH($I292,'CAT_TIPOS_OT'!$A$4:$A$7,0)),"sin_clasificar"))</f>
        <v/>
      </c>
      <c r="U292" s="3">
        <f>IF($F292="","",IFERROR(INDEX('CAT_CENTROS_COSTO'!$F$4:$F$13,MATCH($F292,'CAT_CENTROS_COSTO'!$A$4:$A$13,0)),"(sin catálogo)"))</f>
        <v/>
      </c>
      <c r="V292" s="3">
        <f>IF($F292="","",IFERROR(INDEX('CAT_CENTROS_COSTO'!$D$4:$D$13,MATCH($F292,'CAT_CENTROS_COSTO'!$A$4:$A$13,0)),"(sin catálogo)"))</f>
        <v/>
      </c>
      <c r="W292" s="3">
        <f>IF($F292="","",IF((IFERROR(INDEX('CAT_CENTROS_COSTO'!$E$4:$E$13,MATCH($F292,'CAT_CENTROS_COSTO'!$A$4:$A$13,0)),""))&lt;&gt;"",IFERROR(INDEX('CAT_CENTROS_COSTO'!$E$4:$E$13,MATCH($F292,'CAT_CENTROS_COSTO'!$A$4:$A$13,0)),""),$V292))</f>
        <v/>
      </c>
      <c r="X292" s="3">
        <f>IF($F292="","",IFERROR(INDEX('CAT_CENTROS_COSTO'!$G$4:$G$13,MATCH($F292,'CAT_CENTROS_COSTO'!$A$4:$A$13,0)),"(sin catálogo)"))</f>
        <v/>
      </c>
      <c r="Y292" s="3">
        <f>IF($G292="","",IFERROR(INDEX('CAT_PUESTOS'!$B$4:$B$8,MATCH($G292,'CAT_PUESTOS'!$A$4:$A$8,0)),"(sin catálogo)"))</f>
        <v/>
      </c>
      <c r="Z292" s="3">
        <f>IF($H292="","",IFERROR(INDEX('CAT_ACTIVIDADES'!$B$4:$B$8,MATCH($H292,'CAT_ACTIVIDADES'!$A$4:$A$8,0)),"(sin catálogo)"))</f>
        <v/>
      </c>
      <c r="AA292" s="12">
        <f>IF($J292="","",TODAY()-$J292)</f>
        <v/>
      </c>
      <c r="AB292" s="12">
        <f>IF($J292="","",IF($J292&lt;=TODAY(),COUNTIFS(cal_fechas,"&gt;="&amp;$J292,cal_fechas,"&lt;"&amp;TODAY(),cal_habil,"sí"),-COUNTIFS(cal_fechas,"&gt;="&amp;TODAY(),cal_fechas,"&lt;"&amp;$J292,cal_habil,"sí")))</f>
        <v/>
      </c>
      <c r="AC292" s="3">
        <f>IF($AB292="","",IF($AB292&lt;0,"FUTURO",IF($AB292&gt;p_dias_backlog_max,"BACKLOG","MES CORRIENTE")))</f>
        <v/>
      </c>
      <c r="AD292" s="3">
        <f>IF($AB292="",FALSE,AND($AB292&gt;p_dias_backlog_min,$AB292&lt;=p_dias_backlog_max))</f>
        <v/>
      </c>
      <c r="AE292" s="6" t="n"/>
      <c r="AF292" s="3">
        <f>IF($AE292="","",IF((IFERROR(INDEX('ASIGNACIONES'!$F$4:$F$339,MATCH($O292&amp;"|"&amp;$R292&amp;"|"&amp;$AE292,'ASIGNACIONES'!$J$4:$J$339,0)),""))=0,"",IFERROR(INDEX('ASIGNACIONES'!$F$4:$F$339,MATCH($O292&amp;"|"&amp;$R292&amp;"|"&amp;$AE292,'ASIGNACIONES'!$J$4:$J$339,0)),"")))</f>
        <v/>
      </c>
      <c r="AG292" s="13">
        <f>IF($AE292="","",SUMIFS('ORDENES'!$M$4:$M$1203,'ORDENES'!$AE$4:$AE$1203,$AE292,'ORDENES'!$O$4:$O$1203,$O292,'ORDENES'!$R$4:$R$1203,$R292))</f>
        <v/>
      </c>
      <c r="AH292" s="13">
        <f>IF($AG292="","",p_factor_productividad*IFERROR(INDEX('ASIGNACIONES'!$I$4:$I$339,MATCH($O292&amp;"|"&amp;$R292&amp;"|"&amp;$AE292,'ASIGNACIONES'!$J$4:$J$339,0)),0)-$AG292)</f>
        <v/>
      </c>
      <c r="AI292" s="10">
        <f>IF($A292="","",IFERROR(INDEX('2_IMPORTAR_EJECUCION'!$F$9:$F$1208,MATCH($AQ292,'2_IMPORTAR_EJECUCION'!$J$9:$J$1208,0)),0))</f>
        <v/>
      </c>
      <c r="AJ292" s="10">
        <f>IF($A292="","",MAX(0,IFERROR(INDEX('2_IMPORTAR_EJECUCION'!$H$9:$H$1208,MATCH($AQ292,'2_IMPORTAR_EJECUCION'!$J$9:$J$1208,0)),0)-$AI292))</f>
        <v/>
      </c>
      <c r="AK292" s="10">
        <f>IF($A292="","",$AI292+$AJ292)</f>
        <v/>
      </c>
      <c r="AL292" s="6" t="n"/>
      <c r="AM292" s="6" t="n"/>
      <c r="AN292" s="6" t="n"/>
      <c r="AO292" s="3">
        <f>IF($AN292="","",HYPERLINK(p_ruta_base_checklists&amp;$AN292,"abrir"))</f>
        <v/>
      </c>
      <c r="AP292" s="6" t="n"/>
      <c r="AQ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IF($A293="","",IFERROR(INDEX('AJUSTES'!$B$4:$B$303,MATCH($AQ293,'AJUSTES'!$A$4:$A$303,0)),IF($K293="","",$K293)))</f>
        <v/>
      </c>
      <c r="N293" s="3">
        <f>IF($A293="","",IFERROR(INDEX('CAT_ESTADOS_ERP'!$B$4:$B$7,MATCH(IFERROR(INDEX('2_IMPORTAR_EJECUCION'!$C$9:$C$1208,MATCH($AQ293,'2_IMPORTAR_EJECUCION'!$J$9:$J$1208,0)),""),'CAT_ESTADOS_ERP'!$A$4:$A$7,0)),"Pendiente"))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J293="","",IFERROR(INDEX('CALENDARIO'!$C$15:$C$214,MATCH(TEXT($J293,"yyyy-mm-dd")&amp;"|"&amp;$V293&amp;"|"&amp;$W293,'CALENDARIO'!$G$15:$G$214,0)),IFERROR(INDEX('CALENDARIO'!$C$15:$C$214,MATCH(TEXT($J293,"yyyy-mm-dd")&amp;"|"&amp;$V293&amp;"|",'CALENDARIO'!$G$15:$G$214,0)),IFERROR(INDEX('CALENDARIO'!$C$15:$C$214,MATCH(TEXT($J293,"yyyy-mm-dd")&amp;"||",'CALENDARIO'!$G$15:$G$214,0)),INDEX(patronHabil,WEEKDAY($J293,2))))))</f>
        <v/>
      </c>
      <c r="T293" s="3">
        <f>IF($I293="","",IFERROR(INDEX('CAT_TIPOS_OT'!$C$4:$C$7,MATCH($I293,'CAT_TIPOS_OT'!$A$4:$A$7,0)),"sin_clasificar"))</f>
        <v/>
      </c>
      <c r="U293" s="3">
        <f>IF($F293="","",IFERROR(INDEX('CAT_CENTROS_COSTO'!$F$4:$F$13,MATCH($F293,'CAT_CENTROS_COSTO'!$A$4:$A$13,0)),"(sin catálogo)"))</f>
        <v/>
      </c>
      <c r="V293" s="3">
        <f>IF($F293="","",IFERROR(INDEX('CAT_CENTROS_COSTO'!$D$4:$D$13,MATCH($F293,'CAT_CENTROS_COSTO'!$A$4:$A$13,0)),"(sin catálogo)"))</f>
        <v/>
      </c>
      <c r="W293" s="3">
        <f>IF($F293="","",IF((IFERROR(INDEX('CAT_CENTROS_COSTO'!$E$4:$E$13,MATCH($F293,'CAT_CENTROS_COSTO'!$A$4:$A$13,0)),""))&lt;&gt;"",IFERROR(INDEX('CAT_CENTROS_COSTO'!$E$4:$E$13,MATCH($F293,'CAT_CENTROS_COSTO'!$A$4:$A$13,0)),""),$V293))</f>
        <v/>
      </c>
      <c r="X293" s="3">
        <f>IF($F293="","",IFERROR(INDEX('CAT_CENTROS_COSTO'!$G$4:$G$13,MATCH($F293,'CAT_CENTROS_COSTO'!$A$4:$A$13,0)),"(sin catálogo)"))</f>
        <v/>
      </c>
      <c r="Y293" s="3">
        <f>IF($G293="","",IFERROR(INDEX('CAT_PUESTOS'!$B$4:$B$8,MATCH($G293,'CAT_PUESTOS'!$A$4:$A$8,0)),"(sin catálogo)"))</f>
        <v/>
      </c>
      <c r="Z293" s="3">
        <f>IF($H293="","",IFERROR(INDEX('CAT_ACTIVIDADES'!$B$4:$B$8,MATCH($H293,'CAT_ACTIVIDADES'!$A$4:$A$8,0)),"(sin catálogo)"))</f>
        <v/>
      </c>
      <c r="AA293" s="12">
        <f>IF($J293="","",TODAY()-$J293)</f>
        <v/>
      </c>
      <c r="AB293" s="12">
        <f>IF($J293="","",IF($J293&lt;=TODAY(),COUNTIFS(cal_fechas,"&gt;="&amp;$J293,cal_fechas,"&lt;"&amp;TODAY(),cal_habil,"sí"),-COUNTIFS(cal_fechas,"&gt;="&amp;TODAY(),cal_fechas,"&lt;"&amp;$J293,cal_habil,"sí")))</f>
        <v/>
      </c>
      <c r="AC293" s="3">
        <f>IF($AB293="","",IF($AB293&lt;0,"FUTURO",IF($AB293&gt;p_dias_backlog_max,"BACKLOG","MES CORRIENTE")))</f>
        <v/>
      </c>
      <c r="AD293" s="3">
        <f>IF($AB293="",FALSE,AND($AB293&gt;p_dias_backlog_min,$AB293&lt;=p_dias_backlog_max))</f>
        <v/>
      </c>
      <c r="AE293" s="6" t="n"/>
      <c r="AF293" s="3">
        <f>IF($AE293="","",IF((IFERROR(INDEX('ASIGNACIONES'!$F$4:$F$339,MATCH($O293&amp;"|"&amp;$R293&amp;"|"&amp;$AE293,'ASIGNACIONES'!$J$4:$J$339,0)),""))=0,"",IFERROR(INDEX('ASIGNACIONES'!$F$4:$F$339,MATCH($O293&amp;"|"&amp;$R293&amp;"|"&amp;$AE293,'ASIGNACIONES'!$J$4:$J$339,0)),"")))</f>
        <v/>
      </c>
      <c r="AG293" s="13">
        <f>IF($AE293="","",SUMIFS('ORDENES'!$M$4:$M$1203,'ORDENES'!$AE$4:$AE$1203,$AE293,'ORDENES'!$O$4:$O$1203,$O293,'ORDENES'!$R$4:$R$1203,$R293))</f>
        <v/>
      </c>
      <c r="AH293" s="13">
        <f>IF($AG293="","",p_factor_productividad*IFERROR(INDEX('ASIGNACIONES'!$I$4:$I$339,MATCH($O293&amp;"|"&amp;$R293&amp;"|"&amp;$AE293,'ASIGNACIONES'!$J$4:$J$339,0)),0)-$AG293)</f>
        <v/>
      </c>
      <c r="AI293" s="10">
        <f>IF($A293="","",IFERROR(INDEX('2_IMPORTAR_EJECUCION'!$F$9:$F$1208,MATCH($AQ293,'2_IMPORTAR_EJECUCION'!$J$9:$J$1208,0)),0))</f>
        <v/>
      </c>
      <c r="AJ293" s="10">
        <f>IF($A293="","",MAX(0,IFERROR(INDEX('2_IMPORTAR_EJECUCION'!$H$9:$H$1208,MATCH($AQ293,'2_IMPORTAR_EJECUCION'!$J$9:$J$1208,0)),0)-$AI293))</f>
        <v/>
      </c>
      <c r="AK293" s="10">
        <f>IF($A293="","",$AI293+$AJ293)</f>
        <v/>
      </c>
      <c r="AL293" s="6" t="n"/>
      <c r="AM293" s="6" t="n"/>
      <c r="AN293" s="6" t="n"/>
      <c r="AO293" s="3">
        <f>IF($AN293="","",HYPERLINK(p_ruta_base_checklists&amp;$AN293,"abrir"))</f>
        <v/>
      </c>
      <c r="AP293" s="6" t="n"/>
      <c r="AQ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IF($A294="","",IFERROR(INDEX('AJUSTES'!$B$4:$B$303,MATCH($AQ294,'AJUSTES'!$A$4:$A$303,0)),IF($K294="","",$K294)))</f>
        <v/>
      </c>
      <c r="N294" s="3">
        <f>IF($A294="","",IFERROR(INDEX('CAT_ESTADOS_ERP'!$B$4:$B$7,MATCH(IFERROR(INDEX('2_IMPORTAR_EJECUCION'!$C$9:$C$1208,MATCH($AQ294,'2_IMPORTAR_EJECUCION'!$J$9:$J$1208,0)),""),'CAT_ESTADOS_ERP'!$A$4:$A$7,0)),"Pendiente"))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J294="","",IFERROR(INDEX('CALENDARIO'!$C$15:$C$214,MATCH(TEXT($J294,"yyyy-mm-dd")&amp;"|"&amp;$V294&amp;"|"&amp;$W294,'CALENDARIO'!$G$15:$G$214,0)),IFERROR(INDEX('CALENDARIO'!$C$15:$C$214,MATCH(TEXT($J294,"yyyy-mm-dd")&amp;"|"&amp;$V294&amp;"|",'CALENDARIO'!$G$15:$G$214,0)),IFERROR(INDEX('CALENDARIO'!$C$15:$C$214,MATCH(TEXT($J294,"yyyy-mm-dd")&amp;"||",'CALENDARIO'!$G$15:$G$214,0)),INDEX(patronHabil,WEEKDAY($J294,2))))))</f>
        <v/>
      </c>
      <c r="T294" s="3">
        <f>IF($I294="","",IFERROR(INDEX('CAT_TIPOS_OT'!$C$4:$C$7,MATCH($I294,'CAT_TIPOS_OT'!$A$4:$A$7,0)),"sin_clasificar"))</f>
        <v/>
      </c>
      <c r="U294" s="3">
        <f>IF($F294="","",IFERROR(INDEX('CAT_CENTROS_COSTO'!$F$4:$F$13,MATCH($F294,'CAT_CENTROS_COSTO'!$A$4:$A$13,0)),"(sin catálogo)"))</f>
        <v/>
      </c>
      <c r="V294" s="3">
        <f>IF($F294="","",IFERROR(INDEX('CAT_CENTROS_COSTO'!$D$4:$D$13,MATCH($F294,'CAT_CENTROS_COSTO'!$A$4:$A$13,0)),"(sin catálogo)"))</f>
        <v/>
      </c>
      <c r="W294" s="3">
        <f>IF($F294="","",IF((IFERROR(INDEX('CAT_CENTROS_COSTO'!$E$4:$E$13,MATCH($F294,'CAT_CENTROS_COSTO'!$A$4:$A$13,0)),""))&lt;&gt;"",IFERROR(INDEX('CAT_CENTROS_COSTO'!$E$4:$E$13,MATCH($F294,'CAT_CENTROS_COSTO'!$A$4:$A$13,0)),""),$V294))</f>
        <v/>
      </c>
      <c r="X294" s="3">
        <f>IF($F294="","",IFERROR(INDEX('CAT_CENTROS_COSTO'!$G$4:$G$13,MATCH($F294,'CAT_CENTROS_COSTO'!$A$4:$A$13,0)),"(sin catálogo)"))</f>
        <v/>
      </c>
      <c r="Y294" s="3">
        <f>IF($G294="","",IFERROR(INDEX('CAT_PUESTOS'!$B$4:$B$8,MATCH($G294,'CAT_PUESTOS'!$A$4:$A$8,0)),"(sin catálogo)"))</f>
        <v/>
      </c>
      <c r="Z294" s="3">
        <f>IF($H294="","",IFERROR(INDEX('CAT_ACTIVIDADES'!$B$4:$B$8,MATCH($H294,'CAT_ACTIVIDADES'!$A$4:$A$8,0)),"(sin catálogo)"))</f>
        <v/>
      </c>
      <c r="AA294" s="12">
        <f>IF($J294="","",TODAY()-$J294)</f>
        <v/>
      </c>
      <c r="AB294" s="12">
        <f>IF($J294="","",IF($J294&lt;=TODAY(),COUNTIFS(cal_fechas,"&gt;="&amp;$J294,cal_fechas,"&lt;"&amp;TODAY(),cal_habil,"sí"),-COUNTIFS(cal_fechas,"&gt;="&amp;TODAY(),cal_fechas,"&lt;"&amp;$J294,cal_habil,"sí")))</f>
        <v/>
      </c>
      <c r="AC294" s="3">
        <f>IF($AB294="","",IF($AB294&lt;0,"FUTURO",IF($AB294&gt;p_dias_backlog_max,"BACKLOG","MES CORRIENTE")))</f>
        <v/>
      </c>
      <c r="AD294" s="3">
        <f>IF($AB294="",FALSE,AND($AB294&gt;p_dias_backlog_min,$AB294&lt;=p_dias_backlog_max))</f>
        <v/>
      </c>
      <c r="AE294" s="6" t="n"/>
      <c r="AF294" s="3">
        <f>IF($AE294="","",IF((IFERROR(INDEX('ASIGNACIONES'!$F$4:$F$339,MATCH($O294&amp;"|"&amp;$R294&amp;"|"&amp;$AE294,'ASIGNACIONES'!$J$4:$J$339,0)),""))=0,"",IFERROR(INDEX('ASIGNACIONES'!$F$4:$F$339,MATCH($O294&amp;"|"&amp;$R294&amp;"|"&amp;$AE294,'ASIGNACIONES'!$J$4:$J$339,0)),"")))</f>
        <v/>
      </c>
      <c r="AG294" s="13">
        <f>IF($AE294="","",SUMIFS('ORDENES'!$M$4:$M$1203,'ORDENES'!$AE$4:$AE$1203,$AE294,'ORDENES'!$O$4:$O$1203,$O294,'ORDENES'!$R$4:$R$1203,$R294))</f>
        <v/>
      </c>
      <c r="AH294" s="13">
        <f>IF($AG294="","",p_factor_productividad*IFERROR(INDEX('ASIGNACIONES'!$I$4:$I$339,MATCH($O294&amp;"|"&amp;$R294&amp;"|"&amp;$AE294,'ASIGNACIONES'!$J$4:$J$339,0)),0)-$AG294)</f>
        <v/>
      </c>
      <c r="AI294" s="10">
        <f>IF($A294="","",IFERROR(INDEX('2_IMPORTAR_EJECUCION'!$F$9:$F$1208,MATCH($AQ294,'2_IMPORTAR_EJECUCION'!$J$9:$J$1208,0)),0))</f>
        <v/>
      </c>
      <c r="AJ294" s="10">
        <f>IF($A294="","",MAX(0,IFERROR(INDEX('2_IMPORTAR_EJECUCION'!$H$9:$H$1208,MATCH($AQ294,'2_IMPORTAR_EJECUCION'!$J$9:$J$1208,0)),0)-$AI294))</f>
        <v/>
      </c>
      <c r="AK294" s="10">
        <f>IF($A294="","",$AI294+$AJ294)</f>
        <v/>
      </c>
      <c r="AL294" s="6" t="n"/>
      <c r="AM294" s="6" t="n"/>
      <c r="AN294" s="6" t="n"/>
      <c r="AO294" s="3">
        <f>IF($AN294="","",HYPERLINK(p_ruta_base_checklists&amp;$AN294,"abrir"))</f>
        <v/>
      </c>
      <c r="AP294" s="6" t="n"/>
      <c r="AQ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IF($A295="","",IFERROR(INDEX('AJUSTES'!$B$4:$B$303,MATCH($AQ295,'AJUSTES'!$A$4:$A$303,0)),IF($K295="","",$K295)))</f>
        <v/>
      </c>
      <c r="N295" s="3">
        <f>IF($A295="","",IFERROR(INDEX('CAT_ESTADOS_ERP'!$B$4:$B$7,MATCH(IFERROR(INDEX('2_IMPORTAR_EJECUCION'!$C$9:$C$1208,MATCH($AQ295,'2_IMPORTAR_EJECUCION'!$J$9:$J$1208,0)),""),'CAT_ESTADOS_ERP'!$A$4:$A$7,0)),"Pendiente"))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J295="","",IFERROR(INDEX('CALENDARIO'!$C$15:$C$214,MATCH(TEXT($J295,"yyyy-mm-dd")&amp;"|"&amp;$V295&amp;"|"&amp;$W295,'CALENDARIO'!$G$15:$G$214,0)),IFERROR(INDEX('CALENDARIO'!$C$15:$C$214,MATCH(TEXT($J295,"yyyy-mm-dd")&amp;"|"&amp;$V295&amp;"|",'CALENDARIO'!$G$15:$G$214,0)),IFERROR(INDEX('CALENDARIO'!$C$15:$C$214,MATCH(TEXT($J295,"yyyy-mm-dd")&amp;"||",'CALENDARIO'!$G$15:$G$214,0)),INDEX(patronHabil,WEEKDAY($J295,2))))))</f>
        <v/>
      </c>
      <c r="T295" s="3">
        <f>IF($I295="","",IFERROR(INDEX('CAT_TIPOS_OT'!$C$4:$C$7,MATCH($I295,'CAT_TIPOS_OT'!$A$4:$A$7,0)),"sin_clasificar"))</f>
        <v/>
      </c>
      <c r="U295" s="3">
        <f>IF($F295="","",IFERROR(INDEX('CAT_CENTROS_COSTO'!$F$4:$F$13,MATCH($F295,'CAT_CENTROS_COSTO'!$A$4:$A$13,0)),"(sin catálogo)"))</f>
        <v/>
      </c>
      <c r="V295" s="3">
        <f>IF($F295="","",IFERROR(INDEX('CAT_CENTROS_COSTO'!$D$4:$D$13,MATCH($F295,'CAT_CENTROS_COSTO'!$A$4:$A$13,0)),"(sin catálogo)"))</f>
        <v/>
      </c>
      <c r="W295" s="3">
        <f>IF($F295="","",IF((IFERROR(INDEX('CAT_CENTROS_COSTO'!$E$4:$E$13,MATCH($F295,'CAT_CENTROS_COSTO'!$A$4:$A$13,0)),""))&lt;&gt;"",IFERROR(INDEX('CAT_CENTROS_COSTO'!$E$4:$E$13,MATCH($F295,'CAT_CENTROS_COSTO'!$A$4:$A$13,0)),""),$V295))</f>
        <v/>
      </c>
      <c r="X295" s="3">
        <f>IF($F295="","",IFERROR(INDEX('CAT_CENTROS_COSTO'!$G$4:$G$13,MATCH($F295,'CAT_CENTROS_COSTO'!$A$4:$A$13,0)),"(sin catálogo)"))</f>
        <v/>
      </c>
      <c r="Y295" s="3">
        <f>IF($G295="","",IFERROR(INDEX('CAT_PUESTOS'!$B$4:$B$8,MATCH($G295,'CAT_PUESTOS'!$A$4:$A$8,0)),"(sin catálogo)"))</f>
        <v/>
      </c>
      <c r="Z295" s="3">
        <f>IF($H295="","",IFERROR(INDEX('CAT_ACTIVIDADES'!$B$4:$B$8,MATCH($H295,'CAT_ACTIVIDADES'!$A$4:$A$8,0)),"(sin catálogo)"))</f>
        <v/>
      </c>
      <c r="AA295" s="12">
        <f>IF($J295="","",TODAY()-$J295)</f>
        <v/>
      </c>
      <c r="AB295" s="12">
        <f>IF($J295="","",IF($J295&lt;=TODAY(),COUNTIFS(cal_fechas,"&gt;="&amp;$J295,cal_fechas,"&lt;"&amp;TODAY(),cal_habil,"sí"),-COUNTIFS(cal_fechas,"&gt;="&amp;TODAY(),cal_fechas,"&lt;"&amp;$J295,cal_habil,"sí")))</f>
        <v/>
      </c>
      <c r="AC295" s="3">
        <f>IF($AB295="","",IF($AB295&lt;0,"FUTURO",IF($AB295&gt;p_dias_backlog_max,"BACKLOG","MES CORRIENTE")))</f>
        <v/>
      </c>
      <c r="AD295" s="3">
        <f>IF($AB295="",FALSE,AND($AB295&gt;p_dias_backlog_min,$AB295&lt;=p_dias_backlog_max))</f>
        <v/>
      </c>
      <c r="AE295" s="6" t="n"/>
      <c r="AF295" s="3">
        <f>IF($AE295="","",IF((IFERROR(INDEX('ASIGNACIONES'!$F$4:$F$339,MATCH($O295&amp;"|"&amp;$R295&amp;"|"&amp;$AE295,'ASIGNACIONES'!$J$4:$J$339,0)),""))=0,"",IFERROR(INDEX('ASIGNACIONES'!$F$4:$F$339,MATCH($O295&amp;"|"&amp;$R295&amp;"|"&amp;$AE295,'ASIGNACIONES'!$J$4:$J$339,0)),"")))</f>
        <v/>
      </c>
      <c r="AG295" s="13">
        <f>IF($AE295="","",SUMIFS('ORDENES'!$M$4:$M$1203,'ORDENES'!$AE$4:$AE$1203,$AE295,'ORDENES'!$O$4:$O$1203,$O295,'ORDENES'!$R$4:$R$1203,$R295))</f>
        <v/>
      </c>
      <c r="AH295" s="13">
        <f>IF($AG295="","",p_factor_productividad*IFERROR(INDEX('ASIGNACIONES'!$I$4:$I$339,MATCH($O295&amp;"|"&amp;$R295&amp;"|"&amp;$AE295,'ASIGNACIONES'!$J$4:$J$339,0)),0)-$AG295)</f>
        <v/>
      </c>
      <c r="AI295" s="10">
        <f>IF($A295="","",IFERROR(INDEX('2_IMPORTAR_EJECUCION'!$F$9:$F$1208,MATCH($AQ295,'2_IMPORTAR_EJECUCION'!$J$9:$J$1208,0)),0))</f>
        <v/>
      </c>
      <c r="AJ295" s="10">
        <f>IF($A295="","",MAX(0,IFERROR(INDEX('2_IMPORTAR_EJECUCION'!$H$9:$H$1208,MATCH($AQ295,'2_IMPORTAR_EJECUCION'!$J$9:$J$1208,0)),0)-$AI295))</f>
        <v/>
      </c>
      <c r="AK295" s="10">
        <f>IF($A295="","",$AI295+$AJ295)</f>
        <v/>
      </c>
      <c r="AL295" s="6" t="n"/>
      <c r="AM295" s="6" t="n"/>
      <c r="AN295" s="6" t="n"/>
      <c r="AO295" s="3">
        <f>IF($AN295="","",HYPERLINK(p_ruta_base_checklists&amp;$AN295,"abrir"))</f>
        <v/>
      </c>
      <c r="AP295" s="6" t="n"/>
      <c r="AQ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IF($A296="","",IFERROR(INDEX('AJUSTES'!$B$4:$B$303,MATCH($AQ296,'AJUSTES'!$A$4:$A$303,0)),IF($K296="","",$K296)))</f>
        <v/>
      </c>
      <c r="N296" s="3">
        <f>IF($A296="","",IFERROR(INDEX('CAT_ESTADOS_ERP'!$B$4:$B$7,MATCH(IFERROR(INDEX('2_IMPORTAR_EJECUCION'!$C$9:$C$1208,MATCH($AQ296,'2_IMPORTAR_EJECUCION'!$J$9:$J$1208,0)),""),'CAT_ESTADOS_ERP'!$A$4:$A$7,0)),"Pendiente"))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J296="","",IFERROR(INDEX('CALENDARIO'!$C$15:$C$214,MATCH(TEXT($J296,"yyyy-mm-dd")&amp;"|"&amp;$V296&amp;"|"&amp;$W296,'CALENDARIO'!$G$15:$G$214,0)),IFERROR(INDEX('CALENDARIO'!$C$15:$C$214,MATCH(TEXT($J296,"yyyy-mm-dd")&amp;"|"&amp;$V296&amp;"|",'CALENDARIO'!$G$15:$G$214,0)),IFERROR(INDEX('CALENDARIO'!$C$15:$C$214,MATCH(TEXT($J296,"yyyy-mm-dd")&amp;"||",'CALENDARIO'!$G$15:$G$214,0)),INDEX(patronHabil,WEEKDAY($J296,2))))))</f>
        <v/>
      </c>
      <c r="T296" s="3">
        <f>IF($I296="","",IFERROR(INDEX('CAT_TIPOS_OT'!$C$4:$C$7,MATCH($I296,'CAT_TIPOS_OT'!$A$4:$A$7,0)),"sin_clasificar"))</f>
        <v/>
      </c>
      <c r="U296" s="3">
        <f>IF($F296="","",IFERROR(INDEX('CAT_CENTROS_COSTO'!$F$4:$F$13,MATCH($F296,'CAT_CENTROS_COSTO'!$A$4:$A$13,0)),"(sin catálogo)"))</f>
        <v/>
      </c>
      <c r="V296" s="3">
        <f>IF($F296="","",IFERROR(INDEX('CAT_CENTROS_COSTO'!$D$4:$D$13,MATCH($F296,'CAT_CENTROS_COSTO'!$A$4:$A$13,0)),"(sin catálogo)"))</f>
        <v/>
      </c>
      <c r="W296" s="3">
        <f>IF($F296="","",IF((IFERROR(INDEX('CAT_CENTROS_COSTO'!$E$4:$E$13,MATCH($F296,'CAT_CENTROS_COSTO'!$A$4:$A$13,0)),""))&lt;&gt;"",IFERROR(INDEX('CAT_CENTROS_COSTO'!$E$4:$E$13,MATCH($F296,'CAT_CENTROS_COSTO'!$A$4:$A$13,0)),""),$V296))</f>
        <v/>
      </c>
      <c r="X296" s="3">
        <f>IF($F296="","",IFERROR(INDEX('CAT_CENTROS_COSTO'!$G$4:$G$13,MATCH($F296,'CAT_CENTROS_COSTO'!$A$4:$A$13,0)),"(sin catálogo)"))</f>
        <v/>
      </c>
      <c r="Y296" s="3">
        <f>IF($G296="","",IFERROR(INDEX('CAT_PUESTOS'!$B$4:$B$8,MATCH($G296,'CAT_PUESTOS'!$A$4:$A$8,0)),"(sin catálogo)"))</f>
        <v/>
      </c>
      <c r="Z296" s="3">
        <f>IF($H296="","",IFERROR(INDEX('CAT_ACTIVIDADES'!$B$4:$B$8,MATCH($H296,'CAT_ACTIVIDADES'!$A$4:$A$8,0)),"(sin catálogo)"))</f>
        <v/>
      </c>
      <c r="AA296" s="12">
        <f>IF($J296="","",TODAY()-$J296)</f>
        <v/>
      </c>
      <c r="AB296" s="12">
        <f>IF($J296="","",IF($J296&lt;=TODAY(),COUNTIFS(cal_fechas,"&gt;="&amp;$J296,cal_fechas,"&lt;"&amp;TODAY(),cal_habil,"sí"),-COUNTIFS(cal_fechas,"&gt;="&amp;TODAY(),cal_fechas,"&lt;"&amp;$J296,cal_habil,"sí")))</f>
        <v/>
      </c>
      <c r="AC296" s="3">
        <f>IF($AB296="","",IF($AB296&lt;0,"FUTURO",IF($AB296&gt;p_dias_backlog_max,"BACKLOG","MES CORRIENTE")))</f>
        <v/>
      </c>
      <c r="AD296" s="3">
        <f>IF($AB296="",FALSE,AND($AB296&gt;p_dias_backlog_min,$AB296&lt;=p_dias_backlog_max))</f>
        <v/>
      </c>
      <c r="AE296" s="6" t="n"/>
      <c r="AF296" s="3">
        <f>IF($AE296="","",IF((IFERROR(INDEX('ASIGNACIONES'!$F$4:$F$339,MATCH($O296&amp;"|"&amp;$R296&amp;"|"&amp;$AE296,'ASIGNACIONES'!$J$4:$J$339,0)),""))=0,"",IFERROR(INDEX('ASIGNACIONES'!$F$4:$F$339,MATCH($O296&amp;"|"&amp;$R296&amp;"|"&amp;$AE296,'ASIGNACIONES'!$J$4:$J$339,0)),"")))</f>
        <v/>
      </c>
      <c r="AG296" s="13">
        <f>IF($AE296="","",SUMIFS('ORDENES'!$M$4:$M$1203,'ORDENES'!$AE$4:$AE$1203,$AE296,'ORDENES'!$O$4:$O$1203,$O296,'ORDENES'!$R$4:$R$1203,$R296))</f>
        <v/>
      </c>
      <c r="AH296" s="13">
        <f>IF($AG296="","",p_factor_productividad*IFERROR(INDEX('ASIGNACIONES'!$I$4:$I$339,MATCH($O296&amp;"|"&amp;$R296&amp;"|"&amp;$AE296,'ASIGNACIONES'!$J$4:$J$339,0)),0)-$AG296)</f>
        <v/>
      </c>
      <c r="AI296" s="10">
        <f>IF($A296="","",IFERROR(INDEX('2_IMPORTAR_EJECUCION'!$F$9:$F$1208,MATCH($AQ296,'2_IMPORTAR_EJECUCION'!$J$9:$J$1208,0)),0))</f>
        <v/>
      </c>
      <c r="AJ296" s="10">
        <f>IF($A296="","",MAX(0,IFERROR(INDEX('2_IMPORTAR_EJECUCION'!$H$9:$H$1208,MATCH($AQ296,'2_IMPORTAR_EJECUCION'!$J$9:$J$1208,0)),0)-$AI296))</f>
        <v/>
      </c>
      <c r="AK296" s="10">
        <f>IF($A296="","",$AI296+$AJ296)</f>
        <v/>
      </c>
      <c r="AL296" s="6" t="n"/>
      <c r="AM296" s="6" t="n"/>
      <c r="AN296" s="6" t="n"/>
      <c r="AO296" s="3">
        <f>IF($AN296="","",HYPERLINK(p_ruta_base_checklists&amp;$AN296,"abrir"))</f>
        <v/>
      </c>
      <c r="AP296" s="6" t="n"/>
      <c r="AQ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IF($A297="","",IFERROR(INDEX('AJUSTES'!$B$4:$B$303,MATCH($AQ297,'AJUSTES'!$A$4:$A$303,0)),IF($K297="","",$K297)))</f>
        <v/>
      </c>
      <c r="N297" s="3">
        <f>IF($A297="","",IFERROR(INDEX('CAT_ESTADOS_ERP'!$B$4:$B$7,MATCH(IFERROR(INDEX('2_IMPORTAR_EJECUCION'!$C$9:$C$1208,MATCH($AQ297,'2_IMPORTAR_EJECUCION'!$J$9:$J$1208,0)),""),'CAT_ESTADOS_ERP'!$A$4:$A$7,0)),"Pendiente"))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J297="","",IFERROR(INDEX('CALENDARIO'!$C$15:$C$214,MATCH(TEXT($J297,"yyyy-mm-dd")&amp;"|"&amp;$V297&amp;"|"&amp;$W297,'CALENDARIO'!$G$15:$G$214,0)),IFERROR(INDEX('CALENDARIO'!$C$15:$C$214,MATCH(TEXT($J297,"yyyy-mm-dd")&amp;"|"&amp;$V297&amp;"|",'CALENDARIO'!$G$15:$G$214,0)),IFERROR(INDEX('CALENDARIO'!$C$15:$C$214,MATCH(TEXT($J297,"yyyy-mm-dd")&amp;"||",'CALENDARIO'!$G$15:$G$214,0)),INDEX(patronHabil,WEEKDAY($J297,2))))))</f>
        <v/>
      </c>
      <c r="T297" s="3">
        <f>IF($I297="","",IFERROR(INDEX('CAT_TIPOS_OT'!$C$4:$C$7,MATCH($I297,'CAT_TIPOS_OT'!$A$4:$A$7,0)),"sin_clasificar"))</f>
        <v/>
      </c>
      <c r="U297" s="3">
        <f>IF($F297="","",IFERROR(INDEX('CAT_CENTROS_COSTO'!$F$4:$F$13,MATCH($F297,'CAT_CENTROS_COSTO'!$A$4:$A$13,0)),"(sin catálogo)"))</f>
        <v/>
      </c>
      <c r="V297" s="3">
        <f>IF($F297="","",IFERROR(INDEX('CAT_CENTROS_COSTO'!$D$4:$D$13,MATCH($F297,'CAT_CENTROS_COSTO'!$A$4:$A$13,0)),"(sin catálogo)"))</f>
        <v/>
      </c>
      <c r="W297" s="3">
        <f>IF($F297="","",IF((IFERROR(INDEX('CAT_CENTROS_COSTO'!$E$4:$E$13,MATCH($F297,'CAT_CENTROS_COSTO'!$A$4:$A$13,0)),""))&lt;&gt;"",IFERROR(INDEX('CAT_CENTROS_COSTO'!$E$4:$E$13,MATCH($F297,'CAT_CENTROS_COSTO'!$A$4:$A$13,0)),""),$V297))</f>
        <v/>
      </c>
      <c r="X297" s="3">
        <f>IF($F297="","",IFERROR(INDEX('CAT_CENTROS_COSTO'!$G$4:$G$13,MATCH($F297,'CAT_CENTROS_COSTO'!$A$4:$A$13,0)),"(sin catálogo)"))</f>
        <v/>
      </c>
      <c r="Y297" s="3">
        <f>IF($G297="","",IFERROR(INDEX('CAT_PUESTOS'!$B$4:$B$8,MATCH($G297,'CAT_PUESTOS'!$A$4:$A$8,0)),"(sin catálogo)"))</f>
        <v/>
      </c>
      <c r="Z297" s="3">
        <f>IF($H297="","",IFERROR(INDEX('CAT_ACTIVIDADES'!$B$4:$B$8,MATCH($H297,'CAT_ACTIVIDADES'!$A$4:$A$8,0)),"(sin catálogo)"))</f>
        <v/>
      </c>
      <c r="AA297" s="12">
        <f>IF($J297="","",TODAY()-$J297)</f>
        <v/>
      </c>
      <c r="AB297" s="12">
        <f>IF($J297="","",IF($J297&lt;=TODAY(),COUNTIFS(cal_fechas,"&gt;="&amp;$J297,cal_fechas,"&lt;"&amp;TODAY(),cal_habil,"sí"),-COUNTIFS(cal_fechas,"&gt;="&amp;TODAY(),cal_fechas,"&lt;"&amp;$J297,cal_habil,"sí")))</f>
        <v/>
      </c>
      <c r="AC297" s="3">
        <f>IF($AB297="","",IF($AB297&lt;0,"FUTURO",IF($AB297&gt;p_dias_backlog_max,"BACKLOG","MES CORRIENTE")))</f>
        <v/>
      </c>
      <c r="AD297" s="3">
        <f>IF($AB297="",FALSE,AND($AB297&gt;p_dias_backlog_min,$AB297&lt;=p_dias_backlog_max))</f>
        <v/>
      </c>
      <c r="AE297" s="6" t="n"/>
      <c r="AF297" s="3">
        <f>IF($AE297="","",IF((IFERROR(INDEX('ASIGNACIONES'!$F$4:$F$339,MATCH($O297&amp;"|"&amp;$R297&amp;"|"&amp;$AE297,'ASIGNACIONES'!$J$4:$J$339,0)),""))=0,"",IFERROR(INDEX('ASIGNACIONES'!$F$4:$F$339,MATCH($O297&amp;"|"&amp;$R297&amp;"|"&amp;$AE297,'ASIGNACIONES'!$J$4:$J$339,0)),"")))</f>
        <v/>
      </c>
      <c r="AG297" s="13">
        <f>IF($AE297="","",SUMIFS('ORDENES'!$M$4:$M$1203,'ORDENES'!$AE$4:$AE$1203,$AE297,'ORDENES'!$O$4:$O$1203,$O297,'ORDENES'!$R$4:$R$1203,$R297))</f>
        <v/>
      </c>
      <c r="AH297" s="13">
        <f>IF($AG297="","",p_factor_productividad*IFERROR(INDEX('ASIGNACIONES'!$I$4:$I$339,MATCH($O297&amp;"|"&amp;$R297&amp;"|"&amp;$AE297,'ASIGNACIONES'!$J$4:$J$339,0)),0)-$AG297)</f>
        <v/>
      </c>
      <c r="AI297" s="10">
        <f>IF($A297="","",IFERROR(INDEX('2_IMPORTAR_EJECUCION'!$F$9:$F$1208,MATCH($AQ297,'2_IMPORTAR_EJECUCION'!$J$9:$J$1208,0)),0))</f>
        <v/>
      </c>
      <c r="AJ297" s="10">
        <f>IF($A297="","",MAX(0,IFERROR(INDEX('2_IMPORTAR_EJECUCION'!$H$9:$H$1208,MATCH($AQ297,'2_IMPORTAR_EJECUCION'!$J$9:$J$1208,0)),0)-$AI297))</f>
        <v/>
      </c>
      <c r="AK297" s="10">
        <f>IF($A297="","",$AI297+$AJ297)</f>
        <v/>
      </c>
      <c r="AL297" s="6" t="n"/>
      <c r="AM297" s="6" t="n"/>
      <c r="AN297" s="6" t="n"/>
      <c r="AO297" s="3">
        <f>IF($AN297="","",HYPERLINK(p_ruta_base_checklists&amp;$AN297,"abrir"))</f>
        <v/>
      </c>
      <c r="AP297" s="6" t="n"/>
      <c r="AQ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IF($A298="","",IFERROR(INDEX('AJUSTES'!$B$4:$B$303,MATCH($AQ298,'AJUSTES'!$A$4:$A$303,0)),IF($K298="","",$K298)))</f>
        <v/>
      </c>
      <c r="N298" s="3">
        <f>IF($A298="","",IFERROR(INDEX('CAT_ESTADOS_ERP'!$B$4:$B$7,MATCH(IFERROR(INDEX('2_IMPORTAR_EJECUCION'!$C$9:$C$1208,MATCH($AQ298,'2_IMPORTAR_EJECUCION'!$J$9:$J$1208,0)),""),'CAT_ESTADOS_ERP'!$A$4:$A$7,0)),"Pendiente"))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J298="","",IFERROR(INDEX('CALENDARIO'!$C$15:$C$214,MATCH(TEXT($J298,"yyyy-mm-dd")&amp;"|"&amp;$V298&amp;"|"&amp;$W298,'CALENDARIO'!$G$15:$G$214,0)),IFERROR(INDEX('CALENDARIO'!$C$15:$C$214,MATCH(TEXT($J298,"yyyy-mm-dd")&amp;"|"&amp;$V298&amp;"|",'CALENDARIO'!$G$15:$G$214,0)),IFERROR(INDEX('CALENDARIO'!$C$15:$C$214,MATCH(TEXT($J298,"yyyy-mm-dd")&amp;"||",'CALENDARIO'!$G$15:$G$214,0)),INDEX(patronHabil,WEEKDAY($J298,2))))))</f>
        <v/>
      </c>
      <c r="T298" s="3">
        <f>IF($I298="","",IFERROR(INDEX('CAT_TIPOS_OT'!$C$4:$C$7,MATCH($I298,'CAT_TIPOS_OT'!$A$4:$A$7,0)),"sin_clasificar"))</f>
        <v/>
      </c>
      <c r="U298" s="3">
        <f>IF($F298="","",IFERROR(INDEX('CAT_CENTROS_COSTO'!$F$4:$F$13,MATCH($F298,'CAT_CENTROS_COSTO'!$A$4:$A$13,0)),"(sin catálogo)"))</f>
        <v/>
      </c>
      <c r="V298" s="3">
        <f>IF($F298="","",IFERROR(INDEX('CAT_CENTROS_COSTO'!$D$4:$D$13,MATCH($F298,'CAT_CENTROS_COSTO'!$A$4:$A$13,0)),"(sin catálogo)"))</f>
        <v/>
      </c>
      <c r="W298" s="3">
        <f>IF($F298="","",IF((IFERROR(INDEX('CAT_CENTROS_COSTO'!$E$4:$E$13,MATCH($F298,'CAT_CENTROS_COSTO'!$A$4:$A$13,0)),""))&lt;&gt;"",IFERROR(INDEX('CAT_CENTROS_COSTO'!$E$4:$E$13,MATCH($F298,'CAT_CENTROS_COSTO'!$A$4:$A$13,0)),""),$V298))</f>
        <v/>
      </c>
      <c r="X298" s="3">
        <f>IF($F298="","",IFERROR(INDEX('CAT_CENTROS_COSTO'!$G$4:$G$13,MATCH($F298,'CAT_CENTROS_COSTO'!$A$4:$A$13,0)),"(sin catálogo)"))</f>
        <v/>
      </c>
      <c r="Y298" s="3">
        <f>IF($G298="","",IFERROR(INDEX('CAT_PUESTOS'!$B$4:$B$8,MATCH($G298,'CAT_PUESTOS'!$A$4:$A$8,0)),"(sin catálogo)"))</f>
        <v/>
      </c>
      <c r="Z298" s="3">
        <f>IF($H298="","",IFERROR(INDEX('CAT_ACTIVIDADES'!$B$4:$B$8,MATCH($H298,'CAT_ACTIVIDADES'!$A$4:$A$8,0)),"(sin catálogo)"))</f>
        <v/>
      </c>
      <c r="AA298" s="12">
        <f>IF($J298="","",TODAY()-$J298)</f>
        <v/>
      </c>
      <c r="AB298" s="12">
        <f>IF($J298="","",IF($J298&lt;=TODAY(),COUNTIFS(cal_fechas,"&gt;="&amp;$J298,cal_fechas,"&lt;"&amp;TODAY(),cal_habil,"sí"),-COUNTIFS(cal_fechas,"&gt;="&amp;TODAY(),cal_fechas,"&lt;"&amp;$J298,cal_habil,"sí")))</f>
        <v/>
      </c>
      <c r="AC298" s="3">
        <f>IF($AB298="","",IF($AB298&lt;0,"FUTURO",IF($AB298&gt;p_dias_backlog_max,"BACKLOG","MES CORRIENTE")))</f>
        <v/>
      </c>
      <c r="AD298" s="3">
        <f>IF($AB298="",FALSE,AND($AB298&gt;p_dias_backlog_min,$AB298&lt;=p_dias_backlog_max))</f>
        <v/>
      </c>
      <c r="AE298" s="6" t="n"/>
      <c r="AF298" s="3">
        <f>IF($AE298="","",IF((IFERROR(INDEX('ASIGNACIONES'!$F$4:$F$339,MATCH($O298&amp;"|"&amp;$R298&amp;"|"&amp;$AE298,'ASIGNACIONES'!$J$4:$J$339,0)),""))=0,"",IFERROR(INDEX('ASIGNACIONES'!$F$4:$F$339,MATCH($O298&amp;"|"&amp;$R298&amp;"|"&amp;$AE298,'ASIGNACIONES'!$J$4:$J$339,0)),"")))</f>
        <v/>
      </c>
      <c r="AG298" s="13">
        <f>IF($AE298="","",SUMIFS('ORDENES'!$M$4:$M$1203,'ORDENES'!$AE$4:$AE$1203,$AE298,'ORDENES'!$O$4:$O$1203,$O298,'ORDENES'!$R$4:$R$1203,$R298))</f>
        <v/>
      </c>
      <c r="AH298" s="13">
        <f>IF($AG298="","",p_factor_productividad*IFERROR(INDEX('ASIGNACIONES'!$I$4:$I$339,MATCH($O298&amp;"|"&amp;$R298&amp;"|"&amp;$AE298,'ASIGNACIONES'!$J$4:$J$339,0)),0)-$AG298)</f>
        <v/>
      </c>
      <c r="AI298" s="10">
        <f>IF($A298="","",IFERROR(INDEX('2_IMPORTAR_EJECUCION'!$F$9:$F$1208,MATCH($AQ298,'2_IMPORTAR_EJECUCION'!$J$9:$J$1208,0)),0))</f>
        <v/>
      </c>
      <c r="AJ298" s="10">
        <f>IF($A298="","",MAX(0,IFERROR(INDEX('2_IMPORTAR_EJECUCION'!$H$9:$H$1208,MATCH($AQ298,'2_IMPORTAR_EJECUCION'!$J$9:$J$1208,0)),0)-$AI298))</f>
        <v/>
      </c>
      <c r="AK298" s="10">
        <f>IF($A298="","",$AI298+$AJ298)</f>
        <v/>
      </c>
      <c r="AL298" s="6" t="n"/>
      <c r="AM298" s="6" t="n"/>
      <c r="AN298" s="6" t="n"/>
      <c r="AO298" s="3">
        <f>IF($AN298="","",HYPERLINK(p_ruta_base_checklists&amp;$AN298,"abrir"))</f>
        <v/>
      </c>
      <c r="AP298" s="6" t="n"/>
      <c r="AQ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IF($A299="","",IFERROR(INDEX('AJUSTES'!$B$4:$B$303,MATCH($AQ299,'AJUSTES'!$A$4:$A$303,0)),IF($K299="","",$K299)))</f>
        <v/>
      </c>
      <c r="N299" s="3">
        <f>IF($A299="","",IFERROR(INDEX('CAT_ESTADOS_ERP'!$B$4:$B$7,MATCH(IFERROR(INDEX('2_IMPORTAR_EJECUCION'!$C$9:$C$1208,MATCH($AQ299,'2_IMPORTAR_EJECUCION'!$J$9:$J$1208,0)),""),'CAT_ESTADOS_ERP'!$A$4:$A$7,0)),"Pendiente"))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J299="","",IFERROR(INDEX('CALENDARIO'!$C$15:$C$214,MATCH(TEXT($J299,"yyyy-mm-dd")&amp;"|"&amp;$V299&amp;"|"&amp;$W299,'CALENDARIO'!$G$15:$G$214,0)),IFERROR(INDEX('CALENDARIO'!$C$15:$C$214,MATCH(TEXT($J299,"yyyy-mm-dd")&amp;"|"&amp;$V299&amp;"|",'CALENDARIO'!$G$15:$G$214,0)),IFERROR(INDEX('CALENDARIO'!$C$15:$C$214,MATCH(TEXT($J299,"yyyy-mm-dd")&amp;"||",'CALENDARIO'!$G$15:$G$214,0)),INDEX(patronHabil,WEEKDAY($J299,2))))))</f>
        <v/>
      </c>
      <c r="T299" s="3">
        <f>IF($I299="","",IFERROR(INDEX('CAT_TIPOS_OT'!$C$4:$C$7,MATCH($I299,'CAT_TIPOS_OT'!$A$4:$A$7,0)),"sin_clasificar"))</f>
        <v/>
      </c>
      <c r="U299" s="3">
        <f>IF($F299="","",IFERROR(INDEX('CAT_CENTROS_COSTO'!$F$4:$F$13,MATCH($F299,'CAT_CENTROS_COSTO'!$A$4:$A$13,0)),"(sin catálogo)"))</f>
        <v/>
      </c>
      <c r="V299" s="3">
        <f>IF($F299="","",IFERROR(INDEX('CAT_CENTROS_COSTO'!$D$4:$D$13,MATCH($F299,'CAT_CENTROS_COSTO'!$A$4:$A$13,0)),"(sin catálogo)"))</f>
        <v/>
      </c>
      <c r="W299" s="3">
        <f>IF($F299="","",IF((IFERROR(INDEX('CAT_CENTROS_COSTO'!$E$4:$E$13,MATCH($F299,'CAT_CENTROS_COSTO'!$A$4:$A$13,0)),""))&lt;&gt;"",IFERROR(INDEX('CAT_CENTROS_COSTO'!$E$4:$E$13,MATCH($F299,'CAT_CENTROS_COSTO'!$A$4:$A$13,0)),""),$V299))</f>
        <v/>
      </c>
      <c r="X299" s="3">
        <f>IF($F299="","",IFERROR(INDEX('CAT_CENTROS_COSTO'!$G$4:$G$13,MATCH($F299,'CAT_CENTROS_COSTO'!$A$4:$A$13,0)),"(sin catálogo)"))</f>
        <v/>
      </c>
      <c r="Y299" s="3">
        <f>IF($G299="","",IFERROR(INDEX('CAT_PUESTOS'!$B$4:$B$8,MATCH($G299,'CAT_PUESTOS'!$A$4:$A$8,0)),"(sin catálogo)"))</f>
        <v/>
      </c>
      <c r="Z299" s="3">
        <f>IF($H299="","",IFERROR(INDEX('CAT_ACTIVIDADES'!$B$4:$B$8,MATCH($H299,'CAT_ACTIVIDADES'!$A$4:$A$8,0)),"(sin catálogo)"))</f>
        <v/>
      </c>
      <c r="AA299" s="12">
        <f>IF($J299="","",TODAY()-$J299)</f>
        <v/>
      </c>
      <c r="AB299" s="12">
        <f>IF($J299="","",IF($J299&lt;=TODAY(),COUNTIFS(cal_fechas,"&gt;="&amp;$J299,cal_fechas,"&lt;"&amp;TODAY(),cal_habil,"sí"),-COUNTIFS(cal_fechas,"&gt;="&amp;TODAY(),cal_fechas,"&lt;"&amp;$J299,cal_habil,"sí")))</f>
        <v/>
      </c>
      <c r="AC299" s="3">
        <f>IF($AB299="","",IF($AB299&lt;0,"FUTURO",IF($AB299&gt;p_dias_backlog_max,"BACKLOG","MES CORRIENTE")))</f>
        <v/>
      </c>
      <c r="AD299" s="3">
        <f>IF($AB299="",FALSE,AND($AB299&gt;p_dias_backlog_min,$AB299&lt;=p_dias_backlog_max))</f>
        <v/>
      </c>
      <c r="AE299" s="6" t="n"/>
      <c r="AF299" s="3">
        <f>IF($AE299="","",IF((IFERROR(INDEX('ASIGNACIONES'!$F$4:$F$339,MATCH($O299&amp;"|"&amp;$R299&amp;"|"&amp;$AE299,'ASIGNACIONES'!$J$4:$J$339,0)),""))=0,"",IFERROR(INDEX('ASIGNACIONES'!$F$4:$F$339,MATCH($O299&amp;"|"&amp;$R299&amp;"|"&amp;$AE299,'ASIGNACIONES'!$J$4:$J$339,0)),"")))</f>
        <v/>
      </c>
      <c r="AG299" s="13">
        <f>IF($AE299="","",SUMIFS('ORDENES'!$M$4:$M$1203,'ORDENES'!$AE$4:$AE$1203,$AE299,'ORDENES'!$O$4:$O$1203,$O299,'ORDENES'!$R$4:$R$1203,$R299))</f>
        <v/>
      </c>
      <c r="AH299" s="13">
        <f>IF($AG299="","",p_factor_productividad*IFERROR(INDEX('ASIGNACIONES'!$I$4:$I$339,MATCH($O299&amp;"|"&amp;$R299&amp;"|"&amp;$AE299,'ASIGNACIONES'!$J$4:$J$339,0)),0)-$AG299)</f>
        <v/>
      </c>
      <c r="AI299" s="10">
        <f>IF($A299="","",IFERROR(INDEX('2_IMPORTAR_EJECUCION'!$F$9:$F$1208,MATCH($AQ299,'2_IMPORTAR_EJECUCION'!$J$9:$J$1208,0)),0))</f>
        <v/>
      </c>
      <c r="AJ299" s="10">
        <f>IF($A299="","",MAX(0,IFERROR(INDEX('2_IMPORTAR_EJECUCION'!$H$9:$H$1208,MATCH($AQ299,'2_IMPORTAR_EJECUCION'!$J$9:$J$1208,0)),0)-$AI299))</f>
        <v/>
      </c>
      <c r="AK299" s="10">
        <f>IF($A299="","",$AI299+$AJ299)</f>
        <v/>
      </c>
      <c r="AL299" s="6" t="n"/>
      <c r="AM299" s="6" t="n"/>
      <c r="AN299" s="6" t="n"/>
      <c r="AO299" s="3">
        <f>IF($AN299="","",HYPERLINK(p_ruta_base_checklists&amp;$AN299,"abrir"))</f>
        <v/>
      </c>
      <c r="AP299" s="6" t="n"/>
      <c r="AQ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IF($A300="","",IFERROR(INDEX('AJUSTES'!$B$4:$B$303,MATCH($AQ300,'AJUSTES'!$A$4:$A$303,0)),IF($K300="","",$K300)))</f>
        <v/>
      </c>
      <c r="N300" s="3">
        <f>IF($A300="","",IFERROR(INDEX('CAT_ESTADOS_ERP'!$B$4:$B$7,MATCH(IFERROR(INDEX('2_IMPORTAR_EJECUCION'!$C$9:$C$1208,MATCH($AQ300,'2_IMPORTAR_EJECUCION'!$J$9:$J$1208,0)),""),'CAT_ESTADOS_ERP'!$A$4:$A$7,0)),"Pendiente"))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J300="","",IFERROR(INDEX('CALENDARIO'!$C$15:$C$214,MATCH(TEXT($J300,"yyyy-mm-dd")&amp;"|"&amp;$V300&amp;"|"&amp;$W300,'CALENDARIO'!$G$15:$G$214,0)),IFERROR(INDEX('CALENDARIO'!$C$15:$C$214,MATCH(TEXT($J300,"yyyy-mm-dd")&amp;"|"&amp;$V300&amp;"|",'CALENDARIO'!$G$15:$G$214,0)),IFERROR(INDEX('CALENDARIO'!$C$15:$C$214,MATCH(TEXT($J300,"yyyy-mm-dd")&amp;"||",'CALENDARIO'!$G$15:$G$214,0)),INDEX(patronHabil,WEEKDAY($J300,2))))))</f>
        <v/>
      </c>
      <c r="T300" s="3">
        <f>IF($I300="","",IFERROR(INDEX('CAT_TIPOS_OT'!$C$4:$C$7,MATCH($I300,'CAT_TIPOS_OT'!$A$4:$A$7,0)),"sin_clasificar"))</f>
        <v/>
      </c>
      <c r="U300" s="3">
        <f>IF($F300="","",IFERROR(INDEX('CAT_CENTROS_COSTO'!$F$4:$F$13,MATCH($F300,'CAT_CENTROS_COSTO'!$A$4:$A$13,0)),"(sin catálogo)"))</f>
        <v/>
      </c>
      <c r="V300" s="3">
        <f>IF($F300="","",IFERROR(INDEX('CAT_CENTROS_COSTO'!$D$4:$D$13,MATCH($F300,'CAT_CENTROS_COSTO'!$A$4:$A$13,0)),"(sin catálogo)"))</f>
        <v/>
      </c>
      <c r="W300" s="3">
        <f>IF($F300="","",IF((IFERROR(INDEX('CAT_CENTROS_COSTO'!$E$4:$E$13,MATCH($F300,'CAT_CENTROS_COSTO'!$A$4:$A$13,0)),""))&lt;&gt;"",IFERROR(INDEX('CAT_CENTROS_COSTO'!$E$4:$E$13,MATCH($F300,'CAT_CENTROS_COSTO'!$A$4:$A$13,0)),""),$V300))</f>
        <v/>
      </c>
      <c r="X300" s="3">
        <f>IF($F300="","",IFERROR(INDEX('CAT_CENTROS_COSTO'!$G$4:$G$13,MATCH($F300,'CAT_CENTROS_COSTO'!$A$4:$A$13,0)),"(sin catálogo)"))</f>
        <v/>
      </c>
      <c r="Y300" s="3">
        <f>IF($G300="","",IFERROR(INDEX('CAT_PUESTOS'!$B$4:$B$8,MATCH($G300,'CAT_PUESTOS'!$A$4:$A$8,0)),"(sin catálogo)"))</f>
        <v/>
      </c>
      <c r="Z300" s="3">
        <f>IF($H300="","",IFERROR(INDEX('CAT_ACTIVIDADES'!$B$4:$B$8,MATCH($H300,'CAT_ACTIVIDADES'!$A$4:$A$8,0)),"(sin catálogo)"))</f>
        <v/>
      </c>
      <c r="AA300" s="12">
        <f>IF($J300="","",TODAY()-$J300)</f>
        <v/>
      </c>
      <c r="AB300" s="12">
        <f>IF($J300="","",IF($J300&lt;=TODAY(),COUNTIFS(cal_fechas,"&gt;="&amp;$J300,cal_fechas,"&lt;"&amp;TODAY(),cal_habil,"sí"),-COUNTIFS(cal_fechas,"&gt;="&amp;TODAY(),cal_fechas,"&lt;"&amp;$J300,cal_habil,"sí")))</f>
        <v/>
      </c>
      <c r="AC300" s="3">
        <f>IF($AB300="","",IF($AB300&lt;0,"FUTURO",IF($AB300&gt;p_dias_backlog_max,"BACKLOG","MES CORRIENTE")))</f>
        <v/>
      </c>
      <c r="AD300" s="3">
        <f>IF($AB300="",FALSE,AND($AB300&gt;p_dias_backlog_min,$AB300&lt;=p_dias_backlog_max))</f>
        <v/>
      </c>
      <c r="AE300" s="6" t="n"/>
      <c r="AF300" s="3">
        <f>IF($AE300="","",IF((IFERROR(INDEX('ASIGNACIONES'!$F$4:$F$339,MATCH($O300&amp;"|"&amp;$R300&amp;"|"&amp;$AE300,'ASIGNACIONES'!$J$4:$J$339,0)),""))=0,"",IFERROR(INDEX('ASIGNACIONES'!$F$4:$F$339,MATCH($O300&amp;"|"&amp;$R300&amp;"|"&amp;$AE300,'ASIGNACIONES'!$J$4:$J$339,0)),"")))</f>
        <v/>
      </c>
      <c r="AG300" s="13">
        <f>IF($AE300="","",SUMIFS('ORDENES'!$M$4:$M$1203,'ORDENES'!$AE$4:$AE$1203,$AE300,'ORDENES'!$O$4:$O$1203,$O300,'ORDENES'!$R$4:$R$1203,$R300))</f>
        <v/>
      </c>
      <c r="AH300" s="13">
        <f>IF($AG300="","",p_factor_productividad*IFERROR(INDEX('ASIGNACIONES'!$I$4:$I$339,MATCH($O300&amp;"|"&amp;$R300&amp;"|"&amp;$AE300,'ASIGNACIONES'!$J$4:$J$339,0)),0)-$AG300)</f>
        <v/>
      </c>
      <c r="AI300" s="10">
        <f>IF($A300="","",IFERROR(INDEX('2_IMPORTAR_EJECUCION'!$F$9:$F$1208,MATCH($AQ300,'2_IMPORTAR_EJECUCION'!$J$9:$J$1208,0)),0))</f>
        <v/>
      </c>
      <c r="AJ300" s="10">
        <f>IF($A300="","",MAX(0,IFERROR(INDEX('2_IMPORTAR_EJECUCION'!$H$9:$H$1208,MATCH($AQ300,'2_IMPORTAR_EJECUCION'!$J$9:$J$1208,0)),0)-$AI300))</f>
        <v/>
      </c>
      <c r="AK300" s="10">
        <f>IF($A300="","",$AI300+$AJ300)</f>
        <v/>
      </c>
      <c r="AL300" s="6" t="n"/>
      <c r="AM300" s="6" t="n"/>
      <c r="AN300" s="6" t="n"/>
      <c r="AO300" s="3">
        <f>IF($AN300="","",HYPERLINK(p_ruta_base_checklists&amp;$AN300,"abrir"))</f>
        <v/>
      </c>
      <c r="AP300" s="6" t="n"/>
      <c r="AQ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IF($A301="","",IFERROR(INDEX('AJUSTES'!$B$4:$B$303,MATCH($AQ301,'AJUSTES'!$A$4:$A$303,0)),IF($K301="","",$K301)))</f>
        <v/>
      </c>
      <c r="N301" s="3">
        <f>IF($A301="","",IFERROR(INDEX('CAT_ESTADOS_ERP'!$B$4:$B$7,MATCH(IFERROR(INDEX('2_IMPORTAR_EJECUCION'!$C$9:$C$1208,MATCH($AQ301,'2_IMPORTAR_EJECUCION'!$J$9:$J$1208,0)),""),'CAT_ESTADOS_ERP'!$A$4:$A$7,0)),"Pendiente"))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J301="","",IFERROR(INDEX('CALENDARIO'!$C$15:$C$214,MATCH(TEXT($J301,"yyyy-mm-dd")&amp;"|"&amp;$V301&amp;"|"&amp;$W301,'CALENDARIO'!$G$15:$G$214,0)),IFERROR(INDEX('CALENDARIO'!$C$15:$C$214,MATCH(TEXT($J301,"yyyy-mm-dd")&amp;"|"&amp;$V301&amp;"|",'CALENDARIO'!$G$15:$G$214,0)),IFERROR(INDEX('CALENDARIO'!$C$15:$C$214,MATCH(TEXT($J301,"yyyy-mm-dd")&amp;"||",'CALENDARIO'!$G$15:$G$214,0)),INDEX(patronHabil,WEEKDAY($J301,2))))))</f>
        <v/>
      </c>
      <c r="T301" s="3">
        <f>IF($I301="","",IFERROR(INDEX('CAT_TIPOS_OT'!$C$4:$C$7,MATCH($I301,'CAT_TIPOS_OT'!$A$4:$A$7,0)),"sin_clasificar"))</f>
        <v/>
      </c>
      <c r="U301" s="3">
        <f>IF($F301="","",IFERROR(INDEX('CAT_CENTROS_COSTO'!$F$4:$F$13,MATCH($F301,'CAT_CENTROS_COSTO'!$A$4:$A$13,0)),"(sin catálogo)"))</f>
        <v/>
      </c>
      <c r="V301" s="3">
        <f>IF($F301="","",IFERROR(INDEX('CAT_CENTROS_COSTO'!$D$4:$D$13,MATCH($F301,'CAT_CENTROS_COSTO'!$A$4:$A$13,0)),"(sin catálogo)"))</f>
        <v/>
      </c>
      <c r="W301" s="3">
        <f>IF($F301="","",IF((IFERROR(INDEX('CAT_CENTROS_COSTO'!$E$4:$E$13,MATCH($F301,'CAT_CENTROS_COSTO'!$A$4:$A$13,0)),""))&lt;&gt;"",IFERROR(INDEX('CAT_CENTROS_COSTO'!$E$4:$E$13,MATCH($F301,'CAT_CENTROS_COSTO'!$A$4:$A$13,0)),""),$V301))</f>
        <v/>
      </c>
      <c r="X301" s="3">
        <f>IF($F301="","",IFERROR(INDEX('CAT_CENTROS_COSTO'!$G$4:$G$13,MATCH($F301,'CAT_CENTROS_COSTO'!$A$4:$A$13,0)),"(sin catálogo)"))</f>
        <v/>
      </c>
      <c r="Y301" s="3">
        <f>IF($G301="","",IFERROR(INDEX('CAT_PUESTOS'!$B$4:$B$8,MATCH($G301,'CAT_PUESTOS'!$A$4:$A$8,0)),"(sin catálogo)"))</f>
        <v/>
      </c>
      <c r="Z301" s="3">
        <f>IF($H301="","",IFERROR(INDEX('CAT_ACTIVIDADES'!$B$4:$B$8,MATCH($H301,'CAT_ACTIVIDADES'!$A$4:$A$8,0)),"(sin catálogo)"))</f>
        <v/>
      </c>
      <c r="AA301" s="12">
        <f>IF($J301="","",TODAY()-$J301)</f>
        <v/>
      </c>
      <c r="AB301" s="12">
        <f>IF($J301="","",IF($J301&lt;=TODAY(),COUNTIFS(cal_fechas,"&gt;="&amp;$J301,cal_fechas,"&lt;"&amp;TODAY(),cal_habil,"sí"),-COUNTIFS(cal_fechas,"&gt;="&amp;TODAY(),cal_fechas,"&lt;"&amp;$J301,cal_habil,"sí")))</f>
        <v/>
      </c>
      <c r="AC301" s="3">
        <f>IF($AB301="","",IF($AB301&lt;0,"FUTURO",IF($AB301&gt;p_dias_backlog_max,"BACKLOG","MES CORRIENTE")))</f>
        <v/>
      </c>
      <c r="AD301" s="3">
        <f>IF($AB301="",FALSE,AND($AB301&gt;p_dias_backlog_min,$AB301&lt;=p_dias_backlog_max))</f>
        <v/>
      </c>
      <c r="AE301" s="6" t="n"/>
      <c r="AF301" s="3">
        <f>IF($AE301="","",IF((IFERROR(INDEX('ASIGNACIONES'!$F$4:$F$339,MATCH($O301&amp;"|"&amp;$R301&amp;"|"&amp;$AE301,'ASIGNACIONES'!$J$4:$J$339,0)),""))=0,"",IFERROR(INDEX('ASIGNACIONES'!$F$4:$F$339,MATCH($O301&amp;"|"&amp;$R301&amp;"|"&amp;$AE301,'ASIGNACIONES'!$J$4:$J$339,0)),"")))</f>
        <v/>
      </c>
      <c r="AG301" s="13">
        <f>IF($AE301="","",SUMIFS('ORDENES'!$M$4:$M$1203,'ORDENES'!$AE$4:$AE$1203,$AE301,'ORDENES'!$O$4:$O$1203,$O301,'ORDENES'!$R$4:$R$1203,$R301))</f>
        <v/>
      </c>
      <c r="AH301" s="13">
        <f>IF($AG301="","",p_factor_productividad*IFERROR(INDEX('ASIGNACIONES'!$I$4:$I$339,MATCH($O301&amp;"|"&amp;$R301&amp;"|"&amp;$AE301,'ASIGNACIONES'!$J$4:$J$339,0)),0)-$AG301)</f>
        <v/>
      </c>
      <c r="AI301" s="10">
        <f>IF($A301="","",IFERROR(INDEX('2_IMPORTAR_EJECUCION'!$F$9:$F$1208,MATCH($AQ301,'2_IMPORTAR_EJECUCION'!$J$9:$J$1208,0)),0))</f>
        <v/>
      </c>
      <c r="AJ301" s="10">
        <f>IF($A301="","",MAX(0,IFERROR(INDEX('2_IMPORTAR_EJECUCION'!$H$9:$H$1208,MATCH($AQ301,'2_IMPORTAR_EJECUCION'!$J$9:$J$1208,0)),0)-$AI301))</f>
        <v/>
      </c>
      <c r="AK301" s="10">
        <f>IF($A301="","",$AI301+$AJ301)</f>
        <v/>
      </c>
      <c r="AL301" s="6" t="n"/>
      <c r="AM301" s="6" t="n"/>
      <c r="AN301" s="6" t="n"/>
      <c r="AO301" s="3">
        <f>IF($AN301="","",HYPERLINK(p_ruta_base_checklists&amp;$AN301,"abrir"))</f>
        <v/>
      </c>
      <c r="AP301" s="6" t="n"/>
      <c r="AQ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IF($A302="","",IFERROR(INDEX('AJUSTES'!$B$4:$B$303,MATCH($AQ302,'AJUSTES'!$A$4:$A$303,0)),IF($K302="","",$K302)))</f>
        <v/>
      </c>
      <c r="N302" s="3">
        <f>IF($A302="","",IFERROR(INDEX('CAT_ESTADOS_ERP'!$B$4:$B$7,MATCH(IFERROR(INDEX('2_IMPORTAR_EJECUCION'!$C$9:$C$1208,MATCH($AQ302,'2_IMPORTAR_EJECUCION'!$J$9:$J$1208,0)),""),'CAT_ESTADOS_ERP'!$A$4:$A$7,0)),"Pendiente"))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J302="","",IFERROR(INDEX('CALENDARIO'!$C$15:$C$214,MATCH(TEXT($J302,"yyyy-mm-dd")&amp;"|"&amp;$V302&amp;"|"&amp;$W302,'CALENDARIO'!$G$15:$G$214,0)),IFERROR(INDEX('CALENDARIO'!$C$15:$C$214,MATCH(TEXT($J302,"yyyy-mm-dd")&amp;"|"&amp;$V302&amp;"|",'CALENDARIO'!$G$15:$G$214,0)),IFERROR(INDEX('CALENDARIO'!$C$15:$C$214,MATCH(TEXT($J302,"yyyy-mm-dd")&amp;"||",'CALENDARIO'!$G$15:$G$214,0)),INDEX(patronHabil,WEEKDAY($J302,2))))))</f>
        <v/>
      </c>
      <c r="T302" s="3">
        <f>IF($I302="","",IFERROR(INDEX('CAT_TIPOS_OT'!$C$4:$C$7,MATCH($I302,'CAT_TIPOS_OT'!$A$4:$A$7,0)),"sin_clasificar"))</f>
        <v/>
      </c>
      <c r="U302" s="3">
        <f>IF($F302="","",IFERROR(INDEX('CAT_CENTROS_COSTO'!$F$4:$F$13,MATCH($F302,'CAT_CENTROS_COSTO'!$A$4:$A$13,0)),"(sin catálogo)"))</f>
        <v/>
      </c>
      <c r="V302" s="3">
        <f>IF($F302="","",IFERROR(INDEX('CAT_CENTROS_COSTO'!$D$4:$D$13,MATCH($F302,'CAT_CENTROS_COSTO'!$A$4:$A$13,0)),"(sin catálogo)"))</f>
        <v/>
      </c>
      <c r="W302" s="3">
        <f>IF($F302="","",IF((IFERROR(INDEX('CAT_CENTROS_COSTO'!$E$4:$E$13,MATCH($F302,'CAT_CENTROS_COSTO'!$A$4:$A$13,0)),""))&lt;&gt;"",IFERROR(INDEX('CAT_CENTROS_COSTO'!$E$4:$E$13,MATCH($F302,'CAT_CENTROS_COSTO'!$A$4:$A$13,0)),""),$V302))</f>
        <v/>
      </c>
      <c r="X302" s="3">
        <f>IF($F302="","",IFERROR(INDEX('CAT_CENTROS_COSTO'!$G$4:$G$13,MATCH($F302,'CAT_CENTROS_COSTO'!$A$4:$A$13,0)),"(sin catálogo)"))</f>
        <v/>
      </c>
      <c r="Y302" s="3">
        <f>IF($G302="","",IFERROR(INDEX('CAT_PUESTOS'!$B$4:$B$8,MATCH($G302,'CAT_PUESTOS'!$A$4:$A$8,0)),"(sin catálogo)"))</f>
        <v/>
      </c>
      <c r="Z302" s="3">
        <f>IF($H302="","",IFERROR(INDEX('CAT_ACTIVIDADES'!$B$4:$B$8,MATCH($H302,'CAT_ACTIVIDADES'!$A$4:$A$8,0)),"(sin catálogo)"))</f>
        <v/>
      </c>
      <c r="AA302" s="12">
        <f>IF($J302="","",TODAY()-$J302)</f>
        <v/>
      </c>
      <c r="AB302" s="12">
        <f>IF($J302="","",IF($J302&lt;=TODAY(),COUNTIFS(cal_fechas,"&gt;="&amp;$J302,cal_fechas,"&lt;"&amp;TODAY(),cal_habil,"sí"),-COUNTIFS(cal_fechas,"&gt;="&amp;TODAY(),cal_fechas,"&lt;"&amp;$J302,cal_habil,"sí")))</f>
        <v/>
      </c>
      <c r="AC302" s="3">
        <f>IF($AB302="","",IF($AB302&lt;0,"FUTURO",IF($AB302&gt;p_dias_backlog_max,"BACKLOG","MES CORRIENTE")))</f>
        <v/>
      </c>
      <c r="AD302" s="3">
        <f>IF($AB302="",FALSE,AND($AB302&gt;p_dias_backlog_min,$AB302&lt;=p_dias_backlog_max))</f>
        <v/>
      </c>
      <c r="AE302" s="6" t="n"/>
      <c r="AF302" s="3">
        <f>IF($AE302="","",IF((IFERROR(INDEX('ASIGNACIONES'!$F$4:$F$339,MATCH($O302&amp;"|"&amp;$R302&amp;"|"&amp;$AE302,'ASIGNACIONES'!$J$4:$J$339,0)),""))=0,"",IFERROR(INDEX('ASIGNACIONES'!$F$4:$F$339,MATCH($O302&amp;"|"&amp;$R302&amp;"|"&amp;$AE302,'ASIGNACIONES'!$J$4:$J$339,0)),"")))</f>
        <v/>
      </c>
      <c r="AG302" s="13">
        <f>IF($AE302="","",SUMIFS('ORDENES'!$M$4:$M$1203,'ORDENES'!$AE$4:$AE$1203,$AE302,'ORDENES'!$O$4:$O$1203,$O302,'ORDENES'!$R$4:$R$1203,$R302))</f>
        <v/>
      </c>
      <c r="AH302" s="13">
        <f>IF($AG302="","",p_factor_productividad*IFERROR(INDEX('ASIGNACIONES'!$I$4:$I$339,MATCH($O302&amp;"|"&amp;$R302&amp;"|"&amp;$AE302,'ASIGNACIONES'!$J$4:$J$339,0)),0)-$AG302)</f>
        <v/>
      </c>
      <c r="AI302" s="10">
        <f>IF($A302="","",IFERROR(INDEX('2_IMPORTAR_EJECUCION'!$F$9:$F$1208,MATCH($AQ302,'2_IMPORTAR_EJECUCION'!$J$9:$J$1208,0)),0))</f>
        <v/>
      </c>
      <c r="AJ302" s="10">
        <f>IF($A302="","",MAX(0,IFERROR(INDEX('2_IMPORTAR_EJECUCION'!$H$9:$H$1208,MATCH($AQ302,'2_IMPORTAR_EJECUCION'!$J$9:$J$1208,0)),0)-$AI302))</f>
        <v/>
      </c>
      <c r="AK302" s="10">
        <f>IF($A302="","",$AI302+$AJ302)</f>
        <v/>
      </c>
      <c r="AL302" s="6" t="n"/>
      <c r="AM302" s="6" t="n"/>
      <c r="AN302" s="6" t="n"/>
      <c r="AO302" s="3">
        <f>IF($AN302="","",HYPERLINK(p_ruta_base_checklists&amp;$AN302,"abrir"))</f>
        <v/>
      </c>
      <c r="AP302" s="6" t="n"/>
      <c r="AQ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IF($A303="","",IFERROR(INDEX('AJUSTES'!$B$4:$B$303,MATCH($AQ303,'AJUSTES'!$A$4:$A$303,0)),IF($K303="","",$K303)))</f>
        <v/>
      </c>
      <c r="N303" s="3">
        <f>IF($A303="","",IFERROR(INDEX('CAT_ESTADOS_ERP'!$B$4:$B$7,MATCH(IFERROR(INDEX('2_IMPORTAR_EJECUCION'!$C$9:$C$1208,MATCH($AQ303,'2_IMPORTAR_EJECUCION'!$J$9:$J$1208,0)),""),'CAT_ESTADOS_ERP'!$A$4:$A$7,0)),"Pendiente"))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J303="","",IFERROR(INDEX('CALENDARIO'!$C$15:$C$214,MATCH(TEXT($J303,"yyyy-mm-dd")&amp;"|"&amp;$V303&amp;"|"&amp;$W303,'CALENDARIO'!$G$15:$G$214,0)),IFERROR(INDEX('CALENDARIO'!$C$15:$C$214,MATCH(TEXT($J303,"yyyy-mm-dd")&amp;"|"&amp;$V303&amp;"|",'CALENDARIO'!$G$15:$G$214,0)),IFERROR(INDEX('CALENDARIO'!$C$15:$C$214,MATCH(TEXT($J303,"yyyy-mm-dd")&amp;"||",'CALENDARIO'!$G$15:$G$214,0)),INDEX(patronHabil,WEEKDAY($J303,2))))))</f>
        <v/>
      </c>
      <c r="T303" s="3">
        <f>IF($I303="","",IFERROR(INDEX('CAT_TIPOS_OT'!$C$4:$C$7,MATCH($I303,'CAT_TIPOS_OT'!$A$4:$A$7,0)),"sin_clasificar"))</f>
        <v/>
      </c>
      <c r="U303" s="3">
        <f>IF($F303="","",IFERROR(INDEX('CAT_CENTROS_COSTO'!$F$4:$F$13,MATCH($F303,'CAT_CENTROS_COSTO'!$A$4:$A$13,0)),"(sin catálogo)"))</f>
        <v/>
      </c>
      <c r="V303" s="3">
        <f>IF($F303="","",IFERROR(INDEX('CAT_CENTROS_COSTO'!$D$4:$D$13,MATCH($F303,'CAT_CENTROS_COSTO'!$A$4:$A$13,0)),"(sin catálogo)"))</f>
        <v/>
      </c>
      <c r="W303" s="3">
        <f>IF($F303="","",IF((IFERROR(INDEX('CAT_CENTROS_COSTO'!$E$4:$E$13,MATCH($F303,'CAT_CENTROS_COSTO'!$A$4:$A$13,0)),""))&lt;&gt;"",IFERROR(INDEX('CAT_CENTROS_COSTO'!$E$4:$E$13,MATCH($F303,'CAT_CENTROS_COSTO'!$A$4:$A$13,0)),""),$V303))</f>
        <v/>
      </c>
      <c r="X303" s="3">
        <f>IF($F303="","",IFERROR(INDEX('CAT_CENTROS_COSTO'!$G$4:$G$13,MATCH($F303,'CAT_CENTROS_COSTO'!$A$4:$A$13,0)),"(sin catálogo)"))</f>
        <v/>
      </c>
      <c r="Y303" s="3">
        <f>IF($G303="","",IFERROR(INDEX('CAT_PUESTOS'!$B$4:$B$8,MATCH($G303,'CAT_PUESTOS'!$A$4:$A$8,0)),"(sin catálogo)"))</f>
        <v/>
      </c>
      <c r="Z303" s="3">
        <f>IF($H303="","",IFERROR(INDEX('CAT_ACTIVIDADES'!$B$4:$B$8,MATCH($H303,'CAT_ACTIVIDADES'!$A$4:$A$8,0)),"(sin catálogo)"))</f>
        <v/>
      </c>
      <c r="AA303" s="12">
        <f>IF($J303="","",TODAY()-$J303)</f>
        <v/>
      </c>
      <c r="AB303" s="12">
        <f>IF($J303="","",IF($J303&lt;=TODAY(),COUNTIFS(cal_fechas,"&gt;="&amp;$J303,cal_fechas,"&lt;"&amp;TODAY(),cal_habil,"sí"),-COUNTIFS(cal_fechas,"&gt;="&amp;TODAY(),cal_fechas,"&lt;"&amp;$J303,cal_habil,"sí")))</f>
        <v/>
      </c>
      <c r="AC303" s="3">
        <f>IF($AB303="","",IF($AB303&lt;0,"FUTURO",IF($AB303&gt;p_dias_backlog_max,"BACKLOG","MES CORRIENTE")))</f>
        <v/>
      </c>
      <c r="AD303" s="3">
        <f>IF($AB303="",FALSE,AND($AB303&gt;p_dias_backlog_min,$AB303&lt;=p_dias_backlog_max))</f>
        <v/>
      </c>
      <c r="AE303" s="6" t="n"/>
      <c r="AF303" s="3">
        <f>IF($AE303="","",IF((IFERROR(INDEX('ASIGNACIONES'!$F$4:$F$339,MATCH($O303&amp;"|"&amp;$R303&amp;"|"&amp;$AE303,'ASIGNACIONES'!$J$4:$J$339,0)),""))=0,"",IFERROR(INDEX('ASIGNACIONES'!$F$4:$F$339,MATCH($O303&amp;"|"&amp;$R303&amp;"|"&amp;$AE303,'ASIGNACIONES'!$J$4:$J$339,0)),"")))</f>
        <v/>
      </c>
      <c r="AG303" s="13">
        <f>IF($AE303="","",SUMIFS('ORDENES'!$M$4:$M$1203,'ORDENES'!$AE$4:$AE$1203,$AE303,'ORDENES'!$O$4:$O$1203,$O303,'ORDENES'!$R$4:$R$1203,$R303))</f>
        <v/>
      </c>
      <c r="AH303" s="13">
        <f>IF($AG303="","",p_factor_productividad*IFERROR(INDEX('ASIGNACIONES'!$I$4:$I$339,MATCH($O303&amp;"|"&amp;$R303&amp;"|"&amp;$AE303,'ASIGNACIONES'!$J$4:$J$339,0)),0)-$AG303)</f>
        <v/>
      </c>
      <c r="AI303" s="10">
        <f>IF($A303="","",IFERROR(INDEX('2_IMPORTAR_EJECUCION'!$F$9:$F$1208,MATCH($AQ303,'2_IMPORTAR_EJECUCION'!$J$9:$J$1208,0)),0))</f>
        <v/>
      </c>
      <c r="AJ303" s="10">
        <f>IF($A303="","",MAX(0,IFERROR(INDEX('2_IMPORTAR_EJECUCION'!$H$9:$H$1208,MATCH($AQ303,'2_IMPORTAR_EJECUCION'!$J$9:$J$1208,0)),0)-$AI303))</f>
        <v/>
      </c>
      <c r="AK303" s="10">
        <f>IF($A303="","",$AI303+$AJ303)</f>
        <v/>
      </c>
      <c r="AL303" s="6" t="n"/>
      <c r="AM303" s="6" t="n"/>
      <c r="AN303" s="6" t="n"/>
      <c r="AO303" s="3">
        <f>IF($AN303="","",HYPERLINK(p_ruta_base_checklists&amp;$AN303,"abrir"))</f>
        <v/>
      </c>
      <c r="AP303" s="6" t="n"/>
      <c r="AQ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IF($A304="","",IFERROR(INDEX('AJUSTES'!$B$4:$B$303,MATCH($AQ304,'AJUSTES'!$A$4:$A$303,0)),IF($K304="","",$K304)))</f>
        <v/>
      </c>
      <c r="N304" s="3">
        <f>IF($A304="","",IFERROR(INDEX('CAT_ESTADOS_ERP'!$B$4:$B$7,MATCH(IFERROR(INDEX('2_IMPORTAR_EJECUCION'!$C$9:$C$1208,MATCH($AQ304,'2_IMPORTAR_EJECUCION'!$J$9:$J$1208,0)),""),'CAT_ESTADOS_ERP'!$A$4:$A$7,0)),"Pendiente"))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J304="","",IFERROR(INDEX('CALENDARIO'!$C$15:$C$214,MATCH(TEXT($J304,"yyyy-mm-dd")&amp;"|"&amp;$V304&amp;"|"&amp;$W304,'CALENDARIO'!$G$15:$G$214,0)),IFERROR(INDEX('CALENDARIO'!$C$15:$C$214,MATCH(TEXT($J304,"yyyy-mm-dd")&amp;"|"&amp;$V304&amp;"|",'CALENDARIO'!$G$15:$G$214,0)),IFERROR(INDEX('CALENDARIO'!$C$15:$C$214,MATCH(TEXT($J304,"yyyy-mm-dd")&amp;"||",'CALENDARIO'!$G$15:$G$214,0)),INDEX(patronHabil,WEEKDAY($J304,2))))))</f>
        <v/>
      </c>
      <c r="T304" s="3">
        <f>IF($I304="","",IFERROR(INDEX('CAT_TIPOS_OT'!$C$4:$C$7,MATCH($I304,'CAT_TIPOS_OT'!$A$4:$A$7,0)),"sin_clasificar"))</f>
        <v/>
      </c>
      <c r="U304" s="3">
        <f>IF($F304="","",IFERROR(INDEX('CAT_CENTROS_COSTO'!$F$4:$F$13,MATCH($F304,'CAT_CENTROS_COSTO'!$A$4:$A$13,0)),"(sin catálogo)"))</f>
        <v/>
      </c>
      <c r="V304" s="3">
        <f>IF($F304="","",IFERROR(INDEX('CAT_CENTROS_COSTO'!$D$4:$D$13,MATCH($F304,'CAT_CENTROS_COSTO'!$A$4:$A$13,0)),"(sin catálogo)"))</f>
        <v/>
      </c>
      <c r="W304" s="3">
        <f>IF($F304="","",IF((IFERROR(INDEX('CAT_CENTROS_COSTO'!$E$4:$E$13,MATCH($F304,'CAT_CENTROS_COSTO'!$A$4:$A$13,0)),""))&lt;&gt;"",IFERROR(INDEX('CAT_CENTROS_COSTO'!$E$4:$E$13,MATCH($F304,'CAT_CENTROS_COSTO'!$A$4:$A$13,0)),""),$V304))</f>
        <v/>
      </c>
      <c r="X304" s="3">
        <f>IF($F304="","",IFERROR(INDEX('CAT_CENTROS_COSTO'!$G$4:$G$13,MATCH($F304,'CAT_CENTROS_COSTO'!$A$4:$A$13,0)),"(sin catálogo)"))</f>
        <v/>
      </c>
      <c r="Y304" s="3">
        <f>IF($G304="","",IFERROR(INDEX('CAT_PUESTOS'!$B$4:$B$8,MATCH($G304,'CAT_PUESTOS'!$A$4:$A$8,0)),"(sin catálogo)"))</f>
        <v/>
      </c>
      <c r="Z304" s="3">
        <f>IF($H304="","",IFERROR(INDEX('CAT_ACTIVIDADES'!$B$4:$B$8,MATCH($H304,'CAT_ACTIVIDADES'!$A$4:$A$8,0)),"(sin catálogo)"))</f>
        <v/>
      </c>
      <c r="AA304" s="12">
        <f>IF($J304="","",TODAY()-$J304)</f>
        <v/>
      </c>
      <c r="AB304" s="12">
        <f>IF($J304="","",IF($J304&lt;=TODAY(),COUNTIFS(cal_fechas,"&gt;="&amp;$J304,cal_fechas,"&lt;"&amp;TODAY(),cal_habil,"sí"),-COUNTIFS(cal_fechas,"&gt;="&amp;TODAY(),cal_fechas,"&lt;"&amp;$J304,cal_habil,"sí")))</f>
        <v/>
      </c>
      <c r="AC304" s="3">
        <f>IF($AB304="","",IF($AB304&lt;0,"FUTURO",IF($AB304&gt;p_dias_backlog_max,"BACKLOG","MES CORRIENTE")))</f>
        <v/>
      </c>
      <c r="AD304" s="3">
        <f>IF($AB304="",FALSE,AND($AB304&gt;p_dias_backlog_min,$AB304&lt;=p_dias_backlog_max))</f>
        <v/>
      </c>
      <c r="AE304" s="6" t="n"/>
      <c r="AF304" s="3">
        <f>IF($AE304="","",IF((IFERROR(INDEX('ASIGNACIONES'!$F$4:$F$339,MATCH($O304&amp;"|"&amp;$R304&amp;"|"&amp;$AE304,'ASIGNACIONES'!$J$4:$J$339,0)),""))=0,"",IFERROR(INDEX('ASIGNACIONES'!$F$4:$F$339,MATCH($O304&amp;"|"&amp;$R304&amp;"|"&amp;$AE304,'ASIGNACIONES'!$J$4:$J$339,0)),"")))</f>
        <v/>
      </c>
      <c r="AG304" s="13">
        <f>IF($AE304="","",SUMIFS('ORDENES'!$M$4:$M$1203,'ORDENES'!$AE$4:$AE$1203,$AE304,'ORDENES'!$O$4:$O$1203,$O304,'ORDENES'!$R$4:$R$1203,$R304))</f>
        <v/>
      </c>
      <c r="AH304" s="13">
        <f>IF($AG304="","",p_factor_productividad*IFERROR(INDEX('ASIGNACIONES'!$I$4:$I$339,MATCH($O304&amp;"|"&amp;$R304&amp;"|"&amp;$AE304,'ASIGNACIONES'!$J$4:$J$339,0)),0)-$AG304)</f>
        <v/>
      </c>
      <c r="AI304" s="10">
        <f>IF($A304="","",IFERROR(INDEX('2_IMPORTAR_EJECUCION'!$F$9:$F$1208,MATCH($AQ304,'2_IMPORTAR_EJECUCION'!$J$9:$J$1208,0)),0))</f>
        <v/>
      </c>
      <c r="AJ304" s="10">
        <f>IF($A304="","",MAX(0,IFERROR(INDEX('2_IMPORTAR_EJECUCION'!$H$9:$H$1208,MATCH($AQ304,'2_IMPORTAR_EJECUCION'!$J$9:$J$1208,0)),0)-$AI304))</f>
        <v/>
      </c>
      <c r="AK304" s="10">
        <f>IF($A304="","",$AI304+$AJ304)</f>
        <v/>
      </c>
      <c r="AL304" s="6" t="n"/>
      <c r="AM304" s="6" t="n"/>
      <c r="AN304" s="6" t="n"/>
      <c r="AO304" s="3">
        <f>IF($AN304="","",HYPERLINK(p_ruta_base_checklists&amp;$AN304,"abrir"))</f>
        <v/>
      </c>
      <c r="AP304" s="6" t="n"/>
      <c r="AQ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IF($A305="","",IFERROR(INDEX('AJUSTES'!$B$4:$B$303,MATCH($AQ305,'AJUSTES'!$A$4:$A$303,0)),IF($K305="","",$K305)))</f>
        <v/>
      </c>
      <c r="N305" s="3">
        <f>IF($A305="","",IFERROR(INDEX('CAT_ESTADOS_ERP'!$B$4:$B$7,MATCH(IFERROR(INDEX('2_IMPORTAR_EJECUCION'!$C$9:$C$1208,MATCH($AQ305,'2_IMPORTAR_EJECUCION'!$J$9:$J$1208,0)),""),'CAT_ESTADOS_ERP'!$A$4:$A$7,0)),"Pendiente"))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J305="","",IFERROR(INDEX('CALENDARIO'!$C$15:$C$214,MATCH(TEXT($J305,"yyyy-mm-dd")&amp;"|"&amp;$V305&amp;"|"&amp;$W305,'CALENDARIO'!$G$15:$G$214,0)),IFERROR(INDEX('CALENDARIO'!$C$15:$C$214,MATCH(TEXT($J305,"yyyy-mm-dd")&amp;"|"&amp;$V305&amp;"|",'CALENDARIO'!$G$15:$G$214,0)),IFERROR(INDEX('CALENDARIO'!$C$15:$C$214,MATCH(TEXT($J305,"yyyy-mm-dd")&amp;"||",'CALENDARIO'!$G$15:$G$214,0)),INDEX(patronHabil,WEEKDAY($J305,2))))))</f>
        <v/>
      </c>
      <c r="T305" s="3">
        <f>IF($I305="","",IFERROR(INDEX('CAT_TIPOS_OT'!$C$4:$C$7,MATCH($I305,'CAT_TIPOS_OT'!$A$4:$A$7,0)),"sin_clasificar"))</f>
        <v/>
      </c>
      <c r="U305" s="3">
        <f>IF($F305="","",IFERROR(INDEX('CAT_CENTROS_COSTO'!$F$4:$F$13,MATCH($F305,'CAT_CENTROS_COSTO'!$A$4:$A$13,0)),"(sin catálogo)"))</f>
        <v/>
      </c>
      <c r="V305" s="3">
        <f>IF($F305="","",IFERROR(INDEX('CAT_CENTROS_COSTO'!$D$4:$D$13,MATCH($F305,'CAT_CENTROS_COSTO'!$A$4:$A$13,0)),"(sin catálogo)"))</f>
        <v/>
      </c>
      <c r="W305" s="3">
        <f>IF($F305="","",IF((IFERROR(INDEX('CAT_CENTROS_COSTO'!$E$4:$E$13,MATCH($F305,'CAT_CENTROS_COSTO'!$A$4:$A$13,0)),""))&lt;&gt;"",IFERROR(INDEX('CAT_CENTROS_COSTO'!$E$4:$E$13,MATCH($F305,'CAT_CENTROS_COSTO'!$A$4:$A$13,0)),""),$V305))</f>
        <v/>
      </c>
      <c r="X305" s="3">
        <f>IF($F305="","",IFERROR(INDEX('CAT_CENTROS_COSTO'!$G$4:$G$13,MATCH($F305,'CAT_CENTROS_COSTO'!$A$4:$A$13,0)),"(sin catálogo)"))</f>
        <v/>
      </c>
      <c r="Y305" s="3">
        <f>IF($G305="","",IFERROR(INDEX('CAT_PUESTOS'!$B$4:$B$8,MATCH($G305,'CAT_PUESTOS'!$A$4:$A$8,0)),"(sin catálogo)"))</f>
        <v/>
      </c>
      <c r="Z305" s="3">
        <f>IF($H305="","",IFERROR(INDEX('CAT_ACTIVIDADES'!$B$4:$B$8,MATCH($H305,'CAT_ACTIVIDADES'!$A$4:$A$8,0)),"(sin catálogo)"))</f>
        <v/>
      </c>
      <c r="AA305" s="12">
        <f>IF($J305="","",TODAY()-$J305)</f>
        <v/>
      </c>
      <c r="AB305" s="12">
        <f>IF($J305="","",IF($J305&lt;=TODAY(),COUNTIFS(cal_fechas,"&gt;="&amp;$J305,cal_fechas,"&lt;"&amp;TODAY(),cal_habil,"sí"),-COUNTIFS(cal_fechas,"&gt;="&amp;TODAY(),cal_fechas,"&lt;"&amp;$J305,cal_habil,"sí")))</f>
        <v/>
      </c>
      <c r="AC305" s="3">
        <f>IF($AB305="","",IF($AB305&lt;0,"FUTURO",IF($AB305&gt;p_dias_backlog_max,"BACKLOG","MES CORRIENTE")))</f>
        <v/>
      </c>
      <c r="AD305" s="3">
        <f>IF($AB305="",FALSE,AND($AB305&gt;p_dias_backlog_min,$AB305&lt;=p_dias_backlog_max))</f>
        <v/>
      </c>
      <c r="AE305" s="6" t="n"/>
      <c r="AF305" s="3">
        <f>IF($AE305="","",IF((IFERROR(INDEX('ASIGNACIONES'!$F$4:$F$339,MATCH($O305&amp;"|"&amp;$R305&amp;"|"&amp;$AE305,'ASIGNACIONES'!$J$4:$J$339,0)),""))=0,"",IFERROR(INDEX('ASIGNACIONES'!$F$4:$F$339,MATCH($O305&amp;"|"&amp;$R305&amp;"|"&amp;$AE305,'ASIGNACIONES'!$J$4:$J$339,0)),"")))</f>
        <v/>
      </c>
      <c r="AG305" s="13">
        <f>IF($AE305="","",SUMIFS('ORDENES'!$M$4:$M$1203,'ORDENES'!$AE$4:$AE$1203,$AE305,'ORDENES'!$O$4:$O$1203,$O305,'ORDENES'!$R$4:$R$1203,$R305))</f>
        <v/>
      </c>
      <c r="AH305" s="13">
        <f>IF($AG305="","",p_factor_productividad*IFERROR(INDEX('ASIGNACIONES'!$I$4:$I$339,MATCH($O305&amp;"|"&amp;$R305&amp;"|"&amp;$AE305,'ASIGNACIONES'!$J$4:$J$339,0)),0)-$AG305)</f>
        <v/>
      </c>
      <c r="AI305" s="10">
        <f>IF($A305="","",IFERROR(INDEX('2_IMPORTAR_EJECUCION'!$F$9:$F$1208,MATCH($AQ305,'2_IMPORTAR_EJECUCION'!$J$9:$J$1208,0)),0))</f>
        <v/>
      </c>
      <c r="AJ305" s="10">
        <f>IF($A305="","",MAX(0,IFERROR(INDEX('2_IMPORTAR_EJECUCION'!$H$9:$H$1208,MATCH($AQ305,'2_IMPORTAR_EJECUCION'!$J$9:$J$1208,0)),0)-$AI305))</f>
        <v/>
      </c>
      <c r="AK305" s="10">
        <f>IF($A305="","",$AI305+$AJ305)</f>
        <v/>
      </c>
      <c r="AL305" s="6" t="n"/>
      <c r="AM305" s="6" t="n"/>
      <c r="AN305" s="6" t="n"/>
      <c r="AO305" s="3">
        <f>IF($AN305="","",HYPERLINK(p_ruta_base_checklists&amp;$AN305,"abrir"))</f>
        <v/>
      </c>
      <c r="AP305" s="6" t="n"/>
      <c r="AQ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IF($A306="","",IFERROR(INDEX('AJUSTES'!$B$4:$B$303,MATCH($AQ306,'AJUSTES'!$A$4:$A$303,0)),IF($K306="","",$K306)))</f>
        <v/>
      </c>
      <c r="N306" s="3">
        <f>IF($A306="","",IFERROR(INDEX('CAT_ESTADOS_ERP'!$B$4:$B$7,MATCH(IFERROR(INDEX('2_IMPORTAR_EJECUCION'!$C$9:$C$1208,MATCH($AQ306,'2_IMPORTAR_EJECUCION'!$J$9:$J$1208,0)),""),'CAT_ESTADOS_ERP'!$A$4:$A$7,0)),"Pendiente"))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J306="","",IFERROR(INDEX('CALENDARIO'!$C$15:$C$214,MATCH(TEXT($J306,"yyyy-mm-dd")&amp;"|"&amp;$V306&amp;"|"&amp;$W306,'CALENDARIO'!$G$15:$G$214,0)),IFERROR(INDEX('CALENDARIO'!$C$15:$C$214,MATCH(TEXT($J306,"yyyy-mm-dd")&amp;"|"&amp;$V306&amp;"|",'CALENDARIO'!$G$15:$G$214,0)),IFERROR(INDEX('CALENDARIO'!$C$15:$C$214,MATCH(TEXT($J306,"yyyy-mm-dd")&amp;"||",'CALENDARIO'!$G$15:$G$214,0)),INDEX(patronHabil,WEEKDAY($J306,2))))))</f>
        <v/>
      </c>
      <c r="T306" s="3">
        <f>IF($I306="","",IFERROR(INDEX('CAT_TIPOS_OT'!$C$4:$C$7,MATCH($I306,'CAT_TIPOS_OT'!$A$4:$A$7,0)),"sin_clasificar"))</f>
        <v/>
      </c>
      <c r="U306" s="3">
        <f>IF($F306="","",IFERROR(INDEX('CAT_CENTROS_COSTO'!$F$4:$F$13,MATCH($F306,'CAT_CENTROS_COSTO'!$A$4:$A$13,0)),"(sin catálogo)"))</f>
        <v/>
      </c>
      <c r="V306" s="3">
        <f>IF($F306="","",IFERROR(INDEX('CAT_CENTROS_COSTO'!$D$4:$D$13,MATCH($F306,'CAT_CENTROS_COSTO'!$A$4:$A$13,0)),"(sin catálogo)"))</f>
        <v/>
      </c>
      <c r="W306" s="3">
        <f>IF($F306="","",IF((IFERROR(INDEX('CAT_CENTROS_COSTO'!$E$4:$E$13,MATCH($F306,'CAT_CENTROS_COSTO'!$A$4:$A$13,0)),""))&lt;&gt;"",IFERROR(INDEX('CAT_CENTROS_COSTO'!$E$4:$E$13,MATCH($F306,'CAT_CENTROS_COSTO'!$A$4:$A$13,0)),""),$V306))</f>
        <v/>
      </c>
      <c r="X306" s="3">
        <f>IF($F306="","",IFERROR(INDEX('CAT_CENTROS_COSTO'!$G$4:$G$13,MATCH($F306,'CAT_CENTROS_COSTO'!$A$4:$A$13,0)),"(sin catálogo)"))</f>
        <v/>
      </c>
      <c r="Y306" s="3">
        <f>IF($G306="","",IFERROR(INDEX('CAT_PUESTOS'!$B$4:$B$8,MATCH($G306,'CAT_PUESTOS'!$A$4:$A$8,0)),"(sin catálogo)"))</f>
        <v/>
      </c>
      <c r="Z306" s="3">
        <f>IF($H306="","",IFERROR(INDEX('CAT_ACTIVIDADES'!$B$4:$B$8,MATCH($H306,'CAT_ACTIVIDADES'!$A$4:$A$8,0)),"(sin catálogo)"))</f>
        <v/>
      </c>
      <c r="AA306" s="12">
        <f>IF($J306="","",TODAY()-$J306)</f>
        <v/>
      </c>
      <c r="AB306" s="12">
        <f>IF($J306="","",IF($J306&lt;=TODAY(),COUNTIFS(cal_fechas,"&gt;="&amp;$J306,cal_fechas,"&lt;"&amp;TODAY(),cal_habil,"sí"),-COUNTIFS(cal_fechas,"&gt;="&amp;TODAY(),cal_fechas,"&lt;"&amp;$J306,cal_habil,"sí")))</f>
        <v/>
      </c>
      <c r="AC306" s="3">
        <f>IF($AB306="","",IF($AB306&lt;0,"FUTURO",IF($AB306&gt;p_dias_backlog_max,"BACKLOG","MES CORRIENTE")))</f>
        <v/>
      </c>
      <c r="AD306" s="3">
        <f>IF($AB306="",FALSE,AND($AB306&gt;p_dias_backlog_min,$AB306&lt;=p_dias_backlog_max))</f>
        <v/>
      </c>
      <c r="AE306" s="6" t="n"/>
      <c r="AF306" s="3">
        <f>IF($AE306="","",IF((IFERROR(INDEX('ASIGNACIONES'!$F$4:$F$339,MATCH($O306&amp;"|"&amp;$R306&amp;"|"&amp;$AE306,'ASIGNACIONES'!$J$4:$J$339,0)),""))=0,"",IFERROR(INDEX('ASIGNACIONES'!$F$4:$F$339,MATCH($O306&amp;"|"&amp;$R306&amp;"|"&amp;$AE306,'ASIGNACIONES'!$J$4:$J$339,0)),"")))</f>
        <v/>
      </c>
      <c r="AG306" s="13">
        <f>IF($AE306="","",SUMIFS('ORDENES'!$M$4:$M$1203,'ORDENES'!$AE$4:$AE$1203,$AE306,'ORDENES'!$O$4:$O$1203,$O306,'ORDENES'!$R$4:$R$1203,$R306))</f>
        <v/>
      </c>
      <c r="AH306" s="13">
        <f>IF($AG306="","",p_factor_productividad*IFERROR(INDEX('ASIGNACIONES'!$I$4:$I$339,MATCH($O306&amp;"|"&amp;$R306&amp;"|"&amp;$AE306,'ASIGNACIONES'!$J$4:$J$339,0)),0)-$AG306)</f>
        <v/>
      </c>
      <c r="AI306" s="10">
        <f>IF($A306="","",IFERROR(INDEX('2_IMPORTAR_EJECUCION'!$F$9:$F$1208,MATCH($AQ306,'2_IMPORTAR_EJECUCION'!$J$9:$J$1208,0)),0))</f>
        <v/>
      </c>
      <c r="AJ306" s="10">
        <f>IF($A306="","",MAX(0,IFERROR(INDEX('2_IMPORTAR_EJECUCION'!$H$9:$H$1208,MATCH($AQ306,'2_IMPORTAR_EJECUCION'!$J$9:$J$1208,0)),0)-$AI306))</f>
        <v/>
      </c>
      <c r="AK306" s="10">
        <f>IF($A306="","",$AI306+$AJ306)</f>
        <v/>
      </c>
      <c r="AL306" s="6" t="n"/>
      <c r="AM306" s="6" t="n"/>
      <c r="AN306" s="6" t="n"/>
      <c r="AO306" s="3">
        <f>IF($AN306="","",HYPERLINK(p_ruta_base_checklists&amp;$AN306,"abrir"))</f>
        <v/>
      </c>
      <c r="AP306" s="6" t="n"/>
      <c r="AQ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IF($A307="","",IFERROR(INDEX('AJUSTES'!$B$4:$B$303,MATCH($AQ307,'AJUSTES'!$A$4:$A$303,0)),IF($K307="","",$K307)))</f>
        <v/>
      </c>
      <c r="N307" s="3">
        <f>IF($A307="","",IFERROR(INDEX('CAT_ESTADOS_ERP'!$B$4:$B$7,MATCH(IFERROR(INDEX('2_IMPORTAR_EJECUCION'!$C$9:$C$1208,MATCH($AQ307,'2_IMPORTAR_EJECUCION'!$J$9:$J$1208,0)),""),'CAT_ESTADOS_ERP'!$A$4:$A$7,0)),"Pendiente"))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J307="","",IFERROR(INDEX('CALENDARIO'!$C$15:$C$214,MATCH(TEXT($J307,"yyyy-mm-dd")&amp;"|"&amp;$V307&amp;"|"&amp;$W307,'CALENDARIO'!$G$15:$G$214,0)),IFERROR(INDEX('CALENDARIO'!$C$15:$C$214,MATCH(TEXT($J307,"yyyy-mm-dd")&amp;"|"&amp;$V307&amp;"|",'CALENDARIO'!$G$15:$G$214,0)),IFERROR(INDEX('CALENDARIO'!$C$15:$C$214,MATCH(TEXT($J307,"yyyy-mm-dd")&amp;"||",'CALENDARIO'!$G$15:$G$214,0)),INDEX(patronHabil,WEEKDAY($J307,2))))))</f>
        <v/>
      </c>
      <c r="T307" s="3">
        <f>IF($I307="","",IFERROR(INDEX('CAT_TIPOS_OT'!$C$4:$C$7,MATCH($I307,'CAT_TIPOS_OT'!$A$4:$A$7,0)),"sin_clasificar"))</f>
        <v/>
      </c>
      <c r="U307" s="3">
        <f>IF($F307="","",IFERROR(INDEX('CAT_CENTROS_COSTO'!$F$4:$F$13,MATCH($F307,'CAT_CENTROS_COSTO'!$A$4:$A$13,0)),"(sin catálogo)"))</f>
        <v/>
      </c>
      <c r="V307" s="3">
        <f>IF($F307="","",IFERROR(INDEX('CAT_CENTROS_COSTO'!$D$4:$D$13,MATCH($F307,'CAT_CENTROS_COSTO'!$A$4:$A$13,0)),"(sin catálogo)"))</f>
        <v/>
      </c>
      <c r="W307" s="3">
        <f>IF($F307="","",IF((IFERROR(INDEX('CAT_CENTROS_COSTO'!$E$4:$E$13,MATCH($F307,'CAT_CENTROS_COSTO'!$A$4:$A$13,0)),""))&lt;&gt;"",IFERROR(INDEX('CAT_CENTROS_COSTO'!$E$4:$E$13,MATCH($F307,'CAT_CENTROS_COSTO'!$A$4:$A$13,0)),""),$V307))</f>
        <v/>
      </c>
      <c r="X307" s="3">
        <f>IF($F307="","",IFERROR(INDEX('CAT_CENTROS_COSTO'!$G$4:$G$13,MATCH($F307,'CAT_CENTROS_COSTO'!$A$4:$A$13,0)),"(sin catálogo)"))</f>
        <v/>
      </c>
      <c r="Y307" s="3">
        <f>IF($G307="","",IFERROR(INDEX('CAT_PUESTOS'!$B$4:$B$8,MATCH($G307,'CAT_PUESTOS'!$A$4:$A$8,0)),"(sin catálogo)"))</f>
        <v/>
      </c>
      <c r="Z307" s="3">
        <f>IF($H307="","",IFERROR(INDEX('CAT_ACTIVIDADES'!$B$4:$B$8,MATCH($H307,'CAT_ACTIVIDADES'!$A$4:$A$8,0)),"(sin catálogo)"))</f>
        <v/>
      </c>
      <c r="AA307" s="12">
        <f>IF($J307="","",TODAY()-$J307)</f>
        <v/>
      </c>
      <c r="AB307" s="12">
        <f>IF($J307="","",IF($J307&lt;=TODAY(),COUNTIFS(cal_fechas,"&gt;="&amp;$J307,cal_fechas,"&lt;"&amp;TODAY(),cal_habil,"sí"),-COUNTIFS(cal_fechas,"&gt;="&amp;TODAY(),cal_fechas,"&lt;"&amp;$J307,cal_habil,"sí")))</f>
        <v/>
      </c>
      <c r="AC307" s="3">
        <f>IF($AB307="","",IF($AB307&lt;0,"FUTURO",IF($AB307&gt;p_dias_backlog_max,"BACKLOG","MES CORRIENTE")))</f>
        <v/>
      </c>
      <c r="AD307" s="3">
        <f>IF($AB307="",FALSE,AND($AB307&gt;p_dias_backlog_min,$AB307&lt;=p_dias_backlog_max))</f>
        <v/>
      </c>
      <c r="AE307" s="6" t="n"/>
      <c r="AF307" s="3">
        <f>IF($AE307="","",IF((IFERROR(INDEX('ASIGNACIONES'!$F$4:$F$339,MATCH($O307&amp;"|"&amp;$R307&amp;"|"&amp;$AE307,'ASIGNACIONES'!$J$4:$J$339,0)),""))=0,"",IFERROR(INDEX('ASIGNACIONES'!$F$4:$F$339,MATCH($O307&amp;"|"&amp;$R307&amp;"|"&amp;$AE307,'ASIGNACIONES'!$J$4:$J$339,0)),"")))</f>
        <v/>
      </c>
      <c r="AG307" s="13">
        <f>IF($AE307="","",SUMIFS('ORDENES'!$M$4:$M$1203,'ORDENES'!$AE$4:$AE$1203,$AE307,'ORDENES'!$O$4:$O$1203,$O307,'ORDENES'!$R$4:$R$1203,$R307))</f>
        <v/>
      </c>
      <c r="AH307" s="13">
        <f>IF($AG307="","",p_factor_productividad*IFERROR(INDEX('ASIGNACIONES'!$I$4:$I$339,MATCH($O307&amp;"|"&amp;$R307&amp;"|"&amp;$AE307,'ASIGNACIONES'!$J$4:$J$339,0)),0)-$AG307)</f>
        <v/>
      </c>
      <c r="AI307" s="10">
        <f>IF($A307="","",IFERROR(INDEX('2_IMPORTAR_EJECUCION'!$F$9:$F$1208,MATCH($AQ307,'2_IMPORTAR_EJECUCION'!$J$9:$J$1208,0)),0))</f>
        <v/>
      </c>
      <c r="AJ307" s="10">
        <f>IF($A307="","",MAX(0,IFERROR(INDEX('2_IMPORTAR_EJECUCION'!$H$9:$H$1208,MATCH($AQ307,'2_IMPORTAR_EJECUCION'!$J$9:$J$1208,0)),0)-$AI307))</f>
        <v/>
      </c>
      <c r="AK307" s="10">
        <f>IF($A307="","",$AI307+$AJ307)</f>
        <v/>
      </c>
      <c r="AL307" s="6" t="n"/>
      <c r="AM307" s="6" t="n"/>
      <c r="AN307" s="6" t="n"/>
      <c r="AO307" s="3">
        <f>IF($AN307="","",HYPERLINK(p_ruta_base_checklists&amp;$AN307,"abrir"))</f>
        <v/>
      </c>
      <c r="AP307" s="6" t="n"/>
      <c r="AQ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IF($A308="","",IFERROR(INDEX('AJUSTES'!$B$4:$B$303,MATCH($AQ308,'AJUSTES'!$A$4:$A$303,0)),IF($K308="","",$K308)))</f>
        <v/>
      </c>
      <c r="N308" s="3">
        <f>IF($A308="","",IFERROR(INDEX('CAT_ESTADOS_ERP'!$B$4:$B$7,MATCH(IFERROR(INDEX('2_IMPORTAR_EJECUCION'!$C$9:$C$1208,MATCH($AQ308,'2_IMPORTAR_EJECUCION'!$J$9:$J$1208,0)),""),'CAT_ESTADOS_ERP'!$A$4:$A$7,0)),"Pendiente"))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J308="","",IFERROR(INDEX('CALENDARIO'!$C$15:$C$214,MATCH(TEXT($J308,"yyyy-mm-dd")&amp;"|"&amp;$V308&amp;"|"&amp;$W308,'CALENDARIO'!$G$15:$G$214,0)),IFERROR(INDEX('CALENDARIO'!$C$15:$C$214,MATCH(TEXT($J308,"yyyy-mm-dd")&amp;"|"&amp;$V308&amp;"|",'CALENDARIO'!$G$15:$G$214,0)),IFERROR(INDEX('CALENDARIO'!$C$15:$C$214,MATCH(TEXT($J308,"yyyy-mm-dd")&amp;"||",'CALENDARIO'!$G$15:$G$214,0)),INDEX(patronHabil,WEEKDAY($J308,2))))))</f>
        <v/>
      </c>
      <c r="T308" s="3">
        <f>IF($I308="","",IFERROR(INDEX('CAT_TIPOS_OT'!$C$4:$C$7,MATCH($I308,'CAT_TIPOS_OT'!$A$4:$A$7,0)),"sin_clasificar"))</f>
        <v/>
      </c>
      <c r="U308" s="3">
        <f>IF($F308="","",IFERROR(INDEX('CAT_CENTROS_COSTO'!$F$4:$F$13,MATCH($F308,'CAT_CENTROS_COSTO'!$A$4:$A$13,0)),"(sin catálogo)"))</f>
        <v/>
      </c>
      <c r="V308" s="3">
        <f>IF($F308="","",IFERROR(INDEX('CAT_CENTROS_COSTO'!$D$4:$D$13,MATCH($F308,'CAT_CENTROS_COSTO'!$A$4:$A$13,0)),"(sin catálogo)"))</f>
        <v/>
      </c>
      <c r="W308" s="3">
        <f>IF($F308="","",IF((IFERROR(INDEX('CAT_CENTROS_COSTO'!$E$4:$E$13,MATCH($F308,'CAT_CENTROS_COSTO'!$A$4:$A$13,0)),""))&lt;&gt;"",IFERROR(INDEX('CAT_CENTROS_COSTO'!$E$4:$E$13,MATCH($F308,'CAT_CENTROS_COSTO'!$A$4:$A$13,0)),""),$V308))</f>
        <v/>
      </c>
      <c r="X308" s="3">
        <f>IF($F308="","",IFERROR(INDEX('CAT_CENTROS_COSTO'!$G$4:$G$13,MATCH($F308,'CAT_CENTROS_COSTO'!$A$4:$A$13,0)),"(sin catálogo)"))</f>
        <v/>
      </c>
      <c r="Y308" s="3">
        <f>IF($G308="","",IFERROR(INDEX('CAT_PUESTOS'!$B$4:$B$8,MATCH($G308,'CAT_PUESTOS'!$A$4:$A$8,0)),"(sin catálogo)"))</f>
        <v/>
      </c>
      <c r="Z308" s="3">
        <f>IF($H308="","",IFERROR(INDEX('CAT_ACTIVIDADES'!$B$4:$B$8,MATCH($H308,'CAT_ACTIVIDADES'!$A$4:$A$8,0)),"(sin catálogo)"))</f>
        <v/>
      </c>
      <c r="AA308" s="12">
        <f>IF($J308="","",TODAY()-$J308)</f>
        <v/>
      </c>
      <c r="AB308" s="12">
        <f>IF($J308="","",IF($J308&lt;=TODAY(),COUNTIFS(cal_fechas,"&gt;="&amp;$J308,cal_fechas,"&lt;"&amp;TODAY(),cal_habil,"sí"),-COUNTIFS(cal_fechas,"&gt;="&amp;TODAY(),cal_fechas,"&lt;"&amp;$J308,cal_habil,"sí")))</f>
        <v/>
      </c>
      <c r="AC308" s="3">
        <f>IF($AB308="","",IF($AB308&lt;0,"FUTURO",IF($AB308&gt;p_dias_backlog_max,"BACKLOG","MES CORRIENTE")))</f>
        <v/>
      </c>
      <c r="AD308" s="3">
        <f>IF($AB308="",FALSE,AND($AB308&gt;p_dias_backlog_min,$AB308&lt;=p_dias_backlog_max))</f>
        <v/>
      </c>
      <c r="AE308" s="6" t="n"/>
      <c r="AF308" s="3">
        <f>IF($AE308="","",IF((IFERROR(INDEX('ASIGNACIONES'!$F$4:$F$339,MATCH($O308&amp;"|"&amp;$R308&amp;"|"&amp;$AE308,'ASIGNACIONES'!$J$4:$J$339,0)),""))=0,"",IFERROR(INDEX('ASIGNACIONES'!$F$4:$F$339,MATCH($O308&amp;"|"&amp;$R308&amp;"|"&amp;$AE308,'ASIGNACIONES'!$J$4:$J$339,0)),"")))</f>
        <v/>
      </c>
      <c r="AG308" s="13">
        <f>IF($AE308="","",SUMIFS('ORDENES'!$M$4:$M$1203,'ORDENES'!$AE$4:$AE$1203,$AE308,'ORDENES'!$O$4:$O$1203,$O308,'ORDENES'!$R$4:$R$1203,$R308))</f>
        <v/>
      </c>
      <c r="AH308" s="13">
        <f>IF($AG308="","",p_factor_productividad*IFERROR(INDEX('ASIGNACIONES'!$I$4:$I$339,MATCH($O308&amp;"|"&amp;$R308&amp;"|"&amp;$AE308,'ASIGNACIONES'!$J$4:$J$339,0)),0)-$AG308)</f>
        <v/>
      </c>
      <c r="AI308" s="10">
        <f>IF($A308="","",IFERROR(INDEX('2_IMPORTAR_EJECUCION'!$F$9:$F$1208,MATCH($AQ308,'2_IMPORTAR_EJECUCION'!$J$9:$J$1208,0)),0))</f>
        <v/>
      </c>
      <c r="AJ308" s="10">
        <f>IF($A308="","",MAX(0,IFERROR(INDEX('2_IMPORTAR_EJECUCION'!$H$9:$H$1208,MATCH($AQ308,'2_IMPORTAR_EJECUCION'!$J$9:$J$1208,0)),0)-$AI308))</f>
        <v/>
      </c>
      <c r="AK308" s="10">
        <f>IF($A308="","",$AI308+$AJ308)</f>
        <v/>
      </c>
      <c r="AL308" s="6" t="n"/>
      <c r="AM308" s="6" t="n"/>
      <c r="AN308" s="6" t="n"/>
      <c r="AO308" s="3">
        <f>IF($AN308="","",HYPERLINK(p_ruta_base_checklists&amp;$AN308,"abrir"))</f>
        <v/>
      </c>
      <c r="AP308" s="6" t="n"/>
      <c r="AQ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IF($A309="","",IFERROR(INDEX('AJUSTES'!$B$4:$B$303,MATCH($AQ309,'AJUSTES'!$A$4:$A$303,0)),IF($K309="","",$K309)))</f>
        <v/>
      </c>
      <c r="N309" s="3">
        <f>IF($A309="","",IFERROR(INDEX('CAT_ESTADOS_ERP'!$B$4:$B$7,MATCH(IFERROR(INDEX('2_IMPORTAR_EJECUCION'!$C$9:$C$1208,MATCH($AQ309,'2_IMPORTAR_EJECUCION'!$J$9:$J$1208,0)),""),'CAT_ESTADOS_ERP'!$A$4:$A$7,0)),"Pendiente"))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J309="","",IFERROR(INDEX('CALENDARIO'!$C$15:$C$214,MATCH(TEXT($J309,"yyyy-mm-dd")&amp;"|"&amp;$V309&amp;"|"&amp;$W309,'CALENDARIO'!$G$15:$G$214,0)),IFERROR(INDEX('CALENDARIO'!$C$15:$C$214,MATCH(TEXT($J309,"yyyy-mm-dd")&amp;"|"&amp;$V309&amp;"|",'CALENDARIO'!$G$15:$G$214,0)),IFERROR(INDEX('CALENDARIO'!$C$15:$C$214,MATCH(TEXT($J309,"yyyy-mm-dd")&amp;"||",'CALENDARIO'!$G$15:$G$214,0)),INDEX(patronHabil,WEEKDAY($J309,2))))))</f>
        <v/>
      </c>
      <c r="T309" s="3">
        <f>IF($I309="","",IFERROR(INDEX('CAT_TIPOS_OT'!$C$4:$C$7,MATCH($I309,'CAT_TIPOS_OT'!$A$4:$A$7,0)),"sin_clasificar"))</f>
        <v/>
      </c>
      <c r="U309" s="3">
        <f>IF($F309="","",IFERROR(INDEX('CAT_CENTROS_COSTO'!$F$4:$F$13,MATCH($F309,'CAT_CENTROS_COSTO'!$A$4:$A$13,0)),"(sin catálogo)"))</f>
        <v/>
      </c>
      <c r="V309" s="3">
        <f>IF($F309="","",IFERROR(INDEX('CAT_CENTROS_COSTO'!$D$4:$D$13,MATCH($F309,'CAT_CENTROS_COSTO'!$A$4:$A$13,0)),"(sin catálogo)"))</f>
        <v/>
      </c>
      <c r="W309" s="3">
        <f>IF($F309="","",IF((IFERROR(INDEX('CAT_CENTROS_COSTO'!$E$4:$E$13,MATCH($F309,'CAT_CENTROS_COSTO'!$A$4:$A$13,0)),""))&lt;&gt;"",IFERROR(INDEX('CAT_CENTROS_COSTO'!$E$4:$E$13,MATCH($F309,'CAT_CENTROS_COSTO'!$A$4:$A$13,0)),""),$V309))</f>
        <v/>
      </c>
      <c r="X309" s="3">
        <f>IF($F309="","",IFERROR(INDEX('CAT_CENTROS_COSTO'!$G$4:$G$13,MATCH($F309,'CAT_CENTROS_COSTO'!$A$4:$A$13,0)),"(sin catálogo)"))</f>
        <v/>
      </c>
      <c r="Y309" s="3">
        <f>IF($G309="","",IFERROR(INDEX('CAT_PUESTOS'!$B$4:$B$8,MATCH($G309,'CAT_PUESTOS'!$A$4:$A$8,0)),"(sin catálogo)"))</f>
        <v/>
      </c>
      <c r="Z309" s="3">
        <f>IF($H309="","",IFERROR(INDEX('CAT_ACTIVIDADES'!$B$4:$B$8,MATCH($H309,'CAT_ACTIVIDADES'!$A$4:$A$8,0)),"(sin catálogo)"))</f>
        <v/>
      </c>
      <c r="AA309" s="12">
        <f>IF($J309="","",TODAY()-$J309)</f>
        <v/>
      </c>
      <c r="AB309" s="12">
        <f>IF($J309="","",IF($J309&lt;=TODAY(),COUNTIFS(cal_fechas,"&gt;="&amp;$J309,cal_fechas,"&lt;"&amp;TODAY(),cal_habil,"sí"),-COUNTIFS(cal_fechas,"&gt;="&amp;TODAY(),cal_fechas,"&lt;"&amp;$J309,cal_habil,"sí")))</f>
        <v/>
      </c>
      <c r="AC309" s="3">
        <f>IF($AB309="","",IF($AB309&lt;0,"FUTURO",IF($AB309&gt;p_dias_backlog_max,"BACKLOG","MES CORRIENTE")))</f>
        <v/>
      </c>
      <c r="AD309" s="3">
        <f>IF($AB309="",FALSE,AND($AB309&gt;p_dias_backlog_min,$AB309&lt;=p_dias_backlog_max))</f>
        <v/>
      </c>
      <c r="AE309" s="6" t="n"/>
      <c r="AF309" s="3">
        <f>IF($AE309="","",IF((IFERROR(INDEX('ASIGNACIONES'!$F$4:$F$339,MATCH($O309&amp;"|"&amp;$R309&amp;"|"&amp;$AE309,'ASIGNACIONES'!$J$4:$J$339,0)),""))=0,"",IFERROR(INDEX('ASIGNACIONES'!$F$4:$F$339,MATCH($O309&amp;"|"&amp;$R309&amp;"|"&amp;$AE309,'ASIGNACIONES'!$J$4:$J$339,0)),"")))</f>
        <v/>
      </c>
      <c r="AG309" s="13">
        <f>IF($AE309="","",SUMIFS('ORDENES'!$M$4:$M$1203,'ORDENES'!$AE$4:$AE$1203,$AE309,'ORDENES'!$O$4:$O$1203,$O309,'ORDENES'!$R$4:$R$1203,$R309))</f>
        <v/>
      </c>
      <c r="AH309" s="13">
        <f>IF($AG309="","",p_factor_productividad*IFERROR(INDEX('ASIGNACIONES'!$I$4:$I$339,MATCH($O309&amp;"|"&amp;$R309&amp;"|"&amp;$AE309,'ASIGNACIONES'!$J$4:$J$339,0)),0)-$AG309)</f>
        <v/>
      </c>
      <c r="AI309" s="10">
        <f>IF($A309="","",IFERROR(INDEX('2_IMPORTAR_EJECUCION'!$F$9:$F$1208,MATCH($AQ309,'2_IMPORTAR_EJECUCION'!$J$9:$J$1208,0)),0))</f>
        <v/>
      </c>
      <c r="AJ309" s="10">
        <f>IF($A309="","",MAX(0,IFERROR(INDEX('2_IMPORTAR_EJECUCION'!$H$9:$H$1208,MATCH($AQ309,'2_IMPORTAR_EJECUCION'!$J$9:$J$1208,0)),0)-$AI309))</f>
        <v/>
      </c>
      <c r="AK309" s="10">
        <f>IF($A309="","",$AI309+$AJ309)</f>
        <v/>
      </c>
      <c r="AL309" s="6" t="n"/>
      <c r="AM309" s="6" t="n"/>
      <c r="AN309" s="6" t="n"/>
      <c r="AO309" s="3">
        <f>IF($AN309="","",HYPERLINK(p_ruta_base_checklists&amp;$AN309,"abrir"))</f>
        <v/>
      </c>
      <c r="AP309" s="6" t="n"/>
      <c r="AQ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IF($A310="","",IFERROR(INDEX('AJUSTES'!$B$4:$B$303,MATCH($AQ310,'AJUSTES'!$A$4:$A$303,0)),IF($K310="","",$K310)))</f>
        <v/>
      </c>
      <c r="N310" s="3">
        <f>IF($A310="","",IFERROR(INDEX('CAT_ESTADOS_ERP'!$B$4:$B$7,MATCH(IFERROR(INDEX('2_IMPORTAR_EJECUCION'!$C$9:$C$1208,MATCH($AQ310,'2_IMPORTAR_EJECUCION'!$J$9:$J$1208,0)),""),'CAT_ESTADOS_ERP'!$A$4:$A$7,0)),"Pendiente"))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J310="","",IFERROR(INDEX('CALENDARIO'!$C$15:$C$214,MATCH(TEXT($J310,"yyyy-mm-dd")&amp;"|"&amp;$V310&amp;"|"&amp;$W310,'CALENDARIO'!$G$15:$G$214,0)),IFERROR(INDEX('CALENDARIO'!$C$15:$C$214,MATCH(TEXT($J310,"yyyy-mm-dd")&amp;"|"&amp;$V310&amp;"|",'CALENDARIO'!$G$15:$G$214,0)),IFERROR(INDEX('CALENDARIO'!$C$15:$C$214,MATCH(TEXT($J310,"yyyy-mm-dd")&amp;"||",'CALENDARIO'!$G$15:$G$214,0)),INDEX(patronHabil,WEEKDAY($J310,2))))))</f>
        <v/>
      </c>
      <c r="T310" s="3">
        <f>IF($I310="","",IFERROR(INDEX('CAT_TIPOS_OT'!$C$4:$C$7,MATCH($I310,'CAT_TIPOS_OT'!$A$4:$A$7,0)),"sin_clasificar"))</f>
        <v/>
      </c>
      <c r="U310" s="3">
        <f>IF($F310="","",IFERROR(INDEX('CAT_CENTROS_COSTO'!$F$4:$F$13,MATCH($F310,'CAT_CENTROS_COSTO'!$A$4:$A$13,0)),"(sin catálogo)"))</f>
        <v/>
      </c>
      <c r="V310" s="3">
        <f>IF($F310="","",IFERROR(INDEX('CAT_CENTROS_COSTO'!$D$4:$D$13,MATCH($F310,'CAT_CENTROS_COSTO'!$A$4:$A$13,0)),"(sin catálogo)"))</f>
        <v/>
      </c>
      <c r="W310" s="3">
        <f>IF($F310="","",IF((IFERROR(INDEX('CAT_CENTROS_COSTO'!$E$4:$E$13,MATCH($F310,'CAT_CENTROS_COSTO'!$A$4:$A$13,0)),""))&lt;&gt;"",IFERROR(INDEX('CAT_CENTROS_COSTO'!$E$4:$E$13,MATCH($F310,'CAT_CENTROS_COSTO'!$A$4:$A$13,0)),""),$V310))</f>
        <v/>
      </c>
      <c r="X310" s="3">
        <f>IF($F310="","",IFERROR(INDEX('CAT_CENTROS_COSTO'!$G$4:$G$13,MATCH($F310,'CAT_CENTROS_COSTO'!$A$4:$A$13,0)),"(sin catálogo)"))</f>
        <v/>
      </c>
      <c r="Y310" s="3">
        <f>IF($G310="","",IFERROR(INDEX('CAT_PUESTOS'!$B$4:$B$8,MATCH($G310,'CAT_PUESTOS'!$A$4:$A$8,0)),"(sin catálogo)"))</f>
        <v/>
      </c>
      <c r="Z310" s="3">
        <f>IF($H310="","",IFERROR(INDEX('CAT_ACTIVIDADES'!$B$4:$B$8,MATCH($H310,'CAT_ACTIVIDADES'!$A$4:$A$8,0)),"(sin catálogo)"))</f>
        <v/>
      </c>
      <c r="AA310" s="12">
        <f>IF($J310="","",TODAY()-$J310)</f>
        <v/>
      </c>
      <c r="AB310" s="12">
        <f>IF($J310="","",IF($J310&lt;=TODAY(),COUNTIFS(cal_fechas,"&gt;="&amp;$J310,cal_fechas,"&lt;"&amp;TODAY(),cal_habil,"sí"),-COUNTIFS(cal_fechas,"&gt;="&amp;TODAY(),cal_fechas,"&lt;"&amp;$J310,cal_habil,"sí")))</f>
        <v/>
      </c>
      <c r="AC310" s="3">
        <f>IF($AB310="","",IF($AB310&lt;0,"FUTURO",IF($AB310&gt;p_dias_backlog_max,"BACKLOG","MES CORRIENTE")))</f>
        <v/>
      </c>
      <c r="AD310" s="3">
        <f>IF($AB310="",FALSE,AND($AB310&gt;p_dias_backlog_min,$AB310&lt;=p_dias_backlog_max))</f>
        <v/>
      </c>
      <c r="AE310" s="6" t="n"/>
      <c r="AF310" s="3">
        <f>IF($AE310="","",IF((IFERROR(INDEX('ASIGNACIONES'!$F$4:$F$339,MATCH($O310&amp;"|"&amp;$R310&amp;"|"&amp;$AE310,'ASIGNACIONES'!$J$4:$J$339,0)),""))=0,"",IFERROR(INDEX('ASIGNACIONES'!$F$4:$F$339,MATCH($O310&amp;"|"&amp;$R310&amp;"|"&amp;$AE310,'ASIGNACIONES'!$J$4:$J$339,0)),"")))</f>
        <v/>
      </c>
      <c r="AG310" s="13">
        <f>IF($AE310="","",SUMIFS('ORDENES'!$M$4:$M$1203,'ORDENES'!$AE$4:$AE$1203,$AE310,'ORDENES'!$O$4:$O$1203,$O310,'ORDENES'!$R$4:$R$1203,$R310))</f>
        <v/>
      </c>
      <c r="AH310" s="13">
        <f>IF($AG310="","",p_factor_productividad*IFERROR(INDEX('ASIGNACIONES'!$I$4:$I$339,MATCH($O310&amp;"|"&amp;$R310&amp;"|"&amp;$AE310,'ASIGNACIONES'!$J$4:$J$339,0)),0)-$AG310)</f>
        <v/>
      </c>
      <c r="AI310" s="10">
        <f>IF($A310="","",IFERROR(INDEX('2_IMPORTAR_EJECUCION'!$F$9:$F$1208,MATCH($AQ310,'2_IMPORTAR_EJECUCION'!$J$9:$J$1208,0)),0))</f>
        <v/>
      </c>
      <c r="AJ310" s="10">
        <f>IF($A310="","",MAX(0,IFERROR(INDEX('2_IMPORTAR_EJECUCION'!$H$9:$H$1208,MATCH($AQ310,'2_IMPORTAR_EJECUCION'!$J$9:$J$1208,0)),0)-$AI310))</f>
        <v/>
      </c>
      <c r="AK310" s="10">
        <f>IF($A310="","",$AI310+$AJ310)</f>
        <v/>
      </c>
      <c r="AL310" s="6" t="n"/>
      <c r="AM310" s="6" t="n"/>
      <c r="AN310" s="6" t="n"/>
      <c r="AO310" s="3">
        <f>IF($AN310="","",HYPERLINK(p_ruta_base_checklists&amp;$AN310,"abrir"))</f>
        <v/>
      </c>
      <c r="AP310" s="6" t="n"/>
      <c r="AQ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IF($A311="","",IFERROR(INDEX('AJUSTES'!$B$4:$B$303,MATCH($AQ311,'AJUSTES'!$A$4:$A$303,0)),IF($K311="","",$K311)))</f>
        <v/>
      </c>
      <c r="N311" s="3">
        <f>IF($A311="","",IFERROR(INDEX('CAT_ESTADOS_ERP'!$B$4:$B$7,MATCH(IFERROR(INDEX('2_IMPORTAR_EJECUCION'!$C$9:$C$1208,MATCH($AQ311,'2_IMPORTAR_EJECUCION'!$J$9:$J$1208,0)),""),'CAT_ESTADOS_ERP'!$A$4:$A$7,0)),"Pendiente"))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J311="","",IFERROR(INDEX('CALENDARIO'!$C$15:$C$214,MATCH(TEXT($J311,"yyyy-mm-dd")&amp;"|"&amp;$V311&amp;"|"&amp;$W311,'CALENDARIO'!$G$15:$G$214,0)),IFERROR(INDEX('CALENDARIO'!$C$15:$C$214,MATCH(TEXT($J311,"yyyy-mm-dd")&amp;"|"&amp;$V311&amp;"|",'CALENDARIO'!$G$15:$G$214,0)),IFERROR(INDEX('CALENDARIO'!$C$15:$C$214,MATCH(TEXT($J311,"yyyy-mm-dd")&amp;"||",'CALENDARIO'!$G$15:$G$214,0)),INDEX(patronHabil,WEEKDAY($J311,2))))))</f>
        <v/>
      </c>
      <c r="T311" s="3">
        <f>IF($I311="","",IFERROR(INDEX('CAT_TIPOS_OT'!$C$4:$C$7,MATCH($I311,'CAT_TIPOS_OT'!$A$4:$A$7,0)),"sin_clasificar"))</f>
        <v/>
      </c>
      <c r="U311" s="3">
        <f>IF($F311="","",IFERROR(INDEX('CAT_CENTROS_COSTO'!$F$4:$F$13,MATCH($F311,'CAT_CENTROS_COSTO'!$A$4:$A$13,0)),"(sin catálogo)"))</f>
        <v/>
      </c>
      <c r="V311" s="3">
        <f>IF($F311="","",IFERROR(INDEX('CAT_CENTROS_COSTO'!$D$4:$D$13,MATCH($F311,'CAT_CENTROS_COSTO'!$A$4:$A$13,0)),"(sin catálogo)"))</f>
        <v/>
      </c>
      <c r="W311" s="3">
        <f>IF($F311="","",IF((IFERROR(INDEX('CAT_CENTROS_COSTO'!$E$4:$E$13,MATCH($F311,'CAT_CENTROS_COSTO'!$A$4:$A$13,0)),""))&lt;&gt;"",IFERROR(INDEX('CAT_CENTROS_COSTO'!$E$4:$E$13,MATCH($F311,'CAT_CENTROS_COSTO'!$A$4:$A$13,0)),""),$V311))</f>
        <v/>
      </c>
      <c r="X311" s="3">
        <f>IF($F311="","",IFERROR(INDEX('CAT_CENTROS_COSTO'!$G$4:$G$13,MATCH($F311,'CAT_CENTROS_COSTO'!$A$4:$A$13,0)),"(sin catálogo)"))</f>
        <v/>
      </c>
      <c r="Y311" s="3">
        <f>IF($G311="","",IFERROR(INDEX('CAT_PUESTOS'!$B$4:$B$8,MATCH($G311,'CAT_PUESTOS'!$A$4:$A$8,0)),"(sin catálogo)"))</f>
        <v/>
      </c>
      <c r="Z311" s="3">
        <f>IF($H311="","",IFERROR(INDEX('CAT_ACTIVIDADES'!$B$4:$B$8,MATCH($H311,'CAT_ACTIVIDADES'!$A$4:$A$8,0)),"(sin catálogo)"))</f>
        <v/>
      </c>
      <c r="AA311" s="12">
        <f>IF($J311="","",TODAY()-$J311)</f>
        <v/>
      </c>
      <c r="AB311" s="12">
        <f>IF($J311="","",IF($J311&lt;=TODAY(),COUNTIFS(cal_fechas,"&gt;="&amp;$J311,cal_fechas,"&lt;"&amp;TODAY(),cal_habil,"sí"),-COUNTIFS(cal_fechas,"&gt;="&amp;TODAY(),cal_fechas,"&lt;"&amp;$J311,cal_habil,"sí")))</f>
        <v/>
      </c>
      <c r="AC311" s="3">
        <f>IF($AB311="","",IF($AB311&lt;0,"FUTURO",IF($AB311&gt;p_dias_backlog_max,"BACKLOG","MES CORRIENTE")))</f>
        <v/>
      </c>
      <c r="AD311" s="3">
        <f>IF($AB311="",FALSE,AND($AB311&gt;p_dias_backlog_min,$AB311&lt;=p_dias_backlog_max))</f>
        <v/>
      </c>
      <c r="AE311" s="6" t="n"/>
      <c r="AF311" s="3">
        <f>IF($AE311="","",IF((IFERROR(INDEX('ASIGNACIONES'!$F$4:$F$339,MATCH($O311&amp;"|"&amp;$R311&amp;"|"&amp;$AE311,'ASIGNACIONES'!$J$4:$J$339,0)),""))=0,"",IFERROR(INDEX('ASIGNACIONES'!$F$4:$F$339,MATCH($O311&amp;"|"&amp;$R311&amp;"|"&amp;$AE311,'ASIGNACIONES'!$J$4:$J$339,0)),"")))</f>
        <v/>
      </c>
      <c r="AG311" s="13">
        <f>IF($AE311="","",SUMIFS('ORDENES'!$M$4:$M$1203,'ORDENES'!$AE$4:$AE$1203,$AE311,'ORDENES'!$O$4:$O$1203,$O311,'ORDENES'!$R$4:$R$1203,$R311))</f>
        <v/>
      </c>
      <c r="AH311" s="13">
        <f>IF($AG311="","",p_factor_productividad*IFERROR(INDEX('ASIGNACIONES'!$I$4:$I$339,MATCH($O311&amp;"|"&amp;$R311&amp;"|"&amp;$AE311,'ASIGNACIONES'!$J$4:$J$339,0)),0)-$AG311)</f>
        <v/>
      </c>
      <c r="AI311" s="10">
        <f>IF($A311="","",IFERROR(INDEX('2_IMPORTAR_EJECUCION'!$F$9:$F$1208,MATCH($AQ311,'2_IMPORTAR_EJECUCION'!$J$9:$J$1208,0)),0))</f>
        <v/>
      </c>
      <c r="AJ311" s="10">
        <f>IF($A311="","",MAX(0,IFERROR(INDEX('2_IMPORTAR_EJECUCION'!$H$9:$H$1208,MATCH($AQ311,'2_IMPORTAR_EJECUCION'!$J$9:$J$1208,0)),0)-$AI311))</f>
        <v/>
      </c>
      <c r="AK311" s="10">
        <f>IF($A311="","",$AI311+$AJ311)</f>
        <v/>
      </c>
      <c r="AL311" s="6" t="n"/>
      <c r="AM311" s="6" t="n"/>
      <c r="AN311" s="6" t="n"/>
      <c r="AO311" s="3">
        <f>IF($AN311="","",HYPERLINK(p_ruta_base_checklists&amp;$AN311,"abrir"))</f>
        <v/>
      </c>
      <c r="AP311" s="6" t="n"/>
      <c r="AQ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IF($A312="","",IFERROR(INDEX('AJUSTES'!$B$4:$B$303,MATCH($AQ312,'AJUSTES'!$A$4:$A$303,0)),IF($K312="","",$K312)))</f>
        <v/>
      </c>
      <c r="N312" s="3">
        <f>IF($A312="","",IFERROR(INDEX('CAT_ESTADOS_ERP'!$B$4:$B$7,MATCH(IFERROR(INDEX('2_IMPORTAR_EJECUCION'!$C$9:$C$1208,MATCH($AQ312,'2_IMPORTAR_EJECUCION'!$J$9:$J$1208,0)),""),'CAT_ESTADOS_ERP'!$A$4:$A$7,0)),"Pendiente"))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J312="","",IFERROR(INDEX('CALENDARIO'!$C$15:$C$214,MATCH(TEXT($J312,"yyyy-mm-dd")&amp;"|"&amp;$V312&amp;"|"&amp;$W312,'CALENDARIO'!$G$15:$G$214,0)),IFERROR(INDEX('CALENDARIO'!$C$15:$C$214,MATCH(TEXT($J312,"yyyy-mm-dd")&amp;"|"&amp;$V312&amp;"|",'CALENDARIO'!$G$15:$G$214,0)),IFERROR(INDEX('CALENDARIO'!$C$15:$C$214,MATCH(TEXT($J312,"yyyy-mm-dd")&amp;"||",'CALENDARIO'!$G$15:$G$214,0)),INDEX(patronHabil,WEEKDAY($J312,2))))))</f>
        <v/>
      </c>
      <c r="T312" s="3">
        <f>IF($I312="","",IFERROR(INDEX('CAT_TIPOS_OT'!$C$4:$C$7,MATCH($I312,'CAT_TIPOS_OT'!$A$4:$A$7,0)),"sin_clasificar"))</f>
        <v/>
      </c>
      <c r="U312" s="3">
        <f>IF($F312="","",IFERROR(INDEX('CAT_CENTROS_COSTO'!$F$4:$F$13,MATCH($F312,'CAT_CENTROS_COSTO'!$A$4:$A$13,0)),"(sin catálogo)"))</f>
        <v/>
      </c>
      <c r="V312" s="3">
        <f>IF($F312="","",IFERROR(INDEX('CAT_CENTROS_COSTO'!$D$4:$D$13,MATCH($F312,'CAT_CENTROS_COSTO'!$A$4:$A$13,0)),"(sin catálogo)"))</f>
        <v/>
      </c>
      <c r="W312" s="3">
        <f>IF($F312="","",IF((IFERROR(INDEX('CAT_CENTROS_COSTO'!$E$4:$E$13,MATCH($F312,'CAT_CENTROS_COSTO'!$A$4:$A$13,0)),""))&lt;&gt;"",IFERROR(INDEX('CAT_CENTROS_COSTO'!$E$4:$E$13,MATCH($F312,'CAT_CENTROS_COSTO'!$A$4:$A$13,0)),""),$V312))</f>
        <v/>
      </c>
      <c r="X312" s="3">
        <f>IF($F312="","",IFERROR(INDEX('CAT_CENTROS_COSTO'!$G$4:$G$13,MATCH($F312,'CAT_CENTROS_COSTO'!$A$4:$A$13,0)),"(sin catálogo)"))</f>
        <v/>
      </c>
      <c r="Y312" s="3">
        <f>IF($G312="","",IFERROR(INDEX('CAT_PUESTOS'!$B$4:$B$8,MATCH($G312,'CAT_PUESTOS'!$A$4:$A$8,0)),"(sin catálogo)"))</f>
        <v/>
      </c>
      <c r="Z312" s="3">
        <f>IF($H312="","",IFERROR(INDEX('CAT_ACTIVIDADES'!$B$4:$B$8,MATCH($H312,'CAT_ACTIVIDADES'!$A$4:$A$8,0)),"(sin catálogo)"))</f>
        <v/>
      </c>
      <c r="AA312" s="12">
        <f>IF($J312="","",TODAY()-$J312)</f>
        <v/>
      </c>
      <c r="AB312" s="12">
        <f>IF($J312="","",IF($J312&lt;=TODAY(),COUNTIFS(cal_fechas,"&gt;="&amp;$J312,cal_fechas,"&lt;"&amp;TODAY(),cal_habil,"sí"),-COUNTIFS(cal_fechas,"&gt;="&amp;TODAY(),cal_fechas,"&lt;"&amp;$J312,cal_habil,"sí")))</f>
        <v/>
      </c>
      <c r="AC312" s="3">
        <f>IF($AB312="","",IF($AB312&lt;0,"FUTURO",IF($AB312&gt;p_dias_backlog_max,"BACKLOG","MES CORRIENTE")))</f>
        <v/>
      </c>
      <c r="AD312" s="3">
        <f>IF($AB312="",FALSE,AND($AB312&gt;p_dias_backlog_min,$AB312&lt;=p_dias_backlog_max))</f>
        <v/>
      </c>
      <c r="AE312" s="6" t="n"/>
      <c r="AF312" s="3">
        <f>IF($AE312="","",IF((IFERROR(INDEX('ASIGNACIONES'!$F$4:$F$339,MATCH($O312&amp;"|"&amp;$R312&amp;"|"&amp;$AE312,'ASIGNACIONES'!$J$4:$J$339,0)),""))=0,"",IFERROR(INDEX('ASIGNACIONES'!$F$4:$F$339,MATCH($O312&amp;"|"&amp;$R312&amp;"|"&amp;$AE312,'ASIGNACIONES'!$J$4:$J$339,0)),"")))</f>
        <v/>
      </c>
      <c r="AG312" s="13">
        <f>IF($AE312="","",SUMIFS('ORDENES'!$M$4:$M$1203,'ORDENES'!$AE$4:$AE$1203,$AE312,'ORDENES'!$O$4:$O$1203,$O312,'ORDENES'!$R$4:$R$1203,$R312))</f>
        <v/>
      </c>
      <c r="AH312" s="13">
        <f>IF($AG312="","",p_factor_productividad*IFERROR(INDEX('ASIGNACIONES'!$I$4:$I$339,MATCH($O312&amp;"|"&amp;$R312&amp;"|"&amp;$AE312,'ASIGNACIONES'!$J$4:$J$339,0)),0)-$AG312)</f>
        <v/>
      </c>
      <c r="AI312" s="10">
        <f>IF($A312="","",IFERROR(INDEX('2_IMPORTAR_EJECUCION'!$F$9:$F$1208,MATCH($AQ312,'2_IMPORTAR_EJECUCION'!$J$9:$J$1208,0)),0))</f>
        <v/>
      </c>
      <c r="AJ312" s="10">
        <f>IF($A312="","",MAX(0,IFERROR(INDEX('2_IMPORTAR_EJECUCION'!$H$9:$H$1208,MATCH($AQ312,'2_IMPORTAR_EJECUCION'!$J$9:$J$1208,0)),0)-$AI312))</f>
        <v/>
      </c>
      <c r="AK312" s="10">
        <f>IF($A312="","",$AI312+$AJ312)</f>
        <v/>
      </c>
      <c r="AL312" s="6" t="n"/>
      <c r="AM312" s="6" t="n"/>
      <c r="AN312" s="6" t="n"/>
      <c r="AO312" s="3">
        <f>IF($AN312="","",HYPERLINK(p_ruta_base_checklists&amp;$AN312,"abrir"))</f>
        <v/>
      </c>
      <c r="AP312" s="6" t="n"/>
      <c r="AQ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IF($A313="","",IFERROR(INDEX('AJUSTES'!$B$4:$B$303,MATCH($AQ313,'AJUSTES'!$A$4:$A$303,0)),IF($K313="","",$K313)))</f>
        <v/>
      </c>
      <c r="N313" s="3">
        <f>IF($A313="","",IFERROR(INDEX('CAT_ESTADOS_ERP'!$B$4:$B$7,MATCH(IFERROR(INDEX('2_IMPORTAR_EJECUCION'!$C$9:$C$1208,MATCH($AQ313,'2_IMPORTAR_EJECUCION'!$J$9:$J$1208,0)),""),'CAT_ESTADOS_ERP'!$A$4:$A$7,0)),"Pendiente"))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J313="","",IFERROR(INDEX('CALENDARIO'!$C$15:$C$214,MATCH(TEXT($J313,"yyyy-mm-dd")&amp;"|"&amp;$V313&amp;"|"&amp;$W313,'CALENDARIO'!$G$15:$G$214,0)),IFERROR(INDEX('CALENDARIO'!$C$15:$C$214,MATCH(TEXT($J313,"yyyy-mm-dd")&amp;"|"&amp;$V313&amp;"|",'CALENDARIO'!$G$15:$G$214,0)),IFERROR(INDEX('CALENDARIO'!$C$15:$C$214,MATCH(TEXT($J313,"yyyy-mm-dd")&amp;"||",'CALENDARIO'!$G$15:$G$214,0)),INDEX(patronHabil,WEEKDAY($J313,2))))))</f>
        <v/>
      </c>
      <c r="T313" s="3">
        <f>IF($I313="","",IFERROR(INDEX('CAT_TIPOS_OT'!$C$4:$C$7,MATCH($I313,'CAT_TIPOS_OT'!$A$4:$A$7,0)),"sin_clasificar"))</f>
        <v/>
      </c>
      <c r="U313" s="3">
        <f>IF($F313="","",IFERROR(INDEX('CAT_CENTROS_COSTO'!$F$4:$F$13,MATCH($F313,'CAT_CENTROS_COSTO'!$A$4:$A$13,0)),"(sin catálogo)"))</f>
        <v/>
      </c>
      <c r="V313" s="3">
        <f>IF($F313="","",IFERROR(INDEX('CAT_CENTROS_COSTO'!$D$4:$D$13,MATCH($F313,'CAT_CENTROS_COSTO'!$A$4:$A$13,0)),"(sin catálogo)"))</f>
        <v/>
      </c>
      <c r="W313" s="3">
        <f>IF($F313="","",IF((IFERROR(INDEX('CAT_CENTROS_COSTO'!$E$4:$E$13,MATCH($F313,'CAT_CENTROS_COSTO'!$A$4:$A$13,0)),""))&lt;&gt;"",IFERROR(INDEX('CAT_CENTROS_COSTO'!$E$4:$E$13,MATCH($F313,'CAT_CENTROS_COSTO'!$A$4:$A$13,0)),""),$V313))</f>
        <v/>
      </c>
      <c r="X313" s="3">
        <f>IF($F313="","",IFERROR(INDEX('CAT_CENTROS_COSTO'!$G$4:$G$13,MATCH($F313,'CAT_CENTROS_COSTO'!$A$4:$A$13,0)),"(sin catálogo)"))</f>
        <v/>
      </c>
      <c r="Y313" s="3">
        <f>IF($G313="","",IFERROR(INDEX('CAT_PUESTOS'!$B$4:$B$8,MATCH($G313,'CAT_PUESTOS'!$A$4:$A$8,0)),"(sin catálogo)"))</f>
        <v/>
      </c>
      <c r="Z313" s="3">
        <f>IF($H313="","",IFERROR(INDEX('CAT_ACTIVIDADES'!$B$4:$B$8,MATCH($H313,'CAT_ACTIVIDADES'!$A$4:$A$8,0)),"(sin catálogo)"))</f>
        <v/>
      </c>
      <c r="AA313" s="12">
        <f>IF($J313="","",TODAY()-$J313)</f>
        <v/>
      </c>
      <c r="AB313" s="12">
        <f>IF($J313="","",IF($J313&lt;=TODAY(),COUNTIFS(cal_fechas,"&gt;="&amp;$J313,cal_fechas,"&lt;"&amp;TODAY(),cal_habil,"sí"),-COUNTIFS(cal_fechas,"&gt;="&amp;TODAY(),cal_fechas,"&lt;"&amp;$J313,cal_habil,"sí")))</f>
        <v/>
      </c>
      <c r="AC313" s="3">
        <f>IF($AB313="","",IF($AB313&lt;0,"FUTURO",IF($AB313&gt;p_dias_backlog_max,"BACKLOG","MES CORRIENTE")))</f>
        <v/>
      </c>
      <c r="AD313" s="3">
        <f>IF($AB313="",FALSE,AND($AB313&gt;p_dias_backlog_min,$AB313&lt;=p_dias_backlog_max))</f>
        <v/>
      </c>
      <c r="AE313" s="6" t="n"/>
      <c r="AF313" s="3">
        <f>IF($AE313="","",IF((IFERROR(INDEX('ASIGNACIONES'!$F$4:$F$339,MATCH($O313&amp;"|"&amp;$R313&amp;"|"&amp;$AE313,'ASIGNACIONES'!$J$4:$J$339,0)),""))=0,"",IFERROR(INDEX('ASIGNACIONES'!$F$4:$F$339,MATCH($O313&amp;"|"&amp;$R313&amp;"|"&amp;$AE313,'ASIGNACIONES'!$J$4:$J$339,0)),"")))</f>
        <v/>
      </c>
      <c r="AG313" s="13">
        <f>IF($AE313="","",SUMIFS('ORDENES'!$M$4:$M$1203,'ORDENES'!$AE$4:$AE$1203,$AE313,'ORDENES'!$O$4:$O$1203,$O313,'ORDENES'!$R$4:$R$1203,$R313))</f>
        <v/>
      </c>
      <c r="AH313" s="13">
        <f>IF($AG313="","",p_factor_productividad*IFERROR(INDEX('ASIGNACIONES'!$I$4:$I$339,MATCH($O313&amp;"|"&amp;$R313&amp;"|"&amp;$AE313,'ASIGNACIONES'!$J$4:$J$339,0)),0)-$AG313)</f>
        <v/>
      </c>
      <c r="AI313" s="10">
        <f>IF($A313="","",IFERROR(INDEX('2_IMPORTAR_EJECUCION'!$F$9:$F$1208,MATCH($AQ313,'2_IMPORTAR_EJECUCION'!$J$9:$J$1208,0)),0))</f>
        <v/>
      </c>
      <c r="AJ313" s="10">
        <f>IF($A313="","",MAX(0,IFERROR(INDEX('2_IMPORTAR_EJECUCION'!$H$9:$H$1208,MATCH($AQ313,'2_IMPORTAR_EJECUCION'!$J$9:$J$1208,0)),0)-$AI313))</f>
        <v/>
      </c>
      <c r="AK313" s="10">
        <f>IF($A313="","",$AI313+$AJ313)</f>
        <v/>
      </c>
      <c r="AL313" s="6" t="n"/>
      <c r="AM313" s="6" t="n"/>
      <c r="AN313" s="6" t="n"/>
      <c r="AO313" s="3">
        <f>IF($AN313="","",HYPERLINK(p_ruta_base_checklists&amp;$AN313,"abrir"))</f>
        <v/>
      </c>
      <c r="AP313" s="6" t="n"/>
      <c r="AQ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IF($A314="","",IFERROR(INDEX('AJUSTES'!$B$4:$B$303,MATCH($AQ314,'AJUSTES'!$A$4:$A$303,0)),IF($K314="","",$K314)))</f>
        <v/>
      </c>
      <c r="N314" s="3">
        <f>IF($A314="","",IFERROR(INDEX('CAT_ESTADOS_ERP'!$B$4:$B$7,MATCH(IFERROR(INDEX('2_IMPORTAR_EJECUCION'!$C$9:$C$1208,MATCH($AQ314,'2_IMPORTAR_EJECUCION'!$J$9:$J$1208,0)),""),'CAT_ESTADOS_ERP'!$A$4:$A$7,0)),"Pendiente"))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J314="","",IFERROR(INDEX('CALENDARIO'!$C$15:$C$214,MATCH(TEXT($J314,"yyyy-mm-dd")&amp;"|"&amp;$V314&amp;"|"&amp;$W314,'CALENDARIO'!$G$15:$G$214,0)),IFERROR(INDEX('CALENDARIO'!$C$15:$C$214,MATCH(TEXT($J314,"yyyy-mm-dd")&amp;"|"&amp;$V314&amp;"|",'CALENDARIO'!$G$15:$G$214,0)),IFERROR(INDEX('CALENDARIO'!$C$15:$C$214,MATCH(TEXT($J314,"yyyy-mm-dd")&amp;"||",'CALENDARIO'!$G$15:$G$214,0)),INDEX(patronHabil,WEEKDAY($J314,2))))))</f>
        <v/>
      </c>
      <c r="T314" s="3">
        <f>IF($I314="","",IFERROR(INDEX('CAT_TIPOS_OT'!$C$4:$C$7,MATCH($I314,'CAT_TIPOS_OT'!$A$4:$A$7,0)),"sin_clasificar"))</f>
        <v/>
      </c>
      <c r="U314" s="3">
        <f>IF($F314="","",IFERROR(INDEX('CAT_CENTROS_COSTO'!$F$4:$F$13,MATCH($F314,'CAT_CENTROS_COSTO'!$A$4:$A$13,0)),"(sin catálogo)"))</f>
        <v/>
      </c>
      <c r="V314" s="3">
        <f>IF($F314="","",IFERROR(INDEX('CAT_CENTROS_COSTO'!$D$4:$D$13,MATCH($F314,'CAT_CENTROS_COSTO'!$A$4:$A$13,0)),"(sin catálogo)"))</f>
        <v/>
      </c>
      <c r="W314" s="3">
        <f>IF($F314="","",IF((IFERROR(INDEX('CAT_CENTROS_COSTO'!$E$4:$E$13,MATCH($F314,'CAT_CENTROS_COSTO'!$A$4:$A$13,0)),""))&lt;&gt;"",IFERROR(INDEX('CAT_CENTROS_COSTO'!$E$4:$E$13,MATCH($F314,'CAT_CENTROS_COSTO'!$A$4:$A$13,0)),""),$V314))</f>
        <v/>
      </c>
      <c r="X314" s="3">
        <f>IF($F314="","",IFERROR(INDEX('CAT_CENTROS_COSTO'!$G$4:$G$13,MATCH($F314,'CAT_CENTROS_COSTO'!$A$4:$A$13,0)),"(sin catálogo)"))</f>
        <v/>
      </c>
      <c r="Y314" s="3">
        <f>IF($G314="","",IFERROR(INDEX('CAT_PUESTOS'!$B$4:$B$8,MATCH($G314,'CAT_PUESTOS'!$A$4:$A$8,0)),"(sin catálogo)"))</f>
        <v/>
      </c>
      <c r="Z314" s="3">
        <f>IF($H314="","",IFERROR(INDEX('CAT_ACTIVIDADES'!$B$4:$B$8,MATCH($H314,'CAT_ACTIVIDADES'!$A$4:$A$8,0)),"(sin catálogo)"))</f>
        <v/>
      </c>
      <c r="AA314" s="12">
        <f>IF($J314="","",TODAY()-$J314)</f>
        <v/>
      </c>
      <c r="AB314" s="12">
        <f>IF($J314="","",IF($J314&lt;=TODAY(),COUNTIFS(cal_fechas,"&gt;="&amp;$J314,cal_fechas,"&lt;"&amp;TODAY(),cal_habil,"sí"),-COUNTIFS(cal_fechas,"&gt;="&amp;TODAY(),cal_fechas,"&lt;"&amp;$J314,cal_habil,"sí")))</f>
        <v/>
      </c>
      <c r="AC314" s="3">
        <f>IF($AB314="","",IF($AB314&lt;0,"FUTURO",IF($AB314&gt;p_dias_backlog_max,"BACKLOG","MES CORRIENTE")))</f>
        <v/>
      </c>
      <c r="AD314" s="3">
        <f>IF($AB314="",FALSE,AND($AB314&gt;p_dias_backlog_min,$AB314&lt;=p_dias_backlog_max))</f>
        <v/>
      </c>
      <c r="AE314" s="6" t="n"/>
      <c r="AF314" s="3">
        <f>IF($AE314="","",IF((IFERROR(INDEX('ASIGNACIONES'!$F$4:$F$339,MATCH($O314&amp;"|"&amp;$R314&amp;"|"&amp;$AE314,'ASIGNACIONES'!$J$4:$J$339,0)),""))=0,"",IFERROR(INDEX('ASIGNACIONES'!$F$4:$F$339,MATCH($O314&amp;"|"&amp;$R314&amp;"|"&amp;$AE314,'ASIGNACIONES'!$J$4:$J$339,0)),"")))</f>
        <v/>
      </c>
      <c r="AG314" s="13">
        <f>IF($AE314="","",SUMIFS('ORDENES'!$M$4:$M$1203,'ORDENES'!$AE$4:$AE$1203,$AE314,'ORDENES'!$O$4:$O$1203,$O314,'ORDENES'!$R$4:$R$1203,$R314))</f>
        <v/>
      </c>
      <c r="AH314" s="13">
        <f>IF($AG314="","",p_factor_productividad*IFERROR(INDEX('ASIGNACIONES'!$I$4:$I$339,MATCH($O314&amp;"|"&amp;$R314&amp;"|"&amp;$AE314,'ASIGNACIONES'!$J$4:$J$339,0)),0)-$AG314)</f>
        <v/>
      </c>
      <c r="AI314" s="10">
        <f>IF($A314="","",IFERROR(INDEX('2_IMPORTAR_EJECUCION'!$F$9:$F$1208,MATCH($AQ314,'2_IMPORTAR_EJECUCION'!$J$9:$J$1208,0)),0))</f>
        <v/>
      </c>
      <c r="AJ314" s="10">
        <f>IF($A314="","",MAX(0,IFERROR(INDEX('2_IMPORTAR_EJECUCION'!$H$9:$H$1208,MATCH($AQ314,'2_IMPORTAR_EJECUCION'!$J$9:$J$1208,0)),0)-$AI314))</f>
        <v/>
      </c>
      <c r="AK314" s="10">
        <f>IF($A314="","",$AI314+$AJ314)</f>
        <v/>
      </c>
      <c r="AL314" s="6" t="n"/>
      <c r="AM314" s="6" t="n"/>
      <c r="AN314" s="6" t="n"/>
      <c r="AO314" s="3">
        <f>IF($AN314="","",HYPERLINK(p_ruta_base_checklists&amp;$AN314,"abrir"))</f>
        <v/>
      </c>
      <c r="AP314" s="6" t="n"/>
      <c r="AQ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IF($A315="","",IFERROR(INDEX('AJUSTES'!$B$4:$B$303,MATCH($AQ315,'AJUSTES'!$A$4:$A$303,0)),IF($K315="","",$K315)))</f>
        <v/>
      </c>
      <c r="N315" s="3">
        <f>IF($A315="","",IFERROR(INDEX('CAT_ESTADOS_ERP'!$B$4:$B$7,MATCH(IFERROR(INDEX('2_IMPORTAR_EJECUCION'!$C$9:$C$1208,MATCH($AQ315,'2_IMPORTAR_EJECUCION'!$J$9:$J$1208,0)),""),'CAT_ESTADOS_ERP'!$A$4:$A$7,0)),"Pendiente"))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J315="","",IFERROR(INDEX('CALENDARIO'!$C$15:$C$214,MATCH(TEXT($J315,"yyyy-mm-dd")&amp;"|"&amp;$V315&amp;"|"&amp;$W315,'CALENDARIO'!$G$15:$G$214,0)),IFERROR(INDEX('CALENDARIO'!$C$15:$C$214,MATCH(TEXT($J315,"yyyy-mm-dd")&amp;"|"&amp;$V315&amp;"|",'CALENDARIO'!$G$15:$G$214,0)),IFERROR(INDEX('CALENDARIO'!$C$15:$C$214,MATCH(TEXT($J315,"yyyy-mm-dd")&amp;"||",'CALENDARIO'!$G$15:$G$214,0)),INDEX(patronHabil,WEEKDAY($J315,2))))))</f>
        <v/>
      </c>
      <c r="T315" s="3">
        <f>IF($I315="","",IFERROR(INDEX('CAT_TIPOS_OT'!$C$4:$C$7,MATCH($I315,'CAT_TIPOS_OT'!$A$4:$A$7,0)),"sin_clasificar"))</f>
        <v/>
      </c>
      <c r="U315" s="3">
        <f>IF($F315="","",IFERROR(INDEX('CAT_CENTROS_COSTO'!$F$4:$F$13,MATCH($F315,'CAT_CENTROS_COSTO'!$A$4:$A$13,0)),"(sin catálogo)"))</f>
        <v/>
      </c>
      <c r="V315" s="3">
        <f>IF($F315="","",IFERROR(INDEX('CAT_CENTROS_COSTO'!$D$4:$D$13,MATCH($F315,'CAT_CENTROS_COSTO'!$A$4:$A$13,0)),"(sin catálogo)"))</f>
        <v/>
      </c>
      <c r="W315" s="3">
        <f>IF($F315="","",IF((IFERROR(INDEX('CAT_CENTROS_COSTO'!$E$4:$E$13,MATCH($F315,'CAT_CENTROS_COSTO'!$A$4:$A$13,0)),""))&lt;&gt;"",IFERROR(INDEX('CAT_CENTROS_COSTO'!$E$4:$E$13,MATCH($F315,'CAT_CENTROS_COSTO'!$A$4:$A$13,0)),""),$V315))</f>
        <v/>
      </c>
      <c r="X315" s="3">
        <f>IF($F315="","",IFERROR(INDEX('CAT_CENTROS_COSTO'!$G$4:$G$13,MATCH($F315,'CAT_CENTROS_COSTO'!$A$4:$A$13,0)),"(sin catálogo)"))</f>
        <v/>
      </c>
      <c r="Y315" s="3">
        <f>IF($G315="","",IFERROR(INDEX('CAT_PUESTOS'!$B$4:$B$8,MATCH($G315,'CAT_PUESTOS'!$A$4:$A$8,0)),"(sin catálogo)"))</f>
        <v/>
      </c>
      <c r="Z315" s="3">
        <f>IF($H315="","",IFERROR(INDEX('CAT_ACTIVIDADES'!$B$4:$B$8,MATCH($H315,'CAT_ACTIVIDADES'!$A$4:$A$8,0)),"(sin catálogo)"))</f>
        <v/>
      </c>
      <c r="AA315" s="12">
        <f>IF($J315="","",TODAY()-$J315)</f>
        <v/>
      </c>
      <c r="AB315" s="12">
        <f>IF($J315="","",IF($J315&lt;=TODAY(),COUNTIFS(cal_fechas,"&gt;="&amp;$J315,cal_fechas,"&lt;"&amp;TODAY(),cal_habil,"sí"),-COUNTIFS(cal_fechas,"&gt;="&amp;TODAY(),cal_fechas,"&lt;"&amp;$J315,cal_habil,"sí")))</f>
        <v/>
      </c>
      <c r="AC315" s="3">
        <f>IF($AB315="","",IF($AB315&lt;0,"FUTURO",IF($AB315&gt;p_dias_backlog_max,"BACKLOG","MES CORRIENTE")))</f>
        <v/>
      </c>
      <c r="AD315" s="3">
        <f>IF($AB315="",FALSE,AND($AB315&gt;p_dias_backlog_min,$AB315&lt;=p_dias_backlog_max))</f>
        <v/>
      </c>
      <c r="AE315" s="6" t="n"/>
      <c r="AF315" s="3">
        <f>IF($AE315="","",IF((IFERROR(INDEX('ASIGNACIONES'!$F$4:$F$339,MATCH($O315&amp;"|"&amp;$R315&amp;"|"&amp;$AE315,'ASIGNACIONES'!$J$4:$J$339,0)),""))=0,"",IFERROR(INDEX('ASIGNACIONES'!$F$4:$F$339,MATCH($O315&amp;"|"&amp;$R315&amp;"|"&amp;$AE315,'ASIGNACIONES'!$J$4:$J$339,0)),"")))</f>
        <v/>
      </c>
      <c r="AG315" s="13">
        <f>IF($AE315="","",SUMIFS('ORDENES'!$M$4:$M$1203,'ORDENES'!$AE$4:$AE$1203,$AE315,'ORDENES'!$O$4:$O$1203,$O315,'ORDENES'!$R$4:$R$1203,$R315))</f>
        <v/>
      </c>
      <c r="AH315" s="13">
        <f>IF($AG315="","",p_factor_productividad*IFERROR(INDEX('ASIGNACIONES'!$I$4:$I$339,MATCH($O315&amp;"|"&amp;$R315&amp;"|"&amp;$AE315,'ASIGNACIONES'!$J$4:$J$339,0)),0)-$AG315)</f>
        <v/>
      </c>
      <c r="AI315" s="10">
        <f>IF($A315="","",IFERROR(INDEX('2_IMPORTAR_EJECUCION'!$F$9:$F$1208,MATCH($AQ315,'2_IMPORTAR_EJECUCION'!$J$9:$J$1208,0)),0))</f>
        <v/>
      </c>
      <c r="AJ315" s="10">
        <f>IF($A315="","",MAX(0,IFERROR(INDEX('2_IMPORTAR_EJECUCION'!$H$9:$H$1208,MATCH($AQ315,'2_IMPORTAR_EJECUCION'!$J$9:$J$1208,0)),0)-$AI315))</f>
        <v/>
      </c>
      <c r="AK315" s="10">
        <f>IF($A315="","",$AI315+$AJ315)</f>
        <v/>
      </c>
      <c r="AL315" s="6" t="n"/>
      <c r="AM315" s="6" t="n"/>
      <c r="AN315" s="6" t="n"/>
      <c r="AO315" s="3">
        <f>IF($AN315="","",HYPERLINK(p_ruta_base_checklists&amp;$AN315,"abrir"))</f>
        <v/>
      </c>
      <c r="AP315" s="6" t="n"/>
      <c r="AQ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IF($A316="","",IFERROR(INDEX('AJUSTES'!$B$4:$B$303,MATCH($AQ316,'AJUSTES'!$A$4:$A$303,0)),IF($K316="","",$K316)))</f>
        <v/>
      </c>
      <c r="N316" s="3">
        <f>IF($A316="","",IFERROR(INDEX('CAT_ESTADOS_ERP'!$B$4:$B$7,MATCH(IFERROR(INDEX('2_IMPORTAR_EJECUCION'!$C$9:$C$1208,MATCH($AQ316,'2_IMPORTAR_EJECUCION'!$J$9:$J$1208,0)),""),'CAT_ESTADOS_ERP'!$A$4:$A$7,0)),"Pendiente"))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J316="","",IFERROR(INDEX('CALENDARIO'!$C$15:$C$214,MATCH(TEXT($J316,"yyyy-mm-dd")&amp;"|"&amp;$V316&amp;"|"&amp;$W316,'CALENDARIO'!$G$15:$G$214,0)),IFERROR(INDEX('CALENDARIO'!$C$15:$C$214,MATCH(TEXT($J316,"yyyy-mm-dd")&amp;"|"&amp;$V316&amp;"|",'CALENDARIO'!$G$15:$G$214,0)),IFERROR(INDEX('CALENDARIO'!$C$15:$C$214,MATCH(TEXT($J316,"yyyy-mm-dd")&amp;"||",'CALENDARIO'!$G$15:$G$214,0)),INDEX(patronHabil,WEEKDAY($J316,2))))))</f>
        <v/>
      </c>
      <c r="T316" s="3">
        <f>IF($I316="","",IFERROR(INDEX('CAT_TIPOS_OT'!$C$4:$C$7,MATCH($I316,'CAT_TIPOS_OT'!$A$4:$A$7,0)),"sin_clasificar"))</f>
        <v/>
      </c>
      <c r="U316" s="3">
        <f>IF($F316="","",IFERROR(INDEX('CAT_CENTROS_COSTO'!$F$4:$F$13,MATCH($F316,'CAT_CENTROS_COSTO'!$A$4:$A$13,0)),"(sin catálogo)"))</f>
        <v/>
      </c>
      <c r="V316" s="3">
        <f>IF($F316="","",IFERROR(INDEX('CAT_CENTROS_COSTO'!$D$4:$D$13,MATCH($F316,'CAT_CENTROS_COSTO'!$A$4:$A$13,0)),"(sin catálogo)"))</f>
        <v/>
      </c>
      <c r="W316" s="3">
        <f>IF($F316="","",IF((IFERROR(INDEX('CAT_CENTROS_COSTO'!$E$4:$E$13,MATCH($F316,'CAT_CENTROS_COSTO'!$A$4:$A$13,0)),""))&lt;&gt;"",IFERROR(INDEX('CAT_CENTROS_COSTO'!$E$4:$E$13,MATCH($F316,'CAT_CENTROS_COSTO'!$A$4:$A$13,0)),""),$V316))</f>
        <v/>
      </c>
      <c r="X316" s="3">
        <f>IF($F316="","",IFERROR(INDEX('CAT_CENTROS_COSTO'!$G$4:$G$13,MATCH($F316,'CAT_CENTROS_COSTO'!$A$4:$A$13,0)),"(sin catálogo)"))</f>
        <v/>
      </c>
      <c r="Y316" s="3">
        <f>IF($G316="","",IFERROR(INDEX('CAT_PUESTOS'!$B$4:$B$8,MATCH($G316,'CAT_PUESTOS'!$A$4:$A$8,0)),"(sin catálogo)"))</f>
        <v/>
      </c>
      <c r="Z316" s="3">
        <f>IF($H316="","",IFERROR(INDEX('CAT_ACTIVIDADES'!$B$4:$B$8,MATCH($H316,'CAT_ACTIVIDADES'!$A$4:$A$8,0)),"(sin catálogo)"))</f>
        <v/>
      </c>
      <c r="AA316" s="12">
        <f>IF($J316="","",TODAY()-$J316)</f>
        <v/>
      </c>
      <c r="AB316" s="12">
        <f>IF($J316="","",IF($J316&lt;=TODAY(),COUNTIFS(cal_fechas,"&gt;="&amp;$J316,cal_fechas,"&lt;"&amp;TODAY(),cal_habil,"sí"),-COUNTIFS(cal_fechas,"&gt;="&amp;TODAY(),cal_fechas,"&lt;"&amp;$J316,cal_habil,"sí")))</f>
        <v/>
      </c>
      <c r="AC316" s="3">
        <f>IF($AB316="","",IF($AB316&lt;0,"FUTURO",IF($AB316&gt;p_dias_backlog_max,"BACKLOG","MES CORRIENTE")))</f>
        <v/>
      </c>
      <c r="AD316" s="3">
        <f>IF($AB316="",FALSE,AND($AB316&gt;p_dias_backlog_min,$AB316&lt;=p_dias_backlog_max))</f>
        <v/>
      </c>
      <c r="AE316" s="6" t="n"/>
      <c r="AF316" s="3">
        <f>IF($AE316="","",IF((IFERROR(INDEX('ASIGNACIONES'!$F$4:$F$339,MATCH($O316&amp;"|"&amp;$R316&amp;"|"&amp;$AE316,'ASIGNACIONES'!$J$4:$J$339,0)),""))=0,"",IFERROR(INDEX('ASIGNACIONES'!$F$4:$F$339,MATCH($O316&amp;"|"&amp;$R316&amp;"|"&amp;$AE316,'ASIGNACIONES'!$J$4:$J$339,0)),"")))</f>
        <v/>
      </c>
      <c r="AG316" s="13">
        <f>IF($AE316="","",SUMIFS('ORDENES'!$M$4:$M$1203,'ORDENES'!$AE$4:$AE$1203,$AE316,'ORDENES'!$O$4:$O$1203,$O316,'ORDENES'!$R$4:$R$1203,$R316))</f>
        <v/>
      </c>
      <c r="AH316" s="13">
        <f>IF($AG316="","",p_factor_productividad*IFERROR(INDEX('ASIGNACIONES'!$I$4:$I$339,MATCH($O316&amp;"|"&amp;$R316&amp;"|"&amp;$AE316,'ASIGNACIONES'!$J$4:$J$339,0)),0)-$AG316)</f>
        <v/>
      </c>
      <c r="AI316" s="10">
        <f>IF($A316="","",IFERROR(INDEX('2_IMPORTAR_EJECUCION'!$F$9:$F$1208,MATCH($AQ316,'2_IMPORTAR_EJECUCION'!$J$9:$J$1208,0)),0))</f>
        <v/>
      </c>
      <c r="AJ316" s="10">
        <f>IF($A316="","",MAX(0,IFERROR(INDEX('2_IMPORTAR_EJECUCION'!$H$9:$H$1208,MATCH($AQ316,'2_IMPORTAR_EJECUCION'!$J$9:$J$1208,0)),0)-$AI316))</f>
        <v/>
      </c>
      <c r="AK316" s="10">
        <f>IF($A316="","",$AI316+$AJ316)</f>
        <v/>
      </c>
      <c r="AL316" s="6" t="n"/>
      <c r="AM316" s="6" t="n"/>
      <c r="AN316" s="6" t="n"/>
      <c r="AO316" s="3">
        <f>IF($AN316="","",HYPERLINK(p_ruta_base_checklists&amp;$AN316,"abrir"))</f>
        <v/>
      </c>
      <c r="AP316" s="6" t="n"/>
      <c r="AQ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IF($A317="","",IFERROR(INDEX('AJUSTES'!$B$4:$B$303,MATCH($AQ317,'AJUSTES'!$A$4:$A$303,0)),IF($K317="","",$K317)))</f>
        <v/>
      </c>
      <c r="N317" s="3">
        <f>IF($A317="","",IFERROR(INDEX('CAT_ESTADOS_ERP'!$B$4:$B$7,MATCH(IFERROR(INDEX('2_IMPORTAR_EJECUCION'!$C$9:$C$1208,MATCH($AQ317,'2_IMPORTAR_EJECUCION'!$J$9:$J$1208,0)),""),'CAT_ESTADOS_ERP'!$A$4:$A$7,0)),"Pendiente"))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J317="","",IFERROR(INDEX('CALENDARIO'!$C$15:$C$214,MATCH(TEXT($J317,"yyyy-mm-dd")&amp;"|"&amp;$V317&amp;"|"&amp;$W317,'CALENDARIO'!$G$15:$G$214,0)),IFERROR(INDEX('CALENDARIO'!$C$15:$C$214,MATCH(TEXT($J317,"yyyy-mm-dd")&amp;"|"&amp;$V317&amp;"|",'CALENDARIO'!$G$15:$G$214,0)),IFERROR(INDEX('CALENDARIO'!$C$15:$C$214,MATCH(TEXT($J317,"yyyy-mm-dd")&amp;"||",'CALENDARIO'!$G$15:$G$214,0)),INDEX(patronHabil,WEEKDAY($J317,2))))))</f>
        <v/>
      </c>
      <c r="T317" s="3">
        <f>IF($I317="","",IFERROR(INDEX('CAT_TIPOS_OT'!$C$4:$C$7,MATCH($I317,'CAT_TIPOS_OT'!$A$4:$A$7,0)),"sin_clasificar"))</f>
        <v/>
      </c>
      <c r="U317" s="3">
        <f>IF($F317="","",IFERROR(INDEX('CAT_CENTROS_COSTO'!$F$4:$F$13,MATCH($F317,'CAT_CENTROS_COSTO'!$A$4:$A$13,0)),"(sin catálogo)"))</f>
        <v/>
      </c>
      <c r="V317" s="3">
        <f>IF($F317="","",IFERROR(INDEX('CAT_CENTROS_COSTO'!$D$4:$D$13,MATCH($F317,'CAT_CENTROS_COSTO'!$A$4:$A$13,0)),"(sin catálogo)"))</f>
        <v/>
      </c>
      <c r="W317" s="3">
        <f>IF($F317="","",IF((IFERROR(INDEX('CAT_CENTROS_COSTO'!$E$4:$E$13,MATCH($F317,'CAT_CENTROS_COSTO'!$A$4:$A$13,0)),""))&lt;&gt;"",IFERROR(INDEX('CAT_CENTROS_COSTO'!$E$4:$E$13,MATCH($F317,'CAT_CENTROS_COSTO'!$A$4:$A$13,0)),""),$V317))</f>
        <v/>
      </c>
      <c r="X317" s="3">
        <f>IF($F317="","",IFERROR(INDEX('CAT_CENTROS_COSTO'!$G$4:$G$13,MATCH($F317,'CAT_CENTROS_COSTO'!$A$4:$A$13,0)),"(sin catálogo)"))</f>
        <v/>
      </c>
      <c r="Y317" s="3">
        <f>IF($G317="","",IFERROR(INDEX('CAT_PUESTOS'!$B$4:$B$8,MATCH($G317,'CAT_PUESTOS'!$A$4:$A$8,0)),"(sin catálogo)"))</f>
        <v/>
      </c>
      <c r="Z317" s="3">
        <f>IF($H317="","",IFERROR(INDEX('CAT_ACTIVIDADES'!$B$4:$B$8,MATCH($H317,'CAT_ACTIVIDADES'!$A$4:$A$8,0)),"(sin catálogo)"))</f>
        <v/>
      </c>
      <c r="AA317" s="12">
        <f>IF($J317="","",TODAY()-$J317)</f>
        <v/>
      </c>
      <c r="AB317" s="12">
        <f>IF($J317="","",IF($J317&lt;=TODAY(),COUNTIFS(cal_fechas,"&gt;="&amp;$J317,cal_fechas,"&lt;"&amp;TODAY(),cal_habil,"sí"),-COUNTIFS(cal_fechas,"&gt;="&amp;TODAY(),cal_fechas,"&lt;"&amp;$J317,cal_habil,"sí")))</f>
        <v/>
      </c>
      <c r="AC317" s="3">
        <f>IF($AB317="","",IF($AB317&lt;0,"FUTURO",IF($AB317&gt;p_dias_backlog_max,"BACKLOG","MES CORRIENTE")))</f>
        <v/>
      </c>
      <c r="AD317" s="3">
        <f>IF($AB317="",FALSE,AND($AB317&gt;p_dias_backlog_min,$AB317&lt;=p_dias_backlog_max))</f>
        <v/>
      </c>
      <c r="AE317" s="6" t="n"/>
      <c r="AF317" s="3">
        <f>IF($AE317="","",IF((IFERROR(INDEX('ASIGNACIONES'!$F$4:$F$339,MATCH($O317&amp;"|"&amp;$R317&amp;"|"&amp;$AE317,'ASIGNACIONES'!$J$4:$J$339,0)),""))=0,"",IFERROR(INDEX('ASIGNACIONES'!$F$4:$F$339,MATCH($O317&amp;"|"&amp;$R317&amp;"|"&amp;$AE317,'ASIGNACIONES'!$J$4:$J$339,0)),"")))</f>
        <v/>
      </c>
      <c r="AG317" s="13">
        <f>IF($AE317="","",SUMIFS('ORDENES'!$M$4:$M$1203,'ORDENES'!$AE$4:$AE$1203,$AE317,'ORDENES'!$O$4:$O$1203,$O317,'ORDENES'!$R$4:$R$1203,$R317))</f>
        <v/>
      </c>
      <c r="AH317" s="13">
        <f>IF($AG317="","",p_factor_productividad*IFERROR(INDEX('ASIGNACIONES'!$I$4:$I$339,MATCH($O317&amp;"|"&amp;$R317&amp;"|"&amp;$AE317,'ASIGNACIONES'!$J$4:$J$339,0)),0)-$AG317)</f>
        <v/>
      </c>
      <c r="AI317" s="10">
        <f>IF($A317="","",IFERROR(INDEX('2_IMPORTAR_EJECUCION'!$F$9:$F$1208,MATCH($AQ317,'2_IMPORTAR_EJECUCION'!$J$9:$J$1208,0)),0))</f>
        <v/>
      </c>
      <c r="AJ317" s="10">
        <f>IF($A317="","",MAX(0,IFERROR(INDEX('2_IMPORTAR_EJECUCION'!$H$9:$H$1208,MATCH($AQ317,'2_IMPORTAR_EJECUCION'!$J$9:$J$1208,0)),0)-$AI317))</f>
        <v/>
      </c>
      <c r="AK317" s="10">
        <f>IF($A317="","",$AI317+$AJ317)</f>
        <v/>
      </c>
      <c r="AL317" s="6" t="n"/>
      <c r="AM317" s="6" t="n"/>
      <c r="AN317" s="6" t="n"/>
      <c r="AO317" s="3">
        <f>IF($AN317="","",HYPERLINK(p_ruta_base_checklists&amp;$AN317,"abrir"))</f>
        <v/>
      </c>
      <c r="AP317" s="6" t="n"/>
      <c r="AQ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IF($A318="","",IFERROR(INDEX('AJUSTES'!$B$4:$B$303,MATCH($AQ318,'AJUSTES'!$A$4:$A$303,0)),IF($K318="","",$K318)))</f>
        <v/>
      </c>
      <c r="N318" s="3">
        <f>IF($A318="","",IFERROR(INDEX('CAT_ESTADOS_ERP'!$B$4:$B$7,MATCH(IFERROR(INDEX('2_IMPORTAR_EJECUCION'!$C$9:$C$1208,MATCH($AQ318,'2_IMPORTAR_EJECUCION'!$J$9:$J$1208,0)),""),'CAT_ESTADOS_ERP'!$A$4:$A$7,0)),"Pendiente"))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J318="","",IFERROR(INDEX('CALENDARIO'!$C$15:$C$214,MATCH(TEXT($J318,"yyyy-mm-dd")&amp;"|"&amp;$V318&amp;"|"&amp;$W318,'CALENDARIO'!$G$15:$G$214,0)),IFERROR(INDEX('CALENDARIO'!$C$15:$C$214,MATCH(TEXT($J318,"yyyy-mm-dd")&amp;"|"&amp;$V318&amp;"|",'CALENDARIO'!$G$15:$G$214,0)),IFERROR(INDEX('CALENDARIO'!$C$15:$C$214,MATCH(TEXT($J318,"yyyy-mm-dd")&amp;"||",'CALENDARIO'!$G$15:$G$214,0)),INDEX(patronHabil,WEEKDAY($J318,2))))))</f>
        <v/>
      </c>
      <c r="T318" s="3">
        <f>IF($I318="","",IFERROR(INDEX('CAT_TIPOS_OT'!$C$4:$C$7,MATCH($I318,'CAT_TIPOS_OT'!$A$4:$A$7,0)),"sin_clasificar"))</f>
        <v/>
      </c>
      <c r="U318" s="3">
        <f>IF($F318="","",IFERROR(INDEX('CAT_CENTROS_COSTO'!$F$4:$F$13,MATCH($F318,'CAT_CENTROS_COSTO'!$A$4:$A$13,0)),"(sin catálogo)"))</f>
        <v/>
      </c>
      <c r="V318" s="3">
        <f>IF($F318="","",IFERROR(INDEX('CAT_CENTROS_COSTO'!$D$4:$D$13,MATCH($F318,'CAT_CENTROS_COSTO'!$A$4:$A$13,0)),"(sin catálogo)"))</f>
        <v/>
      </c>
      <c r="W318" s="3">
        <f>IF($F318="","",IF((IFERROR(INDEX('CAT_CENTROS_COSTO'!$E$4:$E$13,MATCH($F318,'CAT_CENTROS_COSTO'!$A$4:$A$13,0)),""))&lt;&gt;"",IFERROR(INDEX('CAT_CENTROS_COSTO'!$E$4:$E$13,MATCH($F318,'CAT_CENTROS_COSTO'!$A$4:$A$13,0)),""),$V318))</f>
        <v/>
      </c>
      <c r="X318" s="3">
        <f>IF($F318="","",IFERROR(INDEX('CAT_CENTROS_COSTO'!$G$4:$G$13,MATCH($F318,'CAT_CENTROS_COSTO'!$A$4:$A$13,0)),"(sin catálogo)"))</f>
        <v/>
      </c>
      <c r="Y318" s="3">
        <f>IF($G318="","",IFERROR(INDEX('CAT_PUESTOS'!$B$4:$B$8,MATCH($G318,'CAT_PUESTOS'!$A$4:$A$8,0)),"(sin catálogo)"))</f>
        <v/>
      </c>
      <c r="Z318" s="3">
        <f>IF($H318="","",IFERROR(INDEX('CAT_ACTIVIDADES'!$B$4:$B$8,MATCH($H318,'CAT_ACTIVIDADES'!$A$4:$A$8,0)),"(sin catálogo)"))</f>
        <v/>
      </c>
      <c r="AA318" s="12">
        <f>IF($J318="","",TODAY()-$J318)</f>
        <v/>
      </c>
      <c r="AB318" s="12">
        <f>IF($J318="","",IF($J318&lt;=TODAY(),COUNTIFS(cal_fechas,"&gt;="&amp;$J318,cal_fechas,"&lt;"&amp;TODAY(),cal_habil,"sí"),-COUNTIFS(cal_fechas,"&gt;="&amp;TODAY(),cal_fechas,"&lt;"&amp;$J318,cal_habil,"sí")))</f>
        <v/>
      </c>
      <c r="AC318" s="3">
        <f>IF($AB318="","",IF($AB318&lt;0,"FUTURO",IF($AB318&gt;p_dias_backlog_max,"BACKLOG","MES CORRIENTE")))</f>
        <v/>
      </c>
      <c r="AD318" s="3">
        <f>IF($AB318="",FALSE,AND($AB318&gt;p_dias_backlog_min,$AB318&lt;=p_dias_backlog_max))</f>
        <v/>
      </c>
      <c r="AE318" s="6" t="n"/>
      <c r="AF318" s="3">
        <f>IF($AE318="","",IF((IFERROR(INDEX('ASIGNACIONES'!$F$4:$F$339,MATCH($O318&amp;"|"&amp;$R318&amp;"|"&amp;$AE318,'ASIGNACIONES'!$J$4:$J$339,0)),""))=0,"",IFERROR(INDEX('ASIGNACIONES'!$F$4:$F$339,MATCH($O318&amp;"|"&amp;$R318&amp;"|"&amp;$AE318,'ASIGNACIONES'!$J$4:$J$339,0)),"")))</f>
        <v/>
      </c>
      <c r="AG318" s="13">
        <f>IF($AE318="","",SUMIFS('ORDENES'!$M$4:$M$1203,'ORDENES'!$AE$4:$AE$1203,$AE318,'ORDENES'!$O$4:$O$1203,$O318,'ORDENES'!$R$4:$R$1203,$R318))</f>
        <v/>
      </c>
      <c r="AH318" s="13">
        <f>IF($AG318="","",p_factor_productividad*IFERROR(INDEX('ASIGNACIONES'!$I$4:$I$339,MATCH($O318&amp;"|"&amp;$R318&amp;"|"&amp;$AE318,'ASIGNACIONES'!$J$4:$J$339,0)),0)-$AG318)</f>
        <v/>
      </c>
      <c r="AI318" s="10">
        <f>IF($A318="","",IFERROR(INDEX('2_IMPORTAR_EJECUCION'!$F$9:$F$1208,MATCH($AQ318,'2_IMPORTAR_EJECUCION'!$J$9:$J$1208,0)),0))</f>
        <v/>
      </c>
      <c r="AJ318" s="10">
        <f>IF($A318="","",MAX(0,IFERROR(INDEX('2_IMPORTAR_EJECUCION'!$H$9:$H$1208,MATCH($AQ318,'2_IMPORTAR_EJECUCION'!$J$9:$J$1208,0)),0)-$AI318))</f>
        <v/>
      </c>
      <c r="AK318" s="10">
        <f>IF($A318="","",$AI318+$AJ318)</f>
        <v/>
      </c>
      <c r="AL318" s="6" t="n"/>
      <c r="AM318" s="6" t="n"/>
      <c r="AN318" s="6" t="n"/>
      <c r="AO318" s="3">
        <f>IF($AN318="","",HYPERLINK(p_ruta_base_checklists&amp;$AN318,"abrir"))</f>
        <v/>
      </c>
      <c r="AP318" s="6" t="n"/>
      <c r="AQ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IF($A319="","",IFERROR(INDEX('AJUSTES'!$B$4:$B$303,MATCH($AQ319,'AJUSTES'!$A$4:$A$303,0)),IF($K319="","",$K319)))</f>
        <v/>
      </c>
      <c r="N319" s="3">
        <f>IF($A319="","",IFERROR(INDEX('CAT_ESTADOS_ERP'!$B$4:$B$7,MATCH(IFERROR(INDEX('2_IMPORTAR_EJECUCION'!$C$9:$C$1208,MATCH($AQ319,'2_IMPORTAR_EJECUCION'!$J$9:$J$1208,0)),""),'CAT_ESTADOS_ERP'!$A$4:$A$7,0)),"Pendiente"))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J319="","",IFERROR(INDEX('CALENDARIO'!$C$15:$C$214,MATCH(TEXT($J319,"yyyy-mm-dd")&amp;"|"&amp;$V319&amp;"|"&amp;$W319,'CALENDARIO'!$G$15:$G$214,0)),IFERROR(INDEX('CALENDARIO'!$C$15:$C$214,MATCH(TEXT($J319,"yyyy-mm-dd")&amp;"|"&amp;$V319&amp;"|",'CALENDARIO'!$G$15:$G$214,0)),IFERROR(INDEX('CALENDARIO'!$C$15:$C$214,MATCH(TEXT($J319,"yyyy-mm-dd")&amp;"||",'CALENDARIO'!$G$15:$G$214,0)),INDEX(patronHabil,WEEKDAY($J319,2))))))</f>
        <v/>
      </c>
      <c r="T319" s="3">
        <f>IF($I319="","",IFERROR(INDEX('CAT_TIPOS_OT'!$C$4:$C$7,MATCH($I319,'CAT_TIPOS_OT'!$A$4:$A$7,0)),"sin_clasificar"))</f>
        <v/>
      </c>
      <c r="U319" s="3">
        <f>IF($F319="","",IFERROR(INDEX('CAT_CENTROS_COSTO'!$F$4:$F$13,MATCH($F319,'CAT_CENTROS_COSTO'!$A$4:$A$13,0)),"(sin catálogo)"))</f>
        <v/>
      </c>
      <c r="V319" s="3">
        <f>IF($F319="","",IFERROR(INDEX('CAT_CENTROS_COSTO'!$D$4:$D$13,MATCH($F319,'CAT_CENTROS_COSTO'!$A$4:$A$13,0)),"(sin catálogo)"))</f>
        <v/>
      </c>
      <c r="W319" s="3">
        <f>IF($F319="","",IF((IFERROR(INDEX('CAT_CENTROS_COSTO'!$E$4:$E$13,MATCH($F319,'CAT_CENTROS_COSTO'!$A$4:$A$13,0)),""))&lt;&gt;"",IFERROR(INDEX('CAT_CENTROS_COSTO'!$E$4:$E$13,MATCH($F319,'CAT_CENTROS_COSTO'!$A$4:$A$13,0)),""),$V319))</f>
        <v/>
      </c>
      <c r="X319" s="3">
        <f>IF($F319="","",IFERROR(INDEX('CAT_CENTROS_COSTO'!$G$4:$G$13,MATCH($F319,'CAT_CENTROS_COSTO'!$A$4:$A$13,0)),"(sin catálogo)"))</f>
        <v/>
      </c>
      <c r="Y319" s="3">
        <f>IF($G319="","",IFERROR(INDEX('CAT_PUESTOS'!$B$4:$B$8,MATCH($G319,'CAT_PUESTOS'!$A$4:$A$8,0)),"(sin catálogo)"))</f>
        <v/>
      </c>
      <c r="Z319" s="3">
        <f>IF($H319="","",IFERROR(INDEX('CAT_ACTIVIDADES'!$B$4:$B$8,MATCH($H319,'CAT_ACTIVIDADES'!$A$4:$A$8,0)),"(sin catálogo)"))</f>
        <v/>
      </c>
      <c r="AA319" s="12">
        <f>IF($J319="","",TODAY()-$J319)</f>
        <v/>
      </c>
      <c r="AB319" s="12">
        <f>IF($J319="","",IF($J319&lt;=TODAY(),COUNTIFS(cal_fechas,"&gt;="&amp;$J319,cal_fechas,"&lt;"&amp;TODAY(),cal_habil,"sí"),-COUNTIFS(cal_fechas,"&gt;="&amp;TODAY(),cal_fechas,"&lt;"&amp;$J319,cal_habil,"sí")))</f>
        <v/>
      </c>
      <c r="AC319" s="3">
        <f>IF($AB319="","",IF($AB319&lt;0,"FUTURO",IF($AB319&gt;p_dias_backlog_max,"BACKLOG","MES CORRIENTE")))</f>
        <v/>
      </c>
      <c r="AD319" s="3">
        <f>IF($AB319="",FALSE,AND($AB319&gt;p_dias_backlog_min,$AB319&lt;=p_dias_backlog_max))</f>
        <v/>
      </c>
      <c r="AE319" s="6" t="n"/>
      <c r="AF319" s="3">
        <f>IF($AE319="","",IF((IFERROR(INDEX('ASIGNACIONES'!$F$4:$F$339,MATCH($O319&amp;"|"&amp;$R319&amp;"|"&amp;$AE319,'ASIGNACIONES'!$J$4:$J$339,0)),""))=0,"",IFERROR(INDEX('ASIGNACIONES'!$F$4:$F$339,MATCH($O319&amp;"|"&amp;$R319&amp;"|"&amp;$AE319,'ASIGNACIONES'!$J$4:$J$339,0)),"")))</f>
        <v/>
      </c>
      <c r="AG319" s="13">
        <f>IF($AE319="","",SUMIFS('ORDENES'!$M$4:$M$1203,'ORDENES'!$AE$4:$AE$1203,$AE319,'ORDENES'!$O$4:$O$1203,$O319,'ORDENES'!$R$4:$R$1203,$R319))</f>
        <v/>
      </c>
      <c r="AH319" s="13">
        <f>IF($AG319="","",p_factor_productividad*IFERROR(INDEX('ASIGNACIONES'!$I$4:$I$339,MATCH($O319&amp;"|"&amp;$R319&amp;"|"&amp;$AE319,'ASIGNACIONES'!$J$4:$J$339,0)),0)-$AG319)</f>
        <v/>
      </c>
      <c r="AI319" s="10">
        <f>IF($A319="","",IFERROR(INDEX('2_IMPORTAR_EJECUCION'!$F$9:$F$1208,MATCH($AQ319,'2_IMPORTAR_EJECUCION'!$J$9:$J$1208,0)),0))</f>
        <v/>
      </c>
      <c r="AJ319" s="10">
        <f>IF($A319="","",MAX(0,IFERROR(INDEX('2_IMPORTAR_EJECUCION'!$H$9:$H$1208,MATCH($AQ319,'2_IMPORTAR_EJECUCION'!$J$9:$J$1208,0)),0)-$AI319))</f>
        <v/>
      </c>
      <c r="AK319" s="10">
        <f>IF($A319="","",$AI319+$AJ319)</f>
        <v/>
      </c>
      <c r="AL319" s="6" t="n"/>
      <c r="AM319" s="6" t="n"/>
      <c r="AN319" s="6" t="n"/>
      <c r="AO319" s="3">
        <f>IF($AN319="","",HYPERLINK(p_ruta_base_checklists&amp;$AN319,"abrir"))</f>
        <v/>
      </c>
      <c r="AP319" s="6" t="n"/>
      <c r="AQ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IF($A320="","",IFERROR(INDEX('AJUSTES'!$B$4:$B$303,MATCH($AQ320,'AJUSTES'!$A$4:$A$303,0)),IF($K320="","",$K320)))</f>
        <v/>
      </c>
      <c r="N320" s="3">
        <f>IF($A320="","",IFERROR(INDEX('CAT_ESTADOS_ERP'!$B$4:$B$7,MATCH(IFERROR(INDEX('2_IMPORTAR_EJECUCION'!$C$9:$C$1208,MATCH($AQ320,'2_IMPORTAR_EJECUCION'!$J$9:$J$1208,0)),""),'CAT_ESTADOS_ERP'!$A$4:$A$7,0)),"Pendiente"))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J320="","",IFERROR(INDEX('CALENDARIO'!$C$15:$C$214,MATCH(TEXT($J320,"yyyy-mm-dd")&amp;"|"&amp;$V320&amp;"|"&amp;$W320,'CALENDARIO'!$G$15:$G$214,0)),IFERROR(INDEX('CALENDARIO'!$C$15:$C$214,MATCH(TEXT($J320,"yyyy-mm-dd")&amp;"|"&amp;$V320&amp;"|",'CALENDARIO'!$G$15:$G$214,0)),IFERROR(INDEX('CALENDARIO'!$C$15:$C$214,MATCH(TEXT($J320,"yyyy-mm-dd")&amp;"||",'CALENDARIO'!$G$15:$G$214,0)),INDEX(patronHabil,WEEKDAY($J320,2))))))</f>
        <v/>
      </c>
      <c r="T320" s="3">
        <f>IF($I320="","",IFERROR(INDEX('CAT_TIPOS_OT'!$C$4:$C$7,MATCH($I320,'CAT_TIPOS_OT'!$A$4:$A$7,0)),"sin_clasificar"))</f>
        <v/>
      </c>
      <c r="U320" s="3">
        <f>IF($F320="","",IFERROR(INDEX('CAT_CENTROS_COSTO'!$F$4:$F$13,MATCH($F320,'CAT_CENTROS_COSTO'!$A$4:$A$13,0)),"(sin catálogo)"))</f>
        <v/>
      </c>
      <c r="V320" s="3">
        <f>IF($F320="","",IFERROR(INDEX('CAT_CENTROS_COSTO'!$D$4:$D$13,MATCH($F320,'CAT_CENTROS_COSTO'!$A$4:$A$13,0)),"(sin catálogo)"))</f>
        <v/>
      </c>
      <c r="W320" s="3">
        <f>IF($F320="","",IF((IFERROR(INDEX('CAT_CENTROS_COSTO'!$E$4:$E$13,MATCH($F320,'CAT_CENTROS_COSTO'!$A$4:$A$13,0)),""))&lt;&gt;"",IFERROR(INDEX('CAT_CENTROS_COSTO'!$E$4:$E$13,MATCH($F320,'CAT_CENTROS_COSTO'!$A$4:$A$13,0)),""),$V320))</f>
        <v/>
      </c>
      <c r="X320" s="3">
        <f>IF($F320="","",IFERROR(INDEX('CAT_CENTROS_COSTO'!$G$4:$G$13,MATCH($F320,'CAT_CENTROS_COSTO'!$A$4:$A$13,0)),"(sin catálogo)"))</f>
        <v/>
      </c>
      <c r="Y320" s="3">
        <f>IF($G320="","",IFERROR(INDEX('CAT_PUESTOS'!$B$4:$B$8,MATCH($G320,'CAT_PUESTOS'!$A$4:$A$8,0)),"(sin catálogo)"))</f>
        <v/>
      </c>
      <c r="Z320" s="3">
        <f>IF($H320="","",IFERROR(INDEX('CAT_ACTIVIDADES'!$B$4:$B$8,MATCH($H320,'CAT_ACTIVIDADES'!$A$4:$A$8,0)),"(sin catálogo)"))</f>
        <v/>
      </c>
      <c r="AA320" s="12">
        <f>IF($J320="","",TODAY()-$J320)</f>
        <v/>
      </c>
      <c r="AB320" s="12">
        <f>IF($J320="","",IF($J320&lt;=TODAY(),COUNTIFS(cal_fechas,"&gt;="&amp;$J320,cal_fechas,"&lt;"&amp;TODAY(),cal_habil,"sí"),-COUNTIFS(cal_fechas,"&gt;="&amp;TODAY(),cal_fechas,"&lt;"&amp;$J320,cal_habil,"sí")))</f>
        <v/>
      </c>
      <c r="AC320" s="3">
        <f>IF($AB320="","",IF($AB320&lt;0,"FUTURO",IF($AB320&gt;p_dias_backlog_max,"BACKLOG","MES CORRIENTE")))</f>
        <v/>
      </c>
      <c r="AD320" s="3">
        <f>IF($AB320="",FALSE,AND($AB320&gt;p_dias_backlog_min,$AB320&lt;=p_dias_backlog_max))</f>
        <v/>
      </c>
      <c r="AE320" s="6" t="n"/>
      <c r="AF320" s="3">
        <f>IF($AE320="","",IF((IFERROR(INDEX('ASIGNACIONES'!$F$4:$F$339,MATCH($O320&amp;"|"&amp;$R320&amp;"|"&amp;$AE320,'ASIGNACIONES'!$J$4:$J$339,0)),""))=0,"",IFERROR(INDEX('ASIGNACIONES'!$F$4:$F$339,MATCH($O320&amp;"|"&amp;$R320&amp;"|"&amp;$AE320,'ASIGNACIONES'!$J$4:$J$339,0)),"")))</f>
        <v/>
      </c>
      <c r="AG320" s="13">
        <f>IF($AE320="","",SUMIFS('ORDENES'!$M$4:$M$1203,'ORDENES'!$AE$4:$AE$1203,$AE320,'ORDENES'!$O$4:$O$1203,$O320,'ORDENES'!$R$4:$R$1203,$R320))</f>
        <v/>
      </c>
      <c r="AH320" s="13">
        <f>IF($AG320="","",p_factor_productividad*IFERROR(INDEX('ASIGNACIONES'!$I$4:$I$339,MATCH($O320&amp;"|"&amp;$R320&amp;"|"&amp;$AE320,'ASIGNACIONES'!$J$4:$J$339,0)),0)-$AG320)</f>
        <v/>
      </c>
      <c r="AI320" s="10">
        <f>IF($A320="","",IFERROR(INDEX('2_IMPORTAR_EJECUCION'!$F$9:$F$1208,MATCH($AQ320,'2_IMPORTAR_EJECUCION'!$J$9:$J$1208,0)),0))</f>
        <v/>
      </c>
      <c r="AJ320" s="10">
        <f>IF($A320="","",MAX(0,IFERROR(INDEX('2_IMPORTAR_EJECUCION'!$H$9:$H$1208,MATCH($AQ320,'2_IMPORTAR_EJECUCION'!$J$9:$J$1208,0)),0)-$AI320))</f>
        <v/>
      </c>
      <c r="AK320" s="10">
        <f>IF($A320="","",$AI320+$AJ320)</f>
        <v/>
      </c>
      <c r="AL320" s="6" t="n"/>
      <c r="AM320" s="6" t="n"/>
      <c r="AN320" s="6" t="n"/>
      <c r="AO320" s="3">
        <f>IF($AN320="","",HYPERLINK(p_ruta_base_checklists&amp;$AN320,"abrir"))</f>
        <v/>
      </c>
      <c r="AP320" s="6" t="n"/>
      <c r="AQ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IF($A321="","",IFERROR(INDEX('AJUSTES'!$B$4:$B$303,MATCH($AQ321,'AJUSTES'!$A$4:$A$303,0)),IF($K321="","",$K321)))</f>
        <v/>
      </c>
      <c r="N321" s="3">
        <f>IF($A321="","",IFERROR(INDEX('CAT_ESTADOS_ERP'!$B$4:$B$7,MATCH(IFERROR(INDEX('2_IMPORTAR_EJECUCION'!$C$9:$C$1208,MATCH($AQ321,'2_IMPORTAR_EJECUCION'!$J$9:$J$1208,0)),""),'CAT_ESTADOS_ERP'!$A$4:$A$7,0)),"Pendiente"))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J321="","",IFERROR(INDEX('CALENDARIO'!$C$15:$C$214,MATCH(TEXT($J321,"yyyy-mm-dd")&amp;"|"&amp;$V321&amp;"|"&amp;$W321,'CALENDARIO'!$G$15:$G$214,0)),IFERROR(INDEX('CALENDARIO'!$C$15:$C$214,MATCH(TEXT($J321,"yyyy-mm-dd")&amp;"|"&amp;$V321&amp;"|",'CALENDARIO'!$G$15:$G$214,0)),IFERROR(INDEX('CALENDARIO'!$C$15:$C$214,MATCH(TEXT($J321,"yyyy-mm-dd")&amp;"||",'CALENDARIO'!$G$15:$G$214,0)),INDEX(patronHabil,WEEKDAY($J321,2))))))</f>
        <v/>
      </c>
      <c r="T321" s="3">
        <f>IF($I321="","",IFERROR(INDEX('CAT_TIPOS_OT'!$C$4:$C$7,MATCH($I321,'CAT_TIPOS_OT'!$A$4:$A$7,0)),"sin_clasificar"))</f>
        <v/>
      </c>
      <c r="U321" s="3">
        <f>IF($F321="","",IFERROR(INDEX('CAT_CENTROS_COSTO'!$F$4:$F$13,MATCH($F321,'CAT_CENTROS_COSTO'!$A$4:$A$13,0)),"(sin catálogo)"))</f>
        <v/>
      </c>
      <c r="V321" s="3">
        <f>IF($F321="","",IFERROR(INDEX('CAT_CENTROS_COSTO'!$D$4:$D$13,MATCH($F321,'CAT_CENTROS_COSTO'!$A$4:$A$13,0)),"(sin catálogo)"))</f>
        <v/>
      </c>
      <c r="W321" s="3">
        <f>IF($F321="","",IF((IFERROR(INDEX('CAT_CENTROS_COSTO'!$E$4:$E$13,MATCH($F321,'CAT_CENTROS_COSTO'!$A$4:$A$13,0)),""))&lt;&gt;"",IFERROR(INDEX('CAT_CENTROS_COSTO'!$E$4:$E$13,MATCH($F321,'CAT_CENTROS_COSTO'!$A$4:$A$13,0)),""),$V321))</f>
        <v/>
      </c>
      <c r="X321" s="3">
        <f>IF($F321="","",IFERROR(INDEX('CAT_CENTROS_COSTO'!$G$4:$G$13,MATCH($F321,'CAT_CENTROS_COSTO'!$A$4:$A$13,0)),"(sin catálogo)"))</f>
        <v/>
      </c>
      <c r="Y321" s="3">
        <f>IF($G321="","",IFERROR(INDEX('CAT_PUESTOS'!$B$4:$B$8,MATCH($G321,'CAT_PUESTOS'!$A$4:$A$8,0)),"(sin catálogo)"))</f>
        <v/>
      </c>
      <c r="Z321" s="3">
        <f>IF($H321="","",IFERROR(INDEX('CAT_ACTIVIDADES'!$B$4:$B$8,MATCH($H321,'CAT_ACTIVIDADES'!$A$4:$A$8,0)),"(sin catálogo)"))</f>
        <v/>
      </c>
      <c r="AA321" s="12">
        <f>IF($J321="","",TODAY()-$J321)</f>
        <v/>
      </c>
      <c r="AB321" s="12">
        <f>IF($J321="","",IF($J321&lt;=TODAY(),COUNTIFS(cal_fechas,"&gt;="&amp;$J321,cal_fechas,"&lt;"&amp;TODAY(),cal_habil,"sí"),-COUNTIFS(cal_fechas,"&gt;="&amp;TODAY(),cal_fechas,"&lt;"&amp;$J321,cal_habil,"sí")))</f>
        <v/>
      </c>
      <c r="AC321" s="3">
        <f>IF($AB321="","",IF($AB321&lt;0,"FUTURO",IF($AB321&gt;p_dias_backlog_max,"BACKLOG","MES CORRIENTE")))</f>
        <v/>
      </c>
      <c r="AD321" s="3">
        <f>IF($AB321="",FALSE,AND($AB321&gt;p_dias_backlog_min,$AB321&lt;=p_dias_backlog_max))</f>
        <v/>
      </c>
      <c r="AE321" s="6" t="n"/>
      <c r="AF321" s="3">
        <f>IF($AE321="","",IF((IFERROR(INDEX('ASIGNACIONES'!$F$4:$F$339,MATCH($O321&amp;"|"&amp;$R321&amp;"|"&amp;$AE321,'ASIGNACIONES'!$J$4:$J$339,0)),""))=0,"",IFERROR(INDEX('ASIGNACIONES'!$F$4:$F$339,MATCH($O321&amp;"|"&amp;$R321&amp;"|"&amp;$AE321,'ASIGNACIONES'!$J$4:$J$339,0)),"")))</f>
        <v/>
      </c>
      <c r="AG321" s="13">
        <f>IF($AE321="","",SUMIFS('ORDENES'!$M$4:$M$1203,'ORDENES'!$AE$4:$AE$1203,$AE321,'ORDENES'!$O$4:$O$1203,$O321,'ORDENES'!$R$4:$R$1203,$R321))</f>
        <v/>
      </c>
      <c r="AH321" s="13">
        <f>IF($AG321="","",p_factor_productividad*IFERROR(INDEX('ASIGNACIONES'!$I$4:$I$339,MATCH($O321&amp;"|"&amp;$R321&amp;"|"&amp;$AE321,'ASIGNACIONES'!$J$4:$J$339,0)),0)-$AG321)</f>
        <v/>
      </c>
      <c r="AI321" s="10">
        <f>IF($A321="","",IFERROR(INDEX('2_IMPORTAR_EJECUCION'!$F$9:$F$1208,MATCH($AQ321,'2_IMPORTAR_EJECUCION'!$J$9:$J$1208,0)),0))</f>
        <v/>
      </c>
      <c r="AJ321" s="10">
        <f>IF($A321="","",MAX(0,IFERROR(INDEX('2_IMPORTAR_EJECUCION'!$H$9:$H$1208,MATCH($AQ321,'2_IMPORTAR_EJECUCION'!$J$9:$J$1208,0)),0)-$AI321))</f>
        <v/>
      </c>
      <c r="AK321" s="10">
        <f>IF($A321="","",$AI321+$AJ321)</f>
        <v/>
      </c>
      <c r="AL321" s="6" t="n"/>
      <c r="AM321" s="6" t="n"/>
      <c r="AN321" s="6" t="n"/>
      <c r="AO321" s="3">
        <f>IF($AN321="","",HYPERLINK(p_ruta_base_checklists&amp;$AN321,"abrir"))</f>
        <v/>
      </c>
      <c r="AP321" s="6" t="n"/>
      <c r="AQ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IF($A322="","",IFERROR(INDEX('AJUSTES'!$B$4:$B$303,MATCH($AQ322,'AJUSTES'!$A$4:$A$303,0)),IF($K322="","",$K322)))</f>
        <v/>
      </c>
      <c r="N322" s="3">
        <f>IF($A322="","",IFERROR(INDEX('CAT_ESTADOS_ERP'!$B$4:$B$7,MATCH(IFERROR(INDEX('2_IMPORTAR_EJECUCION'!$C$9:$C$1208,MATCH($AQ322,'2_IMPORTAR_EJECUCION'!$J$9:$J$1208,0)),""),'CAT_ESTADOS_ERP'!$A$4:$A$7,0)),"Pendiente"))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J322="","",IFERROR(INDEX('CALENDARIO'!$C$15:$C$214,MATCH(TEXT($J322,"yyyy-mm-dd")&amp;"|"&amp;$V322&amp;"|"&amp;$W322,'CALENDARIO'!$G$15:$G$214,0)),IFERROR(INDEX('CALENDARIO'!$C$15:$C$214,MATCH(TEXT($J322,"yyyy-mm-dd")&amp;"|"&amp;$V322&amp;"|",'CALENDARIO'!$G$15:$G$214,0)),IFERROR(INDEX('CALENDARIO'!$C$15:$C$214,MATCH(TEXT($J322,"yyyy-mm-dd")&amp;"||",'CALENDARIO'!$G$15:$G$214,0)),INDEX(patronHabil,WEEKDAY($J322,2))))))</f>
        <v/>
      </c>
      <c r="T322" s="3">
        <f>IF($I322="","",IFERROR(INDEX('CAT_TIPOS_OT'!$C$4:$C$7,MATCH($I322,'CAT_TIPOS_OT'!$A$4:$A$7,0)),"sin_clasificar"))</f>
        <v/>
      </c>
      <c r="U322" s="3">
        <f>IF($F322="","",IFERROR(INDEX('CAT_CENTROS_COSTO'!$F$4:$F$13,MATCH($F322,'CAT_CENTROS_COSTO'!$A$4:$A$13,0)),"(sin catálogo)"))</f>
        <v/>
      </c>
      <c r="V322" s="3">
        <f>IF($F322="","",IFERROR(INDEX('CAT_CENTROS_COSTO'!$D$4:$D$13,MATCH($F322,'CAT_CENTROS_COSTO'!$A$4:$A$13,0)),"(sin catálogo)"))</f>
        <v/>
      </c>
      <c r="W322" s="3">
        <f>IF($F322="","",IF((IFERROR(INDEX('CAT_CENTROS_COSTO'!$E$4:$E$13,MATCH($F322,'CAT_CENTROS_COSTO'!$A$4:$A$13,0)),""))&lt;&gt;"",IFERROR(INDEX('CAT_CENTROS_COSTO'!$E$4:$E$13,MATCH($F322,'CAT_CENTROS_COSTO'!$A$4:$A$13,0)),""),$V322))</f>
        <v/>
      </c>
      <c r="X322" s="3">
        <f>IF($F322="","",IFERROR(INDEX('CAT_CENTROS_COSTO'!$G$4:$G$13,MATCH($F322,'CAT_CENTROS_COSTO'!$A$4:$A$13,0)),"(sin catálogo)"))</f>
        <v/>
      </c>
      <c r="Y322" s="3">
        <f>IF($G322="","",IFERROR(INDEX('CAT_PUESTOS'!$B$4:$B$8,MATCH($G322,'CAT_PUESTOS'!$A$4:$A$8,0)),"(sin catálogo)"))</f>
        <v/>
      </c>
      <c r="Z322" s="3">
        <f>IF($H322="","",IFERROR(INDEX('CAT_ACTIVIDADES'!$B$4:$B$8,MATCH($H322,'CAT_ACTIVIDADES'!$A$4:$A$8,0)),"(sin catálogo)"))</f>
        <v/>
      </c>
      <c r="AA322" s="12">
        <f>IF($J322="","",TODAY()-$J322)</f>
        <v/>
      </c>
      <c r="AB322" s="12">
        <f>IF($J322="","",IF($J322&lt;=TODAY(),COUNTIFS(cal_fechas,"&gt;="&amp;$J322,cal_fechas,"&lt;"&amp;TODAY(),cal_habil,"sí"),-COUNTIFS(cal_fechas,"&gt;="&amp;TODAY(),cal_fechas,"&lt;"&amp;$J322,cal_habil,"sí")))</f>
        <v/>
      </c>
      <c r="AC322" s="3">
        <f>IF($AB322="","",IF($AB322&lt;0,"FUTURO",IF($AB322&gt;p_dias_backlog_max,"BACKLOG","MES CORRIENTE")))</f>
        <v/>
      </c>
      <c r="AD322" s="3">
        <f>IF($AB322="",FALSE,AND($AB322&gt;p_dias_backlog_min,$AB322&lt;=p_dias_backlog_max))</f>
        <v/>
      </c>
      <c r="AE322" s="6" t="n"/>
      <c r="AF322" s="3">
        <f>IF($AE322="","",IF((IFERROR(INDEX('ASIGNACIONES'!$F$4:$F$339,MATCH($O322&amp;"|"&amp;$R322&amp;"|"&amp;$AE322,'ASIGNACIONES'!$J$4:$J$339,0)),""))=0,"",IFERROR(INDEX('ASIGNACIONES'!$F$4:$F$339,MATCH($O322&amp;"|"&amp;$R322&amp;"|"&amp;$AE322,'ASIGNACIONES'!$J$4:$J$339,0)),"")))</f>
        <v/>
      </c>
      <c r="AG322" s="13">
        <f>IF($AE322="","",SUMIFS('ORDENES'!$M$4:$M$1203,'ORDENES'!$AE$4:$AE$1203,$AE322,'ORDENES'!$O$4:$O$1203,$O322,'ORDENES'!$R$4:$R$1203,$R322))</f>
        <v/>
      </c>
      <c r="AH322" s="13">
        <f>IF($AG322="","",p_factor_productividad*IFERROR(INDEX('ASIGNACIONES'!$I$4:$I$339,MATCH($O322&amp;"|"&amp;$R322&amp;"|"&amp;$AE322,'ASIGNACIONES'!$J$4:$J$339,0)),0)-$AG322)</f>
        <v/>
      </c>
      <c r="AI322" s="10">
        <f>IF($A322="","",IFERROR(INDEX('2_IMPORTAR_EJECUCION'!$F$9:$F$1208,MATCH($AQ322,'2_IMPORTAR_EJECUCION'!$J$9:$J$1208,0)),0))</f>
        <v/>
      </c>
      <c r="AJ322" s="10">
        <f>IF($A322="","",MAX(0,IFERROR(INDEX('2_IMPORTAR_EJECUCION'!$H$9:$H$1208,MATCH($AQ322,'2_IMPORTAR_EJECUCION'!$J$9:$J$1208,0)),0)-$AI322))</f>
        <v/>
      </c>
      <c r="AK322" s="10">
        <f>IF($A322="","",$AI322+$AJ322)</f>
        <v/>
      </c>
      <c r="AL322" s="6" t="n"/>
      <c r="AM322" s="6" t="n"/>
      <c r="AN322" s="6" t="n"/>
      <c r="AO322" s="3">
        <f>IF($AN322="","",HYPERLINK(p_ruta_base_checklists&amp;$AN322,"abrir"))</f>
        <v/>
      </c>
      <c r="AP322" s="6" t="n"/>
      <c r="AQ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IF($A323="","",IFERROR(INDEX('AJUSTES'!$B$4:$B$303,MATCH($AQ323,'AJUSTES'!$A$4:$A$303,0)),IF($K323="","",$K323)))</f>
        <v/>
      </c>
      <c r="N323" s="3">
        <f>IF($A323="","",IFERROR(INDEX('CAT_ESTADOS_ERP'!$B$4:$B$7,MATCH(IFERROR(INDEX('2_IMPORTAR_EJECUCION'!$C$9:$C$1208,MATCH($AQ323,'2_IMPORTAR_EJECUCION'!$J$9:$J$1208,0)),""),'CAT_ESTADOS_ERP'!$A$4:$A$7,0)),"Pendiente"))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J323="","",IFERROR(INDEX('CALENDARIO'!$C$15:$C$214,MATCH(TEXT($J323,"yyyy-mm-dd")&amp;"|"&amp;$V323&amp;"|"&amp;$W323,'CALENDARIO'!$G$15:$G$214,0)),IFERROR(INDEX('CALENDARIO'!$C$15:$C$214,MATCH(TEXT($J323,"yyyy-mm-dd")&amp;"|"&amp;$V323&amp;"|",'CALENDARIO'!$G$15:$G$214,0)),IFERROR(INDEX('CALENDARIO'!$C$15:$C$214,MATCH(TEXT($J323,"yyyy-mm-dd")&amp;"||",'CALENDARIO'!$G$15:$G$214,0)),INDEX(patronHabil,WEEKDAY($J323,2))))))</f>
        <v/>
      </c>
      <c r="T323" s="3">
        <f>IF($I323="","",IFERROR(INDEX('CAT_TIPOS_OT'!$C$4:$C$7,MATCH($I323,'CAT_TIPOS_OT'!$A$4:$A$7,0)),"sin_clasificar"))</f>
        <v/>
      </c>
      <c r="U323" s="3">
        <f>IF($F323="","",IFERROR(INDEX('CAT_CENTROS_COSTO'!$F$4:$F$13,MATCH($F323,'CAT_CENTROS_COSTO'!$A$4:$A$13,0)),"(sin catálogo)"))</f>
        <v/>
      </c>
      <c r="V323" s="3">
        <f>IF($F323="","",IFERROR(INDEX('CAT_CENTROS_COSTO'!$D$4:$D$13,MATCH($F323,'CAT_CENTROS_COSTO'!$A$4:$A$13,0)),"(sin catálogo)"))</f>
        <v/>
      </c>
      <c r="W323" s="3">
        <f>IF($F323="","",IF((IFERROR(INDEX('CAT_CENTROS_COSTO'!$E$4:$E$13,MATCH($F323,'CAT_CENTROS_COSTO'!$A$4:$A$13,0)),""))&lt;&gt;"",IFERROR(INDEX('CAT_CENTROS_COSTO'!$E$4:$E$13,MATCH($F323,'CAT_CENTROS_COSTO'!$A$4:$A$13,0)),""),$V323))</f>
        <v/>
      </c>
      <c r="X323" s="3">
        <f>IF($F323="","",IFERROR(INDEX('CAT_CENTROS_COSTO'!$G$4:$G$13,MATCH($F323,'CAT_CENTROS_COSTO'!$A$4:$A$13,0)),"(sin catálogo)"))</f>
        <v/>
      </c>
      <c r="Y323" s="3">
        <f>IF($G323="","",IFERROR(INDEX('CAT_PUESTOS'!$B$4:$B$8,MATCH($G323,'CAT_PUESTOS'!$A$4:$A$8,0)),"(sin catálogo)"))</f>
        <v/>
      </c>
      <c r="Z323" s="3">
        <f>IF($H323="","",IFERROR(INDEX('CAT_ACTIVIDADES'!$B$4:$B$8,MATCH($H323,'CAT_ACTIVIDADES'!$A$4:$A$8,0)),"(sin catálogo)"))</f>
        <v/>
      </c>
      <c r="AA323" s="12">
        <f>IF($J323="","",TODAY()-$J323)</f>
        <v/>
      </c>
      <c r="AB323" s="12">
        <f>IF($J323="","",IF($J323&lt;=TODAY(),COUNTIFS(cal_fechas,"&gt;="&amp;$J323,cal_fechas,"&lt;"&amp;TODAY(),cal_habil,"sí"),-COUNTIFS(cal_fechas,"&gt;="&amp;TODAY(),cal_fechas,"&lt;"&amp;$J323,cal_habil,"sí")))</f>
        <v/>
      </c>
      <c r="AC323" s="3">
        <f>IF($AB323="","",IF($AB323&lt;0,"FUTURO",IF($AB323&gt;p_dias_backlog_max,"BACKLOG","MES CORRIENTE")))</f>
        <v/>
      </c>
      <c r="AD323" s="3">
        <f>IF($AB323="",FALSE,AND($AB323&gt;p_dias_backlog_min,$AB323&lt;=p_dias_backlog_max))</f>
        <v/>
      </c>
      <c r="AE323" s="6" t="n"/>
      <c r="AF323" s="3">
        <f>IF($AE323="","",IF((IFERROR(INDEX('ASIGNACIONES'!$F$4:$F$339,MATCH($O323&amp;"|"&amp;$R323&amp;"|"&amp;$AE323,'ASIGNACIONES'!$J$4:$J$339,0)),""))=0,"",IFERROR(INDEX('ASIGNACIONES'!$F$4:$F$339,MATCH($O323&amp;"|"&amp;$R323&amp;"|"&amp;$AE323,'ASIGNACIONES'!$J$4:$J$339,0)),"")))</f>
        <v/>
      </c>
      <c r="AG323" s="13">
        <f>IF($AE323="","",SUMIFS('ORDENES'!$M$4:$M$1203,'ORDENES'!$AE$4:$AE$1203,$AE323,'ORDENES'!$O$4:$O$1203,$O323,'ORDENES'!$R$4:$R$1203,$R323))</f>
        <v/>
      </c>
      <c r="AH323" s="13">
        <f>IF($AG323="","",p_factor_productividad*IFERROR(INDEX('ASIGNACIONES'!$I$4:$I$339,MATCH($O323&amp;"|"&amp;$R323&amp;"|"&amp;$AE323,'ASIGNACIONES'!$J$4:$J$339,0)),0)-$AG323)</f>
        <v/>
      </c>
      <c r="AI323" s="10">
        <f>IF($A323="","",IFERROR(INDEX('2_IMPORTAR_EJECUCION'!$F$9:$F$1208,MATCH($AQ323,'2_IMPORTAR_EJECUCION'!$J$9:$J$1208,0)),0))</f>
        <v/>
      </c>
      <c r="AJ323" s="10">
        <f>IF($A323="","",MAX(0,IFERROR(INDEX('2_IMPORTAR_EJECUCION'!$H$9:$H$1208,MATCH($AQ323,'2_IMPORTAR_EJECUCION'!$J$9:$J$1208,0)),0)-$AI323))</f>
        <v/>
      </c>
      <c r="AK323" s="10">
        <f>IF($A323="","",$AI323+$AJ323)</f>
        <v/>
      </c>
      <c r="AL323" s="6" t="n"/>
      <c r="AM323" s="6" t="n"/>
      <c r="AN323" s="6" t="n"/>
      <c r="AO323" s="3">
        <f>IF($AN323="","",HYPERLINK(p_ruta_base_checklists&amp;$AN323,"abrir"))</f>
        <v/>
      </c>
      <c r="AP323" s="6" t="n"/>
      <c r="AQ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IF($A324="","",IFERROR(INDEX('AJUSTES'!$B$4:$B$303,MATCH($AQ324,'AJUSTES'!$A$4:$A$303,0)),IF($K324="","",$K324)))</f>
        <v/>
      </c>
      <c r="N324" s="3">
        <f>IF($A324="","",IFERROR(INDEX('CAT_ESTADOS_ERP'!$B$4:$B$7,MATCH(IFERROR(INDEX('2_IMPORTAR_EJECUCION'!$C$9:$C$1208,MATCH($AQ324,'2_IMPORTAR_EJECUCION'!$J$9:$J$1208,0)),""),'CAT_ESTADOS_ERP'!$A$4:$A$7,0)),"Pendiente"))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J324="","",IFERROR(INDEX('CALENDARIO'!$C$15:$C$214,MATCH(TEXT($J324,"yyyy-mm-dd")&amp;"|"&amp;$V324&amp;"|"&amp;$W324,'CALENDARIO'!$G$15:$G$214,0)),IFERROR(INDEX('CALENDARIO'!$C$15:$C$214,MATCH(TEXT($J324,"yyyy-mm-dd")&amp;"|"&amp;$V324&amp;"|",'CALENDARIO'!$G$15:$G$214,0)),IFERROR(INDEX('CALENDARIO'!$C$15:$C$214,MATCH(TEXT($J324,"yyyy-mm-dd")&amp;"||",'CALENDARIO'!$G$15:$G$214,0)),INDEX(patronHabil,WEEKDAY($J324,2))))))</f>
        <v/>
      </c>
      <c r="T324" s="3">
        <f>IF($I324="","",IFERROR(INDEX('CAT_TIPOS_OT'!$C$4:$C$7,MATCH($I324,'CAT_TIPOS_OT'!$A$4:$A$7,0)),"sin_clasificar"))</f>
        <v/>
      </c>
      <c r="U324" s="3">
        <f>IF($F324="","",IFERROR(INDEX('CAT_CENTROS_COSTO'!$F$4:$F$13,MATCH($F324,'CAT_CENTROS_COSTO'!$A$4:$A$13,0)),"(sin catálogo)"))</f>
        <v/>
      </c>
      <c r="V324" s="3">
        <f>IF($F324="","",IFERROR(INDEX('CAT_CENTROS_COSTO'!$D$4:$D$13,MATCH($F324,'CAT_CENTROS_COSTO'!$A$4:$A$13,0)),"(sin catálogo)"))</f>
        <v/>
      </c>
      <c r="W324" s="3">
        <f>IF($F324="","",IF((IFERROR(INDEX('CAT_CENTROS_COSTO'!$E$4:$E$13,MATCH($F324,'CAT_CENTROS_COSTO'!$A$4:$A$13,0)),""))&lt;&gt;"",IFERROR(INDEX('CAT_CENTROS_COSTO'!$E$4:$E$13,MATCH($F324,'CAT_CENTROS_COSTO'!$A$4:$A$13,0)),""),$V324))</f>
        <v/>
      </c>
      <c r="X324" s="3">
        <f>IF($F324="","",IFERROR(INDEX('CAT_CENTROS_COSTO'!$G$4:$G$13,MATCH($F324,'CAT_CENTROS_COSTO'!$A$4:$A$13,0)),"(sin catálogo)"))</f>
        <v/>
      </c>
      <c r="Y324" s="3">
        <f>IF($G324="","",IFERROR(INDEX('CAT_PUESTOS'!$B$4:$B$8,MATCH($G324,'CAT_PUESTOS'!$A$4:$A$8,0)),"(sin catálogo)"))</f>
        <v/>
      </c>
      <c r="Z324" s="3">
        <f>IF($H324="","",IFERROR(INDEX('CAT_ACTIVIDADES'!$B$4:$B$8,MATCH($H324,'CAT_ACTIVIDADES'!$A$4:$A$8,0)),"(sin catálogo)"))</f>
        <v/>
      </c>
      <c r="AA324" s="12">
        <f>IF($J324="","",TODAY()-$J324)</f>
        <v/>
      </c>
      <c r="AB324" s="12">
        <f>IF($J324="","",IF($J324&lt;=TODAY(),COUNTIFS(cal_fechas,"&gt;="&amp;$J324,cal_fechas,"&lt;"&amp;TODAY(),cal_habil,"sí"),-COUNTIFS(cal_fechas,"&gt;="&amp;TODAY(),cal_fechas,"&lt;"&amp;$J324,cal_habil,"sí")))</f>
        <v/>
      </c>
      <c r="AC324" s="3">
        <f>IF($AB324="","",IF($AB324&lt;0,"FUTURO",IF($AB324&gt;p_dias_backlog_max,"BACKLOG","MES CORRIENTE")))</f>
        <v/>
      </c>
      <c r="AD324" s="3">
        <f>IF($AB324="",FALSE,AND($AB324&gt;p_dias_backlog_min,$AB324&lt;=p_dias_backlog_max))</f>
        <v/>
      </c>
      <c r="AE324" s="6" t="n"/>
      <c r="AF324" s="3">
        <f>IF($AE324="","",IF((IFERROR(INDEX('ASIGNACIONES'!$F$4:$F$339,MATCH($O324&amp;"|"&amp;$R324&amp;"|"&amp;$AE324,'ASIGNACIONES'!$J$4:$J$339,0)),""))=0,"",IFERROR(INDEX('ASIGNACIONES'!$F$4:$F$339,MATCH($O324&amp;"|"&amp;$R324&amp;"|"&amp;$AE324,'ASIGNACIONES'!$J$4:$J$339,0)),"")))</f>
        <v/>
      </c>
      <c r="AG324" s="13">
        <f>IF($AE324="","",SUMIFS('ORDENES'!$M$4:$M$1203,'ORDENES'!$AE$4:$AE$1203,$AE324,'ORDENES'!$O$4:$O$1203,$O324,'ORDENES'!$R$4:$R$1203,$R324))</f>
        <v/>
      </c>
      <c r="AH324" s="13">
        <f>IF($AG324="","",p_factor_productividad*IFERROR(INDEX('ASIGNACIONES'!$I$4:$I$339,MATCH($O324&amp;"|"&amp;$R324&amp;"|"&amp;$AE324,'ASIGNACIONES'!$J$4:$J$339,0)),0)-$AG324)</f>
        <v/>
      </c>
      <c r="AI324" s="10">
        <f>IF($A324="","",IFERROR(INDEX('2_IMPORTAR_EJECUCION'!$F$9:$F$1208,MATCH($AQ324,'2_IMPORTAR_EJECUCION'!$J$9:$J$1208,0)),0))</f>
        <v/>
      </c>
      <c r="AJ324" s="10">
        <f>IF($A324="","",MAX(0,IFERROR(INDEX('2_IMPORTAR_EJECUCION'!$H$9:$H$1208,MATCH($AQ324,'2_IMPORTAR_EJECUCION'!$J$9:$J$1208,0)),0)-$AI324))</f>
        <v/>
      </c>
      <c r="AK324" s="10">
        <f>IF($A324="","",$AI324+$AJ324)</f>
        <v/>
      </c>
      <c r="AL324" s="6" t="n"/>
      <c r="AM324" s="6" t="n"/>
      <c r="AN324" s="6" t="n"/>
      <c r="AO324" s="3">
        <f>IF($AN324="","",HYPERLINK(p_ruta_base_checklists&amp;$AN324,"abrir"))</f>
        <v/>
      </c>
      <c r="AP324" s="6" t="n"/>
      <c r="AQ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IF($A325="","",IFERROR(INDEX('AJUSTES'!$B$4:$B$303,MATCH($AQ325,'AJUSTES'!$A$4:$A$303,0)),IF($K325="","",$K325)))</f>
        <v/>
      </c>
      <c r="N325" s="3">
        <f>IF($A325="","",IFERROR(INDEX('CAT_ESTADOS_ERP'!$B$4:$B$7,MATCH(IFERROR(INDEX('2_IMPORTAR_EJECUCION'!$C$9:$C$1208,MATCH($AQ325,'2_IMPORTAR_EJECUCION'!$J$9:$J$1208,0)),""),'CAT_ESTADOS_ERP'!$A$4:$A$7,0)),"Pendiente"))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J325="","",IFERROR(INDEX('CALENDARIO'!$C$15:$C$214,MATCH(TEXT($J325,"yyyy-mm-dd")&amp;"|"&amp;$V325&amp;"|"&amp;$W325,'CALENDARIO'!$G$15:$G$214,0)),IFERROR(INDEX('CALENDARIO'!$C$15:$C$214,MATCH(TEXT($J325,"yyyy-mm-dd")&amp;"|"&amp;$V325&amp;"|",'CALENDARIO'!$G$15:$G$214,0)),IFERROR(INDEX('CALENDARIO'!$C$15:$C$214,MATCH(TEXT($J325,"yyyy-mm-dd")&amp;"||",'CALENDARIO'!$G$15:$G$214,0)),INDEX(patronHabil,WEEKDAY($J325,2))))))</f>
        <v/>
      </c>
      <c r="T325" s="3">
        <f>IF($I325="","",IFERROR(INDEX('CAT_TIPOS_OT'!$C$4:$C$7,MATCH($I325,'CAT_TIPOS_OT'!$A$4:$A$7,0)),"sin_clasificar"))</f>
        <v/>
      </c>
      <c r="U325" s="3">
        <f>IF($F325="","",IFERROR(INDEX('CAT_CENTROS_COSTO'!$F$4:$F$13,MATCH($F325,'CAT_CENTROS_COSTO'!$A$4:$A$13,0)),"(sin catálogo)"))</f>
        <v/>
      </c>
      <c r="V325" s="3">
        <f>IF($F325="","",IFERROR(INDEX('CAT_CENTROS_COSTO'!$D$4:$D$13,MATCH($F325,'CAT_CENTROS_COSTO'!$A$4:$A$13,0)),"(sin catálogo)"))</f>
        <v/>
      </c>
      <c r="W325" s="3">
        <f>IF($F325="","",IF((IFERROR(INDEX('CAT_CENTROS_COSTO'!$E$4:$E$13,MATCH($F325,'CAT_CENTROS_COSTO'!$A$4:$A$13,0)),""))&lt;&gt;"",IFERROR(INDEX('CAT_CENTROS_COSTO'!$E$4:$E$13,MATCH($F325,'CAT_CENTROS_COSTO'!$A$4:$A$13,0)),""),$V325))</f>
        <v/>
      </c>
      <c r="X325" s="3">
        <f>IF($F325="","",IFERROR(INDEX('CAT_CENTROS_COSTO'!$G$4:$G$13,MATCH($F325,'CAT_CENTROS_COSTO'!$A$4:$A$13,0)),"(sin catálogo)"))</f>
        <v/>
      </c>
      <c r="Y325" s="3">
        <f>IF($G325="","",IFERROR(INDEX('CAT_PUESTOS'!$B$4:$B$8,MATCH($G325,'CAT_PUESTOS'!$A$4:$A$8,0)),"(sin catálogo)"))</f>
        <v/>
      </c>
      <c r="Z325" s="3">
        <f>IF($H325="","",IFERROR(INDEX('CAT_ACTIVIDADES'!$B$4:$B$8,MATCH($H325,'CAT_ACTIVIDADES'!$A$4:$A$8,0)),"(sin catálogo)"))</f>
        <v/>
      </c>
      <c r="AA325" s="12">
        <f>IF($J325="","",TODAY()-$J325)</f>
        <v/>
      </c>
      <c r="AB325" s="12">
        <f>IF($J325="","",IF($J325&lt;=TODAY(),COUNTIFS(cal_fechas,"&gt;="&amp;$J325,cal_fechas,"&lt;"&amp;TODAY(),cal_habil,"sí"),-COUNTIFS(cal_fechas,"&gt;="&amp;TODAY(),cal_fechas,"&lt;"&amp;$J325,cal_habil,"sí")))</f>
        <v/>
      </c>
      <c r="AC325" s="3">
        <f>IF($AB325="","",IF($AB325&lt;0,"FUTURO",IF($AB325&gt;p_dias_backlog_max,"BACKLOG","MES CORRIENTE")))</f>
        <v/>
      </c>
      <c r="AD325" s="3">
        <f>IF($AB325="",FALSE,AND($AB325&gt;p_dias_backlog_min,$AB325&lt;=p_dias_backlog_max))</f>
        <v/>
      </c>
      <c r="AE325" s="6" t="n"/>
      <c r="AF325" s="3">
        <f>IF($AE325="","",IF((IFERROR(INDEX('ASIGNACIONES'!$F$4:$F$339,MATCH($O325&amp;"|"&amp;$R325&amp;"|"&amp;$AE325,'ASIGNACIONES'!$J$4:$J$339,0)),""))=0,"",IFERROR(INDEX('ASIGNACIONES'!$F$4:$F$339,MATCH($O325&amp;"|"&amp;$R325&amp;"|"&amp;$AE325,'ASIGNACIONES'!$J$4:$J$339,0)),"")))</f>
        <v/>
      </c>
      <c r="AG325" s="13">
        <f>IF($AE325="","",SUMIFS('ORDENES'!$M$4:$M$1203,'ORDENES'!$AE$4:$AE$1203,$AE325,'ORDENES'!$O$4:$O$1203,$O325,'ORDENES'!$R$4:$R$1203,$R325))</f>
        <v/>
      </c>
      <c r="AH325" s="13">
        <f>IF($AG325="","",p_factor_productividad*IFERROR(INDEX('ASIGNACIONES'!$I$4:$I$339,MATCH($O325&amp;"|"&amp;$R325&amp;"|"&amp;$AE325,'ASIGNACIONES'!$J$4:$J$339,0)),0)-$AG325)</f>
        <v/>
      </c>
      <c r="AI325" s="10">
        <f>IF($A325="","",IFERROR(INDEX('2_IMPORTAR_EJECUCION'!$F$9:$F$1208,MATCH($AQ325,'2_IMPORTAR_EJECUCION'!$J$9:$J$1208,0)),0))</f>
        <v/>
      </c>
      <c r="AJ325" s="10">
        <f>IF($A325="","",MAX(0,IFERROR(INDEX('2_IMPORTAR_EJECUCION'!$H$9:$H$1208,MATCH($AQ325,'2_IMPORTAR_EJECUCION'!$J$9:$J$1208,0)),0)-$AI325))</f>
        <v/>
      </c>
      <c r="AK325" s="10">
        <f>IF($A325="","",$AI325+$AJ325)</f>
        <v/>
      </c>
      <c r="AL325" s="6" t="n"/>
      <c r="AM325" s="6" t="n"/>
      <c r="AN325" s="6" t="n"/>
      <c r="AO325" s="3">
        <f>IF($AN325="","",HYPERLINK(p_ruta_base_checklists&amp;$AN325,"abrir"))</f>
        <v/>
      </c>
      <c r="AP325" s="6" t="n"/>
      <c r="AQ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IF($A326="","",IFERROR(INDEX('AJUSTES'!$B$4:$B$303,MATCH($AQ326,'AJUSTES'!$A$4:$A$303,0)),IF($K326="","",$K326)))</f>
        <v/>
      </c>
      <c r="N326" s="3">
        <f>IF($A326="","",IFERROR(INDEX('CAT_ESTADOS_ERP'!$B$4:$B$7,MATCH(IFERROR(INDEX('2_IMPORTAR_EJECUCION'!$C$9:$C$1208,MATCH($AQ326,'2_IMPORTAR_EJECUCION'!$J$9:$J$1208,0)),""),'CAT_ESTADOS_ERP'!$A$4:$A$7,0)),"Pendiente"))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J326="","",IFERROR(INDEX('CALENDARIO'!$C$15:$C$214,MATCH(TEXT($J326,"yyyy-mm-dd")&amp;"|"&amp;$V326&amp;"|"&amp;$W326,'CALENDARIO'!$G$15:$G$214,0)),IFERROR(INDEX('CALENDARIO'!$C$15:$C$214,MATCH(TEXT($J326,"yyyy-mm-dd")&amp;"|"&amp;$V326&amp;"|",'CALENDARIO'!$G$15:$G$214,0)),IFERROR(INDEX('CALENDARIO'!$C$15:$C$214,MATCH(TEXT($J326,"yyyy-mm-dd")&amp;"||",'CALENDARIO'!$G$15:$G$214,0)),INDEX(patronHabil,WEEKDAY($J326,2))))))</f>
        <v/>
      </c>
      <c r="T326" s="3">
        <f>IF($I326="","",IFERROR(INDEX('CAT_TIPOS_OT'!$C$4:$C$7,MATCH($I326,'CAT_TIPOS_OT'!$A$4:$A$7,0)),"sin_clasificar"))</f>
        <v/>
      </c>
      <c r="U326" s="3">
        <f>IF($F326="","",IFERROR(INDEX('CAT_CENTROS_COSTO'!$F$4:$F$13,MATCH($F326,'CAT_CENTROS_COSTO'!$A$4:$A$13,0)),"(sin catálogo)"))</f>
        <v/>
      </c>
      <c r="V326" s="3">
        <f>IF($F326="","",IFERROR(INDEX('CAT_CENTROS_COSTO'!$D$4:$D$13,MATCH($F326,'CAT_CENTROS_COSTO'!$A$4:$A$13,0)),"(sin catálogo)"))</f>
        <v/>
      </c>
      <c r="W326" s="3">
        <f>IF($F326="","",IF((IFERROR(INDEX('CAT_CENTROS_COSTO'!$E$4:$E$13,MATCH($F326,'CAT_CENTROS_COSTO'!$A$4:$A$13,0)),""))&lt;&gt;"",IFERROR(INDEX('CAT_CENTROS_COSTO'!$E$4:$E$13,MATCH($F326,'CAT_CENTROS_COSTO'!$A$4:$A$13,0)),""),$V326))</f>
        <v/>
      </c>
      <c r="X326" s="3">
        <f>IF($F326="","",IFERROR(INDEX('CAT_CENTROS_COSTO'!$G$4:$G$13,MATCH($F326,'CAT_CENTROS_COSTO'!$A$4:$A$13,0)),"(sin catálogo)"))</f>
        <v/>
      </c>
      <c r="Y326" s="3">
        <f>IF($G326="","",IFERROR(INDEX('CAT_PUESTOS'!$B$4:$B$8,MATCH($G326,'CAT_PUESTOS'!$A$4:$A$8,0)),"(sin catálogo)"))</f>
        <v/>
      </c>
      <c r="Z326" s="3">
        <f>IF($H326="","",IFERROR(INDEX('CAT_ACTIVIDADES'!$B$4:$B$8,MATCH($H326,'CAT_ACTIVIDADES'!$A$4:$A$8,0)),"(sin catálogo)"))</f>
        <v/>
      </c>
      <c r="AA326" s="12">
        <f>IF($J326="","",TODAY()-$J326)</f>
        <v/>
      </c>
      <c r="AB326" s="12">
        <f>IF($J326="","",IF($J326&lt;=TODAY(),COUNTIFS(cal_fechas,"&gt;="&amp;$J326,cal_fechas,"&lt;"&amp;TODAY(),cal_habil,"sí"),-COUNTIFS(cal_fechas,"&gt;="&amp;TODAY(),cal_fechas,"&lt;"&amp;$J326,cal_habil,"sí")))</f>
        <v/>
      </c>
      <c r="AC326" s="3">
        <f>IF($AB326="","",IF($AB326&lt;0,"FUTURO",IF($AB326&gt;p_dias_backlog_max,"BACKLOG","MES CORRIENTE")))</f>
        <v/>
      </c>
      <c r="AD326" s="3">
        <f>IF($AB326="",FALSE,AND($AB326&gt;p_dias_backlog_min,$AB326&lt;=p_dias_backlog_max))</f>
        <v/>
      </c>
      <c r="AE326" s="6" t="n"/>
      <c r="AF326" s="3">
        <f>IF($AE326="","",IF((IFERROR(INDEX('ASIGNACIONES'!$F$4:$F$339,MATCH($O326&amp;"|"&amp;$R326&amp;"|"&amp;$AE326,'ASIGNACIONES'!$J$4:$J$339,0)),""))=0,"",IFERROR(INDEX('ASIGNACIONES'!$F$4:$F$339,MATCH($O326&amp;"|"&amp;$R326&amp;"|"&amp;$AE326,'ASIGNACIONES'!$J$4:$J$339,0)),"")))</f>
        <v/>
      </c>
      <c r="AG326" s="13">
        <f>IF($AE326="","",SUMIFS('ORDENES'!$M$4:$M$1203,'ORDENES'!$AE$4:$AE$1203,$AE326,'ORDENES'!$O$4:$O$1203,$O326,'ORDENES'!$R$4:$R$1203,$R326))</f>
        <v/>
      </c>
      <c r="AH326" s="13">
        <f>IF($AG326="","",p_factor_productividad*IFERROR(INDEX('ASIGNACIONES'!$I$4:$I$339,MATCH($O326&amp;"|"&amp;$R326&amp;"|"&amp;$AE326,'ASIGNACIONES'!$J$4:$J$339,0)),0)-$AG326)</f>
        <v/>
      </c>
      <c r="AI326" s="10">
        <f>IF($A326="","",IFERROR(INDEX('2_IMPORTAR_EJECUCION'!$F$9:$F$1208,MATCH($AQ326,'2_IMPORTAR_EJECUCION'!$J$9:$J$1208,0)),0))</f>
        <v/>
      </c>
      <c r="AJ326" s="10">
        <f>IF($A326="","",MAX(0,IFERROR(INDEX('2_IMPORTAR_EJECUCION'!$H$9:$H$1208,MATCH($AQ326,'2_IMPORTAR_EJECUCION'!$J$9:$J$1208,0)),0)-$AI326))</f>
        <v/>
      </c>
      <c r="AK326" s="10">
        <f>IF($A326="","",$AI326+$AJ326)</f>
        <v/>
      </c>
      <c r="AL326" s="6" t="n"/>
      <c r="AM326" s="6" t="n"/>
      <c r="AN326" s="6" t="n"/>
      <c r="AO326" s="3">
        <f>IF($AN326="","",HYPERLINK(p_ruta_base_checklists&amp;$AN326,"abrir"))</f>
        <v/>
      </c>
      <c r="AP326" s="6" t="n"/>
      <c r="AQ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IF($A327="","",IFERROR(INDEX('AJUSTES'!$B$4:$B$303,MATCH($AQ327,'AJUSTES'!$A$4:$A$303,0)),IF($K327="","",$K327)))</f>
        <v/>
      </c>
      <c r="N327" s="3">
        <f>IF($A327="","",IFERROR(INDEX('CAT_ESTADOS_ERP'!$B$4:$B$7,MATCH(IFERROR(INDEX('2_IMPORTAR_EJECUCION'!$C$9:$C$1208,MATCH($AQ327,'2_IMPORTAR_EJECUCION'!$J$9:$J$1208,0)),""),'CAT_ESTADOS_ERP'!$A$4:$A$7,0)),"Pendiente"))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J327="","",IFERROR(INDEX('CALENDARIO'!$C$15:$C$214,MATCH(TEXT($J327,"yyyy-mm-dd")&amp;"|"&amp;$V327&amp;"|"&amp;$W327,'CALENDARIO'!$G$15:$G$214,0)),IFERROR(INDEX('CALENDARIO'!$C$15:$C$214,MATCH(TEXT($J327,"yyyy-mm-dd")&amp;"|"&amp;$V327&amp;"|",'CALENDARIO'!$G$15:$G$214,0)),IFERROR(INDEX('CALENDARIO'!$C$15:$C$214,MATCH(TEXT($J327,"yyyy-mm-dd")&amp;"||",'CALENDARIO'!$G$15:$G$214,0)),INDEX(patronHabil,WEEKDAY($J327,2))))))</f>
        <v/>
      </c>
      <c r="T327" s="3">
        <f>IF($I327="","",IFERROR(INDEX('CAT_TIPOS_OT'!$C$4:$C$7,MATCH($I327,'CAT_TIPOS_OT'!$A$4:$A$7,0)),"sin_clasificar"))</f>
        <v/>
      </c>
      <c r="U327" s="3">
        <f>IF($F327="","",IFERROR(INDEX('CAT_CENTROS_COSTO'!$F$4:$F$13,MATCH($F327,'CAT_CENTROS_COSTO'!$A$4:$A$13,0)),"(sin catálogo)"))</f>
        <v/>
      </c>
      <c r="V327" s="3">
        <f>IF($F327="","",IFERROR(INDEX('CAT_CENTROS_COSTO'!$D$4:$D$13,MATCH($F327,'CAT_CENTROS_COSTO'!$A$4:$A$13,0)),"(sin catálogo)"))</f>
        <v/>
      </c>
      <c r="W327" s="3">
        <f>IF($F327="","",IF((IFERROR(INDEX('CAT_CENTROS_COSTO'!$E$4:$E$13,MATCH($F327,'CAT_CENTROS_COSTO'!$A$4:$A$13,0)),""))&lt;&gt;"",IFERROR(INDEX('CAT_CENTROS_COSTO'!$E$4:$E$13,MATCH($F327,'CAT_CENTROS_COSTO'!$A$4:$A$13,0)),""),$V327))</f>
        <v/>
      </c>
      <c r="X327" s="3">
        <f>IF($F327="","",IFERROR(INDEX('CAT_CENTROS_COSTO'!$G$4:$G$13,MATCH($F327,'CAT_CENTROS_COSTO'!$A$4:$A$13,0)),"(sin catálogo)"))</f>
        <v/>
      </c>
      <c r="Y327" s="3">
        <f>IF($G327="","",IFERROR(INDEX('CAT_PUESTOS'!$B$4:$B$8,MATCH($G327,'CAT_PUESTOS'!$A$4:$A$8,0)),"(sin catálogo)"))</f>
        <v/>
      </c>
      <c r="Z327" s="3">
        <f>IF($H327="","",IFERROR(INDEX('CAT_ACTIVIDADES'!$B$4:$B$8,MATCH($H327,'CAT_ACTIVIDADES'!$A$4:$A$8,0)),"(sin catálogo)"))</f>
        <v/>
      </c>
      <c r="AA327" s="12">
        <f>IF($J327="","",TODAY()-$J327)</f>
        <v/>
      </c>
      <c r="AB327" s="12">
        <f>IF($J327="","",IF($J327&lt;=TODAY(),COUNTIFS(cal_fechas,"&gt;="&amp;$J327,cal_fechas,"&lt;"&amp;TODAY(),cal_habil,"sí"),-COUNTIFS(cal_fechas,"&gt;="&amp;TODAY(),cal_fechas,"&lt;"&amp;$J327,cal_habil,"sí")))</f>
        <v/>
      </c>
      <c r="AC327" s="3">
        <f>IF($AB327="","",IF($AB327&lt;0,"FUTURO",IF($AB327&gt;p_dias_backlog_max,"BACKLOG","MES CORRIENTE")))</f>
        <v/>
      </c>
      <c r="AD327" s="3">
        <f>IF($AB327="",FALSE,AND($AB327&gt;p_dias_backlog_min,$AB327&lt;=p_dias_backlog_max))</f>
        <v/>
      </c>
      <c r="AE327" s="6" t="n"/>
      <c r="AF327" s="3">
        <f>IF($AE327="","",IF((IFERROR(INDEX('ASIGNACIONES'!$F$4:$F$339,MATCH($O327&amp;"|"&amp;$R327&amp;"|"&amp;$AE327,'ASIGNACIONES'!$J$4:$J$339,0)),""))=0,"",IFERROR(INDEX('ASIGNACIONES'!$F$4:$F$339,MATCH($O327&amp;"|"&amp;$R327&amp;"|"&amp;$AE327,'ASIGNACIONES'!$J$4:$J$339,0)),"")))</f>
        <v/>
      </c>
      <c r="AG327" s="13">
        <f>IF($AE327="","",SUMIFS('ORDENES'!$M$4:$M$1203,'ORDENES'!$AE$4:$AE$1203,$AE327,'ORDENES'!$O$4:$O$1203,$O327,'ORDENES'!$R$4:$R$1203,$R327))</f>
        <v/>
      </c>
      <c r="AH327" s="13">
        <f>IF($AG327="","",p_factor_productividad*IFERROR(INDEX('ASIGNACIONES'!$I$4:$I$339,MATCH($O327&amp;"|"&amp;$R327&amp;"|"&amp;$AE327,'ASIGNACIONES'!$J$4:$J$339,0)),0)-$AG327)</f>
        <v/>
      </c>
      <c r="AI327" s="10">
        <f>IF($A327="","",IFERROR(INDEX('2_IMPORTAR_EJECUCION'!$F$9:$F$1208,MATCH($AQ327,'2_IMPORTAR_EJECUCION'!$J$9:$J$1208,0)),0))</f>
        <v/>
      </c>
      <c r="AJ327" s="10">
        <f>IF($A327="","",MAX(0,IFERROR(INDEX('2_IMPORTAR_EJECUCION'!$H$9:$H$1208,MATCH($AQ327,'2_IMPORTAR_EJECUCION'!$J$9:$J$1208,0)),0)-$AI327))</f>
        <v/>
      </c>
      <c r="AK327" s="10">
        <f>IF($A327="","",$AI327+$AJ327)</f>
        <v/>
      </c>
      <c r="AL327" s="6" t="n"/>
      <c r="AM327" s="6" t="n"/>
      <c r="AN327" s="6" t="n"/>
      <c r="AO327" s="3">
        <f>IF($AN327="","",HYPERLINK(p_ruta_base_checklists&amp;$AN327,"abrir"))</f>
        <v/>
      </c>
      <c r="AP327" s="6" t="n"/>
      <c r="AQ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IF($A328="","",IFERROR(INDEX('AJUSTES'!$B$4:$B$303,MATCH($AQ328,'AJUSTES'!$A$4:$A$303,0)),IF($K328="","",$K328)))</f>
        <v/>
      </c>
      <c r="N328" s="3">
        <f>IF($A328="","",IFERROR(INDEX('CAT_ESTADOS_ERP'!$B$4:$B$7,MATCH(IFERROR(INDEX('2_IMPORTAR_EJECUCION'!$C$9:$C$1208,MATCH($AQ328,'2_IMPORTAR_EJECUCION'!$J$9:$J$1208,0)),""),'CAT_ESTADOS_ERP'!$A$4:$A$7,0)),"Pendiente"))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J328="","",IFERROR(INDEX('CALENDARIO'!$C$15:$C$214,MATCH(TEXT($J328,"yyyy-mm-dd")&amp;"|"&amp;$V328&amp;"|"&amp;$W328,'CALENDARIO'!$G$15:$G$214,0)),IFERROR(INDEX('CALENDARIO'!$C$15:$C$214,MATCH(TEXT($J328,"yyyy-mm-dd")&amp;"|"&amp;$V328&amp;"|",'CALENDARIO'!$G$15:$G$214,0)),IFERROR(INDEX('CALENDARIO'!$C$15:$C$214,MATCH(TEXT($J328,"yyyy-mm-dd")&amp;"||",'CALENDARIO'!$G$15:$G$214,0)),INDEX(patronHabil,WEEKDAY($J328,2))))))</f>
        <v/>
      </c>
      <c r="T328" s="3">
        <f>IF($I328="","",IFERROR(INDEX('CAT_TIPOS_OT'!$C$4:$C$7,MATCH($I328,'CAT_TIPOS_OT'!$A$4:$A$7,0)),"sin_clasificar"))</f>
        <v/>
      </c>
      <c r="U328" s="3">
        <f>IF($F328="","",IFERROR(INDEX('CAT_CENTROS_COSTO'!$F$4:$F$13,MATCH($F328,'CAT_CENTROS_COSTO'!$A$4:$A$13,0)),"(sin catálogo)"))</f>
        <v/>
      </c>
      <c r="V328" s="3">
        <f>IF($F328="","",IFERROR(INDEX('CAT_CENTROS_COSTO'!$D$4:$D$13,MATCH($F328,'CAT_CENTROS_COSTO'!$A$4:$A$13,0)),"(sin catálogo)"))</f>
        <v/>
      </c>
      <c r="W328" s="3">
        <f>IF($F328="","",IF((IFERROR(INDEX('CAT_CENTROS_COSTO'!$E$4:$E$13,MATCH($F328,'CAT_CENTROS_COSTO'!$A$4:$A$13,0)),""))&lt;&gt;"",IFERROR(INDEX('CAT_CENTROS_COSTO'!$E$4:$E$13,MATCH($F328,'CAT_CENTROS_COSTO'!$A$4:$A$13,0)),""),$V328))</f>
        <v/>
      </c>
      <c r="X328" s="3">
        <f>IF($F328="","",IFERROR(INDEX('CAT_CENTROS_COSTO'!$G$4:$G$13,MATCH($F328,'CAT_CENTROS_COSTO'!$A$4:$A$13,0)),"(sin catálogo)"))</f>
        <v/>
      </c>
      <c r="Y328" s="3">
        <f>IF($G328="","",IFERROR(INDEX('CAT_PUESTOS'!$B$4:$B$8,MATCH($G328,'CAT_PUESTOS'!$A$4:$A$8,0)),"(sin catálogo)"))</f>
        <v/>
      </c>
      <c r="Z328" s="3">
        <f>IF($H328="","",IFERROR(INDEX('CAT_ACTIVIDADES'!$B$4:$B$8,MATCH($H328,'CAT_ACTIVIDADES'!$A$4:$A$8,0)),"(sin catálogo)"))</f>
        <v/>
      </c>
      <c r="AA328" s="12">
        <f>IF($J328="","",TODAY()-$J328)</f>
        <v/>
      </c>
      <c r="AB328" s="12">
        <f>IF($J328="","",IF($J328&lt;=TODAY(),COUNTIFS(cal_fechas,"&gt;="&amp;$J328,cal_fechas,"&lt;"&amp;TODAY(),cal_habil,"sí"),-COUNTIFS(cal_fechas,"&gt;="&amp;TODAY(),cal_fechas,"&lt;"&amp;$J328,cal_habil,"sí")))</f>
        <v/>
      </c>
      <c r="AC328" s="3">
        <f>IF($AB328="","",IF($AB328&lt;0,"FUTURO",IF($AB328&gt;p_dias_backlog_max,"BACKLOG","MES CORRIENTE")))</f>
        <v/>
      </c>
      <c r="AD328" s="3">
        <f>IF($AB328="",FALSE,AND($AB328&gt;p_dias_backlog_min,$AB328&lt;=p_dias_backlog_max))</f>
        <v/>
      </c>
      <c r="AE328" s="6" t="n"/>
      <c r="AF328" s="3">
        <f>IF($AE328="","",IF((IFERROR(INDEX('ASIGNACIONES'!$F$4:$F$339,MATCH($O328&amp;"|"&amp;$R328&amp;"|"&amp;$AE328,'ASIGNACIONES'!$J$4:$J$339,0)),""))=0,"",IFERROR(INDEX('ASIGNACIONES'!$F$4:$F$339,MATCH($O328&amp;"|"&amp;$R328&amp;"|"&amp;$AE328,'ASIGNACIONES'!$J$4:$J$339,0)),"")))</f>
        <v/>
      </c>
      <c r="AG328" s="13">
        <f>IF($AE328="","",SUMIFS('ORDENES'!$M$4:$M$1203,'ORDENES'!$AE$4:$AE$1203,$AE328,'ORDENES'!$O$4:$O$1203,$O328,'ORDENES'!$R$4:$R$1203,$R328))</f>
        <v/>
      </c>
      <c r="AH328" s="13">
        <f>IF($AG328="","",p_factor_productividad*IFERROR(INDEX('ASIGNACIONES'!$I$4:$I$339,MATCH($O328&amp;"|"&amp;$R328&amp;"|"&amp;$AE328,'ASIGNACIONES'!$J$4:$J$339,0)),0)-$AG328)</f>
        <v/>
      </c>
      <c r="AI328" s="10">
        <f>IF($A328="","",IFERROR(INDEX('2_IMPORTAR_EJECUCION'!$F$9:$F$1208,MATCH($AQ328,'2_IMPORTAR_EJECUCION'!$J$9:$J$1208,0)),0))</f>
        <v/>
      </c>
      <c r="AJ328" s="10">
        <f>IF($A328="","",MAX(0,IFERROR(INDEX('2_IMPORTAR_EJECUCION'!$H$9:$H$1208,MATCH($AQ328,'2_IMPORTAR_EJECUCION'!$J$9:$J$1208,0)),0)-$AI328))</f>
        <v/>
      </c>
      <c r="AK328" s="10">
        <f>IF($A328="","",$AI328+$AJ328)</f>
        <v/>
      </c>
      <c r="AL328" s="6" t="n"/>
      <c r="AM328" s="6" t="n"/>
      <c r="AN328" s="6" t="n"/>
      <c r="AO328" s="3">
        <f>IF($AN328="","",HYPERLINK(p_ruta_base_checklists&amp;$AN328,"abrir"))</f>
        <v/>
      </c>
      <c r="AP328" s="6" t="n"/>
      <c r="AQ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IF($A329="","",IFERROR(INDEX('AJUSTES'!$B$4:$B$303,MATCH($AQ329,'AJUSTES'!$A$4:$A$303,0)),IF($K329="","",$K329)))</f>
        <v/>
      </c>
      <c r="N329" s="3">
        <f>IF($A329="","",IFERROR(INDEX('CAT_ESTADOS_ERP'!$B$4:$B$7,MATCH(IFERROR(INDEX('2_IMPORTAR_EJECUCION'!$C$9:$C$1208,MATCH($AQ329,'2_IMPORTAR_EJECUCION'!$J$9:$J$1208,0)),""),'CAT_ESTADOS_ERP'!$A$4:$A$7,0)),"Pendiente"))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J329="","",IFERROR(INDEX('CALENDARIO'!$C$15:$C$214,MATCH(TEXT($J329,"yyyy-mm-dd")&amp;"|"&amp;$V329&amp;"|"&amp;$W329,'CALENDARIO'!$G$15:$G$214,0)),IFERROR(INDEX('CALENDARIO'!$C$15:$C$214,MATCH(TEXT($J329,"yyyy-mm-dd")&amp;"|"&amp;$V329&amp;"|",'CALENDARIO'!$G$15:$G$214,0)),IFERROR(INDEX('CALENDARIO'!$C$15:$C$214,MATCH(TEXT($J329,"yyyy-mm-dd")&amp;"||",'CALENDARIO'!$G$15:$G$214,0)),INDEX(patronHabil,WEEKDAY($J329,2))))))</f>
        <v/>
      </c>
      <c r="T329" s="3">
        <f>IF($I329="","",IFERROR(INDEX('CAT_TIPOS_OT'!$C$4:$C$7,MATCH($I329,'CAT_TIPOS_OT'!$A$4:$A$7,0)),"sin_clasificar"))</f>
        <v/>
      </c>
      <c r="U329" s="3">
        <f>IF($F329="","",IFERROR(INDEX('CAT_CENTROS_COSTO'!$F$4:$F$13,MATCH($F329,'CAT_CENTROS_COSTO'!$A$4:$A$13,0)),"(sin catálogo)"))</f>
        <v/>
      </c>
      <c r="V329" s="3">
        <f>IF($F329="","",IFERROR(INDEX('CAT_CENTROS_COSTO'!$D$4:$D$13,MATCH($F329,'CAT_CENTROS_COSTO'!$A$4:$A$13,0)),"(sin catálogo)"))</f>
        <v/>
      </c>
      <c r="W329" s="3">
        <f>IF($F329="","",IF((IFERROR(INDEX('CAT_CENTROS_COSTO'!$E$4:$E$13,MATCH($F329,'CAT_CENTROS_COSTO'!$A$4:$A$13,0)),""))&lt;&gt;"",IFERROR(INDEX('CAT_CENTROS_COSTO'!$E$4:$E$13,MATCH($F329,'CAT_CENTROS_COSTO'!$A$4:$A$13,0)),""),$V329))</f>
        <v/>
      </c>
      <c r="X329" s="3">
        <f>IF($F329="","",IFERROR(INDEX('CAT_CENTROS_COSTO'!$G$4:$G$13,MATCH($F329,'CAT_CENTROS_COSTO'!$A$4:$A$13,0)),"(sin catálogo)"))</f>
        <v/>
      </c>
      <c r="Y329" s="3">
        <f>IF($G329="","",IFERROR(INDEX('CAT_PUESTOS'!$B$4:$B$8,MATCH($G329,'CAT_PUESTOS'!$A$4:$A$8,0)),"(sin catálogo)"))</f>
        <v/>
      </c>
      <c r="Z329" s="3">
        <f>IF($H329="","",IFERROR(INDEX('CAT_ACTIVIDADES'!$B$4:$B$8,MATCH($H329,'CAT_ACTIVIDADES'!$A$4:$A$8,0)),"(sin catálogo)"))</f>
        <v/>
      </c>
      <c r="AA329" s="12">
        <f>IF($J329="","",TODAY()-$J329)</f>
        <v/>
      </c>
      <c r="AB329" s="12">
        <f>IF($J329="","",IF($J329&lt;=TODAY(),COUNTIFS(cal_fechas,"&gt;="&amp;$J329,cal_fechas,"&lt;"&amp;TODAY(),cal_habil,"sí"),-COUNTIFS(cal_fechas,"&gt;="&amp;TODAY(),cal_fechas,"&lt;"&amp;$J329,cal_habil,"sí")))</f>
        <v/>
      </c>
      <c r="AC329" s="3">
        <f>IF($AB329="","",IF($AB329&lt;0,"FUTURO",IF($AB329&gt;p_dias_backlog_max,"BACKLOG","MES CORRIENTE")))</f>
        <v/>
      </c>
      <c r="AD329" s="3">
        <f>IF($AB329="",FALSE,AND($AB329&gt;p_dias_backlog_min,$AB329&lt;=p_dias_backlog_max))</f>
        <v/>
      </c>
      <c r="AE329" s="6" t="n"/>
      <c r="AF329" s="3">
        <f>IF($AE329="","",IF((IFERROR(INDEX('ASIGNACIONES'!$F$4:$F$339,MATCH($O329&amp;"|"&amp;$R329&amp;"|"&amp;$AE329,'ASIGNACIONES'!$J$4:$J$339,0)),""))=0,"",IFERROR(INDEX('ASIGNACIONES'!$F$4:$F$339,MATCH($O329&amp;"|"&amp;$R329&amp;"|"&amp;$AE329,'ASIGNACIONES'!$J$4:$J$339,0)),"")))</f>
        <v/>
      </c>
      <c r="AG329" s="13">
        <f>IF($AE329="","",SUMIFS('ORDENES'!$M$4:$M$1203,'ORDENES'!$AE$4:$AE$1203,$AE329,'ORDENES'!$O$4:$O$1203,$O329,'ORDENES'!$R$4:$R$1203,$R329))</f>
        <v/>
      </c>
      <c r="AH329" s="13">
        <f>IF($AG329="","",p_factor_productividad*IFERROR(INDEX('ASIGNACIONES'!$I$4:$I$339,MATCH($O329&amp;"|"&amp;$R329&amp;"|"&amp;$AE329,'ASIGNACIONES'!$J$4:$J$339,0)),0)-$AG329)</f>
        <v/>
      </c>
      <c r="AI329" s="10">
        <f>IF($A329="","",IFERROR(INDEX('2_IMPORTAR_EJECUCION'!$F$9:$F$1208,MATCH($AQ329,'2_IMPORTAR_EJECUCION'!$J$9:$J$1208,0)),0))</f>
        <v/>
      </c>
      <c r="AJ329" s="10">
        <f>IF($A329="","",MAX(0,IFERROR(INDEX('2_IMPORTAR_EJECUCION'!$H$9:$H$1208,MATCH($AQ329,'2_IMPORTAR_EJECUCION'!$J$9:$J$1208,0)),0)-$AI329))</f>
        <v/>
      </c>
      <c r="AK329" s="10">
        <f>IF($A329="","",$AI329+$AJ329)</f>
        <v/>
      </c>
      <c r="AL329" s="6" t="n"/>
      <c r="AM329" s="6" t="n"/>
      <c r="AN329" s="6" t="n"/>
      <c r="AO329" s="3">
        <f>IF($AN329="","",HYPERLINK(p_ruta_base_checklists&amp;$AN329,"abrir"))</f>
        <v/>
      </c>
      <c r="AP329" s="6" t="n"/>
      <c r="AQ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IF($A330="","",IFERROR(INDEX('AJUSTES'!$B$4:$B$303,MATCH($AQ330,'AJUSTES'!$A$4:$A$303,0)),IF($K330="","",$K330)))</f>
        <v/>
      </c>
      <c r="N330" s="3">
        <f>IF($A330="","",IFERROR(INDEX('CAT_ESTADOS_ERP'!$B$4:$B$7,MATCH(IFERROR(INDEX('2_IMPORTAR_EJECUCION'!$C$9:$C$1208,MATCH($AQ330,'2_IMPORTAR_EJECUCION'!$J$9:$J$1208,0)),""),'CAT_ESTADOS_ERP'!$A$4:$A$7,0)),"Pendiente"))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J330="","",IFERROR(INDEX('CALENDARIO'!$C$15:$C$214,MATCH(TEXT($J330,"yyyy-mm-dd")&amp;"|"&amp;$V330&amp;"|"&amp;$W330,'CALENDARIO'!$G$15:$G$214,0)),IFERROR(INDEX('CALENDARIO'!$C$15:$C$214,MATCH(TEXT($J330,"yyyy-mm-dd")&amp;"|"&amp;$V330&amp;"|",'CALENDARIO'!$G$15:$G$214,0)),IFERROR(INDEX('CALENDARIO'!$C$15:$C$214,MATCH(TEXT($J330,"yyyy-mm-dd")&amp;"||",'CALENDARIO'!$G$15:$G$214,0)),INDEX(patronHabil,WEEKDAY($J330,2))))))</f>
        <v/>
      </c>
      <c r="T330" s="3">
        <f>IF($I330="","",IFERROR(INDEX('CAT_TIPOS_OT'!$C$4:$C$7,MATCH($I330,'CAT_TIPOS_OT'!$A$4:$A$7,0)),"sin_clasificar"))</f>
        <v/>
      </c>
      <c r="U330" s="3">
        <f>IF($F330="","",IFERROR(INDEX('CAT_CENTROS_COSTO'!$F$4:$F$13,MATCH($F330,'CAT_CENTROS_COSTO'!$A$4:$A$13,0)),"(sin catálogo)"))</f>
        <v/>
      </c>
      <c r="V330" s="3">
        <f>IF($F330="","",IFERROR(INDEX('CAT_CENTROS_COSTO'!$D$4:$D$13,MATCH($F330,'CAT_CENTROS_COSTO'!$A$4:$A$13,0)),"(sin catálogo)"))</f>
        <v/>
      </c>
      <c r="W330" s="3">
        <f>IF($F330="","",IF((IFERROR(INDEX('CAT_CENTROS_COSTO'!$E$4:$E$13,MATCH($F330,'CAT_CENTROS_COSTO'!$A$4:$A$13,0)),""))&lt;&gt;"",IFERROR(INDEX('CAT_CENTROS_COSTO'!$E$4:$E$13,MATCH($F330,'CAT_CENTROS_COSTO'!$A$4:$A$13,0)),""),$V330))</f>
        <v/>
      </c>
      <c r="X330" s="3">
        <f>IF($F330="","",IFERROR(INDEX('CAT_CENTROS_COSTO'!$G$4:$G$13,MATCH($F330,'CAT_CENTROS_COSTO'!$A$4:$A$13,0)),"(sin catálogo)"))</f>
        <v/>
      </c>
      <c r="Y330" s="3">
        <f>IF($G330="","",IFERROR(INDEX('CAT_PUESTOS'!$B$4:$B$8,MATCH($G330,'CAT_PUESTOS'!$A$4:$A$8,0)),"(sin catálogo)"))</f>
        <v/>
      </c>
      <c r="Z330" s="3">
        <f>IF($H330="","",IFERROR(INDEX('CAT_ACTIVIDADES'!$B$4:$B$8,MATCH($H330,'CAT_ACTIVIDADES'!$A$4:$A$8,0)),"(sin catálogo)"))</f>
        <v/>
      </c>
      <c r="AA330" s="12">
        <f>IF($J330="","",TODAY()-$J330)</f>
        <v/>
      </c>
      <c r="AB330" s="12">
        <f>IF($J330="","",IF($J330&lt;=TODAY(),COUNTIFS(cal_fechas,"&gt;="&amp;$J330,cal_fechas,"&lt;"&amp;TODAY(),cal_habil,"sí"),-COUNTIFS(cal_fechas,"&gt;="&amp;TODAY(),cal_fechas,"&lt;"&amp;$J330,cal_habil,"sí")))</f>
        <v/>
      </c>
      <c r="AC330" s="3">
        <f>IF($AB330="","",IF($AB330&lt;0,"FUTURO",IF($AB330&gt;p_dias_backlog_max,"BACKLOG","MES CORRIENTE")))</f>
        <v/>
      </c>
      <c r="AD330" s="3">
        <f>IF($AB330="",FALSE,AND($AB330&gt;p_dias_backlog_min,$AB330&lt;=p_dias_backlog_max))</f>
        <v/>
      </c>
      <c r="AE330" s="6" t="n"/>
      <c r="AF330" s="3">
        <f>IF($AE330="","",IF((IFERROR(INDEX('ASIGNACIONES'!$F$4:$F$339,MATCH($O330&amp;"|"&amp;$R330&amp;"|"&amp;$AE330,'ASIGNACIONES'!$J$4:$J$339,0)),""))=0,"",IFERROR(INDEX('ASIGNACIONES'!$F$4:$F$339,MATCH($O330&amp;"|"&amp;$R330&amp;"|"&amp;$AE330,'ASIGNACIONES'!$J$4:$J$339,0)),"")))</f>
        <v/>
      </c>
      <c r="AG330" s="13">
        <f>IF($AE330="","",SUMIFS('ORDENES'!$M$4:$M$1203,'ORDENES'!$AE$4:$AE$1203,$AE330,'ORDENES'!$O$4:$O$1203,$O330,'ORDENES'!$R$4:$R$1203,$R330))</f>
        <v/>
      </c>
      <c r="AH330" s="13">
        <f>IF($AG330="","",p_factor_productividad*IFERROR(INDEX('ASIGNACIONES'!$I$4:$I$339,MATCH($O330&amp;"|"&amp;$R330&amp;"|"&amp;$AE330,'ASIGNACIONES'!$J$4:$J$339,0)),0)-$AG330)</f>
        <v/>
      </c>
      <c r="AI330" s="10">
        <f>IF($A330="","",IFERROR(INDEX('2_IMPORTAR_EJECUCION'!$F$9:$F$1208,MATCH($AQ330,'2_IMPORTAR_EJECUCION'!$J$9:$J$1208,0)),0))</f>
        <v/>
      </c>
      <c r="AJ330" s="10">
        <f>IF($A330="","",MAX(0,IFERROR(INDEX('2_IMPORTAR_EJECUCION'!$H$9:$H$1208,MATCH($AQ330,'2_IMPORTAR_EJECUCION'!$J$9:$J$1208,0)),0)-$AI330))</f>
        <v/>
      </c>
      <c r="AK330" s="10">
        <f>IF($A330="","",$AI330+$AJ330)</f>
        <v/>
      </c>
      <c r="AL330" s="6" t="n"/>
      <c r="AM330" s="6" t="n"/>
      <c r="AN330" s="6" t="n"/>
      <c r="AO330" s="3">
        <f>IF($AN330="","",HYPERLINK(p_ruta_base_checklists&amp;$AN330,"abrir"))</f>
        <v/>
      </c>
      <c r="AP330" s="6" t="n"/>
      <c r="AQ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IF($A331="","",IFERROR(INDEX('AJUSTES'!$B$4:$B$303,MATCH($AQ331,'AJUSTES'!$A$4:$A$303,0)),IF($K331="","",$K331)))</f>
        <v/>
      </c>
      <c r="N331" s="3">
        <f>IF($A331="","",IFERROR(INDEX('CAT_ESTADOS_ERP'!$B$4:$B$7,MATCH(IFERROR(INDEX('2_IMPORTAR_EJECUCION'!$C$9:$C$1208,MATCH($AQ331,'2_IMPORTAR_EJECUCION'!$J$9:$J$1208,0)),""),'CAT_ESTADOS_ERP'!$A$4:$A$7,0)),"Pendiente"))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J331="","",IFERROR(INDEX('CALENDARIO'!$C$15:$C$214,MATCH(TEXT($J331,"yyyy-mm-dd")&amp;"|"&amp;$V331&amp;"|"&amp;$W331,'CALENDARIO'!$G$15:$G$214,0)),IFERROR(INDEX('CALENDARIO'!$C$15:$C$214,MATCH(TEXT($J331,"yyyy-mm-dd")&amp;"|"&amp;$V331&amp;"|",'CALENDARIO'!$G$15:$G$214,0)),IFERROR(INDEX('CALENDARIO'!$C$15:$C$214,MATCH(TEXT($J331,"yyyy-mm-dd")&amp;"||",'CALENDARIO'!$G$15:$G$214,0)),INDEX(patronHabil,WEEKDAY($J331,2))))))</f>
        <v/>
      </c>
      <c r="T331" s="3">
        <f>IF($I331="","",IFERROR(INDEX('CAT_TIPOS_OT'!$C$4:$C$7,MATCH($I331,'CAT_TIPOS_OT'!$A$4:$A$7,0)),"sin_clasificar"))</f>
        <v/>
      </c>
      <c r="U331" s="3">
        <f>IF($F331="","",IFERROR(INDEX('CAT_CENTROS_COSTO'!$F$4:$F$13,MATCH($F331,'CAT_CENTROS_COSTO'!$A$4:$A$13,0)),"(sin catálogo)"))</f>
        <v/>
      </c>
      <c r="V331" s="3">
        <f>IF($F331="","",IFERROR(INDEX('CAT_CENTROS_COSTO'!$D$4:$D$13,MATCH($F331,'CAT_CENTROS_COSTO'!$A$4:$A$13,0)),"(sin catálogo)"))</f>
        <v/>
      </c>
      <c r="W331" s="3">
        <f>IF($F331="","",IF((IFERROR(INDEX('CAT_CENTROS_COSTO'!$E$4:$E$13,MATCH($F331,'CAT_CENTROS_COSTO'!$A$4:$A$13,0)),""))&lt;&gt;"",IFERROR(INDEX('CAT_CENTROS_COSTO'!$E$4:$E$13,MATCH($F331,'CAT_CENTROS_COSTO'!$A$4:$A$13,0)),""),$V331))</f>
        <v/>
      </c>
      <c r="X331" s="3">
        <f>IF($F331="","",IFERROR(INDEX('CAT_CENTROS_COSTO'!$G$4:$G$13,MATCH($F331,'CAT_CENTROS_COSTO'!$A$4:$A$13,0)),"(sin catálogo)"))</f>
        <v/>
      </c>
      <c r="Y331" s="3">
        <f>IF($G331="","",IFERROR(INDEX('CAT_PUESTOS'!$B$4:$B$8,MATCH($G331,'CAT_PUESTOS'!$A$4:$A$8,0)),"(sin catálogo)"))</f>
        <v/>
      </c>
      <c r="Z331" s="3">
        <f>IF($H331="","",IFERROR(INDEX('CAT_ACTIVIDADES'!$B$4:$B$8,MATCH($H331,'CAT_ACTIVIDADES'!$A$4:$A$8,0)),"(sin catálogo)"))</f>
        <v/>
      </c>
      <c r="AA331" s="12">
        <f>IF($J331="","",TODAY()-$J331)</f>
        <v/>
      </c>
      <c r="AB331" s="12">
        <f>IF($J331="","",IF($J331&lt;=TODAY(),COUNTIFS(cal_fechas,"&gt;="&amp;$J331,cal_fechas,"&lt;"&amp;TODAY(),cal_habil,"sí"),-COUNTIFS(cal_fechas,"&gt;="&amp;TODAY(),cal_fechas,"&lt;"&amp;$J331,cal_habil,"sí")))</f>
        <v/>
      </c>
      <c r="AC331" s="3">
        <f>IF($AB331="","",IF($AB331&lt;0,"FUTURO",IF($AB331&gt;p_dias_backlog_max,"BACKLOG","MES CORRIENTE")))</f>
        <v/>
      </c>
      <c r="AD331" s="3">
        <f>IF($AB331="",FALSE,AND($AB331&gt;p_dias_backlog_min,$AB331&lt;=p_dias_backlog_max))</f>
        <v/>
      </c>
      <c r="AE331" s="6" t="n"/>
      <c r="AF331" s="3">
        <f>IF($AE331="","",IF((IFERROR(INDEX('ASIGNACIONES'!$F$4:$F$339,MATCH($O331&amp;"|"&amp;$R331&amp;"|"&amp;$AE331,'ASIGNACIONES'!$J$4:$J$339,0)),""))=0,"",IFERROR(INDEX('ASIGNACIONES'!$F$4:$F$339,MATCH($O331&amp;"|"&amp;$R331&amp;"|"&amp;$AE331,'ASIGNACIONES'!$J$4:$J$339,0)),"")))</f>
        <v/>
      </c>
      <c r="AG331" s="13">
        <f>IF($AE331="","",SUMIFS('ORDENES'!$M$4:$M$1203,'ORDENES'!$AE$4:$AE$1203,$AE331,'ORDENES'!$O$4:$O$1203,$O331,'ORDENES'!$R$4:$R$1203,$R331))</f>
        <v/>
      </c>
      <c r="AH331" s="13">
        <f>IF($AG331="","",p_factor_productividad*IFERROR(INDEX('ASIGNACIONES'!$I$4:$I$339,MATCH($O331&amp;"|"&amp;$R331&amp;"|"&amp;$AE331,'ASIGNACIONES'!$J$4:$J$339,0)),0)-$AG331)</f>
        <v/>
      </c>
      <c r="AI331" s="10">
        <f>IF($A331="","",IFERROR(INDEX('2_IMPORTAR_EJECUCION'!$F$9:$F$1208,MATCH($AQ331,'2_IMPORTAR_EJECUCION'!$J$9:$J$1208,0)),0))</f>
        <v/>
      </c>
      <c r="AJ331" s="10">
        <f>IF($A331="","",MAX(0,IFERROR(INDEX('2_IMPORTAR_EJECUCION'!$H$9:$H$1208,MATCH($AQ331,'2_IMPORTAR_EJECUCION'!$J$9:$J$1208,0)),0)-$AI331))</f>
        <v/>
      </c>
      <c r="AK331" s="10">
        <f>IF($A331="","",$AI331+$AJ331)</f>
        <v/>
      </c>
      <c r="AL331" s="6" t="n"/>
      <c r="AM331" s="6" t="n"/>
      <c r="AN331" s="6" t="n"/>
      <c r="AO331" s="3">
        <f>IF($AN331="","",HYPERLINK(p_ruta_base_checklists&amp;$AN331,"abrir"))</f>
        <v/>
      </c>
      <c r="AP331" s="6" t="n"/>
      <c r="AQ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IF($A332="","",IFERROR(INDEX('AJUSTES'!$B$4:$B$303,MATCH($AQ332,'AJUSTES'!$A$4:$A$303,0)),IF($K332="","",$K332)))</f>
        <v/>
      </c>
      <c r="N332" s="3">
        <f>IF($A332="","",IFERROR(INDEX('CAT_ESTADOS_ERP'!$B$4:$B$7,MATCH(IFERROR(INDEX('2_IMPORTAR_EJECUCION'!$C$9:$C$1208,MATCH($AQ332,'2_IMPORTAR_EJECUCION'!$J$9:$J$1208,0)),""),'CAT_ESTADOS_ERP'!$A$4:$A$7,0)),"Pendiente"))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J332="","",IFERROR(INDEX('CALENDARIO'!$C$15:$C$214,MATCH(TEXT($J332,"yyyy-mm-dd")&amp;"|"&amp;$V332&amp;"|"&amp;$W332,'CALENDARIO'!$G$15:$G$214,0)),IFERROR(INDEX('CALENDARIO'!$C$15:$C$214,MATCH(TEXT($J332,"yyyy-mm-dd")&amp;"|"&amp;$V332&amp;"|",'CALENDARIO'!$G$15:$G$214,0)),IFERROR(INDEX('CALENDARIO'!$C$15:$C$214,MATCH(TEXT($J332,"yyyy-mm-dd")&amp;"||",'CALENDARIO'!$G$15:$G$214,0)),INDEX(patronHabil,WEEKDAY($J332,2))))))</f>
        <v/>
      </c>
      <c r="T332" s="3">
        <f>IF($I332="","",IFERROR(INDEX('CAT_TIPOS_OT'!$C$4:$C$7,MATCH($I332,'CAT_TIPOS_OT'!$A$4:$A$7,0)),"sin_clasificar"))</f>
        <v/>
      </c>
      <c r="U332" s="3">
        <f>IF($F332="","",IFERROR(INDEX('CAT_CENTROS_COSTO'!$F$4:$F$13,MATCH($F332,'CAT_CENTROS_COSTO'!$A$4:$A$13,0)),"(sin catálogo)"))</f>
        <v/>
      </c>
      <c r="V332" s="3">
        <f>IF($F332="","",IFERROR(INDEX('CAT_CENTROS_COSTO'!$D$4:$D$13,MATCH($F332,'CAT_CENTROS_COSTO'!$A$4:$A$13,0)),"(sin catálogo)"))</f>
        <v/>
      </c>
      <c r="W332" s="3">
        <f>IF($F332="","",IF((IFERROR(INDEX('CAT_CENTROS_COSTO'!$E$4:$E$13,MATCH($F332,'CAT_CENTROS_COSTO'!$A$4:$A$13,0)),""))&lt;&gt;"",IFERROR(INDEX('CAT_CENTROS_COSTO'!$E$4:$E$13,MATCH($F332,'CAT_CENTROS_COSTO'!$A$4:$A$13,0)),""),$V332))</f>
        <v/>
      </c>
      <c r="X332" s="3">
        <f>IF($F332="","",IFERROR(INDEX('CAT_CENTROS_COSTO'!$G$4:$G$13,MATCH($F332,'CAT_CENTROS_COSTO'!$A$4:$A$13,0)),"(sin catálogo)"))</f>
        <v/>
      </c>
      <c r="Y332" s="3">
        <f>IF($G332="","",IFERROR(INDEX('CAT_PUESTOS'!$B$4:$B$8,MATCH($G332,'CAT_PUESTOS'!$A$4:$A$8,0)),"(sin catálogo)"))</f>
        <v/>
      </c>
      <c r="Z332" s="3">
        <f>IF($H332="","",IFERROR(INDEX('CAT_ACTIVIDADES'!$B$4:$B$8,MATCH($H332,'CAT_ACTIVIDADES'!$A$4:$A$8,0)),"(sin catálogo)"))</f>
        <v/>
      </c>
      <c r="AA332" s="12">
        <f>IF($J332="","",TODAY()-$J332)</f>
        <v/>
      </c>
      <c r="AB332" s="12">
        <f>IF($J332="","",IF($J332&lt;=TODAY(),COUNTIFS(cal_fechas,"&gt;="&amp;$J332,cal_fechas,"&lt;"&amp;TODAY(),cal_habil,"sí"),-COUNTIFS(cal_fechas,"&gt;="&amp;TODAY(),cal_fechas,"&lt;"&amp;$J332,cal_habil,"sí")))</f>
        <v/>
      </c>
      <c r="AC332" s="3">
        <f>IF($AB332="","",IF($AB332&lt;0,"FUTURO",IF($AB332&gt;p_dias_backlog_max,"BACKLOG","MES CORRIENTE")))</f>
        <v/>
      </c>
      <c r="AD332" s="3">
        <f>IF($AB332="",FALSE,AND($AB332&gt;p_dias_backlog_min,$AB332&lt;=p_dias_backlog_max))</f>
        <v/>
      </c>
      <c r="AE332" s="6" t="n"/>
      <c r="AF332" s="3">
        <f>IF($AE332="","",IF((IFERROR(INDEX('ASIGNACIONES'!$F$4:$F$339,MATCH($O332&amp;"|"&amp;$R332&amp;"|"&amp;$AE332,'ASIGNACIONES'!$J$4:$J$339,0)),""))=0,"",IFERROR(INDEX('ASIGNACIONES'!$F$4:$F$339,MATCH($O332&amp;"|"&amp;$R332&amp;"|"&amp;$AE332,'ASIGNACIONES'!$J$4:$J$339,0)),"")))</f>
        <v/>
      </c>
      <c r="AG332" s="13">
        <f>IF($AE332="","",SUMIFS('ORDENES'!$M$4:$M$1203,'ORDENES'!$AE$4:$AE$1203,$AE332,'ORDENES'!$O$4:$O$1203,$O332,'ORDENES'!$R$4:$R$1203,$R332))</f>
        <v/>
      </c>
      <c r="AH332" s="13">
        <f>IF($AG332="","",p_factor_productividad*IFERROR(INDEX('ASIGNACIONES'!$I$4:$I$339,MATCH($O332&amp;"|"&amp;$R332&amp;"|"&amp;$AE332,'ASIGNACIONES'!$J$4:$J$339,0)),0)-$AG332)</f>
        <v/>
      </c>
      <c r="AI332" s="10">
        <f>IF($A332="","",IFERROR(INDEX('2_IMPORTAR_EJECUCION'!$F$9:$F$1208,MATCH($AQ332,'2_IMPORTAR_EJECUCION'!$J$9:$J$1208,0)),0))</f>
        <v/>
      </c>
      <c r="AJ332" s="10">
        <f>IF($A332="","",MAX(0,IFERROR(INDEX('2_IMPORTAR_EJECUCION'!$H$9:$H$1208,MATCH($AQ332,'2_IMPORTAR_EJECUCION'!$J$9:$J$1208,0)),0)-$AI332))</f>
        <v/>
      </c>
      <c r="AK332" s="10">
        <f>IF($A332="","",$AI332+$AJ332)</f>
        <v/>
      </c>
      <c r="AL332" s="6" t="n"/>
      <c r="AM332" s="6" t="n"/>
      <c r="AN332" s="6" t="n"/>
      <c r="AO332" s="3">
        <f>IF($AN332="","",HYPERLINK(p_ruta_base_checklists&amp;$AN332,"abrir"))</f>
        <v/>
      </c>
      <c r="AP332" s="6" t="n"/>
      <c r="AQ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IF($A333="","",IFERROR(INDEX('AJUSTES'!$B$4:$B$303,MATCH($AQ333,'AJUSTES'!$A$4:$A$303,0)),IF($K333="","",$K333)))</f>
        <v/>
      </c>
      <c r="N333" s="3">
        <f>IF($A333="","",IFERROR(INDEX('CAT_ESTADOS_ERP'!$B$4:$B$7,MATCH(IFERROR(INDEX('2_IMPORTAR_EJECUCION'!$C$9:$C$1208,MATCH($AQ333,'2_IMPORTAR_EJECUCION'!$J$9:$J$1208,0)),""),'CAT_ESTADOS_ERP'!$A$4:$A$7,0)),"Pendiente"))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J333="","",IFERROR(INDEX('CALENDARIO'!$C$15:$C$214,MATCH(TEXT($J333,"yyyy-mm-dd")&amp;"|"&amp;$V333&amp;"|"&amp;$W333,'CALENDARIO'!$G$15:$G$214,0)),IFERROR(INDEX('CALENDARIO'!$C$15:$C$214,MATCH(TEXT($J333,"yyyy-mm-dd")&amp;"|"&amp;$V333&amp;"|",'CALENDARIO'!$G$15:$G$214,0)),IFERROR(INDEX('CALENDARIO'!$C$15:$C$214,MATCH(TEXT($J333,"yyyy-mm-dd")&amp;"||",'CALENDARIO'!$G$15:$G$214,0)),INDEX(patronHabil,WEEKDAY($J333,2))))))</f>
        <v/>
      </c>
      <c r="T333" s="3">
        <f>IF($I333="","",IFERROR(INDEX('CAT_TIPOS_OT'!$C$4:$C$7,MATCH($I333,'CAT_TIPOS_OT'!$A$4:$A$7,0)),"sin_clasificar"))</f>
        <v/>
      </c>
      <c r="U333" s="3">
        <f>IF($F333="","",IFERROR(INDEX('CAT_CENTROS_COSTO'!$F$4:$F$13,MATCH($F333,'CAT_CENTROS_COSTO'!$A$4:$A$13,0)),"(sin catálogo)"))</f>
        <v/>
      </c>
      <c r="V333" s="3">
        <f>IF($F333="","",IFERROR(INDEX('CAT_CENTROS_COSTO'!$D$4:$D$13,MATCH($F333,'CAT_CENTROS_COSTO'!$A$4:$A$13,0)),"(sin catálogo)"))</f>
        <v/>
      </c>
      <c r="W333" s="3">
        <f>IF($F333="","",IF((IFERROR(INDEX('CAT_CENTROS_COSTO'!$E$4:$E$13,MATCH($F333,'CAT_CENTROS_COSTO'!$A$4:$A$13,0)),""))&lt;&gt;"",IFERROR(INDEX('CAT_CENTROS_COSTO'!$E$4:$E$13,MATCH($F333,'CAT_CENTROS_COSTO'!$A$4:$A$13,0)),""),$V333))</f>
        <v/>
      </c>
      <c r="X333" s="3">
        <f>IF($F333="","",IFERROR(INDEX('CAT_CENTROS_COSTO'!$G$4:$G$13,MATCH($F333,'CAT_CENTROS_COSTO'!$A$4:$A$13,0)),"(sin catálogo)"))</f>
        <v/>
      </c>
      <c r="Y333" s="3">
        <f>IF($G333="","",IFERROR(INDEX('CAT_PUESTOS'!$B$4:$B$8,MATCH($G333,'CAT_PUESTOS'!$A$4:$A$8,0)),"(sin catálogo)"))</f>
        <v/>
      </c>
      <c r="Z333" s="3">
        <f>IF($H333="","",IFERROR(INDEX('CAT_ACTIVIDADES'!$B$4:$B$8,MATCH($H333,'CAT_ACTIVIDADES'!$A$4:$A$8,0)),"(sin catálogo)"))</f>
        <v/>
      </c>
      <c r="AA333" s="12">
        <f>IF($J333="","",TODAY()-$J333)</f>
        <v/>
      </c>
      <c r="AB333" s="12">
        <f>IF($J333="","",IF($J333&lt;=TODAY(),COUNTIFS(cal_fechas,"&gt;="&amp;$J333,cal_fechas,"&lt;"&amp;TODAY(),cal_habil,"sí"),-COUNTIFS(cal_fechas,"&gt;="&amp;TODAY(),cal_fechas,"&lt;"&amp;$J333,cal_habil,"sí")))</f>
        <v/>
      </c>
      <c r="AC333" s="3">
        <f>IF($AB333="","",IF($AB333&lt;0,"FUTURO",IF($AB333&gt;p_dias_backlog_max,"BACKLOG","MES CORRIENTE")))</f>
        <v/>
      </c>
      <c r="AD333" s="3">
        <f>IF($AB333="",FALSE,AND($AB333&gt;p_dias_backlog_min,$AB333&lt;=p_dias_backlog_max))</f>
        <v/>
      </c>
      <c r="AE333" s="6" t="n"/>
      <c r="AF333" s="3">
        <f>IF($AE333="","",IF((IFERROR(INDEX('ASIGNACIONES'!$F$4:$F$339,MATCH($O333&amp;"|"&amp;$R333&amp;"|"&amp;$AE333,'ASIGNACIONES'!$J$4:$J$339,0)),""))=0,"",IFERROR(INDEX('ASIGNACIONES'!$F$4:$F$339,MATCH($O333&amp;"|"&amp;$R333&amp;"|"&amp;$AE333,'ASIGNACIONES'!$J$4:$J$339,0)),"")))</f>
        <v/>
      </c>
      <c r="AG333" s="13">
        <f>IF($AE333="","",SUMIFS('ORDENES'!$M$4:$M$1203,'ORDENES'!$AE$4:$AE$1203,$AE333,'ORDENES'!$O$4:$O$1203,$O333,'ORDENES'!$R$4:$R$1203,$R333))</f>
        <v/>
      </c>
      <c r="AH333" s="13">
        <f>IF($AG333="","",p_factor_productividad*IFERROR(INDEX('ASIGNACIONES'!$I$4:$I$339,MATCH($O333&amp;"|"&amp;$R333&amp;"|"&amp;$AE333,'ASIGNACIONES'!$J$4:$J$339,0)),0)-$AG333)</f>
        <v/>
      </c>
      <c r="AI333" s="10">
        <f>IF($A333="","",IFERROR(INDEX('2_IMPORTAR_EJECUCION'!$F$9:$F$1208,MATCH($AQ333,'2_IMPORTAR_EJECUCION'!$J$9:$J$1208,0)),0))</f>
        <v/>
      </c>
      <c r="AJ333" s="10">
        <f>IF($A333="","",MAX(0,IFERROR(INDEX('2_IMPORTAR_EJECUCION'!$H$9:$H$1208,MATCH($AQ333,'2_IMPORTAR_EJECUCION'!$J$9:$J$1208,0)),0)-$AI333))</f>
        <v/>
      </c>
      <c r="AK333" s="10">
        <f>IF($A333="","",$AI333+$AJ333)</f>
        <v/>
      </c>
      <c r="AL333" s="6" t="n"/>
      <c r="AM333" s="6" t="n"/>
      <c r="AN333" s="6" t="n"/>
      <c r="AO333" s="3">
        <f>IF($AN333="","",HYPERLINK(p_ruta_base_checklists&amp;$AN333,"abrir"))</f>
        <v/>
      </c>
      <c r="AP333" s="6" t="n"/>
      <c r="AQ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IF($A334="","",IFERROR(INDEX('AJUSTES'!$B$4:$B$303,MATCH($AQ334,'AJUSTES'!$A$4:$A$303,0)),IF($K334="","",$K334)))</f>
        <v/>
      </c>
      <c r="N334" s="3">
        <f>IF($A334="","",IFERROR(INDEX('CAT_ESTADOS_ERP'!$B$4:$B$7,MATCH(IFERROR(INDEX('2_IMPORTAR_EJECUCION'!$C$9:$C$1208,MATCH($AQ334,'2_IMPORTAR_EJECUCION'!$J$9:$J$1208,0)),""),'CAT_ESTADOS_ERP'!$A$4:$A$7,0)),"Pendiente"))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J334="","",IFERROR(INDEX('CALENDARIO'!$C$15:$C$214,MATCH(TEXT($J334,"yyyy-mm-dd")&amp;"|"&amp;$V334&amp;"|"&amp;$W334,'CALENDARIO'!$G$15:$G$214,0)),IFERROR(INDEX('CALENDARIO'!$C$15:$C$214,MATCH(TEXT($J334,"yyyy-mm-dd")&amp;"|"&amp;$V334&amp;"|",'CALENDARIO'!$G$15:$G$214,0)),IFERROR(INDEX('CALENDARIO'!$C$15:$C$214,MATCH(TEXT($J334,"yyyy-mm-dd")&amp;"||",'CALENDARIO'!$G$15:$G$214,0)),INDEX(patronHabil,WEEKDAY($J334,2))))))</f>
        <v/>
      </c>
      <c r="T334" s="3">
        <f>IF($I334="","",IFERROR(INDEX('CAT_TIPOS_OT'!$C$4:$C$7,MATCH($I334,'CAT_TIPOS_OT'!$A$4:$A$7,0)),"sin_clasificar"))</f>
        <v/>
      </c>
      <c r="U334" s="3">
        <f>IF($F334="","",IFERROR(INDEX('CAT_CENTROS_COSTO'!$F$4:$F$13,MATCH($F334,'CAT_CENTROS_COSTO'!$A$4:$A$13,0)),"(sin catálogo)"))</f>
        <v/>
      </c>
      <c r="V334" s="3">
        <f>IF($F334="","",IFERROR(INDEX('CAT_CENTROS_COSTO'!$D$4:$D$13,MATCH($F334,'CAT_CENTROS_COSTO'!$A$4:$A$13,0)),"(sin catálogo)"))</f>
        <v/>
      </c>
      <c r="W334" s="3">
        <f>IF($F334="","",IF((IFERROR(INDEX('CAT_CENTROS_COSTO'!$E$4:$E$13,MATCH($F334,'CAT_CENTROS_COSTO'!$A$4:$A$13,0)),""))&lt;&gt;"",IFERROR(INDEX('CAT_CENTROS_COSTO'!$E$4:$E$13,MATCH($F334,'CAT_CENTROS_COSTO'!$A$4:$A$13,0)),""),$V334))</f>
        <v/>
      </c>
      <c r="X334" s="3">
        <f>IF($F334="","",IFERROR(INDEX('CAT_CENTROS_COSTO'!$G$4:$G$13,MATCH($F334,'CAT_CENTROS_COSTO'!$A$4:$A$13,0)),"(sin catálogo)"))</f>
        <v/>
      </c>
      <c r="Y334" s="3">
        <f>IF($G334="","",IFERROR(INDEX('CAT_PUESTOS'!$B$4:$B$8,MATCH($G334,'CAT_PUESTOS'!$A$4:$A$8,0)),"(sin catálogo)"))</f>
        <v/>
      </c>
      <c r="Z334" s="3">
        <f>IF($H334="","",IFERROR(INDEX('CAT_ACTIVIDADES'!$B$4:$B$8,MATCH($H334,'CAT_ACTIVIDADES'!$A$4:$A$8,0)),"(sin catálogo)"))</f>
        <v/>
      </c>
      <c r="AA334" s="12">
        <f>IF($J334="","",TODAY()-$J334)</f>
        <v/>
      </c>
      <c r="AB334" s="12">
        <f>IF($J334="","",IF($J334&lt;=TODAY(),COUNTIFS(cal_fechas,"&gt;="&amp;$J334,cal_fechas,"&lt;"&amp;TODAY(),cal_habil,"sí"),-COUNTIFS(cal_fechas,"&gt;="&amp;TODAY(),cal_fechas,"&lt;"&amp;$J334,cal_habil,"sí")))</f>
        <v/>
      </c>
      <c r="AC334" s="3">
        <f>IF($AB334="","",IF($AB334&lt;0,"FUTURO",IF($AB334&gt;p_dias_backlog_max,"BACKLOG","MES CORRIENTE")))</f>
        <v/>
      </c>
      <c r="AD334" s="3">
        <f>IF($AB334="",FALSE,AND($AB334&gt;p_dias_backlog_min,$AB334&lt;=p_dias_backlog_max))</f>
        <v/>
      </c>
      <c r="AE334" s="6" t="n"/>
      <c r="AF334" s="3">
        <f>IF($AE334="","",IF((IFERROR(INDEX('ASIGNACIONES'!$F$4:$F$339,MATCH($O334&amp;"|"&amp;$R334&amp;"|"&amp;$AE334,'ASIGNACIONES'!$J$4:$J$339,0)),""))=0,"",IFERROR(INDEX('ASIGNACIONES'!$F$4:$F$339,MATCH($O334&amp;"|"&amp;$R334&amp;"|"&amp;$AE334,'ASIGNACIONES'!$J$4:$J$339,0)),"")))</f>
        <v/>
      </c>
      <c r="AG334" s="13">
        <f>IF($AE334="","",SUMIFS('ORDENES'!$M$4:$M$1203,'ORDENES'!$AE$4:$AE$1203,$AE334,'ORDENES'!$O$4:$O$1203,$O334,'ORDENES'!$R$4:$R$1203,$R334))</f>
        <v/>
      </c>
      <c r="AH334" s="13">
        <f>IF($AG334="","",p_factor_productividad*IFERROR(INDEX('ASIGNACIONES'!$I$4:$I$339,MATCH($O334&amp;"|"&amp;$R334&amp;"|"&amp;$AE334,'ASIGNACIONES'!$J$4:$J$339,0)),0)-$AG334)</f>
        <v/>
      </c>
      <c r="AI334" s="10">
        <f>IF($A334="","",IFERROR(INDEX('2_IMPORTAR_EJECUCION'!$F$9:$F$1208,MATCH($AQ334,'2_IMPORTAR_EJECUCION'!$J$9:$J$1208,0)),0))</f>
        <v/>
      </c>
      <c r="AJ334" s="10">
        <f>IF($A334="","",MAX(0,IFERROR(INDEX('2_IMPORTAR_EJECUCION'!$H$9:$H$1208,MATCH($AQ334,'2_IMPORTAR_EJECUCION'!$J$9:$J$1208,0)),0)-$AI334))</f>
        <v/>
      </c>
      <c r="AK334" s="10">
        <f>IF($A334="","",$AI334+$AJ334)</f>
        <v/>
      </c>
      <c r="AL334" s="6" t="n"/>
      <c r="AM334" s="6" t="n"/>
      <c r="AN334" s="6" t="n"/>
      <c r="AO334" s="3">
        <f>IF($AN334="","",HYPERLINK(p_ruta_base_checklists&amp;$AN334,"abrir"))</f>
        <v/>
      </c>
      <c r="AP334" s="6" t="n"/>
      <c r="AQ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IF($A335="","",IFERROR(INDEX('AJUSTES'!$B$4:$B$303,MATCH($AQ335,'AJUSTES'!$A$4:$A$303,0)),IF($K335="","",$K335)))</f>
        <v/>
      </c>
      <c r="N335" s="3">
        <f>IF($A335="","",IFERROR(INDEX('CAT_ESTADOS_ERP'!$B$4:$B$7,MATCH(IFERROR(INDEX('2_IMPORTAR_EJECUCION'!$C$9:$C$1208,MATCH($AQ335,'2_IMPORTAR_EJECUCION'!$J$9:$J$1208,0)),""),'CAT_ESTADOS_ERP'!$A$4:$A$7,0)),"Pendiente"))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J335="","",IFERROR(INDEX('CALENDARIO'!$C$15:$C$214,MATCH(TEXT($J335,"yyyy-mm-dd")&amp;"|"&amp;$V335&amp;"|"&amp;$W335,'CALENDARIO'!$G$15:$G$214,0)),IFERROR(INDEX('CALENDARIO'!$C$15:$C$214,MATCH(TEXT($J335,"yyyy-mm-dd")&amp;"|"&amp;$V335&amp;"|",'CALENDARIO'!$G$15:$G$214,0)),IFERROR(INDEX('CALENDARIO'!$C$15:$C$214,MATCH(TEXT($J335,"yyyy-mm-dd")&amp;"||",'CALENDARIO'!$G$15:$G$214,0)),INDEX(patronHabil,WEEKDAY($J335,2))))))</f>
        <v/>
      </c>
      <c r="T335" s="3">
        <f>IF($I335="","",IFERROR(INDEX('CAT_TIPOS_OT'!$C$4:$C$7,MATCH($I335,'CAT_TIPOS_OT'!$A$4:$A$7,0)),"sin_clasificar"))</f>
        <v/>
      </c>
      <c r="U335" s="3">
        <f>IF($F335="","",IFERROR(INDEX('CAT_CENTROS_COSTO'!$F$4:$F$13,MATCH($F335,'CAT_CENTROS_COSTO'!$A$4:$A$13,0)),"(sin catálogo)"))</f>
        <v/>
      </c>
      <c r="V335" s="3">
        <f>IF($F335="","",IFERROR(INDEX('CAT_CENTROS_COSTO'!$D$4:$D$13,MATCH($F335,'CAT_CENTROS_COSTO'!$A$4:$A$13,0)),"(sin catálogo)"))</f>
        <v/>
      </c>
      <c r="W335" s="3">
        <f>IF($F335="","",IF((IFERROR(INDEX('CAT_CENTROS_COSTO'!$E$4:$E$13,MATCH($F335,'CAT_CENTROS_COSTO'!$A$4:$A$13,0)),""))&lt;&gt;"",IFERROR(INDEX('CAT_CENTROS_COSTO'!$E$4:$E$13,MATCH($F335,'CAT_CENTROS_COSTO'!$A$4:$A$13,0)),""),$V335))</f>
        <v/>
      </c>
      <c r="X335" s="3">
        <f>IF($F335="","",IFERROR(INDEX('CAT_CENTROS_COSTO'!$G$4:$G$13,MATCH($F335,'CAT_CENTROS_COSTO'!$A$4:$A$13,0)),"(sin catálogo)"))</f>
        <v/>
      </c>
      <c r="Y335" s="3">
        <f>IF($G335="","",IFERROR(INDEX('CAT_PUESTOS'!$B$4:$B$8,MATCH($G335,'CAT_PUESTOS'!$A$4:$A$8,0)),"(sin catálogo)"))</f>
        <v/>
      </c>
      <c r="Z335" s="3">
        <f>IF($H335="","",IFERROR(INDEX('CAT_ACTIVIDADES'!$B$4:$B$8,MATCH($H335,'CAT_ACTIVIDADES'!$A$4:$A$8,0)),"(sin catálogo)"))</f>
        <v/>
      </c>
      <c r="AA335" s="12">
        <f>IF($J335="","",TODAY()-$J335)</f>
        <v/>
      </c>
      <c r="AB335" s="12">
        <f>IF($J335="","",IF($J335&lt;=TODAY(),COUNTIFS(cal_fechas,"&gt;="&amp;$J335,cal_fechas,"&lt;"&amp;TODAY(),cal_habil,"sí"),-COUNTIFS(cal_fechas,"&gt;="&amp;TODAY(),cal_fechas,"&lt;"&amp;$J335,cal_habil,"sí")))</f>
        <v/>
      </c>
      <c r="AC335" s="3">
        <f>IF($AB335="","",IF($AB335&lt;0,"FUTURO",IF($AB335&gt;p_dias_backlog_max,"BACKLOG","MES CORRIENTE")))</f>
        <v/>
      </c>
      <c r="AD335" s="3">
        <f>IF($AB335="",FALSE,AND($AB335&gt;p_dias_backlog_min,$AB335&lt;=p_dias_backlog_max))</f>
        <v/>
      </c>
      <c r="AE335" s="6" t="n"/>
      <c r="AF335" s="3">
        <f>IF($AE335="","",IF((IFERROR(INDEX('ASIGNACIONES'!$F$4:$F$339,MATCH($O335&amp;"|"&amp;$R335&amp;"|"&amp;$AE335,'ASIGNACIONES'!$J$4:$J$339,0)),""))=0,"",IFERROR(INDEX('ASIGNACIONES'!$F$4:$F$339,MATCH($O335&amp;"|"&amp;$R335&amp;"|"&amp;$AE335,'ASIGNACIONES'!$J$4:$J$339,0)),"")))</f>
        <v/>
      </c>
      <c r="AG335" s="13">
        <f>IF($AE335="","",SUMIFS('ORDENES'!$M$4:$M$1203,'ORDENES'!$AE$4:$AE$1203,$AE335,'ORDENES'!$O$4:$O$1203,$O335,'ORDENES'!$R$4:$R$1203,$R335))</f>
        <v/>
      </c>
      <c r="AH335" s="13">
        <f>IF($AG335="","",p_factor_productividad*IFERROR(INDEX('ASIGNACIONES'!$I$4:$I$339,MATCH($O335&amp;"|"&amp;$R335&amp;"|"&amp;$AE335,'ASIGNACIONES'!$J$4:$J$339,0)),0)-$AG335)</f>
        <v/>
      </c>
      <c r="AI335" s="10">
        <f>IF($A335="","",IFERROR(INDEX('2_IMPORTAR_EJECUCION'!$F$9:$F$1208,MATCH($AQ335,'2_IMPORTAR_EJECUCION'!$J$9:$J$1208,0)),0))</f>
        <v/>
      </c>
      <c r="AJ335" s="10">
        <f>IF($A335="","",MAX(0,IFERROR(INDEX('2_IMPORTAR_EJECUCION'!$H$9:$H$1208,MATCH($AQ335,'2_IMPORTAR_EJECUCION'!$J$9:$J$1208,0)),0)-$AI335))</f>
        <v/>
      </c>
      <c r="AK335" s="10">
        <f>IF($A335="","",$AI335+$AJ335)</f>
        <v/>
      </c>
      <c r="AL335" s="6" t="n"/>
      <c r="AM335" s="6" t="n"/>
      <c r="AN335" s="6" t="n"/>
      <c r="AO335" s="3">
        <f>IF($AN335="","",HYPERLINK(p_ruta_base_checklists&amp;$AN335,"abrir"))</f>
        <v/>
      </c>
      <c r="AP335" s="6" t="n"/>
      <c r="AQ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IF($A336="","",IFERROR(INDEX('AJUSTES'!$B$4:$B$303,MATCH($AQ336,'AJUSTES'!$A$4:$A$303,0)),IF($K336="","",$K336)))</f>
        <v/>
      </c>
      <c r="N336" s="3">
        <f>IF($A336="","",IFERROR(INDEX('CAT_ESTADOS_ERP'!$B$4:$B$7,MATCH(IFERROR(INDEX('2_IMPORTAR_EJECUCION'!$C$9:$C$1208,MATCH($AQ336,'2_IMPORTAR_EJECUCION'!$J$9:$J$1208,0)),""),'CAT_ESTADOS_ERP'!$A$4:$A$7,0)),"Pendiente"))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J336="","",IFERROR(INDEX('CALENDARIO'!$C$15:$C$214,MATCH(TEXT($J336,"yyyy-mm-dd")&amp;"|"&amp;$V336&amp;"|"&amp;$W336,'CALENDARIO'!$G$15:$G$214,0)),IFERROR(INDEX('CALENDARIO'!$C$15:$C$214,MATCH(TEXT($J336,"yyyy-mm-dd")&amp;"|"&amp;$V336&amp;"|",'CALENDARIO'!$G$15:$G$214,0)),IFERROR(INDEX('CALENDARIO'!$C$15:$C$214,MATCH(TEXT($J336,"yyyy-mm-dd")&amp;"||",'CALENDARIO'!$G$15:$G$214,0)),INDEX(patronHabil,WEEKDAY($J336,2))))))</f>
        <v/>
      </c>
      <c r="T336" s="3">
        <f>IF($I336="","",IFERROR(INDEX('CAT_TIPOS_OT'!$C$4:$C$7,MATCH($I336,'CAT_TIPOS_OT'!$A$4:$A$7,0)),"sin_clasificar"))</f>
        <v/>
      </c>
      <c r="U336" s="3">
        <f>IF($F336="","",IFERROR(INDEX('CAT_CENTROS_COSTO'!$F$4:$F$13,MATCH($F336,'CAT_CENTROS_COSTO'!$A$4:$A$13,0)),"(sin catálogo)"))</f>
        <v/>
      </c>
      <c r="V336" s="3">
        <f>IF($F336="","",IFERROR(INDEX('CAT_CENTROS_COSTO'!$D$4:$D$13,MATCH($F336,'CAT_CENTROS_COSTO'!$A$4:$A$13,0)),"(sin catálogo)"))</f>
        <v/>
      </c>
      <c r="W336" s="3">
        <f>IF($F336="","",IF((IFERROR(INDEX('CAT_CENTROS_COSTO'!$E$4:$E$13,MATCH($F336,'CAT_CENTROS_COSTO'!$A$4:$A$13,0)),""))&lt;&gt;"",IFERROR(INDEX('CAT_CENTROS_COSTO'!$E$4:$E$13,MATCH($F336,'CAT_CENTROS_COSTO'!$A$4:$A$13,0)),""),$V336))</f>
        <v/>
      </c>
      <c r="X336" s="3">
        <f>IF($F336="","",IFERROR(INDEX('CAT_CENTROS_COSTO'!$G$4:$G$13,MATCH($F336,'CAT_CENTROS_COSTO'!$A$4:$A$13,0)),"(sin catálogo)"))</f>
        <v/>
      </c>
      <c r="Y336" s="3">
        <f>IF($G336="","",IFERROR(INDEX('CAT_PUESTOS'!$B$4:$B$8,MATCH($G336,'CAT_PUESTOS'!$A$4:$A$8,0)),"(sin catálogo)"))</f>
        <v/>
      </c>
      <c r="Z336" s="3">
        <f>IF($H336="","",IFERROR(INDEX('CAT_ACTIVIDADES'!$B$4:$B$8,MATCH($H336,'CAT_ACTIVIDADES'!$A$4:$A$8,0)),"(sin catálogo)"))</f>
        <v/>
      </c>
      <c r="AA336" s="12">
        <f>IF($J336="","",TODAY()-$J336)</f>
        <v/>
      </c>
      <c r="AB336" s="12">
        <f>IF($J336="","",IF($J336&lt;=TODAY(),COUNTIFS(cal_fechas,"&gt;="&amp;$J336,cal_fechas,"&lt;"&amp;TODAY(),cal_habil,"sí"),-COUNTIFS(cal_fechas,"&gt;="&amp;TODAY(),cal_fechas,"&lt;"&amp;$J336,cal_habil,"sí")))</f>
        <v/>
      </c>
      <c r="AC336" s="3">
        <f>IF($AB336="","",IF($AB336&lt;0,"FUTURO",IF($AB336&gt;p_dias_backlog_max,"BACKLOG","MES CORRIENTE")))</f>
        <v/>
      </c>
      <c r="AD336" s="3">
        <f>IF($AB336="",FALSE,AND($AB336&gt;p_dias_backlog_min,$AB336&lt;=p_dias_backlog_max))</f>
        <v/>
      </c>
      <c r="AE336" s="6" t="n"/>
      <c r="AF336" s="3">
        <f>IF($AE336="","",IF((IFERROR(INDEX('ASIGNACIONES'!$F$4:$F$339,MATCH($O336&amp;"|"&amp;$R336&amp;"|"&amp;$AE336,'ASIGNACIONES'!$J$4:$J$339,0)),""))=0,"",IFERROR(INDEX('ASIGNACIONES'!$F$4:$F$339,MATCH($O336&amp;"|"&amp;$R336&amp;"|"&amp;$AE336,'ASIGNACIONES'!$J$4:$J$339,0)),"")))</f>
        <v/>
      </c>
      <c r="AG336" s="13">
        <f>IF($AE336="","",SUMIFS('ORDENES'!$M$4:$M$1203,'ORDENES'!$AE$4:$AE$1203,$AE336,'ORDENES'!$O$4:$O$1203,$O336,'ORDENES'!$R$4:$R$1203,$R336))</f>
        <v/>
      </c>
      <c r="AH336" s="13">
        <f>IF($AG336="","",p_factor_productividad*IFERROR(INDEX('ASIGNACIONES'!$I$4:$I$339,MATCH($O336&amp;"|"&amp;$R336&amp;"|"&amp;$AE336,'ASIGNACIONES'!$J$4:$J$339,0)),0)-$AG336)</f>
        <v/>
      </c>
      <c r="AI336" s="10">
        <f>IF($A336="","",IFERROR(INDEX('2_IMPORTAR_EJECUCION'!$F$9:$F$1208,MATCH($AQ336,'2_IMPORTAR_EJECUCION'!$J$9:$J$1208,0)),0))</f>
        <v/>
      </c>
      <c r="AJ336" s="10">
        <f>IF($A336="","",MAX(0,IFERROR(INDEX('2_IMPORTAR_EJECUCION'!$H$9:$H$1208,MATCH($AQ336,'2_IMPORTAR_EJECUCION'!$J$9:$J$1208,0)),0)-$AI336))</f>
        <v/>
      </c>
      <c r="AK336" s="10">
        <f>IF($A336="","",$AI336+$AJ336)</f>
        <v/>
      </c>
      <c r="AL336" s="6" t="n"/>
      <c r="AM336" s="6" t="n"/>
      <c r="AN336" s="6" t="n"/>
      <c r="AO336" s="3">
        <f>IF($AN336="","",HYPERLINK(p_ruta_base_checklists&amp;$AN336,"abrir"))</f>
        <v/>
      </c>
      <c r="AP336" s="6" t="n"/>
      <c r="AQ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IF($A337="","",IFERROR(INDEX('AJUSTES'!$B$4:$B$303,MATCH($AQ337,'AJUSTES'!$A$4:$A$303,0)),IF($K337="","",$K337)))</f>
        <v/>
      </c>
      <c r="N337" s="3">
        <f>IF($A337="","",IFERROR(INDEX('CAT_ESTADOS_ERP'!$B$4:$B$7,MATCH(IFERROR(INDEX('2_IMPORTAR_EJECUCION'!$C$9:$C$1208,MATCH($AQ337,'2_IMPORTAR_EJECUCION'!$J$9:$J$1208,0)),""),'CAT_ESTADOS_ERP'!$A$4:$A$7,0)),"Pendiente"))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J337="","",IFERROR(INDEX('CALENDARIO'!$C$15:$C$214,MATCH(TEXT($J337,"yyyy-mm-dd")&amp;"|"&amp;$V337&amp;"|"&amp;$W337,'CALENDARIO'!$G$15:$G$214,0)),IFERROR(INDEX('CALENDARIO'!$C$15:$C$214,MATCH(TEXT($J337,"yyyy-mm-dd")&amp;"|"&amp;$V337&amp;"|",'CALENDARIO'!$G$15:$G$214,0)),IFERROR(INDEX('CALENDARIO'!$C$15:$C$214,MATCH(TEXT($J337,"yyyy-mm-dd")&amp;"||",'CALENDARIO'!$G$15:$G$214,0)),INDEX(patronHabil,WEEKDAY($J337,2))))))</f>
        <v/>
      </c>
      <c r="T337" s="3">
        <f>IF($I337="","",IFERROR(INDEX('CAT_TIPOS_OT'!$C$4:$C$7,MATCH($I337,'CAT_TIPOS_OT'!$A$4:$A$7,0)),"sin_clasificar"))</f>
        <v/>
      </c>
      <c r="U337" s="3">
        <f>IF($F337="","",IFERROR(INDEX('CAT_CENTROS_COSTO'!$F$4:$F$13,MATCH($F337,'CAT_CENTROS_COSTO'!$A$4:$A$13,0)),"(sin catálogo)"))</f>
        <v/>
      </c>
      <c r="V337" s="3">
        <f>IF($F337="","",IFERROR(INDEX('CAT_CENTROS_COSTO'!$D$4:$D$13,MATCH($F337,'CAT_CENTROS_COSTO'!$A$4:$A$13,0)),"(sin catálogo)"))</f>
        <v/>
      </c>
      <c r="W337" s="3">
        <f>IF($F337="","",IF((IFERROR(INDEX('CAT_CENTROS_COSTO'!$E$4:$E$13,MATCH($F337,'CAT_CENTROS_COSTO'!$A$4:$A$13,0)),""))&lt;&gt;"",IFERROR(INDEX('CAT_CENTROS_COSTO'!$E$4:$E$13,MATCH($F337,'CAT_CENTROS_COSTO'!$A$4:$A$13,0)),""),$V337))</f>
        <v/>
      </c>
      <c r="X337" s="3">
        <f>IF($F337="","",IFERROR(INDEX('CAT_CENTROS_COSTO'!$G$4:$G$13,MATCH($F337,'CAT_CENTROS_COSTO'!$A$4:$A$13,0)),"(sin catálogo)"))</f>
        <v/>
      </c>
      <c r="Y337" s="3">
        <f>IF($G337="","",IFERROR(INDEX('CAT_PUESTOS'!$B$4:$B$8,MATCH($G337,'CAT_PUESTOS'!$A$4:$A$8,0)),"(sin catálogo)"))</f>
        <v/>
      </c>
      <c r="Z337" s="3">
        <f>IF($H337="","",IFERROR(INDEX('CAT_ACTIVIDADES'!$B$4:$B$8,MATCH($H337,'CAT_ACTIVIDADES'!$A$4:$A$8,0)),"(sin catálogo)"))</f>
        <v/>
      </c>
      <c r="AA337" s="12">
        <f>IF($J337="","",TODAY()-$J337)</f>
        <v/>
      </c>
      <c r="AB337" s="12">
        <f>IF($J337="","",IF($J337&lt;=TODAY(),COUNTIFS(cal_fechas,"&gt;="&amp;$J337,cal_fechas,"&lt;"&amp;TODAY(),cal_habil,"sí"),-COUNTIFS(cal_fechas,"&gt;="&amp;TODAY(),cal_fechas,"&lt;"&amp;$J337,cal_habil,"sí")))</f>
        <v/>
      </c>
      <c r="AC337" s="3">
        <f>IF($AB337="","",IF($AB337&lt;0,"FUTURO",IF($AB337&gt;p_dias_backlog_max,"BACKLOG","MES CORRIENTE")))</f>
        <v/>
      </c>
      <c r="AD337" s="3">
        <f>IF($AB337="",FALSE,AND($AB337&gt;p_dias_backlog_min,$AB337&lt;=p_dias_backlog_max))</f>
        <v/>
      </c>
      <c r="AE337" s="6" t="n"/>
      <c r="AF337" s="3">
        <f>IF($AE337="","",IF((IFERROR(INDEX('ASIGNACIONES'!$F$4:$F$339,MATCH($O337&amp;"|"&amp;$R337&amp;"|"&amp;$AE337,'ASIGNACIONES'!$J$4:$J$339,0)),""))=0,"",IFERROR(INDEX('ASIGNACIONES'!$F$4:$F$339,MATCH($O337&amp;"|"&amp;$R337&amp;"|"&amp;$AE337,'ASIGNACIONES'!$J$4:$J$339,0)),"")))</f>
        <v/>
      </c>
      <c r="AG337" s="13">
        <f>IF($AE337="","",SUMIFS('ORDENES'!$M$4:$M$1203,'ORDENES'!$AE$4:$AE$1203,$AE337,'ORDENES'!$O$4:$O$1203,$O337,'ORDENES'!$R$4:$R$1203,$R337))</f>
        <v/>
      </c>
      <c r="AH337" s="13">
        <f>IF($AG337="","",p_factor_productividad*IFERROR(INDEX('ASIGNACIONES'!$I$4:$I$339,MATCH($O337&amp;"|"&amp;$R337&amp;"|"&amp;$AE337,'ASIGNACIONES'!$J$4:$J$339,0)),0)-$AG337)</f>
        <v/>
      </c>
      <c r="AI337" s="10">
        <f>IF($A337="","",IFERROR(INDEX('2_IMPORTAR_EJECUCION'!$F$9:$F$1208,MATCH($AQ337,'2_IMPORTAR_EJECUCION'!$J$9:$J$1208,0)),0))</f>
        <v/>
      </c>
      <c r="AJ337" s="10">
        <f>IF($A337="","",MAX(0,IFERROR(INDEX('2_IMPORTAR_EJECUCION'!$H$9:$H$1208,MATCH($AQ337,'2_IMPORTAR_EJECUCION'!$J$9:$J$1208,0)),0)-$AI337))</f>
        <v/>
      </c>
      <c r="AK337" s="10">
        <f>IF($A337="","",$AI337+$AJ337)</f>
        <v/>
      </c>
      <c r="AL337" s="6" t="n"/>
      <c r="AM337" s="6" t="n"/>
      <c r="AN337" s="6" t="n"/>
      <c r="AO337" s="3">
        <f>IF($AN337="","",HYPERLINK(p_ruta_base_checklists&amp;$AN337,"abrir"))</f>
        <v/>
      </c>
      <c r="AP337" s="6" t="n"/>
      <c r="AQ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IF($A338="","",IFERROR(INDEX('AJUSTES'!$B$4:$B$303,MATCH($AQ338,'AJUSTES'!$A$4:$A$303,0)),IF($K338="","",$K338)))</f>
        <v/>
      </c>
      <c r="N338" s="3">
        <f>IF($A338="","",IFERROR(INDEX('CAT_ESTADOS_ERP'!$B$4:$B$7,MATCH(IFERROR(INDEX('2_IMPORTAR_EJECUCION'!$C$9:$C$1208,MATCH($AQ338,'2_IMPORTAR_EJECUCION'!$J$9:$J$1208,0)),""),'CAT_ESTADOS_ERP'!$A$4:$A$7,0)),"Pendiente"))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J338="","",IFERROR(INDEX('CALENDARIO'!$C$15:$C$214,MATCH(TEXT($J338,"yyyy-mm-dd")&amp;"|"&amp;$V338&amp;"|"&amp;$W338,'CALENDARIO'!$G$15:$G$214,0)),IFERROR(INDEX('CALENDARIO'!$C$15:$C$214,MATCH(TEXT($J338,"yyyy-mm-dd")&amp;"|"&amp;$V338&amp;"|",'CALENDARIO'!$G$15:$G$214,0)),IFERROR(INDEX('CALENDARIO'!$C$15:$C$214,MATCH(TEXT($J338,"yyyy-mm-dd")&amp;"||",'CALENDARIO'!$G$15:$G$214,0)),INDEX(patronHabil,WEEKDAY($J338,2))))))</f>
        <v/>
      </c>
      <c r="T338" s="3">
        <f>IF($I338="","",IFERROR(INDEX('CAT_TIPOS_OT'!$C$4:$C$7,MATCH($I338,'CAT_TIPOS_OT'!$A$4:$A$7,0)),"sin_clasificar"))</f>
        <v/>
      </c>
      <c r="U338" s="3">
        <f>IF($F338="","",IFERROR(INDEX('CAT_CENTROS_COSTO'!$F$4:$F$13,MATCH($F338,'CAT_CENTROS_COSTO'!$A$4:$A$13,0)),"(sin catálogo)"))</f>
        <v/>
      </c>
      <c r="V338" s="3">
        <f>IF($F338="","",IFERROR(INDEX('CAT_CENTROS_COSTO'!$D$4:$D$13,MATCH($F338,'CAT_CENTROS_COSTO'!$A$4:$A$13,0)),"(sin catálogo)"))</f>
        <v/>
      </c>
      <c r="W338" s="3">
        <f>IF($F338="","",IF((IFERROR(INDEX('CAT_CENTROS_COSTO'!$E$4:$E$13,MATCH($F338,'CAT_CENTROS_COSTO'!$A$4:$A$13,0)),""))&lt;&gt;"",IFERROR(INDEX('CAT_CENTROS_COSTO'!$E$4:$E$13,MATCH($F338,'CAT_CENTROS_COSTO'!$A$4:$A$13,0)),""),$V338))</f>
        <v/>
      </c>
      <c r="X338" s="3">
        <f>IF($F338="","",IFERROR(INDEX('CAT_CENTROS_COSTO'!$G$4:$G$13,MATCH($F338,'CAT_CENTROS_COSTO'!$A$4:$A$13,0)),"(sin catálogo)"))</f>
        <v/>
      </c>
      <c r="Y338" s="3">
        <f>IF($G338="","",IFERROR(INDEX('CAT_PUESTOS'!$B$4:$B$8,MATCH($G338,'CAT_PUESTOS'!$A$4:$A$8,0)),"(sin catálogo)"))</f>
        <v/>
      </c>
      <c r="Z338" s="3">
        <f>IF($H338="","",IFERROR(INDEX('CAT_ACTIVIDADES'!$B$4:$B$8,MATCH($H338,'CAT_ACTIVIDADES'!$A$4:$A$8,0)),"(sin catálogo)"))</f>
        <v/>
      </c>
      <c r="AA338" s="12">
        <f>IF($J338="","",TODAY()-$J338)</f>
        <v/>
      </c>
      <c r="AB338" s="12">
        <f>IF($J338="","",IF($J338&lt;=TODAY(),COUNTIFS(cal_fechas,"&gt;="&amp;$J338,cal_fechas,"&lt;"&amp;TODAY(),cal_habil,"sí"),-COUNTIFS(cal_fechas,"&gt;="&amp;TODAY(),cal_fechas,"&lt;"&amp;$J338,cal_habil,"sí")))</f>
        <v/>
      </c>
      <c r="AC338" s="3">
        <f>IF($AB338="","",IF($AB338&lt;0,"FUTURO",IF($AB338&gt;p_dias_backlog_max,"BACKLOG","MES CORRIENTE")))</f>
        <v/>
      </c>
      <c r="AD338" s="3">
        <f>IF($AB338="",FALSE,AND($AB338&gt;p_dias_backlog_min,$AB338&lt;=p_dias_backlog_max))</f>
        <v/>
      </c>
      <c r="AE338" s="6" t="n"/>
      <c r="AF338" s="3">
        <f>IF($AE338="","",IF((IFERROR(INDEX('ASIGNACIONES'!$F$4:$F$339,MATCH($O338&amp;"|"&amp;$R338&amp;"|"&amp;$AE338,'ASIGNACIONES'!$J$4:$J$339,0)),""))=0,"",IFERROR(INDEX('ASIGNACIONES'!$F$4:$F$339,MATCH($O338&amp;"|"&amp;$R338&amp;"|"&amp;$AE338,'ASIGNACIONES'!$J$4:$J$339,0)),"")))</f>
        <v/>
      </c>
      <c r="AG338" s="13">
        <f>IF($AE338="","",SUMIFS('ORDENES'!$M$4:$M$1203,'ORDENES'!$AE$4:$AE$1203,$AE338,'ORDENES'!$O$4:$O$1203,$O338,'ORDENES'!$R$4:$R$1203,$R338))</f>
        <v/>
      </c>
      <c r="AH338" s="13">
        <f>IF($AG338="","",p_factor_productividad*IFERROR(INDEX('ASIGNACIONES'!$I$4:$I$339,MATCH($O338&amp;"|"&amp;$R338&amp;"|"&amp;$AE338,'ASIGNACIONES'!$J$4:$J$339,0)),0)-$AG338)</f>
        <v/>
      </c>
      <c r="AI338" s="10">
        <f>IF($A338="","",IFERROR(INDEX('2_IMPORTAR_EJECUCION'!$F$9:$F$1208,MATCH($AQ338,'2_IMPORTAR_EJECUCION'!$J$9:$J$1208,0)),0))</f>
        <v/>
      </c>
      <c r="AJ338" s="10">
        <f>IF($A338="","",MAX(0,IFERROR(INDEX('2_IMPORTAR_EJECUCION'!$H$9:$H$1208,MATCH($AQ338,'2_IMPORTAR_EJECUCION'!$J$9:$J$1208,0)),0)-$AI338))</f>
        <v/>
      </c>
      <c r="AK338" s="10">
        <f>IF($A338="","",$AI338+$AJ338)</f>
        <v/>
      </c>
      <c r="AL338" s="6" t="n"/>
      <c r="AM338" s="6" t="n"/>
      <c r="AN338" s="6" t="n"/>
      <c r="AO338" s="3">
        <f>IF($AN338="","",HYPERLINK(p_ruta_base_checklists&amp;$AN338,"abrir"))</f>
        <v/>
      </c>
      <c r="AP338" s="6" t="n"/>
      <c r="AQ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IF($A339="","",IFERROR(INDEX('AJUSTES'!$B$4:$B$303,MATCH($AQ339,'AJUSTES'!$A$4:$A$303,0)),IF($K339="","",$K339)))</f>
        <v/>
      </c>
      <c r="N339" s="3">
        <f>IF($A339="","",IFERROR(INDEX('CAT_ESTADOS_ERP'!$B$4:$B$7,MATCH(IFERROR(INDEX('2_IMPORTAR_EJECUCION'!$C$9:$C$1208,MATCH($AQ339,'2_IMPORTAR_EJECUCION'!$J$9:$J$1208,0)),""),'CAT_ESTADOS_ERP'!$A$4:$A$7,0)),"Pendiente"))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J339="","",IFERROR(INDEX('CALENDARIO'!$C$15:$C$214,MATCH(TEXT($J339,"yyyy-mm-dd")&amp;"|"&amp;$V339&amp;"|"&amp;$W339,'CALENDARIO'!$G$15:$G$214,0)),IFERROR(INDEX('CALENDARIO'!$C$15:$C$214,MATCH(TEXT($J339,"yyyy-mm-dd")&amp;"|"&amp;$V339&amp;"|",'CALENDARIO'!$G$15:$G$214,0)),IFERROR(INDEX('CALENDARIO'!$C$15:$C$214,MATCH(TEXT($J339,"yyyy-mm-dd")&amp;"||",'CALENDARIO'!$G$15:$G$214,0)),INDEX(patronHabil,WEEKDAY($J339,2))))))</f>
        <v/>
      </c>
      <c r="T339" s="3">
        <f>IF($I339="","",IFERROR(INDEX('CAT_TIPOS_OT'!$C$4:$C$7,MATCH($I339,'CAT_TIPOS_OT'!$A$4:$A$7,0)),"sin_clasificar"))</f>
        <v/>
      </c>
      <c r="U339" s="3">
        <f>IF($F339="","",IFERROR(INDEX('CAT_CENTROS_COSTO'!$F$4:$F$13,MATCH($F339,'CAT_CENTROS_COSTO'!$A$4:$A$13,0)),"(sin catálogo)"))</f>
        <v/>
      </c>
      <c r="V339" s="3">
        <f>IF($F339="","",IFERROR(INDEX('CAT_CENTROS_COSTO'!$D$4:$D$13,MATCH($F339,'CAT_CENTROS_COSTO'!$A$4:$A$13,0)),"(sin catálogo)"))</f>
        <v/>
      </c>
      <c r="W339" s="3">
        <f>IF($F339="","",IF((IFERROR(INDEX('CAT_CENTROS_COSTO'!$E$4:$E$13,MATCH($F339,'CAT_CENTROS_COSTO'!$A$4:$A$13,0)),""))&lt;&gt;"",IFERROR(INDEX('CAT_CENTROS_COSTO'!$E$4:$E$13,MATCH($F339,'CAT_CENTROS_COSTO'!$A$4:$A$13,0)),""),$V339))</f>
        <v/>
      </c>
      <c r="X339" s="3">
        <f>IF($F339="","",IFERROR(INDEX('CAT_CENTROS_COSTO'!$G$4:$G$13,MATCH($F339,'CAT_CENTROS_COSTO'!$A$4:$A$13,0)),"(sin catálogo)"))</f>
        <v/>
      </c>
      <c r="Y339" s="3">
        <f>IF($G339="","",IFERROR(INDEX('CAT_PUESTOS'!$B$4:$B$8,MATCH($G339,'CAT_PUESTOS'!$A$4:$A$8,0)),"(sin catálogo)"))</f>
        <v/>
      </c>
      <c r="Z339" s="3">
        <f>IF($H339="","",IFERROR(INDEX('CAT_ACTIVIDADES'!$B$4:$B$8,MATCH($H339,'CAT_ACTIVIDADES'!$A$4:$A$8,0)),"(sin catálogo)"))</f>
        <v/>
      </c>
      <c r="AA339" s="12">
        <f>IF($J339="","",TODAY()-$J339)</f>
        <v/>
      </c>
      <c r="AB339" s="12">
        <f>IF($J339="","",IF($J339&lt;=TODAY(),COUNTIFS(cal_fechas,"&gt;="&amp;$J339,cal_fechas,"&lt;"&amp;TODAY(),cal_habil,"sí"),-COUNTIFS(cal_fechas,"&gt;="&amp;TODAY(),cal_fechas,"&lt;"&amp;$J339,cal_habil,"sí")))</f>
        <v/>
      </c>
      <c r="AC339" s="3">
        <f>IF($AB339="","",IF($AB339&lt;0,"FUTURO",IF($AB339&gt;p_dias_backlog_max,"BACKLOG","MES CORRIENTE")))</f>
        <v/>
      </c>
      <c r="AD339" s="3">
        <f>IF($AB339="",FALSE,AND($AB339&gt;p_dias_backlog_min,$AB339&lt;=p_dias_backlog_max))</f>
        <v/>
      </c>
      <c r="AE339" s="6" t="n"/>
      <c r="AF339" s="3">
        <f>IF($AE339="","",IF((IFERROR(INDEX('ASIGNACIONES'!$F$4:$F$339,MATCH($O339&amp;"|"&amp;$R339&amp;"|"&amp;$AE339,'ASIGNACIONES'!$J$4:$J$339,0)),""))=0,"",IFERROR(INDEX('ASIGNACIONES'!$F$4:$F$339,MATCH($O339&amp;"|"&amp;$R339&amp;"|"&amp;$AE339,'ASIGNACIONES'!$J$4:$J$339,0)),"")))</f>
        <v/>
      </c>
      <c r="AG339" s="13">
        <f>IF($AE339="","",SUMIFS('ORDENES'!$M$4:$M$1203,'ORDENES'!$AE$4:$AE$1203,$AE339,'ORDENES'!$O$4:$O$1203,$O339,'ORDENES'!$R$4:$R$1203,$R339))</f>
        <v/>
      </c>
      <c r="AH339" s="13">
        <f>IF($AG339="","",p_factor_productividad*IFERROR(INDEX('ASIGNACIONES'!$I$4:$I$339,MATCH($O339&amp;"|"&amp;$R339&amp;"|"&amp;$AE339,'ASIGNACIONES'!$J$4:$J$339,0)),0)-$AG339)</f>
        <v/>
      </c>
      <c r="AI339" s="10">
        <f>IF($A339="","",IFERROR(INDEX('2_IMPORTAR_EJECUCION'!$F$9:$F$1208,MATCH($AQ339,'2_IMPORTAR_EJECUCION'!$J$9:$J$1208,0)),0))</f>
        <v/>
      </c>
      <c r="AJ339" s="10">
        <f>IF($A339="","",MAX(0,IFERROR(INDEX('2_IMPORTAR_EJECUCION'!$H$9:$H$1208,MATCH($AQ339,'2_IMPORTAR_EJECUCION'!$J$9:$J$1208,0)),0)-$AI339))</f>
        <v/>
      </c>
      <c r="AK339" s="10">
        <f>IF($A339="","",$AI339+$AJ339)</f>
        <v/>
      </c>
      <c r="AL339" s="6" t="n"/>
      <c r="AM339" s="6" t="n"/>
      <c r="AN339" s="6" t="n"/>
      <c r="AO339" s="3">
        <f>IF($AN339="","",HYPERLINK(p_ruta_base_checklists&amp;$AN339,"abrir"))</f>
        <v/>
      </c>
      <c r="AP339" s="6" t="n"/>
      <c r="AQ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IF($A340="","",IFERROR(INDEX('AJUSTES'!$B$4:$B$303,MATCH($AQ340,'AJUSTES'!$A$4:$A$303,0)),IF($K340="","",$K340)))</f>
        <v/>
      </c>
      <c r="N340" s="3">
        <f>IF($A340="","",IFERROR(INDEX('CAT_ESTADOS_ERP'!$B$4:$B$7,MATCH(IFERROR(INDEX('2_IMPORTAR_EJECUCION'!$C$9:$C$1208,MATCH($AQ340,'2_IMPORTAR_EJECUCION'!$J$9:$J$1208,0)),""),'CAT_ESTADOS_ERP'!$A$4:$A$7,0)),"Pendiente"))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J340="","",IFERROR(INDEX('CALENDARIO'!$C$15:$C$214,MATCH(TEXT($J340,"yyyy-mm-dd")&amp;"|"&amp;$V340&amp;"|"&amp;$W340,'CALENDARIO'!$G$15:$G$214,0)),IFERROR(INDEX('CALENDARIO'!$C$15:$C$214,MATCH(TEXT($J340,"yyyy-mm-dd")&amp;"|"&amp;$V340&amp;"|",'CALENDARIO'!$G$15:$G$214,0)),IFERROR(INDEX('CALENDARIO'!$C$15:$C$214,MATCH(TEXT($J340,"yyyy-mm-dd")&amp;"||",'CALENDARIO'!$G$15:$G$214,0)),INDEX(patronHabil,WEEKDAY($J340,2))))))</f>
        <v/>
      </c>
      <c r="T340" s="3">
        <f>IF($I340="","",IFERROR(INDEX('CAT_TIPOS_OT'!$C$4:$C$7,MATCH($I340,'CAT_TIPOS_OT'!$A$4:$A$7,0)),"sin_clasificar"))</f>
        <v/>
      </c>
      <c r="U340" s="3">
        <f>IF($F340="","",IFERROR(INDEX('CAT_CENTROS_COSTO'!$F$4:$F$13,MATCH($F340,'CAT_CENTROS_COSTO'!$A$4:$A$13,0)),"(sin catálogo)"))</f>
        <v/>
      </c>
      <c r="V340" s="3">
        <f>IF($F340="","",IFERROR(INDEX('CAT_CENTROS_COSTO'!$D$4:$D$13,MATCH($F340,'CAT_CENTROS_COSTO'!$A$4:$A$13,0)),"(sin catálogo)"))</f>
        <v/>
      </c>
      <c r="W340" s="3">
        <f>IF($F340="","",IF((IFERROR(INDEX('CAT_CENTROS_COSTO'!$E$4:$E$13,MATCH($F340,'CAT_CENTROS_COSTO'!$A$4:$A$13,0)),""))&lt;&gt;"",IFERROR(INDEX('CAT_CENTROS_COSTO'!$E$4:$E$13,MATCH($F340,'CAT_CENTROS_COSTO'!$A$4:$A$13,0)),""),$V340))</f>
        <v/>
      </c>
      <c r="X340" s="3">
        <f>IF($F340="","",IFERROR(INDEX('CAT_CENTROS_COSTO'!$G$4:$G$13,MATCH($F340,'CAT_CENTROS_COSTO'!$A$4:$A$13,0)),"(sin catálogo)"))</f>
        <v/>
      </c>
      <c r="Y340" s="3">
        <f>IF($G340="","",IFERROR(INDEX('CAT_PUESTOS'!$B$4:$B$8,MATCH($G340,'CAT_PUESTOS'!$A$4:$A$8,0)),"(sin catálogo)"))</f>
        <v/>
      </c>
      <c r="Z340" s="3">
        <f>IF($H340="","",IFERROR(INDEX('CAT_ACTIVIDADES'!$B$4:$B$8,MATCH($H340,'CAT_ACTIVIDADES'!$A$4:$A$8,0)),"(sin catálogo)"))</f>
        <v/>
      </c>
      <c r="AA340" s="12">
        <f>IF($J340="","",TODAY()-$J340)</f>
        <v/>
      </c>
      <c r="AB340" s="12">
        <f>IF($J340="","",IF($J340&lt;=TODAY(),COUNTIFS(cal_fechas,"&gt;="&amp;$J340,cal_fechas,"&lt;"&amp;TODAY(),cal_habil,"sí"),-COUNTIFS(cal_fechas,"&gt;="&amp;TODAY(),cal_fechas,"&lt;"&amp;$J340,cal_habil,"sí")))</f>
        <v/>
      </c>
      <c r="AC340" s="3">
        <f>IF($AB340="","",IF($AB340&lt;0,"FUTURO",IF($AB340&gt;p_dias_backlog_max,"BACKLOG","MES CORRIENTE")))</f>
        <v/>
      </c>
      <c r="AD340" s="3">
        <f>IF($AB340="",FALSE,AND($AB340&gt;p_dias_backlog_min,$AB340&lt;=p_dias_backlog_max))</f>
        <v/>
      </c>
      <c r="AE340" s="6" t="n"/>
      <c r="AF340" s="3">
        <f>IF($AE340="","",IF((IFERROR(INDEX('ASIGNACIONES'!$F$4:$F$339,MATCH($O340&amp;"|"&amp;$R340&amp;"|"&amp;$AE340,'ASIGNACIONES'!$J$4:$J$339,0)),""))=0,"",IFERROR(INDEX('ASIGNACIONES'!$F$4:$F$339,MATCH($O340&amp;"|"&amp;$R340&amp;"|"&amp;$AE340,'ASIGNACIONES'!$J$4:$J$339,0)),"")))</f>
        <v/>
      </c>
      <c r="AG340" s="13">
        <f>IF($AE340="","",SUMIFS('ORDENES'!$M$4:$M$1203,'ORDENES'!$AE$4:$AE$1203,$AE340,'ORDENES'!$O$4:$O$1203,$O340,'ORDENES'!$R$4:$R$1203,$R340))</f>
        <v/>
      </c>
      <c r="AH340" s="13">
        <f>IF($AG340="","",p_factor_productividad*IFERROR(INDEX('ASIGNACIONES'!$I$4:$I$339,MATCH($O340&amp;"|"&amp;$R340&amp;"|"&amp;$AE340,'ASIGNACIONES'!$J$4:$J$339,0)),0)-$AG340)</f>
        <v/>
      </c>
      <c r="AI340" s="10">
        <f>IF($A340="","",IFERROR(INDEX('2_IMPORTAR_EJECUCION'!$F$9:$F$1208,MATCH($AQ340,'2_IMPORTAR_EJECUCION'!$J$9:$J$1208,0)),0))</f>
        <v/>
      </c>
      <c r="AJ340" s="10">
        <f>IF($A340="","",MAX(0,IFERROR(INDEX('2_IMPORTAR_EJECUCION'!$H$9:$H$1208,MATCH($AQ340,'2_IMPORTAR_EJECUCION'!$J$9:$J$1208,0)),0)-$AI340))</f>
        <v/>
      </c>
      <c r="AK340" s="10">
        <f>IF($A340="","",$AI340+$AJ340)</f>
        <v/>
      </c>
      <c r="AL340" s="6" t="n"/>
      <c r="AM340" s="6" t="n"/>
      <c r="AN340" s="6" t="n"/>
      <c r="AO340" s="3">
        <f>IF($AN340="","",HYPERLINK(p_ruta_base_checklists&amp;$AN340,"abrir"))</f>
        <v/>
      </c>
      <c r="AP340" s="6" t="n"/>
      <c r="AQ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IF($A341="","",IFERROR(INDEX('AJUSTES'!$B$4:$B$303,MATCH($AQ341,'AJUSTES'!$A$4:$A$303,0)),IF($K341="","",$K341)))</f>
        <v/>
      </c>
      <c r="N341" s="3">
        <f>IF($A341="","",IFERROR(INDEX('CAT_ESTADOS_ERP'!$B$4:$B$7,MATCH(IFERROR(INDEX('2_IMPORTAR_EJECUCION'!$C$9:$C$1208,MATCH($AQ341,'2_IMPORTAR_EJECUCION'!$J$9:$J$1208,0)),""),'CAT_ESTADOS_ERP'!$A$4:$A$7,0)),"Pendiente"))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J341="","",IFERROR(INDEX('CALENDARIO'!$C$15:$C$214,MATCH(TEXT($J341,"yyyy-mm-dd")&amp;"|"&amp;$V341&amp;"|"&amp;$W341,'CALENDARIO'!$G$15:$G$214,0)),IFERROR(INDEX('CALENDARIO'!$C$15:$C$214,MATCH(TEXT($J341,"yyyy-mm-dd")&amp;"|"&amp;$V341&amp;"|",'CALENDARIO'!$G$15:$G$214,0)),IFERROR(INDEX('CALENDARIO'!$C$15:$C$214,MATCH(TEXT($J341,"yyyy-mm-dd")&amp;"||",'CALENDARIO'!$G$15:$G$214,0)),INDEX(patronHabil,WEEKDAY($J341,2))))))</f>
        <v/>
      </c>
      <c r="T341" s="3">
        <f>IF($I341="","",IFERROR(INDEX('CAT_TIPOS_OT'!$C$4:$C$7,MATCH($I341,'CAT_TIPOS_OT'!$A$4:$A$7,0)),"sin_clasificar"))</f>
        <v/>
      </c>
      <c r="U341" s="3">
        <f>IF($F341="","",IFERROR(INDEX('CAT_CENTROS_COSTO'!$F$4:$F$13,MATCH($F341,'CAT_CENTROS_COSTO'!$A$4:$A$13,0)),"(sin catálogo)"))</f>
        <v/>
      </c>
      <c r="V341" s="3">
        <f>IF($F341="","",IFERROR(INDEX('CAT_CENTROS_COSTO'!$D$4:$D$13,MATCH($F341,'CAT_CENTROS_COSTO'!$A$4:$A$13,0)),"(sin catálogo)"))</f>
        <v/>
      </c>
      <c r="W341" s="3">
        <f>IF($F341="","",IF((IFERROR(INDEX('CAT_CENTROS_COSTO'!$E$4:$E$13,MATCH($F341,'CAT_CENTROS_COSTO'!$A$4:$A$13,0)),""))&lt;&gt;"",IFERROR(INDEX('CAT_CENTROS_COSTO'!$E$4:$E$13,MATCH($F341,'CAT_CENTROS_COSTO'!$A$4:$A$13,0)),""),$V341))</f>
        <v/>
      </c>
      <c r="X341" s="3">
        <f>IF($F341="","",IFERROR(INDEX('CAT_CENTROS_COSTO'!$G$4:$G$13,MATCH($F341,'CAT_CENTROS_COSTO'!$A$4:$A$13,0)),"(sin catálogo)"))</f>
        <v/>
      </c>
      <c r="Y341" s="3">
        <f>IF($G341="","",IFERROR(INDEX('CAT_PUESTOS'!$B$4:$B$8,MATCH($G341,'CAT_PUESTOS'!$A$4:$A$8,0)),"(sin catálogo)"))</f>
        <v/>
      </c>
      <c r="Z341" s="3">
        <f>IF($H341="","",IFERROR(INDEX('CAT_ACTIVIDADES'!$B$4:$B$8,MATCH($H341,'CAT_ACTIVIDADES'!$A$4:$A$8,0)),"(sin catálogo)"))</f>
        <v/>
      </c>
      <c r="AA341" s="12">
        <f>IF($J341="","",TODAY()-$J341)</f>
        <v/>
      </c>
      <c r="AB341" s="12">
        <f>IF($J341="","",IF($J341&lt;=TODAY(),COUNTIFS(cal_fechas,"&gt;="&amp;$J341,cal_fechas,"&lt;"&amp;TODAY(),cal_habil,"sí"),-COUNTIFS(cal_fechas,"&gt;="&amp;TODAY(),cal_fechas,"&lt;"&amp;$J341,cal_habil,"sí")))</f>
        <v/>
      </c>
      <c r="AC341" s="3">
        <f>IF($AB341="","",IF($AB341&lt;0,"FUTURO",IF($AB341&gt;p_dias_backlog_max,"BACKLOG","MES CORRIENTE")))</f>
        <v/>
      </c>
      <c r="AD341" s="3">
        <f>IF($AB341="",FALSE,AND($AB341&gt;p_dias_backlog_min,$AB341&lt;=p_dias_backlog_max))</f>
        <v/>
      </c>
      <c r="AE341" s="6" t="n"/>
      <c r="AF341" s="3">
        <f>IF($AE341="","",IF((IFERROR(INDEX('ASIGNACIONES'!$F$4:$F$339,MATCH($O341&amp;"|"&amp;$R341&amp;"|"&amp;$AE341,'ASIGNACIONES'!$J$4:$J$339,0)),""))=0,"",IFERROR(INDEX('ASIGNACIONES'!$F$4:$F$339,MATCH($O341&amp;"|"&amp;$R341&amp;"|"&amp;$AE341,'ASIGNACIONES'!$J$4:$J$339,0)),"")))</f>
        <v/>
      </c>
      <c r="AG341" s="13">
        <f>IF($AE341="","",SUMIFS('ORDENES'!$M$4:$M$1203,'ORDENES'!$AE$4:$AE$1203,$AE341,'ORDENES'!$O$4:$O$1203,$O341,'ORDENES'!$R$4:$R$1203,$R341))</f>
        <v/>
      </c>
      <c r="AH341" s="13">
        <f>IF($AG341="","",p_factor_productividad*IFERROR(INDEX('ASIGNACIONES'!$I$4:$I$339,MATCH($O341&amp;"|"&amp;$R341&amp;"|"&amp;$AE341,'ASIGNACIONES'!$J$4:$J$339,0)),0)-$AG341)</f>
        <v/>
      </c>
      <c r="AI341" s="10">
        <f>IF($A341="","",IFERROR(INDEX('2_IMPORTAR_EJECUCION'!$F$9:$F$1208,MATCH($AQ341,'2_IMPORTAR_EJECUCION'!$J$9:$J$1208,0)),0))</f>
        <v/>
      </c>
      <c r="AJ341" s="10">
        <f>IF($A341="","",MAX(0,IFERROR(INDEX('2_IMPORTAR_EJECUCION'!$H$9:$H$1208,MATCH($AQ341,'2_IMPORTAR_EJECUCION'!$J$9:$J$1208,0)),0)-$AI341))</f>
        <v/>
      </c>
      <c r="AK341" s="10">
        <f>IF($A341="","",$AI341+$AJ341)</f>
        <v/>
      </c>
      <c r="AL341" s="6" t="n"/>
      <c r="AM341" s="6" t="n"/>
      <c r="AN341" s="6" t="n"/>
      <c r="AO341" s="3">
        <f>IF($AN341="","",HYPERLINK(p_ruta_base_checklists&amp;$AN341,"abrir"))</f>
        <v/>
      </c>
      <c r="AP341" s="6" t="n"/>
      <c r="AQ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IF($A342="","",IFERROR(INDEX('AJUSTES'!$B$4:$B$303,MATCH($AQ342,'AJUSTES'!$A$4:$A$303,0)),IF($K342="","",$K342)))</f>
        <v/>
      </c>
      <c r="N342" s="3">
        <f>IF($A342="","",IFERROR(INDEX('CAT_ESTADOS_ERP'!$B$4:$B$7,MATCH(IFERROR(INDEX('2_IMPORTAR_EJECUCION'!$C$9:$C$1208,MATCH($AQ342,'2_IMPORTAR_EJECUCION'!$J$9:$J$1208,0)),""),'CAT_ESTADOS_ERP'!$A$4:$A$7,0)),"Pendiente"))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J342="","",IFERROR(INDEX('CALENDARIO'!$C$15:$C$214,MATCH(TEXT($J342,"yyyy-mm-dd")&amp;"|"&amp;$V342&amp;"|"&amp;$W342,'CALENDARIO'!$G$15:$G$214,0)),IFERROR(INDEX('CALENDARIO'!$C$15:$C$214,MATCH(TEXT($J342,"yyyy-mm-dd")&amp;"|"&amp;$V342&amp;"|",'CALENDARIO'!$G$15:$G$214,0)),IFERROR(INDEX('CALENDARIO'!$C$15:$C$214,MATCH(TEXT($J342,"yyyy-mm-dd")&amp;"||",'CALENDARIO'!$G$15:$G$214,0)),INDEX(patronHabil,WEEKDAY($J342,2))))))</f>
        <v/>
      </c>
      <c r="T342" s="3">
        <f>IF($I342="","",IFERROR(INDEX('CAT_TIPOS_OT'!$C$4:$C$7,MATCH($I342,'CAT_TIPOS_OT'!$A$4:$A$7,0)),"sin_clasificar"))</f>
        <v/>
      </c>
      <c r="U342" s="3">
        <f>IF($F342="","",IFERROR(INDEX('CAT_CENTROS_COSTO'!$F$4:$F$13,MATCH($F342,'CAT_CENTROS_COSTO'!$A$4:$A$13,0)),"(sin catálogo)"))</f>
        <v/>
      </c>
      <c r="V342" s="3">
        <f>IF($F342="","",IFERROR(INDEX('CAT_CENTROS_COSTO'!$D$4:$D$13,MATCH($F342,'CAT_CENTROS_COSTO'!$A$4:$A$13,0)),"(sin catálogo)"))</f>
        <v/>
      </c>
      <c r="W342" s="3">
        <f>IF($F342="","",IF((IFERROR(INDEX('CAT_CENTROS_COSTO'!$E$4:$E$13,MATCH($F342,'CAT_CENTROS_COSTO'!$A$4:$A$13,0)),""))&lt;&gt;"",IFERROR(INDEX('CAT_CENTROS_COSTO'!$E$4:$E$13,MATCH($F342,'CAT_CENTROS_COSTO'!$A$4:$A$13,0)),""),$V342))</f>
        <v/>
      </c>
      <c r="X342" s="3">
        <f>IF($F342="","",IFERROR(INDEX('CAT_CENTROS_COSTO'!$G$4:$G$13,MATCH($F342,'CAT_CENTROS_COSTO'!$A$4:$A$13,0)),"(sin catálogo)"))</f>
        <v/>
      </c>
      <c r="Y342" s="3">
        <f>IF($G342="","",IFERROR(INDEX('CAT_PUESTOS'!$B$4:$B$8,MATCH($G342,'CAT_PUESTOS'!$A$4:$A$8,0)),"(sin catálogo)"))</f>
        <v/>
      </c>
      <c r="Z342" s="3">
        <f>IF($H342="","",IFERROR(INDEX('CAT_ACTIVIDADES'!$B$4:$B$8,MATCH($H342,'CAT_ACTIVIDADES'!$A$4:$A$8,0)),"(sin catálogo)"))</f>
        <v/>
      </c>
      <c r="AA342" s="12">
        <f>IF($J342="","",TODAY()-$J342)</f>
        <v/>
      </c>
      <c r="AB342" s="12">
        <f>IF($J342="","",IF($J342&lt;=TODAY(),COUNTIFS(cal_fechas,"&gt;="&amp;$J342,cal_fechas,"&lt;"&amp;TODAY(),cal_habil,"sí"),-COUNTIFS(cal_fechas,"&gt;="&amp;TODAY(),cal_fechas,"&lt;"&amp;$J342,cal_habil,"sí")))</f>
        <v/>
      </c>
      <c r="AC342" s="3">
        <f>IF($AB342="","",IF($AB342&lt;0,"FUTURO",IF($AB342&gt;p_dias_backlog_max,"BACKLOG","MES CORRIENTE")))</f>
        <v/>
      </c>
      <c r="AD342" s="3">
        <f>IF($AB342="",FALSE,AND($AB342&gt;p_dias_backlog_min,$AB342&lt;=p_dias_backlog_max))</f>
        <v/>
      </c>
      <c r="AE342" s="6" t="n"/>
      <c r="AF342" s="3">
        <f>IF($AE342="","",IF((IFERROR(INDEX('ASIGNACIONES'!$F$4:$F$339,MATCH($O342&amp;"|"&amp;$R342&amp;"|"&amp;$AE342,'ASIGNACIONES'!$J$4:$J$339,0)),""))=0,"",IFERROR(INDEX('ASIGNACIONES'!$F$4:$F$339,MATCH($O342&amp;"|"&amp;$R342&amp;"|"&amp;$AE342,'ASIGNACIONES'!$J$4:$J$339,0)),"")))</f>
        <v/>
      </c>
      <c r="AG342" s="13">
        <f>IF($AE342="","",SUMIFS('ORDENES'!$M$4:$M$1203,'ORDENES'!$AE$4:$AE$1203,$AE342,'ORDENES'!$O$4:$O$1203,$O342,'ORDENES'!$R$4:$R$1203,$R342))</f>
        <v/>
      </c>
      <c r="AH342" s="13">
        <f>IF($AG342="","",p_factor_productividad*IFERROR(INDEX('ASIGNACIONES'!$I$4:$I$339,MATCH($O342&amp;"|"&amp;$R342&amp;"|"&amp;$AE342,'ASIGNACIONES'!$J$4:$J$339,0)),0)-$AG342)</f>
        <v/>
      </c>
      <c r="AI342" s="10">
        <f>IF($A342="","",IFERROR(INDEX('2_IMPORTAR_EJECUCION'!$F$9:$F$1208,MATCH($AQ342,'2_IMPORTAR_EJECUCION'!$J$9:$J$1208,0)),0))</f>
        <v/>
      </c>
      <c r="AJ342" s="10">
        <f>IF($A342="","",MAX(0,IFERROR(INDEX('2_IMPORTAR_EJECUCION'!$H$9:$H$1208,MATCH($AQ342,'2_IMPORTAR_EJECUCION'!$J$9:$J$1208,0)),0)-$AI342))</f>
        <v/>
      </c>
      <c r="AK342" s="10">
        <f>IF($A342="","",$AI342+$AJ342)</f>
        <v/>
      </c>
      <c r="AL342" s="6" t="n"/>
      <c r="AM342" s="6" t="n"/>
      <c r="AN342" s="6" t="n"/>
      <c r="AO342" s="3">
        <f>IF($AN342="","",HYPERLINK(p_ruta_base_checklists&amp;$AN342,"abrir"))</f>
        <v/>
      </c>
      <c r="AP342" s="6" t="n"/>
      <c r="AQ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IF($A343="","",IFERROR(INDEX('AJUSTES'!$B$4:$B$303,MATCH($AQ343,'AJUSTES'!$A$4:$A$303,0)),IF($K343="","",$K343)))</f>
        <v/>
      </c>
      <c r="N343" s="3">
        <f>IF($A343="","",IFERROR(INDEX('CAT_ESTADOS_ERP'!$B$4:$B$7,MATCH(IFERROR(INDEX('2_IMPORTAR_EJECUCION'!$C$9:$C$1208,MATCH($AQ343,'2_IMPORTAR_EJECUCION'!$J$9:$J$1208,0)),""),'CAT_ESTADOS_ERP'!$A$4:$A$7,0)),"Pendiente"))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J343="","",IFERROR(INDEX('CALENDARIO'!$C$15:$C$214,MATCH(TEXT($J343,"yyyy-mm-dd")&amp;"|"&amp;$V343&amp;"|"&amp;$W343,'CALENDARIO'!$G$15:$G$214,0)),IFERROR(INDEX('CALENDARIO'!$C$15:$C$214,MATCH(TEXT($J343,"yyyy-mm-dd")&amp;"|"&amp;$V343&amp;"|",'CALENDARIO'!$G$15:$G$214,0)),IFERROR(INDEX('CALENDARIO'!$C$15:$C$214,MATCH(TEXT($J343,"yyyy-mm-dd")&amp;"||",'CALENDARIO'!$G$15:$G$214,0)),INDEX(patronHabil,WEEKDAY($J343,2))))))</f>
        <v/>
      </c>
      <c r="T343" s="3">
        <f>IF($I343="","",IFERROR(INDEX('CAT_TIPOS_OT'!$C$4:$C$7,MATCH($I343,'CAT_TIPOS_OT'!$A$4:$A$7,0)),"sin_clasificar"))</f>
        <v/>
      </c>
      <c r="U343" s="3">
        <f>IF($F343="","",IFERROR(INDEX('CAT_CENTROS_COSTO'!$F$4:$F$13,MATCH($F343,'CAT_CENTROS_COSTO'!$A$4:$A$13,0)),"(sin catálogo)"))</f>
        <v/>
      </c>
      <c r="V343" s="3">
        <f>IF($F343="","",IFERROR(INDEX('CAT_CENTROS_COSTO'!$D$4:$D$13,MATCH($F343,'CAT_CENTROS_COSTO'!$A$4:$A$13,0)),"(sin catálogo)"))</f>
        <v/>
      </c>
      <c r="W343" s="3">
        <f>IF($F343="","",IF((IFERROR(INDEX('CAT_CENTROS_COSTO'!$E$4:$E$13,MATCH($F343,'CAT_CENTROS_COSTO'!$A$4:$A$13,0)),""))&lt;&gt;"",IFERROR(INDEX('CAT_CENTROS_COSTO'!$E$4:$E$13,MATCH($F343,'CAT_CENTROS_COSTO'!$A$4:$A$13,0)),""),$V343))</f>
        <v/>
      </c>
      <c r="X343" s="3">
        <f>IF($F343="","",IFERROR(INDEX('CAT_CENTROS_COSTO'!$G$4:$G$13,MATCH($F343,'CAT_CENTROS_COSTO'!$A$4:$A$13,0)),"(sin catálogo)"))</f>
        <v/>
      </c>
      <c r="Y343" s="3">
        <f>IF($G343="","",IFERROR(INDEX('CAT_PUESTOS'!$B$4:$B$8,MATCH($G343,'CAT_PUESTOS'!$A$4:$A$8,0)),"(sin catálogo)"))</f>
        <v/>
      </c>
      <c r="Z343" s="3">
        <f>IF($H343="","",IFERROR(INDEX('CAT_ACTIVIDADES'!$B$4:$B$8,MATCH($H343,'CAT_ACTIVIDADES'!$A$4:$A$8,0)),"(sin catálogo)"))</f>
        <v/>
      </c>
      <c r="AA343" s="12">
        <f>IF($J343="","",TODAY()-$J343)</f>
        <v/>
      </c>
      <c r="AB343" s="12">
        <f>IF($J343="","",IF($J343&lt;=TODAY(),COUNTIFS(cal_fechas,"&gt;="&amp;$J343,cal_fechas,"&lt;"&amp;TODAY(),cal_habil,"sí"),-COUNTIFS(cal_fechas,"&gt;="&amp;TODAY(),cal_fechas,"&lt;"&amp;$J343,cal_habil,"sí")))</f>
        <v/>
      </c>
      <c r="AC343" s="3">
        <f>IF($AB343="","",IF($AB343&lt;0,"FUTURO",IF($AB343&gt;p_dias_backlog_max,"BACKLOG","MES CORRIENTE")))</f>
        <v/>
      </c>
      <c r="AD343" s="3">
        <f>IF($AB343="",FALSE,AND($AB343&gt;p_dias_backlog_min,$AB343&lt;=p_dias_backlog_max))</f>
        <v/>
      </c>
      <c r="AE343" s="6" t="n"/>
      <c r="AF343" s="3">
        <f>IF($AE343="","",IF((IFERROR(INDEX('ASIGNACIONES'!$F$4:$F$339,MATCH($O343&amp;"|"&amp;$R343&amp;"|"&amp;$AE343,'ASIGNACIONES'!$J$4:$J$339,0)),""))=0,"",IFERROR(INDEX('ASIGNACIONES'!$F$4:$F$339,MATCH($O343&amp;"|"&amp;$R343&amp;"|"&amp;$AE343,'ASIGNACIONES'!$J$4:$J$339,0)),"")))</f>
        <v/>
      </c>
      <c r="AG343" s="13">
        <f>IF($AE343="","",SUMIFS('ORDENES'!$M$4:$M$1203,'ORDENES'!$AE$4:$AE$1203,$AE343,'ORDENES'!$O$4:$O$1203,$O343,'ORDENES'!$R$4:$R$1203,$R343))</f>
        <v/>
      </c>
      <c r="AH343" s="13">
        <f>IF($AG343="","",p_factor_productividad*IFERROR(INDEX('ASIGNACIONES'!$I$4:$I$339,MATCH($O343&amp;"|"&amp;$R343&amp;"|"&amp;$AE343,'ASIGNACIONES'!$J$4:$J$339,0)),0)-$AG343)</f>
        <v/>
      </c>
      <c r="AI343" s="10">
        <f>IF($A343="","",IFERROR(INDEX('2_IMPORTAR_EJECUCION'!$F$9:$F$1208,MATCH($AQ343,'2_IMPORTAR_EJECUCION'!$J$9:$J$1208,0)),0))</f>
        <v/>
      </c>
      <c r="AJ343" s="10">
        <f>IF($A343="","",MAX(0,IFERROR(INDEX('2_IMPORTAR_EJECUCION'!$H$9:$H$1208,MATCH($AQ343,'2_IMPORTAR_EJECUCION'!$J$9:$J$1208,0)),0)-$AI343))</f>
        <v/>
      </c>
      <c r="AK343" s="10">
        <f>IF($A343="","",$AI343+$AJ343)</f>
        <v/>
      </c>
      <c r="AL343" s="6" t="n"/>
      <c r="AM343" s="6" t="n"/>
      <c r="AN343" s="6" t="n"/>
      <c r="AO343" s="3">
        <f>IF($AN343="","",HYPERLINK(p_ruta_base_checklists&amp;$AN343,"abrir"))</f>
        <v/>
      </c>
      <c r="AP343" s="6" t="n"/>
      <c r="AQ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IF($A344="","",IFERROR(INDEX('AJUSTES'!$B$4:$B$303,MATCH($AQ344,'AJUSTES'!$A$4:$A$303,0)),IF($K344="","",$K344)))</f>
        <v/>
      </c>
      <c r="N344" s="3">
        <f>IF($A344="","",IFERROR(INDEX('CAT_ESTADOS_ERP'!$B$4:$B$7,MATCH(IFERROR(INDEX('2_IMPORTAR_EJECUCION'!$C$9:$C$1208,MATCH($AQ344,'2_IMPORTAR_EJECUCION'!$J$9:$J$1208,0)),""),'CAT_ESTADOS_ERP'!$A$4:$A$7,0)),"Pendiente"))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J344="","",IFERROR(INDEX('CALENDARIO'!$C$15:$C$214,MATCH(TEXT($J344,"yyyy-mm-dd")&amp;"|"&amp;$V344&amp;"|"&amp;$W344,'CALENDARIO'!$G$15:$G$214,0)),IFERROR(INDEX('CALENDARIO'!$C$15:$C$214,MATCH(TEXT($J344,"yyyy-mm-dd")&amp;"|"&amp;$V344&amp;"|",'CALENDARIO'!$G$15:$G$214,0)),IFERROR(INDEX('CALENDARIO'!$C$15:$C$214,MATCH(TEXT($J344,"yyyy-mm-dd")&amp;"||",'CALENDARIO'!$G$15:$G$214,0)),INDEX(patronHabil,WEEKDAY($J344,2))))))</f>
        <v/>
      </c>
      <c r="T344" s="3">
        <f>IF($I344="","",IFERROR(INDEX('CAT_TIPOS_OT'!$C$4:$C$7,MATCH($I344,'CAT_TIPOS_OT'!$A$4:$A$7,0)),"sin_clasificar"))</f>
        <v/>
      </c>
      <c r="U344" s="3">
        <f>IF($F344="","",IFERROR(INDEX('CAT_CENTROS_COSTO'!$F$4:$F$13,MATCH($F344,'CAT_CENTROS_COSTO'!$A$4:$A$13,0)),"(sin catálogo)"))</f>
        <v/>
      </c>
      <c r="V344" s="3">
        <f>IF($F344="","",IFERROR(INDEX('CAT_CENTROS_COSTO'!$D$4:$D$13,MATCH($F344,'CAT_CENTROS_COSTO'!$A$4:$A$13,0)),"(sin catálogo)"))</f>
        <v/>
      </c>
      <c r="W344" s="3">
        <f>IF($F344="","",IF((IFERROR(INDEX('CAT_CENTROS_COSTO'!$E$4:$E$13,MATCH($F344,'CAT_CENTROS_COSTO'!$A$4:$A$13,0)),""))&lt;&gt;"",IFERROR(INDEX('CAT_CENTROS_COSTO'!$E$4:$E$13,MATCH($F344,'CAT_CENTROS_COSTO'!$A$4:$A$13,0)),""),$V344))</f>
        <v/>
      </c>
      <c r="X344" s="3">
        <f>IF($F344="","",IFERROR(INDEX('CAT_CENTROS_COSTO'!$G$4:$G$13,MATCH($F344,'CAT_CENTROS_COSTO'!$A$4:$A$13,0)),"(sin catálogo)"))</f>
        <v/>
      </c>
      <c r="Y344" s="3">
        <f>IF($G344="","",IFERROR(INDEX('CAT_PUESTOS'!$B$4:$B$8,MATCH($G344,'CAT_PUESTOS'!$A$4:$A$8,0)),"(sin catálogo)"))</f>
        <v/>
      </c>
      <c r="Z344" s="3">
        <f>IF($H344="","",IFERROR(INDEX('CAT_ACTIVIDADES'!$B$4:$B$8,MATCH($H344,'CAT_ACTIVIDADES'!$A$4:$A$8,0)),"(sin catálogo)"))</f>
        <v/>
      </c>
      <c r="AA344" s="12">
        <f>IF($J344="","",TODAY()-$J344)</f>
        <v/>
      </c>
      <c r="AB344" s="12">
        <f>IF($J344="","",IF($J344&lt;=TODAY(),COUNTIFS(cal_fechas,"&gt;="&amp;$J344,cal_fechas,"&lt;"&amp;TODAY(),cal_habil,"sí"),-COUNTIFS(cal_fechas,"&gt;="&amp;TODAY(),cal_fechas,"&lt;"&amp;$J344,cal_habil,"sí")))</f>
        <v/>
      </c>
      <c r="AC344" s="3">
        <f>IF($AB344="","",IF($AB344&lt;0,"FUTURO",IF($AB344&gt;p_dias_backlog_max,"BACKLOG","MES CORRIENTE")))</f>
        <v/>
      </c>
      <c r="AD344" s="3">
        <f>IF($AB344="",FALSE,AND($AB344&gt;p_dias_backlog_min,$AB344&lt;=p_dias_backlog_max))</f>
        <v/>
      </c>
      <c r="AE344" s="6" t="n"/>
      <c r="AF344" s="3">
        <f>IF($AE344="","",IF((IFERROR(INDEX('ASIGNACIONES'!$F$4:$F$339,MATCH($O344&amp;"|"&amp;$R344&amp;"|"&amp;$AE344,'ASIGNACIONES'!$J$4:$J$339,0)),""))=0,"",IFERROR(INDEX('ASIGNACIONES'!$F$4:$F$339,MATCH($O344&amp;"|"&amp;$R344&amp;"|"&amp;$AE344,'ASIGNACIONES'!$J$4:$J$339,0)),"")))</f>
        <v/>
      </c>
      <c r="AG344" s="13">
        <f>IF($AE344="","",SUMIFS('ORDENES'!$M$4:$M$1203,'ORDENES'!$AE$4:$AE$1203,$AE344,'ORDENES'!$O$4:$O$1203,$O344,'ORDENES'!$R$4:$R$1203,$R344))</f>
        <v/>
      </c>
      <c r="AH344" s="13">
        <f>IF($AG344="","",p_factor_productividad*IFERROR(INDEX('ASIGNACIONES'!$I$4:$I$339,MATCH($O344&amp;"|"&amp;$R344&amp;"|"&amp;$AE344,'ASIGNACIONES'!$J$4:$J$339,0)),0)-$AG344)</f>
        <v/>
      </c>
      <c r="AI344" s="10">
        <f>IF($A344="","",IFERROR(INDEX('2_IMPORTAR_EJECUCION'!$F$9:$F$1208,MATCH($AQ344,'2_IMPORTAR_EJECUCION'!$J$9:$J$1208,0)),0))</f>
        <v/>
      </c>
      <c r="AJ344" s="10">
        <f>IF($A344="","",MAX(0,IFERROR(INDEX('2_IMPORTAR_EJECUCION'!$H$9:$H$1208,MATCH($AQ344,'2_IMPORTAR_EJECUCION'!$J$9:$J$1208,0)),0)-$AI344))</f>
        <v/>
      </c>
      <c r="AK344" s="10">
        <f>IF($A344="","",$AI344+$AJ344)</f>
        <v/>
      </c>
      <c r="AL344" s="6" t="n"/>
      <c r="AM344" s="6" t="n"/>
      <c r="AN344" s="6" t="n"/>
      <c r="AO344" s="3">
        <f>IF($AN344="","",HYPERLINK(p_ruta_base_checklists&amp;$AN344,"abrir"))</f>
        <v/>
      </c>
      <c r="AP344" s="6" t="n"/>
      <c r="AQ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IF($A345="","",IFERROR(INDEX('AJUSTES'!$B$4:$B$303,MATCH($AQ345,'AJUSTES'!$A$4:$A$303,0)),IF($K345="","",$K345)))</f>
        <v/>
      </c>
      <c r="N345" s="3">
        <f>IF($A345="","",IFERROR(INDEX('CAT_ESTADOS_ERP'!$B$4:$B$7,MATCH(IFERROR(INDEX('2_IMPORTAR_EJECUCION'!$C$9:$C$1208,MATCH($AQ345,'2_IMPORTAR_EJECUCION'!$J$9:$J$1208,0)),""),'CAT_ESTADOS_ERP'!$A$4:$A$7,0)),"Pendiente"))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J345="","",IFERROR(INDEX('CALENDARIO'!$C$15:$C$214,MATCH(TEXT($J345,"yyyy-mm-dd")&amp;"|"&amp;$V345&amp;"|"&amp;$W345,'CALENDARIO'!$G$15:$G$214,0)),IFERROR(INDEX('CALENDARIO'!$C$15:$C$214,MATCH(TEXT($J345,"yyyy-mm-dd")&amp;"|"&amp;$V345&amp;"|",'CALENDARIO'!$G$15:$G$214,0)),IFERROR(INDEX('CALENDARIO'!$C$15:$C$214,MATCH(TEXT($J345,"yyyy-mm-dd")&amp;"||",'CALENDARIO'!$G$15:$G$214,0)),INDEX(patronHabil,WEEKDAY($J345,2))))))</f>
        <v/>
      </c>
      <c r="T345" s="3">
        <f>IF($I345="","",IFERROR(INDEX('CAT_TIPOS_OT'!$C$4:$C$7,MATCH($I345,'CAT_TIPOS_OT'!$A$4:$A$7,0)),"sin_clasificar"))</f>
        <v/>
      </c>
      <c r="U345" s="3">
        <f>IF($F345="","",IFERROR(INDEX('CAT_CENTROS_COSTO'!$F$4:$F$13,MATCH($F345,'CAT_CENTROS_COSTO'!$A$4:$A$13,0)),"(sin catálogo)"))</f>
        <v/>
      </c>
      <c r="V345" s="3">
        <f>IF($F345="","",IFERROR(INDEX('CAT_CENTROS_COSTO'!$D$4:$D$13,MATCH($F345,'CAT_CENTROS_COSTO'!$A$4:$A$13,0)),"(sin catálogo)"))</f>
        <v/>
      </c>
      <c r="W345" s="3">
        <f>IF($F345="","",IF((IFERROR(INDEX('CAT_CENTROS_COSTO'!$E$4:$E$13,MATCH($F345,'CAT_CENTROS_COSTO'!$A$4:$A$13,0)),""))&lt;&gt;"",IFERROR(INDEX('CAT_CENTROS_COSTO'!$E$4:$E$13,MATCH($F345,'CAT_CENTROS_COSTO'!$A$4:$A$13,0)),""),$V345))</f>
        <v/>
      </c>
      <c r="X345" s="3">
        <f>IF($F345="","",IFERROR(INDEX('CAT_CENTROS_COSTO'!$G$4:$G$13,MATCH($F345,'CAT_CENTROS_COSTO'!$A$4:$A$13,0)),"(sin catálogo)"))</f>
        <v/>
      </c>
      <c r="Y345" s="3">
        <f>IF($G345="","",IFERROR(INDEX('CAT_PUESTOS'!$B$4:$B$8,MATCH($G345,'CAT_PUESTOS'!$A$4:$A$8,0)),"(sin catálogo)"))</f>
        <v/>
      </c>
      <c r="Z345" s="3">
        <f>IF($H345="","",IFERROR(INDEX('CAT_ACTIVIDADES'!$B$4:$B$8,MATCH($H345,'CAT_ACTIVIDADES'!$A$4:$A$8,0)),"(sin catálogo)"))</f>
        <v/>
      </c>
      <c r="AA345" s="12">
        <f>IF($J345="","",TODAY()-$J345)</f>
        <v/>
      </c>
      <c r="AB345" s="12">
        <f>IF($J345="","",IF($J345&lt;=TODAY(),COUNTIFS(cal_fechas,"&gt;="&amp;$J345,cal_fechas,"&lt;"&amp;TODAY(),cal_habil,"sí"),-COUNTIFS(cal_fechas,"&gt;="&amp;TODAY(),cal_fechas,"&lt;"&amp;$J345,cal_habil,"sí")))</f>
        <v/>
      </c>
      <c r="AC345" s="3">
        <f>IF($AB345="","",IF($AB345&lt;0,"FUTURO",IF($AB345&gt;p_dias_backlog_max,"BACKLOG","MES CORRIENTE")))</f>
        <v/>
      </c>
      <c r="AD345" s="3">
        <f>IF($AB345="",FALSE,AND($AB345&gt;p_dias_backlog_min,$AB345&lt;=p_dias_backlog_max))</f>
        <v/>
      </c>
      <c r="AE345" s="6" t="n"/>
      <c r="AF345" s="3">
        <f>IF($AE345="","",IF((IFERROR(INDEX('ASIGNACIONES'!$F$4:$F$339,MATCH($O345&amp;"|"&amp;$R345&amp;"|"&amp;$AE345,'ASIGNACIONES'!$J$4:$J$339,0)),""))=0,"",IFERROR(INDEX('ASIGNACIONES'!$F$4:$F$339,MATCH($O345&amp;"|"&amp;$R345&amp;"|"&amp;$AE345,'ASIGNACIONES'!$J$4:$J$339,0)),"")))</f>
        <v/>
      </c>
      <c r="AG345" s="13">
        <f>IF($AE345="","",SUMIFS('ORDENES'!$M$4:$M$1203,'ORDENES'!$AE$4:$AE$1203,$AE345,'ORDENES'!$O$4:$O$1203,$O345,'ORDENES'!$R$4:$R$1203,$R345))</f>
        <v/>
      </c>
      <c r="AH345" s="13">
        <f>IF($AG345="","",p_factor_productividad*IFERROR(INDEX('ASIGNACIONES'!$I$4:$I$339,MATCH($O345&amp;"|"&amp;$R345&amp;"|"&amp;$AE345,'ASIGNACIONES'!$J$4:$J$339,0)),0)-$AG345)</f>
        <v/>
      </c>
      <c r="AI345" s="10">
        <f>IF($A345="","",IFERROR(INDEX('2_IMPORTAR_EJECUCION'!$F$9:$F$1208,MATCH($AQ345,'2_IMPORTAR_EJECUCION'!$J$9:$J$1208,0)),0))</f>
        <v/>
      </c>
      <c r="AJ345" s="10">
        <f>IF($A345="","",MAX(0,IFERROR(INDEX('2_IMPORTAR_EJECUCION'!$H$9:$H$1208,MATCH($AQ345,'2_IMPORTAR_EJECUCION'!$J$9:$J$1208,0)),0)-$AI345))</f>
        <v/>
      </c>
      <c r="AK345" s="10">
        <f>IF($A345="","",$AI345+$AJ345)</f>
        <v/>
      </c>
      <c r="AL345" s="6" t="n"/>
      <c r="AM345" s="6" t="n"/>
      <c r="AN345" s="6" t="n"/>
      <c r="AO345" s="3">
        <f>IF($AN345="","",HYPERLINK(p_ruta_base_checklists&amp;$AN345,"abrir"))</f>
        <v/>
      </c>
      <c r="AP345" s="6" t="n"/>
      <c r="AQ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IF($A346="","",IFERROR(INDEX('AJUSTES'!$B$4:$B$303,MATCH($AQ346,'AJUSTES'!$A$4:$A$303,0)),IF($K346="","",$K346)))</f>
        <v/>
      </c>
      <c r="N346" s="3">
        <f>IF($A346="","",IFERROR(INDEX('CAT_ESTADOS_ERP'!$B$4:$B$7,MATCH(IFERROR(INDEX('2_IMPORTAR_EJECUCION'!$C$9:$C$1208,MATCH($AQ346,'2_IMPORTAR_EJECUCION'!$J$9:$J$1208,0)),""),'CAT_ESTADOS_ERP'!$A$4:$A$7,0)),"Pendiente"))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J346="","",IFERROR(INDEX('CALENDARIO'!$C$15:$C$214,MATCH(TEXT($J346,"yyyy-mm-dd")&amp;"|"&amp;$V346&amp;"|"&amp;$W346,'CALENDARIO'!$G$15:$G$214,0)),IFERROR(INDEX('CALENDARIO'!$C$15:$C$214,MATCH(TEXT($J346,"yyyy-mm-dd")&amp;"|"&amp;$V346&amp;"|",'CALENDARIO'!$G$15:$G$214,0)),IFERROR(INDEX('CALENDARIO'!$C$15:$C$214,MATCH(TEXT($J346,"yyyy-mm-dd")&amp;"||",'CALENDARIO'!$G$15:$G$214,0)),INDEX(patronHabil,WEEKDAY($J346,2))))))</f>
        <v/>
      </c>
      <c r="T346" s="3">
        <f>IF($I346="","",IFERROR(INDEX('CAT_TIPOS_OT'!$C$4:$C$7,MATCH($I346,'CAT_TIPOS_OT'!$A$4:$A$7,0)),"sin_clasificar"))</f>
        <v/>
      </c>
      <c r="U346" s="3">
        <f>IF($F346="","",IFERROR(INDEX('CAT_CENTROS_COSTO'!$F$4:$F$13,MATCH($F346,'CAT_CENTROS_COSTO'!$A$4:$A$13,0)),"(sin catálogo)"))</f>
        <v/>
      </c>
      <c r="V346" s="3">
        <f>IF($F346="","",IFERROR(INDEX('CAT_CENTROS_COSTO'!$D$4:$D$13,MATCH($F346,'CAT_CENTROS_COSTO'!$A$4:$A$13,0)),"(sin catálogo)"))</f>
        <v/>
      </c>
      <c r="W346" s="3">
        <f>IF($F346="","",IF((IFERROR(INDEX('CAT_CENTROS_COSTO'!$E$4:$E$13,MATCH($F346,'CAT_CENTROS_COSTO'!$A$4:$A$13,0)),""))&lt;&gt;"",IFERROR(INDEX('CAT_CENTROS_COSTO'!$E$4:$E$13,MATCH($F346,'CAT_CENTROS_COSTO'!$A$4:$A$13,0)),""),$V346))</f>
        <v/>
      </c>
      <c r="X346" s="3">
        <f>IF($F346="","",IFERROR(INDEX('CAT_CENTROS_COSTO'!$G$4:$G$13,MATCH($F346,'CAT_CENTROS_COSTO'!$A$4:$A$13,0)),"(sin catálogo)"))</f>
        <v/>
      </c>
      <c r="Y346" s="3">
        <f>IF($G346="","",IFERROR(INDEX('CAT_PUESTOS'!$B$4:$B$8,MATCH($G346,'CAT_PUESTOS'!$A$4:$A$8,0)),"(sin catálogo)"))</f>
        <v/>
      </c>
      <c r="Z346" s="3">
        <f>IF($H346="","",IFERROR(INDEX('CAT_ACTIVIDADES'!$B$4:$B$8,MATCH($H346,'CAT_ACTIVIDADES'!$A$4:$A$8,0)),"(sin catálogo)"))</f>
        <v/>
      </c>
      <c r="AA346" s="12">
        <f>IF($J346="","",TODAY()-$J346)</f>
        <v/>
      </c>
      <c r="AB346" s="12">
        <f>IF($J346="","",IF($J346&lt;=TODAY(),COUNTIFS(cal_fechas,"&gt;="&amp;$J346,cal_fechas,"&lt;"&amp;TODAY(),cal_habil,"sí"),-COUNTIFS(cal_fechas,"&gt;="&amp;TODAY(),cal_fechas,"&lt;"&amp;$J346,cal_habil,"sí")))</f>
        <v/>
      </c>
      <c r="AC346" s="3">
        <f>IF($AB346="","",IF($AB346&lt;0,"FUTURO",IF($AB346&gt;p_dias_backlog_max,"BACKLOG","MES CORRIENTE")))</f>
        <v/>
      </c>
      <c r="AD346" s="3">
        <f>IF($AB346="",FALSE,AND($AB346&gt;p_dias_backlog_min,$AB346&lt;=p_dias_backlog_max))</f>
        <v/>
      </c>
      <c r="AE346" s="6" t="n"/>
      <c r="AF346" s="3">
        <f>IF($AE346="","",IF((IFERROR(INDEX('ASIGNACIONES'!$F$4:$F$339,MATCH($O346&amp;"|"&amp;$R346&amp;"|"&amp;$AE346,'ASIGNACIONES'!$J$4:$J$339,0)),""))=0,"",IFERROR(INDEX('ASIGNACIONES'!$F$4:$F$339,MATCH($O346&amp;"|"&amp;$R346&amp;"|"&amp;$AE346,'ASIGNACIONES'!$J$4:$J$339,0)),"")))</f>
        <v/>
      </c>
      <c r="AG346" s="13">
        <f>IF($AE346="","",SUMIFS('ORDENES'!$M$4:$M$1203,'ORDENES'!$AE$4:$AE$1203,$AE346,'ORDENES'!$O$4:$O$1203,$O346,'ORDENES'!$R$4:$R$1203,$R346))</f>
        <v/>
      </c>
      <c r="AH346" s="13">
        <f>IF($AG346="","",p_factor_productividad*IFERROR(INDEX('ASIGNACIONES'!$I$4:$I$339,MATCH($O346&amp;"|"&amp;$R346&amp;"|"&amp;$AE346,'ASIGNACIONES'!$J$4:$J$339,0)),0)-$AG346)</f>
        <v/>
      </c>
      <c r="AI346" s="10">
        <f>IF($A346="","",IFERROR(INDEX('2_IMPORTAR_EJECUCION'!$F$9:$F$1208,MATCH($AQ346,'2_IMPORTAR_EJECUCION'!$J$9:$J$1208,0)),0))</f>
        <v/>
      </c>
      <c r="AJ346" s="10">
        <f>IF($A346="","",MAX(0,IFERROR(INDEX('2_IMPORTAR_EJECUCION'!$H$9:$H$1208,MATCH($AQ346,'2_IMPORTAR_EJECUCION'!$J$9:$J$1208,0)),0)-$AI346))</f>
        <v/>
      </c>
      <c r="AK346" s="10">
        <f>IF($A346="","",$AI346+$AJ346)</f>
        <v/>
      </c>
      <c r="AL346" s="6" t="n"/>
      <c r="AM346" s="6" t="n"/>
      <c r="AN346" s="6" t="n"/>
      <c r="AO346" s="3">
        <f>IF($AN346="","",HYPERLINK(p_ruta_base_checklists&amp;$AN346,"abrir"))</f>
        <v/>
      </c>
      <c r="AP346" s="6" t="n"/>
      <c r="AQ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IF($A347="","",IFERROR(INDEX('AJUSTES'!$B$4:$B$303,MATCH($AQ347,'AJUSTES'!$A$4:$A$303,0)),IF($K347="","",$K347)))</f>
        <v/>
      </c>
      <c r="N347" s="3">
        <f>IF($A347="","",IFERROR(INDEX('CAT_ESTADOS_ERP'!$B$4:$B$7,MATCH(IFERROR(INDEX('2_IMPORTAR_EJECUCION'!$C$9:$C$1208,MATCH($AQ347,'2_IMPORTAR_EJECUCION'!$J$9:$J$1208,0)),""),'CAT_ESTADOS_ERP'!$A$4:$A$7,0)),"Pendiente"))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J347="","",IFERROR(INDEX('CALENDARIO'!$C$15:$C$214,MATCH(TEXT($J347,"yyyy-mm-dd")&amp;"|"&amp;$V347&amp;"|"&amp;$W347,'CALENDARIO'!$G$15:$G$214,0)),IFERROR(INDEX('CALENDARIO'!$C$15:$C$214,MATCH(TEXT($J347,"yyyy-mm-dd")&amp;"|"&amp;$V347&amp;"|",'CALENDARIO'!$G$15:$G$214,0)),IFERROR(INDEX('CALENDARIO'!$C$15:$C$214,MATCH(TEXT($J347,"yyyy-mm-dd")&amp;"||",'CALENDARIO'!$G$15:$G$214,0)),INDEX(patronHabil,WEEKDAY($J347,2))))))</f>
        <v/>
      </c>
      <c r="T347" s="3">
        <f>IF($I347="","",IFERROR(INDEX('CAT_TIPOS_OT'!$C$4:$C$7,MATCH($I347,'CAT_TIPOS_OT'!$A$4:$A$7,0)),"sin_clasificar"))</f>
        <v/>
      </c>
      <c r="U347" s="3">
        <f>IF($F347="","",IFERROR(INDEX('CAT_CENTROS_COSTO'!$F$4:$F$13,MATCH($F347,'CAT_CENTROS_COSTO'!$A$4:$A$13,0)),"(sin catálogo)"))</f>
        <v/>
      </c>
      <c r="V347" s="3">
        <f>IF($F347="","",IFERROR(INDEX('CAT_CENTROS_COSTO'!$D$4:$D$13,MATCH($F347,'CAT_CENTROS_COSTO'!$A$4:$A$13,0)),"(sin catálogo)"))</f>
        <v/>
      </c>
      <c r="W347" s="3">
        <f>IF($F347="","",IF((IFERROR(INDEX('CAT_CENTROS_COSTO'!$E$4:$E$13,MATCH($F347,'CAT_CENTROS_COSTO'!$A$4:$A$13,0)),""))&lt;&gt;"",IFERROR(INDEX('CAT_CENTROS_COSTO'!$E$4:$E$13,MATCH($F347,'CAT_CENTROS_COSTO'!$A$4:$A$13,0)),""),$V347))</f>
        <v/>
      </c>
      <c r="X347" s="3">
        <f>IF($F347="","",IFERROR(INDEX('CAT_CENTROS_COSTO'!$G$4:$G$13,MATCH($F347,'CAT_CENTROS_COSTO'!$A$4:$A$13,0)),"(sin catálogo)"))</f>
        <v/>
      </c>
      <c r="Y347" s="3">
        <f>IF($G347="","",IFERROR(INDEX('CAT_PUESTOS'!$B$4:$B$8,MATCH($G347,'CAT_PUESTOS'!$A$4:$A$8,0)),"(sin catálogo)"))</f>
        <v/>
      </c>
      <c r="Z347" s="3">
        <f>IF($H347="","",IFERROR(INDEX('CAT_ACTIVIDADES'!$B$4:$B$8,MATCH($H347,'CAT_ACTIVIDADES'!$A$4:$A$8,0)),"(sin catálogo)"))</f>
        <v/>
      </c>
      <c r="AA347" s="12">
        <f>IF($J347="","",TODAY()-$J347)</f>
        <v/>
      </c>
      <c r="AB347" s="12">
        <f>IF($J347="","",IF($J347&lt;=TODAY(),COUNTIFS(cal_fechas,"&gt;="&amp;$J347,cal_fechas,"&lt;"&amp;TODAY(),cal_habil,"sí"),-COUNTIFS(cal_fechas,"&gt;="&amp;TODAY(),cal_fechas,"&lt;"&amp;$J347,cal_habil,"sí")))</f>
        <v/>
      </c>
      <c r="AC347" s="3">
        <f>IF($AB347="","",IF($AB347&lt;0,"FUTURO",IF($AB347&gt;p_dias_backlog_max,"BACKLOG","MES CORRIENTE")))</f>
        <v/>
      </c>
      <c r="AD347" s="3">
        <f>IF($AB347="",FALSE,AND($AB347&gt;p_dias_backlog_min,$AB347&lt;=p_dias_backlog_max))</f>
        <v/>
      </c>
      <c r="AE347" s="6" t="n"/>
      <c r="AF347" s="3">
        <f>IF($AE347="","",IF((IFERROR(INDEX('ASIGNACIONES'!$F$4:$F$339,MATCH($O347&amp;"|"&amp;$R347&amp;"|"&amp;$AE347,'ASIGNACIONES'!$J$4:$J$339,0)),""))=0,"",IFERROR(INDEX('ASIGNACIONES'!$F$4:$F$339,MATCH($O347&amp;"|"&amp;$R347&amp;"|"&amp;$AE347,'ASIGNACIONES'!$J$4:$J$339,0)),"")))</f>
        <v/>
      </c>
      <c r="AG347" s="13">
        <f>IF($AE347="","",SUMIFS('ORDENES'!$M$4:$M$1203,'ORDENES'!$AE$4:$AE$1203,$AE347,'ORDENES'!$O$4:$O$1203,$O347,'ORDENES'!$R$4:$R$1203,$R347))</f>
        <v/>
      </c>
      <c r="AH347" s="13">
        <f>IF($AG347="","",p_factor_productividad*IFERROR(INDEX('ASIGNACIONES'!$I$4:$I$339,MATCH($O347&amp;"|"&amp;$R347&amp;"|"&amp;$AE347,'ASIGNACIONES'!$J$4:$J$339,0)),0)-$AG347)</f>
        <v/>
      </c>
      <c r="AI347" s="10">
        <f>IF($A347="","",IFERROR(INDEX('2_IMPORTAR_EJECUCION'!$F$9:$F$1208,MATCH($AQ347,'2_IMPORTAR_EJECUCION'!$J$9:$J$1208,0)),0))</f>
        <v/>
      </c>
      <c r="AJ347" s="10">
        <f>IF($A347="","",MAX(0,IFERROR(INDEX('2_IMPORTAR_EJECUCION'!$H$9:$H$1208,MATCH($AQ347,'2_IMPORTAR_EJECUCION'!$J$9:$J$1208,0)),0)-$AI347))</f>
        <v/>
      </c>
      <c r="AK347" s="10">
        <f>IF($A347="","",$AI347+$AJ347)</f>
        <v/>
      </c>
      <c r="AL347" s="6" t="n"/>
      <c r="AM347" s="6" t="n"/>
      <c r="AN347" s="6" t="n"/>
      <c r="AO347" s="3">
        <f>IF($AN347="","",HYPERLINK(p_ruta_base_checklists&amp;$AN347,"abrir"))</f>
        <v/>
      </c>
      <c r="AP347" s="6" t="n"/>
      <c r="AQ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IF($A348="","",IFERROR(INDEX('AJUSTES'!$B$4:$B$303,MATCH($AQ348,'AJUSTES'!$A$4:$A$303,0)),IF($K348="","",$K348)))</f>
        <v/>
      </c>
      <c r="N348" s="3">
        <f>IF($A348="","",IFERROR(INDEX('CAT_ESTADOS_ERP'!$B$4:$B$7,MATCH(IFERROR(INDEX('2_IMPORTAR_EJECUCION'!$C$9:$C$1208,MATCH($AQ348,'2_IMPORTAR_EJECUCION'!$J$9:$J$1208,0)),""),'CAT_ESTADOS_ERP'!$A$4:$A$7,0)),"Pendiente"))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J348="","",IFERROR(INDEX('CALENDARIO'!$C$15:$C$214,MATCH(TEXT($J348,"yyyy-mm-dd")&amp;"|"&amp;$V348&amp;"|"&amp;$W348,'CALENDARIO'!$G$15:$G$214,0)),IFERROR(INDEX('CALENDARIO'!$C$15:$C$214,MATCH(TEXT($J348,"yyyy-mm-dd")&amp;"|"&amp;$V348&amp;"|",'CALENDARIO'!$G$15:$G$214,0)),IFERROR(INDEX('CALENDARIO'!$C$15:$C$214,MATCH(TEXT($J348,"yyyy-mm-dd")&amp;"||",'CALENDARIO'!$G$15:$G$214,0)),INDEX(patronHabil,WEEKDAY($J348,2))))))</f>
        <v/>
      </c>
      <c r="T348" s="3">
        <f>IF($I348="","",IFERROR(INDEX('CAT_TIPOS_OT'!$C$4:$C$7,MATCH($I348,'CAT_TIPOS_OT'!$A$4:$A$7,0)),"sin_clasificar"))</f>
        <v/>
      </c>
      <c r="U348" s="3">
        <f>IF($F348="","",IFERROR(INDEX('CAT_CENTROS_COSTO'!$F$4:$F$13,MATCH($F348,'CAT_CENTROS_COSTO'!$A$4:$A$13,0)),"(sin catálogo)"))</f>
        <v/>
      </c>
      <c r="V348" s="3">
        <f>IF($F348="","",IFERROR(INDEX('CAT_CENTROS_COSTO'!$D$4:$D$13,MATCH($F348,'CAT_CENTROS_COSTO'!$A$4:$A$13,0)),"(sin catálogo)"))</f>
        <v/>
      </c>
      <c r="W348" s="3">
        <f>IF($F348="","",IF((IFERROR(INDEX('CAT_CENTROS_COSTO'!$E$4:$E$13,MATCH($F348,'CAT_CENTROS_COSTO'!$A$4:$A$13,0)),""))&lt;&gt;"",IFERROR(INDEX('CAT_CENTROS_COSTO'!$E$4:$E$13,MATCH($F348,'CAT_CENTROS_COSTO'!$A$4:$A$13,0)),""),$V348))</f>
        <v/>
      </c>
      <c r="X348" s="3">
        <f>IF($F348="","",IFERROR(INDEX('CAT_CENTROS_COSTO'!$G$4:$G$13,MATCH($F348,'CAT_CENTROS_COSTO'!$A$4:$A$13,0)),"(sin catálogo)"))</f>
        <v/>
      </c>
      <c r="Y348" s="3">
        <f>IF($G348="","",IFERROR(INDEX('CAT_PUESTOS'!$B$4:$B$8,MATCH($G348,'CAT_PUESTOS'!$A$4:$A$8,0)),"(sin catálogo)"))</f>
        <v/>
      </c>
      <c r="Z348" s="3">
        <f>IF($H348="","",IFERROR(INDEX('CAT_ACTIVIDADES'!$B$4:$B$8,MATCH($H348,'CAT_ACTIVIDADES'!$A$4:$A$8,0)),"(sin catálogo)"))</f>
        <v/>
      </c>
      <c r="AA348" s="12">
        <f>IF($J348="","",TODAY()-$J348)</f>
        <v/>
      </c>
      <c r="AB348" s="12">
        <f>IF($J348="","",IF($J348&lt;=TODAY(),COUNTIFS(cal_fechas,"&gt;="&amp;$J348,cal_fechas,"&lt;"&amp;TODAY(),cal_habil,"sí"),-COUNTIFS(cal_fechas,"&gt;="&amp;TODAY(),cal_fechas,"&lt;"&amp;$J348,cal_habil,"sí")))</f>
        <v/>
      </c>
      <c r="AC348" s="3">
        <f>IF($AB348="","",IF($AB348&lt;0,"FUTURO",IF($AB348&gt;p_dias_backlog_max,"BACKLOG","MES CORRIENTE")))</f>
        <v/>
      </c>
      <c r="AD348" s="3">
        <f>IF($AB348="",FALSE,AND($AB348&gt;p_dias_backlog_min,$AB348&lt;=p_dias_backlog_max))</f>
        <v/>
      </c>
      <c r="AE348" s="6" t="n"/>
      <c r="AF348" s="3">
        <f>IF($AE348="","",IF((IFERROR(INDEX('ASIGNACIONES'!$F$4:$F$339,MATCH($O348&amp;"|"&amp;$R348&amp;"|"&amp;$AE348,'ASIGNACIONES'!$J$4:$J$339,0)),""))=0,"",IFERROR(INDEX('ASIGNACIONES'!$F$4:$F$339,MATCH($O348&amp;"|"&amp;$R348&amp;"|"&amp;$AE348,'ASIGNACIONES'!$J$4:$J$339,0)),"")))</f>
        <v/>
      </c>
      <c r="AG348" s="13">
        <f>IF($AE348="","",SUMIFS('ORDENES'!$M$4:$M$1203,'ORDENES'!$AE$4:$AE$1203,$AE348,'ORDENES'!$O$4:$O$1203,$O348,'ORDENES'!$R$4:$R$1203,$R348))</f>
        <v/>
      </c>
      <c r="AH348" s="13">
        <f>IF($AG348="","",p_factor_productividad*IFERROR(INDEX('ASIGNACIONES'!$I$4:$I$339,MATCH($O348&amp;"|"&amp;$R348&amp;"|"&amp;$AE348,'ASIGNACIONES'!$J$4:$J$339,0)),0)-$AG348)</f>
        <v/>
      </c>
      <c r="AI348" s="10">
        <f>IF($A348="","",IFERROR(INDEX('2_IMPORTAR_EJECUCION'!$F$9:$F$1208,MATCH($AQ348,'2_IMPORTAR_EJECUCION'!$J$9:$J$1208,0)),0))</f>
        <v/>
      </c>
      <c r="AJ348" s="10">
        <f>IF($A348="","",MAX(0,IFERROR(INDEX('2_IMPORTAR_EJECUCION'!$H$9:$H$1208,MATCH($AQ348,'2_IMPORTAR_EJECUCION'!$J$9:$J$1208,0)),0)-$AI348))</f>
        <v/>
      </c>
      <c r="AK348" s="10">
        <f>IF($A348="","",$AI348+$AJ348)</f>
        <v/>
      </c>
      <c r="AL348" s="6" t="n"/>
      <c r="AM348" s="6" t="n"/>
      <c r="AN348" s="6" t="n"/>
      <c r="AO348" s="3">
        <f>IF($AN348="","",HYPERLINK(p_ruta_base_checklists&amp;$AN348,"abrir"))</f>
        <v/>
      </c>
      <c r="AP348" s="6" t="n"/>
      <c r="AQ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IF($A349="","",IFERROR(INDEX('AJUSTES'!$B$4:$B$303,MATCH($AQ349,'AJUSTES'!$A$4:$A$303,0)),IF($K349="","",$K349)))</f>
        <v/>
      </c>
      <c r="N349" s="3">
        <f>IF($A349="","",IFERROR(INDEX('CAT_ESTADOS_ERP'!$B$4:$B$7,MATCH(IFERROR(INDEX('2_IMPORTAR_EJECUCION'!$C$9:$C$1208,MATCH($AQ349,'2_IMPORTAR_EJECUCION'!$J$9:$J$1208,0)),""),'CAT_ESTADOS_ERP'!$A$4:$A$7,0)),"Pendiente"))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J349="","",IFERROR(INDEX('CALENDARIO'!$C$15:$C$214,MATCH(TEXT($J349,"yyyy-mm-dd")&amp;"|"&amp;$V349&amp;"|"&amp;$W349,'CALENDARIO'!$G$15:$G$214,0)),IFERROR(INDEX('CALENDARIO'!$C$15:$C$214,MATCH(TEXT($J349,"yyyy-mm-dd")&amp;"|"&amp;$V349&amp;"|",'CALENDARIO'!$G$15:$G$214,0)),IFERROR(INDEX('CALENDARIO'!$C$15:$C$214,MATCH(TEXT($J349,"yyyy-mm-dd")&amp;"||",'CALENDARIO'!$G$15:$G$214,0)),INDEX(patronHabil,WEEKDAY($J349,2))))))</f>
        <v/>
      </c>
      <c r="T349" s="3">
        <f>IF($I349="","",IFERROR(INDEX('CAT_TIPOS_OT'!$C$4:$C$7,MATCH($I349,'CAT_TIPOS_OT'!$A$4:$A$7,0)),"sin_clasificar"))</f>
        <v/>
      </c>
      <c r="U349" s="3">
        <f>IF($F349="","",IFERROR(INDEX('CAT_CENTROS_COSTO'!$F$4:$F$13,MATCH($F349,'CAT_CENTROS_COSTO'!$A$4:$A$13,0)),"(sin catálogo)"))</f>
        <v/>
      </c>
      <c r="V349" s="3">
        <f>IF($F349="","",IFERROR(INDEX('CAT_CENTROS_COSTO'!$D$4:$D$13,MATCH($F349,'CAT_CENTROS_COSTO'!$A$4:$A$13,0)),"(sin catálogo)"))</f>
        <v/>
      </c>
      <c r="W349" s="3">
        <f>IF($F349="","",IF((IFERROR(INDEX('CAT_CENTROS_COSTO'!$E$4:$E$13,MATCH($F349,'CAT_CENTROS_COSTO'!$A$4:$A$13,0)),""))&lt;&gt;"",IFERROR(INDEX('CAT_CENTROS_COSTO'!$E$4:$E$13,MATCH($F349,'CAT_CENTROS_COSTO'!$A$4:$A$13,0)),""),$V349))</f>
        <v/>
      </c>
      <c r="X349" s="3">
        <f>IF($F349="","",IFERROR(INDEX('CAT_CENTROS_COSTO'!$G$4:$G$13,MATCH($F349,'CAT_CENTROS_COSTO'!$A$4:$A$13,0)),"(sin catálogo)"))</f>
        <v/>
      </c>
      <c r="Y349" s="3">
        <f>IF($G349="","",IFERROR(INDEX('CAT_PUESTOS'!$B$4:$B$8,MATCH($G349,'CAT_PUESTOS'!$A$4:$A$8,0)),"(sin catálogo)"))</f>
        <v/>
      </c>
      <c r="Z349" s="3">
        <f>IF($H349="","",IFERROR(INDEX('CAT_ACTIVIDADES'!$B$4:$B$8,MATCH($H349,'CAT_ACTIVIDADES'!$A$4:$A$8,0)),"(sin catálogo)"))</f>
        <v/>
      </c>
      <c r="AA349" s="12">
        <f>IF($J349="","",TODAY()-$J349)</f>
        <v/>
      </c>
      <c r="AB349" s="12">
        <f>IF($J349="","",IF($J349&lt;=TODAY(),COUNTIFS(cal_fechas,"&gt;="&amp;$J349,cal_fechas,"&lt;"&amp;TODAY(),cal_habil,"sí"),-COUNTIFS(cal_fechas,"&gt;="&amp;TODAY(),cal_fechas,"&lt;"&amp;$J349,cal_habil,"sí")))</f>
        <v/>
      </c>
      <c r="AC349" s="3">
        <f>IF($AB349="","",IF($AB349&lt;0,"FUTURO",IF($AB349&gt;p_dias_backlog_max,"BACKLOG","MES CORRIENTE")))</f>
        <v/>
      </c>
      <c r="AD349" s="3">
        <f>IF($AB349="",FALSE,AND($AB349&gt;p_dias_backlog_min,$AB349&lt;=p_dias_backlog_max))</f>
        <v/>
      </c>
      <c r="AE349" s="6" t="n"/>
      <c r="AF349" s="3">
        <f>IF($AE349="","",IF((IFERROR(INDEX('ASIGNACIONES'!$F$4:$F$339,MATCH($O349&amp;"|"&amp;$R349&amp;"|"&amp;$AE349,'ASIGNACIONES'!$J$4:$J$339,0)),""))=0,"",IFERROR(INDEX('ASIGNACIONES'!$F$4:$F$339,MATCH($O349&amp;"|"&amp;$R349&amp;"|"&amp;$AE349,'ASIGNACIONES'!$J$4:$J$339,0)),"")))</f>
        <v/>
      </c>
      <c r="AG349" s="13">
        <f>IF($AE349="","",SUMIFS('ORDENES'!$M$4:$M$1203,'ORDENES'!$AE$4:$AE$1203,$AE349,'ORDENES'!$O$4:$O$1203,$O349,'ORDENES'!$R$4:$R$1203,$R349))</f>
        <v/>
      </c>
      <c r="AH349" s="13">
        <f>IF($AG349="","",p_factor_productividad*IFERROR(INDEX('ASIGNACIONES'!$I$4:$I$339,MATCH($O349&amp;"|"&amp;$R349&amp;"|"&amp;$AE349,'ASIGNACIONES'!$J$4:$J$339,0)),0)-$AG349)</f>
        <v/>
      </c>
      <c r="AI349" s="10">
        <f>IF($A349="","",IFERROR(INDEX('2_IMPORTAR_EJECUCION'!$F$9:$F$1208,MATCH($AQ349,'2_IMPORTAR_EJECUCION'!$J$9:$J$1208,0)),0))</f>
        <v/>
      </c>
      <c r="AJ349" s="10">
        <f>IF($A349="","",MAX(0,IFERROR(INDEX('2_IMPORTAR_EJECUCION'!$H$9:$H$1208,MATCH($AQ349,'2_IMPORTAR_EJECUCION'!$J$9:$J$1208,0)),0)-$AI349))</f>
        <v/>
      </c>
      <c r="AK349" s="10">
        <f>IF($A349="","",$AI349+$AJ349)</f>
        <v/>
      </c>
      <c r="AL349" s="6" t="n"/>
      <c r="AM349" s="6" t="n"/>
      <c r="AN349" s="6" t="n"/>
      <c r="AO349" s="3">
        <f>IF($AN349="","",HYPERLINK(p_ruta_base_checklists&amp;$AN349,"abrir"))</f>
        <v/>
      </c>
      <c r="AP349" s="6" t="n"/>
      <c r="AQ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IF($A350="","",IFERROR(INDEX('AJUSTES'!$B$4:$B$303,MATCH($AQ350,'AJUSTES'!$A$4:$A$303,0)),IF($K350="","",$K350)))</f>
        <v/>
      </c>
      <c r="N350" s="3">
        <f>IF($A350="","",IFERROR(INDEX('CAT_ESTADOS_ERP'!$B$4:$B$7,MATCH(IFERROR(INDEX('2_IMPORTAR_EJECUCION'!$C$9:$C$1208,MATCH($AQ350,'2_IMPORTAR_EJECUCION'!$J$9:$J$1208,0)),""),'CAT_ESTADOS_ERP'!$A$4:$A$7,0)),"Pendiente"))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J350="","",IFERROR(INDEX('CALENDARIO'!$C$15:$C$214,MATCH(TEXT($J350,"yyyy-mm-dd")&amp;"|"&amp;$V350&amp;"|"&amp;$W350,'CALENDARIO'!$G$15:$G$214,0)),IFERROR(INDEX('CALENDARIO'!$C$15:$C$214,MATCH(TEXT($J350,"yyyy-mm-dd")&amp;"|"&amp;$V350&amp;"|",'CALENDARIO'!$G$15:$G$214,0)),IFERROR(INDEX('CALENDARIO'!$C$15:$C$214,MATCH(TEXT($J350,"yyyy-mm-dd")&amp;"||",'CALENDARIO'!$G$15:$G$214,0)),INDEX(patronHabil,WEEKDAY($J350,2))))))</f>
        <v/>
      </c>
      <c r="T350" s="3">
        <f>IF($I350="","",IFERROR(INDEX('CAT_TIPOS_OT'!$C$4:$C$7,MATCH($I350,'CAT_TIPOS_OT'!$A$4:$A$7,0)),"sin_clasificar"))</f>
        <v/>
      </c>
      <c r="U350" s="3">
        <f>IF($F350="","",IFERROR(INDEX('CAT_CENTROS_COSTO'!$F$4:$F$13,MATCH($F350,'CAT_CENTROS_COSTO'!$A$4:$A$13,0)),"(sin catálogo)"))</f>
        <v/>
      </c>
      <c r="V350" s="3">
        <f>IF($F350="","",IFERROR(INDEX('CAT_CENTROS_COSTO'!$D$4:$D$13,MATCH($F350,'CAT_CENTROS_COSTO'!$A$4:$A$13,0)),"(sin catálogo)"))</f>
        <v/>
      </c>
      <c r="W350" s="3">
        <f>IF($F350="","",IF((IFERROR(INDEX('CAT_CENTROS_COSTO'!$E$4:$E$13,MATCH($F350,'CAT_CENTROS_COSTO'!$A$4:$A$13,0)),""))&lt;&gt;"",IFERROR(INDEX('CAT_CENTROS_COSTO'!$E$4:$E$13,MATCH($F350,'CAT_CENTROS_COSTO'!$A$4:$A$13,0)),""),$V350))</f>
        <v/>
      </c>
      <c r="X350" s="3">
        <f>IF($F350="","",IFERROR(INDEX('CAT_CENTROS_COSTO'!$G$4:$G$13,MATCH($F350,'CAT_CENTROS_COSTO'!$A$4:$A$13,0)),"(sin catálogo)"))</f>
        <v/>
      </c>
      <c r="Y350" s="3">
        <f>IF($G350="","",IFERROR(INDEX('CAT_PUESTOS'!$B$4:$B$8,MATCH($G350,'CAT_PUESTOS'!$A$4:$A$8,0)),"(sin catálogo)"))</f>
        <v/>
      </c>
      <c r="Z350" s="3">
        <f>IF($H350="","",IFERROR(INDEX('CAT_ACTIVIDADES'!$B$4:$B$8,MATCH($H350,'CAT_ACTIVIDADES'!$A$4:$A$8,0)),"(sin catálogo)"))</f>
        <v/>
      </c>
      <c r="AA350" s="12">
        <f>IF($J350="","",TODAY()-$J350)</f>
        <v/>
      </c>
      <c r="AB350" s="12">
        <f>IF($J350="","",IF($J350&lt;=TODAY(),COUNTIFS(cal_fechas,"&gt;="&amp;$J350,cal_fechas,"&lt;"&amp;TODAY(),cal_habil,"sí"),-COUNTIFS(cal_fechas,"&gt;="&amp;TODAY(),cal_fechas,"&lt;"&amp;$J350,cal_habil,"sí")))</f>
        <v/>
      </c>
      <c r="AC350" s="3">
        <f>IF($AB350="","",IF($AB350&lt;0,"FUTURO",IF($AB350&gt;p_dias_backlog_max,"BACKLOG","MES CORRIENTE")))</f>
        <v/>
      </c>
      <c r="AD350" s="3">
        <f>IF($AB350="",FALSE,AND($AB350&gt;p_dias_backlog_min,$AB350&lt;=p_dias_backlog_max))</f>
        <v/>
      </c>
      <c r="AE350" s="6" t="n"/>
      <c r="AF350" s="3">
        <f>IF($AE350="","",IF((IFERROR(INDEX('ASIGNACIONES'!$F$4:$F$339,MATCH($O350&amp;"|"&amp;$R350&amp;"|"&amp;$AE350,'ASIGNACIONES'!$J$4:$J$339,0)),""))=0,"",IFERROR(INDEX('ASIGNACIONES'!$F$4:$F$339,MATCH($O350&amp;"|"&amp;$R350&amp;"|"&amp;$AE350,'ASIGNACIONES'!$J$4:$J$339,0)),"")))</f>
        <v/>
      </c>
      <c r="AG350" s="13">
        <f>IF($AE350="","",SUMIFS('ORDENES'!$M$4:$M$1203,'ORDENES'!$AE$4:$AE$1203,$AE350,'ORDENES'!$O$4:$O$1203,$O350,'ORDENES'!$R$4:$R$1203,$R350))</f>
        <v/>
      </c>
      <c r="AH350" s="13">
        <f>IF($AG350="","",p_factor_productividad*IFERROR(INDEX('ASIGNACIONES'!$I$4:$I$339,MATCH($O350&amp;"|"&amp;$R350&amp;"|"&amp;$AE350,'ASIGNACIONES'!$J$4:$J$339,0)),0)-$AG350)</f>
        <v/>
      </c>
      <c r="AI350" s="10">
        <f>IF($A350="","",IFERROR(INDEX('2_IMPORTAR_EJECUCION'!$F$9:$F$1208,MATCH($AQ350,'2_IMPORTAR_EJECUCION'!$J$9:$J$1208,0)),0))</f>
        <v/>
      </c>
      <c r="AJ350" s="10">
        <f>IF($A350="","",MAX(0,IFERROR(INDEX('2_IMPORTAR_EJECUCION'!$H$9:$H$1208,MATCH($AQ350,'2_IMPORTAR_EJECUCION'!$J$9:$J$1208,0)),0)-$AI350))</f>
        <v/>
      </c>
      <c r="AK350" s="10">
        <f>IF($A350="","",$AI350+$AJ350)</f>
        <v/>
      </c>
      <c r="AL350" s="6" t="n"/>
      <c r="AM350" s="6" t="n"/>
      <c r="AN350" s="6" t="n"/>
      <c r="AO350" s="3">
        <f>IF($AN350="","",HYPERLINK(p_ruta_base_checklists&amp;$AN350,"abrir"))</f>
        <v/>
      </c>
      <c r="AP350" s="6" t="n"/>
      <c r="AQ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IF($A351="","",IFERROR(INDEX('AJUSTES'!$B$4:$B$303,MATCH($AQ351,'AJUSTES'!$A$4:$A$303,0)),IF($K351="","",$K351)))</f>
        <v/>
      </c>
      <c r="N351" s="3">
        <f>IF($A351="","",IFERROR(INDEX('CAT_ESTADOS_ERP'!$B$4:$B$7,MATCH(IFERROR(INDEX('2_IMPORTAR_EJECUCION'!$C$9:$C$1208,MATCH($AQ351,'2_IMPORTAR_EJECUCION'!$J$9:$J$1208,0)),""),'CAT_ESTADOS_ERP'!$A$4:$A$7,0)),"Pendiente"))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J351="","",IFERROR(INDEX('CALENDARIO'!$C$15:$C$214,MATCH(TEXT($J351,"yyyy-mm-dd")&amp;"|"&amp;$V351&amp;"|"&amp;$W351,'CALENDARIO'!$G$15:$G$214,0)),IFERROR(INDEX('CALENDARIO'!$C$15:$C$214,MATCH(TEXT($J351,"yyyy-mm-dd")&amp;"|"&amp;$V351&amp;"|",'CALENDARIO'!$G$15:$G$214,0)),IFERROR(INDEX('CALENDARIO'!$C$15:$C$214,MATCH(TEXT($J351,"yyyy-mm-dd")&amp;"||",'CALENDARIO'!$G$15:$G$214,0)),INDEX(patronHabil,WEEKDAY($J351,2))))))</f>
        <v/>
      </c>
      <c r="T351" s="3">
        <f>IF($I351="","",IFERROR(INDEX('CAT_TIPOS_OT'!$C$4:$C$7,MATCH($I351,'CAT_TIPOS_OT'!$A$4:$A$7,0)),"sin_clasificar"))</f>
        <v/>
      </c>
      <c r="U351" s="3">
        <f>IF($F351="","",IFERROR(INDEX('CAT_CENTROS_COSTO'!$F$4:$F$13,MATCH($F351,'CAT_CENTROS_COSTO'!$A$4:$A$13,0)),"(sin catálogo)"))</f>
        <v/>
      </c>
      <c r="V351" s="3">
        <f>IF($F351="","",IFERROR(INDEX('CAT_CENTROS_COSTO'!$D$4:$D$13,MATCH($F351,'CAT_CENTROS_COSTO'!$A$4:$A$13,0)),"(sin catálogo)"))</f>
        <v/>
      </c>
      <c r="W351" s="3">
        <f>IF($F351="","",IF((IFERROR(INDEX('CAT_CENTROS_COSTO'!$E$4:$E$13,MATCH($F351,'CAT_CENTROS_COSTO'!$A$4:$A$13,0)),""))&lt;&gt;"",IFERROR(INDEX('CAT_CENTROS_COSTO'!$E$4:$E$13,MATCH($F351,'CAT_CENTROS_COSTO'!$A$4:$A$13,0)),""),$V351))</f>
        <v/>
      </c>
      <c r="X351" s="3">
        <f>IF($F351="","",IFERROR(INDEX('CAT_CENTROS_COSTO'!$G$4:$G$13,MATCH($F351,'CAT_CENTROS_COSTO'!$A$4:$A$13,0)),"(sin catálogo)"))</f>
        <v/>
      </c>
      <c r="Y351" s="3">
        <f>IF($G351="","",IFERROR(INDEX('CAT_PUESTOS'!$B$4:$B$8,MATCH($G351,'CAT_PUESTOS'!$A$4:$A$8,0)),"(sin catálogo)"))</f>
        <v/>
      </c>
      <c r="Z351" s="3">
        <f>IF($H351="","",IFERROR(INDEX('CAT_ACTIVIDADES'!$B$4:$B$8,MATCH($H351,'CAT_ACTIVIDADES'!$A$4:$A$8,0)),"(sin catálogo)"))</f>
        <v/>
      </c>
      <c r="AA351" s="12">
        <f>IF($J351="","",TODAY()-$J351)</f>
        <v/>
      </c>
      <c r="AB351" s="12">
        <f>IF($J351="","",IF($J351&lt;=TODAY(),COUNTIFS(cal_fechas,"&gt;="&amp;$J351,cal_fechas,"&lt;"&amp;TODAY(),cal_habil,"sí"),-COUNTIFS(cal_fechas,"&gt;="&amp;TODAY(),cal_fechas,"&lt;"&amp;$J351,cal_habil,"sí")))</f>
        <v/>
      </c>
      <c r="AC351" s="3">
        <f>IF($AB351="","",IF($AB351&lt;0,"FUTURO",IF($AB351&gt;p_dias_backlog_max,"BACKLOG","MES CORRIENTE")))</f>
        <v/>
      </c>
      <c r="AD351" s="3">
        <f>IF($AB351="",FALSE,AND($AB351&gt;p_dias_backlog_min,$AB351&lt;=p_dias_backlog_max))</f>
        <v/>
      </c>
      <c r="AE351" s="6" t="n"/>
      <c r="AF351" s="3">
        <f>IF($AE351="","",IF((IFERROR(INDEX('ASIGNACIONES'!$F$4:$F$339,MATCH($O351&amp;"|"&amp;$R351&amp;"|"&amp;$AE351,'ASIGNACIONES'!$J$4:$J$339,0)),""))=0,"",IFERROR(INDEX('ASIGNACIONES'!$F$4:$F$339,MATCH($O351&amp;"|"&amp;$R351&amp;"|"&amp;$AE351,'ASIGNACIONES'!$J$4:$J$339,0)),"")))</f>
        <v/>
      </c>
      <c r="AG351" s="13">
        <f>IF($AE351="","",SUMIFS('ORDENES'!$M$4:$M$1203,'ORDENES'!$AE$4:$AE$1203,$AE351,'ORDENES'!$O$4:$O$1203,$O351,'ORDENES'!$R$4:$R$1203,$R351))</f>
        <v/>
      </c>
      <c r="AH351" s="13">
        <f>IF($AG351="","",p_factor_productividad*IFERROR(INDEX('ASIGNACIONES'!$I$4:$I$339,MATCH($O351&amp;"|"&amp;$R351&amp;"|"&amp;$AE351,'ASIGNACIONES'!$J$4:$J$339,0)),0)-$AG351)</f>
        <v/>
      </c>
      <c r="AI351" s="10">
        <f>IF($A351="","",IFERROR(INDEX('2_IMPORTAR_EJECUCION'!$F$9:$F$1208,MATCH($AQ351,'2_IMPORTAR_EJECUCION'!$J$9:$J$1208,0)),0))</f>
        <v/>
      </c>
      <c r="AJ351" s="10">
        <f>IF($A351="","",MAX(0,IFERROR(INDEX('2_IMPORTAR_EJECUCION'!$H$9:$H$1208,MATCH($AQ351,'2_IMPORTAR_EJECUCION'!$J$9:$J$1208,0)),0)-$AI351))</f>
        <v/>
      </c>
      <c r="AK351" s="10">
        <f>IF($A351="","",$AI351+$AJ351)</f>
        <v/>
      </c>
      <c r="AL351" s="6" t="n"/>
      <c r="AM351" s="6" t="n"/>
      <c r="AN351" s="6" t="n"/>
      <c r="AO351" s="3">
        <f>IF($AN351="","",HYPERLINK(p_ruta_base_checklists&amp;$AN351,"abrir"))</f>
        <v/>
      </c>
      <c r="AP351" s="6" t="n"/>
      <c r="AQ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IF($A352="","",IFERROR(INDEX('AJUSTES'!$B$4:$B$303,MATCH($AQ352,'AJUSTES'!$A$4:$A$303,0)),IF($K352="","",$K352)))</f>
        <v/>
      </c>
      <c r="N352" s="3">
        <f>IF($A352="","",IFERROR(INDEX('CAT_ESTADOS_ERP'!$B$4:$B$7,MATCH(IFERROR(INDEX('2_IMPORTAR_EJECUCION'!$C$9:$C$1208,MATCH($AQ352,'2_IMPORTAR_EJECUCION'!$J$9:$J$1208,0)),""),'CAT_ESTADOS_ERP'!$A$4:$A$7,0)),"Pendiente"))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J352="","",IFERROR(INDEX('CALENDARIO'!$C$15:$C$214,MATCH(TEXT($J352,"yyyy-mm-dd")&amp;"|"&amp;$V352&amp;"|"&amp;$W352,'CALENDARIO'!$G$15:$G$214,0)),IFERROR(INDEX('CALENDARIO'!$C$15:$C$214,MATCH(TEXT($J352,"yyyy-mm-dd")&amp;"|"&amp;$V352&amp;"|",'CALENDARIO'!$G$15:$G$214,0)),IFERROR(INDEX('CALENDARIO'!$C$15:$C$214,MATCH(TEXT($J352,"yyyy-mm-dd")&amp;"||",'CALENDARIO'!$G$15:$G$214,0)),INDEX(patronHabil,WEEKDAY($J352,2))))))</f>
        <v/>
      </c>
      <c r="T352" s="3">
        <f>IF($I352="","",IFERROR(INDEX('CAT_TIPOS_OT'!$C$4:$C$7,MATCH($I352,'CAT_TIPOS_OT'!$A$4:$A$7,0)),"sin_clasificar"))</f>
        <v/>
      </c>
      <c r="U352" s="3">
        <f>IF($F352="","",IFERROR(INDEX('CAT_CENTROS_COSTO'!$F$4:$F$13,MATCH($F352,'CAT_CENTROS_COSTO'!$A$4:$A$13,0)),"(sin catálogo)"))</f>
        <v/>
      </c>
      <c r="V352" s="3">
        <f>IF($F352="","",IFERROR(INDEX('CAT_CENTROS_COSTO'!$D$4:$D$13,MATCH($F352,'CAT_CENTROS_COSTO'!$A$4:$A$13,0)),"(sin catálogo)"))</f>
        <v/>
      </c>
      <c r="W352" s="3">
        <f>IF($F352="","",IF((IFERROR(INDEX('CAT_CENTROS_COSTO'!$E$4:$E$13,MATCH($F352,'CAT_CENTROS_COSTO'!$A$4:$A$13,0)),""))&lt;&gt;"",IFERROR(INDEX('CAT_CENTROS_COSTO'!$E$4:$E$13,MATCH($F352,'CAT_CENTROS_COSTO'!$A$4:$A$13,0)),""),$V352))</f>
        <v/>
      </c>
      <c r="X352" s="3">
        <f>IF($F352="","",IFERROR(INDEX('CAT_CENTROS_COSTO'!$G$4:$G$13,MATCH($F352,'CAT_CENTROS_COSTO'!$A$4:$A$13,0)),"(sin catálogo)"))</f>
        <v/>
      </c>
      <c r="Y352" s="3">
        <f>IF($G352="","",IFERROR(INDEX('CAT_PUESTOS'!$B$4:$B$8,MATCH($G352,'CAT_PUESTOS'!$A$4:$A$8,0)),"(sin catálogo)"))</f>
        <v/>
      </c>
      <c r="Z352" s="3">
        <f>IF($H352="","",IFERROR(INDEX('CAT_ACTIVIDADES'!$B$4:$B$8,MATCH($H352,'CAT_ACTIVIDADES'!$A$4:$A$8,0)),"(sin catálogo)"))</f>
        <v/>
      </c>
      <c r="AA352" s="12">
        <f>IF($J352="","",TODAY()-$J352)</f>
        <v/>
      </c>
      <c r="AB352" s="12">
        <f>IF($J352="","",IF($J352&lt;=TODAY(),COUNTIFS(cal_fechas,"&gt;="&amp;$J352,cal_fechas,"&lt;"&amp;TODAY(),cal_habil,"sí"),-COUNTIFS(cal_fechas,"&gt;="&amp;TODAY(),cal_fechas,"&lt;"&amp;$J352,cal_habil,"sí")))</f>
        <v/>
      </c>
      <c r="AC352" s="3">
        <f>IF($AB352="","",IF($AB352&lt;0,"FUTURO",IF($AB352&gt;p_dias_backlog_max,"BACKLOG","MES CORRIENTE")))</f>
        <v/>
      </c>
      <c r="AD352" s="3">
        <f>IF($AB352="",FALSE,AND($AB352&gt;p_dias_backlog_min,$AB352&lt;=p_dias_backlog_max))</f>
        <v/>
      </c>
      <c r="AE352" s="6" t="n"/>
      <c r="AF352" s="3">
        <f>IF($AE352="","",IF((IFERROR(INDEX('ASIGNACIONES'!$F$4:$F$339,MATCH($O352&amp;"|"&amp;$R352&amp;"|"&amp;$AE352,'ASIGNACIONES'!$J$4:$J$339,0)),""))=0,"",IFERROR(INDEX('ASIGNACIONES'!$F$4:$F$339,MATCH($O352&amp;"|"&amp;$R352&amp;"|"&amp;$AE352,'ASIGNACIONES'!$J$4:$J$339,0)),"")))</f>
        <v/>
      </c>
      <c r="AG352" s="13">
        <f>IF($AE352="","",SUMIFS('ORDENES'!$M$4:$M$1203,'ORDENES'!$AE$4:$AE$1203,$AE352,'ORDENES'!$O$4:$O$1203,$O352,'ORDENES'!$R$4:$R$1203,$R352))</f>
        <v/>
      </c>
      <c r="AH352" s="13">
        <f>IF($AG352="","",p_factor_productividad*IFERROR(INDEX('ASIGNACIONES'!$I$4:$I$339,MATCH($O352&amp;"|"&amp;$R352&amp;"|"&amp;$AE352,'ASIGNACIONES'!$J$4:$J$339,0)),0)-$AG352)</f>
        <v/>
      </c>
      <c r="AI352" s="10">
        <f>IF($A352="","",IFERROR(INDEX('2_IMPORTAR_EJECUCION'!$F$9:$F$1208,MATCH($AQ352,'2_IMPORTAR_EJECUCION'!$J$9:$J$1208,0)),0))</f>
        <v/>
      </c>
      <c r="AJ352" s="10">
        <f>IF($A352="","",MAX(0,IFERROR(INDEX('2_IMPORTAR_EJECUCION'!$H$9:$H$1208,MATCH($AQ352,'2_IMPORTAR_EJECUCION'!$J$9:$J$1208,0)),0)-$AI352))</f>
        <v/>
      </c>
      <c r="AK352" s="10">
        <f>IF($A352="","",$AI352+$AJ352)</f>
        <v/>
      </c>
      <c r="AL352" s="6" t="n"/>
      <c r="AM352" s="6" t="n"/>
      <c r="AN352" s="6" t="n"/>
      <c r="AO352" s="3">
        <f>IF($AN352="","",HYPERLINK(p_ruta_base_checklists&amp;$AN352,"abrir"))</f>
        <v/>
      </c>
      <c r="AP352" s="6" t="n"/>
      <c r="AQ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IF($A353="","",IFERROR(INDEX('AJUSTES'!$B$4:$B$303,MATCH($AQ353,'AJUSTES'!$A$4:$A$303,0)),IF($K353="","",$K353)))</f>
        <v/>
      </c>
      <c r="N353" s="3">
        <f>IF($A353="","",IFERROR(INDEX('CAT_ESTADOS_ERP'!$B$4:$B$7,MATCH(IFERROR(INDEX('2_IMPORTAR_EJECUCION'!$C$9:$C$1208,MATCH($AQ353,'2_IMPORTAR_EJECUCION'!$J$9:$J$1208,0)),""),'CAT_ESTADOS_ERP'!$A$4:$A$7,0)),"Pendiente"))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J353="","",IFERROR(INDEX('CALENDARIO'!$C$15:$C$214,MATCH(TEXT($J353,"yyyy-mm-dd")&amp;"|"&amp;$V353&amp;"|"&amp;$W353,'CALENDARIO'!$G$15:$G$214,0)),IFERROR(INDEX('CALENDARIO'!$C$15:$C$214,MATCH(TEXT($J353,"yyyy-mm-dd")&amp;"|"&amp;$V353&amp;"|",'CALENDARIO'!$G$15:$G$214,0)),IFERROR(INDEX('CALENDARIO'!$C$15:$C$214,MATCH(TEXT($J353,"yyyy-mm-dd")&amp;"||",'CALENDARIO'!$G$15:$G$214,0)),INDEX(patronHabil,WEEKDAY($J353,2))))))</f>
        <v/>
      </c>
      <c r="T353" s="3">
        <f>IF($I353="","",IFERROR(INDEX('CAT_TIPOS_OT'!$C$4:$C$7,MATCH($I353,'CAT_TIPOS_OT'!$A$4:$A$7,0)),"sin_clasificar"))</f>
        <v/>
      </c>
      <c r="U353" s="3">
        <f>IF($F353="","",IFERROR(INDEX('CAT_CENTROS_COSTO'!$F$4:$F$13,MATCH($F353,'CAT_CENTROS_COSTO'!$A$4:$A$13,0)),"(sin catálogo)"))</f>
        <v/>
      </c>
      <c r="V353" s="3">
        <f>IF($F353="","",IFERROR(INDEX('CAT_CENTROS_COSTO'!$D$4:$D$13,MATCH($F353,'CAT_CENTROS_COSTO'!$A$4:$A$13,0)),"(sin catálogo)"))</f>
        <v/>
      </c>
      <c r="W353" s="3">
        <f>IF($F353="","",IF((IFERROR(INDEX('CAT_CENTROS_COSTO'!$E$4:$E$13,MATCH($F353,'CAT_CENTROS_COSTO'!$A$4:$A$13,0)),""))&lt;&gt;"",IFERROR(INDEX('CAT_CENTROS_COSTO'!$E$4:$E$13,MATCH($F353,'CAT_CENTROS_COSTO'!$A$4:$A$13,0)),""),$V353))</f>
        <v/>
      </c>
      <c r="X353" s="3">
        <f>IF($F353="","",IFERROR(INDEX('CAT_CENTROS_COSTO'!$G$4:$G$13,MATCH($F353,'CAT_CENTROS_COSTO'!$A$4:$A$13,0)),"(sin catálogo)"))</f>
        <v/>
      </c>
      <c r="Y353" s="3">
        <f>IF($G353="","",IFERROR(INDEX('CAT_PUESTOS'!$B$4:$B$8,MATCH($G353,'CAT_PUESTOS'!$A$4:$A$8,0)),"(sin catálogo)"))</f>
        <v/>
      </c>
      <c r="Z353" s="3">
        <f>IF($H353="","",IFERROR(INDEX('CAT_ACTIVIDADES'!$B$4:$B$8,MATCH($H353,'CAT_ACTIVIDADES'!$A$4:$A$8,0)),"(sin catálogo)"))</f>
        <v/>
      </c>
      <c r="AA353" s="12">
        <f>IF($J353="","",TODAY()-$J353)</f>
        <v/>
      </c>
      <c r="AB353" s="12">
        <f>IF($J353="","",IF($J353&lt;=TODAY(),COUNTIFS(cal_fechas,"&gt;="&amp;$J353,cal_fechas,"&lt;"&amp;TODAY(),cal_habil,"sí"),-COUNTIFS(cal_fechas,"&gt;="&amp;TODAY(),cal_fechas,"&lt;"&amp;$J353,cal_habil,"sí")))</f>
        <v/>
      </c>
      <c r="AC353" s="3">
        <f>IF($AB353="","",IF($AB353&lt;0,"FUTURO",IF($AB353&gt;p_dias_backlog_max,"BACKLOG","MES CORRIENTE")))</f>
        <v/>
      </c>
      <c r="AD353" s="3">
        <f>IF($AB353="",FALSE,AND($AB353&gt;p_dias_backlog_min,$AB353&lt;=p_dias_backlog_max))</f>
        <v/>
      </c>
      <c r="AE353" s="6" t="n"/>
      <c r="AF353" s="3">
        <f>IF($AE353="","",IF((IFERROR(INDEX('ASIGNACIONES'!$F$4:$F$339,MATCH($O353&amp;"|"&amp;$R353&amp;"|"&amp;$AE353,'ASIGNACIONES'!$J$4:$J$339,0)),""))=0,"",IFERROR(INDEX('ASIGNACIONES'!$F$4:$F$339,MATCH($O353&amp;"|"&amp;$R353&amp;"|"&amp;$AE353,'ASIGNACIONES'!$J$4:$J$339,0)),"")))</f>
        <v/>
      </c>
      <c r="AG353" s="13">
        <f>IF($AE353="","",SUMIFS('ORDENES'!$M$4:$M$1203,'ORDENES'!$AE$4:$AE$1203,$AE353,'ORDENES'!$O$4:$O$1203,$O353,'ORDENES'!$R$4:$R$1203,$R353))</f>
        <v/>
      </c>
      <c r="AH353" s="13">
        <f>IF($AG353="","",p_factor_productividad*IFERROR(INDEX('ASIGNACIONES'!$I$4:$I$339,MATCH($O353&amp;"|"&amp;$R353&amp;"|"&amp;$AE353,'ASIGNACIONES'!$J$4:$J$339,0)),0)-$AG353)</f>
        <v/>
      </c>
      <c r="AI353" s="10">
        <f>IF($A353="","",IFERROR(INDEX('2_IMPORTAR_EJECUCION'!$F$9:$F$1208,MATCH($AQ353,'2_IMPORTAR_EJECUCION'!$J$9:$J$1208,0)),0))</f>
        <v/>
      </c>
      <c r="AJ353" s="10">
        <f>IF($A353="","",MAX(0,IFERROR(INDEX('2_IMPORTAR_EJECUCION'!$H$9:$H$1208,MATCH($AQ353,'2_IMPORTAR_EJECUCION'!$J$9:$J$1208,0)),0)-$AI353))</f>
        <v/>
      </c>
      <c r="AK353" s="10">
        <f>IF($A353="","",$AI353+$AJ353)</f>
        <v/>
      </c>
      <c r="AL353" s="6" t="n"/>
      <c r="AM353" s="6" t="n"/>
      <c r="AN353" s="6" t="n"/>
      <c r="AO353" s="3">
        <f>IF($AN353="","",HYPERLINK(p_ruta_base_checklists&amp;$AN353,"abrir"))</f>
        <v/>
      </c>
      <c r="AP353" s="6" t="n"/>
      <c r="AQ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IF($A354="","",IFERROR(INDEX('AJUSTES'!$B$4:$B$303,MATCH($AQ354,'AJUSTES'!$A$4:$A$303,0)),IF($K354="","",$K354)))</f>
        <v/>
      </c>
      <c r="N354" s="3">
        <f>IF($A354="","",IFERROR(INDEX('CAT_ESTADOS_ERP'!$B$4:$B$7,MATCH(IFERROR(INDEX('2_IMPORTAR_EJECUCION'!$C$9:$C$1208,MATCH($AQ354,'2_IMPORTAR_EJECUCION'!$J$9:$J$1208,0)),""),'CAT_ESTADOS_ERP'!$A$4:$A$7,0)),"Pendiente"))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J354="","",IFERROR(INDEX('CALENDARIO'!$C$15:$C$214,MATCH(TEXT($J354,"yyyy-mm-dd")&amp;"|"&amp;$V354&amp;"|"&amp;$W354,'CALENDARIO'!$G$15:$G$214,0)),IFERROR(INDEX('CALENDARIO'!$C$15:$C$214,MATCH(TEXT($J354,"yyyy-mm-dd")&amp;"|"&amp;$V354&amp;"|",'CALENDARIO'!$G$15:$G$214,0)),IFERROR(INDEX('CALENDARIO'!$C$15:$C$214,MATCH(TEXT($J354,"yyyy-mm-dd")&amp;"||",'CALENDARIO'!$G$15:$G$214,0)),INDEX(patronHabil,WEEKDAY($J354,2))))))</f>
        <v/>
      </c>
      <c r="T354" s="3">
        <f>IF($I354="","",IFERROR(INDEX('CAT_TIPOS_OT'!$C$4:$C$7,MATCH($I354,'CAT_TIPOS_OT'!$A$4:$A$7,0)),"sin_clasificar"))</f>
        <v/>
      </c>
      <c r="U354" s="3">
        <f>IF($F354="","",IFERROR(INDEX('CAT_CENTROS_COSTO'!$F$4:$F$13,MATCH($F354,'CAT_CENTROS_COSTO'!$A$4:$A$13,0)),"(sin catálogo)"))</f>
        <v/>
      </c>
      <c r="V354" s="3">
        <f>IF($F354="","",IFERROR(INDEX('CAT_CENTROS_COSTO'!$D$4:$D$13,MATCH($F354,'CAT_CENTROS_COSTO'!$A$4:$A$13,0)),"(sin catálogo)"))</f>
        <v/>
      </c>
      <c r="W354" s="3">
        <f>IF($F354="","",IF((IFERROR(INDEX('CAT_CENTROS_COSTO'!$E$4:$E$13,MATCH($F354,'CAT_CENTROS_COSTO'!$A$4:$A$13,0)),""))&lt;&gt;"",IFERROR(INDEX('CAT_CENTROS_COSTO'!$E$4:$E$13,MATCH($F354,'CAT_CENTROS_COSTO'!$A$4:$A$13,0)),""),$V354))</f>
        <v/>
      </c>
      <c r="X354" s="3">
        <f>IF($F354="","",IFERROR(INDEX('CAT_CENTROS_COSTO'!$G$4:$G$13,MATCH($F354,'CAT_CENTROS_COSTO'!$A$4:$A$13,0)),"(sin catálogo)"))</f>
        <v/>
      </c>
      <c r="Y354" s="3">
        <f>IF($G354="","",IFERROR(INDEX('CAT_PUESTOS'!$B$4:$B$8,MATCH($G354,'CAT_PUESTOS'!$A$4:$A$8,0)),"(sin catálogo)"))</f>
        <v/>
      </c>
      <c r="Z354" s="3">
        <f>IF($H354="","",IFERROR(INDEX('CAT_ACTIVIDADES'!$B$4:$B$8,MATCH($H354,'CAT_ACTIVIDADES'!$A$4:$A$8,0)),"(sin catálogo)"))</f>
        <v/>
      </c>
      <c r="AA354" s="12">
        <f>IF($J354="","",TODAY()-$J354)</f>
        <v/>
      </c>
      <c r="AB354" s="12">
        <f>IF($J354="","",IF($J354&lt;=TODAY(),COUNTIFS(cal_fechas,"&gt;="&amp;$J354,cal_fechas,"&lt;"&amp;TODAY(),cal_habil,"sí"),-COUNTIFS(cal_fechas,"&gt;="&amp;TODAY(),cal_fechas,"&lt;"&amp;$J354,cal_habil,"sí")))</f>
        <v/>
      </c>
      <c r="AC354" s="3">
        <f>IF($AB354="","",IF($AB354&lt;0,"FUTURO",IF($AB354&gt;p_dias_backlog_max,"BACKLOG","MES CORRIENTE")))</f>
        <v/>
      </c>
      <c r="AD354" s="3">
        <f>IF($AB354="",FALSE,AND($AB354&gt;p_dias_backlog_min,$AB354&lt;=p_dias_backlog_max))</f>
        <v/>
      </c>
      <c r="AE354" s="6" t="n"/>
      <c r="AF354" s="3">
        <f>IF($AE354="","",IF((IFERROR(INDEX('ASIGNACIONES'!$F$4:$F$339,MATCH($O354&amp;"|"&amp;$R354&amp;"|"&amp;$AE354,'ASIGNACIONES'!$J$4:$J$339,0)),""))=0,"",IFERROR(INDEX('ASIGNACIONES'!$F$4:$F$339,MATCH($O354&amp;"|"&amp;$R354&amp;"|"&amp;$AE354,'ASIGNACIONES'!$J$4:$J$339,0)),"")))</f>
        <v/>
      </c>
      <c r="AG354" s="13">
        <f>IF($AE354="","",SUMIFS('ORDENES'!$M$4:$M$1203,'ORDENES'!$AE$4:$AE$1203,$AE354,'ORDENES'!$O$4:$O$1203,$O354,'ORDENES'!$R$4:$R$1203,$R354))</f>
        <v/>
      </c>
      <c r="AH354" s="13">
        <f>IF($AG354="","",p_factor_productividad*IFERROR(INDEX('ASIGNACIONES'!$I$4:$I$339,MATCH($O354&amp;"|"&amp;$R354&amp;"|"&amp;$AE354,'ASIGNACIONES'!$J$4:$J$339,0)),0)-$AG354)</f>
        <v/>
      </c>
      <c r="AI354" s="10">
        <f>IF($A354="","",IFERROR(INDEX('2_IMPORTAR_EJECUCION'!$F$9:$F$1208,MATCH($AQ354,'2_IMPORTAR_EJECUCION'!$J$9:$J$1208,0)),0))</f>
        <v/>
      </c>
      <c r="AJ354" s="10">
        <f>IF($A354="","",MAX(0,IFERROR(INDEX('2_IMPORTAR_EJECUCION'!$H$9:$H$1208,MATCH($AQ354,'2_IMPORTAR_EJECUCION'!$J$9:$J$1208,0)),0)-$AI354))</f>
        <v/>
      </c>
      <c r="AK354" s="10">
        <f>IF($A354="","",$AI354+$AJ354)</f>
        <v/>
      </c>
      <c r="AL354" s="6" t="n"/>
      <c r="AM354" s="6" t="n"/>
      <c r="AN354" s="6" t="n"/>
      <c r="AO354" s="3">
        <f>IF($AN354="","",HYPERLINK(p_ruta_base_checklists&amp;$AN354,"abrir"))</f>
        <v/>
      </c>
      <c r="AP354" s="6" t="n"/>
      <c r="AQ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IF($A355="","",IFERROR(INDEX('AJUSTES'!$B$4:$B$303,MATCH($AQ355,'AJUSTES'!$A$4:$A$303,0)),IF($K355="","",$K355)))</f>
        <v/>
      </c>
      <c r="N355" s="3">
        <f>IF($A355="","",IFERROR(INDEX('CAT_ESTADOS_ERP'!$B$4:$B$7,MATCH(IFERROR(INDEX('2_IMPORTAR_EJECUCION'!$C$9:$C$1208,MATCH($AQ355,'2_IMPORTAR_EJECUCION'!$J$9:$J$1208,0)),""),'CAT_ESTADOS_ERP'!$A$4:$A$7,0)),"Pendiente"))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J355="","",IFERROR(INDEX('CALENDARIO'!$C$15:$C$214,MATCH(TEXT($J355,"yyyy-mm-dd")&amp;"|"&amp;$V355&amp;"|"&amp;$W355,'CALENDARIO'!$G$15:$G$214,0)),IFERROR(INDEX('CALENDARIO'!$C$15:$C$214,MATCH(TEXT($J355,"yyyy-mm-dd")&amp;"|"&amp;$V355&amp;"|",'CALENDARIO'!$G$15:$G$214,0)),IFERROR(INDEX('CALENDARIO'!$C$15:$C$214,MATCH(TEXT($J355,"yyyy-mm-dd")&amp;"||",'CALENDARIO'!$G$15:$G$214,0)),INDEX(patronHabil,WEEKDAY($J355,2))))))</f>
        <v/>
      </c>
      <c r="T355" s="3">
        <f>IF($I355="","",IFERROR(INDEX('CAT_TIPOS_OT'!$C$4:$C$7,MATCH($I355,'CAT_TIPOS_OT'!$A$4:$A$7,0)),"sin_clasificar"))</f>
        <v/>
      </c>
      <c r="U355" s="3">
        <f>IF($F355="","",IFERROR(INDEX('CAT_CENTROS_COSTO'!$F$4:$F$13,MATCH($F355,'CAT_CENTROS_COSTO'!$A$4:$A$13,0)),"(sin catálogo)"))</f>
        <v/>
      </c>
      <c r="V355" s="3">
        <f>IF($F355="","",IFERROR(INDEX('CAT_CENTROS_COSTO'!$D$4:$D$13,MATCH($F355,'CAT_CENTROS_COSTO'!$A$4:$A$13,0)),"(sin catálogo)"))</f>
        <v/>
      </c>
      <c r="W355" s="3">
        <f>IF($F355="","",IF((IFERROR(INDEX('CAT_CENTROS_COSTO'!$E$4:$E$13,MATCH($F355,'CAT_CENTROS_COSTO'!$A$4:$A$13,0)),""))&lt;&gt;"",IFERROR(INDEX('CAT_CENTROS_COSTO'!$E$4:$E$13,MATCH($F355,'CAT_CENTROS_COSTO'!$A$4:$A$13,0)),""),$V355))</f>
        <v/>
      </c>
      <c r="X355" s="3">
        <f>IF($F355="","",IFERROR(INDEX('CAT_CENTROS_COSTO'!$G$4:$G$13,MATCH($F355,'CAT_CENTROS_COSTO'!$A$4:$A$13,0)),"(sin catálogo)"))</f>
        <v/>
      </c>
      <c r="Y355" s="3">
        <f>IF($G355="","",IFERROR(INDEX('CAT_PUESTOS'!$B$4:$B$8,MATCH($G355,'CAT_PUESTOS'!$A$4:$A$8,0)),"(sin catálogo)"))</f>
        <v/>
      </c>
      <c r="Z355" s="3">
        <f>IF($H355="","",IFERROR(INDEX('CAT_ACTIVIDADES'!$B$4:$B$8,MATCH($H355,'CAT_ACTIVIDADES'!$A$4:$A$8,0)),"(sin catálogo)"))</f>
        <v/>
      </c>
      <c r="AA355" s="12">
        <f>IF($J355="","",TODAY()-$J355)</f>
        <v/>
      </c>
      <c r="AB355" s="12">
        <f>IF($J355="","",IF($J355&lt;=TODAY(),COUNTIFS(cal_fechas,"&gt;="&amp;$J355,cal_fechas,"&lt;"&amp;TODAY(),cal_habil,"sí"),-COUNTIFS(cal_fechas,"&gt;="&amp;TODAY(),cal_fechas,"&lt;"&amp;$J355,cal_habil,"sí")))</f>
        <v/>
      </c>
      <c r="AC355" s="3">
        <f>IF($AB355="","",IF($AB355&lt;0,"FUTURO",IF($AB355&gt;p_dias_backlog_max,"BACKLOG","MES CORRIENTE")))</f>
        <v/>
      </c>
      <c r="AD355" s="3">
        <f>IF($AB355="",FALSE,AND($AB355&gt;p_dias_backlog_min,$AB355&lt;=p_dias_backlog_max))</f>
        <v/>
      </c>
      <c r="AE355" s="6" t="n"/>
      <c r="AF355" s="3">
        <f>IF($AE355="","",IF((IFERROR(INDEX('ASIGNACIONES'!$F$4:$F$339,MATCH($O355&amp;"|"&amp;$R355&amp;"|"&amp;$AE355,'ASIGNACIONES'!$J$4:$J$339,0)),""))=0,"",IFERROR(INDEX('ASIGNACIONES'!$F$4:$F$339,MATCH($O355&amp;"|"&amp;$R355&amp;"|"&amp;$AE355,'ASIGNACIONES'!$J$4:$J$339,0)),"")))</f>
        <v/>
      </c>
      <c r="AG355" s="13">
        <f>IF($AE355="","",SUMIFS('ORDENES'!$M$4:$M$1203,'ORDENES'!$AE$4:$AE$1203,$AE355,'ORDENES'!$O$4:$O$1203,$O355,'ORDENES'!$R$4:$R$1203,$R355))</f>
        <v/>
      </c>
      <c r="AH355" s="13">
        <f>IF($AG355="","",p_factor_productividad*IFERROR(INDEX('ASIGNACIONES'!$I$4:$I$339,MATCH($O355&amp;"|"&amp;$R355&amp;"|"&amp;$AE355,'ASIGNACIONES'!$J$4:$J$339,0)),0)-$AG355)</f>
        <v/>
      </c>
      <c r="AI355" s="10">
        <f>IF($A355="","",IFERROR(INDEX('2_IMPORTAR_EJECUCION'!$F$9:$F$1208,MATCH($AQ355,'2_IMPORTAR_EJECUCION'!$J$9:$J$1208,0)),0))</f>
        <v/>
      </c>
      <c r="AJ355" s="10">
        <f>IF($A355="","",MAX(0,IFERROR(INDEX('2_IMPORTAR_EJECUCION'!$H$9:$H$1208,MATCH($AQ355,'2_IMPORTAR_EJECUCION'!$J$9:$J$1208,0)),0)-$AI355))</f>
        <v/>
      </c>
      <c r="AK355" s="10">
        <f>IF($A355="","",$AI355+$AJ355)</f>
        <v/>
      </c>
      <c r="AL355" s="6" t="n"/>
      <c r="AM355" s="6" t="n"/>
      <c r="AN355" s="6" t="n"/>
      <c r="AO355" s="3">
        <f>IF($AN355="","",HYPERLINK(p_ruta_base_checklists&amp;$AN355,"abrir"))</f>
        <v/>
      </c>
      <c r="AP355" s="6" t="n"/>
      <c r="AQ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IF($A356="","",IFERROR(INDEX('AJUSTES'!$B$4:$B$303,MATCH($AQ356,'AJUSTES'!$A$4:$A$303,0)),IF($K356="","",$K356)))</f>
        <v/>
      </c>
      <c r="N356" s="3">
        <f>IF($A356="","",IFERROR(INDEX('CAT_ESTADOS_ERP'!$B$4:$B$7,MATCH(IFERROR(INDEX('2_IMPORTAR_EJECUCION'!$C$9:$C$1208,MATCH($AQ356,'2_IMPORTAR_EJECUCION'!$J$9:$J$1208,0)),""),'CAT_ESTADOS_ERP'!$A$4:$A$7,0)),"Pendiente"))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J356="","",IFERROR(INDEX('CALENDARIO'!$C$15:$C$214,MATCH(TEXT($J356,"yyyy-mm-dd")&amp;"|"&amp;$V356&amp;"|"&amp;$W356,'CALENDARIO'!$G$15:$G$214,0)),IFERROR(INDEX('CALENDARIO'!$C$15:$C$214,MATCH(TEXT($J356,"yyyy-mm-dd")&amp;"|"&amp;$V356&amp;"|",'CALENDARIO'!$G$15:$G$214,0)),IFERROR(INDEX('CALENDARIO'!$C$15:$C$214,MATCH(TEXT($J356,"yyyy-mm-dd")&amp;"||",'CALENDARIO'!$G$15:$G$214,0)),INDEX(patronHabil,WEEKDAY($J356,2))))))</f>
        <v/>
      </c>
      <c r="T356" s="3">
        <f>IF($I356="","",IFERROR(INDEX('CAT_TIPOS_OT'!$C$4:$C$7,MATCH($I356,'CAT_TIPOS_OT'!$A$4:$A$7,0)),"sin_clasificar"))</f>
        <v/>
      </c>
      <c r="U356" s="3">
        <f>IF($F356="","",IFERROR(INDEX('CAT_CENTROS_COSTO'!$F$4:$F$13,MATCH($F356,'CAT_CENTROS_COSTO'!$A$4:$A$13,0)),"(sin catálogo)"))</f>
        <v/>
      </c>
      <c r="V356" s="3">
        <f>IF($F356="","",IFERROR(INDEX('CAT_CENTROS_COSTO'!$D$4:$D$13,MATCH($F356,'CAT_CENTROS_COSTO'!$A$4:$A$13,0)),"(sin catálogo)"))</f>
        <v/>
      </c>
      <c r="W356" s="3">
        <f>IF($F356="","",IF((IFERROR(INDEX('CAT_CENTROS_COSTO'!$E$4:$E$13,MATCH($F356,'CAT_CENTROS_COSTO'!$A$4:$A$13,0)),""))&lt;&gt;"",IFERROR(INDEX('CAT_CENTROS_COSTO'!$E$4:$E$13,MATCH($F356,'CAT_CENTROS_COSTO'!$A$4:$A$13,0)),""),$V356))</f>
        <v/>
      </c>
      <c r="X356" s="3">
        <f>IF($F356="","",IFERROR(INDEX('CAT_CENTROS_COSTO'!$G$4:$G$13,MATCH($F356,'CAT_CENTROS_COSTO'!$A$4:$A$13,0)),"(sin catálogo)"))</f>
        <v/>
      </c>
      <c r="Y356" s="3">
        <f>IF($G356="","",IFERROR(INDEX('CAT_PUESTOS'!$B$4:$B$8,MATCH($G356,'CAT_PUESTOS'!$A$4:$A$8,0)),"(sin catálogo)"))</f>
        <v/>
      </c>
      <c r="Z356" s="3">
        <f>IF($H356="","",IFERROR(INDEX('CAT_ACTIVIDADES'!$B$4:$B$8,MATCH($H356,'CAT_ACTIVIDADES'!$A$4:$A$8,0)),"(sin catálogo)"))</f>
        <v/>
      </c>
      <c r="AA356" s="12">
        <f>IF($J356="","",TODAY()-$J356)</f>
        <v/>
      </c>
      <c r="AB356" s="12">
        <f>IF($J356="","",IF($J356&lt;=TODAY(),COUNTIFS(cal_fechas,"&gt;="&amp;$J356,cal_fechas,"&lt;"&amp;TODAY(),cal_habil,"sí"),-COUNTIFS(cal_fechas,"&gt;="&amp;TODAY(),cal_fechas,"&lt;"&amp;$J356,cal_habil,"sí")))</f>
        <v/>
      </c>
      <c r="AC356" s="3">
        <f>IF($AB356="","",IF($AB356&lt;0,"FUTURO",IF($AB356&gt;p_dias_backlog_max,"BACKLOG","MES CORRIENTE")))</f>
        <v/>
      </c>
      <c r="AD356" s="3">
        <f>IF($AB356="",FALSE,AND($AB356&gt;p_dias_backlog_min,$AB356&lt;=p_dias_backlog_max))</f>
        <v/>
      </c>
      <c r="AE356" s="6" t="n"/>
      <c r="AF356" s="3">
        <f>IF($AE356="","",IF((IFERROR(INDEX('ASIGNACIONES'!$F$4:$F$339,MATCH($O356&amp;"|"&amp;$R356&amp;"|"&amp;$AE356,'ASIGNACIONES'!$J$4:$J$339,0)),""))=0,"",IFERROR(INDEX('ASIGNACIONES'!$F$4:$F$339,MATCH($O356&amp;"|"&amp;$R356&amp;"|"&amp;$AE356,'ASIGNACIONES'!$J$4:$J$339,0)),"")))</f>
        <v/>
      </c>
      <c r="AG356" s="13">
        <f>IF($AE356="","",SUMIFS('ORDENES'!$M$4:$M$1203,'ORDENES'!$AE$4:$AE$1203,$AE356,'ORDENES'!$O$4:$O$1203,$O356,'ORDENES'!$R$4:$R$1203,$R356))</f>
        <v/>
      </c>
      <c r="AH356" s="13">
        <f>IF($AG356="","",p_factor_productividad*IFERROR(INDEX('ASIGNACIONES'!$I$4:$I$339,MATCH($O356&amp;"|"&amp;$R356&amp;"|"&amp;$AE356,'ASIGNACIONES'!$J$4:$J$339,0)),0)-$AG356)</f>
        <v/>
      </c>
      <c r="AI356" s="10">
        <f>IF($A356="","",IFERROR(INDEX('2_IMPORTAR_EJECUCION'!$F$9:$F$1208,MATCH($AQ356,'2_IMPORTAR_EJECUCION'!$J$9:$J$1208,0)),0))</f>
        <v/>
      </c>
      <c r="AJ356" s="10">
        <f>IF($A356="","",MAX(0,IFERROR(INDEX('2_IMPORTAR_EJECUCION'!$H$9:$H$1208,MATCH($AQ356,'2_IMPORTAR_EJECUCION'!$J$9:$J$1208,0)),0)-$AI356))</f>
        <v/>
      </c>
      <c r="AK356" s="10">
        <f>IF($A356="","",$AI356+$AJ356)</f>
        <v/>
      </c>
      <c r="AL356" s="6" t="n"/>
      <c r="AM356" s="6" t="n"/>
      <c r="AN356" s="6" t="n"/>
      <c r="AO356" s="3">
        <f>IF($AN356="","",HYPERLINK(p_ruta_base_checklists&amp;$AN356,"abrir"))</f>
        <v/>
      </c>
      <c r="AP356" s="6" t="n"/>
      <c r="AQ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IF($A357="","",IFERROR(INDEX('AJUSTES'!$B$4:$B$303,MATCH($AQ357,'AJUSTES'!$A$4:$A$303,0)),IF($K357="","",$K357)))</f>
        <v/>
      </c>
      <c r="N357" s="3">
        <f>IF($A357="","",IFERROR(INDEX('CAT_ESTADOS_ERP'!$B$4:$B$7,MATCH(IFERROR(INDEX('2_IMPORTAR_EJECUCION'!$C$9:$C$1208,MATCH($AQ357,'2_IMPORTAR_EJECUCION'!$J$9:$J$1208,0)),""),'CAT_ESTADOS_ERP'!$A$4:$A$7,0)),"Pendiente"))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J357="","",IFERROR(INDEX('CALENDARIO'!$C$15:$C$214,MATCH(TEXT($J357,"yyyy-mm-dd")&amp;"|"&amp;$V357&amp;"|"&amp;$W357,'CALENDARIO'!$G$15:$G$214,0)),IFERROR(INDEX('CALENDARIO'!$C$15:$C$214,MATCH(TEXT($J357,"yyyy-mm-dd")&amp;"|"&amp;$V357&amp;"|",'CALENDARIO'!$G$15:$G$214,0)),IFERROR(INDEX('CALENDARIO'!$C$15:$C$214,MATCH(TEXT($J357,"yyyy-mm-dd")&amp;"||",'CALENDARIO'!$G$15:$G$214,0)),INDEX(patronHabil,WEEKDAY($J357,2))))))</f>
        <v/>
      </c>
      <c r="T357" s="3">
        <f>IF($I357="","",IFERROR(INDEX('CAT_TIPOS_OT'!$C$4:$C$7,MATCH($I357,'CAT_TIPOS_OT'!$A$4:$A$7,0)),"sin_clasificar"))</f>
        <v/>
      </c>
      <c r="U357" s="3">
        <f>IF($F357="","",IFERROR(INDEX('CAT_CENTROS_COSTO'!$F$4:$F$13,MATCH($F357,'CAT_CENTROS_COSTO'!$A$4:$A$13,0)),"(sin catálogo)"))</f>
        <v/>
      </c>
      <c r="V357" s="3">
        <f>IF($F357="","",IFERROR(INDEX('CAT_CENTROS_COSTO'!$D$4:$D$13,MATCH($F357,'CAT_CENTROS_COSTO'!$A$4:$A$13,0)),"(sin catálogo)"))</f>
        <v/>
      </c>
      <c r="W357" s="3">
        <f>IF($F357="","",IF((IFERROR(INDEX('CAT_CENTROS_COSTO'!$E$4:$E$13,MATCH($F357,'CAT_CENTROS_COSTO'!$A$4:$A$13,0)),""))&lt;&gt;"",IFERROR(INDEX('CAT_CENTROS_COSTO'!$E$4:$E$13,MATCH($F357,'CAT_CENTROS_COSTO'!$A$4:$A$13,0)),""),$V357))</f>
        <v/>
      </c>
      <c r="X357" s="3">
        <f>IF($F357="","",IFERROR(INDEX('CAT_CENTROS_COSTO'!$G$4:$G$13,MATCH($F357,'CAT_CENTROS_COSTO'!$A$4:$A$13,0)),"(sin catálogo)"))</f>
        <v/>
      </c>
      <c r="Y357" s="3">
        <f>IF($G357="","",IFERROR(INDEX('CAT_PUESTOS'!$B$4:$B$8,MATCH($G357,'CAT_PUESTOS'!$A$4:$A$8,0)),"(sin catálogo)"))</f>
        <v/>
      </c>
      <c r="Z357" s="3">
        <f>IF($H357="","",IFERROR(INDEX('CAT_ACTIVIDADES'!$B$4:$B$8,MATCH($H357,'CAT_ACTIVIDADES'!$A$4:$A$8,0)),"(sin catálogo)"))</f>
        <v/>
      </c>
      <c r="AA357" s="12">
        <f>IF($J357="","",TODAY()-$J357)</f>
        <v/>
      </c>
      <c r="AB357" s="12">
        <f>IF($J357="","",IF($J357&lt;=TODAY(),COUNTIFS(cal_fechas,"&gt;="&amp;$J357,cal_fechas,"&lt;"&amp;TODAY(),cal_habil,"sí"),-COUNTIFS(cal_fechas,"&gt;="&amp;TODAY(),cal_fechas,"&lt;"&amp;$J357,cal_habil,"sí")))</f>
        <v/>
      </c>
      <c r="AC357" s="3">
        <f>IF($AB357="","",IF($AB357&lt;0,"FUTURO",IF($AB357&gt;p_dias_backlog_max,"BACKLOG","MES CORRIENTE")))</f>
        <v/>
      </c>
      <c r="AD357" s="3">
        <f>IF($AB357="",FALSE,AND($AB357&gt;p_dias_backlog_min,$AB357&lt;=p_dias_backlog_max))</f>
        <v/>
      </c>
      <c r="AE357" s="6" t="n"/>
      <c r="AF357" s="3">
        <f>IF($AE357="","",IF((IFERROR(INDEX('ASIGNACIONES'!$F$4:$F$339,MATCH($O357&amp;"|"&amp;$R357&amp;"|"&amp;$AE357,'ASIGNACIONES'!$J$4:$J$339,0)),""))=0,"",IFERROR(INDEX('ASIGNACIONES'!$F$4:$F$339,MATCH($O357&amp;"|"&amp;$R357&amp;"|"&amp;$AE357,'ASIGNACIONES'!$J$4:$J$339,0)),"")))</f>
        <v/>
      </c>
      <c r="AG357" s="13">
        <f>IF($AE357="","",SUMIFS('ORDENES'!$M$4:$M$1203,'ORDENES'!$AE$4:$AE$1203,$AE357,'ORDENES'!$O$4:$O$1203,$O357,'ORDENES'!$R$4:$R$1203,$R357))</f>
        <v/>
      </c>
      <c r="AH357" s="13">
        <f>IF($AG357="","",p_factor_productividad*IFERROR(INDEX('ASIGNACIONES'!$I$4:$I$339,MATCH($O357&amp;"|"&amp;$R357&amp;"|"&amp;$AE357,'ASIGNACIONES'!$J$4:$J$339,0)),0)-$AG357)</f>
        <v/>
      </c>
      <c r="AI357" s="10">
        <f>IF($A357="","",IFERROR(INDEX('2_IMPORTAR_EJECUCION'!$F$9:$F$1208,MATCH($AQ357,'2_IMPORTAR_EJECUCION'!$J$9:$J$1208,0)),0))</f>
        <v/>
      </c>
      <c r="AJ357" s="10">
        <f>IF($A357="","",MAX(0,IFERROR(INDEX('2_IMPORTAR_EJECUCION'!$H$9:$H$1208,MATCH($AQ357,'2_IMPORTAR_EJECUCION'!$J$9:$J$1208,0)),0)-$AI357))</f>
        <v/>
      </c>
      <c r="AK357" s="10">
        <f>IF($A357="","",$AI357+$AJ357)</f>
        <v/>
      </c>
      <c r="AL357" s="6" t="n"/>
      <c r="AM357" s="6" t="n"/>
      <c r="AN357" s="6" t="n"/>
      <c r="AO357" s="3">
        <f>IF($AN357="","",HYPERLINK(p_ruta_base_checklists&amp;$AN357,"abrir"))</f>
        <v/>
      </c>
      <c r="AP357" s="6" t="n"/>
      <c r="AQ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IF($A358="","",IFERROR(INDEX('AJUSTES'!$B$4:$B$303,MATCH($AQ358,'AJUSTES'!$A$4:$A$303,0)),IF($K358="","",$K358)))</f>
        <v/>
      </c>
      <c r="N358" s="3">
        <f>IF($A358="","",IFERROR(INDEX('CAT_ESTADOS_ERP'!$B$4:$B$7,MATCH(IFERROR(INDEX('2_IMPORTAR_EJECUCION'!$C$9:$C$1208,MATCH($AQ358,'2_IMPORTAR_EJECUCION'!$J$9:$J$1208,0)),""),'CAT_ESTADOS_ERP'!$A$4:$A$7,0)),"Pendiente"))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J358="","",IFERROR(INDEX('CALENDARIO'!$C$15:$C$214,MATCH(TEXT($J358,"yyyy-mm-dd")&amp;"|"&amp;$V358&amp;"|"&amp;$W358,'CALENDARIO'!$G$15:$G$214,0)),IFERROR(INDEX('CALENDARIO'!$C$15:$C$214,MATCH(TEXT($J358,"yyyy-mm-dd")&amp;"|"&amp;$V358&amp;"|",'CALENDARIO'!$G$15:$G$214,0)),IFERROR(INDEX('CALENDARIO'!$C$15:$C$214,MATCH(TEXT($J358,"yyyy-mm-dd")&amp;"||",'CALENDARIO'!$G$15:$G$214,0)),INDEX(patronHabil,WEEKDAY($J358,2))))))</f>
        <v/>
      </c>
      <c r="T358" s="3">
        <f>IF($I358="","",IFERROR(INDEX('CAT_TIPOS_OT'!$C$4:$C$7,MATCH($I358,'CAT_TIPOS_OT'!$A$4:$A$7,0)),"sin_clasificar"))</f>
        <v/>
      </c>
      <c r="U358" s="3">
        <f>IF($F358="","",IFERROR(INDEX('CAT_CENTROS_COSTO'!$F$4:$F$13,MATCH($F358,'CAT_CENTROS_COSTO'!$A$4:$A$13,0)),"(sin catálogo)"))</f>
        <v/>
      </c>
      <c r="V358" s="3">
        <f>IF($F358="","",IFERROR(INDEX('CAT_CENTROS_COSTO'!$D$4:$D$13,MATCH($F358,'CAT_CENTROS_COSTO'!$A$4:$A$13,0)),"(sin catálogo)"))</f>
        <v/>
      </c>
      <c r="W358" s="3">
        <f>IF($F358="","",IF((IFERROR(INDEX('CAT_CENTROS_COSTO'!$E$4:$E$13,MATCH($F358,'CAT_CENTROS_COSTO'!$A$4:$A$13,0)),""))&lt;&gt;"",IFERROR(INDEX('CAT_CENTROS_COSTO'!$E$4:$E$13,MATCH($F358,'CAT_CENTROS_COSTO'!$A$4:$A$13,0)),""),$V358))</f>
        <v/>
      </c>
      <c r="X358" s="3">
        <f>IF($F358="","",IFERROR(INDEX('CAT_CENTROS_COSTO'!$G$4:$G$13,MATCH($F358,'CAT_CENTROS_COSTO'!$A$4:$A$13,0)),"(sin catálogo)"))</f>
        <v/>
      </c>
      <c r="Y358" s="3">
        <f>IF($G358="","",IFERROR(INDEX('CAT_PUESTOS'!$B$4:$B$8,MATCH($G358,'CAT_PUESTOS'!$A$4:$A$8,0)),"(sin catálogo)"))</f>
        <v/>
      </c>
      <c r="Z358" s="3">
        <f>IF($H358="","",IFERROR(INDEX('CAT_ACTIVIDADES'!$B$4:$B$8,MATCH($H358,'CAT_ACTIVIDADES'!$A$4:$A$8,0)),"(sin catálogo)"))</f>
        <v/>
      </c>
      <c r="AA358" s="12">
        <f>IF($J358="","",TODAY()-$J358)</f>
        <v/>
      </c>
      <c r="AB358" s="12">
        <f>IF($J358="","",IF($J358&lt;=TODAY(),COUNTIFS(cal_fechas,"&gt;="&amp;$J358,cal_fechas,"&lt;"&amp;TODAY(),cal_habil,"sí"),-COUNTIFS(cal_fechas,"&gt;="&amp;TODAY(),cal_fechas,"&lt;"&amp;$J358,cal_habil,"sí")))</f>
        <v/>
      </c>
      <c r="AC358" s="3">
        <f>IF($AB358="","",IF($AB358&lt;0,"FUTURO",IF($AB358&gt;p_dias_backlog_max,"BACKLOG","MES CORRIENTE")))</f>
        <v/>
      </c>
      <c r="AD358" s="3">
        <f>IF($AB358="",FALSE,AND($AB358&gt;p_dias_backlog_min,$AB358&lt;=p_dias_backlog_max))</f>
        <v/>
      </c>
      <c r="AE358" s="6" t="n"/>
      <c r="AF358" s="3">
        <f>IF($AE358="","",IF((IFERROR(INDEX('ASIGNACIONES'!$F$4:$F$339,MATCH($O358&amp;"|"&amp;$R358&amp;"|"&amp;$AE358,'ASIGNACIONES'!$J$4:$J$339,0)),""))=0,"",IFERROR(INDEX('ASIGNACIONES'!$F$4:$F$339,MATCH($O358&amp;"|"&amp;$R358&amp;"|"&amp;$AE358,'ASIGNACIONES'!$J$4:$J$339,0)),"")))</f>
        <v/>
      </c>
      <c r="AG358" s="13">
        <f>IF($AE358="","",SUMIFS('ORDENES'!$M$4:$M$1203,'ORDENES'!$AE$4:$AE$1203,$AE358,'ORDENES'!$O$4:$O$1203,$O358,'ORDENES'!$R$4:$R$1203,$R358))</f>
        <v/>
      </c>
      <c r="AH358" s="13">
        <f>IF($AG358="","",p_factor_productividad*IFERROR(INDEX('ASIGNACIONES'!$I$4:$I$339,MATCH($O358&amp;"|"&amp;$R358&amp;"|"&amp;$AE358,'ASIGNACIONES'!$J$4:$J$339,0)),0)-$AG358)</f>
        <v/>
      </c>
      <c r="AI358" s="10">
        <f>IF($A358="","",IFERROR(INDEX('2_IMPORTAR_EJECUCION'!$F$9:$F$1208,MATCH($AQ358,'2_IMPORTAR_EJECUCION'!$J$9:$J$1208,0)),0))</f>
        <v/>
      </c>
      <c r="AJ358" s="10">
        <f>IF($A358="","",MAX(0,IFERROR(INDEX('2_IMPORTAR_EJECUCION'!$H$9:$H$1208,MATCH($AQ358,'2_IMPORTAR_EJECUCION'!$J$9:$J$1208,0)),0)-$AI358))</f>
        <v/>
      </c>
      <c r="AK358" s="10">
        <f>IF($A358="","",$AI358+$AJ358)</f>
        <v/>
      </c>
      <c r="AL358" s="6" t="n"/>
      <c r="AM358" s="6" t="n"/>
      <c r="AN358" s="6" t="n"/>
      <c r="AO358" s="3">
        <f>IF($AN358="","",HYPERLINK(p_ruta_base_checklists&amp;$AN358,"abrir"))</f>
        <v/>
      </c>
      <c r="AP358" s="6" t="n"/>
      <c r="AQ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IF($A359="","",IFERROR(INDEX('AJUSTES'!$B$4:$B$303,MATCH($AQ359,'AJUSTES'!$A$4:$A$303,0)),IF($K359="","",$K359)))</f>
        <v/>
      </c>
      <c r="N359" s="3">
        <f>IF($A359="","",IFERROR(INDEX('CAT_ESTADOS_ERP'!$B$4:$B$7,MATCH(IFERROR(INDEX('2_IMPORTAR_EJECUCION'!$C$9:$C$1208,MATCH($AQ359,'2_IMPORTAR_EJECUCION'!$J$9:$J$1208,0)),""),'CAT_ESTADOS_ERP'!$A$4:$A$7,0)),"Pendiente"))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J359="","",IFERROR(INDEX('CALENDARIO'!$C$15:$C$214,MATCH(TEXT($J359,"yyyy-mm-dd")&amp;"|"&amp;$V359&amp;"|"&amp;$W359,'CALENDARIO'!$G$15:$G$214,0)),IFERROR(INDEX('CALENDARIO'!$C$15:$C$214,MATCH(TEXT($J359,"yyyy-mm-dd")&amp;"|"&amp;$V359&amp;"|",'CALENDARIO'!$G$15:$G$214,0)),IFERROR(INDEX('CALENDARIO'!$C$15:$C$214,MATCH(TEXT($J359,"yyyy-mm-dd")&amp;"||",'CALENDARIO'!$G$15:$G$214,0)),INDEX(patronHabil,WEEKDAY($J359,2))))))</f>
        <v/>
      </c>
      <c r="T359" s="3">
        <f>IF($I359="","",IFERROR(INDEX('CAT_TIPOS_OT'!$C$4:$C$7,MATCH($I359,'CAT_TIPOS_OT'!$A$4:$A$7,0)),"sin_clasificar"))</f>
        <v/>
      </c>
      <c r="U359" s="3">
        <f>IF($F359="","",IFERROR(INDEX('CAT_CENTROS_COSTO'!$F$4:$F$13,MATCH($F359,'CAT_CENTROS_COSTO'!$A$4:$A$13,0)),"(sin catálogo)"))</f>
        <v/>
      </c>
      <c r="V359" s="3">
        <f>IF($F359="","",IFERROR(INDEX('CAT_CENTROS_COSTO'!$D$4:$D$13,MATCH($F359,'CAT_CENTROS_COSTO'!$A$4:$A$13,0)),"(sin catálogo)"))</f>
        <v/>
      </c>
      <c r="W359" s="3">
        <f>IF($F359="","",IF((IFERROR(INDEX('CAT_CENTROS_COSTO'!$E$4:$E$13,MATCH($F359,'CAT_CENTROS_COSTO'!$A$4:$A$13,0)),""))&lt;&gt;"",IFERROR(INDEX('CAT_CENTROS_COSTO'!$E$4:$E$13,MATCH($F359,'CAT_CENTROS_COSTO'!$A$4:$A$13,0)),""),$V359))</f>
        <v/>
      </c>
      <c r="X359" s="3">
        <f>IF($F359="","",IFERROR(INDEX('CAT_CENTROS_COSTO'!$G$4:$G$13,MATCH($F359,'CAT_CENTROS_COSTO'!$A$4:$A$13,0)),"(sin catálogo)"))</f>
        <v/>
      </c>
      <c r="Y359" s="3">
        <f>IF($G359="","",IFERROR(INDEX('CAT_PUESTOS'!$B$4:$B$8,MATCH($G359,'CAT_PUESTOS'!$A$4:$A$8,0)),"(sin catálogo)"))</f>
        <v/>
      </c>
      <c r="Z359" s="3">
        <f>IF($H359="","",IFERROR(INDEX('CAT_ACTIVIDADES'!$B$4:$B$8,MATCH($H359,'CAT_ACTIVIDADES'!$A$4:$A$8,0)),"(sin catálogo)"))</f>
        <v/>
      </c>
      <c r="AA359" s="12">
        <f>IF($J359="","",TODAY()-$J359)</f>
        <v/>
      </c>
      <c r="AB359" s="12">
        <f>IF($J359="","",IF($J359&lt;=TODAY(),COUNTIFS(cal_fechas,"&gt;="&amp;$J359,cal_fechas,"&lt;"&amp;TODAY(),cal_habil,"sí"),-COUNTIFS(cal_fechas,"&gt;="&amp;TODAY(),cal_fechas,"&lt;"&amp;$J359,cal_habil,"sí")))</f>
        <v/>
      </c>
      <c r="AC359" s="3">
        <f>IF($AB359="","",IF($AB359&lt;0,"FUTURO",IF($AB359&gt;p_dias_backlog_max,"BACKLOG","MES CORRIENTE")))</f>
        <v/>
      </c>
      <c r="AD359" s="3">
        <f>IF($AB359="",FALSE,AND($AB359&gt;p_dias_backlog_min,$AB359&lt;=p_dias_backlog_max))</f>
        <v/>
      </c>
      <c r="AE359" s="6" t="n"/>
      <c r="AF359" s="3">
        <f>IF($AE359="","",IF((IFERROR(INDEX('ASIGNACIONES'!$F$4:$F$339,MATCH($O359&amp;"|"&amp;$R359&amp;"|"&amp;$AE359,'ASIGNACIONES'!$J$4:$J$339,0)),""))=0,"",IFERROR(INDEX('ASIGNACIONES'!$F$4:$F$339,MATCH($O359&amp;"|"&amp;$R359&amp;"|"&amp;$AE359,'ASIGNACIONES'!$J$4:$J$339,0)),"")))</f>
        <v/>
      </c>
      <c r="AG359" s="13">
        <f>IF($AE359="","",SUMIFS('ORDENES'!$M$4:$M$1203,'ORDENES'!$AE$4:$AE$1203,$AE359,'ORDENES'!$O$4:$O$1203,$O359,'ORDENES'!$R$4:$R$1203,$R359))</f>
        <v/>
      </c>
      <c r="AH359" s="13">
        <f>IF($AG359="","",p_factor_productividad*IFERROR(INDEX('ASIGNACIONES'!$I$4:$I$339,MATCH($O359&amp;"|"&amp;$R359&amp;"|"&amp;$AE359,'ASIGNACIONES'!$J$4:$J$339,0)),0)-$AG359)</f>
        <v/>
      </c>
      <c r="AI359" s="10">
        <f>IF($A359="","",IFERROR(INDEX('2_IMPORTAR_EJECUCION'!$F$9:$F$1208,MATCH($AQ359,'2_IMPORTAR_EJECUCION'!$J$9:$J$1208,0)),0))</f>
        <v/>
      </c>
      <c r="AJ359" s="10">
        <f>IF($A359="","",MAX(0,IFERROR(INDEX('2_IMPORTAR_EJECUCION'!$H$9:$H$1208,MATCH($AQ359,'2_IMPORTAR_EJECUCION'!$J$9:$J$1208,0)),0)-$AI359))</f>
        <v/>
      </c>
      <c r="AK359" s="10">
        <f>IF($A359="","",$AI359+$AJ359)</f>
        <v/>
      </c>
      <c r="AL359" s="6" t="n"/>
      <c r="AM359" s="6" t="n"/>
      <c r="AN359" s="6" t="n"/>
      <c r="AO359" s="3">
        <f>IF($AN359="","",HYPERLINK(p_ruta_base_checklists&amp;$AN359,"abrir"))</f>
        <v/>
      </c>
      <c r="AP359" s="6" t="n"/>
      <c r="AQ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IF($A360="","",IFERROR(INDEX('AJUSTES'!$B$4:$B$303,MATCH($AQ360,'AJUSTES'!$A$4:$A$303,0)),IF($K360="","",$K360)))</f>
        <v/>
      </c>
      <c r="N360" s="3">
        <f>IF($A360="","",IFERROR(INDEX('CAT_ESTADOS_ERP'!$B$4:$B$7,MATCH(IFERROR(INDEX('2_IMPORTAR_EJECUCION'!$C$9:$C$1208,MATCH($AQ360,'2_IMPORTAR_EJECUCION'!$J$9:$J$1208,0)),""),'CAT_ESTADOS_ERP'!$A$4:$A$7,0)),"Pendiente"))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J360="","",IFERROR(INDEX('CALENDARIO'!$C$15:$C$214,MATCH(TEXT($J360,"yyyy-mm-dd")&amp;"|"&amp;$V360&amp;"|"&amp;$W360,'CALENDARIO'!$G$15:$G$214,0)),IFERROR(INDEX('CALENDARIO'!$C$15:$C$214,MATCH(TEXT($J360,"yyyy-mm-dd")&amp;"|"&amp;$V360&amp;"|",'CALENDARIO'!$G$15:$G$214,0)),IFERROR(INDEX('CALENDARIO'!$C$15:$C$214,MATCH(TEXT($J360,"yyyy-mm-dd")&amp;"||",'CALENDARIO'!$G$15:$G$214,0)),INDEX(patronHabil,WEEKDAY($J360,2))))))</f>
        <v/>
      </c>
      <c r="T360" s="3">
        <f>IF($I360="","",IFERROR(INDEX('CAT_TIPOS_OT'!$C$4:$C$7,MATCH($I360,'CAT_TIPOS_OT'!$A$4:$A$7,0)),"sin_clasificar"))</f>
        <v/>
      </c>
      <c r="U360" s="3">
        <f>IF($F360="","",IFERROR(INDEX('CAT_CENTROS_COSTO'!$F$4:$F$13,MATCH($F360,'CAT_CENTROS_COSTO'!$A$4:$A$13,0)),"(sin catálogo)"))</f>
        <v/>
      </c>
      <c r="V360" s="3">
        <f>IF($F360="","",IFERROR(INDEX('CAT_CENTROS_COSTO'!$D$4:$D$13,MATCH($F360,'CAT_CENTROS_COSTO'!$A$4:$A$13,0)),"(sin catálogo)"))</f>
        <v/>
      </c>
      <c r="W360" s="3">
        <f>IF($F360="","",IF((IFERROR(INDEX('CAT_CENTROS_COSTO'!$E$4:$E$13,MATCH($F360,'CAT_CENTROS_COSTO'!$A$4:$A$13,0)),""))&lt;&gt;"",IFERROR(INDEX('CAT_CENTROS_COSTO'!$E$4:$E$13,MATCH($F360,'CAT_CENTROS_COSTO'!$A$4:$A$13,0)),""),$V360))</f>
        <v/>
      </c>
      <c r="X360" s="3">
        <f>IF($F360="","",IFERROR(INDEX('CAT_CENTROS_COSTO'!$G$4:$G$13,MATCH($F360,'CAT_CENTROS_COSTO'!$A$4:$A$13,0)),"(sin catálogo)"))</f>
        <v/>
      </c>
      <c r="Y360" s="3">
        <f>IF($G360="","",IFERROR(INDEX('CAT_PUESTOS'!$B$4:$B$8,MATCH($G360,'CAT_PUESTOS'!$A$4:$A$8,0)),"(sin catálogo)"))</f>
        <v/>
      </c>
      <c r="Z360" s="3">
        <f>IF($H360="","",IFERROR(INDEX('CAT_ACTIVIDADES'!$B$4:$B$8,MATCH($H360,'CAT_ACTIVIDADES'!$A$4:$A$8,0)),"(sin catálogo)"))</f>
        <v/>
      </c>
      <c r="AA360" s="12">
        <f>IF($J360="","",TODAY()-$J360)</f>
        <v/>
      </c>
      <c r="AB360" s="12">
        <f>IF($J360="","",IF($J360&lt;=TODAY(),COUNTIFS(cal_fechas,"&gt;="&amp;$J360,cal_fechas,"&lt;"&amp;TODAY(),cal_habil,"sí"),-COUNTIFS(cal_fechas,"&gt;="&amp;TODAY(),cal_fechas,"&lt;"&amp;$J360,cal_habil,"sí")))</f>
        <v/>
      </c>
      <c r="AC360" s="3">
        <f>IF($AB360="","",IF($AB360&lt;0,"FUTURO",IF($AB360&gt;p_dias_backlog_max,"BACKLOG","MES CORRIENTE")))</f>
        <v/>
      </c>
      <c r="AD360" s="3">
        <f>IF($AB360="",FALSE,AND($AB360&gt;p_dias_backlog_min,$AB360&lt;=p_dias_backlog_max))</f>
        <v/>
      </c>
      <c r="AE360" s="6" t="n"/>
      <c r="AF360" s="3">
        <f>IF($AE360="","",IF((IFERROR(INDEX('ASIGNACIONES'!$F$4:$F$339,MATCH($O360&amp;"|"&amp;$R360&amp;"|"&amp;$AE360,'ASIGNACIONES'!$J$4:$J$339,0)),""))=0,"",IFERROR(INDEX('ASIGNACIONES'!$F$4:$F$339,MATCH($O360&amp;"|"&amp;$R360&amp;"|"&amp;$AE360,'ASIGNACIONES'!$J$4:$J$339,0)),"")))</f>
        <v/>
      </c>
      <c r="AG360" s="13">
        <f>IF($AE360="","",SUMIFS('ORDENES'!$M$4:$M$1203,'ORDENES'!$AE$4:$AE$1203,$AE360,'ORDENES'!$O$4:$O$1203,$O360,'ORDENES'!$R$4:$R$1203,$R360))</f>
        <v/>
      </c>
      <c r="AH360" s="13">
        <f>IF($AG360="","",p_factor_productividad*IFERROR(INDEX('ASIGNACIONES'!$I$4:$I$339,MATCH($O360&amp;"|"&amp;$R360&amp;"|"&amp;$AE360,'ASIGNACIONES'!$J$4:$J$339,0)),0)-$AG360)</f>
        <v/>
      </c>
      <c r="AI360" s="10">
        <f>IF($A360="","",IFERROR(INDEX('2_IMPORTAR_EJECUCION'!$F$9:$F$1208,MATCH($AQ360,'2_IMPORTAR_EJECUCION'!$J$9:$J$1208,0)),0))</f>
        <v/>
      </c>
      <c r="AJ360" s="10">
        <f>IF($A360="","",MAX(0,IFERROR(INDEX('2_IMPORTAR_EJECUCION'!$H$9:$H$1208,MATCH($AQ360,'2_IMPORTAR_EJECUCION'!$J$9:$J$1208,0)),0)-$AI360))</f>
        <v/>
      </c>
      <c r="AK360" s="10">
        <f>IF($A360="","",$AI360+$AJ360)</f>
        <v/>
      </c>
      <c r="AL360" s="6" t="n"/>
      <c r="AM360" s="6" t="n"/>
      <c r="AN360" s="6" t="n"/>
      <c r="AO360" s="3">
        <f>IF($AN360="","",HYPERLINK(p_ruta_base_checklists&amp;$AN360,"abrir"))</f>
        <v/>
      </c>
      <c r="AP360" s="6" t="n"/>
      <c r="AQ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IF($A361="","",IFERROR(INDEX('AJUSTES'!$B$4:$B$303,MATCH($AQ361,'AJUSTES'!$A$4:$A$303,0)),IF($K361="","",$K361)))</f>
        <v/>
      </c>
      <c r="N361" s="3">
        <f>IF($A361="","",IFERROR(INDEX('CAT_ESTADOS_ERP'!$B$4:$B$7,MATCH(IFERROR(INDEX('2_IMPORTAR_EJECUCION'!$C$9:$C$1208,MATCH($AQ361,'2_IMPORTAR_EJECUCION'!$J$9:$J$1208,0)),""),'CAT_ESTADOS_ERP'!$A$4:$A$7,0)),"Pendiente"))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J361="","",IFERROR(INDEX('CALENDARIO'!$C$15:$C$214,MATCH(TEXT($J361,"yyyy-mm-dd")&amp;"|"&amp;$V361&amp;"|"&amp;$W361,'CALENDARIO'!$G$15:$G$214,0)),IFERROR(INDEX('CALENDARIO'!$C$15:$C$214,MATCH(TEXT($J361,"yyyy-mm-dd")&amp;"|"&amp;$V361&amp;"|",'CALENDARIO'!$G$15:$G$214,0)),IFERROR(INDEX('CALENDARIO'!$C$15:$C$214,MATCH(TEXT($J361,"yyyy-mm-dd")&amp;"||",'CALENDARIO'!$G$15:$G$214,0)),INDEX(patronHabil,WEEKDAY($J361,2))))))</f>
        <v/>
      </c>
      <c r="T361" s="3">
        <f>IF($I361="","",IFERROR(INDEX('CAT_TIPOS_OT'!$C$4:$C$7,MATCH($I361,'CAT_TIPOS_OT'!$A$4:$A$7,0)),"sin_clasificar"))</f>
        <v/>
      </c>
      <c r="U361" s="3">
        <f>IF($F361="","",IFERROR(INDEX('CAT_CENTROS_COSTO'!$F$4:$F$13,MATCH($F361,'CAT_CENTROS_COSTO'!$A$4:$A$13,0)),"(sin catálogo)"))</f>
        <v/>
      </c>
      <c r="V361" s="3">
        <f>IF($F361="","",IFERROR(INDEX('CAT_CENTROS_COSTO'!$D$4:$D$13,MATCH($F361,'CAT_CENTROS_COSTO'!$A$4:$A$13,0)),"(sin catálogo)"))</f>
        <v/>
      </c>
      <c r="W361" s="3">
        <f>IF($F361="","",IF((IFERROR(INDEX('CAT_CENTROS_COSTO'!$E$4:$E$13,MATCH($F361,'CAT_CENTROS_COSTO'!$A$4:$A$13,0)),""))&lt;&gt;"",IFERROR(INDEX('CAT_CENTROS_COSTO'!$E$4:$E$13,MATCH($F361,'CAT_CENTROS_COSTO'!$A$4:$A$13,0)),""),$V361))</f>
        <v/>
      </c>
      <c r="X361" s="3">
        <f>IF($F361="","",IFERROR(INDEX('CAT_CENTROS_COSTO'!$G$4:$G$13,MATCH($F361,'CAT_CENTROS_COSTO'!$A$4:$A$13,0)),"(sin catálogo)"))</f>
        <v/>
      </c>
      <c r="Y361" s="3">
        <f>IF($G361="","",IFERROR(INDEX('CAT_PUESTOS'!$B$4:$B$8,MATCH($G361,'CAT_PUESTOS'!$A$4:$A$8,0)),"(sin catálogo)"))</f>
        <v/>
      </c>
      <c r="Z361" s="3">
        <f>IF($H361="","",IFERROR(INDEX('CAT_ACTIVIDADES'!$B$4:$B$8,MATCH($H361,'CAT_ACTIVIDADES'!$A$4:$A$8,0)),"(sin catálogo)"))</f>
        <v/>
      </c>
      <c r="AA361" s="12">
        <f>IF($J361="","",TODAY()-$J361)</f>
        <v/>
      </c>
      <c r="AB361" s="12">
        <f>IF($J361="","",IF($J361&lt;=TODAY(),COUNTIFS(cal_fechas,"&gt;="&amp;$J361,cal_fechas,"&lt;"&amp;TODAY(),cal_habil,"sí"),-COUNTIFS(cal_fechas,"&gt;="&amp;TODAY(),cal_fechas,"&lt;"&amp;$J361,cal_habil,"sí")))</f>
        <v/>
      </c>
      <c r="AC361" s="3">
        <f>IF($AB361="","",IF($AB361&lt;0,"FUTURO",IF($AB361&gt;p_dias_backlog_max,"BACKLOG","MES CORRIENTE")))</f>
        <v/>
      </c>
      <c r="AD361" s="3">
        <f>IF($AB361="",FALSE,AND($AB361&gt;p_dias_backlog_min,$AB361&lt;=p_dias_backlog_max))</f>
        <v/>
      </c>
      <c r="AE361" s="6" t="n"/>
      <c r="AF361" s="3">
        <f>IF($AE361="","",IF((IFERROR(INDEX('ASIGNACIONES'!$F$4:$F$339,MATCH($O361&amp;"|"&amp;$R361&amp;"|"&amp;$AE361,'ASIGNACIONES'!$J$4:$J$339,0)),""))=0,"",IFERROR(INDEX('ASIGNACIONES'!$F$4:$F$339,MATCH($O361&amp;"|"&amp;$R361&amp;"|"&amp;$AE361,'ASIGNACIONES'!$J$4:$J$339,0)),"")))</f>
        <v/>
      </c>
      <c r="AG361" s="13">
        <f>IF($AE361="","",SUMIFS('ORDENES'!$M$4:$M$1203,'ORDENES'!$AE$4:$AE$1203,$AE361,'ORDENES'!$O$4:$O$1203,$O361,'ORDENES'!$R$4:$R$1203,$R361))</f>
        <v/>
      </c>
      <c r="AH361" s="13">
        <f>IF($AG361="","",p_factor_productividad*IFERROR(INDEX('ASIGNACIONES'!$I$4:$I$339,MATCH($O361&amp;"|"&amp;$R361&amp;"|"&amp;$AE361,'ASIGNACIONES'!$J$4:$J$339,0)),0)-$AG361)</f>
        <v/>
      </c>
      <c r="AI361" s="10">
        <f>IF($A361="","",IFERROR(INDEX('2_IMPORTAR_EJECUCION'!$F$9:$F$1208,MATCH($AQ361,'2_IMPORTAR_EJECUCION'!$J$9:$J$1208,0)),0))</f>
        <v/>
      </c>
      <c r="AJ361" s="10">
        <f>IF($A361="","",MAX(0,IFERROR(INDEX('2_IMPORTAR_EJECUCION'!$H$9:$H$1208,MATCH($AQ361,'2_IMPORTAR_EJECUCION'!$J$9:$J$1208,0)),0)-$AI361))</f>
        <v/>
      </c>
      <c r="AK361" s="10">
        <f>IF($A361="","",$AI361+$AJ361)</f>
        <v/>
      </c>
      <c r="AL361" s="6" t="n"/>
      <c r="AM361" s="6" t="n"/>
      <c r="AN361" s="6" t="n"/>
      <c r="AO361" s="3">
        <f>IF($AN361="","",HYPERLINK(p_ruta_base_checklists&amp;$AN361,"abrir"))</f>
        <v/>
      </c>
      <c r="AP361" s="6" t="n"/>
      <c r="AQ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IF($A362="","",IFERROR(INDEX('AJUSTES'!$B$4:$B$303,MATCH($AQ362,'AJUSTES'!$A$4:$A$303,0)),IF($K362="","",$K362)))</f>
        <v/>
      </c>
      <c r="N362" s="3">
        <f>IF($A362="","",IFERROR(INDEX('CAT_ESTADOS_ERP'!$B$4:$B$7,MATCH(IFERROR(INDEX('2_IMPORTAR_EJECUCION'!$C$9:$C$1208,MATCH($AQ362,'2_IMPORTAR_EJECUCION'!$J$9:$J$1208,0)),""),'CAT_ESTADOS_ERP'!$A$4:$A$7,0)),"Pendiente"))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J362="","",IFERROR(INDEX('CALENDARIO'!$C$15:$C$214,MATCH(TEXT($J362,"yyyy-mm-dd")&amp;"|"&amp;$V362&amp;"|"&amp;$W362,'CALENDARIO'!$G$15:$G$214,0)),IFERROR(INDEX('CALENDARIO'!$C$15:$C$214,MATCH(TEXT($J362,"yyyy-mm-dd")&amp;"|"&amp;$V362&amp;"|",'CALENDARIO'!$G$15:$G$214,0)),IFERROR(INDEX('CALENDARIO'!$C$15:$C$214,MATCH(TEXT($J362,"yyyy-mm-dd")&amp;"||",'CALENDARIO'!$G$15:$G$214,0)),INDEX(patronHabil,WEEKDAY($J362,2))))))</f>
        <v/>
      </c>
      <c r="T362" s="3">
        <f>IF($I362="","",IFERROR(INDEX('CAT_TIPOS_OT'!$C$4:$C$7,MATCH($I362,'CAT_TIPOS_OT'!$A$4:$A$7,0)),"sin_clasificar"))</f>
        <v/>
      </c>
      <c r="U362" s="3">
        <f>IF($F362="","",IFERROR(INDEX('CAT_CENTROS_COSTO'!$F$4:$F$13,MATCH($F362,'CAT_CENTROS_COSTO'!$A$4:$A$13,0)),"(sin catálogo)"))</f>
        <v/>
      </c>
      <c r="V362" s="3">
        <f>IF($F362="","",IFERROR(INDEX('CAT_CENTROS_COSTO'!$D$4:$D$13,MATCH($F362,'CAT_CENTROS_COSTO'!$A$4:$A$13,0)),"(sin catálogo)"))</f>
        <v/>
      </c>
      <c r="W362" s="3">
        <f>IF($F362="","",IF((IFERROR(INDEX('CAT_CENTROS_COSTO'!$E$4:$E$13,MATCH($F362,'CAT_CENTROS_COSTO'!$A$4:$A$13,0)),""))&lt;&gt;"",IFERROR(INDEX('CAT_CENTROS_COSTO'!$E$4:$E$13,MATCH($F362,'CAT_CENTROS_COSTO'!$A$4:$A$13,0)),""),$V362))</f>
        <v/>
      </c>
      <c r="X362" s="3">
        <f>IF($F362="","",IFERROR(INDEX('CAT_CENTROS_COSTO'!$G$4:$G$13,MATCH($F362,'CAT_CENTROS_COSTO'!$A$4:$A$13,0)),"(sin catálogo)"))</f>
        <v/>
      </c>
      <c r="Y362" s="3">
        <f>IF($G362="","",IFERROR(INDEX('CAT_PUESTOS'!$B$4:$B$8,MATCH($G362,'CAT_PUESTOS'!$A$4:$A$8,0)),"(sin catálogo)"))</f>
        <v/>
      </c>
      <c r="Z362" s="3">
        <f>IF($H362="","",IFERROR(INDEX('CAT_ACTIVIDADES'!$B$4:$B$8,MATCH($H362,'CAT_ACTIVIDADES'!$A$4:$A$8,0)),"(sin catálogo)"))</f>
        <v/>
      </c>
      <c r="AA362" s="12">
        <f>IF($J362="","",TODAY()-$J362)</f>
        <v/>
      </c>
      <c r="AB362" s="12">
        <f>IF($J362="","",IF($J362&lt;=TODAY(),COUNTIFS(cal_fechas,"&gt;="&amp;$J362,cal_fechas,"&lt;"&amp;TODAY(),cal_habil,"sí"),-COUNTIFS(cal_fechas,"&gt;="&amp;TODAY(),cal_fechas,"&lt;"&amp;$J362,cal_habil,"sí")))</f>
        <v/>
      </c>
      <c r="AC362" s="3">
        <f>IF($AB362="","",IF($AB362&lt;0,"FUTURO",IF($AB362&gt;p_dias_backlog_max,"BACKLOG","MES CORRIENTE")))</f>
        <v/>
      </c>
      <c r="AD362" s="3">
        <f>IF($AB362="",FALSE,AND($AB362&gt;p_dias_backlog_min,$AB362&lt;=p_dias_backlog_max))</f>
        <v/>
      </c>
      <c r="AE362" s="6" t="n"/>
      <c r="AF362" s="3">
        <f>IF($AE362="","",IF((IFERROR(INDEX('ASIGNACIONES'!$F$4:$F$339,MATCH($O362&amp;"|"&amp;$R362&amp;"|"&amp;$AE362,'ASIGNACIONES'!$J$4:$J$339,0)),""))=0,"",IFERROR(INDEX('ASIGNACIONES'!$F$4:$F$339,MATCH($O362&amp;"|"&amp;$R362&amp;"|"&amp;$AE362,'ASIGNACIONES'!$J$4:$J$339,0)),"")))</f>
        <v/>
      </c>
      <c r="AG362" s="13">
        <f>IF($AE362="","",SUMIFS('ORDENES'!$M$4:$M$1203,'ORDENES'!$AE$4:$AE$1203,$AE362,'ORDENES'!$O$4:$O$1203,$O362,'ORDENES'!$R$4:$R$1203,$R362))</f>
        <v/>
      </c>
      <c r="AH362" s="13">
        <f>IF($AG362="","",p_factor_productividad*IFERROR(INDEX('ASIGNACIONES'!$I$4:$I$339,MATCH($O362&amp;"|"&amp;$R362&amp;"|"&amp;$AE362,'ASIGNACIONES'!$J$4:$J$339,0)),0)-$AG362)</f>
        <v/>
      </c>
      <c r="AI362" s="10">
        <f>IF($A362="","",IFERROR(INDEX('2_IMPORTAR_EJECUCION'!$F$9:$F$1208,MATCH($AQ362,'2_IMPORTAR_EJECUCION'!$J$9:$J$1208,0)),0))</f>
        <v/>
      </c>
      <c r="AJ362" s="10">
        <f>IF($A362="","",MAX(0,IFERROR(INDEX('2_IMPORTAR_EJECUCION'!$H$9:$H$1208,MATCH($AQ362,'2_IMPORTAR_EJECUCION'!$J$9:$J$1208,0)),0)-$AI362))</f>
        <v/>
      </c>
      <c r="AK362" s="10">
        <f>IF($A362="","",$AI362+$AJ362)</f>
        <v/>
      </c>
      <c r="AL362" s="6" t="n"/>
      <c r="AM362" s="6" t="n"/>
      <c r="AN362" s="6" t="n"/>
      <c r="AO362" s="3">
        <f>IF($AN362="","",HYPERLINK(p_ruta_base_checklists&amp;$AN362,"abrir"))</f>
        <v/>
      </c>
      <c r="AP362" s="6" t="n"/>
      <c r="AQ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IF($A363="","",IFERROR(INDEX('AJUSTES'!$B$4:$B$303,MATCH($AQ363,'AJUSTES'!$A$4:$A$303,0)),IF($K363="","",$K363)))</f>
        <v/>
      </c>
      <c r="N363" s="3">
        <f>IF($A363="","",IFERROR(INDEX('CAT_ESTADOS_ERP'!$B$4:$B$7,MATCH(IFERROR(INDEX('2_IMPORTAR_EJECUCION'!$C$9:$C$1208,MATCH($AQ363,'2_IMPORTAR_EJECUCION'!$J$9:$J$1208,0)),""),'CAT_ESTADOS_ERP'!$A$4:$A$7,0)),"Pendiente"))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J363="","",IFERROR(INDEX('CALENDARIO'!$C$15:$C$214,MATCH(TEXT($J363,"yyyy-mm-dd")&amp;"|"&amp;$V363&amp;"|"&amp;$W363,'CALENDARIO'!$G$15:$G$214,0)),IFERROR(INDEX('CALENDARIO'!$C$15:$C$214,MATCH(TEXT($J363,"yyyy-mm-dd")&amp;"|"&amp;$V363&amp;"|",'CALENDARIO'!$G$15:$G$214,0)),IFERROR(INDEX('CALENDARIO'!$C$15:$C$214,MATCH(TEXT($J363,"yyyy-mm-dd")&amp;"||",'CALENDARIO'!$G$15:$G$214,0)),INDEX(patronHabil,WEEKDAY($J363,2))))))</f>
        <v/>
      </c>
      <c r="T363" s="3">
        <f>IF($I363="","",IFERROR(INDEX('CAT_TIPOS_OT'!$C$4:$C$7,MATCH($I363,'CAT_TIPOS_OT'!$A$4:$A$7,0)),"sin_clasificar"))</f>
        <v/>
      </c>
      <c r="U363" s="3">
        <f>IF($F363="","",IFERROR(INDEX('CAT_CENTROS_COSTO'!$F$4:$F$13,MATCH($F363,'CAT_CENTROS_COSTO'!$A$4:$A$13,0)),"(sin catálogo)"))</f>
        <v/>
      </c>
      <c r="V363" s="3">
        <f>IF($F363="","",IFERROR(INDEX('CAT_CENTROS_COSTO'!$D$4:$D$13,MATCH($F363,'CAT_CENTROS_COSTO'!$A$4:$A$13,0)),"(sin catálogo)"))</f>
        <v/>
      </c>
      <c r="W363" s="3">
        <f>IF($F363="","",IF((IFERROR(INDEX('CAT_CENTROS_COSTO'!$E$4:$E$13,MATCH($F363,'CAT_CENTROS_COSTO'!$A$4:$A$13,0)),""))&lt;&gt;"",IFERROR(INDEX('CAT_CENTROS_COSTO'!$E$4:$E$13,MATCH($F363,'CAT_CENTROS_COSTO'!$A$4:$A$13,0)),""),$V363))</f>
        <v/>
      </c>
      <c r="X363" s="3">
        <f>IF($F363="","",IFERROR(INDEX('CAT_CENTROS_COSTO'!$G$4:$G$13,MATCH($F363,'CAT_CENTROS_COSTO'!$A$4:$A$13,0)),"(sin catálogo)"))</f>
        <v/>
      </c>
      <c r="Y363" s="3">
        <f>IF($G363="","",IFERROR(INDEX('CAT_PUESTOS'!$B$4:$B$8,MATCH($G363,'CAT_PUESTOS'!$A$4:$A$8,0)),"(sin catálogo)"))</f>
        <v/>
      </c>
      <c r="Z363" s="3">
        <f>IF($H363="","",IFERROR(INDEX('CAT_ACTIVIDADES'!$B$4:$B$8,MATCH($H363,'CAT_ACTIVIDADES'!$A$4:$A$8,0)),"(sin catálogo)"))</f>
        <v/>
      </c>
      <c r="AA363" s="12">
        <f>IF($J363="","",TODAY()-$J363)</f>
        <v/>
      </c>
      <c r="AB363" s="12">
        <f>IF($J363="","",IF($J363&lt;=TODAY(),COUNTIFS(cal_fechas,"&gt;="&amp;$J363,cal_fechas,"&lt;"&amp;TODAY(),cal_habil,"sí"),-COUNTIFS(cal_fechas,"&gt;="&amp;TODAY(),cal_fechas,"&lt;"&amp;$J363,cal_habil,"sí")))</f>
        <v/>
      </c>
      <c r="AC363" s="3">
        <f>IF($AB363="","",IF($AB363&lt;0,"FUTURO",IF($AB363&gt;p_dias_backlog_max,"BACKLOG","MES CORRIENTE")))</f>
        <v/>
      </c>
      <c r="AD363" s="3">
        <f>IF($AB363="",FALSE,AND($AB363&gt;p_dias_backlog_min,$AB363&lt;=p_dias_backlog_max))</f>
        <v/>
      </c>
      <c r="AE363" s="6" t="n"/>
      <c r="AF363" s="3">
        <f>IF($AE363="","",IF((IFERROR(INDEX('ASIGNACIONES'!$F$4:$F$339,MATCH($O363&amp;"|"&amp;$R363&amp;"|"&amp;$AE363,'ASIGNACIONES'!$J$4:$J$339,0)),""))=0,"",IFERROR(INDEX('ASIGNACIONES'!$F$4:$F$339,MATCH($O363&amp;"|"&amp;$R363&amp;"|"&amp;$AE363,'ASIGNACIONES'!$J$4:$J$339,0)),"")))</f>
        <v/>
      </c>
      <c r="AG363" s="13">
        <f>IF($AE363="","",SUMIFS('ORDENES'!$M$4:$M$1203,'ORDENES'!$AE$4:$AE$1203,$AE363,'ORDENES'!$O$4:$O$1203,$O363,'ORDENES'!$R$4:$R$1203,$R363))</f>
        <v/>
      </c>
      <c r="AH363" s="13">
        <f>IF($AG363="","",p_factor_productividad*IFERROR(INDEX('ASIGNACIONES'!$I$4:$I$339,MATCH($O363&amp;"|"&amp;$R363&amp;"|"&amp;$AE363,'ASIGNACIONES'!$J$4:$J$339,0)),0)-$AG363)</f>
        <v/>
      </c>
      <c r="AI363" s="10">
        <f>IF($A363="","",IFERROR(INDEX('2_IMPORTAR_EJECUCION'!$F$9:$F$1208,MATCH($AQ363,'2_IMPORTAR_EJECUCION'!$J$9:$J$1208,0)),0))</f>
        <v/>
      </c>
      <c r="AJ363" s="10">
        <f>IF($A363="","",MAX(0,IFERROR(INDEX('2_IMPORTAR_EJECUCION'!$H$9:$H$1208,MATCH($AQ363,'2_IMPORTAR_EJECUCION'!$J$9:$J$1208,0)),0)-$AI363))</f>
        <v/>
      </c>
      <c r="AK363" s="10">
        <f>IF($A363="","",$AI363+$AJ363)</f>
        <v/>
      </c>
      <c r="AL363" s="6" t="n"/>
      <c r="AM363" s="6" t="n"/>
      <c r="AN363" s="6" t="n"/>
      <c r="AO363" s="3">
        <f>IF($AN363="","",HYPERLINK(p_ruta_base_checklists&amp;$AN363,"abrir"))</f>
        <v/>
      </c>
      <c r="AP363" s="6" t="n"/>
      <c r="AQ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IF($A364="","",IFERROR(INDEX('AJUSTES'!$B$4:$B$303,MATCH($AQ364,'AJUSTES'!$A$4:$A$303,0)),IF($K364="","",$K364)))</f>
        <v/>
      </c>
      <c r="N364" s="3">
        <f>IF($A364="","",IFERROR(INDEX('CAT_ESTADOS_ERP'!$B$4:$B$7,MATCH(IFERROR(INDEX('2_IMPORTAR_EJECUCION'!$C$9:$C$1208,MATCH($AQ364,'2_IMPORTAR_EJECUCION'!$J$9:$J$1208,0)),""),'CAT_ESTADOS_ERP'!$A$4:$A$7,0)),"Pendiente"))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J364="","",IFERROR(INDEX('CALENDARIO'!$C$15:$C$214,MATCH(TEXT($J364,"yyyy-mm-dd")&amp;"|"&amp;$V364&amp;"|"&amp;$W364,'CALENDARIO'!$G$15:$G$214,0)),IFERROR(INDEX('CALENDARIO'!$C$15:$C$214,MATCH(TEXT($J364,"yyyy-mm-dd")&amp;"|"&amp;$V364&amp;"|",'CALENDARIO'!$G$15:$G$214,0)),IFERROR(INDEX('CALENDARIO'!$C$15:$C$214,MATCH(TEXT($J364,"yyyy-mm-dd")&amp;"||",'CALENDARIO'!$G$15:$G$214,0)),INDEX(patronHabil,WEEKDAY($J364,2))))))</f>
        <v/>
      </c>
      <c r="T364" s="3">
        <f>IF($I364="","",IFERROR(INDEX('CAT_TIPOS_OT'!$C$4:$C$7,MATCH($I364,'CAT_TIPOS_OT'!$A$4:$A$7,0)),"sin_clasificar"))</f>
        <v/>
      </c>
      <c r="U364" s="3">
        <f>IF($F364="","",IFERROR(INDEX('CAT_CENTROS_COSTO'!$F$4:$F$13,MATCH($F364,'CAT_CENTROS_COSTO'!$A$4:$A$13,0)),"(sin catálogo)"))</f>
        <v/>
      </c>
      <c r="V364" s="3">
        <f>IF($F364="","",IFERROR(INDEX('CAT_CENTROS_COSTO'!$D$4:$D$13,MATCH($F364,'CAT_CENTROS_COSTO'!$A$4:$A$13,0)),"(sin catálogo)"))</f>
        <v/>
      </c>
      <c r="W364" s="3">
        <f>IF($F364="","",IF((IFERROR(INDEX('CAT_CENTROS_COSTO'!$E$4:$E$13,MATCH($F364,'CAT_CENTROS_COSTO'!$A$4:$A$13,0)),""))&lt;&gt;"",IFERROR(INDEX('CAT_CENTROS_COSTO'!$E$4:$E$13,MATCH($F364,'CAT_CENTROS_COSTO'!$A$4:$A$13,0)),""),$V364))</f>
        <v/>
      </c>
      <c r="X364" s="3">
        <f>IF($F364="","",IFERROR(INDEX('CAT_CENTROS_COSTO'!$G$4:$G$13,MATCH($F364,'CAT_CENTROS_COSTO'!$A$4:$A$13,0)),"(sin catálogo)"))</f>
        <v/>
      </c>
      <c r="Y364" s="3">
        <f>IF($G364="","",IFERROR(INDEX('CAT_PUESTOS'!$B$4:$B$8,MATCH($G364,'CAT_PUESTOS'!$A$4:$A$8,0)),"(sin catálogo)"))</f>
        <v/>
      </c>
      <c r="Z364" s="3">
        <f>IF($H364="","",IFERROR(INDEX('CAT_ACTIVIDADES'!$B$4:$B$8,MATCH($H364,'CAT_ACTIVIDADES'!$A$4:$A$8,0)),"(sin catálogo)"))</f>
        <v/>
      </c>
      <c r="AA364" s="12">
        <f>IF($J364="","",TODAY()-$J364)</f>
        <v/>
      </c>
      <c r="AB364" s="12">
        <f>IF($J364="","",IF($J364&lt;=TODAY(),COUNTIFS(cal_fechas,"&gt;="&amp;$J364,cal_fechas,"&lt;"&amp;TODAY(),cal_habil,"sí"),-COUNTIFS(cal_fechas,"&gt;="&amp;TODAY(),cal_fechas,"&lt;"&amp;$J364,cal_habil,"sí")))</f>
        <v/>
      </c>
      <c r="AC364" s="3">
        <f>IF($AB364="","",IF($AB364&lt;0,"FUTURO",IF($AB364&gt;p_dias_backlog_max,"BACKLOG","MES CORRIENTE")))</f>
        <v/>
      </c>
      <c r="AD364" s="3">
        <f>IF($AB364="",FALSE,AND($AB364&gt;p_dias_backlog_min,$AB364&lt;=p_dias_backlog_max))</f>
        <v/>
      </c>
      <c r="AE364" s="6" t="n"/>
      <c r="AF364" s="3">
        <f>IF($AE364="","",IF((IFERROR(INDEX('ASIGNACIONES'!$F$4:$F$339,MATCH($O364&amp;"|"&amp;$R364&amp;"|"&amp;$AE364,'ASIGNACIONES'!$J$4:$J$339,0)),""))=0,"",IFERROR(INDEX('ASIGNACIONES'!$F$4:$F$339,MATCH($O364&amp;"|"&amp;$R364&amp;"|"&amp;$AE364,'ASIGNACIONES'!$J$4:$J$339,0)),"")))</f>
        <v/>
      </c>
      <c r="AG364" s="13">
        <f>IF($AE364="","",SUMIFS('ORDENES'!$M$4:$M$1203,'ORDENES'!$AE$4:$AE$1203,$AE364,'ORDENES'!$O$4:$O$1203,$O364,'ORDENES'!$R$4:$R$1203,$R364))</f>
        <v/>
      </c>
      <c r="AH364" s="13">
        <f>IF($AG364="","",p_factor_productividad*IFERROR(INDEX('ASIGNACIONES'!$I$4:$I$339,MATCH($O364&amp;"|"&amp;$R364&amp;"|"&amp;$AE364,'ASIGNACIONES'!$J$4:$J$339,0)),0)-$AG364)</f>
        <v/>
      </c>
      <c r="AI364" s="10">
        <f>IF($A364="","",IFERROR(INDEX('2_IMPORTAR_EJECUCION'!$F$9:$F$1208,MATCH($AQ364,'2_IMPORTAR_EJECUCION'!$J$9:$J$1208,0)),0))</f>
        <v/>
      </c>
      <c r="AJ364" s="10">
        <f>IF($A364="","",MAX(0,IFERROR(INDEX('2_IMPORTAR_EJECUCION'!$H$9:$H$1208,MATCH($AQ364,'2_IMPORTAR_EJECUCION'!$J$9:$J$1208,0)),0)-$AI364))</f>
        <v/>
      </c>
      <c r="AK364" s="10">
        <f>IF($A364="","",$AI364+$AJ364)</f>
        <v/>
      </c>
      <c r="AL364" s="6" t="n"/>
      <c r="AM364" s="6" t="n"/>
      <c r="AN364" s="6" t="n"/>
      <c r="AO364" s="3">
        <f>IF($AN364="","",HYPERLINK(p_ruta_base_checklists&amp;$AN364,"abrir"))</f>
        <v/>
      </c>
      <c r="AP364" s="6" t="n"/>
      <c r="AQ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IF($A365="","",IFERROR(INDEX('AJUSTES'!$B$4:$B$303,MATCH($AQ365,'AJUSTES'!$A$4:$A$303,0)),IF($K365="","",$K365)))</f>
        <v/>
      </c>
      <c r="N365" s="3">
        <f>IF($A365="","",IFERROR(INDEX('CAT_ESTADOS_ERP'!$B$4:$B$7,MATCH(IFERROR(INDEX('2_IMPORTAR_EJECUCION'!$C$9:$C$1208,MATCH($AQ365,'2_IMPORTAR_EJECUCION'!$J$9:$J$1208,0)),""),'CAT_ESTADOS_ERP'!$A$4:$A$7,0)),"Pendiente"))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J365="","",IFERROR(INDEX('CALENDARIO'!$C$15:$C$214,MATCH(TEXT($J365,"yyyy-mm-dd")&amp;"|"&amp;$V365&amp;"|"&amp;$W365,'CALENDARIO'!$G$15:$G$214,0)),IFERROR(INDEX('CALENDARIO'!$C$15:$C$214,MATCH(TEXT($J365,"yyyy-mm-dd")&amp;"|"&amp;$V365&amp;"|",'CALENDARIO'!$G$15:$G$214,0)),IFERROR(INDEX('CALENDARIO'!$C$15:$C$214,MATCH(TEXT($J365,"yyyy-mm-dd")&amp;"||",'CALENDARIO'!$G$15:$G$214,0)),INDEX(patronHabil,WEEKDAY($J365,2))))))</f>
        <v/>
      </c>
      <c r="T365" s="3">
        <f>IF($I365="","",IFERROR(INDEX('CAT_TIPOS_OT'!$C$4:$C$7,MATCH($I365,'CAT_TIPOS_OT'!$A$4:$A$7,0)),"sin_clasificar"))</f>
        <v/>
      </c>
      <c r="U365" s="3">
        <f>IF($F365="","",IFERROR(INDEX('CAT_CENTROS_COSTO'!$F$4:$F$13,MATCH($F365,'CAT_CENTROS_COSTO'!$A$4:$A$13,0)),"(sin catálogo)"))</f>
        <v/>
      </c>
      <c r="V365" s="3">
        <f>IF($F365="","",IFERROR(INDEX('CAT_CENTROS_COSTO'!$D$4:$D$13,MATCH($F365,'CAT_CENTROS_COSTO'!$A$4:$A$13,0)),"(sin catálogo)"))</f>
        <v/>
      </c>
      <c r="W365" s="3">
        <f>IF($F365="","",IF((IFERROR(INDEX('CAT_CENTROS_COSTO'!$E$4:$E$13,MATCH($F365,'CAT_CENTROS_COSTO'!$A$4:$A$13,0)),""))&lt;&gt;"",IFERROR(INDEX('CAT_CENTROS_COSTO'!$E$4:$E$13,MATCH($F365,'CAT_CENTROS_COSTO'!$A$4:$A$13,0)),""),$V365))</f>
        <v/>
      </c>
      <c r="X365" s="3">
        <f>IF($F365="","",IFERROR(INDEX('CAT_CENTROS_COSTO'!$G$4:$G$13,MATCH($F365,'CAT_CENTROS_COSTO'!$A$4:$A$13,0)),"(sin catálogo)"))</f>
        <v/>
      </c>
      <c r="Y365" s="3">
        <f>IF($G365="","",IFERROR(INDEX('CAT_PUESTOS'!$B$4:$B$8,MATCH($G365,'CAT_PUESTOS'!$A$4:$A$8,0)),"(sin catálogo)"))</f>
        <v/>
      </c>
      <c r="Z365" s="3">
        <f>IF($H365="","",IFERROR(INDEX('CAT_ACTIVIDADES'!$B$4:$B$8,MATCH($H365,'CAT_ACTIVIDADES'!$A$4:$A$8,0)),"(sin catálogo)"))</f>
        <v/>
      </c>
      <c r="AA365" s="12">
        <f>IF($J365="","",TODAY()-$J365)</f>
        <v/>
      </c>
      <c r="AB365" s="12">
        <f>IF($J365="","",IF($J365&lt;=TODAY(),COUNTIFS(cal_fechas,"&gt;="&amp;$J365,cal_fechas,"&lt;"&amp;TODAY(),cal_habil,"sí"),-COUNTIFS(cal_fechas,"&gt;="&amp;TODAY(),cal_fechas,"&lt;"&amp;$J365,cal_habil,"sí")))</f>
        <v/>
      </c>
      <c r="AC365" s="3">
        <f>IF($AB365="","",IF($AB365&lt;0,"FUTURO",IF($AB365&gt;p_dias_backlog_max,"BACKLOG","MES CORRIENTE")))</f>
        <v/>
      </c>
      <c r="AD365" s="3">
        <f>IF($AB365="",FALSE,AND($AB365&gt;p_dias_backlog_min,$AB365&lt;=p_dias_backlog_max))</f>
        <v/>
      </c>
      <c r="AE365" s="6" t="n"/>
      <c r="AF365" s="3">
        <f>IF($AE365="","",IF((IFERROR(INDEX('ASIGNACIONES'!$F$4:$F$339,MATCH($O365&amp;"|"&amp;$R365&amp;"|"&amp;$AE365,'ASIGNACIONES'!$J$4:$J$339,0)),""))=0,"",IFERROR(INDEX('ASIGNACIONES'!$F$4:$F$339,MATCH($O365&amp;"|"&amp;$R365&amp;"|"&amp;$AE365,'ASIGNACIONES'!$J$4:$J$339,0)),"")))</f>
        <v/>
      </c>
      <c r="AG365" s="13">
        <f>IF($AE365="","",SUMIFS('ORDENES'!$M$4:$M$1203,'ORDENES'!$AE$4:$AE$1203,$AE365,'ORDENES'!$O$4:$O$1203,$O365,'ORDENES'!$R$4:$R$1203,$R365))</f>
        <v/>
      </c>
      <c r="AH365" s="13">
        <f>IF($AG365="","",p_factor_productividad*IFERROR(INDEX('ASIGNACIONES'!$I$4:$I$339,MATCH($O365&amp;"|"&amp;$R365&amp;"|"&amp;$AE365,'ASIGNACIONES'!$J$4:$J$339,0)),0)-$AG365)</f>
        <v/>
      </c>
      <c r="AI365" s="10">
        <f>IF($A365="","",IFERROR(INDEX('2_IMPORTAR_EJECUCION'!$F$9:$F$1208,MATCH($AQ365,'2_IMPORTAR_EJECUCION'!$J$9:$J$1208,0)),0))</f>
        <v/>
      </c>
      <c r="AJ365" s="10">
        <f>IF($A365="","",MAX(0,IFERROR(INDEX('2_IMPORTAR_EJECUCION'!$H$9:$H$1208,MATCH($AQ365,'2_IMPORTAR_EJECUCION'!$J$9:$J$1208,0)),0)-$AI365))</f>
        <v/>
      </c>
      <c r="AK365" s="10">
        <f>IF($A365="","",$AI365+$AJ365)</f>
        <v/>
      </c>
      <c r="AL365" s="6" t="n"/>
      <c r="AM365" s="6" t="n"/>
      <c r="AN365" s="6" t="n"/>
      <c r="AO365" s="3">
        <f>IF($AN365="","",HYPERLINK(p_ruta_base_checklists&amp;$AN365,"abrir"))</f>
        <v/>
      </c>
      <c r="AP365" s="6" t="n"/>
      <c r="AQ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IF($A366="","",IFERROR(INDEX('AJUSTES'!$B$4:$B$303,MATCH($AQ366,'AJUSTES'!$A$4:$A$303,0)),IF($K366="","",$K366)))</f>
        <v/>
      </c>
      <c r="N366" s="3">
        <f>IF($A366="","",IFERROR(INDEX('CAT_ESTADOS_ERP'!$B$4:$B$7,MATCH(IFERROR(INDEX('2_IMPORTAR_EJECUCION'!$C$9:$C$1208,MATCH($AQ366,'2_IMPORTAR_EJECUCION'!$J$9:$J$1208,0)),""),'CAT_ESTADOS_ERP'!$A$4:$A$7,0)),"Pendiente"))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J366="","",IFERROR(INDEX('CALENDARIO'!$C$15:$C$214,MATCH(TEXT($J366,"yyyy-mm-dd")&amp;"|"&amp;$V366&amp;"|"&amp;$W366,'CALENDARIO'!$G$15:$G$214,0)),IFERROR(INDEX('CALENDARIO'!$C$15:$C$214,MATCH(TEXT($J366,"yyyy-mm-dd")&amp;"|"&amp;$V366&amp;"|",'CALENDARIO'!$G$15:$G$214,0)),IFERROR(INDEX('CALENDARIO'!$C$15:$C$214,MATCH(TEXT($J366,"yyyy-mm-dd")&amp;"||",'CALENDARIO'!$G$15:$G$214,0)),INDEX(patronHabil,WEEKDAY($J366,2))))))</f>
        <v/>
      </c>
      <c r="T366" s="3">
        <f>IF($I366="","",IFERROR(INDEX('CAT_TIPOS_OT'!$C$4:$C$7,MATCH($I366,'CAT_TIPOS_OT'!$A$4:$A$7,0)),"sin_clasificar"))</f>
        <v/>
      </c>
      <c r="U366" s="3">
        <f>IF($F366="","",IFERROR(INDEX('CAT_CENTROS_COSTO'!$F$4:$F$13,MATCH($F366,'CAT_CENTROS_COSTO'!$A$4:$A$13,0)),"(sin catálogo)"))</f>
        <v/>
      </c>
      <c r="V366" s="3">
        <f>IF($F366="","",IFERROR(INDEX('CAT_CENTROS_COSTO'!$D$4:$D$13,MATCH($F366,'CAT_CENTROS_COSTO'!$A$4:$A$13,0)),"(sin catálogo)"))</f>
        <v/>
      </c>
      <c r="W366" s="3">
        <f>IF($F366="","",IF((IFERROR(INDEX('CAT_CENTROS_COSTO'!$E$4:$E$13,MATCH($F366,'CAT_CENTROS_COSTO'!$A$4:$A$13,0)),""))&lt;&gt;"",IFERROR(INDEX('CAT_CENTROS_COSTO'!$E$4:$E$13,MATCH($F366,'CAT_CENTROS_COSTO'!$A$4:$A$13,0)),""),$V366))</f>
        <v/>
      </c>
      <c r="X366" s="3">
        <f>IF($F366="","",IFERROR(INDEX('CAT_CENTROS_COSTO'!$G$4:$G$13,MATCH($F366,'CAT_CENTROS_COSTO'!$A$4:$A$13,0)),"(sin catálogo)"))</f>
        <v/>
      </c>
      <c r="Y366" s="3">
        <f>IF($G366="","",IFERROR(INDEX('CAT_PUESTOS'!$B$4:$B$8,MATCH($G366,'CAT_PUESTOS'!$A$4:$A$8,0)),"(sin catálogo)"))</f>
        <v/>
      </c>
      <c r="Z366" s="3">
        <f>IF($H366="","",IFERROR(INDEX('CAT_ACTIVIDADES'!$B$4:$B$8,MATCH($H366,'CAT_ACTIVIDADES'!$A$4:$A$8,0)),"(sin catálogo)"))</f>
        <v/>
      </c>
      <c r="AA366" s="12">
        <f>IF($J366="","",TODAY()-$J366)</f>
        <v/>
      </c>
      <c r="AB366" s="12">
        <f>IF($J366="","",IF($J366&lt;=TODAY(),COUNTIFS(cal_fechas,"&gt;="&amp;$J366,cal_fechas,"&lt;"&amp;TODAY(),cal_habil,"sí"),-COUNTIFS(cal_fechas,"&gt;="&amp;TODAY(),cal_fechas,"&lt;"&amp;$J366,cal_habil,"sí")))</f>
        <v/>
      </c>
      <c r="AC366" s="3">
        <f>IF($AB366="","",IF($AB366&lt;0,"FUTURO",IF($AB366&gt;p_dias_backlog_max,"BACKLOG","MES CORRIENTE")))</f>
        <v/>
      </c>
      <c r="AD366" s="3">
        <f>IF($AB366="",FALSE,AND($AB366&gt;p_dias_backlog_min,$AB366&lt;=p_dias_backlog_max))</f>
        <v/>
      </c>
      <c r="AE366" s="6" t="n"/>
      <c r="AF366" s="3">
        <f>IF($AE366="","",IF((IFERROR(INDEX('ASIGNACIONES'!$F$4:$F$339,MATCH($O366&amp;"|"&amp;$R366&amp;"|"&amp;$AE366,'ASIGNACIONES'!$J$4:$J$339,0)),""))=0,"",IFERROR(INDEX('ASIGNACIONES'!$F$4:$F$339,MATCH($O366&amp;"|"&amp;$R366&amp;"|"&amp;$AE366,'ASIGNACIONES'!$J$4:$J$339,0)),"")))</f>
        <v/>
      </c>
      <c r="AG366" s="13">
        <f>IF($AE366="","",SUMIFS('ORDENES'!$M$4:$M$1203,'ORDENES'!$AE$4:$AE$1203,$AE366,'ORDENES'!$O$4:$O$1203,$O366,'ORDENES'!$R$4:$R$1203,$R366))</f>
        <v/>
      </c>
      <c r="AH366" s="13">
        <f>IF($AG366="","",p_factor_productividad*IFERROR(INDEX('ASIGNACIONES'!$I$4:$I$339,MATCH($O366&amp;"|"&amp;$R366&amp;"|"&amp;$AE366,'ASIGNACIONES'!$J$4:$J$339,0)),0)-$AG366)</f>
        <v/>
      </c>
      <c r="AI366" s="10">
        <f>IF($A366="","",IFERROR(INDEX('2_IMPORTAR_EJECUCION'!$F$9:$F$1208,MATCH($AQ366,'2_IMPORTAR_EJECUCION'!$J$9:$J$1208,0)),0))</f>
        <v/>
      </c>
      <c r="AJ366" s="10">
        <f>IF($A366="","",MAX(0,IFERROR(INDEX('2_IMPORTAR_EJECUCION'!$H$9:$H$1208,MATCH($AQ366,'2_IMPORTAR_EJECUCION'!$J$9:$J$1208,0)),0)-$AI366))</f>
        <v/>
      </c>
      <c r="AK366" s="10">
        <f>IF($A366="","",$AI366+$AJ366)</f>
        <v/>
      </c>
      <c r="AL366" s="6" t="n"/>
      <c r="AM366" s="6" t="n"/>
      <c r="AN366" s="6" t="n"/>
      <c r="AO366" s="3">
        <f>IF($AN366="","",HYPERLINK(p_ruta_base_checklists&amp;$AN366,"abrir"))</f>
        <v/>
      </c>
      <c r="AP366" s="6" t="n"/>
      <c r="AQ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IF($A367="","",IFERROR(INDEX('AJUSTES'!$B$4:$B$303,MATCH($AQ367,'AJUSTES'!$A$4:$A$303,0)),IF($K367="","",$K367)))</f>
        <v/>
      </c>
      <c r="N367" s="3">
        <f>IF($A367="","",IFERROR(INDEX('CAT_ESTADOS_ERP'!$B$4:$B$7,MATCH(IFERROR(INDEX('2_IMPORTAR_EJECUCION'!$C$9:$C$1208,MATCH($AQ367,'2_IMPORTAR_EJECUCION'!$J$9:$J$1208,0)),""),'CAT_ESTADOS_ERP'!$A$4:$A$7,0)),"Pendiente"))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J367="","",IFERROR(INDEX('CALENDARIO'!$C$15:$C$214,MATCH(TEXT($J367,"yyyy-mm-dd")&amp;"|"&amp;$V367&amp;"|"&amp;$W367,'CALENDARIO'!$G$15:$G$214,0)),IFERROR(INDEX('CALENDARIO'!$C$15:$C$214,MATCH(TEXT($J367,"yyyy-mm-dd")&amp;"|"&amp;$V367&amp;"|",'CALENDARIO'!$G$15:$G$214,0)),IFERROR(INDEX('CALENDARIO'!$C$15:$C$214,MATCH(TEXT($J367,"yyyy-mm-dd")&amp;"||",'CALENDARIO'!$G$15:$G$214,0)),INDEX(patronHabil,WEEKDAY($J367,2))))))</f>
        <v/>
      </c>
      <c r="T367" s="3">
        <f>IF($I367="","",IFERROR(INDEX('CAT_TIPOS_OT'!$C$4:$C$7,MATCH($I367,'CAT_TIPOS_OT'!$A$4:$A$7,0)),"sin_clasificar"))</f>
        <v/>
      </c>
      <c r="U367" s="3">
        <f>IF($F367="","",IFERROR(INDEX('CAT_CENTROS_COSTO'!$F$4:$F$13,MATCH($F367,'CAT_CENTROS_COSTO'!$A$4:$A$13,0)),"(sin catálogo)"))</f>
        <v/>
      </c>
      <c r="V367" s="3">
        <f>IF($F367="","",IFERROR(INDEX('CAT_CENTROS_COSTO'!$D$4:$D$13,MATCH($F367,'CAT_CENTROS_COSTO'!$A$4:$A$13,0)),"(sin catálogo)"))</f>
        <v/>
      </c>
      <c r="W367" s="3">
        <f>IF($F367="","",IF((IFERROR(INDEX('CAT_CENTROS_COSTO'!$E$4:$E$13,MATCH($F367,'CAT_CENTROS_COSTO'!$A$4:$A$13,0)),""))&lt;&gt;"",IFERROR(INDEX('CAT_CENTROS_COSTO'!$E$4:$E$13,MATCH($F367,'CAT_CENTROS_COSTO'!$A$4:$A$13,0)),""),$V367))</f>
        <v/>
      </c>
      <c r="X367" s="3">
        <f>IF($F367="","",IFERROR(INDEX('CAT_CENTROS_COSTO'!$G$4:$G$13,MATCH($F367,'CAT_CENTROS_COSTO'!$A$4:$A$13,0)),"(sin catálogo)"))</f>
        <v/>
      </c>
      <c r="Y367" s="3">
        <f>IF($G367="","",IFERROR(INDEX('CAT_PUESTOS'!$B$4:$B$8,MATCH($G367,'CAT_PUESTOS'!$A$4:$A$8,0)),"(sin catálogo)"))</f>
        <v/>
      </c>
      <c r="Z367" s="3">
        <f>IF($H367="","",IFERROR(INDEX('CAT_ACTIVIDADES'!$B$4:$B$8,MATCH($H367,'CAT_ACTIVIDADES'!$A$4:$A$8,0)),"(sin catálogo)"))</f>
        <v/>
      </c>
      <c r="AA367" s="12">
        <f>IF($J367="","",TODAY()-$J367)</f>
        <v/>
      </c>
      <c r="AB367" s="12">
        <f>IF($J367="","",IF($J367&lt;=TODAY(),COUNTIFS(cal_fechas,"&gt;="&amp;$J367,cal_fechas,"&lt;"&amp;TODAY(),cal_habil,"sí"),-COUNTIFS(cal_fechas,"&gt;="&amp;TODAY(),cal_fechas,"&lt;"&amp;$J367,cal_habil,"sí")))</f>
        <v/>
      </c>
      <c r="AC367" s="3">
        <f>IF($AB367="","",IF($AB367&lt;0,"FUTURO",IF($AB367&gt;p_dias_backlog_max,"BACKLOG","MES CORRIENTE")))</f>
        <v/>
      </c>
      <c r="AD367" s="3">
        <f>IF($AB367="",FALSE,AND($AB367&gt;p_dias_backlog_min,$AB367&lt;=p_dias_backlog_max))</f>
        <v/>
      </c>
      <c r="AE367" s="6" t="n"/>
      <c r="AF367" s="3">
        <f>IF($AE367="","",IF((IFERROR(INDEX('ASIGNACIONES'!$F$4:$F$339,MATCH($O367&amp;"|"&amp;$R367&amp;"|"&amp;$AE367,'ASIGNACIONES'!$J$4:$J$339,0)),""))=0,"",IFERROR(INDEX('ASIGNACIONES'!$F$4:$F$339,MATCH($O367&amp;"|"&amp;$R367&amp;"|"&amp;$AE367,'ASIGNACIONES'!$J$4:$J$339,0)),"")))</f>
        <v/>
      </c>
      <c r="AG367" s="13">
        <f>IF($AE367="","",SUMIFS('ORDENES'!$M$4:$M$1203,'ORDENES'!$AE$4:$AE$1203,$AE367,'ORDENES'!$O$4:$O$1203,$O367,'ORDENES'!$R$4:$R$1203,$R367))</f>
        <v/>
      </c>
      <c r="AH367" s="13">
        <f>IF($AG367="","",p_factor_productividad*IFERROR(INDEX('ASIGNACIONES'!$I$4:$I$339,MATCH($O367&amp;"|"&amp;$R367&amp;"|"&amp;$AE367,'ASIGNACIONES'!$J$4:$J$339,0)),0)-$AG367)</f>
        <v/>
      </c>
      <c r="AI367" s="10">
        <f>IF($A367="","",IFERROR(INDEX('2_IMPORTAR_EJECUCION'!$F$9:$F$1208,MATCH($AQ367,'2_IMPORTAR_EJECUCION'!$J$9:$J$1208,0)),0))</f>
        <v/>
      </c>
      <c r="AJ367" s="10">
        <f>IF($A367="","",MAX(0,IFERROR(INDEX('2_IMPORTAR_EJECUCION'!$H$9:$H$1208,MATCH($AQ367,'2_IMPORTAR_EJECUCION'!$J$9:$J$1208,0)),0)-$AI367))</f>
        <v/>
      </c>
      <c r="AK367" s="10">
        <f>IF($A367="","",$AI367+$AJ367)</f>
        <v/>
      </c>
      <c r="AL367" s="6" t="n"/>
      <c r="AM367" s="6" t="n"/>
      <c r="AN367" s="6" t="n"/>
      <c r="AO367" s="3">
        <f>IF($AN367="","",HYPERLINK(p_ruta_base_checklists&amp;$AN367,"abrir"))</f>
        <v/>
      </c>
      <c r="AP367" s="6" t="n"/>
      <c r="AQ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IF($A368="","",IFERROR(INDEX('AJUSTES'!$B$4:$B$303,MATCH($AQ368,'AJUSTES'!$A$4:$A$303,0)),IF($K368="","",$K368)))</f>
        <v/>
      </c>
      <c r="N368" s="3">
        <f>IF($A368="","",IFERROR(INDEX('CAT_ESTADOS_ERP'!$B$4:$B$7,MATCH(IFERROR(INDEX('2_IMPORTAR_EJECUCION'!$C$9:$C$1208,MATCH($AQ368,'2_IMPORTAR_EJECUCION'!$J$9:$J$1208,0)),""),'CAT_ESTADOS_ERP'!$A$4:$A$7,0)),"Pendiente"))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J368="","",IFERROR(INDEX('CALENDARIO'!$C$15:$C$214,MATCH(TEXT($J368,"yyyy-mm-dd")&amp;"|"&amp;$V368&amp;"|"&amp;$W368,'CALENDARIO'!$G$15:$G$214,0)),IFERROR(INDEX('CALENDARIO'!$C$15:$C$214,MATCH(TEXT($J368,"yyyy-mm-dd")&amp;"|"&amp;$V368&amp;"|",'CALENDARIO'!$G$15:$G$214,0)),IFERROR(INDEX('CALENDARIO'!$C$15:$C$214,MATCH(TEXT($J368,"yyyy-mm-dd")&amp;"||",'CALENDARIO'!$G$15:$G$214,0)),INDEX(patronHabil,WEEKDAY($J368,2))))))</f>
        <v/>
      </c>
      <c r="T368" s="3">
        <f>IF($I368="","",IFERROR(INDEX('CAT_TIPOS_OT'!$C$4:$C$7,MATCH($I368,'CAT_TIPOS_OT'!$A$4:$A$7,0)),"sin_clasificar"))</f>
        <v/>
      </c>
      <c r="U368" s="3">
        <f>IF($F368="","",IFERROR(INDEX('CAT_CENTROS_COSTO'!$F$4:$F$13,MATCH($F368,'CAT_CENTROS_COSTO'!$A$4:$A$13,0)),"(sin catálogo)"))</f>
        <v/>
      </c>
      <c r="V368" s="3">
        <f>IF($F368="","",IFERROR(INDEX('CAT_CENTROS_COSTO'!$D$4:$D$13,MATCH($F368,'CAT_CENTROS_COSTO'!$A$4:$A$13,0)),"(sin catálogo)"))</f>
        <v/>
      </c>
      <c r="W368" s="3">
        <f>IF($F368="","",IF((IFERROR(INDEX('CAT_CENTROS_COSTO'!$E$4:$E$13,MATCH($F368,'CAT_CENTROS_COSTO'!$A$4:$A$13,0)),""))&lt;&gt;"",IFERROR(INDEX('CAT_CENTROS_COSTO'!$E$4:$E$13,MATCH($F368,'CAT_CENTROS_COSTO'!$A$4:$A$13,0)),""),$V368))</f>
        <v/>
      </c>
      <c r="X368" s="3">
        <f>IF($F368="","",IFERROR(INDEX('CAT_CENTROS_COSTO'!$G$4:$G$13,MATCH($F368,'CAT_CENTROS_COSTO'!$A$4:$A$13,0)),"(sin catálogo)"))</f>
        <v/>
      </c>
      <c r="Y368" s="3">
        <f>IF($G368="","",IFERROR(INDEX('CAT_PUESTOS'!$B$4:$B$8,MATCH($G368,'CAT_PUESTOS'!$A$4:$A$8,0)),"(sin catálogo)"))</f>
        <v/>
      </c>
      <c r="Z368" s="3">
        <f>IF($H368="","",IFERROR(INDEX('CAT_ACTIVIDADES'!$B$4:$B$8,MATCH($H368,'CAT_ACTIVIDADES'!$A$4:$A$8,0)),"(sin catálogo)"))</f>
        <v/>
      </c>
      <c r="AA368" s="12">
        <f>IF($J368="","",TODAY()-$J368)</f>
        <v/>
      </c>
      <c r="AB368" s="12">
        <f>IF($J368="","",IF($J368&lt;=TODAY(),COUNTIFS(cal_fechas,"&gt;="&amp;$J368,cal_fechas,"&lt;"&amp;TODAY(),cal_habil,"sí"),-COUNTIFS(cal_fechas,"&gt;="&amp;TODAY(),cal_fechas,"&lt;"&amp;$J368,cal_habil,"sí")))</f>
        <v/>
      </c>
      <c r="AC368" s="3">
        <f>IF($AB368="","",IF($AB368&lt;0,"FUTURO",IF($AB368&gt;p_dias_backlog_max,"BACKLOG","MES CORRIENTE")))</f>
        <v/>
      </c>
      <c r="AD368" s="3">
        <f>IF($AB368="",FALSE,AND($AB368&gt;p_dias_backlog_min,$AB368&lt;=p_dias_backlog_max))</f>
        <v/>
      </c>
      <c r="AE368" s="6" t="n"/>
      <c r="AF368" s="3">
        <f>IF($AE368="","",IF((IFERROR(INDEX('ASIGNACIONES'!$F$4:$F$339,MATCH($O368&amp;"|"&amp;$R368&amp;"|"&amp;$AE368,'ASIGNACIONES'!$J$4:$J$339,0)),""))=0,"",IFERROR(INDEX('ASIGNACIONES'!$F$4:$F$339,MATCH($O368&amp;"|"&amp;$R368&amp;"|"&amp;$AE368,'ASIGNACIONES'!$J$4:$J$339,0)),"")))</f>
        <v/>
      </c>
      <c r="AG368" s="13">
        <f>IF($AE368="","",SUMIFS('ORDENES'!$M$4:$M$1203,'ORDENES'!$AE$4:$AE$1203,$AE368,'ORDENES'!$O$4:$O$1203,$O368,'ORDENES'!$R$4:$R$1203,$R368))</f>
        <v/>
      </c>
      <c r="AH368" s="13">
        <f>IF($AG368="","",p_factor_productividad*IFERROR(INDEX('ASIGNACIONES'!$I$4:$I$339,MATCH($O368&amp;"|"&amp;$R368&amp;"|"&amp;$AE368,'ASIGNACIONES'!$J$4:$J$339,0)),0)-$AG368)</f>
        <v/>
      </c>
      <c r="AI368" s="10">
        <f>IF($A368="","",IFERROR(INDEX('2_IMPORTAR_EJECUCION'!$F$9:$F$1208,MATCH($AQ368,'2_IMPORTAR_EJECUCION'!$J$9:$J$1208,0)),0))</f>
        <v/>
      </c>
      <c r="AJ368" s="10">
        <f>IF($A368="","",MAX(0,IFERROR(INDEX('2_IMPORTAR_EJECUCION'!$H$9:$H$1208,MATCH($AQ368,'2_IMPORTAR_EJECUCION'!$J$9:$J$1208,0)),0)-$AI368))</f>
        <v/>
      </c>
      <c r="AK368" s="10">
        <f>IF($A368="","",$AI368+$AJ368)</f>
        <v/>
      </c>
      <c r="AL368" s="6" t="n"/>
      <c r="AM368" s="6" t="n"/>
      <c r="AN368" s="6" t="n"/>
      <c r="AO368" s="3">
        <f>IF($AN368="","",HYPERLINK(p_ruta_base_checklists&amp;$AN368,"abrir"))</f>
        <v/>
      </c>
      <c r="AP368" s="6" t="n"/>
      <c r="AQ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IF($A369="","",IFERROR(INDEX('AJUSTES'!$B$4:$B$303,MATCH($AQ369,'AJUSTES'!$A$4:$A$303,0)),IF($K369="","",$K369)))</f>
        <v/>
      </c>
      <c r="N369" s="3">
        <f>IF($A369="","",IFERROR(INDEX('CAT_ESTADOS_ERP'!$B$4:$B$7,MATCH(IFERROR(INDEX('2_IMPORTAR_EJECUCION'!$C$9:$C$1208,MATCH($AQ369,'2_IMPORTAR_EJECUCION'!$J$9:$J$1208,0)),""),'CAT_ESTADOS_ERP'!$A$4:$A$7,0)),"Pendiente"))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J369="","",IFERROR(INDEX('CALENDARIO'!$C$15:$C$214,MATCH(TEXT($J369,"yyyy-mm-dd")&amp;"|"&amp;$V369&amp;"|"&amp;$W369,'CALENDARIO'!$G$15:$G$214,0)),IFERROR(INDEX('CALENDARIO'!$C$15:$C$214,MATCH(TEXT($J369,"yyyy-mm-dd")&amp;"|"&amp;$V369&amp;"|",'CALENDARIO'!$G$15:$G$214,0)),IFERROR(INDEX('CALENDARIO'!$C$15:$C$214,MATCH(TEXT($J369,"yyyy-mm-dd")&amp;"||",'CALENDARIO'!$G$15:$G$214,0)),INDEX(patronHabil,WEEKDAY($J369,2))))))</f>
        <v/>
      </c>
      <c r="T369" s="3">
        <f>IF($I369="","",IFERROR(INDEX('CAT_TIPOS_OT'!$C$4:$C$7,MATCH($I369,'CAT_TIPOS_OT'!$A$4:$A$7,0)),"sin_clasificar"))</f>
        <v/>
      </c>
      <c r="U369" s="3">
        <f>IF($F369="","",IFERROR(INDEX('CAT_CENTROS_COSTO'!$F$4:$F$13,MATCH($F369,'CAT_CENTROS_COSTO'!$A$4:$A$13,0)),"(sin catálogo)"))</f>
        <v/>
      </c>
      <c r="V369" s="3">
        <f>IF($F369="","",IFERROR(INDEX('CAT_CENTROS_COSTO'!$D$4:$D$13,MATCH($F369,'CAT_CENTROS_COSTO'!$A$4:$A$13,0)),"(sin catálogo)"))</f>
        <v/>
      </c>
      <c r="W369" s="3">
        <f>IF($F369="","",IF((IFERROR(INDEX('CAT_CENTROS_COSTO'!$E$4:$E$13,MATCH($F369,'CAT_CENTROS_COSTO'!$A$4:$A$13,0)),""))&lt;&gt;"",IFERROR(INDEX('CAT_CENTROS_COSTO'!$E$4:$E$13,MATCH($F369,'CAT_CENTROS_COSTO'!$A$4:$A$13,0)),""),$V369))</f>
        <v/>
      </c>
      <c r="X369" s="3">
        <f>IF($F369="","",IFERROR(INDEX('CAT_CENTROS_COSTO'!$G$4:$G$13,MATCH($F369,'CAT_CENTROS_COSTO'!$A$4:$A$13,0)),"(sin catálogo)"))</f>
        <v/>
      </c>
      <c r="Y369" s="3">
        <f>IF($G369="","",IFERROR(INDEX('CAT_PUESTOS'!$B$4:$B$8,MATCH($G369,'CAT_PUESTOS'!$A$4:$A$8,0)),"(sin catálogo)"))</f>
        <v/>
      </c>
      <c r="Z369" s="3">
        <f>IF($H369="","",IFERROR(INDEX('CAT_ACTIVIDADES'!$B$4:$B$8,MATCH($H369,'CAT_ACTIVIDADES'!$A$4:$A$8,0)),"(sin catálogo)"))</f>
        <v/>
      </c>
      <c r="AA369" s="12">
        <f>IF($J369="","",TODAY()-$J369)</f>
        <v/>
      </c>
      <c r="AB369" s="12">
        <f>IF($J369="","",IF($J369&lt;=TODAY(),COUNTIFS(cal_fechas,"&gt;="&amp;$J369,cal_fechas,"&lt;"&amp;TODAY(),cal_habil,"sí"),-COUNTIFS(cal_fechas,"&gt;="&amp;TODAY(),cal_fechas,"&lt;"&amp;$J369,cal_habil,"sí")))</f>
        <v/>
      </c>
      <c r="AC369" s="3">
        <f>IF($AB369="","",IF($AB369&lt;0,"FUTURO",IF($AB369&gt;p_dias_backlog_max,"BACKLOG","MES CORRIENTE")))</f>
        <v/>
      </c>
      <c r="AD369" s="3">
        <f>IF($AB369="",FALSE,AND($AB369&gt;p_dias_backlog_min,$AB369&lt;=p_dias_backlog_max))</f>
        <v/>
      </c>
      <c r="AE369" s="6" t="n"/>
      <c r="AF369" s="3">
        <f>IF($AE369="","",IF((IFERROR(INDEX('ASIGNACIONES'!$F$4:$F$339,MATCH($O369&amp;"|"&amp;$R369&amp;"|"&amp;$AE369,'ASIGNACIONES'!$J$4:$J$339,0)),""))=0,"",IFERROR(INDEX('ASIGNACIONES'!$F$4:$F$339,MATCH($O369&amp;"|"&amp;$R369&amp;"|"&amp;$AE369,'ASIGNACIONES'!$J$4:$J$339,0)),"")))</f>
        <v/>
      </c>
      <c r="AG369" s="13">
        <f>IF($AE369="","",SUMIFS('ORDENES'!$M$4:$M$1203,'ORDENES'!$AE$4:$AE$1203,$AE369,'ORDENES'!$O$4:$O$1203,$O369,'ORDENES'!$R$4:$R$1203,$R369))</f>
        <v/>
      </c>
      <c r="AH369" s="13">
        <f>IF($AG369="","",p_factor_productividad*IFERROR(INDEX('ASIGNACIONES'!$I$4:$I$339,MATCH($O369&amp;"|"&amp;$R369&amp;"|"&amp;$AE369,'ASIGNACIONES'!$J$4:$J$339,0)),0)-$AG369)</f>
        <v/>
      </c>
      <c r="AI369" s="10">
        <f>IF($A369="","",IFERROR(INDEX('2_IMPORTAR_EJECUCION'!$F$9:$F$1208,MATCH($AQ369,'2_IMPORTAR_EJECUCION'!$J$9:$J$1208,0)),0))</f>
        <v/>
      </c>
      <c r="AJ369" s="10">
        <f>IF($A369="","",MAX(0,IFERROR(INDEX('2_IMPORTAR_EJECUCION'!$H$9:$H$1208,MATCH($AQ369,'2_IMPORTAR_EJECUCION'!$J$9:$J$1208,0)),0)-$AI369))</f>
        <v/>
      </c>
      <c r="AK369" s="10">
        <f>IF($A369="","",$AI369+$AJ369)</f>
        <v/>
      </c>
      <c r="AL369" s="6" t="n"/>
      <c r="AM369" s="6" t="n"/>
      <c r="AN369" s="6" t="n"/>
      <c r="AO369" s="3">
        <f>IF($AN369="","",HYPERLINK(p_ruta_base_checklists&amp;$AN369,"abrir"))</f>
        <v/>
      </c>
      <c r="AP369" s="6" t="n"/>
      <c r="AQ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IF($A370="","",IFERROR(INDEX('AJUSTES'!$B$4:$B$303,MATCH($AQ370,'AJUSTES'!$A$4:$A$303,0)),IF($K370="","",$K370)))</f>
        <v/>
      </c>
      <c r="N370" s="3">
        <f>IF($A370="","",IFERROR(INDEX('CAT_ESTADOS_ERP'!$B$4:$B$7,MATCH(IFERROR(INDEX('2_IMPORTAR_EJECUCION'!$C$9:$C$1208,MATCH($AQ370,'2_IMPORTAR_EJECUCION'!$J$9:$J$1208,0)),""),'CAT_ESTADOS_ERP'!$A$4:$A$7,0)),"Pendiente"))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J370="","",IFERROR(INDEX('CALENDARIO'!$C$15:$C$214,MATCH(TEXT($J370,"yyyy-mm-dd")&amp;"|"&amp;$V370&amp;"|"&amp;$W370,'CALENDARIO'!$G$15:$G$214,0)),IFERROR(INDEX('CALENDARIO'!$C$15:$C$214,MATCH(TEXT($J370,"yyyy-mm-dd")&amp;"|"&amp;$V370&amp;"|",'CALENDARIO'!$G$15:$G$214,0)),IFERROR(INDEX('CALENDARIO'!$C$15:$C$214,MATCH(TEXT($J370,"yyyy-mm-dd")&amp;"||",'CALENDARIO'!$G$15:$G$214,0)),INDEX(patronHabil,WEEKDAY($J370,2))))))</f>
        <v/>
      </c>
      <c r="T370" s="3">
        <f>IF($I370="","",IFERROR(INDEX('CAT_TIPOS_OT'!$C$4:$C$7,MATCH($I370,'CAT_TIPOS_OT'!$A$4:$A$7,0)),"sin_clasificar"))</f>
        <v/>
      </c>
      <c r="U370" s="3">
        <f>IF($F370="","",IFERROR(INDEX('CAT_CENTROS_COSTO'!$F$4:$F$13,MATCH($F370,'CAT_CENTROS_COSTO'!$A$4:$A$13,0)),"(sin catálogo)"))</f>
        <v/>
      </c>
      <c r="V370" s="3">
        <f>IF($F370="","",IFERROR(INDEX('CAT_CENTROS_COSTO'!$D$4:$D$13,MATCH($F370,'CAT_CENTROS_COSTO'!$A$4:$A$13,0)),"(sin catálogo)"))</f>
        <v/>
      </c>
      <c r="W370" s="3">
        <f>IF($F370="","",IF((IFERROR(INDEX('CAT_CENTROS_COSTO'!$E$4:$E$13,MATCH($F370,'CAT_CENTROS_COSTO'!$A$4:$A$13,0)),""))&lt;&gt;"",IFERROR(INDEX('CAT_CENTROS_COSTO'!$E$4:$E$13,MATCH($F370,'CAT_CENTROS_COSTO'!$A$4:$A$13,0)),""),$V370))</f>
        <v/>
      </c>
      <c r="X370" s="3">
        <f>IF($F370="","",IFERROR(INDEX('CAT_CENTROS_COSTO'!$G$4:$G$13,MATCH($F370,'CAT_CENTROS_COSTO'!$A$4:$A$13,0)),"(sin catálogo)"))</f>
        <v/>
      </c>
      <c r="Y370" s="3">
        <f>IF($G370="","",IFERROR(INDEX('CAT_PUESTOS'!$B$4:$B$8,MATCH($G370,'CAT_PUESTOS'!$A$4:$A$8,0)),"(sin catálogo)"))</f>
        <v/>
      </c>
      <c r="Z370" s="3">
        <f>IF($H370="","",IFERROR(INDEX('CAT_ACTIVIDADES'!$B$4:$B$8,MATCH($H370,'CAT_ACTIVIDADES'!$A$4:$A$8,0)),"(sin catálogo)"))</f>
        <v/>
      </c>
      <c r="AA370" s="12">
        <f>IF($J370="","",TODAY()-$J370)</f>
        <v/>
      </c>
      <c r="AB370" s="12">
        <f>IF($J370="","",IF($J370&lt;=TODAY(),COUNTIFS(cal_fechas,"&gt;="&amp;$J370,cal_fechas,"&lt;"&amp;TODAY(),cal_habil,"sí"),-COUNTIFS(cal_fechas,"&gt;="&amp;TODAY(),cal_fechas,"&lt;"&amp;$J370,cal_habil,"sí")))</f>
        <v/>
      </c>
      <c r="AC370" s="3">
        <f>IF($AB370="","",IF($AB370&lt;0,"FUTURO",IF($AB370&gt;p_dias_backlog_max,"BACKLOG","MES CORRIENTE")))</f>
        <v/>
      </c>
      <c r="AD370" s="3">
        <f>IF($AB370="",FALSE,AND($AB370&gt;p_dias_backlog_min,$AB370&lt;=p_dias_backlog_max))</f>
        <v/>
      </c>
      <c r="AE370" s="6" t="n"/>
      <c r="AF370" s="3">
        <f>IF($AE370="","",IF((IFERROR(INDEX('ASIGNACIONES'!$F$4:$F$339,MATCH($O370&amp;"|"&amp;$R370&amp;"|"&amp;$AE370,'ASIGNACIONES'!$J$4:$J$339,0)),""))=0,"",IFERROR(INDEX('ASIGNACIONES'!$F$4:$F$339,MATCH($O370&amp;"|"&amp;$R370&amp;"|"&amp;$AE370,'ASIGNACIONES'!$J$4:$J$339,0)),"")))</f>
        <v/>
      </c>
      <c r="AG370" s="13">
        <f>IF($AE370="","",SUMIFS('ORDENES'!$M$4:$M$1203,'ORDENES'!$AE$4:$AE$1203,$AE370,'ORDENES'!$O$4:$O$1203,$O370,'ORDENES'!$R$4:$R$1203,$R370))</f>
        <v/>
      </c>
      <c r="AH370" s="13">
        <f>IF($AG370="","",p_factor_productividad*IFERROR(INDEX('ASIGNACIONES'!$I$4:$I$339,MATCH($O370&amp;"|"&amp;$R370&amp;"|"&amp;$AE370,'ASIGNACIONES'!$J$4:$J$339,0)),0)-$AG370)</f>
        <v/>
      </c>
      <c r="AI370" s="10">
        <f>IF($A370="","",IFERROR(INDEX('2_IMPORTAR_EJECUCION'!$F$9:$F$1208,MATCH($AQ370,'2_IMPORTAR_EJECUCION'!$J$9:$J$1208,0)),0))</f>
        <v/>
      </c>
      <c r="AJ370" s="10">
        <f>IF($A370="","",MAX(0,IFERROR(INDEX('2_IMPORTAR_EJECUCION'!$H$9:$H$1208,MATCH($AQ370,'2_IMPORTAR_EJECUCION'!$J$9:$J$1208,0)),0)-$AI370))</f>
        <v/>
      </c>
      <c r="AK370" s="10">
        <f>IF($A370="","",$AI370+$AJ370)</f>
        <v/>
      </c>
      <c r="AL370" s="6" t="n"/>
      <c r="AM370" s="6" t="n"/>
      <c r="AN370" s="6" t="n"/>
      <c r="AO370" s="3">
        <f>IF($AN370="","",HYPERLINK(p_ruta_base_checklists&amp;$AN370,"abrir"))</f>
        <v/>
      </c>
      <c r="AP370" s="6" t="n"/>
      <c r="AQ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IF($A371="","",IFERROR(INDEX('AJUSTES'!$B$4:$B$303,MATCH($AQ371,'AJUSTES'!$A$4:$A$303,0)),IF($K371="","",$K371)))</f>
        <v/>
      </c>
      <c r="N371" s="3">
        <f>IF($A371="","",IFERROR(INDEX('CAT_ESTADOS_ERP'!$B$4:$B$7,MATCH(IFERROR(INDEX('2_IMPORTAR_EJECUCION'!$C$9:$C$1208,MATCH($AQ371,'2_IMPORTAR_EJECUCION'!$J$9:$J$1208,0)),""),'CAT_ESTADOS_ERP'!$A$4:$A$7,0)),"Pendiente"))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J371="","",IFERROR(INDEX('CALENDARIO'!$C$15:$C$214,MATCH(TEXT($J371,"yyyy-mm-dd")&amp;"|"&amp;$V371&amp;"|"&amp;$W371,'CALENDARIO'!$G$15:$G$214,0)),IFERROR(INDEX('CALENDARIO'!$C$15:$C$214,MATCH(TEXT($J371,"yyyy-mm-dd")&amp;"|"&amp;$V371&amp;"|",'CALENDARIO'!$G$15:$G$214,0)),IFERROR(INDEX('CALENDARIO'!$C$15:$C$214,MATCH(TEXT($J371,"yyyy-mm-dd")&amp;"||",'CALENDARIO'!$G$15:$G$214,0)),INDEX(patronHabil,WEEKDAY($J371,2))))))</f>
        <v/>
      </c>
      <c r="T371" s="3">
        <f>IF($I371="","",IFERROR(INDEX('CAT_TIPOS_OT'!$C$4:$C$7,MATCH($I371,'CAT_TIPOS_OT'!$A$4:$A$7,0)),"sin_clasificar"))</f>
        <v/>
      </c>
      <c r="U371" s="3">
        <f>IF($F371="","",IFERROR(INDEX('CAT_CENTROS_COSTO'!$F$4:$F$13,MATCH($F371,'CAT_CENTROS_COSTO'!$A$4:$A$13,0)),"(sin catálogo)"))</f>
        <v/>
      </c>
      <c r="V371" s="3">
        <f>IF($F371="","",IFERROR(INDEX('CAT_CENTROS_COSTO'!$D$4:$D$13,MATCH($F371,'CAT_CENTROS_COSTO'!$A$4:$A$13,0)),"(sin catálogo)"))</f>
        <v/>
      </c>
      <c r="W371" s="3">
        <f>IF($F371="","",IF((IFERROR(INDEX('CAT_CENTROS_COSTO'!$E$4:$E$13,MATCH($F371,'CAT_CENTROS_COSTO'!$A$4:$A$13,0)),""))&lt;&gt;"",IFERROR(INDEX('CAT_CENTROS_COSTO'!$E$4:$E$13,MATCH($F371,'CAT_CENTROS_COSTO'!$A$4:$A$13,0)),""),$V371))</f>
        <v/>
      </c>
      <c r="X371" s="3">
        <f>IF($F371="","",IFERROR(INDEX('CAT_CENTROS_COSTO'!$G$4:$G$13,MATCH($F371,'CAT_CENTROS_COSTO'!$A$4:$A$13,0)),"(sin catálogo)"))</f>
        <v/>
      </c>
      <c r="Y371" s="3">
        <f>IF($G371="","",IFERROR(INDEX('CAT_PUESTOS'!$B$4:$B$8,MATCH($G371,'CAT_PUESTOS'!$A$4:$A$8,0)),"(sin catálogo)"))</f>
        <v/>
      </c>
      <c r="Z371" s="3">
        <f>IF($H371="","",IFERROR(INDEX('CAT_ACTIVIDADES'!$B$4:$B$8,MATCH($H371,'CAT_ACTIVIDADES'!$A$4:$A$8,0)),"(sin catálogo)"))</f>
        <v/>
      </c>
      <c r="AA371" s="12">
        <f>IF($J371="","",TODAY()-$J371)</f>
        <v/>
      </c>
      <c r="AB371" s="12">
        <f>IF($J371="","",IF($J371&lt;=TODAY(),COUNTIFS(cal_fechas,"&gt;="&amp;$J371,cal_fechas,"&lt;"&amp;TODAY(),cal_habil,"sí"),-COUNTIFS(cal_fechas,"&gt;="&amp;TODAY(),cal_fechas,"&lt;"&amp;$J371,cal_habil,"sí")))</f>
        <v/>
      </c>
      <c r="AC371" s="3">
        <f>IF($AB371="","",IF($AB371&lt;0,"FUTURO",IF($AB371&gt;p_dias_backlog_max,"BACKLOG","MES CORRIENTE")))</f>
        <v/>
      </c>
      <c r="AD371" s="3">
        <f>IF($AB371="",FALSE,AND($AB371&gt;p_dias_backlog_min,$AB371&lt;=p_dias_backlog_max))</f>
        <v/>
      </c>
      <c r="AE371" s="6" t="n"/>
      <c r="AF371" s="3">
        <f>IF($AE371="","",IF((IFERROR(INDEX('ASIGNACIONES'!$F$4:$F$339,MATCH($O371&amp;"|"&amp;$R371&amp;"|"&amp;$AE371,'ASIGNACIONES'!$J$4:$J$339,0)),""))=0,"",IFERROR(INDEX('ASIGNACIONES'!$F$4:$F$339,MATCH($O371&amp;"|"&amp;$R371&amp;"|"&amp;$AE371,'ASIGNACIONES'!$J$4:$J$339,0)),"")))</f>
        <v/>
      </c>
      <c r="AG371" s="13">
        <f>IF($AE371="","",SUMIFS('ORDENES'!$M$4:$M$1203,'ORDENES'!$AE$4:$AE$1203,$AE371,'ORDENES'!$O$4:$O$1203,$O371,'ORDENES'!$R$4:$R$1203,$R371))</f>
        <v/>
      </c>
      <c r="AH371" s="13">
        <f>IF($AG371="","",p_factor_productividad*IFERROR(INDEX('ASIGNACIONES'!$I$4:$I$339,MATCH($O371&amp;"|"&amp;$R371&amp;"|"&amp;$AE371,'ASIGNACIONES'!$J$4:$J$339,0)),0)-$AG371)</f>
        <v/>
      </c>
      <c r="AI371" s="10">
        <f>IF($A371="","",IFERROR(INDEX('2_IMPORTAR_EJECUCION'!$F$9:$F$1208,MATCH($AQ371,'2_IMPORTAR_EJECUCION'!$J$9:$J$1208,0)),0))</f>
        <v/>
      </c>
      <c r="AJ371" s="10">
        <f>IF($A371="","",MAX(0,IFERROR(INDEX('2_IMPORTAR_EJECUCION'!$H$9:$H$1208,MATCH($AQ371,'2_IMPORTAR_EJECUCION'!$J$9:$J$1208,0)),0)-$AI371))</f>
        <v/>
      </c>
      <c r="AK371" s="10">
        <f>IF($A371="","",$AI371+$AJ371)</f>
        <v/>
      </c>
      <c r="AL371" s="6" t="n"/>
      <c r="AM371" s="6" t="n"/>
      <c r="AN371" s="6" t="n"/>
      <c r="AO371" s="3">
        <f>IF($AN371="","",HYPERLINK(p_ruta_base_checklists&amp;$AN371,"abrir"))</f>
        <v/>
      </c>
      <c r="AP371" s="6" t="n"/>
      <c r="AQ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IF($A372="","",IFERROR(INDEX('AJUSTES'!$B$4:$B$303,MATCH($AQ372,'AJUSTES'!$A$4:$A$303,0)),IF($K372="","",$K372)))</f>
        <v/>
      </c>
      <c r="N372" s="3">
        <f>IF($A372="","",IFERROR(INDEX('CAT_ESTADOS_ERP'!$B$4:$B$7,MATCH(IFERROR(INDEX('2_IMPORTAR_EJECUCION'!$C$9:$C$1208,MATCH($AQ372,'2_IMPORTAR_EJECUCION'!$J$9:$J$1208,0)),""),'CAT_ESTADOS_ERP'!$A$4:$A$7,0)),"Pendiente"))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J372="","",IFERROR(INDEX('CALENDARIO'!$C$15:$C$214,MATCH(TEXT($J372,"yyyy-mm-dd")&amp;"|"&amp;$V372&amp;"|"&amp;$W372,'CALENDARIO'!$G$15:$G$214,0)),IFERROR(INDEX('CALENDARIO'!$C$15:$C$214,MATCH(TEXT($J372,"yyyy-mm-dd")&amp;"|"&amp;$V372&amp;"|",'CALENDARIO'!$G$15:$G$214,0)),IFERROR(INDEX('CALENDARIO'!$C$15:$C$214,MATCH(TEXT($J372,"yyyy-mm-dd")&amp;"||",'CALENDARIO'!$G$15:$G$214,0)),INDEX(patronHabil,WEEKDAY($J372,2))))))</f>
        <v/>
      </c>
      <c r="T372" s="3">
        <f>IF($I372="","",IFERROR(INDEX('CAT_TIPOS_OT'!$C$4:$C$7,MATCH($I372,'CAT_TIPOS_OT'!$A$4:$A$7,0)),"sin_clasificar"))</f>
        <v/>
      </c>
      <c r="U372" s="3">
        <f>IF($F372="","",IFERROR(INDEX('CAT_CENTROS_COSTO'!$F$4:$F$13,MATCH($F372,'CAT_CENTROS_COSTO'!$A$4:$A$13,0)),"(sin catálogo)"))</f>
        <v/>
      </c>
      <c r="V372" s="3">
        <f>IF($F372="","",IFERROR(INDEX('CAT_CENTROS_COSTO'!$D$4:$D$13,MATCH($F372,'CAT_CENTROS_COSTO'!$A$4:$A$13,0)),"(sin catálogo)"))</f>
        <v/>
      </c>
      <c r="W372" s="3">
        <f>IF($F372="","",IF((IFERROR(INDEX('CAT_CENTROS_COSTO'!$E$4:$E$13,MATCH($F372,'CAT_CENTROS_COSTO'!$A$4:$A$13,0)),""))&lt;&gt;"",IFERROR(INDEX('CAT_CENTROS_COSTO'!$E$4:$E$13,MATCH($F372,'CAT_CENTROS_COSTO'!$A$4:$A$13,0)),""),$V372))</f>
        <v/>
      </c>
      <c r="X372" s="3">
        <f>IF($F372="","",IFERROR(INDEX('CAT_CENTROS_COSTO'!$G$4:$G$13,MATCH($F372,'CAT_CENTROS_COSTO'!$A$4:$A$13,0)),"(sin catálogo)"))</f>
        <v/>
      </c>
      <c r="Y372" s="3">
        <f>IF($G372="","",IFERROR(INDEX('CAT_PUESTOS'!$B$4:$B$8,MATCH($G372,'CAT_PUESTOS'!$A$4:$A$8,0)),"(sin catálogo)"))</f>
        <v/>
      </c>
      <c r="Z372" s="3">
        <f>IF($H372="","",IFERROR(INDEX('CAT_ACTIVIDADES'!$B$4:$B$8,MATCH($H372,'CAT_ACTIVIDADES'!$A$4:$A$8,0)),"(sin catálogo)"))</f>
        <v/>
      </c>
      <c r="AA372" s="12">
        <f>IF($J372="","",TODAY()-$J372)</f>
        <v/>
      </c>
      <c r="AB372" s="12">
        <f>IF($J372="","",IF($J372&lt;=TODAY(),COUNTIFS(cal_fechas,"&gt;="&amp;$J372,cal_fechas,"&lt;"&amp;TODAY(),cal_habil,"sí"),-COUNTIFS(cal_fechas,"&gt;="&amp;TODAY(),cal_fechas,"&lt;"&amp;$J372,cal_habil,"sí")))</f>
        <v/>
      </c>
      <c r="AC372" s="3">
        <f>IF($AB372="","",IF($AB372&lt;0,"FUTURO",IF($AB372&gt;p_dias_backlog_max,"BACKLOG","MES CORRIENTE")))</f>
        <v/>
      </c>
      <c r="AD372" s="3">
        <f>IF($AB372="",FALSE,AND($AB372&gt;p_dias_backlog_min,$AB372&lt;=p_dias_backlog_max))</f>
        <v/>
      </c>
      <c r="AE372" s="6" t="n"/>
      <c r="AF372" s="3">
        <f>IF($AE372="","",IF((IFERROR(INDEX('ASIGNACIONES'!$F$4:$F$339,MATCH($O372&amp;"|"&amp;$R372&amp;"|"&amp;$AE372,'ASIGNACIONES'!$J$4:$J$339,0)),""))=0,"",IFERROR(INDEX('ASIGNACIONES'!$F$4:$F$339,MATCH($O372&amp;"|"&amp;$R372&amp;"|"&amp;$AE372,'ASIGNACIONES'!$J$4:$J$339,0)),"")))</f>
        <v/>
      </c>
      <c r="AG372" s="13">
        <f>IF($AE372="","",SUMIFS('ORDENES'!$M$4:$M$1203,'ORDENES'!$AE$4:$AE$1203,$AE372,'ORDENES'!$O$4:$O$1203,$O372,'ORDENES'!$R$4:$R$1203,$R372))</f>
        <v/>
      </c>
      <c r="AH372" s="13">
        <f>IF($AG372="","",p_factor_productividad*IFERROR(INDEX('ASIGNACIONES'!$I$4:$I$339,MATCH($O372&amp;"|"&amp;$R372&amp;"|"&amp;$AE372,'ASIGNACIONES'!$J$4:$J$339,0)),0)-$AG372)</f>
        <v/>
      </c>
      <c r="AI372" s="10">
        <f>IF($A372="","",IFERROR(INDEX('2_IMPORTAR_EJECUCION'!$F$9:$F$1208,MATCH($AQ372,'2_IMPORTAR_EJECUCION'!$J$9:$J$1208,0)),0))</f>
        <v/>
      </c>
      <c r="AJ372" s="10">
        <f>IF($A372="","",MAX(0,IFERROR(INDEX('2_IMPORTAR_EJECUCION'!$H$9:$H$1208,MATCH($AQ372,'2_IMPORTAR_EJECUCION'!$J$9:$J$1208,0)),0)-$AI372))</f>
        <v/>
      </c>
      <c r="AK372" s="10">
        <f>IF($A372="","",$AI372+$AJ372)</f>
        <v/>
      </c>
      <c r="AL372" s="6" t="n"/>
      <c r="AM372" s="6" t="n"/>
      <c r="AN372" s="6" t="n"/>
      <c r="AO372" s="3">
        <f>IF($AN372="","",HYPERLINK(p_ruta_base_checklists&amp;$AN372,"abrir"))</f>
        <v/>
      </c>
      <c r="AP372" s="6" t="n"/>
      <c r="AQ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IF($A373="","",IFERROR(INDEX('AJUSTES'!$B$4:$B$303,MATCH($AQ373,'AJUSTES'!$A$4:$A$303,0)),IF($K373="","",$K373)))</f>
        <v/>
      </c>
      <c r="N373" s="3">
        <f>IF($A373="","",IFERROR(INDEX('CAT_ESTADOS_ERP'!$B$4:$B$7,MATCH(IFERROR(INDEX('2_IMPORTAR_EJECUCION'!$C$9:$C$1208,MATCH($AQ373,'2_IMPORTAR_EJECUCION'!$J$9:$J$1208,0)),""),'CAT_ESTADOS_ERP'!$A$4:$A$7,0)),"Pendiente"))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J373="","",IFERROR(INDEX('CALENDARIO'!$C$15:$C$214,MATCH(TEXT($J373,"yyyy-mm-dd")&amp;"|"&amp;$V373&amp;"|"&amp;$W373,'CALENDARIO'!$G$15:$G$214,0)),IFERROR(INDEX('CALENDARIO'!$C$15:$C$214,MATCH(TEXT($J373,"yyyy-mm-dd")&amp;"|"&amp;$V373&amp;"|",'CALENDARIO'!$G$15:$G$214,0)),IFERROR(INDEX('CALENDARIO'!$C$15:$C$214,MATCH(TEXT($J373,"yyyy-mm-dd")&amp;"||",'CALENDARIO'!$G$15:$G$214,0)),INDEX(patronHabil,WEEKDAY($J373,2))))))</f>
        <v/>
      </c>
      <c r="T373" s="3">
        <f>IF($I373="","",IFERROR(INDEX('CAT_TIPOS_OT'!$C$4:$C$7,MATCH($I373,'CAT_TIPOS_OT'!$A$4:$A$7,0)),"sin_clasificar"))</f>
        <v/>
      </c>
      <c r="U373" s="3">
        <f>IF($F373="","",IFERROR(INDEX('CAT_CENTROS_COSTO'!$F$4:$F$13,MATCH($F373,'CAT_CENTROS_COSTO'!$A$4:$A$13,0)),"(sin catálogo)"))</f>
        <v/>
      </c>
      <c r="V373" s="3">
        <f>IF($F373="","",IFERROR(INDEX('CAT_CENTROS_COSTO'!$D$4:$D$13,MATCH($F373,'CAT_CENTROS_COSTO'!$A$4:$A$13,0)),"(sin catálogo)"))</f>
        <v/>
      </c>
      <c r="W373" s="3">
        <f>IF($F373="","",IF((IFERROR(INDEX('CAT_CENTROS_COSTO'!$E$4:$E$13,MATCH($F373,'CAT_CENTROS_COSTO'!$A$4:$A$13,0)),""))&lt;&gt;"",IFERROR(INDEX('CAT_CENTROS_COSTO'!$E$4:$E$13,MATCH($F373,'CAT_CENTROS_COSTO'!$A$4:$A$13,0)),""),$V373))</f>
        <v/>
      </c>
      <c r="X373" s="3">
        <f>IF($F373="","",IFERROR(INDEX('CAT_CENTROS_COSTO'!$G$4:$G$13,MATCH($F373,'CAT_CENTROS_COSTO'!$A$4:$A$13,0)),"(sin catálogo)"))</f>
        <v/>
      </c>
      <c r="Y373" s="3">
        <f>IF($G373="","",IFERROR(INDEX('CAT_PUESTOS'!$B$4:$B$8,MATCH($G373,'CAT_PUESTOS'!$A$4:$A$8,0)),"(sin catálogo)"))</f>
        <v/>
      </c>
      <c r="Z373" s="3">
        <f>IF($H373="","",IFERROR(INDEX('CAT_ACTIVIDADES'!$B$4:$B$8,MATCH($H373,'CAT_ACTIVIDADES'!$A$4:$A$8,0)),"(sin catálogo)"))</f>
        <v/>
      </c>
      <c r="AA373" s="12">
        <f>IF($J373="","",TODAY()-$J373)</f>
        <v/>
      </c>
      <c r="AB373" s="12">
        <f>IF($J373="","",IF($J373&lt;=TODAY(),COUNTIFS(cal_fechas,"&gt;="&amp;$J373,cal_fechas,"&lt;"&amp;TODAY(),cal_habil,"sí"),-COUNTIFS(cal_fechas,"&gt;="&amp;TODAY(),cal_fechas,"&lt;"&amp;$J373,cal_habil,"sí")))</f>
        <v/>
      </c>
      <c r="AC373" s="3">
        <f>IF($AB373="","",IF($AB373&lt;0,"FUTURO",IF($AB373&gt;p_dias_backlog_max,"BACKLOG","MES CORRIENTE")))</f>
        <v/>
      </c>
      <c r="AD373" s="3">
        <f>IF($AB373="",FALSE,AND($AB373&gt;p_dias_backlog_min,$AB373&lt;=p_dias_backlog_max))</f>
        <v/>
      </c>
      <c r="AE373" s="6" t="n"/>
      <c r="AF373" s="3">
        <f>IF($AE373="","",IF((IFERROR(INDEX('ASIGNACIONES'!$F$4:$F$339,MATCH($O373&amp;"|"&amp;$R373&amp;"|"&amp;$AE373,'ASIGNACIONES'!$J$4:$J$339,0)),""))=0,"",IFERROR(INDEX('ASIGNACIONES'!$F$4:$F$339,MATCH($O373&amp;"|"&amp;$R373&amp;"|"&amp;$AE373,'ASIGNACIONES'!$J$4:$J$339,0)),"")))</f>
        <v/>
      </c>
      <c r="AG373" s="13">
        <f>IF($AE373="","",SUMIFS('ORDENES'!$M$4:$M$1203,'ORDENES'!$AE$4:$AE$1203,$AE373,'ORDENES'!$O$4:$O$1203,$O373,'ORDENES'!$R$4:$R$1203,$R373))</f>
        <v/>
      </c>
      <c r="AH373" s="13">
        <f>IF($AG373="","",p_factor_productividad*IFERROR(INDEX('ASIGNACIONES'!$I$4:$I$339,MATCH($O373&amp;"|"&amp;$R373&amp;"|"&amp;$AE373,'ASIGNACIONES'!$J$4:$J$339,0)),0)-$AG373)</f>
        <v/>
      </c>
      <c r="AI373" s="10">
        <f>IF($A373="","",IFERROR(INDEX('2_IMPORTAR_EJECUCION'!$F$9:$F$1208,MATCH($AQ373,'2_IMPORTAR_EJECUCION'!$J$9:$J$1208,0)),0))</f>
        <v/>
      </c>
      <c r="AJ373" s="10">
        <f>IF($A373="","",MAX(0,IFERROR(INDEX('2_IMPORTAR_EJECUCION'!$H$9:$H$1208,MATCH($AQ373,'2_IMPORTAR_EJECUCION'!$J$9:$J$1208,0)),0)-$AI373))</f>
        <v/>
      </c>
      <c r="AK373" s="10">
        <f>IF($A373="","",$AI373+$AJ373)</f>
        <v/>
      </c>
      <c r="AL373" s="6" t="n"/>
      <c r="AM373" s="6" t="n"/>
      <c r="AN373" s="6" t="n"/>
      <c r="AO373" s="3">
        <f>IF($AN373="","",HYPERLINK(p_ruta_base_checklists&amp;$AN373,"abrir"))</f>
        <v/>
      </c>
      <c r="AP373" s="6" t="n"/>
      <c r="AQ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IF($A374="","",IFERROR(INDEX('AJUSTES'!$B$4:$B$303,MATCH($AQ374,'AJUSTES'!$A$4:$A$303,0)),IF($K374="","",$K374)))</f>
        <v/>
      </c>
      <c r="N374" s="3">
        <f>IF($A374="","",IFERROR(INDEX('CAT_ESTADOS_ERP'!$B$4:$B$7,MATCH(IFERROR(INDEX('2_IMPORTAR_EJECUCION'!$C$9:$C$1208,MATCH($AQ374,'2_IMPORTAR_EJECUCION'!$J$9:$J$1208,0)),""),'CAT_ESTADOS_ERP'!$A$4:$A$7,0)),"Pendiente"))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J374="","",IFERROR(INDEX('CALENDARIO'!$C$15:$C$214,MATCH(TEXT($J374,"yyyy-mm-dd")&amp;"|"&amp;$V374&amp;"|"&amp;$W374,'CALENDARIO'!$G$15:$G$214,0)),IFERROR(INDEX('CALENDARIO'!$C$15:$C$214,MATCH(TEXT($J374,"yyyy-mm-dd")&amp;"|"&amp;$V374&amp;"|",'CALENDARIO'!$G$15:$G$214,0)),IFERROR(INDEX('CALENDARIO'!$C$15:$C$214,MATCH(TEXT($J374,"yyyy-mm-dd")&amp;"||",'CALENDARIO'!$G$15:$G$214,0)),INDEX(patronHabil,WEEKDAY($J374,2))))))</f>
        <v/>
      </c>
      <c r="T374" s="3">
        <f>IF($I374="","",IFERROR(INDEX('CAT_TIPOS_OT'!$C$4:$C$7,MATCH($I374,'CAT_TIPOS_OT'!$A$4:$A$7,0)),"sin_clasificar"))</f>
        <v/>
      </c>
      <c r="U374" s="3">
        <f>IF($F374="","",IFERROR(INDEX('CAT_CENTROS_COSTO'!$F$4:$F$13,MATCH($F374,'CAT_CENTROS_COSTO'!$A$4:$A$13,0)),"(sin catálogo)"))</f>
        <v/>
      </c>
      <c r="V374" s="3">
        <f>IF($F374="","",IFERROR(INDEX('CAT_CENTROS_COSTO'!$D$4:$D$13,MATCH($F374,'CAT_CENTROS_COSTO'!$A$4:$A$13,0)),"(sin catálogo)"))</f>
        <v/>
      </c>
      <c r="W374" s="3">
        <f>IF($F374="","",IF((IFERROR(INDEX('CAT_CENTROS_COSTO'!$E$4:$E$13,MATCH($F374,'CAT_CENTROS_COSTO'!$A$4:$A$13,0)),""))&lt;&gt;"",IFERROR(INDEX('CAT_CENTROS_COSTO'!$E$4:$E$13,MATCH($F374,'CAT_CENTROS_COSTO'!$A$4:$A$13,0)),""),$V374))</f>
        <v/>
      </c>
      <c r="X374" s="3">
        <f>IF($F374="","",IFERROR(INDEX('CAT_CENTROS_COSTO'!$G$4:$G$13,MATCH($F374,'CAT_CENTROS_COSTO'!$A$4:$A$13,0)),"(sin catálogo)"))</f>
        <v/>
      </c>
      <c r="Y374" s="3">
        <f>IF($G374="","",IFERROR(INDEX('CAT_PUESTOS'!$B$4:$B$8,MATCH($G374,'CAT_PUESTOS'!$A$4:$A$8,0)),"(sin catálogo)"))</f>
        <v/>
      </c>
      <c r="Z374" s="3">
        <f>IF($H374="","",IFERROR(INDEX('CAT_ACTIVIDADES'!$B$4:$B$8,MATCH($H374,'CAT_ACTIVIDADES'!$A$4:$A$8,0)),"(sin catálogo)"))</f>
        <v/>
      </c>
      <c r="AA374" s="12">
        <f>IF($J374="","",TODAY()-$J374)</f>
        <v/>
      </c>
      <c r="AB374" s="12">
        <f>IF($J374="","",IF($J374&lt;=TODAY(),COUNTIFS(cal_fechas,"&gt;="&amp;$J374,cal_fechas,"&lt;"&amp;TODAY(),cal_habil,"sí"),-COUNTIFS(cal_fechas,"&gt;="&amp;TODAY(),cal_fechas,"&lt;"&amp;$J374,cal_habil,"sí")))</f>
        <v/>
      </c>
      <c r="AC374" s="3">
        <f>IF($AB374="","",IF($AB374&lt;0,"FUTURO",IF($AB374&gt;p_dias_backlog_max,"BACKLOG","MES CORRIENTE")))</f>
        <v/>
      </c>
      <c r="AD374" s="3">
        <f>IF($AB374="",FALSE,AND($AB374&gt;p_dias_backlog_min,$AB374&lt;=p_dias_backlog_max))</f>
        <v/>
      </c>
      <c r="AE374" s="6" t="n"/>
      <c r="AF374" s="3">
        <f>IF($AE374="","",IF((IFERROR(INDEX('ASIGNACIONES'!$F$4:$F$339,MATCH($O374&amp;"|"&amp;$R374&amp;"|"&amp;$AE374,'ASIGNACIONES'!$J$4:$J$339,0)),""))=0,"",IFERROR(INDEX('ASIGNACIONES'!$F$4:$F$339,MATCH($O374&amp;"|"&amp;$R374&amp;"|"&amp;$AE374,'ASIGNACIONES'!$J$4:$J$339,0)),"")))</f>
        <v/>
      </c>
      <c r="AG374" s="13">
        <f>IF($AE374="","",SUMIFS('ORDENES'!$M$4:$M$1203,'ORDENES'!$AE$4:$AE$1203,$AE374,'ORDENES'!$O$4:$O$1203,$O374,'ORDENES'!$R$4:$R$1203,$R374))</f>
        <v/>
      </c>
      <c r="AH374" s="13">
        <f>IF($AG374="","",p_factor_productividad*IFERROR(INDEX('ASIGNACIONES'!$I$4:$I$339,MATCH($O374&amp;"|"&amp;$R374&amp;"|"&amp;$AE374,'ASIGNACIONES'!$J$4:$J$339,0)),0)-$AG374)</f>
        <v/>
      </c>
      <c r="AI374" s="10">
        <f>IF($A374="","",IFERROR(INDEX('2_IMPORTAR_EJECUCION'!$F$9:$F$1208,MATCH($AQ374,'2_IMPORTAR_EJECUCION'!$J$9:$J$1208,0)),0))</f>
        <v/>
      </c>
      <c r="AJ374" s="10">
        <f>IF($A374="","",MAX(0,IFERROR(INDEX('2_IMPORTAR_EJECUCION'!$H$9:$H$1208,MATCH($AQ374,'2_IMPORTAR_EJECUCION'!$J$9:$J$1208,0)),0)-$AI374))</f>
        <v/>
      </c>
      <c r="AK374" s="10">
        <f>IF($A374="","",$AI374+$AJ374)</f>
        <v/>
      </c>
      <c r="AL374" s="6" t="n"/>
      <c r="AM374" s="6" t="n"/>
      <c r="AN374" s="6" t="n"/>
      <c r="AO374" s="3">
        <f>IF($AN374="","",HYPERLINK(p_ruta_base_checklists&amp;$AN374,"abrir"))</f>
        <v/>
      </c>
      <c r="AP374" s="6" t="n"/>
      <c r="AQ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IF($A375="","",IFERROR(INDEX('AJUSTES'!$B$4:$B$303,MATCH($AQ375,'AJUSTES'!$A$4:$A$303,0)),IF($K375="","",$K375)))</f>
        <v/>
      </c>
      <c r="N375" s="3">
        <f>IF($A375="","",IFERROR(INDEX('CAT_ESTADOS_ERP'!$B$4:$B$7,MATCH(IFERROR(INDEX('2_IMPORTAR_EJECUCION'!$C$9:$C$1208,MATCH($AQ375,'2_IMPORTAR_EJECUCION'!$J$9:$J$1208,0)),""),'CAT_ESTADOS_ERP'!$A$4:$A$7,0)),"Pendiente"))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J375="","",IFERROR(INDEX('CALENDARIO'!$C$15:$C$214,MATCH(TEXT($J375,"yyyy-mm-dd")&amp;"|"&amp;$V375&amp;"|"&amp;$W375,'CALENDARIO'!$G$15:$G$214,0)),IFERROR(INDEX('CALENDARIO'!$C$15:$C$214,MATCH(TEXT($J375,"yyyy-mm-dd")&amp;"|"&amp;$V375&amp;"|",'CALENDARIO'!$G$15:$G$214,0)),IFERROR(INDEX('CALENDARIO'!$C$15:$C$214,MATCH(TEXT($J375,"yyyy-mm-dd")&amp;"||",'CALENDARIO'!$G$15:$G$214,0)),INDEX(patronHabil,WEEKDAY($J375,2))))))</f>
        <v/>
      </c>
      <c r="T375" s="3">
        <f>IF($I375="","",IFERROR(INDEX('CAT_TIPOS_OT'!$C$4:$C$7,MATCH($I375,'CAT_TIPOS_OT'!$A$4:$A$7,0)),"sin_clasificar"))</f>
        <v/>
      </c>
      <c r="U375" s="3">
        <f>IF($F375="","",IFERROR(INDEX('CAT_CENTROS_COSTO'!$F$4:$F$13,MATCH($F375,'CAT_CENTROS_COSTO'!$A$4:$A$13,0)),"(sin catálogo)"))</f>
        <v/>
      </c>
      <c r="V375" s="3">
        <f>IF($F375="","",IFERROR(INDEX('CAT_CENTROS_COSTO'!$D$4:$D$13,MATCH($F375,'CAT_CENTROS_COSTO'!$A$4:$A$13,0)),"(sin catálogo)"))</f>
        <v/>
      </c>
      <c r="W375" s="3">
        <f>IF($F375="","",IF((IFERROR(INDEX('CAT_CENTROS_COSTO'!$E$4:$E$13,MATCH($F375,'CAT_CENTROS_COSTO'!$A$4:$A$13,0)),""))&lt;&gt;"",IFERROR(INDEX('CAT_CENTROS_COSTO'!$E$4:$E$13,MATCH($F375,'CAT_CENTROS_COSTO'!$A$4:$A$13,0)),""),$V375))</f>
        <v/>
      </c>
      <c r="X375" s="3">
        <f>IF($F375="","",IFERROR(INDEX('CAT_CENTROS_COSTO'!$G$4:$G$13,MATCH($F375,'CAT_CENTROS_COSTO'!$A$4:$A$13,0)),"(sin catálogo)"))</f>
        <v/>
      </c>
      <c r="Y375" s="3">
        <f>IF($G375="","",IFERROR(INDEX('CAT_PUESTOS'!$B$4:$B$8,MATCH($G375,'CAT_PUESTOS'!$A$4:$A$8,0)),"(sin catálogo)"))</f>
        <v/>
      </c>
      <c r="Z375" s="3">
        <f>IF($H375="","",IFERROR(INDEX('CAT_ACTIVIDADES'!$B$4:$B$8,MATCH($H375,'CAT_ACTIVIDADES'!$A$4:$A$8,0)),"(sin catálogo)"))</f>
        <v/>
      </c>
      <c r="AA375" s="12">
        <f>IF($J375="","",TODAY()-$J375)</f>
        <v/>
      </c>
      <c r="AB375" s="12">
        <f>IF($J375="","",IF($J375&lt;=TODAY(),COUNTIFS(cal_fechas,"&gt;="&amp;$J375,cal_fechas,"&lt;"&amp;TODAY(),cal_habil,"sí"),-COUNTIFS(cal_fechas,"&gt;="&amp;TODAY(),cal_fechas,"&lt;"&amp;$J375,cal_habil,"sí")))</f>
        <v/>
      </c>
      <c r="AC375" s="3">
        <f>IF($AB375="","",IF($AB375&lt;0,"FUTURO",IF($AB375&gt;p_dias_backlog_max,"BACKLOG","MES CORRIENTE")))</f>
        <v/>
      </c>
      <c r="AD375" s="3">
        <f>IF($AB375="",FALSE,AND($AB375&gt;p_dias_backlog_min,$AB375&lt;=p_dias_backlog_max))</f>
        <v/>
      </c>
      <c r="AE375" s="6" t="n"/>
      <c r="AF375" s="3">
        <f>IF($AE375="","",IF((IFERROR(INDEX('ASIGNACIONES'!$F$4:$F$339,MATCH($O375&amp;"|"&amp;$R375&amp;"|"&amp;$AE375,'ASIGNACIONES'!$J$4:$J$339,0)),""))=0,"",IFERROR(INDEX('ASIGNACIONES'!$F$4:$F$339,MATCH($O375&amp;"|"&amp;$R375&amp;"|"&amp;$AE375,'ASIGNACIONES'!$J$4:$J$339,0)),"")))</f>
        <v/>
      </c>
      <c r="AG375" s="13">
        <f>IF($AE375="","",SUMIFS('ORDENES'!$M$4:$M$1203,'ORDENES'!$AE$4:$AE$1203,$AE375,'ORDENES'!$O$4:$O$1203,$O375,'ORDENES'!$R$4:$R$1203,$R375))</f>
        <v/>
      </c>
      <c r="AH375" s="13">
        <f>IF($AG375="","",p_factor_productividad*IFERROR(INDEX('ASIGNACIONES'!$I$4:$I$339,MATCH($O375&amp;"|"&amp;$R375&amp;"|"&amp;$AE375,'ASIGNACIONES'!$J$4:$J$339,0)),0)-$AG375)</f>
        <v/>
      </c>
      <c r="AI375" s="10">
        <f>IF($A375="","",IFERROR(INDEX('2_IMPORTAR_EJECUCION'!$F$9:$F$1208,MATCH($AQ375,'2_IMPORTAR_EJECUCION'!$J$9:$J$1208,0)),0))</f>
        <v/>
      </c>
      <c r="AJ375" s="10">
        <f>IF($A375="","",MAX(0,IFERROR(INDEX('2_IMPORTAR_EJECUCION'!$H$9:$H$1208,MATCH($AQ375,'2_IMPORTAR_EJECUCION'!$J$9:$J$1208,0)),0)-$AI375))</f>
        <v/>
      </c>
      <c r="AK375" s="10">
        <f>IF($A375="","",$AI375+$AJ375)</f>
        <v/>
      </c>
      <c r="AL375" s="6" t="n"/>
      <c r="AM375" s="6" t="n"/>
      <c r="AN375" s="6" t="n"/>
      <c r="AO375" s="3">
        <f>IF($AN375="","",HYPERLINK(p_ruta_base_checklists&amp;$AN375,"abrir"))</f>
        <v/>
      </c>
      <c r="AP375" s="6" t="n"/>
      <c r="AQ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IF($A376="","",IFERROR(INDEX('AJUSTES'!$B$4:$B$303,MATCH($AQ376,'AJUSTES'!$A$4:$A$303,0)),IF($K376="","",$K376)))</f>
        <v/>
      </c>
      <c r="N376" s="3">
        <f>IF($A376="","",IFERROR(INDEX('CAT_ESTADOS_ERP'!$B$4:$B$7,MATCH(IFERROR(INDEX('2_IMPORTAR_EJECUCION'!$C$9:$C$1208,MATCH($AQ376,'2_IMPORTAR_EJECUCION'!$J$9:$J$1208,0)),""),'CAT_ESTADOS_ERP'!$A$4:$A$7,0)),"Pendiente"))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J376="","",IFERROR(INDEX('CALENDARIO'!$C$15:$C$214,MATCH(TEXT($J376,"yyyy-mm-dd")&amp;"|"&amp;$V376&amp;"|"&amp;$W376,'CALENDARIO'!$G$15:$G$214,0)),IFERROR(INDEX('CALENDARIO'!$C$15:$C$214,MATCH(TEXT($J376,"yyyy-mm-dd")&amp;"|"&amp;$V376&amp;"|",'CALENDARIO'!$G$15:$G$214,0)),IFERROR(INDEX('CALENDARIO'!$C$15:$C$214,MATCH(TEXT($J376,"yyyy-mm-dd")&amp;"||",'CALENDARIO'!$G$15:$G$214,0)),INDEX(patronHabil,WEEKDAY($J376,2))))))</f>
        <v/>
      </c>
      <c r="T376" s="3">
        <f>IF($I376="","",IFERROR(INDEX('CAT_TIPOS_OT'!$C$4:$C$7,MATCH($I376,'CAT_TIPOS_OT'!$A$4:$A$7,0)),"sin_clasificar"))</f>
        <v/>
      </c>
      <c r="U376" s="3">
        <f>IF($F376="","",IFERROR(INDEX('CAT_CENTROS_COSTO'!$F$4:$F$13,MATCH($F376,'CAT_CENTROS_COSTO'!$A$4:$A$13,0)),"(sin catálogo)"))</f>
        <v/>
      </c>
      <c r="V376" s="3">
        <f>IF($F376="","",IFERROR(INDEX('CAT_CENTROS_COSTO'!$D$4:$D$13,MATCH($F376,'CAT_CENTROS_COSTO'!$A$4:$A$13,0)),"(sin catálogo)"))</f>
        <v/>
      </c>
      <c r="W376" s="3">
        <f>IF($F376="","",IF((IFERROR(INDEX('CAT_CENTROS_COSTO'!$E$4:$E$13,MATCH($F376,'CAT_CENTROS_COSTO'!$A$4:$A$13,0)),""))&lt;&gt;"",IFERROR(INDEX('CAT_CENTROS_COSTO'!$E$4:$E$13,MATCH($F376,'CAT_CENTROS_COSTO'!$A$4:$A$13,0)),""),$V376))</f>
        <v/>
      </c>
      <c r="X376" s="3">
        <f>IF($F376="","",IFERROR(INDEX('CAT_CENTROS_COSTO'!$G$4:$G$13,MATCH($F376,'CAT_CENTROS_COSTO'!$A$4:$A$13,0)),"(sin catálogo)"))</f>
        <v/>
      </c>
      <c r="Y376" s="3">
        <f>IF($G376="","",IFERROR(INDEX('CAT_PUESTOS'!$B$4:$B$8,MATCH($G376,'CAT_PUESTOS'!$A$4:$A$8,0)),"(sin catálogo)"))</f>
        <v/>
      </c>
      <c r="Z376" s="3">
        <f>IF($H376="","",IFERROR(INDEX('CAT_ACTIVIDADES'!$B$4:$B$8,MATCH($H376,'CAT_ACTIVIDADES'!$A$4:$A$8,0)),"(sin catálogo)"))</f>
        <v/>
      </c>
      <c r="AA376" s="12">
        <f>IF($J376="","",TODAY()-$J376)</f>
        <v/>
      </c>
      <c r="AB376" s="12">
        <f>IF($J376="","",IF($J376&lt;=TODAY(),COUNTIFS(cal_fechas,"&gt;="&amp;$J376,cal_fechas,"&lt;"&amp;TODAY(),cal_habil,"sí"),-COUNTIFS(cal_fechas,"&gt;="&amp;TODAY(),cal_fechas,"&lt;"&amp;$J376,cal_habil,"sí")))</f>
        <v/>
      </c>
      <c r="AC376" s="3">
        <f>IF($AB376="","",IF($AB376&lt;0,"FUTURO",IF($AB376&gt;p_dias_backlog_max,"BACKLOG","MES CORRIENTE")))</f>
        <v/>
      </c>
      <c r="AD376" s="3">
        <f>IF($AB376="",FALSE,AND($AB376&gt;p_dias_backlog_min,$AB376&lt;=p_dias_backlog_max))</f>
        <v/>
      </c>
      <c r="AE376" s="6" t="n"/>
      <c r="AF376" s="3">
        <f>IF($AE376="","",IF((IFERROR(INDEX('ASIGNACIONES'!$F$4:$F$339,MATCH($O376&amp;"|"&amp;$R376&amp;"|"&amp;$AE376,'ASIGNACIONES'!$J$4:$J$339,0)),""))=0,"",IFERROR(INDEX('ASIGNACIONES'!$F$4:$F$339,MATCH($O376&amp;"|"&amp;$R376&amp;"|"&amp;$AE376,'ASIGNACIONES'!$J$4:$J$339,0)),"")))</f>
        <v/>
      </c>
      <c r="AG376" s="13">
        <f>IF($AE376="","",SUMIFS('ORDENES'!$M$4:$M$1203,'ORDENES'!$AE$4:$AE$1203,$AE376,'ORDENES'!$O$4:$O$1203,$O376,'ORDENES'!$R$4:$R$1203,$R376))</f>
        <v/>
      </c>
      <c r="AH376" s="13">
        <f>IF($AG376="","",p_factor_productividad*IFERROR(INDEX('ASIGNACIONES'!$I$4:$I$339,MATCH($O376&amp;"|"&amp;$R376&amp;"|"&amp;$AE376,'ASIGNACIONES'!$J$4:$J$339,0)),0)-$AG376)</f>
        <v/>
      </c>
      <c r="AI376" s="10">
        <f>IF($A376="","",IFERROR(INDEX('2_IMPORTAR_EJECUCION'!$F$9:$F$1208,MATCH($AQ376,'2_IMPORTAR_EJECUCION'!$J$9:$J$1208,0)),0))</f>
        <v/>
      </c>
      <c r="AJ376" s="10">
        <f>IF($A376="","",MAX(0,IFERROR(INDEX('2_IMPORTAR_EJECUCION'!$H$9:$H$1208,MATCH($AQ376,'2_IMPORTAR_EJECUCION'!$J$9:$J$1208,0)),0)-$AI376))</f>
        <v/>
      </c>
      <c r="AK376" s="10">
        <f>IF($A376="","",$AI376+$AJ376)</f>
        <v/>
      </c>
      <c r="AL376" s="6" t="n"/>
      <c r="AM376" s="6" t="n"/>
      <c r="AN376" s="6" t="n"/>
      <c r="AO376" s="3">
        <f>IF($AN376="","",HYPERLINK(p_ruta_base_checklists&amp;$AN376,"abrir"))</f>
        <v/>
      </c>
      <c r="AP376" s="6" t="n"/>
      <c r="AQ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IF($A377="","",IFERROR(INDEX('AJUSTES'!$B$4:$B$303,MATCH($AQ377,'AJUSTES'!$A$4:$A$303,0)),IF($K377="","",$K377)))</f>
        <v/>
      </c>
      <c r="N377" s="3">
        <f>IF($A377="","",IFERROR(INDEX('CAT_ESTADOS_ERP'!$B$4:$B$7,MATCH(IFERROR(INDEX('2_IMPORTAR_EJECUCION'!$C$9:$C$1208,MATCH($AQ377,'2_IMPORTAR_EJECUCION'!$J$9:$J$1208,0)),""),'CAT_ESTADOS_ERP'!$A$4:$A$7,0)),"Pendiente"))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J377="","",IFERROR(INDEX('CALENDARIO'!$C$15:$C$214,MATCH(TEXT($J377,"yyyy-mm-dd")&amp;"|"&amp;$V377&amp;"|"&amp;$W377,'CALENDARIO'!$G$15:$G$214,0)),IFERROR(INDEX('CALENDARIO'!$C$15:$C$214,MATCH(TEXT($J377,"yyyy-mm-dd")&amp;"|"&amp;$V377&amp;"|",'CALENDARIO'!$G$15:$G$214,0)),IFERROR(INDEX('CALENDARIO'!$C$15:$C$214,MATCH(TEXT($J377,"yyyy-mm-dd")&amp;"||",'CALENDARIO'!$G$15:$G$214,0)),INDEX(patronHabil,WEEKDAY($J377,2))))))</f>
        <v/>
      </c>
      <c r="T377" s="3">
        <f>IF($I377="","",IFERROR(INDEX('CAT_TIPOS_OT'!$C$4:$C$7,MATCH($I377,'CAT_TIPOS_OT'!$A$4:$A$7,0)),"sin_clasificar"))</f>
        <v/>
      </c>
      <c r="U377" s="3">
        <f>IF($F377="","",IFERROR(INDEX('CAT_CENTROS_COSTO'!$F$4:$F$13,MATCH($F377,'CAT_CENTROS_COSTO'!$A$4:$A$13,0)),"(sin catálogo)"))</f>
        <v/>
      </c>
      <c r="V377" s="3">
        <f>IF($F377="","",IFERROR(INDEX('CAT_CENTROS_COSTO'!$D$4:$D$13,MATCH($F377,'CAT_CENTROS_COSTO'!$A$4:$A$13,0)),"(sin catálogo)"))</f>
        <v/>
      </c>
      <c r="W377" s="3">
        <f>IF($F377="","",IF((IFERROR(INDEX('CAT_CENTROS_COSTO'!$E$4:$E$13,MATCH($F377,'CAT_CENTROS_COSTO'!$A$4:$A$13,0)),""))&lt;&gt;"",IFERROR(INDEX('CAT_CENTROS_COSTO'!$E$4:$E$13,MATCH($F377,'CAT_CENTROS_COSTO'!$A$4:$A$13,0)),""),$V377))</f>
        <v/>
      </c>
      <c r="X377" s="3">
        <f>IF($F377="","",IFERROR(INDEX('CAT_CENTROS_COSTO'!$G$4:$G$13,MATCH($F377,'CAT_CENTROS_COSTO'!$A$4:$A$13,0)),"(sin catálogo)"))</f>
        <v/>
      </c>
      <c r="Y377" s="3">
        <f>IF($G377="","",IFERROR(INDEX('CAT_PUESTOS'!$B$4:$B$8,MATCH($G377,'CAT_PUESTOS'!$A$4:$A$8,0)),"(sin catálogo)"))</f>
        <v/>
      </c>
      <c r="Z377" s="3">
        <f>IF($H377="","",IFERROR(INDEX('CAT_ACTIVIDADES'!$B$4:$B$8,MATCH($H377,'CAT_ACTIVIDADES'!$A$4:$A$8,0)),"(sin catálogo)"))</f>
        <v/>
      </c>
      <c r="AA377" s="12">
        <f>IF($J377="","",TODAY()-$J377)</f>
        <v/>
      </c>
      <c r="AB377" s="12">
        <f>IF($J377="","",IF($J377&lt;=TODAY(),COUNTIFS(cal_fechas,"&gt;="&amp;$J377,cal_fechas,"&lt;"&amp;TODAY(),cal_habil,"sí"),-COUNTIFS(cal_fechas,"&gt;="&amp;TODAY(),cal_fechas,"&lt;"&amp;$J377,cal_habil,"sí")))</f>
        <v/>
      </c>
      <c r="AC377" s="3">
        <f>IF($AB377="","",IF($AB377&lt;0,"FUTURO",IF($AB377&gt;p_dias_backlog_max,"BACKLOG","MES CORRIENTE")))</f>
        <v/>
      </c>
      <c r="AD377" s="3">
        <f>IF($AB377="",FALSE,AND($AB377&gt;p_dias_backlog_min,$AB377&lt;=p_dias_backlog_max))</f>
        <v/>
      </c>
      <c r="AE377" s="6" t="n"/>
      <c r="AF377" s="3">
        <f>IF($AE377="","",IF((IFERROR(INDEX('ASIGNACIONES'!$F$4:$F$339,MATCH($O377&amp;"|"&amp;$R377&amp;"|"&amp;$AE377,'ASIGNACIONES'!$J$4:$J$339,0)),""))=0,"",IFERROR(INDEX('ASIGNACIONES'!$F$4:$F$339,MATCH($O377&amp;"|"&amp;$R377&amp;"|"&amp;$AE377,'ASIGNACIONES'!$J$4:$J$339,0)),"")))</f>
        <v/>
      </c>
      <c r="AG377" s="13">
        <f>IF($AE377="","",SUMIFS('ORDENES'!$M$4:$M$1203,'ORDENES'!$AE$4:$AE$1203,$AE377,'ORDENES'!$O$4:$O$1203,$O377,'ORDENES'!$R$4:$R$1203,$R377))</f>
        <v/>
      </c>
      <c r="AH377" s="13">
        <f>IF($AG377="","",p_factor_productividad*IFERROR(INDEX('ASIGNACIONES'!$I$4:$I$339,MATCH($O377&amp;"|"&amp;$R377&amp;"|"&amp;$AE377,'ASIGNACIONES'!$J$4:$J$339,0)),0)-$AG377)</f>
        <v/>
      </c>
      <c r="AI377" s="10">
        <f>IF($A377="","",IFERROR(INDEX('2_IMPORTAR_EJECUCION'!$F$9:$F$1208,MATCH($AQ377,'2_IMPORTAR_EJECUCION'!$J$9:$J$1208,0)),0))</f>
        <v/>
      </c>
      <c r="AJ377" s="10">
        <f>IF($A377="","",MAX(0,IFERROR(INDEX('2_IMPORTAR_EJECUCION'!$H$9:$H$1208,MATCH($AQ377,'2_IMPORTAR_EJECUCION'!$J$9:$J$1208,0)),0)-$AI377))</f>
        <v/>
      </c>
      <c r="AK377" s="10">
        <f>IF($A377="","",$AI377+$AJ377)</f>
        <v/>
      </c>
      <c r="AL377" s="6" t="n"/>
      <c r="AM377" s="6" t="n"/>
      <c r="AN377" s="6" t="n"/>
      <c r="AO377" s="3">
        <f>IF($AN377="","",HYPERLINK(p_ruta_base_checklists&amp;$AN377,"abrir"))</f>
        <v/>
      </c>
      <c r="AP377" s="6" t="n"/>
      <c r="AQ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IF($A378="","",IFERROR(INDEX('AJUSTES'!$B$4:$B$303,MATCH($AQ378,'AJUSTES'!$A$4:$A$303,0)),IF($K378="","",$K378)))</f>
        <v/>
      </c>
      <c r="N378" s="3">
        <f>IF($A378="","",IFERROR(INDEX('CAT_ESTADOS_ERP'!$B$4:$B$7,MATCH(IFERROR(INDEX('2_IMPORTAR_EJECUCION'!$C$9:$C$1208,MATCH($AQ378,'2_IMPORTAR_EJECUCION'!$J$9:$J$1208,0)),""),'CAT_ESTADOS_ERP'!$A$4:$A$7,0)),"Pendiente"))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J378="","",IFERROR(INDEX('CALENDARIO'!$C$15:$C$214,MATCH(TEXT($J378,"yyyy-mm-dd")&amp;"|"&amp;$V378&amp;"|"&amp;$W378,'CALENDARIO'!$G$15:$G$214,0)),IFERROR(INDEX('CALENDARIO'!$C$15:$C$214,MATCH(TEXT($J378,"yyyy-mm-dd")&amp;"|"&amp;$V378&amp;"|",'CALENDARIO'!$G$15:$G$214,0)),IFERROR(INDEX('CALENDARIO'!$C$15:$C$214,MATCH(TEXT($J378,"yyyy-mm-dd")&amp;"||",'CALENDARIO'!$G$15:$G$214,0)),INDEX(patronHabil,WEEKDAY($J378,2))))))</f>
        <v/>
      </c>
      <c r="T378" s="3">
        <f>IF($I378="","",IFERROR(INDEX('CAT_TIPOS_OT'!$C$4:$C$7,MATCH($I378,'CAT_TIPOS_OT'!$A$4:$A$7,0)),"sin_clasificar"))</f>
        <v/>
      </c>
      <c r="U378" s="3">
        <f>IF($F378="","",IFERROR(INDEX('CAT_CENTROS_COSTO'!$F$4:$F$13,MATCH($F378,'CAT_CENTROS_COSTO'!$A$4:$A$13,0)),"(sin catálogo)"))</f>
        <v/>
      </c>
      <c r="V378" s="3">
        <f>IF($F378="","",IFERROR(INDEX('CAT_CENTROS_COSTO'!$D$4:$D$13,MATCH($F378,'CAT_CENTROS_COSTO'!$A$4:$A$13,0)),"(sin catálogo)"))</f>
        <v/>
      </c>
      <c r="W378" s="3">
        <f>IF($F378="","",IF((IFERROR(INDEX('CAT_CENTROS_COSTO'!$E$4:$E$13,MATCH($F378,'CAT_CENTROS_COSTO'!$A$4:$A$13,0)),""))&lt;&gt;"",IFERROR(INDEX('CAT_CENTROS_COSTO'!$E$4:$E$13,MATCH($F378,'CAT_CENTROS_COSTO'!$A$4:$A$13,0)),""),$V378))</f>
        <v/>
      </c>
      <c r="X378" s="3">
        <f>IF($F378="","",IFERROR(INDEX('CAT_CENTROS_COSTO'!$G$4:$G$13,MATCH($F378,'CAT_CENTROS_COSTO'!$A$4:$A$13,0)),"(sin catálogo)"))</f>
        <v/>
      </c>
      <c r="Y378" s="3">
        <f>IF($G378="","",IFERROR(INDEX('CAT_PUESTOS'!$B$4:$B$8,MATCH($G378,'CAT_PUESTOS'!$A$4:$A$8,0)),"(sin catálogo)"))</f>
        <v/>
      </c>
      <c r="Z378" s="3">
        <f>IF($H378="","",IFERROR(INDEX('CAT_ACTIVIDADES'!$B$4:$B$8,MATCH($H378,'CAT_ACTIVIDADES'!$A$4:$A$8,0)),"(sin catálogo)"))</f>
        <v/>
      </c>
      <c r="AA378" s="12">
        <f>IF($J378="","",TODAY()-$J378)</f>
        <v/>
      </c>
      <c r="AB378" s="12">
        <f>IF($J378="","",IF($J378&lt;=TODAY(),COUNTIFS(cal_fechas,"&gt;="&amp;$J378,cal_fechas,"&lt;"&amp;TODAY(),cal_habil,"sí"),-COUNTIFS(cal_fechas,"&gt;="&amp;TODAY(),cal_fechas,"&lt;"&amp;$J378,cal_habil,"sí")))</f>
        <v/>
      </c>
      <c r="AC378" s="3">
        <f>IF($AB378="","",IF($AB378&lt;0,"FUTURO",IF($AB378&gt;p_dias_backlog_max,"BACKLOG","MES CORRIENTE")))</f>
        <v/>
      </c>
      <c r="AD378" s="3">
        <f>IF($AB378="",FALSE,AND($AB378&gt;p_dias_backlog_min,$AB378&lt;=p_dias_backlog_max))</f>
        <v/>
      </c>
      <c r="AE378" s="6" t="n"/>
      <c r="AF378" s="3">
        <f>IF($AE378="","",IF((IFERROR(INDEX('ASIGNACIONES'!$F$4:$F$339,MATCH($O378&amp;"|"&amp;$R378&amp;"|"&amp;$AE378,'ASIGNACIONES'!$J$4:$J$339,0)),""))=0,"",IFERROR(INDEX('ASIGNACIONES'!$F$4:$F$339,MATCH($O378&amp;"|"&amp;$R378&amp;"|"&amp;$AE378,'ASIGNACIONES'!$J$4:$J$339,0)),"")))</f>
        <v/>
      </c>
      <c r="AG378" s="13">
        <f>IF($AE378="","",SUMIFS('ORDENES'!$M$4:$M$1203,'ORDENES'!$AE$4:$AE$1203,$AE378,'ORDENES'!$O$4:$O$1203,$O378,'ORDENES'!$R$4:$R$1203,$R378))</f>
        <v/>
      </c>
      <c r="AH378" s="13">
        <f>IF($AG378="","",p_factor_productividad*IFERROR(INDEX('ASIGNACIONES'!$I$4:$I$339,MATCH($O378&amp;"|"&amp;$R378&amp;"|"&amp;$AE378,'ASIGNACIONES'!$J$4:$J$339,0)),0)-$AG378)</f>
        <v/>
      </c>
      <c r="AI378" s="10">
        <f>IF($A378="","",IFERROR(INDEX('2_IMPORTAR_EJECUCION'!$F$9:$F$1208,MATCH($AQ378,'2_IMPORTAR_EJECUCION'!$J$9:$J$1208,0)),0))</f>
        <v/>
      </c>
      <c r="AJ378" s="10">
        <f>IF($A378="","",MAX(0,IFERROR(INDEX('2_IMPORTAR_EJECUCION'!$H$9:$H$1208,MATCH($AQ378,'2_IMPORTAR_EJECUCION'!$J$9:$J$1208,0)),0)-$AI378))</f>
        <v/>
      </c>
      <c r="AK378" s="10">
        <f>IF($A378="","",$AI378+$AJ378)</f>
        <v/>
      </c>
      <c r="AL378" s="6" t="n"/>
      <c r="AM378" s="6" t="n"/>
      <c r="AN378" s="6" t="n"/>
      <c r="AO378" s="3">
        <f>IF($AN378="","",HYPERLINK(p_ruta_base_checklists&amp;$AN378,"abrir"))</f>
        <v/>
      </c>
      <c r="AP378" s="6" t="n"/>
      <c r="AQ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IF($A379="","",IFERROR(INDEX('AJUSTES'!$B$4:$B$303,MATCH($AQ379,'AJUSTES'!$A$4:$A$303,0)),IF($K379="","",$K379)))</f>
        <v/>
      </c>
      <c r="N379" s="3">
        <f>IF($A379="","",IFERROR(INDEX('CAT_ESTADOS_ERP'!$B$4:$B$7,MATCH(IFERROR(INDEX('2_IMPORTAR_EJECUCION'!$C$9:$C$1208,MATCH($AQ379,'2_IMPORTAR_EJECUCION'!$J$9:$J$1208,0)),""),'CAT_ESTADOS_ERP'!$A$4:$A$7,0)),"Pendiente"))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J379="","",IFERROR(INDEX('CALENDARIO'!$C$15:$C$214,MATCH(TEXT($J379,"yyyy-mm-dd")&amp;"|"&amp;$V379&amp;"|"&amp;$W379,'CALENDARIO'!$G$15:$G$214,0)),IFERROR(INDEX('CALENDARIO'!$C$15:$C$214,MATCH(TEXT($J379,"yyyy-mm-dd")&amp;"|"&amp;$V379&amp;"|",'CALENDARIO'!$G$15:$G$214,0)),IFERROR(INDEX('CALENDARIO'!$C$15:$C$214,MATCH(TEXT($J379,"yyyy-mm-dd")&amp;"||",'CALENDARIO'!$G$15:$G$214,0)),INDEX(patronHabil,WEEKDAY($J379,2))))))</f>
        <v/>
      </c>
      <c r="T379" s="3">
        <f>IF($I379="","",IFERROR(INDEX('CAT_TIPOS_OT'!$C$4:$C$7,MATCH($I379,'CAT_TIPOS_OT'!$A$4:$A$7,0)),"sin_clasificar"))</f>
        <v/>
      </c>
      <c r="U379" s="3">
        <f>IF($F379="","",IFERROR(INDEX('CAT_CENTROS_COSTO'!$F$4:$F$13,MATCH($F379,'CAT_CENTROS_COSTO'!$A$4:$A$13,0)),"(sin catálogo)"))</f>
        <v/>
      </c>
      <c r="V379" s="3">
        <f>IF($F379="","",IFERROR(INDEX('CAT_CENTROS_COSTO'!$D$4:$D$13,MATCH($F379,'CAT_CENTROS_COSTO'!$A$4:$A$13,0)),"(sin catálogo)"))</f>
        <v/>
      </c>
      <c r="W379" s="3">
        <f>IF($F379="","",IF((IFERROR(INDEX('CAT_CENTROS_COSTO'!$E$4:$E$13,MATCH($F379,'CAT_CENTROS_COSTO'!$A$4:$A$13,0)),""))&lt;&gt;"",IFERROR(INDEX('CAT_CENTROS_COSTO'!$E$4:$E$13,MATCH($F379,'CAT_CENTROS_COSTO'!$A$4:$A$13,0)),""),$V379))</f>
        <v/>
      </c>
      <c r="X379" s="3">
        <f>IF($F379="","",IFERROR(INDEX('CAT_CENTROS_COSTO'!$G$4:$G$13,MATCH($F379,'CAT_CENTROS_COSTO'!$A$4:$A$13,0)),"(sin catálogo)"))</f>
        <v/>
      </c>
      <c r="Y379" s="3">
        <f>IF($G379="","",IFERROR(INDEX('CAT_PUESTOS'!$B$4:$B$8,MATCH($G379,'CAT_PUESTOS'!$A$4:$A$8,0)),"(sin catálogo)"))</f>
        <v/>
      </c>
      <c r="Z379" s="3">
        <f>IF($H379="","",IFERROR(INDEX('CAT_ACTIVIDADES'!$B$4:$B$8,MATCH($H379,'CAT_ACTIVIDADES'!$A$4:$A$8,0)),"(sin catálogo)"))</f>
        <v/>
      </c>
      <c r="AA379" s="12">
        <f>IF($J379="","",TODAY()-$J379)</f>
        <v/>
      </c>
      <c r="AB379" s="12">
        <f>IF($J379="","",IF($J379&lt;=TODAY(),COUNTIFS(cal_fechas,"&gt;="&amp;$J379,cal_fechas,"&lt;"&amp;TODAY(),cal_habil,"sí"),-COUNTIFS(cal_fechas,"&gt;="&amp;TODAY(),cal_fechas,"&lt;"&amp;$J379,cal_habil,"sí")))</f>
        <v/>
      </c>
      <c r="AC379" s="3">
        <f>IF($AB379="","",IF($AB379&lt;0,"FUTURO",IF($AB379&gt;p_dias_backlog_max,"BACKLOG","MES CORRIENTE")))</f>
        <v/>
      </c>
      <c r="AD379" s="3">
        <f>IF($AB379="",FALSE,AND($AB379&gt;p_dias_backlog_min,$AB379&lt;=p_dias_backlog_max))</f>
        <v/>
      </c>
      <c r="AE379" s="6" t="n"/>
      <c r="AF379" s="3">
        <f>IF($AE379="","",IF((IFERROR(INDEX('ASIGNACIONES'!$F$4:$F$339,MATCH($O379&amp;"|"&amp;$R379&amp;"|"&amp;$AE379,'ASIGNACIONES'!$J$4:$J$339,0)),""))=0,"",IFERROR(INDEX('ASIGNACIONES'!$F$4:$F$339,MATCH($O379&amp;"|"&amp;$R379&amp;"|"&amp;$AE379,'ASIGNACIONES'!$J$4:$J$339,0)),"")))</f>
        <v/>
      </c>
      <c r="AG379" s="13">
        <f>IF($AE379="","",SUMIFS('ORDENES'!$M$4:$M$1203,'ORDENES'!$AE$4:$AE$1203,$AE379,'ORDENES'!$O$4:$O$1203,$O379,'ORDENES'!$R$4:$R$1203,$R379))</f>
        <v/>
      </c>
      <c r="AH379" s="13">
        <f>IF($AG379="","",p_factor_productividad*IFERROR(INDEX('ASIGNACIONES'!$I$4:$I$339,MATCH($O379&amp;"|"&amp;$R379&amp;"|"&amp;$AE379,'ASIGNACIONES'!$J$4:$J$339,0)),0)-$AG379)</f>
        <v/>
      </c>
      <c r="AI379" s="10">
        <f>IF($A379="","",IFERROR(INDEX('2_IMPORTAR_EJECUCION'!$F$9:$F$1208,MATCH($AQ379,'2_IMPORTAR_EJECUCION'!$J$9:$J$1208,0)),0))</f>
        <v/>
      </c>
      <c r="AJ379" s="10">
        <f>IF($A379="","",MAX(0,IFERROR(INDEX('2_IMPORTAR_EJECUCION'!$H$9:$H$1208,MATCH($AQ379,'2_IMPORTAR_EJECUCION'!$J$9:$J$1208,0)),0)-$AI379))</f>
        <v/>
      </c>
      <c r="AK379" s="10">
        <f>IF($A379="","",$AI379+$AJ379)</f>
        <v/>
      </c>
      <c r="AL379" s="6" t="n"/>
      <c r="AM379" s="6" t="n"/>
      <c r="AN379" s="6" t="n"/>
      <c r="AO379" s="3">
        <f>IF($AN379="","",HYPERLINK(p_ruta_base_checklists&amp;$AN379,"abrir"))</f>
        <v/>
      </c>
      <c r="AP379" s="6" t="n"/>
      <c r="AQ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IF($A380="","",IFERROR(INDEX('AJUSTES'!$B$4:$B$303,MATCH($AQ380,'AJUSTES'!$A$4:$A$303,0)),IF($K380="","",$K380)))</f>
        <v/>
      </c>
      <c r="N380" s="3">
        <f>IF($A380="","",IFERROR(INDEX('CAT_ESTADOS_ERP'!$B$4:$B$7,MATCH(IFERROR(INDEX('2_IMPORTAR_EJECUCION'!$C$9:$C$1208,MATCH($AQ380,'2_IMPORTAR_EJECUCION'!$J$9:$J$1208,0)),""),'CAT_ESTADOS_ERP'!$A$4:$A$7,0)),"Pendiente"))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J380="","",IFERROR(INDEX('CALENDARIO'!$C$15:$C$214,MATCH(TEXT($J380,"yyyy-mm-dd")&amp;"|"&amp;$V380&amp;"|"&amp;$W380,'CALENDARIO'!$G$15:$G$214,0)),IFERROR(INDEX('CALENDARIO'!$C$15:$C$214,MATCH(TEXT($J380,"yyyy-mm-dd")&amp;"|"&amp;$V380&amp;"|",'CALENDARIO'!$G$15:$G$214,0)),IFERROR(INDEX('CALENDARIO'!$C$15:$C$214,MATCH(TEXT($J380,"yyyy-mm-dd")&amp;"||",'CALENDARIO'!$G$15:$G$214,0)),INDEX(patronHabil,WEEKDAY($J380,2))))))</f>
        <v/>
      </c>
      <c r="T380" s="3">
        <f>IF($I380="","",IFERROR(INDEX('CAT_TIPOS_OT'!$C$4:$C$7,MATCH($I380,'CAT_TIPOS_OT'!$A$4:$A$7,0)),"sin_clasificar"))</f>
        <v/>
      </c>
      <c r="U380" s="3">
        <f>IF($F380="","",IFERROR(INDEX('CAT_CENTROS_COSTO'!$F$4:$F$13,MATCH($F380,'CAT_CENTROS_COSTO'!$A$4:$A$13,0)),"(sin catálogo)"))</f>
        <v/>
      </c>
      <c r="V380" s="3">
        <f>IF($F380="","",IFERROR(INDEX('CAT_CENTROS_COSTO'!$D$4:$D$13,MATCH($F380,'CAT_CENTROS_COSTO'!$A$4:$A$13,0)),"(sin catálogo)"))</f>
        <v/>
      </c>
      <c r="W380" s="3">
        <f>IF($F380="","",IF((IFERROR(INDEX('CAT_CENTROS_COSTO'!$E$4:$E$13,MATCH($F380,'CAT_CENTROS_COSTO'!$A$4:$A$13,0)),""))&lt;&gt;"",IFERROR(INDEX('CAT_CENTROS_COSTO'!$E$4:$E$13,MATCH($F380,'CAT_CENTROS_COSTO'!$A$4:$A$13,0)),""),$V380))</f>
        <v/>
      </c>
      <c r="X380" s="3">
        <f>IF($F380="","",IFERROR(INDEX('CAT_CENTROS_COSTO'!$G$4:$G$13,MATCH($F380,'CAT_CENTROS_COSTO'!$A$4:$A$13,0)),"(sin catálogo)"))</f>
        <v/>
      </c>
      <c r="Y380" s="3">
        <f>IF($G380="","",IFERROR(INDEX('CAT_PUESTOS'!$B$4:$B$8,MATCH($G380,'CAT_PUESTOS'!$A$4:$A$8,0)),"(sin catálogo)"))</f>
        <v/>
      </c>
      <c r="Z380" s="3">
        <f>IF($H380="","",IFERROR(INDEX('CAT_ACTIVIDADES'!$B$4:$B$8,MATCH($H380,'CAT_ACTIVIDADES'!$A$4:$A$8,0)),"(sin catálogo)"))</f>
        <v/>
      </c>
      <c r="AA380" s="12">
        <f>IF($J380="","",TODAY()-$J380)</f>
        <v/>
      </c>
      <c r="AB380" s="12">
        <f>IF($J380="","",IF($J380&lt;=TODAY(),COUNTIFS(cal_fechas,"&gt;="&amp;$J380,cal_fechas,"&lt;"&amp;TODAY(),cal_habil,"sí"),-COUNTIFS(cal_fechas,"&gt;="&amp;TODAY(),cal_fechas,"&lt;"&amp;$J380,cal_habil,"sí")))</f>
        <v/>
      </c>
      <c r="AC380" s="3">
        <f>IF($AB380="","",IF($AB380&lt;0,"FUTURO",IF($AB380&gt;p_dias_backlog_max,"BACKLOG","MES CORRIENTE")))</f>
        <v/>
      </c>
      <c r="AD380" s="3">
        <f>IF($AB380="",FALSE,AND($AB380&gt;p_dias_backlog_min,$AB380&lt;=p_dias_backlog_max))</f>
        <v/>
      </c>
      <c r="AE380" s="6" t="n"/>
      <c r="AF380" s="3">
        <f>IF($AE380="","",IF((IFERROR(INDEX('ASIGNACIONES'!$F$4:$F$339,MATCH($O380&amp;"|"&amp;$R380&amp;"|"&amp;$AE380,'ASIGNACIONES'!$J$4:$J$339,0)),""))=0,"",IFERROR(INDEX('ASIGNACIONES'!$F$4:$F$339,MATCH($O380&amp;"|"&amp;$R380&amp;"|"&amp;$AE380,'ASIGNACIONES'!$J$4:$J$339,0)),"")))</f>
        <v/>
      </c>
      <c r="AG380" s="13">
        <f>IF($AE380="","",SUMIFS('ORDENES'!$M$4:$M$1203,'ORDENES'!$AE$4:$AE$1203,$AE380,'ORDENES'!$O$4:$O$1203,$O380,'ORDENES'!$R$4:$R$1203,$R380))</f>
        <v/>
      </c>
      <c r="AH380" s="13">
        <f>IF($AG380="","",p_factor_productividad*IFERROR(INDEX('ASIGNACIONES'!$I$4:$I$339,MATCH($O380&amp;"|"&amp;$R380&amp;"|"&amp;$AE380,'ASIGNACIONES'!$J$4:$J$339,0)),0)-$AG380)</f>
        <v/>
      </c>
      <c r="AI380" s="10">
        <f>IF($A380="","",IFERROR(INDEX('2_IMPORTAR_EJECUCION'!$F$9:$F$1208,MATCH($AQ380,'2_IMPORTAR_EJECUCION'!$J$9:$J$1208,0)),0))</f>
        <v/>
      </c>
      <c r="AJ380" s="10">
        <f>IF($A380="","",MAX(0,IFERROR(INDEX('2_IMPORTAR_EJECUCION'!$H$9:$H$1208,MATCH($AQ380,'2_IMPORTAR_EJECUCION'!$J$9:$J$1208,0)),0)-$AI380))</f>
        <v/>
      </c>
      <c r="AK380" s="10">
        <f>IF($A380="","",$AI380+$AJ380)</f>
        <v/>
      </c>
      <c r="AL380" s="6" t="n"/>
      <c r="AM380" s="6" t="n"/>
      <c r="AN380" s="6" t="n"/>
      <c r="AO380" s="3">
        <f>IF($AN380="","",HYPERLINK(p_ruta_base_checklists&amp;$AN380,"abrir"))</f>
        <v/>
      </c>
      <c r="AP380" s="6" t="n"/>
      <c r="AQ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IF($A381="","",IFERROR(INDEX('AJUSTES'!$B$4:$B$303,MATCH($AQ381,'AJUSTES'!$A$4:$A$303,0)),IF($K381="","",$K381)))</f>
        <v/>
      </c>
      <c r="N381" s="3">
        <f>IF($A381="","",IFERROR(INDEX('CAT_ESTADOS_ERP'!$B$4:$B$7,MATCH(IFERROR(INDEX('2_IMPORTAR_EJECUCION'!$C$9:$C$1208,MATCH($AQ381,'2_IMPORTAR_EJECUCION'!$J$9:$J$1208,0)),""),'CAT_ESTADOS_ERP'!$A$4:$A$7,0)),"Pendiente"))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J381="","",IFERROR(INDEX('CALENDARIO'!$C$15:$C$214,MATCH(TEXT($J381,"yyyy-mm-dd")&amp;"|"&amp;$V381&amp;"|"&amp;$W381,'CALENDARIO'!$G$15:$G$214,0)),IFERROR(INDEX('CALENDARIO'!$C$15:$C$214,MATCH(TEXT($J381,"yyyy-mm-dd")&amp;"|"&amp;$V381&amp;"|",'CALENDARIO'!$G$15:$G$214,0)),IFERROR(INDEX('CALENDARIO'!$C$15:$C$214,MATCH(TEXT($J381,"yyyy-mm-dd")&amp;"||",'CALENDARIO'!$G$15:$G$214,0)),INDEX(patronHabil,WEEKDAY($J381,2))))))</f>
        <v/>
      </c>
      <c r="T381" s="3">
        <f>IF($I381="","",IFERROR(INDEX('CAT_TIPOS_OT'!$C$4:$C$7,MATCH($I381,'CAT_TIPOS_OT'!$A$4:$A$7,0)),"sin_clasificar"))</f>
        <v/>
      </c>
      <c r="U381" s="3">
        <f>IF($F381="","",IFERROR(INDEX('CAT_CENTROS_COSTO'!$F$4:$F$13,MATCH($F381,'CAT_CENTROS_COSTO'!$A$4:$A$13,0)),"(sin catálogo)"))</f>
        <v/>
      </c>
      <c r="V381" s="3">
        <f>IF($F381="","",IFERROR(INDEX('CAT_CENTROS_COSTO'!$D$4:$D$13,MATCH($F381,'CAT_CENTROS_COSTO'!$A$4:$A$13,0)),"(sin catálogo)"))</f>
        <v/>
      </c>
      <c r="W381" s="3">
        <f>IF($F381="","",IF((IFERROR(INDEX('CAT_CENTROS_COSTO'!$E$4:$E$13,MATCH($F381,'CAT_CENTROS_COSTO'!$A$4:$A$13,0)),""))&lt;&gt;"",IFERROR(INDEX('CAT_CENTROS_COSTO'!$E$4:$E$13,MATCH($F381,'CAT_CENTROS_COSTO'!$A$4:$A$13,0)),""),$V381))</f>
        <v/>
      </c>
      <c r="X381" s="3">
        <f>IF($F381="","",IFERROR(INDEX('CAT_CENTROS_COSTO'!$G$4:$G$13,MATCH($F381,'CAT_CENTROS_COSTO'!$A$4:$A$13,0)),"(sin catálogo)"))</f>
        <v/>
      </c>
      <c r="Y381" s="3">
        <f>IF($G381="","",IFERROR(INDEX('CAT_PUESTOS'!$B$4:$B$8,MATCH($G381,'CAT_PUESTOS'!$A$4:$A$8,0)),"(sin catálogo)"))</f>
        <v/>
      </c>
      <c r="Z381" s="3">
        <f>IF($H381="","",IFERROR(INDEX('CAT_ACTIVIDADES'!$B$4:$B$8,MATCH($H381,'CAT_ACTIVIDADES'!$A$4:$A$8,0)),"(sin catálogo)"))</f>
        <v/>
      </c>
      <c r="AA381" s="12">
        <f>IF($J381="","",TODAY()-$J381)</f>
        <v/>
      </c>
      <c r="AB381" s="12">
        <f>IF($J381="","",IF($J381&lt;=TODAY(),COUNTIFS(cal_fechas,"&gt;="&amp;$J381,cal_fechas,"&lt;"&amp;TODAY(),cal_habil,"sí"),-COUNTIFS(cal_fechas,"&gt;="&amp;TODAY(),cal_fechas,"&lt;"&amp;$J381,cal_habil,"sí")))</f>
        <v/>
      </c>
      <c r="AC381" s="3">
        <f>IF($AB381="","",IF($AB381&lt;0,"FUTURO",IF($AB381&gt;p_dias_backlog_max,"BACKLOG","MES CORRIENTE")))</f>
        <v/>
      </c>
      <c r="AD381" s="3">
        <f>IF($AB381="",FALSE,AND($AB381&gt;p_dias_backlog_min,$AB381&lt;=p_dias_backlog_max))</f>
        <v/>
      </c>
      <c r="AE381" s="6" t="n"/>
      <c r="AF381" s="3">
        <f>IF($AE381="","",IF((IFERROR(INDEX('ASIGNACIONES'!$F$4:$F$339,MATCH($O381&amp;"|"&amp;$R381&amp;"|"&amp;$AE381,'ASIGNACIONES'!$J$4:$J$339,0)),""))=0,"",IFERROR(INDEX('ASIGNACIONES'!$F$4:$F$339,MATCH($O381&amp;"|"&amp;$R381&amp;"|"&amp;$AE381,'ASIGNACIONES'!$J$4:$J$339,0)),"")))</f>
        <v/>
      </c>
      <c r="AG381" s="13">
        <f>IF($AE381="","",SUMIFS('ORDENES'!$M$4:$M$1203,'ORDENES'!$AE$4:$AE$1203,$AE381,'ORDENES'!$O$4:$O$1203,$O381,'ORDENES'!$R$4:$R$1203,$R381))</f>
        <v/>
      </c>
      <c r="AH381" s="13">
        <f>IF($AG381="","",p_factor_productividad*IFERROR(INDEX('ASIGNACIONES'!$I$4:$I$339,MATCH($O381&amp;"|"&amp;$R381&amp;"|"&amp;$AE381,'ASIGNACIONES'!$J$4:$J$339,0)),0)-$AG381)</f>
        <v/>
      </c>
      <c r="AI381" s="10">
        <f>IF($A381="","",IFERROR(INDEX('2_IMPORTAR_EJECUCION'!$F$9:$F$1208,MATCH($AQ381,'2_IMPORTAR_EJECUCION'!$J$9:$J$1208,0)),0))</f>
        <v/>
      </c>
      <c r="AJ381" s="10">
        <f>IF($A381="","",MAX(0,IFERROR(INDEX('2_IMPORTAR_EJECUCION'!$H$9:$H$1208,MATCH($AQ381,'2_IMPORTAR_EJECUCION'!$J$9:$J$1208,0)),0)-$AI381))</f>
        <v/>
      </c>
      <c r="AK381" s="10">
        <f>IF($A381="","",$AI381+$AJ381)</f>
        <v/>
      </c>
      <c r="AL381" s="6" t="n"/>
      <c r="AM381" s="6" t="n"/>
      <c r="AN381" s="6" t="n"/>
      <c r="AO381" s="3">
        <f>IF($AN381="","",HYPERLINK(p_ruta_base_checklists&amp;$AN381,"abrir"))</f>
        <v/>
      </c>
      <c r="AP381" s="6" t="n"/>
      <c r="AQ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IF($A382="","",IFERROR(INDEX('AJUSTES'!$B$4:$B$303,MATCH($AQ382,'AJUSTES'!$A$4:$A$303,0)),IF($K382="","",$K382)))</f>
        <v/>
      </c>
      <c r="N382" s="3">
        <f>IF($A382="","",IFERROR(INDEX('CAT_ESTADOS_ERP'!$B$4:$B$7,MATCH(IFERROR(INDEX('2_IMPORTAR_EJECUCION'!$C$9:$C$1208,MATCH($AQ382,'2_IMPORTAR_EJECUCION'!$J$9:$J$1208,0)),""),'CAT_ESTADOS_ERP'!$A$4:$A$7,0)),"Pendiente"))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J382="","",IFERROR(INDEX('CALENDARIO'!$C$15:$C$214,MATCH(TEXT($J382,"yyyy-mm-dd")&amp;"|"&amp;$V382&amp;"|"&amp;$W382,'CALENDARIO'!$G$15:$G$214,0)),IFERROR(INDEX('CALENDARIO'!$C$15:$C$214,MATCH(TEXT($J382,"yyyy-mm-dd")&amp;"|"&amp;$V382&amp;"|",'CALENDARIO'!$G$15:$G$214,0)),IFERROR(INDEX('CALENDARIO'!$C$15:$C$214,MATCH(TEXT($J382,"yyyy-mm-dd")&amp;"||",'CALENDARIO'!$G$15:$G$214,0)),INDEX(patronHabil,WEEKDAY($J382,2))))))</f>
        <v/>
      </c>
      <c r="T382" s="3">
        <f>IF($I382="","",IFERROR(INDEX('CAT_TIPOS_OT'!$C$4:$C$7,MATCH($I382,'CAT_TIPOS_OT'!$A$4:$A$7,0)),"sin_clasificar"))</f>
        <v/>
      </c>
      <c r="U382" s="3">
        <f>IF($F382="","",IFERROR(INDEX('CAT_CENTROS_COSTO'!$F$4:$F$13,MATCH($F382,'CAT_CENTROS_COSTO'!$A$4:$A$13,0)),"(sin catálogo)"))</f>
        <v/>
      </c>
      <c r="V382" s="3">
        <f>IF($F382="","",IFERROR(INDEX('CAT_CENTROS_COSTO'!$D$4:$D$13,MATCH($F382,'CAT_CENTROS_COSTO'!$A$4:$A$13,0)),"(sin catálogo)"))</f>
        <v/>
      </c>
      <c r="W382" s="3">
        <f>IF($F382="","",IF((IFERROR(INDEX('CAT_CENTROS_COSTO'!$E$4:$E$13,MATCH($F382,'CAT_CENTROS_COSTO'!$A$4:$A$13,0)),""))&lt;&gt;"",IFERROR(INDEX('CAT_CENTROS_COSTO'!$E$4:$E$13,MATCH($F382,'CAT_CENTROS_COSTO'!$A$4:$A$13,0)),""),$V382))</f>
        <v/>
      </c>
      <c r="X382" s="3">
        <f>IF($F382="","",IFERROR(INDEX('CAT_CENTROS_COSTO'!$G$4:$G$13,MATCH($F382,'CAT_CENTROS_COSTO'!$A$4:$A$13,0)),"(sin catálogo)"))</f>
        <v/>
      </c>
      <c r="Y382" s="3">
        <f>IF($G382="","",IFERROR(INDEX('CAT_PUESTOS'!$B$4:$B$8,MATCH($G382,'CAT_PUESTOS'!$A$4:$A$8,0)),"(sin catálogo)"))</f>
        <v/>
      </c>
      <c r="Z382" s="3">
        <f>IF($H382="","",IFERROR(INDEX('CAT_ACTIVIDADES'!$B$4:$B$8,MATCH($H382,'CAT_ACTIVIDADES'!$A$4:$A$8,0)),"(sin catálogo)"))</f>
        <v/>
      </c>
      <c r="AA382" s="12">
        <f>IF($J382="","",TODAY()-$J382)</f>
        <v/>
      </c>
      <c r="AB382" s="12">
        <f>IF($J382="","",IF($J382&lt;=TODAY(),COUNTIFS(cal_fechas,"&gt;="&amp;$J382,cal_fechas,"&lt;"&amp;TODAY(),cal_habil,"sí"),-COUNTIFS(cal_fechas,"&gt;="&amp;TODAY(),cal_fechas,"&lt;"&amp;$J382,cal_habil,"sí")))</f>
        <v/>
      </c>
      <c r="AC382" s="3">
        <f>IF($AB382="","",IF($AB382&lt;0,"FUTURO",IF($AB382&gt;p_dias_backlog_max,"BACKLOG","MES CORRIENTE")))</f>
        <v/>
      </c>
      <c r="AD382" s="3">
        <f>IF($AB382="",FALSE,AND($AB382&gt;p_dias_backlog_min,$AB382&lt;=p_dias_backlog_max))</f>
        <v/>
      </c>
      <c r="AE382" s="6" t="n"/>
      <c r="AF382" s="3">
        <f>IF($AE382="","",IF((IFERROR(INDEX('ASIGNACIONES'!$F$4:$F$339,MATCH($O382&amp;"|"&amp;$R382&amp;"|"&amp;$AE382,'ASIGNACIONES'!$J$4:$J$339,0)),""))=0,"",IFERROR(INDEX('ASIGNACIONES'!$F$4:$F$339,MATCH($O382&amp;"|"&amp;$R382&amp;"|"&amp;$AE382,'ASIGNACIONES'!$J$4:$J$339,0)),"")))</f>
        <v/>
      </c>
      <c r="AG382" s="13">
        <f>IF($AE382="","",SUMIFS('ORDENES'!$M$4:$M$1203,'ORDENES'!$AE$4:$AE$1203,$AE382,'ORDENES'!$O$4:$O$1203,$O382,'ORDENES'!$R$4:$R$1203,$R382))</f>
        <v/>
      </c>
      <c r="AH382" s="13">
        <f>IF($AG382="","",p_factor_productividad*IFERROR(INDEX('ASIGNACIONES'!$I$4:$I$339,MATCH($O382&amp;"|"&amp;$R382&amp;"|"&amp;$AE382,'ASIGNACIONES'!$J$4:$J$339,0)),0)-$AG382)</f>
        <v/>
      </c>
      <c r="AI382" s="10">
        <f>IF($A382="","",IFERROR(INDEX('2_IMPORTAR_EJECUCION'!$F$9:$F$1208,MATCH($AQ382,'2_IMPORTAR_EJECUCION'!$J$9:$J$1208,0)),0))</f>
        <v/>
      </c>
      <c r="AJ382" s="10">
        <f>IF($A382="","",MAX(0,IFERROR(INDEX('2_IMPORTAR_EJECUCION'!$H$9:$H$1208,MATCH($AQ382,'2_IMPORTAR_EJECUCION'!$J$9:$J$1208,0)),0)-$AI382))</f>
        <v/>
      </c>
      <c r="AK382" s="10">
        <f>IF($A382="","",$AI382+$AJ382)</f>
        <v/>
      </c>
      <c r="AL382" s="6" t="n"/>
      <c r="AM382" s="6" t="n"/>
      <c r="AN382" s="6" t="n"/>
      <c r="AO382" s="3">
        <f>IF($AN382="","",HYPERLINK(p_ruta_base_checklists&amp;$AN382,"abrir"))</f>
        <v/>
      </c>
      <c r="AP382" s="6" t="n"/>
      <c r="AQ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IF($A383="","",IFERROR(INDEX('AJUSTES'!$B$4:$B$303,MATCH($AQ383,'AJUSTES'!$A$4:$A$303,0)),IF($K383="","",$K383)))</f>
        <v/>
      </c>
      <c r="N383" s="3">
        <f>IF($A383="","",IFERROR(INDEX('CAT_ESTADOS_ERP'!$B$4:$B$7,MATCH(IFERROR(INDEX('2_IMPORTAR_EJECUCION'!$C$9:$C$1208,MATCH($AQ383,'2_IMPORTAR_EJECUCION'!$J$9:$J$1208,0)),""),'CAT_ESTADOS_ERP'!$A$4:$A$7,0)),"Pendiente"))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J383="","",IFERROR(INDEX('CALENDARIO'!$C$15:$C$214,MATCH(TEXT($J383,"yyyy-mm-dd")&amp;"|"&amp;$V383&amp;"|"&amp;$W383,'CALENDARIO'!$G$15:$G$214,0)),IFERROR(INDEX('CALENDARIO'!$C$15:$C$214,MATCH(TEXT($J383,"yyyy-mm-dd")&amp;"|"&amp;$V383&amp;"|",'CALENDARIO'!$G$15:$G$214,0)),IFERROR(INDEX('CALENDARIO'!$C$15:$C$214,MATCH(TEXT($J383,"yyyy-mm-dd")&amp;"||",'CALENDARIO'!$G$15:$G$214,0)),INDEX(patronHabil,WEEKDAY($J383,2))))))</f>
        <v/>
      </c>
      <c r="T383" s="3">
        <f>IF($I383="","",IFERROR(INDEX('CAT_TIPOS_OT'!$C$4:$C$7,MATCH($I383,'CAT_TIPOS_OT'!$A$4:$A$7,0)),"sin_clasificar"))</f>
        <v/>
      </c>
      <c r="U383" s="3">
        <f>IF($F383="","",IFERROR(INDEX('CAT_CENTROS_COSTO'!$F$4:$F$13,MATCH($F383,'CAT_CENTROS_COSTO'!$A$4:$A$13,0)),"(sin catálogo)"))</f>
        <v/>
      </c>
      <c r="V383" s="3">
        <f>IF($F383="","",IFERROR(INDEX('CAT_CENTROS_COSTO'!$D$4:$D$13,MATCH($F383,'CAT_CENTROS_COSTO'!$A$4:$A$13,0)),"(sin catálogo)"))</f>
        <v/>
      </c>
      <c r="W383" s="3">
        <f>IF($F383="","",IF((IFERROR(INDEX('CAT_CENTROS_COSTO'!$E$4:$E$13,MATCH($F383,'CAT_CENTROS_COSTO'!$A$4:$A$13,0)),""))&lt;&gt;"",IFERROR(INDEX('CAT_CENTROS_COSTO'!$E$4:$E$13,MATCH($F383,'CAT_CENTROS_COSTO'!$A$4:$A$13,0)),""),$V383))</f>
        <v/>
      </c>
      <c r="X383" s="3">
        <f>IF($F383="","",IFERROR(INDEX('CAT_CENTROS_COSTO'!$G$4:$G$13,MATCH($F383,'CAT_CENTROS_COSTO'!$A$4:$A$13,0)),"(sin catálogo)"))</f>
        <v/>
      </c>
      <c r="Y383" s="3">
        <f>IF($G383="","",IFERROR(INDEX('CAT_PUESTOS'!$B$4:$B$8,MATCH($G383,'CAT_PUESTOS'!$A$4:$A$8,0)),"(sin catálogo)"))</f>
        <v/>
      </c>
      <c r="Z383" s="3">
        <f>IF($H383="","",IFERROR(INDEX('CAT_ACTIVIDADES'!$B$4:$B$8,MATCH($H383,'CAT_ACTIVIDADES'!$A$4:$A$8,0)),"(sin catálogo)"))</f>
        <v/>
      </c>
      <c r="AA383" s="12">
        <f>IF($J383="","",TODAY()-$J383)</f>
        <v/>
      </c>
      <c r="AB383" s="12">
        <f>IF($J383="","",IF($J383&lt;=TODAY(),COUNTIFS(cal_fechas,"&gt;="&amp;$J383,cal_fechas,"&lt;"&amp;TODAY(),cal_habil,"sí"),-COUNTIFS(cal_fechas,"&gt;="&amp;TODAY(),cal_fechas,"&lt;"&amp;$J383,cal_habil,"sí")))</f>
        <v/>
      </c>
      <c r="AC383" s="3">
        <f>IF($AB383="","",IF($AB383&lt;0,"FUTURO",IF($AB383&gt;p_dias_backlog_max,"BACKLOG","MES CORRIENTE")))</f>
        <v/>
      </c>
      <c r="AD383" s="3">
        <f>IF($AB383="",FALSE,AND($AB383&gt;p_dias_backlog_min,$AB383&lt;=p_dias_backlog_max))</f>
        <v/>
      </c>
      <c r="AE383" s="6" t="n"/>
      <c r="AF383" s="3">
        <f>IF($AE383="","",IF((IFERROR(INDEX('ASIGNACIONES'!$F$4:$F$339,MATCH($O383&amp;"|"&amp;$R383&amp;"|"&amp;$AE383,'ASIGNACIONES'!$J$4:$J$339,0)),""))=0,"",IFERROR(INDEX('ASIGNACIONES'!$F$4:$F$339,MATCH($O383&amp;"|"&amp;$R383&amp;"|"&amp;$AE383,'ASIGNACIONES'!$J$4:$J$339,0)),"")))</f>
        <v/>
      </c>
      <c r="AG383" s="13">
        <f>IF($AE383="","",SUMIFS('ORDENES'!$M$4:$M$1203,'ORDENES'!$AE$4:$AE$1203,$AE383,'ORDENES'!$O$4:$O$1203,$O383,'ORDENES'!$R$4:$R$1203,$R383))</f>
        <v/>
      </c>
      <c r="AH383" s="13">
        <f>IF($AG383="","",p_factor_productividad*IFERROR(INDEX('ASIGNACIONES'!$I$4:$I$339,MATCH($O383&amp;"|"&amp;$R383&amp;"|"&amp;$AE383,'ASIGNACIONES'!$J$4:$J$339,0)),0)-$AG383)</f>
        <v/>
      </c>
      <c r="AI383" s="10">
        <f>IF($A383="","",IFERROR(INDEX('2_IMPORTAR_EJECUCION'!$F$9:$F$1208,MATCH($AQ383,'2_IMPORTAR_EJECUCION'!$J$9:$J$1208,0)),0))</f>
        <v/>
      </c>
      <c r="AJ383" s="10">
        <f>IF($A383="","",MAX(0,IFERROR(INDEX('2_IMPORTAR_EJECUCION'!$H$9:$H$1208,MATCH($AQ383,'2_IMPORTAR_EJECUCION'!$J$9:$J$1208,0)),0)-$AI383))</f>
        <v/>
      </c>
      <c r="AK383" s="10">
        <f>IF($A383="","",$AI383+$AJ383)</f>
        <v/>
      </c>
      <c r="AL383" s="6" t="n"/>
      <c r="AM383" s="6" t="n"/>
      <c r="AN383" s="6" t="n"/>
      <c r="AO383" s="3">
        <f>IF($AN383="","",HYPERLINK(p_ruta_base_checklists&amp;$AN383,"abrir"))</f>
        <v/>
      </c>
      <c r="AP383" s="6" t="n"/>
      <c r="AQ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IF($A384="","",IFERROR(INDEX('AJUSTES'!$B$4:$B$303,MATCH($AQ384,'AJUSTES'!$A$4:$A$303,0)),IF($K384="","",$K384)))</f>
        <v/>
      </c>
      <c r="N384" s="3">
        <f>IF($A384="","",IFERROR(INDEX('CAT_ESTADOS_ERP'!$B$4:$B$7,MATCH(IFERROR(INDEX('2_IMPORTAR_EJECUCION'!$C$9:$C$1208,MATCH($AQ384,'2_IMPORTAR_EJECUCION'!$J$9:$J$1208,0)),""),'CAT_ESTADOS_ERP'!$A$4:$A$7,0)),"Pendiente"))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J384="","",IFERROR(INDEX('CALENDARIO'!$C$15:$C$214,MATCH(TEXT($J384,"yyyy-mm-dd")&amp;"|"&amp;$V384&amp;"|"&amp;$W384,'CALENDARIO'!$G$15:$G$214,0)),IFERROR(INDEX('CALENDARIO'!$C$15:$C$214,MATCH(TEXT($J384,"yyyy-mm-dd")&amp;"|"&amp;$V384&amp;"|",'CALENDARIO'!$G$15:$G$214,0)),IFERROR(INDEX('CALENDARIO'!$C$15:$C$214,MATCH(TEXT($J384,"yyyy-mm-dd")&amp;"||",'CALENDARIO'!$G$15:$G$214,0)),INDEX(patronHabil,WEEKDAY($J384,2))))))</f>
        <v/>
      </c>
      <c r="T384" s="3">
        <f>IF($I384="","",IFERROR(INDEX('CAT_TIPOS_OT'!$C$4:$C$7,MATCH($I384,'CAT_TIPOS_OT'!$A$4:$A$7,0)),"sin_clasificar"))</f>
        <v/>
      </c>
      <c r="U384" s="3">
        <f>IF($F384="","",IFERROR(INDEX('CAT_CENTROS_COSTO'!$F$4:$F$13,MATCH($F384,'CAT_CENTROS_COSTO'!$A$4:$A$13,0)),"(sin catálogo)"))</f>
        <v/>
      </c>
      <c r="V384" s="3">
        <f>IF($F384="","",IFERROR(INDEX('CAT_CENTROS_COSTO'!$D$4:$D$13,MATCH($F384,'CAT_CENTROS_COSTO'!$A$4:$A$13,0)),"(sin catálogo)"))</f>
        <v/>
      </c>
      <c r="W384" s="3">
        <f>IF($F384="","",IF((IFERROR(INDEX('CAT_CENTROS_COSTO'!$E$4:$E$13,MATCH($F384,'CAT_CENTROS_COSTO'!$A$4:$A$13,0)),""))&lt;&gt;"",IFERROR(INDEX('CAT_CENTROS_COSTO'!$E$4:$E$13,MATCH($F384,'CAT_CENTROS_COSTO'!$A$4:$A$13,0)),""),$V384))</f>
        <v/>
      </c>
      <c r="X384" s="3">
        <f>IF($F384="","",IFERROR(INDEX('CAT_CENTROS_COSTO'!$G$4:$G$13,MATCH($F384,'CAT_CENTROS_COSTO'!$A$4:$A$13,0)),"(sin catálogo)"))</f>
        <v/>
      </c>
      <c r="Y384" s="3">
        <f>IF($G384="","",IFERROR(INDEX('CAT_PUESTOS'!$B$4:$B$8,MATCH($G384,'CAT_PUESTOS'!$A$4:$A$8,0)),"(sin catálogo)"))</f>
        <v/>
      </c>
      <c r="Z384" s="3">
        <f>IF($H384="","",IFERROR(INDEX('CAT_ACTIVIDADES'!$B$4:$B$8,MATCH($H384,'CAT_ACTIVIDADES'!$A$4:$A$8,0)),"(sin catálogo)"))</f>
        <v/>
      </c>
      <c r="AA384" s="12">
        <f>IF($J384="","",TODAY()-$J384)</f>
        <v/>
      </c>
      <c r="AB384" s="12">
        <f>IF($J384="","",IF($J384&lt;=TODAY(),COUNTIFS(cal_fechas,"&gt;="&amp;$J384,cal_fechas,"&lt;"&amp;TODAY(),cal_habil,"sí"),-COUNTIFS(cal_fechas,"&gt;="&amp;TODAY(),cal_fechas,"&lt;"&amp;$J384,cal_habil,"sí")))</f>
        <v/>
      </c>
      <c r="AC384" s="3">
        <f>IF($AB384="","",IF($AB384&lt;0,"FUTURO",IF($AB384&gt;p_dias_backlog_max,"BACKLOG","MES CORRIENTE")))</f>
        <v/>
      </c>
      <c r="AD384" s="3">
        <f>IF($AB384="",FALSE,AND($AB384&gt;p_dias_backlog_min,$AB384&lt;=p_dias_backlog_max))</f>
        <v/>
      </c>
      <c r="AE384" s="6" t="n"/>
      <c r="AF384" s="3">
        <f>IF($AE384="","",IF((IFERROR(INDEX('ASIGNACIONES'!$F$4:$F$339,MATCH($O384&amp;"|"&amp;$R384&amp;"|"&amp;$AE384,'ASIGNACIONES'!$J$4:$J$339,0)),""))=0,"",IFERROR(INDEX('ASIGNACIONES'!$F$4:$F$339,MATCH($O384&amp;"|"&amp;$R384&amp;"|"&amp;$AE384,'ASIGNACIONES'!$J$4:$J$339,0)),"")))</f>
        <v/>
      </c>
      <c r="AG384" s="13">
        <f>IF($AE384="","",SUMIFS('ORDENES'!$M$4:$M$1203,'ORDENES'!$AE$4:$AE$1203,$AE384,'ORDENES'!$O$4:$O$1203,$O384,'ORDENES'!$R$4:$R$1203,$R384))</f>
        <v/>
      </c>
      <c r="AH384" s="13">
        <f>IF($AG384="","",p_factor_productividad*IFERROR(INDEX('ASIGNACIONES'!$I$4:$I$339,MATCH($O384&amp;"|"&amp;$R384&amp;"|"&amp;$AE384,'ASIGNACIONES'!$J$4:$J$339,0)),0)-$AG384)</f>
        <v/>
      </c>
      <c r="AI384" s="10">
        <f>IF($A384="","",IFERROR(INDEX('2_IMPORTAR_EJECUCION'!$F$9:$F$1208,MATCH($AQ384,'2_IMPORTAR_EJECUCION'!$J$9:$J$1208,0)),0))</f>
        <v/>
      </c>
      <c r="AJ384" s="10">
        <f>IF($A384="","",MAX(0,IFERROR(INDEX('2_IMPORTAR_EJECUCION'!$H$9:$H$1208,MATCH($AQ384,'2_IMPORTAR_EJECUCION'!$J$9:$J$1208,0)),0)-$AI384))</f>
        <v/>
      </c>
      <c r="AK384" s="10">
        <f>IF($A384="","",$AI384+$AJ384)</f>
        <v/>
      </c>
      <c r="AL384" s="6" t="n"/>
      <c r="AM384" s="6" t="n"/>
      <c r="AN384" s="6" t="n"/>
      <c r="AO384" s="3">
        <f>IF($AN384="","",HYPERLINK(p_ruta_base_checklists&amp;$AN384,"abrir"))</f>
        <v/>
      </c>
      <c r="AP384" s="6" t="n"/>
      <c r="AQ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IF($A385="","",IFERROR(INDEX('AJUSTES'!$B$4:$B$303,MATCH($AQ385,'AJUSTES'!$A$4:$A$303,0)),IF($K385="","",$K385)))</f>
        <v/>
      </c>
      <c r="N385" s="3">
        <f>IF($A385="","",IFERROR(INDEX('CAT_ESTADOS_ERP'!$B$4:$B$7,MATCH(IFERROR(INDEX('2_IMPORTAR_EJECUCION'!$C$9:$C$1208,MATCH($AQ385,'2_IMPORTAR_EJECUCION'!$J$9:$J$1208,0)),""),'CAT_ESTADOS_ERP'!$A$4:$A$7,0)),"Pendiente"))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J385="","",IFERROR(INDEX('CALENDARIO'!$C$15:$C$214,MATCH(TEXT($J385,"yyyy-mm-dd")&amp;"|"&amp;$V385&amp;"|"&amp;$W385,'CALENDARIO'!$G$15:$G$214,0)),IFERROR(INDEX('CALENDARIO'!$C$15:$C$214,MATCH(TEXT($J385,"yyyy-mm-dd")&amp;"|"&amp;$V385&amp;"|",'CALENDARIO'!$G$15:$G$214,0)),IFERROR(INDEX('CALENDARIO'!$C$15:$C$214,MATCH(TEXT($J385,"yyyy-mm-dd")&amp;"||",'CALENDARIO'!$G$15:$G$214,0)),INDEX(patronHabil,WEEKDAY($J385,2))))))</f>
        <v/>
      </c>
      <c r="T385" s="3">
        <f>IF($I385="","",IFERROR(INDEX('CAT_TIPOS_OT'!$C$4:$C$7,MATCH($I385,'CAT_TIPOS_OT'!$A$4:$A$7,0)),"sin_clasificar"))</f>
        <v/>
      </c>
      <c r="U385" s="3">
        <f>IF($F385="","",IFERROR(INDEX('CAT_CENTROS_COSTO'!$F$4:$F$13,MATCH($F385,'CAT_CENTROS_COSTO'!$A$4:$A$13,0)),"(sin catálogo)"))</f>
        <v/>
      </c>
      <c r="V385" s="3">
        <f>IF($F385="","",IFERROR(INDEX('CAT_CENTROS_COSTO'!$D$4:$D$13,MATCH($F385,'CAT_CENTROS_COSTO'!$A$4:$A$13,0)),"(sin catálogo)"))</f>
        <v/>
      </c>
      <c r="W385" s="3">
        <f>IF($F385="","",IF((IFERROR(INDEX('CAT_CENTROS_COSTO'!$E$4:$E$13,MATCH($F385,'CAT_CENTROS_COSTO'!$A$4:$A$13,0)),""))&lt;&gt;"",IFERROR(INDEX('CAT_CENTROS_COSTO'!$E$4:$E$13,MATCH($F385,'CAT_CENTROS_COSTO'!$A$4:$A$13,0)),""),$V385))</f>
        <v/>
      </c>
      <c r="X385" s="3">
        <f>IF($F385="","",IFERROR(INDEX('CAT_CENTROS_COSTO'!$G$4:$G$13,MATCH($F385,'CAT_CENTROS_COSTO'!$A$4:$A$13,0)),"(sin catálogo)"))</f>
        <v/>
      </c>
      <c r="Y385" s="3">
        <f>IF($G385="","",IFERROR(INDEX('CAT_PUESTOS'!$B$4:$B$8,MATCH($G385,'CAT_PUESTOS'!$A$4:$A$8,0)),"(sin catálogo)"))</f>
        <v/>
      </c>
      <c r="Z385" s="3">
        <f>IF($H385="","",IFERROR(INDEX('CAT_ACTIVIDADES'!$B$4:$B$8,MATCH($H385,'CAT_ACTIVIDADES'!$A$4:$A$8,0)),"(sin catálogo)"))</f>
        <v/>
      </c>
      <c r="AA385" s="12">
        <f>IF($J385="","",TODAY()-$J385)</f>
        <v/>
      </c>
      <c r="AB385" s="12">
        <f>IF($J385="","",IF($J385&lt;=TODAY(),COUNTIFS(cal_fechas,"&gt;="&amp;$J385,cal_fechas,"&lt;"&amp;TODAY(),cal_habil,"sí"),-COUNTIFS(cal_fechas,"&gt;="&amp;TODAY(),cal_fechas,"&lt;"&amp;$J385,cal_habil,"sí")))</f>
        <v/>
      </c>
      <c r="AC385" s="3">
        <f>IF($AB385="","",IF($AB385&lt;0,"FUTURO",IF($AB385&gt;p_dias_backlog_max,"BACKLOG","MES CORRIENTE")))</f>
        <v/>
      </c>
      <c r="AD385" s="3">
        <f>IF($AB385="",FALSE,AND($AB385&gt;p_dias_backlog_min,$AB385&lt;=p_dias_backlog_max))</f>
        <v/>
      </c>
      <c r="AE385" s="6" t="n"/>
      <c r="AF385" s="3">
        <f>IF($AE385="","",IF((IFERROR(INDEX('ASIGNACIONES'!$F$4:$F$339,MATCH($O385&amp;"|"&amp;$R385&amp;"|"&amp;$AE385,'ASIGNACIONES'!$J$4:$J$339,0)),""))=0,"",IFERROR(INDEX('ASIGNACIONES'!$F$4:$F$339,MATCH($O385&amp;"|"&amp;$R385&amp;"|"&amp;$AE385,'ASIGNACIONES'!$J$4:$J$339,0)),"")))</f>
        <v/>
      </c>
      <c r="AG385" s="13">
        <f>IF($AE385="","",SUMIFS('ORDENES'!$M$4:$M$1203,'ORDENES'!$AE$4:$AE$1203,$AE385,'ORDENES'!$O$4:$O$1203,$O385,'ORDENES'!$R$4:$R$1203,$R385))</f>
        <v/>
      </c>
      <c r="AH385" s="13">
        <f>IF($AG385="","",p_factor_productividad*IFERROR(INDEX('ASIGNACIONES'!$I$4:$I$339,MATCH($O385&amp;"|"&amp;$R385&amp;"|"&amp;$AE385,'ASIGNACIONES'!$J$4:$J$339,0)),0)-$AG385)</f>
        <v/>
      </c>
      <c r="AI385" s="10">
        <f>IF($A385="","",IFERROR(INDEX('2_IMPORTAR_EJECUCION'!$F$9:$F$1208,MATCH($AQ385,'2_IMPORTAR_EJECUCION'!$J$9:$J$1208,0)),0))</f>
        <v/>
      </c>
      <c r="AJ385" s="10">
        <f>IF($A385="","",MAX(0,IFERROR(INDEX('2_IMPORTAR_EJECUCION'!$H$9:$H$1208,MATCH($AQ385,'2_IMPORTAR_EJECUCION'!$J$9:$J$1208,0)),0)-$AI385))</f>
        <v/>
      </c>
      <c r="AK385" s="10">
        <f>IF($A385="","",$AI385+$AJ385)</f>
        <v/>
      </c>
      <c r="AL385" s="6" t="n"/>
      <c r="AM385" s="6" t="n"/>
      <c r="AN385" s="6" t="n"/>
      <c r="AO385" s="3">
        <f>IF($AN385="","",HYPERLINK(p_ruta_base_checklists&amp;$AN385,"abrir"))</f>
        <v/>
      </c>
      <c r="AP385" s="6" t="n"/>
      <c r="AQ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IF($A386="","",IFERROR(INDEX('AJUSTES'!$B$4:$B$303,MATCH($AQ386,'AJUSTES'!$A$4:$A$303,0)),IF($K386="","",$K386)))</f>
        <v/>
      </c>
      <c r="N386" s="3">
        <f>IF($A386="","",IFERROR(INDEX('CAT_ESTADOS_ERP'!$B$4:$B$7,MATCH(IFERROR(INDEX('2_IMPORTAR_EJECUCION'!$C$9:$C$1208,MATCH($AQ386,'2_IMPORTAR_EJECUCION'!$J$9:$J$1208,0)),""),'CAT_ESTADOS_ERP'!$A$4:$A$7,0)),"Pendiente"))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J386="","",IFERROR(INDEX('CALENDARIO'!$C$15:$C$214,MATCH(TEXT($J386,"yyyy-mm-dd")&amp;"|"&amp;$V386&amp;"|"&amp;$W386,'CALENDARIO'!$G$15:$G$214,0)),IFERROR(INDEX('CALENDARIO'!$C$15:$C$214,MATCH(TEXT($J386,"yyyy-mm-dd")&amp;"|"&amp;$V386&amp;"|",'CALENDARIO'!$G$15:$G$214,0)),IFERROR(INDEX('CALENDARIO'!$C$15:$C$214,MATCH(TEXT($J386,"yyyy-mm-dd")&amp;"||",'CALENDARIO'!$G$15:$G$214,0)),INDEX(patronHabil,WEEKDAY($J386,2))))))</f>
        <v/>
      </c>
      <c r="T386" s="3">
        <f>IF($I386="","",IFERROR(INDEX('CAT_TIPOS_OT'!$C$4:$C$7,MATCH($I386,'CAT_TIPOS_OT'!$A$4:$A$7,0)),"sin_clasificar"))</f>
        <v/>
      </c>
      <c r="U386" s="3">
        <f>IF($F386="","",IFERROR(INDEX('CAT_CENTROS_COSTO'!$F$4:$F$13,MATCH($F386,'CAT_CENTROS_COSTO'!$A$4:$A$13,0)),"(sin catálogo)"))</f>
        <v/>
      </c>
      <c r="V386" s="3">
        <f>IF($F386="","",IFERROR(INDEX('CAT_CENTROS_COSTO'!$D$4:$D$13,MATCH($F386,'CAT_CENTROS_COSTO'!$A$4:$A$13,0)),"(sin catálogo)"))</f>
        <v/>
      </c>
      <c r="W386" s="3">
        <f>IF($F386="","",IF((IFERROR(INDEX('CAT_CENTROS_COSTO'!$E$4:$E$13,MATCH($F386,'CAT_CENTROS_COSTO'!$A$4:$A$13,0)),""))&lt;&gt;"",IFERROR(INDEX('CAT_CENTROS_COSTO'!$E$4:$E$13,MATCH($F386,'CAT_CENTROS_COSTO'!$A$4:$A$13,0)),""),$V386))</f>
        <v/>
      </c>
      <c r="X386" s="3">
        <f>IF($F386="","",IFERROR(INDEX('CAT_CENTROS_COSTO'!$G$4:$G$13,MATCH($F386,'CAT_CENTROS_COSTO'!$A$4:$A$13,0)),"(sin catálogo)"))</f>
        <v/>
      </c>
      <c r="Y386" s="3">
        <f>IF($G386="","",IFERROR(INDEX('CAT_PUESTOS'!$B$4:$B$8,MATCH($G386,'CAT_PUESTOS'!$A$4:$A$8,0)),"(sin catálogo)"))</f>
        <v/>
      </c>
      <c r="Z386" s="3">
        <f>IF($H386="","",IFERROR(INDEX('CAT_ACTIVIDADES'!$B$4:$B$8,MATCH($H386,'CAT_ACTIVIDADES'!$A$4:$A$8,0)),"(sin catálogo)"))</f>
        <v/>
      </c>
      <c r="AA386" s="12">
        <f>IF($J386="","",TODAY()-$J386)</f>
        <v/>
      </c>
      <c r="AB386" s="12">
        <f>IF($J386="","",IF($J386&lt;=TODAY(),COUNTIFS(cal_fechas,"&gt;="&amp;$J386,cal_fechas,"&lt;"&amp;TODAY(),cal_habil,"sí"),-COUNTIFS(cal_fechas,"&gt;="&amp;TODAY(),cal_fechas,"&lt;"&amp;$J386,cal_habil,"sí")))</f>
        <v/>
      </c>
      <c r="AC386" s="3">
        <f>IF($AB386="","",IF($AB386&lt;0,"FUTURO",IF($AB386&gt;p_dias_backlog_max,"BACKLOG","MES CORRIENTE")))</f>
        <v/>
      </c>
      <c r="AD386" s="3">
        <f>IF($AB386="",FALSE,AND($AB386&gt;p_dias_backlog_min,$AB386&lt;=p_dias_backlog_max))</f>
        <v/>
      </c>
      <c r="AE386" s="6" t="n"/>
      <c r="AF386" s="3">
        <f>IF($AE386="","",IF((IFERROR(INDEX('ASIGNACIONES'!$F$4:$F$339,MATCH($O386&amp;"|"&amp;$R386&amp;"|"&amp;$AE386,'ASIGNACIONES'!$J$4:$J$339,0)),""))=0,"",IFERROR(INDEX('ASIGNACIONES'!$F$4:$F$339,MATCH($O386&amp;"|"&amp;$R386&amp;"|"&amp;$AE386,'ASIGNACIONES'!$J$4:$J$339,0)),"")))</f>
        <v/>
      </c>
      <c r="AG386" s="13">
        <f>IF($AE386="","",SUMIFS('ORDENES'!$M$4:$M$1203,'ORDENES'!$AE$4:$AE$1203,$AE386,'ORDENES'!$O$4:$O$1203,$O386,'ORDENES'!$R$4:$R$1203,$R386))</f>
        <v/>
      </c>
      <c r="AH386" s="13">
        <f>IF($AG386="","",p_factor_productividad*IFERROR(INDEX('ASIGNACIONES'!$I$4:$I$339,MATCH($O386&amp;"|"&amp;$R386&amp;"|"&amp;$AE386,'ASIGNACIONES'!$J$4:$J$339,0)),0)-$AG386)</f>
        <v/>
      </c>
      <c r="AI386" s="10">
        <f>IF($A386="","",IFERROR(INDEX('2_IMPORTAR_EJECUCION'!$F$9:$F$1208,MATCH($AQ386,'2_IMPORTAR_EJECUCION'!$J$9:$J$1208,0)),0))</f>
        <v/>
      </c>
      <c r="AJ386" s="10">
        <f>IF($A386="","",MAX(0,IFERROR(INDEX('2_IMPORTAR_EJECUCION'!$H$9:$H$1208,MATCH($AQ386,'2_IMPORTAR_EJECUCION'!$J$9:$J$1208,0)),0)-$AI386))</f>
        <v/>
      </c>
      <c r="AK386" s="10">
        <f>IF($A386="","",$AI386+$AJ386)</f>
        <v/>
      </c>
      <c r="AL386" s="6" t="n"/>
      <c r="AM386" s="6" t="n"/>
      <c r="AN386" s="6" t="n"/>
      <c r="AO386" s="3">
        <f>IF($AN386="","",HYPERLINK(p_ruta_base_checklists&amp;$AN386,"abrir"))</f>
        <v/>
      </c>
      <c r="AP386" s="6" t="n"/>
      <c r="AQ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IF($A387="","",IFERROR(INDEX('AJUSTES'!$B$4:$B$303,MATCH($AQ387,'AJUSTES'!$A$4:$A$303,0)),IF($K387="","",$K387)))</f>
        <v/>
      </c>
      <c r="N387" s="3">
        <f>IF($A387="","",IFERROR(INDEX('CAT_ESTADOS_ERP'!$B$4:$B$7,MATCH(IFERROR(INDEX('2_IMPORTAR_EJECUCION'!$C$9:$C$1208,MATCH($AQ387,'2_IMPORTAR_EJECUCION'!$J$9:$J$1208,0)),""),'CAT_ESTADOS_ERP'!$A$4:$A$7,0)),"Pendiente"))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J387="","",IFERROR(INDEX('CALENDARIO'!$C$15:$C$214,MATCH(TEXT($J387,"yyyy-mm-dd")&amp;"|"&amp;$V387&amp;"|"&amp;$W387,'CALENDARIO'!$G$15:$G$214,0)),IFERROR(INDEX('CALENDARIO'!$C$15:$C$214,MATCH(TEXT($J387,"yyyy-mm-dd")&amp;"|"&amp;$V387&amp;"|",'CALENDARIO'!$G$15:$G$214,0)),IFERROR(INDEX('CALENDARIO'!$C$15:$C$214,MATCH(TEXT($J387,"yyyy-mm-dd")&amp;"||",'CALENDARIO'!$G$15:$G$214,0)),INDEX(patronHabil,WEEKDAY($J387,2))))))</f>
        <v/>
      </c>
      <c r="T387" s="3">
        <f>IF($I387="","",IFERROR(INDEX('CAT_TIPOS_OT'!$C$4:$C$7,MATCH($I387,'CAT_TIPOS_OT'!$A$4:$A$7,0)),"sin_clasificar"))</f>
        <v/>
      </c>
      <c r="U387" s="3">
        <f>IF($F387="","",IFERROR(INDEX('CAT_CENTROS_COSTO'!$F$4:$F$13,MATCH($F387,'CAT_CENTROS_COSTO'!$A$4:$A$13,0)),"(sin catálogo)"))</f>
        <v/>
      </c>
      <c r="V387" s="3">
        <f>IF($F387="","",IFERROR(INDEX('CAT_CENTROS_COSTO'!$D$4:$D$13,MATCH($F387,'CAT_CENTROS_COSTO'!$A$4:$A$13,0)),"(sin catálogo)"))</f>
        <v/>
      </c>
      <c r="W387" s="3">
        <f>IF($F387="","",IF((IFERROR(INDEX('CAT_CENTROS_COSTO'!$E$4:$E$13,MATCH($F387,'CAT_CENTROS_COSTO'!$A$4:$A$13,0)),""))&lt;&gt;"",IFERROR(INDEX('CAT_CENTROS_COSTO'!$E$4:$E$13,MATCH($F387,'CAT_CENTROS_COSTO'!$A$4:$A$13,0)),""),$V387))</f>
        <v/>
      </c>
      <c r="X387" s="3">
        <f>IF($F387="","",IFERROR(INDEX('CAT_CENTROS_COSTO'!$G$4:$G$13,MATCH($F387,'CAT_CENTROS_COSTO'!$A$4:$A$13,0)),"(sin catálogo)"))</f>
        <v/>
      </c>
      <c r="Y387" s="3">
        <f>IF($G387="","",IFERROR(INDEX('CAT_PUESTOS'!$B$4:$B$8,MATCH($G387,'CAT_PUESTOS'!$A$4:$A$8,0)),"(sin catálogo)"))</f>
        <v/>
      </c>
      <c r="Z387" s="3">
        <f>IF($H387="","",IFERROR(INDEX('CAT_ACTIVIDADES'!$B$4:$B$8,MATCH($H387,'CAT_ACTIVIDADES'!$A$4:$A$8,0)),"(sin catálogo)"))</f>
        <v/>
      </c>
      <c r="AA387" s="12">
        <f>IF($J387="","",TODAY()-$J387)</f>
        <v/>
      </c>
      <c r="AB387" s="12">
        <f>IF($J387="","",IF($J387&lt;=TODAY(),COUNTIFS(cal_fechas,"&gt;="&amp;$J387,cal_fechas,"&lt;"&amp;TODAY(),cal_habil,"sí"),-COUNTIFS(cal_fechas,"&gt;="&amp;TODAY(),cal_fechas,"&lt;"&amp;$J387,cal_habil,"sí")))</f>
        <v/>
      </c>
      <c r="AC387" s="3">
        <f>IF($AB387="","",IF($AB387&lt;0,"FUTURO",IF($AB387&gt;p_dias_backlog_max,"BACKLOG","MES CORRIENTE")))</f>
        <v/>
      </c>
      <c r="AD387" s="3">
        <f>IF($AB387="",FALSE,AND($AB387&gt;p_dias_backlog_min,$AB387&lt;=p_dias_backlog_max))</f>
        <v/>
      </c>
      <c r="AE387" s="6" t="n"/>
      <c r="AF387" s="3">
        <f>IF($AE387="","",IF((IFERROR(INDEX('ASIGNACIONES'!$F$4:$F$339,MATCH($O387&amp;"|"&amp;$R387&amp;"|"&amp;$AE387,'ASIGNACIONES'!$J$4:$J$339,0)),""))=0,"",IFERROR(INDEX('ASIGNACIONES'!$F$4:$F$339,MATCH($O387&amp;"|"&amp;$R387&amp;"|"&amp;$AE387,'ASIGNACIONES'!$J$4:$J$339,0)),"")))</f>
        <v/>
      </c>
      <c r="AG387" s="13">
        <f>IF($AE387="","",SUMIFS('ORDENES'!$M$4:$M$1203,'ORDENES'!$AE$4:$AE$1203,$AE387,'ORDENES'!$O$4:$O$1203,$O387,'ORDENES'!$R$4:$R$1203,$R387))</f>
        <v/>
      </c>
      <c r="AH387" s="13">
        <f>IF($AG387="","",p_factor_productividad*IFERROR(INDEX('ASIGNACIONES'!$I$4:$I$339,MATCH($O387&amp;"|"&amp;$R387&amp;"|"&amp;$AE387,'ASIGNACIONES'!$J$4:$J$339,0)),0)-$AG387)</f>
        <v/>
      </c>
      <c r="AI387" s="10">
        <f>IF($A387="","",IFERROR(INDEX('2_IMPORTAR_EJECUCION'!$F$9:$F$1208,MATCH($AQ387,'2_IMPORTAR_EJECUCION'!$J$9:$J$1208,0)),0))</f>
        <v/>
      </c>
      <c r="AJ387" s="10">
        <f>IF($A387="","",MAX(0,IFERROR(INDEX('2_IMPORTAR_EJECUCION'!$H$9:$H$1208,MATCH($AQ387,'2_IMPORTAR_EJECUCION'!$J$9:$J$1208,0)),0)-$AI387))</f>
        <v/>
      </c>
      <c r="AK387" s="10">
        <f>IF($A387="","",$AI387+$AJ387)</f>
        <v/>
      </c>
      <c r="AL387" s="6" t="n"/>
      <c r="AM387" s="6" t="n"/>
      <c r="AN387" s="6" t="n"/>
      <c r="AO387" s="3">
        <f>IF($AN387="","",HYPERLINK(p_ruta_base_checklists&amp;$AN387,"abrir"))</f>
        <v/>
      </c>
      <c r="AP387" s="6" t="n"/>
      <c r="AQ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IF($A388="","",IFERROR(INDEX('AJUSTES'!$B$4:$B$303,MATCH($AQ388,'AJUSTES'!$A$4:$A$303,0)),IF($K388="","",$K388)))</f>
        <v/>
      </c>
      <c r="N388" s="3">
        <f>IF($A388="","",IFERROR(INDEX('CAT_ESTADOS_ERP'!$B$4:$B$7,MATCH(IFERROR(INDEX('2_IMPORTAR_EJECUCION'!$C$9:$C$1208,MATCH($AQ388,'2_IMPORTAR_EJECUCION'!$J$9:$J$1208,0)),""),'CAT_ESTADOS_ERP'!$A$4:$A$7,0)),"Pendiente"))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J388="","",IFERROR(INDEX('CALENDARIO'!$C$15:$C$214,MATCH(TEXT($J388,"yyyy-mm-dd")&amp;"|"&amp;$V388&amp;"|"&amp;$W388,'CALENDARIO'!$G$15:$G$214,0)),IFERROR(INDEX('CALENDARIO'!$C$15:$C$214,MATCH(TEXT($J388,"yyyy-mm-dd")&amp;"|"&amp;$V388&amp;"|",'CALENDARIO'!$G$15:$G$214,0)),IFERROR(INDEX('CALENDARIO'!$C$15:$C$214,MATCH(TEXT($J388,"yyyy-mm-dd")&amp;"||",'CALENDARIO'!$G$15:$G$214,0)),INDEX(patronHabil,WEEKDAY($J388,2))))))</f>
        <v/>
      </c>
      <c r="T388" s="3">
        <f>IF($I388="","",IFERROR(INDEX('CAT_TIPOS_OT'!$C$4:$C$7,MATCH($I388,'CAT_TIPOS_OT'!$A$4:$A$7,0)),"sin_clasificar"))</f>
        <v/>
      </c>
      <c r="U388" s="3">
        <f>IF($F388="","",IFERROR(INDEX('CAT_CENTROS_COSTO'!$F$4:$F$13,MATCH($F388,'CAT_CENTROS_COSTO'!$A$4:$A$13,0)),"(sin catálogo)"))</f>
        <v/>
      </c>
      <c r="V388" s="3">
        <f>IF($F388="","",IFERROR(INDEX('CAT_CENTROS_COSTO'!$D$4:$D$13,MATCH($F388,'CAT_CENTROS_COSTO'!$A$4:$A$13,0)),"(sin catálogo)"))</f>
        <v/>
      </c>
      <c r="W388" s="3">
        <f>IF($F388="","",IF((IFERROR(INDEX('CAT_CENTROS_COSTO'!$E$4:$E$13,MATCH($F388,'CAT_CENTROS_COSTO'!$A$4:$A$13,0)),""))&lt;&gt;"",IFERROR(INDEX('CAT_CENTROS_COSTO'!$E$4:$E$13,MATCH($F388,'CAT_CENTROS_COSTO'!$A$4:$A$13,0)),""),$V388))</f>
        <v/>
      </c>
      <c r="X388" s="3">
        <f>IF($F388="","",IFERROR(INDEX('CAT_CENTROS_COSTO'!$G$4:$G$13,MATCH($F388,'CAT_CENTROS_COSTO'!$A$4:$A$13,0)),"(sin catálogo)"))</f>
        <v/>
      </c>
      <c r="Y388" s="3">
        <f>IF($G388="","",IFERROR(INDEX('CAT_PUESTOS'!$B$4:$B$8,MATCH($G388,'CAT_PUESTOS'!$A$4:$A$8,0)),"(sin catálogo)"))</f>
        <v/>
      </c>
      <c r="Z388" s="3">
        <f>IF($H388="","",IFERROR(INDEX('CAT_ACTIVIDADES'!$B$4:$B$8,MATCH($H388,'CAT_ACTIVIDADES'!$A$4:$A$8,0)),"(sin catálogo)"))</f>
        <v/>
      </c>
      <c r="AA388" s="12">
        <f>IF($J388="","",TODAY()-$J388)</f>
        <v/>
      </c>
      <c r="AB388" s="12">
        <f>IF($J388="","",IF($J388&lt;=TODAY(),COUNTIFS(cal_fechas,"&gt;="&amp;$J388,cal_fechas,"&lt;"&amp;TODAY(),cal_habil,"sí"),-COUNTIFS(cal_fechas,"&gt;="&amp;TODAY(),cal_fechas,"&lt;"&amp;$J388,cal_habil,"sí")))</f>
        <v/>
      </c>
      <c r="AC388" s="3">
        <f>IF($AB388="","",IF($AB388&lt;0,"FUTURO",IF($AB388&gt;p_dias_backlog_max,"BACKLOG","MES CORRIENTE")))</f>
        <v/>
      </c>
      <c r="AD388" s="3">
        <f>IF($AB388="",FALSE,AND($AB388&gt;p_dias_backlog_min,$AB388&lt;=p_dias_backlog_max))</f>
        <v/>
      </c>
      <c r="AE388" s="6" t="n"/>
      <c r="AF388" s="3">
        <f>IF($AE388="","",IF((IFERROR(INDEX('ASIGNACIONES'!$F$4:$F$339,MATCH($O388&amp;"|"&amp;$R388&amp;"|"&amp;$AE388,'ASIGNACIONES'!$J$4:$J$339,0)),""))=0,"",IFERROR(INDEX('ASIGNACIONES'!$F$4:$F$339,MATCH($O388&amp;"|"&amp;$R388&amp;"|"&amp;$AE388,'ASIGNACIONES'!$J$4:$J$339,0)),"")))</f>
        <v/>
      </c>
      <c r="AG388" s="13">
        <f>IF($AE388="","",SUMIFS('ORDENES'!$M$4:$M$1203,'ORDENES'!$AE$4:$AE$1203,$AE388,'ORDENES'!$O$4:$O$1203,$O388,'ORDENES'!$R$4:$R$1203,$R388))</f>
        <v/>
      </c>
      <c r="AH388" s="13">
        <f>IF($AG388="","",p_factor_productividad*IFERROR(INDEX('ASIGNACIONES'!$I$4:$I$339,MATCH($O388&amp;"|"&amp;$R388&amp;"|"&amp;$AE388,'ASIGNACIONES'!$J$4:$J$339,0)),0)-$AG388)</f>
        <v/>
      </c>
      <c r="AI388" s="10">
        <f>IF($A388="","",IFERROR(INDEX('2_IMPORTAR_EJECUCION'!$F$9:$F$1208,MATCH($AQ388,'2_IMPORTAR_EJECUCION'!$J$9:$J$1208,0)),0))</f>
        <v/>
      </c>
      <c r="AJ388" s="10">
        <f>IF($A388="","",MAX(0,IFERROR(INDEX('2_IMPORTAR_EJECUCION'!$H$9:$H$1208,MATCH($AQ388,'2_IMPORTAR_EJECUCION'!$J$9:$J$1208,0)),0)-$AI388))</f>
        <v/>
      </c>
      <c r="AK388" s="10">
        <f>IF($A388="","",$AI388+$AJ388)</f>
        <v/>
      </c>
      <c r="AL388" s="6" t="n"/>
      <c r="AM388" s="6" t="n"/>
      <c r="AN388" s="6" t="n"/>
      <c r="AO388" s="3">
        <f>IF($AN388="","",HYPERLINK(p_ruta_base_checklists&amp;$AN388,"abrir"))</f>
        <v/>
      </c>
      <c r="AP388" s="6" t="n"/>
      <c r="AQ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IF($A389="","",IFERROR(INDEX('AJUSTES'!$B$4:$B$303,MATCH($AQ389,'AJUSTES'!$A$4:$A$303,0)),IF($K389="","",$K389)))</f>
        <v/>
      </c>
      <c r="N389" s="3">
        <f>IF($A389="","",IFERROR(INDEX('CAT_ESTADOS_ERP'!$B$4:$B$7,MATCH(IFERROR(INDEX('2_IMPORTAR_EJECUCION'!$C$9:$C$1208,MATCH($AQ389,'2_IMPORTAR_EJECUCION'!$J$9:$J$1208,0)),""),'CAT_ESTADOS_ERP'!$A$4:$A$7,0)),"Pendiente"))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J389="","",IFERROR(INDEX('CALENDARIO'!$C$15:$C$214,MATCH(TEXT($J389,"yyyy-mm-dd")&amp;"|"&amp;$V389&amp;"|"&amp;$W389,'CALENDARIO'!$G$15:$G$214,0)),IFERROR(INDEX('CALENDARIO'!$C$15:$C$214,MATCH(TEXT($J389,"yyyy-mm-dd")&amp;"|"&amp;$V389&amp;"|",'CALENDARIO'!$G$15:$G$214,0)),IFERROR(INDEX('CALENDARIO'!$C$15:$C$214,MATCH(TEXT($J389,"yyyy-mm-dd")&amp;"||",'CALENDARIO'!$G$15:$G$214,0)),INDEX(patronHabil,WEEKDAY($J389,2))))))</f>
        <v/>
      </c>
      <c r="T389" s="3">
        <f>IF($I389="","",IFERROR(INDEX('CAT_TIPOS_OT'!$C$4:$C$7,MATCH($I389,'CAT_TIPOS_OT'!$A$4:$A$7,0)),"sin_clasificar"))</f>
        <v/>
      </c>
      <c r="U389" s="3">
        <f>IF($F389="","",IFERROR(INDEX('CAT_CENTROS_COSTO'!$F$4:$F$13,MATCH($F389,'CAT_CENTROS_COSTO'!$A$4:$A$13,0)),"(sin catálogo)"))</f>
        <v/>
      </c>
      <c r="V389" s="3">
        <f>IF($F389="","",IFERROR(INDEX('CAT_CENTROS_COSTO'!$D$4:$D$13,MATCH($F389,'CAT_CENTROS_COSTO'!$A$4:$A$13,0)),"(sin catálogo)"))</f>
        <v/>
      </c>
      <c r="W389" s="3">
        <f>IF($F389="","",IF((IFERROR(INDEX('CAT_CENTROS_COSTO'!$E$4:$E$13,MATCH($F389,'CAT_CENTROS_COSTO'!$A$4:$A$13,0)),""))&lt;&gt;"",IFERROR(INDEX('CAT_CENTROS_COSTO'!$E$4:$E$13,MATCH($F389,'CAT_CENTROS_COSTO'!$A$4:$A$13,0)),""),$V389))</f>
        <v/>
      </c>
      <c r="X389" s="3">
        <f>IF($F389="","",IFERROR(INDEX('CAT_CENTROS_COSTO'!$G$4:$G$13,MATCH($F389,'CAT_CENTROS_COSTO'!$A$4:$A$13,0)),"(sin catálogo)"))</f>
        <v/>
      </c>
      <c r="Y389" s="3">
        <f>IF($G389="","",IFERROR(INDEX('CAT_PUESTOS'!$B$4:$B$8,MATCH($G389,'CAT_PUESTOS'!$A$4:$A$8,0)),"(sin catálogo)"))</f>
        <v/>
      </c>
      <c r="Z389" s="3">
        <f>IF($H389="","",IFERROR(INDEX('CAT_ACTIVIDADES'!$B$4:$B$8,MATCH($H389,'CAT_ACTIVIDADES'!$A$4:$A$8,0)),"(sin catálogo)"))</f>
        <v/>
      </c>
      <c r="AA389" s="12">
        <f>IF($J389="","",TODAY()-$J389)</f>
        <v/>
      </c>
      <c r="AB389" s="12">
        <f>IF($J389="","",IF($J389&lt;=TODAY(),COUNTIFS(cal_fechas,"&gt;="&amp;$J389,cal_fechas,"&lt;"&amp;TODAY(),cal_habil,"sí"),-COUNTIFS(cal_fechas,"&gt;="&amp;TODAY(),cal_fechas,"&lt;"&amp;$J389,cal_habil,"sí")))</f>
        <v/>
      </c>
      <c r="AC389" s="3">
        <f>IF($AB389="","",IF($AB389&lt;0,"FUTURO",IF($AB389&gt;p_dias_backlog_max,"BACKLOG","MES CORRIENTE")))</f>
        <v/>
      </c>
      <c r="AD389" s="3">
        <f>IF($AB389="",FALSE,AND($AB389&gt;p_dias_backlog_min,$AB389&lt;=p_dias_backlog_max))</f>
        <v/>
      </c>
      <c r="AE389" s="6" t="n"/>
      <c r="AF389" s="3">
        <f>IF($AE389="","",IF((IFERROR(INDEX('ASIGNACIONES'!$F$4:$F$339,MATCH($O389&amp;"|"&amp;$R389&amp;"|"&amp;$AE389,'ASIGNACIONES'!$J$4:$J$339,0)),""))=0,"",IFERROR(INDEX('ASIGNACIONES'!$F$4:$F$339,MATCH($O389&amp;"|"&amp;$R389&amp;"|"&amp;$AE389,'ASIGNACIONES'!$J$4:$J$339,0)),"")))</f>
        <v/>
      </c>
      <c r="AG389" s="13">
        <f>IF($AE389="","",SUMIFS('ORDENES'!$M$4:$M$1203,'ORDENES'!$AE$4:$AE$1203,$AE389,'ORDENES'!$O$4:$O$1203,$O389,'ORDENES'!$R$4:$R$1203,$R389))</f>
        <v/>
      </c>
      <c r="AH389" s="13">
        <f>IF($AG389="","",p_factor_productividad*IFERROR(INDEX('ASIGNACIONES'!$I$4:$I$339,MATCH($O389&amp;"|"&amp;$R389&amp;"|"&amp;$AE389,'ASIGNACIONES'!$J$4:$J$339,0)),0)-$AG389)</f>
        <v/>
      </c>
      <c r="AI389" s="10">
        <f>IF($A389="","",IFERROR(INDEX('2_IMPORTAR_EJECUCION'!$F$9:$F$1208,MATCH($AQ389,'2_IMPORTAR_EJECUCION'!$J$9:$J$1208,0)),0))</f>
        <v/>
      </c>
      <c r="AJ389" s="10">
        <f>IF($A389="","",MAX(0,IFERROR(INDEX('2_IMPORTAR_EJECUCION'!$H$9:$H$1208,MATCH($AQ389,'2_IMPORTAR_EJECUCION'!$J$9:$J$1208,0)),0)-$AI389))</f>
        <v/>
      </c>
      <c r="AK389" s="10">
        <f>IF($A389="","",$AI389+$AJ389)</f>
        <v/>
      </c>
      <c r="AL389" s="6" t="n"/>
      <c r="AM389" s="6" t="n"/>
      <c r="AN389" s="6" t="n"/>
      <c r="AO389" s="3">
        <f>IF($AN389="","",HYPERLINK(p_ruta_base_checklists&amp;$AN389,"abrir"))</f>
        <v/>
      </c>
      <c r="AP389" s="6" t="n"/>
      <c r="AQ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IF($A390="","",IFERROR(INDEX('AJUSTES'!$B$4:$B$303,MATCH($AQ390,'AJUSTES'!$A$4:$A$303,0)),IF($K390="","",$K390)))</f>
        <v/>
      </c>
      <c r="N390" s="3">
        <f>IF($A390="","",IFERROR(INDEX('CAT_ESTADOS_ERP'!$B$4:$B$7,MATCH(IFERROR(INDEX('2_IMPORTAR_EJECUCION'!$C$9:$C$1208,MATCH($AQ390,'2_IMPORTAR_EJECUCION'!$J$9:$J$1208,0)),""),'CAT_ESTADOS_ERP'!$A$4:$A$7,0)),"Pendiente"))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J390="","",IFERROR(INDEX('CALENDARIO'!$C$15:$C$214,MATCH(TEXT($J390,"yyyy-mm-dd")&amp;"|"&amp;$V390&amp;"|"&amp;$W390,'CALENDARIO'!$G$15:$G$214,0)),IFERROR(INDEX('CALENDARIO'!$C$15:$C$214,MATCH(TEXT($J390,"yyyy-mm-dd")&amp;"|"&amp;$V390&amp;"|",'CALENDARIO'!$G$15:$G$214,0)),IFERROR(INDEX('CALENDARIO'!$C$15:$C$214,MATCH(TEXT($J390,"yyyy-mm-dd")&amp;"||",'CALENDARIO'!$G$15:$G$214,0)),INDEX(patronHabil,WEEKDAY($J390,2))))))</f>
        <v/>
      </c>
      <c r="T390" s="3">
        <f>IF($I390="","",IFERROR(INDEX('CAT_TIPOS_OT'!$C$4:$C$7,MATCH($I390,'CAT_TIPOS_OT'!$A$4:$A$7,0)),"sin_clasificar"))</f>
        <v/>
      </c>
      <c r="U390" s="3">
        <f>IF($F390="","",IFERROR(INDEX('CAT_CENTROS_COSTO'!$F$4:$F$13,MATCH($F390,'CAT_CENTROS_COSTO'!$A$4:$A$13,0)),"(sin catálogo)"))</f>
        <v/>
      </c>
      <c r="V390" s="3">
        <f>IF($F390="","",IFERROR(INDEX('CAT_CENTROS_COSTO'!$D$4:$D$13,MATCH($F390,'CAT_CENTROS_COSTO'!$A$4:$A$13,0)),"(sin catálogo)"))</f>
        <v/>
      </c>
      <c r="W390" s="3">
        <f>IF($F390="","",IF((IFERROR(INDEX('CAT_CENTROS_COSTO'!$E$4:$E$13,MATCH($F390,'CAT_CENTROS_COSTO'!$A$4:$A$13,0)),""))&lt;&gt;"",IFERROR(INDEX('CAT_CENTROS_COSTO'!$E$4:$E$13,MATCH($F390,'CAT_CENTROS_COSTO'!$A$4:$A$13,0)),""),$V390))</f>
        <v/>
      </c>
      <c r="X390" s="3">
        <f>IF($F390="","",IFERROR(INDEX('CAT_CENTROS_COSTO'!$G$4:$G$13,MATCH($F390,'CAT_CENTROS_COSTO'!$A$4:$A$13,0)),"(sin catálogo)"))</f>
        <v/>
      </c>
      <c r="Y390" s="3">
        <f>IF($G390="","",IFERROR(INDEX('CAT_PUESTOS'!$B$4:$B$8,MATCH($G390,'CAT_PUESTOS'!$A$4:$A$8,0)),"(sin catálogo)"))</f>
        <v/>
      </c>
      <c r="Z390" s="3">
        <f>IF($H390="","",IFERROR(INDEX('CAT_ACTIVIDADES'!$B$4:$B$8,MATCH($H390,'CAT_ACTIVIDADES'!$A$4:$A$8,0)),"(sin catálogo)"))</f>
        <v/>
      </c>
      <c r="AA390" s="12">
        <f>IF($J390="","",TODAY()-$J390)</f>
        <v/>
      </c>
      <c r="AB390" s="12">
        <f>IF($J390="","",IF($J390&lt;=TODAY(),COUNTIFS(cal_fechas,"&gt;="&amp;$J390,cal_fechas,"&lt;"&amp;TODAY(),cal_habil,"sí"),-COUNTIFS(cal_fechas,"&gt;="&amp;TODAY(),cal_fechas,"&lt;"&amp;$J390,cal_habil,"sí")))</f>
        <v/>
      </c>
      <c r="AC390" s="3">
        <f>IF($AB390="","",IF($AB390&lt;0,"FUTURO",IF($AB390&gt;p_dias_backlog_max,"BACKLOG","MES CORRIENTE")))</f>
        <v/>
      </c>
      <c r="AD390" s="3">
        <f>IF($AB390="",FALSE,AND($AB390&gt;p_dias_backlog_min,$AB390&lt;=p_dias_backlog_max))</f>
        <v/>
      </c>
      <c r="AE390" s="6" t="n"/>
      <c r="AF390" s="3">
        <f>IF($AE390="","",IF((IFERROR(INDEX('ASIGNACIONES'!$F$4:$F$339,MATCH($O390&amp;"|"&amp;$R390&amp;"|"&amp;$AE390,'ASIGNACIONES'!$J$4:$J$339,0)),""))=0,"",IFERROR(INDEX('ASIGNACIONES'!$F$4:$F$339,MATCH($O390&amp;"|"&amp;$R390&amp;"|"&amp;$AE390,'ASIGNACIONES'!$J$4:$J$339,0)),"")))</f>
        <v/>
      </c>
      <c r="AG390" s="13">
        <f>IF($AE390="","",SUMIFS('ORDENES'!$M$4:$M$1203,'ORDENES'!$AE$4:$AE$1203,$AE390,'ORDENES'!$O$4:$O$1203,$O390,'ORDENES'!$R$4:$R$1203,$R390))</f>
        <v/>
      </c>
      <c r="AH390" s="13">
        <f>IF($AG390="","",p_factor_productividad*IFERROR(INDEX('ASIGNACIONES'!$I$4:$I$339,MATCH($O390&amp;"|"&amp;$R390&amp;"|"&amp;$AE390,'ASIGNACIONES'!$J$4:$J$339,0)),0)-$AG390)</f>
        <v/>
      </c>
      <c r="AI390" s="10">
        <f>IF($A390="","",IFERROR(INDEX('2_IMPORTAR_EJECUCION'!$F$9:$F$1208,MATCH($AQ390,'2_IMPORTAR_EJECUCION'!$J$9:$J$1208,0)),0))</f>
        <v/>
      </c>
      <c r="AJ390" s="10">
        <f>IF($A390="","",MAX(0,IFERROR(INDEX('2_IMPORTAR_EJECUCION'!$H$9:$H$1208,MATCH($AQ390,'2_IMPORTAR_EJECUCION'!$J$9:$J$1208,0)),0)-$AI390))</f>
        <v/>
      </c>
      <c r="AK390" s="10">
        <f>IF($A390="","",$AI390+$AJ390)</f>
        <v/>
      </c>
      <c r="AL390" s="6" t="n"/>
      <c r="AM390" s="6" t="n"/>
      <c r="AN390" s="6" t="n"/>
      <c r="AO390" s="3">
        <f>IF($AN390="","",HYPERLINK(p_ruta_base_checklists&amp;$AN390,"abrir"))</f>
        <v/>
      </c>
      <c r="AP390" s="6" t="n"/>
      <c r="AQ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IF($A391="","",IFERROR(INDEX('AJUSTES'!$B$4:$B$303,MATCH($AQ391,'AJUSTES'!$A$4:$A$303,0)),IF($K391="","",$K391)))</f>
        <v/>
      </c>
      <c r="N391" s="3">
        <f>IF($A391="","",IFERROR(INDEX('CAT_ESTADOS_ERP'!$B$4:$B$7,MATCH(IFERROR(INDEX('2_IMPORTAR_EJECUCION'!$C$9:$C$1208,MATCH($AQ391,'2_IMPORTAR_EJECUCION'!$J$9:$J$1208,0)),""),'CAT_ESTADOS_ERP'!$A$4:$A$7,0)),"Pendiente"))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J391="","",IFERROR(INDEX('CALENDARIO'!$C$15:$C$214,MATCH(TEXT($J391,"yyyy-mm-dd")&amp;"|"&amp;$V391&amp;"|"&amp;$W391,'CALENDARIO'!$G$15:$G$214,0)),IFERROR(INDEX('CALENDARIO'!$C$15:$C$214,MATCH(TEXT($J391,"yyyy-mm-dd")&amp;"|"&amp;$V391&amp;"|",'CALENDARIO'!$G$15:$G$214,0)),IFERROR(INDEX('CALENDARIO'!$C$15:$C$214,MATCH(TEXT($J391,"yyyy-mm-dd")&amp;"||",'CALENDARIO'!$G$15:$G$214,0)),INDEX(patronHabil,WEEKDAY($J391,2))))))</f>
        <v/>
      </c>
      <c r="T391" s="3">
        <f>IF($I391="","",IFERROR(INDEX('CAT_TIPOS_OT'!$C$4:$C$7,MATCH($I391,'CAT_TIPOS_OT'!$A$4:$A$7,0)),"sin_clasificar"))</f>
        <v/>
      </c>
      <c r="U391" s="3">
        <f>IF($F391="","",IFERROR(INDEX('CAT_CENTROS_COSTO'!$F$4:$F$13,MATCH($F391,'CAT_CENTROS_COSTO'!$A$4:$A$13,0)),"(sin catálogo)"))</f>
        <v/>
      </c>
      <c r="V391" s="3">
        <f>IF($F391="","",IFERROR(INDEX('CAT_CENTROS_COSTO'!$D$4:$D$13,MATCH($F391,'CAT_CENTROS_COSTO'!$A$4:$A$13,0)),"(sin catálogo)"))</f>
        <v/>
      </c>
      <c r="W391" s="3">
        <f>IF($F391="","",IF((IFERROR(INDEX('CAT_CENTROS_COSTO'!$E$4:$E$13,MATCH($F391,'CAT_CENTROS_COSTO'!$A$4:$A$13,0)),""))&lt;&gt;"",IFERROR(INDEX('CAT_CENTROS_COSTO'!$E$4:$E$13,MATCH($F391,'CAT_CENTROS_COSTO'!$A$4:$A$13,0)),""),$V391))</f>
        <v/>
      </c>
      <c r="X391" s="3">
        <f>IF($F391="","",IFERROR(INDEX('CAT_CENTROS_COSTO'!$G$4:$G$13,MATCH($F391,'CAT_CENTROS_COSTO'!$A$4:$A$13,0)),"(sin catálogo)"))</f>
        <v/>
      </c>
      <c r="Y391" s="3">
        <f>IF($G391="","",IFERROR(INDEX('CAT_PUESTOS'!$B$4:$B$8,MATCH($G391,'CAT_PUESTOS'!$A$4:$A$8,0)),"(sin catálogo)"))</f>
        <v/>
      </c>
      <c r="Z391" s="3">
        <f>IF($H391="","",IFERROR(INDEX('CAT_ACTIVIDADES'!$B$4:$B$8,MATCH($H391,'CAT_ACTIVIDADES'!$A$4:$A$8,0)),"(sin catálogo)"))</f>
        <v/>
      </c>
      <c r="AA391" s="12">
        <f>IF($J391="","",TODAY()-$J391)</f>
        <v/>
      </c>
      <c r="AB391" s="12">
        <f>IF($J391="","",IF($J391&lt;=TODAY(),COUNTIFS(cal_fechas,"&gt;="&amp;$J391,cal_fechas,"&lt;"&amp;TODAY(),cal_habil,"sí"),-COUNTIFS(cal_fechas,"&gt;="&amp;TODAY(),cal_fechas,"&lt;"&amp;$J391,cal_habil,"sí")))</f>
        <v/>
      </c>
      <c r="AC391" s="3">
        <f>IF($AB391="","",IF($AB391&lt;0,"FUTURO",IF($AB391&gt;p_dias_backlog_max,"BACKLOG","MES CORRIENTE")))</f>
        <v/>
      </c>
      <c r="AD391" s="3">
        <f>IF($AB391="",FALSE,AND($AB391&gt;p_dias_backlog_min,$AB391&lt;=p_dias_backlog_max))</f>
        <v/>
      </c>
      <c r="AE391" s="6" t="n"/>
      <c r="AF391" s="3">
        <f>IF($AE391="","",IF((IFERROR(INDEX('ASIGNACIONES'!$F$4:$F$339,MATCH($O391&amp;"|"&amp;$R391&amp;"|"&amp;$AE391,'ASIGNACIONES'!$J$4:$J$339,0)),""))=0,"",IFERROR(INDEX('ASIGNACIONES'!$F$4:$F$339,MATCH($O391&amp;"|"&amp;$R391&amp;"|"&amp;$AE391,'ASIGNACIONES'!$J$4:$J$339,0)),"")))</f>
        <v/>
      </c>
      <c r="AG391" s="13">
        <f>IF($AE391="","",SUMIFS('ORDENES'!$M$4:$M$1203,'ORDENES'!$AE$4:$AE$1203,$AE391,'ORDENES'!$O$4:$O$1203,$O391,'ORDENES'!$R$4:$R$1203,$R391))</f>
        <v/>
      </c>
      <c r="AH391" s="13">
        <f>IF($AG391="","",p_factor_productividad*IFERROR(INDEX('ASIGNACIONES'!$I$4:$I$339,MATCH($O391&amp;"|"&amp;$R391&amp;"|"&amp;$AE391,'ASIGNACIONES'!$J$4:$J$339,0)),0)-$AG391)</f>
        <v/>
      </c>
      <c r="AI391" s="10">
        <f>IF($A391="","",IFERROR(INDEX('2_IMPORTAR_EJECUCION'!$F$9:$F$1208,MATCH($AQ391,'2_IMPORTAR_EJECUCION'!$J$9:$J$1208,0)),0))</f>
        <v/>
      </c>
      <c r="AJ391" s="10">
        <f>IF($A391="","",MAX(0,IFERROR(INDEX('2_IMPORTAR_EJECUCION'!$H$9:$H$1208,MATCH($AQ391,'2_IMPORTAR_EJECUCION'!$J$9:$J$1208,0)),0)-$AI391))</f>
        <v/>
      </c>
      <c r="AK391" s="10">
        <f>IF($A391="","",$AI391+$AJ391)</f>
        <v/>
      </c>
      <c r="AL391" s="6" t="n"/>
      <c r="AM391" s="6" t="n"/>
      <c r="AN391" s="6" t="n"/>
      <c r="AO391" s="3">
        <f>IF($AN391="","",HYPERLINK(p_ruta_base_checklists&amp;$AN391,"abrir"))</f>
        <v/>
      </c>
      <c r="AP391" s="6" t="n"/>
      <c r="AQ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IF($A392="","",IFERROR(INDEX('AJUSTES'!$B$4:$B$303,MATCH($AQ392,'AJUSTES'!$A$4:$A$303,0)),IF($K392="","",$K392)))</f>
        <v/>
      </c>
      <c r="N392" s="3">
        <f>IF($A392="","",IFERROR(INDEX('CAT_ESTADOS_ERP'!$B$4:$B$7,MATCH(IFERROR(INDEX('2_IMPORTAR_EJECUCION'!$C$9:$C$1208,MATCH($AQ392,'2_IMPORTAR_EJECUCION'!$J$9:$J$1208,0)),""),'CAT_ESTADOS_ERP'!$A$4:$A$7,0)),"Pendiente"))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J392="","",IFERROR(INDEX('CALENDARIO'!$C$15:$C$214,MATCH(TEXT($J392,"yyyy-mm-dd")&amp;"|"&amp;$V392&amp;"|"&amp;$W392,'CALENDARIO'!$G$15:$G$214,0)),IFERROR(INDEX('CALENDARIO'!$C$15:$C$214,MATCH(TEXT($J392,"yyyy-mm-dd")&amp;"|"&amp;$V392&amp;"|",'CALENDARIO'!$G$15:$G$214,0)),IFERROR(INDEX('CALENDARIO'!$C$15:$C$214,MATCH(TEXT($J392,"yyyy-mm-dd")&amp;"||",'CALENDARIO'!$G$15:$G$214,0)),INDEX(patronHabil,WEEKDAY($J392,2))))))</f>
        <v/>
      </c>
      <c r="T392" s="3">
        <f>IF($I392="","",IFERROR(INDEX('CAT_TIPOS_OT'!$C$4:$C$7,MATCH($I392,'CAT_TIPOS_OT'!$A$4:$A$7,0)),"sin_clasificar"))</f>
        <v/>
      </c>
      <c r="U392" s="3">
        <f>IF($F392="","",IFERROR(INDEX('CAT_CENTROS_COSTO'!$F$4:$F$13,MATCH($F392,'CAT_CENTROS_COSTO'!$A$4:$A$13,0)),"(sin catálogo)"))</f>
        <v/>
      </c>
      <c r="V392" s="3">
        <f>IF($F392="","",IFERROR(INDEX('CAT_CENTROS_COSTO'!$D$4:$D$13,MATCH($F392,'CAT_CENTROS_COSTO'!$A$4:$A$13,0)),"(sin catálogo)"))</f>
        <v/>
      </c>
      <c r="W392" s="3">
        <f>IF($F392="","",IF((IFERROR(INDEX('CAT_CENTROS_COSTO'!$E$4:$E$13,MATCH($F392,'CAT_CENTROS_COSTO'!$A$4:$A$13,0)),""))&lt;&gt;"",IFERROR(INDEX('CAT_CENTROS_COSTO'!$E$4:$E$13,MATCH($F392,'CAT_CENTROS_COSTO'!$A$4:$A$13,0)),""),$V392))</f>
        <v/>
      </c>
      <c r="X392" s="3">
        <f>IF($F392="","",IFERROR(INDEX('CAT_CENTROS_COSTO'!$G$4:$G$13,MATCH($F392,'CAT_CENTROS_COSTO'!$A$4:$A$13,0)),"(sin catálogo)"))</f>
        <v/>
      </c>
      <c r="Y392" s="3">
        <f>IF($G392="","",IFERROR(INDEX('CAT_PUESTOS'!$B$4:$B$8,MATCH($G392,'CAT_PUESTOS'!$A$4:$A$8,0)),"(sin catálogo)"))</f>
        <v/>
      </c>
      <c r="Z392" s="3">
        <f>IF($H392="","",IFERROR(INDEX('CAT_ACTIVIDADES'!$B$4:$B$8,MATCH($H392,'CAT_ACTIVIDADES'!$A$4:$A$8,0)),"(sin catálogo)"))</f>
        <v/>
      </c>
      <c r="AA392" s="12">
        <f>IF($J392="","",TODAY()-$J392)</f>
        <v/>
      </c>
      <c r="AB392" s="12">
        <f>IF($J392="","",IF($J392&lt;=TODAY(),COUNTIFS(cal_fechas,"&gt;="&amp;$J392,cal_fechas,"&lt;"&amp;TODAY(),cal_habil,"sí"),-COUNTIFS(cal_fechas,"&gt;="&amp;TODAY(),cal_fechas,"&lt;"&amp;$J392,cal_habil,"sí")))</f>
        <v/>
      </c>
      <c r="AC392" s="3">
        <f>IF($AB392="","",IF($AB392&lt;0,"FUTURO",IF($AB392&gt;p_dias_backlog_max,"BACKLOG","MES CORRIENTE")))</f>
        <v/>
      </c>
      <c r="AD392" s="3">
        <f>IF($AB392="",FALSE,AND($AB392&gt;p_dias_backlog_min,$AB392&lt;=p_dias_backlog_max))</f>
        <v/>
      </c>
      <c r="AE392" s="6" t="n"/>
      <c r="AF392" s="3">
        <f>IF($AE392="","",IF((IFERROR(INDEX('ASIGNACIONES'!$F$4:$F$339,MATCH($O392&amp;"|"&amp;$R392&amp;"|"&amp;$AE392,'ASIGNACIONES'!$J$4:$J$339,0)),""))=0,"",IFERROR(INDEX('ASIGNACIONES'!$F$4:$F$339,MATCH($O392&amp;"|"&amp;$R392&amp;"|"&amp;$AE392,'ASIGNACIONES'!$J$4:$J$339,0)),"")))</f>
        <v/>
      </c>
      <c r="AG392" s="13">
        <f>IF($AE392="","",SUMIFS('ORDENES'!$M$4:$M$1203,'ORDENES'!$AE$4:$AE$1203,$AE392,'ORDENES'!$O$4:$O$1203,$O392,'ORDENES'!$R$4:$R$1203,$R392))</f>
        <v/>
      </c>
      <c r="AH392" s="13">
        <f>IF($AG392="","",p_factor_productividad*IFERROR(INDEX('ASIGNACIONES'!$I$4:$I$339,MATCH($O392&amp;"|"&amp;$R392&amp;"|"&amp;$AE392,'ASIGNACIONES'!$J$4:$J$339,0)),0)-$AG392)</f>
        <v/>
      </c>
      <c r="AI392" s="10">
        <f>IF($A392="","",IFERROR(INDEX('2_IMPORTAR_EJECUCION'!$F$9:$F$1208,MATCH($AQ392,'2_IMPORTAR_EJECUCION'!$J$9:$J$1208,0)),0))</f>
        <v/>
      </c>
      <c r="AJ392" s="10">
        <f>IF($A392="","",MAX(0,IFERROR(INDEX('2_IMPORTAR_EJECUCION'!$H$9:$H$1208,MATCH($AQ392,'2_IMPORTAR_EJECUCION'!$J$9:$J$1208,0)),0)-$AI392))</f>
        <v/>
      </c>
      <c r="AK392" s="10">
        <f>IF($A392="","",$AI392+$AJ392)</f>
        <v/>
      </c>
      <c r="AL392" s="6" t="n"/>
      <c r="AM392" s="6" t="n"/>
      <c r="AN392" s="6" t="n"/>
      <c r="AO392" s="3">
        <f>IF($AN392="","",HYPERLINK(p_ruta_base_checklists&amp;$AN392,"abrir"))</f>
        <v/>
      </c>
      <c r="AP392" s="6" t="n"/>
      <c r="AQ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IF($A393="","",IFERROR(INDEX('AJUSTES'!$B$4:$B$303,MATCH($AQ393,'AJUSTES'!$A$4:$A$303,0)),IF($K393="","",$K393)))</f>
        <v/>
      </c>
      <c r="N393" s="3">
        <f>IF($A393="","",IFERROR(INDEX('CAT_ESTADOS_ERP'!$B$4:$B$7,MATCH(IFERROR(INDEX('2_IMPORTAR_EJECUCION'!$C$9:$C$1208,MATCH($AQ393,'2_IMPORTAR_EJECUCION'!$J$9:$J$1208,0)),""),'CAT_ESTADOS_ERP'!$A$4:$A$7,0)),"Pendiente"))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J393="","",IFERROR(INDEX('CALENDARIO'!$C$15:$C$214,MATCH(TEXT($J393,"yyyy-mm-dd")&amp;"|"&amp;$V393&amp;"|"&amp;$W393,'CALENDARIO'!$G$15:$G$214,0)),IFERROR(INDEX('CALENDARIO'!$C$15:$C$214,MATCH(TEXT($J393,"yyyy-mm-dd")&amp;"|"&amp;$V393&amp;"|",'CALENDARIO'!$G$15:$G$214,0)),IFERROR(INDEX('CALENDARIO'!$C$15:$C$214,MATCH(TEXT($J393,"yyyy-mm-dd")&amp;"||",'CALENDARIO'!$G$15:$G$214,0)),INDEX(patronHabil,WEEKDAY($J393,2))))))</f>
        <v/>
      </c>
      <c r="T393" s="3">
        <f>IF($I393="","",IFERROR(INDEX('CAT_TIPOS_OT'!$C$4:$C$7,MATCH($I393,'CAT_TIPOS_OT'!$A$4:$A$7,0)),"sin_clasificar"))</f>
        <v/>
      </c>
      <c r="U393" s="3">
        <f>IF($F393="","",IFERROR(INDEX('CAT_CENTROS_COSTO'!$F$4:$F$13,MATCH($F393,'CAT_CENTROS_COSTO'!$A$4:$A$13,0)),"(sin catálogo)"))</f>
        <v/>
      </c>
      <c r="V393" s="3">
        <f>IF($F393="","",IFERROR(INDEX('CAT_CENTROS_COSTO'!$D$4:$D$13,MATCH($F393,'CAT_CENTROS_COSTO'!$A$4:$A$13,0)),"(sin catálogo)"))</f>
        <v/>
      </c>
      <c r="W393" s="3">
        <f>IF($F393="","",IF((IFERROR(INDEX('CAT_CENTROS_COSTO'!$E$4:$E$13,MATCH($F393,'CAT_CENTROS_COSTO'!$A$4:$A$13,0)),""))&lt;&gt;"",IFERROR(INDEX('CAT_CENTROS_COSTO'!$E$4:$E$13,MATCH($F393,'CAT_CENTROS_COSTO'!$A$4:$A$13,0)),""),$V393))</f>
        <v/>
      </c>
      <c r="X393" s="3">
        <f>IF($F393="","",IFERROR(INDEX('CAT_CENTROS_COSTO'!$G$4:$G$13,MATCH($F393,'CAT_CENTROS_COSTO'!$A$4:$A$13,0)),"(sin catálogo)"))</f>
        <v/>
      </c>
      <c r="Y393" s="3">
        <f>IF($G393="","",IFERROR(INDEX('CAT_PUESTOS'!$B$4:$B$8,MATCH($G393,'CAT_PUESTOS'!$A$4:$A$8,0)),"(sin catálogo)"))</f>
        <v/>
      </c>
      <c r="Z393" s="3">
        <f>IF($H393="","",IFERROR(INDEX('CAT_ACTIVIDADES'!$B$4:$B$8,MATCH($H393,'CAT_ACTIVIDADES'!$A$4:$A$8,0)),"(sin catálogo)"))</f>
        <v/>
      </c>
      <c r="AA393" s="12">
        <f>IF($J393="","",TODAY()-$J393)</f>
        <v/>
      </c>
      <c r="AB393" s="12">
        <f>IF($J393="","",IF($J393&lt;=TODAY(),COUNTIFS(cal_fechas,"&gt;="&amp;$J393,cal_fechas,"&lt;"&amp;TODAY(),cal_habil,"sí"),-COUNTIFS(cal_fechas,"&gt;="&amp;TODAY(),cal_fechas,"&lt;"&amp;$J393,cal_habil,"sí")))</f>
        <v/>
      </c>
      <c r="AC393" s="3">
        <f>IF($AB393="","",IF($AB393&lt;0,"FUTURO",IF($AB393&gt;p_dias_backlog_max,"BACKLOG","MES CORRIENTE")))</f>
        <v/>
      </c>
      <c r="AD393" s="3">
        <f>IF($AB393="",FALSE,AND($AB393&gt;p_dias_backlog_min,$AB393&lt;=p_dias_backlog_max))</f>
        <v/>
      </c>
      <c r="AE393" s="6" t="n"/>
      <c r="AF393" s="3">
        <f>IF($AE393="","",IF((IFERROR(INDEX('ASIGNACIONES'!$F$4:$F$339,MATCH($O393&amp;"|"&amp;$R393&amp;"|"&amp;$AE393,'ASIGNACIONES'!$J$4:$J$339,0)),""))=0,"",IFERROR(INDEX('ASIGNACIONES'!$F$4:$F$339,MATCH($O393&amp;"|"&amp;$R393&amp;"|"&amp;$AE393,'ASIGNACIONES'!$J$4:$J$339,0)),"")))</f>
        <v/>
      </c>
      <c r="AG393" s="13">
        <f>IF($AE393="","",SUMIFS('ORDENES'!$M$4:$M$1203,'ORDENES'!$AE$4:$AE$1203,$AE393,'ORDENES'!$O$4:$O$1203,$O393,'ORDENES'!$R$4:$R$1203,$R393))</f>
        <v/>
      </c>
      <c r="AH393" s="13">
        <f>IF($AG393="","",p_factor_productividad*IFERROR(INDEX('ASIGNACIONES'!$I$4:$I$339,MATCH($O393&amp;"|"&amp;$R393&amp;"|"&amp;$AE393,'ASIGNACIONES'!$J$4:$J$339,0)),0)-$AG393)</f>
        <v/>
      </c>
      <c r="AI393" s="10">
        <f>IF($A393="","",IFERROR(INDEX('2_IMPORTAR_EJECUCION'!$F$9:$F$1208,MATCH($AQ393,'2_IMPORTAR_EJECUCION'!$J$9:$J$1208,0)),0))</f>
        <v/>
      </c>
      <c r="AJ393" s="10">
        <f>IF($A393="","",MAX(0,IFERROR(INDEX('2_IMPORTAR_EJECUCION'!$H$9:$H$1208,MATCH($AQ393,'2_IMPORTAR_EJECUCION'!$J$9:$J$1208,0)),0)-$AI393))</f>
        <v/>
      </c>
      <c r="AK393" s="10">
        <f>IF($A393="","",$AI393+$AJ393)</f>
        <v/>
      </c>
      <c r="AL393" s="6" t="n"/>
      <c r="AM393" s="6" t="n"/>
      <c r="AN393" s="6" t="n"/>
      <c r="AO393" s="3">
        <f>IF($AN393="","",HYPERLINK(p_ruta_base_checklists&amp;$AN393,"abrir"))</f>
        <v/>
      </c>
      <c r="AP393" s="6" t="n"/>
      <c r="AQ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IF($A394="","",IFERROR(INDEX('AJUSTES'!$B$4:$B$303,MATCH($AQ394,'AJUSTES'!$A$4:$A$303,0)),IF($K394="","",$K394)))</f>
        <v/>
      </c>
      <c r="N394" s="3">
        <f>IF($A394="","",IFERROR(INDEX('CAT_ESTADOS_ERP'!$B$4:$B$7,MATCH(IFERROR(INDEX('2_IMPORTAR_EJECUCION'!$C$9:$C$1208,MATCH($AQ394,'2_IMPORTAR_EJECUCION'!$J$9:$J$1208,0)),""),'CAT_ESTADOS_ERP'!$A$4:$A$7,0)),"Pendiente"))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J394="","",IFERROR(INDEX('CALENDARIO'!$C$15:$C$214,MATCH(TEXT($J394,"yyyy-mm-dd")&amp;"|"&amp;$V394&amp;"|"&amp;$W394,'CALENDARIO'!$G$15:$G$214,0)),IFERROR(INDEX('CALENDARIO'!$C$15:$C$214,MATCH(TEXT($J394,"yyyy-mm-dd")&amp;"|"&amp;$V394&amp;"|",'CALENDARIO'!$G$15:$G$214,0)),IFERROR(INDEX('CALENDARIO'!$C$15:$C$214,MATCH(TEXT($J394,"yyyy-mm-dd")&amp;"||",'CALENDARIO'!$G$15:$G$214,0)),INDEX(patronHabil,WEEKDAY($J394,2))))))</f>
        <v/>
      </c>
      <c r="T394" s="3">
        <f>IF($I394="","",IFERROR(INDEX('CAT_TIPOS_OT'!$C$4:$C$7,MATCH($I394,'CAT_TIPOS_OT'!$A$4:$A$7,0)),"sin_clasificar"))</f>
        <v/>
      </c>
      <c r="U394" s="3">
        <f>IF($F394="","",IFERROR(INDEX('CAT_CENTROS_COSTO'!$F$4:$F$13,MATCH($F394,'CAT_CENTROS_COSTO'!$A$4:$A$13,0)),"(sin catálogo)"))</f>
        <v/>
      </c>
      <c r="V394" s="3">
        <f>IF($F394="","",IFERROR(INDEX('CAT_CENTROS_COSTO'!$D$4:$D$13,MATCH($F394,'CAT_CENTROS_COSTO'!$A$4:$A$13,0)),"(sin catálogo)"))</f>
        <v/>
      </c>
      <c r="W394" s="3">
        <f>IF($F394="","",IF((IFERROR(INDEX('CAT_CENTROS_COSTO'!$E$4:$E$13,MATCH($F394,'CAT_CENTROS_COSTO'!$A$4:$A$13,0)),""))&lt;&gt;"",IFERROR(INDEX('CAT_CENTROS_COSTO'!$E$4:$E$13,MATCH($F394,'CAT_CENTROS_COSTO'!$A$4:$A$13,0)),""),$V394))</f>
        <v/>
      </c>
      <c r="X394" s="3">
        <f>IF($F394="","",IFERROR(INDEX('CAT_CENTROS_COSTO'!$G$4:$G$13,MATCH($F394,'CAT_CENTROS_COSTO'!$A$4:$A$13,0)),"(sin catálogo)"))</f>
        <v/>
      </c>
      <c r="Y394" s="3">
        <f>IF($G394="","",IFERROR(INDEX('CAT_PUESTOS'!$B$4:$B$8,MATCH($G394,'CAT_PUESTOS'!$A$4:$A$8,0)),"(sin catálogo)"))</f>
        <v/>
      </c>
      <c r="Z394" s="3">
        <f>IF($H394="","",IFERROR(INDEX('CAT_ACTIVIDADES'!$B$4:$B$8,MATCH($H394,'CAT_ACTIVIDADES'!$A$4:$A$8,0)),"(sin catálogo)"))</f>
        <v/>
      </c>
      <c r="AA394" s="12">
        <f>IF($J394="","",TODAY()-$J394)</f>
        <v/>
      </c>
      <c r="AB394" s="12">
        <f>IF($J394="","",IF($J394&lt;=TODAY(),COUNTIFS(cal_fechas,"&gt;="&amp;$J394,cal_fechas,"&lt;"&amp;TODAY(),cal_habil,"sí"),-COUNTIFS(cal_fechas,"&gt;="&amp;TODAY(),cal_fechas,"&lt;"&amp;$J394,cal_habil,"sí")))</f>
        <v/>
      </c>
      <c r="AC394" s="3">
        <f>IF($AB394="","",IF($AB394&lt;0,"FUTURO",IF($AB394&gt;p_dias_backlog_max,"BACKLOG","MES CORRIENTE")))</f>
        <v/>
      </c>
      <c r="AD394" s="3">
        <f>IF($AB394="",FALSE,AND($AB394&gt;p_dias_backlog_min,$AB394&lt;=p_dias_backlog_max))</f>
        <v/>
      </c>
      <c r="AE394" s="6" t="n"/>
      <c r="AF394" s="3">
        <f>IF($AE394="","",IF((IFERROR(INDEX('ASIGNACIONES'!$F$4:$F$339,MATCH($O394&amp;"|"&amp;$R394&amp;"|"&amp;$AE394,'ASIGNACIONES'!$J$4:$J$339,0)),""))=0,"",IFERROR(INDEX('ASIGNACIONES'!$F$4:$F$339,MATCH($O394&amp;"|"&amp;$R394&amp;"|"&amp;$AE394,'ASIGNACIONES'!$J$4:$J$339,0)),"")))</f>
        <v/>
      </c>
      <c r="AG394" s="13">
        <f>IF($AE394="","",SUMIFS('ORDENES'!$M$4:$M$1203,'ORDENES'!$AE$4:$AE$1203,$AE394,'ORDENES'!$O$4:$O$1203,$O394,'ORDENES'!$R$4:$R$1203,$R394))</f>
        <v/>
      </c>
      <c r="AH394" s="13">
        <f>IF($AG394="","",p_factor_productividad*IFERROR(INDEX('ASIGNACIONES'!$I$4:$I$339,MATCH($O394&amp;"|"&amp;$R394&amp;"|"&amp;$AE394,'ASIGNACIONES'!$J$4:$J$339,0)),0)-$AG394)</f>
        <v/>
      </c>
      <c r="AI394" s="10">
        <f>IF($A394="","",IFERROR(INDEX('2_IMPORTAR_EJECUCION'!$F$9:$F$1208,MATCH($AQ394,'2_IMPORTAR_EJECUCION'!$J$9:$J$1208,0)),0))</f>
        <v/>
      </c>
      <c r="AJ394" s="10">
        <f>IF($A394="","",MAX(0,IFERROR(INDEX('2_IMPORTAR_EJECUCION'!$H$9:$H$1208,MATCH($AQ394,'2_IMPORTAR_EJECUCION'!$J$9:$J$1208,0)),0)-$AI394))</f>
        <v/>
      </c>
      <c r="AK394" s="10">
        <f>IF($A394="","",$AI394+$AJ394)</f>
        <v/>
      </c>
      <c r="AL394" s="6" t="n"/>
      <c r="AM394" s="6" t="n"/>
      <c r="AN394" s="6" t="n"/>
      <c r="AO394" s="3">
        <f>IF($AN394="","",HYPERLINK(p_ruta_base_checklists&amp;$AN394,"abrir"))</f>
        <v/>
      </c>
      <c r="AP394" s="6" t="n"/>
      <c r="AQ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IF($A395="","",IFERROR(INDEX('AJUSTES'!$B$4:$B$303,MATCH($AQ395,'AJUSTES'!$A$4:$A$303,0)),IF($K395="","",$K395)))</f>
        <v/>
      </c>
      <c r="N395" s="3">
        <f>IF($A395="","",IFERROR(INDEX('CAT_ESTADOS_ERP'!$B$4:$B$7,MATCH(IFERROR(INDEX('2_IMPORTAR_EJECUCION'!$C$9:$C$1208,MATCH($AQ395,'2_IMPORTAR_EJECUCION'!$J$9:$J$1208,0)),""),'CAT_ESTADOS_ERP'!$A$4:$A$7,0)),"Pendiente"))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J395="","",IFERROR(INDEX('CALENDARIO'!$C$15:$C$214,MATCH(TEXT($J395,"yyyy-mm-dd")&amp;"|"&amp;$V395&amp;"|"&amp;$W395,'CALENDARIO'!$G$15:$G$214,0)),IFERROR(INDEX('CALENDARIO'!$C$15:$C$214,MATCH(TEXT($J395,"yyyy-mm-dd")&amp;"|"&amp;$V395&amp;"|",'CALENDARIO'!$G$15:$G$214,0)),IFERROR(INDEX('CALENDARIO'!$C$15:$C$214,MATCH(TEXT($J395,"yyyy-mm-dd")&amp;"||",'CALENDARIO'!$G$15:$G$214,0)),INDEX(patronHabil,WEEKDAY($J395,2))))))</f>
        <v/>
      </c>
      <c r="T395" s="3">
        <f>IF($I395="","",IFERROR(INDEX('CAT_TIPOS_OT'!$C$4:$C$7,MATCH($I395,'CAT_TIPOS_OT'!$A$4:$A$7,0)),"sin_clasificar"))</f>
        <v/>
      </c>
      <c r="U395" s="3">
        <f>IF($F395="","",IFERROR(INDEX('CAT_CENTROS_COSTO'!$F$4:$F$13,MATCH($F395,'CAT_CENTROS_COSTO'!$A$4:$A$13,0)),"(sin catálogo)"))</f>
        <v/>
      </c>
      <c r="V395" s="3">
        <f>IF($F395="","",IFERROR(INDEX('CAT_CENTROS_COSTO'!$D$4:$D$13,MATCH($F395,'CAT_CENTROS_COSTO'!$A$4:$A$13,0)),"(sin catálogo)"))</f>
        <v/>
      </c>
      <c r="W395" s="3">
        <f>IF($F395="","",IF((IFERROR(INDEX('CAT_CENTROS_COSTO'!$E$4:$E$13,MATCH($F395,'CAT_CENTROS_COSTO'!$A$4:$A$13,0)),""))&lt;&gt;"",IFERROR(INDEX('CAT_CENTROS_COSTO'!$E$4:$E$13,MATCH($F395,'CAT_CENTROS_COSTO'!$A$4:$A$13,0)),""),$V395))</f>
        <v/>
      </c>
      <c r="X395" s="3">
        <f>IF($F395="","",IFERROR(INDEX('CAT_CENTROS_COSTO'!$G$4:$G$13,MATCH($F395,'CAT_CENTROS_COSTO'!$A$4:$A$13,0)),"(sin catálogo)"))</f>
        <v/>
      </c>
      <c r="Y395" s="3">
        <f>IF($G395="","",IFERROR(INDEX('CAT_PUESTOS'!$B$4:$B$8,MATCH($G395,'CAT_PUESTOS'!$A$4:$A$8,0)),"(sin catálogo)"))</f>
        <v/>
      </c>
      <c r="Z395" s="3">
        <f>IF($H395="","",IFERROR(INDEX('CAT_ACTIVIDADES'!$B$4:$B$8,MATCH($H395,'CAT_ACTIVIDADES'!$A$4:$A$8,0)),"(sin catálogo)"))</f>
        <v/>
      </c>
      <c r="AA395" s="12">
        <f>IF($J395="","",TODAY()-$J395)</f>
        <v/>
      </c>
      <c r="AB395" s="12">
        <f>IF($J395="","",IF($J395&lt;=TODAY(),COUNTIFS(cal_fechas,"&gt;="&amp;$J395,cal_fechas,"&lt;"&amp;TODAY(),cal_habil,"sí"),-COUNTIFS(cal_fechas,"&gt;="&amp;TODAY(),cal_fechas,"&lt;"&amp;$J395,cal_habil,"sí")))</f>
        <v/>
      </c>
      <c r="AC395" s="3">
        <f>IF($AB395="","",IF($AB395&lt;0,"FUTURO",IF($AB395&gt;p_dias_backlog_max,"BACKLOG","MES CORRIENTE")))</f>
        <v/>
      </c>
      <c r="AD395" s="3">
        <f>IF($AB395="",FALSE,AND($AB395&gt;p_dias_backlog_min,$AB395&lt;=p_dias_backlog_max))</f>
        <v/>
      </c>
      <c r="AE395" s="6" t="n"/>
      <c r="AF395" s="3">
        <f>IF($AE395="","",IF((IFERROR(INDEX('ASIGNACIONES'!$F$4:$F$339,MATCH($O395&amp;"|"&amp;$R395&amp;"|"&amp;$AE395,'ASIGNACIONES'!$J$4:$J$339,0)),""))=0,"",IFERROR(INDEX('ASIGNACIONES'!$F$4:$F$339,MATCH($O395&amp;"|"&amp;$R395&amp;"|"&amp;$AE395,'ASIGNACIONES'!$J$4:$J$339,0)),"")))</f>
        <v/>
      </c>
      <c r="AG395" s="13">
        <f>IF($AE395="","",SUMIFS('ORDENES'!$M$4:$M$1203,'ORDENES'!$AE$4:$AE$1203,$AE395,'ORDENES'!$O$4:$O$1203,$O395,'ORDENES'!$R$4:$R$1203,$R395))</f>
        <v/>
      </c>
      <c r="AH395" s="13">
        <f>IF($AG395="","",p_factor_productividad*IFERROR(INDEX('ASIGNACIONES'!$I$4:$I$339,MATCH($O395&amp;"|"&amp;$R395&amp;"|"&amp;$AE395,'ASIGNACIONES'!$J$4:$J$339,0)),0)-$AG395)</f>
        <v/>
      </c>
      <c r="AI395" s="10">
        <f>IF($A395="","",IFERROR(INDEX('2_IMPORTAR_EJECUCION'!$F$9:$F$1208,MATCH($AQ395,'2_IMPORTAR_EJECUCION'!$J$9:$J$1208,0)),0))</f>
        <v/>
      </c>
      <c r="AJ395" s="10">
        <f>IF($A395="","",MAX(0,IFERROR(INDEX('2_IMPORTAR_EJECUCION'!$H$9:$H$1208,MATCH($AQ395,'2_IMPORTAR_EJECUCION'!$J$9:$J$1208,0)),0)-$AI395))</f>
        <v/>
      </c>
      <c r="AK395" s="10">
        <f>IF($A395="","",$AI395+$AJ395)</f>
        <v/>
      </c>
      <c r="AL395" s="6" t="n"/>
      <c r="AM395" s="6" t="n"/>
      <c r="AN395" s="6" t="n"/>
      <c r="AO395" s="3">
        <f>IF($AN395="","",HYPERLINK(p_ruta_base_checklists&amp;$AN395,"abrir"))</f>
        <v/>
      </c>
      <c r="AP395" s="6" t="n"/>
      <c r="AQ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IF($A396="","",IFERROR(INDEX('AJUSTES'!$B$4:$B$303,MATCH($AQ396,'AJUSTES'!$A$4:$A$303,0)),IF($K396="","",$K396)))</f>
        <v/>
      </c>
      <c r="N396" s="3">
        <f>IF($A396="","",IFERROR(INDEX('CAT_ESTADOS_ERP'!$B$4:$B$7,MATCH(IFERROR(INDEX('2_IMPORTAR_EJECUCION'!$C$9:$C$1208,MATCH($AQ396,'2_IMPORTAR_EJECUCION'!$J$9:$J$1208,0)),""),'CAT_ESTADOS_ERP'!$A$4:$A$7,0)),"Pendiente"))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J396="","",IFERROR(INDEX('CALENDARIO'!$C$15:$C$214,MATCH(TEXT($J396,"yyyy-mm-dd")&amp;"|"&amp;$V396&amp;"|"&amp;$W396,'CALENDARIO'!$G$15:$G$214,0)),IFERROR(INDEX('CALENDARIO'!$C$15:$C$214,MATCH(TEXT($J396,"yyyy-mm-dd")&amp;"|"&amp;$V396&amp;"|",'CALENDARIO'!$G$15:$G$214,0)),IFERROR(INDEX('CALENDARIO'!$C$15:$C$214,MATCH(TEXT($J396,"yyyy-mm-dd")&amp;"||",'CALENDARIO'!$G$15:$G$214,0)),INDEX(patronHabil,WEEKDAY($J396,2))))))</f>
        <v/>
      </c>
      <c r="T396" s="3">
        <f>IF($I396="","",IFERROR(INDEX('CAT_TIPOS_OT'!$C$4:$C$7,MATCH($I396,'CAT_TIPOS_OT'!$A$4:$A$7,0)),"sin_clasificar"))</f>
        <v/>
      </c>
      <c r="U396" s="3">
        <f>IF($F396="","",IFERROR(INDEX('CAT_CENTROS_COSTO'!$F$4:$F$13,MATCH($F396,'CAT_CENTROS_COSTO'!$A$4:$A$13,0)),"(sin catálogo)"))</f>
        <v/>
      </c>
      <c r="V396" s="3">
        <f>IF($F396="","",IFERROR(INDEX('CAT_CENTROS_COSTO'!$D$4:$D$13,MATCH($F396,'CAT_CENTROS_COSTO'!$A$4:$A$13,0)),"(sin catálogo)"))</f>
        <v/>
      </c>
      <c r="W396" s="3">
        <f>IF($F396="","",IF((IFERROR(INDEX('CAT_CENTROS_COSTO'!$E$4:$E$13,MATCH($F396,'CAT_CENTROS_COSTO'!$A$4:$A$13,0)),""))&lt;&gt;"",IFERROR(INDEX('CAT_CENTROS_COSTO'!$E$4:$E$13,MATCH($F396,'CAT_CENTROS_COSTO'!$A$4:$A$13,0)),""),$V396))</f>
        <v/>
      </c>
      <c r="X396" s="3">
        <f>IF($F396="","",IFERROR(INDEX('CAT_CENTROS_COSTO'!$G$4:$G$13,MATCH($F396,'CAT_CENTROS_COSTO'!$A$4:$A$13,0)),"(sin catálogo)"))</f>
        <v/>
      </c>
      <c r="Y396" s="3">
        <f>IF($G396="","",IFERROR(INDEX('CAT_PUESTOS'!$B$4:$B$8,MATCH($G396,'CAT_PUESTOS'!$A$4:$A$8,0)),"(sin catálogo)"))</f>
        <v/>
      </c>
      <c r="Z396" s="3">
        <f>IF($H396="","",IFERROR(INDEX('CAT_ACTIVIDADES'!$B$4:$B$8,MATCH($H396,'CAT_ACTIVIDADES'!$A$4:$A$8,0)),"(sin catálogo)"))</f>
        <v/>
      </c>
      <c r="AA396" s="12">
        <f>IF($J396="","",TODAY()-$J396)</f>
        <v/>
      </c>
      <c r="AB396" s="12">
        <f>IF($J396="","",IF($J396&lt;=TODAY(),COUNTIFS(cal_fechas,"&gt;="&amp;$J396,cal_fechas,"&lt;"&amp;TODAY(),cal_habil,"sí"),-COUNTIFS(cal_fechas,"&gt;="&amp;TODAY(),cal_fechas,"&lt;"&amp;$J396,cal_habil,"sí")))</f>
        <v/>
      </c>
      <c r="AC396" s="3">
        <f>IF($AB396="","",IF($AB396&lt;0,"FUTURO",IF($AB396&gt;p_dias_backlog_max,"BACKLOG","MES CORRIENTE")))</f>
        <v/>
      </c>
      <c r="AD396" s="3">
        <f>IF($AB396="",FALSE,AND($AB396&gt;p_dias_backlog_min,$AB396&lt;=p_dias_backlog_max))</f>
        <v/>
      </c>
      <c r="AE396" s="6" t="n"/>
      <c r="AF396" s="3">
        <f>IF($AE396="","",IF((IFERROR(INDEX('ASIGNACIONES'!$F$4:$F$339,MATCH($O396&amp;"|"&amp;$R396&amp;"|"&amp;$AE396,'ASIGNACIONES'!$J$4:$J$339,0)),""))=0,"",IFERROR(INDEX('ASIGNACIONES'!$F$4:$F$339,MATCH($O396&amp;"|"&amp;$R396&amp;"|"&amp;$AE396,'ASIGNACIONES'!$J$4:$J$339,0)),"")))</f>
        <v/>
      </c>
      <c r="AG396" s="13">
        <f>IF($AE396="","",SUMIFS('ORDENES'!$M$4:$M$1203,'ORDENES'!$AE$4:$AE$1203,$AE396,'ORDENES'!$O$4:$O$1203,$O396,'ORDENES'!$R$4:$R$1203,$R396))</f>
        <v/>
      </c>
      <c r="AH396" s="13">
        <f>IF($AG396="","",p_factor_productividad*IFERROR(INDEX('ASIGNACIONES'!$I$4:$I$339,MATCH($O396&amp;"|"&amp;$R396&amp;"|"&amp;$AE396,'ASIGNACIONES'!$J$4:$J$339,0)),0)-$AG396)</f>
        <v/>
      </c>
      <c r="AI396" s="10">
        <f>IF($A396="","",IFERROR(INDEX('2_IMPORTAR_EJECUCION'!$F$9:$F$1208,MATCH($AQ396,'2_IMPORTAR_EJECUCION'!$J$9:$J$1208,0)),0))</f>
        <v/>
      </c>
      <c r="AJ396" s="10">
        <f>IF($A396="","",MAX(0,IFERROR(INDEX('2_IMPORTAR_EJECUCION'!$H$9:$H$1208,MATCH($AQ396,'2_IMPORTAR_EJECUCION'!$J$9:$J$1208,0)),0)-$AI396))</f>
        <v/>
      </c>
      <c r="AK396" s="10">
        <f>IF($A396="","",$AI396+$AJ396)</f>
        <v/>
      </c>
      <c r="AL396" s="6" t="n"/>
      <c r="AM396" s="6" t="n"/>
      <c r="AN396" s="6" t="n"/>
      <c r="AO396" s="3">
        <f>IF($AN396="","",HYPERLINK(p_ruta_base_checklists&amp;$AN396,"abrir"))</f>
        <v/>
      </c>
      <c r="AP396" s="6" t="n"/>
      <c r="AQ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IF($A397="","",IFERROR(INDEX('AJUSTES'!$B$4:$B$303,MATCH($AQ397,'AJUSTES'!$A$4:$A$303,0)),IF($K397="","",$K397)))</f>
        <v/>
      </c>
      <c r="N397" s="3">
        <f>IF($A397="","",IFERROR(INDEX('CAT_ESTADOS_ERP'!$B$4:$B$7,MATCH(IFERROR(INDEX('2_IMPORTAR_EJECUCION'!$C$9:$C$1208,MATCH($AQ397,'2_IMPORTAR_EJECUCION'!$J$9:$J$1208,0)),""),'CAT_ESTADOS_ERP'!$A$4:$A$7,0)),"Pendiente"))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J397="","",IFERROR(INDEX('CALENDARIO'!$C$15:$C$214,MATCH(TEXT($J397,"yyyy-mm-dd")&amp;"|"&amp;$V397&amp;"|"&amp;$W397,'CALENDARIO'!$G$15:$G$214,0)),IFERROR(INDEX('CALENDARIO'!$C$15:$C$214,MATCH(TEXT($J397,"yyyy-mm-dd")&amp;"|"&amp;$V397&amp;"|",'CALENDARIO'!$G$15:$G$214,0)),IFERROR(INDEX('CALENDARIO'!$C$15:$C$214,MATCH(TEXT($J397,"yyyy-mm-dd")&amp;"||",'CALENDARIO'!$G$15:$G$214,0)),INDEX(patronHabil,WEEKDAY($J397,2))))))</f>
        <v/>
      </c>
      <c r="T397" s="3">
        <f>IF($I397="","",IFERROR(INDEX('CAT_TIPOS_OT'!$C$4:$C$7,MATCH($I397,'CAT_TIPOS_OT'!$A$4:$A$7,0)),"sin_clasificar"))</f>
        <v/>
      </c>
      <c r="U397" s="3">
        <f>IF($F397="","",IFERROR(INDEX('CAT_CENTROS_COSTO'!$F$4:$F$13,MATCH($F397,'CAT_CENTROS_COSTO'!$A$4:$A$13,0)),"(sin catálogo)"))</f>
        <v/>
      </c>
      <c r="V397" s="3">
        <f>IF($F397="","",IFERROR(INDEX('CAT_CENTROS_COSTO'!$D$4:$D$13,MATCH($F397,'CAT_CENTROS_COSTO'!$A$4:$A$13,0)),"(sin catálogo)"))</f>
        <v/>
      </c>
      <c r="W397" s="3">
        <f>IF($F397="","",IF((IFERROR(INDEX('CAT_CENTROS_COSTO'!$E$4:$E$13,MATCH($F397,'CAT_CENTROS_COSTO'!$A$4:$A$13,0)),""))&lt;&gt;"",IFERROR(INDEX('CAT_CENTROS_COSTO'!$E$4:$E$13,MATCH($F397,'CAT_CENTROS_COSTO'!$A$4:$A$13,0)),""),$V397))</f>
        <v/>
      </c>
      <c r="X397" s="3">
        <f>IF($F397="","",IFERROR(INDEX('CAT_CENTROS_COSTO'!$G$4:$G$13,MATCH($F397,'CAT_CENTROS_COSTO'!$A$4:$A$13,0)),"(sin catálogo)"))</f>
        <v/>
      </c>
      <c r="Y397" s="3">
        <f>IF($G397="","",IFERROR(INDEX('CAT_PUESTOS'!$B$4:$B$8,MATCH($G397,'CAT_PUESTOS'!$A$4:$A$8,0)),"(sin catálogo)"))</f>
        <v/>
      </c>
      <c r="Z397" s="3">
        <f>IF($H397="","",IFERROR(INDEX('CAT_ACTIVIDADES'!$B$4:$B$8,MATCH($H397,'CAT_ACTIVIDADES'!$A$4:$A$8,0)),"(sin catálogo)"))</f>
        <v/>
      </c>
      <c r="AA397" s="12">
        <f>IF($J397="","",TODAY()-$J397)</f>
        <v/>
      </c>
      <c r="AB397" s="12">
        <f>IF($J397="","",IF($J397&lt;=TODAY(),COUNTIFS(cal_fechas,"&gt;="&amp;$J397,cal_fechas,"&lt;"&amp;TODAY(),cal_habil,"sí"),-COUNTIFS(cal_fechas,"&gt;="&amp;TODAY(),cal_fechas,"&lt;"&amp;$J397,cal_habil,"sí")))</f>
        <v/>
      </c>
      <c r="AC397" s="3">
        <f>IF($AB397="","",IF($AB397&lt;0,"FUTURO",IF($AB397&gt;p_dias_backlog_max,"BACKLOG","MES CORRIENTE")))</f>
        <v/>
      </c>
      <c r="AD397" s="3">
        <f>IF($AB397="",FALSE,AND($AB397&gt;p_dias_backlog_min,$AB397&lt;=p_dias_backlog_max))</f>
        <v/>
      </c>
      <c r="AE397" s="6" t="n"/>
      <c r="AF397" s="3">
        <f>IF($AE397="","",IF((IFERROR(INDEX('ASIGNACIONES'!$F$4:$F$339,MATCH($O397&amp;"|"&amp;$R397&amp;"|"&amp;$AE397,'ASIGNACIONES'!$J$4:$J$339,0)),""))=0,"",IFERROR(INDEX('ASIGNACIONES'!$F$4:$F$339,MATCH($O397&amp;"|"&amp;$R397&amp;"|"&amp;$AE397,'ASIGNACIONES'!$J$4:$J$339,0)),"")))</f>
        <v/>
      </c>
      <c r="AG397" s="13">
        <f>IF($AE397="","",SUMIFS('ORDENES'!$M$4:$M$1203,'ORDENES'!$AE$4:$AE$1203,$AE397,'ORDENES'!$O$4:$O$1203,$O397,'ORDENES'!$R$4:$R$1203,$R397))</f>
        <v/>
      </c>
      <c r="AH397" s="13">
        <f>IF($AG397="","",p_factor_productividad*IFERROR(INDEX('ASIGNACIONES'!$I$4:$I$339,MATCH($O397&amp;"|"&amp;$R397&amp;"|"&amp;$AE397,'ASIGNACIONES'!$J$4:$J$339,0)),0)-$AG397)</f>
        <v/>
      </c>
      <c r="AI397" s="10">
        <f>IF($A397="","",IFERROR(INDEX('2_IMPORTAR_EJECUCION'!$F$9:$F$1208,MATCH($AQ397,'2_IMPORTAR_EJECUCION'!$J$9:$J$1208,0)),0))</f>
        <v/>
      </c>
      <c r="AJ397" s="10">
        <f>IF($A397="","",MAX(0,IFERROR(INDEX('2_IMPORTAR_EJECUCION'!$H$9:$H$1208,MATCH($AQ397,'2_IMPORTAR_EJECUCION'!$J$9:$J$1208,0)),0)-$AI397))</f>
        <v/>
      </c>
      <c r="AK397" s="10">
        <f>IF($A397="","",$AI397+$AJ397)</f>
        <v/>
      </c>
      <c r="AL397" s="6" t="n"/>
      <c r="AM397" s="6" t="n"/>
      <c r="AN397" s="6" t="n"/>
      <c r="AO397" s="3">
        <f>IF($AN397="","",HYPERLINK(p_ruta_base_checklists&amp;$AN397,"abrir"))</f>
        <v/>
      </c>
      <c r="AP397" s="6" t="n"/>
      <c r="AQ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IF($A398="","",IFERROR(INDEX('AJUSTES'!$B$4:$B$303,MATCH($AQ398,'AJUSTES'!$A$4:$A$303,0)),IF($K398="","",$K398)))</f>
        <v/>
      </c>
      <c r="N398" s="3">
        <f>IF($A398="","",IFERROR(INDEX('CAT_ESTADOS_ERP'!$B$4:$B$7,MATCH(IFERROR(INDEX('2_IMPORTAR_EJECUCION'!$C$9:$C$1208,MATCH($AQ398,'2_IMPORTAR_EJECUCION'!$J$9:$J$1208,0)),""),'CAT_ESTADOS_ERP'!$A$4:$A$7,0)),"Pendiente"))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J398="","",IFERROR(INDEX('CALENDARIO'!$C$15:$C$214,MATCH(TEXT($J398,"yyyy-mm-dd")&amp;"|"&amp;$V398&amp;"|"&amp;$W398,'CALENDARIO'!$G$15:$G$214,0)),IFERROR(INDEX('CALENDARIO'!$C$15:$C$214,MATCH(TEXT($J398,"yyyy-mm-dd")&amp;"|"&amp;$V398&amp;"|",'CALENDARIO'!$G$15:$G$214,0)),IFERROR(INDEX('CALENDARIO'!$C$15:$C$214,MATCH(TEXT($J398,"yyyy-mm-dd")&amp;"||",'CALENDARIO'!$G$15:$G$214,0)),INDEX(patronHabil,WEEKDAY($J398,2))))))</f>
        <v/>
      </c>
      <c r="T398" s="3">
        <f>IF($I398="","",IFERROR(INDEX('CAT_TIPOS_OT'!$C$4:$C$7,MATCH($I398,'CAT_TIPOS_OT'!$A$4:$A$7,0)),"sin_clasificar"))</f>
        <v/>
      </c>
      <c r="U398" s="3">
        <f>IF($F398="","",IFERROR(INDEX('CAT_CENTROS_COSTO'!$F$4:$F$13,MATCH($F398,'CAT_CENTROS_COSTO'!$A$4:$A$13,0)),"(sin catálogo)"))</f>
        <v/>
      </c>
      <c r="V398" s="3">
        <f>IF($F398="","",IFERROR(INDEX('CAT_CENTROS_COSTO'!$D$4:$D$13,MATCH($F398,'CAT_CENTROS_COSTO'!$A$4:$A$13,0)),"(sin catálogo)"))</f>
        <v/>
      </c>
      <c r="W398" s="3">
        <f>IF($F398="","",IF((IFERROR(INDEX('CAT_CENTROS_COSTO'!$E$4:$E$13,MATCH($F398,'CAT_CENTROS_COSTO'!$A$4:$A$13,0)),""))&lt;&gt;"",IFERROR(INDEX('CAT_CENTROS_COSTO'!$E$4:$E$13,MATCH($F398,'CAT_CENTROS_COSTO'!$A$4:$A$13,0)),""),$V398))</f>
        <v/>
      </c>
      <c r="X398" s="3">
        <f>IF($F398="","",IFERROR(INDEX('CAT_CENTROS_COSTO'!$G$4:$G$13,MATCH($F398,'CAT_CENTROS_COSTO'!$A$4:$A$13,0)),"(sin catálogo)"))</f>
        <v/>
      </c>
      <c r="Y398" s="3">
        <f>IF($G398="","",IFERROR(INDEX('CAT_PUESTOS'!$B$4:$B$8,MATCH($G398,'CAT_PUESTOS'!$A$4:$A$8,0)),"(sin catálogo)"))</f>
        <v/>
      </c>
      <c r="Z398" s="3">
        <f>IF($H398="","",IFERROR(INDEX('CAT_ACTIVIDADES'!$B$4:$B$8,MATCH($H398,'CAT_ACTIVIDADES'!$A$4:$A$8,0)),"(sin catálogo)"))</f>
        <v/>
      </c>
      <c r="AA398" s="12">
        <f>IF($J398="","",TODAY()-$J398)</f>
        <v/>
      </c>
      <c r="AB398" s="12">
        <f>IF($J398="","",IF($J398&lt;=TODAY(),COUNTIFS(cal_fechas,"&gt;="&amp;$J398,cal_fechas,"&lt;"&amp;TODAY(),cal_habil,"sí"),-COUNTIFS(cal_fechas,"&gt;="&amp;TODAY(),cal_fechas,"&lt;"&amp;$J398,cal_habil,"sí")))</f>
        <v/>
      </c>
      <c r="AC398" s="3">
        <f>IF($AB398="","",IF($AB398&lt;0,"FUTURO",IF($AB398&gt;p_dias_backlog_max,"BACKLOG","MES CORRIENTE")))</f>
        <v/>
      </c>
      <c r="AD398" s="3">
        <f>IF($AB398="",FALSE,AND($AB398&gt;p_dias_backlog_min,$AB398&lt;=p_dias_backlog_max))</f>
        <v/>
      </c>
      <c r="AE398" s="6" t="n"/>
      <c r="AF398" s="3">
        <f>IF($AE398="","",IF((IFERROR(INDEX('ASIGNACIONES'!$F$4:$F$339,MATCH($O398&amp;"|"&amp;$R398&amp;"|"&amp;$AE398,'ASIGNACIONES'!$J$4:$J$339,0)),""))=0,"",IFERROR(INDEX('ASIGNACIONES'!$F$4:$F$339,MATCH($O398&amp;"|"&amp;$R398&amp;"|"&amp;$AE398,'ASIGNACIONES'!$J$4:$J$339,0)),"")))</f>
        <v/>
      </c>
      <c r="AG398" s="13">
        <f>IF($AE398="","",SUMIFS('ORDENES'!$M$4:$M$1203,'ORDENES'!$AE$4:$AE$1203,$AE398,'ORDENES'!$O$4:$O$1203,$O398,'ORDENES'!$R$4:$R$1203,$R398))</f>
        <v/>
      </c>
      <c r="AH398" s="13">
        <f>IF($AG398="","",p_factor_productividad*IFERROR(INDEX('ASIGNACIONES'!$I$4:$I$339,MATCH($O398&amp;"|"&amp;$R398&amp;"|"&amp;$AE398,'ASIGNACIONES'!$J$4:$J$339,0)),0)-$AG398)</f>
        <v/>
      </c>
      <c r="AI398" s="10">
        <f>IF($A398="","",IFERROR(INDEX('2_IMPORTAR_EJECUCION'!$F$9:$F$1208,MATCH($AQ398,'2_IMPORTAR_EJECUCION'!$J$9:$J$1208,0)),0))</f>
        <v/>
      </c>
      <c r="AJ398" s="10">
        <f>IF($A398="","",MAX(0,IFERROR(INDEX('2_IMPORTAR_EJECUCION'!$H$9:$H$1208,MATCH($AQ398,'2_IMPORTAR_EJECUCION'!$J$9:$J$1208,0)),0)-$AI398))</f>
        <v/>
      </c>
      <c r="AK398" s="10">
        <f>IF($A398="","",$AI398+$AJ398)</f>
        <v/>
      </c>
      <c r="AL398" s="6" t="n"/>
      <c r="AM398" s="6" t="n"/>
      <c r="AN398" s="6" t="n"/>
      <c r="AO398" s="3">
        <f>IF($AN398="","",HYPERLINK(p_ruta_base_checklists&amp;$AN398,"abrir"))</f>
        <v/>
      </c>
      <c r="AP398" s="6" t="n"/>
      <c r="AQ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IF($A399="","",IFERROR(INDEX('AJUSTES'!$B$4:$B$303,MATCH($AQ399,'AJUSTES'!$A$4:$A$303,0)),IF($K399="","",$K399)))</f>
        <v/>
      </c>
      <c r="N399" s="3">
        <f>IF($A399="","",IFERROR(INDEX('CAT_ESTADOS_ERP'!$B$4:$B$7,MATCH(IFERROR(INDEX('2_IMPORTAR_EJECUCION'!$C$9:$C$1208,MATCH($AQ399,'2_IMPORTAR_EJECUCION'!$J$9:$J$1208,0)),""),'CAT_ESTADOS_ERP'!$A$4:$A$7,0)),"Pendiente"))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J399="","",IFERROR(INDEX('CALENDARIO'!$C$15:$C$214,MATCH(TEXT($J399,"yyyy-mm-dd")&amp;"|"&amp;$V399&amp;"|"&amp;$W399,'CALENDARIO'!$G$15:$G$214,0)),IFERROR(INDEX('CALENDARIO'!$C$15:$C$214,MATCH(TEXT($J399,"yyyy-mm-dd")&amp;"|"&amp;$V399&amp;"|",'CALENDARIO'!$G$15:$G$214,0)),IFERROR(INDEX('CALENDARIO'!$C$15:$C$214,MATCH(TEXT($J399,"yyyy-mm-dd")&amp;"||",'CALENDARIO'!$G$15:$G$214,0)),INDEX(patronHabil,WEEKDAY($J399,2))))))</f>
        <v/>
      </c>
      <c r="T399" s="3">
        <f>IF($I399="","",IFERROR(INDEX('CAT_TIPOS_OT'!$C$4:$C$7,MATCH($I399,'CAT_TIPOS_OT'!$A$4:$A$7,0)),"sin_clasificar"))</f>
        <v/>
      </c>
      <c r="U399" s="3">
        <f>IF($F399="","",IFERROR(INDEX('CAT_CENTROS_COSTO'!$F$4:$F$13,MATCH($F399,'CAT_CENTROS_COSTO'!$A$4:$A$13,0)),"(sin catálogo)"))</f>
        <v/>
      </c>
      <c r="V399" s="3">
        <f>IF($F399="","",IFERROR(INDEX('CAT_CENTROS_COSTO'!$D$4:$D$13,MATCH($F399,'CAT_CENTROS_COSTO'!$A$4:$A$13,0)),"(sin catálogo)"))</f>
        <v/>
      </c>
      <c r="W399" s="3">
        <f>IF($F399="","",IF((IFERROR(INDEX('CAT_CENTROS_COSTO'!$E$4:$E$13,MATCH($F399,'CAT_CENTROS_COSTO'!$A$4:$A$13,0)),""))&lt;&gt;"",IFERROR(INDEX('CAT_CENTROS_COSTO'!$E$4:$E$13,MATCH($F399,'CAT_CENTROS_COSTO'!$A$4:$A$13,0)),""),$V399))</f>
        <v/>
      </c>
      <c r="X399" s="3">
        <f>IF($F399="","",IFERROR(INDEX('CAT_CENTROS_COSTO'!$G$4:$G$13,MATCH($F399,'CAT_CENTROS_COSTO'!$A$4:$A$13,0)),"(sin catálogo)"))</f>
        <v/>
      </c>
      <c r="Y399" s="3">
        <f>IF($G399="","",IFERROR(INDEX('CAT_PUESTOS'!$B$4:$B$8,MATCH($G399,'CAT_PUESTOS'!$A$4:$A$8,0)),"(sin catálogo)"))</f>
        <v/>
      </c>
      <c r="Z399" s="3">
        <f>IF($H399="","",IFERROR(INDEX('CAT_ACTIVIDADES'!$B$4:$B$8,MATCH($H399,'CAT_ACTIVIDADES'!$A$4:$A$8,0)),"(sin catálogo)"))</f>
        <v/>
      </c>
      <c r="AA399" s="12">
        <f>IF($J399="","",TODAY()-$J399)</f>
        <v/>
      </c>
      <c r="AB399" s="12">
        <f>IF($J399="","",IF($J399&lt;=TODAY(),COUNTIFS(cal_fechas,"&gt;="&amp;$J399,cal_fechas,"&lt;"&amp;TODAY(),cal_habil,"sí"),-COUNTIFS(cal_fechas,"&gt;="&amp;TODAY(),cal_fechas,"&lt;"&amp;$J399,cal_habil,"sí")))</f>
        <v/>
      </c>
      <c r="AC399" s="3">
        <f>IF($AB399="","",IF($AB399&lt;0,"FUTURO",IF($AB399&gt;p_dias_backlog_max,"BACKLOG","MES CORRIENTE")))</f>
        <v/>
      </c>
      <c r="AD399" s="3">
        <f>IF($AB399="",FALSE,AND($AB399&gt;p_dias_backlog_min,$AB399&lt;=p_dias_backlog_max))</f>
        <v/>
      </c>
      <c r="AE399" s="6" t="n"/>
      <c r="AF399" s="3">
        <f>IF($AE399="","",IF((IFERROR(INDEX('ASIGNACIONES'!$F$4:$F$339,MATCH($O399&amp;"|"&amp;$R399&amp;"|"&amp;$AE399,'ASIGNACIONES'!$J$4:$J$339,0)),""))=0,"",IFERROR(INDEX('ASIGNACIONES'!$F$4:$F$339,MATCH($O399&amp;"|"&amp;$R399&amp;"|"&amp;$AE399,'ASIGNACIONES'!$J$4:$J$339,0)),"")))</f>
        <v/>
      </c>
      <c r="AG399" s="13">
        <f>IF($AE399="","",SUMIFS('ORDENES'!$M$4:$M$1203,'ORDENES'!$AE$4:$AE$1203,$AE399,'ORDENES'!$O$4:$O$1203,$O399,'ORDENES'!$R$4:$R$1203,$R399))</f>
        <v/>
      </c>
      <c r="AH399" s="13">
        <f>IF($AG399="","",p_factor_productividad*IFERROR(INDEX('ASIGNACIONES'!$I$4:$I$339,MATCH($O399&amp;"|"&amp;$R399&amp;"|"&amp;$AE399,'ASIGNACIONES'!$J$4:$J$339,0)),0)-$AG399)</f>
        <v/>
      </c>
      <c r="AI399" s="10">
        <f>IF($A399="","",IFERROR(INDEX('2_IMPORTAR_EJECUCION'!$F$9:$F$1208,MATCH($AQ399,'2_IMPORTAR_EJECUCION'!$J$9:$J$1208,0)),0))</f>
        <v/>
      </c>
      <c r="AJ399" s="10">
        <f>IF($A399="","",MAX(0,IFERROR(INDEX('2_IMPORTAR_EJECUCION'!$H$9:$H$1208,MATCH($AQ399,'2_IMPORTAR_EJECUCION'!$J$9:$J$1208,0)),0)-$AI399))</f>
        <v/>
      </c>
      <c r="AK399" s="10">
        <f>IF($A399="","",$AI399+$AJ399)</f>
        <v/>
      </c>
      <c r="AL399" s="6" t="n"/>
      <c r="AM399" s="6" t="n"/>
      <c r="AN399" s="6" t="n"/>
      <c r="AO399" s="3">
        <f>IF($AN399="","",HYPERLINK(p_ruta_base_checklists&amp;$AN399,"abrir"))</f>
        <v/>
      </c>
      <c r="AP399" s="6" t="n"/>
      <c r="AQ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IF($A400="","",IFERROR(INDEX('AJUSTES'!$B$4:$B$303,MATCH($AQ400,'AJUSTES'!$A$4:$A$303,0)),IF($K400="","",$K400)))</f>
        <v/>
      </c>
      <c r="N400" s="3">
        <f>IF($A400="","",IFERROR(INDEX('CAT_ESTADOS_ERP'!$B$4:$B$7,MATCH(IFERROR(INDEX('2_IMPORTAR_EJECUCION'!$C$9:$C$1208,MATCH($AQ400,'2_IMPORTAR_EJECUCION'!$J$9:$J$1208,0)),""),'CAT_ESTADOS_ERP'!$A$4:$A$7,0)),"Pendiente"))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J400="","",IFERROR(INDEX('CALENDARIO'!$C$15:$C$214,MATCH(TEXT($J400,"yyyy-mm-dd")&amp;"|"&amp;$V400&amp;"|"&amp;$W400,'CALENDARIO'!$G$15:$G$214,0)),IFERROR(INDEX('CALENDARIO'!$C$15:$C$214,MATCH(TEXT($J400,"yyyy-mm-dd")&amp;"|"&amp;$V400&amp;"|",'CALENDARIO'!$G$15:$G$214,0)),IFERROR(INDEX('CALENDARIO'!$C$15:$C$214,MATCH(TEXT($J400,"yyyy-mm-dd")&amp;"||",'CALENDARIO'!$G$15:$G$214,0)),INDEX(patronHabil,WEEKDAY($J400,2))))))</f>
        <v/>
      </c>
      <c r="T400" s="3">
        <f>IF($I400="","",IFERROR(INDEX('CAT_TIPOS_OT'!$C$4:$C$7,MATCH($I400,'CAT_TIPOS_OT'!$A$4:$A$7,0)),"sin_clasificar"))</f>
        <v/>
      </c>
      <c r="U400" s="3">
        <f>IF($F400="","",IFERROR(INDEX('CAT_CENTROS_COSTO'!$F$4:$F$13,MATCH($F400,'CAT_CENTROS_COSTO'!$A$4:$A$13,0)),"(sin catálogo)"))</f>
        <v/>
      </c>
      <c r="V400" s="3">
        <f>IF($F400="","",IFERROR(INDEX('CAT_CENTROS_COSTO'!$D$4:$D$13,MATCH($F400,'CAT_CENTROS_COSTO'!$A$4:$A$13,0)),"(sin catálogo)"))</f>
        <v/>
      </c>
      <c r="W400" s="3">
        <f>IF($F400="","",IF((IFERROR(INDEX('CAT_CENTROS_COSTO'!$E$4:$E$13,MATCH($F400,'CAT_CENTROS_COSTO'!$A$4:$A$13,0)),""))&lt;&gt;"",IFERROR(INDEX('CAT_CENTROS_COSTO'!$E$4:$E$13,MATCH($F400,'CAT_CENTROS_COSTO'!$A$4:$A$13,0)),""),$V400))</f>
        <v/>
      </c>
      <c r="X400" s="3">
        <f>IF($F400="","",IFERROR(INDEX('CAT_CENTROS_COSTO'!$G$4:$G$13,MATCH($F400,'CAT_CENTROS_COSTO'!$A$4:$A$13,0)),"(sin catálogo)"))</f>
        <v/>
      </c>
      <c r="Y400" s="3">
        <f>IF($G400="","",IFERROR(INDEX('CAT_PUESTOS'!$B$4:$B$8,MATCH($G400,'CAT_PUESTOS'!$A$4:$A$8,0)),"(sin catálogo)"))</f>
        <v/>
      </c>
      <c r="Z400" s="3">
        <f>IF($H400="","",IFERROR(INDEX('CAT_ACTIVIDADES'!$B$4:$B$8,MATCH($H400,'CAT_ACTIVIDADES'!$A$4:$A$8,0)),"(sin catálogo)"))</f>
        <v/>
      </c>
      <c r="AA400" s="12">
        <f>IF($J400="","",TODAY()-$J400)</f>
        <v/>
      </c>
      <c r="AB400" s="12">
        <f>IF($J400="","",IF($J400&lt;=TODAY(),COUNTIFS(cal_fechas,"&gt;="&amp;$J400,cal_fechas,"&lt;"&amp;TODAY(),cal_habil,"sí"),-COUNTIFS(cal_fechas,"&gt;="&amp;TODAY(),cal_fechas,"&lt;"&amp;$J400,cal_habil,"sí")))</f>
        <v/>
      </c>
      <c r="AC400" s="3">
        <f>IF($AB400="","",IF($AB400&lt;0,"FUTURO",IF($AB400&gt;p_dias_backlog_max,"BACKLOG","MES CORRIENTE")))</f>
        <v/>
      </c>
      <c r="AD400" s="3">
        <f>IF($AB400="",FALSE,AND($AB400&gt;p_dias_backlog_min,$AB400&lt;=p_dias_backlog_max))</f>
        <v/>
      </c>
      <c r="AE400" s="6" t="n"/>
      <c r="AF400" s="3">
        <f>IF($AE400="","",IF((IFERROR(INDEX('ASIGNACIONES'!$F$4:$F$339,MATCH($O400&amp;"|"&amp;$R400&amp;"|"&amp;$AE400,'ASIGNACIONES'!$J$4:$J$339,0)),""))=0,"",IFERROR(INDEX('ASIGNACIONES'!$F$4:$F$339,MATCH($O400&amp;"|"&amp;$R400&amp;"|"&amp;$AE400,'ASIGNACIONES'!$J$4:$J$339,0)),"")))</f>
        <v/>
      </c>
      <c r="AG400" s="13">
        <f>IF($AE400="","",SUMIFS('ORDENES'!$M$4:$M$1203,'ORDENES'!$AE$4:$AE$1203,$AE400,'ORDENES'!$O$4:$O$1203,$O400,'ORDENES'!$R$4:$R$1203,$R400))</f>
        <v/>
      </c>
      <c r="AH400" s="13">
        <f>IF($AG400="","",p_factor_productividad*IFERROR(INDEX('ASIGNACIONES'!$I$4:$I$339,MATCH($O400&amp;"|"&amp;$R400&amp;"|"&amp;$AE400,'ASIGNACIONES'!$J$4:$J$339,0)),0)-$AG400)</f>
        <v/>
      </c>
      <c r="AI400" s="10">
        <f>IF($A400="","",IFERROR(INDEX('2_IMPORTAR_EJECUCION'!$F$9:$F$1208,MATCH($AQ400,'2_IMPORTAR_EJECUCION'!$J$9:$J$1208,0)),0))</f>
        <v/>
      </c>
      <c r="AJ400" s="10">
        <f>IF($A400="","",MAX(0,IFERROR(INDEX('2_IMPORTAR_EJECUCION'!$H$9:$H$1208,MATCH($AQ400,'2_IMPORTAR_EJECUCION'!$J$9:$J$1208,0)),0)-$AI400))</f>
        <v/>
      </c>
      <c r="AK400" s="10">
        <f>IF($A400="","",$AI400+$AJ400)</f>
        <v/>
      </c>
      <c r="AL400" s="6" t="n"/>
      <c r="AM400" s="6" t="n"/>
      <c r="AN400" s="6" t="n"/>
      <c r="AO400" s="3">
        <f>IF($AN400="","",HYPERLINK(p_ruta_base_checklists&amp;$AN400,"abrir"))</f>
        <v/>
      </c>
      <c r="AP400" s="6" t="n"/>
      <c r="AQ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IF($A401="","",IFERROR(INDEX('AJUSTES'!$B$4:$B$303,MATCH($AQ401,'AJUSTES'!$A$4:$A$303,0)),IF($K401="","",$K401)))</f>
        <v/>
      </c>
      <c r="N401" s="3">
        <f>IF($A401="","",IFERROR(INDEX('CAT_ESTADOS_ERP'!$B$4:$B$7,MATCH(IFERROR(INDEX('2_IMPORTAR_EJECUCION'!$C$9:$C$1208,MATCH($AQ401,'2_IMPORTAR_EJECUCION'!$J$9:$J$1208,0)),""),'CAT_ESTADOS_ERP'!$A$4:$A$7,0)),"Pendiente"))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J401="","",IFERROR(INDEX('CALENDARIO'!$C$15:$C$214,MATCH(TEXT($J401,"yyyy-mm-dd")&amp;"|"&amp;$V401&amp;"|"&amp;$W401,'CALENDARIO'!$G$15:$G$214,0)),IFERROR(INDEX('CALENDARIO'!$C$15:$C$214,MATCH(TEXT($J401,"yyyy-mm-dd")&amp;"|"&amp;$V401&amp;"|",'CALENDARIO'!$G$15:$G$214,0)),IFERROR(INDEX('CALENDARIO'!$C$15:$C$214,MATCH(TEXT($J401,"yyyy-mm-dd")&amp;"||",'CALENDARIO'!$G$15:$G$214,0)),INDEX(patronHabil,WEEKDAY($J401,2))))))</f>
        <v/>
      </c>
      <c r="T401" s="3">
        <f>IF($I401="","",IFERROR(INDEX('CAT_TIPOS_OT'!$C$4:$C$7,MATCH($I401,'CAT_TIPOS_OT'!$A$4:$A$7,0)),"sin_clasificar"))</f>
        <v/>
      </c>
      <c r="U401" s="3">
        <f>IF($F401="","",IFERROR(INDEX('CAT_CENTROS_COSTO'!$F$4:$F$13,MATCH($F401,'CAT_CENTROS_COSTO'!$A$4:$A$13,0)),"(sin catálogo)"))</f>
        <v/>
      </c>
      <c r="V401" s="3">
        <f>IF($F401="","",IFERROR(INDEX('CAT_CENTROS_COSTO'!$D$4:$D$13,MATCH($F401,'CAT_CENTROS_COSTO'!$A$4:$A$13,0)),"(sin catálogo)"))</f>
        <v/>
      </c>
      <c r="W401" s="3">
        <f>IF($F401="","",IF((IFERROR(INDEX('CAT_CENTROS_COSTO'!$E$4:$E$13,MATCH($F401,'CAT_CENTROS_COSTO'!$A$4:$A$13,0)),""))&lt;&gt;"",IFERROR(INDEX('CAT_CENTROS_COSTO'!$E$4:$E$13,MATCH($F401,'CAT_CENTROS_COSTO'!$A$4:$A$13,0)),""),$V401))</f>
        <v/>
      </c>
      <c r="X401" s="3">
        <f>IF($F401="","",IFERROR(INDEX('CAT_CENTROS_COSTO'!$G$4:$G$13,MATCH($F401,'CAT_CENTROS_COSTO'!$A$4:$A$13,0)),"(sin catálogo)"))</f>
        <v/>
      </c>
      <c r="Y401" s="3">
        <f>IF($G401="","",IFERROR(INDEX('CAT_PUESTOS'!$B$4:$B$8,MATCH($G401,'CAT_PUESTOS'!$A$4:$A$8,0)),"(sin catálogo)"))</f>
        <v/>
      </c>
      <c r="Z401" s="3">
        <f>IF($H401="","",IFERROR(INDEX('CAT_ACTIVIDADES'!$B$4:$B$8,MATCH($H401,'CAT_ACTIVIDADES'!$A$4:$A$8,0)),"(sin catálogo)"))</f>
        <v/>
      </c>
      <c r="AA401" s="12">
        <f>IF($J401="","",TODAY()-$J401)</f>
        <v/>
      </c>
      <c r="AB401" s="12">
        <f>IF($J401="","",IF($J401&lt;=TODAY(),COUNTIFS(cal_fechas,"&gt;="&amp;$J401,cal_fechas,"&lt;"&amp;TODAY(),cal_habil,"sí"),-COUNTIFS(cal_fechas,"&gt;="&amp;TODAY(),cal_fechas,"&lt;"&amp;$J401,cal_habil,"sí")))</f>
        <v/>
      </c>
      <c r="AC401" s="3">
        <f>IF($AB401="","",IF($AB401&lt;0,"FUTURO",IF($AB401&gt;p_dias_backlog_max,"BACKLOG","MES CORRIENTE")))</f>
        <v/>
      </c>
      <c r="AD401" s="3">
        <f>IF($AB401="",FALSE,AND($AB401&gt;p_dias_backlog_min,$AB401&lt;=p_dias_backlog_max))</f>
        <v/>
      </c>
      <c r="AE401" s="6" t="n"/>
      <c r="AF401" s="3">
        <f>IF($AE401="","",IF((IFERROR(INDEX('ASIGNACIONES'!$F$4:$F$339,MATCH($O401&amp;"|"&amp;$R401&amp;"|"&amp;$AE401,'ASIGNACIONES'!$J$4:$J$339,0)),""))=0,"",IFERROR(INDEX('ASIGNACIONES'!$F$4:$F$339,MATCH($O401&amp;"|"&amp;$R401&amp;"|"&amp;$AE401,'ASIGNACIONES'!$J$4:$J$339,0)),"")))</f>
        <v/>
      </c>
      <c r="AG401" s="13">
        <f>IF($AE401="","",SUMIFS('ORDENES'!$M$4:$M$1203,'ORDENES'!$AE$4:$AE$1203,$AE401,'ORDENES'!$O$4:$O$1203,$O401,'ORDENES'!$R$4:$R$1203,$R401))</f>
        <v/>
      </c>
      <c r="AH401" s="13">
        <f>IF($AG401="","",p_factor_productividad*IFERROR(INDEX('ASIGNACIONES'!$I$4:$I$339,MATCH($O401&amp;"|"&amp;$R401&amp;"|"&amp;$AE401,'ASIGNACIONES'!$J$4:$J$339,0)),0)-$AG401)</f>
        <v/>
      </c>
      <c r="AI401" s="10">
        <f>IF($A401="","",IFERROR(INDEX('2_IMPORTAR_EJECUCION'!$F$9:$F$1208,MATCH($AQ401,'2_IMPORTAR_EJECUCION'!$J$9:$J$1208,0)),0))</f>
        <v/>
      </c>
      <c r="AJ401" s="10">
        <f>IF($A401="","",MAX(0,IFERROR(INDEX('2_IMPORTAR_EJECUCION'!$H$9:$H$1208,MATCH($AQ401,'2_IMPORTAR_EJECUCION'!$J$9:$J$1208,0)),0)-$AI401))</f>
        <v/>
      </c>
      <c r="AK401" s="10">
        <f>IF($A401="","",$AI401+$AJ401)</f>
        <v/>
      </c>
      <c r="AL401" s="6" t="n"/>
      <c r="AM401" s="6" t="n"/>
      <c r="AN401" s="6" t="n"/>
      <c r="AO401" s="3">
        <f>IF($AN401="","",HYPERLINK(p_ruta_base_checklists&amp;$AN401,"abrir"))</f>
        <v/>
      </c>
      <c r="AP401" s="6" t="n"/>
      <c r="AQ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IF($A402="","",IFERROR(INDEX('AJUSTES'!$B$4:$B$303,MATCH($AQ402,'AJUSTES'!$A$4:$A$303,0)),IF($K402="","",$K402)))</f>
        <v/>
      </c>
      <c r="N402" s="3">
        <f>IF($A402="","",IFERROR(INDEX('CAT_ESTADOS_ERP'!$B$4:$B$7,MATCH(IFERROR(INDEX('2_IMPORTAR_EJECUCION'!$C$9:$C$1208,MATCH($AQ402,'2_IMPORTAR_EJECUCION'!$J$9:$J$1208,0)),""),'CAT_ESTADOS_ERP'!$A$4:$A$7,0)),"Pendiente"))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J402="","",IFERROR(INDEX('CALENDARIO'!$C$15:$C$214,MATCH(TEXT($J402,"yyyy-mm-dd")&amp;"|"&amp;$V402&amp;"|"&amp;$W402,'CALENDARIO'!$G$15:$G$214,0)),IFERROR(INDEX('CALENDARIO'!$C$15:$C$214,MATCH(TEXT($J402,"yyyy-mm-dd")&amp;"|"&amp;$V402&amp;"|",'CALENDARIO'!$G$15:$G$214,0)),IFERROR(INDEX('CALENDARIO'!$C$15:$C$214,MATCH(TEXT($J402,"yyyy-mm-dd")&amp;"||",'CALENDARIO'!$G$15:$G$214,0)),INDEX(patronHabil,WEEKDAY($J402,2))))))</f>
        <v/>
      </c>
      <c r="T402" s="3">
        <f>IF($I402="","",IFERROR(INDEX('CAT_TIPOS_OT'!$C$4:$C$7,MATCH($I402,'CAT_TIPOS_OT'!$A$4:$A$7,0)),"sin_clasificar"))</f>
        <v/>
      </c>
      <c r="U402" s="3">
        <f>IF($F402="","",IFERROR(INDEX('CAT_CENTROS_COSTO'!$F$4:$F$13,MATCH($F402,'CAT_CENTROS_COSTO'!$A$4:$A$13,0)),"(sin catálogo)"))</f>
        <v/>
      </c>
      <c r="V402" s="3">
        <f>IF($F402="","",IFERROR(INDEX('CAT_CENTROS_COSTO'!$D$4:$D$13,MATCH($F402,'CAT_CENTROS_COSTO'!$A$4:$A$13,0)),"(sin catálogo)"))</f>
        <v/>
      </c>
      <c r="W402" s="3">
        <f>IF($F402="","",IF((IFERROR(INDEX('CAT_CENTROS_COSTO'!$E$4:$E$13,MATCH($F402,'CAT_CENTROS_COSTO'!$A$4:$A$13,0)),""))&lt;&gt;"",IFERROR(INDEX('CAT_CENTROS_COSTO'!$E$4:$E$13,MATCH($F402,'CAT_CENTROS_COSTO'!$A$4:$A$13,0)),""),$V402))</f>
        <v/>
      </c>
      <c r="X402" s="3">
        <f>IF($F402="","",IFERROR(INDEX('CAT_CENTROS_COSTO'!$G$4:$G$13,MATCH($F402,'CAT_CENTROS_COSTO'!$A$4:$A$13,0)),"(sin catálogo)"))</f>
        <v/>
      </c>
      <c r="Y402" s="3">
        <f>IF($G402="","",IFERROR(INDEX('CAT_PUESTOS'!$B$4:$B$8,MATCH($G402,'CAT_PUESTOS'!$A$4:$A$8,0)),"(sin catálogo)"))</f>
        <v/>
      </c>
      <c r="Z402" s="3">
        <f>IF($H402="","",IFERROR(INDEX('CAT_ACTIVIDADES'!$B$4:$B$8,MATCH($H402,'CAT_ACTIVIDADES'!$A$4:$A$8,0)),"(sin catálogo)"))</f>
        <v/>
      </c>
      <c r="AA402" s="12">
        <f>IF($J402="","",TODAY()-$J402)</f>
        <v/>
      </c>
      <c r="AB402" s="12">
        <f>IF($J402="","",IF($J402&lt;=TODAY(),COUNTIFS(cal_fechas,"&gt;="&amp;$J402,cal_fechas,"&lt;"&amp;TODAY(),cal_habil,"sí"),-COUNTIFS(cal_fechas,"&gt;="&amp;TODAY(),cal_fechas,"&lt;"&amp;$J402,cal_habil,"sí")))</f>
        <v/>
      </c>
      <c r="AC402" s="3">
        <f>IF($AB402="","",IF($AB402&lt;0,"FUTURO",IF($AB402&gt;p_dias_backlog_max,"BACKLOG","MES CORRIENTE")))</f>
        <v/>
      </c>
      <c r="AD402" s="3">
        <f>IF($AB402="",FALSE,AND($AB402&gt;p_dias_backlog_min,$AB402&lt;=p_dias_backlog_max))</f>
        <v/>
      </c>
      <c r="AE402" s="6" t="n"/>
      <c r="AF402" s="3">
        <f>IF($AE402="","",IF((IFERROR(INDEX('ASIGNACIONES'!$F$4:$F$339,MATCH($O402&amp;"|"&amp;$R402&amp;"|"&amp;$AE402,'ASIGNACIONES'!$J$4:$J$339,0)),""))=0,"",IFERROR(INDEX('ASIGNACIONES'!$F$4:$F$339,MATCH($O402&amp;"|"&amp;$R402&amp;"|"&amp;$AE402,'ASIGNACIONES'!$J$4:$J$339,0)),"")))</f>
        <v/>
      </c>
      <c r="AG402" s="13">
        <f>IF($AE402="","",SUMIFS('ORDENES'!$M$4:$M$1203,'ORDENES'!$AE$4:$AE$1203,$AE402,'ORDENES'!$O$4:$O$1203,$O402,'ORDENES'!$R$4:$R$1203,$R402))</f>
        <v/>
      </c>
      <c r="AH402" s="13">
        <f>IF($AG402="","",p_factor_productividad*IFERROR(INDEX('ASIGNACIONES'!$I$4:$I$339,MATCH($O402&amp;"|"&amp;$R402&amp;"|"&amp;$AE402,'ASIGNACIONES'!$J$4:$J$339,0)),0)-$AG402)</f>
        <v/>
      </c>
      <c r="AI402" s="10">
        <f>IF($A402="","",IFERROR(INDEX('2_IMPORTAR_EJECUCION'!$F$9:$F$1208,MATCH($AQ402,'2_IMPORTAR_EJECUCION'!$J$9:$J$1208,0)),0))</f>
        <v/>
      </c>
      <c r="AJ402" s="10">
        <f>IF($A402="","",MAX(0,IFERROR(INDEX('2_IMPORTAR_EJECUCION'!$H$9:$H$1208,MATCH($AQ402,'2_IMPORTAR_EJECUCION'!$J$9:$J$1208,0)),0)-$AI402))</f>
        <v/>
      </c>
      <c r="AK402" s="10">
        <f>IF($A402="","",$AI402+$AJ402)</f>
        <v/>
      </c>
      <c r="AL402" s="6" t="n"/>
      <c r="AM402" s="6" t="n"/>
      <c r="AN402" s="6" t="n"/>
      <c r="AO402" s="3">
        <f>IF($AN402="","",HYPERLINK(p_ruta_base_checklists&amp;$AN402,"abrir"))</f>
        <v/>
      </c>
      <c r="AP402" s="6" t="n"/>
      <c r="AQ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IF($A403="","",IFERROR(INDEX('AJUSTES'!$B$4:$B$303,MATCH($AQ403,'AJUSTES'!$A$4:$A$303,0)),IF($K403="","",$K403)))</f>
        <v/>
      </c>
      <c r="N403" s="3">
        <f>IF($A403="","",IFERROR(INDEX('CAT_ESTADOS_ERP'!$B$4:$B$7,MATCH(IFERROR(INDEX('2_IMPORTAR_EJECUCION'!$C$9:$C$1208,MATCH($AQ403,'2_IMPORTAR_EJECUCION'!$J$9:$J$1208,0)),""),'CAT_ESTADOS_ERP'!$A$4:$A$7,0)),"Pendiente"))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J403="","",IFERROR(INDEX('CALENDARIO'!$C$15:$C$214,MATCH(TEXT($J403,"yyyy-mm-dd")&amp;"|"&amp;$V403&amp;"|"&amp;$W403,'CALENDARIO'!$G$15:$G$214,0)),IFERROR(INDEX('CALENDARIO'!$C$15:$C$214,MATCH(TEXT($J403,"yyyy-mm-dd")&amp;"|"&amp;$V403&amp;"|",'CALENDARIO'!$G$15:$G$214,0)),IFERROR(INDEX('CALENDARIO'!$C$15:$C$214,MATCH(TEXT($J403,"yyyy-mm-dd")&amp;"||",'CALENDARIO'!$G$15:$G$214,0)),INDEX(patronHabil,WEEKDAY($J403,2))))))</f>
        <v/>
      </c>
      <c r="T403" s="3">
        <f>IF($I403="","",IFERROR(INDEX('CAT_TIPOS_OT'!$C$4:$C$7,MATCH($I403,'CAT_TIPOS_OT'!$A$4:$A$7,0)),"sin_clasificar"))</f>
        <v/>
      </c>
      <c r="U403" s="3">
        <f>IF($F403="","",IFERROR(INDEX('CAT_CENTROS_COSTO'!$F$4:$F$13,MATCH($F403,'CAT_CENTROS_COSTO'!$A$4:$A$13,0)),"(sin catálogo)"))</f>
        <v/>
      </c>
      <c r="V403" s="3">
        <f>IF($F403="","",IFERROR(INDEX('CAT_CENTROS_COSTO'!$D$4:$D$13,MATCH($F403,'CAT_CENTROS_COSTO'!$A$4:$A$13,0)),"(sin catálogo)"))</f>
        <v/>
      </c>
      <c r="W403" s="3">
        <f>IF($F403="","",IF((IFERROR(INDEX('CAT_CENTROS_COSTO'!$E$4:$E$13,MATCH($F403,'CAT_CENTROS_COSTO'!$A$4:$A$13,0)),""))&lt;&gt;"",IFERROR(INDEX('CAT_CENTROS_COSTO'!$E$4:$E$13,MATCH($F403,'CAT_CENTROS_COSTO'!$A$4:$A$13,0)),""),$V403))</f>
        <v/>
      </c>
      <c r="X403" s="3">
        <f>IF($F403="","",IFERROR(INDEX('CAT_CENTROS_COSTO'!$G$4:$G$13,MATCH($F403,'CAT_CENTROS_COSTO'!$A$4:$A$13,0)),"(sin catálogo)"))</f>
        <v/>
      </c>
      <c r="Y403" s="3">
        <f>IF($G403="","",IFERROR(INDEX('CAT_PUESTOS'!$B$4:$B$8,MATCH($G403,'CAT_PUESTOS'!$A$4:$A$8,0)),"(sin catálogo)"))</f>
        <v/>
      </c>
      <c r="Z403" s="3">
        <f>IF($H403="","",IFERROR(INDEX('CAT_ACTIVIDADES'!$B$4:$B$8,MATCH($H403,'CAT_ACTIVIDADES'!$A$4:$A$8,0)),"(sin catálogo)"))</f>
        <v/>
      </c>
      <c r="AA403" s="12">
        <f>IF($J403="","",TODAY()-$J403)</f>
        <v/>
      </c>
      <c r="AB403" s="12">
        <f>IF($J403="","",IF($J403&lt;=TODAY(),COUNTIFS(cal_fechas,"&gt;="&amp;$J403,cal_fechas,"&lt;"&amp;TODAY(),cal_habil,"sí"),-COUNTIFS(cal_fechas,"&gt;="&amp;TODAY(),cal_fechas,"&lt;"&amp;$J403,cal_habil,"sí")))</f>
        <v/>
      </c>
      <c r="AC403" s="3">
        <f>IF($AB403="","",IF($AB403&lt;0,"FUTURO",IF($AB403&gt;p_dias_backlog_max,"BACKLOG","MES CORRIENTE")))</f>
        <v/>
      </c>
      <c r="AD403" s="3">
        <f>IF($AB403="",FALSE,AND($AB403&gt;p_dias_backlog_min,$AB403&lt;=p_dias_backlog_max))</f>
        <v/>
      </c>
      <c r="AE403" s="6" t="n"/>
      <c r="AF403" s="3">
        <f>IF($AE403="","",IF((IFERROR(INDEX('ASIGNACIONES'!$F$4:$F$339,MATCH($O403&amp;"|"&amp;$R403&amp;"|"&amp;$AE403,'ASIGNACIONES'!$J$4:$J$339,0)),""))=0,"",IFERROR(INDEX('ASIGNACIONES'!$F$4:$F$339,MATCH($O403&amp;"|"&amp;$R403&amp;"|"&amp;$AE403,'ASIGNACIONES'!$J$4:$J$339,0)),"")))</f>
        <v/>
      </c>
      <c r="AG403" s="13">
        <f>IF($AE403="","",SUMIFS('ORDENES'!$M$4:$M$1203,'ORDENES'!$AE$4:$AE$1203,$AE403,'ORDENES'!$O$4:$O$1203,$O403,'ORDENES'!$R$4:$R$1203,$R403))</f>
        <v/>
      </c>
      <c r="AH403" s="13">
        <f>IF($AG403="","",p_factor_productividad*IFERROR(INDEX('ASIGNACIONES'!$I$4:$I$339,MATCH($O403&amp;"|"&amp;$R403&amp;"|"&amp;$AE403,'ASIGNACIONES'!$J$4:$J$339,0)),0)-$AG403)</f>
        <v/>
      </c>
      <c r="AI403" s="10">
        <f>IF($A403="","",IFERROR(INDEX('2_IMPORTAR_EJECUCION'!$F$9:$F$1208,MATCH($AQ403,'2_IMPORTAR_EJECUCION'!$J$9:$J$1208,0)),0))</f>
        <v/>
      </c>
      <c r="AJ403" s="10">
        <f>IF($A403="","",MAX(0,IFERROR(INDEX('2_IMPORTAR_EJECUCION'!$H$9:$H$1208,MATCH($AQ403,'2_IMPORTAR_EJECUCION'!$J$9:$J$1208,0)),0)-$AI403))</f>
        <v/>
      </c>
      <c r="AK403" s="10">
        <f>IF($A403="","",$AI403+$AJ403)</f>
        <v/>
      </c>
      <c r="AL403" s="6" t="n"/>
      <c r="AM403" s="6" t="n"/>
      <c r="AN403" s="6" t="n"/>
      <c r="AO403" s="3">
        <f>IF($AN403="","",HYPERLINK(p_ruta_base_checklists&amp;$AN403,"abrir"))</f>
        <v/>
      </c>
      <c r="AP403" s="6" t="n"/>
      <c r="AQ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IF($A404="","",IFERROR(INDEX('AJUSTES'!$B$4:$B$303,MATCH($AQ404,'AJUSTES'!$A$4:$A$303,0)),IF($K404="","",$K404)))</f>
        <v/>
      </c>
      <c r="N404" s="3">
        <f>IF($A404="","",IFERROR(INDEX('CAT_ESTADOS_ERP'!$B$4:$B$7,MATCH(IFERROR(INDEX('2_IMPORTAR_EJECUCION'!$C$9:$C$1208,MATCH($AQ404,'2_IMPORTAR_EJECUCION'!$J$9:$J$1208,0)),""),'CAT_ESTADOS_ERP'!$A$4:$A$7,0)),"Pendiente"))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J404="","",IFERROR(INDEX('CALENDARIO'!$C$15:$C$214,MATCH(TEXT($J404,"yyyy-mm-dd")&amp;"|"&amp;$V404&amp;"|"&amp;$W404,'CALENDARIO'!$G$15:$G$214,0)),IFERROR(INDEX('CALENDARIO'!$C$15:$C$214,MATCH(TEXT($J404,"yyyy-mm-dd")&amp;"|"&amp;$V404&amp;"|",'CALENDARIO'!$G$15:$G$214,0)),IFERROR(INDEX('CALENDARIO'!$C$15:$C$214,MATCH(TEXT($J404,"yyyy-mm-dd")&amp;"||",'CALENDARIO'!$G$15:$G$214,0)),INDEX(patronHabil,WEEKDAY($J404,2))))))</f>
        <v/>
      </c>
      <c r="T404" s="3">
        <f>IF($I404="","",IFERROR(INDEX('CAT_TIPOS_OT'!$C$4:$C$7,MATCH($I404,'CAT_TIPOS_OT'!$A$4:$A$7,0)),"sin_clasificar"))</f>
        <v/>
      </c>
      <c r="U404" s="3">
        <f>IF($F404="","",IFERROR(INDEX('CAT_CENTROS_COSTO'!$F$4:$F$13,MATCH($F404,'CAT_CENTROS_COSTO'!$A$4:$A$13,0)),"(sin catálogo)"))</f>
        <v/>
      </c>
      <c r="V404" s="3">
        <f>IF($F404="","",IFERROR(INDEX('CAT_CENTROS_COSTO'!$D$4:$D$13,MATCH($F404,'CAT_CENTROS_COSTO'!$A$4:$A$13,0)),"(sin catálogo)"))</f>
        <v/>
      </c>
      <c r="W404" s="3">
        <f>IF($F404="","",IF((IFERROR(INDEX('CAT_CENTROS_COSTO'!$E$4:$E$13,MATCH($F404,'CAT_CENTROS_COSTO'!$A$4:$A$13,0)),""))&lt;&gt;"",IFERROR(INDEX('CAT_CENTROS_COSTO'!$E$4:$E$13,MATCH($F404,'CAT_CENTROS_COSTO'!$A$4:$A$13,0)),""),$V404))</f>
        <v/>
      </c>
      <c r="X404" s="3">
        <f>IF($F404="","",IFERROR(INDEX('CAT_CENTROS_COSTO'!$G$4:$G$13,MATCH($F404,'CAT_CENTROS_COSTO'!$A$4:$A$13,0)),"(sin catálogo)"))</f>
        <v/>
      </c>
      <c r="Y404" s="3">
        <f>IF($G404="","",IFERROR(INDEX('CAT_PUESTOS'!$B$4:$B$8,MATCH($G404,'CAT_PUESTOS'!$A$4:$A$8,0)),"(sin catálogo)"))</f>
        <v/>
      </c>
      <c r="Z404" s="3">
        <f>IF($H404="","",IFERROR(INDEX('CAT_ACTIVIDADES'!$B$4:$B$8,MATCH($H404,'CAT_ACTIVIDADES'!$A$4:$A$8,0)),"(sin catálogo)"))</f>
        <v/>
      </c>
      <c r="AA404" s="12">
        <f>IF($J404="","",TODAY()-$J404)</f>
        <v/>
      </c>
      <c r="AB404" s="12">
        <f>IF($J404="","",IF($J404&lt;=TODAY(),COUNTIFS(cal_fechas,"&gt;="&amp;$J404,cal_fechas,"&lt;"&amp;TODAY(),cal_habil,"sí"),-COUNTIFS(cal_fechas,"&gt;="&amp;TODAY(),cal_fechas,"&lt;"&amp;$J404,cal_habil,"sí")))</f>
        <v/>
      </c>
      <c r="AC404" s="3">
        <f>IF($AB404="","",IF($AB404&lt;0,"FUTURO",IF($AB404&gt;p_dias_backlog_max,"BACKLOG","MES CORRIENTE")))</f>
        <v/>
      </c>
      <c r="AD404" s="3">
        <f>IF($AB404="",FALSE,AND($AB404&gt;p_dias_backlog_min,$AB404&lt;=p_dias_backlog_max))</f>
        <v/>
      </c>
      <c r="AE404" s="6" t="n"/>
      <c r="AF404" s="3">
        <f>IF($AE404="","",IF((IFERROR(INDEX('ASIGNACIONES'!$F$4:$F$339,MATCH($O404&amp;"|"&amp;$R404&amp;"|"&amp;$AE404,'ASIGNACIONES'!$J$4:$J$339,0)),""))=0,"",IFERROR(INDEX('ASIGNACIONES'!$F$4:$F$339,MATCH($O404&amp;"|"&amp;$R404&amp;"|"&amp;$AE404,'ASIGNACIONES'!$J$4:$J$339,0)),"")))</f>
        <v/>
      </c>
      <c r="AG404" s="13">
        <f>IF($AE404="","",SUMIFS('ORDENES'!$M$4:$M$1203,'ORDENES'!$AE$4:$AE$1203,$AE404,'ORDENES'!$O$4:$O$1203,$O404,'ORDENES'!$R$4:$R$1203,$R404))</f>
        <v/>
      </c>
      <c r="AH404" s="13">
        <f>IF($AG404="","",p_factor_productividad*IFERROR(INDEX('ASIGNACIONES'!$I$4:$I$339,MATCH($O404&amp;"|"&amp;$R404&amp;"|"&amp;$AE404,'ASIGNACIONES'!$J$4:$J$339,0)),0)-$AG404)</f>
        <v/>
      </c>
      <c r="AI404" s="10">
        <f>IF($A404="","",IFERROR(INDEX('2_IMPORTAR_EJECUCION'!$F$9:$F$1208,MATCH($AQ404,'2_IMPORTAR_EJECUCION'!$J$9:$J$1208,0)),0))</f>
        <v/>
      </c>
      <c r="AJ404" s="10">
        <f>IF($A404="","",MAX(0,IFERROR(INDEX('2_IMPORTAR_EJECUCION'!$H$9:$H$1208,MATCH($AQ404,'2_IMPORTAR_EJECUCION'!$J$9:$J$1208,0)),0)-$AI404))</f>
        <v/>
      </c>
      <c r="AK404" s="10">
        <f>IF($A404="","",$AI404+$AJ404)</f>
        <v/>
      </c>
      <c r="AL404" s="6" t="n"/>
      <c r="AM404" s="6" t="n"/>
      <c r="AN404" s="6" t="n"/>
      <c r="AO404" s="3">
        <f>IF($AN404="","",HYPERLINK(p_ruta_base_checklists&amp;$AN404,"abrir"))</f>
        <v/>
      </c>
      <c r="AP404" s="6" t="n"/>
      <c r="AQ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IF($A405="","",IFERROR(INDEX('AJUSTES'!$B$4:$B$303,MATCH($AQ405,'AJUSTES'!$A$4:$A$303,0)),IF($K405="","",$K405)))</f>
        <v/>
      </c>
      <c r="N405" s="3">
        <f>IF($A405="","",IFERROR(INDEX('CAT_ESTADOS_ERP'!$B$4:$B$7,MATCH(IFERROR(INDEX('2_IMPORTAR_EJECUCION'!$C$9:$C$1208,MATCH($AQ405,'2_IMPORTAR_EJECUCION'!$J$9:$J$1208,0)),""),'CAT_ESTADOS_ERP'!$A$4:$A$7,0)),"Pendiente"))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J405="","",IFERROR(INDEX('CALENDARIO'!$C$15:$C$214,MATCH(TEXT($J405,"yyyy-mm-dd")&amp;"|"&amp;$V405&amp;"|"&amp;$W405,'CALENDARIO'!$G$15:$G$214,0)),IFERROR(INDEX('CALENDARIO'!$C$15:$C$214,MATCH(TEXT($J405,"yyyy-mm-dd")&amp;"|"&amp;$V405&amp;"|",'CALENDARIO'!$G$15:$G$214,0)),IFERROR(INDEX('CALENDARIO'!$C$15:$C$214,MATCH(TEXT($J405,"yyyy-mm-dd")&amp;"||",'CALENDARIO'!$G$15:$G$214,0)),INDEX(patronHabil,WEEKDAY($J405,2))))))</f>
        <v/>
      </c>
      <c r="T405" s="3">
        <f>IF($I405="","",IFERROR(INDEX('CAT_TIPOS_OT'!$C$4:$C$7,MATCH($I405,'CAT_TIPOS_OT'!$A$4:$A$7,0)),"sin_clasificar"))</f>
        <v/>
      </c>
      <c r="U405" s="3">
        <f>IF($F405="","",IFERROR(INDEX('CAT_CENTROS_COSTO'!$F$4:$F$13,MATCH($F405,'CAT_CENTROS_COSTO'!$A$4:$A$13,0)),"(sin catálogo)"))</f>
        <v/>
      </c>
      <c r="V405" s="3">
        <f>IF($F405="","",IFERROR(INDEX('CAT_CENTROS_COSTO'!$D$4:$D$13,MATCH($F405,'CAT_CENTROS_COSTO'!$A$4:$A$13,0)),"(sin catálogo)"))</f>
        <v/>
      </c>
      <c r="W405" s="3">
        <f>IF($F405="","",IF((IFERROR(INDEX('CAT_CENTROS_COSTO'!$E$4:$E$13,MATCH($F405,'CAT_CENTROS_COSTO'!$A$4:$A$13,0)),""))&lt;&gt;"",IFERROR(INDEX('CAT_CENTROS_COSTO'!$E$4:$E$13,MATCH($F405,'CAT_CENTROS_COSTO'!$A$4:$A$13,0)),""),$V405))</f>
        <v/>
      </c>
      <c r="X405" s="3">
        <f>IF($F405="","",IFERROR(INDEX('CAT_CENTROS_COSTO'!$G$4:$G$13,MATCH($F405,'CAT_CENTROS_COSTO'!$A$4:$A$13,0)),"(sin catálogo)"))</f>
        <v/>
      </c>
      <c r="Y405" s="3">
        <f>IF($G405="","",IFERROR(INDEX('CAT_PUESTOS'!$B$4:$B$8,MATCH($G405,'CAT_PUESTOS'!$A$4:$A$8,0)),"(sin catálogo)"))</f>
        <v/>
      </c>
      <c r="Z405" s="3">
        <f>IF($H405="","",IFERROR(INDEX('CAT_ACTIVIDADES'!$B$4:$B$8,MATCH($H405,'CAT_ACTIVIDADES'!$A$4:$A$8,0)),"(sin catálogo)"))</f>
        <v/>
      </c>
      <c r="AA405" s="12">
        <f>IF($J405="","",TODAY()-$J405)</f>
        <v/>
      </c>
      <c r="AB405" s="12">
        <f>IF($J405="","",IF($J405&lt;=TODAY(),COUNTIFS(cal_fechas,"&gt;="&amp;$J405,cal_fechas,"&lt;"&amp;TODAY(),cal_habil,"sí"),-COUNTIFS(cal_fechas,"&gt;="&amp;TODAY(),cal_fechas,"&lt;"&amp;$J405,cal_habil,"sí")))</f>
        <v/>
      </c>
      <c r="AC405" s="3">
        <f>IF($AB405="","",IF($AB405&lt;0,"FUTURO",IF($AB405&gt;p_dias_backlog_max,"BACKLOG","MES CORRIENTE")))</f>
        <v/>
      </c>
      <c r="AD405" s="3">
        <f>IF($AB405="",FALSE,AND($AB405&gt;p_dias_backlog_min,$AB405&lt;=p_dias_backlog_max))</f>
        <v/>
      </c>
      <c r="AE405" s="6" t="n"/>
      <c r="AF405" s="3">
        <f>IF($AE405="","",IF((IFERROR(INDEX('ASIGNACIONES'!$F$4:$F$339,MATCH($O405&amp;"|"&amp;$R405&amp;"|"&amp;$AE405,'ASIGNACIONES'!$J$4:$J$339,0)),""))=0,"",IFERROR(INDEX('ASIGNACIONES'!$F$4:$F$339,MATCH($O405&amp;"|"&amp;$R405&amp;"|"&amp;$AE405,'ASIGNACIONES'!$J$4:$J$339,0)),"")))</f>
        <v/>
      </c>
      <c r="AG405" s="13">
        <f>IF($AE405="","",SUMIFS('ORDENES'!$M$4:$M$1203,'ORDENES'!$AE$4:$AE$1203,$AE405,'ORDENES'!$O$4:$O$1203,$O405,'ORDENES'!$R$4:$R$1203,$R405))</f>
        <v/>
      </c>
      <c r="AH405" s="13">
        <f>IF($AG405="","",p_factor_productividad*IFERROR(INDEX('ASIGNACIONES'!$I$4:$I$339,MATCH($O405&amp;"|"&amp;$R405&amp;"|"&amp;$AE405,'ASIGNACIONES'!$J$4:$J$339,0)),0)-$AG405)</f>
        <v/>
      </c>
      <c r="AI405" s="10">
        <f>IF($A405="","",IFERROR(INDEX('2_IMPORTAR_EJECUCION'!$F$9:$F$1208,MATCH($AQ405,'2_IMPORTAR_EJECUCION'!$J$9:$J$1208,0)),0))</f>
        <v/>
      </c>
      <c r="AJ405" s="10">
        <f>IF($A405="","",MAX(0,IFERROR(INDEX('2_IMPORTAR_EJECUCION'!$H$9:$H$1208,MATCH($AQ405,'2_IMPORTAR_EJECUCION'!$J$9:$J$1208,0)),0)-$AI405))</f>
        <v/>
      </c>
      <c r="AK405" s="10">
        <f>IF($A405="","",$AI405+$AJ405)</f>
        <v/>
      </c>
      <c r="AL405" s="6" t="n"/>
      <c r="AM405" s="6" t="n"/>
      <c r="AN405" s="6" t="n"/>
      <c r="AO405" s="3">
        <f>IF($AN405="","",HYPERLINK(p_ruta_base_checklists&amp;$AN405,"abrir"))</f>
        <v/>
      </c>
      <c r="AP405" s="6" t="n"/>
      <c r="AQ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IF($A406="","",IFERROR(INDEX('AJUSTES'!$B$4:$B$303,MATCH($AQ406,'AJUSTES'!$A$4:$A$303,0)),IF($K406="","",$K406)))</f>
        <v/>
      </c>
      <c r="N406" s="3">
        <f>IF($A406="","",IFERROR(INDEX('CAT_ESTADOS_ERP'!$B$4:$B$7,MATCH(IFERROR(INDEX('2_IMPORTAR_EJECUCION'!$C$9:$C$1208,MATCH($AQ406,'2_IMPORTAR_EJECUCION'!$J$9:$J$1208,0)),""),'CAT_ESTADOS_ERP'!$A$4:$A$7,0)),"Pendiente"))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J406="","",IFERROR(INDEX('CALENDARIO'!$C$15:$C$214,MATCH(TEXT($J406,"yyyy-mm-dd")&amp;"|"&amp;$V406&amp;"|"&amp;$W406,'CALENDARIO'!$G$15:$G$214,0)),IFERROR(INDEX('CALENDARIO'!$C$15:$C$214,MATCH(TEXT($J406,"yyyy-mm-dd")&amp;"|"&amp;$V406&amp;"|",'CALENDARIO'!$G$15:$G$214,0)),IFERROR(INDEX('CALENDARIO'!$C$15:$C$214,MATCH(TEXT($J406,"yyyy-mm-dd")&amp;"||",'CALENDARIO'!$G$15:$G$214,0)),INDEX(patronHabil,WEEKDAY($J406,2))))))</f>
        <v/>
      </c>
      <c r="T406" s="3">
        <f>IF($I406="","",IFERROR(INDEX('CAT_TIPOS_OT'!$C$4:$C$7,MATCH($I406,'CAT_TIPOS_OT'!$A$4:$A$7,0)),"sin_clasificar"))</f>
        <v/>
      </c>
      <c r="U406" s="3">
        <f>IF($F406="","",IFERROR(INDEX('CAT_CENTROS_COSTO'!$F$4:$F$13,MATCH($F406,'CAT_CENTROS_COSTO'!$A$4:$A$13,0)),"(sin catálogo)"))</f>
        <v/>
      </c>
      <c r="V406" s="3">
        <f>IF($F406="","",IFERROR(INDEX('CAT_CENTROS_COSTO'!$D$4:$D$13,MATCH($F406,'CAT_CENTROS_COSTO'!$A$4:$A$13,0)),"(sin catálogo)"))</f>
        <v/>
      </c>
      <c r="W406" s="3">
        <f>IF($F406="","",IF((IFERROR(INDEX('CAT_CENTROS_COSTO'!$E$4:$E$13,MATCH($F406,'CAT_CENTROS_COSTO'!$A$4:$A$13,0)),""))&lt;&gt;"",IFERROR(INDEX('CAT_CENTROS_COSTO'!$E$4:$E$13,MATCH($F406,'CAT_CENTROS_COSTO'!$A$4:$A$13,0)),""),$V406))</f>
        <v/>
      </c>
      <c r="X406" s="3">
        <f>IF($F406="","",IFERROR(INDEX('CAT_CENTROS_COSTO'!$G$4:$G$13,MATCH($F406,'CAT_CENTROS_COSTO'!$A$4:$A$13,0)),"(sin catálogo)"))</f>
        <v/>
      </c>
      <c r="Y406" s="3">
        <f>IF($G406="","",IFERROR(INDEX('CAT_PUESTOS'!$B$4:$B$8,MATCH($G406,'CAT_PUESTOS'!$A$4:$A$8,0)),"(sin catálogo)"))</f>
        <v/>
      </c>
      <c r="Z406" s="3">
        <f>IF($H406="","",IFERROR(INDEX('CAT_ACTIVIDADES'!$B$4:$B$8,MATCH($H406,'CAT_ACTIVIDADES'!$A$4:$A$8,0)),"(sin catálogo)"))</f>
        <v/>
      </c>
      <c r="AA406" s="12">
        <f>IF($J406="","",TODAY()-$J406)</f>
        <v/>
      </c>
      <c r="AB406" s="12">
        <f>IF($J406="","",IF($J406&lt;=TODAY(),COUNTIFS(cal_fechas,"&gt;="&amp;$J406,cal_fechas,"&lt;"&amp;TODAY(),cal_habil,"sí"),-COUNTIFS(cal_fechas,"&gt;="&amp;TODAY(),cal_fechas,"&lt;"&amp;$J406,cal_habil,"sí")))</f>
        <v/>
      </c>
      <c r="AC406" s="3">
        <f>IF($AB406="","",IF($AB406&lt;0,"FUTURO",IF($AB406&gt;p_dias_backlog_max,"BACKLOG","MES CORRIENTE")))</f>
        <v/>
      </c>
      <c r="AD406" s="3">
        <f>IF($AB406="",FALSE,AND($AB406&gt;p_dias_backlog_min,$AB406&lt;=p_dias_backlog_max))</f>
        <v/>
      </c>
      <c r="AE406" s="6" t="n"/>
      <c r="AF406" s="3">
        <f>IF($AE406="","",IF((IFERROR(INDEX('ASIGNACIONES'!$F$4:$F$339,MATCH($O406&amp;"|"&amp;$R406&amp;"|"&amp;$AE406,'ASIGNACIONES'!$J$4:$J$339,0)),""))=0,"",IFERROR(INDEX('ASIGNACIONES'!$F$4:$F$339,MATCH($O406&amp;"|"&amp;$R406&amp;"|"&amp;$AE406,'ASIGNACIONES'!$J$4:$J$339,0)),"")))</f>
        <v/>
      </c>
      <c r="AG406" s="13">
        <f>IF($AE406="","",SUMIFS('ORDENES'!$M$4:$M$1203,'ORDENES'!$AE$4:$AE$1203,$AE406,'ORDENES'!$O$4:$O$1203,$O406,'ORDENES'!$R$4:$R$1203,$R406))</f>
        <v/>
      </c>
      <c r="AH406" s="13">
        <f>IF($AG406="","",p_factor_productividad*IFERROR(INDEX('ASIGNACIONES'!$I$4:$I$339,MATCH($O406&amp;"|"&amp;$R406&amp;"|"&amp;$AE406,'ASIGNACIONES'!$J$4:$J$339,0)),0)-$AG406)</f>
        <v/>
      </c>
      <c r="AI406" s="10">
        <f>IF($A406="","",IFERROR(INDEX('2_IMPORTAR_EJECUCION'!$F$9:$F$1208,MATCH($AQ406,'2_IMPORTAR_EJECUCION'!$J$9:$J$1208,0)),0))</f>
        <v/>
      </c>
      <c r="AJ406" s="10">
        <f>IF($A406="","",MAX(0,IFERROR(INDEX('2_IMPORTAR_EJECUCION'!$H$9:$H$1208,MATCH($AQ406,'2_IMPORTAR_EJECUCION'!$J$9:$J$1208,0)),0)-$AI406))</f>
        <v/>
      </c>
      <c r="AK406" s="10">
        <f>IF($A406="","",$AI406+$AJ406)</f>
        <v/>
      </c>
      <c r="AL406" s="6" t="n"/>
      <c r="AM406" s="6" t="n"/>
      <c r="AN406" s="6" t="n"/>
      <c r="AO406" s="3">
        <f>IF($AN406="","",HYPERLINK(p_ruta_base_checklists&amp;$AN406,"abrir"))</f>
        <v/>
      </c>
      <c r="AP406" s="6" t="n"/>
      <c r="AQ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IF($A407="","",IFERROR(INDEX('AJUSTES'!$B$4:$B$303,MATCH($AQ407,'AJUSTES'!$A$4:$A$303,0)),IF($K407="","",$K407)))</f>
        <v/>
      </c>
      <c r="N407" s="3">
        <f>IF($A407="","",IFERROR(INDEX('CAT_ESTADOS_ERP'!$B$4:$B$7,MATCH(IFERROR(INDEX('2_IMPORTAR_EJECUCION'!$C$9:$C$1208,MATCH($AQ407,'2_IMPORTAR_EJECUCION'!$J$9:$J$1208,0)),""),'CAT_ESTADOS_ERP'!$A$4:$A$7,0)),"Pendiente"))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J407="","",IFERROR(INDEX('CALENDARIO'!$C$15:$C$214,MATCH(TEXT($J407,"yyyy-mm-dd")&amp;"|"&amp;$V407&amp;"|"&amp;$W407,'CALENDARIO'!$G$15:$G$214,0)),IFERROR(INDEX('CALENDARIO'!$C$15:$C$214,MATCH(TEXT($J407,"yyyy-mm-dd")&amp;"|"&amp;$V407&amp;"|",'CALENDARIO'!$G$15:$G$214,0)),IFERROR(INDEX('CALENDARIO'!$C$15:$C$214,MATCH(TEXT($J407,"yyyy-mm-dd")&amp;"||",'CALENDARIO'!$G$15:$G$214,0)),INDEX(patronHabil,WEEKDAY($J407,2))))))</f>
        <v/>
      </c>
      <c r="T407" s="3">
        <f>IF($I407="","",IFERROR(INDEX('CAT_TIPOS_OT'!$C$4:$C$7,MATCH($I407,'CAT_TIPOS_OT'!$A$4:$A$7,0)),"sin_clasificar"))</f>
        <v/>
      </c>
      <c r="U407" s="3">
        <f>IF($F407="","",IFERROR(INDEX('CAT_CENTROS_COSTO'!$F$4:$F$13,MATCH($F407,'CAT_CENTROS_COSTO'!$A$4:$A$13,0)),"(sin catálogo)"))</f>
        <v/>
      </c>
      <c r="V407" s="3">
        <f>IF($F407="","",IFERROR(INDEX('CAT_CENTROS_COSTO'!$D$4:$D$13,MATCH($F407,'CAT_CENTROS_COSTO'!$A$4:$A$13,0)),"(sin catálogo)"))</f>
        <v/>
      </c>
      <c r="W407" s="3">
        <f>IF($F407="","",IF((IFERROR(INDEX('CAT_CENTROS_COSTO'!$E$4:$E$13,MATCH($F407,'CAT_CENTROS_COSTO'!$A$4:$A$13,0)),""))&lt;&gt;"",IFERROR(INDEX('CAT_CENTROS_COSTO'!$E$4:$E$13,MATCH($F407,'CAT_CENTROS_COSTO'!$A$4:$A$13,0)),""),$V407))</f>
        <v/>
      </c>
      <c r="X407" s="3">
        <f>IF($F407="","",IFERROR(INDEX('CAT_CENTROS_COSTO'!$G$4:$G$13,MATCH($F407,'CAT_CENTROS_COSTO'!$A$4:$A$13,0)),"(sin catálogo)"))</f>
        <v/>
      </c>
      <c r="Y407" s="3">
        <f>IF($G407="","",IFERROR(INDEX('CAT_PUESTOS'!$B$4:$B$8,MATCH($G407,'CAT_PUESTOS'!$A$4:$A$8,0)),"(sin catálogo)"))</f>
        <v/>
      </c>
      <c r="Z407" s="3">
        <f>IF($H407="","",IFERROR(INDEX('CAT_ACTIVIDADES'!$B$4:$B$8,MATCH($H407,'CAT_ACTIVIDADES'!$A$4:$A$8,0)),"(sin catálogo)"))</f>
        <v/>
      </c>
      <c r="AA407" s="12">
        <f>IF($J407="","",TODAY()-$J407)</f>
        <v/>
      </c>
      <c r="AB407" s="12">
        <f>IF($J407="","",IF($J407&lt;=TODAY(),COUNTIFS(cal_fechas,"&gt;="&amp;$J407,cal_fechas,"&lt;"&amp;TODAY(),cal_habil,"sí"),-COUNTIFS(cal_fechas,"&gt;="&amp;TODAY(),cal_fechas,"&lt;"&amp;$J407,cal_habil,"sí")))</f>
        <v/>
      </c>
      <c r="AC407" s="3">
        <f>IF($AB407="","",IF($AB407&lt;0,"FUTURO",IF($AB407&gt;p_dias_backlog_max,"BACKLOG","MES CORRIENTE")))</f>
        <v/>
      </c>
      <c r="AD407" s="3">
        <f>IF($AB407="",FALSE,AND($AB407&gt;p_dias_backlog_min,$AB407&lt;=p_dias_backlog_max))</f>
        <v/>
      </c>
      <c r="AE407" s="6" t="n"/>
      <c r="AF407" s="3">
        <f>IF($AE407="","",IF((IFERROR(INDEX('ASIGNACIONES'!$F$4:$F$339,MATCH($O407&amp;"|"&amp;$R407&amp;"|"&amp;$AE407,'ASIGNACIONES'!$J$4:$J$339,0)),""))=0,"",IFERROR(INDEX('ASIGNACIONES'!$F$4:$F$339,MATCH($O407&amp;"|"&amp;$R407&amp;"|"&amp;$AE407,'ASIGNACIONES'!$J$4:$J$339,0)),"")))</f>
        <v/>
      </c>
      <c r="AG407" s="13">
        <f>IF($AE407="","",SUMIFS('ORDENES'!$M$4:$M$1203,'ORDENES'!$AE$4:$AE$1203,$AE407,'ORDENES'!$O$4:$O$1203,$O407,'ORDENES'!$R$4:$R$1203,$R407))</f>
        <v/>
      </c>
      <c r="AH407" s="13">
        <f>IF($AG407="","",p_factor_productividad*IFERROR(INDEX('ASIGNACIONES'!$I$4:$I$339,MATCH($O407&amp;"|"&amp;$R407&amp;"|"&amp;$AE407,'ASIGNACIONES'!$J$4:$J$339,0)),0)-$AG407)</f>
        <v/>
      </c>
      <c r="AI407" s="10">
        <f>IF($A407="","",IFERROR(INDEX('2_IMPORTAR_EJECUCION'!$F$9:$F$1208,MATCH($AQ407,'2_IMPORTAR_EJECUCION'!$J$9:$J$1208,0)),0))</f>
        <v/>
      </c>
      <c r="AJ407" s="10">
        <f>IF($A407="","",MAX(0,IFERROR(INDEX('2_IMPORTAR_EJECUCION'!$H$9:$H$1208,MATCH($AQ407,'2_IMPORTAR_EJECUCION'!$J$9:$J$1208,0)),0)-$AI407))</f>
        <v/>
      </c>
      <c r="AK407" s="10">
        <f>IF($A407="","",$AI407+$AJ407)</f>
        <v/>
      </c>
      <c r="AL407" s="6" t="n"/>
      <c r="AM407" s="6" t="n"/>
      <c r="AN407" s="6" t="n"/>
      <c r="AO407" s="3">
        <f>IF($AN407="","",HYPERLINK(p_ruta_base_checklists&amp;$AN407,"abrir"))</f>
        <v/>
      </c>
      <c r="AP407" s="6" t="n"/>
      <c r="AQ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IF($A408="","",IFERROR(INDEX('AJUSTES'!$B$4:$B$303,MATCH($AQ408,'AJUSTES'!$A$4:$A$303,0)),IF($K408="","",$K408)))</f>
        <v/>
      </c>
      <c r="N408" s="3">
        <f>IF($A408="","",IFERROR(INDEX('CAT_ESTADOS_ERP'!$B$4:$B$7,MATCH(IFERROR(INDEX('2_IMPORTAR_EJECUCION'!$C$9:$C$1208,MATCH($AQ408,'2_IMPORTAR_EJECUCION'!$J$9:$J$1208,0)),""),'CAT_ESTADOS_ERP'!$A$4:$A$7,0)),"Pendiente"))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J408="","",IFERROR(INDEX('CALENDARIO'!$C$15:$C$214,MATCH(TEXT($J408,"yyyy-mm-dd")&amp;"|"&amp;$V408&amp;"|"&amp;$W408,'CALENDARIO'!$G$15:$G$214,0)),IFERROR(INDEX('CALENDARIO'!$C$15:$C$214,MATCH(TEXT($J408,"yyyy-mm-dd")&amp;"|"&amp;$V408&amp;"|",'CALENDARIO'!$G$15:$G$214,0)),IFERROR(INDEX('CALENDARIO'!$C$15:$C$214,MATCH(TEXT($J408,"yyyy-mm-dd")&amp;"||",'CALENDARIO'!$G$15:$G$214,0)),INDEX(patronHabil,WEEKDAY($J408,2))))))</f>
        <v/>
      </c>
      <c r="T408" s="3">
        <f>IF($I408="","",IFERROR(INDEX('CAT_TIPOS_OT'!$C$4:$C$7,MATCH($I408,'CAT_TIPOS_OT'!$A$4:$A$7,0)),"sin_clasificar"))</f>
        <v/>
      </c>
      <c r="U408" s="3">
        <f>IF($F408="","",IFERROR(INDEX('CAT_CENTROS_COSTO'!$F$4:$F$13,MATCH($F408,'CAT_CENTROS_COSTO'!$A$4:$A$13,0)),"(sin catálogo)"))</f>
        <v/>
      </c>
      <c r="V408" s="3">
        <f>IF($F408="","",IFERROR(INDEX('CAT_CENTROS_COSTO'!$D$4:$D$13,MATCH($F408,'CAT_CENTROS_COSTO'!$A$4:$A$13,0)),"(sin catálogo)"))</f>
        <v/>
      </c>
      <c r="W408" s="3">
        <f>IF($F408="","",IF((IFERROR(INDEX('CAT_CENTROS_COSTO'!$E$4:$E$13,MATCH($F408,'CAT_CENTROS_COSTO'!$A$4:$A$13,0)),""))&lt;&gt;"",IFERROR(INDEX('CAT_CENTROS_COSTO'!$E$4:$E$13,MATCH($F408,'CAT_CENTROS_COSTO'!$A$4:$A$13,0)),""),$V408))</f>
        <v/>
      </c>
      <c r="X408" s="3">
        <f>IF($F408="","",IFERROR(INDEX('CAT_CENTROS_COSTO'!$G$4:$G$13,MATCH($F408,'CAT_CENTROS_COSTO'!$A$4:$A$13,0)),"(sin catálogo)"))</f>
        <v/>
      </c>
      <c r="Y408" s="3">
        <f>IF($G408="","",IFERROR(INDEX('CAT_PUESTOS'!$B$4:$B$8,MATCH($G408,'CAT_PUESTOS'!$A$4:$A$8,0)),"(sin catálogo)"))</f>
        <v/>
      </c>
      <c r="Z408" s="3">
        <f>IF($H408="","",IFERROR(INDEX('CAT_ACTIVIDADES'!$B$4:$B$8,MATCH($H408,'CAT_ACTIVIDADES'!$A$4:$A$8,0)),"(sin catálogo)"))</f>
        <v/>
      </c>
      <c r="AA408" s="12">
        <f>IF($J408="","",TODAY()-$J408)</f>
        <v/>
      </c>
      <c r="AB408" s="12">
        <f>IF($J408="","",IF($J408&lt;=TODAY(),COUNTIFS(cal_fechas,"&gt;="&amp;$J408,cal_fechas,"&lt;"&amp;TODAY(),cal_habil,"sí"),-COUNTIFS(cal_fechas,"&gt;="&amp;TODAY(),cal_fechas,"&lt;"&amp;$J408,cal_habil,"sí")))</f>
        <v/>
      </c>
      <c r="AC408" s="3">
        <f>IF($AB408="","",IF($AB408&lt;0,"FUTURO",IF($AB408&gt;p_dias_backlog_max,"BACKLOG","MES CORRIENTE")))</f>
        <v/>
      </c>
      <c r="AD408" s="3">
        <f>IF($AB408="",FALSE,AND($AB408&gt;p_dias_backlog_min,$AB408&lt;=p_dias_backlog_max))</f>
        <v/>
      </c>
      <c r="AE408" s="6" t="n"/>
      <c r="AF408" s="3">
        <f>IF($AE408="","",IF((IFERROR(INDEX('ASIGNACIONES'!$F$4:$F$339,MATCH($O408&amp;"|"&amp;$R408&amp;"|"&amp;$AE408,'ASIGNACIONES'!$J$4:$J$339,0)),""))=0,"",IFERROR(INDEX('ASIGNACIONES'!$F$4:$F$339,MATCH($O408&amp;"|"&amp;$R408&amp;"|"&amp;$AE408,'ASIGNACIONES'!$J$4:$J$339,0)),"")))</f>
        <v/>
      </c>
      <c r="AG408" s="13">
        <f>IF($AE408="","",SUMIFS('ORDENES'!$M$4:$M$1203,'ORDENES'!$AE$4:$AE$1203,$AE408,'ORDENES'!$O$4:$O$1203,$O408,'ORDENES'!$R$4:$R$1203,$R408))</f>
        <v/>
      </c>
      <c r="AH408" s="13">
        <f>IF($AG408="","",p_factor_productividad*IFERROR(INDEX('ASIGNACIONES'!$I$4:$I$339,MATCH($O408&amp;"|"&amp;$R408&amp;"|"&amp;$AE408,'ASIGNACIONES'!$J$4:$J$339,0)),0)-$AG408)</f>
        <v/>
      </c>
      <c r="AI408" s="10">
        <f>IF($A408="","",IFERROR(INDEX('2_IMPORTAR_EJECUCION'!$F$9:$F$1208,MATCH($AQ408,'2_IMPORTAR_EJECUCION'!$J$9:$J$1208,0)),0))</f>
        <v/>
      </c>
      <c r="AJ408" s="10">
        <f>IF($A408="","",MAX(0,IFERROR(INDEX('2_IMPORTAR_EJECUCION'!$H$9:$H$1208,MATCH($AQ408,'2_IMPORTAR_EJECUCION'!$J$9:$J$1208,0)),0)-$AI408))</f>
        <v/>
      </c>
      <c r="AK408" s="10">
        <f>IF($A408="","",$AI408+$AJ408)</f>
        <v/>
      </c>
      <c r="AL408" s="6" t="n"/>
      <c r="AM408" s="6" t="n"/>
      <c r="AN408" s="6" t="n"/>
      <c r="AO408" s="3">
        <f>IF($AN408="","",HYPERLINK(p_ruta_base_checklists&amp;$AN408,"abrir"))</f>
        <v/>
      </c>
      <c r="AP408" s="6" t="n"/>
      <c r="AQ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IF($A409="","",IFERROR(INDEX('AJUSTES'!$B$4:$B$303,MATCH($AQ409,'AJUSTES'!$A$4:$A$303,0)),IF($K409="","",$K409)))</f>
        <v/>
      </c>
      <c r="N409" s="3">
        <f>IF($A409="","",IFERROR(INDEX('CAT_ESTADOS_ERP'!$B$4:$B$7,MATCH(IFERROR(INDEX('2_IMPORTAR_EJECUCION'!$C$9:$C$1208,MATCH($AQ409,'2_IMPORTAR_EJECUCION'!$J$9:$J$1208,0)),""),'CAT_ESTADOS_ERP'!$A$4:$A$7,0)),"Pendiente"))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J409="","",IFERROR(INDEX('CALENDARIO'!$C$15:$C$214,MATCH(TEXT($J409,"yyyy-mm-dd")&amp;"|"&amp;$V409&amp;"|"&amp;$W409,'CALENDARIO'!$G$15:$G$214,0)),IFERROR(INDEX('CALENDARIO'!$C$15:$C$214,MATCH(TEXT($J409,"yyyy-mm-dd")&amp;"|"&amp;$V409&amp;"|",'CALENDARIO'!$G$15:$G$214,0)),IFERROR(INDEX('CALENDARIO'!$C$15:$C$214,MATCH(TEXT($J409,"yyyy-mm-dd")&amp;"||",'CALENDARIO'!$G$15:$G$214,0)),INDEX(patronHabil,WEEKDAY($J409,2))))))</f>
        <v/>
      </c>
      <c r="T409" s="3">
        <f>IF($I409="","",IFERROR(INDEX('CAT_TIPOS_OT'!$C$4:$C$7,MATCH($I409,'CAT_TIPOS_OT'!$A$4:$A$7,0)),"sin_clasificar"))</f>
        <v/>
      </c>
      <c r="U409" s="3">
        <f>IF($F409="","",IFERROR(INDEX('CAT_CENTROS_COSTO'!$F$4:$F$13,MATCH($F409,'CAT_CENTROS_COSTO'!$A$4:$A$13,0)),"(sin catálogo)"))</f>
        <v/>
      </c>
      <c r="V409" s="3">
        <f>IF($F409="","",IFERROR(INDEX('CAT_CENTROS_COSTO'!$D$4:$D$13,MATCH($F409,'CAT_CENTROS_COSTO'!$A$4:$A$13,0)),"(sin catálogo)"))</f>
        <v/>
      </c>
      <c r="W409" s="3">
        <f>IF($F409="","",IF((IFERROR(INDEX('CAT_CENTROS_COSTO'!$E$4:$E$13,MATCH($F409,'CAT_CENTROS_COSTO'!$A$4:$A$13,0)),""))&lt;&gt;"",IFERROR(INDEX('CAT_CENTROS_COSTO'!$E$4:$E$13,MATCH($F409,'CAT_CENTROS_COSTO'!$A$4:$A$13,0)),""),$V409))</f>
        <v/>
      </c>
      <c r="X409" s="3">
        <f>IF($F409="","",IFERROR(INDEX('CAT_CENTROS_COSTO'!$G$4:$G$13,MATCH($F409,'CAT_CENTROS_COSTO'!$A$4:$A$13,0)),"(sin catálogo)"))</f>
        <v/>
      </c>
      <c r="Y409" s="3">
        <f>IF($G409="","",IFERROR(INDEX('CAT_PUESTOS'!$B$4:$B$8,MATCH($G409,'CAT_PUESTOS'!$A$4:$A$8,0)),"(sin catálogo)"))</f>
        <v/>
      </c>
      <c r="Z409" s="3">
        <f>IF($H409="","",IFERROR(INDEX('CAT_ACTIVIDADES'!$B$4:$B$8,MATCH($H409,'CAT_ACTIVIDADES'!$A$4:$A$8,0)),"(sin catálogo)"))</f>
        <v/>
      </c>
      <c r="AA409" s="12">
        <f>IF($J409="","",TODAY()-$J409)</f>
        <v/>
      </c>
      <c r="AB409" s="12">
        <f>IF($J409="","",IF($J409&lt;=TODAY(),COUNTIFS(cal_fechas,"&gt;="&amp;$J409,cal_fechas,"&lt;"&amp;TODAY(),cal_habil,"sí"),-COUNTIFS(cal_fechas,"&gt;="&amp;TODAY(),cal_fechas,"&lt;"&amp;$J409,cal_habil,"sí")))</f>
        <v/>
      </c>
      <c r="AC409" s="3">
        <f>IF($AB409="","",IF($AB409&lt;0,"FUTURO",IF($AB409&gt;p_dias_backlog_max,"BACKLOG","MES CORRIENTE")))</f>
        <v/>
      </c>
      <c r="AD409" s="3">
        <f>IF($AB409="",FALSE,AND($AB409&gt;p_dias_backlog_min,$AB409&lt;=p_dias_backlog_max))</f>
        <v/>
      </c>
      <c r="AE409" s="6" t="n"/>
      <c r="AF409" s="3">
        <f>IF($AE409="","",IF((IFERROR(INDEX('ASIGNACIONES'!$F$4:$F$339,MATCH($O409&amp;"|"&amp;$R409&amp;"|"&amp;$AE409,'ASIGNACIONES'!$J$4:$J$339,0)),""))=0,"",IFERROR(INDEX('ASIGNACIONES'!$F$4:$F$339,MATCH($O409&amp;"|"&amp;$R409&amp;"|"&amp;$AE409,'ASIGNACIONES'!$J$4:$J$339,0)),"")))</f>
        <v/>
      </c>
      <c r="AG409" s="13">
        <f>IF($AE409="","",SUMIFS('ORDENES'!$M$4:$M$1203,'ORDENES'!$AE$4:$AE$1203,$AE409,'ORDENES'!$O$4:$O$1203,$O409,'ORDENES'!$R$4:$R$1203,$R409))</f>
        <v/>
      </c>
      <c r="AH409" s="13">
        <f>IF($AG409="","",p_factor_productividad*IFERROR(INDEX('ASIGNACIONES'!$I$4:$I$339,MATCH($O409&amp;"|"&amp;$R409&amp;"|"&amp;$AE409,'ASIGNACIONES'!$J$4:$J$339,0)),0)-$AG409)</f>
        <v/>
      </c>
      <c r="AI409" s="10">
        <f>IF($A409="","",IFERROR(INDEX('2_IMPORTAR_EJECUCION'!$F$9:$F$1208,MATCH($AQ409,'2_IMPORTAR_EJECUCION'!$J$9:$J$1208,0)),0))</f>
        <v/>
      </c>
      <c r="AJ409" s="10">
        <f>IF($A409="","",MAX(0,IFERROR(INDEX('2_IMPORTAR_EJECUCION'!$H$9:$H$1208,MATCH($AQ409,'2_IMPORTAR_EJECUCION'!$J$9:$J$1208,0)),0)-$AI409))</f>
        <v/>
      </c>
      <c r="AK409" s="10">
        <f>IF($A409="","",$AI409+$AJ409)</f>
        <v/>
      </c>
      <c r="AL409" s="6" t="n"/>
      <c r="AM409" s="6" t="n"/>
      <c r="AN409" s="6" t="n"/>
      <c r="AO409" s="3">
        <f>IF($AN409="","",HYPERLINK(p_ruta_base_checklists&amp;$AN409,"abrir"))</f>
        <v/>
      </c>
      <c r="AP409" s="6" t="n"/>
      <c r="AQ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IF($A410="","",IFERROR(INDEX('AJUSTES'!$B$4:$B$303,MATCH($AQ410,'AJUSTES'!$A$4:$A$303,0)),IF($K410="","",$K410)))</f>
        <v/>
      </c>
      <c r="N410" s="3">
        <f>IF($A410="","",IFERROR(INDEX('CAT_ESTADOS_ERP'!$B$4:$B$7,MATCH(IFERROR(INDEX('2_IMPORTAR_EJECUCION'!$C$9:$C$1208,MATCH($AQ410,'2_IMPORTAR_EJECUCION'!$J$9:$J$1208,0)),""),'CAT_ESTADOS_ERP'!$A$4:$A$7,0)),"Pendiente"))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J410="","",IFERROR(INDEX('CALENDARIO'!$C$15:$C$214,MATCH(TEXT($J410,"yyyy-mm-dd")&amp;"|"&amp;$V410&amp;"|"&amp;$W410,'CALENDARIO'!$G$15:$G$214,0)),IFERROR(INDEX('CALENDARIO'!$C$15:$C$214,MATCH(TEXT($J410,"yyyy-mm-dd")&amp;"|"&amp;$V410&amp;"|",'CALENDARIO'!$G$15:$G$214,0)),IFERROR(INDEX('CALENDARIO'!$C$15:$C$214,MATCH(TEXT($J410,"yyyy-mm-dd")&amp;"||",'CALENDARIO'!$G$15:$G$214,0)),INDEX(patronHabil,WEEKDAY($J410,2))))))</f>
        <v/>
      </c>
      <c r="T410" s="3">
        <f>IF($I410="","",IFERROR(INDEX('CAT_TIPOS_OT'!$C$4:$C$7,MATCH($I410,'CAT_TIPOS_OT'!$A$4:$A$7,0)),"sin_clasificar"))</f>
        <v/>
      </c>
      <c r="U410" s="3">
        <f>IF($F410="","",IFERROR(INDEX('CAT_CENTROS_COSTO'!$F$4:$F$13,MATCH($F410,'CAT_CENTROS_COSTO'!$A$4:$A$13,0)),"(sin catálogo)"))</f>
        <v/>
      </c>
      <c r="V410" s="3">
        <f>IF($F410="","",IFERROR(INDEX('CAT_CENTROS_COSTO'!$D$4:$D$13,MATCH($F410,'CAT_CENTROS_COSTO'!$A$4:$A$13,0)),"(sin catálogo)"))</f>
        <v/>
      </c>
      <c r="W410" s="3">
        <f>IF($F410="","",IF((IFERROR(INDEX('CAT_CENTROS_COSTO'!$E$4:$E$13,MATCH($F410,'CAT_CENTROS_COSTO'!$A$4:$A$13,0)),""))&lt;&gt;"",IFERROR(INDEX('CAT_CENTROS_COSTO'!$E$4:$E$13,MATCH($F410,'CAT_CENTROS_COSTO'!$A$4:$A$13,0)),""),$V410))</f>
        <v/>
      </c>
      <c r="X410" s="3">
        <f>IF($F410="","",IFERROR(INDEX('CAT_CENTROS_COSTO'!$G$4:$G$13,MATCH($F410,'CAT_CENTROS_COSTO'!$A$4:$A$13,0)),"(sin catálogo)"))</f>
        <v/>
      </c>
      <c r="Y410" s="3">
        <f>IF($G410="","",IFERROR(INDEX('CAT_PUESTOS'!$B$4:$B$8,MATCH($G410,'CAT_PUESTOS'!$A$4:$A$8,0)),"(sin catálogo)"))</f>
        <v/>
      </c>
      <c r="Z410" s="3">
        <f>IF($H410="","",IFERROR(INDEX('CAT_ACTIVIDADES'!$B$4:$B$8,MATCH($H410,'CAT_ACTIVIDADES'!$A$4:$A$8,0)),"(sin catálogo)"))</f>
        <v/>
      </c>
      <c r="AA410" s="12">
        <f>IF($J410="","",TODAY()-$J410)</f>
        <v/>
      </c>
      <c r="AB410" s="12">
        <f>IF($J410="","",IF($J410&lt;=TODAY(),COUNTIFS(cal_fechas,"&gt;="&amp;$J410,cal_fechas,"&lt;"&amp;TODAY(),cal_habil,"sí"),-COUNTIFS(cal_fechas,"&gt;="&amp;TODAY(),cal_fechas,"&lt;"&amp;$J410,cal_habil,"sí")))</f>
        <v/>
      </c>
      <c r="AC410" s="3">
        <f>IF($AB410="","",IF($AB410&lt;0,"FUTURO",IF($AB410&gt;p_dias_backlog_max,"BACKLOG","MES CORRIENTE")))</f>
        <v/>
      </c>
      <c r="AD410" s="3">
        <f>IF($AB410="",FALSE,AND($AB410&gt;p_dias_backlog_min,$AB410&lt;=p_dias_backlog_max))</f>
        <v/>
      </c>
      <c r="AE410" s="6" t="n"/>
      <c r="AF410" s="3">
        <f>IF($AE410="","",IF((IFERROR(INDEX('ASIGNACIONES'!$F$4:$F$339,MATCH($O410&amp;"|"&amp;$R410&amp;"|"&amp;$AE410,'ASIGNACIONES'!$J$4:$J$339,0)),""))=0,"",IFERROR(INDEX('ASIGNACIONES'!$F$4:$F$339,MATCH($O410&amp;"|"&amp;$R410&amp;"|"&amp;$AE410,'ASIGNACIONES'!$J$4:$J$339,0)),"")))</f>
        <v/>
      </c>
      <c r="AG410" s="13">
        <f>IF($AE410="","",SUMIFS('ORDENES'!$M$4:$M$1203,'ORDENES'!$AE$4:$AE$1203,$AE410,'ORDENES'!$O$4:$O$1203,$O410,'ORDENES'!$R$4:$R$1203,$R410))</f>
        <v/>
      </c>
      <c r="AH410" s="13">
        <f>IF($AG410="","",p_factor_productividad*IFERROR(INDEX('ASIGNACIONES'!$I$4:$I$339,MATCH($O410&amp;"|"&amp;$R410&amp;"|"&amp;$AE410,'ASIGNACIONES'!$J$4:$J$339,0)),0)-$AG410)</f>
        <v/>
      </c>
      <c r="AI410" s="10">
        <f>IF($A410="","",IFERROR(INDEX('2_IMPORTAR_EJECUCION'!$F$9:$F$1208,MATCH($AQ410,'2_IMPORTAR_EJECUCION'!$J$9:$J$1208,0)),0))</f>
        <v/>
      </c>
      <c r="AJ410" s="10">
        <f>IF($A410="","",MAX(0,IFERROR(INDEX('2_IMPORTAR_EJECUCION'!$H$9:$H$1208,MATCH($AQ410,'2_IMPORTAR_EJECUCION'!$J$9:$J$1208,0)),0)-$AI410))</f>
        <v/>
      </c>
      <c r="AK410" s="10">
        <f>IF($A410="","",$AI410+$AJ410)</f>
        <v/>
      </c>
      <c r="AL410" s="6" t="n"/>
      <c r="AM410" s="6" t="n"/>
      <c r="AN410" s="6" t="n"/>
      <c r="AO410" s="3">
        <f>IF($AN410="","",HYPERLINK(p_ruta_base_checklists&amp;$AN410,"abrir"))</f>
        <v/>
      </c>
      <c r="AP410" s="6" t="n"/>
      <c r="AQ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IF($A411="","",IFERROR(INDEX('AJUSTES'!$B$4:$B$303,MATCH($AQ411,'AJUSTES'!$A$4:$A$303,0)),IF($K411="","",$K411)))</f>
        <v/>
      </c>
      <c r="N411" s="3">
        <f>IF($A411="","",IFERROR(INDEX('CAT_ESTADOS_ERP'!$B$4:$B$7,MATCH(IFERROR(INDEX('2_IMPORTAR_EJECUCION'!$C$9:$C$1208,MATCH($AQ411,'2_IMPORTAR_EJECUCION'!$J$9:$J$1208,0)),""),'CAT_ESTADOS_ERP'!$A$4:$A$7,0)),"Pendiente"))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J411="","",IFERROR(INDEX('CALENDARIO'!$C$15:$C$214,MATCH(TEXT($J411,"yyyy-mm-dd")&amp;"|"&amp;$V411&amp;"|"&amp;$W411,'CALENDARIO'!$G$15:$G$214,0)),IFERROR(INDEX('CALENDARIO'!$C$15:$C$214,MATCH(TEXT($J411,"yyyy-mm-dd")&amp;"|"&amp;$V411&amp;"|",'CALENDARIO'!$G$15:$G$214,0)),IFERROR(INDEX('CALENDARIO'!$C$15:$C$214,MATCH(TEXT($J411,"yyyy-mm-dd")&amp;"||",'CALENDARIO'!$G$15:$G$214,0)),INDEX(patronHabil,WEEKDAY($J411,2))))))</f>
        <v/>
      </c>
      <c r="T411" s="3">
        <f>IF($I411="","",IFERROR(INDEX('CAT_TIPOS_OT'!$C$4:$C$7,MATCH($I411,'CAT_TIPOS_OT'!$A$4:$A$7,0)),"sin_clasificar"))</f>
        <v/>
      </c>
      <c r="U411" s="3">
        <f>IF($F411="","",IFERROR(INDEX('CAT_CENTROS_COSTO'!$F$4:$F$13,MATCH($F411,'CAT_CENTROS_COSTO'!$A$4:$A$13,0)),"(sin catálogo)"))</f>
        <v/>
      </c>
      <c r="V411" s="3">
        <f>IF($F411="","",IFERROR(INDEX('CAT_CENTROS_COSTO'!$D$4:$D$13,MATCH($F411,'CAT_CENTROS_COSTO'!$A$4:$A$13,0)),"(sin catálogo)"))</f>
        <v/>
      </c>
      <c r="W411" s="3">
        <f>IF($F411="","",IF((IFERROR(INDEX('CAT_CENTROS_COSTO'!$E$4:$E$13,MATCH($F411,'CAT_CENTROS_COSTO'!$A$4:$A$13,0)),""))&lt;&gt;"",IFERROR(INDEX('CAT_CENTROS_COSTO'!$E$4:$E$13,MATCH($F411,'CAT_CENTROS_COSTO'!$A$4:$A$13,0)),""),$V411))</f>
        <v/>
      </c>
      <c r="X411" s="3">
        <f>IF($F411="","",IFERROR(INDEX('CAT_CENTROS_COSTO'!$G$4:$G$13,MATCH($F411,'CAT_CENTROS_COSTO'!$A$4:$A$13,0)),"(sin catálogo)"))</f>
        <v/>
      </c>
      <c r="Y411" s="3">
        <f>IF($G411="","",IFERROR(INDEX('CAT_PUESTOS'!$B$4:$B$8,MATCH($G411,'CAT_PUESTOS'!$A$4:$A$8,0)),"(sin catálogo)"))</f>
        <v/>
      </c>
      <c r="Z411" s="3">
        <f>IF($H411="","",IFERROR(INDEX('CAT_ACTIVIDADES'!$B$4:$B$8,MATCH($H411,'CAT_ACTIVIDADES'!$A$4:$A$8,0)),"(sin catálogo)"))</f>
        <v/>
      </c>
      <c r="AA411" s="12">
        <f>IF($J411="","",TODAY()-$J411)</f>
        <v/>
      </c>
      <c r="AB411" s="12">
        <f>IF($J411="","",IF($J411&lt;=TODAY(),COUNTIFS(cal_fechas,"&gt;="&amp;$J411,cal_fechas,"&lt;"&amp;TODAY(),cal_habil,"sí"),-COUNTIFS(cal_fechas,"&gt;="&amp;TODAY(),cal_fechas,"&lt;"&amp;$J411,cal_habil,"sí")))</f>
        <v/>
      </c>
      <c r="AC411" s="3">
        <f>IF($AB411="","",IF($AB411&lt;0,"FUTURO",IF($AB411&gt;p_dias_backlog_max,"BACKLOG","MES CORRIENTE")))</f>
        <v/>
      </c>
      <c r="AD411" s="3">
        <f>IF($AB411="",FALSE,AND($AB411&gt;p_dias_backlog_min,$AB411&lt;=p_dias_backlog_max))</f>
        <v/>
      </c>
      <c r="AE411" s="6" t="n"/>
      <c r="AF411" s="3">
        <f>IF($AE411="","",IF((IFERROR(INDEX('ASIGNACIONES'!$F$4:$F$339,MATCH($O411&amp;"|"&amp;$R411&amp;"|"&amp;$AE411,'ASIGNACIONES'!$J$4:$J$339,0)),""))=0,"",IFERROR(INDEX('ASIGNACIONES'!$F$4:$F$339,MATCH($O411&amp;"|"&amp;$R411&amp;"|"&amp;$AE411,'ASIGNACIONES'!$J$4:$J$339,0)),"")))</f>
        <v/>
      </c>
      <c r="AG411" s="13">
        <f>IF($AE411="","",SUMIFS('ORDENES'!$M$4:$M$1203,'ORDENES'!$AE$4:$AE$1203,$AE411,'ORDENES'!$O$4:$O$1203,$O411,'ORDENES'!$R$4:$R$1203,$R411))</f>
        <v/>
      </c>
      <c r="AH411" s="13">
        <f>IF($AG411="","",p_factor_productividad*IFERROR(INDEX('ASIGNACIONES'!$I$4:$I$339,MATCH($O411&amp;"|"&amp;$R411&amp;"|"&amp;$AE411,'ASIGNACIONES'!$J$4:$J$339,0)),0)-$AG411)</f>
        <v/>
      </c>
      <c r="AI411" s="10">
        <f>IF($A411="","",IFERROR(INDEX('2_IMPORTAR_EJECUCION'!$F$9:$F$1208,MATCH($AQ411,'2_IMPORTAR_EJECUCION'!$J$9:$J$1208,0)),0))</f>
        <v/>
      </c>
      <c r="AJ411" s="10">
        <f>IF($A411="","",MAX(0,IFERROR(INDEX('2_IMPORTAR_EJECUCION'!$H$9:$H$1208,MATCH($AQ411,'2_IMPORTAR_EJECUCION'!$J$9:$J$1208,0)),0)-$AI411))</f>
        <v/>
      </c>
      <c r="AK411" s="10">
        <f>IF($A411="","",$AI411+$AJ411)</f>
        <v/>
      </c>
      <c r="AL411" s="6" t="n"/>
      <c r="AM411" s="6" t="n"/>
      <c r="AN411" s="6" t="n"/>
      <c r="AO411" s="3">
        <f>IF($AN411="","",HYPERLINK(p_ruta_base_checklists&amp;$AN411,"abrir"))</f>
        <v/>
      </c>
      <c r="AP411" s="6" t="n"/>
      <c r="AQ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IF($A412="","",IFERROR(INDEX('AJUSTES'!$B$4:$B$303,MATCH($AQ412,'AJUSTES'!$A$4:$A$303,0)),IF($K412="","",$K412)))</f>
        <v/>
      </c>
      <c r="N412" s="3">
        <f>IF($A412="","",IFERROR(INDEX('CAT_ESTADOS_ERP'!$B$4:$B$7,MATCH(IFERROR(INDEX('2_IMPORTAR_EJECUCION'!$C$9:$C$1208,MATCH($AQ412,'2_IMPORTAR_EJECUCION'!$J$9:$J$1208,0)),""),'CAT_ESTADOS_ERP'!$A$4:$A$7,0)),"Pendiente"))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J412="","",IFERROR(INDEX('CALENDARIO'!$C$15:$C$214,MATCH(TEXT($J412,"yyyy-mm-dd")&amp;"|"&amp;$V412&amp;"|"&amp;$W412,'CALENDARIO'!$G$15:$G$214,0)),IFERROR(INDEX('CALENDARIO'!$C$15:$C$214,MATCH(TEXT($J412,"yyyy-mm-dd")&amp;"|"&amp;$V412&amp;"|",'CALENDARIO'!$G$15:$G$214,0)),IFERROR(INDEX('CALENDARIO'!$C$15:$C$214,MATCH(TEXT($J412,"yyyy-mm-dd")&amp;"||",'CALENDARIO'!$G$15:$G$214,0)),INDEX(patronHabil,WEEKDAY($J412,2))))))</f>
        <v/>
      </c>
      <c r="T412" s="3">
        <f>IF($I412="","",IFERROR(INDEX('CAT_TIPOS_OT'!$C$4:$C$7,MATCH($I412,'CAT_TIPOS_OT'!$A$4:$A$7,0)),"sin_clasificar"))</f>
        <v/>
      </c>
      <c r="U412" s="3">
        <f>IF($F412="","",IFERROR(INDEX('CAT_CENTROS_COSTO'!$F$4:$F$13,MATCH($F412,'CAT_CENTROS_COSTO'!$A$4:$A$13,0)),"(sin catálogo)"))</f>
        <v/>
      </c>
      <c r="V412" s="3">
        <f>IF($F412="","",IFERROR(INDEX('CAT_CENTROS_COSTO'!$D$4:$D$13,MATCH($F412,'CAT_CENTROS_COSTO'!$A$4:$A$13,0)),"(sin catálogo)"))</f>
        <v/>
      </c>
      <c r="W412" s="3">
        <f>IF($F412="","",IF((IFERROR(INDEX('CAT_CENTROS_COSTO'!$E$4:$E$13,MATCH($F412,'CAT_CENTROS_COSTO'!$A$4:$A$13,0)),""))&lt;&gt;"",IFERROR(INDEX('CAT_CENTROS_COSTO'!$E$4:$E$13,MATCH($F412,'CAT_CENTROS_COSTO'!$A$4:$A$13,0)),""),$V412))</f>
        <v/>
      </c>
      <c r="X412" s="3">
        <f>IF($F412="","",IFERROR(INDEX('CAT_CENTROS_COSTO'!$G$4:$G$13,MATCH($F412,'CAT_CENTROS_COSTO'!$A$4:$A$13,0)),"(sin catálogo)"))</f>
        <v/>
      </c>
      <c r="Y412" s="3">
        <f>IF($G412="","",IFERROR(INDEX('CAT_PUESTOS'!$B$4:$B$8,MATCH($G412,'CAT_PUESTOS'!$A$4:$A$8,0)),"(sin catálogo)"))</f>
        <v/>
      </c>
      <c r="Z412" s="3">
        <f>IF($H412="","",IFERROR(INDEX('CAT_ACTIVIDADES'!$B$4:$B$8,MATCH($H412,'CAT_ACTIVIDADES'!$A$4:$A$8,0)),"(sin catálogo)"))</f>
        <v/>
      </c>
      <c r="AA412" s="12">
        <f>IF($J412="","",TODAY()-$J412)</f>
        <v/>
      </c>
      <c r="AB412" s="12">
        <f>IF($J412="","",IF($J412&lt;=TODAY(),COUNTIFS(cal_fechas,"&gt;="&amp;$J412,cal_fechas,"&lt;"&amp;TODAY(),cal_habil,"sí"),-COUNTIFS(cal_fechas,"&gt;="&amp;TODAY(),cal_fechas,"&lt;"&amp;$J412,cal_habil,"sí")))</f>
        <v/>
      </c>
      <c r="AC412" s="3">
        <f>IF($AB412="","",IF($AB412&lt;0,"FUTURO",IF($AB412&gt;p_dias_backlog_max,"BACKLOG","MES CORRIENTE")))</f>
        <v/>
      </c>
      <c r="AD412" s="3">
        <f>IF($AB412="",FALSE,AND($AB412&gt;p_dias_backlog_min,$AB412&lt;=p_dias_backlog_max))</f>
        <v/>
      </c>
      <c r="AE412" s="6" t="n"/>
      <c r="AF412" s="3">
        <f>IF($AE412="","",IF((IFERROR(INDEX('ASIGNACIONES'!$F$4:$F$339,MATCH($O412&amp;"|"&amp;$R412&amp;"|"&amp;$AE412,'ASIGNACIONES'!$J$4:$J$339,0)),""))=0,"",IFERROR(INDEX('ASIGNACIONES'!$F$4:$F$339,MATCH($O412&amp;"|"&amp;$R412&amp;"|"&amp;$AE412,'ASIGNACIONES'!$J$4:$J$339,0)),"")))</f>
        <v/>
      </c>
      <c r="AG412" s="13">
        <f>IF($AE412="","",SUMIFS('ORDENES'!$M$4:$M$1203,'ORDENES'!$AE$4:$AE$1203,$AE412,'ORDENES'!$O$4:$O$1203,$O412,'ORDENES'!$R$4:$R$1203,$R412))</f>
        <v/>
      </c>
      <c r="AH412" s="13">
        <f>IF($AG412="","",p_factor_productividad*IFERROR(INDEX('ASIGNACIONES'!$I$4:$I$339,MATCH($O412&amp;"|"&amp;$R412&amp;"|"&amp;$AE412,'ASIGNACIONES'!$J$4:$J$339,0)),0)-$AG412)</f>
        <v/>
      </c>
      <c r="AI412" s="10">
        <f>IF($A412="","",IFERROR(INDEX('2_IMPORTAR_EJECUCION'!$F$9:$F$1208,MATCH($AQ412,'2_IMPORTAR_EJECUCION'!$J$9:$J$1208,0)),0))</f>
        <v/>
      </c>
      <c r="AJ412" s="10">
        <f>IF($A412="","",MAX(0,IFERROR(INDEX('2_IMPORTAR_EJECUCION'!$H$9:$H$1208,MATCH($AQ412,'2_IMPORTAR_EJECUCION'!$J$9:$J$1208,0)),0)-$AI412))</f>
        <v/>
      </c>
      <c r="AK412" s="10">
        <f>IF($A412="","",$AI412+$AJ412)</f>
        <v/>
      </c>
      <c r="AL412" s="6" t="n"/>
      <c r="AM412" s="6" t="n"/>
      <c r="AN412" s="6" t="n"/>
      <c r="AO412" s="3">
        <f>IF($AN412="","",HYPERLINK(p_ruta_base_checklists&amp;$AN412,"abrir"))</f>
        <v/>
      </c>
      <c r="AP412" s="6" t="n"/>
      <c r="AQ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IF($A413="","",IFERROR(INDEX('AJUSTES'!$B$4:$B$303,MATCH($AQ413,'AJUSTES'!$A$4:$A$303,0)),IF($K413="","",$K413)))</f>
        <v/>
      </c>
      <c r="N413" s="3">
        <f>IF($A413="","",IFERROR(INDEX('CAT_ESTADOS_ERP'!$B$4:$B$7,MATCH(IFERROR(INDEX('2_IMPORTAR_EJECUCION'!$C$9:$C$1208,MATCH($AQ413,'2_IMPORTAR_EJECUCION'!$J$9:$J$1208,0)),""),'CAT_ESTADOS_ERP'!$A$4:$A$7,0)),"Pendiente"))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J413="","",IFERROR(INDEX('CALENDARIO'!$C$15:$C$214,MATCH(TEXT($J413,"yyyy-mm-dd")&amp;"|"&amp;$V413&amp;"|"&amp;$W413,'CALENDARIO'!$G$15:$G$214,0)),IFERROR(INDEX('CALENDARIO'!$C$15:$C$214,MATCH(TEXT($J413,"yyyy-mm-dd")&amp;"|"&amp;$V413&amp;"|",'CALENDARIO'!$G$15:$G$214,0)),IFERROR(INDEX('CALENDARIO'!$C$15:$C$214,MATCH(TEXT($J413,"yyyy-mm-dd")&amp;"||",'CALENDARIO'!$G$15:$G$214,0)),INDEX(patronHabil,WEEKDAY($J413,2))))))</f>
        <v/>
      </c>
      <c r="T413" s="3">
        <f>IF($I413="","",IFERROR(INDEX('CAT_TIPOS_OT'!$C$4:$C$7,MATCH($I413,'CAT_TIPOS_OT'!$A$4:$A$7,0)),"sin_clasificar"))</f>
        <v/>
      </c>
      <c r="U413" s="3">
        <f>IF($F413="","",IFERROR(INDEX('CAT_CENTROS_COSTO'!$F$4:$F$13,MATCH($F413,'CAT_CENTROS_COSTO'!$A$4:$A$13,0)),"(sin catálogo)"))</f>
        <v/>
      </c>
      <c r="V413" s="3">
        <f>IF($F413="","",IFERROR(INDEX('CAT_CENTROS_COSTO'!$D$4:$D$13,MATCH($F413,'CAT_CENTROS_COSTO'!$A$4:$A$13,0)),"(sin catálogo)"))</f>
        <v/>
      </c>
      <c r="W413" s="3">
        <f>IF($F413="","",IF((IFERROR(INDEX('CAT_CENTROS_COSTO'!$E$4:$E$13,MATCH($F413,'CAT_CENTROS_COSTO'!$A$4:$A$13,0)),""))&lt;&gt;"",IFERROR(INDEX('CAT_CENTROS_COSTO'!$E$4:$E$13,MATCH($F413,'CAT_CENTROS_COSTO'!$A$4:$A$13,0)),""),$V413))</f>
        <v/>
      </c>
      <c r="X413" s="3">
        <f>IF($F413="","",IFERROR(INDEX('CAT_CENTROS_COSTO'!$G$4:$G$13,MATCH($F413,'CAT_CENTROS_COSTO'!$A$4:$A$13,0)),"(sin catálogo)"))</f>
        <v/>
      </c>
      <c r="Y413" s="3">
        <f>IF($G413="","",IFERROR(INDEX('CAT_PUESTOS'!$B$4:$B$8,MATCH($G413,'CAT_PUESTOS'!$A$4:$A$8,0)),"(sin catálogo)"))</f>
        <v/>
      </c>
      <c r="Z413" s="3">
        <f>IF($H413="","",IFERROR(INDEX('CAT_ACTIVIDADES'!$B$4:$B$8,MATCH($H413,'CAT_ACTIVIDADES'!$A$4:$A$8,0)),"(sin catálogo)"))</f>
        <v/>
      </c>
      <c r="AA413" s="12">
        <f>IF($J413="","",TODAY()-$J413)</f>
        <v/>
      </c>
      <c r="AB413" s="12">
        <f>IF($J413="","",IF($J413&lt;=TODAY(),COUNTIFS(cal_fechas,"&gt;="&amp;$J413,cal_fechas,"&lt;"&amp;TODAY(),cal_habil,"sí"),-COUNTIFS(cal_fechas,"&gt;="&amp;TODAY(),cal_fechas,"&lt;"&amp;$J413,cal_habil,"sí")))</f>
        <v/>
      </c>
      <c r="AC413" s="3">
        <f>IF($AB413="","",IF($AB413&lt;0,"FUTURO",IF($AB413&gt;p_dias_backlog_max,"BACKLOG","MES CORRIENTE")))</f>
        <v/>
      </c>
      <c r="AD413" s="3">
        <f>IF($AB413="",FALSE,AND($AB413&gt;p_dias_backlog_min,$AB413&lt;=p_dias_backlog_max))</f>
        <v/>
      </c>
      <c r="AE413" s="6" t="n"/>
      <c r="AF413" s="3">
        <f>IF($AE413="","",IF((IFERROR(INDEX('ASIGNACIONES'!$F$4:$F$339,MATCH($O413&amp;"|"&amp;$R413&amp;"|"&amp;$AE413,'ASIGNACIONES'!$J$4:$J$339,0)),""))=0,"",IFERROR(INDEX('ASIGNACIONES'!$F$4:$F$339,MATCH($O413&amp;"|"&amp;$R413&amp;"|"&amp;$AE413,'ASIGNACIONES'!$J$4:$J$339,0)),"")))</f>
        <v/>
      </c>
      <c r="AG413" s="13">
        <f>IF($AE413="","",SUMIFS('ORDENES'!$M$4:$M$1203,'ORDENES'!$AE$4:$AE$1203,$AE413,'ORDENES'!$O$4:$O$1203,$O413,'ORDENES'!$R$4:$R$1203,$R413))</f>
        <v/>
      </c>
      <c r="AH413" s="13">
        <f>IF($AG413="","",p_factor_productividad*IFERROR(INDEX('ASIGNACIONES'!$I$4:$I$339,MATCH($O413&amp;"|"&amp;$R413&amp;"|"&amp;$AE413,'ASIGNACIONES'!$J$4:$J$339,0)),0)-$AG413)</f>
        <v/>
      </c>
      <c r="AI413" s="10">
        <f>IF($A413="","",IFERROR(INDEX('2_IMPORTAR_EJECUCION'!$F$9:$F$1208,MATCH($AQ413,'2_IMPORTAR_EJECUCION'!$J$9:$J$1208,0)),0))</f>
        <v/>
      </c>
      <c r="AJ413" s="10">
        <f>IF($A413="","",MAX(0,IFERROR(INDEX('2_IMPORTAR_EJECUCION'!$H$9:$H$1208,MATCH($AQ413,'2_IMPORTAR_EJECUCION'!$J$9:$J$1208,0)),0)-$AI413))</f>
        <v/>
      </c>
      <c r="AK413" s="10">
        <f>IF($A413="","",$AI413+$AJ413)</f>
        <v/>
      </c>
      <c r="AL413" s="6" t="n"/>
      <c r="AM413" s="6" t="n"/>
      <c r="AN413" s="6" t="n"/>
      <c r="AO413" s="3">
        <f>IF($AN413="","",HYPERLINK(p_ruta_base_checklists&amp;$AN413,"abrir"))</f>
        <v/>
      </c>
      <c r="AP413" s="6" t="n"/>
      <c r="AQ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IF($A414="","",IFERROR(INDEX('AJUSTES'!$B$4:$B$303,MATCH($AQ414,'AJUSTES'!$A$4:$A$303,0)),IF($K414="","",$K414)))</f>
        <v/>
      </c>
      <c r="N414" s="3">
        <f>IF($A414="","",IFERROR(INDEX('CAT_ESTADOS_ERP'!$B$4:$B$7,MATCH(IFERROR(INDEX('2_IMPORTAR_EJECUCION'!$C$9:$C$1208,MATCH($AQ414,'2_IMPORTAR_EJECUCION'!$J$9:$J$1208,0)),""),'CAT_ESTADOS_ERP'!$A$4:$A$7,0)),"Pendiente"))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J414="","",IFERROR(INDEX('CALENDARIO'!$C$15:$C$214,MATCH(TEXT($J414,"yyyy-mm-dd")&amp;"|"&amp;$V414&amp;"|"&amp;$W414,'CALENDARIO'!$G$15:$G$214,0)),IFERROR(INDEX('CALENDARIO'!$C$15:$C$214,MATCH(TEXT($J414,"yyyy-mm-dd")&amp;"|"&amp;$V414&amp;"|",'CALENDARIO'!$G$15:$G$214,0)),IFERROR(INDEX('CALENDARIO'!$C$15:$C$214,MATCH(TEXT($J414,"yyyy-mm-dd")&amp;"||",'CALENDARIO'!$G$15:$G$214,0)),INDEX(patronHabil,WEEKDAY($J414,2))))))</f>
        <v/>
      </c>
      <c r="T414" s="3">
        <f>IF($I414="","",IFERROR(INDEX('CAT_TIPOS_OT'!$C$4:$C$7,MATCH($I414,'CAT_TIPOS_OT'!$A$4:$A$7,0)),"sin_clasificar"))</f>
        <v/>
      </c>
      <c r="U414" s="3">
        <f>IF($F414="","",IFERROR(INDEX('CAT_CENTROS_COSTO'!$F$4:$F$13,MATCH($F414,'CAT_CENTROS_COSTO'!$A$4:$A$13,0)),"(sin catálogo)"))</f>
        <v/>
      </c>
      <c r="V414" s="3">
        <f>IF($F414="","",IFERROR(INDEX('CAT_CENTROS_COSTO'!$D$4:$D$13,MATCH($F414,'CAT_CENTROS_COSTO'!$A$4:$A$13,0)),"(sin catálogo)"))</f>
        <v/>
      </c>
      <c r="W414" s="3">
        <f>IF($F414="","",IF((IFERROR(INDEX('CAT_CENTROS_COSTO'!$E$4:$E$13,MATCH($F414,'CAT_CENTROS_COSTO'!$A$4:$A$13,0)),""))&lt;&gt;"",IFERROR(INDEX('CAT_CENTROS_COSTO'!$E$4:$E$13,MATCH($F414,'CAT_CENTROS_COSTO'!$A$4:$A$13,0)),""),$V414))</f>
        <v/>
      </c>
      <c r="X414" s="3">
        <f>IF($F414="","",IFERROR(INDEX('CAT_CENTROS_COSTO'!$G$4:$G$13,MATCH($F414,'CAT_CENTROS_COSTO'!$A$4:$A$13,0)),"(sin catálogo)"))</f>
        <v/>
      </c>
      <c r="Y414" s="3">
        <f>IF($G414="","",IFERROR(INDEX('CAT_PUESTOS'!$B$4:$B$8,MATCH($G414,'CAT_PUESTOS'!$A$4:$A$8,0)),"(sin catálogo)"))</f>
        <v/>
      </c>
      <c r="Z414" s="3">
        <f>IF($H414="","",IFERROR(INDEX('CAT_ACTIVIDADES'!$B$4:$B$8,MATCH($H414,'CAT_ACTIVIDADES'!$A$4:$A$8,0)),"(sin catálogo)"))</f>
        <v/>
      </c>
      <c r="AA414" s="12">
        <f>IF($J414="","",TODAY()-$J414)</f>
        <v/>
      </c>
      <c r="AB414" s="12">
        <f>IF($J414="","",IF($J414&lt;=TODAY(),COUNTIFS(cal_fechas,"&gt;="&amp;$J414,cal_fechas,"&lt;"&amp;TODAY(),cal_habil,"sí"),-COUNTIFS(cal_fechas,"&gt;="&amp;TODAY(),cal_fechas,"&lt;"&amp;$J414,cal_habil,"sí")))</f>
        <v/>
      </c>
      <c r="AC414" s="3">
        <f>IF($AB414="","",IF($AB414&lt;0,"FUTURO",IF($AB414&gt;p_dias_backlog_max,"BACKLOG","MES CORRIENTE")))</f>
        <v/>
      </c>
      <c r="AD414" s="3">
        <f>IF($AB414="",FALSE,AND($AB414&gt;p_dias_backlog_min,$AB414&lt;=p_dias_backlog_max))</f>
        <v/>
      </c>
      <c r="AE414" s="6" t="n"/>
      <c r="AF414" s="3">
        <f>IF($AE414="","",IF((IFERROR(INDEX('ASIGNACIONES'!$F$4:$F$339,MATCH($O414&amp;"|"&amp;$R414&amp;"|"&amp;$AE414,'ASIGNACIONES'!$J$4:$J$339,0)),""))=0,"",IFERROR(INDEX('ASIGNACIONES'!$F$4:$F$339,MATCH($O414&amp;"|"&amp;$R414&amp;"|"&amp;$AE414,'ASIGNACIONES'!$J$4:$J$339,0)),"")))</f>
        <v/>
      </c>
      <c r="AG414" s="13">
        <f>IF($AE414="","",SUMIFS('ORDENES'!$M$4:$M$1203,'ORDENES'!$AE$4:$AE$1203,$AE414,'ORDENES'!$O$4:$O$1203,$O414,'ORDENES'!$R$4:$R$1203,$R414))</f>
        <v/>
      </c>
      <c r="AH414" s="13">
        <f>IF($AG414="","",p_factor_productividad*IFERROR(INDEX('ASIGNACIONES'!$I$4:$I$339,MATCH($O414&amp;"|"&amp;$R414&amp;"|"&amp;$AE414,'ASIGNACIONES'!$J$4:$J$339,0)),0)-$AG414)</f>
        <v/>
      </c>
      <c r="AI414" s="10">
        <f>IF($A414="","",IFERROR(INDEX('2_IMPORTAR_EJECUCION'!$F$9:$F$1208,MATCH($AQ414,'2_IMPORTAR_EJECUCION'!$J$9:$J$1208,0)),0))</f>
        <v/>
      </c>
      <c r="AJ414" s="10">
        <f>IF($A414="","",MAX(0,IFERROR(INDEX('2_IMPORTAR_EJECUCION'!$H$9:$H$1208,MATCH($AQ414,'2_IMPORTAR_EJECUCION'!$J$9:$J$1208,0)),0)-$AI414))</f>
        <v/>
      </c>
      <c r="AK414" s="10">
        <f>IF($A414="","",$AI414+$AJ414)</f>
        <v/>
      </c>
      <c r="AL414" s="6" t="n"/>
      <c r="AM414" s="6" t="n"/>
      <c r="AN414" s="6" t="n"/>
      <c r="AO414" s="3">
        <f>IF($AN414="","",HYPERLINK(p_ruta_base_checklists&amp;$AN414,"abrir"))</f>
        <v/>
      </c>
      <c r="AP414" s="6" t="n"/>
      <c r="AQ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IF($A415="","",IFERROR(INDEX('AJUSTES'!$B$4:$B$303,MATCH($AQ415,'AJUSTES'!$A$4:$A$303,0)),IF($K415="","",$K415)))</f>
        <v/>
      </c>
      <c r="N415" s="3">
        <f>IF($A415="","",IFERROR(INDEX('CAT_ESTADOS_ERP'!$B$4:$B$7,MATCH(IFERROR(INDEX('2_IMPORTAR_EJECUCION'!$C$9:$C$1208,MATCH($AQ415,'2_IMPORTAR_EJECUCION'!$J$9:$J$1208,0)),""),'CAT_ESTADOS_ERP'!$A$4:$A$7,0)),"Pendiente"))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J415="","",IFERROR(INDEX('CALENDARIO'!$C$15:$C$214,MATCH(TEXT($J415,"yyyy-mm-dd")&amp;"|"&amp;$V415&amp;"|"&amp;$W415,'CALENDARIO'!$G$15:$G$214,0)),IFERROR(INDEX('CALENDARIO'!$C$15:$C$214,MATCH(TEXT($J415,"yyyy-mm-dd")&amp;"|"&amp;$V415&amp;"|",'CALENDARIO'!$G$15:$G$214,0)),IFERROR(INDEX('CALENDARIO'!$C$15:$C$214,MATCH(TEXT($J415,"yyyy-mm-dd")&amp;"||",'CALENDARIO'!$G$15:$G$214,0)),INDEX(patronHabil,WEEKDAY($J415,2))))))</f>
        <v/>
      </c>
      <c r="T415" s="3">
        <f>IF($I415="","",IFERROR(INDEX('CAT_TIPOS_OT'!$C$4:$C$7,MATCH($I415,'CAT_TIPOS_OT'!$A$4:$A$7,0)),"sin_clasificar"))</f>
        <v/>
      </c>
      <c r="U415" s="3">
        <f>IF($F415="","",IFERROR(INDEX('CAT_CENTROS_COSTO'!$F$4:$F$13,MATCH($F415,'CAT_CENTROS_COSTO'!$A$4:$A$13,0)),"(sin catálogo)"))</f>
        <v/>
      </c>
      <c r="V415" s="3">
        <f>IF($F415="","",IFERROR(INDEX('CAT_CENTROS_COSTO'!$D$4:$D$13,MATCH($F415,'CAT_CENTROS_COSTO'!$A$4:$A$13,0)),"(sin catálogo)"))</f>
        <v/>
      </c>
      <c r="W415" s="3">
        <f>IF($F415="","",IF((IFERROR(INDEX('CAT_CENTROS_COSTO'!$E$4:$E$13,MATCH($F415,'CAT_CENTROS_COSTO'!$A$4:$A$13,0)),""))&lt;&gt;"",IFERROR(INDEX('CAT_CENTROS_COSTO'!$E$4:$E$13,MATCH($F415,'CAT_CENTROS_COSTO'!$A$4:$A$13,0)),""),$V415))</f>
        <v/>
      </c>
      <c r="X415" s="3">
        <f>IF($F415="","",IFERROR(INDEX('CAT_CENTROS_COSTO'!$G$4:$G$13,MATCH($F415,'CAT_CENTROS_COSTO'!$A$4:$A$13,0)),"(sin catálogo)"))</f>
        <v/>
      </c>
      <c r="Y415" s="3">
        <f>IF($G415="","",IFERROR(INDEX('CAT_PUESTOS'!$B$4:$B$8,MATCH($G415,'CAT_PUESTOS'!$A$4:$A$8,0)),"(sin catálogo)"))</f>
        <v/>
      </c>
      <c r="Z415" s="3">
        <f>IF($H415="","",IFERROR(INDEX('CAT_ACTIVIDADES'!$B$4:$B$8,MATCH($H415,'CAT_ACTIVIDADES'!$A$4:$A$8,0)),"(sin catálogo)"))</f>
        <v/>
      </c>
      <c r="AA415" s="12">
        <f>IF($J415="","",TODAY()-$J415)</f>
        <v/>
      </c>
      <c r="AB415" s="12">
        <f>IF($J415="","",IF($J415&lt;=TODAY(),COUNTIFS(cal_fechas,"&gt;="&amp;$J415,cal_fechas,"&lt;"&amp;TODAY(),cal_habil,"sí"),-COUNTIFS(cal_fechas,"&gt;="&amp;TODAY(),cal_fechas,"&lt;"&amp;$J415,cal_habil,"sí")))</f>
        <v/>
      </c>
      <c r="AC415" s="3">
        <f>IF($AB415="","",IF($AB415&lt;0,"FUTURO",IF($AB415&gt;p_dias_backlog_max,"BACKLOG","MES CORRIENTE")))</f>
        <v/>
      </c>
      <c r="AD415" s="3">
        <f>IF($AB415="",FALSE,AND($AB415&gt;p_dias_backlog_min,$AB415&lt;=p_dias_backlog_max))</f>
        <v/>
      </c>
      <c r="AE415" s="6" t="n"/>
      <c r="AF415" s="3">
        <f>IF($AE415="","",IF((IFERROR(INDEX('ASIGNACIONES'!$F$4:$F$339,MATCH($O415&amp;"|"&amp;$R415&amp;"|"&amp;$AE415,'ASIGNACIONES'!$J$4:$J$339,0)),""))=0,"",IFERROR(INDEX('ASIGNACIONES'!$F$4:$F$339,MATCH($O415&amp;"|"&amp;$R415&amp;"|"&amp;$AE415,'ASIGNACIONES'!$J$4:$J$339,0)),"")))</f>
        <v/>
      </c>
      <c r="AG415" s="13">
        <f>IF($AE415="","",SUMIFS('ORDENES'!$M$4:$M$1203,'ORDENES'!$AE$4:$AE$1203,$AE415,'ORDENES'!$O$4:$O$1203,$O415,'ORDENES'!$R$4:$R$1203,$R415))</f>
        <v/>
      </c>
      <c r="AH415" s="13">
        <f>IF($AG415="","",p_factor_productividad*IFERROR(INDEX('ASIGNACIONES'!$I$4:$I$339,MATCH($O415&amp;"|"&amp;$R415&amp;"|"&amp;$AE415,'ASIGNACIONES'!$J$4:$J$339,0)),0)-$AG415)</f>
        <v/>
      </c>
      <c r="AI415" s="10">
        <f>IF($A415="","",IFERROR(INDEX('2_IMPORTAR_EJECUCION'!$F$9:$F$1208,MATCH($AQ415,'2_IMPORTAR_EJECUCION'!$J$9:$J$1208,0)),0))</f>
        <v/>
      </c>
      <c r="AJ415" s="10">
        <f>IF($A415="","",MAX(0,IFERROR(INDEX('2_IMPORTAR_EJECUCION'!$H$9:$H$1208,MATCH($AQ415,'2_IMPORTAR_EJECUCION'!$J$9:$J$1208,0)),0)-$AI415))</f>
        <v/>
      </c>
      <c r="AK415" s="10">
        <f>IF($A415="","",$AI415+$AJ415)</f>
        <v/>
      </c>
      <c r="AL415" s="6" t="n"/>
      <c r="AM415" s="6" t="n"/>
      <c r="AN415" s="6" t="n"/>
      <c r="AO415" s="3">
        <f>IF($AN415="","",HYPERLINK(p_ruta_base_checklists&amp;$AN415,"abrir"))</f>
        <v/>
      </c>
      <c r="AP415" s="6" t="n"/>
      <c r="AQ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IF($A416="","",IFERROR(INDEX('AJUSTES'!$B$4:$B$303,MATCH($AQ416,'AJUSTES'!$A$4:$A$303,0)),IF($K416="","",$K416)))</f>
        <v/>
      </c>
      <c r="N416" s="3">
        <f>IF($A416="","",IFERROR(INDEX('CAT_ESTADOS_ERP'!$B$4:$B$7,MATCH(IFERROR(INDEX('2_IMPORTAR_EJECUCION'!$C$9:$C$1208,MATCH($AQ416,'2_IMPORTAR_EJECUCION'!$J$9:$J$1208,0)),""),'CAT_ESTADOS_ERP'!$A$4:$A$7,0)),"Pendiente"))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J416="","",IFERROR(INDEX('CALENDARIO'!$C$15:$C$214,MATCH(TEXT($J416,"yyyy-mm-dd")&amp;"|"&amp;$V416&amp;"|"&amp;$W416,'CALENDARIO'!$G$15:$G$214,0)),IFERROR(INDEX('CALENDARIO'!$C$15:$C$214,MATCH(TEXT($J416,"yyyy-mm-dd")&amp;"|"&amp;$V416&amp;"|",'CALENDARIO'!$G$15:$G$214,0)),IFERROR(INDEX('CALENDARIO'!$C$15:$C$214,MATCH(TEXT($J416,"yyyy-mm-dd")&amp;"||",'CALENDARIO'!$G$15:$G$214,0)),INDEX(patronHabil,WEEKDAY($J416,2))))))</f>
        <v/>
      </c>
      <c r="T416" s="3">
        <f>IF($I416="","",IFERROR(INDEX('CAT_TIPOS_OT'!$C$4:$C$7,MATCH($I416,'CAT_TIPOS_OT'!$A$4:$A$7,0)),"sin_clasificar"))</f>
        <v/>
      </c>
      <c r="U416" s="3">
        <f>IF($F416="","",IFERROR(INDEX('CAT_CENTROS_COSTO'!$F$4:$F$13,MATCH($F416,'CAT_CENTROS_COSTO'!$A$4:$A$13,0)),"(sin catálogo)"))</f>
        <v/>
      </c>
      <c r="V416" s="3">
        <f>IF($F416="","",IFERROR(INDEX('CAT_CENTROS_COSTO'!$D$4:$D$13,MATCH($F416,'CAT_CENTROS_COSTO'!$A$4:$A$13,0)),"(sin catálogo)"))</f>
        <v/>
      </c>
      <c r="W416" s="3">
        <f>IF($F416="","",IF((IFERROR(INDEX('CAT_CENTROS_COSTO'!$E$4:$E$13,MATCH($F416,'CAT_CENTROS_COSTO'!$A$4:$A$13,0)),""))&lt;&gt;"",IFERROR(INDEX('CAT_CENTROS_COSTO'!$E$4:$E$13,MATCH($F416,'CAT_CENTROS_COSTO'!$A$4:$A$13,0)),""),$V416))</f>
        <v/>
      </c>
      <c r="X416" s="3">
        <f>IF($F416="","",IFERROR(INDEX('CAT_CENTROS_COSTO'!$G$4:$G$13,MATCH($F416,'CAT_CENTROS_COSTO'!$A$4:$A$13,0)),"(sin catálogo)"))</f>
        <v/>
      </c>
      <c r="Y416" s="3">
        <f>IF($G416="","",IFERROR(INDEX('CAT_PUESTOS'!$B$4:$B$8,MATCH($G416,'CAT_PUESTOS'!$A$4:$A$8,0)),"(sin catálogo)"))</f>
        <v/>
      </c>
      <c r="Z416" s="3">
        <f>IF($H416="","",IFERROR(INDEX('CAT_ACTIVIDADES'!$B$4:$B$8,MATCH($H416,'CAT_ACTIVIDADES'!$A$4:$A$8,0)),"(sin catálogo)"))</f>
        <v/>
      </c>
      <c r="AA416" s="12">
        <f>IF($J416="","",TODAY()-$J416)</f>
        <v/>
      </c>
      <c r="AB416" s="12">
        <f>IF($J416="","",IF($J416&lt;=TODAY(),COUNTIFS(cal_fechas,"&gt;="&amp;$J416,cal_fechas,"&lt;"&amp;TODAY(),cal_habil,"sí"),-COUNTIFS(cal_fechas,"&gt;="&amp;TODAY(),cal_fechas,"&lt;"&amp;$J416,cal_habil,"sí")))</f>
        <v/>
      </c>
      <c r="AC416" s="3">
        <f>IF($AB416="","",IF($AB416&lt;0,"FUTURO",IF($AB416&gt;p_dias_backlog_max,"BACKLOG","MES CORRIENTE")))</f>
        <v/>
      </c>
      <c r="AD416" s="3">
        <f>IF($AB416="",FALSE,AND($AB416&gt;p_dias_backlog_min,$AB416&lt;=p_dias_backlog_max))</f>
        <v/>
      </c>
      <c r="AE416" s="6" t="n"/>
      <c r="AF416" s="3">
        <f>IF($AE416="","",IF((IFERROR(INDEX('ASIGNACIONES'!$F$4:$F$339,MATCH($O416&amp;"|"&amp;$R416&amp;"|"&amp;$AE416,'ASIGNACIONES'!$J$4:$J$339,0)),""))=0,"",IFERROR(INDEX('ASIGNACIONES'!$F$4:$F$339,MATCH($O416&amp;"|"&amp;$R416&amp;"|"&amp;$AE416,'ASIGNACIONES'!$J$4:$J$339,0)),"")))</f>
        <v/>
      </c>
      <c r="AG416" s="13">
        <f>IF($AE416="","",SUMIFS('ORDENES'!$M$4:$M$1203,'ORDENES'!$AE$4:$AE$1203,$AE416,'ORDENES'!$O$4:$O$1203,$O416,'ORDENES'!$R$4:$R$1203,$R416))</f>
        <v/>
      </c>
      <c r="AH416" s="13">
        <f>IF($AG416="","",p_factor_productividad*IFERROR(INDEX('ASIGNACIONES'!$I$4:$I$339,MATCH($O416&amp;"|"&amp;$R416&amp;"|"&amp;$AE416,'ASIGNACIONES'!$J$4:$J$339,0)),0)-$AG416)</f>
        <v/>
      </c>
      <c r="AI416" s="10">
        <f>IF($A416="","",IFERROR(INDEX('2_IMPORTAR_EJECUCION'!$F$9:$F$1208,MATCH($AQ416,'2_IMPORTAR_EJECUCION'!$J$9:$J$1208,0)),0))</f>
        <v/>
      </c>
      <c r="AJ416" s="10">
        <f>IF($A416="","",MAX(0,IFERROR(INDEX('2_IMPORTAR_EJECUCION'!$H$9:$H$1208,MATCH($AQ416,'2_IMPORTAR_EJECUCION'!$J$9:$J$1208,0)),0)-$AI416))</f>
        <v/>
      </c>
      <c r="AK416" s="10">
        <f>IF($A416="","",$AI416+$AJ416)</f>
        <v/>
      </c>
      <c r="AL416" s="6" t="n"/>
      <c r="AM416" s="6" t="n"/>
      <c r="AN416" s="6" t="n"/>
      <c r="AO416" s="3">
        <f>IF($AN416="","",HYPERLINK(p_ruta_base_checklists&amp;$AN416,"abrir"))</f>
        <v/>
      </c>
      <c r="AP416" s="6" t="n"/>
      <c r="AQ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IF($A417="","",IFERROR(INDEX('AJUSTES'!$B$4:$B$303,MATCH($AQ417,'AJUSTES'!$A$4:$A$303,0)),IF($K417="","",$K417)))</f>
        <v/>
      </c>
      <c r="N417" s="3">
        <f>IF($A417="","",IFERROR(INDEX('CAT_ESTADOS_ERP'!$B$4:$B$7,MATCH(IFERROR(INDEX('2_IMPORTAR_EJECUCION'!$C$9:$C$1208,MATCH($AQ417,'2_IMPORTAR_EJECUCION'!$J$9:$J$1208,0)),""),'CAT_ESTADOS_ERP'!$A$4:$A$7,0)),"Pendiente"))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J417="","",IFERROR(INDEX('CALENDARIO'!$C$15:$C$214,MATCH(TEXT($J417,"yyyy-mm-dd")&amp;"|"&amp;$V417&amp;"|"&amp;$W417,'CALENDARIO'!$G$15:$G$214,0)),IFERROR(INDEX('CALENDARIO'!$C$15:$C$214,MATCH(TEXT($J417,"yyyy-mm-dd")&amp;"|"&amp;$V417&amp;"|",'CALENDARIO'!$G$15:$G$214,0)),IFERROR(INDEX('CALENDARIO'!$C$15:$C$214,MATCH(TEXT($J417,"yyyy-mm-dd")&amp;"||",'CALENDARIO'!$G$15:$G$214,0)),INDEX(patronHabil,WEEKDAY($J417,2))))))</f>
        <v/>
      </c>
      <c r="T417" s="3">
        <f>IF($I417="","",IFERROR(INDEX('CAT_TIPOS_OT'!$C$4:$C$7,MATCH($I417,'CAT_TIPOS_OT'!$A$4:$A$7,0)),"sin_clasificar"))</f>
        <v/>
      </c>
      <c r="U417" s="3">
        <f>IF($F417="","",IFERROR(INDEX('CAT_CENTROS_COSTO'!$F$4:$F$13,MATCH($F417,'CAT_CENTROS_COSTO'!$A$4:$A$13,0)),"(sin catálogo)"))</f>
        <v/>
      </c>
      <c r="V417" s="3">
        <f>IF($F417="","",IFERROR(INDEX('CAT_CENTROS_COSTO'!$D$4:$D$13,MATCH($F417,'CAT_CENTROS_COSTO'!$A$4:$A$13,0)),"(sin catálogo)"))</f>
        <v/>
      </c>
      <c r="W417" s="3">
        <f>IF($F417="","",IF((IFERROR(INDEX('CAT_CENTROS_COSTO'!$E$4:$E$13,MATCH($F417,'CAT_CENTROS_COSTO'!$A$4:$A$13,0)),""))&lt;&gt;"",IFERROR(INDEX('CAT_CENTROS_COSTO'!$E$4:$E$13,MATCH($F417,'CAT_CENTROS_COSTO'!$A$4:$A$13,0)),""),$V417))</f>
        <v/>
      </c>
      <c r="X417" s="3">
        <f>IF($F417="","",IFERROR(INDEX('CAT_CENTROS_COSTO'!$G$4:$G$13,MATCH($F417,'CAT_CENTROS_COSTO'!$A$4:$A$13,0)),"(sin catálogo)"))</f>
        <v/>
      </c>
      <c r="Y417" s="3">
        <f>IF($G417="","",IFERROR(INDEX('CAT_PUESTOS'!$B$4:$B$8,MATCH($G417,'CAT_PUESTOS'!$A$4:$A$8,0)),"(sin catálogo)"))</f>
        <v/>
      </c>
      <c r="Z417" s="3">
        <f>IF($H417="","",IFERROR(INDEX('CAT_ACTIVIDADES'!$B$4:$B$8,MATCH($H417,'CAT_ACTIVIDADES'!$A$4:$A$8,0)),"(sin catálogo)"))</f>
        <v/>
      </c>
      <c r="AA417" s="12">
        <f>IF($J417="","",TODAY()-$J417)</f>
        <v/>
      </c>
      <c r="AB417" s="12">
        <f>IF($J417="","",IF($J417&lt;=TODAY(),COUNTIFS(cal_fechas,"&gt;="&amp;$J417,cal_fechas,"&lt;"&amp;TODAY(),cal_habil,"sí"),-COUNTIFS(cal_fechas,"&gt;="&amp;TODAY(),cal_fechas,"&lt;"&amp;$J417,cal_habil,"sí")))</f>
        <v/>
      </c>
      <c r="AC417" s="3">
        <f>IF($AB417="","",IF($AB417&lt;0,"FUTURO",IF($AB417&gt;p_dias_backlog_max,"BACKLOG","MES CORRIENTE")))</f>
        <v/>
      </c>
      <c r="AD417" s="3">
        <f>IF($AB417="",FALSE,AND($AB417&gt;p_dias_backlog_min,$AB417&lt;=p_dias_backlog_max))</f>
        <v/>
      </c>
      <c r="AE417" s="6" t="n"/>
      <c r="AF417" s="3">
        <f>IF($AE417="","",IF((IFERROR(INDEX('ASIGNACIONES'!$F$4:$F$339,MATCH($O417&amp;"|"&amp;$R417&amp;"|"&amp;$AE417,'ASIGNACIONES'!$J$4:$J$339,0)),""))=0,"",IFERROR(INDEX('ASIGNACIONES'!$F$4:$F$339,MATCH($O417&amp;"|"&amp;$R417&amp;"|"&amp;$AE417,'ASIGNACIONES'!$J$4:$J$339,0)),"")))</f>
        <v/>
      </c>
      <c r="AG417" s="13">
        <f>IF($AE417="","",SUMIFS('ORDENES'!$M$4:$M$1203,'ORDENES'!$AE$4:$AE$1203,$AE417,'ORDENES'!$O$4:$O$1203,$O417,'ORDENES'!$R$4:$R$1203,$R417))</f>
        <v/>
      </c>
      <c r="AH417" s="13">
        <f>IF($AG417="","",p_factor_productividad*IFERROR(INDEX('ASIGNACIONES'!$I$4:$I$339,MATCH($O417&amp;"|"&amp;$R417&amp;"|"&amp;$AE417,'ASIGNACIONES'!$J$4:$J$339,0)),0)-$AG417)</f>
        <v/>
      </c>
      <c r="AI417" s="10">
        <f>IF($A417="","",IFERROR(INDEX('2_IMPORTAR_EJECUCION'!$F$9:$F$1208,MATCH($AQ417,'2_IMPORTAR_EJECUCION'!$J$9:$J$1208,0)),0))</f>
        <v/>
      </c>
      <c r="AJ417" s="10">
        <f>IF($A417="","",MAX(0,IFERROR(INDEX('2_IMPORTAR_EJECUCION'!$H$9:$H$1208,MATCH($AQ417,'2_IMPORTAR_EJECUCION'!$J$9:$J$1208,0)),0)-$AI417))</f>
        <v/>
      </c>
      <c r="AK417" s="10">
        <f>IF($A417="","",$AI417+$AJ417)</f>
        <v/>
      </c>
      <c r="AL417" s="6" t="n"/>
      <c r="AM417" s="6" t="n"/>
      <c r="AN417" s="6" t="n"/>
      <c r="AO417" s="3">
        <f>IF($AN417="","",HYPERLINK(p_ruta_base_checklists&amp;$AN417,"abrir"))</f>
        <v/>
      </c>
      <c r="AP417" s="6" t="n"/>
      <c r="AQ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IF($A418="","",IFERROR(INDEX('AJUSTES'!$B$4:$B$303,MATCH($AQ418,'AJUSTES'!$A$4:$A$303,0)),IF($K418="","",$K418)))</f>
        <v/>
      </c>
      <c r="N418" s="3">
        <f>IF($A418="","",IFERROR(INDEX('CAT_ESTADOS_ERP'!$B$4:$B$7,MATCH(IFERROR(INDEX('2_IMPORTAR_EJECUCION'!$C$9:$C$1208,MATCH($AQ418,'2_IMPORTAR_EJECUCION'!$J$9:$J$1208,0)),""),'CAT_ESTADOS_ERP'!$A$4:$A$7,0)),"Pendiente"))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J418="","",IFERROR(INDEX('CALENDARIO'!$C$15:$C$214,MATCH(TEXT($J418,"yyyy-mm-dd")&amp;"|"&amp;$V418&amp;"|"&amp;$W418,'CALENDARIO'!$G$15:$G$214,0)),IFERROR(INDEX('CALENDARIO'!$C$15:$C$214,MATCH(TEXT($J418,"yyyy-mm-dd")&amp;"|"&amp;$V418&amp;"|",'CALENDARIO'!$G$15:$G$214,0)),IFERROR(INDEX('CALENDARIO'!$C$15:$C$214,MATCH(TEXT($J418,"yyyy-mm-dd")&amp;"||",'CALENDARIO'!$G$15:$G$214,0)),INDEX(patronHabil,WEEKDAY($J418,2))))))</f>
        <v/>
      </c>
      <c r="T418" s="3">
        <f>IF($I418="","",IFERROR(INDEX('CAT_TIPOS_OT'!$C$4:$C$7,MATCH($I418,'CAT_TIPOS_OT'!$A$4:$A$7,0)),"sin_clasificar"))</f>
        <v/>
      </c>
      <c r="U418" s="3">
        <f>IF($F418="","",IFERROR(INDEX('CAT_CENTROS_COSTO'!$F$4:$F$13,MATCH($F418,'CAT_CENTROS_COSTO'!$A$4:$A$13,0)),"(sin catálogo)"))</f>
        <v/>
      </c>
      <c r="V418" s="3">
        <f>IF($F418="","",IFERROR(INDEX('CAT_CENTROS_COSTO'!$D$4:$D$13,MATCH($F418,'CAT_CENTROS_COSTO'!$A$4:$A$13,0)),"(sin catálogo)"))</f>
        <v/>
      </c>
      <c r="W418" s="3">
        <f>IF($F418="","",IF((IFERROR(INDEX('CAT_CENTROS_COSTO'!$E$4:$E$13,MATCH($F418,'CAT_CENTROS_COSTO'!$A$4:$A$13,0)),""))&lt;&gt;"",IFERROR(INDEX('CAT_CENTROS_COSTO'!$E$4:$E$13,MATCH($F418,'CAT_CENTROS_COSTO'!$A$4:$A$13,0)),""),$V418))</f>
        <v/>
      </c>
      <c r="X418" s="3">
        <f>IF($F418="","",IFERROR(INDEX('CAT_CENTROS_COSTO'!$G$4:$G$13,MATCH($F418,'CAT_CENTROS_COSTO'!$A$4:$A$13,0)),"(sin catálogo)"))</f>
        <v/>
      </c>
      <c r="Y418" s="3">
        <f>IF($G418="","",IFERROR(INDEX('CAT_PUESTOS'!$B$4:$B$8,MATCH($G418,'CAT_PUESTOS'!$A$4:$A$8,0)),"(sin catálogo)"))</f>
        <v/>
      </c>
      <c r="Z418" s="3">
        <f>IF($H418="","",IFERROR(INDEX('CAT_ACTIVIDADES'!$B$4:$B$8,MATCH($H418,'CAT_ACTIVIDADES'!$A$4:$A$8,0)),"(sin catálogo)"))</f>
        <v/>
      </c>
      <c r="AA418" s="12">
        <f>IF($J418="","",TODAY()-$J418)</f>
        <v/>
      </c>
      <c r="AB418" s="12">
        <f>IF($J418="","",IF($J418&lt;=TODAY(),COUNTIFS(cal_fechas,"&gt;="&amp;$J418,cal_fechas,"&lt;"&amp;TODAY(),cal_habil,"sí"),-COUNTIFS(cal_fechas,"&gt;="&amp;TODAY(),cal_fechas,"&lt;"&amp;$J418,cal_habil,"sí")))</f>
        <v/>
      </c>
      <c r="AC418" s="3">
        <f>IF($AB418="","",IF($AB418&lt;0,"FUTURO",IF($AB418&gt;p_dias_backlog_max,"BACKLOG","MES CORRIENTE")))</f>
        <v/>
      </c>
      <c r="AD418" s="3">
        <f>IF($AB418="",FALSE,AND($AB418&gt;p_dias_backlog_min,$AB418&lt;=p_dias_backlog_max))</f>
        <v/>
      </c>
      <c r="AE418" s="6" t="n"/>
      <c r="AF418" s="3">
        <f>IF($AE418="","",IF((IFERROR(INDEX('ASIGNACIONES'!$F$4:$F$339,MATCH($O418&amp;"|"&amp;$R418&amp;"|"&amp;$AE418,'ASIGNACIONES'!$J$4:$J$339,0)),""))=0,"",IFERROR(INDEX('ASIGNACIONES'!$F$4:$F$339,MATCH($O418&amp;"|"&amp;$R418&amp;"|"&amp;$AE418,'ASIGNACIONES'!$J$4:$J$339,0)),"")))</f>
        <v/>
      </c>
      <c r="AG418" s="13">
        <f>IF($AE418="","",SUMIFS('ORDENES'!$M$4:$M$1203,'ORDENES'!$AE$4:$AE$1203,$AE418,'ORDENES'!$O$4:$O$1203,$O418,'ORDENES'!$R$4:$R$1203,$R418))</f>
        <v/>
      </c>
      <c r="AH418" s="13">
        <f>IF($AG418="","",p_factor_productividad*IFERROR(INDEX('ASIGNACIONES'!$I$4:$I$339,MATCH($O418&amp;"|"&amp;$R418&amp;"|"&amp;$AE418,'ASIGNACIONES'!$J$4:$J$339,0)),0)-$AG418)</f>
        <v/>
      </c>
      <c r="AI418" s="10">
        <f>IF($A418="","",IFERROR(INDEX('2_IMPORTAR_EJECUCION'!$F$9:$F$1208,MATCH($AQ418,'2_IMPORTAR_EJECUCION'!$J$9:$J$1208,0)),0))</f>
        <v/>
      </c>
      <c r="AJ418" s="10">
        <f>IF($A418="","",MAX(0,IFERROR(INDEX('2_IMPORTAR_EJECUCION'!$H$9:$H$1208,MATCH($AQ418,'2_IMPORTAR_EJECUCION'!$J$9:$J$1208,0)),0)-$AI418))</f>
        <v/>
      </c>
      <c r="AK418" s="10">
        <f>IF($A418="","",$AI418+$AJ418)</f>
        <v/>
      </c>
      <c r="AL418" s="6" t="n"/>
      <c r="AM418" s="6" t="n"/>
      <c r="AN418" s="6" t="n"/>
      <c r="AO418" s="3">
        <f>IF($AN418="","",HYPERLINK(p_ruta_base_checklists&amp;$AN418,"abrir"))</f>
        <v/>
      </c>
      <c r="AP418" s="6" t="n"/>
      <c r="AQ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IF($A419="","",IFERROR(INDEX('AJUSTES'!$B$4:$B$303,MATCH($AQ419,'AJUSTES'!$A$4:$A$303,0)),IF($K419="","",$K419)))</f>
        <v/>
      </c>
      <c r="N419" s="3">
        <f>IF($A419="","",IFERROR(INDEX('CAT_ESTADOS_ERP'!$B$4:$B$7,MATCH(IFERROR(INDEX('2_IMPORTAR_EJECUCION'!$C$9:$C$1208,MATCH($AQ419,'2_IMPORTAR_EJECUCION'!$J$9:$J$1208,0)),""),'CAT_ESTADOS_ERP'!$A$4:$A$7,0)),"Pendiente"))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J419="","",IFERROR(INDEX('CALENDARIO'!$C$15:$C$214,MATCH(TEXT($J419,"yyyy-mm-dd")&amp;"|"&amp;$V419&amp;"|"&amp;$W419,'CALENDARIO'!$G$15:$G$214,0)),IFERROR(INDEX('CALENDARIO'!$C$15:$C$214,MATCH(TEXT($J419,"yyyy-mm-dd")&amp;"|"&amp;$V419&amp;"|",'CALENDARIO'!$G$15:$G$214,0)),IFERROR(INDEX('CALENDARIO'!$C$15:$C$214,MATCH(TEXT($J419,"yyyy-mm-dd")&amp;"||",'CALENDARIO'!$G$15:$G$214,0)),INDEX(patronHabil,WEEKDAY($J419,2))))))</f>
        <v/>
      </c>
      <c r="T419" s="3">
        <f>IF($I419="","",IFERROR(INDEX('CAT_TIPOS_OT'!$C$4:$C$7,MATCH($I419,'CAT_TIPOS_OT'!$A$4:$A$7,0)),"sin_clasificar"))</f>
        <v/>
      </c>
      <c r="U419" s="3">
        <f>IF($F419="","",IFERROR(INDEX('CAT_CENTROS_COSTO'!$F$4:$F$13,MATCH($F419,'CAT_CENTROS_COSTO'!$A$4:$A$13,0)),"(sin catálogo)"))</f>
        <v/>
      </c>
      <c r="V419" s="3">
        <f>IF($F419="","",IFERROR(INDEX('CAT_CENTROS_COSTO'!$D$4:$D$13,MATCH($F419,'CAT_CENTROS_COSTO'!$A$4:$A$13,0)),"(sin catálogo)"))</f>
        <v/>
      </c>
      <c r="W419" s="3">
        <f>IF($F419="","",IF((IFERROR(INDEX('CAT_CENTROS_COSTO'!$E$4:$E$13,MATCH($F419,'CAT_CENTROS_COSTO'!$A$4:$A$13,0)),""))&lt;&gt;"",IFERROR(INDEX('CAT_CENTROS_COSTO'!$E$4:$E$13,MATCH($F419,'CAT_CENTROS_COSTO'!$A$4:$A$13,0)),""),$V419))</f>
        <v/>
      </c>
      <c r="X419" s="3">
        <f>IF($F419="","",IFERROR(INDEX('CAT_CENTROS_COSTO'!$G$4:$G$13,MATCH($F419,'CAT_CENTROS_COSTO'!$A$4:$A$13,0)),"(sin catálogo)"))</f>
        <v/>
      </c>
      <c r="Y419" s="3">
        <f>IF($G419="","",IFERROR(INDEX('CAT_PUESTOS'!$B$4:$B$8,MATCH($G419,'CAT_PUESTOS'!$A$4:$A$8,0)),"(sin catálogo)"))</f>
        <v/>
      </c>
      <c r="Z419" s="3">
        <f>IF($H419="","",IFERROR(INDEX('CAT_ACTIVIDADES'!$B$4:$B$8,MATCH($H419,'CAT_ACTIVIDADES'!$A$4:$A$8,0)),"(sin catálogo)"))</f>
        <v/>
      </c>
      <c r="AA419" s="12">
        <f>IF($J419="","",TODAY()-$J419)</f>
        <v/>
      </c>
      <c r="AB419" s="12">
        <f>IF($J419="","",IF($J419&lt;=TODAY(),COUNTIFS(cal_fechas,"&gt;="&amp;$J419,cal_fechas,"&lt;"&amp;TODAY(),cal_habil,"sí"),-COUNTIFS(cal_fechas,"&gt;="&amp;TODAY(),cal_fechas,"&lt;"&amp;$J419,cal_habil,"sí")))</f>
        <v/>
      </c>
      <c r="AC419" s="3">
        <f>IF($AB419="","",IF($AB419&lt;0,"FUTURO",IF($AB419&gt;p_dias_backlog_max,"BACKLOG","MES CORRIENTE")))</f>
        <v/>
      </c>
      <c r="AD419" s="3">
        <f>IF($AB419="",FALSE,AND($AB419&gt;p_dias_backlog_min,$AB419&lt;=p_dias_backlog_max))</f>
        <v/>
      </c>
      <c r="AE419" s="6" t="n"/>
      <c r="AF419" s="3">
        <f>IF($AE419="","",IF((IFERROR(INDEX('ASIGNACIONES'!$F$4:$F$339,MATCH($O419&amp;"|"&amp;$R419&amp;"|"&amp;$AE419,'ASIGNACIONES'!$J$4:$J$339,0)),""))=0,"",IFERROR(INDEX('ASIGNACIONES'!$F$4:$F$339,MATCH($O419&amp;"|"&amp;$R419&amp;"|"&amp;$AE419,'ASIGNACIONES'!$J$4:$J$339,0)),"")))</f>
        <v/>
      </c>
      <c r="AG419" s="13">
        <f>IF($AE419="","",SUMIFS('ORDENES'!$M$4:$M$1203,'ORDENES'!$AE$4:$AE$1203,$AE419,'ORDENES'!$O$4:$O$1203,$O419,'ORDENES'!$R$4:$R$1203,$R419))</f>
        <v/>
      </c>
      <c r="AH419" s="13">
        <f>IF($AG419="","",p_factor_productividad*IFERROR(INDEX('ASIGNACIONES'!$I$4:$I$339,MATCH($O419&amp;"|"&amp;$R419&amp;"|"&amp;$AE419,'ASIGNACIONES'!$J$4:$J$339,0)),0)-$AG419)</f>
        <v/>
      </c>
      <c r="AI419" s="10">
        <f>IF($A419="","",IFERROR(INDEX('2_IMPORTAR_EJECUCION'!$F$9:$F$1208,MATCH($AQ419,'2_IMPORTAR_EJECUCION'!$J$9:$J$1208,0)),0))</f>
        <v/>
      </c>
      <c r="AJ419" s="10">
        <f>IF($A419="","",MAX(0,IFERROR(INDEX('2_IMPORTAR_EJECUCION'!$H$9:$H$1208,MATCH($AQ419,'2_IMPORTAR_EJECUCION'!$J$9:$J$1208,0)),0)-$AI419))</f>
        <v/>
      </c>
      <c r="AK419" s="10">
        <f>IF($A419="","",$AI419+$AJ419)</f>
        <v/>
      </c>
      <c r="AL419" s="6" t="n"/>
      <c r="AM419" s="6" t="n"/>
      <c r="AN419" s="6" t="n"/>
      <c r="AO419" s="3">
        <f>IF($AN419="","",HYPERLINK(p_ruta_base_checklists&amp;$AN419,"abrir"))</f>
        <v/>
      </c>
      <c r="AP419" s="6" t="n"/>
      <c r="AQ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IF($A420="","",IFERROR(INDEX('AJUSTES'!$B$4:$B$303,MATCH($AQ420,'AJUSTES'!$A$4:$A$303,0)),IF($K420="","",$K420)))</f>
        <v/>
      </c>
      <c r="N420" s="3">
        <f>IF($A420="","",IFERROR(INDEX('CAT_ESTADOS_ERP'!$B$4:$B$7,MATCH(IFERROR(INDEX('2_IMPORTAR_EJECUCION'!$C$9:$C$1208,MATCH($AQ420,'2_IMPORTAR_EJECUCION'!$J$9:$J$1208,0)),""),'CAT_ESTADOS_ERP'!$A$4:$A$7,0)),"Pendiente"))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J420="","",IFERROR(INDEX('CALENDARIO'!$C$15:$C$214,MATCH(TEXT($J420,"yyyy-mm-dd")&amp;"|"&amp;$V420&amp;"|"&amp;$W420,'CALENDARIO'!$G$15:$G$214,0)),IFERROR(INDEX('CALENDARIO'!$C$15:$C$214,MATCH(TEXT($J420,"yyyy-mm-dd")&amp;"|"&amp;$V420&amp;"|",'CALENDARIO'!$G$15:$G$214,0)),IFERROR(INDEX('CALENDARIO'!$C$15:$C$214,MATCH(TEXT($J420,"yyyy-mm-dd")&amp;"||",'CALENDARIO'!$G$15:$G$214,0)),INDEX(patronHabil,WEEKDAY($J420,2))))))</f>
        <v/>
      </c>
      <c r="T420" s="3">
        <f>IF($I420="","",IFERROR(INDEX('CAT_TIPOS_OT'!$C$4:$C$7,MATCH($I420,'CAT_TIPOS_OT'!$A$4:$A$7,0)),"sin_clasificar"))</f>
        <v/>
      </c>
      <c r="U420" s="3">
        <f>IF($F420="","",IFERROR(INDEX('CAT_CENTROS_COSTO'!$F$4:$F$13,MATCH($F420,'CAT_CENTROS_COSTO'!$A$4:$A$13,0)),"(sin catálogo)"))</f>
        <v/>
      </c>
      <c r="V420" s="3">
        <f>IF($F420="","",IFERROR(INDEX('CAT_CENTROS_COSTO'!$D$4:$D$13,MATCH($F420,'CAT_CENTROS_COSTO'!$A$4:$A$13,0)),"(sin catálogo)"))</f>
        <v/>
      </c>
      <c r="W420" s="3">
        <f>IF($F420="","",IF((IFERROR(INDEX('CAT_CENTROS_COSTO'!$E$4:$E$13,MATCH($F420,'CAT_CENTROS_COSTO'!$A$4:$A$13,0)),""))&lt;&gt;"",IFERROR(INDEX('CAT_CENTROS_COSTO'!$E$4:$E$13,MATCH($F420,'CAT_CENTROS_COSTO'!$A$4:$A$13,0)),""),$V420))</f>
        <v/>
      </c>
      <c r="X420" s="3">
        <f>IF($F420="","",IFERROR(INDEX('CAT_CENTROS_COSTO'!$G$4:$G$13,MATCH($F420,'CAT_CENTROS_COSTO'!$A$4:$A$13,0)),"(sin catálogo)"))</f>
        <v/>
      </c>
      <c r="Y420" s="3">
        <f>IF($G420="","",IFERROR(INDEX('CAT_PUESTOS'!$B$4:$B$8,MATCH($G420,'CAT_PUESTOS'!$A$4:$A$8,0)),"(sin catálogo)"))</f>
        <v/>
      </c>
      <c r="Z420" s="3">
        <f>IF($H420="","",IFERROR(INDEX('CAT_ACTIVIDADES'!$B$4:$B$8,MATCH($H420,'CAT_ACTIVIDADES'!$A$4:$A$8,0)),"(sin catálogo)"))</f>
        <v/>
      </c>
      <c r="AA420" s="12">
        <f>IF($J420="","",TODAY()-$J420)</f>
        <v/>
      </c>
      <c r="AB420" s="12">
        <f>IF($J420="","",IF($J420&lt;=TODAY(),COUNTIFS(cal_fechas,"&gt;="&amp;$J420,cal_fechas,"&lt;"&amp;TODAY(),cal_habil,"sí"),-COUNTIFS(cal_fechas,"&gt;="&amp;TODAY(),cal_fechas,"&lt;"&amp;$J420,cal_habil,"sí")))</f>
        <v/>
      </c>
      <c r="AC420" s="3">
        <f>IF($AB420="","",IF($AB420&lt;0,"FUTURO",IF($AB420&gt;p_dias_backlog_max,"BACKLOG","MES CORRIENTE")))</f>
        <v/>
      </c>
      <c r="AD420" s="3">
        <f>IF($AB420="",FALSE,AND($AB420&gt;p_dias_backlog_min,$AB420&lt;=p_dias_backlog_max))</f>
        <v/>
      </c>
      <c r="AE420" s="6" t="n"/>
      <c r="AF420" s="3">
        <f>IF($AE420="","",IF((IFERROR(INDEX('ASIGNACIONES'!$F$4:$F$339,MATCH($O420&amp;"|"&amp;$R420&amp;"|"&amp;$AE420,'ASIGNACIONES'!$J$4:$J$339,0)),""))=0,"",IFERROR(INDEX('ASIGNACIONES'!$F$4:$F$339,MATCH($O420&amp;"|"&amp;$R420&amp;"|"&amp;$AE420,'ASIGNACIONES'!$J$4:$J$339,0)),"")))</f>
        <v/>
      </c>
      <c r="AG420" s="13">
        <f>IF($AE420="","",SUMIFS('ORDENES'!$M$4:$M$1203,'ORDENES'!$AE$4:$AE$1203,$AE420,'ORDENES'!$O$4:$O$1203,$O420,'ORDENES'!$R$4:$R$1203,$R420))</f>
        <v/>
      </c>
      <c r="AH420" s="13">
        <f>IF($AG420="","",p_factor_productividad*IFERROR(INDEX('ASIGNACIONES'!$I$4:$I$339,MATCH($O420&amp;"|"&amp;$R420&amp;"|"&amp;$AE420,'ASIGNACIONES'!$J$4:$J$339,0)),0)-$AG420)</f>
        <v/>
      </c>
      <c r="AI420" s="10">
        <f>IF($A420="","",IFERROR(INDEX('2_IMPORTAR_EJECUCION'!$F$9:$F$1208,MATCH($AQ420,'2_IMPORTAR_EJECUCION'!$J$9:$J$1208,0)),0))</f>
        <v/>
      </c>
      <c r="AJ420" s="10">
        <f>IF($A420="","",MAX(0,IFERROR(INDEX('2_IMPORTAR_EJECUCION'!$H$9:$H$1208,MATCH($AQ420,'2_IMPORTAR_EJECUCION'!$J$9:$J$1208,0)),0)-$AI420))</f>
        <v/>
      </c>
      <c r="AK420" s="10">
        <f>IF($A420="","",$AI420+$AJ420)</f>
        <v/>
      </c>
      <c r="AL420" s="6" t="n"/>
      <c r="AM420" s="6" t="n"/>
      <c r="AN420" s="6" t="n"/>
      <c r="AO420" s="3">
        <f>IF($AN420="","",HYPERLINK(p_ruta_base_checklists&amp;$AN420,"abrir"))</f>
        <v/>
      </c>
      <c r="AP420" s="6" t="n"/>
      <c r="AQ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IF($A421="","",IFERROR(INDEX('AJUSTES'!$B$4:$B$303,MATCH($AQ421,'AJUSTES'!$A$4:$A$303,0)),IF($K421="","",$K421)))</f>
        <v/>
      </c>
      <c r="N421" s="3">
        <f>IF($A421="","",IFERROR(INDEX('CAT_ESTADOS_ERP'!$B$4:$B$7,MATCH(IFERROR(INDEX('2_IMPORTAR_EJECUCION'!$C$9:$C$1208,MATCH($AQ421,'2_IMPORTAR_EJECUCION'!$J$9:$J$1208,0)),""),'CAT_ESTADOS_ERP'!$A$4:$A$7,0)),"Pendiente"))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J421="","",IFERROR(INDEX('CALENDARIO'!$C$15:$C$214,MATCH(TEXT($J421,"yyyy-mm-dd")&amp;"|"&amp;$V421&amp;"|"&amp;$W421,'CALENDARIO'!$G$15:$G$214,0)),IFERROR(INDEX('CALENDARIO'!$C$15:$C$214,MATCH(TEXT($J421,"yyyy-mm-dd")&amp;"|"&amp;$V421&amp;"|",'CALENDARIO'!$G$15:$G$214,0)),IFERROR(INDEX('CALENDARIO'!$C$15:$C$214,MATCH(TEXT($J421,"yyyy-mm-dd")&amp;"||",'CALENDARIO'!$G$15:$G$214,0)),INDEX(patronHabil,WEEKDAY($J421,2))))))</f>
        <v/>
      </c>
      <c r="T421" s="3">
        <f>IF($I421="","",IFERROR(INDEX('CAT_TIPOS_OT'!$C$4:$C$7,MATCH($I421,'CAT_TIPOS_OT'!$A$4:$A$7,0)),"sin_clasificar"))</f>
        <v/>
      </c>
      <c r="U421" s="3">
        <f>IF($F421="","",IFERROR(INDEX('CAT_CENTROS_COSTO'!$F$4:$F$13,MATCH($F421,'CAT_CENTROS_COSTO'!$A$4:$A$13,0)),"(sin catálogo)"))</f>
        <v/>
      </c>
      <c r="V421" s="3">
        <f>IF($F421="","",IFERROR(INDEX('CAT_CENTROS_COSTO'!$D$4:$D$13,MATCH($F421,'CAT_CENTROS_COSTO'!$A$4:$A$13,0)),"(sin catálogo)"))</f>
        <v/>
      </c>
      <c r="W421" s="3">
        <f>IF($F421="","",IF((IFERROR(INDEX('CAT_CENTROS_COSTO'!$E$4:$E$13,MATCH($F421,'CAT_CENTROS_COSTO'!$A$4:$A$13,0)),""))&lt;&gt;"",IFERROR(INDEX('CAT_CENTROS_COSTO'!$E$4:$E$13,MATCH($F421,'CAT_CENTROS_COSTO'!$A$4:$A$13,0)),""),$V421))</f>
        <v/>
      </c>
      <c r="X421" s="3">
        <f>IF($F421="","",IFERROR(INDEX('CAT_CENTROS_COSTO'!$G$4:$G$13,MATCH($F421,'CAT_CENTROS_COSTO'!$A$4:$A$13,0)),"(sin catálogo)"))</f>
        <v/>
      </c>
      <c r="Y421" s="3">
        <f>IF($G421="","",IFERROR(INDEX('CAT_PUESTOS'!$B$4:$B$8,MATCH($G421,'CAT_PUESTOS'!$A$4:$A$8,0)),"(sin catálogo)"))</f>
        <v/>
      </c>
      <c r="Z421" s="3">
        <f>IF($H421="","",IFERROR(INDEX('CAT_ACTIVIDADES'!$B$4:$B$8,MATCH($H421,'CAT_ACTIVIDADES'!$A$4:$A$8,0)),"(sin catálogo)"))</f>
        <v/>
      </c>
      <c r="AA421" s="12">
        <f>IF($J421="","",TODAY()-$J421)</f>
        <v/>
      </c>
      <c r="AB421" s="12">
        <f>IF($J421="","",IF($J421&lt;=TODAY(),COUNTIFS(cal_fechas,"&gt;="&amp;$J421,cal_fechas,"&lt;"&amp;TODAY(),cal_habil,"sí"),-COUNTIFS(cal_fechas,"&gt;="&amp;TODAY(),cal_fechas,"&lt;"&amp;$J421,cal_habil,"sí")))</f>
        <v/>
      </c>
      <c r="AC421" s="3">
        <f>IF($AB421="","",IF($AB421&lt;0,"FUTURO",IF($AB421&gt;p_dias_backlog_max,"BACKLOG","MES CORRIENTE")))</f>
        <v/>
      </c>
      <c r="AD421" s="3">
        <f>IF($AB421="",FALSE,AND($AB421&gt;p_dias_backlog_min,$AB421&lt;=p_dias_backlog_max))</f>
        <v/>
      </c>
      <c r="AE421" s="6" t="n"/>
      <c r="AF421" s="3">
        <f>IF($AE421="","",IF((IFERROR(INDEX('ASIGNACIONES'!$F$4:$F$339,MATCH($O421&amp;"|"&amp;$R421&amp;"|"&amp;$AE421,'ASIGNACIONES'!$J$4:$J$339,0)),""))=0,"",IFERROR(INDEX('ASIGNACIONES'!$F$4:$F$339,MATCH($O421&amp;"|"&amp;$R421&amp;"|"&amp;$AE421,'ASIGNACIONES'!$J$4:$J$339,0)),"")))</f>
        <v/>
      </c>
      <c r="AG421" s="13">
        <f>IF($AE421="","",SUMIFS('ORDENES'!$M$4:$M$1203,'ORDENES'!$AE$4:$AE$1203,$AE421,'ORDENES'!$O$4:$O$1203,$O421,'ORDENES'!$R$4:$R$1203,$R421))</f>
        <v/>
      </c>
      <c r="AH421" s="13">
        <f>IF($AG421="","",p_factor_productividad*IFERROR(INDEX('ASIGNACIONES'!$I$4:$I$339,MATCH($O421&amp;"|"&amp;$R421&amp;"|"&amp;$AE421,'ASIGNACIONES'!$J$4:$J$339,0)),0)-$AG421)</f>
        <v/>
      </c>
      <c r="AI421" s="10">
        <f>IF($A421="","",IFERROR(INDEX('2_IMPORTAR_EJECUCION'!$F$9:$F$1208,MATCH($AQ421,'2_IMPORTAR_EJECUCION'!$J$9:$J$1208,0)),0))</f>
        <v/>
      </c>
      <c r="AJ421" s="10">
        <f>IF($A421="","",MAX(0,IFERROR(INDEX('2_IMPORTAR_EJECUCION'!$H$9:$H$1208,MATCH($AQ421,'2_IMPORTAR_EJECUCION'!$J$9:$J$1208,0)),0)-$AI421))</f>
        <v/>
      </c>
      <c r="AK421" s="10">
        <f>IF($A421="","",$AI421+$AJ421)</f>
        <v/>
      </c>
      <c r="AL421" s="6" t="n"/>
      <c r="AM421" s="6" t="n"/>
      <c r="AN421" s="6" t="n"/>
      <c r="AO421" s="3">
        <f>IF($AN421="","",HYPERLINK(p_ruta_base_checklists&amp;$AN421,"abrir"))</f>
        <v/>
      </c>
      <c r="AP421" s="6" t="n"/>
      <c r="AQ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IF($A422="","",IFERROR(INDEX('AJUSTES'!$B$4:$B$303,MATCH($AQ422,'AJUSTES'!$A$4:$A$303,0)),IF($K422="","",$K422)))</f>
        <v/>
      </c>
      <c r="N422" s="3">
        <f>IF($A422="","",IFERROR(INDEX('CAT_ESTADOS_ERP'!$B$4:$B$7,MATCH(IFERROR(INDEX('2_IMPORTAR_EJECUCION'!$C$9:$C$1208,MATCH($AQ422,'2_IMPORTAR_EJECUCION'!$J$9:$J$1208,0)),""),'CAT_ESTADOS_ERP'!$A$4:$A$7,0)),"Pendiente"))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J422="","",IFERROR(INDEX('CALENDARIO'!$C$15:$C$214,MATCH(TEXT($J422,"yyyy-mm-dd")&amp;"|"&amp;$V422&amp;"|"&amp;$W422,'CALENDARIO'!$G$15:$G$214,0)),IFERROR(INDEX('CALENDARIO'!$C$15:$C$214,MATCH(TEXT($J422,"yyyy-mm-dd")&amp;"|"&amp;$V422&amp;"|",'CALENDARIO'!$G$15:$G$214,0)),IFERROR(INDEX('CALENDARIO'!$C$15:$C$214,MATCH(TEXT($J422,"yyyy-mm-dd")&amp;"||",'CALENDARIO'!$G$15:$G$214,0)),INDEX(patronHabil,WEEKDAY($J422,2))))))</f>
        <v/>
      </c>
      <c r="T422" s="3">
        <f>IF($I422="","",IFERROR(INDEX('CAT_TIPOS_OT'!$C$4:$C$7,MATCH($I422,'CAT_TIPOS_OT'!$A$4:$A$7,0)),"sin_clasificar"))</f>
        <v/>
      </c>
      <c r="U422" s="3">
        <f>IF($F422="","",IFERROR(INDEX('CAT_CENTROS_COSTO'!$F$4:$F$13,MATCH($F422,'CAT_CENTROS_COSTO'!$A$4:$A$13,0)),"(sin catálogo)"))</f>
        <v/>
      </c>
      <c r="V422" s="3">
        <f>IF($F422="","",IFERROR(INDEX('CAT_CENTROS_COSTO'!$D$4:$D$13,MATCH($F422,'CAT_CENTROS_COSTO'!$A$4:$A$13,0)),"(sin catálogo)"))</f>
        <v/>
      </c>
      <c r="W422" s="3">
        <f>IF($F422="","",IF((IFERROR(INDEX('CAT_CENTROS_COSTO'!$E$4:$E$13,MATCH($F422,'CAT_CENTROS_COSTO'!$A$4:$A$13,0)),""))&lt;&gt;"",IFERROR(INDEX('CAT_CENTROS_COSTO'!$E$4:$E$13,MATCH($F422,'CAT_CENTROS_COSTO'!$A$4:$A$13,0)),""),$V422))</f>
        <v/>
      </c>
      <c r="X422" s="3">
        <f>IF($F422="","",IFERROR(INDEX('CAT_CENTROS_COSTO'!$G$4:$G$13,MATCH($F422,'CAT_CENTROS_COSTO'!$A$4:$A$13,0)),"(sin catálogo)"))</f>
        <v/>
      </c>
      <c r="Y422" s="3">
        <f>IF($G422="","",IFERROR(INDEX('CAT_PUESTOS'!$B$4:$B$8,MATCH($G422,'CAT_PUESTOS'!$A$4:$A$8,0)),"(sin catálogo)"))</f>
        <v/>
      </c>
      <c r="Z422" s="3">
        <f>IF($H422="","",IFERROR(INDEX('CAT_ACTIVIDADES'!$B$4:$B$8,MATCH($H422,'CAT_ACTIVIDADES'!$A$4:$A$8,0)),"(sin catálogo)"))</f>
        <v/>
      </c>
      <c r="AA422" s="12">
        <f>IF($J422="","",TODAY()-$J422)</f>
        <v/>
      </c>
      <c r="AB422" s="12">
        <f>IF($J422="","",IF($J422&lt;=TODAY(),COUNTIFS(cal_fechas,"&gt;="&amp;$J422,cal_fechas,"&lt;"&amp;TODAY(),cal_habil,"sí"),-COUNTIFS(cal_fechas,"&gt;="&amp;TODAY(),cal_fechas,"&lt;"&amp;$J422,cal_habil,"sí")))</f>
        <v/>
      </c>
      <c r="AC422" s="3">
        <f>IF($AB422="","",IF($AB422&lt;0,"FUTURO",IF($AB422&gt;p_dias_backlog_max,"BACKLOG","MES CORRIENTE")))</f>
        <v/>
      </c>
      <c r="AD422" s="3">
        <f>IF($AB422="",FALSE,AND($AB422&gt;p_dias_backlog_min,$AB422&lt;=p_dias_backlog_max))</f>
        <v/>
      </c>
      <c r="AE422" s="6" t="n"/>
      <c r="AF422" s="3">
        <f>IF($AE422="","",IF((IFERROR(INDEX('ASIGNACIONES'!$F$4:$F$339,MATCH($O422&amp;"|"&amp;$R422&amp;"|"&amp;$AE422,'ASIGNACIONES'!$J$4:$J$339,0)),""))=0,"",IFERROR(INDEX('ASIGNACIONES'!$F$4:$F$339,MATCH($O422&amp;"|"&amp;$R422&amp;"|"&amp;$AE422,'ASIGNACIONES'!$J$4:$J$339,0)),"")))</f>
        <v/>
      </c>
      <c r="AG422" s="13">
        <f>IF($AE422="","",SUMIFS('ORDENES'!$M$4:$M$1203,'ORDENES'!$AE$4:$AE$1203,$AE422,'ORDENES'!$O$4:$O$1203,$O422,'ORDENES'!$R$4:$R$1203,$R422))</f>
        <v/>
      </c>
      <c r="AH422" s="13">
        <f>IF($AG422="","",p_factor_productividad*IFERROR(INDEX('ASIGNACIONES'!$I$4:$I$339,MATCH($O422&amp;"|"&amp;$R422&amp;"|"&amp;$AE422,'ASIGNACIONES'!$J$4:$J$339,0)),0)-$AG422)</f>
        <v/>
      </c>
      <c r="AI422" s="10">
        <f>IF($A422="","",IFERROR(INDEX('2_IMPORTAR_EJECUCION'!$F$9:$F$1208,MATCH($AQ422,'2_IMPORTAR_EJECUCION'!$J$9:$J$1208,0)),0))</f>
        <v/>
      </c>
      <c r="AJ422" s="10">
        <f>IF($A422="","",MAX(0,IFERROR(INDEX('2_IMPORTAR_EJECUCION'!$H$9:$H$1208,MATCH($AQ422,'2_IMPORTAR_EJECUCION'!$J$9:$J$1208,0)),0)-$AI422))</f>
        <v/>
      </c>
      <c r="AK422" s="10">
        <f>IF($A422="","",$AI422+$AJ422)</f>
        <v/>
      </c>
      <c r="AL422" s="6" t="n"/>
      <c r="AM422" s="6" t="n"/>
      <c r="AN422" s="6" t="n"/>
      <c r="AO422" s="3">
        <f>IF($AN422="","",HYPERLINK(p_ruta_base_checklists&amp;$AN422,"abrir"))</f>
        <v/>
      </c>
      <c r="AP422" s="6" t="n"/>
      <c r="AQ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IF($A423="","",IFERROR(INDEX('AJUSTES'!$B$4:$B$303,MATCH($AQ423,'AJUSTES'!$A$4:$A$303,0)),IF($K423="","",$K423)))</f>
        <v/>
      </c>
      <c r="N423" s="3">
        <f>IF($A423="","",IFERROR(INDEX('CAT_ESTADOS_ERP'!$B$4:$B$7,MATCH(IFERROR(INDEX('2_IMPORTAR_EJECUCION'!$C$9:$C$1208,MATCH($AQ423,'2_IMPORTAR_EJECUCION'!$J$9:$J$1208,0)),""),'CAT_ESTADOS_ERP'!$A$4:$A$7,0)),"Pendiente"))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J423="","",IFERROR(INDEX('CALENDARIO'!$C$15:$C$214,MATCH(TEXT($J423,"yyyy-mm-dd")&amp;"|"&amp;$V423&amp;"|"&amp;$W423,'CALENDARIO'!$G$15:$G$214,0)),IFERROR(INDEX('CALENDARIO'!$C$15:$C$214,MATCH(TEXT($J423,"yyyy-mm-dd")&amp;"|"&amp;$V423&amp;"|",'CALENDARIO'!$G$15:$G$214,0)),IFERROR(INDEX('CALENDARIO'!$C$15:$C$214,MATCH(TEXT($J423,"yyyy-mm-dd")&amp;"||",'CALENDARIO'!$G$15:$G$214,0)),INDEX(patronHabil,WEEKDAY($J423,2))))))</f>
        <v/>
      </c>
      <c r="T423" s="3">
        <f>IF($I423="","",IFERROR(INDEX('CAT_TIPOS_OT'!$C$4:$C$7,MATCH($I423,'CAT_TIPOS_OT'!$A$4:$A$7,0)),"sin_clasificar"))</f>
        <v/>
      </c>
      <c r="U423" s="3">
        <f>IF($F423="","",IFERROR(INDEX('CAT_CENTROS_COSTO'!$F$4:$F$13,MATCH($F423,'CAT_CENTROS_COSTO'!$A$4:$A$13,0)),"(sin catálogo)"))</f>
        <v/>
      </c>
      <c r="V423" s="3">
        <f>IF($F423="","",IFERROR(INDEX('CAT_CENTROS_COSTO'!$D$4:$D$13,MATCH($F423,'CAT_CENTROS_COSTO'!$A$4:$A$13,0)),"(sin catálogo)"))</f>
        <v/>
      </c>
      <c r="W423" s="3">
        <f>IF($F423="","",IF((IFERROR(INDEX('CAT_CENTROS_COSTO'!$E$4:$E$13,MATCH($F423,'CAT_CENTROS_COSTO'!$A$4:$A$13,0)),""))&lt;&gt;"",IFERROR(INDEX('CAT_CENTROS_COSTO'!$E$4:$E$13,MATCH($F423,'CAT_CENTROS_COSTO'!$A$4:$A$13,0)),""),$V423))</f>
        <v/>
      </c>
      <c r="X423" s="3">
        <f>IF($F423="","",IFERROR(INDEX('CAT_CENTROS_COSTO'!$G$4:$G$13,MATCH($F423,'CAT_CENTROS_COSTO'!$A$4:$A$13,0)),"(sin catálogo)"))</f>
        <v/>
      </c>
      <c r="Y423" s="3">
        <f>IF($G423="","",IFERROR(INDEX('CAT_PUESTOS'!$B$4:$B$8,MATCH($G423,'CAT_PUESTOS'!$A$4:$A$8,0)),"(sin catálogo)"))</f>
        <v/>
      </c>
      <c r="Z423" s="3">
        <f>IF($H423="","",IFERROR(INDEX('CAT_ACTIVIDADES'!$B$4:$B$8,MATCH($H423,'CAT_ACTIVIDADES'!$A$4:$A$8,0)),"(sin catálogo)"))</f>
        <v/>
      </c>
      <c r="AA423" s="12">
        <f>IF($J423="","",TODAY()-$J423)</f>
        <v/>
      </c>
      <c r="AB423" s="12">
        <f>IF($J423="","",IF($J423&lt;=TODAY(),COUNTIFS(cal_fechas,"&gt;="&amp;$J423,cal_fechas,"&lt;"&amp;TODAY(),cal_habil,"sí"),-COUNTIFS(cal_fechas,"&gt;="&amp;TODAY(),cal_fechas,"&lt;"&amp;$J423,cal_habil,"sí")))</f>
        <v/>
      </c>
      <c r="AC423" s="3">
        <f>IF($AB423="","",IF($AB423&lt;0,"FUTURO",IF($AB423&gt;p_dias_backlog_max,"BACKLOG","MES CORRIENTE")))</f>
        <v/>
      </c>
      <c r="AD423" s="3">
        <f>IF($AB423="",FALSE,AND($AB423&gt;p_dias_backlog_min,$AB423&lt;=p_dias_backlog_max))</f>
        <v/>
      </c>
      <c r="AE423" s="6" t="n"/>
      <c r="AF423" s="3">
        <f>IF($AE423="","",IF((IFERROR(INDEX('ASIGNACIONES'!$F$4:$F$339,MATCH($O423&amp;"|"&amp;$R423&amp;"|"&amp;$AE423,'ASIGNACIONES'!$J$4:$J$339,0)),""))=0,"",IFERROR(INDEX('ASIGNACIONES'!$F$4:$F$339,MATCH($O423&amp;"|"&amp;$R423&amp;"|"&amp;$AE423,'ASIGNACIONES'!$J$4:$J$339,0)),"")))</f>
        <v/>
      </c>
      <c r="AG423" s="13">
        <f>IF($AE423="","",SUMIFS('ORDENES'!$M$4:$M$1203,'ORDENES'!$AE$4:$AE$1203,$AE423,'ORDENES'!$O$4:$O$1203,$O423,'ORDENES'!$R$4:$R$1203,$R423))</f>
        <v/>
      </c>
      <c r="AH423" s="13">
        <f>IF($AG423="","",p_factor_productividad*IFERROR(INDEX('ASIGNACIONES'!$I$4:$I$339,MATCH($O423&amp;"|"&amp;$R423&amp;"|"&amp;$AE423,'ASIGNACIONES'!$J$4:$J$339,0)),0)-$AG423)</f>
        <v/>
      </c>
      <c r="AI423" s="10">
        <f>IF($A423="","",IFERROR(INDEX('2_IMPORTAR_EJECUCION'!$F$9:$F$1208,MATCH($AQ423,'2_IMPORTAR_EJECUCION'!$J$9:$J$1208,0)),0))</f>
        <v/>
      </c>
      <c r="AJ423" s="10">
        <f>IF($A423="","",MAX(0,IFERROR(INDEX('2_IMPORTAR_EJECUCION'!$H$9:$H$1208,MATCH($AQ423,'2_IMPORTAR_EJECUCION'!$J$9:$J$1208,0)),0)-$AI423))</f>
        <v/>
      </c>
      <c r="AK423" s="10">
        <f>IF($A423="","",$AI423+$AJ423)</f>
        <v/>
      </c>
      <c r="AL423" s="6" t="n"/>
      <c r="AM423" s="6" t="n"/>
      <c r="AN423" s="6" t="n"/>
      <c r="AO423" s="3">
        <f>IF($AN423="","",HYPERLINK(p_ruta_base_checklists&amp;$AN423,"abrir"))</f>
        <v/>
      </c>
      <c r="AP423" s="6" t="n"/>
      <c r="AQ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IF($A424="","",IFERROR(INDEX('AJUSTES'!$B$4:$B$303,MATCH($AQ424,'AJUSTES'!$A$4:$A$303,0)),IF($K424="","",$K424)))</f>
        <v/>
      </c>
      <c r="N424" s="3">
        <f>IF($A424="","",IFERROR(INDEX('CAT_ESTADOS_ERP'!$B$4:$B$7,MATCH(IFERROR(INDEX('2_IMPORTAR_EJECUCION'!$C$9:$C$1208,MATCH($AQ424,'2_IMPORTAR_EJECUCION'!$J$9:$J$1208,0)),""),'CAT_ESTADOS_ERP'!$A$4:$A$7,0)),"Pendiente"))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J424="","",IFERROR(INDEX('CALENDARIO'!$C$15:$C$214,MATCH(TEXT($J424,"yyyy-mm-dd")&amp;"|"&amp;$V424&amp;"|"&amp;$W424,'CALENDARIO'!$G$15:$G$214,0)),IFERROR(INDEX('CALENDARIO'!$C$15:$C$214,MATCH(TEXT($J424,"yyyy-mm-dd")&amp;"|"&amp;$V424&amp;"|",'CALENDARIO'!$G$15:$G$214,0)),IFERROR(INDEX('CALENDARIO'!$C$15:$C$214,MATCH(TEXT($J424,"yyyy-mm-dd")&amp;"||",'CALENDARIO'!$G$15:$G$214,0)),INDEX(patronHabil,WEEKDAY($J424,2))))))</f>
        <v/>
      </c>
      <c r="T424" s="3">
        <f>IF($I424="","",IFERROR(INDEX('CAT_TIPOS_OT'!$C$4:$C$7,MATCH($I424,'CAT_TIPOS_OT'!$A$4:$A$7,0)),"sin_clasificar"))</f>
        <v/>
      </c>
      <c r="U424" s="3">
        <f>IF($F424="","",IFERROR(INDEX('CAT_CENTROS_COSTO'!$F$4:$F$13,MATCH($F424,'CAT_CENTROS_COSTO'!$A$4:$A$13,0)),"(sin catálogo)"))</f>
        <v/>
      </c>
      <c r="V424" s="3">
        <f>IF($F424="","",IFERROR(INDEX('CAT_CENTROS_COSTO'!$D$4:$D$13,MATCH($F424,'CAT_CENTROS_COSTO'!$A$4:$A$13,0)),"(sin catálogo)"))</f>
        <v/>
      </c>
      <c r="W424" s="3">
        <f>IF($F424="","",IF((IFERROR(INDEX('CAT_CENTROS_COSTO'!$E$4:$E$13,MATCH($F424,'CAT_CENTROS_COSTO'!$A$4:$A$13,0)),""))&lt;&gt;"",IFERROR(INDEX('CAT_CENTROS_COSTO'!$E$4:$E$13,MATCH($F424,'CAT_CENTROS_COSTO'!$A$4:$A$13,0)),""),$V424))</f>
        <v/>
      </c>
      <c r="X424" s="3">
        <f>IF($F424="","",IFERROR(INDEX('CAT_CENTROS_COSTO'!$G$4:$G$13,MATCH($F424,'CAT_CENTROS_COSTO'!$A$4:$A$13,0)),"(sin catálogo)"))</f>
        <v/>
      </c>
      <c r="Y424" s="3">
        <f>IF($G424="","",IFERROR(INDEX('CAT_PUESTOS'!$B$4:$B$8,MATCH($G424,'CAT_PUESTOS'!$A$4:$A$8,0)),"(sin catálogo)"))</f>
        <v/>
      </c>
      <c r="Z424" s="3">
        <f>IF($H424="","",IFERROR(INDEX('CAT_ACTIVIDADES'!$B$4:$B$8,MATCH($H424,'CAT_ACTIVIDADES'!$A$4:$A$8,0)),"(sin catálogo)"))</f>
        <v/>
      </c>
      <c r="AA424" s="12">
        <f>IF($J424="","",TODAY()-$J424)</f>
        <v/>
      </c>
      <c r="AB424" s="12">
        <f>IF($J424="","",IF($J424&lt;=TODAY(),COUNTIFS(cal_fechas,"&gt;="&amp;$J424,cal_fechas,"&lt;"&amp;TODAY(),cal_habil,"sí"),-COUNTIFS(cal_fechas,"&gt;="&amp;TODAY(),cal_fechas,"&lt;"&amp;$J424,cal_habil,"sí")))</f>
        <v/>
      </c>
      <c r="AC424" s="3">
        <f>IF($AB424="","",IF($AB424&lt;0,"FUTURO",IF($AB424&gt;p_dias_backlog_max,"BACKLOG","MES CORRIENTE")))</f>
        <v/>
      </c>
      <c r="AD424" s="3">
        <f>IF($AB424="",FALSE,AND($AB424&gt;p_dias_backlog_min,$AB424&lt;=p_dias_backlog_max))</f>
        <v/>
      </c>
      <c r="AE424" s="6" t="n"/>
      <c r="AF424" s="3">
        <f>IF($AE424="","",IF((IFERROR(INDEX('ASIGNACIONES'!$F$4:$F$339,MATCH($O424&amp;"|"&amp;$R424&amp;"|"&amp;$AE424,'ASIGNACIONES'!$J$4:$J$339,0)),""))=0,"",IFERROR(INDEX('ASIGNACIONES'!$F$4:$F$339,MATCH($O424&amp;"|"&amp;$R424&amp;"|"&amp;$AE424,'ASIGNACIONES'!$J$4:$J$339,0)),"")))</f>
        <v/>
      </c>
      <c r="AG424" s="13">
        <f>IF($AE424="","",SUMIFS('ORDENES'!$M$4:$M$1203,'ORDENES'!$AE$4:$AE$1203,$AE424,'ORDENES'!$O$4:$O$1203,$O424,'ORDENES'!$R$4:$R$1203,$R424))</f>
        <v/>
      </c>
      <c r="AH424" s="13">
        <f>IF($AG424="","",p_factor_productividad*IFERROR(INDEX('ASIGNACIONES'!$I$4:$I$339,MATCH($O424&amp;"|"&amp;$R424&amp;"|"&amp;$AE424,'ASIGNACIONES'!$J$4:$J$339,0)),0)-$AG424)</f>
        <v/>
      </c>
      <c r="AI424" s="10">
        <f>IF($A424="","",IFERROR(INDEX('2_IMPORTAR_EJECUCION'!$F$9:$F$1208,MATCH($AQ424,'2_IMPORTAR_EJECUCION'!$J$9:$J$1208,0)),0))</f>
        <v/>
      </c>
      <c r="AJ424" s="10">
        <f>IF($A424="","",MAX(0,IFERROR(INDEX('2_IMPORTAR_EJECUCION'!$H$9:$H$1208,MATCH($AQ424,'2_IMPORTAR_EJECUCION'!$J$9:$J$1208,0)),0)-$AI424))</f>
        <v/>
      </c>
      <c r="AK424" s="10">
        <f>IF($A424="","",$AI424+$AJ424)</f>
        <v/>
      </c>
      <c r="AL424" s="6" t="n"/>
      <c r="AM424" s="6" t="n"/>
      <c r="AN424" s="6" t="n"/>
      <c r="AO424" s="3">
        <f>IF($AN424="","",HYPERLINK(p_ruta_base_checklists&amp;$AN424,"abrir"))</f>
        <v/>
      </c>
      <c r="AP424" s="6" t="n"/>
      <c r="AQ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IF($A425="","",IFERROR(INDEX('AJUSTES'!$B$4:$B$303,MATCH($AQ425,'AJUSTES'!$A$4:$A$303,0)),IF($K425="","",$K425)))</f>
        <v/>
      </c>
      <c r="N425" s="3">
        <f>IF($A425="","",IFERROR(INDEX('CAT_ESTADOS_ERP'!$B$4:$B$7,MATCH(IFERROR(INDEX('2_IMPORTAR_EJECUCION'!$C$9:$C$1208,MATCH($AQ425,'2_IMPORTAR_EJECUCION'!$J$9:$J$1208,0)),""),'CAT_ESTADOS_ERP'!$A$4:$A$7,0)),"Pendiente"))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J425="","",IFERROR(INDEX('CALENDARIO'!$C$15:$C$214,MATCH(TEXT($J425,"yyyy-mm-dd")&amp;"|"&amp;$V425&amp;"|"&amp;$W425,'CALENDARIO'!$G$15:$G$214,0)),IFERROR(INDEX('CALENDARIO'!$C$15:$C$214,MATCH(TEXT($J425,"yyyy-mm-dd")&amp;"|"&amp;$V425&amp;"|",'CALENDARIO'!$G$15:$G$214,0)),IFERROR(INDEX('CALENDARIO'!$C$15:$C$214,MATCH(TEXT($J425,"yyyy-mm-dd")&amp;"||",'CALENDARIO'!$G$15:$G$214,0)),INDEX(patronHabil,WEEKDAY($J425,2))))))</f>
        <v/>
      </c>
      <c r="T425" s="3">
        <f>IF($I425="","",IFERROR(INDEX('CAT_TIPOS_OT'!$C$4:$C$7,MATCH($I425,'CAT_TIPOS_OT'!$A$4:$A$7,0)),"sin_clasificar"))</f>
        <v/>
      </c>
      <c r="U425" s="3">
        <f>IF($F425="","",IFERROR(INDEX('CAT_CENTROS_COSTO'!$F$4:$F$13,MATCH($F425,'CAT_CENTROS_COSTO'!$A$4:$A$13,0)),"(sin catálogo)"))</f>
        <v/>
      </c>
      <c r="V425" s="3">
        <f>IF($F425="","",IFERROR(INDEX('CAT_CENTROS_COSTO'!$D$4:$D$13,MATCH($F425,'CAT_CENTROS_COSTO'!$A$4:$A$13,0)),"(sin catálogo)"))</f>
        <v/>
      </c>
      <c r="W425" s="3">
        <f>IF($F425="","",IF((IFERROR(INDEX('CAT_CENTROS_COSTO'!$E$4:$E$13,MATCH($F425,'CAT_CENTROS_COSTO'!$A$4:$A$13,0)),""))&lt;&gt;"",IFERROR(INDEX('CAT_CENTROS_COSTO'!$E$4:$E$13,MATCH($F425,'CAT_CENTROS_COSTO'!$A$4:$A$13,0)),""),$V425))</f>
        <v/>
      </c>
      <c r="X425" s="3">
        <f>IF($F425="","",IFERROR(INDEX('CAT_CENTROS_COSTO'!$G$4:$G$13,MATCH($F425,'CAT_CENTROS_COSTO'!$A$4:$A$13,0)),"(sin catálogo)"))</f>
        <v/>
      </c>
      <c r="Y425" s="3">
        <f>IF($G425="","",IFERROR(INDEX('CAT_PUESTOS'!$B$4:$B$8,MATCH($G425,'CAT_PUESTOS'!$A$4:$A$8,0)),"(sin catálogo)"))</f>
        <v/>
      </c>
      <c r="Z425" s="3">
        <f>IF($H425="","",IFERROR(INDEX('CAT_ACTIVIDADES'!$B$4:$B$8,MATCH($H425,'CAT_ACTIVIDADES'!$A$4:$A$8,0)),"(sin catálogo)"))</f>
        <v/>
      </c>
      <c r="AA425" s="12">
        <f>IF($J425="","",TODAY()-$J425)</f>
        <v/>
      </c>
      <c r="AB425" s="12">
        <f>IF($J425="","",IF($J425&lt;=TODAY(),COUNTIFS(cal_fechas,"&gt;="&amp;$J425,cal_fechas,"&lt;"&amp;TODAY(),cal_habil,"sí"),-COUNTIFS(cal_fechas,"&gt;="&amp;TODAY(),cal_fechas,"&lt;"&amp;$J425,cal_habil,"sí")))</f>
        <v/>
      </c>
      <c r="AC425" s="3">
        <f>IF($AB425="","",IF($AB425&lt;0,"FUTURO",IF($AB425&gt;p_dias_backlog_max,"BACKLOG","MES CORRIENTE")))</f>
        <v/>
      </c>
      <c r="AD425" s="3">
        <f>IF($AB425="",FALSE,AND($AB425&gt;p_dias_backlog_min,$AB425&lt;=p_dias_backlog_max))</f>
        <v/>
      </c>
      <c r="AE425" s="6" t="n"/>
      <c r="AF425" s="3">
        <f>IF($AE425="","",IF((IFERROR(INDEX('ASIGNACIONES'!$F$4:$F$339,MATCH($O425&amp;"|"&amp;$R425&amp;"|"&amp;$AE425,'ASIGNACIONES'!$J$4:$J$339,0)),""))=0,"",IFERROR(INDEX('ASIGNACIONES'!$F$4:$F$339,MATCH($O425&amp;"|"&amp;$R425&amp;"|"&amp;$AE425,'ASIGNACIONES'!$J$4:$J$339,0)),"")))</f>
        <v/>
      </c>
      <c r="AG425" s="13">
        <f>IF($AE425="","",SUMIFS('ORDENES'!$M$4:$M$1203,'ORDENES'!$AE$4:$AE$1203,$AE425,'ORDENES'!$O$4:$O$1203,$O425,'ORDENES'!$R$4:$R$1203,$R425))</f>
        <v/>
      </c>
      <c r="AH425" s="13">
        <f>IF($AG425="","",p_factor_productividad*IFERROR(INDEX('ASIGNACIONES'!$I$4:$I$339,MATCH($O425&amp;"|"&amp;$R425&amp;"|"&amp;$AE425,'ASIGNACIONES'!$J$4:$J$339,0)),0)-$AG425)</f>
        <v/>
      </c>
      <c r="AI425" s="10">
        <f>IF($A425="","",IFERROR(INDEX('2_IMPORTAR_EJECUCION'!$F$9:$F$1208,MATCH($AQ425,'2_IMPORTAR_EJECUCION'!$J$9:$J$1208,0)),0))</f>
        <v/>
      </c>
      <c r="AJ425" s="10">
        <f>IF($A425="","",MAX(0,IFERROR(INDEX('2_IMPORTAR_EJECUCION'!$H$9:$H$1208,MATCH($AQ425,'2_IMPORTAR_EJECUCION'!$J$9:$J$1208,0)),0)-$AI425))</f>
        <v/>
      </c>
      <c r="AK425" s="10">
        <f>IF($A425="","",$AI425+$AJ425)</f>
        <v/>
      </c>
      <c r="AL425" s="6" t="n"/>
      <c r="AM425" s="6" t="n"/>
      <c r="AN425" s="6" t="n"/>
      <c r="AO425" s="3">
        <f>IF($AN425="","",HYPERLINK(p_ruta_base_checklists&amp;$AN425,"abrir"))</f>
        <v/>
      </c>
      <c r="AP425" s="6" t="n"/>
      <c r="AQ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IF($A426="","",IFERROR(INDEX('AJUSTES'!$B$4:$B$303,MATCH($AQ426,'AJUSTES'!$A$4:$A$303,0)),IF($K426="","",$K426)))</f>
        <v/>
      </c>
      <c r="N426" s="3">
        <f>IF($A426="","",IFERROR(INDEX('CAT_ESTADOS_ERP'!$B$4:$B$7,MATCH(IFERROR(INDEX('2_IMPORTAR_EJECUCION'!$C$9:$C$1208,MATCH($AQ426,'2_IMPORTAR_EJECUCION'!$J$9:$J$1208,0)),""),'CAT_ESTADOS_ERP'!$A$4:$A$7,0)),"Pendiente"))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J426="","",IFERROR(INDEX('CALENDARIO'!$C$15:$C$214,MATCH(TEXT($J426,"yyyy-mm-dd")&amp;"|"&amp;$V426&amp;"|"&amp;$W426,'CALENDARIO'!$G$15:$G$214,0)),IFERROR(INDEX('CALENDARIO'!$C$15:$C$214,MATCH(TEXT($J426,"yyyy-mm-dd")&amp;"|"&amp;$V426&amp;"|",'CALENDARIO'!$G$15:$G$214,0)),IFERROR(INDEX('CALENDARIO'!$C$15:$C$214,MATCH(TEXT($J426,"yyyy-mm-dd")&amp;"||",'CALENDARIO'!$G$15:$G$214,0)),INDEX(patronHabil,WEEKDAY($J426,2))))))</f>
        <v/>
      </c>
      <c r="T426" s="3">
        <f>IF($I426="","",IFERROR(INDEX('CAT_TIPOS_OT'!$C$4:$C$7,MATCH($I426,'CAT_TIPOS_OT'!$A$4:$A$7,0)),"sin_clasificar"))</f>
        <v/>
      </c>
      <c r="U426" s="3">
        <f>IF($F426="","",IFERROR(INDEX('CAT_CENTROS_COSTO'!$F$4:$F$13,MATCH($F426,'CAT_CENTROS_COSTO'!$A$4:$A$13,0)),"(sin catálogo)"))</f>
        <v/>
      </c>
      <c r="V426" s="3">
        <f>IF($F426="","",IFERROR(INDEX('CAT_CENTROS_COSTO'!$D$4:$D$13,MATCH($F426,'CAT_CENTROS_COSTO'!$A$4:$A$13,0)),"(sin catálogo)"))</f>
        <v/>
      </c>
      <c r="W426" s="3">
        <f>IF($F426="","",IF((IFERROR(INDEX('CAT_CENTROS_COSTO'!$E$4:$E$13,MATCH($F426,'CAT_CENTROS_COSTO'!$A$4:$A$13,0)),""))&lt;&gt;"",IFERROR(INDEX('CAT_CENTROS_COSTO'!$E$4:$E$13,MATCH($F426,'CAT_CENTROS_COSTO'!$A$4:$A$13,0)),""),$V426))</f>
        <v/>
      </c>
      <c r="X426" s="3">
        <f>IF($F426="","",IFERROR(INDEX('CAT_CENTROS_COSTO'!$G$4:$G$13,MATCH($F426,'CAT_CENTROS_COSTO'!$A$4:$A$13,0)),"(sin catálogo)"))</f>
        <v/>
      </c>
      <c r="Y426" s="3">
        <f>IF($G426="","",IFERROR(INDEX('CAT_PUESTOS'!$B$4:$B$8,MATCH($G426,'CAT_PUESTOS'!$A$4:$A$8,0)),"(sin catálogo)"))</f>
        <v/>
      </c>
      <c r="Z426" s="3">
        <f>IF($H426="","",IFERROR(INDEX('CAT_ACTIVIDADES'!$B$4:$B$8,MATCH($H426,'CAT_ACTIVIDADES'!$A$4:$A$8,0)),"(sin catálogo)"))</f>
        <v/>
      </c>
      <c r="AA426" s="12">
        <f>IF($J426="","",TODAY()-$J426)</f>
        <v/>
      </c>
      <c r="AB426" s="12">
        <f>IF($J426="","",IF($J426&lt;=TODAY(),COUNTIFS(cal_fechas,"&gt;="&amp;$J426,cal_fechas,"&lt;"&amp;TODAY(),cal_habil,"sí"),-COUNTIFS(cal_fechas,"&gt;="&amp;TODAY(),cal_fechas,"&lt;"&amp;$J426,cal_habil,"sí")))</f>
        <v/>
      </c>
      <c r="AC426" s="3">
        <f>IF($AB426="","",IF($AB426&lt;0,"FUTURO",IF($AB426&gt;p_dias_backlog_max,"BACKLOG","MES CORRIENTE")))</f>
        <v/>
      </c>
      <c r="AD426" s="3">
        <f>IF($AB426="",FALSE,AND($AB426&gt;p_dias_backlog_min,$AB426&lt;=p_dias_backlog_max))</f>
        <v/>
      </c>
      <c r="AE426" s="6" t="n"/>
      <c r="AF426" s="3">
        <f>IF($AE426="","",IF((IFERROR(INDEX('ASIGNACIONES'!$F$4:$F$339,MATCH($O426&amp;"|"&amp;$R426&amp;"|"&amp;$AE426,'ASIGNACIONES'!$J$4:$J$339,0)),""))=0,"",IFERROR(INDEX('ASIGNACIONES'!$F$4:$F$339,MATCH($O426&amp;"|"&amp;$R426&amp;"|"&amp;$AE426,'ASIGNACIONES'!$J$4:$J$339,0)),"")))</f>
        <v/>
      </c>
      <c r="AG426" s="13">
        <f>IF($AE426="","",SUMIFS('ORDENES'!$M$4:$M$1203,'ORDENES'!$AE$4:$AE$1203,$AE426,'ORDENES'!$O$4:$O$1203,$O426,'ORDENES'!$R$4:$R$1203,$R426))</f>
        <v/>
      </c>
      <c r="AH426" s="13">
        <f>IF($AG426="","",p_factor_productividad*IFERROR(INDEX('ASIGNACIONES'!$I$4:$I$339,MATCH($O426&amp;"|"&amp;$R426&amp;"|"&amp;$AE426,'ASIGNACIONES'!$J$4:$J$339,0)),0)-$AG426)</f>
        <v/>
      </c>
      <c r="AI426" s="10">
        <f>IF($A426="","",IFERROR(INDEX('2_IMPORTAR_EJECUCION'!$F$9:$F$1208,MATCH($AQ426,'2_IMPORTAR_EJECUCION'!$J$9:$J$1208,0)),0))</f>
        <v/>
      </c>
      <c r="AJ426" s="10">
        <f>IF($A426="","",MAX(0,IFERROR(INDEX('2_IMPORTAR_EJECUCION'!$H$9:$H$1208,MATCH($AQ426,'2_IMPORTAR_EJECUCION'!$J$9:$J$1208,0)),0)-$AI426))</f>
        <v/>
      </c>
      <c r="AK426" s="10">
        <f>IF($A426="","",$AI426+$AJ426)</f>
        <v/>
      </c>
      <c r="AL426" s="6" t="n"/>
      <c r="AM426" s="6" t="n"/>
      <c r="AN426" s="6" t="n"/>
      <c r="AO426" s="3">
        <f>IF($AN426="","",HYPERLINK(p_ruta_base_checklists&amp;$AN426,"abrir"))</f>
        <v/>
      </c>
      <c r="AP426" s="6" t="n"/>
      <c r="AQ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IF($A427="","",IFERROR(INDEX('AJUSTES'!$B$4:$B$303,MATCH($AQ427,'AJUSTES'!$A$4:$A$303,0)),IF($K427="","",$K427)))</f>
        <v/>
      </c>
      <c r="N427" s="3">
        <f>IF($A427="","",IFERROR(INDEX('CAT_ESTADOS_ERP'!$B$4:$B$7,MATCH(IFERROR(INDEX('2_IMPORTAR_EJECUCION'!$C$9:$C$1208,MATCH($AQ427,'2_IMPORTAR_EJECUCION'!$J$9:$J$1208,0)),""),'CAT_ESTADOS_ERP'!$A$4:$A$7,0)),"Pendiente"))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J427="","",IFERROR(INDEX('CALENDARIO'!$C$15:$C$214,MATCH(TEXT($J427,"yyyy-mm-dd")&amp;"|"&amp;$V427&amp;"|"&amp;$W427,'CALENDARIO'!$G$15:$G$214,0)),IFERROR(INDEX('CALENDARIO'!$C$15:$C$214,MATCH(TEXT($J427,"yyyy-mm-dd")&amp;"|"&amp;$V427&amp;"|",'CALENDARIO'!$G$15:$G$214,0)),IFERROR(INDEX('CALENDARIO'!$C$15:$C$214,MATCH(TEXT($J427,"yyyy-mm-dd")&amp;"||",'CALENDARIO'!$G$15:$G$214,0)),INDEX(patronHabil,WEEKDAY($J427,2))))))</f>
        <v/>
      </c>
      <c r="T427" s="3">
        <f>IF($I427="","",IFERROR(INDEX('CAT_TIPOS_OT'!$C$4:$C$7,MATCH($I427,'CAT_TIPOS_OT'!$A$4:$A$7,0)),"sin_clasificar"))</f>
        <v/>
      </c>
      <c r="U427" s="3">
        <f>IF($F427="","",IFERROR(INDEX('CAT_CENTROS_COSTO'!$F$4:$F$13,MATCH($F427,'CAT_CENTROS_COSTO'!$A$4:$A$13,0)),"(sin catálogo)"))</f>
        <v/>
      </c>
      <c r="V427" s="3">
        <f>IF($F427="","",IFERROR(INDEX('CAT_CENTROS_COSTO'!$D$4:$D$13,MATCH($F427,'CAT_CENTROS_COSTO'!$A$4:$A$13,0)),"(sin catálogo)"))</f>
        <v/>
      </c>
      <c r="W427" s="3">
        <f>IF($F427="","",IF((IFERROR(INDEX('CAT_CENTROS_COSTO'!$E$4:$E$13,MATCH($F427,'CAT_CENTROS_COSTO'!$A$4:$A$13,0)),""))&lt;&gt;"",IFERROR(INDEX('CAT_CENTROS_COSTO'!$E$4:$E$13,MATCH($F427,'CAT_CENTROS_COSTO'!$A$4:$A$13,0)),""),$V427))</f>
        <v/>
      </c>
      <c r="X427" s="3">
        <f>IF($F427="","",IFERROR(INDEX('CAT_CENTROS_COSTO'!$G$4:$G$13,MATCH($F427,'CAT_CENTROS_COSTO'!$A$4:$A$13,0)),"(sin catálogo)"))</f>
        <v/>
      </c>
      <c r="Y427" s="3">
        <f>IF($G427="","",IFERROR(INDEX('CAT_PUESTOS'!$B$4:$B$8,MATCH($G427,'CAT_PUESTOS'!$A$4:$A$8,0)),"(sin catálogo)"))</f>
        <v/>
      </c>
      <c r="Z427" s="3">
        <f>IF($H427="","",IFERROR(INDEX('CAT_ACTIVIDADES'!$B$4:$B$8,MATCH($H427,'CAT_ACTIVIDADES'!$A$4:$A$8,0)),"(sin catálogo)"))</f>
        <v/>
      </c>
      <c r="AA427" s="12">
        <f>IF($J427="","",TODAY()-$J427)</f>
        <v/>
      </c>
      <c r="AB427" s="12">
        <f>IF($J427="","",IF($J427&lt;=TODAY(),COUNTIFS(cal_fechas,"&gt;="&amp;$J427,cal_fechas,"&lt;"&amp;TODAY(),cal_habil,"sí"),-COUNTIFS(cal_fechas,"&gt;="&amp;TODAY(),cal_fechas,"&lt;"&amp;$J427,cal_habil,"sí")))</f>
        <v/>
      </c>
      <c r="AC427" s="3">
        <f>IF($AB427="","",IF($AB427&lt;0,"FUTURO",IF($AB427&gt;p_dias_backlog_max,"BACKLOG","MES CORRIENTE")))</f>
        <v/>
      </c>
      <c r="AD427" s="3">
        <f>IF($AB427="",FALSE,AND($AB427&gt;p_dias_backlog_min,$AB427&lt;=p_dias_backlog_max))</f>
        <v/>
      </c>
      <c r="AE427" s="6" t="n"/>
      <c r="AF427" s="3">
        <f>IF($AE427="","",IF((IFERROR(INDEX('ASIGNACIONES'!$F$4:$F$339,MATCH($O427&amp;"|"&amp;$R427&amp;"|"&amp;$AE427,'ASIGNACIONES'!$J$4:$J$339,0)),""))=0,"",IFERROR(INDEX('ASIGNACIONES'!$F$4:$F$339,MATCH($O427&amp;"|"&amp;$R427&amp;"|"&amp;$AE427,'ASIGNACIONES'!$J$4:$J$339,0)),"")))</f>
        <v/>
      </c>
      <c r="AG427" s="13">
        <f>IF($AE427="","",SUMIFS('ORDENES'!$M$4:$M$1203,'ORDENES'!$AE$4:$AE$1203,$AE427,'ORDENES'!$O$4:$O$1203,$O427,'ORDENES'!$R$4:$R$1203,$R427))</f>
        <v/>
      </c>
      <c r="AH427" s="13">
        <f>IF($AG427="","",p_factor_productividad*IFERROR(INDEX('ASIGNACIONES'!$I$4:$I$339,MATCH($O427&amp;"|"&amp;$R427&amp;"|"&amp;$AE427,'ASIGNACIONES'!$J$4:$J$339,0)),0)-$AG427)</f>
        <v/>
      </c>
      <c r="AI427" s="10">
        <f>IF($A427="","",IFERROR(INDEX('2_IMPORTAR_EJECUCION'!$F$9:$F$1208,MATCH($AQ427,'2_IMPORTAR_EJECUCION'!$J$9:$J$1208,0)),0))</f>
        <v/>
      </c>
      <c r="AJ427" s="10">
        <f>IF($A427="","",MAX(0,IFERROR(INDEX('2_IMPORTAR_EJECUCION'!$H$9:$H$1208,MATCH($AQ427,'2_IMPORTAR_EJECUCION'!$J$9:$J$1208,0)),0)-$AI427))</f>
        <v/>
      </c>
      <c r="AK427" s="10">
        <f>IF($A427="","",$AI427+$AJ427)</f>
        <v/>
      </c>
      <c r="AL427" s="6" t="n"/>
      <c r="AM427" s="6" t="n"/>
      <c r="AN427" s="6" t="n"/>
      <c r="AO427" s="3">
        <f>IF($AN427="","",HYPERLINK(p_ruta_base_checklists&amp;$AN427,"abrir"))</f>
        <v/>
      </c>
      <c r="AP427" s="6" t="n"/>
      <c r="AQ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IF($A428="","",IFERROR(INDEX('AJUSTES'!$B$4:$B$303,MATCH($AQ428,'AJUSTES'!$A$4:$A$303,0)),IF($K428="","",$K428)))</f>
        <v/>
      </c>
      <c r="N428" s="3">
        <f>IF($A428="","",IFERROR(INDEX('CAT_ESTADOS_ERP'!$B$4:$B$7,MATCH(IFERROR(INDEX('2_IMPORTAR_EJECUCION'!$C$9:$C$1208,MATCH($AQ428,'2_IMPORTAR_EJECUCION'!$J$9:$J$1208,0)),""),'CAT_ESTADOS_ERP'!$A$4:$A$7,0)),"Pendiente"))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J428="","",IFERROR(INDEX('CALENDARIO'!$C$15:$C$214,MATCH(TEXT($J428,"yyyy-mm-dd")&amp;"|"&amp;$V428&amp;"|"&amp;$W428,'CALENDARIO'!$G$15:$G$214,0)),IFERROR(INDEX('CALENDARIO'!$C$15:$C$214,MATCH(TEXT($J428,"yyyy-mm-dd")&amp;"|"&amp;$V428&amp;"|",'CALENDARIO'!$G$15:$G$214,0)),IFERROR(INDEX('CALENDARIO'!$C$15:$C$214,MATCH(TEXT($J428,"yyyy-mm-dd")&amp;"||",'CALENDARIO'!$G$15:$G$214,0)),INDEX(patronHabil,WEEKDAY($J428,2))))))</f>
        <v/>
      </c>
      <c r="T428" s="3">
        <f>IF($I428="","",IFERROR(INDEX('CAT_TIPOS_OT'!$C$4:$C$7,MATCH($I428,'CAT_TIPOS_OT'!$A$4:$A$7,0)),"sin_clasificar"))</f>
        <v/>
      </c>
      <c r="U428" s="3">
        <f>IF($F428="","",IFERROR(INDEX('CAT_CENTROS_COSTO'!$F$4:$F$13,MATCH($F428,'CAT_CENTROS_COSTO'!$A$4:$A$13,0)),"(sin catálogo)"))</f>
        <v/>
      </c>
      <c r="V428" s="3">
        <f>IF($F428="","",IFERROR(INDEX('CAT_CENTROS_COSTO'!$D$4:$D$13,MATCH($F428,'CAT_CENTROS_COSTO'!$A$4:$A$13,0)),"(sin catálogo)"))</f>
        <v/>
      </c>
      <c r="W428" s="3">
        <f>IF($F428="","",IF((IFERROR(INDEX('CAT_CENTROS_COSTO'!$E$4:$E$13,MATCH($F428,'CAT_CENTROS_COSTO'!$A$4:$A$13,0)),""))&lt;&gt;"",IFERROR(INDEX('CAT_CENTROS_COSTO'!$E$4:$E$13,MATCH($F428,'CAT_CENTROS_COSTO'!$A$4:$A$13,0)),""),$V428))</f>
        <v/>
      </c>
      <c r="X428" s="3">
        <f>IF($F428="","",IFERROR(INDEX('CAT_CENTROS_COSTO'!$G$4:$G$13,MATCH($F428,'CAT_CENTROS_COSTO'!$A$4:$A$13,0)),"(sin catálogo)"))</f>
        <v/>
      </c>
      <c r="Y428" s="3">
        <f>IF($G428="","",IFERROR(INDEX('CAT_PUESTOS'!$B$4:$B$8,MATCH($G428,'CAT_PUESTOS'!$A$4:$A$8,0)),"(sin catálogo)"))</f>
        <v/>
      </c>
      <c r="Z428" s="3">
        <f>IF($H428="","",IFERROR(INDEX('CAT_ACTIVIDADES'!$B$4:$B$8,MATCH($H428,'CAT_ACTIVIDADES'!$A$4:$A$8,0)),"(sin catálogo)"))</f>
        <v/>
      </c>
      <c r="AA428" s="12">
        <f>IF($J428="","",TODAY()-$J428)</f>
        <v/>
      </c>
      <c r="AB428" s="12">
        <f>IF($J428="","",IF($J428&lt;=TODAY(),COUNTIFS(cal_fechas,"&gt;="&amp;$J428,cal_fechas,"&lt;"&amp;TODAY(),cal_habil,"sí"),-COUNTIFS(cal_fechas,"&gt;="&amp;TODAY(),cal_fechas,"&lt;"&amp;$J428,cal_habil,"sí")))</f>
        <v/>
      </c>
      <c r="AC428" s="3">
        <f>IF($AB428="","",IF($AB428&lt;0,"FUTURO",IF($AB428&gt;p_dias_backlog_max,"BACKLOG","MES CORRIENTE")))</f>
        <v/>
      </c>
      <c r="AD428" s="3">
        <f>IF($AB428="",FALSE,AND($AB428&gt;p_dias_backlog_min,$AB428&lt;=p_dias_backlog_max))</f>
        <v/>
      </c>
      <c r="AE428" s="6" t="n"/>
      <c r="AF428" s="3">
        <f>IF($AE428="","",IF((IFERROR(INDEX('ASIGNACIONES'!$F$4:$F$339,MATCH($O428&amp;"|"&amp;$R428&amp;"|"&amp;$AE428,'ASIGNACIONES'!$J$4:$J$339,0)),""))=0,"",IFERROR(INDEX('ASIGNACIONES'!$F$4:$F$339,MATCH($O428&amp;"|"&amp;$R428&amp;"|"&amp;$AE428,'ASIGNACIONES'!$J$4:$J$339,0)),"")))</f>
        <v/>
      </c>
      <c r="AG428" s="13">
        <f>IF($AE428="","",SUMIFS('ORDENES'!$M$4:$M$1203,'ORDENES'!$AE$4:$AE$1203,$AE428,'ORDENES'!$O$4:$O$1203,$O428,'ORDENES'!$R$4:$R$1203,$R428))</f>
        <v/>
      </c>
      <c r="AH428" s="13">
        <f>IF($AG428="","",p_factor_productividad*IFERROR(INDEX('ASIGNACIONES'!$I$4:$I$339,MATCH($O428&amp;"|"&amp;$R428&amp;"|"&amp;$AE428,'ASIGNACIONES'!$J$4:$J$339,0)),0)-$AG428)</f>
        <v/>
      </c>
      <c r="AI428" s="10">
        <f>IF($A428="","",IFERROR(INDEX('2_IMPORTAR_EJECUCION'!$F$9:$F$1208,MATCH($AQ428,'2_IMPORTAR_EJECUCION'!$J$9:$J$1208,0)),0))</f>
        <v/>
      </c>
      <c r="AJ428" s="10">
        <f>IF($A428="","",MAX(0,IFERROR(INDEX('2_IMPORTAR_EJECUCION'!$H$9:$H$1208,MATCH($AQ428,'2_IMPORTAR_EJECUCION'!$J$9:$J$1208,0)),0)-$AI428))</f>
        <v/>
      </c>
      <c r="AK428" s="10">
        <f>IF($A428="","",$AI428+$AJ428)</f>
        <v/>
      </c>
      <c r="AL428" s="6" t="n"/>
      <c r="AM428" s="6" t="n"/>
      <c r="AN428" s="6" t="n"/>
      <c r="AO428" s="3">
        <f>IF($AN428="","",HYPERLINK(p_ruta_base_checklists&amp;$AN428,"abrir"))</f>
        <v/>
      </c>
      <c r="AP428" s="6" t="n"/>
      <c r="AQ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IF($A429="","",IFERROR(INDEX('AJUSTES'!$B$4:$B$303,MATCH($AQ429,'AJUSTES'!$A$4:$A$303,0)),IF($K429="","",$K429)))</f>
        <v/>
      </c>
      <c r="N429" s="3">
        <f>IF($A429="","",IFERROR(INDEX('CAT_ESTADOS_ERP'!$B$4:$B$7,MATCH(IFERROR(INDEX('2_IMPORTAR_EJECUCION'!$C$9:$C$1208,MATCH($AQ429,'2_IMPORTAR_EJECUCION'!$J$9:$J$1208,0)),""),'CAT_ESTADOS_ERP'!$A$4:$A$7,0)),"Pendiente"))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J429="","",IFERROR(INDEX('CALENDARIO'!$C$15:$C$214,MATCH(TEXT($J429,"yyyy-mm-dd")&amp;"|"&amp;$V429&amp;"|"&amp;$W429,'CALENDARIO'!$G$15:$G$214,0)),IFERROR(INDEX('CALENDARIO'!$C$15:$C$214,MATCH(TEXT($J429,"yyyy-mm-dd")&amp;"|"&amp;$V429&amp;"|",'CALENDARIO'!$G$15:$G$214,0)),IFERROR(INDEX('CALENDARIO'!$C$15:$C$214,MATCH(TEXT($J429,"yyyy-mm-dd")&amp;"||",'CALENDARIO'!$G$15:$G$214,0)),INDEX(patronHabil,WEEKDAY($J429,2))))))</f>
        <v/>
      </c>
      <c r="T429" s="3">
        <f>IF($I429="","",IFERROR(INDEX('CAT_TIPOS_OT'!$C$4:$C$7,MATCH($I429,'CAT_TIPOS_OT'!$A$4:$A$7,0)),"sin_clasificar"))</f>
        <v/>
      </c>
      <c r="U429" s="3">
        <f>IF($F429="","",IFERROR(INDEX('CAT_CENTROS_COSTO'!$F$4:$F$13,MATCH($F429,'CAT_CENTROS_COSTO'!$A$4:$A$13,0)),"(sin catálogo)"))</f>
        <v/>
      </c>
      <c r="V429" s="3">
        <f>IF($F429="","",IFERROR(INDEX('CAT_CENTROS_COSTO'!$D$4:$D$13,MATCH($F429,'CAT_CENTROS_COSTO'!$A$4:$A$13,0)),"(sin catálogo)"))</f>
        <v/>
      </c>
      <c r="W429" s="3">
        <f>IF($F429="","",IF((IFERROR(INDEX('CAT_CENTROS_COSTO'!$E$4:$E$13,MATCH($F429,'CAT_CENTROS_COSTO'!$A$4:$A$13,0)),""))&lt;&gt;"",IFERROR(INDEX('CAT_CENTROS_COSTO'!$E$4:$E$13,MATCH($F429,'CAT_CENTROS_COSTO'!$A$4:$A$13,0)),""),$V429))</f>
        <v/>
      </c>
      <c r="X429" s="3">
        <f>IF($F429="","",IFERROR(INDEX('CAT_CENTROS_COSTO'!$G$4:$G$13,MATCH($F429,'CAT_CENTROS_COSTO'!$A$4:$A$13,0)),"(sin catálogo)"))</f>
        <v/>
      </c>
      <c r="Y429" s="3">
        <f>IF($G429="","",IFERROR(INDEX('CAT_PUESTOS'!$B$4:$B$8,MATCH($G429,'CAT_PUESTOS'!$A$4:$A$8,0)),"(sin catálogo)"))</f>
        <v/>
      </c>
      <c r="Z429" s="3">
        <f>IF($H429="","",IFERROR(INDEX('CAT_ACTIVIDADES'!$B$4:$B$8,MATCH($H429,'CAT_ACTIVIDADES'!$A$4:$A$8,0)),"(sin catálogo)"))</f>
        <v/>
      </c>
      <c r="AA429" s="12">
        <f>IF($J429="","",TODAY()-$J429)</f>
        <v/>
      </c>
      <c r="AB429" s="12">
        <f>IF($J429="","",IF($J429&lt;=TODAY(),COUNTIFS(cal_fechas,"&gt;="&amp;$J429,cal_fechas,"&lt;"&amp;TODAY(),cal_habil,"sí"),-COUNTIFS(cal_fechas,"&gt;="&amp;TODAY(),cal_fechas,"&lt;"&amp;$J429,cal_habil,"sí")))</f>
        <v/>
      </c>
      <c r="AC429" s="3">
        <f>IF($AB429="","",IF($AB429&lt;0,"FUTURO",IF($AB429&gt;p_dias_backlog_max,"BACKLOG","MES CORRIENTE")))</f>
        <v/>
      </c>
      <c r="AD429" s="3">
        <f>IF($AB429="",FALSE,AND($AB429&gt;p_dias_backlog_min,$AB429&lt;=p_dias_backlog_max))</f>
        <v/>
      </c>
      <c r="AE429" s="6" t="n"/>
      <c r="AF429" s="3">
        <f>IF($AE429="","",IF((IFERROR(INDEX('ASIGNACIONES'!$F$4:$F$339,MATCH($O429&amp;"|"&amp;$R429&amp;"|"&amp;$AE429,'ASIGNACIONES'!$J$4:$J$339,0)),""))=0,"",IFERROR(INDEX('ASIGNACIONES'!$F$4:$F$339,MATCH($O429&amp;"|"&amp;$R429&amp;"|"&amp;$AE429,'ASIGNACIONES'!$J$4:$J$339,0)),"")))</f>
        <v/>
      </c>
      <c r="AG429" s="13">
        <f>IF($AE429="","",SUMIFS('ORDENES'!$M$4:$M$1203,'ORDENES'!$AE$4:$AE$1203,$AE429,'ORDENES'!$O$4:$O$1203,$O429,'ORDENES'!$R$4:$R$1203,$R429))</f>
        <v/>
      </c>
      <c r="AH429" s="13">
        <f>IF($AG429="","",p_factor_productividad*IFERROR(INDEX('ASIGNACIONES'!$I$4:$I$339,MATCH($O429&amp;"|"&amp;$R429&amp;"|"&amp;$AE429,'ASIGNACIONES'!$J$4:$J$339,0)),0)-$AG429)</f>
        <v/>
      </c>
      <c r="AI429" s="10">
        <f>IF($A429="","",IFERROR(INDEX('2_IMPORTAR_EJECUCION'!$F$9:$F$1208,MATCH($AQ429,'2_IMPORTAR_EJECUCION'!$J$9:$J$1208,0)),0))</f>
        <v/>
      </c>
      <c r="AJ429" s="10">
        <f>IF($A429="","",MAX(0,IFERROR(INDEX('2_IMPORTAR_EJECUCION'!$H$9:$H$1208,MATCH($AQ429,'2_IMPORTAR_EJECUCION'!$J$9:$J$1208,0)),0)-$AI429))</f>
        <v/>
      </c>
      <c r="AK429" s="10">
        <f>IF($A429="","",$AI429+$AJ429)</f>
        <v/>
      </c>
      <c r="AL429" s="6" t="n"/>
      <c r="AM429" s="6" t="n"/>
      <c r="AN429" s="6" t="n"/>
      <c r="AO429" s="3">
        <f>IF($AN429="","",HYPERLINK(p_ruta_base_checklists&amp;$AN429,"abrir"))</f>
        <v/>
      </c>
      <c r="AP429" s="6" t="n"/>
      <c r="AQ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IF($A430="","",IFERROR(INDEX('AJUSTES'!$B$4:$B$303,MATCH($AQ430,'AJUSTES'!$A$4:$A$303,0)),IF($K430="","",$K430)))</f>
        <v/>
      </c>
      <c r="N430" s="3">
        <f>IF($A430="","",IFERROR(INDEX('CAT_ESTADOS_ERP'!$B$4:$B$7,MATCH(IFERROR(INDEX('2_IMPORTAR_EJECUCION'!$C$9:$C$1208,MATCH($AQ430,'2_IMPORTAR_EJECUCION'!$J$9:$J$1208,0)),""),'CAT_ESTADOS_ERP'!$A$4:$A$7,0)),"Pendiente"))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J430="","",IFERROR(INDEX('CALENDARIO'!$C$15:$C$214,MATCH(TEXT($J430,"yyyy-mm-dd")&amp;"|"&amp;$V430&amp;"|"&amp;$W430,'CALENDARIO'!$G$15:$G$214,0)),IFERROR(INDEX('CALENDARIO'!$C$15:$C$214,MATCH(TEXT($J430,"yyyy-mm-dd")&amp;"|"&amp;$V430&amp;"|",'CALENDARIO'!$G$15:$G$214,0)),IFERROR(INDEX('CALENDARIO'!$C$15:$C$214,MATCH(TEXT($J430,"yyyy-mm-dd")&amp;"||",'CALENDARIO'!$G$15:$G$214,0)),INDEX(patronHabil,WEEKDAY($J430,2))))))</f>
        <v/>
      </c>
      <c r="T430" s="3">
        <f>IF($I430="","",IFERROR(INDEX('CAT_TIPOS_OT'!$C$4:$C$7,MATCH($I430,'CAT_TIPOS_OT'!$A$4:$A$7,0)),"sin_clasificar"))</f>
        <v/>
      </c>
      <c r="U430" s="3">
        <f>IF($F430="","",IFERROR(INDEX('CAT_CENTROS_COSTO'!$F$4:$F$13,MATCH($F430,'CAT_CENTROS_COSTO'!$A$4:$A$13,0)),"(sin catálogo)"))</f>
        <v/>
      </c>
      <c r="V430" s="3">
        <f>IF($F430="","",IFERROR(INDEX('CAT_CENTROS_COSTO'!$D$4:$D$13,MATCH($F430,'CAT_CENTROS_COSTO'!$A$4:$A$13,0)),"(sin catálogo)"))</f>
        <v/>
      </c>
      <c r="W430" s="3">
        <f>IF($F430="","",IF((IFERROR(INDEX('CAT_CENTROS_COSTO'!$E$4:$E$13,MATCH($F430,'CAT_CENTROS_COSTO'!$A$4:$A$13,0)),""))&lt;&gt;"",IFERROR(INDEX('CAT_CENTROS_COSTO'!$E$4:$E$13,MATCH($F430,'CAT_CENTROS_COSTO'!$A$4:$A$13,0)),""),$V430))</f>
        <v/>
      </c>
      <c r="X430" s="3">
        <f>IF($F430="","",IFERROR(INDEX('CAT_CENTROS_COSTO'!$G$4:$G$13,MATCH($F430,'CAT_CENTROS_COSTO'!$A$4:$A$13,0)),"(sin catálogo)"))</f>
        <v/>
      </c>
      <c r="Y430" s="3">
        <f>IF($G430="","",IFERROR(INDEX('CAT_PUESTOS'!$B$4:$B$8,MATCH($G430,'CAT_PUESTOS'!$A$4:$A$8,0)),"(sin catálogo)"))</f>
        <v/>
      </c>
      <c r="Z430" s="3">
        <f>IF($H430="","",IFERROR(INDEX('CAT_ACTIVIDADES'!$B$4:$B$8,MATCH($H430,'CAT_ACTIVIDADES'!$A$4:$A$8,0)),"(sin catálogo)"))</f>
        <v/>
      </c>
      <c r="AA430" s="12">
        <f>IF($J430="","",TODAY()-$J430)</f>
        <v/>
      </c>
      <c r="AB430" s="12">
        <f>IF($J430="","",IF($J430&lt;=TODAY(),COUNTIFS(cal_fechas,"&gt;="&amp;$J430,cal_fechas,"&lt;"&amp;TODAY(),cal_habil,"sí"),-COUNTIFS(cal_fechas,"&gt;="&amp;TODAY(),cal_fechas,"&lt;"&amp;$J430,cal_habil,"sí")))</f>
        <v/>
      </c>
      <c r="AC430" s="3">
        <f>IF($AB430="","",IF($AB430&lt;0,"FUTURO",IF($AB430&gt;p_dias_backlog_max,"BACKLOG","MES CORRIENTE")))</f>
        <v/>
      </c>
      <c r="AD430" s="3">
        <f>IF($AB430="",FALSE,AND($AB430&gt;p_dias_backlog_min,$AB430&lt;=p_dias_backlog_max))</f>
        <v/>
      </c>
      <c r="AE430" s="6" t="n"/>
      <c r="AF430" s="3">
        <f>IF($AE430="","",IF((IFERROR(INDEX('ASIGNACIONES'!$F$4:$F$339,MATCH($O430&amp;"|"&amp;$R430&amp;"|"&amp;$AE430,'ASIGNACIONES'!$J$4:$J$339,0)),""))=0,"",IFERROR(INDEX('ASIGNACIONES'!$F$4:$F$339,MATCH($O430&amp;"|"&amp;$R430&amp;"|"&amp;$AE430,'ASIGNACIONES'!$J$4:$J$339,0)),"")))</f>
        <v/>
      </c>
      <c r="AG430" s="13">
        <f>IF($AE430="","",SUMIFS('ORDENES'!$M$4:$M$1203,'ORDENES'!$AE$4:$AE$1203,$AE430,'ORDENES'!$O$4:$O$1203,$O430,'ORDENES'!$R$4:$R$1203,$R430))</f>
        <v/>
      </c>
      <c r="AH430" s="13">
        <f>IF($AG430="","",p_factor_productividad*IFERROR(INDEX('ASIGNACIONES'!$I$4:$I$339,MATCH($O430&amp;"|"&amp;$R430&amp;"|"&amp;$AE430,'ASIGNACIONES'!$J$4:$J$339,0)),0)-$AG430)</f>
        <v/>
      </c>
      <c r="AI430" s="10">
        <f>IF($A430="","",IFERROR(INDEX('2_IMPORTAR_EJECUCION'!$F$9:$F$1208,MATCH($AQ430,'2_IMPORTAR_EJECUCION'!$J$9:$J$1208,0)),0))</f>
        <v/>
      </c>
      <c r="AJ430" s="10">
        <f>IF($A430="","",MAX(0,IFERROR(INDEX('2_IMPORTAR_EJECUCION'!$H$9:$H$1208,MATCH($AQ430,'2_IMPORTAR_EJECUCION'!$J$9:$J$1208,0)),0)-$AI430))</f>
        <v/>
      </c>
      <c r="AK430" s="10">
        <f>IF($A430="","",$AI430+$AJ430)</f>
        <v/>
      </c>
      <c r="AL430" s="6" t="n"/>
      <c r="AM430" s="6" t="n"/>
      <c r="AN430" s="6" t="n"/>
      <c r="AO430" s="3">
        <f>IF($AN430="","",HYPERLINK(p_ruta_base_checklists&amp;$AN430,"abrir"))</f>
        <v/>
      </c>
      <c r="AP430" s="6" t="n"/>
      <c r="AQ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IF($A431="","",IFERROR(INDEX('AJUSTES'!$B$4:$B$303,MATCH($AQ431,'AJUSTES'!$A$4:$A$303,0)),IF($K431="","",$K431)))</f>
        <v/>
      </c>
      <c r="N431" s="3">
        <f>IF($A431="","",IFERROR(INDEX('CAT_ESTADOS_ERP'!$B$4:$B$7,MATCH(IFERROR(INDEX('2_IMPORTAR_EJECUCION'!$C$9:$C$1208,MATCH($AQ431,'2_IMPORTAR_EJECUCION'!$J$9:$J$1208,0)),""),'CAT_ESTADOS_ERP'!$A$4:$A$7,0)),"Pendiente"))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J431="","",IFERROR(INDEX('CALENDARIO'!$C$15:$C$214,MATCH(TEXT($J431,"yyyy-mm-dd")&amp;"|"&amp;$V431&amp;"|"&amp;$W431,'CALENDARIO'!$G$15:$G$214,0)),IFERROR(INDEX('CALENDARIO'!$C$15:$C$214,MATCH(TEXT($J431,"yyyy-mm-dd")&amp;"|"&amp;$V431&amp;"|",'CALENDARIO'!$G$15:$G$214,0)),IFERROR(INDEX('CALENDARIO'!$C$15:$C$214,MATCH(TEXT($J431,"yyyy-mm-dd")&amp;"||",'CALENDARIO'!$G$15:$G$214,0)),INDEX(patronHabil,WEEKDAY($J431,2))))))</f>
        <v/>
      </c>
      <c r="T431" s="3">
        <f>IF($I431="","",IFERROR(INDEX('CAT_TIPOS_OT'!$C$4:$C$7,MATCH($I431,'CAT_TIPOS_OT'!$A$4:$A$7,0)),"sin_clasificar"))</f>
        <v/>
      </c>
      <c r="U431" s="3">
        <f>IF($F431="","",IFERROR(INDEX('CAT_CENTROS_COSTO'!$F$4:$F$13,MATCH($F431,'CAT_CENTROS_COSTO'!$A$4:$A$13,0)),"(sin catálogo)"))</f>
        <v/>
      </c>
      <c r="V431" s="3">
        <f>IF($F431="","",IFERROR(INDEX('CAT_CENTROS_COSTO'!$D$4:$D$13,MATCH($F431,'CAT_CENTROS_COSTO'!$A$4:$A$13,0)),"(sin catálogo)"))</f>
        <v/>
      </c>
      <c r="W431" s="3">
        <f>IF($F431="","",IF((IFERROR(INDEX('CAT_CENTROS_COSTO'!$E$4:$E$13,MATCH($F431,'CAT_CENTROS_COSTO'!$A$4:$A$13,0)),""))&lt;&gt;"",IFERROR(INDEX('CAT_CENTROS_COSTO'!$E$4:$E$13,MATCH($F431,'CAT_CENTROS_COSTO'!$A$4:$A$13,0)),""),$V431))</f>
        <v/>
      </c>
      <c r="X431" s="3">
        <f>IF($F431="","",IFERROR(INDEX('CAT_CENTROS_COSTO'!$G$4:$G$13,MATCH($F431,'CAT_CENTROS_COSTO'!$A$4:$A$13,0)),"(sin catálogo)"))</f>
        <v/>
      </c>
      <c r="Y431" s="3">
        <f>IF($G431="","",IFERROR(INDEX('CAT_PUESTOS'!$B$4:$B$8,MATCH($G431,'CAT_PUESTOS'!$A$4:$A$8,0)),"(sin catálogo)"))</f>
        <v/>
      </c>
      <c r="Z431" s="3">
        <f>IF($H431="","",IFERROR(INDEX('CAT_ACTIVIDADES'!$B$4:$B$8,MATCH($H431,'CAT_ACTIVIDADES'!$A$4:$A$8,0)),"(sin catálogo)"))</f>
        <v/>
      </c>
      <c r="AA431" s="12">
        <f>IF($J431="","",TODAY()-$J431)</f>
        <v/>
      </c>
      <c r="AB431" s="12">
        <f>IF($J431="","",IF($J431&lt;=TODAY(),COUNTIFS(cal_fechas,"&gt;="&amp;$J431,cal_fechas,"&lt;"&amp;TODAY(),cal_habil,"sí"),-COUNTIFS(cal_fechas,"&gt;="&amp;TODAY(),cal_fechas,"&lt;"&amp;$J431,cal_habil,"sí")))</f>
        <v/>
      </c>
      <c r="AC431" s="3">
        <f>IF($AB431="","",IF($AB431&lt;0,"FUTURO",IF($AB431&gt;p_dias_backlog_max,"BACKLOG","MES CORRIENTE")))</f>
        <v/>
      </c>
      <c r="AD431" s="3">
        <f>IF($AB431="",FALSE,AND($AB431&gt;p_dias_backlog_min,$AB431&lt;=p_dias_backlog_max))</f>
        <v/>
      </c>
      <c r="AE431" s="6" t="n"/>
      <c r="AF431" s="3">
        <f>IF($AE431="","",IF((IFERROR(INDEX('ASIGNACIONES'!$F$4:$F$339,MATCH($O431&amp;"|"&amp;$R431&amp;"|"&amp;$AE431,'ASIGNACIONES'!$J$4:$J$339,0)),""))=0,"",IFERROR(INDEX('ASIGNACIONES'!$F$4:$F$339,MATCH($O431&amp;"|"&amp;$R431&amp;"|"&amp;$AE431,'ASIGNACIONES'!$J$4:$J$339,0)),"")))</f>
        <v/>
      </c>
      <c r="AG431" s="13">
        <f>IF($AE431="","",SUMIFS('ORDENES'!$M$4:$M$1203,'ORDENES'!$AE$4:$AE$1203,$AE431,'ORDENES'!$O$4:$O$1203,$O431,'ORDENES'!$R$4:$R$1203,$R431))</f>
        <v/>
      </c>
      <c r="AH431" s="13">
        <f>IF($AG431="","",p_factor_productividad*IFERROR(INDEX('ASIGNACIONES'!$I$4:$I$339,MATCH($O431&amp;"|"&amp;$R431&amp;"|"&amp;$AE431,'ASIGNACIONES'!$J$4:$J$339,0)),0)-$AG431)</f>
        <v/>
      </c>
      <c r="AI431" s="10">
        <f>IF($A431="","",IFERROR(INDEX('2_IMPORTAR_EJECUCION'!$F$9:$F$1208,MATCH($AQ431,'2_IMPORTAR_EJECUCION'!$J$9:$J$1208,0)),0))</f>
        <v/>
      </c>
      <c r="AJ431" s="10">
        <f>IF($A431="","",MAX(0,IFERROR(INDEX('2_IMPORTAR_EJECUCION'!$H$9:$H$1208,MATCH($AQ431,'2_IMPORTAR_EJECUCION'!$J$9:$J$1208,0)),0)-$AI431))</f>
        <v/>
      </c>
      <c r="AK431" s="10">
        <f>IF($A431="","",$AI431+$AJ431)</f>
        <v/>
      </c>
      <c r="AL431" s="6" t="n"/>
      <c r="AM431" s="6" t="n"/>
      <c r="AN431" s="6" t="n"/>
      <c r="AO431" s="3">
        <f>IF($AN431="","",HYPERLINK(p_ruta_base_checklists&amp;$AN431,"abrir"))</f>
        <v/>
      </c>
      <c r="AP431" s="6" t="n"/>
      <c r="AQ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IF($A432="","",IFERROR(INDEX('AJUSTES'!$B$4:$B$303,MATCH($AQ432,'AJUSTES'!$A$4:$A$303,0)),IF($K432="","",$K432)))</f>
        <v/>
      </c>
      <c r="N432" s="3">
        <f>IF($A432="","",IFERROR(INDEX('CAT_ESTADOS_ERP'!$B$4:$B$7,MATCH(IFERROR(INDEX('2_IMPORTAR_EJECUCION'!$C$9:$C$1208,MATCH($AQ432,'2_IMPORTAR_EJECUCION'!$J$9:$J$1208,0)),""),'CAT_ESTADOS_ERP'!$A$4:$A$7,0)),"Pendiente"))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J432="","",IFERROR(INDEX('CALENDARIO'!$C$15:$C$214,MATCH(TEXT($J432,"yyyy-mm-dd")&amp;"|"&amp;$V432&amp;"|"&amp;$W432,'CALENDARIO'!$G$15:$G$214,0)),IFERROR(INDEX('CALENDARIO'!$C$15:$C$214,MATCH(TEXT($J432,"yyyy-mm-dd")&amp;"|"&amp;$V432&amp;"|",'CALENDARIO'!$G$15:$G$214,0)),IFERROR(INDEX('CALENDARIO'!$C$15:$C$214,MATCH(TEXT($J432,"yyyy-mm-dd")&amp;"||",'CALENDARIO'!$G$15:$G$214,0)),INDEX(patronHabil,WEEKDAY($J432,2))))))</f>
        <v/>
      </c>
      <c r="T432" s="3">
        <f>IF($I432="","",IFERROR(INDEX('CAT_TIPOS_OT'!$C$4:$C$7,MATCH($I432,'CAT_TIPOS_OT'!$A$4:$A$7,0)),"sin_clasificar"))</f>
        <v/>
      </c>
      <c r="U432" s="3">
        <f>IF($F432="","",IFERROR(INDEX('CAT_CENTROS_COSTO'!$F$4:$F$13,MATCH($F432,'CAT_CENTROS_COSTO'!$A$4:$A$13,0)),"(sin catálogo)"))</f>
        <v/>
      </c>
      <c r="V432" s="3">
        <f>IF($F432="","",IFERROR(INDEX('CAT_CENTROS_COSTO'!$D$4:$D$13,MATCH($F432,'CAT_CENTROS_COSTO'!$A$4:$A$13,0)),"(sin catálogo)"))</f>
        <v/>
      </c>
      <c r="W432" s="3">
        <f>IF($F432="","",IF((IFERROR(INDEX('CAT_CENTROS_COSTO'!$E$4:$E$13,MATCH($F432,'CAT_CENTROS_COSTO'!$A$4:$A$13,0)),""))&lt;&gt;"",IFERROR(INDEX('CAT_CENTROS_COSTO'!$E$4:$E$13,MATCH($F432,'CAT_CENTROS_COSTO'!$A$4:$A$13,0)),""),$V432))</f>
        <v/>
      </c>
      <c r="X432" s="3">
        <f>IF($F432="","",IFERROR(INDEX('CAT_CENTROS_COSTO'!$G$4:$G$13,MATCH($F432,'CAT_CENTROS_COSTO'!$A$4:$A$13,0)),"(sin catálogo)"))</f>
        <v/>
      </c>
      <c r="Y432" s="3">
        <f>IF($G432="","",IFERROR(INDEX('CAT_PUESTOS'!$B$4:$B$8,MATCH($G432,'CAT_PUESTOS'!$A$4:$A$8,0)),"(sin catálogo)"))</f>
        <v/>
      </c>
      <c r="Z432" s="3">
        <f>IF($H432="","",IFERROR(INDEX('CAT_ACTIVIDADES'!$B$4:$B$8,MATCH($H432,'CAT_ACTIVIDADES'!$A$4:$A$8,0)),"(sin catálogo)"))</f>
        <v/>
      </c>
      <c r="AA432" s="12">
        <f>IF($J432="","",TODAY()-$J432)</f>
        <v/>
      </c>
      <c r="AB432" s="12">
        <f>IF($J432="","",IF($J432&lt;=TODAY(),COUNTIFS(cal_fechas,"&gt;="&amp;$J432,cal_fechas,"&lt;"&amp;TODAY(),cal_habil,"sí"),-COUNTIFS(cal_fechas,"&gt;="&amp;TODAY(),cal_fechas,"&lt;"&amp;$J432,cal_habil,"sí")))</f>
        <v/>
      </c>
      <c r="AC432" s="3">
        <f>IF($AB432="","",IF($AB432&lt;0,"FUTURO",IF($AB432&gt;p_dias_backlog_max,"BACKLOG","MES CORRIENTE")))</f>
        <v/>
      </c>
      <c r="AD432" s="3">
        <f>IF($AB432="",FALSE,AND($AB432&gt;p_dias_backlog_min,$AB432&lt;=p_dias_backlog_max))</f>
        <v/>
      </c>
      <c r="AE432" s="6" t="n"/>
      <c r="AF432" s="3">
        <f>IF($AE432="","",IF((IFERROR(INDEX('ASIGNACIONES'!$F$4:$F$339,MATCH($O432&amp;"|"&amp;$R432&amp;"|"&amp;$AE432,'ASIGNACIONES'!$J$4:$J$339,0)),""))=0,"",IFERROR(INDEX('ASIGNACIONES'!$F$4:$F$339,MATCH($O432&amp;"|"&amp;$R432&amp;"|"&amp;$AE432,'ASIGNACIONES'!$J$4:$J$339,0)),"")))</f>
        <v/>
      </c>
      <c r="AG432" s="13">
        <f>IF($AE432="","",SUMIFS('ORDENES'!$M$4:$M$1203,'ORDENES'!$AE$4:$AE$1203,$AE432,'ORDENES'!$O$4:$O$1203,$O432,'ORDENES'!$R$4:$R$1203,$R432))</f>
        <v/>
      </c>
      <c r="AH432" s="13">
        <f>IF($AG432="","",p_factor_productividad*IFERROR(INDEX('ASIGNACIONES'!$I$4:$I$339,MATCH($O432&amp;"|"&amp;$R432&amp;"|"&amp;$AE432,'ASIGNACIONES'!$J$4:$J$339,0)),0)-$AG432)</f>
        <v/>
      </c>
      <c r="AI432" s="10">
        <f>IF($A432="","",IFERROR(INDEX('2_IMPORTAR_EJECUCION'!$F$9:$F$1208,MATCH($AQ432,'2_IMPORTAR_EJECUCION'!$J$9:$J$1208,0)),0))</f>
        <v/>
      </c>
      <c r="AJ432" s="10">
        <f>IF($A432="","",MAX(0,IFERROR(INDEX('2_IMPORTAR_EJECUCION'!$H$9:$H$1208,MATCH($AQ432,'2_IMPORTAR_EJECUCION'!$J$9:$J$1208,0)),0)-$AI432))</f>
        <v/>
      </c>
      <c r="AK432" s="10">
        <f>IF($A432="","",$AI432+$AJ432)</f>
        <v/>
      </c>
      <c r="AL432" s="6" t="n"/>
      <c r="AM432" s="6" t="n"/>
      <c r="AN432" s="6" t="n"/>
      <c r="AO432" s="3">
        <f>IF($AN432="","",HYPERLINK(p_ruta_base_checklists&amp;$AN432,"abrir"))</f>
        <v/>
      </c>
      <c r="AP432" s="6" t="n"/>
      <c r="AQ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IF($A433="","",IFERROR(INDEX('AJUSTES'!$B$4:$B$303,MATCH($AQ433,'AJUSTES'!$A$4:$A$303,0)),IF($K433="","",$K433)))</f>
        <v/>
      </c>
      <c r="N433" s="3">
        <f>IF($A433="","",IFERROR(INDEX('CAT_ESTADOS_ERP'!$B$4:$B$7,MATCH(IFERROR(INDEX('2_IMPORTAR_EJECUCION'!$C$9:$C$1208,MATCH($AQ433,'2_IMPORTAR_EJECUCION'!$J$9:$J$1208,0)),""),'CAT_ESTADOS_ERP'!$A$4:$A$7,0)),"Pendiente"))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J433="","",IFERROR(INDEX('CALENDARIO'!$C$15:$C$214,MATCH(TEXT($J433,"yyyy-mm-dd")&amp;"|"&amp;$V433&amp;"|"&amp;$W433,'CALENDARIO'!$G$15:$G$214,0)),IFERROR(INDEX('CALENDARIO'!$C$15:$C$214,MATCH(TEXT($J433,"yyyy-mm-dd")&amp;"|"&amp;$V433&amp;"|",'CALENDARIO'!$G$15:$G$214,0)),IFERROR(INDEX('CALENDARIO'!$C$15:$C$214,MATCH(TEXT($J433,"yyyy-mm-dd")&amp;"||",'CALENDARIO'!$G$15:$G$214,0)),INDEX(patronHabil,WEEKDAY($J433,2))))))</f>
        <v/>
      </c>
      <c r="T433" s="3">
        <f>IF($I433="","",IFERROR(INDEX('CAT_TIPOS_OT'!$C$4:$C$7,MATCH($I433,'CAT_TIPOS_OT'!$A$4:$A$7,0)),"sin_clasificar"))</f>
        <v/>
      </c>
      <c r="U433" s="3">
        <f>IF($F433="","",IFERROR(INDEX('CAT_CENTROS_COSTO'!$F$4:$F$13,MATCH($F433,'CAT_CENTROS_COSTO'!$A$4:$A$13,0)),"(sin catálogo)"))</f>
        <v/>
      </c>
      <c r="V433" s="3">
        <f>IF($F433="","",IFERROR(INDEX('CAT_CENTROS_COSTO'!$D$4:$D$13,MATCH($F433,'CAT_CENTROS_COSTO'!$A$4:$A$13,0)),"(sin catálogo)"))</f>
        <v/>
      </c>
      <c r="W433" s="3">
        <f>IF($F433="","",IF((IFERROR(INDEX('CAT_CENTROS_COSTO'!$E$4:$E$13,MATCH($F433,'CAT_CENTROS_COSTO'!$A$4:$A$13,0)),""))&lt;&gt;"",IFERROR(INDEX('CAT_CENTROS_COSTO'!$E$4:$E$13,MATCH($F433,'CAT_CENTROS_COSTO'!$A$4:$A$13,0)),""),$V433))</f>
        <v/>
      </c>
      <c r="X433" s="3">
        <f>IF($F433="","",IFERROR(INDEX('CAT_CENTROS_COSTO'!$G$4:$G$13,MATCH($F433,'CAT_CENTROS_COSTO'!$A$4:$A$13,0)),"(sin catálogo)"))</f>
        <v/>
      </c>
      <c r="Y433" s="3">
        <f>IF($G433="","",IFERROR(INDEX('CAT_PUESTOS'!$B$4:$B$8,MATCH($G433,'CAT_PUESTOS'!$A$4:$A$8,0)),"(sin catálogo)"))</f>
        <v/>
      </c>
      <c r="Z433" s="3">
        <f>IF($H433="","",IFERROR(INDEX('CAT_ACTIVIDADES'!$B$4:$B$8,MATCH($H433,'CAT_ACTIVIDADES'!$A$4:$A$8,0)),"(sin catálogo)"))</f>
        <v/>
      </c>
      <c r="AA433" s="12">
        <f>IF($J433="","",TODAY()-$J433)</f>
        <v/>
      </c>
      <c r="AB433" s="12">
        <f>IF($J433="","",IF($J433&lt;=TODAY(),COUNTIFS(cal_fechas,"&gt;="&amp;$J433,cal_fechas,"&lt;"&amp;TODAY(),cal_habil,"sí"),-COUNTIFS(cal_fechas,"&gt;="&amp;TODAY(),cal_fechas,"&lt;"&amp;$J433,cal_habil,"sí")))</f>
        <v/>
      </c>
      <c r="AC433" s="3">
        <f>IF($AB433="","",IF($AB433&lt;0,"FUTURO",IF($AB433&gt;p_dias_backlog_max,"BACKLOG","MES CORRIENTE")))</f>
        <v/>
      </c>
      <c r="AD433" s="3">
        <f>IF($AB433="",FALSE,AND($AB433&gt;p_dias_backlog_min,$AB433&lt;=p_dias_backlog_max))</f>
        <v/>
      </c>
      <c r="AE433" s="6" t="n"/>
      <c r="AF433" s="3">
        <f>IF($AE433="","",IF((IFERROR(INDEX('ASIGNACIONES'!$F$4:$F$339,MATCH($O433&amp;"|"&amp;$R433&amp;"|"&amp;$AE433,'ASIGNACIONES'!$J$4:$J$339,0)),""))=0,"",IFERROR(INDEX('ASIGNACIONES'!$F$4:$F$339,MATCH($O433&amp;"|"&amp;$R433&amp;"|"&amp;$AE433,'ASIGNACIONES'!$J$4:$J$339,0)),"")))</f>
        <v/>
      </c>
      <c r="AG433" s="13">
        <f>IF($AE433="","",SUMIFS('ORDENES'!$M$4:$M$1203,'ORDENES'!$AE$4:$AE$1203,$AE433,'ORDENES'!$O$4:$O$1203,$O433,'ORDENES'!$R$4:$R$1203,$R433))</f>
        <v/>
      </c>
      <c r="AH433" s="13">
        <f>IF($AG433="","",p_factor_productividad*IFERROR(INDEX('ASIGNACIONES'!$I$4:$I$339,MATCH($O433&amp;"|"&amp;$R433&amp;"|"&amp;$AE433,'ASIGNACIONES'!$J$4:$J$339,0)),0)-$AG433)</f>
        <v/>
      </c>
      <c r="AI433" s="10">
        <f>IF($A433="","",IFERROR(INDEX('2_IMPORTAR_EJECUCION'!$F$9:$F$1208,MATCH($AQ433,'2_IMPORTAR_EJECUCION'!$J$9:$J$1208,0)),0))</f>
        <v/>
      </c>
      <c r="AJ433" s="10">
        <f>IF($A433="","",MAX(0,IFERROR(INDEX('2_IMPORTAR_EJECUCION'!$H$9:$H$1208,MATCH($AQ433,'2_IMPORTAR_EJECUCION'!$J$9:$J$1208,0)),0)-$AI433))</f>
        <v/>
      </c>
      <c r="AK433" s="10">
        <f>IF($A433="","",$AI433+$AJ433)</f>
        <v/>
      </c>
      <c r="AL433" s="6" t="n"/>
      <c r="AM433" s="6" t="n"/>
      <c r="AN433" s="6" t="n"/>
      <c r="AO433" s="3">
        <f>IF($AN433="","",HYPERLINK(p_ruta_base_checklists&amp;$AN433,"abrir"))</f>
        <v/>
      </c>
      <c r="AP433" s="6" t="n"/>
      <c r="AQ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IF($A434="","",IFERROR(INDEX('AJUSTES'!$B$4:$B$303,MATCH($AQ434,'AJUSTES'!$A$4:$A$303,0)),IF($K434="","",$K434)))</f>
        <v/>
      </c>
      <c r="N434" s="3">
        <f>IF($A434="","",IFERROR(INDEX('CAT_ESTADOS_ERP'!$B$4:$B$7,MATCH(IFERROR(INDEX('2_IMPORTAR_EJECUCION'!$C$9:$C$1208,MATCH($AQ434,'2_IMPORTAR_EJECUCION'!$J$9:$J$1208,0)),""),'CAT_ESTADOS_ERP'!$A$4:$A$7,0)),"Pendiente"))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J434="","",IFERROR(INDEX('CALENDARIO'!$C$15:$C$214,MATCH(TEXT($J434,"yyyy-mm-dd")&amp;"|"&amp;$V434&amp;"|"&amp;$W434,'CALENDARIO'!$G$15:$G$214,0)),IFERROR(INDEX('CALENDARIO'!$C$15:$C$214,MATCH(TEXT($J434,"yyyy-mm-dd")&amp;"|"&amp;$V434&amp;"|",'CALENDARIO'!$G$15:$G$214,0)),IFERROR(INDEX('CALENDARIO'!$C$15:$C$214,MATCH(TEXT($J434,"yyyy-mm-dd")&amp;"||",'CALENDARIO'!$G$15:$G$214,0)),INDEX(patronHabil,WEEKDAY($J434,2))))))</f>
        <v/>
      </c>
      <c r="T434" s="3">
        <f>IF($I434="","",IFERROR(INDEX('CAT_TIPOS_OT'!$C$4:$C$7,MATCH($I434,'CAT_TIPOS_OT'!$A$4:$A$7,0)),"sin_clasificar"))</f>
        <v/>
      </c>
      <c r="U434" s="3">
        <f>IF($F434="","",IFERROR(INDEX('CAT_CENTROS_COSTO'!$F$4:$F$13,MATCH($F434,'CAT_CENTROS_COSTO'!$A$4:$A$13,0)),"(sin catálogo)"))</f>
        <v/>
      </c>
      <c r="V434" s="3">
        <f>IF($F434="","",IFERROR(INDEX('CAT_CENTROS_COSTO'!$D$4:$D$13,MATCH($F434,'CAT_CENTROS_COSTO'!$A$4:$A$13,0)),"(sin catálogo)"))</f>
        <v/>
      </c>
      <c r="W434" s="3">
        <f>IF($F434="","",IF((IFERROR(INDEX('CAT_CENTROS_COSTO'!$E$4:$E$13,MATCH($F434,'CAT_CENTROS_COSTO'!$A$4:$A$13,0)),""))&lt;&gt;"",IFERROR(INDEX('CAT_CENTROS_COSTO'!$E$4:$E$13,MATCH($F434,'CAT_CENTROS_COSTO'!$A$4:$A$13,0)),""),$V434))</f>
        <v/>
      </c>
      <c r="X434" s="3">
        <f>IF($F434="","",IFERROR(INDEX('CAT_CENTROS_COSTO'!$G$4:$G$13,MATCH($F434,'CAT_CENTROS_COSTO'!$A$4:$A$13,0)),"(sin catálogo)"))</f>
        <v/>
      </c>
      <c r="Y434" s="3">
        <f>IF($G434="","",IFERROR(INDEX('CAT_PUESTOS'!$B$4:$B$8,MATCH($G434,'CAT_PUESTOS'!$A$4:$A$8,0)),"(sin catálogo)"))</f>
        <v/>
      </c>
      <c r="Z434" s="3">
        <f>IF($H434="","",IFERROR(INDEX('CAT_ACTIVIDADES'!$B$4:$B$8,MATCH($H434,'CAT_ACTIVIDADES'!$A$4:$A$8,0)),"(sin catálogo)"))</f>
        <v/>
      </c>
      <c r="AA434" s="12">
        <f>IF($J434="","",TODAY()-$J434)</f>
        <v/>
      </c>
      <c r="AB434" s="12">
        <f>IF($J434="","",IF($J434&lt;=TODAY(),COUNTIFS(cal_fechas,"&gt;="&amp;$J434,cal_fechas,"&lt;"&amp;TODAY(),cal_habil,"sí"),-COUNTIFS(cal_fechas,"&gt;="&amp;TODAY(),cal_fechas,"&lt;"&amp;$J434,cal_habil,"sí")))</f>
        <v/>
      </c>
      <c r="AC434" s="3">
        <f>IF($AB434="","",IF($AB434&lt;0,"FUTURO",IF($AB434&gt;p_dias_backlog_max,"BACKLOG","MES CORRIENTE")))</f>
        <v/>
      </c>
      <c r="AD434" s="3">
        <f>IF($AB434="",FALSE,AND($AB434&gt;p_dias_backlog_min,$AB434&lt;=p_dias_backlog_max))</f>
        <v/>
      </c>
      <c r="AE434" s="6" t="n"/>
      <c r="AF434" s="3">
        <f>IF($AE434="","",IF((IFERROR(INDEX('ASIGNACIONES'!$F$4:$F$339,MATCH($O434&amp;"|"&amp;$R434&amp;"|"&amp;$AE434,'ASIGNACIONES'!$J$4:$J$339,0)),""))=0,"",IFERROR(INDEX('ASIGNACIONES'!$F$4:$F$339,MATCH($O434&amp;"|"&amp;$R434&amp;"|"&amp;$AE434,'ASIGNACIONES'!$J$4:$J$339,0)),"")))</f>
        <v/>
      </c>
      <c r="AG434" s="13">
        <f>IF($AE434="","",SUMIFS('ORDENES'!$M$4:$M$1203,'ORDENES'!$AE$4:$AE$1203,$AE434,'ORDENES'!$O$4:$O$1203,$O434,'ORDENES'!$R$4:$R$1203,$R434))</f>
        <v/>
      </c>
      <c r="AH434" s="13">
        <f>IF($AG434="","",p_factor_productividad*IFERROR(INDEX('ASIGNACIONES'!$I$4:$I$339,MATCH($O434&amp;"|"&amp;$R434&amp;"|"&amp;$AE434,'ASIGNACIONES'!$J$4:$J$339,0)),0)-$AG434)</f>
        <v/>
      </c>
      <c r="AI434" s="10">
        <f>IF($A434="","",IFERROR(INDEX('2_IMPORTAR_EJECUCION'!$F$9:$F$1208,MATCH($AQ434,'2_IMPORTAR_EJECUCION'!$J$9:$J$1208,0)),0))</f>
        <v/>
      </c>
      <c r="AJ434" s="10">
        <f>IF($A434="","",MAX(0,IFERROR(INDEX('2_IMPORTAR_EJECUCION'!$H$9:$H$1208,MATCH($AQ434,'2_IMPORTAR_EJECUCION'!$J$9:$J$1208,0)),0)-$AI434))</f>
        <v/>
      </c>
      <c r="AK434" s="10">
        <f>IF($A434="","",$AI434+$AJ434)</f>
        <v/>
      </c>
      <c r="AL434" s="6" t="n"/>
      <c r="AM434" s="6" t="n"/>
      <c r="AN434" s="6" t="n"/>
      <c r="AO434" s="3">
        <f>IF($AN434="","",HYPERLINK(p_ruta_base_checklists&amp;$AN434,"abrir"))</f>
        <v/>
      </c>
      <c r="AP434" s="6" t="n"/>
      <c r="AQ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IF($A435="","",IFERROR(INDEX('AJUSTES'!$B$4:$B$303,MATCH($AQ435,'AJUSTES'!$A$4:$A$303,0)),IF($K435="","",$K435)))</f>
        <v/>
      </c>
      <c r="N435" s="3">
        <f>IF($A435="","",IFERROR(INDEX('CAT_ESTADOS_ERP'!$B$4:$B$7,MATCH(IFERROR(INDEX('2_IMPORTAR_EJECUCION'!$C$9:$C$1208,MATCH($AQ435,'2_IMPORTAR_EJECUCION'!$J$9:$J$1208,0)),""),'CAT_ESTADOS_ERP'!$A$4:$A$7,0)),"Pendiente"))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J435="","",IFERROR(INDEX('CALENDARIO'!$C$15:$C$214,MATCH(TEXT($J435,"yyyy-mm-dd")&amp;"|"&amp;$V435&amp;"|"&amp;$W435,'CALENDARIO'!$G$15:$G$214,0)),IFERROR(INDEX('CALENDARIO'!$C$15:$C$214,MATCH(TEXT($J435,"yyyy-mm-dd")&amp;"|"&amp;$V435&amp;"|",'CALENDARIO'!$G$15:$G$214,0)),IFERROR(INDEX('CALENDARIO'!$C$15:$C$214,MATCH(TEXT($J435,"yyyy-mm-dd")&amp;"||",'CALENDARIO'!$G$15:$G$214,0)),INDEX(patronHabil,WEEKDAY($J435,2))))))</f>
        <v/>
      </c>
      <c r="T435" s="3">
        <f>IF($I435="","",IFERROR(INDEX('CAT_TIPOS_OT'!$C$4:$C$7,MATCH($I435,'CAT_TIPOS_OT'!$A$4:$A$7,0)),"sin_clasificar"))</f>
        <v/>
      </c>
      <c r="U435" s="3">
        <f>IF($F435="","",IFERROR(INDEX('CAT_CENTROS_COSTO'!$F$4:$F$13,MATCH($F435,'CAT_CENTROS_COSTO'!$A$4:$A$13,0)),"(sin catálogo)"))</f>
        <v/>
      </c>
      <c r="V435" s="3">
        <f>IF($F435="","",IFERROR(INDEX('CAT_CENTROS_COSTO'!$D$4:$D$13,MATCH($F435,'CAT_CENTROS_COSTO'!$A$4:$A$13,0)),"(sin catálogo)"))</f>
        <v/>
      </c>
      <c r="W435" s="3">
        <f>IF($F435="","",IF((IFERROR(INDEX('CAT_CENTROS_COSTO'!$E$4:$E$13,MATCH($F435,'CAT_CENTROS_COSTO'!$A$4:$A$13,0)),""))&lt;&gt;"",IFERROR(INDEX('CAT_CENTROS_COSTO'!$E$4:$E$13,MATCH($F435,'CAT_CENTROS_COSTO'!$A$4:$A$13,0)),""),$V435))</f>
        <v/>
      </c>
      <c r="X435" s="3">
        <f>IF($F435="","",IFERROR(INDEX('CAT_CENTROS_COSTO'!$G$4:$G$13,MATCH($F435,'CAT_CENTROS_COSTO'!$A$4:$A$13,0)),"(sin catálogo)"))</f>
        <v/>
      </c>
      <c r="Y435" s="3">
        <f>IF($G435="","",IFERROR(INDEX('CAT_PUESTOS'!$B$4:$B$8,MATCH($G435,'CAT_PUESTOS'!$A$4:$A$8,0)),"(sin catálogo)"))</f>
        <v/>
      </c>
      <c r="Z435" s="3">
        <f>IF($H435="","",IFERROR(INDEX('CAT_ACTIVIDADES'!$B$4:$B$8,MATCH($H435,'CAT_ACTIVIDADES'!$A$4:$A$8,0)),"(sin catálogo)"))</f>
        <v/>
      </c>
      <c r="AA435" s="12">
        <f>IF($J435="","",TODAY()-$J435)</f>
        <v/>
      </c>
      <c r="AB435" s="12">
        <f>IF($J435="","",IF($J435&lt;=TODAY(),COUNTIFS(cal_fechas,"&gt;="&amp;$J435,cal_fechas,"&lt;"&amp;TODAY(),cal_habil,"sí"),-COUNTIFS(cal_fechas,"&gt;="&amp;TODAY(),cal_fechas,"&lt;"&amp;$J435,cal_habil,"sí")))</f>
        <v/>
      </c>
      <c r="AC435" s="3">
        <f>IF($AB435="","",IF($AB435&lt;0,"FUTURO",IF($AB435&gt;p_dias_backlog_max,"BACKLOG","MES CORRIENTE")))</f>
        <v/>
      </c>
      <c r="AD435" s="3">
        <f>IF($AB435="",FALSE,AND($AB435&gt;p_dias_backlog_min,$AB435&lt;=p_dias_backlog_max))</f>
        <v/>
      </c>
      <c r="AE435" s="6" t="n"/>
      <c r="AF435" s="3">
        <f>IF($AE435="","",IF((IFERROR(INDEX('ASIGNACIONES'!$F$4:$F$339,MATCH($O435&amp;"|"&amp;$R435&amp;"|"&amp;$AE435,'ASIGNACIONES'!$J$4:$J$339,0)),""))=0,"",IFERROR(INDEX('ASIGNACIONES'!$F$4:$F$339,MATCH($O435&amp;"|"&amp;$R435&amp;"|"&amp;$AE435,'ASIGNACIONES'!$J$4:$J$339,0)),"")))</f>
        <v/>
      </c>
      <c r="AG435" s="13">
        <f>IF($AE435="","",SUMIFS('ORDENES'!$M$4:$M$1203,'ORDENES'!$AE$4:$AE$1203,$AE435,'ORDENES'!$O$4:$O$1203,$O435,'ORDENES'!$R$4:$R$1203,$R435))</f>
        <v/>
      </c>
      <c r="AH435" s="13">
        <f>IF($AG435="","",p_factor_productividad*IFERROR(INDEX('ASIGNACIONES'!$I$4:$I$339,MATCH($O435&amp;"|"&amp;$R435&amp;"|"&amp;$AE435,'ASIGNACIONES'!$J$4:$J$339,0)),0)-$AG435)</f>
        <v/>
      </c>
      <c r="AI435" s="10">
        <f>IF($A435="","",IFERROR(INDEX('2_IMPORTAR_EJECUCION'!$F$9:$F$1208,MATCH($AQ435,'2_IMPORTAR_EJECUCION'!$J$9:$J$1208,0)),0))</f>
        <v/>
      </c>
      <c r="AJ435" s="10">
        <f>IF($A435="","",MAX(0,IFERROR(INDEX('2_IMPORTAR_EJECUCION'!$H$9:$H$1208,MATCH($AQ435,'2_IMPORTAR_EJECUCION'!$J$9:$J$1208,0)),0)-$AI435))</f>
        <v/>
      </c>
      <c r="AK435" s="10">
        <f>IF($A435="","",$AI435+$AJ435)</f>
        <v/>
      </c>
      <c r="AL435" s="6" t="n"/>
      <c r="AM435" s="6" t="n"/>
      <c r="AN435" s="6" t="n"/>
      <c r="AO435" s="3">
        <f>IF($AN435="","",HYPERLINK(p_ruta_base_checklists&amp;$AN435,"abrir"))</f>
        <v/>
      </c>
      <c r="AP435" s="6" t="n"/>
      <c r="AQ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IF($A436="","",IFERROR(INDEX('AJUSTES'!$B$4:$B$303,MATCH($AQ436,'AJUSTES'!$A$4:$A$303,0)),IF($K436="","",$K436)))</f>
        <v/>
      </c>
      <c r="N436" s="3">
        <f>IF($A436="","",IFERROR(INDEX('CAT_ESTADOS_ERP'!$B$4:$B$7,MATCH(IFERROR(INDEX('2_IMPORTAR_EJECUCION'!$C$9:$C$1208,MATCH($AQ436,'2_IMPORTAR_EJECUCION'!$J$9:$J$1208,0)),""),'CAT_ESTADOS_ERP'!$A$4:$A$7,0)),"Pendiente"))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J436="","",IFERROR(INDEX('CALENDARIO'!$C$15:$C$214,MATCH(TEXT($J436,"yyyy-mm-dd")&amp;"|"&amp;$V436&amp;"|"&amp;$W436,'CALENDARIO'!$G$15:$G$214,0)),IFERROR(INDEX('CALENDARIO'!$C$15:$C$214,MATCH(TEXT($J436,"yyyy-mm-dd")&amp;"|"&amp;$V436&amp;"|",'CALENDARIO'!$G$15:$G$214,0)),IFERROR(INDEX('CALENDARIO'!$C$15:$C$214,MATCH(TEXT($J436,"yyyy-mm-dd")&amp;"||",'CALENDARIO'!$G$15:$G$214,0)),INDEX(patronHabil,WEEKDAY($J436,2))))))</f>
        <v/>
      </c>
      <c r="T436" s="3">
        <f>IF($I436="","",IFERROR(INDEX('CAT_TIPOS_OT'!$C$4:$C$7,MATCH($I436,'CAT_TIPOS_OT'!$A$4:$A$7,0)),"sin_clasificar"))</f>
        <v/>
      </c>
      <c r="U436" s="3">
        <f>IF($F436="","",IFERROR(INDEX('CAT_CENTROS_COSTO'!$F$4:$F$13,MATCH($F436,'CAT_CENTROS_COSTO'!$A$4:$A$13,0)),"(sin catálogo)"))</f>
        <v/>
      </c>
      <c r="V436" s="3">
        <f>IF($F436="","",IFERROR(INDEX('CAT_CENTROS_COSTO'!$D$4:$D$13,MATCH($F436,'CAT_CENTROS_COSTO'!$A$4:$A$13,0)),"(sin catálogo)"))</f>
        <v/>
      </c>
      <c r="W436" s="3">
        <f>IF($F436="","",IF((IFERROR(INDEX('CAT_CENTROS_COSTO'!$E$4:$E$13,MATCH($F436,'CAT_CENTROS_COSTO'!$A$4:$A$13,0)),""))&lt;&gt;"",IFERROR(INDEX('CAT_CENTROS_COSTO'!$E$4:$E$13,MATCH($F436,'CAT_CENTROS_COSTO'!$A$4:$A$13,0)),""),$V436))</f>
        <v/>
      </c>
      <c r="X436" s="3">
        <f>IF($F436="","",IFERROR(INDEX('CAT_CENTROS_COSTO'!$G$4:$G$13,MATCH($F436,'CAT_CENTROS_COSTO'!$A$4:$A$13,0)),"(sin catálogo)"))</f>
        <v/>
      </c>
      <c r="Y436" s="3">
        <f>IF($G436="","",IFERROR(INDEX('CAT_PUESTOS'!$B$4:$B$8,MATCH($G436,'CAT_PUESTOS'!$A$4:$A$8,0)),"(sin catálogo)"))</f>
        <v/>
      </c>
      <c r="Z436" s="3">
        <f>IF($H436="","",IFERROR(INDEX('CAT_ACTIVIDADES'!$B$4:$B$8,MATCH($H436,'CAT_ACTIVIDADES'!$A$4:$A$8,0)),"(sin catálogo)"))</f>
        <v/>
      </c>
      <c r="AA436" s="12">
        <f>IF($J436="","",TODAY()-$J436)</f>
        <v/>
      </c>
      <c r="AB436" s="12">
        <f>IF($J436="","",IF($J436&lt;=TODAY(),COUNTIFS(cal_fechas,"&gt;="&amp;$J436,cal_fechas,"&lt;"&amp;TODAY(),cal_habil,"sí"),-COUNTIFS(cal_fechas,"&gt;="&amp;TODAY(),cal_fechas,"&lt;"&amp;$J436,cal_habil,"sí")))</f>
        <v/>
      </c>
      <c r="AC436" s="3">
        <f>IF($AB436="","",IF($AB436&lt;0,"FUTURO",IF($AB436&gt;p_dias_backlog_max,"BACKLOG","MES CORRIENTE")))</f>
        <v/>
      </c>
      <c r="AD436" s="3">
        <f>IF($AB436="",FALSE,AND($AB436&gt;p_dias_backlog_min,$AB436&lt;=p_dias_backlog_max))</f>
        <v/>
      </c>
      <c r="AE436" s="6" t="n"/>
      <c r="AF436" s="3">
        <f>IF($AE436="","",IF((IFERROR(INDEX('ASIGNACIONES'!$F$4:$F$339,MATCH($O436&amp;"|"&amp;$R436&amp;"|"&amp;$AE436,'ASIGNACIONES'!$J$4:$J$339,0)),""))=0,"",IFERROR(INDEX('ASIGNACIONES'!$F$4:$F$339,MATCH($O436&amp;"|"&amp;$R436&amp;"|"&amp;$AE436,'ASIGNACIONES'!$J$4:$J$339,0)),"")))</f>
        <v/>
      </c>
      <c r="AG436" s="13">
        <f>IF($AE436="","",SUMIFS('ORDENES'!$M$4:$M$1203,'ORDENES'!$AE$4:$AE$1203,$AE436,'ORDENES'!$O$4:$O$1203,$O436,'ORDENES'!$R$4:$R$1203,$R436))</f>
        <v/>
      </c>
      <c r="AH436" s="13">
        <f>IF($AG436="","",p_factor_productividad*IFERROR(INDEX('ASIGNACIONES'!$I$4:$I$339,MATCH($O436&amp;"|"&amp;$R436&amp;"|"&amp;$AE436,'ASIGNACIONES'!$J$4:$J$339,0)),0)-$AG436)</f>
        <v/>
      </c>
      <c r="AI436" s="10">
        <f>IF($A436="","",IFERROR(INDEX('2_IMPORTAR_EJECUCION'!$F$9:$F$1208,MATCH($AQ436,'2_IMPORTAR_EJECUCION'!$J$9:$J$1208,0)),0))</f>
        <v/>
      </c>
      <c r="AJ436" s="10">
        <f>IF($A436="","",MAX(0,IFERROR(INDEX('2_IMPORTAR_EJECUCION'!$H$9:$H$1208,MATCH($AQ436,'2_IMPORTAR_EJECUCION'!$J$9:$J$1208,0)),0)-$AI436))</f>
        <v/>
      </c>
      <c r="AK436" s="10">
        <f>IF($A436="","",$AI436+$AJ436)</f>
        <v/>
      </c>
      <c r="AL436" s="6" t="n"/>
      <c r="AM436" s="6" t="n"/>
      <c r="AN436" s="6" t="n"/>
      <c r="AO436" s="3">
        <f>IF($AN436="","",HYPERLINK(p_ruta_base_checklists&amp;$AN436,"abrir"))</f>
        <v/>
      </c>
      <c r="AP436" s="6" t="n"/>
      <c r="AQ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IF($A437="","",IFERROR(INDEX('AJUSTES'!$B$4:$B$303,MATCH($AQ437,'AJUSTES'!$A$4:$A$303,0)),IF($K437="","",$K437)))</f>
        <v/>
      </c>
      <c r="N437" s="3">
        <f>IF($A437="","",IFERROR(INDEX('CAT_ESTADOS_ERP'!$B$4:$B$7,MATCH(IFERROR(INDEX('2_IMPORTAR_EJECUCION'!$C$9:$C$1208,MATCH($AQ437,'2_IMPORTAR_EJECUCION'!$J$9:$J$1208,0)),""),'CAT_ESTADOS_ERP'!$A$4:$A$7,0)),"Pendiente"))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J437="","",IFERROR(INDEX('CALENDARIO'!$C$15:$C$214,MATCH(TEXT($J437,"yyyy-mm-dd")&amp;"|"&amp;$V437&amp;"|"&amp;$W437,'CALENDARIO'!$G$15:$G$214,0)),IFERROR(INDEX('CALENDARIO'!$C$15:$C$214,MATCH(TEXT($J437,"yyyy-mm-dd")&amp;"|"&amp;$V437&amp;"|",'CALENDARIO'!$G$15:$G$214,0)),IFERROR(INDEX('CALENDARIO'!$C$15:$C$214,MATCH(TEXT($J437,"yyyy-mm-dd")&amp;"||",'CALENDARIO'!$G$15:$G$214,0)),INDEX(patronHabil,WEEKDAY($J437,2))))))</f>
        <v/>
      </c>
      <c r="T437" s="3">
        <f>IF($I437="","",IFERROR(INDEX('CAT_TIPOS_OT'!$C$4:$C$7,MATCH($I437,'CAT_TIPOS_OT'!$A$4:$A$7,0)),"sin_clasificar"))</f>
        <v/>
      </c>
      <c r="U437" s="3">
        <f>IF($F437="","",IFERROR(INDEX('CAT_CENTROS_COSTO'!$F$4:$F$13,MATCH($F437,'CAT_CENTROS_COSTO'!$A$4:$A$13,0)),"(sin catálogo)"))</f>
        <v/>
      </c>
      <c r="V437" s="3">
        <f>IF($F437="","",IFERROR(INDEX('CAT_CENTROS_COSTO'!$D$4:$D$13,MATCH($F437,'CAT_CENTROS_COSTO'!$A$4:$A$13,0)),"(sin catálogo)"))</f>
        <v/>
      </c>
      <c r="W437" s="3">
        <f>IF($F437="","",IF((IFERROR(INDEX('CAT_CENTROS_COSTO'!$E$4:$E$13,MATCH($F437,'CAT_CENTROS_COSTO'!$A$4:$A$13,0)),""))&lt;&gt;"",IFERROR(INDEX('CAT_CENTROS_COSTO'!$E$4:$E$13,MATCH($F437,'CAT_CENTROS_COSTO'!$A$4:$A$13,0)),""),$V437))</f>
        <v/>
      </c>
      <c r="X437" s="3">
        <f>IF($F437="","",IFERROR(INDEX('CAT_CENTROS_COSTO'!$G$4:$G$13,MATCH($F437,'CAT_CENTROS_COSTO'!$A$4:$A$13,0)),"(sin catálogo)"))</f>
        <v/>
      </c>
      <c r="Y437" s="3">
        <f>IF($G437="","",IFERROR(INDEX('CAT_PUESTOS'!$B$4:$B$8,MATCH($G437,'CAT_PUESTOS'!$A$4:$A$8,0)),"(sin catálogo)"))</f>
        <v/>
      </c>
      <c r="Z437" s="3">
        <f>IF($H437="","",IFERROR(INDEX('CAT_ACTIVIDADES'!$B$4:$B$8,MATCH($H437,'CAT_ACTIVIDADES'!$A$4:$A$8,0)),"(sin catálogo)"))</f>
        <v/>
      </c>
      <c r="AA437" s="12">
        <f>IF($J437="","",TODAY()-$J437)</f>
        <v/>
      </c>
      <c r="AB437" s="12">
        <f>IF($J437="","",IF($J437&lt;=TODAY(),COUNTIFS(cal_fechas,"&gt;="&amp;$J437,cal_fechas,"&lt;"&amp;TODAY(),cal_habil,"sí"),-COUNTIFS(cal_fechas,"&gt;="&amp;TODAY(),cal_fechas,"&lt;"&amp;$J437,cal_habil,"sí")))</f>
        <v/>
      </c>
      <c r="AC437" s="3">
        <f>IF($AB437="","",IF($AB437&lt;0,"FUTURO",IF($AB437&gt;p_dias_backlog_max,"BACKLOG","MES CORRIENTE")))</f>
        <v/>
      </c>
      <c r="AD437" s="3">
        <f>IF($AB437="",FALSE,AND($AB437&gt;p_dias_backlog_min,$AB437&lt;=p_dias_backlog_max))</f>
        <v/>
      </c>
      <c r="AE437" s="6" t="n"/>
      <c r="AF437" s="3">
        <f>IF($AE437="","",IF((IFERROR(INDEX('ASIGNACIONES'!$F$4:$F$339,MATCH($O437&amp;"|"&amp;$R437&amp;"|"&amp;$AE437,'ASIGNACIONES'!$J$4:$J$339,0)),""))=0,"",IFERROR(INDEX('ASIGNACIONES'!$F$4:$F$339,MATCH($O437&amp;"|"&amp;$R437&amp;"|"&amp;$AE437,'ASIGNACIONES'!$J$4:$J$339,0)),"")))</f>
        <v/>
      </c>
      <c r="AG437" s="13">
        <f>IF($AE437="","",SUMIFS('ORDENES'!$M$4:$M$1203,'ORDENES'!$AE$4:$AE$1203,$AE437,'ORDENES'!$O$4:$O$1203,$O437,'ORDENES'!$R$4:$R$1203,$R437))</f>
        <v/>
      </c>
      <c r="AH437" s="13">
        <f>IF($AG437="","",p_factor_productividad*IFERROR(INDEX('ASIGNACIONES'!$I$4:$I$339,MATCH($O437&amp;"|"&amp;$R437&amp;"|"&amp;$AE437,'ASIGNACIONES'!$J$4:$J$339,0)),0)-$AG437)</f>
        <v/>
      </c>
      <c r="AI437" s="10">
        <f>IF($A437="","",IFERROR(INDEX('2_IMPORTAR_EJECUCION'!$F$9:$F$1208,MATCH($AQ437,'2_IMPORTAR_EJECUCION'!$J$9:$J$1208,0)),0))</f>
        <v/>
      </c>
      <c r="AJ437" s="10">
        <f>IF($A437="","",MAX(0,IFERROR(INDEX('2_IMPORTAR_EJECUCION'!$H$9:$H$1208,MATCH($AQ437,'2_IMPORTAR_EJECUCION'!$J$9:$J$1208,0)),0)-$AI437))</f>
        <v/>
      </c>
      <c r="AK437" s="10">
        <f>IF($A437="","",$AI437+$AJ437)</f>
        <v/>
      </c>
      <c r="AL437" s="6" t="n"/>
      <c r="AM437" s="6" t="n"/>
      <c r="AN437" s="6" t="n"/>
      <c r="AO437" s="3">
        <f>IF($AN437="","",HYPERLINK(p_ruta_base_checklists&amp;$AN437,"abrir"))</f>
        <v/>
      </c>
      <c r="AP437" s="6" t="n"/>
      <c r="AQ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IF($A438="","",IFERROR(INDEX('AJUSTES'!$B$4:$B$303,MATCH($AQ438,'AJUSTES'!$A$4:$A$303,0)),IF($K438="","",$K438)))</f>
        <v/>
      </c>
      <c r="N438" s="3">
        <f>IF($A438="","",IFERROR(INDEX('CAT_ESTADOS_ERP'!$B$4:$B$7,MATCH(IFERROR(INDEX('2_IMPORTAR_EJECUCION'!$C$9:$C$1208,MATCH($AQ438,'2_IMPORTAR_EJECUCION'!$J$9:$J$1208,0)),""),'CAT_ESTADOS_ERP'!$A$4:$A$7,0)),"Pendiente"))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J438="","",IFERROR(INDEX('CALENDARIO'!$C$15:$C$214,MATCH(TEXT($J438,"yyyy-mm-dd")&amp;"|"&amp;$V438&amp;"|"&amp;$W438,'CALENDARIO'!$G$15:$G$214,0)),IFERROR(INDEX('CALENDARIO'!$C$15:$C$214,MATCH(TEXT($J438,"yyyy-mm-dd")&amp;"|"&amp;$V438&amp;"|",'CALENDARIO'!$G$15:$G$214,0)),IFERROR(INDEX('CALENDARIO'!$C$15:$C$214,MATCH(TEXT($J438,"yyyy-mm-dd")&amp;"||",'CALENDARIO'!$G$15:$G$214,0)),INDEX(patronHabil,WEEKDAY($J438,2))))))</f>
        <v/>
      </c>
      <c r="T438" s="3">
        <f>IF($I438="","",IFERROR(INDEX('CAT_TIPOS_OT'!$C$4:$C$7,MATCH($I438,'CAT_TIPOS_OT'!$A$4:$A$7,0)),"sin_clasificar"))</f>
        <v/>
      </c>
      <c r="U438" s="3">
        <f>IF($F438="","",IFERROR(INDEX('CAT_CENTROS_COSTO'!$F$4:$F$13,MATCH($F438,'CAT_CENTROS_COSTO'!$A$4:$A$13,0)),"(sin catálogo)"))</f>
        <v/>
      </c>
      <c r="V438" s="3">
        <f>IF($F438="","",IFERROR(INDEX('CAT_CENTROS_COSTO'!$D$4:$D$13,MATCH($F438,'CAT_CENTROS_COSTO'!$A$4:$A$13,0)),"(sin catálogo)"))</f>
        <v/>
      </c>
      <c r="W438" s="3">
        <f>IF($F438="","",IF((IFERROR(INDEX('CAT_CENTROS_COSTO'!$E$4:$E$13,MATCH($F438,'CAT_CENTROS_COSTO'!$A$4:$A$13,0)),""))&lt;&gt;"",IFERROR(INDEX('CAT_CENTROS_COSTO'!$E$4:$E$13,MATCH($F438,'CAT_CENTROS_COSTO'!$A$4:$A$13,0)),""),$V438))</f>
        <v/>
      </c>
      <c r="X438" s="3">
        <f>IF($F438="","",IFERROR(INDEX('CAT_CENTROS_COSTO'!$G$4:$G$13,MATCH($F438,'CAT_CENTROS_COSTO'!$A$4:$A$13,0)),"(sin catálogo)"))</f>
        <v/>
      </c>
      <c r="Y438" s="3">
        <f>IF($G438="","",IFERROR(INDEX('CAT_PUESTOS'!$B$4:$B$8,MATCH($G438,'CAT_PUESTOS'!$A$4:$A$8,0)),"(sin catálogo)"))</f>
        <v/>
      </c>
      <c r="Z438" s="3">
        <f>IF($H438="","",IFERROR(INDEX('CAT_ACTIVIDADES'!$B$4:$B$8,MATCH($H438,'CAT_ACTIVIDADES'!$A$4:$A$8,0)),"(sin catálogo)"))</f>
        <v/>
      </c>
      <c r="AA438" s="12">
        <f>IF($J438="","",TODAY()-$J438)</f>
        <v/>
      </c>
      <c r="AB438" s="12">
        <f>IF($J438="","",IF($J438&lt;=TODAY(),COUNTIFS(cal_fechas,"&gt;="&amp;$J438,cal_fechas,"&lt;"&amp;TODAY(),cal_habil,"sí"),-COUNTIFS(cal_fechas,"&gt;="&amp;TODAY(),cal_fechas,"&lt;"&amp;$J438,cal_habil,"sí")))</f>
        <v/>
      </c>
      <c r="AC438" s="3">
        <f>IF($AB438="","",IF($AB438&lt;0,"FUTURO",IF($AB438&gt;p_dias_backlog_max,"BACKLOG","MES CORRIENTE")))</f>
        <v/>
      </c>
      <c r="AD438" s="3">
        <f>IF($AB438="",FALSE,AND($AB438&gt;p_dias_backlog_min,$AB438&lt;=p_dias_backlog_max))</f>
        <v/>
      </c>
      <c r="AE438" s="6" t="n"/>
      <c r="AF438" s="3">
        <f>IF($AE438="","",IF((IFERROR(INDEX('ASIGNACIONES'!$F$4:$F$339,MATCH($O438&amp;"|"&amp;$R438&amp;"|"&amp;$AE438,'ASIGNACIONES'!$J$4:$J$339,0)),""))=0,"",IFERROR(INDEX('ASIGNACIONES'!$F$4:$F$339,MATCH($O438&amp;"|"&amp;$R438&amp;"|"&amp;$AE438,'ASIGNACIONES'!$J$4:$J$339,0)),"")))</f>
        <v/>
      </c>
      <c r="AG438" s="13">
        <f>IF($AE438="","",SUMIFS('ORDENES'!$M$4:$M$1203,'ORDENES'!$AE$4:$AE$1203,$AE438,'ORDENES'!$O$4:$O$1203,$O438,'ORDENES'!$R$4:$R$1203,$R438))</f>
        <v/>
      </c>
      <c r="AH438" s="13">
        <f>IF($AG438="","",p_factor_productividad*IFERROR(INDEX('ASIGNACIONES'!$I$4:$I$339,MATCH($O438&amp;"|"&amp;$R438&amp;"|"&amp;$AE438,'ASIGNACIONES'!$J$4:$J$339,0)),0)-$AG438)</f>
        <v/>
      </c>
      <c r="AI438" s="10">
        <f>IF($A438="","",IFERROR(INDEX('2_IMPORTAR_EJECUCION'!$F$9:$F$1208,MATCH($AQ438,'2_IMPORTAR_EJECUCION'!$J$9:$J$1208,0)),0))</f>
        <v/>
      </c>
      <c r="AJ438" s="10">
        <f>IF($A438="","",MAX(0,IFERROR(INDEX('2_IMPORTAR_EJECUCION'!$H$9:$H$1208,MATCH($AQ438,'2_IMPORTAR_EJECUCION'!$J$9:$J$1208,0)),0)-$AI438))</f>
        <v/>
      </c>
      <c r="AK438" s="10">
        <f>IF($A438="","",$AI438+$AJ438)</f>
        <v/>
      </c>
      <c r="AL438" s="6" t="n"/>
      <c r="AM438" s="6" t="n"/>
      <c r="AN438" s="6" t="n"/>
      <c r="AO438" s="3">
        <f>IF($AN438="","",HYPERLINK(p_ruta_base_checklists&amp;$AN438,"abrir"))</f>
        <v/>
      </c>
      <c r="AP438" s="6" t="n"/>
      <c r="AQ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IF($A439="","",IFERROR(INDEX('AJUSTES'!$B$4:$B$303,MATCH($AQ439,'AJUSTES'!$A$4:$A$303,0)),IF($K439="","",$K439)))</f>
        <v/>
      </c>
      <c r="N439" s="3">
        <f>IF($A439="","",IFERROR(INDEX('CAT_ESTADOS_ERP'!$B$4:$B$7,MATCH(IFERROR(INDEX('2_IMPORTAR_EJECUCION'!$C$9:$C$1208,MATCH($AQ439,'2_IMPORTAR_EJECUCION'!$J$9:$J$1208,0)),""),'CAT_ESTADOS_ERP'!$A$4:$A$7,0)),"Pendiente"))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J439="","",IFERROR(INDEX('CALENDARIO'!$C$15:$C$214,MATCH(TEXT($J439,"yyyy-mm-dd")&amp;"|"&amp;$V439&amp;"|"&amp;$W439,'CALENDARIO'!$G$15:$G$214,0)),IFERROR(INDEX('CALENDARIO'!$C$15:$C$214,MATCH(TEXT($J439,"yyyy-mm-dd")&amp;"|"&amp;$V439&amp;"|",'CALENDARIO'!$G$15:$G$214,0)),IFERROR(INDEX('CALENDARIO'!$C$15:$C$214,MATCH(TEXT($J439,"yyyy-mm-dd")&amp;"||",'CALENDARIO'!$G$15:$G$214,0)),INDEX(patronHabil,WEEKDAY($J439,2))))))</f>
        <v/>
      </c>
      <c r="T439" s="3">
        <f>IF($I439="","",IFERROR(INDEX('CAT_TIPOS_OT'!$C$4:$C$7,MATCH($I439,'CAT_TIPOS_OT'!$A$4:$A$7,0)),"sin_clasificar"))</f>
        <v/>
      </c>
      <c r="U439" s="3">
        <f>IF($F439="","",IFERROR(INDEX('CAT_CENTROS_COSTO'!$F$4:$F$13,MATCH($F439,'CAT_CENTROS_COSTO'!$A$4:$A$13,0)),"(sin catálogo)"))</f>
        <v/>
      </c>
      <c r="V439" s="3">
        <f>IF($F439="","",IFERROR(INDEX('CAT_CENTROS_COSTO'!$D$4:$D$13,MATCH($F439,'CAT_CENTROS_COSTO'!$A$4:$A$13,0)),"(sin catálogo)"))</f>
        <v/>
      </c>
      <c r="W439" s="3">
        <f>IF($F439="","",IF((IFERROR(INDEX('CAT_CENTROS_COSTO'!$E$4:$E$13,MATCH($F439,'CAT_CENTROS_COSTO'!$A$4:$A$13,0)),""))&lt;&gt;"",IFERROR(INDEX('CAT_CENTROS_COSTO'!$E$4:$E$13,MATCH($F439,'CAT_CENTROS_COSTO'!$A$4:$A$13,0)),""),$V439))</f>
        <v/>
      </c>
      <c r="X439" s="3">
        <f>IF($F439="","",IFERROR(INDEX('CAT_CENTROS_COSTO'!$G$4:$G$13,MATCH($F439,'CAT_CENTROS_COSTO'!$A$4:$A$13,0)),"(sin catálogo)"))</f>
        <v/>
      </c>
      <c r="Y439" s="3">
        <f>IF($G439="","",IFERROR(INDEX('CAT_PUESTOS'!$B$4:$B$8,MATCH($G439,'CAT_PUESTOS'!$A$4:$A$8,0)),"(sin catálogo)"))</f>
        <v/>
      </c>
      <c r="Z439" s="3">
        <f>IF($H439="","",IFERROR(INDEX('CAT_ACTIVIDADES'!$B$4:$B$8,MATCH($H439,'CAT_ACTIVIDADES'!$A$4:$A$8,0)),"(sin catálogo)"))</f>
        <v/>
      </c>
      <c r="AA439" s="12">
        <f>IF($J439="","",TODAY()-$J439)</f>
        <v/>
      </c>
      <c r="AB439" s="12">
        <f>IF($J439="","",IF($J439&lt;=TODAY(),COUNTIFS(cal_fechas,"&gt;="&amp;$J439,cal_fechas,"&lt;"&amp;TODAY(),cal_habil,"sí"),-COUNTIFS(cal_fechas,"&gt;="&amp;TODAY(),cal_fechas,"&lt;"&amp;$J439,cal_habil,"sí")))</f>
        <v/>
      </c>
      <c r="AC439" s="3">
        <f>IF($AB439="","",IF($AB439&lt;0,"FUTURO",IF($AB439&gt;p_dias_backlog_max,"BACKLOG","MES CORRIENTE")))</f>
        <v/>
      </c>
      <c r="AD439" s="3">
        <f>IF($AB439="",FALSE,AND($AB439&gt;p_dias_backlog_min,$AB439&lt;=p_dias_backlog_max))</f>
        <v/>
      </c>
      <c r="AE439" s="6" t="n"/>
      <c r="AF439" s="3">
        <f>IF($AE439="","",IF((IFERROR(INDEX('ASIGNACIONES'!$F$4:$F$339,MATCH($O439&amp;"|"&amp;$R439&amp;"|"&amp;$AE439,'ASIGNACIONES'!$J$4:$J$339,0)),""))=0,"",IFERROR(INDEX('ASIGNACIONES'!$F$4:$F$339,MATCH($O439&amp;"|"&amp;$R439&amp;"|"&amp;$AE439,'ASIGNACIONES'!$J$4:$J$339,0)),"")))</f>
        <v/>
      </c>
      <c r="AG439" s="13">
        <f>IF($AE439="","",SUMIFS('ORDENES'!$M$4:$M$1203,'ORDENES'!$AE$4:$AE$1203,$AE439,'ORDENES'!$O$4:$O$1203,$O439,'ORDENES'!$R$4:$R$1203,$R439))</f>
        <v/>
      </c>
      <c r="AH439" s="13">
        <f>IF($AG439="","",p_factor_productividad*IFERROR(INDEX('ASIGNACIONES'!$I$4:$I$339,MATCH($O439&amp;"|"&amp;$R439&amp;"|"&amp;$AE439,'ASIGNACIONES'!$J$4:$J$339,0)),0)-$AG439)</f>
        <v/>
      </c>
      <c r="AI439" s="10">
        <f>IF($A439="","",IFERROR(INDEX('2_IMPORTAR_EJECUCION'!$F$9:$F$1208,MATCH($AQ439,'2_IMPORTAR_EJECUCION'!$J$9:$J$1208,0)),0))</f>
        <v/>
      </c>
      <c r="AJ439" s="10">
        <f>IF($A439="","",MAX(0,IFERROR(INDEX('2_IMPORTAR_EJECUCION'!$H$9:$H$1208,MATCH($AQ439,'2_IMPORTAR_EJECUCION'!$J$9:$J$1208,0)),0)-$AI439))</f>
        <v/>
      </c>
      <c r="AK439" s="10">
        <f>IF($A439="","",$AI439+$AJ439)</f>
        <v/>
      </c>
      <c r="AL439" s="6" t="n"/>
      <c r="AM439" s="6" t="n"/>
      <c r="AN439" s="6" t="n"/>
      <c r="AO439" s="3">
        <f>IF($AN439="","",HYPERLINK(p_ruta_base_checklists&amp;$AN439,"abrir"))</f>
        <v/>
      </c>
      <c r="AP439" s="6" t="n"/>
      <c r="AQ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IF($A440="","",IFERROR(INDEX('AJUSTES'!$B$4:$B$303,MATCH($AQ440,'AJUSTES'!$A$4:$A$303,0)),IF($K440="","",$K440)))</f>
        <v/>
      </c>
      <c r="N440" s="3">
        <f>IF($A440="","",IFERROR(INDEX('CAT_ESTADOS_ERP'!$B$4:$B$7,MATCH(IFERROR(INDEX('2_IMPORTAR_EJECUCION'!$C$9:$C$1208,MATCH($AQ440,'2_IMPORTAR_EJECUCION'!$J$9:$J$1208,0)),""),'CAT_ESTADOS_ERP'!$A$4:$A$7,0)),"Pendiente"))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J440="","",IFERROR(INDEX('CALENDARIO'!$C$15:$C$214,MATCH(TEXT($J440,"yyyy-mm-dd")&amp;"|"&amp;$V440&amp;"|"&amp;$W440,'CALENDARIO'!$G$15:$G$214,0)),IFERROR(INDEX('CALENDARIO'!$C$15:$C$214,MATCH(TEXT($J440,"yyyy-mm-dd")&amp;"|"&amp;$V440&amp;"|",'CALENDARIO'!$G$15:$G$214,0)),IFERROR(INDEX('CALENDARIO'!$C$15:$C$214,MATCH(TEXT($J440,"yyyy-mm-dd")&amp;"||",'CALENDARIO'!$G$15:$G$214,0)),INDEX(patronHabil,WEEKDAY($J440,2))))))</f>
        <v/>
      </c>
      <c r="T440" s="3">
        <f>IF($I440="","",IFERROR(INDEX('CAT_TIPOS_OT'!$C$4:$C$7,MATCH($I440,'CAT_TIPOS_OT'!$A$4:$A$7,0)),"sin_clasificar"))</f>
        <v/>
      </c>
      <c r="U440" s="3">
        <f>IF($F440="","",IFERROR(INDEX('CAT_CENTROS_COSTO'!$F$4:$F$13,MATCH($F440,'CAT_CENTROS_COSTO'!$A$4:$A$13,0)),"(sin catálogo)"))</f>
        <v/>
      </c>
      <c r="V440" s="3">
        <f>IF($F440="","",IFERROR(INDEX('CAT_CENTROS_COSTO'!$D$4:$D$13,MATCH($F440,'CAT_CENTROS_COSTO'!$A$4:$A$13,0)),"(sin catálogo)"))</f>
        <v/>
      </c>
      <c r="W440" s="3">
        <f>IF($F440="","",IF((IFERROR(INDEX('CAT_CENTROS_COSTO'!$E$4:$E$13,MATCH($F440,'CAT_CENTROS_COSTO'!$A$4:$A$13,0)),""))&lt;&gt;"",IFERROR(INDEX('CAT_CENTROS_COSTO'!$E$4:$E$13,MATCH($F440,'CAT_CENTROS_COSTO'!$A$4:$A$13,0)),""),$V440))</f>
        <v/>
      </c>
      <c r="X440" s="3">
        <f>IF($F440="","",IFERROR(INDEX('CAT_CENTROS_COSTO'!$G$4:$G$13,MATCH($F440,'CAT_CENTROS_COSTO'!$A$4:$A$13,0)),"(sin catálogo)"))</f>
        <v/>
      </c>
      <c r="Y440" s="3">
        <f>IF($G440="","",IFERROR(INDEX('CAT_PUESTOS'!$B$4:$B$8,MATCH($G440,'CAT_PUESTOS'!$A$4:$A$8,0)),"(sin catálogo)"))</f>
        <v/>
      </c>
      <c r="Z440" s="3">
        <f>IF($H440="","",IFERROR(INDEX('CAT_ACTIVIDADES'!$B$4:$B$8,MATCH($H440,'CAT_ACTIVIDADES'!$A$4:$A$8,0)),"(sin catálogo)"))</f>
        <v/>
      </c>
      <c r="AA440" s="12">
        <f>IF($J440="","",TODAY()-$J440)</f>
        <v/>
      </c>
      <c r="AB440" s="12">
        <f>IF($J440="","",IF($J440&lt;=TODAY(),COUNTIFS(cal_fechas,"&gt;="&amp;$J440,cal_fechas,"&lt;"&amp;TODAY(),cal_habil,"sí"),-COUNTIFS(cal_fechas,"&gt;="&amp;TODAY(),cal_fechas,"&lt;"&amp;$J440,cal_habil,"sí")))</f>
        <v/>
      </c>
      <c r="AC440" s="3">
        <f>IF($AB440="","",IF($AB440&lt;0,"FUTURO",IF($AB440&gt;p_dias_backlog_max,"BACKLOG","MES CORRIENTE")))</f>
        <v/>
      </c>
      <c r="AD440" s="3">
        <f>IF($AB440="",FALSE,AND($AB440&gt;p_dias_backlog_min,$AB440&lt;=p_dias_backlog_max))</f>
        <v/>
      </c>
      <c r="AE440" s="6" t="n"/>
      <c r="AF440" s="3">
        <f>IF($AE440="","",IF((IFERROR(INDEX('ASIGNACIONES'!$F$4:$F$339,MATCH($O440&amp;"|"&amp;$R440&amp;"|"&amp;$AE440,'ASIGNACIONES'!$J$4:$J$339,0)),""))=0,"",IFERROR(INDEX('ASIGNACIONES'!$F$4:$F$339,MATCH($O440&amp;"|"&amp;$R440&amp;"|"&amp;$AE440,'ASIGNACIONES'!$J$4:$J$339,0)),"")))</f>
        <v/>
      </c>
      <c r="AG440" s="13">
        <f>IF($AE440="","",SUMIFS('ORDENES'!$M$4:$M$1203,'ORDENES'!$AE$4:$AE$1203,$AE440,'ORDENES'!$O$4:$O$1203,$O440,'ORDENES'!$R$4:$R$1203,$R440))</f>
        <v/>
      </c>
      <c r="AH440" s="13">
        <f>IF($AG440="","",p_factor_productividad*IFERROR(INDEX('ASIGNACIONES'!$I$4:$I$339,MATCH($O440&amp;"|"&amp;$R440&amp;"|"&amp;$AE440,'ASIGNACIONES'!$J$4:$J$339,0)),0)-$AG440)</f>
        <v/>
      </c>
      <c r="AI440" s="10">
        <f>IF($A440="","",IFERROR(INDEX('2_IMPORTAR_EJECUCION'!$F$9:$F$1208,MATCH($AQ440,'2_IMPORTAR_EJECUCION'!$J$9:$J$1208,0)),0))</f>
        <v/>
      </c>
      <c r="AJ440" s="10">
        <f>IF($A440="","",MAX(0,IFERROR(INDEX('2_IMPORTAR_EJECUCION'!$H$9:$H$1208,MATCH($AQ440,'2_IMPORTAR_EJECUCION'!$J$9:$J$1208,0)),0)-$AI440))</f>
        <v/>
      </c>
      <c r="AK440" s="10">
        <f>IF($A440="","",$AI440+$AJ440)</f>
        <v/>
      </c>
      <c r="AL440" s="6" t="n"/>
      <c r="AM440" s="6" t="n"/>
      <c r="AN440" s="6" t="n"/>
      <c r="AO440" s="3">
        <f>IF($AN440="","",HYPERLINK(p_ruta_base_checklists&amp;$AN440,"abrir"))</f>
        <v/>
      </c>
      <c r="AP440" s="6" t="n"/>
      <c r="AQ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IF($A441="","",IFERROR(INDEX('AJUSTES'!$B$4:$B$303,MATCH($AQ441,'AJUSTES'!$A$4:$A$303,0)),IF($K441="","",$K441)))</f>
        <v/>
      </c>
      <c r="N441" s="3">
        <f>IF($A441="","",IFERROR(INDEX('CAT_ESTADOS_ERP'!$B$4:$B$7,MATCH(IFERROR(INDEX('2_IMPORTAR_EJECUCION'!$C$9:$C$1208,MATCH($AQ441,'2_IMPORTAR_EJECUCION'!$J$9:$J$1208,0)),""),'CAT_ESTADOS_ERP'!$A$4:$A$7,0)),"Pendiente"))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J441="","",IFERROR(INDEX('CALENDARIO'!$C$15:$C$214,MATCH(TEXT($J441,"yyyy-mm-dd")&amp;"|"&amp;$V441&amp;"|"&amp;$W441,'CALENDARIO'!$G$15:$G$214,0)),IFERROR(INDEX('CALENDARIO'!$C$15:$C$214,MATCH(TEXT($J441,"yyyy-mm-dd")&amp;"|"&amp;$V441&amp;"|",'CALENDARIO'!$G$15:$G$214,0)),IFERROR(INDEX('CALENDARIO'!$C$15:$C$214,MATCH(TEXT($J441,"yyyy-mm-dd")&amp;"||",'CALENDARIO'!$G$15:$G$214,0)),INDEX(patronHabil,WEEKDAY($J441,2))))))</f>
        <v/>
      </c>
      <c r="T441" s="3">
        <f>IF($I441="","",IFERROR(INDEX('CAT_TIPOS_OT'!$C$4:$C$7,MATCH($I441,'CAT_TIPOS_OT'!$A$4:$A$7,0)),"sin_clasificar"))</f>
        <v/>
      </c>
      <c r="U441" s="3">
        <f>IF($F441="","",IFERROR(INDEX('CAT_CENTROS_COSTO'!$F$4:$F$13,MATCH($F441,'CAT_CENTROS_COSTO'!$A$4:$A$13,0)),"(sin catálogo)"))</f>
        <v/>
      </c>
      <c r="V441" s="3">
        <f>IF($F441="","",IFERROR(INDEX('CAT_CENTROS_COSTO'!$D$4:$D$13,MATCH($F441,'CAT_CENTROS_COSTO'!$A$4:$A$13,0)),"(sin catálogo)"))</f>
        <v/>
      </c>
      <c r="W441" s="3">
        <f>IF($F441="","",IF((IFERROR(INDEX('CAT_CENTROS_COSTO'!$E$4:$E$13,MATCH($F441,'CAT_CENTROS_COSTO'!$A$4:$A$13,0)),""))&lt;&gt;"",IFERROR(INDEX('CAT_CENTROS_COSTO'!$E$4:$E$13,MATCH($F441,'CAT_CENTROS_COSTO'!$A$4:$A$13,0)),""),$V441))</f>
        <v/>
      </c>
      <c r="X441" s="3">
        <f>IF($F441="","",IFERROR(INDEX('CAT_CENTROS_COSTO'!$G$4:$G$13,MATCH($F441,'CAT_CENTROS_COSTO'!$A$4:$A$13,0)),"(sin catálogo)"))</f>
        <v/>
      </c>
      <c r="Y441" s="3">
        <f>IF($G441="","",IFERROR(INDEX('CAT_PUESTOS'!$B$4:$B$8,MATCH($G441,'CAT_PUESTOS'!$A$4:$A$8,0)),"(sin catálogo)"))</f>
        <v/>
      </c>
      <c r="Z441" s="3">
        <f>IF($H441="","",IFERROR(INDEX('CAT_ACTIVIDADES'!$B$4:$B$8,MATCH($H441,'CAT_ACTIVIDADES'!$A$4:$A$8,0)),"(sin catálogo)"))</f>
        <v/>
      </c>
      <c r="AA441" s="12">
        <f>IF($J441="","",TODAY()-$J441)</f>
        <v/>
      </c>
      <c r="AB441" s="12">
        <f>IF($J441="","",IF($J441&lt;=TODAY(),COUNTIFS(cal_fechas,"&gt;="&amp;$J441,cal_fechas,"&lt;"&amp;TODAY(),cal_habil,"sí"),-COUNTIFS(cal_fechas,"&gt;="&amp;TODAY(),cal_fechas,"&lt;"&amp;$J441,cal_habil,"sí")))</f>
        <v/>
      </c>
      <c r="AC441" s="3">
        <f>IF($AB441="","",IF($AB441&lt;0,"FUTURO",IF($AB441&gt;p_dias_backlog_max,"BACKLOG","MES CORRIENTE")))</f>
        <v/>
      </c>
      <c r="AD441" s="3">
        <f>IF($AB441="",FALSE,AND($AB441&gt;p_dias_backlog_min,$AB441&lt;=p_dias_backlog_max))</f>
        <v/>
      </c>
      <c r="AE441" s="6" t="n"/>
      <c r="AF441" s="3">
        <f>IF($AE441="","",IF((IFERROR(INDEX('ASIGNACIONES'!$F$4:$F$339,MATCH($O441&amp;"|"&amp;$R441&amp;"|"&amp;$AE441,'ASIGNACIONES'!$J$4:$J$339,0)),""))=0,"",IFERROR(INDEX('ASIGNACIONES'!$F$4:$F$339,MATCH($O441&amp;"|"&amp;$R441&amp;"|"&amp;$AE441,'ASIGNACIONES'!$J$4:$J$339,0)),"")))</f>
        <v/>
      </c>
      <c r="AG441" s="13">
        <f>IF($AE441="","",SUMIFS('ORDENES'!$M$4:$M$1203,'ORDENES'!$AE$4:$AE$1203,$AE441,'ORDENES'!$O$4:$O$1203,$O441,'ORDENES'!$R$4:$R$1203,$R441))</f>
        <v/>
      </c>
      <c r="AH441" s="13">
        <f>IF($AG441="","",p_factor_productividad*IFERROR(INDEX('ASIGNACIONES'!$I$4:$I$339,MATCH($O441&amp;"|"&amp;$R441&amp;"|"&amp;$AE441,'ASIGNACIONES'!$J$4:$J$339,0)),0)-$AG441)</f>
        <v/>
      </c>
      <c r="AI441" s="10">
        <f>IF($A441="","",IFERROR(INDEX('2_IMPORTAR_EJECUCION'!$F$9:$F$1208,MATCH($AQ441,'2_IMPORTAR_EJECUCION'!$J$9:$J$1208,0)),0))</f>
        <v/>
      </c>
      <c r="AJ441" s="10">
        <f>IF($A441="","",MAX(0,IFERROR(INDEX('2_IMPORTAR_EJECUCION'!$H$9:$H$1208,MATCH($AQ441,'2_IMPORTAR_EJECUCION'!$J$9:$J$1208,0)),0)-$AI441))</f>
        <v/>
      </c>
      <c r="AK441" s="10">
        <f>IF($A441="","",$AI441+$AJ441)</f>
        <v/>
      </c>
      <c r="AL441" s="6" t="n"/>
      <c r="AM441" s="6" t="n"/>
      <c r="AN441" s="6" t="n"/>
      <c r="AO441" s="3">
        <f>IF($AN441="","",HYPERLINK(p_ruta_base_checklists&amp;$AN441,"abrir"))</f>
        <v/>
      </c>
      <c r="AP441" s="6" t="n"/>
      <c r="AQ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IF($A442="","",IFERROR(INDEX('AJUSTES'!$B$4:$B$303,MATCH($AQ442,'AJUSTES'!$A$4:$A$303,0)),IF($K442="","",$K442)))</f>
        <v/>
      </c>
      <c r="N442" s="3">
        <f>IF($A442="","",IFERROR(INDEX('CAT_ESTADOS_ERP'!$B$4:$B$7,MATCH(IFERROR(INDEX('2_IMPORTAR_EJECUCION'!$C$9:$C$1208,MATCH($AQ442,'2_IMPORTAR_EJECUCION'!$J$9:$J$1208,0)),""),'CAT_ESTADOS_ERP'!$A$4:$A$7,0)),"Pendiente"))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J442="","",IFERROR(INDEX('CALENDARIO'!$C$15:$C$214,MATCH(TEXT($J442,"yyyy-mm-dd")&amp;"|"&amp;$V442&amp;"|"&amp;$W442,'CALENDARIO'!$G$15:$G$214,0)),IFERROR(INDEX('CALENDARIO'!$C$15:$C$214,MATCH(TEXT($J442,"yyyy-mm-dd")&amp;"|"&amp;$V442&amp;"|",'CALENDARIO'!$G$15:$G$214,0)),IFERROR(INDEX('CALENDARIO'!$C$15:$C$214,MATCH(TEXT($J442,"yyyy-mm-dd")&amp;"||",'CALENDARIO'!$G$15:$G$214,0)),INDEX(patronHabil,WEEKDAY($J442,2))))))</f>
        <v/>
      </c>
      <c r="T442" s="3">
        <f>IF($I442="","",IFERROR(INDEX('CAT_TIPOS_OT'!$C$4:$C$7,MATCH($I442,'CAT_TIPOS_OT'!$A$4:$A$7,0)),"sin_clasificar"))</f>
        <v/>
      </c>
      <c r="U442" s="3">
        <f>IF($F442="","",IFERROR(INDEX('CAT_CENTROS_COSTO'!$F$4:$F$13,MATCH($F442,'CAT_CENTROS_COSTO'!$A$4:$A$13,0)),"(sin catálogo)"))</f>
        <v/>
      </c>
      <c r="V442" s="3">
        <f>IF($F442="","",IFERROR(INDEX('CAT_CENTROS_COSTO'!$D$4:$D$13,MATCH($F442,'CAT_CENTROS_COSTO'!$A$4:$A$13,0)),"(sin catálogo)"))</f>
        <v/>
      </c>
      <c r="W442" s="3">
        <f>IF($F442="","",IF((IFERROR(INDEX('CAT_CENTROS_COSTO'!$E$4:$E$13,MATCH($F442,'CAT_CENTROS_COSTO'!$A$4:$A$13,0)),""))&lt;&gt;"",IFERROR(INDEX('CAT_CENTROS_COSTO'!$E$4:$E$13,MATCH($F442,'CAT_CENTROS_COSTO'!$A$4:$A$13,0)),""),$V442))</f>
        <v/>
      </c>
      <c r="X442" s="3">
        <f>IF($F442="","",IFERROR(INDEX('CAT_CENTROS_COSTO'!$G$4:$G$13,MATCH($F442,'CAT_CENTROS_COSTO'!$A$4:$A$13,0)),"(sin catálogo)"))</f>
        <v/>
      </c>
      <c r="Y442" s="3">
        <f>IF($G442="","",IFERROR(INDEX('CAT_PUESTOS'!$B$4:$B$8,MATCH($G442,'CAT_PUESTOS'!$A$4:$A$8,0)),"(sin catálogo)"))</f>
        <v/>
      </c>
      <c r="Z442" s="3">
        <f>IF($H442="","",IFERROR(INDEX('CAT_ACTIVIDADES'!$B$4:$B$8,MATCH($H442,'CAT_ACTIVIDADES'!$A$4:$A$8,0)),"(sin catálogo)"))</f>
        <v/>
      </c>
      <c r="AA442" s="12">
        <f>IF($J442="","",TODAY()-$J442)</f>
        <v/>
      </c>
      <c r="AB442" s="12">
        <f>IF($J442="","",IF($J442&lt;=TODAY(),COUNTIFS(cal_fechas,"&gt;="&amp;$J442,cal_fechas,"&lt;"&amp;TODAY(),cal_habil,"sí"),-COUNTIFS(cal_fechas,"&gt;="&amp;TODAY(),cal_fechas,"&lt;"&amp;$J442,cal_habil,"sí")))</f>
        <v/>
      </c>
      <c r="AC442" s="3">
        <f>IF($AB442="","",IF($AB442&lt;0,"FUTURO",IF($AB442&gt;p_dias_backlog_max,"BACKLOG","MES CORRIENTE")))</f>
        <v/>
      </c>
      <c r="AD442" s="3">
        <f>IF($AB442="",FALSE,AND($AB442&gt;p_dias_backlog_min,$AB442&lt;=p_dias_backlog_max))</f>
        <v/>
      </c>
      <c r="AE442" s="6" t="n"/>
      <c r="AF442" s="3">
        <f>IF($AE442="","",IF((IFERROR(INDEX('ASIGNACIONES'!$F$4:$F$339,MATCH($O442&amp;"|"&amp;$R442&amp;"|"&amp;$AE442,'ASIGNACIONES'!$J$4:$J$339,0)),""))=0,"",IFERROR(INDEX('ASIGNACIONES'!$F$4:$F$339,MATCH($O442&amp;"|"&amp;$R442&amp;"|"&amp;$AE442,'ASIGNACIONES'!$J$4:$J$339,0)),"")))</f>
        <v/>
      </c>
      <c r="AG442" s="13">
        <f>IF($AE442="","",SUMIFS('ORDENES'!$M$4:$M$1203,'ORDENES'!$AE$4:$AE$1203,$AE442,'ORDENES'!$O$4:$O$1203,$O442,'ORDENES'!$R$4:$R$1203,$R442))</f>
        <v/>
      </c>
      <c r="AH442" s="13">
        <f>IF($AG442="","",p_factor_productividad*IFERROR(INDEX('ASIGNACIONES'!$I$4:$I$339,MATCH($O442&amp;"|"&amp;$R442&amp;"|"&amp;$AE442,'ASIGNACIONES'!$J$4:$J$339,0)),0)-$AG442)</f>
        <v/>
      </c>
      <c r="AI442" s="10">
        <f>IF($A442="","",IFERROR(INDEX('2_IMPORTAR_EJECUCION'!$F$9:$F$1208,MATCH($AQ442,'2_IMPORTAR_EJECUCION'!$J$9:$J$1208,0)),0))</f>
        <v/>
      </c>
      <c r="AJ442" s="10">
        <f>IF($A442="","",MAX(0,IFERROR(INDEX('2_IMPORTAR_EJECUCION'!$H$9:$H$1208,MATCH($AQ442,'2_IMPORTAR_EJECUCION'!$J$9:$J$1208,0)),0)-$AI442))</f>
        <v/>
      </c>
      <c r="AK442" s="10">
        <f>IF($A442="","",$AI442+$AJ442)</f>
        <v/>
      </c>
      <c r="AL442" s="6" t="n"/>
      <c r="AM442" s="6" t="n"/>
      <c r="AN442" s="6" t="n"/>
      <c r="AO442" s="3">
        <f>IF($AN442="","",HYPERLINK(p_ruta_base_checklists&amp;$AN442,"abrir"))</f>
        <v/>
      </c>
      <c r="AP442" s="6" t="n"/>
      <c r="AQ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IF($A443="","",IFERROR(INDEX('AJUSTES'!$B$4:$B$303,MATCH($AQ443,'AJUSTES'!$A$4:$A$303,0)),IF($K443="","",$K443)))</f>
        <v/>
      </c>
      <c r="N443" s="3">
        <f>IF($A443="","",IFERROR(INDEX('CAT_ESTADOS_ERP'!$B$4:$B$7,MATCH(IFERROR(INDEX('2_IMPORTAR_EJECUCION'!$C$9:$C$1208,MATCH($AQ443,'2_IMPORTAR_EJECUCION'!$J$9:$J$1208,0)),""),'CAT_ESTADOS_ERP'!$A$4:$A$7,0)),"Pendiente"))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J443="","",IFERROR(INDEX('CALENDARIO'!$C$15:$C$214,MATCH(TEXT($J443,"yyyy-mm-dd")&amp;"|"&amp;$V443&amp;"|"&amp;$W443,'CALENDARIO'!$G$15:$G$214,0)),IFERROR(INDEX('CALENDARIO'!$C$15:$C$214,MATCH(TEXT($J443,"yyyy-mm-dd")&amp;"|"&amp;$V443&amp;"|",'CALENDARIO'!$G$15:$G$214,0)),IFERROR(INDEX('CALENDARIO'!$C$15:$C$214,MATCH(TEXT($J443,"yyyy-mm-dd")&amp;"||",'CALENDARIO'!$G$15:$G$214,0)),INDEX(patronHabil,WEEKDAY($J443,2))))))</f>
        <v/>
      </c>
      <c r="T443" s="3">
        <f>IF($I443="","",IFERROR(INDEX('CAT_TIPOS_OT'!$C$4:$C$7,MATCH($I443,'CAT_TIPOS_OT'!$A$4:$A$7,0)),"sin_clasificar"))</f>
        <v/>
      </c>
      <c r="U443" s="3">
        <f>IF($F443="","",IFERROR(INDEX('CAT_CENTROS_COSTO'!$F$4:$F$13,MATCH($F443,'CAT_CENTROS_COSTO'!$A$4:$A$13,0)),"(sin catálogo)"))</f>
        <v/>
      </c>
      <c r="V443" s="3">
        <f>IF($F443="","",IFERROR(INDEX('CAT_CENTROS_COSTO'!$D$4:$D$13,MATCH($F443,'CAT_CENTROS_COSTO'!$A$4:$A$13,0)),"(sin catálogo)"))</f>
        <v/>
      </c>
      <c r="W443" s="3">
        <f>IF($F443="","",IF((IFERROR(INDEX('CAT_CENTROS_COSTO'!$E$4:$E$13,MATCH($F443,'CAT_CENTROS_COSTO'!$A$4:$A$13,0)),""))&lt;&gt;"",IFERROR(INDEX('CAT_CENTROS_COSTO'!$E$4:$E$13,MATCH($F443,'CAT_CENTROS_COSTO'!$A$4:$A$13,0)),""),$V443))</f>
        <v/>
      </c>
      <c r="X443" s="3">
        <f>IF($F443="","",IFERROR(INDEX('CAT_CENTROS_COSTO'!$G$4:$G$13,MATCH($F443,'CAT_CENTROS_COSTO'!$A$4:$A$13,0)),"(sin catálogo)"))</f>
        <v/>
      </c>
      <c r="Y443" s="3">
        <f>IF($G443="","",IFERROR(INDEX('CAT_PUESTOS'!$B$4:$B$8,MATCH($G443,'CAT_PUESTOS'!$A$4:$A$8,0)),"(sin catálogo)"))</f>
        <v/>
      </c>
      <c r="Z443" s="3">
        <f>IF($H443="","",IFERROR(INDEX('CAT_ACTIVIDADES'!$B$4:$B$8,MATCH($H443,'CAT_ACTIVIDADES'!$A$4:$A$8,0)),"(sin catálogo)"))</f>
        <v/>
      </c>
      <c r="AA443" s="12">
        <f>IF($J443="","",TODAY()-$J443)</f>
        <v/>
      </c>
      <c r="AB443" s="12">
        <f>IF($J443="","",IF($J443&lt;=TODAY(),COUNTIFS(cal_fechas,"&gt;="&amp;$J443,cal_fechas,"&lt;"&amp;TODAY(),cal_habil,"sí"),-COUNTIFS(cal_fechas,"&gt;="&amp;TODAY(),cal_fechas,"&lt;"&amp;$J443,cal_habil,"sí")))</f>
        <v/>
      </c>
      <c r="AC443" s="3">
        <f>IF($AB443="","",IF($AB443&lt;0,"FUTURO",IF($AB443&gt;p_dias_backlog_max,"BACKLOG","MES CORRIENTE")))</f>
        <v/>
      </c>
      <c r="AD443" s="3">
        <f>IF($AB443="",FALSE,AND($AB443&gt;p_dias_backlog_min,$AB443&lt;=p_dias_backlog_max))</f>
        <v/>
      </c>
      <c r="AE443" s="6" t="n"/>
      <c r="AF443" s="3">
        <f>IF($AE443="","",IF((IFERROR(INDEX('ASIGNACIONES'!$F$4:$F$339,MATCH($O443&amp;"|"&amp;$R443&amp;"|"&amp;$AE443,'ASIGNACIONES'!$J$4:$J$339,0)),""))=0,"",IFERROR(INDEX('ASIGNACIONES'!$F$4:$F$339,MATCH($O443&amp;"|"&amp;$R443&amp;"|"&amp;$AE443,'ASIGNACIONES'!$J$4:$J$339,0)),"")))</f>
        <v/>
      </c>
      <c r="AG443" s="13">
        <f>IF($AE443="","",SUMIFS('ORDENES'!$M$4:$M$1203,'ORDENES'!$AE$4:$AE$1203,$AE443,'ORDENES'!$O$4:$O$1203,$O443,'ORDENES'!$R$4:$R$1203,$R443))</f>
        <v/>
      </c>
      <c r="AH443" s="13">
        <f>IF($AG443="","",p_factor_productividad*IFERROR(INDEX('ASIGNACIONES'!$I$4:$I$339,MATCH($O443&amp;"|"&amp;$R443&amp;"|"&amp;$AE443,'ASIGNACIONES'!$J$4:$J$339,0)),0)-$AG443)</f>
        <v/>
      </c>
      <c r="AI443" s="10">
        <f>IF($A443="","",IFERROR(INDEX('2_IMPORTAR_EJECUCION'!$F$9:$F$1208,MATCH($AQ443,'2_IMPORTAR_EJECUCION'!$J$9:$J$1208,0)),0))</f>
        <v/>
      </c>
      <c r="AJ443" s="10">
        <f>IF($A443="","",MAX(0,IFERROR(INDEX('2_IMPORTAR_EJECUCION'!$H$9:$H$1208,MATCH($AQ443,'2_IMPORTAR_EJECUCION'!$J$9:$J$1208,0)),0)-$AI443))</f>
        <v/>
      </c>
      <c r="AK443" s="10">
        <f>IF($A443="","",$AI443+$AJ443)</f>
        <v/>
      </c>
      <c r="AL443" s="6" t="n"/>
      <c r="AM443" s="6" t="n"/>
      <c r="AN443" s="6" t="n"/>
      <c r="AO443" s="3">
        <f>IF($AN443="","",HYPERLINK(p_ruta_base_checklists&amp;$AN443,"abrir"))</f>
        <v/>
      </c>
      <c r="AP443" s="6" t="n"/>
      <c r="AQ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IF($A444="","",IFERROR(INDEX('AJUSTES'!$B$4:$B$303,MATCH($AQ444,'AJUSTES'!$A$4:$A$303,0)),IF($K444="","",$K444)))</f>
        <v/>
      </c>
      <c r="N444" s="3">
        <f>IF($A444="","",IFERROR(INDEX('CAT_ESTADOS_ERP'!$B$4:$B$7,MATCH(IFERROR(INDEX('2_IMPORTAR_EJECUCION'!$C$9:$C$1208,MATCH($AQ444,'2_IMPORTAR_EJECUCION'!$J$9:$J$1208,0)),""),'CAT_ESTADOS_ERP'!$A$4:$A$7,0)),"Pendiente"))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J444="","",IFERROR(INDEX('CALENDARIO'!$C$15:$C$214,MATCH(TEXT($J444,"yyyy-mm-dd")&amp;"|"&amp;$V444&amp;"|"&amp;$W444,'CALENDARIO'!$G$15:$G$214,0)),IFERROR(INDEX('CALENDARIO'!$C$15:$C$214,MATCH(TEXT($J444,"yyyy-mm-dd")&amp;"|"&amp;$V444&amp;"|",'CALENDARIO'!$G$15:$G$214,0)),IFERROR(INDEX('CALENDARIO'!$C$15:$C$214,MATCH(TEXT($J444,"yyyy-mm-dd")&amp;"||",'CALENDARIO'!$G$15:$G$214,0)),INDEX(patronHabil,WEEKDAY($J444,2))))))</f>
        <v/>
      </c>
      <c r="T444" s="3">
        <f>IF($I444="","",IFERROR(INDEX('CAT_TIPOS_OT'!$C$4:$C$7,MATCH($I444,'CAT_TIPOS_OT'!$A$4:$A$7,0)),"sin_clasificar"))</f>
        <v/>
      </c>
      <c r="U444" s="3">
        <f>IF($F444="","",IFERROR(INDEX('CAT_CENTROS_COSTO'!$F$4:$F$13,MATCH($F444,'CAT_CENTROS_COSTO'!$A$4:$A$13,0)),"(sin catálogo)"))</f>
        <v/>
      </c>
      <c r="V444" s="3">
        <f>IF($F444="","",IFERROR(INDEX('CAT_CENTROS_COSTO'!$D$4:$D$13,MATCH($F444,'CAT_CENTROS_COSTO'!$A$4:$A$13,0)),"(sin catálogo)"))</f>
        <v/>
      </c>
      <c r="W444" s="3">
        <f>IF($F444="","",IF((IFERROR(INDEX('CAT_CENTROS_COSTO'!$E$4:$E$13,MATCH($F444,'CAT_CENTROS_COSTO'!$A$4:$A$13,0)),""))&lt;&gt;"",IFERROR(INDEX('CAT_CENTROS_COSTO'!$E$4:$E$13,MATCH($F444,'CAT_CENTROS_COSTO'!$A$4:$A$13,0)),""),$V444))</f>
        <v/>
      </c>
      <c r="X444" s="3">
        <f>IF($F444="","",IFERROR(INDEX('CAT_CENTROS_COSTO'!$G$4:$G$13,MATCH($F444,'CAT_CENTROS_COSTO'!$A$4:$A$13,0)),"(sin catálogo)"))</f>
        <v/>
      </c>
      <c r="Y444" s="3">
        <f>IF($G444="","",IFERROR(INDEX('CAT_PUESTOS'!$B$4:$B$8,MATCH($G444,'CAT_PUESTOS'!$A$4:$A$8,0)),"(sin catálogo)"))</f>
        <v/>
      </c>
      <c r="Z444" s="3">
        <f>IF($H444="","",IFERROR(INDEX('CAT_ACTIVIDADES'!$B$4:$B$8,MATCH($H444,'CAT_ACTIVIDADES'!$A$4:$A$8,0)),"(sin catálogo)"))</f>
        <v/>
      </c>
      <c r="AA444" s="12">
        <f>IF($J444="","",TODAY()-$J444)</f>
        <v/>
      </c>
      <c r="AB444" s="12">
        <f>IF($J444="","",IF($J444&lt;=TODAY(),COUNTIFS(cal_fechas,"&gt;="&amp;$J444,cal_fechas,"&lt;"&amp;TODAY(),cal_habil,"sí"),-COUNTIFS(cal_fechas,"&gt;="&amp;TODAY(),cal_fechas,"&lt;"&amp;$J444,cal_habil,"sí")))</f>
        <v/>
      </c>
      <c r="AC444" s="3">
        <f>IF($AB444="","",IF($AB444&lt;0,"FUTURO",IF($AB444&gt;p_dias_backlog_max,"BACKLOG","MES CORRIENTE")))</f>
        <v/>
      </c>
      <c r="AD444" s="3">
        <f>IF($AB444="",FALSE,AND($AB444&gt;p_dias_backlog_min,$AB444&lt;=p_dias_backlog_max))</f>
        <v/>
      </c>
      <c r="AE444" s="6" t="n"/>
      <c r="AF444" s="3">
        <f>IF($AE444="","",IF((IFERROR(INDEX('ASIGNACIONES'!$F$4:$F$339,MATCH($O444&amp;"|"&amp;$R444&amp;"|"&amp;$AE444,'ASIGNACIONES'!$J$4:$J$339,0)),""))=0,"",IFERROR(INDEX('ASIGNACIONES'!$F$4:$F$339,MATCH($O444&amp;"|"&amp;$R444&amp;"|"&amp;$AE444,'ASIGNACIONES'!$J$4:$J$339,0)),"")))</f>
        <v/>
      </c>
      <c r="AG444" s="13">
        <f>IF($AE444="","",SUMIFS('ORDENES'!$M$4:$M$1203,'ORDENES'!$AE$4:$AE$1203,$AE444,'ORDENES'!$O$4:$O$1203,$O444,'ORDENES'!$R$4:$R$1203,$R444))</f>
        <v/>
      </c>
      <c r="AH444" s="13">
        <f>IF($AG444="","",p_factor_productividad*IFERROR(INDEX('ASIGNACIONES'!$I$4:$I$339,MATCH($O444&amp;"|"&amp;$R444&amp;"|"&amp;$AE444,'ASIGNACIONES'!$J$4:$J$339,0)),0)-$AG444)</f>
        <v/>
      </c>
      <c r="AI444" s="10">
        <f>IF($A444="","",IFERROR(INDEX('2_IMPORTAR_EJECUCION'!$F$9:$F$1208,MATCH($AQ444,'2_IMPORTAR_EJECUCION'!$J$9:$J$1208,0)),0))</f>
        <v/>
      </c>
      <c r="AJ444" s="10">
        <f>IF($A444="","",MAX(0,IFERROR(INDEX('2_IMPORTAR_EJECUCION'!$H$9:$H$1208,MATCH($AQ444,'2_IMPORTAR_EJECUCION'!$J$9:$J$1208,0)),0)-$AI444))</f>
        <v/>
      </c>
      <c r="AK444" s="10">
        <f>IF($A444="","",$AI444+$AJ444)</f>
        <v/>
      </c>
      <c r="AL444" s="6" t="n"/>
      <c r="AM444" s="6" t="n"/>
      <c r="AN444" s="6" t="n"/>
      <c r="AO444" s="3">
        <f>IF($AN444="","",HYPERLINK(p_ruta_base_checklists&amp;$AN444,"abrir"))</f>
        <v/>
      </c>
      <c r="AP444" s="6" t="n"/>
      <c r="AQ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IF($A445="","",IFERROR(INDEX('AJUSTES'!$B$4:$B$303,MATCH($AQ445,'AJUSTES'!$A$4:$A$303,0)),IF($K445="","",$K445)))</f>
        <v/>
      </c>
      <c r="N445" s="3">
        <f>IF($A445="","",IFERROR(INDEX('CAT_ESTADOS_ERP'!$B$4:$B$7,MATCH(IFERROR(INDEX('2_IMPORTAR_EJECUCION'!$C$9:$C$1208,MATCH($AQ445,'2_IMPORTAR_EJECUCION'!$J$9:$J$1208,0)),""),'CAT_ESTADOS_ERP'!$A$4:$A$7,0)),"Pendiente"))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J445="","",IFERROR(INDEX('CALENDARIO'!$C$15:$C$214,MATCH(TEXT($J445,"yyyy-mm-dd")&amp;"|"&amp;$V445&amp;"|"&amp;$W445,'CALENDARIO'!$G$15:$G$214,0)),IFERROR(INDEX('CALENDARIO'!$C$15:$C$214,MATCH(TEXT($J445,"yyyy-mm-dd")&amp;"|"&amp;$V445&amp;"|",'CALENDARIO'!$G$15:$G$214,0)),IFERROR(INDEX('CALENDARIO'!$C$15:$C$214,MATCH(TEXT($J445,"yyyy-mm-dd")&amp;"||",'CALENDARIO'!$G$15:$G$214,0)),INDEX(patronHabil,WEEKDAY($J445,2))))))</f>
        <v/>
      </c>
      <c r="T445" s="3">
        <f>IF($I445="","",IFERROR(INDEX('CAT_TIPOS_OT'!$C$4:$C$7,MATCH($I445,'CAT_TIPOS_OT'!$A$4:$A$7,0)),"sin_clasificar"))</f>
        <v/>
      </c>
      <c r="U445" s="3">
        <f>IF($F445="","",IFERROR(INDEX('CAT_CENTROS_COSTO'!$F$4:$F$13,MATCH($F445,'CAT_CENTROS_COSTO'!$A$4:$A$13,0)),"(sin catálogo)"))</f>
        <v/>
      </c>
      <c r="V445" s="3">
        <f>IF($F445="","",IFERROR(INDEX('CAT_CENTROS_COSTO'!$D$4:$D$13,MATCH($F445,'CAT_CENTROS_COSTO'!$A$4:$A$13,0)),"(sin catálogo)"))</f>
        <v/>
      </c>
      <c r="W445" s="3">
        <f>IF($F445="","",IF((IFERROR(INDEX('CAT_CENTROS_COSTO'!$E$4:$E$13,MATCH($F445,'CAT_CENTROS_COSTO'!$A$4:$A$13,0)),""))&lt;&gt;"",IFERROR(INDEX('CAT_CENTROS_COSTO'!$E$4:$E$13,MATCH($F445,'CAT_CENTROS_COSTO'!$A$4:$A$13,0)),""),$V445))</f>
        <v/>
      </c>
      <c r="X445" s="3">
        <f>IF($F445="","",IFERROR(INDEX('CAT_CENTROS_COSTO'!$G$4:$G$13,MATCH($F445,'CAT_CENTROS_COSTO'!$A$4:$A$13,0)),"(sin catálogo)"))</f>
        <v/>
      </c>
      <c r="Y445" s="3">
        <f>IF($G445="","",IFERROR(INDEX('CAT_PUESTOS'!$B$4:$B$8,MATCH($G445,'CAT_PUESTOS'!$A$4:$A$8,0)),"(sin catálogo)"))</f>
        <v/>
      </c>
      <c r="Z445" s="3">
        <f>IF($H445="","",IFERROR(INDEX('CAT_ACTIVIDADES'!$B$4:$B$8,MATCH($H445,'CAT_ACTIVIDADES'!$A$4:$A$8,0)),"(sin catálogo)"))</f>
        <v/>
      </c>
      <c r="AA445" s="12">
        <f>IF($J445="","",TODAY()-$J445)</f>
        <v/>
      </c>
      <c r="AB445" s="12">
        <f>IF($J445="","",IF($J445&lt;=TODAY(),COUNTIFS(cal_fechas,"&gt;="&amp;$J445,cal_fechas,"&lt;"&amp;TODAY(),cal_habil,"sí"),-COUNTIFS(cal_fechas,"&gt;="&amp;TODAY(),cal_fechas,"&lt;"&amp;$J445,cal_habil,"sí")))</f>
        <v/>
      </c>
      <c r="AC445" s="3">
        <f>IF($AB445="","",IF($AB445&lt;0,"FUTURO",IF($AB445&gt;p_dias_backlog_max,"BACKLOG","MES CORRIENTE")))</f>
        <v/>
      </c>
      <c r="AD445" s="3">
        <f>IF($AB445="",FALSE,AND($AB445&gt;p_dias_backlog_min,$AB445&lt;=p_dias_backlog_max))</f>
        <v/>
      </c>
      <c r="AE445" s="6" t="n"/>
      <c r="AF445" s="3">
        <f>IF($AE445="","",IF((IFERROR(INDEX('ASIGNACIONES'!$F$4:$F$339,MATCH($O445&amp;"|"&amp;$R445&amp;"|"&amp;$AE445,'ASIGNACIONES'!$J$4:$J$339,0)),""))=0,"",IFERROR(INDEX('ASIGNACIONES'!$F$4:$F$339,MATCH($O445&amp;"|"&amp;$R445&amp;"|"&amp;$AE445,'ASIGNACIONES'!$J$4:$J$339,0)),"")))</f>
        <v/>
      </c>
      <c r="AG445" s="13">
        <f>IF($AE445="","",SUMIFS('ORDENES'!$M$4:$M$1203,'ORDENES'!$AE$4:$AE$1203,$AE445,'ORDENES'!$O$4:$O$1203,$O445,'ORDENES'!$R$4:$R$1203,$R445))</f>
        <v/>
      </c>
      <c r="AH445" s="13">
        <f>IF($AG445="","",p_factor_productividad*IFERROR(INDEX('ASIGNACIONES'!$I$4:$I$339,MATCH($O445&amp;"|"&amp;$R445&amp;"|"&amp;$AE445,'ASIGNACIONES'!$J$4:$J$339,0)),0)-$AG445)</f>
        <v/>
      </c>
      <c r="AI445" s="10">
        <f>IF($A445="","",IFERROR(INDEX('2_IMPORTAR_EJECUCION'!$F$9:$F$1208,MATCH($AQ445,'2_IMPORTAR_EJECUCION'!$J$9:$J$1208,0)),0))</f>
        <v/>
      </c>
      <c r="AJ445" s="10">
        <f>IF($A445="","",MAX(0,IFERROR(INDEX('2_IMPORTAR_EJECUCION'!$H$9:$H$1208,MATCH($AQ445,'2_IMPORTAR_EJECUCION'!$J$9:$J$1208,0)),0)-$AI445))</f>
        <v/>
      </c>
      <c r="AK445" s="10">
        <f>IF($A445="","",$AI445+$AJ445)</f>
        <v/>
      </c>
      <c r="AL445" s="6" t="n"/>
      <c r="AM445" s="6" t="n"/>
      <c r="AN445" s="6" t="n"/>
      <c r="AO445" s="3">
        <f>IF($AN445="","",HYPERLINK(p_ruta_base_checklists&amp;$AN445,"abrir"))</f>
        <v/>
      </c>
      <c r="AP445" s="6" t="n"/>
      <c r="AQ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IF($A446="","",IFERROR(INDEX('AJUSTES'!$B$4:$B$303,MATCH($AQ446,'AJUSTES'!$A$4:$A$303,0)),IF($K446="","",$K446)))</f>
        <v/>
      </c>
      <c r="N446" s="3">
        <f>IF($A446="","",IFERROR(INDEX('CAT_ESTADOS_ERP'!$B$4:$B$7,MATCH(IFERROR(INDEX('2_IMPORTAR_EJECUCION'!$C$9:$C$1208,MATCH($AQ446,'2_IMPORTAR_EJECUCION'!$J$9:$J$1208,0)),""),'CAT_ESTADOS_ERP'!$A$4:$A$7,0)),"Pendiente"))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J446="","",IFERROR(INDEX('CALENDARIO'!$C$15:$C$214,MATCH(TEXT($J446,"yyyy-mm-dd")&amp;"|"&amp;$V446&amp;"|"&amp;$W446,'CALENDARIO'!$G$15:$G$214,0)),IFERROR(INDEX('CALENDARIO'!$C$15:$C$214,MATCH(TEXT($J446,"yyyy-mm-dd")&amp;"|"&amp;$V446&amp;"|",'CALENDARIO'!$G$15:$G$214,0)),IFERROR(INDEX('CALENDARIO'!$C$15:$C$214,MATCH(TEXT($J446,"yyyy-mm-dd")&amp;"||",'CALENDARIO'!$G$15:$G$214,0)),INDEX(patronHabil,WEEKDAY($J446,2))))))</f>
        <v/>
      </c>
      <c r="T446" s="3">
        <f>IF($I446="","",IFERROR(INDEX('CAT_TIPOS_OT'!$C$4:$C$7,MATCH($I446,'CAT_TIPOS_OT'!$A$4:$A$7,0)),"sin_clasificar"))</f>
        <v/>
      </c>
      <c r="U446" s="3">
        <f>IF($F446="","",IFERROR(INDEX('CAT_CENTROS_COSTO'!$F$4:$F$13,MATCH($F446,'CAT_CENTROS_COSTO'!$A$4:$A$13,0)),"(sin catálogo)"))</f>
        <v/>
      </c>
      <c r="V446" s="3">
        <f>IF($F446="","",IFERROR(INDEX('CAT_CENTROS_COSTO'!$D$4:$D$13,MATCH($F446,'CAT_CENTROS_COSTO'!$A$4:$A$13,0)),"(sin catálogo)"))</f>
        <v/>
      </c>
      <c r="W446" s="3">
        <f>IF($F446="","",IF((IFERROR(INDEX('CAT_CENTROS_COSTO'!$E$4:$E$13,MATCH($F446,'CAT_CENTROS_COSTO'!$A$4:$A$13,0)),""))&lt;&gt;"",IFERROR(INDEX('CAT_CENTROS_COSTO'!$E$4:$E$13,MATCH($F446,'CAT_CENTROS_COSTO'!$A$4:$A$13,0)),""),$V446))</f>
        <v/>
      </c>
      <c r="X446" s="3">
        <f>IF($F446="","",IFERROR(INDEX('CAT_CENTROS_COSTO'!$G$4:$G$13,MATCH($F446,'CAT_CENTROS_COSTO'!$A$4:$A$13,0)),"(sin catálogo)"))</f>
        <v/>
      </c>
      <c r="Y446" s="3">
        <f>IF($G446="","",IFERROR(INDEX('CAT_PUESTOS'!$B$4:$B$8,MATCH($G446,'CAT_PUESTOS'!$A$4:$A$8,0)),"(sin catálogo)"))</f>
        <v/>
      </c>
      <c r="Z446" s="3">
        <f>IF($H446="","",IFERROR(INDEX('CAT_ACTIVIDADES'!$B$4:$B$8,MATCH($H446,'CAT_ACTIVIDADES'!$A$4:$A$8,0)),"(sin catálogo)"))</f>
        <v/>
      </c>
      <c r="AA446" s="12">
        <f>IF($J446="","",TODAY()-$J446)</f>
        <v/>
      </c>
      <c r="AB446" s="12">
        <f>IF($J446="","",IF($J446&lt;=TODAY(),COUNTIFS(cal_fechas,"&gt;="&amp;$J446,cal_fechas,"&lt;"&amp;TODAY(),cal_habil,"sí"),-COUNTIFS(cal_fechas,"&gt;="&amp;TODAY(),cal_fechas,"&lt;"&amp;$J446,cal_habil,"sí")))</f>
        <v/>
      </c>
      <c r="AC446" s="3">
        <f>IF($AB446="","",IF($AB446&lt;0,"FUTURO",IF($AB446&gt;p_dias_backlog_max,"BACKLOG","MES CORRIENTE")))</f>
        <v/>
      </c>
      <c r="AD446" s="3">
        <f>IF($AB446="",FALSE,AND($AB446&gt;p_dias_backlog_min,$AB446&lt;=p_dias_backlog_max))</f>
        <v/>
      </c>
      <c r="AE446" s="6" t="n"/>
      <c r="AF446" s="3">
        <f>IF($AE446="","",IF((IFERROR(INDEX('ASIGNACIONES'!$F$4:$F$339,MATCH($O446&amp;"|"&amp;$R446&amp;"|"&amp;$AE446,'ASIGNACIONES'!$J$4:$J$339,0)),""))=0,"",IFERROR(INDEX('ASIGNACIONES'!$F$4:$F$339,MATCH($O446&amp;"|"&amp;$R446&amp;"|"&amp;$AE446,'ASIGNACIONES'!$J$4:$J$339,0)),"")))</f>
        <v/>
      </c>
      <c r="AG446" s="13">
        <f>IF($AE446="","",SUMIFS('ORDENES'!$M$4:$M$1203,'ORDENES'!$AE$4:$AE$1203,$AE446,'ORDENES'!$O$4:$O$1203,$O446,'ORDENES'!$R$4:$R$1203,$R446))</f>
        <v/>
      </c>
      <c r="AH446" s="13">
        <f>IF($AG446="","",p_factor_productividad*IFERROR(INDEX('ASIGNACIONES'!$I$4:$I$339,MATCH($O446&amp;"|"&amp;$R446&amp;"|"&amp;$AE446,'ASIGNACIONES'!$J$4:$J$339,0)),0)-$AG446)</f>
        <v/>
      </c>
      <c r="AI446" s="10">
        <f>IF($A446="","",IFERROR(INDEX('2_IMPORTAR_EJECUCION'!$F$9:$F$1208,MATCH($AQ446,'2_IMPORTAR_EJECUCION'!$J$9:$J$1208,0)),0))</f>
        <v/>
      </c>
      <c r="AJ446" s="10">
        <f>IF($A446="","",MAX(0,IFERROR(INDEX('2_IMPORTAR_EJECUCION'!$H$9:$H$1208,MATCH($AQ446,'2_IMPORTAR_EJECUCION'!$J$9:$J$1208,0)),0)-$AI446))</f>
        <v/>
      </c>
      <c r="AK446" s="10">
        <f>IF($A446="","",$AI446+$AJ446)</f>
        <v/>
      </c>
      <c r="AL446" s="6" t="n"/>
      <c r="AM446" s="6" t="n"/>
      <c r="AN446" s="6" t="n"/>
      <c r="AO446" s="3">
        <f>IF($AN446="","",HYPERLINK(p_ruta_base_checklists&amp;$AN446,"abrir"))</f>
        <v/>
      </c>
      <c r="AP446" s="6" t="n"/>
      <c r="AQ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IF($A447="","",IFERROR(INDEX('AJUSTES'!$B$4:$B$303,MATCH($AQ447,'AJUSTES'!$A$4:$A$303,0)),IF($K447="","",$K447)))</f>
        <v/>
      </c>
      <c r="N447" s="3">
        <f>IF($A447="","",IFERROR(INDEX('CAT_ESTADOS_ERP'!$B$4:$B$7,MATCH(IFERROR(INDEX('2_IMPORTAR_EJECUCION'!$C$9:$C$1208,MATCH($AQ447,'2_IMPORTAR_EJECUCION'!$J$9:$J$1208,0)),""),'CAT_ESTADOS_ERP'!$A$4:$A$7,0)),"Pendiente"))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J447="","",IFERROR(INDEX('CALENDARIO'!$C$15:$C$214,MATCH(TEXT($J447,"yyyy-mm-dd")&amp;"|"&amp;$V447&amp;"|"&amp;$W447,'CALENDARIO'!$G$15:$G$214,0)),IFERROR(INDEX('CALENDARIO'!$C$15:$C$214,MATCH(TEXT($J447,"yyyy-mm-dd")&amp;"|"&amp;$V447&amp;"|",'CALENDARIO'!$G$15:$G$214,0)),IFERROR(INDEX('CALENDARIO'!$C$15:$C$214,MATCH(TEXT($J447,"yyyy-mm-dd")&amp;"||",'CALENDARIO'!$G$15:$G$214,0)),INDEX(patronHabil,WEEKDAY($J447,2))))))</f>
        <v/>
      </c>
      <c r="T447" s="3">
        <f>IF($I447="","",IFERROR(INDEX('CAT_TIPOS_OT'!$C$4:$C$7,MATCH($I447,'CAT_TIPOS_OT'!$A$4:$A$7,0)),"sin_clasificar"))</f>
        <v/>
      </c>
      <c r="U447" s="3">
        <f>IF($F447="","",IFERROR(INDEX('CAT_CENTROS_COSTO'!$F$4:$F$13,MATCH($F447,'CAT_CENTROS_COSTO'!$A$4:$A$13,0)),"(sin catálogo)"))</f>
        <v/>
      </c>
      <c r="V447" s="3">
        <f>IF($F447="","",IFERROR(INDEX('CAT_CENTROS_COSTO'!$D$4:$D$13,MATCH($F447,'CAT_CENTROS_COSTO'!$A$4:$A$13,0)),"(sin catálogo)"))</f>
        <v/>
      </c>
      <c r="W447" s="3">
        <f>IF($F447="","",IF((IFERROR(INDEX('CAT_CENTROS_COSTO'!$E$4:$E$13,MATCH($F447,'CAT_CENTROS_COSTO'!$A$4:$A$13,0)),""))&lt;&gt;"",IFERROR(INDEX('CAT_CENTROS_COSTO'!$E$4:$E$13,MATCH($F447,'CAT_CENTROS_COSTO'!$A$4:$A$13,0)),""),$V447))</f>
        <v/>
      </c>
      <c r="X447" s="3">
        <f>IF($F447="","",IFERROR(INDEX('CAT_CENTROS_COSTO'!$G$4:$G$13,MATCH($F447,'CAT_CENTROS_COSTO'!$A$4:$A$13,0)),"(sin catálogo)"))</f>
        <v/>
      </c>
      <c r="Y447" s="3">
        <f>IF($G447="","",IFERROR(INDEX('CAT_PUESTOS'!$B$4:$B$8,MATCH($G447,'CAT_PUESTOS'!$A$4:$A$8,0)),"(sin catálogo)"))</f>
        <v/>
      </c>
      <c r="Z447" s="3">
        <f>IF($H447="","",IFERROR(INDEX('CAT_ACTIVIDADES'!$B$4:$B$8,MATCH($H447,'CAT_ACTIVIDADES'!$A$4:$A$8,0)),"(sin catálogo)"))</f>
        <v/>
      </c>
      <c r="AA447" s="12">
        <f>IF($J447="","",TODAY()-$J447)</f>
        <v/>
      </c>
      <c r="AB447" s="12">
        <f>IF($J447="","",IF($J447&lt;=TODAY(),COUNTIFS(cal_fechas,"&gt;="&amp;$J447,cal_fechas,"&lt;"&amp;TODAY(),cal_habil,"sí"),-COUNTIFS(cal_fechas,"&gt;="&amp;TODAY(),cal_fechas,"&lt;"&amp;$J447,cal_habil,"sí")))</f>
        <v/>
      </c>
      <c r="AC447" s="3">
        <f>IF($AB447="","",IF($AB447&lt;0,"FUTURO",IF($AB447&gt;p_dias_backlog_max,"BACKLOG","MES CORRIENTE")))</f>
        <v/>
      </c>
      <c r="AD447" s="3">
        <f>IF($AB447="",FALSE,AND($AB447&gt;p_dias_backlog_min,$AB447&lt;=p_dias_backlog_max))</f>
        <v/>
      </c>
      <c r="AE447" s="6" t="n"/>
      <c r="AF447" s="3">
        <f>IF($AE447="","",IF((IFERROR(INDEX('ASIGNACIONES'!$F$4:$F$339,MATCH($O447&amp;"|"&amp;$R447&amp;"|"&amp;$AE447,'ASIGNACIONES'!$J$4:$J$339,0)),""))=0,"",IFERROR(INDEX('ASIGNACIONES'!$F$4:$F$339,MATCH($O447&amp;"|"&amp;$R447&amp;"|"&amp;$AE447,'ASIGNACIONES'!$J$4:$J$339,0)),"")))</f>
        <v/>
      </c>
      <c r="AG447" s="13">
        <f>IF($AE447="","",SUMIFS('ORDENES'!$M$4:$M$1203,'ORDENES'!$AE$4:$AE$1203,$AE447,'ORDENES'!$O$4:$O$1203,$O447,'ORDENES'!$R$4:$R$1203,$R447))</f>
        <v/>
      </c>
      <c r="AH447" s="13">
        <f>IF($AG447="","",p_factor_productividad*IFERROR(INDEX('ASIGNACIONES'!$I$4:$I$339,MATCH($O447&amp;"|"&amp;$R447&amp;"|"&amp;$AE447,'ASIGNACIONES'!$J$4:$J$339,0)),0)-$AG447)</f>
        <v/>
      </c>
      <c r="AI447" s="10">
        <f>IF($A447="","",IFERROR(INDEX('2_IMPORTAR_EJECUCION'!$F$9:$F$1208,MATCH($AQ447,'2_IMPORTAR_EJECUCION'!$J$9:$J$1208,0)),0))</f>
        <v/>
      </c>
      <c r="AJ447" s="10">
        <f>IF($A447="","",MAX(0,IFERROR(INDEX('2_IMPORTAR_EJECUCION'!$H$9:$H$1208,MATCH($AQ447,'2_IMPORTAR_EJECUCION'!$J$9:$J$1208,0)),0)-$AI447))</f>
        <v/>
      </c>
      <c r="AK447" s="10">
        <f>IF($A447="","",$AI447+$AJ447)</f>
        <v/>
      </c>
      <c r="AL447" s="6" t="n"/>
      <c r="AM447" s="6" t="n"/>
      <c r="AN447" s="6" t="n"/>
      <c r="AO447" s="3">
        <f>IF($AN447="","",HYPERLINK(p_ruta_base_checklists&amp;$AN447,"abrir"))</f>
        <v/>
      </c>
      <c r="AP447" s="6" t="n"/>
      <c r="AQ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IF($A448="","",IFERROR(INDEX('AJUSTES'!$B$4:$B$303,MATCH($AQ448,'AJUSTES'!$A$4:$A$303,0)),IF($K448="","",$K448)))</f>
        <v/>
      </c>
      <c r="N448" s="3">
        <f>IF($A448="","",IFERROR(INDEX('CAT_ESTADOS_ERP'!$B$4:$B$7,MATCH(IFERROR(INDEX('2_IMPORTAR_EJECUCION'!$C$9:$C$1208,MATCH($AQ448,'2_IMPORTAR_EJECUCION'!$J$9:$J$1208,0)),""),'CAT_ESTADOS_ERP'!$A$4:$A$7,0)),"Pendiente"))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J448="","",IFERROR(INDEX('CALENDARIO'!$C$15:$C$214,MATCH(TEXT($J448,"yyyy-mm-dd")&amp;"|"&amp;$V448&amp;"|"&amp;$W448,'CALENDARIO'!$G$15:$G$214,0)),IFERROR(INDEX('CALENDARIO'!$C$15:$C$214,MATCH(TEXT($J448,"yyyy-mm-dd")&amp;"|"&amp;$V448&amp;"|",'CALENDARIO'!$G$15:$G$214,0)),IFERROR(INDEX('CALENDARIO'!$C$15:$C$214,MATCH(TEXT($J448,"yyyy-mm-dd")&amp;"||",'CALENDARIO'!$G$15:$G$214,0)),INDEX(patronHabil,WEEKDAY($J448,2))))))</f>
        <v/>
      </c>
      <c r="T448" s="3">
        <f>IF($I448="","",IFERROR(INDEX('CAT_TIPOS_OT'!$C$4:$C$7,MATCH($I448,'CAT_TIPOS_OT'!$A$4:$A$7,0)),"sin_clasificar"))</f>
        <v/>
      </c>
      <c r="U448" s="3">
        <f>IF($F448="","",IFERROR(INDEX('CAT_CENTROS_COSTO'!$F$4:$F$13,MATCH($F448,'CAT_CENTROS_COSTO'!$A$4:$A$13,0)),"(sin catálogo)"))</f>
        <v/>
      </c>
      <c r="V448" s="3">
        <f>IF($F448="","",IFERROR(INDEX('CAT_CENTROS_COSTO'!$D$4:$D$13,MATCH($F448,'CAT_CENTROS_COSTO'!$A$4:$A$13,0)),"(sin catálogo)"))</f>
        <v/>
      </c>
      <c r="W448" s="3">
        <f>IF($F448="","",IF((IFERROR(INDEX('CAT_CENTROS_COSTO'!$E$4:$E$13,MATCH($F448,'CAT_CENTROS_COSTO'!$A$4:$A$13,0)),""))&lt;&gt;"",IFERROR(INDEX('CAT_CENTROS_COSTO'!$E$4:$E$13,MATCH($F448,'CAT_CENTROS_COSTO'!$A$4:$A$13,0)),""),$V448))</f>
        <v/>
      </c>
      <c r="X448" s="3">
        <f>IF($F448="","",IFERROR(INDEX('CAT_CENTROS_COSTO'!$G$4:$G$13,MATCH($F448,'CAT_CENTROS_COSTO'!$A$4:$A$13,0)),"(sin catálogo)"))</f>
        <v/>
      </c>
      <c r="Y448" s="3">
        <f>IF($G448="","",IFERROR(INDEX('CAT_PUESTOS'!$B$4:$B$8,MATCH($G448,'CAT_PUESTOS'!$A$4:$A$8,0)),"(sin catálogo)"))</f>
        <v/>
      </c>
      <c r="Z448" s="3">
        <f>IF($H448="","",IFERROR(INDEX('CAT_ACTIVIDADES'!$B$4:$B$8,MATCH($H448,'CAT_ACTIVIDADES'!$A$4:$A$8,0)),"(sin catálogo)"))</f>
        <v/>
      </c>
      <c r="AA448" s="12">
        <f>IF($J448="","",TODAY()-$J448)</f>
        <v/>
      </c>
      <c r="AB448" s="12">
        <f>IF($J448="","",IF($J448&lt;=TODAY(),COUNTIFS(cal_fechas,"&gt;="&amp;$J448,cal_fechas,"&lt;"&amp;TODAY(),cal_habil,"sí"),-COUNTIFS(cal_fechas,"&gt;="&amp;TODAY(),cal_fechas,"&lt;"&amp;$J448,cal_habil,"sí")))</f>
        <v/>
      </c>
      <c r="AC448" s="3">
        <f>IF($AB448="","",IF($AB448&lt;0,"FUTURO",IF($AB448&gt;p_dias_backlog_max,"BACKLOG","MES CORRIENTE")))</f>
        <v/>
      </c>
      <c r="AD448" s="3">
        <f>IF($AB448="",FALSE,AND($AB448&gt;p_dias_backlog_min,$AB448&lt;=p_dias_backlog_max))</f>
        <v/>
      </c>
      <c r="AE448" s="6" t="n"/>
      <c r="AF448" s="3">
        <f>IF($AE448="","",IF((IFERROR(INDEX('ASIGNACIONES'!$F$4:$F$339,MATCH($O448&amp;"|"&amp;$R448&amp;"|"&amp;$AE448,'ASIGNACIONES'!$J$4:$J$339,0)),""))=0,"",IFERROR(INDEX('ASIGNACIONES'!$F$4:$F$339,MATCH($O448&amp;"|"&amp;$R448&amp;"|"&amp;$AE448,'ASIGNACIONES'!$J$4:$J$339,0)),"")))</f>
        <v/>
      </c>
      <c r="AG448" s="13">
        <f>IF($AE448="","",SUMIFS('ORDENES'!$M$4:$M$1203,'ORDENES'!$AE$4:$AE$1203,$AE448,'ORDENES'!$O$4:$O$1203,$O448,'ORDENES'!$R$4:$R$1203,$R448))</f>
        <v/>
      </c>
      <c r="AH448" s="13">
        <f>IF($AG448="","",p_factor_productividad*IFERROR(INDEX('ASIGNACIONES'!$I$4:$I$339,MATCH($O448&amp;"|"&amp;$R448&amp;"|"&amp;$AE448,'ASIGNACIONES'!$J$4:$J$339,0)),0)-$AG448)</f>
        <v/>
      </c>
      <c r="AI448" s="10">
        <f>IF($A448="","",IFERROR(INDEX('2_IMPORTAR_EJECUCION'!$F$9:$F$1208,MATCH($AQ448,'2_IMPORTAR_EJECUCION'!$J$9:$J$1208,0)),0))</f>
        <v/>
      </c>
      <c r="AJ448" s="10">
        <f>IF($A448="","",MAX(0,IFERROR(INDEX('2_IMPORTAR_EJECUCION'!$H$9:$H$1208,MATCH($AQ448,'2_IMPORTAR_EJECUCION'!$J$9:$J$1208,0)),0)-$AI448))</f>
        <v/>
      </c>
      <c r="AK448" s="10">
        <f>IF($A448="","",$AI448+$AJ448)</f>
        <v/>
      </c>
      <c r="AL448" s="6" t="n"/>
      <c r="AM448" s="6" t="n"/>
      <c r="AN448" s="6" t="n"/>
      <c r="AO448" s="3">
        <f>IF($AN448="","",HYPERLINK(p_ruta_base_checklists&amp;$AN448,"abrir"))</f>
        <v/>
      </c>
      <c r="AP448" s="6" t="n"/>
      <c r="AQ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IF($A449="","",IFERROR(INDEX('AJUSTES'!$B$4:$B$303,MATCH($AQ449,'AJUSTES'!$A$4:$A$303,0)),IF($K449="","",$K449)))</f>
        <v/>
      </c>
      <c r="N449" s="3">
        <f>IF($A449="","",IFERROR(INDEX('CAT_ESTADOS_ERP'!$B$4:$B$7,MATCH(IFERROR(INDEX('2_IMPORTAR_EJECUCION'!$C$9:$C$1208,MATCH($AQ449,'2_IMPORTAR_EJECUCION'!$J$9:$J$1208,0)),""),'CAT_ESTADOS_ERP'!$A$4:$A$7,0)),"Pendiente"))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J449="","",IFERROR(INDEX('CALENDARIO'!$C$15:$C$214,MATCH(TEXT($J449,"yyyy-mm-dd")&amp;"|"&amp;$V449&amp;"|"&amp;$W449,'CALENDARIO'!$G$15:$G$214,0)),IFERROR(INDEX('CALENDARIO'!$C$15:$C$214,MATCH(TEXT($J449,"yyyy-mm-dd")&amp;"|"&amp;$V449&amp;"|",'CALENDARIO'!$G$15:$G$214,0)),IFERROR(INDEX('CALENDARIO'!$C$15:$C$214,MATCH(TEXT($J449,"yyyy-mm-dd")&amp;"||",'CALENDARIO'!$G$15:$G$214,0)),INDEX(patronHabil,WEEKDAY($J449,2))))))</f>
        <v/>
      </c>
      <c r="T449" s="3">
        <f>IF($I449="","",IFERROR(INDEX('CAT_TIPOS_OT'!$C$4:$C$7,MATCH($I449,'CAT_TIPOS_OT'!$A$4:$A$7,0)),"sin_clasificar"))</f>
        <v/>
      </c>
      <c r="U449" s="3">
        <f>IF($F449="","",IFERROR(INDEX('CAT_CENTROS_COSTO'!$F$4:$F$13,MATCH($F449,'CAT_CENTROS_COSTO'!$A$4:$A$13,0)),"(sin catálogo)"))</f>
        <v/>
      </c>
      <c r="V449" s="3">
        <f>IF($F449="","",IFERROR(INDEX('CAT_CENTROS_COSTO'!$D$4:$D$13,MATCH($F449,'CAT_CENTROS_COSTO'!$A$4:$A$13,0)),"(sin catálogo)"))</f>
        <v/>
      </c>
      <c r="W449" s="3">
        <f>IF($F449="","",IF((IFERROR(INDEX('CAT_CENTROS_COSTO'!$E$4:$E$13,MATCH($F449,'CAT_CENTROS_COSTO'!$A$4:$A$13,0)),""))&lt;&gt;"",IFERROR(INDEX('CAT_CENTROS_COSTO'!$E$4:$E$13,MATCH($F449,'CAT_CENTROS_COSTO'!$A$4:$A$13,0)),""),$V449))</f>
        <v/>
      </c>
      <c r="X449" s="3">
        <f>IF($F449="","",IFERROR(INDEX('CAT_CENTROS_COSTO'!$G$4:$G$13,MATCH($F449,'CAT_CENTROS_COSTO'!$A$4:$A$13,0)),"(sin catálogo)"))</f>
        <v/>
      </c>
      <c r="Y449" s="3">
        <f>IF($G449="","",IFERROR(INDEX('CAT_PUESTOS'!$B$4:$B$8,MATCH($G449,'CAT_PUESTOS'!$A$4:$A$8,0)),"(sin catálogo)"))</f>
        <v/>
      </c>
      <c r="Z449" s="3">
        <f>IF($H449="","",IFERROR(INDEX('CAT_ACTIVIDADES'!$B$4:$B$8,MATCH($H449,'CAT_ACTIVIDADES'!$A$4:$A$8,0)),"(sin catálogo)"))</f>
        <v/>
      </c>
      <c r="AA449" s="12">
        <f>IF($J449="","",TODAY()-$J449)</f>
        <v/>
      </c>
      <c r="AB449" s="12">
        <f>IF($J449="","",IF($J449&lt;=TODAY(),COUNTIFS(cal_fechas,"&gt;="&amp;$J449,cal_fechas,"&lt;"&amp;TODAY(),cal_habil,"sí"),-COUNTIFS(cal_fechas,"&gt;="&amp;TODAY(),cal_fechas,"&lt;"&amp;$J449,cal_habil,"sí")))</f>
        <v/>
      </c>
      <c r="AC449" s="3">
        <f>IF($AB449="","",IF($AB449&lt;0,"FUTURO",IF($AB449&gt;p_dias_backlog_max,"BACKLOG","MES CORRIENTE")))</f>
        <v/>
      </c>
      <c r="AD449" s="3">
        <f>IF($AB449="",FALSE,AND($AB449&gt;p_dias_backlog_min,$AB449&lt;=p_dias_backlog_max))</f>
        <v/>
      </c>
      <c r="AE449" s="6" t="n"/>
      <c r="AF449" s="3">
        <f>IF($AE449="","",IF((IFERROR(INDEX('ASIGNACIONES'!$F$4:$F$339,MATCH($O449&amp;"|"&amp;$R449&amp;"|"&amp;$AE449,'ASIGNACIONES'!$J$4:$J$339,0)),""))=0,"",IFERROR(INDEX('ASIGNACIONES'!$F$4:$F$339,MATCH($O449&amp;"|"&amp;$R449&amp;"|"&amp;$AE449,'ASIGNACIONES'!$J$4:$J$339,0)),"")))</f>
        <v/>
      </c>
      <c r="AG449" s="13">
        <f>IF($AE449="","",SUMIFS('ORDENES'!$M$4:$M$1203,'ORDENES'!$AE$4:$AE$1203,$AE449,'ORDENES'!$O$4:$O$1203,$O449,'ORDENES'!$R$4:$R$1203,$R449))</f>
        <v/>
      </c>
      <c r="AH449" s="13">
        <f>IF($AG449="","",p_factor_productividad*IFERROR(INDEX('ASIGNACIONES'!$I$4:$I$339,MATCH($O449&amp;"|"&amp;$R449&amp;"|"&amp;$AE449,'ASIGNACIONES'!$J$4:$J$339,0)),0)-$AG449)</f>
        <v/>
      </c>
      <c r="AI449" s="10">
        <f>IF($A449="","",IFERROR(INDEX('2_IMPORTAR_EJECUCION'!$F$9:$F$1208,MATCH($AQ449,'2_IMPORTAR_EJECUCION'!$J$9:$J$1208,0)),0))</f>
        <v/>
      </c>
      <c r="AJ449" s="10">
        <f>IF($A449="","",MAX(0,IFERROR(INDEX('2_IMPORTAR_EJECUCION'!$H$9:$H$1208,MATCH($AQ449,'2_IMPORTAR_EJECUCION'!$J$9:$J$1208,0)),0)-$AI449))</f>
        <v/>
      </c>
      <c r="AK449" s="10">
        <f>IF($A449="","",$AI449+$AJ449)</f>
        <v/>
      </c>
      <c r="AL449" s="6" t="n"/>
      <c r="AM449" s="6" t="n"/>
      <c r="AN449" s="6" t="n"/>
      <c r="AO449" s="3">
        <f>IF($AN449="","",HYPERLINK(p_ruta_base_checklists&amp;$AN449,"abrir"))</f>
        <v/>
      </c>
      <c r="AP449" s="6" t="n"/>
      <c r="AQ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IF($A450="","",IFERROR(INDEX('AJUSTES'!$B$4:$B$303,MATCH($AQ450,'AJUSTES'!$A$4:$A$303,0)),IF($K450="","",$K450)))</f>
        <v/>
      </c>
      <c r="N450" s="3">
        <f>IF($A450="","",IFERROR(INDEX('CAT_ESTADOS_ERP'!$B$4:$B$7,MATCH(IFERROR(INDEX('2_IMPORTAR_EJECUCION'!$C$9:$C$1208,MATCH($AQ450,'2_IMPORTAR_EJECUCION'!$J$9:$J$1208,0)),""),'CAT_ESTADOS_ERP'!$A$4:$A$7,0)),"Pendiente"))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J450="","",IFERROR(INDEX('CALENDARIO'!$C$15:$C$214,MATCH(TEXT($J450,"yyyy-mm-dd")&amp;"|"&amp;$V450&amp;"|"&amp;$W450,'CALENDARIO'!$G$15:$G$214,0)),IFERROR(INDEX('CALENDARIO'!$C$15:$C$214,MATCH(TEXT($J450,"yyyy-mm-dd")&amp;"|"&amp;$V450&amp;"|",'CALENDARIO'!$G$15:$G$214,0)),IFERROR(INDEX('CALENDARIO'!$C$15:$C$214,MATCH(TEXT($J450,"yyyy-mm-dd")&amp;"||",'CALENDARIO'!$G$15:$G$214,0)),INDEX(patronHabil,WEEKDAY($J450,2))))))</f>
        <v/>
      </c>
      <c r="T450" s="3">
        <f>IF($I450="","",IFERROR(INDEX('CAT_TIPOS_OT'!$C$4:$C$7,MATCH($I450,'CAT_TIPOS_OT'!$A$4:$A$7,0)),"sin_clasificar"))</f>
        <v/>
      </c>
      <c r="U450" s="3">
        <f>IF($F450="","",IFERROR(INDEX('CAT_CENTROS_COSTO'!$F$4:$F$13,MATCH($F450,'CAT_CENTROS_COSTO'!$A$4:$A$13,0)),"(sin catálogo)"))</f>
        <v/>
      </c>
      <c r="V450" s="3">
        <f>IF($F450="","",IFERROR(INDEX('CAT_CENTROS_COSTO'!$D$4:$D$13,MATCH($F450,'CAT_CENTROS_COSTO'!$A$4:$A$13,0)),"(sin catálogo)"))</f>
        <v/>
      </c>
      <c r="W450" s="3">
        <f>IF($F450="","",IF((IFERROR(INDEX('CAT_CENTROS_COSTO'!$E$4:$E$13,MATCH($F450,'CAT_CENTROS_COSTO'!$A$4:$A$13,0)),""))&lt;&gt;"",IFERROR(INDEX('CAT_CENTROS_COSTO'!$E$4:$E$13,MATCH($F450,'CAT_CENTROS_COSTO'!$A$4:$A$13,0)),""),$V450))</f>
        <v/>
      </c>
      <c r="X450" s="3">
        <f>IF($F450="","",IFERROR(INDEX('CAT_CENTROS_COSTO'!$G$4:$G$13,MATCH($F450,'CAT_CENTROS_COSTO'!$A$4:$A$13,0)),"(sin catálogo)"))</f>
        <v/>
      </c>
      <c r="Y450" s="3">
        <f>IF($G450="","",IFERROR(INDEX('CAT_PUESTOS'!$B$4:$B$8,MATCH($G450,'CAT_PUESTOS'!$A$4:$A$8,0)),"(sin catálogo)"))</f>
        <v/>
      </c>
      <c r="Z450" s="3">
        <f>IF($H450="","",IFERROR(INDEX('CAT_ACTIVIDADES'!$B$4:$B$8,MATCH($H450,'CAT_ACTIVIDADES'!$A$4:$A$8,0)),"(sin catálogo)"))</f>
        <v/>
      </c>
      <c r="AA450" s="12">
        <f>IF($J450="","",TODAY()-$J450)</f>
        <v/>
      </c>
      <c r="AB450" s="12">
        <f>IF($J450="","",IF($J450&lt;=TODAY(),COUNTIFS(cal_fechas,"&gt;="&amp;$J450,cal_fechas,"&lt;"&amp;TODAY(),cal_habil,"sí"),-COUNTIFS(cal_fechas,"&gt;="&amp;TODAY(),cal_fechas,"&lt;"&amp;$J450,cal_habil,"sí")))</f>
        <v/>
      </c>
      <c r="AC450" s="3">
        <f>IF($AB450="","",IF($AB450&lt;0,"FUTURO",IF($AB450&gt;p_dias_backlog_max,"BACKLOG","MES CORRIENTE")))</f>
        <v/>
      </c>
      <c r="AD450" s="3">
        <f>IF($AB450="",FALSE,AND($AB450&gt;p_dias_backlog_min,$AB450&lt;=p_dias_backlog_max))</f>
        <v/>
      </c>
      <c r="AE450" s="6" t="n"/>
      <c r="AF450" s="3">
        <f>IF($AE450="","",IF((IFERROR(INDEX('ASIGNACIONES'!$F$4:$F$339,MATCH($O450&amp;"|"&amp;$R450&amp;"|"&amp;$AE450,'ASIGNACIONES'!$J$4:$J$339,0)),""))=0,"",IFERROR(INDEX('ASIGNACIONES'!$F$4:$F$339,MATCH($O450&amp;"|"&amp;$R450&amp;"|"&amp;$AE450,'ASIGNACIONES'!$J$4:$J$339,0)),"")))</f>
        <v/>
      </c>
      <c r="AG450" s="13">
        <f>IF($AE450="","",SUMIFS('ORDENES'!$M$4:$M$1203,'ORDENES'!$AE$4:$AE$1203,$AE450,'ORDENES'!$O$4:$O$1203,$O450,'ORDENES'!$R$4:$R$1203,$R450))</f>
        <v/>
      </c>
      <c r="AH450" s="13">
        <f>IF($AG450="","",p_factor_productividad*IFERROR(INDEX('ASIGNACIONES'!$I$4:$I$339,MATCH($O450&amp;"|"&amp;$R450&amp;"|"&amp;$AE450,'ASIGNACIONES'!$J$4:$J$339,0)),0)-$AG450)</f>
        <v/>
      </c>
      <c r="AI450" s="10">
        <f>IF($A450="","",IFERROR(INDEX('2_IMPORTAR_EJECUCION'!$F$9:$F$1208,MATCH($AQ450,'2_IMPORTAR_EJECUCION'!$J$9:$J$1208,0)),0))</f>
        <v/>
      </c>
      <c r="AJ450" s="10">
        <f>IF($A450="","",MAX(0,IFERROR(INDEX('2_IMPORTAR_EJECUCION'!$H$9:$H$1208,MATCH($AQ450,'2_IMPORTAR_EJECUCION'!$J$9:$J$1208,0)),0)-$AI450))</f>
        <v/>
      </c>
      <c r="AK450" s="10">
        <f>IF($A450="","",$AI450+$AJ450)</f>
        <v/>
      </c>
      <c r="AL450" s="6" t="n"/>
      <c r="AM450" s="6" t="n"/>
      <c r="AN450" s="6" t="n"/>
      <c r="AO450" s="3">
        <f>IF($AN450="","",HYPERLINK(p_ruta_base_checklists&amp;$AN450,"abrir"))</f>
        <v/>
      </c>
      <c r="AP450" s="6" t="n"/>
      <c r="AQ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IF($A451="","",IFERROR(INDEX('AJUSTES'!$B$4:$B$303,MATCH($AQ451,'AJUSTES'!$A$4:$A$303,0)),IF($K451="","",$K451)))</f>
        <v/>
      </c>
      <c r="N451" s="3">
        <f>IF($A451="","",IFERROR(INDEX('CAT_ESTADOS_ERP'!$B$4:$B$7,MATCH(IFERROR(INDEX('2_IMPORTAR_EJECUCION'!$C$9:$C$1208,MATCH($AQ451,'2_IMPORTAR_EJECUCION'!$J$9:$J$1208,0)),""),'CAT_ESTADOS_ERP'!$A$4:$A$7,0)),"Pendiente"))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J451="","",IFERROR(INDEX('CALENDARIO'!$C$15:$C$214,MATCH(TEXT($J451,"yyyy-mm-dd")&amp;"|"&amp;$V451&amp;"|"&amp;$W451,'CALENDARIO'!$G$15:$G$214,0)),IFERROR(INDEX('CALENDARIO'!$C$15:$C$214,MATCH(TEXT($J451,"yyyy-mm-dd")&amp;"|"&amp;$V451&amp;"|",'CALENDARIO'!$G$15:$G$214,0)),IFERROR(INDEX('CALENDARIO'!$C$15:$C$214,MATCH(TEXT($J451,"yyyy-mm-dd")&amp;"||",'CALENDARIO'!$G$15:$G$214,0)),INDEX(patronHabil,WEEKDAY($J451,2))))))</f>
        <v/>
      </c>
      <c r="T451" s="3">
        <f>IF($I451="","",IFERROR(INDEX('CAT_TIPOS_OT'!$C$4:$C$7,MATCH($I451,'CAT_TIPOS_OT'!$A$4:$A$7,0)),"sin_clasificar"))</f>
        <v/>
      </c>
      <c r="U451" s="3">
        <f>IF($F451="","",IFERROR(INDEX('CAT_CENTROS_COSTO'!$F$4:$F$13,MATCH($F451,'CAT_CENTROS_COSTO'!$A$4:$A$13,0)),"(sin catálogo)"))</f>
        <v/>
      </c>
      <c r="V451" s="3">
        <f>IF($F451="","",IFERROR(INDEX('CAT_CENTROS_COSTO'!$D$4:$D$13,MATCH($F451,'CAT_CENTROS_COSTO'!$A$4:$A$13,0)),"(sin catálogo)"))</f>
        <v/>
      </c>
      <c r="W451" s="3">
        <f>IF($F451="","",IF((IFERROR(INDEX('CAT_CENTROS_COSTO'!$E$4:$E$13,MATCH($F451,'CAT_CENTROS_COSTO'!$A$4:$A$13,0)),""))&lt;&gt;"",IFERROR(INDEX('CAT_CENTROS_COSTO'!$E$4:$E$13,MATCH($F451,'CAT_CENTROS_COSTO'!$A$4:$A$13,0)),""),$V451))</f>
        <v/>
      </c>
      <c r="X451" s="3">
        <f>IF($F451="","",IFERROR(INDEX('CAT_CENTROS_COSTO'!$G$4:$G$13,MATCH($F451,'CAT_CENTROS_COSTO'!$A$4:$A$13,0)),"(sin catálogo)"))</f>
        <v/>
      </c>
      <c r="Y451" s="3">
        <f>IF($G451="","",IFERROR(INDEX('CAT_PUESTOS'!$B$4:$B$8,MATCH($G451,'CAT_PUESTOS'!$A$4:$A$8,0)),"(sin catálogo)"))</f>
        <v/>
      </c>
      <c r="Z451" s="3">
        <f>IF($H451="","",IFERROR(INDEX('CAT_ACTIVIDADES'!$B$4:$B$8,MATCH($H451,'CAT_ACTIVIDADES'!$A$4:$A$8,0)),"(sin catálogo)"))</f>
        <v/>
      </c>
      <c r="AA451" s="12">
        <f>IF($J451="","",TODAY()-$J451)</f>
        <v/>
      </c>
      <c r="AB451" s="12">
        <f>IF($J451="","",IF($J451&lt;=TODAY(),COUNTIFS(cal_fechas,"&gt;="&amp;$J451,cal_fechas,"&lt;"&amp;TODAY(),cal_habil,"sí"),-COUNTIFS(cal_fechas,"&gt;="&amp;TODAY(),cal_fechas,"&lt;"&amp;$J451,cal_habil,"sí")))</f>
        <v/>
      </c>
      <c r="AC451" s="3">
        <f>IF($AB451="","",IF($AB451&lt;0,"FUTURO",IF($AB451&gt;p_dias_backlog_max,"BACKLOG","MES CORRIENTE")))</f>
        <v/>
      </c>
      <c r="AD451" s="3">
        <f>IF($AB451="",FALSE,AND($AB451&gt;p_dias_backlog_min,$AB451&lt;=p_dias_backlog_max))</f>
        <v/>
      </c>
      <c r="AE451" s="6" t="n"/>
      <c r="AF451" s="3">
        <f>IF($AE451="","",IF((IFERROR(INDEX('ASIGNACIONES'!$F$4:$F$339,MATCH($O451&amp;"|"&amp;$R451&amp;"|"&amp;$AE451,'ASIGNACIONES'!$J$4:$J$339,0)),""))=0,"",IFERROR(INDEX('ASIGNACIONES'!$F$4:$F$339,MATCH($O451&amp;"|"&amp;$R451&amp;"|"&amp;$AE451,'ASIGNACIONES'!$J$4:$J$339,0)),"")))</f>
        <v/>
      </c>
      <c r="AG451" s="13">
        <f>IF($AE451="","",SUMIFS('ORDENES'!$M$4:$M$1203,'ORDENES'!$AE$4:$AE$1203,$AE451,'ORDENES'!$O$4:$O$1203,$O451,'ORDENES'!$R$4:$R$1203,$R451))</f>
        <v/>
      </c>
      <c r="AH451" s="13">
        <f>IF($AG451="","",p_factor_productividad*IFERROR(INDEX('ASIGNACIONES'!$I$4:$I$339,MATCH($O451&amp;"|"&amp;$R451&amp;"|"&amp;$AE451,'ASIGNACIONES'!$J$4:$J$339,0)),0)-$AG451)</f>
        <v/>
      </c>
      <c r="AI451" s="10">
        <f>IF($A451="","",IFERROR(INDEX('2_IMPORTAR_EJECUCION'!$F$9:$F$1208,MATCH($AQ451,'2_IMPORTAR_EJECUCION'!$J$9:$J$1208,0)),0))</f>
        <v/>
      </c>
      <c r="AJ451" s="10">
        <f>IF($A451="","",MAX(0,IFERROR(INDEX('2_IMPORTAR_EJECUCION'!$H$9:$H$1208,MATCH($AQ451,'2_IMPORTAR_EJECUCION'!$J$9:$J$1208,0)),0)-$AI451))</f>
        <v/>
      </c>
      <c r="AK451" s="10">
        <f>IF($A451="","",$AI451+$AJ451)</f>
        <v/>
      </c>
      <c r="AL451" s="6" t="n"/>
      <c r="AM451" s="6" t="n"/>
      <c r="AN451" s="6" t="n"/>
      <c r="AO451" s="3">
        <f>IF($AN451="","",HYPERLINK(p_ruta_base_checklists&amp;$AN451,"abrir"))</f>
        <v/>
      </c>
      <c r="AP451" s="6" t="n"/>
      <c r="AQ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IF($A452="","",IFERROR(INDEX('AJUSTES'!$B$4:$B$303,MATCH($AQ452,'AJUSTES'!$A$4:$A$303,0)),IF($K452="","",$K452)))</f>
        <v/>
      </c>
      <c r="N452" s="3">
        <f>IF($A452="","",IFERROR(INDEX('CAT_ESTADOS_ERP'!$B$4:$B$7,MATCH(IFERROR(INDEX('2_IMPORTAR_EJECUCION'!$C$9:$C$1208,MATCH($AQ452,'2_IMPORTAR_EJECUCION'!$J$9:$J$1208,0)),""),'CAT_ESTADOS_ERP'!$A$4:$A$7,0)),"Pendiente"))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J452="","",IFERROR(INDEX('CALENDARIO'!$C$15:$C$214,MATCH(TEXT($J452,"yyyy-mm-dd")&amp;"|"&amp;$V452&amp;"|"&amp;$W452,'CALENDARIO'!$G$15:$G$214,0)),IFERROR(INDEX('CALENDARIO'!$C$15:$C$214,MATCH(TEXT($J452,"yyyy-mm-dd")&amp;"|"&amp;$V452&amp;"|",'CALENDARIO'!$G$15:$G$214,0)),IFERROR(INDEX('CALENDARIO'!$C$15:$C$214,MATCH(TEXT($J452,"yyyy-mm-dd")&amp;"||",'CALENDARIO'!$G$15:$G$214,0)),INDEX(patronHabil,WEEKDAY($J452,2))))))</f>
        <v/>
      </c>
      <c r="T452" s="3">
        <f>IF($I452="","",IFERROR(INDEX('CAT_TIPOS_OT'!$C$4:$C$7,MATCH($I452,'CAT_TIPOS_OT'!$A$4:$A$7,0)),"sin_clasificar"))</f>
        <v/>
      </c>
      <c r="U452" s="3">
        <f>IF($F452="","",IFERROR(INDEX('CAT_CENTROS_COSTO'!$F$4:$F$13,MATCH($F452,'CAT_CENTROS_COSTO'!$A$4:$A$13,0)),"(sin catálogo)"))</f>
        <v/>
      </c>
      <c r="V452" s="3">
        <f>IF($F452="","",IFERROR(INDEX('CAT_CENTROS_COSTO'!$D$4:$D$13,MATCH($F452,'CAT_CENTROS_COSTO'!$A$4:$A$13,0)),"(sin catálogo)"))</f>
        <v/>
      </c>
      <c r="W452" s="3">
        <f>IF($F452="","",IF((IFERROR(INDEX('CAT_CENTROS_COSTO'!$E$4:$E$13,MATCH($F452,'CAT_CENTROS_COSTO'!$A$4:$A$13,0)),""))&lt;&gt;"",IFERROR(INDEX('CAT_CENTROS_COSTO'!$E$4:$E$13,MATCH($F452,'CAT_CENTROS_COSTO'!$A$4:$A$13,0)),""),$V452))</f>
        <v/>
      </c>
      <c r="X452" s="3">
        <f>IF($F452="","",IFERROR(INDEX('CAT_CENTROS_COSTO'!$G$4:$G$13,MATCH($F452,'CAT_CENTROS_COSTO'!$A$4:$A$13,0)),"(sin catálogo)"))</f>
        <v/>
      </c>
      <c r="Y452" s="3">
        <f>IF($G452="","",IFERROR(INDEX('CAT_PUESTOS'!$B$4:$B$8,MATCH($G452,'CAT_PUESTOS'!$A$4:$A$8,0)),"(sin catálogo)"))</f>
        <v/>
      </c>
      <c r="Z452" s="3">
        <f>IF($H452="","",IFERROR(INDEX('CAT_ACTIVIDADES'!$B$4:$B$8,MATCH($H452,'CAT_ACTIVIDADES'!$A$4:$A$8,0)),"(sin catálogo)"))</f>
        <v/>
      </c>
      <c r="AA452" s="12">
        <f>IF($J452="","",TODAY()-$J452)</f>
        <v/>
      </c>
      <c r="AB452" s="12">
        <f>IF($J452="","",IF($J452&lt;=TODAY(),COUNTIFS(cal_fechas,"&gt;="&amp;$J452,cal_fechas,"&lt;"&amp;TODAY(),cal_habil,"sí"),-COUNTIFS(cal_fechas,"&gt;="&amp;TODAY(),cal_fechas,"&lt;"&amp;$J452,cal_habil,"sí")))</f>
        <v/>
      </c>
      <c r="AC452" s="3">
        <f>IF($AB452="","",IF($AB452&lt;0,"FUTURO",IF($AB452&gt;p_dias_backlog_max,"BACKLOG","MES CORRIENTE")))</f>
        <v/>
      </c>
      <c r="AD452" s="3">
        <f>IF($AB452="",FALSE,AND($AB452&gt;p_dias_backlog_min,$AB452&lt;=p_dias_backlog_max))</f>
        <v/>
      </c>
      <c r="AE452" s="6" t="n"/>
      <c r="AF452" s="3">
        <f>IF($AE452="","",IF((IFERROR(INDEX('ASIGNACIONES'!$F$4:$F$339,MATCH($O452&amp;"|"&amp;$R452&amp;"|"&amp;$AE452,'ASIGNACIONES'!$J$4:$J$339,0)),""))=0,"",IFERROR(INDEX('ASIGNACIONES'!$F$4:$F$339,MATCH($O452&amp;"|"&amp;$R452&amp;"|"&amp;$AE452,'ASIGNACIONES'!$J$4:$J$339,0)),"")))</f>
        <v/>
      </c>
      <c r="AG452" s="13">
        <f>IF($AE452="","",SUMIFS('ORDENES'!$M$4:$M$1203,'ORDENES'!$AE$4:$AE$1203,$AE452,'ORDENES'!$O$4:$O$1203,$O452,'ORDENES'!$R$4:$R$1203,$R452))</f>
        <v/>
      </c>
      <c r="AH452" s="13">
        <f>IF($AG452="","",p_factor_productividad*IFERROR(INDEX('ASIGNACIONES'!$I$4:$I$339,MATCH($O452&amp;"|"&amp;$R452&amp;"|"&amp;$AE452,'ASIGNACIONES'!$J$4:$J$339,0)),0)-$AG452)</f>
        <v/>
      </c>
      <c r="AI452" s="10">
        <f>IF($A452="","",IFERROR(INDEX('2_IMPORTAR_EJECUCION'!$F$9:$F$1208,MATCH($AQ452,'2_IMPORTAR_EJECUCION'!$J$9:$J$1208,0)),0))</f>
        <v/>
      </c>
      <c r="AJ452" s="10">
        <f>IF($A452="","",MAX(0,IFERROR(INDEX('2_IMPORTAR_EJECUCION'!$H$9:$H$1208,MATCH($AQ452,'2_IMPORTAR_EJECUCION'!$J$9:$J$1208,0)),0)-$AI452))</f>
        <v/>
      </c>
      <c r="AK452" s="10">
        <f>IF($A452="","",$AI452+$AJ452)</f>
        <v/>
      </c>
      <c r="AL452" s="6" t="n"/>
      <c r="AM452" s="6" t="n"/>
      <c r="AN452" s="6" t="n"/>
      <c r="AO452" s="3">
        <f>IF($AN452="","",HYPERLINK(p_ruta_base_checklists&amp;$AN452,"abrir"))</f>
        <v/>
      </c>
      <c r="AP452" s="6" t="n"/>
      <c r="AQ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IF($A453="","",IFERROR(INDEX('AJUSTES'!$B$4:$B$303,MATCH($AQ453,'AJUSTES'!$A$4:$A$303,0)),IF($K453="","",$K453)))</f>
        <v/>
      </c>
      <c r="N453" s="3">
        <f>IF($A453="","",IFERROR(INDEX('CAT_ESTADOS_ERP'!$B$4:$B$7,MATCH(IFERROR(INDEX('2_IMPORTAR_EJECUCION'!$C$9:$C$1208,MATCH($AQ453,'2_IMPORTAR_EJECUCION'!$J$9:$J$1208,0)),""),'CAT_ESTADOS_ERP'!$A$4:$A$7,0)),"Pendiente"))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J453="","",IFERROR(INDEX('CALENDARIO'!$C$15:$C$214,MATCH(TEXT($J453,"yyyy-mm-dd")&amp;"|"&amp;$V453&amp;"|"&amp;$W453,'CALENDARIO'!$G$15:$G$214,0)),IFERROR(INDEX('CALENDARIO'!$C$15:$C$214,MATCH(TEXT($J453,"yyyy-mm-dd")&amp;"|"&amp;$V453&amp;"|",'CALENDARIO'!$G$15:$G$214,0)),IFERROR(INDEX('CALENDARIO'!$C$15:$C$214,MATCH(TEXT($J453,"yyyy-mm-dd")&amp;"||",'CALENDARIO'!$G$15:$G$214,0)),INDEX(patronHabil,WEEKDAY($J453,2))))))</f>
        <v/>
      </c>
      <c r="T453" s="3">
        <f>IF($I453="","",IFERROR(INDEX('CAT_TIPOS_OT'!$C$4:$C$7,MATCH($I453,'CAT_TIPOS_OT'!$A$4:$A$7,0)),"sin_clasificar"))</f>
        <v/>
      </c>
      <c r="U453" s="3">
        <f>IF($F453="","",IFERROR(INDEX('CAT_CENTROS_COSTO'!$F$4:$F$13,MATCH($F453,'CAT_CENTROS_COSTO'!$A$4:$A$13,0)),"(sin catálogo)"))</f>
        <v/>
      </c>
      <c r="V453" s="3">
        <f>IF($F453="","",IFERROR(INDEX('CAT_CENTROS_COSTO'!$D$4:$D$13,MATCH($F453,'CAT_CENTROS_COSTO'!$A$4:$A$13,0)),"(sin catálogo)"))</f>
        <v/>
      </c>
      <c r="W453" s="3">
        <f>IF($F453="","",IF((IFERROR(INDEX('CAT_CENTROS_COSTO'!$E$4:$E$13,MATCH($F453,'CAT_CENTROS_COSTO'!$A$4:$A$13,0)),""))&lt;&gt;"",IFERROR(INDEX('CAT_CENTROS_COSTO'!$E$4:$E$13,MATCH($F453,'CAT_CENTROS_COSTO'!$A$4:$A$13,0)),""),$V453))</f>
        <v/>
      </c>
      <c r="X453" s="3">
        <f>IF($F453="","",IFERROR(INDEX('CAT_CENTROS_COSTO'!$G$4:$G$13,MATCH($F453,'CAT_CENTROS_COSTO'!$A$4:$A$13,0)),"(sin catálogo)"))</f>
        <v/>
      </c>
      <c r="Y453" s="3">
        <f>IF($G453="","",IFERROR(INDEX('CAT_PUESTOS'!$B$4:$B$8,MATCH($G453,'CAT_PUESTOS'!$A$4:$A$8,0)),"(sin catálogo)"))</f>
        <v/>
      </c>
      <c r="Z453" s="3">
        <f>IF($H453="","",IFERROR(INDEX('CAT_ACTIVIDADES'!$B$4:$B$8,MATCH($H453,'CAT_ACTIVIDADES'!$A$4:$A$8,0)),"(sin catálogo)"))</f>
        <v/>
      </c>
      <c r="AA453" s="12">
        <f>IF($J453="","",TODAY()-$J453)</f>
        <v/>
      </c>
      <c r="AB453" s="12">
        <f>IF($J453="","",IF($J453&lt;=TODAY(),COUNTIFS(cal_fechas,"&gt;="&amp;$J453,cal_fechas,"&lt;"&amp;TODAY(),cal_habil,"sí"),-COUNTIFS(cal_fechas,"&gt;="&amp;TODAY(),cal_fechas,"&lt;"&amp;$J453,cal_habil,"sí")))</f>
        <v/>
      </c>
      <c r="AC453" s="3">
        <f>IF($AB453="","",IF($AB453&lt;0,"FUTURO",IF($AB453&gt;p_dias_backlog_max,"BACKLOG","MES CORRIENTE")))</f>
        <v/>
      </c>
      <c r="AD453" s="3">
        <f>IF($AB453="",FALSE,AND($AB453&gt;p_dias_backlog_min,$AB453&lt;=p_dias_backlog_max))</f>
        <v/>
      </c>
      <c r="AE453" s="6" t="n"/>
      <c r="AF453" s="3">
        <f>IF($AE453="","",IF((IFERROR(INDEX('ASIGNACIONES'!$F$4:$F$339,MATCH($O453&amp;"|"&amp;$R453&amp;"|"&amp;$AE453,'ASIGNACIONES'!$J$4:$J$339,0)),""))=0,"",IFERROR(INDEX('ASIGNACIONES'!$F$4:$F$339,MATCH($O453&amp;"|"&amp;$R453&amp;"|"&amp;$AE453,'ASIGNACIONES'!$J$4:$J$339,0)),"")))</f>
        <v/>
      </c>
      <c r="AG453" s="13">
        <f>IF($AE453="","",SUMIFS('ORDENES'!$M$4:$M$1203,'ORDENES'!$AE$4:$AE$1203,$AE453,'ORDENES'!$O$4:$O$1203,$O453,'ORDENES'!$R$4:$R$1203,$R453))</f>
        <v/>
      </c>
      <c r="AH453" s="13">
        <f>IF($AG453="","",p_factor_productividad*IFERROR(INDEX('ASIGNACIONES'!$I$4:$I$339,MATCH($O453&amp;"|"&amp;$R453&amp;"|"&amp;$AE453,'ASIGNACIONES'!$J$4:$J$339,0)),0)-$AG453)</f>
        <v/>
      </c>
      <c r="AI453" s="10">
        <f>IF($A453="","",IFERROR(INDEX('2_IMPORTAR_EJECUCION'!$F$9:$F$1208,MATCH($AQ453,'2_IMPORTAR_EJECUCION'!$J$9:$J$1208,0)),0))</f>
        <v/>
      </c>
      <c r="AJ453" s="10">
        <f>IF($A453="","",MAX(0,IFERROR(INDEX('2_IMPORTAR_EJECUCION'!$H$9:$H$1208,MATCH($AQ453,'2_IMPORTAR_EJECUCION'!$J$9:$J$1208,0)),0)-$AI453))</f>
        <v/>
      </c>
      <c r="AK453" s="10">
        <f>IF($A453="","",$AI453+$AJ453)</f>
        <v/>
      </c>
      <c r="AL453" s="6" t="n"/>
      <c r="AM453" s="6" t="n"/>
      <c r="AN453" s="6" t="n"/>
      <c r="AO453" s="3">
        <f>IF($AN453="","",HYPERLINK(p_ruta_base_checklists&amp;$AN453,"abrir"))</f>
        <v/>
      </c>
      <c r="AP453" s="6" t="n"/>
      <c r="AQ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IF($A454="","",IFERROR(INDEX('AJUSTES'!$B$4:$B$303,MATCH($AQ454,'AJUSTES'!$A$4:$A$303,0)),IF($K454="","",$K454)))</f>
        <v/>
      </c>
      <c r="N454" s="3">
        <f>IF($A454="","",IFERROR(INDEX('CAT_ESTADOS_ERP'!$B$4:$B$7,MATCH(IFERROR(INDEX('2_IMPORTAR_EJECUCION'!$C$9:$C$1208,MATCH($AQ454,'2_IMPORTAR_EJECUCION'!$J$9:$J$1208,0)),""),'CAT_ESTADOS_ERP'!$A$4:$A$7,0)),"Pendiente"))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J454="","",IFERROR(INDEX('CALENDARIO'!$C$15:$C$214,MATCH(TEXT($J454,"yyyy-mm-dd")&amp;"|"&amp;$V454&amp;"|"&amp;$W454,'CALENDARIO'!$G$15:$G$214,0)),IFERROR(INDEX('CALENDARIO'!$C$15:$C$214,MATCH(TEXT($J454,"yyyy-mm-dd")&amp;"|"&amp;$V454&amp;"|",'CALENDARIO'!$G$15:$G$214,0)),IFERROR(INDEX('CALENDARIO'!$C$15:$C$214,MATCH(TEXT($J454,"yyyy-mm-dd")&amp;"||",'CALENDARIO'!$G$15:$G$214,0)),INDEX(patronHabil,WEEKDAY($J454,2))))))</f>
        <v/>
      </c>
      <c r="T454" s="3">
        <f>IF($I454="","",IFERROR(INDEX('CAT_TIPOS_OT'!$C$4:$C$7,MATCH($I454,'CAT_TIPOS_OT'!$A$4:$A$7,0)),"sin_clasificar"))</f>
        <v/>
      </c>
      <c r="U454" s="3">
        <f>IF($F454="","",IFERROR(INDEX('CAT_CENTROS_COSTO'!$F$4:$F$13,MATCH($F454,'CAT_CENTROS_COSTO'!$A$4:$A$13,0)),"(sin catálogo)"))</f>
        <v/>
      </c>
      <c r="V454" s="3">
        <f>IF($F454="","",IFERROR(INDEX('CAT_CENTROS_COSTO'!$D$4:$D$13,MATCH($F454,'CAT_CENTROS_COSTO'!$A$4:$A$13,0)),"(sin catálogo)"))</f>
        <v/>
      </c>
      <c r="W454" s="3">
        <f>IF($F454="","",IF((IFERROR(INDEX('CAT_CENTROS_COSTO'!$E$4:$E$13,MATCH($F454,'CAT_CENTROS_COSTO'!$A$4:$A$13,0)),""))&lt;&gt;"",IFERROR(INDEX('CAT_CENTROS_COSTO'!$E$4:$E$13,MATCH($F454,'CAT_CENTROS_COSTO'!$A$4:$A$13,0)),""),$V454))</f>
        <v/>
      </c>
      <c r="X454" s="3">
        <f>IF($F454="","",IFERROR(INDEX('CAT_CENTROS_COSTO'!$G$4:$G$13,MATCH($F454,'CAT_CENTROS_COSTO'!$A$4:$A$13,0)),"(sin catálogo)"))</f>
        <v/>
      </c>
      <c r="Y454" s="3">
        <f>IF($G454="","",IFERROR(INDEX('CAT_PUESTOS'!$B$4:$B$8,MATCH($G454,'CAT_PUESTOS'!$A$4:$A$8,0)),"(sin catálogo)"))</f>
        <v/>
      </c>
      <c r="Z454" s="3">
        <f>IF($H454="","",IFERROR(INDEX('CAT_ACTIVIDADES'!$B$4:$B$8,MATCH($H454,'CAT_ACTIVIDADES'!$A$4:$A$8,0)),"(sin catálogo)"))</f>
        <v/>
      </c>
      <c r="AA454" s="12">
        <f>IF($J454="","",TODAY()-$J454)</f>
        <v/>
      </c>
      <c r="AB454" s="12">
        <f>IF($J454="","",IF($J454&lt;=TODAY(),COUNTIFS(cal_fechas,"&gt;="&amp;$J454,cal_fechas,"&lt;"&amp;TODAY(),cal_habil,"sí"),-COUNTIFS(cal_fechas,"&gt;="&amp;TODAY(),cal_fechas,"&lt;"&amp;$J454,cal_habil,"sí")))</f>
        <v/>
      </c>
      <c r="AC454" s="3">
        <f>IF($AB454="","",IF($AB454&lt;0,"FUTURO",IF($AB454&gt;p_dias_backlog_max,"BACKLOG","MES CORRIENTE")))</f>
        <v/>
      </c>
      <c r="AD454" s="3">
        <f>IF($AB454="",FALSE,AND($AB454&gt;p_dias_backlog_min,$AB454&lt;=p_dias_backlog_max))</f>
        <v/>
      </c>
      <c r="AE454" s="6" t="n"/>
      <c r="AF454" s="3">
        <f>IF($AE454="","",IF((IFERROR(INDEX('ASIGNACIONES'!$F$4:$F$339,MATCH($O454&amp;"|"&amp;$R454&amp;"|"&amp;$AE454,'ASIGNACIONES'!$J$4:$J$339,0)),""))=0,"",IFERROR(INDEX('ASIGNACIONES'!$F$4:$F$339,MATCH($O454&amp;"|"&amp;$R454&amp;"|"&amp;$AE454,'ASIGNACIONES'!$J$4:$J$339,0)),"")))</f>
        <v/>
      </c>
      <c r="AG454" s="13">
        <f>IF($AE454="","",SUMIFS('ORDENES'!$M$4:$M$1203,'ORDENES'!$AE$4:$AE$1203,$AE454,'ORDENES'!$O$4:$O$1203,$O454,'ORDENES'!$R$4:$R$1203,$R454))</f>
        <v/>
      </c>
      <c r="AH454" s="13">
        <f>IF($AG454="","",p_factor_productividad*IFERROR(INDEX('ASIGNACIONES'!$I$4:$I$339,MATCH($O454&amp;"|"&amp;$R454&amp;"|"&amp;$AE454,'ASIGNACIONES'!$J$4:$J$339,0)),0)-$AG454)</f>
        <v/>
      </c>
      <c r="AI454" s="10">
        <f>IF($A454="","",IFERROR(INDEX('2_IMPORTAR_EJECUCION'!$F$9:$F$1208,MATCH($AQ454,'2_IMPORTAR_EJECUCION'!$J$9:$J$1208,0)),0))</f>
        <v/>
      </c>
      <c r="AJ454" s="10">
        <f>IF($A454="","",MAX(0,IFERROR(INDEX('2_IMPORTAR_EJECUCION'!$H$9:$H$1208,MATCH($AQ454,'2_IMPORTAR_EJECUCION'!$J$9:$J$1208,0)),0)-$AI454))</f>
        <v/>
      </c>
      <c r="AK454" s="10">
        <f>IF($A454="","",$AI454+$AJ454)</f>
        <v/>
      </c>
      <c r="AL454" s="6" t="n"/>
      <c r="AM454" s="6" t="n"/>
      <c r="AN454" s="6" t="n"/>
      <c r="AO454" s="3">
        <f>IF($AN454="","",HYPERLINK(p_ruta_base_checklists&amp;$AN454,"abrir"))</f>
        <v/>
      </c>
      <c r="AP454" s="6" t="n"/>
      <c r="AQ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IF($A455="","",IFERROR(INDEX('AJUSTES'!$B$4:$B$303,MATCH($AQ455,'AJUSTES'!$A$4:$A$303,0)),IF($K455="","",$K455)))</f>
        <v/>
      </c>
      <c r="N455" s="3">
        <f>IF($A455="","",IFERROR(INDEX('CAT_ESTADOS_ERP'!$B$4:$B$7,MATCH(IFERROR(INDEX('2_IMPORTAR_EJECUCION'!$C$9:$C$1208,MATCH($AQ455,'2_IMPORTAR_EJECUCION'!$J$9:$J$1208,0)),""),'CAT_ESTADOS_ERP'!$A$4:$A$7,0)),"Pendiente"))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J455="","",IFERROR(INDEX('CALENDARIO'!$C$15:$C$214,MATCH(TEXT($J455,"yyyy-mm-dd")&amp;"|"&amp;$V455&amp;"|"&amp;$W455,'CALENDARIO'!$G$15:$G$214,0)),IFERROR(INDEX('CALENDARIO'!$C$15:$C$214,MATCH(TEXT($J455,"yyyy-mm-dd")&amp;"|"&amp;$V455&amp;"|",'CALENDARIO'!$G$15:$G$214,0)),IFERROR(INDEX('CALENDARIO'!$C$15:$C$214,MATCH(TEXT($J455,"yyyy-mm-dd")&amp;"||",'CALENDARIO'!$G$15:$G$214,0)),INDEX(patronHabil,WEEKDAY($J455,2))))))</f>
        <v/>
      </c>
      <c r="T455" s="3">
        <f>IF($I455="","",IFERROR(INDEX('CAT_TIPOS_OT'!$C$4:$C$7,MATCH($I455,'CAT_TIPOS_OT'!$A$4:$A$7,0)),"sin_clasificar"))</f>
        <v/>
      </c>
      <c r="U455" s="3">
        <f>IF($F455="","",IFERROR(INDEX('CAT_CENTROS_COSTO'!$F$4:$F$13,MATCH($F455,'CAT_CENTROS_COSTO'!$A$4:$A$13,0)),"(sin catálogo)"))</f>
        <v/>
      </c>
      <c r="V455" s="3">
        <f>IF($F455="","",IFERROR(INDEX('CAT_CENTROS_COSTO'!$D$4:$D$13,MATCH($F455,'CAT_CENTROS_COSTO'!$A$4:$A$13,0)),"(sin catálogo)"))</f>
        <v/>
      </c>
      <c r="W455" s="3">
        <f>IF($F455="","",IF((IFERROR(INDEX('CAT_CENTROS_COSTO'!$E$4:$E$13,MATCH($F455,'CAT_CENTROS_COSTO'!$A$4:$A$13,0)),""))&lt;&gt;"",IFERROR(INDEX('CAT_CENTROS_COSTO'!$E$4:$E$13,MATCH($F455,'CAT_CENTROS_COSTO'!$A$4:$A$13,0)),""),$V455))</f>
        <v/>
      </c>
      <c r="X455" s="3">
        <f>IF($F455="","",IFERROR(INDEX('CAT_CENTROS_COSTO'!$G$4:$G$13,MATCH($F455,'CAT_CENTROS_COSTO'!$A$4:$A$13,0)),"(sin catálogo)"))</f>
        <v/>
      </c>
      <c r="Y455" s="3">
        <f>IF($G455="","",IFERROR(INDEX('CAT_PUESTOS'!$B$4:$B$8,MATCH($G455,'CAT_PUESTOS'!$A$4:$A$8,0)),"(sin catálogo)"))</f>
        <v/>
      </c>
      <c r="Z455" s="3">
        <f>IF($H455="","",IFERROR(INDEX('CAT_ACTIVIDADES'!$B$4:$B$8,MATCH($H455,'CAT_ACTIVIDADES'!$A$4:$A$8,0)),"(sin catálogo)"))</f>
        <v/>
      </c>
      <c r="AA455" s="12">
        <f>IF($J455="","",TODAY()-$J455)</f>
        <v/>
      </c>
      <c r="AB455" s="12">
        <f>IF($J455="","",IF($J455&lt;=TODAY(),COUNTIFS(cal_fechas,"&gt;="&amp;$J455,cal_fechas,"&lt;"&amp;TODAY(),cal_habil,"sí"),-COUNTIFS(cal_fechas,"&gt;="&amp;TODAY(),cal_fechas,"&lt;"&amp;$J455,cal_habil,"sí")))</f>
        <v/>
      </c>
      <c r="AC455" s="3">
        <f>IF($AB455="","",IF($AB455&lt;0,"FUTURO",IF($AB455&gt;p_dias_backlog_max,"BACKLOG","MES CORRIENTE")))</f>
        <v/>
      </c>
      <c r="AD455" s="3">
        <f>IF($AB455="",FALSE,AND($AB455&gt;p_dias_backlog_min,$AB455&lt;=p_dias_backlog_max))</f>
        <v/>
      </c>
      <c r="AE455" s="6" t="n"/>
      <c r="AF455" s="3">
        <f>IF($AE455="","",IF((IFERROR(INDEX('ASIGNACIONES'!$F$4:$F$339,MATCH($O455&amp;"|"&amp;$R455&amp;"|"&amp;$AE455,'ASIGNACIONES'!$J$4:$J$339,0)),""))=0,"",IFERROR(INDEX('ASIGNACIONES'!$F$4:$F$339,MATCH($O455&amp;"|"&amp;$R455&amp;"|"&amp;$AE455,'ASIGNACIONES'!$J$4:$J$339,0)),"")))</f>
        <v/>
      </c>
      <c r="AG455" s="13">
        <f>IF($AE455="","",SUMIFS('ORDENES'!$M$4:$M$1203,'ORDENES'!$AE$4:$AE$1203,$AE455,'ORDENES'!$O$4:$O$1203,$O455,'ORDENES'!$R$4:$R$1203,$R455))</f>
        <v/>
      </c>
      <c r="AH455" s="13">
        <f>IF($AG455="","",p_factor_productividad*IFERROR(INDEX('ASIGNACIONES'!$I$4:$I$339,MATCH($O455&amp;"|"&amp;$R455&amp;"|"&amp;$AE455,'ASIGNACIONES'!$J$4:$J$339,0)),0)-$AG455)</f>
        <v/>
      </c>
      <c r="AI455" s="10">
        <f>IF($A455="","",IFERROR(INDEX('2_IMPORTAR_EJECUCION'!$F$9:$F$1208,MATCH($AQ455,'2_IMPORTAR_EJECUCION'!$J$9:$J$1208,0)),0))</f>
        <v/>
      </c>
      <c r="AJ455" s="10">
        <f>IF($A455="","",MAX(0,IFERROR(INDEX('2_IMPORTAR_EJECUCION'!$H$9:$H$1208,MATCH($AQ455,'2_IMPORTAR_EJECUCION'!$J$9:$J$1208,0)),0)-$AI455))</f>
        <v/>
      </c>
      <c r="AK455" s="10">
        <f>IF($A455="","",$AI455+$AJ455)</f>
        <v/>
      </c>
      <c r="AL455" s="6" t="n"/>
      <c r="AM455" s="6" t="n"/>
      <c r="AN455" s="6" t="n"/>
      <c r="AO455" s="3">
        <f>IF($AN455="","",HYPERLINK(p_ruta_base_checklists&amp;$AN455,"abrir"))</f>
        <v/>
      </c>
      <c r="AP455" s="6" t="n"/>
      <c r="AQ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IF($A456="","",IFERROR(INDEX('AJUSTES'!$B$4:$B$303,MATCH($AQ456,'AJUSTES'!$A$4:$A$303,0)),IF($K456="","",$K456)))</f>
        <v/>
      </c>
      <c r="N456" s="3">
        <f>IF($A456="","",IFERROR(INDEX('CAT_ESTADOS_ERP'!$B$4:$B$7,MATCH(IFERROR(INDEX('2_IMPORTAR_EJECUCION'!$C$9:$C$1208,MATCH($AQ456,'2_IMPORTAR_EJECUCION'!$J$9:$J$1208,0)),""),'CAT_ESTADOS_ERP'!$A$4:$A$7,0)),"Pendiente"))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J456="","",IFERROR(INDEX('CALENDARIO'!$C$15:$C$214,MATCH(TEXT($J456,"yyyy-mm-dd")&amp;"|"&amp;$V456&amp;"|"&amp;$W456,'CALENDARIO'!$G$15:$G$214,0)),IFERROR(INDEX('CALENDARIO'!$C$15:$C$214,MATCH(TEXT($J456,"yyyy-mm-dd")&amp;"|"&amp;$V456&amp;"|",'CALENDARIO'!$G$15:$G$214,0)),IFERROR(INDEX('CALENDARIO'!$C$15:$C$214,MATCH(TEXT($J456,"yyyy-mm-dd")&amp;"||",'CALENDARIO'!$G$15:$G$214,0)),INDEX(patronHabil,WEEKDAY($J456,2))))))</f>
        <v/>
      </c>
      <c r="T456" s="3">
        <f>IF($I456="","",IFERROR(INDEX('CAT_TIPOS_OT'!$C$4:$C$7,MATCH($I456,'CAT_TIPOS_OT'!$A$4:$A$7,0)),"sin_clasificar"))</f>
        <v/>
      </c>
      <c r="U456" s="3">
        <f>IF($F456="","",IFERROR(INDEX('CAT_CENTROS_COSTO'!$F$4:$F$13,MATCH($F456,'CAT_CENTROS_COSTO'!$A$4:$A$13,0)),"(sin catálogo)"))</f>
        <v/>
      </c>
      <c r="V456" s="3">
        <f>IF($F456="","",IFERROR(INDEX('CAT_CENTROS_COSTO'!$D$4:$D$13,MATCH($F456,'CAT_CENTROS_COSTO'!$A$4:$A$13,0)),"(sin catálogo)"))</f>
        <v/>
      </c>
      <c r="W456" s="3">
        <f>IF($F456="","",IF((IFERROR(INDEX('CAT_CENTROS_COSTO'!$E$4:$E$13,MATCH($F456,'CAT_CENTROS_COSTO'!$A$4:$A$13,0)),""))&lt;&gt;"",IFERROR(INDEX('CAT_CENTROS_COSTO'!$E$4:$E$13,MATCH($F456,'CAT_CENTROS_COSTO'!$A$4:$A$13,0)),""),$V456))</f>
        <v/>
      </c>
      <c r="X456" s="3">
        <f>IF($F456="","",IFERROR(INDEX('CAT_CENTROS_COSTO'!$G$4:$G$13,MATCH($F456,'CAT_CENTROS_COSTO'!$A$4:$A$13,0)),"(sin catálogo)"))</f>
        <v/>
      </c>
      <c r="Y456" s="3">
        <f>IF($G456="","",IFERROR(INDEX('CAT_PUESTOS'!$B$4:$B$8,MATCH($G456,'CAT_PUESTOS'!$A$4:$A$8,0)),"(sin catálogo)"))</f>
        <v/>
      </c>
      <c r="Z456" s="3">
        <f>IF($H456="","",IFERROR(INDEX('CAT_ACTIVIDADES'!$B$4:$B$8,MATCH($H456,'CAT_ACTIVIDADES'!$A$4:$A$8,0)),"(sin catálogo)"))</f>
        <v/>
      </c>
      <c r="AA456" s="12">
        <f>IF($J456="","",TODAY()-$J456)</f>
        <v/>
      </c>
      <c r="AB456" s="12">
        <f>IF($J456="","",IF($J456&lt;=TODAY(),COUNTIFS(cal_fechas,"&gt;="&amp;$J456,cal_fechas,"&lt;"&amp;TODAY(),cal_habil,"sí"),-COUNTIFS(cal_fechas,"&gt;="&amp;TODAY(),cal_fechas,"&lt;"&amp;$J456,cal_habil,"sí")))</f>
        <v/>
      </c>
      <c r="AC456" s="3">
        <f>IF($AB456="","",IF($AB456&lt;0,"FUTURO",IF($AB456&gt;p_dias_backlog_max,"BACKLOG","MES CORRIENTE")))</f>
        <v/>
      </c>
      <c r="AD456" s="3">
        <f>IF($AB456="",FALSE,AND($AB456&gt;p_dias_backlog_min,$AB456&lt;=p_dias_backlog_max))</f>
        <v/>
      </c>
      <c r="AE456" s="6" t="n"/>
      <c r="AF456" s="3">
        <f>IF($AE456="","",IF((IFERROR(INDEX('ASIGNACIONES'!$F$4:$F$339,MATCH($O456&amp;"|"&amp;$R456&amp;"|"&amp;$AE456,'ASIGNACIONES'!$J$4:$J$339,0)),""))=0,"",IFERROR(INDEX('ASIGNACIONES'!$F$4:$F$339,MATCH($O456&amp;"|"&amp;$R456&amp;"|"&amp;$AE456,'ASIGNACIONES'!$J$4:$J$339,0)),"")))</f>
        <v/>
      </c>
      <c r="AG456" s="13">
        <f>IF($AE456="","",SUMIFS('ORDENES'!$M$4:$M$1203,'ORDENES'!$AE$4:$AE$1203,$AE456,'ORDENES'!$O$4:$O$1203,$O456,'ORDENES'!$R$4:$R$1203,$R456))</f>
        <v/>
      </c>
      <c r="AH456" s="13">
        <f>IF($AG456="","",p_factor_productividad*IFERROR(INDEX('ASIGNACIONES'!$I$4:$I$339,MATCH($O456&amp;"|"&amp;$R456&amp;"|"&amp;$AE456,'ASIGNACIONES'!$J$4:$J$339,0)),0)-$AG456)</f>
        <v/>
      </c>
      <c r="AI456" s="10">
        <f>IF($A456="","",IFERROR(INDEX('2_IMPORTAR_EJECUCION'!$F$9:$F$1208,MATCH($AQ456,'2_IMPORTAR_EJECUCION'!$J$9:$J$1208,0)),0))</f>
        <v/>
      </c>
      <c r="AJ456" s="10">
        <f>IF($A456="","",MAX(0,IFERROR(INDEX('2_IMPORTAR_EJECUCION'!$H$9:$H$1208,MATCH($AQ456,'2_IMPORTAR_EJECUCION'!$J$9:$J$1208,0)),0)-$AI456))</f>
        <v/>
      </c>
      <c r="AK456" s="10">
        <f>IF($A456="","",$AI456+$AJ456)</f>
        <v/>
      </c>
      <c r="AL456" s="6" t="n"/>
      <c r="AM456" s="6" t="n"/>
      <c r="AN456" s="6" t="n"/>
      <c r="AO456" s="3">
        <f>IF($AN456="","",HYPERLINK(p_ruta_base_checklists&amp;$AN456,"abrir"))</f>
        <v/>
      </c>
      <c r="AP456" s="6" t="n"/>
      <c r="AQ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IF($A457="","",IFERROR(INDEX('AJUSTES'!$B$4:$B$303,MATCH($AQ457,'AJUSTES'!$A$4:$A$303,0)),IF($K457="","",$K457)))</f>
        <v/>
      </c>
      <c r="N457" s="3">
        <f>IF($A457="","",IFERROR(INDEX('CAT_ESTADOS_ERP'!$B$4:$B$7,MATCH(IFERROR(INDEX('2_IMPORTAR_EJECUCION'!$C$9:$C$1208,MATCH($AQ457,'2_IMPORTAR_EJECUCION'!$J$9:$J$1208,0)),""),'CAT_ESTADOS_ERP'!$A$4:$A$7,0)),"Pendiente"))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J457="","",IFERROR(INDEX('CALENDARIO'!$C$15:$C$214,MATCH(TEXT($J457,"yyyy-mm-dd")&amp;"|"&amp;$V457&amp;"|"&amp;$W457,'CALENDARIO'!$G$15:$G$214,0)),IFERROR(INDEX('CALENDARIO'!$C$15:$C$214,MATCH(TEXT($J457,"yyyy-mm-dd")&amp;"|"&amp;$V457&amp;"|",'CALENDARIO'!$G$15:$G$214,0)),IFERROR(INDEX('CALENDARIO'!$C$15:$C$214,MATCH(TEXT($J457,"yyyy-mm-dd")&amp;"||",'CALENDARIO'!$G$15:$G$214,0)),INDEX(patronHabil,WEEKDAY($J457,2))))))</f>
        <v/>
      </c>
      <c r="T457" s="3">
        <f>IF($I457="","",IFERROR(INDEX('CAT_TIPOS_OT'!$C$4:$C$7,MATCH($I457,'CAT_TIPOS_OT'!$A$4:$A$7,0)),"sin_clasificar"))</f>
        <v/>
      </c>
      <c r="U457" s="3">
        <f>IF($F457="","",IFERROR(INDEX('CAT_CENTROS_COSTO'!$F$4:$F$13,MATCH($F457,'CAT_CENTROS_COSTO'!$A$4:$A$13,0)),"(sin catálogo)"))</f>
        <v/>
      </c>
      <c r="V457" s="3">
        <f>IF($F457="","",IFERROR(INDEX('CAT_CENTROS_COSTO'!$D$4:$D$13,MATCH($F457,'CAT_CENTROS_COSTO'!$A$4:$A$13,0)),"(sin catálogo)"))</f>
        <v/>
      </c>
      <c r="W457" s="3">
        <f>IF($F457="","",IF((IFERROR(INDEX('CAT_CENTROS_COSTO'!$E$4:$E$13,MATCH($F457,'CAT_CENTROS_COSTO'!$A$4:$A$13,0)),""))&lt;&gt;"",IFERROR(INDEX('CAT_CENTROS_COSTO'!$E$4:$E$13,MATCH($F457,'CAT_CENTROS_COSTO'!$A$4:$A$13,0)),""),$V457))</f>
        <v/>
      </c>
      <c r="X457" s="3">
        <f>IF($F457="","",IFERROR(INDEX('CAT_CENTROS_COSTO'!$G$4:$G$13,MATCH($F457,'CAT_CENTROS_COSTO'!$A$4:$A$13,0)),"(sin catálogo)"))</f>
        <v/>
      </c>
      <c r="Y457" s="3">
        <f>IF($G457="","",IFERROR(INDEX('CAT_PUESTOS'!$B$4:$B$8,MATCH($G457,'CAT_PUESTOS'!$A$4:$A$8,0)),"(sin catálogo)"))</f>
        <v/>
      </c>
      <c r="Z457" s="3">
        <f>IF($H457="","",IFERROR(INDEX('CAT_ACTIVIDADES'!$B$4:$B$8,MATCH($H457,'CAT_ACTIVIDADES'!$A$4:$A$8,0)),"(sin catálogo)"))</f>
        <v/>
      </c>
      <c r="AA457" s="12">
        <f>IF($J457="","",TODAY()-$J457)</f>
        <v/>
      </c>
      <c r="AB457" s="12">
        <f>IF($J457="","",IF($J457&lt;=TODAY(),COUNTIFS(cal_fechas,"&gt;="&amp;$J457,cal_fechas,"&lt;"&amp;TODAY(),cal_habil,"sí"),-COUNTIFS(cal_fechas,"&gt;="&amp;TODAY(),cal_fechas,"&lt;"&amp;$J457,cal_habil,"sí")))</f>
        <v/>
      </c>
      <c r="AC457" s="3">
        <f>IF($AB457="","",IF($AB457&lt;0,"FUTURO",IF($AB457&gt;p_dias_backlog_max,"BACKLOG","MES CORRIENTE")))</f>
        <v/>
      </c>
      <c r="AD457" s="3">
        <f>IF($AB457="",FALSE,AND($AB457&gt;p_dias_backlog_min,$AB457&lt;=p_dias_backlog_max))</f>
        <v/>
      </c>
      <c r="AE457" s="6" t="n"/>
      <c r="AF457" s="3">
        <f>IF($AE457="","",IF((IFERROR(INDEX('ASIGNACIONES'!$F$4:$F$339,MATCH($O457&amp;"|"&amp;$R457&amp;"|"&amp;$AE457,'ASIGNACIONES'!$J$4:$J$339,0)),""))=0,"",IFERROR(INDEX('ASIGNACIONES'!$F$4:$F$339,MATCH($O457&amp;"|"&amp;$R457&amp;"|"&amp;$AE457,'ASIGNACIONES'!$J$4:$J$339,0)),"")))</f>
        <v/>
      </c>
      <c r="AG457" s="13">
        <f>IF($AE457="","",SUMIFS('ORDENES'!$M$4:$M$1203,'ORDENES'!$AE$4:$AE$1203,$AE457,'ORDENES'!$O$4:$O$1203,$O457,'ORDENES'!$R$4:$R$1203,$R457))</f>
        <v/>
      </c>
      <c r="AH457" s="13">
        <f>IF($AG457="","",p_factor_productividad*IFERROR(INDEX('ASIGNACIONES'!$I$4:$I$339,MATCH($O457&amp;"|"&amp;$R457&amp;"|"&amp;$AE457,'ASIGNACIONES'!$J$4:$J$339,0)),0)-$AG457)</f>
        <v/>
      </c>
      <c r="AI457" s="10">
        <f>IF($A457="","",IFERROR(INDEX('2_IMPORTAR_EJECUCION'!$F$9:$F$1208,MATCH($AQ457,'2_IMPORTAR_EJECUCION'!$J$9:$J$1208,0)),0))</f>
        <v/>
      </c>
      <c r="AJ457" s="10">
        <f>IF($A457="","",MAX(0,IFERROR(INDEX('2_IMPORTAR_EJECUCION'!$H$9:$H$1208,MATCH($AQ457,'2_IMPORTAR_EJECUCION'!$J$9:$J$1208,0)),0)-$AI457))</f>
        <v/>
      </c>
      <c r="AK457" s="10">
        <f>IF($A457="","",$AI457+$AJ457)</f>
        <v/>
      </c>
      <c r="AL457" s="6" t="n"/>
      <c r="AM457" s="6" t="n"/>
      <c r="AN457" s="6" t="n"/>
      <c r="AO457" s="3">
        <f>IF($AN457="","",HYPERLINK(p_ruta_base_checklists&amp;$AN457,"abrir"))</f>
        <v/>
      </c>
      <c r="AP457" s="6" t="n"/>
      <c r="AQ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IF($A458="","",IFERROR(INDEX('AJUSTES'!$B$4:$B$303,MATCH($AQ458,'AJUSTES'!$A$4:$A$303,0)),IF($K458="","",$K458)))</f>
        <v/>
      </c>
      <c r="N458" s="3">
        <f>IF($A458="","",IFERROR(INDEX('CAT_ESTADOS_ERP'!$B$4:$B$7,MATCH(IFERROR(INDEX('2_IMPORTAR_EJECUCION'!$C$9:$C$1208,MATCH($AQ458,'2_IMPORTAR_EJECUCION'!$J$9:$J$1208,0)),""),'CAT_ESTADOS_ERP'!$A$4:$A$7,0)),"Pendiente"))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J458="","",IFERROR(INDEX('CALENDARIO'!$C$15:$C$214,MATCH(TEXT($J458,"yyyy-mm-dd")&amp;"|"&amp;$V458&amp;"|"&amp;$W458,'CALENDARIO'!$G$15:$G$214,0)),IFERROR(INDEX('CALENDARIO'!$C$15:$C$214,MATCH(TEXT($J458,"yyyy-mm-dd")&amp;"|"&amp;$V458&amp;"|",'CALENDARIO'!$G$15:$G$214,0)),IFERROR(INDEX('CALENDARIO'!$C$15:$C$214,MATCH(TEXT($J458,"yyyy-mm-dd")&amp;"||",'CALENDARIO'!$G$15:$G$214,0)),INDEX(patronHabil,WEEKDAY($J458,2))))))</f>
        <v/>
      </c>
      <c r="T458" s="3">
        <f>IF($I458="","",IFERROR(INDEX('CAT_TIPOS_OT'!$C$4:$C$7,MATCH($I458,'CAT_TIPOS_OT'!$A$4:$A$7,0)),"sin_clasificar"))</f>
        <v/>
      </c>
      <c r="U458" s="3">
        <f>IF($F458="","",IFERROR(INDEX('CAT_CENTROS_COSTO'!$F$4:$F$13,MATCH($F458,'CAT_CENTROS_COSTO'!$A$4:$A$13,0)),"(sin catálogo)"))</f>
        <v/>
      </c>
      <c r="V458" s="3">
        <f>IF($F458="","",IFERROR(INDEX('CAT_CENTROS_COSTO'!$D$4:$D$13,MATCH($F458,'CAT_CENTROS_COSTO'!$A$4:$A$13,0)),"(sin catálogo)"))</f>
        <v/>
      </c>
      <c r="W458" s="3">
        <f>IF($F458="","",IF((IFERROR(INDEX('CAT_CENTROS_COSTO'!$E$4:$E$13,MATCH($F458,'CAT_CENTROS_COSTO'!$A$4:$A$13,0)),""))&lt;&gt;"",IFERROR(INDEX('CAT_CENTROS_COSTO'!$E$4:$E$13,MATCH($F458,'CAT_CENTROS_COSTO'!$A$4:$A$13,0)),""),$V458))</f>
        <v/>
      </c>
      <c r="X458" s="3">
        <f>IF($F458="","",IFERROR(INDEX('CAT_CENTROS_COSTO'!$G$4:$G$13,MATCH($F458,'CAT_CENTROS_COSTO'!$A$4:$A$13,0)),"(sin catálogo)"))</f>
        <v/>
      </c>
      <c r="Y458" s="3">
        <f>IF($G458="","",IFERROR(INDEX('CAT_PUESTOS'!$B$4:$B$8,MATCH($G458,'CAT_PUESTOS'!$A$4:$A$8,0)),"(sin catálogo)"))</f>
        <v/>
      </c>
      <c r="Z458" s="3">
        <f>IF($H458="","",IFERROR(INDEX('CAT_ACTIVIDADES'!$B$4:$B$8,MATCH($H458,'CAT_ACTIVIDADES'!$A$4:$A$8,0)),"(sin catálogo)"))</f>
        <v/>
      </c>
      <c r="AA458" s="12">
        <f>IF($J458="","",TODAY()-$J458)</f>
        <v/>
      </c>
      <c r="AB458" s="12">
        <f>IF($J458="","",IF($J458&lt;=TODAY(),COUNTIFS(cal_fechas,"&gt;="&amp;$J458,cal_fechas,"&lt;"&amp;TODAY(),cal_habil,"sí"),-COUNTIFS(cal_fechas,"&gt;="&amp;TODAY(),cal_fechas,"&lt;"&amp;$J458,cal_habil,"sí")))</f>
        <v/>
      </c>
      <c r="AC458" s="3">
        <f>IF($AB458="","",IF($AB458&lt;0,"FUTURO",IF($AB458&gt;p_dias_backlog_max,"BACKLOG","MES CORRIENTE")))</f>
        <v/>
      </c>
      <c r="AD458" s="3">
        <f>IF($AB458="",FALSE,AND($AB458&gt;p_dias_backlog_min,$AB458&lt;=p_dias_backlog_max))</f>
        <v/>
      </c>
      <c r="AE458" s="6" t="n"/>
      <c r="AF458" s="3">
        <f>IF($AE458="","",IF((IFERROR(INDEX('ASIGNACIONES'!$F$4:$F$339,MATCH($O458&amp;"|"&amp;$R458&amp;"|"&amp;$AE458,'ASIGNACIONES'!$J$4:$J$339,0)),""))=0,"",IFERROR(INDEX('ASIGNACIONES'!$F$4:$F$339,MATCH($O458&amp;"|"&amp;$R458&amp;"|"&amp;$AE458,'ASIGNACIONES'!$J$4:$J$339,0)),"")))</f>
        <v/>
      </c>
      <c r="AG458" s="13">
        <f>IF($AE458="","",SUMIFS('ORDENES'!$M$4:$M$1203,'ORDENES'!$AE$4:$AE$1203,$AE458,'ORDENES'!$O$4:$O$1203,$O458,'ORDENES'!$R$4:$R$1203,$R458))</f>
        <v/>
      </c>
      <c r="AH458" s="13">
        <f>IF($AG458="","",p_factor_productividad*IFERROR(INDEX('ASIGNACIONES'!$I$4:$I$339,MATCH($O458&amp;"|"&amp;$R458&amp;"|"&amp;$AE458,'ASIGNACIONES'!$J$4:$J$339,0)),0)-$AG458)</f>
        <v/>
      </c>
      <c r="AI458" s="10">
        <f>IF($A458="","",IFERROR(INDEX('2_IMPORTAR_EJECUCION'!$F$9:$F$1208,MATCH($AQ458,'2_IMPORTAR_EJECUCION'!$J$9:$J$1208,0)),0))</f>
        <v/>
      </c>
      <c r="AJ458" s="10">
        <f>IF($A458="","",MAX(0,IFERROR(INDEX('2_IMPORTAR_EJECUCION'!$H$9:$H$1208,MATCH($AQ458,'2_IMPORTAR_EJECUCION'!$J$9:$J$1208,0)),0)-$AI458))</f>
        <v/>
      </c>
      <c r="AK458" s="10">
        <f>IF($A458="","",$AI458+$AJ458)</f>
        <v/>
      </c>
      <c r="AL458" s="6" t="n"/>
      <c r="AM458" s="6" t="n"/>
      <c r="AN458" s="6" t="n"/>
      <c r="AO458" s="3">
        <f>IF($AN458="","",HYPERLINK(p_ruta_base_checklists&amp;$AN458,"abrir"))</f>
        <v/>
      </c>
      <c r="AP458" s="6" t="n"/>
      <c r="AQ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IF($A459="","",IFERROR(INDEX('AJUSTES'!$B$4:$B$303,MATCH($AQ459,'AJUSTES'!$A$4:$A$303,0)),IF($K459="","",$K459)))</f>
        <v/>
      </c>
      <c r="N459" s="3">
        <f>IF($A459="","",IFERROR(INDEX('CAT_ESTADOS_ERP'!$B$4:$B$7,MATCH(IFERROR(INDEX('2_IMPORTAR_EJECUCION'!$C$9:$C$1208,MATCH($AQ459,'2_IMPORTAR_EJECUCION'!$J$9:$J$1208,0)),""),'CAT_ESTADOS_ERP'!$A$4:$A$7,0)),"Pendiente"))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J459="","",IFERROR(INDEX('CALENDARIO'!$C$15:$C$214,MATCH(TEXT($J459,"yyyy-mm-dd")&amp;"|"&amp;$V459&amp;"|"&amp;$W459,'CALENDARIO'!$G$15:$G$214,0)),IFERROR(INDEX('CALENDARIO'!$C$15:$C$214,MATCH(TEXT($J459,"yyyy-mm-dd")&amp;"|"&amp;$V459&amp;"|",'CALENDARIO'!$G$15:$G$214,0)),IFERROR(INDEX('CALENDARIO'!$C$15:$C$214,MATCH(TEXT($J459,"yyyy-mm-dd")&amp;"||",'CALENDARIO'!$G$15:$G$214,0)),INDEX(patronHabil,WEEKDAY($J459,2))))))</f>
        <v/>
      </c>
      <c r="T459" s="3">
        <f>IF($I459="","",IFERROR(INDEX('CAT_TIPOS_OT'!$C$4:$C$7,MATCH($I459,'CAT_TIPOS_OT'!$A$4:$A$7,0)),"sin_clasificar"))</f>
        <v/>
      </c>
      <c r="U459" s="3">
        <f>IF($F459="","",IFERROR(INDEX('CAT_CENTROS_COSTO'!$F$4:$F$13,MATCH($F459,'CAT_CENTROS_COSTO'!$A$4:$A$13,0)),"(sin catálogo)"))</f>
        <v/>
      </c>
      <c r="V459" s="3">
        <f>IF($F459="","",IFERROR(INDEX('CAT_CENTROS_COSTO'!$D$4:$D$13,MATCH($F459,'CAT_CENTROS_COSTO'!$A$4:$A$13,0)),"(sin catálogo)"))</f>
        <v/>
      </c>
      <c r="W459" s="3">
        <f>IF($F459="","",IF((IFERROR(INDEX('CAT_CENTROS_COSTO'!$E$4:$E$13,MATCH($F459,'CAT_CENTROS_COSTO'!$A$4:$A$13,0)),""))&lt;&gt;"",IFERROR(INDEX('CAT_CENTROS_COSTO'!$E$4:$E$13,MATCH($F459,'CAT_CENTROS_COSTO'!$A$4:$A$13,0)),""),$V459))</f>
        <v/>
      </c>
      <c r="X459" s="3">
        <f>IF($F459="","",IFERROR(INDEX('CAT_CENTROS_COSTO'!$G$4:$G$13,MATCH($F459,'CAT_CENTROS_COSTO'!$A$4:$A$13,0)),"(sin catálogo)"))</f>
        <v/>
      </c>
      <c r="Y459" s="3">
        <f>IF($G459="","",IFERROR(INDEX('CAT_PUESTOS'!$B$4:$B$8,MATCH($G459,'CAT_PUESTOS'!$A$4:$A$8,0)),"(sin catálogo)"))</f>
        <v/>
      </c>
      <c r="Z459" s="3">
        <f>IF($H459="","",IFERROR(INDEX('CAT_ACTIVIDADES'!$B$4:$B$8,MATCH($H459,'CAT_ACTIVIDADES'!$A$4:$A$8,0)),"(sin catálogo)"))</f>
        <v/>
      </c>
      <c r="AA459" s="12">
        <f>IF($J459="","",TODAY()-$J459)</f>
        <v/>
      </c>
      <c r="AB459" s="12">
        <f>IF($J459="","",IF($J459&lt;=TODAY(),COUNTIFS(cal_fechas,"&gt;="&amp;$J459,cal_fechas,"&lt;"&amp;TODAY(),cal_habil,"sí"),-COUNTIFS(cal_fechas,"&gt;="&amp;TODAY(),cal_fechas,"&lt;"&amp;$J459,cal_habil,"sí")))</f>
        <v/>
      </c>
      <c r="AC459" s="3">
        <f>IF($AB459="","",IF($AB459&lt;0,"FUTURO",IF($AB459&gt;p_dias_backlog_max,"BACKLOG","MES CORRIENTE")))</f>
        <v/>
      </c>
      <c r="AD459" s="3">
        <f>IF($AB459="",FALSE,AND($AB459&gt;p_dias_backlog_min,$AB459&lt;=p_dias_backlog_max))</f>
        <v/>
      </c>
      <c r="AE459" s="6" t="n"/>
      <c r="AF459" s="3">
        <f>IF($AE459="","",IF((IFERROR(INDEX('ASIGNACIONES'!$F$4:$F$339,MATCH($O459&amp;"|"&amp;$R459&amp;"|"&amp;$AE459,'ASIGNACIONES'!$J$4:$J$339,0)),""))=0,"",IFERROR(INDEX('ASIGNACIONES'!$F$4:$F$339,MATCH($O459&amp;"|"&amp;$R459&amp;"|"&amp;$AE459,'ASIGNACIONES'!$J$4:$J$339,0)),"")))</f>
        <v/>
      </c>
      <c r="AG459" s="13">
        <f>IF($AE459="","",SUMIFS('ORDENES'!$M$4:$M$1203,'ORDENES'!$AE$4:$AE$1203,$AE459,'ORDENES'!$O$4:$O$1203,$O459,'ORDENES'!$R$4:$R$1203,$R459))</f>
        <v/>
      </c>
      <c r="AH459" s="13">
        <f>IF($AG459="","",p_factor_productividad*IFERROR(INDEX('ASIGNACIONES'!$I$4:$I$339,MATCH($O459&amp;"|"&amp;$R459&amp;"|"&amp;$AE459,'ASIGNACIONES'!$J$4:$J$339,0)),0)-$AG459)</f>
        <v/>
      </c>
      <c r="AI459" s="10">
        <f>IF($A459="","",IFERROR(INDEX('2_IMPORTAR_EJECUCION'!$F$9:$F$1208,MATCH($AQ459,'2_IMPORTAR_EJECUCION'!$J$9:$J$1208,0)),0))</f>
        <v/>
      </c>
      <c r="AJ459" s="10">
        <f>IF($A459="","",MAX(0,IFERROR(INDEX('2_IMPORTAR_EJECUCION'!$H$9:$H$1208,MATCH($AQ459,'2_IMPORTAR_EJECUCION'!$J$9:$J$1208,0)),0)-$AI459))</f>
        <v/>
      </c>
      <c r="AK459" s="10">
        <f>IF($A459="","",$AI459+$AJ459)</f>
        <v/>
      </c>
      <c r="AL459" s="6" t="n"/>
      <c r="AM459" s="6" t="n"/>
      <c r="AN459" s="6" t="n"/>
      <c r="AO459" s="3">
        <f>IF($AN459="","",HYPERLINK(p_ruta_base_checklists&amp;$AN459,"abrir"))</f>
        <v/>
      </c>
      <c r="AP459" s="6" t="n"/>
      <c r="AQ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IF($A460="","",IFERROR(INDEX('AJUSTES'!$B$4:$B$303,MATCH($AQ460,'AJUSTES'!$A$4:$A$303,0)),IF($K460="","",$K460)))</f>
        <v/>
      </c>
      <c r="N460" s="3">
        <f>IF($A460="","",IFERROR(INDEX('CAT_ESTADOS_ERP'!$B$4:$B$7,MATCH(IFERROR(INDEX('2_IMPORTAR_EJECUCION'!$C$9:$C$1208,MATCH($AQ460,'2_IMPORTAR_EJECUCION'!$J$9:$J$1208,0)),""),'CAT_ESTADOS_ERP'!$A$4:$A$7,0)),"Pendiente"))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J460="","",IFERROR(INDEX('CALENDARIO'!$C$15:$C$214,MATCH(TEXT($J460,"yyyy-mm-dd")&amp;"|"&amp;$V460&amp;"|"&amp;$W460,'CALENDARIO'!$G$15:$G$214,0)),IFERROR(INDEX('CALENDARIO'!$C$15:$C$214,MATCH(TEXT($J460,"yyyy-mm-dd")&amp;"|"&amp;$V460&amp;"|",'CALENDARIO'!$G$15:$G$214,0)),IFERROR(INDEX('CALENDARIO'!$C$15:$C$214,MATCH(TEXT($J460,"yyyy-mm-dd")&amp;"||",'CALENDARIO'!$G$15:$G$214,0)),INDEX(patronHabil,WEEKDAY($J460,2))))))</f>
        <v/>
      </c>
      <c r="T460" s="3">
        <f>IF($I460="","",IFERROR(INDEX('CAT_TIPOS_OT'!$C$4:$C$7,MATCH($I460,'CAT_TIPOS_OT'!$A$4:$A$7,0)),"sin_clasificar"))</f>
        <v/>
      </c>
      <c r="U460" s="3">
        <f>IF($F460="","",IFERROR(INDEX('CAT_CENTROS_COSTO'!$F$4:$F$13,MATCH($F460,'CAT_CENTROS_COSTO'!$A$4:$A$13,0)),"(sin catálogo)"))</f>
        <v/>
      </c>
      <c r="V460" s="3">
        <f>IF($F460="","",IFERROR(INDEX('CAT_CENTROS_COSTO'!$D$4:$D$13,MATCH($F460,'CAT_CENTROS_COSTO'!$A$4:$A$13,0)),"(sin catálogo)"))</f>
        <v/>
      </c>
      <c r="W460" s="3">
        <f>IF($F460="","",IF((IFERROR(INDEX('CAT_CENTROS_COSTO'!$E$4:$E$13,MATCH($F460,'CAT_CENTROS_COSTO'!$A$4:$A$13,0)),""))&lt;&gt;"",IFERROR(INDEX('CAT_CENTROS_COSTO'!$E$4:$E$13,MATCH($F460,'CAT_CENTROS_COSTO'!$A$4:$A$13,0)),""),$V460))</f>
        <v/>
      </c>
      <c r="X460" s="3">
        <f>IF($F460="","",IFERROR(INDEX('CAT_CENTROS_COSTO'!$G$4:$G$13,MATCH($F460,'CAT_CENTROS_COSTO'!$A$4:$A$13,0)),"(sin catálogo)"))</f>
        <v/>
      </c>
      <c r="Y460" s="3">
        <f>IF($G460="","",IFERROR(INDEX('CAT_PUESTOS'!$B$4:$B$8,MATCH($G460,'CAT_PUESTOS'!$A$4:$A$8,0)),"(sin catálogo)"))</f>
        <v/>
      </c>
      <c r="Z460" s="3">
        <f>IF($H460="","",IFERROR(INDEX('CAT_ACTIVIDADES'!$B$4:$B$8,MATCH($H460,'CAT_ACTIVIDADES'!$A$4:$A$8,0)),"(sin catálogo)"))</f>
        <v/>
      </c>
      <c r="AA460" s="12">
        <f>IF($J460="","",TODAY()-$J460)</f>
        <v/>
      </c>
      <c r="AB460" s="12">
        <f>IF($J460="","",IF($J460&lt;=TODAY(),COUNTIFS(cal_fechas,"&gt;="&amp;$J460,cal_fechas,"&lt;"&amp;TODAY(),cal_habil,"sí"),-COUNTIFS(cal_fechas,"&gt;="&amp;TODAY(),cal_fechas,"&lt;"&amp;$J460,cal_habil,"sí")))</f>
        <v/>
      </c>
      <c r="AC460" s="3">
        <f>IF($AB460="","",IF($AB460&lt;0,"FUTURO",IF($AB460&gt;p_dias_backlog_max,"BACKLOG","MES CORRIENTE")))</f>
        <v/>
      </c>
      <c r="AD460" s="3">
        <f>IF($AB460="",FALSE,AND($AB460&gt;p_dias_backlog_min,$AB460&lt;=p_dias_backlog_max))</f>
        <v/>
      </c>
      <c r="AE460" s="6" t="n"/>
      <c r="AF460" s="3">
        <f>IF($AE460="","",IF((IFERROR(INDEX('ASIGNACIONES'!$F$4:$F$339,MATCH($O460&amp;"|"&amp;$R460&amp;"|"&amp;$AE460,'ASIGNACIONES'!$J$4:$J$339,0)),""))=0,"",IFERROR(INDEX('ASIGNACIONES'!$F$4:$F$339,MATCH($O460&amp;"|"&amp;$R460&amp;"|"&amp;$AE460,'ASIGNACIONES'!$J$4:$J$339,0)),"")))</f>
        <v/>
      </c>
      <c r="AG460" s="13">
        <f>IF($AE460="","",SUMIFS('ORDENES'!$M$4:$M$1203,'ORDENES'!$AE$4:$AE$1203,$AE460,'ORDENES'!$O$4:$O$1203,$O460,'ORDENES'!$R$4:$R$1203,$R460))</f>
        <v/>
      </c>
      <c r="AH460" s="13">
        <f>IF($AG460="","",p_factor_productividad*IFERROR(INDEX('ASIGNACIONES'!$I$4:$I$339,MATCH($O460&amp;"|"&amp;$R460&amp;"|"&amp;$AE460,'ASIGNACIONES'!$J$4:$J$339,0)),0)-$AG460)</f>
        <v/>
      </c>
      <c r="AI460" s="10">
        <f>IF($A460="","",IFERROR(INDEX('2_IMPORTAR_EJECUCION'!$F$9:$F$1208,MATCH($AQ460,'2_IMPORTAR_EJECUCION'!$J$9:$J$1208,0)),0))</f>
        <v/>
      </c>
      <c r="AJ460" s="10">
        <f>IF($A460="","",MAX(0,IFERROR(INDEX('2_IMPORTAR_EJECUCION'!$H$9:$H$1208,MATCH($AQ460,'2_IMPORTAR_EJECUCION'!$J$9:$J$1208,0)),0)-$AI460))</f>
        <v/>
      </c>
      <c r="AK460" s="10">
        <f>IF($A460="","",$AI460+$AJ460)</f>
        <v/>
      </c>
      <c r="AL460" s="6" t="n"/>
      <c r="AM460" s="6" t="n"/>
      <c r="AN460" s="6" t="n"/>
      <c r="AO460" s="3">
        <f>IF($AN460="","",HYPERLINK(p_ruta_base_checklists&amp;$AN460,"abrir"))</f>
        <v/>
      </c>
      <c r="AP460" s="6" t="n"/>
      <c r="AQ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IF($A461="","",IFERROR(INDEX('AJUSTES'!$B$4:$B$303,MATCH($AQ461,'AJUSTES'!$A$4:$A$303,0)),IF($K461="","",$K461)))</f>
        <v/>
      </c>
      <c r="N461" s="3">
        <f>IF($A461="","",IFERROR(INDEX('CAT_ESTADOS_ERP'!$B$4:$B$7,MATCH(IFERROR(INDEX('2_IMPORTAR_EJECUCION'!$C$9:$C$1208,MATCH($AQ461,'2_IMPORTAR_EJECUCION'!$J$9:$J$1208,0)),""),'CAT_ESTADOS_ERP'!$A$4:$A$7,0)),"Pendiente"))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J461="","",IFERROR(INDEX('CALENDARIO'!$C$15:$C$214,MATCH(TEXT($J461,"yyyy-mm-dd")&amp;"|"&amp;$V461&amp;"|"&amp;$W461,'CALENDARIO'!$G$15:$G$214,0)),IFERROR(INDEX('CALENDARIO'!$C$15:$C$214,MATCH(TEXT($J461,"yyyy-mm-dd")&amp;"|"&amp;$V461&amp;"|",'CALENDARIO'!$G$15:$G$214,0)),IFERROR(INDEX('CALENDARIO'!$C$15:$C$214,MATCH(TEXT($J461,"yyyy-mm-dd")&amp;"||",'CALENDARIO'!$G$15:$G$214,0)),INDEX(patronHabil,WEEKDAY($J461,2))))))</f>
        <v/>
      </c>
      <c r="T461" s="3">
        <f>IF($I461="","",IFERROR(INDEX('CAT_TIPOS_OT'!$C$4:$C$7,MATCH($I461,'CAT_TIPOS_OT'!$A$4:$A$7,0)),"sin_clasificar"))</f>
        <v/>
      </c>
      <c r="U461" s="3">
        <f>IF($F461="","",IFERROR(INDEX('CAT_CENTROS_COSTO'!$F$4:$F$13,MATCH($F461,'CAT_CENTROS_COSTO'!$A$4:$A$13,0)),"(sin catálogo)"))</f>
        <v/>
      </c>
      <c r="V461" s="3">
        <f>IF($F461="","",IFERROR(INDEX('CAT_CENTROS_COSTO'!$D$4:$D$13,MATCH($F461,'CAT_CENTROS_COSTO'!$A$4:$A$13,0)),"(sin catálogo)"))</f>
        <v/>
      </c>
      <c r="W461" s="3">
        <f>IF($F461="","",IF((IFERROR(INDEX('CAT_CENTROS_COSTO'!$E$4:$E$13,MATCH($F461,'CAT_CENTROS_COSTO'!$A$4:$A$13,0)),""))&lt;&gt;"",IFERROR(INDEX('CAT_CENTROS_COSTO'!$E$4:$E$13,MATCH($F461,'CAT_CENTROS_COSTO'!$A$4:$A$13,0)),""),$V461))</f>
        <v/>
      </c>
      <c r="X461" s="3">
        <f>IF($F461="","",IFERROR(INDEX('CAT_CENTROS_COSTO'!$G$4:$G$13,MATCH($F461,'CAT_CENTROS_COSTO'!$A$4:$A$13,0)),"(sin catálogo)"))</f>
        <v/>
      </c>
      <c r="Y461" s="3">
        <f>IF($G461="","",IFERROR(INDEX('CAT_PUESTOS'!$B$4:$B$8,MATCH($G461,'CAT_PUESTOS'!$A$4:$A$8,0)),"(sin catálogo)"))</f>
        <v/>
      </c>
      <c r="Z461" s="3">
        <f>IF($H461="","",IFERROR(INDEX('CAT_ACTIVIDADES'!$B$4:$B$8,MATCH($H461,'CAT_ACTIVIDADES'!$A$4:$A$8,0)),"(sin catálogo)"))</f>
        <v/>
      </c>
      <c r="AA461" s="12">
        <f>IF($J461="","",TODAY()-$J461)</f>
        <v/>
      </c>
      <c r="AB461" s="12">
        <f>IF($J461="","",IF($J461&lt;=TODAY(),COUNTIFS(cal_fechas,"&gt;="&amp;$J461,cal_fechas,"&lt;"&amp;TODAY(),cal_habil,"sí"),-COUNTIFS(cal_fechas,"&gt;="&amp;TODAY(),cal_fechas,"&lt;"&amp;$J461,cal_habil,"sí")))</f>
        <v/>
      </c>
      <c r="AC461" s="3">
        <f>IF($AB461="","",IF($AB461&lt;0,"FUTURO",IF($AB461&gt;p_dias_backlog_max,"BACKLOG","MES CORRIENTE")))</f>
        <v/>
      </c>
      <c r="AD461" s="3">
        <f>IF($AB461="",FALSE,AND($AB461&gt;p_dias_backlog_min,$AB461&lt;=p_dias_backlog_max))</f>
        <v/>
      </c>
      <c r="AE461" s="6" t="n"/>
      <c r="AF461" s="3">
        <f>IF($AE461="","",IF((IFERROR(INDEX('ASIGNACIONES'!$F$4:$F$339,MATCH($O461&amp;"|"&amp;$R461&amp;"|"&amp;$AE461,'ASIGNACIONES'!$J$4:$J$339,0)),""))=0,"",IFERROR(INDEX('ASIGNACIONES'!$F$4:$F$339,MATCH($O461&amp;"|"&amp;$R461&amp;"|"&amp;$AE461,'ASIGNACIONES'!$J$4:$J$339,0)),"")))</f>
        <v/>
      </c>
      <c r="AG461" s="13">
        <f>IF($AE461="","",SUMIFS('ORDENES'!$M$4:$M$1203,'ORDENES'!$AE$4:$AE$1203,$AE461,'ORDENES'!$O$4:$O$1203,$O461,'ORDENES'!$R$4:$R$1203,$R461))</f>
        <v/>
      </c>
      <c r="AH461" s="13">
        <f>IF($AG461="","",p_factor_productividad*IFERROR(INDEX('ASIGNACIONES'!$I$4:$I$339,MATCH($O461&amp;"|"&amp;$R461&amp;"|"&amp;$AE461,'ASIGNACIONES'!$J$4:$J$339,0)),0)-$AG461)</f>
        <v/>
      </c>
      <c r="AI461" s="10">
        <f>IF($A461="","",IFERROR(INDEX('2_IMPORTAR_EJECUCION'!$F$9:$F$1208,MATCH($AQ461,'2_IMPORTAR_EJECUCION'!$J$9:$J$1208,0)),0))</f>
        <v/>
      </c>
      <c r="AJ461" s="10">
        <f>IF($A461="","",MAX(0,IFERROR(INDEX('2_IMPORTAR_EJECUCION'!$H$9:$H$1208,MATCH($AQ461,'2_IMPORTAR_EJECUCION'!$J$9:$J$1208,0)),0)-$AI461))</f>
        <v/>
      </c>
      <c r="AK461" s="10">
        <f>IF($A461="","",$AI461+$AJ461)</f>
        <v/>
      </c>
      <c r="AL461" s="6" t="n"/>
      <c r="AM461" s="6" t="n"/>
      <c r="AN461" s="6" t="n"/>
      <c r="AO461" s="3">
        <f>IF($AN461="","",HYPERLINK(p_ruta_base_checklists&amp;$AN461,"abrir"))</f>
        <v/>
      </c>
      <c r="AP461" s="6" t="n"/>
      <c r="AQ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IF($A462="","",IFERROR(INDEX('AJUSTES'!$B$4:$B$303,MATCH($AQ462,'AJUSTES'!$A$4:$A$303,0)),IF($K462="","",$K462)))</f>
        <v/>
      </c>
      <c r="N462" s="3">
        <f>IF($A462="","",IFERROR(INDEX('CAT_ESTADOS_ERP'!$B$4:$B$7,MATCH(IFERROR(INDEX('2_IMPORTAR_EJECUCION'!$C$9:$C$1208,MATCH($AQ462,'2_IMPORTAR_EJECUCION'!$J$9:$J$1208,0)),""),'CAT_ESTADOS_ERP'!$A$4:$A$7,0)),"Pendiente"))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J462="","",IFERROR(INDEX('CALENDARIO'!$C$15:$C$214,MATCH(TEXT($J462,"yyyy-mm-dd")&amp;"|"&amp;$V462&amp;"|"&amp;$W462,'CALENDARIO'!$G$15:$G$214,0)),IFERROR(INDEX('CALENDARIO'!$C$15:$C$214,MATCH(TEXT($J462,"yyyy-mm-dd")&amp;"|"&amp;$V462&amp;"|",'CALENDARIO'!$G$15:$G$214,0)),IFERROR(INDEX('CALENDARIO'!$C$15:$C$214,MATCH(TEXT($J462,"yyyy-mm-dd")&amp;"||",'CALENDARIO'!$G$15:$G$214,0)),INDEX(patronHabil,WEEKDAY($J462,2))))))</f>
        <v/>
      </c>
      <c r="T462" s="3">
        <f>IF($I462="","",IFERROR(INDEX('CAT_TIPOS_OT'!$C$4:$C$7,MATCH($I462,'CAT_TIPOS_OT'!$A$4:$A$7,0)),"sin_clasificar"))</f>
        <v/>
      </c>
      <c r="U462" s="3">
        <f>IF($F462="","",IFERROR(INDEX('CAT_CENTROS_COSTO'!$F$4:$F$13,MATCH($F462,'CAT_CENTROS_COSTO'!$A$4:$A$13,0)),"(sin catálogo)"))</f>
        <v/>
      </c>
      <c r="V462" s="3">
        <f>IF($F462="","",IFERROR(INDEX('CAT_CENTROS_COSTO'!$D$4:$D$13,MATCH($F462,'CAT_CENTROS_COSTO'!$A$4:$A$13,0)),"(sin catálogo)"))</f>
        <v/>
      </c>
      <c r="W462" s="3">
        <f>IF($F462="","",IF((IFERROR(INDEX('CAT_CENTROS_COSTO'!$E$4:$E$13,MATCH($F462,'CAT_CENTROS_COSTO'!$A$4:$A$13,0)),""))&lt;&gt;"",IFERROR(INDEX('CAT_CENTROS_COSTO'!$E$4:$E$13,MATCH($F462,'CAT_CENTROS_COSTO'!$A$4:$A$13,0)),""),$V462))</f>
        <v/>
      </c>
      <c r="X462" s="3">
        <f>IF($F462="","",IFERROR(INDEX('CAT_CENTROS_COSTO'!$G$4:$G$13,MATCH($F462,'CAT_CENTROS_COSTO'!$A$4:$A$13,0)),"(sin catálogo)"))</f>
        <v/>
      </c>
      <c r="Y462" s="3">
        <f>IF($G462="","",IFERROR(INDEX('CAT_PUESTOS'!$B$4:$B$8,MATCH($G462,'CAT_PUESTOS'!$A$4:$A$8,0)),"(sin catálogo)"))</f>
        <v/>
      </c>
      <c r="Z462" s="3">
        <f>IF($H462="","",IFERROR(INDEX('CAT_ACTIVIDADES'!$B$4:$B$8,MATCH($H462,'CAT_ACTIVIDADES'!$A$4:$A$8,0)),"(sin catálogo)"))</f>
        <v/>
      </c>
      <c r="AA462" s="12">
        <f>IF($J462="","",TODAY()-$J462)</f>
        <v/>
      </c>
      <c r="AB462" s="12">
        <f>IF($J462="","",IF($J462&lt;=TODAY(),COUNTIFS(cal_fechas,"&gt;="&amp;$J462,cal_fechas,"&lt;"&amp;TODAY(),cal_habil,"sí"),-COUNTIFS(cal_fechas,"&gt;="&amp;TODAY(),cal_fechas,"&lt;"&amp;$J462,cal_habil,"sí")))</f>
        <v/>
      </c>
      <c r="AC462" s="3">
        <f>IF($AB462="","",IF($AB462&lt;0,"FUTURO",IF($AB462&gt;p_dias_backlog_max,"BACKLOG","MES CORRIENTE")))</f>
        <v/>
      </c>
      <c r="AD462" s="3">
        <f>IF($AB462="",FALSE,AND($AB462&gt;p_dias_backlog_min,$AB462&lt;=p_dias_backlog_max))</f>
        <v/>
      </c>
      <c r="AE462" s="6" t="n"/>
      <c r="AF462" s="3">
        <f>IF($AE462="","",IF((IFERROR(INDEX('ASIGNACIONES'!$F$4:$F$339,MATCH($O462&amp;"|"&amp;$R462&amp;"|"&amp;$AE462,'ASIGNACIONES'!$J$4:$J$339,0)),""))=0,"",IFERROR(INDEX('ASIGNACIONES'!$F$4:$F$339,MATCH($O462&amp;"|"&amp;$R462&amp;"|"&amp;$AE462,'ASIGNACIONES'!$J$4:$J$339,0)),"")))</f>
        <v/>
      </c>
      <c r="AG462" s="13">
        <f>IF($AE462="","",SUMIFS('ORDENES'!$M$4:$M$1203,'ORDENES'!$AE$4:$AE$1203,$AE462,'ORDENES'!$O$4:$O$1203,$O462,'ORDENES'!$R$4:$R$1203,$R462))</f>
        <v/>
      </c>
      <c r="AH462" s="13">
        <f>IF($AG462="","",p_factor_productividad*IFERROR(INDEX('ASIGNACIONES'!$I$4:$I$339,MATCH($O462&amp;"|"&amp;$R462&amp;"|"&amp;$AE462,'ASIGNACIONES'!$J$4:$J$339,0)),0)-$AG462)</f>
        <v/>
      </c>
      <c r="AI462" s="10">
        <f>IF($A462="","",IFERROR(INDEX('2_IMPORTAR_EJECUCION'!$F$9:$F$1208,MATCH($AQ462,'2_IMPORTAR_EJECUCION'!$J$9:$J$1208,0)),0))</f>
        <v/>
      </c>
      <c r="AJ462" s="10">
        <f>IF($A462="","",MAX(0,IFERROR(INDEX('2_IMPORTAR_EJECUCION'!$H$9:$H$1208,MATCH($AQ462,'2_IMPORTAR_EJECUCION'!$J$9:$J$1208,0)),0)-$AI462))</f>
        <v/>
      </c>
      <c r="AK462" s="10">
        <f>IF($A462="","",$AI462+$AJ462)</f>
        <v/>
      </c>
      <c r="AL462" s="6" t="n"/>
      <c r="AM462" s="6" t="n"/>
      <c r="AN462" s="6" t="n"/>
      <c r="AO462" s="3">
        <f>IF($AN462="","",HYPERLINK(p_ruta_base_checklists&amp;$AN462,"abrir"))</f>
        <v/>
      </c>
      <c r="AP462" s="6" t="n"/>
      <c r="AQ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IF($A463="","",IFERROR(INDEX('AJUSTES'!$B$4:$B$303,MATCH($AQ463,'AJUSTES'!$A$4:$A$303,0)),IF($K463="","",$K463)))</f>
        <v/>
      </c>
      <c r="N463" s="3">
        <f>IF($A463="","",IFERROR(INDEX('CAT_ESTADOS_ERP'!$B$4:$B$7,MATCH(IFERROR(INDEX('2_IMPORTAR_EJECUCION'!$C$9:$C$1208,MATCH($AQ463,'2_IMPORTAR_EJECUCION'!$J$9:$J$1208,0)),""),'CAT_ESTADOS_ERP'!$A$4:$A$7,0)),"Pendiente"))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J463="","",IFERROR(INDEX('CALENDARIO'!$C$15:$C$214,MATCH(TEXT($J463,"yyyy-mm-dd")&amp;"|"&amp;$V463&amp;"|"&amp;$W463,'CALENDARIO'!$G$15:$G$214,0)),IFERROR(INDEX('CALENDARIO'!$C$15:$C$214,MATCH(TEXT($J463,"yyyy-mm-dd")&amp;"|"&amp;$V463&amp;"|",'CALENDARIO'!$G$15:$G$214,0)),IFERROR(INDEX('CALENDARIO'!$C$15:$C$214,MATCH(TEXT($J463,"yyyy-mm-dd")&amp;"||",'CALENDARIO'!$G$15:$G$214,0)),INDEX(patronHabil,WEEKDAY($J463,2))))))</f>
        <v/>
      </c>
      <c r="T463" s="3">
        <f>IF($I463="","",IFERROR(INDEX('CAT_TIPOS_OT'!$C$4:$C$7,MATCH($I463,'CAT_TIPOS_OT'!$A$4:$A$7,0)),"sin_clasificar"))</f>
        <v/>
      </c>
      <c r="U463" s="3">
        <f>IF($F463="","",IFERROR(INDEX('CAT_CENTROS_COSTO'!$F$4:$F$13,MATCH($F463,'CAT_CENTROS_COSTO'!$A$4:$A$13,0)),"(sin catálogo)"))</f>
        <v/>
      </c>
      <c r="V463" s="3">
        <f>IF($F463="","",IFERROR(INDEX('CAT_CENTROS_COSTO'!$D$4:$D$13,MATCH($F463,'CAT_CENTROS_COSTO'!$A$4:$A$13,0)),"(sin catálogo)"))</f>
        <v/>
      </c>
      <c r="W463" s="3">
        <f>IF($F463="","",IF((IFERROR(INDEX('CAT_CENTROS_COSTO'!$E$4:$E$13,MATCH($F463,'CAT_CENTROS_COSTO'!$A$4:$A$13,0)),""))&lt;&gt;"",IFERROR(INDEX('CAT_CENTROS_COSTO'!$E$4:$E$13,MATCH($F463,'CAT_CENTROS_COSTO'!$A$4:$A$13,0)),""),$V463))</f>
        <v/>
      </c>
      <c r="X463" s="3">
        <f>IF($F463="","",IFERROR(INDEX('CAT_CENTROS_COSTO'!$G$4:$G$13,MATCH($F463,'CAT_CENTROS_COSTO'!$A$4:$A$13,0)),"(sin catálogo)"))</f>
        <v/>
      </c>
      <c r="Y463" s="3">
        <f>IF($G463="","",IFERROR(INDEX('CAT_PUESTOS'!$B$4:$B$8,MATCH($G463,'CAT_PUESTOS'!$A$4:$A$8,0)),"(sin catálogo)"))</f>
        <v/>
      </c>
      <c r="Z463" s="3">
        <f>IF($H463="","",IFERROR(INDEX('CAT_ACTIVIDADES'!$B$4:$B$8,MATCH($H463,'CAT_ACTIVIDADES'!$A$4:$A$8,0)),"(sin catálogo)"))</f>
        <v/>
      </c>
      <c r="AA463" s="12">
        <f>IF($J463="","",TODAY()-$J463)</f>
        <v/>
      </c>
      <c r="AB463" s="12">
        <f>IF($J463="","",IF($J463&lt;=TODAY(),COUNTIFS(cal_fechas,"&gt;="&amp;$J463,cal_fechas,"&lt;"&amp;TODAY(),cal_habil,"sí"),-COUNTIFS(cal_fechas,"&gt;="&amp;TODAY(),cal_fechas,"&lt;"&amp;$J463,cal_habil,"sí")))</f>
        <v/>
      </c>
      <c r="AC463" s="3">
        <f>IF($AB463="","",IF($AB463&lt;0,"FUTURO",IF($AB463&gt;p_dias_backlog_max,"BACKLOG","MES CORRIENTE")))</f>
        <v/>
      </c>
      <c r="AD463" s="3">
        <f>IF($AB463="",FALSE,AND($AB463&gt;p_dias_backlog_min,$AB463&lt;=p_dias_backlog_max))</f>
        <v/>
      </c>
      <c r="AE463" s="6" t="n"/>
      <c r="AF463" s="3">
        <f>IF($AE463="","",IF((IFERROR(INDEX('ASIGNACIONES'!$F$4:$F$339,MATCH($O463&amp;"|"&amp;$R463&amp;"|"&amp;$AE463,'ASIGNACIONES'!$J$4:$J$339,0)),""))=0,"",IFERROR(INDEX('ASIGNACIONES'!$F$4:$F$339,MATCH($O463&amp;"|"&amp;$R463&amp;"|"&amp;$AE463,'ASIGNACIONES'!$J$4:$J$339,0)),"")))</f>
        <v/>
      </c>
      <c r="AG463" s="13">
        <f>IF($AE463="","",SUMIFS('ORDENES'!$M$4:$M$1203,'ORDENES'!$AE$4:$AE$1203,$AE463,'ORDENES'!$O$4:$O$1203,$O463,'ORDENES'!$R$4:$R$1203,$R463))</f>
        <v/>
      </c>
      <c r="AH463" s="13">
        <f>IF($AG463="","",p_factor_productividad*IFERROR(INDEX('ASIGNACIONES'!$I$4:$I$339,MATCH($O463&amp;"|"&amp;$R463&amp;"|"&amp;$AE463,'ASIGNACIONES'!$J$4:$J$339,0)),0)-$AG463)</f>
        <v/>
      </c>
      <c r="AI463" s="10">
        <f>IF($A463="","",IFERROR(INDEX('2_IMPORTAR_EJECUCION'!$F$9:$F$1208,MATCH($AQ463,'2_IMPORTAR_EJECUCION'!$J$9:$J$1208,0)),0))</f>
        <v/>
      </c>
      <c r="AJ463" s="10">
        <f>IF($A463="","",MAX(0,IFERROR(INDEX('2_IMPORTAR_EJECUCION'!$H$9:$H$1208,MATCH($AQ463,'2_IMPORTAR_EJECUCION'!$J$9:$J$1208,0)),0)-$AI463))</f>
        <v/>
      </c>
      <c r="AK463" s="10">
        <f>IF($A463="","",$AI463+$AJ463)</f>
        <v/>
      </c>
      <c r="AL463" s="6" t="n"/>
      <c r="AM463" s="6" t="n"/>
      <c r="AN463" s="6" t="n"/>
      <c r="AO463" s="3">
        <f>IF($AN463="","",HYPERLINK(p_ruta_base_checklists&amp;$AN463,"abrir"))</f>
        <v/>
      </c>
      <c r="AP463" s="6" t="n"/>
      <c r="AQ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IF($A464="","",IFERROR(INDEX('AJUSTES'!$B$4:$B$303,MATCH($AQ464,'AJUSTES'!$A$4:$A$303,0)),IF($K464="","",$K464)))</f>
        <v/>
      </c>
      <c r="N464" s="3">
        <f>IF($A464="","",IFERROR(INDEX('CAT_ESTADOS_ERP'!$B$4:$B$7,MATCH(IFERROR(INDEX('2_IMPORTAR_EJECUCION'!$C$9:$C$1208,MATCH($AQ464,'2_IMPORTAR_EJECUCION'!$J$9:$J$1208,0)),""),'CAT_ESTADOS_ERP'!$A$4:$A$7,0)),"Pendiente"))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J464="","",IFERROR(INDEX('CALENDARIO'!$C$15:$C$214,MATCH(TEXT($J464,"yyyy-mm-dd")&amp;"|"&amp;$V464&amp;"|"&amp;$W464,'CALENDARIO'!$G$15:$G$214,0)),IFERROR(INDEX('CALENDARIO'!$C$15:$C$214,MATCH(TEXT($J464,"yyyy-mm-dd")&amp;"|"&amp;$V464&amp;"|",'CALENDARIO'!$G$15:$G$214,0)),IFERROR(INDEX('CALENDARIO'!$C$15:$C$214,MATCH(TEXT($J464,"yyyy-mm-dd")&amp;"||",'CALENDARIO'!$G$15:$G$214,0)),INDEX(patronHabil,WEEKDAY($J464,2))))))</f>
        <v/>
      </c>
      <c r="T464" s="3">
        <f>IF($I464="","",IFERROR(INDEX('CAT_TIPOS_OT'!$C$4:$C$7,MATCH($I464,'CAT_TIPOS_OT'!$A$4:$A$7,0)),"sin_clasificar"))</f>
        <v/>
      </c>
      <c r="U464" s="3">
        <f>IF($F464="","",IFERROR(INDEX('CAT_CENTROS_COSTO'!$F$4:$F$13,MATCH($F464,'CAT_CENTROS_COSTO'!$A$4:$A$13,0)),"(sin catálogo)"))</f>
        <v/>
      </c>
      <c r="V464" s="3">
        <f>IF($F464="","",IFERROR(INDEX('CAT_CENTROS_COSTO'!$D$4:$D$13,MATCH($F464,'CAT_CENTROS_COSTO'!$A$4:$A$13,0)),"(sin catálogo)"))</f>
        <v/>
      </c>
      <c r="W464" s="3">
        <f>IF($F464="","",IF((IFERROR(INDEX('CAT_CENTROS_COSTO'!$E$4:$E$13,MATCH($F464,'CAT_CENTROS_COSTO'!$A$4:$A$13,0)),""))&lt;&gt;"",IFERROR(INDEX('CAT_CENTROS_COSTO'!$E$4:$E$13,MATCH($F464,'CAT_CENTROS_COSTO'!$A$4:$A$13,0)),""),$V464))</f>
        <v/>
      </c>
      <c r="X464" s="3">
        <f>IF($F464="","",IFERROR(INDEX('CAT_CENTROS_COSTO'!$G$4:$G$13,MATCH($F464,'CAT_CENTROS_COSTO'!$A$4:$A$13,0)),"(sin catálogo)"))</f>
        <v/>
      </c>
      <c r="Y464" s="3">
        <f>IF($G464="","",IFERROR(INDEX('CAT_PUESTOS'!$B$4:$B$8,MATCH($G464,'CAT_PUESTOS'!$A$4:$A$8,0)),"(sin catálogo)"))</f>
        <v/>
      </c>
      <c r="Z464" s="3">
        <f>IF($H464="","",IFERROR(INDEX('CAT_ACTIVIDADES'!$B$4:$B$8,MATCH($H464,'CAT_ACTIVIDADES'!$A$4:$A$8,0)),"(sin catálogo)"))</f>
        <v/>
      </c>
      <c r="AA464" s="12">
        <f>IF($J464="","",TODAY()-$J464)</f>
        <v/>
      </c>
      <c r="AB464" s="12">
        <f>IF($J464="","",IF($J464&lt;=TODAY(),COUNTIFS(cal_fechas,"&gt;="&amp;$J464,cal_fechas,"&lt;"&amp;TODAY(),cal_habil,"sí"),-COUNTIFS(cal_fechas,"&gt;="&amp;TODAY(),cal_fechas,"&lt;"&amp;$J464,cal_habil,"sí")))</f>
        <v/>
      </c>
      <c r="AC464" s="3">
        <f>IF($AB464="","",IF($AB464&lt;0,"FUTURO",IF($AB464&gt;p_dias_backlog_max,"BACKLOG","MES CORRIENTE")))</f>
        <v/>
      </c>
      <c r="AD464" s="3">
        <f>IF($AB464="",FALSE,AND($AB464&gt;p_dias_backlog_min,$AB464&lt;=p_dias_backlog_max))</f>
        <v/>
      </c>
      <c r="AE464" s="6" t="n"/>
      <c r="AF464" s="3">
        <f>IF($AE464="","",IF((IFERROR(INDEX('ASIGNACIONES'!$F$4:$F$339,MATCH($O464&amp;"|"&amp;$R464&amp;"|"&amp;$AE464,'ASIGNACIONES'!$J$4:$J$339,0)),""))=0,"",IFERROR(INDEX('ASIGNACIONES'!$F$4:$F$339,MATCH($O464&amp;"|"&amp;$R464&amp;"|"&amp;$AE464,'ASIGNACIONES'!$J$4:$J$339,0)),"")))</f>
        <v/>
      </c>
      <c r="AG464" s="13">
        <f>IF($AE464="","",SUMIFS('ORDENES'!$M$4:$M$1203,'ORDENES'!$AE$4:$AE$1203,$AE464,'ORDENES'!$O$4:$O$1203,$O464,'ORDENES'!$R$4:$R$1203,$R464))</f>
        <v/>
      </c>
      <c r="AH464" s="13">
        <f>IF($AG464="","",p_factor_productividad*IFERROR(INDEX('ASIGNACIONES'!$I$4:$I$339,MATCH($O464&amp;"|"&amp;$R464&amp;"|"&amp;$AE464,'ASIGNACIONES'!$J$4:$J$339,0)),0)-$AG464)</f>
        <v/>
      </c>
      <c r="AI464" s="10">
        <f>IF($A464="","",IFERROR(INDEX('2_IMPORTAR_EJECUCION'!$F$9:$F$1208,MATCH($AQ464,'2_IMPORTAR_EJECUCION'!$J$9:$J$1208,0)),0))</f>
        <v/>
      </c>
      <c r="AJ464" s="10">
        <f>IF($A464="","",MAX(0,IFERROR(INDEX('2_IMPORTAR_EJECUCION'!$H$9:$H$1208,MATCH($AQ464,'2_IMPORTAR_EJECUCION'!$J$9:$J$1208,0)),0)-$AI464))</f>
        <v/>
      </c>
      <c r="AK464" s="10">
        <f>IF($A464="","",$AI464+$AJ464)</f>
        <v/>
      </c>
      <c r="AL464" s="6" t="n"/>
      <c r="AM464" s="6" t="n"/>
      <c r="AN464" s="6" t="n"/>
      <c r="AO464" s="3">
        <f>IF($AN464="","",HYPERLINK(p_ruta_base_checklists&amp;$AN464,"abrir"))</f>
        <v/>
      </c>
      <c r="AP464" s="6" t="n"/>
      <c r="AQ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IF($A465="","",IFERROR(INDEX('AJUSTES'!$B$4:$B$303,MATCH($AQ465,'AJUSTES'!$A$4:$A$303,0)),IF($K465="","",$K465)))</f>
        <v/>
      </c>
      <c r="N465" s="3">
        <f>IF($A465="","",IFERROR(INDEX('CAT_ESTADOS_ERP'!$B$4:$B$7,MATCH(IFERROR(INDEX('2_IMPORTAR_EJECUCION'!$C$9:$C$1208,MATCH($AQ465,'2_IMPORTAR_EJECUCION'!$J$9:$J$1208,0)),""),'CAT_ESTADOS_ERP'!$A$4:$A$7,0)),"Pendiente"))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J465="","",IFERROR(INDEX('CALENDARIO'!$C$15:$C$214,MATCH(TEXT($J465,"yyyy-mm-dd")&amp;"|"&amp;$V465&amp;"|"&amp;$W465,'CALENDARIO'!$G$15:$G$214,0)),IFERROR(INDEX('CALENDARIO'!$C$15:$C$214,MATCH(TEXT($J465,"yyyy-mm-dd")&amp;"|"&amp;$V465&amp;"|",'CALENDARIO'!$G$15:$G$214,0)),IFERROR(INDEX('CALENDARIO'!$C$15:$C$214,MATCH(TEXT($J465,"yyyy-mm-dd")&amp;"||",'CALENDARIO'!$G$15:$G$214,0)),INDEX(patronHabil,WEEKDAY($J465,2))))))</f>
        <v/>
      </c>
      <c r="T465" s="3">
        <f>IF($I465="","",IFERROR(INDEX('CAT_TIPOS_OT'!$C$4:$C$7,MATCH($I465,'CAT_TIPOS_OT'!$A$4:$A$7,0)),"sin_clasificar"))</f>
        <v/>
      </c>
      <c r="U465" s="3">
        <f>IF($F465="","",IFERROR(INDEX('CAT_CENTROS_COSTO'!$F$4:$F$13,MATCH($F465,'CAT_CENTROS_COSTO'!$A$4:$A$13,0)),"(sin catálogo)"))</f>
        <v/>
      </c>
      <c r="V465" s="3">
        <f>IF($F465="","",IFERROR(INDEX('CAT_CENTROS_COSTO'!$D$4:$D$13,MATCH($F465,'CAT_CENTROS_COSTO'!$A$4:$A$13,0)),"(sin catálogo)"))</f>
        <v/>
      </c>
      <c r="W465" s="3">
        <f>IF($F465="","",IF((IFERROR(INDEX('CAT_CENTROS_COSTO'!$E$4:$E$13,MATCH($F465,'CAT_CENTROS_COSTO'!$A$4:$A$13,0)),""))&lt;&gt;"",IFERROR(INDEX('CAT_CENTROS_COSTO'!$E$4:$E$13,MATCH($F465,'CAT_CENTROS_COSTO'!$A$4:$A$13,0)),""),$V465))</f>
        <v/>
      </c>
      <c r="X465" s="3">
        <f>IF($F465="","",IFERROR(INDEX('CAT_CENTROS_COSTO'!$G$4:$G$13,MATCH($F465,'CAT_CENTROS_COSTO'!$A$4:$A$13,0)),"(sin catálogo)"))</f>
        <v/>
      </c>
      <c r="Y465" s="3">
        <f>IF($G465="","",IFERROR(INDEX('CAT_PUESTOS'!$B$4:$B$8,MATCH($G465,'CAT_PUESTOS'!$A$4:$A$8,0)),"(sin catálogo)"))</f>
        <v/>
      </c>
      <c r="Z465" s="3">
        <f>IF($H465="","",IFERROR(INDEX('CAT_ACTIVIDADES'!$B$4:$B$8,MATCH($H465,'CAT_ACTIVIDADES'!$A$4:$A$8,0)),"(sin catálogo)"))</f>
        <v/>
      </c>
      <c r="AA465" s="12">
        <f>IF($J465="","",TODAY()-$J465)</f>
        <v/>
      </c>
      <c r="AB465" s="12">
        <f>IF($J465="","",IF($J465&lt;=TODAY(),COUNTIFS(cal_fechas,"&gt;="&amp;$J465,cal_fechas,"&lt;"&amp;TODAY(),cal_habil,"sí"),-COUNTIFS(cal_fechas,"&gt;="&amp;TODAY(),cal_fechas,"&lt;"&amp;$J465,cal_habil,"sí")))</f>
        <v/>
      </c>
      <c r="AC465" s="3">
        <f>IF($AB465="","",IF($AB465&lt;0,"FUTURO",IF($AB465&gt;p_dias_backlog_max,"BACKLOG","MES CORRIENTE")))</f>
        <v/>
      </c>
      <c r="AD465" s="3">
        <f>IF($AB465="",FALSE,AND($AB465&gt;p_dias_backlog_min,$AB465&lt;=p_dias_backlog_max))</f>
        <v/>
      </c>
      <c r="AE465" s="6" t="n"/>
      <c r="AF465" s="3">
        <f>IF($AE465="","",IF((IFERROR(INDEX('ASIGNACIONES'!$F$4:$F$339,MATCH($O465&amp;"|"&amp;$R465&amp;"|"&amp;$AE465,'ASIGNACIONES'!$J$4:$J$339,0)),""))=0,"",IFERROR(INDEX('ASIGNACIONES'!$F$4:$F$339,MATCH($O465&amp;"|"&amp;$R465&amp;"|"&amp;$AE465,'ASIGNACIONES'!$J$4:$J$339,0)),"")))</f>
        <v/>
      </c>
      <c r="AG465" s="13">
        <f>IF($AE465="","",SUMIFS('ORDENES'!$M$4:$M$1203,'ORDENES'!$AE$4:$AE$1203,$AE465,'ORDENES'!$O$4:$O$1203,$O465,'ORDENES'!$R$4:$R$1203,$R465))</f>
        <v/>
      </c>
      <c r="AH465" s="13">
        <f>IF($AG465="","",p_factor_productividad*IFERROR(INDEX('ASIGNACIONES'!$I$4:$I$339,MATCH($O465&amp;"|"&amp;$R465&amp;"|"&amp;$AE465,'ASIGNACIONES'!$J$4:$J$339,0)),0)-$AG465)</f>
        <v/>
      </c>
      <c r="AI465" s="10">
        <f>IF($A465="","",IFERROR(INDEX('2_IMPORTAR_EJECUCION'!$F$9:$F$1208,MATCH($AQ465,'2_IMPORTAR_EJECUCION'!$J$9:$J$1208,0)),0))</f>
        <v/>
      </c>
      <c r="AJ465" s="10">
        <f>IF($A465="","",MAX(0,IFERROR(INDEX('2_IMPORTAR_EJECUCION'!$H$9:$H$1208,MATCH($AQ465,'2_IMPORTAR_EJECUCION'!$J$9:$J$1208,0)),0)-$AI465))</f>
        <v/>
      </c>
      <c r="AK465" s="10">
        <f>IF($A465="","",$AI465+$AJ465)</f>
        <v/>
      </c>
      <c r="AL465" s="6" t="n"/>
      <c r="AM465" s="6" t="n"/>
      <c r="AN465" s="6" t="n"/>
      <c r="AO465" s="3">
        <f>IF($AN465="","",HYPERLINK(p_ruta_base_checklists&amp;$AN465,"abrir"))</f>
        <v/>
      </c>
      <c r="AP465" s="6" t="n"/>
      <c r="AQ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IF($A466="","",IFERROR(INDEX('AJUSTES'!$B$4:$B$303,MATCH($AQ466,'AJUSTES'!$A$4:$A$303,0)),IF($K466="","",$K466)))</f>
        <v/>
      </c>
      <c r="N466" s="3">
        <f>IF($A466="","",IFERROR(INDEX('CAT_ESTADOS_ERP'!$B$4:$B$7,MATCH(IFERROR(INDEX('2_IMPORTAR_EJECUCION'!$C$9:$C$1208,MATCH($AQ466,'2_IMPORTAR_EJECUCION'!$J$9:$J$1208,0)),""),'CAT_ESTADOS_ERP'!$A$4:$A$7,0)),"Pendiente"))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J466="","",IFERROR(INDEX('CALENDARIO'!$C$15:$C$214,MATCH(TEXT($J466,"yyyy-mm-dd")&amp;"|"&amp;$V466&amp;"|"&amp;$W466,'CALENDARIO'!$G$15:$G$214,0)),IFERROR(INDEX('CALENDARIO'!$C$15:$C$214,MATCH(TEXT($J466,"yyyy-mm-dd")&amp;"|"&amp;$V466&amp;"|",'CALENDARIO'!$G$15:$G$214,0)),IFERROR(INDEX('CALENDARIO'!$C$15:$C$214,MATCH(TEXT($J466,"yyyy-mm-dd")&amp;"||",'CALENDARIO'!$G$15:$G$214,0)),INDEX(patronHabil,WEEKDAY($J466,2))))))</f>
        <v/>
      </c>
      <c r="T466" s="3">
        <f>IF($I466="","",IFERROR(INDEX('CAT_TIPOS_OT'!$C$4:$C$7,MATCH($I466,'CAT_TIPOS_OT'!$A$4:$A$7,0)),"sin_clasificar"))</f>
        <v/>
      </c>
      <c r="U466" s="3">
        <f>IF($F466="","",IFERROR(INDEX('CAT_CENTROS_COSTO'!$F$4:$F$13,MATCH($F466,'CAT_CENTROS_COSTO'!$A$4:$A$13,0)),"(sin catálogo)"))</f>
        <v/>
      </c>
      <c r="V466" s="3">
        <f>IF($F466="","",IFERROR(INDEX('CAT_CENTROS_COSTO'!$D$4:$D$13,MATCH($F466,'CAT_CENTROS_COSTO'!$A$4:$A$13,0)),"(sin catálogo)"))</f>
        <v/>
      </c>
      <c r="W466" s="3">
        <f>IF($F466="","",IF((IFERROR(INDEX('CAT_CENTROS_COSTO'!$E$4:$E$13,MATCH($F466,'CAT_CENTROS_COSTO'!$A$4:$A$13,0)),""))&lt;&gt;"",IFERROR(INDEX('CAT_CENTROS_COSTO'!$E$4:$E$13,MATCH($F466,'CAT_CENTROS_COSTO'!$A$4:$A$13,0)),""),$V466))</f>
        <v/>
      </c>
      <c r="X466" s="3">
        <f>IF($F466="","",IFERROR(INDEX('CAT_CENTROS_COSTO'!$G$4:$G$13,MATCH($F466,'CAT_CENTROS_COSTO'!$A$4:$A$13,0)),"(sin catálogo)"))</f>
        <v/>
      </c>
      <c r="Y466" s="3">
        <f>IF($G466="","",IFERROR(INDEX('CAT_PUESTOS'!$B$4:$B$8,MATCH($G466,'CAT_PUESTOS'!$A$4:$A$8,0)),"(sin catálogo)"))</f>
        <v/>
      </c>
      <c r="Z466" s="3">
        <f>IF($H466="","",IFERROR(INDEX('CAT_ACTIVIDADES'!$B$4:$B$8,MATCH($H466,'CAT_ACTIVIDADES'!$A$4:$A$8,0)),"(sin catálogo)"))</f>
        <v/>
      </c>
      <c r="AA466" s="12">
        <f>IF($J466="","",TODAY()-$J466)</f>
        <v/>
      </c>
      <c r="AB466" s="12">
        <f>IF($J466="","",IF($J466&lt;=TODAY(),COUNTIFS(cal_fechas,"&gt;="&amp;$J466,cal_fechas,"&lt;"&amp;TODAY(),cal_habil,"sí"),-COUNTIFS(cal_fechas,"&gt;="&amp;TODAY(),cal_fechas,"&lt;"&amp;$J466,cal_habil,"sí")))</f>
        <v/>
      </c>
      <c r="AC466" s="3">
        <f>IF($AB466="","",IF($AB466&lt;0,"FUTURO",IF($AB466&gt;p_dias_backlog_max,"BACKLOG","MES CORRIENTE")))</f>
        <v/>
      </c>
      <c r="AD466" s="3">
        <f>IF($AB466="",FALSE,AND($AB466&gt;p_dias_backlog_min,$AB466&lt;=p_dias_backlog_max))</f>
        <v/>
      </c>
      <c r="AE466" s="6" t="n"/>
      <c r="AF466" s="3">
        <f>IF($AE466="","",IF((IFERROR(INDEX('ASIGNACIONES'!$F$4:$F$339,MATCH($O466&amp;"|"&amp;$R466&amp;"|"&amp;$AE466,'ASIGNACIONES'!$J$4:$J$339,0)),""))=0,"",IFERROR(INDEX('ASIGNACIONES'!$F$4:$F$339,MATCH($O466&amp;"|"&amp;$R466&amp;"|"&amp;$AE466,'ASIGNACIONES'!$J$4:$J$339,0)),"")))</f>
        <v/>
      </c>
      <c r="AG466" s="13">
        <f>IF($AE466="","",SUMIFS('ORDENES'!$M$4:$M$1203,'ORDENES'!$AE$4:$AE$1203,$AE466,'ORDENES'!$O$4:$O$1203,$O466,'ORDENES'!$R$4:$R$1203,$R466))</f>
        <v/>
      </c>
      <c r="AH466" s="13">
        <f>IF($AG466="","",p_factor_productividad*IFERROR(INDEX('ASIGNACIONES'!$I$4:$I$339,MATCH($O466&amp;"|"&amp;$R466&amp;"|"&amp;$AE466,'ASIGNACIONES'!$J$4:$J$339,0)),0)-$AG466)</f>
        <v/>
      </c>
      <c r="AI466" s="10">
        <f>IF($A466="","",IFERROR(INDEX('2_IMPORTAR_EJECUCION'!$F$9:$F$1208,MATCH($AQ466,'2_IMPORTAR_EJECUCION'!$J$9:$J$1208,0)),0))</f>
        <v/>
      </c>
      <c r="AJ466" s="10">
        <f>IF($A466="","",MAX(0,IFERROR(INDEX('2_IMPORTAR_EJECUCION'!$H$9:$H$1208,MATCH($AQ466,'2_IMPORTAR_EJECUCION'!$J$9:$J$1208,0)),0)-$AI466))</f>
        <v/>
      </c>
      <c r="AK466" s="10">
        <f>IF($A466="","",$AI466+$AJ466)</f>
        <v/>
      </c>
      <c r="AL466" s="6" t="n"/>
      <c r="AM466" s="6" t="n"/>
      <c r="AN466" s="6" t="n"/>
      <c r="AO466" s="3">
        <f>IF($AN466="","",HYPERLINK(p_ruta_base_checklists&amp;$AN466,"abrir"))</f>
        <v/>
      </c>
      <c r="AP466" s="6" t="n"/>
      <c r="AQ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IF($A467="","",IFERROR(INDEX('AJUSTES'!$B$4:$B$303,MATCH($AQ467,'AJUSTES'!$A$4:$A$303,0)),IF($K467="","",$K467)))</f>
        <v/>
      </c>
      <c r="N467" s="3">
        <f>IF($A467="","",IFERROR(INDEX('CAT_ESTADOS_ERP'!$B$4:$B$7,MATCH(IFERROR(INDEX('2_IMPORTAR_EJECUCION'!$C$9:$C$1208,MATCH($AQ467,'2_IMPORTAR_EJECUCION'!$J$9:$J$1208,0)),""),'CAT_ESTADOS_ERP'!$A$4:$A$7,0)),"Pendiente"))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J467="","",IFERROR(INDEX('CALENDARIO'!$C$15:$C$214,MATCH(TEXT($J467,"yyyy-mm-dd")&amp;"|"&amp;$V467&amp;"|"&amp;$W467,'CALENDARIO'!$G$15:$G$214,0)),IFERROR(INDEX('CALENDARIO'!$C$15:$C$214,MATCH(TEXT($J467,"yyyy-mm-dd")&amp;"|"&amp;$V467&amp;"|",'CALENDARIO'!$G$15:$G$214,0)),IFERROR(INDEX('CALENDARIO'!$C$15:$C$214,MATCH(TEXT($J467,"yyyy-mm-dd")&amp;"||",'CALENDARIO'!$G$15:$G$214,0)),INDEX(patronHabil,WEEKDAY($J467,2))))))</f>
        <v/>
      </c>
      <c r="T467" s="3">
        <f>IF($I467="","",IFERROR(INDEX('CAT_TIPOS_OT'!$C$4:$C$7,MATCH($I467,'CAT_TIPOS_OT'!$A$4:$A$7,0)),"sin_clasificar"))</f>
        <v/>
      </c>
      <c r="U467" s="3">
        <f>IF($F467="","",IFERROR(INDEX('CAT_CENTROS_COSTO'!$F$4:$F$13,MATCH($F467,'CAT_CENTROS_COSTO'!$A$4:$A$13,0)),"(sin catálogo)"))</f>
        <v/>
      </c>
      <c r="V467" s="3">
        <f>IF($F467="","",IFERROR(INDEX('CAT_CENTROS_COSTO'!$D$4:$D$13,MATCH($F467,'CAT_CENTROS_COSTO'!$A$4:$A$13,0)),"(sin catálogo)"))</f>
        <v/>
      </c>
      <c r="W467" s="3">
        <f>IF($F467="","",IF((IFERROR(INDEX('CAT_CENTROS_COSTO'!$E$4:$E$13,MATCH($F467,'CAT_CENTROS_COSTO'!$A$4:$A$13,0)),""))&lt;&gt;"",IFERROR(INDEX('CAT_CENTROS_COSTO'!$E$4:$E$13,MATCH($F467,'CAT_CENTROS_COSTO'!$A$4:$A$13,0)),""),$V467))</f>
        <v/>
      </c>
      <c r="X467" s="3">
        <f>IF($F467="","",IFERROR(INDEX('CAT_CENTROS_COSTO'!$G$4:$G$13,MATCH($F467,'CAT_CENTROS_COSTO'!$A$4:$A$13,0)),"(sin catálogo)"))</f>
        <v/>
      </c>
      <c r="Y467" s="3">
        <f>IF($G467="","",IFERROR(INDEX('CAT_PUESTOS'!$B$4:$B$8,MATCH($G467,'CAT_PUESTOS'!$A$4:$A$8,0)),"(sin catálogo)"))</f>
        <v/>
      </c>
      <c r="Z467" s="3">
        <f>IF($H467="","",IFERROR(INDEX('CAT_ACTIVIDADES'!$B$4:$B$8,MATCH($H467,'CAT_ACTIVIDADES'!$A$4:$A$8,0)),"(sin catálogo)"))</f>
        <v/>
      </c>
      <c r="AA467" s="12">
        <f>IF($J467="","",TODAY()-$J467)</f>
        <v/>
      </c>
      <c r="AB467" s="12">
        <f>IF($J467="","",IF($J467&lt;=TODAY(),COUNTIFS(cal_fechas,"&gt;="&amp;$J467,cal_fechas,"&lt;"&amp;TODAY(),cal_habil,"sí"),-COUNTIFS(cal_fechas,"&gt;="&amp;TODAY(),cal_fechas,"&lt;"&amp;$J467,cal_habil,"sí")))</f>
        <v/>
      </c>
      <c r="AC467" s="3">
        <f>IF($AB467="","",IF($AB467&lt;0,"FUTURO",IF($AB467&gt;p_dias_backlog_max,"BACKLOG","MES CORRIENTE")))</f>
        <v/>
      </c>
      <c r="AD467" s="3">
        <f>IF($AB467="",FALSE,AND($AB467&gt;p_dias_backlog_min,$AB467&lt;=p_dias_backlog_max))</f>
        <v/>
      </c>
      <c r="AE467" s="6" t="n"/>
      <c r="AF467" s="3">
        <f>IF($AE467="","",IF((IFERROR(INDEX('ASIGNACIONES'!$F$4:$F$339,MATCH($O467&amp;"|"&amp;$R467&amp;"|"&amp;$AE467,'ASIGNACIONES'!$J$4:$J$339,0)),""))=0,"",IFERROR(INDEX('ASIGNACIONES'!$F$4:$F$339,MATCH($O467&amp;"|"&amp;$R467&amp;"|"&amp;$AE467,'ASIGNACIONES'!$J$4:$J$339,0)),"")))</f>
        <v/>
      </c>
      <c r="AG467" s="13">
        <f>IF($AE467="","",SUMIFS('ORDENES'!$M$4:$M$1203,'ORDENES'!$AE$4:$AE$1203,$AE467,'ORDENES'!$O$4:$O$1203,$O467,'ORDENES'!$R$4:$R$1203,$R467))</f>
        <v/>
      </c>
      <c r="AH467" s="13">
        <f>IF($AG467="","",p_factor_productividad*IFERROR(INDEX('ASIGNACIONES'!$I$4:$I$339,MATCH($O467&amp;"|"&amp;$R467&amp;"|"&amp;$AE467,'ASIGNACIONES'!$J$4:$J$339,0)),0)-$AG467)</f>
        <v/>
      </c>
      <c r="AI467" s="10">
        <f>IF($A467="","",IFERROR(INDEX('2_IMPORTAR_EJECUCION'!$F$9:$F$1208,MATCH($AQ467,'2_IMPORTAR_EJECUCION'!$J$9:$J$1208,0)),0))</f>
        <v/>
      </c>
      <c r="AJ467" s="10">
        <f>IF($A467="","",MAX(0,IFERROR(INDEX('2_IMPORTAR_EJECUCION'!$H$9:$H$1208,MATCH($AQ467,'2_IMPORTAR_EJECUCION'!$J$9:$J$1208,0)),0)-$AI467))</f>
        <v/>
      </c>
      <c r="AK467" s="10">
        <f>IF($A467="","",$AI467+$AJ467)</f>
        <v/>
      </c>
      <c r="AL467" s="6" t="n"/>
      <c r="AM467" s="6" t="n"/>
      <c r="AN467" s="6" t="n"/>
      <c r="AO467" s="3">
        <f>IF($AN467="","",HYPERLINK(p_ruta_base_checklists&amp;$AN467,"abrir"))</f>
        <v/>
      </c>
      <c r="AP467" s="6" t="n"/>
      <c r="AQ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IF($A468="","",IFERROR(INDEX('AJUSTES'!$B$4:$B$303,MATCH($AQ468,'AJUSTES'!$A$4:$A$303,0)),IF($K468="","",$K468)))</f>
        <v/>
      </c>
      <c r="N468" s="3">
        <f>IF($A468="","",IFERROR(INDEX('CAT_ESTADOS_ERP'!$B$4:$B$7,MATCH(IFERROR(INDEX('2_IMPORTAR_EJECUCION'!$C$9:$C$1208,MATCH($AQ468,'2_IMPORTAR_EJECUCION'!$J$9:$J$1208,0)),""),'CAT_ESTADOS_ERP'!$A$4:$A$7,0)),"Pendiente"))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J468="","",IFERROR(INDEX('CALENDARIO'!$C$15:$C$214,MATCH(TEXT($J468,"yyyy-mm-dd")&amp;"|"&amp;$V468&amp;"|"&amp;$W468,'CALENDARIO'!$G$15:$G$214,0)),IFERROR(INDEX('CALENDARIO'!$C$15:$C$214,MATCH(TEXT($J468,"yyyy-mm-dd")&amp;"|"&amp;$V468&amp;"|",'CALENDARIO'!$G$15:$G$214,0)),IFERROR(INDEX('CALENDARIO'!$C$15:$C$214,MATCH(TEXT($J468,"yyyy-mm-dd")&amp;"||",'CALENDARIO'!$G$15:$G$214,0)),INDEX(patronHabil,WEEKDAY($J468,2))))))</f>
        <v/>
      </c>
      <c r="T468" s="3">
        <f>IF($I468="","",IFERROR(INDEX('CAT_TIPOS_OT'!$C$4:$C$7,MATCH($I468,'CAT_TIPOS_OT'!$A$4:$A$7,0)),"sin_clasificar"))</f>
        <v/>
      </c>
      <c r="U468" s="3">
        <f>IF($F468="","",IFERROR(INDEX('CAT_CENTROS_COSTO'!$F$4:$F$13,MATCH($F468,'CAT_CENTROS_COSTO'!$A$4:$A$13,0)),"(sin catálogo)"))</f>
        <v/>
      </c>
      <c r="V468" s="3">
        <f>IF($F468="","",IFERROR(INDEX('CAT_CENTROS_COSTO'!$D$4:$D$13,MATCH($F468,'CAT_CENTROS_COSTO'!$A$4:$A$13,0)),"(sin catálogo)"))</f>
        <v/>
      </c>
      <c r="W468" s="3">
        <f>IF($F468="","",IF((IFERROR(INDEX('CAT_CENTROS_COSTO'!$E$4:$E$13,MATCH($F468,'CAT_CENTROS_COSTO'!$A$4:$A$13,0)),""))&lt;&gt;"",IFERROR(INDEX('CAT_CENTROS_COSTO'!$E$4:$E$13,MATCH($F468,'CAT_CENTROS_COSTO'!$A$4:$A$13,0)),""),$V468))</f>
        <v/>
      </c>
      <c r="X468" s="3">
        <f>IF($F468="","",IFERROR(INDEX('CAT_CENTROS_COSTO'!$G$4:$G$13,MATCH($F468,'CAT_CENTROS_COSTO'!$A$4:$A$13,0)),"(sin catálogo)"))</f>
        <v/>
      </c>
      <c r="Y468" s="3">
        <f>IF($G468="","",IFERROR(INDEX('CAT_PUESTOS'!$B$4:$B$8,MATCH($G468,'CAT_PUESTOS'!$A$4:$A$8,0)),"(sin catálogo)"))</f>
        <v/>
      </c>
      <c r="Z468" s="3">
        <f>IF($H468="","",IFERROR(INDEX('CAT_ACTIVIDADES'!$B$4:$B$8,MATCH($H468,'CAT_ACTIVIDADES'!$A$4:$A$8,0)),"(sin catálogo)"))</f>
        <v/>
      </c>
      <c r="AA468" s="12">
        <f>IF($J468="","",TODAY()-$J468)</f>
        <v/>
      </c>
      <c r="AB468" s="12">
        <f>IF($J468="","",IF($J468&lt;=TODAY(),COUNTIFS(cal_fechas,"&gt;="&amp;$J468,cal_fechas,"&lt;"&amp;TODAY(),cal_habil,"sí"),-COUNTIFS(cal_fechas,"&gt;="&amp;TODAY(),cal_fechas,"&lt;"&amp;$J468,cal_habil,"sí")))</f>
        <v/>
      </c>
      <c r="AC468" s="3">
        <f>IF($AB468="","",IF($AB468&lt;0,"FUTURO",IF($AB468&gt;p_dias_backlog_max,"BACKLOG","MES CORRIENTE")))</f>
        <v/>
      </c>
      <c r="AD468" s="3">
        <f>IF($AB468="",FALSE,AND($AB468&gt;p_dias_backlog_min,$AB468&lt;=p_dias_backlog_max))</f>
        <v/>
      </c>
      <c r="AE468" s="6" t="n"/>
      <c r="AF468" s="3">
        <f>IF($AE468="","",IF((IFERROR(INDEX('ASIGNACIONES'!$F$4:$F$339,MATCH($O468&amp;"|"&amp;$R468&amp;"|"&amp;$AE468,'ASIGNACIONES'!$J$4:$J$339,0)),""))=0,"",IFERROR(INDEX('ASIGNACIONES'!$F$4:$F$339,MATCH($O468&amp;"|"&amp;$R468&amp;"|"&amp;$AE468,'ASIGNACIONES'!$J$4:$J$339,0)),"")))</f>
        <v/>
      </c>
      <c r="AG468" s="13">
        <f>IF($AE468="","",SUMIFS('ORDENES'!$M$4:$M$1203,'ORDENES'!$AE$4:$AE$1203,$AE468,'ORDENES'!$O$4:$O$1203,$O468,'ORDENES'!$R$4:$R$1203,$R468))</f>
        <v/>
      </c>
      <c r="AH468" s="13">
        <f>IF($AG468="","",p_factor_productividad*IFERROR(INDEX('ASIGNACIONES'!$I$4:$I$339,MATCH($O468&amp;"|"&amp;$R468&amp;"|"&amp;$AE468,'ASIGNACIONES'!$J$4:$J$339,0)),0)-$AG468)</f>
        <v/>
      </c>
      <c r="AI468" s="10">
        <f>IF($A468="","",IFERROR(INDEX('2_IMPORTAR_EJECUCION'!$F$9:$F$1208,MATCH($AQ468,'2_IMPORTAR_EJECUCION'!$J$9:$J$1208,0)),0))</f>
        <v/>
      </c>
      <c r="AJ468" s="10">
        <f>IF($A468="","",MAX(0,IFERROR(INDEX('2_IMPORTAR_EJECUCION'!$H$9:$H$1208,MATCH($AQ468,'2_IMPORTAR_EJECUCION'!$J$9:$J$1208,0)),0)-$AI468))</f>
        <v/>
      </c>
      <c r="AK468" s="10">
        <f>IF($A468="","",$AI468+$AJ468)</f>
        <v/>
      </c>
      <c r="AL468" s="6" t="n"/>
      <c r="AM468" s="6" t="n"/>
      <c r="AN468" s="6" t="n"/>
      <c r="AO468" s="3">
        <f>IF($AN468="","",HYPERLINK(p_ruta_base_checklists&amp;$AN468,"abrir"))</f>
        <v/>
      </c>
      <c r="AP468" s="6" t="n"/>
      <c r="AQ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IF($A469="","",IFERROR(INDEX('AJUSTES'!$B$4:$B$303,MATCH($AQ469,'AJUSTES'!$A$4:$A$303,0)),IF($K469="","",$K469)))</f>
        <v/>
      </c>
      <c r="N469" s="3">
        <f>IF($A469="","",IFERROR(INDEX('CAT_ESTADOS_ERP'!$B$4:$B$7,MATCH(IFERROR(INDEX('2_IMPORTAR_EJECUCION'!$C$9:$C$1208,MATCH($AQ469,'2_IMPORTAR_EJECUCION'!$J$9:$J$1208,0)),""),'CAT_ESTADOS_ERP'!$A$4:$A$7,0)),"Pendiente"))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J469="","",IFERROR(INDEX('CALENDARIO'!$C$15:$C$214,MATCH(TEXT($J469,"yyyy-mm-dd")&amp;"|"&amp;$V469&amp;"|"&amp;$W469,'CALENDARIO'!$G$15:$G$214,0)),IFERROR(INDEX('CALENDARIO'!$C$15:$C$214,MATCH(TEXT($J469,"yyyy-mm-dd")&amp;"|"&amp;$V469&amp;"|",'CALENDARIO'!$G$15:$G$214,0)),IFERROR(INDEX('CALENDARIO'!$C$15:$C$214,MATCH(TEXT($J469,"yyyy-mm-dd")&amp;"||",'CALENDARIO'!$G$15:$G$214,0)),INDEX(patronHabil,WEEKDAY($J469,2))))))</f>
        <v/>
      </c>
      <c r="T469" s="3">
        <f>IF($I469="","",IFERROR(INDEX('CAT_TIPOS_OT'!$C$4:$C$7,MATCH($I469,'CAT_TIPOS_OT'!$A$4:$A$7,0)),"sin_clasificar"))</f>
        <v/>
      </c>
      <c r="U469" s="3">
        <f>IF($F469="","",IFERROR(INDEX('CAT_CENTROS_COSTO'!$F$4:$F$13,MATCH($F469,'CAT_CENTROS_COSTO'!$A$4:$A$13,0)),"(sin catálogo)"))</f>
        <v/>
      </c>
      <c r="V469" s="3">
        <f>IF($F469="","",IFERROR(INDEX('CAT_CENTROS_COSTO'!$D$4:$D$13,MATCH($F469,'CAT_CENTROS_COSTO'!$A$4:$A$13,0)),"(sin catálogo)"))</f>
        <v/>
      </c>
      <c r="W469" s="3">
        <f>IF($F469="","",IF((IFERROR(INDEX('CAT_CENTROS_COSTO'!$E$4:$E$13,MATCH($F469,'CAT_CENTROS_COSTO'!$A$4:$A$13,0)),""))&lt;&gt;"",IFERROR(INDEX('CAT_CENTROS_COSTO'!$E$4:$E$13,MATCH($F469,'CAT_CENTROS_COSTO'!$A$4:$A$13,0)),""),$V469))</f>
        <v/>
      </c>
      <c r="X469" s="3">
        <f>IF($F469="","",IFERROR(INDEX('CAT_CENTROS_COSTO'!$G$4:$G$13,MATCH($F469,'CAT_CENTROS_COSTO'!$A$4:$A$13,0)),"(sin catálogo)"))</f>
        <v/>
      </c>
      <c r="Y469" s="3">
        <f>IF($G469="","",IFERROR(INDEX('CAT_PUESTOS'!$B$4:$B$8,MATCH($G469,'CAT_PUESTOS'!$A$4:$A$8,0)),"(sin catálogo)"))</f>
        <v/>
      </c>
      <c r="Z469" s="3">
        <f>IF($H469="","",IFERROR(INDEX('CAT_ACTIVIDADES'!$B$4:$B$8,MATCH($H469,'CAT_ACTIVIDADES'!$A$4:$A$8,0)),"(sin catálogo)"))</f>
        <v/>
      </c>
      <c r="AA469" s="12">
        <f>IF($J469="","",TODAY()-$J469)</f>
        <v/>
      </c>
      <c r="AB469" s="12">
        <f>IF($J469="","",IF($J469&lt;=TODAY(),COUNTIFS(cal_fechas,"&gt;="&amp;$J469,cal_fechas,"&lt;"&amp;TODAY(),cal_habil,"sí"),-COUNTIFS(cal_fechas,"&gt;="&amp;TODAY(),cal_fechas,"&lt;"&amp;$J469,cal_habil,"sí")))</f>
        <v/>
      </c>
      <c r="AC469" s="3">
        <f>IF($AB469="","",IF($AB469&lt;0,"FUTURO",IF($AB469&gt;p_dias_backlog_max,"BACKLOG","MES CORRIENTE")))</f>
        <v/>
      </c>
      <c r="AD469" s="3">
        <f>IF($AB469="",FALSE,AND($AB469&gt;p_dias_backlog_min,$AB469&lt;=p_dias_backlog_max))</f>
        <v/>
      </c>
      <c r="AE469" s="6" t="n"/>
      <c r="AF469" s="3">
        <f>IF($AE469="","",IF((IFERROR(INDEX('ASIGNACIONES'!$F$4:$F$339,MATCH($O469&amp;"|"&amp;$R469&amp;"|"&amp;$AE469,'ASIGNACIONES'!$J$4:$J$339,0)),""))=0,"",IFERROR(INDEX('ASIGNACIONES'!$F$4:$F$339,MATCH($O469&amp;"|"&amp;$R469&amp;"|"&amp;$AE469,'ASIGNACIONES'!$J$4:$J$339,0)),"")))</f>
        <v/>
      </c>
      <c r="AG469" s="13">
        <f>IF($AE469="","",SUMIFS('ORDENES'!$M$4:$M$1203,'ORDENES'!$AE$4:$AE$1203,$AE469,'ORDENES'!$O$4:$O$1203,$O469,'ORDENES'!$R$4:$R$1203,$R469))</f>
        <v/>
      </c>
      <c r="AH469" s="13">
        <f>IF($AG469="","",p_factor_productividad*IFERROR(INDEX('ASIGNACIONES'!$I$4:$I$339,MATCH($O469&amp;"|"&amp;$R469&amp;"|"&amp;$AE469,'ASIGNACIONES'!$J$4:$J$339,0)),0)-$AG469)</f>
        <v/>
      </c>
      <c r="AI469" s="10">
        <f>IF($A469="","",IFERROR(INDEX('2_IMPORTAR_EJECUCION'!$F$9:$F$1208,MATCH($AQ469,'2_IMPORTAR_EJECUCION'!$J$9:$J$1208,0)),0))</f>
        <v/>
      </c>
      <c r="AJ469" s="10">
        <f>IF($A469="","",MAX(0,IFERROR(INDEX('2_IMPORTAR_EJECUCION'!$H$9:$H$1208,MATCH($AQ469,'2_IMPORTAR_EJECUCION'!$J$9:$J$1208,0)),0)-$AI469))</f>
        <v/>
      </c>
      <c r="AK469" s="10">
        <f>IF($A469="","",$AI469+$AJ469)</f>
        <v/>
      </c>
      <c r="AL469" s="6" t="n"/>
      <c r="AM469" s="6" t="n"/>
      <c r="AN469" s="6" t="n"/>
      <c r="AO469" s="3">
        <f>IF($AN469="","",HYPERLINK(p_ruta_base_checklists&amp;$AN469,"abrir"))</f>
        <v/>
      </c>
      <c r="AP469" s="6" t="n"/>
      <c r="AQ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IF($A470="","",IFERROR(INDEX('AJUSTES'!$B$4:$B$303,MATCH($AQ470,'AJUSTES'!$A$4:$A$303,0)),IF($K470="","",$K470)))</f>
        <v/>
      </c>
      <c r="N470" s="3">
        <f>IF($A470="","",IFERROR(INDEX('CAT_ESTADOS_ERP'!$B$4:$B$7,MATCH(IFERROR(INDEX('2_IMPORTAR_EJECUCION'!$C$9:$C$1208,MATCH($AQ470,'2_IMPORTAR_EJECUCION'!$J$9:$J$1208,0)),""),'CAT_ESTADOS_ERP'!$A$4:$A$7,0)),"Pendiente"))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J470="","",IFERROR(INDEX('CALENDARIO'!$C$15:$C$214,MATCH(TEXT($J470,"yyyy-mm-dd")&amp;"|"&amp;$V470&amp;"|"&amp;$W470,'CALENDARIO'!$G$15:$G$214,0)),IFERROR(INDEX('CALENDARIO'!$C$15:$C$214,MATCH(TEXT($J470,"yyyy-mm-dd")&amp;"|"&amp;$V470&amp;"|",'CALENDARIO'!$G$15:$G$214,0)),IFERROR(INDEX('CALENDARIO'!$C$15:$C$214,MATCH(TEXT($J470,"yyyy-mm-dd")&amp;"||",'CALENDARIO'!$G$15:$G$214,0)),INDEX(patronHabil,WEEKDAY($J470,2))))))</f>
        <v/>
      </c>
      <c r="T470" s="3">
        <f>IF($I470="","",IFERROR(INDEX('CAT_TIPOS_OT'!$C$4:$C$7,MATCH($I470,'CAT_TIPOS_OT'!$A$4:$A$7,0)),"sin_clasificar"))</f>
        <v/>
      </c>
      <c r="U470" s="3">
        <f>IF($F470="","",IFERROR(INDEX('CAT_CENTROS_COSTO'!$F$4:$F$13,MATCH($F470,'CAT_CENTROS_COSTO'!$A$4:$A$13,0)),"(sin catálogo)"))</f>
        <v/>
      </c>
      <c r="V470" s="3">
        <f>IF($F470="","",IFERROR(INDEX('CAT_CENTROS_COSTO'!$D$4:$D$13,MATCH($F470,'CAT_CENTROS_COSTO'!$A$4:$A$13,0)),"(sin catálogo)"))</f>
        <v/>
      </c>
      <c r="W470" s="3">
        <f>IF($F470="","",IF((IFERROR(INDEX('CAT_CENTROS_COSTO'!$E$4:$E$13,MATCH($F470,'CAT_CENTROS_COSTO'!$A$4:$A$13,0)),""))&lt;&gt;"",IFERROR(INDEX('CAT_CENTROS_COSTO'!$E$4:$E$13,MATCH($F470,'CAT_CENTROS_COSTO'!$A$4:$A$13,0)),""),$V470))</f>
        <v/>
      </c>
      <c r="X470" s="3">
        <f>IF($F470="","",IFERROR(INDEX('CAT_CENTROS_COSTO'!$G$4:$G$13,MATCH($F470,'CAT_CENTROS_COSTO'!$A$4:$A$13,0)),"(sin catálogo)"))</f>
        <v/>
      </c>
      <c r="Y470" s="3">
        <f>IF($G470="","",IFERROR(INDEX('CAT_PUESTOS'!$B$4:$B$8,MATCH($G470,'CAT_PUESTOS'!$A$4:$A$8,0)),"(sin catálogo)"))</f>
        <v/>
      </c>
      <c r="Z470" s="3">
        <f>IF($H470="","",IFERROR(INDEX('CAT_ACTIVIDADES'!$B$4:$B$8,MATCH($H470,'CAT_ACTIVIDADES'!$A$4:$A$8,0)),"(sin catálogo)"))</f>
        <v/>
      </c>
      <c r="AA470" s="12">
        <f>IF($J470="","",TODAY()-$J470)</f>
        <v/>
      </c>
      <c r="AB470" s="12">
        <f>IF($J470="","",IF($J470&lt;=TODAY(),COUNTIFS(cal_fechas,"&gt;="&amp;$J470,cal_fechas,"&lt;"&amp;TODAY(),cal_habil,"sí"),-COUNTIFS(cal_fechas,"&gt;="&amp;TODAY(),cal_fechas,"&lt;"&amp;$J470,cal_habil,"sí")))</f>
        <v/>
      </c>
      <c r="AC470" s="3">
        <f>IF($AB470="","",IF($AB470&lt;0,"FUTURO",IF($AB470&gt;p_dias_backlog_max,"BACKLOG","MES CORRIENTE")))</f>
        <v/>
      </c>
      <c r="AD470" s="3">
        <f>IF($AB470="",FALSE,AND($AB470&gt;p_dias_backlog_min,$AB470&lt;=p_dias_backlog_max))</f>
        <v/>
      </c>
      <c r="AE470" s="6" t="n"/>
      <c r="AF470" s="3">
        <f>IF($AE470="","",IF((IFERROR(INDEX('ASIGNACIONES'!$F$4:$F$339,MATCH($O470&amp;"|"&amp;$R470&amp;"|"&amp;$AE470,'ASIGNACIONES'!$J$4:$J$339,0)),""))=0,"",IFERROR(INDEX('ASIGNACIONES'!$F$4:$F$339,MATCH($O470&amp;"|"&amp;$R470&amp;"|"&amp;$AE470,'ASIGNACIONES'!$J$4:$J$339,0)),"")))</f>
        <v/>
      </c>
      <c r="AG470" s="13">
        <f>IF($AE470="","",SUMIFS('ORDENES'!$M$4:$M$1203,'ORDENES'!$AE$4:$AE$1203,$AE470,'ORDENES'!$O$4:$O$1203,$O470,'ORDENES'!$R$4:$R$1203,$R470))</f>
        <v/>
      </c>
      <c r="AH470" s="13">
        <f>IF($AG470="","",p_factor_productividad*IFERROR(INDEX('ASIGNACIONES'!$I$4:$I$339,MATCH($O470&amp;"|"&amp;$R470&amp;"|"&amp;$AE470,'ASIGNACIONES'!$J$4:$J$339,0)),0)-$AG470)</f>
        <v/>
      </c>
      <c r="AI470" s="10">
        <f>IF($A470="","",IFERROR(INDEX('2_IMPORTAR_EJECUCION'!$F$9:$F$1208,MATCH($AQ470,'2_IMPORTAR_EJECUCION'!$J$9:$J$1208,0)),0))</f>
        <v/>
      </c>
      <c r="AJ470" s="10">
        <f>IF($A470="","",MAX(0,IFERROR(INDEX('2_IMPORTAR_EJECUCION'!$H$9:$H$1208,MATCH($AQ470,'2_IMPORTAR_EJECUCION'!$J$9:$J$1208,0)),0)-$AI470))</f>
        <v/>
      </c>
      <c r="AK470" s="10">
        <f>IF($A470="","",$AI470+$AJ470)</f>
        <v/>
      </c>
      <c r="AL470" s="6" t="n"/>
      <c r="AM470" s="6" t="n"/>
      <c r="AN470" s="6" t="n"/>
      <c r="AO470" s="3">
        <f>IF($AN470="","",HYPERLINK(p_ruta_base_checklists&amp;$AN470,"abrir"))</f>
        <v/>
      </c>
      <c r="AP470" s="6" t="n"/>
      <c r="AQ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IF($A471="","",IFERROR(INDEX('AJUSTES'!$B$4:$B$303,MATCH($AQ471,'AJUSTES'!$A$4:$A$303,0)),IF($K471="","",$K471)))</f>
        <v/>
      </c>
      <c r="N471" s="3">
        <f>IF($A471="","",IFERROR(INDEX('CAT_ESTADOS_ERP'!$B$4:$B$7,MATCH(IFERROR(INDEX('2_IMPORTAR_EJECUCION'!$C$9:$C$1208,MATCH($AQ471,'2_IMPORTAR_EJECUCION'!$J$9:$J$1208,0)),""),'CAT_ESTADOS_ERP'!$A$4:$A$7,0)),"Pendiente"))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J471="","",IFERROR(INDEX('CALENDARIO'!$C$15:$C$214,MATCH(TEXT($J471,"yyyy-mm-dd")&amp;"|"&amp;$V471&amp;"|"&amp;$W471,'CALENDARIO'!$G$15:$G$214,0)),IFERROR(INDEX('CALENDARIO'!$C$15:$C$214,MATCH(TEXT($J471,"yyyy-mm-dd")&amp;"|"&amp;$V471&amp;"|",'CALENDARIO'!$G$15:$G$214,0)),IFERROR(INDEX('CALENDARIO'!$C$15:$C$214,MATCH(TEXT($J471,"yyyy-mm-dd")&amp;"||",'CALENDARIO'!$G$15:$G$214,0)),INDEX(patronHabil,WEEKDAY($J471,2))))))</f>
        <v/>
      </c>
      <c r="T471" s="3">
        <f>IF($I471="","",IFERROR(INDEX('CAT_TIPOS_OT'!$C$4:$C$7,MATCH($I471,'CAT_TIPOS_OT'!$A$4:$A$7,0)),"sin_clasificar"))</f>
        <v/>
      </c>
      <c r="U471" s="3">
        <f>IF($F471="","",IFERROR(INDEX('CAT_CENTROS_COSTO'!$F$4:$F$13,MATCH($F471,'CAT_CENTROS_COSTO'!$A$4:$A$13,0)),"(sin catálogo)"))</f>
        <v/>
      </c>
      <c r="V471" s="3">
        <f>IF($F471="","",IFERROR(INDEX('CAT_CENTROS_COSTO'!$D$4:$D$13,MATCH($F471,'CAT_CENTROS_COSTO'!$A$4:$A$13,0)),"(sin catálogo)"))</f>
        <v/>
      </c>
      <c r="W471" s="3">
        <f>IF($F471="","",IF((IFERROR(INDEX('CAT_CENTROS_COSTO'!$E$4:$E$13,MATCH($F471,'CAT_CENTROS_COSTO'!$A$4:$A$13,0)),""))&lt;&gt;"",IFERROR(INDEX('CAT_CENTROS_COSTO'!$E$4:$E$13,MATCH($F471,'CAT_CENTROS_COSTO'!$A$4:$A$13,0)),""),$V471))</f>
        <v/>
      </c>
      <c r="X471" s="3">
        <f>IF($F471="","",IFERROR(INDEX('CAT_CENTROS_COSTO'!$G$4:$G$13,MATCH($F471,'CAT_CENTROS_COSTO'!$A$4:$A$13,0)),"(sin catálogo)"))</f>
        <v/>
      </c>
      <c r="Y471" s="3">
        <f>IF($G471="","",IFERROR(INDEX('CAT_PUESTOS'!$B$4:$B$8,MATCH($G471,'CAT_PUESTOS'!$A$4:$A$8,0)),"(sin catálogo)"))</f>
        <v/>
      </c>
      <c r="Z471" s="3">
        <f>IF($H471="","",IFERROR(INDEX('CAT_ACTIVIDADES'!$B$4:$B$8,MATCH($H471,'CAT_ACTIVIDADES'!$A$4:$A$8,0)),"(sin catálogo)"))</f>
        <v/>
      </c>
      <c r="AA471" s="12">
        <f>IF($J471="","",TODAY()-$J471)</f>
        <v/>
      </c>
      <c r="AB471" s="12">
        <f>IF($J471="","",IF($J471&lt;=TODAY(),COUNTIFS(cal_fechas,"&gt;="&amp;$J471,cal_fechas,"&lt;"&amp;TODAY(),cal_habil,"sí"),-COUNTIFS(cal_fechas,"&gt;="&amp;TODAY(),cal_fechas,"&lt;"&amp;$J471,cal_habil,"sí")))</f>
        <v/>
      </c>
      <c r="AC471" s="3">
        <f>IF($AB471="","",IF($AB471&lt;0,"FUTURO",IF($AB471&gt;p_dias_backlog_max,"BACKLOG","MES CORRIENTE")))</f>
        <v/>
      </c>
      <c r="AD471" s="3">
        <f>IF($AB471="",FALSE,AND($AB471&gt;p_dias_backlog_min,$AB471&lt;=p_dias_backlog_max))</f>
        <v/>
      </c>
      <c r="AE471" s="6" t="n"/>
      <c r="AF471" s="3">
        <f>IF($AE471="","",IF((IFERROR(INDEX('ASIGNACIONES'!$F$4:$F$339,MATCH($O471&amp;"|"&amp;$R471&amp;"|"&amp;$AE471,'ASIGNACIONES'!$J$4:$J$339,0)),""))=0,"",IFERROR(INDEX('ASIGNACIONES'!$F$4:$F$339,MATCH($O471&amp;"|"&amp;$R471&amp;"|"&amp;$AE471,'ASIGNACIONES'!$J$4:$J$339,0)),"")))</f>
        <v/>
      </c>
      <c r="AG471" s="13">
        <f>IF($AE471="","",SUMIFS('ORDENES'!$M$4:$M$1203,'ORDENES'!$AE$4:$AE$1203,$AE471,'ORDENES'!$O$4:$O$1203,$O471,'ORDENES'!$R$4:$R$1203,$R471))</f>
        <v/>
      </c>
      <c r="AH471" s="13">
        <f>IF($AG471="","",p_factor_productividad*IFERROR(INDEX('ASIGNACIONES'!$I$4:$I$339,MATCH($O471&amp;"|"&amp;$R471&amp;"|"&amp;$AE471,'ASIGNACIONES'!$J$4:$J$339,0)),0)-$AG471)</f>
        <v/>
      </c>
      <c r="AI471" s="10">
        <f>IF($A471="","",IFERROR(INDEX('2_IMPORTAR_EJECUCION'!$F$9:$F$1208,MATCH($AQ471,'2_IMPORTAR_EJECUCION'!$J$9:$J$1208,0)),0))</f>
        <v/>
      </c>
      <c r="AJ471" s="10">
        <f>IF($A471="","",MAX(0,IFERROR(INDEX('2_IMPORTAR_EJECUCION'!$H$9:$H$1208,MATCH($AQ471,'2_IMPORTAR_EJECUCION'!$J$9:$J$1208,0)),0)-$AI471))</f>
        <v/>
      </c>
      <c r="AK471" s="10">
        <f>IF($A471="","",$AI471+$AJ471)</f>
        <v/>
      </c>
      <c r="AL471" s="6" t="n"/>
      <c r="AM471" s="6" t="n"/>
      <c r="AN471" s="6" t="n"/>
      <c r="AO471" s="3">
        <f>IF($AN471="","",HYPERLINK(p_ruta_base_checklists&amp;$AN471,"abrir"))</f>
        <v/>
      </c>
      <c r="AP471" s="6" t="n"/>
      <c r="AQ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IF($A472="","",IFERROR(INDEX('AJUSTES'!$B$4:$B$303,MATCH($AQ472,'AJUSTES'!$A$4:$A$303,0)),IF($K472="","",$K472)))</f>
        <v/>
      </c>
      <c r="N472" s="3">
        <f>IF($A472="","",IFERROR(INDEX('CAT_ESTADOS_ERP'!$B$4:$B$7,MATCH(IFERROR(INDEX('2_IMPORTAR_EJECUCION'!$C$9:$C$1208,MATCH($AQ472,'2_IMPORTAR_EJECUCION'!$J$9:$J$1208,0)),""),'CAT_ESTADOS_ERP'!$A$4:$A$7,0)),"Pendiente"))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J472="","",IFERROR(INDEX('CALENDARIO'!$C$15:$C$214,MATCH(TEXT($J472,"yyyy-mm-dd")&amp;"|"&amp;$V472&amp;"|"&amp;$W472,'CALENDARIO'!$G$15:$G$214,0)),IFERROR(INDEX('CALENDARIO'!$C$15:$C$214,MATCH(TEXT($J472,"yyyy-mm-dd")&amp;"|"&amp;$V472&amp;"|",'CALENDARIO'!$G$15:$G$214,0)),IFERROR(INDEX('CALENDARIO'!$C$15:$C$214,MATCH(TEXT($J472,"yyyy-mm-dd")&amp;"||",'CALENDARIO'!$G$15:$G$214,0)),INDEX(patronHabil,WEEKDAY($J472,2))))))</f>
        <v/>
      </c>
      <c r="T472" s="3">
        <f>IF($I472="","",IFERROR(INDEX('CAT_TIPOS_OT'!$C$4:$C$7,MATCH($I472,'CAT_TIPOS_OT'!$A$4:$A$7,0)),"sin_clasificar"))</f>
        <v/>
      </c>
      <c r="U472" s="3">
        <f>IF($F472="","",IFERROR(INDEX('CAT_CENTROS_COSTO'!$F$4:$F$13,MATCH($F472,'CAT_CENTROS_COSTO'!$A$4:$A$13,0)),"(sin catálogo)"))</f>
        <v/>
      </c>
      <c r="V472" s="3">
        <f>IF($F472="","",IFERROR(INDEX('CAT_CENTROS_COSTO'!$D$4:$D$13,MATCH($F472,'CAT_CENTROS_COSTO'!$A$4:$A$13,0)),"(sin catálogo)"))</f>
        <v/>
      </c>
      <c r="W472" s="3">
        <f>IF($F472="","",IF((IFERROR(INDEX('CAT_CENTROS_COSTO'!$E$4:$E$13,MATCH($F472,'CAT_CENTROS_COSTO'!$A$4:$A$13,0)),""))&lt;&gt;"",IFERROR(INDEX('CAT_CENTROS_COSTO'!$E$4:$E$13,MATCH($F472,'CAT_CENTROS_COSTO'!$A$4:$A$13,0)),""),$V472))</f>
        <v/>
      </c>
      <c r="X472" s="3">
        <f>IF($F472="","",IFERROR(INDEX('CAT_CENTROS_COSTO'!$G$4:$G$13,MATCH($F472,'CAT_CENTROS_COSTO'!$A$4:$A$13,0)),"(sin catálogo)"))</f>
        <v/>
      </c>
      <c r="Y472" s="3">
        <f>IF($G472="","",IFERROR(INDEX('CAT_PUESTOS'!$B$4:$B$8,MATCH($G472,'CAT_PUESTOS'!$A$4:$A$8,0)),"(sin catálogo)"))</f>
        <v/>
      </c>
      <c r="Z472" s="3">
        <f>IF($H472="","",IFERROR(INDEX('CAT_ACTIVIDADES'!$B$4:$B$8,MATCH($H472,'CAT_ACTIVIDADES'!$A$4:$A$8,0)),"(sin catálogo)"))</f>
        <v/>
      </c>
      <c r="AA472" s="12">
        <f>IF($J472="","",TODAY()-$J472)</f>
        <v/>
      </c>
      <c r="AB472" s="12">
        <f>IF($J472="","",IF($J472&lt;=TODAY(),COUNTIFS(cal_fechas,"&gt;="&amp;$J472,cal_fechas,"&lt;"&amp;TODAY(),cal_habil,"sí"),-COUNTIFS(cal_fechas,"&gt;="&amp;TODAY(),cal_fechas,"&lt;"&amp;$J472,cal_habil,"sí")))</f>
        <v/>
      </c>
      <c r="AC472" s="3">
        <f>IF($AB472="","",IF($AB472&lt;0,"FUTURO",IF($AB472&gt;p_dias_backlog_max,"BACKLOG","MES CORRIENTE")))</f>
        <v/>
      </c>
      <c r="AD472" s="3">
        <f>IF($AB472="",FALSE,AND($AB472&gt;p_dias_backlog_min,$AB472&lt;=p_dias_backlog_max))</f>
        <v/>
      </c>
      <c r="AE472" s="6" t="n"/>
      <c r="AF472" s="3">
        <f>IF($AE472="","",IF((IFERROR(INDEX('ASIGNACIONES'!$F$4:$F$339,MATCH($O472&amp;"|"&amp;$R472&amp;"|"&amp;$AE472,'ASIGNACIONES'!$J$4:$J$339,0)),""))=0,"",IFERROR(INDEX('ASIGNACIONES'!$F$4:$F$339,MATCH($O472&amp;"|"&amp;$R472&amp;"|"&amp;$AE472,'ASIGNACIONES'!$J$4:$J$339,0)),"")))</f>
        <v/>
      </c>
      <c r="AG472" s="13">
        <f>IF($AE472="","",SUMIFS('ORDENES'!$M$4:$M$1203,'ORDENES'!$AE$4:$AE$1203,$AE472,'ORDENES'!$O$4:$O$1203,$O472,'ORDENES'!$R$4:$R$1203,$R472))</f>
        <v/>
      </c>
      <c r="AH472" s="13">
        <f>IF($AG472="","",p_factor_productividad*IFERROR(INDEX('ASIGNACIONES'!$I$4:$I$339,MATCH($O472&amp;"|"&amp;$R472&amp;"|"&amp;$AE472,'ASIGNACIONES'!$J$4:$J$339,0)),0)-$AG472)</f>
        <v/>
      </c>
      <c r="AI472" s="10">
        <f>IF($A472="","",IFERROR(INDEX('2_IMPORTAR_EJECUCION'!$F$9:$F$1208,MATCH($AQ472,'2_IMPORTAR_EJECUCION'!$J$9:$J$1208,0)),0))</f>
        <v/>
      </c>
      <c r="AJ472" s="10">
        <f>IF($A472="","",MAX(0,IFERROR(INDEX('2_IMPORTAR_EJECUCION'!$H$9:$H$1208,MATCH($AQ472,'2_IMPORTAR_EJECUCION'!$J$9:$J$1208,0)),0)-$AI472))</f>
        <v/>
      </c>
      <c r="AK472" s="10">
        <f>IF($A472="","",$AI472+$AJ472)</f>
        <v/>
      </c>
      <c r="AL472" s="6" t="n"/>
      <c r="AM472" s="6" t="n"/>
      <c r="AN472" s="6" t="n"/>
      <c r="AO472" s="3">
        <f>IF($AN472="","",HYPERLINK(p_ruta_base_checklists&amp;$AN472,"abrir"))</f>
        <v/>
      </c>
      <c r="AP472" s="6" t="n"/>
      <c r="AQ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IF($A473="","",IFERROR(INDEX('AJUSTES'!$B$4:$B$303,MATCH($AQ473,'AJUSTES'!$A$4:$A$303,0)),IF($K473="","",$K473)))</f>
        <v/>
      </c>
      <c r="N473" s="3">
        <f>IF($A473="","",IFERROR(INDEX('CAT_ESTADOS_ERP'!$B$4:$B$7,MATCH(IFERROR(INDEX('2_IMPORTAR_EJECUCION'!$C$9:$C$1208,MATCH($AQ473,'2_IMPORTAR_EJECUCION'!$J$9:$J$1208,0)),""),'CAT_ESTADOS_ERP'!$A$4:$A$7,0)),"Pendiente"))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J473="","",IFERROR(INDEX('CALENDARIO'!$C$15:$C$214,MATCH(TEXT($J473,"yyyy-mm-dd")&amp;"|"&amp;$V473&amp;"|"&amp;$W473,'CALENDARIO'!$G$15:$G$214,0)),IFERROR(INDEX('CALENDARIO'!$C$15:$C$214,MATCH(TEXT($J473,"yyyy-mm-dd")&amp;"|"&amp;$V473&amp;"|",'CALENDARIO'!$G$15:$G$214,0)),IFERROR(INDEX('CALENDARIO'!$C$15:$C$214,MATCH(TEXT($J473,"yyyy-mm-dd")&amp;"||",'CALENDARIO'!$G$15:$G$214,0)),INDEX(patronHabil,WEEKDAY($J473,2))))))</f>
        <v/>
      </c>
      <c r="T473" s="3">
        <f>IF($I473="","",IFERROR(INDEX('CAT_TIPOS_OT'!$C$4:$C$7,MATCH($I473,'CAT_TIPOS_OT'!$A$4:$A$7,0)),"sin_clasificar"))</f>
        <v/>
      </c>
      <c r="U473" s="3">
        <f>IF($F473="","",IFERROR(INDEX('CAT_CENTROS_COSTO'!$F$4:$F$13,MATCH($F473,'CAT_CENTROS_COSTO'!$A$4:$A$13,0)),"(sin catálogo)"))</f>
        <v/>
      </c>
      <c r="V473" s="3">
        <f>IF($F473="","",IFERROR(INDEX('CAT_CENTROS_COSTO'!$D$4:$D$13,MATCH($F473,'CAT_CENTROS_COSTO'!$A$4:$A$13,0)),"(sin catálogo)"))</f>
        <v/>
      </c>
      <c r="W473" s="3">
        <f>IF($F473="","",IF((IFERROR(INDEX('CAT_CENTROS_COSTO'!$E$4:$E$13,MATCH($F473,'CAT_CENTROS_COSTO'!$A$4:$A$13,0)),""))&lt;&gt;"",IFERROR(INDEX('CAT_CENTROS_COSTO'!$E$4:$E$13,MATCH($F473,'CAT_CENTROS_COSTO'!$A$4:$A$13,0)),""),$V473))</f>
        <v/>
      </c>
      <c r="X473" s="3">
        <f>IF($F473="","",IFERROR(INDEX('CAT_CENTROS_COSTO'!$G$4:$G$13,MATCH($F473,'CAT_CENTROS_COSTO'!$A$4:$A$13,0)),"(sin catálogo)"))</f>
        <v/>
      </c>
      <c r="Y473" s="3">
        <f>IF($G473="","",IFERROR(INDEX('CAT_PUESTOS'!$B$4:$B$8,MATCH($G473,'CAT_PUESTOS'!$A$4:$A$8,0)),"(sin catálogo)"))</f>
        <v/>
      </c>
      <c r="Z473" s="3">
        <f>IF($H473="","",IFERROR(INDEX('CAT_ACTIVIDADES'!$B$4:$B$8,MATCH($H473,'CAT_ACTIVIDADES'!$A$4:$A$8,0)),"(sin catálogo)"))</f>
        <v/>
      </c>
      <c r="AA473" s="12">
        <f>IF($J473="","",TODAY()-$J473)</f>
        <v/>
      </c>
      <c r="AB473" s="12">
        <f>IF($J473="","",IF($J473&lt;=TODAY(),COUNTIFS(cal_fechas,"&gt;="&amp;$J473,cal_fechas,"&lt;"&amp;TODAY(),cal_habil,"sí"),-COUNTIFS(cal_fechas,"&gt;="&amp;TODAY(),cal_fechas,"&lt;"&amp;$J473,cal_habil,"sí")))</f>
        <v/>
      </c>
      <c r="AC473" s="3">
        <f>IF($AB473="","",IF($AB473&lt;0,"FUTURO",IF($AB473&gt;p_dias_backlog_max,"BACKLOG","MES CORRIENTE")))</f>
        <v/>
      </c>
      <c r="AD473" s="3">
        <f>IF($AB473="",FALSE,AND($AB473&gt;p_dias_backlog_min,$AB473&lt;=p_dias_backlog_max))</f>
        <v/>
      </c>
      <c r="AE473" s="6" t="n"/>
      <c r="AF473" s="3">
        <f>IF($AE473="","",IF((IFERROR(INDEX('ASIGNACIONES'!$F$4:$F$339,MATCH($O473&amp;"|"&amp;$R473&amp;"|"&amp;$AE473,'ASIGNACIONES'!$J$4:$J$339,0)),""))=0,"",IFERROR(INDEX('ASIGNACIONES'!$F$4:$F$339,MATCH($O473&amp;"|"&amp;$R473&amp;"|"&amp;$AE473,'ASIGNACIONES'!$J$4:$J$339,0)),"")))</f>
        <v/>
      </c>
      <c r="AG473" s="13">
        <f>IF($AE473="","",SUMIFS('ORDENES'!$M$4:$M$1203,'ORDENES'!$AE$4:$AE$1203,$AE473,'ORDENES'!$O$4:$O$1203,$O473,'ORDENES'!$R$4:$R$1203,$R473))</f>
        <v/>
      </c>
      <c r="AH473" s="13">
        <f>IF($AG473="","",p_factor_productividad*IFERROR(INDEX('ASIGNACIONES'!$I$4:$I$339,MATCH($O473&amp;"|"&amp;$R473&amp;"|"&amp;$AE473,'ASIGNACIONES'!$J$4:$J$339,0)),0)-$AG473)</f>
        <v/>
      </c>
      <c r="AI473" s="10">
        <f>IF($A473="","",IFERROR(INDEX('2_IMPORTAR_EJECUCION'!$F$9:$F$1208,MATCH($AQ473,'2_IMPORTAR_EJECUCION'!$J$9:$J$1208,0)),0))</f>
        <v/>
      </c>
      <c r="AJ473" s="10">
        <f>IF($A473="","",MAX(0,IFERROR(INDEX('2_IMPORTAR_EJECUCION'!$H$9:$H$1208,MATCH($AQ473,'2_IMPORTAR_EJECUCION'!$J$9:$J$1208,0)),0)-$AI473))</f>
        <v/>
      </c>
      <c r="AK473" s="10">
        <f>IF($A473="","",$AI473+$AJ473)</f>
        <v/>
      </c>
      <c r="AL473" s="6" t="n"/>
      <c r="AM473" s="6" t="n"/>
      <c r="AN473" s="6" t="n"/>
      <c r="AO473" s="3">
        <f>IF($AN473="","",HYPERLINK(p_ruta_base_checklists&amp;$AN473,"abrir"))</f>
        <v/>
      </c>
      <c r="AP473" s="6" t="n"/>
      <c r="AQ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IF($A474="","",IFERROR(INDEX('AJUSTES'!$B$4:$B$303,MATCH($AQ474,'AJUSTES'!$A$4:$A$303,0)),IF($K474="","",$K474)))</f>
        <v/>
      </c>
      <c r="N474" s="3">
        <f>IF($A474="","",IFERROR(INDEX('CAT_ESTADOS_ERP'!$B$4:$B$7,MATCH(IFERROR(INDEX('2_IMPORTAR_EJECUCION'!$C$9:$C$1208,MATCH($AQ474,'2_IMPORTAR_EJECUCION'!$J$9:$J$1208,0)),""),'CAT_ESTADOS_ERP'!$A$4:$A$7,0)),"Pendiente"))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J474="","",IFERROR(INDEX('CALENDARIO'!$C$15:$C$214,MATCH(TEXT($J474,"yyyy-mm-dd")&amp;"|"&amp;$V474&amp;"|"&amp;$W474,'CALENDARIO'!$G$15:$G$214,0)),IFERROR(INDEX('CALENDARIO'!$C$15:$C$214,MATCH(TEXT($J474,"yyyy-mm-dd")&amp;"|"&amp;$V474&amp;"|",'CALENDARIO'!$G$15:$G$214,0)),IFERROR(INDEX('CALENDARIO'!$C$15:$C$214,MATCH(TEXT($J474,"yyyy-mm-dd")&amp;"||",'CALENDARIO'!$G$15:$G$214,0)),INDEX(patronHabil,WEEKDAY($J474,2))))))</f>
        <v/>
      </c>
      <c r="T474" s="3">
        <f>IF($I474="","",IFERROR(INDEX('CAT_TIPOS_OT'!$C$4:$C$7,MATCH($I474,'CAT_TIPOS_OT'!$A$4:$A$7,0)),"sin_clasificar"))</f>
        <v/>
      </c>
      <c r="U474" s="3">
        <f>IF($F474="","",IFERROR(INDEX('CAT_CENTROS_COSTO'!$F$4:$F$13,MATCH($F474,'CAT_CENTROS_COSTO'!$A$4:$A$13,0)),"(sin catálogo)"))</f>
        <v/>
      </c>
      <c r="V474" s="3">
        <f>IF($F474="","",IFERROR(INDEX('CAT_CENTROS_COSTO'!$D$4:$D$13,MATCH($F474,'CAT_CENTROS_COSTO'!$A$4:$A$13,0)),"(sin catálogo)"))</f>
        <v/>
      </c>
      <c r="W474" s="3">
        <f>IF($F474="","",IF((IFERROR(INDEX('CAT_CENTROS_COSTO'!$E$4:$E$13,MATCH($F474,'CAT_CENTROS_COSTO'!$A$4:$A$13,0)),""))&lt;&gt;"",IFERROR(INDEX('CAT_CENTROS_COSTO'!$E$4:$E$13,MATCH($F474,'CAT_CENTROS_COSTO'!$A$4:$A$13,0)),""),$V474))</f>
        <v/>
      </c>
      <c r="X474" s="3">
        <f>IF($F474="","",IFERROR(INDEX('CAT_CENTROS_COSTO'!$G$4:$G$13,MATCH($F474,'CAT_CENTROS_COSTO'!$A$4:$A$13,0)),"(sin catálogo)"))</f>
        <v/>
      </c>
      <c r="Y474" s="3">
        <f>IF($G474="","",IFERROR(INDEX('CAT_PUESTOS'!$B$4:$B$8,MATCH($G474,'CAT_PUESTOS'!$A$4:$A$8,0)),"(sin catálogo)"))</f>
        <v/>
      </c>
      <c r="Z474" s="3">
        <f>IF($H474="","",IFERROR(INDEX('CAT_ACTIVIDADES'!$B$4:$B$8,MATCH($H474,'CAT_ACTIVIDADES'!$A$4:$A$8,0)),"(sin catálogo)"))</f>
        <v/>
      </c>
      <c r="AA474" s="12">
        <f>IF($J474="","",TODAY()-$J474)</f>
        <v/>
      </c>
      <c r="AB474" s="12">
        <f>IF($J474="","",IF($J474&lt;=TODAY(),COUNTIFS(cal_fechas,"&gt;="&amp;$J474,cal_fechas,"&lt;"&amp;TODAY(),cal_habil,"sí"),-COUNTIFS(cal_fechas,"&gt;="&amp;TODAY(),cal_fechas,"&lt;"&amp;$J474,cal_habil,"sí")))</f>
        <v/>
      </c>
      <c r="AC474" s="3">
        <f>IF($AB474="","",IF($AB474&lt;0,"FUTURO",IF($AB474&gt;p_dias_backlog_max,"BACKLOG","MES CORRIENTE")))</f>
        <v/>
      </c>
      <c r="AD474" s="3">
        <f>IF($AB474="",FALSE,AND($AB474&gt;p_dias_backlog_min,$AB474&lt;=p_dias_backlog_max))</f>
        <v/>
      </c>
      <c r="AE474" s="6" t="n"/>
      <c r="AF474" s="3">
        <f>IF($AE474="","",IF((IFERROR(INDEX('ASIGNACIONES'!$F$4:$F$339,MATCH($O474&amp;"|"&amp;$R474&amp;"|"&amp;$AE474,'ASIGNACIONES'!$J$4:$J$339,0)),""))=0,"",IFERROR(INDEX('ASIGNACIONES'!$F$4:$F$339,MATCH($O474&amp;"|"&amp;$R474&amp;"|"&amp;$AE474,'ASIGNACIONES'!$J$4:$J$339,0)),"")))</f>
        <v/>
      </c>
      <c r="AG474" s="13">
        <f>IF($AE474="","",SUMIFS('ORDENES'!$M$4:$M$1203,'ORDENES'!$AE$4:$AE$1203,$AE474,'ORDENES'!$O$4:$O$1203,$O474,'ORDENES'!$R$4:$R$1203,$R474))</f>
        <v/>
      </c>
      <c r="AH474" s="13">
        <f>IF($AG474="","",p_factor_productividad*IFERROR(INDEX('ASIGNACIONES'!$I$4:$I$339,MATCH($O474&amp;"|"&amp;$R474&amp;"|"&amp;$AE474,'ASIGNACIONES'!$J$4:$J$339,0)),0)-$AG474)</f>
        <v/>
      </c>
      <c r="AI474" s="10">
        <f>IF($A474="","",IFERROR(INDEX('2_IMPORTAR_EJECUCION'!$F$9:$F$1208,MATCH($AQ474,'2_IMPORTAR_EJECUCION'!$J$9:$J$1208,0)),0))</f>
        <v/>
      </c>
      <c r="AJ474" s="10">
        <f>IF($A474="","",MAX(0,IFERROR(INDEX('2_IMPORTAR_EJECUCION'!$H$9:$H$1208,MATCH($AQ474,'2_IMPORTAR_EJECUCION'!$J$9:$J$1208,0)),0)-$AI474))</f>
        <v/>
      </c>
      <c r="AK474" s="10">
        <f>IF($A474="","",$AI474+$AJ474)</f>
        <v/>
      </c>
      <c r="AL474" s="6" t="n"/>
      <c r="AM474" s="6" t="n"/>
      <c r="AN474" s="6" t="n"/>
      <c r="AO474" s="3">
        <f>IF($AN474="","",HYPERLINK(p_ruta_base_checklists&amp;$AN474,"abrir"))</f>
        <v/>
      </c>
      <c r="AP474" s="6" t="n"/>
      <c r="AQ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IF($A475="","",IFERROR(INDEX('AJUSTES'!$B$4:$B$303,MATCH($AQ475,'AJUSTES'!$A$4:$A$303,0)),IF($K475="","",$K475)))</f>
        <v/>
      </c>
      <c r="N475" s="3">
        <f>IF($A475="","",IFERROR(INDEX('CAT_ESTADOS_ERP'!$B$4:$B$7,MATCH(IFERROR(INDEX('2_IMPORTAR_EJECUCION'!$C$9:$C$1208,MATCH($AQ475,'2_IMPORTAR_EJECUCION'!$J$9:$J$1208,0)),""),'CAT_ESTADOS_ERP'!$A$4:$A$7,0)),"Pendiente"))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J475="","",IFERROR(INDEX('CALENDARIO'!$C$15:$C$214,MATCH(TEXT($J475,"yyyy-mm-dd")&amp;"|"&amp;$V475&amp;"|"&amp;$W475,'CALENDARIO'!$G$15:$G$214,0)),IFERROR(INDEX('CALENDARIO'!$C$15:$C$214,MATCH(TEXT($J475,"yyyy-mm-dd")&amp;"|"&amp;$V475&amp;"|",'CALENDARIO'!$G$15:$G$214,0)),IFERROR(INDEX('CALENDARIO'!$C$15:$C$214,MATCH(TEXT($J475,"yyyy-mm-dd")&amp;"||",'CALENDARIO'!$G$15:$G$214,0)),INDEX(patronHabil,WEEKDAY($J475,2))))))</f>
        <v/>
      </c>
      <c r="T475" s="3">
        <f>IF($I475="","",IFERROR(INDEX('CAT_TIPOS_OT'!$C$4:$C$7,MATCH($I475,'CAT_TIPOS_OT'!$A$4:$A$7,0)),"sin_clasificar"))</f>
        <v/>
      </c>
      <c r="U475" s="3">
        <f>IF($F475="","",IFERROR(INDEX('CAT_CENTROS_COSTO'!$F$4:$F$13,MATCH($F475,'CAT_CENTROS_COSTO'!$A$4:$A$13,0)),"(sin catálogo)"))</f>
        <v/>
      </c>
      <c r="V475" s="3">
        <f>IF($F475="","",IFERROR(INDEX('CAT_CENTROS_COSTO'!$D$4:$D$13,MATCH($F475,'CAT_CENTROS_COSTO'!$A$4:$A$13,0)),"(sin catálogo)"))</f>
        <v/>
      </c>
      <c r="W475" s="3">
        <f>IF($F475="","",IF((IFERROR(INDEX('CAT_CENTROS_COSTO'!$E$4:$E$13,MATCH($F475,'CAT_CENTROS_COSTO'!$A$4:$A$13,0)),""))&lt;&gt;"",IFERROR(INDEX('CAT_CENTROS_COSTO'!$E$4:$E$13,MATCH($F475,'CAT_CENTROS_COSTO'!$A$4:$A$13,0)),""),$V475))</f>
        <v/>
      </c>
      <c r="X475" s="3">
        <f>IF($F475="","",IFERROR(INDEX('CAT_CENTROS_COSTO'!$G$4:$G$13,MATCH($F475,'CAT_CENTROS_COSTO'!$A$4:$A$13,0)),"(sin catálogo)"))</f>
        <v/>
      </c>
      <c r="Y475" s="3">
        <f>IF($G475="","",IFERROR(INDEX('CAT_PUESTOS'!$B$4:$B$8,MATCH($G475,'CAT_PUESTOS'!$A$4:$A$8,0)),"(sin catálogo)"))</f>
        <v/>
      </c>
      <c r="Z475" s="3">
        <f>IF($H475="","",IFERROR(INDEX('CAT_ACTIVIDADES'!$B$4:$B$8,MATCH($H475,'CAT_ACTIVIDADES'!$A$4:$A$8,0)),"(sin catálogo)"))</f>
        <v/>
      </c>
      <c r="AA475" s="12">
        <f>IF($J475="","",TODAY()-$J475)</f>
        <v/>
      </c>
      <c r="AB475" s="12">
        <f>IF($J475="","",IF($J475&lt;=TODAY(),COUNTIFS(cal_fechas,"&gt;="&amp;$J475,cal_fechas,"&lt;"&amp;TODAY(),cal_habil,"sí"),-COUNTIFS(cal_fechas,"&gt;="&amp;TODAY(),cal_fechas,"&lt;"&amp;$J475,cal_habil,"sí")))</f>
        <v/>
      </c>
      <c r="AC475" s="3">
        <f>IF($AB475="","",IF($AB475&lt;0,"FUTURO",IF($AB475&gt;p_dias_backlog_max,"BACKLOG","MES CORRIENTE")))</f>
        <v/>
      </c>
      <c r="AD475" s="3">
        <f>IF($AB475="",FALSE,AND($AB475&gt;p_dias_backlog_min,$AB475&lt;=p_dias_backlog_max))</f>
        <v/>
      </c>
      <c r="AE475" s="6" t="n"/>
      <c r="AF475" s="3">
        <f>IF($AE475="","",IF((IFERROR(INDEX('ASIGNACIONES'!$F$4:$F$339,MATCH($O475&amp;"|"&amp;$R475&amp;"|"&amp;$AE475,'ASIGNACIONES'!$J$4:$J$339,0)),""))=0,"",IFERROR(INDEX('ASIGNACIONES'!$F$4:$F$339,MATCH($O475&amp;"|"&amp;$R475&amp;"|"&amp;$AE475,'ASIGNACIONES'!$J$4:$J$339,0)),"")))</f>
        <v/>
      </c>
      <c r="AG475" s="13">
        <f>IF($AE475="","",SUMIFS('ORDENES'!$M$4:$M$1203,'ORDENES'!$AE$4:$AE$1203,$AE475,'ORDENES'!$O$4:$O$1203,$O475,'ORDENES'!$R$4:$R$1203,$R475))</f>
        <v/>
      </c>
      <c r="AH475" s="13">
        <f>IF($AG475="","",p_factor_productividad*IFERROR(INDEX('ASIGNACIONES'!$I$4:$I$339,MATCH($O475&amp;"|"&amp;$R475&amp;"|"&amp;$AE475,'ASIGNACIONES'!$J$4:$J$339,0)),0)-$AG475)</f>
        <v/>
      </c>
      <c r="AI475" s="10">
        <f>IF($A475="","",IFERROR(INDEX('2_IMPORTAR_EJECUCION'!$F$9:$F$1208,MATCH($AQ475,'2_IMPORTAR_EJECUCION'!$J$9:$J$1208,0)),0))</f>
        <v/>
      </c>
      <c r="AJ475" s="10">
        <f>IF($A475="","",MAX(0,IFERROR(INDEX('2_IMPORTAR_EJECUCION'!$H$9:$H$1208,MATCH($AQ475,'2_IMPORTAR_EJECUCION'!$J$9:$J$1208,0)),0)-$AI475))</f>
        <v/>
      </c>
      <c r="AK475" s="10">
        <f>IF($A475="","",$AI475+$AJ475)</f>
        <v/>
      </c>
      <c r="AL475" s="6" t="n"/>
      <c r="AM475" s="6" t="n"/>
      <c r="AN475" s="6" t="n"/>
      <c r="AO475" s="3">
        <f>IF($AN475="","",HYPERLINK(p_ruta_base_checklists&amp;$AN475,"abrir"))</f>
        <v/>
      </c>
      <c r="AP475" s="6" t="n"/>
      <c r="AQ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IF($A476="","",IFERROR(INDEX('AJUSTES'!$B$4:$B$303,MATCH($AQ476,'AJUSTES'!$A$4:$A$303,0)),IF($K476="","",$K476)))</f>
        <v/>
      </c>
      <c r="N476" s="3">
        <f>IF($A476="","",IFERROR(INDEX('CAT_ESTADOS_ERP'!$B$4:$B$7,MATCH(IFERROR(INDEX('2_IMPORTAR_EJECUCION'!$C$9:$C$1208,MATCH($AQ476,'2_IMPORTAR_EJECUCION'!$J$9:$J$1208,0)),""),'CAT_ESTADOS_ERP'!$A$4:$A$7,0)),"Pendiente"))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J476="","",IFERROR(INDEX('CALENDARIO'!$C$15:$C$214,MATCH(TEXT($J476,"yyyy-mm-dd")&amp;"|"&amp;$V476&amp;"|"&amp;$W476,'CALENDARIO'!$G$15:$G$214,0)),IFERROR(INDEX('CALENDARIO'!$C$15:$C$214,MATCH(TEXT($J476,"yyyy-mm-dd")&amp;"|"&amp;$V476&amp;"|",'CALENDARIO'!$G$15:$G$214,0)),IFERROR(INDEX('CALENDARIO'!$C$15:$C$214,MATCH(TEXT($J476,"yyyy-mm-dd")&amp;"||",'CALENDARIO'!$G$15:$G$214,0)),INDEX(patronHabil,WEEKDAY($J476,2))))))</f>
        <v/>
      </c>
      <c r="T476" s="3">
        <f>IF($I476="","",IFERROR(INDEX('CAT_TIPOS_OT'!$C$4:$C$7,MATCH($I476,'CAT_TIPOS_OT'!$A$4:$A$7,0)),"sin_clasificar"))</f>
        <v/>
      </c>
      <c r="U476" s="3">
        <f>IF($F476="","",IFERROR(INDEX('CAT_CENTROS_COSTO'!$F$4:$F$13,MATCH($F476,'CAT_CENTROS_COSTO'!$A$4:$A$13,0)),"(sin catálogo)"))</f>
        <v/>
      </c>
      <c r="V476" s="3">
        <f>IF($F476="","",IFERROR(INDEX('CAT_CENTROS_COSTO'!$D$4:$D$13,MATCH($F476,'CAT_CENTROS_COSTO'!$A$4:$A$13,0)),"(sin catálogo)"))</f>
        <v/>
      </c>
      <c r="W476" s="3">
        <f>IF($F476="","",IF((IFERROR(INDEX('CAT_CENTROS_COSTO'!$E$4:$E$13,MATCH($F476,'CAT_CENTROS_COSTO'!$A$4:$A$13,0)),""))&lt;&gt;"",IFERROR(INDEX('CAT_CENTROS_COSTO'!$E$4:$E$13,MATCH($F476,'CAT_CENTROS_COSTO'!$A$4:$A$13,0)),""),$V476))</f>
        <v/>
      </c>
      <c r="X476" s="3">
        <f>IF($F476="","",IFERROR(INDEX('CAT_CENTROS_COSTO'!$G$4:$G$13,MATCH($F476,'CAT_CENTROS_COSTO'!$A$4:$A$13,0)),"(sin catálogo)"))</f>
        <v/>
      </c>
      <c r="Y476" s="3">
        <f>IF($G476="","",IFERROR(INDEX('CAT_PUESTOS'!$B$4:$B$8,MATCH($G476,'CAT_PUESTOS'!$A$4:$A$8,0)),"(sin catálogo)"))</f>
        <v/>
      </c>
      <c r="Z476" s="3">
        <f>IF($H476="","",IFERROR(INDEX('CAT_ACTIVIDADES'!$B$4:$B$8,MATCH($H476,'CAT_ACTIVIDADES'!$A$4:$A$8,0)),"(sin catálogo)"))</f>
        <v/>
      </c>
      <c r="AA476" s="12">
        <f>IF($J476="","",TODAY()-$J476)</f>
        <v/>
      </c>
      <c r="AB476" s="12">
        <f>IF($J476="","",IF($J476&lt;=TODAY(),COUNTIFS(cal_fechas,"&gt;="&amp;$J476,cal_fechas,"&lt;"&amp;TODAY(),cal_habil,"sí"),-COUNTIFS(cal_fechas,"&gt;="&amp;TODAY(),cal_fechas,"&lt;"&amp;$J476,cal_habil,"sí")))</f>
        <v/>
      </c>
      <c r="AC476" s="3">
        <f>IF($AB476="","",IF($AB476&lt;0,"FUTURO",IF($AB476&gt;p_dias_backlog_max,"BACKLOG","MES CORRIENTE")))</f>
        <v/>
      </c>
      <c r="AD476" s="3">
        <f>IF($AB476="",FALSE,AND($AB476&gt;p_dias_backlog_min,$AB476&lt;=p_dias_backlog_max))</f>
        <v/>
      </c>
      <c r="AE476" s="6" t="n"/>
      <c r="AF476" s="3">
        <f>IF($AE476="","",IF((IFERROR(INDEX('ASIGNACIONES'!$F$4:$F$339,MATCH($O476&amp;"|"&amp;$R476&amp;"|"&amp;$AE476,'ASIGNACIONES'!$J$4:$J$339,0)),""))=0,"",IFERROR(INDEX('ASIGNACIONES'!$F$4:$F$339,MATCH($O476&amp;"|"&amp;$R476&amp;"|"&amp;$AE476,'ASIGNACIONES'!$J$4:$J$339,0)),"")))</f>
        <v/>
      </c>
      <c r="AG476" s="13">
        <f>IF($AE476="","",SUMIFS('ORDENES'!$M$4:$M$1203,'ORDENES'!$AE$4:$AE$1203,$AE476,'ORDENES'!$O$4:$O$1203,$O476,'ORDENES'!$R$4:$R$1203,$R476))</f>
        <v/>
      </c>
      <c r="AH476" s="13">
        <f>IF($AG476="","",p_factor_productividad*IFERROR(INDEX('ASIGNACIONES'!$I$4:$I$339,MATCH($O476&amp;"|"&amp;$R476&amp;"|"&amp;$AE476,'ASIGNACIONES'!$J$4:$J$339,0)),0)-$AG476)</f>
        <v/>
      </c>
      <c r="AI476" s="10">
        <f>IF($A476="","",IFERROR(INDEX('2_IMPORTAR_EJECUCION'!$F$9:$F$1208,MATCH($AQ476,'2_IMPORTAR_EJECUCION'!$J$9:$J$1208,0)),0))</f>
        <v/>
      </c>
      <c r="AJ476" s="10">
        <f>IF($A476="","",MAX(0,IFERROR(INDEX('2_IMPORTAR_EJECUCION'!$H$9:$H$1208,MATCH($AQ476,'2_IMPORTAR_EJECUCION'!$J$9:$J$1208,0)),0)-$AI476))</f>
        <v/>
      </c>
      <c r="AK476" s="10">
        <f>IF($A476="","",$AI476+$AJ476)</f>
        <v/>
      </c>
      <c r="AL476" s="6" t="n"/>
      <c r="AM476" s="6" t="n"/>
      <c r="AN476" s="6" t="n"/>
      <c r="AO476" s="3">
        <f>IF($AN476="","",HYPERLINK(p_ruta_base_checklists&amp;$AN476,"abrir"))</f>
        <v/>
      </c>
      <c r="AP476" s="6" t="n"/>
      <c r="AQ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IF($A477="","",IFERROR(INDEX('AJUSTES'!$B$4:$B$303,MATCH($AQ477,'AJUSTES'!$A$4:$A$303,0)),IF($K477="","",$K477)))</f>
        <v/>
      </c>
      <c r="N477" s="3">
        <f>IF($A477="","",IFERROR(INDEX('CAT_ESTADOS_ERP'!$B$4:$B$7,MATCH(IFERROR(INDEX('2_IMPORTAR_EJECUCION'!$C$9:$C$1208,MATCH($AQ477,'2_IMPORTAR_EJECUCION'!$J$9:$J$1208,0)),""),'CAT_ESTADOS_ERP'!$A$4:$A$7,0)),"Pendiente"))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J477="","",IFERROR(INDEX('CALENDARIO'!$C$15:$C$214,MATCH(TEXT($J477,"yyyy-mm-dd")&amp;"|"&amp;$V477&amp;"|"&amp;$W477,'CALENDARIO'!$G$15:$G$214,0)),IFERROR(INDEX('CALENDARIO'!$C$15:$C$214,MATCH(TEXT($J477,"yyyy-mm-dd")&amp;"|"&amp;$V477&amp;"|",'CALENDARIO'!$G$15:$G$214,0)),IFERROR(INDEX('CALENDARIO'!$C$15:$C$214,MATCH(TEXT($J477,"yyyy-mm-dd")&amp;"||",'CALENDARIO'!$G$15:$G$214,0)),INDEX(patronHabil,WEEKDAY($J477,2))))))</f>
        <v/>
      </c>
      <c r="T477" s="3">
        <f>IF($I477="","",IFERROR(INDEX('CAT_TIPOS_OT'!$C$4:$C$7,MATCH($I477,'CAT_TIPOS_OT'!$A$4:$A$7,0)),"sin_clasificar"))</f>
        <v/>
      </c>
      <c r="U477" s="3">
        <f>IF($F477="","",IFERROR(INDEX('CAT_CENTROS_COSTO'!$F$4:$F$13,MATCH($F477,'CAT_CENTROS_COSTO'!$A$4:$A$13,0)),"(sin catálogo)"))</f>
        <v/>
      </c>
      <c r="V477" s="3">
        <f>IF($F477="","",IFERROR(INDEX('CAT_CENTROS_COSTO'!$D$4:$D$13,MATCH($F477,'CAT_CENTROS_COSTO'!$A$4:$A$13,0)),"(sin catálogo)"))</f>
        <v/>
      </c>
      <c r="W477" s="3">
        <f>IF($F477="","",IF((IFERROR(INDEX('CAT_CENTROS_COSTO'!$E$4:$E$13,MATCH($F477,'CAT_CENTROS_COSTO'!$A$4:$A$13,0)),""))&lt;&gt;"",IFERROR(INDEX('CAT_CENTROS_COSTO'!$E$4:$E$13,MATCH($F477,'CAT_CENTROS_COSTO'!$A$4:$A$13,0)),""),$V477))</f>
        <v/>
      </c>
      <c r="X477" s="3">
        <f>IF($F477="","",IFERROR(INDEX('CAT_CENTROS_COSTO'!$G$4:$G$13,MATCH($F477,'CAT_CENTROS_COSTO'!$A$4:$A$13,0)),"(sin catálogo)"))</f>
        <v/>
      </c>
      <c r="Y477" s="3">
        <f>IF($G477="","",IFERROR(INDEX('CAT_PUESTOS'!$B$4:$B$8,MATCH($G477,'CAT_PUESTOS'!$A$4:$A$8,0)),"(sin catálogo)"))</f>
        <v/>
      </c>
      <c r="Z477" s="3">
        <f>IF($H477="","",IFERROR(INDEX('CAT_ACTIVIDADES'!$B$4:$B$8,MATCH($H477,'CAT_ACTIVIDADES'!$A$4:$A$8,0)),"(sin catálogo)"))</f>
        <v/>
      </c>
      <c r="AA477" s="12">
        <f>IF($J477="","",TODAY()-$J477)</f>
        <v/>
      </c>
      <c r="AB477" s="12">
        <f>IF($J477="","",IF($J477&lt;=TODAY(),COUNTIFS(cal_fechas,"&gt;="&amp;$J477,cal_fechas,"&lt;"&amp;TODAY(),cal_habil,"sí"),-COUNTIFS(cal_fechas,"&gt;="&amp;TODAY(),cal_fechas,"&lt;"&amp;$J477,cal_habil,"sí")))</f>
        <v/>
      </c>
      <c r="AC477" s="3">
        <f>IF($AB477="","",IF($AB477&lt;0,"FUTURO",IF($AB477&gt;p_dias_backlog_max,"BACKLOG","MES CORRIENTE")))</f>
        <v/>
      </c>
      <c r="AD477" s="3">
        <f>IF($AB477="",FALSE,AND($AB477&gt;p_dias_backlog_min,$AB477&lt;=p_dias_backlog_max))</f>
        <v/>
      </c>
      <c r="AE477" s="6" t="n"/>
      <c r="AF477" s="3">
        <f>IF($AE477="","",IF((IFERROR(INDEX('ASIGNACIONES'!$F$4:$F$339,MATCH($O477&amp;"|"&amp;$R477&amp;"|"&amp;$AE477,'ASIGNACIONES'!$J$4:$J$339,0)),""))=0,"",IFERROR(INDEX('ASIGNACIONES'!$F$4:$F$339,MATCH($O477&amp;"|"&amp;$R477&amp;"|"&amp;$AE477,'ASIGNACIONES'!$J$4:$J$339,0)),"")))</f>
        <v/>
      </c>
      <c r="AG477" s="13">
        <f>IF($AE477="","",SUMIFS('ORDENES'!$M$4:$M$1203,'ORDENES'!$AE$4:$AE$1203,$AE477,'ORDENES'!$O$4:$O$1203,$O477,'ORDENES'!$R$4:$R$1203,$R477))</f>
        <v/>
      </c>
      <c r="AH477" s="13">
        <f>IF($AG477="","",p_factor_productividad*IFERROR(INDEX('ASIGNACIONES'!$I$4:$I$339,MATCH($O477&amp;"|"&amp;$R477&amp;"|"&amp;$AE477,'ASIGNACIONES'!$J$4:$J$339,0)),0)-$AG477)</f>
        <v/>
      </c>
      <c r="AI477" s="10">
        <f>IF($A477="","",IFERROR(INDEX('2_IMPORTAR_EJECUCION'!$F$9:$F$1208,MATCH($AQ477,'2_IMPORTAR_EJECUCION'!$J$9:$J$1208,0)),0))</f>
        <v/>
      </c>
      <c r="AJ477" s="10">
        <f>IF($A477="","",MAX(0,IFERROR(INDEX('2_IMPORTAR_EJECUCION'!$H$9:$H$1208,MATCH($AQ477,'2_IMPORTAR_EJECUCION'!$J$9:$J$1208,0)),0)-$AI477))</f>
        <v/>
      </c>
      <c r="AK477" s="10">
        <f>IF($A477="","",$AI477+$AJ477)</f>
        <v/>
      </c>
      <c r="AL477" s="6" t="n"/>
      <c r="AM477" s="6" t="n"/>
      <c r="AN477" s="6" t="n"/>
      <c r="AO477" s="3">
        <f>IF($AN477="","",HYPERLINK(p_ruta_base_checklists&amp;$AN477,"abrir"))</f>
        <v/>
      </c>
      <c r="AP477" s="6" t="n"/>
      <c r="AQ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IF($A478="","",IFERROR(INDEX('AJUSTES'!$B$4:$B$303,MATCH($AQ478,'AJUSTES'!$A$4:$A$303,0)),IF($K478="","",$K478)))</f>
        <v/>
      </c>
      <c r="N478" s="3">
        <f>IF($A478="","",IFERROR(INDEX('CAT_ESTADOS_ERP'!$B$4:$B$7,MATCH(IFERROR(INDEX('2_IMPORTAR_EJECUCION'!$C$9:$C$1208,MATCH($AQ478,'2_IMPORTAR_EJECUCION'!$J$9:$J$1208,0)),""),'CAT_ESTADOS_ERP'!$A$4:$A$7,0)),"Pendiente"))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J478="","",IFERROR(INDEX('CALENDARIO'!$C$15:$C$214,MATCH(TEXT($J478,"yyyy-mm-dd")&amp;"|"&amp;$V478&amp;"|"&amp;$W478,'CALENDARIO'!$G$15:$G$214,0)),IFERROR(INDEX('CALENDARIO'!$C$15:$C$214,MATCH(TEXT($J478,"yyyy-mm-dd")&amp;"|"&amp;$V478&amp;"|",'CALENDARIO'!$G$15:$G$214,0)),IFERROR(INDEX('CALENDARIO'!$C$15:$C$214,MATCH(TEXT($J478,"yyyy-mm-dd")&amp;"||",'CALENDARIO'!$G$15:$G$214,0)),INDEX(patronHabil,WEEKDAY($J478,2))))))</f>
        <v/>
      </c>
      <c r="T478" s="3">
        <f>IF($I478="","",IFERROR(INDEX('CAT_TIPOS_OT'!$C$4:$C$7,MATCH($I478,'CAT_TIPOS_OT'!$A$4:$A$7,0)),"sin_clasificar"))</f>
        <v/>
      </c>
      <c r="U478" s="3">
        <f>IF($F478="","",IFERROR(INDEX('CAT_CENTROS_COSTO'!$F$4:$F$13,MATCH($F478,'CAT_CENTROS_COSTO'!$A$4:$A$13,0)),"(sin catálogo)"))</f>
        <v/>
      </c>
      <c r="V478" s="3">
        <f>IF($F478="","",IFERROR(INDEX('CAT_CENTROS_COSTO'!$D$4:$D$13,MATCH($F478,'CAT_CENTROS_COSTO'!$A$4:$A$13,0)),"(sin catálogo)"))</f>
        <v/>
      </c>
      <c r="W478" s="3">
        <f>IF($F478="","",IF((IFERROR(INDEX('CAT_CENTROS_COSTO'!$E$4:$E$13,MATCH($F478,'CAT_CENTROS_COSTO'!$A$4:$A$13,0)),""))&lt;&gt;"",IFERROR(INDEX('CAT_CENTROS_COSTO'!$E$4:$E$13,MATCH($F478,'CAT_CENTROS_COSTO'!$A$4:$A$13,0)),""),$V478))</f>
        <v/>
      </c>
      <c r="X478" s="3">
        <f>IF($F478="","",IFERROR(INDEX('CAT_CENTROS_COSTO'!$G$4:$G$13,MATCH($F478,'CAT_CENTROS_COSTO'!$A$4:$A$13,0)),"(sin catálogo)"))</f>
        <v/>
      </c>
      <c r="Y478" s="3">
        <f>IF($G478="","",IFERROR(INDEX('CAT_PUESTOS'!$B$4:$B$8,MATCH($G478,'CAT_PUESTOS'!$A$4:$A$8,0)),"(sin catálogo)"))</f>
        <v/>
      </c>
      <c r="Z478" s="3">
        <f>IF($H478="","",IFERROR(INDEX('CAT_ACTIVIDADES'!$B$4:$B$8,MATCH($H478,'CAT_ACTIVIDADES'!$A$4:$A$8,0)),"(sin catálogo)"))</f>
        <v/>
      </c>
      <c r="AA478" s="12">
        <f>IF($J478="","",TODAY()-$J478)</f>
        <v/>
      </c>
      <c r="AB478" s="12">
        <f>IF($J478="","",IF($J478&lt;=TODAY(),COUNTIFS(cal_fechas,"&gt;="&amp;$J478,cal_fechas,"&lt;"&amp;TODAY(),cal_habil,"sí"),-COUNTIFS(cal_fechas,"&gt;="&amp;TODAY(),cal_fechas,"&lt;"&amp;$J478,cal_habil,"sí")))</f>
        <v/>
      </c>
      <c r="AC478" s="3">
        <f>IF($AB478="","",IF($AB478&lt;0,"FUTURO",IF($AB478&gt;p_dias_backlog_max,"BACKLOG","MES CORRIENTE")))</f>
        <v/>
      </c>
      <c r="AD478" s="3">
        <f>IF($AB478="",FALSE,AND($AB478&gt;p_dias_backlog_min,$AB478&lt;=p_dias_backlog_max))</f>
        <v/>
      </c>
      <c r="AE478" s="6" t="n"/>
      <c r="AF478" s="3">
        <f>IF($AE478="","",IF((IFERROR(INDEX('ASIGNACIONES'!$F$4:$F$339,MATCH($O478&amp;"|"&amp;$R478&amp;"|"&amp;$AE478,'ASIGNACIONES'!$J$4:$J$339,0)),""))=0,"",IFERROR(INDEX('ASIGNACIONES'!$F$4:$F$339,MATCH($O478&amp;"|"&amp;$R478&amp;"|"&amp;$AE478,'ASIGNACIONES'!$J$4:$J$339,0)),"")))</f>
        <v/>
      </c>
      <c r="AG478" s="13">
        <f>IF($AE478="","",SUMIFS('ORDENES'!$M$4:$M$1203,'ORDENES'!$AE$4:$AE$1203,$AE478,'ORDENES'!$O$4:$O$1203,$O478,'ORDENES'!$R$4:$R$1203,$R478))</f>
        <v/>
      </c>
      <c r="AH478" s="13">
        <f>IF($AG478="","",p_factor_productividad*IFERROR(INDEX('ASIGNACIONES'!$I$4:$I$339,MATCH($O478&amp;"|"&amp;$R478&amp;"|"&amp;$AE478,'ASIGNACIONES'!$J$4:$J$339,0)),0)-$AG478)</f>
        <v/>
      </c>
      <c r="AI478" s="10">
        <f>IF($A478="","",IFERROR(INDEX('2_IMPORTAR_EJECUCION'!$F$9:$F$1208,MATCH($AQ478,'2_IMPORTAR_EJECUCION'!$J$9:$J$1208,0)),0))</f>
        <v/>
      </c>
      <c r="AJ478" s="10">
        <f>IF($A478="","",MAX(0,IFERROR(INDEX('2_IMPORTAR_EJECUCION'!$H$9:$H$1208,MATCH($AQ478,'2_IMPORTAR_EJECUCION'!$J$9:$J$1208,0)),0)-$AI478))</f>
        <v/>
      </c>
      <c r="AK478" s="10">
        <f>IF($A478="","",$AI478+$AJ478)</f>
        <v/>
      </c>
      <c r="AL478" s="6" t="n"/>
      <c r="AM478" s="6" t="n"/>
      <c r="AN478" s="6" t="n"/>
      <c r="AO478" s="3">
        <f>IF($AN478="","",HYPERLINK(p_ruta_base_checklists&amp;$AN478,"abrir"))</f>
        <v/>
      </c>
      <c r="AP478" s="6" t="n"/>
      <c r="AQ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IF($A479="","",IFERROR(INDEX('AJUSTES'!$B$4:$B$303,MATCH($AQ479,'AJUSTES'!$A$4:$A$303,0)),IF($K479="","",$K479)))</f>
        <v/>
      </c>
      <c r="N479" s="3">
        <f>IF($A479="","",IFERROR(INDEX('CAT_ESTADOS_ERP'!$B$4:$B$7,MATCH(IFERROR(INDEX('2_IMPORTAR_EJECUCION'!$C$9:$C$1208,MATCH($AQ479,'2_IMPORTAR_EJECUCION'!$J$9:$J$1208,0)),""),'CAT_ESTADOS_ERP'!$A$4:$A$7,0)),"Pendiente"))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J479="","",IFERROR(INDEX('CALENDARIO'!$C$15:$C$214,MATCH(TEXT($J479,"yyyy-mm-dd")&amp;"|"&amp;$V479&amp;"|"&amp;$W479,'CALENDARIO'!$G$15:$G$214,0)),IFERROR(INDEX('CALENDARIO'!$C$15:$C$214,MATCH(TEXT($J479,"yyyy-mm-dd")&amp;"|"&amp;$V479&amp;"|",'CALENDARIO'!$G$15:$G$214,0)),IFERROR(INDEX('CALENDARIO'!$C$15:$C$214,MATCH(TEXT($J479,"yyyy-mm-dd")&amp;"||",'CALENDARIO'!$G$15:$G$214,0)),INDEX(patronHabil,WEEKDAY($J479,2))))))</f>
        <v/>
      </c>
      <c r="T479" s="3">
        <f>IF($I479="","",IFERROR(INDEX('CAT_TIPOS_OT'!$C$4:$C$7,MATCH($I479,'CAT_TIPOS_OT'!$A$4:$A$7,0)),"sin_clasificar"))</f>
        <v/>
      </c>
      <c r="U479" s="3">
        <f>IF($F479="","",IFERROR(INDEX('CAT_CENTROS_COSTO'!$F$4:$F$13,MATCH($F479,'CAT_CENTROS_COSTO'!$A$4:$A$13,0)),"(sin catálogo)"))</f>
        <v/>
      </c>
      <c r="V479" s="3">
        <f>IF($F479="","",IFERROR(INDEX('CAT_CENTROS_COSTO'!$D$4:$D$13,MATCH($F479,'CAT_CENTROS_COSTO'!$A$4:$A$13,0)),"(sin catálogo)"))</f>
        <v/>
      </c>
      <c r="W479" s="3">
        <f>IF($F479="","",IF((IFERROR(INDEX('CAT_CENTROS_COSTO'!$E$4:$E$13,MATCH($F479,'CAT_CENTROS_COSTO'!$A$4:$A$13,0)),""))&lt;&gt;"",IFERROR(INDEX('CAT_CENTROS_COSTO'!$E$4:$E$13,MATCH($F479,'CAT_CENTROS_COSTO'!$A$4:$A$13,0)),""),$V479))</f>
        <v/>
      </c>
      <c r="X479" s="3">
        <f>IF($F479="","",IFERROR(INDEX('CAT_CENTROS_COSTO'!$G$4:$G$13,MATCH($F479,'CAT_CENTROS_COSTO'!$A$4:$A$13,0)),"(sin catálogo)"))</f>
        <v/>
      </c>
      <c r="Y479" s="3">
        <f>IF($G479="","",IFERROR(INDEX('CAT_PUESTOS'!$B$4:$B$8,MATCH($G479,'CAT_PUESTOS'!$A$4:$A$8,0)),"(sin catálogo)"))</f>
        <v/>
      </c>
      <c r="Z479" s="3">
        <f>IF($H479="","",IFERROR(INDEX('CAT_ACTIVIDADES'!$B$4:$B$8,MATCH($H479,'CAT_ACTIVIDADES'!$A$4:$A$8,0)),"(sin catálogo)"))</f>
        <v/>
      </c>
      <c r="AA479" s="12">
        <f>IF($J479="","",TODAY()-$J479)</f>
        <v/>
      </c>
      <c r="AB479" s="12">
        <f>IF($J479="","",IF($J479&lt;=TODAY(),COUNTIFS(cal_fechas,"&gt;="&amp;$J479,cal_fechas,"&lt;"&amp;TODAY(),cal_habil,"sí"),-COUNTIFS(cal_fechas,"&gt;="&amp;TODAY(),cal_fechas,"&lt;"&amp;$J479,cal_habil,"sí")))</f>
        <v/>
      </c>
      <c r="AC479" s="3">
        <f>IF($AB479="","",IF($AB479&lt;0,"FUTURO",IF($AB479&gt;p_dias_backlog_max,"BACKLOG","MES CORRIENTE")))</f>
        <v/>
      </c>
      <c r="AD479" s="3">
        <f>IF($AB479="",FALSE,AND($AB479&gt;p_dias_backlog_min,$AB479&lt;=p_dias_backlog_max))</f>
        <v/>
      </c>
      <c r="AE479" s="6" t="n"/>
      <c r="AF479" s="3">
        <f>IF($AE479="","",IF((IFERROR(INDEX('ASIGNACIONES'!$F$4:$F$339,MATCH($O479&amp;"|"&amp;$R479&amp;"|"&amp;$AE479,'ASIGNACIONES'!$J$4:$J$339,0)),""))=0,"",IFERROR(INDEX('ASIGNACIONES'!$F$4:$F$339,MATCH($O479&amp;"|"&amp;$R479&amp;"|"&amp;$AE479,'ASIGNACIONES'!$J$4:$J$339,0)),"")))</f>
        <v/>
      </c>
      <c r="AG479" s="13">
        <f>IF($AE479="","",SUMIFS('ORDENES'!$M$4:$M$1203,'ORDENES'!$AE$4:$AE$1203,$AE479,'ORDENES'!$O$4:$O$1203,$O479,'ORDENES'!$R$4:$R$1203,$R479))</f>
        <v/>
      </c>
      <c r="AH479" s="13">
        <f>IF($AG479="","",p_factor_productividad*IFERROR(INDEX('ASIGNACIONES'!$I$4:$I$339,MATCH($O479&amp;"|"&amp;$R479&amp;"|"&amp;$AE479,'ASIGNACIONES'!$J$4:$J$339,0)),0)-$AG479)</f>
        <v/>
      </c>
      <c r="AI479" s="10">
        <f>IF($A479="","",IFERROR(INDEX('2_IMPORTAR_EJECUCION'!$F$9:$F$1208,MATCH($AQ479,'2_IMPORTAR_EJECUCION'!$J$9:$J$1208,0)),0))</f>
        <v/>
      </c>
      <c r="AJ479" s="10">
        <f>IF($A479="","",MAX(0,IFERROR(INDEX('2_IMPORTAR_EJECUCION'!$H$9:$H$1208,MATCH($AQ479,'2_IMPORTAR_EJECUCION'!$J$9:$J$1208,0)),0)-$AI479))</f>
        <v/>
      </c>
      <c r="AK479" s="10">
        <f>IF($A479="","",$AI479+$AJ479)</f>
        <v/>
      </c>
      <c r="AL479" s="6" t="n"/>
      <c r="AM479" s="6" t="n"/>
      <c r="AN479" s="6" t="n"/>
      <c r="AO479" s="3">
        <f>IF($AN479="","",HYPERLINK(p_ruta_base_checklists&amp;$AN479,"abrir"))</f>
        <v/>
      </c>
      <c r="AP479" s="6" t="n"/>
      <c r="AQ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IF($A480="","",IFERROR(INDEX('AJUSTES'!$B$4:$B$303,MATCH($AQ480,'AJUSTES'!$A$4:$A$303,0)),IF($K480="","",$K480)))</f>
        <v/>
      </c>
      <c r="N480" s="3">
        <f>IF($A480="","",IFERROR(INDEX('CAT_ESTADOS_ERP'!$B$4:$B$7,MATCH(IFERROR(INDEX('2_IMPORTAR_EJECUCION'!$C$9:$C$1208,MATCH($AQ480,'2_IMPORTAR_EJECUCION'!$J$9:$J$1208,0)),""),'CAT_ESTADOS_ERP'!$A$4:$A$7,0)),"Pendiente"))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J480="","",IFERROR(INDEX('CALENDARIO'!$C$15:$C$214,MATCH(TEXT($J480,"yyyy-mm-dd")&amp;"|"&amp;$V480&amp;"|"&amp;$W480,'CALENDARIO'!$G$15:$G$214,0)),IFERROR(INDEX('CALENDARIO'!$C$15:$C$214,MATCH(TEXT($J480,"yyyy-mm-dd")&amp;"|"&amp;$V480&amp;"|",'CALENDARIO'!$G$15:$G$214,0)),IFERROR(INDEX('CALENDARIO'!$C$15:$C$214,MATCH(TEXT($J480,"yyyy-mm-dd")&amp;"||",'CALENDARIO'!$G$15:$G$214,0)),INDEX(patronHabil,WEEKDAY($J480,2))))))</f>
        <v/>
      </c>
      <c r="T480" s="3">
        <f>IF($I480="","",IFERROR(INDEX('CAT_TIPOS_OT'!$C$4:$C$7,MATCH($I480,'CAT_TIPOS_OT'!$A$4:$A$7,0)),"sin_clasificar"))</f>
        <v/>
      </c>
      <c r="U480" s="3">
        <f>IF($F480="","",IFERROR(INDEX('CAT_CENTROS_COSTO'!$F$4:$F$13,MATCH($F480,'CAT_CENTROS_COSTO'!$A$4:$A$13,0)),"(sin catálogo)"))</f>
        <v/>
      </c>
      <c r="V480" s="3">
        <f>IF($F480="","",IFERROR(INDEX('CAT_CENTROS_COSTO'!$D$4:$D$13,MATCH($F480,'CAT_CENTROS_COSTO'!$A$4:$A$13,0)),"(sin catálogo)"))</f>
        <v/>
      </c>
      <c r="W480" s="3">
        <f>IF($F480="","",IF((IFERROR(INDEX('CAT_CENTROS_COSTO'!$E$4:$E$13,MATCH($F480,'CAT_CENTROS_COSTO'!$A$4:$A$13,0)),""))&lt;&gt;"",IFERROR(INDEX('CAT_CENTROS_COSTO'!$E$4:$E$13,MATCH($F480,'CAT_CENTROS_COSTO'!$A$4:$A$13,0)),""),$V480))</f>
        <v/>
      </c>
      <c r="X480" s="3">
        <f>IF($F480="","",IFERROR(INDEX('CAT_CENTROS_COSTO'!$G$4:$G$13,MATCH($F480,'CAT_CENTROS_COSTO'!$A$4:$A$13,0)),"(sin catálogo)"))</f>
        <v/>
      </c>
      <c r="Y480" s="3">
        <f>IF($G480="","",IFERROR(INDEX('CAT_PUESTOS'!$B$4:$B$8,MATCH($G480,'CAT_PUESTOS'!$A$4:$A$8,0)),"(sin catálogo)"))</f>
        <v/>
      </c>
      <c r="Z480" s="3">
        <f>IF($H480="","",IFERROR(INDEX('CAT_ACTIVIDADES'!$B$4:$B$8,MATCH($H480,'CAT_ACTIVIDADES'!$A$4:$A$8,0)),"(sin catálogo)"))</f>
        <v/>
      </c>
      <c r="AA480" s="12">
        <f>IF($J480="","",TODAY()-$J480)</f>
        <v/>
      </c>
      <c r="AB480" s="12">
        <f>IF($J480="","",IF($J480&lt;=TODAY(),COUNTIFS(cal_fechas,"&gt;="&amp;$J480,cal_fechas,"&lt;"&amp;TODAY(),cal_habil,"sí"),-COUNTIFS(cal_fechas,"&gt;="&amp;TODAY(),cal_fechas,"&lt;"&amp;$J480,cal_habil,"sí")))</f>
        <v/>
      </c>
      <c r="AC480" s="3">
        <f>IF($AB480="","",IF($AB480&lt;0,"FUTURO",IF($AB480&gt;p_dias_backlog_max,"BACKLOG","MES CORRIENTE")))</f>
        <v/>
      </c>
      <c r="AD480" s="3">
        <f>IF($AB480="",FALSE,AND($AB480&gt;p_dias_backlog_min,$AB480&lt;=p_dias_backlog_max))</f>
        <v/>
      </c>
      <c r="AE480" s="6" t="n"/>
      <c r="AF480" s="3">
        <f>IF($AE480="","",IF((IFERROR(INDEX('ASIGNACIONES'!$F$4:$F$339,MATCH($O480&amp;"|"&amp;$R480&amp;"|"&amp;$AE480,'ASIGNACIONES'!$J$4:$J$339,0)),""))=0,"",IFERROR(INDEX('ASIGNACIONES'!$F$4:$F$339,MATCH($O480&amp;"|"&amp;$R480&amp;"|"&amp;$AE480,'ASIGNACIONES'!$J$4:$J$339,0)),"")))</f>
        <v/>
      </c>
      <c r="AG480" s="13">
        <f>IF($AE480="","",SUMIFS('ORDENES'!$M$4:$M$1203,'ORDENES'!$AE$4:$AE$1203,$AE480,'ORDENES'!$O$4:$O$1203,$O480,'ORDENES'!$R$4:$R$1203,$R480))</f>
        <v/>
      </c>
      <c r="AH480" s="13">
        <f>IF($AG480="","",p_factor_productividad*IFERROR(INDEX('ASIGNACIONES'!$I$4:$I$339,MATCH($O480&amp;"|"&amp;$R480&amp;"|"&amp;$AE480,'ASIGNACIONES'!$J$4:$J$339,0)),0)-$AG480)</f>
        <v/>
      </c>
      <c r="AI480" s="10">
        <f>IF($A480="","",IFERROR(INDEX('2_IMPORTAR_EJECUCION'!$F$9:$F$1208,MATCH($AQ480,'2_IMPORTAR_EJECUCION'!$J$9:$J$1208,0)),0))</f>
        <v/>
      </c>
      <c r="AJ480" s="10">
        <f>IF($A480="","",MAX(0,IFERROR(INDEX('2_IMPORTAR_EJECUCION'!$H$9:$H$1208,MATCH($AQ480,'2_IMPORTAR_EJECUCION'!$J$9:$J$1208,0)),0)-$AI480))</f>
        <v/>
      </c>
      <c r="AK480" s="10">
        <f>IF($A480="","",$AI480+$AJ480)</f>
        <v/>
      </c>
      <c r="AL480" s="6" t="n"/>
      <c r="AM480" s="6" t="n"/>
      <c r="AN480" s="6" t="n"/>
      <c r="AO480" s="3">
        <f>IF($AN480="","",HYPERLINK(p_ruta_base_checklists&amp;$AN480,"abrir"))</f>
        <v/>
      </c>
      <c r="AP480" s="6" t="n"/>
      <c r="AQ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IF($A481="","",IFERROR(INDEX('AJUSTES'!$B$4:$B$303,MATCH($AQ481,'AJUSTES'!$A$4:$A$303,0)),IF($K481="","",$K481)))</f>
        <v/>
      </c>
      <c r="N481" s="3">
        <f>IF($A481="","",IFERROR(INDEX('CAT_ESTADOS_ERP'!$B$4:$B$7,MATCH(IFERROR(INDEX('2_IMPORTAR_EJECUCION'!$C$9:$C$1208,MATCH($AQ481,'2_IMPORTAR_EJECUCION'!$J$9:$J$1208,0)),""),'CAT_ESTADOS_ERP'!$A$4:$A$7,0)),"Pendiente"))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J481="","",IFERROR(INDEX('CALENDARIO'!$C$15:$C$214,MATCH(TEXT($J481,"yyyy-mm-dd")&amp;"|"&amp;$V481&amp;"|"&amp;$W481,'CALENDARIO'!$G$15:$G$214,0)),IFERROR(INDEX('CALENDARIO'!$C$15:$C$214,MATCH(TEXT($J481,"yyyy-mm-dd")&amp;"|"&amp;$V481&amp;"|",'CALENDARIO'!$G$15:$G$214,0)),IFERROR(INDEX('CALENDARIO'!$C$15:$C$214,MATCH(TEXT($J481,"yyyy-mm-dd")&amp;"||",'CALENDARIO'!$G$15:$G$214,0)),INDEX(patronHabil,WEEKDAY($J481,2))))))</f>
        <v/>
      </c>
      <c r="T481" s="3">
        <f>IF($I481="","",IFERROR(INDEX('CAT_TIPOS_OT'!$C$4:$C$7,MATCH($I481,'CAT_TIPOS_OT'!$A$4:$A$7,0)),"sin_clasificar"))</f>
        <v/>
      </c>
      <c r="U481" s="3">
        <f>IF($F481="","",IFERROR(INDEX('CAT_CENTROS_COSTO'!$F$4:$F$13,MATCH($F481,'CAT_CENTROS_COSTO'!$A$4:$A$13,0)),"(sin catálogo)"))</f>
        <v/>
      </c>
      <c r="V481" s="3">
        <f>IF($F481="","",IFERROR(INDEX('CAT_CENTROS_COSTO'!$D$4:$D$13,MATCH($F481,'CAT_CENTROS_COSTO'!$A$4:$A$13,0)),"(sin catálogo)"))</f>
        <v/>
      </c>
      <c r="W481" s="3">
        <f>IF($F481="","",IF((IFERROR(INDEX('CAT_CENTROS_COSTO'!$E$4:$E$13,MATCH($F481,'CAT_CENTROS_COSTO'!$A$4:$A$13,0)),""))&lt;&gt;"",IFERROR(INDEX('CAT_CENTROS_COSTO'!$E$4:$E$13,MATCH($F481,'CAT_CENTROS_COSTO'!$A$4:$A$13,0)),""),$V481))</f>
        <v/>
      </c>
      <c r="X481" s="3">
        <f>IF($F481="","",IFERROR(INDEX('CAT_CENTROS_COSTO'!$G$4:$G$13,MATCH($F481,'CAT_CENTROS_COSTO'!$A$4:$A$13,0)),"(sin catálogo)"))</f>
        <v/>
      </c>
      <c r="Y481" s="3">
        <f>IF($G481="","",IFERROR(INDEX('CAT_PUESTOS'!$B$4:$B$8,MATCH($G481,'CAT_PUESTOS'!$A$4:$A$8,0)),"(sin catálogo)"))</f>
        <v/>
      </c>
      <c r="Z481" s="3">
        <f>IF($H481="","",IFERROR(INDEX('CAT_ACTIVIDADES'!$B$4:$B$8,MATCH($H481,'CAT_ACTIVIDADES'!$A$4:$A$8,0)),"(sin catálogo)"))</f>
        <v/>
      </c>
      <c r="AA481" s="12">
        <f>IF($J481="","",TODAY()-$J481)</f>
        <v/>
      </c>
      <c r="AB481" s="12">
        <f>IF($J481="","",IF($J481&lt;=TODAY(),COUNTIFS(cal_fechas,"&gt;="&amp;$J481,cal_fechas,"&lt;"&amp;TODAY(),cal_habil,"sí"),-COUNTIFS(cal_fechas,"&gt;="&amp;TODAY(),cal_fechas,"&lt;"&amp;$J481,cal_habil,"sí")))</f>
        <v/>
      </c>
      <c r="AC481" s="3">
        <f>IF($AB481="","",IF($AB481&lt;0,"FUTURO",IF($AB481&gt;p_dias_backlog_max,"BACKLOG","MES CORRIENTE")))</f>
        <v/>
      </c>
      <c r="AD481" s="3">
        <f>IF($AB481="",FALSE,AND($AB481&gt;p_dias_backlog_min,$AB481&lt;=p_dias_backlog_max))</f>
        <v/>
      </c>
      <c r="AE481" s="6" t="n"/>
      <c r="AF481" s="3">
        <f>IF($AE481="","",IF((IFERROR(INDEX('ASIGNACIONES'!$F$4:$F$339,MATCH($O481&amp;"|"&amp;$R481&amp;"|"&amp;$AE481,'ASIGNACIONES'!$J$4:$J$339,0)),""))=0,"",IFERROR(INDEX('ASIGNACIONES'!$F$4:$F$339,MATCH($O481&amp;"|"&amp;$R481&amp;"|"&amp;$AE481,'ASIGNACIONES'!$J$4:$J$339,0)),"")))</f>
        <v/>
      </c>
      <c r="AG481" s="13">
        <f>IF($AE481="","",SUMIFS('ORDENES'!$M$4:$M$1203,'ORDENES'!$AE$4:$AE$1203,$AE481,'ORDENES'!$O$4:$O$1203,$O481,'ORDENES'!$R$4:$R$1203,$R481))</f>
        <v/>
      </c>
      <c r="AH481" s="13">
        <f>IF($AG481="","",p_factor_productividad*IFERROR(INDEX('ASIGNACIONES'!$I$4:$I$339,MATCH($O481&amp;"|"&amp;$R481&amp;"|"&amp;$AE481,'ASIGNACIONES'!$J$4:$J$339,0)),0)-$AG481)</f>
        <v/>
      </c>
      <c r="AI481" s="10">
        <f>IF($A481="","",IFERROR(INDEX('2_IMPORTAR_EJECUCION'!$F$9:$F$1208,MATCH($AQ481,'2_IMPORTAR_EJECUCION'!$J$9:$J$1208,0)),0))</f>
        <v/>
      </c>
      <c r="AJ481" s="10">
        <f>IF($A481="","",MAX(0,IFERROR(INDEX('2_IMPORTAR_EJECUCION'!$H$9:$H$1208,MATCH($AQ481,'2_IMPORTAR_EJECUCION'!$J$9:$J$1208,0)),0)-$AI481))</f>
        <v/>
      </c>
      <c r="AK481" s="10">
        <f>IF($A481="","",$AI481+$AJ481)</f>
        <v/>
      </c>
      <c r="AL481" s="6" t="n"/>
      <c r="AM481" s="6" t="n"/>
      <c r="AN481" s="6" t="n"/>
      <c r="AO481" s="3">
        <f>IF($AN481="","",HYPERLINK(p_ruta_base_checklists&amp;$AN481,"abrir"))</f>
        <v/>
      </c>
      <c r="AP481" s="6" t="n"/>
      <c r="AQ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IF($A482="","",IFERROR(INDEX('AJUSTES'!$B$4:$B$303,MATCH($AQ482,'AJUSTES'!$A$4:$A$303,0)),IF($K482="","",$K482)))</f>
        <v/>
      </c>
      <c r="N482" s="3">
        <f>IF($A482="","",IFERROR(INDEX('CAT_ESTADOS_ERP'!$B$4:$B$7,MATCH(IFERROR(INDEX('2_IMPORTAR_EJECUCION'!$C$9:$C$1208,MATCH($AQ482,'2_IMPORTAR_EJECUCION'!$J$9:$J$1208,0)),""),'CAT_ESTADOS_ERP'!$A$4:$A$7,0)),"Pendiente"))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J482="","",IFERROR(INDEX('CALENDARIO'!$C$15:$C$214,MATCH(TEXT($J482,"yyyy-mm-dd")&amp;"|"&amp;$V482&amp;"|"&amp;$W482,'CALENDARIO'!$G$15:$G$214,0)),IFERROR(INDEX('CALENDARIO'!$C$15:$C$214,MATCH(TEXT($J482,"yyyy-mm-dd")&amp;"|"&amp;$V482&amp;"|",'CALENDARIO'!$G$15:$G$214,0)),IFERROR(INDEX('CALENDARIO'!$C$15:$C$214,MATCH(TEXT($J482,"yyyy-mm-dd")&amp;"||",'CALENDARIO'!$G$15:$G$214,0)),INDEX(patronHabil,WEEKDAY($J482,2))))))</f>
        <v/>
      </c>
      <c r="T482" s="3">
        <f>IF($I482="","",IFERROR(INDEX('CAT_TIPOS_OT'!$C$4:$C$7,MATCH($I482,'CAT_TIPOS_OT'!$A$4:$A$7,0)),"sin_clasificar"))</f>
        <v/>
      </c>
      <c r="U482" s="3">
        <f>IF($F482="","",IFERROR(INDEX('CAT_CENTROS_COSTO'!$F$4:$F$13,MATCH($F482,'CAT_CENTROS_COSTO'!$A$4:$A$13,0)),"(sin catálogo)"))</f>
        <v/>
      </c>
      <c r="V482" s="3">
        <f>IF($F482="","",IFERROR(INDEX('CAT_CENTROS_COSTO'!$D$4:$D$13,MATCH($F482,'CAT_CENTROS_COSTO'!$A$4:$A$13,0)),"(sin catálogo)"))</f>
        <v/>
      </c>
      <c r="W482" s="3">
        <f>IF($F482="","",IF((IFERROR(INDEX('CAT_CENTROS_COSTO'!$E$4:$E$13,MATCH($F482,'CAT_CENTROS_COSTO'!$A$4:$A$13,0)),""))&lt;&gt;"",IFERROR(INDEX('CAT_CENTROS_COSTO'!$E$4:$E$13,MATCH($F482,'CAT_CENTROS_COSTO'!$A$4:$A$13,0)),""),$V482))</f>
        <v/>
      </c>
      <c r="X482" s="3">
        <f>IF($F482="","",IFERROR(INDEX('CAT_CENTROS_COSTO'!$G$4:$G$13,MATCH($F482,'CAT_CENTROS_COSTO'!$A$4:$A$13,0)),"(sin catálogo)"))</f>
        <v/>
      </c>
      <c r="Y482" s="3">
        <f>IF($G482="","",IFERROR(INDEX('CAT_PUESTOS'!$B$4:$B$8,MATCH($G482,'CAT_PUESTOS'!$A$4:$A$8,0)),"(sin catálogo)"))</f>
        <v/>
      </c>
      <c r="Z482" s="3">
        <f>IF($H482="","",IFERROR(INDEX('CAT_ACTIVIDADES'!$B$4:$B$8,MATCH($H482,'CAT_ACTIVIDADES'!$A$4:$A$8,0)),"(sin catálogo)"))</f>
        <v/>
      </c>
      <c r="AA482" s="12">
        <f>IF($J482="","",TODAY()-$J482)</f>
        <v/>
      </c>
      <c r="AB482" s="12">
        <f>IF($J482="","",IF($J482&lt;=TODAY(),COUNTIFS(cal_fechas,"&gt;="&amp;$J482,cal_fechas,"&lt;"&amp;TODAY(),cal_habil,"sí"),-COUNTIFS(cal_fechas,"&gt;="&amp;TODAY(),cal_fechas,"&lt;"&amp;$J482,cal_habil,"sí")))</f>
        <v/>
      </c>
      <c r="AC482" s="3">
        <f>IF($AB482="","",IF($AB482&lt;0,"FUTURO",IF($AB482&gt;p_dias_backlog_max,"BACKLOG","MES CORRIENTE")))</f>
        <v/>
      </c>
      <c r="AD482" s="3">
        <f>IF($AB482="",FALSE,AND($AB482&gt;p_dias_backlog_min,$AB482&lt;=p_dias_backlog_max))</f>
        <v/>
      </c>
      <c r="AE482" s="6" t="n"/>
      <c r="AF482" s="3">
        <f>IF($AE482="","",IF((IFERROR(INDEX('ASIGNACIONES'!$F$4:$F$339,MATCH($O482&amp;"|"&amp;$R482&amp;"|"&amp;$AE482,'ASIGNACIONES'!$J$4:$J$339,0)),""))=0,"",IFERROR(INDEX('ASIGNACIONES'!$F$4:$F$339,MATCH($O482&amp;"|"&amp;$R482&amp;"|"&amp;$AE482,'ASIGNACIONES'!$J$4:$J$339,0)),"")))</f>
        <v/>
      </c>
      <c r="AG482" s="13">
        <f>IF($AE482="","",SUMIFS('ORDENES'!$M$4:$M$1203,'ORDENES'!$AE$4:$AE$1203,$AE482,'ORDENES'!$O$4:$O$1203,$O482,'ORDENES'!$R$4:$R$1203,$R482))</f>
        <v/>
      </c>
      <c r="AH482" s="13">
        <f>IF($AG482="","",p_factor_productividad*IFERROR(INDEX('ASIGNACIONES'!$I$4:$I$339,MATCH($O482&amp;"|"&amp;$R482&amp;"|"&amp;$AE482,'ASIGNACIONES'!$J$4:$J$339,0)),0)-$AG482)</f>
        <v/>
      </c>
      <c r="AI482" s="10">
        <f>IF($A482="","",IFERROR(INDEX('2_IMPORTAR_EJECUCION'!$F$9:$F$1208,MATCH($AQ482,'2_IMPORTAR_EJECUCION'!$J$9:$J$1208,0)),0))</f>
        <v/>
      </c>
      <c r="AJ482" s="10">
        <f>IF($A482="","",MAX(0,IFERROR(INDEX('2_IMPORTAR_EJECUCION'!$H$9:$H$1208,MATCH($AQ482,'2_IMPORTAR_EJECUCION'!$J$9:$J$1208,0)),0)-$AI482))</f>
        <v/>
      </c>
      <c r="AK482" s="10">
        <f>IF($A482="","",$AI482+$AJ482)</f>
        <v/>
      </c>
      <c r="AL482" s="6" t="n"/>
      <c r="AM482" s="6" t="n"/>
      <c r="AN482" s="6" t="n"/>
      <c r="AO482" s="3">
        <f>IF($AN482="","",HYPERLINK(p_ruta_base_checklists&amp;$AN482,"abrir"))</f>
        <v/>
      </c>
      <c r="AP482" s="6" t="n"/>
      <c r="AQ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IF($A483="","",IFERROR(INDEX('AJUSTES'!$B$4:$B$303,MATCH($AQ483,'AJUSTES'!$A$4:$A$303,0)),IF($K483="","",$K483)))</f>
        <v/>
      </c>
      <c r="N483" s="3">
        <f>IF($A483="","",IFERROR(INDEX('CAT_ESTADOS_ERP'!$B$4:$B$7,MATCH(IFERROR(INDEX('2_IMPORTAR_EJECUCION'!$C$9:$C$1208,MATCH($AQ483,'2_IMPORTAR_EJECUCION'!$J$9:$J$1208,0)),""),'CAT_ESTADOS_ERP'!$A$4:$A$7,0)),"Pendiente"))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J483="","",IFERROR(INDEX('CALENDARIO'!$C$15:$C$214,MATCH(TEXT($J483,"yyyy-mm-dd")&amp;"|"&amp;$V483&amp;"|"&amp;$W483,'CALENDARIO'!$G$15:$G$214,0)),IFERROR(INDEX('CALENDARIO'!$C$15:$C$214,MATCH(TEXT($J483,"yyyy-mm-dd")&amp;"|"&amp;$V483&amp;"|",'CALENDARIO'!$G$15:$G$214,0)),IFERROR(INDEX('CALENDARIO'!$C$15:$C$214,MATCH(TEXT($J483,"yyyy-mm-dd")&amp;"||",'CALENDARIO'!$G$15:$G$214,0)),INDEX(patronHabil,WEEKDAY($J483,2))))))</f>
        <v/>
      </c>
      <c r="T483" s="3">
        <f>IF($I483="","",IFERROR(INDEX('CAT_TIPOS_OT'!$C$4:$C$7,MATCH($I483,'CAT_TIPOS_OT'!$A$4:$A$7,0)),"sin_clasificar"))</f>
        <v/>
      </c>
      <c r="U483" s="3">
        <f>IF($F483="","",IFERROR(INDEX('CAT_CENTROS_COSTO'!$F$4:$F$13,MATCH($F483,'CAT_CENTROS_COSTO'!$A$4:$A$13,0)),"(sin catálogo)"))</f>
        <v/>
      </c>
      <c r="V483" s="3">
        <f>IF($F483="","",IFERROR(INDEX('CAT_CENTROS_COSTO'!$D$4:$D$13,MATCH($F483,'CAT_CENTROS_COSTO'!$A$4:$A$13,0)),"(sin catálogo)"))</f>
        <v/>
      </c>
      <c r="W483" s="3">
        <f>IF($F483="","",IF((IFERROR(INDEX('CAT_CENTROS_COSTO'!$E$4:$E$13,MATCH($F483,'CAT_CENTROS_COSTO'!$A$4:$A$13,0)),""))&lt;&gt;"",IFERROR(INDEX('CAT_CENTROS_COSTO'!$E$4:$E$13,MATCH($F483,'CAT_CENTROS_COSTO'!$A$4:$A$13,0)),""),$V483))</f>
        <v/>
      </c>
      <c r="X483" s="3">
        <f>IF($F483="","",IFERROR(INDEX('CAT_CENTROS_COSTO'!$G$4:$G$13,MATCH($F483,'CAT_CENTROS_COSTO'!$A$4:$A$13,0)),"(sin catálogo)"))</f>
        <v/>
      </c>
      <c r="Y483" s="3">
        <f>IF($G483="","",IFERROR(INDEX('CAT_PUESTOS'!$B$4:$B$8,MATCH($G483,'CAT_PUESTOS'!$A$4:$A$8,0)),"(sin catálogo)"))</f>
        <v/>
      </c>
      <c r="Z483" s="3">
        <f>IF($H483="","",IFERROR(INDEX('CAT_ACTIVIDADES'!$B$4:$B$8,MATCH($H483,'CAT_ACTIVIDADES'!$A$4:$A$8,0)),"(sin catálogo)"))</f>
        <v/>
      </c>
      <c r="AA483" s="12">
        <f>IF($J483="","",TODAY()-$J483)</f>
        <v/>
      </c>
      <c r="AB483" s="12">
        <f>IF($J483="","",IF($J483&lt;=TODAY(),COUNTIFS(cal_fechas,"&gt;="&amp;$J483,cal_fechas,"&lt;"&amp;TODAY(),cal_habil,"sí"),-COUNTIFS(cal_fechas,"&gt;="&amp;TODAY(),cal_fechas,"&lt;"&amp;$J483,cal_habil,"sí")))</f>
        <v/>
      </c>
      <c r="AC483" s="3">
        <f>IF($AB483="","",IF($AB483&lt;0,"FUTURO",IF($AB483&gt;p_dias_backlog_max,"BACKLOG","MES CORRIENTE")))</f>
        <v/>
      </c>
      <c r="AD483" s="3">
        <f>IF($AB483="",FALSE,AND($AB483&gt;p_dias_backlog_min,$AB483&lt;=p_dias_backlog_max))</f>
        <v/>
      </c>
      <c r="AE483" s="6" t="n"/>
      <c r="AF483" s="3">
        <f>IF($AE483="","",IF((IFERROR(INDEX('ASIGNACIONES'!$F$4:$F$339,MATCH($O483&amp;"|"&amp;$R483&amp;"|"&amp;$AE483,'ASIGNACIONES'!$J$4:$J$339,0)),""))=0,"",IFERROR(INDEX('ASIGNACIONES'!$F$4:$F$339,MATCH($O483&amp;"|"&amp;$R483&amp;"|"&amp;$AE483,'ASIGNACIONES'!$J$4:$J$339,0)),"")))</f>
        <v/>
      </c>
      <c r="AG483" s="13">
        <f>IF($AE483="","",SUMIFS('ORDENES'!$M$4:$M$1203,'ORDENES'!$AE$4:$AE$1203,$AE483,'ORDENES'!$O$4:$O$1203,$O483,'ORDENES'!$R$4:$R$1203,$R483))</f>
        <v/>
      </c>
      <c r="AH483" s="13">
        <f>IF($AG483="","",p_factor_productividad*IFERROR(INDEX('ASIGNACIONES'!$I$4:$I$339,MATCH($O483&amp;"|"&amp;$R483&amp;"|"&amp;$AE483,'ASIGNACIONES'!$J$4:$J$339,0)),0)-$AG483)</f>
        <v/>
      </c>
      <c r="AI483" s="10">
        <f>IF($A483="","",IFERROR(INDEX('2_IMPORTAR_EJECUCION'!$F$9:$F$1208,MATCH($AQ483,'2_IMPORTAR_EJECUCION'!$J$9:$J$1208,0)),0))</f>
        <v/>
      </c>
      <c r="AJ483" s="10">
        <f>IF($A483="","",MAX(0,IFERROR(INDEX('2_IMPORTAR_EJECUCION'!$H$9:$H$1208,MATCH($AQ483,'2_IMPORTAR_EJECUCION'!$J$9:$J$1208,0)),0)-$AI483))</f>
        <v/>
      </c>
      <c r="AK483" s="10">
        <f>IF($A483="","",$AI483+$AJ483)</f>
        <v/>
      </c>
      <c r="AL483" s="6" t="n"/>
      <c r="AM483" s="6" t="n"/>
      <c r="AN483" s="6" t="n"/>
      <c r="AO483" s="3">
        <f>IF($AN483="","",HYPERLINK(p_ruta_base_checklists&amp;$AN483,"abrir"))</f>
        <v/>
      </c>
      <c r="AP483" s="6" t="n"/>
      <c r="AQ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IF($A484="","",IFERROR(INDEX('AJUSTES'!$B$4:$B$303,MATCH($AQ484,'AJUSTES'!$A$4:$A$303,0)),IF($K484="","",$K484)))</f>
        <v/>
      </c>
      <c r="N484" s="3">
        <f>IF($A484="","",IFERROR(INDEX('CAT_ESTADOS_ERP'!$B$4:$B$7,MATCH(IFERROR(INDEX('2_IMPORTAR_EJECUCION'!$C$9:$C$1208,MATCH($AQ484,'2_IMPORTAR_EJECUCION'!$J$9:$J$1208,0)),""),'CAT_ESTADOS_ERP'!$A$4:$A$7,0)),"Pendiente"))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J484="","",IFERROR(INDEX('CALENDARIO'!$C$15:$C$214,MATCH(TEXT($J484,"yyyy-mm-dd")&amp;"|"&amp;$V484&amp;"|"&amp;$W484,'CALENDARIO'!$G$15:$G$214,0)),IFERROR(INDEX('CALENDARIO'!$C$15:$C$214,MATCH(TEXT($J484,"yyyy-mm-dd")&amp;"|"&amp;$V484&amp;"|",'CALENDARIO'!$G$15:$G$214,0)),IFERROR(INDEX('CALENDARIO'!$C$15:$C$214,MATCH(TEXT($J484,"yyyy-mm-dd")&amp;"||",'CALENDARIO'!$G$15:$G$214,0)),INDEX(patronHabil,WEEKDAY($J484,2))))))</f>
        <v/>
      </c>
      <c r="T484" s="3">
        <f>IF($I484="","",IFERROR(INDEX('CAT_TIPOS_OT'!$C$4:$C$7,MATCH($I484,'CAT_TIPOS_OT'!$A$4:$A$7,0)),"sin_clasificar"))</f>
        <v/>
      </c>
      <c r="U484" s="3">
        <f>IF($F484="","",IFERROR(INDEX('CAT_CENTROS_COSTO'!$F$4:$F$13,MATCH($F484,'CAT_CENTROS_COSTO'!$A$4:$A$13,0)),"(sin catálogo)"))</f>
        <v/>
      </c>
      <c r="V484" s="3">
        <f>IF($F484="","",IFERROR(INDEX('CAT_CENTROS_COSTO'!$D$4:$D$13,MATCH($F484,'CAT_CENTROS_COSTO'!$A$4:$A$13,0)),"(sin catálogo)"))</f>
        <v/>
      </c>
      <c r="W484" s="3">
        <f>IF($F484="","",IF((IFERROR(INDEX('CAT_CENTROS_COSTO'!$E$4:$E$13,MATCH($F484,'CAT_CENTROS_COSTO'!$A$4:$A$13,0)),""))&lt;&gt;"",IFERROR(INDEX('CAT_CENTROS_COSTO'!$E$4:$E$13,MATCH($F484,'CAT_CENTROS_COSTO'!$A$4:$A$13,0)),""),$V484))</f>
        <v/>
      </c>
      <c r="X484" s="3">
        <f>IF($F484="","",IFERROR(INDEX('CAT_CENTROS_COSTO'!$G$4:$G$13,MATCH($F484,'CAT_CENTROS_COSTO'!$A$4:$A$13,0)),"(sin catálogo)"))</f>
        <v/>
      </c>
      <c r="Y484" s="3">
        <f>IF($G484="","",IFERROR(INDEX('CAT_PUESTOS'!$B$4:$B$8,MATCH($G484,'CAT_PUESTOS'!$A$4:$A$8,0)),"(sin catálogo)"))</f>
        <v/>
      </c>
      <c r="Z484" s="3">
        <f>IF($H484="","",IFERROR(INDEX('CAT_ACTIVIDADES'!$B$4:$B$8,MATCH($H484,'CAT_ACTIVIDADES'!$A$4:$A$8,0)),"(sin catálogo)"))</f>
        <v/>
      </c>
      <c r="AA484" s="12">
        <f>IF($J484="","",TODAY()-$J484)</f>
        <v/>
      </c>
      <c r="AB484" s="12">
        <f>IF($J484="","",IF($J484&lt;=TODAY(),COUNTIFS(cal_fechas,"&gt;="&amp;$J484,cal_fechas,"&lt;"&amp;TODAY(),cal_habil,"sí"),-COUNTIFS(cal_fechas,"&gt;="&amp;TODAY(),cal_fechas,"&lt;"&amp;$J484,cal_habil,"sí")))</f>
        <v/>
      </c>
      <c r="AC484" s="3">
        <f>IF($AB484="","",IF($AB484&lt;0,"FUTURO",IF($AB484&gt;p_dias_backlog_max,"BACKLOG","MES CORRIENTE")))</f>
        <v/>
      </c>
      <c r="AD484" s="3">
        <f>IF($AB484="",FALSE,AND($AB484&gt;p_dias_backlog_min,$AB484&lt;=p_dias_backlog_max))</f>
        <v/>
      </c>
      <c r="AE484" s="6" t="n"/>
      <c r="AF484" s="3">
        <f>IF($AE484="","",IF((IFERROR(INDEX('ASIGNACIONES'!$F$4:$F$339,MATCH($O484&amp;"|"&amp;$R484&amp;"|"&amp;$AE484,'ASIGNACIONES'!$J$4:$J$339,0)),""))=0,"",IFERROR(INDEX('ASIGNACIONES'!$F$4:$F$339,MATCH($O484&amp;"|"&amp;$R484&amp;"|"&amp;$AE484,'ASIGNACIONES'!$J$4:$J$339,0)),"")))</f>
        <v/>
      </c>
      <c r="AG484" s="13">
        <f>IF($AE484="","",SUMIFS('ORDENES'!$M$4:$M$1203,'ORDENES'!$AE$4:$AE$1203,$AE484,'ORDENES'!$O$4:$O$1203,$O484,'ORDENES'!$R$4:$R$1203,$R484))</f>
        <v/>
      </c>
      <c r="AH484" s="13">
        <f>IF($AG484="","",p_factor_productividad*IFERROR(INDEX('ASIGNACIONES'!$I$4:$I$339,MATCH($O484&amp;"|"&amp;$R484&amp;"|"&amp;$AE484,'ASIGNACIONES'!$J$4:$J$339,0)),0)-$AG484)</f>
        <v/>
      </c>
      <c r="AI484" s="10">
        <f>IF($A484="","",IFERROR(INDEX('2_IMPORTAR_EJECUCION'!$F$9:$F$1208,MATCH($AQ484,'2_IMPORTAR_EJECUCION'!$J$9:$J$1208,0)),0))</f>
        <v/>
      </c>
      <c r="AJ484" s="10">
        <f>IF($A484="","",MAX(0,IFERROR(INDEX('2_IMPORTAR_EJECUCION'!$H$9:$H$1208,MATCH($AQ484,'2_IMPORTAR_EJECUCION'!$J$9:$J$1208,0)),0)-$AI484))</f>
        <v/>
      </c>
      <c r="AK484" s="10">
        <f>IF($A484="","",$AI484+$AJ484)</f>
        <v/>
      </c>
      <c r="AL484" s="6" t="n"/>
      <c r="AM484" s="6" t="n"/>
      <c r="AN484" s="6" t="n"/>
      <c r="AO484" s="3">
        <f>IF($AN484="","",HYPERLINK(p_ruta_base_checklists&amp;$AN484,"abrir"))</f>
        <v/>
      </c>
      <c r="AP484" s="6" t="n"/>
      <c r="AQ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IF($A485="","",IFERROR(INDEX('AJUSTES'!$B$4:$B$303,MATCH($AQ485,'AJUSTES'!$A$4:$A$303,0)),IF($K485="","",$K485)))</f>
        <v/>
      </c>
      <c r="N485" s="3">
        <f>IF($A485="","",IFERROR(INDEX('CAT_ESTADOS_ERP'!$B$4:$B$7,MATCH(IFERROR(INDEX('2_IMPORTAR_EJECUCION'!$C$9:$C$1208,MATCH($AQ485,'2_IMPORTAR_EJECUCION'!$J$9:$J$1208,0)),""),'CAT_ESTADOS_ERP'!$A$4:$A$7,0)),"Pendiente"))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J485="","",IFERROR(INDEX('CALENDARIO'!$C$15:$C$214,MATCH(TEXT($J485,"yyyy-mm-dd")&amp;"|"&amp;$V485&amp;"|"&amp;$W485,'CALENDARIO'!$G$15:$G$214,0)),IFERROR(INDEX('CALENDARIO'!$C$15:$C$214,MATCH(TEXT($J485,"yyyy-mm-dd")&amp;"|"&amp;$V485&amp;"|",'CALENDARIO'!$G$15:$G$214,0)),IFERROR(INDEX('CALENDARIO'!$C$15:$C$214,MATCH(TEXT($J485,"yyyy-mm-dd")&amp;"||",'CALENDARIO'!$G$15:$G$214,0)),INDEX(patronHabil,WEEKDAY($J485,2))))))</f>
        <v/>
      </c>
      <c r="T485" s="3">
        <f>IF($I485="","",IFERROR(INDEX('CAT_TIPOS_OT'!$C$4:$C$7,MATCH($I485,'CAT_TIPOS_OT'!$A$4:$A$7,0)),"sin_clasificar"))</f>
        <v/>
      </c>
      <c r="U485" s="3">
        <f>IF($F485="","",IFERROR(INDEX('CAT_CENTROS_COSTO'!$F$4:$F$13,MATCH($F485,'CAT_CENTROS_COSTO'!$A$4:$A$13,0)),"(sin catálogo)"))</f>
        <v/>
      </c>
      <c r="V485" s="3">
        <f>IF($F485="","",IFERROR(INDEX('CAT_CENTROS_COSTO'!$D$4:$D$13,MATCH($F485,'CAT_CENTROS_COSTO'!$A$4:$A$13,0)),"(sin catálogo)"))</f>
        <v/>
      </c>
      <c r="W485" s="3">
        <f>IF($F485="","",IF((IFERROR(INDEX('CAT_CENTROS_COSTO'!$E$4:$E$13,MATCH($F485,'CAT_CENTROS_COSTO'!$A$4:$A$13,0)),""))&lt;&gt;"",IFERROR(INDEX('CAT_CENTROS_COSTO'!$E$4:$E$13,MATCH($F485,'CAT_CENTROS_COSTO'!$A$4:$A$13,0)),""),$V485))</f>
        <v/>
      </c>
      <c r="X485" s="3">
        <f>IF($F485="","",IFERROR(INDEX('CAT_CENTROS_COSTO'!$G$4:$G$13,MATCH($F485,'CAT_CENTROS_COSTO'!$A$4:$A$13,0)),"(sin catálogo)"))</f>
        <v/>
      </c>
      <c r="Y485" s="3">
        <f>IF($G485="","",IFERROR(INDEX('CAT_PUESTOS'!$B$4:$B$8,MATCH($G485,'CAT_PUESTOS'!$A$4:$A$8,0)),"(sin catálogo)"))</f>
        <v/>
      </c>
      <c r="Z485" s="3">
        <f>IF($H485="","",IFERROR(INDEX('CAT_ACTIVIDADES'!$B$4:$B$8,MATCH($H485,'CAT_ACTIVIDADES'!$A$4:$A$8,0)),"(sin catálogo)"))</f>
        <v/>
      </c>
      <c r="AA485" s="12">
        <f>IF($J485="","",TODAY()-$J485)</f>
        <v/>
      </c>
      <c r="AB485" s="12">
        <f>IF($J485="","",IF($J485&lt;=TODAY(),COUNTIFS(cal_fechas,"&gt;="&amp;$J485,cal_fechas,"&lt;"&amp;TODAY(),cal_habil,"sí"),-COUNTIFS(cal_fechas,"&gt;="&amp;TODAY(),cal_fechas,"&lt;"&amp;$J485,cal_habil,"sí")))</f>
        <v/>
      </c>
      <c r="AC485" s="3">
        <f>IF($AB485="","",IF($AB485&lt;0,"FUTURO",IF($AB485&gt;p_dias_backlog_max,"BACKLOG","MES CORRIENTE")))</f>
        <v/>
      </c>
      <c r="AD485" s="3">
        <f>IF($AB485="",FALSE,AND($AB485&gt;p_dias_backlog_min,$AB485&lt;=p_dias_backlog_max))</f>
        <v/>
      </c>
      <c r="AE485" s="6" t="n"/>
      <c r="AF485" s="3">
        <f>IF($AE485="","",IF((IFERROR(INDEX('ASIGNACIONES'!$F$4:$F$339,MATCH($O485&amp;"|"&amp;$R485&amp;"|"&amp;$AE485,'ASIGNACIONES'!$J$4:$J$339,0)),""))=0,"",IFERROR(INDEX('ASIGNACIONES'!$F$4:$F$339,MATCH($O485&amp;"|"&amp;$R485&amp;"|"&amp;$AE485,'ASIGNACIONES'!$J$4:$J$339,0)),"")))</f>
        <v/>
      </c>
      <c r="AG485" s="13">
        <f>IF($AE485="","",SUMIFS('ORDENES'!$M$4:$M$1203,'ORDENES'!$AE$4:$AE$1203,$AE485,'ORDENES'!$O$4:$O$1203,$O485,'ORDENES'!$R$4:$R$1203,$R485))</f>
        <v/>
      </c>
      <c r="AH485" s="13">
        <f>IF($AG485="","",p_factor_productividad*IFERROR(INDEX('ASIGNACIONES'!$I$4:$I$339,MATCH($O485&amp;"|"&amp;$R485&amp;"|"&amp;$AE485,'ASIGNACIONES'!$J$4:$J$339,0)),0)-$AG485)</f>
        <v/>
      </c>
      <c r="AI485" s="10">
        <f>IF($A485="","",IFERROR(INDEX('2_IMPORTAR_EJECUCION'!$F$9:$F$1208,MATCH($AQ485,'2_IMPORTAR_EJECUCION'!$J$9:$J$1208,0)),0))</f>
        <v/>
      </c>
      <c r="AJ485" s="10">
        <f>IF($A485="","",MAX(0,IFERROR(INDEX('2_IMPORTAR_EJECUCION'!$H$9:$H$1208,MATCH($AQ485,'2_IMPORTAR_EJECUCION'!$J$9:$J$1208,0)),0)-$AI485))</f>
        <v/>
      </c>
      <c r="AK485" s="10">
        <f>IF($A485="","",$AI485+$AJ485)</f>
        <v/>
      </c>
      <c r="AL485" s="6" t="n"/>
      <c r="AM485" s="6" t="n"/>
      <c r="AN485" s="6" t="n"/>
      <c r="AO485" s="3">
        <f>IF($AN485="","",HYPERLINK(p_ruta_base_checklists&amp;$AN485,"abrir"))</f>
        <v/>
      </c>
      <c r="AP485" s="6" t="n"/>
      <c r="AQ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IF($A486="","",IFERROR(INDEX('AJUSTES'!$B$4:$B$303,MATCH($AQ486,'AJUSTES'!$A$4:$A$303,0)),IF($K486="","",$K486)))</f>
        <v/>
      </c>
      <c r="N486" s="3">
        <f>IF($A486="","",IFERROR(INDEX('CAT_ESTADOS_ERP'!$B$4:$B$7,MATCH(IFERROR(INDEX('2_IMPORTAR_EJECUCION'!$C$9:$C$1208,MATCH($AQ486,'2_IMPORTAR_EJECUCION'!$J$9:$J$1208,0)),""),'CAT_ESTADOS_ERP'!$A$4:$A$7,0)),"Pendiente"))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J486="","",IFERROR(INDEX('CALENDARIO'!$C$15:$C$214,MATCH(TEXT($J486,"yyyy-mm-dd")&amp;"|"&amp;$V486&amp;"|"&amp;$W486,'CALENDARIO'!$G$15:$G$214,0)),IFERROR(INDEX('CALENDARIO'!$C$15:$C$214,MATCH(TEXT($J486,"yyyy-mm-dd")&amp;"|"&amp;$V486&amp;"|",'CALENDARIO'!$G$15:$G$214,0)),IFERROR(INDEX('CALENDARIO'!$C$15:$C$214,MATCH(TEXT($J486,"yyyy-mm-dd")&amp;"||",'CALENDARIO'!$G$15:$G$214,0)),INDEX(patronHabil,WEEKDAY($J486,2))))))</f>
        <v/>
      </c>
      <c r="T486" s="3">
        <f>IF($I486="","",IFERROR(INDEX('CAT_TIPOS_OT'!$C$4:$C$7,MATCH($I486,'CAT_TIPOS_OT'!$A$4:$A$7,0)),"sin_clasificar"))</f>
        <v/>
      </c>
      <c r="U486" s="3">
        <f>IF($F486="","",IFERROR(INDEX('CAT_CENTROS_COSTO'!$F$4:$F$13,MATCH($F486,'CAT_CENTROS_COSTO'!$A$4:$A$13,0)),"(sin catálogo)"))</f>
        <v/>
      </c>
      <c r="V486" s="3">
        <f>IF($F486="","",IFERROR(INDEX('CAT_CENTROS_COSTO'!$D$4:$D$13,MATCH($F486,'CAT_CENTROS_COSTO'!$A$4:$A$13,0)),"(sin catálogo)"))</f>
        <v/>
      </c>
      <c r="W486" s="3">
        <f>IF($F486="","",IF((IFERROR(INDEX('CAT_CENTROS_COSTO'!$E$4:$E$13,MATCH($F486,'CAT_CENTROS_COSTO'!$A$4:$A$13,0)),""))&lt;&gt;"",IFERROR(INDEX('CAT_CENTROS_COSTO'!$E$4:$E$13,MATCH($F486,'CAT_CENTROS_COSTO'!$A$4:$A$13,0)),""),$V486))</f>
        <v/>
      </c>
      <c r="X486" s="3">
        <f>IF($F486="","",IFERROR(INDEX('CAT_CENTROS_COSTO'!$G$4:$G$13,MATCH($F486,'CAT_CENTROS_COSTO'!$A$4:$A$13,0)),"(sin catálogo)"))</f>
        <v/>
      </c>
      <c r="Y486" s="3">
        <f>IF($G486="","",IFERROR(INDEX('CAT_PUESTOS'!$B$4:$B$8,MATCH($G486,'CAT_PUESTOS'!$A$4:$A$8,0)),"(sin catálogo)"))</f>
        <v/>
      </c>
      <c r="Z486" s="3">
        <f>IF($H486="","",IFERROR(INDEX('CAT_ACTIVIDADES'!$B$4:$B$8,MATCH($H486,'CAT_ACTIVIDADES'!$A$4:$A$8,0)),"(sin catálogo)"))</f>
        <v/>
      </c>
      <c r="AA486" s="12">
        <f>IF($J486="","",TODAY()-$J486)</f>
        <v/>
      </c>
      <c r="AB486" s="12">
        <f>IF($J486="","",IF($J486&lt;=TODAY(),COUNTIFS(cal_fechas,"&gt;="&amp;$J486,cal_fechas,"&lt;"&amp;TODAY(),cal_habil,"sí"),-COUNTIFS(cal_fechas,"&gt;="&amp;TODAY(),cal_fechas,"&lt;"&amp;$J486,cal_habil,"sí")))</f>
        <v/>
      </c>
      <c r="AC486" s="3">
        <f>IF($AB486="","",IF($AB486&lt;0,"FUTURO",IF($AB486&gt;p_dias_backlog_max,"BACKLOG","MES CORRIENTE")))</f>
        <v/>
      </c>
      <c r="AD486" s="3">
        <f>IF($AB486="",FALSE,AND($AB486&gt;p_dias_backlog_min,$AB486&lt;=p_dias_backlog_max))</f>
        <v/>
      </c>
      <c r="AE486" s="6" t="n"/>
      <c r="AF486" s="3">
        <f>IF($AE486="","",IF((IFERROR(INDEX('ASIGNACIONES'!$F$4:$F$339,MATCH($O486&amp;"|"&amp;$R486&amp;"|"&amp;$AE486,'ASIGNACIONES'!$J$4:$J$339,0)),""))=0,"",IFERROR(INDEX('ASIGNACIONES'!$F$4:$F$339,MATCH($O486&amp;"|"&amp;$R486&amp;"|"&amp;$AE486,'ASIGNACIONES'!$J$4:$J$339,0)),"")))</f>
        <v/>
      </c>
      <c r="AG486" s="13">
        <f>IF($AE486="","",SUMIFS('ORDENES'!$M$4:$M$1203,'ORDENES'!$AE$4:$AE$1203,$AE486,'ORDENES'!$O$4:$O$1203,$O486,'ORDENES'!$R$4:$R$1203,$R486))</f>
        <v/>
      </c>
      <c r="AH486" s="13">
        <f>IF($AG486="","",p_factor_productividad*IFERROR(INDEX('ASIGNACIONES'!$I$4:$I$339,MATCH($O486&amp;"|"&amp;$R486&amp;"|"&amp;$AE486,'ASIGNACIONES'!$J$4:$J$339,0)),0)-$AG486)</f>
        <v/>
      </c>
      <c r="AI486" s="10">
        <f>IF($A486="","",IFERROR(INDEX('2_IMPORTAR_EJECUCION'!$F$9:$F$1208,MATCH($AQ486,'2_IMPORTAR_EJECUCION'!$J$9:$J$1208,0)),0))</f>
        <v/>
      </c>
      <c r="AJ486" s="10">
        <f>IF($A486="","",MAX(0,IFERROR(INDEX('2_IMPORTAR_EJECUCION'!$H$9:$H$1208,MATCH($AQ486,'2_IMPORTAR_EJECUCION'!$J$9:$J$1208,0)),0)-$AI486))</f>
        <v/>
      </c>
      <c r="AK486" s="10">
        <f>IF($A486="","",$AI486+$AJ486)</f>
        <v/>
      </c>
      <c r="AL486" s="6" t="n"/>
      <c r="AM486" s="6" t="n"/>
      <c r="AN486" s="6" t="n"/>
      <c r="AO486" s="3">
        <f>IF($AN486="","",HYPERLINK(p_ruta_base_checklists&amp;$AN486,"abrir"))</f>
        <v/>
      </c>
      <c r="AP486" s="6" t="n"/>
      <c r="AQ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IF($A487="","",IFERROR(INDEX('AJUSTES'!$B$4:$B$303,MATCH($AQ487,'AJUSTES'!$A$4:$A$303,0)),IF($K487="","",$K487)))</f>
        <v/>
      </c>
      <c r="N487" s="3">
        <f>IF($A487="","",IFERROR(INDEX('CAT_ESTADOS_ERP'!$B$4:$B$7,MATCH(IFERROR(INDEX('2_IMPORTAR_EJECUCION'!$C$9:$C$1208,MATCH($AQ487,'2_IMPORTAR_EJECUCION'!$J$9:$J$1208,0)),""),'CAT_ESTADOS_ERP'!$A$4:$A$7,0)),"Pendiente"))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J487="","",IFERROR(INDEX('CALENDARIO'!$C$15:$C$214,MATCH(TEXT($J487,"yyyy-mm-dd")&amp;"|"&amp;$V487&amp;"|"&amp;$W487,'CALENDARIO'!$G$15:$G$214,0)),IFERROR(INDEX('CALENDARIO'!$C$15:$C$214,MATCH(TEXT($J487,"yyyy-mm-dd")&amp;"|"&amp;$V487&amp;"|",'CALENDARIO'!$G$15:$G$214,0)),IFERROR(INDEX('CALENDARIO'!$C$15:$C$214,MATCH(TEXT($J487,"yyyy-mm-dd")&amp;"||",'CALENDARIO'!$G$15:$G$214,0)),INDEX(patronHabil,WEEKDAY($J487,2))))))</f>
        <v/>
      </c>
      <c r="T487" s="3">
        <f>IF($I487="","",IFERROR(INDEX('CAT_TIPOS_OT'!$C$4:$C$7,MATCH($I487,'CAT_TIPOS_OT'!$A$4:$A$7,0)),"sin_clasificar"))</f>
        <v/>
      </c>
      <c r="U487" s="3">
        <f>IF($F487="","",IFERROR(INDEX('CAT_CENTROS_COSTO'!$F$4:$F$13,MATCH($F487,'CAT_CENTROS_COSTO'!$A$4:$A$13,0)),"(sin catálogo)"))</f>
        <v/>
      </c>
      <c r="V487" s="3">
        <f>IF($F487="","",IFERROR(INDEX('CAT_CENTROS_COSTO'!$D$4:$D$13,MATCH($F487,'CAT_CENTROS_COSTO'!$A$4:$A$13,0)),"(sin catálogo)"))</f>
        <v/>
      </c>
      <c r="W487" s="3">
        <f>IF($F487="","",IF((IFERROR(INDEX('CAT_CENTROS_COSTO'!$E$4:$E$13,MATCH($F487,'CAT_CENTROS_COSTO'!$A$4:$A$13,0)),""))&lt;&gt;"",IFERROR(INDEX('CAT_CENTROS_COSTO'!$E$4:$E$13,MATCH($F487,'CAT_CENTROS_COSTO'!$A$4:$A$13,0)),""),$V487))</f>
        <v/>
      </c>
      <c r="X487" s="3">
        <f>IF($F487="","",IFERROR(INDEX('CAT_CENTROS_COSTO'!$G$4:$G$13,MATCH($F487,'CAT_CENTROS_COSTO'!$A$4:$A$13,0)),"(sin catálogo)"))</f>
        <v/>
      </c>
      <c r="Y487" s="3">
        <f>IF($G487="","",IFERROR(INDEX('CAT_PUESTOS'!$B$4:$B$8,MATCH($G487,'CAT_PUESTOS'!$A$4:$A$8,0)),"(sin catálogo)"))</f>
        <v/>
      </c>
      <c r="Z487" s="3">
        <f>IF($H487="","",IFERROR(INDEX('CAT_ACTIVIDADES'!$B$4:$B$8,MATCH($H487,'CAT_ACTIVIDADES'!$A$4:$A$8,0)),"(sin catálogo)"))</f>
        <v/>
      </c>
      <c r="AA487" s="12">
        <f>IF($J487="","",TODAY()-$J487)</f>
        <v/>
      </c>
      <c r="AB487" s="12">
        <f>IF($J487="","",IF($J487&lt;=TODAY(),COUNTIFS(cal_fechas,"&gt;="&amp;$J487,cal_fechas,"&lt;"&amp;TODAY(),cal_habil,"sí"),-COUNTIFS(cal_fechas,"&gt;="&amp;TODAY(),cal_fechas,"&lt;"&amp;$J487,cal_habil,"sí")))</f>
        <v/>
      </c>
      <c r="AC487" s="3">
        <f>IF($AB487="","",IF($AB487&lt;0,"FUTURO",IF($AB487&gt;p_dias_backlog_max,"BACKLOG","MES CORRIENTE")))</f>
        <v/>
      </c>
      <c r="AD487" s="3">
        <f>IF($AB487="",FALSE,AND($AB487&gt;p_dias_backlog_min,$AB487&lt;=p_dias_backlog_max))</f>
        <v/>
      </c>
      <c r="AE487" s="6" t="n"/>
      <c r="AF487" s="3">
        <f>IF($AE487="","",IF((IFERROR(INDEX('ASIGNACIONES'!$F$4:$F$339,MATCH($O487&amp;"|"&amp;$R487&amp;"|"&amp;$AE487,'ASIGNACIONES'!$J$4:$J$339,0)),""))=0,"",IFERROR(INDEX('ASIGNACIONES'!$F$4:$F$339,MATCH($O487&amp;"|"&amp;$R487&amp;"|"&amp;$AE487,'ASIGNACIONES'!$J$4:$J$339,0)),"")))</f>
        <v/>
      </c>
      <c r="AG487" s="13">
        <f>IF($AE487="","",SUMIFS('ORDENES'!$M$4:$M$1203,'ORDENES'!$AE$4:$AE$1203,$AE487,'ORDENES'!$O$4:$O$1203,$O487,'ORDENES'!$R$4:$R$1203,$R487))</f>
        <v/>
      </c>
      <c r="AH487" s="13">
        <f>IF($AG487="","",p_factor_productividad*IFERROR(INDEX('ASIGNACIONES'!$I$4:$I$339,MATCH($O487&amp;"|"&amp;$R487&amp;"|"&amp;$AE487,'ASIGNACIONES'!$J$4:$J$339,0)),0)-$AG487)</f>
        <v/>
      </c>
      <c r="AI487" s="10">
        <f>IF($A487="","",IFERROR(INDEX('2_IMPORTAR_EJECUCION'!$F$9:$F$1208,MATCH($AQ487,'2_IMPORTAR_EJECUCION'!$J$9:$J$1208,0)),0))</f>
        <v/>
      </c>
      <c r="AJ487" s="10">
        <f>IF($A487="","",MAX(0,IFERROR(INDEX('2_IMPORTAR_EJECUCION'!$H$9:$H$1208,MATCH($AQ487,'2_IMPORTAR_EJECUCION'!$J$9:$J$1208,0)),0)-$AI487))</f>
        <v/>
      </c>
      <c r="AK487" s="10">
        <f>IF($A487="","",$AI487+$AJ487)</f>
        <v/>
      </c>
      <c r="AL487" s="6" t="n"/>
      <c r="AM487" s="6" t="n"/>
      <c r="AN487" s="6" t="n"/>
      <c r="AO487" s="3">
        <f>IF($AN487="","",HYPERLINK(p_ruta_base_checklists&amp;$AN487,"abrir"))</f>
        <v/>
      </c>
      <c r="AP487" s="6" t="n"/>
      <c r="AQ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IF($A488="","",IFERROR(INDEX('AJUSTES'!$B$4:$B$303,MATCH($AQ488,'AJUSTES'!$A$4:$A$303,0)),IF($K488="","",$K488)))</f>
        <v/>
      </c>
      <c r="N488" s="3">
        <f>IF($A488="","",IFERROR(INDEX('CAT_ESTADOS_ERP'!$B$4:$B$7,MATCH(IFERROR(INDEX('2_IMPORTAR_EJECUCION'!$C$9:$C$1208,MATCH($AQ488,'2_IMPORTAR_EJECUCION'!$J$9:$J$1208,0)),""),'CAT_ESTADOS_ERP'!$A$4:$A$7,0)),"Pendiente"))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J488="","",IFERROR(INDEX('CALENDARIO'!$C$15:$C$214,MATCH(TEXT($J488,"yyyy-mm-dd")&amp;"|"&amp;$V488&amp;"|"&amp;$W488,'CALENDARIO'!$G$15:$G$214,0)),IFERROR(INDEX('CALENDARIO'!$C$15:$C$214,MATCH(TEXT($J488,"yyyy-mm-dd")&amp;"|"&amp;$V488&amp;"|",'CALENDARIO'!$G$15:$G$214,0)),IFERROR(INDEX('CALENDARIO'!$C$15:$C$214,MATCH(TEXT($J488,"yyyy-mm-dd")&amp;"||",'CALENDARIO'!$G$15:$G$214,0)),INDEX(patronHabil,WEEKDAY($J488,2))))))</f>
        <v/>
      </c>
      <c r="T488" s="3">
        <f>IF($I488="","",IFERROR(INDEX('CAT_TIPOS_OT'!$C$4:$C$7,MATCH($I488,'CAT_TIPOS_OT'!$A$4:$A$7,0)),"sin_clasificar"))</f>
        <v/>
      </c>
      <c r="U488" s="3">
        <f>IF($F488="","",IFERROR(INDEX('CAT_CENTROS_COSTO'!$F$4:$F$13,MATCH($F488,'CAT_CENTROS_COSTO'!$A$4:$A$13,0)),"(sin catálogo)"))</f>
        <v/>
      </c>
      <c r="V488" s="3">
        <f>IF($F488="","",IFERROR(INDEX('CAT_CENTROS_COSTO'!$D$4:$D$13,MATCH($F488,'CAT_CENTROS_COSTO'!$A$4:$A$13,0)),"(sin catálogo)"))</f>
        <v/>
      </c>
      <c r="W488" s="3">
        <f>IF($F488="","",IF((IFERROR(INDEX('CAT_CENTROS_COSTO'!$E$4:$E$13,MATCH($F488,'CAT_CENTROS_COSTO'!$A$4:$A$13,0)),""))&lt;&gt;"",IFERROR(INDEX('CAT_CENTROS_COSTO'!$E$4:$E$13,MATCH($F488,'CAT_CENTROS_COSTO'!$A$4:$A$13,0)),""),$V488))</f>
        <v/>
      </c>
      <c r="X488" s="3">
        <f>IF($F488="","",IFERROR(INDEX('CAT_CENTROS_COSTO'!$G$4:$G$13,MATCH($F488,'CAT_CENTROS_COSTO'!$A$4:$A$13,0)),"(sin catálogo)"))</f>
        <v/>
      </c>
      <c r="Y488" s="3">
        <f>IF($G488="","",IFERROR(INDEX('CAT_PUESTOS'!$B$4:$B$8,MATCH($G488,'CAT_PUESTOS'!$A$4:$A$8,0)),"(sin catálogo)"))</f>
        <v/>
      </c>
      <c r="Z488" s="3">
        <f>IF($H488="","",IFERROR(INDEX('CAT_ACTIVIDADES'!$B$4:$B$8,MATCH($H488,'CAT_ACTIVIDADES'!$A$4:$A$8,0)),"(sin catálogo)"))</f>
        <v/>
      </c>
      <c r="AA488" s="12">
        <f>IF($J488="","",TODAY()-$J488)</f>
        <v/>
      </c>
      <c r="AB488" s="12">
        <f>IF($J488="","",IF($J488&lt;=TODAY(),COUNTIFS(cal_fechas,"&gt;="&amp;$J488,cal_fechas,"&lt;"&amp;TODAY(),cal_habil,"sí"),-COUNTIFS(cal_fechas,"&gt;="&amp;TODAY(),cal_fechas,"&lt;"&amp;$J488,cal_habil,"sí")))</f>
        <v/>
      </c>
      <c r="AC488" s="3">
        <f>IF($AB488="","",IF($AB488&lt;0,"FUTURO",IF($AB488&gt;p_dias_backlog_max,"BACKLOG","MES CORRIENTE")))</f>
        <v/>
      </c>
      <c r="AD488" s="3">
        <f>IF($AB488="",FALSE,AND($AB488&gt;p_dias_backlog_min,$AB488&lt;=p_dias_backlog_max))</f>
        <v/>
      </c>
      <c r="AE488" s="6" t="n"/>
      <c r="AF488" s="3">
        <f>IF($AE488="","",IF((IFERROR(INDEX('ASIGNACIONES'!$F$4:$F$339,MATCH($O488&amp;"|"&amp;$R488&amp;"|"&amp;$AE488,'ASIGNACIONES'!$J$4:$J$339,0)),""))=0,"",IFERROR(INDEX('ASIGNACIONES'!$F$4:$F$339,MATCH($O488&amp;"|"&amp;$R488&amp;"|"&amp;$AE488,'ASIGNACIONES'!$J$4:$J$339,0)),"")))</f>
        <v/>
      </c>
      <c r="AG488" s="13">
        <f>IF($AE488="","",SUMIFS('ORDENES'!$M$4:$M$1203,'ORDENES'!$AE$4:$AE$1203,$AE488,'ORDENES'!$O$4:$O$1203,$O488,'ORDENES'!$R$4:$R$1203,$R488))</f>
        <v/>
      </c>
      <c r="AH488" s="13">
        <f>IF($AG488="","",p_factor_productividad*IFERROR(INDEX('ASIGNACIONES'!$I$4:$I$339,MATCH($O488&amp;"|"&amp;$R488&amp;"|"&amp;$AE488,'ASIGNACIONES'!$J$4:$J$339,0)),0)-$AG488)</f>
        <v/>
      </c>
      <c r="AI488" s="10">
        <f>IF($A488="","",IFERROR(INDEX('2_IMPORTAR_EJECUCION'!$F$9:$F$1208,MATCH($AQ488,'2_IMPORTAR_EJECUCION'!$J$9:$J$1208,0)),0))</f>
        <v/>
      </c>
      <c r="AJ488" s="10">
        <f>IF($A488="","",MAX(0,IFERROR(INDEX('2_IMPORTAR_EJECUCION'!$H$9:$H$1208,MATCH($AQ488,'2_IMPORTAR_EJECUCION'!$J$9:$J$1208,0)),0)-$AI488))</f>
        <v/>
      </c>
      <c r="AK488" s="10">
        <f>IF($A488="","",$AI488+$AJ488)</f>
        <v/>
      </c>
      <c r="AL488" s="6" t="n"/>
      <c r="AM488" s="6" t="n"/>
      <c r="AN488" s="6" t="n"/>
      <c r="AO488" s="3">
        <f>IF($AN488="","",HYPERLINK(p_ruta_base_checklists&amp;$AN488,"abrir"))</f>
        <v/>
      </c>
      <c r="AP488" s="6" t="n"/>
      <c r="AQ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IF($A489="","",IFERROR(INDEX('AJUSTES'!$B$4:$B$303,MATCH($AQ489,'AJUSTES'!$A$4:$A$303,0)),IF($K489="","",$K489)))</f>
        <v/>
      </c>
      <c r="N489" s="3">
        <f>IF($A489="","",IFERROR(INDEX('CAT_ESTADOS_ERP'!$B$4:$B$7,MATCH(IFERROR(INDEX('2_IMPORTAR_EJECUCION'!$C$9:$C$1208,MATCH($AQ489,'2_IMPORTAR_EJECUCION'!$J$9:$J$1208,0)),""),'CAT_ESTADOS_ERP'!$A$4:$A$7,0)),"Pendiente"))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J489="","",IFERROR(INDEX('CALENDARIO'!$C$15:$C$214,MATCH(TEXT($J489,"yyyy-mm-dd")&amp;"|"&amp;$V489&amp;"|"&amp;$W489,'CALENDARIO'!$G$15:$G$214,0)),IFERROR(INDEX('CALENDARIO'!$C$15:$C$214,MATCH(TEXT($J489,"yyyy-mm-dd")&amp;"|"&amp;$V489&amp;"|",'CALENDARIO'!$G$15:$G$214,0)),IFERROR(INDEX('CALENDARIO'!$C$15:$C$214,MATCH(TEXT($J489,"yyyy-mm-dd")&amp;"||",'CALENDARIO'!$G$15:$G$214,0)),INDEX(patronHabil,WEEKDAY($J489,2))))))</f>
        <v/>
      </c>
      <c r="T489" s="3">
        <f>IF($I489="","",IFERROR(INDEX('CAT_TIPOS_OT'!$C$4:$C$7,MATCH($I489,'CAT_TIPOS_OT'!$A$4:$A$7,0)),"sin_clasificar"))</f>
        <v/>
      </c>
      <c r="U489" s="3">
        <f>IF($F489="","",IFERROR(INDEX('CAT_CENTROS_COSTO'!$F$4:$F$13,MATCH($F489,'CAT_CENTROS_COSTO'!$A$4:$A$13,0)),"(sin catálogo)"))</f>
        <v/>
      </c>
      <c r="V489" s="3">
        <f>IF($F489="","",IFERROR(INDEX('CAT_CENTROS_COSTO'!$D$4:$D$13,MATCH($F489,'CAT_CENTROS_COSTO'!$A$4:$A$13,0)),"(sin catálogo)"))</f>
        <v/>
      </c>
      <c r="W489" s="3">
        <f>IF($F489="","",IF((IFERROR(INDEX('CAT_CENTROS_COSTO'!$E$4:$E$13,MATCH($F489,'CAT_CENTROS_COSTO'!$A$4:$A$13,0)),""))&lt;&gt;"",IFERROR(INDEX('CAT_CENTROS_COSTO'!$E$4:$E$13,MATCH($F489,'CAT_CENTROS_COSTO'!$A$4:$A$13,0)),""),$V489))</f>
        <v/>
      </c>
      <c r="X489" s="3">
        <f>IF($F489="","",IFERROR(INDEX('CAT_CENTROS_COSTO'!$G$4:$G$13,MATCH($F489,'CAT_CENTROS_COSTO'!$A$4:$A$13,0)),"(sin catálogo)"))</f>
        <v/>
      </c>
      <c r="Y489" s="3">
        <f>IF($G489="","",IFERROR(INDEX('CAT_PUESTOS'!$B$4:$B$8,MATCH($G489,'CAT_PUESTOS'!$A$4:$A$8,0)),"(sin catálogo)"))</f>
        <v/>
      </c>
      <c r="Z489" s="3">
        <f>IF($H489="","",IFERROR(INDEX('CAT_ACTIVIDADES'!$B$4:$B$8,MATCH($H489,'CAT_ACTIVIDADES'!$A$4:$A$8,0)),"(sin catálogo)"))</f>
        <v/>
      </c>
      <c r="AA489" s="12">
        <f>IF($J489="","",TODAY()-$J489)</f>
        <v/>
      </c>
      <c r="AB489" s="12">
        <f>IF($J489="","",IF($J489&lt;=TODAY(),COUNTIFS(cal_fechas,"&gt;="&amp;$J489,cal_fechas,"&lt;"&amp;TODAY(),cal_habil,"sí"),-COUNTIFS(cal_fechas,"&gt;="&amp;TODAY(),cal_fechas,"&lt;"&amp;$J489,cal_habil,"sí")))</f>
        <v/>
      </c>
      <c r="AC489" s="3">
        <f>IF($AB489="","",IF($AB489&lt;0,"FUTURO",IF($AB489&gt;p_dias_backlog_max,"BACKLOG","MES CORRIENTE")))</f>
        <v/>
      </c>
      <c r="AD489" s="3">
        <f>IF($AB489="",FALSE,AND($AB489&gt;p_dias_backlog_min,$AB489&lt;=p_dias_backlog_max))</f>
        <v/>
      </c>
      <c r="AE489" s="6" t="n"/>
      <c r="AF489" s="3">
        <f>IF($AE489="","",IF((IFERROR(INDEX('ASIGNACIONES'!$F$4:$F$339,MATCH($O489&amp;"|"&amp;$R489&amp;"|"&amp;$AE489,'ASIGNACIONES'!$J$4:$J$339,0)),""))=0,"",IFERROR(INDEX('ASIGNACIONES'!$F$4:$F$339,MATCH($O489&amp;"|"&amp;$R489&amp;"|"&amp;$AE489,'ASIGNACIONES'!$J$4:$J$339,0)),"")))</f>
        <v/>
      </c>
      <c r="AG489" s="13">
        <f>IF($AE489="","",SUMIFS('ORDENES'!$M$4:$M$1203,'ORDENES'!$AE$4:$AE$1203,$AE489,'ORDENES'!$O$4:$O$1203,$O489,'ORDENES'!$R$4:$R$1203,$R489))</f>
        <v/>
      </c>
      <c r="AH489" s="13">
        <f>IF($AG489="","",p_factor_productividad*IFERROR(INDEX('ASIGNACIONES'!$I$4:$I$339,MATCH($O489&amp;"|"&amp;$R489&amp;"|"&amp;$AE489,'ASIGNACIONES'!$J$4:$J$339,0)),0)-$AG489)</f>
        <v/>
      </c>
      <c r="AI489" s="10">
        <f>IF($A489="","",IFERROR(INDEX('2_IMPORTAR_EJECUCION'!$F$9:$F$1208,MATCH($AQ489,'2_IMPORTAR_EJECUCION'!$J$9:$J$1208,0)),0))</f>
        <v/>
      </c>
      <c r="AJ489" s="10">
        <f>IF($A489="","",MAX(0,IFERROR(INDEX('2_IMPORTAR_EJECUCION'!$H$9:$H$1208,MATCH($AQ489,'2_IMPORTAR_EJECUCION'!$J$9:$J$1208,0)),0)-$AI489))</f>
        <v/>
      </c>
      <c r="AK489" s="10">
        <f>IF($A489="","",$AI489+$AJ489)</f>
        <v/>
      </c>
      <c r="AL489" s="6" t="n"/>
      <c r="AM489" s="6" t="n"/>
      <c r="AN489" s="6" t="n"/>
      <c r="AO489" s="3">
        <f>IF($AN489="","",HYPERLINK(p_ruta_base_checklists&amp;$AN489,"abrir"))</f>
        <v/>
      </c>
      <c r="AP489" s="6" t="n"/>
      <c r="AQ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IF($A490="","",IFERROR(INDEX('AJUSTES'!$B$4:$B$303,MATCH($AQ490,'AJUSTES'!$A$4:$A$303,0)),IF($K490="","",$K490)))</f>
        <v/>
      </c>
      <c r="N490" s="3">
        <f>IF($A490="","",IFERROR(INDEX('CAT_ESTADOS_ERP'!$B$4:$B$7,MATCH(IFERROR(INDEX('2_IMPORTAR_EJECUCION'!$C$9:$C$1208,MATCH($AQ490,'2_IMPORTAR_EJECUCION'!$J$9:$J$1208,0)),""),'CAT_ESTADOS_ERP'!$A$4:$A$7,0)),"Pendiente"))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J490="","",IFERROR(INDEX('CALENDARIO'!$C$15:$C$214,MATCH(TEXT($J490,"yyyy-mm-dd")&amp;"|"&amp;$V490&amp;"|"&amp;$W490,'CALENDARIO'!$G$15:$G$214,0)),IFERROR(INDEX('CALENDARIO'!$C$15:$C$214,MATCH(TEXT($J490,"yyyy-mm-dd")&amp;"|"&amp;$V490&amp;"|",'CALENDARIO'!$G$15:$G$214,0)),IFERROR(INDEX('CALENDARIO'!$C$15:$C$214,MATCH(TEXT($J490,"yyyy-mm-dd")&amp;"||",'CALENDARIO'!$G$15:$G$214,0)),INDEX(patronHabil,WEEKDAY($J490,2))))))</f>
        <v/>
      </c>
      <c r="T490" s="3">
        <f>IF($I490="","",IFERROR(INDEX('CAT_TIPOS_OT'!$C$4:$C$7,MATCH($I490,'CAT_TIPOS_OT'!$A$4:$A$7,0)),"sin_clasificar"))</f>
        <v/>
      </c>
      <c r="U490" s="3">
        <f>IF($F490="","",IFERROR(INDEX('CAT_CENTROS_COSTO'!$F$4:$F$13,MATCH($F490,'CAT_CENTROS_COSTO'!$A$4:$A$13,0)),"(sin catálogo)"))</f>
        <v/>
      </c>
      <c r="V490" s="3">
        <f>IF($F490="","",IFERROR(INDEX('CAT_CENTROS_COSTO'!$D$4:$D$13,MATCH($F490,'CAT_CENTROS_COSTO'!$A$4:$A$13,0)),"(sin catálogo)"))</f>
        <v/>
      </c>
      <c r="W490" s="3">
        <f>IF($F490="","",IF((IFERROR(INDEX('CAT_CENTROS_COSTO'!$E$4:$E$13,MATCH($F490,'CAT_CENTROS_COSTO'!$A$4:$A$13,0)),""))&lt;&gt;"",IFERROR(INDEX('CAT_CENTROS_COSTO'!$E$4:$E$13,MATCH($F490,'CAT_CENTROS_COSTO'!$A$4:$A$13,0)),""),$V490))</f>
        <v/>
      </c>
      <c r="X490" s="3">
        <f>IF($F490="","",IFERROR(INDEX('CAT_CENTROS_COSTO'!$G$4:$G$13,MATCH($F490,'CAT_CENTROS_COSTO'!$A$4:$A$13,0)),"(sin catálogo)"))</f>
        <v/>
      </c>
      <c r="Y490" s="3">
        <f>IF($G490="","",IFERROR(INDEX('CAT_PUESTOS'!$B$4:$B$8,MATCH($G490,'CAT_PUESTOS'!$A$4:$A$8,0)),"(sin catálogo)"))</f>
        <v/>
      </c>
      <c r="Z490" s="3">
        <f>IF($H490="","",IFERROR(INDEX('CAT_ACTIVIDADES'!$B$4:$B$8,MATCH($H490,'CAT_ACTIVIDADES'!$A$4:$A$8,0)),"(sin catálogo)"))</f>
        <v/>
      </c>
      <c r="AA490" s="12">
        <f>IF($J490="","",TODAY()-$J490)</f>
        <v/>
      </c>
      <c r="AB490" s="12">
        <f>IF($J490="","",IF($J490&lt;=TODAY(),COUNTIFS(cal_fechas,"&gt;="&amp;$J490,cal_fechas,"&lt;"&amp;TODAY(),cal_habil,"sí"),-COUNTIFS(cal_fechas,"&gt;="&amp;TODAY(),cal_fechas,"&lt;"&amp;$J490,cal_habil,"sí")))</f>
        <v/>
      </c>
      <c r="AC490" s="3">
        <f>IF($AB490="","",IF($AB490&lt;0,"FUTURO",IF($AB490&gt;p_dias_backlog_max,"BACKLOG","MES CORRIENTE")))</f>
        <v/>
      </c>
      <c r="AD490" s="3">
        <f>IF($AB490="",FALSE,AND($AB490&gt;p_dias_backlog_min,$AB490&lt;=p_dias_backlog_max))</f>
        <v/>
      </c>
      <c r="AE490" s="6" t="n"/>
      <c r="AF490" s="3">
        <f>IF($AE490="","",IF((IFERROR(INDEX('ASIGNACIONES'!$F$4:$F$339,MATCH($O490&amp;"|"&amp;$R490&amp;"|"&amp;$AE490,'ASIGNACIONES'!$J$4:$J$339,0)),""))=0,"",IFERROR(INDEX('ASIGNACIONES'!$F$4:$F$339,MATCH($O490&amp;"|"&amp;$R490&amp;"|"&amp;$AE490,'ASIGNACIONES'!$J$4:$J$339,0)),"")))</f>
        <v/>
      </c>
      <c r="AG490" s="13">
        <f>IF($AE490="","",SUMIFS('ORDENES'!$M$4:$M$1203,'ORDENES'!$AE$4:$AE$1203,$AE490,'ORDENES'!$O$4:$O$1203,$O490,'ORDENES'!$R$4:$R$1203,$R490))</f>
        <v/>
      </c>
      <c r="AH490" s="13">
        <f>IF($AG490="","",p_factor_productividad*IFERROR(INDEX('ASIGNACIONES'!$I$4:$I$339,MATCH($O490&amp;"|"&amp;$R490&amp;"|"&amp;$AE490,'ASIGNACIONES'!$J$4:$J$339,0)),0)-$AG490)</f>
        <v/>
      </c>
      <c r="AI490" s="10">
        <f>IF($A490="","",IFERROR(INDEX('2_IMPORTAR_EJECUCION'!$F$9:$F$1208,MATCH($AQ490,'2_IMPORTAR_EJECUCION'!$J$9:$J$1208,0)),0))</f>
        <v/>
      </c>
      <c r="AJ490" s="10">
        <f>IF($A490="","",MAX(0,IFERROR(INDEX('2_IMPORTAR_EJECUCION'!$H$9:$H$1208,MATCH($AQ490,'2_IMPORTAR_EJECUCION'!$J$9:$J$1208,0)),0)-$AI490))</f>
        <v/>
      </c>
      <c r="AK490" s="10">
        <f>IF($A490="","",$AI490+$AJ490)</f>
        <v/>
      </c>
      <c r="AL490" s="6" t="n"/>
      <c r="AM490" s="6" t="n"/>
      <c r="AN490" s="6" t="n"/>
      <c r="AO490" s="3">
        <f>IF($AN490="","",HYPERLINK(p_ruta_base_checklists&amp;$AN490,"abrir"))</f>
        <v/>
      </c>
      <c r="AP490" s="6" t="n"/>
      <c r="AQ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IF($A491="","",IFERROR(INDEX('AJUSTES'!$B$4:$B$303,MATCH($AQ491,'AJUSTES'!$A$4:$A$303,0)),IF($K491="","",$K491)))</f>
        <v/>
      </c>
      <c r="N491" s="3">
        <f>IF($A491="","",IFERROR(INDEX('CAT_ESTADOS_ERP'!$B$4:$B$7,MATCH(IFERROR(INDEX('2_IMPORTAR_EJECUCION'!$C$9:$C$1208,MATCH($AQ491,'2_IMPORTAR_EJECUCION'!$J$9:$J$1208,0)),""),'CAT_ESTADOS_ERP'!$A$4:$A$7,0)),"Pendiente"))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J491="","",IFERROR(INDEX('CALENDARIO'!$C$15:$C$214,MATCH(TEXT($J491,"yyyy-mm-dd")&amp;"|"&amp;$V491&amp;"|"&amp;$W491,'CALENDARIO'!$G$15:$G$214,0)),IFERROR(INDEX('CALENDARIO'!$C$15:$C$214,MATCH(TEXT($J491,"yyyy-mm-dd")&amp;"|"&amp;$V491&amp;"|",'CALENDARIO'!$G$15:$G$214,0)),IFERROR(INDEX('CALENDARIO'!$C$15:$C$214,MATCH(TEXT($J491,"yyyy-mm-dd")&amp;"||",'CALENDARIO'!$G$15:$G$214,0)),INDEX(patronHabil,WEEKDAY($J491,2))))))</f>
        <v/>
      </c>
      <c r="T491" s="3">
        <f>IF($I491="","",IFERROR(INDEX('CAT_TIPOS_OT'!$C$4:$C$7,MATCH($I491,'CAT_TIPOS_OT'!$A$4:$A$7,0)),"sin_clasificar"))</f>
        <v/>
      </c>
      <c r="U491" s="3">
        <f>IF($F491="","",IFERROR(INDEX('CAT_CENTROS_COSTO'!$F$4:$F$13,MATCH($F491,'CAT_CENTROS_COSTO'!$A$4:$A$13,0)),"(sin catálogo)"))</f>
        <v/>
      </c>
      <c r="V491" s="3">
        <f>IF($F491="","",IFERROR(INDEX('CAT_CENTROS_COSTO'!$D$4:$D$13,MATCH($F491,'CAT_CENTROS_COSTO'!$A$4:$A$13,0)),"(sin catálogo)"))</f>
        <v/>
      </c>
      <c r="W491" s="3">
        <f>IF($F491="","",IF((IFERROR(INDEX('CAT_CENTROS_COSTO'!$E$4:$E$13,MATCH($F491,'CAT_CENTROS_COSTO'!$A$4:$A$13,0)),""))&lt;&gt;"",IFERROR(INDEX('CAT_CENTROS_COSTO'!$E$4:$E$13,MATCH($F491,'CAT_CENTROS_COSTO'!$A$4:$A$13,0)),""),$V491))</f>
        <v/>
      </c>
      <c r="X491" s="3">
        <f>IF($F491="","",IFERROR(INDEX('CAT_CENTROS_COSTO'!$G$4:$G$13,MATCH($F491,'CAT_CENTROS_COSTO'!$A$4:$A$13,0)),"(sin catálogo)"))</f>
        <v/>
      </c>
      <c r="Y491" s="3">
        <f>IF($G491="","",IFERROR(INDEX('CAT_PUESTOS'!$B$4:$B$8,MATCH($G491,'CAT_PUESTOS'!$A$4:$A$8,0)),"(sin catálogo)"))</f>
        <v/>
      </c>
      <c r="Z491" s="3">
        <f>IF($H491="","",IFERROR(INDEX('CAT_ACTIVIDADES'!$B$4:$B$8,MATCH($H491,'CAT_ACTIVIDADES'!$A$4:$A$8,0)),"(sin catálogo)"))</f>
        <v/>
      </c>
      <c r="AA491" s="12">
        <f>IF($J491="","",TODAY()-$J491)</f>
        <v/>
      </c>
      <c r="AB491" s="12">
        <f>IF($J491="","",IF($J491&lt;=TODAY(),COUNTIFS(cal_fechas,"&gt;="&amp;$J491,cal_fechas,"&lt;"&amp;TODAY(),cal_habil,"sí"),-COUNTIFS(cal_fechas,"&gt;="&amp;TODAY(),cal_fechas,"&lt;"&amp;$J491,cal_habil,"sí")))</f>
        <v/>
      </c>
      <c r="AC491" s="3">
        <f>IF($AB491="","",IF($AB491&lt;0,"FUTURO",IF($AB491&gt;p_dias_backlog_max,"BACKLOG","MES CORRIENTE")))</f>
        <v/>
      </c>
      <c r="AD491" s="3">
        <f>IF($AB491="",FALSE,AND($AB491&gt;p_dias_backlog_min,$AB491&lt;=p_dias_backlog_max))</f>
        <v/>
      </c>
      <c r="AE491" s="6" t="n"/>
      <c r="AF491" s="3">
        <f>IF($AE491="","",IF((IFERROR(INDEX('ASIGNACIONES'!$F$4:$F$339,MATCH($O491&amp;"|"&amp;$R491&amp;"|"&amp;$AE491,'ASIGNACIONES'!$J$4:$J$339,0)),""))=0,"",IFERROR(INDEX('ASIGNACIONES'!$F$4:$F$339,MATCH($O491&amp;"|"&amp;$R491&amp;"|"&amp;$AE491,'ASIGNACIONES'!$J$4:$J$339,0)),"")))</f>
        <v/>
      </c>
      <c r="AG491" s="13">
        <f>IF($AE491="","",SUMIFS('ORDENES'!$M$4:$M$1203,'ORDENES'!$AE$4:$AE$1203,$AE491,'ORDENES'!$O$4:$O$1203,$O491,'ORDENES'!$R$4:$R$1203,$R491))</f>
        <v/>
      </c>
      <c r="AH491" s="13">
        <f>IF($AG491="","",p_factor_productividad*IFERROR(INDEX('ASIGNACIONES'!$I$4:$I$339,MATCH($O491&amp;"|"&amp;$R491&amp;"|"&amp;$AE491,'ASIGNACIONES'!$J$4:$J$339,0)),0)-$AG491)</f>
        <v/>
      </c>
      <c r="AI491" s="10">
        <f>IF($A491="","",IFERROR(INDEX('2_IMPORTAR_EJECUCION'!$F$9:$F$1208,MATCH($AQ491,'2_IMPORTAR_EJECUCION'!$J$9:$J$1208,0)),0))</f>
        <v/>
      </c>
      <c r="AJ491" s="10">
        <f>IF($A491="","",MAX(0,IFERROR(INDEX('2_IMPORTAR_EJECUCION'!$H$9:$H$1208,MATCH($AQ491,'2_IMPORTAR_EJECUCION'!$J$9:$J$1208,0)),0)-$AI491))</f>
        <v/>
      </c>
      <c r="AK491" s="10">
        <f>IF($A491="","",$AI491+$AJ491)</f>
        <v/>
      </c>
      <c r="AL491" s="6" t="n"/>
      <c r="AM491" s="6" t="n"/>
      <c r="AN491" s="6" t="n"/>
      <c r="AO491" s="3">
        <f>IF($AN491="","",HYPERLINK(p_ruta_base_checklists&amp;$AN491,"abrir"))</f>
        <v/>
      </c>
      <c r="AP491" s="6" t="n"/>
      <c r="AQ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IF($A492="","",IFERROR(INDEX('AJUSTES'!$B$4:$B$303,MATCH($AQ492,'AJUSTES'!$A$4:$A$303,0)),IF($K492="","",$K492)))</f>
        <v/>
      </c>
      <c r="N492" s="3">
        <f>IF($A492="","",IFERROR(INDEX('CAT_ESTADOS_ERP'!$B$4:$B$7,MATCH(IFERROR(INDEX('2_IMPORTAR_EJECUCION'!$C$9:$C$1208,MATCH($AQ492,'2_IMPORTAR_EJECUCION'!$J$9:$J$1208,0)),""),'CAT_ESTADOS_ERP'!$A$4:$A$7,0)),"Pendiente"))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J492="","",IFERROR(INDEX('CALENDARIO'!$C$15:$C$214,MATCH(TEXT($J492,"yyyy-mm-dd")&amp;"|"&amp;$V492&amp;"|"&amp;$W492,'CALENDARIO'!$G$15:$G$214,0)),IFERROR(INDEX('CALENDARIO'!$C$15:$C$214,MATCH(TEXT($J492,"yyyy-mm-dd")&amp;"|"&amp;$V492&amp;"|",'CALENDARIO'!$G$15:$G$214,0)),IFERROR(INDEX('CALENDARIO'!$C$15:$C$214,MATCH(TEXT($J492,"yyyy-mm-dd")&amp;"||",'CALENDARIO'!$G$15:$G$214,0)),INDEX(patronHabil,WEEKDAY($J492,2))))))</f>
        <v/>
      </c>
      <c r="T492" s="3">
        <f>IF($I492="","",IFERROR(INDEX('CAT_TIPOS_OT'!$C$4:$C$7,MATCH($I492,'CAT_TIPOS_OT'!$A$4:$A$7,0)),"sin_clasificar"))</f>
        <v/>
      </c>
      <c r="U492" s="3">
        <f>IF($F492="","",IFERROR(INDEX('CAT_CENTROS_COSTO'!$F$4:$F$13,MATCH($F492,'CAT_CENTROS_COSTO'!$A$4:$A$13,0)),"(sin catálogo)"))</f>
        <v/>
      </c>
      <c r="V492" s="3">
        <f>IF($F492="","",IFERROR(INDEX('CAT_CENTROS_COSTO'!$D$4:$D$13,MATCH($F492,'CAT_CENTROS_COSTO'!$A$4:$A$13,0)),"(sin catálogo)"))</f>
        <v/>
      </c>
      <c r="W492" s="3">
        <f>IF($F492="","",IF((IFERROR(INDEX('CAT_CENTROS_COSTO'!$E$4:$E$13,MATCH($F492,'CAT_CENTROS_COSTO'!$A$4:$A$13,0)),""))&lt;&gt;"",IFERROR(INDEX('CAT_CENTROS_COSTO'!$E$4:$E$13,MATCH($F492,'CAT_CENTROS_COSTO'!$A$4:$A$13,0)),""),$V492))</f>
        <v/>
      </c>
      <c r="X492" s="3">
        <f>IF($F492="","",IFERROR(INDEX('CAT_CENTROS_COSTO'!$G$4:$G$13,MATCH($F492,'CAT_CENTROS_COSTO'!$A$4:$A$13,0)),"(sin catálogo)"))</f>
        <v/>
      </c>
      <c r="Y492" s="3">
        <f>IF($G492="","",IFERROR(INDEX('CAT_PUESTOS'!$B$4:$B$8,MATCH($G492,'CAT_PUESTOS'!$A$4:$A$8,0)),"(sin catálogo)"))</f>
        <v/>
      </c>
      <c r="Z492" s="3">
        <f>IF($H492="","",IFERROR(INDEX('CAT_ACTIVIDADES'!$B$4:$B$8,MATCH($H492,'CAT_ACTIVIDADES'!$A$4:$A$8,0)),"(sin catálogo)"))</f>
        <v/>
      </c>
      <c r="AA492" s="12">
        <f>IF($J492="","",TODAY()-$J492)</f>
        <v/>
      </c>
      <c r="AB492" s="12">
        <f>IF($J492="","",IF($J492&lt;=TODAY(),COUNTIFS(cal_fechas,"&gt;="&amp;$J492,cal_fechas,"&lt;"&amp;TODAY(),cal_habil,"sí"),-COUNTIFS(cal_fechas,"&gt;="&amp;TODAY(),cal_fechas,"&lt;"&amp;$J492,cal_habil,"sí")))</f>
        <v/>
      </c>
      <c r="AC492" s="3">
        <f>IF($AB492="","",IF($AB492&lt;0,"FUTURO",IF($AB492&gt;p_dias_backlog_max,"BACKLOG","MES CORRIENTE")))</f>
        <v/>
      </c>
      <c r="AD492" s="3">
        <f>IF($AB492="",FALSE,AND($AB492&gt;p_dias_backlog_min,$AB492&lt;=p_dias_backlog_max))</f>
        <v/>
      </c>
      <c r="AE492" s="6" t="n"/>
      <c r="AF492" s="3">
        <f>IF($AE492="","",IF((IFERROR(INDEX('ASIGNACIONES'!$F$4:$F$339,MATCH($O492&amp;"|"&amp;$R492&amp;"|"&amp;$AE492,'ASIGNACIONES'!$J$4:$J$339,0)),""))=0,"",IFERROR(INDEX('ASIGNACIONES'!$F$4:$F$339,MATCH($O492&amp;"|"&amp;$R492&amp;"|"&amp;$AE492,'ASIGNACIONES'!$J$4:$J$339,0)),"")))</f>
        <v/>
      </c>
      <c r="AG492" s="13">
        <f>IF($AE492="","",SUMIFS('ORDENES'!$M$4:$M$1203,'ORDENES'!$AE$4:$AE$1203,$AE492,'ORDENES'!$O$4:$O$1203,$O492,'ORDENES'!$R$4:$R$1203,$R492))</f>
        <v/>
      </c>
      <c r="AH492" s="13">
        <f>IF($AG492="","",p_factor_productividad*IFERROR(INDEX('ASIGNACIONES'!$I$4:$I$339,MATCH($O492&amp;"|"&amp;$R492&amp;"|"&amp;$AE492,'ASIGNACIONES'!$J$4:$J$339,0)),0)-$AG492)</f>
        <v/>
      </c>
      <c r="AI492" s="10">
        <f>IF($A492="","",IFERROR(INDEX('2_IMPORTAR_EJECUCION'!$F$9:$F$1208,MATCH($AQ492,'2_IMPORTAR_EJECUCION'!$J$9:$J$1208,0)),0))</f>
        <v/>
      </c>
      <c r="AJ492" s="10">
        <f>IF($A492="","",MAX(0,IFERROR(INDEX('2_IMPORTAR_EJECUCION'!$H$9:$H$1208,MATCH($AQ492,'2_IMPORTAR_EJECUCION'!$J$9:$J$1208,0)),0)-$AI492))</f>
        <v/>
      </c>
      <c r="AK492" s="10">
        <f>IF($A492="","",$AI492+$AJ492)</f>
        <v/>
      </c>
      <c r="AL492" s="6" t="n"/>
      <c r="AM492" s="6" t="n"/>
      <c r="AN492" s="6" t="n"/>
      <c r="AO492" s="3">
        <f>IF($AN492="","",HYPERLINK(p_ruta_base_checklists&amp;$AN492,"abrir"))</f>
        <v/>
      </c>
      <c r="AP492" s="6" t="n"/>
      <c r="AQ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IF($A493="","",IFERROR(INDEX('AJUSTES'!$B$4:$B$303,MATCH($AQ493,'AJUSTES'!$A$4:$A$303,0)),IF($K493="","",$K493)))</f>
        <v/>
      </c>
      <c r="N493" s="3">
        <f>IF($A493="","",IFERROR(INDEX('CAT_ESTADOS_ERP'!$B$4:$B$7,MATCH(IFERROR(INDEX('2_IMPORTAR_EJECUCION'!$C$9:$C$1208,MATCH($AQ493,'2_IMPORTAR_EJECUCION'!$J$9:$J$1208,0)),""),'CAT_ESTADOS_ERP'!$A$4:$A$7,0)),"Pendiente"))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J493="","",IFERROR(INDEX('CALENDARIO'!$C$15:$C$214,MATCH(TEXT($J493,"yyyy-mm-dd")&amp;"|"&amp;$V493&amp;"|"&amp;$W493,'CALENDARIO'!$G$15:$G$214,0)),IFERROR(INDEX('CALENDARIO'!$C$15:$C$214,MATCH(TEXT($J493,"yyyy-mm-dd")&amp;"|"&amp;$V493&amp;"|",'CALENDARIO'!$G$15:$G$214,0)),IFERROR(INDEX('CALENDARIO'!$C$15:$C$214,MATCH(TEXT($J493,"yyyy-mm-dd")&amp;"||",'CALENDARIO'!$G$15:$G$214,0)),INDEX(patronHabil,WEEKDAY($J493,2))))))</f>
        <v/>
      </c>
      <c r="T493" s="3">
        <f>IF($I493="","",IFERROR(INDEX('CAT_TIPOS_OT'!$C$4:$C$7,MATCH($I493,'CAT_TIPOS_OT'!$A$4:$A$7,0)),"sin_clasificar"))</f>
        <v/>
      </c>
      <c r="U493" s="3">
        <f>IF($F493="","",IFERROR(INDEX('CAT_CENTROS_COSTO'!$F$4:$F$13,MATCH($F493,'CAT_CENTROS_COSTO'!$A$4:$A$13,0)),"(sin catálogo)"))</f>
        <v/>
      </c>
      <c r="V493" s="3">
        <f>IF($F493="","",IFERROR(INDEX('CAT_CENTROS_COSTO'!$D$4:$D$13,MATCH($F493,'CAT_CENTROS_COSTO'!$A$4:$A$13,0)),"(sin catálogo)"))</f>
        <v/>
      </c>
      <c r="W493" s="3">
        <f>IF($F493="","",IF((IFERROR(INDEX('CAT_CENTROS_COSTO'!$E$4:$E$13,MATCH($F493,'CAT_CENTROS_COSTO'!$A$4:$A$13,0)),""))&lt;&gt;"",IFERROR(INDEX('CAT_CENTROS_COSTO'!$E$4:$E$13,MATCH($F493,'CAT_CENTROS_COSTO'!$A$4:$A$13,0)),""),$V493))</f>
        <v/>
      </c>
      <c r="X493" s="3">
        <f>IF($F493="","",IFERROR(INDEX('CAT_CENTROS_COSTO'!$G$4:$G$13,MATCH($F493,'CAT_CENTROS_COSTO'!$A$4:$A$13,0)),"(sin catálogo)"))</f>
        <v/>
      </c>
      <c r="Y493" s="3">
        <f>IF($G493="","",IFERROR(INDEX('CAT_PUESTOS'!$B$4:$B$8,MATCH($G493,'CAT_PUESTOS'!$A$4:$A$8,0)),"(sin catálogo)"))</f>
        <v/>
      </c>
      <c r="Z493" s="3">
        <f>IF($H493="","",IFERROR(INDEX('CAT_ACTIVIDADES'!$B$4:$B$8,MATCH($H493,'CAT_ACTIVIDADES'!$A$4:$A$8,0)),"(sin catálogo)"))</f>
        <v/>
      </c>
      <c r="AA493" s="12">
        <f>IF($J493="","",TODAY()-$J493)</f>
        <v/>
      </c>
      <c r="AB493" s="12">
        <f>IF($J493="","",IF($J493&lt;=TODAY(),COUNTIFS(cal_fechas,"&gt;="&amp;$J493,cal_fechas,"&lt;"&amp;TODAY(),cal_habil,"sí"),-COUNTIFS(cal_fechas,"&gt;="&amp;TODAY(),cal_fechas,"&lt;"&amp;$J493,cal_habil,"sí")))</f>
        <v/>
      </c>
      <c r="AC493" s="3">
        <f>IF($AB493="","",IF($AB493&lt;0,"FUTURO",IF($AB493&gt;p_dias_backlog_max,"BACKLOG","MES CORRIENTE")))</f>
        <v/>
      </c>
      <c r="AD493" s="3">
        <f>IF($AB493="",FALSE,AND($AB493&gt;p_dias_backlog_min,$AB493&lt;=p_dias_backlog_max))</f>
        <v/>
      </c>
      <c r="AE493" s="6" t="n"/>
      <c r="AF493" s="3">
        <f>IF($AE493="","",IF((IFERROR(INDEX('ASIGNACIONES'!$F$4:$F$339,MATCH($O493&amp;"|"&amp;$R493&amp;"|"&amp;$AE493,'ASIGNACIONES'!$J$4:$J$339,0)),""))=0,"",IFERROR(INDEX('ASIGNACIONES'!$F$4:$F$339,MATCH($O493&amp;"|"&amp;$R493&amp;"|"&amp;$AE493,'ASIGNACIONES'!$J$4:$J$339,0)),"")))</f>
        <v/>
      </c>
      <c r="AG493" s="13">
        <f>IF($AE493="","",SUMIFS('ORDENES'!$M$4:$M$1203,'ORDENES'!$AE$4:$AE$1203,$AE493,'ORDENES'!$O$4:$O$1203,$O493,'ORDENES'!$R$4:$R$1203,$R493))</f>
        <v/>
      </c>
      <c r="AH493" s="13">
        <f>IF($AG493="","",p_factor_productividad*IFERROR(INDEX('ASIGNACIONES'!$I$4:$I$339,MATCH($O493&amp;"|"&amp;$R493&amp;"|"&amp;$AE493,'ASIGNACIONES'!$J$4:$J$339,0)),0)-$AG493)</f>
        <v/>
      </c>
      <c r="AI493" s="10">
        <f>IF($A493="","",IFERROR(INDEX('2_IMPORTAR_EJECUCION'!$F$9:$F$1208,MATCH($AQ493,'2_IMPORTAR_EJECUCION'!$J$9:$J$1208,0)),0))</f>
        <v/>
      </c>
      <c r="AJ493" s="10">
        <f>IF($A493="","",MAX(0,IFERROR(INDEX('2_IMPORTAR_EJECUCION'!$H$9:$H$1208,MATCH($AQ493,'2_IMPORTAR_EJECUCION'!$J$9:$J$1208,0)),0)-$AI493))</f>
        <v/>
      </c>
      <c r="AK493" s="10">
        <f>IF($A493="","",$AI493+$AJ493)</f>
        <v/>
      </c>
      <c r="AL493" s="6" t="n"/>
      <c r="AM493" s="6" t="n"/>
      <c r="AN493" s="6" t="n"/>
      <c r="AO493" s="3">
        <f>IF($AN493="","",HYPERLINK(p_ruta_base_checklists&amp;$AN493,"abrir"))</f>
        <v/>
      </c>
      <c r="AP493" s="6" t="n"/>
      <c r="AQ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IF($A494="","",IFERROR(INDEX('AJUSTES'!$B$4:$B$303,MATCH($AQ494,'AJUSTES'!$A$4:$A$303,0)),IF($K494="","",$K494)))</f>
        <v/>
      </c>
      <c r="N494" s="3">
        <f>IF($A494="","",IFERROR(INDEX('CAT_ESTADOS_ERP'!$B$4:$B$7,MATCH(IFERROR(INDEX('2_IMPORTAR_EJECUCION'!$C$9:$C$1208,MATCH($AQ494,'2_IMPORTAR_EJECUCION'!$J$9:$J$1208,0)),""),'CAT_ESTADOS_ERP'!$A$4:$A$7,0)),"Pendiente"))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J494="","",IFERROR(INDEX('CALENDARIO'!$C$15:$C$214,MATCH(TEXT($J494,"yyyy-mm-dd")&amp;"|"&amp;$V494&amp;"|"&amp;$W494,'CALENDARIO'!$G$15:$G$214,0)),IFERROR(INDEX('CALENDARIO'!$C$15:$C$214,MATCH(TEXT($J494,"yyyy-mm-dd")&amp;"|"&amp;$V494&amp;"|",'CALENDARIO'!$G$15:$G$214,0)),IFERROR(INDEX('CALENDARIO'!$C$15:$C$214,MATCH(TEXT($J494,"yyyy-mm-dd")&amp;"||",'CALENDARIO'!$G$15:$G$214,0)),INDEX(patronHabil,WEEKDAY($J494,2))))))</f>
        <v/>
      </c>
      <c r="T494" s="3">
        <f>IF($I494="","",IFERROR(INDEX('CAT_TIPOS_OT'!$C$4:$C$7,MATCH($I494,'CAT_TIPOS_OT'!$A$4:$A$7,0)),"sin_clasificar"))</f>
        <v/>
      </c>
      <c r="U494" s="3">
        <f>IF($F494="","",IFERROR(INDEX('CAT_CENTROS_COSTO'!$F$4:$F$13,MATCH($F494,'CAT_CENTROS_COSTO'!$A$4:$A$13,0)),"(sin catálogo)"))</f>
        <v/>
      </c>
      <c r="V494" s="3">
        <f>IF($F494="","",IFERROR(INDEX('CAT_CENTROS_COSTO'!$D$4:$D$13,MATCH($F494,'CAT_CENTROS_COSTO'!$A$4:$A$13,0)),"(sin catálogo)"))</f>
        <v/>
      </c>
      <c r="W494" s="3">
        <f>IF($F494="","",IF((IFERROR(INDEX('CAT_CENTROS_COSTO'!$E$4:$E$13,MATCH($F494,'CAT_CENTROS_COSTO'!$A$4:$A$13,0)),""))&lt;&gt;"",IFERROR(INDEX('CAT_CENTROS_COSTO'!$E$4:$E$13,MATCH($F494,'CAT_CENTROS_COSTO'!$A$4:$A$13,0)),""),$V494))</f>
        <v/>
      </c>
      <c r="X494" s="3">
        <f>IF($F494="","",IFERROR(INDEX('CAT_CENTROS_COSTO'!$G$4:$G$13,MATCH($F494,'CAT_CENTROS_COSTO'!$A$4:$A$13,0)),"(sin catálogo)"))</f>
        <v/>
      </c>
      <c r="Y494" s="3">
        <f>IF($G494="","",IFERROR(INDEX('CAT_PUESTOS'!$B$4:$B$8,MATCH($G494,'CAT_PUESTOS'!$A$4:$A$8,0)),"(sin catálogo)"))</f>
        <v/>
      </c>
      <c r="Z494" s="3">
        <f>IF($H494="","",IFERROR(INDEX('CAT_ACTIVIDADES'!$B$4:$B$8,MATCH($H494,'CAT_ACTIVIDADES'!$A$4:$A$8,0)),"(sin catálogo)"))</f>
        <v/>
      </c>
      <c r="AA494" s="12">
        <f>IF($J494="","",TODAY()-$J494)</f>
        <v/>
      </c>
      <c r="AB494" s="12">
        <f>IF($J494="","",IF($J494&lt;=TODAY(),COUNTIFS(cal_fechas,"&gt;="&amp;$J494,cal_fechas,"&lt;"&amp;TODAY(),cal_habil,"sí"),-COUNTIFS(cal_fechas,"&gt;="&amp;TODAY(),cal_fechas,"&lt;"&amp;$J494,cal_habil,"sí")))</f>
        <v/>
      </c>
      <c r="AC494" s="3">
        <f>IF($AB494="","",IF($AB494&lt;0,"FUTURO",IF($AB494&gt;p_dias_backlog_max,"BACKLOG","MES CORRIENTE")))</f>
        <v/>
      </c>
      <c r="AD494" s="3">
        <f>IF($AB494="",FALSE,AND($AB494&gt;p_dias_backlog_min,$AB494&lt;=p_dias_backlog_max))</f>
        <v/>
      </c>
      <c r="AE494" s="6" t="n"/>
      <c r="AF494" s="3">
        <f>IF($AE494="","",IF((IFERROR(INDEX('ASIGNACIONES'!$F$4:$F$339,MATCH($O494&amp;"|"&amp;$R494&amp;"|"&amp;$AE494,'ASIGNACIONES'!$J$4:$J$339,0)),""))=0,"",IFERROR(INDEX('ASIGNACIONES'!$F$4:$F$339,MATCH($O494&amp;"|"&amp;$R494&amp;"|"&amp;$AE494,'ASIGNACIONES'!$J$4:$J$339,0)),"")))</f>
        <v/>
      </c>
      <c r="AG494" s="13">
        <f>IF($AE494="","",SUMIFS('ORDENES'!$M$4:$M$1203,'ORDENES'!$AE$4:$AE$1203,$AE494,'ORDENES'!$O$4:$O$1203,$O494,'ORDENES'!$R$4:$R$1203,$R494))</f>
        <v/>
      </c>
      <c r="AH494" s="13">
        <f>IF($AG494="","",p_factor_productividad*IFERROR(INDEX('ASIGNACIONES'!$I$4:$I$339,MATCH($O494&amp;"|"&amp;$R494&amp;"|"&amp;$AE494,'ASIGNACIONES'!$J$4:$J$339,0)),0)-$AG494)</f>
        <v/>
      </c>
      <c r="AI494" s="10">
        <f>IF($A494="","",IFERROR(INDEX('2_IMPORTAR_EJECUCION'!$F$9:$F$1208,MATCH($AQ494,'2_IMPORTAR_EJECUCION'!$J$9:$J$1208,0)),0))</f>
        <v/>
      </c>
      <c r="AJ494" s="10">
        <f>IF($A494="","",MAX(0,IFERROR(INDEX('2_IMPORTAR_EJECUCION'!$H$9:$H$1208,MATCH($AQ494,'2_IMPORTAR_EJECUCION'!$J$9:$J$1208,0)),0)-$AI494))</f>
        <v/>
      </c>
      <c r="AK494" s="10">
        <f>IF($A494="","",$AI494+$AJ494)</f>
        <v/>
      </c>
      <c r="AL494" s="6" t="n"/>
      <c r="AM494" s="6" t="n"/>
      <c r="AN494" s="6" t="n"/>
      <c r="AO494" s="3">
        <f>IF($AN494="","",HYPERLINK(p_ruta_base_checklists&amp;$AN494,"abrir"))</f>
        <v/>
      </c>
      <c r="AP494" s="6" t="n"/>
      <c r="AQ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IF($A495="","",IFERROR(INDEX('AJUSTES'!$B$4:$B$303,MATCH($AQ495,'AJUSTES'!$A$4:$A$303,0)),IF($K495="","",$K495)))</f>
        <v/>
      </c>
      <c r="N495" s="3">
        <f>IF($A495="","",IFERROR(INDEX('CAT_ESTADOS_ERP'!$B$4:$B$7,MATCH(IFERROR(INDEX('2_IMPORTAR_EJECUCION'!$C$9:$C$1208,MATCH($AQ495,'2_IMPORTAR_EJECUCION'!$J$9:$J$1208,0)),""),'CAT_ESTADOS_ERP'!$A$4:$A$7,0)),"Pendiente"))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J495="","",IFERROR(INDEX('CALENDARIO'!$C$15:$C$214,MATCH(TEXT($J495,"yyyy-mm-dd")&amp;"|"&amp;$V495&amp;"|"&amp;$W495,'CALENDARIO'!$G$15:$G$214,0)),IFERROR(INDEX('CALENDARIO'!$C$15:$C$214,MATCH(TEXT($J495,"yyyy-mm-dd")&amp;"|"&amp;$V495&amp;"|",'CALENDARIO'!$G$15:$G$214,0)),IFERROR(INDEX('CALENDARIO'!$C$15:$C$214,MATCH(TEXT($J495,"yyyy-mm-dd")&amp;"||",'CALENDARIO'!$G$15:$G$214,0)),INDEX(patronHabil,WEEKDAY($J495,2))))))</f>
        <v/>
      </c>
      <c r="T495" s="3">
        <f>IF($I495="","",IFERROR(INDEX('CAT_TIPOS_OT'!$C$4:$C$7,MATCH($I495,'CAT_TIPOS_OT'!$A$4:$A$7,0)),"sin_clasificar"))</f>
        <v/>
      </c>
      <c r="U495" s="3">
        <f>IF($F495="","",IFERROR(INDEX('CAT_CENTROS_COSTO'!$F$4:$F$13,MATCH($F495,'CAT_CENTROS_COSTO'!$A$4:$A$13,0)),"(sin catálogo)"))</f>
        <v/>
      </c>
      <c r="V495" s="3">
        <f>IF($F495="","",IFERROR(INDEX('CAT_CENTROS_COSTO'!$D$4:$D$13,MATCH($F495,'CAT_CENTROS_COSTO'!$A$4:$A$13,0)),"(sin catálogo)"))</f>
        <v/>
      </c>
      <c r="W495" s="3">
        <f>IF($F495="","",IF((IFERROR(INDEX('CAT_CENTROS_COSTO'!$E$4:$E$13,MATCH($F495,'CAT_CENTROS_COSTO'!$A$4:$A$13,0)),""))&lt;&gt;"",IFERROR(INDEX('CAT_CENTROS_COSTO'!$E$4:$E$13,MATCH($F495,'CAT_CENTROS_COSTO'!$A$4:$A$13,0)),""),$V495))</f>
        <v/>
      </c>
      <c r="X495" s="3">
        <f>IF($F495="","",IFERROR(INDEX('CAT_CENTROS_COSTO'!$G$4:$G$13,MATCH($F495,'CAT_CENTROS_COSTO'!$A$4:$A$13,0)),"(sin catálogo)"))</f>
        <v/>
      </c>
      <c r="Y495" s="3">
        <f>IF($G495="","",IFERROR(INDEX('CAT_PUESTOS'!$B$4:$B$8,MATCH($G495,'CAT_PUESTOS'!$A$4:$A$8,0)),"(sin catálogo)"))</f>
        <v/>
      </c>
      <c r="Z495" s="3">
        <f>IF($H495="","",IFERROR(INDEX('CAT_ACTIVIDADES'!$B$4:$B$8,MATCH($H495,'CAT_ACTIVIDADES'!$A$4:$A$8,0)),"(sin catálogo)"))</f>
        <v/>
      </c>
      <c r="AA495" s="12">
        <f>IF($J495="","",TODAY()-$J495)</f>
        <v/>
      </c>
      <c r="AB495" s="12">
        <f>IF($J495="","",IF($J495&lt;=TODAY(),COUNTIFS(cal_fechas,"&gt;="&amp;$J495,cal_fechas,"&lt;"&amp;TODAY(),cal_habil,"sí"),-COUNTIFS(cal_fechas,"&gt;="&amp;TODAY(),cal_fechas,"&lt;"&amp;$J495,cal_habil,"sí")))</f>
        <v/>
      </c>
      <c r="AC495" s="3">
        <f>IF($AB495="","",IF($AB495&lt;0,"FUTURO",IF($AB495&gt;p_dias_backlog_max,"BACKLOG","MES CORRIENTE")))</f>
        <v/>
      </c>
      <c r="AD495" s="3">
        <f>IF($AB495="",FALSE,AND($AB495&gt;p_dias_backlog_min,$AB495&lt;=p_dias_backlog_max))</f>
        <v/>
      </c>
      <c r="AE495" s="6" t="n"/>
      <c r="AF495" s="3">
        <f>IF($AE495="","",IF((IFERROR(INDEX('ASIGNACIONES'!$F$4:$F$339,MATCH($O495&amp;"|"&amp;$R495&amp;"|"&amp;$AE495,'ASIGNACIONES'!$J$4:$J$339,0)),""))=0,"",IFERROR(INDEX('ASIGNACIONES'!$F$4:$F$339,MATCH($O495&amp;"|"&amp;$R495&amp;"|"&amp;$AE495,'ASIGNACIONES'!$J$4:$J$339,0)),"")))</f>
        <v/>
      </c>
      <c r="AG495" s="13">
        <f>IF($AE495="","",SUMIFS('ORDENES'!$M$4:$M$1203,'ORDENES'!$AE$4:$AE$1203,$AE495,'ORDENES'!$O$4:$O$1203,$O495,'ORDENES'!$R$4:$R$1203,$R495))</f>
        <v/>
      </c>
      <c r="AH495" s="13">
        <f>IF($AG495="","",p_factor_productividad*IFERROR(INDEX('ASIGNACIONES'!$I$4:$I$339,MATCH($O495&amp;"|"&amp;$R495&amp;"|"&amp;$AE495,'ASIGNACIONES'!$J$4:$J$339,0)),0)-$AG495)</f>
        <v/>
      </c>
      <c r="AI495" s="10">
        <f>IF($A495="","",IFERROR(INDEX('2_IMPORTAR_EJECUCION'!$F$9:$F$1208,MATCH($AQ495,'2_IMPORTAR_EJECUCION'!$J$9:$J$1208,0)),0))</f>
        <v/>
      </c>
      <c r="AJ495" s="10">
        <f>IF($A495="","",MAX(0,IFERROR(INDEX('2_IMPORTAR_EJECUCION'!$H$9:$H$1208,MATCH($AQ495,'2_IMPORTAR_EJECUCION'!$J$9:$J$1208,0)),0)-$AI495))</f>
        <v/>
      </c>
      <c r="AK495" s="10">
        <f>IF($A495="","",$AI495+$AJ495)</f>
        <v/>
      </c>
      <c r="AL495" s="6" t="n"/>
      <c r="AM495" s="6" t="n"/>
      <c r="AN495" s="6" t="n"/>
      <c r="AO495" s="3">
        <f>IF($AN495="","",HYPERLINK(p_ruta_base_checklists&amp;$AN495,"abrir"))</f>
        <v/>
      </c>
      <c r="AP495" s="6" t="n"/>
      <c r="AQ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IF($A496="","",IFERROR(INDEX('AJUSTES'!$B$4:$B$303,MATCH($AQ496,'AJUSTES'!$A$4:$A$303,0)),IF($K496="","",$K496)))</f>
        <v/>
      </c>
      <c r="N496" s="3">
        <f>IF($A496="","",IFERROR(INDEX('CAT_ESTADOS_ERP'!$B$4:$B$7,MATCH(IFERROR(INDEX('2_IMPORTAR_EJECUCION'!$C$9:$C$1208,MATCH($AQ496,'2_IMPORTAR_EJECUCION'!$J$9:$J$1208,0)),""),'CAT_ESTADOS_ERP'!$A$4:$A$7,0)),"Pendiente"))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J496="","",IFERROR(INDEX('CALENDARIO'!$C$15:$C$214,MATCH(TEXT($J496,"yyyy-mm-dd")&amp;"|"&amp;$V496&amp;"|"&amp;$W496,'CALENDARIO'!$G$15:$G$214,0)),IFERROR(INDEX('CALENDARIO'!$C$15:$C$214,MATCH(TEXT($J496,"yyyy-mm-dd")&amp;"|"&amp;$V496&amp;"|",'CALENDARIO'!$G$15:$G$214,0)),IFERROR(INDEX('CALENDARIO'!$C$15:$C$214,MATCH(TEXT($J496,"yyyy-mm-dd")&amp;"||",'CALENDARIO'!$G$15:$G$214,0)),INDEX(patronHabil,WEEKDAY($J496,2))))))</f>
        <v/>
      </c>
      <c r="T496" s="3">
        <f>IF($I496="","",IFERROR(INDEX('CAT_TIPOS_OT'!$C$4:$C$7,MATCH($I496,'CAT_TIPOS_OT'!$A$4:$A$7,0)),"sin_clasificar"))</f>
        <v/>
      </c>
      <c r="U496" s="3">
        <f>IF($F496="","",IFERROR(INDEX('CAT_CENTROS_COSTO'!$F$4:$F$13,MATCH($F496,'CAT_CENTROS_COSTO'!$A$4:$A$13,0)),"(sin catálogo)"))</f>
        <v/>
      </c>
      <c r="V496" s="3">
        <f>IF($F496="","",IFERROR(INDEX('CAT_CENTROS_COSTO'!$D$4:$D$13,MATCH($F496,'CAT_CENTROS_COSTO'!$A$4:$A$13,0)),"(sin catálogo)"))</f>
        <v/>
      </c>
      <c r="W496" s="3">
        <f>IF($F496="","",IF((IFERROR(INDEX('CAT_CENTROS_COSTO'!$E$4:$E$13,MATCH($F496,'CAT_CENTROS_COSTO'!$A$4:$A$13,0)),""))&lt;&gt;"",IFERROR(INDEX('CAT_CENTROS_COSTO'!$E$4:$E$13,MATCH($F496,'CAT_CENTROS_COSTO'!$A$4:$A$13,0)),""),$V496))</f>
        <v/>
      </c>
      <c r="X496" s="3">
        <f>IF($F496="","",IFERROR(INDEX('CAT_CENTROS_COSTO'!$G$4:$G$13,MATCH($F496,'CAT_CENTROS_COSTO'!$A$4:$A$13,0)),"(sin catálogo)"))</f>
        <v/>
      </c>
      <c r="Y496" s="3">
        <f>IF($G496="","",IFERROR(INDEX('CAT_PUESTOS'!$B$4:$B$8,MATCH($G496,'CAT_PUESTOS'!$A$4:$A$8,0)),"(sin catálogo)"))</f>
        <v/>
      </c>
      <c r="Z496" s="3">
        <f>IF($H496="","",IFERROR(INDEX('CAT_ACTIVIDADES'!$B$4:$B$8,MATCH($H496,'CAT_ACTIVIDADES'!$A$4:$A$8,0)),"(sin catálogo)"))</f>
        <v/>
      </c>
      <c r="AA496" s="12">
        <f>IF($J496="","",TODAY()-$J496)</f>
        <v/>
      </c>
      <c r="AB496" s="12">
        <f>IF($J496="","",IF($J496&lt;=TODAY(),COUNTIFS(cal_fechas,"&gt;="&amp;$J496,cal_fechas,"&lt;"&amp;TODAY(),cal_habil,"sí"),-COUNTIFS(cal_fechas,"&gt;="&amp;TODAY(),cal_fechas,"&lt;"&amp;$J496,cal_habil,"sí")))</f>
        <v/>
      </c>
      <c r="AC496" s="3">
        <f>IF($AB496="","",IF($AB496&lt;0,"FUTURO",IF($AB496&gt;p_dias_backlog_max,"BACKLOG","MES CORRIENTE")))</f>
        <v/>
      </c>
      <c r="AD496" s="3">
        <f>IF($AB496="",FALSE,AND($AB496&gt;p_dias_backlog_min,$AB496&lt;=p_dias_backlog_max))</f>
        <v/>
      </c>
      <c r="AE496" s="6" t="n"/>
      <c r="AF496" s="3">
        <f>IF($AE496="","",IF((IFERROR(INDEX('ASIGNACIONES'!$F$4:$F$339,MATCH($O496&amp;"|"&amp;$R496&amp;"|"&amp;$AE496,'ASIGNACIONES'!$J$4:$J$339,0)),""))=0,"",IFERROR(INDEX('ASIGNACIONES'!$F$4:$F$339,MATCH($O496&amp;"|"&amp;$R496&amp;"|"&amp;$AE496,'ASIGNACIONES'!$J$4:$J$339,0)),"")))</f>
        <v/>
      </c>
      <c r="AG496" s="13">
        <f>IF($AE496="","",SUMIFS('ORDENES'!$M$4:$M$1203,'ORDENES'!$AE$4:$AE$1203,$AE496,'ORDENES'!$O$4:$O$1203,$O496,'ORDENES'!$R$4:$R$1203,$R496))</f>
        <v/>
      </c>
      <c r="AH496" s="13">
        <f>IF($AG496="","",p_factor_productividad*IFERROR(INDEX('ASIGNACIONES'!$I$4:$I$339,MATCH($O496&amp;"|"&amp;$R496&amp;"|"&amp;$AE496,'ASIGNACIONES'!$J$4:$J$339,0)),0)-$AG496)</f>
        <v/>
      </c>
      <c r="AI496" s="10">
        <f>IF($A496="","",IFERROR(INDEX('2_IMPORTAR_EJECUCION'!$F$9:$F$1208,MATCH($AQ496,'2_IMPORTAR_EJECUCION'!$J$9:$J$1208,0)),0))</f>
        <v/>
      </c>
      <c r="AJ496" s="10">
        <f>IF($A496="","",MAX(0,IFERROR(INDEX('2_IMPORTAR_EJECUCION'!$H$9:$H$1208,MATCH($AQ496,'2_IMPORTAR_EJECUCION'!$J$9:$J$1208,0)),0)-$AI496))</f>
        <v/>
      </c>
      <c r="AK496" s="10">
        <f>IF($A496="","",$AI496+$AJ496)</f>
        <v/>
      </c>
      <c r="AL496" s="6" t="n"/>
      <c r="AM496" s="6" t="n"/>
      <c r="AN496" s="6" t="n"/>
      <c r="AO496" s="3">
        <f>IF($AN496="","",HYPERLINK(p_ruta_base_checklists&amp;$AN496,"abrir"))</f>
        <v/>
      </c>
      <c r="AP496" s="6" t="n"/>
      <c r="AQ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IF($A497="","",IFERROR(INDEX('AJUSTES'!$B$4:$B$303,MATCH($AQ497,'AJUSTES'!$A$4:$A$303,0)),IF($K497="","",$K497)))</f>
        <v/>
      </c>
      <c r="N497" s="3">
        <f>IF($A497="","",IFERROR(INDEX('CAT_ESTADOS_ERP'!$B$4:$B$7,MATCH(IFERROR(INDEX('2_IMPORTAR_EJECUCION'!$C$9:$C$1208,MATCH($AQ497,'2_IMPORTAR_EJECUCION'!$J$9:$J$1208,0)),""),'CAT_ESTADOS_ERP'!$A$4:$A$7,0)),"Pendiente"))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J497="","",IFERROR(INDEX('CALENDARIO'!$C$15:$C$214,MATCH(TEXT($J497,"yyyy-mm-dd")&amp;"|"&amp;$V497&amp;"|"&amp;$W497,'CALENDARIO'!$G$15:$G$214,0)),IFERROR(INDEX('CALENDARIO'!$C$15:$C$214,MATCH(TEXT($J497,"yyyy-mm-dd")&amp;"|"&amp;$V497&amp;"|",'CALENDARIO'!$G$15:$G$214,0)),IFERROR(INDEX('CALENDARIO'!$C$15:$C$214,MATCH(TEXT($J497,"yyyy-mm-dd")&amp;"||",'CALENDARIO'!$G$15:$G$214,0)),INDEX(patronHabil,WEEKDAY($J497,2))))))</f>
        <v/>
      </c>
      <c r="T497" s="3">
        <f>IF($I497="","",IFERROR(INDEX('CAT_TIPOS_OT'!$C$4:$C$7,MATCH($I497,'CAT_TIPOS_OT'!$A$4:$A$7,0)),"sin_clasificar"))</f>
        <v/>
      </c>
      <c r="U497" s="3">
        <f>IF($F497="","",IFERROR(INDEX('CAT_CENTROS_COSTO'!$F$4:$F$13,MATCH($F497,'CAT_CENTROS_COSTO'!$A$4:$A$13,0)),"(sin catálogo)"))</f>
        <v/>
      </c>
      <c r="V497" s="3">
        <f>IF($F497="","",IFERROR(INDEX('CAT_CENTROS_COSTO'!$D$4:$D$13,MATCH($F497,'CAT_CENTROS_COSTO'!$A$4:$A$13,0)),"(sin catálogo)"))</f>
        <v/>
      </c>
      <c r="W497" s="3">
        <f>IF($F497="","",IF((IFERROR(INDEX('CAT_CENTROS_COSTO'!$E$4:$E$13,MATCH($F497,'CAT_CENTROS_COSTO'!$A$4:$A$13,0)),""))&lt;&gt;"",IFERROR(INDEX('CAT_CENTROS_COSTO'!$E$4:$E$13,MATCH($F497,'CAT_CENTROS_COSTO'!$A$4:$A$13,0)),""),$V497))</f>
        <v/>
      </c>
      <c r="X497" s="3">
        <f>IF($F497="","",IFERROR(INDEX('CAT_CENTROS_COSTO'!$G$4:$G$13,MATCH($F497,'CAT_CENTROS_COSTO'!$A$4:$A$13,0)),"(sin catálogo)"))</f>
        <v/>
      </c>
      <c r="Y497" s="3">
        <f>IF($G497="","",IFERROR(INDEX('CAT_PUESTOS'!$B$4:$B$8,MATCH($G497,'CAT_PUESTOS'!$A$4:$A$8,0)),"(sin catálogo)"))</f>
        <v/>
      </c>
      <c r="Z497" s="3">
        <f>IF($H497="","",IFERROR(INDEX('CAT_ACTIVIDADES'!$B$4:$B$8,MATCH($H497,'CAT_ACTIVIDADES'!$A$4:$A$8,0)),"(sin catálogo)"))</f>
        <v/>
      </c>
      <c r="AA497" s="12">
        <f>IF($J497="","",TODAY()-$J497)</f>
        <v/>
      </c>
      <c r="AB497" s="12">
        <f>IF($J497="","",IF($J497&lt;=TODAY(),COUNTIFS(cal_fechas,"&gt;="&amp;$J497,cal_fechas,"&lt;"&amp;TODAY(),cal_habil,"sí"),-COUNTIFS(cal_fechas,"&gt;="&amp;TODAY(),cal_fechas,"&lt;"&amp;$J497,cal_habil,"sí")))</f>
        <v/>
      </c>
      <c r="AC497" s="3">
        <f>IF($AB497="","",IF($AB497&lt;0,"FUTURO",IF($AB497&gt;p_dias_backlog_max,"BACKLOG","MES CORRIENTE")))</f>
        <v/>
      </c>
      <c r="AD497" s="3">
        <f>IF($AB497="",FALSE,AND($AB497&gt;p_dias_backlog_min,$AB497&lt;=p_dias_backlog_max))</f>
        <v/>
      </c>
      <c r="AE497" s="6" t="n"/>
      <c r="AF497" s="3">
        <f>IF($AE497="","",IF((IFERROR(INDEX('ASIGNACIONES'!$F$4:$F$339,MATCH($O497&amp;"|"&amp;$R497&amp;"|"&amp;$AE497,'ASIGNACIONES'!$J$4:$J$339,0)),""))=0,"",IFERROR(INDEX('ASIGNACIONES'!$F$4:$F$339,MATCH($O497&amp;"|"&amp;$R497&amp;"|"&amp;$AE497,'ASIGNACIONES'!$J$4:$J$339,0)),"")))</f>
        <v/>
      </c>
      <c r="AG497" s="13">
        <f>IF($AE497="","",SUMIFS('ORDENES'!$M$4:$M$1203,'ORDENES'!$AE$4:$AE$1203,$AE497,'ORDENES'!$O$4:$O$1203,$O497,'ORDENES'!$R$4:$R$1203,$R497))</f>
        <v/>
      </c>
      <c r="AH497" s="13">
        <f>IF($AG497="","",p_factor_productividad*IFERROR(INDEX('ASIGNACIONES'!$I$4:$I$339,MATCH($O497&amp;"|"&amp;$R497&amp;"|"&amp;$AE497,'ASIGNACIONES'!$J$4:$J$339,0)),0)-$AG497)</f>
        <v/>
      </c>
      <c r="AI497" s="10">
        <f>IF($A497="","",IFERROR(INDEX('2_IMPORTAR_EJECUCION'!$F$9:$F$1208,MATCH($AQ497,'2_IMPORTAR_EJECUCION'!$J$9:$J$1208,0)),0))</f>
        <v/>
      </c>
      <c r="AJ497" s="10">
        <f>IF($A497="","",MAX(0,IFERROR(INDEX('2_IMPORTAR_EJECUCION'!$H$9:$H$1208,MATCH($AQ497,'2_IMPORTAR_EJECUCION'!$J$9:$J$1208,0)),0)-$AI497))</f>
        <v/>
      </c>
      <c r="AK497" s="10">
        <f>IF($A497="","",$AI497+$AJ497)</f>
        <v/>
      </c>
      <c r="AL497" s="6" t="n"/>
      <c r="AM497" s="6" t="n"/>
      <c r="AN497" s="6" t="n"/>
      <c r="AO497" s="3">
        <f>IF($AN497="","",HYPERLINK(p_ruta_base_checklists&amp;$AN497,"abrir"))</f>
        <v/>
      </c>
      <c r="AP497" s="6" t="n"/>
      <c r="AQ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IF($A498="","",IFERROR(INDEX('AJUSTES'!$B$4:$B$303,MATCH($AQ498,'AJUSTES'!$A$4:$A$303,0)),IF($K498="","",$K498)))</f>
        <v/>
      </c>
      <c r="N498" s="3">
        <f>IF($A498="","",IFERROR(INDEX('CAT_ESTADOS_ERP'!$B$4:$B$7,MATCH(IFERROR(INDEX('2_IMPORTAR_EJECUCION'!$C$9:$C$1208,MATCH($AQ498,'2_IMPORTAR_EJECUCION'!$J$9:$J$1208,0)),""),'CAT_ESTADOS_ERP'!$A$4:$A$7,0)),"Pendiente"))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J498="","",IFERROR(INDEX('CALENDARIO'!$C$15:$C$214,MATCH(TEXT($J498,"yyyy-mm-dd")&amp;"|"&amp;$V498&amp;"|"&amp;$W498,'CALENDARIO'!$G$15:$G$214,0)),IFERROR(INDEX('CALENDARIO'!$C$15:$C$214,MATCH(TEXT($J498,"yyyy-mm-dd")&amp;"|"&amp;$V498&amp;"|",'CALENDARIO'!$G$15:$G$214,0)),IFERROR(INDEX('CALENDARIO'!$C$15:$C$214,MATCH(TEXT($J498,"yyyy-mm-dd")&amp;"||",'CALENDARIO'!$G$15:$G$214,0)),INDEX(patronHabil,WEEKDAY($J498,2))))))</f>
        <v/>
      </c>
      <c r="T498" s="3">
        <f>IF($I498="","",IFERROR(INDEX('CAT_TIPOS_OT'!$C$4:$C$7,MATCH($I498,'CAT_TIPOS_OT'!$A$4:$A$7,0)),"sin_clasificar"))</f>
        <v/>
      </c>
      <c r="U498" s="3">
        <f>IF($F498="","",IFERROR(INDEX('CAT_CENTROS_COSTO'!$F$4:$F$13,MATCH($F498,'CAT_CENTROS_COSTO'!$A$4:$A$13,0)),"(sin catálogo)"))</f>
        <v/>
      </c>
      <c r="V498" s="3">
        <f>IF($F498="","",IFERROR(INDEX('CAT_CENTROS_COSTO'!$D$4:$D$13,MATCH($F498,'CAT_CENTROS_COSTO'!$A$4:$A$13,0)),"(sin catálogo)"))</f>
        <v/>
      </c>
      <c r="W498" s="3">
        <f>IF($F498="","",IF((IFERROR(INDEX('CAT_CENTROS_COSTO'!$E$4:$E$13,MATCH($F498,'CAT_CENTROS_COSTO'!$A$4:$A$13,0)),""))&lt;&gt;"",IFERROR(INDEX('CAT_CENTROS_COSTO'!$E$4:$E$13,MATCH($F498,'CAT_CENTROS_COSTO'!$A$4:$A$13,0)),""),$V498))</f>
        <v/>
      </c>
      <c r="X498" s="3">
        <f>IF($F498="","",IFERROR(INDEX('CAT_CENTROS_COSTO'!$G$4:$G$13,MATCH($F498,'CAT_CENTROS_COSTO'!$A$4:$A$13,0)),"(sin catálogo)"))</f>
        <v/>
      </c>
      <c r="Y498" s="3">
        <f>IF($G498="","",IFERROR(INDEX('CAT_PUESTOS'!$B$4:$B$8,MATCH($G498,'CAT_PUESTOS'!$A$4:$A$8,0)),"(sin catálogo)"))</f>
        <v/>
      </c>
      <c r="Z498" s="3">
        <f>IF($H498="","",IFERROR(INDEX('CAT_ACTIVIDADES'!$B$4:$B$8,MATCH($H498,'CAT_ACTIVIDADES'!$A$4:$A$8,0)),"(sin catálogo)"))</f>
        <v/>
      </c>
      <c r="AA498" s="12">
        <f>IF($J498="","",TODAY()-$J498)</f>
        <v/>
      </c>
      <c r="AB498" s="12">
        <f>IF($J498="","",IF($J498&lt;=TODAY(),COUNTIFS(cal_fechas,"&gt;="&amp;$J498,cal_fechas,"&lt;"&amp;TODAY(),cal_habil,"sí"),-COUNTIFS(cal_fechas,"&gt;="&amp;TODAY(),cal_fechas,"&lt;"&amp;$J498,cal_habil,"sí")))</f>
        <v/>
      </c>
      <c r="AC498" s="3">
        <f>IF($AB498="","",IF($AB498&lt;0,"FUTURO",IF($AB498&gt;p_dias_backlog_max,"BACKLOG","MES CORRIENTE")))</f>
        <v/>
      </c>
      <c r="AD498" s="3">
        <f>IF($AB498="",FALSE,AND($AB498&gt;p_dias_backlog_min,$AB498&lt;=p_dias_backlog_max))</f>
        <v/>
      </c>
      <c r="AE498" s="6" t="n"/>
      <c r="AF498" s="3">
        <f>IF($AE498="","",IF((IFERROR(INDEX('ASIGNACIONES'!$F$4:$F$339,MATCH($O498&amp;"|"&amp;$R498&amp;"|"&amp;$AE498,'ASIGNACIONES'!$J$4:$J$339,0)),""))=0,"",IFERROR(INDEX('ASIGNACIONES'!$F$4:$F$339,MATCH($O498&amp;"|"&amp;$R498&amp;"|"&amp;$AE498,'ASIGNACIONES'!$J$4:$J$339,0)),"")))</f>
        <v/>
      </c>
      <c r="AG498" s="13">
        <f>IF($AE498="","",SUMIFS('ORDENES'!$M$4:$M$1203,'ORDENES'!$AE$4:$AE$1203,$AE498,'ORDENES'!$O$4:$O$1203,$O498,'ORDENES'!$R$4:$R$1203,$R498))</f>
        <v/>
      </c>
      <c r="AH498" s="13">
        <f>IF($AG498="","",p_factor_productividad*IFERROR(INDEX('ASIGNACIONES'!$I$4:$I$339,MATCH($O498&amp;"|"&amp;$R498&amp;"|"&amp;$AE498,'ASIGNACIONES'!$J$4:$J$339,0)),0)-$AG498)</f>
        <v/>
      </c>
      <c r="AI498" s="10">
        <f>IF($A498="","",IFERROR(INDEX('2_IMPORTAR_EJECUCION'!$F$9:$F$1208,MATCH($AQ498,'2_IMPORTAR_EJECUCION'!$J$9:$J$1208,0)),0))</f>
        <v/>
      </c>
      <c r="AJ498" s="10">
        <f>IF($A498="","",MAX(0,IFERROR(INDEX('2_IMPORTAR_EJECUCION'!$H$9:$H$1208,MATCH($AQ498,'2_IMPORTAR_EJECUCION'!$J$9:$J$1208,0)),0)-$AI498))</f>
        <v/>
      </c>
      <c r="AK498" s="10">
        <f>IF($A498="","",$AI498+$AJ498)</f>
        <v/>
      </c>
      <c r="AL498" s="6" t="n"/>
      <c r="AM498" s="6" t="n"/>
      <c r="AN498" s="6" t="n"/>
      <c r="AO498" s="3">
        <f>IF($AN498="","",HYPERLINK(p_ruta_base_checklists&amp;$AN498,"abrir"))</f>
        <v/>
      </c>
      <c r="AP498" s="6" t="n"/>
      <c r="AQ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IF($A499="","",IFERROR(INDEX('AJUSTES'!$B$4:$B$303,MATCH($AQ499,'AJUSTES'!$A$4:$A$303,0)),IF($K499="","",$K499)))</f>
        <v/>
      </c>
      <c r="N499" s="3">
        <f>IF($A499="","",IFERROR(INDEX('CAT_ESTADOS_ERP'!$B$4:$B$7,MATCH(IFERROR(INDEX('2_IMPORTAR_EJECUCION'!$C$9:$C$1208,MATCH($AQ499,'2_IMPORTAR_EJECUCION'!$J$9:$J$1208,0)),""),'CAT_ESTADOS_ERP'!$A$4:$A$7,0)),"Pendiente"))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J499="","",IFERROR(INDEX('CALENDARIO'!$C$15:$C$214,MATCH(TEXT($J499,"yyyy-mm-dd")&amp;"|"&amp;$V499&amp;"|"&amp;$W499,'CALENDARIO'!$G$15:$G$214,0)),IFERROR(INDEX('CALENDARIO'!$C$15:$C$214,MATCH(TEXT($J499,"yyyy-mm-dd")&amp;"|"&amp;$V499&amp;"|",'CALENDARIO'!$G$15:$G$214,0)),IFERROR(INDEX('CALENDARIO'!$C$15:$C$214,MATCH(TEXT($J499,"yyyy-mm-dd")&amp;"||",'CALENDARIO'!$G$15:$G$214,0)),INDEX(patronHabil,WEEKDAY($J499,2))))))</f>
        <v/>
      </c>
      <c r="T499" s="3">
        <f>IF($I499="","",IFERROR(INDEX('CAT_TIPOS_OT'!$C$4:$C$7,MATCH($I499,'CAT_TIPOS_OT'!$A$4:$A$7,0)),"sin_clasificar"))</f>
        <v/>
      </c>
      <c r="U499" s="3">
        <f>IF($F499="","",IFERROR(INDEX('CAT_CENTROS_COSTO'!$F$4:$F$13,MATCH($F499,'CAT_CENTROS_COSTO'!$A$4:$A$13,0)),"(sin catálogo)"))</f>
        <v/>
      </c>
      <c r="V499" s="3">
        <f>IF($F499="","",IFERROR(INDEX('CAT_CENTROS_COSTO'!$D$4:$D$13,MATCH($F499,'CAT_CENTROS_COSTO'!$A$4:$A$13,0)),"(sin catálogo)"))</f>
        <v/>
      </c>
      <c r="W499" s="3">
        <f>IF($F499="","",IF((IFERROR(INDEX('CAT_CENTROS_COSTO'!$E$4:$E$13,MATCH($F499,'CAT_CENTROS_COSTO'!$A$4:$A$13,0)),""))&lt;&gt;"",IFERROR(INDEX('CAT_CENTROS_COSTO'!$E$4:$E$13,MATCH($F499,'CAT_CENTROS_COSTO'!$A$4:$A$13,0)),""),$V499))</f>
        <v/>
      </c>
      <c r="X499" s="3">
        <f>IF($F499="","",IFERROR(INDEX('CAT_CENTROS_COSTO'!$G$4:$G$13,MATCH($F499,'CAT_CENTROS_COSTO'!$A$4:$A$13,0)),"(sin catálogo)"))</f>
        <v/>
      </c>
      <c r="Y499" s="3">
        <f>IF($G499="","",IFERROR(INDEX('CAT_PUESTOS'!$B$4:$B$8,MATCH($G499,'CAT_PUESTOS'!$A$4:$A$8,0)),"(sin catálogo)"))</f>
        <v/>
      </c>
      <c r="Z499" s="3">
        <f>IF($H499="","",IFERROR(INDEX('CAT_ACTIVIDADES'!$B$4:$B$8,MATCH($H499,'CAT_ACTIVIDADES'!$A$4:$A$8,0)),"(sin catálogo)"))</f>
        <v/>
      </c>
      <c r="AA499" s="12">
        <f>IF($J499="","",TODAY()-$J499)</f>
        <v/>
      </c>
      <c r="AB499" s="12">
        <f>IF($J499="","",IF($J499&lt;=TODAY(),COUNTIFS(cal_fechas,"&gt;="&amp;$J499,cal_fechas,"&lt;"&amp;TODAY(),cal_habil,"sí"),-COUNTIFS(cal_fechas,"&gt;="&amp;TODAY(),cal_fechas,"&lt;"&amp;$J499,cal_habil,"sí")))</f>
        <v/>
      </c>
      <c r="AC499" s="3">
        <f>IF($AB499="","",IF($AB499&lt;0,"FUTURO",IF($AB499&gt;p_dias_backlog_max,"BACKLOG","MES CORRIENTE")))</f>
        <v/>
      </c>
      <c r="AD499" s="3">
        <f>IF($AB499="",FALSE,AND($AB499&gt;p_dias_backlog_min,$AB499&lt;=p_dias_backlog_max))</f>
        <v/>
      </c>
      <c r="AE499" s="6" t="n"/>
      <c r="AF499" s="3">
        <f>IF($AE499="","",IF((IFERROR(INDEX('ASIGNACIONES'!$F$4:$F$339,MATCH($O499&amp;"|"&amp;$R499&amp;"|"&amp;$AE499,'ASIGNACIONES'!$J$4:$J$339,0)),""))=0,"",IFERROR(INDEX('ASIGNACIONES'!$F$4:$F$339,MATCH($O499&amp;"|"&amp;$R499&amp;"|"&amp;$AE499,'ASIGNACIONES'!$J$4:$J$339,0)),"")))</f>
        <v/>
      </c>
      <c r="AG499" s="13">
        <f>IF($AE499="","",SUMIFS('ORDENES'!$M$4:$M$1203,'ORDENES'!$AE$4:$AE$1203,$AE499,'ORDENES'!$O$4:$O$1203,$O499,'ORDENES'!$R$4:$R$1203,$R499))</f>
        <v/>
      </c>
      <c r="AH499" s="13">
        <f>IF($AG499="","",p_factor_productividad*IFERROR(INDEX('ASIGNACIONES'!$I$4:$I$339,MATCH($O499&amp;"|"&amp;$R499&amp;"|"&amp;$AE499,'ASIGNACIONES'!$J$4:$J$339,0)),0)-$AG499)</f>
        <v/>
      </c>
      <c r="AI499" s="10">
        <f>IF($A499="","",IFERROR(INDEX('2_IMPORTAR_EJECUCION'!$F$9:$F$1208,MATCH($AQ499,'2_IMPORTAR_EJECUCION'!$J$9:$J$1208,0)),0))</f>
        <v/>
      </c>
      <c r="AJ499" s="10">
        <f>IF($A499="","",MAX(0,IFERROR(INDEX('2_IMPORTAR_EJECUCION'!$H$9:$H$1208,MATCH($AQ499,'2_IMPORTAR_EJECUCION'!$J$9:$J$1208,0)),0)-$AI499))</f>
        <v/>
      </c>
      <c r="AK499" s="10">
        <f>IF($A499="","",$AI499+$AJ499)</f>
        <v/>
      </c>
      <c r="AL499" s="6" t="n"/>
      <c r="AM499" s="6" t="n"/>
      <c r="AN499" s="6" t="n"/>
      <c r="AO499" s="3">
        <f>IF($AN499="","",HYPERLINK(p_ruta_base_checklists&amp;$AN499,"abrir"))</f>
        <v/>
      </c>
      <c r="AP499" s="6" t="n"/>
      <c r="AQ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IF($A500="","",IFERROR(INDEX('AJUSTES'!$B$4:$B$303,MATCH($AQ500,'AJUSTES'!$A$4:$A$303,0)),IF($K500="","",$K500)))</f>
        <v/>
      </c>
      <c r="N500" s="3">
        <f>IF($A500="","",IFERROR(INDEX('CAT_ESTADOS_ERP'!$B$4:$B$7,MATCH(IFERROR(INDEX('2_IMPORTAR_EJECUCION'!$C$9:$C$1208,MATCH($AQ500,'2_IMPORTAR_EJECUCION'!$J$9:$J$1208,0)),""),'CAT_ESTADOS_ERP'!$A$4:$A$7,0)),"Pendiente"))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J500="","",IFERROR(INDEX('CALENDARIO'!$C$15:$C$214,MATCH(TEXT($J500,"yyyy-mm-dd")&amp;"|"&amp;$V500&amp;"|"&amp;$W500,'CALENDARIO'!$G$15:$G$214,0)),IFERROR(INDEX('CALENDARIO'!$C$15:$C$214,MATCH(TEXT($J500,"yyyy-mm-dd")&amp;"|"&amp;$V500&amp;"|",'CALENDARIO'!$G$15:$G$214,0)),IFERROR(INDEX('CALENDARIO'!$C$15:$C$214,MATCH(TEXT($J500,"yyyy-mm-dd")&amp;"||",'CALENDARIO'!$G$15:$G$214,0)),INDEX(patronHabil,WEEKDAY($J500,2))))))</f>
        <v/>
      </c>
      <c r="T500" s="3">
        <f>IF($I500="","",IFERROR(INDEX('CAT_TIPOS_OT'!$C$4:$C$7,MATCH($I500,'CAT_TIPOS_OT'!$A$4:$A$7,0)),"sin_clasificar"))</f>
        <v/>
      </c>
      <c r="U500" s="3">
        <f>IF($F500="","",IFERROR(INDEX('CAT_CENTROS_COSTO'!$F$4:$F$13,MATCH($F500,'CAT_CENTROS_COSTO'!$A$4:$A$13,0)),"(sin catálogo)"))</f>
        <v/>
      </c>
      <c r="V500" s="3">
        <f>IF($F500="","",IFERROR(INDEX('CAT_CENTROS_COSTO'!$D$4:$D$13,MATCH($F500,'CAT_CENTROS_COSTO'!$A$4:$A$13,0)),"(sin catálogo)"))</f>
        <v/>
      </c>
      <c r="W500" s="3">
        <f>IF($F500="","",IF((IFERROR(INDEX('CAT_CENTROS_COSTO'!$E$4:$E$13,MATCH($F500,'CAT_CENTROS_COSTO'!$A$4:$A$13,0)),""))&lt;&gt;"",IFERROR(INDEX('CAT_CENTROS_COSTO'!$E$4:$E$13,MATCH($F500,'CAT_CENTROS_COSTO'!$A$4:$A$13,0)),""),$V500))</f>
        <v/>
      </c>
      <c r="X500" s="3">
        <f>IF($F500="","",IFERROR(INDEX('CAT_CENTROS_COSTO'!$G$4:$G$13,MATCH($F500,'CAT_CENTROS_COSTO'!$A$4:$A$13,0)),"(sin catálogo)"))</f>
        <v/>
      </c>
      <c r="Y500" s="3">
        <f>IF($G500="","",IFERROR(INDEX('CAT_PUESTOS'!$B$4:$B$8,MATCH($G500,'CAT_PUESTOS'!$A$4:$A$8,0)),"(sin catálogo)"))</f>
        <v/>
      </c>
      <c r="Z500" s="3">
        <f>IF($H500="","",IFERROR(INDEX('CAT_ACTIVIDADES'!$B$4:$B$8,MATCH($H500,'CAT_ACTIVIDADES'!$A$4:$A$8,0)),"(sin catálogo)"))</f>
        <v/>
      </c>
      <c r="AA500" s="12">
        <f>IF($J500="","",TODAY()-$J500)</f>
        <v/>
      </c>
      <c r="AB500" s="12">
        <f>IF($J500="","",IF($J500&lt;=TODAY(),COUNTIFS(cal_fechas,"&gt;="&amp;$J500,cal_fechas,"&lt;"&amp;TODAY(),cal_habil,"sí"),-COUNTIFS(cal_fechas,"&gt;="&amp;TODAY(),cal_fechas,"&lt;"&amp;$J500,cal_habil,"sí")))</f>
        <v/>
      </c>
      <c r="AC500" s="3">
        <f>IF($AB500="","",IF($AB500&lt;0,"FUTURO",IF($AB500&gt;p_dias_backlog_max,"BACKLOG","MES CORRIENTE")))</f>
        <v/>
      </c>
      <c r="AD500" s="3">
        <f>IF($AB500="",FALSE,AND($AB500&gt;p_dias_backlog_min,$AB500&lt;=p_dias_backlog_max))</f>
        <v/>
      </c>
      <c r="AE500" s="6" t="n"/>
      <c r="AF500" s="3">
        <f>IF($AE500="","",IF((IFERROR(INDEX('ASIGNACIONES'!$F$4:$F$339,MATCH($O500&amp;"|"&amp;$R500&amp;"|"&amp;$AE500,'ASIGNACIONES'!$J$4:$J$339,0)),""))=0,"",IFERROR(INDEX('ASIGNACIONES'!$F$4:$F$339,MATCH($O500&amp;"|"&amp;$R500&amp;"|"&amp;$AE500,'ASIGNACIONES'!$J$4:$J$339,0)),"")))</f>
        <v/>
      </c>
      <c r="AG500" s="13">
        <f>IF($AE500="","",SUMIFS('ORDENES'!$M$4:$M$1203,'ORDENES'!$AE$4:$AE$1203,$AE500,'ORDENES'!$O$4:$O$1203,$O500,'ORDENES'!$R$4:$R$1203,$R500))</f>
        <v/>
      </c>
      <c r="AH500" s="13">
        <f>IF($AG500="","",p_factor_productividad*IFERROR(INDEX('ASIGNACIONES'!$I$4:$I$339,MATCH($O500&amp;"|"&amp;$R500&amp;"|"&amp;$AE500,'ASIGNACIONES'!$J$4:$J$339,0)),0)-$AG500)</f>
        <v/>
      </c>
      <c r="AI500" s="10">
        <f>IF($A500="","",IFERROR(INDEX('2_IMPORTAR_EJECUCION'!$F$9:$F$1208,MATCH($AQ500,'2_IMPORTAR_EJECUCION'!$J$9:$J$1208,0)),0))</f>
        <v/>
      </c>
      <c r="AJ500" s="10">
        <f>IF($A500="","",MAX(0,IFERROR(INDEX('2_IMPORTAR_EJECUCION'!$H$9:$H$1208,MATCH($AQ500,'2_IMPORTAR_EJECUCION'!$J$9:$J$1208,0)),0)-$AI500))</f>
        <v/>
      </c>
      <c r="AK500" s="10">
        <f>IF($A500="","",$AI500+$AJ500)</f>
        <v/>
      </c>
      <c r="AL500" s="6" t="n"/>
      <c r="AM500" s="6" t="n"/>
      <c r="AN500" s="6" t="n"/>
      <c r="AO500" s="3">
        <f>IF($AN500="","",HYPERLINK(p_ruta_base_checklists&amp;$AN500,"abrir"))</f>
        <v/>
      </c>
      <c r="AP500" s="6" t="n"/>
      <c r="AQ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IF($A501="","",IFERROR(INDEX('AJUSTES'!$B$4:$B$303,MATCH($AQ501,'AJUSTES'!$A$4:$A$303,0)),IF($K501="","",$K501)))</f>
        <v/>
      </c>
      <c r="N501" s="3">
        <f>IF($A501="","",IFERROR(INDEX('CAT_ESTADOS_ERP'!$B$4:$B$7,MATCH(IFERROR(INDEX('2_IMPORTAR_EJECUCION'!$C$9:$C$1208,MATCH($AQ501,'2_IMPORTAR_EJECUCION'!$J$9:$J$1208,0)),""),'CAT_ESTADOS_ERP'!$A$4:$A$7,0)),"Pendiente"))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J501="","",IFERROR(INDEX('CALENDARIO'!$C$15:$C$214,MATCH(TEXT($J501,"yyyy-mm-dd")&amp;"|"&amp;$V501&amp;"|"&amp;$W501,'CALENDARIO'!$G$15:$G$214,0)),IFERROR(INDEX('CALENDARIO'!$C$15:$C$214,MATCH(TEXT($J501,"yyyy-mm-dd")&amp;"|"&amp;$V501&amp;"|",'CALENDARIO'!$G$15:$G$214,0)),IFERROR(INDEX('CALENDARIO'!$C$15:$C$214,MATCH(TEXT($J501,"yyyy-mm-dd")&amp;"||",'CALENDARIO'!$G$15:$G$214,0)),INDEX(patronHabil,WEEKDAY($J501,2))))))</f>
        <v/>
      </c>
      <c r="T501" s="3">
        <f>IF($I501="","",IFERROR(INDEX('CAT_TIPOS_OT'!$C$4:$C$7,MATCH($I501,'CAT_TIPOS_OT'!$A$4:$A$7,0)),"sin_clasificar"))</f>
        <v/>
      </c>
      <c r="U501" s="3">
        <f>IF($F501="","",IFERROR(INDEX('CAT_CENTROS_COSTO'!$F$4:$F$13,MATCH($F501,'CAT_CENTROS_COSTO'!$A$4:$A$13,0)),"(sin catálogo)"))</f>
        <v/>
      </c>
      <c r="V501" s="3">
        <f>IF($F501="","",IFERROR(INDEX('CAT_CENTROS_COSTO'!$D$4:$D$13,MATCH($F501,'CAT_CENTROS_COSTO'!$A$4:$A$13,0)),"(sin catálogo)"))</f>
        <v/>
      </c>
      <c r="W501" s="3">
        <f>IF($F501="","",IF((IFERROR(INDEX('CAT_CENTROS_COSTO'!$E$4:$E$13,MATCH($F501,'CAT_CENTROS_COSTO'!$A$4:$A$13,0)),""))&lt;&gt;"",IFERROR(INDEX('CAT_CENTROS_COSTO'!$E$4:$E$13,MATCH($F501,'CAT_CENTROS_COSTO'!$A$4:$A$13,0)),""),$V501))</f>
        <v/>
      </c>
      <c r="X501" s="3">
        <f>IF($F501="","",IFERROR(INDEX('CAT_CENTROS_COSTO'!$G$4:$G$13,MATCH($F501,'CAT_CENTROS_COSTO'!$A$4:$A$13,0)),"(sin catálogo)"))</f>
        <v/>
      </c>
      <c r="Y501" s="3">
        <f>IF($G501="","",IFERROR(INDEX('CAT_PUESTOS'!$B$4:$B$8,MATCH($G501,'CAT_PUESTOS'!$A$4:$A$8,0)),"(sin catálogo)"))</f>
        <v/>
      </c>
      <c r="Z501" s="3">
        <f>IF($H501="","",IFERROR(INDEX('CAT_ACTIVIDADES'!$B$4:$B$8,MATCH($H501,'CAT_ACTIVIDADES'!$A$4:$A$8,0)),"(sin catálogo)"))</f>
        <v/>
      </c>
      <c r="AA501" s="12">
        <f>IF($J501="","",TODAY()-$J501)</f>
        <v/>
      </c>
      <c r="AB501" s="12">
        <f>IF($J501="","",IF($J501&lt;=TODAY(),COUNTIFS(cal_fechas,"&gt;="&amp;$J501,cal_fechas,"&lt;"&amp;TODAY(),cal_habil,"sí"),-COUNTIFS(cal_fechas,"&gt;="&amp;TODAY(),cal_fechas,"&lt;"&amp;$J501,cal_habil,"sí")))</f>
        <v/>
      </c>
      <c r="AC501" s="3">
        <f>IF($AB501="","",IF($AB501&lt;0,"FUTURO",IF($AB501&gt;p_dias_backlog_max,"BACKLOG","MES CORRIENTE")))</f>
        <v/>
      </c>
      <c r="AD501" s="3">
        <f>IF($AB501="",FALSE,AND($AB501&gt;p_dias_backlog_min,$AB501&lt;=p_dias_backlog_max))</f>
        <v/>
      </c>
      <c r="AE501" s="6" t="n"/>
      <c r="AF501" s="3">
        <f>IF($AE501="","",IF((IFERROR(INDEX('ASIGNACIONES'!$F$4:$F$339,MATCH($O501&amp;"|"&amp;$R501&amp;"|"&amp;$AE501,'ASIGNACIONES'!$J$4:$J$339,0)),""))=0,"",IFERROR(INDEX('ASIGNACIONES'!$F$4:$F$339,MATCH($O501&amp;"|"&amp;$R501&amp;"|"&amp;$AE501,'ASIGNACIONES'!$J$4:$J$339,0)),"")))</f>
        <v/>
      </c>
      <c r="AG501" s="13">
        <f>IF($AE501="","",SUMIFS('ORDENES'!$M$4:$M$1203,'ORDENES'!$AE$4:$AE$1203,$AE501,'ORDENES'!$O$4:$O$1203,$O501,'ORDENES'!$R$4:$R$1203,$R501))</f>
        <v/>
      </c>
      <c r="AH501" s="13">
        <f>IF($AG501="","",p_factor_productividad*IFERROR(INDEX('ASIGNACIONES'!$I$4:$I$339,MATCH($O501&amp;"|"&amp;$R501&amp;"|"&amp;$AE501,'ASIGNACIONES'!$J$4:$J$339,0)),0)-$AG501)</f>
        <v/>
      </c>
      <c r="AI501" s="10">
        <f>IF($A501="","",IFERROR(INDEX('2_IMPORTAR_EJECUCION'!$F$9:$F$1208,MATCH($AQ501,'2_IMPORTAR_EJECUCION'!$J$9:$J$1208,0)),0))</f>
        <v/>
      </c>
      <c r="AJ501" s="10">
        <f>IF($A501="","",MAX(0,IFERROR(INDEX('2_IMPORTAR_EJECUCION'!$H$9:$H$1208,MATCH($AQ501,'2_IMPORTAR_EJECUCION'!$J$9:$J$1208,0)),0)-$AI501))</f>
        <v/>
      </c>
      <c r="AK501" s="10">
        <f>IF($A501="","",$AI501+$AJ501)</f>
        <v/>
      </c>
      <c r="AL501" s="6" t="n"/>
      <c r="AM501" s="6" t="n"/>
      <c r="AN501" s="6" t="n"/>
      <c r="AO501" s="3">
        <f>IF($AN501="","",HYPERLINK(p_ruta_base_checklists&amp;$AN501,"abrir"))</f>
        <v/>
      </c>
      <c r="AP501" s="6" t="n"/>
      <c r="AQ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IF($A502="","",IFERROR(INDEX('AJUSTES'!$B$4:$B$303,MATCH($AQ502,'AJUSTES'!$A$4:$A$303,0)),IF($K502="","",$K502)))</f>
        <v/>
      </c>
      <c r="N502" s="3">
        <f>IF($A502="","",IFERROR(INDEX('CAT_ESTADOS_ERP'!$B$4:$B$7,MATCH(IFERROR(INDEX('2_IMPORTAR_EJECUCION'!$C$9:$C$1208,MATCH($AQ502,'2_IMPORTAR_EJECUCION'!$J$9:$J$1208,0)),""),'CAT_ESTADOS_ERP'!$A$4:$A$7,0)),"Pendiente"))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J502="","",IFERROR(INDEX('CALENDARIO'!$C$15:$C$214,MATCH(TEXT($J502,"yyyy-mm-dd")&amp;"|"&amp;$V502&amp;"|"&amp;$W502,'CALENDARIO'!$G$15:$G$214,0)),IFERROR(INDEX('CALENDARIO'!$C$15:$C$214,MATCH(TEXT($J502,"yyyy-mm-dd")&amp;"|"&amp;$V502&amp;"|",'CALENDARIO'!$G$15:$G$214,0)),IFERROR(INDEX('CALENDARIO'!$C$15:$C$214,MATCH(TEXT($J502,"yyyy-mm-dd")&amp;"||",'CALENDARIO'!$G$15:$G$214,0)),INDEX(patronHabil,WEEKDAY($J502,2))))))</f>
        <v/>
      </c>
      <c r="T502" s="3">
        <f>IF($I502="","",IFERROR(INDEX('CAT_TIPOS_OT'!$C$4:$C$7,MATCH($I502,'CAT_TIPOS_OT'!$A$4:$A$7,0)),"sin_clasificar"))</f>
        <v/>
      </c>
      <c r="U502" s="3">
        <f>IF($F502="","",IFERROR(INDEX('CAT_CENTROS_COSTO'!$F$4:$F$13,MATCH($F502,'CAT_CENTROS_COSTO'!$A$4:$A$13,0)),"(sin catálogo)"))</f>
        <v/>
      </c>
      <c r="V502" s="3">
        <f>IF($F502="","",IFERROR(INDEX('CAT_CENTROS_COSTO'!$D$4:$D$13,MATCH($F502,'CAT_CENTROS_COSTO'!$A$4:$A$13,0)),"(sin catálogo)"))</f>
        <v/>
      </c>
      <c r="W502" s="3">
        <f>IF($F502="","",IF((IFERROR(INDEX('CAT_CENTROS_COSTO'!$E$4:$E$13,MATCH($F502,'CAT_CENTROS_COSTO'!$A$4:$A$13,0)),""))&lt;&gt;"",IFERROR(INDEX('CAT_CENTROS_COSTO'!$E$4:$E$13,MATCH($F502,'CAT_CENTROS_COSTO'!$A$4:$A$13,0)),""),$V502))</f>
        <v/>
      </c>
      <c r="X502" s="3">
        <f>IF($F502="","",IFERROR(INDEX('CAT_CENTROS_COSTO'!$G$4:$G$13,MATCH($F502,'CAT_CENTROS_COSTO'!$A$4:$A$13,0)),"(sin catálogo)"))</f>
        <v/>
      </c>
      <c r="Y502" s="3">
        <f>IF($G502="","",IFERROR(INDEX('CAT_PUESTOS'!$B$4:$B$8,MATCH($G502,'CAT_PUESTOS'!$A$4:$A$8,0)),"(sin catálogo)"))</f>
        <v/>
      </c>
      <c r="Z502" s="3">
        <f>IF($H502="","",IFERROR(INDEX('CAT_ACTIVIDADES'!$B$4:$B$8,MATCH($H502,'CAT_ACTIVIDADES'!$A$4:$A$8,0)),"(sin catálogo)"))</f>
        <v/>
      </c>
      <c r="AA502" s="12">
        <f>IF($J502="","",TODAY()-$J502)</f>
        <v/>
      </c>
      <c r="AB502" s="12">
        <f>IF($J502="","",IF($J502&lt;=TODAY(),COUNTIFS(cal_fechas,"&gt;="&amp;$J502,cal_fechas,"&lt;"&amp;TODAY(),cal_habil,"sí"),-COUNTIFS(cal_fechas,"&gt;="&amp;TODAY(),cal_fechas,"&lt;"&amp;$J502,cal_habil,"sí")))</f>
        <v/>
      </c>
      <c r="AC502" s="3">
        <f>IF($AB502="","",IF($AB502&lt;0,"FUTURO",IF($AB502&gt;p_dias_backlog_max,"BACKLOG","MES CORRIENTE")))</f>
        <v/>
      </c>
      <c r="AD502" s="3">
        <f>IF($AB502="",FALSE,AND($AB502&gt;p_dias_backlog_min,$AB502&lt;=p_dias_backlog_max))</f>
        <v/>
      </c>
      <c r="AE502" s="6" t="n"/>
      <c r="AF502" s="3">
        <f>IF($AE502="","",IF((IFERROR(INDEX('ASIGNACIONES'!$F$4:$F$339,MATCH($O502&amp;"|"&amp;$R502&amp;"|"&amp;$AE502,'ASIGNACIONES'!$J$4:$J$339,0)),""))=0,"",IFERROR(INDEX('ASIGNACIONES'!$F$4:$F$339,MATCH($O502&amp;"|"&amp;$R502&amp;"|"&amp;$AE502,'ASIGNACIONES'!$J$4:$J$339,0)),"")))</f>
        <v/>
      </c>
      <c r="AG502" s="13">
        <f>IF($AE502="","",SUMIFS('ORDENES'!$M$4:$M$1203,'ORDENES'!$AE$4:$AE$1203,$AE502,'ORDENES'!$O$4:$O$1203,$O502,'ORDENES'!$R$4:$R$1203,$R502))</f>
        <v/>
      </c>
      <c r="AH502" s="13">
        <f>IF($AG502="","",p_factor_productividad*IFERROR(INDEX('ASIGNACIONES'!$I$4:$I$339,MATCH($O502&amp;"|"&amp;$R502&amp;"|"&amp;$AE502,'ASIGNACIONES'!$J$4:$J$339,0)),0)-$AG502)</f>
        <v/>
      </c>
      <c r="AI502" s="10">
        <f>IF($A502="","",IFERROR(INDEX('2_IMPORTAR_EJECUCION'!$F$9:$F$1208,MATCH($AQ502,'2_IMPORTAR_EJECUCION'!$J$9:$J$1208,0)),0))</f>
        <v/>
      </c>
      <c r="AJ502" s="10">
        <f>IF($A502="","",MAX(0,IFERROR(INDEX('2_IMPORTAR_EJECUCION'!$H$9:$H$1208,MATCH($AQ502,'2_IMPORTAR_EJECUCION'!$J$9:$J$1208,0)),0)-$AI502))</f>
        <v/>
      </c>
      <c r="AK502" s="10">
        <f>IF($A502="","",$AI502+$AJ502)</f>
        <v/>
      </c>
      <c r="AL502" s="6" t="n"/>
      <c r="AM502" s="6" t="n"/>
      <c r="AN502" s="6" t="n"/>
      <c r="AO502" s="3">
        <f>IF($AN502="","",HYPERLINK(p_ruta_base_checklists&amp;$AN502,"abrir"))</f>
        <v/>
      </c>
      <c r="AP502" s="6" t="n"/>
      <c r="AQ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IF($A503="","",IFERROR(INDEX('AJUSTES'!$B$4:$B$303,MATCH($AQ503,'AJUSTES'!$A$4:$A$303,0)),IF($K503="","",$K503)))</f>
        <v/>
      </c>
      <c r="N503" s="3">
        <f>IF($A503="","",IFERROR(INDEX('CAT_ESTADOS_ERP'!$B$4:$B$7,MATCH(IFERROR(INDEX('2_IMPORTAR_EJECUCION'!$C$9:$C$1208,MATCH($AQ503,'2_IMPORTAR_EJECUCION'!$J$9:$J$1208,0)),""),'CAT_ESTADOS_ERP'!$A$4:$A$7,0)),"Pendiente"))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J503="","",IFERROR(INDEX('CALENDARIO'!$C$15:$C$214,MATCH(TEXT($J503,"yyyy-mm-dd")&amp;"|"&amp;$V503&amp;"|"&amp;$W503,'CALENDARIO'!$G$15:$G$214,0)),IFERROR(INDEX('CALENDARIO'!$C$15:$C$214,MATCH(TEXT($J503,"yyyy-mm-dd")&amp;"|"&amp;$V503&amp;"|",'CALENDARIO'!$G$15:$G$214,0)),IFERROR(INDEX('CALENDARIO'!$C$15:$C$214,MATCH(TEXT($J503,"yyyy-mm-dd")&amp;"||",'CALENDARIO'!$G$15:$G$214,0)),INDEX(patronHabil,WEEKDAY($J503,2))))))</f>
        <v/>
      </c>
      <c r="T503" s="3">
        <f>IF($I503="","",IFERROR(INDEX('CAT_TIPOS_OT'!$C$4:$C$7,MATCH($I503,'CAT_TIPOS_OT'!$A$4:$A$7,0)),"sin_clasificar"))</f>
        <v/>
      </c>
      <c r="U503" s="3">
        <f>IF($F503="","",IFERROR(INDEX('CAT_CENTROS_COSTO'!$F$4:$F$13,MATCH($F503,'CAT_CENTROS_COSTO'!$A$4:$A$13,0)),"(sin catálogo)"))</f>
        <v/>
      </c>
      <c r="V503" s="3">
        <f>IF($F503="","",IFERROR(INDEX('CAT_CENTROS_COSTO'!$D$4:$D$13,MATCH($F503,'CAT_CENTROS_COSTO'!$A$4:$A$13,0)),"(sin catálogo)"))</f>
        <v/>
      </c>
      <c r="W503" s="3">
        <f>IF($F503="","",IF((IFERROR(INDEX('CAT_CENTROS_COSTO'!$E$4:$E$13,MATCH($F503,'CAT_CENTROS_COSTO'!$A$4:$A$13,0)),""))&lt;&gt;"",IFERROR(INDEX('CAT_CENTROS_COSTO'!$E$4:$E$13,MATCH($F503,'CAT_CENTROS_COSTO'!$A$4:$A$13,0)),""),$V503))</f>
        <v/>
      </c>
      <c r="X503" s="3">
        <f>IF($F503="","",IFERROR(INDEX('CAT_CENTROS_COSTO'!$G$4:$G$13,MATCH($F503,'CAT_CENTROS_COSTO'!$A$4:$A$13,0)),"(sin catálogo)"))</f>
        <v/>
      </c>
      <c r="Y503" s="3">
        <f>IF($G503="","",IFERROR(INDEX('CAT_PUESTOS'!$B$4:$B$8,MATCH($G503,'CAT_PUESTOS'!$A$4:$A$8,0)),"(sin catálogo)"))</f>
        <v/>
      </c>
      <c r="Z503" s="3">
        <f>IF($H503="","",IFERROR(INDEX('CAT_ACTIVIDADES'!$B$4:$B$8,MATCH($H503,'CAT_ACTIVIDADES'!$A$4:$A$8,0)),"(sin catálogo)"))</f>
        <v/>
      </c>
      <c r="AA503" s="12">
        <f>IF($J503="","",TODAY()-$J503)</f>
        <v/>
      </c>
      <c r="AB503" s="12">
        <f>IF($J503="","",IF($J503&lt;=TODAY(),COUNTIFS(cal_fechas,"&gt;="&amp;$J503,cal_fechas,"&lt;"&amp;TODAY(),cal_habil,"sí"),-COUNTIFS(cal_fechas,"&gt;="&amp;TODAY(),cal_fechas,"&lt;"&amp;$J503,cal_habil,"sí")))</f>
        <v/>
      </c>
      <c r="AC503" s="3">
        <f>IF($AB503="","",IF($AB503&lt;0,"FUTURO",IF($AB503&gt;p_dias_backlog_max,"BACKLOG","MES CORRIENTE")))</f>
        <v/>
      </c>
      <c r="AD503" s="3">
        <f>IF($AB503="",FALSE,AND($AB503&gt;p_dias_backlog_min,$AB503&lt;=p_dias_backlog_max))</f>
        <v/>
      </c>
      <c r="AE503" s="6" t="n"/>
      <c r="AF503" s="3">
        <f>IF($AE503="","",IF((IFERROR(INDEX('ASIGNACIONES'!$F$4:$F$339,MATCH($O503&amp;"|"&amp;$R503&amp;"|"&amp;$AE503,'ASIGNACIONES'!$J$4:$J$339,0)),""))=0,"",IFERROR(INDEX('ASIGNACIONES'!$F$4:$F$339,MATCH($O503&amp;"|"&amp;$R503&amp;"|"&amp;$AE503,'ASIGNACIONES'!$J$4:$J$339,0)),"")))</f>
        <v/>
      </c>
      <c r="AG503" s="13">
        <f>IF($AE503="","",SUMIFS('ORDENES'!$M$4:$M$1203,'ORDENES'!$AE$4:$AE$1203,$AE503,'ORDENES'!$O$4:$O$1203,$O503,'ORDENES'!$R$4:$R$1203,$R503))</f>
        <v/>
      </c>
      <c r="AH503" s="13">
        <f>IF($AG503="","",p_factor_productividad*IFERROR(INDEX('ASIGNACIONES'!$I$4:$I$339,MATCH($O503&amp;"|"&amp;$R503&amp;"|"&amp;$AE503,'ASIGNACIONES'!$J$4:$J$339,0)),0)-$AG503)</f>
        <v/>
      </c>
      <c r="AI503" s="10">
        <f>IF($A503="","",IFERROR(INDEX('2_IMPORTAR_EJECUCION'!$F$9:$F$1208,MATCH($AQ503,'2_IMPORTAR_EJECUCION'!$J$9:$J$1208,0)),0))</f>
        <v/>
      </c>
      <c r="AJ503" s="10">
        <f>IF($A503="","",MAX(0,IFERROR(INDEX('2_IMPORTAR_EJECUCION'!$H$9:$H$1208,MATCH($AQ503,'2_IMPORTAR_EJECUCION'!$J$9:$J$1208,0)),0)-$AI503))</f>
        <v/>
      </c>
      <c r="AK503" s="10">
        <f>IF($A503="","",$AI503+$AJ503)</f>
        <v/>
      </c>
      <c r="AL503" s="6" t="n"/>
      <c r="AM503" s="6" t="n"/>
      <c r="AN503" s="6" t="n"/>
      <c r="AO503" s="3">
        <f>IF($AN503="","",HYPERLINK(p_ruta_base_checklists&amp;$AN503,"abrir"))</f>
        <v/>
      </c>
      <c r="AP503" s="6" t="n"/>
      <c r="AQ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IF($A504="","",IFERROR(INDEX('AJUSTES'!$B$4:$B$303,MATCH($AQ504,'AJUSTES'!$A$4:$A$303,0)),IF($K504="","",$K504)))</f>
        <v/>
      </c>
      <c r="N504" s="3">
        <f>IF($A504="","",IFERROR(INDEX('CAT_ESTADOS_ERP'!$B$4:$B$7,MATCH(IFERROR(INDEX('2_IMPORTAR_EJECUCION'!$C$9:$C$1208,MATCH($AQ504,'2_IMPORTAR_EJECUCION'!$J$9:$J$1208,0)),""),'CAT_ESTADOS_ERP'!$A$4:$A$7,0)),"Pendiente"))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J504="","",IFERROR(INDEX('CALENDARIO'!$C$15:$C$214,MATCH(TEXT($J504,"yyyy-mm-dd")&amp;"|"&amp;$V504&amp;"|"&amp;$W504,'CALENDARIO'!$G$15:$G$214,0)),IFERROR(INDEX('CALENDARIO'!$C$15:$C$214,MATCH(TEXT($J504,"yyyy-mm-dd")&amp;"|"&amp;$V504&amp;"|",'CALENDARIO'!$G$15:$G$214,0)),IFERROR(INDEX('CALENDARIO'!$C$15:$C$214,MATCH(TEXT($J504,"yyyy-mm-dd")&amp;"||",'CALENDARIO'!$G$15:$G$214,0)),INDEX(patronHabil,WEEKDAY($J504,2))))))</f>
        <v/>
      </c>
      <c r="T504" s="3">
        <f>IF($I504="","",IFERROR(INDEX('CAT_TIPOS_OT'!$C$4:$C$7,MATCH($I504,'CAT_TIPOS_OT'!$A$4:$A$7,0)),"sin_clasificar"))</f>
        <v/>
      </c>
      <c r="U504" s="3">
        <f>IF($F504="","",IFERROR(INDEX('CAT_CENTROS_COSTO'!$F$4:$F$13,MATCH($F504,'CAT_CENTROS_COSTO'!$A$4:$A$13,0)),"(sin catálogo)"))</f>
        <v/>
      </c>
      <c r="V504" s="3">
        <f>IF($F504="","",IFERROR(INDEX('CAT_CENTROS_COSTO'!$D$4:$D$13,MATCH($F504,'CAT_CENTROS_COSTO'!$A$4:$A$13,0)),"(sin catálogo)"))</f>
        <v/>
      </c>
      <c r="W504" s="3">
        <f>IF($F504="","",IF((IFERROR(INDEX('CAT_CENTROS_COSTO'!$E$4:$E$13,MATCH($F504,'CAT_CENTROS_COSTO'!$A$4:$A$13,0)),""))&lt;&gt;"",IFERROR(INDEX('CAT_CENTROS_COSTO'!$E$4:$E$13,MATCH($F504,'CAT_CENTROS_COSTO'!$A$4:$A$13,0)),""),$V504))</f>
        <v/>
      </c>
      <c r="X504" s="3">
        <f>IF($F504="","",IFERROR(INDEX('CAT_CENTROS_COSTO'!$G$4:$G$13,MATCH($F504,'CAT_CENTROS_COSTO'!$A$4:$A$13,0)),"(sin catálogo)"))</f>
        <v/>
      </c>
      <c r="Y504" s="3">
        <f>IF($G504="","",IFERROR(INDEX('CAT_PUESTOS'!$B$4:$B$8,MATCH($G504,'CAT_PUESTOS'!$A$4:$A$8,0)),"(sin catálogo)"))</f>
        <v/>
      </c>
      <c r="Z504" s="3">
        <f>IF($H504="","",IFERROR(INDEX('CAT_ACTIVIDADES'!$B$4:$B$8,MATCH($H504,'CAT_ACTIVIDADES'!$A$4:$A$8,0)),"(sin catálogo)"))</f>
        <v/>
      </c>
      <c r="AA504" s="12">
        <f>IF($J504="","",TODAY()-$J504)</f>
        <v/>
      </c>
      <c r="AB504" s="12">
        <f>IF($J504="","",IF($J504&lt;=TODAY(),COUNTIFS(cal_fechas,"&gt;="&amp;$J504,cal_fechas,"&lt;"&amp;TODAY(),cal_habil,"sí"),-COUNTIFS(cal_fechas,"&gt;="&amp;TODAY(),cal_fechas,"&lt;"&amp;$J504,cal_habil,"sí")))</f>
        <v/>
      </c>
      <c r="AC504" s="3">
        <f>IF($AB504="","",IF($AB504&lt;0,"FUTURO",IF($AB504&gt;p_dias_backlog_max,"BACKLOG","MES CORRIENTE")))</f>
        <v/>
      </c>
      <c r="AD504" s="3">
        <f>IF($AB504="",FALSE,AND($AB504&gt;p_dias_backlog_min,$AB504&lt;=p_dias_backlog_max))</f>
        <v/>
      </c>
      <c r="AE504" s="6" t="n"/>
      <c r="AF504" s="3">
        <f>IF($AE504="","",IF((IFERROR(INDEX('ASIGNACIONES'!$F$4:$F$339,MATCH($O504&amp;"|"&amp;$R504&amp;"|"&amp;$AE504,'ASIGNACIONES'!$J$4:$J$339,0)),""))=0,"",IFERROR(INDEX('ASIGNACIONES'!$F$4:$F$339,MATCH($O504&amp;"|"&amp;$R504&amp;"|"&amp;$AE504,'ASIGNACIONES'!$J$4:$J$339,0)),"")))</f>
        <v/>
      </c>
      <c r="AG504" s="13">
        <f>IF($AE504="","",SUMIFS('ORDENES'!$M$4:$M$1203,'ORDENES'!$AE$4:$AE$1203,$AE504,'ORDENES'!$O$4:$O$1203,$O504,'ORDENES'!$R$4:$R$1203,$R504))</f>
        <v/>
      </c>
      <c r="AH504" s="13">
        <f>IF($AG504="","",p_factor_productividad*IFERROR(INDEX('ASIGNACIONES'!$I$4:$I$339,MATCH($O504&amp;"|"&amp;$R504&amp;"|"&amp;$AE504,'ASIGNACIONES'!$J$4:$J$339,0)),0)-$AG504)</f>
        <v/>
      </c>
      <c r="AI504" s="10">
        <f>IF($A504="","",IFERROR(INDEX('2_IMPORTAR_EJECUCION'!$F$9:$F$1208,MATCH($AQ504,'2_IMPORTAR_EJECUCION'!$J$9:$J$1208,0)),0))</f>
        <v/>
      </c>
      <c r="AJ504" s="10">
        <f>IF($A504="","",MAX(0,IFERROR(INDEX('2_IMPORTAR_EJECUCION'!$H$9:$H$1208,MATCH($AQ504,'2_IMPORTAR_EJECUCION'!$J$9:$J$1208,0)),0)-$AI504))</f>
        <v/>
      </c>
      <c r="AK504" s="10">
        <f>IF($A504="","",$AI504+$AJ504)</f>
        <v/>
      </c>
      <c r="AL504" s="6" t="n"/>
      <c r="AM504" s="6" t="n"/>
      <c r="AN504" s="6" t="n"/>
      <c r="AO504" s="3">
        <f>IF($AN504="","",HYPERLINK(p_ruta_base_checklists&amp;$AN504,"abrir"))</f>
        <v/>
      </c>
      <c r="AP504" s="6" t="n"/>
      <c r="AQ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IF($A505="","",IFERROR(INDEX('AJUSTES'!$B$4:$B$303,MATCH($AQ505,'AJUSTES'!$A$4:$A$303,0)),IF($K505="","",$K505)))</f>
        <v/>
      </c>
      <c r="N505" s="3">
        <f>IF($A505="","",IFERROR(INDEX('CAT_ESTADOS_ERP'!$B$4:$B$7,MATCH(IFERROR(INDEX('2_IMPORTAR_EJECUCION'!$C$9:$C$1208,MATCH($AQ505,'2_IMPORTAR_EJECUCION'!$J$9:$J$1208,0)),""),'CAT_ESTADOS_ERP'!$A$4:$A$7,0)),"Pendiente"))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J505="","",IFERROR(INDEX('CALENDARIO'!$C$15:$C$214,MATCH(TEXT($J505,"yyyy-mm-dd")&amp;"|"&amp;$V505&amp;"|"&amp;$W505,'CALENDARIO'!$G$15:$G$214,0)),IFERROR(INDEX('CALENDARIO'!$C$15:$C$214,MATCH(TEXT($J505,"yyyy-mm-dd")&amp;"|"&amp;$V505&amp;"|",'CALENDARIO'!$G$15:$G$214,0)),IFERROR(INDEX('CALENDARIO'!$C$15:$C$214,MATCH(TEXT($J505,"yyyy-mm-dd")&amp;"||",'CALENDARIO'!$G$15:$G$214,0)),INDEX(patronHabil,WEEKDAY($J505,2))))))</f>
        <v/>
      </c>
      <c r="T505" s="3">
        <f>IF($I505="","",IFERROR(INDEX('CAT_TIPOS_OT'!$C$4:$C$7,MATCH($I505,'CAT_TIPOS_OT'!$A$4:$A$7,0)),"sin_clasificar"))</f>
        <v/>
      </c>
      <c r="U505" s="3">
        <f>IF($F505="","",IFERROR(INDEX('CAT_CENTROS_COSTO'!$F$4:$F$13,MATCH($F505,'CAT_CENTROS_COSTO'!$A$4:$A$13,0)),"(sin catálogo)"))</f>
        <v/>
      </c>
      <c r="V505" s="3">
        <f>IF($F505="","",IFERROR(INDEX('CAT_CENTROS_COSTO'!$D$4:$D$13,MATCH($F505,'CAT_CENTROS_COSTO'!$A$4:$A$13,0)),"(sin catálogo)"))</f>
        <v/>
      </c>
      <c r="W505" s="3">
        <f>IF($F505="","",IF((IFERROR(INDEX('CAT_CENTROS_COSTO'!$E$4:$E$13,MATCH($F505,'CAT_CENTROS_COSTO'!$A$4:$A$13,0)),""))&lt;&gt;"",IFERROR(INDEX('CAT_CENTROS_COSTO'!$E$4:$E$13,MATCH($F505,'CAT_CENTROS_COSTO'!$A$4:$A$13,0)),""),$V505))</f>
        <v/>
      </c>
      <c r="X505" s="3">
        <f>IF($F505="","",IFERROR(INDEX('CAT_CENTROS_COSTO'!$G$4:$G$13,MATCH($F505,'CAT_CENTROS_COSTO'!$A$4:$A$13,0)),"(sin catálogo)"))</f>
        <v/>
      </c>
      <c r="Y505" s="3">
        <f>IF($G505="","",IFERROR(INDEX('CAT_PUESTOS'!$B$4:$B$8,MATCH($G505,'CAT_PUESTOS'!$A$4:$A$8,0)),"(sin catálogo)"))</f>
        <v/>
      </c>
      <c r="Z505" s="3">
        <f>IF($H505="","",IFERROR(INDEX('CAT_ACTIVIDADES'!$B$4:$B$8,MATCH($H505,'CAT_ACTIVIDADES'!$A$4:$A$8,0)),"(sin catálogo)"))</f>
        <v/>
      </c>
      <c r="AA505" s="12">
        <f>IF($J505="","",TODAY()-$J505)</f>
        <v/>
      </c>
      <c r="AB505" s="12">
        <f>IF($J505="","",IF($J505&lt;=TODAY(),COUNTIFS(cal_fechas,"&gt;="&amp;$J505,cal_fechas,"&lt;"&amp;TODAY(),cal_habil,"sí"),-COUNTIFS(cal_fechas,"&gt;="&amp;TODAY(),cal_fechas,"&lt;"&amp;$J505,cal_habil,"sí")))</f>
        <v/>
      </c>
      <c r="AC505" s="3">
        <f>IF($AB505="","",IF($AB505&lt;0,"FUTURO",IF($AB505&gt;p_dias_backlog_max,"BACKLOG","MES CORRIENTE")))</f>
        <v/>
      </c>
      <c r="AD505" s="3">
        <f>IF($AB505="",FALSE,AND($AB505&gt;p_dias_backlog_min,$AB505&lt;=p_dias_backlog_max))</f>
        <v/>
      </c>
      <c r="AE505" s="6" t="n"/>
      <c r="AF505" s="3">
        <f>IF($AE505="","",IF((IFERROR(INDEX('ASIGNACIONES'!$F$4:$F$339,MATCH($O505&amp;"|"&amp;$R505&amp;"|"&amp;$AE505,'ASIGNACIONES'!$J$4:$J$339,0)),""))=0,"",IFERROR(INDEX('ASIGNACIONES'!$F$4:$F$339,MATCH($O505&amp;"|"&amp;$R505&amp;"|"&amp;$AE505,'ASIGNACIONES'!$J$4:$J$339,0)),"")))</f>
        <v/>
      </c>
      <c r="AG505" s="13">
        <f>IF($AE505="","",SUMIFS('ORDENES'!$M$4:$M$1203,'ORDENES'!$AE$4:$AE$1203,$AE505,'ORDENES'!$O$4:$O$1203,$O505,'ORDENES'!$R$4:$R$1203,$R505))</f>
        <v/>
      </c>
      <c r="AH505" s="13">
        <f>IF($AG505="","",p_factor_productividad*IFERROR(INDEX('ASIGNACIONES'!$I$4:$I$339,MATCH($O505&amp;"|"&amp;$R505&amp;"|"&amp;$AE505,'ASIGNACIONES'!$J$4:$J$339,0)),0)-$AG505)</f>
        <v/>
      </c>
      <c r="AI505" s="10">
        <f>IF($A505="","",IFERROR(INDEX('2_IMPORTAR_EJECUCION'!$F$9:$F$1208,MATCH($AQ505,'2_IMPORTAR_EJECUCION'!$J$9:$J$1208,0)),0))</f>
        <v/>
      </c>
      <c r="AJ505" s="10">
        <f>IF($A505="","",MAX(0,IFERROR(INDEX('2_IMPORTAR_EJECUCION'!$H$9:$H$1208,MATCH($AQ505,'2_IMPORTAR_EJECUCION'!$J$9:$J$1208,0)),0)-$AI505))</f>
        <v/>
      </c>
      <c r="AK505" s="10">
        <f>IF($A505="","",$AI505+$AJ505)</f>
        <v/>
      </c>
      <c r="AL505" s="6" t="n"/>
      <c r="AM505" s="6" t="n"/>
      <c r="AN505" s="6" t="n"/>
      <c r="AO505" s="3">
        <f>IF($AN505="","",HYPERLINK(p_ruta_base_checklists&amp;$AN505,"abrir"))</f>
        <v/>
      </c>
      <c r="AP505" s="6" t="n"/>
      <c r="AQ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IF($A506="","",IFERROR(INDEX('AJUSTES'!$B$4:$B$303,MATCH($AQ506,'AJUSTES'!$A$4:$A$303,0)),IF($K506="","",$K506)))</f>
        <v/>
      </c>
      <c r="N506" s="3">
        <f>IF($A506="","",IFERROR(INDEX('CAT_ESTADOS_ERP'!$B$4:$B$7,MATCH(IFERROR(INDEX('2_IMPORTAR_EJECUCION'!$C$9:$C$1208,MATCH($AQ506,'2_IMPORTAR_EJECUCION'!$J$9:$J$1208,0)),""),'CAT_ESTADOS_ERP'!$A$4:$A$7,0)),"Pendiente"))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J506="","",IFERROR(INDEX('CALENDARIO'!$C$15:$C$214,MATCH(TEXT($J506,"yyyy-mm-dd")&amp;"|"&amp;$V506&amp;"|"&amp;$W506,'CALENDARIO'!$G$15:$G$214,0)),IFERROR(INDEX('CALENDARIO'!$C$15:$C$214,MATCH(TEXT($J506,"yyyy-mm-dd")&amp;"|"&amp;$V506&amp;"|",'CALENDARIO'!$G$15:$G$214,0)),IFERROR(INDEX('CALENDARIO'!$C$15:$C$214,MATCH(TEXT($J506,"yyyy-mm-dd")&amp;"||",'CALENDARIO'!$G$15:$G$214,0)),INDEX(patronHabil,WEEKDAY($J506,2))))))</f>
        <v/>
      </c>
      <c r="T506" s="3">
        <f>IF($I506="","",IFERROR(INDEX('CAT_TIPOS_OT'!$C$4:$C$7,MATCH($I506,'CAT_TIPOS_OT'!$A$4:$A$7,0)),"sin_clasificar"))</f>
        <v/>
      </c>
      <c r="U506" s="3">
        <f>IF($F506="","",IFERROR(INDEX('CAT_CENTROS_COSTO'!$F$4:$F$13,MATCH($F506,'CAT_CENTROS_COSTO'!$A$4:$A$13,0)),"(sin catálogo)"))</f>
        <v/>
      </c>
      <c r="V506" s="3">
        <f>IF($F506="","",IFERROR(INDEX('CAT_CENTROS_COSTO'!$D$4:$D$13,MATCH($F506,'CAT_CENTROS_COSTO'!$A$4:$A$13,0)),"(sin catálogo)"))</f>
        <v/>
      </c>
      <c r="W506" s="3">
        <f>IF($F506="","",IF((IFERROR(INDEX('CAT_CENTROS_COSTO'!$E$4:$E$13,MATCH($F506,'CAT_CENTROS_COSTO'!$A$4:$A$13,0)),""))&lt;&gt;"",IFERROR(INDEX('CAT_CENTROS_COSTO'!$E$4:$E$13,MATCH($F506,'CAT_CENTROS_COSTO'!$A$4:$A$13,0)),""),$V506))</f>
        <v/>
      </c>
      <c r="X506" s="3">
        <f>IF($F506="","",IFERROR(INDEX('CAT_CENTROS_COSTO'!$G$4:$G$13,MATCH($F506,'CAT_CENTROS_COSTO'!$A$4:$A$13,0)),"(sin catálogo)"))</f>
        <v/>
      </c>
      <c r="Y506" s="3">
        <f>IF($G506="","",IFERROR(INDEX('CAT_PUESTOS'!$B$4:$B$8,MATCH($G506,'CAT_PUESTOS'!$A$4:$A$8,0)),"(sin catálogo)"))</f>
        <v/>
      </c>
      <c r="Z506" s="3">
        <f>IF($H506="","",IFERROR(INDEX('CAT_ACTIVIDADES'!$B$4:$B$8,MATCH($H506,'CAT_ACTIVIDADES'!$A$4:$A$8,0)),"(sin catálogo)"))</f>
        <v/>
      </c>
      <c r="AA506" s="12">
        <f>IF($J506="","",TODAY()-$J506)</f>
        <v/>
      </c>
      <c r="AB506" s="12">
        <f>IF($J506="","",IF($J506&lt;=TODAY(),COUNTIFS(cal_fechas,"&gt;="&amp;$J506,cal_fechas,"&lt;"&amp;TODAY(),cal_habil,"sí"),-COUNTIFS(cal_fechas,"&gt;="&amp;TODAY(),cal_fechas,"&lt;"&amp;$J506,cal_habil,"sí")))</f>
        <v/>
      </c>
      <c r="AC506" s="3">
        <f>IF($AB506="","",IF($AB506&lt;0,"FUTURO",IF($AB506&gt;p_dias_backlog_max,"BACKLOG","MES CORRIENTE")))</f>
        <v/>
      </c>
      <c r="AD506" s="3">
        <f>IF($AB506="",FALSE,AND($AB506&gt;p_dias_backlog_min,$AB506&lt;=p_dias_backlog_max))</f>
        <v/>
      </c>
      <c r="AE506" s="6" t="n"/>
      <c r="AF506" s="3">
        <f>IF($AE506="","",IF((IFERROR(INDEX('ASIGNACIONES'!$F$4:$F$339,MATCH($O506&amp;"|"&amp;$R506&amp;"|"&amp;$AE506,'ASIGNACIONES'!$J$4:$J$339,0)),""))=0,"",IFERROR(INDEX('ASIGNACIONES'!$F$4:$F$339,MATCH($O506&amp;"|"&amp;$R506&amp;"|"&amp;$AE506,'ASIGNACIONES'!$J$4:$J$339,0)),"")))</f>
        <v/>
      </c>
      <c r="AG506" s="13">
        <f>IF($AE506="","",SUMIFS('ORDENES'!$M$4:$M$1203,'ORDENES'!$AE$4:$AE$1203,$AE506,'ORDENES'!$O$4:$O$1203,$O506,'ORDENES'!$R$4:$R$1203,$R506))</f>
        <v/>
      </c>
      <c r="AH506" s="13">
        <f>IF($AG506="","",p_factor_productividad*IFERROR(INDEX('ASIGNACIONES'!$I$4:$I$339,MATCH($O506&amp;"|"&amp;$R506&amp;"|"&amp;$AE506,'ASIGNACIONES'!$J$4:$J$339,0)),0)-$AG506)</f>
        <v/>
      </c>
      <c r="AI506" s="10">
        <f>IF($A506="","",IFERROR(INDEX('2_IMPORTAR_EJECUCION'!$F$9:$F$1208,MATCH($AQ506,'2_IMPORTAR_EJECUCION'!$J$9:$J$1208,0)),0))</f>
        <v/>
      </c>
      <c r="AJ506" s="10">
        <f>IF($A506="","",MAX(0,IFERROR(INDEX('2_IMPORTAR_EJECUCION'!$H$9:$H$1208,MATCH($AQ506,'2_IMPORTAR_EJECUCION'!$J$9:$J$1208,0)),0)-$AI506))</f>
        <v/>
      </c>
      <c r="AK506" s="10">
        <f>IF($A506="","",$AI506+$AJ506)</f>
        <v/>
      </c>
      <c r="AL506" s="6" t="n"/>
      <c r="AM506" s="6" t="n"/>
      <c r="AN506" s="6" t="n"/>
      <c r="AO506" s="3">
        <f>IF($AN506="","",HYPERLINK(p_ruta_base_checklists&amp;$AN506,"abrir"))</f>
        <v/>
      </c>
      <c r="AP506" s="6" t="n"/>
      <c r="AQ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IF($A507="","",IFERROR(INDEX('AJUSTES'!$B$4:$B$303,MATCH($AQ507,'AJUSTES'!$A$4:$A$303,0)),IF($K507="","",$K507)))</f>
        <v/>
      </c>
      <c r="N507" s="3">
        <f>IF($A507="","",IFERROR(INDEX('CAT_ESTADOS_ERP'!$B$4:$B$7,MATCH(IFERROR(INDEX('2_IMPORTAR_EJECUCION'!$C$9:$C$1208,MATCH($AQ507,'2_IMPORTAR_EJECUCION'!$J$9:$J$1208,0)),""),'CAT_ESTADOS_ERP'!$A$4:$A$7,0)),"Pendiente"))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J507="","",IFERROR(INDEX('CALENDARIO'!$C$15:$C$214,MATCH(TEXT($J507,"yyyy-mm-dd")&amp;"|"&amp;$V507&amp;"|"&amp;$W507,'CALENDARIO'!$G$15:$G$214,0)),IFERROR(INDEX('CALENDARIO'!$C$15:$C$214,MATCH(TEXT($J507,"yyyy-mm-dd")&amp;"|"&amp;$V507&amp;"|",'CALENDARIO'!$G$15:$G$214,0)),IFERROR(INDEX('CALENDARIO'!$C$15:$C$214,MATCH(TEXT($J507,"yyyy-mm-dd")&amp;"||",'CALENDARIO'!$G$15:$G$214,0)),INDEX(patronHabil,WEEKDAY($J507,2))))))</f>
        <v/>
      </c>
      <c r="T507" s="3">
        <f>IF($I507="","",IFERROR(INDEX('CAT_TIPOS_OT'!$C$4:$C$7,MATCH($I507,'CAT_TIPOS_OT'!$A$4:$A$7,0)),"sin_clasificar"))</f>
        <v/>
      </c>
      <c r="U507" s="3">
        <f>IF($F507="","",IFERROR(INDEX('CAT_CENTROS_COSTO'!$F$4:$F$13,MATCH($F507,'CAT_CENTROS_COSTO'!$A$4:$A$13,0)),"(sin catálogo)"))</f>
        <v/>
      </c>
      <c r="V507" s="3">
        <f>IF($F507="","",IFERROR(INDEX('CAT_CENTROS_COSTO'!$D$4:$D$13,MATCH($F507,'CAT_CENTROS_COSTO'!$A$4:$A$13,0)),"(sin catálogo)"))</f>
        <v/>
      </c>
      <c r="W507" s="3">
        <f>IF($F507="","",IF((IFERROR(INDEX('CAT_CENTROS_COSTO'!$E$4:$E$13,MATCH($F507,'CAT_CENTROS_COSTO'!$A$4:$A$13,0)),""))&lt;&gt;"",IFERROR(INDEX('CAT_CENTROS_COSTO'!$E$4:$E$13,MATCH($F507,'CAT_CENTROS_COSTO'!$A$4:$A$13,0)),""),$V507))</f>
        <v/>
      </c>
      <c r="X507" s="3">
        <f>IF($F507="","",IFERROR(INDEX('CAT_CENTROS_COSTO'!$G$4:$G$13,MATCH($F507,'CAT_CENTROS_COSTO'!$A$4:$A$13,0)),"(sin catálogo)"))</f>
        <v/>
      </c>
      <c r="Y507" s="3">
        <f>IF($G507="","",IFERROR(INDEX('CAT_PUESTOS'!$B$4:$B$8,MATCH($G507,'CAT_PUESTOS'!$A$4:$A$8,0)),"(sin catálogo)"))</f>
        <v/>
      </c>
      <c r="Z507" s="3">
        <f>IF($H507="","",IFERROR(INDEX('CAT_ACTIVIDADES'!$B$4:$B$8,MATCH($H507,'CAT_ACTIVIDADES'!$A$4:$A$8,0)),"(sin catálogo)"))</f>
        <v/>
      </c>
      <c r="AA507" s="12">
        <f>IF($J507="","",TODAY()-$J507)</f>
        <v/>
      </c>
      <c r="AB507" s="12">
        <f>IF($J507="","",IF($J507&lt;=TODAY(),COUNTIFS(cal_fechas,"&gt;="&amp;$J507,cal_fechas,"&lt;"&amp;TODAY(),cal_habil,"sí"),-COUNTIFS(cal_fechas,"&gt;="&amp;TODAY(),cal_fechas,"&lt;"&amp;$J507,cal_habil,"sí")))</f>
        <v/>
      </c>
      <c r="AC507" s="3">
        <f>IF($AB507="","",IF($AB507&lt;0,"FUTURO",IF($AB507&gt;p_dias_backlog_max,"BACKLOG","MES CORRIENTE")))</f>
        <v/>
      </c>
      <c r="AD507" s="3">
        <f>IF($AB507="",FALSE,AND($AB507&gt;p_dias_backlog_min,$AB507&lt;=p_dias_backlog_max))</f>
        <v/>
      </c>
      <c r="AE507" s="6" t="n"/>
      <c r="AF507" s="3">
        <f>IF($AE507="","",IF((IFERROR(INDEX('ASIGNACIONES'!$F$4:$F$339,MATCH($O507&amp;"|"&amp;$R507&amp;"|"&amp;$AE507,'ASIGNACIONES'!$J$4:$J$339,0)),""))=0,"",IFERROR(INDEX('ASIGNACIONES'!$F$4:$F$339,MATCH($O507&amp;"|"&amp;$R507&amp;"|"&amp;$AE507,'ASIGNACIONES'!$J$4:$J$339,0)),"")))</f>
        <v/>
      </c>
      <c r="AG507" s="13">
        <f>IF($AE507="","",SUMIFS('ORDENES'!$M$4:$M$1203,'ORDENES'!$AE$4:$AE$1203,$AE507,'ORDENES'!$O$4:$O$1203,$O507,'ORDENES'!$R$4:$R$1203,$R507))</f>
        <v/>
      </c>
      <c r="AH507" s="13">
        <f>IF($AG507="","",p_factor_productividad*IFERROR(INDEX('ASIGNACIONES'!$I$4:$I$339,MATCH($O507&amp;"|"&amp;$R507&amp;"|"&amp;$AE507,'ASIGNACIONES'!$J$4:$J$339,0)),0)-$AG507)</f>
        <v/>
      </c>
      <c r="AI507" s="10">
        <f>IF($A507="","",IFERROR(INDEX('2_IMPORTAR_EJECUCION'!$F$9:$F$1208,MATCH($AQ507,'2_IMPORTAR_EJECUCION'!$J$9:$J$1208,0)),0))</f>
        <v/>
      </c>
      <c r="AJ507" s="10">
        <f>IF($A507="","",MAX(0,IFERROR(INDEX('2_IMPORTAR_EJECUCION'!$H$9:$H$1208,MATCH($AQ507,'2_IMPORTAR_EJECUCION'!$J$9:$J$1208,0)),0)-$AI507))</f>
        <v/>
      </c>
      <c r="AK507" s="10">
        <f>IF($A507="","",$AI507+$AJ507)</f>
        <v/>
      </c>
      <c r="AL507" s="6" t="n"/>
      <c r="AM507" s="6" t="n"/>
      <c r="AN507" s="6" t="n"/>
      <c r="AO507" s="3">
        <f>IF($AN507="","",HYPERLINK(p_ruta_base_checklists&amp;$AN507,"abrir"))</f>
        <v/>
      </c>
      <c r="AP507" s="6" t="n"/>
      <c r="AQ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IF($A508="","",IFERROR(INDEX('AJUSTES'!$B$4:$B$303,MATCH($AQ508,'AJUSTES'!$A$4:$A$303,0)),IF($K508="","",$K508)))</f>
        <v/>
      </c>
      <c r="N508" s="3">
        <f>IF($A508="","",IFERROR(INDEX('CAT_ESTADOS_ERP'!$B$4:$B$7,MATCH(IFERROR(INDEX('2_IMPORTAR_EJECUCION'!$C$9:$C$1208,MATCH($AQ508,'2_IMPORTAR_EJECUCION'!$J$9:$J$1208,0)),""),'CAT_ESTADOS_ERP'!$A$4:$A$7,0)),"Pendiente"))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J508="","",IFERROR(INDEX('CALENDARIO'!$C$15:$C$214,MATCH(TEXT($J508,"yyyy-mm-dd")&amp;"|"&amp;$V508&amp;"|"&amp;$W508,'CALENDARIO'!$G$15:$G$214,0)),IFERROR(INDEX('CALENDARIO'!$C$15:$C$214,MATCH(TEXT($J508,"yyyy-mm-dd")&amp;"|"&amp;$V508&amp;"|",'CALENDARIO'!$G$15:$G$214,0)),IFERROR(INDEX('CALENDARIO'!$C$15:$C$214,MATCH(TEXT($J508,"yyyy-mm-dd")&amp;"||",'CALENDARIO'!$G$15:$G$214,0)),INDEX(patronHabil,WEEKDAY($J508,2))))))</f>
        <v/>
      </c>
      <c r="T508" s="3">
        <f>IF($I508="","",IFERROR(INDEX('CAT_TIPOS_OT'!$C$4:$C$7,MATCH($I508,'CAT_TIPOS_OT'!$A$4:$A$7,0)),"sin_clasificar"))</f>
        <v/>
      </c>
      <c r="U508" s="3">
        <f>IF($F508="","",IFERROR(INDEX('CAT_CENTROS_COSTO'!$F$4:$F$13,MATCH($F508,'CAT_CENTROS_COSTO'!$A$4:$A$13,0)),"(sin catálogo)"))</f>
        <v/>
      </c>
      <c r="V508" s="3">
        <f>IF($F508="","",IFERROR(INDEX('CAT_CENTROS_COSTO'!$D$4:$D$13,MATCH($F508,'CAT_CENTROS_COSTO'!$A$4:$A$13,0)),"(sin catálogo)"))</f>
        <v/>
      </c>
      <c r="W508" s="3">
        <f>IF($F508="","",IF((IFERROR(INDEX('CAT_CENTROS_COSTO'!$E$4:$E$13,MATCH($F508,'CAT_CENTROS_COSTO'!$A$4:$A$13,0)),""))&lt;&gt;"",IFERROR(INDEX('CAT_CENTROS_COSTO'!$E$4:$E$13,MATCH($F508,'CAT_CENTROS_COSTO'!$A$4:$A$13,0)),""),$V508))</f>
        <v/>
      </c>
      <c r="X508" s="3">
        <f>IF($F508="","",IFERROR(INDEX('CAT_CENTROS_COSTO'!$G$4:$G$13,MATCH($F508,'CAT_CENTROS_COSTO'!$A$4:$A$13,0)),"(sin catálogo)"))</f>
        <v/>
      </c>
      <c r="Y508" s="3">
        <f>IF($G508="","",IFERROR(INDEX('CAT_PUESTOS'!$B$4:$B$8,MATCH($G508,'CAT_PUESTOS'!$A$4:$A$8,0)),"(sin catálogo)"))</f>
        <v/>
      </c>
      <c r="Z508" s="3">
        <f>IF($H508="","",IFERROR(INDEX('CAT_ACTIVIDADES'!$B$4:$B$8,MATCH($H508,'CAT_ACTIVIDADES'!$A$4:$A$8,0)),"(sin catálogo)"))</f>
        <v/>
      </c>
      <c r="AA508" s="12">
        <f>IF($J508="","",TODAY()-$J508)</f>
        <v/>
      </c>
      <c r="AB508" s="12">
        <f>IF($J508="","",IF($J508&lt;=TODAY(),COUNTIFS(cal_fechas,"&gt;="&amp;$J508,cal_fechas,"&lt;"&amp;TODAY(),cal_habil,"sí"),-COUNTIFS(cal_fechas,"&gt;="&amp;TODAY(),cal_fechas,"&lt;"&amp;$J508,cal_habil,"sí")))</f>
        <v/>
      </c>
      <c r="AC508" s="3">
        <f>IF($AB508="","",IF($AB508&lt;0,"FUTURO",IF($AB508&gt;p_dias_backlog_max,"BACKLOG","MES CORRIENTE")))</f>
        <v/>
      </c>
      <c r="AD508" s="3">
        <f>IF($AB508="",FALSE,AND($AB508&gt;p_dias_backlog_min,$AB508&lt;=p_dias_backlog_max))</f>
        <v/>
      </c>
      <c r="AE508" s="6" t="n"/>
      <c r="AF508" s="3">
        <f>IF($AE508="","",IF((IFERROR(INDEX('ASIGNACIONES'!$F$4:$F$339,MATCH($O508&amp;"|"&amp;$R508&amp;"|"&amp;$AE508,'ASIGNACIONES'!$J$4:$J$339,0)),""))=0,"",IFERROR(INDEX('ASIGNACIONES'!$F$4:$F$339,MATCH($O508&amp;"|"&amp;$R508&amp;"|"&amp;$AE508,'ASIGNACIONES'!$J$4:$J$339,0)),"")))</f>
        <v/>
      </c>
      <c r="AG508" s="13">
        <f>IF($AE508="","",SUMIFS('ORDENES'!$M$4:$M$1203,'ORDENES'!$AE$4:$AE$1203,$AE508,'ORDENES'!$O$4:$O$1203,$O508,'ORDENES'!$R$4:$R$1203,$R508))</f>
        <v/>
      </c>
      <c r="AH508" s="13">
        <f>IF($AG508="","",p_factor_productividad*IFERROR(INDEX('ASIGNACIONES'!$I$4:$I$339,MATCH($O508&amp;"|"&amp;$R508&amp;"|"&amp;$AE508,'ASIGNACIONES'!$J$4:$J$339,0)),0)-$AG508)</f>
        <v/>
      </c>
      <c r="AI508" s="10">
        <f>IF($A508="","",IFERROR(INDEX('2_IMPORTAR_EJECUCION'!$F$9:$F$1208,MATCH($AQ508,'2_IMPORTAR_EJECUCION'!$J$9:$J$1208,0)),0))</f>
        <v/>
      </c>
      <c r="AJ508" s="10">
        <f>IF($A508="","",MAX(0,IFERROR(INDEX('2_IMPORTAR_EJECUCION'!$H$9:$H$1208,MATCH($AQ508,'2_IMPORTAR_EJECUCION'!$J$9:$J$1208,0)),0)-$AI508))</f>
        <v/>
      </c>
      <c r="AK508" s="10">
        <f>IF($A508="","",$AI508+$AJ508)</f>
        <v/>
      </c>
      <c r="AL508" s="6" t="n"/>
      <c r="AM508" s="6" t="n"/>
      <c r="AN508" s="6" t="n"/>
      <c r="AO508" s="3">
        <f>IF($AN508="","",HYPERLINK(p_ruta_base_checklists&amp;$AN508,"abrir"))</f>
        <v/>
      </c>
      <c r="AP508" s="6" t="n"/>
      <c r="AQ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IF($A509="","",IFERROR(INDEX('AJUSTES'!$B$4:$B$303,MATCH($AQ509,'AJUSTES'!$A$4:$A$303,0)),IF($K509="","",$K509)))</f>
        <v/>
      </c>
      <c r="N509" s="3">
        <f>IF($A509="","",IFERROR(INDEX('CAT_ESTADOS_ERP'!$B$4:$B$7,MATCH(IFERROR(INDEX('2_IMPORTAR_EJECUCION'!$C$9:$C$1208,MATCH($AQ509,'2_IMPORTAR_EJECUCION'!$J$9:$J$1208,0)),""),'CAT_ESTADOS_ERP'!$A$4:$A$7,0)),"Pendiente"))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J509="","",IFERROR(INDEX('CALENDARIO'!$C$15:$C$214,MATCH(TEXT($J509,"yyyy-mm-dd")&amp;"|"&amp;$V509&amp;"|"&amp;$W509,'CALENDARIO'!$G$15:$G$214,0)),IFERROR(INDEX('CALENDARIO'!$C$15:$C$214,MATCH(TEXT($J509,"yyyy-mm-dd")&amp;"|"&amp;$V509&amp;"|",'CALENDARIO'!$G$15:$G$214,0)),IFERROR(INDEX('CALENDARIO'!$C$15:$C$214,MATCH(TEXT($J509,"yyyy-mm-dd")&amp;"||",'CALENDARIO'!$G$15:$G$214,0)),INDEX(patronHabil,WEEKDAY($J509,2))))))</f>
        <v/>
      </c>
      <c r="T509" s="3">
        <f>IF($I509="","",IFERROR(INDEX('CAT_TIPOS_OT'!$C$4:$C$7,MATCH($I509,'CAT_TIPOS_OT'!$A$4:$A$7,0)),"sin_clasificar"))</f>
        <v/>
      </c>
      <c r="U509" s="3">
        <f>IF($F509="","",IFERROR(INDEX('CAT_CENTROS_COSTO'!$F$4:$F$13,MATCH($F509,'CAT_CENTROS_COSTO'!$A$4:$A$13,0)),"(sin catálogo)"))</f>
        <v/>
      </c>
      <c r="V509" s="3">
        <f>IF($F509="","",IFERROR(INDEX('CAT_CENTROS_COSTO'!$D$4:$D$13,MATCH($F509,'CAT_CENTROS_COSTO'!$A$4:$A$13,0)),"(sin catálogo)"))</f>
        <v/>
      </c>
      <c r="W509" s="3">
        <f>IF($F509="","",IF((IFERROR(INDEX('CAT_CENTROS_COSTO'!$E$4:$E$13,MATCH($F509,'CAT_CENTROS_COSTO'!$A$4:$A$13,0)),""))&lt;&gt;"",IFERROR(INDEX('CAT_CENTROS_COSTO'!$E$4:$E$13,MATCH($F509,'CAT_CENTROS_COSTO'!$A$4:$A$13,0)),""),$V509))</f>
        <v/>
      </c>
      <c r="X509" s="3">
        <f>IF($F509="","",IFERROR(INDEX('CAT_CENTROS_COSTO'!$G$4:$G$13,MATCH($F509,'CAT_CENTROS_COSTO'!$A$4:$A$13,0)),"(sin catálogo)"))</f>
        <v/>
      </c>
      <c r="Y509" s="3">
        <f>IF($G509="","",IFERROR(INDEX('CAT_PUESTOS'!$B$4:$B$8,MATCH($G509,'CAT_PUESTOS'!$A$4:$A$8,0)),"(sin catálogo)"))</f>
        <v/>
      </c>
      <c r="Z509" s="3">
        <f>IF($H509="","",IFERROR(INDEX('CAT_ACTIVIDADES'!$B$4:$B$8,MATCH($H509,'CAT_ACTIVIDADES'!$A$4:$A$8,0)),"(sin catálogo)"))</f>
        <v/>
      </c>
      <c r="AA509" s="12">
        <f>IF($J509="","",TODAY()-$J509)</f>
        <v/>
      </c>
      <c r="AB509" s="12">
        <f>IF($J509="","",IF($J509&lt;=TODAY(),COUNTIFS(cal_fechas,"&gt;="&amp;$J509,cal_fechas,"&lt;"&amp;TODAY(),cal_habil,"sí"),-COUNTIFS(cal_fechas,"&gt;="&amp;TODAY(),cal_fechas,"&lt;"&amp;$J509,cal_habil,"sí")))</f>
        <v/>
      </c>
      <c r="AC509" s="3">
        <f>IF($AB509="","",IF($AB509&lt;0,"FUTURO",IF($AB509&gt;p_dias_backlog_max,"BACKLOG","MES CORRIENTE")))</f>
        <v/>
      </c>
      <c r="AD509" s="3">
        <f>IF($AB509="",FALSE,AND($AB509&gt;p_dias_backlog_min,$AB509&lt;=p_dias_backlog_max))</f>
        <v/>
      </c>
      <c r="AE509" s="6" t="n"/>
      <c r="AF509" s="3">
        <f>IF($AE509="","",IF((IFERROR(INDEX('ASIGNACIONES'!$F$4:$F$339,MATCH($O509&amp;"|"&amp;$R509&amp;"|"&amp;$AE509,'ASIGNACIONES'!$J$4:$J$339,0)),""))=0,"",IFERROR(INDEX('ASIGNACIONES'!$F$4:$F$339,MATCH($O509&amp;"|"&amp;$R509&amp;"|"&amp;$AE509,'ASIGNACIONES'!$J$4:$J$339,0)),"")))</f>
        <v/>
      </c>
      <c r="AG509" s="13">
        <f>IF($AE509="","",SUMIFS('ORDENES'!$M$4:$M$1203,'ORDENES'!$AE$4:$AE$1203,$AE509,'ORDENES'!$O$4:$O$1203,$O509,'ORDENES'!$R$4:$R$1203,$R509))</f>
        <v/>
      </c>
      <c r="AH509" s="13">
        <f>IF($AG509="","",p_factor_productividad*IFERROR(INDEX('ASIGNACIONES'!$I$4:$I$339,MATCH($O509&amp;"|"&amp;$R509&amp;"|"&amp;$AE509,'ASIGNACIONES'!$J$4:$J$339,0)),0)-$AG509)</f>
        <v/>
      </c>
      <c r="AI509" s="10">
        <f>IF($A509="","",IFERROR(INDEX('2_IMPORTAR_EJECUCION'!$F$9:$F$1208,MATCH($AQ509,'2_IMPORTAR_EJECUCION'!$J$9:$J$1208,0)),0))</f>
        <v/>
      </c>
      <c r="AJ509" s="10">
        <f>IF($A509="","",MAX(0,IFERROR(INDEX('2_IMPORTAR_EJECUCION'!$H$9:$H$1208,MATCH($AQ509,'2_IMPORTAR_EJECUCION'!$J$9:$J$1208,0)),0)-$AI509))</f>
        <v/>
      </c>
      <c r="AK509" s="10">
        <f>IF($A509="","",$AI509+$AJ509)</f>
        <v/>
      </c>
      <c r="AL509" s="6" t="n"/>
      <c r="AM509" s="6" t="n"/>
      <c r="AN509" s="6" t="n"/>
      <c r="AO509" s="3">
        <f>IF($AN509="","",HYPERLINK(p_ruta_base_checklists&amp;$AN509,"abrir"))</f>
        <v/>
      </c>
      <c r="AP509" s="6" t="n"/>
      <c r="AQ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IF($A510="","",IFERROR(INDEX('AJUSTES'!$B$4:$B$303,MATCH($AQ510,'AJUSTES'!$A$4:$A$303,0)),IF($K510="","",$K510)))</f>
        <v/>
      </c>
      <c r="N510" s="3">
        <f>IF($A510="","",IFERROR(INDEX('CAT_ESTADOS_ERP'!$B$4:$B$7,MATCH(IFERROR(INDEX('2_IMPORTAR_EJECUCION'!$C$9:$C$1208,MATCH($AQ510,'2_IMPORTAR_EJECUCION'!$J$9:$J$1208,0)),""),'CAT_ESTADOS_ERP'!$A$4:$A$7,0)),"Pendiente"))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J510="","",IFERROR(INDEX('CALENDARIO'!$C$15:$C$214,MATCH(TEXT($J510,"yyyy-mm-dd")&amp;"|"&amp;$V510&amp;"|"&amp;$W510,'CALENDARIO'!$G$15:$G$214,0)),IFERROR(INDEX('CALENDARIO'!$C$15:$C$214,MATCH(TEXT($J510,"yyyy-mm-dd")&amp;"|"&amp;$V510&amp;"|",'CALENDARIO'!$G$15:$G$214,0)),IFERROR(INDEX('CALENDARIO'!$C$15:$C$214,MATCH(TEXT($J510,"yyyy-mm-dd")&amp;"||",'CALENDARIO'!$G$15:$G$214,0)),INDEX(patronHabil,WEEKDAY($J510,2))))))</f>
        <v/>
      </c>
      <c r="T510" s="3">
        <f>IF($I510="","",IFERROR(INDEX('CAT_TIPOS_OT'!$C$4:$C$7,MATCH($I510,'CAT_TIPOS_OT'!$A$4:$A$7,0)),"sin_clasificar"))</f>
        <v/>
      </c>
      <c r="U510" s="3">
        <f>IF($F510="","",IFERROR(INDEX('CAT_CENTROS_COSTO'!$F$4:$F$13,MATCH($F510,'CAT_CENTROS_COSTO'!$A$4:$A$13,0)),"(sin catálogo)"))</f>
        <v/>
      </c>
      <c r="V510" s="3">
        <f>IF($F510="","",IFERROR(INDEX('CAT_CENTROS_COSTO'!$D$4:$D$13,MATCH($F510,'CAT_CENTROS_COSTO'!$A$4:$A$13,0)),"(sin catálogo)"))</f>
        <v/>
      </c>
      <c r="W510" s="3">
        <f>IF($F510="","",IF((IFERROR(INDEX('CAT_CENTROS_COSTO'!$E$4:$E$13,MATCH($F510,'CAT_CENTROS_COSTO'!$A$4:$A$13,0)),""))&lt;&gt;"",IFERROR(INDEX('CAT_CENTROS_COSTO'!$E$4:$E$13,MATCH($F510,'CAT_CENTROS_COSTO'!$A$4:$A$13,0)),""),$V510))</f>
        <v/>
      </c>
      <c r="X510" s="3">
        <f>IF($F510="","",IFERROR(INDEX('CAT_CENTROS_COSTO'!$G$4:$G$13,MATCH($F510,'CAT_CENTROS_COSTO'!$A$4:$A$13,0)),"(sin catálogo)"))</f>
        <v/>
      </c>
      <c r="Y510" s="3">
        <f>IF($G510="","",IFERROR(INDEX('CAT_PUESTOS'!$B$4:$B$8,MATCH($G510,'CAT_PUESTOS'!$A$4:$A$8,0)),"(sin catálogo)"))</f>
        <v/>
      </c>
      <c r="Z510" s="3">
        <f>IF($H510="","",IFERROR(INDEX('CAT_ACTIVIDADES'!$B$4:$B$8,MATCH($H510,'CAT_ACTIVIDADES'!$A$4:$A$8,0)),"(sin catálogo)"))</f>
        <v/>
      </c>
      <c r="AA510" s="12">
        <f>IF($J510="","",TODAY()-$J510)</f>
        <v/>
      </c>
      <c r="AB510" s="12">
        <f>IF($J510="","",IF($J510&lt;=TODAY(),COUNTIFS(cal_fechas,"&gt;="&amp;$J510,cal_fechas,"&lt;"&amp;TODAY(),cal_habil,"sí"),-COUNTIFS(cal_fechas,"&gt;="&amp;TODAY(),cal_fechas,"&lt;"&amp;$J510,cal_habil,"sí")))</f>
        <v/>
      </c>
      <c r="AC510" s="3">
        <f>IF($AB510="","",IF($AB510&lt;0,"FUTURO",IF($AB510&gt;p_dias_backlog_max,"BACKLOG","MES CORRIENTE")))</f>
        <v/>
      </c>
      <c r="AD510" s="3">
        <f>IF($AB510="",FALSE,AND($AB510&gt;p_dias_backlog_min,$AB510&lt;=p_dias_backlog_max))</f>
        <v/>
      </c>
      <c r="AE510" s="6" t="n"/>
      <c r="AF510" s="3">
        <f>IF($AE510="","",IF((IFERROR(INDEX('ASIGNACIONES'!$F$4:$F$339,MATCH($O510&amp;"|"&amp;$R510&amp;"|"&amp;$AE510,'ASIGNACIONES'!$J$4:$J$339,0)),""))=0,"",IFERROR(INDEX('ASIGNACIONES'!$F$4:$F$339,MATCH($O510&amp;"|"&amp;$R510&amp;"|"&amp;$AE510,'ASIGNACIONES'!$J$4:$J$339,0)),"")))</f>
        <v/>
      </c>
      <c r="AG510" s="13">
        <f>IF($AE510="","",SUMIFS('ORDENES'!$M$4:$M$1203,'ORDENES'!$AE$4:$AE$1203,$AE510,'ORDENES'!$O$4:$O$1203,$O510,'ORDENES'!$R$4:$R$1203,$R510))</f>
        <v/>
      </c>
      <c r="AH510" s="13">
        <f>IF($AG510="","",p_factor_productividad*IFERROR(INDEX('ASIGNACIONES'!$I$4:$I$339,MATCH($O510&amp;"|"&amp;$R510&amp;"|"&amp;$AE510,'ASIGNACIONES'!$J$4:$J$339,0)),0)-$AG510)</f>
        <v/>
      </c>
      <c r="AI510" s="10">
        <f>IF($A510="","",IFERROR(INDEX('2_IMPORTAR_EJECUCION'!$F$9:$F$1208,MATCH($AQ510,'2_IMPORTAR_EJECUCION'!$J$9:$J$1208,0)),0))</f>
        <v/>
      </c>
      <c r="AJ510" s="10">
        <f>IF($A510="","",MAX(0,IFERROR(INDEX('2_IMPORTAR_EJECUCION'!$H$9:$H$1208,MATCH($AQ510,'2_IMPORTAR_EJECUCION'!$J$9:$J$1208,0)),0)-$AI510))</f>
        <v/>
      </c>
      <c r="AK510" s="10">
        <f>IF($A510="","",$AI510+$AJ510)</f>
        <v/>
      </c>
      <c r="AL510" s="6" t="n"/>
      <c r="AM510" s="6" t="n"/>
      <c r="AN510" s="6" t="n"/>
      <c r="AO510" s="3">
        <f>IF($AN510="","",HYPERLINK(p_ruta_base_checklists&amp;$AN510,"abrir"))</f>
        <v/>
      </c>
      <c r="AP510" s="6" t="n"/>
      <c r="AQ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IF($A511="","",IFERROR(INDEX('AJUSTES'!$B$4:$B$303,MATCH($AQ511,'AJUSTES'!$A$4:$A$303,0)),IF($K511="","",$K511)))</f>
        <v/>
      </c>
      <c r="N511" s="3">
        <f>IF($A511="","",IFERROR(INDEX('CAT_ESTADOS_ERP'!$B$4:$B$7,MATCH(IFERROR(INDEX('2_IMPORTAR_EJECUCION'!$C$9:$C$1208,MATCH($AQ511,'2_IMPORTAR_EJECUCION'!$J$9:$J$1208,0)),""),'CAT_ESTADOS_ERP'!$A$4:$A$7,0)),"Pendiente"))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J511="","",IFERROR(INDEX('CALENDARIO'!$C$15:$C$214,MATCH(TEXT($J511,"yyyy-mm-dd")&amp;"|"&amp;$V511&amp;"|"&amp;$W511,'CALENDARIO'!$G$15:$G$214,0)),IFERROR(INDEX('CALENDARIO'!$C$15:$C$214,MATCH(TEXT($J511,"yyyy-mm-dd")&amp;"|"&amp;$V511&amp;"|",'CALENDARIO'!$G$15:$G$214,0)),IFERROR(INDEX('CALENDARIO'!$C$15:$C$214,MATCH(TEXT($J511,"yyyy-mm-dd")&amp;"||",'CALENDARIO'!$G$15:$G$214,0)),INDEX(patronHabil,WEEKDAY($J511,2))))))</f>
        <v/>
      </c>
      <c r="T511" s="3">
        <f>IF($I511="","",IFERROR(INDEX('CAT_TIPOS_OT'!$C$4:$C$7,MATCH($I511,'CAT_TIPOS_OT'!$A$4:$A$7,0)),"sin_clasificar"))</f>
        <v/>
      </c>
      <c r="U511" s="3">
        <f>IF($F511="","",IFERROR(INDEX('CAT_CENTROS_COSTO'!$F$4:$F$13,MATCH($F511,'CAT_CENTROS_COSTO'!$A$4:$A$13,0)),"(sin catálogo)"))</f>
        <v/>
      </c>
      <c r="V511" s="3">
        <f>IF($F511="","",IFERROR(INDEX('CAT_CENTROS_COSTO'!$D$4:$D$13,MATCH($F511,'CAT_CENTROS_COSTO'!$A$4:$A$13,0)),"(sin catálogo)"))</f>
        <v/>
      </c>
      <c r="W511" s="3">
        <f>IF($F511="","",IF((IFERROR(INDEX('CAT_CENTROS_COSTO'!$E$4:$E$13,MATCH($F511,'CAT_CENTROS_COSTO'!$A$4:$A$13,0)),""))&lt;&gt;"",IFERROR(INDEX('CAT_CENTROS_COSTO'!$E$4:$E$13,MATCH($F511,'CAT_CENTROS_COSTO'!$A$4:$A$13,0)),""),$V511))</f>
        <v/>
      </c>
      <c r="X511" s="3">
        <f>IF($F511="","",IFERROR(INDEX('CAT_CENTROS_COSTO'!$G$4:$G$13,MATCH($F511,'CAT_CENTROS_COSTO'!$A$4:$A$13,0)),"(sin catálogo)"))</f>
        <v/>
      </c>
      <c r="Y511" s="3">
        <f>IF($G511="","",IFERROR(INDEX('CAT_PUESTOS'!$B$4:$B$8,MATCH($G511,'CAT_PUESTOS'!$A$4:$A$8,0)),"(sin catálogo)"))</f>
        <v/>
      </c>
      <c r="Z511" s="3">
        <f>IF($H511="","",IFERROR(INDEX('CAT_ACTIVIDADES'!$B$4:$B$8,MATCH($H511,'CAT_ACTIVIDADES'!$A$4:$A$8,0)),"(sin catálogo)"))</f>
        <v/>
      </c>
      <c r="AA511" s="12">
        <f>IF($J511="","",TODAY()-$J511)</f>
        <v/>
      </c>
      <c r="AB511" s="12">
        <f>IF($J511="","",IF($J511&lt;=TODAY(),COUNTIFS(cal_fechas,"&gt;="&amp;$J511,cal_fechas,"&lt;"&amp;TODAY(),cal_habil,"sí"),-COUNTIFS(cal_fechas,"&gt;="&amp;TODAY(),cal_fechas,"&lt;"&amp;$J511,cal_habil,"sí")))</f>
        <v/>
      </c>
      <c r="AC511" s="3">
        <f>IF($AB511="","",IF($AB511&lt;0,"FUTURO",IF($AB511&gt;p_dias_backlog_max,"BACKLOG","MES CORRIENTE")))</f>
        <v/>
      </c>
      <c r="AD511" s="3">
        <f>IF($AB511="",FALSE,AND($AB511&gt;p_dias_backlog_min,$AB511&lt;=p_dias_backlog_max))</f>
        <v/>
      </c>
      <c r="AE511" s="6" t="n"/>
      <c r="AF511" s="3">
        <f>IF($AE511="","",IF((IFERROR(INDEX('ASIGNACIONES'!$F$4:$F$339,MATCH($O511&amp;"|"&amp;$R511&amp;"|"&amp;$AE511,'ASIGNACIONES'!$J$4:$J$339,0)),""))=0,"",IFERROR(INDEX('ASIGNACIONES'!$F$4:$F$339,MATCH($O511&amp;"|"&amp;$R511&amp;"|"&amp;$AE511,'ASIGNACIONES'!$J$4:$J$339,0)),"")))</f>
        <v/>
      </c>
      <c r="AG511" s="13">
        <f>IF($AE511="","",SUMIFS('ORDENES'!$M$4:$M$1203,'ORDENES'!$AE$4:$AE$1203,$AE511,'ORDENES'!$O$4:$O$1203,$O511,'ORDENES'!$R$4:$R$1203,$R511))</f>
        <v/>
      </c>
      <c r="AH511" s="13">
        <f>IF($AG511="","",p_factor_productividad*IFERROR(INDEX('ASIGNACIONES'!$I$4:$I$339,MATCH($O511&amp;"|"&amp;$R511&amp;"|"&amp;$AE511,'ASIGNACIONES'!$J$4:$J$339,0)),0)-$AG511)</f>
        <v/>
      </c>
      <c r="AI511" s="10">
        <f>IF($A511="","",IFERROR(INDEX('2_IMPORTAR_EJECUCION'!$F$9:$F$1208,MATCH($AQ511,'2_IMPORTAR_EJECUCION'!$J$9:$J$1208,0)),0))</f>
        <v/>
      </c>
      <c r="AJ511" s="10">
        <f>IF($A511="","",MAX(0,IFERROR(INDEX('2_IMPORTAR_EJECUCION'!$H$9:$H$1208,MATCH($AQ511,'2_IMPORTAR_EJECUCION'!$J$9:$J$1208,0)),0)-$AI511))</f>
        <v/>
      </c>
      <c r="AK511" s="10">
        <f>IF($A511="","",$AI511+$AJ511)</f>
        <v/>
      </c>
      <c r="AL511" s="6" t="n"/>
      <c r="AM511" s="6" t="n"/>
      <c r="AN511" s="6" t="n"/>
      <c r="AO511" s="3">
        <f>IF($AN511="","",HYPERLINK(p_ruta_base_checklists&amp;$AN511,"abrir"))</f>
        <v/>
      </c>
      <c r="AP511" s="6" t="n"/>
      <c r="AQ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IF($A512="","",IFERROR(INDEX('AJUSTES'!$B$4:$B$303,MATCH($AQ512,'AJUSTES'!$A$4:$A$303,0)),IF($K512="","",$K512)))</f>
        <v/>
      </c>
      <c r="N512" s="3">
        <f>IF($A512="","",IFERROR(INDEX('CAT_ESTADOS_ERP'!$B$4:$B$7,MATCH(IFERROR(INDEX('2_IMPORTAR_EJECUCION'!$C$9:$C$1208,MATCH($AQ512,'2_IMPORTAR_EJECUCION'!$J$9:$J$1208,0)),""),'CAT_ESTADOS_ERP'!$A$4:$A$7,0)),"Pendiente"))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J512="","",IFERROR(INDEX('CALENDARIO'!$C$15:$C$214,MATCH(TEXT($J512,"yyyy-mm-dd")&amp;"|"&amp;$V512&amp;"|"&amp;$W512,'CALENDARIO'!$G$15:$G$214,0)),IFERROR(INDEX('CALENDARIO'!$C$15:$C$214,MATCH(TEXT($J512,"yyyy-mm-dd")&amp;"|"&amp;$V512&amp;"|",'CALENDARIO'!$G$15:$G$214,0)),IFERROR(INDEX('CALENDARIO'!$C$15:$C$214,MATCH(TEXT($J512,"yyyy-mm-dd")&amp;"||",'CALENDARIO'!$G$15:$G$214,0)),INDEX(patronHabil,WEEKDAY($J512,2))))))</f>
        <v/>
      </c>
      <c r="T512" s="3">
        <f>IF($I512="","",IFERROR(INDEX('CAT_TIPOS_OT'!$C$4:$C$7,MATCH($I512,'CAT_TIPOS_OT'!$A$4:$A$7,0)),"sin_clasificar"))</f>
        <v/>
      </c>
      <c r="U512" s="3">
        <f>IF($F512="","",IFERROR(INDEX('CAT_CENTROS_COSTO'!$F$4:$F$13,MATCH($F512,'CAT_CENTROS_COSTO'!$A$4:$A$13,0)),"(sin catálogo)"))</f>
        <v/>
      </c>
      <c r="V512" s="3">
        <f>IF($F512="","",IFERROR(INDEX('CAT_CENTROS_COSTO'!$D$4:$D$13,MATCH($F512,'CAT_CENTROS_COSTO'!$A$4:$A$13,0)),"(sin catálogo)"))</f>
        <v/>
      </c>
      <c r="W512" s="3">
        <f>IF($F512="","",IF((IFERROR(INDEX('CAT_CENTROS_COSTO'!$E$4:$E$13,MATCH($F512,'CAT_CENTROS_COSTO'!$A$4:$A$13,0)),""))&lt;&gt;"",IFERROR(INDEX('CAT_CENTROS_COSTO'!$E$4:$E$13,MATCH($F512,'CAT_CENTROS_COSTO'!$A$4:$A$13,0)),""),$V512))</f>
        <v/>
      </c>
      <c r="X512" s="3">
        <f>IF($F512="","",IFERROR(INDEX('CAT_CENTROS_COSTO'!$G$4:$G$13,MATCH($F512,'CAT_CENTROS_COSTO'!$A$4:$A$13,0)),"(sin catálogo)"))</f>
        <v/>
      </c>
      <c r="Y512" s="3">
        <f>IF($G512="","",IFERROR(INDEX('CAT_PUESTOS'!$B$4:$B$8,MATCH($G512,'CAT_PUESTOS'!$A$4:$A$8,0)),"(sin catálogo)"))</f>
        <v/>
      </c>
      <c r="Z512" s="3">
        <f>IF($H512="","",IFERROR(INDEX('CAT_ACTIVIDADES'!$B$4:$B$8,MATCH($H512,'CAT_ACTIVIDADES'!$A$4:$A$8,0)),"(sin catálogo)"))</f>
        <v/>
      </c>
      <c r="AA512" s="12">
        <f>IF($J512="","",TODAY()-$J512)</f>
        <v/>
      </c>
      <c r="AB512" s="12">
        <f>IF($J512="","",IF($J512&lt;=TODAY(),COUNTIFS(cal_fechas,"&gt;="&amp;$J512,cal_fechas,"&lt;"&amp;TODAY(),cal_habil,"sí"),-COUNTIFS(cal_fechas,"&gt;="&amp;TODAY(),cal_fechas,"&lt;"&amp;$J512,cal_habil,"sí")))</f>
        <v/>
      </c>
      <c r="AC512" s="3">
        <f>IF($AB512="","",IF($AB512&lt;0,"FUTURO",IF($AB512&gt;p_dias_backlog_max,"BACKLOG","MES CORRIENTE")))</f>
        <v/>
      </c>
      <c r="AD512" s="3">
        <f>IF($AB512="",FALSE,AND($AB512&gt;p_dias_backlog_min,$AB512&lt;=p_dias_backlog_max))</f>
        <v/>
      </c>
      <c r="AE512" s="6" t="n"/>
      <c r="AF512" s="3">
        <f>IF($AE512="","",IF((IFERROR(INDEX('ASIGNACIONES'!$F$4:$F$339,MATCH($O512&amp;"|"&amp;$R512&amp;"|"&amp;$AE512,'ASIGNACIONES'!$J$4:$J$339,0)),""))=0,"",IFERROR(INDEX('ASIGNACIONES'!$F$4:$F$339,MATCH($O512&amp;"|"&amp;$R512&amp;"|"&amp;$AE512,'ASIGNACIONES'!$J$4:$J$339,0)),"")))</f>
        <v/>
      </c>
      <c r="AG512" s="13">
        <f>IF($AE512="","",SUMIFS('ORDENES'!$M$4:$M$1203,'ORDENES'!$AE$4:$AE$1203,$AE512,'ORDENES'!$O$4:$O$1203,$O512,'ORDENES'!$R$4:$R$1203,$R512))</f>
        <v/>
      </c>
      <c r="AH512" s="13">
        <f>IF($AG512="","",p_factor_productividad*IFERROR(INDEX('ASIGNACIONES'!$I$4:$I$339,MATCH($O512&amp;"|"&amp;$R512&amp;"|"&amp;$AE512,'ASIGNACIONES'!$J$4:$J$339,0)),0)-$AG512)</f>
        <v/>
      </c>
      <c r="AI512" s="10">
        <f>IF($A512="","",IFERROR(INDEX('2_IMPORTAR_EJECUCION'!$F$9:$F$1208,MATCH($AQ512,'2_IMPORTAR_EJECUCION'!$J$9:$J$1208,0)),0))</f>
        <v/>
      </c>
      <c r="AJ512" s="10">
        <f>IF($A512="","",MAX(0,IFERROR(INDEX('2_IMPORTAR_EJECUCION'!$H$9:$H$1208,MATCH($AQ512,'2_IMPORTAR_EJECUCION'!$J$9:$J$1208,0)),0)-$AI512))</f>
        <v/>
      </c>
      <c r="AK512" s="10">
        <f>IF($A512="","",$AI512+$AJ512)</f>
        <v/>
      </c>
      <c r="AL512" s="6" t="n"/>
      <c r="AM512" s="6" t="n"/>
      <c r="AN512" s="6" t="n"/>
      <c r="AO512" s="3">
        <f>IF($AN512="","",HYPERLINK(p_ruta_base_checklists&amp;$AN512,"abrir"))</f>
        <v/>
      </c>
      <c r="AP512" s="6" t="n"/>
      <c r="AQ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IF($A513="","",IFERROR(INDEX('AJUSTES'!$B$4:$B$303,MATCH($AQ513,'AJUSTES'!$A$4:$A$303,0)),IF($K513="","",$K513)))</f>
        <v/>
      </c>
      <c r="N513" s="3">
        <f>IF($A513="","",IFERROR(INDEX('CAT_ESTADOS_ERP'!$B$4:$B$7,MATCH(IFERROR(INDEX('2_IMPORTAR_EJECUCION'!$C$9:$C$1208,MATCH($AQ513,'2_IMPORTAR_EJECUCION'!$J$9:$J$1208,0)),""),'CAT_ESTADOS_ERP'!$A$4:$A$7,0)),"Pendiente"))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J513="","",IFERROR(INDEX('CALENDARIO'!$C$15:$C$214,MATCH(TEXT($J513,"yyyy-mm-dd")&amp;"|"&amp;$V513&amp;"|"&amp;$W513,'CALENDARIO'!$G$15:$G$214,0)),IFERROR(INDEX('CALENDARIO'!$C$15:$C$214,MATCH(TEXT($J513,"yyyy-mm-dd")&amp;"|"&amp;$V513&amp;"|",'CALENDARIO'!$G$15:$G$214,0)),IFERROR(INDEX('CALENDARIO'!$C$15:$C$214,MATCH(TEXT($J513,"yyyy-mm-dd")&amp;"||",'CALENDARIO'!$G$15:$G$214,0)),INDEX(patronHabil,WEEKDAY($J513,2))))))</f>
        <v/>
      </c>
      <c r="T513" s="3">
        <f>IF($I513="","",IFERROR(INDEX('CAT_TIPOS_OT'!$C$4:$C$7,MATCH($I513,'CAT_TIPOS_OT'!$A$4:$A$7,0)),"sin_clasificar"))</f>
        <v/>
      </c>
      <c r="U513" s="3">
        <f>IF($F513="","",IFERROR(INDEX('CAT_CENTROS_COSTO'!$F$4:$F$13,MATCH($F513,'CAT_CENTROS_COSTO'!$A$4:$A$13,0)),"(sin catálogo)"))</f>
        <v/>
      </c>
      <c r="V513" s="3">
        <f>IF($F513="","",IFERROR(INDEX('CAT_CENTROS_COSTO'!$D$4:$D$13,MATCH($F513,'CAT_CENTROS_COSTO'!$A$4:$A$13,0)),"(sin catálogo)"))</f>
        <v/>
      </c>
      <c r="W513" s="3">
        <f>IF($F513="","",IF((IFERROR(INDEX('CAT_CENTROS_COSTO'!$E$4:$E$13,MATCH($F513,'CAT_CENTROS_COSTO'!$A$4:$A$13,0)),""))&lt;&gt;"",IFERROR(INDEX('CAT_CENTROS_COSTO'!$E$4:$E$13,MATCH($F513,'CAT_CENTROS_COSTO'!$A$4:$A$13,0)),""),$V513))</f>
        <v/>
      </c>
      <c r="X513" s="3">
        <f>IF($F513="","",IFERROR(INDEX('CAT_CENTROS_COSTO'!$G$4:$G$13,MATCH($F513,'CAT_CENTROS_COSTO'!$A$4:$A$13,0)),"(sin catálogo)"))</f>
        <v/>
      </c>
      <c r="Y513" s="3">
        <f>IF($G513="","",IFERROR(INDEX('CAT_PUESTOS'!$B$4:$B$8,MATCH($G513,'CAT_PUESTOS'!$A$4:$A$8,0)),"(sin catálogo)"))</f>
        <v/>
      </c>
      <c r="Z513" s="3">
        <f>IF($H513="","",IFERROR(INDEX('CAT_ACTIVIDADES'!$B$4:$B$8,MATCH($H513,'CAT_ACTIVIDADES'!$A$4:$A$8,0)),"(sin catálogo)"))</f>
        <v/>
      </c>
      <c r="AA513" s="12">
        <f>IF($J513="","",TODAY()-$J513)</f>
        <v/>
      </c>
      <c r="AB513" s="12">
        <f>IF($J513="","",IF($J513&lt;=TODAY(),COUNTIFS(cal_fechas,"&gt;="&amp;$J513,cal_fechas,"&lt;"&amp;TODAY(),cal_habil,"sí"),-COUNTIFS(cal_fechas,"&gt;="&amp;TODAY(),cal_fechas,"&lt;"&amp;$J513,cal_habil,"sí")))</f>
        <v/>
      </c>
      <c r="AC513" s="3">
        <f>IF($AB513="","",IF($AB513&lt;0,"FUTURO",IF($AB513&gt;p_dias_backlog_max,"BACKLOG","MES CORRIENTE")))</f>
        <v/>
      </c>
      <c r="AD513" s="3">
        <f>IF($AB513="",FALSE,AND($AB513&gt;p_dias_backlog_min,$AB513&lt;=p_dias_backlog_max))</f>
        <v/>
      </c>
      <c r="AE513" s="6" t="n"/>
      <c r="AF513" s="3">
        <f>IF($AE513="","",IF((IFERROR(INDEX('ASIGNACIONES'!$F$4:$F$339,MATCH($O513&amp;"|"&amp;$R513&amp;"|"&amp;$AE513,'ASIGNACIONES'!$J$4:$J$339,0)),""))=0,"",IFERROR(INDEX('ASIGNACIONES'!$F$4:$F$339,MATCH($O513&amp;"|"&amp;$R513&amp;"|"&amp;$AE513,'ASIGNACIONES'!$J$4:$J$339,0)),"")))</f>
        <v/>
      </c>
      <c r="AG513" s="13">
        <f>IF($AE513="","",SUMIFS('ORDENES'!$M$4:$M$1203,'ORDENES'!$AE$4:$AE$1203,$AE513,'ORDENES'!$O$4:$O$1203,$O513,'ORDENES'!$R$4:$R$1203,$R513))</f>
        <v/>
      </c>
      <c r="AH513" s="13">
        <f>IF($AG513="","",p_factor_productividad*IFERROR(INDEX('ASIGNACIONES'!$I$4:$I$339,MATCH($O513&amp;"|"&amp;$R513&amp;"|"&amp;$AE513,'ASIGNACIONES'!$J$4:$J$339,0)),0)-$AG513)</f>
        <v/>
      </c>
      <c r="AI513" s="10">
        <f>IF($A513="","",IFERROR(INDEX('2_IMPORTAR_EJECUCION'!$F$9:$F$1208,MATCH($AQ513,'2_IMPORTAR_EJECUCION'!$J$9:$J$1208,0)),0))</f>
        <v/>
      </c>
      <c r="AJ513" s="10">
        <f>IF($A513="","",MAX(0,IFERROR(INDEX('2_IMPORTAR_EJECUCION'!$H$9:$H$1208,MATCH($AQ513,'2_IMPORTAR_EJECUCION'!$J$9:$J$1208,0)),0)-$AI513))</f>
        <v/>
      </c>
      <c r="AK513" s="10">
        <f>IF($A513="","",$AI513+$AJ513)</f>
        <v/>
      </c>
      <c r="AL513" s="6" t="n"/>
      <c r="AM513" s="6" t="n"/>
      <c r="AN513" s="6" t="n"/>
      <c r="AO513" s="3">
        <f>IF($AN513="","",HYPERLINK(p_ruta_base_checklists&amp;$AN513,"abrir"))</f>
        <v/>
      </c>
      <c r="AP513" s="6" t="n"/>
      <c r="AQ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IF($A514="","",IFERROR(INDEX('AJUSTES'!$B$4:$B$303,MATCH($AQ514,'AJUSTES'!$A$4:$A$303,0)),IF($K514="","",$K514)))</f>
        <v/>
      </c>
      <c r="N514" s="3">
        <f>IF($A514="","",IFERROR(INDEX('CAT_ESTADOS_ERP'!$B$4:$B$7,MATCH(IFERROR(INDEX('2_IMPORTAR_EJECUCION'!$C$9:$C$1208,MATCH($AQ514,'2_IMPORTAR_EJECUCION'!$J$9:$J$1208,0)),""),'CAT_ESTADOS_ERP'!$A$4:$A$7,0)),"Pendiente"))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J514="","",IFERROR(INDEX('CALENDARIO'!$C$15:$C$214,MATCH(TEXT($J514,"yyyy-mm-dd")&amp;"|"&amp;$V514&amp;"|"&amp;$W514,'CALENDARIO'!$G$15:$G$214,0)),IFERROR(INDEX('CALENDARIO'!$C$15:$C$214,MATCH(TEXT($J514,"yyyy-mm-dd")&amp;"|"&amp;$V514&amp;"|",'CALENDARIO'!$G$15:$G$214,0)),IFERROR(INDEX('CALENDARIO'!$C$15:$C$214,MATCH(TEXT($J514,"yyyy-mm-dd")&amp;"||",'CALENDARIO'!$G$15:$G$214,0)),INDEX(patronHabil,WEEKDAY($J514,2))))))</f>
        <v/>
      </c>
      <c r="T514" s="3">
        <f>IF($I514="","",IFERROR(INDEX('CAT_TIPOS_OT'!$C$4:$C$7,MATCH($I514,'CAT_TIPOS_OT'!$A$4:$A$7,0)),"sin_clasificar"))</f>
        <v/>
      </c>
      <c r="U514" s="3">
        <f>IF($F514="","",IFERROR(INDEX('CAT_CENTROS_COSTO'!$F$4:$F$13,MATCH($F514,'CAT_CENTROS_COSTO'!$A$4:$A$13,0)),"(sin catálogo)"))</f>
        <v/>
      </c>
      <c r="V514" s="3">
        <f>IF($F514="","",IFERROR(INDEX('CAT_CENTROS_COSTO'!$D$4:$D$13,MATCH($F514,'CAT_CENTROS_COSTO'!$A$4:$A$13,0)),"(sin catálogo)"))</f>
        <v/>
      </c>
      <c r="W514" s="3">
        <f>IF($F514="","",IF((IFERROR(INDEX('CAT_CENTROS_COSTO'!$E$4:$E$13,MATCH($F514,'CAT_CENTROS_COSTO'!$A$4:$A$13,0)),""))&lt;&gt;"",IFERROR(INDEX('CAT_CENTROS_COSTO'!$E$4:$E$13,MATCH($F514,'CAT_CENTROS_COSTO'!$A$4:$A$13,0)),""),$V514))</f>
        <v/>
      </c>
      <c r="X514" s="3">
        <f>IF($F514="","",IFERROR(INDEX('CAT_CENTROS_COSTO'!$G$4:$G$13,MATCH($F514,'CAT_CENTROS_COSTO'!$A$4:$A$13,0)),"(sin catálogo)"))</f>
        <v/>
      </c>
      <c r="Y514" s="3">
        <f>IF($G514="","",IFERROR(INDEX('CAT_PUESTOS'!$B$4:$B$8,MATCH($G514,'CAT_PUESTOS'!$A$4:$A$8,0)),"(sin catálogo)"))</f>
        <v/>
      </c>
      <c r="Z514" s="3">
        <f>IF($H514="","",IFERROR(INDEX('CAT_ACTIVIDADES'!$B$4:$B$8,MATCH($H514,'CAT_ACTIVIDADES'!$A$4:$A$8,0)),"(sin catálogo)"))</f>
        <v/>
      </c>
      <c r="AA514" s="12">
        <f>IF($J514="","",TODAY()-$J514)</f>
        <v/>
      </c>
      <c r="AB514" s="12">
        <f>IF($J514="","",IF($J514&lt;=TODAY(),COUNTIFS(cal_fechas,"&gt;="&amp;$J514,cal_fechas,"&lt;"&amp;TODAY(),cal_habil,"sí"),-COUNTIFS(cal_fechas,"&gt;="&amp;TODAY(),cal_fechas,"&lt;"&amp;$J514,cal_habil,"sí")))</f>
        <v/>
      </c>
      <c r="AC514" s="3">
        <f>IF($AB514="","",IF($AB514&lt;0,"FUTURO",IF($AB514&gt;p_dias_backlog_max,"BACKLOG","MES CORRIENTE")))</f>
        <v/>
      </c>
      <c r="AD514" s="3">
        <f>IF($AB514="",FALSE,AND($AB514&gt;p_dias_backlog_min,$AB514&lt;=p_dias_backlog_max))</f>
        <v/>
      </c>
      <c r="AE514" s="6" t="n"/>
      <c r="AF514" s="3">
        <f>IF($AE514="","",IF((IFERROR(INDEX('ASIGNACIONES'!$F$4:$F$339,MATCH($O514&amp;"|"&amp;$R514&amp;"|"&amp;$AE514,'ASIGNACIONES'!$J$4:$J$339,0)),""))=0,"",IFERROR(INDEX('ASIGNACIONES'!$F$4:$F$339,MATCH($O514&amp;"|"&amp;$R514&amp;"|"&amp;$AE514,'ASIGNACIONES'!$J$4:$J$339,0)),"")))</f>
        <v/>
      </c>
      <c r="AG514" s="13">
        <f>IF($AE514="","",SUMIFS('ORDENES'!$M$4:$M$1203,'ORDENES'!$AE$4:$AE$1203,$AE514,'ORDENES'!$O$4:$O$1203,$O514,'ORDENES'!$R$4:$R$1203,$R514))</f>
        <v/>
      </c>
      <c r="AH514" s="13">
        <f>IF($AG514="","",p_factor_productividad*IFERROR(INDEX('ASIGNACIONES'!$I$4:$I$339,MATCH($O514&amp;"|"&amp;$R514&amp;"|"&amp;$AE514,'ASIGNACIONES'!$J$4:$J$339,0)),0)-$AG514)</f>
        <v/>
      </c>
      <c r="AI514" s="10">
        <f>IF($A514="","",IFERROR(INDEX('2_IMPORTAR_EJECUCION'!$F$9:$F$1208,MATCH($AQ514,'2_IMPORTAR_EJECUCION'!$J$9:$J$1208,0)),0))</f>
        <v/>
      </c>
      <c r="AJ514" s="10">
        <f>IF($A514="","",MAX(0,IFERROR(INDEX('2_IMPORTAR_EJECUCION'!$H$9:$H$1208,MATCH($AQ514,'2_IMPORTAR_EJECUCION'!$J$9:$J$1208,0)),0)-$AI514))</f>
        <v/>
      </c>
      <c r="AK514" s="10">
        <f>IF($A514="","",$AI514+$AJ514)</f>
        <v/>
      </c>
      <c r="AL514" s="6" t="n"/>
      <c r="AM514" s="6" t="n"/>
      <c r="AN514" s="6" t="n"/>
      <c r="AO514" s="3">
        <f>IF($AN514="","",HYPERLINK(p_ruta_base_checklists&amp;$AN514,"abrir"))</f>
        <v/>
      </c>
      <c r="AP514" s="6" t="n"/>
      <c r="AQ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IF($A515="","",IFERROR(INDEX('AJUSTES'!$B$4:$B$303,MATCH($AQ515,'AJUSTES'!$A$4:$A$303,0)),IF($K515="","",$K515)))</f>
        <v/>
      </c>
      <c r="N515" s="3">
        <f>IF($A515="","",IFERROR(INDEX('CAT_ESTADOS_ERP'!$B$4:$B$7,MATCH(IFERROR(INDEX('2_IMPORTAR_EJECUCION'!$C$9:$C$1208,MATCH($AQ515,'2_IMPORTAR_EJECUCION'!$J$9:$J$1208,0)),""),'CAT_ESTADOS_ERP'!$A$4:$A$7,0)),"Pendiente"))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J515="","",IFERROR(INDEX('CALENDARIO'!$C$15:$C$214,MATCH(TEXT($J515,"yyyy-mm-dd")&amp;"|"&amp;$V515&amp;"|"&amp;$W515,'CALENDARIO'!$G$15:$G$214,0)),IFERROR(INDEX('CALENDARIO'!$C$15:$C$214,MATCH(TEXT($J515,"yyyy-mm-dd")&amp;"|"&amp;$V515&amp;"|",'CALENDARIO'!$G$15:$G$214,0)),IFERROR(INDEX('CALENDARIO'!$C$15:$C$214,MATCH(TEXT($J515,"yyyy-mm-dd")&amp;"||",'CALENDARIO'!$G$15:$G$214,0)),INDEX(patronHabil,WEEKDAY($J515,2))))))</f>
        <v/>
      </c>
      <c r="T515" s="3">
        <f>IF($I515="","",IFERROR(INDEX('CAT_TIPOS_OT'!$C$4:$C$7,MATCH($I515,'CAT_TIPOS_OT'!$A$4:$A$7,0)),"sin_clasificar"))</f>
        <v/>
      </c>
      <c r="U515" s="3">
        <f>IF($F515="","",IFERROR(INDEX('CAT_CENTROS_COSTO'!$F$4:$F$13,MATCH($F515,'CAT_CENTROS_COSTO'!$A$4:$A$13,0)),"(sin catálogo)"))</f>
        <v/>
      </c>
      <c r="V515" s="3">
        <f>IF($F515="","",IFERROR(INDEX('CAT_CENTROS_COSTO'!$D$4:$D$13,MATCH($F515,'CAT_CENTROS_COSTO'!$A$4:$A$13,0)),"(sin catálogo)"))</f>
        <v/>
      </c>
      <c r="W515" s="3">
        <f>IF($F515="","",IF((IFERROR(INDEX('CAT_CENTROS_COSTO'!$E$4:$E$13,MATCH($F515,'CAT_CENTROS_COSTO'!$A$4:$A$13,0)),""))&lt;&gt;"",IFERROR(INDEX('CAT_CENTROS_COSTO'!$E$4:$E$13,MATCH($F515,'CAT_CENTROS_COSTO'!$A$4:$A$13,0)),""),$V515))</f>
        <v/>
      </c>
      <c r="X515" s="3">
        <f>IF($F515="","",IFERROR(INDEX('CAT_CENTROS_COSTO'!$G$4:$G$13,MATCH($F515,'CAT_CENTROS_COSTO'!$A$4:$A$13,0)),"(sin catálogo)"))</f>
        <v/>
      </c>
      <c r="Y515" s="3">
        <f>IF($G515="","",IFERROR(INDEX('CAT_PUESTOS'!$B$4:$B$8,MATCH($G515,'CAT_PUESTOS'!$A$4:$A$8,0)),"(sin catálogo)"))</f>
        <v/>
      </c>
      <c r="Z515" s="3">
        <f>IF($H515="","",IFERROR(INDEX('CAT_ACTIVIDADES'!$B$4:$B$8,MATCH($H515,'CAT_ACTIVIDADES'!$A$4:$A$8,0)),"(sin catálogo)"))</f>
        <v/>
      </c>
      <c r="AA515" s="12">
        <f>IF($J515="","",TODAY()-$J515)</f>
        <v/>
      </c>
      <c r="AB515" s="12">
        <f>IF($J515="","",IF($J515&lt;=TODAY(),COUNTIFS(cal_fechas,"&gt;="&amp;$J515,cal_fechas,"&lt;"&amp;TODAY(),cal_habil,"sí"),-COUNTIFS(cal_fechas,"&gt;="&amp;TODAY(),cal_fechas,"&lt;"&amp;$J515,cal_habil,"sí")))</f>
        <v/>
      </c>
      <c r="AC515" s="3">
        <f>IF($AB515="","",IF($AB515&lt;0,"FUTURO",IF($AB515&gt;p_dias_backlog_max,"BACKLOG","MES CORRIENTE")))</f>
        <v/>
      </c>
      <c r="AD515" s="3">
        <f>IF($AB515="",FALSE,AND($AB515&gt;p_dias_backlog_min,$AB515&lt;=p_dias_backlog_max))</f>
        <v/>
      </c>
      <c r="AE515" s="6" t="n"/>
      <c r="AF515" s="3">
        <f>IF($AE515="","",IF((IFERROR(INDEX('ASIGNACIONES'!$F$4:$F$339,MATCH($O515&amp;"|"&amp;$R515&amp;"|"&amp;$AE515,'ASIGNACIONES'!$J$4:$J$339,0)),""))=0,"",IFERROR(INDEX('ASIGNACIONES'!$F$4:$F$339,MATCH($O515&amp;"|"&amp;$R515&amp;"|"&amp;$AE515,'ASIGNACIONES'!$J$4:$J$339,0)),"")))</f>
        <v/>
      </c>
      <c r="AG515" s="13">
        <f>IF($AE515="","",SUMIFS('ORDENES'!$M$4:$M$1203,'ORDENES'!$AE$4:$AE$1203,$AE515,'ORDENES'!$O$4:$O$1203,$O515,'ORDENES'!$R$4:$R$1203,$R515))</f>
        <v/>
      </c>
      <c r="AH515" s="13">
        <f>IF($AG515="","",p_factor_productividad*IFERROR(INDEX('ASIGNACIONES'!$I$4:$I$339,MATCH($O515&amp;"|"&amp;$R515&amp;"|"&amp;$AE515,'ASIGNACIONES'!$J$4:$J$339,0)),0)-$AG515)</f>
        <v/>
      </c>
      <c r="AI515" s="10">
        <f>IF($A515="","",IFERROR(INDEX('2_IMPORTAR_EJECUCION'!$F$9:$F$1208,MATCH($AQ515,'2_IMPORTAR_EJECUCION'!$J$9:$J$1208,0)),0))</f>
        <v/>
      </c>
      <c r="AJ515" s="10">
        <f>IF($A515="","",MAX(0,IFERROR(INDEX('2_IMPORTAR_EJECUCION'!$H$9:$H$1208,MATCH($AQ515,'2_IMPORTAR_EJECUCION'!$J$9:$J$1208,0)),0)-$AI515))</f>
        <v/>
      </c>
      <c r="AK515" s="10">
        <f>IF($A515="","",$AI515+$AJ515)</f>
        <v/>
      </c>
      <c r="AL515" s="6" t="n"/>
      <c r="AM515" s="6" t="n"/>
      <c r="AN515" s="6" t="n"/>
      <c r="AO515" s="3">
        <f>IF($AN515="","",HYPERLINK(p_ruta_base_checklists&amp;$AN515,"abrir"))</f>
        <v/>
      </c>
      <c r="AP515" s="6" t="n"/>
      <c r="AQ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IF($A516="","",IFERROR(INDEX('AJUSTES'!$B$4:$B$303,MATCH($AQ516,'AJUSTES'!$A$4:$A$303,0)),IF($K516="","",$K516)))</f>
        <v/>
      </c>
      <c r="N516" s="3">
        <f>IF($A516="","",IFERROR(INDEX('CAT_ESTADOS_ERP'!$B$4:$B$7,MATCH(IFERROR(INDEX('2_IMPORTAR_EJECUCION'!$C$9:$C$1208,MATCH($AQ516,'2_IMPORTAR_EJECUCION'!$J$9:$J$1208,0)),""),'CAT_ESTADOS_ERP'!$A$4:$A$7,0)),"Pendiente"))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J516="","",IFERROR(INDEX('CALENDARIO'!$C$15:$C$214,MATCH(TEXT($J516,"yyyy-mm-dd")&amp;"|"&amp;$V516&amp;"|"&amp;$W516,'CALENDARIO'!$G$15:$G$214,0)),IFERROR(INDEX('CALENDARIO'!$C$15:$C$214,MATCH(TEXT($J516,"yyyy-mm-dd")&amp;"|"&amp;$V516&amp;"|",'CALENDARIO'!$G$15:$G$214,0)),IFERROR(INDEX('CALENDARIO'!$C$15:$C$214,MATCH(TEXT($J516,"yyyy-mm-dd")&amp;"||",'CALENDARIO'!$G$15:$G$214,0)),INDEX(patronHabil,WEEKDAY($J516,2))))))</f>
        <v/>
      </c>
      <c r="T516" s="3">
        <f>IF($I516="","",IFERROR(INDEX('CAT_TIPOS_OT'!$C$4:$C$7,MATCH($I516,'CAT_TIPOS_OT'!$A$4:$A$7,0)),"sin_clasificar"))</f>
        <v/>
      </c>
      <c r="U516" s="3">
        <f>IF($F516="","",IFERROR(INDEX('CAT_CENTROS_COSTO'!$F$4:$F$13,MATCH($F516,'CAT_CENTROS_COSTO'!$A$4:$A$13,0)),"(sin catálogo)"))</f>
        <v/>
      </c>
      <c r="V516" s="3">
        <f>IF($F516="","",IFERROR(INDEX('CAT_CENTROS_COSTO'!$D$4:$D$13,MATCH($F516,'CAT_CENTROS_COSTO'!$A$4:$A$13,0)),"(sin catálogo)"))</f>
        <v/>
      </c>
      <c r="W516" s="3">
        <f>IF($F516="","",IF((IFERROR(INDEX('CAT_CENTROS_COSTO'!$E$4:$E$13,MATCH($F516,'CAT_CENTROS_COSTO'!$A$4:$A$13,0)),""))&lt;&gt;"",IFERROR(INDEX('CAT_CENTROS_COSTO'!$E$4:$E$13,MATCH($F516,'CAT_CENTROS_COSTO'!$A$4:$A$13,0)),""),$V516))</f>
        <v/>
      </c>
      <c r="X516" s="3">
        <f>IF($F516="","",IFERROR(INDEX('CAT_CENTROS_COSTO'!$G$4:$G$13,MATCH($F516,'CAT_CENTROS_COSTO'!$A$4:$A$13,0)),"(sin catálogo)"))</f>
        <v/>
      </c>
      <c r="Y516" s="3">
        <f>IF($G516="","",IFERROR(INDEX('CAT_PUESTOS'!$B$4:$B$8,MATCH($G516,'CAT_PUESTOS'!$A$4:$A$8,0)),"(sin catálogo)"))</f>
        <v/>
      </c>
      <c r="Z516" s="3">
        <f>IF($H516="","",IFERROR(INDEX('CAT_ACTIVIDADES'!$B$4:$B$8,MATCH($H516,'CAT_ACTIVIDADES'!$A$4:$A$8,0)),"(sin catálogo)"))</f>
        <v/>
      </c>
      <c r="AA516" s="12">
        <f>IF($J516="","",TODAY()-$J516)</f>
        <v/>
      </c>
      <c r="AB516" s="12">
        <f>IF($J516="","",IF($J516&lt;=TODAY(),COUNTIFS(cal_fechas,"&gt;="&amp;$J516,cal_fechas,"&lt;"&amp;TODAY(),cal_habil,"sí"),-COUNTIFS(cal_fechas,"&gt;="&amp;TODAY(),cal_fechas,"&lt;"&amp;$J516,cal_habil,"sí")))</f>
        <v/>
      </c>
      <c r="AC516" s="3">
        <f>IF($AB516="","",IF($AB516&lt;0,"FUTURO",IF($AB516&gt;p_dias_backlog_max,"BACKLOG","MES CORRIENTE")))</f>
        <v/>
      </c>
      <c r="AD516" s="3">
        <f>IF($AB516="",FALSE,AND($AB516&gt;p_dias_backlog_min,$AB516&lt;=p_dias_backlog_max))</f>
        <v/>
      </c>
      <c r="AE516" s="6" t="n"/>
      <c r="AF516" s="3">
        <f>IF($AE516="","",IF((IFERROR(INDEX('ASIGNACIONES'!$F$4:$F$339,MATCH($O516&amp;"|"&amp;$R516&amp;"|"&amp;$AE516,'ASIGNACIONES'!$J$4:$J$339,0)),""))=0,"",IFERROR(INDEX('ASIGNACIONES'!$F$4:$F$339,MATCH($O516&amp;"|"&amp;$R516&amp;"|"&amp;$AE516,'ASIGNACIONES'!$J$4:$J$339,0)),"")))</f>
        <v/>
      </c>
      <c r="AG516" s="13">
        <f>IF($AE516="","",SUMIFS('ORDENES'!$M$4:$M$1203,'ORDENES'!$AE$4:$AE$1203,$AE516,'ORDENES'!$O$4:$O$1203,$O516,'ORDENES'!$R$4:$R$1203,$R516))</f>
        <v/>
      </c>
      <c r="AH516" s="13">
        <f>IF($AG516="","",p_factor_productividad*IFERROR(INDEX('ASIGNACIONES'!$I$4:$I$339,MATCH($O516&amp;"|"&amp;$R516&amp;"|"&amp;$AE516,'ASIGNACIONES'!$J$4:$J$339,0)),0)-$AG516)</f>
        <v/>
      </c>
      <c r="AI516" s="10">
        <f>IF($A516="","",IFERROR(INDEX('2_IMPORTAR_EJECUCION'!$F$9:$F$1208,MATCH($AQ516,'2_IMPORTAR_EJECUCION'!$J$9:$J$1208,0)),0))</f>
        <v/>
      </c>
      <c r="AJ516" s="10">
        <f>IF($A516="","",MAX(0,IFERROR(INDEX('2_IMPORTAR_EJECUCION'!$H$9:$H$1208,MATCH($AQ516,'2_IMPORTAR_EJECUCION'!$J$9:$J$1208,0)),0)-$AI516))</f>
        <v/>
      </c>
      <c r="AK516" s="10">
        <f>IF($A516="","",$AI516+$AJ516)</f>
        <v/>
      </c>
      <c r="AL516" s="6" t="n"/>
      <c r="AM516" s="6" t="n"/>
      <c r="AN516" s="6" t="n"/>
      <c r="AO516" s="3">
        <f>IF($AN516="","",HYPERLINK(p_ruta_base_checklists&amp;$AN516,"abrir"))</f>
        <v/>
      </c>
      <c r="AP516" s="6" t="n"/>
      <c r="AQ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IF($A517="","",IFERROR(INDEX('AJUSTES'!$B$4:$B$303,MATCH($AQ517,'AJUSTES'!$A$4:$A$303,0)),IF($K517="","",$K517)))</f>
        <v/>
      </c>
      <c r="N517" s="3">
        <f>IF($A517="","",IFERROR(INDEX('CAT_ESTADOS_ERP'!$B$4:$B$7,MATCH(IFERROR(INDEX('2_IMPORTAR_EJECUCION'!$C$9:$C$1208,MATCH($AQ517,'2_IMPORTAR_EJECUCION'!$J$9:$J$1208,0)),""),'CAT_ESTADOS_ERP'!$A$4:$A$7,0)),"Pendiente"))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J517="","",IFERROR(INDEX('CALENDARIO'!$C$15:$C$214,MATCH(TEXT($J517,"yyyy-mm-dd")&amp;"|"&amp;$V517&amp;"|"&amp;$W517,'CALENDARIO'!$G$15:$G$214,0)),IFERROR(INDEX('CALENDARIO'!$C$15:$C$214,MATCH(TEXT($J517,"yyyy-mm-dd")&amp;"|"&amp;$V517&amp;"|",'CALENDARIO'!$G$15:$G$214,0)),IFERROR(INDEX('CALENDARIO'!$C$15:$C$214,MATCH(TEXT($J517,"yyyy-mm-dd")&amp;"||",'CALENDARIO'!$G$15:$G$214,0)),INDEX(patronHabil,WEEKDAY($J517,2))))))</f>
        <v/>
      </c>
      <c r="T517" s="3">
        <f>IF($I517="","",IFERROR(INDEX('CAT_TIPOS_OT'!$C$4:$C$7,MATCH($I517,'CAT_TIPOS_OT'!$A$4:$A$7,0)),"sin_clasificar"))</f>
        <v/>
      </c>
      <c r="U517" s="3">
        <f>IF($F517="","",IFERROR(INDEX('CAT_CENTROS_COSTO'!$F$4:$F$13,MATCH($F517,'CAT_CENTROS_COSTO'!$A$4:$A$13,0)),"(sin catálogo)"))</f>
        <v/>
      </c>
      <c r="V517" s="3">
        <f>IF($F517="","",IFERROR(INDEX('CAT_CENTROS_COSTO'!$D$4:$D$13,MATCH($F517,'CAT_CENTROS_COSTO'!$A$4:$A$13,0)),"(sin catálogo)"))</f>
        <v/>
      </c>
      <c r="W517" s="3">
        <f>IF($F517="","",IF((IFERROR(INDEX('CAT_CENTROS_COSTO'!$E$4:$E$13,MATCH($F517,'CAT_CENTROS_COSTO'!$A$4:$A$13,0)),""))&lt;&gt;"",IFERROR(INDEX('CAT_CENTROS_COSTO'!$E$4:$E$13,MATCH($F517,'CAT_CENTROS_COSTO'!$A$4:$A$13,0)),""),$V517))</f>
        <v/>
      </c>
      <c r="X517" s="3">
        <f>IF($F517="","",IFERROR(INDEX('CAT_CENTROS_COSTO'!$G$4:$G$13,MATCH($F517,'CAT_CENTROS_COSTO'!$A$4:$A$13,0)),"(sin catálogo)"))</f>
        <v/>
      </c>
      <c r="Y517" s="3">
        <f>IF($G517="","",IFERROR(INDEX('CAT_PUESTOS'!$B$4:$B$8,MATCH($G517,'CAT_PUESTOS'!$A$4:$A$8,0)),"(sin catálogo)"))</f>
        <v/>
      </c>
      <c r="Z517" s="3">
        <f>IF($H517="","",IFERROR(INDEX('CAT_ACTIVIDADES'!$B$4:$B$8,MATCH($H517,'CAT_ACTIVIDADES'!$A$4:$A$8,0)),"(sin catálogo)"))</f>
        <v/>
      </c>
      <c r="AA517" s="12">
        <f>IF($J517="","",TODAY()-$J517)</f>
        <v/>
      </c>
      <c r="AB517" s="12">
        <f>IF($J517="","",IF($J517&lt;=TODAY(),COUNTIFS(cal_fechas,"&gt;="&amp;$J517,cal_fechas,"&lt;"&amp;TODAY(),cal_habil,"sí"),-COUNTIFS(cal_fechas,"&gt;="&amp;TODAY(),cal_fechas,"&lt;"&amp;$J517,cal_habil,"sí")))</f>
        <v/>
      </c>
      <c r="AC517" s="3">
        <f>IF($AB517="","",IF($AB517&lt;0,"FUTURO",IF($AB517&gt;p_dias_backlog_max,"BACKLOG","MES CORRIENTE")))</f>
        <v/>
      </c>
      <c r="AD517" s="3">
        <f>IF($AB517="",FALSE,AND($AB517&gt;p_dias_backlog_min,$AB517&lt;=p_dias_backlog_max))</f>
        <v/>
      </c>
      <c r="AE517" s="6" t="n"/>
      <c r="AF517" s="3">
        <f>IF($AE517="","",IF((IFERROR(INDEX('ASIGNACIONES'!$F$4:$F$339,MATCH($O517&amp;"|"&amp;$R517&amp;"|"&amp;$AE517,'ASIGNACIONES'!$J$4:$J$339,0)),""))=0,"",IFERROR(INDEX('ASIGNACIONES'!$F$4:$F$339,MATCH($O517&amp;"|"&amp;$R517&amp;"|"&amp;$AE517,'ASIGNACIONES'!$J$4:$J$339,0)),"")))</f>
        <v/>
      </c>
      <c r="AG517" s="13">
        <f>IF($AE517="","",SUMIFS('ORDENES'!$M$4:$M$1203,'ORDENES'!$AE$4:$AE$1203,$AE517,'ORDENES'!$O$4:$O$1203,$O517,'ORDENES'!$R$4:$R$1203,$R517))</f>
        <v/>
      </c>
      <c r="AH517" s="13">
        <f>IF($AG517="","",p_factor_productividad*IFERROR(INDEX('ASIGNACIONES'!$I$4:$I$339,MATCH($O517&amp;"|"&amp;$R517&amp;"|"&amp;$AE517,'ASIGNACIONES'!$J$4:$J$339,0)),0)-$AG517)</f>
        <v/>
      </c>
      <c r="AI517" s="10">
        <f>IF($A517="","",IFERROR(INDEX('2_IMPORTAR_EJECUCION'!$F$9:$F$1208,MATCH($AQ517,'2_IMPORTAR_EJECUCION'!$J$9:$J$1208,0)),0))</f>
        <v/>
      </c>
      <c r="AJ517" s="10">
        <f>IF($A517="","",MAX(0,IFERROR(INDEX('2_IMPORTAR_EJECUCION'!$H$9:$H$1208,MATCH($AQ517,'2_IMPORTAR_EJECUCION'!$J$9:$J$1208,0)),0)-$AI517))</f>
        <v/>
      </c>
      <c r="AK517" s="10">
        <f>IF($A517="","",$AI517+$AJ517)</f>
        <v/>
      </c>
      <c r="AL517" s="6" t="n"/>
      <c r="AM517" s="6" t="n"/>
      <c r="AN517" s="6" t="n"/>
      <c r="AO517" s="3">
        <f>IF($AN517="","",HYPERLINK(p_ruta_base_checklists&amp;$AN517,"abrir"))</f>
        <v/>
      </c>
      <c r="AP517" s="6" t="n"/>
      <c r="AQ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IF($A518="","",IFERROR(INDEX('AJUSTES'!$B$4:$B$303,MATCH($AQ518,'AJUSTES'!$A$4:$A$303,0)),IF($K518="","",$K518)))</f>
        <v/>
      </c>
      <c r="N518" s="3">
        <f>IF($A518="","",IFERROR(INDEX('CAT_ESTADOS_ERP'!$B$4:$B$7,MATCH(IFERROR(INDEX('2_IMPORTAR_EJECUCION'!$C$9:$C$1208,MATCH($AQ518,'2_IMPORTAR_EJECUCION'!$J$9:$J$1208,0)),""),'CAT_ESTADOS_ERP'!$A$4:$A$7,0)),"Pendiente"))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J518="","",IFERROR(INDEX('CALENDARIO'!$C$15:$C$214,MATCH(TEXT($J518,"yyyy-mm-dd")&amp;"|"&amp;$V518&amp;"|"&amp;$W518,'CALENDARIO'!$G$15:$G$214,0)),IFERROR(INDEX('CALENDARIO'!$C$15:$C$214,MATCH(TEXT($J518,"yyyy-mm-dd")&amp;"|"&amp;$V518&amp;"|",'CALENDARIO'!$G$15:$G$214,0)),IFERROR(INDEX('CALENDARIO'!$C$15:$C$214,MATCH(TEXT($J518,"yyyy-mm-dd")&amp;"||",'CALENDARIO'!$G$15:$G$214,0)),INDEX(patronHabil,WEEKDAY($J518,2))))))</f>
        <v/>
      </c>
      <c r="T518" s="3">
        <f>IF($I518="","",IFERROR(INDEX('CAT_TIPOS_OT'!$C$4:$C$7,MATCH($I518,'CAT_TIPOS_OT'!$A$4:$A$7,0)),"sin_clasificar"))</f>
        <v/>
      </c>
      <c r="U518" s="3">
        <f>IF($F518="","",IFERROR(INDEX('CAT_CENTROS_COSTO'!$F$4:$F$13,MATCH($F518,'CAT_CENTROS_COSTO'!$A$4:$A$13,0)),"(sin catálogo)"))</f>
        <v/>
      </c>
      <c r="V518" s="3">
        <f>IF($F518="","",IFERROR(INDEX('CAT_CENTROS_COSTO'!$D$4:$D$13,MATCH($F518,'CAT_CENTROS_COSTO'!$A$4:$A$13,0)),"(sin catálogo)"))</f>
        <v/>
      </c>
      <c r="W518" s="3">
        <f>IF($F518="","",IF((IFERROR(INDEX('CAT_CENTROS_COSTO'!$E$4:$E$13,MATCH($F518,'CAT_CENTROS_COSTO'!$A$4:$A$13,0)),""))&lt;&gt;"",IFERROR(INDEX('CAT_CENTROS_COSTO'!$E$4:$E$13,MATCH($F518,'CAT_CENTROS_COSTO'!$A$4:$A$13,0)),""),$V518))</f>
        <v/>
      </c>
      <c r="X518" s="3">
        <f>IF($F518="","",IFERROR(INDEX('CAT_CENTROS_COSTO'!$G$4:$G$13,MATCH($F518,'CAT_CENTROS_COSTO'!$A$4:$A$13,0)),"(sin catálogo)"))</f>
        <v/>
      </c>
      <c r="Y518" s="3">
        <f>IF($G518="","",IFERROR(INDEX('CAT_PUESTOS'!$B$4:$B$8,MATCH($G518,'CAT_PUESTOS'!$A$4:$A$8,0)),"(sin catálogo)"))</f>
        <v/>
      </c>
      <c r="Z518" s="3">
        <f>IF($H518="","",IFERROR(INDEX('CAT_ACTIVIDADES'!$B$4:$B$8,MATCH($H518,'CAT_ACTIVIDADES'!$A$4:$A$8,0)),"(sin catálogo)"))</f>
        <v/>
      </c>
      <c r="AA518" s="12">
        <f>IF($J518="","",TODAY()-$J518)</f>
        <v/>
      </c>
      <c r="AB518" s="12">
        <f>IF($J518="","",IF($J518&lt;=TODAY(),COUNTIFS(cal_fechas,"&gt;="&amp;$J518,cal_fechas,"&lt;"&amp;TODAY(),cal_habil,"sí"),-COUNTIFS(cal_fechas,"&gt;="&amp;TODAY(),cal_fechas,"&lt;"&amp;$J518,cal_habil,"sí")))</f>
        <v/>
      </c>
      <c r="AC518" s="3">
        <f>IF($AB518="","",IF($AB518&lt;0,"FUTURO",IF($AB518&gt;p_dias_backlog_max,"BACKLOG","MES CORRIENTE")))</f>
        <v/>
      </c>
      <c r="AD518" s="3">
        <f>IF($AB518="",FALSE,AND($AB518&gt;p_dias_backlog_min,$AB518&lt;=p_dias_backlog_max))</f>
        <v/>
      </c>
      <c r="AE518" s="6" t="n"/>
      <c r="AF518" s="3">
        <f>IF($AE518="","",IF((IFERROR(INDEX('ASIGNACIONES'!$F$4:$F$339,MATCH($O518&amp;"|"&amp;$R518&amp;"|"&amp;$AE518,'ASIGNACIONES'!$J$4:$J$339,0)),""))=0,"",IFERROR(INDEX('ASIGNACIONES'!$F$4:$F$339,MATCH($O518&amp;"|"&amp;$R518&amp;"|"&amp;$AE518,'ASIGNACIONES'!$J$4:$J$339,0)),"")))</f>
        <v/>
      </c>
      <c r="AG518" s="13">
        <f>IF($AE518="","",SUMIFS('ORDENES'!$M$4:$M$1203,'ORDENES'!$AE$4:$AE$1203,$AE518,'ORDENES'!$O$4:$O$1203,$O518,'ORDENES'!$R$4:$R$1203,$R518))</f>
        <v/>
      </c>
      <c r="AH518" s="13">
        <f>IF($AG518="","",p_factor_productividad*IFERROR(INDEX('ASIGNACIONES'!$I$4:$I$339,MATCH($O518&amp;"|"&amp;$R518&amp;"|"&amp;$AE518,'ASIGNACIONES'!$J$4:$J$339,0)),0)-$AG518)</f>
        <v/>
      </c>
      <c r="AI518" s="10">
        <f>IF($A518="","",IFERROR(INDEX('2_IMPORTAR_EJECUCION'!$F$9:$F$1208,MATCH($AQ518,'2_IMPORTAR_EJECUCION'!$J$9:$J$1208,0)),0))</f>
        <v/>
      </c>
      <c r="AJ518" s="10">
        <f>IF($A518="","",MAX(0,IFERROR(INDEX('2_IMPORTAR_EJECUCION'!$H$9:$H$1208,MATCH($AQ518,'2_IMPORTAR_EJECUCION'!$J$9:$J$1208,0)),0)-$AI518))</f>
        <v/>
      </c>
      <c r="AK518" s="10">
        <f>IF($A518="","",$AI518+$AJ518)</f>
        <v/>
      </c>
      <c r="AL518" s="6" t="n"/>
      <c r="AM518" s="6" t="n"/>
      <c r="AN518" s="6" t="n"/>
      <c r="AO518" s="3">
        <f>IF($AN518="","",HYPERLINK(p_ruta_base_checklists&amp;$AN518,"abrir"))</f>
        <v/>
      </c>
      <c r="AP518" s="6" t="n"/>
      <c r="AQ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IF($A519="","",IFERROR(INDEX('AJUSTES'!$B$4:$B$303,MATCH($AQ519,'AJUSTES'!$A$4:$A$303,0)),IF($K519="","",$K519)))</f>
        <v/>
      </c>
      <c r="N519" s="3">
        <f>IF($A519="","",IFERROR(INDEX('CAT_ESTADOS_ERP'!$B$4:$B$7,MATCH(IFERROR(INDEX('2_IMPORTAR_EJECUCION'!$C$9:$C$1208,MATCH($AQ519,'2_IMPORTAR_EJECUCION'!$J$9:$J$1208,0)),""),'CAT_ESTADOS_ERP'!$A$4:$A$7,0)),"Pendiente"))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J519="","",IFERROR(INDEX('CALENDARIO'!$C$15:$C$214,MATCH(TEXT($J519,"yyyy-mm-dd")&amp;"|"&amp;$V519&amp;"|"&amp;$W519,'CALENDARIO'!$G$15:$G$214,0)),IFERROR(INDEX('CALENDARIO'!$C$15:$C$214,MATCH(TEXT($J519,"yyyy-mm-dd")&amp;"|"&amp;$V519&amp;"|",'CALENDARIO'!$G$15:$G$214,0)),IFERROR(INDEX('CALENDARIO'!$C$15:$C$214,MATCH(TEXT($J519,"yyyy-mm-dd")&amp;"||",'CALENDARIO'!$G$15:$G$214,0)),INDEX(patronHabil,WEEKDAY($J519,2))))))</f>
        <v/>
      </c>
      <c r="T519" s="3">
        <f>IF($I519="","",IFERROR(INDEX('CAT_TIPOS_OT'!$C$4:$C$7,MATCH($I519,'CAT_TIPOS_OT'!$A$4:$A$7,0)),"sin_clasificar"))</f>
        <v/>
      </c>
      <c r="U519" s="3">
        <f>IF($F519="","",IFERROR(INDEX('CAT_CENTROS_COSTO'!$F$4:$F$13,MATCH($F519,'CAT_CENTROS_COSTO'!$A$4:$A$13,0)),"(sin catálogo)"))</f>
        <v/>
      </c>
      <c r="V519" s="3">
        <f>IF($F519="","",IFERROR(INDEX('CAT_CENTROS_COSTO'!$D$4:$D$13,MATCH($F519,'CAT_CENTROS_COSTO'!$A$4:$A$13,0)),"(sin catálogo)"))</f>
        <v/>
      </c>
      <c r="W519" s="3">
        <f>IF($F519="","",IF((IFERROR(INDEX('CAT_CENTROS_COSTO'!$E$4:$E$13,MATCH($F519,'CAT_CENTROS_COSTO'!$A$4:$A$13,0)),""))&lt;&gt;"",IFERROR(INDEX('CAT_CENTROS_COSTO'!$E$4:$E$13,MATCH($F519,'CAT_CENTROS_COSTO'!$A$4:$A$13,0)),""),$V519))</f>
        <v/>
      </c>
      <c r="X519" s="3">
        <f>IF($F519="","",IFERROR(INDEX('CAT_CENTROS_COSTO'!$G$4:$G$13,MATCH($F519,'CAT_CENTROS_COSTO'!$A$4:$A$13,0)),"(sin catálogo)"))</f>
        <v/>
      </c>
      <c r="Y519" s="3">
        <f>IF($G519="","",IFERROR(INDEX('CAT_PUESTOS'!$B$4:$B$8,MATCH($G519,'CAT_PUESTOS'!$A$4:$A$8,0)),"(sin catálogo)"))</f>
        <v/>
      </c>
      <c r="Z519" s="3">
        <f>IF($H519="","",IFERROR(INDEX('CAT_ACTIVIDADES'!$B$4:$B$8,MATCH($H519,'CAT_ACTIVIDADES'!$A$4:$A$8,0)),"(sin catálogo)"))</f>
        <v/>
      </c>
      <c r="AA519" s="12">
        <f>IF($J519="","",TODAY()-$J519)</f>
        <v/>
      </c>
      <c r="AB519" s="12">
        <f>IF($J519="","",IF($J519&lt;=TODAY(),COUNTIFS(cal_fechas,"&gt;="&amp;$J519,cal_fechas,"&lt;"&amp;TODAY(),cal_habil,"sí"),-COUNTIFS(cal_fechas,"&gt;="&amp;TODAY(),cal_fechas,"&lt;"&amp;$J519,cal_habil,"sí")))</f>
        <v/>
      </c>
      <c r="AC519" s="3">
        <f>IF($AB519="","",IF($AB519&lt;0,"FUTURO",IF($AB519&gt;p_dias_backlog_max,"BACKLOG","MES CORRIENTE")))</f>
        <v/>
      </c>
      <c r="AD519" s="3">
        <f>IF($AB519="",FALSE,AND($AB519&gt;p_dias_backlog_min,$AB519&lt;=p_dias_backlog_max))</f>
        <v/>
      </c>
      <c r="AE519" s="6" t="n"/>
      <c r="AF519" s="3">
        <f>IF($AE519="","",IF((IFERROR(INDEX('ASIGNACIONES'!$F$4:$F$339,MATCH($O519&amp;"|"&amp;$R519&amp;"|"&amp;$AE519,'ASIGNACIONES'!$J$4:$J$339,0)),""))=0,"",IFERROR(INDEX('ASIGNACIONES'!$F$4:$F$339,MATCH($O519&amp;"|"&amp;$R519&amp;"|"&amp;$AE519,'ASIGNACIONES'!$J$4:$J$339,0)),"")))</f>
        <v/>
      </c>
      <c r="AG519" s="13">
        <f>IF($AE519="","",SUMIFS('ORDENES'!$M$4:$M$1203,'ORDENES'!$AE$4:$AE$1203,$AE519,'ORDENES'!$O$4:$O$1203,$O519,'ORDENES'!$R$4:$R$1203,$R519))</f>
        <v/>
      </c>
      <c r="AH519" s="13">
        <f>IF($AG519="","",p_factor_productividad*IFERROR(INDEX('ASIGNACIONES'!$I$4:$I$339,MATCH($O519&amp;"|"&amp;$R519&amp;"|"&amp;$AE519,'ASIGNACIONES'!$J$4:$J$339,0)),0)-$AG519)</f>
        <v/>
      </c>
      <c r="AI519" s="10">
        <f>IF($A519="","",IFERROR(INDEX('2_IMPORTAR_EJECUCION'!$F$9:$F$1208,MATCH($AQ519,'2_IMPORTAR_EJECUCION'!$J$9:$J$1208,0)),0))</f>
        <v/>
      </c>
      <c r="AJ519" s="10">
        <f>IF($A519="","",MAX(0,IFERROR(INDEX('2_IMPORTAR_EJECUCION'!$H$9:$H$1208,MATCH($AQ519,'2_IMPORTAR_EJECUCION'!$J$9:$J$1208,0)),0)-$AI519))</f>
        <v/>
      </c>
      <c r="AK519" s="10">
        <f>IF($A519="","",$AI519+$AJ519)</f>
        <v/>
      </c>
      <c r="AL519" s="6" t="n"/>
      <c r="AM519" s="6" t="n"/>
      <c r="AN519" s="6" t="n"/>
      <c r="AO519" s="3">
        <f>IF($AN519="","",HYPERLINK(p_ruta_base_checklists&amp;$AN519,"abrir"))</f>
        <v/>
      </c>
      <c r="AP519" s="6" t="n"/>
      <c r="AQ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IF($A520="","",IFERROR(INDEX('AJUSTES'!$B$4:$B$303,MATCH($AQ520,'AJUSTES'!$A$4:$A$303,0)),IF($K520="","",$K520)))</f>
        <v/>
      </c>
      <c r="N520" s="3">
        <f>IF($A520="","",IFERROR(INDEX('CAT_ESTADOS_ERP'!$B$4:$B$7,MATCH(IFERROR(INDEX('2_IMPORTAR_EJECUCION'!$C$9:$C$1208,MATCH($AQ520,'2_IMPORTAR_EJECUCION'!$J$9:$J$1208,0)),""),'CAT_ESTADOS_ERP'!$A$4:$A$7,0)),"Pendiente"))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J520="","",IFERROR(INDEX('CALENDARIO'!$C$15:$C$214,MATCH(TEXT($J520,"yyyy-mm-dd")&amp;"|"&amp;$V520&amp;"|"&amp;$W520,'CALENDARIO'!$G$15:$G$214,0)),IFERROR(INDEX('CALENDARIO'!$C$15:$C$214,MATCH(TEXT($J520,"yyyy-mm-dd")&amp;"|"&amp;$V520&amp;"|",'CALENDARIO'!$G$15:$G$214,0)),IFERROR(INDEX('CALENDARIO'!$C$15:$C$214,MATCH(TEXT($J520,"yyyy-mm-dd")&amp;"||",'CALENDARIO'!$G$15:$G$214,0)),INDEX(patronHabil,WEEKDAY($J520,2))))))</f>
        <v/>
      </c>
      <c r="T520" s="3">
        <f>IF($I520="","",IFERROR(INDEX('CAT_TIPOS_OT'!$C$4:$C$7,MATCH($I520,'CAT_TIPOS_OT'!$A$4:$A$7,0)),"sin_clasificar"))</f>
        <v/>
      </c>
      <c r="U520" s="3">
        <f>IF($F520="","",IFERROR(INDEX('CAT_CENTROS_COSTO'!$F$4:$F$13,MATCH($F520,'CAT_CENTROS_COSTO'!$A$4:$A$13,0)),"(sin catálogo)"))</f>
        <v/>
      </c>
      <c r="V520" s="3">
        <f>IF($F520="","",IFERROR(INDEX('CAT_CENTROS_COSTO'!$D$4:$D$13,MATCH($F520,'CAT_CENTROS_COSTO'!$A$4:$A$13,0)),"(sin catálogo)"))</f>
        <v/>
      </c>
      <c r="W520" s="3">
        <f>IF($F520="","",IF((IFERROR(INDEX('CAT_CENTROS_COSTO'!$E$4:$E$13,MATCH($F520,'CAT_CENTROS_COSTO'!$A$4:$A$13,0)),""))&lt;&gt;"",IFERROR(INDEX('CAT_CENTROS_COSTO'!$E$4:$E$13,MATCH($F520,'CAT_CENTROS_COSTO'!$A$4:$A$13,0)),""),$V520))</f>
        <v/>
      </c>
      <c r="X520" s="3">
        <f>IF($F520="","",IFERROR(INDEX('CAT_CENTROS_COSTO'!$G$4:$G$13,MATCH($F520,'CAT_CENTROS_COSTO'!$A$4:$A$13,0)),"(sin catálogo)"))</f>
        <v/>
      </c>
      <c r="Y520" s="3">
        <f>IF($G520="","",IFERROR(INDEX('CAT_PUESTOS'!$B$4:$B$8,MATCH($G520,'CAT_PUESTOS'!$A$4:$A$8,0)),"(sin catálogo)"))</f>
        <v/>
      </c>
      <c r="Z520" s="3">
        <f>IF($H520="","",IFERROR(INDEX('CAT_ACTIVIDADES'!$B$4:$B$8,MATCH($H520,'CAT_ACTIVIDADES'!$A$4:$A$8,0)),"(sin catálogo)"))</f>
        <v/>
      </c>
      <c r="AA520" s="12">
        <f>IF($J520="","",TODAY()-$J520)</f>
        <v/>
      </c>
      <c r="AB520" s="12">
        <f>IF($J520="","",IF($J520&lt;=TODAY(),COUNTIFS(cal_fechas,"&gt;="&amp;$J520,cal_fechas,"&lt;"&amp;TODAY(),cal_habil,"sí"),-COUNTIFS(cal_fechas,"&gt;="&amp;TODAY(),cal_fechas,"&lt;"&amp;$J520,cal_habil,"sí")))</f>
        <v/>
      </c>
      <c r="AC520" s="3">
        <f>IF($AB520="","",IF($AB520&lt;0,"FUTURO",IF($AB520&gt;p_dias_backlog_max,"BACKLOG","MES CORRIENTE")))</f>
        <v/>
      </c>
      <c r="AD520" s="3">
        <f>IF($AB520="",FALSE,AND($AB520&gt;p_dias_backlog_min,$AB520&lt;=p_dias_backlog_max))</f>
        <v/>
      </c>
      <c r="AE520" s="6" t="n"/>
      <c r="AF520" s="3">
        <f>IF($AE520="","",IF((IFERROR(INDEX('ASIGNACIONES'!$F$4:$F$339,MATCH($O520&amp;"|"&amp;$R520&amp;"|"&amp;$AE520,'ASIGNACIONES'!$J$4:$J$339,0)),""))=0,"",IFERROR(INDEX('ASIGNACIONES'!$F$4:$F$339,MATCH($O520&amp;"|"&amp;$R520&amp;"|"&amp;$AE520,'ASIGNACIONES'!$J$4:$J$339,0)),"")))</f>
        <v/>
      </c>
      <c r="AG520" s="13">
        <f>IF($AE520="","",SUMIFS('ORDENES'!$M$4:$M$1203,'ORDENES'!$AE$4:$AE$1203,$AE520,'ORDENES'!$O$4:$O$1203,$O520,'ORDENES'!$R$4:$R$1203,$R520))</f>
        <v/>
      </c>
      <c r="AH520" s="13">
        <f>IF($AG520="","",p_factor_productividad*IFERROR(INDEX('ASIGNACIONES'!$I$4:$I$339,MATCH($O520&amp;"|"&amp;$R520&amp;"|"&amp;$AE520,'ASIGNACIONES'!$J$4:$J$339,0)),0)-$AG520)</f>
        <v/>
      </c>
      <c r="AI520" s="10">
        <f>IF($A520="","",IFERROR(INDEX('2_IMPORTAR_EJECUCION'!$F$9:$F$1208,MATCH($AQ520,'2_IMPORTAR_EJECUCION'!$J$9:$J$1208,0)),0))</f>
        <v/>
      </c>
      <c r="AJ520" s="10">
        <f>IF($A520="","",MAX(0,IFERROR(INDEX('2_IMPORTAR_EJECUCION'!$H$9:$H$1208,MATCH($AQ520,'2_IMPORTAR_EJECUCION'!$J$9:$J$1208,0)),0)-$AI520))</f>
        <v/>
      </c>
      <c r="AK520" s="10">
        <f>IF($A520="","",$AI520+$AJ520)</f>
        <v/>
      </c>
      <c r="AL520" s="6" t="n"/>
      <c r="AM520" s="6" t="n"/>
      <c r="AN520" s="6" t="n"/>
      <c r="AO520" s="3">
        <f>IF($AN520="","",HYPERLINK(p_ruta_base_checklists&amp;$AN520,"abrir"))</f>
        <v/>
      </c>
      <c r="AP520" s="6" t="n"/>
      <c r="AQ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IF($A521="","",IFERROR(INDEX('AJUSTES'!$B$4:$B$303,MATCH($AQ521,'AJUSTES'!$A$4:$A$303,0)),IF($K521="","",$K521)))</f>
        <v/>
      </c>
      <c r="N521" s="3">
        <f>IF($A521="","",IFERROR(INDEX('CAT_ESTADOS_ERP'!$B$4:$B$7,MATCH(IFERROR(INDEX('2_IMPORTAR_EJECUCION'!$C$9:$C$1208,MATCH($AQ521,'2_IMPORTAR_EJECUCION'!$J$9:$J$1208,0)),""),'CAT_ESTADOS_ERP'!$A$4:$A$7,0)),"Pendiente"))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J521="","",IFERROR(INDEX('CALENDARIO'!$C$15:$C$214,MATCH(TEXT($J521,"yyyy-mm-dd")&amp;"|"&amp;$V521&amp;"|"&amp;$W521,'CALENDARIO'!$G$15:$G$214,0)),IFERROR(INDEX('CALENDARIO'!$C$15:$C$214,MATCH(TEXT($J521,"yyyy-mm-dd")&amp;"|"&amp;$V521&amp;"|",'CALENDARIO'!$G$15:$G$214,0)),IFERROR(INDEX('CALENDARIO'!$C$15:$C$214,MATCH(TEXT($J521,"yyyy-mm-dd")&amp;"||",'CALENDARIO'!$G$15:$G$214,0)),INDEX(patronHabil,WEEKDAY($J521,2))))))</f>
        <v/>
      </c>
      <c r="T521" s="3">
        <f>IF($I521="","",IFERROR(INDEX('CAT_TIPOS_OT'!$C$4:$C$7,MATCH($I521,'CAT_TIPOS_OT'!$A$4:$A$7,0)),"sin_clasificar"))</f>
        <v/>
      </c>
      <c r="U521" s="3">
        <f>IF($F521="","",IFERROR(INDEX('CAT_CENTROS_COSTO'!$F$4:$F$13,MATCH($F521,'CAT_CENTROS_COSTO'!$A$4:$A$13,0)),"(sin catálogo)"))</f>
        <v/>
      </c>
      <c r="V521" s="3">
        <f>IF($F521="","",IFERROR(INDEX('CAT_CENTROS_COSTO'!$D$4:$D$13,MATCH($F521,'CAT_CENTROS_COSTO'!$A$4:$A$13,0)),"(sin catálogo)"))</f>
        <v/>
      </c>
      <c r="W521" s="3">
        <f>IF($F521="","",IF((IFERROR(INDEX('CAT_CENTROS_COSTO'!$E$4:$E$13,MATCH($F521,'CAT_CENTROS_COSTO'!$A$4:$A$13,0)),""))&lt;&gt;"",IFERROR(INDEX('CAT_CENTROS_COSTO'!$E$4:$E$13,MATCH($F521,'CAT_CENTROS_COSTO'!$A$4:$A$13,0)),""),$V521))</f>
        <v/>
      </c>
      <c r="X521" s="3">
        <f>IF($F521="","",IFERROR(INDEX('CAT_CENTROS_COSTO'!$G$4:$G$13,MATCH($F521,'CAT_CENTROS_COSTO'!$A$4:$A$13,0)),"(sin catálogo)"))</f>
        <v/>
      </c>
      <c r="Y521" s="3">
        <f>IF($G521="","",IFERROR(INDEX('CAT_PUESTOS'!$B$4:$B$8,MATCH($G521,'CAT_PUESTOS'!$A$4:$A$8,0)),"(sin catálogo)"))</f>
        <v/>
      </c>
      <c r="Z521" s="3">
        <f>IF($H521="","",IFERROR(INDEX('CAT_ACTIVIDADES'!$B$4:$B$8,MATCH($H521,'CAT_ACTIVIDADES'!$A$4:$A$8,0)),"(sin catálogo)"))</f>
        <v/>
      </c>
      <c r="AA521" s="12">
        <f>IF($J521="","",TODAY()-$J521)</f>
        <v/>
      </c>
      <c r="AB521" s="12">
        <f>IF($J521="","",IF($J521&lt;=TODAY(),COUNTIFS(cal_fechas,"&gt;="&amp;$J521,cal_fechas,"&lt;"&amp;TODAY(),cal_habil,"sí"),-COUNTIFS(cal_fechas,"&gt;="&amp;TODAY(),cal_fechas,"&lt;"&amp;$J521,cal_habil,"sí")))</f>
        <v/>
      </c>
      <c r="AC521" s="3">
        <f>IF($AB521="","",IF($AB521&lt;0,"FUTURO",IF($AB521&gt;p_dias_backlog_max,"BACKLOG","MES CORRIENTE")))</f>
        <v/>
      </c>
      <c r="AD521" s="3">
        <f>IF($AB521="",FALSE,AND($AB521&gt;p_dias_backlog_min,$AB521&lt;=p_dias_backlog_max))</f>
        <v/>
      </c>
      <c r="AE521" s="6" t="n"/>
      <c r="AF521" s="3">
        <f>IF($AE521="","",IF((IFERROR(INDEX('ASIGNACIONES'!$F$4:$F$339,MATCH($O521&amp;"|"&amp;$R521&amp;"|"&amp;$AE521,'ASIGNACIONES'!$J$4:$J$339,0)),""))=0,"",IFERROR(INDEX('ASIGNACIONES'!$F$4:$F$339,MATCH($O521&amp;"|"&amp;$R521&amp;"|"&amp;$AE521,'ASIGNACIONES'!$J$4:$J$339,0)),"")))</f>
        <v/>
      </c>
      <c r="AG521" s="13">
        <f>IF($AE521="","",SUMIFS('ORDENES'!$M$4:$M$1203,'ORDENES'!$AE$4:$AE$1203,$AE521,'ORDENES'!$O$4:$O$1203,$O521,'ORDENES'!$R$4:$R$1203,$R521))</f>
        <v/>
      </c>
      <c r="AH521" s="13">
        <f>IF($AG521="","",p_factor_productividad*IFERROR(INDEX('ASIGNACIONES'!$I$4:$I$339,MATCH($O521&amp;"|"&amp;$R521&amp;"|"&amp;$AE521,'ASIGNACIONES'!$J$4:$J$339,0)),0)-$AG521)</f>
        <v/>
      </c>
      <c r="AI521" s="10">
        <f>IF($A521="","",IFERROR(INDEX('2_IMPORTAR_EJECUCION'!$F$9:$F$1208,MATCH($AQ521,'2_IMPORTAR_EJECUCION'!$J$9:$J$1208,0)),0))</f>
        <v/>
      </c>
      <c r="AJ521" s="10">
        <f>IF($A521="","",MAX(0,IFERROR(INDEX('2_IMPORTAR_EJECUCION'!$H$9:$H$1208,MATCH($AQ521,'2_IMPORTAR_EJECUCION'!$J$9:$J$1208,0)),0)-$AI521))</f>
        <v/>
      </c>
      <c r="AK521" s="10">
        <f>IF($A521="","",$AI521+$AJ521)</f>
        <v/>
      </c>
      <c r="AL521" s="6" t="n"/>
      <c r="AM521" s="6" t="n"/>
      <c r="AN521" s="6" t="n"/>
      <c r="AO521" s="3">
        <f>IF($AN521="","",HYPERLINK(p_ruta_base_checklists&amp;$AN521,"abrir"))</f>
        <v/>
      </c>
      <c r="AP521" s="6" t="n"/>
      <c r="AQ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IF($A522="","",IFERROR(INDEX('AJUSTES'!$B$4:$B$303,MATCH($AQ522,'AJUSTES'!$A$4:$A$303,0)),IF($K522="","",$K522)))</f>
        <v/>
      </c>
      <c r="N522" s="3">
        <f>IF($A522="","",IFERROR(INDEX('CAT_ESTADOS_ERP'!$B$4:$B$7,MATCH(IFERROR(INDEX('2_IMPORTAR_EJECUCION'!$C$9:$C$1208,MATCH($AQ522,'2_IMPORTAR_EJECUCION'!$J$9:$J$1208,0)),""),'CAT_ESTADOS_ERP'!$A$4:$A$7,0)),"Pendiente"))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J522="","",IFERROR(INDEX('CALENDARIO'!$C$15:$C$214,MATCH(TEXT($J522,"yyyy-mm-dd")&amp;"|"&amp;$V522&amp;"|"&amp;$W522,'CALENDARIO'!$G$15:$G$214,0)),IFERROR(INDEX('CALENDARIO'!$C$15:$C$214,MATCH(TEXT($J522,"yyyy-mm-dd")&amp;"|"&amp;$V522&amp;"|",'CALENDARIO'!$G$15:$G$214,0)),IFERROR(INDEX('CALENDARIO'!$C$15:$C$214,MATCH(TEXT($J522,"yyyy-mm-dd")&amp;"||",'CALENDARIO'!$G$15:$G$214,0)),INDEX(patronHabil,WEEKDAY($J522,2))))))</f>
        <v/>
      </c>
      <c r="T522" s="3">
        <f>IF($I522="","",IFERROR(INDEX('CAT_TIPOS_OT'!$C$4:$C$7,MATCH($I522,'CAT_TIPOS_OT'!$A$4:$A$7,0)),"sin_clasificar"))</f>
        <v/>
      </c>
      <c r="U522" s="3">
        <f>IF($F522="","",IFERROR(INDEX('CAT_CENTROS_COSTO'!$F$4:$F$13,MATCH($F522,'CAT_CENTROS_COSTO'!$A$4:$A$13,0)),"(sin catálogo)"))</f>
        <v/>
      </c>
      <c r="V522" s="3">
        <f>IF($F522="","",IFERROR(INDEX('CAT_CENTROS_COSTO'!$D$4:$D$13,MATCH($F522,'CAT_CENTROS_COSTO'!$A$4:$A$13,0)),"(sin catálogo)"))</f>
        <v/>
      </c>
      <c r="W522" s="3">
        <f>IF($F522="","",IF((IFERROR(INDEX('CAT_CENTROS_COSTO'!$E$4:$E$13,MATCH($F522,'CAT_CENTROS_COSTO'!$A$4:$A$13,0)),""))&lt;&gt;"",IFERROR(INDEX('CAT_CENTROS_COSTO'!$E$4:$E$13,MATCH($F522,'CAT_CENTROS_COSTO'!$A$4:$A$13,0)),""),$V522))</f>
        <v/>
      </c>
      <c r="X522" s="3">
        <f>IF($F522="","",IFERROR(INDEX('CAT_CENTROS_COSTO'!$G$4:$G$13,MATCH($F522,'CAT_CENTROS_COSTO'!$A$4:$A$13,0)),"(sin catálogo)"))</f>
        <v/>
      </c>
      <c r="Y522" s="3">
        <f>IF($G522="","",IFERROR(INDEX('CAT_PUESTOS'!$B$4:$B$8,MATCH($G522,'CAT_PUESTOS'!$A$4:$A$8,0)),"(sin catálogo)"))</f>
        <v/>
      </c>
      <c r="Z522" s="3">
        <f>IF($H522="","",IFERROR(INDEX('CAT_ACTIVIDADES'!$B$4:$B$8,MATCH($H522,'CAT_ACTIVIDADES'!$A$4:$A$8,0)),"(sin catálogo)"))</f>
        <v/>
      </c>
      <c r="AA522" s="12">
        <f>IF($J522="","",TODAY()-$J522)</f>
        <v/>
      </c>
      <c r="AB522" s="12">
        <f>IF($J522="","",IF($J522&lt;=TODAY(),COUNTIFS(cal_fechas,"&gt;="&amp;$J522,cal_fechas,"&lt;"&amp;TODAY(),cal_habil,"sí"),-COUNTIFS(cal_fechas,"&gt;="&amp;TODAY(),cal_fechas,"&lt;"&amp;$J522,cal_habil,"sí")))</f>
        <v/>
      </c>
      <c r="AC522" s="3">
        <f>IF($AB522="","",IF($AB522&lt;0,"FUTURO",IF($AB522&gt;p_dias_backlog_max,"BACKLOG","MES CORRIENTE")))</f>
        <v/>
      </c>
      <c r="AD522" s="3">
        <f>IF($AB522="",FALSE,AND($AB522&gt;p_dias_backlog_min,$AB522&lt;=p_dias_backlog_max))</f>
        <v/>
      </c>
      <c r="AE522" s="6" t="n"/>
      <c r="AF522" s="3">
        <f>IF($AE522="","",IF((IFERROR(INDEX('ASIGNACIONES'!$F$4:$F$339,MATCH($O522&amp;"|"&amp;$R522&amp;"|"&amp;$AE522,'ASIGNACIONES'!$J$4:$J$339,0)),""))=0,"",IFERROR(INDEX('ASIGNACIONES'!$F$4:$F$339,MATCH($O522&amp;"|"&amp;$R522&amp;"|"&amp;$AE522,'ASIGNACIONES'!$J$4:$J$339,0)),"")))</f>
        <v/>
      </c>
      <c r="AG522" s="13">
        <f>IF($AE522="","",SUMIFS('ORDENES'!$M$4:$M$1203,'ORDENES'!$AE$4:$AE$1203,$AE522,'ORDENES'!$O$4:$O$1203,$O522,'ORDENES'!$R$4:$R$1203,$R522))</f>
        <v/>
      </c>
      <c r="AH522" s="13">
        <f>IF($AG522="","",p_factor_productividad*IFERROR(INDEX('ASIGNACIONES'!$I$4:$I$339,MATCH($O522&amp;"|"&amp;$R522&amp;"|"&amp;$AE522,'ASIGNACIONES'!$J$4:$J$339,0)),0)-$AG522)</f>
        <v/>
      </c>
      <c r="AI522" s="10">
        <f>IF($A522="","",IFERROR(INDEX('2_IMPORTAR_EJECUCION'!$F$9:$F$1208,MATCH($AQ522,'2_IMPORTAR_EJECUCION'!$J$9:$J$1208,0)),0))</f>
        <v/>
      </c>
      <c r="AJ522" s="10">
        <f>IF($A522="","",MAX(0,IFERROR(INDEX('2_IMPORTAR_EJECUCION'!$H$9:$H$1208,MATCH($AQ522,'2_IMPORTAR_EJECUCION'!$J$9:$J$1208,0)),0)-$AI522))</f>
        <v/>
      </c>
      <c r="AK522" s="10">
        <f>IF($A522="","",$AI522+$AJ522)</f>
        <v/>
      </c>
      <c r="AL522" s="6" t="n"/>
      <c r="AM522" s="6" t="n"/>
      <c r="AN522" s="6" t="n"/>
      <c r="AO522" s="3">
        <f>IF($AN522="","",HYPERLINK(p_ruta_base_checklists&amp;$AN522,"abrir"))</f>
        <v/>
      </c>
      <c r="AP522" s="6" t="n"/>
      <c r="AQ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IF($A523="","",IFERROR(INDEX('AJUSTES'!$B$4:$B$303,MATCH($AQ523,'AJUSTES'!$A$4:$A$303,0)),IF($K523="","",$K523)))</f>
        <v/>
      </c>
      <c r="N523" s="3">
        <f>IF($A523="","",IFERROR(INDEX('CAT_ESTADOS_ERP'!$B$4:$B$7,MATCH(IFERROR(INDEX('2_IMPORTAR_EJECUCION'!$C$9:$C$1208,MATCH($AQ523,'2_IMPORTAR_EJECUCION'!$J$9:$J$1208,0)),""),'CAT_ESTADOS_ERP'!$A$4:$A$7,0)),"Pendiente"))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J523="","",IFERROR(INDEX('CALENDARIO'!$C$15:$C$214,MATCH(TEXT($J523,"yyyy-mm-dd")&amp;"|"&amp;$V523&amp;"|"&amp;$W523,'CALENDARIO'!$G$15:$G$214,0)),IFERROR(INDEX('CALENDARIO'!$C$15:$C$214,MATCH(TEXT($J523,"yyyy-mm-dd")&amp;"|"&amp;$V523&amp;"|",'CALENDARIO'!$G$15:$G$214,0)),IFERROR(INDEX('CALENDARIO'!$C$15:$C$214,MATCH(TEXT($J523,"yyyy-mm-dd")&amp;"||",'CALENDARIO'!$G$15:$G$214,0)),INDEX(patronHabil,WEEKDAY($J523,2))))))</f>
        <v/>
      </c>
      <c r="T523" s="3">
        <f>IF($I523="","",IFERROR(INDEX('CAT_TIPOS_OT'!$C$4:$C$7,MATCH($I523,'CAT_TIPOS_OT'!$A$4:$A$7,0)),"sin_clasificar"))</f>
        <v/>
      </c>
      <c r="U523" s="3">
        <f>IF($F523="","",IFERROR(INDEX('CAT_CENTROS_COSTO'!$F$4:$F$13,MATCH($F523,'CAT_CENTROS_COSTO'!$A$4:$A$13,0)),"(sin catálogo)"))</f>
        <v/>
      </c>
      <c r="V523" s="3">
        <f>IF($F523="","",IFERROR(INDEX('CAT_CENTROS_COSTO'!$D$4:$D$13,MATCH($F523,'CAT_CENTROS_COSTO'!$A$4:$A$13,0)),"(sin catálogo)"))</f>
        <v/>
      </c>
      <c r="W523" s="3">
        <f>IF($F523="","",IF((IFERROR(INDEX('CAT_CENTROS_COSTO'!$E$4:$E$13,MATCH($F523,'CAT_CENTROS_COSTO'!$A$4:$A$13,0)),""))&lt;&gt;"",IFERROR(INDEX('CAT_CENTROS_COSTO'!$E$4:$E$13,MATCH($F523,'CAT_CENTROS_COSTO'!$A$4:$A$13,0)),""),$V523))</f>
        <v/>
      </c>
      <c r="X523" s="3">
        <f>IF($F523="","",IFERROR(INDEX('CAT_CENTROS_COSTO'!$G$4:$G$13,MATCH($F523,'CAT_CENTROS_COSTO'!$A$4:$A$13,0)),"(sin catálogo)"))</f>
        <v/>
      </c>
      <c r="Y523" s="3">
        <f>IF($G523="","",IFERROR(INDEX('CAT_PUESTOS'!$B$4:$B$8,MATCH($G523,'CAT_PUESTOS'!$A$4:$A$8,0)),"(sin catálogo)"))</f>
        <v/>
      </c>
      <c r="Z523" s="3">
        <f>IF($H523="","",IFERROR(INDEX('CAT_ACTIVIDADES'!$B$4:$B$8,MATCH($H523,'CAT_ACTIVIDADES'!$A$4:$A$8,0)),"(sin catálogo)"))</f>
        <v/>
      </c>
      <c r="AA523" s="12">
        <f>IF($J523="","",TODAY()-$J523)</f>
        <v/>
      </c>
      <c r="AB523" s="12">
        <f>IF($J523="","",IF($J523&lt;=TODAY(),COUNTIFS(cal_fechas,"&gt;="&amp;$J523,cal_fechas,"&lt;"&amp;TODAY(),cal_habil,"sí"),-COUNTIFS(cal_fechas,"&gt;="&amp;TODAY(),cal_fechas,"&lt;"&amp;$J523,cal_habil,"sí")))</f>
        <v/>
      </c>
      <c r="AC523" s="3">
        <f>IF($AB523="","",IF($AB523&lt;0,"FUTURO",IF($AB523&gt;p_dias_backlog_max,"BACKLOG","MES CORRIENTE")))</f>
        <v/>
      </c>
      <c r="AD523" s="3">
        <f>IF($AB523="",FALSE,AND($AB523&gt;p_dias_backlog_min,$AB523&lt;=p_dias_backlog_max))</f>
        <v/>
      </c>
      <c r="AE523" s="6" t="n"/>
      <c r="AF523" s="3">
        <f>IF($AE523="","",IF((IFERROR(INDEX('ASIGNACIONES'!$F$4:$F$339,MATCH($O523&amp;"|"&amp;$R523&amp;"|"&amp;$AE523,'ASIGNACIONES'!$J$4:$J$339,0)),""))=0,"",IFERROR(INDEX('ASIGNACIONES'!$F$4:$F$339,MATCH($O523&amp;"|"&amp;$R523&amp;"|"&amp;$AE523,'ASIGNACIONES'!$J$4:$J$339,0)),"")))</f>
        <v/>
      </c>
      <c r="AG523" s="13">
        <f>IF($AE523="","",SUMIFS('ORDENES'!$M$4:$M$1203,'ORDENES'!$AE$4:$AE$1203,$AE523,'ORDENES'!$O$4:$O$1203,$O523,'ORDENES'!$R$4:$R$1203,$R523))</f>
        <v/>
      </c>
      <c r="AH523" s="13">
        <f>IF($AG523="","",p_factor_productividad*IFERROR(INDEX('ASIGNACIONES'!$I$4:$I$339,MATCH($O523&amp;"|"&amp;$R523&amp;"|"&amp;$AE523,'ASIGNACIONES'!$J$4:$J$339,0)),0)-$AG523)</f>
        <v/>
      </c>
      <c r="AI523" s="10">
        <f>IF($A523="","",IFERROR(INDEX('2_IMPORTAR_EJECUCION'!$F$9:$F$1208,MATCH($AQ523,'2_IMPORTAR_EJECUCION'!$J$9:$J$1208,0)),0))</f>
        <v/>
      </c>
      <c r="AJ523" s="10">
        <f>IF($A523="","",MAX(0,IFERROR(INDEX('2_IMPORTAR_EJECUCION'!$H$9:$H$1208,MATCH($AQ523,'2_IMPORTAR_EJECUCION'!$J$9:$J$1208,0)),0)-$AI523))</f>
        <v/>
      </c>
      <c r="AK523" s="10">
        <f>IF($A523="","",$AI523+$AJ523)</f>
        <v/>
      </c>
      <c r="AL523" s="6" t="n"/>
      <c r="AM523" s="6" t="n"/>
      <c r="AN523" s="6" t="n"/>
      <c r="AO523" s="3">
        <f>IF($AN523="","",HYPERLINK(p_ruta_base_checklists&amp;$AN523,"abrir"))</f>
        <v/>
      </c>
      <c r="AP523" s="6" t="n"/>
      <c r="AQ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IF($A524="","",IFERROR(INDEX('AJUSTES'!$B$4:$B$303,MATCH($AQ524,'AJUSTES'!$A$4:$A$303,0)),IF($K524="","",$K524)))</f>
        <v/>
      </c>
      <c r="N524" s="3">
        <f>IF($A524="","",IFERROR(INDEX('CAT_ESTADOS_ERP'!$B$4:$B$7,MATCH(IFERROR(INDEX('2_IMPORTAR_EJECUCION'!$C$9:$C$1208,MATCH($AQ524,'2_IMPORTAR_EJECUCION'!$J$9:$J$1208,0)),""),'CAT_ESTADOS_ERP'!$A$4:$A$7,0)),"Pendiente"))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J524="","",IFERROR(INDEX('CALENDARIO'!$C$15:$C$214,MATCH(TEXT($J524,"yyyy-mm-dd")&amp;"|"&amp;$V524&amp;"|"&amp;$W524,'CALENDARIO'!$G$15:$G$214,0)),IFERROR(INDEX('CALENDARIO'!$C$15:$C$214,MATCH(TEXT($J524,"yyyy-mm-dd")&amp;"|"&amp;$V524&amp;"|",'CALENDARIO'!$G$15:$G$214,0)),IFERROR(INDEX('CALENDARIO'!$C$15:$C$214,MATCH(TEXT($J524,"yyyy-mm-dd")&amp;"||",'CALENDARIO'!$G$15:$G$214,0)),INDEX(patronHabil,WEEKDAY($J524,2))))))</f>
        <v/>
      </c>
      <c r="T524" s="3">
        <f>IF($I524="","",IFERROR(INDEX('CAT_TIPOS_OT'!$C$4:$C$7,MATCH($I524,'CAT_TIPOS_OT'!$A$4:$A$7,0)),"sin_clasificar"))</f>
        <v/>
      </c>
      <c r="U524" s="3">
        <f>IF($F524="","",IFERROR(INDEX('CAT_CENTROS_COSTO'!$F$4:$F$13,MATCH($F524,'CAT_CENTROS_COSTO'!$A$4:$A$13,0)),"(sin catálogo)"))</f>
        <v/>
      </c>
      <c r="V524" s="3">
        <f>IF($F524="","",IFERROR(INDEX('CAT_CENTROS_COSTO'!$D$4:$D$13,MATCH($F524,'CAT_CENTROS_COSTO'!$A$4:$A$13,0)),"(sin catálogo)"))</f>
        <v/>
      </c>
      <c r="W524" s="3">
        <f>IF($F524="","",IF((IFERROR(INDEX('CAT_CENTROS_COSTO'!$E$4:$E$13,MATCH($F524,'CAT_CENTROS_COSTO'!$A$4:$A$13,0)),""))&lt;&gt;"",IFERROR(INDEX('CAT_CENTROS_COSTO'!$E$4:$E$13,MATCH($F524,'CAT_CENTROS_COSTO'!$A$4:$A$13,0)),""),$V524))</f>
        <v/>
      </c>
      <c r="X524" s="3">
        <f>IF($F524="","",IFERROR(INDEX('CAT_CENTROS_COSTO'!$G$4:$G$13,MATCH($F524,'CAT_CENTROS_COSTO'!$A$4:$A$13,0)),"(sin catálogo)"))</f>
        <v/>
      </c>
      <c r="Y524" s="3">
        <f>IF($G524="","",IFERROR(INDEX('CAT_PUESTOS'!$B$4:$B$8,MATCH($G524,'CAT_PUESTOS'!$A$4:$A$8,0)),"(sin catálogo)"))</f>
        <v/>
      </c>
      <c r="Z524" s="3">
        <f>IF($H524="","",IFERROR(INDEX('CAT_ACTIVIDADES'!$B$4:$B$8,MATCH($H524,'CAT_ACTIVIDADES'!$A$4:$A$8,0)),"(sin catálogo)"))</f>
        <v/>
      </c>
      <c r="AA524" s="12">
        <f>IF($J524="","",TODAY()-$J524)</f>
        <v/>
      </c>
      <c r="AB524" s="12">
        <f>IF($J524="","",IF($J524&lt;=TODAY(),COUNTIFS(cal_fechas,"&gt;="&amp;$J524,cal_fechas,"&lt;"&amp;TODAY(),cal_habil,"sí"),-COUNTIFS(cal_fechas,"&gt;="&amp;TODAY(),cal_fechas,"&lt;"&amp;$J524,cal_habil,"sí")))</f>
        <v/>
      </c>
      <c r="AC524" s="3">
        <f>IF($AB524="","",IF($AB524&lt;0,"FUTURO",IF($AB524&gt;p_dias_backlog_max,"BACKLOG","MES CORRIENTE")))</f>
        <v/>
      </c>
      <c r="AD524" s="3">
        <f>IF($AB524="",FALSE,AND($AB524&gt;p_dias_backlog_min,$AB524&lt;=p_dias_backlog_max))</f>
        <v/>
      </c>
      <c r="AE524" s="6" t="n"/>
      <c r="AF524" s="3">
        <f>IF($AE524="","",IF((IFERROR(INDEX('ASIGNACIONES'!$F$4:$F$339,MATCH($O524&amp;"|"&amp;$R524&amp;"|"&amp;$AE524,'ASIGNACIONES'!$J$4:$J$339,0)),""))=0,"",IFERROR(INDEX('ASIGNACIONES'!$F$4:$F$339,MATCH($O524&amp;"|"&amp;$R524&amp;"|"&amp;$AE524,'ASIGNACIONES'!$J$4:$J$339,0)),"")))</f>
        <v/>
      </c>
      <c r="AG524" s="13">
        <f>IF($AE524="","",SUMIFS('ORDENES'!$M$4:$M$1203,'ORDENES'!$AE$4:$AE$1203,$AE524,'ORDENES'!$O$4:$O$1203,$O524,'ORDENES'!$R$4:$R$1203,$R524))</f>
        <v/>
      </c>
      <c r="AH524" s="13">
        <f>IF($AG524="","",p_factor_productividad*IFERROR(INDEX('ASIGNACIONES'!$I$4:$I$339,MATCH($O524&amp;"|"&amp;$R524&amp;"|"&amp;$AE524,'ASIGNACIONES'!$J$4:$J$339,0)),0)-$AG524)</f>
        <v/>
      </c>
      <c r="AI524" s="10">
        <f>IF($A524="","",IFERROR(INDEX('2_IMPORTAR_EJECUCION'!$F$9:$F$1208,MATCH($AQ524,'2_IMPORTAR_EJECUCION'!$J$9:$J$1208,0)),0))</f>
        <v/>
      </c>
      <c r="AJ524" s="10">
        <f>IF($A524="","",MAX(0,IFERROR(INDEX('2_IMPORTAR_EJECUCION'!$H$9:$H$1208,MATCH($AQ524,'2_IMPORTAR_EJECUCION'!$J$9:$J$1208,0)),0)-$AI524))</f>
        <v/>
      </c>
      <c r="AK524" s="10">
        <f>IF($A524="","",$AI524+$AJ524)</f>
        <v/>
      </c>
      <c r="AL524" s="6" t="n"/>
      <c r="AM524" s="6" t="n"/>
      <c r="AN524" s="6" t="n"/>
      <c r="AO524" s="3">
        <f>IF($AN524="","",HYPERLINK(p_ruta_base_checklists&amp;$AN524,"abrir"))</f>
        <v/>
      </c>
      <c r="AP524" s="6" t="n"/>
      <c r="AQ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IF($A525="","",IFERROR(INDEX('AJUSTES'!$B$4:$B$303,MATCH($AQ525,'AJUSTES'!$A$4:$A$303,0)),IF($K525="","",$K525)))</f>
        <v/>
      </c>
      <c r="N525" s="3">
        <f>IF($A525="","",IFERROR(INDEX('CAT_ESTADOS_ERP'!$B$4:$B$7,MATCH(IFERROR(INDEX('2_IMPORTAR_EJECUCION'!$C$9:$C$1208,MATCH($AQ525,'2_IMPORTAR_EJECUCION'!$J$9:$J$1208,0)),""),'CAT_ESTADOS_ERP'!$A$4:$A$7,0)),"Pendiente"))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J525="","",IFERROR(INDEX('CALENDARIO'!$C$15:$C$214,MATCH(TEXT($J525,"yyyy-mm-dd")&amp;"|"&amp;$V525&amp;"|"&amp;$W525,'CALENDARIO'!$G$15:$G$214,0)),IFERROR(INDEX('CALENDARIO'!$C$15:$C$214,MATCH(TEXT($J525,"yyyy-mm-dd")&amp;"|"&amp;$V525&amp;"|",'CALENDARIO'!$G$15:$G$214,0)),IFERROR(INDEX('CALENDARIO'!$C$15:$C$214,MATCH(TEXT($J525,"yyyy-mm-dd")&amp;"||",'CALENDARIO'!$G$15:$G$214,0)),INDEX(patronHabil,WEEKDAY($J525,2))))))</f>
        <v/>
      </c>
      <c r="T525" s="3">
        <f>IF($I525="","",IFERROR(INDEX('CAT_TIPOS_OT'!$C$4:$C$7,MATCH($I525,'CAT_TIPOS_OT'!$A$4:$A$7,0)),"sin_clasificar"))</f>
        <v/>
      </c>
      <c r="U525" s="3">
        <f>IF($F525="","",IFERROR(INDEX('CAT_CENTROS_COSTO'!$F$4:$F$13,MATCH($F525,'CAT_CENTROS_COSTO'!$A$4:$A$13,0)),"(sin catálogo)"))</f>
        <v/>
      </c>
      <c r="V525" s="3">
        <f>IF($F525="","",IFERROR(INDEX('CAT_CENTROS_COSTO'!$D$4:$D$13,MATCH($F525,'CAT_CENTROS_COSTO'!$A$4:$A$13,0)),"(sin catálogo)"))</f>
        <v/>
      </c>
      <c r="W525" s="3">
        <f>IF($F525="","",IF((IFERROR(INDEX('CAT_CENTROS_COSTO'!$E$4:$E$13,MATCH($F525,'CAT_CENTROS_COSTO'!$A$4:$A$13,0)),""))&lt;&gt;"",IFERROR(INDEX('CAT_CENTROS_COSTO'!$E$4:$E$13,MATCH($F525,'CAT_CENTROS_COSTO'!$A$4:$A$13,0)),""),$V525))</f>
        <v/>
      </c>
      <c r="X525" s="3">
        <f>IF($F525="","",IFERROR(INDEX('CAT_CENTROS_COSTO'!$G$4:$G$13,MATCH($F525,'CAT_CENTROS_COSTO'!$A$4:$A$13,0)),"(sin catálogo)"))</f>
        <v/>
      </c>
      <c r="Y525" s="3">
        <f>IF($G525="","",IFERROR(INDEX('CAT_PUESTOS'!$B$4:$B$8,MATCH($G525,'CAT_PUESTOS'!$A$4:$A$8,0)),"(sin catálogo)"))</f>
        <v/>
      </c>
      <c r="Z525" s="3">
        <f>IF($H525="","",IFERROR(INDEX('CAT_ACTIVIDADES'!$B$4:$B$8,MATCH($H525,'CAT_ACTIVIDADES'!$A$4:$A$8,0)),"(sin catálogo)"))</f>
        <v/>
      </c>
      <c r="AA525" s="12">
        <f>IF($J525="","",TODAY()-$J525)</f>
        <v/>
      </c>
      <c r="AB525" s="12">
        <f>IF($J525="","",IF($J525&lt;=TODAY(),COUNTIFS(cal_fechas,"&gt;="&amp;$J525,cal_fechas,"&lt;"&amp;TODAY(),cal_habil,"sí"),-COUNTIFS(cal_fechas,"&gt;="&amp;TODAY(),cal_fechas,"&lt;"&amp;$J525,cal_habil,"sí")))</f>
        <v/>
      </c>
      <c r="AC525" s="3">
        <f>IF($AB525="","",IF($AB525&lt;0,"FUTURO",IF($AB525&gt;p_dias_backlog_max,"BACKLOG","MES CORRIENTE")))</f>
        <v/>
      </c>
      <c r="AD525" s="3">
        <f>IF($AB525="",FALSE,AND($AB525&gt;p_dias_backlog_min,$AB525&lt;=p_dias_backlog_max))</f>
        <v/>
      </c>
      <c r="AE525" s="6" t="n"/>
      <c r="AF525" s="3">
        <f>IF($AE525="","",IF((IFERROR(INDEX('ASIGNACIONES'!$F$4:$F$339,MATCH($O525&amp;"|"&amp;$R525&amp;"|"&amp;$AE525,'ASIGNACIONES'!$J$4:$J$339,0)),""))=0,"",IFERROR(INDEX('ASIGNACIONES'!$F$4:$F$339,MATCH($O525&amp;"|"&amp;$R525&amp;"|"&amp;$AE525,'ASIGNACIONES'!$J$4:$J$339,0)),"")))</f>
        <v/>
      </c>
      <c r="AG525" s="13">
        <f>IF($AE525="","",SUMIFS('ORDENES'!$M$4:$M$1203,'ORDENES'!$AE$4:$AE$1203,$AE525,'ORDENES'!$O$4:$O$1203,$O525,'ORDENES'!$R$4:$R$1203,$R525))</f>
        <v/>
      </c>
      <c r="AH525" s="13">
        <f>IF($AG525="","",p_factor_productividad*IFERROR(INDEX('ASIGNACIONES'!$I$4:$I$339,MATCH($O525&amp;"|"&amp;$R525&amp;"|"&amp;$AE525,'ASIGNACIONES'!$J$4:$J$339,0)),0)-$AG525)</f>
        <v/>
      </c>
      <c r="AI525" s="10">
        <f>IF($A525="","",IFERROR(INDEX('2_IMPORTAR_EJECUCION'!$F$9:$F$1208,MATCH($AQ525,'2_IMPORTAR_EJECUCION'!$J$9:$J$1208,0)),0))</f>
        <v/>
      </c>
      <c r="AJ525" s="10">
        <f>IF($A525="","",MAX(0,IFERROR(INDEX('2_IMPORTAR_EJECUCION'!$H$9:$H$1208,MATCH($AQ525,'2_IMPORTAR_EJECUCION'!$J$9:$J$1208,0)),0)-$AI525))</f>
        <v/>
      </c>
      <c r="AK525" s="10">
        <f>IF($A525="","",$AI525+$AJ525)</f>
        <v/>
      </c>
      <c r="AL525" s="6" t="n"/>
      <c r="AM525" s="6" t="n"/>
      <c r="AN525" s="6" t="n"/>
      <c r="AO525" s="3">
        <f>IF($AN525="","",HYPERLINK(p_ruta_base_checklists&amp;$AN525,"abrir"))</f>
        <v/>
      </c>
      <c r="AP525" s="6" t="n"/>
      <c r="AQ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IF($A526="","",IFERROR(INDEX('AJUSTES'!$B$4:$B$303,MATCH($AQ526,'AJUSTES'!$A$4:$A$303,0)),IF($K526="","",$K526)))</f>
        <v/>
      </c>
      <c r="N526" s="3">
        <f>IF($A526="","",IFERROR(INDEX('CAT_ESTADOS_ERP'!$B$4:$B$7,MATCH(IFERROR(INDEX('2_IMPORTAR_EJECUCION'!$C$9:$C$1208,MATCH($AQ526,'2_IMPORTAR_EJECUCION'!$J$9:$J$1208,0)),""),'CAT_ESTADOS_ERP'!$A$4:$A$7,0)),"Pendiente"))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J526="","",IFERROR(INDEX('CALENDARIO'!$C$15:$C$214,MATCH(TEXT($J526,"yyyy-mm-dd")&amp;"|"&amp;$V526&amp;"|"&amp;$W526,'CALENDARIO'!$G$15:$G$214,0)),IFERROR(INDEX('CALENDARIO'!$C$15:$C$214,MATCH(TEXT($J526,"yyyy-mm-dd")&amp;"|"&amp;$V526&amp;"|",'CALENDARIO'!$G$15:$G$214,0)),IFERROR(INDEX('CALENDARIO'!$C$15:$C$214,MATCH(TEXT($J526,"yyyy-mm-dd")&amp;"||",'CALENDARIO'!$G$15:$G$214,0)),INDEX(patronHabil,WEEKDAY($J526,2))))))</f>
        <v/>
      </c>
      <c r="T526" s="3">
        <f>IF($I526="","",IFERROR(INDEX('CAT_TIPOS_OT'!$C$4:$C$7,MATCH($I526,'CAT_TIPOS_OT'!$A$4:$A$7,0)),"sin_clasificar"))</f>
        <v/>
      </c>
      <c r="U526" s="3">
        <f>IF($F526="","",IFERROR(INDEX('CAT_CENTROS_COSTO'!$F$4:$F$13,MATCH($F526,'CAT_CENTROS_COSTO'!$A$4:$A$13,0)),"(sin catálogo)"))</f>
        <v/>
      </c>
      <c r="V526" s="3">
        <f>IF($F526="","",IFERROR(INDEX('CAT_CENTROS_COSTO'!$D$4:$D$13,MATCH($F526,'CAT_CENTROS_COSTO'!$A$4:$A$13,0)),"(sin catálogo)"))</f>
        <v/>
      </c>
      <c r="W526" s="3">
        <f>IF($F526="","",IF((IFERROR(INDEX('CAT_CENTROS_COSTO'!$E$4:$E$13,MATCH($F526,'CAT_CENTROS_COSTO'!$A$4:$A$13,0)),""))&lt;&gt;"",IFERROR(INDEX('CAT_CENTROS_COSTO'!$E$4:$E$13,MATCH($F526,'CAT_CENTROS_COSTO'!$A$4:$A$13,0)),""),$V526))</f>
        <v/>
      </c>
      <c r="X526" s="3">
        <f>IF($F526="","",IFERROR(INDEX('CAT_CENTROS_COSTO'!$G$4:$G$13,MATCH($F526,'CAT_CENTROS_COSTO'!$A$4:$A$13,0)),"(sin catálogo)"))</f>
        <v/>
      </c>
      <c r="Y526" s="3">
        <f>IF($G526="","",IFERROR(INDEX('CAT_PUESTOS'!$B$4:$B$8,MATCH($G526,'CAT_PUESTOS'!$A$4:$A$8,0)),"(sin catálogo)"))</f>
        <v/>
      </c>
      <c r="Z526" s="3">
        <f>IF($H526="","",IFERROR(INDEX('CAT_ACTIVIDADES'!$B$4:$B$8,MATCH($H526,'CAT_ACTIVIDADES'!$A$4:$A$8,0)),"(sin catálogo)"))</f>
        <v/>
      </c>
      <c r="AA526" s="12">
        <f>IF($J526="","",TODAY()-$J526)</f>
        <v/>
      </c>
      <c r="AB526" s="12">
        <f>IF($J526="","",IF($J526&lt;=TODAY(),COUNTIFS(cal_fechas,"&gt;="&amp;$J526,cal_fechas,"&lt;"&amp;TODAY(),cal_habil,"sí"),-COUNTIFS(cal_fechas,"&gt;="&amp;TODAY(),cal_fechas,"&lt;"&amp;$J526,cal_habil,"sí")))</f>
        <v/>
      </c>
      <c r="AC526" s="3">
        <f>IF($AB526="","",IF($AB526&lt;0,"FUTURO",IF($AB526&gt;p_dias_backlog_max,"BACKLOG","MES CORRIENTE")))</f>
        <v/>
      </c>
      <c r="AD526" s="3">
        <f>IF($AB526="",FALSE,AND($AB526&gt;p_dias_backlog_min,$AB526&lt;=p_dias_backlog_max))</f>
        <v/>
      </c>
      <c r="AE526" s="6" t="n"/>
      <c r="AF526" s="3">
        <f>IF($AE526="","",IF((IFERROR(INDEX('ASIGNACIONES'!$F$4:$F$339,MATCH($O526&amp;"|"&amp;$R526&amp;"|"&amp;$AE526,'ASIGNACIONES'!$J$4:$J$339,0)),""))=0,"",IFERROR(INDEX('ASIGNACIONES'!$F$4:$F$339,MATCH($O526&amp;"|"&amp;$R526&amp;"|"&amp;$AE526,'ASIGNACIONES'!$J$4:$J$339,0)),"")))</f>
        <v/>
      </c>
      <c r="AG526" s="13">
        <f>IF($AE526="","",SUMIFS('ORDENES'!$M$4:$M$1203,'ORDENES'!$AE$4:$AE$1203,$AE526,'ORDENES'!$O$4:$O$1203,$O526,'ORDENES'!$R$4:$R$1203,$R526))</f>
        <v/>
      </c>
      <c r="AH526" s="13">
        <f>IF($AG526="","",p_factor_productividad*IFERROR(INDEX('ASIGNACIONES'!$I$4:$I$339,MATCH($O526&amp;"|"&amp;$R526&amp;"|"&amp;$AE526,'ASIGNACIONES'!$J$4:$J$339,0)),0)-$AG526)</f>
        <v/>
      </c>
      <c r="AI526" s="10">
        <f>IF($A526="","",IFERROR(INDEX('2_IMPORTAR_EJECUCION'!$F$9:$F$1208,MATCH($AQ526,'2_IMPORTAR_EJECUCION'!$J$9:$J$1208,0)),0))</f>
        <v/>
      </c>
      <c r="AJ526" s="10">
        <f>IF($A526="","",MAX(0,IFERROR(INDEX('2_IMPORTAR_EJECUCION'!$H$9:$H$1208,MATCH($AQ526,'2_IMPORTAR_EJECUCION'!$J$9:$J$1208,0)),0)-$AI526))</f>
        <v/>
      </c>
      <c r="AK526" s="10">
        <f>IF($A526="","",$AI526+$AJ526)</f>
        <v/>
      </c>
      <c r="AL526" s="6" t="n"/>
      <c r="AM526" s="6" t="n"/>
      <c r="AN526" s="6" t="n"/>
      <c r="AO526" s="3">
        <f>IF($AN526="","",HYPERLINK(p_ruta_base_checklists&amp;$AN526,"abrir"))</f>
        <v/>
      </c>
      <c r="AP526" s="6" t="n"/>
      <c r="AQ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IF($A527="","",IFERROR(INDEX('AJUSTES'!$B$4:$B$303,MATCH($AQ527,'AJUSTES'!$A$4:$A$303,0)),IF($K527="","",$K527)))</f>
        <v/>
      </c>
      <c r="N527" s="3">
        <f>IF($A527="","",IFERROR(INDEX('CAT_ESTADOS_ERP'!$B$4:$B$7,MATCH(IFERROR(INDEX('2_IMPORTAR_EJECUCION'!$C$9:$C$1208,MATCH($AQ527,'2_IMPORTAR_EJECUCION'!$J$9:$J$1208,0)),""),'CAT_ESTADOS_ERP'!$A$4:$A$7,0)),"Pendiente"))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J527="","",IFERROR(INDEX('CALENDARIO'!$C$15:$C$214,MATCH(TEXT($J527,"yyyy-mm-dd")&amp;"|"&amp;$V527&amp;"|"&amp;$W527,'CALENDARIO'!$G$15:$G$214,0)),IFERROR(INDEX('CALENDARIO'!$C$15:$C$214,MATCH(TEXT($J527,"yyyy-mm-dd")&amp;"|"&amp;$V527&amp;"|",'CALENDARIO'!$G$15:$G$214,0)),IFERROR(INDEX('CALENDARIO'!$C$15:$C$214,MATCH(TEXT($J527,"yyyy-mm-dd")&amp;"||",'CALENDARIO'!$G$15:$G$214,0)),INDEX(patronHabil,WEEKDAY($J527,2))))))</f>
        <v/>
      </c>
      <c r="T527" s="3">
        <f>IF($I527="","",IFERROR(INDEX('CAT_TIPOS_OT'!$C$4:$C$7,MATCH($I527,'CAT_TIPOS_OT'!$A$4:$A$7,0)),"sin_clasificar"))</f>
        <v/>
      </c>
      <c r="U527" s="3">
        <f>IF($F527="","",IFERROR(INDEX('CAT_CENTROS_COSTO'!$F$4:$F$13,MATCH($F527,'CAT_CENTROS_COSTO'!$A$4:$A$13,0)),"(sin catálogo)"))</f>
        <v/>
      </c>
      <c r="V527" s="3">
        <f>IF($F527="","",IFERROR(INDEX('CAT_CENTROS_COSTO'!$D$4:$D$13,MATCH($F527,'CAT_CENTROS_COSTO'!$A$4:$A$13,0)),"(sin catálogo)"))</f>
        <v/>
      </c>
      <c r="W527" s="3">
        <f>IF($F527="","",IF((IFERROR(INDEX('CAT_CENTROS_COSTO'!$E$4:$E$13,MATCH($F527,'CAT_CENTROS_COSTO'!$A$4:$A$13,0)),""))&lt;&gt;"",IFERROR(INDEX('CAT_CENTROS_COSTO'!$E$4:$E$13,MATCH($F527,'CAT_CENTROS_COSTO'!$A$4:$A$13,0)),""),$V527))</f>
        <v/>
      </c>
      <c r="X527" s="3">
        <f>IF($F527="","",IFERROR(INDEX('CAT_CENTROS_COSTO'!$G$4:$G$13,MATCH($F527,'CAT_CENTROS_COSTO'!$A$4:$A$13,0)),"(sin catálogo)"))</f>
        <v/>
      </c>
      <c r="Y527" s="3">
        <f>IF($G527="","",IFERROR(INDEX('CAT_PUESTOS'!$B$4:$B$8,MATCH($G527,'CAT_PUESTOS'!$A$4:$A$8,0)),"(sin catálogo)"))</f>
        <v/>
      </c>
      <c r="Z527" s="3">
        <f>IF($H527="","",IFERROR(INDEX('CAT_ACTIVIDADES'!$B$4:$B$8,MATCH($H527,'CAT_ACTIVIDADES'!$A$4:$A$8,0)),"(sin catálogo)"))</f>
        <v/>
      </c>
      <c r="AA527" s="12">
        <f>IF($J527="","",TODAY()-$J527)</f>
        <v/>
      </c>
      <c r="AB527" s="12">
        <f>IF($J527="","",IF($J527&lt;=TODAY(),COUNTIFS(cal_fechas,"&gt;="&amp;$J527,cal_fechas,"&lt;"&amp;TODAY(),cal_habil,"sí"),-COUNTIFS(cal_fechas,"&gt;="&amp;TODAY(),cal_fechas,"&lt;"&amp;$J527,cal_habil,"sí")))</f>
        <v/>
      </c>
      <c r="AC527" s="3">
        <f>IF($AB527="","",IF($AB527&lt;0,"FUTURO",IF($AB527&gt;p_dias_backlog_max,"BACKLOG","MES CORRIENTE")))</f>
        <v/>
      </c>
      <c r="AD527" s="3">
        <f>IF($AB527="",FALSE,AND($AB527&gt;p_dias_backlog_min,$AB527&lt;=p_dias_backlog_max))</f>
        <v/>
      </c>
      <c r="AE527" s="6" t="n"/>
      <c r="AF527" s="3">
        <f>IF($AE527="","",IF((IFERROR(INDEX('ASIGNACIONES'!$F$4:$F$339,MATCH($O527&amp;"|"&amp;$R527&amp;"|"&amp;$AE527,'ASIGNACIONES'!$J$4:$J$339,0)),""))=0,"",IFERROR(INDEX('ASIGNACIONES'!$F$4:$F$339,MATCH($O527&amp;"|"&amp;$R527&amp;"|"&amp;$AE527,'ASIGNACIONES'!$J$4:$J$339,0)),"")))</f>
        <v/>
      </c>
      <c r="AG527" s="13">
        <f>IF($AE527="","",SUMIFS('ORDENES'!$M$4:$M$1203,'ORDENES'!$AE$4:$AE$1203,$AE527,'ORDENES'!$O$4:$O$1203,$O527,'ORDENES'!$R$4:$R$1203,$R527))</f>
        <v/>
      </c>
      <c r="AH527" s="13">
        <f>IF($AG527="","",p_factor_productividad*IFERROR(INDEX('ASIGNACIONES'!$I$4:$I$339,MATCH($O527&amp;"|"&amp;$R527&amp;"|"&amp;$AE527,'ASIGNACIONES'!$J$4:$J$339,0)),0)-$AG527)</f>
        <v/>
      </c>
      <c r="AI527" s="10">
        <f>IF($A527="","",IFERROR(INDEX('2_IMPORTAR_EJECUCION'!$F$9:$F$1208,MATCH($AQ527,'2_IMPORTAR_EJECUCION'!$J$9:$J$1208,0)),0))</f>
        <v/>
      </c>
      <c r="AJ527" s="10">
        <f>IF($A527="","",MAX(0,IFERROR(INDEX('2_IMPORTAR_EJECUCION'!$H$9:$H$1208,MATCH($AQ527,'2_IMPORTAR_EJECUCION'!$J$9:$J$1208,0)),0)-$AI527))</f>
        <v/>
      </c>
      <c r="AK527" s="10">
        <f>IF($A527="","",$AI527+$AJ527)</f>
        <v/>
      </c>
      <c r="AL527" s="6" t="n"/>
      <c r="AM527" s="6" t="n"/>
      <c r="AN527" s="6" t="n"/>
      <c r="AO527" s="3">
        <f>IF($AN527="","",HYPERLINK(p_ruta_base_checklists&amp;$AN527,"abrir"))</f>
        <v/>
      </c>
      <c r="AP527" s="6" t="n"/>
      <c r="AQ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IF($A528="","",IFERROR(INDEX('AJUSTES'!$B$4:$B$303,MATCH($AQ528,'AJUSTES'!$A$4:$A$303,0)),IF($K528="","",$K528)))</f>
        <v/>
      </c>
      <c r="N528" s="3">
        <f>IF($A528="","",IFERROR(INDEX('CAT_ESTADOS_ERP'!$B$4:$B$7,MATCH(IFERROR(INDEX('2_IMPORTAR_EJECUCION'!$C$9:$C$1208,MATCH($AQ528,'2_IMPORTAR_EJECUCION'!$J$9:$J$1208,0)),""),'CAT_ESTADOS_ERP'!$A$4:$A$7,0)),"Pendiente"))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J528="","",IFERROR(INDEX('CALENDARIO'!$C$15:$C$214,MATCH(TEXT($J528,"yyyy-mm-dd")&amp;"|"&amp;$V528&amp;"|"&amp;$W528,'CALENDARIO'!$G$15:$G$214,0)),IFERROR(INDEX('CALENDARIO'!$C$15:$C$214,MATCH(TEXT($J528,"yyyy-mm-dd")&amp;"|"&amp;$V528&amp;"|",'CALENDARIO'!$G$15:$G$214,0)),IFERROR(INDEX('CALENDARIO'!$C$15:$C$214,MATCH(TEXT($J528,"yyyy-mm-dd")&amp;"||",'CALENDARIO'!$G$15:$G$214,0)),INDEX(patronHabil,WEEKDAY($J528,2))))))</f>
        <v/>
      </c>
      <c r="T528" s="3">
        <f>IF($I528="","",IFERROR(INDEX('CAT_TIPOS_OT'!$C$4:$C$7,MATCH($I528,'CAT_TIPOS_OT'!$A$4:$A$7,0)),"sin_clasificar"))</f>
        <v/>
      </c>
      <c r="U528" s="3">
        <f>IF($F528="","",IFERROR(INDEX('CAT_CENTROS_COSTO'!$F$4:$F$13,MATCH($F528,'CAT_CENTROS_COSTO'!$A$4:$A$13,0)),"(sin catálogo)"))</f>
        <v/>
      </c>
      <c r="V528" s="3">
        <f>IF($F528="","",IFERROR(INDEX('CAT_CENTROS_COSTO'!$D$4:$D$13,MATCH($F528,'CAT_CENTROS_COSTO'!$A$4:$A$13,0)),"(sin catálogo)"))</f>
        <v/>
      </c>
      <c r="W528" s="3">
        <f>IF($F528="","",IF((IFERROR(INDEX('CAT_CENTROS_COSTO'!$E$4:$E$13,MATCH($F528,'CAT_CENTROS_COSTO'!$A$4:$A$13,0)),""))&lt;&gt;"",IFERROR(INDEX('CAT_CENTROS_COSTO'!$E$4:$E$13,MATCH($F528,'CAT_CENTROS_COSTO'!$A$4:$A$13,0)),""),$V528))</f>
        <v/>
      </c>
      <c r="X528" s="3">
        <f>IF($F528="","",IFERROR(INDEX('CAT_CENTROS_COSTO'!$G$4:$G$13,MATCH($F528,'CAT_CENTROS_COSTO'!$A$4:$A$13,0)),"(sin catálogo)"))</f>
        <v/>
      </c>
      <c r="Y528" s="3">
        <f>IF($G528="","",IFERROR(INDEX('CAT_PUESTOS'!$B$4:$B$8,MATCH($G528,'CAT_PUESTOS'!$A$4:$A$8,0)),"(sin catálogo)"))</f>
        <v/>
      </c>
      <c r="Z528" s="3">
        <f>IF($H528="","",IFERROR(INDEX('CAT_ACTIVIDADES'!$B$4:$B$8,MATCH($H528,'CAT_ACTIVIDADES'!$A$4:$A$8,0)),"(sin catálogo)"))</f>
        <v/>
      </c>
      <c r="AA528" s="12">
        <f>IF($J528="","",TODAY()-$J528)</f>
        <v/>
      </c>
      <c r="AB528" s="12">
        <f>IF($J528="","",IF($J528&lt;=TODAY(),COUNTIFS(cal_fechas,"&gt;="&amp;$J528,cal_fechas,"&lt;"&amp;TODAY(),cal_habil,"sí"),-COUNTIFS(cal_fechas,"&gt;="&amp;TODAY(),cal_fechas,"&lt;"&amp;$J528,cal_habil,"sí")))</f>
        <v/>
      </c>
      <c r="AC528" s="3">
        <f>IF($AB528="","",IF($AB528&lt;0,"FUTURO",IF($AB528&gt;p_dias_backlog_max,"BACKLOG","MES CORRIENTE")))</f>
        <v/>
      </c>
      <c r="AD528" s="3">
        <f>IF($AB528="",FALSE,AND($AB528&gt;p_dias_backlog_min,$AB528&lt;=p_dias_backlog_max))</f>
        <v/>
      </c>
      <c r="AE528" s="6" t="n"/>
      <c r="AF528" s="3">
        <f>IF($AE528="","",IF((IFERROR(INDEX('ASIGNACIONES'!$F$4:$F$339,MATCH($O528&amp;"|"&amp;$R528&amp;"|"&amp;$AE528,'ASIGNACIONES'!$J$4:$J$339,0)),""))=0,"",IFERROR(INDEX('ASIGNACIONES'!$F$4:$F$339,MATCH($O528&amp;"|"&amp;$R528&amp;"|"&amp;$AE528,'ASIGNACIONES'!$J$4:$J$339,0)),"")))</f>
        <v/>
      </c>
      <c r="AG528" s="13">
        <f>IF($AE528="","",SUMIFS('ORDENES'!$M$4:$M$1203,'ORDENES'!$AE$4:$AE$1203,$AE528,'ORDENES'!$O$4:$O$1203,$O528,'ORDENES'!$R$4:$R$1203,$R528))</f>
        <v/>
      </c>
      <c r="AH528" s="13">
        <f>IF($AG528="","",p_factor_productividad*IFERROR(INDEX('ASIGNACIONES'!$I$4:$I$339,MATCH($O528&amp;"|"&amp;$R528&amp;"|"&amp;$AE528,'ASIGNACIONES'!$J$4:$J$339,0)),0)-$AG528)</f>
        <v/>
      </c>
      <c r="AI528" s="10">
        <f>IF($A528="","",IFERROR(INDEX('2_IMPORTAR_EJECUCION'!$F$9:$F$1208,MATCH($AQ528,'2_IMPORTAR_EJECUCION'!$J$9:$J$1208,0)),0))</f>
        <v/>
      </c>
      <c r="AJ528" s="10">
        <f>IF($A528="","",MAX(0,IFERROR(INDEX('2_IMPORTAR_EJECUCION'!$H$9:$H$1208,MATCH($AQ528,'2_IMPORTAR_EJECUCION'!$J$9:$J$1208,0)),0)-$AI528))</f>
        <v/>
      </c>
      <c r="AK528" s="10">
        <f>IF($A528="","",$AI528+$AJ528)</f>
        <v/>
      </c>
      <c r="AL528" s="6" t="n"/>
      <c r="AM528" s="6" t="n"/>
      <c r="AN528" s="6" t="n"/>
      <c r="AO528" s="3">
        <f>IF($AN528="","",HYPERLINK(p_ruta_base_checklists&amp;$AN528,"abrir"))</f>
        <v/>
      </c>
      <c r="AP528" s="6" t="n"/>
      <c r="AQ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IF($A529="","",IFERROR(INDEX('AJUSTES'!$B$4:$B$303,MATCH($AQ529,'AJUSTES'!$A$4:$A$303,0)),IF($K529="","",$K529)))</f>
        <v/>
      </c>
      <c r="N529" s="3">
        <f>IF($A529="","",IFERROR(INDEX('CAT_ESTADOS_ERP'!$B$4:$B$7,MATCH(IFERROR(INDEX('2_IMPORTAR_EJECUCION'!$C$9:$C$1208,MATCH($AQ529,'2_IMPORTAR_EJECUCION'!$J$9:$J$1208,0)),""),'CAT_ESTADOS_ERP'!$A$4:$A$7,0)),"Pendiente"))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J529="","",IFERROR(INDEX('CALENDARIO'!$C$15:$C$214,MATCH(TEXT($J529,"yyyy-mm-dd")&amp;"|"&amp;$V529&amp;"|"&amp;$W529,'CALENDARIO'!$G$15:$G$214,0)),IFERROR(INDEX('CALENDARIO'!$C$15:$C$214,MATCH(TEXT($J529,"yyyy-mm-dd")&amp;"|"&amp;$V529&amp;"|",'CALENDARIO'!$G$15:$G$214,0)),IFERROR(INDEX('CALENDARIO'!$C$15:$C$214,MATCH(TEXT($J529,"yyyy-mm-dd")&amp;"||",'CALENDARIO'!$G$15:$G$214,0)),INDEX(patronHabil,WEEKDAY($J529,2))))))</f>
        <v/>
      </c>
      <c r="T529" s="3">
        <f>IF($I529="","",IFERROR(INDEX('CAT_TIPOS_OT'!$C$4:$C$7,MATCH($I529,'CAT_TIPOS_OT'!$A$4:$A$7,0)),"sin_clasificar"))</f>
        <v/>
      </c>
      <c r="U529" s="3">
        <f>IF($F529="","",IFERROR(INDEX('CAT_CENTROS_COSTO'!$F$4:$F$13,MATCH($F529,'CAT_CENTROS_COSTO'!$A$4:$A$13,0)),"(sin catálogo)"))</f>
        <v/>
      </c>
      <c r="V529" s="3">
        <f>IF($F529="","",IFERROR(INDEX('CAT_CENTROS_COSTO'!$D$4:$D$13,MATCH($F529,'CAT_CENTROS_COSTO'!$A$4:$A$13,0)),"(sin catálogo)"))</f>
        <v/>
      </c>
      <c r="W529" s="3">
        <f>IF($F529="","",IF((IFERROR(INDEX('CAT_CENTROS_COSTO'!$E$4:$E$13,MATCH($F529,'CAT_CENTROS_COSTO'!$A$4:$A$13,0)),""))&lt;&gt;"",IFERROR(INDEX('CAT_CENTROS_COSTO'!$E$4:$E$13,MATCH($F529,'CAT_CENTROS_COSTO'!$A$4:$A$13,0)),""),$V529))</f>
        <v/>
      </c>
      <c r="X529" s="3">
        <f>IF($F529="","",IFERROR(INDEX('CAT_CENTROS_COSTO'!$G$4:$G$13,MATCH($F529,'CAT_CENTROS_COSTO'!$A$4:$A$13,0)),"(sin catálogo)"))</f>
        <v/>
      </c>
      <c r="Y529" s="3">
        <f>IF($G529="","",IFERROR(INDEX('CAT_PUESTOS'!$B$4:$B$8,MATCH($G529,'CAT_PUESTOS'!$A$4:$A$8,0)),"(sin catálogo)"))</f>
        <v/>
      </c>
      <c r="Z529" s="3">
        <f>IF($H529="","",IFERROR(INDEX('CAT_ACTIVIDADES'!$B$4:$B$8,MATCH($H529,'CAT_ACTIVIDADES'!$A$4:$A$8,0)),"(sin catálogo)"))</f>
        <v/>
      </c>
      <c r="AA529" s="12">
        <f>IF($J529="","",TODAY()-$J529)</f>
        <v/>
      </c>
      <c r="AB529" s="12">
        <f>IF($J529="","",IF($J529&lt;=TODAY(),COUNTIFS(cal_fechas,"&gt;="&amp;$J529,cal_fechas,"&lt;"&amp;TODAY(),cal_habil,"sí"),-COUNTIFS(cal_fechas,"&gt;="&amp;TODAY(),cal_fechas,"&lt;"&amp;$J529,cal_habil,"sí")))</f>
        <v/>
      </c>
      <c r="AC529" s="3">
        <f>IF($AB529="","",IF($AB529&lt;0,"FUTURO",IF($AB529&gt;p_dias_backlog_max,"BACKLOG","MES CORRIENTE")))</f>
        <v/>
      </c>
      <c r="AD529" s="3">
        <f>IF($AB529="",FALSE,AND($AB529&gt;p_dias_backlog_min,$AB529&lt;=p_dias_backlog_max))</f>
        <v/>
      </c>
      <c r="AE529" s="6" t="n"/>
      <c r="AF529" s="3">
        <f>IF($AE529="","",IF((IFERROR(INDEX('ASIGNACIONES'!$F$4:$F$339,MATCH($O529&amp;"|"&amp;$R529&amp;"|"&amp;$AE529,'ASIGNACIONES'!$J$4:$J$339,0)),""))=0,"",IFERROR(INDEX('ASIGNACIONES'!$F$4:$F$339,MATCH($O529&amp;"|"&amp;$R529&amp;"|"&amp;$AE529,'ASIGNACIONES'!$J$4:$J$339,0)),"")))</f>
        <v/>
      </c>
      <c r="AG529" s="13">
        <f>IF($AE529="","",SUMIFS('ORDENES'!$M$4:$M$1203,'ORDENES'!$AE$4:$AE$1203,$AE529,'ORDENES'!$O$4:$O$1203,$O529,'ORDENES'!$R$4:$R$1203,$R529))</f>
        <v/>
      </c>
      <c r="AH529" s="13">
        <f>IF($AG529="","",p_factor_productividad*IFERROR(INDEX('ASIGNACIONES'!$I$4:$I$339,MATCH($O529&amp;"|"&amp;$R529&amp;"|"&amp;$AE529,'ASIGNACIONES'!$J$4:$J$339,0)),0)-$AG529)</f>
        <v/>
      </c>
      <c r="AI529" s="10">
        <f>IF($A529="","",IFERROR(INDEX('2_IMPORTAR_EJECUCION'!$F$9:$F$1208,MATCH($AQ529,'2_IMPORTAR_EJECUCION'!$J$9:$J$1208,0)),0))</f>
        <v/>
      </c>
      <c r="AJ529" s="10">
        <f>IF($A529="","",MAX(0,IFERROR(INDEX('2_IMPORTAR_EJECUCION'!$H$9:$H$1208,MATCH($AQ529,'2_IMPORTAR_EJECUCION'!$J$9:$J$1208,0)),0)-$AI529))</f>
        <v/>
      </c>
      <c r="AK529" s="10">
        <f>IF($A529="","",$AI529+$AJ529)</f>
        <v/>
      </c>
      <c r="AL529" s="6" t="n"/>
      <c r="AM529" s="6" t="n"/>
      <c r="AN529" s="6" t="n"/>
      <c r="AO529" s="3">
        <f>IF($AN529="","",HYPERLINK(p_ruta_base_checklists&amp;$AN529,"abrir"))</f>
        <v/>
      </c>
      <c r="AP529" s="6" t="n"/>
      <c r="AQ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IF($A530="","",IFERROR(INDEX('AJUSTES'!$B$4:$B$303,MATCH($AQ530,'AJUSTES'!$A$4:$A$303,0)),IF($K530="","",$K530)))</f>
        <v/>
      </c>
      <c r="N530" s="3">
        <f>IF($A530="","",IFERROR(INDEX('CAT_ESTADOS_ERP'!$B$4:$B$7,MATCH(IFERROR(INDEX('2_IMPORTAR_EJECUCION'!$C$9:$C$1208,MATCH($AQ530,'2_IMPORTAR_EJECUCION'!$J$9:$J$1208,0)),""),'CAT_ESTADOS_ERP'!$A$4:$A$7,0)),"Pendiente"))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J530="","",IFERROR(INDEX('CALENDARIO'!$C$15:$C$214,MATCH(TEXT($J530,"yyyy-mm-dd")&amp;"|"&amp;$V530&amp;"|"&amp;$W530,'CALENDARIO'!$G$15:$G$214,0)),IFERROR(INDEX('CALENDARIO'!$C$15:$C$214,MATCH(TEXT($J530,"yyyy-mm-dd")&amp;"|"&amp;$V530&amp;"|",'CALENDARIO'!$G$15:$G$214,0)),IFERROR(INDEX('CALENDARIO'!$C$15:$C$214,MATCH(TEXT($J530,"yyyy-mm-dd")&amp;"||",'CALENDARIO'!$G$15:$G$214,0)),INDEX(patronHabil,WEEKDAY($J530,2))))))</f>
        <v/>
      </c>
      <c r="T530" s="3">
        <f>IF($I530="","",IFERROR(INDEX('CAT_TIPOS_OT'!$C$4:$C$7,MATCH($I530,'CAT_TIPOS_OT'!$A$4:$A$7,0)),"sin_clasificar"))</f>
        <v/>
      </c>
      <c r="U530" s="3">
        <f>IF($F530="","",IFERROR(INDEX('CAT_CENTROS_COSTO'!$F$4:$F$13,MATCH($F530,'CAT_CENTROS_COSTO'!$A$4:$A$13,0)),"(sin catálogo)"))</f>
        <v/>
      </c>
      <c r="V530" s="3">
        <f>IF($F530="","",IFERROR(INDEX('CAT_CENTROS_COSTO'!$D$4:$D$13,MATCH($F530,'CAT_CENTROS_COSTO'!$A$4:$A$13,0)),"(sin catálogo)"))</f>
        <v/>
      </c>
      <c r="W530" s="3">
        <f>IF($F530="","",IF((IFERROR(INDEX('CAT_CENTROS_COSTO'!$E$4:$E$13,MATCH($F530,'CAT_CENTROS_COSTO'!$A$4:$A$13,0)),""))&lt;&gt;"",IFERROR(INDEX('CAT_CENTROS_COSTO'!$E$4:$E$13,MATCH($F530,'CAT_CENTROS_COSTO'!$A$4:$A$13,0)),""),$V530))</f>
        <v/>
      </c>
      <c r="X530" s="3">
        <f>IF($F530="","",IFERROR(INDEX('CAT_CENTROS_COSTO'!$G$4:$G$13,MATCH($F530,'CAT_CENTROS_COSTO'!$A$4:$A$13,0)),"(sin catálogo)"))</f>
        <v/>
      </c>
      <c r="Y530" s="3">
        <f>IF($G530="","",IFERROR(INDEX('CAT_PUESTOS'!$B$4:$B$8,MATCH($G530,'CAT_PUESTOS'!$A$4:$A$8,0)),"(sin catálogo)"))</f>
        <v/>
      </c>
      <c r="Z530" s="3">
        <f>IF($H530="","",IFERROR(INDEX('CAT_ACTIVIDADES'!$B$4:$B$8,MATCH($H530,'CAT_ACTIVIDADES'!$A$4:$A$8,0)),"(sin catálogo)"))</f>
        <v/>
      </c>
      <c r="AA530" s="12">
        <f>IF($J530="","",TODAY()-$J530)</f>
        <v/>
      </c>
      <c r="AB530" s="12">
        <f>IF($J530="","",IF($J530&lt;=TODAY(),COUNTIFS(cal_fechas,"&gt;="&amp;$J530,cal_fechas,"&lt;"&amp;TODAY(),cal_habil,"sí"),-COUNTIFS(cal_fechas,"&gt;="&amp;TODAY(),cal_fechas,"&lt;"&amp;$J530,cal_habil,"sí")))</f>
        <v/>
      </c>
      <c r="AC530" s="3">
        <f>IF($AB530="","",IF($AB530&lt;0,"FUTURO",IF($AB530&gt;p_dias_backlog_max,"BACKLOG","MES CORRIENTE")))</f>
        <v/>
      </c>
      <c r="AD530" s="3">
        <f>IF($AB530="",FALSE,AND($AB530&gt;p_dias_backlog_min,$AB530&lt;=p_dias_backlog_max))</f>
        <v/>
      </c>
      <c r="AE530" s="6" t="n"/>
      <c r="AF530" s="3">
        <f>IF($AE530="","",IF((IFERROR(INDEX('ASIGNACIONES'!$F$4:$F$339,MATCH($O530&amp;"|"&amp;$R530&amp;"|"&amp;$AE530,'ASIGNACIONES'!$J$4:$J$339,0)),""))=0,"",IFERROR(INDEX('ASIGNACIONES'!$F$4:$F$339,MATCH($O530&amp;"|"&amp;$R530&amp;"|"&amp;$AE530,'ASIGNACIONES'!$J$4:$J$339,0)),"")))</f>
        <v/>
      </c>
      <c r="AG530" s="13">
        <f>IF($AE530="","",SUMIFS('ORDENES'!$M$4:$M$1203,'ORDENES'!$AE$4:$AE$1203,$AE530,'ORDENES'!$O$4:$O$1203,$O530,'ORDENES'!$R$4:$R$1203,$R530))</f>
        <v/>
      </c>
      <c r="AH530" s="13">
        <f>IF($AG530="","",p_factor_productividad*IFERROR(INDEX('ASIGNACIONES'!$I$4:$I$339,MATCH($O530&amp;"|"&amp;$R530&amp;"|"&amp;$AE530,'ASIGNACIONES'!$J$4:$J$339,0)),0)-$AG530)</f>
        <v/>
      </c>
      <c r="AI530" s="10">
        <f>IF($A530="","",IFERROR(INDEX('2_IMPORTAR_EJECUCION'!$F$9:$F$1208,MATCH($AQ530,'2_IMPORTAR_EJECUCION'!$J$9:$J$1208,0)),0))</f>
        <v/>
      </c>
      <c r="AJ530" s="10">
        <f>IF($A530="","",MAX(0,IFERROR(INDEX('2_IMPORTAR_EJECUCION'!$H$9:$H$1208,MATCH($AQ530,'2_IMPORTAR_EJECUCION'!$J$9:$J$1208,0)),0)-$AI530))</f>
        <v/>
      </c>
      <c r="AK530" s="10">
        <f>IF($A530="","",$AI530+$AJ530)</f>
        <v/>
      </c>
      <c r="AL530" s="6" t="n"/>
      <c r="AM530" s="6" t="n"/>
      <c r="AN530" s="6" t="n"/>
      <c r="AO530" s="3">
        <f>IF($AN530="","",HYPERLINK(p_ruta_base_checklists&amp;$AN530,"abrir"))</f>
        <v/>
      </c>
      <c r="AP530" s="6" t="n"/>
      <c r="AQ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IF($A531="","",IFERROR(INDEX('AJUSTES'!$B$4:$B$303,MATCH($AQ531,'AJUSTES'!$A$4:$A$303,0)),IF($K531="","",$K531)))</f>
        <v/>
      </c>
      <c r="N531" s="3">
        <f>IF($A531="","",IFERROR(INDEX('CAT_ESTADOS_ERP'!$B$4:$B$7,MATCH(IFERROR(INDEX('2_IMPORTAR_EJECUCION'!$C$9:$C$1208,MATCH($AQ531,'2_IMPORTAR_EJECUCION'!$J$9:$J$1208,0)),""),'CAT_ESTADOS_ERP'!$A$4:$A$7,0)),"Pendiente"))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J531="","",IFERROR(INDEX('CALENDARIO'!$C$15:$C$214,MATCH(TEXT($J531,"yyyy-mm-dd")&amp;"|"&amp;$V531&amp;"|"&amp;$W531,'CALENDARIO'!$G$15:$G$214,0)),IFERROR(INDEX('CALENDARIO'!$C$15:$C$214,MATCH(TEXT($J531,"yyyy-mm-dd")&amp;"|"&amp;$V531&amp;"|",'CALENDARIO'!$G$15:$G$214,0)),IFERROR(INDEX('CALENDARIO'!$C$15:$C$214,MATCH(TEXT($J531,"yyyy-mm-dd")&amp;"||",'CALENDARIO'!$G$15:$G$214,0)),INDEX(patronHabil,WEEKDAY($J531,2))))))</f>
        <v/>
      </c>
      <c r="T531" s="3">
        <f>IF($I531="","",IFERROR(INDEX('CAT_TIPOS_OT'!$C$4:$C$7,MATCH($I531,'CAT_TIPOS_OT'!$A$4:$A$7,0)),"sin_clasificar"))</f>
        <v/>
      </c>
      <c r="U531" s="3">
        <f>IF($F531="","",IFERROR(INDEX('CAT_CENTROS_COSTO'!$F$4:$F$13,MATCH($F531,'CAT_CENTROS_COSTO'!$A$4:$A$13,0)),"(sin catálogo)"))</f>
        <v/>
      </c>
      <c r="V531" s="3">
        <f>IF($F531="","",IFERROR(INDEX('CAT_CENTROS_COSTO'!$D$4:$D$13,MATCH($F531,'CAT_CENTROS_COSTO'!$A$4:$A$13,0)),"(sin catálogo)"))</f>
        <v/>
      </c>
      <c r="W531" s="3">
        <f>IF($F531="","",IF((IFERROR(INDEX('CAT_CENTROS_COSTO'!$E$4:$E$13,MATCH($F531,'CAT_CENTROS_COSTO'!$A$4:$A$13,0)),""))&lt;&gt;"",IFERROR(INDEX('CAT_CENTROS_COSTO'!$E$4:$E$13,MATCH($F531,'CAT_CENTROS_COSTO'!$A$4:$A$13,0)),""),$V531))</f>
        <v/>
      </c>
      <c r="X531" s="3">
        <f>IF($F531="","",IFERROR(INDEX('CAT_CENTROS_COSTO'!$G$4:$G$13,MATCH($F531,'CAT_CENTROS_COSTO'!$A$4:$A$13,0)),"(sin catálogo)"))</f>
        <v/>
      </c>
      <c r="Y531" s="3">
        <f>IF($G531="","",IFERROR(INDEX('CAT_PUESTOS'!$B$4:$B$8,MATCH($G531,'CAT_PUESTOS'!$A$4:$A$8,0)),"(sin catálogo)"))</f>
        <v/>
      </c>
      <c r="Z531" s="3">
        <f>IF($H531="","",IFERROR(INDEX('CAT_ACTIVIDADES'!$B$4:$B$8,MATCH($H531,'CAT_ACTIVIDADES'!$A$4:$A$8,0)),"(sin catálogo)"))</f>
        <v/>
      </c>
      <c r="AA531" s="12">
        <f>IF($J531="","",TODAY()-$J531)</f>
        <v/>
      </c>
      <c r="AB531" s="12">
        <f>IF($J531="","",IF($J531&lt;=TODAY(),COUNTIFS(cal_fechas,"&gt;="&amp;$J531,cal_fechas,"&lt;"&amp;TODAY(),cal_habil,"sí"),-COUNTIFS(cal_fechas,"&gt;="&amp;TODAY(),cal_fechas,"&lt;"&amp;$J531,cal_habil,"sí")))</f>
        <v/>
      </c>
      <c r="AC531" s="3">
        <f>IF($AB531="","",IF($AB531&lt;0,"FUTURO",IF($AB531&gt;p_dias_backlog_max,"BACKLOG","MES CORRIENTE")))</f>
        <v/>
      </c>
      <c r="AD531" s="3">
        <f>IF($AB531="",FALSE,AND($AB531&gt;p_dias_backlog_min,$AB531&lt;=p_dias_backlog_max))</f>
        <v/>
      </c>
      <c r="AE531" s="6" t="n"/>
      <c r="AF531" s="3">
        <f>IF($AE531="","",IF((IFERROR(INDEX('ASIGNACIONES'!$F$4:$F$339,MATCH($O531&amp;"|"&amp;$R531&amp;"|"&amp;$AE531,'ASIGNACIONES'!$J$4:$J$339,0)),""))=0,"",IFERROR(INDEX('ASIGNACIONES'!$F$4:$F$339,MATCH($O531&amp;"|"&amp;$R531&amp;"|"&amp;$AE531,'ASIGNACIONES'!$J$4:$J$339,0)),"")))</f>
        <v/>
      </c>
      <c r="AG531" s="13">
        <f>IF($AE531="","",SUMIFS('ORDENES'!$M$4:$M$1203,'ORDENES'!$AE$4:$AE$1203,$AE531,'ORDENES'!$O$4:$O$1203,$O531,'ORDENES'!$R$4:$R$1203,$R531))</f>
        <v/>
      </c>
      <c r="AH531" s="13">
        <f>IF($AG531="","",p_factor_productividad*IFERROR(INDEX('ASIGNACIONES'!$I$4:$I$339,MATCH($O531&amp;"|"&amp;$R531&amp;"|"&amp;$AE531,'ASIGNACIONES'!$J$4:$J$339,0)),0)-$AG531)</f>
        <v/>
      </c>
      <c r="AI531" s="10">
        <f>IF($A531="","",IFERROR(INDEX('2_IMPORTAR_EJECUCION'!$F$9:$F$1208,MATCH($AQ531,'2_IMPORTAR_EJECUCION'!$J$9:$J$1208,0)),0))</f>
        <v/>
      </c>
      <c r="AJ531" s="10">
        <f>IF($A531="","",MAX(0,IFERROR(INDEX('2_IMPORTAR_EJECUCION'!$H$9:$H$1208,MATCH($AQ531,'2_IMPORTAR_EJECUCION'!$J$9:$J$1208,0)),0)-$AI531))</f>
        <v/>
      </c>
      <c r="AK531" s="10">
        <f>IF($A531="","",$AI531+$AJ531)</f>
        <v/>
      </c>
      <c r="AL531" s="6" t="n"/>
      <c r="AM531" s="6" t="n"/>
      <c r="AN531" s="6" t="n"/>
      <c r="AO531" s="3">
        <f>IF($AN531="","",HYPERLINK(p_ruta_base_checklists&amp;$AN531,"abrir"))</f>
        <v/>
      </c>
      <c r="AP531" s="6" t="n"/>
      <c r="AQ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IF($A532="","",IFERROR(INDEX('AJUSTES'!$B$4:$B$303,MATCH($AQ532,'AJUSTES'!$A$4:$A$303,0)),IF($K532="","",$K532)))</f>
        <v/>
      </c>
      <c r="N532" s="3">
        <f>IF($A532="","",IFERROR(INDEX('CAT_ESTADOS_ERP'!$B$4:$B$7,MATCH(IFERROR(INDEX('2_IMPORTAR_EJECUCION'!$C$9:$C$1208,MATCH($AQ532,'2_IMPORTAR_EJECUCION'!$J$9:$J$1208,0)),""),'CAT_ESTADOS_ERP'!$A$4:$A$7,0)),"Pendiente"))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J532="","",IFERROR(INDEX('CALENDARIO'!$C$15:$C$214,MATCH(TEXT($J532,"yyyy-mm-dd")&amp;"|"&amp;$V532&amp;"|"&amp;$W532,'CALENDARIO'!$G$15:$G$214,0)),IFERROR(INDEX('CALENDARIO'!$C$15:$C$214,MATCH(TEXT($J532,"yyyy-mm-dd")&amp;"|"&amp;$V532&amp;"|",'CALENDARIO'!$G$15:$G$214,0)),IFERROR(INDEX('CALENDARIO'!$C$15:$C$214,MATCH(TEXT($J532,"yyyy-mm-dd")&amp;"||",'CALENDARIO'!$G$15:$G$214,0)),INDEX(patronHabil,WEEKDAY($J532,2))))))</f>
        <v/>
      </c>
      <c r="T532" s="3">
        <f>IF($I532="","",IFERROR(INDEX('CAT_TIPOS_OT'!$C$4:$C$7,MATCH($I532,'CAT_TIPOS_OT'!$A$4:$A$7,0)),"sin_clasificar"))</f>
        <v/>
      </c>
      <c r="U532" s="3">
        <f>IF($F532="","",IFERROR(INDEX('CAT_CENTROS_COSTO'!$F$4:$F$13,MATCH($F532,'CAT_CENTROS_COSTO'!$A$4:$A$13,0)),"(sin catálogo)"))</f>
        <v/>
      </c>
      <c r="V532" s="3">
        <f>IF($F532="","",IFERROR(INDEX('CAT_CENTROS_COSTO'!$D$4:$D$13,MATCH($F532,'CAT_CENTROS_COSTO'!$A$4:$A$13,0)),"(sin catálogo)"))</f>
        <v/>
      </c>
      <c r="W532" s="3">
        <f>IF($F532="","",IF((IFERROR(INDEX('CAT_CENTROS_COSTO'!$E$4:$E$13,MATCH($F532,'CAT_CENTROS_COSTO'!$A$4:$A$13,0)),""))&lt;&gt;"",IFERROR(INDEX('CAT_CENTROS_COSTO'!$E$4:$E$13,MATCH($F532,'CAT_CENTROS_COSTO'!$A$4:$A$13,0)),""),$V532))</f>
        <v/>
      </c>
      <c r="X532" s="3">
        <f>IF($F532="","",IFERROR(INDEX('CAT_CENTROS_COSTO'!$G$4:$G$13,MATCH($F532,'CAT_CENTROS_COSTO'!$A$4:$A$13,0)),"(sin catálogo)"))</f>
        <v/>
      </c>
      <c r="Y532" s="3">
        <f>IF($G532="","",IFERROR(INDEX('CAT_PUESTOS'!$B$4:$B$8,MATCH($G532,'CAT_PUESTOS'!$A$4:$A$8,0)),"(sin catálogo)"))</f>
        <v/>
      </c>
      <c r="Z532" s="3">
        <f>IF($H532="","",IFERROR(INDEX('CAT_ACTIVIDADES'!$B$4:$B$8,MATCH($H532,'CAT_ACTIVIDADES'!$A$4:$A$8,0)),"(sin catálogo)"))</f>
        <v/>
      </c>
      <c r="AA532" s="12">
        <f>IF($J532="","",TODAY()-$J532)</f>
        <v/>
      </c>
      <c r="AB532" s="12">
        <f>IF($J532="","",IF($J532&lt;=TODAY(),COUNTIFS(cal_fechas,"&gt;="&amp;$J532,cal_fechas,"&lt;"&amp;TODAY(),cal_habil,"sí"),-COUNTIFS(cal_fechas,"&gt;="&amp;TODAY(),cal_fechas,"&lt;"&amp;$J532,cal_habil,"sí")))</f>
        <v/>
      </c>
      <c r="AC532" s="3">
        <f>IF($AB532="","",IF($AB532&lt;0,"FUTURO",IF($AB532&gt;p_dias_backlog_max,"BACKLOG","MES CORRIENTE")))</f>
        <v/>
      </c>
      <c r="AD532" s="3">
        <f>IF($AB532="",FALSE,AND($AB532&gt;p_dias_backlog_min,$AB532&lt;=p_dias_backlog_max))</f>
        <v/>
      </c>
      <c r="AE532" s="6" t="n"/>
      <c r="AF532" s="3">
        <f>IF($AE532="","",IF((IFERROR(INDEX('ASIGNACIONES'!$F$4:$F$339,MATCH($O532&amp;"|"&amp;$R532&amp;"|"&amp;$AE532,'ASIGNACIONES'!$J$4:$J$339,0)),""))=0,"",IFERROR(INDEX('ASIGNACIONES'!$F$4:$F$339,MATCH($O532&amp;"|"&amp;$R532&amp;"|"&amp;$AE532,'ASIGNACIONES'!$J$4:$J$339,0)),"")))</f>
        <v/>
      </c>
      <c r="AG532" s="13">
        <f>IF($AE532="","",SUMIFS('ORDENES'!$M$4:$M$1203,'ORDENES'!$AE$4:$AE$1203,$AE532,'ORDENES'!$O$4:$O$1203,$O532,'ORDENES'!$R$4:$R$1203,$R532))</f>
        <v/>
      </c>
      <c r="AH532" s="13">
        <f>IF($AG532="","",p_factor_productividad*IFERROR(INDEX('ASIGNACIONES'!$I$4:$I$339,MATCH($O532&amp;"|"&amp;$R532&amp;"|"&amp;$AE532,'ASIGNACIONES'!$J$4:$J$339,0)),0)-$AG532)</f>
        <v/>
      </c>
      <c r="AI532" s="10">
        <f>IF($A532="","",IFERROR(INDEX('2_IMPORTAR_EJECUCION'!$F$9:$F$1208,MATCH($AQ532,'2_IMPORTAR_EJECUCION'!$J$9:$J$1208,0)),0))</f>
        <v/>
      </c>
      <c r="AJ532" s="10">
        <f>IF($A532="","",MAX(0,IFERROR(INDEX('2_IMPORTAR_EJECUCION'!$H$9:$H$1208,MATCH($AQ532,'2_IMPORTAR_EJECUCION'!$J$9:$J$1208,0)),0)-$AI532))</f>
        <v/>
      </c>
      <c r="AK532" s="10">
        <f>IF($A532="","",$AI532+$AJ532)</f>
        <v/>
      </c>
      <c r="AL532" s="6" t="n"/>
      <c r="AM532" s="6" t="n"/>
      <c r="AN532" s="6" t="n"/>
      <c r="AO532" s="3">
        <f>IF($AN532="","",HYPERLINK(p_ruta_base_checklists&amp;$AN532,"abrir"))</f>
        <v/>
      </c>
      <c r="AP532" s="6" t="n"/>
      <c r="AQ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IF($A533="","",IFERROR(INDEX('AJUSTES'!$B$4:$B$303,MATCH($AQ533,'AJUSTES'!$A$4:$A$303,0)),IF($K533="","",$K533)))</f>
        <v/>
      </c>
      <c r="N533" s="3">
        <f>IF($A533="","",IFERROR(INDEX('CAT_ESTADOS_ERP'!$B$4:$B$7,MATCH(IFERROR(INDEX('2_IMPORTAR_EJECUCION'!$C$9:$C$1208,MATCH($AQ533,'2_IMPORTAR_EJECUCION'!$J$9:$J$1208,0)),""),'CAT_ESTADOS_ERP'!$A$4:$A$7,0)),"Pendiente"))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J533="","",IFERROR(INDEX('CALENDARIO'!$C$15:$C$214,MATCH(TEXT($J533,"yyyy-mm-dd")&amp;"|"&amp;$V533&amp;"|"&amp;$W533,'CALENDARIO'!$G$15:$G$214,0)),IFERROR(INDEX('CALENDARIO'!$C$15:$C$214,MATCH(TEXT($J533,"yyyy-mm-dd")&amp;"|"&amp;$V533&amp;"|",'CALENDARIO'!$G$15:$G$214,0)),IFERROR(INDEX('CALENDARIO'!$C$15:$C$214,MATCH(TEXT($J533,"yyyy-mm-dd")&amp;"||",'CALENDARIO'!$G$15:$G$214,0)),INDEX(patronHabil,WEEKDAY($J533,2))))))</f>
        <v/>
      </c>
      <c r="T533" s="3">
        <f>IF($I533="","",IFERROR(INDEX('CAT_TIPOS_OT'!$C$4:$C$7,MATCH($I533,'CAT_TIPOS_OT'!$A$4:$A$7,0)),"sin_clasificar"))</f>
        <v/>
      </c>
      <c r="U533" s="3">
        <f>IF($F533="","",IFERROR(INDEX('CAT_CENTROS_COSTO'!$F$4:$F$13,MATCH($F533,'CAT_CENTROS_COSTO'!$A$4:$A$13,0)),"(sin catálogo)"))</f>
        <v/>
      </c>
      <c r="V533" s="3">
        <f>IF($F533="","",IFERROR(INDEX('CAT_CENTROS_COSTO'!$D$4:$D$13,MATCH($F533,'CAT_CENTROS_COSTO'!$A$4:$A$13,0)),"(sin catálogo)"))</f>
        <v/>
      </c>
      <c r="W533" s="3">
        <f>IF($F533="","",IF((IFERROR(INDEX('CAT_CENTROS_COSTO'!$E$4:$E$13,MATCH($F533,'CAT_CENTROS_COSTO'!$A$4:$A$13,0)),""))&lt;&gt;"",IFERROR(INDEX('CAT_CENTROS_COSTO'!$E$4:$E$13,MATCH($F533,'CAT_CENTROS_COSTO'!$A$4:$A$13,0)),""),$V533))</f>
        <v/>
      </c>
      <c r="X533" s="3">
        <f>IF($F533="","",IFERROR(INDEX('CAT_CENTROS_COSTO'!$G$4:$G$13,MATCH($F533,'CAT_CENTROS_COSTO'!$A$4:$A$13,0)),"(sin catálogo)"))</f>
        <v/>
      </c>
      <c r="Y533" s="3">
        <f>IF($G533="","",IFERROR(INDEX('CAT_PUESTOS'!$B$4:$B$8,MATCH($G533,'CAT_PUESTOS'!$A$4:$A$8,0)),"(sin catálogo)"))</f>
        <v/>
      </c>
      <c r="Z533" s="3">
        <f>IF($H533="","",IFERROR(INDEX('CAT_ACTIVIDADES'!$B$4:$B$8,MATCH($H533,'CAT_ACTIVIDADES'!$A$4:$A$8,0)),"(sin catálogo)"))</f>
        <v/>
      </c>
      <c r="AA533" s="12">
        <f>IF($J533="","",TODAY()-$J533)</f>
        <v/>
      </c>
      <c r="AB533" s="12">
        <f>IF($J533="","",IF($J533&lt;=TODAY(),COUNTIFS(cal_fechas,"&gt;="&amp;$J533,cal_fechas,"&lt;"&amp;TODAY(),cal_habil,"sí"),-COUNTIFS(cal_fechas,"&gt;="&amp;TODAY(),cal_fechas,"&lt;"&amp;$J533,cal_habil,"sí")))</f>
        <v/>
      </c>
      <c r="AC533" s="3">
        <f>IF($AB533="","",IF($AB533&lt;0,"FUTURO",IF($AB533&gt;p_dias_backlog_max,"BACKLOG","MES CORRIENTE")))</f>
        <v/>
      </c>
      <c r="AD533" s="3">
        <f>IF($AB533="",FALSE,AND($AB533&gt;p_dias_backlog_min,$AB533&lt;=p_dias_backlog_max))</f>
        <v/>
      </c>
      <c r="AE533" s="6" t="n"/>
      <c r="AF533" s="3">
        <f>IF($AE533="","",IF((IFERROR(INDEX('ASIGNACIONES'!$F$4:$F$339,MATCH($O533&amp;"|"&amp;$R533&amp;"|"&amp;$AE533,'ASIGNACIONES'!$J$4:$J$339,0)),""))=0,"",IFERROR(INDEX('ASIGNACIONES'!$F$4:$F$339,MATCH($O533&amp;"|"&amp;$R533&amp;"|"&amp;$AE533,'ASIGNACIONES'!$J$4:$J$339,0)),"")))</f>
        <v/>
      </c>
      <c r="AG533" s="13">
        <f>IF($AE533="","",SUMIFS('ORDENES'!$M$4:$M$1203,'ORDENES'!$AE$4:$AE$1203,$AE533,'ORDENES'!$O$4:$O$1203,$O533,'ORDENES'!$R$4:$R$1203,$R533))</f>
        <v/>
      </c>
      <c r="AH533" s="13">
        <f>IF($AG533="","",p_factor_productividad*IFERROR(INDEX('ASIGNACIONES'!$I$4:$I$339,MATCH($O533&amp;"|"&amp;$R533&amp;"|"&amp;$AE533,'ASIGNACIONES'!$J$4:$J$339,0)),0)-$AG533)</f>
        <v/>
      </c>
      <c r="AI533" s="10">
        <f>IF($A533="","",IFERROR(INDEX('2_IMPORTAR_EJECUCION'!$F$9:$F$1208,MATCH($AQ533,'2_IMPORTAR_EJECUCION'!$J$9:$J$1208,0)),0))</f>
        <v/>
      </c>
      <c r="AJ533" s="10">
        <f>IF($A533="","",MAX(0,IFERROR(INDEX('2_IMPORTAR_EJECUCION'!$H$9:$H$1208,MATCH($AQ533,'2_IMPORTAR_EJECUCION'!$J$9:$J$1208,0)),0)-$AI533))</f>
        <v/>
      </c>
      <c r="AK533" s="10">
        <f>IF($A533="","",$AI533+$AJ533)</f>
        <v/>
      </c>
      <c r="AL533" s="6" t="n"/>
      <c r="AM533" s="6" t="n"/>
      <c r="AN533" s="6" t="n"/>
      <c r="AO533" s="3">
        <f>IF($AN533="","",HYPERLINK(p_ruta_base_checklists&amp;$AN533,"abrir"))</f>
        <v/>
      </c>
      <c r="AP533" s="6" t="n"/>
      <c r="AQ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IF($A534="","",IFERROR(INDEX('AJUSTES'!$B$4:$B$303,MATCH($AQ534,'AJUSTES'!$A$4:$A$303,0)),IF($K534="","",$K534)))</f>
        <v/>
      </c>
      <c r="N534" s="3">
        <f>IF($A534="","",IFERROR(INDEX('CAT_ESTADOS_ERP'!$B$4:$B$7,MATCH(IFERROR(INDEX('2_IMPORTAR_EJECUCION'!$C$9:$C$1208,MATCH($AQ534,'2_IMPORTAR_EJECUCION'!$J$9:$J$1208,0)),""),'CAT_ESTADOS_ERP'!$A$4:$A$7,0)),"Pendiente"))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J534="","",IFERROR(INDEX('CALENDARIO'!$C$15:$C$214,MATCH(TEXT($J534,"yyyy-mm-dd")&amp;"|"&amp;$V534&amp;"|"&amp;$W534,'CALENDARIO'!$G$15:$G$214,0)),IFERROR(INDEX('CALENDARIO'!$C$15:$C$214,MATCH(TEXT($J534,"yyyy-mm-dd")&amp;"|"&amp;$V534&amp;"|",'CALENDARIO'!$G$15:$G$214,0)),IFERROR(INDEX('CALENDARIO'!$C$15:$C$214,MATCH(TEXT($J534,"yyyy-mm-dd")&amp;"||",'CALENDARIO'!$G$15:$G$214,0)),INDEX(patronHabil,WEEKDAY($J534,2))))))</f>
        <v/>
      </c>
      <c r="T534" s="3">
        <f>IF($I534="","",IFERROR(INDEX('CAT_TIPOS_OT'!$C$4:$C$7,MATCH($I534,'CAT_TIPOS_OT'!$A$4:$A$7,0)),"sin_clasificar"))</f>
        <v/>
      </c>
      <c r="U534" s="3">
        <f>IF($F534="","",IFERROR(INDEX('CAT_CENTROS_COSTO'!$F$4:$F$13,MATCH($F534,'CAT_CENTROS_COSTO'!$A$4:$A$13,0)),"(sin catálogo)"))</f>
        <v/>
      </c>
      <c r="V534" s="3">
        <f>IF($F534="","",IFERROR(INDEX('CAT_CENTROS_COSTO'!$D$4:$D$13,MATCH($F534,'CAT_CENTROS_COSTO'!$A$4:$A$13,0)),"(sin catálogo)"))</f>
        <v/>
      </c>
      <c r="W534" s="3">
        <f>IF($F534="","",IF((IFERROR(INDEX('CAT_CENTROS_COSTO'!$E$4:$E$13,MATCH($F534,'CAT_CENTROS_COSTO'!$A$4:$A$13,0)),""))&lt;&gt;"",IFERROR(INDEX('CAT_CENTROS_COSTO'!$E$4:$E$13,MATCH($F534,'CAT_CENTROS_COSTO'!$A$4:$A$13,0)),""),$V534))</f>
        <v/>
      </c>
      <c r="X534" s="3">
        <f>IF($F534="","",IFERROR(INDEX('CAT_CENTROS_COSTO'!$G$4:$G$13,MATCH($F534,'CAT_CENTROS_COSTO'!$A$4:$A$13,0)),"(sin catálogo)"))</f>
        <v/>
      </c>
      <c r="Y534" s="3">
        <f>IF($G534="","",IFERROR(INDEX('CAT_PUESTOS'!$B$4:$B$8,MATCH($G534,'CAT_PUESTOS'!$A$4:$A$8,0)),"(sin catálogo)"))</f>
        <v/>
      </c>
      <c r="Z534" s="3">
        <f>IF($H534="","",IFERROR(INDEX('CAT_ACTIVIDADES'!$B$4:$B$8,MATCH($H534,'CAT_ACTIVIDADES'!$A$4:$A$8,0)),"(sin catálogo)"))</f>
        <v/>
      </c>
      <c r="AA534" s="12">
        <f>IF($J534="","",TODAY()-$J534)</f>
        <v/>
      </c>
      <c r="AB534" s="12">
        <f>IF($J534="","",IF($J534&lt;=TODAY(),COUNTIFS(cal_fechas,"&gt;="&amp;$J534,cal_fechas,"&lt;"&amp;TODAY(),cal_habil,"sí"),-COUNTIFS(cal_fechas,"&gt;="&amp;TODAY(),cal_fechas,"&lt;"&amp;$J534,cal_habil,"sí")))</f>
        <v/>
      </c>
      <c r="AC534" s="3">
        <f>IF($AB534="","",IF($AB534&lt;0,"FUTURO",IF($AB534&gt;p_dias_backlog_max,"BACKLOG","MES CORRIENTE")))</f>
        <v/>
      </c>
      <c r="AD534" s="3">
        <f>IF($AB534="",FALSE,AND($AB534&gt;p_dias_backlog_min,$AB534&lt;=p_dias_backlog_max))</f>
        <v/>
      </c>
      <c r="AE534" s="6" t="n"/>
      <c r="AF534" s="3">
        <f>IF($AE534="","",IF((IFERROR(INDEX('ASIGNACIONES'!$F$4:$F$339,MATCH($O534&amp;"|"&amp;$R534&amp;"|"&amp;$AE534,'ASIGNACIONES'!$J$4:$J$339,0)),""))=0,"",IFERROR(INDEX('ASIGNACIONES'!$F$4:$F$339,MATCH($O534&amp;"|"&amp;$R534&amp;"|"&amp;$AE534,'ASIGNACIONES'!$J$4:$J$339,0)),"")))</f>
        <v/>
      </c>
      <c r="AG534" s="13">
        <f>IF($AE534="","",SUMIFS('ORDENES'!$M$4:$M$1203,'ORDENES'!$AE$4:$AE$1203,$AE534,'ORDENES'!$O$4:$O$1203,$O534,'ORDENES'!$R$4:$R$1203,$R534))</f>
        <v/>
      </c>
      <c r="AH534" s="13">
        <f>IF($AG534="","",p_factor_productividad*IFERROR(INDEX('ASIGNACIONES'!$I$4:$I$339,MATCH($O534&amp;"|"&amp;$R534&amp;"|"&amp;$AE534,'ASIGNACIONES'!$J$4:$J$339,0)),0)-$AG534)</f>
        <v/>
      </c>
      <c r="AI534" s="10">
        <f>IF($A534="","",IFERROR(INDEX('2_IMPORTAR_EJECUCION'!$F$9:$F$1208,MATCH($AQ534,'2_IMPORTAR_EJECUCION'!$J$9:$J$1208,0)),0))</f>
        <v/>
      </c>
      <c r="AJ534" s="10">
        <f>IF($A534="","",MAX(0,IFERROR(INDEX('2_IMPORTAR_EJECUCION'!$H$9:$H$1208,MATCH($AQ534,'2_IMPORTAR_EJECUCION'!$J$9:$J$1208,0)),0)-$AI534))</f>
        <v/>
      </c>
      <c r="AK534" s="10">
        <f>IF($A534="","",$AI534+$AJ534)</f>
        <v/>
      </c>
      <c r="AL534" s="6" t="n"/>
      <c r="AM534" s="6" t="n"/>
      <c r="AN534" s="6" t="n"/>
      <c r="AO534" s="3">
        <f>IF($AN534="","",HYPERLINK(p_ruta_base_checklists&amp;$AN534,"abrir"))</f>
        <v/>
      </c>
      <c r="AP534" s="6" t="n"/>
      <c r="AQ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IF($A535="","",IFERROR(INDEX('AJUSTES'!$B$4:$B$303,MATCH($AQ535,'AJUSTES'!$A$4:$A$303,0)),IF($K535="","",$K535)))</f>
        <v/>
      </c>
      <c r="N535" s="3">
        <f>IF($A535="","",IFERROR(INDEX('CAT_ESTADOS_ERP'!$B$4:$B$7,MATCH(IFERROR(INDEX('2_IMPORTAR_EJECUCION'!$C$9:$C$1208,MATCH($AQ535,'2_IMPORTAR_EJECUCION'!$J$9:$J$1208,0)),""),'CAT_ESTADOS_ERP'!$A$4:$A$7,0)),"Pendiente"))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J535="","",IFERROR(INDEX('CALENDARIO'!$C$15:$C$214,MATCH(TEXT($J535,"yyyy-mm-dd")&amp;"|"&amp;$V535&amp;"|"&amp;$W535,'CALENDARIO'!$G$15:$G$214,0)),IFERROR(INDEX('CALENDARIO'!$C$15:$C$214,MATCH(TEXT($J535,"yyyy-mm-dd")&amp;"|"&amp;$V535&amp;"|",'CALENDARIO'!$G$15:$G$214,0)),IFERROR(INDEX('CALENDARIO'!$C$15:$C$214,MATCH(TEXT($J535,"yyyy-mm-dd")&amp;"||",'CALENDARIO'!$G$15:$G$214,0)),INDEX(patronHabil,WEEKDAY($J535,2))))))</f>
        <v/>
      </c>
      <c r="T535" s="3">
        <f>IF($I535="","",IFERROR(INDEX('CAT_TIPOS_OT'!$C$4:$C$7,MATCH($I535,'CAT_TIPOS_OT'!$A$4:$A$7,0)),"sin_clasificar"))</f>
        <v/>
      </c>
      <c r="U535" s="3">
        <f>IF($F535="","",IFERROR(INDEX('CAT_CENTROS_COSTO'!$F$4:$F$13,MATCH($F535,'CAT_CENTROS_COSTO'!$A$4:$A$13,0)),"(sin catálogo)"))</f>
        <v/>
      </c>
      <c r="V535" s="3">
        <f>IF($F535="","",IFERROR(INDEX('CAT_CENTROS_COSTO'!$D$4:$D$13,MATCH($F535,'CAT_CENTROS_COSTO'!$A$4:$A$13,0)),"(sin catálogo)"))</f>
        <v/>
      </c>
      <c r="W535" s="3">
        <f>IF($F535="","",IF((IFERROR(INDEX('CAT_CENTROS_COSTO'!$E$4:$E$13,MATCH($F535,'CAT_CENTROS_COSTO'!$A$4:$A$13,0)),""))&lt;&gt;"",IFERROR(INDEX('CAT_CENTROS_COSTO'!$E$4:$E$13,MATCH($F535,'CAT_CENTROS_COSTO'!$A$4:$A$13,0)),""),$V535))</f>
        <v/>
      </c>
      <c r="X535" s="3">
        <f>IF($F535="","",IFERROR(INDEX('CAT_CENTROS_COSTO'!$G$4:$G$13,MATCH($F535,'CAT_CENTROS_COSTO'!$A$4:$A$13,0)),"(sin catálogo)"))</f>
        <v/>
      </c>
      <c r="Y535" s="3">
        <f>IF($G535="","",IFERROR(INDEX('CAT_PUESTOS'!$B$4:$B$8,MATCH($G535,'CAT_PUESTOS'!$A$4:$A$8,0)),"(sin catálogo)"))</f>
        <v/>
      </c>
      <c r="Z535" s="3">
        <f>IF($H535="","",IFERROR(INDEX('CAT_ACTIVIDADES'!$B$4:$B$8,MATCH($H535,'CAT_ACTIVIDADES'!$A$4:$A$8,0)),"(sin catálogo)"))</f>
        <v/>
      </c>
      <c r="AA535" s="12">
        <f>IF($J535="","",TODAY()-$J535)</f>
        <v/>
      </c>
      <c r="AB535" s="12">
        <f>IF($J535="","",IF($J535&lt;=TODAY(),COUNTIFS(cal_fechas,"&gt;="&amp;$J535,cal_fechas,"&lt;"&amp;TODAY(),cal_habil,"sí"),-COUNTIFS(cal_fechas,"&gt;="&amp;TODAY(),cal_fechas,"&lt;"&amp;$J535,cal_habil,"sí")))</f>
        <v/>
      </c>
      <c r="AC535" s="3">
        <f>IF($AB535="","",IF($AB535&lt;0,"FUTURO",IF($AB535&gt;p_dias_backlog_max,"BACKLOG","MES CORRIENTE")))</f>
        <v/>
      </c>
      <c r="AD535" s="3">
        <f>IF($AB535="",FALSE,AND($AB535&gt;p_dias_backlog_min,$AB535&lt;=p_dias_backlog_max))</f>
        <v/>
      </c>
      <c r="AE535" s="6" t="n"/>
      <c r="AF535" s="3">
        <f>IF($AE535="","",IF((IFERROR(INDEX('ASIGNACIONES'!$F$4:$F$339,MATCH($O535&amp;"|"&amp;$R535&amp;"|"&amp;$AE535,'ASIGNACIONES'!$J$4:$J$339,0)),""))=0,"",IFERROR(INDEX('ASIGNACIONES'!$F$4:$F$339,MATCH($O535&amp;"|"&amp;$R535&amp;"|"&amp;$AE535,'ASIGNACIONES'!$J$4:$J$339,0)),"")))</f>
        <v/>
      </c>
      <c r="AG535" s="13">
        <f>IF($AE535="","",SUMIFS('ORDENES'!$M$4:$M$1203,'ORDENES'!$AE$4:$AE$1203,$AE535,'ORDENES'!$O$4:$O$1203,$O535,'ORDENES'!$R$4:$R$1203,$R535))</f>
        <v/>
      </c>
      <c r="AH535" s="13">
        <f>IF($AG535="","",p_factor_productividad*IFERROR(INDEX('ASIGNACIONES'!$I$4:$I$339,MATCH($O535&amp;"|"&amp;$R535&amp;"|"&amp;$AE535,'ASIGNACIONES'!$J$4:$J$339,0)),0)-$AG535)</f>
        <v/>
      </c>
      <c r="AI535" s="10">
        <f>IF($A535="","",IFERROR(INDEX('2_IMPORTAR_EJECUCION'!$F$9:$F$1208,MATCH($AQ535,'2_IMPORTAR_EJECUCION'!$J$9:$J$1208,0)),0))</f>
        <v/>
      </c>
      <c r="AJ535" s="10">
        <f>IF($A535="","",MAX(0,IFERROR(INDEX('2_IMPORTAR_EJECUCION'!$H$9:$H$1208,MATCH($AQ535,'2_IMPORTAR_EJECUCION'!$J$9:$J$1208,0)),0)-$AI535))</f>
        <v/>
      </c>
      <c r="AK535" s="10">
        <f>IF($A535="","",$AI535+$AJ535)</f>
        <v/>
      </c>
      <c r="AL535" s="6" t="n"/>
      <c r="AM535" s="6" t="n"/>
      <c r="AN535" s="6" t="n"/>
      <c r="AO535" s="3">
        <f>IF($AN535="","",HYPERLINK(p_ruta_base_checklists&amp;$AN535,"abrir"))</f>
        <v/>
      </c>
      <c r="AP535" s="6" t="n"/>
      <c r="AQ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IF($A536="","",IFERROR(INDEX('AJUSTES'!$B$4:$B$303,MATCH($AQ536,'AJUSTES'!$A$4:$A$303,0)),IF($K536="","",$K536)))</f>
        <v/>
      </c>
      <c r="N536" s="3">
        <f>IF($A536="","",IFERROR(INDEX('CAT_ESTADOS_ERP'!$B$4:$B$7,MATCH(IFERROR(INDEX('2_IMPORTAR_EJECUCION'!$C$9:$C$1208,MATCH($AQ536,'2_IMPORTAR_EJECUCION'!$J$9:$J$1208,0)),""),'CAT_ESTADOS_ERP'!$A$4:$A$7,0)),"Pendiente"))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J536="","",IFERROR(INDEX('CALENDARIO'!$C$15:$C$214,MATCH(TEXT($J536,"yyyy-mm-dd")&amp;"|"&amp;$V536&amp;"|"&amp;$W536,'CALENDARIO'!$G$15:$G$214,0)),IFERROR(INDEX('CALENDARIO'!$C$15:$C$214,MATCH(TEXT($J536,"yyyy-mm-dd")&amp;"|"&amp;$V536&amp;"|",'CALENDARIO'!$G$15:$G$214,0)),IFERROR(INDEX('CALENDARIO'!$C$15:$C$214,MATCH(TEXT($J536,"yyyy-mm-dd")&amp;"||",'CALENDARIO'!$G$15:$G$214,0)),INDEX(patronHabil,WEEKDAY($J536,2))))))</f>
        <v/>
      </c>
      <c r="T536" s="3">
        <f>IF($I536="","",IFERROR(INDEX('CAT_TIPOS_OT'!$C$4:$C$7,MATCH($I536,'CAT_TIPOS_OT'!$A$4:$A$7,0)),"sin_clasificar"))</f>
        <v/>
      </c>
      <c r="U536" s="3">
        <f>IF($F536="","",IFERROR(INDEX('CAT_CENTROS_COSTO'!$F$4:$F$13,MATCH($F536,'CAT_CENTROS_COSTO'!$A$4:$A$13,0)),"(sin catálogo)"))</f>
        <v/>
      </c>
      <c r="V536" s="3">
        <f>IF($F536="","",IFERROR(INDEX('CAT_CENTROS_COSTO'!$D$4:$D$13,MATCH($F536,'CAT_CENTROS_COSTO'!$A$4:$A$13,0)),"(sin catálogo)"))</f>
        <v/>
      </c>
      <c r="W536" s="3">
        <f>IF($F536="","",IF((IFERROR(INDEX('CAT_CENTROS_COSTO'!$E$4:$E$13,MATCH($F536,'CAT_CENTROS_COSTO'!$A$4:$A$13,0)),""))&lt;&gt;"",IFERROR(INDEX('CAT_CENTROS_COSTO'!$E$4:$E$13,MATCH($F536,'CAT_CENTROS_COSTO'!$A$4:$A$13,0)),""),$V536))</f>
        <v/>
      </c>
      <c r="X536" s="3">
        <f>IF($F536="","",IFERROR(INDEX('CAT_CENTROS_COSTO'!$G$4:$G$13,MATCH($F536,'CAT_CENTROS_COSTO'!$A$4:$A$13,0)),"(sin catálogo)"))</f>
        <v/>
      </c>
      <c r="Y536" s="3">
        <f>IF($G536="","",IFERROR(INDEX('CAT_PUESTOS'!$B$4:$B$8,MATCH($G536,'CAT_PUESTOS'!$A$4:$A$8,0)),"(sin catálogo)"))</f>
        <v/>
      </c>
      <c r="Z536" s="3">
        <f>IF($H536="","",IFERROR(INDEX('CAT_ACTIVIDADES'!$B$4:$B$8,MATCH($H536,'CAT_ACTIVIDADES'!$A$4:$A$8,0)),"(sin catálogo)"))</f>
        <v/>
      </c>
      <c r="AA536" s="12">
        <f>IF($J536="","",TODAY()-$J536)</f>
        <v/>
      </c>
      <c r="AB536" s="12">
        <f>IF($J536="","",IF($J536&lt;=TODAY(),COUNTIFS(cal_fechas,"&gt;="&amp;$J536,cal_fechas,"&lt;"&amp;TODAY(),cal_habil,"sí"),-COUNTIFS(cal_fechas,"&gt;="&amp;TODAY(),cal_fechas,"&lt;"&amp;$J536,cal_habil,"sí")))</f>
        <v/>
      </c>
      <c r="AC536" s="3">
        <f>IF($AB536="","",IF($AB536&lt;0,"FUTURO",IF($AB536&gt;p_dias_backlog_max,"BACKLOG","MES CORRIENTE")))</f>
        <v/>
      </c>
      <c r="AD536" s="3">
        <f>IF($AB536="",FALSE,AND($AB536&gt;p_dias_backlog_min,$AB536&lt;=p_dias_backlog_max))</f>
        <v/>
      </c>
      <c r="AE536" s="6" t="n"/>
      <c r="AF536" s="3">
        <f>IF($AE536="","",IF((IFERROR(INDEX('ASIGNACIONES'!$F$4:$F$339,MATCH($O536&amp;"|"&amp;$R536&amp;"|"&amp;$AE536,'ASIGNACIONES'!$J$4:$J$339,0)),""))=0,"",IFERROR(INDEX('ASIGNACIONES'!$F$4:$F$339,MATCH($O536&amp;"|"&amp;$R536&amp;"|"&amp;$AE536,'ASIGNACIONES'!$J$4:$J$339,0)),"")))</f>
        <v/>
      </c>
      <c r="AG536" s="13">
        <f>IF($AE536="","",SUMIFS('ORDENES'!$M$4:$M$1203,'ORDENES'!$AE$4:$AE$1203,$AE536,'ORDENES'!$O$4:$O$1203,$O536,'ORDENES'!$R$4:$R$1203,$R536))</f>
        <v/>
      </c>
      <c r="AH536" s="13">
        <f>IF($AG536="","",p_factor_productividad*IFERROR(INDEX('ASIGNACIONES'!$I$4:$I$339,MATCH($O536&amp;"|"&amp;$R536&amp;"|"&amp;$AE536,'ASIGNACIONES'!$J$4:$J$339,0)),0)-$AG536)</f>
        <v/>
      </c>
      <c r="AI536" s="10">
        <f>IF($A536="","",IFERROR(INDEX('2_IMPORTAR_EJECUCION'!$F$9:$F$1208,MATCH($AQ536,'2_IMPORTAR_EJECUCION'!$J$9:$J$1208,0)),0))</f>
        <v/>
      </c>
      <c r="AJ536" s="10">
        <f>IF($A536="","",MAX(0,IFERROR(INDEX('2_IMPORTAR_EJECUCION'!$H$9:$H$1208,MATCH($AQ536,'2_IMPORTAR_EJECUCION'!$J$9:$J$1208,0)),0)-$AI536))</f>
        <v/>
      </c>
      <c r="AK536" s="10">
        <f>IF($A536="","",$AI536+$AJ536)</f>
        <v/>
      </c>
      <c r="AL536" s="6" t="n"/>
      <c r="AM536" s="6" t="n"/>
      <c r="AN536" s="6" t="n"/>
      <c r="AO536" s="3">
        <f>IF($AN536="","",HYPERLINK(p_ruta_base_checklists&amp;$AN536,"abrir"))</f>
        <v/>
      </c>
      <c r="AP536" s="6" t="n"/>
      <c r="AQ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IF($A537="","",IFERROR(INDEX('AJUSTES'!$B$4:$B$303,MATCH($AQ537,'AJUSTES'!$A$4:$A$303,0)),IF($K537="","",$K537)))</f>
        <v/>
      </c>
      <c r="N537" s="3">
        <f>IF($A537="","",IFERROR(INDEX('CAT_ESTADOS_ERP'!$B$4:$B$7,MATCH(IFERROR(INDEX('2_IMPORTAR_EJECUCION'!$C$9:$C$1208,MATCH($AQ537,'2_IMPORTAR_EJECUCION'!$J$9:$J$1208,0)),""),'CAT_ESTADOS_ERP'!$A$4:$A$7,0)),"Pendiente"))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J537="","",IFERROR(INDEX('CALENDARIO'!$C$15:$C$214,MATCH(TEXT($J537,"yyyy-mm-dd")&amp;"|"&amp;$V537&amp;"|"&amp;$W537,'CALENDARIO'!$G$15:$G$214,0)),IFERROR(INDEX('CALENDARIO'!$C$15:$C$214,MATCH(TEXT($J537,"yyyy-mm-dd")&amp;"|"&amp;$V537&amp;"|",'CALENDARIO'!$G$15:$G$214,0)),IFERROR(INDEX('CALENDARIO'!$C$15:$C$214,MATCH(TEXT($J537,"yyyy-mm-dd")&amp;"||",'CALENDARIO'!$G$15:$G$214,0)),INDEX(patronHabil,WEEKDAY($J537,2))))))</f>
        <v/>
      </c>
      <c r="T537" s="3">
        <f>IF($I537="","",IFERROR(INDEX('CAT_TIPOS_OT'!$C$4:$C$7,MATCH($I537,'CAT_TIPOS_OT'!$A$4:$A$7,0)),"sin_clasificar"))</f>
        <v/>
      </c>
      <c r="U537" s="3">
        <f>IF($F537="","",IFERROR(INDEX('CAT_CENTROS_COSTO'!$F$4:$F$13,MATCH($F537,'CAT_CENTROS_COSTO'!$A$4:$A$13,0)),"(sin catálogo)"))</f>
        <v/>
      </c>
      <c r="V537" s="3">
        <f>IF($F537="","",IFERROR(INDEX('CAT_CENTROS_COSTO'!$D$4:$D$13,MATCH($F537,'CAT_CENTROS_COSTO'!$A$4:$A$13,0)),"(sin catálogo)"))</f>
        <v/>
      </c>
      <c r="W537" s="3">
        <f>IF($F537="","",IF((IFERROR(INDEX('CAT_CENTROS_COSTO'!$E$4:$E$13,MATCH($F537,'CAT_CENTROS_COSTO'!$A$4:$A$13,0)),""))&lt;&gt;"",IFERROR(INDEX('CAT_CENTROS_COSTO'!$E$4:$E$13,MATCH($F537,'CAT_CENTROS_COSTO'!$A$4:$A$13,0)),""),$V537))</f>
        <v/>
      </c>
      <c r="X537" s="3">
        <f>IF($F537="","",IFERROR(INDEX('CAT_CENTROS_COSTO'!$G$4:$G$13,MATCH($F537,'CAT_CENTROS_COSTO'!$A$4:$A$13,0)),"(sin catálogo)"))</f>
        <v/>
      </c>
      <c r="Y537" s="3">
        <f>IF($G537="","",IFERROR(INDEX('CAT_PUESTOS'!$B$4:$B$8,MATCH($G537,'CAT_PUESTOS'!$A$4:$A$8,0)),"(sin catálogo)"))</f>
        <v/>
      </c>
      <c r="Z537" s="3">
        <f>IF($H537="","",IFERROR(INDEX('CAT_ACTIVIDADES'!$B$4:$B$8,MATCH($H537,'CAT_ACTIVIDADES'!$A$4:$A$8,0)),"(sin catálogo)"))</f>
        <v/>
      </c>
      <c r="AA537" s="12">
        <f>IF($J537="","",TODAY()-$J537)</f>
        <v/>
      </c>
      <c r="AB537" s="12">
        <f>IF($J537="","",IF($J537&lt;=TODAY(),COUNTIFS(cal_fechas,"&gt;="&amp;$J537,cal_fechas,"&lt;"&amp;TODAY(),cal_habil,"sí"),-COUNTIFS(cal_fechas,"&gt;="&amp;TODAY(),cal_fechas,"&lt;"&amp;$J537,cal_habil,"sí")))</f>
        <v/>
      </c>
      <c r="AC537" s="3">
        <f>IF($AB537="","",IF($AB537&lt;0,"FUTURO",IF($AB537&gt;p_dias_backlog_max,"BACKLOG","MES CORRIENTE")))</f>
        <v/>
      </c>
      <c r="AD537" s="3">
        <f>IF($AB537="",FALSE,AND($AB537&gt;p_dias_backlog_min,$AB537&lt;=p_dias_backlog_max))</f>
        <v/>
      </c>
      <c r="AE537" s="6" t="n"/>
      <c r="AF537" s="3">
        <f>IF($AE537="","",IF((IFERROR(INDEX('ASIGNACIONES'!$F$4:$F$339,MATCH($O537&amp;"|"&amp;$R537&amp;"|"&amp;$AE537,'ASIGNACIONES'!$J$4:$J$339,0)),""))=0,"",IFERROR(INDEX('ASIGNACIONES'!$F$4:$F$339,MATCH($O537&amp;"|"&amp;$R537&amp;"|"&amp;$AE537,'ASIGNACIONES'!$J$4:$J$339,0)),"")))</f>
        <v/>
      </c>
      <c r="AG537" s="13">
        <f>IF($AE537="","",SUMIFS('ORDENES'!$M$4:$M$1203,'ORDENES'!$AE$4:$AE$1203,$AE537,'ORDENES'!$O$4:$O$1203,$O537,'ORDENES'!$R$4:$R$1203,$R537))</f>
        <v/>
      </c>
      <c r="AH537" s="13">
        <f>IF($AG537="","",p_factor_productividad*IFERROR(INDEX('ASIGNACIONES'!$I$4:$I$339,MATCH($O537&amp;"|"&amp;$R537&amp;"|"&amp;$AE537,'ASIGNACIONES'!$J$4:$J$339,0)),0)-$AG537)</f>
        <v/>
      </c>
      <c r="AI537" s="10">
        <f>IF($A537="","",IFERROR(INDEX('2_IMPORTAR_EJECUCION'!$F$9:$F$1208,MATCH($AQ537,'2_IMPORTAR_EJECUCION'!$J$9:$J$1208,0)),0))</f>
        <v/>
      </c>
      <c r="AJ537" s="10">
        <f>IF($A537="","",MAX(0,IFERROR(INDEX('2_IMPORTAR_EJECUCION'!$H$9:$H$1208,MATCH($AQ537,'2_IMPORTAR_EJECUCION'!$J$9:$J$1208,0)),0)-$AI537))</f>
        <v/>
      </c>
      <c r="AK537" s="10">
        <f>IF($A537="","",$AI537+$AJ537)</f>
        <v/>
      </c>
      <c r="AL537" s="6" t="n"/>
      <c r="AM537" s="6" t="n"/>
      <c r="AN537" s="6" t="n"/>
      <c r="AO537" s="3">
        <f>IF($AN537="","",HYPERLINK(p_ruta_base_checklists&amp;$AN537,"abrir"))</f>
        <v/>
      </c>
      <c r="AP537" s="6" t="n"/>
      <c r="AQ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IF($A538="","",IFERROR(INDEX('AJUSTES'!$B$4:$B$303,MATCH($AQ538,'AJUSTES'!$A$4:$A$303,0)),IF($K538="","",$K538)))</f>
        <v/>
      </c>
      <c r="N538" s="3">
        <f>IF($A538="","",IFERROR(INDEX('CAT_ESTADOS_ERP'!$B$4:$B$7,MATCH(IFERROR(INDEX('2_IMPORTAR_EJECUCION'!$C$9:$C$1208,MATCH($AQ538,'2_IMPORTAR_EJECUCION'!$J$9:$J$1208,0)),""),'CAT_ESTADOS_ERP'!$A$4:$A$7,0)),"Pendiente"))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J538="","",IFERROR(INDEX('CALENDARIO'!$C$15:$C$214,MATCH(TEXT($J538,"yyyy-mm-dd")&amp;"|"&amp;$V538&amp;"|"&amp;$W538,'CALENDARIO'!$G$15:$G$214,0)),IFERROR(INDEX('CALENDARIO'!$C$15:$C$214,MATCH(TEXT($J538,"yyyy-mm-dd")&amp;"|"&amp;$V538&amp;"|",'CALENDARIO'!$G$15:$G$214,0)),IFERROR(INDEX('CALENDARIO'!$C$15:$C$214,MATCH(TEXT($J538,"yyyy-mm-dd")&amp;"||",'CALENDARIO'!$G$15:$G$214,0)),INDEX(patronHabil,WEEKDAY($J538,2))))))</f>
        <v/>
      </c>
      <c r="T538" s="3">
        <f>IF($I538="","",IFERROR(INDEX('CAT_TIPOS_OT'!$C$4:$C$7,MATCH($I538,'CAT_TIPOS_OT'!$A$4:$A$7,0)),"sin_clasificar"))</f>
        <v/>
      </c>
      <c r="U538" s="3">
        <f>IF($F538="","",IFERROR(INDEX('CAT_CENTROS_COSTO'!$F$4:$F$13,MATCH($F538,'CAT_CENTROS_COSTO'!$A$4:$A$13,0)),"(sin catálogo)"))</f>
        <v/>
      </c>
      <c r="V538" s="3">
        <f>IF($F538="","",IFERROR(INDEX('CAT_CENTROS_COSTO'!$D$4:$D$13,MATCH($F538,'CAT_CENTROS_COSTO'!$A$4:$A$13,0)),"(sin catálogo)"))</f>
        <v/>
      </c>
      <c r="W538" s="3">
        <f>IF($F538="","",IF((IFERROR(INDEX('CAT_CENTROS_COSTO'!$E$4:$E$13,MATCH($F538,'CAT_CENTROS_COSTO'!$A$4:$A$13,0)),""))&lt;&gt;"",IFERROR(INDEX('CAT_CENTROS_COSTO'!$E$4:$E$13,MATCH($F538,'CAT_CENTROS_COSTO'!$A$4:$A$13,0)),""),$V538))</f>
        <v/>
      </c>
      <c r="X538" s="3">
        <f>IF($F538="","",IFERROR(INDEX('CAT_CENTROS_COSTO'!$G$4:$G$13,MATCH($F538,'CAT_CENTROS_COSTO'!$A$4:$A$13,0)),"(sin catálogo)"))</f>
        <v/>
      </c>
      <c r="Y538" s="3">
        <f>IF($G538="","",IFERROR(INDEX('CAT_PUESTOS'!$B$4:$B$8,MATCH($G538,'CAT_PUESTOS'!$A$4:$A$8,0)),"(sin catálogo)"))</f>
        <v/>
      </c>
      <c r="Z538" s="3">
        <f>IF($H538="","",IFERROR(INDEX('CAT_ACTIVIDADES'!$B$4:$B$8,MATCH($H538,'CAT_ACTIVIDADES'!$A$4:$A$8,0)),"(sin catálogo)"))</f>
        <v/>
      </c>
      <c r="AA538" s="12">
        <f>IF($J538="","",TODAY()-$J538)</f>
        <v/>
      </c>
      <c r="AB538" s="12">
        <f>IF($J538="","",IF($J538&lt;=TODAY(),COUNTIFS(cal_fechas,"&gt;="&amp;$J538,cal_fechas,"&lt;"&amp;TODAY(),cal_habil,"sí"),-COUNTIFS(cal_fechas,"&gt;="&amp;TODAY(),cal_fechas,"&lt;"&amp;$J538,cal_habil,"sí")))</f>
        <v/>
      </c>
      <c r="AC538" s="3">
        <f>IF($AB538="","",IF($AB538&lt;0,"FUTURO",IF($AB538&gt;p_dias_backlog_max,"BACKLOG","MES CORRIENTE")))</f>
        <v/>
      </c>
      <c r="AD538" s="3">
        <f>IF($AB538="",FALSE,AND($AB538&gt;p_dias_backlog_min,$AB538&lt;=p_dias_backlog_max))</f>
        <v/>
      </c>
      <c r="AE538" s="6" t="n"/>
      <c r="AF538" s="3">
        <f>IF($AE538="","",IF((IFERROR(INDEX('ASIGNACIONES'!$F$4:$F$339,MATCH($O538&amp;"|"&amp;$R538&amp;"|"&amp;$AE538,'ASIGNACIONES'!$J$4:$J$339,0)),""))=0,"",IFERROR(INDEX('ASIGNACIONES'!$F$4:$F$339,MATCH($O538&amp;"|"&amp;$R538&amp;"|"&amp;$AE538,'ASIGNACIONES'!$J$4:$J$339,0)),"")))</f>
        <v/>
      </c>
      <c r="AG538" s="13">
        <f>IF($AE538="","",SUMIFS('ORDENES'!$M$4:$M$1203,'ORDENES'!$AE$4:$AE$1203,$AE538,'ORDENES'!$O$4:$O$1203,$O538,'ORDENES'!$R$4:$R$1203,$R538))</f>
        <v/>
      </c>
      <c r="AH538" s="13">
        <f>IF($AG538="","",p_factor_productividad*IFERROR(INDEX('ASIGNACIONES'!$I$4:$I$339,MATCH($O538&amp;"|"&amp;$R538&amp;"|"&amp;$AE538,'ASIGNACIONES'!$J$4:$J$339,0)),0)-$AG538)</f>
        <v/>
      </c>
      <c r="AI538" s="10">
        <f>IF($A538="","",IFERROR(INDEX('2_IMPORTAR_EJECUCION'!$F$9:$F$1208,MATCH($AQ538,'2_IMPORTAR_EJECUCION'!$J$9:$J$1208,0)),0))</f>
        <v/>
      </c>
      <c r="AJ538" s="10">
        <f>IF($A538="","",MAX(0,IFERROR(INDEX('2_IMPORTAR_EJECUCION'!$H$9:$H$1208,MATCH($AQ538,'2_IMPORTAR_EJECUCION'!$J$9:$J$1208,0)),0)-$AI538))</f>
        <v/>
      </c>
      <c r="AK538" s="10">
        <f>IF($A538="","",$AI538+$AJ538)</f>
        <v/>
      </c>
      <c r="AL538" s="6" t="n"/>
      <c r="AM538" s="6" t="n"/>
      <c r="AN538" s="6" t="n"/>
      <c r="AO538" s="3">
        <f>IF($AN538="","",HYPERLINK(p_ruta_base_checklists&amp;$AN538,"abrir"))</f>
        <v/>
      </c>
      <c r="AP538" s="6" t="n"/>
      <c r="AQ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IF($A539="","",IFERROR(INDEX('AJUSTES'!$B$4:$B$303,MATCH($AQ539,'AJUSTES'!$A$4:$A$303,0)),IF($K539="","",$K539)))</f>
        <v/>
      </c>
      <c r="N539" s="3">
        <f>IF($A539="","",IFERROR(INDEX('CAT_ESTADOS_ERP'!$B$4:$B$7,MATCH(IFERROR(INDEX('2_IMPORTAR_EJECUCION'!$C$9:$C$1208,MATCH($AQ539,'2_IMPORTAR_EJECUCION'!$J$9:$J$1208,0)),""),'CAT_ESTADOS_ERP'!$A$4:$A$7,0)),"Pendiente"))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J539="","",IFERROR(INDEX('CALENDARIO'!$C$15:$C$214,MATCH(TEXT($J539,"yyyy-mm-dd")&amp;"|"&amp;$V539&amp;"|"&amp;$W539,'CALENDARIO'!$G$15:$G$214,0)),IFERROR(INDEX('CALENDARIO'!$C$15:$C$214,MATCH(TEXT($J539,"yyyy-mm-dd")&amp;"|"&amp;$V539&amp;"|",'CALENDARIO'!$G$15:$G$214,0)),IFERROR(INDEX('CALENDARIO'!$C$15:$C$214,MATCH(TEXT($J539,"yyyy-mm-dd")&amp;"||",'CALENDARIO'!$G$15:$G$214,0)),INDEX(patronHabil,WEEKDAY($J539,2))))))</f>
        <v/>
      </c>
      <c r="T539" s="3">
        <f>IF($I539="","",IFERROR(INDEX('CAT_TIPOS_OT'!$C$4:$C$7,MATCH($I539,'CAT_TIPOS_OT'!$A$4:$A$7,0)),"sin_clasificar"))</f>
        <v/>
      </c>
      <c r="U539" s="3">
        <f>IF($F539="","",IFERROR(INDEX('CAT_CENTROS_COSTO'!$F$4:$F$13,MATCH($F539,'CAT_CENTROS_COSTO'!$A$4:$A$13,0)),"(sin catálogo)"))</f>
        <v/>
      </c>
      <c r="V539" s="3">
        <f>IF($F539="","",IFERROR(INDEX('CAT_CENTROS_COSTO'!$D$4:$D$13,MATCH($F539,'CAT_CENTROS_COSTO'!$A$4:$A$13,0)),"(sin catálogo)"))</f>
        <v/>
      </c>
      <c r="W539" s="3">
        <f>IF($F539="","",IF((IFERROR(INDEX('CAT_CENTROS_COSTO'!$E$4:$E$13,MATCH($F539,'CAT_CENTROS_COSTO'!$A$4:$A$13,0)),""))&lt;&gt;"",IFERROR(INDEX('CAT_CENTROS_COSTO'!$E$4:$E$13,MATCH($F539,'CAT_CENTROS_COSTO'!$A$4:$A$13,0)),""),$V539))</f>
        <v/>
      </c>
      <c r="X539" s="3">
        <f>IF($F539="","",IFERROR(INDEX('CAT_CENTROS_COSTO'!$G$4:$G$13,MATCH($F539,'CAT_CENTROS_COSTO'!$A$4:$A$13,0)),"(sin catálogo)"))</f>
        <v/>
      </c>
      <c r="Y539" s="3">
        <f>IF($G539="","",IFERROR(INDEX('CAT_PUESTOS'!$B$4:$B$8,MATCH($G539,'CAT_PUESTOS'!$A$4:$A$8,0)),"(sin catálogo)"))</f>
        <v/>
      </c>
      <c r="Z539" s="3">
        <f>IF($H539="","",IFERROR(INDEX('CAT_ACTIVIDADES'!$B$4:$B$8,MATCH($H539,'CAT_ACTIVIDADES'!$A$4:$A$8,0)),"(sin catálogo)"))</f>
        <v/>
      </c>
      <c r="AA539" s="12">
        <f>IF($J539="","",TODAY()-$J539)</f>
        <v/>
      </c>
      <c r="AB539" s="12">
        <f>IF($J539="","",IF($J539&lt;=TODAY(),COUNTIFS(cal_fechas,"&gt;="&amp;$J539,cal_fechas,"&lt;"&amp;TODAY(),cal_habil,"sí"),-COUNTIFS(cal_fechas,"&gt;="&amp;TODAY(),cal_fechas,"&lt;"&amp;$J539,cal_habil,"sí")))</f>
        <v/>
      </c>
      <c r="AC539" s="3">
        <f>IF($AB539="","",IF($AB539&lt;0,"FUTURO",IF($AB539&gt;p_dias_backlog_max,"BACKLOG","MES CORRIENTE")))</f>
        <v/>
      </c>
      <c r="AD539" s="3">
        <f>IF($AB539="",FALSE,AND($AB539&gt;p_dias_backlog_min,$AB539&lt;=p_dias_backlog_max))</f>
        <v/>
      </c>
      <c r="AE539" s="6" t="n"/>
      <c r="AF539" s="3">
        <f>IF($AE539="","",IF((IFERROR(INDEX('ASIGNACIONES'!$F$4:$F$339,MATCH($O539&amp;"|"&amp;$R539&amp;"|"&amp;$AE539,'ASIGNACIONES'!$J$4:$J$339,0)),""))=0,"",IFERROR(INDEX('ASIGNACIONES'!$F$4:$F$339,MATCH($O539&amp;"|"&amp;$R539&amp;"|"&amp;$AE539,'ASIGNACIONES'!$J$4:$J$339,0)),"")))</f>
        <v/>
      </c>
      <c r="AG539" s="13">
        <f>IF($AE539="","",SUMIFS('ORDENES'!$M$4:$M$1203,'ORDENES'!$AE$4:$AE$1203,$AE539,'ORDENES'!$O$4:$O$1203,$O539,'ORDENES'!$R$4:$R$1203,$R539))</f>
        <v/>
      </c>
      <c r="AH539" s="13">
        <f>IF($AG539="","",p_factor_productividad*IFERROR(INDEX('ASIGNACIONES'!$I$4:$I$339,MATCH($O539&amp;"|"&amp;$R539&amp;"|"&amp;$AE539,'ASIGNACIONES'!$J$4:$J$339,0)),0)-$AG539)</f>
        <v/>
      </c>
      <c r="AI539" s="10">
        <f>IF($A539="","",IFERROR(INDEX('2_IMPORTAR_EJECUCION'!$F$9:$F$1208,MATCH($AQ539,'2_IMPORTAR_EJECUCION'!$J$9:$J$1208,0)),0))</f>
        <v/>
      </c>
      <c r="AJ539" s="10">
        <f>IF($A539="","",MAX(0,IFERROR(INDEX('2_IMPORTAR_EJECUCION'!$H$9:$H$1208,MATCH($AQ539,'2_IMPORTAR_EJECUCION'!$J$9:$J$1208,0)),0)-$AI539))</f>
        <v/>
      </c>
      <c r="AK539" s="10">
        <f>IF($A539="","",$AI539+$AJ539)</f>
        <v/>
      </c>
      <c r="AL539" s="6" t="n"/>
      <c r="AM539" s="6" t="n"/>
      <c r="AN539" s="6" t="n"/>
      <c r="AO539" s="3">
        <f>IF($AN539="","",HYPERLINK(p_ruta_base_checklists&amp;$AN539,"abrir"))</f>
        <v/>
      </c>
      <c r="AP539" s="6" t="n"/>
      <c r="AQ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IF($A540="","",IFERROR(INDEX('AJUSTES'!$B$4:$B$303,MATCH($AQ540,'AJUSTES'!$A$4:$A$303,0)),IF($K540="","",$K540)))</f>
        <v/>
      </c>
      <c r="N540" s="3">
        <f>IF($A540="","",IFERROR(INDEX('CAT_ESTADOS_ERP'!$B$4:$B$7,MATCH(IFERROR(INDEX('2_IMPORTAR_EJECUCION'!$C$9:$C$1208,MATCH($AQ540,'2_IMPORTAR_EJECUCION'!$J$9:$J$1208,0)),""),'CAT_ESTADOS_ERP'!$A$4:$A$7,0)),"Pendiente"))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J540="","",IFERROR(INDEX('CALENDARIO'!$C$15:$C$214,MATCH(TEXT($J540,"yyyy-mm-dd")&amp;"|"&amp;$V540&amp;"|"&amp;$W540,'CALENDARIO'!$G$15:$G$214,0)),IFERROR(INDEX('CALENDARIO'!$C$15:$C$214,MATCH(TEXT($J540,"yyyy-mm-dd")&amp;"|"&amp;$V540&amp;"|",'CALENDARIO'!$G$15:$G$214,0)),IFERROR(INDEX('CALENDARIO'!$C$15:$C$214,MATCH(TEXT($J540,"yyyy-mm-dd")&amp;"||",'CALENDARIO'!$G$15:$G$214,0)),INDEX(patronHabil,WEEKDAY($J540,2))))))</f>
        <v/>
      </c>
      <c r="T540" s="3">
        <f>IF($I540="","",IFERROR(INDEX('CAT_TIPOS_OT'!$C$4:$C$7,MATCH($I540,'CAT_TIPOS_OT'!$A$4:$A$7,0)),"sin_clasificar"))</f>
        <v/>
      </c>
      <c r="U540" s="3">
        <f>IF($F540="","",IFERROR(INDEX('CAT_CENTROS_COSTO'!$F$4:$F$13,MATCH($F540,'CAT_CENTROS_COSTO'!$A$4:$A$13,0)),"(sin catálogo)"))</f>
        <v/>
      </c>
      <c r="V540" s="3">
        <f>IF($F540="","",IFERROR(INDEX('CAT_CENTROS_COSTO'!$D$4:$D$13,MATCH($F540,'CAT_CENTROS_COSTO'!$A$4:$A$13,0)),"(sin catálogo)"))</f>
        <v/>
      </c>
      <c r="W540" s="3">
        <f>IF($F540="","",IF((IFERROR(INDEX('CAT_CENTROS_COSTO'!$E$4:$E$13,MATCH($F540,'CAT_CENTROS_COSTO'!$A$4:$A$13,0)),""))&lt;&gt;"",IFERROR(INDEX('CAT_CENTROS_COSTO'!$E$4:$E$13,MATCH($F540,'CAT_CENTROS_COSTO'!$A$4:$A$13,0)),""),$V540))</f>
        <v/>
      </c>
      <c r="X540" s="3">
        <f>IF($F540="","",IFERROR(INDEX('CAT_CENTROS_COSTO'!$G$4:$G$13,MATCH($F540,'CAT_CENTROS_COSTO'!$A$4:$A$13,0)),"(sin catálogo)"))</f>
        <v/>
      </c>
      <c r="Y540" s="3">
        <f>IF($G540="","",IFERROR(INDEX('CAT_PUESTOS'!$B$4:$B$8,MATCH($G540,'CAT_PUESTOS'!$A$4:$A$8,0)),"(sin catálogo)"))</f>
        <v/>
      </c>
      <c r="Z540" s="3">
        <f>IF($H540="","",IFERROR(INDEX('CAT_ACTIVIDADES'!$B$4:$B$8,MATCH($H540,'CAT_ACTIVIDADES'!$A$4:$A$8,0)),"(sin catálogo)"))</f>
        <v/>
      </c>
      <c r="AA540" s="12">
        <f>IF($J540="","",TODAY()-$J540)</f>
        <v/>
      </c>
      <c r="AB540" s="12">
        <f>IF($J540="","",IF($J540&lt;=TODAY(),COUNTIFS(cal_fechas,"&gt;="&amp;$J540,cal_fechas,"&lt;"&amp;TODAY(),cal_habil,"sí"),-COUNTIFS(cal_fechas,"&gt;="&amp;TODAY(),cal_fechas,"&lt;"&amp;$J540,cal_habil,"sí")))</f>
        <v/>
      </c>
      <c r="AC540" s="3">
        <f>IF($AB540="","",IF($AB540&lt;0,"FUTURO",IF($AB540&gt;p_dias_backlog_max,"BACKLOG","MES CORRIENTE")))</f>
        <v/>
      </c>
      <c r="AD540" s="3">
        <f>IF($AB540="",FALSE,AND($AB540&gt;p_dias_backlog_min,$AB540&lt;=p_dias_backlog_max))</f>
        <v/>
      </c>
      <c r="AE540" s="6" t="n"/>
      <c r="AF540" s="3">
        <f>IF($AE540="","",IF((IFERROR(INDEX('ASIGNACIONES'!$F$4:$F$339,MATCH($O540&amp;"|"&amp;$R540&amp;"|"&amp;$AE540,'ASIGNACIONES'!$J$4:$J$339,0)),""))=0,"",IFERROR(INDEX('ASIGNACIONES'!$F$4:$F$339,MATCH($O540&amp;"|"&amp;$R540&amp;"|"&amp;$AE540,'ASIGNACIONES'!$J$4:$J$339,0)),"")))</f>
        <v/>
      </c>
      <c r="AG540" s="13">
        <f>IF($AE540="","",SUMIFS('ORDENES'!$M$4:$M$1203,'ORDENES'!$AE$4:$AE$1203,$AE540,'ORDENES'!$O$4:$O$1203,$O540,'ORDENES'!$R$4:$R$1203,$R540))</f>
        <v/>
      </c>
      <c r="AH540" s="13">
        <f>IF($AG540="","",p_factor_productividad*IFERROR(INDEX('ASIGNACIONES'!$I$4:$I$339,MATCH($O540&amp;"|"&amp;$R540&amp;"|"&amp;$AE540,'ASIGNACIONES'!$J$4:$J$339,0)),0)-$AG540)</f>
        <v/>
      </c>
      <c r="AI540" s="10">
        <f>IF($A540="","",IFERROR(INDEX('2_IMPORTAR_EJECUCION'!$F$9:$F$1208,MATCH($AQ540,'2_IMPORTAR_EJECUCION'!$J$9:$J$1208,0)),0))</f>
        <v/>
      </c>
      <c r="AJ540" s="10">
        <f>IF($A540="","",MAX(0,IFERROR(INDEX('2_IMPORTAR_EJECUCION'!$H$9:$H$1208,MATCH($AQ540,'2_IMPORTAR_EJECUCION'!$J$9:$J$1208,0)),0)-$AI540))</f>
        <v/>
      </c>
      <c r="AK540" s="10">
        <f>IF($A540="","",$AI540+$AJ540)</f>
        <v/>
      </c>
      <c r="AL540" s="6" t="n"/>
      <c r="AM540" s="6" t="n"/>
      <c r="AN540" s="6" t="n"/>
      <c r="AO540" s="3">
        <f>IF($AN540="","",HYPERLINK(p_ruta_base_checklists&amp;$AN540,"abrir"))</f>
        <v/>
      </c>
      <c r="AP540" s="6" t="n"/>
      <c r="AQ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IF($A541="","",IFERROR(INDEX('AJUSTES'!$B$4:$B$303,MATCH($AQ541,'AJUSTES'!$A$4:$A$303,0)),IF($K541="","",$K541)))</f>
        <v/>
      </c>
      <c r="N541" s="3">
        <f>IF($A541="","",IFERROR(INDEX('CAT_ESTADOS_ERP'!$B$4:$B$7,MATCH(IFERROR(INDEX('2_IMPORTAR_EJECUCION'!$C$9:$C$1208,MATCH($AQ541,'2_IMPORTAR_EJECUCION'!$J$9:$J$1208,0)),""),'CAT_ESTADOS_ERP'!$A$4:$A$7,0)),"Pendiente"))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J541="","",IFERROR(INDEX('CALENDARIO'!$C$15:$C$214,MATCH(TEXT($J541,"yyyy-mm-dd")&amp;"|"&amp;$V541&amp;"|"&amp;$W541,'CALENDARIO'!$G$15:$G$214,0)),IFERROR(INDEX('CALENDARIO'!$C$15:$C$214,MATCH(TEXT($J541,"yyyy-mm-dd")&amp;"|"&amp;$V541&amp;"|",'CALENDARIO'!$G$15:$G$214,0)),IFERROR(INDEX('CALENDARIO'!$C$15:$C$214,MATCH(TEXT($J541,"yyyy-mm-dd")&amp;"||",'CALENDARIO'!$G$15:$G$214,0)),INDEX(patronHabil,WEEKDAY($J541,2))))))</f>
        <v/>
      </c>
      <c r="T541" s="3">
        <f>IF($I541="","",IFERROR(INDEX('CAT_TIPOS_OT'!$C$4:$C$7,MATCH($I541,'CAT_TIPOS_OT'!$A$4:$A$7,0)),"sin_clasificar"))</f>
        <v/>
      </c>
      <c r="U541" s="3">
        <f>IF($F541="","",IFERROR(INDEX('CAT_CENTROS_COSTO'!$F$4:$F$13,MATCH($F541,'CAT_CENTROS_COSTO'!$A$4:$A$13,0)),"(sin catálogo)"))</f>
        <v/>
      </c>
      <c r="V541" s="3">
        <f>IF($F541="","",IFERROR(INDEX('CAT_CENTROS_COSTO'!$D$4:$D$13,MATCH($F541,'CAT_CENTROS_COSTO'!$A$4:$A$13,0)),"(sin catálogo)"))</f>
        <v/>
      </c>
      <c r="W541" s="3">
        <f>IF($F541="","",IF((IFERROR(INDEX('CAT_CENTROS_COSTO'!$E$4:$E$13,MATCH($F541,'CAT_CENTROS_COSTO'!$A$4:$A$13,0)),""))&lt;&gt;"",IFERROR(INDEX('CAT_CENTROS_COSTO'!$E$4:$E$13,MATCH($F541,'CAT_CENTROS_COSTO'!$A$4:$A$13,0)),""),$V541))</f>
        <v/>
      </c>
      <c r="X541" s="3">
        <f>IF($F541="","",IFERROR(INDEX('CAT_CENTROS_COSTO'!$G$4:$G$13,MATCH($F541,'CAT_CENTROS_COSTO'!$A$4:$A$13,0)),"(sin catálogo)"))</f>
        <v/>
      </c>
      <c r="Y541" s="3">
        <f>IF($G541="","",IFERROR(INDEX('CAT_PUESTOS'!$B$4:$B$8,MATCH($G541,'CAT_PUESTOS'!$A$4:$A$8,0)),"(sin catálogo)"))</f>
        <v/>
      </c>
      <c r="Z541" s="3">
        <f>IF($H541="","",IFERROR(INDEX('CAT_ACTIVIDADES'!$B$4:$B$8,MATCH($H541,'CAT_ACTIVIDADES'!$A$4:$A$8,0)),"(sin catálogo)"))</f>
        <v/>
      </c>
      <c r="AA541" s="12">
        <f>IF($J541="","",TODAY()-$J541)</f>
        <v/>
      </c>
      <c r="AB541" s="12">
        <f>IF($J541="","",IF($J541&lt;=TODAY(),COUNTIFS(cal_fechas,"&gt;="&amp;$J541,cal_fechas,"&lt;"&amp;TODAY(),cal_habil,"sí"),-COUNTIFS(cal_fechas,"&gt;="&amp;TODAY(),cal_fechas,"&lt;"&amp;$J541,cal_habil,"sí")))</f>
        <v/>
      </c>
      <c r="AC541" s="3">
        <f>IF($AB541="","",IF($AB541&lt;0,"FUTURO",IF($AB541&gt;p_dias_backlog_max,"BACKLOG","MES CORRIENTE")))</f>
        <v/>
      </c>
      <c r="AD541" s="3">
        <f>IF($AB541="",FALSE,AND($AB541&gt;p_dias_backlog_min,$AB541&lt;=p_dias_backlog_max))</f>
        <v/>
      </c>
      <c r="AE541" s="6" t="n"/>
      <c r="AF541" s="3">
        <f>IF($AE541="","",IF((IFERROR(INDEX('ASIGNACIONES'!$F$4:$F$339,MATCH($O541&amp;"|"&amp;$R541&amp;"|"&amp;$AE541,'ASIGNACIONES'!$J$4:$J$339,0)),""))=0,"",IFERROR(INDEX('ASIGNACIONES'!$F$4:$F$339,MATCH($O541&amp;"|"&amp;$R541&amp;"|"&amp;$AE541,'ASIGNACIONES'!$J$4:$J$339,0)),"")))</f>
        <v/>
      </c>
      <c r="AG541" s="13">
        <f>IF($AE541="","",SUMIFS('ORDENES'!$M$4:$M$1203,'ORDENES'!$AE$4:$AE$1203,$AE541,'ORDENES'!$O$4:$O$1203,$O541,'ORDENES'!$R$4:$R$1203,$R541))</f>
        <v/>
      </c>
      <c r="AH541" s="13">
        <f>IF($AG541="","",p_factor_productividad*IFERROR(INDEX('ASIGNACIONES'!$I$4:$I$339,MATCH($O541&amp;"|"&amp;$R541&amp;"|"&amp;$AE541,'ASIGNACIONES'!$J$4:$J$339,0)),0)-$AG541)</f>
        <v/>
      </c>
      <c r="AI541" s="10">
        <f>IF($A541="","",IFERROR(INDEX('2_IMPORTAR_EJECUCION'!$F$9:$F$1208,MATCH($AQ541,'2_IMPORTAR_EJECUCION'!$J$9:$J$1208,0)),0))</f>
        <v/>
      </c>
      <c r="AJ541" s="10">
        <f>IF($A541="","",MAX(0,IFERROR(INDEX('2_IMPORTAR_EJECUCION'!$H$9:$H$1208,MATCH($AQ541,'2_IMPORTAR_EJECUCION'!$J$9:$J$1208,0)),0)-$AI541))</f>
        <v/>
      </c>
      <c r="AK541" s="10">
        <f>IF($A541="","",$AI541+$AJ541)</f>
        <v/>
      </c>
      <c r="AL541" s="6" t="n"/>
      <c r="AM541" s="6" t="n"/>
      <c r="AN541" s="6" t="n"/>
      <c r="AO541" s="3">
        <f>IF($AN541="","",HYPERLINK(p_ruta_base_checklists&amp;$AN541,"abrir"))</f>
        <v/>
      </c>
      <c r="AP541" s="6" t="n"/>
      <c r="AQ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IF($A542="","",IFERROR(INDEX('AJUSTES'!$B$4:$B$303,MATCH($AQ542,'AJUSTES'!$A$4:$A$303,0)),IF($K542="","",$K542)))</f>
        <v/>
      </c>
      <c r="N542" s="3">
        <f>IF($A542="","",IFERROR(INDEX('CAT_ESTADOS_ERP'!$B$4:$B$7,MATCH(IFERROR(INDEX('2_IMPORTAR_EJECUCION'!$C$9:$C$1208,MATCH($AQ542,'2_IMPORTAR_EJECUCION'!$J$9:$J$1208,0)),""),'CAT_ESTADOS_ERP'!$A$4:$A$7,0)),"Pendiente"))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J542="","",IFERROR(INDEX('CALENDARIO'!$C$15:$C$214,MATCH(TEXT($J542,"yyyy-mm-dd")&amp;"|"&amp;$V542&amp;"|"&amp;$W542,'CALENDARIO'!$G$15:$G$214,0)),IFERROR(INDEX('CALENDARIO'!$C$15:$C$214,MATCH(TEXT($J542,"yyyy-mm-dd")&amp;"|"&amp;$V542&amp;"|",'CALENDARIO'!$G$15:$G$214,0)),IFERROR(INDEX('CALENDARIO'!$C$15:$C$214,MATCH(TEXT($J542,"yyyy-mm-dd")&amp;"||",'CALENDARIO'!$G$15:$G$214,0)),INDEX(patronHabil,WEEKDAY($J542,2))))))</f>
        <v/>
      </c>
      <c r="T542" s="3">
        <f>IF($I542="","",IFERROR(INDEX('CAT_TIPOS_OT'!$C$4:$C$7,MATCH($I542,'CAT_TIPOS_OT'!$A$4:$A$7,0)),"sin_clasificar"))</f>
        <v/>
      </c>
      <c r="U542" s="3">
        <f>IF($F542="","",IFERROR(INDEX('CAT_CENTROS_COSTO'!$F$4:$F$13,MATCH($F542,'CAT_CENTROS_COSTO'!$A$4:$A$13,0)),"(sin catálogo)"))</f>
        <v/>
      </c>
      <c r="V542" s="3">
        <f>IF($F542="","",IFERROR(INDEX('CAT_CENTROS_COSTO'!$D$4:$D$13,MATCH($F542,'CAT_CENTROS_COSTO'!$A$4:$A$13,0)),"(sin catálogo)"))</f>
        <v/>
      </c>
      <c r="W542" s="3">
        <f>IF($F542="","",IF((IFERROR(INDEX('CAT_CENTROS_COSTO'!$E$4:$E$13,MATCH($F542,'CAT_CENTROS_COSTO'!$A$4:$A$13,0)),""))&lt;&gt;"",IFERROR(INDEX('CAT_CENTROS_COSTO'!$E$4:$E$13,MATCH($F542,'CAT_CENTROS_COSTO'!$A$4:$A$13,0)),""),$V542))</f>
        <v/>
      </c>
      <c r="X542" s="3">
        <f>IF($F542="","",IFERROR(INDEX('CAT_CENTROS_COSTO'!$G$4:$G$13,MATCH($F542,'CAT_CENTROS_COSTO'!$A$4:$A$13,0)),"(sin catálogo)"))</f>
        <v/>
      </c>
      <c r="Y542" s="3">
        <f>IF($G542="","",IFERROR(INDEX('CAT_PUESTOS'!$B$4:$B$8,MATCH($G542,'CAT_PUESTOS'!$A$4:$A$8,0)),"(sin catálogo)"))</f>
        <v/>
      </c>
      <c r="Z542" s="3">
        <f>IF($H542="","",IFERROR(INDEX('CAT_ACTIVIDADES'!$B$4:$B$8,MATCH($H542,'CAT_ACTIVIDADES'!$A$4:$A$8,0)),"(sin catálogo)"))</f>
        <v/>
      </c>
      <c r="AA542" s="12">
        <f>IF($J542="","",TODAY()-$J542)</f>
        <v/>
      </c>
      <c r="AB542" s="12">
        <f>IF($J542="","",IF($J542&lt;=TODAY(),COUNTIFS(cal_fechas,"&gt;="&amp;$J542,cal_fechas,"&lt;"&amp;TODAY(),cal_habil,"sí"),-COUNTIFS(cal_fechas,"&gt;="&amp;TODAY(),cal_fechas,"&lt;"&amp;$J542,cal_habil,"sí")))</f>
        <v/>
      </c>
      <c r="AC542" s="3">
        <f>IF($AB542="","",IF($AB542&lt;0,"FUTURO",IF($AB542&gt;p_dias_backlog_max,"BACKLOG","MES CORRIENTE")))</f>
        <v/>
      </c>
      <c r="AD542" s="3">
        <f>IF($AB542="",FALSE,AND($AB542&gt;p_dias_backlog_min,$AB542&lt;=p_dias_backlog_max))</f>
        <v/>
      </c>
      <c r="AE542" s="6" t="n"/>
      <c r="AF542" s="3">
        <f>IF($AE542="","",IF((IFERROR(INDEX('ASIGNACIONES'!$F$4:$F$339,MATCH($O542&amp;"|"&amp;$R542&amp;"|"&amp;$AE542,'ASIGNACIONES'!$J$4:$J$339,0)),""))=0,"",IFERROR(INDEX('ASIGNACIONES'!$F$4:$F$339,MATCH($O542&amp;"|"&amp;$R542&amp;"|"&amp;$AE542,'ASIGNACIONES'!$J$4:$J$339,0)),"")))</f>
        <v/>
      </c>
      <c r="AG542" s="13">
        <f>IF($AE542="","",SUMIFS('ORDENES'!$M$4:$M$1203,'ORDENES'!$AE$4:$AE$1203,$AE542,'ORDENES'!$O$4:$O$1203,$O542,'ORDENES'!$R$4:$R$1203,$R542))</f>
        <v/>
      </c>
      <c r="AH542" s="13">
        <f>IF($AG542="","",p_factor_productividad*IFERROR(INDEX('ASIGNACIONES'!$I$4:$I$339,MATCH($O542&amp;"|"&amp;$R542&amp;"|"&amp;$AE542,'ASIGNACIONES'!$J$4:$J$339,0)),0)-$AG542)</f>
        <v/>
      </c>
      <c r="AI542" s="10">
        <f>IF($A542="","",IFERROR(INDEX('2_IMPORTAR_EJECUCION'!$F$9:$F$1208,MATCH($AQ542,'2_IMPORTAR_EJECUCION'!$J$9:$J$1208,0)),0))</f>
        <v/>
      </c>
      <c r="AJ542" s="10">
        <f>IF($A542="","",MAX(0,IFERROR(INDEX('2_IMPORTAR_EJECUCION'!$H$9:$H$1208,MATCH($AQ542,'2_IMPORTAR_EJECUCION'!$J$9:$J$1208,0)),0)-$AI542))</f>
        <v/>
      </c>
      <c r="AK542" s="10">
        <f>IF($A542="","",$AI542+$AJ542)</f>
        <v/>
      </c>
      <c r="AL542" s="6" t="n"/>
      <c r="AM542" s="6" t="n"/>
      <c r="AN542" s="6" t="n"/>
      <c r="AO542" s="3">
        <f>IF($AN542="","",HYPERLINK(p_ruta_base_checklists&amp;$AN542,"abrir"))</f>
        <v/>
      </c>
      <c r="AP542" s="6" t="n"/>
      <c r="AQ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IF($A543="","",IFERROR(INDEX('AJUSTES'!$B$4:$B$303,MATCH($AQ543,'AJUSTES'!$A$4:$A$303,0)),IF($K543="","",$K543)))</f>
        <v/>
      </c>
      <c r="N543" s="3">
        <f>IF($A543="","",IFERROR(INDEX('CAT_ESTADOS_ERP'!$B$4:$B$7,MATCH(IFERROR(INDEX('2_IMPORTAR_EJECUCION'!$C$9:$C$1208,MATCH($AQ543,'2_IMPORTAR_EJECUCION'!$J$9:$J$1208,0)),""),'CAT_ESTADOS_ERP'!$A$4:$A$7,0)),"Pendiente"))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J543="","",IFERROR(INDEX('CALENDARIO'!$C$15:$C$214,MATCH(TEXT($J543,"yyyy-mm-dd")&amp;"|"&amp;$V543&amp;"|"&amp;$W543,'CALENDARIO'!$G$15:$G$214,0)),IFERROR(INDEX('CALENDARIO'!$C$15:$C$214,MATCH(TEXT($J543,"yyyy-mm-dd")&amp;"|"&amp;$V543&amp;"|",'CALENDARIO'!$G$15:$G$214,0)),IFERROR(INDEX('CALENDARIO'!$C$15:$C$214,MATCH(TEXT($J543,"yyyy-mm-dd")&amp;"||",'CALENDARIO'!$G$15:$G$214,0)),INDEX(patronHabil,WEEKDAY($J543,2))))))</f>
        <v/>
      </c>
      <c r="T543" s="3">
        <f>IF($I543="","",IFERROR(INDEX('CAT_TIPOS_OT'!$C$4:$C$7,MATCH($I543,'CAT_TIPOS_OT'!$A$4:$A$7,0)),"sin_clasificar"))</f>
        <v/>
      </c>
      <c r="U543" s="3">
        <f>IF($F543="","",IFERROR(INDEX('CAT_CENTROS_COSTO'!$F$4:$F$13,MATCH($F543,'CAT_CENTROS_COSTO'!$A$4:$A$13,0)),"(sin catálogo)"))</f>
        <v/>
      </c>
      <c r="V543" s="3">
        <f>IF($F543="","",IFERROR(INDEX('CAT_CENTROS_COSTO'!$D$4:$D$13,MATCH($F543,'CAT_CENTROS_COSTO'!$A$4:$A$13,0)),"(sin catálogo)"))</f>
        <v/>
      </c>
      <c r="W543" s="3">
        <f>IF($F543="","",IF((IFERROR(INDEX('CAT_CENTROS_COSTO'!$E$4:$E$13,MATCH($F543,'CAT_CENTROS_COSTO'!$A$4:$A$13,0)),""))&lt;&gt;"",IFERROR(INDEX('CAT_CENTROS_COSTO'!$E$4:$E$13,MATCH($F543,'CAT_CENTROS_COSTO'!$A$4:$A$13,0)),""),$V543))</f>
        <v/>
      </c>
      <c r="X543" s="3">
        <f>IF($F543="","",IFERROR(INDEX('CAT_CENTROS_COSTO'!$G$4:$G$13,MATCH($F543,'CAT_CENTROS_COSTO'!$A$4:$A$13,0)),"(sin catálogo)"))</f>
        <v/>
      </c>
      <c r="Y543" s="3">
        <f>IF($G543="","",IFERROR(INDEX('CAT_PUESTOS'!$B$4:$B$8,MATCH($G543,'CAT_PUESTOS'!$A$4:$A$8,0)),"(sin catálogo)"))</f>
        <v/>
      </c>
      <c r="Z543" s="3">
        <f>IF($H543="","",IFERROR(INDEX('CAT_ACTIVIDADES'!$B$4:$B$8,MATCH($H543,'CAT_ACTIVIDADES'!$A$4:$A$8,0)),"(sin catálogo)"))</f>
        <v/>
      </c>
      <c r="AA543" s="12">
        <f>IF($J543="","",TODAY()-$J543)</f>
        <v/>
      </c>
      <c r="AB543" s="12">
        <f>IF($J543="","",IF($J543&lt;=TODAY(),COUNTIFS(cal_fechas,"&gt;="&amp;$J543,cal_fechas,"&lt;"&amp;TODAY(),cal_habil,"sí"),-COUNTIFS(cal_fechas,"&gt;="&amp;TODAY(),cal_fechas,"&lt;"&amp;$J543,cal_habil,"sí")))</f>
        <v/>
      </c>
      <c r="AC543" s="3">
        <f>IF($AB543="","",IF($AB543&lt;0,"FUTURO",IF($AB543&gt;p_dias_backlog_max,"BACKLOG","MES CORRIENTE")))</f>
        <v/>
      </c>
      <c r="AD543" s="3">
        <f>IF($AB543="",FALSE,AND($AB543&gt;p_dias_backlog_min,$AB543&lt;=p_dias_backlog_max))</f>
        <v/>
      </c>
      <c r="AE543" s="6" t="n"/>
      <c r="AF543" s="3">
        <f>IF($AE543="","",IF((IFERROR(INDEX('ASIGNACIONES'!$F$4:$F$339,MATCH($O543&amp;"|"&amp;$R543&amp;"|"&amp;$AE543,'ASIGNACIONES'!$J$4:$J$339,0)),""))=0,"",IFERROR(INDEX('ASIGNACIONES'!$F$4:$F$339,MATCH($O543&amp;"|"&amp;$R543&amp;"|"&amp;$AE543,'ASIGNACIONES'!$J$4:$J$339,0)),"")))</f>
        <v/>
      </c>
      <c r="AG543" s="13">
        <f>IF($AE543="","",SUMIFS('ORDENES'!$M$4:$M$1203,'ORDENES'!$AE$4:$AE$1203,$AE543,'ORDENES'!$O$4:$O$1203,$O543,'ORDENES'!$R$4:$R$1203,$R543))</f>
        <v/>
      </c>
      <c r="AH543" s="13">
        <f>IF($AG543="","",p_factor_productividad*IFERROR(INDEX('ASIGNACIONES'!$I$4:$I$339,MATCH($O543&amp;"|"&amp;$R543&amp;"|"&amp;$AE543,'ASIGNACIONES'!$J$4:$J$339,0)),0)-$AG543)</f>
        <v/>
      </c>
      <c r="AI543" s="10">
        <f>IF($A543="","",IFERROR(INDEX('2_IMPORTAR_EJECUCION'!$F$9:$F$1208,MATCH($AQ543,'2_IMPORTAR_EJECUCION'!$J$9:$J$1208,0)),0))</f>
        <v/>
      </c>
      <c r="AJ543" s="10">
        <f>IF($A543="","",MAX(0,IFERROR(INDEX('2_IMPORTAR_EJECUCION'!$H$9:$H$1208,MATCH($AQ543,'2_IMPORTAR_EJECUCION'!$J$9:$J$1208,0)),0)-$AI543))</f>
        <v/>
      </c>
      <c r="AK543" s="10">
        <f>IF($A543="","",$AI543+$AJ543)</f>
        <v/>
      </c>
      <c r="AL543" s="6" t="n"/>
      <c r="AM543" s="6" t="n"/>
      <c r="AN543" s="6" t="n"/>
      <c r="AO543" s="3">
        <f>IF($AN543="","",HYPERLINK(p_ruta_base_checklists&amp;$AN543,"abrir"))</f>
        <v/>
      </c>
      <c r="AP543" s="6" t="n"/>
      <c r="AQ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IF($A544="","",IFERROR(INDEX('AJUSTES'!$B$4:$B$303,MATCH($AQ544,'AJUSTES'!$A$4:$A$303,0)),IF($K544="","",$K544)))</f>
        <v/>
      </c>
      <c r="N544" s="3">
        <f>IF($A544="","",IFERROR(INDEX('CAT_ESTADOS_ERP'!$B$4:$B$7,MATCH(IFERROR(INDEX('2_IMPORTAR_EJECUCION'!$C$9:$C$1208,MATCH($AQ544,'2_IMPORTAR_EJECUCION'!$J$9:$J$1208,0)),""),'CAT_ESTADOS_ERP'!$A$4:$A$7,0)),"Pendiente"))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J544="","",IFERROR(INDEX('CALENDARIO'!$C$15:$C$214,MATCH(TEXT($J544,"yyyy-mm-dd")&amp;"|"&amp;$V544&amp;"|"&amp;$W544,'CALENDARIO'!$G$15:$G$214,0)),IFERROR(INDEX('CALENDARIO'!$C$15:$C$214,MATCH(TEXT($J544,"yyyy-mm-dd")&amp;"|"&amp;$V544&amp;"|",'CALENDARIO'!$G$15:$G$214,0)),IFERROR(INDEX('CALENDARIO'!$C$15:$C$214,MATCH(TEXT($J544,"yyyy-mm-dd")&amp;"||",'CALENDARIO'!$G$15:$G$214,0)),INDEX(patronHabil,WEEKDAY($J544,2))))))</f>
        <v/>
      </c>
      <c r="T544" s="3">
        <f>IF($I544="","",IFERROR(INDEX('CAT_TIPOS_OT'!$C$4:$C$7,MATCH($I544,'CAT_TIPOS_OT'!$A$4:$A$7,0)),"sin_clasificar"))</f>
        <v/>
      </c>
      <c r="U544" s="3">
        <f>IF($F544="","",IFERROR(INDEX('CAT_CENTROS_COSTO'!$F$4:$F$13,MATCH($F544,'CAT_CENTROS_COSTO'!$A$4:$A$13,0)),"(sin catálogo)"))</f>
        <v/>
      </c>
      <c r="V544" s="3">
        <f>IF($F544="","",IFERROR(INDEX('CAT_CENTROS_COSTO'!$D$4:$D$13,MATCH($F544,'CAT_CENTROS_COSTO'!$A$4:$A$13,0)),"(sin catálogo)"))</f>
        <v/>
      </c>
      <c r="W544" s="3">
        <f>IF($F544="","",IF((IFERROR(INDEX('CAT_CENTROS_COSTO'!$E$4:$E$13,MATCH($F544,'CAT_CENTROS_COSTO'!$A$4:$A$13,0)),""))&lt;&gt;"",IFERROR(INDEX('CAT_CENTROS_COSTO'!$E$4:$E$13,MATCH($F544,'CAT_CENTROS_COSTO'!$A$4:$A$13,0)),""),$V544))</f>
        <v/>
      </c>
      <c r="X544" s="3">
        <f>IF($F544="","",IFERROR(INDEX('CAT_CENTROS_COSTO'!$G$4:$G$13,MATCH($F544,'CAT_CENTROS_COSTO'!$A$4:$A$13,0)),"(sin catálogo)"))</f>
        <v/>
      </c>
      <c r="Y544" s="3">
        <f>IF($G544="","",IFERROR(INDEX('CAT_PUESTOS'!$B$4:$B$8,MATCH($G544,'CAT_PUESTOS'!$A$4:$A$8,0)),"(sin catálogo)"))</f>
        <v/>
      </c>
      <c r="Z544" s="3">
        <f>IF($H544="","",IFERROR(INDEX('CAT_ACTIVIDADES'!$B$4:$B$8,MATCH($H544,'CAT_ACTIVIDADES'!$A$4:$A$8,0)),"(sin catálogo)"))</f>
        <v/>
      </c>
      <c r="AA544" s="12">
        <f>IF($J544="","",TODAY()-$J544)</f>
        <v/>
      </c>
      <c r="AB544" s="12">
        <f>IF($J544="","",IF($J544&lt;=TODAY(),COUNTIFS(cal_fechas,"&gt;="&amp;$J544,cal_fechas,"&lt;"&amp;TODAY(),cal_habil,"sí"),-COUNTIFS(cal_fechas,"&gt;="&amp;TODAY(),cal_fechas,"&lt;"&amp;$J544,cal_habil,"sí")))</f>
        <v/>
      </c>
      <c r="AC544" s="3">
        <f>IF($AB544="","",IF($AB544&lt;0,"FUTURO",IF($AB544&gt;p_dias_backlog_max,"BACKLOG","MES CORRIENTE")))</f>
        <v/>
      </c>
      <c r="AD544" s="3">
        <f>IF($AB544="",FALSE,AND($AB544&gt;p_dias_backlog_min,$AB544&lt;=p_dias_backlog_max))</f>
        <v/>
      </c>
      <c r="AE544" s="6" t="n"/>
      <c r="AF544" s="3">
        <f>IF($AE544="","",IF((IFERROR(INDEX('ASIGNACIONES'!$F$4:$F$339,MATCH($O544&amp;"|"&amp;$R544&amp;"|"&amp;$AE544,'ASIGNACIONES'!$J$4:$J$339,0)),""))=0,"",IFERROR(INDEX('ASIGNACIONES'!$F$4:$F$339,MATCH($O544&amp;"|"&amp;$R544&amp;"|"&amp;$AE544,'ASIGNACIONES'!$J$4:$J$339,0)),"")))</f>
        <v/>
      </c>
      <c r="AG544" s="13">
        <f>IF($AE544="","",SUMIFS('ORDENES'!$M$4:$M$1203,'ORDENES'!$AE$4:$AE$1203,$AE544,'ORDENES'!$O$4:$O$1203,$O544,'ORDENES'!$R$4:$R$1203,$R544))</f>
        <v/>
      </c>
      <c r="AH544" s="13">
        <f>IF($AG544="","",p_factor_productividad*IFERROR(INDEX('ASIGNACIONES'!$I$4:$I$339,MATCH($O544&amp;"|"&amp;$R544&amp;"|"&amp;$AE544,'ASIGNACIONES'!$J$4:$J$339,0)),0)-$AG544)</f>
        <v/>
      </c>
      <c r="AI544" s="10">
        <f>IF($A544="","",IFERROR(INDEX('2_IMPORTAR_EJECUCION'!$F$9:$F$1208,MATCH($AQ544,'2_IMPORTAR_EJECUCION'!$J$9:$J$1208,0)),0))</f>
        <v/>
      </c>
      <c r="AJ544" s="10">
        <f>IF($A544="","",MAX(0,IFERROR(INDEX('2_IMPORTAR_EJECUCION'!$H$9:$H$1208,MATCH($AQ544,'2_IMPORTAR_EJECUCION'!$J$9:$J$1208,0)),0)-$AI544))</f>
        <v/>
      </c>
      <c r="AK544" s="10">
        <f>IF($A544="","",$AI544+$AJ544)</f>
        <v/>
      </c>
      <c r="AL544" s="6" t="n"/>
      <c r="AM544" s="6" t="n"/>
      <c r="AN544" s="6" t="n"/>
      <c r="AO544" s="3">
        <f>IF($AN544="","",HYPERLINK(p_ruta_base_checklists&amp;$AN544,"abrir"))</f>
        <v/>
      </c>
      <c r="AP544" s="6" t="n"/>
      <c r="AQ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IF($A545="","",IFERROR(INDEX('AJUSTES'!$B$4:$B$303,MATCH($AQ545,'AJUSTES'!$A$4:$A$303,0)),IF($K545="","",$K545)))</f>
        <v/>
      </c>
      <c r="N545" s="3">
        <f>IF($A545="","",IFERROR(INDEX('CAT_ESTADOS_ERP'!$B$4:$B$7,MATCH(IFERROR(INDEX('2_IMPORTAR_EJECUCION'!$C$9:$C$1208,MATCH($AQ545,'2_IMPORTAR_EJECUCION'!$J$9:$J$1208,0)),""),'CAT_ESTADOS_ERP'!$A$4:$A$7,0)),"Pendiente"))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J545="","",IFERROR(INDEX('CALENDARIO'!$C$15:$C$214,MATCH(TEXT($J545,"yyyy-mm-dd")&amp;"|"&amp;$V545&amp;"|"&amp;$W545,'CALENDARIO'!$G$15:$G$214,0)),IFERROR(INDEX('CALENDARIO'!$C$15:$C$214,MATCH(TEXT($J545,"yyyy-mm-dd")&amp;"|"&amp;$V545&amp;"|",'CALENDARIO'!$G$15:$G$214,0)),IFERROR(INDEX('CALENDARIO'!$C$15:$C$214,MATCH(TEXT($J545,"yyyy-mm-dd")&amp;"||",'CALENDARIO'!$G$15:$G$214,0)),INDEX(patronHabil,WEEKDAY($J545,2))))))</f>
        <v/>
      </c>
      <c r="T545" s="3">
        <f>IF($I545="","",IFERROR(INDEX('CAT_TIPOS_OT'!$C$4:$C$7,MATCH($I545,'CAT_TIPOS_OT'!$A$4:$A$7,0)),"sin_clasificar"))</f>
        <v/>
      </c>
      <c r="U545" s="3">
        <f>IF($F545="","",IFERROR(INDEX('CAT_CENTROS_COSTO'!$F$4:$F$13,MATCH($F545,'CAT_CENTROS_COSTO'!$A$4:$A$13,0)),"(sin catálogo)"))</f>
        <v/>
      </c>
      <c r="V545" s="3">
        <f>IF($F545="","",IFERROR(INDEX('CAT_CENTROS_COSTO'!$D$4:$D$13,MATCH($F545,'CAT_CENTROS_COSTO'!$A$4:$A$13,0)),"(sin catálogo)"))</f>
        <v/>
      </c>
      <c r="W545" s="3">
        <f>IF($F545="","",IF((IFERROR(INDEX('CAT_CENTROS_COSTO'!$E$4:$E$13,MATCH($F545,'CAT_CENTROS_COSTO'!$A$4:$A$13,0)),""))&lt;&gt;"",IFERROR(INDEX('CAT_CENTROS_COSTO'!$E$4:$E$13,MATCH($F545,'CAT_CENTROS_COSTO'!$A$4:$A$13,0)),""),$V545))</f>
        <v/>
      </c>
      <c r="X545" s="3">
        <f>IF($F545="","",IFERROR(INDEX('CAT_CENTROS_COSTO'!$G$4:$G$13,MATCH($F545,'CAT_CENTROS_COSTO'!$A$4:$A$13,0)),"(sin catálogo)"))</f>
        <v/>
      </c>
      <c r="Y545" s="3">
        <f>IF($G545="","",IFERROR(INDEX('CAT_PUESTOS'!$B$4:$B$8,MATCH($G545,'CAT_PUESTOS'!$A$4:$A$8,0)),"(sin catálogo)"))</f>
        <v/>
      </c>
      <c r="Z545" s="3">
        <f>IF($H545="","",IFERROR(INDEX('CAT_ACTIVIDADES'!$B$4:$B$8,MATCH($H545,'CAT_ACTIVIDADES'!$A$4:$A$8,0)),"(sin catálogo)"))</f>
        <v/>
      </c>
      <c r="AA545" s="12">
        <f>IF($J545="","",TODAY()-$J545)</f>
        <v/>
      </c>
      <c r="AB545" s="12">
        <f>IF($J545="","",IF($J545&lt;=TODAY(),COUNTIFS(cal_fechas,"&gt;="&amp;$J545,cal_fechas,"&lt;"&amp;TODAY(),cal_habil,"sí"),-COUNTIFS(cal_fechas,"&gt;="&amp;TODAY(),cal_fechas,"&lt;"&amp;$J545,cal_habil,"sí")))</f>
        <v/>
      </c>
      <c r="AC545" s="3">
        <f>IF($AB545="","",IF($AB545&lt;0,"FUTURO",IF($AB545&gt;p_dias_backlog_max,"BACKLOG","MES CORRIENTE")))</f>
        <v/>
      </c>
      <c r="AD545" s="3">
        <f>IF($AB545="",FALSE,AND($AB545&gt;p_dias_backlog_min,$AB545&lt;=p_dias_backlog_max))</f>
        <v/>
      </c>
      <c r="AE545" s="6" t="n"/>
      <c r="AF545" s="3">
        <f>IF($AE545="","",IF((IFERROR(INDEX('ASIGNACIONES'!$F$4:$F$339,MATCH($O545&amp;"|"&amp;$R545&amp;"|"&amp;$AE545,'ASIGNACIONES'!$J$4:$J$339,0)),""))=0,"",IFERROR(INDEX('ASIGNACIONES'!$F$4:$F$339,MATCH($O545&amp;"|"&amp;$R545&amp;"|"&amp;$AE545,'ASIGNACIONES'!$J$4:$J$339,0)),"")))</f>
        <v/>
      </c>
      <c r="AG545" s="13">
        <f>IF($AE545="","",SUMIFS('ORDENES'!$M$4:$M$1203,'ORDENES'!$AE$4:$AE$1203,$AE545,'ORDENES'!$O$4:$O$1203,$O545,'ORDENES'!$R$4:$R$1203,$R545))</f>
        <v/>
      </c>
      <c r="AH545" s="13">
        <f>IF($AG545="","",p_factor_productividad*IFERROR(INDEX('ASIGNACIONES'!$I$4:$I$339,MATCH($O545&amp;"|"&amp;$R545&amp;"|"&amp;$AE545,'ASIGNACIONES'!$J$4:$J$339,0)),0)-$AG545)</f>
        <v/>
      </c>
      <c r="AI545" s="10">
        <f>IF($A545="","",IFERROR(INDEX('2_IMPORTAR_EJECUCION'!$F$9:$F$1208,MATCH($AQ545,'2_IMPORTAR_EJECUCION'!$J$9:$J$1208,0)),0))</f>
        <v/>
      </c>
      <c r="AJ545" s="10">
        <f>IF($A545="","",MAX(0,IFERROR(INDEX('2_IMPORTAR_EJECUCION'!$H$9:$H$1208,MATCH($AQ545,'2_IMPORTAR_EJECUCION'!$J$9:$J$1208,0)),0)-$AI545))</f>
        <v/>
      </c>
      <c r="AK545" s="10">
        <f>IF($A545="","",$AI545+$AJ545)</f>
        <v/>
      </c>
      <c r="AL545" s="6" t="n"/>
      <c r="AM545" s="6" t="n"/>
      <c r="AN545" s="6" t="n"/>
      <c r="AO545" s="3">
        <f>IF($AN545="","",HYPERLINK(p_ruta_base_checklists&amp;$AN545,"abrir"))</f>
        <v/>
      </c>
      <c r="AP545" s="6" t="n"/>
      <c r="AQ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IF($A546="","",IFERROR(INDEX('AJUSTES'!$B$4:$B$303,MATCH($AQ546,'AJUSTES'!$A$4:$A$303,0)),IF($K546="","",$K546)))</f>
        <v/>
      </c>
      <c r="N546" s="3">
        <f>IF($A546="","",IFERROR(INDEX('CAT_ESTADOS_ERP'!$B$4:$B$7,MATCH(IFERROR(INDEX('2_IMPORTAR_EJECUCION'!$C$9:$C$1208,MATCH($AQ546,'2_IMPORTAR_EJECUCION'!$J$9:$J$1208,0)),""),'CAT_ESTADOS_ERP'!$A$4:$A$7,0)),"Pendiente"))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J546="","",IFERROR(INDEX('CALENDARIO'!$C$15:$C$214,MATCH(TEXT($J546,"yyyy-mm-dd")&amp;"|"&amp;$V546&amp;"|"&amp;$W546,'CALENDARIO'!$G$15:$G$214,0)),IFERROR(INDEX('CALENDARIO'!$C$15:$C$214,MATCH(TEXT($J546,"yyyy-mm-dd")&amp;"|"&amp;$V546&amp;"|",'CALENDARIO'!$G$15:$G$214,0)),IFERROR(INDEX('CALENDARIO'!$C$15:$C$214,MATCH(TEXT($J546,"yyyy-mm-dd")&amp;"||",'CALENDARIO'!$G$15:$G$214,0)),INDEX(patronHabil,WEEKDAY($J546,2))))))</f>
        <v/>
      </c>
      <c r="T546" s="3">
        <f>IF($I546="","",IFERROR(INDEX('CAT_TIPOS_OT'!$C$4:$C$7,MATCH($I546,'CAT_TIPOS_OT'!$A$4:$A$7,0)),"sin_clasificar"))</f>
        <v/>
      </c>
      <c r="U546" s="3">
        <f>IF($F546="","",IFERROR(INDEX('CAT_CENTROS_COSTO'!$F$4:$F$13,MATCH($F546,'CAT_CENTROS_COSTO'!$A$4:$A$13,0)),"(sin catálogo)"))</f>
        <v/>
      </c>
      <c r="V546" s="3">
        <f>IF($F546="","",IFERROR(INDEX('CAT_CENTROS_COSTO'!$D$4:$D$13,MATCH($F546,'CAT_CENTROS_COSTO'!$A$4:$A$13,0)),"(sin catálogo)"))</f>
        <v/>
      </c>
      <c r="W546" s="3">
        <f>IF($F546="","",IF((IFERROR(INDEX('CAT_CENTROS_COSTO'!$E$4:$E$13,MATCH($F546,'CAT_CENTROS_COSTO'!$A$4:$A$13,0)),""))&lt;&gt;"",IFERROR(INDEX('CAT_CENTROS_COSTO'!$E$4:$E$13,MATCH($F546,'CAT_CENTROS_COSTO'!$A$4:$A$13,0)),""),$V546))</f>
        <v/>
      </c>
      <c r="X546" s="3">
        <f>IF($F546="","",IFERROR(INDEX('CAT_CENTROS_COSTO'!$G$4:$G$13,MATCH($F546,'CAT_CENTROS_COSTO'!$A$4:$A$13,0)),"(sin catálogo)"))</f>
        <v/>
      </c>
      <c r="Y546" s="3">
        <f>IF($G546="","",IFERROR(INDEX('CAT_PUESTOS'!$B$4:$B$8,MATCH($G546,'CAT_PUESTOS'!$A$4:$A$8,0)),"(sin catálogo)"))</f>
        <v/>
      </c>
      <c r="Z546" s="3">
        <f>IF($H546="","",IFERROR(INDEX('CAT_ACTIVIDADES'!$B$4:$B$8,MATCH($H546,'CAT_ACTIVIDADES'!$A$4:$A$8,0)),"(sin catálogo)"))</f>
        <v/>
      </c>
      <c r="AA546" s="12">
        <f>IF($J546="","",TODAY()-$J546)</f>
        <v/>
      </c>
      <c r="AB546" s="12">
        <f>IF($J546="","",IF($J546&lt;=TODAY(),COUNTIFS(cal_fechas,"&gt;="&amp;$J546,cal_fechas,"&lt;"&amp;TODAY(),cal_habil,"sí"),-COUNTIFS(cal_fechas,"&gt;="&amp;TODAY(),cal_fechas,"&lt;"&amp;$J546,cal_habil,"sí")))</f>
        <v/>
      </c>
      <c r="AC546" s="3">
        <f>IF($AB546="","",IF($AB546&lt;0,"FUTURO",IF($AB546&gt;p_dias_backlog_max,"BACKLOG","MES CORRIENTE")))</f>
        <v/>
      </c>
      <c r="AD546" s="3">
        <f>IF($AB546="",FALSE,AND($AB546&gt;p_dias_backlog_min,$AB546&lt;=p_dias_backlog_max))</f>
        <v/>
      </c>
      <c r="AE546" s="6" t="n"/>
      <c r="AF546" s="3">
        <f>IF($AE546="","",IF((IFERROR(INDEX('ASIGNACIONES'!$F$4:$F$339,MATCH($O546&amp;"|"&amp;$R546&amp;"|"&amp;$AE546,'ASIGNACIONES'!$J$4:$J$339,0)),""))=0,"",IFERROR(INDEX('ASIGNACIONES'!$F$4:$F$339,MATCH($O546&amp;"|"&amp;$R546&amp;"|"&amp;$AE546,'ASIGNACIONES'!$J$4:$J$339,0)),"")))</f>
        <v/>
      </c>
      <c r="AG546" s="13">
        <f>IF($AE546="","",SUMIFS('ORDENES'!$M$4:$M$1203,'ORDENES'!$AE$4:$AE$1203,$AE546,'ORDENES'!$O$4:$O$1203,$O546,'ORDENES'!$R$4:$R$1203,$R546))</f>
        <v/>
      </c>
      <c r="AH546" s="13">
        <f>IF($AG546="","",p_factor_productividad*IFERROR(INDEX('ASIGNACIONES'!$I$4:$I$339,MATCH($O546&amp;"|"&amp;$R546&amp;"|"&amp;$AE546,'ASIGNACIONES'!$J$4:$J$339,0)),0)-$AG546)</f>
        <v/>
      </c>
      <c r="AI546" s="10">
        <f>IF($A546="","",IFERROR(INDEX('2_IMPORTAR_EJECUCION'!$F$9:$F$1208,MATCH($AQ546,'2_IMPORTAR_EJECUCION'!$J$9:$J$1208,0)),0))</f>
        <v/>
      </c>
      <c r="AJ546" s="10">
        <f>IF($A546="","",MAX(0,IFERROR(INDEX('2_IMPORTAR_EJECUCION'!$H$9:$H$1208,MATCH($AQ546,'2_IMPORTAR_EJECUCION'!$J$9:$J$1208,0)),0)-$AI546))</f>
        <v/>
      </c>
      <c r="AK546" s="10">
        <f>IF($A546="","",$AI546+$AJ546)</f>
        <v/>
      </c>
      <c r="AL546" s="6" t="n"/>
      <c r="AM546" s="6" t="n"/>
      <c r="AN546" s="6" t="n"/>
      <c r="AO546" s="3">
        <f>IF($AN546="","",HYPERLINK(p_ruta_base_checklists&amp;$AN546,"abrir"))</f>
        <v/>
      </c>
      <c r="AP546" s="6" t="n"/>
      <c r="AQ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IF($A547="","",IFERROR(INDEX('AJUSTES'!$B$4:$B$303,MATCH($AQ547,'AJUSTES'!$A$4:$A$303,0)),IF($K547="","",$K547)))</f>
        <v/>
      </c>
      <c r="N547" s="3">
        <f>IF($A547="","",IFERROR(INDEX('CAT_ESTADOS_ERP'!$B$4:$B$7,MATCH(IFERROR(INDEX('2_IMPORTAR_EJECUCION'!$C$9:$C$1208,MATCH($AQ547,'2_IMPORTAR_EJECUCION'!$J$9:$J$1208,0)),""),'CAT_ESTADOS_ERP'!$A$4:$A$7,0)),"Pendiente"))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J547="","",IFERROR(INDEX('CALENDARIO'!$C$15:$C$214,MATCH(TEXT($J547,"yyyy-mm-dd")&amp;"|"&amp;$V547&amp;"|"&amp;$W547,'CALENDARIO'!$G$15:$G$214,0)),IFERROR(INDEX('CALENDARIO'!$C$15:$C$214,MATCH(TEXT($J547,"yyyy-mm-dd")&amp;"|"&amp;$V547&amp;"|",'CALENDARIO'!$G$15:$G$214,0)),IFERROR(INDEX('CALENDARIO'!$C$15:$C$214,MATCH(TEXT($J547,"yyyy-mm-dd")&amp;"||",'CALENDARIO'!$G$15:$G$214,0)),INDEX(patronHabil,WEEKDAY($J547,2))))))</f>
        <v/>
      </c>
      <c r="T547" s="3">
        <f>IF($I547="","",IFERROR(INDEX('CAT_TIPOS_OT'!$C$4:$C$7,MATCH($I547,'CAT_TIPOS_OT'!$A$4:$A$7,0)),"sin_clasificar"))</f>
        <v/>
      </c>
      <c r="U547" s="3">
        <f>IF($F547="","",IFERROR(INDEX('CAT_CENTROS_COSTO'!$F$4:$F$13,MATCH($F547,'CAT_CENTROS_COSTO'!$A$4:$A$13,0)),"(sin catálogo)"))</f>
        <v/>
      </c>
      <c r="V547" s="3">
        <f>IF($F547="","",IFERROR(INDEX('CAT_CENTROS_COSTO'!$D$4:$D$13,MATCH($F547,'CAT_CENTROS_COSTO'!$A$4:$A$13,0)),"(sin catálogo)"))</f>
        <v/>
      </c>
      <c r="W547" s="3">
        <f>IF($F547="","",IF((IFERROR(INDEX('CAT_CENTROS_COSTO'!$E$4:$E$13,MATCH($F547,'CAT_CENTROS_COSTO'!$A$4:$A$13,0)),""))&lt;&gt;"",IFERROR(INDEX('CAT_CENTROS_COSTO'!$E$4:$E$13,MATCH($F547,'CAT_CENTROS_COSTO'!$A$4:$A$13,0)),""),$V547))</f>
        <v/>
      </c>
      <c r="X547" s="3">
        <f>IF($F547="","",IFERROR(INDEX('CAT_CENTROS_COSTO'!$G$4:$G$13,MATCH($F547,'CAT_CENTROS_COSTO'!$A$4:$A$13,0)),"(sin catálogo)"))</f>
        <v/>
      </c>
      <c r="Y547" s="3">
        <f>IF($G547="","",IFERROR(INDEX('CAT_PUESTOS'!$B$4:$B$8,MATCH($G547,'CAT_PUESTOS'!$A$4:$A$8,0)),"(sin catálogo)"))</f>
        <v/>
      </c>
      <c r="Z547" s="3">
        <f>IF($H547="","",IFERROR(INDEX('CAT_ACTIVIDADES'!$B$4:$B$8,MATCH($H547,'CAT_ACTIVIDADES'!$A$4:$A$8,0)),"(sin catálogo)"))</f>
        <v/>
      </c>
      <c r="AA547" s="12">
        <f>IF($J547="","",TODAY()-$J547)</f>
        <v/>
      </c>
      <c r="AB547" s="12">
        <f>IF($J547="","",IF($J547&lt;=TODAY(),COUNTIFS(cal_fechas,"&gt;="&amp;$J547,cal_fechas,"&lt;"&amp;TODAY(),cal_habil,"sí"),-COUNTIFS(cal_fechas,"&gt;="&amp;TODAY(),cal_fechas,"&lt;"&amp;$J547,cal_habil,"sí")))</f>
        <v/>
      </c>
      <c r="AC547" s="3">
        <f>IF($AB547="","",IF($AB547&lt;0,"FUTURO",IF($AB547&gt;p_dias_backlog_max,"BACKLOG","MES CORRIENTE")))</f>
        <v/>
      </c>
      <c r="AD547" s="3">
        <f>IF($AB547="",FALSE,AND($AB547&gt;p_dias_backlog_min,$AB547&lt;=p_dias_backlog_max))</f>
        <v/>
      </c>
      <c r="AE547" s="6" t="n"/>
      <c r="AF547" s="3">
        <f>IF($AE547="","",IF((IFERROR(INDEX('ASIGNACIONES'!$F$4:$F$339,MATCH($O547&amp;"|"&amp;$R547&amp;"|"&amp;$AE547,'ASIGNACIONES'!$J$4:$J$339,0)),""))=0,"",IFERROR(INDEX('ASIGNACIONES'!$F$4:$F$339,MATCH($O547&amp;"|"&amp;$R547&amp;"|"&amp;$AE547,'ASIGNACIONES'!$J$4:$J$339,0)),"")))</f>
        <v/>
      </c>
      <c r="AG547" s="13">
        <f>IF($AE547="","",SUMIFS('ORDENES'!$M$4:$M$1203,'ORDENES'!$AE$4:$AE$1203,$AE547,'ORDENES'!$O$4:$O$1203,$O547,'ORDENES'!$R$4:$R$1203,$R547))</f>
        <v/>
      </c>
      <c r="AH547" s="13">
        <f>IF($AG547="","",p_factor_productividad*IFERROR(INDEX('ASIGNACIONES'!$I$4:$I$339,MATCH($O547&amp;"|"&amp;$R547&amp;"|"&amp;$AE547,'ASIGNACIONES'!$J$4:$J$339,0)),0)-$AG547)</f>
        <v/>
      </c>
      <c r="AI547" s="10">
        <f>IF($A547="","",IFERROR(INDEX('2_IMPORTAR_EJECUCION'!$F$9:$F$1208,MATCH($AQ547,'2_IMPORTAR_EJECUCION'!$J$9:$J$1208,0)),0))</f>
        <v/>
      </c>
      <c r="AJ547" s="10">
        <f>IF($A547="","",MAX(0,IFERROR(INDEX('2_IMPORTAR_EJECUCION'!$H$9:$H$1208,MATCH($AQ547,'2_IMPORTAR_EJECUCION'!$J$9:$J$1208,0)),0)-$AI547))</f>
        <v/>
      </c>
      <c r="AK547" s="10">
        <f>IF($A547="","",$AI547+$AJ547)</f>
        <v/>
      </c>
      <c r="AL547" s="6" t="n"/>
      <c r="AM547" s="6" t="n"/>
      <c r="AN547" s="6" t="n"/>
      <c r="AO547" s="3">
        <f>IF($AN547="","",HYPERLINK(p_ruta_base_checklists&amp;$AN547,"abrir"))</f>
        <v/>
      </c>
      <c r="AP547" s="6" t="n"/>
      <c r="AQ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IF($A548="","",IFERROR(INDEX('AJUSTES'!$B$4:$B$303,MATCH($AQ548,'AJUSTES'!$A$4:$A$303,0)),IF($K548="","",$K548)))</f>
        <v/>
      </c>
      <c r="N548" s="3">
        <f>IF($A548="","",IFERROR(INDEX('CAT_ESTADOS_ERP'!$B$4:$B$7,MATCH(IFERROR(INDEX('2_IMPORTAR_EJECUCION'!$C$9:$C$1208,MATCH($AQ548,'2_IMPORTAR_EJECUCION'!$J$9:$J$1208,0)),""),'CAT_ESTADOS_ERP'!$A$4:$A$7,0)),"Pendiente"))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J548="","",IFERROR(INDEX('CALENDARIO'!$C$15:$C$214,MATCH(TEXT($J548,"yyyy-mm-dd")&amp;"|"&amp;$V548&amp;"|"&amp;$W548,'CALENDARIO'!$G$15:$G$214,0)),IFERROR(INDEX('CALENDARIO'!$C$15:$C$214,MATCH(TEXT($J548,"yyyy-mm-dd")&amp;"|"&amp;$V548&amp;"|",'CALENDARIO'!$G$15:$G$214,0)),IFERROR(INDEX('CALENDARIO'!$C$15:$C$214,MATCH(TEXT($J548,"yyyy-mm-dd")&amp;"||",'CALENDARIO'!$G$15:$G$214,0)),INDEX(patronHabil,WEEKDAY($J548,2))))))</f>
        <v/>
      </c>
      <c r="T548" s="3">
        <f>IF($I548="","",IFERROR(INDEX('CAT_TIPOS_OT'!$C$4:$C$7,MATCH($I548,'CAT_TIPOS_OT'!$A$4:$A$7,0)),"sin_clasificar"))</f>
        <v/>
      </c>
      <c r="U548" s="3">
        <f>IF($F548="","",IFERROR(INDEX('CAT_CENTROS_COSTO'!$F$4:$F$13,MATCH($F548,'CAT_CENTROS_COSTO'!$A$4:$A$13,0)),"(sin catálogo)"))</f>
        <v/>
      </c>
      <c r="V548" s="3">
        <f>IF($F548="","",IFERROR(INDEX('CAT_CENTROS_COSTO'!$D$4:$D$13,MATCH($F548,'CAT_CENTROS_COSTO'!$A$4:$A$13,0)),"(sin catálogo)"))</f>
        <v/>
      </c>
      <c r="W548" s="3">
        <f>IF($F548="","",IF((IFERROR(INDEX('CAT_CENTROS_COSTO'!$E$4:$E$13,MATCH($F548,'CAT_CENTROS_COSTO'!$A$4:$A$13,0)),""))&lt;&gt;"",IFERROR(INDEX('CAT_CENTROS_COSTO'!$E$4:$E$13,MATCH($F548,'CAT_CENTROS_COSTO'!$A$4:$A$13,0)),""),$V548))</f>
        <v/>
      </c>
      <c r="X548" s="3">
        <f>IF($F548="","",IFERROR(INDEX('CAT_CENTROS_COSTO'!$G$4:$G$13,MATCH($F548,'CAT_CENTROS_COSTO'!$A$4:$A$13,0)),"(sin catálogo)"))</f>
        <v/>
      </c>
      <c r="Y548" s="3">
        <f>IF($G548="","",IFERROR(INDEX('CAT_PUESTOS'!$B$4:$B$8,MATCH($G548,'CAT_PUESTOS'!$A$4:$A$8,0)),"(sin catálogo)"))</f>
        <v/>
      </c>
      <c r="Z548" s="3">
        <f>IF($H548="","",IFERROR(INDEX('CAT_ACTIVIDADES'!$B$4:$B$8,MATCH($H548,'CAT_ACTIVIDADES'!$A$4:$A$8,0)),"(sin catálogo)"))</f>
        <v/>
      </c>
      <c r="AA548" s="12">
        <f>IF($J548="","",TODAY()-$J548)</f>
        <v/>
      </c>
      <c r="AB548" s="12">
        <f>IF($J548="","",IF($J548&lt;=TODAY(),COUNTIFS(cal_fechas,"&gt;="&amp;$J548,cal_fechas,"&lt;"&amp;TODAY(),cal_habil,"sí"),-COUNTIFS(cal_fechas,"&gt;="&amp;TODAY(),cal_fechas,"&lt;"&amp;$J548,cal_habil,"sí")))</f>
        <v/>
      </c>
      <c r="AC548" s="3">
        <f>IF($AB548="","",IF($AB548&lt;0,"FUTURO",IF($AB548&gt;p_dias_backlog_max,"BACKLOG","MES CORRIENTE")))</f>
        <v/>
      </c>
      <c r="AD548" s="3">
        <f>IF($AB548="",FALSE,AND($AB548&gt;p_dias_backlog_min,$AB548&lt;=p_dias_backlog_max))</f>
        <v/>
      </c>
      <c r="AE548" s="6" t="n"/>
      <c r="AF548" s="3">
        <f>IF($AE548="","",IF((IFERROR(INDEX('ASIGNACIONES'!$F$4:$F$339,MATCH($O548&amp;"|"&amp;$R548&amp;"|"&amp;$AE548,'ASIGNACIONES'!$J$4:$J$339,0)),""))=0,"",IFERROR(INDEX('ASIGNACIONES'!$F$4:$F$339,MATCH($O548&amp;"|"&amp;$R548&amp;"|"&amp;$AE548,'ASIGNACIONES'!$J$4:$J$339,0)),"")))</f>
        <v/>
      </c>
      <c r="AG548" s="13">
        <f>IF($AE548="","",SUMIFS('ORDENES'!$M$4:$M$1203,'ORDENES'!$AE$4:$AE$1203,$AE548,'ORDENES'!$O$4:$O$1203,$O548,'ORDENES'!$R$4:$R$1203,$R548))</f>
        <v/>
      </c>
      <c r="AH548" s="13">
        <f>IF($AG548="","",p_factor_productividad*IFERROR(INDEX('ASIGNACIONES'!$I$4:$I$339,MATCH($O548&amp;"|"&amp;$R548&amp;"|"&amp;$AE548,'ASIGNACIONES'!$J$4:$J$339,0)),0)-$AG548)</f>
        <v/>
      </c>
      <c r="AI548" s="10">
        <f>IF($A548="","",IFERROR(INDEX('2_IMPORTAR_EJECUCION'!$F$9:$F$1208,MATCH($AQ548,'2_IMPORTAR_EJECUCION'!$J$9:$J$1208,0)),0))</f>
        <v/>
      </c>
      <c r="AJ548" s="10">
        <f>IF($A548="","",MAX(0,IFERROR(INDEX('2_IMPORTAR_EJECUCION'!$H$9:$H$1208,MATCH($AQ548,'2_IMPORTAR_EJECUCION'!$J$9:$J$1208,0)),0)-$AI548))</f>
        <v/>
      </c>
      <c r="AK548" s="10">
        <f>IF($A548="","",$AI548+$AJ548)</f>
        <v/>
      </c>
      <c r="AL548" s="6" t="n"/>
      <c r="AM548" s="6" t="n"/>
      <c r="AN548" s="6" t="n"/>
      <c r="AO548" s="3">
        <f>IF($AN548="","",HYPERLINK(p_ruta_base_checklists&amp;$AN548,"abrir"))</f>
        <v/>
      </c>
      <c r="AP548" s="6" t="n"/>
      <c r="AQ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IF($A549="","",IFERROR(INDEX('AJUSTES'!$B$4:$B$303,MATCH($AQ549,'AJUSTES'!$A$4:$A$303,0)),IF($K549="","",$K549)))</f>
        <v/>
      </c>
      <c r="N549" s="3">
        <f>IF($A549="","",IFERROR(INDEX('CAT_ESTADOS_ERP'!$B$4:$B$7,MATCH(IFERROR(INDEX('2_IMPORTAR_EJECUCION'!$C$9:$C$1208,MATCH($AQ549,'2_IMPORTAR_EJECUCION'!$J$9:$J$1208,0)),""),'CAT_ESTADOS_ERP'!$A$4:$A$7,0)),"Pendiente"))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J549="","",IFERROR(INDEX('CALENDARIO'!$C$15:$C$214,MATCH(TEXT($J549,"yyyy-mm-dd")&amp;"|"&amp;$V549&amp;"|"&amp;$W549,'CALENDARIO'!$G$15:$G$214,0)),IFERROR(INDEX('CALENDARIO'!$C$15:$C$214,MATCH(TEXT($J549,"yyyy-mm-dd")&amp;"|"&amp;$V549&amp;"|",'CALENDARIO'!$G$15:$G$214,0)),IFERROR(INDEX('CALENDARIO'!$C$15:$C$214,MATCH(TEXT($J549,"yyyy-mm-dd")&amp;"||",'CALENDARIO'!$G$15:$G$214,0)),INDEX(patronHabil,WEEKDAY($J549,2))))))</f>
        <v/>
      </c>
      <c r="T549" s="3">
        <f>IF($I549="","",IFERROR(INDEX('CAT_TIPOS_OT'!$C$4:$C$7,MATCH($I549,'CAT_TIPOS_OT'!$A$4:$A$7,0)),"sin_clasificar"))</f>
        <v/>
      </c>
      <c r="U549" s="3">
        <f>IF($F549="","",IFERROR(INDEX('CAT_CENTROS_COSTO'!$F$4:$F$13,MATCH($F549,'CAT_CENTROS_COSTO'!$A$4:$A$13,0)),"(sin catálogo)"))</f>
        <v/>
      </c>
      <c r="V549" s="3">
        <f>IF($F549="","",IFERROR(INDEX('CAT_CENTROS_COSTO'!$D$4:$D$13,MATCH($F549,'CAT_CENTROS_COSTO'!$A$4:$A$13,0)),"(sin catálogo)"))</f>
        <v/>
      </c>
      <c r="W549" s="3">
        <f>IF($F549="","",IF((IFERROR(INDEX('CAT_CENTROS_COSTO'!$E$4:$E$13,MATCH($F549,'CAT_CENTROS_COSTO'!$A$4:$A$13,0)),""))&lt;&gt;"",IFERROR(INDEX('CAT_CENTROS_COSTO'!$E$4:$E$13,MATCH($F549,'CAT_CENTROS_COSTO'!$A$4:$A$13,0)),""),$V549))</f>
        <v/>
      </c>
      <c r="X549" s="3">
        <f>IF($F549="","",IFERROR(INDEX('CAT_CENTROS_COSTO'!$G$4:$G$13,MATCH($F549,'CAT_CENTROS_COSTO'!$A$4:$A$13,0)),"(sin catálogo)"))</f>
        <v/>
      </c>
      <c r="Y549" s="3">
        <f>IF($G549="","",IFERROR(INDEX('CAT_PUESTOS'!$B$4:$B$8,MATCH($G549,'CAT_PUESTOS'!$A$4:$A$8,0)),"(sin catálogo)"))</f>
        <v/>
      </c>
      <c r="Z549" s="3">
        <f>IF($H549="","",IFERROR(INDEX('CAT_ACTIVIDADES'!$B$4:$B$8,MATCH($H549,'CAT_ACTIVIDADES'!$A$4:$A$8,0)),"(sin catálogo)"))</f>
        <v/>
      </c>
      <c r="AA549" s="12">
        <f>IF($J549="","",TODAY()-$J549)</f>
        <v/>
      </c>
      <c r="AB549" s="12">
        <f>IF($J549="","",IF($J549&lt;=TODAY(),COUNTIFS(cal_fechas,"&gt;="&amp;$J549,cal_fechas,"&lt;"&amp;TODAY(),cal_habil,"sí"),-COUNTIFS(cal_fechas,"&gt;="&amp;TODAY(),cal_fechas,"&lt;"&amp;$J549,cal_habil,"sí")))</f>
        <v/>
      </c>
      <c r="AC549" s="3">
        <f>IF($AB549="","",IF($AB549&lt;0,"FUTURO",IF($AB549&gt;p_dias_backlog_max,"BACKLOG","MES CORRIENTE")))</f>
        <v/>
      </c>
      <c r="AD549" s="3">
        <f>IF($AB549="",FALSE,AND($AB549&gt;p_dias_backlog_min,$AB549&lt;=p_dias_backlog_max))</f>
        <v/>
      </c>
      <c r="AE549" s="6" t="n"/>
      <c r="AF549" s="3">
        <f>IF($AE549="","",IF((IFERROR(INDEX('ASIGNACIONES'!$F$4:$F$339,MATCH($O549&amp;"|"&amp;$R549&amp;"|"&amp;$AE549,'ASIGNACIONES'!$J$4:$J$339,0)),""))=0,"",IFERROR(INDEX('ASIGNACIONES'!$F$4:$F$339,MATCH($O549&amp;"|"&amp;$R549&amp;"|"&amp;$AE549,'ASIGNACIONES'!$J$4:$J$339,0)),"")))</f>
        <v/>
      </c>
      <c r="AG549" s="13">
        <f>IF($AE549="","",SUMIFS('ORDENES'!$M$4:$M$1203,'ORDENES'!$AE$4:$AE$1203,$AE549,'ORDENES'!$O$4:$O$1203,$O549,'ORDENES'!$R$4:$R$1203,$R549))</f>
        <v/>
      </c>
      <c r="AH549" s="13">
        <f>IF($AG549="","",p_factor_productividad*IFERROR(INDEX('ASIGNACIONES'!$I$4:$I$339,MATCH($O549&amp;"|"&amp;$R549&amp;"|"&amp;$AE549,'ASIGNACIONES'!$J$4:$J$339,0)),0)-$AG549)</f>
        <v/>
      </c>
      <c r="AI549" s="10">
        <f>IF($A549="","",IFERROR(INDEX('2_IMPORTAR_EJECUCION'!$F$9:$F$1208,MATCH($AQ549,'2_IMPORTAR_EJECUCION'!$J$9:$J$1208,0)),0))</f>
        <v/>
      </c>
      <c r="AJ549" s="10">
        <f>IF($A549="","",MAX(0,IFERROR(INDEX('2_IMPORTAR_EJECUCION'!$H$9:$H$1208,MATCH($AQ549,'2_IMPORTAR_EJECUCION'!$J$9:$J$1208,0)),0)-$AI549))</f>
        <v/>
      </c>
      <c r="AK549" s="10">
        <f>IF($A549="","",$AI549+$AJ549)</f>
        <v/>
      </c>
      <c r="AL549" s="6" t="n"/>
      <c r="AM549" s="6" t="n"/>
      <c r="AN549" s="6" t="n"/>
      <c r="AO549" s="3">
        <f>IF($AN549="","",HYPERLINK(p_ruta_base_checklists&amp;$AN549,"abrir"))</f>
        <v/>
      </c>
      <c r="AP549" s="6" t="n"/>
      <c r="AQ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IF($A550="","",IFERROR(INDEX('AJUSTES'!$B$4:$B$303,MATCH($AQ550,'AJUSTES'!$A$4:$A$303,0)),IF($K550="","",$K550)))</f>
        <v/>
      </c>
      <c r="N550" s="3">
        <f>IF($A550="","",IFERROR(INDEX('CAT_ESTADOS_ERP'!$B$4:$B$7,MATCH(IFERROR(INDEX('2_IMPORTAR_EJECUCION'!$C$9:$C$1208,MATCH($AQ550,'2_IMPORTAR_EJECUCION'!$J$9:$J$1208,0)),""),'CAT_ESTADOS_ERP'!$A$4:$A$7,0)),"Pendiente"))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J550="","",IFERROR(INDEX('CALENDARIO'!$C$15:$C$214,MATCH(TEXT($J550,"yyyy-mm-dd")&amp;"|"&amp;$V550&amp;"|"&amp;$W550,'CALENDARIO'!$G$15:$G$214,0)),IFERROR(INDEX('CALENDARIO'!$C$15:$C$214,MATCH(TEXT($J550,"yyyy-mm-dd")&amp;"|"&amp;$V550&amp;"|",'CALENDARIO'!$G$15:$G$214,0)),IFERROR(INDEX('CALENDARIO'!$C$15:$C$214,MATCH(TEXT($J550,"yyyy-mm-dd")&amp;"||",'CALENDARIO'!$G$15:$G$214,0)),INDEX(patronHabil,WEEKDAY($J550,2))))))</f>
        <v/>
      </c>
      <c r="T550" s="3">
        <f>IF($I550="","",IFERROR(INDEX('CAT_TIPOS_OT'!$C$4:$C$7,MATCH($I550,'CAT_TIPOS_OT'!$A$4:$A$7,0)),"sin_clasificar"))</f>
        <v/>
      </c>
      <c r="U550" s="3">
        <f>IF($F550="","",IFERROR(INDEX('CAT_CENTROS_COSTO'!$F$4:$F$13,MATCH($F550,'CAT_CENTROS_COSTO'!$A$4:$A$13,0)),"(sin catálogo)"))</f>
        <v/>
      </c>
      <c r="V550" s="3">
        <f>IF($F550="","",IFERROR(INDEX('CAT_CENTROS_COSTO'!$D$4:$D$13,MATCH($F550,'CAT_CENTROS_COSTO'!$A$4:$A$13,0)),"(sin catálogo)"))</f>
        <v/>
      </c>
      <c r="W550" s="3">
        <f>IF($F550="","",IF((IFERROR(INDEX('CAT_CENTROS_COSTO'!$E$4:$E$13,MATCH($F550,'CAT_CENTROS_COSTO'!$A$4:$A$13,0)),""))&lt;&gt;"",IFERROR(INDEX('CAT_CENTROS_COSTO'!$E$4:$E$13,MATCH($F550,'CAT_CENTROS_COSTO'!$A$4:$A$13,0)),""),$V550))</f>
        <v/>
      </c>
      <c r="X550" s="3">
        <f>IF($F550="","",IFERROR(INDEX('CAT_CENTROS_COSTO'!$G$4:$G$13,MATCH($F550,'CAT_CENTROS_COSTO'!$A$4:$A$13,0)),"(sin catálogo)"))</f>
        <v/>
      </c>
      <c r="Y550" s="3">
        <f>IF($G550="","",IFERROR(INDEX('CAT_PUESTOS'!$B$4:$B$8,MATCH($G550,'CAT_PUESTOS'!$A$4:$A$8,0)),"(sin catálogo)"))</f>
        <v/>
      </c>
      <c r="Z550" s="3">
        <f>IF($H550="","",IFERROR(INDEX('CAT_ACTIVIDADES'!$B$4:$B$8,MATCH($H550,'CAT_ACTIVIDADES'!$A$4:$A$8,0)),"(sin catálogo)"))</f>
        <v/>
      </c>
      <c r="AA550" s="12">
        <f>IF($J550="","",TODAY()-$J550)</f>
        <v/>
      </c>
      <c r="AB550" s="12">
        <f>IF($J550="","",IF($J550&lt;=TODAY(),COUNTIFS(cal_fechas,"&gt;="&amp;$J550,cal_fechas,"&lt;"&amp;TODAY(),cal_habil,"sí"),-COUNTIFS(cal_fechas,"&gt;="&amp;TODAY(),cal_fechas,"&lt;"&amp;$J550,cal_habil,"sí")))</f>
        <v/>
      </c>
      <c r="AC550" s="3">
        <f>IF($AB550="","",IF($AB550&lt;0,"FUTURO",IF($AB550&gt;p_dias_backlog_max,"BACKLOG","MES CORRIENTE")))</f>
        <v/>
      </c>
      <c r="AD550" s="3">
        <f>IF($AB550="",FALSE,AND($AB550&gt;p_dias_backlog_min,$AB550&lt;=p_dias_backlog_max))</f>
        <v/>
      </c>
      <c r="AE550" s="6" t="n"/>
      <c r="AF550" s="3">
        <f>IF($AE550="","",IF((IFERROR(INDEX('ASIGNACIONES'!$F$4:$F$339,MATCH($O550&amp;"|"&amp;$R550&amp;"|"&amp;$AE550,'ASIGNACIONES'!$J$4:$J$339,0)),""))=0,"",IFERROR(INDEX('ASIGNACIONES'!$F$4:$F$339,MATCH($O550&amp;"|"&amp;$R550&amp;"|"&amp;$AE550,'ASIGNACIONES'!$J$4:$J$339,0)),"")))</f>
        <v/>
      </c>
      <c r="AG550" s="13">
        <f>IF($AE550="","",SUMIFS('ORDENES'!$M$4:$M$1203,'ORDENES'!$AE$4:$AE$1203,$AE550,'ORDENES'!$O$4:$O$1203,$O550,'ORDENES'!$R$4:$R$1203,$R550))</f>
        <v/>
      </c>
      <c r="AH550" s="13">
        <f>IF($AG550="","",p_factor_productividad*IFERROR(INDEX('ASIGNACIONES'!$I$4:$I$339,MATCH($O550&amp;"|"&amp;$R550&amp;"|"&amp;$AE550,'ASIGNACIONES'!$J$4:$J$339,0)),0)-$AG550)</f>
        <v/>
      </c>
      <c r="AI550" s="10">
        <f>IF($A550="","",IFERROR(INDEX('2_IMPORTAR_EJECUCION'!$F$9:$F$1208,MATCH($AQ550,'2_IMPORTAR_EJECUCION'!$J$9:$J$1208,0)),0))</f>
        <v/>
      </c>
      <c r="AJ550" s="10">
        <f>IF($A550="","",MAX(0,IFERROR(INDEX('2_IMPORTAR_EJECUCION'!$H$9:$H$1208,MATCH($AQ550,'2_IMPORTAR_EJECUCION'!$J$9:$J$1208,0)),0)-$AI550))</f>
        <v/>
      </c>
      <c r="AK550" s="10">
        <f>IF($A550="","",$AI550+$AJ550)</f>
        <v/>
      </c>
      <c r="AL550" s="6" t="n"/>
      <c r="AM550" s="6" t="n"/>
      <c r="AN550" s="6" t="n"/>
      <c r="AO550" s="3">
        <f>IF($AN550="","",HYPERLINK(p_ruta_base_checklists&amp;$AN550,"abrir"))</f>
        <v/>
      </c>
      <c r="AP550" s="6" t="n"/>
      <c r="AQ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IF($A551="","",IFERROR(INDEX('AJUSTES'!$B$4:$B$303,MATCH($AQ551,'AJUSTES'!$A$4:$A$303,0)),IF($K551="","",$K551)))</f>
        <v/>
      </c>
      <c r="N551" s="3">
        <f>IF($A551="","",IFERROR(INDEX('CAT_ESTADOS_ERP'!$B$4:$B$7,MATCH(IFERROR(INDEX('2_IMPORTAR_EJECUCION'!$C$9:$C$1208,MATCH($AQ551,'2_IMPORTAR_EJECUCION'!$J$9:$J$1208,0)),""),'CAT_ESTADOS_ERP'!$A$4:$A$7,0)),"Pendiente"))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J551="","",IFERROR(INDEX('CALENDARIO'!$C$15:$C$214,MATCH(TEXT($J551,"yyyy-mm-dd")&amp;"|"&amp;$V551&amp;"|"&amp;$W551,'CALENDARIO'!$G$15:$G$214,0)),IFERROR(INDEX('CALENDARIO'!$C$15:$C$214,MATCH(TEXT($J551,"yyyy-mm-dd")&amp;"|"&amp;$V551&amp;"|",'CALENDARIO'!$G$15:$G$214,0)),IFERROR(INDEX('CALENDARIO'!$C$15:$C$214,MATCH(TEXT($J551,"yyyy-mm-dd")&amp;"||",'CALENDARIO'!$G$15:$G$214,0)),INDEX(patronHabil,WEEKDAY($J551,2))))))</f>
        <v/>
      </c>
      <c r="T551" s="3">
        <f>IF($I551="","",IFERROR(INDEX('CAT_TIPOS_OT'!$C$4:$C$7,MATCH($I551,'CAT_TIPOS_OT'!$A$4:$A$7,0)),"sin_clasificar"))</f>
        <v/>
      </c>
      <c r="U551" s="3">
        <f>IF($F551="","",IFERROR(INDEX('CAT_CENTROS_COSTO'!$F$4:$F$13,MATCH($F551,'CAT_CENTROS_COSTO'!$A$4:$A$13,0)),"(sin catálogo)"))</f>
        <v/>
      </c>
      <c r="V551" s="3">
        <f>IF($F551="","",IFERROR(INDEX('CAT_CENTROS_COSTO'!$D$4:$D$13,MATCH($F551,'CAT_CENTROS_COSTO'!$A$4:$A$13,0)),"(sin catálogo)"))</f>
        <v/>
      </c>
      <c r="W551" s="3">
        <f>IF($F551="","",IF((IFERROR(INDEX('CAT_CENTROS_COSTO'!$E$4:$E$13,MATCH($F551,'CAT_CENTROS_COSTO'!$A$4:$A$13,0)),""))&lt;&gt;"",IFERROR(INDEX('CAT_CENTROS_COSTO'!$E$4:$E$13,MATCH($F551,'CAT_CENTROS_COSTO'!$A$4:$A$13,0)),""),$V551))</f>
        <v/>
      </c>
      <c r="X551" s="3">
        <f>IF($F551="","",IFERROR(INDEX('CAT_CENTROS_COSTO'!$G$4:$G$13,MATCH($F551,'CAT_CENTROS_COSTO'!$A$4:$A$13,0)),"(sin catálogo)"))</f>
        <v/>
      </c>
      <c r="Y551" s="3">
        <f>IF($G551="","",IFERROR(INDEX('CAT_PUESTOS'!$B$4:$B$8,MATCH($G551,'CAT_PUESTOS'!$A$4:$A$8,0)),"(sin catálogo)"))</f>
        <v/>
      </c>
      <c r="Z551" s="3">
        <f>IF($H551="","",IFERROR(INDEX('CAT_ACTIVIDADES'!$B$4:$B$8,MATCH($H551,'CAT_ACTIVIDADES'!$A$4:$A$8,0)),"(sin catálogo)"))</f>
        <v/>
      </c>
      <c r="AA551" s="12">
        <f>IF($J551="","",TODAY()-$J551)</f>
        <v/>
      </c>
      <c r="AB551" s="12">
        <f>IF($J551="","",IF($J551&lt;=TODAY(),COUNTIFS(cal_fechas,"&gt;="&amp;$J551,cal_fechas,"&lt;"&amp;TODAY(),cal_habil,"sí"),-COUNTIFS(cal_fechas,"&gt;="&amp;TODAY(),cal_fechas,"&lt;"&amp;$J551,cal_habil,"sí")))</f>
        <v/>
      </c>
      <c r="AC551" s="3">
        <f>IF($AB551="","",IF($AB551&lt;0,"FUTURO",IF($AB551&gt;p_dias_backlog_max,"BACKLOG","MES CORRIENTE")))</f>
        <v/>
      </c>
      <c r="AD551" s="3">
        <f>IF($AB551="",FALSE,AND($AB551&gt;p_dias_backlog_min,$AB551&lt;=p_dias_backlog_max))</f>
        <v/>
      </c>
      <c r="AE551" s="6" t="n"/>
      <c r="AF551" s="3">
        <f>IF($AE551="","",IF((IFERROR(INDEX('ASIGNACIONES'!$F$4:$F$339,MATCH($O551&amp;"|"&amp;$R551&amp;"|"&amp;$AE551,'ASIGNACIONES'!$J$4:$J$339,0)),""))=0,"",IFERROR(INDEX('ASIGNACIONES'!$F$4:$F$339,MATCH($O551&amp;"|"&amp;$R551&amp;"|"&amp;$AE551,'ASIGNACIONES'!$J$4:$J$339,0)),"")))</f>
        <v/>
      </c>
      <c r="AG551" s="13">
        <f>IF($AE551="","",SUMIFS('ORDENES'!$M$4:$M$1203,'ORDENES'!$AE$4:$AE$1203,$AE551,'ORDENES'!$O$4:$O$1203,$O551,'ORDENES'!$R$4:$R$1203,$R551))</f>
        <v/>
      </c>
      <c r="AH551" s="13">
        <f>IF($AG551="","",p_factor_productividad*IFERROR(INDEX('ASIGNACIONES'!$I$4:$I$339,MATCH($O551&amp;"|"&amp;$R551&amp;"|"&amp;$AE551,'ASIGNACIONES'!$J$4:$J$339,0)),0)-$AG551)</f>
        <v/>
      </c>
      <c r="AI551" s="10">
        <f>IF($A551="","",IFERROR(INDEX('2_IMPORTAR_EJECUCION'!$F$9:$F$1208,MATCH($AQ551,'2_IMPORTAR_EJECUCION'!$J$9:$J$1208,0)),0))</f>
        <v/>
      </c>
      <c r="AJ551" s="10">
        <f>IF($A551="","",MAX(0,IFERROR(INDEX('2_IMPORTAR_EJECUCION'!$H$9:$H$1208,MATCH($AQ551,'2_IMPORTAR_EJECUCION'!$J$9:$J$1208,0)),0)-$AI551))</f>
        <v/>
      </c>
      <c r="AK551" s="10">
        <f>IF($A551="","",$AI551+$AJ551)</f>
        <v/>
      </c>
      <c r="AL551" s="6" t="n"/>
      <c r="AM551" s="6" t="n"/>
      <c r="AN551" s="6" t="n"/>
      <c r="AO551" s="3">
        <f>IF($AN551="","",HYPERLINK(p_ruta_base_checklists&amp;$AN551,"abrir"))</f>
        <v/>
      </c>
      <c r="AP551" s="6" t="n"/>
      <c r="AQ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IF($A552="","",IFERROR(INDEX('AJUSTES'!$B$4:$B$303,MATCH($AQ552,'AJUSTES'!$A$4:$A$303,0)),IF($K552="","",$K552)))</f>
        <v/>
      </c>
      <c r="N552" s="3">
        <f>IF($A552="","",IFERROR(INDEX('CAT_ESTADOS_ERP'!$B$4:$B$7,MATCH(IFERROR(INDEX('2_IMPORTAR_EJECUCION'!$C$9:$C$1208,MATCH($AQ552,'2_IMPORTAR_EJECUCION'!$J$9:$J$1208,0)),""),'CAT_ESTADOS_ERP'!$A$4:$A$7,0)),"Pendiente"))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J552="","",IFERROR(INDEX('CALENDARIO'!$C$15:$C$214,MATCH(TEXT($J552,"yyyy-mm-dd")&amp;"|"&amp;$V552&amp;"|"&amp;$W552,'CALENDARIO'!$G$15:$G$214,0)),IFERROR(INDEX('CALENDARIO'!$C$15:$C$214,MATCH(TEXT($J552,"yyyy-mm-dd")&amp;"|"&amp;$V552&amp;"|",'CALENDARIO'!$G$15:$G$214,0)),IFERROR(INDEX('CALENDARIO'!$C$15:$C$214,MATCH(TEXT($J552,"yyyy-mm-dd")&amp;"||",'CALENDARIO'!$G$15:$G$214,0)),INDEX(patronHabil,WEEKDAY($J552,2))))))</f>
        <v/>
      </c>
      <c r="T552" s="3">
        <f>IF($I552="","",IFERROR(INDEX('CAT_TIPOS_OT'!$C$4:$C$7,MATCH($I552,'CAT_TIPOS_OT'!$A$4:$A$7,0)),"sin_clasificar"))</f>
        <v/>
      </c>
      <c r="U552" s="3">
        <f>IF($F552="","",IFERROR(INDEX('CAT_CENTROS_COSTO'!$F$4:$F$13,MATCH($F552,'CAT_CENTROS_COSTO'!$A$4:$A$13,0)),"(sin catálogo)"))</f>
        <v/>
      </c>
      <c r="V552" s="3">
        <f>IF($F552="","",IFERROR(INDEX('CAT_CENTROS_COSTO'!$D$4:$D$13,MATCH($F552,'CAT_CENTROS_COSTO'!$A$4:$A$13,0)),"(sin catálogo)"))</f>
        <v/>
      </c>
      <c r="W552" s="3">
        <f>IF($F552="","",IF((IFERROR(INDEX('CAT_CENTROS_COSTO'!$E$4:$E$13,MATCH($F552,'CAT_CENTROS_COSTO'!$A$4:$A$13,0)),""))&lt;&gt;"",IFERROR(INDEX('CAT_CENTROS_COSTO'!$E$4:$E$13,MATCH($F552,'CAT_CENTROS_COSTO'!$A$4:$A$13,0)),""),$V552))</f>
        <v/>
      </c>
      <c r="X552" s="3">
        <f>IF($F552="","",IFERROR(INDEX('CAT_CENTROS_COSTO'!$G$4:$G$13,MATCH($F552,'CAT_CENTROS_COSTO'!$A$4:$A$13,0)),"(sin catálogo)"))</f>
        <v/>
      </c>
      <c r="Y552" s="3">
        <f>IF($G552="","",IFERROR(INDEX('CAT_PUESTOS'!$B$4:$B$8,MATCH($G552,'CAT_PUESTOS'!$A$4:$A$8,0)),"(sin catálogo)"))</f>
        <v/>
      </c>
      <c r="Z552" s="3">
        <f>IF($H552="","",IFERROR(INDEX('CAT_ACTIVIDADES'!$B$4:$B$8,MATCH($H552,'CAT_ACTIVIDADES'!$A$4:$A$8,0)),"(sin catálogo)"))</f>
        <v/>
      </c>
      <c r="AA552" s="12">
        <f>IF($J552="","",TODAY()-$J552)</f>
        <v/>
      </c>
      <c r="AB552" s="12">
        <f>IF($J552="","",IF($J552&lt;=TODAY(),COUNTIFS(cal_fechas,"&gt;="&amp;$J552,cal_fechas,"&lt;"&amp;TODAY(),cal_habil,"sí"),-COUNTIFS(cal_fechas,"&gt;="&amp;TODAY(),cal_fechas,"&lt;"&amp;$J552,cal_habil,"sí")))</f>
        <v/>
      </c>
      <c r="AC552" s="3">
        <f>IF($AB552="","",IF($AB552&lt;0,"FUTURO",IF($AB552&gt;p_dias_backlog_max,"BACKLOG","MES CORRIENTE")))</f>
        <v/>
      </c>
      <c r="AD552" s="3">
        <f>IF($AB552="",FALSE,AND($AB552&gt;p_dias_backlog_min,$AB552&lt;=p_dias_backlog_max))</f>
        <v/>
      </c>
      <c r="AE552" s="6" t="n"/>
      <c r="AF552" s="3">
        <f>IF($AE552="","",IF((IFERROR(INDEX('ASIGNACIONES'!$F$4:$F$339,MATCH($O552&amp;"|"&amp;$R552&amp;"|"&amp;$AE552,'ASIGNACIONES'!$J$4:$J$339,0)),""))=0,"",IFERROR(INDEX('ASIGNACIONES'!$F$4:$F$339,MATCH($O552&amp;"|"&amp;$R552&amp;"|"&amp;$AE552,'ASIGNACIONES'!$J$4:$J$339,0)),"")))</f>
        <v/>
      </c>
      <c r="AG552" s="13">
        <f>IF($AE552="","",SUMIFS('ORDENES'!$M$4:$M$1203,'ORDENES'!$AE$4:$AE$1203,$AE552,'ORDENES'!$O$4:$O$1203,$O552,'ORDENES'!$R$4:$R$1203,$R552))</f>
        <v/>
      </c>
      <c r="AH552" s="13">
        <f>IF($AG552="","",p_factor_productividad*IFERROR(INDEX('ASIGNACIONES'!$I$4:$I$339,MATCH($O552&amp;"|"&amp;$R552&amp;"|"&amp;$AE552,'ASIGNACIONES'!$J$4:$J$339,0)),0)-$AG552)</f>
        <v/>
      </c>
      <c r="AI552" s="10">
        <f>IF($A552="","",IFERROR(INDEX('2_IMPORTAR_EJECUCION'!$F$9:$F$1208,MATCH($AQ552,'2_IMPORTAR_EJECUCION'!$J$9:$J$1208,0)),0))</f>
        <v/>
      </c>
      <c r="AJ552" s="10">
        <f>IF($A552="","",MAX(0,IFERROR(INDEX('2_IMPORTAR_EJECUCION'!$H$9:$H$1208,MATCH($AQ552,'2_IMPORTAR_EJECUCION'!$J$9:$J$1208,0)),0)-$AI552))</f>
        <v/>
      </c>
      <c r="AK552" s="10">
        <f>IF($A552="","",$AI552+$AJ552)</f>
        <v/>
      </c>
      <c r="AL552" s="6" t="n"/>
      <c r="AM552" s="6" t="n"/>
      <c r="AN552" s="6" t="n"/>
      <c r="AO552" s="3">
        <f>IF($AN552="","",HYPERLINK(p_ruta_base_checklists&amp;$AN552,"abrir"))</f>
        <v/>
      </c>
      <c r="AP552" s="6" t="n"/>
      <c r="AQ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IF($A553="","",IFERROR(INDEX('AJUSTES'!$B$4:$B$303,MATCH($AQ553,'AJUSTES'!$A$4:$A$303,0)),IF($K553="","",$K553)))</f>
        <v/>
      </c>
      <c r="N553" s="3">
        <f>IF($A553="","",IFERROR(INDEX('CAT_ESTADOS_ERP'!$B$4:$B$7,MATCH(IFERROR(INDEX('2_IMPORTAR_EJECUCION'!$C$9:$C$1208,MATCH($AQ553,'2_IMPORTAR_EJECUCION'!$J$9:$J$1208,0)),""),'CAT_ESTADOS_ERP'!$A$4:$A$7,0)),"Pendiente"))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J553="","",IFERROR(INDEX('CALENDARIO'!$C$15:$C$214,MATCH(TEXT($J553,"yyyy-mm-dd")&amp;"|"&amp;$V553&amp;"|"&amp;$W553,'CALENDARIO'!$G$15:$G$214,0)),IFERROR(INDEX('CALENDARIO'!$C$15:$C$214,MATCH(TEXT($J553,"yyyy-mm-dd")&amp;"|"&amp;$V553&amp;"|",'CALENDARIO'!$G$15:$G$214,0)),IFERROR(INDEX('CALENDARIO'!$C$15:$C$214,MATCH(TEXT($J553,"yyyy-mm-dd")&amp;"||",'CALENDARIO'!$G$15:$G$214,0)),INDEX(patronHabil,WEEKDAY($J553,2))))))</f>
        <v/>
      </c>
      <c r="T553" s="3">
        <f>IF($I553="","",IFERROR(INDEX('CAT_TIPOS_OT'!$C$4:$C$7,MATCH($I553,'CAT_TIPOS_OT'!$A$4:$A$7,0)),"sin_clasificar"))</f>
        <v/>
      </c>
      <c r="U553" s="3">
        <f>IF($F553="","",IFERROR(INDEX('CAT_CENTROS_COSTO'!$F$4:$F$13,MATCH($F553,'CAT_CENTROS_COSTO'!$A$4:$A$13,0)),"(sin catálogo)"))</f>
        <v/>
      </c>
      <c r="V553" s="3">
        <f>IF($F553="","",IFERROR(INDEX('CAT_CENTROS_COSTO'!$D$4:$D$13,MATCH($F553,'CAT_CENTROS_COSTO'!$A$4:$A$13,0)),"(sin catálogo)"))</f>
        <v/>
      </c>
      <c r="W553" s="3">
        <f>IF($F553="","",IF((IFERROR(INDEX('CAT_CENTROS_COSTO'!$E$4:$E$13,MATCH($F553,'CAT_CENTROS_COSTO'!$A$4:$A$13,0)),""))&lt;&gt;"",IFERROR(INDEX('CAT_CENTROS_COSTO'!$E$4:$E$13,MATCH($F553,'CAT_CENTROS_COSTO'!$A$4:$A$13,0)),""),$V553))</f>
        <v/>
      </c>
      <c r="X553" s="3">
        <f>IF($F553="","",IFERROR(INDEX('CAT_CENTROS_COSTO'!$G$4:$G$13,MATCH($F553,'CAT_CENTROS_COSTO'!$A$4:$A$13,0)),"(sin catálogo)"))</f>
        <v/>
      </c>
      <c r="Y553" s="3">
        <f>IF($G553="","",IFERROR(INDEX('CAT_PUESTOS'!$B$4:$B$8,MATCH($G553,'CAT_PUESTOS'!$A$4:$A$8,0)),"(sin catálogo)"))</f>
        <v/>
      </c>
      <c r="Z553" s="3">
        <f>IF($H553="","",IFERROR(INDEX('CAT_ACTIVIDADES'!$B$4:$B$8,MATCH($H553,'CAT_ACTIVIDADES'!$A$4:$A$8,0)),"(sin catálogo)"))</f>
        <v/>
      </c>
      <c r="AA553" s="12">
        <f>IF($J553="","",TODAY()-$J553)</f>
        <v/>
      </c>
      <c r="AB553" s="12">
        <f>IF($J553="","",IF($J553&lt;=TODAY(),COUNTIFS(cal_fechas,"&gt;="&amp;$J553,cal_fechas,"&lt;"&amp;TODAY(),cal_habil,"sí"),-COUNTIFS(cal_fechas,"&gt;="&amp;TODAY(),cal_fechas,"&lt;"&amp;$J553,cal_habil,"sí")))</f>
        <v/>
      </c>
      <c r="AC553" s="3">
        <f>IF($AB553="","",IF($AB553&lt;0,"FUTURO",IF($AB553&gt;p_dias_backlog_max,"BACKLOG","MES CORRIENTE")))</f>
        <v/>
      </c>
      <c r="AD553" s="3">
        <f>IF($AB553="",FALSE,AND($AB553&gt;p_dias_backlog_min,$AB553&lt;=p_dias_backlog_max))</f>
        <v/>
      </c>
      <c r="AE553" s="6" t="n"/>
      <c r="AF553" s="3">
        <f>IF($AE553="","",IF((IFERROR(INDEX('ASIGNACIONES'!$F$4:$F$339,MATCH($O553&amp;"|"&amp;$R553&amp;"|"&amp;$AE553,'ASIGNACIONES'!$J$4:$J$339,0)),""))=0,"",IFERROR(INDEX('ASIGNACIONES'!$F$4:$F$339,MATCH($O553&amp;"|"&amp;$R553&amp;"|"&amp;$AE553,'ASIGNACIONES'!$J$4:$J$339,0)),"")))</f>
        <v/>
      </c>
      <c r="AG553" s="13">
        <f>IF($AE553="","",SUMIFS('ORDENES'!$M$4:$M$1203,'ORDENES'!$AE$4:$AE$1203,$AE553,'ORDENES'!$O$4:$O$1203,$O553,'ORDENES'!$R$4:$R$1203,$R553))</f>
        <v/>
      </c>
      <c r="AH553" s="13">
        <f>IF($AG553="","",p_factor_productividad*IFERROR(INDEX('ASIGNACIONES'!$I$4:$I$339,MATCH($O553&amp;"|"&amp;$R553&amp;"|"&amp;$AE553,'ASIGNACIONES'!$J$4:$J$339,0)),0)-$AG553)</f>
        <v/>
      </c>
      <c r="AI553" s="10">
        <f>IF($A553="","",IFERROR(INDEX('2_IMPORTAR_EJECUCION'!$F$9:$F$1208,MATCH($AQ553,'2_IMPORTAR_EJECUCION'!$J$9:$J$1208,0)),0))</f>
        <v/>
      </c>
      <c r="AJ553" s="10">
        <f>IF($A553="","",MAX(0,IFERROR(INDEX('2_IMPORTAR_EJECUCION'!$H$9:$H$1208,MATCH($AQ553,'2_IMPORTAR_EJECUCION'!$J$9:$J$1208,0)),0)-$AI553))</f>
        <v/>
      </c>
      <c r="AK553" s="10">
        <f>IF($A553="","",$AI553+$AJ553)</f>
        <v/>
      </c>
      <c r="AL553" s="6" t="n"/>
      <c r="AM553" s="6" t="n"/>
      <c r="AN553" s="6" t="n"/>
      <c r="AO553" s="3">
        <f>IF($AN553="","",HYPERLINK(p_ruta_base_checklists&amp;$AN553,"abrir"))</f>
        <v/>
      </c>
      <c r="AP553" s="6" t="n"/>
      <c r="AQ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IF($A554="","",IFERROR(INDEX('AJUSTES'!$B$4:$B$303,MATCH($AQ554,'AJUSTES'!$A$4:$A$303,0)),IF($K554="","",$K554)))</f>
        <v/>
      </c>
      <c r="N554" s="3">
        <f>IF($A554="","",IFERROR(INDEX('CAT_ESTADOS_ERP'!$B$4:$B$7,MATCH(IFERROR(INDEX('2_IMPORTAR_EJECUCION'!$C$9:$C$1208,MATCH($AQ554,'2_IMPORTAR_EJECUCION'!$J$9:$J$1208,0)),""),'CAT_ESTADOS_ERP'!$A$4:$A$7,0)),"Pendiente"))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J554="","",IFERROR(INDEX('CALENDARIO'!$C$15:$C$214,MATCH(TEXT($J554,"yyyy-mm-dd")&amp;"|"&amp;$V554&amp;"|"&amp;$W554,'CALENDARIO'!$G$15:$G$214,0)),IFERROR(INDEX('CALENDARIO'!$C$15:$C$214,MATCH(TEXT($J554,"yyyy-mm-dd")&amp;"|"&amp;$V554&amp;"|",'CALENDARIO'!$G$15:$G$214,0)),IFERROR(INDEX('CALENDARIO'!$C$15:$C$214,MATCH(TEXT($J554,"yyyy-mm-dd")&amp;"||",'CALENDARIO'!$G$15:$G$214,0)),INDEX(patronHabil,WEEKDAY($J554,2))))))</f>
        <v/>
      </c>
      <c r="T554" s="3">
        <f>IF($I554="","",IFERROR(INDEX('CAT_TIPOS_OT'!$C$4:$C$7,MATCH($I554,'CAT_TIPOS_OT'!$A$4:$A$7,0)),"sin_clasificar"))</f>
        <v/>
      </c>
      <c r="U554" s="3">
        <f>IF($F554="","",IFERROR(INDEX('CAT_CENTROS_COSTO'!$F$4:$F$13,MATCH($F554,'CAT_CENTROS_COSTO'!$A$4:$A$13,0)),"(sin catálogo)"))</f>
        <v/>
      </c>
      <c r="V554" s="3">
        <f>IF($F554="","",IFERROR(INDEX('CAT_CENTROS_COSTO'!$D$4:$D$13,MATCH($F554,'CAT_CENTROS_COSTO'!$A$4:$A$13,0)),"(sin catálogo)"))</f>
        <v/>
      </c>
      <c r="W554" s="3">
        <f>IF($F554="","",IF((IFERROR(INDEX('CAT_CENTROS_COSTO'!$E$4:$E$13,MATCH($F554,'CAT_CENTROS_COSTO'!$A$4:$A$13,0)),""))&lt;&gt;"",IFERROR(INDEX('CAT_CENTROS_COSTO'!$E$4:$E$13,MATCH($F554,'CAT_CENTROS_COSTO'!$A$4:$A$13,0)),""),$V554))</f>
        <v/>
      </c>
      <c r="X554" s="3">
        <f>IF($F554="","",IFERROR(INDEX('CAT_CENTROS_COSTO'!$G$4:$G$13,MATCH($F554,'CAT_CENTROS_COSTO'!$A$4:$A$13,0)),"(sin catálogo)"))</f>
        <v/>
      </c>
      <c r="Y554" s="3">
        <f>IF($G554="","",IFERROR(INDEX('CAT_PUESTOS'!$B$4:$B$8,MATCH($G554,'CAT_PUESTOS'!$A$4:$A$8,0)),"(sin catálogo)"))</f>
        <v/>
      </c>
      <c r="Z554" s="3">
        <f>IF($H554="","",IFERROR(INDEX('CAT_ACTIVIDADES'!$B$4:$B$8,MATCH($H554,'CAT_ACTIVIDADES'!$A$4:$A$8,0)),"(sin catálogo)"))</f>
        <v/>
      </c>
      <c r="AA554" s="12">
        <f>IF($J554="","",TODAY()-$J554)</f>
        <v/>
      </c>
      <c r="AB554" s="12">
        <f>IF($J554="","",IF($J554&lt;=TODAY(),COUNTIFS(cal_fechas,"&gt;="&amp;$J554,cal_fechas,"&lt;"&amp;TODAY(),cal_habil,"sí"),-COUNTIFS(cal_fechas,"&gt;="&amp;TODAY(),cal_fechas,"&lt;"&amp;$J554,cal_habil,"sí")))</f>
        <v/>
      </c>
      <c r="AC554" s="3">
        <f>IF($AB554="","",IF($AB554&lt;0,"FUTURO",IF($AB554&gt;p_dias_backlog_max,"BACKLOG","MES CORRIENTE")))</f>
        <v/>
      </c>
      <c r="AD554" s="3">
        <f>IF($AB554="",FALSE,AND($AB554&gt;p_dias_backlog_min,$AB554&lt;=p_dias_backlog_max))</f>
        <v/>
      </c>
      <c r="AE554" s="6" t="n"/>
      <c r="AF554" s="3">
        <f>IF($AE554="","",IF((IFERROR(INDEX('ASIGNACIONES'!$F$4:$F$339,MATCH($O554&amp;"|"&amp;$R554&amp;"|"&amp;$AE554,'ASIGNACIONES'!$J$4:$J$339,0)),""))=0,"",IFERROR(INDEX('ASIGNACIONES'!$F$4:$F$339,MATCH($O554&amp;"|"&amp;$R554&amp;"|"&amp;$AE554,'ASIGNACIONES'!$J$4:$J$339,0)),"")))</f>
        <v/>
      </c>
      <c r="AG554" s="13">
        <f>IF($AE554="","",SUMIFS('ORDENES'!$M$4:$M$1203,'ORDENES'!$AE$4:$AE$1203,$AE554,'ORDENES'!$O$4:$O$1203,$O554,'ORDENES'!$R$4:$R$1203,$R554))</f>
        <v/>
      </c>
      <c r="AH554" s="13">
        <f>IF($AG554="","",p_factor_productividad*IFERROR(INDEX('ASIGNACIONES'!$I$4:$I$339,MATCH($O554&amp;"|"&amp;$R554&amp;"|"&amp;$AE554,'ASIGNACIONES'!$J$4:$J$339,0)),0)-$AG554)</f>
        <v/>
      </c>
      <c r="AI554" s="10">
        <f>IF($A554="","",IFERROR(INDEX('2_IMPORTAR_EJECUCION'!$F$9:$F$1208,MATCH($AQ554,'2_IMPORTAR_EJECUCION'!$J$9:$J$1208,0)),0))</f>
        <v/>
      </c>
      <c r="AJ554" s="10">
        <f>IF($A554="","",MAX(0,IFERROR(INDEX('2_IMPORTAR_EJECUCION'!$H$9:$H$1208,MATCH($AQ554,'2_IMPORTAR_EJECUCION'!$J$9:$J$1208,0)),0)-$AI554))</f>
        <v/>
      </c>
      <c r="AK554" s="10">
        <f>IF($A554="","",$AI554+$AJ554)</f>
        <v/>
      </c>
      <c r="AL554" s="6" t="n"/>
      <c r="AM554" s="6" t="n"/>
      <c r="AN554" s="6" t="n"/>
      <c r="AO554" s="3">
        <f>IF($AN554="","",HYPERLINK(p_ruta_base_checklists&amp;$AN554,"abrir"))</f>
        <v/>
      </c>
      <c r="AP554" s="6" t="n"/>
      <c r="AQ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IF($A555="","",IFERROR(INDEX('AJUSTES'!$B$4:$B$303,MATCH($AQ555,'AJUSTES'!$A$4:$A$303,0)),IF($K555="","",$K555)))</f>
        <v/>
      </c>
      <c r="N555" s="3">
        <f>IF($A555="","",IFERROR(INDEX('CAT_ESTADOS_ERP'!$B$4:$B$7,MATCH(IFERROR(INDEX('2_IMPORTAR_EJECUCION'!$C$9:$C$1208,MATCH($AQ555,'2_IMPORTAR_EJECUCION'!$J$9:$J$1208,0)),""),'CAT_ESTADOS_ERP'!$A$4:$A$7,0)),"Pendiente"))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J555="","",IFERROR(INDEX('CALENDARIO'!$C$15:$C$214,MATCH(TEXT($J555,"yyyy-mm-dd")&amp;"|"&amp;$V555&amp;"|"&amp;$W555,'CALENDARIO'!$G$15:$G$214,0)),IFERROR(INDEX('CALENDARIO'!$C$15:$C$214,MATCH(TEXT($J555,"yyyy-mm-dd")&amp;"|"&amp;$V555&amp;"|",'CALENDARIO'!$G$15:$G$214,0)),IFERROR(INDEX('CALENDARIO'!$C$15:$C$214,MATCH(TEXT($J555,"yyyy-mm-dd")&amp;"||",'CALENDARIO'!$G$15:$G$214,0)),INDEX(patronHabil,WEEKDAY($J555,2))))))</f>
        <v/>
      </c>
      <c r="T555" s="3">
        <f>IF($I555="","",IFERROR(INDEX('CAT_TIPOS_OT'!$C$4:$C$7,MATCH($I555,'CAT_TIPOS_OT'!$A$4:$A$7,0)),"sin_clasificar"))</f>
        <v/>
      </c>
      <c r="U555" s="3">
        <f>IF($F555="","",IFERROR(INDEX('CAT_CENTROS_COSTO'!$F$4:$F$13,MATCH($F555,'CAT_CENTROS_COSTO'!$A$4:$A$13,0)),"(sin catálogo)"))</f>
        <v/>
      </c>
      <c r="V555" s="3">
        <f>IF($F555="","",IFERROR(INDEX('CAT_CENTROS_COSTO'!$D$4:$D$13,MATCH($F555,'CAT_CENTROS_COSTO'!$A$4:$A$13,0)),"(sin catálogo)"))</f>
        <v/>
      </c>
      <c r="W555" s="3">
        <f>IF($F555="","",IF((IFERROR(INDEX('CAT_CENTROS_COSTO'!$E$4:$E$13,MATCH($F555,'CAT_CENTROS_COSTO'!$A$4:$A$13,0)),""))&lt;&gt;"",IFERROR(INDEX('CAT_CENTROS_COSTO'!$E$4:$E$13,MATCH($F555,'CAT_CENTROS_COSTO'!$A$4:$A$13,0)),""),$V555))</f>
        <v/>
      </c>
      <c r="X555" s="3">
        <f>IF($F555="","",IFERROR(INDEX('CAT_CENTROS_COSTO'!$G$4:$G$13,MATCH($F555,'CAT_CENTROS_COSTO'!$A$4:$A$13,0)),"(sin catálogo)"))</f>
        <v/>
      </c>
      <c r="Y555" s="3">
        <f>IF($G555="","",IFERROR(INDEX('CAT_PUESTOS'!$B$4:$B$8,MATCH($G555,'CAT_PUESTOS'!$A$4:$A$8,0)),"(sin catálogo)"))</f>
        <v/>
      </c>
      <c r="Z555" s="3">
        <f>IF($H555="","",IFERROR(INDEX('CAT_ACTIVIDADES'!$B$4:$B$8,MATCH($H555,'CAT_ACTIVIDADES'!$A$4:$A$8,0)),"(sin catálogo)"))</f>
        <v/>
      </c>
      <c r="AA555" s="12">
        <f>IF($J555="","",TODAY()-$J555)</f>
        <v/>
      </c>
      <c r="AB555" s="12">
        <f>IF($J555="","",IF($J555&lt;=TODAY(),COUNTIFS(cal_fechas,"&gt;="&amp;$J555,cal_fechas,"&lt;"&amp;TODAY(),cal_habil,"sí"),-COUNTIFS(cal_fechas,"&gt;="&amp;TODAY(),cal_fechas,"&lt;"&amp;$J555,cal_habil,"sí")))</f>
        <v/>
      </c>
      <c r="AC555" s="3">
        <f>IF($AB555="","",IF($AB555&lt;0,"FUTURO",IF($AB555&gt;p_dias_backlog_max,"BACKLOG","MES CORRIENTE")))</f>
        <v/>
      </c>
      <c r="AD555" s="3">
        <f>IF($AB555="",FALSE,AND($AB555&gt;p_dias_backlog_min,$AB555&lt;=p_dias_backlog_max))</f>
        <v/>
      </c>
      <c r="AE555" s="6" t="n"/>
      <c r="AF555" s="3">
        <f>IF($AE555="","",IF((IFERROR(INDEX('ASIGNACIONES'!$F$4:$F$339,MATCH($O555&amp;"|"&amp;$R555&amp;"|"&amp;$AE555,'ASIGNACIONES'!$J$4:$J$339,0)),""))=0,"",IFERROR(INDEX('ASIGNACIONES'!$F$4:$F$339,MATCH($O555&amp;"|"&amp;$R555&amp;"|"&amp;$AE555,'ASIGNACIONES'!$J$4:$J$339,0)),"")))</f>
        <v/>
      </c>
      <c r="AG555" s="13">
        <f>IF($AE555="","",SUMIFS('ORDENES'!$M$4:$M$1203,'ORDENES'!$AE$4:$AE$1203,$AE555,'ORDENES'!$O$4:$O$1203,$O555,'ORDENES'!$R$4:$R$1203,$R555))</f>
        <v/>
      </c>
      <c r="AH555" s="13">
        <f>IF($AG555="","",p_factor_productividad*IFERROR(INDEX('ASIGNACIONES'!$I$4:$I$339,MATCH($O555&amp;"|"&amp;$R555&amp;"|"&amp;$AE555,'ASIGNACIONES'!$J$4:$J$339,0)),0)-$AG555)</f>
        <v/>
      </c>
      <c r="AI555" s="10">
        <f>IF($A555="","",IFERROR(INDEX('2_IMPORTAR_EJECUCION'!$F$9:$F$1208,MATCH($AQ555,'2_IMPORTAR_EJECUCION'!$J$9:$J$1208,0)),0))</f>
        <v/>
      </c>
      <c r="AJ555" s="10">
        <f>IF($A555="","",MAX(0,IFERROR(INDEX('2_IMPORTAR_EJECUCION'!$H$9:$H$1208,MATCH($AQ555,'2_IMPORTAR_EJECUCION'!$J$9:$J$1208,0)),0)-$AI555))</f>
        <v/>
      </c>
      <c r="AK555" s="10">
        <f>IF($A555="","",$AI555+$AJ555)</f>
        <v/>
      </c>
      <c r="AL555" s="6" t="n"/>
      <c r="AM555" s="6" t="n"/>
      <c r="AN555" s="6" t="n"/>
      <c r="AO555" s="3">
        <f>IF($AN555="","",HYPERLINK(p_ruta_base_checklists&amp;$AN555,"abrir"))</f>
        <v/>
      </c>
      <c r="AP555" s="6" t="n"/>
      <c r="AQ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IF($A556="","",IFERROR(INDEX('AJUSTES'!$B$4:$B$303,MATCH($AQ556,'AJUSTES'!$A$4:$A$303,0)),IF($K556="","",$K556)))</f>
        <v/>
      </c>
      <c r="N556" s="3">
        <f>IF($A556="","",IFERROR(INDEX('CAT_ESTADOS_ERP'!$B$4:$B$7,MATCH(IFERROR(INDEX('2_IMPORTAR_EJECUCION'!$C$9:$C$1208,MATCH($AQ556,'2_IMPORTAR_EJECUCION'!$J$9:$J$1208,0)),""),'CAT_ESTADOS_ERP'!$A$4:$A$7,0)),"Pendiente"))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J556="","",IFERROR(INDEX('CALENDARIO'!$C$15:$C$214,MATCH(TEXT($J556,"yyyy-mm-dd")&amp;"|"&amp;$V556&amp;"|"&amp;$W556,'CALENDARIO'!$G$15:$G$214,0)),IFERROR(INDEX('CALENDARIO'!$C$15:$C$214,MATCH(TEXT($J556,"yyyy-mm-dd")&amp;"|"&amp;$V556&amp;"|",'CALENDARIO'!$G$15:$G$214,0)),IFERROR(INDEX('CALENDARIO'!$C$15:$C$214,MATCH(TEXT($J556,"yyyy-mm-dd")&amp;"||",'CALENDARIO'!$G$15:$G$214,0)),INDEX(patronHabil,WEEKDAY($J556,2))))))</f>
        <v/>
      </c>
      <c r="T556" s="3">
        <f>IF($I556="","",IFERROR(INDEX('CAT_TIPOS_OT'!$C$4:$C$7,MATCH($I556,'CAT_TIPOS_OT'!$A$4:$A$7,0)),"sin_clasificar"))</f>
        <v/>
      </c>
      <c r="U556" s="3">
        <f>IF($F556="","",IFERROR(INDEX('CAT_CENTROS_COSTO'!$F$4:$F$13,MATCH($F556,'CAT_CENTROS_COSTO'!$A$4:$A$13,0)),"(sin catálogo)"))</f>
        <v/>
      </c>
      <c r="V556" s="3">
        <f>IF($F556="","",IFERROR(INDEX('CAT_CENTROS_COSTO'!$D$4:$D$13,MATCH($F556,'CAT_CENTROS_COSTO'!$A$4:$A$13,0)),"(sin catálogo)"))</f>
        <v/>
      </c>
      <c r="W556" s="3">
        <f>IF($F556="","",IF((IFERROR(INDEX('CAT_CENTROS_COSTO'!$E$4:$E$13,MATCH($F556,'CAT_CENTROS_COSTO'!$A$4:$A$13,0)),""))&lt;&gt;"",IFERROR(INDEX('CAT_CENTROS_COSTO'!$E$4:$E$13,MATCH($F556,'CAT_CENTROS_COSTO'!$A$4:$A$13,0)),""),$V556))</f>
        <v/>
      </c>
      <c r="X556" s="3">
        <f>IF($F556="","",IFERROR(INDEX('CAT_CENTROS_COSTO'!$G$4:$G$13,MATCH($F556,'CAT_CENTROS_COSTO'!$A$4:$A$13,0)),"(sin catálogo)"))</f>
        <v/>
      </c>
      <c r="Y556" s="3">
        <f>IF($G556="","",IFERROR(INDEX('CAT_PUESTOS'!$B$4:$B$8,MATCH($G556,'CAT_PUESTOS'!$A$4:$A$8,0)),"(sin catálogo)"))</f>
        <v/>
      </c>
      <c r="Z556" s="3">
        <f>IF($H556="","",IFERROR(INDEX('CAT_ACTIVIDADES'!$B$4:$B$8,MATCH($H556,'CAT_ACTIVIDADES'!$A$4:$A$8,0)),"(sin catálogo)"))</f>
        <v/>
      </c>
      <c r="AA556" s="12">
        <f>IF($J556="","",TODAY()-$J556)</f>
        <v/>
      </c>
      <c r="AB556" s="12">
        <f>IF($J556="","",IF($J556&lt;=TODAY(),COUNTIFS(cal_fechas,"&gt;="&amp;$J556,cal_fechas,"&lt;"&amp;TODAY(),cal_habil,"sí"),-COUNTIFS(cal_fechas,"&gt;="&amp;TODAY(),cal_fechas,"&lt;"&amp;$J556,cal_habil,"sí")))</f>
        <v/>
      </c>
      <c r="AC556" s="3">
        <f>IF($AB556="","",IF($AB556&lt;0,"FUTURO",IF($AB556&gt;p_dias_backlog_max,"BACKLOG","MES CORRIENTE")))</f>
        <v/>
      </c>
      <c r="AD556" s="3">
        <f>IF($AB556="",FALSE,AND($AB556&gt;p_dias_backlog_min,$AB556&lt;=p_dias_backlog_max))</f>
        <v/>
      </c>
      <c r="AE556" s="6" t="n"/>
      <c r="AF556" s="3">
        <f>IF($AE556="","",IF((IFERROR(INDEX('ASIGNACIONES'!$F$4:$F$339,MATCH($O556&amp;"|"&amp;$R556&amp;"|"&amp;$AE556,'ASIGNACIONES'!$J$4:$J$339,0)),""))=0,"",IFERROR(INDEX('ASIGNACIONES'!$F$4:$F$339,MATCH($O556&amp;"|"&amp;$R556&amp;"|"&amp;$AE556,'ASIGNACIONES'!$J$4:$J$339,0)),"")))</f>
        <v/>
      </c>
      <c r="AG556" s="13">
        <f>IF($AE556="","",SUMIFS('ORDENES'!$M$4:$M$1203,'ORDENES'!$AE$4:$AE$1203,$AE556,'ORDENES'!$O$4:$O$1203,$O556,'ORDENES'!$R$4:$R$1203,$R556))</f>
        <v/>
      </c>
      <c r="AH556" s="13">
        <f>IF($AG556="","",p_factor_productividad*IFERROR(INDEX('ASIGNACIONES'!$I$4:$I$339,MATCH($O556&amp;"|"&amp;$R556&amp;"|"&amp;$AE556,'ASIGNACIONES'!$J$4:$J$339,0)),0)-$AG556)</f>
        <v/>
      </c>
      <c r="AI556" s="10">
        <f>IF($A556="","",IFERROR(INDEX('2_IMPORTAR_EJECUCION'!$F$9:$F$1208,MATCH($AQ556,'2_IMPORTAR_EJECUCION'!$J$9:$J$1208,0)),0))</f>
        <v/>
      </c>
      <c r="AJ556" s="10">
        <f>IF($A556="","",MAX(0,IFERROR(INDEX('2_IMPORTAR_EJECUCION'!$H$9:$H$1208,MATCH($AQ556,'2_IMPORTAR_EJECUCION'!$J$9:$J$1208,0)),0)-$AI556))</f>
        <v/>
      </c>
      <c r="AK556" s="10">
        <f>IF($A556="","",$AI556+$AJ556)</f>
        <v/>
      </c>
      <c r="AL556" s="6" t="n"/>
      <c r="AM556" s="6" t="n"/>
      <c r="AN556" s="6" t="n"/>
      <c r="AO556" s="3">
        <f>IF($AN556="","",HYPERLINK(p_ruta_base_checklists&amp;$AN556,"abrir"))</f>
        <v/>
      </c>
      <c r="AP556" s="6" t="n"/>
      <c r="AQ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IF($A557="","",IFERROR(INDEX('AJUSTES'!$B$4:$B$303,MATCH($AQ557,'AJUSTES'!$A$4:$A$303,0)),IF($K557="","",$K557)))</f>
        <v/>
      </c>
      <c r="N557" s="3">
        <f>IF($A557="","",IFERROR(INDEX('CAT_ESTADOS_ERP'!$B$4:$B$7,MATCH(IFERROR(INDEX('2_IMPORTAR_EJECUCION'!$C$9:$C$1208,MATCH($AQ557,'2_IMPORTAR_EJECUCION'!$J$9:$J$1208,0)),""),'CAT_ESTADOS_ERP'!$A$4:$A$7,0)),"Pendiente"))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J557="","",IFERROR(INDEX('CALENDARIO'!$C$15:$C$214,MATCH(TEXT($J557,"yyyy-mm-dd")&amp;"|"&amp;$V557&amp;"|"&amp;$W557,'CALENDARIO'!$G$15:$G$214,0)),IFERROR(INDEX('CALENDARIO'!$C$15:$C$214,MATCH(TEXT($J557,"yyyy-mm-dd")&amp;"|"&amp;$V557&amp;"|",'CALENDARIO'!$G$15:$G$214,0)),IFERROR(INDEX('CALENDARIO'!$C$15:$C$214,MATCH(TEXT($J557,"yyyy-mm-dd")&amp;"||",'CALENDARIO'!$G$15:$G$214,0)),INDEX(patronHabil,WEEKDAY($J557,2))))))</f>
        <v/>
      </c>
      <c r="T557" s="3">
        <f>IF($I557="","",IFERROR(INDEX('CAT_TIPOS_OT'!$C$4:$C$7,MATCH($I557,'CAT_TIPOS_OT'!$A$4:$A$7,0)),"sin_clasificar"))</f>
        <v/>
      </c>
      <c r="U557" s="3">
        <f>IF($F557="","",IFERROR(INDEX('CAT_CENTROS_COSTO'!$F$4:$F$13,MATCH($F557,'CAT_CENTROS_COSTO'!$A$4:$A$13,0)),"(sin catálogo)"))</f>
        <v/>
      </c>
      <c r="V557" s="3">
        <f>IF($F557="","",IFERROR(INDEX('CAT_CENTROS_COSTO'!$D$4:$D$13,MATCH($F557,'CAT_CENTROS_COSTO'!$A$4:$A$13,0)),"(sin catálogo)"))</f>
        <v/>
      </c>
      <c r="W557" s="3">
        <f>IF($F557="","",IF((IFERROR(INDEX('CAT_CENTROS_COSTO'!$E$4:$E$13,MATCH($F557,'CAT_CENTROS_COSTO'!$A$4:$A$13,0)),""))&lt;&gt;"",IFERROR(INDEX('CAT_CENTROS_COSTO'!$E$4:$E$13,MATCH($F557,'CAT_CENTROS_COSTO'!$A$4:$A$13,0)),""),$V557))</f>
        <v/>
      </c>
      <c r="X557" s="3">
        <f>IF($F557="","",IFERROR(INDEX('CAT_CENTROS_COSTO'!$G$4:$G$13,MATCH($F557,'CAT_CENTROS_COSTO'!$A$4:$A$13,0)),"(sin catálogo)"))</f>
        <v/>
      </c>
      <c r="Y557" s="3">
        <f>IF($G557="","",IFERROR(INDEX('CAT_PUESTOS'!$B$4:$B$8,MATCH($G557,'CAT_PUESTOS'!$A$4:$A$8,0)),"(sin catálogo)"))</f>
        <v/>
      </c>
      <c r="Z557" s="3">
        <f>IF($H557="","",IFERROR(INDEX('CAT_ACTIVIDADES'!$B$4:$B$8,MATCH($H557,'CAT_ACTIVIDADES'!$A$4:$A$8,0)),"(sin catálogo)"))</f>
        <v/>
      </c>
      <c r="AA557" s="12">
        <f>IF($J557="","",TODAY()-$J557)</f>
        <v/>
      </c>
      <c r="AB557" s="12">
        <f>IF($J557="","",IF($J557&lt;=TODAY(),COUNTIFS(cal_fechas,"&gt;="&amp;$J557,cal_fechas,"&lt;"&amp;TODAY(),cal_habil,"sí"),-COUNTIFS(cal_fechas,"&gt;="&amp;TODAY(),cal_fechas,"&lt;"&amp;$J557,cal_habil,"sí")))</f>
        <v/>
      </c>
      <c r="AC557" s="3">
        <f>IF($AB557="","",IF($AB557&lt;0,"FUTURO",IF($AB557&gt;p_dias_backlog_max,"BACKLOG","MES CORRIENTE")))</f>
        <v/>
      </c>
      <c r="AD557" s="3">
        <f>IF($AB557="",FALSE,AND($AB557&gt;p_dias_backlog_min,$AB557&lt;=p_dias_backlog_max))</f>
        <v/>
      </c>
      <c r="AE557" s="6" t="n"/>
      <c r="AF557" s="3">
        <f>IF($AE557="","",IF((IFERROR(INDEX('ASIGNACIONES'!$F$4:$F$339,MATCH($O557&amp;"|"&amp;$R557&amp;"|"&amp;$AE557,'ASIGNACIONES'!$J$4:$J$339,0)),""))=0,"",IFERROR(INDEX('ASIGNACIONES'!$F$4:$F$339,MATCH($O557&amp;"|"&amp;$R557&amp;"|"&amp;$AE557,'ASIGNACIONES'!$J$4:$J$339,0)),"")))</f>
        <v/>
      </c>
      <c r="AG557" s="13">
        <f>IF($AE557="","",SUMIFS('ORDENES'!$M$4:$M$1203,'ORDENES'!$AE$4:$AE$1203,$AE557,'ORDENES'!$O$4:$O$1203,$O557,'ORDENES'!$R$4:$R$1203,$R557))</f>
        <v/>
      </c>
      <c r="AH557" s="13">
        <f>IF($AG557="","",p_factor_productividad*IFERROR(INDEX('ASIGNACIONES'!$I$4:$I$339,MATCH($O557&amp;"|"&amp;$R557&amp;"|"&amp;$AE557,'ASIGNACIONES'!$J$4:$J$339,0)),0)-$AG557)</f>
        <v/>
      </c>
      <c r="AI557" s="10">
        <f>IF($A557="","",IFERROR(INDEX('2_IMPORTAR_EJECUCION'!$F$9:$F$1208,MATCH($AQ557,'2_IMPORTAR_EJECUCION'!$J$9:$J$1208,0)),0))</f>
        <v/>
      </c>
      <c r="AJ557" s="10">
        <f>IF($A557="","",MAX(0,IFERROR(INDEX('2_IMPORTAR_EJECUCION'!$H$9:$H$1208,MATCH($AQ557,'2_IMPORTAR_EJECUCION'!$J$9:$J$1208,0)),0)-$AI557))</f>
        <v/>
      </c>
      <c r="AK557" s="10">
        <f>IF($A557="","",$AI557+$AJ557)</f>
        <v/>
      </c>
      <c r="AL557" s="6" t="n"/>
      <c r="AM557" s="6" t="n"/>
      <c r="AN557" s="6" t="n"/>
      <c r="AO557" s="3">
        <f>IF($AN557="","",HYPERLINK(p_ruta_base_checklists&amp;$AN557,"abrir"))</f>
        <v/>
      </c>
      <c r="AP557" s="6" t="n"/>
      <c r="AQ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IF($A558="","",IFERROR(INDEX('AJUSTES'!$B$4:$B$303,MATCH($AQ558,'AJUSTES'!$A$4:$A$303,0)),IF($K558="","",$K558)))</f>
        <v/>
      </c>
      <c r="N558" s="3">
        <f>IF($A558="","",IFERROR(INDEX('CAT_ESTADOS_ERP'!$B$4:$B$7,MATCH(IFERROR(INDEX('2_IMPORTAR_EJECUCION'!$C$9:$C$1208,MATCH($AQ558,'2_IMPORTAR_EJECUCION'!$J$9:$J$1208,0)),""),'CAT_ESTADOS_ERP'!$A$4:$A$7,0)),"Pendiente"))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J558="","",IFERROR(INDEX('CALENDARIO'!$C$15:$C$214,MATCH(TEXT($J558,"yyyy-mm-dd")&amp;"|"&amp;$V558&amp;"|"&amp;$W558,'CALENDARIO'!$G$15:$G$214,0)),IFERROR(INDEX('CALENDARIO'!$C$15:$C$214,MATCH(TEXT($J558,"yyyy-mm-dd")&amp;"|"&amp;$V558&amp;"|",'CALENDARIO'!$G$15:$G$214,0)),IFERROR(INDEX('CALENDARIO'!$C$15:$C$214,MATCH(TEXT($J558,"yyyy-mm-dd")&amp;"||",'CALENDARIO'!$G$15:$G$214,0)),INDEX(patronHabil,WEEKDAY($J558,2))))))</f>
        <v/>
      </c>
      <c r="T558" s="3">
        <f>IF($I558="","",IFERROR(INDEX('CAT_TIPOS_OT'!$C$4:$C$7,MATCH($I558,'CAT_TIPOS_OT'!$A$4:$A$7,0)),"sin_clasificar"))</f>
        <v/>
      </c>
      <c r="U558" s="3">
        <f>IF($F558="","",IFERROR(INDEX('CAT_CENTROS_COSTO'!$F$4:$F$13,MATCH($F558,'CAT_CENTROS_COSTO'!$A$4:$A$13,0)),"(sin catálogo)"))</f>
        <v/>
      </c>
      <c r="V558" s="3">
        <f>IF($F558="","",IFERROR(INDEX('CAT_CENTROS_COSTO'!$D$4:$D$13,MATCH($F558,'CAT_CENTROS_COSTO'!$A$4:$A$13,0)),"(sin catálogo)"))</f>
        <v/>
      </c>
      <c r="W558" s="3">
        <f>IF($F558="","",IF((IFERROR(INDEX('CAT_CENTROS_COSTO'!$E$4:$E$13,MATCH($F558,'CAT_CENTROS_COSTO'!$A$4:$A$13,0)),""))&lt;&gt;"",IFERROR(INDEX('CAT_CENTROS_COSTO'!$E$4:$E$13,MATCH($F558,'CAT_CENTROS_COSTO'!$A$4:$A$13,0)),""),$V558))</f>
        <v/>
      </c>
      <c r="X558" s="3">
        <f>IF($F558="","",IFERROR(INDEX('CAT_CENTROS_COSTO'!$G$4:$G$13,MATCH($F558,'CAT_CENTROS_COSTO'!$A$4:$A$13,0)),"(sin catálogo)"))</f>
        <v/>
      </c>
      <c r="Y558" s="3">
        <f>IF($G558="","",IFERROR(INDEX('CAT_PUESTOS'!$B$4:$B$8,MATCH($G558,'CAT_PUESTOS'!$A$4:$A$8,0)),"(sin catálogo)"))</f>
        <v/>
      </c>
      <c r="Z558" s="3">
        <f>IF($H558="","",IFERROR(INDEX('CAT_ACTIVIDADES'!$B$4:$B$8,MATCH($H558,'CAT_ACTIVIDADES'!$A$4:$A$8,0)),"(sin catálogo)"))</f>
        <v/>
      </c>
      <c r="AA558" s="12">
        <f>IF($J558="","",TODAY()-$J558)</f>
        <v/>
      </c>
      <c r="AB558" s="12">
        <f>IF($J558="","",IF($J558&lt;=TODAY(),COUNTIFS(cal_fechas,"&gt;="&amp;$J558,cal_fechas,"&lt;"&amp;TODAY(),cal_habil,"sí"),-COUNTIFS(cal_fechas,"&gt;="&amp;TODAY(),cal_fechas,"&lt;"&amp;$J558,cal_habil,"sí")))</f>
        <v/>
      </c>
      <c r="AC558" s="3">
        <f>IF($AB558="","",IF($AB558&lt;0,"FUTURO",IF($AB558&gt;p_dias_backlog_max,"BACKLOG","MES CORRIENTE")))</f>
        <v/>
      </c>
      <c r="AD558" s="3">
        <f>IF($AB558="",FALSE,AND($AB558&gt;p_dias_backlog_min,$AB558&lt;=p_dias_backlog_max))</f>
        <v/>
      </c>
      <c r="AE558" s="6" t="n"/>
      <c r="AF558" s="3">
        <f>IF($AE558="","",IF((IFERROR(INDEX('ASIGNACIONES'!$F$4:$F$339,MATCH($O558&amp;"|"&amp;$R558&amp;"|"&amp;$AE558,'ASIGNACIONES'!$J$4:$J$339,0)),""))=0,"",IFERROR(INDEX('ASIGNACIONES'!$F$4:$F$339,MATCH($O558&amp;"|"&amp;$R558&amp;"|"&amp;$AE558,'ASIGNACIONES'!$J$4:$J$339,0)),"")))</f>
        <v/>
      </c>
      <c r="AG558" s="13">
        <f>IF($AE558="","",SUMIFS('ORDENES'!$M$4:$M$1203,'ORDENES'!$AE$4:$AE$1203,$AE558,'ORDENES'!$O$4:$O$1203,$O558,'ORDENES'!$R$4:$R$1203,$R558))</f>
        <v/>
      </c>
      <c r="AH558" s="13">
        <f>IF($AG558="","",p_factor_productividad*IFERROR(INDEX('ASIGNACIONES'!$I$4:$I$339,MATCH($O558&amp;"|"&amp;$R558&amp;"|"&amp;$AE558,'ASIGNACIONES'!$J$4:$J$339,0)),0)-$AG558)</f>
        <v/>
      </c>
      <c r="AI558" s="10">
        <f>IF($A558="","",IFERROR(INDEX('2_IMPORTAR_EJECUCION'!$F$9:$F$1208,MATCH($AQ558,'2_IMPORTAR_EJECUCION'!$J$9:$J$1208,0)),0))</f>
        <v/>
      </c>
      <c r="AJ558" s="10">
        <f>IF($A558="","",MAX(0,IFERROR(INDEX('2_IMPORTAR_EJECUCION'!$H$9:$H$1208,MATCH($AQ558,'2_IMPORTAR_EJECUCION'!$J$9:$J$1208,0)),0)-$AI558))</f>
        <v/>
      </c>
      <c r="AK558" s="10">
        <f>IF($A558="","",$AI558+$AJ558)</f>
        <v/>
      </c>
      <c r="AL558" s="6" t="n"/>
      <c r="AM558" s="6" t="n"/>
      <c r="AN558" s="6" t="n"/>
      <c r="AO558" s="3">
        <f>IF($AN558="","",HYPERLINK(p_ruta_base_checklists&amp;$AN558,"abrir"))</f>
        <v/>
      </c>
      <c r="AP558" s="6" t="n"/>
      <c r="AQ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IF($A559="","",IFERROR(INDEX('AJUSTES'!$B$4:$B$303,MATCH($AQ559,'AJUSTES'!$A$4:$A$303,0)),IF($K559="","",$K559)))</f>
        <v/>
      </c>
      <c r="N559" s="3">
        <f>IF($A559="","",IFERROR(INDEX('CAT_ESTADOS_ERP'!$B$4:$B$7,MATCH(IFERROR(INDEX('2_IMPORTAR_EJECUCION'!$C$9:$C$1208,MATCH($AQ559,'2_IMPORTAR_EJECUCION'!$J$9:$J$1208,0)),""),'CAT_ESTADOS_ERP'!$A$4:$A$7,0)),"Pendiente"))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J559="","",IFERROR(INDEX('CALENDARIO'!$C$15:$C$214,MATCH(TEXT($J559,"yyyy-mm-dd")&amp;"|"&amp;$V559&amp;"|"&amp;$W559,'CALENDARIO'!$G$15:$G$214,0)),IFERROR(INDEX('CALENDARIO'!$C$15:$C$214,MATCH(TEXT($J559,"yyyy-mm-dd")&amp;"|"&amp;$V559&amp;"|",'CALENDARIO'!$G$15:$G$214,0)),IFERROR(INDEX('CALENDARIO'!$C$15:$C$214,MATCH(TEXT($J559,"yyyy-mm-dd")&amp;"||",'CALENDARIO'!$G$15:$G$214,0)),INDEX(patronHabil,WEEKDAY($J559,2))))))</f>
        <v/>
      </c>
      <c r="T559" s="3">
        <f>IF($I559="","",IFERROR(INDEX('CAT_TIPOS_OT'!$C$4:$C$7,MATCH($I559,'CAT_TIPOS_OT'!$A$4:$A$7,0)),"sin_clasificar"))</f>
        <v/>
      </c>
      <c r="U559" s="3">
        <f>IF($F559="","",IFERROR(INDEX('CAT_CENTROS_COSTO'!$F$4:$F$13,MATCH($F559,'CAT_CENTROS_COSTO'!$A$4:$A$13,0)),"(sin catálogo)"))</f>
        <v/>
      </c>
      <c r="V559" s="3">
        <f>IF($F559="","",IFERROR(INDEX('CAT_CENTROS_COSTO'!$D$4:$D$13,MATCH($F559,'CAT_CENTROS_COSTO'!$A$4:$A$13,0)),"(sin catálogo)"))</f>
        <v/>
      </c>
      <c r="W559" s="3">
        <f>IF($F559="","",IF((IFERROR(INDEX('CAT_CENTROS_COSTO'!$E$4:$E$13,MATCH($F559,'CAT_CENTROS_COSTO'!$A$4:$A$13,0)),""))&lt;&gt;"",IFERROR(INDEX('CAT_CENTROS_COSTO'!$E$4:$E$13,MATCH($F559,'CAT_CENTROS_COSTO'!$A$4:$A$13,0)),""),$V559))</f>
        <v/>
      </c>
      <c r="X559" s="3">
        <f>IF($F559="","",IFERROR(INDEX('CAT_CENTROS_COSTO'!$G$4:$G$13,MATCH($F559,'CAT_CENTROS_COSTO'!$A$4:$A$13,0)),"(sin catálogo)"))</f>
        <v/>
      </c>
      <c r="Y559" s="3">
        <f>IF($G559="","",IFERROR(INDEX('CAT_PUESTOS'!$B$4:$B$8,MATCH($G559,'CAT_PUESTOS'!$A$4:$A$8,0)),"(sin catálogo)"))</f>
        <v/>
      </c>
      <c r="Z559" s="3">
        <f>IF($H559="","",IFERROR(INDEX('CAT_ACTIVIDADES'!$B$4:$B$8,MATCH($H559,'CAT_ACTIVIDADES'!$A$4:$A$8,0)),"(sin catálogo)"))</f>
        <v/>
      </c>
      <c r="AA559" s="12">
        <f>IF($J559="","",TODAY()-$J559)</f>
        <v/>
      </c>
      <c r="AB559" s="12">
        <f>IF($J559="","",IF($J559&lt;=TODAY(),COUNTIFS(cal_fechas,"&gt;="&amp;$J559,cal_fechas,"&lt;"&amp;TODAY(),cal_habil,"sí"),-COUNTIFS(cal_fechas,"&gt;="&amp;TODAY(),cal_fechas,"&lt;"&amp;$J559,cal_habil,"sí")))</f>
        <v/>
      </c>
      <c r="AC559" s="3">
        <f>IF($AB559="","",IF($AB559&lt;0,"FUTURO",IF($AB559&gt;p_dias_backlog_max,"BACKLOG","MES CORRIENTE")))</f>
        <v/>
      </c>
      <c r="AD559" s="3">
        <f>IF($AB559="",FALSE,AND($AB559&gt;p_dias_backlog_min,$AB559&lt;=p_dias_backlog_max))</f>
        <v/>
      </c>
      <c r="AE559" s="6" t="n"/>
      <c r="AF559" s="3">
        <f>IF($AE559="","",IF((IFERROR(INDEX('ASIGNACIONES'!$F$4:$F$339,MATCH($O559&amp;"|"&amp;$R559&amp;"|"&amp;$AE559,'ASIGNACIONES'!$J$4:$J$339,0)),""))=0,"",IFERROR(INDEX('ASIGNACIONES'!$F$4:$F$339,MATCH($O559&amp;"|"&amp;$R559&amp;"|"&amp;$AE559,'ASIGNACIONES'!$J$4:$J$339,0)),"")))</f>
        <v/>
      </c>
      <c r="AG559" s="13">
        <f>IF($AE559="","",SUMIFS('ORDENES'!$M$4:$M$1203,'ORDENES'!$AE$4:$AE$1203,$AE559,'ORDENES'!$O$4:$O$1203,$O559,'ORDENES'!$R$4:$R$1203,$R559))</f>
        <v/>
      </c>
      <c r="AH559" s="13">
        <f>IF($AG559="","",p_factor_productividad*IFERROR(INDEX('ASIGNACIONES'!$I$4:$I$339,MATCH($O559&amp;"|"&amp;$R559&amp;"|"&amp;$AE559,'ASIGNACIONES'!$J$4:$J$339,0)),0)-$AG559)</f>
        <v/>
      </c>
      <c r="AI559" s="10">
        <f>IF($A559="","",IFERROR(INDEX('2_IMPORTAR_EJECUCION'!$F$9:$F$1208,MATCH($AQ559,'2_IMPORTAR_EJECUCION'!$J$9:$J$1208,0)),0))</f>
        <v/>
      </c>
      <c r="AJ559" s="10">
        <f>IF($A559="","",MAX(0,IFERROR(INDEX('2_IMPORTAR_EJECUCION'!$H$9:$H$1208,MATCH($AQ559,'2_IMPORTAR_EJECUCION'!$J$9:$J$1208,0)),0)-$AI559))</f>
        <v/>
      </c>
      <c r="AK559" s="10">
        <f>IF($A559="","",$AI559+$AJ559)</f>
        <v/>
      </c>
      <c r="AL559" s="6" t="n"/>
      <c r="AM559" s="6" t="n"/>
      <c r="AN559" s="6" t="n"/>
      <c r="AO559" s="3">
        <f>IF($AN559="","",HYPERLINK(p_ruta_base_checklists&amp;$AN559,"abrir"))</f>
        <v/>
      </c>
      <c r="AP559" s="6" t="n"/>
      <c r="AQ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IF($A560="","",IFERROR(INDEX('AJUSTES'!$B$4:$B$303,MATCH($AQ560,'AJUSTES'!$A$4:$A$303,0)),IF($K560="","",$K560)))</f>
        <v/>
      </c>
      <c r="N560" s="3">
        <f>IF($A560="","",IFERROR(INDEX('CAT_ESTADOS_ERP'!$B$4:$B$7,MATCH(IFERROR(INDEX('2_IMPORTAR_EJECUCION'!$C$9:$C$1208,MATCH($AQ560,'2_IMPORTAR_EJECUCION'!$J$9:$J$1208,0)),""),'CAT_ESTADOS_ERP'!$A$4:$A$7,0)),"Pendiente"))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J560="","",IFERROR(INDEX('CALENDARIO'!$C$15:$C$214,MATCH(TEXT($J560,"yyyy-mm-dd")&amp;"|"&amp;$V560&amp;"|"&amp;$W560,'CALENDARIO'!$G$15:$G$214,0)),IFERROR(INDEX('CALENDARIO'!$C$15:$C$214,MATCH(TEXT($J560,"yyyy-mm-dd")&amp;"|"&amp;$V560&amp;"|",'CALENDARIO'!$G$15:$G$214,0)),IFERROR(INDEX('CALENDARIO'!$C$15:$C$214,MATCH(TEXT($J560,"yyyy-mm-dd")&amp;"||",'CALENDARIO'!$G$15:$G$214,0)),INDEX(patronHabil,WEEKDAY($J560,2))))))</f>
        <v/>
      </c>
      <c r="T560" s="3">
        <f>IF($I560="","",IFERROR(INDEX('CAT_TIPOS_OT'!$C$4:$C$7,MATCH($I560,'CAT_TIPOS_OT'!$A$4:$A$7,0)),"sin_clasificar"))</f>
        <v/>
      </c>
      <c r="U560" s="3">
        <f>IF($F560="","",IFERROR(INDEX('CAT_CENTROS_COSTO'!$F$4:$F$13,MATCH($F560,'CAT_CENTROS_COSTO'!$A$4:$A$13,0)),"(sin catálogo)"))</f>
        <v/>
      </c>
      <c r="V560" s="3">
        <f>IF($F560="","",IFERROR(INDEX('CAT_CENTROS_COSTO'!$D$4:$D$13,MATCH($F560,'CAT_CENTROS_COSTO'!$A$4:$A$13,0)),"(sin catálogo)"))</f>
        <v/>
      </c>
      <c r="W560" s="3">
        <f>IF($F560="","",IF((IFERROR(INDEX('CAT_CENTROS_COSTO'!$E$4:$E$13,MATCH($F560,'CAT_CENTROS_COSTO'!$A$4:$A$13,0)),""))&lt;&gt;"",IFERROR(INDEX('CAT_CENTROS_COSTO'!$E$4:$E$13,MATCH($F560,'CAT_CENTROS_COSTO'!$A$4:$A$13,0)),""),$V560))</f>
        <v/>
      </c>
      <c r="X560" s="3">
        <f>IF($F560="","",IFERROR(INDEX('CAT_CENTROS_COSTO'!$G$4:$G$13,MATCH($F560,'CAT_CENTROS_COSTO'!$A$4:$A$13,0)),"(sin catálogo)"))</f>
        <v/>
      </c>
      <c r="Y560" s="3">
        <f>IF($G560="","",IFERROR(INDEX('CAT_PUESTOS'!$B$4:$B$8,MATCH($G560,'CAT_PUESTOS'!$A$4:$A$8,0)),"(sin catálogo)"))</f>
        <v/>
      </c>
      <c r="Z560" s="3">
        <f>IF($H560="","",IFERROR(INDEX('CAT_ACTIVIDADES'!$B$4:$B$8,MATCH($H560,'CAT_ACTIVIDADES'!$A$4:$A$8,0)),"(sin catálogo)"))</f>
        <v/>
      </c>
      <c r="AA560" s="12">
        <f>IF($J560="","",TODAY()-$J560)</f>
        <v/>
      </c>
      <c r="AB560" s="12">
        <f>IF($J560="","",IF($J560&lt;=TODAY(),COUNTIFS(cal_fechas,"&gt;="&amp;$J560,cal_fechas,"&lt;"&amp;TODAY(),cal_habil,"sí"),-COUNTIFS(cal_fechas,"&gt;="&amp;TODAY(),cal_fechas,"&lt;"&amp;$J560,cal_habil,"sí")))</f>
        <v/>
      </c>
      <c r="AC560" s="3">
        <f>IF($AB560="","",IF($AB560&lt;0,"FUTURO",IF($AB560&gt;p_dias_backlog_max,"BACKLOG","MES CORRIENTE")))</f>
        <v/>
      </c>
      <c r="AD560" s="3">
        <f>IF($AB560="",FALSE,AND($AB560&gt;p_dias_backlog_min,$AB560&lt;=p_dias_backlog_max))</f>
        <v/>
      </c>
      <c r="AE560" s="6" t="n"/>
      <c r="AF560" s="3">
        <f>IF($AE560="","",IF((IFERROR(INDEX('ASIGNACIONES'!$F$4:$F$339,MATCH($O560&amp;"|"&amp;$R560&amp;"|"&amp;$AE560,'ASIGNACIONES'!$J$4:$J$339,0)),""))=0,"",IFERROR(INDEX('ASIGNACIONES'!$F$4:$F$339,MATCH($O560&amp;"|"&amp;$R560&amp;"|"&amp;$AE560,'ASIGNACIONES'!$J$4:$J$339,0)),"")))</f>
        <v/>
      </c>
      <c r="AG560" s="13">
        <f>IF($AE560="","",SUMIFS('ORDENES'!$M$4:$M$1203,'ORDENES'!$AE$4:$AE$1203,$AE560,'ORDENES'!$O$4:$O$1203,$O560,'ORDENES'!$R$4:$R$1203,$R560))</f>
        <v/>
      </c>
      <c r="AH560" s="13">
        <f>IF($AG560="","",p_factor_productividad*IFERROR(INDEX('ASIGNACIONES'!$I$4:$I$339,MATCH($O560&amp;"|"&amp;$R560&amp;"|"&amp;$AE560,'ASIGNACIONES'!$J$4:$J$339,0)),0)-$AG560)</f>
        <v/>
      </c>
      <c r="AI560" s="10">
        <f>IF($A560="","",IFERROR(INDEX('2_IMPORTAR_EJECUCION'!$F$9:$F$1208,MATCH($AQ560,'2_IMPORTAR_EJECUCION'!$J$9:$J$1208,0)),0))</f>
        <v/>
      </c>
      <c r="AJ560" s="10">
        <f>IF($A560="","",MAX(0,IFERROR(INDEX('2_IMPORTAR_EJECUCION'!$H$9:$H$1208,MATCH($AQ560,'2_IMPORTAR_EJECUCION'!$J$9:$J$1208,0)),0)-$AI560))</f>
        <v/>
      </c>
      <c r="AK560" s="10">
        <f>IF($A560="","",$AI560+$AJ560)</f>
        <v/>
      </c>
      <c r="AL560" s="6" t="n"/>
      <c r="AM560" s="6" t="n"/>
      <c r="AN560" s="6" t="n"/>
      <c r="AO560" s="3">
        <f>IF($AN560="","",HYPERLINK(p_ruta_base_checklists&amp;$AN560,"abrir"))</f>
        <v/>
      </c>
      <c r="AP560" s="6" t="n"/>
      <c r="AQ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IF($A561="","",IFERROR(INDEX('AJUSTES'!$B$4:$B$303,MATCH($AQ561,'AJUSTES'!$A$4:$A$303,0)),IF($K561="","",$K561)))</f>
        <v/>
      </c>
      <c r="N561" s="3">
        <f>IF($A561="","",IFERROR(INDEX('CAT_ESTADOS_ERP'!$B$4:$B$7,MATCH(IFERROR(INDEX('2_IMPORTAR_EJECUCION'!$C$9:$C$1208,MATCH($AQ561,'2_IMPORTAR_EJECUCION'!$J$9:$J$1208,0)),""),'CAT_ESTADOS_ERP'!$A$4:$A$7,0)),"Pendiente"))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J561="","",IFERROR(INDEX('CALENDARIO'!$C$15:$C$214,MATCH(TEXT($J561,"yyyy-mm-dd")&amp;"|"&amp;$V561&amp;"|"&amp;$W561,'CALENDARIO'!$G$15:$G$214,0)),IFERROR(INDEX('CALENDARIO'!$C$15:$C$214,MATCH(TEXT($J561,"yyyy-mm-dd")&amp;"|"&amp;$V561&amp;"|",'CALENDARIO'!$G$15:$G$214,0)),IFERROR(INDEX('CALENDARIO'!$C$15:$C$214,MATCH(TEXT($J561,"yyyy-mm-dd")&amp;"||",'CALENDARIO'!$G$15:$G$214,0)),INDEX(patronHabil,WEEKDAY($J561,2))))))</f>
        <v/>
      </c>
      <c r="T561" s="3">
        <f>IF($I561="","",IFERROR(INDEX('CAT_TIPOS_OT'!$C$4:$C$7,MATCH($I561,'CAT_TIPOS_OT'!$A$4:$A$7,0)),"sin_clasificar"))</f>
        <v/>
      </c>
      <c r="U561" s="3">
        <f>IF($F561="","",IFERROR(INDEX('CAT_CENTROS_COSTO'!$F$4:$F$13,MATCH($F561,'CAT_CENTROS_COSTO'!$A$4:$A$13,0)),"(sin catálogo)"))</f>
        <v/>
      </c>
      <c r="V561" s="3">
        <f>IF($F561="","",IFERROR(INDEX('CAT_CENTROS_COSTO'!$D$4:$D$13,MATCH($F561,'CAT_CENTROS_COSTO'!$A$4:$A$13,0)),"(sin catálogo)"))</f>
        <v/>
      </c>
      <c r="W561" s="3">
        <f>IF($F561="","",IF((IFERROR(INDEX('CAT_CENTROS_COSTO'!$E$4:$E$13,MATCH($F561,'CAT_CENTROS_COSTO'!$A$4:$A$13,0)),""))&lt;&gt;"",IFERROR(INDEX('CAT_CENTROS_COSTO'!$E$4:$E$13,MATCH($F561,'CAT_CENTROS_COSTO'!$A$4:$A$13,0)),""),$V561))</f>
        <v/>
      </c>
      <c r="X561" s="3">
        <f>IF($F561="","",IFERROR(INDEX('CAT_CENTROS_COSTO'!$G$4:$G$13,MATCH($F561,'CAT_CENTROS_COSTO'!$A$4:$A$13,0)),"(sin catálogo)"))</f>
        <v/>
      </c>
      <c r="Y561" s="3">
        <f>IF($G561="","",IFERROR(INDEX('CAT_PUESTOS'!$B$4:$B$8,MATCH($G561,'CAT_PUESTOS'!$A$4:$A$8,0)),"(sin catálogo)"))</f>
        <v/>
      </c>
      <c r="Z561" s="3">
        <f>IF($H561="","",IFERROR(INDEX('CAT_ACTIVIDADES'!$B$4:$B$8,MATCH($H561,'CAT_ACTIVIDADES'!$A$4:$A$8,0)),"(sin catálogo)"))</f>
        <v/>
      </c>
      <c r="AA561" s="12">
        <f>IF($J561="","",TODAY()-$J561)</f>
        <v/>
      </c>
      <c r="AB561" s="12">
        <f>IF($J561="","",IF($J561&lt;=TODAY(),COUNTIFS(cal_fechas,"&gt;="&amp;$J561,cal_fechas,"&lt;"&amp;TODAY(),cal_habil,"sí"),-COUNTIFS(cal_fechas,"&gt;="&amp;TODAY(),cal_fechas,"&lt;"&amp;$J561,cal_habil,"sí")))</f>
        <v/>
      </c>
      <c r="AC561" s="3">
        <f>IF($AB561="","",IF($AB561&lt;0,"FUTURO",IF($AB561&gt;p_dias_backlog_max,"BACKLOG","MES CORRIENTE")))</f>
        <v/>
      </c>
      <c r="AD561" s="3">
        <f>IF($AB561="",FALSE,AND($AB561&gt;p_dias_backlog_min,$AB561&lt;=p_dias_backlog_max))</f>
        <v/>
      </c>
      <c r="AE561" s="6" t="n"/>
      <c r="AF561" s="3">
        <f>IF($AE561="","",IF((IFERROR(INDEX('ASIGNACIONES'!$F$4:$F$339,MATCH($O561&amp;"|"&amp;$R561&amp;"|"&amp;$AE561,'ASIGNACIONES'!$J$4:$J$339,0)),""))=0,"",IFERROR(INDEX('ASIGNACIONES'!$F$4:$F$339,MATCH($O561&amp;"|"&amp;$R561&amp;"|"&amp;$AE561,'ASIGNACIONES'!$J$4:$J$339,0)),"")))</f>
        <v/>
      </c>
      <c r="AG561" s="13">
        <f>IF($AE561="","",SUMIFS('ORDENES'!$M$4:$M$1203,'ORDENES'!$AE$4:$AE$1203,$AE561,'ORDENES'!$O$4:$O$1203,$O561,'ORDENES'!$R$4:$R$1203,$R561))</f>
        <v/>
      </c>
      <c r="AH561" s="13">
        <f>IF($AG561="","",p_factor_productividad*IFERROR(INDEX('ASIGNACIONES'!$I$4:$I$339,MATCH($O561&amp;"|"&amp;$R561&amp;"|"&amp;$AE561,'ASIGNACIONES'!$J$4:$J$339,0)),0)-$AG561)</f>
        <v/>
      </c>
      <c r="AI561" s="10">
        <f>IF($A561="","",IFERROR(INDEX('2_IMPORTAR_EJECUCION'!$F$9:$F$1208,MATCH($AQ561,'2_IMPORTAR_EJECUCION'!$J$9:$J$1208,0)),0))</f>
        <v/>
      </c>
      <c r="AJ561" s="10">
        <f>IF($A561="","",MAX(0,IFERROR(INDEX('2_IMPORTAR_EJECUCION'!$H$9:$H$1208,MATCH($AQ561,'2_IMPORTAR_EJECUCION'!$J$9:$J$1208,0)),0)-$AI561))</f>
        <v/>
      </c>
      <c r="AK561" s="10">
        <f>IF($A561="","",$AI561+$AJ561)</f>
        <v/>
      </c>
      <c r="AL561" s="6" t="n"/>
      <c r="AM561" s="6" t="n"/>
      <c r="AN561" s="6" t="n"/>
      <c r="AO561" s="3">
        <f>IF($AN561="","",HYPERLINK(p_ruta_base_checklists&amp;$AN561,"abrir"))</f>
        <v/>
      </c>
      <c r="AP561" s="6" t="n"/>
      <c r="AQ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IF($A562="","",IFERROR(INDEX('AJUSTES'!$B$4:$B$303,MATCH($AQ562,'AJUSTES'!$A$4:$A$303,0)),IF($K562="","",$K562)))</f>
        <v/>
      </c>
      <c r="N562" s="3">
        <f>IF($A562="","",IFERROR(INDEX('CAT_ESTADOS_ERP'!$B$4:$B$7,MATCH(IFERROR(INDEX('2_IMPORTAR_EJECUCION'!$C$9:$C$1208,MATCH($AQ562,'2_IMPORTAR_EJECUCION'!$J$9:$J$1208,0)),""),'CAT_ESTADOS_ERP'!$A$4:$A$7,0)),"Pendiente"))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J562="","",IFERROR(INDEX('CALENDARIO'!$C$15:$C$214,MATCH(TEXT($J562,"yyyy-mm-dd")&amp;"|"&amp;$V562&amp;"|"&amp;$W562,'CALENDARIO'!$G$15:$G$214,0)),IFERROR(INDEX('CALENDARIO'!$C$15:$C$214,MATCH(TEXT($J562,"yyyy-mm-dd")&amp;"|"&amp;$V562&amp;"|",'CALENDARIO'!$G$15:$G$214,0)),IFERROR(INDEX('CALENDARIO'!$C$15:$C$214,MATCH(TEXT($J562,"yyyy-mm-dd")&amp;"||",'CALENDARIO'!$G$15:$G$214,0)),INDEX(patronHabil,WEEKDAY($J562,2))))))</f>
        <v/>
      </c>
      <c r="T562" s="3">
        <f>IF($I562="","",IFERROR(INDEX('CAT_TIPOS_OT'!$C$4:$C$7,MATCH($I562,'CAT_TIPOS_OT'!$A$4:$A$7,0)),"sin_clasificar"))</f>
        <v/>
      </c>
      <c r="U562" s="3">
        <f>IF($F562="","",IFERROR(INDEX('CAT_CENTROS_COSTO'!$F$4:$F$13,MATCH($F562,'CAT_CENTROS_COSTO'!$A$4:$A$13,0)),"(sin catálogo)"))</f>
        <v/>
      </c>
      <c r="V562" s="3">
        <f>IF($F562="","",IFERROR(INDEX('CAT_CENTROS_COSTO'!$D$4:$D$13,MATCH($F562,'CAT_CENTROS_COSTO'!$A$4:$A$13,0)),"(sin catálogo)"))</f>
        <v/>
      </c>
      <c r="W562" s="3">
        <f>IF($F562="","",IF((IFERROR(INDEX('CAT_CENTROS_COSTO'!$E$4:$E$13,MATCH($F562,'CAT_CENTROS_COSTO'!$A$4:$A$13,0)),""))&lt;&gt;"",IFERROR(INDEX('CAT_CENTROS_COSTO'!$E$4:$E$13,MATCH($F562,'CAT_CENTROS_COSTO'!$A$4:$A$13,0)),""),$V562))</f>
        <v/>
      </c>
      <c r="X562" s="3">
        <f>IF($F562="","",IFERROR(INDEX('CAT_CENTROS_COSTO'!$G$4:$G$13,MATCH($F562,'CAT_CENTROS_COSTO'!$A$4:$A$13,0)),"(sin catálogo)"))</f>
        <v/>
      </c>
      <c r="Y562" s="3">
        <f>IF($G562="","",IFERROR(INDEX('CAT_PUESTOS'!$B$4:$B$8,MATCH($G562,'CAT_PUESTOS'!$A$4:$A$8,0)),"(sin catálogo)"))</f>
        <v/>
      </c>
      <c r="Z562" s="3">
        <f>IF($H562="","",IFERROR(INDEX('CAT_ACTIVIDADES'!$B$4:$B$8,MATCH($H562,'CAT_ACTIVIDADES'!$A$4:$A$8,0)),"(sin catálogo)"))</f>
        <v/>
      </c>
      <c r="AA562" s="12">
        <f>IF($J562="","",TODAY()-$J562)</f>
        <v/>
      </c>
      <c r="AB562" s="12">
        <f>IF($J562="","",IF($J562&lt;=TODAY(),COUNTIFS(cal_fechas,"&gt;="&amp;$J562,cal_fechas,"&lt;"&amp;TODAY(),cal_habil,"sí"),-COUNTIFS(cal_fechas,"&gt;="&amp;TODAY(),cal_fechas,"&lt;"&amp;$J562,cal_habil,"sí")))</f>
        <v/>
      </c>
      <c r="AC562" s="3">
        <f>IF($AB562="","",IF($AB562&lt;0,"FUTURO",IF($AB562&gt;p_dias_backlog_max,"BACKLOG","MES CORRIENTE")))</f>
        <v/>
      </c>
      <c r="AD562" s="3">
        <f>IF($AB562="",FALSE,AND($AB562&gt;p_dias_backlog_min,$AB562&lt;=p_dias_backlog_max))</f>
        <v/>
      </c>
      <c r="AE562" s="6" t="n"/>
      <c r="AF562" s="3">
        <f>IF($AE562="","",IF((IFERROR(INDEX('ASIGNACIONES'!$F$4:$F$339,MATCH($O562&amp;"|"&amp;$R562&amp;"|"&amp;$AE562,'ASIGNACIONES'!$J$4:$J$339,0)),""))=0,"",IFERROR(INDEX('ASIGNACIONES'!$F$4:$F$339,MATCH($O562&amp;"|"&amp;$R562&amp;"|"&amp;$AE562,'ASIGNACIONES'!$J$4:$J$339,0)),"")))</f>
        <v/>
      </c>
      <c r="AG562" s="13">
        <f>IF($AE562="","",SUMIFS('ORDENES'!$M$4:$M$1203,'ORDENES'!$AE$4:$AE$1203,$AE562,'ORDENES'!$O$4:$O$1203,$O562,'ORDENES'!$R$4:$R$1203,$R562))</f>
        <v/>
      </c>
      <c r="AH562" s="13">
        <f>IF($AG562="","",p_factor_productividad*IFERROR(INDEX('ASIGNACIONES'!$I$4:$I$339,MATCH($O562&amp;"|"&amp;$R562&amp;"|"&amp;$AE562,'ASIGNACIONES'!$J$4:$J$339,0)),0)-$AG562)</f>
        <v/>
      </c>
      <c r="AI562" s="10">
        <f>IF($A562="","",IFERROR(INDEX('2_IMPORTAR_EJECUCION'!$F$9:$F$1208,MATCH($AQ562,'2_IMPORTAR_EJECUCION'!$J$9:$J$1208,0)),0))</f>
        <v/>
      </c>
      <c r="AJ562" s="10">
        <f>IF($A562="","",MAX(0,IFERROR(INDEX('2_IMPORTAR_EJECUCION'!$H$9:$H$1208,MATCH($AQ562,'2_IMPORTAR_EJECUCION'!$J$9:$J$1208,0)),0)-$AI562))</f>
        <v/>
      </c>
      <c r="AK562" s="10">
        <f>IF($A562="","",$AI562+$AJ562)</f>
        <v/>
      </c>
      <c r="AL562" s="6" t="n"/>
      <c r="AM562" s="6" t="n"/>
      <c r="AN562" s="6" t="n"/>
      <c r="AO562" s="3">
        <f>IF($AN562="","",HYPERLINK(p_ruta_base_checklists&amp;$AN562,"abrir"))</f>
        <v/>
      </c>
      <c r="AP562" s="6" t="n"/>
      <c r="AQ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IF($A563="","",IFERROR(INDEX('AJUSTES'!$B$4:$B$303,MATCH($AQ563,'AJUSTES'!$A$4:$A$303,0)),IF($K563="","",$K563)))</f>
        <v/>
      </c>
      <c r="N563" s="3">
        <f>IF($A563="","",IFERROR(INDEX('CAT_ESTADOS_ERP'!$B$4:$B$7,MATCH(IFERROR(INDEX('2_IMPORTAR_EJECUCION'!$C$9:$C$1208,MATCH($AQ563,'2_IMPORTAR_EJECUCION'!$J$9:$J$1208,0)),""),'CAT_ESTADOS_ERP'!$A$4:$A$7,0)),"Pendiente"))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J563="","",IFERROR(INDEX('CALENDARIO'!$C$15:$C$214,MATCH(TEXT($J563,"yyyy-mm-dd")&amp;"|"&amp;$V563&amp;"|"&amp;$W563,'CALENDARIO'!$G$15:$G$214,0)),IFERROR(INDEX('CALENDARIO'!$C$15:$C$214,MATCH(TEXT($J563,"yyyy-mm-dd")&amp;"|"&amp;$V563&amp;"|",'CALENDARIO'!$G$15:$G$214,0)),IFERROR(INDEX('CALENDARIO'!$C$15:$C$214,MATCH(TEXT($J563,"yyyy-mm-dd")&amp;"||",'CALENDARIO'!$G$15:$G$214,0)),INDEX(patronHabil,WEEKDAY($J563,2))))))</f>
        <v/>
      </c>
      <c r="T563" s="3">
        <f>IF($I563="","",IFERROR(INDEX('CAT_TIPOS_OT'!$C$4:$C$7,MATCH($I563,'CAT_TIPOS_OT'!$A$4:$A$7,0)),"sin_clasificar"))</f>
        <v/>
      </c>
      <c r="U563" s="3">
        <f>IF($F563="","",IFERROR(INDEX('CAT_CENTROS_COSTO'!$F$4:$F$13,MATCH($F563,'CAT_CENTROS_COSTO'!$A$4:$A$13,0)),"(sin catálogo)"))</f>
        <v/>
      </c>
      <c r="V563" s="3">
        <f>IF($F563="","",IFERROR(INDEX('CAT_CENTROS_COSTO'!$D$4:$D$13,MATCH($F563,'CAT_CENTROS_COSTO'!$A$4:$A$13,0)),"(sin catálogo)"))</f>
        <v/>
      </c>
      <c r="W563" s="3">
        <f>IF($F563="","",IF((IFERROR(INDEX('CAT_CENTROS_COSTO'!$E$4:$E$13,MATCH($F563,'CAT_CENTROS_COSTO'!$A$4:$A$13,0)),""))&lt;&gt;"",IFERROR(INDEX('CAT_CENTROS_COSTO'!$E$4:$E$13,MATCH($F563,'CAT_CENTROS_COSTO'!$A$4:$A$13,0)),""),$V563))</f>
        <v/>
      </c>
      <c r="X563" s="3">
        <f>IF($F563="","",IFERROR(INDEX('CAT_CENTROS_COSTO'!$G$4:$G$13,MATCH($F563,'CAT_CENTROS_COSTO'!$A$4:$A$13,0)),"(sin catálogo)"))</f>
        <v/>
      </c>
      <c r="Y563" s="3">
        <f>IF($G563="","",IFERROR(INDEX('CAT_PUESTOS'!$B$4:$B$8,MATCH($G563,'CAT_PUESTOS'!$A$4:$A$8,0)),"(sin catálogo)"))</f>
        <v/>
      </c>
      <c r="Z563" s="3">
        <f>IF($H563="","",IFERROR(INDEX('CAT_ACTIVIDADES'!$B$4:$B$8,MATCH($H563,'CAT_ACTIVIDADES'!$A$4:$A$8,0)),"(sin catálogo)"))</f>
        <v/>
      </c>
      <c r="AA563" s="12">
        <f>IF($J563="","",TODAY()-$J563)</f>
        <v/>
      </c>
      <c r="AB563" s="12">
        <f>IF($J563="","",IF($J563&lt;=TODAY(),COUNTIFS(cal_fechas,"&gt;="&amp;$J563,cal_fechas,"&lt;"&amp;TODAY(),cal_habil,"sí"),-COUNTIFS(cal_fechas,"&gt;="&amp;TODAY(),cal_fechas,"&lt;"&amp;$J563,cal_habil,"sí")))</f>
        <v/>
      </c>
      <c r="AC563" s="3">
        <f>IF($AB563="","",IF($AB563&lt;0,"FUTURO",IF($AB563&gt;p_dias_backlog_max,"BACKLOG","MES CORRIENTE")))</f>
        <v/>
      </c>
      <c r="AD563" s="3">
        <f>IF($AB563="",FALSE,AND($AB563&gt;p_dias_backlog_min,$AB563&lt;=p_dias_backlog_max))</f>
        <v/>
      </c>
      <c r="AE563" s="6" t="n"/>
      <c r="AF563" s="3">
        <f>IF($AE563="","",IF((IFERROR(INDEX('ASIGNACIONES'!$F$4:$F$339,MATCH($O563&amp;"|"&amp;$R563&amp;"|"&amp;$AE563,'ASIGNACIONES'!$J$4:$J$339,0)),""))=0,"",IFERROR(INDEX('ASIGNACIONES'!$F$4:$F$339,MATCH($O563&amp;"|"&amp;$R563&amp;"|"&amp;$AE563,'ASIGNACIONES'!$J$4:$J$339,0)),"")))</f>
        <v/>
      </c>
      <c r="AG563" s="13">
        <f>IF($AE563="","",SUMIFS('ORDENES'!$M$4:$M$1203,'ORDENES'!$AE$4:$AE$1203,$AE563,'ORDENES'!$O$4:$O$1203,$O563,'ORDENES'!$R$4:$R$1203,$R563))</f>
        <v/>
      </c>
      <c r="AH563" s="13">
        <f>IF($AG563="","",p_factor_productividad*IFERROR(INDEX('ASIGNACIONES'!$I$4:$I$339,MATCH($O563&amp;"|"&amp;$R563&amp;"|"&amp;$AE563,'ASIGNACIONES'!$J$4:$J$339,0)),0)-$AG563)</f>
        <v/>
      </c>
      <c r="AI563" s="10">
        <f>IF($A563="","",IFERROR(INDEX('2_IMPORTAR_EJECUCION'!$F$9:$F$1208,MATCH($AQ563,'2_IMPORTAR_EJECUCION'!$J$9:$J$1208,0)),0))</f>
        <v/>
      </c>
      <c r="AJ563" s="10">
        <f>IF($A563="","",MAX(0,IFERROR(INDEX('2_IMPORTAR_EJECUCION'!$H$9:$H$1208,MATCH($AQ563,'2_IMPORTAR_EJECUCION'!$J$9:$J$1208,0)),0)-$AI563))</f>
        <v/>
      </c>
      <c r="AK563" s="10">
        <f>IF($A563="","",$AI563+$AJ563)</f>
        <v/>
      </c>
      <c r="AL563" s="6" t="n"/>
      <c r="AM563" s="6" t="n"/>
      <c r="AN563" s="6" t="n"/>
      <c r="AO563" s="3">
        <f>IF($AN563="","",HYPERLINK(p_ruta_base_checklists&amp;$AN563,"abrir"))</f>
        <v/>
      </c>
      <c r="AP563" s="6" t="n"/>
      <c r="AQ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IF($A564="","",IFERROR(INDEX('AJUSTES'!$B$4:$B$303,MATCH($AQ564,'AJUSTES'!$A$4:$A$303,0)),IF($K564="","",$K564)))</f>
        <v/>
      </c>
      <c r="N564" s="3">
        <f>IF($A564="","",IFERROR(INDEX('CAT_ESTADOS_ERP'!$B$4:$B$7,MATCH(IFERROR(INDEX('2_IMPORTAR_EJECUCION'!$C$9:$C$1208,MATCH($AQ564,'2_IMPORTAR_EJECUCION'!$J$9:$J$1208,0)),""),'CAT_ESTADOS_ERP'!$A$4:$A$7,0)),"Pendiente"))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J564="","",IFERROR(INDEX('CALENDARIO'!$C$15:$C$214,MATCH(TEXT($J564,"yyyy-mm-dd")&amp;"|"&amp;$V564&amp;"|"&amp;$W564,'CALENDARIO'!$G$15:$G$214,0)),IFERROR(INDEX('CALENDARIO'!$C$15:$C$214,MATCH(TEXT($J564,"yyyy-mm-dd")&amp;"|"&amp;$V564&amp;"|",'CALENDARIO'!$G$15:$G$214,0)),IFERROR(INDEX('CALENDARIO'!$C$15:$C$214,MATCH(TEXT($J564,"yyyy-mm-dd")&amp;"||",'CALENDARIO'!$G$15:$G$214,0)),INDEX(patronHabil,WEEKDAY($J564,2))))))</f>
        <v/>
      </c>
      <c r="T564" s="3">
        <f>IF($I564="","",IFERROR(INDEX('CAT_TIPOS_OT'!$C$4:$C$7,MATCH($I564,'CAT_TIPOS_OT'!$A$4:$A$7,0)),"sin_clasificar"))</f>
        <v/>
      </c>
      <c r="U564" s="3">
        <f>IF($F564="","",IFERROR(INDEX('CAT_CENTROS_COSTO'!$F$4:$F$13,MATCH($F564,'CAT_CENTROS_COSTO'!$A$4:$A$13,0)),"(sin catálogo)"))</f>
        <v/>
      </c>
      <c r="V564" s="3">
        <f>IF($F564="","",IFERROR(INDEX('CAT_CENTROS_COSTO'!$D$4:$D$13,MATCH($F564,'CAT_CENTROS_COSTO'!$A$4:$A$13,0)),"(sin catálogo)"))</f>
        <v/>
      </c>
      <c r="W564" s="3">
        <f>IF($F564="","",IF((IFERROR(INDEX('CAT_CENTROS_COSTO'!$E$4:$E$13,MATCH($F564,'CAT_CENTROS_COSTO'!$A$4:$A$13,0)),""))&lt;&gt;"",IFERROR(INDEX('CAT_CENTROS_COSTO'!$E$4:$E$13,MATCH($F564,'CAT_CENTROS_COSTO'!$A$4:$A$13,0)),""),$V564))</f>
        <v/>
      </c>
      <c r="X564" s="3">
        <f>IF($F564="","",IFERROR(INDEX('CAT_CENTROS_COSTO'!$G$4:$G$13,MATCH($F564,'CAT_CENTROS_COSTO'!$A$4:$A$13,0)),"(sin catálogo)"))</f>
        <v/>
      </c>
      <c r="Y564" s="3">
        <f>IF($G564="","",IFERROR(INDEX('CAT_PUESTOS'!$B$4:$B$8,MATCH($G564,'CAT_PUESTOS'!$A$4:$A$8,0)),"(sin catálogo)"))</f>
        <v/>
      </c>
      <c r="Z564" s="3">
        <f>IF($H564="","",IFERROR(INDEX('CAT_ACTIVIDADES'!$B$4:$B$8,MATCH($H564,'CAT_ACTIVIDADES'!$A$4:$A$8,0)),"(sin catálogo)"))</f>
        <v/>
      </c>
      <c r="AA564" s="12">
        <f>IF($J564="","",TODAY()-$J564)</f>
        <v/>
      </c>
      <c r="AB564" s="12">
        <f>IF($J564="","",IF($J564&lt;=TODAY(),COUNTIFS(cal_fechas,"&gt;="&amp;$J564,cal_fechas,"&lt;"&amp;TODAY(),cal_habil,"sí"),-COUNTIFS(cal_fechas,"&gt;="&amp;TODAY(),cal_fechas,"&lt;"&amp;$J564,cal_habil,"sí")))</f>
        <v/>
      </c>
      <c r="AC564" s="3">
        <f>IF($AB564="","",IF($AB564&lt;0,"FUTURO",IF($AB564&gt;p_dias_backlog_max,"BACKLOG","MES CORRIENTE")))</f>
        <v/>
      </c>
      <c r="AD564" s="3">
        <f>IF($AB564="",FALSE,AND($AB564&gt;p_dias_backlog_min,$AB564&lt;=p_dias_backlog_max))</f>
        <v/>
      </c>
      <c r="AE564" s="6" t="n"/>
      <c r="AF564" s="3">
        <f>IF($AE564="","",IF((IFERROR(INDEX('ASIGNACIONES'!$F$4:$F$339,MATCH($O564&amp;"|"&amp;$R564&amp;"|"&amp;$AE564,'ASIGNACIONES'!$J$4:$J$339,0)),""))=0,"",IFERROR(INDEX('ASIGNACIONES'!$F$4:$F$339,MATCH($O564&amp;"|"&amp;$R564&amp;"|"&amp;$AE564,'ASIGNACIONES'!$J$4:$J$339,0)),"")))</f>
        <v/>
      </c>
      <c r="AG564" s="13">
        <f>IF($AE564="","",SUMIFS('ORDENES'!$M$4:$M$1203,'ORDENES'!$AE$4:$AE$1203,$AE564,'ORDENES'!$O$4:$O$1203,$O564,'ORDENES'!$R$4:$R$1203,$R564))</f>
        <v/>
      </c>
      <c r="AH564" s="13">
        <f>IF($AG564="","",p_factor_productividad*IFERROR(INDEX('ASIGNACIONES'!$I$4:$I$339,MATCH($O564&amp;"|"&amp;$R564&amp;"|"&amp;$AE564,'ASIGNACIONES'!$J$4:$J$339,0)),0)-$AG564)</f>
        <v/>
      </c>
      <c r="AI564" s="10">
        <f>IF($A564="","",IFERROR(INDEX('2_IMPORTAR_EJECUCION'!$F$9:$F$1208,MATCH($AQ564,'2_IMPORTAR_EJECUCION'!$J$9:$J$1208,0)),0))</f>
        <v/>
      </c>
      <c r="AJ564" s="10">
        <f>IF($A564="","",MAX(0,IFERROR(INDEX('2_IMPORTAR_EJECUCION'!$H$9:$H$1208,MATCH($AQ564,'2_IMPORTAR_EJECUCION'!$J$9:$J$1208,0)),0)-$AI564))</f>
        <v/>
      </c>
      <c r="AK564" s="10">
        <f>IF($A564="","",$AI564+$AJ564)</f>
        <v/>
      </c>
      <c r="AL564" s="6" t="n"/>
      <c r="AM564" s="6" t="n"/>
      <c r="AN564" s="6" t="n"/>
      <c r="AO564" s="3">
        <f>IF($AN564="","",HYPERLINK(p_ruta_base_checklists&amp;$AN564,"abrir"))</f>
        <v/>
      </c>
      <c r="AP564" s="6" t="n"/>
      <c r="AQ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IF($A565="","",IFERROR(INDEX('AJUSTES'!$B$4:$B$303,MATCH($AQ565,'AJUSTES'!$A$4:$A$303,0)),IF($K565="","",$K565)))</f>
        <v/>
      </c>
      <c r="N565" s="3">
        <f>IF($A565="","",IFERROR(INDEX('CAT_ESTADOS_ERP'!$B$4:$B$7,MATCH(IFERROR(INDEX('2_IMPORTAR_EJECUCION'!$C$9:$C$1208,MATCH($AQ565,'2_IMPORTAR_EJECUCION'!$J$9:$J$1208,0)),""),'CAT_ESTADOS_ERP'!$A$4:$A$7,0)),"Pendiente"))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J565="","",IFERROR(INDEX('CALENDARIO'!$C$15:$C$214,MATCH(TEXT($J565,"yyyy-mm-dd")&amp;"|"&amp;$V565&amp;"|"&amp;$W565,'CALENDARIO'!$G$15:$G$214,0)),IFERROR(INDEX('CALENDARIO'!$C$15:$C$214,MATCH(TEXT($J565,"yyyy-mm-dd")&amp;"|"&amp;$V565&amp;"|",'CALENDARIO'!$G$15:$G$214,0)),IFERROR(INDEX('CALENDARIO'!$C$15:$C$214,MATCH(TEXT($J565,"yyyy-mm-dd")&amp;"||",'CALENDARIO'!$G$15:$G$214,0)),INDEX(patronHabil,WEEKDAY($J565,2))))))</f>
        <v/>
      </c>
      <c r="T565" s="3">
        <f>IF($I565="","",IFERROR(INDEX('CAT_TIPOS_OT'!$C$4:$C$7,MATCH($I565,'CAT_TIPOS_OT'!$A$4:$A$7,0)),"sin_clasificar"))</f>
        <v/>
      </c>
      <c r="U565" s="3">
        <f>IF($F565="","",IFERROR(INDEX('CAT_CENTROS_COSTO'!$F$4:$F$13,MATCH($F565,'CAT_CENTROS_COSTO'!$A$4:$A$13,0)),"(sin catálogo)"))</f>
        <v/>
      </c>
      <c r="V565" s="3">
        <f>IF($F565="","",IFERROR(INDEX('CAT_CENTROS_COSTO'!$D$4:$D$13,MATCH($F565,'CAT_CENTROS_COSTO'!$A$4:$A$13,0)),"(sin catálogo)"))</f>
        <v/>
      </c>
      <c r="W565" s="3">
        <f>IF($F565="","",IF((IFERROR(INDEX('CAT_CENTROS_COSTO'!$E$4:$E$13,MATCH($F565,'CAT_CENTROS_COSTO'!$A$4:$A$13,0)),""))&lt;&gt;"",IFERROR(INDEX('CAT_CENTROS_COSTO'!$E$4:$E$13,MATCH($F565,'CAT_CENTROS_COSTO'!$A$4:$A$13,0)),""),$V565))</f>
        <v/>
      </c>
      <c r="X565" s="3">
        <f>IF($F565="","",IFERROR(INDEX('CAT_CENTROS_COSTO'!$G$4:$G$13,MATCH($F565,'CAT_CENTROS_COSTO'!$A$4:$A$13,0)),"(sin catálogo)"))</f>
        <v/>
      </c>
      <c r="Y565" s="3">
        <f>IF($G565="","",IFERROR(INDEX('CAT_PUESTOS'!$B$4:$B$8,MATCH($G565,'CAT_PUESTOS'!$A$4:$A$8,0)),"(sin catálogo)"))</f>
        <v/>
      </c>
      <c r="Z565" s="3">
        <f>IF($H565="","",IFERROR(INDEX('CAT_ACTIVIDADES'!$B$4:$B$8,MATCH($H565,'CAT_ACTIVIDADES'!$A$4:$A$8,0)),"(sin catálogo)"))</f>
        <v/>
      </c>
      <c r="AA565" s="12">
        <f>IF($J565="","",TODAY()-$J565)</f>
        <v/>
      </c>
      <c r="AB565" s="12">
        <f>IF($J565="","",IF($J565&lt;=TODAY(),COUNTIFS(cal_fechas,"&gt;="&amp;$J565,cal_fechas,"&lt;"&amp;TODAY(),cal_habil,"sí"),-COUNTIFS(cal_fechas,"&gt;="&amp;TODAY(),cal_fechas,"&lt;"&amp;$J565,cal_habil,"sí")))</f>
        <v/>
      </c>
      <c r="AC565" s="3">
        <f>IF($AB565="","",IF($AB565&lt;0,"FUTURO",IF($AB565&gt;p_dias_backlog_max,"BACKLOG","MES CORRIENTE")))</f>
        <v/>
      </c>
      <c r="AD565" s="3">
        <f>IF($AB565="",FALSE,AND($AB565&gt;p_dias_backlog_min,$AB565&lt;=p_dias_backlog_max))</f>
        <v/>
      </c>
      <c r="AE565" s="6" t="n"/>
      <c r="AF565" s="3">
        <f>IF($AE565="","",IF((IFERROR(INDEX('ASIGNACIONES'!$F$4:$F$339,MATCH($O565&amp;"|"&amp;$R565&amp;"|"&amp;$AE565,'ASIGNACIONES'!$J$4:$J$339,0)),""))=0,"",IFERROR(INDEX('ASIGNACIONES'!$F$4:$F$339,MATCH($O565&amp;"|"&amp;$R565&amp;"|"&amp;$AE565,'ASIGNACIONES'!$J$4:$J$339,0)),"")))</f>
        <v/>
      </c>
      <c r="AG565" s="13">
        <f>IF($AE565="","",SUMIFS('ORDENES'!$M$4:$M$1203,'ORDENES'!$AE$4:$AE$1203,$AE565,'ORDENES'!$O$4:$O$1203,$O565,'ORDENES'!$R$4:$R$1203,$R565))</f>
        <v/>
      </c>
      <c r="AH565" s="13">
        <f>IF($AG565="","",p_factor_productividad*IFERROR(INDEX('ASIGNACIONES'!$I$4:$I$339,MATCH($O565&amp;"|"&amp;$R565&amp;"|"&amp;$AE565,'ASIGNACIONES'!$J$4:$J$339,0)),0)-$AG565)</f>
        <v/>
      </c>
      <c r="AI565" s="10">
        <f>IF($A565="","",IFERROR(INDEX('2_IMPORTAR_EJECUCION'!$F$9:$F$1208,MATCH($AQ565,'2_IMPORTAR_EJECUCION'!$J$9:$J$1208,0)),0))</f>
        <v/>
      </c>
      <c r="AJ565" s="10">
        <f>IF($A565="","",MAX(0,IFERROR(INDEX('2_IMPORTAR_EJECUCION'!$H$9:$H$1208,MATCH($AQ565,'2_IMPORTAR_EJECUCION'!$J$9:$J$1208,0)),0)-$AI565))</f>
        <v/>
      </c>
      <c r="AK565" s="10">
        <f>IF($A565="","",$AI565+$AJ565)</f>
        <v/>
      </c>
      <c r="AL565" s="6" t="n"/>
      <c r="AM565" s="6" t="n"/>
      <c r="AN565" s="6" t="n"/>
      <c r="AO565" s="3">
        <f>IF($AN565="","",HYPERLINK(p_ruta_base_checklists&amp;$AN565,"abrir"))</f>
        <v/>
      </c>
      <c r="AP565" s="6" t="n"/>
      <c r="AQ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IF($A566="","",IFERROR(INDEX('AJUSTES'!$B$4:$B$303,MATCH($AQ566,'AJUSTES'!$A$4:$A$303,0)),IF($K566="","",$K566)))</f>
        <v/>
      </c>
      <c r="N566" s="3">
        <f>IF($A566="","",IFERROR(INDEX('CAT_ESTADOS_ERP'!$B$4:$B$7,MATCH(IFERROR(INDEX('2_IMPORTAR_EJECUCION'!$C$9:$C$1208,MATCH($AQ566,'2_IMPORTAR_EJECUCION'!$J$9:$J$1208,0)),""),'CAT_ESTADOS_ERP'!$A$4:$A$7,0)),"Pendiente"))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J566="","",IFERROR(INDEX('CALENDARIO'!$C$15:$C$214,MATCH(TEXT($J566,"yyyy-mm-dd")&amp;"|"&amp;$V566&amp;"|"&amp;$W566,'CALENDARIO'!$G$15:$G$214,0)),IFERROR(INDEX('CALENDARIO'!$C$15:$C$214,MATCH(TEXT($J566,"yyyy-mm-dd")&amp;"|"&amp;$V566&amp;"|",'CALENDARIO'!$G$15:$G$214,0)),IFERROR(INDEX('CALENDARIO'!$C$15:$C$214,MATCH(TEXT($J566,"yyyy-mm-dd")&amp;"||",'CALENDARIO'!$G$15:$G$214,0)),INDEX(patronHabil,WEEKDAY($J566,2))))))</f>
        <v/>
      </c>
      <c r="T566" s="3">
        <f>IF($I566="","",IFERROR(INDEX('CAT_TIPOS_OT'!$C$4:$C$7,MATCH($I566,'CAT_TIPOS_OT'!$A$4:$A$7,0)),"sin_clasificar"))</f>
        <v/>
      </c>
      <c r="U566" s="3">
        <f>IF($F566="","",IFERROR(INDEX('CAT_CENTROS_COSTO'!$F$4:$F$13,MATCH($F566,'CAT_CENTROS_COSTO'!$A$4:$A$13,0)),"(sin catálogo)"))</f>
        <v/>
      </c>
      <c r="V566" s="3">
        <f>IF($F566="","",IFERROR(INDEX('CAT_CENTROS_COSTO'!$D$4:$D$13,MATCH($F566,'CAT_CENTROS_COSTO'!$A$4:$A$13,0)),"(sin catálogo)"))</f>
        <v/>
      </c>
      <c r="W566" s="3">
        <f>IF($F566="","",IF((IFERROR(INDEX('CAT_CENTROS_COSTO'!$E$4:$E$13,MATCH($F566,'CAT_CENTROS_COSTO'!$A$4:$A$13,0)),""))&lt;&gt;"",IFERROR(INDEX('CAT_CENTROS_COSTO'!$E$4:$E$13,MATCH($F566,'CAT_CENTROS_COSTO'!$A$4:$A$13,0)),""),$V566))</f>
        <v/>
      </c>
      <c r="X566" s="3">
        <f>IF($F566="","",IFERROR(INDEX('CAT_CENTROS_COSTO'!$G$4:$G$13,MATCH($F566,'CAT_CENTROS_COSTO'!$A$4:$A$13,0)),"(sin catálogo)"))</f>
        <v/>
      </c>
      <c r="Y566" s="3">
        <f>IF($G566="","",IFERROR(INDEX('CAT_PUESTOS'!$B$4:$B$8,MATCH($G566,'CAT_PUESTOS'!$A$4:$A$8,0)),"(sin catálogo)"))</f>
        <v/>
      </c>
      <c r="Z566" s="3">
        <f>IF($H566="","",IFERROR(INDEX('CAT_ACTIVIDADES'!$B$4:$B$8,MATCH($H566,'CAT_ACTIVIDADES'!$A$4:$A$8,0)),"(sin catálogo)"))</f>
        <v/>
      </c>
      <c r="AA566" s="12">
        <f>IF($J566="","",TODAY()-$J566)</f>
        <v/>
      </c>
      <c r="AB566" s="12">
        <f>IF($J566="","",IF($J566&lt;=TODAY(),COUNTIFS(cal_fechas,"&gt;="&amp;$J566,cal_fechas,"&lt;"&amp;TODAY(),cal_habil,"sí"),-COUNTIFS(cal_fechas,"&gt;="&amp;TODAY(),cal_fechas,"&lt;"&amp;$J566,cal_habil,"sí")))</f>
        <v/>
      </c>
      <c r="AC566" s="3">
        <f>IF($AB566="","",IF($AB566&lt;0,"FUTURO",IF($AB566&gt;p_dias_backlog_max,"BACKLOG","MES CORRIENTE")))</f>
        <v/>
      </c>
      <c r="AD566" s="3">
        <f>IF($AB566="",FALSE,AND($AB566&gt;p_dias_backlog_min,$AB566&lt;=p_dias_backlog_max))</f>
        <v/>
      </c>
      <c r="AE566" s="6" t="n"/>
      <c r="AF566" s="3">
        <f>IF($AE566="","",IF((IFERROR(INDEX('ASIGNACIONES'!$F$4:$F$339,MATCH($O566&amp;"|"&amp;$R566&amp;"|"&amp;$AE566,'ASIGNACIONES'!$J$4:$J$339,0)),""))=0,"",IFERROR(INDEX('ASIGNACIONES'!$F$4:$F$339,MATCH($O566&amp;"|"&amp;$R566&amp;"|"&amp;$AE566,'ASIGNACIONES'!$J$4:$J$339,0)),"")))</f>
        <v/>
      </c>
      <c r="AG566" s="13">
        <f>IF($AE566="","",SUMIFS('ORDENES'!$M$4:$M$1203,'ORDENES'!$AE$4:$AE$1203,$AE566,'ORDENES'!$O$4:$O$1203,$O566,'ORDENES'!$R$4:$R$1203,$R566))</f>
        <v/>
      </c>
      <c r="AH566" s="13">
        <f>IF($AG566="","",p_factor_productividad*IFERROR(INDEX('ASIGNACIONES'!$I$4:$I$339,MATCH($O566&amp;"|"&amp;$R566&amp;"|"&amp;$AE566,'ASIGNACIONES'!$J$4:$J$339,0)),0)-$AG566)</f>
        <v/>
      </c>
      <c r="AI566" s="10">
        <f>IF($A566="","",IFERROR(INDEX('2_IMPORTAR_EJECUCION'!$F$9:$F$1208,MATCH($AQ566,'2_IMPORTAR_EJECUCION'!$J$9:$J$1208,0)),0))</f>
        <v/>
      </c>
      <c r="AJ566" s="10">
        <f>IF($A566="","",MAX(0,IFERROR(INDEX('2_IMPORTAR_EJECUCION'!$H$9:$H$1208,MATCH($AQ566,'2_IMPORTAR_EJECUCION'!$J$9:$J$1208,0)),0)-$AI566))</f>
        <v/>
      </c>
      <c r="AK566" s="10">
        <f>IF($A566="","",$AI566+$AJ566)</f>
        <v/>
      </c>
      <c r="AL566" s="6" t="n"/>
      <c r="AM566" s="6" t="n"/>
      <c r="AN566" s="6" t="n"/>
      <c r="AO566" s="3">
        <f>IF($AN566="","",HYPERLINK(p_ruta_base_checklists&amp;$AN566,"abrir"))</f>
        <v/>
      </c>
      <c r="AP566" s="6" t="n"/>
      <c r="AQ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IF($A567="","",IFERROR(INDEX('AJUSTES'!$B$4:$B$303,MATCH($AQ567,'AJUSTES'!$A$4:$A$303,0)),IF($K567="","",$K567)))</f>
        <v/>
      </c>
      <c r="N567" s="3">
        <f>IF($A567="","",IFERROR(INDEX('CAT_ESTADOS_ERP'!$B$4:$B$7,MATCH(IFERROR(INDEX('2_IMPORTAR_EJECUCION'!$C$9:$C$1208,MATCH($AQ567,'2_IMPORTAR_EJECUCION'!$J$9:$J$1208,0)),""),'CAT_ESTADOS_ERP'!$A$4:$A$7,0)),"Pendiente"))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J567="","",IFERROR(INDEX('CALENDARIO'!$C$15:$C$214,MATCH(TEXT($J567,"yyyy-mm-dd")&amp;"|"&amp;$V567&amp;"|"&amp;$W567,'CALENDARIO'!$G$15:$G$214,0)),IFERROR(INDEX('CALENDARIO'!$C$15:$C$214,MATCH(TEXT($J567,"yyyy-mm-dd")&amp;"|"&amp;$V567&amp;"|",'CALENDARIO'!$G$15:$G$214,0)),IFERROR(INDEX('CALENDARIO'!$C$15:$C$214,MATCH(TEXT($J567,"yyyy-mm-dd")&amp;"||",'CALENDARIO'!$G$15:$G$214,0)),INDEX(patronHabil,WEEKDAY($J567,2))))))</f>
        <v/>
      </c>
      <c r="T567" s="3">
        <f>IF($I567="","",IFERROR(INDEX('CAT_TIPOS_OT'!$C$4:$C$7,MATCH($I567,'CAT_TIPOS_OT'!$A$4:$A$7,0)),"sin_clasificar"))</f>
        <v/>
      </c>
      <c r="U567" s="3">
        <f>IF($F567="","",IFERROR(INDEX('CAT_CENTROS_COSTO'!$F$4:$F$13,MATCH($F567,'CAT_CENTROS_COSTO'!$A$4:$A$13,0)),"(sin catálogo)"))</f>
        <v/>
      </c>
      <c r="V567" s="3">
        <f>IF($F567="","",IFERROR(INDEX('CAT_CENTROS_COSTO'!$D$4:$D$13,MATCH($F567,'CAT_CENTROS_COSTO'!$A$4:$A$13,0)),"(sin catálogo)"))</f>
        <v/>
      </c>
      <c r="W567" s="3">
        <f>IF($F567="","",IF((IFERROR(INDEX('CAT_CENTROS_COSTO'!$E$4:$E$13,MATCH($F567,'CAT_CENTROS_COSTO'!$A$4:$A$13,0)),""))&lt;&gt;"",IFERROR(INDEX('CAT_CENTROS_COSTO'!$E$4:$E$13,MATCH($F567,'CAT_CENTROS_COSTO'!$A$4:$A$13,0)),""),$V567))</f>
        <v/>
      </c>
      <c r="X567" s="3">
        <f>IF($F567="","",IFERROR(INDEX('CAT_CENTROS_COSTO'!$G$4:$G$13,MATCH($F567,'CAT_CENTROS_COSTO'!$A$4:$A$13,0)),"(sin catálogo)"))</f>
        <v/>
      </c>
      <c r="Y567" s="3">
        <f>IF($G567="","",IFERROR(INDEX('CAT_PUESTOS'!$B$4:$B$8,MATCH($G567,'CAT_PUESTOS'!$A$4:$A$8,0)),"(sin catálogo)"))</f>
        <v/>
      </c>
      <c r="Z567" s="3">
        <f>IF($H567="","",IFERROR(INDEX('CAT_ACTIVIDADES'!$B$4:$B$8,MATCH($H567,'CAT_ACTIVIDADES'!$A$4:$A$8,0)),"(sin catálogo)"))</f>
        <v/>
      </c>
      <c r="AA567" s="12">
        <f>IF($J567="","",TODAY()-$J567)</f>
        <v/>
      </c>
      <c r="AB567" s="12">
        <f>IF($J567="","",IF($J567&lt;=TODAY(),COUNTIFS(cal_fechas,"&gt;="&amp;$J567,cal_fechas,"&lt;"&amp;TODAY(),cal_habil,"sí"),-COUNTIFS(cal_fechas,"&gt;="&amp;TODAY(),cal_fechas,"&lt;"&amp;$J567,cal_habil,"sí")))</f>
        <v/>
      </c>
      <c r="AC567" s="3">
        <f>IF($AB567="","",IF($AB567&lt;0,"FUTURO",IF($AB567&gt;p_dias_backlog_max,"BACKLOG","MES CORRIENTE")))</f>
        <v/>
      </c>
      <c r="AD567" s="3">
        <f>IF($AB567="",FALSE,AND($AB567&gt;p_dias_backlog_min,$AB567&lt;=p_dias_backlog_max))</f>
        <v/>
      </c>
      <c r="AE567" s="6" t="n"/>
      <c r="AF567" s="3">
        <f>IF($AE567="","",IF((IFERROR(INDEX('ASIGNACIONES'!$F$4:$F$339,MATCH($O567&amp;"|"&amp;$R567&amp;"|"&amp;$AE567,'ASIGNACIONES'!$J$4:$J$339,0)),""))=0,"",IFERROR(INDEX('ASIGNACIONES'!$F$4:$F$339,MATCH($O567&amp;"|"&amp;$R567&amp;"|"&amp;$AE567,'ASIGNACIONES'!$J$4:$J$339,0)),"")))</f>
        <v/>
      </c>
      <c r="AG567" s="13">
        <f>IF($AE567="","",SUMIFS('ORDENES'!$M$4:$M$1203,'ORDENES'!$AE$4:$AE$1203,$AE567,'ORDENES'!$O$4:$O$1203,$O567,'ORDENES'!$R$4:$R$1203,$R567))</f>
        <v/>
      </c>
      <c r="AH567" s="13">
        <f>IF($AG567="","",p_factor_productividad*IFERROR(INDEX('ASIGNACIONES'!$I$4:$I$339,MATCH($O567&amp;"|"&amp;$R567&amp;"|"&amp;$AE567,'ASIGNACIONES'!$J$4:$J$339,0)),0)-$AG567)</f>
        <v/>
      </c>
      <c r="AI567" s="10">
        <f>IF($A567="","",IFERROR(INDEX('2_IMPORTAR_EJECUCION'!$F$9:$F$1208,MATCH($AQ567,'2_IMPORTAR_EJECUCION'!$J$9:$J$1208,0)),0))</f>
        <v/>
      </c>
      <c r="AJ567" s="10">
        <f>IF($A567="","",MAX(0,IFERROR(INDEX('2_IMPORTAR_EJECUCION'!$H$9:$H$1208,MATCH($AQ567,'2_IMPORTAR_EJECUCION'!$J$9:$J$1208,0)),0)-$AI567))</f>
        <v/>
      </c>
      <c r="AK567" s="10">
        <f>IF($A567="","",$AI567+$AJ567)</f>
        <v/>
      </c>
      <c r="AL567" s="6" t="n"/>
      <c r="AM567" s="6" t="n"/>
      <c r="AN567" s="6" t="n"/>
      <c r="AO567" s="3">
        <f>IF($AN567="","",HYPERLINK(p_ruta_base_checklists&amp;$AN567,"abrir"))</f>
        <v/>
      </c>
      <c r="AP567" s="6" t="n"/>
      <c r="AQ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IF($A568="","",IFERROR(INDEX('AJUSTES'!$B$4:$B$303,MATCH($AQ568,'AJUSTES'!$A$4:$A$303,0)),IF($K568="","",$K568)))</f>
        <v/>
      </c>
      <c r="N568" s="3">
        <f>IF($A568="","",IFERROR(INDEX('CAT_ESTADOS_ERP'!$B$4:$B$7,MATCH(IFERROR(INDEX('2_IMPORTAR_EJECUCION'!$C$9:$C$1208,MATCH($AQ568,'2_IMPORTAR_EJECUCION'!$J$9:$J$1208,0)),""),'CAT_ESTADOS_ERP'!$A$4:$A$7,0)),"Pendiente"))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J568="","",IFERROR(INDEX('CALENDARIO'!$C$15:$C$214,MATCH(TEXT($J568,"yyyy-mm-dd")&amp;"|"&amp;$V568&amp;"|"&amp;$W568,'CALENDARIO'!$G$15:$G$214,0)),IFERROR(INDEX('CALENDARIO'!$C$15:$C$214,MATCH(TEXT($J568,"yyyy-mm-dd")&amp;"|"&amp;$V568&amp;"|",'CALENDARIO'!$G$15:$G$214,0)),IFERROR(INDEX('CALENDARIO'!$C$15:$C$214,MATCH(TEXT($J568,"yyyy-mm-dd")&amp;"||",'CALENDARIO'!$G$15:$G$214,0)),INDEX(patronHabil,WEEKDAY($J568,2))))))</f>
        <v/>
      </c>
      <c r="T568" s="3">
        <f>IF($I568="","",IFERROR(INDEX('CAT_TIPOS_OT'!$C$4:$C$7,MATCH($I568,'CAT_TIPOS_OT'!$A$4:$A$7,0)),"sin_clasificar"))</f>
        <v/>
      </c>
      <c r="U568" s="3">
        <f>IF($F568="","",IFERROR(INDEX('CAT_CENTROS_COSTO'!$F$4:$F$13,MATCH($F568,'CAT_CENTROS_COSTO'!$A$4:$A$13,0)),"(sin catálogo)"))</f>
        <v/>
      </c>
      <c r="V568" s="3">
        <f>IF($F568="","",IFERROR(INDEX('CAT_CENTROS_COSTO'!$D$4:$D$13,MATCH($F568,'CAT_CENTROS_COSTO'!$A$4:$A$13,0)),"(sin catálogo)"))</f>
        <v/>
      </c>
      <c r="W568" s="3">
        <f>IF($F568="","",IF((IFERROR(INDEX('CAT_CENTROS_COSTO'!$E$4:$E$13,MATCH($F568,'CAT_CENTROS_COSTO'!$A$4:$A$13,0)),""))&lt;&gt;"",IFERROR(INDEX('CAT_CENTROS_COSTO'!$E$4:$E$13,MATCH($F568,'CAT_CENTROS_COSTO'!$A$4:$A$13,0)),""),$V568))</f>
        <v/>
      </c>
      <c r="X568" s="3">
        <f>IF($F568="","",IFERROR(INDEX('CAT_CENTROS_COSTO'!$G$4:$G$13,MATCH($F568,'CAT_CENTROS_COSTO'!$A$4:$A$13,0)),"(sin catálogo)"))</f>
        <v/>
      </c>
      <c r="Y568" s="3">
        <f>IF($G568="","",IFERROR(INDEX('CAT_PUESTOS'!$B$4:$B$8,MATCH($G568,'CAT_PUESTOS'!$A$4:$A$8,0)),"(sin catálogo)"))</f>
        <v/>
      </c>
      <c r="Z568" s="3">
        <f>IF($H568="","",IFERROR(INDEX('CAT_ACTIVIDADES'!$B$4:$B$8,MATCH($H568,'CAT_ACTIVIDADES'!$A$4:$A$8,0)),"(sin catálogo)"))</f>
        <v/>
      </c>
      <c r="AA568" s="12">
        <f>IF($J568="","",TODAY()-$J568)</f>
        <v/>
      </c>
      <c r="AB568" s="12">
        <f>IF($J568="","",IF($J568&lt;=TODAY(),COUNTIFS(cal_fechas,"&gt;="&amp;$J568,cal_fechas,"&lt;"&amp;TODAY(),cal_habil,"sí"),-COUNTIFS(cal_fechas,"&gt;="&amp;TODAY(),cal_fechas,"&lt;"&amp;$J568,cal_habil,"sí")))</f>
        <v/>
      </c>
      <c r="AC568" s="3">
        <f>IF($AB568="","",IF($AB568&lt;0,"FUTURO",IF($AB568&gt;p_dias_backlog_max,"BACKLOG","MES CORRIENTE")))</f>
        <v/>
      </c>
      <c r="AD568" s="3">
        <f>IF($AB568="",FALSE,AND($AB568&gt;p_dias_backlog_min,$AB568&lt;=p_dias_backlog_max))</f>
        <v/>
      </c>
      <c r="AE568" s="6" t="n"/>
      <c r="AF568" s="3">
        <f>IF($AE568="","",IF((IFERROR(INDEX('ASIGNACIONES'!$F$4:$F$339,MATCH($O568&amp;"|"&amp;$R568&amp;"|"&amp;$AE568,'ASIGNACIONES'!$J$4:$J$339,0)),""))=0,"",IFERROR(INDEX('ASIGNACIONES'!$F$4:$F$339,MATCH($O568&amp;"|"&amp;$R568&amp;"|"&amp;$AE568,'ASIGNACIONES'!$J$4:$J$339,0)),"")))</f>
        <v/>
      </c>
      <c r="AG568" s="13">
        <f>IF($AE568="","",SUMIFS('ORDENES'!$M$4:$M$1203,'ORDENES'!$AE$4:$AE$1203,$AE568,'ORDENES'!$O$4:$O$1203,$O568,'ORDENES'!$R$4:$R$1203,$R568))</f>
        <v/>
      </c>
      <c r="AH568" s="13">
        <f>IF($AG568="","",p_factor_productividad*IFERROR(INDEX('ASIGNACIONES'!$I$4:$I$339,MATCH($O568&amp;"|"&amp;$R568&amp;"|"&amp;$AE568,'ASIGNACIONES'!$J$4:$J$339,0)),0)-$AG568)</f>
        <v/>
      </c>
      <c r="AI568" s="10">
        <f>IF($A568="","",IFERROR(INDEX('2_IMPORTAR_EJECUCION'!$F$9:$F$1208,MATCH($AQ568,'2_IMPORTAR_EJECUCION'!$J$9:$J$1208,0)),0))</f>
        <v/>
      </c>
      <c r="AJ568" s="10">
        <f>IF($A568="","",MAX(0,IFERROR(INDEX('2_IMPORTAR_EJECUCION'!$H$9:$H$1208,MATCH($AQ568,'2_IMPORTAR_EJECUCION'!$J$9:$J$1208,0)),0)-$AI568))</f>
        <v/>
      </c>
      <c r="AK568" s="10">
        <f>IF($A568="","",$AI568+$AJ568)</f>
        <v/>
      </c>
      <c r="AL568" s="6" t="n"/>
      <c r="AM568" s="6" t="n"/>
      <c r="AN568" s="6" t="n"/>
      <c r="AO568" s="3">
        <f>IF($AN568="","",HYPERLINK(p_ruta_base_checklists&amp;$AN568,"abrir"))</f>
        <v/>
      </c>
      <c r="AP568" s="6" t="n"/>
      <c r="AQ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IF($A569="","",IFERROR(INDEX('AJUSTES'!$B$4:$B$303,MATCH($AQ569,'AJUSTES'!$A$4:$A$303,0)),IF($K569="","",$K569)))</f>
        <v/>
      </c>
      <c r="N569" s="3">
        <f>IF($A569="","",IFERROR(INDEX('CAT_ESTADOS_ERP'!$B$4:$B$7,MATCH(IFERROR(INDEX('2_IMPORTAR_EJECUCION'!$C$9:$C$1208,MATCH($AQ569,'2_IMPORTAR_EJECUCION'!$J$9:$J$1208,0)),""),'CAT_ESTADOS_ERP'!$A$4:$A$7,0)),"Pendiente"))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J569="","",IFERROR(INDEX('CALENDARIO'!$C$15:$C$214,MATCH(TEXT($J569,"yyyy-mm-dd")&amp;"|"&amp;$V569&amp;"|"&amp;$W569,'CALENDARIO'!$G$15:$G$214,0)),IFERROR(INDEX('CALENDARIO'!$C$15:$C$214,MATCH(TEXT($J569,"yyyy-mm-dd")&amp;"|"&amp;$V569&amp;"|",'CALENDARIO'!$G$15:$G$214,0)),IFERROR(INDEX('CALENDARIO'!$C$15:$C$214,MATCH(TEXT($J569,"yyyy-mm-dd")&amp;"||",'CALENDARIO'!$G$15:$G$214,0)),INDEX(patronHabil,WEEKDAY($J569,2))))))</f>
        <v/>
      </c>
      <c r="T569" s="3">
        <f>IF($I569="","",IFERROR(INDEX('CAT_TIPOS_OT'!$C$4:$C$7,MATCH($I569,'CAT_TIPOS_OT'!$A$4:$A$7,0)),"sin_clasificar"))</f>
        <v/>
      </c>
      <c r="U569" s="3">
        <f>IF($F569="","",IFERROR(INDEX('CAT_CENTROS_COSTO'!$F$4:$F$13,MATCH($F569,'CAT_CENTROS_COSTO'!$A$4:$A$13,0)),"(sin catálogo)"))</f>
        <v/>
      </c>
      <c r="V569" s="3">
        <f>IF($F569="","",IFERROR(INDEX('CAT_CENTROS_COSTO'!$D$4:$D$13,MATCH($F569,'CAT_CENTROS_COSTO'!$A$4:$A$13,0)),"(sin catálogo)"))</f>
        <v/>
      </c>
      <c r="W569" s="3">
        <f>IF($F569="","",IF((IFERROR(INDEX('CAT_CENTROS_COSTO'!$E$4:$E$13,MATCH($F569,'CAT_CENTROS_COSTO'!$A$4:$A$13,0)),""))&lt;&gt;"",IFERROR(INDEX('CAT_CENTROS_COSTO'!$E$4:$E$13,MATCH($F569,'CAT_CENTROS_COSTO'!$A$4:$A$13,0)),""),$V569))</f>
        <v/>
      </c>
      <c r="X569" s="3">
        <f>IF($F569="","",IFERROR(INDEX('CAT_CENTROS_COSTO'!$G$4:$G$13,MATCH($F569,'CAT_CENTROS_COSTO'!$A$4:$A$13,0)),"(sin catálogo)"))</f>
        <v/>
      </c>
      <c r="Y569" s="3">
        <f>IF($G569="","",IFERROR(INDEX('CAT_PUESTOS'!$B$4:$B$8,MATCH($G569,'CAT_PUESTOS'!$A$4:$A$8,0)),"(sin catálogo)"))</f>
        <v/>
      </c>
      <c r="Z569" s="3">
        <f>IF($H569="","",IFERROR(INDEX('CAT_ACTIVIDADES'!$B$4:$B$8,MATCH($H569,'CAT_ACTIVIDADES'!$A$4:$A$8,0)),"(sin catálogo)"))</f>
        <v/>
      </c>
      <c r="AA569" s="12">
        <f>IF($J569="","",TODAY()-$J569)</f>
        <v/>
      </c>
      <c r="AB569" s="12">
        <f>IF($J569="","",IF($J569&lt;=TODAY(),COUNTIFS(cal_fechas,"&gt;="&amp;$J569,cal_fechas,"&lt;"&amp;TODAY(),cal_habil,"sí"),-COUNTIFS(cal_fechas,"&gt;="&amp;TODAY(),cal_fechas,"&lt;"&amp;$J569,cal_habil,"sí")))</f>
        <v/>
      </c>
      <c r="AC569" s="3">
        <f>IF($AB569="","",IF($AB569&lt;0,"FUTURO",IF($AB569&gt;p_dias_backlog_max,"BACKLOG","MES CORRIENTE")))</f>
        <v/>
      </c>
      <c r="AD569" s="3">
        <f>IF($AB569="",FALSE,AND($AB569&gt;p_dias_backlog_min,$AB569&lt;=p_dias_backlog_max))</f>
        <v/>
      </c>
      <c r="AE569" s="6" t="n"/>
      <c r="AF569" s="3">
        <f>IF($AE569="","",IF((IFERROR(INDEX('ASIGNACIONES'!$F$4:$F$339,MATCH($O569&amp;"|"&amp;$R569&amp;"|"&amp;$AE569,'ASIGNACIONES'!$J$4:$J$339,0)),""))=0,"",IFERROR(INDEX('ASIGNACIONES'!$F$4:$F$339,MATCH($O569&amp;"|"&amp;$R569&amp;"|"&amp;$AE569,'ASIGNACIONES'!$J$4:$J$339,0)),"")))</f>
        <v/>
      </c>
      <c r="AG569" s="13">
        <f>IF($AE569="","",SUMIFS('ORDENES'!$M$4:$M$1203,'ORDENES'!$AE$4:$AE$1203,$AE569,'ORDENES'!$O$4:$O$1203,$O569,'ORDENES'!$R$4:$R$1203,$R569))</f>
        <v/>
      </c>
      <c r="AH569" s="13">
        <f>IF($AG569="","",p_factor_productividad*IFERROR(INDEX('ASIGNACIONES'!$I$4:$I$339,MATCH($O569&amp;"|"&amp;$R569&amp;"|"&amp;$AE569,'ASIGNACIONES'!$J$4:$J$339,0)),0)-$AG569)</f>
        <v/>
      </c>
      <c r="AI569" s="10">
        <f>IF($A569="","",IFERROR(INDEX('2_IMPORTAR_EJECUCION'!$F$9:$F$1208,MATCH($AQ569,'2_IMPORTAR_EJECUCION'!$J$9:$J$1208,0)),0))</f>
        <v/>
      </c>
      <c r="AJ569" s="10">
        <f>IF($A569="","",MAX(0,IFERROR(INDEX('2_IMPORTAR_EJECUCION'!$H$9:$H$1208,MATCH($AQ569,'2_IMPORTAR_EJECUCION'!$J$9:$J$1208,0)),0)-$AI569))</f>
        <v/>
      </c>
      <c r="AK569" s="10">
        <f>IF($A569="","",$AI569+$AJ569)</f>
        <v/>
      </c>
      <c r="AL569" s="6" t="n"/>
      <c r="AM569" s="6" t="n"/>
      <c r="AN569" s="6" t="n"/>
      <c r="AO569" s="3">
        <f>IF($AN569="","",HYPERLINK(p_ruta_base_checklists&amp;$AN569,"abrir"))</f>
        <v/>
      </c>
      <c r="AP569" s="6" t="n"/>
      <c r="AQ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IF($A570="","",IFERROR(INDEX('AJUSTES'!$B$4:$B$303,MATCH($AQ570,'AJUSTES'!$A$4:$A$303,0)),IF($K570="","",$K570)))</f>
        <v/>
      </c>
      <c r="N570" s="3">
        <f>IF($A570="","",IFERROR(INDEX('CAT_ESTADOS_ERP'!$B$4:$B$7,MATCH(IFERROR(INDEX('2_IMPORTAR_EJECUCION'!$C$9:$C$1208,MATCH($AQ570,'2_IMPORTAR_EJECUCION'!$J$9:$J$1208,0)),""),'CAT_ESTADOS_ERP'!$A$4:$A$7,0)),"Pendiente"))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J570="","",IFERROR(INDEX('CALENDARIO'!$C$15:$C$214,MATCH(TEXT($J570,"yyyy-mm-dd")&amp;"|"&amp;$V570&amp;"|"&amp;$W570,'CALENDARIO'!$G$15:$G$214,0)),IFERROR(INDEX('CALENDARIO'!$C$15:$C$214,MATCH(TEXT($J570,"yyyy-mm-dd")&amp;"|"&amp;$V570&amp;"|",'CALENDARIO'!$G$15:$G$214,0)),IFERROR(INDEX('CALENDARIO'!$C$15:$C$214,MATCH(TEXT($J570,"yyyy-mm-dd")&amp;"||",'CALENDARIO'!$G$15:$G$214,0)),INDEX(patronHabil,WEEKDAY($J570,2))))))</f>
        <v/>
      </c>
      <c r="T570" s="3">
        <f>IF($I570="","",IFERROR(INDEX('CAT_TIPOS_OT'!$C$4:$C$7,MATCH($I570,'CAT_TIPOS_OT'!$A$4:$A$7,0)),"sin_clasificar"))</f>
        <v/>
      </c>
      <c r="U570" s="3">
        <f>IF($F570="","",IFERROR(INDEX('CAT_CENTROS_COSTO'!$F$4:$F$13,MATCH($F570,'CAT_CENTROS_COSTO'!$A$4:$A$13,0)),"(sin catálogo)"))</f>
        <v/>
      </c>
      <c r="V570" s="3">
        <f>IF($F570="","",IFERROR(INDEX('CAT_CENTROS_COSTO'!$D$4:$D$13,MATCH($F570,'CAT_CENTROS_COSTO'!$A$4:$A$13,0)),"(sin catálogo)"))</f>
        <v/>
      </c>
      <c r="W570" s="3">
        <f>IF($F570="","",IF((IFERROR(INDEX('CAT_CENTROS_COSTO'!$E$4:$E$13,MATCH($F570,'CAT_CENTROS_COSTO'!$A$4:$A$13,0)),""))&lt;&gt;"",IFERROR(INDEX('CAT_CENTROS_COSTO'!$E$4:$E$13,MATCH($F570,'CAT_CENTROS_COSTO'!$A$4:$A$13,0)),""),$V570))</f>
        <v/>
      </c>
      <c r="X570" s="3">
        <f>IF($F570="","",IFERROR(INDEX('CAT_CENTROS_COSTO'!$G$4:$G$13,MATCH($F570,'CAT_CENTROS_COSTO'!$A$4:$A$13,0)),"(sin catálogo)"))</f>
        <v/>
      </c>
      <c r="Y570" s="3">
        <f>IF($G570="","",IFERROR(INDEX('CAT_PUESTOS'!$B$4:$B$8,MATCH($G570,'CAT_PUESTOS'!$A$4:$A$8,0)),"(sin catálogo)"))</f>
        <v/>
      </c>
      <c r="Z570" s="3">
        <f>IF($H570="","",IFERROR(INDEX('CAT_ACTIVIDADES'!$B$4:$B$8,MATCH($H570,'CAT_ACTIVIDADES'!$A$4:$A$8,0)),"(sin catálogo)"))</f>
        <v/>
      </c>
      <c r="AA570" s="12">
        <f>IF($J570="","",TODAY()-$J570)</f>
        <v/>
      </c>
      <c r="AB570" s="12">
        <f>IF($J570="","",IF($J570&lt;=TODAY(),COUNTIFS(cal_fechas,"&gt;="&amp;$J570,cal_fechas,"&lt;"&amp;TODAY(),cal_habil,"sí"),-COUNTIFS(cal_fechas,"&gt;="&amp;TODAY(),cal_fechas,"&lt;"&amp;$J570,cal_habil,"sí")))</f>
        <v/>
      </c>
      <c r="AC570" s="3">
        <f>IF($AB570="","",IF($AB570&lt;0,"FUTURO",IF($AB570&gt;p_dias_backlog_max,"BACKLOG","MES CORRIENTE")))</f>
        <v/>
      </c>
      <c r="AD570" s="3">
        <f>IF($AB570="",FALSE,AND($AB570&gt;p_dias_backlog_min,$AB570&lt;=p_dias_backlog_max))</f>
        <v/>
      </c>
      <c r="AE570" s="6" t="n"/>
      <c r="AF570" s="3">
        <f>IF($AE570="","",IF((IFERROR(INDEX('ASIGNACIONES'!$F$4:$F$339,MATCH($O570&amp;"|"&amp;$R570&amp;"|"&amp;$AE570,'ASIGNACIONES'!$J$4:$J$339,0)),""))=0,"",IFERROR(INDEX('ASIGNACIONES'!$F$4:$F$339,MATCH($O570&amp;"|"&amp;$R570&amp;"|"&amp;$AE570,'ASIGNACIONES'!$J$4:$J$339,0)),"")))</f>
        <v/>
      </c>
      <c r="AG570" s="13">
        <f>IF($AE570="","",SUMIFS('ORDENES'!$M$4:$M$1203,'ORDENES'!$AE$4:$AE$1203,$AE570,'ORDENES'!$O$4:$O$1203,$O570,'ORDENES'!$R$4:$R$1203,$R570))</f>
        <v/>
      </c>
      <c r="AH570" s="13">
        <f>IF($AG570="","",p_factor_productividad*IFERROR(INDEX('ASIGNACIONES'!$I$4:$I$339,MATCH($O570&amp;"|"&amp;$R570&amp;"|"&amp;$AE570,'ASIGNACIONES'!$J$4:$J$339,0)),0)-$AG570)</f>
        <v/>
      </c>
      <c r="AI570" s="10">
        <f>IF($A570="","",IFERROR(INDEX('2_IMPORTAR_EJECUCION'!$F$9:$F$1208,MATCH($AQ570,'2_IMPORTAR_EJECUCION'!$J$9:$J$1208,0)),0))</f>
        <v/>
      </c>
      <c r="AJ570" s="10">
        <f>IF($A570="","",MAX(0,IFERROR(INDEX('2_IMPORTAR_EJECUCION'!$H$9:$H$1208,MATCH($AQ570,'2_IMPORTAR_EJECUCION'!$J$9:$J$1208,0)),0)-$AI570))</f>
        <v/>
      </c>
      <c r="AK570" s="10">
        <f>IF($A570="","",$AI570+$AJ570)</f>
        <v/>
      </c>
      <c r="AL570" s="6" t="n"/>
      <c r="AM570" s="6" t="n"/>
      <c r="AN570" s="6" t="n"/>
      <c r="AO570" s="3">
        <f>IF($AN570="","",HYPERLINK(p_ruta_base_checklists&amp;$AN570,"abrir"))</f>
        <v/>
      </c>
      <c r="AP570" s="6" t="n"/>
      <c r="AQ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IF($A571="","",IFERROR(INDEX('AJUSTES'!$B$4:$B$303,MATCH($AQ571,'AJUSTES'!$A$4:$A$303,0)),IF($K571="","",$K571)))</f>
        <v/>
      </c>
      <c r="N571" s="3">
        <f>IF($A571="","",IFERROR(INDEX('CAT_ESTADOS_ERP'!$B$4:$B$7,MATCH(IFERROR(INDEX('2_IMPORTAR_EJECUCION'!$C$9:$C$1208,MATCH($AQ571,'2_IMPORTAR_EJECUCION'!$J$9:$J$1208,0)),""),'CAT_ESTADOS_ERP'!$A$4:$A$7,0)),"Pendiente"))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J571="","",IFERROR(INDEX('CALENDARIO'!$C$15:$C$214,MATCH(TEXT($J571,"yyyy-mm-dd")&amp;"|"&amp;$V571&amp;"|"&amp;$W571,'CALENDARIO'!$G$15:$G$214,0)),IFERROR(INDEX('CALENDARIO'!$C$15:$C$214,MATCH(TEXT($J571,"yyyy-mm-dd")&amp;"|"&amp;$V571&amp;"|",'CALENDARIO'!$G$15:$G$214,0)),IFERROR(INDEX('CALENDARIO'!$C$15:$C$214,MATCH(TEXT($J571,"yyyy-mm-dd")&amp;"||",'CALENDARIO'!$G$15:$G$214,0)),INDEX(patronHabil,WEEKDAY($J571,2))))))</f>
        <v/>
      </c>
      <c r="T571" s="3">
        <f>IF($I571="","",IFERROR(INDEX('CAT_TIPOS_OT'!$C$4:$C$7,MATCH($I571,'CAT_TIPOS_OT'!$A$4:$A$7,0)),"sin_clasificar"))</f>
        <v/>
      </c>
      <c r="U571" s="3">
        <f>IF($F571="","",IFERROR(INDEX('CAT_CENTROS_COSTO'!$F$4:$F$13,MATCH($F571,'CAT_CENTROS_COSTO'!$A$4:$A$13,0)),"(sin catálogo)"))</f>
        <v/>
      </c>
      <c r="V571" s="3">
        <f>IF($F571="","",IFERROR(INDEX('CAT_CENTROS_COSTO'!$D$4:$D$13,MATCH($F571,'CAT_CENTROS_COSTO'!$A$4:$A$13,0)),"(sin catálogo)"))</f>
        <v/>
      </c>
      <c r="W571" s="3">
        <f>IF($F571="","",IF((IFERROR(INDEX('CAT_CENTROS_COSTO'!$E$4:$E$13,MATCH($F571,'CAT_CENTROS_COSTO'!$A$4:$A$13,0)),""))&lt;&gt;"",IFERROR(INDEX('CAT_CENTROS_COSTO'!$E$4:$E$13,MATCH($F571,'CAT_CENTROS_COSTO'!$A$4:$A$13,0)),""),$V571))</f>
        <v/>
      </c>
      <c r="X571" s="3">
        <f>IF($F571="","",IFERROR(INDEX('CAT_CENTROS_COSTO'!$G$4:$G$13,MATCH($F571,'CAT_CENTROS_COSTO'!$A$4:$A$13,0)),"(sin catálogo)"))</f>
        <v/>
      </c>
      <c r="Y571" s="3">
        <f>IF($G571="","",IFERROR(INDEX('CAT_PUESTOS'!$B$4:$B$8,MATCH($G571,'CAT_PUESTOS'!$A$4:$A$8,0)),"(sin catálogo)"))</f>
        <v/>
      </c>
      <c r="Z571" s="3">
        <f>IF($H571="","",IFERROR(INDEX('CAT_ACTIVIDADES'!$B$4:$B$8,MATCH($H571,'CAT_ACTIVIDADES'!$A$4:$A$8,0)),"(sin catálogo)"))</f>
        <v/>
      </c>
      <c r="AA571" s="12">
        <f>IF($J571="","",TODAY()-$J571)</f>
        <v/>
      </c>
      <c r="AB571" s="12">
        <f>IF($J571="","",IF($J571&lt;=TODAY(),COUNTIFS(cal_fechas,"&gt;="&amp;$J571,cal_fechas,"&lt;"&amp;TODAY(),cal_habil,"sí"),-COUNTIFS(cal_fechas,"&gt;="&amp;TODAY(),cal_fechas,"&lt;"&amp;$J571,cal_habil,"sí")))</f>
        <v/>
      </c>
      <c r="AC571" s="3">
        <f>IF($AB571="","",IF($AB571&lt;0,"FUTURO",IF($AB571&gt;p_dias_backlog_max,"BACKLOG","MES CORRIENTE")))</f>
        <v/>
      </c>
      <c r="AD571" s="3">
        <f>IF($AB571="",FALSE,AND($AB571&gt;p_dias_backlog_min,$AB571&lt;=p_dias_backlog_max))</f>
        <v/>
      </c>
      <c r="AE571" s="6" t="n"/>
      <c r="AF571" s="3">
        <f>IF($AE571="","",IF((IFERROR(INDEX('ASIGNACIONES'!$F$4:$F$339,MATCH($O571&amp;"|"&amp;$R571&amp;"|"&amp;$AE571,'ASIGNACIONES'!$J$4:$J$339,0)),""))=0,"",IFERROR(INDEX('ASIGNACIONES'!$F$4:$F$339,MATCH($O571&amp;"|"&amp;$R571&amp;"|"&amp;$AE571,'ASIGNACIONES'!$J$4:$J$339,0)),"")))</f>
        <v/>
      </c>
      <c r="AG571" s="13">
        <f>IF($AE571="","",SUMIFS('ORDENES'!$M$4:$M$1203,'ORDENES'!$AE$4:$AE$1203,$AE571,'ORDENES'!$O$4:$O$1203,$O571,'ORDENES'!$R$4:$R$1203,$R571))</f>
        <v/>
      </c>
      <c r="AH571" s="13">
        <f>IF($AG571="","",p_factor_productividad*IFERROR(INDEX('ASIGNACIONES'!$I$4:$I$339,MATCH($O571&amp;"|"&amp;$R571&amp;"|"&amp;$AE571,'ASIGNACIONES'!$J$4:$J$339,0)),0)-$AG571)</f>
        <v/>
      </c>
      <c r="AI571" s="10">
        <f>IF($A571="","",IFERROR(INDEX('2_IMPORTAR_EJECUCION'!$F$9:$F$1208,MATCH($AQ571,'2_IMPORTAR_EJECUCION'!$J$9:$J$1208,0)),0))</f>
        <v/>
      </c>
      <c r="AJ571" s="10">
        <f>IF($A571="","",MAX(0,IFERROR(INDEX('2_IMPORTAR_EJECUCION'!$H$9:$H$1208,MATCH($AQ571,'2_IMPORTAR_EJECUCION'!$J$9:$J$1208,0)),0)-$AI571))</f>
        <v/>
      </c>
      <c r="AK571" s="10">
        <f>IF($A571="","",$AI571+$AJ571)</f>
        <v/>
      </c>
      <c r="AL571" s="6" t="n"/>
      <c r="AM571" s="6" t="n"/>
      <c r="AN571" s="6" t="n"/>
      <c r="AO571" s="3">
        <f>IF($AN571="","",HYPERLINK(p_ruta_base_checklists&amp;$AN571,"abrir"))</f>
        <v/>
      </c>
      <c r="AP571" s="6" t="n"/>
      <c r="AQ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IF($A572="","",IFERROR(INDEX('AJUSTES'!$B$4:$B$303,MATCH($AQ572,'AJUSTES'!$A$4:$A$303,0)),IF($K572="","",$K572)))</f>
        <v/>
      </c>
      <c r="N572" s="3">
        <f>IF($A572="","",IFERROR(INDEX('CAT_ESTADOS_ERP'!$B$4:$B$7,MATCH(IFERROR(INDEX('2_IMPORTAR_EJECUCION'!$C$9:$C$1208,MATCH($AQ572,'2_IMPORTAR_EJECUCION'!$J$9:$J$1208,0)),""),'CAT_ESTADOS_ERP'!$A$4:$A$7,0)),"Pendiente"))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J572="","",IFERROR(INDEX('CALENDARIO'!$C$15:$C$214,MATCH(TEXT($J572,"yyyy-mm-dd")&amp;"|"&amp;$V572&amp;"|"&amp;$W572,'CALENDARIO'!$G$15:$G$214,0)),IFERROR(INDEX('CALENDARIO'!$C$15:$C$214,MATCH(TEXT($J572,"yyyy-mm-dd")&amp;"|"&amp;$V572&amp;"|",'CALENDARIO'!$G$15:$G$214,0)),IFERROR(INDEX('CALENDARIO'!$C$15:$C$214,MATCH(TEXT($J572,"yyyy-mm-dd")&amp;"||",'CALENDARIO'!$G$15:$G$214,0)),INDEX(patronHabil,WEEKDAY($J572,2))))))</f>
        <v/>
      </c>
      <c r="T572" s="3">
        <f>IF($I572="","",IFERROR(INDEX('CAT_TIPOS_OT'!$C$4:$C$7,MATCH($I572,'CAT_TIPOS_OT'!$A$4:$A$7,0)),"sin_clasificar"))</f>
        <v/>
      </c>
      <c r="U572" s="3">
        <f>IF($F572="","",IFERROR(INDEX('CAT_CENTROS_COSTO'!$F$4:$F$13,MATCH($F572,'CAT_CENTROS_COSTO'!$A$4:$A$13,0)),"(sin catálogo)"))</f>
        <v/>
      </c>
      <c r="V572" s="3">
        <f>IF($F572="","",IFERROR(INDEX('CAT_CENTROS_COSTO'!$D$4:$D$13,MATCH($F572,'CAT_CENTROS_COSTO'!$A$4:$A$13,0)),"(sin catálogo)"))</f>
        <v/>
      </c>
      <c r="W572" s="3">
        <f>IF($F572="","",IF((IFERROR(INDEX('CAT_CENTROS_COSTO'!$E$4:$E$13,MATCH($F572,'CAT_CENTROS_COSTO'!$A$4:$A$13,0)),""))&lt;&gt;"",IFERROR(INDEX('CAT_CENTROS_COSTO'!$E$4:$E$13,MATCH($F572,'CAT_CENTROS_COSTO'!$A$4:$A$13,0)),""),$V572))</f>
        <v/>
      </c>
      <c r="X572" s="3">
        <f>IF($F572="","",IFERROR(INDEX('CAT_CENTROS_COSTO'!$G$4:$G$13,MATCH($F572,'CAT_CENTROS_COSTO'!$A$4:$A$13,0)),"(sin catálogo)"))</f>
        <v/>
      </c>
      <c r="Y572" s="3">
        <f>IF($G572="","",IFERROR(INDEX('CAT_PUESTOS'!$B$4:$B$8,MATCH($G572,'CAT_PUESTOS'!$A$4:$A$8,0)),"(sin catálogo)"))</f>
        <v/>
      </c>
      <c r="Z572" s="3">
        <f>IF($H572="","",IFERROR(INDEX('CAT_ACTIVIDADES'!$B$4:$B$8,MATCH($H572,'CAT_ACTIVIDADES'!$A$4:$A$8,0)),"(sin catálogo)"))</f>
        <v/>
      </c>
      <c r="AA572" s="12">
        <f>IF($J572="","",TODAY()-$J572)</f>
        <v/>
      </c>
      <c r="AB572" s="12">
        <f>IF($J572="","",IF($J572&lt;=TODAY(),COUNTIFS(cal_fechas,"&gt;="&amp;$J572,cal_fechas,"&lt;"&amp;TODAY(),cal_habil,"sí"),-COUNTIFS(cal_fechas,"&gt;="&amp;TODAY(),cal_fechas,"&lt;"&amp;$J572,cal_habil,"sí")))</f>
        <v/>
      </c>
      <c r="AC572" s="3">
        <f>IF($AB572="","",IF($AB572&lt;0,"FUTURO",IF($AB572&gt;p_dias_backlog_max,"BACKLOG","MES CORRIENTE")))</f>
        <v/>
      </c>
      <c r="AD572" s="3">
        <f>IF($AB572="",FALSE,AND($AB572&gt;p_dias_backlog_min,$AB572&lt;=p_dias_backlog_max))</f>
        <v/>
      </c>
      <c r="AE572" s="6" t="n"/>
      <c r="AF572" s="3">
        <f>IF($AE572="","",IF((IFERROR(INDEX('ASIGNACIONES'!$F$4:$F$339,MATCH($O572&amp;"|"&amp;$R572&amp;"|"&amp;$AE572,'ASIGNACIONES'!$J$4:$J$339,0)),""))=0,"",IFERROR(INDEX('ASIGNACIONES'!$F$4:$F$339,MATCH($O572&amp;"|"&amp;$R572&amp;"|"&amp;$AE572,'ASIGNACIONES'!$J$4:$J$339,0)),"")))</f>
        <v/>
      </c>
      <c r="AG572" s="13">
        <f>IF($AE572="","",SUMIFS('ORDENES'!$M$4:$M$1203,'ORDENES'!$AE$4:$AE$1203,$AE572,'ORDENES'!$O$4:$O$1203,$O572,'ORDENES'!$R$4:$R$1203,$R572))</f>
        <v/>
      </c>
      <c r="AH572" s="13">
        <f>IF($AG572="","",p_factor_productividad*IFERROR(INDEX('ASIGNACIONES'!$I$4:$I$339,MATCH($O572&amp;"|"&amp;$R572&amp;"|"&amp;$AE572,'ASIGNACIONES'!$J$4:$J$339,0)),0)-$AG572)</f>
        <v/>
      </c>
      <c r="AI572" s="10">
        <f>IF($A572="","",IFERROR(INDEX('2_IMPORTAR_EJECUCION'!$F$9:$F$1208,MATCH($AQ572,'2_IMPORTAR_EJECUCION'!$J$9:$J$1208,0)),0))</f>
        <v/>
      </c>
      <c r="AJ572" s="10">
        <f>IF($A572="","",MAX(0,IFERROR(INDEX('2_IMPORTAR_EJECUCION'!$H$9:$H$1208,MATCH($AQ572,'2_IMPORTAR_EJECUCION'!$J$9:$J$1208,0)),0)-$AI572))</f>
        <v/>
      </c>
      <c r="AK572" s="10">
        <f>IF($A572="","",$AI572+$AJ572)</f>
        <v/>
      </c>
      <c r="AL572" s="6" t="n"/>
      <c r="AM572" s="6" t="n"/>
      <c r="AN572" s="6" t="n"/>
      <c r="AO572" s="3">
        <f>IF($AN572="","",HYPERLINK(p_ruta_base_checklists&amp;$AN572,"abrir"))</f>
        <v/>
      </c>
      <c r="AP572" s="6" t="n"/>
      <c r="AQ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IF($A573="","",IFERROR(INDEX('AJUSTES'!$B$4:$B$303,MATCH($AQ573,'AJUSTES'!$A$4:$A$303,0)),IF($K573="","",$K573)))</f>
        <v/>
      </c>
      <c r="N573" s="3">
        <f>IF($A573="","",IFERROR(INDEX('CAT_ESTADOS_ERP'!$B$4:$B$7,MATCH(IFERROR(INDEX('2_IMPORTAR_EJECUCION'!$C$9:$C$1208,MATCH($AQ573,'2_IMPORTAR_EJECUCION'!$J$9:$J$1208,0)),""),'CAT_ESTADOS_ERP'!$A$4:$A$7,0)),"Pendiente"))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J573="","",IFERROR(INDEX('CALENDARIO'!$C$15:$C$214,MATCH(TEXT($J573,"yyyy-mm-dd")&amp;"|"&amp;$V573&amp;"|"&amp;$W573,'CALENDARIO'!$G$15:$G$214,0)),IFERROR(INDEX('CALENDARIO'!$C$15:$C$214,MATCH(TEXT($J573,"yyyy-mm-dd")&amp;"|"&amp;$V573&amp;"|",'CALENDARIO'!$G$15:$G$214,0)),IFERROR(INDEX('CALENDARIO'!$C$15:$C$214,MATCH(TEXT($J573,"yyyy-mm-dd")&amp;"||",'CALENDARIO'!$G$15:$G$214,0)),INDEX(patronHabil,WEEKDAY($J573,2))))))</f>
        <v/>
      </c>
      <c r="T573" s="3">
        <f>IF($I573="","",IFERROR(INDEX('CAT_TIPOS_OT'!$C$4:$C$7,MATCH($I573,'CAT_TIPOS_OT'!$A$4:$A$7,0)),"sin_clasificar"))</f>
        <v/>
      </c>
      <c r="U573" s="3">
        <f>IF($F573="","",IFERROR(INDEX('CAT_CENTROS_COSTO'!$F$4:$F$13,MATCH($F573,'CAT_CENTROS_COSTO'!$A$4:$A$13,0)),"(sin catálogo)"))</f>
        <v/>
      </c>
      <c r="V573" s="3">
        <f>IF($F573="","",IFERROR(INDEX('CAT_CENTROS_COSTO'!$D$4:$D$13,MATCH($F573,'CAT_CENTROS_COSTO'!$A$4:$A$13,0)),"(sin catálogo)"))</f>
        <v/>
      </c>
      <c r="W573" s="3">
        <f>IF($F573="","",IF((IFERROR(INDEX('CAT_CENTROS_COSTO'!$E$4:$E$13,MATCH($F573,'CAT_CENTROS_COSTO'!$A$4:$A$13,0)),""))&lt;&gt;"",IFERROR(INDEX('CAT_CENTROS_COSTO'!$E$4:$E$13,MATCH($F573,'CAT_CENTROS_COSTO'!$A$4:$A$13,0)),""),$V573))</f>
        <v/>
      </c>
      <c r="X573" s="3">
        <f>IF($F573="","",IFERROR(INDEX('CAT_CENTROS_COSTO'!$G$4:$G$13,MATCH($F573,'CAT_CENTROS_COSTO'!$A$4:$A$13,0)),"(sin catálogo)"))</f>
        <v/>
      </c>
      <c r="Y573" s="3">
        <f>IF($G573="","",IFERROR(INDEX('CAT_PUESTOS'!$B$4:$B$8,MATCH($G573,'CAT_PUESTOS'!$A$4:$A$8,0)),"(sin catálogo)"))</f>
        <v/>
      </c>
      <c r="Z573" s="3">
        <f>IF($H573="","",IFERROR(INDEX('CAT_ACTIVIDADES'!$B$4:$B$8,MATCH($H573,'CAT_ACTIVIDADES'!$A$4:$A$8,0)),"(sin catálogo)"))</f>
        <v/>
      </c>
      <c r="AA573" s="12">
        <f>IF($J573="","",TODAY()-$J573)</f>
        <v/>
      </c>
      <c r="AB573" s="12">
        <f>IF($J573="","",IF($J573&lt;=TODAY(),COUNTIFS(cal_fechas,"&gt;="&amp;$J573,cal_fechas,"&lt;"&amp;TODAY(),cal_habil,"sí"),-COUNTIFS(cal_fechas,"&gt;="&amp;TODAY(),cal_fechas,"&lt;"&amp;$J573,cal_habil,"sí")))</f>
        <v/>
      </c>
      <c r="AC573" s="3">
        <f>IF($AB573="","",IF($AB573&lt;0,"FUTURO",IF($AB573&gt;p_dias_backlog_max,"BACKLOG","MES CORRIENTE")))</f>
        <v/>
      </c>
      <c r="AD573" s="3">
        <f>IF($AB573="",FALSE,AND($AB573&gt;p_dias_backlog_min,$AB573&lt;=p_dias_backlog_max))</f>
        <v/>
      </c>
      <c r="AE573" s="6" t="n"/>
      <c r="AF573" s="3">
        <f>IF($AE573="","",IF((IFERROR(INDEX('ASIGNACIONES'!$F$4:$F$339,MATCH($O573&amp;"|"&amp;$R573&amp;"|"&amp;$AE573,'ASIGNACIONES'!$J$4:$J$339,0)),""))=0,"",IFERROR(INDEX('ASIGNACIONES'!$F$4:$F$339,MATCH($O573&amp;"|"&amp;$R573&amp;"|"&amp;$AE573,'ASIGNACIONES'!$J$4:$J$339,0)),"")))</f>
        <v/>
      </c>
      <c r="AG573" s="13">
        <f>IF($AE573="","",SUMIFS('ORDENES'!$M$4:$M$1203,'ORDENES'!$AE$4:$AE$1203,$AE573,'ORDENES'!$O$4:$O$1203,$O573,'ORDENES'!$R$4:$R$1203,$R573))</f>
        <v/>
      </c>
      <c r="AH573" s="13">
        <f>IF($AG573="","",p_factor_productividad*IFERROR(INDEX('ASIGNACIONES'!$I$4:$I$339,MATCH($O573&amp;"|"&amp;$R573&amp;"|"&amp;$AE573,'ASIGNACIONES'!$J$4:$J$339,0)),0)-$AG573)</f>
        <v/>
      </c>
      <c r="AI573" s="10">
        <f>IF($A573="","",IFERROR(INDEX('2_IMPORTAR_EJECUCION'!$F$9:$F$1208,MATCH($AQ573,'2_IMPORTAR_EJECUCION'!$J$9:$J$1208,0)),0))</f>
        <v/>
      </c>
      <c r="AJ573" s="10">
        <f>IF($A573="","",MAX(0,IFERROR(INDEX('2_IMPORTAR_EJECUCION'!$H$9:$H$1208,MATCH($AQ573,'2_IMPORTAR_EJECUCION'!$J$9:$J$1208,0)),0)-$AI573))</f>
        <v/>
      </c>
      <c r="AK573" s="10">
        <f>IF($A573="","",$AI573+$AJ573)</f>
        <v/>
      </c>
      <c r="AL573" s="6" t="n"/>
      <c r="AM573" s="6" t="n"/>
      <c r="AN573" s="6" t="n"/>
      <c r="AO573" s="3">
        <f>IF($AN573="","",HYPERLINK(p_ruta_base_checklists&amp;$AN573,"abrir"))</f>
        <v/>
      </c>
      <c r="AP573" s="6" t="n"/>
      <c r="AQ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IF($A574="","",IFERROR(INDEX('AJUSTES'!$B$4:$B$303,MATCH($AQ574,'AJUSTES'!$A$4:$A$303,0)),IF($K574="","",$K574)))</f>
        <v/>
      </c>
      <c r="N574" s="3">
        <f>IF($A574="","",IFERROR(INDEX('CAT_ESTADOS_ERP'!$B$4:$B$7,MATCH(IFERROR(INDEX('2_IMPORTAR_EJECUCION'!$C$9:$C$1208,MATCH($AQ574,'2_IMPORTAR_EJECUCION'!$J$9:$J$1208,0)),""),'CAT_ESTADOS_ERP'!$A$4:$A$7,0)),"Pendiente"))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J574="","",IFERROR(INDEX('CALENDARIO'!$C$15:$C$214,MATCH(TEXT($J574,"yyyy-mm-dd")&amp;"|"&amp;$V574&amp;"|"&amp;$W574,'CALENDARIO'!$G$15:$G$214,0)),IFERROR(INDEX('CALENDARIO'!$C$15:$C$214,MATCH(TEXT($J574,"yyyy-mm-dd")&amp;"|"&amp;$V574&amp;"|",'CALENDARIO'!$G$15:$G$214,0)),IFERROR(INDEX('CALENDARIO'!$C$15:$C$214,MATCH(TEXT($J574,"yyyy-mm-dd")&amp;"||",'CALENDARIO'!$G$15:$G$214,0)),INDEX(patronHabil,WEEKDAY($J574,2))))))</f>
        <v/>
      </c>
      <c r="T574" s="3">
        <f>IF($I574="","",IFERROR(INDEX('CAT_TIPOS_OT'!$C$4:$C$7,MATCH($I574,'CAT_TIPOS_OT'!$A$4:$A$7,0)),"sin_clasificar"))</f>
        <v/>
      </c>
      <c r="U574" s="3">
        <f>IF($F574="","",IFERROR(INDEX('CAT_CENTROS_COSTO'!$F$4:$F$13,MATCH($F574,'CAT_CENTROS_COSTO'!$A$4:$A$13,0)),"(sin catálogo)"))</f>
        <v/>
      </c>
      <c r="V574" s="3">
        <f>IF($F574="","",IFERROR(INDEX('CAT_CENTROS_COSTO'!$D$4:$D$13,MATCH($F574,'CAT_CENTROS_COSTO'!$A$4:$A$13,0)),"(sin catálogo)"))</f>
        <v/>
      </c>
      <c r="W574" s="3">
        <f>IF($F574="","",IF((IFERROR(INDEX('CAT_CENTROS_COSTO'!$E$4:$E$13,MATCH($F574,'CAT_CENTROS_COSTO'!$A$4:$A$13,0)),""))&lt;&gt;"",IFERROR(INDEX('CAT_CENTROS_COSTO'!$E$4:$E$13,MATCH($F574,'CAT_CENTROS_COSTO'!$A$4:$A$13,0)),""),$V574))</f>
        <v/>
      </c>
      <c r="X574" s="3">
        <f>IF($F574="","",IFERROR(INDEX('CAT_CENTROS_COSTO'!$G$4:$G$13,MATCH($F574,'CAT_CENTROS_COSTO'!$A$4:$A$13,0)),"(sin catálogo)"))</f>
        <v/>
      </c>
      <c r="Y574" s="3">
        <f>IF($G574="","",IFERROR(INDEX('CAT_PUESTOS'!$B$4:$B$8,MATCH($G574,'CAT_PUESTOS'!$A$4:$A$8,0)),"(sin catálogo)"))</f>
        <v/>
      </c>
      <c r="Z574" s="3">
        <f>IF($H574="","",IFERROR(INDEX('CAT_ACTIVIDADES'!$B$4:$B$8,MATCH($H574,'CAT_ACTIVIDADES'!$A$4:$A$8,0)),"(sin catálogo)"))</f>
        <v/>
      </c>
      <c r="AA574" s="12">
        <f>IF($J574="","",TODAY()-$J574)</f>
        <v/>
      </c>
      <c r="AB574" s="12">
        <f>IF($J574="","",IF($J574&lt;=TODAY(),COUNTIFS(cal_fechas,"&gt;="&amp;$J574,cal_fechas,"&lt;"&amp;TODAY(),cal_habil,"sí"),-COUNTIFS(cal_fechas,"&gt;="&amp;TODAY(),cal_fechas,"&lt;"&amp;$J574,cal_habil,"sí")))</f>
        <v/>
      </c>
      <c r="AC574" s="3">
        <f>IF($AB574="","",IF($AB574&lt;0,"FUTURO",IF($AB574&gt;p_dias_backlog_max,"BACKLOG","MES CORRIENTE")))</f>
        <v/>
      </c>
      <c r="AD574" s="3">
        <f>IF($AB574="",FALSE,AND($AB574&gt;p_dias_backlog_min,$AB574&lt;=p_dias_backlog_max))</f>
        <v/>
      </c>
      <c r="AE574" s="6" t="n"/>
      <c r="AF574" s="3">
        <f>IF($AE574="","",IF((IFERROR(INDEX('ASIGNACIONES'!$F$4:$F$339,MATCH($O574&amp;"|"&amp;$R574&amp;"|"&amp;$AE574,'ASIGNACIONES'!$J$4:$J$339,0)),""))=0,"",IFERROR(INDEX('ASIGNACIONES'!$F$4:$F$339,MATCH($O574&amp;"|"&amp;$R574&amp;"|"&amp;$AE574,'ASIGNACIONES'!$J$4:$J$339,0)),"")))</f>
        <v/>
      </c>
      <c r="AG574" s="13">
        <f>IF($AE574="","",SUMIFS('ORDENES'!$M$4:$M$1203,'ORDENES'!$AE$4:$AE$1203,$AE574,'ORDENES'!$O$4:$O$1203,$O574,'ORDENES'!$R$4:$R$1203,$R574))</f>
        <v/>
      </c>
      <c r="AH574" s="13">
        <f>IF($AG574="","",p_factor_productividad*IFERROR(INDEX('ASIGNACIONES'!$I$4:$I$339,MATCH($O574&amp;"|"&amp;$R574&amp;"|"&amp;$AE574,'ASIGNACIONES'!$J$4:$J$339,0)),0)-$AG574)</f>
        <v/>
      </c>
      <c r="AI574" s="10">
        <f>IF($A574="","",IFERROR(INDEX('2_IMPORTAR_EJECUCION'!$F$9:$F$1208,MATCH($AQ574,'2_IMPORTAR_EJECUCION'!$J$9:$J$1208,0)),0))</f>
        <v/>
      </c>
      <c r="AJ574" s="10">
        <f>IF($A574="","",MAX(0,IFERROR(INDEX('2_IMPORTAR_EJECUCION'!$H$9:$H$1208,MATCH($AQ574,'2_IMPORTAR_EJECUCION'!$J$9:$J$1208,0)),0)-$AI574))</f>
        <v/>
      </c>
      <c r="AK574" s="10">
        <f>IF($A574="","",$AI574+$AJ574)</f>
        <v/>
      </c>
      <c r="AL574" s="6" t="n"/>
      <c r="AM574" s="6" t="n"/>
      <c r="AN574" s="6" t="n"/>
      <c r="AO574" s="3">
        <f>IF($AN574="","",HYPERLINK(p_ruta_base_checklists&amp;$AN574,"abrir"))</f>
        <v/>
      </c>
      <c r="AP574" s="6" t="n"/>
      <c r="AQ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IF($A575="","",IFERROR(INDEX('AJUSTES'!$B$4:$B$303,MATCH($AQ575,'AJUSTES'!$A$4:$A$303,0)),IF($K575="","",$K575)))</f>
        <v/>
      </c>
      <c r="N575" s="3">
        <f>IF($A575="","",IFERROR(INDEX('CAT_ESTADOS_ERP'!$B$4:$B$7,MATCH(IFERROR(INDEX('2_IMPORTAR_EJECUCION'!$C$9:$C$1208,MATCH($AQ575,'2_IMPORTAR_EJECUCION'!$J$9:$J$1208,0)),""),'CAT_ESTADOS_ERP'!$A$4:$A$7,0)),"Pendiente"))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J575="","",IFERROR(INDEX('CALENDARIO'!$C$15:$C$214,MATCH(TEXT($J575,"yyyy-mm-dd")&amp;"|"&amp;$V575&amp;"|"&amp;$W575,'CALENDARIO'!$G$15:$G$214,0)),IFERROR(INDEX('CALENDARIO'!$C$15:$C$214,MATCH(TEXT($J575,"yyyy-mm-dd")&amp;"|"&amp;$V575&amp;"|",'CALENDARIO'!$G$15:$G$214,0)),IFERROR(INDEX('CALENDARIO'!$C$15:$C$214,MATCH(TEXT($J575,"yyyy-mm-dd")&amp;"||",'CALENDARIO'!$G$15:$G$214,0)),INDEX(patronHabil,WEEKDAY($J575,2))))))</f>
        <v/>
      </c>
      <c r="T575" s="3">
        <f>IF($I575="","",IFERROR(INDEX('CAT_TIPOS_OT'!$C$4:$C$7,MATCH($I575,'CAT_TIPOS_OT'!$A$4:$A$7,0)),"sin_clasificar"))</f>
        <v/>
      </c>
      <c r="U575" s="3">
        <f>IF($F575="","",IFERROR(INDEX('CAT_CENTROS_COSTO'!$F$4:$F$13,MATCH($F575,'CAT_CENTROS_COSTO'!$A$4:$A$13,0)),"(sin catálogo)"))</f>
        <v/>
      </c>
      <c r="V575" s="3">
        <f>IF($F575="","",IFERROR(INDEX('CAT_CENTROS_COSTO'!$D$4:$D$13,MATCH($F575,'CAT_CENTROS_COSTO'!$A$4:$A$13,0)),"(sin catálogo)"))</f>
        <v/>
      </c>
      <c r="W575" s="3">
        <f>IF($F575="","",IF((IFERROR(INDEX('CAT_CENTROS_COSTO'!$E$4:$E$13,MATCH($F575,'CAT_CENTROS_COSTO'!$A$4:$A$13,0)),""))&lt;&gt;"",IFERROR(INDEX('CAT_CENTROS_COSTO'!$E$4:$E$13,MATCH($F575,'CAT_CENTROS_COSTO'!$A$4:$A$13,0)),""),$V575))</f>
        <v/>
      </c>
      <c r="X575" s="3">
        <f>IF($F575="","",IFERROR(INDEX('CAT_CENTROS_COSTO'!$G$4:$G$13,MATCH($F575,'CAT_CENTROS_COSTO'!$A$4:$A$13,0)),"(sin catálogo)"))</f>
        <v/>
      </c>
      <c r="Y575" s="3">
        <f>IF($G575="","",IFERROR(INDEX('CAT_PUESTOS'!$B$4:$B$8,MATCH($G575,'CAT_PUESTOS'!$A$4:$A$8,0)),"(sin catálogo)"))</f>
        <v/>
      </c>
      <c r="Z575" s="3">
        <f>IF($H575="","",IFERROR(INDEX('CAT_ACTIVIDADES'!$B$4:$B$8,MATCH($H575,'CAT_ACTIVIDADES'!$A$4:$A$8,0)),"(sin catálogo)"))</f>
        <v/>
      </c>
      <c r="AA575" s="12">
        <f>IF($J575="","",TODAY()-$J575)</f>
        <v/>
      </c>
      <c r="AB575" s="12">
        <f>IF($J575="","",IF($J575&lt;=TODAY(),COUNTIFS(cal_fechas,"&gt;="&amp;$J575,cal_fechas,"&lt;"&amp;TODAY(),cal_habil,"sí"),-COUNTIFS(cal_fechas,"&gt;="&amp;TODAY(),cal_fechas,"&lt;"&amp;$J575,cal_habil,"sí")))</f>
        <v/>
      </c>
      <c r="AC575" s="3">
        <f>IF($AB575="","",IF($AB575&lt;0,"FUTURO",IF($AB575&gt;p_dias_backlog_max,"BACKLOG","MES CORRIENTE")))</f>
        <v/>
      </c>
      <c r="AD575" s="3">
        <f>IF($AB575="",FALSE,AND($AB575&gt;p_dias_backlog_min,$AB575&lt;=p_dias_backlog_max))</f>
        <v/>
      </c>
      <c r="AE575" s="6" t="n"/>
      <c r="AF575" s="3">
        <f>IF($AE575="","",IF((IFERROR(INDEX('ASIGNACIONES'!$F$4:$F$339,MATCH($O575&amp;"|"&amp;$R575&amp;"|"&amp;$AE575,'ASIGNACIONES'!$J$4:$J$339,0)),""))=0,"",IFERROR(INDEX('ASIGNACIONES'!$F$4:$F$339,MATCH($O575&amp;"|"&amp;$R575&amp;"|"&amp;$AE575,'ASIGNACIONES'!$J$4:$J$339,0)),"")))</f>
        <v/>
      </c>
      <c r="AG575" s="13">
        <f>IF($AE575="","",SUMIFS('ORDENES'!$M$4:$M$1203,'ORDENES'!$AE$4:$AE$1203,$AE575,'ORDENES'!$O$4:$O$1203,$O575,'ORDENES'!$R$4:$R$1203,$R575))</f>
        <v/>
      </c>
      <c r="AH575" s="13">
        <f>IF($AG575="","",p_factor_productividad*IFERROR(INDEX('ASIGNACIONES'!$I$4:$I$339,MATCH($O575&amp;"|"&amp;$R575&amp;"|"&amp;$AE575,'ASIGNACIONES'!$J$4:$J$339,0)),0)-$AG575)</f>
        <v/>
      </c>
      <c r="AI575" s="10">
        <f>IF($A575="","",IFERROR(INDEX('2_IMPORTAR_EJECUCION'!$F$9:$F$1208,MATCH($AQ575,'2_IMPORTAR_EJECUCION'!$J$9:$J$1208,0)),0))</f>
        <v/>
      </c>
      <c r="AJ575" s="10">
        <f>IF($A575="","",MAX(0,IFERROR(INDEX('2_IMPORTAR_EJECUCION'!$H$9:$H$1208,MATCH($AQ575,'2_IMPORTAR_EJECUCION'!$J$9:$J$1208,0)),0)-$AI575))</f>
        <v/>
      </c>
      <c r="AK575" s="10">
        <f>IF($A575="","",$AI575+$AJ575)</f>
        <v/>
      </c>
      <c r="AL575" s="6" t="n"/>
      <c r="AM575" s="6" t="n"/>
      <c r="AN575" s="6" t="n"/>
      <c r="AO575" s="3">
        <f>IF($AN575="","",HYPERLINK(p_ruta_base_checklists&amp;$AN575,"abrir"))</f>
        <v/>
      </c>
      <c r="AP575" s="6" t="n"/>
      <c r="AQ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IF($A576="","",IFERROR(INDEX('AJUSTES'!$B$4:$B$303,MATCH($AQ576,'AJUSTES'!$A$4:$A$303,0)),IF($K576="","",$K576)))</f>
        <v/>
      </c>
      <c r="N576" s="3">
        <f>IF($A576="","",IFERROR(INDEX('CAT_ESTADOS_ERP'!$B$4:$B$7,MATCH(IFERROR(INDEX('2_IMPORTAR_EJECUCION'!$C$9:$C$1208,MATCH($AQ576,'2_IMPORTAR_EJECUCION'!$J$9:$J$1208,0)),""),'CAT_ESTADOS_ERP'!$A$4:$A$7,0)),"Pendiente"))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J576="","",IFERROR(INDEX('CALENDARIO'!$C$15:$C$214,MATCH(TEXT($J576,"yyyy-mm-dd")&amp;"|"&amp;$V576&amp;"|"&amp;$W576,'CALENDARIO'!$G$15:$G$214,0)),IFERROR(INDEX('CALENDARIO'!$C$15:$C$214,MATCH(TEXT($J576,"yyyy-mm-dd")&amp;"|"&amp;$V576&amp;"|",'CALENDARIO'!$G$15:$G$214,0)),IFERROR(INDEX('CALENDARIO'!$C$15:$C$214,MATCH(TEXT($J576,"yyyy-mm-dd")&amp;"||",'CALENDARIO'!$G$15:$G$214,0)),INDEX(patronHabil,WEEKDAY($J576,2))))))</f>
        <v/>
      </c>
      <c r="T576" s="3">
        <f>IF($I576="","",IFERROR(INDEX('CAT_TIPOS_OT'!$C$4:$C$7,MATCH($I576,'CAT_TIPOS_OT'!$A$4:$A$7,0)),"sin_clasificar"))</f>
        <v/>
      </c>
      <c r="U576" s="3">
        <f>IF($F576="","",IFERROR(INDEX('CAT_CENTROS_COSTO'!$F$4:$F$13,MATCH($F576,'CAT_CENTROS_COSTO'!$A$4:$A$13,0)),"(sin catálogo)"))</f>
        <v/>
      </c>
      <c r="V576" s="3">
        <f>IF($F576="","",IFERROR(INDEX('CAT_CENTROS_COSTO'!$D$4:$D$13,MATCH($F576,'CAT_CENTROS_COSTO'!$A$4:$A$13,0)),"(sin catálogo)"))</f>
        <v/>
      </c>
      <c r="W576" s="3">
        <f>IF($F576="","",IF((IFERROR(INDEX('CAT_CENTROS_COSTO'!$E$4:$E$13,MATCH($F576,'CAT_CENTROS_COSTO'!$A$4:$A$13,0)),""))&lt;&gt;"",IFERROR(INDEX('CAT_CENTROS_COSTO'!$E$4:$E$13,MATCH($F576,'CAT_CENTROS_COSTO'!$A$4:$A$13,0)),""),$V576))</f>
        <v/>
      </c>
      <c r="X576" s="3">
        <f>IF($F576="","",IFERROR(INDEX('CAT_CENTROS_COSTO'!$G$4:$G$13,MATCH($F576,'CAT_CENTROS_COSTO'!$A$4:$A$13,0)),"(sin catálogo)"))</f>
        <v/>
      </c>
      <c r="Y576" s="3">
        <f>IF($G576="","",IFERROR(INDEX('CAT_PUESTOS'!$B$4:$B$8,MATCH($G576,'CAT_PUESTOS'!$A$4:$A$8,0)),"(sin catálogo)"))</f>
        <v/>
      </c>
      <c r="Z576" s="3">
        <f>IF($H576="","",IFERROR(INDEX('CAT_ACTIVIDADES'!$B$4:$B$8,MATCH($H576,'CAT_ACTIVIDADES'!$A$4:$A$8,0)),"(sin catálogo)"))</f>
        <v/>
      </c>
      <c r="AA576" s="12">
        <f>IF($J576="","",TODAY()-$J576)</f>
        <v/>
      </c>
      <c r="AB576" s="12">
        <f>IF($J576="","",IF($J576&lt;=TODAY(),COUNTIFS(cal_fechas,"&gt;="&amp;$J576,cal_fechas,"&lt;"&amp;TODAY(),cal_habil,"sí"),-COUNTIFS(cal_fechas,"&gt;="&amp;TODAY(),cal_fechas,"&lt;"&amp;$J576,cal_habil,"sí")))</f>
        <v/>
      </c>
      <c r="AC576" s="3">
        <f>IF($AB576="","",IF($AB576&lt;0,"FUTURO",IF($AB576&gt;p_dias_backlog_max,"BACKLOG","MES CORRIENTE")))</f>
        <v/>
      </c>
      <c r="AD576" s="3">
        <f>IF($AB576="",FALSE,AND($AB576&gt;p_dias_backlog_min,$AB576&lt;=p_dias_backlog_max))</f>
        <v/>
      </c>
      <c r="AE576" s="6" t="n"/>
      <c r="AF576" s="3">
        <f>IF($AE576="","",IF((IFERROR(INDEX('ASIGNACIONES'!$F$4:$F$339,MATCH($O576&amp;"|"&amp;$R576&amp;"|"&amp;$AE576,'ASIGNACIONES'!$J$4:$J$339,0)),""))=0,"",IFERROR(INDEX('ASIGNACIONES'!$F$4:$F$339,MATCH($O576&amp;"|"&amp;$R576&amp;"|"&amp;$AE576,'ASIGNACIONES'!$J$4:$J$339,0)),"")))</f>
        <v/>
      </c>
      <c r="AG576" s="13">
        <f>IF($AE576="","",SUMIFS('ORDENES'!$M$4:$M$1203,'ORDENES'!$AE$4:$AE$1203,$AE576,'ORDENES'!$O$4:$O$1203,$O576,'ORDENES'!$R$4:$R$1203,$R576))</f>
        <v/>
      </c>
      <c r="AH576" s="13">
        <f>IF($AG576="","",p_factor_productividad*IFERROR(INDEX('ASIGNACIONES'!$I$4:$I$339,MATCH($O576&amp;"|"&amp;$R576&amp;"|"&amp;$AE576,'ASIGNACIONES'!$J$4:$J$339,0)),0)-$AG576)</f>
        <v/>
      </c>
      <c r="AI576" s="10">
        <f>IF($A576="","",IFERROR(INDEX('2_IMPORTAR_EJECUCION'!$F$9:$F$1208,MATCH($AQ576,'2_IMPORTAR_EJECUCION'!$J$9:$J$1208,0)),0))</f>
        <v/>
      </c>
      <c r="AJ576" s="10">
        <f>IF($A576="","",MAX(0,IFERROR(INDEX('2_IMPORTAR_EJECUCION'!$H$9:$H$1208,MATCH($AQ576,'2_IMPORTAR_EJECUCION'!$J$9:$J$1208,0)),0)-$AI576))</f>
        <v/>
      </c>
      <c r="AK576" s="10">
        <f>IF($A576="","",$AI576+$AJ576)</f>
        <v/>
      </c>
      <c r="AL576" s="6" t="n"/>
      <c r="AM576" s="6" t="n"/>
      <c r="AN576" s="6" t="n"/>
      <c r="AO576" s="3">
        <f>IF($AN576="","",HYPERLINK(p_ruta_base_checklists&amp;$AN576,"abrir"))</f>
        <v/>
      </c>
      <c r="AP576" s="6" t="n"/>
      <c r="AQ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IF($A577="","",IFERROR(INDEX('AJUSTES'!$B$4:$B$303,MATCH($AQ577,'AJUSTES'!$A$4:$A$303,0)),IF($K577="","",$K577)))</f>
        <v/>
      </c>
      <c r="N577" s="3">
        <f>IF($A577="","",IFERROR(INDEX('CAT_ESTADOS_ERP'!$B$4:$B$7,MATCH(IFERROR(INDEX('2_IMPORTAR_EJECUCION'!$C$9:$C$1208,MATCH($AQ577,'2_IMPORTAR_EJECUCION'!$J$9:$J$1208,0)),""),'CAT_ESTADOS_ERP'!$A$4:$A$7,0)),"Pendiente"))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J577="","",IFERROR(INDEX('CALENDARIO'!$C$15:$C$214,MATCH(TEXT($J577,"yyyy-mm-dd")&amp;"|"&amp;$V577&amp;"|"&amp;$W577,'CALENDARIO'!$G$15:$G$214,0)),IFERROR(INDEX('CALENDARIO'!$C$15:$C$214,MATCH(TEXT($J577,"yyyy-mm-dd")&amp;"|"&amp;$V577&amp;"|",'CALENDARIO'!$G$15:$G$214,0)),IFERROR(INDEX('CALENDARIO'!$C$15:$C$214,MATCH(TEXT($J577,"yyyy-mm-dd")&amp;"||",'CALENDARIO'!$G$15:$G$214,0)),INDEX(patronHabil,WEEKDAY($J577,2))))))</f>
        <v/>
      </c>
      <c r="T577" s="3">
        <f>IF($I577="","",IFERROR(INDEX('CAT_TIPOS_OT'!$C$4:$C$7,MATCH($I577,'CAT_TIPOS_OT'!$A$4:$A$7,0)),"sin_clasificar"))</f>
        <v/>
      </c>
      <c r="U577" s="3">
        <f>IF($F577="","",IFERROR(INDEX('CAT_CENTROS_COSTO'!$F$4:$F$13,MATCH($F577,'CAT_CENTROS_COSTO'!$A$4:$A$13,0)),"(sin catálogo)"))</f>
        <v/>
      </c>
      <c r="V577" s="3">
        <f>IF($F577="","",IFERROR(INDEX('CAT_CENTROS_COSTO'!$D$4:$D$13,MATCH($F577,'CAT_CENTROS_COSTO'!$A$4:$A$13,0)),"(sin catálogo)"))</f>
        <v/>
      </c>
      <c r="W577" s="3">
        <f>IF($F577="","",IF((IFERROR(INDEX('CAT_CENTROS_COSTO'!$E$4:$E$13,MATCH($F577,'CAT_CENTROS_COSTO'!$A$4:$A$13,0)),""))&lt;&gt;"",IFERROR(INDEX('CAT_CENTROS_COSTO'!$E$4:$E$13,MATCH($F577,'CAT_CENTROS_COSTO'!$A$4:$A$13,0)),""),$V577))</f>
        <v/>
      </c>
      <c r="X577" s="3">
        <f>IF($F577="","",IFERROR(INDEX('CAT_CENTROS_COSTO'!$G$4:$G$13,MATCH($F577,'CAT_CENTROS_COSTO'!$A$4:$A$13,0)),"(sin catálogo)"))</f>
        <v/>
      </c>
      <c r="Y577" s="3">
        <f>IF($G577="","",IFERROR(INDEX('CAT_PUESTOS'!$B$4:$B$8,MATCH($G577,'CAT_PUESTOS'!$A$4:$A$8,0)),"(sin catálogo)"))</f>
        <v/>
      </c>
      <c r="Z577" s="3">
        <f>IF($H577="","",IFERROR(INDEX('CAT_ACTIVIDADES'!$B$4:$B$8,MATCH($H577,'CAT_ACTIVIDADES'!$A$4:$A$8,0)),"(sin catálogo)"))</f>
        <v/>
      </c>
      <c r="AA577" s="12">
        <f>IF($J577="","",TODAY()-$J577)</f>
        <v/>
      </c>
      <c r="AB577" s="12">
        <f>IF($J577="","",IF($J577&lt;=TODAY(),COUNTIFS(cal_fechas,"&gt;="&amp;$J577,cal_fechas,"&lt;"&amp;TODAY(),cal_habil,"sí"),-COUNTIFS(cal_fechas,"&gt;="&amp;TODAY(),cal_fechas,"&lt;"&amp;$J577,cal_habil,"sí")))</f>
        <v/>
      </c>
      <c r="AC577" s="3">
        <f>IF($AB577="","",IF($AB577&lt;0,"FUTURO",IF($AB577&gt;p_dias_backlog_max,"BACKLOG","MES CORRIENTE")))</f>
        <v/>
      </c>
      <c r="AD577" s="3">
        <f>IF($AB577="",FALSE,AND($AB577&gt;p_dias_backlog_min,$AB577&lt;=p_dias_backlog_max))</f>
        <v/>
      </c>
      <c r="AE577" s="6" t="n"/>
      <c r="AF577" s="3">
        <f>IF($AE577="","",IF((IFERROR(INDEX('ASIGNACIONES'!$F$4:$F$339,MATCH($O577&amp;"|"&amp;$R577&amp;"|"&amp;$AE577,'ASIGNACIONES'!$J$4:$J$339,0)),""))=0,"",IFERROR(INDEX('ASIGNACIONES'!$F$4:$F$339,MATCH($O577&amp;"|"&amp;$R577&amp;"|"&amp;$AE577,'ASIGNACIONES'!$J$4:$J$339,0)),"")))</f>
        <v/>
      </c>
      <c r="AG577" s="13">
        <f>IF($AE577="","",SUMIFS('ORDENES'!$M$4:$M$1203,'ORDENES'!$AE$4:$AE$1203,$AE577,'ORDENES'!$O$4:$O$1203,$O577,'ORDENES'!$R$4:$R$1203,$R577))</f>
        <v/>
      </c>
      <c r="AH577" s="13">
        <f>IF($AG577="","",p_factor_productividad*IFERROR(INDEX('ASIGNACIONES'!$I$4:$I$339,MATCH($O577&amp;"|"&amp;$R577&amp;"|"&amp;$AE577,'ASIGNACIONES'!$J$4:$J$339,0)),0)-$AG577)</f>
        <v/>
      </c>
      <c r="AI577" s="10">
        <f>IF($A577="","",IFERROR(INDEX('2_IMPORTAR_EJECUCION'!$F$9:$F$1208,MATCH($AQ577,'2_IMPORTAR_EJECUCION'!$J$9:$J$1208,0)),0))</f>
        <v/>
      </c>
      <c r="AJ577" s="10">
        <f>IF($A577="","",MAX(0,IFERROR(INDEX('2_IMPORTAR_EJECUCION'!$H$9:$H$1208,MATCH($AQ577,'2_IMPORTAR_EJECUCION'!$J$9:$J$1208,0)),0)-$AI577))</f>
        <v/>
      </c>
      <c r="AK577" s="10">
        <f>IF($A577="","",$AI577+$AJ577)</f>
        <v/>
      </c>
      <c r="AL577" s="6" t="n"/>
      <c r="AM577" s="6" t="n"/>
      <c r="AN577" s="6" t="n"/>
      <c r="AO577" s="3">
        <f>IF($AN577="","",HYPERLINK(p_ruta_base_checklists&amp;$AN577,"abrir"))</f>
        <v/>
      </c>
      <c r="AP577" s="6" t="n"/>
      <c r="AQ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IF($A578="","",IFERROR(INDEX('AJUSTES'!$B$4:$B$303,MATCH($AQ578,'AJUSTES'!$A$4:$A$303,0)),IF($K578="","",$K578)))</f>
        <v/>
      </c>
      <c r="N578" s="3">
        <f>IF($A578="","",IFERROR(INDEX('CAT_ESTADOS_ERP'!$B$4:$B$7,MATCH(IFERROR(INDEX('2_IMPORTAR_EJECUCION'!$C$9:$C$1208,MATCH($AQ578,'2_IMPORTAR_EJECUCION'!$J$9:$J$1208,0)),""),'CAT_ESTADOS_ERP'!$A$4:$A$7,0)),"Pendiente"))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J578="","",IFERROR(INDEX('CALENDARIO'!$C$15:$C$214,MATCH(TEXT($J578,"yyyy-mm-dd")&amp;"|"&amp;$V578&amp;"|"&amp;$W578,'CALENDARIO'!$G$15:$G$214,0)),IFERROR(INDEX('CALENDARIO'!$C$15:$C$214,MATCH(TEXT($J578,"yyyy-mm-dd")&amp;"|"&amp;$V578&amp;"|",'CALENDARIO'!$G$15:$G$214,0)),IFERROR(INDEX('CALENDARIO'!$C$15:$C$214,MATCH(TEXT($J578,"yyyy-mm-dd")&amp;"||",'CALENDARIO'!$G$15:$G$214,0)),INDEX(patronHabil,WEEKDAY($J578,2))))))</f>
        <v/>
      </c>
      <c r="T578" s="3">
        <f>IF($I578="","",IFERROR(INDEX('CAT_TIPOS_OT'!$C$4:$C$7,MATCH($I578,'CAT_TIPOS_OT'!$A$4:$A$7,0)),"sin_clasificar"))</f>
        <v/>
      </c>
      <c r="U578" s="3">
        <f>IF($F578="","",IFERROR(INDEX('CAT_CENTROS_COSTO'!$F$4:$F$13,MATCH($F578,'CAT_CENTROS_COSTO'!$A$4:$A$13,0)),"(sin catálogo)"))</f>
        <v/>
      </c>
      <c r="V578" s="3">
        <f>IF($F578="","",IFERROR(INDEX('CAT_CENTROS_COSTO'!$D$4:$D$13,MATCH($F578,'CAT_CENTROS_COSTO'!$A$4:$A$13,0)),"(sin catálogo)"))</f>
        <v/>
      </c>
      <c r="W578" s="3">
        <f>IF($F578="","",IF((IFERROR(INDEX('CAT_CENTROS_COSTO'!$E$4:$E$13,MATCH($F578,'CAT_CENTROS_COSTO'!$A$4:$A$13,0)),""))&lt;&gt;"",IFERROR(INDEX('CAT_CENTROS_COSTO'!$E$4:$E$13,MATCH($F578,'CAT_CENTROS_COSTO'!$A$4:$A$13,0)),""),$V578))</f>
        <v/>
      </c>
      <c r="X578" s="3">
        <f>IF($F578="","",IFERROR(INDEX('CAT_CENTROS_COSTO'!$G$4:$G$13,MATCH($F578,'CAT_CENTROS_COSTO'!$A$4:$A$13,0)),"(sin catálogo)"))</f>
        <v/>
      </c>
      <c r="Y578" s="3">
        <f>IF($G578="","",IFERROR(INDEX('CAT_PUESTOS'!$B$4:$B$8,MATCH($G578,'CAT_PUESTOS'!$A$4:$A$8,0)),"(sin catálogo)"))</f>
        <v/>
      </c>
      <c r="Z578" s="3">
        <f>IF($H578="","",IFERROR(INDEX('CAT_ACTIVIDADES'!$B$4:$B$8,MATCH($H578,'CAT_ACTIVIDADES'!$A$4:$A$8,0)),"(sin catálogo)"))</f>
        <v/>
      </c>
      <c r="AA578" s="12">
        <f>IF($J578="","",TODAY()-$J578)</f>
        <v/>
      </c>
      <c r="AB578" s="12">
        <f>IF($J578="","",IF($J578&lt;=TODAY(),COUNTIFS(cal_fechas,"&gt;="&amp;$J578,cal_fechas,"&lt;"&amp;TODAY(),cal_habil,"sí"),-COUNTIFS(cal_fechas,"&gt;="&amp;TODAY(),cal_fechas,"&lt;"&amp;$J578,cal_habil,"sí")))</f>
        <v/>
      </c>
      <c r="AC578" s="3">
        <f>IF($AB578="","",IF($AB578&lt;0,"FUTURO",IF($AB578&gt;p_dias_backlog_max,"BACKLOG","MES CORRIENTE")))</f>
        <v/>
      </c>
      <c r="AD578" s="3">
        <f>IF($AB578="",FALSE,AND($AB578&gt;p_dias_backlog_min,$AB578&lt;=p_dias_backlog_max))</f>
        <v/>
      </c>
      <c r="AE578" s="6" t="n"/>
      <c r="AF578" s="3">
        <f>IF($AE578="","",IF((IFERROR(INDEX('ASIGNACIONES'!$F$4:$F$339,MATCH($O578&amp;"|"&amp;$R578&amp;"|"&amp;$AE578,'ASIGNACIONES'!$J$4:$J$339,0)),""))=0,"",IFERROR(INDEX('ASIGNACIONES'!$F$4:$F$339,MATCH($O578&amp;"|"&amp;$R578&amp;"|"&amp;$AE578,'ASIGNACIONES'!$J$4:$J$339,0)),"")))</f>
        <v/>
      </c>
      <c r="AG578" s="13">
        <f>IF($AE578="","",SUMIFS('ORDENES'!$M$4:$M$1203,'ORDENES'!$AE$4:$AE$1203,$AE578,'ORDENES'!$O$4:$O$1203,$O578,'ORDENES'!$R$4:$R$1203,$R578))</f>
        <v/>
      </c>
      <c r="AH578" s="13">
        <f>IF($AG578="","",p_factor_productividad*IFERROR(INDEX('ASIGNACIONES'!$I$4:$I$339,MATCH($O578&amp;"|"&amp;$R578&amp;"|"&amp;$AE578,'ASIGNACIONES'!$J$4:$J$339,0)),0)-$AG578)</f>
        <v/>
      </c>
      <c r="AI578" s="10">
        <f>IF($A578="","",IFERROR(INDEX('2_IMPORTAR_EJECUCION'!$F$9:$F$1208,MATCH($AQ578,'2_IMPORTAR_EJECUCION'!$J$9:$J$1208,0)),0))</f>
        <v/>
      </c>
      <c r="AJ578" s="10">
        <f>IF($A578="","",MAX(0,IFERROR(INDEX('2_IMPORTAR_EJECUCION'!$H$9:$H$1208,MATCH($AQ578,'2_IMPORTAR_EJECUCION'!$J$9:$J$1208,0)),0)-$AI578))</f>
        <v/>
      </c>
      <c r="AK578" s="10">
        <f>IF($A578="","",$AI578+$AJ578)</f>
        <v/>
      </c>
      <c r="AL578" s="6" t="n"/>
      <c r="AM578" s="6" t="n"/>
      <c r="AN578" s="6" t="n"/>
      <c r="AO578" s="3">
        <f>IF($AN578="","",HYPERLINK(p_ruta_base_checklists&amp;$AN578,"abrir"))</f>
        <v/>
      </c>
      <c r="AP578" s="6" t="n"/>
      <c r="AQ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IF($A579="","",IFERROR(INDEX('AJUSTES'!$B$4:$B$303,MATCH($AQ579,'AJUSTES'!$A$4:$A$303,0)),IF($K579="","",$K579)))</f>
        <v/>
      </c>
      <c r="N579" s="3">
        <f>IF($A579="","",IFERROR(INDEX('CAT_ESTADOS_ERP'!$B$4:$B$7,MATCH(IFERROR(INDEX('2_IMPORTAR_EJECUCION'!$C$9:$C$1208,MATCH($AQ579,'2_IMPORTAR_EJECUCION'!$J$9:$J$1208,0)),""),'CAT_ESTADOS_ERP'!$A$4:$A$7,0)),"Pendiente"))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J579="","",IFERROR(INDEX('CALENDARIO'!$C$15:$C$214,MATCH(TEXT($J579,"yyyy-mm-dd")&amp;"|"&amp;$V579&amp;"|"&amp;$W579,'CALENDARIO'!$G$15:$G$214,0)),IFERROR(INDEX('CALENDARIO'!$C$15:$C$214,MATCH(TEXT($J579,"yyyy-mm-dd")&amp;"|"&amp;$V579&amp;"|",'CALENDARIO'!$G$15:$G$214,0)),IFERROR(INDEX('CALENDARIO'!$C$15:$C$214,MATCH(TEXT($J579,"yyyy-mm-dd")&amp;"||",'CALENDARIO'!$G$15:$G$214,0)),INDEX(patronHabil,WEEKDAY($J579,2))))))</f>
        <v/>
      </c>
      <c r="T579" s="3">
        <f>IF($I579="","",IFERROR(INDEX('CAT_TIPOS_OT'!$C$4:$C$7,MATCH($I579,'CAT_TIPOS_OT'!$A$4:$A$7,0)),"sin_clasificar"))</f>
        <v/>
      </c>
      <c r="U579" s="3">
        <f>IF($F579="","",IFERROR(INDEX('CAT_CENTROS_COSTO'!$F$4:$F$13,MATCH($F579,'CAT_CENTROS_COSTO'!$A$4:$A$13,0)),"(sin catálogo)"))</f>
        <v/>
      </c>
      <c r="V579" s="3">
        <f>IF($F579="","",IFERROR(INDEX('CAT_CENTROS_COSTO'!$D$4:$D$13,MATCH($F579,'CAT_CENTROS_COSTO'!$A$4:$A$13,0)),"(sin catálogo)"))</f>
        <v/>
      </c>
      <c r="W579" s="3">
        <f>IF($F579="","",IF((IFERROR(INDEX('CAT_CENTROS_COSTO'!$E$4:$E$13,MATCH($F579,'CAT_CENTROS_COSTO'!$A$4:$A$13,0)),""))&lt;&gt;"",IFERROR(INDEX('CAT_CENTROS_COSTO'!$E$4:$E$13,MATCH($F579,'CAT_CENTROS_COSTO'!$A$4:$A$13,0)),""),$V579))</f>
        <v/>
      </c>
      <c r="X579" s="3">
        <f>IF($F579="","",IFERROR(INDEX('CAT_CENTROS_COSTO'!$G$4:$G$13,MATCH($F579,'CAT_CENTROS_COSTO'!$A$4:$A$13,0)),"(sin catálogo)"))</f>
        <v/>
      </c>
      <c r="Y579" s="3">
        <f>IF($G579="","",IFERROR(INDEX('CAT_PUESTOS'!$B$4:$B$8,MATCH($G579,'CAT_PUESTOS'!$A$4:$A$8,0)),"(sin catálogo)"))</f>
        <v/>
      </c>
      <c r="Z579" s="3">
        <f>IF($H579="","",IFERROR(INDEX('CAT_ACTIVIDADES'!$B$4:$B$8,MATCH($H579,'CAT_ACTIVIDADES'!$A$4:$A$8,0)),"(sin catálogo)"))</f>
        <v/>
      </c>
      <c r="AA579" s="12">
        <f>IF($J579="","",TODAY()-$J579)</f>
        <v/>
      </c>
      <c r="AB579" s="12">
        <f>IF($J579="","",IF($J579&lt;=TODAY(),COUNTIFS(cal_fechas,"&gt;="&amp;$J579,cal_fechas,"&lt;"&amp;TODAY(),cal_habil,"sí"),-COUNTIFS(cal_fechas,"&gt;="&amp;TODAY(),cal_fechas,"&lt;"&amp;$J579,cal_habil,"sí")))</f>
        <v/>
      </c>
      <c r="AC579" s="3">
        <f>IF($AB579="","",IF($AB579&lt;0,"FUTURO",IF($AB579&gt;p_dias_backlog_max,"BACKLOG","MES CORRIENTE")))</f>
        <v/>
      </c>
      <c r="AD579" s="3">
        <f>IF($AB579="",FALSE,AND($AB579&gt;p_dias_backlog_min,$AB579&lt;=p_dias_backlog_max))</f>
        <v/>
      </c>
      <c r="AE579" s="6" t="n"/>
      <c r="AF579" s="3">
        <f>IF($AE579="","",IF((IFERROR(INDEX('ASIGNACIONES'!$F$4:$F$339,MATCH($O579&amp;"|"&amp;$R579&amp;"|"&amp;$AE579,'ASIGNACIONES'!$J$4:$J$339,0)),""))=0,"",IFERROR(INDEX('ASIGNACIONES'!$F$4:$F$339,MATCH($O579&amp;"|"&amp;$R579&amp;"|"&amp;$AE579,'ASIGNACIONES'!$J$4:$J$339,0)),"")))</f>
        <v/>
      </c>
      <c r="AG579" s="13">
        <f>IF($AE579="","",SUMIFS('ORDENES'!$M$4:$M$1203,'ORDENES'!$AE$4:$AE$1203,$AE579,'ORDENES'!$O$4:$O$1203,$O579,'ORDENES'!$R$4:$R$1203,$R579))</f>
        <v/>
      </c>
      <c r="AH579" s="13">
        <f>IF($AG579="","",p_factor_productividad*IFERROR(INDEX('ASIGNACIONES'!$I$4:$I$339,MATCH($O579&amp;"|"&amp;$R579&amp;"|"&amp;$AE579,'ASIGNACIONES'!$J$4:$J$339,0)),0)-$AG579)</f>
        <v/>
      </c>
      <c r="AI579" s="10">
        <f>IF($A579="","",IFERROR(INDEX('2_IMPORTAR_EJECUCION'!$F$9:$F$1208,MATCH($AQ579,'2_IMPORTAR_EJECUCION'!$J$9:$J$1208,0)),0))</f>
        <v/>
      </c>
      <c r="AJ579" s="10">
        <f>IF($A579="","",MAX(0,IFERROR(INDEX('2_IMPORTAR_EJECUCION'!$H$9:$H$1208,MATCH($AQ579,'2_IMPORTAR_EJECUCION'!$J$9:$J$1208,0)),0)-$AI579))</f>
        <v/>
      </c>
      <c r="AK579" s="10">
        <f>IF($A579="","",$AI579+$AJ579)</f>
        <v/>
      </c>
      <c r="AL579" s="6" t="n"/>
      <c r="AM579" s="6" t="n"/>
      <c r="AN579" s="6" t="n"/>
      <c r="AO579" s="3">
        <f>IF($AN579="","",HYPERLINK(p_ruta_base_checklists&amp;$AN579,"abrir"))</f>
        <v/>
      </c>
      <c r="AP579" s="6" t="n"/>
      <c r="AQ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IF($A580="","",IFERROR(INDEX('AJUSTES'!$B$4:$B$303,MATCH($AQ580,'AJUSTES'!$A$4:$A$303,0)),IF($K580="","",$K580)))</f>
        <v/>
      </c>
      <c r="N580" s="3">
        <f>IF($A580="","",IFERROR(INDEX('CAT_ESTADOS_ERP'!$B$4:$B$7,MATCH(IFERROR(INDEX('2_IMPORTAR_EJECUCION'!$C$9:$C$1208,MATCH($AQ580,'2_IMPORTAR_EJECUCION'!$J$9:$J$1208,0)),""),'CAT_ESTADOS_ERP'!$A$4:$A$7,0)),"Pendiente"))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J580="","",IFERROR(INDEX('CALENDARIO'!$C$15:$C$214,MATCH(TEXT($J580,"yyyy-mm-dd")&amp;"|"&amp;$V580&amp;"|"&amp;$W580,'CALENDARIO'!$G$15:$G$214,0)),IFERROR(INDEX('CALENDARIO'!$C$15:$C$214,MATCH(TEXT($J580,"yyyy-mm-dd")&amp;"|"&amp;$V580&amp;"|",'CALENDARIO'!$G$15:$G$214,0)),IFERROR(INDEX('CALENDARIO'!$C$15:$C$214,MATCH(TEXT($J580,"yyyy-mm-dd")&amp;"||",'CALENDARIO'!$G$15:$G$214,0)),INDEX(patronHabil,WEEKDAY($J580,2))))))</f>
        <v/>
      </c>
      <c r="T580" s="3">
        <f>IF($I580="","",IFERROR(INDEX('CAT_TIPOS_OT'!$C$4:$C$7,MATCH($I580,'CAT_TIPOS_OT'!$A$4:$A$7,0)),"sin_clasificar"))</f>
        <v/>
      </c>
      <c r="U580" s="3">
        <f>IF($F580="","",IFERROR(INDEX('CAT_CENTROS_COSTO'!$F$4:$F$13,MATCH($F580,'CAT_CENTROS_COSTO'!$A$4:$A$13,0)),"(sin catálogo)"))</f>
        <v/>
      </c>
      <c r="V580" s="3">
        <f>IF($F580="","",IFERROR(INDEX('CAT_CENTROS_COSTO'!$D$4:$D$13,MATCH($F580,'CAT_CENTROS_COSTO'!$A$4:$A$13,0)),"(sin catálogo)"))</f>
        <v/>
      </c>
      <c r="W580" s="3">
        <f>IF($F580="","",IF((IFERROR(INDEX('CAT_CENTROS_COSTO'!$E$4:$E$13,MATCH($F580,'CAT_CENTROS_COSTO'!$A$4:$A$13,0)),""))&lt;&gt;"",IFERROR(INDEX('CAT_CENTROS_COSTO'!$E$4:$E$13,MATCH($F580,'CAT_CENTROS_COSTO'!$A$4:$A$13,0)),""),$V580))</f>
        <v/>
      </c>
      <c r="X580" s="3">
        <f>IF($F580="","",IFERROR(INDEX('CAT_CENTROS_COSTO'!$G$4:$G$13,MATCH($F580,'CAT_CENTROS_COSTO'!$A$4:$A$13,0)),"(sin catálogo)"))</f>
        <v/>
      </c>
      <c r="Y580" s="3">
        <f>IF($G580="","",IFERROR(INDEX('CAT_PUESTOS'!$B$4:$B$8,MATCH($G580,'CAT_PUESTOS'!$A$4:$A$8,0)),"(sin catálogo)"))</f>
        <v/>
      </c>
      <c r="Z580" s="3">
        <f>IF($H580="","",IFERROR(INDEX('CAT_ACTIVIDADES'!$B$4:$B$8,MATCH($H580,'CAT_ACTIVIDADES'!$A$4:$A$8,0)),"(sin catálogo)"))</f>
        <v/>
      </c>
      <c r="AA580" s="12">
        <f>IF($J580="","",TODAY()-$J580)</f>
        <v/>
      </c>
      <c r="AB580" s="12">
        <f>IF($J580="","",IF($J580&lt;=TODAY(),COUNTIFS(cal_fechas,"&gt;="&amp;$J580,cal_fechas,"&lt;"&amp;TODAY(),cal_habil,"sí"),-COUNTIFS(cal_fechas,"&gt;="&amp;TODAY(),cal_fechas,"&lt;"&amp;$J580,cal_habil,"sí")))</f>
        <v/>
      </c>
      <c r="AC580" s="3">
        <f>IF($AB580="","",IF($AB580&lt;0,"FUTURO",IF($AB580&gt;p_dias_backlog_max,"BACKLOG","MES CORRIENTE")))</f>
        <v/>
      </c>
      <c r="AD580" s="3">
        <f>IF($AB580="",FALSE,AND($AB580&gt;p_dias_backlog_min,$AB580&lt;=p_dias_backlog_max))</f>
        <v/>
      </c>
      <c r="AE580" s="6" t="n"/>
      <c r="AF580" s="3">
        <f>IF($AE580="","",IF((IFERROR(INDEX('ASIGNACIONES'!$F$4:$F$339,MATCH($O580&amp;"|"&amp;$R580&amp;"|"&amp;$AE580,'ASIGNACIONES'!$J$4:$J$339,0)),""))=0,"",IFERROR(INDEX('ASIGNACIONES'!$F$4:$F$339,MATCH($O580&amp;"|"&amp;$R580&amp;"|"&amp;$AE580,'ASIGNACIONES'!$J$4:$J$339,0)),"")))</f>
        <v/>
      </c>
      <c r="AG580" s="13">
        <f>IF($AE580="","",SUMIFS('ORDENES'!$M$4:$M$1203,'ORDENES'!$AE$4:$AE$1203,$AE580,'ORDENES'!$O$4:$O$1203,$O580,'ORDENES'!$R$4:$R$1203,$R580))</f>
        <v/>
      </c>
      <c r="AH580" s="13">
        <f>IF($AG580="","",p_factor_productividad*IFERROR(INDEX('ASIGNACIONES'!$I$4:$I$339,MATCH($O580&amp;"|"&amp;$R580&amp;"|"&amp;$AE580,'ASIGNACIONES'!$J$4:$J$339,0)),0)-$AG580)</f>
        <v/>
      </c>
      <c r="AI580" s="10">
        <f>IF($A580="","",IFERROR(INDEX('2_IMPORTAR_EJECUCION'!$F$9:$F$1208,MATCH($AQ580,'2_IMPORTAR_EJECUCION'!$J$9:$J$1208,0)),0))</f>
        <v/>
      </c>
      <c r="AJ580" s="10">
        <f>IF($A580="","",MAX(0,IFERROR(INDEX('2_IMPORTAR_EJECUCION'!$H$9:$H$1208,MATCH($AQ580,'2_IMPORTAR_EJECUCION'!$J$9:$J$1208,0)),0)-$AI580))</f>
        <v/>
      </c>
      <c r="AK580" s="10">
        <f>IF($A580="","",$AI580+$AJ580)</f>
        <v/>
      </c>
      <c r="AL580" s="6" t="n"/>
      <c r="AM580" s="6" t="n"/>
      <c r="AN580" s="6" t="n"/>
      <c r="AO580" s="3">
        <f>IF($AN580="","",HYPERLINK(p_ruta_base_checklists&amp;$AN580,"abrir"))</f>
        <v/>
      </c>
      <c r="AP580" s="6" t="n"/>
      <c r="AQ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IF($A581="","",IFERROR(INDEX('AJUSTES'!$B$4:$B$303,MATCH($AQ581,'AJUSTES'!$A$4:$A$303,0)),IF($K581="","",$K581)))</f>
        <v/>
      </c>
      <c r="N581" s="3">
        <f>IF($A581="","",IFERROR(INDEX('CAT_ESTADOS_ERP'!$B$4:$B$7,MATCH(IFERROR(INDEX('2_IMPORTAR_EJECUCION'!$C$9:$C$1208,MATCH($AQ581,'2_IMPORTAR_EJECUCION'!$J$9:$J$1208,0)),""),'CAT_ESTADOS_ERP'!$A$4:$A$7,0)),"Pendiente"))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J581="","",IFERROR(INDEX('CALENDARIO'!$C$15:$C$214,MATCH(TEXT($J581,"yyyy-mm-dd")&amp;"|"&amp;$V581&amp;"|"&amp;$W581,'CALENDARIO'!$G$15:$G$214,0)),IFERROR(INDEX('CALENDARIO'!$C$15:$C$214,MATCH(TEXT($J581,"yyyy-mm-dd")&amp;"|"&amp;$V581&amp;"|",'CALENDARIO'!$G$15:$G$214,0)),IFERROR(INDEX('CALENDARIO'!$C$15:$C$214,MATCH(TEXT($J581,"yyyy-mm-dd")&amp;"||",'CALENDARIO'!$G$15:$G$214,0)),INDEX(patronHabil,WEEKDAY($J581,2))))))</f>
        <v/>
      </c>
      <c r="T581" s="3">
        <f>IF($I581="","",IFERROR(INDEX('CAT_TIPOS_OT'!$C$4:$C$7,MATCH($I581,'CAT_TIPOS_OT'!$A$4:$A$7,0)),"sin_clasificar"))</f>
        <v/>
      </c>
      <c r="U581" s="3">
        <f>IF($F581="","",IFERROR(INDEX('CAT_CENTROS_COSTO'!$F$4:$F$13,MATCH($F581,'CAT_CENTROS_COSTO'!$A$4:$A$13,0)),"(sin catálogo)"))</f>
        <v/>
      </c>
      <c r="V581" s="3">
        <f>IF($F581="","",IFERROR(INDEX('CAT_CENTROS_COSTO'!$D$4:$D$13,MATCH($F581,'CAT_CENTROS_COSTO'!$A$4:$A$13,0)),"(sin catálogo)"))</f>
        <v/>
      </c>
      <c r="W581" s="3">
        <f>IF($F581="","",IF((IFERROR(INDEX('CAT_CENTROS_COSTO'!$E$4:$E$13,MATCH($F581,'CAT_CENTROS_COSTO'!$A$4:$A$13,0)),""))&lt;&gt;"",IFERROR(INDEX('CAT_CENTROS_COSTO'!$E$4:$E$13,MATCH($F581,'CAT_CENTROS_COSTO'!$A$4:$A$13,0)),""),$V581))</f>
        <v/>
      </c>
      <c r="X581" s="3">
        <f>IF($F581="","",IFERROR(INDEX('CAT_CENTROS_COSTO'!$G$4:$G$13,MATCH($F581,'CAT_CENTROS_COSTO'!$A$4:$A$13,0)),"(sin catálogo)"))</f>
        <v/>
      </c>
      <c r="Y581" s="3">
        <f>IF($G581="","",IFERROR(INDEX('CAT_PUESTOS'!$B$4:$B$8,MATCH($G581,'CAT_PUESTOS'!$A$4:$A$8,0)),"(sin catálogo)"))</f>
        <v/>
      </c>
      <c r="Z581" s="3">
        <f>IF($H581="","",IFERROR(INDEX('CAT_ACTIVIDADES'!$B$4:$B$8,MATCH($H581,'CAT_ACTIVIDADES'!$A$4:$A$8,0)),"(sin catálogo)"))</f>
        <v/>
      </c>
      <c r="AA581" s="12">
        <f>IF($J581="","",TODAY()-$J581)</f>
        <v/>
      </c>
      <c r="AB581" s="12">
        <f>IF($J581="","",IF($J581&lt;=TODAY(),COUNTIFS(cal_fechas,"&gt;="&amp;$J581,cal_fechas,"&lt;"&amp;TODAY(),cal_habil,"sí"),-COUNTIFS(cal_fechas,"&gt;="&amp;TODAY(),cal_fechas,"&lt;"&amp;$J581,cal_habil,"sí")))</f>
        <v/>
      </c>
      <c r="AC581" s="3">
        <f>IF($AB581="","",IF($AB581&lt;0,"FUTURO",IF($AB581&gt;p_dias_backlog_max,"BACKLOG","MES CORRIENTE")))</f>
        <v/>
      </c>
      <c r="AD581" s="3">
        <f>IF($AB581="",FALSE,AND($AB581&gt;p_dias_backlog_min,$AB581&lt;=p_dias_backlog_max))</f>
        <v/>
      </c>
      <c r="AE581" s="6" t="n"/>
      <c r="AF581" s="3">
        <f>IF($AE581="","",IF((IFERROR(INDEX('ASIGNACIONES'!$F$4:$F$339,MATCH($O581&amp;"|"&amp;$R581&amp;"|"&amp;$AE581,'ASIGNACIONES'!$J$4:$J$339,0)),""))=0,"",IFERROR(INDEX('ASIGNACIONES'!$F$4:$F$339,MATCH($O581&amp;"|"&amp;$R581&amp;"|"&amp;$AE581,'ASIGNACIONES'!$J$4:$J$339,0)),"")))</f>
        <v/>
      </c>
      <c r="AG581" s="13">
        <f>IF($AE581="","",SUMIFS('ORDENES'!$M$4:$M$1203,'ORDENES'!$AE$4:$AE$1203,$AE581,'ORDENES'!$O$4:$O$1203,$O581,'ORDENES'!$R$4:$R$1203,$R581))</f>
        <v/>
      </c>
      <c r="AH581" s="13">
        <f>IF($AG581="","",p_factor_productividad*IFERROR(INDEX('ASIGNACIONES'!$I$4:$I$339,MATCH($O581&amp;"|"&amp;$R581&amp;"|"&amp;$AE581,'ASIGNACIONES'!$J$4:$J$339,0)),0)-$AG581)</f>
        <v/>
      </c>
      <c r="AI581" s="10">
        <f>IF($A581="","",IFERROR(INDEX('2_IMPORTAR_EJECUCION'!$F$9:$F$1208,MATCH($AQ581,'2_IMPORTAR_EJECUCION'!$J$9:$J$1208,0)),0))</f>
        <v/>
      </c>
      <c r="AJ581" s="10">
        <f>IF($A581="","",MAX(0,IFERROR(INDEX('2_IMPORTAR_EJECUCION'!$H$9:$H$1208,MATCH($AQ581,'2_IMPORTAR_EJECUCION'!$J$9:$J$1208,0)),0)-$AI581))</f>
        <v/>
      </c>
      <c r="AK581" s="10">
        <f>IF($A581="","",$AI581+$AJ581)</f>
        <v/>
      </c>
      <c r="AL581" s="6" t="n"/>
      <c r="AM581" s="6" t="n"/>
      <c r="AN581" s="6" t="n"/>
      <c r="AO581" s="3">
        <f>IF($AN581="","",HYPERLINK(p_ruta_base_checklists&amp;$AN581,"abrir"))</f>
        <v/>
      </c>
      <c r="AP581" s="6" t="n"/>
      <c r="AQ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IF($A582="","",IFERROR(INDEX('AJUSTES'!$B$4:$B$303,MATCH($AQ582,'AJUSTES'!$A$4:$A$303,0)),IF($K582="","",$K582)))</f>
        <v/>
      </c>
      <c r="N582" s="3">
        <f>IF($A582="","",IFERROR(INDEX('CAT_ESTADOS_ERP'!$B$4:$B$7,MATCH(IFERROR(INDEX('2_IMPORTAR_EJECUCION'!$C$9:$C$1208,MATCH($AQ582,'2_IMPORTAR_EJECUCION'!$J$9:$J$1208,0)),""),'CAT_ESTADOS_ERP'!$A$4:$A$7,0)),"Pendiente"))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J582="","",IFERROR(INDEX('CALENDARIO'!$C$15:$C$214,MATCH(TEXT($J582,"yyyy-mm-dd")&amp;"|"&amp;$V582&amp;"|"&amp;$W582,'CALENDARIO'!$G$15:$G$214,0)),IFERROR(INDEX('CALENDARIO'!$C$15:$C$214,MATCH(TEXT($J582,"yyyy-mm-dd")&amp;"|"&amp;$V582&amp;"|",'CALENDARIO'!$G$15:$G$214,0)),IFERROR(INDEX('CALENDARIO'!$C$15:$C$214,MATCH(TEXT($J582,"yyyy-mm-dd")&amp;"||",'CALENDARIO'!$G$15:$G$214,0)),INDEX(patronHabil,WEEKDAY($J582,2))))))</f>
        <v/>
      </c>
      <c r="T582" s="3">
        <f>IF($I582="","",IFERROR(INDEX('CAT_TIPOS_OT'!$C$4:$C$7,MATCH($I582,'CAT_TIPOS_OT'!$A$4:$A$7,0)),"sin_clasificar"))</f>
        <v/>
      </c>
      <c r="U582" s="3">
        <f>IF($F582="","",IFERROR(INDEX('CAT_CENTROS_COSTO'!$F$4:$F$13,MATCH($F582,'CAT_CENTROS_COSTO'!$A$4:$A$13,0)),"(sin catálogo)"))</f>
        <v/>
      </c>
      <c r="V582" s="3">
        <f>IF($F582="","",IFERROR(INDEX('CAT_CENTROS_COSTO'!$D$4:$D$13,MATCH($F582,'CAT_CENTROS_COSTO'!$A$4:$A$13,0)),"(sin catálogo)"))</f>
        <v/>
      </c>
      <c r="W582" s="3">
        <f>IF($F582="","",IF((IFERROR(INDEX('CAT_CENTROS_COSTO'!$E$4:$E$13,MATCH($F582,'CAT_CENTROS_COSTO'!$A$4:$A$13,0)),""))&lt;&gt;"",IFERROR(INDEX('CAT_CENTROS_COSTO'!$E$4:$E$13,MATCH($F582,'CAT_CENTROS_COSTO'!$A$4:$A$13,0)),""),$V582))</f>
        <v/>
      </c>
      <c r="X582" s="3">
        <f>IF($F582="","",IFERROR(INDEX('CAT_CENTROS_COSTO'!$G$4:$G$13,MATCH($F582,'CAT_CENTROS_COSTO'!$A$4:$A$13,0)),"(sin catálogo)"))</f>
        <v/>
      </c>
      <c r="Y582" s="3">
        <f>IF($G582="","",IFERROR(INDEX('CAT_PUESTOS'!$B$4:$B$8,MATCH($G582,'CAT_PUESTOS'!$A$4:$A$8,0)),"(sin catálogo)"))</f>
        <v/>
      </c>
      <c r="Z582" s="3">
        <f>IF($H582="","",IFERROR(INDEX('CAT_ACTIVIDADES'!$B$4:$B$8,MATCH($H582,'CAT_ACTIVIDADES'!$A$4:$A$8,0)),"(sin catálogo)"))</f>
        <v/>
      </c>
      <c r="AA582" s="12">
        <f>IF($J582="","",TODAY()-$J582)</f>
        <v/>
      </c>
      <c r="AB582" s="12">
        <f>IF($J582="","",IF($J582&lt;=TODAY(),COUNTIFS(cal_fechas,"&gt;="&amp;$J582,cal_fechas,"&lt;"&amp;TODAY(),cal_habil,"sí"),-COUNTIFS(cal_fechas,"&gt;="&amp;TODAY(),cal_fechas,"&lt;"&amp;$J582,cal_habil,"sí")))</f>
        <v/>
      </c>
      <c r="AC582" s="3">
        <f>IF($AB582="","",IF($AB582&lt;0,"FUTURO",IF($AB582&gt;p_dias_backlog_max,"BACKLOG","MES CORRIENTE")))</f>
        <v/>
      </c>
      <c r="AD582" s="3">
        <f>IF($AB582="",FALSE,AND($AB582&gt;p_dias_backlog_min,$AB582&lt;=p_dias_backlog_max))</f>
        <v/>
      </c>
      <c r="AE582" s="6" t="n"/>
      <c r="AF582" s="3">
        <f>IF($AE582="","",IF((IFERROR(INDEX('ASIGNACIONES'!$F$4:$F$339,MATCH($O582&amp;"|"&amp;$R582&amp;"|"&amp;$AE582,'ASIGNACIONES'!$J$4:$J$339,0)),""))=0,"",IFERROR(INDEX('ASIGNACIONES'!$F$4:$F$339,MATCH($O582&amp;"|"&amp;$R582&amp;"|"&amp;$AE582,'ASIGNACIONES'!$J$4:$J$339,0)),"")))</f>
        <v/>
      </c>
      <c r="AG582" s="13">
        <f>IF($AE582="","",SUMIFS('ORDENES'!$M$4:$M$1203,'ORDENES'!$AE$4:$AE$1203,$AE582,'ORDENES'!$O$4:$O$1203,$O582,'ORDENES'!$R$4:$R$1203,$R582))</f>
        <v/>
      </c>
      <c r="AH582" s="13">
        <f>IF($AG582="","",p_factor_productividad*IFERROR(INDEX('ASIGNACIONES'!$I$4:$I$339,MATCH($O582&amp;"|"&amp;$R582&amp;"|"&amp;$AE582,'ASIGNACIONES'!$J$4:$J$339,0)),0)-$AG582)</f>
        <v/>
      </c>
      <c r="AI582" s="10">
        <f>IF($A582="","",IFERROR(INDEX('2_IMPORTAR_EJECUCION'!$F$9:$F$1208,MATCH($AQ582,'2_IMPORTAR_EJECUCION'!$J$9:$J$1208,0)),0))</f>
        <v/>
      </c>
      <c r="AJ582" s="10">
        <f>IF($A582="","",MAX(0,IFERROR(INDEX('2_IMPORTAR_EJECUCION'!$H$9:$H$1208,MATCH($AQ582,'2_IMPORTAR_EJECUCION'!$J$9:$J$1208,0)),0)-$AI582))</f>
        <v/>
      </c>
      <c r="AK582" s="10">
        <f>IF($A582="","",$AI582+$AJ582)</f>
        <v/>
      </c>
      <c r="AL582" s="6" t="n"/>
      <c r="AM582" s="6" t="n"/>
      <c r="AN582" s="6" t="n"/>
      <c r="AO582" s="3">
        <f>IF($AN582="","",HYPERLINK(p_ruta_base_checklists&amp;$AN582,"abrir"))</f>
        <v/>
      </c>
      <c r="AP582" s="6" t="n"/>
      <c r="AQ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IF($A583="","",IFERROR(INDEX('AJUSTES'!$B$4:$B$303,MATCH($AQ583,'AJUSTES'!$A$4:$A$303,0)),IF($K583="","",$K583)))</f>
        <v/>
      </c>
      <c r="N583" s="3">
        <f>IF($A583="","",IFERROR(INDEX('CAT_ESTADOS_ERP'!$B$4:$B$7,MATCH(IFERROR(INDEX('2_IMPORTAR_EJECUCION'!$C$9:$C$1208,MATCH($AQ583,'2_IMPORTAR_EJECUCION'!$J$9:$J$1208,0)),""),'CAT_ESTADOS_ERP'!$A$4:$A$7,0)),"Pendiente"))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J583="","",IFERROR(INDEX('CALENDARIO'!$C$15:$C$214,MATCH(TEXT($J583,"yyyy-mm-dd")&amp;"|"&amp;$V583&amp;"|"&amp;$W583,'CALENDARIO'!$G$15:$G$214,0)),IFERROR(INDEX('CALENDARIO'!$C$15:$C$214,MATCH(TEXT($J583,"yyyy-mm-dd")&amp;"|"&amp;$V583&amp;"|",'CALENDARIO'!$G$15:$G$214,0)),IFERROR(INDEX('CALENDARIO'!$C$15:$C$214,MATCH(TEXT($J583,"yyyy-mm-dd")&amp;"||",'CALENDARIO'!$G$15:$G$214,0)),INDEX(patronHabil,WEEKDAY($J583,2))))))</f>
        <v/>
      </c>
      <c r="T583" s="3">
        <f>IF($I583="","",IFERROR(INDEX('CAT_TIPOS_OT'!$C$4:$C$7,MATCH($I583,'CAT_TIPOS_OT'!$A$4:$A$7,0)),"sin_clasificar"))</f>
        <v/>
      </c>
      <c r="U583" s="3">
        <f>IF($F583="","",IFERROR(INDEX('CAT_CENTROS_COSTO'!$F$4:$F$13,MATCH($F583,'CAT_CENTROS_COSTO'!$A$4:$A$13,0)),"(sin catálogo)"))</f>
        <v/>
      </c>
      <c r="V583" s="3">
        <f>IF($F583="","",IFERROR(INDEX('CAT_CENTROS_COSTO'!$D$4:$D$13,MATCH($F583,'CAT_CENTROS_COSTO'!$A$4:$A$13,0)),"(sin catálogo)"))</f>
        <v/>
      </c>
      <c r="W583" s="3">
        <f>IF($F583="","",IF((IFERROR(INDEX('CAT_CENTROS_COSTO'!$E$4:$E$13,MATCH($F583,'CAT_CENTROS_COSTO'!$A$4:$A$13,0)),""))&lt;&gt;"",IFERROR(INDEX('CAT_CENTROS_COSTO'!$E$4:$E$13,MATCH($F583,'CAT_CENTROS_COSTO'!$A$4:$A$13,0)),""),$V583))</f>
        <v/>
      </c>
      <c r="X583" s="3">
        <f>IF($F583="","",IFERROR(INDEX('CAT_CENTROS_COSTO'!$G$4:$G$13,MATCH($F583,'CAT_CENTROS_COSTO'!$A$4:$A$13,0)),"(sin catálogo)"))</f>
        <v/>
      </c>
      <c r="Y583" s="3">
        <f>IF($G583="","",IFERROR(INDEX('CAT_PUESTOS'!$B$4:$B$8,MATCH($G583,'CAT_PUESTOS'!$A$4:$A$8,0)),"(sin catálogo)"))</f>
        <v/>
      </c>
      <c r="Z583" s="3">
        <f>IF($H583="","",IFERROR(INDEX('CAT_ACTIVIDADES'!$B$4:$B$8,MATCH($H583,'CAT_ACTIVIDADES'!$A$4:$A$8,0)),"(sin catálogo)"))</f>
        <v/>
      </c>
      <c r="AA583" s="12">
        <f>IF($J583="","",TODAY()-$J583)</f>
        <v/>
      </c>
      <c r="AB583" s="12">
        <f>IF($J583="","",IF($J583&lt;=TODAY(),COUNTIFS(cal_fechas,"&gt;="&amp;$J583,cal_fechas,"&lt;"&amp;TODAY(),cal_habil,"sí"),-COUNTIFS(cal_fechas,"&gt;="&amp;TODAY(),cal_fechas,"&lt;"&amp;$J583,cal_habil,"sí")))</f>
        <v/>
      </c>
      <c r="AC583" s="3">
        <f>IF($AB583="","",IF($AB583&lt;0,"FUTURO",IF($AB583&gt;p_dias_backlog_max,"BACKLOG","MES CORRIENTE")))</f>
        <v/>
      </c>
      <c r="AD583" s="3">
        <f>IF($AB583="",FALSE,AND($AB583&gt;p_dias_backlog_min,$AB583&lt;=p_dias_backlog_max))</f>
        <v/>
      </c>
      <c r="AE583" s="6" t="n"/>
      <c r="AF583" s="3">
        <f>IF($AE583="","",IF((IFERROR(INDEX('ASIGNACIONES'!$F$4:$F$339,MATCH($O583&amp;"|"&amp;$R583&amp;"|"&amp;$AE583,'ASIGNACIONES'!$J$4:$J$339,0)),""))=0,"",IFERROR(INDEX('ASIGNACIONES'!$F$4:$F$339,MATCH($O583&amp;"|"&amp;$R583&amp;"|"&amp;$AE583,'ASIGNACIONES'!$J$4:$J$339,0)),"")))</f>
        <v/>
      </c>
      <c r="AG583" s="13">
        <f>IF($AE583="","",SUMIFS('ORDENES'!$M$4:$M$1203,'ORDENES'!$AE$4:$AE$1203,$AE583,'ORDENES'!$O$4:$O$1203,$O583,'ORDENES'!$R$4:$R$1203,$R583))</f>
        <v/>
      </c>
      <c r="AH583" s="13">
        <f>IF($AG583="","",p_factor_productividad*IFERROR(INDEX('ASIGNACIONES'!$I$4:$I$339,MATCH($O583&amp;"|"&amp;$R583&amp;"|"&amp;$AE583,'ASIGNACIONES'!$J$4:$J$339,0)),0)-$AG583)</f>
        <v/>
      </c>
      <c r="AI583" s="10">
        <f>IF($A583="","",IFERROR(INDEX('2_IMPORTAR_EJECUCION'!$F$9:$F$1208,MATCH($AQ583,'2_IMPORTAR_EJECUCION'!$J$9:$J$1208,0)),0))</f>
        <v/>
      </c>
      <c r="AJ583" s="10">
        <f>IF($A583="","",MAX(0,IFERROR(INDEX('2_IMPORTAR_EJECUCION'!$H$9:$H$1208,MATCH($AQ583,'2_IMPORTAR_EJECUCION'!$J$9:$J$1208,0)),0)-$AI583))</f>
        <v/>
      </c>
      <c r="AK583" s="10">
        <f>IF($A583="","",$AI583+$AJ583)</f>
        <v/>
      </c>
      <c r="AL583" s="6" t="n"/>
      <c r="AM583" s="6" t="n"/>
      <c r="AN583" s="6" t="n"/>
      <c r="AO583" s="3">
        <f>IF($AN583="","",HYPERLINK(p_ruta_base_checklists&amp;$AN583,"abrir"))</f>
        <v/>
      </c>
      <c r="AP583" s="6" t="n"/>
      <c r="AQ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IF($A584="","",IFERROR(INDEX('AJUSTES'!$B$4:$B$303,MATCH($AQ584,'AJUSTES'!$A$4:$A$303,0)),IF($K584="","",$K584)))</f>
        <v/>
      </c>
      <c r="N584" s="3">
        <f>IF($A584="","",IFERROR(INDEX('CAT_ESTADOS_ERP'!$B$4:$B$7,MATCH(IFERROR(INDEX('2_IMPORTAR_EJECUCION'!$C$9:$C$1208,MATCH($AQ584,'2_IMPORTAR_EJECUCION'!$J$9:$J$1208,0)),""),'CAT_ESTADOS_ERP'!$A$4:$A$7,0)),"Pendiente"))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J584="","",IFERROR(INDEX('CALENDARIO'!$C$15:$C$214,MATCH(TEXT($J584,"yyyy-mm-dd")&amp;"|"&amp;$V584&amp;"|"&amp;$W584,'CALENDARIO'!$G$15:$G$214,0)),IFERROR(INDEX('CALENDARIO'!$C$15:$C$214,MATCH(TEXT($J584,"yyyy-mm-dd")&amp;"|"&amp;$V584&amp;"|",'CALENDARIO'!$G$15:$G$214,0)),IFERROR(INDEX('CALENDARIO'!$C$15:$C$214,MATCH(TEXT($J584,"yyyy-mm-dd")&amp;"||",'CALENDARIO'!$G$15:$G$214,0)),INDEX(patronHabil,WEEKDAY($J584,2))))))</f>
        <v/>
      </c>
      <c r="T584" s="3">
        <f>IF($I584="","",IFERROR(INDEX('CAT_TIPOS_OT'!$C$4:$C$7,MATCH($I584,'CAT_TIPOS_OT'!$A$4:$A$7,0)),"sin_clasificar"))</f>
        <v/>
      </c>
      <c r="U584" s="3">
        <f>IF($F584="","",IFERROR(INDEX('CAT_CENTROS_COSTO'!$F$4:$F$13,MATCH($F584,'CAT_CENTROS_COSTO'!$A$4:$A$13,0)),"(sin catálogo)"))</f>
        <v/>
      </c>
      <c r="V584" s="3">
        <f>IF($F584="","",IFERROR(INDEX('CAT_CENTROS_COSTO'!$D$4:$D$13,MATCH($F584,'CAT_CENTROS_COSTO'!$A$4:$A$13,0)),"(sin catálogo)"))</f>
        <v/>
      </c>
      <c r="W584" s="3">
        <f>IF($F584="","",IF((IFERROR(INDEX('CAT_CENTROS_COSTO'!$E$4:$E$13,MATCH($F584,'CAT_CENTROS_COSTO'!$A$4:$A$13,0)),""))&lt;&gt;"",IFERROR(INDEX('CAT_CENTROS_COSTO'!$E$4:$E$13,MATCH($F584,'CAT_CENTROS_COSTO'!$A$4:$A$13,0)),""),$V584))</f>
        <v/>
      </c>
      <c r="X584" s="3">
        <f>IF($F584="","",IFERROR(INDEX('CAT_CENTROS_COSTO'!$G$4:$G$13,MATCH($F584,'CAT_CENTROS_COSTO'!$A$4:$A$13,0)),"(sin catálogo)"))</f>
        <v/>
      </c>
      <c r="Y584" s="3">
        <f>IF($G584="","",IFERROR(INDEX('CAT_PUESTOS'!$B$4:$B$8,MATCH($G584,'CAT_PUESTOS'!$A$4:$A$8,0)),"(sin catálogo)"))</f>
        <v/>
      </c>
      <c r="Z584" s="3">
        <f>IF($H584="","",IFERROR(INDEX('CAT_ACTIVIDADES'!$B$4:$B$8,MATCH($H584,'CAT_ACTIVIDADES'!$A$4:$A$8,0)),"(sin catálogo)"))</f>
        <v/>
      </c>
      <c r="AA584" s="12">
        <f>IF($J584="","",TODAY()-$J584)</f>
        <v/>
      </c>
      <c r="AB584" s="12">
        <f>IF($J584="","",IF($J584&lt;=TODAY(),COUNTIFS(cal_fechas,"&gt;="&amp;$J584,cal_fechas,"&lt;"&amp;TODAY(),cal_habil,"sí"),-COUNTIFS(cal_fechas,"&gt;="&amp;TODAY(),cal_fechas,"&lt;"&amp;$J584,cal_habil,"sí")))</f>
        <v/>
      </c>
      <c r="AC584" s="3">
        <f>IF($AB584="","",IF($AB584&lt;0,"FUTURO",IF($AB584&gt;p_dias_backlog_max,"BACKLOG","MES CORRIENTE")))</f>
        <v/>
      </c>
      <c r="AD584" s="3">
        <f>IF($AB584="",FALSE,AND($AB584&gt;p_dias_backlog_min,$AB584&lt;=p_dias_backlog_max))</f>
        <v/>
      </c>
      <c r="AE584" s="6" t="n"/>
      <c r="AF584" s="3">
        <f>IF($AE584="","",IF((IFERROR(INDEX('ASIGNACIONES'!$F$4:$F$339,MATCH($O584&amp;"|"&amp;$R584&amp;"|"&amp;$AE584,'ASIGNACIONES'!$J$4:$J$339,0)),""))=0,"",IFERROR(INDEX('ASIGNACIONES'!$F$4:$F$339,MATCH($O584&amp;"|"&amp;$R584&amp;"|"&amp;$AE584,'ASIGNACIONES'!$J$4:$J$339,0)),"")))</f>
        <v/>
      </c>
      <c r="AG584" s="13">
        <f>IF($AE584="","",SUMIFS('ORDENES'!$M$4:$M$1203,'ORDENES'!$AE$4:$AE$1203,$AE584,'ORDENES'!$O$4:$O$1203,$O584,'ORDENES'!$R$4:$R$1203,$R584))</f>
        <v/>
      </c>
      <c r="AH584" s="13">
        <f>IF($AG584="","",p_factor_productividad*IFERROR(INDEX('ASIGNACIONES'!$I$4:$I$339,MATCH($O584&amp;"|"&amp;$R584&amp;"|"&amp;$AE584,'ASIGNACIONES'!$J$4:$J$339,0)),0)-$AG584)</f>
        <v/>
      </c>
      <c r="AI584" s="10">
        <f>IF($A584="","",IFERROR(INDEX('2_IMPORTAR_EJECUCION'!$F$9:$F$1208,MATCH($AQ584,'2_IMPORTAR_EJECUCION'!$J$9:$J$1208,0)),0))</f>
        <v/>
      </c>
      <c r="AJ584" s="10">
        <f>IF($A584="","",MAX(0,IFERROR(INDEX('2_IMPORTAR_EJECUCION'!$H$9:$H$1208,MATCH($AQ584,'2_IMPORTAR_EJECUCION'!$J$9:$J$1208,0)),0)-$AI584))</f>
        <v/>
      </c>
      <c r="AK584" s="10">
        <f>IF($A584="","",$AI584+$AJ584)</f>
        <v/>
      </c>
      <c r="AL584" s="6" t="n"/>
      <c r="AM584" s="6" t="n"/>
      <c r="AN584" s="6" t="n"/>
      <c r="AO584" s="3">
        <f>IF($AN584="","",HYPERLINK(p_ruta_base_checklists&amp;$AN584,"abrir"))</f>
        <v/>
      </c>
      <c r="AP584" s="6" t="n"/>
      <c r="AQ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IF($A585="","",IFERROR(INDEX('AJUSTES'!$B$4:$B$303,MATCH($AQ585,'AJUSTES'!$A$4:$A$303,0)),IF($K585="","",$K585)))</f>
        <v/>
      </c>
      <c r="N585" s="3">
        <f>IF($A585="","",IFERROR(INDEX('CAT_ESTADOS_ERP'!$B$4:$B$7,MATCH(IFERROR(INDEX('2_IMPORTAR_EJECUCION'!$C$9:$C$1208,MATCH($AQ585,'2_IMPORTAR_EJECUCION'!$J$9:$J$1208,0)),""),'CAT_ESTADOS_ERP'!$A$4:$A$7,0)),"Pendiente"))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J585="","",IFERROR(INDEX('CALENDARIO'!$C$15:$C$214,MATCH(TEXT($J585,"yyyy-mm-dd")&amp;"|"&amp;$V585&amp;"|"&amp;$W585,'CALENDARIO'!$G$15:$G$214,0)),IFERROR(INDEX('CALENDARIO'!$C$15:$C$214,MATCH(TEXT($J585,"yyyy-mm-dd")&amp;"|"&amp;$V585&amp;"|",'CALENDARIO'!$G$15:$G$214,0)),IFERROR(INDEX('CALENDARIO'!$C$15:$C$214,MATCH(TEXT($J585,"yyyy-mm-dd")&amp;"||",'CALENDARIO'!$G$15:$G$214,0)),INDEX(patronHabil,WEEKDAY($J585,2))))))</f>
        <v/>
      </c>
      <c r="T585" s="3">
        <f>IF($I585="","",IFERROR(INDEX('CAT_TIPOS_OT'!$C$4:$C$7,MATCH($I585,'CAT_TIPOS_OT'!$A$4:$A$7,0)),"sin_clasificar"))</f>
        <v/>
      </c>
      <c r="U585" s="3">
        <f>IF($F585="","",IFERROR(INDEX('CAT_CENTROS_COSTO'!$F$4:$F$13,MATCH($F585,'CAT_CENTROS_COSTO'!$A$4:$A$13,0)),"(sin catálogo)"))</f>
        <v/>
      </c>
      <c r="V585" s="3">
        <f>IF($F585="","",IFERROR(INDEX('CAT_CENTROS_COSTO'!$D$4:$D$13,MATCH($F585,'CAT_CENTROS_COSTO'!$A$4:$A$13,0)),"(sin catálogo)"))</f>
        <v/>
      </c>
      <c r="W585" s="3">
        <f>IF($F585="","",IF((IFERROR(INDEX('CAT_CENTROS_COSTO'!$E$4:$E$13,MATCH($F585,'CAT_CENTROS_COSTO'!$A$4:$A$13,0)),""))&lt;&gt;"",IFERROR(INDEX('CAT_CENTROS_COSTO'!$E$4:$E$13,MATCH($F585,'CAT_CENTROS_COSTO'!$A$4:$A$13,0)),""),$V585))</f>
        <v/>
      </c>
      <c r="X585" s="3">
        <f>IF($F585="","",IFERROR(INDEX('CAT_CENTROS_COSTO'!$G$4:$G$13,MATCH($F585,'CAT_CENTROS_COSTO'!$A$4:$A$13,0)),"(sin catálogo)"))</f>
        <v/>
      </c>
      <c r="Y585" s="3">
        <f>IF($G585="","",IFERROR(INDEX('CAT_PUESTOS'!$B$4:$B$8,MATCH($G585,'CAT_PUESTOS'!$A$4:$A$8,0)),"(sin catálogo)"))</f>
        <v/>
      </c>
      <c r="Z585" s="3">
        <f>IF($H585="","",IFERROR(INDEX('CAT_ACTIVIDADES'!$B$4:$B$8,MATCH($H585,'CAT_ACTIVIDADES'!$A$4:$A$8,0)),"(sin catálogo)"))</f>
        <v/>
      </c>
      <c r="AA585" s="12">
        <f>IF($J585="","",TODAY()-$J585)</f>
        <v/>
      </c>
      <c r="AB585" s="12">
        <f>IF($J585="","",IF($J585&lt;=TODAY(),COUNTIFS(cal_fechas,"&gt;="&amp;$J585,cal_fechas,"&lt;"&amp;TODAY(),cal_habil,"sí"),-COUNTIFS(cal_fechas,"&gt;="&amp;TODAY(),cal_fechas,"&lt;"&amp;$J585,cal_habil,"sí")))</f>
        <v/>
      </c>
      <c r="AC585" s="3">
        <f>IF($AB585="","",IF($AB585&lt;0,"FUTURO",IF($AB585&gt;p_dias_backlog_max,"BACKLOG","MES CORRIENTE")))</f>
        <v/>
      </c>
      <c r="AD585" s="3">
        <f>IF($AB585="",FALSE,AND($AB585&gt;p_dias_backlog_min,$AB585&lt;=p_dias_backlog_max))</f>
        <v/>
      </c>
      <c r="AE585" s="6" t="n"/>
      <c r="AF585" s="3">
        <f>IF($AE585="","",IF((IFERROR(INDEX('ASIGNACIONES'!$F$4:$F$339,MATCH($O585&amp;"|"&amp;$R585&amp;"|"&amp;$AE585,'ASIGNACIONES'!$J$4:$J$339,0)),""))=0,"",IFERROR(INDEX('ASIGNACIONES'!$F$4:$F$339,MATCH($O585&amp;"|"&amp;$R585&amp;"|"&amp;$AE585,'ASIGNACIONES'!$J$4:$J$339,0)),"")))</f>
        <v/>
      </c>
      <c r="AG585" s="13">
        <f>IF($AE585="","",SUMIFS('ORDENES'!$M$4:$M$1203,'ORDENES'!$AE$4:$AE$1203,$AE585,'ORDENES'!$O$4:$O$1203,$O585,'ORDENES'!$R$4:$R$1203,$R585))</f>
        <v/>
      </c>
      <c r="AH585" s="13">
        <f>IF($AG585="","",p_factor_productividad*IFERROR(INDEX('ASIGNACIONES'!$I$4:$I$339,MATCH($O585&amp;"|"&amp;$R585&amp;"|"&amp;$AE585,'ASIGNACIONES'!$J$4:$J$339,0)),0)-$AG585)</f>
        <v/>
      </c>
      <c r="AI585" s="10">
        <f>IF($A585="","",IFERROR(INDEX('2_IMPORTAR_EJECUCION'!$F$9:$F$1208,MATCH($AQ585,'2_IMPORTAR_EJECUCION'!$J$9:$J$1208,0)),0))</f>
        <v/>
      </c>
      <c r="AJ585" s="10">
        <f>IF($A585="","",MAX(0,IFERROR(INDEX('2_IMPORTAR_EJECUCION'!$H$9:$H$1208,MATCH($AQ585,'2_IMPORTAR_EJECUCION'!$J$9:$J$1208,0)),0)-$AI585))</f>
        <v/>
      </c>
      <c r="AK585" s="10">
        <f>IF($A585="","",$AI585+$AJ585)</f>
        <v/>
      </c>
      <c r="AL585" s="6" t="n"/>
      <c r="AM585" s="6" t="n"/>
      <c r="AN585" s="6" t="n"/>
      <c r="AO585" s="3">
        <f>IF($AN585="","",HYPERLINK(p_ruta_base_checklists&amp;$AN585,"abrir"))</f>
        <v/>
      </c>
      <c r="AP585" s="6" t="n"/>
      <c r="AQ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IF($A586="","",IFERROR(INDEX('AJUSTES'!$B$4:$B$303,MATCH($AQ586,'AJUSTES'!$A$4:$A$303,0)),IF($K586="","",$K586)))</f>
        <v/>
      </c>
      <c r="N586" s="3">
        <f>IF($A586="","",IFERROR(INDEX('CAT_ESTADOS_ERP'!$B$4:$B$7,MATCH(IFERROR(INDEX('2_IMPORTAR_EJECUCION'!$C$9:$C$1208,MATCH($AQ586,'2_IMPORTAR_EJECUCION'!$J$9:$J$1208,0)),""),'CAT_ESTADOS_ERP'!$A$4:$A$7,0)),"Pendiente"))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J586="","",IFERROR(INDEX('CALENDARIO'!$C$15:$C$214,MATCH(TEXT($J586,"yyyy-mm-dd")&amp;"|"&amp;$V586&amp;"|"&amp;$W586,'CALENDARIO'!$G$15:$G$214,0)),IFERROR(INDEX('CALENDARIO'!$C$15:$C$214,MATCH(TEXT($J586,"yyyy-mm-dd")&amp;"|"&amp;$V586&amp;"|",'CALENDARIO'!$G$15:$G$214,0)),IFERROR(INDEX('CALENDARIO'!$C$15:$C$214,MATCH(TEXT($J586,"yyyy-mm-dd")&amp;"||",'CALENDARIO'!$G$15:$G$214,0)),INDEX(patronHabil,WEEKDAY($J586,2))))))</f>
        <v/>
      </c>
      <c r="T586" s="3">
        <f>IF($I586="","",IFERROR(INDEX('CAT_TIPOS_OT'!$C$4:$C$7,MATCH($I586,'CAT_TIPOS_OT'!$A$4:$A$7,0)),"sin_clasificar"))</f>
        <v/>
      </c>
      <c r="U586" s="3">
        <f>IF($F586="","",IFERROR(INDEX('CAT_CENTROS_COSTO'!$F$4:$F$13,MATCH($F586,'CAT_CENTROS_COSTO'!$A$4:$A$13,0)),"(sin catálogo)"))</f>
        <v/>
      </c>
      <c r="V586" s="3">
        <f>IF($F586="","",IFERROR(INDEX('CAT_CENTROS_COSTO'!$D$4:$D$13,MATCH($F586,'CAT_CENTROS_COSTO'!$A$4:$A$13,0)),"(sin catálogo)"))</f>
        <v/>
      </c>
      <c r="W586" s="3">
        <f>IF($F586="","",IF((IFERROR(INDEX('CAT_CENTROS_COSTO'!$E$4:$E$13,MATCH($F586,'CAT_CENTROS_COSTO'!$A$4:$A$13,0)),""))&lt;&gt;"",IFERROR(INDEX('CAT_CENTROS_COSTO'!$E$4:$E$13,MATCH($F586,'CAT_CENTROS_COSTO'!$A$4:$A$13,0)),""),$V586))</f>
        <v/>
      </c>
      <c r="X586" s="3">
        <f>IF($F586="","",IFERROR(INDEX('CAT_CENTROS_COSTO'!$G$4:$G$13,MATCH($F586,'CAT_CENTROS_COSTO'!$A$4:$A$13,0)),"(sin catálogo)"))</f>
        <v/>
      </c>
      <c r="Y586" s="3">
        <f>IF($G586="","",IFERROR(INDEX('CAT_PUESTOS'!$B$4:$B$8,MATCH($G586,'CAT_PUESTOS'!$A$4:$A$8,0)),"(sin catálogo)"))</f>
        <v/>
      </c>
      <c r="Z586" s="3">
        <f>IF($H586="","",IFERROR(INDEX('CAT_ACTIVIDADES'!$B$4:$B$8,MATCH($H586,'CAT_ACTIVIDADES'!$A$4:$A$8,0)),"(sin catálogo)"))</f>
        <v/>
      </c>
      <c r="AA586" s="12">
        <f>IF($J586="","",TODAY()-$J586)</f>
        <v/>
      </c>
      <c r="AB586" s="12">
        <f>IF($J586="","",IF($J586&lt;=TODAY(),COUNTIFS(cal_fechas,"&gt;="&amp;$J586,cal_fechas,"&lt;"&amp;TODAY(),cal_habil,"sí"),-COUNTIFS(cal_fechas,"&gt;="&amp;TODAY(),cal_fechas,"&lt;"&amp;$J586,cal_habil,"sí")))</f>
        <v/>
      </c>
      <c r="AC586" s="3">
        <f>IF($AB586="","",IF($AB586&lt;0,"FUTURO",IF($AB586&gt;p_dias_backlog_max,"BACKLOG","MES CORRIENTE")))</f>
        <v/>
      </c>
      <c r="AD586" s="3">
        <f>IF($AB586="",FALSE,AND($AB586&gt;p_dias_backlog_min,$AB586&lt;=p_dias_backlog_max))</f>
        <v/>
      </c>
      <c r="AE586" s="6" t="n"/>
      <c r="AF586" s="3">
        <f>IF($AE586="","",IF((IFERROR(INDEX('ASIGNACIONES'!$F$4:$F$339,MATCH($O586&amp;"|"&amp;$R586&amp;"|"&amp;$AE586,'ASIGNACIONES'!$J$4:$J$339,0)),""))=0,"",IFERROR(INDEX('ASIGNACIONES'!$F$4:$F$339,MATCH($O586&amp;"|"&amp;$R586&amp;"|"&amp;$AE586,'ASIGNACIONES'!$J$4:$J$339,0)),"")))</f>
        <v/>
      </c>
      <c r="AG586" s="13">
        <f>IF($AE586="","",SUMIFS('ORDENES'!$M$4:$M$1203,'ORDENES'!$AE$4:$AE$1203,$AE586,'ORDENES'!$O$4:$O$1203,$O586,'ORDENES'!$R$4:$R$1203,$R586))</f>
        <v/>
      </c>
      <c r="AH586" s="13">
        <f>IF($AG586="","",p_factor_productividad*IFERROR(INDEX('ASIGNACIONES'!$I$4:$I$339,MATCH($O586&amp;"|"&amp;$R586&amp;"|"&amp;$AE586,'ASIGNACIONES'!$J$4:$J$339,0)),0)-$AG586)</f>
        <v/>
      </c>
      <c r="AI586" s="10">
        <f>IF($A586="","",IFERROR(INDEX('2_IMPORTAR_EJECUCION'!$F$9:$F$1208,MATCH($AQ586,'2_IMPORTAR_EJECUCION'!$J$9:$J$1208,0)),0))</f>
        <v/>
      </c>
      <c r="AJ586" s="10">
        <f>IF($A586="","",MAX(0,IFERROR(INDEX('2_IMPORTAR_EJECUCION'!$H$9:$H$1208,MATCH($AQ586,'2_IMPORTAR_EJECUCION'!$J$9:$J$1208,0)),0)-$AI586))</f>
        <v/>
      </c>
      <c r="AK586" s="10">
        <f>IF($A586="","",$AI586+$AJ586)</f>
        <v/>
      </c>
      <c r="AL586" s="6" t="n"/>
      <c r="AM586" s="6" t="n"/>
      <c r="AN586" s="6" t="n"/>
      <c r="AO586" s="3">
        <f>IF($AN586="","",HYPERLINK(p_ruta_base_checklists&amp;$AN586,"abrir"))</f>
        <v/>
      </c>
      <c r="AP586" s="6" t="n"/>
      <c r="AQ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IF($A587="","",IFERROR(INDEX('AJUSTES'!$B$4:$B$303,MATCH($AQ587,'AJUSTES'!$A$4:$A$303,0)),IF($K587="","",$K587)))</f>
        <v/>
      </c>
      <c r="N587" s="3">
        <f>IF($A587="","",IFERROR(INDEX('CAT_ESTADOS_ERP'!$B$4:$B$7,MATCH(IFERROR(INDEX('2_IMPORTAR_EJECUCION'!$C$9:$C$1208,MATCH($AQ587,'2_IMPORTAR_EJECUCION'!$J$9:$J$1208,0)),""),'CAT_ESTADOS_ERP'!$A$4:$A$7,0)),"Pendiente"))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J587="","",IFERROR(INDEX('CALENDARIO'!$C$15:$C$214,MATCH(TEXT($J587,"yyyy-mm-dd")&amp;"|"&amp;$V587&amp;"|"&amp;$W587,'CALENDARIO'!$G$15:$G$214,0)),IFERROR(INDEX('CALENDARIO'!$C$15:$C$214,MATCH(TEXT($J587,"yyyy-mm-dd")&amp;"|"&amp;$V587&amp;"|",'CALENDARIO'!$G$15:$G$214,0)),IFERROR(INDEX('CALENDARIO'!$C$15:$C$214,MATCH(TEXT($J587,"yyyy-mm-dd")&amp;"||",'CALENDARIO'!$G$15:$G$214,0)),INDEX(patronHabil,WEEKDAY($J587,2))))))</f>
        <v/>
      </c>
      <c r="T587" s="3">
        <f>IF($I587="","",IFERROR(INDEX('CAT_TIPOS_OT'!$C$4:$C$7,MATCH($I587,'CAT_TIPOS_OT'!$A$4:$A$7,0)),"sin_clasificar"))</f>
        <v/>
      </c>
      <c r="U587" s="3">
        <f>IF($F587="","",IFERROR(INDEX('CAT_CENTROS_COSTO'!$F$4:$F$13,MATCH($F587,'CAT_CENTROS_COSTO'!$A$4:$A$13,0)),"(sin catálogo)"))</f>
        <v/>
      </c>
      <c r="V587" s="3">
        <f>IF($F587="","",IFERROR(INDEX('CAT_CENTROS_COSTO'!$D$4:$D$13,MATCH($F587,'CAT_CENTROS_COSTO'!$A$4:$A$13,0)),"(sin catálogo)"))</f>
        <v/>
      </c>
      <c r="W587" s="3">
        <f>IF($F587="","",IF((IFERROR(INDEX('CAT_CENTROS_COSTO'!$E$4:$E$13,MATCH($F587,'CAT_CENTROS_COSTO'!$A$4:$A$13,0)),""))&lt;&gt;"",IFERROR(INDEX('CAT_CENTROS_COSTO'!$E$4:$E$13,MATCH($F587,'CAT_CENTROS_COSTO'!$A$4:$A$13,0)),""),$V587))</f>
        <v/>
      </c>
      <c r="X587" s="3">
        <f>IF($F587="","",IFERROR(INDEX('CAT_CENTROS_COSTO'!$G$4:$G$13,MATCH($F587,'CAT_CENTROS_COSTO'!$A$4:$A$13,0)),"(sin catálogo)"))</f>
        <v/>
      </c>
      <c r="Y587" s="3">
        <f>IF($G587="","",IFERROR(INDEX('CAT_PUESTOS'!$B$4:$B$8,MATCH($G587,'CAT_PUESTOS'!$A$4:$A$8,0)),"(sin catálogo)"))</f>
        <v/>
      </c>
      <c r="Z587" s="3">
        <f>IF($H587="","",IFERROR(INDEX('CAT_ACTIVIDADES'!$B$4:$B$8,MATCH($H587,'CAT_ACTIVIDADES'!$A$4:$A$8,0)),"(sin catálogo)"))</f>
        <v/>
      </c>
      <c r="AA587" s="12">
        <f>IF($J587="","",TODAY()-$J587)</f>
        <v/>
      </c>
      <c r="AB587" s="12">
        <f>IF($J587="","",IF($J587&lt;=TODAY(),COUNTIFS(cal_fechas,"&gt;="&amp;$J587,cal_fechas,"&lt;"&amp;TODAY(),cal_habil,"sí"),-COUNTIFS(cal_fechas,"&gt;="&amp;TODAY(),cal_fechas,"&lt;"&amp;$J587,cal_habil,"sí")))</f>
        <v/>
      </c>
      <c r="AC587" s="3">
        <f>IF($AB587="","",IF($AB587&lt;0,"FUTURO",IF($AB587&gt;p_dias_backlog_max,"BACKLOG","MES CORRIENTE")))</f>
        <v/>
      </c>
      <c r="AD587" s="3">
        <f>IF($AB587="",FALSE,AND($AB587&gt;p_dias_backlog_min,$AB587&lt;=p_dias_backlog_max))</f>
        <v/>
      </c>
      <c r="AE587" s="6" t="n"/>
      <c r="AF587" s="3">
        <f>IF($AE587="","",IF((IFERROR(INDEX('ASIGNACIONES'!$F$4:$F$339,MATCH($O587&amp;"|"&amp;$R587&amp;"|"&amp;$AE587,'ASIGNACIONES'!$J$4:$J$339,0)),""))=0,"",IFERROR(INDEX('ASIGNACIONES'!$F$4:$F$339,MATCH($O587&amp;"|"&amp;$R587&amp;"|"&amp;$AE587,'ASIGNACIONES'!$J$4:$J$339,0)),"")))</f>
        <v/>
      </c>
      <c r="AG587" s="13">
        <f>IF($AE587="","",SUMIFS('ORDENES'!$M$4:$M$1203,'ORDENES'!$AE$4:$AE$1203,$AE587,'ORDENES'!$O$4:$O$1203,$O587,'ORDENES'!$R$4:$R$1203,$R587))</f>
        <v/>
      </c>
      <c r="AH587" s="13">
        <f>IF($AG587="","",p_factor_productividad*IFERROR(INDEX('ASIGNACIONES'!$I$4:$I$339,MATCH($O587&amp;"|"&amp;$R587&amp;"|"&amp;$AE587,'ASIGNACIONES'!$J$4:$J$339,0)),0)-$AG587)</f>
        <v/>
      </c>
      <c r="AI587" s="10">
        <f>IF($A587="","",IFERROR(INDEX('2_IMPORTAR_EJECUCION'!$F$9:$F$1208,MATCH($AQ587,'2_IMPORTAR_EJECUCION'!$J$9:$J$1208,0)),0))</f>
        <v/>
      </c>
      <c r="AJ587" s="10">
        <f>IF($A587="","",MAX(0,IFERROR(INDEX('2_IMPORTAR_EJECUCION'!$H$9:$H$1208,MATCH($AQ587,'2_IMPORTAR_EJECUCION'!$J$9:$J$1208,0)),0)-$AI587))</f>
        <v/>
      </c>
      <c r="AK587" s="10">
        <f>IF($A587="","",$AI587+$AJ587)</f>
        <v/>
      </c>
      <c r="AL587" s="6" t="n"/>
      <c r="AM587" s="6" t="n"/>
      <c r="AN587" s="6" t="n"/>
      <c r="AO587" s="3">
        <f>IF($AN587="","",HYPERLINK(p_ruta_base_checklists&amp;$AN587,"abrir"))</f>
        <v/>
      </c>
      <c r="AP587" s="6" t="n"/>
      <c r="AQ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IF($A588="","",IFERROR(INDEX('AJUSTES'!$B$4:$B$303,MATCH($AQ588,'AJUSTES'!$A$4:$A$303,0)),IF($K588="","",$K588)))</f>
        <v/>
      </c>
      <c r="N588" s="3">
        <f>IF($A588="","",IFERROR(INDEX('CAT_ESTADOS_ERP'!$B$4:$B$7,MATCH(IFERROR(INDEX('2_IMPORTAR_EJECUCION'!$C$9:$C$1208,MATCH($AQ588,'2_IMPORTAR_EJECUCION'!$J$9:$J$1208,0)),""),'CAT_ESTADOS_ERP'!$A$4:$A$7,0)),"Pendiente"))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J588="","",IFERROR(INDEX('CALENDARIO'!$C$15:$C$214,MATCH(TEXT($J588,"yyyy-mm-dd")&amp;"|"&amp;$V588&amp;"|"&amp;$W588,'CALENDARIO'!$G$15:$G$214,0)),IFERROR(INDEX('CALENDARIO'!$C$15:$C$214,MATCH(TEXT($J588,"yyyy-mm-dd")&amp;"|"&amp;$V588&amp;"|",'CALENDARIO'!$G$15:$G$214,0)),IFERROR(INDEX('CALENDARIO'!$C$15:$C$214,MATCH(TEXT($J588,"yyyy-mm-dd")&amp;"||",'CALENDARIO'!$G$15:$G$214,0)),INDEX(patronHabil,WEEKDAY($J588,2))))))</f>
        <v/>
      </c>
      <c r="T588" s="3">
        <f>IF($I588="","",IFERROR(INDEX('CAT_TIPOS_OT'!$C$4:$C$7,MATCH($I588,'CAT_TIPOS_OT'!$A$4:$A$7,0)),"sin_clasificar"))</f>
        <v/>
      </c>
      <c r="U588" s="3">
        <f>IF($F588="","",IFERROR(INDEX('CAT_CENTROS_COSTO'!$F$4:$F$13,MATCH($F588,'CAT_CENTROS_COSTO'!$A$4:$A$13,0)),"(sin catálogo)"))</f>
        <v/>
      </c>
      <c r="V588" s="3">
        <f>IF($F588="","",IFERROR(INDEX('CAT_CENTROS_COSTO'!$D$4:$D$13,MATCH($F588,'CAT_CENTROS_COSTO'!$A$4:$A$13,0)),"(sin catálogo)"))</f>
        <v/>
      </c>
      <c r="W588" s="3">
        <f>IF($F588="","",IF((IFERROR(INDEX('CAT_CENTROS_COSTO'!$E$4:$E$13,MATCH($F588,'CAT_CENTROS_COSTO'!$A$4:$A$13,0)),""))&lt;&gt;"",IFERROR(INDEX('CAT_CENTROS_COSTO'!$E$4:$E$13,MATCH($F588,'CAT_CENTROS_COSTO'!$A$4:$A$13,0)),""),$V588))</f>
        <v/>
      </c>
      <c r="X588" s="3">
        <f>IF($F588="","",IFERROR(INDEX('CAT_CENTROS_COSTO'!$G$4:$G$13,MATCH($F588,'CAT_CENTROS_COSTO'!$A$4:$A$13,0)),"(sin catálogo)"))</f>
        <v/>
      </c>
      <c r="Y588" s="3">
        <f>IF($G588="","",IFERROR(INDEX('CAT_PUESTOS'!$B$4:$B$8,MATCH($G588,'CAT_PUESTOS'!$A$4:$A$8,0)),"(sin catálogo)"))</f>
        <v/>
      </c>
      <c r="Z588" s="3">
        <f>IF($H588="","",IFERROR(INDEX('CAT_ACTIVIDADES'!$B$4:$B$8,MATCH($H588,'CAT_ACTIVIDADES'!$A$4:$A$8,0)),"(sin catálogo)"))</f>
        <v/>
      </c>
      <c r="AA588" s="12">
        <f>IF($J588="","",TODAY()-$J588)</f>
        <v/>
      </c>
      <c r="AB588" s="12">
        <f>IF($J588="","",IF($J588&lt;=TODAY(),COUNTIFS(cal_fechas,"&gt;="&amp;$J588,cal_fechas,"&lt;"&amp;TODAY(),cal_habil,"sí"),-COUNTIFS(cal_fechas,"&gt;="&amp;TODAY(),cal_fechas,"&lt;"&amp;$J588,cal_habil,"sí")))</f>
        <v/>
      </c>
      <c r="AC588" s="3">
        <f>IF($AB588="","",IF($AB588&lt;0,"FUTURO",IF($AB588&gt;p_dias_backlog_max,"BACKLOG","MES CORRIENTE")))</f>
        <v/>
      </c>
      <c r="AD588" s="3">
        <f>IF($AB588="",FALSE,AND($AB588&gt;p_dias_backlog_min,$AB588&lt;=p_dias_backlog_max))</f>
        <v/>
      </c>
      <c r="AE588" s="6" t="n"/>
      <c r="AF588" s="3">
        <f>IF($AE588="","",IF((IFERROR(INDEX('ASIGNACIONES'!$F$4:$F$339,MATCH($O588&amp;"|"&amp;$R588&amp;"|"&amp;$AE588,'ASIGNACIONES'!$J$4:$J$339,0)),""))=0,"",IFERROR(INDEX('ASIGNACIONES'!$F$4:$F$339,MATCH($O588&amp;"|"&amp;$R588&amp;"|"&amp;$AE588,'ASIGNACIONES'!$J$4:$J$339,0)),"")))</f>
        <v/>
      </c>
      <c r="AG588" s="13">
        <f>IF($AE588="","",SUMIFS('ORDENES'!$M$4:$M$1203,'ORDENES'!$AE$4:$AE$1203,$AE588,'ORDENES'!$O$4:$O$1203,$O588,'ORDENES'!$R$4:$R$1203,$R588))</f>
        <v/>
      </c>
      <c r="AH588" s="13">
        <f>IF($AG588="","",p_factor_productividad*IFERROR(INDEX('ASIGNACIONES'!$I$4:$I$339,MATCH($O588&amp;"|"&amp;$R588&amp;"|"&amp;$AE588,'ASIGNACIONES'!$J$4:$J$339,0)),0)-$AG588)</f>
        <v/>
      </c>
      <c r="AI588" s="10">
        <f>IF($A588="","",IFERROR(INDEX('2_IMPORTAR_EJECUCION'!$F$9:$F$1208,MATCH($AQ588,'2_IMPORTAR_EJECUCION'!$J$9:$J$1208,0)),0))</f>
        <v/>
      </c>
      <c r="AJ588" s="10">
        <f>IF($A588="","",MAX(0,IFERROR(INDEX('2_IMPORTAR_EJECUCION'!$H$9:$H$1208,MATCH($AQ588,'2_IMPORTAR_EJECUCION'!$J$9:$J$1208,0)),0)-$AI588))</f>
        <v/>
      </c>
      <c r="AK588" s="10">
        <f>IF($A588="","",$AI588+$AJ588)</f>
        <v/>
      </c>
      <c r="AL588" s="6" t="n"/>
      <c r="AM588" s="6" t="n"/>
      <c r="AN588" s="6" t="n"/>
      <c r="AO588" s="3">
        <f>IF($AN588="","",HYPERLINK(p_ruta_base_checklists&amp;$AN588,"abrir"))</f>
        <v/>
      </c>
      <c r="AP588" s="6" t="n"/>
      <c r="AQ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IF($A589="","",IFERROR(INDEX('AJUSTES'!$B$4:$B$303,MATCH($AQ589,'AJUSTES'!$A$4:$A$303,0)),IF($K589="","",$K589)))</f>
        <v/>
      </c>
      <c r="N589" s="3">
        <f>IF($A589="","",IFERROR(INDEX('CAT_ESTADOS_ERP'!$B$4:$B$7,MATCH(IFERROR(INDEX('2_IMPORTAR_EJECUCION'!$C$9:$C$1208,MATCH($AQ589,'2_IMPORTAR_EJECUCION'!$J$9:$J$1208,0)),""),'CAT_ESTADOS_ERP'!$A$4:$A$7,0)),"Pendiente"))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J589="","",IFERROR(INDEX('CALENDARIO'!$C$15:$C$214,MATCH(TEXT($J589,"yyyy-mm-dd")&amp;"|"&amp;$V589&amp;"|"&amp;$W589,'CALENDARIO'!$G$15:$G$214,0)),IFERROR(INDEX('CALENDARIO'!$C$15:$C$214,MATCH(TEXT($J589,"yyyy-mm-dd")&amp;"|"&amp;$V589&amp;"|",'CALENDARIO'!$G$15:$G$214,0)),IFERROR(INDEX('CALENDARIO'!$C$15:$C$214,MATCH(TEXT($J589,"yyyy-mm-dd")&amp;"||",'CALENDARIO'!$G$15:$G$214,0)),INDEX(patronHabil,WEEKDAY($J589,2))))))</f>
        <v/>
      </c>
      <c r="T589" s="3">
        <f>IF($I589="","",IFERROR(INDEX('CAT_TIPOS_OT'!$C$4:$C$7,MATCH($I589,'CAT_TIPOS_OT'!$A$4:$A$7,0)),"sin_clasificar"))</f>
        <v/>
      </c>
      <c r="U589" s="3">
        <f>IF($F589="","",IFERROR(INDEX('CAT_CENTROS_COSTO'!$F$4:$F$13,MATCH($F589,'CAT_CENTROS_COSTO'!$A$4:$A$13,0)),"(sin catálogo)"))</f>
        <v/>
      </c>
      <c r="V589" s="3">
        <f>IF($F589="","",IFERROR(INDEX('CAT_CENTROS_COSTO'!$D$4:$D$13,MATCH($F589,'CAT_CENTROS_COSTO'!$A$4:$A$13,0)),"(sin catálogo)"))</f>
        <v/>
      </c>
      <c r="W589" s="3">
        <f>IF($F589="","",IF((IFERROR(INDEX('CAT_CENTROS_COSTO'!$E$4:$E$13,MATCH($F589,'CAT_CENTROS_COSTO'!$A$4:$A$13,0)),""))&lt;&gt;"",IFERROR(INDEX('CAT_CENTROS_COSTO'!$E$4:$E$13,MATCH($F589,'CAT_CENTROS_COSTO'!$A$4:$A$13,0)),""),$V589))</f>
        <v/>
      </c>
      <c r="X589" s="3">
        <f>IF($F589="","",IFERROR(INDEX('CAT_CENTROS_COSTO'!$G$4:$G$13,MATCH($F589,'CAT_CENTROS_COSTO'!$A$4:$A$13,0)),"(sin catálogo)"))</f>
        <v/>
      </c>
      <c r="Y589" s="3">
        <f>IF($G589="","",IFERROR(INDEX('CAT_PUESTOS'!$B$4:$B$8,MATCH($G589,'CAT_PUESTOS'!$A$4:$A$8,0)),"(sin catálogo)"))</f>
        <v/>
      </c>
      <c r="Z589" s="3">
        <f>IF($H589="","",IFERROR(INDEX('CAT_ACTIVIDADES'!$B$4:$B$8,MATCH($H589,'CAT_ACTIVIDADES'!$A$4:$A$8,0)),"(sin catálogo)"))</f>
        <v/>
      </c>
      <c r="AA589" s="12">
        <f>IF($J589="","",TODAY()-$J589)</f>
        <v/>
      </c>
      <c r="AB589" s="12">
        <f>IF($J589="","",IF($J589&lt;=TODAY(),COUNTIFS(cal_fechas,"&gt;="&amp;$J589,cal_fechas,"&lt;"&amp;TODAY(),cal_habil,"sí"),-COUNTIFS(cal_fechas,"&gt;="&amp;TODAY(),cal_fechas,"&lt;"&amp;$J589,cal_habil,"sí")))</f>
        <v/>
      </c>
      <c r="AC589" s="3">
        <f>IF($AB589="","",IF($AB589&lt;0,"FUTURO",IF($AB589&gt;p_dias_backlog_max,"BACKLOG","MES CORRIENTE")))</f>
        <v/>
      </c>
      <c r="AD589" s="3">
        <f>IF($AB589="",FALSE,AND($AB589&gt;p_dias_backlog_min,$AB589&lt;=p_dias_backlog_max))</f>
        <v/>
      </c>
      <c r="AE589" s="6" t="n"/>
      <c r="AF589" s="3">
        <f>IF($AE589="","",IF((IFERROR(INDEX('ASIGNACIONES'!$F$4:$F$339,MATCH($O589&amp;"|"&amp;$R589&amp;"|"&amp;$AE589,'ASIGNACIONES'!$J$4:$J$339,0)),""))=0,"",IFERROR(INDEX('ASIGNACIONES'!$F$4:$F$339,MATCH($O589&amp;"|"&amp;$R589&amp;"|"&amp;$AE589,'ASIGNACIONES'!$J$4:$J$339,0)),"")))</f>
        <v/>
      </c>
      <c r="AG589" s="13">
        <f>IF($AE589="","",SUMIFS('ORDENES'!$M$4:$M$1203,'ORDENES'!$AE$4:$AE$1203,$AE589,'ORDENES'!$O$4:$O$1203,$O589,'ORDENES'!$R$4:$R$1203,$R589))</f>
        <v/>
      </c>
      <c r="AH589" s="13">
        <f>IF($AG589="","",p_factor_productividad*IFERROR(INDEX('ASIGNACIONES'!$I$4:$I$339,MATCH($O589&amp;"|"&amp;$R589&amp;"|"&amp;$AE589,'ASIGNACIONES'!$J$4:$J$339,0)),0)-$AG589)</f>
        <v/>
      </c>
      <c r="AI589" s="10">
        <f>IF($A589="","",IFERROR(INDEX('2_IMPORTAR_EJECUCION'!$F$9:$F$1208,MATCH($AQ589,'2_IMPORTAR_EJECUCION'!$J$9:$J$1208,0)),0))</f>
        <v/>
      </c>
      <c r="AJ589" s="10">
        <f>IF($A589="","",MAX(0,IFERROR(INDEX('2_IMPORTAR_EJECUCION'!$H$9:$H$1208,MATCH($AQ589,'2_IMPORTAR_EJECUCION'!$J$9:$J$1208,0)),0)-$AI589))</f>
        <v/>
      </c>
      <c r="AK589" s="10">
        <f>IF($A589="","",$AI589+$AJ589)</f>
        <v/>
      </c>
      <c r="AL589" s="6" t="n"/>
      <c r="AM589" s="6" t="n"/>
      <c r="AN589" s="6" t="n"/>
      <c r="AO589" s="3">
        <f>IF($AN589="","",HYPERLINK(p_ruta_base_checklists&amp;$AN589,"abrir"))</f>
        <v/>
      </c>
      <c r="AP589" s="6" t="n"/>
      <c r="AQ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IF($A590="","",IFERROR(INDEX('AJUSTES'!$B$4:$B$303,MATCH($AQ590,'AJUSTES'!$A$4:$A$303,0)),IF($K590="","",$K590)))</f>
        <v/>
      </c>
      <c r="N590" s="3">
        <f>IF($A590="","",IFERROR(INDEX('CAT_ESTADOS_ERP'!$B$4:$B$7,MATCH(IFERROR(INDEX('2_IMPORTAR_EJECUCION'!$C$9:$C$1208,MATCH($AQ590,'2_IMPORTAR_EJECUCION'!$J$9:$J$1208,0)),""),'CAT_ESTADOS_ERP'!$A$4:$A$7,0)),"Pendiente"))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J590="","",IFERROR(INDEX('CALENDARIO'!$C$15:$C$214,MATCH(TEXT($J590,"yyyy-mm-dd")&amp;"|"&amp;$V590&amp;"|"&amp;$W590,'CALENDARIO'!$G$15:$G$214,0)),IFERROR(INDEX('CALENDARIO'!$C$15:$C$214,MATCH(TEXT($J590,"yyyy-mm-dd")&amp;"|"&amp;$V590&amp;"|",'CALENDARIO'!$G$15:$G$214,0)),IFERROR(INDEX('CALENDARIO'!$C$15:$C$214,MATCH(TEXT($J590,"yyyy-mm-dd")&amp;"||",'CALENDARIO'!$G$15:$G$214,0)),INDEX(patronHabil,WEEKDAY($J590,2))))))</f>
        <v/>
      </c>
      <c r="T590" s="3">
        <f>IF($I590="","",IFERROR(INDEX('CAT_TIPOS_OT'!$C$4:$C$7,MATCH($I590,'CAT_TIPOS_OT'!$A$4:$A$7,0)),"sin_clasificar"))</f>
        <v/>
      </c>
      <c r="U590" s="3">
        <f>IF($F590="","",IFERROR(INDEX('CAT_CENTROS_COSTO'!$F$4:$F$13,MATCH($F590,'CAT_CENTROS_COSTO'!$A$4:$A$13,0)),"(sin catálogo)"))</f>
        <v/>
      </c>
      <c r="V590" s="3">
        <f>IF($F590="","",IFERROR(INDEX('CAT_CENTROS_COSTO'!$D$4:$D$13,MATCH($F590,'CAT_CENTROS_COSTO'!$A$4:$A$13,0)),"(sin catálogo)"))</f>
        <v/>
      </c>
      <c r="W590" s="3">
        <f>IF($F590="","",IF((IFERROR(INDEX('CAT_CENTROS_COSTO'!$E$4:$E$13,MATCH($F590,'CAT_CENTROS_COSTO'!$A$4:$A$13,0)),""))&lt;&gt;"",IFERROR(INDEX('CAT_CENTROS_COSTO'!$E$4:$E$13,MATCH($F590,'CAT_CENTROS_COSTO'!$A$4:$A$13,0)),""),$V590))</f>
        <v/>
      </c>
      <c r="X590" s="3">
        <f>IF($F590="","",IFERROR(INDEX('CAT_CENTROS_COSTO'!$G$4:$G$13,MATCH($F590,'CAT_CENTROS_COSTO'!$A$4:$A$13,0)),"(sin catálogo)"))</f>
        <v/>
      </c>
      <c r="Y590" s="3">
        <f>IF($G590="","",IFERROR(INDEX('CAT_PUESTOS'!$B$4:$B$8,MATCH($G590,'CAT_PUESTOS'!$A$4:$A$8,0)),"(sin catálogo)"))</f>
        <v/>
      </c>
      <c r="Z590" s="3">
        <f>IF($H590="","",IFERROR(INDEX('CAT_ACTIVIDADES'!$B$4:$B$8,MATCH($H590,'CAT_ACTIVIDADES'!$A$4:$A$8,0)),"(sin catálogo)"))</f>
        <v/>
      </c>
      <c r="AA590" s="12">
        <f>IF($J590="","",TODAY()-$J590)</f>
        <v/>
      </c>
      <c r="AB590" s="12">
        <f>IF($J590="","",IF($J590&lt;=TODAY(),COUNTIFS(cal_fechas,"&gt;="&amp;$J590,cal_fechas,"&lt;"&amp;TODAY(),cal_habil,"sí"),-COUNTIFS(cal_fechas,"&gt;="&amp;TODAY(),cal_fechas,"&lt;"&amp;$J590,cal_habil,"sí")))</f>
        <v/>
      </c>
      <c r="AC590" s="3">
        <f>IF($AB590="","",IF($AB590&lt;0,"FUTURO",IF($AB590&gt;p_dias_backlog_max,"BACKLOG","MES CORRIENTE")))</f>
        <v/>
      </c>
      <c r="AD590" s="3">
        <f>IF($AB590="",FALSE,AND($AB590&gt;p_dias_backlog_min,$AB590&lt;=p_dias_backlog_max))</f>
        <v/>
      </c>
      <c r="AE590" s="6" t="n"/>
      <c r="AF590" s="3">
        <f>IF($AE590="","",IF((IFERROR(INDEX('ASIGNACIONES'!$F$4:$F$339,MATCH($O590&amp;"|"&amp;$R590&amp;"|"&amp;$AE590,'ASIGNACIONES'!$J$4:$J$339,0)),""))=0,"",IFERROR(INDEX('ASIGNACIONES'!$F$4:$F$339,MATCH($O590&amp;"|"&amp;$R590&amp;"|"&amp;$AE590,'ASIGNACIONES'!$J$4:$J$339,0)),"")))</f>
        <v/>
      </c>
      <c r="AG590" s="13">
        <f>IF($AE590="","",SUMIFS('ORDENES'!$M$4:$M$1203,'ORDENES'!$AE$4:$AE$1203,$AE590,'ORDENES'!$O$4:$O$1203,$O590,'ORDENES'!$R$4:$R$1203,$R590))</f>
        <v/>
      </c>
      <c r="AH590" s="13">
        <f>IF($AG590="","",p_factor_productividad*IFERROR(INDEX('ASIGNACIONES'!$I$4:$I$339,MATCH($O590&amp;"|"&amp;$R590&amp;"|"&amp;$AE590,'ASIGNACIONES'!$J$4:$J$339,0)),0)-$AG590)</f>
        <v/>
      </c>
      <c r="AI590" s="10">
        <f>IF($A590="","",IFERROR(INDEX('2_IMPORTAR_EJECUCION'!$F$9:$F$1208,MATCH($AQ590,'2_IMPORTAR_EJECUCION'!$J$9:$J$1208,0)),0))</f>
        <v/>
      </c>
      <c r="AJ590" s="10">
        <f>IF($A590="","",MAX(0,IFERROR(INDEX('2_IMPORTAR_EJECUCION'!$H$9:$H$1208,MATCH($AQ590,'2_IMPORTAR_EJECUCION'!$J$9:$J$1208,0)),0)-$AI590))</f>
        <v/>
      </c>
      <c r="AK590" s="10">
        <f>IF($A590="","",$AI590+$AJ590)</f>
        <v/>
      </c>
      <c r="AL590" s="6" t="n"/>
      <c r="AM590" s="6" t="n"/>
      <c r="AN590" s="6" t="n"/>
      <c r="AO590" s="3">
        <f>IF($AN590="","",HYPERLINK(p_ruta_base_checklists&amp;$AN590,"abrir"))</f>
        <v/>
      </c>
      <c r="AP590" s="6" t="n"/>
      <c r="AQ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IF($A591="","",IFERROR(INDEX('AJUSTES'!$B$4:$B$303,MATCH($AQ591,'AJUSTES'!$A$4:$A$303,0)),IF($K591="","",$K591)))</f>
        <v/>
      </c>
      <c r="N591" s="3">
        <f>IF($A591="","",IFERROR(INDEX('CAT_ESTADOS_ERP'!$B$4:$B$7,MATCH(IFERROR(INDEX('2_IMPORTAR_EJECUCION'!$C$9:$C$1208,MATCH($AQ591,'2_IMPORTAR_EJECUCION'!$J$9:$J$1208,0)),""),'CAT_ESTADOS_ERP'!$A$4:$A$7,0)),"Pendiente"))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J591="","",IFERROR(INDEX('CALENDARIO'!$C$15:$C$214,MATCH(TEXT($J591,"yyyy-mm-dd")&amp;"|"&amp;$V591&amp;"|"&amp;$W591,'CALENDARIO'!$G$15:$G$214,0)),IFERROR(INDEX('CALENDARIO'!$C$15:$C$214,MATCH(TEXT($J591,"yyyy-mm-dd")&amp;"|"&amp;$V591&amp;"|",'CALENDARIO'!$G$15:$G$214,0)),IFERROR(INDEX('CALENDARIO'!$C$15:$C$214,MATCH(TEXT($J591,"yyyy-mm-dd")&amp;"||",'CALENDARIO'!$G$15:$G$214,0)),INDEX(patronHabil,WEEKDAY($J591,2))))))</f>
        <v/>
      </c>
      <c r="T591" s="3">
        <f>IF($I591="","",IFERROR(INDEX('CAT_TIPOS_OT'!$C$4:$C$7,MATCH($I591,'CAT_TIPOS_OT'!$A$4:$A$7,0)),"sin_clasificar"))</f>
        <v/>
      </c>
      <c r="U591" s="3">
        <f>IF($F591="","",IFERROR(INDEX('CAT_CENTROS_COSTO'!$F$4:$F$13,MATCH($F591,'CAT_CENTROS_COSTO'!$A$4:$A$13,0)),"(sin catálogo)"))</f>
        <v/>
      </c>
      <c r="V591" s="3">
        <f>IF($F591="","",IFERROR(INDEX('CAT_CENTROS_COSTO'!$D$4:$D$13,MATCH($F591,'CAT_CENTROS_COSTO'!$A$4:$A$13,0)),"(sin catálogo)"))</f>
        <v/>
      </c>
      <c r="W591" s="3">
        <f>IF($F591="","",IF((IFERROR(INDEX('CAT_CENTROS_COSTO'!$E$4:$E$13,MATCH($F591,'CAT_CENTROS_COSTO'!$A$4:$A$13,0)),""))&lt;&gt;"",IFERROR(INDEX('CAT_CENTROS_COSTO'!$E$4:$E$13,MATCH($F591,'CAT_CENTROS_COSTO'!$A$4:$A$13,0)),""),$V591))</f>
        <v/>
      </c>
      <c r="X591" s="3">
        <f>IF($F591="","",IFERROR(INDEX('CAT_CENTROS_COSTO'!$G$4:$G$13,MATCH($F591,'CAT_CENTROS_COSTO'!$A$4:$A$13,0)),"(sin catálogo)"))</f>
        <v/>
      </c>
      <c r="Y591" s="3">
        <f>IF($G591="","",IFERROR(INDEX('CAT_PUESTOS'!$B$4:$B$8,MATCH($G591,'CAT_PUESTOS'!$A$4:$A$8,0)),"(sin catálogo)"))</f>
        <v/>
      </c>
      <c r="Z591" s="3">
        <f>IF($H591="","",IFERROR(INDEX('CAT_ACTIVIDADES'!$B$4:$B$8,MATCH($H591,'CAT_ACTIVIDADES'!$A$4:$A$8,0)),"(sin catálogo)"))</f>
        <v/>
      </c>
      <c r="AA591" s="12">
        <f>IF($J591="","",TODAY()-$J591)</f>
        <v/>
      </c>
      <c r="AB591" s="12">
        <f>IF($J591="","",IF($J591&lt;=TODAY(),COUNTIFS(cal_fechas,"&gt;="&amp;$J591,cal_fechas,"&lt;"&amp;TODAY(),cal_habil,"sí"),-COUNTIFS(cal_fechas,"&gt;="&amp;TODAY(),cal_fechas,"&lt;"&amp;$J591,cal_habil,"sí")))</f>
        <v/>
      </c>
      <c r="AC591" s="3">
        <f>IF($AB591="","",IF($AB591&lt;0,"FUTURO",IF($AB591&gt;p_dias_backlog_max,"BACKLOG","MES CORRIENTE")))</f>
        <v/>
      </c>
      <c r="AD591" s="3">
        <f>IF($AB591="",FALSE,AND($AB591&gt;p_dias_backlog_min,$AB591&lt;=p_dias_backlog_max))</f>
        <v/>
      </c>
      <c r="AE591" s="6" t="n"/>
      <c r="AF591" s="3">
        <f>IF($AE591="","",IF((IFERROR(INDEX('ASIGNACIONES'!$F$4:$F$339,MATCH($O591&amp;"|"&amp;$R591&amp;"|"&amp;$AE591,'ASIGNACIONES'!$J$4:$J$339,0)),""))=0,"",IFERROR(INDEX('ASIGNACIONES'!$F$4:$F$339,MATCH($O591&amp;"|"&amp;$R591&amp;"|"&amp;$AE591,'ASIGNACIONES'!$J$4:$J$339,0)),"")))</f>
        <v/>
      </c>
      <c r="AG591" s="13">
        <f>IF($AE591="","",SUMIFS('ORDENES'!$M$4:$M$1203,'ORDENES'!$AE$4:$AE$1203,$AE591,'ORDENES'!$O$4:$O$1203,$O591,'ORDENES'!$R$4:$R$1203,$R591))</f>
        <v/>
      </c>
      <c r="AH591" s="13">
        <f>IF($AG591="","",p_factor_productividad*IFERROR(INDEX('ASIGNACIONES'!$I$4:$I$339,MATCH($O591&amp;"|"&amp;$R591&amp;"|"&amp;$AE591,'ASIGNACIONES'!$J$4:$J$339,0)),0)-$AG591)</f>
        <v/>
      </c>
      <c r="AI591" s="10">
        <f>IF($A591="","",IFERROR(INDEX('2_IMPORTAR_EJECUCION'!$F$9:$F$1208,MATCH($AQ591,'2_IMPORTAR_EJECUCION'!$J$9:$J$1208,0)),0))</f>
        <v/>
      </c>
      <c r="AJ591" s="10">
        <f>IF($A591="","",MAX(0,IFERROR(INDEX('2_IMPORTAR_EJECUCION'!$H$9:$H$1208,MATCH($AQ591,'2_IMPORTAR_EJECUCION'!$J$9:$J$1208,0)),0)-$AI591))</f>
        <v/>
      </c>
      <c r="AK591" s="10">
        <f>IF($A591="","",$AI591+$AJ591)</f>
        <v/>
      </c>
      <c r="AL591" s="6" t="n"/>
      <c r="AM591" s="6" t="n"/>
      <c r="AN591" s="6" t="n"/>
      <c r="AO591" s="3">
        <f>IF($AN591="","",HYPERLINK(p_ruta_base_checklists&amp;$AN591,"abrir"))</f>
        <v/>
      </c>
      <c r="AP591" s="6" t="n"/>
      <c r="AQ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IF($A592="","",IFERROR(INDEX('AJUSTES'!$B$4:$B$303,MATCH($AQ592,'AJUSTES'!$A$4:$A$303,0)),IF($K592="","",$K592)))</f>
        <v/>
      </c>
      <c r="N592" s="3">
        <f>IF($A592="","",IFERROR(INDEX('CAT_ESTADOS_ERP'!$B$4:$B$7,MATCH(IFERROR(INDEX('2_IMPORTAR_EJECUCION'!$C$9:$C$1208,MATCH($AQ592,'2_IMPORTAR_EJECUCION'!$J$9:$J$1208,0)),""),'CAT_ESTADOS_ERP'!$A$4:$A$7,0)),"Pendiente"))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J592="","",IFERROR(INDEX('CALENDARIO'!$C$15:$C$214,MATCH(TEXT($J592,"yyyy-mm-dd")&amp;"|"&amp;$V592&amp;"|"&amp;$W592,'CALENDARIO'!$G$15:$G$214,0)),IFERROR(INDEX('CALENDARIO'!$C$15:$C$214,MATCH(TEXT($J592,"yyyy-mm-dd")&amp;"|"&amp;$V592&amp;"|",'CALENDARIO'!$G$15:$G$214,0)),IFERROR(INDEX('CALENDARIO'!$C$15:$C$214,MATCH(TEXT($J592,"yyyy-mm-dd")&amp;"||",'CALENDARIO'!$G$15:$G$214,0)),INDEX(patronHabil,WEEKDAY($J592,2))))))</f>
        <v/>
      </c>
      <c r="T592" s="3">
        <f>IF($I592="","",IFERROR(INDEX('CAT_TIPOS_OT'!$C$4:$C$7,MATCH($I592,'CAT_TIPOS_OT'!$A$4:$A$7,0)),"sin_clasificar"))</f>
        <v/>
      </c>
      <c r="U592" s="3">
        <f>IF($F592="","",IFERROR(INDEX('CAT_CENTROS_COSTO'!$F$4:$F$13,MATCH($F592,'CAT_CENTROS_COSTO'!$A$4:$A$13,0)),"(sin catálogo)"))</f>
        <v/>
      </c>
      <c r="V592" s="3">
        <f>IF($F592="","",IFERROR(INDEX('CAT_CENTROS_COSTO'!$D$4:$D$13,MATCH($F592,'CAT_CENTROS_COSTO'!$A$4:$A$13,0)),"(sin catálogo)"))</f>
        <v/>
      </c>
      <c r="W592" s="3">
        <f>IF($F592="","",IF((IFERROR(INDEX('CAT_CENTROS_COSTO'!$E$4:$E$13,MATCH($F592,'CAT_CENTROS_COSTO'!$A$4:$A$13,0)),""))&lt;&gt;"",IFERROR(INDEX('CAT_CENTROS_COSTO'!$E$4:$E$13,MATCH($F592,'CAT_CENTROS_COSTO'!$A$4:$A$13,0)),""),$V592))</f>
        <v/>
      </c>
      <c r="X592" s="3">
        <f>IF($F592="","",IFERROR(INDEX('CAT_CENTROS_COSTO'!$G$4:$G$13,MATCH($F592,'CAT_CENTROS_COSTO'!$A$4:$A$13,0)),"(sin catálogo)"))</f>
        <v/>
      </c>
      <c r="Y592" s="3">
        <f>IF($G592="","",IFERROR(INDEX('CAT_PUESTOS'!$B$4:$B$8,MATCH($G592,'CAT_PUESTOS'!$A$4:$A$8,0)),"(sin catálogo)"))</f>
        <v/>
      </c>
      <c r="Z592" s="3">
        <f>IF($H592="","",IFERROR(INDEX('CAT_ACTIVIDADES'!$B$4:$B$8,MATCH($H592,'CAT_ACTIVIDADES'!$A$4:$A$8,0)),"(sin catálogo)"))</f>
        <v/>
      </c>
      <c r="AA592" s="12">
        <f>IF($J592="","",TODAY()-$J592)</f>
        <v/>
      </c>
      <c r="AB592" s="12">
        <f>IF($J592="","",IF($J592&lt;=TODAY(),COUNTIFS(cal_fechas,"&gt;="&amp;$J592,cal_fechas,"&lt;"&amp;TODAY(),cal_habil,"sí"),-COUNTIFS(cal_fechas,"&gt;="&amp;TODAY(),cal_fechas,"&lt;"&amp;$J592,cal_habil,"sí")))</f>
        <v/>
      </c>
      <c r="AC592" s="3">
        <f>IF($AB592="","",IF($AB592&lt;0,"FUTURO",IF($AB592&gt;p_dias_backlog_max,"BACKLOG","MES CORRIENTE")))</f>
        <v/>
      </c>
      <c r="AD592" s="3">
        <f>IF($AB592="",FALSE,AND($AB592&gt;p_dias_backlog_min,$AB592&lt;=p_dias_backlog_max))</f>
        <v/>
      </c>
      <c r="AE592" s="6" t="n"/>
      <c r="AF592" s="3">
        <f>IF($AE592="","",IF((IFERROR(INDEX('ASIGNACIONES'!$F$4:$F$339,MATCH($O592&amp;"|"&amp;$R592&amp;"|"&amp;$AE592,'ASIGNACIONES'!$J$4:$J$339,0)),""))=0,"",IFERROR(INDEX('ASIGNACIONES'!$F$4:$F$339,MATCH($O592&amp;"|"&amp;$R592&amp;"|"&amp;$AE592,'ASIGNACIONES'!$J$4:$J$339,0)),"")))</f>
        <v/>
      </c>
      <c r="AG592" s="13">
        <f>IF($AE592="","",SUMIFS('ORDENES'!$M$4:$M$1203,'ORDENES'!$AE$4:$AE$1203,$AE592,'ORDENES'!$O$4:$O$1203,$O592,'ORDENES'!$R$4:$R$1203,$R592))</f>
        <v/>
      </c>
      <c r="AH592" s="13">
        <f>IF($AG592="","",p_factor_productividad*IFERROR(INDEX('ASIGNACIONES'!$I$4:$I$339,MATCH($O592&amp;"|"&amp;$R592&amp;"|"&amp;$AE592,'ASIGNACIONES'!$J$4:$J$339,0)),0)-$AG592)</f>
        <v/>
      </c>
      <c r="AI592" s="10">
        <f>IF($A592="","",IFERROR(INDEX('2_IMPORTAR_EJECUCION'!$F$9:$F$1208,MATCH($AQ592,'2_IMPORTAR_EJECUCION'!$J$9:$J$1208,0)),0))</f>
        <v/>
      </c>
      <c r="AJ592" s="10">
        <f>IF($A592="","",MAX(0,IFERROR(INDEX('2_IMPORTAR_EJECUCION'!$H$9:$H$1208,MATCH($AQ592,'2_IMPORTAR_EJECUCION'!$J$9:$J$1208,0)),0)-$AI592))</f>
        <v/>
      </c>
      <c r="AK592" s="10">
        <f>IF($A592="","",$AI592+$AJ592)</f>
        <v/>
      </c>
      <c r="AL592" s="6" t="n"/>
      <c r="AM592" s="6" t="n"/>
      <c r="AN592" s="6" t="n"/>
      <c r="AO592" s="3">
        <f>IF($AN592="","",HYPERLINK(p_ruta_base_checklists&amp;$AN592,"abrir"))</f>
        <v/>
      </c>
      <c r="AP592" s="6" t="n"/>
      <c r="AQ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IF($A593="","",IFERROR(INDEX('AJUSTES'!$B$4:$B$303,MATCH($AQ593,'AJUSTES'!$A$4:$A$303,0)),IF($K593="","",$K593)))</f>
        <v/>
      </c>
      <c r="N593" s="3">
        <f>IF($A593="","",IFERROR(INDEX('CAT_ESTADOS_ERP'!$B$4:$B$7,MATCH(IFERROR(INDEX('2_IMPORTAR_EJECUCION'!$C$9:$C$1208,MATCH($AQ593,'2_IMPORTAR_EJECUCION'!$J$9:$J$1208,0)),""),'CAT_ESTADOS_ERP'!$A$4:$A$7,0)),"Pendiente"))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J593="","",IFERROR(INDEX('CALENDARIO'!$C$15:$C$214,MATCH(TEXT($J593,"yyyy-mm-dd")&amp;"|"&amp;$V593&amp;"|"&amp;$W593,'CALENDARIO'!$G$15:$G$214,0)),IFERROR(INDEX('CALENDARIO'!$C$15:$C$214,MATCH(TEXT($J593,"yyyy-mm-dd")&amp;"|"&amp;$V593&amp;"|",'CALENDARIO'!$G$15:$G$214,0)),IFERROR(INDEX('CALENDARIO'!$C$15:$C$214,MATCH(TEXT($J593,"yyyy-mm-dd")&amp;"||",'CALENDARIO'!$G$15:$G$214,0)),INDEX(patronHabil,WEEKDAY($J593,2))))))</f>
        <v/>
      </c>
      <c r="T593" s="3">
        <f>IF($I593="","",IFERROR(INDEX('CAT_TIPOS_OT'!$C$4:$C$7,MATCH($I593,'CAT_TIPOS_OT'!$A$4:$A$7,0)),"sin_clasificar"))</f>
        <v/>
      </c>
      <c r="U593" s="3">
        <f>IF($F593="","",IFERROR(INDEX('CAT_CENTROS_COSTO'!$F$4:$F$13,MATCH($F593,'CAT_CENTROS_COSTO'!$A$4:$A$13,0)),"(sin catálogo)"))</f>
        <v/>
      </c>
      <c r="V593" s="3">
        <f>IF($F593="","",IFERROR(INDEX('CAT_CENTROS_COSTO'!$D$4:$D$13,MATCH($F593,'CAT_CENTROS_COSTO'!$A$4:$A$13,0)),"(sin catálogo)"))</f>
        <v/>
      </c>
      <c r="W593" s="3">
        <f>IF($F593="","",IF((IFERROR(INDEX('CAT_CENTROS_COSTO'!$E$4:$E$13,MATCH($F593,'CAT_CENTROS_COSTO'!$A$4:$A$13,0)),""))&lt;&gt;"",IFERROR(INDEX('CAT_CENTROS_COSTO'!$E$4:$E$13,MATCH($F593,'CAT_CENTROS_COSTO'!$A$4:$A$13,0)),""),$V593))</f>
        <v/>
      </c>
      <c r="X593" s="3">
        <f>IF($F593="","",IFERROR(INDEX('CAT_CENTROS_COSTO'!$G$4:$G$13,MATCH($F593,'CAT_CENTROS_COSTO'!$A$4:$A$13,0)),"(sin catálogo)"))</f>
        <v/>
      </c>
      <c r="Y593" s="3">
        <f>IF($G593="","",IFERROR(INDEX('CAT_PUESTOS'!$B$4:$B$8,MATCH($G593,'CAT_PUESTOS'!$A$4:$A$8,0)),"(sin catálogo)"))</f>
        <v/>
      </c>
      <c r="Z593" s="3">
        <f>IF($H593="","",IFERROR(INDEX('CAT_ACTIVIDADES'!$B$4:$B$8,MATCH($H593,'CAT_ACTIVIDADES'!$A$4:$A$8,0)),"(sin catálogo)"))</f>
        <v/>
      </c>
      <c r="AA593" s="12">
        <f>IF($J593="","",TODAY()-$J593)</f>
        <v/>
      </c>
      <c r="AB593" s="12">
        <f>IF($J593="","",IF($J593&lt;=TODAY(),COUNTIFS(cal_fechas,"&gt;="&amp;$J593,cal_fechas,"&lt;"&amp;TODAY(),cal_habil,"sí"),-COUNTIFS(cal_fechas,"&gt;="&amp;TODAY(),cal_fechas,"&lt;"&amp;$J593,cal_habil,"sí")))</f>
        <v/>
      </c>
      <c r="AC593" s="3">
        <f>IF($AB593="","",IF($AB593&lt;0,"FUTURO",IF($AB593&gt;p_dias_backlog_max,"BACKLOG","MES CORRIENTE")))</f>
        <v/>
      </c>
      <c r="AD593" s="3">
        <f>IF($AB593="",FALSE,AND($AB593&gt;p_dias_backlog_min,$AB593&lt;=p_dias_backlog_max))</f>
        <v/>
      </c>
      <c r="AE593" s="6" t="n"/>
      <c r="AF593" s="3">
        <f>IF($AE593="","",IF((IFERROR(INDEX('ASIGNACIONES'!$F$4:$F$339,MATCH($O593&amp;"|"&amp;$R593&amp;"|"&amp;$AE593,'ASIGNACIONES'!$J$4:$J$339,0)),""))=0,"",IFERROR(INDEX('ASIGNACIONES'!$F$4:$F$339,MATCH($O593&amp;"|"&amp;$R593&amp;"|"&amp;$AE593,'ASIGNACIONES'!$J$4:$J$339,0)),"")))</f>
        <v/>
      </c>
      <c r="AG593" s="13">
        <f>IF($AE593="","",SUMIFS('ORDENES'!$M$4:$M$1203,'ORDENES'!$AE$4:$AE$1203,$AE593,'ORDENES'!$O$4:$O$1203,$O593,'ORDENES'!$R$4:$R$1203,$R593))</f>
        <v/>
      </c>
      <c r="AH593" s="13">
        <f>IF($AG593="","",p_factor_productividad*IFERROR(INDEX('ASIGNACIONES'!$I$4:$I$339,MATCH($O593&amp;"|"&amp;$R593&amp;"|"&amp;$AE593,'ASIGNACIONES'!$J$4:$J$339,0)),0)-$AG593)</f>
        <v/>
      </c>
      <c r="AI593" s="10">
        <f>IF($A593="","",IFERROR(INDEX('2_IMPORTAR_EJECUCION'!$F$9:$F$1208,MATCH($AQ593,'2_IMPORTAR_EJECUCION'!$J$9:$J$1208,0)),0))</f>
        <v/>
      </c>
      <c r="AJ593" s="10">
        <f>IF($A593="","",MAX(0,IFERROR(INDEX('2_IMPORTAR_EJECUCION'!$H$9:$H$1208,MATCH($AQ593,'2_IMPORTAR_EJECUCION'!$J$9:$J$1208,0)),0)-$AI593))</f>
        <v/>
      </c>
      <c r="AK593" s="10">
        <f>IF($A593="","",$AI593+$AJ593)</f>
        <v/>
      </c>
      <c r="AL593" s="6" t="n"/>
      <c r="AM593" s="6" t="n"/>
      <c r="AN593" s="6" t="n"/>
      <c r="AO593" s="3">
        <f>IF($AN593="","",HYPERLINK(p_ruta_base_checklists&amp;$AN593,"abrir"))</f>
        <v/>
      </c>
      <c r="AP593" s="6" t="n"/>
      <c r="AQ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IF($A594="","",IFERROR(INDEX('AJUSTES'!$B$4:$B$303,MATCH($AQ594,'AJUSTES'!$A$4:$A$303,0)),IF($K594="","",$K594)))</f>
        <v/>
      </c>
      <c r="N594" s="3">
        <f>IF($A594="","",IFERROR(INDEX('CAT_ESTADOS_ERP'!$B$4:$B$7,MATCH(IFERROR(INDEX('2_IMPORTAR_EJECUCION'!$C$9:$C$1208,MATCH($AQ594,'2_IMPORTAR_EJECUCION'!$J$9:$J$1208,0)),""),'CAT_ESTADOS_ERP'!$A$4:$A$7,0)),"Pendiente"))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J594="","",IFERROR(INDEX('CALENDARIO'!$C$15:$C$214,MATCH(TEXT($J594,"yyyy-mm-dd")&amp;"|"&amp;$V594&amp;"|"&amp;$W594,'CALENDARIO'!$G$15:$G$214,0)),IFERROR(INDEX('CALENDARIO'!$C$15:$C$214,MATCH(TEXT($J594,"yyyy-mm-dd")&amp;"|"&amp;$V594&amp;"|",'CALENDARIO'!$G$15:$G$214,0)),IFERROR(INDEX('CALENDARIO'!$C$15:$C$214,MATCH(TEXT($J594,"yyyy-mm-dd")&amp;"||",'CALENDARIO'!$G$15:$G$214,0)),INDEX(patronHabil,WEEKDAY($J594,2))))))</f>
        <v/>
      </c>
      <c r="T594" s="3">
        <f>IF($I594="","",IFERROR(INDEX('CAT_TIPOS_OT'!$C$4:$C$7,MATCH($I594,'CAT_TIPOS_OT'!$A$4:$A$7,0)),"sin_clasificar"))</f>
        <v/>
      </c>
      <c r="U594" s="3">
        <f>IF($F594="","",IFERROR(INDEX('CAT_CENTROS_COSTO'!$F$4:$F$13,MATCH($F594,'CAT_CENTROS_COSTO'!$A$4:$A$13,0)),"(sin catálogo)"))</f>
        <v/>
      </c>
      <c r="V594" s="3">
        <f>IF($F594="","",IFERROR(INDEX('CAT_CENTROS_COSTO'!$D$4:$D$13,MATCH($F594,'CAT_CENTROS_COSTO'!$A$4:$A$13,0)),"(sin catálogo)"))</f>
        <v/>
      </c>
      <c r="W594" s="3">
        <f>IF($F594="","",IF((IFERROR(INDEX('CAT_CENTROS_COSTO'!$E$4:$E$13,MATCH($F594,'CAT_CENTROS_COSTO'!$A$4:$A$13,0)),""))&lt;&gt;"",IFERROR(INDEX('CAT_CENTROS_COSTO'!$E$4:$E$13,MATCH($F594,'CAT_CENTROS_COSTO'!$A$4:$A$13,0)),""),$V594))</f>
        <v/>
      </c>
      <c r="X594" s="3">
        <f>IF($F594="","",IFERROR(INDEX('CAT_CENTROS_COSTO'!$G$4:$G$13,MATCH($F594,'CAT_CENTROS_COSTO'!$A$4:$A$13,0)),"(sin catálogo)"))</f>
        <v/>
      </c>
      <c r="Y594" s="3">
        <f>IF($G594="","",IFERROR(INDEX('CAT_PUESTOS'!$B$4:$B$8,MATCH($G594,'CAT_PUESTOS'!$A$4:$A$8,0)),"(sin catálogo)"))</f>
        <v/>
      </c>
      <c r="Z594" s="3">
        <f>IF($H594="","",IFERROR(INDEX('CAT_ACTIVIDADES'!$B$4:$B$8,MATCH($H594,'CAT_ACTIVIDADES'!$A$4:$A$8,0)),"(sin catálogo)"))</f>
        <v/>
      </c>
      <c r="AA594" s="12">
        <f>IF($J594="","",TODAY()-$J594)</f>
        <v/>
      </c>
      <c r="AB594" s="12">
        <f>IF($J594="","",IF($J594&lt;=TODAY(),COUNTIFS(cal_fechas,"&gt;="&amp;$J594,cal_fechas,"&lt;"&amp;TODAY(),cal_habil,"sí"),-COUNTIFS(cal_fechas,"&gt;="&amp;TODAY(),cal_fechas,"&lt;"&amp;$J594,cal_habil,"sí")))</f>
        <v/>
      </c>
      <c r="AC594" s="3">
        <f>IF($AB594="","",IF($AB594&lt;0,"FUTURO",IF($AB594&gt;p_dias_backlog_max,"BACKLOG","MES CORRIENTE")))</f>
        <v/>
      </c>
      <c r="AD594" s="3">
        <f>IF($AB594="",FALSE,AND($AB594&gt;p_dias_backlog_min,$AB594&lt;=p_dias_backlog_max))</f>
        <v/>
      </c>
      <c r="AE594" s="6" t="n"/>
      <c r="AF594" s="3">
        <f>IF($AE594="","",IF((IFERROR(INDEX('ASIGNACIONES'!$F$4:$F$339,MATCH($O594&amp;"|"&amp;$R594&amp;"|"&amp;$AE594,'ASIGNACIONES'!$J$4:$J$339,0)),""))=0,"",IFERROR(INDEX('ASIGNACIONES'!$F$4:$F$339,MATCH($O594&amp;"|"&amp;$R594&amp;"|"&amp;$AE594,'ASIGNACIONES'!$J$4:$J$339,0)),"")))</f>
        <v/>
      </c>
      <c r="AG594" s="13">
        <f>IF($AE594="","",SUMIFS('ORDENES'!$M$4:$M$1203,'ORDENES'!$AE$4:$AE$1203,$AE594,'ORDENES'!$O$4:$O$1203,$O594,'ORDENES'!$R$4:$R$1203,$R594))</f>
        <v/>
      </c>
      <c r="AH594" s="13">
        <f>IF($AG594="","",p_factor_productividad*IFERROR(INDEX('ASIGNACIONES'!$I$4:$I$339,MATCH($O594&amp;"|"&amp;$R594&amp;"|"&amp;$AE594,'ASIGNACIONES'!$J$4:$J$339,0)),0)-$AG594)</f>
        <v/>
      </c>
      <c r="AI594" s="10">
        <f>IF($A594="","",IFERROR(INDEX('2_IMPORTAR_EJECUCION'!$F$9:$F$1208,MATCH($AQ594,'2_IMPORTAR_EJECUCION'!$J$9:$J$1208,0)),0))</f>
        <v/>
      </c>
      <c r="AJ594" s="10">
        <f>IF($A594="","",MAX(0,IFERROR(INDEX('2_IMPORTAR_EJECUCION'!$H$9:$H$1208,MATCH($AQ594,'2_IMPORTAR_EJECUCION'!$J$9:$J$1208,0)),0)-$AI594))</f>
        <v/>
      </c>
      <c r="AK594" s="10">
        <f>IF($A594="","",$AI594+$AJ594)</f>
        <v/>
      </c>
      <c r="AL594" s="6" t="n"/>
      <c r="AM594" s="6" t="n"/>
      <c r="AN594" s="6" t="n"/>
      <c r="AO594" s="3">
        <f>IF($AN594="","",HYPERLINK(p_ruta_base_checklists&amp;$AN594,"abrir"))</f>
        <v/>
      </c>
      <c r="AP594" s="6" t="n"/>
      <c r="AQ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IF($A595="","",IFERROR(INDEX('AJUSTES'!$B$4:$B$303,MATCH($AQ595,'AJUSTES'!$A$4:$A$303,0)),IF($K595="","",$K595)))</f>
        <v/>
      </c>
      <c r="N595" s="3">
        <f>IF($A595="","",IFERROR(INDEX('CAT_ESTADOS_ERP'!$B$4:$B$7,MATCH(IFERROR(INDEX('2_IMPORTAR_EJECUCION'!$C$9:$C$1208,MATCH($AQ595,'2_IMPORTAR_EJECUCION'!$J$9:$J$1208,0)),""),'CAT_ESTADOS_ERP'!$A$4:$A$7,0)),"Pendiente"))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J595="","",IFERROR(INDEX('CALENDARIO'!$C$15:$C$214,MATCH(TEXT($J595,"yyyy-mm-dd")&amp;"|"&amp;$V595&amp;"|"&amp;$W595,'CALENDARIO'!$G$15:$G$214,0)),IFERROR(INDEX('CALENDARIO'!$C$15:$C$214,MATCH(TEXT($J595,"yyyy-mm-dd")&amp;"|"&amp;$V595&amp;"|",'CALENDARIO'!$G$15:$G$214,0)),IFERROR(INDEX('CALENDARIO'!$C$15:$C$214,MATCH(TEXT($J595,"yyyy-mm-dd")&amp;"||",'CALENDARIO'!$G$15:$G$214,0)),INDEX(patronHabil,WEEKDAY($J595,2))))))</f>
        <v/>
      </c>
      <c r="T595" s="3">
        <f>IF($I595="","",IFERROR(INDEX('CAT_TIPOS_OT'!$C$4:$C$7,MATCH($I595,'CAT_TIPOS_OT'!$A$4:$A$7,0)),"sin_clasificar"))</f>
        <v/>
      </c>
      <c r="U595" s="3">
        <f>IF($F595="","",IFERROR(INDEX('CAT_CENTROS_COSTO'!$F$4:$F$13,MATCH($F595,'CAT_CENTROS_COSTO'!$A$4:$A$13,0)),"(sin catálogo)"))</f>
        <v/>
      </c>
      <c r="V595" s="3">
        <f>IF($F595="","",IFERROR(INDEX('CAT_CENTROS_COSTO'!$D$4:$D$13,MATCH($F595,'CAT_CENTROS_COSTO'!$A$4:$A$13,0)),"(sin catálogo)"))</f>
        <v/>
      </c>
      <c r="W595" s="3">
        <f>IF($F595="","",IF((IFERROR(INDEX('CAT_CENTROS_COSTO'!$E$4:$E$13,MATCH($F595,'CAT_CENTROS_COSTO'!$A$4:$A$13,0)),""))&lt;&gt;"",IFERROR(INDEX('CAT_CENTROS_COSTO'!$E$4:$E$13,MATCH($F595,'CAT_CENTROS_COSTO'!$A$4:$A$13,0)),""),$V595))</f>
        <v/>
      </c>
      <c r="X595" s="3">
        <f>IF($F595="","",IFERROR(INDEX('CAT_CENTROS_COSTO'!$G$4:$G$13,MATCH($F595,'CAT_CENTROS_COSTO'!$A$4:$A$13,0)),"(sin catálogo)"))</f>
        <v/>
      </c>
      <c r="Y595" s="3">
        <f>IF($G595="","",IFERROR(INDEX('CAT_PUESTOS'!$B$4:$B$8,MATCH($G595,'CAT_PUESTOS'!$A$4:$A$8,0)),"(sin catálogo)"))</f>
        <v/>
      </c>
      <c r="Z595" s="3">
        <f>IF($H595="","",IFERROR(INDEX('CAT_ACTIVIDADES'!$B$4:$B$8,MATCH($H595,'CAT_ACTIVIDADES'!$A$4:$A$8,0)),"(sin catálogo)"))</f>
        <v/>
      </c>
      <c r="AA595" s="12">
        <f>IF($J595="","",TODAY()-$J595)</f>
        <v/>
      </c>
      <c r="AB595" s="12">
        <f>IF($J595="","",IF($J595&lt;=TODAY(),COUNTIFS(cal_fechas,"&gt;="&amp;$J595,cal_fechas,"&lt;"&amp;TODAY(),cal_habil,"sí"),-COUNTIFS(cal_fechas,"&gt;="&amp;TODAY(),cal_fechas,"&lt;"&amp;$J595,cal_habil,"sí")))</f>
        <v/>
      </c>
      <c r="AC595" s="3">
        <f>IF($AB595="","",IF($AB595&lt;0,"FUTURO",IF($AB595&gt;p_dias_backlog_max,"BACKLOG","MES CORRIENTE")))</f>
        <v/>
      </c>
      <c r="AD595" s="3">
        <f>IF($AB595="",FALSE,AND($AB595&gt;p_dias_backlog_min,$AB595&lt;=p_dias_backlog_max))</f>
        <v/>
      </c>
      <c r="AE595" s="6" t="n"/>
      <c r="AF595" s="3">
        <f>IF($AE595="","",IF((IFERROR(INDEX('ASIGNACIONES'!$F$4:$F$339,MATCH($O595&amp;"|"&amp;$R595&amp;"|"&amp;$AE595,'ASIGNACIONES'!$J$4:$J$339,0)),""))=0,"",IFERROR(INDEX('ASIGNACIONES'!$F$4:$F$339,MATCH($O595&amp;"|"&amp;$R595&amp;"|"&amp;$AE595,'ASIGNACIONES'!$J$4:$J$339,0)),"")))</f>
        <v/>
      </c>
      <c r="AG595" s="13">
        <f>IF($AE595="","",SUMIFS('ORDENES'!$M$4:$M$1203,'ORDENES'!$AE$4:$AE$1203,$AE595,'ORDENES'!$O$4:$O$1203,$O595,'ORDENES'!$R$4:$R$1203,$R595))</f>
        <v/>
      </c>
      <c r="AH595" s="13">
        <f>IF($AG595="","",p_factor_productividad*IFERROR(INDEX('ASIGNACIONES'!$I$4:$I$339,MATCH($O595&amp;"|"&amp;$R595&amp;"|"&amp;$AE595,'ASIGNACIONES'!$J$4:$J$339,0)),0)-$AG595)</f>
        <v/>
      </c>
      <c r="AI595" s="10">
        <f>IF($A595="","",IFERROR(INDEX('2_IMPORTAR_EJECUCION'!$F$9:$F$1208,MATCH($AQ595,'2_IMPORTAR_EJECUCION'!$J$9:$J$1208,0)),0))</f>
        <v/>
      </c>
      <c r="AJ595" s="10">
        <f>IF($A595="","",MAX(0,IFERROR(INDEX('2_IMPORTAR_EJECUCION'!$H$9:$H$1208,MATCH($AQ595,'2_IMPORTAR_EJECUCION'!$J$9:$J$1208,0)),0)-$AI595))</f>
        <v/>
      </c>
      <c r="AK595" s="10">
        <f>IF($A595="","",$AI595+$AJ595)</f>
        <v/>
      </c>
      <c r="AL595" s="6" t="n"/>
      <c r="AM595" s="6" t="n"/>
      <c r="AN595" s="6" t="n"/>
      <c r="AO595" s="3">
        <f>IF($AN595="","",HYPERLINK(p_ruta_base_checklists&amp;$AN595,"abrir"))</f>
        <v/>
      </c>
      <c r="AP595" s="6" t="n"/>
      <c r="AQ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IF($A596="","",IFERROR(INDEX('AJUSTES'!$B$4:$B$303,MATCH($AQ596,'AJUSTES'!$A$4:$A$303,0)),IF($K596="","",$K596)))</f>
        <v/>
      </c>
      <c r="N596" s="3">
        <f>IF($A596="","",IFERROR(INDEX('CAT_ESTADOS_ERP'!$B$4:$B$7,MATCH(IFERROR(INDEX('2_IMPORTAR_EJECUCION'!$C$9:$C$1208,MATCH($AQ596,'2_IMPORTAR_EJECUCION'!$J$9:$J$1208,0)),""),'CAT_ESTADOS_ERP'!$A$4:$A$7,0)),"Pendiente"))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J596="","",IFERROR(INDEX('CALENDARIO'!$C$15:$C$214,MATCH(TEXT($J596,"yyyy-mm-dd")&amp;"|"&amp;$V596&amp;"|"&amp;$W596,'CALENDARIO'!$G$15:$G$214,0)),IFERROR(INDEX('CALENDARIO'!$C$15:$C$214,MATCH(TEXT($J596,"yyyy-mm-dd")&amp;"|"&amp;$V596&amp;"|",'CALENDARIO'!$G$15:$G$214,0)),IFERROR(INDEX('CALENDARIO'!$C$15:$C$214,MATCH(TEXT($J596,"yyyy-mm-dd")&amp;"||",'CALENDARIO'!$G$15:$G$214,0)),INDEX(patronHabil,WEEKDAY($J596,2))))))</f>
        <v/>
      </c>
      <c r="T596" s="3">
        <f>IF($I596="","",IFERROR(INDEX('CAT_TIPOS_OT'!$C$4:$C$7,MATCH($I596,'CAT_TIPOS_OT'!$A$4:$A$7,0)),"sin_clasificar"))</f>
        <v/>
      </c>
      <c r="U596" s="3">
        <f>IF($F596="","",IFERROR(INDEX('CAT_CENTROS_COSTO'!$F$4:$F$13,MATCH($F596,'CAT_CENTROS_COSTO'!$A$4:$A$13,0)),"(sin catálogo)"))</f>
        <v/>
      </c>
      <c r="V596" s="3">
        <f>IF($F596="","",IFERROR(INDEX('CAT_CENTROS_COSTO'!$D$4:$D$13,MATCH($F596,'CAT_CENTROS_COSTO'!$A$4:$A$13,0)),"(sin catálogo)"))</f>
        <v/>
      </c>
      <c r="W596" s="3">
        <f>IF($F596="","",IF((IFERROR(INDEX('CAT_CENTROS_COSTO'!$E$4:$E$13,MATCH($F596,'CAT_CENTROS_COSTO'!$A$4:$A$13,0)),""))&lt;&gt;"",IFERROR(INDEX('CAT_CENTROS_COSTO'!$E$4:$E$13,MATCH($F596,'CAT_CENTROS_COSTO'!$A$4:$A$13,0)),""),$V596))</f>
        <v/>
      </c>
      <c r="X596" s="3">
        <f>IF($F596="","",IFERROR(INDEX('CAT_CENTROS_COSTO'!$G$4:$G$13,MATCH($F596,'CAT_CENTROS_COSTO'!$A$4:$A$13,0)),"(sin catálogo)"))</f>
        <v/>
      </c>
      <c r="Y596" s="3">
        <f>IF($G596="","",IFERROR(INDEX('CAT_PUESTOS'!$B$4:$B$8,MATCH($G596,'CAT_PUESTOS'!$A$4:$A$8,0)),"(sin catálogo)"))</f>
        <v/>
      </c>
      <c r="Z596" s="3">
        <f>IF($H596="","",IFERROR(INDEX('CAT_ACTIVIDADES'!$B$4:$B$8,MATCH($H596,'CAT_ACTIVIDADES'!$A$4:$A$8,0)),"(sin catálogo)"))</f>
        <v/>
      </c>
      <c r="AA596" s="12">
        <f>IF($J596="","",TODAY()-$J596)</f>
        <v/>
      </c>
      <c r="AB596" s="12">
        <f>IF($J596="","",IF($J596&lt;=TODAY(),COUNTIFS(cal_fechas,"&gt;="&amp;$J596,cal_fechas,"&lt;"&amp;TODAY(),cal_habil,"sí"),-COUNTIFS(cal_fechas,"&gt;="&amp;TODAY(),cal_fechas,"&lt;"&amp;$J596,cal_habil,"sí")))</f>
        <v/>
      </c>
      <c r="AC596" s="3">
        <f>IF($AB596="","",IF($AB596&lt;0,"FUTURO",IF($AB596&gt;p_dias_backlog_max,"BACKLOG","MES CORRIENTE")))</f>
        <v/>
      </c>
      <c r="AD596" s="3">
        <f>IF($AB596="",FALSE,AND($AB596&gt;p_dias_backlog_min,$AB596&lt;=p_dias_backlog_max))</f>
        <v/>
      </c>
      <c r="AE596" s="6" t="n"/>
      <c r="AF596" s="3">
        <f>IF($AE596="","",IF((IFERROR(INDEX('ASIGNACIONES'!$F$4:$F$339,MATCH($O596&amp;"|"&amp;$R596&amp;"|"&amp;$AE596,'ASIGNACIONES'!$J$4:$J$339,0)),""))=0,"",IFERROR(INDEX('ASIGNACIONES'!$F$4:$F$339,MATCH($O596&amp;"|"&amp;$R596&amp;"|"&amp;$AE596,'ASIGNACIONES'!$J$4:$J$339,0)),"")))</f>
        <v/>
      </c>
      <c r="AG596" s="13">
        <f>IF($AE596="","",SUMIFS('ORDENES'!$M$4:$M$1203,'ORDENES'!$AE$4:$AE$1203,$AE596,'ORDENES'!$O$4:$O$1203,$O596,'ORDENES'!$R$4:$R$1203,$R596))</f>
        <v/>
      </c>
      <c r="AH596" s="13">
        <f>IF($AG596="","",p_factor_productividad*IFERROR(INDEX('ASIGNACIONES'!$I$4:$I$339,MATCH($O596&amp;"|"&amp;$R596&amp;"|"&amp;$AE596,'ASIGNACIONES'!$J$4:$J$339,0)),0)-$AG596)</f>
        <v/>
      </c>
      <c r="AI596" s="10">
        <f>IF($A596="","",IFERROR(INDEX('2_IMPORTAR_EJECUCION'!$F$9:$F$1208,MATCH($AQ596,'2_IMPORTAR_EJECUCION'!$J$9:$J$1208,0)),0))</f>
        <v/>
      </c>
      <c r="AJ596" s="10">
        <f>IF($A596="","",MAX(0,IFERROR(INDEX('2_IMPORTAR_EJECUCION'!$H$9:$H$1208,MATCH($AQ596,'2_IMPORTAR_EJECUCION'!$J$9:$J$1208,0)),0)-$AI596))</f>
        <v/>
      </c>
      <c r="AK596" s="10">
        <f>IF($A596="","",$AI596+$AJ596)</f>
        <v/>
      </c>
      <c r="AL596" s="6" t="n"/>
      <c r="AM596" s="6" t="n"/>
      <c r="AN596" s="6" t="n"/>
      <c r="AO596" s="3">
        <f>IF($AN596="","",HYPERLINK(p_ruta_base_checklists&amp;$AN596,"abrir"))</f>
        <v/>
      </c>
      <c r="AP596" s="6" t="n"/>
      <c r="AQ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IF($A597="","",IFERROR(INDEX('AJUSTES'!$B$4:$B$303,MATCH($AQ597,'AJUSTES'!$A$4:$A$303,0)),IF($K597="","",$K597)))</f>
        <v/>
      </c>
      <c r="N597" s="3">
        <f>IF($A597="","",IFERROR(INDEX('CAT_ESTADOS_ERP'!$B$4:$B$7,MATCH(IFERROR(INDEX('2_IMPORTAR_EJECUCION'!$C$9:$C$1208,MATCH($AQ597,'2_IMPORTAR_EJECUCION'!$J$9:$J$1208,0)),""),'CAT_ESTADOS_ERP'!$A$4:$A$7,0)),"Pendiente"))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J597="","",IFERROR(INDEX('CALENDARIO'!$C$15:$C$214,MATCH(TEXT($J597,"yyyy-mm-dd")&amp;"|"&amp;$V597&amp;"|"&amp;$W597,'CALENDARIO'!$G$15:$G$214,0)),IFERROR(INDEX('CALENDARIO'!$C$15:$C$214,MATCH(TEXT($J597,"yyyy-mm-dd")&amp;"|"&amp;$V597&amp;"|",'CALENDARIO'!$G$15:$G$214,0)),IFERROR(INDEX('CALENDARIO'!$C$15:$C$214,MATCH(TEXT($J597,"yyyy-mm-dd")&amp;"||",'CALENDARIO'!$G$15:$G$214,0)),INDEX(patronHabil,WEEKDAY($J597,2))))))</f>
        <v/>
      </c>
      <c r="T597" s="3">
        <f>IF($I597="","",IFERROR(INDEX('CAT_TIPOS_OT'!$C$4:$C$7,MATCH($I597,'CAT_TIPOS_OT'!$A$4:$A$7,0)),"sin_clasificar"))</f>
        <v/>
      </c>
      <c r="U597" s="3">
        <f>IF($F597="","",IFERROR(INDEX('CAT_CENTROS_COSTO'!$F$4:$F$13,MATCH($F597,'CAT_CENTROS_COSTO'!$A$4:$A$13,0)),"(sin catálogo)"))</f>
        <v/>
      </c>
      <c r="V597" s="3">
        <f>IF($F597="","",IFERROR(INDEX('CAT_CENTROS_COSTO'!$D$4:$D$13,MATCH($F597,'CAT_CENTROS_COSTO'!$A$4:$A$13,0)),"(sin catálogo)"))</f>
        <v/>
      </c>
      <c r="W597" s="3">
        <f>IF($F597="","",IF((IFERROR(INDEX('CAT_CENTROS_COSTO'!$E$4:$E$13,MATCH($F597,'CAT_CENTROS_COSTO'!$A$4:$A$13,0)),""))&lt;&gt;"",IFERROR(INDEX('CAT_CENTROS_COSTO'!$E$4:$E$13,MATCH($F597,'CAT_CENTROS_COSTO'!$A$4:$A$13,0)),""),$V597))</f>
        <v/>
      </c>
      <c r="X597" s="3">
        <f>IF($F597="","",IFERROR(INDEX('CAT_CENTROS_COSTO'!$G$4:$G$13,MATCH($F597,'CAT_CENTROS_COSTO'!$A$4:$A$13,0)),"(sin catálogo)"))</f>
        <v/>
      </c>
      <c r="Y597" s="3">
        <f>IF($G597="","",IFERROR(INDEX('CAT_PUESTOS'!$B$4:$B$8,MATCH($G597,'CAT_PUESTOS'!$A$4:$A$8,0)),"(sin catálogo)"))</f>
        <v/>
      </c>
      <c r="Z597" s="3">
        <f>IF($H597="","",IFERROR(INDEX('CAT_ACTIVIDADES'!$B$4:$B$8,MATCH($H597,'CAT_ACTIVIDADES'!$A$4:$A$8,0)),"(sin catálogo)"))</f>
        <v/>
      </c>
      <c r="AA597" s="12">
        <f>IF($J597="","",TODAY()-$J597)</f>
        <v/>
      </c>
      <c r="AB597" s="12">
        <f>IF($J597="","",IF($J597&lt;=TODAY(),COUNTIFS(cal_fechas,"&gt;="&amp;$J597,cal_fechas,"&lt;"&amp;TODAY(),cal_habil,"sí"),-COUNTIFS(cal_fechas,"&gt;="&amp;TODAY(),cal_fechas,"&lt;"&amp;$J597,cal_habil,"sí")))</f>
        <v/>
      </c>
      <c r="AC597" s="3">
        <f>IF($AB597="","",IF($AB597&lt;0,"FUTURO",IF($AB597&gt;p_dias_backlog_max,"BACKLOG","MES CORRIENTE")))</f>
        <v/>
      </c>
      <c r="AD597" s="3">
        <f>IF($AB597="",FALSE,AND($AB597&gt;p_dias_backlog_min,$AB597&lt;=p_dias_backlog_max))</f>
        <v/>
      </c>
      <c r="AE597" s="6" t="n"/>
      <c r="AF597" s="3">
        <f>IF($AE597="","",IF((IFERROR(INDEX('ASIGNACIONES'!$F$4:$F$339,MATCH($O597&amp;"|"&amp;$R597&amp;"|"&amp;$AE597,'ASIGNACIONES'!$J$4:$J$339,0)),""))=0,"",IFERROR(INDEX('ASIGNACIONES'!$F$4:$F$339,MATCH($O597&amp;"|"&amp;$R597&amp;"|"&amp;$AE597,'ASIGNACIONES'!$J$4:$J$339,0)),"")))</f>
        <v/>
      </c>
      <c r="AG597" s="13">
        <f>IF($AE597="","",SUMIFS('ORDENES'!$M$4:$M$1203,'ORDENES'!$AE$4:$AE$1203,$AE597,'ORDENES'!$O$4:$O$1203,$O597,'ORDENES'!$R$4:$R$1203,$R597))</f>
        <v/>
      </c>
      <c r="AH597" s="13">
        <f>IF($AG597="","",p_factor_productividad*IFERROR(INDEX('ASIGNACIONES'!$I$4:$I$339,MATCH($O597&amp;"|"&amp;$R597&amp;"|"&amp;$AE597,'ASIGNACIONES'!$J$4:$J$339,0)),0)-$AG597)</f>
        <v/>
      </c>
      <c r="AI597" s="10">
        <f>IF($A597="","",IFERROR(INDEX('2_IMPORTAR_EJECUCION'!$F$9:$F$1208,MATCH($AQ597,'2_IMPORTAR_EJECUCION'!$J$9:$J$1208,0)),0))</f>
        <v/>
      </c>
      <c r="AJ597" s="10">
        <f>IF($A597="","",MAX(0,IFERROR(INDEX('2_IMPORTAR_EJECUCION'!$H$9:$H$1208,MATCH($AQ597,'2_IMPORTAR_EJECUCION'!$J$9:$J$1208,0)),0)-$AI597))</f>
        <v/>
      </c>
      <c r="AK597" s="10">
        <f>IF($A597="","",$AI597+$AJ597)</f>
        <v/>
      </c>
      <c r="AL597" s="6" t="n"/>
      <c r="AM597" s="6" t="n"/>
      <c r="AN597" s="6" t="n"/>
      <c r="AO597" s="3">
        <f>IF($AN597="","",HYPERLINK(p_ruta_base_checklists&amp;$AN597,"abrir"))</f>
        <v/>
      </c>
      <c r="AP597" s="6" t="n"/>
      <c r="AQ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IF($A598="","",IFERROR(INDEX('AJUSTES'!$B$4:$B$303,MATCH($AQ598,'AJUSTES'!$A$4:$A$303,0)),IF($K598="","",$K598)))</f>
        <v/>
      </c>
      <c r="N598" s="3">
        <f>IF($A598="","",IFERROR(INDEX('CAT_ESTADOS_ERP'!$B$4:$B$7,MATCH(IFERROR(INDEX('2_IMPORTAR_EJECUCION'!$C$9:$C$1208,MATCH($AQ598,'2_IMPORTAR_EJECUCION'!$J$9:$J$1208,0)),""),'CAT_ESTADOS_ERP'!$A$4:$A$7,0)),"Pendiente"))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J598="","",IFERROR(INDEX('CALENDARIO'!$C$15:$C$214,MATCH(TEXT($J598,"yyyy-mm-dd")&amp;"|"&amp;$V598&amp;"|"&amp;$W598,'CALENDARIO'!$G$15:$G$214,0)),IFERROR(INDEX('CALENDARIO'!$C$15:$C$214,MATCH(TEXT($J598,"yyyy-mm-dd")&amp;"|"&amp;$V598&amp;"|",'CALENDARIO'!$G$15:$G$214,0)),IFERROR(INDEX('CALENDARIO'!$C$15:$C$214,MATCH(TEXT($J598,"yyyy-mm-dd")&amp;"||",'CALENDARIO'!$G$15:$G$214,0)),INDEX(patronHabil,WEEKDAY($J598,2))))))</f>
        <v/>
      </c>
      <c r="T598" s="3">
        <f>IF($I598="","",IFERROR(INDEX('CAT_TIPOS_OT'!$C$4:$C$7,MATCH($I598,'CAT_TIPOS_OT'!$A$4:$A$7,0)),"sin_clasificar"))</f>
        <v/>
      </c>
      <c r="U598" s="3">
        <f>IF($F598="","",IFERROR(INDEX('CAT_CENTROS_COSTO'!$F$4:$F$13,MATCH($F598,'CAT_CENTROS_COSTO'!$A$4:$A$13,0)),"(sin catálogo)"))</f>
        <v/>
      </c>
      <c r="V598" s="3">
        <f>IF($F598="","",IFERROR(INDEX('CAT_CENTROS_COSTO'!$D$4:$D$13,MATCH($F598,'CAT_CENTROS_COSTO'!$A$4:$A$13,0)),"(sin catálogo)"))</f>
        <v/>
      </c>
      <c r="W598" s="3">
        <f>IF($F598="","",IF((IFERROR(INDEX('CAT_CENTROS_COSTO'!$E$4:$E$13,MATCH($F598,'CAT_CENTROS_COSTO'!$A$4:$A$13,0)),""))&lt;&gt;"",IFERROR(INDEX('CAT_CENTROS_COSTO'!$E$4:$E$13,MATCH($F598,'CAT_CENTROS_COSTO'!$A$4:$A$13,0)),""),$V598))</f>
        <v/>
      </c>
      <c r="X598" s="3">
        <f>IF($F598="","",IFERROR(INDEX('CAT_CENTROS_COSTO'!$G$4:$G$13,MATCH($F598,'CAT_CENTROS_COSTO'!$A$4:$A$13,0)),"(sin catálogo)"))</f>
        <v/>
      </c>
      <c r="Y598" s="3">
        <f>IF($G598="","",IFERROR(INDEX('CAT_PUESTOS'!$B$4:$B$8,MATCH($G598,'CAT_PUESTOS'!$A$4:$A$8,0)),"(sin catálogo)"))</f>
        <v/>
      </c>
      <c r="Z598" s="3">
        <f>IF($H598="","",IFERROR(INDEX('CAT_ACTIVIDADES'!$B$4:$B$8,MATCH($H598,'CAT_ACTIVIDADES'!$A$4:$A$8,0)),"(sin catálogo)"))</f>
        <v/>
      </c>
      <c r="AA598" s="12">
        <f>IF($J598="","",TODAY()-$J598)</f>
        <v/>
      </c>
      <c r="AB598" s="12">
        <f>IF($J598="","",IF($J598&lt;=TODAY(),COUNTIFS(cal_fechas,"&gt;="&amp;$J598,cal_fechas,"&lt;"&amp;TODAY(),cal_habil,"sí"),-COUNTIFS(cal_fechas,"&gt;="&amp;TODAY(),cal_fechas,"&lt;"&amp;$J598,cal_habil,"sí")))</f>
        <v/>
      </c>
      <c r="AC598" s="3">
        <f>IF($AB598="","",IF($AB598&lt;0,"FUTURO",IF($AB598&gt;p_dias_backlog_max,"BACKLOG","MES CORRIENTE")))</f>
        <v/>
      </c>
      <c r="AD598" s="3">
        <f>IF($AB598="",FALSE,AND($AB598&gt;p_dias_backlog_min,$AB598&lt;=p_dias_backlog_max))</f>
        <v/>
      </c>
      <c r="AE598" s="6" t="n"/>
      <c r="AF598" s="3">
        <f>IF($AE598="","",IF((IFERROR(INDEX('ASIGNACIONES'!$F$4:$F$339,MATCH($O598&amp;"|"&amp;$R598&amp;"|"&amp;$AE598,'ASIGNACIONES'!$J$4:$J$339,0)),""))=0,"",IFERROR(INDEX('ASIGNACIONES'!$F$4:$F$339,MATCH($O598&amp;"|"&amp;$R598&amp;"|"&amp;$AE598,'ASIGNACIONES'!$J$4:$J$339,0)),"")))</f>
        <v/>
      </c>
      <c r="AG598" s="13">
        <f>IF($AE598="","",SUMIFS('ORDENES'!$M$4:$M$1203,'ORDENES'!$AE$4:$AE$1203,$AE598,'ORDENES'!$O$4:$O$1203,$O598,'ORDENES'!$R$4:$R$1203,$R598))</f>
        <v/>
      </c>
      <c r="AH598" s="13">
        <f>IF($AG598="","",p_factor_productividad*IFERROR(INDEX('ASIGNACIONES'!$I$4:$I$339,MATCH($O598&amp;"|"&amp;$R598&amp;"|"&amp;$AE598,'ASIGNACIONES'!$J$4:$J$339,0)),0)-$AG598)</f>
        <v/>
      </c>
      <c r="AI598" s="10">
        <f>IF($A598="","",IFERROR(INDEX('2_IMPORTAR_EJECUCION'!$F$9:$F$1208,MATCH($AQ598,'2_IMPORTAR_EJECUCION'!$J$9:$J$1208,0)),0))</f>
        <v/>
      </c>
      <c r="AJ598" s="10">
        <f>IF($A598="","",MAX(0,IFERROR(INDEX('2_IMPORTAR_EJECUCION'!$H$9:$H$1208,MATCH($AQ598,'2_IMPORTAR_EJECUCION'!$J$9:$J$1208,0)),0)-$AI598))</f>
        <v/>
      </c>
      <c r="AK598" s="10">
        <f>IF($A598="","",$AI598+$AJ598)</f>
        <v/>
      </c>
      <c r="AL598" s="6" t="n"/>
      <c r="AM598" s="6" t="n"/>
      <c r="AN598" s="6" t="n"/>
      <c r="AO598" s="3">
        <f>IF($AN598="","",HYPERLINK(p_ruta_base_checklists&amp;$AN598,"abrir"))</f>
        <v/>
      </c>
      <c r="AP598" s="6" t="n"/>
      <c r="AQ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IF($A599="","",IFERROR(INDEX('AJUSTES'!$B$4:$B$303,MATCH($AQ599,'AJUSTES'!$A$4:$A$303,0)),IF($K599="","",$K599)))</f>
        <v/>
      </c>
      <c r="N599" s="3">
        <f>IF($A599="","",IFERROR(INDEX('CAT_ESTADOS_ERP'!$B$4:$B$7,MATCH(IFERROR(INDEX('2_IMPORTAR_EJECUCION'!$C$9:$C$1208,MATCH($AQ599,'2_IMPORTAR_EJECUCION'!$J$9:$J$1208,0)),""),'CAT_ESTADOS_ERP'!$A$4:$A$7,0)),"Pendiente"))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J599="","",IFERROR(INDEX('CALENDARIO'!$C$15:$C$214,MATCH(TEXT($J599,"yyyy-mm-dd")&amp;"|"&amp;$V599&amp;"|"&amp;$W599,'CALENDARIO'!$G$15:$G$214,0)),IFERROR(INDEX('CALENDARIO'!$C$15:$C$214,MATCH(TEXT($J599,"yyyy-mm-dd")&amp;"|"&amp;$V599&amp;"|",'CALENDARIO'!$G$15:$G$214,0)),IFERROR(INDEX('CALENDARIO'!$C$15:$C$214,MATCH(TEXT($J599,"yyyy-mm-dd")&amp;"||",'CALENDARIO'!$G$15:$G$214,0)),INDEX(patronHabil,WEEKDAY($J599,2))))))</f>
        <v/>
      </c>
      <c r="T599" s="3">
        <f>IF($I599="","",IFERROR(INDEX('CAT_TIPOS_OT'!$C$4:$C$7,MATCH($I599,'CAT_TIPOS_OT'!$A$4:$A$7,0)),"sin_clasificar"))</f>
        <v/>
      </c>
      <c r="U599" s="3">
        <f>IF($F599="","",IFERROR(INDEX('CAT_CENTROS_COSTO'!$F$4:$F$13,MATCH($F599,'CAT_CENTROS_COSTO'!$A$4:$A$13,0)),"(sin catálogo)"))</f>
        <v/>
      </c>
      <c r="V599" s="3">
        <f>IF($F599="","",IFERROR(INDEX('CAT_CENTROS_COSTO'!$D$4:$D$13,MATCH($F599,'CAT_CENTROS_COSTO'!$A$4:$A$13,0)),"(sin catálogo)"))</f>
        <v/>
      </c>
      <c r="W599" s="3">
        <f>IF($F599="","",IF((IFERROR(INDEX('CAT_CENTROS_COSTO'!$E$4:$E$13,MATCH($F599,'CAT_CENTROS_COSTO'!$A$4:$A$13,0)),""))&lt;&gt;"",IFERROR(INDEX('CAT_CENTROS_COSTO'!$E$4:$E$13,MATCH($F599,'CAT_CENTROS_COSTO'!$A$4:$A$13,0)),""),$V599))</f>
        <v/>
      </c>
      <c r="X599" s="3">
        <f>IF($F599="","",IFERROR(INDEX('CAT_CENTROS_COSTO'!$G$4:$G$13,MATCH($F599,'CAT_CENTROS_COSTO'!$A$4:$A$13,0)),"(sin catálogo)"))</f>
        <v/>
      </c>
      <c r="Y599" s="3">
        <f>IF($G599="","",IFERROR(INDEX('CAT_PUESTOS'!$B$4:$B$8,MATCH($G599,'CAT_PUESTOS'!$A$4:$A$8,0)),"(sin catálogo)"))</f>
        <v/>
      </c>
      <c r="Z599" s="3">
        <f>IF($H599="","",IFERROR(INDEX('CAT_ACTIVIDADES'!$B$4:$B$8,MATCH($H599,'CAT_ACTIVIDADES'!$A$4:$A$8,0)),"(sin catálogo)"))</f>
        <v/>
      </c>
      <c r="AA599" s="12">
        <f>IF($J599="","",TODAY()-$J599)</f>
        <v/>
      </c>
      <c r="AB599" s="12">
        <f>IF($J599="","",IF($J599&lt;=TODAY(),COUNTIFS(cal_fechas,"&gt;="&amp;$J599,cal_fechas,"&lt;"&amp;TODAY(),cal_habil,"sí"),-COUNTIFS(cal_fechas,"&gt;="&amp;TODAY(),cal_fechas,"&lt;"&amp;$J599,cal_habil,"sí")))</f>
        <v/>
      </c>
      <c r="AC599" s="3">
        <f>IF($AB599="","",IF($AB599&lt;0,"FUTURO",IF($AB599&gt;p_dias_backlog_max,"BACKLOG","MES CORRIENTE")))</f>
        <v/>
      </c>
      <c r="AD599" s="3">
        <f>IF($AB599="",FALSE,AND($AB599&gt;p_dias_backlog_min,$AB599&lt;=p_dias_backlog_max))</f>
        <v/>
      </c>
      <c r="AE599" s="6" t="n"/>
      <c r="AF599" s="3">
        <f>IF($AE599="","",IF((IFERROR(INDEX('ASIGNACIONES'!$F$4:$F$339,MATCH($O599&amp;"|"&amp;$R599&amp;"|"&amp;$AE599,'ASIGNACIONES'!$J$4:$J$339,0)),""))=0,"",IFERROR(INDEX('ASIGNACIONES'!$F$4:$F$339,MATCH($O599&amp;"|"&amp;$R599&amp;"|"&amp;$AE599,'ASIGNACIONES'!$J$4:$J$339,0)),"")))</f>
        <v/>
      </c>
      <c r="AG599" s="13">
        <f>IF($AE599="","",SUMIFS('ORDENES'!$M$4:$M$1203,'ORDENES'!$AE$4:$AE$1203,$AE599,'ORDENES'!$O$4:$O$1203,$O599,'ORDENES'!$R$4:$R$1203,$R599))</f>
        <v/>
      </c>
      <c r="AH599" s="13">
        <f>IF($AG599="","",p_factor_productividad*IFERROR(INDEX('ASIGNACIONES'!$I$4:$I$339,MATCH($O599&amp;"|"&amp;$R599&amp;"|"&amp;$AE599,'ASIGNACIONES'!$J$4:$J$339,0)),0)-$AG599)</f>
        <v/>
      </c>
      <c r="AI599" s="10">
        <f>IF($A599="","",IFERROR(INDEX('2_IMPORTAR_EJECUCION'!$F$9:$F$1208,MATCH($AQ599,'2_IMPORTAR_EJECUCION'!$J$9:$J$1208,0)),0))</f>
        <v/>
      </c>
      <c r="AJ599" s="10">
        <f>IF($A599="","",MAX(0,IFERROR(INDEX('2_IMPORTAR_EJECUCION'!$H$9:$H$1208,MATCH($AQ599,'2_IMPORTAR_EJECUCION'!$J$9:$J$1208,0)),0)-$AI599))</f>
        <v/>
      </c>
      <c r="AK599" s="10">
        <f>IF($A599="","",$AI599+$AJ599)</f>
        <v/>
      </c>
      <c r="AL599" s="6" t="n"/>
      <c r="AM599" s="6" t="n"/>
      <c r="AN599" s="6" t="n"/>
      <c r="AO599" s="3">
        <f>IF($AN599="","",HYPERLINK(p_ruta_base_checklists&amp;$AN599,"abrir"))</f>
        <v/>
      </c>
      <c r="AP599" s="6" t="n"/>
      <c r="AQ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IF($A600="","",IFERROR(INDEX('AJUSTES'!$B$4:$B$303,MATCH($AQ600,'AJUSTES'!$A$4:$A$303,0)),IF($K600="","",$K600)))</f>
        <v/>
      </c>
      <c r="N600" s="3">
        <f>IF($A600="","",IFERROR(INDEX('CAT_ESTADOS_ERP'!$B$4:$B$7,MATCH(IFERROR(INDEX('2_IMPORTAR_EJECUCION'!$C$9:$C$1208,MATCH($AQ600,'2_IMPORTAR_EJECUCION'!$J$9:$J$1208,0)),""),'CAT_ESTADOS_ERP'!$A$4:$A$7,0)),"Pendiente"))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J600="","",IFERROR(INDEX('CALENDARIO'!$C$15:$C$214,MATCH(TEXT($J600,"yyyy-mm-dd")&amp;"|"&amp;$V600&amp;"|"&amp;$W600,'CALENDARIO'!$G$15:$G$214,0)),IFERROR(INDEX('CALENDARIO'!$C$15:$C$214,MATCH(TEXT($J600,"yyyy-mm-dd")&amp;"|"&amp;$V600&amp;"|",'CALENDARIO'!$G$15:$G$214,0)),IFERROR(INDEX('CALENDARIO'!$C$15:$C$214,MATCH(TEXT($J600,"yyyy-mm-dd")&amp;"||",'CALENDARIO'!$G$15:$G$214,0)),INDEX(patronHabil,WEEKDAY($J600,2))))))</f>
        <v/>
      </c>
      <c r="T600" s="3">
        <f>IF($I600="","",IFERROR(INDEX('CAT_TIPOS_OT'!$C$4:$C$7,MATCH($I600,'CAT_TIPOS_OT'!$A$4:$A$7,0)),"sin_clasificar"))</f>
        <v/>
      </c>
      <c r="U600" s="3">
        <f>IF($F600="","",IFERROR(INDEX('CAT_CENTROS_COSTO'!$F$4:$F$13,MATCH($F600,'CAT_CENTROS_COSTO'!$A$4:$A$13,0)),"(sin catálogo)"))</f>
        <v/>
      </c>
      <c r="V600" s="3">
        <f>IF($F600="","",IFERROR(INDEX('CAT_CENTROS_COSTO'!$D$4:$D$13,MATCH($F600,'CAT_CENTROS_COSTO'!$A$4:$A$13,0)),"(sin catálogo)"))</f>
        <v/>
      </c>
      <c r="W600" s="3">
        <f>IF($F600="","",IF((IFERROR(INDEX('CAT_CENTROS_COSTO'!$E$4:$E$13,MATCH($F600,'CAT_CENTROS_COSTO'!$A$4:$A$13,0)),""))&lt;&gt;"",IFERROR(INDEX('CAT_CENTROS_COSTO'!$E$4:$E$13,MATCH($F600,'CAT_CENTROS_COSTO'!$A$4:$A$13,0)),""),$V600))</f>
        <v/>
      </c>
      <c r="X600" s="3">
        <f>IF($F600="","",IFERROR(INDEX('CAT_CENTROS_COSTO'!$G$4:$G$13,MATCH($F600,'CAT_CENTROS_COSTO'!$A$4:$A$13,0)),"(sin catálogo)"))</f>
        <v/>
      </c>
      <c r="Y600" s="3">
        <f>IF($G600="","",IFERROR(INDEX('CAT_PUESTOS'!$B$4:$B$8,MATCH($G600,'CAT_PUESTOS'!$A$4:$A$8,0)),"(sin catálogo)"))</f>
        <v/>
      </c>
      <c r="Z600" s="3">
        <f>IF($H600="","",IFERROR(INDEX('CAT_ACTIVIDADES'!$B$4:$B$8,MATCH($H600,'CAT_ACTIVIDADES'!$A$4:$A$8,0)),"(sin catálogo)"))</f>
        <v/>
      </c>
      <c r="AA600" s="12">
        <f>IF($J600="","",TODAY()-$J600)</f>
        <v/>
      </c>
      <c r="AB600" s="12">
        <f>IF($J600="","",IF($J600&lt;=TODAY(),COUNTIFS(cal_fechas,"&gt;="&amp;$J600,cal_fechas,"&lt;"&amp;TODAY(),cal_habil,"sí"),-COUNTIFS(cal_fechas,"&gt;="&amp;TODAY(),cal_fechas,"&lt;"&amp;$J600,cal_habil,"sí")))</f>
        <v/>
      </c>
      <c r="AC600" s="3">
        <f>IF($AB600="","",IF($AB600&lt;0,"FUTURO",IF($AB600&gt;p_dias_backlog_max,"BACKLOG","MES CORRIENTE")))</f>
        <v/>
      </c>
      <c r="AD600" s="3">
        <f>IF($AB600="",FALSE,AND($AB600&gt;p_dias_backlog_min,$AB600&lt;=p_dias_backlog_max))</f>
        <v/>
      </c>
      <c r="AE600" s="6" t="n"/>
      <c r="AF600" s="3">
        <f>IF($AE600="","",IF((IFERROR(INDEX('ASIGNACIONES'!$F$4:$F$339,MATCH($O600&amp;"|"&amp;$R600&amp;"|"&amp;$AE600,'ASIGNACIONES'!$J$4:$J$339,0)),""))=0,"",IFERROR(INDEX('ASIGNACIONES'!$F$4:$F$339,MATCH($O600&amp;"|"&amp;$R600&amp;"|"&amp;$AE600,'ASIGNACIONES'!$J$4:$J$339,0)),"")))</f>
        <v/>
      </c>
      <c r="AG600" s="13">
        <f>IF($AE600="","",SUMIFS('ORDENES'!$M$4:$M$1203,'ORDENES'!$AE$4:$AE$1203,$AE600,'ORDENES'!$O$4:$O$1203,$O600,'ORDENES'!$R$4:$R$1203,$R600))</f>
        <v/>
      </c>
      <c r="AH600" s="13">
        <f>IF($AG600="","",p_factor_productividad*IFERROR(INDEX('ASIGNACIONES'!$I$4:$I$339,MATCH($O600&amp;"|"&amp;$R600&amp;"|"&amp;$AE600,'ASIGNACIONES'!$J$4:$J$339,0)),0)-$AG600)</f>
        <v/>
      </c>
      <c r="AI600" s="10">
        <f>IF($A600="","",IFERROR(INDEX('2_IMPORTAR_EJECUCION'!$F$9:$F$1208,MATCH($AQ600,'2_IMPORTAR_EJECUCION'!$J$9:$J$1208,0)),0))</f>
        <v/>
      </c>
      <c r="AJ600" s="10">
        <f>IF($A600="","",MAX(0,IFERROR(INDEX('2_IMPORTAR_EJECUCION'!$H$9:$H$1208,MATCH($AQ600,'2_IMPORTAR_EJECUCION'!$J$9:$J$1208,0)),0)-$AI600))</f>
        <v/>
      </c>
      <c r="AK600" s="10">
        <f>IF($A600="","",$AI600+$AJ600)</f>
        <v/>
      </c>
      <c r="AL600" s="6" t="n"/>
      <c r="AM600" s="6" t="n"/>
      <c r="AN600" s="6" t="n"/>
      <c r="AO600" s="3">
        <f>IF($AN600="","",HYPERLINK(p_ruta_base_checklists&amp;$AN600,"abrir"))</f>
        <v/>
      </c>
      <c r="AP600" s="6" t="n"/>
      <c r="AQ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IF($A601="","",IFERROR(INDEX('AJUSTES'!$B$4:$B$303,MATCH($AQ601,'AJUSTES'!$A$4:$A$303,0)),IF($K601="","",$K601)))</f>
        <v/>
      </c>
      <c r="N601" s="3">
        <f>IF($A601="","",IFERROR(INDEX('CAT_ESTADOS_ERP'!$B$4:$B$7,MATCH(IFERROR(INDEX('2_IMPORTAR_EJECUCION'!$C$9:$C$1208,MATCH($AQ601,'2_IMPORTAR_EJECUCION'!$J$9:$J$1208,0)),""),'CAT_ESTADOS_ERP'!$A$4:$A$7,0)),"Pendiente"))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J601="","",IFERROR(INDEX('CALENDARIO'!$C$15:$C$214,MATCH(TEXT($J601,"yyyy-mm-dd")&amp;"|"&amp;$V601&amp;"|"&amp;$W601,'CALENDARIO'!$G$15:$G$214,0)),IFERROR(INDEX('CALENDARIO'!$C$15:$C$214,MATCH(TEXT($J601,"yyyy-mm-dd")&amp;"|"&amp;$V601&amp;"|",'CALENDARIO'!$G$15:$G$214,0)),IFERROR(INDEX('CALENDARIO'!$C$15:$C$214,MATCH(TEXT($J601,"yyyy-mm-dd")&amp;"||",'CALENDARIO'!$G$15:$G$214,0)),INDEX(patronHabil,WEEKDAY($J601,2))))))</f>
        <v/>
      </c>
      <c r="T601" s="3">
        <f>IF($I601="","",IFERROR(INDEX('CAT_TIPOS_OT'!$C$4:$C$7,MATCH($I601,'CAT_TIPOS_OT'!$A$4:$A$7,0)),"sin_clasificar"))</f>
        <v/>
      </c>
      <c r="U601" s="3">
        <f>IF($F601="","",IFERROR(INDEX('CAT_CENTROS_COSTO'!$F$4:$F$13,MATCH($F601,'CAT_CENTROS_COSTO'!$A$4:$A$13,0)),"(sin catálogo)"))</f>
        <v/>
      </c>
      <c r="V601" s="3">
        <f>IF($F601="","",IFERROR(INDEX('CAT_CENTROS_COSTO'!$D$4:$D$13,MATCH($F601,'CAT_CENTROS_COSTO'!$A$4:$A$13,0)),"(sin catálogo)"))</f>
        <v/>
      </c>
      <c r="W601" s="3">
        <f>IF($F601="","",IF((IFERROR(INDEX('CAT_CENTROS_COSTO'!$E$4:$E$13,MATCH($F601,'CAT_CENTROS_COSTO'!$A$4:$A$13,0)),""))&lt;&gt;"",IFERROR(INDEX('CAT_CENTROS_COSTO'!$E$4:$E$13,MATCH($F601,'CAT_CENTROS_COSTO'!$A$4:$A$13,0)),""),$V601))</f>
        <v/>
      </c>
      <c r="X601" s="3">
        <f>IF($F601="","",IFERROR(INDEX('CAT_CENTROS_COSTO'!$G$4:$G$13,MATCH($F601,'CAT_CENTROS_COSTO'!$A$4:$A$13,0)),"(sin catálogo)"))</f>
        <v/>
      </c>
      <c r="Y601" s="3">
        <f>IF($G601="","",IFERROR(INDEX('CAT_PUESTOS'!$B$4:$B$8,MATCH($G601,'CAT_PUESTOS'!$A$4:$A$8,0)),"(sin catálogo)"))</f>
        <v/>
      </c>
      <c r="Z601" s="3">
        <f>IF($H601="","",IFERROR(INDEX('CAT_ACTIVIDADES'!$B$4:$B$8,MATCH($H601,'CAT_ACTIVIDADES'!$A$4:$A$8,0)),"(sin catálogo)"))</f>
        <v/>
      </c>
      <c r="AA601" s="12">
        <f>IF($J601="","",TODAY()-$J601)</f>
        <v/>
      </c>
      <c r="AB601" s="12">
        <f>IF($J601="","",IF($J601&lt;=TODAY(),COUNTIFS(cal_fechas,"&gt;="&amp;$J601,cal_fechas,"&lt;"&amp;TODAY(),cal_habil,"sí"),-COUNTIFS(cal_fechas,"&gt;="&amp;TODAY(),cal_fechas,"&lt;"&amp;$J601,cal_habil,"sí")))</f>
        <v/>
      </c>
      <c r="AC601" s="3">
        <f>IF($AB601="","",IF($AB601&lt;0,"FUTURO",IF($AB601&gt;p_dias_backlog_max,"BACKLOG","MES CORRIENTE")))</f>
        <v/>
      </c>
      <c r="AD601" s="3">
        <f>IF($AB601="",FALSE,AND($AB601&gt;p_dias_backlog_min,$AB601&lt;=p_dias_backlog_max))</f>
        <v/>
      </c>
      <c r="AE601" s="6" t="n"/>
      <c r="AF601" s="3">
        <f>IF($AE601="","",IF((IFERROR(INDEX('ASIGNACIONES'!$F$4:$F$339,MATCH($O601&amp;"|"&amp;$R601&amp;"|"&amp;$AE601,'ASIGNACIONES'!$J$4:$J$339,0)),""))=0,"",IFERROR(INDEX('ASIGNACIONES'!$F$4:$F$339,MATCH($O601&amp;"|"&amp;$R601&amp;"|"&amp;$AE601,'ASIGNACIONES'!$J$4:$J$339,0)),"")))</f>
        <v/>
      </c>
      <c r="AG601" s="13">
        <f>IF($AE601="","",SUMIFS('ORDENES'!$M$4:$M$1203,'ORDENES'!$AE$4:$AE$1203,$AE601,'ORDENES'!$O$4:$O$1203,$O601,'ORDENES'!$R$4:$R$1203,$R601))</f>
        <v/>
      </c>
      <c r="AH601" s="13">
        <f>IF($AG601="","",p_factor_productividad*IFERROR(INDEX('ASIGNACIONES'!$I$4:$I$339,MATCH($O601&amp;"|"&amp;$R601&amp;"|"&amp;$AE601,'ASIGNACIONES'!$J$4:$J$339,0)),0)-$AG601)</f>
        <v/>
      </c>
      <c r="AI601" s="10">
        <f>IF($A601="","",IFERROR(INDEX('2_IMPORTAR_EJECUCION'!$F$9:$F$1208,MATCH($AQ601,'2_IMPORTAR_EJECUCION'!$J$9:$J$1208,0)),0))</f>
        <v/>
      </c>
      <c r="AJ601" s="10">
        <f>IF($A601="","",MAX(0,IFERROR(INDEX('2_IMPORTAR_EJECUCION'!$H$9:$H$1208,MATCH($AQ601,'2_IMPORTAR_EJECUCION'!$J$9:$J$1208,0)),0)-$AI601))</f>
        <v/>
      </c>
      <c r="AK601" s="10">
        <f>IF($A601="","",$AI601+$AJ601)</f>
        <v/>
      </c>
      <c r="AL601" s="6" t="n"/>
      <c r="AM601" s="6" t="n"/>
      <c r="AN601" s="6" t="n"/>
      <c r="AO601" s="3">
        <f>IF($AN601="","",HYPERLINK(p_ruta_base_checklists&amp;$AN601,"abrir"))</f>
        <v/>
      </c>
      <c r="AP601" s="6" t="n"/>
      <c r="AQ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IF($A602="","",IFERROR(INDEX('AJUSTES'!$B$4:$B$303,MATCH($AQ602,'AJUSTES'!$A$4:$A$303,0)),IF($K602="","",$K602)))</f>
        <v/>
      </c>
      <c r="N602" s="3">
        <f>IF($A602="","",IFERROR(INDEX('CAT_ESTADOS_ERP'!$B$4:$B$7,MATCH(IFERROR(INDEX('2_IMPORTAR_EJECUCION'!$C$9:$C$1208,MATCH($AQ602,'2_IMPORTAR_EJECUCION'!$J$9:$J$1208,0)),""),'CAT_ESTADOS_ERP'!$A$4:$A$7,0)),"Pendiente"))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J602="","",IFERROR(INDEX('CALENDARIO'!$C$15:$C$214,MATCH(TEXT($J602,"yyyy-mm-dd")&amp;"|"&amp;$V602&amp;"|"&amp;$W602,'CALENDARIO'!$G$15:$G$214,0)),IFERROR(INDEX('CALENDARIO'!$C$15:$C$214,MATCH(TEXT($J602,"yyyy-mm-dd")&amp;"|"&amp;$V602&amp;"|",'CALENDARIO'!$G$15:$G$214,0)),IFERROR(INDEX('CALENDARIO'!$C$15:$C$214,MATCH(TEXT($J602,"yyyy-mm-dd")&amp;"||",'CALENDARIO'!$G$15:$G$214,0)),INDEX(patronHabil,WEEKDAY($J602,2))))))</f>
        <v/>
      </c>
      <c r="T602" s="3">
        <f>IF($I602="","",IFERROR(INDEX('CAT_TIPOS_OT'!$C$4:$C$7,MATCH($I602,'CAT_TIPOS_OT'!$A$4:$A$7,0)),"sin_clasificar"))</f>
        <v/>
      </c>
      <c r="U602" s="3">
        <f>IF($F602="","",IFERROR(INDEX('CAT_CENTROS_COSTO'!$F$4:$F$13,MATCH($F602,'CAT_CENTROS_COSTO'!$A$4:$A$13,0)),"(sin catálogo)"))</f>
        <v/>
      </c>
      <c r="V602" s="3">
        <f>IF($F602="","",IFERROR(INDEX('CAT_CENTROS_COSTO'!$D$4:$D$13,MATCH($F602,'CAT_CENTROS_COSTO'!$A$4:$A$13,0)),"(sin catálogo)"))</f>
        <v/>
      </c>
      <c r="W602" s="3">
        <f>IF($F602="","",IF((IFERROR(INDEX('CAT_CENTROS_COSTO'!$E$4:$E$13,MATCH($F602,'CAT_CENTROS_COSTO'!$A$4:$A$13,0)),""))&lt;&gt;"",IFERROR(INDEX('CAT_CENTROS_COSTO'!$E$4:$E$13,MATCH($F602,'CAT_CENTROS_COSTO'!$A$4:$A$13,0)),""),$V602))</f>
        <v/>
      </c>
      <c r="X602" s="3">
        <f>IF($F602="","",IFERROR(INDEX('CAT_CENTROS_COSTO'!$G$4:$G$13,MATCH($F602,'CAT_CENTROS_COSTO'!$A$4:$A$13,0)),"(sin catálogo)"))</f>
        <v/>
      </c>
      <c r="Y602" s="3">
        <f>IF($G602="","",IFERROR(INDEX('CAT_PUESTOS'!$B$4:$B$8,MATCH($G602,'CAT_PUESTOS'!$A$4:$A$8,0)),"(sin catálogo)"))</f>
        <v/>
      </c>
      <c r="Z602" s="3">
        <f>IF($H602="","",IFERROR(INDEX('CAT_ACTIVIDADES'!$B$4:$B$8,MATCH($H602,'CAT_ACTIVIDADES'!$A$4:$A$8,0)),"(sin catálogo)"))</f>
        <v/>
      </c>
      <c r="AA602" s="12">
        <f>IF($J602="","",TODAY()-$J602)</f>
        <v/>
      </c>
      <c r="AB602" s="12">
        <f>IF($J602="","",IF($J602&lt;=TODAY(),COUNTIFS(cal_fechas,"&gt;="&amp;$J602,cal_fechas,"&lt;"&amp;TODAY(),cal_habil,"sí"),-COUNTIFS(cal_fechas,"&gt;="&amp;TODAY(),cal_fechas,"&lt;"&amp;$J602,cal_habil,"sí")))</f>
        <v/>
      </c>
      <c r="AC602" s="3">
        <f>IF($AB602="","",IF($AB602&lt;0,"FUTURO",IF($AB602&gt;p_dias_backlog_max,"BACKLOG","MES CORRIENTE")))</f>
        <v/>
      </c>
      <c r="AD602" s="3">
        <f>IF($AB602="",FALSE,AND($AB602&gt;p_dias_backlog_min,$AB602&lt;=p_dias_backlog_max))</f>
        <v/>
      </c>
      <c r="AE602" s="6" t="n"/>
      <c r="AF602" s="3">
        <f>IF($AE602="","",IF((IFERROR(INDEX('ASIGNACIONES'!$F$4:$F$339,MATCH($O602&amp;"|"&amp;$R602&amp;"|"&amp;$AE602,'ASIGNACIONES'!$J$4:$J$339,0)),""))=0,"",IFERROR(INDEX('ASIGNACIONES'!$F$4:$F$339,MATCH($O602&amp;"|"&amp;$R602&amp;"|"&amp;$AE602,'ASIGNACIONES'!$J$4:$J$339,0)),"")))</f>
        <v/>
      </c>
      <c r="AG602" s="13">
        <f>IF($AE602="","",SUMIFS('ORDENES'!$M$4:$M$1203,'ORDENES'!$AE$4:$AE$1203,$AE602,'ORDENES'!$O$4:$O$1203,$O602,'ORDENES'!$R$4:$R$1203,$R602))</f>
        <v/>
      </c>
      <c r="AH602" s="13">
        <f>IF($AG602="","",p_factor_productividad*IFERROR(INDEX('ASIGNACIONES'!$I$4:$I$339,MATCH($O602&amp;"|"&amp;$R602&amp;"|"&amp;$AE602,'ASIGNACIONES'!$J$4:$J$339,0)),0)-$AG602)</f>
        <v/>
      </c>
      <c r="AI602" s="10">
        <f>IF($A602="","",IFERROR(INDEX('2_IMPORTAR_EJECUCION'!$F$9:$F$1208,MATCH($AQ602,'2_IMPORTAR_EJECUCION'!$J$9:$J$1208,0)),0))</f>
        <v/>
      </c>
      <c r="AJ602" s="10">
        <f>IF($A602="","",MAX(0,IFERROR(INDEX('2_IMPORTAR_EJECUCION'!$H$9:$H$1208,MATCH($AQ602,'2_IMPORTAR_EJECUCION'!$J$9:$J$1208,0)),0)-$AI602))</f>
        <v/>
      </c>
      <c r="AK602" s="10">
        <f>IF($A602="","",$AI602+$AJ602)</f>
        <v/>
      </c>
      <c r="AL602" s="6" t="n"/>
      <c r="AM602" s="6" t="n"/>
      <c r="AN602" s="6" t="n"/>
      <c r="AO602" s="3">
        <f>IF($AN602="","",HYPERLINK(p_ruta_base_checklists&amp;$AN602,"abrir"))</f>
        <v/>
      </c>
      <c r="AP602" s="6" t="n"/>
      <c r="AQ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IF($A603="","",IFERROR(INDEX('AJUSTES'!$B$4:$B$303,MATCH($AQ603,'AJUSTES'!$A$4:$A$303,0)),IF($K603="","",$K603)))</f>
        <v/>
      </c>
      <c r="N603" s="3">
        <f>IF($A603="","",IFERROR(INDEX('CAT_ESTADOS_ERP'!$B$4:$B$7,MATCH(IFERROR(INDEX('2_IMPORTAR_EJECUCION'!$C$9:$C$1208,MATCH($AQ603,'2_IMPORTAR_EJECUCION'!$J$9:$J$1208,0)),""),'CAT_ESTADOS_ERP'!$A$4:$A$7,0)),"Pendiente"))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J603="","",IFERROR(INDEX('CALENDARIO'!$C$15:$C$214,MATCH(TEXT($J603,"yyyy-mm-dd")&amp;"|"&amp;$V603&amp;"|"&amp;$W603,'CALENDARIO'!$G$15:$G$214,0)),IFERROR(INDEX('CALENDARIO'!$C$15:$C$214,MATCH(TEXT($J603,"yyyy-mm-dd")&amp;"|"&amp;$V603&amp;"|",'CALENDARIO'!$G$15:$G$214,0)),IFERROR(INDEX('CALENDARIO'!$C$15:$C$214,MATCH(TEXT($J603,"yyyy-mm-dd")&amp;"||",'CALENDARIO'!$G$15:$G$214,0)),INDEX(patronHabil,WEEKDAY($J603,2))))))</f>
        <v/>
      </c>
      <c r="T603" s="3">
        <f>IF($I603="","",IFERROR(INDEX('CAT_TIPOS_OT'!$C$4:$C$7,MATCH($I603,'CAT_TIPOS_OT'!$A$4:$A$7,0)),"sin_clasificar"))</f>
        <v/>
      </c>
      <c r="U603" s="3">
        <f>IF($F603="","",IFERROR(INDEX('CAT_CENTROS_COSTO'!$F$4:$F$13,MATCH($F603,'CAT_CENTROS_COSTO'!$A$4:$A$13,0)),"(sin catálogo)"))</f>
        <v/>
      </c>
      <c r="V603" s="3">
        <f>IF($F603="","",IFERROR(INDEX('CAT_CENTROS_COSTO'!$D$4:$D$13,MATCH($F603,'CAT_CENTROS_COSTO'!$A$4:$A$13,0)),"(sin catálogo)"))</f>
        <v/>
      </c>
      <c r="W603" s="3">
        <f>IF($F603="","",IF((IFERROR(INDEX('CAT_CENTROS_COSTO'!$E$4:$E$13,MATCH($F603,'CAT_CENTROS_COSTO'!$A$4:$A$13,0)),""))&lt;&gt;"",IFERROR(INDEX('CAT_CENTROS_COSTO'!$E$4:$E$13,MATCH($F603,'CAT_CENTROS_COSTO'!$A$4:$A$13,0)),""),$V603))</f>
        <v/>
      </c>
      <c r="X603" s="3">
        <f>IF($F603="","",IFERROR(INDEX('CAT_CENTROS_COSTO'!$G$4:$G$13,MATCH($F603,'CAT_CENTROS_COSTO'!$A$4:$A$13,0)),"(sin catálogo)"))</f>
        <v/>
      </c>
      <c r="Y603" s="3">
        <f>IF($G603="","",IFERROR(INDEX('CAT_PUESTOS'!$B$4:$B$8,MATCH($G603,'CAT_PUESTOS'!$A$4:$A$8,0)),"(sin catálogo)"))</f>
        <v/>
      </c>
      <c r="Z603" s="3">
        <f>IF($H603="","",IFERROR(INDEX('CAT_ACTIVIDADES'!$B$4:$B$8,MATCH($H603,'CAT_ACTIVIDADES'!$A$4:$A$8,0)),"(sin catálogo)"))</f>
        <v/>
      </c>
      <c r="AA603" s="12">
        <f>IF($J603="","",TODAY()-$J603)</f>
        <v/>
      </c>
      <c r="AB603" s="12">
        <f>IF($J603="","",IF($J603&lt;=TODAY(),COUNTIFS(cal_fechas,"&gt;="&amp;$J603,cal_fechas,"&lt;"&amp;TODAY(),cal_habil,"sí"),-COUNTIFS(cal_fechas,"&gt;="&amp;TODAY(),cal_fechas,"&lt;"&amp;$J603,cal_habil,"sí")))</f>
        <v/>
      </c>
      <c r="AC603" s="3">
        <f>IF($AB603="","",IF($AB603&lt;0,"FUTURO",IF($AB603&gt;p_dias_backlog_max,"BACKLOG","MES CORRIENTE")))</f>
        <v/>
      </c>
      <c r="AD603" s="3">
        <f>IF($AB603="",FALSE,AND($AB603&gt;p_dias_backlog_min,$AB603&lt;=p_dias_backlog_max))</f>
        <v/>
      </c>
      <c r="AE603" s="6" t="n"/>
      <c r="AF603" s="3">
        <f>IF($AE603="","",IF((IFERROR(INDEX('ASIGNACIONES'!$F$4:$F$339,MATCH($O603&amp;"|"&amp;$R603&amp;"|"&amp;$AE603,'ASIGNACIONES'!$J$4:$J$339,0)),""))=0,"",IFERROR(INDEX('ASIGNACIONES'!$F$4:$F$339,MATCH($O603&amp;"|"&amp;$R603&amp;"|"&amp;$AE603,'ASIGNACIONES'!$J$4:$J$339,0)),"")))</f>
        <v/>
      </c>
      <c r="AG603" s="13">
        <f>IF($AE603="","",SUMIFS('ORDENES'!$M$4:$M$1203,'ORDENES'!$AE$4:$AE$1203,$AE603,'ORDENES'!$O$4:$O$1203,$O603,'ORDENES'!$R$4:$R$1203,$R603))</f>
        <v/>
      </c>
      <c r="AH603" s="13">
        <f>IF($AG603="","",p_factor_productividad*IFERROR(INDEX('ASIGNACIONES'!$I$4:$I$339,MATCH($O603&amp;"|"&amp;$R603&amp;"|"&amp;$AE603,'ASIGNACIONES'!$J$4:$J$339,0)),0)-$AG603)</f>
        <v/>
      </c>
      <c r="AI603" s="10">
        <f>IF($A603="","",IFERROR(INDEX('2_IMPORTAR_EJECUCION'!$F$9:$F$1208,MATCH($AQ603,'2_IMPORTAR_EJECUCION'!$J$9:$J$1208,0)),0))</f>
        <v/>
      </c>
      <c r="AJ603" s="10">
        <f>IF($A603="","",MAX(0,IFERROR(INDEX('2_IMPORTAR_EJECUCION'!$H$9:$H$1208,MATCH($AQ603,'2_IMPORTAR_EJECUCION'!$J$9:$J$1208,0)),0)-$AI603))</f>
        <v/>
      </c>
      <c r="AK603" s="10">
        <f>IF($A603="","",$AI603+$AJ603)</f>
        <v/>
      </c>
      <c r="AL603" s="6" t="n"/>
      <c r="AM603" s="6" t="n"/>
      <c r="AN603" s="6" t="n"/>
      <c r="AO603" s="3">
        <f>IF($AN603="","",HYPERLINK(p_ruta_base_checklists&amp;$AN603,"abrir"))</f>
        <v/>
      </c>
      <c r="AP603" s="6" t="n"/>
      <c r="AQ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IF($A604="","",IFERROR(INDEX('AJUSTES'!$B$4:$B$303,MATCH($AQ604,'AJUSTES'!$A$4:$A$303,0)),IF($K604="","",$K604)))</f>
        <v/>
      </c>
      <c r="N604" s="3">
        <f>IF($A604="","",IFERROR(INDEX('CAT_ESTADOS_ERP'!$B$4:$B$7,MATCH(IFERROR(INDEX('2_IMPORTAR_EJECUCION'!$C$9:$C$1208,MATCH($AQ604,'2_IMPORTAR_EJECUCION'!$J$9:$J$1208,0)),""),'CAT_ESTADOS_ERP'!$A$4:$A$7,0)),"Pendiente"))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J604="","",IFERROR(INDEX('CALENDARIO'!$C$15:$C$214,MATCH(TEXT($J604,"yyyy-mm-dd")&amp;"|"&amp;$V604&amp;"|"&amp;$W604,'CALENDARIO'!$G$15:$G$214,0)),IFERROR(INDEX('CALENDARIO'!$C$15:$C$214,MATCH(TEXT($J604,"yyyy-mm-dd")&amp;"|"&amp;$V604&amp;"|",'CALENDARIO'!$G$15:$G$214,0)),IFERROR(INDEX('CALENDARIO'!$C$15:$C$214,MATCH(TEXT($J604,"yyyy-mm-dd")&amp;"||",'CALENDARIO'!$G$15:$G$214,0)),INDEX(patronHabil,WEEKDAY($J604,2))))))</f>
        <v/>
      </c>
      <c r="T604" s="3">
        <f>IF($I604="","",IFERROR(INDEX('CAT_TIPOS_OT'!$C$4:$C$7,MATCH($I604,'CAT_TIPOS_OT'!$A$4:$A$7,0)),"sin_clasificar"))</f>
        <v/>
      </c>
      <c r="U604" s="3">
        <f>IF($F604="","",IFERROR(INDEX('CAT_CENTROS_COSTO'!$F$4:$F$13,MATCH($F604,'CAT_CENTROS_COSTO'!$A$4:$A$13,0)),"(sin catálogo)"))</f>
        <v/>
      </c>
      <c r="V604" s="3">
        <f>IF($F604="","",IFERROR(INDEX('CAT_CENTROS_COSTO'!$D$4:$D$13,MATCH($F604,'CAT_CENTROS_COSTO'!$A$4:$A$13,0)),"(sin catálogo)"))</f>
        <v/>
      </c>
      <c r="W604" s="3">
        <f>IF($F604="","",IF((IFERROR(INDEX('CAT_CENTROS_COSTO'!$E$4:$E$13,MATCH($F604,'CAT_CENTROS_COSTO'!$A$4:$A$13,0)),""))&lt;&gt;"",IFERROR(INDEX('CAT_CENTROS_COSTO'!$E$4:$E$13,MATCH($F604,'CAT_CENTROS_COSTO'!$A$4:$A$13,0)),""),$V604))</f>
        <v/>
      </c>
      <c r="X604" s="3">
        <f>IF($F604="","",IFERROR(INDEX('CAT_CENTROS_COSTO'!$G$4:$G$13,MATCH($F604,'CAT_CENTROS_COSTO'!$A$4:$A$13,0)),"(sin catálogo)"))</f>
        <v/>
      </c>
      <c r="Y604" s="3">
        <f>IF($G604="","",IFERROR(INDEX('CAT_PUESTOS'!$B$4:$B$8,MATCH($G604,'CAT_PUESTOS'!$A$4:$A$8,0)),"(sin catálogo)"))</f>
        <v/>
      </c>
      <c r="Z604" s="3">
        <f>IF($H604="","",IFERROR(INDEX('CAT_ACTIVIDADES'!$B$4:$B$8,MATCH($H604,'CAT_ACTIVIDADES'!$A$4:$A$8,0)),"(sin catálogo)"))</f>
        <v/>
      </c>
      <c r="AA604" s="12">
        <f>IF($J604="","",TODAY()-$J604)</f>
        <v/>
      </c>
      <c r="AB604" s="12">
        <f>IF($J604="","",IF($J604&lt;=TODAY(),COUNTIFS(cal_fechas,"&gt;="&amp;$J604,cal_fechas,"&lt;"&amp;TODAY(),cal_habil,"sí"),-COUNTIFS(cal_fechas,"&gt;="&amp;TODAY(),cal_fechas,"&lt;"&amp;$J604,cal_habil,"sí")))</f>
        <v/>
      </c>
      <c r="AC604" s="3">
        <f>IF($AB604="","",IF($AB604&lt;0,"FUTURO",IF($AB604&gt;p_dias_backlog_max,"BACKLOG","MES CORRIENTE")))</f>
        <v/>
      </c>
      <c r="AD604" s="3">
        <f>IF($AB604="",FALSE,AND($AB604&gt;p_dias_backlog_min,$AB604&lt;=p_dias_backlog_max))</f>
        <v/>
      </c>
      <c r="AE604" s="6" t="n"/>
      <c r="AF604" s="3">
        <f>IF($AE604="","",IF((IFERROR(INDEX('ASIGNACIONES'!$F$4:$F$339,MATCH($O604&amp;"|"&amp;$R604&amp;"|"&amp;$AE604,'ASIGNACIONES'!$J$4:$J$339,0)),""))=0,"",IFERROR(INDEX('ASIGNACIONES'!$F$4:$F$339,MATCH($O604&amp;"|"&amp;$R604&amp;"|"&amp;$AE604,'ASIGNACIONES'!$J$4:$J$339,0)),"")))</f>
        <v/>
      </c>
      <c r="AG604" s="13">
        <f>IF($AE604="","",SUMIFS('ORDENES'!$M$4:$M$1203,'ORDENES'!$AE$4:$AE$1203,$AE604,'ORDENES'!$O$4:$O$1203,$O604,'ORDENES'!$R$4:$R$1203,$R604))</f>
        <v/>
      </c>
      <c r="AH604" s="13">
        <f>IF($AG604="","",p_factor_productividad*IFERROR(INDEX('ASIGNACIONES'!$I$4:$I$339,MATCH($O604&amp;"|"&amp;$R604&amp;"|"&amp;$AE604,'ASIGNACIONES'!$J$4:$J$339,0)),0)-$AG604)</f>
        <v/>
      </c>
      <c r="AI604" s="10">
        <f>IF($A604="","",IFERROR(INDEX('2_IMPORTAR_EJECUCION'!$F$9:$F$1208,MATCH($AQ604,'2_IMPORTAR_EJECUCION'!$J$9:$J$1208,0)),0))</f>
        <v/>
      </c>
      <c r="AJ604" s="10">
        <f>IF($A604="","",MAX(0,IFERROR(INDEX('2_IMPORTAR_EJECUCION'!$H$9:$H$1208,MATCH($AQ604,'2_IMPORTAR_EJECUCION'!$J$9:$J$1208,0)),0)-$AI604))</f>
        <v/>
      </c>
      <c r="AK604" s="10">
        <f>IF($A604="","",$AI604+$AJ604)</f>
        <v/>
      </c>
      <c r="AL604" s="6" t="n"/>
      <c r="AM604" s="6" t="n"/>
      <c r="AN604" s="6" t="n"/>
      <c r="AO604" s="3">
        <f>IF($AN604="","",HYPERLINK(p_ruta_base_checklists&amp;$AN604,"abrir"))</f>
        <v/>
      </c>
      <c r="AP604" s="6" t="n"/>
      <c r="AQ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IF($A605="","",IFERROR(INDEX('AJUSTES'!$B$4:$B$303,MATCH($AQ605,'AJUSTES'!$A$4:$A$303,0)),IF($K605="","",$K605)))</f>
        <v/>
      </c>
      <c r="N605" s="3">
        <f>IF($A605="","",IFERROR(INDEX('CAT_ESTADOS_ERP'!$B$4:$B$7,MATCH(IFERROR(INDEX('2_IMPORTAR_EJECUCION'!$C$9:$C$1208,MATCH($AQ605,'2_IMPORTAR_EJECUCION'!$J$9:$J$1208,0)),""),'CAT_ESTADOS_ERP'!$A$4:$A$7,0)),"Pendiente"))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J605="","",IFERROR(INDEX('CALENDARIO'!$C$15:$C$214,MATCH(TEXT($J605,"yyyy-mm-dd")&amp;"|"&amp;$V605&amp;"|"&amp;$W605,'CALENDARIO'!$G$15:$G$214,0)),IFERROR(INDEX('CALENDARIO'!$C$15:$C$214,MATCH(TEXT($J605,"yyyy-mm-dd")&amp;"|"&amp;$V605&amp;"|",'CALENDARIO'!$G$15:$G$214,0)),IFERROR(INDEX('CALENDARIO'!$C$15:$C$214,MATCH(TEXT($J605,"yyyy-mm-dd")&amp;"||",'CALENDARIO'!$G$15:$G$214,0)),INDEX(patronHabil,WEEKDAY($J605,2))))))</f>
        <v/>
      </c>
      <c r="T605" s="3">
        <f>IF($I605="","",IFERROR(INDEX('CAT_TIPOS_OT'!$C$4:$C$7,MATCH($I605,'CAT_TIPOS_OT'!$A$4:$A$7,0)),"sin_clasificar"))</f>
        <v/>
      </c>
      <c r="U605" s="3">
        <f>IF($F605="","",IFERROR(INDEX('CAT_CENTROS_COSTO'!$F$4:$F$13,MATCH($F605,'CAT_CENTROS_COSTO'!$A$4:$A$13,0)),"(sin catálogo)"))</f>
        <v/>
      </c>
      <c r="V605" s="3">
        <f>IF($F605="","",IFERROR(INDEX('CAT_CENTROS_COSTO'!$D$4:$D$13,MATCH($F605,'CAT_CENTROS_COSTO'!$A$4:$A$13,0)),"(sin catálogo)"))</f>
        <v/>
      </c>
      <c r="W605" s="3">
        <f>IF($F605="","",IF((IFERROR(INDEX('CAT_CENTROS_COSTO'!$E$4:$E$13,MATCH($F605,'CAT_CENTROS_COSTO'!$A$4:$A$13,0)),""))&lt;&gt;"",IFERROR(INDEX('CAT_CENTROS_COSTO'!$E$4:$E$13,MATCH($F605,'CAT_CENTROS_COSTO'!$A$4:$A$13,0)),""),$V605))</f>
        <v/>
      </c>
      <c r="X605" s="3">
        <f>IF($F605="","",IFERROR(INDEX('CAT_CENTROS_COSTO'!$G$4:$G$13,MATCH($F605,'CAT_CENTROS_COSTO'!$A$4:$A$13,0)),"(sin catálogo)"))</f>
        <v/>
      </c>
      <c r="Y605" s="3">
        <f>IF($G605="","",IFERROR(INDEX('CAT_PUESTOS'!$B$4:$B$8,MATCH($G605,'CAT_PUESTOS'!$A$4:$A$8,0)),"(sin catálogo)"))</f>
        <v/>
      </c>
      <c r="Z605" s="3">
        <f>IF($H605="","",IFERROR(INDEX('CAT_ACTIVIDADES'!$B$4:$B$8,MATCH($H605,'CAT_ACTIVIDADES'!$A$4:$A$8,0)),"(sin catálogo)"))</f>
        <v/>
      </c>
      <c r="AA605" s="12">
        <f>IF($J605="","",TODAY()-$J605)</f>
        <v/>
      </c>
      <c r="AB605" s="12">
        <f>IF($J605="","",IF($J605&lt;=TODAY(),COUNTIFS(cal_fechas,"&gt;="&amp;$J605,cal_fechas,"&lt;"&amp;TODAY(),cal_habil,"sí"),-COUNTIFS(cal_fechas,"&gt;="&amp;TODAY(),cal_fechas,"&lt;"&amp;$J605,cal_habil,"sí")))</f>
        <v/>
      </c>
      <c r="AC605" s="3">
        <f>IF($AB605="","",IF($AB605&lt;0,"FUTURO",IF($AB605&gt;p_dias_backlog_max,"BACKLOG","MES CORRIENTE")))</f>
        <v/>
      </c>
      <c r="AD605" s="3">
        <f>IF($AB605="",FALSE,AND($AB605&gt;p_dias_backlog_min,$AB605&lt;=p_dias_backlog_max))</f>
        <v/>
      </c>
      <c r="AE605" s="6" t="n"/>
      <c r="AF605" s="3">
        <f>IF($AE605="","",IF((IFERROR(INDEX('ASIGNACIONES'!$F$4:$F$339,MATCH($O605&amp;"|"&amp;$R605&amp;"|"&amp;$AE605,'ASIGNACIONES'!$J$4:$J$339,0)),""))=0,"",IFERROR(INDEX('ASIGNACIONES'!$F$4:$F$339,MATCH($O605&amp;"|"&amp;$R605&amp;"|"&amp;$AE605,'ASIGNACIONES'!$J$4:$J$339,0)),"")))</f>
        <v/>
      </c>
      <c r="AG605" s="13">
        <f>IF($AE605="","",SUMIFS('ORDENES'!$M$4:$M$1203,'ORDENES'!$AE$4:$AE$1203,$AE605,'ORDENES'!$O$4:$O$1203,$O605,'ORDENES'!$R$4:$R$1203,$R605))</f>
        <v/>
      </c>
      <c r="AH605" s="13">
        <f>IF($AG605="","",p_factor_productividad*IFERROR(INDEX('ASIGNACIONES'!$I$4:$I$339,MATCH($O605&amp;"|"&amp;$R605&amp;"|"&amp;$AE605,'ASIGNACIONES'!$J$4:$J$339,0)),0)-$AG605)</f>
        <v/>
      </c>
      <c r="AI605" s="10">
        <f>IF($A605="","",IFERROR(INDEX('2_IMPORTAR_EJECUCION'!$F$9:$F$1208,MATCH($AQ605,'2_IMPORTAR_EJECUCION'!$J$9:$J$1208,0)),0))</f>
        <v/>
      </c>
      <c r="AJ605" s="10">
        <f>IF($A605="","",MAX(0,IFERROR(INDEX('2_IMPORTAR_EJECUCION'!$H$9:$H$1208,MATCH($AQ605,'2_IMPORTAR_EJECUCION'!$J$9:$J$1208,0)),0)-$AI605))</f>
        <v/>
      </c>
      <c r="AK605" s="10">
        <f>IF($A605="","",$AI605+$AJ605)</f>
        <v/>
      </c>
      <c r="AL605" s="6" t="n"/>
      <c r="AM605" s="6" t="n"/>
      <c r="AN605" s="6" t="n"/>
      <c r="AO605" s="3">
        <f>IF($AN605="","",HYPERLINK(p_ruta_base_checklists&amp;$AN605,"abrir"))</f>
        <v/>
      </c>
      <c r="AP605" s="6" t="n"/>
      <c r="AQ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IF($A606="","",IFERROR(INDEX('AJUSTES'!$B$4:$B$303,MATCH($AQ606,'AJUSTES'!$A$4:$A$303,0)),IF($K606="","",$K606)))</f>
        <v/>
      </c>
      <c r="N606" s="3">
        <f>IF($A606="","",IFERROR(INDEX('CAT_ESTADOS_ERP'!$B$4:$B$7,MATCH(IFERROR(INDEX('2_IMPORTAR_EJECUCION'!$C$9:$C$1208,MATCH($AQ606,'2_IMPORTAR_EJECUCION'!$J$9:$J$1208,0)),""),'CAT_ESTADOS_ERP'!$A$4:$A$7,0)),"Pendiente"))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J606="","",IFERROR(INDEX('CALENDARIO'!$C$15:$C$214,MATCH(TEXT($J606,"yyyy-mm-dd")&amp;"|"&amp;$V606&amp;"|"&amp;$W606,'CALENDARIO'!$G$15:$G$214,0)),IFERROR(INDEX('CALENDARIO'!$C$15:$C$214,MATCH(TEXT($J606,"yyyy-mm-dd")&amp;"|"&amp;$V606&amp;"|",'CALENDARIO'!$G$15:$G$214,0)),IFERROR(INDEX('CALENDARIO'!$C$15:$C$214,MATCH(TEXT($J606,"yyyy-mm-dd")&amp;"||",'CALENDARIO'!$G$15:$G$214,0)),INDEX(patronHabil,WEEKDAY($J606,2))))))</f>
        <v/>
      </c>
      <c r="T606" s="3">
        <f>IF($I606="","",IFERROR(INDEX('CAT_TIPOS_OT'!$C$4:$C$7,MATCH($I606,'CAT_TIPOS_OT'!$A$4:$A$7,0)),"sin_clasificar"))</f>
        <v/>
      </c>
      <c r="U606" s="3">
        <f>IF($F606="","",IFERROR(INDEX('CAT_CENTROS_COSTO'!$F$4:$F$13,MATCH($F606,'CAT_CENTROS_COSTO'!$A$4:$A$13,0)),"(sin catálogo)"))</f>
        <v/>
      </c>
      <c r="V606" s="3">
        <f>IF($F606="","",IFERROR(INDEX('CAT_CENTROS_COSTO'!$D$4:$D$13,MATCH($F606,'CAT_CENTROS_COSTO'!$A$4:$A$13,0)),"(sin catálogo)"))</f>
        <v/>
      </c>
      <c r="W606" s="3">
        <f>IF($F606="","",IF((IFERROR(INDEX('CAT_CENTROS_COSTO'!$E$4:$E$13,MATCH($F606,'CAT_CENTROS_COSTO'!$A$4:$A$13,0)),""))&lt;&gt;"",IFERROR(INDEX('CAT_CENTROS_COSTO'!$E$4:$E$13,MATCH($F606,'CAT_CENTROS_COSTO'!$A$4:$A$13,0)),""),$V606))</f>
        <v/>
      </c>
      <c r="X606" s="3">
        <f>IF($F606="","",IFERROR(INDEX('CAT_CENTROS_COSTO'!$G$4:$G$13,MATCH($F606,'CAT_CENTROS_COSTO'!$A$4:$A$13,0)),"(sin catálogo)"))</f>
        <v/>
      </c>
      <c r="Y606" s="3">
        <f>IF($G606="","",IFERROR(INDEX('CAT_PUESTOS'!$B$4:$B$8,MATCH($G606,'CAT_PUESTOS'!$A$4:$A$8,0)),"(sin catálogo)"))</f>
        <v/>
      </c>
      <c r="Z606" s="3">
        <f>IF($H606="","",IFERROR(INDEX('CAT_ACTIVIDADES'!$B$4:$B$8,MATCH($H606,'CAT_ACTIVIDADES'!$A$4:$A$8,0)),"(sin catálogo)"))</f>
        <v/>
      </c>
      <c r="AA606" s="12">
        <f>IF($J606="","",TODAY()-$J606)</f>
        <v/>
      </c>
      <c r="AB606" s="12">
        <f>IF($J606="","",IF($J606&lt;=TODAY(),COUNTIFS(cal_fechas,"&gt;="&amp;$J606,cal_fechas,"&lt;"&amp;TODAY(),cal_habil,"sí"),-COUNTIFS(cal_fechas,"&gt;="&amp;TODAY(),cal_fechas,"&lt;"&amp;$J606,cal_habil,"sí")))</f>
        <v/>
      </c>
      <c r="AC606" s="3">
        <f>IF($AB606="","",IF($AB606&lt;0,"FUTURO",IF($AB606&gt;p_dias_backlog_max,"BACKLOG","MES CORRIENTE")))</f>
        <v/>
      </c>
      <c r="AD606" s="3">
        <f>IF($AB606="",FALSE,AND($AB606&gt;p_dias_backlog_min,$AB606&lt;=p_dias_backlog_max))</f>
        <v/>
      </c>
      <c r="AE606" s="6" t="n"/>
      <c r="AF606" s="3">
        <f>IF($AE606="","",IF((IFERROR(INDEX('ASIGNACIONES'!$F$4:$F$339,MATCH($O606&amp;"|"&amp;$R606&amp;"|"&amp;$AE606,'ASIGNACIONES'!$J$4:$J$339,0)),""))=0,"",IFERROR(INDEX('ASIGNACIONES'!$F$4:$F$339,MATCH($O606&amp;"|"&amp;$R606&amp;"|"&amp;$AE606,'ASIGNACIONES'!$J$4:$J$339,0)),"")))</f>
        <v/>
      </c>
      <c r="AG606" s="13">
        <f>IF($AE606="","",SUMIFS('ORDENES'!$M$4:$M$1203,'ORDENES'!$AE$4:$AE$1203,$AE606,'ORDENES'!$O$4:$O$1203,$O606,'ORDENES'!$R$4:$R$1203,$R606))</f>
        <v/>
      </c>
      <c r="AH606" s="13">
        <f>IF($AG606="","",p_factor_productividad*IFERROR(INDEX('ASIGNACIONES'!$I$4:$I$339,MATCH($O606&amp;"|"&amp;$R606&amp;"|"&amp;$AE606,'ASIGNACIONES'!$J$4:$J$339,0)),0)-$AG606)</f>
        <v/>
      </c>
      <c r="AI606" s="10">
        <f>IF($A606="","",IFERROR(INDEX('2_IMPORTAR_EJECUCION'!$F$9:$F$1208,MATCH($AQ606,'2_IMPORTAR_EJECUCION'!$J$9:$J$1208,0)),0))</f>
        <v/>
      </c>
      <c r="AJ606" s="10">
        <f>IF($A606="","",MAX(0,IFERROR(INDEX('2_IMPORTAR_EJECUCION'!$H$9:$H$1208,MATCH($AQ606,'2_IMPORTAR_EJECUCION'!$J$9:$J$1208,0)),0)-$AI606))</f>
        <v/>
      </c>
      <c r="AK606" s="10">
        <f>IF($A606="","",$AI606+$AJ606)</f>
        <v/>
      </c>
      <c r="AL606" s="6" t="n"/>
      <c r="AM606" s="6" t="n"/>
      <c r="AN606" s="6" t="n"/>
      <c r="AO606" s="3">
        <f>IF($AN606="","",HYPERLINK(p_ruta_base_checklists&amp;$AN606,"abrir"))</f>
        <v/>
      </c>
      <c r="AP606" s="6" t="n"/>
      <c r="AQ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IF($A607="","",IFERROR(INDEX('AJUSTES'!$B$4:$B$303,MATCH($AQ607,'AJUSTES'!$A$4:$A$303,0)),IF($K607="","",$K607)))</f>
        <v/>
      </c>
      <c r="N607" s="3">
        <f>IF($A607="","",IFERROR(INDEX('CAT_ESTADOS_ERP'!$B$4:$B$7,MATCH(IFERROR(INDEX('2_IMPORTAR_EJECUCION'!$C$9:$C$1208,MATCH($AQ607,'2_IMPORTAR_EJECUCION'!$J$9:$J$1208,0)),""),'CAT_ESTADOS_ERP'!$A$4:$A$7,0)),"Pendiente"))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J607="","",IFERROR(INDEX('CALENDARIO'!$C$15:$C$214,MATCH(TEXT($J607,"yyyy-mm-dd")&amp;"|"&amp;$V607&amp;"|"&amp;$W607,'CALENDARIO'!$G$15:$G$214,0)),IFERROR(INDEX('CALENDARIO'!$C$15:$C$214,MATCH(TEXT($J607,"yyyy-mm-dd")&amp;"|"&amp;$V607&amp;"|",'CALENDARIO'!$G$15:$G$214,0)),IFERROR(INDEX('CALENDARIO'!$C$15:$C$214,MATCH(TEXT($J607,"yyyy-mm-dd")&amp;"||",'CALENDARIO'!$G$15:$G$214,0)),INDEX(patronHabil,WEEKDAY($J607,2))))))</f>
        <v/>
      </c>
      <c r="T607" s="3">
        <f>IF($I607="","",IFERROR(INDEX('CAT_TIPOS_OT'!$C$4:$C$7,MATCH($I607,'CAT_TIPOS_OT'!$A$4:$A$7,0)),"sin_clasificar"))</f>
        <v/>
      </c>
      <c r="U607" s="3">
        <f>IF($F607="","",IFERROR(INDEX('CAT_CENTROS_COSTO'!$F$4:$F$13,MATCH($F607,'CAT_CENTROS_COSTO'!$A$4:$A$13,0)),"(sin catálogo)"))</f>
        <v/>
      </c>
      <c r="V607" s="3">
        <f>IF($F607="","",IFERROR(INDEX('CAT_CENTROS_COSTO'!$D$4:$D$13,MATCH($F607,'CAT_CENTROS_COSTO'!$A$4:$A$13,0)),"(sin catálogo)"))</f>
        <v/>
      </c>
      <c r="W607" s="3">
        <f>IF($F607="","",IF((IFERROR(INDEX('CAT_CENTROS_COSTO'!$E$4:$E$13,MATCH($F607,'CAT_CENTROS_COSTO'!$A$4:$A$13,0)),""))&lt;&gt;"",IFERROR(INDEX('CAT_CENTROS_COSTO'!$E$4:$E$13,MATCH($F607,'CAT_CENTROS_COSTO'!$A$4:$A$13,0)),""),$V607))</f>
        <v/>
      </c>
      <c r="X607" s="3">
        <f>IF($F607="","",IFERROR(INDEX('CAT_CENTROS_COSTO'!$G$4:$G$13,MATCH($F607,'CAT_CENTROS_COSTO'!$A$4:$A$13,0)),"(sin catálogo)"))</f>
        <v/>
      </c>
      <c r="Y607" s="3">
        <f>IF($G607="","",IFERROR(INDEX('CAT_PUESTOS'!$B$4:$B$8,MATCH($G607,'CAT_PUESTOS'!$A$4:$A$8,0)),"(sin catálogo)"))</f>
        <v/>
      </c>
      <c r="Z607" s="3">
        <f>IF($H607="","",IFERROR(INDEX('CAT_ACTIVIDADES'!$B$4:$B$8,MATCH($H607,'CAT_ACTIVIDADES'!$A$4:$A$8,0)),"(sin catálogo)"))</f>
        <v/>
      </c>
      <c r="AA607" s="12">
        <f>IF($J607="","",TODAY()-$J607)</f>
        <v/>
      </c>
      <c r="AB607" s="12">
        <f>IF($J607="","",IF($J607&lt;=TODAY(),COUNTIFS(cal_fechas,"&gt;="&amp;$J607,cal_fechas,"&lt;"&amp;TODAY(),cal_habil,"sí"),-COUNTIFS(cal_fechas,"&gt;="&amp;TODAY(),cal_fechas,"&lt;"&amp;$J607,cal_habil,"sí")))</f>
        <v/>
      </c>
      <c r="AC607" s="3">
        <f>IF($AB607="","",IF($AB607&lt;0,"FUTURO",IF($AB607&gt;p_dias_backlog_max,"BACKLOG","MES CORRIENTE")))</f>
        <v/>
      </c>
      <c r="AD607" s="3">
        <f>IF($AB607="",FALSE,AND($AB607&gt;p_dias_backlog_min,$AB607&lt;=p_dias_backlog_max))</f>
        <v/>
      </c>
      <c r="AE607" s="6" t="n"/>
      <c r="AF607" s="3">
        <f>IF($AE607="","",IF((IFERROR(INDEX('ASIGNACIONES'!$F$4:$F$339,MATCH($O607&amp;"|"&amp;$R607&amp;"|"&amp;$AE607,'ASIGNACIONES'!$J$4:$J$339,0)),""))=0,"",IFERROR(INDEX('ASIGNACIONES'!$F$4:$F$339,MATCH($O607&amp;"|"&amp;$R607&amp;"|"&amp;$AE607,'ASIGNACIONES'!$J$4:$J$339,0)),"")))</f>
        <v/>
      </c>
      <c r="AG607" s="13">
        <f>IF($AE607="","",SUMIFS('ORDENES'!$M$4:$M$1203,'ORDENES'!$AE$4:$AE$1203,$AE607,'ORDENES'!$O$4:$O$1203,$O607,'ORDENES'!$R$4:$R$1203,$R607))</f>
        <v/>
      </c>
      <c r="AH607" s="13">
        <f>IF($AG607="","",p_factor_productividad*IFERROR(INDEX('ASIGNACIONES'!$I$4:$I$339,MATCH($O607&amp;"|"&amp;$R607&amp;"|"&amp;$AE607,'ASIGNACIONES'!$J$4:$J$339,0)),0)-$AG607)</f>
        <v/>
      </c>
      <c r="AI607" s="10">
        <f>IF($A607="","",IFERROR(INDEX('2_IMPORTAR_EJECUCION'!$F$9:$F$1208,MATCH($AQ607,'2_IMPORTAR_EJECUCION'!$J$9:$J$1208,0)),0))</f>
        <v/>
      </c>
      <c r="AJ607" s="10">
        <f>IF($A607="","",MAX(0,IFERROR(INDEX('2_IMPORTAR_EJECUCION'!$H$9:$H$1208,MATCH($AQ607,'2_IMPORTAR_EJECUCION'!$J$9:$J$1208,0)),0)-$AI607))</f>
        <v/>
      </c>
      <c r="AK607" s="10">
        <f>IF($A607="","",$AI607+$AJ607)</f>
        <v/>
      </c>
      <c r="AL607" s="6" t="n"/>
      <c r="AM607" s="6" t="n"/>
      <c r="AN607" s="6" t="n"/>
      <c r="AO607" s="3">
        <f>IF($AN607="","",HYPERLINK(p_ruta_base_checklists&amp;$AN607,"abrir"))</f>
        <v/>
      </c>
      <c r="AP607" s="6" t="n"/>
      <c r="AQ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IF($A608="","",IFERROR(INDEX('AJUSTES'!$B$4:$B$303,MATCH($AQ608,'AJUSTES'!$A$4:$A$303,0)),IF($K608="","",$K608)))</f>
        <v/>
      </c>
      <c r="N608" s="3">
        <f>IF($A608="","",IFERROR(INDEX('CAT_ESTADOS_ERP'!$B$4:$B$7,MATCH(IFERROR(INDEX('2_IMPORTAR_EJECUCION'!$C$9:$C$1208,MATCH($AQ608,'2_IMPORTAR_EJECUCION'!$J$9:$J$1208,0)),""),'CAT_ESTADOS_ERP'!$A$4:$A$7,0)),"Pendiente"))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J608="","",IFERROR(INDEX('CALENDARIO'!$C$15:$C$214,MATCH(TEXT($J608,"yyyy-mm-dd")&amp;"|"&amp;$V608&amp;"|"&amp;$W608,'CALENDARIO'!$G$15:$G$214,0)),IFERROR(INDEX('CALENDARIO'!$C$15:$C$214,MATCH(TEXT($J608,"yyyy-mm-dd")&amp;"|"&amp;$V608&amp;"|",'CALENDARIO'!$G$15:$G$214,0)),IFERROR(INDEX('CALENDARIO'!$C$15:$C$214,MATCH(TEXT($J608,"yyyy-mm-dd")&amp;"||",'CALENDARIO'!$G$15:$G$214,0)),INDEX(patronHabil,WEEKDAY($J608,2))))))</f>
        <v/>
      </c>
      <c r="T608" s="3">
        <f>IF($I608="","",IFERROR(INDEX('CAT_TIPOS_OT'!$C$4:$C$7,MATCH($I608,'CAT_TIPOS_OT'!$A$4:$A$7,0)),"sin_clasificar"))</f>
        <v/>
      </c>
      <c r="U608" s="3">
        <f>IF($F608="","",IFERROR(INDEX('CAT_CENTROS_COSTO'!$F$4:$F$13,MATCH($F608,'CAT_CENTROS_COSTO'!$A$4:$A$13,0)),"(sin catálogo)"))</f>
        <v/>
      </c>
      <c r="V608" s="3">
        <f>IF($F608="","",IFERROR(INDEX('CAT_CENTROS_COSTO'!$D$4:$D$13,MATCH($F608,'CAT_CENTROS_COSTO'!$A$4:$A$13,0)),"(sin catálogo)"))</f>
        <v/>
      </c>
      <c r="W608" s="3">
        <f>IF($F608="","",IF((IFERROR(INDEX('CAT_CENTROS_COSTO'!$E$4:$E$13,MATCH($F608,'CAT_CENTROS_COSTO'!$A$4:$A$13,0)),""))&lt;&gt;"",IFERROR(INDEX('CAT_CENTROS_COSTO'!$E$4:$E$13,MATCH($F608,'CAT_CENTROS_COSTO'!$A$4:$A$13,0)),""),$V608))</f>
        <v/>
      </c>
      <c r="X608" s="3">
        <f>IF($F608="","",IFERROR(INDEX('CAT_CENTROS_COSTO'!$G$4:$G$13,MATCH($F608,'CAT_CENTROS_COSTO'!$A$4:$A$13,0)),"(sin catálogo)"))</f>
        <v/>
      </c>
      <c r="Y608" s="3">
        <f>IF($G608="","",IFERROR(INDEX('CAT_PUESTOS'!$B$4:$B$8,MATCH($G608,'CAT_PUESTOS'!$A$4:$A$8,0)),"(sin catálogo)"))</f>
        <v/>
      </c>
      <c r="Z608" s="3">
        <f>IF($H608="","",IFERROR(INDEX('CAT_ACTIVIDADES'!$B$4:$B$8,MATCH($H608,'CAT_ACTIVIDADES'!$A$4:$A$8,0)),"(sin catálogo)"))</f>
        <v/>
      </c>
      <c r="AA608" s="12">
        <f>IF($J608="","",TODAY()-$J608)</f>
        <v/>
      </c>
      <c r="AB608" s="12">
        <f>IF($J608="","",IF($J608&lt;=TODAY(),COUNTIFS(cal_fechas,"&gt;="&amp;$J608,cal_fechas,"&lt;"&amp;TODAY(),cal_habil,"sí"),-COUNTIFS(cal_fechas,"&gt;="&amp;TODAY(),cal_fechas,"&lt;"&amp;$J608,cal_habil,"sí")))</f>
        <v/>
      </c>
      <c r="AC608" s="3">
        <f>IF($AB608="","",IF($AB608&lt;0,"FUTURO",IF($AB608&gt;p_dias_backlog_max,"BACKLOG","MES CORRIENTE")))</f>
        <v/>
      </c>
      <c r="AD608" s="3">
        <f>IF($AB608="",FALSE,AND($AB608&gt;p_dias_backlog_min,$AB608&lt;=p_dias_backlog_max))</f>
        <v/>
      </c>
      <c r="AE608" s="6" t="n"/>
      <c r="AF608" s="3">
        <f>IF($AE608="","",IF((IFERROR(INDEX('ASIGNACIONES'!$F$4:$F$339,MATCH($O608&amp;"|"&amp;$R608&amp;"|"&amp;$AE608,'ASIGNACIONES'!$J$4:$J$339,0)),""))=0,"",IFERROR(INDEX('ASIGNACIONES'!$F$4:$F$339,MATCH($O608&amp;"|"&amp;$R608&amp;"|"&amp;$AE608,'ASIGNACIONES'!$J$4:$J$339,0)),"")))</f>
        <v/>
      </c>
      <c r="AG608" s="13">
        <f>IF($AE608="","",SUMIFS('ORDENES'!$M$4:$M$1203,'ORDENES'!$AE$4:$AE$1203,$AE608,'ORDENES'!$O$4:$O$1203,$O608,'ORDENES'!$R$4:$R$1203,$R608))</f>
        <v/>
      </c>
      <c r="AH608" s="13">
        <f>IF($AG608="","",p_factor_productividad*IFERROR(INDEX('ASIGNACIONES'!$I$4:$I$339,MATCH($O608&amp;"|"&amp;$R608&amp;"|"&amp;$AE608,'ASIGNACIONES'!$J$4:$J$339,0)),0)-$AG608)</f>
        <v/>
      </c>
      <c r="AI608" s="10">
        <f>IF($A608="","",IFERROR(INDEX('2_IMPORTAR_EJECUCION'!$F$9:$F$1208,MATCH($AQ608,'2_IMPORTAR_EJECUCION'!$J$9:$J$1208,0)),0))</f>
        <v/>
      </c>
      <c r="AJ608" s="10">
        <f>IF($A608="","",MAX(0,IFERROR(INDEX('2_IMPORTAR_EJECUCION'!$H$9:$H$1208,MATCH($AQ608,'2_IMPORTAR_EJECUCION'!$J$9:$J$1208,0)),0)-$AI608))</f>
        <v/>
      </c>
      <c r="AK608" s="10">
        <f>IF($A608="","",$AI608+$AJ608)</f>
        <v/>
      </c>
      <c r="AL608" s="6" t="n"/>
      <c r="AM608" s="6" t="n"/>
      <c r="AN608" s="6" t="n"/>
      <c r="AO608" s="3">
        <f>IF($AN608="","",HYPERLINK(p_ruta_base_checklists&amp;$AN608,"abrir"))</f>
        <v/>
      </c>
      <c r="AP608" s="6" t="n"/>
      <c r="AQ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IF($A609="","",IFERROR(INDEX('AJUSTES'!$B$4:$B$303,MATCH($AQ609,'AJUSTES'!$A$4:$A$303,0)),IF($K609="","",$K609)))</f>
        <v/>
      </c>
      <c r="N609" s="3">
        <f>IF($A609="","",IFERROR(INDEX('CAT_ESTADOS_ERP'!$B$4:$B$7,MATCH(IFERROR(INDEX('2_IMPORTAR_EJECUCION'!$C$9:$C$1208,MATCH($AQ609,'2_IMPORTAR_EJECUCION'!$J$9:$J$1208,0)),""),'CAT_ESTADOS_ERP'!$A$4:$A$7,0)),"Pendiente"))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J609="","",IFERROR(INDEX('CALENDARIO'!$C$15:$C$214,MATCH(TEXT($J609,"yyyy-mm-dd")&amp;"|"&amp;$V609&amp;"|"&amp;$W609,'CALENDARIO'!$G$15:$G$214,0)),IFERROR(INDEX('CALENDARIO'!$C$15:$C$214,MATCH(TEXT($J609,"yyyy-mm-dd")&amp;"|"&amp;$V609&amp;"|",'CALENDARIO'!$G$15:$G$214,0)),IFERROR(INDEX('CALENDARIO'!$C$15:$C$214,MATCH(TEXT($J609,"yyyy-mm-dd")&amp;"||",'CALENDARIO'!$G$15:$G$214,0)),INDEX(patronHabil,WEEKDAY($J609,2))))))</f>
        <v/>
      </c>
      <c r="T609" s="3">
        <f>IF($I609="","",IFERROR(INDEX('CAT_TIPOS_OT'!$C$4:$C$7,MATCH($I609,'CAT_TIPOS_OT'!$A$4:$A$7,0)),"sin_clasificar"))</f>
        <v/>
      </c>
      <c r="U609" s="3">
        <f>IF($F609="","",IFERROR(INDEX('CAT_CENTROS_COSTO'!$F$4:$F$13,MATCH($F609,'CAT_CENTROS_COSTO'!$A$4:$A$13,0)),"(sin catálogo)"))</f>
        <v/>
      </c>
      <c r="V609" s="3">
        <f>IF($F609="","",IFERROR(INDEX('CAT_CENTROS_COSTO'!$D$4:$D$13,MATCH($F609,'CAT_CENTROS_COSTO'!$A$4:$A$13,0)),"(sin catálogo)"))</f>
        <v/>
      </c>
      <c r="W609" s="3">
        <f>IF($F609="","",IF((IFERROR(INDEX('CAT_CENTROS_COSTO'!$E$4:$E$13,MATCH($F609,'CAT_CENTROS_COSTO'!$A$4:$A$13,0)),""))&lt;&gt;"",IFERROR(INDEX('CAT_CENTROS_COSTO'!$E$4:$E$13,MATCH($F609,'CAT_CENTROS_COSTO'!$A$4:$A$13,0)),""),$V609))</f>
        <v/>
      </c>
      <c r="X609" s="3">
        <f>IF($F609="","",IFERROR(INDEX('CAT_CENTROS_COSTO'!$G$4:$G$13,MATCH($F609,'CAT_CENTROS_COSTO'!$A$4:$A$13,0)),"(sin catálogo)"))</f>
        <v/>
      </c>
      <c r="Y609" s="3">
        <f>IF($G609="","",IFERROR(INDEX('CAT_PUESTOS'!$B$4:$B$8,MATCH($G609,'CAT_PUESTOS'!$A$4:$A$8,0)),"(sin catálogo)"))</f>
        <v/>
      </c>
      <c r="Z609" s="3">
        <f>IF($H609="","",IFERROR(INDEX('CAT_ACTIVIDADES'!$B$4:$B$8,MATCH($H609,'CAT_ACTIVIDADES'!$A$4:$A$8,0)),"(sin catálogo)"))</f>
        <v/>
      </c>
      <c r="AA609" s="12">
        <f>IF($J609="","",TODAY()-$J609)</f>
        <v/>
      </c>
      <c r="AB609" s="12">
        <f>IF($J609="","",IF($J609&lt;=TODAY(),COUNTIFS(cal_fechas,"&gt;="&amp;$J609,cal_fechas,"&lt;"&amp;TODAY(),cal_habil,"sí"),-COUNTIFS(cal_fechas,"&gt;="&amp;TODAY(),cal_fechas,"&lt;"&amp;$J609,cal_habil,"sí")))</f>
        <v/>
      </c>
      <c r="AC609" s="3">
        <f>IF($AB609="","",IF($AB609&lt;0,"FUTURO",IF($AB609&gt;p_dias_backlog_max,"BACKLOG","MES CORRIENTE")))</f>
        <v/>
      </c>
      <c r="AD609" s="3">
        <f>IF($AB609="",FALSE,AND($AB609&gt;p_dias_backlog_min,$AB609&lt;=p_dias_backlog_max))</f>
        <v/>
      </c>
      <c r="AE609" s="6" t="n"/>
      <c r="AF609" s="3">
        <f>IF($AE609="","",IF((IFERROR(INDEX('ASIGNACIONES'!$F$4:$F$339,MATCH($O609&amp;"|"&amp;$R609&amp;"|"&amp;$AE609,'ASIGNACIONES'!$J$4:$J$339,0)),""))=0,"",IFERROR(INDEX('ASIGNACIONES'!$F$4:$F$339,MATCH($O609&amp;"|"&amp;$R609&amp;"|"&amp;$AE609,'ASIGNACIONES'!$J$4:$J$339,0)),"")))</f>
        <v/>
      </c>
      <c r="AG609" s="13">
        <f>IF($AE609="","",SUMIFS('ORDENES'!$M$4:$M$1203,'ORDENES'!$AE$4:$AE$1203,$AE609,'ORDENES'!$O$4:$O$1203,$O609,'ORDENES'!$R$4:$R$1203,$R609))</f>
        <v/>
      </c>
      <c r="AH609" s="13">
        <f>IF($AG609="","",p_factor_productividad*IFERROR(INDEX('ASIGNACIONES'!$I$4:$I$339,MATCH($O609&amp;"|"&amp;$R609&amp;"|"&amp;$AE609,'ASIGNACIONES'!$J$4:$J$339,0)),0)-$AG609)</f>
        <v/>
      </c>
      <c r="AI609" s="10">
        <f>IF($A609="","",IFERROR(INDEX('2_IMPORTAR_EJECUCION'!$F$9:$F$1208,MATCH($AQ609,'2_IMPORTAR_EJECUCION'!$J$9:$J$1208,0)),0))</f>
        <v/>
      </c>
      <c r="AJ609" s="10">
        <f>IF($A609="","",MAX(0,IFERROR(INDEX('2_IMPORTAR_EJECUCION'!$H$9:$H$1208,MATCH($AQ609,'2_IMPORTAR_EJECUCION'!$J$9:$J$1208,0)),0)-$AI609))</f>
        <v/>
      </c>
      <c r="AK609" s="10">
        <f>IF($A609="","",$AI609+$AJ609)</f>
        <v/>
      </c>
      <c r="AL609" s="6" t="n"/>
      <c r="AM609" s="6" t="n"/>
      <c r="AN609" s="6" t="n"/>
      <c r="AO609" s="3">
        <f>IF($AN609="","",HYPERLINK(p_ruta_base_checklists&amp;$AN609,"abrir"))</f>
        <v/>
      </c>
      <c r="AP609" s="6" t="n"/>
      <c r="AQ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IF($A610="","",IFERROR(INDEX('AJUSTES'!$B$4:$B$303,MATCH($AQ610,'AJUSTES'!$A$4:$A$303,0)),IF($K610="","",$K610)))</f>
        <v/>
      </c>
      <c r="N610" s="3">
        <f>IF($A610="","",IFERROR(INDEX('CAT_ESTADOS_ERP'!$B$4:$B$7,MATCH(IFERROR(INDEX('2_IMPORTAR_EJECUCION'!$C$9:$C$1208,MATCH($AQ610,'2_IMPORTAR_EJECUCION'!$J$9:$J$1208,0)),""),'CAT_ESTADOS_ERP'!$A$4:$A$7,0)),"Pendiente"))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J610="","",IFERROR(INDEX('CALENDARIO'!$C$15:$C$214,MATCH(TEXT($J610,"yyyy-mm-dd")&amp;"|"&amp;$V610&amp;"|"&amp;$W610,'CALENDARIO'!$G$15:$G$214,0)),IFERROR(INDEX('CALENDARIO'!$C$15:$C$214,MATCH(TEXT($J610,"yyyy-mm-dd")&amp;"|"&amp;$V610&amp;"|",'CALENDARIO'!$G$15:$G$214,0)),IFERROR(INDEX('CALENDARIO'!$C$15:$C$214,MATCH(TEXT($J610,"yyyy-mm-dd")&amp;"||",'CALENDARIO'!$G$15:$G$214,0)),INDEX(patronHabil,WEEKDAY($J610,2))))))</f>
        <v/>
      </c>
      <c r="T610" s="3">
        <f>IF($I610="","",IFERROR(INDEX('CAT_TIPOS_OT'!$C$4:$C$7,MATCH($I610,'CAT_TIPOS_OT'!$A$4:$A$7,0)),"sin_clasificar"))</f>
        <v/>
      </c>
      <c r="U610" s="3">
        <f>IF($F610="","",IFERROR(INDEX('CAT_CENTROS_COSTO'!$F$4:$F$13,MATCH($F610,'CAT_CENTROS_COSTO'!$A$4:$A$13,0)),"(sin catálogo)"))</f>
        <v/>
      </c>
      <c r="V610" s="3">
        <f>IF($F610="","",IFERROR(INDEX('CAT_CENTROS_COSTO'!$D$4:$D$13,MATCH($F610,'CAT_CENTROS_COSTO'!$A$4:$A$13,0)),"(sin catálogo)"))</f>
        <v/>
      </c>
      <c r="W610" s="3">
        <f>IF($F610="","",IF((IFERROR(INDEX('CAT_CENTROS_COSTO'!$E$4:$E$13,MATCH($F610,'CAT_CENTROS_COSTO'!$A$4:$A$13,0)),""))&lt;&gt;"",IFERROR(INDEX('CAT_CENTROS_COSTO'!$E$4:$E$13,MATCH($F610,'CAT_CENTROS_COSTO'!$A$4:$A$13,0)),""),$V610))</f>
        <v/>
      </c>
      <c r="X610" s="3">
        <f>IF($F610="","",IFERROR(INDEX('CAT_CENTROS_COSTO'!$G$4:$G$13,MATCH($F610,'CAT_CENTROS_COSTO'!$A$4:$A$13,0)),"(sin catálogo)"))</f>
        <v/>
      </c>
      <c r="Y610" s="3">
        <f>IF($G610="","",IFERROR(INDEX('CAT_PUESTOS'!$B$4:$B$8,MATCH($G610,'CAT_PUESTOS'!$A$4:$A$8,0)),"(sin catálogo)"))</f>
        <v/>
      </c>
      <c r="Z610" s="3">
        <f>IF($H610="","",IFERROR(INDEX('CAT_ACTIVIDADES'!$B$4:$B$8,MATCH($H610,'CAT_ACTIVIDADES'!$A$4:$A$8,0)),"(sin catálogo)"))</f>
        <v/>
      </c>
      <c r="AA610" s="12">
        <f>IF($J610="","",TODAY()-$J610)</f>
        <v/>
      </c>
      <c r="AB610" s="12">
        <f>IF($J610="","",IF($J610&lt;=TODAY(),COUNTIFS(cal_fechas,"&gt;="&amp;$J610,cal_fechas,"&lt;"&amp;TODAY(),cal_habil,"sí"),-COUNTIFS(cal_fechas,"&gt;="&amp;TODAY(),cal_fechas,"&lt;"&amp;$J610,cal_habil,"sí")))</f>
        <v/>
      </c>
      <c r="AC610" s="3">
        <f>IF($AB610="","",IF($AB610&lt;0,"FUTURO",IF($AB610&gt;p_dias_backlog_max,"BACKLOG","MES CORRIENTE")))</f>
        <v/>
      </c>
      <c r="AD610" s="3">
        <f>IF($AB610="",FALSE,AND($AB610&gt;p_dias_backlog_min,$AB610&lt;=p_dias_backlog_max))</f>
        <v/>
      </c>
      <c r="AE610" s="6" t="n"/>
      <c r="AF610" s="3">
        <f>IF($AE610="","",IF((IFERROR(INDEX('ASIGNACIONES'!$F$4:$F$339,MATCH($O610&amp;"|"&amp;$R610&amp;"|"&amp;$AE610,'ASIGNACIONES'!$J$4:$J$339,0)),""))=0,"",IFERROR(INDEX('ASIGNACIONES'!$F$4:$F$339,MATCH($O610&amp;"|"&amp;$R610&amp;"|"&amp;$AE610,'ASIGNACIONES'!$J$4:$J$339,0)),"")))</f>
        <v/>
      </c>
      <c r="AG610" s="13">
        <f>IF($AE610="","",SUMIFS('ORDENES'!$M$4:$M$1203,'ORDENES'!$AE$4:$AE$1203,$AE610,'ORDENES'!$O$4:$O$1203,$O610,'ORDENES'!$R$4:$R$1203,$R610))</f>
        <v/>
      </c>
      <c r="AH610" s="13">
        <f>IF($AG610="","",p_factor_productividad*IFERROR(INDEX('ASIGNACIONES'!$I$4:$I$339,MATCH($O610&amp;"|"&amp;$R610&amp;"|"&amp;$AE610,'ASIGNACIONES'!$J$4:$J$339,0)),0)-$AG610)</f>
        <v/>
      </c>
      <c r="AI610" s="10">
        <f>IF($A610="","",IFERROR(INDEX('2_IMPORTAR_EJECUCION'!$F$9:$F$1208,MATCH($AQ610,'2_IMPORTAR_EJECUCION'!$J$9:$J$1208,0)),0))</f>
        <v/>
      </c>
      <c r="AJ610" s="10">
        <f>IF($A610="","",MAX(0,IFERROR(INDEX('2_IMPORTAR_EJECUCION'!$H$9:$H$1208,MATCH($AQ610,'2_IMPORTAR_EJECUCION'!$J$9:$J$1208,0)),0)-$AI610))</f>
        <v/>
      </c>
      <c r="AK610" s="10">
        <f>IF($A610="","",$AI610+$AJ610)</f>
        <v/>
      </c>
      <c r="AL610" s="6" t="n"/>
      <c r="AM610" s="6" t="n"/>
      <c r="AN610" s="6" t="n"/>
      <c r="AO610" s="3">
        <f>IF($AN610="","",HYPERLINK(p_ruta_base_checklists&amp;$AN610,"abrir"))</f>
        <v/>
      </c>
      <c r="AP610" s="6" t="n"/>
      <c r="AQ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IF($A611="","",IFERROR(INDEX('AJUSTES'!$B$4:$B$303,MATCH($AQ611,'AJUSTES'!$A$4:$A$303,0)),IF($K611="","",$K611)))</f>
        <v/>
      </c>
      <c r="N611" s="3">
        <f>IF($A611="","",IFERROR(INDEX('CAT_ESTADOS_ERP'!$B$4:$B$7,MATCH(IFERROR(INDEX('2_IMPORTAR_EJECUCION'!$C$9:$C$1208,MATCH($AQ611,'2_IMPORTAR_EJECUCION'!$J$9:$J$1208,0)),""),'CAT_ESTADOS_ERP'!$A$4:$A$7,0)),"Pendiente"))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J611="","",IFERROR(INDEX('CALENDARIO'!$C$15:$C$214,MATCH(TEXT($J611,"yyyy-mm-dd")&amp;"|"&amp;$V611&amp;"|"&amp;$W611,'CALENDARIO'!$G$15:$G$214,0)),IFERROR(INDEX('CALENDARIO'!$C$15:$C$214,MATCH(TEXT($J611,"yyyy-mm-dd")&amp;"|"&amp;$V611&amp;"|",'CALENDARIO'!$G$15:$G$214,0)),IFERROR(INDEX('CALENDARIO'!$C$15:$C$214,MATCH(TEXT($J611,"yyyy-mm-dd")&amp;"||",'CALENDARIO'!$G$15:$G$214,0)),INDEX(patronHabil,WEEKDAY($J611,2))))))</f>
        <v/>
      </c>
      <c r="T611" s="3">
        <f>IF($I611="","",IFERROR(INDEX('CAT_TIPOS_OT'!$C$4:$C$7,MATCH($I611,'CAT_TIPOS_OT'!$A$4:$A$7,0)),"sin_clasificar"))</f>
        <v/>
      </c>
      <c r="U611" s="3">
        <f>IF($F611="","",IFERROR(INDEX('CAT_CENTROS_COSTO'!$F$4:$F$13,MATCH($F611,'CAT_CENTROS_COSTO'!$A$4:$A$13,0)),"(sin catálogo)"))</f>
        <v/>
      </c>
      <c r="V611" s="3">
        <f>IF($F611="","",IFERROR(INDEX('CAT_CENTROS_COSTO'!$D$4:$D$13,MATCH($F611,'CAT_CENTROS_COSTO'!$A$4:$A$13,0)),"(sin catálogo)"))</f>
        <v/>
      </c>
      <c r="W611" s="3">
        <f>IF($F611="","",IF((IFERROR(INDEX('CAT_CENTROS_COSTO'!$E$4:$E$13,MATCH($F611,'CAT_CENTROS_COSTO'!$A$4:$A$13,0)),""))&lt;&gt;"",IFERROR(INDEX('CAT_CENTROS_COSTO'!$E$4:$E$13,MATCH($F611,'CAT_CENTROS_COSTO'!$A$4:$A$13,0)),""),$V611))</f>
        <v/>
      </c>
      <c r="X611" s="3">
        <f>IF($F611="","",IFERROR(INDEX('CAT_CENTROS_COSTO'!$G$4:$G$13,MATCH($F611,'CAT_CENTROS_COSTO'!$A$4:$A$13,0)),"(sin catálogo)"))</f>
        <v/>
      </c>
      <c r="Y611" s="3">
        <f>IF($G611="","",IFERROR(INDEX('CAT_PUESTOS'!$B$4:$B$8,MATCH($G611,'CAT_PUESTOS'!$A$4:$A$8,0)),"(sin catálogo)"))</f>
        <v/>
      </c>
      <c r="Z611" s="3">
        <f>IF($H611="","",IFERROR(INDEX('CAT_ACTIVIDADES'!$B$4:$B$8,MATCH($H611,'CAT_ACTIVIDADES'!$A$4:$A$8,0)),"(sin catálogo)"))</f>
        <v/>
      </c>
      <c r="AA611" s="12">
        <f>IF($J611="","",TODAY()-$J611)</f>
        <v/>
      </c>
      <c r="AB611" s="12">
        <f>IF($J611="","",IF($J611&lt;=TODAY(),COUNTIFS(cal_fechas,"&gt;="&amp;$J611,cal_fechas,"&lt;"&amp;TODAY(),cal_habil,"sí"),-COUNTIFS(cal_fechas,"&gt;="&amp;TODAY(),cal_fechas,"&lt;"&amp;$J611,cal_habil,"sí")))</f>
        <v/>
      </c>
      <c r="AC611" s="3">
        <f>IF($AB611="","",IF($AB611&lt;0,"FUTURO",IF($AB611&gt;p_dias_backlog_max,"BACKLOG","MES CORRIENTE")))</f>
        <v/>
      </c>
      <c r="AD611" s="3">
        <f>IF($AB611="",FALSE,AND($AB611&gt;p_dias_backlog_min,$AB611&lt;=p_dias_backlog_max))</f>
        <v/>
      </c>
      <c r="AE611" s="6" t="n"/>
      <c r="AF611" s="3">
        <f>IF($AE611="","",IF((IFERROR(INDEX('ASIGNACIONES'!$F$4:$F$339,MATCH($O611&amp;"|"&amp;$R611&amp;"|"&amp;$AE611,'ASIGNACIONES'!$J$4:$J$339,0)),""))=0,"",IFERROR(INDEX('ASIGNACIONES'!$F$4:$F$339,MATCH($O611&amp;"|"&amp;$R611&amp;"|"&amp;$AE611,'ASIGNACIONES'!$J$4:$J$339,0)),"")))</f>
        <v/>
      </c>
      <c r="AG611" s="13">
        <f>IF($AE611="","",SUMIFS('ORDENES'!$M$4:$M$1203,'ORDENES'!$AE$4:$AE$1203,$AE611,'ORDENES'!$O$4:$O$1203,$O611,'ORDENES'!$R$4:$R$1203,$R611))</f>
        <v/>
      </c>
      <c r="AH611" s="13">
        <f>IF($AG611="","",p_factor_productividad*IFERROR(INDEX('ASIGNACIONES'!$I$4:$I$339,MATCH($O611&amp;"|"&amp;$R611&amp;"|"&amp;$AE611,'ASIGNACIONES'!$J$4:$J$339,0)),0)-$AG611)</f>
        <v/>
      </c>
      <c r="AI611" s="10">
        <f>IF($A611="","",IFERROR(INDEX('2_IMPORTAR_EJECUCION'!$F$9:$F$1208,MATCH($AQ611,'2_IMPORTAR_EJECUCION'!$J$9:$J$1208,0)),0))</f>
        <v/>
      </c>
      <c r="AJ611" s="10">
        <f>IF($A611="","",MAX(0,IFERROR(INDEX('2_IMPORTAR_EJECUCION'!$H$9:$H$1208,MATCH($AQ611,'2_IMPORTAR_EJECUCION'!$J$9:$J$1208,0)),0)-$AI611))</f>
        <v/>
      </c>
      <c r="AK611" s="10">
        <f>IF($A611="","",$AI611+$AJ611)</f>
        <v/>
      </c>
      <c r="AL611" s="6" t="n"/>
      <c r="AM611" s="6" t="n"/>
      <c r="AN611" s="6" t="n"/>
      <c r="AO611" s="3">
        <f>IF($AN611="","",HYPERLINK(p_ruta_base_checklists&amp;$AN611,"abrir"))</f>
        <v/>
      </c>
      <c r="AP611" s="6" t="n"/>
      <c r="AQ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IF($A612="","",IFERROR(INDEX('AJUSTES'!$B$4:$B$303,MATCH($AQ612,'AJUSTES'!$A$4:$A$303,0)),IF($K612="","",$K612)))</f>
        <v/>
      </c>
      <c r="N612" s="3">
        <f>IF($A612="","",IFERROR(INDEX('CAT_ESTADOS_ERP'!$B$4:$B$7,MATCH(IFERROR(INDEX('2_IMPORTAR_EJECUCION'!$C$9:$C$1208,MATCH($AQ612,'2_IMPORTAR_EJECUCION'!$J$9:$J$1208,0)),""),'CAT_ESTADOS_ERP'!$A$4:$A$7,0)),"Pendiente"))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J612="","",IFERROR(INDEX('CALENDARIO'!$C$15:$C$214,MATCH(TEXT($J612,"yyyy-mm-dd")&amp;"|"&amp;$V612&amp;"|"&amp;$W612,'CALENDARIO'!$G$15:$G$214,0)),IFERROR(INDEX('CALENDARIO'!$C$15:$C$214,MATCH(TEXT($J612,"yyyy-mm-dd")&amp;"|"&amp;$V612&amp;"|",'CALENDARIO'!$G$15:$G$214,0)),IFERROR(INDEX('CALENDARIO'!$C$15:$C$214,MATCH(TEXT($J612,"yyyy-mm-dd")&amp;"||",'CALENDARIO'!$G$15:$G$214,0)),INDEX(patronHabil,WEEKDAY($J612,2))))))</f>
        <v/>
      </c>
      <c r="T612" s="3">
        <f>IF($I612="","",IFERROR(INDEX('CAT_TIPOS_OT'!$C$4:$C$7,MATCH($I612,'CAT_TIPOS_OT'!$A$4:$A$7,0)),"sin_clasificar"))</f>
        <v/>
      </c>
      <c r="U612" s="3">
        <f>IF($F612="","",IFERROR(INDEX('CAT_CENTROS_COSTO'!$F$4:$F$13,MATCH($F612,'CAT_CENTROS_COSTO'!$A$4:$A$13,0)),"(sin catálogo)"))</f>
        <v/>
      </c>
      <c r="V612" s="3">
        <f>IF($F612="","",IFERROR(INDEX('CAT_CENTROS_COSTO'!$D$4:$D$13,MATCH($F612,'CAT_CENTROS_COSTO'!$A$4:$A$13,0)),"(sin catálogo)"))</f>
        <v/>
      </c>
      <c r="W612" s="3">
        <f>IF($F612="","",IF((IFERROR(INDEX('CAT_CENTROS_COSTO'!$E$4:$E$13,MATCH($F612,'CAT_CENTROS_COSTO'!$A$4:$A$13,0)),""))&lt;&gt;"",IFERROR(INDEX('CAT_CENTROS_COSTO'!$E$4:$E$13,MATCH($F612,'CAT_CENTROS_COSTO'!$A$4:$A$13,0)),""),$V612))</f>
        <v/>
      </c>
      <c r="X612" s="3">
        <f>IF($F612="","",IFERROR(INDEX('CAT_CENTROS_COSTO'!$G$4:$G$13,MATCH($F612,'CAT_CENTROS_COSTO'!$A$4:$A$13,0)),"(sin catálogo)"))</f>
        <v/>
      </c>
      <c r="Y612" s="3">
        <f>IF($G612="","",IFERROR(INDEX('CAT_PUESTOS'!$B$4:$B$8,MATCH($G612,'CAT_PUESTOS'!$A$4:$A$8,0)),"(sin catálogo)"))</f>
        <v/>
      </c>
      <c r="Z612" s="3">
        <f>IF($H612="","",IFERROR(INDEX('CAT_ACTIVIDADES'!$B$4:$B$8,MATCH($H612,'CAT_ACTIVIDADES'!$A$4:$A$8,0)),"(sin catálogo)"))</f>
        <v/>
      </c>
      <c r="AA612" s="12">
        <f>IF($J612="","",TODAY()-$J612)</f>
        <v/>
      </c>
      <c r="AB612" s="12">
        <f>IF($J612="","",IF($J612&lt;=TODAY(),COUNTIFS(cal_fechas,"&gt;="&amp;$J612,cal_fechas,"&lt;"&amp;TODAY(),cal_habil,"sí"),-COUNTIFS(cal_fechas,"&gt;="&amp;TODAY(),cal_fechas,"&lt;"&amp;$J612,cal_habil,"sí")))</f>
        <v/>
      </c>
      <c r="AC612" s="3">
        <f>IF($AB612="","",IF($AB612&lt;0,"FUTURO",IF($AB612&gt;p_dias_backlog_max,"BACKLOG","MES CORRIENTE")))</f>
        <v/>
      </c>
      <c r="AD612" s="3">
        <f>IF($AB612="",FALSE,AND($AB612&gt;p_dias_backlog_min,$AB612&lt;=p_dias_backlog_max))</f>
        <v/>
      </c>
      <c r="AE612" s="6" t="n"/>
      <c r="AF612" s="3">
        <f>IF($AE612="","",IF((IFERROR(INDEX('ASIGNACIONES'!$F$4:$F$339,MATCH($O612&amp;"|"&amp;$R612&amp;"|"&amp;$AE612,'ASIGNACIONES'!$J$4:$J$339,0)),""))=0,"",IFERROR(INDEX('ASIGNACIONES'!$F$4:$F$339,MATCH($O612&amp;"|"&amp;$R612&amp;"|"&amp;$AE612,'ASIGNACIONES'!$J$4:$J$339,0)),"")))</f>
        <v/>
      </c>
      <c r="AG612" s="13">
        <f>IF($AE612="","",SUMIFS('ORDENES'!$M$4:$M$1203,'ORDENES'!$AE$4:$AE$1203,$AE612,'ORDENES'!$O$4:$O$1203,$O612,'ORDENES'!$R$4:$R$1203,$R612))</f>
        <v/>
      </c>
      <c r="AH612" s="13">
        <f>IF($AG612="","",p_factor_productividad*IFERROR(INDEX('ASIGNACIONES'!$I$4:$I$339,MATCH($O612&amp;"|"&amp;$R612&amp;"|"&amp;$AE612,'ASIGNACIONES'!$J$4:$J$339,0)),0)-$AG612)</f>
        <v/>
      </c>
      <c r="AI612" s="10">
        <f>IF($A612="","",IFERROR(INDEX('2_IMPORTAR_EJECUCION'!$F$9:$F$1208,MATCH($AQ612,'2_IMPORTAR_EJECUCION'!$J$9:$J$1208,0)),0))</f>
        <v/>
      </c>
      <c r="AJ612" s="10">
        <f>IF($A612="","",MAX(0,IFERROR(INDEX('2_IMPORTAR_EJECUCION'!$H$9:$H$1208,MATCH($AQ612,'2_IMPORTAR_EJECUCION'!$J$9:$J$1208,0)),0)-$AI612))</f>
        <v/>
      </c>
      <c r="AK612" s="10">
        <f>IF($A612="","",$AI612+$AJ612)</f>
        <v/>
      </c>
      <c r="AL612" s="6" t="n"/>
      <c r="AM612" s="6" t="n"/>
      <c r="AN612" s="6" t="n"/>
      <c r="AO612" s="3">
        <f>IF($AN612="","",HYPERLINK(p_ruta_base_checklists&amp;$AN612,"abrir"))</f>
        <v/>
      </c>
      <c r="AP612" s="6" t="n"/>
      <c r="AQ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IF($A613="","",IFERROR(INDEX('AJUSTES'!$B$4:$B$303,MATCH($AQ613,'AJUSTES'!$A$4:$A$303,0)),IF($K613="","",$K613)))</f>
        <v/>
      </c>
      <c r="N613" s="3">
        <f>IF($A613="","",IFERROR(INDEX('CAT_ESTADOS_ERP'!$B$4:$B$7,MATCH(IFERROR(INDEX('2_IMPORTAR_EJECUCION'!$C$9:$C$1208,MATCH($AQ613,'2_IMPORTAR_EJECUCION'!$J$9:$J$1208,0)),""),'CAT_ESTADOS_ERP'!$A$4:$A$7,0)),"Pendiente"))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J613="","",IFERROR(INDEX('CALENDARIO'!$C$15:$C$214,MATCH(TEXT($J613,"yyyy-mm-dd")&amp;"|"&amp;$V613&amp;"|"&amp;$W613,'CALENDARIO'!$G$15:$G$214,0)),IFERROR(INDEX('CALENDARIO'!$C$15:$C$214,MATCH(TEXT($J613,"yyyy-mm-dd")&amp;"|"&amp;$V613&amp;"|",'CALENDARIO'!$G$15:$G$214,0)),IFERROR(INDEX('CALENDARIO'!$C$15:$C$214,MATCH(TEXT($J613,"yyyy-mm-dd")&amp;"||",'CALENDARIO'!$G$15:$G$214,0)),INDEX(patronHabil,WEEKDAY($J613,2))))))</f>
        <v/>
      </c>
      <c r="T613" s="3">
        <f>IF($I613="","",IFERROR(INDEX('CAT_TIPOS_OT'!$C$4:$C$7,MATCH($I613,'CAT_TIPOS_OT'!$A$4:$A$7,0)),"sin_clasificar"))</f>
        <v/>
      </c>
      <c r="U613" s="3">
        <f>IF($F613="","",IFERROR(INDEX('CAT_CENTROS_COSTO'!$F$4:$F$13,MATCH($F613,'CAT_CENTROS_COSTO'!$A$4:$A$13,0)),"(sin catálogo)"))</f>
        <v/>
      </c>
      <c r="V613" s="3">
        <f>IF($F613="","",IFERROR(INDEX('CAT_CENTROS_COSTO'!$D$4:$D$13,MATCH($F613,'CAT_CENTROS_COSTO'!$A$4:$A$13,0)),"(sin catálogo)"))</f>
        <v/>
      </c>
      <c r="W613" s="3">
        <f>IF($F613="","",IF((IFERROR(INDEX('CAT_CENTROS_COSTO'!$E$4:$E$13,MATCH($F613,'CAT_CENTROS_COSTO'!$A$4:$A$13,0)),""))&lt;&gt;"",IFERROR(INDEX('CAT_CENTROS_COSTO'!$E$4:$E$13,MATCH($F613,'CAT_CENTROS_COSTO'!$A$4:$A$13,0)),""),$V613))</f>
        <v/>
      </c>
      <c r="X613" s="3">
        <f>IF($F613="","",IFERROR(INDEX('CAT_CENTROS_COSTO'!$G$4:$G$13,MATCH($F613,'CAT_CENTROS_COSTO'!$A$4:$A$13,0)),"(sin catálogo)"))</f>
        <v/>
      </c>
      <c r="Y613" s="3">
        <f>IF($G613="","",IFERROR(INDEX('CAT_PUESTOS'!$B$4:$B$8,MATCH($G613,'CAT_PUESTOS'!$A$4:$A$8,0)),"(sin catálogo)"))</f>
        <v/>
      </c>
      <c r="Z613" s="3">
        <f>IF($H613="","",IFERROR(INDEX('CAT_ACTIVIDADES'!$B$4:$B$8,MATCH($H613,'CAT_ACTIVIDADES'!$A$4:$A$8,0)),"(sin catálogo)"))</f>
        <v/>
      </c>
      <c r="AA613" s="12">
        <f>IF($J613="","",TODAY()-$J613)</f>
        <v/>
      </c>
      <c r="AB613" s="12">
        <f>IF($J613="","",IF($J613&lt;=TODAY(),COUNTIFS(cal_fechas,"&gt;="&amp;$J613,cal_fechas,"&lt;"&amp;TODAY(),cal_habil,"sí"),-COUNTIFS(cal_fechas,"&gt;="&amp;TODAY(),cal_fechas,"&lt;"&amp;$J613,cal_habil,"sí")))</f>
        <v/>
      </c>
      <c r="AC613" s="3">
        <f>IF($AB613="","",IF($AB613&lt;0,"FUTURO",IF($AB613&gt;p_dias_backlog_max,"BACKLOG","MES CORRIENTE")))</f>
        <v/>
      </c>
      <c r="AD613" s="3">
        <f>IF($AB613="",FALSE,AND($AB613&gt;p_dias_backlog_min,$AB613&lt;=p_dias_backlog_max))</f>
        <v/>
      </c>
      <c r="AE613" s="6" t="n"/>
      <c r="AF613" s="3">
        <f>IF($AE613="","",IF((IFERROR(INDEX('ASIGNACIONES'!$F$4:$F$339,MATCH($O613&amp;"|"&amp;$R613&amp;"|"&amp;$AE613,'ASIGNACIONES'!$J$4:$J$339,0)),""))=0,"",IFERROR(INDEX('ASIGNACIONES'!$F$4:$F$339,MATCH($O613&amp;"|"&amp;$R613&amp;"|"&amp;$AE613,'ASIGNACIONES'!$J$4:$J$339,0)),"")))</f>
        <v/>
      </c>
      <c r="AG613" s="13">
        <f>IF($AE613="","",SUMIFS('ORDENES'!$M$4:$M$1203,'ORDENES'!$AE$4:$AE$1203,$AE613,'ORDENES'!$O$4:$O$1203,$O613,'ORDENES'!$R$4:$R$1203,$R613))</f>
        <v/>
      </c>
      <c r="AH613" s="13">
        <f>IF($AG613="","",p_factor_productividad*IFERROR(INDEX('ASIGNACIONES'!$I$4:$I$339,MATCH($O613&amp;"|"&amp;$R613&amp;"|"&amp;$AE613,'ASIGNACIONES'!$J$4:$J$339,0)),0)-$AG613)</f>
        <v/>
      </c>
      <c r="AI613" s="10">
        <f>IF($A613="","",IFERROR(INDEX('2_IMPORTAR_EJECUCION'!$F$9:$F$1208,MATCH($AQ613,'2_IMPORTAR_EJECUCION'!$J$9:$J$1208,0)),0))</f>
        <v/>
      </c>
      <c r="AJ613" s="10">
        <f>IF($A613="","",MAX(0,IFERROR(INDEX('2_IMPORTAR_EJECUCION'!$H$9:$H$1208,MATCH($AQ613,'2_IMPORTAR_EJECUCION'!$J$9:$J$1208,0)),0)-$AI613))</f>
        <v/>
      </c>
      <c r="AK613" s="10">
        <f>IF($A613="","",$AI613+$AJ613)</f>
        <v/>
      </c>
      <c r="AL613" s="6" t="n"/>
      <c r="AM613" s="6" t="n"/>
      <c r="AN613" s="6" t="n"/>
      <c r="AO613" s="3">
        <f>IF($AN613="","",HYPERLINK(p_ruta_base_checklists&amp;$AN613,"abrir"))</f>
        <v/>
      </c>
      <c r="AP613" s="6" t="n"/>
      <c r="AQ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IF($A614="","",IFERROR(INDEX('AJUSTES'!$B$4:$B$303,MATCH($AQ614,'AJUSTES'!$A$4:$A$303,0)),IF($K614="","",$K614)))</f>
        <v/>
      </c>
      <c r="N614" s="3">
        <f>IF($A614="","",IFERROR(INDEX('CAT_ESTADOS_ERP'!$B$4:$B$7,MATCH(IFERROR(INDEX('2_IMPORTAR_EJECUCION'!$C$9:$C$1208,MATCH($AQ614,'2_IMPORTAR_EJECUCION'!$J$9:$J$1208,0)),""),'CAT_ESTADOS_ERP'!$A$4:$A$7,0)),"Pendiente"))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J614="","",IFERROR(INDEX('CALENDARIO'!$C$15:$C$214,MATCH(TEXT($J614,"yyyy-mm-dd")&amp;"|"&amp;$V614&amp;"|"&amp;$W614,'CALENDARIO'!$G$15:$G$214,0)),IFERROR(INDEX('CALENDARIO'!$C$15:$C$214,MATCH(TEXT($J614,"yyyy-mm-dd")&amp;"|"&amp;$V614&amp;"|",'CALENDARIO'!$G$15:$G$214,0)),IFERROR(INDEX('CALENDARIO'!$C$15:$C$214,MATCH(TEXT($J614,"yyyy-mm-dd")&amp;"||",'CALENDARIO'!$G$15:$G$214,0)),INDEX(patronHabil,WEEKDAY($J614,2))))))</f>
        <v/>
      </c>
      <c r="T614" s="3">
        <f>IF($I614="","",IFERROR(INDEX('CAT_TIPOS_OT'!$C$4:$C$7,MATCH($I614,'CAT_TIPOS_OT'!$A$4:$A$7,0)),"sin_clasificar"))</f>
        <v/>
      </c>
      <c r="U614" s="3">
        <f>IF($F614="","",IFERROR(INDEX('CAT_CENTROS_COSTO'!$F$4:$F$13,MATCH($F614,'CAT_CENTROS_COSTO'!$A$4:$A$13,0)),"(sin catálogo)"))</f>
        <v/>
      </c>
      <c r="V614" s="3">
        <f>IF($F614="","",IFERROR(INDEX('CAT_CENTROS_COSTO'!$D$4:$D$13,MATCH($F614,'CAT_CENTROS_COSTO'!$A$4:$A$13,0)),"(sin catálogo)"))</f>
        <v/>
      </c>
      <c r="W614" s="3">
        <f>IF($F614="","",IF((IFERROR(INDEX('CAT_CENTROS_COSTO'!$E$4:$E$13,MATCH($F614,'CAT_CENTROS_COSTO'!$A$4:$A$13,0)),""))&lt;&gt;"",IFERROR(INDEX('CAT_CENTROS_COSTO'!$E$4:$E$13,MATCH($F614,'CAT_CENTROS_COSTO'!$A$4:$A$13,0)),""),$V614))</f>
        <v/>
      </c>
      <c r="X614" s="3">
        <f>IF($F614="","",IFERROR(INDEX('CAT_CENTROS_COSTO'!$G$4:$G$13,MATCH($F614,'CAT_CENTROS_COSTO'!$A$4:$A$13,0)),"(sin catálogo)"))</f>
        <v/>
      </c>
      <c r="Y614" s="3">
        <f>IF($G614="","",IFERROR(INDEX('CAT_PUESTOS'!$B$4:$B$8,MATCH($G614,'CAT_PUESTOS'!$A$4:$A$8,0)),"(sin catálogo)"))</f>
        <v/>
      </c>
      <c r="Z614" s="3">
        <f>IF($H614="","",IFERROR(INDEX('CAT_ACTIVIDADES'!$B$4:$B$8,MATCH($H614,'CAT_ACTIVIDADES'!$A$4:$A$8,0)),"(sin catálogo)"))</f>
        <v/>
      </c>
      <c r="AA614" s="12">
        <f>IF($J614="","",TODAY()-$J614)</f>
        <v/>
      </c>
      <c r="AB614" s="12">
        <f>IF($J614="","",IF($J614&lt;=TODAY(),COUNTIFS(cal_fechas,"&gt;="&amp;$J614,cal_fechas,"&lt;"&amp;TODAY(),cal_habil,"sí"),-COUNTIFS(cal_fechas,"&gt;="&amp;TODAY(),cal_fechas,"&lt;"&amp;$J614,cal_habil,"sí")))</f>
        <v/>
      </c>
      <c r="AC614" s="3">
        <f>IF($AB614="","",IF($AB614&lt;0,"FUTURO",IF($AB614&gt;p_dias_backlog_max,"BACKLOG","MES CORRIENTE")))</f>
        <v/>
      </c>
      <c r="AD614" s="3">
        <f>IF($AB614="",FALSE,AND($AB614&gt;p_dias_backlog_min,$AB614&lt;=p_dias_backlog_max))</f>
        <v/>
      </c>
      <c r="AE614" s="6" t="n"/>
      <c r="AF614" s="3">
        <f>IF($AE614="","",IF((IFERROR(INDEX('ASIGNACIONES'!$F$4:$F$339,MATCH($O614&amp;"|"&amp;$R614&amp;"|"&amp;$AE614,'ASIGNACIONES'!$J$4:$J$339,0)),""))=0,"",IFERROR(INDEX('ASIGNACIONES'!$F$4:$F$339,MATCH($O614&amp;"|"&amp;$R614&amp;"|"&amp;$AE614,'ASIGNACIONES'!$J$4:$J$339,0)),"")))</f>
        <v/>
      </c>
      <c r="AG614" s="13">
        <f>IF($AE614="","",SUMIFS('ORDENES'!$M$4:$M$1203,'ORDENES'!$AE$4:$AE$1203,$AE614,'ORDENES'!$O$4:$O$1203,$O614,'ORDENES'!$R$4:$R$1203,$R614))</f>
        <v/>
      </c>
      <c r="AH614" s="13">
        <f>IF($AG614="","",p_factor_productividad*IFERROR(INDEX('ASIGNACIONES'!$I$4:$I$339,MATCH($O614&amp;"|"&amp;$R614&amp;"|"&amp;$AE614,'ASIGNACIONES'!$J$4:$J$339,0)),0)-$AG614)</f>
        <v/>
      </c>
      <c r="AI614" s="10">
        <f>IF($A614="","",IFERROR(INDEX('2_IMPORTAR_EJECUCION'!$F$9:$F$1208,MATCH($AQ614,'2_IMPORTAR_EJECUCION'!$J$9:$J$1208,0)),0))</f>
        <v/>
      </c>
      <c r="AJ614" s="10">
        <f>IF($A614="","",MAX(0,IFERROR(INDEX('2_IMPORTAR_EJECUCION'!$H$9:$H$1208,MATCH($AQ614,'2_IMPORTAR_EJECUCION'!$J$9:$J$1208,0)),0)-$AI614))</f>
        <v/>
      </c>
      <c r="AK614" s="10">
        <f>IF($A614="","",$AI614+$AJ614)</f>
        <v/>
      </c>
      <c r="AL614" s="6" t="n"/>
      <c r="AM614" s="6" t="n"/>
      <c r="AN614" s="6" t="n"/>
      <c r="AO614" s="3">
        <f>IF($AN614="","",HYPERLINK(p_ruta_base_checklists&amp;$AN614,"abrir"))</f>
        <v/>
      </c>
      <c r="AP614" s="6" t="n"/>
      <c r="AQ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IF($A615="","",IFERROR(INDEX('AJUSTES'!$B$4:$B$303,MATCH($AQ615,'AJUSTES'!$A$4:$A$303,0)),IF($K615="","",$K615)))</f>
        <v/>
      </c>
      <c r="N615" s="3">
        <f>IF($A615="","",IFERROR(INDEX('CAT_ESTADOS_ERP'!$B$4:$B$7,MATCH(IFERROR(INDEX('2_IMPORTAR_EJECUCION'!$C$9:$C$1208,MATCH($AQ615,'2_IMPORTAR_EJECUCION'!$J$9:$J$1208,0)),""),'CAT_ESTADOS_ERP'!$A$4:$A$7,0)),"Pendiente"))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J615="","",IFERROR(INDEX('CALENDARIO'!$C$15:$C$214,MATCH(TEXT($J615,"yyyy-mm-dd")&amp;"|"&amp;$V615&amp;"|"&amp;$W615,'CALENDARIO'!$G$15:$G$214,0)),IFERROR(INDEX('CALENDARIO'!$C$15:$C$214,MATCH(TEXT($J615,"yyyy-mm-dd")&amp;"|"&amp;$V615&amp;"|",'CALENDARIO'!$G$15:$G$214,0)),IFERROR(INDEX('CALENDARIO'!$C$15:$C$214,MATCH(TEXT($J615,"yyyy-mm-dd")&amp;"||",'CALENDARIO'!$G$15:$G$214,0)),INDEX(patronHabil,WEEKDAY($J615,2))))))</f>
        <v/>
      </c>
      <c r="T615" s="3">
        <f>IF($I615="","",IFERROR(INDEX('CAT_TIPOS_OT'!$C$4:$C$7,MATCH($I615,'CAT_TIPOS_OT'!$A$4:$A$7,0)),"sin_clasificar"))</f>
        <v/>
      </c>
      <c r="U615" s="3">
        <f>IF($F615="","",IFERROR(INDEX('CAT_CENTROS_COSTO'!$F$4:$F$13,MATCH($F615,'CAT_CENTROS_COSTO'!$A$4:$A$13,0)),"(sin catálogo)"))</f>
        <v/>
      </c>
      <c r="V615" s="3">
        <f>IF($F615="","",IFERROR(INDEX('CAT_CENTROS_COSTO'!$D$4:$D$13,MATCH($F615,'CAT_CENTROS_COSTO'!$A$4:$A$13,0)),"(sin catálogo)"))</f>
        <v/>
      </c>
      <c r="W615" s="3">
        <f>IF($F615="","",IF((IFERROR(INDEX('CAT_CENTROS_COSTO'!$E$4:$E$13,MATCH($F615,'CAT_CENTROS_COSTO'!$A$4:$A$13,0)),""))&lt;&gt;"",IFERROR(INDEX('CAT_CENTROS_COSTO'!$E$4:$E$13,MATCH($F615,'CAT_CENTROS_COSTO'!$A$4:$A$13,0)),""),$V615))</f>
        <v/>
      </c>
      <c r="X615" s="3">
        <f>IF($F615="","",IFERROR(INDEX('CAT_CENTROS_COSTO'!$G$4:$G$13,MATCH($F615,'CAT_CENTROS_COSTO'!$A$4:$A$13,0)),"(sin catálogo)"))</f>
        <v/>
      </c>
      <c r="Y615" s="3">
        <f>IF($G615="","",IFERROR(INDEX('CAT_PUESTOS'!$B$4:$B$8,MATCH($G615,'CAT_PUESTOS'!$A$4:$A$8,0)),"(sin catálogo)"))</f>
        <v/>
      </c>
      <c r="Z615" s="3">
        <f>IF($H615="","",IFERROR(INDEX('CAT_ACTIVIDADES'!$B$4:$B$8,MATCH($H615,'CAT_ACTIVIDADES'!$A$4:$A$8,0)),"(sin catálogo)"))</f>
        <v/>
      </c>
      <c r="AA615" s="12">
        <f>IF($J615="","",TODAY()-$J615)</f>
        <v/>
      </c>
      <c r="AB615" s="12">
        <f>IF($J615="","",IF($J615&lt;=TODAY(),COUNTIFS(cal_fechas,"&gt;="&amp;$J615,cal_fechas,"&lt;"&amp;TODAY(),cal_habil,"sí"),-COUNTIFS(cal_fechas,"&gt;="&amp;TODAY(),cal_fechas,"&lt;"&amp;$J615,cal_habil,"sí")))</f>
        <v/>
      </c>
      <c r="AC615" s="3">
        <f>IF($AB615="","",IF($AB615&lt;0,"FUTURO",IF($AB615&gt;p_dias_backlog_max,"BACKLOG","MES CORRIENTE")))</f>
        <v/>
      </c>
      <c r="AD615" s="3">
        <f>IF($AB615="",FALSE,AND($AB615&gt;p_dias_backlog_min,$AB615&lt;=p_dias_backlog_max))</f>
        <v/>
      </c>
      <c r="AE615" s="6" t="n"/>
      <c r="AF615" s="3">
        <f>IF($AE615="","",IF((IFERROR(INDEX('ASIGNACIONES'!$F$4:$F$339,MATCH($O615&amp;"|"&amp;$R615&amp;"|"&amp;$AE615,'ASIGNACIONES'!$J$4:$J$339,0)),""))=0,"",IFERROR(INDEX('ASIGNACIONES'!$F$4:$F$339,MATCH($O615&amp;"|"&amp;$R615&amp;"|"&amp;$AE615,'ASIGNACIONES'!$J$4:$J$339,0)),"")))</f>
        <v/>
      </c>
      <c r="AG615" s="13">
        <f>IF($AE615="","",SUMIFS('ORDENES'!$M$4:$M$1203,'ORDENES'!$AE$4:$AE$1203,$AE615,'ORDENES'!$O$4:$O$1203,$O615,'ORDENES'!$R$4:$R$1203,$R615))</f>
        <v/>
      </c>
      <c r="AH615" s="13">
        <f>IF($AG615="","",p_factor_productividad*IFERROR(INDEX('ASIGNACIONES'!$I$4:$I$339,MATCH($O615&amp;"|"&amp;$R615&amp;"|"&amp;$AE615,'ASIGNACIONES'!$J$4:$J$339,0)),0)-$AG615)</f>
        <v/>
      </c>
      <c r="AI615" s="10">
        <f>IF($A615="","",IFERROR(INDEX('2_IMPORTAR_EJECUCION'!$F$9:$F$1208,MATCH($AQ615,'2_IMPORTAR_EJECUCION'!$J$9:$J$1208,0)),0))</f>
        <v/>
      </c>
      <c r="AJ615" s="10">
        <f>IF($A615="","",MAX(0,IFERROR(INDEX('2_IMPORTAR_EJECUCION'!$H$9:$H$1208,MATCH($AQ615,'2_IMPORTAR_EJECUCION'!$J$9:$J$1208,0)),0)-$AI615))</f>
        <v/>
      </c>
      <c r="AK615" s="10">
        <f>IF($A615="","",$AI615+$AJ615)</f>
        <v/>
      </c>
      <c r="AL615" s="6" t="n"/>
      <c r="AM615" s="6" t="n"/>
      <c r="AN615" s="6" t="n"/>
      <c r="AO615" s="3">
        <f>IF($AN615="","",HYPERLINK(p_ruta_base_checklists&amp;$AN615,"abrir"))</f>
        <v/>
      </c>
      <c r="AP615" s="6" t="n"/>
      <c r="AQ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IF($A616="","",IFERROR(INDEX('AJUSTES'!$B$4:$B$303,MATCH($AQ616,'AJUSTES'!$A$4:$A$303,0)),IF($K616="","",$K616)))</f>
        <v/>
      </c>
      <c r="N616" s="3">
        <f>IF($A616="","",IFERROR(INDEX('CAT_ESTADOS_ERP'!$B$4:$B$7,MATCH(IFERROR(INDEX('2_IMPORTAR_EJECUCION'!$C$9:$C$1208,MATCH($AQ616,'2_IMPORTAR_EJECUCION'!$J$9:$J$1208,0)),""),'CAT_ESTADOS_ERP'!$A$4:$A$7,0)),"Pendiente"))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J616="","",IFERROR(INDEX('CALENDARIO'!$C$15:$C$214,MATCH(TEXT($J616,"yyyy-mm-dd")&amp;"|"&amp;$V616&amp;"|"&amp;$W616,'CALENDARIO'!$G$15:$G$214,0)),IFERROR(INDEX('CALENDARIO'!$C$15:$C$214,MATCH(TEXT($J616,"yyyy-mm-dd")&amp;"|"&amp;$V616&amp;"|",'CALENDARIO'!$G$15:$G$214,0)),IFERROR(INDEX('CALENDARIO'!$C$15:$C$214,MATCH(TEXT($J616,"yyyy-mm-dd")&amp;"||",'CALENDARIO'!$G$15:$G$214,0)),INDEX(patronHabil,WEEKDAY($J616,2))))))</f>
        <v/>
      </c>
      <c r="T616" s="3">
        <f>IF($I616="","",IFERROR(INDEX('CAT_TIPOS_OT'!$C$4:$C$7,MATCH($I616,'CAT_TIPOS_OT'!$A$4:$A$7,0)),"sin_clasificar"))</f>
        <v/>
      </c>
      <c r="U616" s="3">
        <f>IF($F616="","",IFERROR(INDEX('CAT_CENTROS_COSTO'!$F$4:$F$13,MATCH($F616,'CAT_CENTROS_COSTO'!$A$4:$A$13,0)),"(sin catálogo)"))</f>
        <v/>
      </c>
      <c r="V616" s="3">
        <f>IF($F616="","",IFERROR(INDEX('CAT_CENTROS_COSTO'!$D$4:$D$13,MATCH($F616,'CAT_CENTROS_COSTO'!$A$4:$A$13,0)),"(sin catálogo)"))</f>
        <v/>
      </c>
      <c r="W616" s="3">
        <f>IF($F616="","",IF((IFERROR(INDEX('CAT_CENTROS_COSTO'!$E$4:$E$13,MATCH($F616,'CAT_CENTROS_COSTO'!$A$4:$A$13,0)),""))&lt;&gt;"",IFERROR(INDEX('CAT_CENTROS_COSTO'!$E$4:$E$13,MATCH($F616,'CAT_CENTROS_COSTO'!$A$4:$A$13,0)),""),$V616))</f>
        <v/>
      </c>
      <c r="X616" s="3">
        <f>IF($F616="","",IFERROR(INDEX('CAT_CENTROS_COSTO'!$G$4:$G$13,MATCH($F616,'CAT_CENTROS_COSTO'!$A$4:$A$13,0)),"(sin catálogo)"))</f>
        <v/>
      </c>
      <c r="Y616" s="3">
        <f>IF($G616="","",IFERROR(INDEX('CAT_PUESTOS'!$B$4:$B$8,MATCH($G616,'CAT_PUESTOS'!$A$4:$A$8,0)),"(sin catálogo)"))</f>
        <v/>
      </c>
      <c r="Z616" s="3">
        <f>IF($H616="","",IFERROR(INDEX('CAT_ACTIVIDADES'!$B$4:$B$8,MATCH($H616,'CAT_ACTIVIDADES'!$A$4:$A$8,0)),"(sin catálogo)"))</f>
        <v/>
      </c>
      <c r="AA616" s="12">
        <f>IF($J616="","",TODAY()-$J616)</f>
        <v/>
      </c>
      <c r="AB616" s="12">
        <f>IF($J616="","",IF($J616&lt;=TODAY(),COUNTIFS(cal_fechas,"&gt;="&amp;$J616,cal_fechas,"&lt;"&amp;TODAY(),cal_habil,"sí"),-COUNTIFS(cal_fechas,"&gt;="&amp;TODAY(),cal_fechas,"&lt;"&amp;$J616,cal_habil,"sí")))</f>
        <v/>
      </c>
      <c r="AC616" s="3">
        <f>IF($AB616="","",IF($AB616&lt;0,"FUTURO",IF($AB616&gt;p_dias_backlog_max,"BACKLOG","MES CORRIENTE")))</f>
        <v/>
      </c>
      <c r="AD616" s="3">
        <f>IF($AB616="",FALSE,AND($AB616&gt;p_dias_backlog_min,$AB616&lt;=p_dias_backlog_max))</f>
        <v/>
      </c>
      <c r="AE616" s="6" t="n"/>
      <c r="AF616" s="3">
        <f>IF($AE616="","",IF((IFERROR(INDEX('ASIGNACIONES'!$F$4:$F$339,MATCH($O616&amp;"|"&amp;$R616&amp;"|"&amp;$AE616,'ASIGNACIONES'!$J$4:$J$339,0)),""))=0,"",IFERROR(INDEX('ASIGNACIONES'!$F$4:$F$339,MATCH($O616&amp;"|"&amp;$R616&amp;"|"&amp;$AE616,'ASIGNACIONES'!$J$4:$J$339,0)),"")))</f>
        <v/>
      </c>
      <c r="AG616" s="13">
        <f>IF($AE616="","",SUMIFS('ORDENES'!$M$4:$M$1203,'ORDENES'!$AE$4:$AE$1203,$AE616,'ORDENES'!$O$4:$O$1203,$O616,'ORDENES'!$R$4:$R$1203,$R616))</f>
        <v/>
      </c>
      <c r="AH616" s="13">
        <f>IF($AG616="","",p_factor_productividad*IFERROR(INDEX('ASIGNACIONES'!$I$4:$I$339,MATCH($O616&amp;"|"&amp;$R616&amp;"|"&amp;$AE616,'ASIGNACIONES'!$J$4:$J$339,0)),0)-$AG616)</f>
        <v/>
      </c>
      <c r="AI616" s="10">
        <f>IF($A616="","",IFERROR(INDEX('2_IMPORTAR_EJECUCION'!$F$9:$F$1208,MATCH($AQ616,'2_IMPORTAR_EJECUCION'!$J$9:$J$1208,0)),0))</f>
        <v/>
      </c>
      <c r="AJ616" s="10">
        <f>IF($A616="","",MAX(0,IFERROR(INDEX('2_IMPORTAR_EJECUCION'!$H$9:$H$1208,MATCH($AQ616,'2_IMPORTAR_EJECUCION'!$J$9:$J$1208,0)),0)-$AI616))</f>
        <v/>
      </c>
      <c r="AK616" s="10">
        <f>IF($A616="","",$AI616+$AJ616)</f>
        <v/>
      </c>
      <c r="AL616" s="6" t="n"/>
      <c r="AM616" s="6" t="n"/>
      <c r="AN616" s="6" t="n"/>
      <c r="AO616" s="3">
        <f>IF($AN616="","",HYPERLINK(p_ruta_base_checklists&amp;$AN616,"abrir"))</f>
        <v/>
      </c>
      <c r="AP616" s="6" t="n"/>
      <c r="AQ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IF($A617="","",IFERROR(INDEX('AJUSTES'!$B$4:$B$303,MATCH($AQ617,'AJUSTES'!$A$4:$A$303,0)),IF($K617="","",$K617)))</f>
        <v/>
      </c>
      <c r="N617" s="3">
        <f>IF($A617="","",IFERROR(INDEX('CAT_ESTADOS_ERP'!$B$4:$B$7,MATCH(IFERROR(INDEX('2_IMPORTAR_EJECUCION'!$C$9:$C$1208,MATCH($AQ617,'2_IMPORTAR_EJECUCION'!$J$9:$J$1208,0)),""),'CAT_ESTADOS_ERP'!$A$4:$A$7,0)),"Pendiente"))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J617="","",IFERROR(INDEX('CALENDARIO'!$C$15:$C$214,MATCH(TEXT($J617,"yyyy-mm-dd")&amp;"|"&amp;$V617&amp;"|"&amp;$W617,'CALENDARIO'!$G$15:$G$214,0)),IFERROR(INDEX('CALENDARIO'!$C$15:$C$214,MATCH(TEXT($J617,"yyyy-mm-dd")&amp;"|"&amp;$V617&amp;"|",'CALENDARIO'!$G$15:$G$214,0)),IFERROR(INDEX('CALENDARIO'!$C$15:$C$214,MATCH(TEXT($J617,"yyyy-mm-dd")&amp;"||",'CALENDARIO'!$G$15:$G$214,0)),INDEX(patronHabil,WEEKDAY($J617,2))))))</f>
        <v/>
      </c>
      <c r="T617" s="3">
        <f>IF($I617="","",IFERROR(INDEX('CAT_TIPOS_OT'!$C$4:$C$7,MATCH($I617,'CAT_TIPOS_OT'!$A$4:$A$7,0)),"sin_clasificar"))</f>
        <v/>
      </c>
      <c r="U617" s="3">
        <f>IF($F617="","",IFERROR(INDEX('CAT_CENTROS_COSTO'!$F$4:$F$13,MATCH($F617,'CAT_CENTROS_COSTO'!$A$4:$A$13,0)),"(sin catálogo)"))</f>
        <v/>
      </c>
      <c r="V617" s="3">
        <f>IF($F617="","",IFERROR(INDEX('CAT_CENTROS_COSTO'!$D$4:$D$13,MATCH($F617,'CAT_CENTROS_COSTO'!$A$4:$A$13,0)),"(sin catálogo)"))</f>
        <v/>
      </c>
      <c r="W617" s="3">
        <f>IF($F617="","",IF((IFERROR(INDEX('CAT_CENTROS_COSTO'!$E$4:$E$13,MATCH($F617,'CAT_CENTROS_COSTO'!$A$4:$A$13,0)),""))&lt;&gt;"",IFERROR(INDEX('CAT_CENTROS_COSTO'!$E$4:$E$13,MATCH($F617,'CAT_CENTROS_COSTO'!$A$4:$A$13,0)),""),$V617))</f>
        <v/>
      </c>
      <c r="X617" s="3">
        <f>IF($F617="","",IFERROR(INDEX('CAT_CENTROS_COSTO'!$G$4:$G$13,MATCH($F617,'CAT_CENTROS_COSTO'!$A$4:$A$13,0)),"(sin catálogo)"))</f>
        <v/>
      </c>
      <c r="Y617" s="3">
        <f>IF($G617="","",IFERROR(INDEX('CAT_PUESTOS'!$B$4:$B$8,MATCH($G617,'CAT_PUESTOS'!$A$4:$A$8,0)),"(sin catálogo)"))</f>
        <v/>
      </c>
      <c r="Z617" s="3">
        <f>IF($H617="","",IFERROR(INDEX('CAT_ACTIVIDADES'!$B$4:$B$8,MATCH($H617,'CAT_ACTIVIDADES'!$A$4:$A$8,0)),"(sin catálogo)"))</f>
        <v/>
      </c>
      <c r="AA617" s="12">
        <f>IF($J617="","",TODAY()-$J617)</f>
        <v/>
      </c>
      <c r="AB617" s="12">
        <f>IF($J617="","",IF($J617&lt;=TODAY(),COUNTIFS(cal_fechas,"&gt;="&amp;$J617,cal_fechas,"&lt;"&amp;TODAY(),cal_habil,"sí"),-COUNTIFS(cal_fechas,"&gt;="&amp;TODAY(),cal_fechas,"&lt;"&amp;$J617,cal_habil,"sí")))</f>
        <v/>
      </c>
      <c r="AC617" s="3">
        <f>IF($AB617="","",IF($AB617&lt;0,"FUTURO",IF($AB617&gt;p_dias_backlog_max,"BACKLOG","MES CORRIENTE")))</f>
        <v/>
      </c>
      <c r="AD617" s="3">
        <f>IF($AB617="",FALSE,AND($AB617&gt;p_dias_backlog_min,$AB617&lt;=p_dias_backlog_max))</f>
        <v/>
      </c>
      <c r="AE617" s="6" t="n"/>
      <c r="AF617" s="3">
        <f>IF($AE617="","",IF((IFERROR(INDEX('ASIGNACIONES'!$F$4:$F$339,MATCH($O617&amp;"|"&amp;$R617&amp;"|"&amp;$AE617,'ASIGNACIONES'!$J$4:$J$339,0)),""))=0,"",IFERROR(INDEX('ASIGNACIONES'!$F$4:$F$339,MATCH($O617&amp;"|"&amp;$R617&amp;"|"&amp;$AE617,'ASIGNACIONES'!$J$4:$J$339,0)),"")))</f>
        <v/>
      </c>
      <c r="AG617" s="13">
        <f>IF($AE617="","",SUMIFS('ORDENES'!$M$4:$M$1203,'ORDENES'!$AE$4:$AE$1203,$AE617,'ORDENES'!$O$4:$O$1203,$O617,'ORDENES'!$R$4:$R$1203,$R617))</f>
        <v/>
      </c>
      <c r="AH617" s="13">
        <f>IF($AG617="","",p_factor_productividad*IFERROR(INDEX('ASIGNACIONES'!$I$4:$I$339,MATCH($O617&amp;"|"&amp;$R617&amp;"|"&amp;$AE617,'ASIGNACIONES'!$J$4:$J$339,0)),0)-$AG617)</f>
        <v/>
      </c>
      <c r="AI617" s="10">
        <f>IF($A617="","",IFERROR(INDEX('2_IMPORTAR_EJECUCION'!$F$9:$F$1208,MATCH($AQ617,'2_IMPORTAR_EJECUCION'!$J$9:$J$1208,0)),0))</f>
        <v/>
      </c>
      <c r="AJ617" s="10">
        <f>IF($A617="","",MAX(0,IFERROR(INDEX('2_IMPORTAR_EJECUCION'!$H$9:$H$1208,MATCH($AQ617,'2_IMPORTAR_EJECUCION'!$J$9:$J$1208,0)),0)-$AI617))</f>
        <v/>
      </c>
      <c r="AK617" s="10">
        <f>IF($A617="","",$AI617+$AJ617)</f>
        <v/>
      </c>
      <c r="AL617" s="6" t="n"/>
      <c r="AM617" s="6" t="n"/>
      <c r="AN617" s="6" t="n"/>
      <c r="AO617" s="3">
        <f>IF($AN617="","",HYPERLINK(p_ruta_base_checklists&amp;$AN617,"abrir"))</f>
        <v/>
      </c>
      <c r="AP617" s="6" t="n"/>
      <c r="AQ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IF($A618="","",IFERROR(INDEX('AJUSTES'!$B$4:$B$303,MATCH($AQ618,'AJUSTES'!$A$4:$A$303,0)),IF($K618="","",$K618)))</f>
        <v/>
      </c>
      <c r="N618" s="3">
        <f>IF($A618="","",IFERROR(INDEX('CAT_ESTADOS_ERP'!$B$4:$B$7,MATCH(IFERROR(INDEX('2_IMPORTAR_EJECUCION'!$C$9:$C$1208,MATCH($AQ618,'2_IMPORTAR_EJECUCION'!$J$9:$J$1208,0)),""),'CAT_ESTADOS_ERP'!$A$4:$A$7,0)),"Pendiente"))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J618="","",IFERROR(INDEX('CALENDARIO'!$C$15:$C$214,MATCH(TEXT($J618,"yyyy-mm-dd")&amp;"|"&amp;$V618&amp;"|"&amp;$W618,'CALENDARIO'!$G$15:$G$214,0)),IFERROR(INDEX('CALENDARIO'!$C$15:$C$214,MATCH(TEXT($J618,"yyyy-mm-dd")&amp;"|"&amp;$V618&amp;"|",'CALENDARIO'!$G$15:$G$214,0)),IFERROR(INDEX('CALENDARIO'!$C$15:$C$214,MATCH(TEXT($J618,"yyyy-mm-dd")&amp;"||",'CALENDARIO'!$G$15:$G$214,0)),INDEX(patronHabil,WEEKDAY($J618,2))))))</f>
        <v/>
      </c>
      <c r="T618" s="3">
        <f>IF($I618="","",IFERROR(INDEX('CAT_TIPOS_OT'!$C$4:$C$7,MATCH($I618,'CAT_TIPOS_OT'!$A$4:$A$7,0)),"sin_clasificar"))</f>
        <v/>
      </c>
      <c r="U618" s="3">
        <f>IF($F618="","",IFERROR(INDEX('CAT_CENTROS_COSTO'!$F$4:$F$13,MATCH($F618,'CAT_CENTROS_COSTO'!$A$4:$A$13,0)),"(sin catálogo)"))</f>
        <v/>
      </c>
      <c r="V618" s="3">
        <f>IF($F618="","",IFERROR(INDEX('CAT_CENTROS_COSTO'!$D$4:$D$13,MATCH($F618,'CAT_CENTROS_COSTO'!$A$4:$A$13,0)),"(sin catálogo)"))</f>
        <v/>
      </c>
      <c r="W618" s="3">
        <f>IF($F618="","",IF((IFERROR(INDEX('CAT_CENTROS_COSTO'!$E$4:$E$13,MATCH($F618,'CAT_CENTROS_COSTO'!$A$4:$A$13,0)),""))&lt;&gt;"",IFERROR(INDEX('CAT_CENTROS_COSTO'!$E$4:$E$13,MATCH($F618,'CAT_CENTROS_COSTO'!$A$4:$A$13,0)),""),$V618))</f>
        <v/>
      </c>
      <c r="X618" s="3">
        <f>IF($F618="","",IFERROR(INDEX('CAT_CENTROS_COSTO'!$G$4:$G$13,MATCH($F618,'CAT_CENTROS_COSTO'!$A$4:$A$13,0)),"(sin catálogo)"))</f>
        <v/>
      </c>
      <c r="Y618" s="3">
        <f>IF($G618="","",IFERROR(INDEX('CAT_PUESTOS'!$B$4:$B$8,MATCH($G618,'CAT_PUESTOS'!$A$4:$A$8,0)),"(sin catálogo)"))</f>
        <v/>
      </c>
      <c r="Z618" s="3">
        <f>IF($H618="","",IFERROR(INDEX('CAT_ACTIVIDADES'!$B$4:$B$8,MATCH($H618,'CAT_ACTIVIDADES'!$A$4:$A$8,0)),"(sin catálogo)"))</f>
        <v/>
      </c>
      <c r="AA618" s="12">
        <f>IF($J618="","",TODAY()-$J618)</f>
        <v/>
      </c>
      <c r="AB618" s="12">
        <f>IF($J618="","",IF($J618&lt;=TODAY(),COUNTIFS(cal_fechas,"&gt;="&amp;$J618,cal_fechas,"&lt;"&amp;TODAY(),cal_habil,"sí"),-COUNTIFS(cal_fechas,"&gt;="&amp;TODAY(),cal_fechas,"&lt;"&amp;$J618,cal_habil,"sí")))</f>
        <v/>
      </c>
      <c r="AC618" s="3">
        <f>IF($AB618="","",IF($AB618&lt;0,"FUTURO",IF($AB618&gt;p_dias_backlog_max,"BACKLOG","MES CORRIENTE")))</f>
        <v/>
      </c>
      <c r="AD618" s="3">
        <f>IF($AB618="",FALSE,AND($AB618&gt;p_dias_backlog_min,$AB618&lt;=p_dias_backlog_max))</f>
        <v/>
      </c>
      <c r="AE618" s="6" t="n"/>
      <c r="AF618" s="3">
        <f>IF($AE618="","",IF((IFERROR(INDEX('ASIGNACIONES'!$F$4:$F$339,MATCH($O618&amp;"|"&amp;$R618&amp;"|"&amp;$AE618,'ASIGNACIONES'!$J$4:$J$339,0)),""))=0,"",IFERROR(INDEX('ASIGNACIONES'!$F$4:$F$339,MATCH($O618&amp;"|"&amp;$R618&amp;"|"&amp;$AE618,'ASIGNACIONES'!$J$4:$J$339,0)),"")))</f>
        <v/>
      </c>
      <c r="AG618" s="13">
        <f>IF($AE618="","",SUMIFS('ORDENES'!$M$4:$M$1203,'ORDENES'!$AE$4:$AE$1203,$AE618,'ORDENES'!$O$4:$O$1203,$O618,'ORDENES'!$R$4:$R$1203,$R618))</f>
        <v/>
      </c>
      <c r="AH618" s="13">
        <f>IF($AG618="","",p_factor_productividad*IFERROR(INDEX('ASIGNACIONES'!$I$4:$I$339,MATCH($O618&amp;"|"&amp;$R618&amp;"|"&amp;$AE618,'ASIGNACIONES'!$J$4:$J$339,0)),0)-$AG618)</f>
        <v/>
      </c>
      <c r="AI618" s="10">
        <f>IF($A618="","",IFERROR(INDEX('2_IMPORTAR_EJECUCION'!$F$9:$F$1208,MATCH($AQ618,'2_IMPORTAR_EJECUCION'!$J$9:$J$1208,0)),0))</f>
        <v/>
      </c>
      <c r="AJ618" s="10">
        <f>IF($A618="","",MAX(0,IFERROR(INDEX('2_IMPORTAR_EJECUCION'!$H$9:$H$1208,MATCH($AQ618,'2_IMPORTAR_EJECUCION'!$J$9:$J$1208,0)),0)-$AI618))</f>
        <v/>
      </c>
      <c r="AK618" s="10">
        <f>IF($A618="","",$AI618+$AJ618)</f>
        <v/>
      </c>
      <c r="AL618" s="6" t="n"/>
      <c r="AM618" s="6" t="n"/>
      <c r="AN618" s="6" t="n"/>
      <c r="AO618" s="3">
        <f>IF($AN618="","",HYPERLINK(p_ruta_base_checklists&amp;$AN618,"abrir"))</f>
        <v/>
      </c>
      <c r="AP618" s="6" t="n"/>
      <c r="AQ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IF($A619="","",IFERROR(INDEX('AJUSTES'!$B$4:$B$303,MATCH($AQ619,'AJUSTES'!$A$4:$A$303,0)),IF($K619="","",$K619)))</f>
        <v/>
      </c>
      <c r="N619" s="3">
        <f>IF($A619="","",IFERROR(INDEX('CAT_ESTADOS_ERP'!$B$4:$B$7,MATCH(IFERROR(INDEX('2_IMPORTAR_EJECUCION'!$C$9:$C$1208,MATCH($AQ619,'2_IMPORTAR_EJECUCION'!$J$9:$J$1208,0)),""),'CAT_ESTADOS_ERP'!$A$4:$A$7,0)),"Pendiente"))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J619="","",IFERROR(INDEX('CALENDARIO'!$C$15:$C$214,MATCH(TEXT($J619,"yyyy-mm-dd")&amp;"|"&amp;$V619&amp;"|"&amp;$W619,'CALENDARIO'!$G$15:$G$214,0)),IFERROR(INDEX('CALENDARIO'!$C$15:$C$214,MATCH(TEXT($J619,"yyyy-mm-dd")&amp;"|"&amp;$V619&amp;"|",'CALENDARIO'!$G$15:$G$214,0)),IFERROR(INDEX('CALENDARIO'!$C$15:$C$214,MATCH(TEXT($J619,"yyyy-mm-dd")&amp;"||",'CALENDARIO'!$G$15:$G$214,0)),INDEX(patronHabil,WEEKDAY($J619,2))))))</f>
        <v/>
      </c>
      <c r="T619" s="3">
        <f>IF($I619="","",IFERROR(INDEX('CAT_TIPOS_OT'!$C$4:$C$7,MATCH($I619,'CAT_TIPOS_OT'!$A$4:$A$7,0)),"sin_clasificar"))</f>
        <v/>
      </c>
      <c r="U619" s="3">
        <f>IF($F619="","",IFERROR(INDEX('CAT_CENTROS_COSTO'!$F$4:$F$13,MATCH($F619,'CAT_CENTROS_COSTO'!$A$4:$A$13,0)),"(sin catálogo)"))</f>
        <v/>
      </c>
      <c r="V619" s="3">
        <f>IF($F619="","",IFERROR(INDEX('CAT_CENTROS_COSTO'!$D$4:$D$13,MATCH($F619,'CAT_CENTROS_COSTO'!$A$4:$A$13,0)),"(sin catálogo)"))</f>
        <v/>
      </c>
      <c r="W619" s="3">
        <f>IF($F619="","",IF((IFERROR(INDEX('CAT_CENTROS_COSTO'!$E$4:$E$13,MATCH($F619,'CAT_CENTROS_COSTO'!$A$4:$A$13,0)),""))&lt;&gt;"",IFERROR(INDEX('CAT_CENTROS_COSTO'!$E$4:$E$13,MATCH($F619,'CAT_CENTROS_COSTO'!$A$4:$A$13,0)),""),$V619))</f>
        <v/>
      </c>
      <c r="X619" s="3">
        <f>IF($F619="","",IFERROR(INDEX('CAT_CENTROS_COSTO'!$G$4:$G$13,MATCH($F619,'CAT_CENTROS_COSTO'!$A$4:$A$13,0)),"(sin catálogo)"))</f>
        <v/>
      </c>
      <c r="Y619" s="3">
        <f>IF($G619="","",IFERROR(INDEX('CAT_PUESTOS'!$B$4:$B$8,MATCH($G619,'CAT_PUESTOS'!$A$4:$A$8,0)),"(sin catálogo)"))</f>
        <v/>
      </c>
      <c r="Z619" s="3">
        <f>IF($H619="","",IFERROR(INDEX('CAT_ACTIVIDADES'!$B$4:$B$8,MATCH($H619,'CAT_ACTIVIDADES'!$A$4:$A$8,0)),"(sin catálogo)"))</f>
        <v/>
      </c>
      <c r="AA619" s="12">
        <f>IF($J619="","",TODAY()-$J619)</f>
        <v/>
      </c>
      <c r="AB619" s="12">
        <f>IF($J619="","",IF($J619&lt;=TODAY(),COUNTIFS(cal_fechas,"&gt;="&amp;$J619,cal_fechas,"&lt;"&amp;TODAY(),cal_habil,"sí"),-COUNTIFS(cal_fechas,"&gt;="&amp;TODAY(),cal_fechas,"&lt;"&amp;$J619,cal_habil,"sí")))</f>
        <v/>
      </c>
      <c r="AC619" s="3">
        <f>IF($AB619="","",IF($AB619&lt;0,"FUTURO",IF($AB619&gt;p_dias_backlog_max,"BACKLOG","MES CORRIENTE")))</f>
        <v/>
      </c>
      <c r="AD619" s="3">
        <f>IF($AB619="",FALSE,AND($AB619&gt;p_dias_backlog_min,$AB619&lt;=p_dias_backlog_max))</f>
        <v/>
      </c>
      <c r="AE619" s="6" t="n"/>
      <c r="AF619" s="3">
        <f>IF($AE619="","",IF((IFERROR(INDEX('ASIGNACIONES'!$F$4:$F$339,MATCH($O619&amp;"|"&amp;$R619&amp;"|"&amp;$AE619,'ASIGNACIONES'!$J$4:$J$339,0)),""))=0,"",IFERROR(INDEX('ASIGNACIONES'!$F$4:$F$339,MATCH($O619&amp;"|"&amp;$R619&amp;"|"&amp;$AE619,'ASIGNACIONES'!$J$4:$J$339,0)),"")))</f>
        <v/>
      </c>
      <c r="AG619" s="13">
        <f>IF($AE619="","",SUMIFS('ORDENES'!$M$4:$M$1203,'ORDENES'!$AE$4:$AE$1203,$AE619,'ORDENES'!$O$4:$O$1203,$O619,'ORDENES'!$R$4:$R$1203,$R619))</f>
        <v/>
      </c>
      <c r="AH619" s="13">
        <f>IF($AG619="","",p_factor_productividad*IFERROR(INDEX('ASIGNACIONES'!$I$4:$I$339,MATCH($O619&amp;"|"&amp;$R619&amp;"|"&amp;$AE619,'ASIGNACIONES'!$J$4:$J$339,0)),0)-$AG619)</f>
        <v/>
      </c>
      <c r="AI619" s="10">
        <f>IF($A619="","",IFERROR(INDEX('2_IMPORTAR_EJECUCION'!$F$9:$F$1208,MATCH($AQ619,'2_IMPORTAR_EJECUCION'!$J$9:$J$1208,0)),0))</f>
        <v/>
      </c>
      <c r="AJ619" s="10">
        <f>IF($A619="","",MAX(0,IFERROR(INDEX('2_IMPORTAR_EJECUCION'!$H$9:$H$1208,MATCH($AQ619,'2_IMPORTAR_EJECUCION'!$J$9:$J$1208,0)),0)-$AI619))</f>
        <v/>
      </c>
      <c r="AK619" s="10">
        <f>IF($A619="","",$AI619+$AJ619)</f>
        <v/>
      </c>
      <c r="AL619" s="6" t="n"/>
      <c r="AM619" s="6" t="n"/>
      <c r="AN619" s="6" t="n"/>
      <c r="AO619" s="3">
        <f>IF($AN619="","",HYPERLINK(p_ruta_base_checklists&amp;$AN619,"abrir"))</f>
        <v/>
      </c>
      <c r="AP619" s="6" t="n"/>
      <c r="AQ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IF($A620="","",IFERROR(INDEX('AJUSTES'!$B$4:$B$303,MATCH($AQ620,'AJUSTES'!$A$4:$A$303,0)),IF($K620="","",$K620)))</f>
        <v/>
      </c>
      <c r="N620" s="3">
        <f>IF($A620="","",IFERROR(INDEX('CAT_ESTADOS_ERP'!$B$4:$B$7,MATCH(IFERROR(INDEX('2_IMPORTAR_EJECUCION'!$C$9:$C$1208,MATCH($AQ620,'2_IMPORTAR_EJECUCION'!$J$9:$J$1208,0)),""),'CAT_ESTADOS_ERP'!$A$4:$A$7,0)),"Pendiente"))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J620="","",IFERROR(INDEX('CALENDARIO'!$C$15:$C$214,MATCH(TEXT($J620,"yyyy-mm-dd")&amp;"|"&amp;$V620&amp;"|"&amp;$W620,'CALENDARIO'!$G$15:$G$214,0)),IFERROR(INDEX('CALENDARIO'!$C$15:$C$214,MATCH(TEXT($J620,"yyyy-mm-dd")&amp;"|"&amp;$V620&amp;"|",'CALENDARIO'!$G$15:$G$214,0)),IFERROR(INDEX('CALENDARIO'!$C$15:$C$214,MATCH(TEXT($J620,"yyyy-mm-dd")&amp;"||",'CALENDARIO'!$G$15:$G$214,0)),INDEX(patronHabil,WEEKDAY($J620,2))))))</f>
        <v/>
      </c>
      <c r="T620" s="3">
        <f>IF($I620="","",IFERROR(INDEX('CAT_TIPOS_OT'!$C$4:$C$7,MATCH($I620,'CAT_TIPOS_OT'!$A$4:$A$7,0)),"sin_clasificar"))</f>
        <v/>
      </c>
      <c r="U620" s="3">
        <f>IF($F620="","",IFERROR(INDEX('CAT_CENTROS_COSTO'!$F$4:$F$13,MATCH($F620,'CAT_CENTROS_COSTO'!$A$4:$A$13,0)),"(sin catálogo)"))</f>
        <v/>
      </c>
      <c r="V620" s="3">
        <f>IF($F620="","",IFERROR(INDEX('CAT_CENTROS_COSTO'!$D$4:$D$13,MATCH($F620,'CAT_CENTROS_COSTO'!$A$4:$A$13,0)),"(sin catálogo)"))</f>
        <v/>
      </c>
      <c r="W620" s="3">
        <f>IF($F620="","",IF((IFERROR(INDEX('CAT_CENTROS_COSTO'!$E$4:$E$13,MATCH($F620,'CAT_CENTROS_COSTO'!$A$4:$A$13,0)),""))&lt;&gt;"",IFERROR(INDEX('CAT_CENTROS_COSTO'!$E$4:$E$13,MATCH($F620,'CAT_CENTROS_COSTO'!$A$4:$A$13,0)),""),$V620))</f>
        <v/>
      </c>
      <c r="X620" s="3">
        <f>IF($F620="","",IFERROR(INDEX('CAT_CENTROS_COSTO'!$G$4:$G$13,MATCH($F620,'CAT_CENTROS_COSTO'!$A$4:$A$13,0)),"(sin catálogo)"))</f>
        <v/>
      </c>
      <c r="Y620" s="3">
        <f>IF($G620="","",IFERROR(INDEX('CAT_PUESTOS'!$B$4:$B$8,MATCH($G620,'CAT_PUESTOS'!$A$4:$A$8,0)),"(sin catálogo)"))</f>
        <v/>
      </c>
      <c r="Z620" s="3">
        <f>IF($H620="","",IFERROR(INDEX('CAT_ACTIVIDADES'!$B$4:$B$8,MATCH($H620,'CAT_ACTIVIDADES'!$A$4:$A$8,0)),"(sin catálogo)"))</f>
        <v/>
      </c>
      <c r="AA620" s="12">
        <f>IF($J620="","",TODAY()-$J620)</f>
        <v/>
      </c>
      <c r="AB620" s="12">
        <f>IF($J620="","",IF($J620&lt;=TODAY(),COUNTIFS(cal_fechas,"&gt;="&amp;$J620,cal_fechas,"&lt;"&amp;TODAY(),cal_habil,"sí"),-COUNTIFS(cal_fechas,"&gt;="&amp;TODAY(),cal_fechas,"&lt;"&amp;$J620,cal_habil,"sí")))</f>
        <v/>
      </c>
      <c r="AC620" s="3">
        <f>IF($AB620="","",IF($AB620&lt;0,"FUTURO",IF($AB620&gt;p_dias_backlog_max,"BACKLOG","MES CORRIENTE")))</f>
        <v/>
      </c>
      <c r="AD620" s="3">
        <f>IF($AB620="",FALSE,AND($AB620&gt;p_dias_backlog_min,$AB620&lt;=p_dias_backlog_max))</f>
        <v/>
      </c>
      <c r="AE620" s="6" t="n"/>
      <c r="AF620" s="3">
        <f>IF($AE620="","",IF((IFERROR(INDEX('ASIGNACIONES'!$F$4:$F$339,MATCH($O620&amp;"|"&amp;$R620&amp;"|"&amp;$AE620,'ASIGNACIONES'!$J$4:$J$339,0)),""))=0,"",IFERROR(INDEX('ASIGNACIONES'!$F$4:$F$339,MATCH($O620&amp;"|"&amp;$R620&amp;"|"&amp;$AE620,'ASIGNACIONES'!$J$4:$J$339,0)),"")))</f>
        <v/>
      </c>
      <c r="AG620" s="13">
        <f>IF($AE620="","",SUMIFS('ORDENES'!$M$4:$M$1203,'ORDENES'!$AE$4:$AE$1203,$AE620,'ORDENES'!$O$4:$O$1203,$O620,'ORDENES'!$R$4:$R$1203,$R620))</f>
        <v/>
      </c>
      <c r="AH620" s="13">
        <f>IF($AG620="","",p_factor_productividad*IFERROR(INDEX('ASIGNACIONES'!$I$4:$I$339,MATCH($O620&amp;"|"&amp;$R620&amp;"|"&amp;$AE620,'ASIGNACIONES'!$J$4:$J$339,0)),0)-$AG620)</f>
        <v/>
      </c>
      <c r="AI620" s="10">
        <f>IF($A620="","",IFERROR(INDEX('2_IMPORTAR_EJECUCION'!$F$9:$F$1208,MATCH($AQ620,'2_IMPORTAR_EJECUCION'!$J$9:$J$1208,0)),0))</f>
        <v/>
      </c>
      <c r="AJ620" s="10">
        <f>IF($A620="","",MAX(0,IFERROR(INDEX('2_IMPORTAR_EJECUCION'!$H$9:$H$1208,MATCH($AQ620,'2_IMPORTAR_EJECUCION'!$J$9:$J$1208,0)),0)-$AI620))</f>
        <v/>
      </c>
      <c r="AK620" s="10">
        <f>IF($A620="","",$AI620+$AJ620)</f>
        <v/>
      </c>
      <c r="AL620" s="6" t="n"/>
      <c r="AM620" s="6" t="n"/>
      <c r="AN620" s="6" t="n"/>
      <c r="AO620" s="3">
        <f>IF($AN620="","",HYPERLINK(p_ruta_base_checklists&amp;$AN620,"abrir"))</f>
        <v/>
      </c>
      <c r="AP620" s="6" t="n"/>
      <c r="AQ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IF($A621="","",IFERROR(INDEX('AJUSTES'!$B$4:$B$303,MATCH($AQ621,'AJUSTES'!$A$4:$A$303,0)),IF($K621="","",$K621)))</f>
        <v/>
      </c>
      <c r="N621" s="3">
        <f>IF($A621="","",IFERROR(INDEX('CAT_ESTADOS_ERP'!$B$4:$B$7,MATCH(IFERROR(INDEX('2_IMPORTAR_EJECUCION'!$C$9:$C$1208,MATCH($AQ621,'2_IMPORTAR_EJECUCION'!$J$9:$J$1208,0)),""),'CAT_ESTADOS_ERP'!$A$4:$A$7,0)),"Pendiente"))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J621="","",IFERROR(INDEX('CALENDARIO'!$C$15:$C$214,MATCH(TEXT($J621,"yyyy-mm-dd")&amp;"|"&amp;$V621&amp;"|"&amp;$W621,'CALENDARIO'!$G$15:$G$214,0)),IFERROR(INDEX('CALENDARIO'!$C$15:$C$214,MATCH(TEXT($J621,"yyyy-mm-dd")&amp;"|"&amp;$V621&amp;"|",'CALENDARIO'!$G$15:$G$214,0)),IFERROR(INDEX('CALENDARIO'!$C$15:$C$214,MATCH(TEXT($J621,"yyyy-mm-dd")&amp;"||",'CALENDARIO'!$G$15:$G$214,0)),INDEX(patronHabil,WEEKDAY($J621,2))))))</f>
        <v/>
      </c>
      <c r="T621" s="3">
        <f>IF($I621="","",IFERROR(INDEX('CAT_TIPOS_OT'!$C$4:$C$7,MATCH($I621,'CAT_TIPOS_OT'!$A$4:$A$7,0)),"sin_clasificar"))</f>
        <v/>
      </c>
      <c r="U621" s="3">
        <f>IF($F621="","",IFERROR(INDEX('CAT_CENTROS_COSTO'!$F$4:$F$13,MATCH($F621,'CAT_CENTROS_COSTO'!$A$4:$A$13,0)),"(sin catálogo)"))</f>
        <v/>
      </c>
      <c r="V621" s="3">
        <f>IF($F621="","",IFERROR(INDEX('CAT_CENTROS_COSTO'!$D$4:$D$13,MATCH($F621,'CAT_CENTROS_COSTO'!$A$4:$A$13,0)),"(sin catálogo)"))</f>
        <v/>
      </c>
      <c r="W621" s="3">
        <f>IF($F621="","",IF((IFERROR(INDEX('CAT_CENTROS_COSTO'!$E$4:$E$13,MATCH($F621,'CAT_CENTROS_COSTO'!$A$4:$A$13,0)),""))&lt;&gt;"",IFERROR(INDEX('CAT_CENTROS_COSTO'!$E$4:$E$13,MATCH($F621,'CAT_CENTROS_COSTO'!$A$4:$A$13,0)),""),$V621))</f>
        <v/>
      </c>
      <c r="X621" s="3">
        <f>IF($F621="","",IFERROR(INDEX('CAT_CENTROS_COSTO'!$G$4:$G$13,MATCH($F621,'CAT_CENTROS_COSTO'!$A$4:$A$13,0)),"(sin catálogo)"))</f>
        <v/>
      </c>
      <c r="Y621" s="3">
        <f>IF($G621="","",IFERROR(INDEX('CAT_PUESTOS'!$B$4:$B$8,MATCH($G621,'CAT_PUESTOS'!$A$4:$A$8,0)),"(sin catálogo)"))</f>
        <v/>
      </c>
      <c r="Z621" s="3">
        <f>IF($H621="","",IFERROR(INDEX('CAT_ACTIVIDADES'!$B$4:$B$8,MATCH($H621,'CAT_ACTIVIDADES'!$A$4:$A$8,0)),"(sin catálogo)"))</f>
        <v/>
      </c>
      <c r="AA621" s="12">
        <f>IF($J621="","",TODAY()-$J621)</f>
        <v/>
      </c>
      <c r="AB621" s="12">
        <f>IF($J621="","",IF($J621&lt;=TODAY(),COUNTIFS(cal_fechas,"&gt;="&amp;$J621,cal_fechas,"&lt;"&amp;TODAY(),cal_habil,"sí"),-COUNTIFS(cal_fechas,"&gt;="&amp;TODAY(),cal_fechas,"&lt;"&amp;$J621,cal_habil,"sí")))</f>
        <v/>
      </c>
      <c r="AC621" s="3">
        <f>IF($AB621="","",IF($AB621&lt;0,"FUTURO",IF($AB621&gt;p_dias_backlog_max,"BACKLOG","MES CORRIENTE")))</f>
        <v/>
      </c>
      <c r="AD621" s="3">
        <f>IF($AB621="",FALSE,AND($AB621&gt;p_dias_backlog_min,$AB621&lt;=p_dias_backlog_max))</f>
        <v/>
      </c>
      <c r="AE621" s="6" t="n"/>
      <c r="AF621" s="3">
        <f>IF($AE621="","",IF((IFERROR(INDEX('ASIGNACIONES'!$F$4:$F$339,MATCH($O621&amp;"|"&amp;$R621&amp;"|"&amp;$AE621,'ASIGNACIONES'!$J$4:$J$339,0)),""))=0,"",IFERROR(INDEX('ASIGNACIONES'!$F$4:$F$339,MATCH($O621&amp;"|"&amp;$R621&amp;"|"&amp;$AE621,'ASIGNACIONES'!$J$4:$J$339,0)),"")))</f>
        <v/>
      </c>
      <c r="AG621" s="13">
        <f>IF($AE621="","",SUMIFS('ORDENES'!$M$4:$M$1203,'ORDENES'!$AE$4:$AE$1203,$AE621,'ORDENES'!$O$4:$O$1203,$O621,'ORDENES'!$R$4:$R$1203,$R621))</f>
        <v/>
      </c>
      <c r="AH621" s="13">
        <f>IF($AG621="","",p_factor_productividad*IFERROR(INDEX('ASIGNACIONES'!$I$4:$I$339,MATCH($O621&amp;"|"&amp;$R621&amp;"|"&amp;$AE621,'ASIGNACIONES'!$J$4:$J$339,0)),0)-$AG621)</f>
        <v/>
      </c>
      <c r="AI621" s="10">
        <f>IF($A621="","",IFERROR(INDEX('2_IMPORTAR_EJECUCION'!$F$9:$F$1208,MATCH($AQ621,'2_IMPORTAR_EJECUCION'!$J$9:$J$1208,0)),0))</f>
        <v/>
      </c>
      <c r="AJ621" s="10">
        <f>IF($A621="","",MAX(0,IFERROR(INDEX('2_IMPORTAR_EJECUCION'!$H$9:$H$1208,MATCH($AQ621,'2_IMPORTAR_EJECUCION'!$J$9:$J$1208,0)),0)-$AI621))</f>
        <v/>
      </c>
      <c r="AK621" s="10">
        <f>IF($A621="","",$AI621+$AJ621)</f>
        <v/>
      </c>
      <c r="AL621" s="6" t="n"/>
      <c r="AM621" s="6" t="n"/>
      <c r="AN621" s="6" t="n"/>
      <c r="AO621" s="3">
        <f>IF($AN621="","",HYPERLINK(p_ruta_base_checklists&amp;$AN621,"abrir"))</f>
        <v/>
      </c>
      <c r="AP621" s="6" t="n"/>
      <c r="AQ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IF($A622="","",IFERROR(INDEX('AJUSTES'!$B$4:$B$303,MATCH($AQ622,'AJUSTES'!$A$4:$A$303,0)),IF($K622="","",$K622)))</f>
        <v/>
      </c>
      <c r="N622" s="3">
        <f>IF($A622="","",IFERROR(INDEX('CAT_ESTADOS_ERP'!$B$4:$B$7,MATCH(IFERROR(INDEX('2_IMPORTAR_EJECUCION'!$C$9:$C$1208,MATCH($AQ622,'2_IMPORTAR_EJECUCION'!$J$9:$J$1208,0)),""),'CAT_ESTADOS_ERP'!$A$4:$A$7,0)),"Pendiente"))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J622="","",IFERROR(INDEX('CALENDARIO'!$C$15:$C$214,MATCH(TEXT($J622,"yyyy-mm-dd")&amp;"|"&amp;$V622&amp;"|"&amp;$W622,'CALENDARIO'!$G$15:$G$214,0)),IFERROR(INDEX('CALENDARIO'!$C$15:$C$214,MATCH(TEXT($J622,"yyyy-mm-dd")&amp;"|"&amp;$V622&amp;"|",'CALENDARIO'!$G$15:$G$214,0)),IFERROR(INDEX('CALENDARIO'!$C$15:$C$214,MATCH(TEXT($J622,"yyyy-mm-dd")&amp;"||",'CALENDARIO'!$G$15:$G$214,0)),INDEX(patronHabil,WEEKDAY($J622,2))))))</f>
        <v/>
      </c>
      <c r="T622" s="3">
        <f>IF($I622="","",IFERROR(INDEX('CAT_TIPOS_OT'!$C$4:$C$7,MATCH($I622,'CAT_TIPOS_OT'!$A$4:$A$7,0)),"sin_clasificar"))</f>
        <v/>
      </c>
      <c r="U622" s="3">
        <f>IF($F622="","",IFERROR(INDEX('CAT_CENTROS_COSTO'!$F$4:$F$13,MATCH($F622,'CAT_CENTROS_COSTO'!$A$4:$A$13,0)),"(sin catálogo)"))</f>
        <v/>
      </c>
      <c r="V622" s="3">
        <f>IF($F622="","",IFERROR(INDEX('CAT_CENTROS_COSTO'!$D$4:$D$13,MATCH($F622,'CAT_CENTROS_COSTO'!$A$4:$A$13,0)),"(sin catálogo)"))</f>
        <v/>
      </c>
      <c r="W622" s="3">
        <f>IF($F622="","",IF((IFERROR(INDEX('CAT_CENTROS_COSTO'!$E$4:$E$13,MATCH($F622,'CAT_CENTROS_COSTO'!$A$4:$A$13,0)),""))&lt;&gt;"",IFERROR(INDEX('CAT_CENTROS_COSTO'!$E$4:$E$13,MATCH($F622,'CAT_CENTROS_COSTO'!$A$4:$A$13,0)),""),$V622))</f>
        <v/>
      </c>
      <c r="X622" s="3">
        <f>IF($F622="","",IFERROR(INDEX('CAT_CENTROS_COSTO'!$G$4:$G$13,MATCH($F622,'CAT_CENTROS_COSTO'!$A$4:$A$13,0)),"(sin catálogo)"))</f>
        <v/>
      </c>
      <c r="Y622" s="3">
        <f>IF($G622="","",IFERROR(INDEX('CAT_PUESTOS'!$B$4:$B$8,MATCH($G622,'CAT_PUESTOS'!$A$4:$A$8,0)),"(sin catálogo)"))</f>
        <v/>
      </c>
      <c r="Z622" s="3">
        <f>IF($H622="","",IFERROR(INDEX('CAT_ACTIVIDADES'!$B$4:$B$8,MATCH($H622,'CAT_ACTIVIDADES'!$A$4:$A$8,0)),"(sin catálogo)"))</f>
        <v/>
      </c>
      <c r="AA622" s="12">
        <f>IF($J622="","",TODAY()-$J622)</f>
        <v/>
      </c>
      <c r="AB622" s="12">
        <f>IF($J622="","",IF($J622&lt;=TODAY(),COUNTIFS(cal_fechas,"&gt;="&amp;$J622,cal_fechas,"&lt;"&amp;TODAY(),cal_habil,"sí"),-COUNTIFS(cal_fechas,"&gt;="&amp;TODAY(),cal_fechas,"&lt;"&amp;$J622,cal_habil,"sí")))</f>
        <v/>
      </c>
      <c r="AC622" s="3">
        <f>IF($AB622="","",IF($AB622&lt;0,"FUTURO",IF($AB622&gt;p_dias_backlog_max,"BACKLOG","MES CORRIENTE")))</f>
        <v/>
      </c>
      <c r="AD622" s="3">
        <f>IF($AB622="",FALSE,AND($AB622&gt;p_dias_backlog_min,$AB622&lt;=p_dias_backlog_max))</f>
        <v/>
      </c>
      <c r="AE622" s="6" t="n"/>
      <c r="AF622" s="3">
        <f>IF($AE622="","",IF((IFERROR(INDEX('ASIGNACIONES'!$F$4:$F$339,MATCH($O622&amp;"|"&amp;$R622&amp;"|"&amp;$AE622,'ASIGNACIONES'!$J$4:$J$339,0)),""))=0,"",IFERROR(INDEX('ASIGNACIONES'!$F$4:$F$339,MATCH($O622&amp;"|"&amp;$R622&amp;"|"&amp;$AE622,'ASIGNACIONES'!$J$4:$J$339,0)),"")))</f>
        <v/>
      </c>
      <c r="AG622" s="13">
        <f>IF($AE622="","",SUMIFS('ORDENES'!$M$4:$M$1203,'ORDENES'!$AE$4:$AE$1203,$AE622,'ORDENES'!$O$4:$O$1203,$O622,'ORDENES'!$R$4:$R$1203,$R622))</f>
        <v/>
      </c>
      <c r="AH622" s="13">
        <f>IF($AG622="","",p_factor_productividad*IFERROR(INDEX('ASIGNACIONES'!$I$4:$I$339,MATCH($O622&amp;"|"&amp;$R622&amp;"|"&amp;$AE622,'ASIGNACIONES'!$J$4:$J$339,0)),0)-$AG622)</f>
        <v/>
      </c>
      <c r="AI622" s="10">
        <f>IF($A622="","",IFERROR(INDEX('2_IMPORTAR_EJECUCION'!$F$9:$F$1208,MATCH($AQ622,'2_IMPORTAR_EJECUCION'!$J$9:$J$1208,0)),0))</f>
        <v/>
      </c>
      <c r="AJ622" s="10">
        <f>IF($A622="","",MAX(0,IFERROR(INDEX('2_IMPORTAR_EJECUCION'!$H$9:$H$1208,MATCH($AQ622,'2_IMPORTAR_EJECUCION'!$J$9:$J$1208,0)),0)-$AI622))</f>
        <v/>
      </c>
      <c r="AK622" s="10">
        <f>IF($A622="","",$AI622+$AJ622)</f>
        <v/>
      </c>
      <c r="AL622" s="6" t="n"/>
      <c r="AM622" s="6" t="n"/>
      <c r="AN622" s="6" t="n"/>
      <c r="AO622" s="3">
        <f>IF($AN622="","",HYPERLINK(p_ruta_base_checklists&amp;$AN622,"abrir"))</f>
        <v/>
      </c>
      <c r="AP622" s="6" t="n"/>
      <c r="AQ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IF($A623="","",IFERROR(INDEX('AJUSTES'!$B$4:$B$303,MATCH($AQ623,'AJUSTES'!$A$4:$A$303,0)),IF($K623="","",$K623)))</f>
        <v/>
      </c>
      <c r="N623" s="3">
        <f>IF($A623="","",IFERROR(INDEX('CAT_ESTADOS_ERP'!$B$4:$B$7,MATCH(IFERROR(INDEX('2_IMPORTAR_EJECUCION'!$C$9:$C$1208,MATCH($AQ623,'2_IMPORTAR_EJECUCION'!$J$9:$J$1208,0)),""),'CAT_ESTADOS_ERP'!$A$4:$A$7,0)),"Pendiente"))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J623="","",IFERROR(INDEX('CALENDARIO'!$C$15:$C$214,MATCH(TEXT($J623,"yyyy-mm-dd")&amp;"|"&amp;$V623&amp;"|"&amp;$W623,'CALENDARIO'!$G$15:$G$214,0)),IFERROR(INDEX('CALENDARIO'!$C$15:$C$214,MATCH(TEXT($J623,"yyyy-mm-dd")&amp;"|"&amp;$V623&amp;"|",'CALENDARIO'!$G$15:$G$214,0)),IFERROR(INDEX('CALENDARIO'!$C$15:$C$214,MATCH(TEXT($J623,"yyyy-mm-dd")&amp;"||",'CALENDARIO'!$G$15:$G$214,0)),INDEX(patronHabil,WEEKDAY($J623,2))))))</f>
        <v/>
      </c>
      <c r="T623" s="3">
        <f>IF($I623="","",IFERROR(INDEX('CAT_TIPOS_OT'!$C$4:$C$7,MATCH($I623,'CAT_TIPOS_OT'!$A$4:$A$7,0)),"sin_clasificar"))</f>
        <v/>
      </c>
      <c r="U623" s="3">
        <f>IF($F623="","",IFERROR(INDEX('CAT_CENTROS_COSTO'!$F$4:$F$13,MATCH($F623,'CAT_CENTROS_COSTO'!$A$4:$A$13,0)),"(sin catálogo)"))</f>
        <v/>
      </c>
      <c r="V623" s="3">
        <f>IF($F623="","",IFERROR(INDEX('CAT_CENTROS_COSTO'!$D$4:$D$13,MATCH($F623,'CAT_CENTROS_COSTO'!$A$4:$A$13,0)),"(sin catálogo)"))</f>
        <v/>
      </c>
      <c r="W623" s="3">
        <f>IF($F623="","",IF((IFERROR(INDEX('CAT_CENTROS_COSTO'!$E$4:$E$13,MATCH($F623,'CAT_CENTROS_COSTO'!$A$4:$A$13,0)),""))&lt;&gt;"",IFERROR(INDEX('CAT_CENTROS_COSTO'!$E$4:$E$13,MATCH($F623,'CAT_CENTROS_COSTO'!$A$4:$A$13,0)),""),$V623))</f>
        <v/>
      </c>
      <c r="X623" s="3">
        <f>IF($F623="","",IFERROR(INDEX('CAT_CENTROS_COSTO'!$G$4:$G$13,MATCH($F623,'CAT_CENTROS_COSTO'!$A$4:$A$13,0)),"(sin catálogo)"))</f>
        <v/>
      </c>
      <c r="Y623" s="3">
        <f>IF($G623="","",IFERROR(INDEX('CAT_PUESTOS'!$B$4:$B$8,MATCH($G623,'CAT_PUESTOS'!$A$4:$A$8,0)),"(sin catálogo)"))</f>
        <v/>
      </c>
      <c r="Z623" s="3">
        <f>IF($H623="","",IFERROR(INDEX('CAT_ACTIVIDADES'!$B$4:$B$8,MATCH($H623,'CAT_ACTIVIDADES'!$A$4:$A$8,0)),"(sin catálogo)"))</f>
        <v/>
      </c>
      <c r="AA623" s="12">
        <f>IF($J623="","",TODAY()-$J623)</f>
        <v/>
      </c>
      <c r="AB623" s="12">
        <f>IF($J623="","",IF($J623&lt;=TODAY(),COUNTIFS(cal_fechas,"&gt;="&amp;$J623,cal_fechas,"&lt;"&amp;TODAY(),cal_habil,"sí"),-COUNTIFS(cal_fechas,"&gt;="&amp;TODAY(),cal_fechas,"&lt;"&amp;$J623,cal_habil,"sí")))</f>
        <v/>
      </c>
      <c r="AC623" s="3">
        <f>IF($AB623="","",IF($AB623&lt;0,"FUTURO",IF($AB623&gt;p_dias_backlog_max,"BACKLOG","MES CORRIENTE")))</f>
        <v/>
      </c>
      <c r="AD623" s="3">
        <f>IF($AB623="",FALSE,AND($AB623&gt;p_dias_backlog_min,$AB623&lt;=p_dias_backlog_max))</f>
        <v/>
      </c>
      <c r="AE623" s="6" t="n"/>
      <c r="AF623" s="3">
        <f>IF($AE623="","",IF((IFERROR(INDEX('ASIGNACIONES'!$F$4:$F$339,MATCH($O623&amp;"|"&amp;$R623&amp;"|"&amp;$AE623,'ASIGNACIONES'!$J$4:$J$339,0)),""))=0,"",IFERROR(INDEX('ASIGNACIONES'!$F$4:$F$339,MATCH($O623&amp;"|"&amp;$R623&amp;"|"&amp;$AE623,'ASIGNACIONES'!$J$4:$J$339,0)),"")))</f>
        <v/>
      </c>
      <c r="AG623" s="13">
        <f>IF($AE623="","",SUMIFS('ORDENES'!$M$4:$M$1203,'ORDENES'!$AE$4:$AE$1203,$AE623,'ORDENES'!$O$4:$O$1203,$O623,'ORDENES'!$R$4:$R$1203,$R623))</f>
        <v/>
      </c>
      <c r="AH623" s="13">
        <f>IF($AG623="","",p_factor_productividad*IFERROR(INDEX('ASIGNACIONES'!$I$4:$I$339,MATCH($O623&amp;"|"&amp;$R623&amp;"|"&amp;$AE623,'ASIGNACIONES'!$J$4:$J$339,0)),0)-$AG623)</f>
        <v/>
      </c>
      <c r="AI623" s="10">
        <f>IF($A623="","",IFERROR(INDEX('2_IMPORTAR_EJECUCION'!$F$9:$F$1208,MATCH($AQ623,'2_IMPORTAR_EJECUCION'!$J$9:$J$1208,0)),0))</f>
        <v/>
      </c>
      <c r="AJ623" s="10">
        <f>IF($A623="","",MAX(0,IFERROR(INDEX('2_IMPORTAR_EJECUCION'!$H$9:$H$1208,MATCH($AQ623,'2_IMPORTAR_EJECUCION'!$J$9:$J$1208,0)),0)-$AI623))</f>
        <v/>
      </c>
      <c r="AK623" s="10">
        <f>IF($A623="","",$AI623+$AJ623)</f>
        <v/>
      </c>
      <c r="AL623" s="6" t="n"/>
      <c r="AM623" s="6" t="n"/>
      <c r="AN623" s="6" t="n"/>
      <c r="AO623" s="3">
        <f>IF($AN623="","",HYPERLINK(p_ruta_base_checklists&amp;$AN623,"abrir"))</f>
        <v/>
      </c>
      <c r="AP623" s="6" t="n"/>
      <c r="AQ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IF($A624="","",IFERROR(INDEX('AJUSTES'!$B$4:$B$303,MATCH($AQ624,'AJUSTES'!$A$4:$A$303,0)),IF($K624="","",$K624)))</f>
        <v/>
      </c>
      <c r="N624" s="3">
        <f>IF($A624="","",IFERROR(INDEX('CAT_ESTADOS_ERP'!$B$4:$B$7,MATCH(IFERROR(INDEX('2_IMPORTAR_EJECUCION'!$C$9:$C$1208,MATCH($AQ624,'2_IMPORTAR_EJECUCION'!$J$9:$J$1208,0)),""),'CAT_ESTADOS_ERP'!$A$4:$A$7,0)),"Pendiente"))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J624="","",IFERROR(INDEX('CALENDARIO'!$C$15:$C$214,MATCH(TEXT($J624,"yyyy-mm-dd")&amp;"|"&amp;$V624&amp;"|"&amp;$W624,'CALENDARIO'!$G$15:$G$214,0)),IFERROR(INDEX('CALENDARIO'!$C$15:$C$214,MATCH(TEXT($J624,"yyyy-mm-dd")&amp;"|"&amp;$V624&amp;"|",'CALENDARIO'!$G$15:$G$214,0)),IFERROR(INDEX('CALENDARIO'!$C$15:$C$214,MATCH(TEXT($J624,"yyyy-mm-dd")&amp;"||",'CALENDARIO'!$G$15:$G$214,0)),INDEX(patronHabil,WEEKDAY($J624,2))))))</f>
        <v/>
      </c>
      <c r="T624" s="3">
        <f>IF($I624="","",IFERROR(INDEX('CAT_TIPOS_OT'!$C$4:$C$7,MATCH($I624,'CAT_TIPOS_OT'!$A$4:$A$7,0)),"sin_clasificar"))</f>
        <v/>
      </c>
      <c r="U624" s="3">
        <f>IF($F624="","",IFERROR(INDEX('CAT_CENTROS_COSTO'!$F$4:$F$13,MATCH($F624,'CAT_CENTROS_COSTO'!$A$4:$A$13,0)),"(sin catálogo)"))</f>
        <v/>
      </c>
      <c r="V624" s="3">
        <f>IF($F624="","",IFERROR(INDEX('CAT_CENTROS_COSTO'!$D$4:$D$13,MATCH($F624,'CAT_CENTROS_COSTO'!$A$4:$A$13,0)),"(sin catálogo)"))</f>
        <v/>
      </c>
      <c r="W624" s="3">
        <f>IF($F624="","",IF((IFERROR(INDEX('CAT_CENTROS_COSTO'!$E$4:$E$13,MATCH($F624,'CAT_CENTROS_COSTO'!$A$4:$A$13,0)),""))&lt;&gt;"",IFERROR(INDEX('CAT_CENTROS_COSTO'!$E$4:$E$13,MATCH($F624,'CAT_CENTROS_COSTO'!$A$4:$A$13,0)),""),$V624))</f>
        <v/>
      </c>
      <c r="X624" s="3">
        <f>IF($F624="","",IFERROR(INDEX('CAT_CENTROS_COSTO'!$G$4:$G$13,MATCH($F624,'CAT_CENTROS_COSTO'!$A$4:$A$13,0)),"(sin catálogo)"))</f>
        <v/>
      </c>
      <c r="Y624" s="3">
        <f>IF($G624="","",IFERROR(INDEX('CAT_PUESTOS'!$B$4:$B$8,MATCH($G624,'CAT_PUESTOS'!$A$4:$A$8,0)),"(sin catálogo)"))</f>
        <v/>
      </c>
      <c r="Z624" s="3">
        <f>IF($H624="","",IFERROR(INDEX('CAT_ACTIVIDADES'!$B$4:$B$8,MATCH($H624,'CAT_ACTIVIDADES'!$A$4:$A$8,0)),"(sin catálogo)"))</f>
        <v/>
      </c>
      <c r="AA624" s="12">
        <f>IF($J624="","",TODAY()-$J624)</f>
        <v/>
      </c>
      <c r="AB624" s="12">
        <f>IF($J624="","",IF($J624&lt;=TODAY(),COUNTIFS(cal_fechas,"&gt;="&amp;$J624,cal_fechas,"&lt;"&amp;TODAY(),cal_habil,"sí"),-COUNTIFS(cal_fechas,"&gt;="&amp;TODAY(),cal_fechas,"&lt;"&amp;$J624,cal_habil,"sí")))</f>
        <v/>
      </c>
      <c r="AC624" s="3">
        <f>IF($AB624="","",IF($AB624&lt;0,"FUTURO",IF($AB624&gt;p_dias_backlog_max,"BACKLOG","MES CORRIENTE")))</f>
        <v/>
      </c>
      <c r="AD624" s="3">
        <f>IF($AB624="",FALSE,AND($AB624&gt;p_dias_backlog_min,$AB624&lt;=p_dias_backlog_max))</f>
        <v/>
      </c>
      <c r="AE624" s="6" t="n"/>
      <c r="AF624" s="3">
        <f>IF($AE624="","",IF((IFERROR(INDEX('ASIGNACIONES'!$F$4:$F$339,MATCH($O624&amp;"|"&amp;$R624&amp;"|"&amp;$AE624,'ASIGNACIONES'!$J$4:$J$339,0)),""))=0,"",IFERROR(INDEX('ASIGNACIONES'!$F$4:$F$339,MATCH($O624&amp;"|"&amp;$R624&amp;"|"&amp;$AE624,'ASIGNACIONES'!$J$4:$J$339,0)),"")))</f>
        <v/>
      </c>
      <c r="AG624" s="13">
        <f>IF($AE624="","",SUMIFS('ORDENES'!$M$4:$M$1203,'ORDENES'!$AE$4:$AE$1203,$AE624,'ORDENES'!$O$4:$O$1203,$O624,'ORDENES'!$R$4:$R$1203,$R624))</f>
        <v/>
      </c>
      <c r="AH624" s="13">
        <f>IF($AG624="","",p_factor_productividad*IFERROR(INDEX('ASIGNACIONES'!$I$4:$I$339,MATCH($O624&amp;"|"&amp;$R624&amp;"|"&amp;$AE624,'ASIGNACIONES'!$J$4:$J$339,0)),0)-$AG624)</f>
        <v/>
      </c>
      <c r="AI624" s="10">
        <f>IF($A624="","",IFERROR(INDEX('2_IMPORTAR_EJECUCION'!$F$9:$F$1208,MATCH($AQ624,'2_IMPORTAR_EJECUCION'!$J$9:$J$1208,0)),0))</f>
        <v/>
      </c>
      <c r="AJ624" s="10">
        <f>IF($A624="","",MAX(0,IFERROR(INDEX('2_IMPORTAR_EJECUCION'!$H$9:$H$1208,MATCH($AQ624,'2_IMPORTAR_EJECUCION'!$J$9:$J$1208,0)),0)-$AI624))</f>
        <v/>
      </c>
      <c r="AK624" s="10">
        <f>IF($A624="","",$AI624+$AJ624)</f>
        <v/>
      </c>
      <c r="AL624" s="6" t="n"/>
      <c r="AM624" s="6" t="n"/>
      <c r="AN624" s="6" t="n"/>
      <c r="AO624" s="3">
        <f>IF($AN624="","",HYPERLINK(p_ruta_base_checklists&amp;$AN624,"abrir"))</f>
        <v/>
      </c>
      <c r="AP624" s="6" t="n"/>
      <c r="AQ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IF($A625="","",IFERROR(INDEX('AJUSTES'!$B$4:$B$303,MATCH($AQ625,'AJUSTES'!$A$4:$A$303,0)),IF($K625="","",$K625)))</f>
        <v/>
      </c>
      <c r="N625" s="3">
        <f>IF($A625="","",IFERROR(INDEX('CAT_ESTADOS_ERP'!$B$4:$B$7,MATCH(IFERROR(INDEX('2_IMPORTAR_EJECUCION'!$C$9:$C$1208,MATCH($AQ625,'2_IMPORTAR_EJECUCION'!$J$9:$J$1208,0)),""),'CAT_ESTADOS_ERP'!$A$4:$A$7,0)),"Pendiente"))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J625="","",IFERROR(INDEX('CALENDARIO'!$C$15:$C$214,MATCH(TEXT($J625,"yyyy-mm-dd")&amp;"|"&amp;$V625&amp;"|"&amp;$W625,'CALENDARIO'!$G$15:$G$214,0)),IFERROR(INDEX('CALENDARIO'!$C$15:$C$214,MATCH(TEXT($J625,"yyyy-mm-dd")&amp;"|"&amp;$V625&amp;"|",'CALENDARIO'!$G$15:$G$214,0)),IFERROR(INDEX('CALENDARIO'!$C$15:$C$214,MATCH(TEXT($J625,"yyyy-mm-dd")&amp;"||",'CALENDARIO'!$G$15:$G$214,0)),INDEX(patronHabil,WEEKDAY($J625,2))))))</f>
        <v/>
      </c>
      <c r="T625" s="3">
        <f>IF($I625="","",IFERROR(INDEX('CAT_TIPOS_OT'!$C$4:$C$7,MATCH($I625,'CAT_TIPOS_OT'!$A$4:$A$7,0)),"sin_clasificar"))</f>
        <v/>
      </c>
      <c r="U625" s="3">
        <f>IF($F625="","",IFERROR(INDEX('CAT_CENTROS_COSTO'!$F$4:$F$13,MATCH($F625,'CAT_CENTROS_COSTO'!$A$4:$A$13,0)),"(sin catálogo)"))</f>
        <v/>
      </c>
      <c r="V625" s="3">
        <f>IF($F625="","",IFERROR(INDEX('CAT_CENTROS_COSTO'!$D$4:$D$13,MATCH($F625,'CAT_CENTROS_COSTO'!$A$4:$A$13,0)),"(sin catálogo)"))</f>
        <v/>
      </c>
      <c r="W625" s="3">
        <f>IF($F625="","",IF((IFERROR(INDEX('CAT_CENTROS_COSTO'!$E$4:$E$13,MATCH($F625,'CAT_CENTROS_COSTO'!$A$4:$A$13,0)),""))&lt;&gt;"",IFERROR(INDEX('CAT_CENTROS_COSTO'!$E$4:$E$13,MATCH($F625,'CAT_CENTROS_COSTO'!$A$4:$A$13,0)),""),$V625))</f>
        <v/>
      </c>
      <c r="X625" s="3">
        <f>IF($F625="","",IFERROR(INDEX('CAT_CENTROS_COSTO'!$G$4:$G$13,MATCH($F625,'CAT_CENTROS_COSTO'!$A$4:$A$13,0)),"(sin catálogo)"))</f>
        <v/>
      </c>
      <c r="Y625" s="3">
        <f>IF($G625="","",IFERROR(INDEX('CAT_PUESTOS'!$B$4:$B$8,MATCH($G625,'CAT_PUESTOS'!$A$4:$A$8,0)),"(sin catálogo)"))</f>
        <v/>
      </c>
      <c r="Z625" s="3">
        <f>IF($H625="","",IFERROR(INDEX('CAT_ACTIVIDADES'!$B$4:$B$8,MATCH($H625,'CAT_ACTIVIDADES'!$A$4:$A$8,0)),"(sin catálogo)"))</f>
        <v/>
      </c>
      <c r="AA625" s="12">
        <f>IF($J625="","",TODAY()-$J625)</f>
        <v/>
      </c>
      <c r="AB625" s="12">
        <f>IF($J625="","",IF($J625&lt;=TODAY(),COUNTIFS(cal_fechas,"&gt;="&amp;$J625,cal_fechas,"&lt;"&amp;TODAY(),cal_habil,"sí"),-COUNTIFS(cal_fechas,"&gt;="&amp;TODAY(),cal_fechas,"&lt;"&amp;$J625,cal_habil,"sí")))</f>
        <v/>
      </c>
      <c r="AC625" s="3">
        <f>IF($AB625="","",IF($AB625&lt;0,"FUTURO",IF($AB625&gt;p_dias_backlog_max,"BACKLOG","MES CORRIENTE")))</f>
        <v/>
      </c>
      <c r="AD625" s="3">
        <f>IF($AB625="",FALSE,AND($AB625&gt;p_dias_backlog_min,$AB625&lt;=p_dias_backlog_max))</f>
        <v/>
      </c>
      <c r="AE625" s="6" t="n"/>
      <c r="AF625" s="3">
        <f>IF($AE625="","",IF((IFERROR(INDEX('ASIGNACIONES'!$F$4:$F$339,MATCH($O625&amp;"|"&amp;$R625&amp;"|"&amp;$AE625,'ASIGNACIONES'!$J$4:$J$339,0)),""))=0,"",IFERROR(INDEX('ASIGNACIONES'!$F$4:$F$339,MATCH($O625&amp;"|"&amp;$R625&amp;"|"&amp;$AE625,'ASIGNACIONES'!$J$4:$J$339,0)),"")))</f>
        <v/>
      </c>
      <c r="AG625" s="13">
        <f>IF($AE625="","",SUMIFS('ORDENES'!$M$4:$M$1203,'ORDENES'!$AE$4:$AE$1203,$AE625,'ORDENES'!$O$4:$O$1203,$O625,'ORDENES'!$R$4:$R$1203,$R625))</f>
        <v/>
      </c>
      <c r="AH625" s="13">
        <f>IF($AG625="","",p_factor_productividad*IFERROR(INDEX('ASIGNACIONES'!$I$4:$I$339,MATCH($O625&amp;"|"&amp;$R625&amp;"|"&amp;$AE625,'ASIGNACIONES'!$J$4:$J$339,0)),0)-$AG625)</f>
        <v/>
      </c>
      <c r="AI625" s="10">
        <f>IF($A625="","",IFERROR(INDEX('2_IMPORTAR_EJECUCION'!$F$9:$F$1208,MATCH($AQ625,'2_IMPORTAR_EJECUCION'!$J$9:$J$1208,0)),0))</f>
        <v/>
      </c>
      <c r="AJ625" s="10">
        <f>IF($A625="","",MAX(0,IFERROR(INDEX('2_IMPORTAR_EJECUCION'!$H$9:$H$1208,MATCH($AQ625,'2_IMPORTAR_EJECUCION'!$J$9:$J$1208,0)),0)-$AI625))</f>
        <v/>
      </c>
      <c r="AK625" s="10">
        <f>IF($A625="","",$AI625+$AJ625)</f>
        <v/>
      </c>
      <c r="AL625" s="6" t="n"/>
      <c r="AM625" s="6" t="n"/>
      <c r="AN625" s="6" t="n"/>
      <c r="AO625" s="3">
        <f>IF($AN625="","",HYPERLINK(p_ruta_base_checklists&amp;$AN625,"abrir"))</f>
        <v/>
      </c>
      <c r="AP625" s="6" t="n"/>
      <c r="AQ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IF($A626="","",IFERROR(INDEX('AJUSTES'!$B$4:$B$303,MATCH($AQ626,'AJUSTES'!$A$4:$A$303,0)),IF($K626="","",$K626)))</f>
        <v/>
      </c>
      <c r="N626" s="3">
        <f>IF($A626="","",IFERROR(INDEX('CAT_ESTADOS_ERP'!$B$4:$B$7,MATCH(IFERROR(INDEX('2_IMPORTAR_EJECUCION'!$C$9:$C$1208,MATCH($AQ626,'2_IMPORTAR_EJECUCION'!$J$9:$J$1208,0)),""),'CAT_ESTADOS_ERP'!$A$4:$A$7,0)),"Pendiente"))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J626="","",IFERROR(INDEX('CALENDARIO'!$C$15:$C$214,MATCH(TEXT($J626,"yyyy-mm-dd")&amp;"|"&amp;$V626&amp;"|"&amp;$W626,'CALENDARIO'!$G$15:$G$214,0)),IFERROR(INDEX('CALENDARIO'!$C$15:$C$214,MATCH(TEXT($J626,"yyyy-mm-dd")&amp;"|"&amp;$V626&amp;"|",'CALENDARIO'!$G$15:$G$214,0)),IFERROR(INDEX('CALENDARIO'!$C$15:$C$214,MATCH(TEXT($J626,"yyyy-mm-dd")&amp;"||",'CALENDARIO'!$G$15:$G$214,0)),INDEX(patronHabil,WEEKDAY($J626,2))))))</f>
        <v/>
      </c>
      <c r="T626" s="3">
        <f>IF($I626="","",IFERROR(INDEX('CAT_TIPOS_OT'!$C$4:$C$7,MATCH($I626,'CAT_TIPOS_OT'!$A$4:$A$7,0)),"sin_clasificar"))</f>
        <v/>
      </c>
      <c r="U626" s="3">
        <f>IF($F626="","",IFERROR(INDEX('CAT_CENTROS_COSTO'!$F$4:$F$13,MATCH($F626,'CAT_CENTROS_COSTO'!$A$4:$A$13,0)),"(sin catálogo)"))</f>
        <v/>
      </c>
      <c r="V626" s="3">
        <f>IF($F626="","",IFERROR(INDEX('CAT_CENTROS_COSTO'!$D$4:$D$13,MATCH($F626,'CAT_CENTROS_COSTO'!$A$4:$A$13,0)),"(sin catálogo)"))</f>
        <v/>
      </c>
      <c r="W626" s="3">
        <f>IF($F626="","",IF((IFERROR(INDEX('CAT_CENTROS_COSTO'!$E$4:$E$13,MATCH($F626,'CAT_CENTROS_COSTO'!$A$4:$A$13,0)),""))&lt;&gt;"",IFERROR(INDEX('CAT_CENTROS_COSTO'!$E$4:$E$13,MATCH($F626,'CAT_CENTROS_COSTO'!$A$4:$A$13,0)),""),$V626))</f>
        <v/>
      </c>
      <c r="X626" s="3">
        <f>IF($F626="","",IFERROR(INDEX('CAT_CENTROS_COSTO'!$G$4:$G$13,MATCH($F626,'CAT_CENTROS_COSTO'!$A$4:$A$13,0)),"(sin catálogo)"))</f>
        <v/>
      </c>
      <c r="Y626" s="3">
        <f>IF($G626="","",IFERROR(INDEX('CAT_PUESTOS'!$B$4:$B$8,MATCH($G626,'CAT_PUESTOS'!$A$4:$A$8,0)),"(sin catálogo)"))</f>
        <v/>
      </c>
      <c r="Z626" s="3">
        <f>IF($H626="","",IFERROR(INDEX('CAT_ACTIVIDADES'!$B$4:$B$8,MATCH($H626,'CAT_ACTIVIDADES'!$A$4:$A$8,0)),"(sin catálogo)"))</f>
        <v/>
      </c>
      <c r="AA626" s="12">
        <f>IF($J626="","",TODAY()-$J626)</f>
        <v/>
      </c>
      <c r="AB626" s="12">
        <f>IF($J626="","",IF($J626&lt;=TODAY(),COUNTIFS(cal_fechas,"&gt;="&amp;$J626,cal_fechas,"&lt;"&amp;TODAY(),cal_habil,"sí"),-COUNTIFS(cal_fechas,"&gt;="&amp;TODAY(),cal_fechas,"&lt;"&amp;$J626,cal_habil,"sí")))</f>
        <v/>
      </c>
      <c r="AC626" s="3">
        <f>IF($AB626="","",IF($AB626&lt;0,"FUTURO",IF($AB626&gt;p_dias_backlog_max,"BACKLOG","MES CORRIENTE")))</f>
        <v/>
      </c>
      <c r="AD626" s="3">
        <f>IF($AB626="",FALSE,AND($AB626&gt;p_dias_backlog_min,$AB626&lt;=p_dias_backlog_max))</f>
        <v/>
      </c>
      <c r="AE626" s="6" t="n"/>
      <c r="AF626" s="3">
        <f>IF($AE626="","",IF((IFERROR(INDEX('ASIGNACIONES'!$F$4:$F$339,MATCH($O626&amp;"|"&amp;$R626&amp;"|"&amp;$AE626,'ASIGNACIONES'!$J$4:$J$339,0)),""))=0,"",IFERROR(INDEX('ASIGNACIONES'!$F$4:$F$339,MATCH($O626&amp;"|"&amp;$R626&amp;"|"&amp;$AE626,'ASIGNACIONES'!$J$4:$J$339,0)),"")))</f>
        <v/>
      </c>
      <c r="AG626" s="13">
        <f>IF($AE626="","",SUMIFS('ORDENES'!$M$4:$M$1203,'ORDENES'!$AE$4:$AE$1203,$AE626,'ORDENES'!$O$4:$O$1203,$O626,'ORDENES'!$R$4:$R$1203,$R626))</f>
        <v/>
      </c>
      <c r="AH626" s="13">
        <f>IF($AG626="","",p_factor_productividad*IFERROR(INDEX('ASIGNACIONES'!$I$4:$I$339,MATCH($O626&amp;"|"&amp;$R626&amp;"|"&amp;$AE626,'ASIGNACIONES'!$J$4:$J$339,0)),0)-$AG626)</f>
        <v/>
      </c>
      <c r="AI626" s="10">
        <f>IF($A626="","",IFERROR(INDEX('2_IMPORTAR_EJECUCION'!$F$9:$F$1208,MATCH($AQ626,'2_IMPORTAR_EJECUCION'!$J$9:$J$1208,0)),0))</f>
        <v/>
      </c>
      <c r="AJ626" s="10">
        <f>IF($A626="","",MAX(0,IFERROR(INDEX('2_IMPORTAR_EJECUCION'!$H$9:$H$1208,MATCH($AQ626,'2_IMPORTAR_EJECUCION'!$J$9:$J$1208,0)),0)-$AI626))</f>
        <v/>
      </c>
      <c r="AK626" s="10">
        <f>IF($A626="","",$AI626+$AJ626)</f>
        <v/>
      </c>
      <c r="AL626" s="6" t="n"/>
      <c r="AM626" s="6" t="n"/>
      <c r="AN626" s="6" t="n"/>
      <c r="AO626" s="3">
        <f>IF($AN626="","",HYPERLINK(p_ruta_base_checklists&amp;$AN626,"abrir"))</f>
        <v/>
      </c>
      <c r="AP626" s="6" t="n"/>
      <c r="AQ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IF($A627="","",IFERROR(INDEX('AJUSTES'!$B$4:$B$303,MATCH($AQ627,'AJUSTES'!$A$4:$A$303,0)),IF($K627="","",$K627)))</f>
        <v/>
      </c>
      <c r="N627" s="3">
        <f>IF($A627="","",IFERROR(INDEX('CAT_ESTADOS_ERP'!$B$4:$B$7,MATCH(IFERROR(INDEX('2_IMPORTAR_EJECUCION'!$C$9:$C$1208,MATCH($AQ627,'2_IMPORTAR_EJECUCION'!$J$9:$J$1208,0)),""),'CAT_ESTADOS_ERP'!$A$4:$A$7,0)),"Pendiente"))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J627="","",IFERROR(INDEX('CALENDARIO'!$C$15:$C$214,MATCH(TEXT($J627,"yyyy-mm-dd")&amp;"|"&amp;$V627&amp;"|"&amp;$W627,'CALENDARIO'!$G$15:$G$214,0)),IFERROR(INDEX('CALENDARIO'!$C$15:$C$214,MATCH(TEXT($J627,"yyyy-mm-dd")&amp;"|"&amp;$V627&amp;"|",'CALENDARIO'!$G$15:$G$214,0)),IFERROR(INDEX('CALENDARIO'!$C$15:$C$214,MATCH(TEXT($J627,"yyyy-mm-dd")&amp;"||",'CALENDARIO'!$G$15:$G$214,0)),INDEX(patronHabil,WEEKDAY($J627,2))))))</f>
        <v/>
      </c>
      <c r="T627" s="3">
        <f>IF($I627="","",IFERROR(INDEX('CAT_TIPOS_OT'!$C$4:$C$7,MATCH($I627,'CAT_TIPOS_OT'!$A$4:$A$7,0)),"sin_clasificar"))</f>
        <v/>
      </c>
      <c r="U627" s="3">
        <f>IF($F627="","",IFERROR(INDEX('CAT_CENTROS_COSTO'!$F$4:$F$13,MATCH($F627,'CAT_CENTROS_COSTO'!$A$4:$A$13,0)),"(sin catálogo)"))</f>
        <v/>
      </c>
      <c r="V627" s="3">
        <f>IF($F627="","",IFERROR(INDEX('CAT_CENTROS_COSTO'!$D$4:$D$13,MATCH($F627,'CAT_CENTROS_COSTO'!$A$4:$A$13,0)),"(sin catálogo)"))</f>
        <v/>
      </c>
      <c r="W627" s="3">
        <f>IF($F627="","",IF((IFERROR(INDEX('CAT_CENTROS_COSTO'!$E$4:$E$13,MATCH($F627,'CAT_CENTROS_COSTO'!$A$4:$A$13,0)),""))&lt;&gt;"",IFERROR(INDEX('CAT_CENTROS_COSTO'!$E$4:$E$13,MATCH($F627,'CAT_CENTROS_COSTO'!$A$4:$A$13,0)),""),$V627))</f>
        <v/>
      </c>
      <c r="X627" s="3">
        <f>IF($F627="","",IFERROR(INDEX('CAT_CENTROS_COSTO'!$G$4:$G$13,MATCH($F627,'CAT_CENTROS_COSTO'!$A$4:$A$13,0)),"(sin catálogo)"))</f>
        <v/>
      </c>
      <c r="Y627" s="3">
        <f>IF($G627="","",IFERROR(INDEX('CAT_PUESTOS'!$B$4:$B$8,MATCH($G627,'CAT_PUESTOS'!$A$4:$A$8,0)),"(sin catálogo)"))</f>
        <v/>
      </c>
      <c r="Z627" s="3">
        <f>IF($H627="","",IFERROR(INDEX('CAT_ACTIVIDADES'!$B$4:$B$8,MATCH($H627,'CAT_ACTIVIDADES'!$A$4:$A$8,0)),"(sin catálogo)"))</f>
        <v/>
      </c>
      <c r="AA627" s="12">
        <f>IF($J627="","",TODAY()-$J627)</f>
        <v/>
      </c>
      <c r="AB627" s="12">
        <f>IF($J627="","",IF($J627&lt;=TODAY(),COUNTIFS(cal_fechas,"&gt;="&amp;$J627,cal_fechas,"&lt;"&amp;TODAY(),cal_habil,"sí"),-COUNTIFS(cal_fechas,"&gt;="&amp;TODAY(),cal_fechas,"&lt;"&amp;$J627,cal_habil,"sí")))</f>
        <v/>
      </c>
      <c r="AC627" s="3">
        <f>IF($AB627="","",IF($AB627&lt;0,"FUTURO",IF($AB627&gt;p_dias_backlog_max,"BACKLOG","MES CORRIENTE")))</f>
        <v/>
      </c>
      <c r="AD627" s="3">
        <f>IF($AB627="",FALSE,AND($AB627&gt;p_dias_backlog_min,$AB627&lt;=p_dias_backlog_max))</f>
        <v/>
      </c>
      <c r="AE627" s="6" t="n"/>
      <c r="AF627" s="3">
        <f>IF($AE627="","",IF((IFERROR(INDEX('ASIGNACIONES'!$F$4:$F$339,MATCH($O627&amp;"|"&amp;$R627&amp;"|"&amp;$AE627,'ASIGNACIONES'!$J$4:$J$339,0)),""))=0,"",IFERROR(INDEX('ASIGNACIONES'!$F$4:$F$339,MATCH($O627&amp;"|"&amp;$R627&amp;"|"&amp;$AE627,'ASIGNACIONES'!$J$4:$J$339,0)),"")))</f>
        <v/>
      </c>
      <c r="AG627" s="13">
        <f>IF($AE627="","",SUMIFS('ORDENES'!$M$4:$M$1203,'ORDENES'!$AE$4:$AE$1203,$AE627,'ORDENES'!$O$4:$O$1203,$O627,'ORDENES'!$R$4:$R$1203,$R627))</f>
        <v/>
      </c>
      <c r="AH627" s="13">
        <f>IF($AG627="","",p_factor_productividad*IFERROR(INDEX('ASIGNACIONES'!$I$4:$I$339,MATCH($O627&amp;"|"&amp;$R627&amp;"|"&amp;$AE627,'ASIGNACIONES'!$J$4:$J$339,0)),0)-$AG627)</f>
        <v/>
      </c>
      <c r="AI627" s="10">
        <f>IF($A627="","",IFERROR(INDEX('2_IMPORTAR_EJECUCION'!$F$9:$F$1208,MATCH($AQ627,'2_IMPORTAR_EJECUCION'!$J$9:$J$1208,0)),0))</f>
        <v/>
      </c>
      <c r="AJ627" s="10">
        <f>IF($A627="","",MAX(0,IFERROR(INDEX('2_IMPORTAR_EJECUCION'!$H$9:$H$1208,MATCH($AQ627,'2_IMPORTAR_EJECUCION'!$J$9:$J$1208,0)),0)-$AI627))</f>
        <v/>
      </c>
      <c r="AK627" s="10">
        <f>IF($A627="","",$AI627+$AJ627)</f>
        <v/>
      </c>
      <c r="AL627" s="6" t="n"/>
      <c r="AM627" s="6" t="n"/>
      <c r="AN627" s="6" t="n"/>
      <c r="AO627" s="3">
        <f>IF($AN627="","",HYPERLINK(p_ruta_base_checklists&amp;$AN627,"abrir"))</f>
        <v/>
      </c>
      <c r="AP627" s="6" t="n"/>
      <c r="AQ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IF($A628="","",IFERROR(INDEX('AJUSTES'!$B$4:$B$303,MATCH($AQ628,'AJUSTES'!$A$4:$A$303,0)),IF($K628="","",$K628)))</f>
        <v/>
      </c>
      <c r="N628" s="3">
        <f>IF($A628="","",IFERROR(INDEX('CAT_ESTADOS_ERP'!$B$4:$B$7,MATCH(IFERROR(INDEX('2_IMPORTAR_EJECUCION'!$C$9:$C$1208,MATCH($AQ628,'2_IMPORTAR_EJECUCION'!$J$9:$J$1208,0)),""),'CAT_ESTADOS_ERP'!$A$4:$A$7,0)),"Pendiente"))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J628="","",IFERROR(INDEX('CALENDARIO'!$C$15:$C$214,MATCH(TEXT($J628,"yyyy-mm-dd")&amp;"|"&amp;$V628&amp;"|"&amp;$W628,'CALENDARIO'!$G$15:$G$214,0)),IFERROR(INDEX('CALENDARIO'!$C$15:$C$214,MATCH(TEXT($J628,"yyyy-mm-dd")&amp;"|"&amp;$V628&amp;"|",'CALENDARIO'!$G$15:$G$214,0)),IFERROR(INDEX('CALENDARIO'!$C$15:$C$214,MATCH(TEXT($J628,"yyyy-mm-dd")&amp;"||",'CALENDARIO'!$G$15:$G$214,0)),INDEX(patronHabil,WEEKDAY($J628,2))))))</f>
        <v/>
      </c>
      <c r="T628" s="3">
        <f>IF($I628="","",IFERROR(INDEX('CAT_TIPOS_OT'!$C$4:$C$7,MATCH($I628,'CAT_TIPOS_OT'!$A$4:$A$7,0)),"sin_clasificar"))</f>
        <v/>
      </c>
      <c r="U628" s="3">
        <f>IF($F628="","",IFERROR(INDEX('CAT_CENTROS_COSTO'!$F$4:$F$13,MATCH($F628,'CAT_CENTROS_COSTO'!$A$4:$A$13,0)),"(sin catálogo)"))</f>
        <v/>
      </c>
      <c r="V628" s="3">
        <f>IF($F628="","",IFERROR(INDEX('CAT_CENTROS_COSTO'!$D$4:$D$13,MATCH($F628,'CAT_CENTROS_COSTO'!$A$4:$A$13,0)),"(sin catálogo)"))</f>
        <v/>
      </c>
      <c r="W628" s="3">
        <f>IF($F628="","",IF((IFERROR(INDEX('CAT_CENTROS_COSTO'!$E$4:$E$13,MATCH($F628,'CAT_CENTROS_COSTO'!$A$4:$A$13,0)),""))&lt;&gt;"",IFERROR(INDEX('CAT_CENTROS_COSTO'!$E$4:$E$13,MATCH($F628,'CAT_CENTROS_COSTO'!$A$4:$A$13,0)),""),$V628))</f>
        <v/>
      </c>
      <c r="X628" s="3">
        <f>IF($F628="","",IFERROR(INDEX('CAT_CENTROS_COSTO'!$G$4:$G$13,MATCH($F628,'CAT_CENTROS_COSTO'!$A$4:$A$13,0)),"(sin catálogo)"))</f>
        <v/>
      </c>
      <c r="Y628" s="3">
        <f>IF($G628="","",IFERROR(INDEX('CAT_PUESTOS'!$B$4:$B$8,MATCH($G628,'CAT_PUESTOS'!$A$4:$A$8,0)),"(sin catálogo)"))</f>
        <v/>
      </c>
      <c r="Z628" s="3">
        <f>IF($H628="","",IFERROR(INDEX('CAT_ACTIVIDADES'!$B$4:$B$8,MATCH($H628,'CAT_ACTIVIDADES'!$A$4:$A$8,0)),"(sin catálogo)"))</f>
        <v/>
      </c>
      <c r="AA628" s="12">
        <f>IF($J628="","",TODAY()-$J628)</f>
        <v/>
      </c>
      <c r="AB628" s="12">
        <f>IF($J628="","",IF($J628&lt;=TODAY(),COUNTIFS(cal_fechas,"&gt;="&amp;$J628,cal_fechas,"&lt;"&amp;TODAY(),cal_habil,"sí"),-COUNTIFS(cal_fechas,"&gt;="&amp;TODAY(),cal_fechas,"&lt;"&amp;$J628,cal_habil,"sí")))</f>
        <v/>
      </c>
      <c r="AC628" s="3">
        <f>IF($AB628="","",IF($AB628&lt;0,"FUTURO",IF($AB628&gt;p_dias_backlog_max,"BACKLOG","MES CORRIENTE")))</f>
        <v/>
      </c>
      <c r="AD628" s="3">
        <f>IF($AB628="",FALSE,AND($AB628&gt;p_dias_backlog_min,$AB628&lt;=p_dias_backlog_max))</f>
        <v/>
      </c>
      <c r="AE628" s="6" t="n"/>
      <c r="AF628" s="3">
        <f>IF($AE628="","",IF((IFERROR(INDEX('ASIGNACIONES'!$F$4:$F$339,MATCH($O628&amp;"|"&amp;$R628&amp;"|"&amp;$AE628,'ASIGNACIONES'!$J$4:$J$339,0)),""))=0,"",IFERROR(INDEX('ASIGNACIONES'!$F$4:$F$339,MATCH($O628&amp;"|"&amp;$R628&amp;"|"&amp;$AE628,'ASIGNACIONES'!$J$4:$J$339,0)),"")))</f>
        <v/>
      </c>
      <c r="AG628" s="13">
        <f>IF($AE628="","",SUMIFS('ORDENES'!$M$4:$M$1203,'ORDENES'!$AE$4:$AE$1203,$AE628,'ORDENES'!$O$4:$O$1203,$O628,'ORDENES'!$R$4:$R$1203,$R628))</f>
        <v/>
      </c>
      <c r="AH628" s="13">
        <f>IF($AG628="","",p_factor_productividad*IFERROR(INDEX('ASIGNACIONES'!$I$4:$I$339,MATCH($O628&amp;"|"&amp;$R628&amp;"|"&amp;$AE628,'ASIGNACIONES'!$J$4:$J$339,0)),0)-$AG628)</f>
        <v/>
      </c>
      <c r="AI628" s="10">
        <f>IF($A628="","",IFERROR(INDEX('2_IMPORTAR_EJECUCION'!$F$9:$F$1208,MATCH($AQ628,'2_IMPORTAR_EJECUCION'!$J$9:$J$1208,0)),0))</f>
        <v/>
      </c>
      <c r="AJ628" s="10">
        <f>IF($A628="","",MAX(0,IFERROR(INDEX('2_IMPORTAR_EJECUCION'!$H$9:$H$1208,MATCH($AQ628,'2_IMPORTAR_EJECUCION'!$J$9:$J$1208,0)),0)-$AI628))</f>
        <v/>
      </c>
      <c r="AK628" s="10">
        <f>IF($A628="","",$AI628+$AJ628)</f>
        <v/>
      </c>
      <c r="AL628" s="6" t="n"/>
      <c r="AM628" s="6" t="n"/>
      <c r="AN628" s="6" t="n"/>
      <c r="AO628" s="3">
        <f>IF($AN628="","",HYPERLINK(p_ruta_base_checklists&amp;$AN628,"abrir"))</f>
        <v/>
      </c>
      <c r="AP628" s="6" t="n"/>
      <c r="AQ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IF($A629="","",IFERROR(INDEX('AJUSTES'!$B$4:$B$303,MATCH($AQ629,'AJUSTES'!$A$4:$A$303,0)),IF($K629="","",$K629)))</f>
        <v/>
      </c>
      <c r="N629" s="3">
        <f>IF($A629="","",IFERROR(INDEX('CAT_ESTADOS_ERP'!$B$4:$B$7,MATCH(IFERROR(INDEX('2_IMPORTAR_EJECUCION'!$C$9:$C$1208,MATCH($AQ629,'2_IMPORTAR_EJECUCION'!$J$9:$J$1208,0)),""),'CAT_ESTADOS_ERP'!$A$4:$A$7,0)),"Pendiente"))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J629="","",IFERROR(INDEX('CALENDARIO'!$C$15:$C$214,MATCH(TEXT($J629,"yyyy-mm-dd")&amp;"|"&amp;$V629&amp;"|"&amp;$W629,'CALENDARIO'!$G$15:$G$214,0)),IFERROR(INDEX('CALENDARIO'!$C$15:$C$214,MATCH(TEXT($J629,"yyyy-mm-dd")&amp;"|"&amp;$V629&amp;"|",'CALENDARIO'!$G$15:$G$214,0)),IFERROR(INDEX('CALENDARIO'!$C$15:$C$214,MATCH(TEXT($J629,"yyyy-mm-dd")&amp;"||",'CALENDARIO'!$G$15:$G$214,0)),INDEX(patronHabil,WEEKDAY($J629,2))))))</f>
        <v/>
      </c>
      <c r="T629" s="3">
        <f>IF($I629="","",IFERROR(INDEX('CAT_TIPOS_OT'!$C$4:$C$7,MATCH($I629,'CAT_TIPOS_OT'!$A$4:$A$7,0)),"sin_clasificar"))</f>
        <v/>
      </c>
      <c r="U629" s="3">
        <f>IF($F629="","",IFERROR(INDEX('CAT_CENTROS_COSTO'!$F$4:$F$13,MATCH($F629,'CAT_CENTROS_COSTO'!$A$4:$A$13,0)),"(sin catálogo)"))</f>
        <v/>
      </c>
      <c r="V629" s="3">
        <f>IF($F629="","",IFERROR(INDEX('CAT_CENTROS_COSTO'!$D$4:$D$13,MATCH($F629,'CAT_CENTROS_COSTO'!$A$4:$A$13,0)),"(sin catálogo)"))</f>
        <v/>
      </c>
      <c r="W629" s="3">
        <f>IF($F629="","",IF((IFERROR(INDEX('CAT_CENTROS_COSTO'!$E$4:$E$13,MATCH($F629,'CAT_CENTROS_COSTO'!$A$4:$A$13,0)),""))&lt;&gt;"",IFERROR(INDEX('CAT_CENTROS_COSTO'!$E$4:$E$13,MATCH($F629,'CAT_CENTROS_COSTO'!$A$4:$A$13,0)),""),$V629))</f>
        <v/>
      </c>
      <c r="X629" s="3">
        <f>IF($F629="","",IFERROR(INDEX('CAT_CENTROS_COSTO'!$G$4:$G$13,MATCH($F629,'CAT_CENTROS_COSTO'!$A$4:$A$13,0)),"(sin catálogo)"))</f>
        <v/>
      </c>
      <c r="Y629" s="3">
        <f>IF($G629="","",IFERROR(INDEX('CAT_PUESTOS'!$B$4:$B$8,MATCH($G629,'CAT_PUESTOS'!$A$4:$A$8,0)),"(sin catálogo)"))</f>
        <v/>
      </c>
      <c r="Z629" s="3">
        <f>IF($H629="","",IFERROR(INDEX('CAT_ACTIVIDADES'!$B$4:$B$8,MATCH($H629,'CAT_ACTIVIDADES'!$A$4:$A$8,0)),"(sin catálogo)"))</f>
        <v/>
      </c>
      <c r="AA629" s="12">
        <f>IF($J629="","",TODAY()-$J629)</f>
        <v/>
      </c>
      <c r="AB629" s="12">
        <f>IF($J629="","",IF($J629&lt;=TODAY(),COUNTIFS(cal_fechas,"&gt;="&amp;$J629,cal_fechas,"&lt;"&amp;TODAY(),cal_habil,"sí"),-COUNTIFS(cal_fechas,"&gt;="&amp;TODAY(),cal_fechas,"&lt;"&amp;$J629,cal_habil,"sí")))</f>
        <v/>
      </c>
      <c r="AC629" s="3">
        <f>IF($AB629="","",IF($AB629&lt;0,"FUTURO",IF($AB629&gt;p_dias_backlog_max,"BACKLOG","MES CORRIENTE")))</f>
        <v/>
      </c>
      <c r="AD629" s="3">
        <f>IF($AB629="",FALSE,AND($AB629&gt;p_dias_backlog_min,$AB629&lt;=p_dias_backlog_max))</f>
        <v/>
      </c>
      <c r="AE629" s="6" t="n"/>
      <c r="AF629" s="3">
        <f>IF($AE629="","",IF((IFERROR(INDEX('ASIGNACIONES'!$F$4:$F$339,MATCH($O629&amp;"|"&amp;$R629&amp;"|"&amp;$AE629,'ASIGNACIONES'!$J$4:$J$339,0)),""))=0,"",IFERROR(INDEX('ASIGNACIONES'!$F$4:$F$339,MATCH($O629&amp;"|"&amp;$R629&amp;"|"&amp;$AE629,'ASIGNACIONES'!$J$4:$J$339,0)),"")))</f>
        <v/>
      </c>
      <c r="AG629" s="13">
        <f>IF($AE629="","",SUMIFS('ORDENES'!$M$4:$M$1203,'ORDENES'!$AE$4:$AE$1203,$AE629,'ORDENES'!$O$4:$O$1203,$O629,'ORDENES'!$R$4:$R$1203,$R629))</f>
        <v/>
      </c>
      <c r="AH629" s="13">
        <f>IF($AG629="","",p_factor_productividad*IFERROR(INDEX('ASIGNACIONES'!$I$4:$I$339,MATCH($O629&amp;"|"&amp;$R629&amp;"|"&amp;$AE629,'ASIGNACIONES'!$J$4:$J$339,0)),0)-$AG629)</f>
        <v/>
      </c>
      <c r="AI629" s="10">
        <f>IF($A629="","",IFERROR(INDEX('2_IMPORTAR_EJECUCION'!$F$9:$F$1208,MATCH($AQ629,'2_IMPORTAR_EJECUCION'!$J$9:$J$1208,0)),0))</f>
        <v/>
      </c>
      <c r="AJ629" s="10">
        <f>IF($A629="","",MAX(0,IFERROR(INDEX('2_IMPORTAR_EJECUCION'!$H$9:$H$1208,MATCH($AQ629,'2_IMPORTAR_EJECUCION'!$J$9:$J$1208,0)),0)-$AI629))</f>
        <v/>
      </c>
      <c r="AK629" s="10">
        <f>IF($A629="","",$AI629+$AJ629)</f>
        <v/>
      </c>
      <c r="AL629" s="6" t="n"/>
      <c r="AM629" s="6" t="n"/>
      <c r="AN629" s="6" t="n"/>
      <c r="AO629" s="3">
        <f>IF($AN629="","",HYPERLINK(p_ruta_base_checklists&amp;$AN629,"abrir"))</f>
        <v/>
      </c>
      <c r="AP629" s="6" t="n"/>
      <c r="AQ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IF($A630="","",IFERROR(INDEX('AJUSTES'!$B$4:$B$303,MATCH($AQ630,'AJUSTES'!$A$4:$A$303,0)),IF($K630="","",$K630)))</f>
        <v/>
      </c>
      <c r="N630" s="3">
        <f>IF($A630="","",IFERROR(INDEX('CAT_ESTADOS_ERP'!$B$4:$B$7,MATCH(IFERROR(INDEX('2_IMPORTAR_EJECUCION'!$C$9:$C$1208,MATCH($AQ630,'2_IMPORTAR_EJECUCION'!$J$9:$J$1208,0)),""),'CAT_ESTADOS_ERP'!$A$4:$A$7,0)),"Pendiente"))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J630="","",IFERROR(INDEX('CALENDARIO'!$C$15:$C$214,MATCH(TEXT($J630,"yyyy-mm-dd")&amp;"|"&amp;$V630&amp;"|"&amp;$W630,'CALENDARIO'!$G$15:$G$214,0)),IFERROR(INDEX('CALENDARIO'!$C$15:$C$214,MATCH(TEXT($J630,"yyyy-mm-dd")&amp;"|"&amp;$V630&amp;"|",'CALENDARIO'!$G$15:$G$214,0)),IFERROR(INDEX('CALENDARIO'!$C$15:$C$214,MATCH(TEXT($J630,"yyyy-mm-dd")&amp;"||",'CALENDARIO'!$G$15:$G$214,0)),INDEX(patronHabil,WEEKDAY($J630,2))))))</f>
        <v/>
      </c>
      <c r="T630" s="3">
        <f>IF($I630="","",IFERROR(INDEX('CAT_TIPOS_OT'!$C$4:$C$7,MATCH($I630,'CAT_TIPOS_OT'!$A$4:$A$7,0)),"sin_clasificar"))</f>
        <v/>
      </c>
      <c r="U630" s="3">
        <f>IF($F630="","",IFERROR(INDEX('CAT_CENTROS_COSTO'!$F$4:$F$13,MATCH($F630,'CAT_CENTROS_COSTO'!$A$4:$A$13,0)),"(sin catálogo)"))</f>
        <v/>
      </c>
      <c r="V630" s="3">
        <f>IF($F630="","",IFERROR(INDEX('CAT_CENTROS_COSTO'!$D$4:$D$13,MATCH($F630,'CAT_CENTROS_COSTO'!$A$4:$A$13,0)),"(sin catálogo)"))</f>
        <v/>
      </c>
      <c r="W630" s="3">
        <f>IF($F630="","",IF((IFERROR(INDEX('CAT_CENTROS_COSTO'!$E$4:$E$13,MATCH($F630,'CAT_CENTROS_COSTO'!$A$4:$A$13,0)),""))&lt;&gt;"",IFERROR(INDEX('CAT_CENTROS_COSTO'!$E$4:$E$13,MATCH($F630,'CAT_CENTROS_COSTO'!$A$4:$A$13,0)),""),$V630))</f>
        <v/>
      </c>
      <c r="X630" s="3">
        <f>IF($F630="","",IFERROR(INDEX('CAT_CENTROS_COSTO'!$G$4:$G$13,MATCH($F630,'CAT_CENTROS_COSTO'!$A$4:$A$13,0)),"(sin catálogo)"))</f>
        <v/>
      </c>
      <c r="Y630" s="3">
        <f>IF($G630="","",IFERROR(INDEX('CAT_PUESTOS'!$B$4:$B$8,MATCH($G630,'CAT_PUESTOS'!$A$4:$A$8,0)),"(sin catálogo)"))</f>
        <v/>
      </c>
      <c r="Z630" s="3">
        <f>IF($H630="","",IFERROR(INDEX('CAT_ACTIVIDADES'!$B$4:$B$8,MATCH($H630,'CAT_ACTIVIDADES'!$A$4:$A$8,0)),"(sin catálogo)"))</f>
        <v/>
      </c>
      <c r="AA630" s="12">
        <f>IF($J630="","",TODAY()-$J630)</f>
        <v/>
      </c>
      <c r="AB630" s="12">
        <f>IF($J630="","",IF($J630&lt;=TODAY(),COUNTIFS(cal_fechas,"&gt;="&amp;$J630,cal_fechas,"&lt;"&amp;TODAY(),cal_habil,"sí"),-COUNTIFS(cal_fechas,"&gt;="&amp;TODAY(),cal_fechas,"&lt;"&amp;$J630,cal_habil,"sí")))</f>
        <v/>
      </c>
      <c r="AC630" s="3">
        <f>IF($AB630="","",IF($AB630&lt;0,"FUTURO",IF($AB630&gt;p_dias_backlog_max,"BACKLOG","MES CORRIENTE")))</f>
        <v/>
      </c>
      <c r="AD630" s="3">
        <f>IF($AB630="",FALSE,AND($AB630&gt;p_dias_backlog_min,$AB630&lt;=p_dias_backlog_max))</f>
        <v/>
      </c>
      <c r="AE630" s="6" t="n"/>
      <c r="AF630" s="3">
        <f>IF($AE630="","",IF((IFERROR(INDEX('ASIGNACIONES'!$F$4:$F$339,MATCH($O630&amp;"|"&amp;$R630&amp;"|"&amp;$AE630,'ASIGNACIONES'!$J$4:$J$339,0)),""))=0,"",IFERROR(INDEX('ASIGNACIONES'!$F$4:$F$339,MATCH($O630&amp;"|"&amp;$R630&amp;"|"&amp;$AE630,'ASIGNACIONES'!$J$4:$J$339,0)),"")))</f>
        <v/>
      </c>
      <c r="AG630" s="13">
        <f>IF($AE630="","",SUMIFS('ORDENES'!$M$4:$M$1203,'ORDENES'!$AE$4:$AE$1203,$AE630,'ORDENES'!$O$4:$O$1203,$O630,'ORDENES'!$R$4:$R$1203,$R630))</f>
        <v/>
      </c>
      <c r="AH630" s="13">
        <f>IF($AG630="","",p_factor_productividad*IFERROR(INDEX('ASIGNACIONES'!$I$4:$I$339,MATCH($O630&amp;"|"&amp;$R630&amp;"|"&amp;$AE630,'ASIGNACIONES'!$J$4:$J$339,0)),0)-$AG630)</f>
        <v/>
      </c>
      <c r="AI630" s="10">
        <f>IF($A630="","",IFERROR(INDEX('2_IMPORTAR_EJECUCION'!$F$9:$F$1208,MATCH($AQ630,'2_IMPORTAR_EJECUCION'!$J$9:$J$1208,0)),0))</f>
        <v/>
      </c>
      <c r="AJ630" s="10">
        <f>IF($A630="","",MAX(0,IFERROR(INDEX('2_IMPORTAR_EJECUCION'!$H$9:$H$1208,MATCH($AQ630,'2_IMPORTAR_EJECUCION'!$J$9:$J$1208,0)),0)-$AI630))</f>
        <v/>
      </c>
      <c r="AK630" s="10">
        <f>IF($A630="","",$AI630+$AJ630)</f>
        <v/>
      </c>
      <c r="AL630" s="6" t="n"/>
      <c r="AM630" s="6" t="n"/>
      <c r="AN630" s="6" t="n"/>
      <c r="AO630" s="3">
        <f>IF($AN630="","",HYPERLINK(p_ruta_base_checklists&amp;$AN630,"abrir"))</f>
        <v/>
      </c>
      <c r="AP630" s="6" t="n"/>
      <c r="AQ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IF($A631="","",IFERROR(INDEX('AJUSTES'!$B$4:$B$303,MATCH($AQ631,'AJUSTES'!$A$4:$A$303,0)),IF($K631="","",$K631)))</f>
        <v/>
      </c>
      <c r="N631" s="3">
        <f>IF($A631="","",IFERROR(INDEX('CAT_ESTADOS_ERP'!$B$4:$B$7,MATCH(IFERROR(INDEX('2_IMPORTAR_EJECUCION'!$C$9:$C$1208,MATCH($AQ631,'2_IMPORTAR_EJECUCION'!$J$9:$J$1208,0)),""),'CAT_ESTADOS_ERP'!$A$4:$A$7,0)),"Pendiente"))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J631="","",IFERROR(INDEX('CALENDARIO'!$C$15:$C$214,MATCH(TEXT($J631,"yyyy-mm-dd")&amp;"|"&amp;$V631&amp;"|"&amp;$W631,'CALENDARIO'!$G$15:$G$214,0)),IFERROR(INDEX('CALENDARIO'!$C$15:$C$214,MATCH(TEXT($J631,"yyyy-mm-dd")&amp;"|"&amp;$V631&amp;"|",'CALENDARIO'!$G$15:$G$214,0)),IFERROR(INDEX('CALENDARIO'!$C$15:$C$214,MATCH(TEXT($J631,"yyyy-mm-dd")&amp;"||",'CALENDARIO'!$G$15:$G$214,0)),INDEX(patronHabil,WEEKDAY($J631,2))))))</f>
        <v/>
      </c>
      <c r="T631" s="3">
        <f>IF($I631="","",IFERROR(INDEX('CAT_TIPOS_OT'!$C$4:$C$7,MATCH($I631,'CAT_TIPOS_OT'!$A$4:$A$7,0)),"sin_clasificar"))</f>
        <v/>
      </c>
      <c r="U631" s="3">
        <f>IF($F631="","",IFERROR(INDEX('CAT_CENTROS_COSTO'!$F$4:$F$13,MATCH($F631,'CAT_CENTROS_COSTO'!$A$4:$A$13,0)),"(sin catálogo)"))</f>
        <v/>
      </c>
      <c r="V631" s="3">
        <f>IF($F631="","",IFERROR(INDEX('CAT_CENTROS_COSTO'!$D$4:$D$13,MATCH($F631,'CAT_CENTROS_COSTO'!$A$4:$A$13,0)),"(sin catálogo)"))</f>
        <v/>
      </c>
      <c r="W631" s="3">
        <f>IF($F631="","",IF((IFERROR(INDEX('CAT_CENTROS_COSTO'!$E$4:$E$13,MATCH($F631,'CAT_CENTROS_COSTO'!$A$4:$A$13,0)),""))&lt;&gt;"",IFERROR(INDEX('CAT_CENTROS_COSTO'!$E$4:$E$13,MATCH($F631,'CAT_CENTROS_COSTO'!$A$4:$A$13,0)),""),$V631))</f>
        <v/>
      </c>
      <c r="X631" s="3">
        <f>IF($F631="","",IFERROR(INDEX('CAT_CENTROS_COSTO'!$G$4:$G$13,MATCH($F631,'CAT_CENTROS_COSTO'!$A$4:$A$13,0)),"(sin catálogo)"))</f>
        <v/>
      </c>
      <c r="Y631" s="3">
        <f>IF($G631="","",IFERROR(INDEX('CAT_PUESTOS'!$B$4:$B$8,MATCH($G631,'CAT_PUESTOS'!$A$4:$A$8,0)),"(sin catálogo)"))</f>
        <v/>
      </c>
      <c r="Z631" s="3">
        <f>IF($H631="","",IFERROR(INDEX('CAT_ACTIVIDADES'!$B$4:$B$8,MATCH($H631,'CAT_ACTIVIDADES'!$A$4:$A$8,0)),"(sin catálogo)"))</f>
        <v/>
      </c>
      <c r="AA631" s="12">
        <f>IF($J631="","",TODAY()-$J631)</f>
        <v/>
      </c>
      <c r="AB631" s="12">
        <f>IF($J631="","",IF($J631&lt;=TODAY(),COUNTIFS(cal_fechas,"&gt;="&amp;$J631,cal_fechas,"&lt;"&amp;TODAY(),cal_habil,"sí"),-COUNTIFS(cal_fechas,"&gt;="&amp;TODAY(),cal_fechas,"&lt;"&amp;$J631,cal_habil,"sí")))</f>
        <v/>
      </c>
      <c r="AC631" s="3">
        <f>IF($AB631="","",IF($AB631&lt;0,"FUTURO",IF($AB631&gt;p_dias_backlog_max,"BACKLOG","MES CORRIENTE")))</f>
        <v/>
      </c>
      <c r="AD631" s="3">
        <f>IF($AB631="",FALSE,AND($AB631&gt;p_dias_backlog_min,$AB631&lt;=p_dias_backlog_max))</f>
        <v/>
      </c>
      <c r="AE631" s="6" t="n"/>
      <c r="AF631" s="3">
        <f>IF($AE631="","",IF((IFERROR(INDEX('ASIGNACIONES'!$F$4:$F$339,MATCH($O631&amp;"|"&amp;$R631&amp;"|"&amp;$AE631,'ASIGNACIONES'!$J$4:$J$339,0)),""))=0,"",IFERROR(INDEX('ASIGNACIONES'!$F$4:$F$339,MATCH($O631&amp;"|"&amp;$R631&amp;"|"&amp;$AE631,'ASIGNACIONES'!$J$4:$J$339,0)),"")))</f>
        <v/>
      </c>
      <c r="AG631" s="13">
        <f>IF($AE631="","",SUMIFS('ORDENES'!$M$4:$M$1203,'ORDENES'!$AE$4:$AE$1203,$AE631,'ORDENES'!$O$4:$O$1203,$O631,'ORDENES'!$R$4:$R$1203,$R631))</f>
        <v/>
      </c>
      <c r="AH631" s="13">
        <f>IF($AG631="","",p_factor_productividad*IFERROR(INDEX('ASIGNACIONES'!$I$4:$I$339,MATCH($O631&amp;"|"&amp;$R631&amp;"|"&amp;$AE631,'ASIGNACIONES'!$J$4:$J$339,0)),0)-$AG631)</f>
        <v/>
      </c>
      <c r="AI631" s="10">
        <f>IF($A631="","",IFERROR(INDEX('2_IMPORTAR_EJECUCION'!$F$9:$F$1208,MATCH($AQ631,'2_IMPORTAR_EJECUCION'!$J$9:$J$1208,0)),0))</f>
        <v/>
      </c>
      <c r="AJ631" s="10">
        <f>IF($A631="","",MAX(0,IFERROR(INDEX('2_IMPORTAR_EJECUCION'!$H$9:$H$1208,MATCH($AQ631,'2_IMPORTAR_EJECUCION'!$J$9:$J$1208,0)),0)-$AI631))</f>
        <v/>
      </c>
      <c r="AK631" s="10">
        <f>IF($A631="","",$AI631+$AJ631)</f>
        <v/>
      </c>
      <c r="AL631" s="6" t="n"/>
      <c r="AM631" s="6" t="n"/>
      <c r="AN631" s="6" t="n"/>
      <c r="AO631" s="3">
        <f>IF($AN631="","",HYPERLINK(p_ruta_base_checklists&amp;$AN631,"abrir"))</f>
        <v/>
      </c>
      <c r="AP631" s="6" t="n"/>
      <c r="AQ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IF($A632="","",IFERROR(INDEX('AJUSTES'!$B$4:$B$303,MATCH($AQ632,'AJUSTES'!$A$4:$A$303,0)),IF($K632="","",$K632)))</f>
        <v/>
      </c>
      <c r="N632" s="3">
        <f>IF($A632="","",IFERROR(INDEX('CAT_ESTADOS_ERP'!$B$4:$B$7,MATCH(IFERROR(INDEX('2_IMPORTAR_EJECUCION'!$C$9:$C$1208,MATCH($AQ632,'2_IMPORTAR_EJECUCION'!$J$9:$J$1208,0)),""),'CAT_ESTADOS_ERP'!$A$4:$A$7,0)),"Pendiente"))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J632="","",IFERROR(INDEX('CALENDARIO'!$C$15:$C$214,MATCH(TEXT($J632,"yyyy-mm-dd")&amp;"|"&amp;$V632&amp;"|"&amp;$W632,'CALENDARIO'!$G$15:$G$214,0)),IFERROR(INDEX('CALENDARIO'!$C$15:$C$214,MATCH(TEXT($J632,"yyyy-mm-dd")&amp;"|"&amp;$V632&amp;"|",'CALENDARIO'!$G$15:$G$214,0)),IFERROR(INDEX('CALENDARIO'!$C$15:$C$214,MATCH(TEXT($J632,"yyyy-mm-dd")&amp;"||",'CALENDARIO'!$G$15:$G$214,0)),INDEX(patronHabil,WEEKDAY($J632,2))))))</f>
        <v/>
      </c>
      <c r="T632" s="3">
        <f>IF($I632="","",IFERROR(INDEX('CAT_TIPOS_OT'!$C$4:$C$7,MATCH($I632,'CAT_TIPOS_OT'!$A$4:$A$7,0)),"sin_clasificar"))</f>
        <v/>
      </c>
      <c r="U632" s="3">
        <f>IF($F632="","",IFERROR(INDEX('CAT_CENTROS_COSTO'!$F$4:$F$13,MATCH($F632,'CAT_CENTROS_COSTO'!$A$4:$A$13,0)),"(sin catálogo)"))</f>
        <v/>
      </c>
      <c r="V632" s="3">
        <f>IF($F632="","",IFERROR(INDEX('CAT_CENTROS_COSTO'!$D$4:$D$13,MATCH($F632,'CAT_CENTROS_COSTO'!$A$4:$A$13,0)),"(sin catálogo)"))</f>
        <v/>
      </c>
      <c r="W632" s="3">
        <f>IF($F632="","",IF((IFERROR(INDEX('CAT_CENTROS_COSTO'!$E$4:$E$13,MATCH($F632,'CAT_CENTROS_COSTO'!$A$4:$A$13,0)),""))&lt;&gt;"",IFERROR(INDEX('CAT_CENTROS_COSTO'!$E$4:$E$13,MATCH($F632,'CAT_CENTROS_COSTO'!$A$4:$A$13,0)),""),$V632))</f>
        <v/>
      </c>
      <c r="X632" s="3">
        <f>IF($F632="","",IFERROR(INDEX('CAT_CENTROS_COSTO'!$G$4:$G$13,MATCH($F632,'CAT_CENTROS_COSTO'!$A$4:$A$13,0)),"(sin catálogo)"))</f>
        <v/>
      </c>
      <c r="Y632" s="3">
        <f>IF($G632="","",IFERROR(INDEX('CAT_PUESTOS'!$B$4:$B$8,MATCH($G632,'CAT_PUESTOS'!$A$4:$A$8,0)),"(sin catálogo)"))</f>
        <v/>
      </c>
      <c r="Z632" s="3">
        <f>IF($H632="","",IFERROR(INDEX('CAT_ACTIVIDADES'!$B$4:$B$8,MATCH($H632,'CAT_ACTIVIDADES'!$A$4:$A$8,0)),"(sin catálogo)"))</f>
        <v/>
      </c>
      <c r="AA632" s="12">
        <f>IF($J632="","",TODAY()-$J632)</f>
        <v/>
      </c>
      <c r="AB632" s="12">
        <f>IF($J632="","",IF($J632&lt;=TODAY(),COUNTIFS(cal_fechas,"&gt;="&amp;$J632,cal_fechas,"&lt;"&amp;TODAY(),cal_habil,"sí"),-COUNTIFS(cal_fechas,"&gt;="&amp;TODAY(),cal_fechas,"&lt;"&amp;$J632,cal_habil,"sí")))</f>
        <v/>
      </c>
      <c r="AC632" s="3">
        <f>IF($AB632="","",IF($AB632&lt;0,"FUTURO",IF($AB632&gt;p_dias_backlog_max,"BACKLOG","MES CORRIENTE")))</f>
        <v/>
      </c>
      <c r="AD632" s="3">
        <f>IF($AB632="",FALSE,AND($AB632&gt;p_dias_backlog_min,$AB632&lt;=p_dias_backlog_max))</f>
        <v/>
      </c>
      <c r="AE632" s="6" t="n"/>
      <c r="AF632" s="3">
        <f>IF($AE632="","",IF((IFERROR(INDEX('ASIGNACIONES'!$F$4:$F$339,MATCH($O632&amp;"|"&amp;$R632&amp;"|"&amp;$AE632,'ASIGNACIONES'!$J$4:$J$339,0)),""))=0,"",IFERROR(INDEX('ASIGNACIONES'!$F$4:$F$339,MATCH($O632&amp;"|"&amp;$R632&amp;"|"&amp;$AE632,'ASIGNACIONES'!$J$4:$J$339,0)),"")))</f>
        <v/>
      </c>
      <c r="AG632" s="13">
        <f>IF($AE632="","",SUMIFS('ORDENES'!$M$4:$M$1203,'ORDENES'!$AE$4:$AE$1203,$AE632,'ORDENES'!$O$4:$O$1203,$O632,'ORDENES'!$R$4:$R$1203,$R632))</f>
        <v/>
      </c>
      <c r="AH632" s="13">
        <f>IF($AG632="","",p_factor_productividad*IFERROR(INDEX('ASIGNACIONES'!$I$4:$I$339,MATCH($O632&amp;"|"&amp;$R632&amp;"|"&amp;$AE632,'ASIGNACIONES'!$J$4:$J$339,0)),0)-$AG632)</f>
        <v/>
      </c>
      <c r="AI632" s="10">
        <f>IF($A632="","",IFERROR(INDEX('2_IMPORTAR_EJECUCION'!$F$9:$F$1208,MATCH($AQ632,'2_IMPORTAR_EJECUCION'!$J$9:$J$1208,0)),0))</f>
        <v/>
      </c>
      <c r="AJ632" s="10">
        <f>IF($A632="","",MAX(0,IFERROR(INDEX('2_IMPORTAR_EJECUCION'!$H$9:$H$1208,MATCH($AQ632,'2_IMPORTAR_EJECUCION'!$J$9:$J$1208,0)),0)-$AI632))</f>
        <v/>
      </c>
      <c r="AK632" s="10">
        <f>IF($A632="","",$AI632+$AJ632)</f>
        <v/>
      </c>
      <c r="AL632" s="6" t="n"/>
      <c r="AM632" s="6" t="n"/>
      <c r="AN632" s="6" t="n"/>
      <c r="AO632" s="3">
        <f>IF($AN632="","",HYPERLINK(p_ruta_base_checklists&amp;$AN632,"abrir"))</f>
        <v/>
      </c>
      <c r="AP632" s="6" t="n"/>
      <c r="AQ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IF($A633="","",IFERROR(INDEX('AJUSTES'!$B$4:$B$303,MATCH($AQ633,'AJUSTES'!$A$4:$A$303,0)),IF($K633="","",$K633)))</f>
        <v/>
      </c>
      <c r="N633" s="3">
        <f>IF($A633="","",IFERROR(INDEX('CAT_ESTADOS_ERP'!$B$4:$B$7,MATCH(IFERROR(INDEX('2_IMPORTAR_EJECUCION'!$C$9:$C$1208,MATCH($AQ633,'2_IMPORTAR_EJECUCION'!$J$9:$J$1208,0)),""),'CAT_ESTADOS_ERP'!$A$4:$A$7,0)),"Pendiente"))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J633="","",IFERROR(INDEX('CALENDARIO'!$C$15:$C$214,MATCH(TEXT($J633,"yyyy-mm-dd")&amp;"|"&amp;$V633&amp;"|"&amp;$W633,'CALENDARIO'!$G$15:$G$214,0)),IFERROR(INDEX('CALENDARIO'!$C$15:$C$214,MATCH(TEXT($J633,"yyyy-mm-dd")&amp;"|"&amp;$V633&amp;"|",'CALENDARIO'!$G$15:$G$214,0)),IFERROR(INDEX('CALENDARIO'!$C$15:$C$214,MATCH(TEXT($J633,"yyyy-mm-dd")&amp;"||",'CALENDARIO'!$G$15:$G$214,0)),INDEX(patronHabil,WEEKDAY($J633,2))))))</f>
        <v/>
      </c>
      <c r="T633" s="3">
        <f>IF($I633="","",IFERROR(INDEX('CAT_TIPOS_OT'!$C$4:$C$7,MATCH($I633,'CAT_TIPOS_OT'!$A$4:$A$7,0)),"sin_clasificar"))</f>
        <v/>
      </c>
      <c r="U633" s="3">
        <f>IF($F633="","",IFERROR(INDEX('CAT_CENTROS_COSTO'!$F$4:$F$13,MATCH($F633,'CAT_CENTROS_COSTO'!$A$4:$A$13,0)),"(sin catálogo)"))</f>
        <v/>
      </c>
      <c r="V633" s="3">
        <f>IF($F633="","",IFERROR(INDEX('CAT_CENTROS_COSTO'!$D$4:$D$13,MATCH($F633,'CAT_CENTROS_COSTO'!$A$4:$A$13,0)),"(sin catálogo)"))</f>
        <v/>
      </c>
      <c r="W633" s="3">
        <f>IF($F633="","",IF((IFERROR(INDEX('CAT_CENTROS_COSTO'!$E$4:$E$13,MATCH($F633,'CAT_CENTROS_COSTO'!$A$4:$A$13,0)),""))&lt;&gt;"",IFERROR(INDEX('CAT_CENTROS_COSTO'!$E$4:$E$13,MATCH($F633,'CAT_CENTROS_COSTO'!$A$4:$A$13,0)),""),$V633))</f>
        <v/>
      </c>
      <c r="X633" s="3">
        <f>IF($F633="","",IFERROR(INDEX('CAT_CENTROS_COSTO'!$G$4:$G$13,MATCH($F633,'CAT_CENTROS_COSTO'!$A$4:$A$13,0)),"(sin catálogo)"))</f>
        <v/>
      </c>
      <c r="Y633" s="3">
        <f>IF($G633="","",IFERROR(INDEX('CAT_PUESTOS'!$B$4:$B$8,MATCH($G633,'CAT_PUESTOS'!$A$4:$A$8,0)),"(sin catálogo)"))</f>
        <v/>
      </c>
      <c r="Z633" s="3">
        <f>IF($H633="","",IFERROR(INDEX('CAT_ACTIVIDADES'!$B$4:$B$8,MATCH($H633,'CAT_ACTIVIDADES'!$A$4:$A$8,0)),"(sin catálogo)"))</f>
        <v/>
      </c>
      <c r="AA633" s="12">
        <f>IF($J633="","",TODAY()-$J633)</f>
        <v/>
      </c>
      <c r="AB633" s="12">
        <f>IF($J633="","",IF($J633&lt;=TODAY(),COUNTIFS(cal_fechas,"&gt;="&amp;$J633,cal_fechas,"&lt;"&amp;TODAY(),cal_habil,"sí"),-COUNTIFS(cal_fechas,"&gt;="&amp;TODAY(),cal_fechas,"&lt;"&amp;$J633,cal_habil,"sí")))</f>
        <v/>
      </c>
      <c r="AC633" s="3">
        <f>IF($AB633="","",IF($AB633&lt;0,"FUTURO",IF($AB633&gt;p_dias_backlog_max,"BACKLOG","MES CORRIENTE")))</f>
        <v/>
      </c>
      <c r="AD633" s="3">
        <f>IF($AB633="",FALSE,AND($AB633&gt;p_dias_backlog_min,$AB633&lt;=p_dias_backlog_max))</f>
        <v/>
      </c>
      <c r="AE633" s="6" t="n"/>
      <c r="AF633" s="3">
        <f>IF($AE633="","",IF((IFERROR(INDEX('ASIGNACIONES'!$F$4:$F$339,MATCH($O633&amp;"|"&amp;$R633&amp;"|"&amp;$AE633,'ASIGNACIONES'!$J$4:$J$339,0)),""))=0,"",IFERROR(INDEX('ASIGNACIONES'!$F$4:$F$339,MATCH($O633&amp;"|"&amp;$R633&amp;"|"&amp;$AE633,'ASIGNACIONES'!$J$4:$J$339,0)),"")))</f>
        <v/>
      </c>
      <c r="AG633" s="13">
        <f>IF($AE633="","",SUMIFS('ORDENES'!$M$4:$M$1203,'ORDENES'!$AE$4:$AE$1203,$AE633,'ORDENES'!$O$4:$O$1203,$O633,'ORDENES'!$R$4:$R$1203,$R633))</f>
        <v/>
      </c>
      <c r="AH633" s="13">
        <f>IF($AG633="","",p_factor_productividad*IFERROR(INDEX('ASIGNACIONES'!$I$4:$I$339,MATCH($O633&amp;"|"&amp;$R633&amp;"|"&amp;$AE633,'ASIGNACIONES'!$J$4:$J$339,0)),0)-$AG633)</f>
        <v/>
      </c>
      <c r="AI633" s="10">
        <f>IF($A633="","",IFERROR(INDEX('2_IMPORTAR_EJECUCION'!$F$9:$F$1208,MATCH($AQ633,'2_IMPORTAR_EJECUCION'!$J$9:$J$1208,0)),0))</f>
        <v/>
      </c>
      <c r="AJ633" s="10">
        <f>IF($A633="","",MAX(0,IFERROR(INDEX('2_IMPORTAR_EJECUCION'!$H$9:$H$1208,MATCH($AQ633,'2_IMPORTAR_EJECUCION'!$J$9:$J$1208,0)),0)-$AI633))</f>
        <v/>
      </c>
      <c r="AK633" s="10">
        <f>IF($A633="","",$AI633+$AJ633)</f>
        <v/>
      </c>
      <c r="AL633" s="6" t="n"/>
      <c r="AM633" s="6" t="n"/>
      <c r="AN633" s="6" t="n"/>
      <c r="AO633" s="3">
        <f>IF($AN633="","",HYPERLINK(p_ruta_base_checklists&amp;$AN633,"abrir"))</f>
        <v/>
      </c>
      <c r="AP633" s="6" t="n"/>
      <c r="AQ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IF($A634="","",IFERROR(INDEX('AJUSTES'!$B$4:$B$303,MATCH($AQ634,'AJUSTES'!$A$4:$A$303,0)),IF($K634="","",$K634)))</f>
        <v/>
      </c>
      <c r="N634" s="3">
        <f>IF($A634="","",IFERROR(INDEX('CAT_ESTADOS_ERP'!$B$4:$B$7,MATCH(IFERROR(INDEX('2_IMPORTAR_EJECUCION'!$C$9:$C$1208,MATCH($AQ634,'2_IMPORTAR_EJECUCION'!$J$9:$J$1208,0)),""),'CAT_ESTADOS_ERP'!$A$4:$A$7,0)),"Pendiente"))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J634="","",IFERROR(INDEX('CALENDARIO'!$C$15:$C$214,MATCH(TEXT($J634,"yyyy-mm-dd")&amp;"|"&amp;$V634&amp;"|"&amp;$W634,'CALENDARIO'!$G$15:$G$214,0)),IFERROR(INDEX('CALENDARIO'!$C$15:$C$214,MATCH(TEXT($J634,"yyyy-mm-dd")&amp;"|"&amp;$V634&amp;"|",'CALENDARIO'!$G$15:$G$214,0)),IFERROR(INDEX('CALENDARIO'!$C$15:$C$214,MATCH(TEXT($J634,"yyyy-mm-dd")&amp;"||",'CALENDARIO'!$G$15:$G$214,0)),INDEX(patronHabil,WEEKDAY($J634,2))))))</f>
        <v/>
      </c>
      <c r="T634" s="3">
        <f>IF($I634="","",IFERROR(INDEX('CAT_TIPOS_OT'!$C$4:$C$7,MATCH($I634,'CAT_TIPOS_OT'!$A$4:$A$7,0)),"sin_clasificar"))</f>
        <v/>
      </c>
      <c r="U634" s="3">
        <f>IF($F634="","",IFERROR(INDEX('CAT_CENTROS_COSTO'!$F$4:$F$13,MATCH($F634,'CAT_CENTROS_COSTO'!$A$4:$A$13,0)),"(sin catálogo)"))</f>
        <v/>
      </c>
      <c r="V634" s="3">
        <f>IF($F634="","",IFERROR(INDEX('CAT_CENTROS_COSTO'!$D$4:$D$13,MATCH($F634,'CAT_CENTROS_COSTO'!$A$4:$A$13,0)),"(sin catálogo)"))</f>
        <v/>
      </c>
      <c r="W634" s="3">
        <f>IF($F634="","",IF((IFERROR(INDEX('CAT_CENTROS_COSTO'!$E$4:$E$13,MATCH($F634,'CAT_CENTROS_COSTO'!$A$4:$A$13,0)),""))&lt;&gt;"",IFERROR(INDEX('CAT_CENTROS_COSTO'!$E$4:$E$13,MATCH($F634,'CAT_CENTROS_COSTO'!$A$4:$A$13,0)),""),$V634))</f>
        <v/>
      </c>
      <c r="X634" s="3">
        <f>IF($F634="","",IFERROR(INDEX('CAT_CENTROS_COSTO'!$G$4:$G$13,MATCH($F634,'CAT_CENTROS_COSTO'!$A$4:$A$13,0)),"(sin catálogo)"))</f>
        <v/>
      </c>
      <c r="Y634" s="3">
        <f>IF($G634="","",IFERROR(INDEX('CAT_PUESTOS'!$B$4:$B$8,MATCH($G634,'CAT_PUESTOS'!$A$4:$A$8,0)),"(sin catálogo)"))</f>
        <v/>
      </c>
      <c r="Z634" s="3">
        <f>IF($H634="","",IFERROR(INDEX('CAT_ACTIVIDADES'!$B$4:$B$8,MATCH($H634,'CAT_ACTIVIDADES'!$A$4:$A$8,0)),"(sin catálogo)"))</f>
        <v/>
      </c>
      <c r="AA634" s="12">
        <f>IF($J634="","",TODAY()-$J634)</f>
        <v/>
      </c>
      <c r="AB634" s="12">
        <f>IF($J634="","",IF($J634&lt;=TODAY(),COUNTIFS(cal_fechas,"&gt;="&amp;$J634,cal_fechas,"&lt;"&amp;TODAY(),cal_habil,"sí"),-COUNTIFS(cal_fechas,"&gt;="&amp;TODAY(),cal_fechas,"&lt;"&amp;$J634,cal_habil,"sí")))</f>
        <v/>
      </c>
      <c r="AC634" s="3">
        <f>IF($AB634="","",IF($AB634&lt;0,"FUTURO",IF($AB634&gt;p_dias_backlog_max,"BACKLOG","MES CORRIENTE")))</f>
        <v/>
      </c>
      <c r="AD634" s="3">
        <f>IF($AB634="",FALSE,AND($AB634&gt;p_dias_backlog_min,$AB634&lt;=p_dias_backlog_max))</f>
        <v/>
      </c>
      <c r="AE634" s="6" t="n"/>
      <c r="AF634" s="3">
        <f>IF($AE634="","",IF((IFERROR(INDEX('ASIGNACIONES'!$F$4:$F$339,MATCH($O634&amp;"|"&amp;$R634&amp;"|"&amp;$AE634,'ASIGNACIONES'!$J$4:$J$339,0)),""))=0,"",IFERROR(INDEX('ASIGNACIONES'!$F$4:$F$339,MATCH($O634&amp;"|"&amp;$R634&amp;"|"&amp;$AE634,'ASIGNACIONES'!$J$4:$J$339,0)),"")))</f>
        <v/>
      </c>
      <c r="AG634" s="13">
        <f>IF($AE634="","",SUMIFS('ORDENES'!$M$4:$M$1203,'ORDENES'!$AE$4:$AE$1203,$AE634,'ORDENES'!$O$4:$O$1203,$O634,'ORDENES'!$R$4:$R$1203,$R634))</f>
        <v/>
      </c>
      <c r="AH634" s="13">
        <f>IF($AG634="","",p_factor_productividad*IFERROR(INDEX('ASIGNACIONES'!$I$4:$I$339,MATCH($O634&amp;"|"&amp;$R634&amp;"|"&amp;$AE634,'ASIGNACIONES'!$J$4:$J$339,0)),0)-$AG634)</f>
        <v/>
      </c>
      <c r="AI634" s="10">
        <f>IF($A634="","",IFERROR(INDEX('2_IMPORTAR_EJECUCION'!$F$9:$F$1208,MATCH($AQ634,'2_IMPORTAR_EJECUCION'!$J$9:$J$1208,0)),0))</f>
        <v/>
      </c>
      <c r="AJ634" s="10">
        <f>IF($A634="","",MAX(0,IFERROR(INDEX('2_IMPORTAR_EJECUCION'!$H$9:$H$1208,MATCH($AQ634,'2_IMPORTAR_EJECUCION'!$J$9:$J$1208,0)),0)-$AI634))</f>
        <v/>
      </c>
      <c r="AK634" s="10">
        <f>IF($A634="","",$AI634+$AJ634)</f>
        <v/>
      </c>
      <c r="AL634" s="6" t="n"/>
      <c r="AM634" s="6" t="n"/>
      <c r="AN634" s="6" t="n"/>
      <c r="AO634" s="3">
        <f>IF($AN634="","",HYPERLINK(p_ruta_base_checklists&amp;$AN634,"abrir"))</f>
        <v/>
      </c>
      <c r="AP634" s="6" t="n"/>
      <c r="AQ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IF($A635="","",IFERROR(INDEX('AJUSTES'!$B$4:$B$303,MATCH($AQ635,'AJUSTES'!$A$4:$A$303,0)),IF($K635="","",$K635)))</f>
        <v/>
      </c>
      <c r="N635" s="3">
        <f>IF($A635="","",IFERROR(INDEX('CAT_ESTADOS_ERP'!$B$4:$B$7,MATCH(IFERROR(INDEX('2_IMPORTAR_EJECUCION'!$C$9:$C$1208,MATCH($AQ635,'2_IMPORTAR_EJECUCION'!$J$9:$J$1208,0)),""),'CAT_ESTADOS_ERP'!$A$4:$A$7,0)),"Pendiente"))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J635="","",IFERROR(INDEX('CALENDARIO'!$C$15:$C$214,MATCH(TEXT($J635,"yyyy-mm-dd")&amp;"|"&amp;$V635&amp;"|"&amp;$W635,'CALENDARIO'!$G$15:$G$214,0)),IFERROR(INDEX('CALENDARIO'!$C$15:$C$214,MATCH(TEXT($J635,"yyyy-mm-dd")&amp;"|"&amp;$V635&amp;"|",'CALENDARIO'!$G$15:$G$214,0)),IFERROR(INDEX('CALENDARIO'!$C$15:$C$214,MATCH(TEXT($J635,"yyyy-mm-dd")&amp;"||",'CALENDARIO'!$G$15:$G$214,0)),INDEX(patronHabil,WEEKDAY($J635,2))))))</f>
        <v/>
      </c>
      <c r="T635" s="3">
        <f>IF($I635="","",IFERROR(INDEX('CAT_TIPOS_OT'!$C$4:$C$7,MATCH($I635,'CAT_TIPOS_OT'!$A$4:$A$7,0)),"sin_clasificar"))</f>
        <v/>
      </c>
      <c r="U635" s="3">
        <f>IF($F635="","",IFERROR(INDEX('CAT_CENTROS_COSTO'!$F$4:$F$13,MATCH($F635,'CAT_CENTROS_COSTO'!$A$4:$A$13,0)),"(sin catálogo)"))</f>
        <v/>
      </c>
      <c r="V635" s="3">
        <f>IF($F635="","",IFERROR(INDEX('CAT_CENTROS_COSTO'!$D$4:$D$13,MATCH($F635,'CAT_CENTROS_COSTO'!$A$4:$A$13,0)),"(sin catálogo)"))</f>
        <v/>
      </c>
      <c r="W635" s="3">
        <f>IF($F635="","",IF((IFERROR(INDEX('CAT_CENTROS_COSTO'!$E$4:$E$13,MATCH($F635,'CAT_CENTROS_COSTO'!$A$4:$A$13,0)),""))&lt;&gt;"",IFERROR(INDEX('CAT_CENTROS_COSTO'!$E$4:$E$13,MATCH($F635,'CAT_CENTROS_COSTO'!$A$4:$A$13,0)),""),$V635))</f>
        <v/>
      </c>
      <c r="X635" s="3">
        <f>IF($F635="","",IFERROR(INDEX('CAT_CENTROS_COSTO'!$G$4:$G$13,MATCH($F635,'CAT_CENTROS_COSTO'!$A$4:$A$13,0)),"(sin catálogo)"))</f>
        <v/>
      </c>
      <c r="Y635" s="3">
        <f>IF($G635="","",IFERROR(INDEX('CAT_PUESTOS'!$B$4:$B$8,MATCH($G635,'CAT_PUESTOS'!$A$4:$A$8,0)),"(sin catálogo)"))</f>
        <v/>
      </c>
      <c r="Z635" s="3">
        <f>IF($H635="","",IFERROR(INDEX('CAT_ACTIVIDADES'!$B$4:$B$8,MATCH($H635,'CAT_ACTIVIDADES'!$A$4:$A$8,0)),"(sin catálogo)"))</f>
        <v/>
      </c>
      <c r="AA635" s="12">
        <f>IF($J635="","",TODAY()-$J635)</f>
        <v/>
      </c>
      <c r="AB635" s="12">
        <f>IF($J635="","",IF($J635&lt;=TODAY(),COUNTIFS(cal_fechas,"&gt;="&amp;$J635,cal_fechas,"&lt;"&amp;TODAY(),cal_habil,"sí"),-COUNTIFS(cal_fechas,"&gt;="&amp;TODAY(),cal_fechas,"&lt;"&amp;$J635,cal_habil,"sí")))</f>
        <v/>
      </c>
      <c r="AC635" s="3">
        <f>IF($AB635="","",IF($AB635&lt;0,"FUTURO",IF($AB635&gt;p_dias_backlog_max,"BACKLOG","MES CORRIENTE")))</f>
        <v/>
      </c>
      <c r="AD635" s="3">
        <f>IF($AB635="",FALSE,AND($AB635&gt;p_dias_backlog_min,$AB635&lt;=p_dias_backlog_max))</f>
        <v/>
      </c>
      <c r="AE635" s="6" t="n"/>
      <c r="AF635" s="3">
        <f>IF($AE635="","",IF((IFERROR(INDEX('ASIGNACIONES'!$F$4:$F$339,MATCH($O635&amp;"|"&amp;$R635&amp;"|"&amp;$AE635,'ASIGNACIONES'!$J$4:$J$339,0)),""))=0,"",IFERROR(INDEX('ASIGNACIONES'!$F$4:$F$339,MATCH($O635&amp;"|"&amp;$R635&amp;"|"&amp;$AE635,'ASIGNACIONES'!$J$4:$J$339,0)),"")))</f>
        <v/>
      </c>
      <c r="AG635" s="13">
        <f>IF($AE635="","",SUMIFS('ORDENES'!$M$4:$M$1203,'ORDENES'!$AE$4:$AE$1203,$AE635,'ORDENES'!$O$4:$O$1203,$O635,'ORDENES'!$R$4:$R$1203,$R635))</f>
        <v/>
      </c>
      <c r="AH635" s="13">
        <f>IF($AG635="","",p_factor_productividad*IFERROR(INDEX('ASIGNACIONES'!$I$4:$I$339,MATCH($O635&amp;"|"&amp;$R635&amp;"|"&amp;$AE635,'ASIGNACIONES'!$J$4:$J$339,0)),0)-$AG635)</f>
        <v/>
      </c>
      <c r="AI635" s="10">
        <f>IF($A635="","",IFERROR(INDEX('2_IMPORTAR_EJECUCION'!$F$9:$F$1208,MATCH($AQ635,'2_IMPORTAR_EJECUCION'!$J$9:$J$1208,0)),0))</f>
        <v/>
      </c>
      <c r="AJ635" s="10">
        <f>IF($A635="","",MAX(0,IFERROR(INDEX('2_IMPORTAR_EJECUCION'!$H$9:$H$1208,MATCH($AQ635,'2_IMPORTAR_EJECUCION'!$J$9:$J$1208,0)),0)-$AI635))</f>
        <v/>
      </c>
      <c r="AK635" s="10">
        <f>IF($A635="","",$AI635+$AJ635)</f>
        <v/>
      </c>
      <c r="AL635" s="6" t="n"/>
      <c r="AM635" s="6" t="n"/>
      <c r="AN635" s="6" t="n"/>
      <c r="AO635" s="3">
        <f>IF($AN635="","",HYPERLINK(p_ruta_base_checklists&amp;$AN635,"abrir"))</f>
        <v/>
      </c>
      <c r="AP635" s="6" t="n"/>
      <c r="AQ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IF($A636="","",IFERROR(INDEX('AJUSTES'!$B$4:$B$303,MATCH($AQ636,'AJUSTES'!$A$4:$A$303,0)),IF($K636="","",$K636)))</f>
        <v/>
      </c>
      <c r="N636" s="3">
        <f>IF($A636="","",IFERROR(INDEX('CAT_ESTADOS_ERP'!$B$4:$B$7,MATCH(IFERROR(INDEX('2_IMPORTAR_EJECUCION'!$C$9:$C$1208,MATCH($AQ636,'2_IMPORTAR_EJECUCION'!$J$9:$J$1208,0)),""),'CAT_ESTADOS_ERP'!$A$4:$A$7,0)),"Pendiente"))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J636="","",IFERROR(INDEX('CALENDARIO'!$C$15:$C$214,MATCH(TEXT($J636,"yyyy-mm-dd")&amp;"|"&amp;$V636&amp;"|"&amp;$W636,'CALENDARIO'!$G$15:$G$214,0)),IFERROR(INDEX('CALENDARIO'!$C$15:$C$214,MATCH(TEXT($J636,"yyyy-mm-dd")&amp;"|"&amp;$V636&amp;"|",'CALENDARIO'!$G$15:$G$214,0)),IFERROR(INDEX('CALENDARIO'!$C$15:$C$214,MATCH(TEXT($J636,"yyyy-mm-dd")&amp;"||",'CALENDARIO'!$G$15:$G$214,0)),INDEX(patronHabil,WEEKDAY($J636,2))))))</f>
        <v/>
      </c>
      <c r="T636" s="3">
        <f>IF($I636="","",IFERROR(INDEX('CAT_TIPOS_OT'!$C$4:$C$7,MATCH($I636,'CAT_TIPOS_OT'!$A$4:$A$7,0)),"sin_clasificar"))</f>
        <v/>
      </c>
      <c r="U636" s="3">
        <f>IF($F636="","",IFERROR(INDEX('CAT_CENTROS_COSTO'!$F$4:$F$13,MATCH($F636,'CAT_CENTROS_COSTO'!$A$4:$A$13,0)),"(sin catálogo)"))</f>
        <v/>
      </c>
      <c r="V636" s="3">
        <f>IF($F636="","",IFERROR(INDEX('CAT_CENTROS_COSTO'!$D$4:$D$13,MATCH($F636,'CAT_CENTROS_COSTO'!$A$4:$A$13,0)),"(sin catálogo)"))</f>
        <v/>
      </c>
      <c r="W636" s="3">
        <f>IF($F636="","",IF((IFERROR(INDEX('CAT_CENTROS_COSTO'!$E$4:$E$13,MATCH($F636,'CAT_CENTROS_COSTO'!$A$4:$A$13,0)),""))&lt;&gt;"",IFERROR(INDEX('CAT_CENTROS_COSTO'!$E$4:$E$13,MATCH($F636,'CAT_CENTROS_COSTO'!$A$4:$A$13,0)),""),$V636))</f>
        <v/>
      </c>
      <c r="X636" s="3">
        <f>IF($F636="","",IFERROR(INDEX('CAT_CENTROS_COSTO'!$G$4:$G$13,MATCH($F636,'CAT_CENTROS_COSTO'!$A$4:$A$13,0)),"(sin catálogo)"))</f>
        <v/>
      </c>
      <c r="Y636" s="3">
        <f>IF($G636="","",IFERROR(INDEX('CAT_PUESTOS'!$B$4:$B$8,MATCH($G636,'CAT_PUESTOS'!$A$4:$A$8,0)),"(sin catálogo)"))</f>
        <v/>
      </c>
      <c r="Z636" s="3">
        <f>IF($H636="","",IFERROR(INDEX('CAT_ACTIVIDADES'!$B$4:$B$8,MATCH($H636,'CAT_ACTIVIDADES'!$A$4:$A$8,0)),"(sin catálogo)"))</f>
        <v/>
      </c>
      <c r="AA636" s="12">
        <f>IF($J636="","",TODAY()-$J636)</f>
        <v/>
      </c>
      <c r="AB636" s="12">
        <f>IF($J636="","",IF($J636&lt;=TODAY(),COUNTIFS(cal_fechas,"&gt;="&amp;$J636,cal_fechas,"&lt;"&amp;TODAY(),cal_habil,"sí"),-COUNTIFS(cal_fechas,"&gt;="&amp;TODAY(),cal_fechas,"&lt;"&amp;$J636,cal_habil,"sí")))</f>
        <v/>
      </c>
      <c r="AC636" s="3">
        <f>IF($AB636="","",IF($AB636&lt;0,"FUTURO",IF($AB636&gt;p_dias_backlog_max,"BACKLOG","MES CORRIENTE")))</f>
        <v/>
      </c>
      <c r="AD636" s="3">
        <f>IF($AB636="",FALSE,AND($AB636&gt;p_dias_backlog_min,$AB636&lt;=p_dias_backlog_max))</f>
        <v/>
      </c>
      <c r="AE636" s="6" t="n"/>
      <c r="AF636" s="3">
        <f>IF($AE636="","",IF((IFERROR(INDEX('ASIGNACIONES'!$F$4:$F$339,MATCH($O636&amp;"|"&amp;$R636&amp;"|"&amp;$AE636,'ASIGNACIONES'!$J$4:$J$339,0)),""))=0,"",IFERROR(INDEX('ASIGNACIONES'!$F$4:$F$339,MATCH($O636&amp;"|"&amp;$R636&amp;"|"&amp;$AE636,'ASIGNACIONES'!$J$4:$J$339,0)),"")))</f>
        <v/>
      </c>
      <c r="AG636" s="13">
        <f>IF($AE636="","",SUMIFS('ORDENES'!$M$4:$M$1203,'ORDENES'!$AE$4:$AE$1203,$AE636,'ORDENES'!$O$4:$O$1203,$O636,'ORDENES'!$R$4:$R$1203,$R636))</f>
        <v/>
      </c>
      <c r="AH636" s="13">
        <f>IF($AG636="","",p_factor_productividad*IFERROR(INDEX('ASIGNACIONES'!$I$4:$I$339,MATCH($O636&amp;"|"&amp;$R636&amp;"|"&amp;$AE636,'ASIGNACIONES'!$J$4:$J$339,0)),0)-$AG636)</f>
        <v/>
      </c>
      <c r="AI636" s="10">
        <f>IF($A636="","",IFERROR(INDEX('2_IMPORTAR_EJECUCION'!$F$9:$F$1208,MATCH($AQ636,'2_IMPORTAR_EJECUCION'!$J$9:$J$1208,0)),0))</f>
        <v/>
      </c>
      <c r="AJ636" s="10">
        <f>IF($A636="","",MAX(0,IFERROR(INDEX('2_IMPORTAR_EJECUCION'!$H$9:$H$1208,MATCH($AQ636,'2_IMPORTAR_EJECUCION'!$J$9:$J$1208,0)),0)-$AI636))</f>
        <v/>
      </c>
      <c r="AK636" s="10">
        <f>IF($A636="","",$AI636+$AJ636)</f>
        <v/>
      </c>
      <c r="AL636" s="6" t="n"/>
      <c r="AM636" s="6" t="n"/>
      <c r="AN636" s="6" t="n"/>
      <c r="AO636" s="3">
        <f>IF($AN636="","",HYPERLINK(p_ruta_base_checklists&amp;$AN636,"abrir"))</f>
        <v/>
      </c>
      <c r="AP636" s="6" t="n"/>
      <c r="AQ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IF($A637="","",IFERROR(INDEX('AJUSTES'!$B$4:$B$303,MATCH($AQ637,'AJUSTES'!$A$4:$A$303,0)),IF($K637="","",$K637)))</f>
        <v/>
      </c>
      <c r="N637" s="3">
        <f>IF($A637="","",IFERROR(INDEX('CAT_ESTADOS_ERP'!$B$4:$B$7,MATCH(IFERROR(INDEX('2_IMPORTAR_EJECUCION'!$C$9:$C$1208,MATCH($AQ637,'2_IMPORTAR_EJECUCION'!$J$9:$J$1208,0)),""),'CAT_ESTADOS_ERP'!$A$4:$A$7,0)),"Pendiente"))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J637="","",IFERROR(INDEX('CALENDARIO'!$C$15:$C$214,MATCH(TEXT($J637,"yyyy-mm-dd")&amp;"|"&amp;$V637&amp;"|"&amp;$W637,'CALENDARIO'!$G$15:$G$214,0)),IFERROR(INDEX('CALENDARIO'!$C$15:$C$214,MATCH(TEXT($J637,"yyyy-mm-dd")&amp;"|"&amp;$V637&amp;"|",'CALENDARIO'!$G$15:$G$214,0)),IFERROR(INDEX('CALENDARIO'!$C$15:$C$214,MATCH(TEXT($J637,"yyyy-mm-dd")&amp;"||",'CALENDARIO'!$G$15:$G$214,0)),INDEX(patronHabil,WEEKDAY($J637,2))))))</f>
        <v/>
      </c>
      <c r="T637" s="3">
        <f>IF($I637="","",IFERROR(INDEX('CAT_TIPOS_OT'!$C$4:$C$7,MATCH($I637,'CAT_TIPOS_OT'!$A$4:$A$7,0)),"sin_clasificar"))</f>
        <v/>
      </c>
      <c r="U637" s="3">
        <f>IF($F637="","",IFERROR(INDEX('CAT_CENTROS_COSTO'!$F$4:$F$13,MATCH($F637,'CAT_CENTROS_COSTO'!$A$4:$A$13,0)),"(sin catálogo)"))</f>
        <v/>
      </c>
      <c r="V637" s="3">
        <f>IF($F637="","",IFERROR(INDEX('CAT_CENTROS_COSTO'!$D$4:$D$13,MATCH($F637,'CAT_CENTROS_COSTO'!$A$4:$A$13,0)),"(sin catálogo)"))</f>
        <v/>
      </c>
      <c r="W637" s="3">
        <f>IF($F637="","",IF((IFERROR(INDEX('CAT_CENTROS_COSTO'!$E$4:$E$13,MATCH($F637,'CAT_CENTROS_COSTO'!$A$4:$A$13,0)),""))&lt;&gt;"",IFERROR(INDEX('CAT_CENTROS_COSTO'!$E$4:$E$13,MATCH($F637,'CAT_CENTROS_COSTO'!$A$4:$A$13,0)),""),$V637))</f>
        <v/>
      </c>
      <c r="X637" s="3">
        <f>IF($F637="","",IFERROR(INDEX('CAT_CENTROS_COSTO'!$G$4:$G$13,MATCH($F637,'CAT_CENTROS_COSTO'!$A$4:$A$13,0)),"(sin catálogo)"))</f>
        <v/>
      </c>
      <c r="Y637" s="3">
        <f>IF($G637="","",IFERROR(INDEX('CAT_PUESTOS'!$B$4:$B$8,MATCH($G637,'CAT_PUESTOS'!$A$4:$A$8,0)),"(sin catálogo)"))</f>
        <v/>
      </c>
      <c r="Z637" s="3">
        <f>IF($H637="","",IFERROR(INDEX('CAT_ACTIVIDADES'!$B$4:$B$8,MATCH($H637,'CAT_ACTIVIDADES'!$A$4:$A$8,0)),"(sin catálogo)"))</f>
        <v/>
      </c>
      <c r="AA637" s="12">
        <f>IF($J637="","",TODAY()-$J637)</f>
        <v/>
      </c>
      <c r="AB637" s="12">
        <f>IF($J637="","",IF($J637&lt;=TODAY(),COUNTIFS(cal_fechas,"&gt;="&amp;$J637,cal_fechas,"&lt;"&amp;TODAY(),cal_habil,"sí"),-COUNTIFS(cal_fechas,"&gt;="&amp;TODAY(),cal_fechas,"&lt;"&amp;$J637,cal_habil,"sí")))</f>
        <v/>
      </c>
      <c r="AC637" s="3">
        <f>IF($AB637="","",IF($AB637&lt;0,"FUTURO",IF($AB637&gt;p_dias_backlog_max,"BACKLOG","MES CORRIENTE")))</f>
        <v/>
      </c>
      <c r="AD637" s="3">
        <f>IF($AB637="",FALSE,AND($AB637&gt;p_dias_backlog_min,$AB637&lt;=p_dias_backlog_max))</f>
        <v/>
      </c>
      <c r="AE637" s="6" t="n"/>
      <c r="AF637" s="3">
        <f>IF($AE637="","",IF((IFERROR(INDEX('ASIGNACIONES'!$F$4:$F$339,MATCH($O637&amp;"|"&amp;$R637&amp;"|"&amp;$AE637,'ASIGNACIONES'!$J$4:$J$339,0)),""))=0,"",IFERROR(INDEX('ASIGNACIONES'!$F$4:$F$339,MATCH($O637&amp;"|"&amp;$R637&amp;"|"&amp;$AE637,'ASIGNACIONES'!$J$4:$J$339,0)),"")))</f>
        <v/>
      </c>
      <c r="AG637" s="13">
        <f>IF($AE637="","",SUMIFS('ORDENES'!$M$4:$M$1203,'ORDENES'!$AE$4:$AE$1203,$AE637,'ORDENES'!$O$4:$O$1203,$O637,'ORDENES'!$R$4:$R$1203,$R637))</f>
        <v/>
      </c>
      <c r="AH637" s="13">
        <f>IF($AG637="","",p_factor_productividad*IFERROR(INDEX('ASIGNACIONES'!$I$4:$I$339,MATCH($O637&amp;"|"&amp;$R637&amp;"|"&amp;$AE637,'ASIGNACIONES'!$J$4:$J$339,0)),0)-$AG637)</f>
        <v/>
      </c>
      <c r="AI637" s="10">
        <f>IF($A637="","",IFERROR(INDEX('2_IMPORTAR_EJECUCION'!$F$9:$F$1208,MATCH($AQ637,'2_IMPORTAR_EJECUCION'!$J$9:$J$1208,0)),0))</f>
        <v/>
      </c>
      <c r="AJ637" s="10">
        <f>IF($A637="","",MAX(0,IFERROR(INDEX('2_IMPORTAR_EJECUCION'!$H$9:$H$1208,MATCH($AQ637,'2_IMPORTAR_EJECUCION'!$J$9:$J$1208,0)),0)-$AI637))</f>
        <v/>
      </c>
      <c r="AK637" s="10">
        <f>IF($A637="","",$AI637+$AJ637)</f>
        <v/>
      </c>
      <c r="AL637" s="6" t="n"/>
      <c r="AM637" s="6" t="n"/>
      <c r="AN637" s="6" t="n"/>
      <c r="AO637" s="3">
        <f>IF($AN637="","",HYPERLINK(p_ruta_base_checklists&amp;$AN637,"abrir"))</f>
        <v/>
      </c>
      <c r="AP637" s="6" t="n"/>
      <c r="AQ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IF($A638="","",IFERROR(INDEX('AJUSTES'!$B$4:$B$303,MATCH($AQ638,'AJUSTES'!$A$4:$A$303,0)),IF($K638="","",$K638)))</f>
        <v/>
      </c>
      <c r="N638" s="3">
        <f>IF($A638="","",IFERROR(INDEX('CAT_ESTADOS_ERP'!$B$4:$B$7,MATCH(IFERROR(INDEX('2_IMPORTAR_EJECUCION'!$C$9:$C$1208,MATCH($AQ638,'2_IMPORTAR_EJECUCION'!$J$9:$J$1208,0)),""),'CAT_ESTADOS_ERP'!$A$4:$A$7,0)),"Pendiente"))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J638="","",IFERROR(INDEX('CALENDARIO'!$C$15:$C$214,MATCH(TEXT($J638,"yyyy-mm-dd")&amp;"|"&amp;$V638&amp;"|"&amp;$W638,'CALENDARIO'!$G$15:$G$214,0)),IFERROR(INDEX('CALENDARIO'!$C$15:$C$214,MATCH(TEXT($J638,"yyyy-mm-dd")&amp;"|"&amp;$V638&amp;"|",'CALENDARIO'!$G$15:$G$214,0)),IFERROR(INDEX('CALENDARIO'!$C$15:$C$214,MATCH(TEXT($J638,"yyyy-mm-dd")&amp;"||",'CALENDARIO'!$G$15:$G$214,0)),INDEX(patronHabil,WEEKDAY($J638,2))))))</f>
        <v/>
      </c>
      <c r="T638" s="3">
        <f>IF($I638="","",IFERROR(INDEX('CAT_TIPOS_OT'!$C$4:$C$7,MATCH($I638,'CAT_TIPOS_OT'!$A$4:$A$7,0)),"sin_clasificar"))</f>
        <v/>
      </c>
      <c r="U638" s="3">
        <f>IF($F638="","",IFERROR(INDEX('CAT_CENTROS_COSTO'!$F$4:$F$13,MATCH($F638,'CAT_CENTROS_COSTO'!$A$4:$A$13,0)),"(sin catálogo)"))</f>
        <v/>
      </c>
      <c r="V638" s="3">
        <f>IF($F638="","",IFERROR(INDEX('CAT_CENTROS_COSTO'!$D$4:$D$13,MATCH($F638,'CAT_CENTROS_COSTO'!$A$4:$A$13,0)),"(sin catálogo)"))</f>
        <v/>
      </c>
      <c r="W638" s="3">
        <f>IF($F638="","",IF((IFERROR(INDEX('CAT_CENTROS_COSTO'!$E$4:$E$13,MATCH($F638,'CAT_CENTROS_COSTO'!$A$4:$A$13,0)),""))&lt;&gt;"",IFERROR(INDEX('CAT_CENTROS_COSTO'!$E$4:$E$13,MATCH($F638,'CAT_CENTROS_COSTO'!$A$4:$A$13,0)),""),$V638))</f>
        <v/>
      </c>
      <c r="X638" s="3">
        <f>IF($F638="","",IFERROR(INDEX('CAT_CENTROS_COSTO'!$G$4:$G$13,MATCH($F638,'CAT_CENTROS_COSTO'!$A$4:$A$13,0)),"(sin catálogo)"))</f>
        <v/>
      </c>
      <c r="Y638" s="3">
        <f>IF($G638="","",IFERROR(INDEX('CAT_PUESTOS'!$B$4:$B$8,MATCH($G638,'CAT_PUESTOS'!$A$4:$A$8,0)),"(sin catálogo)"))</f>
        <v/>
      </c>
      <c r="Z638" s="3">
        <f>IF($H638="","",IFERROR(INDEX('CAT_ACTIVIDADES'!$B$4:$B$8,MATCH($H638,'CAT_ACTIVIDADES'!$A$4:$A$8,0)),"(sin catálogo)"))</f>
        <v/>
      </c>
      <c r="AA638" s="12">
        <f>IF($J638="","",TODAY()-$J638)</f>
        <v/>
      </c>
      <c r="AB638" s="12">
        <f>IF($J638="","",IF($J638&lt;=TODAY(),COUNTIFS(cal_fechas,"&gt;="&amp;$J638,cal_fechas,"&lt;"&amp;TODAY(),cal_habil,"sí"),-COUNTIFS(cal_fechas,"&gt;="&amp;TODAY(),cal_fechas,"&lt;"&amp;$J638,cal_habil,"sí")))</f>
        <v/>
      </c>
      <c r="AC638" s="3">
        <f>IF($AB638="","",IF($AB638&lt;0,"FUTURO",IF($AB638&gt;p_dias_backlog_max,"BACKLOG","MES CORRIENTE")))</f>
        <v/>
      </c>
      <c r="AD638" s="3">
        <f>IF($AB638="",FALSE,AND($AB638&gt;p_dias_backlog_min,$AB638&lt;=p_dias_backlog_max))</f>
        <v/>
      </c>
      <c r="AE638" s="6" t="n"/>
      <c r="AF638" s="3">
        <f>IF($AE638="","",IF((IFERROR(INDEX('ASIGNACIONES'!$F$4:$F$339,MATCH($O638&amp;"|"&amp;$R638&amp;"|"&amp;$AE638,'ASIGNACIONES'!$J$4:$J$339,0)),""))=0,"",IFERROR(INDEX('ASIGNACIONES'!$F$4:$F$339,MATCH($O638&amp;"|"&amp;$R638&amp;"|"&amp;$AE638,'ASIGNACIONES'!$J$4:$J$339,0)),"")))</f>
        <v/>
      </c>
      <c r="AG638" s="13">
        <f>IF($AE638="","",SUMIFS('ORDENES'!$M$4:$M$1203,'ORDENES'!$AE$4:$AE$1203,$AE638,'ORDENES'!$O$4:$O$1203,$O638,'ORDENES'!$R$4:$R$1203,$R638))</f>
        <v/>
      </c>
      <c r="AH638" s="13">
        <f>IF($AG638="","",p_factor_productividad*IFERROR(INDEX('ASIGNACIONES'!$I$4:$I$339,MATCH($O638&amp;"|"&amp;$R638&amp;"|"&amp;$AE638,'ASIGNACIONES'!$J$4:$J$339,0)),0)-$AG638)</f>
        <v/>
      </c>
      <c r="AI638" s="10">
        <f>IF($A638="","",IFERROR(INDEX('2_IMPORTAR_EJECUCION'!$F$9:$F$1208,MATCH($AQ638,'2_IMPORTAR_EJECUCION'!$J$9:$J$1208,0)),0))</f>
        <v/>
      </c>
      <c r="AJ638" s="10">
        <f>IF($A638="","",MAX(0,IFERROR(INDEX('2_IMPORTAR_EJECUCION'!$H$9:$H$1208,MATCH($AQ638,'2_IMPORTAR_EJECUCION'!$J$9:$J$1208,0)),0)-$AI638))</f>
        <v/>
      </c>
      <c r="AK638" s="10">
        <f>IF($A638="","",$AI638+$AJ638)</f>
        <v/>
      </c>
      <c r="AL638" s="6" t="n"/>
      <c r="AM638" s="6" t="n"/>
      <c r="AN638" s="6" t="n"/>
      <c r="AO638" s="3">
        <f>IF($AN638="","",HYPERLINK(p_ruta_base_checklists&amp;$AN638,"abrir"))</f>
        <v/>
      </c>
      <c r="AP638" s="6" t="n"/>
      <c r="AQ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IF($A639="","",IFERROR(INDEX('AJUSTES'!$B$4:$B$303,MATCH($AQ639,'AJUSTES'!$A$4:$A$303,0)),IF($K639="","",$K639)))</f>
        <v/>
      </c>
      <c r="N639" s="3">
        <f>IF($A639="","",IFERROR(INDEX('CAT_ESTADOS_ERP'!$B$4:$B$7,MATCH(IFERROR(INDEX('2_IMPORTAR_EJECUCION'!$C$9:$C$1208,MATCH($AQ639,'2_IMPORTAR_EJECUCION'!$J$9:$J$1208,0)),""),'CAT_ESTADOS_ERP'!$A$4:$A$7,0)),"Pendiente"))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J639="","",IFERROR(INDEX('CALENDARIO'!$C$15:$C$214,MATCH(TEXT($J639,"yyyy-mm-dd")&amp;"|"&amp;$V639&amp;"|"&amp;$W639,'CALENDARIO'!$G$15:$G$214,0)),IFERROR(INDEX('CALENDARIO'!$C$15:$C$214,MATCH(TEXT($J639,"yyyy-mm-dd")&amp;"|"&amp;$V639&amp;"|",'CALENDARIO'!$G$15:$G$214,0)),IFERROR(INDEX('CALENDARIO'!$C$15:$C$214,MATCH(TEXT($J639,"yyyy-mm-dd")&amp;"||",'CALENDARIO'!$G$15:$G$214,0)),INDEX(patronHabil,WEEKDAY($J639,2))))))</f>
        <v/>
      </c>
      <c r="T639" s="3">
        <f>IF($I639="","",IFERROR(INDEX('CAT_TIPOS_OT'!$C$4:$C$7,MATCH($I639,'CAT_TIPOS_OT'!$A$4:$A$7,0)),"sin_clasificar"))</f>
        <v/>
      </c>
      <c r="U639" s="3">
        <f>IF($F639="","",IFERROR(INDEX('CAT_CENTROS_COSTO'!$F$4:$F$13,MATCH($F639,'CAT_CENTROS_COSTO'!$A$4:$A$13,0)),"(sin catálogo)"))</f>
        <v/>
      </c>
      <c r="V639" s="3">
        <f>IF($F639="","",IFERROR(INDEX('CAT_CENTROS_COSTO'!$D$4:$D$13,MATCH($F639,'CAT_CENTROS_COSTO'!$A$4:$A$13,0)),"(sin catálogo)"))</f>
        <v/>
      </c>
      <c r="W639" s="3">
        <f>IF($F639="","",IF((IFERROR(INDEX('CAT_CENTROS_COSTO'!$E$4:$E$13,MATCH($F639,'CAT_CENTROS_COSTO'!$A$4:$A$13,0)),""))&lt;&gt;"",IFERROR(INDEX('CAT_CENTROS_COSTO'!$E$4:$E$13,MATCH($F639,'CAT_CENTROS_COSTO'!$A$4:$A$13,0)),""),$V639))</f>
        <v/>
      </c>
      <c r="X639" s="3">
        <f>IF($F639="","",IFERROR(INDEX('CAT_CENTROS_COSTO'!$G$4:$G$13,MATCH($F639,'CAT_CENTROS_COSTO'!$A$4:$A$13,0)),"(sin catálogo)"))</f>
        <v/>
      </c>
      <c r="Y639" s="3">
        <f>IF($G639="","",IFERROR(INDEX('CAT_PUESTOS'!$B$4:$B$8,MATCH($G639,'CAT_PUESTOS'!$A$4:$A$8,0)),"(sin catálogo)"))</f>
        <v/>
      </c>
      <c r="Z639" s="3">
        <f>IF($H639="","",IFERROR(INDEX('CAT_ACTIVIDADES'!$B$4:$B$8,MATCH($H639,'CAT_ACTIVIDADES'!$A$4:$A$8,0)),"(sin catálogo)"))</f>
        <v/>
      </c>
      <c r="AA639" s="12">
        <f>IF($J639="","",TODAY()-$J639)</f>
        <v/>
      </c>
      <c r="AB639" s="12">
        <f>IF($J639="","",IF($J639&lt;=TODAY(),COUNTIFS(cal_fechas,"&gt;="&amp;$J639,cal_fechas,"&lt;"&amp;TODAY(),cal_habil,"sí"),-COUNTIFS(cal_fechas,"&gt;="&amp;TODAY(),cal_fechas,"&lt;"&amp;$J639,cal_habil,"sí")))</f>
        <v/>
      </c>
      <c r="AC639" s="3">
        <f>IF($AB639="","",IF($AB639&lt;0,"FUTURO",IF($AB639&gt;p_dias_backlog_max,"BACKLOG","MES CORRIENTE")))</f>
        <v/>
      </c>
      <c r="AD639" s="3">
        <f>IF($AB639="",FALSE,AND($AB639&gt;p_dias_backlog_min,$AB639&lt;=p_dias_backlog_max))</f>
        <v/>
      </c>
      <c r="AE639" s="6" t="n"/>
      <c r="AF639" s="3">
        <f>IF($AE639="","",IF((IFERROR(INDEX('ASIGNACIONES'!$F$4:$F$339,MATCH($O639&amp;"|"&amp;$R639&amp;"|"&amp;$AE639,'ASIGNACIONES'!$J$4:$J$339,0)),""))=0,"",IFERROR(INDEX('ASIGNACIONES'!$F$4:$F$339,MATCH($O639&amp;"|"&amp;$R639&amp;"|"&amp;$AE639,'ASIGNACIONES'!$J$4:$J$339,0)),"")))</f>
        <v/>
      </c>
      <c r="AG639" s="13">
        <f>IF($AE639="","",SUMIFS('ORDENES'!$M$4:$M$1203,'ORDENES'!$AE$4:$AE$1203,$AE639,'ORDENES'!$O$4:$O$1203,$O639,'ORDENES'!$R$4:$R$1203,$R639))</f>
        <v/>
      </c>
      <c r="AH639" s="13">
        <f>IF($AG639="","",p_factor_productividad*IFERROR(INDEX('ASIGNACIONES'!$I$4:$I$339,MATCH($O639&amp;"|"&amp;$R639&amp;"|"&amp;$AE639,'ASIGNACIONES'!$J$4:$J$339,0)),0)-$AG639)</f>
        <v/>
      </c>
      <c r="AI639" s="10">
        <f>IF($A639="","",IFERROR(INDEX('2_IMPORTAR_EJECUCION'!$F$9:$F$1208,MATCH($AQ639,'2_IMPORTAR_EJECUCION'!$J$9:$J$1208,0)),0))</f>
        <v/>
      </c>
      <c r="AJ639" s="10">
        <f>IF($A639="","",MAX(0,IFERROR(INDEX('2_IMPORTAR_EJECUCION'!$H$9:$H$1208,MATCH($AQ639,'2_IMPORTAR_EJECUCION'!$J$9:$J$1208,0)),0)-$AI639))</f>
        <v/>
      </c>
      <c r="AK639" s="10">
        <f>IF($A639="","",$AI639+$AJ639)</f>
        <v/>
      </c>
      <c r="AL639" s="6" t="n"/>
      <c r="AM639" s="6" t="n"/>
      <c r="AN639" s="6" t="n"/>
      <c r="AO639" s="3">
        <f>IF($AN639="","",HYPERLINK(p_ruta_base_checklists&amp;$AN639,"abrir"))</f>
        <v/>
      </c>
      <c r="AP639" s="6" t="n"/>
      <c r="AQ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IF($A640="","",IFERROR(INDEX('AJUSTES'!$B$4:$B$303,MATCH($AQ640,'AJUSTES'!$A$4:$A$303,0)),IF($K640="","",$K640)))</f>
        <v/>
      </c>
      <c r="N640" s="3">
        <f>IF($A640="","",IFERROR(INDEX('CAT_ESTADOS_ERP'!$B$4:$B$7,MATCH(IFERROR(INDEX('2_IMPORTAR_EJECUCION'!$C$9:$C$1208,MATCH($AQ640,'2_IMPORTAR_EJECUCION'!$J$9:$J$1208,0)),""),'CAT_ESTADOS_ERP'!$A$4:$A$7,0)),"Pendiente"))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J640="","",IFERROR(INDEX('CALENDARIO'!$C$15:$C$214,MATCH(TEXT($J640,"yyyy-mm-dd")&amp;"|"&amp;$V640&amp;"|"&amp;$W640,'CALENDARIO'!$G$15:$G$214,0)),IFERROR(INDEX('CALENDARIO'!$C$15:$C$214,MATCH(TEXT($J640,"yyyy-mm-dd")&amp;"|"&amp;$V640&amp;"|",'CALENDARIO'!$G$15:$G$214,0)),IFERROR(INDEX('CALENDARIO'!$C$15:$C$214,MATCH(TEXT($J640,"yyyy-mm-dd")&amp;"||",'CALENDARIO'!$G$15:$G$214,0)),INDEX(patronHabil,WEEKDAY($J640,2))))))</f>
        <v/>
      </c>
      <c r="T640" s="3">
        <f>IF($I640="","",IFERROR(INDEX('CAT_TIPOS_OT'!$C$4:$C$7,MATCH($I640,'CAT_TIPOS_OT'!$A$4:$A$7,0)),"sin_clasificar"))</f>
        <v/>
      </c>
      <c r="U640" s="3">
        <f>IF($F640="","",IFERROR(INDEX('CAT_CENTROS_COSTO'!$F$4:$F$13,MATCH($F640,'CAT_CENTROS_COSTO'!$A$4:$A$13,0)),"(sin catálogo)"))</f>
        <v/>
      </c>
      <c r="V640" s="3">
        <f>IF($F640="","",IFERROR(INDEX('CAT_CENTROS_COSTO'!$D$4:$D$13,MATCH($F640,'CAT_CENTROS_COSTO'!$A$4:$A$13,0)),"(sin catálogo)"))</f>
        <v/>
      </c>
      <c r="W640" s="3">
        <f>IF($F640="","",IF((IFERROR(INDEX('CAT_CENTROS_COSTO'!$E$4:$E$13,MATCH($F640,'CAT_CENTROS_COSTO'!$A$4:$A$13,0)),""))&lt;&gt;"",IFERROR(INDEX('CAT_CENTROS_COSTO'!$E$4:$E$13,MATCH($F640,'CAT_CENTROS_COSTO'!$A$4:$A$13,0)),""),$V640))</f>
        <v/>
      </c>
      <c r="X640" s="3">
        <f>IF($F640="","",IFERROR(INDEX('CAT_CENTROS_COSTO'!$G$4:$G$13,MATCH($F640,'CAT_CENTROS_COSTO'!$A$4:$A$13,0)),"(sin catálogo)"))</f>
        <v/>
      </c>
      <c r="Y640" s="3">
        <f>IF($G640="","",IFERROR(INDEX('CAT_PUESTOS'!$B$4:$B$8,MATCH($G640,'CAT_PUESTOS'!$A$4:$A$8,0)),"(sin catálogo)"))</f>
        <v/>
      </c>
      <c r="Z640" s="3">
        <f>IF($H640="","",IFERROR(INDEX('CAT_ACTIVIDADES'!$B$4:$B$8,MATCH($H640,'CAT_ACTIVIDADES'!$A$4:$A$8,0)),"(sin catálogo)"))</f>
        <v/>
      </c>
      <c r="AA640" s="12">
        <f>IF($J640="","",TODAY()-$J640)</f>
        <v/>
      </c>
      <c r="AB640" s="12">
        <f>IF($J640="","",IF($J640&lt;=TODAY(),COUNTIFS(cal_fechas,"&gt;="&amp;$J640,cal_fechas,"&lt;"&amp;TODAY(),cal_habil,"sí"),-COUNTIFS(cal_fechas,"&gt;="&amp;TODAY(),cal_fechas,"&lt;"&amp;$J640,cal_habil,"sí")))</f>
        <v/>
      </c>
      <c r="AC640" s="3">
        <f>IF($AB640="","",IF($AB640&lt;0,"FUTURO",IF($AB640&gt;p_dias_backlog_max,"BACKLOG","MES CORRIENTE")))</f>
        <v/>
      </c>
      <c r="AD640" s="3">
        <f>IF($AB640="",FALSE,AND($AB640&gt;p_dias_backlog_min,$AB640&lt;=p_dias_backlog_max))</f>
        <v/>
      </c>
      <c r="AE640" s="6" t="n"/>
      <c r="AF640" s="3">
        <f>IF($AE640="","",IF((IFERROR(INDEX('ASIGNACIONES'!$F$4:$F$339,MATCH($O640&amp;"|"&amp;$R640&amp;"|"&amp;$AE640,'ASIGNACIONES'!$J$4:$J$339,0)),""))=0,"",IFERROR(INDEX('ASIGNACIONES'!$F$4:$F$339,MATCH($O640&amp;"|"&amp;$R640&amp;"|"&amp;$AE640,'ASIGNACIONES'!$J$4:$J$339,0)),"")))</f>
        <v/>
      </c>
      <c r="AG640" s="13">
        <f>IF($AE640="","",SUMIFS('ORDENES'!$M$4:$M$1203,'ORDENES'!$AE$4:$AE$1203,$AE640,'ORDENES'!$O$4:$O$1203,$O640,'ORDENES'!$R$4:$R$1203,$R640))</f>
        <v/>
      </c>
      <c r="AH640" s="13">
        <f>IF($AG640="","",p_factor_productividad*IFERROR(INDEX('ASIGNACIONES'!$I$4:$I$339,MATCH($O640&amp;"|"&amp;$R640&amp;"|"&amp;$AE640,'ASIGNACIONES'!$J$4:$J$339,0)),0)-$AG640)</f>
        <v/>
      </c>
      <c r="AI640" s="10">
        <f>IF($A640="","",IFERROR(INDEX('2_IMPORTAR_EJECUCION'!$F$9:$F$1208,MATCH($AQ640,'2_IMPORTAR_EJECUCION'!$J$9:$J$1208,0)),0))</f>
        <v/>
      </c>
      <c r="AJ640" s="10">
        <f>IF($A640="","",MAX(0,IFERROR(INDEX('2_IMPORTAR_EJECUCION'!$H$9:$H$1208,MATCH($AQ640,'2_IMPORTAR_EJECUCION'!$J$9:$J$1208,0)),0)-$AI640))</f>
        <v/>
      </c>
      <c r="AK640" s="10">
        <f>IF($A640="","",$AI640+$AJ640)</f>
        <v/>
      </c>
      <c r="AL640" s="6" t="n"/>
      <c r="AM640" s="6" t="n"/>
      <c r="AN640" s="6" t="n"/>
      <c r="AO640" s="3">
        <f>IF($AN640="","",HYPERLINK(p_ruta_base_checklists&amp;$AN640,"abrir"))</f>
        <v/>
      </c>
      <c r="AP640" s="6" t="n"/>
      <c r="AQ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IF($A641="","",IFERROR(INDEX('AJUSTES'!$B$4:$B$303,MATCH($AQ641,'AJUSTES'!$A$4:$A$303,0)),IF($K641="","",$K641)))</f>
        <v/>
      </c>
      <c r="N641" s="3">
        <f>IF($A641="","",IFERROR(INDEX('CAT_ESTADOS_ERP'!$B$4:$B$7,MATCH(IFERROR(INDEX('2_IMPORTAR_EJECUCION'!$C$9:$C$1208,MATCH($AQ641,'2_IMPORTAR_EJECUCION'!$J$9:$J$1208,0)),""),'CAT_ESTADOS_ERP'!$A$4:$A$7,0)),"Pendiente"))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J641="","",IFERROR(INDEX('CALENDARIO'!$C$15:$C$214,MATCH(TEXT($J641,"yyyy-mm-dd")&amp;"|"&amp;$V641&amp;"|"&amp;$W641,'CALENDARIO'!$G$15:$G$214,0)),IFERROR(INDEX('CALENDARIO'!$C$15:$C$214,MATCH(TEXT($J641,"yyyy-mm-dd")&amp;"|"&amp;$V641&amp;"|",'CALENDARIO'!$G$15:$G$214,0)),IFERROR(INDEX('CALENDARIO'!$C$15:$C$214,MATCH(TEXT($J641,"yyyy-mm-dd")&amp;"||",'CALENDARIO'!$G$15:$G$214,0)),INDEX(patronHabil,WEEKDAY($J641,2))))))</f>
        <v/>
      </c>
      <c r="T641" s="3">
        <f>IF($I641="","",IFERROR(INDEX('CAT_TIPOS_OT'!$C$4:$C$7,MATCH($I641,'CAT_TIPOS_OT'!$A$4:$A$7,0)),"sin_clasificar"))</f>
        <v/>
      </c>
      <c r="U641" s="3">
        <f>IF($F641="","",IFERROR(INDEX('CAT_CENTROS_COSTO'!$F$4:$F$13,MATCH($F641,'CAT_CENTROS_COSTO'!$A$4:$A$13,0)),"(sin catálogo)"))</f>
        <v/>
      </c>
      <c r="V641" s="3">
        <f>IF($F641="","",IFERROR(INDEX('CAT_CENTROS_COSTO'!$D$4:$D$13,MATCH($F641,'CAT_CENTROS_COSTO'!$A$4:$A$13,0)),"(sin catálogo)"))</f>
        <v/>
      </c>
      <c r="W641" s="3">
        <f>IF($F641="","",IF((IFERROR(INDEX('CAT_CENTROS_COSTO'!$E$4:$E$13,MATCH($F641,'CAT_CENTROS_COSTO'!$A$4:$A$13,0)),""))&lt;&gt;"",IFERROR(INDEX('CAT_CENTROS_COSTO'!$E$4:$E$13,MATCH($F641,'CAT_CENTROS_COSTO'!$A$4:$A$13,0)),""),$V641))</f>
        <v/>
      </c>
      <c r="X641" s="3">
        <f>IF($F641="","",IFERROR(INDEX('CAT_CENTROS_COSTO'!$G$4:$G$13,MATCH($F641,'CAT_CENTROS_COSTO'!$A$4:$A$13,0)),"(sin catálogo)"))</f>
        <v/>
      </c>
      <c r="Y641" s="3">
        <f>IF($G641="","",IFERROR(INDEX('CAT_PUESTOS'!$B$4:$B$8,MATCH($G641,'CAT_PUESTOS'!$A$4:$A$8,0)),"(sin catálogo)"))</f>
        <v/>
      </c>
      <c r="Z641" s="3">
        <f>IF($H641="","",IFERROR(INDEX('CAT_ACTIVIDADES'!$B$4:$B$8,MATCH($H641,'CAT_ACTIVIDADES'!$A$4:$A$8,0)),"(sin catálogo)"))</f>
        <v/>
      </c>
      <c r="AA641" s="12">
        <f>IF($J641="","",TODAY()-$J641)</f>
        <v/>
      </c>
      <c r="AB641" s="12">
        <f>IF($J641="","",IF($J641&lt;=TODAY(),COUNTIFS(cal_fechas,"&gt;="&amp;$J641,cal_fechas,"&lt;"&amp;TODAY(),cal_habil,"sí"),-COUNTIFS(cal_fechas,"&gt;="&amp;TODAY(),cal_fechas,"&lt;"&amp;$J641,cal_habil,"sí")))</f>
        <v/>
      </c>
      <c r="AC641" s="3">
        <f>IF($AB641="","",IF($AB641&lt;0,"FUTURO",IF($AB641&gt;p_dias_backlog_max,"BACKLOG","MES CORRIENTE")))</f>
        <v/>
      </c>
      <c r="AD641" s="3">
        <f>IF($AB641="",FALSE,AND($AB641&gt;p_dias_backlog_min,$AB641&lt;=p_dias_backlog_max))</f>
        <v/>
      </c>
      <c r="AE641" s="6" t="n"/>
      <c r="AF641" s="3">
        <f>IF($AE641="","",IF((IFERROR(INDEX('ASIGNACIONES'!$F$4:$F$339,MATCH($O641&amp;"|"&amp;$R641&amp;"|"&amp;$AE641,'ASIGNACIONES'!$J$4:$J$339,0)),""))=0,"",IFERROR(INDEX('ASIGNACIONES'!$F$4:$F$339,MATCH($O641&amp;"|"&amp;$R641&amp;"|"&amp;$AE641,'ASIGNACIONES'!$J$4:$J$339,0)),"")))</f>
        <v/>
      </c>
      <c r="AG641" s="13">
        <f>IF($AE641="","",SUMIFS('ORDENES'!$M$4:$M$1203,'ORDENES'!$AE$4:$AE$1203,$AE641,'ORDENES'!$O$4:$O$1203,$O641,'ORDENES'!$R$4:$R$1203,$R641))</f>
        <v/>
      </c>
      <c r="AH641" s="13">
        <f>IF($AG641="","",p_factor_productividad*IFERROR(INDEX('ASIGNACIONES'!$I$4:$I$339,MATCH($O641&amp;"|"&amp;$R641&amp;"|"&amp;$AE641,'ASIGNACIONES'!$J$4:$J$339,0)),0)-$AG641)</f>
        <v/>
      </c>
      <c r="AI641" s="10">
        <f>IF($A641="","",IFERROR(INDEX('2_IMPORTAR_EJECUCION'!$F$9:$F$1208,MATCH($AQ641,'2_IMPORTAR_EJECUCION'!$J$9:$J$1208,0)),0))</f>
        <v/>
      </c>
      <c r="AJ641" s="10">
        <f>IF($A641="","",MAX(0,IFERROR(INDEX('2_IMPORTAR_EJECUCION'!$H$9:$H$1208,MATCH($AQ641,'2_IMPORTAR_EJECUCION'!$J$9:$J$1208,0)),0)-$AI641))</f>
        <v/>
      </c>
      <c r="AK641" s="10">
        <f>IF($A641="","",$AI641+$AJ641)</f>
        <v/>
      </c>
      <c r="AL641" s="6" t="n"/>
      <c r="AM641" s="6" t="n"/>
      <c r="AN641" s="6" t="n"/>
      <c r="AO641" s="3">
        <f>IF($AN641="","",HYPERLINK(p_ruta_base_checklists&amp;$AN641,"abrir"))</f>
        <v/>
      </c>
      <c r="AP641" s="6" t="n"/>
      <c r="AQ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IF($A642="","",IFERROR(INDEX('AJUSTES'!$B$4:$B$303,MATCH($AQ642,'AJUSTES'!$A$4:$A$303,0)),IF($K642="","",$K642)))</f>
        <v/>
      </c>
      <c r="N642" s="3">
        <f>IF($A642="","",IFERROR(INDEX('CAT_ESTADOS_ERP'!$B$4:$B$7,MATCH(IFERROR(INDEX('2_IMPORTAR_EJECUCION'!$C$9:$C$1208,MATCH($AQ642,'2_IMPORTAR_EJECUCION'!$J$9:$J$1208,0)),""),'CAT_ESTADOS_ERP'!$A$4:$A$7,0)),"Pendiente"))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J642="","",IFERROR(INDEX('CALENDARIO'!$C$15:$C$214,MATCH(TEXT($J642,"yyyy-mm-dd")&amp;"|"&amp;$V642&amp;"|"&amp;$W642,'CALENDARIO'!$G$15:$G$214,0)),IFERROR(INDEX('CALENDARIO'!$C$15:$C$214,MATCH(TEXT($J642,"yyyy-mm-dd")&amp;"|"&amp;$V642&amp;"|",'CALENDARIO'!$G$15:$G$214,0)),IFERROR(INDEX('CALENDARIO'!$C$15:$C$214,MATCH(TEXT($J642,"yyyy-mm-dd")&amp;"||",'CALENDARIO'!$G$15:$G$214,0)),INDEX(patronHabil,WEEKDAY($J642,2))))))</f>
        <v/>
      </c>
      <c r="T642" s="3">
        <f>IF($I642="","",IFERROR(INDEX('CAT_TIPOS_OT'!$C$4:$C$7,MATCH($I642,'CAT_TIPOS_OT'!$A$4:$A$7,0)),"sin_clasificar"))</f>
        <v/>
      </c>
      <c r="U642" s="3">
        <f>IF($F642="","",IFERROR(INDEX('CAT_CENTROS_COSTO'!$F$4:$F$13,MATCH($F642,'CAT_CENTROS_COSTO'!$A$4:$A$13,0)),"(sin catálogo)"))</f>
        <v/>
      </c>
      <c r="V642" s="3">
        <f>IF($F642="","",IFERROR(INDEX('CAT_CENTROS_COSTO'!$D$4:$D$13,MATCH($F642,'CAT_CENTROS_COSTO'!$A$4:$A$13,0)),"(sin catálogo)"))</f>
        <v/>
      </c>
      <c r="W642" s="3">
        <f>IF($F642="","",IF((IFERROR(INDEX('CAT_CENTROS_COSTO'!$E$4:$E$13,MATCH($F642,'CAT_CENTROS_COSTO'!$A$4:$A$13,0)),""))&lt;&gt;"",IFERROR(INDEX('CAT_CENTROS_COSTO'!$E$4:$E$13,MATCH($F642,'CAT_CENTROS_COSTO'!$A$4:$A$13,0)),""),$V642))</f>
        <v/>
      </c>
      <c r="X642" s="3">
        <f>IF($F642="","",IFERROR(INDEX('CAT_CENTROS_COSTO'!$G$4:$G$13,MATCH($F642,'CAT_CENTROS_COSTO'!$A$4:$A$13,0)),"(sin catálogo)"))</f>
        <v/>
      </c>
      <c r="Y642" s="3">
        <f>IF($G642="","",IFERROR(INDEX('CAT_PUESTOS'!$B$4:$B$8,MATCH($G642,'CAT_PUESTOS'!$A$4:$A$8,0)),"(sin catálogo)"))</f>
        <v/>
      </c>
      <c r="Z642" s="3">
        <f>IF($H642="","",IFERROR(INDEX('CAT_ACTIVIDADES'!$B$4:$B$8,MATCH($H642,'CAT_ACTIVIDADES'!$A$4:$A$8,0)),"(sin catálogo)"))</f>
        <v/>
      </c>
      <c r="AA642" s="12">
        <f>IF($J642="","",TODAY()-$J642)</f>
        <v/>
      </c>
      <c r="AB642" s="12">
        <f>IF($J642="","",IF($J642&lt;=TODAY(),COUNTIFS(cal_fechas,"&gt;="&amp;$J642,cal_fechas,"&lt;"&amp;TODAY(),cal_habil,"sí"),-COUNTIFS(cal_fechas,"&gt;="&amp;TODAY(),cal_fechas,"&lt;"&amp;$J642,cal_habil,"sí")))</f>
        <v/>
      </c>
      <c r="AC642" s="3">
        <f>IF($AB642="","",IF($AB642&lt;0,"FUTURO",IF($AB642&gt;p_dias_backlog_max,"BACKLOG","MES CORRIENTE")))</f>
        <v/>
      </c>
      <c r="AD642" s="3">
        <f>IF($AB642="",FALSE,AND($AB642&gt;p_dias_backlog_min,$AB642&lt;=p_dias_backlog_max))</f>
        <v/>
      </c>
      <c r="AE642" s="6" t="n"/>
      <c r="AF642" s="3">
        <f>IF($AE642="","",IF((IFERROR(INDEX('ASIGNACIONES'!$F$4:$F$339,MATCH($O642&amp;"|"&amp;$R642&amp;"|"&amp;$AE642,'ASIGNACIONES'!$J$4:$J$339,0)),""))=0,"",IFERROR(INDEX('ASIGNACIONES'!$F$4:$F$339,MATCH($O642&amp;"|"&amp;$R642&amp;"|"&amp;$AE642,'ASIGNACIONES'!$J$4:$J$339,0)),"")))</f>
        <v/>
      </c>
      <c r="AG642" s="13">
        <f>IF($AE642="","",SUMIFS('ORDENES'!$M$4:$M$1203,'ORDENES'!$AE$4:$AE$1203,$AE642,'ORDENES'!$O$4:$O$1203,$O642,'ORDENES'!$R$4:$R$1203,$R642))</f>
        <v/>
      </c>
      <c r="AH642" s="13">
        <f>IF($AG642="","",p_factor_productividad*IFERROR(INDEX('ASIGNACIONES'!$I$4:$I$339,MATCH($O642&amp;"|"&amp;$R642&amp;"|"&amp;$AE642,'ASIGNACIONES'!$J$4:$J$339,0)),0)-$AG642)</f>
        <v/>
      </c>
      <c r="AI642" s="10">
        <f>IF($A642="","",IFERROR(INDEX('2_IMPORTAR_EJECUCION'!$F$9:$F$1208,MATCH($AQ642,'2_IMPORTAR_EJECUCION'!$J$9:$J$1208,0)),0))</f>
        <v/>
      </c>
      <c r="AJ642" s="10">
        <f>IF($A642="","",MAX(0,IFERROR(INDEX('2_IMPORTAR_EJECUCION'!$H$9:$H$1208,MATCH($AQ642,'2_IMPORTAR_EJECUCION'!$J$9:$J$1208,0)),0)-$AI642))</f>
        <v/>
      </c>
      <c r="AK642" s="10">
        <f>IF($A642="","",$AI642+$AJ642)</f>
        <v/>
      </c>
      <c r="AL642" s="6" t="n"/>
      <c r="AM642" s="6" t="n"/>
      <c r="AN642" s="6" t="n"/>
      <c r="AO642" s="3">
        <f>IF($AN642="","",HYPERLINK(p_ruta_base_checklists&amp;$AN642,"abrir"))</f>
        <v/>
      </c>
      <c r="AP642" s="6" t="n"/>
      <c r="AQ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IF($A643="","",IFERROR(INDEX('AJUSTES'!$B$4:$B$303,MATCH($AQ643,'AJUSTES'!$A$4:$A$303,0)),IF($K643="","",$K643)))</f>
        <v/>
      </c>
      <c r="N643" s="3">
        <f>IF($A643="","",IFERROR(INDEX('CAT_ESTADOS_ERP'!$B$4:$B$7,MATCH(IFERROR(INDEX('2_IMPORTAR_EJECUCION'!$C$9:$C$1208,MATCH($AQ643,'2_IMPORTAR_EJECUCION'!$J$9:$J$1208,0)),""),'CAT_ESTADOS_ERP'!$A$4:$A$7,0)),"Pendiente"))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J643="","",IFERROR(INDEX('CALENDARIO'!$C$15:$C$214,MATCH(TEXT($J643,"yyyy-mm-dd")&amp;"|"&amp;$V643&amp;"|"&amp;$W643,'CALENDARIO'!$G$15:$G$214,0)),IFERROR(INDEX('CALENDARIO'!$C$15:$C$214,MATCH(TEXT($J643,"yyyy-mm-dd")&amp;"|"&amp;$V643&amp;"|",'CALENDARIO'!$G$15:$G$214,0)),IFERROR(INDEX('CALENDARIO'!$C$15:$C$214,MATCH(TEXT($J643,"yyyy-mm-dd")&amp;"||",'CALENDARIO'!$G$15:$G$214,0)),INDEX(patronHabil,WEEKDAY($J643,2))))))</f>
        <v/>
      </c>
      <c r="T643" s="3">
        <f>IF($I643="","",IFERROR(INDEX('CAT_TIPOS_OT'!$C$4:$C$7,MATCH($I643,'CAT_TIPOS_OT'!$A$4:$A$7,0)),"sin_clasificar"))</f>
        <v/>
      </c>
      <c r="U643" s="3">
        <f>IF($F643="","",IFERROR(INDEX('CAT_CENTROS_COSTO'!$F$4:$F$13,MATCH($F643,'CAT_CENTROS_COSTO'!$A$4:$A$13,0)),"(sin catálogo)"))</f>
        <v/>
      </c>
      <c r="V643" s="3">
        <f>IF($F643="","",IFERROR(INDEX('CAT_CENTROS_COSTO'!$D$4:$D$13,MATCH($F643,'CAT_CENTROS_COSTO'!$A$4:$A$13,0)),"(sin catálogo)"))</f>
        <v/>
      </c>
      <c r="W643" s="3">
        <f>IF($F643="","",IF((IFERROR(INDEX('CAT_CENTROS_COSTO'!$E$4:$E$13,MATCH($F643,'CAT_CENTROS_COSTO'!$A$4:$A$13,0)),""))&lt;&gt;"",IFERROR(INDEX('CAT_CENTROS_COSTO'!$E$4:$E$13,MATCH($F643,'CAT_CENTROS_COSTO'!$A$4:$A$13,0)),""),$V643))</f>
        <v/>
      </c>
      <c r="X643" s="3">
        <f>IF($F643="","",IFERROR(INDEX('CAT_CENTROS_COSTO'!$G$4:$G$13,MATCH($F643,'CAT_CENTROS_COSTO'!$A$4:$A$13,0)),"(sin catálogo)"))</f>
        <v/>
      </c>
      <c r="Y643" s="3">
        <f>IF($G643="","",IFERROR(INDEX('CAT_PUESTOS'!$B$4:$B$8,MATCH($G643,'CAT_PUESTOS'!$A$4:$A$8,0)),"(sin catálogo)"))</f>
        <v/>
      </c>
      <c r="Z643" s="3">
        <f>IF($H643="","",IFERROR(INDEX('CAT_ACTIVIDADES'!$B$4:$B$8,MATCH($H643,'CAT_ACTIVIDADES'!$A$4:$A$8,0)),"(sin catálogo)"))</f>
        <v/>
      </c>
      <c r="AA643" s="12">
        <f>IF($J643="","",TODAY()-$J643)</f>
        <v/>
      </c>
      <c r="AB643" s="12">
        <f>IF($J643="","",IF($J643&lt;=TODAY(),COUNTIFS(cal_fechas,"&gt;="&amp;$J643,cal_fechas,"&lt;"&amp;TODAY(),cal_habil,"sí"),-COUNTIFS(cal_fechas,"&gt;="&amp;TODAY(),cal_fechas,"&lt;"&amp;$J643,cal_habil,"sí")))</f>
        <v/>
      </c>
      <c r="AC643" s="3">
        <f>IF($AB643="","",IF($AB643&lt;0,"FUTURO",IF($AB643&gt;p_dias_backlog_max,"BACKLOG","MES CORRIENTE")))</f>
        <v/>
      </c>
      <c r="AD643" s="3">
        <f>IF($AB643="",FALSE,AND($AB643&gt;p_dias_backlog_min,$AB643&lt;=p_dias_backlog_max))</f>
        <v/>
      </c>
      <c r="AE643" s="6" t="n"/>
      <c r="AF643" s="3">
        <f>IF($AE643="","",IF((IFERROR(INDEX('ASIGNACIONES'!$F$4:$F$339,MATCH($O643&amp;"|"&amp;$R643&amp;"|"&amp;$AE643,'ASIGNACIONES'!$J$4:$J$339,0)),""))=0,"",IFERROR(INDEX('ASIGNACIONES'!$F$4:$F$339,MATCH($O643&amp;"|"&amp;$R643&amp;"|"&amp;$AE643,'ASIGNACIONES'!$J$4:$J$339,0)),"")))</f>
        <v/>
      </c>
      <c r="AG643" s="13">
        <f>IF($AE643="","",SUMIFS('ORDENES'!$M$4:$M$1203,'ORDENES'!$AE$4:$AE$1203,$AE643,'ORDENES'!$O$4:$O$1203,$O643,'ORDENES'!$R$4:$R$1203,$R643))</f>
        <v/>
      </c>
      <c r="AH643" s="13">
        <f>IF($AG643="","",p_factor_productividad*IFERROR(INDEX('ASIGNACIONES'!$I$4:$I$339,MATCH($O643&amp;"|"&amp;$R643&amp;"|"&amp;$AE643,'ASIGNACIONES'!$J$4:$J$339,0)),0)-$AG643)</f>
        <v/>
      </c>
      <c r="AI643" s="10">
        <f>IF($A643="","",IFERROR(INDEX('2_IMPORTAR_EJECUCION'!$F$9:$F$1208,MATCH($AQ643,'2_IMPORTAR_EJECUCION'!$J$9:$J$1208,0)),0))</f>
        <v/>
      </c>
      <c r="AJ643" s="10">
        <f>IF($A643="","",MAX(0,IFERROR(INDEX('2_IMPORTAR_EJECUCION'!$H$9:$H$1208,MATCH($AQ643,'2_IMPORTAR_EJECUCION'!$J$9:$J$1208,0)),0)-$AI643))</f>
        <v/>
      </c>
      <c r="AK643" s="10">
        <f>IF($A643="","",$AI643+$AJ643)</f>
        <v/>
      </c>
      <c r="AL643" s="6" t="n"/>
      <c r="AM643" s="6" t="n"/>
      <c r="AN643" s="6" t="n"/>
      <c r="AO643" s="3">
        <f>IF($AN643="","",HYPERLINK(p_ruta_base_checklists&amp;$AN643,"abrir"))</f>
        <v/>
      </c>
      <c r="AP643" s="6" t="n"/>
      <c r="AQ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IF($A644="","",IFERROR(INDEX('AJUSTES'!$B$4:$B$303,MATCH($AQ644,'AJUSTES'!$A$4:$A$303,0)),IF($K644="","",$K644)))</f>
        <v/>
      </c>
      <c r="N644" s="3">
        <f>IF($A644="","",IFERROR(INDEX('CAT_ESTADOS_ERP'!$B$4:$B$7,MATCH(IFERROR(INDEX('2_IMPORTAR_EJECUCION'!$C$9:$C$1208,MATCH($AQ644,'2_IMPORTAR_EJECUCION'!$J$9:$J$1208,0)),""),'CAT_ESTADOS_ERP'!$A$4:$A$7,0)),"Pendiente"))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J644="","",IFERROR(INDEX('CALENDARIO'!$C$15:$C$214,MATCH(TEXT($J644,"yyyy-mm-dd")&amp;"|"&amp;$V644&amp;"|"&amp;$W644,'CALENDARIO'!$G$15:$G$214,0)),IFERROR(INDEX('CALENDARIO'!$C$15:$C$214,MATCH(TEXT($J644,"yyyy-mm-dd")&amp;"|"&amp;$V644&amp;"|",'CALENDARIO'!$G$15:$G$214,0)),IFERROR(INDEX('CALENDARIO'!$C$15:$C$214,MATCH(TEXT($J644,"yyyy-mm-dd")&amp;"||",'CALENDARIO'!$G$15:$G$214,0)),INDEX(patronHabil,WEEKDAY($J644,2))))))</f>
        <v/>
      </c>
      <c r="T644" s="3">
        <f>IF($I644="","",IFERROR(INDEX('CAT_TIPOS_OT'!$C$4:$C$7,MATCH($I644,'CAT_TIPOS_OT'!$A$4:$A$7,0)),"sin_clasificar"))</f>
        <v/>
      </c>
      <c r="U644" s="3">
        <f>IF($F644="","",IFERROR(INDEX('CAT_CENTROS_COSTO'!$F$4:$F$13,MATCH($F644,'CAT_CENTROS_COSTO'!$A$4:$A$13,0)),"(sin catálogo)"))</f>
        <v/>
      </c>
      <c r="V644" s="3">
        <f>IF($F644="","",IFERROR(INDEX('CAT_CENTROS_COSTO'!$D$4:$D$13,MATCH($F644,'CAT_CENTROS_COSTO'!$A$4:$A$13,0)),"(sin catálogo)"))</f>
        <v/>
      </c>
      <c r="W644" s="3">
        <f>IF($F644="","",IF((IFERROR(INDEX('CAT_CENTROS_COSTO'!$E$4:$E$13,MATCH($F644,'CAT_CENTROS_COSTO'!$A$4:$A$13,0)),""))&lt;&gt;"",IFERROR(INDEX('CAT_CENTROS_COSTO'!$E$4:$E$13,MATCH($F644,'CAT_CENTROS_COSTO'!$A$4:$A$13,0)),""),$V644))</f>
        <v/>
      </c>
      <c r="X644" s="3">
        <f>IF($F644="","",IFERROR(INDEX('CAT_CENTROS_COSTO'!$G$4:$G$13,MATCH($F644,'CAT_CENTROS_COSTO'!$A$4:$A$13,0)),"(sin catálogo)"))</f>
        <v/>
      </c>
      <c r="Y644" s="3">
        <f>IF($G644="","",IFERROR(INDEX('CAT_PUESTOS'!$B$4:$B$8,MATCH($G644,'CAT_PUESTOS'!$A$4:$A$8,0)),"(sin catálogo)"))</f>
        <v/>
      </c>
      <c r="Z644" s="3">
        <f>IF($H644="","",IFERROR(INDEX('CAT_ACTIVIDADES'!$B$4:$B$8,MATCH($H644,'CAT_ACTIVIDADES'!$A$4:$A$8,0)),"(sin catálogo)"))</f>
        <v/>
      </c>
      <c r="AA644" s="12">
        <f>IF($J644="","",TODAY()-$J644)</f>
        <v/>
      </c>
      <c r="AB644" s="12">
        <f>IF($J644="","",IF($J644&lt;=TODAY(),COUNTIFS(cal_fechas,"&gt;="&amp;$J644,cal_fechas,"&lt;"&amp;TODAY(),cal_habil,"sí"),-COUNTIFS(cal_fechas,"&gt;="&amp;TODAY(),cal_fechas,"&lt;"&amp;$J644,cal_habil,"sí")))</f>
        <v/>
      </c>
      <c r="AC644" s="3">
        <f>IF($AB644="","",IF($AB644&lt;0,"FUTURO",IF($AB644&gt;p_dias_backlog_max,"BACKLOG","MES CORRIENTE")))</f>
        <v/>
      </c>
      <c r="AD644" s="3">
        <f>IF($AB644="",FALSE,AND($AB644&gt;p_dias_backlog_min,$AB644&lt;=p_dias_backlog_max))</f>
        <v/>
      </c>
      <c r="AE644" s="6" t="n"/>
      <c r="AF644" s="3">
        <f>IF($AE644="","",IF((IFERROR(INDEX('ASIGNACIONES'!$F$4:$F$339,MATCH($O644&amp;"|"&amp;$R644&amp;"|"&amp;$AE644,'ASIGNACIONES'!$J$4:$J$339,0)),""))=0,"",IFERROR(INDEX('ASIGNACIONES'!$F$4:$F$339,MATCH($O644&amp;"|"&amp;$R644&amp;"|"&amp;$AE644,'ASIGNACIONES'!$J$4:$J$339,0)),"")))</f>
        <v/>
      </c>
      <c r="AG644" s="13">
        <f>IF($AE644="","",SUMIFS('ORDENES'!$M$4:$M$1203,'ORDENES'!$AE$4:$AE$1203,$AE644,'ORDENES'!$O$4:$O$1203,$O644,'ORDENES'!$R$4:$R$1203,$R644))</f>
        <v/>
      </c>
      <c r="AH644" s="13">
        <f>IF($AG644="","",p_factor_productividad*IFERROR(INDEX('ASIGNACIONES'!$I$4:$I$339,MATCH($O644&amp;"|"&amp;$R644&amp;"|"&amp;$AE644,'ASIGNACIONES'!$J$4:$J$339,0)),0)-$AG644)</f>
        <v/>
      </c>
      <c r="AI644" s="10">
        <f>IF($A644="","",IFERROR(INDEX('2_IMPORTAR_EJECUCION'!$F$9:$F$1208,MATCH($AQ644,'2_IMPORTAR_EJECUCION'!$J$9:$J$1208,0)),0))</f>
        <v/>
      </c>
      <c r="AJ644" s="10">
        <f>IF($A644="","",MAX(0,IFERROR(INDEX('2_IMPORTAR_EJECUCION'!$H$9:$H$1208,MATCH($AQ644,'2_IMPORTAR_EJECUCION'!$J$9:$J$1208,0)),0)-$AI644))</f>
        <v/>
      </c>
      <c r="AK644" s="10">
        <f>IF($A644="","",$AI644+$AJ644)</f>
        <v/>
      </c>
      <c r="AL644" s="6" t="n"/>
      <c r="AM644" s="6" t="n"/>
      <c r="AN644" s="6" t="n"/>
      <c r="AO644" s="3">
        <f>IF($AN644="","",HYPERLINK(p_ruta_base_checklists&amp;$AN644,"abrir"))</f>
        <v/>
      </c>
      <c r="AP644" s="6" t="n"/>
      <c r="AQ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IF($A645="","",IFERROR(INDEX('AJUSTES'!$B$4:$B$303,MATCH($AQ645,'AJUSTES'!$A$4:$A$303,0)),IF($K645="","",$K645)))</f>
        <v/>
      </c>
      <c r="N645" s="3">
        <f>IF($A645="","",IFERROR(INDEX('CAT_ESTADOS_ERP'!$B$4:$B$7,MATCH(IFERROR(INDEX('2_IMPORTAR_EJECUCION'!$C$9:$C$1208,MATCH($AQ645,'2_IMPORTAR_EJECUCION'!$J$9:$J$1208,0)),""),'CAT_ESTADOS_ERP'!$A$4:$A$7,0)),"Pendiente"))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J645="","",IFERROR(INDEX('CALENDARIO'!$C$15:$C$214,MATCH(TEXT($J645,"yyyy-mm-dd")&amp;"|"&amp;$V645&amp;"|"&amp;$W645,'CALENDARIO'!$G$15:$G$214,0)),IFERROR(INDEX('CALENDARIO'!$C$15:$C$214,MATCH(TEXT($J645,"yyyy-mm-dd")&amp;"|"&amp;$V645&amp;"|",'CALENDARIO'!$G$15:$G$214,0)),IFERROR(INDEX('CALENDARIO'!$C$15:$C$214,MATCH(TEXT($J645,"yyyy-mm-dd")&amp;"||",'CALENDARIO'!$G$15:$G$214,0)),INDEX(patronHabil,WEEKDAY($J645,2))))))</f>
        <v/>
      </c>
      <c r="T645" s="3">
        <f>IF($I645="","",IFERROR(INDEX('CAT_TIPOS_OT'!$C$4:$C$7,MATCH($I645,'CAT_TIPOS_OT'!$A$4:$A$7,0)),"sin_clasificar"))</f>
        <v/>
      </c>
      <c r="U645" s="3">
        <f>IF($F645="","",IFERROR(INDEX('CAT_CENTROS_COSTO'!$F$4:$F$13,MATCH($F645,'CAT_CENTROS_COSTO'!$A$4:$A$13,0)),"(sin catálogo)"))</f>
        <v/>
      </c>
      <c r="V645" s="3">
        <f>IF($F645="","",IFERROR(INDEX('CAT_CENTROS_COSTO'!$D$4:$D$13,MATCH($F645,'CAT_CENTROS_COSTO'!$A$4:$A$13,0)),"(sin catálogo)"))</f>
        <v/>
      </c>
      <c r="W645" s="3">
        <f>IF($F645="","",IF((IFERROR(INDEX('CAT_CENTROS_COSTO'!$E$4:$E$13,MATCH($F645,'CAT_CENTROS_COSTO'!$A$4:$A$13,0)),""))&lt;&gt;"",IFERROR(INDEX('CAT_CENTROS_COSTO'!$E$4:$E$13,MATCH($F645,'CAT_CENTROS_COSTO'!$A$4:$A$13,0)),""),$V645))</f>
        <v/>
      </c>
      <c r="X645" s="3">
        <f>IF($F645="","",IFERROR(INDEX('CAT_CENTROS_COSTO'!$G$4:$G$13,MATCH($F645,'CAT_CENTROS_COSTO'!$A$4:$A$13,0)),"(sin catálogo)"))</f>
        <v/>
      </c>
      <c r="Y645" s="3">
        <f>IF($G645="","",IFERROR(INDEX('CAT_PUESTOS'!$B$4:$B$8,MATCH($G645,'CAT_PUESTOS'!$A$4:$A$8,0)),"(sin catálogo)"))</f>
        <v/>
      </c>
      <c r="Z645" s="3">
        <f>IF($H645="","",IFERROR(INDEX('CAT_ACTIVIDADES'!$B$4:$B$8,MATCH($H645,'CAT_ACTIVIDADES'!$A$4:$A$8,0)),"(sin catálogo)"))</f>
        <v/>
      </c>
      <c r="AA645" s="12">
        <f>IF($J645="","",TODAY()-$J645)</f>
        <v/>
      </c>
      <c r="AB645" s="12">
        <f>IF($J645="","",IF($J645&lt;=TODAY(),COUNTIFS(cal_fechas,"&gt;="&amp;$J645,cal_fechas,"&lt;"&amp;TODAY(),cal_habil,"sí"),-COUNTIFS(cal_fechas,"&gt;="&amp;TODAY(),cal_fechas,"&lt;"&amp;$J645,cal_habil,"sí")))</f>
        <v/>
      </c>
      <c r="AC645" s="3">
        <f>IF($AB645="","",IF($AB645&lt;0,"FUTURO",IF($AB645&gt;p_dias_backlog_max,"BACKLOG","MES CORRIENTE")))</f>
        <v/>
      </c>
      <c r="AD645" s="3">
        <f>IF($AB645="",FALSE,AND($AB645&gt;p_dias_backlog_min,$AB645&lt;=p_dias_backlog_max))</f>
        <v/>
      </c>
      <c r="AE645" s="6" t="n"/>
      <c r="AF645" s="3">
        <f>IF($AE645="","",IF((IFERROR(INDEX('ASIGNACIONES'!$F$4:$F$339,MATCH($O645&amp;"|"&amp;$R645&amp;"|"&amp;$AE645,'ASIGNACIONES'!$J$4:$J$339,0)),""))=0,"",IFERROR(INDEX('ASIGNACIONES'!$F$4:$F$339,MATCH($O645&amp;"|"&amp;$R645&amp;"|"&amp;$AE645,'ASIGNACIONES'!$J$4:$J$339,0)),"")))</f>
        <v/>
      </c>
      <c r="AG645" s="13">
        <f>IF($AE645="","",SUMIFS('ORDENES'!$M$4:$M$1203,'ORDENES'!$AE$4:$AE$1203,$AE645,'ORDENES'!$O$4:$O$1203,$O645,'ORDENES'!$R$4:$R$1203,$R645))</f>
        <v/>
      </c>
      <c r="AH645" s="13">
        <f>IF($AG645="","",p_factor_productividad*IFERROR(INDEX('ASIGNACIONES'!$I$4:$I$339,MATCH($O645&amp;"|"&amp;$R645&amp;"|"&amp;$AE645,'ASIGNACIONES'!$J$4:$J$339,0)),0)-$AG645)</f>
        <v/>
      </c>
      <c r="AI645" s="10">
        <f>IF($A645="","",IFERROR(INDEX('2_IMPORTAR_EJECUCION'!$F$9:$F$1208,MATCH($AQ645,'2_IMPORTAR_EJECUCION'!$J$9:$J$1208,0)),0))</f>
        <v/>
      </c>
      <c r="AJ645" s="10">
        <f>IF($A645="","",MAX(0,IFERROR(INDEX('2_IMPORTAR_EJECUCION'!$H$9:$H$1208,MATCH($AQ645,'2_IMPORTAR_EJECUCION'!$J$9:$J$1208,0)),0)-$AI645))</f>
        <v/>
      </c>
      <c r="AK645" s="10">
        <f>IF($A645="","",$AI645+$AJ645)</f>
        <v/>
      </c>
      <c r="AL645" s="6" t="n"/>
      <c r="AM645" s="6" t="n"/>
      <c r="AN645" s="6" t="n"/>
      <c r="AO645" s="3">
        <f>IF($AN645="","",HYPERLINK(p_ruta_base_checklists&amp;$AN645,"abrir"))</f>
        <v/>
      </c>
      <c r="AP645" s="6" t="n"/>
      <c r="AQ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IF($A646="","",IFERROR(INDEX('AJUSTES'!$B$4:$B$303,MATCH($AQ646,'AJUSTES'!$A$4:$A$303,0)),IF($K646="","",$K646)))</f>
        <v/>
      </c>
      <c r="N646" s="3">
        <f>IF($A646="","",IFERROR(INDEX('CAT_ESTADOS_ERP'!$B$4:$B$7,MATCH(IFERROR(INDEX('2_IMPORTAR_EJECUCION'!$C$9:$C$1208,MATCH($AQ646,'2_IMPORTAR_EJECUCION'!$J$9:$J$1208,0)),""),'CAT_ESTADOS_ERP'!$A$4:$A$7,0)),"Pendiente"))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J646="","",IFERROR(INDEX('CALENDARIO'!$C$15:$C$214,MATCH(TEXT($J646,"yyyy-mm-dd")&amp;"|"&amp;$V646&amp;"|"&amp;$W646,'CALENDARIO'!$G$15:$G$214,0)),IFERROR(INDEX('CALENDARIO'!$C$15:$C$214,MATCH(TEXT($J646,"yyyy-mm-dd")&amp;"|"&amp;$V646&amp;"|",'CALENDARIO'!$G$15:$G$214,0)),IFERROR(INDEX('CALENDARIO'!$C$15:$C$214,MATCH(TEXT($J646,"yyyy-mm-dd")&amp;"||",'CALENDARIO'!$G$15:$G$214,0)),INDEX(patronHabil,WEEKDAY($J646,2))))))</f>
        <v/>
      </c>
      <c r="T646" s="3">
        <f>IF($I646="","",IFERROR(INDEX('CAT_TIPOS_OT'!$C$4:$C$7,MATCH($I646,'CAT_TIPOS_OT'!$A$4:$A$7,0)),"sin_clasificar"))</f>
        <v/>
      </c>
      <c r="U646" s="3">
        <f>IF($F646="","",IFERROR(INDEX('CAT_CENTROS_COSTO'!$F$4:$F$13,MATCH($F646,'CAT_CENTROS_COSTO'!$A$4:$A$13,0)),"(sin catálogo)"))</f>
        <v/>
      </c>
      <c r="V646" s="3">
        <f>IF($F646="","",IFERROR(INDEX('CAT_CENTROS_COSTO'!$D$4:$D$13,MATCH($F646,'CAT_CENTROS_COSTO'!$A$4:$A$13,0)),"(sin catálogo)"))</f>
        <v/>
      </c>
      <c r="W646" s="3">
        <f>IF($F646="","",IF((IFERROR(INDEX('CAT_CENTROS_COSTO'!$E$4:$E$13,MATCH($F646,'CAT_CENTROS_COSTO'!$A$4:$A$13,0)),""))&lt;&gt;"",IFERROR(INDEX('CAT_CENTROS_COSTO'!$E$4:$E$13,MATCH($F646,'CAT_CENTROS_COSTO'!$A$4:$A$13,0)),""),$V646))</f>
        <v/>
      </c>
      <c r="X646" s="3">
        <f>IF($F646="","",IFERROR(INDEX('CAT_CENTROS_COSTO'!$G$4:$G$13,MATCH($F646,'CAT_CENTROS_COSTO'!$A$4:$A$13,0)),"(sin catálogo)"))</f>
        <v/>
      </c>
      <c r="Y646" s="3">
        <f>IF($G646="","",IFERROR(INDEX('CAT_PUESTOS'!$B$4:$B$8,MATCH($G646,'CAT_PUESTOS'!$A$4:$A$8,0)),"(sin catálogo)"))</f>
        <v/>
      </c>
      <c r="Z646" s="3">
        <f>IF($H646="","",IFERROR(INDEX('CAT_ACTIVIDADES'!$B$4:$B$8,MATCH($H646,'CAT_ACTIVIDADES'!$A$4:$A$8,0)),"(sin catálogo)"))</f>
        <v/>
      </c>
      <c r="AA646" s="12">
        <f>IF($J646="","",TODAY()-$J646)</f>
        <v/>
      </c>
      <c r="AB646" s="12">
        <f>IF($J646="","",IF($J646&lt;=TODAY(),COUNTIFS(cal_fechas,"&gt;="&amp;$J646,cal_fechas,"&lt;"&amp;TODAY(),cal_habil,"sí"),-COUNTIFS(cal_fechas,"&gt;="&amp;TODAY(),cal_fechas,"&lt;"&amp;$J646,cal_habil,"sí")))</f>
        <v/>
      </c>
      <c r="AC646" s="3">
        <f>IF($AB646="","",IF($AB646&lt;0,"FUTURO",IF($AB646&gt;p_dias_backlog_max,"BACKLOG","MES CORRIENTE")))</f>
        <v/>
      </c>
      <c r="AD646" s="3">
        <f>IF($AB646="",FALSE,AND($AB646&gt;p_dias_backlog_min,$AB646&lt;=p_dias_backlog_max))</f>
        <v/>
      </c>
      <c r="AE646" s="6" t="n"/>
      <c r="AF646" s="3">
        <f>IF($AE646="","",IF((IFERROR(INDEX('ASIGNACIONES'!$F$4:$F$339,MATCH($O646&amp;"|"&amp;$R646&amp;"|"&amp;$AE646,'ASIGNACIONES'!$J$4:$J$339,0)),""))=0,"",IFERROR(INDEX('ASIGNACIONES'!$F$4:$F$339,MATCH($O646&amp;"|"&amp;$R646&amp;"|"&amp;$AE646,'ASIGNACIONES'!$J$4:$J$339,0)),"")))</f>
        <v/>
      </c>
      <c r="AG646" s="13">
        <f>IF($AE646="","",SUMIFS('ORDENES'!$M$4:$M$1203,'ORDENES'!$AE$4:$AE$1203,$AE646,'ORDENES'!$O$4:$O$1203,$O646,'ORDENES'!$R$4:$R$1203,$R646))</f>
        <v/>
      </c>
      <c r="AH646" s="13">
        <f>IF($AG646="","",p_factor_productividad*IFERROR(INDEX('ASIGNACIONES'!$I$4:$I$339,MATCH($O646&amp;"|"&amp;$R646&amp;"|"&amp;$AE646,'ASIGNACIONES'!$J$4:$J$339,0)),0)-$AG646)</f>
        <v/>
      </c>
      <c r="AI646" s="10">
        <f>IF($A646="","",IFERROR(INDEX('2_IMPORTAR_EJECUCION'!$F$9:$F$1208,MATCH($AQ646,'2_IMPORTAR_EJECUCION'!$J$9:$J$1208,0)),0))</f>
        <v/>
      </c>
      <c r="AJ646" s="10">
        <f>IF($A646="","",MAX(0,IFERROR(INDEX('2_IMPORTAR_EJECUCION'!$H$9:$H$1208,MATCH($AQ646,'2_IMPORTAR_EJECUCION'!$J$9:$J$1208,0)),0)-$AI646))</f>
        <v/>
      </c>
      <c r="AK646" s="10">
        <f>IF($A646="","",$AI646+$AJ646)</f>
        <v/>
      </c>
      <c r="AL646" s="6" t="n"/>
      <c r="AM646" s="6" t="n"/>
      <c r="AN646" s="6" t="n"/>
      <c r="AO646" s="3">
        <f>IF($AN646="","",HYPERLINK(p_ruta_base_checklists&amp;$AN646,"abrir"))</f>
        <v/>
      </c>
      <c r="AP646" s="6" t="n"/>
      <c r="AQ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IF($A647="","",IFERROR(INDEX('AJUSTES'!$B$4:$B$303,MATCH($AQ647,'AJUSTES'!$A$4:$A$303,0)),IF($K647="","",$K647)))</f>
        <v/>
      </c>
      <c r="N647" s="3">
        <f>IF($A647="","",IFERROR(INDEX('CAT_ESTADOS_ERP'!$B$4:$B$7,MATCH(IFERROR(INDEX('2_IMPORTAR_EJECUCION'!$C$9:$C$1208,MATCH($AQ647,'2_IMPORTAR_EJECUCION'!$J$9:$J$1208,0)),""),'CAT_ESTADOS_ERP'!$A$4:$A$7,0)),"Pendiente"))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J647="","",IFERROR(INDEX('CALENDARIO'!$C$15:$C$214,MATCH(TEXT($J647,"yyyy-mm-dd")&amp;"|"&amp;$V647&amp;"|"&amp;$W647,'CALENDARIO'!$G$15:$G$214,0)),IFERROR(INDEX('CALENDARIO'!$C$15:$C$214,MATCH(TEXT($J647,"yyyy-mm-dd")&amp;"|"&amp;$V647&amp;"|",'CALENDARIO'!$G$15:$G$214,0)),IFERROR(INDEX('CALENDARIO'!$C$15:$C$214,MATCH(TEXT($J647,"yyyy-mm-dd")&amp;"||",'CALENDARIO'!$G$15:$G$214,0)),INDEX(patronHabil,WEEKDAY($J647,2))))))</f>
        <v/>
      </c>
      <c r="T647" s="3">
        <f>IF($I647="","",IFERROR(INDEX('CAT_TIPOS_OT'!$C$4:$C$7,MATCH($I647,'CAT_TIPOS_OT'!$A$4:$A$7,0)),"sin_clasificar"))</f>
        <v/>
      </c>
      <c r="U647" s="3">
        <f>IF($F647="","",IFERROR(INDEX('CAT_CENTROS_COSTO'!$F$4:$F$13,MATCH($F647,'CAT_CENTROS_COSTO'!$A$4:$A$13,0)),"(sin catálogo)"))</f>
        <v/>
      </c>
      <c r="V647" s="3">
        <f>IF($F647="","",IFERROR(INDEX('CAT_CENTROS_COSTO'!$D$4:$D$13,MATCH($F647,'CAT_CENTROS_COSTO'!$A$4:$A$13,0)),"(sin catálogo)"))</f>
        <v/>
      </c>
      <c r="W647" s="3">
        <f>IF($F647="","",IF((IFERROR(INDEX('CAT_CENTROS_COSTO'!$E$4:$E$13,MATCH($F647,'CAT_CENTROS_COSTO'!$A$4:$A$13,0)),""))&lt;&gt;"",IFERROR(INDEX('CAT_CENTROS_COSTO'!$E$4:$E$13,MATCH($F647,'CAT_CENTROS_COSTO'!$A$4:$A$13,0)),""),$V647))</f>
        <v/>
      </c>
      <c r="X647" s="3">
        <f>IF($F647="","",IFERROR(INDEX('CAT_CENTROS_COSTO'!$G$4:$G$13,MATCH($F647,'CAT_CENTROS_COSTO'!$A$4:$A$13,0)),"(sin catálogo)"))</f>
        <v/>
      </c>
      <c r="Y647" s="3">
        <f>IF($G647="","",IFERROR(INDEX('CAT_PUESTOS'!$B$4:$B$8,MATCH($G647,'CAT_PUESTOS'!$A$4:$A$8,0)),"(sin catálogo)"))</f>
        <v/>
      </c>
      <c r="Z647" s="3">
        <f>IF($H647="","",IFERROR(INDEX('CAT_ACTIVIDADES'!$B$4:$B$8,MATCH($H647,'CAT_ACTIVIDADES'!$A$4:$A$8,0)),"(sin catálogo)"))</f>
        <v/>
      </c>
      <c r="AA647" s="12">
        <f>IF($J647="","",TODAY()-$J647)</f>
        <v/>
      </c>
      <c r="AB647" s="12">
        <f>IF($J647="","",IF($J647&lt;=TODAY(),COUNTIFS(cal_fechas,"&gt;="&amp;$J647,cal_fechas,"&lt;"&amp;TODAY(),cal_habil,"sí"),-COUNTIFS(cal_fechas,"&gt;="&amp;TODAY(),cal_fechas,"&lt;"&amp;$J647,cal_habil,"sí")))</f>
        <v/>
      </c>
      <c r="AC647" s="3">
        <f>IF($AB647="","",IF($AB647&lt;0,"FUTURO",IF($AB647&gt;p_dias_backlog_max,"BACKLOG","MES CORRIENTE")))</f>
        <v/>
      </c>
      <c r="AD647" s="3">
        <f>IF($AB647="",FALSE,AND($AB647&gt;p_dias_backlog_min,$AB647&lt;=p_dias_backlog_max))</f>
        <v/>
      </c>
      <c r="AE647" s="6" t="n"/>
      <c r="AF647" s="3">
        <f>IF($AE647="","",IF((IFERROR(INDEX('ASIGNACIONES'!$F$4:$F$339,MATCH($O647&amp;"|"&amp;$R647&amp;"|"&amp;$AE647,'ASIGNACIONES'!$J$4:$J$339,0)),""))=0,"",IFERROR(INDEX('ASIGNACIONES'!$F$4:$F$339,MATCH($O647&amp;"|"&amp;$R647&amp;"|"&amp;$AE647,'ASIGNACIONES'!$J$4:$J$339,0)),"")))</f>
        <v/>
      </c>
      <c r="AG647" s="13">
        <f>IF($AE647="","",SUMIFS('ORDENES'!$M$4:$M$1203,'ORDENES'!$AE$4:$AE$1203,$AE647,'ORDENES'!$O$4:$O$1203,$O647,'ORDENES'!$R$4:$R$1203,$R647))</f>
        <v/>
      </c>
      <c r="AH647" s="13">
        <f>IF($AG647="","",p_factor_productividad*IFERROR(INDEX('ASIGNACIONES'!$I$4:$I$339,MATCH($O647&amp;"|"&amp;$R647&amp;"|"&amp;$AE647,'ASIGNACIONES'!$J$4:$J$339,0)),0)-$AG647)</f>
        <v/>
      </c>
      <c r="AI647" s="10">
        <f>IF($A647="","",IFERROR(INDEX('2_IMPORTAR_EJECUCION'!$F$9:$F$1208,MATCH($AQ647,'2_IMPORTAR_EJECUCION'!$J$9:$J$1208,0)),0))</f>
        <v/>
      </c>
      <c r="AJ647" s="10">
        <f>IF($A647="","",MAX(0,IFERROR(INDEX('2_IMPORTAR_EJECUCION'!$H$9:$H$1208,MATCH($AQ647,'2_IMPORTAR_EJECUCION'!$J$9:$J$1208,0)),0)-$AI647))</f>
        <v/>
      </c>
      <c r="AK647" s="10">
        <f>IF($A647="","",$AI647+$AJ647)</f>
        <v/>
      </c>
      <c r="AL647" s="6" t="n"/>
      <c r="AM647" s="6" t="n"/>
      <c r="AN647" s="6" t="n"/>
      <c r="AO647" s="3">
        <f>IF($AN647="","",HYPERLINK(p_ruta_base_checklists&amp;$AN647,"abrir"))</f>
        <v/>
      </c>
      <c r="AP647" s="6" t="n"/>
      <c r="AQ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IF($A648="","",IFERROR(INDEX('AJUSTES'!$B$4:$B$303,MATCH($AQ648,'AJUSTES'!$A$4:$A$303,0)),IF($K648="","",$K648)))</f>
        <v/>
      </c>
      <c r="N648" s="3">
        <f>IF($A648="","",IFERROR(INDEX('CAT_ESTADOS_ERP'!$B$4:$B$7,MATCH(IFERROR(INDEX('2_IMPORTAR_EJECUCION'!$C$9:$C$1208,MATCH($AQ648,'2_IMPORTAR_EJECUCION'!$J$9:$J$1208,0)),""),'CAT_ESTADOS_ERP'!$A$4:$A$7,0)),"Pendiente"))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J648="","",IFERROR(INDEX('CALENDARIO'!$C$15:$C$214,MATCH(TEXT($J648,"yyyy-mm-dd")&amp;"|"&amp;$V648&amp;"|"&amp;$W648,'CALENDARIO'!$G$15:$G$214,0)),IFERROR(INDEX('CALENDARIO'!$C$15:$C$214,MATCH(TEXT($J648,"yyyy-mm-dd")&amp;"|"&amp;$V648&amp;"|",'CALENDARIO'!$G$15:$G$214,0)),IFERROR(INDEX('CALENDARIO'!$C$15:$C$214,MATCH(TEXT($J648,"yyyy-mm-dd")&amp;"||",'CALENDARIO'!$G$15:$G$214,0)),INDEX(patronHabil,WEEKDAY($J648,2))))))</f>
        <v/>
      </c>
      <c r="T648" s="3">
        <f>IF($I648="","",IFERROR(INDEX('CAT_TIPOS_OT'!$C$4:$C$7,MATCH($I648,'CAT_TIPOS_OT'!$A$4:$A$7,0)),"sin_clasificar"))</f>
        <v/>
      </c>
      <c r="U648" s="3">
        <f>IF($F648="","",IFERROR(INDEX('CAT_CENTROS_COSTO'!$F$4:$F$13,MATCH($F648,'CAT_CENTROS_COSTO'!$A$4:$A$13,0)),"(sin catálogo)"))</f>
        <v/>
      </c>
      <c r="V648" s="3">
        <f>IF($F648="","",IFERROR(INDEX('CAT_CENTROS_COSTO'!$D$4:$D$13,MATCH($F648,'CAT_CENTROS_COSTO'!$A$4:$A$13,0)),"(sin catálogo)"))</f>
        <v/>
      </c>
      <c r="W648" s="3">
        <f>IF($F648="","",IF((IFERROR(INDEX('CAT_CENTROS_COSTO'!$E$4:$E$13,MATCH($F648,'CAT_CENTROS_COSTO'!$A$4:$A$13,0)),""))&lt;&gt;"",IFERROR(INDEX('CAT_CENTROS_COSTO'!$E$4:$E$13,MATCH($F648,'CAT_CENTROS_COSTO'!$A$4:$A$13,0)),""),$V648))</f>
        <v/>
      </c>
      <c r="X648" s="3">
        <f>IF($F648="","",IFERROR(INDEX('CAT_CENTROS_COSTO'!$G$4:$G$13,MATCH($F648,'CAT_CENTROS_COSTO'!$A$4:$A$13,0)),"(sin catálogo)"))</f>
        <v/>
      </c>
      <c r="Y648" s="3">
        <f>IF($G648="","",IFERROR(INDEX('CAT_PUESTOS'!$B$4:$B$8,MATCH($G648,'CAT_PUESTOS'!$A$4:$A$8,0)),"(sin catálogo)"))</f>
        <v/>
      </c>
      <c r="Z648" s="3">
        <f>IF($H648="","",IFERROR(INDEX('CAT_ACTIVIDADES'!$B$4:$B$8,MATCH($H648,'CAT_ACTIVIDADES'!$A$4:$A$8,0)),"(sin catálogo)"))</f>
        <v/>
      </c>
      <c r="AA648" s="12">
        <f>IF($J648="","",TODAY()-$J648)</f>
        <v/>
      </c>
      <c r="AB648" s="12">
        <f>IF($J648="","",IF($J648&lt;=TODAY(),COUNTIFS(cal_fechas,"&gt;="&amp;$J648,cal_fechas,"&lt;"&amp;TODAY(),cal_habil,"sí"),-COUNTIFS(cal_fechas,"&gt;="&amp;TODAY(),cal_fechas,"&lt;"&amp;$J648,cal_habil,"sí")))</f>
        <v/>
      </c>
      <c r="AC648" s="3">
        <f>IF($AB648="","",IF($AB648&lt;0,"FUTURO",IF($AB648&gt;p_dias_backlog_max,"BACKLOG","MES CORRIENTE")))</f>
        <v/>
      </c>
      <c r="AD648" s="3">
        <f>IF($AB648="",FALSE,AND($AB648&gt;p_dias_backlog_min,$AB648&lt;=p_dias_backlog_max))</f>
        <v/>
      </c>
      <c r="AE648" s="6" t="n"/>
      <c r="AF648" s="3">
        <f>IF($AE648="","",IF((IFERROR(INDEX('ASIGNACIONES'!$F$4:$F$339,MATCH($O648&amp;"|"&amp;$R648&amp;"|"&amp;$AE648,'ASIGNACIONES'!$J$4:$J$339,0)),""))=0,"",IFERROR(INDEX('ASIGNACIONES'!$F$4:$F$339,MATCH($O648&amp;"|"&amp;$R648&amp;"|"&amp;$AE648,'ASIGNACIONES'!$J$4:$J$339,0)),"")))</f>
        <v/>
      </c>
      <c r="AG648" s="13">
        <f>IF($AE648="","",SUMIFS('ORDENES'!$M$4:$M$1203,'ORDENES'!$AE$4:$AE$1203,$AE648,'ORDENES'!$O$4:$O$1203,$O648,'ORDENES'!$R$4:$R$1203,$R648))</f>
        <v/>
      </c>
      <c r="AH648" s="13">
        <f>IF($AG648="","",p_factor_productividad*IFERROR(INDEX('ASIGNACIONES'!$I$4:$I$339,MATCH($O648&amp;"|"&amp;$R648&amp;"|"&amp;$AE648,'ASIGNACIONES'!$J$4:$J$339,0)),0)-$AG648)</f>
        <v/>
      </c>
      <c r="AI648" s="10">
        <f>IF($A648="","",IFERROR(INDEX('2_IMPORTAR_EJECUCION'!$F$9:$F$1208,MATCH($AQ648,'2_IMPORTAR_EJECUCION'!$J$9:$J$1208,0)),0))</f>
        <v/>
      </c>
      <c r="AJ648" s="10">
        <f>IF($A648="","",MAX(0,IFERROR(INDEX('2_IMPORTAR_EJECUCION'!$H$9:$H$1208,MATCH($AQ648,'2_IMPORTAR_EJECUCION'!$J$9:$J$1208,0)),0)-$AI648))</f>
        <v/>
      </c>
      <c r="AK648" s="10">
        <f>IF($A648="","",$AI648+$AJ648)</f>
        <v/>
      </c>
      <c r="AL648" s="6" t="n"/>
      <c r="AM648" s="6" t="n"/>
      <c r="AN648" s="6" t="n"/>
      <c r="AO648" s="3">
        <f>IF($AN648="","",HYPERLINK(p_ruta_base_checklists&amp;$AN648,"abrir"))</f>
        <v/>
      </c>
      <c r="AP648" s="6" t="n"/>
      <c r="AQ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IF($A649="","",IFERROR(INDEX('AJUSTES'!$B$4:$B$303,MATCH($AQ649,'AJUSTES'!$A$4:$A$303,0)),IF($K649="","",$K649)))</f>
        <v/>
      </c>
      <c r="N649" s="3">
        <f>IF($A649="","",IFERROR(INDEX('CAT_ESTADOS_ERP'!$B$4:$B$7,MATCH(IFERROR(INDEX('2_IMPORTAR_EJECUCION'!$C$9:$C$1208,MATCH($AQ649,'2_IMPORTAR_EJECUCION'!$J$9:$J$1208,0)),""),'CAT_ESTADOS_ERP'!$A$4:$A$7,0)),"Pendiente"))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J649="","",IFERROR(INDEX('CALENDARIO'!$C$15:$C$214,MATCH(TEXT($J649,"yyyy-mm-dd")&amp;"|"&amp;$V649&amp;"|"&amp;$W649,'CALENDARIO'!$G$15:$G$214,0)),IFERROR(INDEX('CALENDARIO'!$C$15:$C$214,MATCH(TEXT($J649,"yyyy-mm-dd")&amp;"|"&amp;$V649&amp;"|",'CALENDARIO'!$G$15:$G$214,0)),IFERROR(INDEX('CALENDARIO'!$C$15:$C$214,MATCH(TEXT($J649,"yyyy-mm-dd")&amp;"||",'CALENDARIO'!$G$15:$G$214,0)),INDEX(patronHabil,WEEKDAY($J649,2))))))</f>
        <v/>
      </c>
      <c r="T649" s="3">
        <f>IF($I649="","",IFERROR(INDEX('CAT_TIPOS_OT'!$C$4:$C$7,MATCH($I649,'CAT_TIPOS_OT'!$A$4:$A$7,0)),"sin_clasificar"))</f>
        <v/>
      </c>
      <c r="U649" s="3">
        <f>IF($F649="","",IFERROR(INDEX('CAT_CENTROS_COSTO'!$F$4:$F$13,MATCH($F649,'CAT_CENTROS_COSTO'!$A$4:$A$13,0)),"(sin catálogo)"))</f>
        <v/>
      </c>
      <c r="V649" s="3">
        <f>IF($F649="","",IFERROR(INDEX('CAT_CENTROS_COSTO'!$D$4:$D$13,MATCH($F649,'CAT_CENTROS_COSTO'!$A$4:$A$13,0)),"(sin catálogo)"))</f>
        <v/>
      </c>
      <c r="W649" s="3">
        <f>IF($F649="","",IF((IFERROR(INDEX('CAT_CENTROS_COSTO'!$E$4:$E$13,MATCH($F649,'CAT_CENTROS_COSTO'!$A$4:$A$13,0)),""))&lt;&gt;"",IFERROR(INDEX('CAT_CENTROS_COSTO'!$E$4:$E$13,MATCH($F649,'CAT_CENTROS_COSTO'!$A$4:$A$13,0)),""),$V649))</f>
        <v/>
      </c>
      <c r="X649" s="3">
        <f>IF($F649="","",IFERROR(INDEX('CAT_CENTROS_COSTO'!$G$4:$G$13,MATCH($F649,'CAT_CENTROS_COSTO'!$A$4:$A$13,0)),"(sin catálogo)"))</f>
        <v/>
      </c>
      <c r="Y649" s="3">
        <f>IF($G649="","",IFERROR(INDEX('CAT_PUESTOS'!$B$4:$B$8,MATCH($G649,'CAT_PUESTOS'!$A$4:$A$8,0)),"(sin catálogo)"))</f>
        <v/>
      </c>
      <c r="Z649" s="3">
        <f>IF($H649="","",IFERROR(INDEX('CAT_ACTIVIDADES'!$B$4:$B$8,MATCH($H649,'CAT_ACTIVIDADES'!$A$4:$A$8,0)),"(sin catálogo)"))</f>
        <v/>
      </c>
      <c r="AA649" s="12">
        <f>IF($J649="","",TODAY()-$J649)</f>
        <v/>
      </c>
      <c r="AB649" s="12">
        <f>IF($J649="","",IF($J649&lt;=TODAY(),COUNTIFS(cal_fechas,"&gt;="&amp;$J649,cal_fechas,"&lt;"&amp;TODAY(),cal_habil,"sí"),-COUNTIFS(cal_fechas,"&gt;="&amp;TODAY(),cal_fechas,"&lt;"&amp;$J649,cal_habil,"sí")))</f>
        <v/>
      </c>
      <c r="AC649" s="3">
        <f>IF($AB649="","",IF($AB649&lt;0,"FUTURO",IF($AB649&gt;p_dias_backlog_max,"BACKLOG","MES CORRIENTE")))</f>
        <v/>
      </c>
      <c r="AD649" s="3">
        <f>IF($AB649="",FALSE,AND($AB649&gt;p_dias_backlog_min,$AB649&lt;=p_dias_backlog_max))</f>
        <v/>
      </c>
      <c r="AE649" s="6" t="n"/>
      <c r="AF649" s="3">
        <f>IF($AE649="","",IF((IFERROR(INDEX('ASIGNACIONES'!$F$4:$F$339,MATCH($O649&amp;"|"&amp;$R649&amp;"|"&amp;$AE649,'ASIGNACIONES'!$J$4:$J$339,0)),""))=0,"",IFERROR(INDEX('ASIGNACIONES'!$F$4:$F$339,MATCH($O649&amp;"|"&amp;$R649&amp;"|"&amp;$AE649,'ASIGNACIONES'!$J$4:$J$339,0)),"")))</f>
        <v/>
      </c>
      <c r="AG649" s="13">
        <f>IF($AE649="","",SUMIFS('ORDENES'!$M$4:$M$1203,'ORDENES'!$AE$4:$AE$1203,$AE649,'ORDENES'!$O$4:$O$1203,$O649,'ORDENES'!$R$4:$R$1203,$R649))</f>
        <v/>
      </c>
      <c r="AH649" s="13">
        <f>IF($AG649="","",p_factor_productividad*IFERROR(INDEX('ASIGNACIONES'!$I$4:$I$339,MATCH($O649&amp;"|"&amp;$R649&amp;"|"&amp;$AE649,'ASIGNACIONES'!$J$4:$J$339,0)),0)-$AG649)</f>
        <v/>
      </c>
      <c r="AI649" s="10">
        <f>IF($A649="","",IFERROR(INDEX('2_IMPORTAR_EJECUCION'!$F$9:$F$1208,MATCH($AQ649,'2_IMPORTAR_EJECUCION'!$J$9:$J$1208,0)),0))</f>
        <v/>
      </c>
      <c r="AJ649" s="10">
        <f>IF($A649="","",MAX(0,IFERROR(INDEX('2_IMPORTAR_EJECUCION'!$H$9:$H$1208,MATCH($AQ649,'2_IMPORTAR_EJECUCION'!$J$9:$J$1208,0)),0)-$AI649))</f>
        <v/>
      </c>
      <c r="AK649" s="10">
        <f>IF($A649="","",$AI649+$AJ649)</f>
        <v/>
      </c>
      <c r="AL649" s="6" t="n"/>
      <c r="AM649" s="6" t="n"/>
      <c r="AN649" s="6" t="n"/>
      <c r="AO649" s="3">
        <f>IF($AN649="","",HYPERLINK(p_ruta_base_checklists&amp;$AN649,"abrir"))</f>
        <v/>
      </c>
      <c r="AP649" s="6" t="n"/>
      <c r="AQ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IF($A650="","",IFERROR(INDEX('AJUSTES'!$B$4:$B$303,MATCH($AQ650,'AJUSTES'!$A$4:$A$303,0)),IF($K650="","",$K650)))</f>
        <v/>
      </c>
      <c r="N650" s="3">
        <f>IF($A650="","",IFERROR(INDEX('CAT_ESTADOS_ERP'!$B$4:$B$7,MATCH(IFERROR(INDEX('2_IMPORTAR_EJECUCION'!$C$9:$C$1208,MATCH($AQ650,'2_IMPORTAR_EJECUCION'!$J$9:$J$1208,0)),""),'CAT_ESTADOS_ERP'!$A$4:$A$7,0)),"Pendiente"))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J650="","",IFERROR(INDEX('CALENDARIO'!$C$15:$C$214,MATCH(TEXT($J650,"yyyy-mm-dd")&amp;"|"&amp;$V650&amp;"|"&amp;$W650,'CALENDARIO'!$G$15:$G$214,0)),IFERROR(INDEX('CALENDARIO'!$C$15:$C$214,MATCH(TEXT($J650,"yyyy-mm-dd")&amp;"|"&amp;$V650&amp;"|",'CALENDARIO'!$G$15:$G$214,0)),IFERROR(INDEX('CALENDARIO'!$C$15:$C$214,MATCH(TEXT($J650,"yyyy-mm-dd")&amp;"||",'CALENDARIO'!$G$15:$G$214,0)),INDEX(patronHabil,WEEKDAY($J650,2))))))</f>
        <v/>
      </c>
      <c r="T650" s="3">
        <f>IF($I650="","",IFERROR(INDEX('CAT_TIPOS_OT'!$C$4:$C$7,MATCH($I650,'CAT_TIPOS_OT'!$A$4:$A$7,0)),"sin_clasificar"))</f>
        <v/>
      </c>
      <c r="U650" s="3">
        <f>IF($F650="","",IFERROR(INDEX('CAT_CENTROS_COSTO'!$F$4:$F$13,MATCH($F650,'CAT_CENTROS_COSTO'!$A$4:$A$13,0)),"(sin catálogo)"))</f>
        <v/>
      </c>
      <c r="V650" s="3">
        <f>IF($F650="","",IFERROR(INDEX('CAT_CENTROS_COSTO'!$D$4:$D$13,MATCH($F650,'CAT_CENTROS_COSTO'!$A$4:$A$13,0)),"(sin catálogo)"))</f>
        <v/>
      </c>
      <c r="W650" s="3">
        <f>IF($F650="","",IF((IFERROR(INDEX('CAT_CENTROS_COSTO'!$E$4:$E$13,MATCH($F650,'CAT_CENTROS_COSTO'!$A$4:$A$13,0)),""))&lt;&gt;"",IFERROR(INDEX('CAT_CENTROS_COSTO'!$E$4:$E$13,MATCH($F650,'CAT_CENTROS_COSTO'!$A$4:$A$13,0)),""),$V650))</f>
        <v/>
      </c>
      <c r="X650" s="3">
        <f>IF($F650="","",IFERROR(INDEX('CAT_CENTROS_COSTO'!$G$4:$G$13,MATCH($F650,'CAT_CENTROS_COSTO'!$A$4:$A$13,0)),"(sin catálogo)"))</f>
        <v/>
      </c>
      <c r="Y650" s="3">
        <f>IF($G650="","",IFERROR(INDEX('CAT_PUESTOS'!$B$4:$B$8,MATCH($G650,'CAT_PUESTOS'!$A$4:$A$8,0)),"(sin catálogo)"))</f>
        <v/>
      </c>
      <c r="Z650" s="3">
        <f>IF($H650="","",IFERROR(INDEX('CAT_ACTIVIDADES'!$B$4:$B$8,MATCH($H650,'CAT_ACTIVIDADES'!$A$4:$A$8,0)),"(sin catálogo)"))</f>
        <v/>
      </c>
      <c r="AA650" s="12">
        <f>IF($J650="","",TODAY()-$J650)</f>
        <v/>
      </c>
      <c r="AB650" s="12">
        <f>IF($J650="","",IF($J650&lt;=TODAY(),COUNTIFS(cal_fechas,"&gt;="&amp;$J650,cal_fechas,"&lt;"&amp;TODAY(),cal_habil,"sí"),-COUNTIFS(cal_fechas,"&gt;="&amp;TODAY(),cal_fechas,"&lt;"&amp;$J650,cal_habil,"sí")))</f>
        <v/>
      </c>
      <c r="AC650" s="3">
        <f>IF($AB650="","",IF($AB650&lt;0,"FUTURO",IF($AB650&gt;p_dias_backlog_max,"BACKLOG","MES CORRIENTE")))</f>
        <v/>
      </c>
      <c r="AD650" s="3">
        <f>IF($AB650="",FALSE,AND($AB650&gt;p_dias_backlog_min,$AB650&lt;=p_dias_backlog_max))</f>
        <v/>
      </c>
      <c r="AE650" s="6" t="n"/>
      <c r="AF650" s="3">
        <f>IF($AE650="","",IF((IFERROR(INDEX('ASIGNACIONES'!$F$4:$F$339,MATCH($O650&amp;"|"&amp;$R650&amp;"|"&amp;$AE650,'ASIGNACIONES'!$J$4:$J$339,0)),""))=0,"",IFERROR(INDEX('ASIGNACIONES'!$F$4:$F$339,MATCH($O650&amp;"|"&amp;$R650&amp;"|"&amp;$AE650,'ASIGNACIONES'!$J$4:$J$339,0)),"")))</f>
        <v/>
      </c>
      <c r="AG650" s="13">
        <f>IF($AE650="","",SUMIFS('ORDENES'!$M$4:$M$1203,'ORDENES'!$AE$4:$AE$1203,$AE650,'ORDENES'!$O$4:$O$1203,$O650,'ORDENES'!$R$4:$R$1203,$R650))</f>
        <v/>
      </c>
      <c r="AH650" s="13">
        <f>IF($AG650="","",p_factor_productividad*IFERROR(INDEX('ASIGNACIONES'!$I$4:$I$339,MATCH($O650&amp;"|"&amp;$R650&amp;"|"&amp;$AE650,'ASIGNACIONES'!$J$4:$J$339,0)),0)-$AG650)</f>
        <v/>
      </c>
      <c r="AI650" s="10">
        <f>IF($A650="","",IFERROR(INDEX('2_IMPORTAR_EJECUCION'!$F$9:$F$1208,MATCH($AQ650,'2_IMPORTAR_EJECUCION'!$J$9:$J$1208,0)),0))</f>
        <v/>
      </c>
      <c r="AJ650" s="10">
        <f>IF($A650="","",MAX(0,IFERROR(INDEX('2_IMPORTAR_EJECUCION'!$H$9:$H$1208,MATCH($AQ650,'2_IMPORTAR_EJECUCION'!$J$9:$J$1208,0)),0)-$AI650))</f>
        <v/>
      </c>
      <c r="AK650" s="10">
        <f>IF($A650="","",$AI650+$AJ650)</f>
        <v/>
      </c>
      <c r="AL650" s="6" t="n"/>
      <c r="AM650" s="6" t="n"/>
      <c r="AN650" s="6" t="n"/>
      <c r="AO650" s="3">
        <f>IF($AN650="","",HYPERLINK(p_ruta_base_checklists&amp;$AN650,"abrir"))</f>
        <v/>
      </c>
      <c r="AP650" s="6" t="n"/>
      <c r="AQ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IF($A651="","",IFERROR(INDEX('AJUSTES'!$B$4:$B$303,MATCH($AQ651,'AJUSTES'!$A$4:$A$303,0)),IF($K651="","",$K651)))</f>
        <v/>
      </c>
      <c r="N651" s="3">
        <f>IF($A651="","",IFERROR(INDEX('CAT_ESTADOS_ERP'!$B$4:$B$7,MATCH(IFERROR(INDEX('2_IMPORTAR_EJECUCION'!$C$9:$C$1208,MATCH($AQ651,'2_IMPORTAR_EJECUCION'!$J$9:$J$1208,0)),""),'CAT_ESTADOS_ERP'!$A$4:$A$7,0)),"Pendiente"))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J651="","",IFERROR(INDEX('CALENDARIO'!$C$15:$C$214,MATCH(TEXT($J651,"yyyy-mm-dd")&amp;"|"&amp;$V651&amp;"|"&amp;$W651,'CALENDARIO'!$G$15:$G$214,0)),IFERROR(INDEX('CALENDARIO'!$C$15:$C$214,MATCH(TEXT($J651,"yyyy-mm-dd")&amp;"|"&amp;$V651&amp;"|",'CALENDARIO'!$G$15:$G$214,0)),IFERROR(INDEX('CALENDARIO'!$C$15:$C$214,MATCH(TEXT($J651,"yyyy-mm-dd")&amp;"||",'CALENDARIO'!$G$15:$G$214,0)),INDEX(patronHabil,WEEKDAY($J651,2))))))</f>
        <v/>
      </c>
      <c r="T651" s="3">
        <f>IF($I651="","",IFERROR(INDEX('CAT_TIPOS_OT'!$C$4:$C$7,MATCH($I651,'CAT_TIPOS_OT'!$A$4:$A$7,0)),"sin_clasificar"))</f>
        <v/>
      </c>
      <c r="U651" s="3">
        <f>IF($F651="","",IFERROR(INDEX('CAT_CENTROS_COSTO'!$F$4:$F$13,MATCH($F651,'CAT_CENTROS_COSTO'!$A$4:$A$13,0)),"(sin catálogo)"))</f>
        <v/>
      </c>
      <c r="V651" s="3">
        <f>IF($F651="","",IFERROR(INDEX('CAT_CENTROS_COSTO'!$D$4:$D$13,MATCH($F651,'CAT_CENTROS_COSTO'!$A$4:$A$13,0)),"(sin catálogo)"))</f>
        <v/>
      </c>
      <c r="W651" s="3">
        <f>IF($F651="","",IF((IFERROR(INDEX('CAT_CENTROS_COSTO'!$E$4:$E$13,MATCH($F651,'CAT_CENTROS_COSTO'!$A$4:$A$13,0)),""))&lt;&gt;"",IFERROR(INDEX('CAT_CENTROS_COSTO'!$E$4:$E$13,MATCH($F651,'CAT_CENTROS_COSTO'!$A$4:$A$13,0)),""),$V651))</f>
        <v/>
      </c>
      <c r="X651" s="3">
        <f>IF($F651="","",IFERROR(INDEX('CAT_CENTROS_COSTO'!$G$4:$G$13,MATCH($F651,'CAT_CENTROS_COSTO'!$A$4:$A$13,0)),"(sin catálogo)"))</f>
        <v/>
      </c>
      <c r="Y651" s="3">
        <f>IF($G651="","",IFERROR(INDEX('CAT_PUESTOS'!$B$4:$B$8,MATCH($G651,'CAT_PUESTOS'!$A$4:$A$8,0)),"(sin catálogo)"))</f>
        <v/>
      </c>
      <c r="Z651" s="3">
        <f>IF($H651="","",IFERROR(INDEX('CAT_ACTIVIDADES'!$B$4:$B$8,MATCH($H651,'CAT_ACTIVIDADES'!$A$4:$A$8,0)),"(sin catálogo)"))</f>
        <v/>
      </c>
      <c r="AA651" s="12">
        <f>IF($J651="","",TODAY()-$J651)</f>
        <v/>
      </c>
      <c r="AB651" s="12">
        <f>IF($J651="","",IF($J651&lt;=TODAY(),COUNTIFS(cal_fechas,"&gt;="&amp;$J651,cal_fechas,"&lt;"&amp;TODAY(),cal_habil,"sí"),-COUNTIFS(cal_fechas,"&gt;="&amp;TODAY(),cal_fechas,"&lt;"&amp;$J651,cal_habil,"sí")))</f>
        <v/>
      </c>
      <c r="AC651" s="3">
        <f>IF($AB651="","",IF($AB651&lt;0,"FUTURO",IF($AB651&gt;p_dias_backlog_max,"BACKLOG","MES CORRIENTE")))</f>
        <v/>
      </c>
      <c r="AD651" s="3">
        <f>IF($AB651="",FALSE,AND($AB651&gt;p_dias_backlog_min,$AB651&lt;=p_dias_backlog_max))</f>
        <v/>
      </c>
      <c r="AE651" s="6" t="n"/>
      <c r="AF651" s="3">
        <f>IF($AE651="","",IF((IFERROR(INDEX('ASIGNACIONES'!$F$4:$F$339,MATCH($O651&amp;"|"&amp;$R651&amp;"|"&amp;$AE651,'ASIGNACIONES'!$J$4:$J$339,0)),""))=0,"",IFERROR(INDEX('ASIGNACIONES'!$F$4:$F$339,MATCH($O651&amp;"|"&amp;$R651&amp;"|"&amp;$AE651,'ASIGNACIONES'!$J$4:$J$339,0)),"")))</f>
        <v/>
      </c>
      <c r="AG651" s="13">
        <f>IF($AE651="","",SUMIFS('ORDENES'!$M$4:$M$1203,'ORDENES'!$AE$4:$AE$1203,$AE651,'ORDENES'!$O$4:$O$1203,$O651,'ORDENES'!$R$4:$R$1203,$R651))</f>
        <v/>
      </c>
      <c r="AH651" s="13">
        <f>IF($AG651="","",p_factor_productividad*IFERROR(INDEX('ASIGNACIONES'!$I$4:$I$339,MATCH($O651&amp;"|"&amp;$R651&amp;"|"&amp;$AE651,'ASIGNACIONES'!$J$4:$J$339,0)),0)-$AG651)</f>
        <v/>
      </c>
      <c r="AI651" s="10">
        <f>IF($A651="","",IFERROR(INDEX('2_IMPORTAR_EJECUCION'!$F$9:$F$1208,MATCH($AQ651,'2_IMPORTAR_EJECUCION'!$J$9:$J$1208,0)),0))</f>
        <v/>
      </c>
      <c r="AJ651" s="10">
        <f>IF($A651="","",MAX(0,IFERROR(INDEX('2_IMPORTAR_EJECUCION'!$H$9:$H$1208,MATCH($AQ651,'2_IMPORTAR_EJECUCION'!$J$9:$J$1208,0)),0)-$AI651))</f>
        <v/>
      </c>
      <c r="AK651" s="10">
        <f>IF($A651="","",$AI651+$AJ651)</f>
        <v/>
      </c>
      <c r="AL651" s="6" t="n"/>
      <c r="AM651" s="6" t="n"/>
      <c r="AN651" s="6" t="n"/>
      <c r="AO651" s="3">
        <f>IF($AN651="","",HYPERLINK(p_ruta_base_checklists&amp;$AN651,"abrir"))</f>
        <v/>
      </c>
      <c r="AP651" s="6" t="n"/>
      <c r="AQ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IF($A652="","",IFERROR(INDEX('AJUSTES'!$B$4:$B$303,MATCH($AQ652,'AJUSTES'!$A$4:$A$303,0)),IF($K652="","",$K652)))</f>
        <v/>
      </c>
      <c r="N652" s="3">
        <f>IF($A652="","",IFERROR(INDEX('CAT_ESTADOS_ERP'!$B$4:$B$7,MATCH(IFERROR(INDEX('2_IMPORTAR_EJECUCION'!$C$9:$C$1208,MATCH($AQ652,'2_IMPORTAR_EJECUCION'!$J$9:$J$1208,0)),""),'CAT_ESTADOS_ERP'!$A$4:$A$7,0)),"Pendiente"))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J652="","",IFERROR(INDEX('CALENDARIO'!$C$15:$C$214,MATCH(TEXT($J652,"yyyy-mm-dd")&amp;"|"&amp;$V652&amp;"|"&amp;$W652,'CALENDARIO'!$G$15:$G$214,0)),IFERROR(INDEX('CALENDARIO'!$C$15:$C$214,MATCH(TEXT($J652,"yyyy-mm-dd")&amp;"|"&amp;$V652&amp;"|",'CALENDARIO'!$G$15:$G$214,0)),IFERROR(INDEX('CALENDARIO'!$C$15:$C$214,MATCH(TEXT($J652,"yyyy-mm-dd")&amp;"||",'CALENDARIO'!$G$15:$G$214,0)),INDEX(patronHabil,WEEKDAY($J652,2))))))</f>
        <v/>
      </c>
      <c r="T652" s="3">
        <f>IF($I652="","",IFERROR(INDEX('CAT_TIPOS_OT'!$C$4:$C$7,MATCH($I652,'CAT_TIPOS_OT'!$A$4:$A$7,0)),"sin_clasificar"))</f>
        <v/>
      </c>
      <c r="U652" s="3">
        <f>IF($F652="","",IFERROR(INDEX('CAT_CENTROS_COSTO'!$F$4:$F$13,MATCH($F652,'CAT_CENTROS_COSTO'!$A$4:$A$13,0)),"(sin catálogo)"))</f>
        <v/>
      </c>
      <c r="V652" s="3">
        <f>IF($F652="","",IFERROR(INDEX('CAT_CENTROS_COSTO'!$D$4:$D$13,MATCH($F652,'CAT_CENTROS_COSTO'!$A$4:$A$13,0)),"(sin catálogo)"))</f>
        <v/>
      </c>
      <c r="W652" s="3">
        <f>IF($F652="","",IF((IFERROR(INDEX('CAT_CENTROS_COSTO'!$E$4:$E$13,MATCH($F652,'CAT_CENTROS_COSTO'!$A$4:$A$13,0)),""))&lt;&gt;"",IFERROR(INDEX('CAT_CENTROS_COSTO'!$E$4:$E$13,MATCH($F652,'CAT_CENTROS_COSTO'!$A$4:$A$13,0)),""),$V652))</f>
        <v/>
      </c>
      <c r="X652" s="3">
        <f>IF($F652="","",IFERROR(INDEX('CAT_CENTROS_COSTO'!$G$4:$G$13,MATCH($F652,'CAT_CENTROS_COSTO'!$A$4:$A$13,0)),"(sin catálogo)"))</f>
        <v/>
      </c>
      <c r="Y652" s="3">
        <f>IF($G652="","",IFERROR(INDEX('CAT_PUESTOS'!$B$4:$B$8,MATCH($G652,'CAT_PUESTOS'!$A$4:$A$8,0)),"(sin catálogo)"))</f>
        <v/>
      </c>
      <c r="Z652" s="3">
        <f>IF($H652="","",IFERROR(INDEX('CAT_ACTIVIDADES'!$B$4:$B$8,MATCH($H652,'CAT_ACTIVIDADES'!$A$4:$A$8,0)),"(sin catálogo)"))</f>
        <v/>
      </c>
      <c r="AA652" s="12">
        <f>IF($J652="","",TODAY()-$J652)</f>
        <v/>
      </c>
      <c r="AB652" s="12">
        <f>IF($J652="","",IF($J652&lt;=TODAY(),COUNTIFS(cal_fechas,"&gt;="&amp;$J652,cal_fechas,"&lt;"&amp;TODAY(),cal_habil,"sí"),-COUNTIFS(cal_fechas,"&gt;="&amp;TODAY(),cal_fechas,"&lt;"&amp;$J652,cal_habil,"sí")))</f>
        <v/>
      </c>
      <c r="AC652" s="3">
        <f>IF($AB652="","",IF($AB652&lt;0,"FUTURO",IF($AB652&gt;p_dias_backlog_max,"BACKLOG","MES CORRIENTE")))</f>
        <v/>
      </c>
      <c r="AD652" s="3">
        <f>IF($AB652="",FALSE,AND($AB652&gt;p_dias_backlog_min,$AB652&lt;=p_dias_backlog_max))</f>
        <v/>
      </c>
      <c r="AE652" s="6" t="n"/>
      <c r="AF652" s="3">
        <f>IF($AE652="","",IF((IFERROR(INDEX('ASIGNACIONES'!$F$4:$F$339,MATCH($O652&amp;"|"&amp;$R652&amp;"|"&amp;$AE652,'ASIGNACIONES'!$J$4:$J$339,0)),""))=0,"",IFERROR(INDEX('ASIGNACIONES'!$F$4:$F$339,MATCH($O652&amp;"|"&amp;$R652&amp;"|"&amp;$AE652,'ASIGNACIONES'!$J$4:$J$339,0)),"")))</f>
        <v/>
      </c>
      <c r="AG652" s="13">
        <f>IF($AE652="","",SUMIFS('ORDENES'!$M$4:$M$1203,'ORDENES'!$AE$4:$AE$1203,$AE652,'ORDENES'!$O$4:$O$1203,$O652,'ORDENES'!$R$4:$R$1203,$R652))</f>
        <v/>
      </c>
      <c r="AH652" s="13">
        <f>IF($AG652="","",p_factor_productividad*IFERROR(INDEX('ASIGNACIONES'!$I$4:$I$339,MATCH($O652&amp;"|"&amp;$R652&amp;"|"&amp;$AE652,'ASIGNACIONES'!$J$4:$J$339,0)),0)-$AG652)</f>
        <v/>
      </c>
      <c r="AI652" s="10">
        <f>IF($A652="","",IFERROR(INDEX('2_IMPORTAR_EJECUCION'!$F$9:$F$1208,MATCH($AQ652,'2_IMPORTAR_EJECUCION'!$J$9:$J$1208,0)),0))</f>
        <v/>
      </c>
      <c r="AJ652" s="10">
        <f>IF($A652="","",MAX(0,IFERROR(INDEX('2_IMPORTAR_EJECUCION'!$H$9:$H$1208,MATCH($AQ652,'2_IMPORTAR_EJECUCION'!$J$9:$J$1208,0)),0)-$AI652))</f>
        <v/>
      </c>
      <c r="AK652" s="10">
        <f>IF($A652="","",$AI652+$AJ652)</f>
        <v/>
      </c>
      <c r="AL652" s="6" t="n"/>
      <c r="AM652" s="6" t="n"/>
      <c r="AN652" s="6" t="n"/>
      <c r="AO652" s="3">
        <f>IF($AN652="","",HYPERLINK(p_ruta_base_checklists&amp;$AN652,"abrir"))</f>
        <v/>
      </c>
      <c r="AP652" s="6" t="n"/>
      <c r="AQ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IF($A653="","",IFERROR(INDEX('AJUSTES'!$B$4:$B$303,MATCH($AQ653,'AJUSTES'!$A$4:$A$303,0)),IF($K653="","",$K653)))</f>
        <v/>
      </c>
      <c r="N653" s="3">
        <f>IF($A653="","",IFERROR(INDEX('CAT_ESTADOS_ERP'!$B$4:$B$7,MATCH(IFERROR(INDEX('2_IMPORTAR_EJECUCION'!$C$9:$C$1208,MATCH($AQ653,'2_IMPORTAR_EJECUCION'!$J$9:$J$1208,0)),""),'CAT_ESTADOS_ERP'!$A$4:$A$7,0)),"Pendiente"))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J653="","",IFERROR(INDEX('CALENDARIO'!$C$15:$C$214,MATCH(TEXT($J653,"yyyy-mm-dd")&amp;"|"&amp;$V653&amp;"|"&amp;$W653,'CALENDARIO'!$G$15:$G$214,0)),IFERROR(INDEX('CALENDARIO'!$C$15:$C$214,MATCH(TEXT($J653,"yyyy-mm-dd")&amp;"|"&amp;$V653&amp;"|",'CALENDARIO'!$G$15:$G$214,0)),IFERROR(INDEX('CALENDARIO'!$C$15:$C$214,MATCH(TEXT($J653,"yyyy-mm-dd")&amp;"||",'CALENDARIO'!$G$15:$G$214,0)),INDEX(patronHabil,WEEKDAY($J653,2))))))</f>
        <v/>
      </c>
      <c r="T653" s="3">
        <f>IF($I653="","",IFERROR(INDEX('CAT_TIPOS_OT'!$C$4:$C$7,MATCH($I653,'CAT_TIPOS_OT'!$A$4:$A$7,0)),"sin_clasificar"))</f>
        <v/>
      </c>
      <c r="U653" s="3">
        <f>IF($F653="","",IFERROR(INDEX('CAT_CENTROS_COSTO'!$F$4:$F$13,MATCH($F653,'CAT_CENTROS_COSTO'!$A$4:$A$13,0)),"(sin catálogo)"))</f>
        <v/>
      </c>
      <c r="V653" s="3">
        <f>IF($F653="","",IFERROR(INDEX('CAT_CENTROS_COSTO'!$D$4:$D$13,MATCH($F653,'CAT_CENTROS_COSTO'!$A$4:$A$13,0)),"(sin catálogo)"))</f>
        <v/>
      </c>
      <c r="W653" s="3">
        <f>IF($F653="","",IF((IFERROR(INDEX('CAT_CENTROS_COSTO'!$E$4:$E$13,MATCH($F653,'CAT_CENTROS_COSTO'!$A$4:$A$13,0)),""))&lt;&gt;"",IFERROR(INDEX('CAT_CENTROS_COSTO'!$E$4:$E$13,MATCH($F653,'CAT_CENTROS_COSTO'!$A$4:$A$13,0)),""),$V653))</f>
        <v/>
      </c>
      <c r="X653" s="3">
        <f>IF($F653="","",IFERROR(INDEX('CAT_CENTROS_COSTO'!$G$4:$G$13,MATCH($F653,'CAT_CENTROS_COSTO'!$A$4:$A$13,0)),"(sin catálogo)"))</f>
        <v/>
      </c>
      <c r="Y653" s="3">
        <f>IF($G653="","",IFERROR(INDEX('CAT_PUESTOS'!$B$4:$B$8,MATCH($G653,'CAT_PUESTOS'!$A$4:$A$8,0)),"(sin catálogo)"))</f>
        <v/>
      </c>
      <c r="Z653" s="3">
        <f>IF($H653="","",IFERROR(INDEX('CAT_ACTIVIDADES'!$B$4:$B$8,MATCH($H653,'CAT_ACTIVIDADES'!$A$4:$A$8,0)),"(sin catálogo)"))</f>
        <v/>
      </c>
      <c r="AA653" s="12">
        <f>IF($J653="","",TODAY()-$J653)</f>
        <v/>
      </c>
      <c r="AB653" s="12">
        <f>IF($J653="","",IF($J653&lt;=TODAY(),COUNTIFS(cal_fechas,"&gt;="&amp;$J653,cal_fechas,"&lt;"&amp;TODAY(),cal_habil,"sí"),-COUNTIFS(cal_fechas,"&gt;="&amp;TODAY(),cal_fechas,"&lt;"&amp;$J653,cal_habil,"sí")))</f>
        <v/>
      </c>
      <c r="AC653" s="3">
        <f>IF($AB653="","",IF($AB653&lt;0,"FUTURO",IF($AB653&gt;p_dias_backlog_max,"BACKLOG","MES CORRIENTE")))</f>
        <v/>
      </c>
      <c r="AD653" s="3">
        <f>IF($AB653="",FALSE,AND($AB653&gt;p_dias_backlog_min,$AB653&lt;=p_dias_backlog_max))</f>
        <v/>
      </c>
      <c r="AE653" s="6" t="n"/>
      <c r="AF653" s="3">
        <f>IF($AE653="","",IF((IFERROR(INDEX('ASIGNACIONES'!$F$4:$F$339,MATCH($O653&amp;"|"&amp;$R653&amp;"|"&amp;$AE653,'ASIGNACIONES'!$J$4:$J$339,0)),""))=0,"",IFERROR(INDEX('ASIGNACIONES'!$F$4:$F$339,MATCH($O653&amp;"|"&amp;$R653&amp;"|"&amp;$AE653,'ASIGNACIONES'!$J$4:$J$339,0)),"")))</f>
        <v/>
      </c>
      <c r="AG653" s="13">
        <f>IF($AE653="","",SUMIFS('ORDENES'!$M$4:$M$1203,'ORDENES'!$AE$4:$AE$1203,$AE653,'ORDENES'!$O$4:$O$1203,$O653,'ORDENES'!$R$4:$R$1203,$R653))</f>
        <v/>
      </c>
      <c r="AH653" s="13">
        <f>IF($AG653="","",p_factor_productividad*IFERROR(INDEX('ASIGNACIONES'!$I$4:$I$339,MATCH($O653&amp;"|"&amp;$R653&amp;"|"&amp;$AE653,'ASIGNACIONES'!$J$4:$J$339,0)),0)-$AG653)</f>
        <v/>
      </c>
      <c r="AI653" s="10">
        <f>IF($A653="","",IFERROR(INDEX('2_IMPORTAR_EJECUCION'!$F$9:$F$1208,MATCH($AQ653,'2_IMPORTAR_EJECUCION'!$J$9:$J$1208,0)),0))</f>
        <v/>
      </c>
      <c r="AJ653" s="10">
        <f>IF($A653="","",MAX(0,IFERROR(INDEX('2_IMPORTAR_EJECUCION'!$H$9:$H$1208,MATCH($AQ653,'2_IMPORTAR_EJECUCION'!$J$9:$J$1208,0)),0)-$AI653))</f>
        <v/>
      </c>
      <c r="AK653" s="10">
        <f>IF($A653="","",$AI653+$AJ653)</f>
        <v/>
      </c>
      <c r="AL653" s="6" t="n"/>
      <c r="AM653" s="6" t="n"/>
      <c r="AN653" s="6" t="n"/>
      <c r="AO653" s="3">
        <f>IF($AN653="","",HYPERLINK(p_ruta_base_checklists&amp;$AN653,"abrir"))</f>
        <v/>
      </c>
      <c r="AP653" s="6" t="n"/>
      <c r="AQ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IF($A654="","",IFERROR(INDEX('AJUSTES'!$B$4:$B$303,MATCH($AQ654,'AJUSTES'!$A$4:$A$303,0)),IF($K654="","",$K654)))</f>
        <v/>
      </c>
      <c r="N654" s="3">
        <f>IF($A654="","",IFERROR(INDEX('CAT_ESTADOS_ERP'!$B$4:$B$7,MATCH(IFERROR(INDEX('2_IMPORTAR_EJECUCION'!$C$9:$C$1208,MATCH($AQ654,'2_IMPORTAR_EJECUCION'!$J$9:$J$1208,0)),""),'CAT_ESTADOS_ERP'!$A$4:$A$7,0)),"Pendiente"))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J654="","",IFERROR(INDEX('CALENDARIO'!$C$15:$C$214,MATCH(TEXT($J654,"yyyy-mm-dd")&amp;"|"&amp;$V654&amp;"|"&amp;$W654,'CALENDARIO'!$G$15:$G$214,0)),IFERROR(INDEX('CALENDARIO'!$C$15:$C$214,MATCH(TEXT($J654,"yyyy-mm-dd")&amp;"|"&amp;$V654&amp;"|",'CALENDARIO'!$G$15:$G$214,0)),IFERROR(INDEX('CALENDARIO'!$C$15:$C$214,MATCH(TEXT($J654,"yyyy-mm-dd")&amp;"||",'CALENDARIO'!$G$15:$G$214,0)),INDEX(patronHabil,WEEKDAY($J654,2))))))</f>
        <v/>
      </c>
      <c r="T654" s="3">
        <f>IF($I654="","",IFERROR(INDEX('CAT_TIPOS_OT'!$C$4:$C$7,MATCH($I654,'CAT_TIPOS_OT'!$A$4:$A$7,0)),"sin_clasificar"))</f>
        <v/>
      </c>
      <c r="U654" s="3">
        <f>IF($F654="","",IFERROR(INDEX('CAT_CENTROS_COSTO'!$F$4:$F$13,MATCH($F654,'CAT_CENTROS_COSTO'!$A$4:$A$13,0)),"(sin catálogo)"))</f>
        <v/>
      </c>
      <c r="V654" s="3">
        <f>IF($F654="","",IFERROR(INDEX('CAT_CENTROS_COSTO'!$D$4:$D$13,MATCH($F654,'CAT_CENTROS_COSTO'!$A$4:$A$13,0)),"(sin catálogo)"))</f>
        <v/>
      </c>
      <c r="W654" s="3">
        <f>IF($F654="","",IF((IFERROR(INDEX('CAT_CENTROS_COSTO'!$E$4:$E$13,MATCH($F654,'CAT_CENTROS_COSTO'!$A$4:$A$13,0)),""))&lt;&gt;"",IFERROR(INDEX('CAT_CENTROS_COSTO'!$E$4:$E$13,MATCH($F654,'CAT_CENTROS_COSTO'!$A$4:$A$13,0)),""),$V654))</f>
        <v/>
      </c>
      <c r="X654" s="3">
        <f>IF($F654="","",IFERROR(INDEX('CAT_CENTROS_COSTO'!$G$4:$G$13,MATCH($F654,'CAT_CENTROS_COSTO'!$A$4:$A$13,0)),"(sin catálogo)"))</f>
        <v/>
      </c>
      <c r="Y654" s="3">
        <f>IF($G654="","",IFERROR(INDEX('CAT_PUESTOS'!$B$4:$B$8,MATCH($G654,'CAT_PUESTOS'!$A$4:$A$8,0)),"(sin catálogo)"))</f>
        <v/>
      </c>
      <c r="Z654" s="3">
        <f>IF($H654="","",IFERROR(INDEX('CAT_ACTIVIDADES'!$B$4:$B$8,MATCH($H654,'CAT_ACTIVIDADES'!$A$4:$A$8,0)),"(sin catálogo)"))</f>
        <v/>
      </c>
      <c r="AA654" s="12">
        <f>IF($J654="","",TODAY()-$J654)</f>
        <v/>
      </c>
      <c r="AB654" s="12">
        <f>IF($J654="","",IF($J654&lt;=TODAY(),COUNTIFS(cal_fechas,"&gt;="&amp;$J654,cal_fechas,"&lt;"&amp;TODAY(),cal_habil,"sí"),-COUNTIFS(cal_fechas,"&gt;="&amp;TODAY(),cal_fechas,"&lt;"&amp;$J654,cal_habil,"sí")))</f>
        <v/>
      </c>
      <c r="AC654" s="3">
        <f>IF($AB654="","",IF($AB654&lt;0,"FUTURO",IF($AB654&gt;p_dias_backlog_max,"BACKLOG","MES CORRIENTE")))</f>
        <v/>
      </c>
      <c r="AD654" s="3">
        <f>IF($AB654="",FALSE,AND($AB654&gt;p_dias_backlog_min,$AB654&lt;=p_dias_backlog_max))</f>
        <v/>
      </c>
      <c r="AE654" s="6" t="n"/>
      <c r="AF654" s="3">
        <f>IF($AE654="","",IF((IFERROR(INDEX('ASIGNACIONES'!$F$4:$F$339,MATCH($O654&amp;"|"&amp;$R654&amp;"|"&amp;$AE654,'ASIGNACIONES'!$J$4:$J$339,0)),""))=0,"",IFERROR(INDEX('ASIGNACIONES'!$F$4:$F$339,MATCH($O654&amp;"|"&amp;$R654&amp;"|"&amp;$AE654,'ASIGNACIONES'!$J$4:$J$339,0)),"")))</f>
        <v/>
      </c>
      <c r="AG654" s="13">
        <f>IF($AE654="","",SUMIFS('ORDENES'!$M$4:$M$1203,'ORDENES'!$AE$4:$AE$1203,$AE654,'ORDENES'!$O$4:$O$1203,$O654,'ORDENES'!$R$4:$R$1203,$R654))</f>
        <v/>
      </c>
      <c r="AH654" s="13">
        <f>IF($AG654="","",p_factor_productividad*IFERROR(INDEX('ASIGNACIONES'!$I$4:$I$339,MATCH($O654&amp;"|"&amp;$R654&amp;"|"&amp;$AE654,'ASIGNACIONES'!$J$4:$J$339,0)),0)-$AG654)</f>
        <v/>
      </c>
      <c r="AI654" s="10">
        <f>IF($A654="","",IFERROR(INDEX('2_IMPORTAR_EJECUCION'!$F$9:$F$1208,MATCH($AQ654,'2_IMPORTAR_EJECUCION'!$J$9:$J$1208,0)),0))</f>
        <v/>
      </c>
      <c r="AJ654" s="10">
        <f>IF($A654="","",MAX(0,IFERROR(INDEX('2_IMPORTAR_EJECUCION'!$H$9:$H$1208,MATCH($AQ654,'2_IMPORTAR_EJECUCION'!$J$9:$J$1208,0)),0)-$AI654))</f>
        <v/>
      </c>
      <c r="AK654" s="10">
        <f>IF($A654="","",$AI654+$AJ654)</f>
        <v/>
      </c>
      <c r="AL654" s="6" t="n"/>
      <c r="AM654" s="6" t="n"/>
      <c r="AN654" s="6" t="n"/>
      <c r="AO654" s="3">
        <f>IF($AN654="","",HYPERLINK(p_ruta_base_checklists&amp;$AN654,"abrir"))</f>
        <v/>
      </c>
      <c r="AP654" s="6" t="n"/>
      <c r="AQ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IF($A655="","",IFERROR(INDEX('AJUSTES'!$B$4:$B$303,MATCH($AQ655,'AJUSTES'!$A$4:$A$303,0)),IF($K655="","",$K655)))</f>
        <v/>
      </c>
      <c r="N655" s="3">
        <f>IF($A655="","",IFERROR(INDEX('CAT_ESTADOS_ERP'!$B$4:$B$7,MATCH(IFERROR(INDEX('2_IMPORTAR_EJECUCION'!$C$9:$C$1208,MATCH($AQ655,'2_IMPORTAR_EJECUCION'!$J$9:$J$1208,0)),""),'CAT_ESTADOS_ERP'!$A$4:$A$7,0)),"Pendiente"))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J655="","",IFERROR(INDEX('CALENDARIO'!$C$15:$C$214,MATCH(TEXT($J655,"yyyy-mm-dd")&amp;"|"&amp;$V655&amp;"|"&amp;$W655,'CALENDARIO'!$G$15:$G$214,0)),IFERROR(INDEX('CALENDARIO'!$C$15:$C$214,MATCH(TEXT($J655,"yyyy-mm-dd")&amp;"|"&amp;$V655&amp;"|",'CALENDARIO'!$G$15:$G$214,0)),IFERROR(INDEX('CALENDARIO'!$C$15:$C$214,MATCH(TEXT($J655,"yyyy-mm-dd")&amp;"||",'CALENDARIO'!$G$15:$G$214,0)),INDEX(patronHabil,WEEKDAY($J655,2))))))</f>
        <v/>
      </c>
      <c r="T655" s="3">
        <f>IF($I655="","",IFERROR(INDEX('CAT_TIPOS_OT'!$C$4:$C$7,MATCH($I655,'CAT_TIPOS_OT'!$A$4:$A$7,0)),"sin_clasificar"))</f>
        <v/>
      </c>
      <c r="U655" s="3">
        <f>IF($F655="","",IFERROR(INDEX('CAT_CENTROS_COSTO'!$F$4:$F$13,MATCH($F655,'CAT_CENTROS_COSTO'!$A$4:$A$13,0)),"(sin catálogo)"))</f>
        <v/>
      </c>
      <c r="V655" s="3">
        <f>IF($F655="","",IFERROR(INDEX('CAT_CENTROS_COSTO'!$D$4:$D$13,MATCH($F655,'CAT_CENTROS_COSTO'!$A$4:$A$13,0)),"(sin catálogo)"))</f>
        <v/>
      </c>
      <c r="W655" s="3">
        <f>IF($F655="","",IF((IFERROR(INDEX('CAT_CENTROS_COSTO'!$E$4:$E$13,MATCH($F655,'CAT_CENTROS_COSTO'!$A$4:$A$13,0)),""))&lt;&gt;"",IFERROR(INDEX('CAT_CENTROS_COSTO'!$E$4:$E$13,MATCH($F655,'CAT_CENTROS_COSTO'!$A$4:$A$13,0)),""),$V655))</f>
        <v/>
      </c>
      <c r="X655" s="3">
        <f>IF($F655="","",IFERROR(INDEX('CAT_CENTROS_COSTO'!$G$4:$G$13,MATCH($F655,'CAT_CENTROS_COSTO'!$A$4:$A$13,0)),"(sin catálogo)"))</f>
        <v/>
      </c>
      <c r="Y655" s="3">
        <f>IF($G655="","",IFERROR(INDEX('CAT_PUESTOS'!$B$4:$B$8,MATCH($G655,'CAT_PUESTOS'!$A$4:$A$8,0)),"(sin catálogo)"))</f>
        <v/>
      </c>
      <c r="Z655" s="3">
        <f>IF($H655="","",IFERROR(INDEX('CAT_ACTIVIDADES'!$B$4:$B$8,MATCH($H655,'CAT_ACTIVIDADES'!$A$4:$A$8,0)),"(sin catálogo)"))</f>
        <v/>
      </c>
      <c r="AA655" s="12">
        <f>IF($J655="","",TODAY()-$J655)</f>
        <v/>
      </c>
      <c r="AB655" s="12">
        <f>IF($J655="","",IF($J655&lt;=TODAY(),COUNTIFS(cal_fechas,"&gt;="&amp;$J655,cal_fechas,"&lt;"&amp;TODAY(),cal_habil,"sí"),-COUNTIFS(cal_fechas,"&gt;="&amp;TODAY(),cal_fechas,"&lt;"&amp;$J655,cal_habil,"sí")))</f>
        <v/>
      </c>
      <c r="AC655" s="3">
        <f>IF($AB655="","",IF($AB655&lt;0,"FUTURO",IF($AB655&gt;p_dias_backlog_max,"BACKLOG","MES CORRIENTE")))</f>
        <v/>
      </c>
      <c r="AD655" s="3">
        <f>IF($AB655="",FALSE,AND($AB655&gt;p_dias_backlog_min,$AB655&lt;=p_dias_backlog_max))</f>
        <v/>
      </c>
      <c r="AE655" s="6" t="n"/>
      <c r="AF655" s="3">
        <f>IF($AE655="","",IF((IFERROR(INDEX('ASIGNACIONES'!$F$4:$F$339,MATCH($O655&amp;"|"&amp;$R655&amp;"|"&amp;$AE655,'ASIGNACIONES'!$J$4:$J$339,0)),""))=0,"",IFERROR(INDEX('ASIGNACIONES'!$F$4:$F$339,MATCH($O655&amp;"|"&amp;$R655&amp;"|"&amp;$AE655,'ASIGNACIONES'!$J$4:$J$339,0)),"")))</f>
        <v/>
      </c>
      <c r="AG655" s="13">
        <f>IF($AE655="","",SUMIFS('ORDENES'!$M$4:$M$1203,'ORDENES'!$AE$4:$AE$1203,$AE655,'ORDENES'!$O$4:$O$1203,$O655,'ORDENES'!$R$4:$R$1203,$R655))</f>
        <v/>
      </c>
      <c r="AH655" s="13">
        <f>IF($AG655="","",p_factor_productividad*IFERROR(INDEX('ASIGNACIONES'!$I$4:$I$339,MATCH($O655&amp;"|"&amp;$R655&amp;"|"&amp;$AE655,'ASIGNACIONES'!$J$4:$J$339,0)),0)-$AG655)</f>
        <v/>
      </c>
      <c r="AI655" s="10">
        <f>IF($A655="","",IFERROR(INDEX('2_IMPORTAR_EJECUCION'!$F$9:$F$1208,MATCH($AQ655,'2_IMPORTAR_EJECUCION'!$J$9:$J$1208,0)),0))</f>
        <v/>
      </c>
      <c r="AJ655" s="10">
        <f>IF($A655="","",MAX(0,IFERROR(INDEX('2_IMPORTAR_EJECUCION'!$H$9:$H$1208,MATCH($AQ655,'2_IMPORTAR_EJECUCION'!$J$9:$J$1208,0)),0)-$AI655))</f>
        <v/>
      </c>
      <c r="AK655" s="10">
        <f>IF($A655="","",$AI655+$AJ655)</f>
        <v/>
      </c>
      <c r="AL655" s="6" t="n"/>
      <c r="AM655" s="6" t="n"/>
      <c r="AN655" s="6" t="n"/>
      <c r="AO655" s="3">
        <f>IF($AN655="","",HYPERLINK(p_ruta_base_checklists&amp;$AN655,"abrir"))</f>
        <v/>
      </c>
      <c r="AP655" s="6" t="n"/>
      <c r="AQ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IF($A656="","",IFERROR(INDEX('AJUSTES'!$B$4:$B$303,MATCH($AQ656,'AJUSTES'!$A$4:$A$303,0)),IF($K656="","",$K656)))</f>
        <v/>
      </c>
      <c r="N656" s="3">
        <f>IF($A656="","",IFERROR(INDEX('CAT_ESTADOS_ERP'!$B$4:$B$7,MATCH(IFERROR(INDEX('2_IMPORTAR_EJECUCION'!$C$9:$C$1208,MATCH($AQ656,'2_IMPORTAR_EJECUCION'!$J$9:$J$1208,0)),""),'CAT_ESTADOS_ERP'!$A$4:$A$7,0)),"Pendiente"))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J656="","",IFERROR(INDEX('CALENDARIO'!$C$15:$C$214,MATCH(TEXT($J656,"yyyy-mm-dd")&amp;"|"&amp;$V656&amp;"|"&amp;$W656,'CALENDARIO'!$G$15:$G$214,0)),IFERROR(INDEX('CALENDARIO'!$C$15:$C$214,MATCH(TEXT($J656,"yyyy-mm-dd")&amp;"|"&amp;$V656&amp;"|",'CALENDARIO'!$G$15:$G$214,0)),IFERROR(INDEX('CALENDARIO'!$C$15:$C$214,MATCH(TEXT($J656,"yyyy-mm-dd")&amp;"||",'CALENDARIO'!$G$15:$G$214,0)),INDEX(patronHabil,WEEKDAY($J656,2))))))</f>
        <v/>
      </c>
      <c r="T656" s="3">
        <f>IF($I656="","",IFERROR(INDEX('CAT_TIPOS_OT'!$C$4:$C$7,MATCH($I656,'CAT_TIPOS_OT'!$A$4:$A$7,0)),"sin_clasificar"))</f>
        <v/>
      </c>
      <c r="U656" s="3">
        <f>IF($F656="","",IFERROR(INDEX('CAT_CENTROS_COSTO'!$F$4:$F$13,MATCH($F656,'CAT_CENTROS_COSTO'!$A$4:$A$13,0)),"(sin catálogo)"))</f>
        <v/>
      </c>
      <c r="V656" s="3">
        <f>IF($F656="","",IFERROR(INDEX('CAT_CENTROS_COSTO'!$D$4:$D$13,MATCH($F656,'CAT_CENTROS_COSTO'!$A$4:$A$13,0)),"(sin catálogo)"))</f>
        <v/>
      </c>
      <c r="W656" s="3">
        <f>IF($F656="","",IF((IFERROR(INDEX('CAT_CENTROS_COSTO'!$E$4:$E$13,MATCH($F656,'CAT_CENTROS_COSTO'!$A$4:$A$13,0)),""))&lt;&gt;"",IFERROR(INDEX('CAT_CENTROS_COSTO'!$E$4:$E$13,MATCH($F656,'CAT_CENTROS_COSTO'!$A$4:$A$13,0)),""),$V656))</f>
        <v/>
      </c>
      <c r="X656" s="3">
        <f>IF($F656="","",IFERROR(INDEX('CAT_CENTROS_COSTO'!$G$4:$G$13,MATCH($F656,'CAT_CENTROS_COSTO'!$A$4:$A$13,0)),"(sin catálogo)"))</f>
        <v/>
      </c>
      <c r="Y656" s="3">
        <f>IF($G656="","",IFERROR(INDEX('CAT_PUESTOS'!$B$4:$B$8,MATCH($G656,'CAT_PUESTOS'!$A$4:$A$8,0)),"(sin catálogo)"))</f>
        <v/>
      </c>
      <c r="Z656" s="3">
        <f>IF($H656="","",IFERROR(INDEX('CAT_ACTIVIDADES'!$B$4:$B$8,MATCH($H656,'CAT_ACTIVIDADES'!$A$4:$A$8,0)),"(sin catálogo)"))</f>
        <v/>
      </c>
      <c r="AA656" s="12">
        <f>IF($J656="","",TODAY()-$J656)</f>
        <v/>
      </c>
      <c r="AB656" s="12">
        <f>IF($J656="","",IF($J656&lt;=TODAY(),COUNTIFS(cal_fechas,"&gt;="&amp;$J656,cal_fechas,"&lt;"&amp;TODAY(),cal_habil,"sí"),-COUNTIFS(cal_fechas,"&gt;="&amp;TODAY(),cal_fechas,"&lt;"&amp;$J656,cal_habil,"sí")))</f>
        <v/>
      </c>
      <c r="AC656" s="3">
        <f>IF($AB656="","",IF($AB656&lt;0,"FUTURO",IF($AB656&gt;p_dias_backlog_max,"BACKLOG","MES CORRIENTE")))</f>
        <v/>
      </c>
      <c r="AD656" s="3">
        <f>IF($AB656="",FALSE,AND($AB656&gt;p_dias_backlog_min,$AB656&lt;=p_dias_backlog_max))</f>
        <v/>
      </c>
      <c r="AE656" s="6" t="n"/>
      <c r="AF656" s="3">
        <f>IF($AE656="","",IF((IFERROR(INDEX('ASIGNACIONES'!$F$4:$F$339,MATCH($O656&amp;"|"&amp;$R656&amp;"|"&amp;$AE656,'ASIGNACIONES'!$J$4:$J$339,0)),""))=0,"",IFERROR(INDEX('ASIGNACIONES'!$F$4:$F$339,MATCH($O656&amp;"|"&amp;$R656&amp;"|"&amp;$AE656,'ASIGNACIONES'!$J$4:$J$339,0)),"")))</f>
        <v/>
      </c>
      <c r="AG656" s="13">
        <f>IF($AE656="","",SUMIFS('ORDENES'!$M$4:$M$1203,'ORDENES'!$AE$4:$AE$1203,$AE656,'ORDENES'!$O$4:$O$1203,$O656,'ORDENES'!$R$4:$R$1203,$R656))</f>
        <v/>
      </c>
      <c r="AH656" s="13">
        <f>IF($AG656="","",p_factor_productividad*IFERROR(INDEX('ASIGNACIONES'!$I$4:$I$339,MATCH($O656&amp;"|"&amp;$R656&amp;"|"&amp;$AE656,'ASIGNACIONES'!$J$4:$J$339,0)),0)-$AG656)</f>
        <v/>
      </c>
      <c r="AI656" s="10">
        <f>IF($A656="","",IFERROR(INDEX('2_IMPORTAR_EJECUCION'!$F$9:$F$1208,MATCH($AQ656,'2_IMPORTAR_EJECUCION'!$J$9:$J$1208,0)),0))</f>
        <v/>
      </c>
      <c r="AJ656" s="10">
        <f>IF($A656="","",MAX(0,IFERROR(INDEX('2_IMPORTAR_EJECUCION'!$H$9:$H$1208,MATCH($AQ656,'2_IMPORTAR_EJECUCION'!$J$9:$J$1208,0)),0)-$AI656))</f>
        <v/>
      </c>
      <c r="AK656" s="10">
        <f>IF($A656="","",$AI656+$AJ656)</f>
        <v/>
      </c>
      <c r="AL656" s="6" t="n"/>
      <c r="AM656" s="6" t="n"/>
      <c r="AN656" s="6" t="n"/>
      <c r="AO656" s="3">
        <f>IF($AN656="","",HYPERLINK(p_ruta_base_checklists&amp;$AN656,"abrir"))</f>
        <v/>
      </c>
      <c r="AP656" s="6" t="n"/>
      <c r="AQ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IF($A657="","",IFERROR(INDEX('AJUSTES'!$B$4:$B$303,MATCH($AQ657,'AJUSTES'!$A$4:$A$303,0)),IF($K657="","",$K657)))</f>
        <v/>
      </c>
      <c r="N657" s="3">
        <f>IF($A657="","",IFERROR(INDEX('CAT_ESTADOS_ERP'!$B$4:$B$7,MATCH(IFERROR(INDEX('2_IMPORTAR_EJECUCION'!$C$9:$C$1208,MATCH($AQ657,'2_IMPORTAR_EJECUCION'!$J$9:$J$1208,0)),""),'CAT_ESTADOS_ERP'!$A$4:$A$7,0)),"Pendiente"))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J657="","",IFERROR(INDEX('CALENDARIO'!$C$15:$C$214,MATCH(TEXT($J657,"yyyy-mm-dd")&amp;"|"&amp;$V657&amp;"|"&amp;$W657,'CALENDARIO'!$G$15:$G$214,0)),IFERROR(INDEX('CALENDARIO'!$C$15:$C$214,MATCH(TEXT($J657,"yyyy-mm-dd")&amp;"|"&amp;$V657&amp;"|",'CALENDARIO'!$G$15:$G$214,0)),IFERROR(INDEX('CALENDARIO'!$C$15:$C$214,MATCH(TEXT($J657,"yyyy-mm-dd")&amp;"||",'CALENDARIO'!$G$15:$G$214,0)),INDEX(patronHabil,WEEKDAY($J657,2))))))</f>
        <v/>
      </c>
      <c r="T657" s="3">
        <f>IF($I657="","",IFERROR(INDEX('CAT_TIPOS_OT'!$C$4:$C$7,MATCH($I657,'CAT_TIPOS_OT'!$A$4:$A$7,0)),"sin_clasificar"))</f>
        <v/>
      </c>
      <c r="U657" s="3">
        <f>IF($F657="","",IFERROR(INDEX('CAT_CENTROS_COSTO'!$F$4:$F$13,MATCH($F657,'CAT_CENTROS_COSTO'!$A$4:$A$13,0)),"(sin catálogo)"))</f>
        <v/>
      </c>
      <c r="V657" s="3">
        <f>IF($F657="","",IFERROR(INDEX('CAT_CENTROS_COSTO'!$D$4:$D$13,MATCH($F657,'CAT_CENTROS_COSTO'!$A$4:$A$13,0)),"(sin catálogo)"))</f>
        <v/>
      </c>
      <c r="W657" s="3">
        <f>IF($F657="","",IF((IFERROR(INDEX('CAT_CENTROS_COSTO'!$E$4:$E$13,MATCH($F657,'CAT_CENTROS_COSTO'!$A$4:$A$13,0)),""))&lt;&gt;"",IFERROR(INDEX('CAT_CENTROS_COSTO'!$E$4:$E$13,MATCH($F657,'CAT_CENTROS_COSTO'!$A$4:$A$13,0)),""),$V657))</f>
        <v/>
      </c>
      <c r="X657" s="3">
        <f>IF($F657="","",IFERROR(INDEX('CAT_CENTROS_COSTO'!$G$4:$G$13,MATCH($F657,'CAT_CENTROS_COSTO'!$A$4:$A$13,0)),"(sin catálogo)"))</f>
        <v/>
      </c>
      <c r="Y657" s="3">
        <f>IF($G657="","",IFERROR(INDEX('CAT_PUESTOS'!$B$4:$B$8,MATCH($G657,'CAT_PUESTOS'!$A$4:$A$8,0)),"(sin catálogo)"))</f>
        <v/>
      </c>
      <c r="Z657" s="3">
        <f>IF($H657="","",IFERROR(INDEX('CAT_ACTIVIDADES'!$B$4:$B$8,MATCH($H657,'CAT_ACTIVIDADES'!$A$4:$A$8,0)),"(sin catálogo)"))</f>
        <v/>
      </c>
      <c r="AA657" s="12">
        <f>IF($J657="","",TODAY()-$J657)</f>
        <v/>
      </c>
      <c r="AB657" s="12">
        <f>IF($J657="","",IF($J657&lt;=TODAY(),COUNTIFS(cal_fechas,"&gt;="&amp;$J657,cal_fechas,"&lt;"&amp;TODAY(),cal_habil,"sí"),-COUNTIFS(cal_fechas,"&gt;="&amp;TODAY(),cal_fechas,"&lt;"&amp;$J657,cal_habil,"sí")))</f>
        <v/>
      </c>
      <c r="AC657" s="3">
        <f>IF($AB657="","",IF($AB657&lt;0,"FUTURO",IF($AB657&gt;p_dias_backlog_max,"BACKLOG","MES CORRIENTE")))</f>
        <v/>
      </c>
      <c r="AD657" s="3">
        <f>IF($AB657="",FALSE,AND($AB657&gt;p_dias_backlog_min,$AB657&lt;=p_dias_backlog_max))</f>
        <v/>
      </c>
      <c r="AE657" s="6" t="n"/>
      <c r="AF657" s="3">
        <f>IF($AE657="","",IF((IFERROR(INDEX('ASIGNACIONES'!$F$4:$F$339,MATCH($O657&amp;"|"&amp;$R657&amp;"|"&amp;$AE657,'ASIGNACIONES'!$J$4:$J$339,0)),""))=0,"",IFERROR(INDEX('ASIGNACIONES'!$F$4:$F$339,MATCH($O657&amp;"|"&amp;$R657&amp;"|"&amp;$AE657,'ASIGNACIONES'!$J$4:$J$339,0)),"")))</f>
        <v/>
      </c>
      <c r="AG657" s="13">
        <f>IF($AE657="","",SUMIFS('ORDENES'!$M$4:$M$1203,'ORDENES'!$AE$4:$AE$1203,$AE657,'ORDENES'!$O$4:$O$1203,$O657,'ORDENES'!$R$4:$R$1203,$R657))</f>
        <v/>
      </c>
      <c r="AH657" s="13">
        <f>IF($AG657="","",p_factor_productividad*IFERROR(INDEX('ASIGNACIONES'!$I$4:$I$339,MATCH($O657&amp;"|"&amp;$R657&amp;"|"&amp;$AE657,'ASIGNACIONES'!$J$4:$J$339,0)),0)-$AG657)</f>
        <v/>
      </c>
      <c r="AI657" s="10">
        <f>IF($A657="","",IFERROR(INDEX('2_IMPORTAR_EJECUCION'!$F$9:$F$1208,MATCH($AQ657,'2_IMPORTAR_EJECUCION'!$J$9:$J$1208,0)),0))</f>
        <v/>
      </c>
      <c r="AJ657" s="10">
        <f>IF($A657="","",MAX(0,IFERROR(INDEX('2_IMPORTAR_EJECUCION'!$H$9:$H$1208,MATCH($AQ657,'2_IMPORTAR_EJECUCION'!$J$9:$J$1208,0)),0)-$AI657))</f>
        <v/>
      </c>
      <c r="AK657" s="10">
        <f>IF($A657="","",$AI657+$AJ657)</f>
        <v/>
      </c>
      <c r="AL657" s="6" t="n"/>
      <c r="AM657" s="6" t="n"/>
      <c r="AN657" s="6" t="n"/>
      <c r="AO657" s="3">
        <f>IF($AN657="","",HYPERLINK(p_ruta_base_checklists&amp;$AN657,"abrir"))</f>
        <v/>
      </c>
      <c r="AP657" s="6" t="n"/>
      <c r="AQ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IF($A658="","",IFERROR(INDEX('AJUSTES'!$B$4:$B$303,MATCH($AQ658,'AJUSTES'!$A$4:$A$303,0)),IF($K658="","",$K658)))</f>
        <v/>
      </c>
      <c r="N658" s="3">
        <f>IF($A658="","",IFERROR(INDEX('CAT_ESTADOS_ERP'!$B$4:$B$7,MATCH(IFERROR(INDEX('2_IMPORTAR_EJECUCION'!$C$9:$C$1208,MATCH($AQ658,'2_IMPORTAR_EJECUCION'!$J$9:$J$1208,0)),""),'CAT_ESTADOS_ERP'!$A$4:$A$7,0)),"Pendiente"))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J658="","",IFERROR(INDEX('CALENDARIO'!$C$15:$C$214,MATCH(TEXT($J658,"yyyy-mm-dd")&amp;"|"&amp;$V658&amp;"|"&amp;$W658,'CALENDARIO'!$G$15:$G$214,0)),IFERROR(INDEX('CALENDARIO'!$C$15:$C$214,MATCH(TEXT($J658,"yyyy-mm-dd")&amp;"|"&amp;$V658&amp;"|",'CALENDARIO'!$G$15:$G$214,0)),IFERROR(INDEX('CALENDARIO'!$C$15:$C$214,MATCH(TEXT($J658,"yyyy-mm-dd")&amp;"||",'CALENDARIO'!$G$15:$G$214,0)),INDEX(patronHabil,WEEKDAY($J658,2))))))</f>
        <v/>
      </c>
      <c r="T658" s="3">
        <f>IF($I658="","",IFERROR(INDEX('CAT_TIPOS_OT'!$C$4:$C$7,MATCH($I658,'CAT_TIPOS_OT'!$A$4:$A$7,0)),"sin_clasificar"))</f>
        <v/>
      </c>
      <c r="U658" s="3">
        <f>IF($F658="","",IFERROR(INDEX('CAT_CENTROS_COSTO'!$F$4:$F$13,MATCH($F658,'CAT_CENTROS_COSTO'!$A$4:$A$13,0)),"(sin catálogo)"))</f>
        <v/>
      </c>
      <c r="V658" s="3">
        <f>IF($F658="","",IFERROR(INDEX('CAT_CENTROS_COSTO'!$D$4:$D$13,MATCH($F658,'CAT_CENTROS_COSTO'!$A$4:$A$13,0)),"(sin catálogo)"))</f>
        <v/>
      </c>
      <c r="W658" s="3">
        <f>IF($F658="","",IF((IFERROR(INDEX('CAT_CENTROS_COSTO'!$E$4:$E$13,MATCH($F658,'CAT_CENTROS_COSTO'!$A$4:$A$13,0)),""))&lt;&gt;"",IFERROR(INDEX('CAT_CENTROS_COSTO'!$E$4:$E$13,MATCH($F658,'CAT_CENTROS_COSTO'!$A$4:$A$13,0)),""),$V658))</f>
        <v/>
      </c>
      <c r="X658" s="3">
        <f>IF($F658="","",IFERROR(INDEX('CAT_CENTROS_COSTO'!$G$4:$G$13,MATCH($F658,'CAT_CENTROS_COSTO'!$A$4:$A$13,0)),"(sin catálogo)"))</f>
        <v/>
      </c>
      <c r="Y658" s="3">
        <f>IF($G658="","",IFERROR(INDEX('CAT_PUESTOS'!$B$4:$B$8,MATCH($G658,'CAT_PUESTOS'!$A$4:$A$8,0)),"(sin catálogo)"))</f>
        <v/>
      </c>
      <c r="Z658" s="3">
        <f>IF($H658="","",IFERROR(INDEX('CAT_ACTIVIDADES'!$B$4:$B$8,MATCH($H658,'CAT_ACTIVIDADES'!$A$4:$A$8,0)),"(sin catálogo)"))</f>
        <v/>
      </c>
      <c r="AA658" s="12">
        <f>IF($J658="","",TODAY()-$J658)</f>
        <v/>
      </c>
      <c r="AB658" s="12">
        <f>IF($J658="","",IF($J658&lt;=TODAY(),COUNTIFS(cal_fechas,"&gt;="&amp;$J658,cal_fechas,"&lt;"&amp;TODAY(),cal_habil,"sí"),-COUNTIFS(cal_fechas,"&gt;="&amp;TODAY(),cal_fechas,"&lt;"&amp;$J658,cal_habil,"sí")))</f>
        <v/>
      </c>
      <c r="AC658" s="3">
        <f>IF($AB658="","",IF($AB658&lt;0,"FUTURO",IF($AB658&gt;p_dias_backlog_max,"BACKLOG","MES CORRIENTE")))</f>
        <v/>
      </c>
      <c r="AD658" s="3">
        <f>IF($AB658="",FALSE,AND($AB658&gt;p_dias_backlog_min,$AB658&lt;=p_dias_backlog_max))</f>
        <v/>
      </c>
      <c r="AE658" s="6" t="n"/>
      <c r="AF658" s="3">
        <f>IF($AE658="","",IF((IFERROR(INDEX('ASIGNACIONES'!$F$4:$F$339,MATCH($O658&amp;"|"&amp;$R658&amp;"|"&amp;$AE658,'ASIGNACIONES'!$J$4:$J$339,0)),""))=0,"",IFERROR(INDEX('ASIGNACIONES'!$F$4:$F$339,MATCH($O658&amp;"|"&amp;$R658&amp;"|"&amp;$AE658,'ASIGNACIONES'!$J$4:$J$339,0)),"")))</f>
        <v/>
      </c>
      <c r="AG658" s="13">
        <f>IF($AE658="","",SUMIFS('ORDENES'!$M$4:$M$1203,'ORDENES'!$AE$4:$AE$1203,$AE658,'ORDENES'!$O$4:$O$1203,$O658,'ORDENES'!$R$4:$R$1203,$R658))</f>
        <v/>
      </c>
      <c r="AH658" s="13">
        <f>IF($AG658="","",p_factor_productividad*IFERROR(INDEX('ASIGNACIONES'!$I$4:$I$339,MATCH($O658&amp;"|"&amp;$R658&amp;"|"&amp;$AE658,'ASIGNACIONES'!$J$4:$J$339,0)),0)-$AG658)</f>
        <v/>
      </c>
      <c r="AI658" s="10">
        <f>IF($A658="","",IFERROR(INDEX('2_IMPORTAR_EJECUCION'!$F$9:$F$1208,MATCH($AQ658,'2_IMPORTAR_EJECUCION'!$J$9:$J$1208,0)),0))</f>
        <v/>
      </c>
      <c r="AJ658" s="10">
        <f>IF($A658="","",MAX(0,IFERROR(INDEX('2_IMPORTAR_EJECUCION'!$H$9:$H$1208,MATCH($AQ658,'2_IMPORTAR_EJECUCION'!$J$9:$J$1208,0)),0)-$AI658))</f>
        <v/>
      </c>
      <c r="AK658" s="10">
        <f>IF($A658="","",$AI658+$AJ658)</f>
        <v/>
      </c>
      <c r="AL658" s="6" t="n"/>
      <c r="AM658" s="6" t="n"/>
      <c r="AN658" s="6" t="n"/>
      <c r="AO658" s="3">
        <f>IF($AN658="","",HYPERLINK(p_ruta_base_checklists&amp;$AN658,"abrir"))</f>
        <v/>
      </c>
      <c r="AP658" s="6" t="n"/>
      <c r="AQ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IF($A659="","",IFERROR(INDEX('AJUSTES'!$B$4:$B$303,MATCH($AQ659,'AJUSTES'!$A$4:$A$303,0)),IF($K659="","",$K659)))</f>
        <v/>
      </c>
      <c r="N659" s="3">
        <f>IF($A659="","",IFERROR(INDEX('CAT_ESTADOS_ERP'!$B$4:$B$7,MATCH(IFERROR(INDEX('2_IMPORTAR_EJECUCION'!$C$9:$C$1208,MATCH($AQ659,'2_IMPORTAR_EJECUCION'!$J$9:$J$1208,0)),""),'CAT_ESTADOS_ERP'!$A$4:$A$7,0)),"Pendiente"))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J659="","",IFERROR(INDEX('CALENDARIO'!$C$15:$C$214,MATCH(TEXT($J659,"yyyy-mm-dd")&amp;"|"&amp;$V659&amp;"|"&amp;$W659,'CALENDARIO'!$G$15:$G$214,0)),IFERROR(INDEX('CALENDARIO'!$C$15:$C$214,MATCH(TEXT($J659,"yyyy-mm-dd")&amp;"|"&amp;$V659&amp;"|",'CALENDARIO'!$G$15:$G$214,0)),IFERROR(INDEX('CALENDARIO'!$C$15:$C$214,MATCH(TEXT($J659,"yyyy-mm-dd")&amp;"||",'CALENDARIO'!$G$15:$G$214,0)),INDEX(patronHabil,WEEKDAY($J659,2))))))</f>
        <v/>
      </c>
      <c r="T659" s="3">
        <f>IF($I659="","",IFERROR(INDEX('CAT_TIPOS_OT'!$C$4:$C$7,MATCH($I659,'CAT_TIPOS_OT'!$A$4:$A$7,0)),"sin_clasificar"))</f>
        <v/>
      </c>
      <c r="U659" s="3">
        <f>IF($F659="","",IFERROR(INDEX('CAT_CENTROS_COSTO'!$F$4:$F$13,MATCH($F659,'CAT_CENTROS_COSTO'!$A$4:$A$13,0)),"(sin catálogo)"))</f>
        <v/>
      </c>
      <c r="V659" s="3">
        <f>IF($F659="","",IFERROR(INDEX('CAT_CENTROS_COSTO'!$D$4:$D$13,MATCH($F659,'CAT_CENTROS_COSTO'!$A$4:$A$13,0)),"(sin catálogo)"))</f>
        <v/>
      </c>
      <c r="W659" s="3">
        <f>IF($F659="","",IF((IFERROR(INDEX('CAT_CENTROS_COSTO'!$E$4:$E$13,MATCH($F659,'CAT_CENTROS_COSTO'!$A$4:$A$13,0)),""))&lt;&gt;"",IFERROR(INDEX('CAT_CENTROS_COSTO'!$E$4:$E$13,MATCH($F659,'CAT_CENTROS_COSTO'!$A$4:$A$13,0)),""),$V659))</f>
        <v/>
      </c>
      <c r="X659" s="3">
        <f>IF($F659="","",IFERROR(INDEX('CAT_CENTROS_COSTO'!$G$4:$G$13,MATCH($F659,'CAT_CENTROS_COSTO'!$A$4:$A$13,0)),"(sin catálogo)"))</f>
        <v/>
      </c>
      <c r="Y659" s="3">
        <f>IF($G659="","",IFERROR(INDEX('CAT_PUESTOS'!$B$4:$B$8,MATCH($G659,'CAT_PUESTOS'!$A$4:$A$8,0)),"(sin catálogo)"))</f>
        <v/>
      </c>
      <c r="Z659" s="3">
        <f>IF($H659="","",IFERROR(INDEX('CAT_ACTIVIDADES'!$B$4:$B$8,MATCH($H659,'CAT_ACTIVIDADES'!$A$4:$A$8,0)),"(sin catálogo)"))</f>
        <v/>
      </c>
      <c r="AA659" s="12">
        <f>IF($J659="","",TODAY()-$J659)</f>
        <v/>
      </c>
      <c r="AB659" s="12">
        <f>IF($J659="","",IF($J659&lt;=TODAY(),COUNTIFS(cal_fechas,"&gt;="&amp;$J659,cal_fechas,"&lt;"&amp;TODAY(),cal_habil,"sí"),-COUNTIFS(cal_fechas,"&gt;="&amp;TODAY(),cal_fechas,"&lt;"&amp;$J659,cal_habil,"sí")))</f>
        <v/>
      </c>
      <c r="AC659" s="3">
        <f>IF($AB659="","",IF($AB659&lt;0,"FUTURO",IF($AB659&gt;p_dias_backlog_max,"BACKLOG","MES CORRIENTE")))</f>
        <v/>
      </c>
      <c r="AD659" s="3">
        <f>IF($AB659="",FALSE,AND($AB659&gt;p_dias_backlog_min,$AB659&lt;=p_dias_backlog_max))</f>
        <v/>
      </c>
      <c r="AE659" s="6" t="n"/>
      <c r="AF659" s="3">
        <f>IF($AE659="","",IF((IFERROR(INDEX('ASIGNACIONES'!$F$4:$F$339,MATCH($O659&amp;"|"&amp;$R659&amp;"|"&amp;$AE659,'ASIGNACIONES'!$J$4:$J$339,0)),""))=0,"",IFERROR(INDEX('ASIGNACIONES'!$F$4:$F$339,MATCH($O659&amp;"|"&amp;$R659&amp;"|"&amp;$AE659,'ASIGNACIONES'!$J$4:$J$339,0)),"")))</f>
        <v/>
      </c>
      <c r="AG659" s="13">
        <f>IF($AE659="","",SUMIFS('ORDENES'!$M$4:$M$1203,'ORDENES'!$AE$4:$AE$1203,$AE659,'ORDENES'!$O$4:$O$1203,$O659,'ORDENES'!$R$4:$R$1203,$R659))</f>
        <v/>
      </c>
      <c r="AH659" s="13">
        <f>IF($AG659="","",p_factor_productividad*IFERROR(INDEX('ASIGNACIONES'!$I$4:$I$339,MATCH($O659&amp;"|"&amp;$R659&amp;"|"&amp;$AE659,'ASIGNACIONES'!$J$4:$J$339,0)),0)-$AG659)</f>
        <v/>
      </c>
      <c r="AI659" s="10">
        <f>IF($A659="","",IFERROR(INDEX('2_IMPORTAR_EJECUCION'!$F$9:$F$1208,MATCH($AQ659,'2_IMPORTAR_EJECUCION'!$J$9:$J$1208,0)),0))</f>
        <v/>
      </c>
      <c r="AJ659" s="10">
        <f>IF($A659="","",MAX(0,IFERROR(INDEX('2_IMPORTAR_EJECUCION'!$H$9:$H$1208,MATCH($AQ659,'2_IMPORTAR_EJECUCION'!$J$9:$J$1208,0)),0)-$AI659))</f>
        <v/>
      </c>
      <c r="AK659" s="10">
        <f>IF($A659="","",$AI659+$AJ659)</f>
        <v/>
      </c>
      <c r="AL659" s="6" t="n"/>
      <c r="AM659" s="6" t="n"/>
      <c r="AN659" s="6" t="n"/>
      <c r="AO659" s="3">
        <f>IF($AN659="","",HYPERLINK(p_ruta_base_checklists&amp;$AN659,"abrir"))</f>
        <v/>
      </c>
      <c r="AP659" s="6" t="n"/>
      <c r="AQ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IF($A660="","",IFERROR(INDEX('AJUSTES'!$B$4:$B$303,MATCH($AQ660,'AJUSTES'!$A$4:$A$303,0)),IF($K660="","",$K660)))</f>
        <v/>
      </c>
      <c r="N660" s="3">
        <f>IF($A660="","",IFERROR(INDEX('CAT_ESTADOS_ERP'!$B$4:$B$7,MATCH(IFERROR(INDEX('2_IMPORTAR_EJECUCION'!$C$9:$C$1208,MATCH($AQ660,'2_IMPORTAR_EJECUCION'!$J$9:$J$1208,0)),""),'CAT_ESTADOS_ERP'!$A$4:$A$7,0)),"Pendiente"))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J660="","",IFERROR(INDEX('CALENDARIO'!$C$15:$C$214,MATCH(TEXT($J660,"yyyy-mm-dd")&amp;"|"&amp;$V660&amp;"|"&amp;$W660,'CALENDARIO'!$G$15:$G$214,0)),IFERROR(INDEX('CALENDARIO'!$C$15:$C$214,MATCH(TEXT($J660,"yyyy-mm-dd")&amp;"|"&amp;$V660&amp;"|",'CALENDARIO'!$G$15:$G$214,0)),IFERROR(INDEX('CALENDARIO'!$C$15:$C$214,MATCH(TEXT($J660,"yyyy-mm-dd")&amp;"||",'CALENDARIO'!$G$15:$G$214,0)),INDEX(patronHabil,WEEKDAY($J660,2))))))</f>
        <v/>
      </c>
      <c r="T660" s="3">
        <f>IF($I660="","",IFERROR(INDEX('CAT_TIPOS_OT'!$C$4:$C$7,MATCH($I660,'CAT_TIPOS_OT'!$A$4:$A$7,0)),"sin_clasificar"))</f>
        <v/>
      </c>
      <c r="U660" s="3">
        <f>IF($F660="","",IFERROR(INDEX('CAT_CENTROS_COSTO'!$F$4:$F$13,MATCH($F660,'CAT_CENTROS_COSTO'!$A$4:$A$13,0)),"(sin catálogo)"))</f>
        <v/>
      </c>
      <c r="V660" s="3">
        <f>IF($F660="","",IFERROR(INDEX('CAT_CENTROS_COSTO'!$D$4:$D$13,MATCH($F660,'CAT_CENTROS_COSTO'!$A$4:$A$13,0)),"(sin catálogo)"))</f>
        <v/>
      </c>
      <c r="W660" s="3">
        <f>IF($F660="","",IF((IFERROR(INDEX('CAT_CENTROS_COSTO'!$E$4:$E$13,MATCH($F660,'CAT_CENTROS_COSTO'!$A$4:$A$13,0)),""))&lt;&gt;"",IFERROR(INDEX('CAT_CENTROS_COSTO'!$E$4:$E$13,MATCH($F660,'CAT_CENTROS_COSTO'!$A$4:$A$13,0)),""),$V660))</f>
        <v/>
      </c>
      <c r="X660" s="3">
        <f>IF($F660="","",IFERROR(INDEX('CAT_CENTROS_COSTO'!$G$4:$G$13,MATCH($F660,'CAT_CENTROS_COSTO'!$A$4:$A$13,0)),"(sin catálogo)"))</f>
        <v/>
      </c>
      <c r="Y660" s="3">
        <f>IF($G660="","",IFERROR(INDEX('CAT_PUESTOS'!$B$4:$B$8,MATCH($G660,'CAT_PUESTOS'!$A$4:$A$8,0)),"(sin catálogo)"))</f>
        <v/>
      </c>
      <c r="Z660" s="3">
        <f>IF($H660="","",IFERROR(INDEX('CAT_ACTIVIDADES'!$B$4:$B$8,MATCH($H660,'CAT_ACTIVIDADES'!$A$4:$A$8,0)),"(sin catálogo)"))</f>
        <v/>
      </c>
      <c r="AA660" s="12">
        <f>IF($J660="","",TODAY()-$J660)</f>
        <v/>
      </c>
      <c r="AB660" s="12">
        <f>IF($J660="","",IF($J660&lt;=TODAY(),COUNTIFS(cal_fechas,"&gt;="&amp;$J660,cal_fechas,"&lt;"&amp;TODAY(),cal_habil,"sí"),-COUNTIFS(cal_fechas,"&gt;="&amp;TODAY(),cal_fechas,"&lt;"&amp;$J660,cal_habil,"sí")))</f>
        <v/>
      </c>
      <c r="AC660" s="3">
        <f>IF($AB660="","",IF($AB660&lt;0,"FUTURO",IF($AB660&gt;p_dias_backlog_max,"BACKLOG","MES CORRIENTE")))</f>
        <v/>
      </c>
      <c r="AD660" s="3">
        <f>IF($AB660="",FALSE,AND($AB660&gt;p_dias_backlog_min,$AB660&lt;=p_dias_backlog_max))</f>
        <v/>
      </c>
      <c r="AE660" s="6" t="n"/>
      <c r="AF660" s="3">
        <f>IF($AE660="","",IF((IFERROR(INDEX('ASIGNACIONES'!$F$4:$F$339,MATCH($O660&amp;"|"&amp;$R660&amp;"|"&amp;$AE660,'ASIGNACIONES'!$J$4:$J$339,0)),""))=0,"",IFERROR(INDEX('ASIGNACIONES'!$F$4:$F$339,MATCH($O660&amp;"|"&amp;$R660&amp;"|"&amp;$AE660,'ASIGNACIONES'!$J$4:$J$339,0)),"")))</f>
        <v/>
      </c>
      <c r="AG660" s="13">
        <f>IF($AE660="","",SUMIFS('ORDENES'!$M$4:$M$1203,'ORDENES'!$AE$4:$AE$1203,$AE660,'ORDENES'!$O$4:$O$1203,$O660,'ORDENES'!$R$4:$R$1203,$R660))</f>
        <v/>
      </c>
      <c r="AH660" s="13">
        <f>IF($AG660="","",p_factor_productividad*IFERROR(INDEX('ASIGNACIONES'!$I$4:$I$339,MATCH($O660&amp;"|"&amp;$R660&amp;"|"&amp;$AE660,'ASIGNACIONES'!$J$4:$J$339,0)),0)-$AG660)</f>
        <v/>
      </c>
      <c r="AI660" s="10">
        <f>IF($A660="","",IFERROR(INDEX('2_IMPORTAR_EJECUCION'!$F$9:$F$1208,MATCH($AQ660,'2_IMPORTAR_EJECUCION'!$J$9:$J$1208,0)),0))</f>
        <v/>
      </c>
      <c r="AJ660" s="10">
        <f>IF($A660="","",MAX(0,IFERROR(INDEX('2_IMPORTAR_EJECUCION'!$H$9:$H$1208,MATCH($AQ660,'2_IMPORTAR_EJECUCION'!$J$9:$J$1208,0)),0)-$AI660))</f>
        <v/>
      </c>
      <c r="AK660" s="10">
        <f>IF($A660="","",$AI660+$AJ660)</f>
        <v/>
      </c>
      <c r="AL660" s="6" t="n"/>
      <c r="AM660" s="6" t="n"/>
      <c r="AN660" s="6" t="n"/>
      <c r="AO660" s="3">
        <f>IF($AN660="","",HYPERLINK(p_ruta_base_checklists&amp;$AN660,"abrir"))</f>
        <v/>
      </c>
      <c r="AP660" s="6" t="n"/>
      <c r="AQ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IF($A661="","",IFERROR(INDEX('AJUSTES'!$B$4:$B$303,MATCH($AQ661,'AJUSTES'!$A$4:$A$303,0)),IF($K661="","",$K661)))</f>
        <v/>
      </c>
      <c r="N661" s="3">
        <f>IF($A661="","",IFERROR(INDEX('CAT_ESTADOS_ERP'!$B$4:$B$7,MATCH(IFERROR(INDEX('2_IMPORTAR_EJECUCION'!$C$9:$C$1208,MATCH($AQ661,'2_IMPORTAR_EJECUCION'!$J$9:$J$1208,0)),""),'CAT_ESTADOS_ERP'!$A$4:$A$7,0)),"Pendiente"))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J661="","",IFERROR(INDEX('CALENDARIO'!$C$15:$C$214,MATCH(TEXT($J661,"yyyy-mm-dd")&amp;"|"&amp;$V661&amp;"|"&amp;$W661,'CALENDARIO'!$G$15:$G$214,0)),IFERROR(INDEX('CALENDARIO'!$C$15:$C$214,MATCH(TEXT($J661,"yyyy-mm-dd")&amp;"|"&amp;$V661&amp;"|",'CALENDARIO'!$G$15:$G$214,0)),IFERROR(INDEX('CALENDARIO'!$C$15:$C$214,MATCH(TEXT($J661,"yyyy-mm-dd")&amp;"||",'CALENDARIO'!$G$15:$G$214,0)),INDEX(patronHabil,WEEKDAY($J661,2))))))</f>
        <v/>
      </c>
      <c r="T661" s="3">
        <f>IF($I661="","",IFERROR(INDEX('CAT_TIPOS_OT'!$C$4:$C$7,MATCH($I661,'CAT_TIPOS_OT'!$A$4:$A$7,0)),"sin_clasificar"))</f>
        <v/>
      </c>
      <c r="U661" s="3">
        <f>IF($F661="","",IFERROR(INDEX('CAT_CENTROS_COSTO'!$F$4:$F$13,MATCH($F661,'CAT_CENTROS_COSTO'!$A$4:$A$13,0)),"(sin catálogo)"))</f>
        <v/>
      </c>
      <c r="V661" s="3">
        <f>IF($F661="","",IFERROR(INDEX('CAT_CENTROS_COSTO'!$D$4:$D$13,MATCH($F661,'CAT_CENTROS_COSTO'!$A$4:$A$13,0)),"(sin catálogo)"))</f>
        <v/>
      </c>
      <c r="W661" s="3">
        <f>IF($F661="","",IF((IFERROR(INDEX('CAT_CENTROS_COSTO'!$E$4:$E$13,MATCH($F661,'CAT_CENTROS_COSTO'!$A$4:$A$13,0)),""))&lt;&gt;"",IFERROR(INDEX('CAT_CENTROS_COSTO'!$E$4:$E$13,MATCH($F661,'CAT_CENTROS_COSTO'!$A$4:$A$13,0)),""),$V661))</f>
        <v/>
      </c>
      <c r="X661" s="3">
        <f>IF($F661="","",IFERROR(INDEX('CAT_CENTROS_COSTO'!$G$4:$G$13,MATCH($F661,'CAT_CENTROS_COSTO'!$A$4:$A$13,0)),"(sin catálogo)"))</f>
        <v/>
      </c>
      <c r="Y661" s="3">
        <f>IF($G661="","",IFERROR(INDEX('CAT_PUESTOS'!$B$4:$B$8,MATCH($G661,'CAT_PUESTOS'!$A$4:$A$8,0)),"(sin catálogo)"))</f>
        <v/>
      </c>
      <c r="Z661" s="3">
        <f>IF($H661="","",IFERROR(INDEX('CAT_ACTIVIDADES'!$B$4:$B$8,MATCH($H661,'CAT_ACTIVIDADES'!$A$4:$A$8,0)),"(sin catálogo)"))</f>
        <v/>
      </c>
      <c r="AA661" s="12">
        <f>IF($J661="","",TODAY()-$J661)</f>
        <v/>
      </c>
      <c r="AB661" s="12">
        <f>IF($J661="","",IF($J661&lt;=TODAY(),COUNTIFS(cal_fechas,"&gt;="&amp;$J661,cal_fechas,"&lt;"&amp;TODAY(),cal_habil,"sí"),-COUNTIFS(cal_fechas,"&gt;="&amp;TODAY(),cal_fechas,"&lt;"&amp;$J661,cal_habil,"sí")))</f>
        <v/>
      </c>
      <c r="AC661" s="3">
        <f>IF($AB661="","",IF($AB661&lt;0,"FUTURO",IF($AB661&gt;p_dias_backlog_max,"BACKLOG","MES CORRIENTE")))</f>
        <v/>
      </c>
      <c r="AD661" s="3">
        <f>IF($AB661="",FALSE,AND($AB661&gt;p_dias_backlog_min,$AB661&lt;=p_dias_backlog_max))</f>
        <v/>
      </c>
      <c r="AE661" s="6" t="n"/>
      <c r="AF661" s="3">
        <f>IF($AE661="","",IF((IFERROR(INDEX('ASIGNACIONES'!$F$4:$F$339,MATCH($O661&amp;"|"&amp;$R661&amp;"|"&amp;$AE661,'ASIGNACIONES'!$J$4:$J$339,0)),""))=0,"",IFERROR(INDEX('ASIGNACIONES'!$F$4:$F$339,MATCH($O661&amp;"|"&amp;$R661&amp;"|"&amp;$AE661,'ASIGNACIONES'!$J$4:$J$339,0)),"")))</f>
        <v/>
      </c>
      <c r="AG661" s="13">
        <f>IF($AE661="","",SUMIFS('ORDENES'!$M$4:$M$1203,'ORDENES'!$AE$4:$AE$1203,$AE661,'ORDENES'!$O$4:$O$1203,$O661,'ORDENES'!$R$4:$R$1203,$R661))</f>
        <v/>
      </c>
      <c r="AH661" s="13">
        <f>IF($AG661="","",p_factor_productividad*IFERROR(INDEX('ASIGNACIONES'!$I$4:$I$339,MATCH($O661&amp;"|"&amp;$R661&amp;"|"&amp;$AE661,'ASIGNACIONES'!$J$4:$J$339,0)),0)-$AG661)</f>
        <v/>
      </c>
      <c r="AI661" s="10">
        <f>IF($A661="","",IFERROR(INDEX('2_IMPORTAR_EJECUCION'!$F$9:$F$1208,MATCH($AQ661,'2_IMPORTAR_EJECUCION'!$J$9:$J$1208,0)),0))</f>
        <v/>
      </c>
      <c r="AJ661" s="10">
        <f>IF($A661="","",MAX(0,IFERROR(INDEX('2_IMPORTAR_EJECUCION'!$H$9:$H$1208,MATCH($AQ661,'2_IMPORTAR_EJECUCION'!$J$9:$J$1208,0)),0)-$AI661))</f>
        <v/>
      </c>
      <c r="AK661" s="10">
        <f>IF($A661="","",$AI661+$AJ661)</f>
        <v/>
      </c>
      <c r="AL661" s="6" t="n"/>
      <c r="AM661" s="6" t="n"/>
      <c r="AN661" s="6" t="n"/>
      <c r="AO661" s="3">
        <f>IF($AN661="","",HYPERLINK(p_ruta_base_checklists&amp;$AN661,"abrir"))</f>
        <v/>
      </c>
      <c r="AP661" s="6" t="n"/>
      <c r="AQ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IF($A662="","",IFERROR(INDEX('AJUSTES'!$B$4:$B$303,MATCH($AQ662,'AJUSTES'!$A$4:$A$303,0)),IF($K662="","",$K662)))</f>
        <v/>
      </c>
      <c r="N662" s="3">
        <f>IF($A662="","",IFERROR(INDEX('CAT_ESTADOS_ERP'!$B$4:$B$7,MATCH(IFERROR(INDEX('2_IMPORTAR_EJECUCION'!$C$9:$C$1208,MATCH($AQ662,'2_IMPORTAR_EJECUCION'!$J$9:$J$1208,0)),""),'CAT_ESTADOS_ERP'!$A$4:$A$7,0)),"Pendiente"))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J662="","",IFERROR(INDEX('CALENDARIO'!$C$15:$C$214,MATCH(TEXT($J662,"yyyy-mm-dd")&amp;"|"&amp;$V662&amp;"|"&amp;$W662,'CALENDARIO'!$G$15:$G$214,0)),IFERROR(INDEX('CALENDARIO'!$C$15:$C$214,MATCH(TEXT($J662,"yyyy-mm-dd")&amp;"|"&amp;$V662&amp;"|",'CALENDARIO'!$G$15:$G$214,0)),IFERROR(INDEX('CALENDARIO'!$C$15:$C$214,MATCH(TEXT($J662,"yyyy-mm-dd")&amp;"||",'CALENDARIO'!$G$15:$G$214,0)),INDEX(patronHabil,WEEKDAY($J662,2))))))</f>
        <v/>
      </c>
      <c r="T662" s="3">
        <f>IF($I662="","",IFERROR(INDEX('CAT_TIPOS_OT'!$C$4:$C$7,MATCH($I662,'CAT_TIPOS_OT'!$A$4:$A$7,0)),"sin_clasificar"))</f>
        <v/>
      </c>
      <c r="U662" s="3">
        <f>IF($F662="","",IFERROR(INDEX('CAT_CENTROS_COSTO'!$F$4:$F$13,MATCH($F662,'CAT_CENTROS_COSTO'!$A$4:$A$13,0)),"(sin catálogo)"))</f>
        <v/>
      </c>
      <c r="V662" s="3">
        <f>IF($F662="","",IFERROR(INDEX('CAT_CENTROS_COSTO'!$D$4:$D$13,MATCH($F662,'CAT_CENTROS_COSTO'!$A$4:$A$13,0)),"(sin catálogo)"))</f>
        <v/>
      </c>
      <c r="W662" s="3">
        <f>IF($F662="","",IF((IFERROR(INDEX('CAT_CENTROS_COSTO'!$E$4:$E$13,MATCH($F662,'CAT_CENTROS_COSTO'!$A$4:$A$13,0)),""))&lt;&gt;"",IFERROR(INDEX('CAT_CENTROS_COSTO'!$E$4:$E$13,MATCH($F662,'CAT_CENTROS_COSTO'!$A$4:$A$13,0)),""),$V662))</f>
        <v/>
      </c>
      <c r="X662" s="3">
        <f>IF($F662="","",IFERROR(INDEX('CAT_CENTROS_COSTO'!$G$4:$G$13,MATCH($F662,'CAT_CENTROS_COSTO'!$A$4:$A$13,0)),"(sin catálogo)"))</f>
        <v/>
      </c>
      <c r="Y662" s="3">
        <f>IF($G662="","",IFERROR(INDEX('CAT_PUESTOS'!$B$4:$B$8,MATCH($G662,'CAT_PUESTOS'!$A$4:$A$8,0)),"(sin catálogo)"))</f>
        <v/>
      </c>
      <c r="Z662" s="3">
        <f>IF($H662="","",IFERROR(INDEX('CAT_ACTIVIDADES'!$B$4:$B$8,MATCH($H662,'CAT_ACTIVIDADES'!$A$4:$A$8,0)),"(sin catálogo)"))</f>
        <v/>
      </c>
      <c r="AA662" s="12">
        <f>IF($J662="","",TODAY()-$J662)</f>
        <v/>
      </c>
      <c r="AB662" s="12">
        <f>IF($J662="","",IF($J662&lt;=TODAY(),COUNTIFS(cal_fechas,"&gt;="&amp;$J662,cal_fechas,"&lt;"&amp;TODAY(),cal_habil,"sí"),-COUNTIFS(cal_fechas,"&gt;="&amp;TODAY(),cal_fechas,"&lt;"&amp;$J662,cal_habil,"sí")))</f>
        <v/>
      </c>
      <c r="AC662" s="3">
        <f>IF($AB662="","",IF($AB662&lt;0,"FUTURO",IF($AB662&gt;p_dias_backlog_max,"BACKLOG","MES CORRIENTE")))</f>
        <v/>
      </c>
      <c r="AD662" s="3">
        <f>IF($AB662="",FALSE,AND($AB662&gt;p_dias_backlog_min,$AB662&lt;=p_dias_backlog_max))</f>
        <v/>
      </c>
      <c r="AE662" s="6" t="n"/>
      <c r="AF662" s="3">
        <f>IF($AE662="","",IF((IFERROR(INDEX('ASIGNACIONES'!$F$4:$F$339,MATCH($O662&amp;"|"&amp;$R662&amp;"|"&amp;$AE662,'ASIGNACIONES'!$J$4:$J$339,0)),""))=0,"",IFERROR(INDEX('ASIGNACIONES'!$F$4:$F$339,MATCH($O662&amp;"|"&amp;$R662&amp;"|"&amp;$AE662,'ASIGNACIONES'!$J$4:$J$339,0)),"")))</f>
        <v/>
      </c>
      <c r="AG662" s="13">
        <f>IF($AE662="","",SUMIFS('ORDENES'!$M$4:$M$1203,'ORDENES'!$AE$4:$AE$1203,$AE662,'ORDENES'!$O$4:$O$1203,$O662,'ORDENES'!$R$4:$R$1203,$R662))</f>
        <v/>
      </c>
      <c r="AH662" s="13">
        <f>IF($AG662="","",p_factor_productividad*IFERROR(INDEX('ASIGNACIONES'!$I$4:$I$339,MATCH($O662&amp;"|"&amp;$R662&amp;"|"&amp;$AE662,'ASIGNACIONES'!$J$4:$J$339,0)),0)-$AG662)</f>
        <v/>
      </c>
      <c r="AI662" s="10">
        <f>IF($A662="","",IFERROR(INDEX('2_IMPORTAR_EJECUCION'!$F$9:$F$1208,MATCH($AQ662,'2_IMPORTAR_EJECUCION'!$J$9:$J$1208,0)),0))</f>
        <v/>
      </c>
      <c r="AJ662" s="10">
        <f>IF($A662="","",MAX(0,IFERROR(INDEX('2_IMPORTAR_EJECUCION'!$H$9:$H$1208,MATCH($AQ662,'2_IMPORTAR_EJECUCION'!$J$9:$J$1208,0)),0)-$AI662))</f>
        <v/>
      </c>
      <c r="AK662" s="10">
        <f>IF($A662="","",$AI662+$AJ662)</f>
        <v/>
      </c>
      <c r="AL662" s="6" t="n"/>
      <c r="AM662" s="6" t="n"/>
      <c r="AN662" s="6" t="n"/>
      <c r="AO662" s="3">
        <f>IF($AN662="","",HYPERLINK(p_ruta_base_checklists&amp;$AN662,"abrir"))</f>
        <v/>
      </c>
      <c r="AP662" s="6" t="n"/>
      <c r="AQ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IF($A663="","",IFERROR(INDEX('AJUSTES'!$B$4:$B$303,MATCH($AQ663,'AJUSTES'!$A$4:$A$303,0)),IF($K663="","",$K663)))</f>
        <v/>
      </c>
      <c r="N663" s="3">
        <f>IF($A663="","",IFERROR(INDEX('CAT_ESTADOS_ERP'!$B$4:$B$7,MATCH(IFERROR(INDEX('2_IMPORTAR_EJECUCION'!$C$9:$C$1208,MATCH($AQ663,'2_IMPORTAR_EJECUCION'!$J$9:$J$1208,0)),""),'CAT_ESTADOS_ERP'!$A$4:$A$7,0)),"Pendiente"))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J663="","",IFERROR(INDEX('CALENDARIO'!$C$15:$C$214,MATCH(TEXT($J663,"yyyy-mm-dd")&amp;"|"&amp;$V663&amp;"|"&amp;$W663,'CALENDARIO'!$G$15:$G$214,0)),IFERROR(INDEX('CALENDARIO'!$C$15:$C$214,MATCH(TEXT($J663,"yyyy-mm-dd")&amp;"|"&amp;$V663&amp;"|",'CALENDARIO'!$G$15:$G$214,0)),IFERROR(INDEX('CALENDARIO'!$C$15:$C$214,MATCH(TEXT($J663,"yyyy-mm-dd")&amp;"||",'CALENDARIO'!$G$15:$G$214,0)),INDEX(patronHabil,WEEKDAY($J663,2))))))</f>
        <v/>
      </c>
      <c r="T663" s="3">
        <f>IF($I663="","",IFERROR(INDEX('CAT_TIPOS_OT'!$C$4:$C$7,MATCH($I663,'CAT_TIPOS_OT'!$A$4:$A$7,0)),"sin_clasificar"))</f>
        <v/>
      </c>
      <c r="U663" s="3">
        <f>IF($F663="","",IFERROR(INDEX('CAT_CENTROS_COSTO'!$F$4:$F$13,MATCH($F663,'CAT_CENTROS_COSTO'!$A$4:$A$13,0)),"(sin catálogo)"))</f>
        <v/>
      </c>
      <c r="V663" s="3">
        <f>IF($F663="","",IFERROR(INDEX('CAT_CENTROS_COSTO'!$D$4:$D$13,MATCH($F663,'CAT_CENTROS_COSTO'!$A$4:$A$13,0)),"(sin catálogo)"))</f>
        <v/>
      </c>
      <c r="W663" s="3">
        <f>IF($F663="","",IF((IFERROR(INDEX('CAT_CENTROS_COSTO'!$E$4:$E$13,MATCH($F663,'CAT_CENTROS_COSTO'!$A$4:$A$13,0)),""))&lt;&gt;"",IFERROR(INDEX('CAT_CENTROS_COSTO'!$E$4:$E$13,MATCH($F663,'CAT_CENTROS_COSTO'!$A$4:$A$13,0)),""),$V663))</f>
        <v/>
      </c>
      <c r="X663" s="3">
        <f>IF($F663="","",IFERROR(INDEX('CAT_CENTROS_COSTO'!$G$4:$G$13,MATCH($F663,'CAT_CENTROS_COSTO'!$A$4:$A$13,0)),"(sin catálogo)"))</f>
        <v/>
      </c>
      <c r="Y663" s="3">
        <f>IF($G663="","",IFERROR(INDEX('CAT_PUESTOS'!$B$4:$B$8,MATCH($G663,'CAT_PUESTOS'!$A$4:$A$8,0)),"(sin catálogo)"))</f>
        <v/>
      </c>
      <c r="Z663" s="3">
        <f>IF($H663="","",IFERROR(INDEX('CAT_ACTIVIDADES'!$B$4:$B$8,MATCH($H663,'CAT_ACTIVIDADES'!$A$4:$A$8,0)),"(sin catálogo)"))</f>
        <v/>
      </c>
      <c r="AA663" s="12">
        <f>IF($J663="","",TODAY()-$J663)</f>
        <v/>
      </c>
      <c r="AB663" s="12">
        <f>IF($J663="","",IF($J663&lt;=TODAY(),COUNTIFS(cal_fechas,"&gt;="&amp;$J663,cal_fechas,"&lt;"&amp;TODAY(),cal_habil,"sí"),-COUNTIFS(cal_fechas,"&gt;="&amp;TODAY(),cal_fechas,"&lt;"&amp;$J663,cal_habil,"sí")))</f>
        <v/>
      </c>
      <c r="AC663" s="3">
        <f>IF($AB663="","",IF($AB663&lt;0,"FUTURO",IF($AB663&gt;p_dias_backlog_max,"BACKLOG","MES CORRIENTE")))</f>
        <v/>
      </c>
      <c r="AD663" s="3">
        <f>IF($AB663="",FALSE,AND($AB663&gt;p_dias_backlog_min,$AB663&lt;=p_dias_backlog_max))</f>
        <v/>
      </c>
      <c r="AE663" s="6" t="n"/>
      <c r="AF663" s="3">
        <f>IF($AE663="","",IF((IFERROR(INDEX('ASIGNACIONES'!$F$4:$F$339,MATCH($O663&amp;"|"&amp;$R663&amp;"|"&amp;$AE663,'ASIGNACIONES'!$J$4:$J$339,0)),""))=0,"",IFERROR(INDEX('ASIGNACIONES'!$F$4:$F$339,MATCH($O663&amp;"|"&amp;$R663&amp;"|"&amp;$AE663,'ASIGNACIONES'!$J$4:$J$339,0)),"")))</f>
        <v/>
      </c>
      <c r="AG663" s="13">
        <f>IF($AE663="","",SUMIFS('ORDENES'!$M$4:$M$1203,'ORDENES'!$AE$4:$AE$1203,$AE663,'ORDENES'!$O$4:$O$1203,$O663,'ORDENES'!$R$4:$R$1203,$R663))</f>
        <v/>
      </c>
      <c r="AH663" s="13">
        <f>IF($AG663="","",p_factor_productividad*IFERROR(INDEX('ASIGNACIONES'!$I$4:$I$339,MATCH($O663&amp;"|"&amp;$R663&amp;"|"&amp;$AE663,'ASIGNACIONES'!$J$4:$J$339,0)),0)-$AG663)</f>
        <v/>
      </c>
      <c r="AI663" s="10">
        <f>IF($A663="","",IFERROR(INDEX('2_IMPORTAR_EJECUCION'!$F$9:$F$1208,MATCH($AQ663,'2_IMPORTAR_EJECUCION'!$J$9:$J$1208,0)),0))</f>
        <v/>
      </c>
      <c r="AJ663" s="10">
        <f>IF($A663="","",MAX(0,IFERROR(INDEX('2_IMPORTAR_EJECUCION'!$H$9:$H$1208,MATCH($AQ663,'2_IMPORTAR_EJECUCION'!$J$9:$J$1208,0)),0)-$AI663))</f>
        <v/>
      </c>
      <c r="AK663" s="10">
        <f>IF($A663="","",$AI663+$AJ663)</f>
        <v/>
      </c>
      <c r="AL663" s="6" t="n"/>
      <c r="AM663" s="6" t="n"/>
      <c r="AN663" s="6" t="n"/>
      <c r="AO663" s="3">
        <f>IF($AN663="","",HYPERLINK(p_ruta_base_checklists&amp;$AN663,"abrir"))</f>
        <v/>
      </c>
      <c r="AP663" s="6" t="n"/>
      <c r="AQ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IF($A664="","",IFERROR(INDEX('AJUSTES'!$B$4:$B$303,MATCH($AQ664,'AJUSTES'!$A$4:$A$303,0)),IF($K664="","",$K664)))</f>
        <v/>
      </c>
      <c r="N664" s="3">
        <f>IF($A664="","",IFERROR(INDEX('CAT_ESTADOS_ERP'!$B$4:$B$7,MATCH(IFERROR(INDEX('2_IMPORTAR_EJECUCION'!$C$9:$C$1208,MATCH($AQ664,'2_IMPORTAR_EJECUCION'!$J$9:$J$1208,0)),""),'CAT_ESTADOS_ERP'!$A$4:$A$7,0)),"Pendiente"))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J664="","",IFERROR(INDEX('CALENDARIO'!$C$15:$C$214,MATCH(TEXT($J664,"yyyy-mm-dd")&amp;"|"&amp;$V664&amp;"|"&amp;$W664,'CALENDARIO'!$G$15:$G$214,0)),IFERROR(INDEX('CALENDARIO'!$C$15:$C$214,MATCH(TEXT($J664,"yyyy-mm-dd")&amp;"|"&amp;$V664&amp;"|",'CALENDARIO'!$G$15:$G$214,0)),IFERROR(INDEX('CALENDARIO'!$C$15:$C$214,MATCH(TEXT($J664,"yyyy-mm-dd")&amp;"||",'CALENDARIO'!$G$15:$G$214,0)),INDEX(patronHabil,WEEKDAY($J664,2))))))</f>
        <v/>
      </c>
      <c r="T664" s="3">
        <f>IF($I664="","",IFERROR(INDEX('CAT_TIPOS_OT'!$C$4:$C$7,MATCH($I664,'CAT_TIPOS_OT'!$A$4:$A$7,0)),"sin_clasificar"))</f>
        <v/>
      </c>
      <c r="U664" s="3">
        <f>IF($F664="","",IFERROR(INDEX('CAT_CENTROS_COSTO'!$F$4:$F$13,MATCH($F664,'CAT_CENTROS_COSTO'!$A$4:$A$13,0)),"(sin catálogo)"))</f>
        <v/>
      </c>
      <c r="V664" s="3">
        <f>IF($F664="","",IFERROR(INDEX('CAT_CENTROS_COSTO'!$D$4:$D$13,MATCH($F664,'CAT_CENTROS_COSTO'!$A$4:$A$13,0)),"(sin catálogo)"))</f>
        <v/>
      </c>
      <c r="W664" s="3">
        <f>IF($F664="","",IF((IFERROR(INDEX('CAT_CENTROS_COSTO'!$E$4:$E$13,MATCH($F664,'CAT_CENTROS_COSTO'!$A$4:$A$13,0)),""))&lt;&gt;"",IFERROR(INDEX('CAT_CENTROS_COSTO'!$E$4:$E$13,MATCH($F664,'CAT_CENTROS_COSTO'!$A$4:$A$13,0)),""),$V664))</f>
        <v/>
      </c>
      <c r="X664" s="3">
        <f>IF($F664="","",IFERROR(INDEX('CAT_CENTROS_COSTO'!$G$4:$G$13,MATCH($F664,'CAT_CENTROS_COSTO'!$A$4:$A$13,0)),"(sin catálogo)"))</f>
        <v/>
      </c>
      <c r="Y664" s="3">
        <f>IF($G664="","",IFERROR(INDEX('CAT_PUESTOS'!$B$4:$B$8,MATCH($G664,'CAT_PUESTOS'!$A$4:$A$8,0)),"(sin catálogo)"))</f>
        <v/>
      </c>
      <c r="Z664" s="3">
        <f>IF($H664="","",IFERROR(INDEX('CAT_ACTIVIDADES'!$B$4:$B$8,MATCH($H664,'CAT_ACTIVIDADES'!$A$4:$A$8,0)),"(sin catálogo)"))</f>
        <v/>
      </c>
      <c r="AA664" s="12">
        <f>IF($J664="","",TODAY()-$J664)</f>
        <v/>
      </c>
      <c r="AB664" s="12">
        <f>IF($J664="","",IF($J664&lt;=TODAY(),COUNTIFS(cal_fechas,"&gt;="&amp;$J664,cal_fechas,"&lt;"&amp;TODAY(),cal_habil,"sí"),-COUNTIFS(cal_fechas,"&gt;="&amp;TODAY(),cal_fechas,"&lt;"&amp;$J664,cal_habil,"sí")))</f>
        <v/>
      </c>
      <c r="AC664" s="3">
        <f>IF($AB664="","",IF($AB664&lt;0,"FUTURO",IF($AB664&gt;p_dias_backlog_max,"BACKLOG","MES CORRIENTE")))</f>
        <v/>
      </c>
      <c r="AD664" s="3">
        <f>IF($AB664="",FALSE,AND($AB664&gt;p_dias_backlog_min,$AB664&lt;=p_dias_backlog_max))</f>
        <v/>
      </c>
      <c r="AE664" s="6" t="n"/>
      <c r="AF664" s="3">
        <f>IF($AE664="","",IF((IFERROR(INDEX('ASIGNACIONES'!$F$4:$F$339,MATCH($O664&amp;"|"&amp;$R664&amp;"|"&amp;$AE664,'ASIGNACIONES'!$J$4:$J$339,0)),""))=0,"",IFERROR(INDEX('ASIGNACIONES'!$F$4:$F$339,MATCH($O664&amp;"|"&amp;$R664&amp;"|"&amp;$AE664,'ASIGNACIONES'!$J$4:$J$339,0)),"")))</f>
        <v/>
      </c>
      <c r="AG664" s="13">
        <f>IF($AE664="","",SUMIFS('ORDENES'!$M$4:$M$1203,'ORDENES'!$AE$4:$AE$1203,$AE664,'ORDENES'!$O$4:$O$1203,$O664,'ORDENES'!$R$4:$R$1203,$R664))</f>
        <v/>
      </c>
      <c r="AH664" s="13">
        <f>IF($AG664="","",p_factor_productividad*IFERROR(INDEX('ASIGNACIONES'!$I$4:$I$339,MATCH($O664&amp;"|"&amp;$R664&amp;"|"&amp;$AE664,'ASIGNACIONES'!$J$4:$J$339,0)),0)-$AG664)</f>
        <v/>
      </c>
      <c r="AI664" s="10">
        <f>IF($A664="","",IFERROR(INDEX('2_IMPORTAR_EJECUCION'!$F$9:$F$1208,MATCH($AQ664,'2_IMPORTAR_EJECUCION'!$J$9:$J$1208,0)),0))</f>
        <v/>
      </c>
      <c r="AJ664" s="10">
        <f>IF($A664="","",MAX(0,IFERROR(INDEX('2_IMPORTAR_EJECUCION'!$H$9:$H$1208,MATCH($AQ664,'2_IMPORTAR_EJECUCION'!$J$9:$J$1208,0)),0)-$AI664))</f>
        <v/>
      </c>
      <c r="AK664" s="10">
        <f>IF($A664="","",$AI664+$AJ664)</f>
        <v/>
      </c>
      <c r="AL664" s="6" t="n"/>
      <c r="AM664" s="6" t="n"/>
      <c r="AN664" s="6" t="n"/>
      <c r="AO664" s="3">
        <f>IF($AN664="","",HYPERLINK(p_ruta_base_checklists&amp;$AN664,"abrir"))</f>
        <v/>
      </c>
      <c r="AP664" s="6" t="n"/>
      <c r="AQ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IF($A665="","",IFERROR(INDEX('AJUSTES'!$B$4:$B$303,MATCH($AQ665,'AJUSTES'!$A$4:$A$303,0)),IF($K665="","",$K665)))</f>
        <v/>
      </c>
      <c r="N665" s="3">
        <f>IF($A665="","",IFERROR(INDEX('CAT_ESTADOS_ERP'!$B$4:$B$7,MATCH(IFERROR(INDEX('2_IMPORTAR_EJECUCION'!$C$9:$C$1208,MATCH($AQ665,'2_IMPORTAR_EJECUCION'!$J$9:$J$1208,0)),""),'CAT_ESTADOS_ERP'!$A$4:$A$7,0)),"Pendiente"))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J665="","",IFERROR(INDEX('CALENDARIO'!$C$15:$C$214,MATCH(TEXT($J665,"yyyy-mm-dd")&amp;"|"&amp;$V665&amp;"|"&amp;$W665,'CALENDARIO'!$G$15:$G$214,0)),IFERROR(INDEX('CALENDARIO'!$C$15:$C$214,MATCH(TEXT($J665,"yyyy-mm-dd")&amp;"|"&amp;$V665&amp;"|",'CALENDARIO'!$G$15:$G$214,0)),IFERROR(INDEX('CALENDARIO'!$C$15:$C$214,MATCH(TEXT($J665,"yyyy-mm-dd")&amp;"||",'CALENDARIO'!$G$15:$G$214,0)),INDEX(patronHabil,WEEKDAY($J665,2))))))</f>
        <v/>
      </c>
      <c r="T665" s="3">
        <f>IF($I665="","",IFERROR(INDEX('CAT_TIPOS_OT'!$C$4:$C$7,MATCH($I665,'CAT_TIPOS_OT'!$A$4:$A$7,0)),"sin_clasificar"))</f>
        <v/>
      </c>
      <c r="U665" s="3">
        <f>IF($F665="","",IFERROR(INDEX('CAT_CENTROS_COSTO'!$F$4:$F$13,MATCH($F665,'CAT_CENTROS_COSTO'!$A$4:$A$13,0)),"(sin catálogo)"))</f>
        <v/>
      </c>
      <c r="V665" s="3">
        <f>IF($F665="","",IFERROR(INDEX('CAT_CENTROS_COSTO'!$D$4:$D$13,MATCH($F665,'CAT_CENTROS_COSTO'!$A$4:$A$13,0)),"(sin catálogo)"))</f>
        <v/>
      </c>
      <c r="W665" s="3">
        <f>IF($F665="","",IF((IFERROR(INDEX('CAT_CENTROS_COSTO'!$E$4:$E$13,MATCH($F665,'CAT_CENTROS_COSTO'!$A$4:$A$13,0)),""))&lt;&gt;"",IFERROR(INDEX('CAT_CENTROS_COSTO'!$E$4:$E$13,MATCH($F665,'CAT_CENTROS_COSTO'!$A$4:$A$13,0)),""),$V665))</f>
        <v/>
      </c>
      <c r="X665" s="3">
        <f>IF($F665="","",IFERROR(INDEX('CAT_CENTROS_COSTO'!$G$4:$G$13,MATCH($F665,'CAT_CENTROS_COSTO'!$A$4:$A$13,0)),"(sin catálogo)"))</f>
        <v/>
      </c>
      <c r="Y665" s="3">
        <f>IF($G665="","",IFERROR(INDEX('CAT_PUESTOS'!$B$4:$B$8,MATCH($G665,'CAT_PUESTOS'!$A$4:$A$8,0)),"(sin catálogo)"))</f>
        <v/>
      </c>
      <c r="Z665" s="3">
        <f>IF($H665="","",IFERROR(INDEX('CAT_ACTIVIDADES'!$B$4:$B$8,MATCH($H665,'CAT_ACTIVIDADES'!$A$4:$A$8,0)),"(sin catálogo)"))</f>
        <v/>
      </c>
      <c r="AA665" s="12">
        <f>IF($J665="","",TODAY()-$J665)</f>
        <v/>
      </c>
      <c r="AB665" s="12">
        <f>IF($J665="","",IF($J665&lt;=TODAY(),COUNTIFS(cal_fechas,"&gt;="&amp;$J665,cal_fechas,"&lt;"&amp;TODAY(),cal_habil,"sí"),-COUNTIFS(cal_fechas,"&gt;="&amp;TODAY(),cal_fechas,"&lt;"&amp;$J665,cal_habil,"sí")))</f>
        <v/>
      </c>
      <c r="AC665" s="3">
        <f>IF($AB665="","",IF($AB665&lt;0,"FUTURO",IF($AB665&gt;p_dias_backlog_max,"BACKLOG","MES CORRIENTE")))</f>
        <v/>
      </c>
      <c r="AD665" s="3">
        <f>IF($AB665="",FALSE,AND($AB665&gt;p_dias_backlog_min,$AB665&lt;=p_dias_backlog_max))</f>
        <v/>
      </c>
      <c r="AE665" s="6" t="n"/>
      <c r="AF665" s="3">
        <f>IF($AE665="","",IF((IFERROR(INDEX('ASIGNACIONES'!$F$4:$F$339,MATCH($O665&amp;"|"&amp;$R665&amp;"|"&amp;$AE665,'ASIGNACIONES'!$J$4:$J$339,0)),""))=0,"",IFERROR(INDEX('ASIGNACIONES'!$F$4:$F$339,MATCH($O665&amp;"|"&amp;$R665&amp;"|"&amp;$AE665,'ASIGNACIONES'!$J$4:$J$339,0)),"")))</f>
        <v/>
      </c>
      <c r="AG665" s="13">
        <f>IF($AE665="","",SUMIFS('ORDENES'!$M$4:$M$1203,'ORDENES'!$AE$4:$AE$1203,$AE665,'ORDENES'!$O$4:$O$1203,$O665,'ORDENES'!$R$4:$R$1203,$R665))</f>
        <v/>
      </c>
      <c r="AH665" s="13">
        <f>IF($AG665="","",p_factor_productividad*IFERROR(INDEX('ASIGNACIONES'!$I$4:$I$339,MATCH($O665&amp;"|"&amp;$R665&amp;"|"&amp;$AE665,'ASIGNACIONES'!$J$4:$J$339,0)),0)-$AG665)</f>
        <v/>
      </c>
      <c r="AI665" s="10">
        <f>IF($A665="","",IFERROR(INDEX('2_IMPORTAR_EJECUCION'!$F$9:$F$1208,MATCH($AQ665,'2_IMPORTAR_EJECUCION'!$J$9:$J$1208,0)),0))</f>
        <v/>
      </c>
      <c r="AJ665" s="10">
        <f>IF($A665="","",MAX(0,IFERROR(INDEX('2_IMPORTAR_EJECUCION'!$H$9:$H$1208,MATCH($AQ665,'2_IMPORTAR_EJECUCION'!$J$9:$J$1208,0)),0)-$AI665))</f>
        <v/>
      </c>
      <c r="AK665" s="10">
        <f>IF($A665="","",$AI665+$AJ665)</f>
        <v/>
      </c>
      <c r="AL665" s="6" t="n"/>
      <c r="AM665" s="6" t="n"/>
      <c r="AN665" s="6" t="n"/>
      <c r="AO665" s="3">
        <f>IF($AN665="","",HYPERLINK(p_ruta_base_checklists&amp;$AN665,"abrir"))</f>
        <v/>
      </c>
      <c r="AP665" s="6" t="n"/>
      <c r="AQ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IF($A666="","",IFERROR(INDEX('AJUSTES'!$B$4:$B$303,MATCH($AQ666,'AJUSTES'!$A$4:$A$303,0)),IF($K666="","",$K666)))</f>
        <v/>
      </c>
      <c r="N666" s="3">
        <f>IF($A666="","",IFERROR(INDEX('CAT_ESTADOS_ERP'!$B$4:$B$7,MATCH(IFERROR(INDEX('2_IMPORTAR_EJECUCION'!$C$9:$C$1208,MATCH($AQ666,'2_IMPORTAR_EJECUCION'!$J$9:$J$1208,0)),""),'CAT_ESTADOS_ERP'!$A$4:$A$7,0)),"Pendiente"))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J666="","",IFERROR(INDEX('CALENDARIO'!$C$15:$C$214,MATCH(TEXT($J666,"yyyy-mm-dd")&amp;"|"&amp;$V666&amp;"|"&amp;$W666,'CALENDARIO'!$G$15:$G$214,0)),IFERROR(INDEX('CALENDARIO'!$C$15:$C$214,MATCH(TEXT($J666,"yyyy-mm-dd")&amp;"|"&amp;$V666&amp;"|",'CALENDARIO'!$G$15:$G$214,0)),IFERROR(INDEX('CALENDARIO'!$C$15:$C$214,MATCH(TEXT($J666,"yyyy-mm-dd")&amp;"||",'CALENDARIO'!$G$15:$G$214,0)),INDEX(patronHabil,WEEKDAY($J666,2))))))</f>
        <v/>
      </c>
      <c r="T666" s="3">
        <f>IF($I666="","",IFERROR(INDEX('CAT_TIPOS_OT'!$C$4:$C$7,MATCH($I666,'CAT_TIPOS_OT'!$A$4:$A$7,0)),"sin_clasificar"))</f>
        <v/>
      </c>
      <c r="U666" s="3">
        <f>IF($F666="","",IFERROR(INDEX('CAT_CENTROS_COSTO'!$F$4:$F$13,MATCH($F666,'CAT_CENTROS_COSTO'!$A$4:$A$13,0)),"(sin catálogo)"))</f>
        <v/>
      </c>
      <c r="V666" s="3">
        <f>IF($F666="","",IFERROR(INDEX('CAT_CENTROS_COSTO'!$D$4:$D$13,MATCH($F666,'CAT_CENTROS_COSTO'!$A$4:$A$13,0)),"(sin catálogo)"))</f>
        <v/>
      </c>
      <c r="W666" s="3">
        <f>IF($F666="","",IF((IFERROR(INDEX('CAT_CENTROS_COSTO'!$E$4:$E$13,MATCH($F666,'CAT_CENTROS_COSTO'!$A$4:$A$13,0)),""))&lt;&gt;"",IFERROR(INDEX('CAT_CENTROS_COSTO'!$E$4:$E$13,MATCH($F666,'CAT_CENTROS_COSTO'!$A$4:$A$13,0)),""),$V666))</f>
        <v/>
      </c>
      <c r="X666" s="3">
        <f>IF($F666="","",IFERROR(INDEX('CAT_CENTROS_COSTO'!$G$4:$G$13,MATCH($F666,'CAT_CENTROS_COSTO'!$A$4:$A$13,0)),"(sin catálogo)"))</f>
        <v/>
      </c>
      <c r="Y666" s="3">
        <f>IF($G666="","",IFERROR(INDEX('CAT_PUESTOS'!$B$4:$B$8,MATCH($G666,'CAT_PUESTOS'!$A$4:$A$8,0)),"(sin catálogo)"))</f>
        <v/>
      </c>
      <c r="Z666" s="3">
        <f>IF($H666="","",IFERROR(INDEX('CAT_ACTIVIDADES'!$B$4:$B$8,MATCH($H666,'CAT_ACTIVIDADES'!$A$4:$A$8,0)),"(sin catálogo)"))</f>
        <v/>
      </c>
      <c r="AA666" s="12">
        <f>IF($J666="","",TODAY()-$J666)</f>
        <v/>
      </c>
      <c r="AB666" s="12">
        <f>IF($J666="","",IF($J666&lt;=TODAY(),COUNTIFS(cal_fechas,"&gt;="&amp;$J666,cal_fechas,"&lt;"&amp;TODAY(),cal_habil,"sí"),-COUNTIFS(cal_fechas,"&gt;="&amp;TODAY(),cal_fechas,"&lt;"&amp;$J666,cal_habil,"sí")))</f>
        <v/>
      </c>
      <c r="AC666" s="3">
        <f>IF($AB666="","",IF($AB666&lt;0,"FUTURO",IF($AB666&gt;p_dias_backlog_max,"BACKLOG","MES CORRIENTE")))</f>
        <v/>
      </c>
      <c r="AD666" s="3">
        <f>IF($AB666="",FALSE,AND($AB666&gt;p_dias_backlog_min,$AB666&lt;=p_dias_backlog_max))</f>
        <v/>
      </c>
      <c r="AE666" s="6" t="n"/>
      <c r="AF666" s="3">
        <f>IF($AE666="","",IF((IFERROR(INDEX('ASIGNACIONES'!$F$4:$F$339,MATCH($O666&amp;"|"&amp;$R666&amp;"|"&amp;$AE666,'ASIGNACIONES'!$J$4:$J$339,0)),""))=0,"",IFERROR(INDEX('ASIGNACIONES'!$F$4:$F$339,MATCH($O666&amp;"|"&amp;$R666&amp;"|"&amp;$AE666,'ASIGNACIONES'!$J$4:$J$339,0)),"")))</f>
        <v/>
      </c>
      <c r="AG666" s="13">
        <f>IF($AE666="","",SUMIFS('ORDENES'!$M$4:$M$1203,'ORDENES'!$AE$4:$AE$1203,$AE666,'ORDENES'!$O$4:$O$1203,$O666,'ORDENES'!$R$4:$R$1203,$R666))</f>
        <v/>
      </c>
      <c r="AH666" s="13">
        <f>IF($AG666="","",p_factor_productividad*IFERROR(INDEX('ASIGNACIONES'!$I$4:$I$339,MATCH($O666&amp;"|"&amp;$R666&amp;"|"&amp;$AE666,'ASIGNACIONES'!$J$4:$J$339,0)),0)-$AG666)</f>
        <v/>
      </c>
      <c r="AI666" s="10">
        <f>IF($A666="","",IFERROR(INDEX('2_IMPORTAR_EJECUCION'!$F$9:$F$1208,MATCH($AQ666,'2_IMPORTAR_EJECUCION'!$J$9:$J$1208,0)),0))</f>
        <v/>
      </c>
      <c r="AJ666" s="10">
        <f>IF($A666="","",MAX(0,IFERROR(INDEX('2_IMPORTAR_EJECUCION'!$H$9:$H$1208,MATCH($AQ666,'2_IMPORTAR_EJECUCION'!$J$9:$J$1208,0)),0)-$AI666))</f>
        <v/>
      </c>
      <c r="AK666" s="10">
        <f>IF($A666="","",$AI666+$AJ666)</f>
        <v/>
      </c>
      <c r="AL666" s="6" t="n"/>
      <c r="AM666" s="6" t="n"/>
      <c r="AN666" s="6" t="n"/>
      <c r="AO666" s="3">
        <f>IF($AN666="","",HYPERLINK(p_ruta_base_checklists&amp;$AN666,"abrir"))</f>
        <v/>
      </c>
      <c r="AP666" s="6" t="n"/>
      <c r="AQ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IF($A667="","",IFERROR(INDEX('AJUSTES'!$B$4:$B$303,MATCH($AQ667,'AJUSTES'!$A$4:$A$303,0)),IF($K667="","",$K667)))</f>
        <v/>
      </c>
      <c r="N667" s="3">
        <f>IF($A667="","",IFERROR(INDEX('CAT_ESTADOS_ERP'!$B$4:$B$7,MATCH(IFERROR(INDEX('2_IMPORTAR_EJECUCION'!$C$9:$C$1208,MATCH($AQ667,'2_IMPORTAR_EJECUCION'!$J$9:$J$1208,0)),""),'CAT_ESTADOS_ERP'!$A$4:$A$7,0)),"Pendiente"))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J667="","",IFERROR(INDEX('CALENDARIO'!$C$15:$C$214,MATCH(TEXT($J667,"yyyy-mm-dd")&amp;"|"&amp;$V667&amp;"|"&amp;$W667,'CALENDARIO'!$G$15:$G$214,0)),IFERROR(INDEX('CALENDARIO'!$C$15:$C$214,MATCH(TEXT($J667,"yyyy-mm-dd")&amp;"|"&amp;$V667&amp;"|",'CALENDARIO'!$G$15:$G$214,0)),IFERROR(INDEX('CALENDARIO'!$C$15:$C$214,MATCH(TEXT($J667,"yyyy-mm-dd")&amp;"||",'CALENDARIO'!$G$15:$G$214,0)),INDEX(patronHabil,WEEKDAY($J667,2))))))</f>
        <v/>
      </c>
      <c r="T667" s="3">
        <f>IF($I667="","",IFERROR(INDEX('CAT_TIPOS_OT'!$C$4:$C$7,MATCH($I667,'CAT_TIPOS_OT'!$A$4:$A$7,0)),"sin_clasificar"))</f>
        <v/>
      </c>
      <c r="U667" s="3">
        <f>IF($F667="","",IFERROR(INDEX('CAT_CENTROS_COSTO'!$F$4:$F$13,MATCH($F667,'CAT_CENTROS_COSTO'!$A$4:$A$13,0)),"(sin catálogo)"))</f>
        <v/>
      </c>
      <c r="V667" s="3">
        <f>IF($F667="","",IFERROR(INDEX('CAT_CENTROS_COSTO'!$D$4:$D$13,MATCH($F667,'CAT_CENTROS_COSTO'!$A$4:$A$13,0)),"(sin catálogo)"))</f>
        <v/>
      </c>
      <c r="W667" s="3">
        <f>IF($F667="","",IF((IFERROR(INDEX('CAT_CENTROS_COSTO'!$E$4:$E$13,MATCH($F667,'CAT_CENTROS_COSTO'!$A$4:$A$13,0)),""))&lt;&gt;"",IFERROR(INDEX('CAT_CENTROS_COSTO'!$E$4:$E$13,MATCH($F667,'CAT_CENTROS_COSTO'!$A$4:$A$13,0)),""),$V667))</f>
        <v/>
      </c>
      <c r="X667" s="3">
        <f>IF($F667="","",IFERROR(INDEX('CAT_CENTROS_COSTO'!$G$4:$G$13,MATCH($F667,'CAT_CENTROS_COSTO'!$A$4:$A$13,0)),"(sin catálogo)"))</f>
        <v/>
      </c>
      <c r="Y667" s="3">
        <f>IF($G667="","",IFERROR(INDEX('CAT_PUESTOS'!$B$4:$B$8,MATCH($G667,'CAT_PUESTOS'!$A$4:$A$8,0)),"(sin catálogo)"))</f>
        <v/>
      </c>
      <c r="Z667" s="3">
        <f>IF($H667="","",IFERROR(INDEX('CAT_ACTIVIDADES'!$B$4:$B$8,MATCH($H667,'CAT_ACTIVIDADES'!$A$4:$A$8,0)),"(sin catálogo)"))</f>
        <v/>
      </c>
      <c r="AA667" s="12">
        <f>IF($J667="","",TODAY()-$J667)</f>
        <v/>
      </c>
      <c r="AB667" s="12">
        <f>IF($J667="","",IF($J667&lt;=TODAY(),COUNTIFS(cal_fechas,"&gt;="&amp;$J667,cal_fechas,"&lt;"&amp;TODAY(),cal_habil,"sí"),-COUNTIFS(cal_fechas,"&gt;="&amp;TODAY(),cal_fechas,"&lt;"&amp;$J667,cal_habil,"sí")))</f>
        <v/>
      </c>
      <c r="AC667" s="3">
        <f>IF($AB667="","",IF($AB667&lt;0,"FUTURO",IF($AB667&gt;p_dias_backlog_max,"BACKLOG","MES CORRIENTE")))</f>
        <v/>
      </c>
      <c r="AD667" s="3">
        <f>IF($AB667="",FALSE,AND($AB667&gt;p_dias_backlog_min,$AB667&lt;=p_dias_backlog_max))</f>
        <v/>
      </c>
      <c r="AE667" s="6" t="n"/>
      <c r="AF667" s="3">
        <f>IF($AE667="","",IF((IFERROR(INDEX('ASIGNACIONES'!$F$4:$F$339,MATCH($O667&amp;"|"&amp;$R667&amp;"|"&amp;$AE667,'ASIGNACIONES'!$J$4:$J$339,0)),""))=0,"",IFERROR(INDEX('ASIGNACIONES'!$F$4:$F$339,MATCH($O667&amp;"|"&amp;$R667&amp;"|"&amp;$AE667,'ASIGNACIONES'!$J$4:$J$339,0)),"")))</f>
        <v/>
      </c>
      <c r="AG667" s="13">
        <f>IF($AE667="","",SUMIFS('ORDENES'!$M$4:$M$1203,'ORDENES'!$AE$4:$AE$1203,$AE667,'ORDENES'!$O$4:$O$1203,$O667,'ORDENES'!$R$4:$R$1203,$R667))</f>
        <v/>
      </c>
      <c r="AH667" s="13">
        <f>IF($AG667="","",p_factor_productividad*IFERROR(INDEX('ASIGNACIONES'!$I$4:$I$339,MATCH($O667&amp;"|"&amp;$R667&amp;"|"&amp;$AE667,'ASIGNACIONES'!$J$4:$J$339,0)),0)-$AG667)</f>
        <v/>
      </c>
      <c r="AI667" s="10">
        <f>IF($A667="","",IFERROR(INDEX('2_IMPORTAR_EJECUCION'!$F$9:$F$1208,MATCH($AQ667,'2_IMPORTAR_EJECUCION'!$J$9:$J$1208,0)),0))</f>
        <v/>
      </c>
      <c r="AJ667" s="10">
        <f>IF($A667="","",MAX(0,IFERROR(INDEX('2_IMPORTAR_EJECUCION'!$H$9:$H$1208,MATCH($AQ667,'2_IMPORTAR_EJECUCION'!$J$9:$J$1208,0)),0)-$AI667))</f>
        <v/>
      </c>
      <c r="AK667" s="10">
        <f>IF($A667="","",$AI667+$AJ667)</f>
        <v/>
      </c>
      <c r="AL667" s="6" t="n"/>
      <c r="AM667" s="6" t="n"/>
      <c r="AN667" s="6" t="n"/>
      <c r="AO667" s="3">
        <f>IF($AN667="","",HYPERLINK(p_ruta_base_checklists&amp;$AN667,"abrir"))</f>
        <v/>
      </c>
      <c r="AP667" s="6" t="n"/>
      <c r="AQ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IF($A668="","",IFERROR(INDEX('AJUSTES'!$B$4:$B$303,MATCH($AQ668,'AJUSTES'!$A$4:$A$303,0)),IF($K668="","",$K668)))</f>
        <v/>
      </c>
      <c r="N668" s="3">
        <f>IF($A668="","",IFERROR(INDEX('CAT_ESTADOS_ERP'!$B$4:$B$7,MATCH(IFERROR(INDEX('2_IMPORTAR_EJECUCION'!$C$9:$C$1208,MATCH($AQ668,'2_IMPORTAR_EJECUCION'!$J$9:$J$1208,0)),""),'CAT_ESTADOS_ERP'!$A$4:$A$7,0)),"Pendiente"))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J668="","",IFERROR(INDEX('CALENDARIO'!$C$15:$C$214,MATCH(TEXT($J668,"yyyy-mm-dd")&amp;"|"&amp;$V668&amp;"|"&amp;$W668,'CALENDARIO'!$G$15:$G$214,0)),IFERROR(INDEX('CALENDARIO'!$C$15:$C$214,MATCH(TEXT($J668,"yyyy-mm-dd")&amp;"|"&amp;$V668&amp;"|",'CALENDARIO'!$G$15:$G$214,0)),IFERROR(INDEX('CALENDARIO'!$C$15:$C$214,MATCH(TEXT($J668,"yyyy-mm-dd")&amp;"||",'CALENDARIO'!$G$15:$G$214,0)),INDEX(patronHabil,WEEKDAY($J668,2))))))</f>
        <v/>
      </c>
      <c r="T668" s="3">
        <f>IF($I668="","",IFERROR(INDEX('CAT_TIPOS_OT'!$C$4:$C$7,MATCH($I668,'CAT_TIPOS_OT'!$A$4:$A$7,0)),"sin_clasificar"))</f>
        <v/>
      </c>
      <c r="U668" s="3">
        <f>IF($F668="","",IFERROR(INDEX('CAT_CENTROS_COSTO'!$F$4:$F$13,MATCH($F668,'CAT_CENTROS_COSTO'!$A$4:$A$13,0)),"(sin catálogo)"))</f>
        <v/>
      </c>
      <c r="V668" s="3">
        <f>IF($F668="","",IFERROR(INDEX('CAT_CENTROS_COSTO'!$D$4:$D$13,MATCH($F668,'CAT_CENTROS_COSTO'!$A$4:$A$13,0)),"(sin catálogo)"))</f>
        <v/>
      </c>
      <c r="W668" s="3">
        <f>IF($F668="","",IF((IFERROR(INDEX('CAT_CENTROS_COSTO'!$E$4:$E$13,MATCH($F668,'CAT_CENTROS_COSTO'!$A$4:$A$13,0)),""))&lt;&gt;"",IFERROR(INDEX('CAT_CENTROS_COSTO'!$E$4:$E$13,MATCH($F668,'CAT_CENTROS_COSTO'!$A$4:$A$13,0)),""),$V668))</f>
        <v/>
      </c>
      <c r="X668" s="3">
        <f>IF($F668="","",IFERROR(INDEX('CAT_CENTROS_COSTO'!$G$4:$G$13,MATCH($F668,'CAT_CENTROS_COSTO'!$A$4:$A$13,0)),"(sin catálogo)"))</f>
        <v/>
      </c>
      <c r="Y668" s="3">
        <f>IF($G668="","",IFERROR(INDEX('CAT_PUESTOS'!$B$4:$B$8,MATCH($G668,'CAT_PUESTOS'!$A$4:$A$8,0)),"(sin catálogo)"))</f>
        <v/>
      </c>
      <c r="Z668" s="3">
        <f>IF($H668="","",IFERROR(INDEX('CAT_ACTIVIDADES'!$B$4:$B$8,MATCH($H668,'CAT_ACTIVIDADES'!$A$4:$A$8,0)),"(sin catálogo)"))</f>
        <v/>
      </c>
      <c r="AA668" s="12">
        <f>IF($J668="","",TODAY()-$J668)</f>
        <v/>
      </c>
      <c r="AB668" s="12">
        <f>IF($J668="","",IF($J668&lt;=TODAY(),COUNTIFS(cal_fechas,"&gt;="&amp;$J668,cal_fechas,"&lt;"&amp;TODAY(),cal_habil,"sí"),-COUNTIFS(cal_fechas,"&gt;="&amp;TODAY(),cal_fechas,"&lt;"&amp;$J668,cal_habil,"sí")))</f>
        <v/>
      </c>
      <c r="AC668" s="3">
        <f>IF($AB668="","",IF($AB668&lt;0,"FUTURO",IF($AB668&gt;p_dias_backlog_max,"BACKLOG","MES CORRIENTE")))</f>
        <v/>
      </c>
      <c r="AD668" s="3">
        <f>IF($AB668="",FALSE,AND($AB668&gt;p_dias_backlog_min,$AB668&lt;=p_dias_backlog_max))</f>
        <v/>
      </c>
      <c r="AE668" s="6" t="n"/>
      <c r="AF668" s="3">
        <f>IF($AE668="","",IF((IFERROR(INDEX('ASIGNACIONES'!$F$4:$F$339,MATCH($O668&amp;"|"&amp;$R668&amp;"|"&amp;$AE668,'ASIGNACIONES'!$J$4:$J$339,0)),""))=0,"",IFERROR(INDEX('ASIGNACIONES'!$F$4:$F$339,MATCH($O668&amp;"|"&amp;$R668&amp;"|"&amp;$AE668,'ASIGNACIONES'!$J$4:$J$339,0)),"")))</f>
        <v/>
      </c>
      <c r="AG668" s="13">
        <f>IF($AE668="","",SUMIFS('ORDENES'!$M$4:$M$1203,'ORDENES'!$AE$4:$AE$1203,$AE668,'ORDENES'!$O$4:$O$1203,$O668,'ORDENES'!$R$4:$R$1203,$R668))</f>
        <v/>
      </c>
      <c r="AH668" s="13">
        <f>IF($AG668="","",p_factor_productividad*IFERROR(INDEX('ASIGNACIONES'!$I$4:$I$339,MATCH($O668&amp;"|"&amp;$R668&amp;"|"&amp;$AE668,'ASIGNACIONES'!$J$4:$J$339,0)),0)-$AG668)</f>
        <v/>
      </c>
      <c r="AI668" s="10">
        <f>IF($A668="","",IFERROR(INDEX('2_IMPORTAR_EJECUCION'!$F$9:$F$1208,MATCH($AQ668,'2_IMPORTAR_EJECUCION'!$J$9:$J$1208,0)),0))</f>
        <v/>
      </c>
      <c r="AJ668" s="10">
        <f>IF($A668="","",MAX(0,IFERROR(INDEX('2_IMPORTAR_EJECUCION'!$H$9:$H$1208,MATCH($AQ668,'2_IMPORTAR_EJECUCION'!$J$9:$J$1208,0)),0)-$AI668))</f>
        <v/>
      </c>
      <c r="AK668" s="10">
        <f>IF($A668="","",$AI668+$AJ668)</f>
        <v/>
      </c>
      <c r="AL668" s="6" t="n"/>
      <c r="AM668" s="6" t="n"/>
      <c r="AN668" s="6" t="n"/>
      <c r="AO668" s="3">
        <f>IF($AN668="","",HYPERLINK(p_ruta_base_checklists&amp;$AN668,"abrir"))</f>
        <v/>
      </c>
      <c r="AP668" s="6" t="n"/>
      <c r="AQ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IF($A669="","",IFERROR(INDEX('AJUSTES'!$B$4:$B$303,MATCH($AQ669,'AJUSTES'!$A$4:$A$303,0)),IF($K669="","",$K669)))</f>
        <v/>
      </c>
      <c r="N669" s="3">
        <f>IF($A669="","",IFERROR(INDEX('CAT_ESTADOS_ERP'!$B$4:$B$7,MATCH(IFERROR(INDEX('2_IMPORTAR_EJECUCION'!$C$9:$C$1208,MATCH($AQ669,'2_IMPORTAR_EJECUCION'!$J$9:$J$1208,0)),""),'CAT_ESTADOS_ERP'!$A$4:$A$7,0)),"Pendiente"))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J669="","",IFERROR(INDEX('CALENDARIO'!$C$15:$C$214,MATCH(TEXT($J669,"yyyy-mm-dd")&amp;"|"&amp;$V669&amp;"|"&amp;$W669,'CALENDARIO'!$G$15:$G$214,0)),IFERROR(INDEX('CALENDARIO'!$C$15:$C$214,MATCH(TEXT($J669,"yyyy-mm-dd")&amp;"|"&amp;$V669&amp;"|",'CALENDARIO'!$G$15:$G$214,0)),IFERROR(INDEX('CALENDARIO'!$C$15:$C$214,MATCH(TEXT($J669,"yyyy-mm-dd")&amp;"||",'CALENDARIO'!$G$15:$G$214,0)),INDEX(patronHabil,WEEKDAY($J669,2))))))</f>
        <v/>
      </c>
      <c r="T669" s="3">
        <f>IF($I669="","",IFERROR(INDEX('CAT_TIPOS_OT'!$C$4:$C$7,MATCH($I669,'CAT_TIPOS_OT'!$A$4:$A$7,0)),"sin_clasificar"))</f>
        <v/>
      </c>
      <c r="U669" s="3">
        <f>IF($F669="","",IFERROR(INDEX('CAT_CENTROS_COSTO'!$F$4:$F$13,MATCH($F669,'CAT_CENTROS_COSTO'!$A$4:$A$13,0)),"(sin catálogo)"))</f>
        <v/>
      </c>
      <c r="V669" s="3">
        <f>IF($F669="","",IFERROR(INDEX('CAT_CENTROS_COSTO'!$D$4:$D$13,MATCH($F669,'CAT_CENTROS_COSTO'!$A$4:$A$13,0)),"(sin catálogo)"))</f>
        <v/>
      </c>
      <c r="W669" s="3">
        <f>IF($F669="","",IF((IFERROR(INDEX('CAT_CENTROS_COSTO'!$E$4:$E$13,MATCH($F669,'CAT_CENTROS_COSTO'!$A$4:$A$13,0)),""))&lt;&gt;"",IFERROR(INDEX('CAT_CENTROS_COSTO'!$E$4:$E$13,MATCH($F669,'CAT_CENTROS_COSTO'!$A$4:$A$13,0)),""),$V669))</f>
        <v/>
      </c>
      <c r="X669" s="3">
        <f>IF($F669="","",IFERROR(INDEX('CAT_CENTROS_COSTO'!$G$4:$G$13,MATCH($F669,'CAT_CENTROS_COSTO'!$A$4:$A$13,0)),"(sin catálogo)"))</f>
        <v/>
      </c>
      <c r="Y669" s="3">
        <f>IF($G669="","",IFERROR(INDEX('CAT_PUESTOS'!$B$4:$B$8,MATCH($G669,'CAT_PUESTOS'!$A$4:$A$8,0)),"(sin catálogo)"))</f>
        <v/>
      </c>
      <c r="Z669" s="3">
        <f>IF($H669="","",IFERROR(INDEX('CAT_ACTIVIDADES'!$B$4:$B$8,MATCH($H669,'CAT_ACTIVIDADES'!$A$4:$A$8,0)),"(sin catálogo)"))</f>
        <v/>
      </c>
      <c r="AA669" s="12">
        <f>IF($J669="","",TODAY()-$J669)</f>
        <v/>
      </c>
      <c r="AB669" s="12">
        <f>IF($J669="","",IF($J669&lt;=TODAY(),COUNTIFS(cal_fechas,"&gt;="&amp;$J669,cal_fechas,"&lt;"&amp;TODAY(),cal_habil,"sí"),-COUNTIFS(cal_fechas,"&gt;="&amp;TODAY(),cal_fechas,"&lt;"&amp;$J669,cal_habil,"sí")))</f>
        <v/>
      </c>
      <c r="AC669" s="3">
        <f>IF($AB669="","",IF($AB669&lt;0,"FUTURO",IF($AB669&gt;p_dias_backlog_max,"BACKLOG","MES CORRIENTE")))</f>
        <v/>
      </c>
      <c r="AD669" s="3">
        <f>IF($AB669="",FALSE,AND($AB669&gt;p_dias_backlog_min,$AB669&lt;=p_dias_backlog_max))</f>
        <v/>
      </c>
      <c r="AE669" s="6" t="n"/>
      <c r="AF669" s="3">
        <f>IF($AE669="","",IF((IFERROR(INDEX('ASIGNACIONES'!$F$4:$F$339,MATCH($O669&amp;"|"&amp;$R669&amp;"|"&amp;$AE669,'ASIGNACIONES'!$J$4:$J$339,0)),""))=0,"",IFERROR(INDEX('ASIGNACIONES'!$F$4:$F$339,MATCH($O669&amp;"|"&amp;$R669&amp;"|"&amp;$AE669,'ASIGNACIONES'!$J$4:$J$339,0)),"")))</f>
        <v/>
      </c>
      <c r="AG669" s="13">
        <f>IF($AE669="","",SUMIFS('ORDENES'!$M$4:$M$1203,'ORDENES'!$AE$4:$AE$1203,$AE669,'ORDENES'!$O$4:$O$1203,$O669,'ORDENES'!$R$4:$R$1203,$R669))</f>
        <v/>
      </c>
      <c r="AH669" s="13">
        <f>IF($AG669="","",p_factor_productividad*IFERROR(INDEX('ASIGNACIONES'!$I$4:$I$339,MATCH($O669&amp;"|"&amp;$R669&amp;"|"&amp;$AE669,'ASIGNACIONES'!$J$4:$J$339,0)),0)-$AG669)</f>
        <v/>
      </c>
      <c r="AI669" s="10">
        <f>IF($A669="","",IFERROR(INDEX('2_IMPORTAR_EJECUCION'!$F$9:$F$1208,MATCH($AQ669,'2_IMPORTAR_EJECUCION'!$J$9:$J$1208,0)),0))</f>
        <v/>
      </c>
      <c r="AJ669" s="10">
        <f>IF($A669="","",MAX(0,IFERROR(INDEX('2_IMPORTAR_EJECUCION'!$H$9:$H$1208,MATCH($AQ669,'2_IMPORTAR_EJECUCION'!$J$9:$J$1208,0)),0)-$AI669))</f>
        <v/>
      </c>
      <c r="AK669" s="10">
        <f>IF($A669="","",$AI669+$AJ669)</f>
        <v/>
      </c>
      <c r="AL669" s="6" t="n"/>
      <c r="AM669" s="6" t="n"/>
      <c r="AN669" s="6" t="n"/>
      <c r="AO669" s="3">
        <f>IF($AN669="","",HYPERLINK(p_ruta_base_checklists&amp;$AN669,"abrir"))</f>
        <v/>
      </c>
      <c r="AP669" s="6" t="n"/>
      <c r="AQ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IF($A670="","",IFERROR(INDEX('AJUSTES'!$B$4:$B$303,MATCH($AQ670,'AJUSTES'!$A$4:$A$303,0)),IF($K670="","",$K670)))</f>
        <v/>
      </c>
      <c r="N670" s="3">
        <f>IF($A670="","",IFERROR(INDEX('CAT_ESTADOS_ERP'!$B$4:$B$7,MATCH(IFERROR(INDEX('2_IMPORTAR_EJECUCION'!$C$9:$C$1208,MATCH($AQ670,'2_IMPORTAR_EJECUCION'!$J$9:$J$1208,0)),""),'CAT_ESTADOS_ERP'!$A$4:$A$7,0)),"Pendiente"))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J670="","",IFERROR(INDEX('CALENDARIO'!$C$15:$C$214,MATCH(TEXT($J670,"yyyy-mm-dd")&amp;"|"&amp;$V670&amp;"|"&amp;$W670,'CALENDARIO'!$G$15:$G$214,0)),IFERROR(INDEX('CALENDARIO'!$C$15:$C$214,MATCH(TEXT($J670,"yyyy-mm-dd")&amp;"|"&amp;$V670&amp;"|",'CALENDARIO'!$G$15:$G$214,0)),IFERROR(INDEX('CALENDARIO'!$C$15:$C$214,MATCH(TEXT($J670,"yyyy-mm-dd")&amp;"||",'CALENDARIO'!$G$15:$G$214,0)),INDEX(patronHabil,WEEKDAY($J670,2))))))</f>
        <v/>
      </c>
      <c r="T670" s="3">
        <f>IF($I670="","",IFERROR(INDEX('CAT_TIPOS_OT'!$C$4:$C$7,MATCH($I670,'CAT_TIPOS_OT'!$A$4:$A$7,0)),"sin_clasificar"))</f>
        <v/>
      </c>
      <c r="U670" s="3">
        <f>IF($F670="","",IFERROR(INDEX('CAT_CENTROS_COSTO'!$F$4:$F$13,MATCH($F670,'CAT_CENTROS_COSTO'!$A$4:$A$13,0)),"(sin catálogo)"))</f>
        <v/>
      </c>
      <c r="V670" s="3">
        <f>IF($F670="","",IFERROR(INDEX('CAT_CENTROS_COSTO'!$D$4:$D$13,MATCH($F670,'CAT_CENTROS_COSTO'!$A$4:$A$13,0)),"(sin catálogo)"))</f>
        <v/>
      </c>
      <c r="W670" s="3">
        <f>IF($F670="","",IF((IFERROR(INDEX('CAT_CENTROS_COSTO'!$E$4:$E$13,MATCH($F670,'CAT_CENTROS_COSTO'!$A$4:$A$13,0)),""))&lt;&gt;"",IFERROR(INDEX('CAT_CENTROS_COSTO'!$E$4:$E$13,MATCH($F670,'CAT_CENTROS_COSTO'!$A$4:$A$13,0)),""),$V670))</f>
        <v/>
      </c>
      <c r="X670" s="3">
        <f>IF($F670="","",IFERROR(INDEX('CAT_CENTROS_COSTO'!$G$4:$G$13,MATCH($F670,'CAT_CENTROS_COSTO'!$A$4:$A$13,0)),"(sin catálogo)"))</f>
        <v/>
      </c>
      <c r="Y670" s="3">
        <f>IF($G670="","",IFERROR(INDEX('CAT_PUESTOS'!$B$4:$B$8,MATCH($G670,'CAT_PUESTOS'!$A$4:$A$8,0)),"(sin catálogo)"))</f>
        <v/>
      </c>
      <c r="Z670" s="3">
        <f>IF($H670="","",IFERROR(INDEX('CAT_ACTIVIDADES'!$B$4:$B$8,MATCH($H670,'CAT_ACTIVIDADES'!$A$4:$A$8,0)),"(sin catálogo)"))</f>
        <v/>
      </c>
      <c r="AA670" s="12">
        <f>IF($J670="","",TODAY()-$J670)</f>
        <v/>
      </c>
      <c r="AB670" s="12">
        <f>IF($J670="","",IF($J670&lt;=TODAY(),COUNTIFS(cal_fechas,"&gt;="&amp;$J670,cal_fechas,"&lt;"&amp;TODAY(),cal_habil,"sí"),-COUNTIFS(cal_fechas,"&gt;="&amp;TODAY(),cal_fechas,"&lt;"&amp;$J670,cal_habil,"sí")))</f>
        <v/>
      </c>
      <c r="AC670" s="3">
        <f>IF($AB670="","",IF($AB670&lt;0,"FUTURO",IF($AB670&gt;p_dias_backlog_max,"BACKLOG","MES CORRIENTE")))</f>
        <v/>
      </c>
      <c r="AD670" s="3">
        <f>IF($AB670="",FALSE,AND($AB670&gt;p_dias_backlog_min,$AB670&lt;=p_dias_backlog_max))</f>
        <v/>
      </c>
      <c r="AE670" s="6" t="n"/>
      <c r="AF670" s="3">
        <f>IF($AE670="","",IF((IFERROR(INDEX('ASIGNACIONES'!$F$4:$F$339,MATCH($O670&amp;"|"&amp;$R670&amp;"|"&amp;$AE670,'ASIGNACIONES'!$J$4:$J$339,0)),""))=0,"",IFERROR(INDEX('ASIGNACIONES'!$F$4:$F$339,MATCH($O670&amp;"|"&amp;$R670&amp;"|"&amp;$AE670,'ASIGNACIONES'!$J$4:$J$339,0)),"")))</f>
        <v/>
      </c>
      <c r="AG670" s="13">
        <f>IF($AE670="","",SUMIFS('ORDENES'!$M$4:$M$1203,'ORDENES'!$AE$4:$AE$1203,$AE670,'ORDENES'!$O$4:$O$1203,$O670,'ORDENES'!$R$4:$R$1203,$R670))</f>
        <v/>
      </c>
      <c r="AH670" s="13">
        <f>IF($AG670="","",p_factor_productividad*IFERROR(INDEX('ASIGNACIONES'!$I$4:$I$339,MATCH($O670&amp;"|"&amp;$R670&amp;"|"&amp;$AE670,'ASIGNACIONES'!$J$4:$J$339,0)),0)-$AG670)</f>
        <v/>
      </c>
      <c r="AI670" s="10">
        <f>IF($A670="","",IFERROR(INDEX('2_IMPORTAR_EJECUCION'!$F$9:$F$1208,MATCH($AQ670,'2_IMPORTAR_EJECUCION'!$J$9:$J$1208,0)),0))</f>
        <v/>
      </c>
      <c r="AJ670" s="10">
        <f>IF($A670="","",MAX(0,IFERROR(INDEX('2_IMPORTAR_EJECUCION'!$H$9:$H$1208,MATCH($AQ670,'2_IMPORTAR_EJECUCION'!$J$9:$J$1208,0)),0)-$AI670))</f>
        <v/>
      </c>
      <c r="AK670" s="10">
        <f>IF($A670="","",$AI670+$AJ670)</f>
        <v/>
      </c>
      <c r="AL670" s="6" t="n"/>
      <c r="AM670" s="6" t="n"/>
      <c r="AN670" s="6" t="n"/>
      <c r="AO670" s="3">
        <f>IF($AN670="","",HYPERLINK(p_ruta_base_checklists&amp;$AN670,"abrir"))</f>
        <v/>
      </c>
      <c r="AP670" s="6" t="n"/>
      <c r="AQ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IF($A671="","",IFERROR(INDEX('AJUSTES'!$B$4:$B$303,MATCH($AQ671,'AJUSTES'!$A$4:$A$303,0)),IF($K671="","",$K671)))</f>
        <v/>
      </c>
      <c r="N671" s="3">
        <f>IF($A671="","",IFERROR(INDEX('CAT_ESTADOS_ERP'!$B$4:$B$7,MATCH(IFERROR(INDEX('2_IMPORTAR_EJECUCION'!$C$9:$C$1208,MATCH($AQ671,'2_IMPORTAR_EJECUCION'!$J$9:$J$1208,0)),""),'CAT_ESTADOS_ERP'!$A$4:$A$7,0)),"Pendiente"))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J671="","",IFERROR(INDEX('CALENDARIO'!$C$15:$C$214,MATCH(TEXT($J671,"yyyy-mm-dd")&amp;"|"&amp;$V671&amp;"|"&amp;$W671,'CALENDARIO'!$G$15:$G$214,0)),IFERROR(INDEX('CALENDARIO'!$C$15:$C$214,MATCH(TEXT($J671,"yyyy-mm-dd")&amp;"|"&amp;$V671&amp;"|",'CALENDARIO'!$G$15:$G$214,0)),IFERROR(INDEX('CALENDARIO'!$C$15:$C$214,MATCH(TEXT($J671,"yyyy-mm-dd")&amp;"||",'CALENDARIO'!$G$15:$G$214,0)),INDEX(patronHabil,WEEKDAY($J671,2))))))</f>
        <v/>
      </c>
      <c r="T671" s="3">
        <f>IF($I671="","",IFERROR(INDEX('CAT_TIPOS_OT'!$C$4:$C$7,MATCH($I671,'CAT_TIPOS_OT'!$A$4:$A$7,0)),"sin_clasificar"))</f>
        <v/>
      </c>
      <c r="U671" s="3">
        <f>IF($F671="","",IFERROR(INDEX('CAT_CENTROS_COSTO'!$F$4:$F$13,MATCH($F671,'CAT_CENTROS_COSTO'!$A$4:$A$13,0)),"(sin catálogo)"))</f>
        <v/>
      </c>
      <c r="V671" s="3">
        <f>IF($F671="","",IFERROR(INDEX('CAT_CENTROS_COSTO'!$D$4:$D$13,MATCH($F671,'CAT_CENTROS_COSTO'!$A$4:$A$13,0)),"(sin catálogo)"))</f>
        <v/>
      </c>
      <c r="W671" s="3">
        <f>IF($F671="","",IF((IFERROR(INDEX('CAT_CENTROS_COSTO'!$E$4:$E$13,MATCH($F671,'CAT_CENTROS_COSTO'!$A$4:$A$13,0)),""))&lt;&gt;"",IFERROR(INDEX('CAT_CENTROS_COSTO'!$E$4:$E$13,MATCH($F671,'CAT_CENTROS_COSTO'!$A$4:$A$13,0)),""),$V671))</f>
        <v/>
      </c>
      <c r="X671" s="3">
        <f>IF($F671="","",IFERROR(INDEX('CAT_CENTROS_COSTO'!$G$4:$G$13,MATCH($F671,'CAT_CENTROS_COSTO'!$A$4:$A$13,0)),"(sin catálogo)"))</f>
        <v/>
      </c>
      <c r="Y671" s="3">
        <f>IF($G671="","",IFERROR(INDEX('CAT_PUESTOS'!$B$4:$B$8,MATCH($G671,'CAT_PUESTOS'!$A$4:$A$8,0)),"(sin catálogo)"))</f>
        <v/>
      </c>
      <c r="Z671" s="3">
        <f>IF($H671="","",IFERROR(INDEX('CAT_ACTIVIDADES'!$B$4:$B$8,MATCH($H671,'CAT_ACTIVIDADES'!$A$4:$A$8,0)),"(sin catálogo)"))</f>
        <v/>
      </c>
      <c r="AA671" s="12">
        <f>IF($J671="","",TODAY()-$J671)</f>
        <v/>
      </c>
      <c r="AB671" s="12">
        <f>IF($J671="","",IF($J671&lt;=TODAY(),COUNTIFS(cal_fechas,"&gt;="&amp;$J671,cal_fechas,"&lt;"&amp;TODAY(),cal_habil,"sí"),-COUNTIFS(cal_fechas,"&gt;="&amp;TODAY(),cal_fechas,"&lt;"&amp;$J671,cal_habil,"sí")))</f>
        <v/>
      </c>
      <c r="AC671" s="3">
        <f>IF($AB671="","",IF($AB671&lt;0,"FUTURO",IF($AB671&gt;p_dias_backlog_max,"BACKLOG","MES CORRIENTE")))</f>
        <v/>
      </c>
      <c r="AD671" s="3">
        <f>IF($AB671="",FALSE,AND($AB671&gt;p_dias_backlog_min,$AB671&lt;=p_dias_backlog_max))</f>
        <v/>
      </c>
      <c r="AE671" s="6" t="n"/>
      <c r="AF671" s="3">
        <f>IF($AE671="","",IF((IFERROR(INDEX('ASIGNACIONES'!$F$4:$F$339,MATCH($O671&amp;"|"&amp;$R671&amp;"|"&amp;$AE671,'ASIGNACIONES'!$J$4:$J$339,0)),""))=0,"",IFERROR(INDEX('ASIGNACIONES'!$F$4:$F$339,MATCH($O671&amp;"|"&amp;$R671&amp;"|"&amp;$AE671,'ASIGNACIONES'!$J$4:$J$339,0)),"")))</f>
        <v/>
      </c>
      <c r="AG671" s="13">
        <f>IF($AE671="","",SUMIFS('ORDENES'!$M$4:$M$1203,'ORDENES'!$AE$4:$AE$1203,$AE671,'ORDENES'!$O$4:$O$1203,$O671,'ORDENES'!$R$4:$R$1203,$R671))</f>
        <v/>
      </c>
      <c r="AH671" s="13">
        <f>IF($AG671="","",p_factor_productividad*IFERROR(INDEX('ASIGNACIONES'!$I$4:$I$339,MATCH($O671&amp;"|"&amp;$R671&amp;"|"&amp;$AE671,'ASIGNACIONES'!$J$4:$J$339,0)),0)-$AG671)</f>
        <v/>
      </c>
      <c r="AI671" s="10">
        <f>IF($A671="","",IFERROR(INDEX('2_IMPORTAR_EJECUCION'!$F$9:$F$1208,MATCH($AQ671,'2_IMPORTAR_EJECUCION'!$J$9:$J$1208,0)),0))</f>
        <v/>
      </c>
      <c r="AJ671" s="10">
        <f>IF($A671="","",MAX(0,IFERROR(INDEX('2_IMPORTAR_EJECUCION'!$H$9:$H$1208,MATCH($AQ671,'2_IMPORTAR_EJECUCION'!$J$9:$J$1208,0)),0)-$AI671))</f>
        <v/>
      </c>
      <c r="AK671" s="10">
        <f>IF($A671="","",$AI671+$AJ671)</f>
        <v/>
      </c>
      <c r="AL671" s="6" t="n"/>
      <c r="AM671" s="6" t="n"/>
      <c r="AN671" s="6" t="n"/>
      <c r="AO671" s="3">
        <f>IF($AN671="","",HYPERLINK(p_ruta_base_checklists&amp;$AN671,"abrir"))</f>
        <v/>
      </c>
      <c r="AP671" s="6" t="n"/>
      <c r="AQ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IF($A672="","",IFERROR(INDEX('AJUSTES'!$B$4:$B$303,MATCH($AQ672,'AJUSTES'!$A$4:$A$303,0)),IF($K672="","",$K672)))</f>
        <v/>
      </c>
      <c r="N672" s="3">
        <f>IF($A672="","",IFERROR(INDEX('CAT_ESTADOS_ERP'!$B$4:$B$7,MATCH(IFERROR(INDEX('2_IMPORTAR_EJECUCION'!$C$9:$C$1208,MATCH($AQ672,'2_IMPORTAR_EJECUCION'!$J$9:$J$1208,0)),""),'CAT_ESTADOS_ERP'!$A$4:$A$7,0)),"Pendiente"))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J672="","",IFERROR(INDEX('CALENDARIO'!$C$15:$C$214,MATCH(TEXT($J672,"yyyy-mm-dd")&amp;"|"&amp;$V672&amp;"|"&amp;$W672,'CALENDARIO'!$G$15:$G$214,0)),IFERROR(INDEX('CALENDARIO'!$C$15:$C$214,MATCH(TEXT($J672,"yyyy-mm-dd")&amp;"|"&amp;$V672&amp;"|",'CALENDARIO'!$G$15:$G$214,0)),IFERROR(INDEX('CALENDARIO'!$C$15:$C$214,MATCH(TEXT($J672,"yyyy-mm-dd")&amp;"||",'CALENDARIO'!$G$15:$G$214,0)),INDEX(patronHabil,WEEKDAY($J672,2))))))</f>
        <v/>
      </c>
      <c r="T672" s="3">
        <f>IF($I672="","",IFERROR(INDEX('CAT_TIPOS_OT'!$C$4:$C$7,MATCH($I672,'CAT_TIPOS_OT'!$A$4:$A$7,0)),"sin_clasificar"))</f>
        <v/>
      </c>
      <c r="U672" s="3">
        <f>IF($F672="","",IFERROR(INDEX('CAT_CENTROS_COSTO'!$F$4:$F$13,MATCH($F672,'CAT_CENTROS_COSTO'!$A$4:$A$13,0)),"(sin catálogo)"))</f>
        <v/>
      </c>
      <c r="V672" s="3">
        <f>IF($F672="","",IFERROR(INDEX('CAT_CENTROS_COSTO'!$D$4:$D$13,MATCH($F672,'CAT_CENTROS_COSTO'!$A$4:$A$13,0)),"(sin catálogo)"))</f>
        <v/>
      </c>
      <c r="W672" s="3">
        <f>IF($F672="","",IF((IFERROR(INDEX('CAT_CENTROS_COSTO'!$E$4:$E$13,MATCH($F672,'CAT_CENTROS_COSTO'!$A$4:$A$13,0)),""))&lt;&gt;"",IFERROR(INDEX('CAT_CENTROS_COSTO'!$E$4:$E$13,MATCH($F672,'CAT_CENTROS_COSTO'!$A$4:$A$13,0)),""),$V672))</f>
        <v/>
      </c>
      <c r="X672" s="3">
        <f>IF($F672="","",IFERROR(INDEX('CAT_CENTROS_COSTO'!$G$4:$G$13,MATCH($F672,'CAT_CENTROS_COSTO'!$A$4:$A$13,0)),"(sin catálogo)"))</f>
        <v/>
      </c>
      <c r="Y672" s="3">
        <f>IF($G672="","",IFERROR(INDEX('CAT_PUESTOS'!$B$4:$B$8,MATCH($G672,'CAT_PUESTOS'!$A$4:$A$8,0)),"(sin catálogo)"))</f>
        <v/>
      </c>
      <c r="Z672" s="3">
        <f>IF($H672="","",IFERROR(INDEX('CAT_ACTIVIDADES'!$B$4:$B$8,MATCH($H672,'CAT_ACTIVIDADES'!$A$4:$A$8,0)),"(sin catálogo)"))</f>
        <v/>
      </c>
      <c r="AA672" s="12">
        <f>IF($J672="","",TODAY()-$J672)</f>
        <v/>
      </c>
      <c r="AB672" s="12">
        <f>IF($J672="","",IF($J672&lt;=TODAY(),COUNTIFS(cal_fechas,"&gt;="&amp;$J672,cal_fechas,"&lt;"&amp;TODAY(),cal_habil,"sí"),-COUNTIFS(cal_fechas,"&gt;="&amp;TODAY(),cal_fechas,"&lt;"&amp;$J672,cal_habil,"sí")))</f>
        <v/>
      </c>
      <c r="AC672" s="3">
        <f>IF($AB672="","",IF($AB672&lt;0,"FUTURO",IF($AB672&gt;p_dias_backlog_max,"BACKLOG","MES CORRIENTE")))</f>
        <v/>
      </c>
      <c r="AD672" s="3">
        <f>IF($AB672="",FALSE,AND($AB672&gt;p_dias_backlog_min,$AB672&lt;=p_dias_backlog_max))</f>
        <v/>
      </c>
      <c r="AE672" s="6" t="n"/>
      <c r="AF672" s="3">
        <f>IF($AE672="","",IF((IFERROR(INDEX('ASIGNACIONES'!$F$4:$F$339,MATCH($O672&amp;"|"&amp;$R672&amp;"|"&amp;$AE672,'ASIGNACIONES'!$J$4:$J$339,0)),""))=0,"",IFERROR(INDEX('ASIGNACIONES'!$F$4:$F$339,MATCH($O672&amp;"|"&amp;$R672&amp;"|"&amp;$AE672,'ASIGNACIONES'!$J$4:$J$339,0)),"")))</f>
        <v/>
      </c>
      <c r="AG672" s="13">
        <f>IF($AE672="","",SUMIFS('ORDENES'!$M$4:$M$1203,'ORDENES'!$AE$4:$AE$1203,$AE672,'ORDENES'!$O$4:$O$1203,$O672,'ORDENES'!$R$4:$R$1203,$R672))</f>
        <v/>
      </c>
      <c r="AH672" s="13">
        <f>IF($AG672="","",p_factor_productividad*IFERROR(INDEX('ASIGNACIONES'!$I$4:$I$339,MATCH($O672&amp;"|"&amp;$R672&amp;"|"&amp;$AE672,'ASIGNACIONES'!$J$4:$J$339,0)),0)-$AG672)</f>
        <v/>
      </c>
      <c r="AI672" s="10">
        <f>IF($A672="","",IFERROR(INDEX('2_IMPORTAR_EJECUCION'!$F$9:$F$1208,MATCH($AQ672,'2_IMPORTAR_EJECUCION'!$J$9:$J$1208,0)),0))</f>
        <v/>
      </c>
      <c r="AJ672" s="10">
        <f>IF($A672="","",MAX(0,IFERROR(INDEX('2_IMPORTAR_EJECUCION'!$H$9:$H$1208,MATCH($AQ672,'2_IMPORTAR_EJECUCION'!$J$9:$J$1208,0)),0)-$AI672))</f>
        <v/>
      </c>
      <c r="AK672" s="10">
        <f>IF($A672="","",$AI672+$AJ672)</f>
        <v/>
      </c>
      <c r="AL672" s="6" t="n"/>
      <c r="AM672" s="6" t="n"/>
      <c r="AN672" s="6" t="n"/>
      <c r="AO672" s="3">
        <f>IF($AN672="","",HYPERLINK(p_ruta_base_checklists&amp;$AN672,"abrir"))</f>
        <v/>
      </c>
      <c r="AP672" s="6" t="n"/>
      <c r="AQ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IF($A673="","",IFERROR(INDEX('AJUSTES'!$B$4:$B$303,MATCH($AQ673,'AJUSTES'!$A$4:$A$303,0)),IF($K673="","",$K673)))</f>
        <v/>
      </c>
      <c r="N673" s="3">
        <f>IF($A673="","",IFERROR(INDEX('CAT_ESTADOS_ERP'!$B$4:$B$7,MATCH(IFERROR(INDEX('2_IMPORTAR_EJECUCION'!$C$9:$C$1208,MATCH($AQ673,'2_IMPORTAR_EJECUCION'!$J$9:$J$1208,0)),""),'CAT_ESTADOS_ERP'!$A$4:$A$7,0)),"Pendiente"))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J673="","",IFERROR(INDEX('CALENDARIO'!$C$15:$C$214,MATCH(TEXT($J673,"yyyy-mm-dd")&amp;"|"&amp;$V673&amp;"|"&amp;$W673,'CALENDARIO'!$G$15:$G$214,0)),IFERROR(INDEX('CALENDARIO'!$C$15:$C$214,MATCH(TEXT($J673,"yyyy-mm-dd")&amp;"|"&amp;$V673&amp;"|",'CALENDARIO'!$G$15:$G$214,0)),IFERROR(INDEX('CALENDARIO'!$C$15:$C$214,MATCH(TEXT($J673,"yyyy-mm-dd")&amp;"||",'CALENDARIO'!$G$15:$G$214,0)),INDEX(patronHabil,WEEKDAY($J673,2))))))</f>
        <v/>
      </c>
      <c r="T673" s="3">
        <f>IF($I673="","",IFERROR(INDEX('CAT_TIPOS_OT'!$C$4:$C$7,MATCH($I673,'CAT_TIPOS_OT'!$A$4:$A$7,0)),"sin_clasificar"))</f>
        <v/>
      </c>
      <c r="U673" s="3">
        <f>IF($F673="","",IFERROR(INDEX('CAT_CENTROS_COSTO'!$F$4:$F$13,MATCH($F673,'CAT_CENTROS_COSTO'!$A$4:$A$13,0)),"(sin catálogo)"))</f>
        <v/>
      </c>
      <c r="V673" s="3">
        <f>IF($F673="","",IFERROR(INDEX('CAT_CENTROS_COSTO'!$D$4:$D$13,MATCH($F673,'CAT_CENTROS_COSTO'!$A$4:$A$13,0)),"(sin catálogo)"))</f>
        <v/>
      </c>
      <c r="W673" s="3">
        <f>IF($F673="","",IF((IFERROR(INDEX('CAT_CENTROS_COSTO'!$E$4:$E$13,MATCH($F673,'CAT_CENTROS_COSTO'!$A$4:$A$13,0)),""))&lt;&gt;"",IFERROR(INDEX('CAT_CENTROS_COSTO'!$E$4:$E$13,MATCH($F673,'CAT_CENTROS_COSTO'!$A$4:$A$13,0)),""),$V673))</f>
        <v/>
      </c>
      <c r="X673" s="3">
        <f>IF($F673="","",IFERROR(INDEX('CAT_CENTROS_COSTO'!$G$4:$G$13,MATCH($F673,'CAT_CENTROS_COSTO'!$A$4:$A$13,0)),"(sin catálogo)"))</f>
        <v/>
      </c>
      <c r="Y673" s="3">
        <f>IF($G673="","",IFERROR(INDEX('CAT_PUESTOS'!$B$4:$B$8,MATCH($G673,'CAT_PUESTOS'!$A$4:$A$8,0)),"(sin catálogo)"))</f>
        <v/>
      </c>
      <c r="Z673" s="3">
        <f>IF($H673="","",IFERROR(INDEX('CAT_ACTIVIDADES'!$B$4:$B$8,MATCH($H673,'CAT_ACTIVIDADES'!$A$4:$A$8,0)),"(sin catálogo)"))</f>
        <v/>
      </c>
      <c r="AA673" s="12">
        <f>IF($J673="","",TODAY()-$J673)</f>
        <v/>
      </c>
      <c r="AB673" s="12">
        <f>IF($J673="","",IF($J673&lt;=TODAY(),COUNTIFS(cal_fechas,"&gt;="&amp;$J673,cal_fechas,"&lt;"&amp;TODAY(),cal_habil,"sí"),-COUNTIFS(cal_fechas,"&gt;="&amp;TODAY(),cal_fechas,"&lt;"&amp;$J673,cal_habil,"sí")))</f>
        <v/>
      </c>
      <c r="AC673" s="3">
        <f>IF($AB673="","",IF($AB673&lt;0,"FUTURO",IF($AB673&gt;p_dias_backlog_max,"BACKLOG","MES CORRIENTE")))</f>
        <v/>
      </c>
      <c r="AD673" s="3">
        <f>IF($AB673="",FALSE,AND($AB673&gt;p_dias_backlog_min,$AB673&lt;=p_dias_backlog_max))</f>
        <v/>
      </c>
      <c r="AE673" s="6" t="n"/>
      <c r="AF673" s="3">
        <f>IF($AE673="","",IF((IFERROR(INDEX('ASIGNACIONES'!$F$4:$F$339,MATCH($O673&amp;"|"&amp;$R673&amp;"|"&amp;$AE673,'ASIGNACIONES'!$J$4:$J$339,0)),""))=0,"",IFERROR(INDEX('ASIGNACIONES'!$F$4:$F$339,MATCH($O673&amp;"|"&amp;$R673&amp;"|"&amp;$AE673,'ASIGNACIONES'!$J$4:$J$339,0)),"")))</f>
        <v/>
      </c>
      <c r="AG673" s="13">
        <f>IF($AE673="","",SUMIFS('ORDENES'!$M$4:$M$1203,'ORDENES'!$AE$4:$AE$1203,$AE673,'ORDENES'!$O$4:$O$1203,$O673,'ORDENES'!$R$4:$R$1203,$R673))</f>
        <v/>
      </c>
      <c r="AH673" s="13">
        <f>IF($AG673="","",p_factor_productividad*IFERROR(INDEX('ASIGNACIONES'!$I$4:$I$339,MATCH($O673&amp;"|"&amp;$R673&amp;"|"&amp;$AE673,'ASIGNACIONES'!$J$4:$J$339,0)),0)-$AG673)</f>
        <v/>
      </c>
      <c r="AI673" s="10">
        <f>IF($A673="","",IFERROR(INDEX('2_IMPORTAR_EJECUCION'!$F$9:$F$1208,MATCH($AQ673,'2_IMPORTAR_EJECUCION'!$J$9:$J$1208,0)),0))</f>
        <v/>
      </c>
      <c r="AJ673" s="10">
        <f>IF($A673="","",MAX(0,IFERROR(INDEX('2_IMPORTAR_EJECUCION'!$H$9:$H$1208,MATCH($AQ673,'2_IMPORTAR_EJECUCION'!$J$9:$J$1208,0)),0)-$AI673))</f>
        <v/>
      </c>
      <c r="AK673" s="10">
        <f>IF($A673="","",$AI673+$AJ673)</f>
        <v/>
      </c>
      <c r="AL673" s="6" t="n"/>
      <c r="AM673" s="6" t="n"/>
      <c r="AN673" s="6" t="n"/>
      <c r="AO673" s="3">
        <f>IF($AN673="","",HYPERLINK(p_ruta_base_checklists&amp;$AN673,"abrir"))</f>
        <v/>
      </c>
      <c r="AP673" s="6" t="n"/>
      <c r="AQ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IF($A674="","",IFERROR(INDEX('AJUSTES'!$B$4:$B$303,MATCH($AQ674,'AJUSTES'!$A$4:$A$303,0)),IF($K674="","",$K674)))</f>
        <v/>
      </c>
      <c r="N674" s="3">
        <f>IF($A674="","",IFERROR(INDEX('CAT_ESTADOS_ERP'!$B$4:$B$7,MATCH(IFERROR(INDEX('2_IMPORTAR_EJECUCION'!$C$9:$C$1208,MATCH($AQ674,'2_IMPORTAR_EJECUCION'!$J$9:$J$1208,0)),""),'CAT_ESTADOS_ERP'!$A$4:$A$7,0)),"Pendiente"))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J674="","",IFERROR(INDEX('CALENDARIO'!$C$15:$C$214,MATCH(TEXT($J674,"yyyy-mm-dd")&amp;"|"&amp;$V674&amp;"|"&amp;$W674,'CALENDARIO'!$G$15:$G$214,0)),IFERROR(INDEX('CALENDARIO'!$C$15:$C$214,MATCH(TEXT($J674,"yyyy-mm-dd")&amp;"|"&amp;$V674&amp;"|",'CALENDARIO'!$G$15:$G$214,0)),IFERROR(INDEX('CALENDARIO'!$C$15:$C$214,MATCH(TEXT($J674,"yyyy-mm-dd")&amp;"||",'CALENDARIO'!$G$15:$G$214,0)),INDEX(patronHabil,WEEKDAY($J674,2))))))</f>
        <v/>
      </c>
      <c r="T674" s="3">
        <f>IF($I674="","",IFERROR(INDEX('CAT_TIPOS_OT'!$C$4:$C$7,MATCH($I674,'CAT_TIPOS_OT'!$A$4:$A$7,0)),"sin_clasificar"))</f>
        <v/>
      </c>
      <c r="U674" s="3">
        <f>IF($F674="","",IFERROR(INDEX('CAT_CENTROS_COSTO'!$F$4:$F$13,MATCH($F674,'CAT_CENTROS_COSTO'!$A$4:$A$13,0)),"(sin catálogo)"))</f>
        <v/>
      </c>
      <c r="V674" s="3">
        <f>IF($F674="","",IFERROR(INDEX('CAT_CENTROS_COSTO'!$D$4:$D$13,MATCH($F674,'CAT_CENTROS_COSTO'!$A$4:$A$13,0)),"(sin catálogo)"))</f>
        <v/>
      </c>
      <c r="W674" s="3">
        <f>IF($F674="","",IF((IFERROR(INDEX('CAT_CENTROS_COSTO'!$E$4:$E$13,MATCH($F674,'CAT_CENTROS_COSTO'!$A$4:$A$13,0)),""))&lt;&gt;"",IFERROR(INDEX('CAT_CENTROS_COSTO'!$E$4:$E$13,MATCH($F674,'CAT_CENTROS_COSTO'!$A$4:$A$13,0)),""),$V674))</f>
        <v/>
      </c>
      <c r="X674" s="3">
        <f>IF($F674="","",IFERROR(INDEX('CAT_CENTROS_COSTO'!$G$4:$G$13,MATCH($F674,'CAT_CENTROS_COSTO'!$A$4:$A$13,0)),"(sin catálogo)"))</f>
        <v/>
      </c>
      <c r="Y674" s="3">
        <f>IF($G674="","",IFERROR(INDEX('CAT_PUESTOS'!$B$4:$B$8,MATCH($G674,'CAT_PUESTOS'!$A$4:$A$8,0)),"(sin catálogo)"))</f>
        <v/>
      </c>
      <c r="Z674" s="3">
        <f>IF($H674="","",IFERROR(INDEX('CAT_ACTIVIDADES'!$B$4:$B$8,MATCH($H674,'CAT_ACTIVIDADES'!$A$4:$A$8,0)),"(sin catálogo)"))</f>
        <v/>
      </c>
      <c r="AA674" s="12">
        <f>IF($J674="","",TODAY()-$J674)</f>
        <v/>
      </c>
      <c r="AB674" s="12">
        <f>IF($J674="","",IF($J674&lt;=TODAY(),COUNTIFS(cal_fechas,"&gt;="&amp;$J674,cal_fechas,"&lt;"&amp;TODAY(),cal_habil,"sí"),-COUNTIFS(cal_fechas,"&gt;="&amp;TODAY(),cal_fechas,"&lt;"&amp;$J674,cal_habil,"sí")))</f>
        <v/>
      </c>
      <c r="AC674" s="3">
        <f>IF($AB674="","",IF($AB674&lt;0,"FUTURO",IF($AB674&gt;p_dias_backlog_max,"BACKLOG","MES CORRIENTE")))</f>
        <v/>
      </c>
      <c r="AD674" s="3">
        <f>IF($AB674="",FALSE,AND($AB674&gt;p_dias_backlog_min,$AB674&lt;=p_dias_backlog_max))</f>
        <v/>
      </c>
      <c r="AE674" s="6" t="n"/>
      <c r="AF674" s="3">
        <f>IF($AE674="","",IF((IFERROR(INDEX('ASIGNACIONES'!$F$4:$F$339,MATCH($O674&amp;"|"&amp;$R674&amp;"|"&amp;$AE674,'ASIGNACIONES'!$J$4:$J$339,0)),""))=0,"",IFERROR(INDEX('ASIGNACIONES'!$F$4:$F$339,MATCH($O674&amp;"|"&amp;$R674&amp;"|"&amp;$AE674,'ASIGNACIONES'!$J$4:$J$339,0)),"")))</f>
        <v/>
      </c>
      <c r="AG674" s="13">
        <f>IF($AE674="","",SUMIFS('ORDENES'!$M$4:$M$1203,'ORDENES'!$AE$4:$AE$1203,$AE674,'ORDENES'!$O$4:$O$1203,$O674,'ORDENES'!$R$4:$R$1203,$R674))</f>
        <v/>
      </c>
      <c r="AH674" s="13">
        <f>IF($AG674="","",p_factor_productividad*IFERROR(INDEX('ASIGNACIONES'!$I$4:$I$339,MATCH($O674&amp;"|"&amp;$R674&amp;"|"&amp;$AE674,'ASIGNACIONES'!$J$4:$J$339,0)),0)-$AG674)</f>
        <v/>
      </c>
      <c r="AI674" s="10">
        <f>IF($A674="","",IFERROR(INDEX('2_IMPORTAR_EJECUCION'!$F$9:$F$1208,MATCH($AQ674,'2_IMPORTAR_EJECUCION'!$J$9:$J$1208,0)),0))</f>
        <v/>
      </c>
      <c r="AJ674" s="10">
        <f>IF($A674="","",MAX(0,IFERROR(INDEX('2_IMPORTAR_EJECUCION'!$H$9:$H$1208,MATCH($AQ674,'2_IMPORTAR_EJECUCION'!$J$9:$J$1208,0)),0)-$AI674))</f>
        <v/>
      </c>
      <c r="AK674" s="10">
        <f>IF($A674="","",$AI674+$AJ674)</f>
        <v/>
      </c>
      <c r="AL674" s="6" t="n"/>
      <c r="AM674" s="6" t="n"/>
      <c r="AN674" s="6" t="n"/>
      <c r="AO674" s="3">
        <f>IF($AN674="","",HYPERLINK(p_ruta_base_checklists&amp;$AN674,"abrir"))</f>
        <v/>
      </c>
      <c r="AP674" s="6" t="n"/>
      <c r="AQ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IF($A675="","",IFERROR(INDEX('AJUSTES'!$B$4:$B$303,MATCH($AQ675,'AJUSTES'!$A$4:$A$303,0)),IF($K675="","",$K675)))</f>
        <v/>
      </c>
      <c r="N675" s="3">
        <f>IF($A675="","",IFERROR(INDEX('CAT_ESTADOS_ERP'!$B$4:$B$7,MATCH(IFERROR(INDEX('2_IMPORTAR_EJECUCION'!$C$9:$C$1208,MATCH($AQ675,'2_IMPORTAR_EJECUCION'!$J$9:$J$1208,0)),""),'CAT_ESTADOS_ERP'!$A$4:$A$7,0)),"Pendiente"))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J675="","",IFERROR(INDEX('CALENDARIO'!$C$15:$C$214,MATCH(TEXT($J675,"yyyy-mm-dd")&amp;"|"&amp;$V675&amp;"|"&amp;$W675,'CALENDARIO'!$G$15:$G$214,0)),IFERROR(INDEX('CALENDARIO'!$C$15:$C$214,MATCH(TEXT($J675,"yyyy-mm-dd")&amp;"|"&amp;$V675&amp;"|",'CALENDARIO'!$G$15:$G$214,0)),IFERROR(INDEX('CALENDARIO'!$C$15:$C$214,MATCH(TEXT($J675,"yyyy-mm-dd")&amp;"||",'CALENDARIO'!$G$15:$G$214,0)),INDEX(patronHabil,WEEKDAY($J675,2))))))</f>
        <v/>
      </c>
      <c r="T675" s="3">
        <f>IF($I675="","",IFERROR(INDEX('CAT_TIPOS_OT'!$C$4:$C$7,MATCH($I675,'CAT_TIPOS_OT'!$A$4:$A$7,0)),"sin_clasificar"))</f>
        <v/>
      </c>
      <c r="U675" s="3">
        <f>IF($F675="","",IFERROR(INDEX('CAT_CENTROS_COSTO'!$F$4:$F$13,MATCH($F675,'CAT_CENTROS_COSTO'!$A$4:$A$13,0)),"(sin catálogo)"))</f>
        <v/>
      </c>
      <c r="V675" s="3">
        <f>IF($F675="","",IFERROR(INDEX('CAT_CENTROS_COSTO'!$D$4:$D$13,MATCH($F675,'CAT_CENTROS_COSTO'!$A$4:$A$13,0)),"(sin catálogo)"))</f>
        <v/>
      </c>
      <c r="W675" s="3">
        <f>IF($F675="","",IF((IFERROR(INDEX('CAT_CENTROS_COSTO'!$E$4:$E$13,MATCH($F675,'CAT_CENTROS_COSTO'!$A$4:$A$13,0)),""))&lt;&gt;"",IFERROR(INDEX('CAT_CENTROS_COSTO'!$E$4:$E$13,MATCH($F675,'CAT_CENTROS_COSTO'!$A$4:$A$13,0)),""),$V675))</f>
        <v/>
      </c>
      <c r="X675" s="3">
        <f>IF($F675="","",IFERROR(INDEX('CAT_CENTROS_COSTO'!$G$4:$G$13,MATCH($F675,'CAT_CENTROS_COSTO'!$A$4:$A$13,0)),"(sin catálogo)"))</f>
        <v/>
      </c>
      <c r="Y675" s="3">
        <f>IF($G675="","",IFERROR(INDEX('CAT_PUESTOS'!$B$4:$B$8,MATCH($G675,'CAT_PUESTOS'!$A$4:$A$8,0)),"(sin catálogo)"))</f>
        <v/>
      </c>
      <c r="Z675" s="3">
        <f>IF($H675="","",IFERROR(INDEX('CAT_ACTIVIDADES'!$B$4:$B$8,MATCH($H675,'CAT_ACTIVIDADES'!$A$4:$A$8,0)),"(sin catálogo)"))</f>
        <v/>
      </c>
      <c r="AA675" s="12">
        <f>IF($J675="","",TODAY()-$J675)</f>
        <v/>
      </c>
      <c r="AB675" s="12">
        <f>IF($J675="","",IF($J675&lt;=TODAY(),COUNTIFS(cal_fechas,"&gt;="&amp;$J675,cal_fechas,"&lt;"&amp;TODAY(),cal_habil,"sí"),-COUNTIFS(cal_fechas,"&gt;="&amp;TODAY(),cal_fechas,"&lt;"&amp;$J675,cal_habil,"sí")))</f>
        <v/>
      </c>
      <c r="AC675" s="3">
        <f>IF($AB675="","",IF($AB675&lt;0,"FUTURO",IF($AB675&gt;p_dias_backlog_max,"BACKLOG","MES CORRIENTE")))</f>
        <v/>
      </c>
      <c r="AD675" s="3">
        <f>IF($AB675="",FALSE,AND($AB675&gt;p_dias_backlog_min,$AB675&lt;=p_dias_backlog_max))</f>
        <v/>
      </c>
      <c r="AE675" s="6" t="n"/>
      <c r="AF675" s="3">
        <f>IF($AE675="","",IF((IFERROR(INDEX('ASIGNACIONES'!$F$4:$F$339,MATCH($O675&amp;"|"&amp;$R675&amp;"|"&amp;$AE675,'ASIGNACIONES'!$J$4:$J$339,0)),""))=0,"",IFERROR(INDEX('ASIGNACIONES'!$F$4:$F$339,MATCH($O675&amp;"|"&amp;$R675&amp;"|"&amp;$AE675,'ASIGNACIONES'!$J$4:$J$339,0)),"")))</f>
        <v/>
      </c>
      <c r="AG675" s="13">
        <f>IF($AE675="","",SUMIFS('ORDENES'!$M$4:$M$1203,'ORDENES'!$AE$4:$AE$1203,$AE675,'ORDENES'!$O$4:$O$1203,$O675,'ORDENES'!$R$4:$R$1203,$R675))</f>
        <v/>
      </c>
      <c r="AH675" s="13">
        <f>IF($AG675="","",p_factor_productividad*IFERROR(INDEX('ASIGNACIONES'!$I$4:$I$339,MATCH($O675&amp;"|"&amp;$R675&amp;"|"&amp;$AE675,'ASIGNACIONES'!$J$4:$J$339,0)),0)-$AG675)</f>
        <v/>
      </c>
      <c r="AI675" s="10">
        <f>IF($A675="","",IFERROR(INDEX('2_IMPORTAR_EJECUCION'!$F$9:$F$1208,MATCH($AQ675,'2_IMPORTAR_EJECUCION'!$J$9:$J$1208,0)),0))</f>
        <v/>
      </c>
      <c r="AJ675" s="10">
        <f>IF($A675="","",MAX(0,IFERROR(INDEX('2_IMPORTAR_EJECUCION'!$H$9:$H$1208,MATCH($AQ675,'2_IMPORTAR_EJECUCION'!$J$9:$J$1208,0)),0)-$AI675))</f>
        <v/>
      </c>
      <c r="AK675" s="10">
        <f>IF($A675="","",$AI675+$AJ675)</f>
        <v/>
      </c>
      <c r="AL675" s="6" t="n"/>
      <c r="AM675" s="6" t="n"/>
      <c r="AN675" s="6" t="n"/>
      <c r="AO675" s="3">
        <f>IF($AN675="","",HYPERLINK(p_ruta_base_checklists&amp;$AN675,"abrir"))</f>
        <v/>
      </c>
      <c r="AP675" s="6" t="n"/>
      <c r="AQ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IF($A676="","",IFERROR(INDEX('AJUSTES'!$B$4:$B$303,MATCH($AQ676,'AJUSTES'!$A$4:$A$303,0)),IF($K676="","",$K676)))</f>
        <v/>
      </c>
      <c r="N676" s="3">
        <f>IF($A676="","",IFERROR(INDEX('CAT_ESTADOS_ERP'!$B$4:$B$7,MATCH(IFERROR(INDEX('2_IMPORTAR_EJECUCION'!$C$9:$C$1208,MATCH($AQ676,'2_IMPORTAR_EJECUCION'!$J$9:$J$1208,0)),""),'CAT_ESTADOS_ERP'!$A$4:$A$7,0)),"Pendiente"))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J676="","",IFERROR(INDEX('CALENDARIO'!$C$15:$C$214,MATCH(TEXT($J676,"yyyy-mm-dd")&amp;"|"&amp;$V676&amp;"|"&amp;$W676,'CALENDARIO'!$G$15:$G$214,0)),IFERROR(INDEX('CALENDARIO'!$C$15:$C$214,MATCH(TEXT($J676,"yyyy-mm-dd")&amp;"|"&amp;$V676&amp;"|",'CALENDARIO'!$G$15:$G$214,0)),IFERROR(INDEX('CALENDARIO'!$C$15:$C$214,MATCH(TEXT($J676,"yyyy-mm-dd")&amp;"||",'CALENDARIO'!$G$15:$G$214,0)),INDEX(patronHabil,WEEKDAY($J676,2))))))</f>
        <v/>
      </c>
      <c r="T676" s="3">
        <f>IF($I676="","",IFERROR(INDEX('CAT_TIPOS_OT'!$C$4:$C$7,MATCH($I676,'CAT_TIPOS_OT'!$A$4:$A$7,0)),"sin_clasificar"))</f>
        <v/>
      </c>
      <c r="U676" s="3">
        <f>IF($F676="","",IFERROR(INDEX('CAT_CENTROS_COSTO'!$F$4:$F$13,MATCH($F676,'CAT_CENTROS_COSTO'!$A$4:$A$13,0)),"(sin catálogo)"))</f>
        <v/>
      </c>
      <c r="V676" s="3">
        <f>IF($F676="","",IFERROR(INDEX('CAT_CENTROS_COSTO'!$D$4:$D$13,MATCH($F676,'CAT_CENTROS_COSTO'!$A$4:$A$13,0)),"(sin catálogo)"))</f>
        <v/>
      </c>
      <c r="W676" s="3">
        <f>IF($F676="","",IF((IFERROR(INDEX('CAT_CENTROS_COSTO'!$E$4:$E$13,MATCH($F676,'CAT_CENTROS_COSTO'!$A$4:$A$13,0)),""))&lt;&gt;"",IFERROR(INDEX('CAT_CENTROS_COSTO'!$E$4:$E$13,MATCH($F676,'CAT_CENTROS_COSTO'!$A$4:$A$13,0)),""),$V676))</f>
        <v/>
      </c>
      <c r="X676" s="3">
        <f>IF($F676="","",IFERROR(INDEX('CAT_CENTROS_COSTO'!$G$4:$G$13,MATCH($F676,'CAT_CENTROS_COSTO'!$A$4:$A$13,0)),"(sin catálogo)"))</f>
        <v/>
      </c>
      <c r="Y676" s="3">
        <f>IF($G676="","",IFERROR(INDEX('CAT_PUESTOS'!$B$4:$B$8,MATCH($G676,'CAT_PUESTOS'!$A$4:$A$8,0)),"(sin catálogo)"))</f>
        <v/>
      </c>
      <c r="Z676" s="3">
        <f>IF($H676="","",IFERROR(INDEX('CAT_ACTIVIDADES'!$B$4:$B$8,MATCH($H676,'CAT_ACTIVIDADES'!$A$4:$A$8,0)),"(sin catálogo)"))</f>
        <v/>
      </c>
      <c r="AA676" s="12">
        <f>IF($J676="","",TODAY()-$J676)</f>
        <v/>
      </c>
      <c r="AB676" s="12">
        <f>IF($J676="","",IF($J676&lt;=TODAY(),COUNTIFS(cal_fechas,"&gt;="&amp;$J676,cal_fechas,"&lt;"&amp;TODAY(),cal_habil,"sí"),-COUNTIFS(cal_fechas,"&gt;="&amp;TODAY(),cal_fechas,"&lt;"&amp;$J676,cal_habil,"sí")))</f>
        <v/>
      </c>
      <c r="AC676" s="3">
        <f>IF($AB676="","",IF($AB676&lt;0,"FUTURO",IF($AB676&gt;p_dias_backlog_max,"BACKLOG","MES CORRIENTE")))</f>
        <v/>
      </c>
      <c r="AD676" s="3">
        <f>IF($AB676="",FALSE,AND($AB676&gt;p_dias_backlog_min,$AB676&lt;=p_dias_backlog_max))</f>
        <v/>
      </c>
      <c r="AE676" s="6" t="n"/>
      <c r="AF676" s="3">
        <f>IF($AE676="","",IF((IFERROR(INDEX('ASIGNACIONES'!$F$4:$F$339,MATCH($O676&amp;"|"&amp;$R676&amp;"|"&amp;$AE676,'ASIGNACIONES'!$J$4:$J$339,0)),""))=0,"",IFERROR(INDEX('ASIGNACIONES'!$F$4:$F$339,MATCH($O676&amp;"|"&amp;$R676&amp;"|"&amp;$AE676,'ASIGNACIONES'!$J$4:$J$339,0)),"")))</f>
        <v/>
      </c>
      <c r="AG676" s="13">
        <f>IF($AE676="","",SUMIFS('ORDENES'!$M$4:$M$1203,'ORDENES'!$AE$4:$AE$1203,$AE676,'ORDENES'!$O$4:$O$1203,$O676,'ORDENES'!$R$4:$R$1203,$R676))</f>
        <v/>
      </c>
      <c r="AH676" s="13">
        <f>IF($AG676="","",p_factor_productividad*IFERROR(INDEX('ASIGNACIONES'!$I$4:$I$339,MATCH($O676&amp;"|"&amp;$R676&amp;"|"&amp;$AE676,'ASIGNACIONES'!$J$4:$J$339,0)),0)-$AG676)</f>
        <v/>
      </c>
      <c r="AI676" s="10">
        <f>IF($A676="","",IFERROR(INDEX('2_IMPORTAR_EJECUCION'!$F$9:$F$1208,MATCH($AQ676,'2_IMPORTAR_EJECUCION'!$J$9:$J$1208,0)),0))</f>
        <v/>
      </c>
      <c r="AJ676" s="10">
        <f>IF($A676="","",MAX(0,IFERROR(INDEX('2_IMPORTAR_EJECUCION'!$H$9:$H$1208,MATCH($AQ676,'2_IMPORTAR_EJECUCION'!$J$9:$J$1208,0)),0)-$AI676))</f>
        <v/>
      </c>
      <c r="AK676" s="10">
        <f>IF($A676="","",$AI676+$AJ676)</f>
        <v/>
      </c>
      <c r="AL676" s="6" t="n"/>
      <c r="AM676" s="6" t="n"/>
      <c r="AN676" s="6" t="n"/>
      <c r="AO676" s="3">
        <f>IF($AN676="","",HYPERLINK(p_ruta_base_checklists&amp;$AN676,"abrir"))</f>
        <v/>
      </c>
      <c r="AP676" s="6" t="n"/>
      <c r="AQ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IF($A677="","",IFERROR(INDEX('AJUSTES'!$B$4:$B$303,MATCH($AQ677,'AJUSTES'!$A$4:$A$303,0)),IF($K677="","",$K677)))</f>
        <v/>
      </c>
      <c r="N677" s="3">
        <f>IF($A677="","",IFERROR(INDEX('CAT_ESTADOS_ERP'!$B$4:$B$7,MATCH(IFERROR(INDEX('2_IMPORTAR_EJECUCION'!$C$9:$C$1208,MATCH($AQ677,'2_IMPORTAR_EJECUCION'!$J$9:$J$1208,0)),""),'CAT_ESTADOS_ERP'!$A$4:$A$7,0)),"Pendiente"))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J677="","",IFERROR(INDEX('CALENDARIO'!$C$15:$C$214,MATCH(TEXT($J677,"yyyy-mm-dd")&amp;"|"&amp;$V677&amp;"|"&amp;$W677,'CALENDARIO'!$G$15:$G$214,0)),IFERROR(INDEX('CALENDARIO'!$C$15:$C$214,MATCH(TEXT($J677,"yyyy-mm-dd")&amp;"|"&amp;$V677&amp;"|",'CALENDARIO'!$G$15:$G$214,0)),IFERROR(INDEX('CALENDARIO'!$C$15:$C$214,MATCH(TEXT($J677,"yyyy-mm-dd")&amp;"||",'CALENDARIO'!$G$15:$G$214,0)),INDEX(patronHabil,WEEKDAY($J677,2))))))</f>
        <v/>
      </c>
      <c r="T677" s="3">
        <f>IF($I677="","",IFERROR(INDEX('CAT_TIPOS_OT'!$C$4:$C$7,MATCH($I677,'CAT_TIPOS_OT'!$A$4:$A$7,0)),"sin_clasificar"))</f>
        <v/>
      </c>
      <c r="U677" s="3">
        <f>IF($F677="","",IFERROR(INDEX('CAT_CENTROS_COSTO'!$F$4:$F$13,MATCH($F677,'CAT_CENTROS_COSTO'!$A$4:$A$13,0)),"(sin catálogo)"))</f>
        <v/>
      </c>
      <c r="V677" s="3">
        <f>IF($F677="","",IFERROR(INDEX('CAT_CENTROS_COSTO'!$D$4:$D$13,MATCH($F677,'CAT_CENTROS_COSTO'!$A$4:$A$13,0)),"(sin catálogo)"))</f>
        <v/>
      </c>
      <c r="W677" s="3">
        <f>IF($F677="","",IF((IFERROR(INDEX('CAT_CENTROS_COSTO'!$E$4:$E$13,MATCH($F677,'CAT_CENTROS_COSTO'!$A$4:$A$13,0)),""))&lt;&gt;"",IFERROR(INDEX('CAT_CENTROS_COSTO'!$E$4:$E$13,MATCH($F677,'CAT_CENTROS_COSTO'!$A$4:$A$13,0)),""),$V677))</f>
        <v/>
      </c>
      <c r="X677" s="3">
        <f>IF($F677="","",IFERROR(INDEX('CAT_CENTROS_COSTO'!$G$4:$G$13,MATCH($F677,'CAT_CENTROS_COSTO'!$A$4:$A$13,0)),"(sin catálogo)"))</f>
        <v/>
      </c>
      <c r="Y677" s="3">
        <f>IF($G677="","",IFERROR(INDEX('CAT_PUESTOS'!$B$4:$B$8,MATCH($G677,'CAT_PUESTOS'!$A$4:$A$8,0)),"(sin catálogo)"))</f>
        <v/>
      </c>
      <c r="Z677" s="3">
        <f>IF($H677="","",IFERROR(INDEX('CAT_ACTIVIDADES'!$B$4:$B$8,MATCH($H677,'CAT_ACTIVIDADES'!$A$4:$A$8,0)),"(sin catálogo)"))</f>
        <v/>
      </c>
      <c r="AA677" s="12">
        <f>IF($J677="","",TODAY()-$J677)</f>
        <v/>
      </c>
      <c r="AB677" s="12">
        <f>IF($J677="","",IF($J677&lt;=TODAY(),COUNTIFS(cal_fechas,"&gt;="&amp;$J677,cal_fechas,"&lt;"&amp;TODAY(),cal_habil,"sí"),-COUNTIFS(cal_fechas,"&gt;="&amp;TODAY(),cal_fechas,"&lt;"&amp;$J677,cal_habil,"sí")))</f>
        <v/>
      </c>
      <c r="AC677" s="3">
        <f>IF($AB677="","",IF($AB677&lt;0,"FUTURO",IF($AB677&gt;p_dias_backlog_max,"BACKLOG","MES CORRIENTE")))</f>
        <v/>
      </c>
      <c r="AD677" s="3">
        <f>IF($AB677="",FALSE,AND($AB677&gt;p_dias_backlog_min,$AB677&lt;=p_dias_backlog_max))</f>
        <v/>
      </c>
      <c r="AE677" s="6" t="n"/>
      <c r="AF677" s="3">
        <f>IF($AE677="","",IF((IFERROR(INDEX('ASIGNACIONES'!$F$4:$F$339,MATCH($O677&amp;"|"&amp;$R677&amp;"|"&amp;$AE677,'ASIGNACIONES'!$J$4:$J$339,0)),""))=0,"",IFERROR(INDEX('ASIGNACIONES'!$F$4:$F$339,MATCH($O677&amp;"|"&amp;$R677&amp;"|"&amp;$AE677,'ASIGNACIONES'!$J$4:$J$339,0)),"")))</f>
        <v/>
      </c>
      <c r="AG677" s="13">
        <f>IF($AE677="","",SUMIFS('ORDENES'!$M$4:$M$1203,'ORDENES'!$AE$4:$AE$1203,$AE677,'ORDENES'!$O$4:$O$1203,$O677,'ORDENES'!$R$4:$R$1203,$R677))</f>
        <v/>
      </c>
      <c r="AH677" s="13">
        <f>IF($AG677="","",p_factor_productividad*IFERROR(INDEX('ASIGNACIONES'!$I$4:$I$339,MATCH($O677&amp;"|"&amp;$R677&amp;"|"&amp;$AE677,'ASIGNACIONES'!$J$4:$J$339,0)),0)-$AG677)</f>
        <v/>
      </c>
      <c r="AI677" s="10">
        <f>IF($A677="","",IFERROR(INDEX('2_IMPORTAR_EJECUCION'!$F$9:$F$1208,MATCH($AQ677,'2_IMPORTAR_EJECUCION'!$J$9:$J$1208,0)),0))</f>
        <v/>
      </c>
      <c r="AJ677" s="10">
        <f>IF($A677="","",MAX(0,IFERROR(INDEX('2_IMPORTAR_EJECUCION'!$H$9:$H$1208,MATCH($AQ677,'2_IMPORTAR_EJECUCION'!$J$9:$J$1208,0)),0)-$AI677))</f>
        <v/>
      </c>
      <c r="AK677" s="10">
        <f>IF($A677="","",$AI677+$AJ677)</f>
        <v/>
      </c>
      <c r="AL677" s="6" t="n"/>
      <c r="AM677" s="6" t="n"/>
      <c r="AN677" s="6" t="n"/>
      <c r="AO677" s="3">
        <f>IF($AN677="","",HYPERLINK(p_ruta_base_checklists&amp;$AN677,"abrir"))</f>
        <v/>
      </c>
      <c r="AP677" s="6" t="n"/>
      <c r="AQ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IF($A678="","",IFERROR(INDEX('AJUSTES'!$B$4:$B$303,MATCH($AQ678,'AJUSTES'!$A$4:$A$303,0)),IF($K678="","",$K678)))</f>
        <v/>
      </c>
      <c r="N678" s="3">
        <f>IF($A678="","",IFERROR(INDEX('CAT_ESTADOS_ERP'!$B$4:$B$7,MATCH(IFERROR(INDEX('2_IMPORTAR_EJECUCION'!$C$9:$C$1208,MATCH($AQ678,'2_IMPORTAR_EJECUCION'!$J$9:$J$1208,0)),""),'CAT_ESTADOS_ERP'!$A$4:$A$7,0)),"Pendiente"))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J678="","",IFERROR(INDEX('CALENDARIO'!$C$15:$C$214,MATCH(TEXT($J678,"yyyy-mm-dd")&amp;"|"&amp;$V678&amp;"|"&amp;$W678,'CALENDARIO'!$G$15:$G$214,0)),IFERROR(INDEX('CALENDARIO'!$C$15:$C$214,MATCH(TEXT($J678,"yyyy-mm-dd")&amp;"|"&amp;$V678&amp;"|",'CALENDARIO'!$G$15:$G$214,0)),IFERROR(INDEX('CALENDARIO'!$C$15:$C$214,MATCH(TEXT($J678,"yyyy-mm-dd")&amp;"||",'CALENDARIO'!$G$15:$G$214,0)),INDEX(patronHabil,WEEKDAY($J678,2))))))</f>
        <v/>
      </c>
      <c r="T678" s="3">
        <f>IF($I678="","",IFERROR(INDEX('CAT_TIPOS_OT'!$C$4:$C$7,MATCH($I678,'CAT_TIPOS_OT'!$A$4:$A$7,0)),"sin_clasificar"))</f>
        <v/>
      </c>
      <c r="U678" s="3">
        <f>IF($F678="","",IFERROR(INDEX('CAT_CENTROS_COSTO'!$F$4:$F$13,MATCH($F678,'CAT_CENTROS_COSTO'!$A$4:$A$13,0)),"(sin catálogo)"))</f>
        <v/>
      </c>
      <c r="V678" s="3">
        <f>IF($F678="","",IFERROR(INDEX('CAT_CENTROS_COSTO'!$D$4:$D$13,MATCH($F678,'CAT_CENTROS_COSTO'!$A$4:$A$13,0)),"(sin catálogo)"))</f>
        <v/>
      </c>
      <c r="W678" s="3">
        <f>IF($F678="","",IF((IFERROR(INDEX('CAT_CENTROS_COSTO'!$E$4:$E$13,MATCH($F678,'CAT_CENTROS_COSTO'!$A$4:$A$13,0)),""))&lt;&gt;"",IFERROR(INDEX('CAT_CENTROS_COSTO'!$E$4:$E$13,MATCH($F678,'CAT_CENTROS_COSTO'!$A$4:$A$13,0)),""),$V678))</f>
        <v/>
      </c>
      <c r="X678" s="3">
        <f>IF($F678="","",IFERROR(INDEX('CAT_CENTROS_COSTO'!$G$4:$G$13,MATCH($F678,'CAT_CENTROS_COSTO'!$A$4:$A$13,0)),"(sin catálogo)"))</f>
        <v/>
      </c>
      <c r="Y678" s="3">
        <f>IF($G678="","",IFERROR(INDEX('CAT_PUESTOS'!$B$4:$B$8,MATCH($G678,'CAT_PUESTOS'!$A$4:$A$8,0)),"(sin catálogo)"))</f>
        <v/>
      </c>
      <c r="Z678" s="3">
        <f>IF($H678="","",IFERROR(INDEX('CAT_ACTIVIDADES'!$B$4:$B$8,MATCH($H678,'CAT_ACTIVIDADES'!$A$4:$A$8,0)),"(sin catálogo)"))</f>
        <v/>
      </c>
      <c r="AA678" s="12">
        <f>IF($J678="","",TODAY()-$J678)</f>
        <v/>
      </c>
      <c r="AB678" s="12">
        <f>IF($J678="","",IF($J678&lt;=TODAY(),COUNTIFS(cal_fechas,"&gt;="&amp;$J678,cal_fechas,"&lt;"&amp;TODAY(),cal_habil,"sí"),-COUNTIFS(cal_fechas,"&gt;="&amp;TODAY(),cal_fechas,"&lt;"&amp;$J678,cal_habil,"sí")))</f>
        <v/>
      </c>
      <c r="AC678" s="3">
        <f>IF($AB678="","",IF($AB678&lt;0,"FUTURO",IF($AB678&gt;p_dias_backlog_max,"BACKLOG","MES CORRIENTE")))</f>
        <v/>
      </c>
      <c r="AD678" s="3">
        <f>IF($AB678="",FALSE,AND($AB678&gt;p_dias_backlog_min,$AB678&lt;=p_dias_backlog_max))</f>
        <v/>
      </c>
      <c r="AE678" s="6" t="n"/>
      <c r="AF678" s="3">
        <f>IF($AE678="","",IF((IFERROR(INDEX('ASIGNACIONES'!$F$4:$F$339,MATCH($O678&amp;"|"&amp;$R678&amp;"|"&amp;$AE678,'ASIGNACIONES'!$J$4:$J$339,0)),""))=0,"",IFERROR(INDEX('ASIGNACIONES'!$F$4:$F$339,MATCH($O678&amp;"|"&amp;$R678&amp;"|"&amp;$AE678,'ASIGNACIONES'!$J$4:$J$339,0)),"")))</f>
        <v/>
      </c>
      <c r="AG678" s="13">
        <f>IF($AE678="","",SUMIFS('ORDENES'!$M$4:$M$1203,'ORDENES'!$AE$4:$AE$1203,$AE678,'ORDENES'!$O$4:$O$1203,$O678,'ORDENES'!$R$4:$R$1203,$R678))</f>
        <v/>
      </c>
      <c r="AH678" s="13">
        <f>IF($AG678="","",p_factor_productividad*IFERROR(INDEX('ASIGNACIONES'!$I$4:$I$339,MATCH($O678&amp;"|"&amp;$R678&amp;"|"&amp;$AE678,'ASIGNACIONES'!$J$4:$J$339,0)),0)-$AG678)</f>
        <v/>
      </c>
      <c r="AI678" s="10">
        <f>IF($A678="","",IFERROR(INDEX('2_IMPORTAR_EJECUCION'!$F$9:$F$1208,MATCH($AQ678,'2_IMPORTAR_EJECUCION'!$J$9:$J$1208,0)),0))</f>
        <v/>
      </c>
      <c r="AJ678" s="10">
        <f>IF($A678="","",MAX(0,IFERROR(INDEX('2_IMPORTAR_EJECUCION'!$H$9:$H$1208,MATCH($AQ678,'2_IMPORTAR_EJECUCION'!$J$9:$J$1208,0)),0)-$AI678))</f>
        <v/>
      </c>
      <c r="AK678" s="10">
        <f>IF($A678="","",$AI678+$AJ678)</f>
        <v/>
      </c>
      <c r="AL678" s="6" t="n"/>
      <c r="AM678" s="6" t="n"/>
      <c r="AN678" s="6" t="n"/>
      <c r="AO678" s="3">
        <f>IF($AN678="","",HYPERLINK(p_ruta_base_checklists&amp;$AN678,"abrir"))</f>
        <v/>
      </c>
      <c r="AP678" s="6" t="n"/>
      <c r="AQ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IF($A679="","",IFERROR(INDEX('AJUSTES'!$B$4:$B$303,MATCH($AQ679,'AJUSTES'!$A$4:$A$303,0)),IF($K679="","",$K679)))</f>
        <v/>
      </c>
      <c r="N679" s="3">
        <f>IF($A679="","",IFERROR(INDEX('CAT_ESTADOS_ERP'!$B$4:$B$7,MATCH(IFERROR(INDEX('2_IMPORTAR_EJECUCION'!$C$9:$C$1208,MATCH($AQ679,'2_IMPORTAR_EJECUCION'!$J$9:$J$1208,0)),""),'CAT_ESTADOS_ERP'!$A$4:$A$7,0)),"Pendiente"))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J679="","",IFERROR(INDEX('CALENDARIO'!$C$15:$C$214,MATCH(TEXT($J679,"yyyy-mm-dd")&amp;"|"&amp;$V679&amp;"|"&amp;$W679,'CALENDARIO'!$G$15:$G$214,0)),IFERROR(INDEX('CALENDARIO'!$C$15:$C$214,MATCH(TEXT($J679,"yyyy-mm-dd")&amp;"|"&amp;$V679&amp;"|",'CALENDARIO'!$G$15:$G$214,0)),IFERROR(INDEX('CALENDARIO'!$C$15:$C$214,MATCH(TEXT($J679,"yyyy-mm-dd")&amp;"||",'CALENDARIO'!$G$15:$G$214,0)),INDEX(patronHabil,WEEKDAY($J679,2))))))</f>
        <v/>
      </c>
      <c r="T679" s="3">
        <f>IF($I679="","",IFERROR(INDEX('CAT_TIPOS_OT'!$C$4:$C$7,MATCH($I679,'CAT_TIPOS_OT'!$A$4:$A$7,0)),"sin_clasificar"))</f>
        <v/>
      </c>
      <c r="U679" s="3">
        <f>IF($F679="","",IFERROR(INDEX('CAT_CENTROS_COSTO'!$F$4:$F$13,MATCH($F679,'CAT_CENTROS_COSTO'!$A$4:$A$13,0)),"(sin catálogo)"))</f>
        <v/>
      </c>
      <c r="V679" s="3">
        <f>IF($F679="","",IFERROR(INDEX('CAT_CENTROS_COSTO'!$D$4:$D$13,MATCH($F679,'CAT_CENTROS_COSTO'!$A$4:$A$13,0)),"(sin catálogo)"))</f>
        <v/>
      </c>
      <c r="W679" s="3">
        <f>IF($F679="","",IF((IFERROR(INDEX('CAT_CENTROS_COSTO'!$E$4:$E$13,MATCH($F679,'CAT_CENTROS_COSTO'!$A$4:$A$13,0)),""))&lt;&gt;"",IFERROR(INDEX('CAT_CENTROS_COSTO'!$E$4:$E$13,MATCH($F679,'CAT_CENTROS_COSTO'!$A$4:$A$13,0)),""),$V679))</f>
        <v/>
      </c>
      <c r="X679" s="3">
        <f>IF($F679="","",IFERROR(INDEX('CAT_CENTROS_COSTO'!$G$4:$G$13,MATCH($F679,'CAT_CENTROS_COSTO'!$A$4:$A$13,0)),"(sin catálogo)"))</f>
        <v/>
      </c>
      <c r="Y679" s="3">
        <f>IF($G679="","",IFERROR(INDEX('CAT_PUESTOS'!$B$4:$B$8,MATCH($G679,'CAT_PUESTOS'!$A$4:$A$8,0)),"(sin catálogo)"))</f>
        <v/>
      </c>
      <c r="Z679" s="3">
        <f>IF($H679="","",IFERROR(INDEX('CAT_ACTIVIDADES'!$B$4:$B$8,MATCH($H679,'CAT_ACTIVIDADES'!$A$4:$A$8,0)),"(sin catálogo)"))</f>
        <v/>
      </c>
      <c r="AA679" s="12">
        <f>IF($J679="","",TODAY()-$J679)</f>
        <v/>
      </c>
      <c r="AB679" s="12">
        <f>IF($J679="","",IF($J679&lt;=TODAY(),COUNTIFS(cal_fechas,"&gt;="&amp;$J679,cal_fechas,"&lt;"&amp;TODAY(),cal_habil,"sí"),-COUNTIFS(cal_fechas,"&gt;="&amp;TODAY(),cal_fechas,"&lt;"&amp;$J679,cal_habil,"sí")))</f>
        <v/>
      </c>
      <c r="AC679" s="3">
        <f>IF($AB679="","",IF($AB679&lt;0,"FUTURO",IF($AB679&gt;p_dias_backlog_max,"BACKLOG","MES CORRIENTE")))</f>
        <v/>
      </c>
      <c r="AD679" s="3">
        <f>IF($AB679="",FALSE,AND($AB679&gt;p_dias_backlog_min,$AB679&lt;=p_dias_backlog_max))</f>
        <v/>
      </c>
      <c r="AE679" s="6" t="n"/>
      <c r="AF679" s="3">
        <f>IF($AE679="","",IF((IFERROR(INDEX('ASIGNACIONES'!$F$4:$F$339,MATCH($O679&amp;"|"&amp;$R679&amp;"|"&amp;$AE679,'ASIGNACIONES'!$J$4:$J$339,0)),""))=0,"",IFERROR(INDEX('ASIGNACIONES'!$F$4:$F$339,MATCH($O679&amp;"|"&amp;$R679&amp;"|"&amp;$AE679,'ASIGNACIONES'!$J$4:$J$339,0)),"")))</f>
        <v/>
      </c>
      <c r="AG679" s="13">
        <f>IF($AE679="","",SUMIFS('ORDENES'!$M$4:$M$1203,'ORDENES'!$AE$4:$AE$1203,$AE679,'ORDENES'!$O$4:$O$1203,$O679,'ORDENES'!$R$4:$R$1203,$R679))</f>
        <v/>
      </c>
      <c r="AH679" s="13">
        <f>IF($AG679="","",p_factor_productividad*IFERROR(INDEX('ASIGNACIONES'!$I$4:$I$339,MATCH($O679&amp;"|"&amp;$R679&amp;"|"&amp;$AE679,'ASIGNACIONES'!$J$4:$J$339,0)),0)-$AG679)</f>
        <v/>
      </c>
      <c r="AI679" s="10">
        <f>IF($A679="","",IFERROR(INDEX('2_IMPORTAR_EJECUCION'!$F$9:$F$1208,MATCH($AQ679,'2_IMPORTAR_EJECUCION'!$J$9:$J$1208,0)),0))</f>
        <v/>
      </c>
      <c r="AJ679" s="10">
        <f>IF($A679="","",MAX(0,IFERROR(INDEX('2_IMPORTAR_EJECUCION'!$H$9:$H$1208,MATCH($AQ679,'2_IMPORTAR_EJECUCION'!$J$9:$J$1208,0)),0)-$AI679))</f>
        <v/>
      </c>
      <c r="AK679" s="10">
        <f>IF($A679="","",$AI679+$AJ679)</f>
        <v/>
      </c>
      <c r="AL679" s="6" t="n"/>
      <c r="AM679" s="6" t="n"/>
      <c r="AN679" s="6" t="n"/>
      <c r="AO679" s="3">
        <f>IF($AN679="","",HYPERLINK(p_ruta_base_checklists&amp;$AN679,"abrir"))</f>
        <v/>
      </c>
      <c r="AP679" s="6" t="n"/>
      <c r="AQ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IF($A680="","",IFERROR(INDEX('AJUSTES'!$B$4:$B$303,MATCH($AQ680,'AJUSTES'!$A$4:$A$303,0)),IF($K680="","",$K680)))</f>
        <v/>
      </c>
      <c r="N680" s="3">
        <f>IF($A680="","",IFERROR(INDEX('CAT_ESTADOS_ERP'!$B$4:$B$7,MATCH(IFERROR(INDEX('2_IMPORTAR_EJECUCION'!$C$9:$C$1208,MATCH($AQ680,'2_IMPORTAR_EJECUCION'!$J$9:$J$1208,0)),""),'CAT_ESTADOS_ERP'!$A$4:$A$7,0)),"Pendiente"))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J680="","",IFERROR(INDEX('CALENDARIO'!$C$15:$C$214,MATCH(TEXT($J680,"yyyy-mm-dd")&amp;"|"&amp;$V680&amp;"|"&amp;$W680,'CALENDARIO'!$G$15:$G$214,0)),IFERROR(INDEX('CALENDARIO'!$C$15:$C$214,MATCH(TEXT($J680,"yyyy-mm-dd")&amp;"|"&amp;$V680&amp;"|",'CALENDARIO'!$G$15:$G$214,0)),IFERROR(INDEX('CALENDARIO'!$C$15:$C$214,MATCH(TEXT($J680,"yyyy-mm-dd")&amp;"||",'CALENDARIO'!$G$15:$G$214,0)),INDEX(patronHabil,WEEKDAY($J680,2))))))</f>
        <v/>
      </c>
      <c r="T680" s="3">
        <f>IF($I680="","",IFERROR(INDEX('CAT_TIPOS_OT'!$C$4:$C$7,MATCH($I680,'CAT_TIPOS_OT'!$A$4:$A$7,0)),"sin_clasificar"))</f>
        <v/>
      </c>
      <c r="U680" s="3">
        <f>IF($F680="","",IFERROR(INDEX('CAT_CENTROS_COSTO'!$F$4:$F$13,MATCH($F680,'CAT_CENTROS_COSTO'!$A$4:$A$13,0)),"(sin catálogo)"))</f>
        <v/>
      </c>
      <c r="V680" s="3">
        <f>IF($F680="","",IFERROR(INDEX('CAT_CENTROS_COSTO'!$D$4:$D$13,MATCH($F680,'CAT_CENTROS_COSTO'!$A$4:$A$13,0)),"(sin catálogo)"))</f>
        <v/>
      </c>
      <c r="W680" s="3">
        <f>IF($F680="","",IF((IFERROR(INDEX('CAT_CENTROS_COSTO'!$E$4:$E$13,MATCH($F680,'CAT_CENTROS_COSTO'!$A$4:$A$13,0)),""))&lt;&gt;"",IFERROR(INDEX('CAT_CENTROS_COSTO'!$E$4:$E$13,MATCH($F680,'CAT_CENTROS_COSTO'!$A$4:$A$13,0)),""),$V680))</f>
        <v/>
      </c>
      <c r="X680" s="3">
        <f>IF($F680="","",IFERROR(INDEX('CAT_CENTROS_COSTO'!$G$4:$G$13,MATCH($F680,'CAT_CENTROS_COSTO'!$A$4:$A$13,0)),"(sin catálogo)"))</f>
        <v/>
      </c>
      <c r="Y680" s="3">
        <f>IF($G680="","",IFERROR(INDEX('CAT_PUESTOS'!$B$4:$B$8,MATCH($G680,'CAT_PUESTOS'!$A$4:$A$8,0)),"(sin catálogo)"))</f>
        <v/>
      </c>
      <c r="Z680" s="3">
        <f>IF($H680="","",IFERROR(INDEX('CAT_ACTIVIDADES'!$B$4:$B$8,MATCH($H680,'CAT_ACTIVIDADES'!$A$4:$A$8,0)),"(sin catálogo)"))</f>
        <v/>
      </c>
      <c r="AA680" s="12">
        <f>IF($J680="","",TODAY()-$J680)</f>
        <v/>
      </c>
      <c r="AB680" s="12">
        <f>IF($J680="","",IF($J680&lt;=TODAY(),COUNTIFS(cal_fechas,"&gt;="&amp;$J680,cal_fechas,"&lt;"&amp;TODAY(),cal_habil,"sí"),-COUNTIFS(cal_fechas,"&gt;="&amp;TODAY(),cal_fechas,"&lt;"&amp;$J680,cal_habil,"sí")))</f>
        <v/>
      </c>
      <c r="AC680" s="3">
        <f>IF($AB680="","",IF($AB680&lt;0,"FUTURO",IF($AB680&gt;p_dias_backlog_max,"BACKLOG","MES CORRIENTE")))</f>
        <v/>
      </c>
      <c r="AD680" s="3">
        <f>IF($AB680="",FALSE,AND($AB680&gt;p_dias_backlog_min,$AB680&lt;=p_dias_backlog_max))</f>
        <v/>
      </c>
      <c r="AE680" s="6" t="n"/>
      <c r="AF680" s="3">
        <f>IF($AE680="","",IF((IFERROR(INDEX('ASIGNACIONES'!$F$4:$F$339,MATCH($O680&amp;"|"&amp;$R680&amp;"|"&amp;$AE680,'ASIGNACIONES'!$J$4:$J$339,0)),""))=0,"",IFERROR(INDEX('ASIGNACIONES'!$F$4:$F$339,MATCH($O680&amp;"|"&amp;$R680&amp;"|"&amp;$AE680,'ASIGNACIONES'!$J$4:$J$339,0)),"")))</f>
        <v/>
      </c>
      <c r="AG680" s="13">
        <f>IF($AE680="","",SUMIFS('ORDENES'!$M$4:$M$1203,'ORDENES'!$AE$4:$AE$1203,$AE680,'ORDENES'!$O$4:$O$1203,$O680,'ORDENES'!$R$4:$R$1203,$R680))</f>
        <v/>
      </c>
      <c r="AH680" s="13">
        <f>IF($AG680="","",p_factor_productividad*IFERROR(INDEX('ASIGNACIONES'!$I$4:$I$339,MATCH($O680&amp;"|"&amp;$R680&amp;"|"&amp;$AE680,'ASIGNACIONES'!$J$4:$J$339,0)),0)-$AG680)</f>
        <v/>
      </c>
      <c r="AI680" s="10">
        <f>IF($A680="","",IFERROR(INDEX('2_IMPORTAR_EJECUCION'!$F$9:$F$1208,MATCH($AQ680,'2_IMPORTAR_EJECUCION'!$J$9:$J$1208,0)),0))</f>
        <v/>
      </c>
      <c r="AJ680" s="10">
        <f>IF($A680="","",MAX(0,IFERROR(INDEX('2_IMPORTAR_EJECUCION'!$H$9:$H$1208,MATCH($AQ680,'2_IMPORTAR_EJECUCION'!$J$9:$J$1208,0)),0)-$AI680))</f>
        <v/>
      </c>
      <c r="AK680" s="10">
        <f>IF($A680="","",$AI680+$AJ680)</f>
        <v/>
      </c>
      <c r="AL680" s="6" t="n"/>
      <c r="AM680" s="6" t="n"/>
      <c r="AN680" s="6" t="n"/>
      <c r="AO680" s="3">
        <f>IF($AN680="","",HYPERLINK(p_ruta_base_checklists&amp;$AN680,"abrir"))</f>
        <v/>
      </c>
      <c r="AP680" s="6" t="n"/>
      <c r="AQ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IF($A681="","",IFERROR(INDEX('AJUSTES'!$B$4:$B$303,MATCH($AQ681,'AJUSTES'!$A$4:$A$303,0)),IF($K681="","",$K681)))</f>
        <v/>
      </c>
      <c r="N681" s="3">
        <f>IF($A681="","",IFERROR(INDEX('CAT_ESTADOS_ERP'!$B$4:$B$7,MATCH(IFERROR(INDEX('2_IMPORTAR_EJECUCION'!$C$9:$C$1208,MATCH($AQ681,'2_IMPORTAR_EJECUCION'!$J$9:$J$1208,0)),""),'CAT_ESTADOS_ERP'!$A$4:$A$7,0)),"Pendiente"))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J681="","",IFERROR(INDEX('CALENDARIO'!$C$15:$C$214,MATCH(TEXT($J681,"yyyy-mm-dd")&amp;"|"&amp;$V681&amp;"|"&amp;$W681,'CALENDARIO'!$G$15:$G$214,0)),IFERROR(INDEX('CALENDARIO'!$C$15:$C$214,MATCH(TEXT($J681,"yyyy-mm-dd")&amp;"|"&amp;$V681&amp;"|",'CALENDARIO'!$G$15:$G$214,0)),IFERROR(INDEX('CALENDARIO'!$C$15:$C$214,MATCH(TEXT($J681,"yyyy-mm-dd")&amp;"||",'CALENDARIO'!$G$15:$G$214,0)),INDEX(patronHabil,WEEKDAY($J681,2))))))</f>
        <v/>
      </c>
      <c r="T681" s="3">
        <f>IF($I681="","",IFERROR(INDEX('CAT_TIPOS_OT'!$C$4:$C$7,MATCH($I681,'CAT_TIPOS_OT'!$A$4:$A$7,0)),"sin_clasificar"))</f>
        <v/>
      </c>
      <c r="U681" s="3">
        <f>IF($F681="","",IFERROR(INDEX('CAT_CENTROS_COSTO'!$F$4:$F$13,MATCH($F681,'CAT_CENTROS_COSTO'!$A$4:$A$13,0)),"(sin catálogo)"))</f>
        <v/>
      </c>
      <c r="V681" s="3">
        <f>IF($F681="","",IFERROR(INDEX('CAT_CENTROS_COSTO'!$D$4:$D$13,MATCH($F681,'CAT_CENTROS_COSTO'!$A$4:$A$13,0)),"(sin catálogo)"))</f>
        <v/>
      </c>
      <c r="W681" s="3">
        <f>IF($F681="","",IF((IFERROR(INDEX('CAT_CENTROS_COSTO'!$E$4:$E$13,MATCH($F681,'CAT_CENTROS_COSTO'!$A$4:$A$13,0)),""))&lt;&gt;"",IFERROR(INDEX('CAT_CENTROS_COSTO'!$E$4:$E$13,MATCH($F681,'CAT_CENTROS_COSTO'!$A$4:$A$13,0)),""),$V681))</f>
        <v/>
      </c>
      <c r="X681" s="3">
        <f>IF($F681="","",IFERROR(INDEX('CAT_CENTROS_COSTO'!$G$4:$G$13,MATCH($F681,'CAT_CENTROS_COSTO'!$A$4:$A$13,0)),"(sin catálogo)"))</f>
        <v/>
      </c>
      <c r="Y681" s="3">
        <f>IF($G681="","",IFERROR(INDEX('CAT_PUESTOS'!$B$4:$B$8,MATCH($G681,'CAT_PUESTOS'!$A$4:$A$8,0)),"(sin catálogo)"))</f>
        <v/>
      </c>
      <c r="Z681" s="3">
        <f>IF($H681="","",IFERROR(INDEX('CAT_ACTIVIDADES'!$B$4:$B$8,MATCH($H681,'CAT_ACTIVIDADES'!$A$4:$A$8,0)),"(sin catálogo)"))</f>
        <v/>
      </c>
      <c r="AA681" s="12">
        <f>IF($J681="","",TODAY()-$J681)</f>
        <v/>
      </c>
      <c r="AB681" s="12">
        <f>IF($J681="","",IF($J681&lt;=TODAY(),COUNTIFS(cal_fechas,"&gt;="&amp;$J681,cal_fechas,"&lt;"&amp;TODAY(),cal_habil,"sí"),-COUNTIFS(cal_fechas,"&gt;="&amp;TODAY(),cal_fechas,"&lt;"&amp;$J681,cal_habil,"sí")))</f>
        <v/>
      </c>
      <c r="AC681" s="3">
        <f>IF($AB681="","",IF($AB681&lt;0,"FUTURO",IF($AB681&gt;p_dias_backlog_max,"BACKLOG","MES CORRIENTE")))</f>
        <v/>
      </c>
      <c r="AD681" s="3">
        <f>IF($AB681="",FALSE,AND($AB681&gt;p_dias_backlog_min,$AB681&lt;=p_dias_backlog_max))</f>
        <v/>
      </c>
      <c r="AE681" s="6" t="n"/>
      <c r="AF681" s="3">
        <f>IF($AE681="","",IF((IFERROR(INDEX('ASIGNACIONES'!$F$4:$F$339,MATCH($O681&amp;"|"&amp;$R681&amp;"|"&amp;$AE681,'ASIGNACIONES'!$J$4:$J$339,0)),""))=0,"",IFERROR(INDEX('ASIGNACIONES'!$F$4:$F$339,MATCH($O681&amp;"|"&amp;$R681&amp;"|"&amp;$AE681,'ASIGNACIONES'!$J$4:$J$339,0)),"")))</f>
        <v/>
      </c>
      <c r="AG681" s="13">
        <f>IF($AE681="","",SUMIFS('ORDENES'!$M$4:$M$1203,'ORDENES'!$AE$4:$AE$1203,$AE681,'ORDENES'!$O$4:$O$1203,$O681,'ORDENES'!$R$4:$R$1203,$R681))</f>
        <v/>
      </c>
      <c r="AH681" s="13">
        <f>IF($AG681="","",p_factor_productividad*IFERROR(INDEX('ASIGNACIONES'!$I$4:$I$339,MATCH($O681&amp;"|"&amp;$R681&amp;"|"&amp;$AE681,'ASIGNACIONES'!$J$4:$J$339,0)),0)-$AG681)</f>
        <v/>
      </c>
      <c r="AI681" s="10">
        <f>IF($A681="","",IFERROR(INDEX('2_IMPORTAR_EJECUCION'!$F$9:$F$1208,MATCH($AQ681,'2_IMPORTAR_EJECUCION'!$J$9:$J$1208,0)),0))</f>
        <v/>
      </c>
      <c r="AJ681" s="10">
        <f>IF($A681="","",MAX(0,IFERROR(INDEX('2_IMPORTAR_EJECUCION'!$H$9:$H$1208,MATCH($AQ681,'2_IMPORTAR_EJECUCION'!$J$9:$J$1208,0)),0)-$AI681))</f>
        <v/>
      </c>
      <c r="AK681" s="10">
        <f>IF($A681="","",$AI681+$AJ681)</f>
        <v/>
      </c>
      <c r="AL681" s="6" t="n"/>
      <c r="AM681" s="6" t="n"/>
      <c r="AN681" s="6" t="n"/>
      <c r="AO681" s="3">
        <f>IF($AN681="","",HYPERLINK(p_ruta_base_checklists&amp;$AN681,"abrir"))</f>
        <v/>
      </c>
      <c r="AP681" s="6" t="n"/>
      <c r="AQ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IF($A682="","",IFERROR(INDEX('AJUSTES'!$B$4:$B$303,MATCH($AQ682,'AJUSTES'!$A$4:$A$303,0)),IF($K682="","",$K682)))</f>
        <v/>
      </c>
      <c r="N682" s="3">
        <f>IF($A682="","",IFERROR(INDEX('CAT_ESTADOS_ERP'!$B$4:$B$7,MATCH(IFERROR(INDEX('2_IMPORTAR_EJECUCION'!$C$9:$C$1208,MATCH($AQ682,'2_IMPORTAR_EJECUCION'!$J$9:$J$1208,0)),""),'CAT_ESTADOS_ERP'!$A$4:$A$7,0)),"Pendiente"))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J682="","",IFERROR(INDEX('CALENDARIO'!$C$15:$C$214,MATCH(TEXT($J682,"yyyy-mm-dd")&amp;"|"&amp;$V682&amp;"|"&amp;$W682,'CALENDARIO'!$G$15:$G$214,0)),IFERROR(INDEX('CALENDARIO'!$C$15:$C$214,MATCH(TEXT($J682,"yyyy-mm-dd")&amp;"|"&amp;$V682&amp;"|",'CALENDARIO'!$G$15:$G$214,0)),IFERROR(INDEX('CALENDARIO'!$C$15:$C$214,MATCH(TEXT($J682,"yyyy-mm-dd")&amp;"||",'CALENDARIO'!$G$15:$G$214,0)),INDEX(patronHabil,WEEKDAY($J682,2))))))</f>
        <v/>
      </c>
      <c r="T682" s="3">
        <f>IF($I682="","",IFERROR(INDEX('CAT_TIPOS_OT'!$C$4:$C$7,MATCH($I682,'CAT_TIPOS_OT'!$A$4:$A$7,0)),"sin_clasificar"))</f>
        <v/>
      </c>
      <c r="U682" s="3">
        <f>IF($F682="","",IFERROR(INDEX('CAT_CENTROS_COSTO'!$F$4:$F$13,MATCH($F682,'CAT_CENTROS_COSTO'!$A$4:$A$13,0)),"(sin catálogo)"))</f>
        <v/>
      </c>
      <c r="V682" s="3">
        <f>IF($F682="","",IFERROR(INDEX('CAT_CENTROS_COSTO'!$D$4:$D$13,MATCH($F682,'CAT_CENTROS_COSTO'!$A$4:$A$13,0)),"(sin catálogo)"))</f>
        <v/>
      </c>
      <c r="W682" s="3">
        <f>IF($F682="","",IF((IFERROR(INDEX('CAT_CENTROS_COSTO'!$E$4:$E$13,MATCH($F682,'CAT_CENTROS_COSTO'!$A$4:$A$13,0)),""))&lt;&gt;"",IFERROR(INDEX('CAT_CENTROS_COSTO'!$E$4:$E$13,MATCH($F682,'CAT_CENTROS_COSTO'!$A$4:$A$13,0)),""),$V682))</f>
        <v/>
      </c>
      <c r="X682" s="3">
        <f>IF($F682="","",IFERROR(INDEX('CAT_CENTROS_COSTO'!$G$4:$G$13,MATCH($F682,'CAT_CENTROS_COSTO'!$A$4:$A$13,0)),"(sin catálogo)"))</f>
        <v/>
      </c>
      <c r="Y682" s="3">
        <f>IF($G682="","",IFERROR(INDEX('CAT_PUESTOS'!$B$4:$B$8,MATCH($G682,'CAT_PUESTOS'!$A$4:$A$8,0)),"(sin catálogo)"))</f>
        <v/>
      </c>
      <c r="Z682" s="3">
        <f>IF($H682="","",IFERROR(INDEX('CAT_ACTIVIDADES'!$B$4:$B$8,MATCH($H682,'CAT_ACTIVIDADES'!$A$4:$A$8,0)),"(sin catálogo)"))</f>
        <v/>
      </c>
      <c r="AA682" s="12">
        <f>IF($J682="","",TODAY()-$J682)</f>
        <v/>
      </c>
      <c r="AB682" s="12">
        <f>IF($J682="","",IF($J682&lt;=TODAY(),COUNTIFS(cal_fechas,"&gt;="&amp;$J682,cal_fechas,"&lt;"&amp;TODAY(),cal_habil,"sí"),-COUNTIFS(cal_fechas,"&gt;="&amp;TODAY(),cal_fechas,"&lt;"&amp;$J682,cal_habil,"sí")))</f>
        <v/>
      </c>
      <c r="AC682" s="3">
        <f>IF($AB682="","",IF($AB682&lt;0,"FUTURO",IF($AB682&gt;p_dias_backlog_max,"BACKLOG","MES CORRIENTE")))</f>
        <v/>
      </c>
      <c r="AD682" s="3">
        <f>IF($AB682="",FALSE,AND($AB682&gt;p_dias_backlog_min,$AB682&lt;=p_dias_backlog_max))</f>
        <v/>
      </c>
      <c r="AE682" s="6" t="n"/>
      <c r="AF682" s="3">
        <f>IF($AE682="","",IF((IFERROR(INDEX('ASIGNACIONES'!$F$4:$F$339,MATCH($O682&amp;"|"&amp;$R682&amp;"|"&amp;$AE682,'ASIGNACIONES'!$J$4:$J$339,0)),""))=0,"",IFERROR(INDEX('ASIGNACIONES'!$F$4:$F$339,MATCH($O682&amp;"|"&amp;$R682&amp;"|"&amp;$AE682,'ASIGNACIONES'!$J$4:$J$339,0)),"")))</f>
        <v/>
      </c>
      <c r="AG682" s="13">
        <f>IF($AE682="","",SUMIFS('ORDENES'!$M$4:$M$1203,'ORDENES'!$AE$4:$AE$1203,$AE682,'ORDENES'!$O$4:$O$1203,$O682,'ORDENES'!$R$4:$R$1203,$R682))</f>
        <v/>
      </c>
      <c r="AH682" s="13">
        <f>IF($AG682="","",p_factor_productividad*IFERROR(INDEX('ASIGNACIONES'!$I$4:$I$339,MATCH($O682&amp;"|"&amp;$R682&amp;"|"&amp;$AE682,'ASIGNACIONES'!$J$4:$J$339,0)),0)-$AG682)</f>
        <v/>
      </c>
      <c r="AI682" s="10">
        <f>IF($A682="","",IFERROR(INDEX('2_IMPORTAR_EJECUCION'!$F$9:$F$1208,MATCH($AQ682,'2_IMPORTAR_EJECUCION'!$J$9:$J$1208,0)),0))</f>
        <v/>
      </c>
      <c r="AJ682" s="10">
        <f>IF($A682="","",MAX(0,IFERROR(INDEX('2_IMPORTAR_EJECUCION'!$H$9:$H$1208,MATCH($AQ682,'2_IMPORTAR_EJECUCION'!$J$9:$J$1208,0)),0)-$AI682))</f>
        <v/>
      </c>
      <c r="AK682" s="10">
        <f>IF($A682="","",$AI682+$AJ682)</f>
        <v/>
      </c>
      <c r="AL682" s="6" t="n"/>
      <c r="AM682" s="6" t="n"/>
      <c r="AN682" s="6" t="n"/>
      <c r="AO682" s="3">
        <f>IF($AN682="","",HYPERLINK(p_ruta_base_checklists&amp;$AN682,"abrir"))</f>
        <v/>
      </c>
      <c r="AP682" s="6" t="n"/>
      <c r="AQ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IF($A683="","",IFERROR(INDEX('AJUSTES'!$B$4:$B$303,MATCH($AQ683,'AJUSTES'!$A$4:$A$303,0)),IF($K683="","",$K683)))</f>
        <v/>
      </c>
      <c r="N683" s="3">
        <f>IF($A683="","",IFERROR(INDEX('CAT_ESTADOS_ERP'!$B$4:$B$7,MATCH(IFERROR(INDEX('2_IMPORTAR_EJECUCION'!$C$9:$C$1208,MATCH($AQ683,'2_IMPORTAR_EJECUCION'!$J$9:$J$1208,0)),""),'CAT_ESTADOS_ERP'!$A$4:$A$7,0)),"Pendiente"))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J683="","",IFERROR(INDEX('CALENDARIO'!$C$15:$C$214,MATCH(TEXT($J683,"yyyy-mm-dd")&amp;"|"&amp;$V683&amp;"|"&amp;$W683,'CALENDARIO'!$G$15:$G$214,0)),IFERROR(INDEX('CALENDARIO'!$C$15:$C$214,MATCH(TEXT($J683,"yyyy-mm-dd")&amp;"|"&amp;$V683&amp;"|",'CALENDARIO'!$G$15:$G$214,0)),IFERROR(INDEX('CALENDARIO'!$C$15:$C$214,MATCH(TEXT($J683,"yyyy-mm-dd")&amp;"||",'CALENDARIO'!$G$15:$G$214,0)),INDEX(patronHabil,WEEKDAY($J683,2))))))</f>
        <v/>
      </c>
      <c r="T683" s="3">
        <f>IF($I683="","",IFERROR(INDEX('CAT_TIPOS_OT'!$C$4:$C$7,MATCH($I683,'CAT_TIPOS_OT'!$A$4:$A$7,0)),"sin_clasificar"))</f>
        <v/>
      </c>
      <c r="U683" s="3">
        <f>IF($F683="","",IFERROR(INDEX('CAT_CENTROS_COSTO'!$F$4:$F$13,MATCH($F683,'CAT_CENTROS_COSTO'!$A$4:$A$13,0)),"(sin catálogo)"))</f>
        <v/>
      </c>
      <c r="V683" s="3">
        <f>IF($F683="","",IFERROR(INDEX('CAT_CENTROS_COSTO'!$D$4:$D$13,MATCH($F683,'CAT_CENTROS_COSTO'!$A$4:$A$13,0)),"(sin catálogo)"))</f>
        <v/>
      </c>
      <c r="W683" s="3">
        <f>IF($F683="","",IF((IFERROR(INDEX('CAT_CENTROS_COSTO'!$E$4:$E$13,MATCH($F683,'CAT_CENTROS_COSTO'!$A$4:$A$13,0)),""))&lt;&gt;"",IFERROR(INDEX('CAT_CENTROS_COSTO'!$E$4:$E$13,MATCH($F683,'CAT_CENTROS_COSTO'!$A$4:$A$13,0)),""),$V683))</f>
        <v/>
      </c>
      <c r="X683" s="3">
        <f>IF($F683="","",IFERROR(INDEX('CAT_CENTROS_COSTO'!$G$4:$G$13,MATCH($F683,'CAT_CENTROS_COSTO'!$A$4:$A$13,0)),"(sin catálogo)"))</f>
        <v/>
      </c>
      <c r="Y683" s="3">
        <f>IF($G683="","",IFERROR(INDEX('CAT_PUESTOS'!$B$4:$B$8,MATCH($G683,'CAT_PUESTOS'!$A$4:$A$8,0)),"(sin catálogo)"))</f>
        <v/>
      </c>
      <c r="Z683" s="3">
        <f>IF($H683="","",IFERROR(INDEX('CAT_ACTIVIDADES'!$B$4:$B$8,MATCH($H683,'CAT_ACTIVIDADES'!$A$4:$A$8,0)),"(sin catálogo)"))</f>
        <v/>
      </c>
      <c r="AA683" s="12">
        <f>IF($J683="","",TODAY()-$J683)</f>
        <v/>
      </c>
      <c r="AB683" s="12">
        <f>IF($J683="","",IF($J683&lt;=TODAY(),COUNTIFS(cal_fechas,"&gt;="&amp;$J683,cal_fechas,"&lt;"&amp;TODAY(),cal_habil,"sí"),-COUNTIFS(cal_fechas,"&gt;="&amp;TODAY(),cal_fechas,"&lt;"&amp;$J683,cal_habil,"sí")))</f>
        <v/>
      </c>
      <c r="AC683" s="3">
        <f>IF($AB683="","",IF($AB683&lt;0,"FUTURO",IF($AB683&gt;p_dias_backlog_max,"BACKLOG","MES CORRIENTE")))</f>
        <v/>
      </c>
      <c r="AD683" s="3">
        <f>IF($AB683="",FALSE,AND($AB683&gt;p_dias_backlog_min,$AB683&lt;=p_dias_backlog_max))</f>
        <v/>
      </c>
      <c r="AE683" s="6" t="n"/>
      <c r="AF683" s="3">
        <f>IF($AE683="","",IF((IFERROR(INDEX('ASIGNACIONES'!$F$4:$F$339,MATCH($O683&amp;"|"&amp;$R683&amp;"|"&amp;$AE683,'ASIGNACIONES'!$J$4:$J$339,0)),""))=0,"",IFERROR(INDEX('ASIGNACIONES'!$F$4:$F$339,MATCH($O683&amp;"|"&amp;$R683&amp;"|"&amp;$AE683,'ASIGNACIONES'!$J$4:$J$339,0)),"")))</f>
        <v/>
      </c>
      <c r="AG683" s="13">
        <f>IF($AE683="","",SUMIFS('ORDENES'!$M$4:$M$1203,'ORDENES'!$AE$4:$AE$1203,$AE683,'ORDENES'!$O$4:$O$1203,$O683,'ORDENES'!$R$4:$R$1203,$R683))</f>
        <v/>
      </c>
      <c r="AH683" s="13">
        <f>IF($AG683="","",p_factor_productividad*IFERROR(INDEX('ASIGNACIONES'!$I$4:$I$339,MATCH($O683&amp;"|"&amp;$R683&amp;"|"&amp;$AE683,'ASIGNACIONES'!$J$4:$J$339,0)),0)-$AG683)</f>
        <v/>
      </c>
      <c r="AI683" s="10">
        <f>IF($A683="","",IFERROR(INDEX('2_IMPORTAR_EJECUCION'!$F$9:$F$1208,MATCH($AQ683,'2_IMPORTAR_EJECUCION'!$J$9:$J$1208,0)),0))</f>
        <v/>
      </c>
      <c r="AJ683" s="10">
        <f>IF($A683="","",MAX(0,IFERROR(INDEX('2_IMPORTAR_EJECUCION'!$H$9:$H$1208,MATCH($AQ683,'2_IMPORTAR_EJECUCION'!$J$9:$J$1208,0)),0)-$AI683))</f>
        <v/>
      </c>
      <c r="AK683" s="10">
        <f>IF($A683="","",$AI683+$AJ683)</f>
        <v/>
      </c>
      <c r="AL683" s="6" t="n"/>
      <c r="AM683" s="6" t="n"/>
      <c r="AN683" s="6" t="n"/>
      <c r="AO683" s="3">
        <f>IF($AN683="","",HYPERLINK(p_ruta_base_checklists&amp;$AN683,"abrir"))</f>
        <v/>
      </c>
      <c r="AP683" s="6" t="n"/>
      <c r="AQ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IF($A684="","",IFERROR(INDEX('AJUSTES'!$B$4:$B$303,MATCH($AQ684,'AJUSTES'!$A$4:$A$303,0)),IF($K684="","",$K684)))</f>
        <v/>
      </c>
      <c r="N684" s="3">
        <f>IF($A684="","",IFERROR(INDEX('CAT_ESTADOS_ERP'!$B$4:$B$7,MATCH(IFERROR(INDEX('2_IMPORTAR_EJECUCION'!$C$9:$C$1208,MATCH($AQ684,'2_IMPORTAR_EJECUCION'!$J$9:$J$1208,0)),""),'CAT_ESTADOS_ERP'!$A$4:$A$7,0)),"Pendiente"))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J684="","",IFERROR(INDEX('CALENDARIO'!$C$15:$C$214,MATCH(TEXT($J684,"yyyy-mm-dd")&amp;"|"&amp;$V684&amp;"|"&amp;$W684,'CALENDARIO'!$G$15:$G$214,0)),IFERROR(INDEX('CALENDARIO'!$C$15:$C$214,MATCH(TEXT($J684,"yyyy-mm-dd")&amp;"|"&amp;$V684&amp;"|",'CALENDARIO'!$G$15:$G$214,0)),IFERROR(INDEX('CALENDARIO'!$C$15:$C$214,MATCH(TEXT($J684,"yyyy-mm-dd")&amp;"||",'CALENDARIO'!$G$15:$G$214,0)),INDEX(patronHabil,WEEKDAY($J684,2))))))</f>
        <v/>
      </c>
      <c r="T684" s="3">
        <f>IF($I684="","",IFERROR(INDEX('CAT_TIPOS_OT'!$C$4:$C$7,MATCH($I684,'CAT_TIPOS_OT'!$A$4:$A$7,0)),"sin_clasificar"))</f>
        <v/>
      </c>
      <c r="U684" s="3">
        <f>IF($F684="","",IFERROR(INDEX('CAT_CENTROS_COSTO'!$F$4:$F$13,MATCH($F684,'CAT_CENTROS_COSTO'!$A$4:$A$13,0)),"(sin catálogo)"))</f>
        <v/>
      </c>
      <c r="V684" s="3">
        <f>IF($F684="","",IFERROR(INDEX('CAT_CENTROS_COSTO'!$D$4:$D$13,MATCH($F684,'CAT_CENTROS_COSTO'!$A$4:$A$13,0)),"(sin catálogo)"))</f>
        <v/>
      </c>
      <c r="W684" s="3">
        <f>IF($F684="","",IF((IFERROR(INDEX('CAT_CENTROS_COSTO'!$E$4:$E$13,MATCH($F684,'CAT_CENTROS_COSTO'!$A$4:$A$13,0)),""))&lt;&gt;"",IFERROR(INDEX('CAT_CENTROS_COSTO'!$E$4:$E$13,MATCH($F684,'CAT_CENTROS_COSTO'!$A$4:$A$13,0)),""),$V684))</f>
        <v/>
      </c>
      <c r="X684" s="3">
        <f>IF($F684="","",IFERROR(INDEX('CAT_CENTROS_COSTO'!$G$4:$G$13,MATCH($F684,'CAT_CENTROS_COSTO'!$A$4:$A$13,0)),"(sin catálogo)"))</f>
        <v/>
      </c>
      <c r="Y684" s="3">
        <f>IF($G684="","",IFERROR(INDEX('CAT_PUESTOS'!$B$4:$B$8,MATCH($G684,'CAT_PUESTOS'!$A$4:$A$8,0)),"(sin catálogo)"))</f>
        <v/>
      </c>
      <c r="Z684" s="3">
        <f>IF($H684="","",IFERROR(INDEX('CAT_ACTIVIDADES'!$B$4:$B$8,MATCH($H684,'CAT_ACTIVIDADES'!$A$4:$A$8,0)),"(sin catálogo)"))</f>
        <v/>
      </c>
      <c r="AA684" s="12">
        <f>IF($J684="","",TODAY()-$J684)</f>
        <v/>
      </c>
      <c r="AB684" s="12">
        <f>IF($J684="","",IF($J684&lt;=TODAY(),COUNTIFS(cal_fechas,"&gt;="&amp;$J684,cal_fechas,"&lt;"&amp;TODAY(),cal_habil,"sí"),-COUNTIFS(cal_fechas,"&gt;="&amp;TODAY(),cal_fechas,"&lt;"&amp;$J684,cal_habil,"sí")))</f>
        <v/>
      </c>
      <c r="AC684" s="3">
        <f>IF($AB684="","",IF($AB684&lt;0,"FUTURO",IF($AB684&gt;p_dias_backlog_max,"BACKLOG","MES CORRIENTE")))</f>
        <v/>
      </c>
      <c r="AD684" s="3">
        <f>IF($AB684="",FALSE,AND($AB684&gt;p_dias_backlog_min,$AB684&lt;=p_dias_backlog_max))</f>
        <v/>
      </c>
      <c r="AE684" s="6" t="n"/>
      <c r="AF684" s="3">
        <f>IF($AE684="","",IF((IFERROR(INDEX('ASIGNACIONES'!$F$4:$F$339,MATCH($O684&amp;"|"&amp;$R684&amp;"|"&amp;$AE684,'ASIGNACIONES'!$J$4:$J$339,0)),""))=0,"",IFERROR(INDEX('ASIGNACIONES'!$F$4:$F$339,MATCH($O684&amp;"|"&amp;$R684&amp;"|"&amp;$AE684,'ASIGNACIONES'!$J$4:$J$339,0)),"")))</f>
        <v/>
      </c>
      <c r="AG684" s="13">
        <f>IF($AE684="","",SUMIFS('ORDENES'!$M$4:$M$1203,'ORDENES'!$AE$4:$AE$1203,$AE684,'ORDENES'!$O$4:$O$1203,$O684,'ORDENES'!$R$4:$R$1203,$R684))</f>
        <v/>
      </c>
      <c r="AH684" s="13">
        <f>IF($AG684="","",p_factor_productividad*IFERROR(INDEX('ASIGNACIONES'!$I$4:$I$339,MATCH($O684&amp;"|"&amp;$R684&amp;"|"&amp;$AE684,'ASIGNACIONES'!$J$4:$J$339,0)),0)-$AG684)</f>
        <v/>
      </c>
      <c r="AI684" s="10">
        <f>IF($A684="","",IFERROR(INDEX('2_IMPORTAR_EJECUCION'!$F$9:$F$1208,MATCH($AQ684,'2_IMPORTAR_EJECUCION'!$J$9:$J$1208,0)),0))</f>
        <v/>
      </c>
      <c r="AJ684" s="10">
        <f>IF($A684="","",MAX(0,IFERROR(INDEX('2_IMPORTAR_EJECUCION'!$H$9:$H$1208,MATCH($AQ684,'2_IMPORTAR_EJECUCION'!$J$9:$J$1208,0)),0)-$AI684))</f>
        <v/>
      </c>
      <c r="AK684" s="10">
        <f>IF($A684="","",$AI684+$AJ684)</f>
        <v/>
      </c>
      <c r="AL684" s="6" t="n"/>
      <c r="AM684" s="6" t="n"/>
      <c r="AN684" s="6" t="n"/>
      <c r="AO684" s="3">
        <f>IF($AN684="","",HYPERLINK(p_ruta_base_checklists&amp;$AN684,"abrir"))</f>
        <v/>
      </c>
      <c r="AP684" s="6" t="n"/>
      <c r="AQ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IF($A685="","",IFERROR(INDEX('AJUSTES'!$B$4:$B$303,MATCH($AQ685,'AJUSTES'!$A$4:$A$303,0)),IF($K685="","",$K685)))</f>
        <v/>
      </c>
      <c r="N685" s="3">
        <f>IF($A685="","",IFERROR(INDEX('CAT_ESTADOS_ERP'!$B$4:$B$7,MATCH(IFERROR(INDEX('2_IMPORTAR_EJECUCION'!$C$9:$C$1208,MATCH($AQ685,'2_IMPORTAR_EJECUCION'!$J$9:$J$1208,0)),""),'CAT_ESTADOS_ERP'!$A$4:$A$7,0)),"Pendiente"))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J685="","",IFERROR(INDEX('CALENDARIO'!$C$15:$C$214,MATCH(TEXT($J685,"yyyy-mm-dd")&amp;"|"&amp;$V685&amp;"|"&amp;$W685,'CALENDARIO'!$G$15:$G$214,0)),IFERROR(INDEX('CALENDARIO'!$C$15:$C$214,MATCH(TEXT($J685,"yyyy-mm-dd")&amp;"|"&amp;$V685&amp;"|",'CALENDARIO'!$G$15:$G$214,0)),IFERROR(INDEX('CALENDARIO'!$C$15:$C$214,MATCH(TEXT($J685,"yyyy-mm-dd")&amp;"||",'CALENDARIO'!$G$15:$G$214,0)),INDEX(patronHabil,WEEKDAY($J685,2))))))</f>
        <v/>
      </c>
      <c r="T685" s="3">
        <f>IF($I685="","",IFERROR(INDEX('CAT_TIPOS_OT'!$C$4:$C$7,MATCH($I685,'CAT_TIPOS_OT'!$A$4:$A$7,0)),"sin_clasificar"))</f>
        <v/>
      </c>
      <c r="U685" s="3">
        <f>IF($F685="","",IFERROR(INDEX('CAT_CENTROS_COSTO'!$F$4:$F$13,MATCH($F685,'CAT_CENTROS_COSTO'!$A$4:$A$13,0)),"(sin catálogo)"))</f>
        <v/>
      </c>
      <c r="V685" s="3">
        <f>IF($F685="","",IFERROR(INDEX('CAT_CENTROS_COSTO'!$D$4:$D$13,MATCH($F685,'CAT_CENTROS_COSTO'!$A$4:$A$13,0)),"(sin catálogo)"))</f>
        <v/>
      </c>
      <c r="W685" s="3">
        <f>IF($F685="","",IF((IFERROR(INDEX('CAT_CENTROS_COSTO'!$E$4:$E$13,MATCH($F685,'CAT_CENTROS_COSTO'!$A$4:$A$13,0)),""))&lt;&gt;"",IFERROR(INDEX('CAT_CENTROS_COSTO'!$E$4:$E$13,MATCH($F685,'CAT_CENTROS_COSTO'!$A$4:$A$13,0)),""),$V685))</f>
        <v/>
      </c>
      <c r="X685" s="3">
        <f>IF($F685="","",IFERROR(INDEX('CAT_CENTROS_COSTO'!$G$4:$G$13,MATCH($F685,'CAT_CENTROS_COSTO'!$A$4:$A$13,0)),"(sin catálogo)"))</f>
        <v/>
      </c>
      <c r="Y685" s="3">
        <f>IF($G685="","",IFERROR(INDEX('CAT_PUESTOS'!$B$4:$B$8,MATCH($G685,'CAT_PUESTOS'!$A$4:$A$8,0)),"(sin catálogo)"))</f>
        <v/>
      </c>
      <c r="Z685" s="3">
        <f>IF($H685="","",IFERROR(INDEX('CAT_ACTIVIDADES'!$B$4:$B$8,MATCH($H685,'CAT_ACTIVIDADES'!$A$4:$A$8,0)),"(sin catálogo)"))</f>
        <v/>
      </c>
      <c r="AA685" s="12">
        <f>IF($J685="","",TODAY()-$J685)</f>
        <v/>
      </c>
      <c r="AB685" s="12">
        <f>IF($J685="","",IF($J685&lt;=TODAY(),COUNTIFS(cal_fechas,"&gt;="&amp;$J685,cal_fechas,"&lt;"&amp;TODAY(),cal_habil,"sí"),-COUNTIFS(cal_fechas,"&gt;="&amp;TODAY(),cal_fechas,"&lt;"&amp;$J685,cal_habil,"sí")))</f>
        <v/>
      </c>
      <c r="AC685" s="3">
        <f>IF($AB685="","",IF($AB685&lt;0,"FUTURO",IF($AB685&gt;p_dias_backlog_max,"BACKLOG","MES CORRIENTE")))</f>
        <v/>
      </c>
      <c r="AD685" s="3">
        <f>IF($AB685="",FALSE,AND($AB685&gt;p_dias_backlog_min,$AB685&lt;=p_dias_backlog_max))</f>
        <v/>
      </c>
      <c r="AE685" s="6" t="n"/>
      <c r="AF685" s="3">
        <f>IF($AE685="","",IF((IFERROR(INDEX('ASIGNACIONES'!$F$4:$F$339,MATCH($O685&amp;"|"&amp;$R685&amp;"|"&amp;$AE685,'ASIGNACIONES'!$J$4:$J$339,0)),""))=0,"",IFERROR(INDEX('ASIGNACIONES'!$F$4:$F$339,MATCH($O685&amp;"|"&amp;$R685&amp;"|"&amp;$AE685,'ASIGNACIONES'!$J$4:$J$339,0)),"")))</f>
        <v/>
      </c>
      <c r="AG685" s="13">
        <f>IF($AE685="","",SUMIFS('ORDENES'!$M$4:$M$1203,'ORDENES'!$AE$4:$AE$1203,$AE685,'ORDENES'!$O$4:$O$1203,$O685,'ORDENES'!$R$4:$R$1203,$R685))</f>
        <v/>
      </c>
      <c r="AH685" s="13">
        <f>IF($AG685="","",p_factor_productividad*IFERROR(INDEX('ASIGNACIONES'!$I$4:$I$339,MATCH($O685&amp;"|"&amp;$R685&amp;"|"&amp;$AE685,'ASIGNACIONES'!$J$4:$J$339,0)),0)-$AG685)</f>
        <v/>
      </c>
      <c r="AI685" s="10">
        <f>IF($A685="","",IFERROR(INDEX('2_IMPORTAR_EJECUCION'!$F$9:$F$1208,MATCH($AQ685,'2_IMPORTAR_EJECUCION'!$J$9:$J$1208,0)),0))</f>
        <v/>
      </c>
      <c r="AJ685" s="10">
        <f>IF($A685="","",MAX(0,IFERROR(INDEX('2_IMPORTAR_EJECUCION'!$H$9:$H$1208,MATCH($AQ685,'2_IMPORTAR_EJECUCION'!$J$9:$J$1208,0)),0)-$AI685))</f>
        <v/>
      </c>
      <c r="AK685" s="10">
        <f>IF($A685="","",$AI685+$AJ685)</f>
        <v/>
      </c>
      <c r="AL685" s="6" t="n"/>
      <c r="AM685" s="6" t="n"/>
      <c r="AN685" s="6" t="n"/>
      <c r="AO685" s="3">
        <f>IF($AN685="","",HYPERLINK(p_ruta_base_checklists&amp;$AN685,"abrir"))</f>
        <v/>
      </c>
      <c r="AP685" s="6" t="n"/>
      <c r="AQ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IF($A686="","",IFERROR(INDEX('AJUSTES'!$B$4:$B$303,MATCH($AQ686,'AJUSTES'!$A$4:$A$303,0)),IF($K686="","",$K686)))</f>
        <v/>
      </c>
      <c r="N686" s="3">
        <f>IF($A686="","",IFERROR(INDEX('CAT_ESTADOS_ERP'!$B$4:$B$7,MATCH(IFERROR(INDEX('2_IMPORTAR_EJECUCION'!$C$9:$C$1208,MATCH($AQ686,'2_IMPORTAR_EJECUCION'!$J$9:$J$1208,0)),""),'CAT_ESTADOS_ERP'!$A$4:$A$7,0)),"Pendiente"))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J686="","",IFERROR(INDEX('CALENDARIO'!$C$15:$C$214,MATCH(TEXT($J686,"yyyy-mm-dd")&amp;"|"&amp;$V686&amp;"|"&amp;$W686,'CALENDARIO'!$G$15:$G$214,0)),IFERROR(INDEX('CALENDARIO'!$C$15:$C$214,MATCH(TEXT($J686,"yyyy-mm-dd")&amp;"|"&amp;$V686&amp;"|",'CALENDARIO'!$G$15:$G$214,0)),IFERROR(INDEX('CALENDARIO'!$C$15:$C$214,MATCH(TEXT($J686,"yyyy-mm-dd")&amp;"||",'CALENDARIO'!$G$15:$G$214,0)),INDEX(patronHabil,WEEKDAY($J686,2))))))</f>
        <v/>
      </c>
      <c r="T686" s="3">
        <f>IF($I686="","",IFERROR(INDEX('CAT_TIPOS_OT'!$C$4:$C$7,MATCH($I686,'CAT_TIPOS_OT'!$A$4:$A$7,0)),"sin_clasificar"))</f>
        <v/>
      </c>
      <c r="U686" s="3">
        <f>IF($F686="","",IFERROR(INDEX('CAT_CENTROS_COSTO'!$F$4:$F$13,MATCH($F686,'CAT_CENTROS_COSTO'!$A$4:$A$13,0)),"(sin catálogo)"))</f>
        <v/>
      </c>
      <c r="V686" s="3">
        <f>IF($F686="","",IFERROR(INDEX('CAT_CENTROS_COSTO'!$D$4:$D$13,MATCH($F686,'CAT_CENTROS_COSTO'!$A$4:$A$13,0)),"(sin catálogo)"))</f>
        <v/>
      </c>
      <c r="W686" s="3">
        <f>IF($F686="","",IF((IFERROR(INDEX('CAT_CENTROS_COSTO'!$E$4:$E$13,MATCH($F686,'CAT_CENTROS_COSTO'!$A$4:$A$13,0)),""))&lt;&gt;"",IFERROR(INDEX('CAT_CENTROS_COSTO'!$E$4:$E$13,MATCH($F686,'CAT_CENTROS_COSTO'!$A$4:$A$13,0)),""),$V686))</f>
        <v/>
      </c>
      <c r="X686" s="3">
        <f>IF($F686="","",IFERROR(INDEX('CAT_CENTROS_COSTO'!$G$4:$G$13,MATCH($F686,'CAT_CENTROS_COSTO'!$A$4:$A$13,0)),"(sin catálogo)"))</f>
        <v/>
      </c>
      <c r="Y686" s="3">
        <f>IF($G686="","",IFERROR(INDEX('CAT_PUESTOS'!$B$4:$B$8,MATCH($G686,'CAT_PUESTOS'!$A$4:$A$8,0)),"(sin catálogo)"))</f>
        <v/>
      </c>
      <c r="Z686" s="3">
        <f>IF($H686="","",IFERROR(INDEX('CAT_ACTIVIDADES'!$B$4:$B$8,MATCH($H686,'CAT_ACTIVIDADES'!$A$4:$A$8,0)),"(sin catálogo)"))</f>
        <v/>
      </c>
      <c r="AA686" s="12">
        <f>IF($J686="","",TODAY()-$J686)</f>
        <v/>
      </c>
      <c r="AB686" s="12">
        <f>IF($J686="","",IF($J686&lt;=TODAY(),COUNTIFS(cal_fechas,"&gt;="&amp;$J686,cal_fechas,"&lt;"&amp;TODAY(),cal_habil,"sí"),-COUNTIFS(cal_fechas,"&gt;="&amp;TODAY(),cal_fechas,"&lt;"&amp;$J686,cal_habil,"sí")))</f>
        <v/>
      </c>
      <c r="AC686" s="3">
        <f>IF($AB686="","",IF($AB686&lt;0,"FUTURO",IF($AB686&gt;p_dias_backlog_max,"BACKLOG","MES CORRIENTE")))</f>
        <v/>
      </c>
      <c r="AD686" s="3">
        <f>IF($AB686="",FALSE,AND($AB686&gt;p_dias_backlog_min,$AB686&lt;=p_dias_backlog_max))</f>
        <v/>
      </c>
      <c r="AE686" s="6" t="n"/>
      <c r="AF686" s="3">
        <f>IF($AE686="","",IF((IFERROR(INDEX('ASIGNACIONES'!$F$4:$F$339,MATCH($O686&amp;"|"&amp;$R686&amp;"|"&amp;$AE686,'ASIGNACIONES'!$J$4:$J$339,0)),""))=0,"",IFERROR(INDEX('ASIGNACIONES'!$F$4:$F$339,MATCH($O686&amp;"|"&amp;$R686&amp;"|"&amp;$AE686,'ASIGNACIONES'!$J$4:$J$339,0)),"")))</f>
        <v/>
      </c>
      <c r="AG686" s="13">
        <f>IF($AE686="","",SUMIFS('ORDENES'!$M$4:$M$1203,'ORDENES'!$AE$4:$AE$1203,$AE686,'ORDENES'!$O$4:$O$1203,$O686,'ORDENES'!$R$4:$R$1203,$R686))</f>
        <v/>
      </c>
      <c r="AH686" s="13">
        <f>IF($AG686="","",p_factor_productividad*IFERROR(INDEX('ASIGNACIONES'!$I$4:$I$339,MATCH($O686&amp;"|"&amp;$R686&amp;"|"&amp;$AE686,'ASIGNACIONES'!$J$4:$J$339,0)),0)-$AG686)</f>
        <v/>
      </c>
      <c r="AI686" s="10">
        <f>IF($A686="","",IFERROR(INDEX('2_IMPORTAR_EJECUCION'!$F$9:$F$1208,MATCH($AQ686,'2_IMPORTAR_EJECUCION'!$J$9:$J$1208,0)),0))</f>
        <v/>
      </c>
      <c r="AJ686" s="10">
        <f>IF($A686="","",MAX(0,IFERROR(INDEX('2_IMPORTAR_EJECUCION'!$H$9:$H$1208,MATCH($AQ686,'2_IMPORTAR_EJECUCION'!$J$9:$J$1208,0)),0)-$AI686))</f>
        <v/>
      </c>
      <c r="AK686" s="10">
        <f>IF($A686="","",$AI686+$AJ686)</f>
        <v/>
      </c>
      <c r="AL686" s="6" t="n"/>
      <c r="AM686" s="6" t="n"/>
      <c r="AN686" s="6" t="n"/>
      <c r="AO686" s="3">
        <f>IF($AN686="","",HYPERLINK(p_ruta_base_checklists&amp;$AN686,"abrir"))</f>
        <v/>
      </c>
      <c r="AP686" s="6" t="n"/>
      <c r="AQ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IF($A687="","",IFERROR(INDEX('AJUSTES'!$B$4:$B$303,MATCH($AQ687,'AJUSTES'!$A$4:$A$303,0)),IF($K687="","",$K687)))</f>
        <v/>
      </c>
      <c r="N687" s="3">
        <f>IF($A687="","",IFERROR(INDEX('CAT_ESTADOS_ERP'!$B$4:$B$7,MATCH(IFERROR(INDEX('2_IMPORTAR_EJECUCION'!$C$9:$C$1208,MATCH($AQ687,'2_IMPORTAR_EJECUCION'!$J$9:$J$1208,0)),""),'CAT_ESTADOS_ERP'!$A$4:$A$7,0)),"Pendiente"))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J687="","",IFERROR(INDEX('CALENDARIO'!$C$15:$C$214,MATCH(TEXT($J687,"yyyy-mm-dd")&amp;"|"&amp;$V687&amp;"|"&amp;$W687,'CALENDARIO'!$G$15:$G$214,0)),IFERROR(INDEX('CALENDARIO'!$C$15:$C$214,MATCH(TEXT($J687,"yyyy-mm-dd")&amp;"|"&amp;$V687&amp;"|",'CALENDARIO'!$G$15:$G$214,0)),IFERROR(INDEX('CALENDARIO'!$C$15:$C$214,MATCH(TEXT($J687,"yyyy-mm-dd")&amp;"||",'CALENDARIO'!$G$15:$G$214,0)),INDEX(patronHabil,WEEKDAY($J687,2))))))</f>
        <v/>
      </c>
      <c r="T687" s="3">
        <f>IF($I687="","",IFERROR(INDEX('CAT_TIPOS_OT'!$C$4:$C$7,MATCH($I687,'CAT_TIPOS_OT'!$A$4:$A$7,0)),"sin_clasificar"))</f>
        <v/>
      </c>
      <c r="U687" s="3">
        <f>IF($F687="","",IFERROR(INDEX('CAT_CENTROS_COSTO'!$F$4:$F$13,MATCH($F687,'CAT_CENTROS_COSTO'!$A$4:$A$13,0)),"(sin catálogo)"))</f>
        <v/>
      </c>
      <c r="V687" s="3">
        <f>IF($F687="","",IFERROR(INDEX('CAT_CENTROS_COSTO'!$D$4:$D$13,MATCH($F687,'CAT_CENTROS_COSTO'!$A$4:$A$13,0)),"(sin catálogo)"))</f>
        <v/>
      </c>
      <c r="W687" s="3">
        <f>IF($F687="","",IF((IFERROR(INDEX('CAT_CENTROS_COSTO'!$E$4:$E$13,MATCH($F687,'CAT_CENTROS_COSTO'!$A$4:$A$13,0)),""))&lt;&gt;"",IFERROR(INDEX('CAT_CENTROS_COSTO'!$E$4:$E$13,MATCH($F687,'CAT_CENTROS_COSTO'!$A$4:$A$13,0)),""),$V687))</f>
        <v/>
      </c>
      <c r="X687" s="3">
        <f>IF($F687="","",IFERROR(INDEX('CAT_CENTROS_COSTO'!$G$4:$G$13,MATCH($F687,'CAT_CENTROS_COSTO'!$A$4:$A$13,0)),"(sin catálogo)"))</f>
        <v/>
      </c>
      <c r="Y687" s="3">
        <f>IF($G687="","",IFERROR(INDEX('CAT_PUESTOS'!$B$4:$B$8,MATCH($G687,'CAT_PUESTOS'!$A$4:$A$8,0)),"(sin catálogo)"))</f>
        <v/>
      </c>
      <c r="Z687" s="3">
        <f>IF($H687="","",IFERROR(INDEX('CAT_ACTIVIDADES'!$B$4:$B$8,MATCH($H687,'CAT_ACTIVIDADES'!$A$4:$A$8,0)),"(sin catálogo)"))</f>
        <v/>
      </c>
      <c r="AA687" s="12">
        <f>IF($J687="","",TODAY()-$J687)</f>
        <v/>
      </c>
      <c r="AB687" s="12">
        <f>IF($J687="","",IF($J687&lt;=TODAY(),COUNTIFS(cal_fechas,"&gt;="&amp;$J687,cal_fechas,"&lt;"&amp;TODAY(),cal_habil,"sí"),-COUNTIFS(cal_fechas,"&gt;="&amp;TODAY(),cal_fechas,"&lt;"&amp;$J687,cal_habil,"sí")))</f>
        <v/>
      </c>
      <c r="AC687" s="3">
        <f>IF($AB687="","",IF($AB687&lt;0,"FUTURO",IF($AB687&gt;p_dias_backlog_max,"BACKLOG","MES CORRIENTE")))</f>
        <v/>
      </c>
      <c r="AD687" s="3">
        <f>IF($AB687="",FALSE,AND($AB687&gt;p_dias_backlog_min,$AB687&lt;=p_dias_backlog_max))</f>
        <v/>
      </c>
      <c r="AE687" s="6" t="n"/>
      <c r="AF687" s="3">
        <f>IF($AE687="","",IF((IFERROR(INDEX('ASIGNACIONES'!$F$4:$F$339,MATCH($O687&amp;"|"&amp;$R687&amp;"|"&amp;$AE687,'ASIGNACIONES'!$J$4:$J$339,0)),""))=0,"",IFERROR(INDEX('ASIGNACIONES'!$F$4:$F$339,MATCH($O687&amp;"|"&amp;$R687&amp;"|"&amp;$AE687,'ASIGNACIONES'!$J$4:$J$339,0)),"")))</f>
        <v/>
      </c>
      <c r="AG687" s="13">
        <f>IF($AE687="","",SUMIFS('ORDENES'!$M$4:$M$1203,'ORDENES'!$AE$4:$AE$1203,$AE687,'ORDENES'!$O$4:$O$1203,$O687,'ORDENES'!$R$4:$R$1203,$R687))</f>
        <v/>
      </c>
      <c r="AH687" s="13">
        <f>IF($AG687="","",p_factor_productividad*IFERROR(INDEX('ASIGNACIONES'!$I$4:$I$339,MATCH($O687&amp;"|"&amp;$R687&amp;"|"&amp;$AE687,'ASIGNACIONES'!$J$4:$J$339,0)),0)-$AG687)</f>
        <v/>
      </c>
      <c r="AI687" s="10">
        <f>IF($A687="","",IFERROR(INDEX('2_IMPORTAR_EJECUCION'!$F$9:$F$1208,MATCH($AQ687,'2_IMPORTAR_EJECUCION'!$J$9:$J$1208,0)),0))</f>
        <v/>
      </c>
      <c r="AJ687" s="10">
        <f>IF($A687="","",MAX(0,IFERROR(INDEX('2_IMPORTAR_EJECUCION'!$H$9:$H$1208,MATCH($AQ687,'2_IMPORTAR_EJECUCION'!$J$9:$J$1208,0)),0)-$AI687))</f>
        <v/>
      </c>
      <c r="AK687" s="10">
        <f>IF($A687="","",$AI687+$AJ687)</f>
        <v/>
      </c>
      <c r="AL687" s="6" t="n"/>
      <c r="AM687" s="6" t="n"/>
      <c r="AN687" s="6" t="n"/>
      <c r="AO687" s="3">
        <f>IF($AN687="","",HYPERLINK(p_ruta_base_checklists&amp;$AN687,"abrir"))</f>
        <v/>
      </c>
      <c r="AP687" s="6" t="n"/>
      <c r="AQ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IF($A688="","",IFERROR(INDEX('AJUSTES'!$B$4:$B$303,MATCH($AQ688,'AJUSTES'!$A$4:$A$303,0)),IF($K688="","",$K688)))</f>
        <v/>
      </c>
      <c r="N688" s="3">
        <f>IF($A688="","",IFERROR(INDEX('CAT_ESTADOS_ERP'!$B$4:$B$7,MATCH(IFERROR(INDEX('2_IMPORTAR_EJECUCION'!$C$9:$C$1208,MATCH($AQ688,'2_IMPORTAR_EJECUCION'!$J$9:$J$1208,0)),""),'CAT_ESTADOS_ERP'!$A$4:$A$7,0)),"Pendiente"))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J688="","",IFERROR(INDEX('CALENDARIO'!$C$15:$C$214,MATCH(TEXT($J688,"yyyy-mm-dd")&amp;"|"&amp;$V688&amp;"|"&amp;$W688,'CALENDARIO'!$G$15:$G$214,0)),IFERROR(INDEX('CALENDARIO'!$C$15:$C$214,MATCH(TEXT($J688,"yyyy-mm-dd")&amp;"|"&amp;$V688&amp;"|",'CALENDARIO'!$G$15:$G$214,0)),IFERROR(INDEX('CALENDARIO'!$C$15:$C$214,MATCH(TEXT($J688,"yyyy-mm-dd")&amp;"||",'CALENDARIO'!$G$15:$G$214,0)),INDEX(patronHabil,WEEKDAY($J688,2))))))</f>
        <v/>
      </c>
      <c r="T688" s="3">
        <f>IF($I688="","",IFERROR(INDEX('CAT_TIPOS_OT'!$C$4:$C$7,MATCH($I688,'CAT_TIPOS_OT'!$A$4:$A$7,0)),"sin_clasificar"))</f>
        <v/>
      </c>
      <c r="U688" s="3">
        <f>IF($F688="","",IFERROR(INDEX('CAT_CENTROS_COSTO'!$F$4:$F$13,MATCH($F688,'CAT_CENTROS_COSTO'!$A$4:$A$13,0)),"(sin catálogo)"))</f>
        <v/>
      </c>
      <c r="V688" s="3">
        <f>IF($F688="","",IFERROR(INDEX('CAT_CENTROS_COSTO'!$D$4:$D$13,MATCH($F688,'CAT_CENTROS_COSTO'!$A$4:$A$13,0)),"(sin catálogo)"))</f>
        <v/>
      </c>
      <c r="W688" s="3">
        <f>IF($F688="","",IF((IFERROR(INDEX('CAT_CENTROS_COSTO'!$E$4:$E$13,MATCH($F688,'CAT_CENTROS_COSTO'!$A$4:$A$13,0)),""))&lt;&gt;"",IFERROR(INDEX('CAT_CENTROS_COSTO'!$E$4:$E$13,MATCH($F688,'CAT_CENTROS_COSTO'!$A$4:$A$13,0)),""),$V688))</f>
        <v/>
      </c>
      <c r="X688" s="3">
        <f>IF($F688="","",IFERROR(INDEX('CAT_CENTROS_COSTO'!$G$4:$G$13,MATCH($F688,'CAT_CENTROS_COSTO'!$A$4:$A$13,0)),"(sin catálogo)"))</f>
        <v/>
      </c>
      <c r="Y688" s="3">
        <f>IF($G688="","",IFERROR(INDEX('CAT_PUESTOS'!$B$4:$B$8,MATCH($G688,'CAT_PUESTOS'!$A$4:$A$8,0)),"(sin catálogo)"))</f>
        <v/>
      </c>
      <c r="Z688" s="3">
        <f>IF($H688="","",IFERROR(INDEX('CAT_ACTIVIDADES'!$B$4:$B$8,MATCH($H688,'CAT_ACTIVIDADES'!$A$4:$A$8,0)),"(sin catálogo)"))</f>
        <v/>
      </c>
      <c r="AA688" s="12">
        <f>IF($J688="","",TODAY()-$J688)</f>
        <v/>
      </c>
      <c r="AB688" s="12">
        <f>IF($J688="","",IF($J688&lt;=TODAY(),COUNTIFS(cal_fechas,"&gt;="&amp;$J688,cal_fechas,"&lt;"&amp;TODAY(),cal_habil,"sí"),-COUNTIFS(cal_fechas,"&gt;="&amp;TODAY(),cal_fechas,"&lt;"&amp;$J688,cal_habil,"sí")))</f>
        <v/>
      </c>
      <c r="AC688" s="3">
        <f>IF($AB688="","",IF($AB688&lt;0,"FUTURO",IF($AB688&gt;p_dias_backlog_max,"BACKLOG","MES CORRIENTE")))</f>
        <v/>
      </c>
      <c r="AD688" s="3">
        <f>IF($AB688="",FALSE,AND($AB688&gt;p_dias_backlog_min,$AB688&lt;=p_dias_backlog_max))</f>
        <v/>
      </c>
      <c r="AE688" s="6" t="n"/>
      <c r="AF688" s="3">
        <f>IF($AE688="","",IF((IFERROR(INDEX('ASIGNACIONES'!$F$4:$F$339,MATCH($O688&amp;"|"&amp;$R688&amp;"|"&amp;$AE688,'ASIGNACIONES'!$J$4:$J$339,0)),""))=0,"",IFERROR(INDEX('ASIGNACIONES'!$F$4:$F$339,MATCH($O688&amp;"|"&amp;$R688&amp;"|"&amp;$AE688,'ASIGNACIONES'!$J$4:$J$339,0)),"")))</f>
        <v/>
      </c>
      <c r="AG688" s="13">
        <f>IF($AE688="","",SUMIFS('ORDENES'!$M$4:$M$1203,'ORDENES'!$AE$4:$AE$1203,$AE688,'ORDENES'!$O$4:$O$1203,$O688,'ORDENES'!$R$4:$R$1203,$R688))</f>
        <v/>
      </c>
      <c r="AH688" s="13">
        <f>IF($AG688="","",p_factor_productividad*IFERROR(INDEX('ASIGNACIONES'!$I$4:$I$339,MATCH($O688&amp;"|"&amp;$R688&amp;"|"&amp;$AE688,'ASIGNACIONES'!$J$4:$J$339,0)),0)-$AG688)</f>
        <v/>
      </c>
      <c r="AI688" s="10">
        <f>IF($A688="","",IFERROR(INDEX('2_IMPORTAR_EJECUCION'!$F$9:$F$1208,MATCH($AQ688,'2_IMPORTAR_EJECUCION'!$J$9:$J$1208,0)),0))</f>
        <v/>
      </c>
      <c r="AJ688" s="10">
        <f>IF($A688="","",MAX(0,IFERROR(INDEX('2_IMPORTAR_EJECUCION'!$H$9:$H$1208,MATCH($AQ688,'2_IMPORTAR_EJECUCION'!$J$9:$J$1208,0)),0)-$AI688))</f>
        <v/>
      </c>
      <c r="AK688" s="10">
        <f>IF($A688="","",$AI688+$AJ688)</f>
        <v/>
      </c>
      <c r="AL688" s="6" t="n"/>
      <c r="AM688" s="6" t="n"/>
      <c r="AN688" s="6" t="n"/>
      <c r="AO688" s="3">
        <f>IF($AN688="","",HYPERLINK(p_ruta_base_checklists&amp;$AN688,"abrir"))</f>
        <v/>
      </c>
      <c r="AP688" s="6" t="n"/>
      <c r="AQ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IF($A689="","",IFERROR(INDEX('AJUSTES'!$B$4:$B$303,MATCH($AQ689,'AJUSTES'!$A$4:$A$303,0)),IF($K689="","",$K689)))</f>
        <v/>
      </c>
      <c r="N689" s="3">
        <f>IF($A689="","",IFERROR(INDEX('CAT_ESTADOS_ERP'!$B$4:$B$7,MATCH(IFERROR(INDEX('2_IMPORTAR_EJECUCION'!$C$9:$C$1208,MATCH($AQ689,'2_IMPORTAR_EJECUCION'!$J$9:$J$1208,0)),""),'CAT_ESTADOS_ERP'!$A$4:$A$7,0)),"Pendiente"))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J689="","",IFERROR(INDEX('CALENDARIO'!$C$15:$C$214,MATCH(TEXT($J689,"yyyy-mm-dd")&amp;"|"&amp;$V689&amp;"|"&amp;$W689,'CALENDARIO'!$G$15:$G$214,0)),IFERROR(INDEX('CALENDARIO'!$C$15:$C$214,MATCH(TEXT($J689,"yyyy-mm-dd")&amp;"|"&amp;$V689&amp;"|",'CALENDARIO'!$G$15:$G$214,0)),IFERROR(INDEX('CALENDARIO'!$C$15:$C$214,MATCH(TEXT($J689,"yyyy-mm-dd")&amp;"||",'CALENDARIO'!$G$15:$G$214,0)),INDEX(patronHabil,WEEKDAY($J689,2))))))</f>
        <v/>
      </c>
      <c r="T689" s="3">
        <f>IF($I689="","",IFERROR(INDEX('CAT_TIPOS_OT'!$C$4:$C$7,MATCH($I689,'CAT_TIPOS_OT'!$A$4:$A$7,0)),"sin_clasificar"))</f>
        <v/>
      </c>
      <c r="U689" s="3">
        <f>IF($F689="","",IFERROR(INDEX('CAT_CENTROS_COSTO'!$F$4:$F$13,MATCH($F689,'CAT_CENTROS_COSTO'!$A$4:$A$13,0)),"(sin catálogo)"))</f>
        <v/>
      </c>
      <c r="V689" s="3">
        <f>IF($F689="","",IFERROR(INDEX('CAT_CENTROS_COSTO'!$D$4:$D$13,MATCH($F689,'CAT_CENTROS_COSTO'!$A$4:$A$13,0)),"(sin catálogo)"))</f>
        <v/>
      </c>
      <c r="W689" s="3">
        <f>IF($F689="","",IF((IFERROR(INDEX('CAT_CENTROS_COSTO'!$E$4:$E$13,MATCH($F689,'CAT_CENTROS_COSTO'!$A$4:$A$13,0)),""))&lt;&gt;"",IFERROR(INDEX('CAT_CENTROS_COSTO'!$E$4:$E$13,MATCH($F689,'CAT_CENTROS_COSTO'!$A$4:$A$13,0)),""),$V689))</f>
        <v/>
      </c>
      <c r="X689" s="3">
        <f>IF($F689="","",IFERROR(INDEX('CAT_CENTROS_COSTO'!$G$4:$G$13,MATCH($F689,'CAT_CENTROS_COSTO'!$A$4:$A$13,0)),"(sin catálogo)"))</f>
        <v/>
      </c>
      <c r="Y689" s="3">
        <f>IF($G689="","",IFERROR(INDEX('CAT_PUESTOS'!$B$4:$B$8,MATCH($G689,'CAT_PUESTOS'!$A$4:$A$8,0)),"(sin catálogo)"))</f>
        <v/>
      </c>
      <c r="Z689" s="3">
        <f>IF($H689="","",IFERROR(INDEX('CAT_ACTIVIDADES'!$B$4:$B$8,MATCH($H689,'CAT_ACTIVIDADES'!$A$4:$A$8,0)),"(sin catálogo)"))</f>
        <v/>
      </c>
      <c r="AA689" s="12">
        <f>IF($J689="","",TODAY()-$J689)</f>
        <v/>
      </c>
      <c r="AB689" s="12">
        <f>IF($J689="","",IF($J689&lt;=TODAY(),COUNTIFS(cal_fechas,"&gt;="&amp;$J689,cal_fechas,"&lt;"&amp;TODAY(),cal_habil,"sí"),-COUNTIFS(cal_fechas,"&gt;="&amp;TODAY(),cal_fechas,"&lt;"&amp;$J689,cal_habil,"sí")))</f>
        <v/>
      </c>
      <c r="AC689" s="3">
        <f>IF($AB689="","",IF($AB689&lt;0,"FUTURO",IF($AB689&gt;p_dias_backlog_max,"BACKLOG","MES CORRIENTE")))</f>
        <v/>
      </c>
      <c r="AD689" s="3">
        <f>IF($AB689="",FALSE,AND($AB689&gt;p_dias_backlog_min,$AB689&lt;=p_dias_backlog_max))</f>
        <v/>
      </c>
      <c r="AE689" s="6" t="n"/>
      <c r="AF689" s="3">
        <f>IF($AE689="","",IF((IFERROR(INDEX('ASIGNACIONES'!$F$4:$F$339,MATCH($O689&amp;"|"&amp;$R689&amp;"|"&amp;$AE689,'ASIGNACIONES'!$J$4:$J$339,0)),""))=0,"",IFERROR(INDEX('ASIGNACIONES'!$F$4:$F$339,MATCH($O689&amp;"|"&amp;$R689&amp;"|"&amp;$AE689,'ASIGNACIONES'!$J$4:$J$339,0)),"")))</f>
        <v/>
      </c>
      <c r="AG689" s="13">
        <f>IF($AE689="","",SUMIFS('ORDENES'!$M$4:$M$1203,'ORDENES'!$AE$4:$AE$1203,$AE689,'ORDENES'!$O$4:$O$1203,$O689,'ORDENES'!$R$4:$R$1203,$R689))</f>
        <v/>
      </c>
      <c r="AH689" s="13">
        <f>IF($AG689="","",p_factor_productividad*IFERROR(INDEX('ASIGNACIONES'!$I$4:$I$339,MATCH($O689&amp;"|"&amp;$R689&amp;"|"&amp;$AE689,'ASIGNACIONES'!$J$4:$J$339,0)),0)-$AG689)</f>
        <v/>
      </c>
      <c r="AI689" s="10">
        <f>IF($A689="","",IFERROR(INDEX('2_IMPORTAR_EJECUCION'!$F$9:$F$1208,MATCH($AQ689,'2_IMPORTAR_EJECUCION'!$J$9:$J$1208,0)),0))</f>
        <v/>
      </c>
      <c r="AJ689" s="10">
        <f>IF($A689="","",MAX(0,IFERROR(INDEX('2_IMPORTAR_EJECUCION'!$H$9:$H$1208,MATCH($AQ689,'2_IMPORTAR_EJECUCION'!$J$9:$J$1208,0)),0)-$AI689))</f>
        <v/>
      </c>
      <c r="AK689" s="10">
        <f>IF($A689="","",$AI689+$AJ689)</f>
        <v/>
      </c>
      <c r="AL689" s="6" t="n"/>
      <c r="AM689" s="6" t="n"/>
      <c r="AN689" s="6" t="n"/>
      <c r="AO689" s="3">
        <f>IF($AN689="","",HYPERLINK(p_ruta_base_checklists&amp;$AN689,"abrir"))</f>
        <v/>
      </c>
      <c r="AP689" s="6" t="n"/>
      <c r="AQ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IF($A690="","",IFERROR(INDEX('AJUSTES'!$B$4:$B$303,MATCH($AQ690,'AJUSTES'!$A$4:$A$303,0)),IF($K690="","",$K690)))</f>
        <v/>
      </c>
      <c r="N690" s="3">
        <f>IF($A690="","",IFERROR(INDEX('CAT_ESTADOS_ERP'!$B$4:$B$7,MATCH(IFERROR(INDEX('2_IMPORTAR_EJECUCION'!$C$9:$C$1208,MATCH($AQ690,'2_IMPORTAR_EJECUCION'!$J$9:$J$1208,0)),""),'CAT_ESTADOS_ERP'!$A$4:$A$7,0)),"Pendiente"))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J690="","",IFERROR(INDEX('CALENDARIO'!$C$15:$C$214,MATCH(TEXT($J690,"yyyy-mm-dd")&amp;"|"&amp;$V690&amp;"|"&amp;$W690,'CALENDARIO'!$G$15:$G$214,0)),IFERROR(INDEX('CALENDARIO'!$C$15:$C$214,MATCH(TEXT($J690,"yyyy-mm-dd")&amp;"|"&amp;$V690&amp;"|",'CALENDARIO'!$G$15:$G$214,0)),IFERROR(INDEX('CALENDARIO'!$C$15:$C$214,MATCH(TEXT($J690,"yyyy-mm-dd")&amp;"||",'CALENDARIO'!$G$15:$G$214,0)),INDEX(patronHabil,WEEKDAY($J690,2))))))</f>
        <v/>
      </c>
      <c r="T690" s="3">
        <f>IF($I690="","",IFERROR(INDEX('CAT_TIPOS_OT'!$C$4:$C$7,MATCH($I690,'CAT_TIPOS_OT'!$A$4:$A$7,0)),"sin_clasificar"))</f>
        <v/>
      </c>
      <c r="U690" s="3">
        <f>IF($F690="","",IFERROR(INDEX('CAT_CENTROS_COSTO'!$F$4:$F$13,MATCH($F690,'CAT_CENTROS_COSTO'!$A$4:$A$13,0)),"(sin catálogo)"))</f>
        <v/>
      </c>
      <c r="V690" s="3">
        <f>IF($F690="","",IFERROR(INDEX('CAT_CENTROS_COSTO'!$D$4:$D$13,MATCH($F690,'CAT_CENTROS_COSTO'!$A$4:$A$13,0)),"(sin catálogo)"))</f>
        <v/>
      </c>
      <c r="W690" s="3">
        <f>IF($F690="","",IF((IFERROR(INDEX('CAT_CENTROS_COSTO'!$E$4:$E$13,MATCH($F690,'CAT_CENTROS_COSTO'!$A$4:$A$13,0)),""))&lt;&gt;"",IFERROR(INDEX('CAT_CENTROS_COSTO'!$E$4:$E$13,MATCH($F690,'CAT_CENTROS_COSTO'!$A$4:$A$13,0)),""),$V690))</f>
        <v/>
      </c>
      <c r="X690" s="3">
        <f>IF($F690="","",IFERROR(INDEX('CAT_CENTROS_COSTO'!$G$4:$G$13,MATCH($F690,'CAT_CENTROS_COSTO'!$A$4:$A$13,0)),"(sin catálogo)"))</f>
        <v/>
      </c>
      <c r="Y690" s="3">
        <f>IF($G690="","",IFERROR(INDEX('CAT_PUESTOS'!$B$4:$B$8,MATCH($G690,'CAT_PUESTOS'!$A$4:$A$8,0)),"(sin catálogo)"))</f>
        <v/>
      </c>
      <c r="Z690" s="3">
        <f>IF($H690="","",IFERROR(INDEX('CAT_ACTIVIDADES'!$B$4:$B$8,MATCH($H690,'CAT_ACTIVIDADES'!$A$4:$A$8,0)),"(sin catálogo)"))</f>
        <v/>
      </c>
      <c r="AA690" s="12">
        <f>IF($J690="","",TODAY()-$J690)</f>
        <v/>
      </c>
      <c r="AB690" s="12">
        <f>IF($J690="","",IF($J690&lt;=TODAY(),COUNTIFS(cal_fechas,"&gt;="&amp;$J690,cal_fechas,"&lt;"&amp;TODAY(),cal_habil,"sí"),-COUNTIFS(cal_fechas,"&gt;="&amp;TODAY(),cal_fechas,"&lt;"&amp;$J690,cal_habil,"sí")))</f>
        <v/>
      </c>
      <c r="AC690" s="3">
        <f>IF($AB690="","",IF($AB690&lt;0,"FUTURO",IF($AB690&gt;p_dias_backlog_max,"BACKLOG","MES CORRIENTE")))</f>
        <v/>
      </c>
      <c r="AD690" s="3">
        <f>IF($AB690="",FALSE,AND($AB690&gt;p_dias_backlog_min,$AB690&lt;=p_dias_backlog_max))</f>
        <v/>
      </c>
      <c r="AE690" s="6" t="n"/>
      <c r="AF690" s="3">
        <f>IF($AE690="","",IF((IFERROR(INDEX('ASIGNACIONES'!$F$4:$F$339,MATCH($O690&amp;"|"&amp;$R690&amp;"|"&amp;$AE690,'ASIGNACIONES'!$J$4:$J$339,0)),""))=0,"",IFERROR(INDEX('ASIGNACIONES'!$F$4:$F$339,MATCH($O690&amp;"|"&amp;$R690&amp;"|"&amp;$AE690,'ASIGNACIONES'!$J$4:$J$339,0)),"")))</f>
        <v/>
      </c>
      <c r="AG690" s="13">
        <f>IF($AE690="","",SUMIFS('ORDENES'!$M$4:$M$1203,'ORDENES'!$AE$4:$AE$1203,$AE690,'ORDENES'!$O$4:$O$1203,$O690,'ORDENES'!$R$4:$R$1203,$R690))</f>
        <v/>
      </c>
      <c r="AH690" s="13">
        <f>IF($AG690="","",p_factor_productividad*IFERROR(INDEX('ASIGNACIONES'!$I$4:$I$339,MATCH($O690&amp;"|"&amp;$R690&amp;"|"&amp;$AE690,'ASIGNACIONES'!$J$4:$J$339,0)),0)-$AG690)</f>
        <v/>
      </c>
      <c r="AI690" s="10">
        <f>IF($A690="","",IFERROR(INDEX('2_IMPORTAR_EJECUCION'!$F$9:$F$1208,MATCH($AQ690,'2_IMPORTAR_EJECUCION'!$J$9:$J$1208,0)),0))</f>
        <v/>
      </c>
      <c r="AJ690" s="10">
        <f>IF($A690="","",MAX(0,IFERROR(INDEX('2_IMPORTAR_EJECUCION'!$H$9:$H$1208,MATCH($AQ690,'2_IMPORTAR_EJECUCION'!$J$9:$J$1208,0)),0)-$AI690))</f>
        <v/>
      </c>
      <c r="AK690" s="10">
        <f>IF($A690="","",$AI690+$AJ690)</f>
        <v/>
      </c>
      <c r="AL690" s="6" t="n"/>
      <c r="AM690" s="6" t="n"/>
      <c r="AN690" s="6" t="n"/>
      <c r="AO690" s="3">
        <f>IF($AN690="","",HYPERLINK(p_ruta_base_checklists&amp;$AN690,"abrir"))</f>
        <v/>
      </c>
      <c r="AP690" s="6" t="n"/>
      <c r="AQ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IF($A691="","",IFERROR(INDEX('AJUSTES'!$B$4:$B$303,MATCH($AQ691,'AJUSTES'!$A$4:$A$303,0)),IF($K691="","",$K691)))</f>
        <v/>
      </c>
      <c r="N691" s="3">
        <f>IF($A691="","",IFERROR(INDEX('CAT_ESTADOS_ERP'!$B$4:$B$7,MATCH(IFERROR(INDEX('2_IMPORTAR_EJECUCION'!$C$9:$C$1208,MATCH($AQ691,'2_IMPORTAR_EJECUCION'!$J$9:$J$1208,0)),""),'CAT_ESTADOS_ERP'!$A$4:$A$7,0)),"Pendiente"))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J691="","",IFERROR(INDEX('CALENDARIO'!$C$15:$C$214,MATCH(TEXT($J691,"yyyy-mm-dd")&amp;"|"&amp;$V691&amp;"|"&amp;$W691,'CALENDARIO'!$G$15:$G$214,0)),IFERROR(INDEX('CALENDARIO'!$C$15:$C$214,MATCH(TEXT($J691,"yyyy-mm-dd")&amp;"|"&amp;$V691&amp;"|",'CALENDARIO'!$G$15:$G$214,0)),IFERROR(INDEX('CALENDARIO'!$C$15:$C$214,MATCH(TEXT($J691,"yyyy-mm-dd")&amp;"||",'CALENDARIO'!$G$15:$G$214,0)),INDEX(patronHabil,WEEKDAY($J691,2))))))</f>
        <v/>
      </c>
      <c r="T691" s="3">
        <f>IF($I691="","",IFERROR(INDEX('CAT_TIPOS_OT'!$C$4:$C$7,MATCH($I691,'CAT_TIPOS_OT'!$A$4:$A$7,0)),"sin_clasificar"))</f>
        <v/>
      </c>
      <c r="U691" s="3">
        <f>IF($F691="","",IFERROR(INDEX('CAT_CENTROS_COSTO'!$F$4:$F$13,MATCH($F691,'CAT_CENTROS_COSTO'!$A$4:$A$13,0)),"(sin catálogo)"))</f>
        <v/>
      </c>
      <c r="V691" s="3">
        <f>IF($F691="","",IFERROR(INDEX('CAT_CENTROS_COSTO'!$D$4:$D$13,MATCH($F691,'CAT_CENTROS_COSTO'!$A$4:$A$13,0)),"(sin catálogo)"))</f>
        <v/>
      </c>
      <c r="W691" s="3">
        <f>IF($F691="","",IF((IFERROR(INDEX('CAT_CENTROS_COSTO'!$E$4:$E$13,MATCH($F691,'CAT_CENTROS_COSTO'!$A$4:$A$13,0)),""))&lt;&gt;"",IFERROR(INDEX('CAT_CENTROS_COSTO'!$E$4:$E$13,MATCH($F691,'CAT_CENTROS_COSTO'!$A$4:$A$13,0)),""),$V691))</f>
        <v/>
      </c>
      <c r="X691" s="3">
        <f>IF($F691="","",IFERROR(INDEX('CAT_CENTROS_COSTO'!$G$4:$G$13,MATCH($F691,'CAT_CENTROS_COSTO'!$A$4:$A$13,0)),"(sin catálogo)"))</f>
        <v/>
      </c>
      <c r="Y691" s="3">
        <f>IF($G691="","",IFERROR(INDEX('CAT_PUESTOS'!$B$4:$B$8,MATCH($G691,'CAT_PUESTOS'!$A$4:$A$8,0)),"(sin catálogo)"))</f>
        <v/>
      </c>
      <c r="Z691" s="3">
        <f>IF($H691="","",IFERROR(INDEX('CAT_ACTIVIDADES'!$B$4:$B$8,MATCH($H691,'CAT_ACTIVIDADES'!$A$4:$A$8,0)),"(sin catálogo)"))</f>
        <v/>
      </c>
      <c r="AA691" s="12">
        <f>IF($J691="","",TODAY()-$J691)</f>
        <v/>
      </c>
      <c r="AB691" s="12">
        <f>IF($J691="","",IF($J691&lt;=TODAY(),COUNTIFS(cal_fechas,"&gt;="&amp;$J691,cal_fechas,"&lt;"&amp;TODAY(),cal_habil,"sí"),-COUNTIFS(cal_fechas,"&gt;="&amp;TODAY(),cal_fechas,"&lt;"&amp;$J691,cal_habil,"sí")))</f>
        <v/>
      </c>
      <c r="AC691" s="3">
        <f>IF($AB691="","",IF($AB691&lt;0,"FUTURO",IF($AB691&gt;p_dias_backlog_max,"BACKLOG","MES CORRIENTE")))</f>
        <v/>
      </c>
      <c r="AD691" s="3">
        <f>IF($AB691="",FALSE,AND($AB691&gt;p_dias_backlog_min,$AB691&lt;=p_dias_backlog_max))</f>
        <v/>
      </c>
      <c r="AE691" s="6" t="n"/>
      <c r="AF691" s="3">
        <f>IF($AE691="","",IF((IFERROR(INDEX('ASIGNACIONES'!$F$4:$F$339,MATCH($O691&amp;"|"&amp;$R691&amp;"|"&amp;$AE691,'ASIGNACIONES'!$J$4:$J$339,0)),""))=0,"",IFERROR(INDEX('ASIGNACIONES'!$F$4:$F$339,MATCH($O691&amp;"|"&amp;$R691&amp;"|"&amp;$AE691,'ASIGNACIONES'!$J$4:$J$339,0)),"")))</f>
        <v/>
      </c>
      <c r="AG691" s="13">
        <f>IF($AE691="","",SUMIFS('ORDENES'!$M$4:$M$1203,'ORDENES'!$AE$4:$AE$1203,$AE691,'ORDENES'!$O$4:$O$1203,$O691,'ORDENES'!$R$4:$R$1203,$R691))</f>
        <v/>
      </c>
      <c r="AH691" s="13">
        <f>IF($AG691="","",p_factor_productividad*IFERROR(INDEX('ASIGNACIONES'!$I$4:$I$339,MATCH($O691&amp;"|"&amp;$R691&amp;"|"&amp;$AE691,'ASIGNACIONES'!$J$4:$J$339,0)),0)-$AG691)</f>
        <v/>
      </c>
      <c r="AI691" s="10">
        <f>IF($A691="","",IFERROR(INDEX('2_IMPORTAR_EJECUCION'!$F$9:$F$1208,MATCH($AQ691,'2_IMPORTAR_EJECUCION'!$J$9:$J$1208,0)),0))</f>
        <v/>
      </c>
      <c r="AJ691" s="10">
        <f>IF($A691="","",MAX(0,IFERROR(INDEX('2_IMPORTAR_EJECUCION'!$H$9:$H$1208,MATCH($AQ691,'2_IMPORTAR_EJECUCION'!$J$9:$J$1208,0)),0)-$AI691))</f>
        <v/>
      </c>
      <c r="AK691" s="10">
        <f>IF($A691="","",$AI691+$AJ691)</f>
        <v/>
      </c>
      <c r="AL691" s="6" t="n"/>
      <c r="AM691" s="6" t="n"/>
      <c r="AN691" s="6" t="n"/>
      <c r="AO691" s="3">
        <f>IF($AN691="","",HYPERLINK(p_ruta_base_checklists&amp;$AN691,"abrir"))</f>
        <v/>
      </c>
      <c r="AP691" s="6" t="n"/>
      <c r="AQ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IF($A692="","",IFERROR(INDEX('AJUSTES'!$B$4:$B$303,MATCH($AQ692,'AJUSTES'!$A$4:$A$303,0)),IF($K692="","",$K692)))</f>
        <v/>
      </c>
      <c r="N692" s="3">
        <f>IF($A692="","",IFERROR(INDEX('CAT_ESTADOS_ERP'!$B$4:$B$7,MATCH(IFERROR(INDEX('2_IMPORTAR_EJECUCION'!$C$9:$C$1208,MATCH($AQ692,'2_IMPORTAR_EJECUCION'!$J$9:$J$1208,0)),""),'CAT_ESTADOS_ERP'!$A$4:$A$7,0)),"Pendiente"))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J692="","",IFERROR(INDEX('CALENDARIO'!$C$15:$C$214,MATCH(TEXT($J692,"yyyy-mm-dd")&amp;"|"&amp;$V692&amp;"|"&amp;$W692,'CALENDARIO'!$G$15:$G$214,0)),IFERROR(INDEX('CALENDARIO'!$C$15:$C$214,MATCH(TEXT($J692,"yyyy-mm-dd")&amp;"|"&amp;$V692&amp;"|",'CALENDARIO'!$G$15:$G$214,0)),IFERROR(INDEX('CALENDARIO'!$C$15:$C$214,MATCH(TEXT($J692,"yyyy-mm-dd")&amp;"||",'CALENDARIO'!$G$15:$G$214,0)),INDEX(patronHabil,WEEKDAY($J692,2))))))</f>
        <v/>
      </c>
      <c r="T692" s="3">
        <f>IF($I692="","",IFERROR(INDEX('CAT_TIPOS_OT'!$C$4:$C$7,MATCH($I692,'CAT_TIPOS_OT'!$A$4:$A$7,0)),"sin_clasificar"))</f>
        <v/>
      </c>
      <c r="U692" s="3">
        <f>IF($F692="","",IFERROR(INDEX('CAT_CENTROS_COSTO'!$F$4:$F$13,MATCH($F692,'CAT_CENTROS_COSTO'!$A$4:$A$13,0)),"(sin catálogo)"))</f>
        <v/>
      </c>
      <c r="V692" s="3">
        <f>IF($F692="","",IFERROR(INDEX('CAT_CENTROS_COSTO'!$D$4:$D$13,MATCH($F692,'CAT_CENTROS_COSTO'!$A$4:$A$13,0)),"(sin catálogo)"))</f>
        <v/>
      </c>
      <c r="W692" s="3">
        <f>IF($F692="","",IF((IFERROR(INDEX('CAT_CENTROS_COSTO'!$E$4:$E$13,MATCH($F692,'CAT_CENTROS_COSTO'!$A$4:$A$13,0)),""))&lt;&gt;"",IFERROR(INDEX('CAT_CENTROS_COSTO'!$E$4:$E$13,MATCH($F692,'CAT_CENTROS_COSTO'!$A$4:$A$13,0)),""),$V692))</f>
        <v/>
      </c>
      <c r="X692" s="3">
        <f>IF($F692="","",IFERROR(INDEX('CAT_CENTROS_COSTO'!$G$4:$G$13,MATCH($F692,'CAT_CENTROS_COSTO'!$A$4:$A$13,0)),"(sin catálogo)"))</f>
        <v/>
      </c>
      <c r="Y692" s="3">
        <f>IF($G692="","",IFERROR(INDEX('CAT_PUESTOS'!$B$4:$B$8,MATCH($G692,'CAT_PUESTOS'!$A$4:$A$8,0)),"(sin catálogo)"))</f>
        <v/>
      </c>
      <c r="Z692" s="3">
        <f>IF($H692="","",IFERROR(INDEX('CAT_ACTIVIDADES'!$B$4:$B$8,MATCH($H692,'CAT_ACTIVIDADES'!$A$4:$A$8,0)),"(sin catálogo)"))</f>
        <v/>
      </c>
      <c r="AA692" s="12">
        <f>IF($J692="","",TODAY()-$J692)</f>
        <v/>
      </c>
      <c r="AB692" s="12">
        <f>IF($J692="","",IF($J692&lt;=TODAY(),COUNTIFS(cal_fechas,"&gt;="&amp;$J692,cal_fechas,"&lt;"&amp;TODAY(),cal_habil,"sí"),-COUNTIFS(cal_fechas,"&gt;="&amp;TODAY(),cal_fechas,"&lt;"&amp;$J692,cal_habil,"sí")))</f>
        <v/>
      </c>
      <c r="AC692" s="3">
        <f>IF($AB692="","",IF($AB692&lt;0,"FUTURO",IF($AB692&gt;p_dias_backlog_max,"BACKLOG","MES CORRIENTE")))</f>
        <v/>
      </c>
      <c r="AD692" s="3">
        <f>IF($AB692="",FALSE,AND($AB692&gt;p_dias_backlog_min,$AB692&lt;=p_dias_backlog_max))</f>
        <v/>
      </c>
      <c r="AE692" s="6" t="n"/>
      <c r="AF692" s="3">
        <f>IF($AE692="","",IF((IFERROR(INDEX('ASIGNACIONES'!$F$4:$F$339,MATCH($O692&amp;"|"&amp;$R692&amp;"|"&amp;$AE692,'ASIGNACIONES'!$J$4:$J$339,0)),""))=0,"",IFERROR(INDEX('ASIGNACIONES'!$F$4:$F$339,MATCH($O692&amp;"|"&amp;$R692&amp;"|"&amp;$AE692,'ASIGNACIONES'!$J$4:$J$339,0)),"")))</f>
        <v/>
      </c>
      <c r="AG692" s="13">
        <f>IF($AE692="","",SUMIFS('ORDENES'!$M$4:$M$1203,'ORDENES'!$AE$4:$AE$1203,$AE692,'ORDENES'!$O$4:$O$1203,$O692,'ORDENES'!$R$4:$R$1203,$R692))</f>
        <v/>
      </c>
      <c r="AH692" s="13">
        <f>IF($AG692="","",p_factor_productividad*IFERROR(INDEX('ASIGNACIONES'!$I$4:$I$339,MATCH($O692&amp;"|"&amp;$R692&amp;"|"&amp;$AE692,'ASIGNACIONES'!$J$4:$J$339,0)),0)-$AG692)</f>
        <v/>
      </c>
      <c r="AI692" s="10">
        <f>IF($A692="","",IFERROR(INDEX('2_IMPORTAR_EJECUCION'!$F$9:$F$1208,MATCH($AQ692,'2_IMPORTAR_EJECUCION'!$J$9:$J$1208,0)),0))</f>
        <v/>
      </c>
      <c r="AJ692" s="10">
        <f>IF($A692="","",MAX(0,IFERROR(INDEX('2_IMPORTAR_EJECUCION'!$H$9:$H$1208,MATCH($AQ692,'2_IMPORTAR_EJECUCION'!$J$9:$J$1208,0)),0)-$AI692))</f>
        <v/>
      </c>
      <c r="AK692" s="10">
        <f>IF($A692="","",$AI692+$AJ692)</f>
        <v/>
      </c>
      <c r="AL692" s="6" t="n"/>
      <c r="AM692" s="6" t="n"/>
      <c r="AN692" s="6" t="n"/>
      <c r="AO692" s="3">
        <f>IF($AN692="","",HYPERLINK(p_ruta_base_checklists&amp;$AN692,"abrir"))</f>
        <v/>
      </c>
      <c r="AP692" s="6" t="n"/>
      <c r="AQ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IF($A693="","",IFERROR(INDEX('AJUSTES'!$B$4:$B$303,MATCH($AQ693,'AJUSTES'!$A$4:$A$303,0)),IF($K693="","",$K693)))</f>
        <v/>
      </c>
      <c r="N693" s="3">
        <f>IF($A693="","",IFERROR(INDEX('CAT_ESTADOS_ERP'!$B$4:$B$7,MATCH(IFERROR(INDEX('2_IMPORTAR_EJECUCION'!$C$9:$C$1208,MATCH($AQ693,'2_IMPORTAR_EJECUCION'!$J$9:$J$1208,0)),""),'CAT_ESTADOS_ERP'!$A$4:$A$7,0)),"Pendiente"))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J693="","",IFERROR(INDEX('CALENDARIO'!$C$15:$C$214,MATCH(TEXT($J693,"yyyy-mm-dd")&amp;"|"&amp;$V693&amp;"|"&amp;$W693,'CALENDARIO'!$G$15:$G$214,0)),IFERROR(INDEX('CALENDARIO'!$C$15:$C$214,MATCH(TEXT($J693,"yyyy-mm-dd")&amp;"|"&amp;$V693&amp;"|",'CALENDARIO'!$G$15:$G$214,0)),IFERROR(INDEX('CALENDARIO'!$C$15:$C$214,MATCH(TEXT($J693,"yyyy-mm-dd")&amp;"||",'CALENDARIO'!$G$15:$G$214,0)),INDEX(patronHabil,WEEKDAY($J693,2))))))</f>
        <v/>
      </c>
      <c r="T693" s="3">
        <f>IF($I693="","",IFERROR(INDEX('CAT_TIPOS_OT'!$C$4:$C$7,MATCH($I693,'CAT_TIPOS_OT'!$A$4:$A$7,0)),"sin_clasificar"))</f>
        <v/>
      </c>
      <c r="U693" s="3">
        <f>IF($F693="","",IFERROR(INDEX('CAT_CENTROS_COSTO'!$F$4:$F$13,MATCH($F693,'CAT_CENTROS_COSTO'!$A$4:$A$13,0)),"(sin catálogo)"))</f>
        <v/>
      </c>
      <c r="V693" s="3">
        <f>IF($F693="","",IFERROR(INDEX('CAT_CENTROS_COSTO'!$D$4:$D$13,MATCH($F693,'CAT_CENTROS_COSTO'!$A$4:$A$13,0)),"(sin catálogo)"))</f>
        <v/>
      </c>
      <c r="W693" s="3">
        <f>IF($F693="","",IF((IFERROR(INDEX('CAT_CENTROS_COSTO'!$E$4:$E$13,MATCH($F693,'CAT_CENTROS_COSTO'!$A$4:$A$13,0)),""))&lt;&gt;"",IFERROR(INDEX('CAT_CENTROS_COSTO'!$E$4:$E$13,MATCH($F693,'CAT_CENTROS_COSTO'!$A$4:$A$13,0)),""),$V693))</f>
        <v/>
      </c>
      <c r="X693" s="3">
        <f>IF($F693="","",IFERROR(INDEX('CAT_CENTROS_COSTO'!$G$4:$G$13,MATCH($F693,'CAT_CENTROS_COSTO'!$A$4:$A$13,0)),"(sin catálogo)"))</f>
        <v/>
      </c>
      <c r="Y693" s="3">
        <f>IF($G693="","",IFERROR(INDEX('CAT_PUESTOS'!$B$4:$B$8,MATCH($G693,'CAT_PUESTOS'!$A$4:$A$8,0)),"(sin catálogo)"))</f>
        <v/>
      </c>
      <c r="Z693" s="3">
        <f>IF($H693="","",IFERROR(INDEX('CAT_ACTIVIDADES'!$B$4:$B$8,MATCH($H693,'CAT_ACTIVIDADES'!$A$4:$A$8,0)),"(sin catálogo)"))</f>
        <v/>
      </c>
      <c r="AA693" s="12">
        <f>IF($J693="","",TODAY()-$J693)</f>
        <v/>
      </c>
      <c r="AB693" s="12">
        <f>IF($J693="","",IF($J693&lt;=TODAY(),COUNTIFS(cal_fechas,"&gt;="&amp;$J693,cal_fechas,"&lt;"&amp;TODAY(),cal_habil,"sí"),-COUNTIFS(cal_fechas,"&gt;="&amp;TODAY(),cal_fechas,"&lt;"&amp;$J693,cal_habil,"sí")))</f>
        <v/>
      </c>
      <c r="AC693" s="3">
        <f>IF($AB693="","",IF($AB693&lt;0,"FUTURO",IF($AB693&gt;p_dias_backlog_max,"BACKLOG","MES CORRIENTE")))</f>
        <v/>
      </c>
      <c r="AD693" s="3">
        <f>IF($AB693="",FALSE,AND($AB693&gt;p_dias_backlog_min,$AB693&lt;=p_dias_backlog_max))</f>
        <v/>
      </c>
      <c r="AE693" s="6" t="n"/>
      <c r="AF693" s="3">
        <f>IF($AE693="","",IF((IFERROR(INDEX('ASIGNACIONES'!$F$4:$F$339,MATCH($O693&amp;"|"&amp;$R693&amp;"|"&amp;$AE693,'ASIGNACIONES'!$J$4:$J$339,0)),""))=0,"",IFERROR(INDEX('ASIGNACIONES'!$F$4:$F$339,MATCH($O693&amp;"|"&amp;$R693&amp;"|"&amp;$AE693,'ASIGNACIONES'!$J$4:$J$339,0)),"")))</f>
        <v/>
      </c>
      <c r="AG693" s="13">
        <f>IF($AE693="","",SUMIFS('ORDENES'!$M$4:$M$1203,'ORDENES'!$AE$4:$AE$1203,$AE693,'ORDENES'!$O$4:$O$1203,$O693,'ORDENES'!$R$4:$R$1203,$R693))</f>
        <v/>
      </c>
      <c r="AH693" s="13">
        <f>IF($AG693="","",p_factor_productividad*IFERROR(INDEX('ASIGNACIONES'!$I$4:$I$339,MATCH($O693&amp;"|"&amp;$R693&amp;"|"&amp;$AE693,'ASIGNACIONES'!$J$4:$J$339,0)),0)-$AG693)</f>
        <v/>
      </c>
      <c r="AI693" s="10">
        <f>IF($A693="","",IFERROR(INDEX('2_IMPORTAR_EJECUCION'!$F$9:$F$1208,MATCH($AQ693,'2_IMPORTAR_EJECUCION'!$J$9:$J$1208,0)),0))</f>
        <v/>
      </c>
      <c r="AJ693" s="10">
        <f>IF($A693="","",MAX(0,IFERROR(INDEX('2_IMPORTAR_EJECUCION'!$H$9:$H$1208,MATCH($AQ693,'2_IMPORTAR_EJECUCION'!$J$9:$J$1208,0)),0)-$AI693))</f>
        <v/>
      </c>
      <c r="AK693" s="10">
        <f>IF($A693="","",$AI693+$AJ693)</f>
        <v/>
      </c>
      <c r="AL693" s="6" t="n"/>
      <c r="AM693" s="6" t="n"/>
      <c r="AN693" s="6" t="n"/>
      <c r="AO693" s="3">
        <f>IF($AN693="","",HYPERLINK(p_ruta_base_checklists&amp;$AN693,"abrir"))</f>
        <v/>
      </c>
      <c r="AP693" s="6" t="n"/>
      <c r="AQ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IF($A694="","",IFERROR(INDEX('AJUSTES'!$B$4:$B$303,MATCH($AQ694,'AJUSTES'!$A$4:$A$303,0)),IF($K694="","",$K694)))</f>
        <v/>
      </c>
      <c r="N694" s="3">
        <f>IF($A694="","",IFERROR(INDEX('CAT_ESTADOS_ERP'!$B$4:$B$7,MATCH(IFERROR(INDEX('2_IMPORTAR_EJECUCION'!$C$9:$C$1208,MATCH($AQ694,'2_IMPORTAR_EJECUCION'!$J$9:$J$1208,0)),""),'CAT_ESTADOS_ERP'!$A$4:$A$7,0)),"Pendiente"))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J694="","",IFERROR(INDEX('CALENDARIO'!$C$15:$C$214,MATCH(TEXT($J694,"yyyy-mm-dd")&amp;"|"&amp;$V694&amp;"|"&amp;$W694,'CALENDARIO'!$G$15:$G$214,0)),IFERROR(INDEX('CALENDARIO'!$C$15:$C$214,MATCH(TEXT($J694,"yyyy-mm-dd")&amp;"|"&amp;$V694&amp;"|",'CALENDARIO'!$G$15:$G$214,0)),IFERROR(INDEX('CALENDARIO'!$C$15:$C$214,MATCH(TEXT($J694,"yyyy-mm-dd")&amp;"||",'CALENDARIO'!$G$15:$G$214,0)),INDEX(patronHabil,WEEKDAY($J694,2))))))</f>
        <v/>
      </c>
      <c r="T694" s="3">
        <f>IF($I694="","",IFERROR(INDEX('CAT_TIPOS_OT'!$C$4:$C$7,MATCH($I694,'CAT_TIPOS_OT'!$A$4:$A$7,0)),"sin_clasificar"))</f>
        <v/>
      </c>
      <c r="U694" s="3">
        <f>IF($F694="","",IFERROR(INDEX('CAT_CENTROS_COSTO'!$F$4:$F$13,MATCH($F694,'CAT_CENTROS_COSTO'!$A$4:$A$13,0)),"(sin catálogo)"))</f>
        <v/>
      </c>
      <c r="V694" s="3">
        <f>IF($F694="","",IFERROR(INDEX('CAT_CENTROS_COSTO'!$D$4:$D$13,MATCH($F694,'CAT_CENTROS_COSTO'!$A$4:$A$13,0)),"(sin catálogo)"))</f>
        <v/>
      </c>
      <c r="W694" s="3">
        <f>IF($F694="","",IF((IFERROR(INDEX('CAT_CENTROS_COSTO'!$E$4:$E$13,MATCH($F694,'CAT_CENTROS_COSTO'!$A$4:$A$13,0)),""))&lt;&gt;"",IFERROR(INDEX('CAT_CENTROS_COSTO'!$E$4:$E$13,MATCH($F694,'CAT_CENTROS_COSTO'!$A$4:$A$13,0)),""),$V694))</f>
        <v/>
      </c>
      <c r="X694" s="3">
        <f>IF($F694="","",IFERROR(INDEX('CAT_CENTROS_COSTO'!$G$4:$G$13,MATCH($F694,'CAT_CENTROS_COSTO'!$A$4:$A$13,0)),"(sin catálogo)"))</f>
        <v/>
      </c>
      <c r="Y694" s="3">
        <f>IF($G694="","",IFERROR(INDEX('CAT_PUESTOS'!$B$4:$B$8,MATCH($G694,'CAT_PUESTOS'!$A$4:$A$8,0)),"(sin catálogo)"))</f>
        <v/>
      </c>
      <c r="Z694" s="3">
        <f>IF($H694="","",IFERROR(INDEX('CAT_ACTIVIDADES'!$B$4:$B$8,MATCH($H694,'CAT_ACTIVIDADES'!$A$4:$A$8,0)),"(sin catálogo)"))</f>
        <v/>
      </c>
      <c r="AA694" s="12">
        <f>IF($J694="","",TODAY()-$J694)</f>
        <v/>
      </c>
      <c r="AB694" s="12">
        <f>IF($J694="","",IF($J694&lt;=TODAY(),COUNTIFS(cal_fechas,"&gt;="&amp;$J694,cal_fechas,"&lt;"&amp;TODAY(),cal_habil,"sí"),-COUNTIFS(cal_fechas,"&gt;="&amp;TODAY(),cal_fechas,"&lt;"&amp;$J694,cal_habil,"sí")))</f>
        <v/>
      </c>
      <c r="AC694" s="3">
        <f>IF($AB694="","",IF($AB694&lt;0,"FUTURO",IF($AB694&gt;p_dias_backlog_max,"BACKLOG","MES CORRIENTE")))</f>
        <v/>
      </c>
      <c r="AD694" s="3">
        <f>IF($AB694="",FALSE,AND($AB694&gt;p_dias_backlog_min,$AB694&lt;=p_dias_backlog_max))</f>
        <v/>
      </c>
      <c r="AE694" s="6" t="n"/>
      <c r="AF694" s="3">
        <f>IF($AE694="","",IF((IFERROR(INDEX('ASIGNACIONES'!$F$4:$F$339,MATCH($O694&amp;"|"&amp;$R694&amp;"|"&amp;$AE694,'ASIGNACIONES'!$J$4:$J$339,0)),""))=0,"",IFERROR(INDEX('ASIGNACIONES'!$F$4:$F$339,MATCH($O694&amp;"|"&amp;$R694&amp;"|"&amp;$AE694,'ASIGNACIONES'!$J$4:$J$339,0)),"")))</f>
        <v/>
      </c>
      <c r="AG694" s="13">
        <f>IF($AE694="","",SUMIFS('ORDENES'!$M$4:$M$1203,'ORDENES'!$AE$4:$AE$1203,$AE694,'ORDENES'!$O$4:$O$1203,$O694,'ORDENES'!$R$4:$R$1203,$R694))</f>
        <v/>
      </c>
      <c r="AH694" s="13">
        <f>IF($AG694="","",p_factor_productividad*IFERROR(INDEX('ASIGNACIONES'!$I$4:$I$339,MATCH($O694&amp;"|"&amp;$R694&amp;"|"&amp;$AE694,'ASIGNACIONES'!$J$4:$J$339,0)),0)-$AG694)</f>
        <v/>
      </c>
      <c r="AI694" s="10">
        <f>IF($A694="","",IFERROR(INDEX('2_IMPORTAR_EJECUCION'!$F$9:$F$1208,MATCH($AQ694,'2_IMPORTAR_EJECUCION'!$J$9:$J$1208,0)),0))</f>
        <v/>
      </c>
      <c r="AJ694" s="10">
        <f>IF($A694="","",MAX(0,IFERROR(INDEX('2_IMPORTAR_EJECUCION'!$H$9:$H$1208,MATCH($AQ694,'2_IMPORTAR_EJECUCION'!$J$9:$J$1208,0)),0)-$AI694))</f>
        <v/>
      </c>
      <c r="AK694" s="10">
        <f>IF($A694="","",$AI694+$AJ694)</f>
        <v/>
      </c>
      <c r="AL694" s="6" t="n"/>
      <c r="AM694" s="6" t="n"/>
      <c r="AN694" s="6" t="n"/>
      <c r="AO694" s="3">
        <f>IF($AN694="","",HYPERLINK(p_ruta_base_checklists&amp;$AN694,"abrir"))</f>
        <v/>
      </c>
      <c r="AP694" s="6" t="n"/>
      <c r="AQ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IF($A695="","",IFERROR(INDEX('AJUSTES'!$B$4:$B$303,MATCH($AQ695,'AJUSTES'!$A$4:$A$303,0)),IF($K695="","",$K695)))</f>
        <v/>
      </c>
      <c r="N695" s="3">
        <f>IF($A695="","",IFERROR(INDEX('CAT_ESTADOS_ERP'!$B$4:$B$7,MATCH(IFERROR(INDEX('2_IMPORTAR_EJECUCION'!$C$9:$C$1208,MATCH($AQ695,'2_IMPORTAR_EJECUCION'!$J$9:$J$1208,0)),""),'CAT_ESTADOS_ERP'!$A$4:$A$7,0)),"Pendiente"))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J695="","",IFERROR(INDEX('CALENDARIO'!$C$15:$C$214,MATCH(TEXT($J695,"yyyy-mm-dd")&amp;"|"&amp;$V695&amp;"|"&amp;$W695,'CALENDARIO'!$G$15:$G$214,0)),IFERROR(INDEX('CALENDARIO'!$C$15:$C$214,MATCH(TEXT($J695,"yyyy-mm-dd")&amp;"|"&amp;$V695&amp;"|",'CALENDARIO'!$G$15:$G$214,0)),IFERROR(INDEX('CALENDARIO'!$C$15:$C$214,MATCH(TEXT($J695,"yyyy-mm-dd")&amp;"||",'CALENDARIO'!$G$15:$G$214,0)),INDEX(patronHabil,WEEKDAY($J695,2))))))</f>
        <v/>
      </c>
      <c r="T695" s="3">
        <f>IF($I695="","",IFERROR(INDEX('CAT_TIPOS_OT'!$C$4:$C$7,MATCH($I695,'CAT_TIPOS_OT'!$A$4:$A$7,0)),"sin_clasificar"))</f>
        <v/>
      </c>
      <c r="U695" s="3">
        <f>IF($F695="","",IFERROR(INDEX('CAT_CENTROS_COSTO'!$F$4:$F$13,MATCH($F695,'CAT_CENTROS_COSTO'!$A$4:$A$13,0)),"(sin catálogo)"))</f>
        <v/>
      </c>
      <c r="V695" s="3">
        <f>IF($F695="","",IFERROR(INDEX('CAT_CENTROS_COSTO'!$D$4:$D$13,MATCH($F695,'CAT_CENTROS_COSTO'!$A$4:$A$13,0)),"(sin catálogo)"))</f>
        <v/>
      </c>
      <c r="W695" s="3">
        <f>IF($F695="","",IF((IFERROR(INDEX('CAT_CENTROS_COSTO'!$E$4:$E$13,MATCH($F695,'CAT_CENTROS_COSTO'!$A$4:$A$13,0)),""))&lt;&gt;"",IFERROR(INDEX('CAT_CENTROS_COSTO'!$E$4:$E$13,MATCH($F695,'CAT_CENTROS_COSTO'!$A$4:$A$13,0)),""),$V695))</f>
        <v/>
      </c>
      <c r="X695" s="3">
        <f>IF($F695="","",IFERROR(INDEX('CAT_CENTROS_COSTO'!$G$4:$G$13,MATCH($F695,'CAT_CENTROS_COSTO'!$A$4:$A$13,0)),"(sin catálogo)"))</f>
        <v/>
      </c>
      <c r="Y695" s="3">
        <f>IF($G695="","",IFERROR(INDEX('CAT_PUESTOS'!$B$4:$B$8,MATCH($G695,'CAT_PUESTOS'!$A$4:$A$8,0)),"(sin catálogo)"))</f>
        <v/>
      </c>
      <c r="Z695" s="3">
        <f>IF($H695="","",IFERROR(INDEX('CAT_ACTIVIDADES'!$B$4:$B$8,MATCH($H695,'CAT_ACTIVIDADES'!$A$4:$A$8,0)),"(sin catálogo)"))</f>
        <v/>
      </c>
      <c r="AA695" s="12">
        <f>IF($J695="","",TODAY()-$J695)</f>
        <v/>
      </c>
      <c r="AB695" s="12">
        <f>IF($J695="","",IF($J695&lt;=TODAY(),COUNTIFS(cal_fechas,"&gt;="&amp;$J695,cal_fechas,"&lt;"&amp;TODAY(),cal_habil,"sí"),-COUNTIFS(cal_fechas,"&gt;="&amp;TODAY(),cal_fechas,"&lt;"&amp;$J695,cal_habil,"sí")))</f>
        <v/>
      </c>
      <c r="AC695" s="3">
        <f>IF($AB695="","",IF($AB695&lt;0,"FUTURO",IF($AB695&gt;p_dias_backlog_max,"BACKLOG","MES CORRIENTE")))</f>
        <v/>
      </c>
      <c r="AD695" s="3">
        <f>IF($AB695="",FALSE,AND($AB695&gt;p_dias_backlog_min,$AB695&lt;=p_dias_backlog_max))</f>
        <v/>
      </c>
      <c r="AE695" s="6" t="n"/>
      <c r="AF695" s="3">
        <f>IF($AE695="","",IF((IFERROR(INDEX('ASIGNACIONES'!$F$4:$F$339,MATCH($O695&amp;"|"&amp;$R695&amp;"|"&amp;$AE695,'ASIGNACIONES'!$J$4:$J$339,0)),""))=0,"",IFERROR(INDEX('ASIGNACIONES'!$F$4:$F$339,MATCH($O695&amp;"|"&amp;$R695&amp;"|"&amp;$AE695,'ASIGNACIONES'!$J$4:$J$339,0)),"")))</f>
        <v/>
      </c>
      <c r="AG695" s="13">
        <f>IF($AE695="","",SUMIFS('ORDENES'!$M$4:$M$1203,'ORDENES'!$AE$4:$AE$1203,$AE695,'ORDENES'!$O$4:$O$1203,$O695,'ORDENES'!$R$4:$R$1203,$R695))</f>
        <v/>
      </c>
      <c r="AH695" s="13">
        <f>IF($AG695="","",p_factor_productividad*IFERROR(INDEX('ASIGNACIONES'!$I$4:$I$339,MATCH($O695&amp;"|"&amp;$R695&amp;"|"&amp;$AE695,'ASIGNACIONES'!$J$4:$J$339,0)),0)-$AG695)</f>
        <v/>
      </c>
      <c r="AI695" s="10">
        <f>IF($A695="","",IFERROR(INDEX('2_IMPORTAR_EJECUCION'!$F$9:$F$1208,MATCH($AQ695,'2_IMPORTAR_EJECUCION'!$J$9:$J$1208,0)),0))</f>
        <v/>
      </c>
      <c r="AJ695" s="10">
        <f>IF($A695="","",MAX(0,IFERROR(INDEX('2_IMPORTAR_EJECUCION'!$H$9:$H$1208,MATCH($AQ695,'2_IMPORTAR_EJECUCION'!$J$9:$J$1208,0)),0)-$AI695))</f>
        <v/>
      </c>
      <c r="AK695" s="10">
        <f>IF($A695="","",$AI695+$AJ695)</f>
        <v/>
      </c>
      <c r="AL695" s="6" t="n"/>
      <c r="AM695" s="6" t="n"/>
      <c r="AN695" s="6" t="n"/>
      <c r="AO695" s="3">
        <f>IF($AN695="","",HYPERLINK(p_ruta_base_checklists&amp;$AN695,"abrir"))</f>
        <v/>
      </c>
      <c r="AP695" s="6" t="n"/>
      <c r="AQ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IF($A696="","",IFERROR(INDEX('AJUSTES'!$B$4:$B$303,MATCH($AQ696,'AJUSTES'!$A$4:$A$303,0)),IF($K696="","",$K696)))</f>
        <v/>
      </c>
      <c r="N696" s="3">
        <f>IF($A696="","",IFERROR(INDEX('CAT_ESTADOS_ERP'!$B$4:$B$7,MATCH(IFERROR(INDEX('2_IMPORTAR_EJECUCION'!$C$9:$C$1208,MATCH($AQ696,'2_IMPORTAR_EJECUCION'!$J$9:$J$1208,0)),""),'CAT_ESTADOS_ERP'!$A$4:$A$7,0)),"Pendiente"))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J696="","",IFERROR(INDEX('CALENDARIO'!$C$15:$C$214,MATCH(TEXT($J696,"yyyy-mm-dd")&amp;"|"&amp;$V696&amp;"|"&amp;$W696,'CALENDARIO'!$G$15:$G$214,0)),IFERROR(INDEX('CALENDARIO'!$C$15:$C$214,MATCH(TEXT($J696,"yyyy-mm-dd")&amp;"|"&amp;$V696&amp;"|",'CALENDARIO'!$G$15:$G$214,0)),IFERROR(INDEX('CALENDARIO'!$C$15:$C$214,MATCH(TEXT($J696,"yyyy-mm-dd")&amp;"||",'CALENDARIO'!$G$15:$G$214,0)),INDEX(patronHabil,WEEKDAY($J696,2))))))</f>
        <v/>
      </c>
      <c r="T696" s="3">
        <f>IF($I696="","",IFERROR(INDEX('CAT_TIPOS_OT'!$C$4:$C$7,MATCH($I696,'CAT_TIPOS_OT'!$A$4:$A$7,0)),"sin_clasificar"))</f>
        <v/>
      </c>
      <c r="U696" s="3">
        <f>IF($F696="","",IFERROR(INDEX('CAT_CENTROS_COSTO'!$F$4:$F$13,MATCH($F696,'CAT_CENTROS_COSTO'!$A$4:$A$13,0)),"(sin catálogo)"))</f>
        <v/>
      </c>
      <c r="V696" s="3">
        <f>IF($F696="","",IFERROR(INDEX('CAT_CENTROS_COSTO'!$D$4:$D$13,MATCH($F696,'CAT_CENTROS_COSTO'!$A$4:$A$13,0)),"(sin catálogo)"))</f>
        <v/>
      </c>
      <c r="W696" s="3">
        <f>IF($F696="","",IF((IFERROR(INDEX('CAT_CENTROS_COSTO'!$E$4:$E$13,MATCH($F696,'CAT_CENTROS_COSTO'!$A$4:$A$13,0)),""))&lt;&gt;"",IFERROR(INDEX('CAT_CENTROS_COSTO'!$E$4:$E$13,MATCH($F696,'CAT_CENTROS_COSTO'!$A$4:$A$13,0)),""),$V696))</f>
        <v/>
      </c>
      <c r="X696" s="3">
        <f>IF($F696="","",IFERROR(INDEX('CAT_CENTROS_COSTO'!$G$4:$G$13,MATCH($F696,'CAT_CENTROS_COSTO'!$A$4:$A$13,0)),"(sin catálogo)"))</f>
        <v/>
      </c>
      <c r="Y696" s="3">
        <f>IF($G696="","",IFERROR(INDEX('CAT_PUESTOS'!$B$4:$B$8,MATCH($G696,'CAT_PUESTOS'!$A$4:$A$8,0)),"(sin catálogo)"))</f>
        <v/>
      </c>
      <c r="Z696" s="3">
        <f>IF($H696="","",IFERROR(INDEX('CAT_ACTIVIDADES'!$B$4:$B$8,MATCH($H696,'CAT_ACTIVIDADES'!$A$4:$A$8,0)),"(sin catálogo)"))</f>
        <v/>
      </c>
      <c r="AA696" s="12">
        <f>IF($J696="","",TODAY()-$J696)</f>
        <v/>
      </c>
      <c r="AB696" s="12">
        <f>IF($J696="","",IF($J696&lt;=TODAY(),COUNTIFS(cal_fechas,"&gt;="&amp;$J696,cal_fechas,"&lt;"&amp;TODAY(),cal_habil,"sí"),-COUNTIFS(cal_fechas,"&gt;="&amp;TODAY(),cal_fechas,"&lt;"&amp;$J696,cal_habil,"sí")))</f>
        <v/>
      </c>
      <c r="AC696" s="3">
        <f>IF($AB696="","",IF($AB696&lt;0,"FUTURO",IF($AB696&gt;p_dias_backlog_max,"BACKLOG","MES CORRIENTE")))</f>
        <v/>
      </c>
      <c r="AD696" s="3">
        <f>IF($AB696="",FALSE,AND($AB696&gt;p_dias_backlog_min,$AB696&lt;=p_dias_backlog_max))</f>
        <v/>
      </c>
      <c r="AE696" s="6" t="n"/>
      <c r="AF696" s="3">
        <f>IF($AE696="","",IF((IFERROR(INDEX('ASIGNACIONES'!$F$4:$F$339,MATCH($O696&amp;"|"&amp;$R696&amp;"|"&amp;$AE696,'ASIGNACIONES'!$J$4:$J$339,0)),""))=0,"",IFERROR(INDEX('ASIGNACIONES'!$F$4:$F$339,MATCH($O696&amp;"|"&amp;$R696&amp;"|"&amp;$AE696,'ASIGNACIONES'!$J$4:$J$339,0)),"")))</f>
        <v/>
      </c>
      <c r="AG696" s="13">
        <f>IF($AE696="","",SUMIFS('ORDENES'!$M$4:$M$1203,'ORDENES'!$AE$4:$AE$1203,$AE696,'ORDENES'!$O$4:$O$1203,$O696,'ORDENES'!$R$4:$R$1203,$R696))</f>
        <v/>
      </c>
      <c r="AH696" s="13">
        <f>IF($AG696="","",p_factor_productividad*IFERROR(INDEX('ASIGNACIONES'!$I$4:$I$339,MATCH($O696&amp;"|"&amp;$R696&amp;"|"&amp;$AE696,'ASIGNACIONES'!$J$4:$J$339,0)),0)-$AG696)</f>
        <v/>
      </c>
      <c r="AI696" s="10">
        <f>IF($A696="","",IFERROR(INDEX('2_IMPORTAR_EJECUCION'!$F$9:$F$1208,MATCH($AQ696,'2_IMPORTAR_EJECUCION'!$J$9:$J$1208,0)),0))</f>
        <v/>
      </c>
      <c r="AJ696" s="10">
        <f>IF($A696="","",MAX(0,IFERROR(INDEX('2_IMPORTAR_EJECUCION'!$H$9:$H$1208,MATCH($AQ696,'2_IMPORTAR_EJECUCION'!$J$9:$J$1208,0)),0)-$AI696))</f>
        <v/>
      </c>
      <c r="AK696" s="10">
        <f>IF($A696="","",$AI696+$AJ696)</f>
        <v/>
      </c>
      <c r="AL696" s="6" t="n"/>
      <c r="AM696" s="6" t="n"/>
      <c r="AN696" s="6" t="n"/>
      <c r="AO696" s="3">
        <f>IF($AN696="","",HYPERLINK(p_ruta_base_checklists&amp;$AN696,"abrir"))</f>
        <v/>
      </c>
      <c r="AP696" s="6" t="n"/>
      <c r="AQ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IF($A697="","",IFERROR(INDEX('AJUSTES'!$B$4:$B$303,MATCH($AQ697,'AJUSTES'!$A$4:$A$303,0)),IF($K697="","",$K697)))</f>
        <v/>
      </c>
      <c r="N697" s="3">
        <f>IF($A697="","",IFERROR(INDEX('CAT_ESTADOS_ERP'!$B$4:$B$7,MATCH(IFERROR(INDEX('2_IMPORTAR_EJECUCION'!$C$9:$C$1208,MATCH($AQ697,'2_IMPORTAR_EJECUCION'!$J$9:$J$1208,0)),""),'CAT_ESTADOS_ERP'!$A$4:$A$7,0)),"Pendiente"))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J697="","",IFERROR(INDEX('CALENDARIO'!$C$15:$C$214,MATCH(TEXT($J697,"yyyy-mm-dd")&amp;"|"&amp;$V697&amp;"|"&amp;$W697,'CALENDARIO'!$G$15:$G$214,0)),IFERROR(INDEX('CALENDARIO'!$C$15:$C$214,MATCH(TEXT($J697,"yyyy-mm-dd")&amp;"|"&amp;$V697&amp;"|",'CALENDARIO'!$G$15:$G$214,0)),IFERROR(INDEX('CALENDARIO'!$C$15:$C$214,MATCH(TEXT($J697,"yyyy-mm-dd")&amp;"||",'CALENDARIO'!$G$15:$G$214,0)),INDEX(patronHabil,WEEKDAY($J697,2))))))</f>
        <v/>
      </c>
      <c r="T697" s="3">
        <f>IF($I697="","",IFERROR(INDEX('CAT_TIPOS_OT'!$C$4:$C$7,MATCH($I697,'CAT_TIPOS_OT'!$A$4:$A$7,0)),"sin_clasificar"))</f>
        <v/>
      </c>
      <c r="U697" s="3">
        <f>IF($F697="","",IFERROR(INDEX('CAT_CENTROS_COSTO'!$F$4:$F$13,MATCH($F697,'CAT_CENTROS_COSTO'!$A$4:$A$13,0)),"(sin catálogo)"))</f>
        <v/>
      </c>
      <c r="V697" s="3">
        <f>IF($F697="","",IFERROR(INDEX('CAT_CENTROS_COSTO'!$D$4:$D$13,MATCH($F697,'CAT_CENTROS_COSTO'!$A$4:$A$13,0)),"(sin catálogo)"))</f>
        <v/>
      </c>
      <c r="W697" s="3">
        <f>IF($F697="","",IF((IFERROR(INDEX('CAT_CENTROS_COSTO'!$E$4:$E$13,MATCH($F697,'CAT_CENTROS_COSTO'!$A$4:$A$13,0)),""))&lt;&gt;"",IFERROR(INDEX('CAT_CENTROS_COSTO'!$E$4:$E$13,MATCH($F697,'CAT_CENTROS_COSTO'!$A$4:$A$13,0)),""),$V697))</f>
        <v/>
      </c>
      <c r="X697" s="3">
        <f>IF($F697="","",IFERROR(INDEX('CAT_CENTROS_COSTO'!$G$4:$G$13,MATCH($F697,'CAT_CENTROS_COSTO'!$A$4:$A$13,0)),"(sin catálogo)"))</f>
        <v/>
      </c>
      <c r="Y697" s="3">
        <f>IF($G697="","",IFERROR(INDEX('CAT_PUESTOS'!$B$4:$B$8,MATCH($G697,'CAT_PUESTOS'!$A$4:$A$8,0)),"(sin catálogo)"))</f>
        <v/>
      </c>
      <c r="Z697" s="3">
        <f>IF($H697="","",IFERROR(INDEX('CAT_ACTIVIDADES'!$B$4:$B$8,MATCH($H697,'CAT_ACTIVIDADES'!$A$4:$A$8,0)),"(sin catálogo)"))</f>
        <v/>
      </c>
      <c r="AA697" s="12">
        <f>IF($J697="","",TODAY()-$J697)</f>
        <v/>
      </c>
      <c r="AB697" s="12">
        <f>IF($J697="","",IF($J697&lt;=TODAY(),COUNTIFS(cal_fechas,"&gt;="&amp;$J697,cal_fechas,"&lt;"&amp;TODAY(),cal_habil,"sí"),-COUNTIFS(cal_fechas,"&gt;="&amp;TODAY(),cal_fechas,"&lt;"&amp;$J697,cal_habil,"sí")))</f>
        <v/>
      </c>
      <c r="AC697" s="3">
        <f>IF($AB697="","",IF($AB697&lt;0,"FUTURO",IF($AB697&gt;p_dias_backlog_max,"BACKLOG","MES CORRIENTE")))</f>
        <v/>
      </c>
      <c r="AD697" s="3">
        <f>IF($AB697="",FALSE,AND($AB697&gt;p_dias_backlog_min,$AB697&lt;=p_dias_backlog_max))</f>
        <v/>
      </c>
      <c r="AE697" s="6" t="n"/>
      <c r="AF697" s="3">
        <f>IF($AE697="","",IF((IFERROR(INDEX('ASIGNACIONES'!$F$4:$F$339,MATCH($O697&amp;"|"&amp;$R697&amp;"|"&amp;$AE697,'ASIGNACIONES'!$J$4:$J$339,0)),""))=0,"",IFERROR(INDEX('ASIGNACIONES'!$F$4:$F$339,MATCH($O697&amp;"|"&amp;$R697&amp;"|"&amp;$AE697,'ASIGNACIONES'!$J$4:$J$339,0)),"")))</f>
        <v/>
      </c>
      <c r="AG697" s="13">
        <f>IF($AE697="","",SUMIFS('ORDENES'!$M$4:$M$1203,'ORDENES'!$AE$4:$AE$1203,$AE697,'ORDENES'!$O$4:$O$1203,$O697,'ORDENES'!$R$4:$R$1203,$R697))</f>
        <v/>
      </c>
      <c r="AH697" s="13">
        <f>IF($AG697="","",p_factor_productividad*IFERROR(INDEX('ASIGNACIONES'!$I$4:$I$339,MATCH($O697&amp;"|"&amp;$R697&amp;"|"&amp;$AE697,'ASIGNACIONES'!$J$4:$J$339,0)),0)-$AG697)</f>
        <v/>
      </c>
      <c r="AI697" s="10">
        <f>IF($A697="","",IFERROR(INDEX('2_IMPORTAR_EJECUCION'!$F$9:$F$1208,MATCH($AQ697,'2_IMPORTAR_EJECUCION'!$J$9:$J$1208,0)),0))</f>
        <v/>
      </c>
      <c r="AJ697" s="10">
        <f>IF($A697="","",MAX(0,IFERROR(INDEX('2_IMPORTAR_EJECUCION'!$H$9:$H$1208,MATCH($AQ697,'2_IMPORTAR_EJECUCION'!$J$9:$J$1208,0)),0)-$AI697))</f>
        <v/>
      </c>
      <c r="AK697" s="10">
        <f>IF($A697="","",$AI697+$AJ697)</f>
        <v/>
      </c>
      <c r="AL697" s="6" t="n"/>
      <c r="AM697" s="6" t="n"/>
      <c r="AN697" s="6" t="n"/>
      <c r="AO697" s="3">
        <f>IF($AN697="","",HYPERLINK(p_ruta_base_checklists&amp;$AN697,"abrir"))</f>
        <v/>
      </c>
      <c r="AP697" s="6" t="n"/>
      <c r="AQ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IF($A698="","",IFERROR(INDEX('AJUSTES'!$B$4:$B$303,MATCH($AQ698,'AJUSTES'!$A$4:$A$303,0)),IF($K698="","",$K698)))</f>
        <v/>
      </c>
      <c r="N698" s="3">
        <f>IF($A698="","",IFERROR(INDEX('CAT_ESTADOS_ERP'!$B$4:$B$7,MATCH(IFERROR(INDEX('2_IMPORTAR_EJECUCION'!$C$9:$C$1208,MATCH($AQ698,'2_IMPORTAR_EJECUCION'!$J$9:$J$1208,0)),""),'CAT_ESTADOS_ERP'!$A$4:$A$7,0)),"Pendiente"))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J698="","",IFERROR(INDEX('CALENDARIO'!$C$15:$C$214,MATCH(TEXT($J698,"yyyy-mm-dd")&amp;"|"&amp;$V698&amp;"|"&amp;$W698,'CALENDARIO'!$G$15:$G$214,0)),IFERROR(INDEX('CALENDARIO'!$C$15:$C$214,MATCH(TEXT($J698,"yyyy-mm-dd")&amp;"|"&amp;$V698&amp;"|",'CALENDARIO'!$G$15:$G$214,0)),IFERROR(INDEX('CALENDARIO'!$C$15:$C$214,MATCH(TEXT($J698,"yyyy-mm-dd")&amp;"||",'CALENDARIO'!$G$15:$G$214,0)),INDEX(patronHabil,WEEKDAY($J698,2))))))</f>
        <v/>
      </c>
      <c r="T698" s="3">
        <f>IF($I698="","",IFERROR(INDEX('CAT_TIPOS_OT'!$C$4:$C$7,MATCH($I698,'CAT_TIPOS_OT'!$A$4:$A$7,0)),"sin_clasificar"))</f>
        <v/>
      </c>
      <c r="U698" s="3">
        <f>IF($F698="","",IFERROR(INDEX('CAT_CENTROS_COSTO'!$F$4:$F$13,MATCH($F698,'CAT_CENTROS_COSTO'!$A$4:$A$13,0)),"(sin catálogo)"))</f>
        <v/>
      </c>
      <c r="V698" s="3">
        <f>IF($F698="","",IFERROR(INDEX('CAT_CENTROS_COSTO'!$D$4:$D$13,MATCH($F698,'CAT_CENTROS_COSTO'!$A$4:$A$13,0)),"(sin catálogo)"))</f>
        <v/>
      </c>
      <c r="W698" s="3">
        <f>IF($F698="","",IF((IFERROR(INDEX('CAT_CENTROS_COSTO'!$E$4:$E$13,MATCH($F698,'CAT_CENTROS_COSTO'!$A$4:$A$13,0)),""))&lt;&gt;"",IFERROR(INDEX('CAT_CENTROS_COSTO'!$E$4:$E$13,MATCH($F698,'CAT_CENTROS_COSTO'!$A$4:$A$13,0)),""),$V698))</f>
        <v/>
      </c>
      <c r="X698" s="3">
        <f>IF($F698="","",IFERROR(INDEX('CAT_CENTROS_COSTO'!$G$4:$G$13,MATCH($F698,'CAT_CENTROS_COSTO'!$A$4:$A$13,0)),"(sin catálogo)"))</f>
        <v/>
      </c>
      <c r="Y698" s="3">
        <f>IF($G698="","",IFERROR(INDEX('CAT_PUESTOS'!$B$4:$B$8,MATCH($G698,'CAT_PUESTOS'!$A$4:$A$8,0)),"(sin catálogo)"))</f>
        <v/>
      </c>
      <c r="Z698" s="3">
        <f>IF($H698="","",IFERROR(INDEX('CAT_ACTIVIDADES'!$B$4:$B$8,MATCH($H698,'CAT_ACTIVIDADES'!$A$4:$A$8,0)),"(sin catálogo)"))</f>
        <v/>
      </c>
      <c r="AA698" s="12">
        <f>IF($J698="","",TODAY()-$J698)</f>
        <v/>
      </c>
      <c r="AB698" s="12">
        <f>IF($J698="","",IF($J698&lt;=TODAY(),COUNTIFS(cal_fechas,"&gt;="&amp;$J698,cal_fechas,"&lt;"&amp;TODAY(),cal_habil,"sí"),-COUNTIFS(cal_fechas,"&gt;="&amp;TODAY(),cal_fechas,"&lt;"&amp;$J698,cal_habil,"sí")))</f>
        <v/>
      </c>
      <c r="AC698" s="3">
        <f>IF($AB698="","",IF($AB698&lt;0,"FUTURO",IF($AB698&gt;p_dias_backlog_max,"BACKLOG","MES CORRIENTE")))</f>
        <v/>
      </c>
      <c r="AD698" s="3">
        <f>IF($AB698="",FALSE,AND($AB698&gt;p_dias_backlog_min,$AB698&lt;=p_dias_backlog_max))</f>
        <v/>
      </c>
      <c r="AE698" s="6" t="n"/>
      <c r="AF698" s="3">
        <f>IF($AE698="","",IF((IFERROR(INDEX('ASIGNACIONES'!$F$4:$F$339,MATCH($O698&amp;"|"&amp;$R698&amp;"|"&amp;$AE698,'ASIGNACIONES'!$J$4:$J$339,0)),""))=0,"",IFERROR(INDEX('ASIGNACIONES'!$F$4:$F$339,MATCH($O698&amp;"|"&amp;$R698&amp;"|"&amp;$AE698,'ASIGNACIONES'!$J$4:$J$339,0)),"")))</f>
        <v/>
      </c>
      <c r="AG698" s="13">
        <f>IF($AE698="","",SUMIFS('ORDENES'!$M$4:$M$1203,'ORDENES'!$AE$4:$AE$1203,$AE698,'ORDENES'!$O$4:$O$1203,$O698,'ORDENES'!$R$4:$R$1203,$R698))</f>
        <v/>
      </c>
      <c r="AH698" s="13">
        <f>IF($AG698="","",p_factor_productividad*IFERROR(INDEX('ASIGNACIONES'!$I$4:$I$339,MATCH($O698&amp;"|"&amp;$R698&amp;"|"&amp;$AE698,'ASIGNACIONES'!$J$4:$J$339,0)),0)-$AG698)</f>
        <v/>
      </c>
      <c r="AI698" s="10">
        <f>IF($A698="","",IFERROR(INDEX('2_IMPORTAR_EJECUCION'!$F$9:$F$1208,MATCH($AQ698,'2_IMPORTAR_EJECUCION'!$J$9:$J$1208,0)),0))</f>
        <v/>
      </c>
      <c r="AJ698" s="10">
        <f>IF($A698="","",MAX(0,IFERROR(INDEX('2_IMPORTAR_EJECUCION'!$H$9:$H$1208,MATCH($AQ698,'2_IMPORTAR_EJECUCION'!$J$9:$J$1208,0)),0)-$AI698))</f>
        <v/>
      </c>
      <c r="AK698" s="10">
        <f>IF($A698="","",$AI698+$AJ698)</f>
        <v/>
      </c>
      <c r="AL698" s="6" t="n"/>
      <c r="AM698" s="6" t="n"/>
      <c r="AN698" s="6" t="n"/>
      <c r="AO698" s="3">
        <f>IF($AN698="","",HYPERLINK(p_ruta_base_checklists&amp;$AN698,"abrir"))</f>
        <v/>
      </c>
      <c r="AP698" s="6" t="n"/>
      <c r="AQ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IF($A699="","",IFERROR(INDEX('AJUSTES'!$B$4:$B$303,MATCH($AQ699,'AJUSTES'!$A$4:$A$303,0)),IF($K699="","",$K699)))</f>
        <v/>
      </c>
      <c r="N699" s="3">
        <f>IF($A699="","",IFERROR(INDEX('CAT_ESTADOS_ERP'!$B$4:$B$7,MATCH(IFERROR(INDEX('2_IMPORTAR_EJECUCION'!$C$9:$C$1208,MATCH($AQ699,'2_IMPORTAR_EJECUCION'!$J$9:$J$1208,0)),""),'CAT_ESTADOS_ERP'!$A$4:$A$7,0)),"Pendiente"))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J699="","",IFERROR(INDEX('CALENDARIO'!$C$15:$C$214,MATCH(TEXT($J699,"yyyy-mm-dd")&amp;"|"&amp;$V699&amp;"|"&amp;$W699,'CALENDARIO'!$G$15:$G$214,0)),IFERROR(INDEX('CALENDARIO'!$C$15:$C$214,MATCH(TEXT($J699,"yyyy-mm-dd")&amp;"|"&amp;$V699&amp;"|",'CALENDARIO'!$G$15:$G$214,0)),IFERROR(INDEX('CALENDARIO'!$C$15:$C$214,MATCH(TEXT($J699,"yyyy-mm-dd")&amp;"||",'CALENDARIO'!$G$15:$G$214,0)),INDEX(patronHabil,WEEKDAY($J699,2))))))</f>
        <v/>
      </c>
      <c r="T699" s="3">
        <f>IF($I699="","",IFERROR(INDEX('CAT_TIPOS_OT'!$C$4:$C$7,MATCH($I699,'CAT_TIPOS_OT'!$A$4:$A$7,0)),"sin_clasificar"))</f>
        <v/>
      </c>
      <c r="U699" s="3">
        <f>IF($F699="","",IFERROR(INDEX('CAT_CENTROS_COSTO'!$F$4:$F$13,MATCH($F699,'CAT_CENTROS_COSTO'!$A$4:$A$13,0)),"(sin catálogo)"))</f>
        <v/>
      </c>
      <c r="V699" s="3">
        <f>IF($F699="","",IFERROR(INDEX('CAT_CENTROS_COSTO'!$D$4:$D$13,MATCH($F699,'CAT_CENTROS_COSTO'!$A$4:$A$13,0)),"(sin catálogo)"))</f>
        <v/>
      </c>
      <c r="W699" s="3">
        <f>IF($F699="","",IF((IFERROR(INDEX('CAT_CENTROS_COSTO'!$E$4:$E$13,MATCH($F699,'CAT_CENTROS_COSTO'!$A$4:$A$13,0)),""))&lt;&gt;"",IFERROR(INDEX('CAT_CENTROS_COSTO'!$E$4:$E$13,MATCH($F699,'CAT_CENTROS_COSTO'!$A$4:$A$13,0)),""),$V699))</f>
        <v/>
      </c>
      <c r="X699" s="3">
        <f>IF($F699="","",IFERROR(INDEX('CAT_CENTROS_COSTO'!$G$4:$G$13,MATCH($F699,'CAT_CENTROS_COSTO'!$A$4:$A$13,0)),"(sin catálogo)"))</f>
        <v/>
      </c>
      <c r="Y699" s="3">
        <f>IF($G699="","",IFERROR(INDEX('CAT_PUESTOS'!$B$4:$B$8,MATCH($G699,'CAT_PUESTOS'!$A$4:$A$8,0)),"(sin catálogo)"))</f>
        <v/>
      </c>
      <c r="Z699" s="3">
        <f>IF($H699="","",IFERROR(INDEX('CAT_ACTIVIDADES'!$B$4:$B$8,MATCH($H699,'CAT_ACTIVIDADES'!$A$4:$A$8,0)),"(sin catálogo)"))</f>
        <v/>
      </c>
      <c r="AA699" s="12">
        <f>IF($J699="","",TODAY()-$J699)</f>
        <v/>
      </c>
      <c r="AB699" s="12">
        <f>IF($J699="","",IF($J699&lt;=TODAY(),COUNTIFS(cal_fechas,"&gt;="&amp;$J699,cal_fechas,"&lt;"&amp;TODAY(),cal_habil,"sí"),-COUNTIFS(cal_fechas,"&gt;="&amp;TODAY(),cal_fechas,"&lt;"&amp;$J699,cal_habil,"sí")))</f>
        <v/>
      </c>
      <c r="AC699" s="3">
        <f>IF($AB699="","",IF($AB699&lt;0,"FUTURO",IF($AB699&gt;p_dias_backlog_max,"BACKLOG","MES CORRIENTE")))</f>
        <v/>
      </c>
      <c r="AD699" s="3">
        <f>IF($AB699="",FALSE,AND($AB699&gt;p_dias_backlog_min,$AB699&lt;=p_dias_backlog_max))</f>
        <v/>
      </c>
      <c r="AE699" s="6" t="n"/>
      <c r="AF699" s="3">
        <f>IF($AE699="","",IF((IFERROR(INDEX('ASIGNACIONES'!$F$4:$F$339,MATCH($O699&amp;"|"&amp;$R699&amp;"|"&amp;$AE699,'ASIGNACIONES'!$J$4:$J$339,0)),""))=0,"",IFERROR(INDEX('ASIGNACIONES'!$F$4:$F$339,MATCH($O699&amp;"|"&amp;$R699&amp;"|"&amp;$AE699,'ASIGNACIONES'!$J$4:$J$339,0)),"")))</f>
        <v/>
      </c>
      <c r="AG699" s="13">
        <f>IF($AE699="","",SUMIFS('ORDENES'!$M$4:$M$1203,'ORDENES'!$AE$4:$AE$1203,$AE699,'ORDENES'!$O$4:$O$1203,$O699,'ORDENES'!$R$4:$R$1203,$R699))</f>
        <v/>
      </c>
      <c r="AH699" s="13">
        <f>IF($AG699="","",p_factor_productividad*IFERROR(INDEX('ASIGNACIONES'!$I$4:$I$339,MATCH($O699&amp;"|"&amp;$R699&amp;"|"&amp;$AE699,'ASIGNACIONES'!$J$4:$J$339,0)),0)-$AG699)</f>
        <v/>
      </c>
      <c r="AI699" s="10">
        <f>IF($A699="","",IFERROR(INDEX('2_IMPORTAR_EJECUCION'!$F$9:$F$1208,MATCH($AQ699,'2_IMPORTAR_EJECUCION'!$J$9:$J$1208,0)),0))</f>
        <v/>
      </c>
      <c r="AJ699" s="10">
        <f>IF($A699="","",MAX(0,IFERROR(INDEX('2_IMPORTAR_EJECUCION'!$H$9:$H$1208,MATCH($AQ699,'2_IMPORTAR_EJECUCION'!$J$9:$J$1208,0)),0)-$AI699))</f>
        <v/>
      </c>
      <c r="AK699" s="10">
        <f>IF($A699="","",$AI699+$AJ699)</f>
        <v/>
      </c>
      <c r="AL699" s="6" t="n"/>
      <c r="AM699" s="6" t="n"/>
      <c r="AN699" s="6" t="n"/>
      <c r="AO699" s="3">
        <f>IF($AN699="","",HYPERLINK(p_ruta_base_checklists&amp;$AN699,"abrir"))</f>
        <v/>
      </c>
      <c r="AP699" s="6" t="n"/>
      <c r="AQ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IF($A700="","",IFERROR(INDEX('AJUSTES'!$B$4:$B$303,MATCH($AQ700,'AJUSTES'!$A$4:$A$303,0)),IF($K700="","",$K700)))</f>
        <v/>
      </c>
      <c r="N700" s="3">
        <f>IF($A700="","",IFERROR(INDEX('CAT_ESTADOS_ERP'!$B$4:$B$7,MATCH(IFERROR(INDEX('2_IMPORTAR_EJECUCION'!$C$9:$C$1208,MATCH($AQ700,'2_IMPORTAR_EJECUCION'!$J$9:$J$1208,0)),""),'CAT_ESTADOS_ERP'!$A$4:$A$7,0)),"Pendiente"))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J700="","",IFERROR(INDEX('CALENDARIO'!$C$15:$C$214,MATCH(TEXT($J700,"yyyy-mm-dd")&amp;"|"&amp;$V700&amp;"|"&amp;$W700,'CALENDARIO'!$G$15:$G$214,0)),IFERROR(INDEX('CALENDARIO'!$C$15:$C$214,MATCH(TEXT($J700,"yyyy-mm-dd")&amp;"|"&amp;$V700&amp;"|",'CALENDARIO'!$G$15:$G$214,0)),IFERROR(INDEX('CALENDARIO'!$C$15:$C$214,MATCH(TEXT($J700,"yyyy-mm-dd")&amp;"||",'CALENDARIO'!$G$15:$G$214,0)),INDEX(patronHabil,WEEKDAY($J700,2))))))</f>
        <v/>
      </c>
      <c r="T700" s="3">
        <f>IF($I700="","",IFERROR(INDEX('CAT_TIPOS_OT'!$C$4:$C$7,MATCH($I700,'CAT_TIPOS_OT'!$A$4:$A$7,0)),"sin_clasificar"))</f>
        <v/>
      </c>
      <c r="U700" s="3">
        <f>IF($F700="","",IFERROR(INDEX('CAT_CENTROS_COSTO'!$F$4:$F$13,MATCH($F700,'CAT_CENTROS_COSTO'!$A$4:$A$13,0)),"(sin catálogo)"))</f>
        <v/>
      </c>
      <c r="V700" s="3">
        <f>IF($F700="","",IFERROR(INDEX('CAT_CENTROS_COSTO'!$D$4:$D$13,MATCH($F700,'CAT_CENTROS_COSTO'!$A$4:$A$13,0)),"(sin catálogo)"))</f>
        <v/>
      </c>
      <c r="W700" s="3">
        <f>IF($F700="","",IF((IFERROR(INDEX('CAT_CENTROS_COSTO'!$E$4:$E$13,MATCH($F700,'CAT_CENTROS_COSTO'!$A$4:$A$13,0)),""))&lt;&gt;"",IFERROR(INDEX('CAT_CENTROS_COSTO'!$E$4:$E$13,MATCH($F700,'CAT_CENTROS_COSTO'!$A$4:$A$13,0)),""),$V700))</f>
        <v/>
      </c>
      <c r="X700" s="3">
        <f>IF($F700="","",IFERROR(INDEX('CAT_CENTROS_COSTO'!$G$4:$G$13,MATCH($F700,'CAT_CENTROS_COSTO'!$A$4:$A$13,0)),"(sin catálogo)"))</f>
        <v/>
      </c>
      <c r="Y700" s="3">
        <f>IF($G700="","",IFERROR(INDEX('CAT_PUESTOS'!$B$4:$B$8,MATCH($G700,'CAT_PUESTOS'!$A$4:$A$8,0)),"(sin catálogo)"))</f>
        <v/>
      </c>
      <c r="Z700" s="3">
        <f>IF($H700="","",IFERROR(INDEX('CAT_ACTIVIDADES'!$B$4:$B$8,MATCH($H700,'CAT_ACTIVIDADES'!$A$4:$A$8,0)),"(sin catálogo)"))</f>
        <v/>
      </c>
      <c r="AA700" s="12">
        <f>IF($J700="","",TODAY()-$J700)</f>
        <v/>
      </c>
      <c r="AB700" s="12">
        <f>IF($J700="","",IF($J700&lt;=TODAY(),COUNTIFS(cal_fechas,"&gt;="&amp;$J700,cal_fechas,"&lt;"&amp;TODAY(),cal_habil,"sí"),-COUNTIFS(cal_fechas,"&gt;="&amp;TODAY(),cal_fechas,"&lt;"&amp;$J700,cal_habil,"sí")))</f>
        <v/>
      </c>
      <c r="AC700" s="3">
        <f>IF($AB700="","",IF($AB700&lt;0,"FUTURO",IF($AB700&gt;p_dias_backlog_max,"BACKLOG","MES CORRIENTE")))</f>
        <v/>
      </c>
      <c r="AD700" s="3">
        <f>IF($AB700="",FALSE,AND($AB700&gt;p_dias_backlog_min,$AB700&lt;=p_dias_backlog_max))</f>
        <v/>
      </c>
      <c r="AE700" s="6" t="n"/>
      <c r="AF700" s="3">
        <f>IF($AE700="","",IF((IFERROR(INDEX('ASIGNACIONES'!$F$4:$F$339,MATCH($O700&amp;"|"&amp;$R700&amp;"|"&amp;$AE700,'ASIGNACIONES'!$J$4:$J$339,0)),""))=0,"",IFERROR(INDEX('ASIGNACIONES'!$F$4:$F$339,MATCH($O700&amp;"|"&amp;$R700&amp;"|"&amp;$AE700,'ASIGNACIONES'!$J$4:$J$339,0)),"")))</f>
        <v/>
      </c>
      <c r="AG700" s="13">
        <f>IF($AE700="","",SUMIFS('ORDENES'!$M$4:$M$1203,'ORDENES'!$AE$4:$AE$1203,$AE700,'ORDENES'!$O$4:$O$1203,$O700,'ORDENES'!$R$4:$R$1203,$R700))</f>
        <v/>
      </c>
      <c r="AH700" s="13">
        <f>IF($AG700="","",p_factor_productividad*IFERROR(INDEX('ASIGNACIONES'!$I$4:$I$339,MATCH($O700&amp;"|"&amp;$R700&amp;"|"&amp;$AE700,'ASIGNACIONES'!$J$4:$J$339,0)),0)-$AG700)</f>
        <v/>
      </c>
      <c r="AI700" s="10">
        <f>IF($A700="","",IFERROR(INDEX('2_IMPORTAR_EJECUCION'!$F$9:$F$1208,MATCH($AQ700,'2_IMPORTAR_EJECUCION'!$J$9:$J$1208,0)),0))</f>
        <v/>
      </c>
      <c r="AJ700" s="10">
        <f>IF($A700="","",MAX(0,IFERROR(INDEX('2_IMPORTAR_EJECUCION'!$H$9:$H$1208,MATCH($AQ700,'2_IMPORTAR_EJECUCION'!$J$9:$J$1208,0)),0)-$AI700))</f>
        <v/>
      </c>
      <c r="AK700" s="10">
        <f>IF($A700="","",$AI700+$AJ700)</f>
        <v/>
      </c>
      <c r="AL700" s="6" t="n"/>
      <c r="AM700" s="6" t="n"/>
      <c r="AN700" s="6" t="n"/>
      <c r="AO700" s="3">
        <f>IF($AN700="","",HYPERLINK(p_ruta_base_checklists&amp;$AN700,"abrir"))</f>
        <v/>
      </c>
      <c r="AP700" s="6" t="n"/>
      <c r="AQ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IF($A701="","",IFERROR(INDEX('AJUSTES'!$B$4:$B$303,MATCH($AQ701,'AJUSTES'!$A$4:$A$303,0)),IF($K701="","",$K701)))</f>
        <v/>
      </c>
      <c r="N701" s="3">
        <f>IF($A701="","",IFERROR(INDEX('CAT_ESTADOS_ERP'!$B$4:$B$7,MATCH(IFERROR(INDEX('2_IMPORTAR_EJECUCION'!$C$9:$C$1208,MATCH($AQ701,'2_IMPORTAR_EJECUCION'!$J$9:$J$1208,0)),""),'CAT_ESTADOS_ERP'!$A$4:$A$7,0)),"Pendiente"))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J701="","",IFERROR(INDEX('CALENDARIO'!$C$15:$C$214,MATCH(TEXT($J701,"yyyy-mm-dd")&amp;"|"&amp;$V701&amp;"|"&amp;$W701,'CALENDARIO'!$G$15:$G$214,0)),IFERROR(INDEX('CALENDARIO'!$C$15:$C$214,MATCH(TEXT($J701,"yyyy-mm-dd")&amp;"|"&amp;$V701&amp;"|",'CALENDARIO'!$G$15:$G$214,0)),IFERROR(INDEX('CALENDARIO'!$C$15:$C$214,MATCH(TEXT($J701,"yyyy-mm-dd")&amp;"||",'CALENDARIO'!$G$15:$G$214,0)),INDEX(patronHabil,WEEKDAY($J701,2))))))</f>
        <v/>
      </c>
      <c r="T701" s="3">
        <f>IF($I701="","",IFERROR(INDEX('CAT_TIPOS_OT'!$C$4:$C$7,MATCH($I701,'CAT_TIPOS_OT'!$A$4:$A$7,0)),"sin_clasificar"))</f>
        <v/>
      </c>
      <c r="U701" s="3">
        <f>IF($F701="","",IFERROR(INDEX('CAT_CENTROS_COSTO'!$F$4:$F$13,MATCH($F701,'CAT_CENTROS_COSTO'!$A$4:$A$13,0)),"(sin catálogo)"))</f>
        <v/>
      </c>
      <c r="V701" s="3">
        <f>IF($F701="","",IFERROR(INDEX('CAT_CENTROS_COSTO'!$D$4:$D$13,MATCH($F701,'CAT_CENTROS_COSTO'!$A$4:$A$13,0)),"(sin catálogo)"))</f>
        <v/>
      </c>
      <c r="W701" s="3">
        <f>IF($F701="","",IF((IFERROR(INDEX('CAT_CENTROS_COSTO'!$E$4:$E$13,MATCH($F701,'CAT_CENTROS_COSTO'!$A$4:$A$13,0)),""))&lt;&gt;"",IFERROR(INDEX('CAT_CENTROS_COSTO'!$E$4:$E$13,MATCH($F701,'CAT_CENTROS_COSTO'!$A$4:$A$13,0)),""),$V701))</f>
        <v/>
      </c>
      <c r="X701" s="3">
        <f>IF($F701="","",IFERROR(INDEX('CAT_CENTROS_COSTO'!$G$4:$G$13,MATCH($F701,'CAT_CENTROS_COSTO'!$A$4:$A$13,0)),"(sin catálogo)"))</f>
        <v/>
      </c>
      <c r="Y701" s="3">
        <f>IF($G701="","",IFERROR(INDEX('CAT_PUESTOS'!$B$4:$B$8,MATCH($G701,'CAT_PUESTOS'!$A$4:$A$8,0)),"(sin catálogo)"))</f>
        <v/>
      </c>
      <c r="Z701" s="3">
        <f>IF($H701="","",IFERROR(INDEX('CAT_ACTIVIDADES'!$B$4:$B$8,MATCH($H701,'CAT_ACTIVIDADES'!$A$4:$A$8,0)),"(sin catálogo)"))</f>
        <v/>
      </c>
      <c r="AA701" s="12">
        <f>IF($J701="","",TODAY()-$J701)</f>
        <v/>
      </c>
      <c r="AB701" s="12">
        <f>IF($J701="","",IF($J701&lt;=TODAY(),COUNTIFS(cal_fechas,"&gt;="&amp;$J701,cal_fechas,"&lt;"&amp;TODAY(),cal_habil,"sí"),-COUNTIFS(cal_fechas,"&gt;="&amp;TODAY(),cal_fechas,"&lt;"&amp;$J701,cal_habil,"sí")))</f>
        <v/>
      </c>
      <c r="AC701" s="3">
        <f>IF($AB701="","",IF($AB701&lt;0,"FUTURO",IF($AB701&gt;p_dias_backlog_max,"BACKLOG","MES CORRIENTE")))</f>
        <v/>
      </c>
      <c r="AD701" s="3">
        <f>IF($AB701="",FALSE,AND($AB701&gt;p_dias_backlog_min,$AB701&lt;=p_dias_backlog_max))</f>
        <v/>
      </c>
      <c r="AE701" s="6" t="n"/>
      <c r="AF701" s="3">
        <f>IF($AE701="","",IF((IFERROR(INDEX('ASIGNACIONES'!$F$4:$F$339,MATCH($O701&amp;"|"&amp;$R701&amp;"|"&amp;$AE701,'ASIGNACIONES'!$J$4:$J$339,0)),""))=0,"",IFERROR(INDEX('ASIGNACIONES'!$F$4:$F$339,MATCH($O701&amp;"|"&amp;$R701&amp;"|"&amp;$AE701,'ASIGNACIONES'!$J$4:$J$339,0)),"")))</f>
        <v/>
      </c>
      <c r="AG701" s="13">
        <f>IF($AE701="","",SUMIFS('ORDENES'!$M$4:$M$1203,'ORDENES'!$AE$4:$AE$1203,$AE701,'ORDENES'!$O$4:$O$1203,$O701,'ORDENES'!$R$4:$R$1203,$R701))</f>
        <v/>
      </c>
      <c r="AH701" s="13">
        <f>IF($AG701="","",p_factor_productividad*IFERROR(INDEX('ASIGNACIONES'!$I$4:$I$339,MATCH($O701&amp;"|"&amp;$R701&amp;"|"&amp;$AE701,'ASIGNACIONES'!$J$4:$J$339,0)),0)-$AG701)</f>
        <v/>
      </c>
      <c r="AI701" s="10">
        <f>IF($A701="","",IFERROR(INDEX('2_IMPORTAR_EJECUCION'!$F$9:$F$1208,MATCH($AQ701,'2_IMPORTAR_EJECUCION'!$J$9:$J$1208,0)),0))</f>
        <v/>
      </c>
      <c r="AJ701" s="10">
        <f>IF($A701="","",MAX(0,IFERROR(INDEX('2_IMPORTAR_EJECUCION'!$H$9:$H$1208,MATCH($AQ701,'2_IMPORTAR_EJECUCION'!$J$9:$J$1208,0)),0)-$AI701))</f>
        <v/>
      </c>
      <c r="AK701" s="10">
        <f>IF($A701="","",$AI701+$AJ701)</f>
        <v/>
      </c>
      <c r="AL701" s="6" t="n"/>
      <c r="AM701" s="6" t="n"/>
      <c r="AN701" s="6" t="n"/>
      <c r="AO701" s="3">
        <f>IF($AN701="","",HYPERLINK(p_ruta_base_checklists&amp;$AN701,"abrir"))</f>
        <v/>
      </c>
      <c r="AP701" s="6" t="n"/>
      <c r="AQ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IF($A702="","",IFERROR(INDEX('AJUSTES'!$B$4:$B$303,MATCH($AQ702,'AJUSTES'!$A$4:$A$303,0)),IF($K702="","",$K702)))</f>
        <v/>
      </c>
      <c r="N702" s="3">
        <f>IF($A702="","",IFERROR(INDEX('CAT_ESTADOS_ERP'!$B$4:$B$7,MATCH(IFERROR(INDEX('2_IMPORTAR_EJECUCION'!$C$9:$C$1208,MATCH($AQ702,'2_IMPORTAR_EJECUCION'!$J$9:$J$1208,0)),""),'CAT_ESTADOS_ERP'!$A$4:$A$7,0)),"Pendiente"))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J702="","",IFERROR(INDEX('CALENDARIO'!$C$15:$C$214,MATCH(TEXT($J702,"yyyy-mm-dd")&amp;"|"&amp;$V702&amp;"|"&amp;$W702,'CALENDARIO'!$G$15:$G$214,0)),IFERROR(INDEX('CALENDARIO'!$C$15:$C$214,MATCH(TEXT($J702,"yyyy-mm-dd")&amp;"|"&amp;$V702&amp;"|",'CALENDARIO'!$G$15:$G$214,0)),IFERROR(INDEX('CALENDARIO'!$C$15:$C$214,MATCH(TEXT($J702,"yyyy-mm-dd")&amp;"||",'CALENDARIO'!$G$15:$G$214,0)),INDEX(patronHabil,WEEKDAY($J702,2))))))</f>
        <v/>
      </c>
      <c r="T702" s="3">
        <f>IF($I702="","",IFERROR(INDEX('CAT_TIPOS_OT'!$C$4:$C$7,MATCH($I702,'CAT_TIPOS_OT'!$A$4:$A$7,0)),"sin_clasificar"))</f>
        <v/>
      </c>
      <c r="U702" s="3">
        <f>IF($F702="","",IFERROR(INDEX('CAT_CENTROS_COSTO'!$F$4:$F$13,MATCH($F702,'CAT_CENTROS_COSTO'!$A$4:$A$13,0)),"(sin catálogo)"))</f>
        <v/>
      </c>
      <c r="V702" s="3">
        <f>IF($F702="","",IFERROR(INDEX('CAT_CENTROS_COSTO'!$D$4:$D$13,MATCH($F702,'CAT_CENTROS_COSTO'!$A$4:$A$13,0)),"(sin catálogo)"))</f>
        <v/>
      </c>
      <c r="W702" s="3">
        <f>IF($F702="","",IF((IFERROR(INDEX('CAT_CENTROS_COSTO'!$E$4:$E$13,MATCH($F702,'CAT_CENTROS_COSTO'!$A$4:$A$13,0)),""))&lt;&gt;"",IFERROR(INDEX('CAT_CENTROS_COSTO'!$E$4:$E$13,MATCH($F702,'CAT_CENTROS_COSTO'!$A$4:$A$13,0)),""),$V702))</f>
        <v/>
      </c>
      <c r="X702" s="3">
        <f>IF($F702="","",IFERROR(INDEX('CAT_CENTROS_COSTO'!$G$4:$G$13,MATCH($F702,'CAT_CENTROS_COSTO'!$A$4:$A$13,0)),"(sin catálogo)"))</f>
        <v/>
      </c>
      <c r="Y702" s="3">
        <f>IF($G702="","",IFERROR(INDEX('CAT_PUESTOS'!$B$4:$B$8,MATCH($G702,'CAT_PUESTOS'!$A$4:$A$8,0)),"(sin catálogo)"))</f>
        <v/>
      </c>
      <c r="Z702" s="3">
        <f>IF($H702="","",IFERROR(INDEX('CAT_ACTIVIDADES'!$B$4:$B$8,MATCH($H702,'CAT_ACTIVIDADES'!$A$4:$A$8,0)),"(sin catálogo)"))</f>
        <v/>
      </c>
      <c r="AA702" s="12">
        <f>IF($J702="","",TODAY()-$J702)</f>
        <v/>
      </c>
      <c r="AB702" s="12">
        <f>IF($J702="","",IF($J702&lt;=TODAY(),COUNTIFS(cal_fechas,"&gt;="&amp;$J702,cal_fechas,"&lt;"&amp;TODAY(),cal_habil,"sí"),-COUNTIFS(cal_fechas,"&gt;="&amp;TODAY(),cal_fechas,"&lt;"&amp;$J702,cal_habil,"sí")))</f>
        <v/>
      </c>
      <c r="AC702" s="3">
        <f>IF($AB702="","",IF($AB702&lt;0,"FUTURO",IF($AB702&gt;p_dias_backlog_max,"BACKLOG","MES CORRIENTE")))</f>
        <v/>
      </c>
      <c r="AD702" s="3">
        <f>IF($AB702="",FALSE,AND($AB702&gt;p_dias_backlog_min,$AB702&lt;=p_dias_backlog_max))</f>
        <v/>
      </c>
      <c r="AE702" s="6" t="n"/>
      <c r="AF702" s="3">
        <f>IF($AE702="","",IF((IFERROR(INDEX('ASIGNACIONES'!$F$4:$F$339,MATCH($O702&amp;"|"&amp;$R702&amp;"|"&amp;$AE702,'ASIGNACIONES'!$J$4:$J$339,0)),""))=0,"",IFERROR(INDEX('ASIGNACIONES'!$F$4:$F$339,MATCH($O702&amp;"|"&amp;$R702&amp;"|"&amp;$AE702,'ASIGNACIONES'!$J$4:$J$339,0)),"")))</f>
        <v/>
      </c>
      <c r="AG702" s="13">
        <f>IF($AE702="","",SUMIFS('ORDENES'!$M$4:$M$1203,'ORDENES'!$AE$4:$AE$1203,$AE702,'ORDENES'!$O$4:$O$1203,$O702,'ORDENES'!$R$4:$R$1203,$R702))</f>
        <v/>
      </c>
      <c r="AH702" s="13">
        <f>IF($AG702="","",p_factor_productividad*IFERROR(INDEX('ASIGNACIONES'!$I$4:$I$339,MATCH($O702&amp;"|"&amp;$R702&amp;"|"&amp;$AE702,'ASIGNACIONES'!$J$4:$J$339,0)),0)-$AG702)</f>
        <v/>
      </c>
      <c r="AI702" s="10">
        <f>IF($A702="","",IFERROR(INDEX('2_IMPORTAR_EJECUCION'!$F$9:$F$1208,MATCH($AQ702,'2_IMPORTAR_EJECUCION'!$J$9:$J$1208,0)),0))</f>
        <v/>
      </c>
      <c r="AJ702" s="10">
        <f>IF($A702="","",MAX(0,IFERROR(INDEX('2_IMPORTAR_EJECUCION'!$H$9:$H$1208,MATCH($AQ702,'2_IMPORTAR_EJECUCION'!$J$9:$J$1208,0)),0)-$AI702))</f>
        <v/>
      </c>
      <c r="AK702" s="10">
        <f>IF($A702="","",$AI702+$AJ702)</f>
        <v/>
      </c>
      <c r="AL702" s="6" t="n"/>
      <c r="AM702" s="6" t="n"/>
      <c r="AN702" s="6" t="n"/>
      <c r="AO702" s="3">
        <f>IF($AN702="","",HYPERLINK(p_ruta_base_checklists&amp;$AN702,"abrir"))</f>
        <v/>
      </c>
      <c r="AP702" s="6" t="n"/>
      <c r="AQ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IF($A703="","",IFERROR(INDEX('AJUSTES'!$B$4:$B$303,MATCH($AQ703,'AJUSTES'!$A$4:$A$303,0)),IF($K703="","",$K703)))</f>
        <v/>
      </c>
      <c r="N703" s="3">
        <f>IF($A703="","",IFERROR(INDEX('CAT_ESTADOS_ERP'!$B$4:$B$7,MATCH(IFERROR(INDEX('2_IMPORTAR_EJECUCION'!$C$9:$C$1208,MATCH($AQ703,'2_IMPORTAR_EJECUCION'!$J$9:$J$1208,0)),""),'CAT_ESTADOS_ERP'!$A$4:$A$7,0)),"Pendiente"))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J703="","",IFERROR(INDEX('CALENDARIO'!$C$15:$C$214,MATCH(TEXT($J703,"yyyy-mm-dd")&amp;"|"&amp;$V703&amp;"|"&amp;$W703,'CALENDARIO'!$G$15:$G$214,0)),IFERROR(INDEX('CALENDARIO'!$C$15:$C$214,MATCH(TEXT($J703,"yyyy-mm-dd")&amp;"|"&amp;$V703&amp;"|",'CALENDARIO'!$G$15:$G$214,0)),IFERROR(INDEX('CALENDARIO'!$C$15:$C$214,MATCH(TEXT($J703,"yyyy-mm-dd")&amp;"||",'CALENDARIO'!$G$15:$G$214,0)),INDEX(patronHabil,WEEKDAY($J703,2))))))</f>
        <v/>
      </c>
      <c r="T703" s="3">
        <f>IF($I703="","",IFERROR(INDEX('CAT_TIPOS_OT'!$C$4:$C$7,MATCH($I703,'CAT_TIPOS_OT'!$A$4:$A$7,0)),"sin_clasificar"))</f>
        <v/>
      </c>
      <c r="U703" s="3">
        <f>IF($F703="","",IFERROR(INDEX('CAT_CENTROS_COSTO'!$F$4:$F$13,MATCH($F703,'CAT_CENTROS_COSTO'!$A$4:$A$13,0)),"(sin catálogo)"))</f>
        <v/>
      </c>
      <c r="V703" s="3">
        <f>IF($F703="","",IFERROR(INDEX('CAT_CENTROS_COSTO'!$D$4:$D$13,MATCH($F703,'CAT_CENTROS_COSTO'!$A$4:$A$13,0)),"(sin catálogo)"))</f>
        <v/>
      </c>
      <c r="W703" s="3">
        <f>IF($F703="","",IF((IFERROR(INDEX('CAT_CENTROS_COSTO'!$E$4:$E$13,MATCH($F703,'CAT_CENTROS_COSTO'!$A$4:$A$13,0)),""))&lt;&gt;"",IFERROR(INDEX('CAT_CENTROS_COSTO'!$E$4:$E$13,MATCH($F703,'CAT_CENTROS_COSTO'!$A$4:$A$13,0)),""),$V703))</f>
        <v/>
      </c>
      <c r="X703" s="3">
        <f>IF($F703="","",IFERROR(INDEX('CAT_CENTROS_COSTO'!$G$4:$G$13,MATCH($F703,'CAT_CENTROS_COSTO'!$A$4:$A$13,0)),"(sin catálogo)"))</f>
        <v/>
      </c>
      <c r="Y703" s="3">
        <f>IF($G703="","",IFERROR(INDEX('CAT_PUESTOS'!$B$4:$B$8,MATCH($G703,'CAT_PUESTOS'!$A$4:$A$8,0)),"(sin catálogo)"))</f>
        <v/>
      </c>
      <c r="Z703" s="3">
        <f>IF($H703="","",IFERROR(INDEX('CAT_ACTIVIDADES'!$B$4:$B$8,MATCH($H703,'CAT_ACTIVIDADES'!$A$4:$A$8,0)),"(sin catálogo)"))</f>
        <v/>
      </c>
      <c r="AA703" s="12">
        <f>IF($J703="","",TODAY()-$J703)</f>
        <v/>
      </c>
      <c r="AB703" s="12">
        <f>IF($J703="","",IF($J703&lt;=TODAY(),COUNTIFS(cal_fechas,"&gt;="&amp;$J703,cal_fechas,"&lt;"&amp;TODAY(),cal_habil,"sí"),-COUNTIFS(cal_fechas,"&gt;="&amp;TODAY(),cal_fechas,"&lt;"&amp;$J703,cal_habil,"sí")))</f>
        <v/>
      </c>
      <c r="AC703" s="3">
        <f>IF($AB703="","",IF($AB703&lt;0,"FUTURO",IF($AB703&gt;p_dias_backlog_max,"BACKLOG","MES CORRIENTE")))</f>
        <v/>
      </c>
      <c r="AD703" s="3">
        <f>IF($AB703="",FALSE,AND($AB703&gt;p_dias_backlog_min,$AB703&lt;=p_dias_backlog_max))</f>
        <v/>
      </c>
      <c r="AE703" s="6" t="n"/>
      <c r="AF703" s="3">
        <f>IF($AE703="","",IF((IFERROR(INDEX('ASIGNACIONES'!$F$4:$F$339,MATCH($O703&amp;"|"&amp;$R703&amp;"|"&amp;$AE703,'ASIGNACIONES'!$J$4:$J$339,0)),""))=0,"",IFERROR(INDEX('ASIGNACIONES'!$F$4:$F$339,MATCH($O703&amp;"|"&amp;$R703&amp;"|"&amp;$AE703,'ASIGNACIONES'!$J$4:$J$339,0)),"")))</f>
        <v/>
      </c>
      <c r="AG703" s="13">
        <f>IF($AE703="","",SUMIFS('ORDENES'!$M$4:$M$1203,'ORDENES'!$AE$4:$AE$1203,$AE703,'ORDENES'!$O$4:$O$1203,$O703,'ORDENES'!$R$4:$R$1203,$R703))</f>
        <v/>
      </c>
      <c r="AH703" s="13">
        <f>IF($AG703="","",p_factor_productividad*IFERROR(INDEX('ASIGNACIONES'!$I$4:$I$339,MATCH($O703&amp;"|"&amp;$R703&amp;"|"&amp;$AE703,'ASIGNACIONES'!$J$4:$J$339,0)),0)-$AG703)</f>
        <v/>
      </c>
      <c r="AI703" s="10">
        <f>IF($A703="","",IFERROR(INDEX('2_IMPORTAR_EJECUCION'!$F$9:$F$1208,MATCH($AQ703,'2_IMPORTAR_EJECUCION'!$J$9:$J$1208,0)),0))</f>
        <v/>
      </c>
      <c r="AJ703" s="10">
        <f>IF($A703="","",MAX(0,IFERROR(INDEX('2_IMPORTAR_EJECUCION'!$H$9:$H$1208,MATCH($AQ703,'2_IMPORTAR_EJECUCION'!$J$9:$J$1208,0)),0)-$AI703))</f>
        <v/>
      </c>
      <c r="AK703" s="10">
        <f>IF($A703="","",$AI703+$AJ703)</f>
        <v/>
      </c>
      <c r="AL703" s="6" t="n"/>
      <c r="AM703" s="6" t="n"/>
      <c r="AN703" s="6" t="n"/>
      <c r="AO703" s="3">
        <f>IF($AN703="","",HYPERLINK(p_ruta_base_checklists&amp;$AN703,"abrir"))</f>
        <v/>
      </c>
      <c r="AP703" s="6" t="n"/>
      <c r="AQ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IF($A704="","",IFERROR(INDEX('AJUSTES'!$B$4:$B$303,MATCH($AQ704,'AJUSTES'!$A$4:$A$303,0)),IF($K704="","",$K704)))</f>
        <v/>
      </c>
      <c r="N704" s="3">
        <f>IF($A704="","",IFERROR(INDEX('CAT_ESTADOS_ERP'!$B$4:$B$7,MATCH(IFERROR(INDEX('2_IMPORTAR_EJECUCION'!$C$9:$C$1208,MATCH($AQ704,'2_IMPORTAR_EJECUCION'!$J$9:$J$1208,0)),""),'CAT_ESTADOS_ERP'!$A$4:$A$7,0)),"Pendiente"))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J704="","",IFERROR(INDEX('CALENDARIO'!$C$15:$C$214,MATCH(TEXT($J704,"yyyy-mm-dd")&amp;"|"&amp;$V704&amp;"|"&amp;$W704,'CALENDARIO'!$G$15:$G$214,0)),IFERROR(INDEX('CALENDARIO'!$C$15:$C$214,MATCH(TEXT($J704,"yyyy-mm-dd")&amp;"|"&amp;$V704&amp;"|",'CALENDARIO'!$G$15:$G$214,0)),IFERROR(INDEX('CALENDARIO'!$C$15:$C$214,MATCH(TEXT($J704,"yyyy-mm-dd")&amp;"||",'CALENDARIO'!$G$15:$G$214,0)),INDEX(patronHabil,WEEKDAY($J704,2))))))</f>
        <v/>
      </c>
      <c r="T704" s="3">
        <f>IF($I704="","",IFERROR(INDEX('CAT_TIPOS_OT'!$C$4:$C$7,MATCH($I704,'CAT_TIPOS_OT'!$A$4:$A$7,0)),"sin_clasificar"))</f>
        <v/>
      </c>
      <c r="U704" s="3">
        <f>IF($F704="","",IFERROR(INDEX('CAT_CENTROS_COSTO'!$F$4:$F$13,MATCH($F704,'CAT_CENTROS_COSTO'!$A$4:$A$13,0)),"(sin catálogo)"))</f>
        <v/>
      </c>
      <c r="V704" s="3">
        <f>IF($F704="","",IFERROR(INDEX('CAT_CENTROS_COSTO'!$D$4:$D$13,MATCH($F704,'CAT_CENTROS_COSTO'!$A$4:$A$13,0)),"(sin catálogo)"))</f>
        <v/>
      </c>
      <c r="W704" s="3">
        <f>IF($F704="","",IF((IFERROR(INDEX('CAT_CENTROS_COSTO'!$E$4:$E$13,MATCH($F704,'CAT_CENTROS_COSTO'!$A$4:$A$13,0)),""))&lt;&gt;"",IFERROR(INDEX('CAT_CENTROS_COSTO'!$E$4:$E$13,MATCH($F704,'CAT_CENTROS_COSTO'!$A$4:$A$13,0)),""),$V704))</f>
        <v/>
      </c>
      <c r="X704" s="3">
        <f>IF($F704="","",IFERROR(INDEX('CAT_CENTROS_COSTO'!$G$4:$G$13,MATCH($F704,'CAT_CENTROS_COSTO'!$A$4:$A$13,0)),"(sin catálogo)"))</f>
        <v/>
      </c>
      <c r="Y704" s="3">
        <f>IF($G704="","",IFERROR(INDEX('CAT_PUESTOS'!$B$4:$B$8,MATCH($G704,'CAT_PUESTOS'!$A$4:$A$8,0)),"(sin catálogo)"))</f>
        <v/>
      </c>
      <c r="Z704" s="3">
        <f>IF($H704="","",IFERROR(INDEX('CAT_ACTIVIDADES'!$B$4:$B$8,MATCH($H704,'CAT_ACTIVIDADES'!$A$4:$A$8,0)),"(sin catálogo)"))</f>
        <v/>
      </c>
      <c r="AA704" s="12">
        <f>IF($J704="","",TODAY()-$J704)</f>
        <v/>
      </c>
      <c r="AB704" s="12">
        <f>IF($J704="","",IF($J704&lt;=TODAY(),COUNTIFS(cal_fechas,"&gt;="&amp;$J704,cal_fechas,"&lt;"&amp;TODAY(),cal_habil,"sí"),-COUNTIFS(cal_fechas,"&gt;="&amp;TODAY(),cal_fechas,"&lt;"&amp;$J704,cal_habil,"sí")))</f>
        <v/>
      </c>
      <c r="AC704" s="3">
        <f>IF($AB704="","",IF($AB704&lt;0,"FUTURO",IF($AB704&gt;p_dias_backlog_max,"BACKLOG","MES CORRIENTE")))</f>
        <v/>
      </c>
      <c r="AD704" s="3">
        <f>IF($AB704="",FALSE,AND($AB704&gt;p_dias_backlog_min,$AB704&lt;=p_dias_backlog_max))</f>
        <v/>
      </c>
      <c r="AE704" s="6" t="n"/>
      <c r="AF704" s="3">
        <f>IF($AE704="","",IF((IFERROR(INDEX('ASIGNACIONES'!$F$4:$F$339,MATCH($O704&amp;"|"&amp;$R704&amp;"|"&amp;$AE704,'ASIGNACIONES'!$J$4:$J$339,0)),""))=0,"",IFERROR(INDEX('ASIGNACIONES'!$F$4:$F$339,MATCH($O704&amp;"|"&amp;$R704&amp;"|"&amp;$AE704,'ASIGNACIONES'!$J$4:$J$339,0)),"")))</f>
        <v/>
      </c>
      <c r="AG704" s="13">
        <f>IF($AE704="","",SUMIFS('ORDENES'!$M$4:$M$1203,'ORDENES'!$AE$4:$AE$1203,$AE704,'ORDENES'!$O$4:$O$1203,$O704,'ORDENES'!$R$4:$R$1203,$R704))</f>
        <v/>
      </c>
      <c r="AH704" s="13">
        <f>IF($AG704="","",p_factor_productividad*IFERROR(INDEX('ASIGNACIONES'!$I$4:$I$339,MATCH($O704&amp;"|"&amp;$R704&amp;"|"&amp;$AE704,'ASIGNACIONES'!$J$4:$J$339,0)),0)-$AG704)</f>
        <v/>
      </c>
      <c r="AI704" s="10">
        <f>IF($A704="","",IFERROR(INDEX('2_IMPORTAR_EJECUCION'!$F$9:$F$1208,MATCH($AQ704,'2_IMPORTAR_EJECUCION'!$J$9:$J$1208,0)),0))</f>
        <v/>
      </c>
      <c r="AJ704" s="10">
        <f>IF($A704="","",MAX(0,IFERROR(INDEX('2_IMPORTAR_EJECUCION'!$H$9:$H$1208,MATCH($AQ704,'2_IMPORTAR_EJECUCION'!$J$9:$J$1208,0)),0)-$AI704))</f>
        <v/>
      </c>
      <c r="AK704" s="10">
        <f>IF($A704="","",$AI704+$AJ704)</f>
        <v/>
      </c>
      <c r="AL704" s="6" t="n"/>
      <c r="AM704" s="6" t="n"/>
      <c r="AN704" s="6" t="n"/>
      <c r="AO704" s="3">
        <f>IF($AN704="","",HYPERLINK(p_ruta_base_checklists&amp;$AN704,"abrir"))</f>
        <v/>
      </c>
      <c r="AP704" s="6" t="n"/>
      <c r="AQ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IF($A705="","",IFERROR(INDEX('AJUSTES'!$B$4:$B$303,MATCH($AQ705,'AJUSTES'!$A$4:$A$303,0)),IF($K705="","",$K705)))</f>
        <v/>
      </c>
      <c r="N705" s="3">
        <f>IF($A705="","",IFERROR(INDEX('CAT_ESTADOS_ERP'!$B$4:$B$7,MATCH(IFERROR(INDEX('2_IMPORTAR_EJECUCION'!$C$9:$C$1208,MATCH($AQ705,'2_IMPORTAR_EJECUCION'!$J$9:$J$1208,0)),""),'CAT_ESTADOS_ERP'!$A$4:$A$7,0)),"Pendiente"))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J705="","",IFERROR(INDEX('CALENDARIO'!$C$15:$C$214,MATCH(TEXT($J705,"yyyy-mm-dd")&amp;"|"&amp;$V705&amp;"|"&amp;$W705,'CALENDARIO'!$G$15:$G$214,0)),IFERROR(INDEX('CALENDARIO'!$C$15:$C$214,MATCH(TEXT($J705,"yyyy-mm-dd")&amp;"|"&amp;$V705&amp;"|",'CALENDARIO'!$G$15:$G$214,0)),IFERROR(INDEX('CALENDARIO'!$C$15:$C$214,MATCH(TEXT($J705,"yyyy-mm-dd")&amp;"||",'CALENDARIO'!$G$15:$G$214,0)),INDEX(patronHabil,WEEKDAY($J705,2))))))</f>
        <v/>
      </c>
      <c r="T705" s="3">
        <f>IF($I705="","",IFERROR(INDEX('CAT_TIPOS_OT'!$C$4:$C$7,MATCH($I705,'CAT_TIPOS_OT'!$A$4:$A$7,0)),"sin_clasificar"))</f>
        <v/>
      </c>
      <c r="U705" s="3">
        <f>IF($F705="","",IFERROR(INDEX('CAT_CENTROS_COSTO'!$F$4:$F$13,MATCH($F705,'CAT_CENTROS_COSTO'!$A$4:$A$13,0)),"(sin catálogo)"))</f>
        <v/>
      </c>
      <c r="V705" s="3">
        <f>IF($F705="","",IFERROR(INDEX('CAT_CENTROS_COSTO'!$D$4:$D$13,MATCH($F705,'CAT_CENTROS_COSTO'!$A$4:$A$13,0)),"(sin catálogo)"))</f>
        <v/>
      </c>
      <c r="W705" s="3">
        <f>IF($F705="","",IF((IFERROR(INDEX('CAT_CENTROS_COSTO'!$E$4:$E$13,MATCH($F705,'CAT_CENTROS_COSTO'!$A$4:$A$13,0)),""))&lt;&gt;"",IFERROR(INDEX('CAT_CENTROS_COSTO'!$E$4:$E$13,MATCH($F705,'CAT_CENTROS_COSTO'!$A$4:$A$13,0)),""),$V705))</f>
        <v/>
      </c>
      <c r="X705" s="3">
        <f>IF($F705="","",IFERROR(INDEX('CAT_CENTROS_COSTO'!$G$4:$G$13,MATCH($F705,'CAT_CENTROS_COSTO'!$A$4:$A$13,0)),"(sin catálogo)"))</f>
        <v/>
      </c>
      <c r="Y705" s="3">
        <f>IF($G705="","",IFERROR(INDEX('CAT_PUESTOS'!$B$4:$B$8,MATCH($G705,'CAT_PUESTOS'!$A$4:$A$8,0)),"(sin catálogo)"))</f>
        <v/>
      </c>
      <c r="Z705" s="3">
        <f>IF($H705="","",IFERROR(INDEX('CAT_ACTIVIDADES'!$B$4:$B$8,MATCH($H705,'CAT_ACTIVIDADES'!$A$4:$A$8,0)),"(sin catálogo)"))</f>
        <v/>
      </c>
      <c r="AA705" s="12">
        <f>IF($J705="","",TODAY()-$J705)</f>
        <v/>
      </c>
      <c r="AB705" s="12">
        <f>IF($J705="","",IF($J705&lt;=TODAY(),COUNTIFS(cal_fechas,"&gt;="&amp;$J705,cal_fechas,"&lt;"&amp;TODAY(),cal_habil,"sí"),-COUNTIFS(cal_fechas,"&gt;="&amp;TODAY(),cal_fechas,"&lt;"&amp;$J705,cal_habil,"sí")))</f>
        <v/>
      </c>
      <c r="AC705" s="3">
        <f>IF($AB705="","",IF($AB705&lt;0,"FUTURO",IF($AB705&gt;p_dias_backlog_max,"BACKLOG","MES CORRIENTE")))</f>
        <v/>
      </c>
      <c r="AD705" s="3">
        <f>IF($AB705="",FALSE,AND($AB705&gt;p_dias_backlog_min,$AB705&lt;=p_dias_backlog_max))</f>
        <v/>
      </c>
      <c r="AE705" s="6" t="n"/>
      <c r="AF705" s="3">
        <f>IF($AE705="","",IF((IFERROR(INDEX('ASIGNACIONES'!$F$4:$F$339,MATCH($O705&amp;"|"&amp;$R705&amp;"|"&amp;$AE705,'ASIGNACIONES'!$J$4:$J$339,0)),""))=0,"",IFERROR(INDEX('ASIGNACIONES'!$F$4:$F$339,MATCH($O705&amp;"|"&amp;$R705&amp;"|"&amp;$AE705,'ASIGNACIONES'!$J$4:$J$339,0)),"")))</f>
        <v/>
      </c>
      <c r="AG705" s="13">
        <f>IF($AE705="","",SUMIFS('ORDENES'!$M$4:$M$1203,'ORDENES'!$AE$4:$AE$1203,$AE705,'ORDENES'!$O$4:$O$1203,$O705,'ORDENES'!$R$4:$R$1203,$R705))</f>
        <v/>
      </c>
      <c r="AH705" s="13">
        <f>IF($AG705="","",p_factor_productividad*IFERROR(INDEX('ASIGNACIONES'!$I$4:$I$339,MATCH($O705&amp;"|"&amp;$R705&amp;"|"&amp;$AE705,'ASIGNACIONES'!$J$4:$J$339,0)),0)-$AG705)</f>
        <v/>
      </c>
      <c r="AI705" s="10">
        <f>IF($A705="","",IFERROR(INDEX('2_IMPORTAR_EJECUCION'!$F$9:$F$1208,MATCH($AQ705,'2_IMPORTAR_EJECUCION'!$J$9:$J$1208,0)),0))</f>
        <v/>
      </c>
      <c r="AJ705" s="10">
        <f>IF($A705="","",MAX(0,IFERROR(INDEX('2_IMPORTAR_EJECUCION'!$H$9:$H$1208,MATCH($AQ705,'2_IMPORTAR_EJECUCION'!$J$9:$J$1208,0)),0)-$AI705))</f>
        <v/>
      </c>
      <c r="AK705" s="10">
        <f>IF($A705="","",$AI705+$AJ705)</f>
        <v/>
      </c>
      <c r="AL705" s="6" t="n"/>
      <c r="AM705" s="6" t="n"/>
      <c r="AN705" s="6" t="n"/>
      <c r="AO705" s="3">
        <f>IF($AN705="","",HYPERLINK(p_ruta_base_checklists&amp;$AN705,"abrir"))</f>
        <v/>
      </c>
      <c r="AP705" s="6" t="n"/>
      <c r="AQ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IF($A706="","",IFERROR(INDEX('AJUSTES'!$B$4:$B$303,MATCH($AQ706,'AJUSTES'!$A$4:$A$303,0)),IF($K706="","",$K706)))</f>
        <v/>
      </c>
      <c r="N706" s="3">
        <f>IF($A706="","",IFERROR(INDEX('CAT_ESTADOS_ERP'!$B$4:$B$7,MATCH(IFERROR(INDEX('2_IMPORTAR_EJECUCION'!$C$9:$C$1208,MATCH($AQ706,'2_IMPORTAR_EJECUCION'!$J$9:$J$1208,0)),""),'CAT_ESTADOS_ERP'!$A$4:$A$7,0)),"Pendiente"))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J706="","",IFERROR(INDEX('CALENDARIO'!$C$15:$C$214,MATCH(TEXT($J706,"yyyy-mm-dd")&amp;"|"&amp;$V706&amp;"|"&amp;$W706,'CALENDARIO'!$G$15:$G$214,0)),IFERROR(INDEX('CALENDARIO'!$C$15:$C$214,MATCH(TEXT($J706,"yyyy-mm-dd")&amp;"|"&amp;$V706&amp;"|",'CALENDARIO'!$G$15:$G$214,0)),IFERROR(INDEX('CALENDARIO'!$C$15:$C$214,MATCH(TEXT($J706,"yyyy-mm-dd")&amp;"||",'CALENDARIO'!$G$15:$G$214,0)),INDEX(patronHabil,WEEKDAY($J706,2))))))</f>
        <v/>
      </c>
      <c r="T706" s="3">
        <f>IF($I706="","",IFERROR(INDEX('CAT_TIPOS_OT'!$C$4:$C$7,MATCH($I706,'CAT_TIPOS_OT'!$A$4:$A$7,0)),"sin_clasificar"))</f>
        <v/>
      </c>
      <c r="U706" s="3">
        <f>IF($F706="","",IFERROR(INDEX('CAT_CENTROS_COSTO'!$F$4:$F$13,MATCH($F706,'CAT_CENTROS_COSTO'!$A$4:$A$13,0)),"(sin catálogo)"))</f>
        <v/>
      </c>
      <c r="V706" s="3">
        <f>IF($F706="","",IFERROR(INDEX('CAT_CENTROS_COSTO'!$D$4:$D$13,MATCH($F706,'CAT_CENTROS_COSTO'!$A$4:$A$13,0)),"(sin catálogo)"))</f>
        <v/>
      </c>
      <c r="W706" s="3">
        <f>IF($F706="","",IF((IFERROR(INDEX('CAT_CENTROS_COSTO'!$E$4:$E$13,MATCH($F706,'CAT_CENTROS_COSTO'!$A$4:$A$13,0)),""))&lt;&gt;"",IFERROR(INDEX('CAT_CENTROS_COSTO'!$E$4:$E$13,MATCH($F706,'CAT_CENTROS_COSTO'!$A$4:$A$13,0)),""),$V706))</f>
        <v/>
      </c>
      <c r="X706" s="3">
        <f>IF($F706="","",IFERROR(INDEX('CAT_CENTROS_COSTO'!$G$4:$G$13,MATCH($F706,'CAT_CENTROS_COSTO'!$A$4:$A$13,0)),"(sin catálogo)"))</f>
        <v/>
      </c>
      <c r="Y706" s="3">
        <f>IF($G706="","",IFERROR(INDEX('CAT_PUESTOS'!$B$4:$B$8,MATCH($G706,'CAT_PUESTOS'!$A$4:$A$8,0)),"(sin catálogo)"))</f>
        <v/>
      </c>
      <c r="Z706" s="3">
        <f>IF($H706="","",IFERROR(INDEX('CAT_ACTIVIDADES'!$B$4:$B$8,MATCH($H706,'CAT_ACTIVIDADES'!$A$4:$A$8,0)),"(sin catálogo)"))</f>
        <v/>
      </c>
      <c r="AA706" s="12">
        <f>IF($J706="","",TODAY()-$J706)</f>
        <v/>
      </c>
      <c r="AB706" s="12">
        <f>IF($J706="","",IF($J706&lt;=TODAY(),COUNTIFS(cal_fechas,"&gt;="&amp;$J706,cal_fechas,"&lt;"&amp;TODAY(),cal_habil,"sí"),-COUNTIFS(cal_fechas,"&gt;="&amp;TODAY(),cal_fechas,"&lt;"&amp;$J706,cal_habil,"sí")))</f>
        <v/>
      </c>
      <c r="AC706" s="3">
        <f>IF($AB706="","",IF($AB706&lt;0,"FUTURO",IF($AB706&gt;p_dias_backlog_max,"BACKLOG","MES CORRIENTE")))</f>
        <v/>
      </c>
      <c r="AD706" s="3">
        <f>IF($AB706="",FALSE,AND($AB706&gt;p_dias_backlog_min,$AB706&lt;=p_dias_backlog_max))</f>
        <v/>
      </c>
      <c r="AE706" s="6" t="n"/>
      <c r="AF706" s="3">
        <f>IF($AE706="","",IF((IFERROR(INDEX('ASIGNACIONES'!$F$4:$F$339,MATCH($O706&amp;"|"&amp;$R706&amp;"|"&amp;$AE706,'ASIGNACIONES'!$J$4:$J$339,0)),""))=0,"",IFERROR(INDEX('ASIGNACIONES'!$F$4:$F$339,MATCH($O706&amp;"|"&amp;$R706&amp;"|"&amp;$AE706,'ASIGNACIONES'!$J$4:$J$339,0)),"")))</f>
        <v/>
      </c>
      <c r="AG706" s="13">
        <f>IF($AE706="","",SUMIFS('ORDENES'!$M$4:$M$1203,'ORDENES'!$AE$4:$AE$1203,$AE706,'ORDENES'!$O$4:$O$1203,$O706,'ORDENES'!$R$4:$R$1203,$R706))</f>
        <v/>
      </c>
      <c r="AH706" s="13">
        <f>IF($AG706="","",p_factor_productividad*IFERROR(INDEX('ASIGNACIONES'!$I$4:$I$339,MATCH($O706&amp;"|"&amp;$R706&amp;"|"&amp;$AE706,'ASIGNACIONES'!$J$4:$J$339,0)),0)-$AG706)</f>
        <v/>
      </c>
      <c r="AI706" s="10">
        <f>IF($A706="","",IFERROR(INDEX('2_IMPORTAR_EJECUCION'!$F$9:$F$1208,MATCH($AQ706,'2_IMPORTAR_EJECUCION'!$J$9:$J$1208,0)),0))</f>
        <v/>
      </c>
      <c r="AJ706" s="10">
        <f>IF($A706="","",MAX(0,IFERROR(INDEX('2_IMPORTAR_EJECUCION'!$H$9:$H$1208,MATCH($AQ706,'2_IMPORTAR_EJECUCION'!$J$9:$J$1208,0)),0)-$AI706))</f>
        <v/>
      </c>
      <c r="AK706" s="10">
        <f>IF($A706="","",$AI706+$AJ706)</f>
        <v/>
      </c>
      <c r="AL706" s="6" t="n"/>
      <c r="AM706" s="6" t="n"/>
      <c r="AN706" s="6" t="n"/>
      <c r="AO706" s="3">
        <f>IF($AN706="","",HYPERLINK(p_ruta_base_checklists&amp;$AN706,"abrir"))</f>
        <v/>
      </c>
      <c r="AP706" s="6" t="n"/>
      <c r="AQ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IF($A707="","",IFERROR(INDEX('AJUSTES'!$B$4:$B$303,MATCH($AQ707,'AJUSTES'!$A$4:$A$303,0)),IF($K707="","",$K707)))</f>
        <v/>
      </c>
      <c r="N707" s="3">
        <f>IF($A707="","",IFERROR(INDEX('CAT_ESTADOS_ERP'!$B$4:$B$7,MATCH(IFERROR(INDEX('2_IMPORTAR_EJECUCION'!$C$9:$C$1208,MATCH($AQ707,'2_IMPORTAR_EJECUCION'!$J$9:$J$1208,0)),""),'CAT_ESTADOS_ERP'!$A$4:$A$7,0)),"Pendiente"))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J707="","",IFERROR(INDEX('CALENDARIO'!$C$15:$C$214,MATCH(TEXT($J707,"yyyy-mm-dd")&amp;"|"&amp;$V707&amp;"|"&amp;$W707,'CALENDARIO'!$G$15:$G$214,0)),IFERROR(INDEX('CALENDARIO'!$C$15:$C$214,MATCH(TEXT($J707,"yyyy-mm-dd")&amp;"|"&amp;$V707&amp;"|",'CALENDARIO'!$G$15:$G$214,0)),IFERROR(INDEX('CALENDARIO'!$C$15:$C$214,MATCH(TEXT($J707,"yyyy-mm-dd")&amp;"||",'CALENDARIO'!$G$15:$G$214,0)),INDEX(patronHabil,WEEKDAY($J707,2))))))</f>
        <v/>
      </c>
      <c r="T707" s="3">
        <f>IF($I707="","",IFERROR(INDEX('CAT_TIPOS_OT'!$C$4:$C$7,MATCH($I707,'CAT_TIPOS_OT'!$A$4:$A$7,0)),"sin_clasificar"))</f>
        <v/>
      </c>
      <c r="U707" s="3">
        <f>IF($F707="","",IFERROR(INDEX('CAT_CENTROS_COSTO'!$F$4:$F$13,MATCH($F707,'CAT_CENTROS_COSTO'!$A$4:$A$13,0)),"(sin catálogo)"))</f>
        <v/>
      </c>
      <c r="V707" s="3">
        <f>IF($F707="","",IFERROR(INDEX('CAT_CENTROS_COSTO'!$D$4:$D$13,MATCH($F707,'CAT_CENTROS_COSTO'!$A$4:$A$13,0)),"(sin catálogo)"))</f>
        <v/>
      </c>
      <c r="W707" s="3">
        <f>IF($F707="","",IF((IFERROR(INDEX('CAT_CENTROS_COSTO'!$E$4:$E$13,MATCH($F707,'CAT_CENTROS_COSTO'!$A$4:$A$13,0)),""))&lt;&gt;"",IFERROR(INDEX('CAT_CENTROS_COSTO'!$E$4:$E$13,MATCH($F707,'CAT_CENTROS_COSTO'!$A$4:$A$13,0)),""),$V707))</f>
        <v/>
      </c>
      <c r="X707" s="3">
        <f>IF($F707="","",IFERROR(INDEX('CAT_CENTROS_COSTO'!$G$4:$G$13,MATCH($F707,'CAT_CENTROS_COSTO'!$A$4:$A$13,0)),"(sin catálogo)"))</f>
        <v/>
      </c>
      <c r="Y707" s="3">
        <f>IF($G707="","",IFERROR(INDEX('CAT_PUESTOS'!$B$4:$B$8,MATCH($G707,'CAT_PUESTOS'!$A$4:$A$8,0)),"(sin catálogo)"))</f>
        <v/>
      </c>
      <c r="Z707" s="3">
        <f>IF($H707="","",IFERROR(INDEX('CAT_ACTIVIDADES'!$B$4:$B$8,MATCH($H707,'CAT_ACTIVIDADES'!$A$4:$A$8,0)),"(sin catálogo)"))</f>
        <v/>
      </c>
      <c r="AA707" s="12">
        <f>IF($J707="","",TODAY()-$J707)</f>
        <v/>
      </c>
      <c r="AB707" s="12">
        <f>IF($J707="","",IF($J707&lt;=TODAY(),COUNTIFS(cal_fechas,"&gt;="&amp;$J707,cal_fechas,"&lt;"&amp;TODAY(),cal_habil,"sí"),-COUNTIFS(cal_fechas,"&gt;="&amp;TODAY(),cal_fechas,"&lt;"&amp;$J707,cal_habil,"sí")))</f>
        <v/>
      </c>
      <c r="AC707" s="3">
        <f>IF($AB707="","",IF($AB707&lt;0,"FUTURO",IF($AB707&gt;p_dias_backlog_max,"BACKLOG","MES CORRIENTE")))</f>
        <v/>
      </c>
      <c r="AD707" s="3">
        <f>IF($AB707="",FALSE,AND($AB707&gt;p_dias_backlog_min,$AB707&lt;=p_dias_backlog_max))</f>
        <v/>
      </c>
      <c r="AE707" s="6" t="n"/>
      <c r="AF707" s="3">
        <f>IF($AE707="","",IF((IFERROR(INDEX('ASIGNACIONES'!$F$4:$F$339,MATCH($O707&amp;"|"&amp;$R707&amp;"|"&amp;$AE707,'ASIGNACIONES'!$J$4:$J$339,0)),""))=0,"",IFERROR(INDEX('ASIGNACIONES'!$F$4:$F$339,MATCH($O707&amp;"|"&amp;$R707&amp;"|"&amp;$AE707,'ASIGNACIONES'!$J$4:$J$339,0)),"")))</f>
        <v/>
      </c>
      <c r="AG707" s="13">
        <f>IF($AE707="","",SUMIFS('ORDENES'!$M$4:$M$1203,'ORDENES'!$AE$4:$AE$1203,$AE707,'ORDENES'!$O$4:$O$1203,$O707,'ORDENES'!$R$4:$R$1203,$R707))</f>
        <v/>
      </c>
      <c r="AH707" s="13">
        <f>IF($AG707="","",p_factor_productividad*IFERROR(INDEX('ASIGNACIONES'!$I$4:$I$339,MATCH($O707&amp;"|"&amp;$R707&amp;"|"&amp;$AE707,'ASIGNACIONES'!$J$4:$J$339,0)),0)-$AG707)</f>
        <v/>
      </c>
      <c r="AI707" s="10">
        <f>IF($A707="","",IFERROR(INDEX('2_IMPORTAR_EJECUCION'!$F$9:$F$1208,MATCH($AQ707,'2_IMPORTAR_EJECUCION'!$J$9:$J$1208,0)),0))</f>
        <v/>
      </c>
      <c r="AJ707" s="10">
        <f>IF($A707="","",MAX(0,IFERROR(INDEX('2_IMPORTAR_EJECUCION'!$H$9:$H$1208,MATCH($AQ707,'2_IMPORTAR_EJECUCION'!$J$9:$J$1208,0)),0)-$AI707))</f>
        <v/>
      </c>
      <c r="AK707" s="10">
        <f>IF($A707="","",$AI707+$AJ707)</f>
        <v/>
      </c>
      <c r="AL707" s="6" t="n"/>
      <c r="AM707" s="6" t="n"/>
      <c r="AN707" s="6" t="n"/>
      <c r="AO707" s="3">
        <f>IF($AN707="","",HYPERLINK(p_ruta_base_checklists&amp;$AN707,"abrir"))</f>
        <v/>
      </c>
      <c r="AP707" s="6" t="n"/>
      <c r="AQ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IF($A708="","",IFERROR(INDEX('AJUSTES'!$B$4:$B$303,MATCH($AQ708,'AJUSTES'!$A$4:$A$303,0)),IF($K708="","",$K708)))</f>
        <v/>
      </c>
      <c r="N708" s="3">
        <f>IF($A708="","",IFERROR(INDEX('CAT_ESTADOS_ERP'!$B$4:$B$7,MATCH(IFERROR(INDEX('2_IMPORTAR_EJECUCION'!$C$9:$C$1208,MATCH($AQ708,'2_IMPORTAR_EJECUCION'!$J$9:$J$1208,0)),""),'CAT_ESTADOS_ERP'!$A$4:$A$7,0)),"Pendiente"))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J708="","",IFERROR(INDEX('CALENDARIO'!$C$15:$C$214,MATCH(TEXT($J708,"yyyy-mm-dd")&amp;"|"&amp;$V708&amp;"|"&amp;$W708,'CALENDARIO'!$G$15:$G$214,0)),IFERROR(INDEX('CALENDARIO'!$C$15:$C$214,MATCH(TEXT($J708,"yyyy-mm-dd")&amp;"|"&amp;$V708&amp;"|",'CALENDARIO'!$G$15:$G$214,0)),IFERROR(INDEX('CALENDARIO'!$C$15:$C$214,MATCH(TEXT($J708,"yyyy-mm-dd")&amp;"||",'CALENDARIO'!$G$15:$G$214,0)),INDEX(patronHabil,WEEKDAY($J708,2))))))</f>
        <v/>
      </c>
      <c r="T708" s="3">
        <f>IF($I708="","",IFERROR(INDEX('CAT_TIPOS_OT'!$C$4:$C$7,MATCH($I708,'CAT_TIPOS_OT'!$A$4:$A$7,0)),"sin_clasificar"))</f>
        <v/>
      </c>
      <c r="U708" s="3">
        <f>IF($F708="","",IFERROR(INDEX('CAT_CENTROS_COSTO'!$F$4:$F$13,MATCH($F708,'CAT_CENTROS_COSTO'!$A$4:$A$13,0)),"(sin catálogo)"))</f>
        <v/>
      </c>
      <c r="V708" s="3">
        <f>IF($F708="","",IFERROR(INDEX('CAT_CENTROS_COSTO'!$D$4:$D$13,MATCH($F708,'CAT_CENTROS_COSTO'!$A$4:$A$13,0)),"(sin catálogo)"))</f>
        <v/>
      </c>
      <c r="W708" s="3">
        <f>IF($F708="","",IF((IFERROR(INDEX('CAT_CENTROS_COSTO'!$E$4:$E$13,MATCH($F708,'CAT_CENTROS_COSTO'!$A$4:$A$13,0)),""))&lt;&gt;"",IFERROR(INDEX('CAT_CENTROS_COSTO'!$E$4:$E$13,MATCH($F708,'CAT_CENTROS_COSTO'!$A$4:$A$13,0)),""),$V708))</f>
        <v/>
      </c>
      <c r="X708" s="3">
        <f>IF($F708="","",IFERROR(INDEX('CAT_CENTROS_COSTO'!$G$4:$G$13,MATCH($F708,'CAT_CENTROS_COSTO'!$A$4:$A$13,0)),"(sin catálogo)"))</f>
        <v/>
      </c>
      <c r="Y708" s="3">
        <f>IF($G708="","",IFERROR(INDEX('CAT_PUESTOS'!$B$4:$B$8,MATCH($G708,'CAT_PUESTOS'!$A$4:$A$8,0)),"(sin catálogo)"))</f>
        <v/>
      </c>
      <c r="Z708" s="3">
        <f>IF($H708="","",IFERROR(INDEX('CAT_ACTIVIDADES'!$B$4:$B$8,MATCH($H708,'CAT_ACTIVIDADES'!$A$4:$A$8,0)),"(sin catálogo)"))</f>
        <v/>
      </c>
      <c r="AA708" s="12">
        <f>IF($J708="","",TODAY()-$J708)</f>
        <v/>
      </c>
      <c r="AB708" s="12">
        <f>IF($J708="","",IF($J708&lt;=TODAY(),COUNTIFS(cal_fechas,"&gt;="&amp;$J708,cal_fechas,"&lt;"&amp;TODAY(),cal_habil,"sí"),-COUNTIFS(cal_fechas,"&gt;="&amp;TODAY(),cal_fechas,"&lt;"&amp;$J708,cal_habil,"sí")))</f>
        <v/>
      </c>
      <c r="AC708" s="3">
        <f>IF($AB708="","",IF($AB708&lt;0,"FUTURO",IF($AB708&gt;p_dias_backlog_max,"BACKLOG","MES CORRIENTE")))</f>
        <v/>
      </c>
      <c r="AD708" s="3">
        <f>IF($AB708="",FALSE,AND($AB708&gt;p_dias_backlog_min,$AB708&lt;=p_dias_backlog_max))</f>
        <v/>
      </c>
      <c r="AE708" s="6" t="n"/>
      <c r="AF708" s="3">
        <f>IF($AE708="","",IF((IFERROR(INDEX('ASIGNACIONES'!$F$4:$F$339,MATCH($O708&amp;"|"&amp;$R708&amp;"|"&amp;$AE708,'ASIGNACIONES'!$J$4:$J$339,0)),""))=0,"",IFERROR(INDEX('ASIGNACIONES'!$F$4:$F$339,MATCH($O708&amp;"|"&amp;$R708&amp;"|"&amp;$AE708,'ASIGNACIONES'!$J$4:$J$339,0)),"")))</f>
        <v/>
      </c>
      <c r="AG708" s="13">
        <f>IF($AE708="","",SUMIFS('ORDENES'!$M$4:$M$1203,'ORDENES'!$AE$4:$AE$1203,$AE708,'ORDENES'!$O$4:$O$1203,$O708,'ORDENES'!$R$4:$R$1203,$R708))</f>
        <v/>
      </c>
      <c r="AH708" s="13">
        <f>IF($AG708="","",p_factor_productividad*IFERROR(INDEX('ASIGNACIONES'!$I$4:$I$339,MATCH($O708&amp;"|"&amp;$R708&amp;"|"&amp;$AE708,'ASIGNACIONES'!$J$4:$J$339,0)),0)-$AG708)</f>
        <v/>
      </c>
      <c r="AI708" s="10">
        <f>IF($A708="","",IFERROR(INDEX('2_IMPORTAR_EJECUCION'!$F$9:$F$1208,MATCH($AQ708,'2_IMPORTAR_EJECUCION'!$J$9:$J$1208,0)),0))</f>
        <v/>
      </c>
      <c r="AJ708" s="10">
        <f>IF($A708="","",MAX(0,IFERROR(INDEX('2_IMPORTAR_EJECUCION'!$H$9:$H$1208,MATCH($AQ708,'2_IMPORTAR_EJECUCION'!$J$9:$J$1208,0)),0)-$AI708))</f>
        <v/>
      </c>
      <c r="AK708" s="10">
        <f>IF($A708="","",$AI708+$AJ708)</f>
        <v/>
      </c>
      <c r="AL708" s="6" t="n"/>
      <c r="AM708" s="6" t="n"/>
      <c r="AN708" s="6" t="n"/>
      <c r="AO708" s="3">
        <f>IF($AN708="","",HYPERLINK(p_ruta_base_checklists&amp;$AN708,"abrir"))</f>
        <v/>
      </c>
      <c r="AP708" s="6" t="n"/>
      <c r="AQ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IF($A709="","",IFERROR(INDEX('AJUSTES'!$B$4:$B$303,MATCH($AQ709,'AJUSTES'!$A$4:$A$303,0)),IF($K709="","",$K709)))</f>
        <v/>
      </c>
      <c r="N709" s="3">
        <f>IF($A709="","",IFERROR(INDEX('CAT_ESTADOS_ERP'!$B$4:$B$7,MATCH(IFERROR(INDEX('2_IMPORTAR_EJECUCION'!$C$9:$C$1208,MATCH($AQ709,'2_IMPORTAR_EJECUCION'!$J$9:$J$1208,0)),""),'CAT_ESTADOS_ERP'!$A$4:$A$7,0)),"Pendiente"))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J709="","",IFERROR(INDEX('CALENDARIO'!$C$15:$C$214,MATCH(TEXT($J709,"yyyy-mm-dd")&amp;"|"&amp;$V709&amp;"|"&amp;$W709,'CALENDARIO'!$G$15:$G$214,0)),IFERROR(INDEX('CALENDARIO'!$C$15:$C$214,MATCH(TEXT($J709,"yyyy-mm-dd")&amp;"|"&amp;$V709&amp;"|",'CALENDARIO'!$G$15:$G$214,0)),IFERROR(INDEX('CALENDARIO'!$C$15:$C$214,MATCH(TEXT($J709,"yyyy-mm-dd")&amp;"||",'CALENDARIO'!$G$15:$G$214,0)),INDEX(patronHabil,WEEKDAY($J709,2))))))</f>
        <v/>
      </c>
      <c r="T709" s="3">
        <f>IF($I709="","",IFERROR(INDEX('CAT_TIPOS_OT'!$C$4:$C$7,MATCH($I709,'CAT_TIPOS_OT'!$A$4:$A$7,0)),"sin_clasificar"))</f>
        <v/>
      </c>
      <c r="U709" s="3">
        <f>IF($F709="","",IFERROR(INDEX('CAT_CENTROS_COSTO'!$F$4:$F$13,MATCH($F709,'CAT_CENTROS_COSTO'!$A$4:$A$13,0)),"(sin catálogo)"))</f>
        <v/>
      </c>
      <c r="V709" s="3">
        <f>IF($F709="","",IFERROR(INDEX('CAT_CENTROS_COSTO'!$D$4:$D$13,MATCH($F709,'CAT_CENTROS_COSTO'!$A$4:$A$13,0)),"(sin catálogo)"))</f>
        <v/>
      </c>
      <c r="W709" s="3">
        <f>IF($F709="","",IF((IFERROR(INDEX('CAT_CENTROS_COSTO'!$E$4:$E$13,MATCH($F709,'CAT_CENTROS_COSTO'!$A$4:$A$13,0)),""))&lt;&gt;"",IFERROR(INDEX('CAT_CENTROS_COSTO'!$E$4:$E$13,MATCH($F709,'CAT_CENTROS_COSTO'!$A$4:$A$13,0)),""),$V709))</f>
        <v/>
      </c>
      <c r="X709" s="3">
        <f>IF($F709="","",IFERROR(INDEX('CAT_CENTROS_COSTO'!$G$4:$G$13,MATCH($F709,'CAT_CENTROS_COSTO'!$A$4:$A$13,0)),"(sin catálogo)"))</f>
        <v/>
      </c>
      <c r="Y709" s="3">
        <f>IF($G709="","",IFERROR(INDEX('CAT_PUESTOS'!$B$4:$B$8,MATCH($G709,'CAT_PUESTOS'!$A$4:$A$8,0)),"(sin catálogo)"))</f>
        <v/>
      </c>
      <c r="Z709" s="3">
        <f>IF($H709="","",IFERROR(INDEX('CAT_ACTIVIDADES'!$B$4:$B$8,MATCH($H709,'CAT_ACTIVIDADES'!$A$4:$A$8,0)),"(sin catálogo)"))</f>
        <v/>
      </c>
      <c r="AA709" s="12">
        <f>IF($J709="","",TODAY()-$J709)</f>
        <v/>
      </c>
      <c r="AB709" s="12">
        <f>IF($J709="","",IF($J709&lt;=TODAY(),COUNTIFS(cal_fechas,"&gt;="&amp;$J709,cal_fechas,"&lt;"&amp;TODAY(),cal_habil,"sí"),-COUNTIFS(cal_fechas,"&gt;="&amp;TODAY(),cal_fechas,"&lt;"&amp;$J709,cal_habil,"sí")))</f>
        <v/>
      </c>
      <c r="AC709" s="3">
        <f>IF($AB709="","",IF($AB709&lt;0,"FUTURO",IF($AB709&gt;p_dias_backlog_max,"BACKLOG","MES CORRIENTE")))</f>
        <v/>
      </c>
      <c r="AD709" s="3">
        <f>IF($AB709="",FALSE,AND($AB709&gt;p_dias_backlog_min,$AB709&lt;=p_dias_backlog_max))</f>
        <v/>
      </c>
      <c r="AE709" s="6" t="n"/>
      <c r="AF709" s="3">
        <f>IF($AE709="","",IF((IFERROR(INDEX('ASIGNACIONES'!$F$4:$F$339,MATCH($O709&amp;"|"&amp;$R709&amp;"|"&amp;$AE709,'ASIGNACIONES'!$J$4:$J$339,0)),""))=0,"",IFERROR(INDEX('ASIGNACIONES'!$F$4:$F$339,MATCH($O709&amp;"|"&amp;$R709&amp;"|"&amp;$AE709,'ASIGNACIONES'!$J$4:$J$339,0)),"")))</f>
        <v/>
      </c>
      <c r="AG709" s="13">
        <f>IF($AE709="","",SUMIFS('ORDENES'!$M$4:$M$1203,'ORDENES'!$AE$4:$AE$1203,$AE709,'ORDENES'!$O$4:$O$1203,$O709,'ORDENES'!$R$4:$R$1203,$R709))</f>
        <v/>
      </c>
      <c r="AH709" s="13">
        <f>IF($AG709="","",p_factor_productividad*IFERROR(INDEX('ASIGNACIONES'!$I$4:$I$339,MATCH($O709&amp;"|"&amp;$R709&amp;"|"&amp;$AE709,'ASIGNACIONES'!$J$4:$J$339,0)),0)-$AG709)</f>
        <v/>
      </c>
      <c r="AI709" s="10">
        <f>IF($A709="","",IFERROR(INDEX('2_IMPORTAR_EJECUCION'!$F$9:$F$1208,MATCH($AQ709,'2_IMPORTAR_EJECUCION'!$J$9:$J$1208,0)),0))</f>
        <v/>
      </c>
      <c r="AJ709" s="10">
        <f>IF($A709="","",MAX(0,IFERROR(INDEX('2_IMPORTAR_EJECUCION'!$H$9:$H$1208,MATCH($AQ709,'2_IMPORTAR_EJECUCION'!$J$9:$J$1208,0)),0)-$AI709))</f>
        <v/>
      </c>
      <c r="AK709" s="10">
        <f>IF($A709="","",$AI709+$AJ709)</f>
        <v/>
      </c>
      <c r="AL709" s="6" t="n"/>
      <c r="AM709" s="6" t="n"/>
      <c r="AN709" s="6" t="n"/>
      <c r="AO709" s="3">
        <f>IF($AN709="","",HYPERLINK(p_ruta_base_checklists&amp;$AN709,"abrir"))</f>
        <v/>
      </c>
      <c r="AP709" s="6" t="n"/>
      <c r="AQ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IF($A710="","",IFERROR(INDEX('AJUSTES'!$B$4:$B$303,MATCH($AQ710,'AJUSTES'!$A$4:$A$303,0)),IF($K710="","",$K710)))</f>
        <v/>
      </c>
      <c r="N710" s="3">
        <f>IF($A710="","",IFERROR(INDEX('CAT_ESTADOS_ERP'!$B$4:$B$7,MATCH(IFERROR(INDEX('2_IMPORTAR_EJECUCION'!$C$9:$C$1208,MATCH($AQ710,'2_IMPORTAR_EJECUCION'!$J$9:$J$1208,0)),""),'CAT_ESTADOS_ERP'!$A$4:$A$7,0)),"Pendiente"))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J710="","",IFERROR(INDEX('CALENDARIO'!$C$15:$C$214,MATCH(TEXT($J710,"yyyy-mm-dd")&amp;"|"&amp;$V710&amp;"|"&amp;$W710,'CALENDARIO'!$G$15:$G$214,0)),IFERROR(INDEX('CALENDARIO'!$C$15:$C$214,MATCH(TEXT($J710,"yyyy-mm-dd")&amp;"|"&amp;$V710&amp;"|",'CALENDARIO'!$G$15:$G$214,0)),IFERROR(INDEX('CALENDARIO'!$C$15:$C$214,MATCH(TEXT($J710,"yyyy-mm-dd")&amp;"||",'CALENDARIO'!$G$15:$G$214,0)),INDEX(patronHabil,WEEKDAY($J710,2))))))</f>
        <v/>
      </c>
      <c r="T710" s="3">
        <f>IF($I710="","",IFERROR(INDEX('CAT_TIPOS_OT'!$C$4:$C$7,MATCH($I710,'CAT_TIPOS_OT'!$A$4:$A$7,0)),"sin_clasificar"))</f>
        <v/>
      </c>
      <c r="U710" s="3">
        <f>IF($F710="","",IFERROR(INDEX('CAT_CENTROS_COSTO'!$F$4:$F$13,MATCH($F710,'CAT_CENTROS_COSTO'!$A$4:$A$13,0)),"(sin catálogo)"))</f>
        <v/>
      </c>
      <c r="V710" s="3">
        <f>IF($F710="","",IFERROR(INDEX('CAT_CENTROS_COSTO'!$D$4:$D$13,MATCH($F710,'CAT_CENTROS_COSTO'!$A$4:$A$13,0)),"(sin catálogo)"))</f>
        <v/>
      </c>
      <c r="W710" s="3">
        <f>IF($F710="","",IF((IFERROR(INDEX('CAT_CENTROS_COSTO'!$E$4:$E$13,MATCH($F710,'CAT_CENTROS_COSTO'!$A$4:$A$13,0)),""))&lt;&gt;"",IFERROR(INDEX('CAT_CENTROS_COSTO'!$E$4:$E$13,MATCH($F710,'CAT_CENTROS_COSTO'!$A$4:$A$13,0)),""),$V710))</f>
        <v/>
      </c>
      <c r="X710" s="3">
        <f>IF($F710="","",IFERROR(INDEX('CAT_CENTROS_COSTO'!$G$4:$G$13,MATCH($F710,'CAT_CENTROS_COSTO'!$A$4:$A$13,0)),"(sin catálogo)"))</f>
        <v/>
      </c>
      <c r="Y710" s="3">
        <f>IF($G710="","",IFERROR(INDEX('CAT_PUESTOS'!$B$4:$B$8,MATCH($G710,'CAT_PUESTOS'!$A$4:$A$8,0)),"(sin catálogo)"))</f>
        <v/>
      </c>
      <c r="Z710" s="3">
        <f>IF($H710="","",IFERROR(INDEX('CAT_ACTIVIDADES'!$B$4:$B$8,MATCH($H710,'CAT_ACTIVIDADES'!$A$4:$A$8,0)),"(sin catálogo)"))</f>
        <v/>
      </c>
      <c r="AA710" s="12">
        <f>IF($J710="","",TODAY()-$J710)</f>
        <v/>
      </c>
      <c r="AB710" s="12">
        <f>IF($J710="","",IF($J710&lt;=TODAY(),COUNTIFS(cal_fechas,"&gt;="&amp;$J710,cal_fechas,"&lt;"&amp;TODAY(),cal_habil,"sí"),-COUNTIFS(cal_fechas,"&gt;="&amp;TODAY(),cal_fechas,"&lt;"&amp;$J710,cal_habil,"sí")))</f>
        <v/>
      </c>
      <c r="AC710" s="3">
        <f>IF($AB710="","",IF($AB710&lt;0,"FUTURO",IF($AB710&gt;p_dias_backlog_max,"BACKLOG","MES CORRIENTE")))</f>
        <v/>
      </c>
      <c r="AD710" s="3">
        <f>IF($AB710="",FALSE,AND($AB710&gt;p_dias_backlog_min,$AB710&lt;=p_dias_backlog_max))</f>
        <v/>
      </c>
      <c r="AE710" s="6" t="n"/>
      <c r="AF710" s="3">
        <f>IF($AE710="","",IF((IFERROR(INDEX('ASIGNACIONES'!$F$4:$F$339,MATCH($O710&amp;"|"&amp;$R710&amp;"|"&amp;$AE710,'ASIGNACIONES'!$J$4:$J$339,0)),""))=0,"",IFERROR(INDEX('ASIGNACIONES'!$F$4:$F$339,MATCH($O710&amp;"|"&amp;$R710&amp;"|"&amp;$AE710,'ASIGNACIONES'!$J$4:$J$339,0)),"")))</f>
        <v/>
      </c>
      <c r="AG710" s="13">
        <f>IF($AE710="","",SUMIFS('ORDENES'!$M$4:$M$1203,'ORDENES'!$AE$4:$AE$1203,$AE710,'ORDENES'!$O$4:$O$1203,$O710,'ORDENES'!$R$4:$R$1203,$R710))</f>
        <v/>
      </c>
      <c r="AH710" s="13">
        <f>IF($AG710="","",p_factor_productividad*IFERROR(INDEX('ASIGNACIONES'!$I$4:$I$339,MATCH($O710&amp;"|"&amp;$R710&amp;"|"&amp;$AE710,'ASIGNACIONES'!$J$4:$J$339,0)),0)-$AG710)</f>
        <v/>
      </c>
      <c r="AI710" s="10">
        <f>IF($A710="","",IFERROR(INDEX('2_IMPORTAR_EJECUCION'!$F$9:$F$1208,MATCH($AQ710,'2_IMPORTAR_EJECUCION'!$J$9:$J$1208,0)),0))</f>
        <v/>
      </c>
      <c r="AJ710" s="10">
        <f>IF($A710="","",MAX(0,IFERROR(INDEX('2_IMPORTAR_EJECUCION'!$H$9:$H$1208,MATCH($AQ710,'2_IMPORTAR_EJECUCION'!$J$9:$J$1208,0)),0)-$AI710))</f>
        <v/>
      </c>
      <c r="AK710" s="10">
        <f>IF($A710="","",$AI710+$AJ710)</f>
        <v/>
      </c>
      <c r="AL710" s="6" t="n"/>
      <c r="AM710" s="6" t="n"/>
      <c r="AN710" s="6" t="n"/>
      <c r="AO710" s="3">
        <f>IF($AN710="","",HYPERLINK(p_ruta_base_checklists&amp;$AN710,"abrir"))</f>
        <v/>
      </c>
      <c r="AP710" s="6" t="n"/>
      <c r="AQ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IF($A711="","",IFERROR(INDEX('AJUSTES'!$B$4:$B$303,MATCH($AQ711,'AJUSTES'!$A$4:$A$303,0)),IF($K711="","",$K711)))</f>
        <v/>
      </c>
      <c r="N711" s="3">
        <f>IF($A711="","",IFERROR(INDEX('CAT_ESTADOS_ERP'!$B$4:$B$7,MATCH(IFERROR(INDEX('2_IMPORTAR_EJECUCION'!$C$9:$C$1208,MATCH($AQ711,'2_IMPORTAR_EJECUCION'!$J$9:$J$1208,0)),""),'CAT_ESTADOS_ERP'!$A$4:$A$7,0)),"Pendiente"))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J711="","",IFERROR(INDEX('CALENDARIO'!$C$15:$C$214,MATCH(TEXT($J711,"yyyy-mm-dd")&amp;"|"&amp;$V711&amp;"|"&amp;$W711,'CALENDARIO'!$G$15:$G$214,0)),IFERROR(INDEX('CALENDARIO'!$C$15:$C$214,MATCH(TEXT($J711,"yyyy-mm-dd")&amp;"|"&amp;$V711&amp;"|",'CALENDARIO'!$G$15:$G$214,0)),IFERROR(INDEX('CALENDARIO'!$C$15:$C$214,MATCH(TEXT($J711,"yyyy-mm-dd")&amp;"||",'CALENDARIO'!$G$15:$G$214,0)),INDEX(patronHabil,WEEKDAY($J711,2))))))</f>
        <v/>
      </c>
      <c r="T711" s="3">
        <f>IF($I711="","",IFERROR(INDEX('CAT_TIPOS_OT'!$C$4:$C$7,MATCH($I711,'CAT_TIPOS_OT'!$A$4:$A$7,0)),"sin_clasificar"))</f>
        <v/>
      </c>
      <c r="U711" s="3">
        <f>IF($F711="","",IFERROR(INDEX('CAT_CENTROS_COSTO'!$F$4:$F$13,MATCH($F711,'CAT_CENTROS_COSTO'!$A$4:$A$13,0)),"(sin catálogo)"))</f>
        <v/>
      </c>
      <c r="V711" s="3">
        <f>IF($F711="","",IFERROR(INDEX('CAT_CENTROS_COSTO'!$D$4:$D$13,MATCH($F711,'CAT_CENTROS_COSTO'!$A$4:$A$13,0)),"(sin catálogo)"))</f>
        <v/>
      </c>
      <c r="W711" s="3">
        <f>IF($F711="","",IF((IFERROR(INDEX('CAT_CENTROS_COSTO'!$E$4:$E$13,MATCH($F711,'CAT_CENTROS_COSTO'!$A$4:$A$13,0)),""))&lt;&gt;"",IFERROR(INDEX('CAT_CENTROS_COSTO'!$E$4:$E$13,MATCH($F711,'CAT_CENTROS_COSTO'!$A$4:$A$13,0)),""),$V711))</f>
        <v/>
      </c>
      <c r="X711" s="3">
        <f>IF($F711="","",IFERROR(INDEX('CAT_CENTROS_COSTO'!$G$4:$G$13,MATCH($F711,'CAT_CENTROS_COSTO'!$A$4:$A$13,0)),"(sin catálogo)"))</f>
        <v/>
      </c>
      <c r="Y711" s="3">
        <f>IF($G711="","",IFERROR(INDEX('CAT_PUESTOS'!$B$4:$B$8,MATCH($G711,'CAT_PUESTOS'!$A$4:$A$8,0)),"(sin catálogo)"))</f>
        <v/>
      </c>
      <c r="Z711" s="3">
        <f>IF($H711="","",IFERROR(INDEX('CAT_ACTIVIDADES'!$B$4:$B$8,MATCH($H711,'CAT_ACTIVIDADES'!$A$4:$A$8,0)),"(sin catálogo)"))</f>
        <v/>
      </c>
      <c r="AA711" s="12">
        <f>IF($J711="","",TODAY()-$J711)</f>
        <v/>
      </c>
      <c r="AB711" s="12">
        <f>IF($J711="","",IF($J711&lt;=TODAY(),COUNTIFS(cal_fechas,"&gt;="&amp;$J711,cal_fechas,"&lt;"&amp;TODAY(),cal_habil,"sí"),-COUNTIFS(cal_fechas,"&gt;="&amp;TODAY(),cal_fechas,"&lt;"&amp;$J711,cal_habil,"sí")))</f>
        <v/>
      </c>
      <c r="AC711" s="3">
        <f>IF($AB711="","",IF($AB711&lt;0,"FUTURO",IF($AB711&gt;p_dias_backlog_max,"BACKLOG","MES CORRIENTE")))</f>
        <v/>
      </c>
      <c r="AD711" s="3">
        <f>IF($AB711="",FALSE,AND($AB711&gt;p_dias_backlog_min,$AB711&lt;=p_dias_backlog_max))</f>
        <v/>
      </c>
      <c r="AE711" s="6" t="n"/>
      <c r="AF711" s="3">
        <f>IF($AE711="","",IF((IFERROR(INDEX('ASIGNACIONES'!$F$4:$F$339,MATCH($O711&amp;"|"&amp;$R711&amp;"|"&amp;$AE711,'ASIGNACIONES'!$J$4:$J$339,0)),""))=0,"",IFERROR(INDEX('ASIGNACIONES'!$F$4:$F$339,MATCH($O711&amp;"|"&amp;$R711&amp;"|"&amp;$AE711,'ASIGNACIONES'!$J$4:$J$339,0)),"")))</f>
        <v/>
      </c>
      <c r="AG711" s="13">
        <f>IF($AE711="","",SUMIFS('ORDENES'!$M$4:$M$1203,'ORDENES'!$AE$4:$AE$1203,$AE711,'ORDENES'!$O$4:$O$1203,$O711,'ORDENES'!$R$4:$R$1203,$R711))</f>
        <v/>
      </c>
      <c r="AH711" s="13">
        <f>IF($AG711="","",p_factor_productividad*IFERROR(INDEX('ASIGNACIONES'!$I$4:$I$339,MATCH($O711&amp;"|"&amp;$R711&amp;"|"&amp;$AE711,'ASIGNACIONES'!$J$4:$J$339,0)),0)-$AG711)</f>
        <v/>
      </c>
      <c r="AI711" s="10">
        <f>IF($A711="","",IFERROR(INDEX('2_IMPORTAR_EJECUCION'!$F$9:$F$1208,MATCH($AQ711,'2_IMPORTAR_EJECUCION'!$J$9:$J$1208,0)),0))</f>
        <v/>
      </c>
      <c r="AJ711" s="10">
        <f>IF($A711="","",MAX(0,IFERROR(INDEX('2_IMPORTAR_EJECUCION'!$H$9:$H$1208,MATCH($AQ711,'2_IMPORTAR_EJECUCION'!$J$9:$J$1208,0)),0)-$AI711))</f>
        <v/>
      </c>
      <c r="AK711" s="10">
        <f>IF($A711="","",$AI711+$AJ711)</f>
        <v/>
      </c>
      <c r="AL711" s="6" t="n"/>
      <c r="AM711" s="6" t="n"/>
      <c r="AN711" s="6" t="n"/>
      <c r="AO711" s="3">
        <f>IF($AN711="","",HYPERLINK(p_ruta_base_checklists&amp;$AN711,"abrir"))</f>
        <v/>
      </c>
      <c r="AP711" s="6" t="n"/>
      <c r="AQ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IF($A712="","",IFERROR(INDEX('AJUSTES'!$B$4:$B$303,MATCH($AQ712,'AJUSTES'!$A$4:$A$303,0)),IF($K712="","",$K712)))</f>
        <v/>
      </c>
      <c r="N712" s="3">
        <f>IF($A712="","",IFERROR(INDEX('CAT_ESTADOS_ERP'!$B$4:$B$7,MATCH(IFERROR(INDEX('2_IMPORTAR_EJECUCION'!$C$9:$C$1208,MATCH($AQ712,'2_IMPORTAR_EJECUCION'!$J$9:$J$1208,0)),""),'CAT_ESTADOS_ERP'!$A$4:$A$7,0)),"Pendiente"))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J712="","",IFERROR(INDEX('CALENDARIO'!$C$15:$C$214,MATCH(TEXT($J712,"yyyy-mm-dd")&amp;"|"&amp;$V712&amp;"|"&amp;$W712,'CALENDARIO'!$G$15:$G$214,0)),IFERROR(INDEX('CALENDARIO'!$C$15:$C$214,MATCH(TEXT($J712,"yyyy-mm-dd")&amp;"|"&amp;$V712&amp;"|",'CALENDARIO'!$G$15:$G$214,0)),IFERROR(INDEX('CALENDARIO'!$C$15:$C$214,MATCH(TEXT($J712,"yyyy-mm-dd")&amp;"||",'CALENDARIO'!$G$15:$G$214,0)),INDEX(patronHabil,WEEKDAY($J712,2))))))</f>
        <v/>
      </c>
      <c r="T712" s="3">
        <f>IF($I712="","",IFERROR(INDEX('CAT_TIPOS_OT'!$C$4:$C$7,MATCH($I712,'CAT_TIPOS_OT'!$A$4:$A$7,0)),"sin_clasificar"))</f>
        <v/>
      </c>
      <c r="U712" s="3">
        <f>IF($F712="","",IFERROR(INDEX('CAT_CENTROS_COSTO'!$F$4:$F$13,MATCH($F712,'CAT_CENTROS_COSTO'!$A$4:$A$13,0)),"(sin catálogo)"))</f>
        <v/>
      </c>
      <c r="V712" s="3">
        <f>IF($F712="","",IFERROR(INDEX('CAT_CENTROS_COSTO'!$D$4:$D$13,MATCH($F712,'CAT_CENTROS_COSTO'!$A$4:$A$13,0)),"(sin catálogo)"))</f>
        <v/>
      </c>
      <c r="W712" s="3">
        <f>IF($F712="","",IF((IFERROR(INDEX('CAT_CENTROS_COSTO'!$E$4:$E$13,MATCH($F712,'CAT_CENTROS_COSTO'!$A$4:$A$13,0)),""))&lt;&gt;"",IFERROR(INDEX('CAT_CENTROS_COSTO'!$E$4:$E$13,MATCH($F712,'CAT_CENTROS_COSTO'!$A$4:$A$13,0)),""),$V712))</f>
        <v/>
      </c>
      <c r="X712" s="3">
        <f>IF($F712="","",IFERROR(INDEX('CAT_CENTROS_COSTO'!$G$4:$G$13,MATCH($F712,'CAT_CENTROS_COSTO'!$A$4:$A$13,0)),"(sin catálogo)"))</f>
        <v/>
      </c>
      <c r="Y712" s="3">
        <f>IF($G712="","",IFERROR(INDEX('CAT_PUESTOS'!$B$4:$B$8,MATCH($G712,'CAT_PUESTOS'!$A$4:$A$8,0)),"(sin catálogo)"))</f>
        <v/>
      </c>
      <c r="Z712" s="3">
        <f>IF($H712="","",IFERROR(INDEX('CAT_ACTIVIDADES'!$B$4:$B$8,MATCH($H712,'CAT_ACTIVIDADES'!$A$4:$A$8,0)),"(sin catálogo)"))</f>
        <v/>
      </c>
      <c r="AA712" s="12">
        <f>IF($J712="","",TODAY()-$J712)</f>
        <v/>
      </c>
      <c r="AB712" s="12">
        <f>IF($J712="","",IF($J712&lt;=TODAY(),COUNTIFS(cal_fechas,"&gt;="&amp;$J712,cal_fechas,"&lt;"&amp;TODAY(),cal_habil,"sí"),-COUNTIFS(cal_fechas,"&gt;="&amp;TODAY(),cal_fechas,"&lt;"&amp;$J712,cal_habil,"sí")))</f>
        <v/>
      </c>
      <c r="AC712" s="3">
        <f>IF($AB712="","",IF($AB712&lt;0,"FUTURO",IF($AB712&gt;p_dias_backlog_max,"BACKLOG","MES CORRIENTE")))</f>
        <v/>
      </c>
      <c r="AD712" s="3">
        <f>IF($AB712="",FALSE,AND($AB712&gt;p_dias_backlog_min,$AB712&lt;=p_dias_backlog_max))</f>
        <v/>
      </c>
      <c r="AE712" s="6" t="n"/>
      <c r="AF712" s="3">
        <f>IF($AE712="","",IF((IFERROR(INDEX('ASIGNACIONES'!$F$4:$F$339,MATCH($O712&amp;"|"&amp;$R712&amp;"|"&amp;$AE712,'ASIGNACIONES'!$J$4:$J$339,0)),""))=0,"",IFERROR(INDEX('ASIGNACIONES'!$F$4:$F$339,MATCH($O712&amp;"|"&amp;$R712&amp;"|"&amp;$AE712,'ASIGNACIONES'!$J$4:$J$339,0)),"")))</f>
        <v/>
      </c>
      <c r="AG712" s="13">
        <f>IF($AE712="","",SUMIFS('ORDENES'!$M$4:$M$1203,'ORDENES'!$AE$4:$AE$1203,$AE712,'ORDENES'!$O$4:$O$1203,$O712,'ORDENES'!$R$4:$R$1203,$R712))</f>
        <v/>
      </c>
      <c r="AH712" s="13">
        <f>IF($AG712="","",p_factor_productividad*IFERROR(INDEX('ASIGNACIONES'!$I$4:$I$339,MATCH($O712&amp;"|"&amp;$R712&amp;"|"&amp;$AE712,'ASIGNACIONES'!$J$4:$J$339,0)),0)-$AG712)</f>
        <v/>
      </c>
      <c r="AI712" s="10">
        <f>IF($A712="","",IFERROR(INDEX('2_IMPORTAR_EJECUCION'!$F$9:$F$1208,MATCH($AQ712,'2_IMPORTAR_EJECUCION'!$J$9:$J$1208,0)),0))</f>
        <v/>
      </c>
      <c r="AJ712" s="10">
        <f>IF($A712="","",MAX(0,IFERROR(INDEX('2_IMPORTAR_EJECUCION'!$H$9:$H$1208,MATCH($AQ712,'2_IMPORTAR_EJECUCION'!$J$9:$J$1208,0)),0)-$AI712))</f>
        <v/>
      </c>
      <c r="AK712" s="10">
        <f>IF($A712="","",$AI712+$AJ712)</f>
        <v/>
      </c>
      <c r="AL712" s="6" t="n"/>
      <c r="AM712" s="6" t="n"/>
      <c r="AN712" s="6" t="n"/>
      <c r="AO712" s="3">
        <f>IF($AN712="","",HYPERLINK(p_ruta_base_checklists&amp;$AN712,"abrir"))</f>
        <v/>
      </c>
      <c r="AP712" s="6" t="n"/>
      <c r="AQ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IF($A713="","",IFERROR(INDEX('AJUSTES'!$B$4:$B$303,MATCH($AQ713,'AJUSTES'!$A$4:$A$303,0)),IF($K713="","",$K713)))</f>
        <v/>
      </c>
      <c r="N713" s="3">
        <f>IF($A713="","",IFERROR(INDEX('CAT_ESTADOS_ERP'!$B$4:$B$7,MATCH(IFERROR(INDEX('2_IMPORTAR_EJECUCION'!$C$9:$C$1208,MATCH($AQ713,'2_IMPORTAR_EJECUCION'!$J$9:$J$1208,0)),""),'CAT_ESTADOS_ERP'!$A$4:$A$7,0)),"Pendiente"))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J713="","",IFERROR(INDEX('CALENDARIO'!$C$15:$C$214,MATCH(TEXT($J713,"yyyy-mm-dd")&amp;"|"&amp;$V713&amp;"|"&amp;$W713,'CALENDARIO'!$G$15:$G$214,0)),IFERROR(INDEX('CALENDARIO'!$C$15:$C$214,MATCH(TEXT($J713,"yyyy-mm-dd")&amp;"|"&amp;$V713&amp;"|",'CALENDARIO'!$G$15:$G$214,0)),IFERROR(INDEX('CALENDARIO'!$C$15:$C$214,MATCH(TEXT($J713,"yyyy-mm-dd")&amp;"||",'CALENDARIO'!$G$15:$G$214,0)),INDEX(patronHabil,WEEKDAY($J713,2))))))</f>
        <v/>
      </c>
      <c r="T713" s="3">
        <f>IF($I713="","",IFERROR(INDEX('CAT_TIPOS_OT'!$C$4:$C$7,MATCH($I713,'CAT_TIPOS_OT'!$A$4:$A$7,0)),"sin_clasificar"))</f>
        <v/>
      </c>
      <c r="U713" s="3">
        <f>IF($F713="","",IFERROR(INDEX('CAT_CENTROS_COSTO'!$F$4:$F$13,MATCH($F713,'CAT_CENTROS_COSTO'!$A$4:$A$13,0)),"(sin catálogo)"))</f>
        <v/>
      </c>
      <c r="V713" s="3">
        <f>IF($F713="","",IFERROR(INDEX('CAT_CENTROS_COSTO'!$D$4:$D$13,MATCH($F713,'CAT_CENTROS_COSTO'!$A$4:$A$13,0)),"(sin catálogo)"))</f>
        <v/>
      </c>
      <c r="W713" s="3">
        <f>IF($F713="","",IF((IFERROR(INDEX('CAT_CENTROS_COSTO'!$E$4:$E$13,MATCH($F713,'CAT_CENTROS_COSTO'!$A$4:$A$13,0)),""))&lt;&gt;"",IFERROR(INDEX('CAT_CENTROS_COSTO'!$E$4:$E$13,MATCH($F713,'CAT_CENTROS_COSTO'!$A$4:$A$13,0)),""),$V713))</f>
        <v/>
      </c>
      <c r="X713" s="3">
        <f>IF($F713="","",IFERROR(INDEX('CAT_CENTROS_COSTO'!$G$4:$G$13,MATCH($F713,'CAT_CENTROS_COSTO'!$A$4:$A$13,0)),"(sin catálogo)"))</f>
        <v/>
      </c>
      <c r="Y713" s="3">
        <f>IF($G713="","",IFERROR(INDEX('CAT_PUESTOS'!$B$4:$B$8,MATCH($G713,'CAT_PUESTOS'!$A$4:$A$8,0)),"(sin catálogo)"))</f>
        <v/>
      </c>
      <c r="Z713" s="3">
        <f>IF($H713="","",IFERROR(INDEX('CAT_ACTIVIDADES'!$B$4:$B$8,MATCH($H713,'CAT_ACTIVIDADES'!$A$4:$A$8,0)),"(sin catálogo)"))</f>
        <v/>
      </c>
      <c r="AA713" s="12">
        <f>IF($J713="","",TODAY()-$J713)</f>
        <v/>
      </c>
      <c r="AB713" s="12">
        <f>IF($J713="","",IF($J713&lt;=TODAY(),COUNTIFS(cal_fechas,"&gt;="&amp;$J713,cal_fechas,"&lt;"&amp;TODAY(),cal_habil,"sí"),-COUNTIFS(cal_fechas,"&gt;="&amp;TODAY(),cal_fechas,"&lt;"&amp;$J713,cal_habil,"sí")))</f>
        <v/>
      </c>
      <c r="AC713" s="3">
        <f>IF($AB713="","",IF($AB713&lt;0,"FUTURO",IF($AB713&gt;p_dias_backlog_max,"BACKLOG","MES CORRIENTE")))</f>
        <v/>
      </c>
      <c r="AD713" s="3">
        <f>IF($AB713="",FALSE,AND($AB713&gt;p_dias_backlog_min,$AB713&lt;=p_dias_backlog_max))</f>
        <v/>
      </c>
      <c r="AE713" s="6" t="n"/>
      <c r="AF713" s="3">
        <f>IF($AE713="","",IF((IFERROR(INDEX('ASIGNACIONES'!$F$4:$F$339,MATCH($O713&amp;"|"&amp;$R713&amp;"|"&amp;$AE713,'ASIGNACIONES'!$J$4:$J$339,0)),""))=0,"",IFERROR(INDEX('ASIGNACIONES'!$F$4:$F$339,MATCH($O713&amp;"|"&amp;$R713&amp;"|"&amp;$AE713,'ASIGNACIONES'!$J$4:$J$339,0)),"")))</f>
        <v/>
      </c>
      <c r="AG713" s="13">
        <f>IF($AE713="","",SUMIFS('ORDENES'!$M$4:$M$1203,'ORDENES'!$AE$4:$AE$1203,$AE713,'ORDENES'!$O$4:$O$1203,$O713,'ORDENES'!$R$4:$R$1203,$R713))</f>
        <v/>
      </c>
      <c r="AH713" s="13">
        <f>IF($AG713="","",p_factor_productividad*IFERROR(INDEX('ASIGNACIONES'!$I$4:$I$339,MATCH($O713&amp;"|"&amp;$R713&amp;"|"&amp;$AE713,'ASIGNACIONES'!$J$4:$J$339,0)),0)-$AG713)</f>
        <v/>
      </c>
      <c r="AI713" s="10">
        <f>IF($A713="","",IFERROR(INDEX('2_IMPORTAR_EJECUCION'!$F$9:$F$1208,MATCH($AQ713,'2_IMPORTAR_EJECUCION'!$J$9:$J$1208,0)),0))</f>
        <v/>
      </c>
      <c r="AJ713" s="10">
        <f>IF($A713="","",MAX(0,IFERROR(INDEX('2_IMPORTAR_EJECUCION'!$H$9:$H$1208,MATCH($AQ713,'2_IMPORTAR_EJECUCION'!$J$9:$J$1208,0)),0)-$AI713))</f>
        <v/>
      </c>
      <c r="AK713" s="10">
        <f>IF($A713="","",$AI713+$AJ713)</f>
        <v/>
      </c>
      <c r="AL713" s="6" t="n"/>
      <c r="AM713" s="6" t="n"/>
      <c r="AN713" s="6" t="n"/>
      <c r="AO713" s="3">
        <f>IF($AN713="","",HYPERLINK(p_ruta_base_checklists&amp;$AN713,"abrir"))</f>
        <v/>
      </c>
      <c r="AP713" s="6" t="n"/>
      <c r="AQ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IF($A714="","",IFERROR(INDEX('AJUSTES'!$B$4:$B$303,MATCH($AQ714,'AJUSTES'!$A$4:$A$303,0)),IF($K714="","",$K714)))</f>
        <v/>
      </c>
      <c r="N714" s="3">
        <f>IF($A714="","",IFERROR(INDEX('CAT_ESTADOS_ERP'!$B$4:$B$7,MATCH(IFERROR(INDEX('2_IMPORTAR_EJECUCION'!$C$9:$C$1208,MATCH($AQ714,'2_IMPORTAR_EJECUCION'!$J$9:$J$1208,0)),""),'CAT_ESTADOS_ERP'!$A$4:$A$7,0)),"Pendiente"))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J714="","",IFERROR(INDEX('CALENDARIO'!$C$15:$C$214,MATCH(TEXT($J714,"yyyy-mm-dd")&amp;"|"&amp;$V714&amp;"|"&amp;$W714,'CALENDARIO'!$G$15:$G$214,0)),IFERROR(INDEX('CALENDARIO'!$C$15:$C$214,MATCH(TEXT($J714,"yyyy-mm-dd")&amp;"|"&amp;$V714&amp;"|",'CALENDARIO'!$G$15:$G$214,0)),IFERROR(INDEX('CALENDARIO'!$C$15:$C$214,MATCH(TEXT($J714,"yyyy-mm-dd")&amp;"||",'CALENDARIO'!$G$15:$G$214,0)),INDEX(patronHabil,WEEKDAY($J714,2))))))</f>
        <v/>
      </c>
      <c r="T714" s="3">
        <f>IF($I714="","",IFERROR(INDEX('CAT_TIPOS_OT'!$C$4:$C$7,MATCH($I714,'CAT_TIPOS_OT'!$A$4:$A$7,0)),"sin_clasificar"))</f>
        <v/>
      </c>
      <c r="U714" s="3">
        <f>IF($F714="","",IFERROR(INDEX('CAT_CENTROS_COSTO'!$F$4:$F$13,MATCH($F714,'CAT_CENTROS_COSTO'!$A$4:$A$13,0)),"(sin catálogo)"))</f>
        <v/>
      </c>
      <c r="V714" s="3">
        <f>IF($F714="","",IFERROR(INDEX('CAT_CENTROS_COSTO'!$D$4:$D$13,MATCH($F714,'CAT_CENTROS_COSTO'!$A$4:$A$13,0)),"(sin catálogo)"))</f>
        <v/>
      </c>
      <c r="W714" s="3">
        <f>IF($F714="","",IF((IFERROR(INDEX('CAT_CENTROS_COSTO'!$E$4:$E$13,MATCH($F714,'CAT_CENTROS_COSTO'!$A$4:$A$13,0)),""))&lt;&gt;"",IFERROR(INDEX('CAT_CENTROS_COSTO'!$E$4:$E$13,MATCH($F714,'CAT_CENTROS_COSTO'!$A$4:$A$13,0)),""),$V714))</f>
        <v/>
      </c>
      <c r="X714" s="3">
        <f>IF($F714="","",IFERROR(INDEX('CAT_CENTROS_COSTO'!$G$4:$G$13,MATCH($F714,'CAT_CENTROS_COSTO'!$A$4:$A$13,0)),"(sin catálogo)"))</f>
        <v/>
      </c>
      <c r="Y714" s="3">
        <f>IF($G714="","",IFERROR(INDEX('CAT_PUESTOS'!$B$4:$B$8,MATCH($G714,'CAT_PUESTOS'!$A$4:$A$8,0)),"(sin catálogo)"))</f>
        <v/>
      </c>
      <c r="Z714" s="3">
        <f>IF($H714="","",IFERROR(INDEX('CAT_ACTIVIDADES'!$B$4:$B$8,MATCH($H714,'CAT_ACTIVIDADES'!$A$4:$A$8,0)),"(sin catálogo)"))</f>
        <v/>
      </c>
      <c r="AA714" s="12">
        <f>IF($J714="","",TODAY()-$J714)</f>
        <v/>
      </c>
      <c r="AB714" s="12">
        <f>IF($J714="","",IF($J714&lt;=TODAY(),COUNTIFS(cal_fechas,"&gt;="&amp;$J714,cal_fechas,"&lt;"&amp;TODAY(),cal_habil,"sí"),-COUNTIFS(cal_fechas,"&gt;="&amp;TODAY(),cal_fechas,"&lt;"&amp;$J714,cal_habil,"sí")))</f>
        <v/>
      </c>
      <c r="AC714" s="3">
        <f>IF($AB714="","",IF($AB714&lt;0,"FUTURO",IF($AB714&gt;p_dias_backlog_max,"BACKLOG","MES CORRIENTE")))</f>
        <v/>
      </c>
      <c r="AD714" s="3">
        <f>IF($AB714="",FALSE,AND($AB714&gt;p_dias_backlog_min,$AB714&lt;=p_dias_backlog_max))</f>
        <v/>
      </c>
      <c r="AE714" s="6" t="n"/>
      <c r="AF714" s="3">
        <f>IF($AE714="","",IF((IFERROR(INDEX('ASIGNACIONES'!$F$4:$F$339,MATCH($O714&amp;"|"&amp;$R714&amp;"|"&amp;$AE714,'ASIGNACIONES'!$J$4:$J$339,0)),""))=0,"",IFERROR(INDEX('ASIGNACIONES'!$F$4:$F$339,MATCH($O714&amp;"|"&amp;$R714&amp;"|"&amp;$AE714,'ASIGNACIONES'!$J$4:$J$339,0)),"")))</f>
        <v/>
      </c>
      <c r="AG714" s="13">
        <f>IF($AE714="","",SUMIFS('ORDENES'!$M$4:$M$1203,'ORDENES'!$AE$4:$AE$1203,$AE714,'ORDENES'!$O$4:$O$1203,$O714,'ORDENES'!$R$4:$R$1203,$R714))</f>
        <v/>
      </c>
      <c r="AH714" s="13">
        <f>IF($AG714="","",p_factor_productividad*IFERROR(INDEX('ASIGNACIONES'!$I$4:$I$339,MATCH($O714&amp;"|"&amp;$R714&amp;"|"&amp;$AE714,'ASIGNACIONES'!$J$4:$J$339,0)),0)-$AG714)</f>
        <v/>
      </c>
      <c r="AI714" s="10">
        <f>IF($A714="","",IFERROR(INDEX('2_IMPORTAR_EJECUCION'!$F$9:$F$1208,MATCH($AQ714,'2_IMPORTAR_EJECUCION'!$J$9:$J$1208,0)),0))</f>
        <v/>
      </c>
      <c r="AJ714" s="10">
        <f>IF($A714="","",MAX(0,IFERROR(INDEX('2_IMPORTAR_EJECUCION'!$H$9:$H$1208,MATCH($AQ714,'2_IMPORTAR_EJECUCION'!$J$9:$J$1208,0)),0)-$AI714))</f>
        <v/>
      </c>
      <c r="AK714" s="10">
        <f>IF($A714="","",$AI714+$AJ714)</f>
        <v/>
      </c>
      <c r="AL714" s="6" t="n"/>
      <c r="AM714" s="6" t="n"/>
      <c r="AN714" s="6" t="n"/>
      <c r="AO714" s="3">
        <f>IF($AN714="","",HYPERLINK(p_ruta_base_checklists&amp;$AN714,"abrir"))</f>
        <v/>
      </c>
      <c r="AP714" s="6" t="n"/>
      <c r="AQ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IF($A715="","",IFERROR(INDEX('AJUSTES'!$B$4:$B$303,MATCH($AQ715,'AJUSTES'!$A$4:$A$303,0)),IF($K715="","",$K715)))</f>
        <v/>
      </c>
      <c r="N715" s="3">
        <f>IF($A715="","",IFERROR(INDEX('CAT_ESTADOS_ERP'!$B$4:$B$7,MATCH(IFERROR(INDEX('2_IMPORTAR_EJECUCION'!$C$9:$C$1208,MATCH($AQ715,'2_IMPORTAR_EJECUCION'!$J$9:$J$1208,0)),""),'CAT_ESTADOS_ERP'!$A$4:$A$7,0)),"Pendiente"))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J715="","",IFERROR(INDEX('CALENDARIO'!$C$15:$C$214,MATCH(TEXT($J715,"yyyy-mm-dd")&amp;"|"&amp;$V715&amp;"|"&amp;$W715,'CALENDARIO'!$G$15:$G$214,0)),IFERROR(INDEX('CALENDARIO'!$C$15:$C$214,MATCH(TEXT($J715,"yyyy-mm-dd")&amp;"|"&amp;$V715&amp;"|",'CALENDARIO'!$G$15:$G$214,0)),IFERROR(INDEX('CALENDARIO'!$C$15:$C$214,MATCH(TEXT($J715,"yyyy-mm-dd")&amp;"||",'CALENDARIO'!$G$15:$G$214,0)),INDEX(patronHabil,WEEKDAY($J715,2))))))</f>
        <v/>
      </c>
      <c r="T715" s="3">
        <f>IF($I715="","",IFERROR(INDEX('CAT_TIPOS_OT'!$C$4:$C$7,MATCH($I715,'CAT_TIPOS_OT'!$A$4:$A$7,0)),"sin_clasificar"))</f>
        <v/>
      </c>
      <c r="U715" s="3">
        <f>IF($F715="","",IFERROR(INDEX('CAT_CENTROS_COSTO'!$F$4:$F$13,MATCH($F715,'CAT_CENTROS_COSTO'!$A$4:$A$13,0)),"(sin catálogo)"))</f>
        <v/>
      </c>
      <c r="V715" s="3">
        <f>IF($F715="","",IFERROR(INDEX('CAT_CENTROS_COSTO'!$D$4:$D$13,MATCH($F715,'CAT_CENTROS_COSTO'!$A$4:$A$13,0)),"(sin catálogo)"))</f>
        <v/>
      </c>
      <c r="W715" s="3">
        <f>IF($F715="","",IF((IFERROR(INDEX('CAT_CENTROS_COSTO'!$E$4:$E$13,MATCH($F715,'CAT_CENTROS_COSTO'!$A$4:$A$13,0)),""))&lt;&gt;"",IFERROR(INDEX('CAT_CENTROS_COSTO'!$E$4:$E$13,MATCH($F715,'CAT_CENTROS_COSTO'!$A$4:$A$13,0)),""),$V715))</f>
        <v/>
      </c>
      <c r="X715" s="3">
        <f>IF($F715="","",IFERROR(INDEX('CAT_CENTROS_COSTO'!$G$4:$G$13,MATCH($F715,'CAT_CENTROS_COSTO'!$A$4:$A$13,0)),"(sin catálogo)"))</f>
        <v/>
      </c>
      <c r="Y715" s="3">
        <f>IF($G715="","",IFERROR(INDEX('CAT_PUESTOS'!$B$4:$B$8,MATCH($G715,'CAT_PUESTOS'!$A$4:$A$8,0)),"(sin catálogo)"))</f>
        <v/>
      </c>
      <c r="Z715" s="3">
        <f>IF($H715="","",IFERROR(INDEX('CAT_ACTIVIDADES'!$B$4:$B$8,MATCH($H715,'CAT_ACTIVIDADES'!$A$4:$A$8,0)),"(sin catálogo)"))</f>
        <v/>
      </c>
      <c r="AA715" s="12">
        <f>IF($J715="","",TODAY()-$J715)</f>
        <v/>
      </c>
      <c r="AB715" s="12">
        <f>IF($J715="","",IF($J715&lt;=TODAY(),COUNTIFS(cal_fechas,"&gt;="&amp;$J715,cal_fechas,"&lt;"&amp;TODAY(),cal_habil,"sí"),-COUNTIFS(cal_fechas,"&gt;="&amp;TODAY(),cal_fechas,"&lt;"&amp;$J715,cal_habil,"sí")))</f>
        <v/>
      </c>
      <c r="AC715" s="3">
        <f>IF($AB715="","",IF($AB715&lt;0,"FUTURO",IF($AB715&gt;p_dias_backlog_max,"BACKLOG","MES CORRIENTE")))</f>
        <v/>
      </c>
      <c r="AD715" s="3">
        <f>IF($AB715="",FALSE,AND($AB715&gt;p_dias_backlog_min,$AB715&lt;=p_dias_backlog_max))</f>
        <v/>
      </c>
      <c r="AE715" s="6" t="n"/>
      <c r="AF715" s="3">
        <f>IF($AE715="","",IF((IFERROR(INDEX('ASIGNACIONES'!$F$4:$F$339,MATCH($O715&amp;"|"&amp;$R715&amp;"|"&amp;$AE715,'ASIGNACIONES'!$J$4:$J$339,0)),""))=0,"",IFERROR(INDEX('ASIGNACIONES'!$F$4:$F$339,MATCH($O715&amp;"|"&amp;$R715&amp;"|"&amp;$AE715,'ASIGNACIONES'!$J$4:$J$339,0)),"")))</f>
        <v/>
      </c>
      <c r="AG715" s="13">
        <f>IF($AE715="","",SUMIFS('ORDENES'!$M$4:$M$1203,'ORDENES'!$AE$4:$AE$1203,$AE715,'ORDENES'!$O$4:$O$1203,$O715,'ORDENES'!$R$4:$R$1203,$R715))</f>
        <v/>
      </c>
      <c r="AH715" s="13">
        <f>IF($AG715="","",p_factor_productividad*IFERROR(INDEX('ASIGNACIONES'!$I$4:$I$339,MATCH($O715&amp;"|"&amp;$R715&amp;"|"&amp;$AE715,'ASIGNACIONES'!$J$4:$J$339,0)),0)-$AG715)</f>
        <v/>
      </c>
      <c r="AI715" s="10">
        <f>IF($A715="","",IFERROR(INDEX('2_IMPORTAR_EJECUCION'!$F$9:$F$1208,MATCH($AQ715,'2_IMPORTAR_EJECUCION'!$J$9:$J$1208,0)),0))</f>
        <v/>
      </c>
      <c r="AJ715" s="10">
        <f>IF($A715="","",MAX(0,IFERROR(INDEX('2_IMPORTAR_EJECUCION'!$H$9:$H$1208,MATCH($AQ715,'2_IMPORTAR_EJECUCION'!$J$9:$J$1208,0)),0)-$AI715))</f>
        <v/>
      </c>
      <c r="AK715" s="10">
        <f>IF($A715="","",$AI715+$AJ715)</f>
        <v/>
      </c>
      <c r="AL715" s="6" t="n"/>
      <c r="AM715" s="6" t="n"/>
      <c r="AN715" s="6" t="n"/>
      <c r="AO715" s="3">
        <f>IF($AN715="","",HYPERLINK(p_ruta_base_checklists&amp;$AN715,"abrir"))</f>
        <v/>
      </c>
      <c r="AP715" s="6" t="n"/>
      <c r="AQ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IF($A716="","",IFERROR(INDEX('AJUSTES'!$B$4:$B$303,MATCH($AQ716,'AJUSTES'!$A$4:$A$303,0)),IF($K716="","",$K716)))</f>
        <v/>
      </c>
      <c r="N716" s="3">
        <f>IF($A716="","",IFERROR(INDEX('CAT_ESTADOS_ERP'!$B$4:$B$7,MATCH(IFERROR(INDEX('2_IMPORTAR_EJECUCION'!$C$9:$C$1208,MATCH($AQ716,'2_IMPORTAR_EJECUCION'!$J$9:$J$1208,0)),""),'CAT_ESTADOS_ERP'!$A$4:$A$7,0)),"Pendiente"))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J716="","",IFERROR(INDEX('CALENDARIO'!$C$15:$C$214,MATCH(TEXT($J716,"yyyy-mm-dd")&amp;"|"&amp;$V716&amp;"|"&amp;$W716,'CALENDARIO'!$G$15:$G$214,0)),IFERROR(INDEX('CALENDARIO'!$C$15:$C$214,MATCH(TEXT($J716,"yyyy-mm-dd")&amp;"|"&amp;$V716&amp;"|",'CALENDARIO'!$G$15:$G$214,0)),IFERROR(INDEX('CALENDARIO'!$C$15:$C$214,MATCH(TEXT($J716,"yyyy-mm-dd")&amp;"||",'CALENDARIO'!$G$15:$G$214,0)),INDEX(patronHabil,WEEKDAY($J716,2))))))</f>
        <v/>
      </c>
      <c r="T716" s="3">
        <f>IF($I716="","",IFERROR(INDEX('CAT_TIPOS_OT'!$C$4:$C$7,MATCH($I716,'CAT_TIPOS_OT'!$A$4:$A$7,0)),"sin_clasificar"))</f>
        <v/>
      </c>
      <c r="U716" s="3">
        <f>IF($F716="","",IFERROR(INDEX('CAT_CENTROS_COSTO'!$F$4:$F$13,MATCH($F716,'CAT_CENTROS_COSTO'!$A$4:$A$13,0)),"(sin catálogo)"))</f>
        <v/>
      </c>
      <c r="V716" s="3">
        <f>IF($F716="","",IFERROR(INDEX('CAT_CENTROS_COSTO'!$D$4:$D$13,MATCH($F716,'CAT_CENTROS_COSTO'!$A$4:$A$13,0)),"(sin catálogo)"))</f>
        <v/>
      </c>
      <c r="W716" s="3">
        <f>IF($F716="","",IF((IFERROR(INDEX('CAT_CENTROS_COSTO'!$E$4:$E$13,MATCH($F716,'CAT_CENTROS_COSTO'!$A$4:$A$13,0)),""))&lt;&gt;"",IFERROR(INDEX('CAT_CENTROS_COSTO'!$E$4:$E$13,MATCH($F716,'CAT_CENTROS_COSTO'!$A$4:$A$13,0)),""),$V716))</f>
        <v/>
      </c>
      <c r="X716" s="3">
        <f>IF($F716="","",IFERROR(INDEX('CAT_CENTROS_COSTO'!$G$4:$G$13,MATCH($F716,'CAT_CENTROS_COSTO'!$A$4:$A$13,0)),"(sin catálogo)"))</f>
        <v/>
      </c>
      <c r="Y716" s="3">
        <f>IF($G716="","",IFERROR(INDEX('CAT_PUESTOS'!$B$4:$B$8,MATCH($G716,'CAT_PUESTOS'!$A$4:$A$8,0)),"(sin catálogo)"))</f>
        <v/>
      </c>
      <c r="Z716" s="3">
        <f>IF($H716="","",IFERROR(INDEX('CAT_ACTIVIDADES'!$B$4:$B$8,MATCH($H716,'CAT_ACTIVIDADES'!$A$4:$A$8,0)),"(sin catálogo)"))</f>
        <v/>
      </c>
      <c r="AA716" s="12">
        <f>IF($J716="","",TODAY()-$J716)</f>
        <v/>
      </c>
      <c r="AB716" s="12">
        <f>IF($J716="","",IF($J716&lt;=TODAY(),COUNTIFS(cal_fechas,"&gt;="&amp;$J716,cal_fechas,"&lt;"&amp;TODAY(),cal_habil,"sí"),-COUNTIFS(cal_fechas,"&gt;="&amp;TODAY(),cal_fechas,"&lt;"&amp;$J716,cal_habil,"sí")))</f>
        <v/>
      </c>
      <c r="AC716" s="3">
        <f>IF($AB716="","",IF($AB716&lt;0,"FUTURO",IF($AB716&gt;p_dias_backlog_max,"BACKLOG","MES CORRIENTE")))</f>
        <v/>
      </c>
      <c r="AD716" s="3">
        <f>IF($AB716="",FALSE,AND($AB716&gt;p_dias_backlog_min,$AB716&lt;=p_dias_backlog_max))</f>
        <v/>
      </c>
      <c r="AE716" s="6" t="n"/>
      <c r="AF716" s="3">
        <f>IF($AE716="","",IF((IFERROR(INDEX('ASIGNACIONES'!$F$4:$F$339,MATCH($O716&amp;"|"&amp;$R716&amp;"|"&amp;$AE716,'ASIGNACIONES'!$J$4:$J$339,0)),""))=0,"",IFERROR(INDEX('ASIGNACIONES'!$F$4:$F$339,MATCH($O716&amp;"|"&amp;$R716&amp;"|"&amp;$AE716,'ASIGNACIONES'!$J$4:$J$339,0)),"")))</f>
        <v/>
      </c>
      <c r="AG716" s="13">
        <f>IF($AE716="","",SUMIFS('ORDENES'!$M$4:$M$1203,'ORDENES'!$AE$4:$AE$1203,$AE716,'ORDENES'!$O$4:$O$1203,$O716,'ORDENES'!$R$4:$R$1203,$R716))</f>
        <v/>
      </c>
      <c r="AH716" s="13">
        <f>IF($AG716="","",p_factor_productividad*IFERROR(INDEX('ASIGNACIONES'!$I$4:$I$339,MATCH($O716&amp;"|"&amp;$R716&amp;"|"&amp;$AE716,'ASIGNACIONES'!$J$4:$J$339,0)),0)-$AG716)</f>
        <v/>
      </c>
      <c r="AI716" s="10">
        <f>IF($A716="","",IFERROR(INDEX('2_IMPORTAR_EJECUCION'!$F$9:$F$1208,MATCH($AQ716,'2_IMPORTAR_EJECUCION'!$J$9:$J$1208,0)),0))</f>
        <v/>
      </c>
      <c r="AJ716" s="10">
        <f>IF($A716="","",MAX(0,IFERROR(INDEX('2_IMPORTAR_EJECUCION'!$H$9:$H$1208,MATCH($AQ716,'2_IMPORTAR_EJECUCION'!$J$9:$J$1208,0)),0)-$AI716))</f>
        <v/>
      </c>
      <c r="AK716" s="10">
        <f>IF($A716="","",$AI716+$AJ716)</f>
        <v/>
      </c>
      <c r="AL716" s="6" t="n"/>
      <c r="AM716" s="6" t="n"/>
      <c r="AN716" s="6" t="n"/>
      <c r="AO716" s="3">
        <f>IF($AN716="","",HYPERLINK(p_ruta_base_checklists&amp;$AN716,"abrir"))</f>
        <v/>
      </c>
      <c r="AP716" s="6" t="n"/>
      <c r="AQ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IF($A717="","",IFERROR(INDEX('AJUSTES'!$B$4:$B$303,MATCH($AQ717,'AJUSTES'!$A$4:$A$303,0)),IF($K717="","",$K717)))</f>
        <v/>
      </c>
      <c r="N717" s="3">
        <f>IF($A717="","",IFERROR(INDEX('CAT_ESTADOS_ERP'!$B$4:$B$7,MATCH(IFERROR(INDEX('2_IMPORTAR_EJECUCION'!$C$9:$C$1208,MATCH($AQ717,'2_IMPORTAR_EJECUCION'!$J$9:$J$1208,0)),""),'CAT_ESTADOS_ERP'!$A$4:$A$7,0)),"Pendiente"))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J717="","",IFERROR(INDEX('CALENDARIO'!$C$15:$C$214,MATCH(TEXT($J717,"yyyy-mm-dd")&amp;"|"&amp;$V717&amp;"|"&amp;$W717,'CALENDARIO'!$G$15:$G$214,0)),IFERROR(INDEX('CALENDARIO'!$C$15:$C$214,MATCH(TEXT($J717,"yyyy-mm-dd")&amp;"|"&amp;$V717&amp;"|",'CALENDARIO'!$G$15:$G$214,0)),IFERROR(INDEX('CALENDARIO'!$C$15:$C$214,MATCH(TEXT($J717,"yyyy-mm-dd")&amp;"||",'CALENDARIO'!$G$15:$G$214,0)),INDEX(patronHabil,WEEKDAY($J717,2))))))</f>
        <v/>
      </c>
      <c r="T717" s="3">
        <f>IF($I717="","",IFERROR(INDEX('CAT_TIPOS_OT'!$C$4:$C$7,MATCH($I717,'CAT_TIPOS_OT'!$A$4:$A$7,0)),"sin_clasificar"))</f>
        <v/>
      </c>
      <c r="U717" s="3">
        <f>IF($F717="","",IFERROR(INDEX('CAT_CENTROS_COSTO'!$F$4:$F$13,MATCH($F717,'CAT_CENTROS_COSTO'!$A$4:$A$13,0)),"(sin catálogo)"))</f>
        <v/>
      </c>
      <c r="V717" s="3">
        <f>IF($F717="","",IFERROR(INDEX('CAT_CENTROS_COSTO'!$D$4:$D$13,MATCH($F717,'CAT_CENTROS_COSTO'!$A$4:$A$13,0)),"(sin catálogo)"))</f>
        <v/>
      </c>
      <c r="W717" s="3">
        <f>IF($F717="","",IF((IFERROR(INDEX('CAT_CENTROS_COSTO'!$E$4:$E$13,MATCH($F717,'CAT_CENTROS_COSTO'!$A$4:$A$13,0)),""))&lt;&gt;"",IFERROR(INDEX('CAT_CENTROS_COSTO'!$E$4:$E$13,MATCH($F717,'CAT_CENTROS_COSTO'!$A$4:$A$13,0)),""),$V717))</f>
        <v/>
      </c>
      <c r="X717" s="3">
        <f>IF($F717="","",IFERROR(INDEX('CAT_CENTROS_COSTO'!$G$4:$G$13,MATCH($F717,'CAT_CENTROS_COSTO'!$A$4:$A$13,0)),"(sin catálogo)"))</f>
        <v/>
      </c>
      <c r="Y717" s="3">
        <f>IF($G717="","",IFERROR(INDEX('CAT_PUESTOS'!$B$4:$B$8,MATCH($G717,'CAT_PUESTOS'!$A$4:$A$8,0)),"(sin catálogo)"))</f>
        <v/>
      </c>
      <c r="Z717" s="3">
        <f>IF($H717="","",IFERROR(INDEX('CAT_ACTIVIDADES'!$B$4:$B$8,MATCH($H717,'CAT_ACTIVIDADES'!$A$4:$A$8,0)),"(sin catálogo)"))</f>
        <v/>
      </c>
      <c r="AA717" s="12">
        <f>IF($J717="","",TODAY()-$J717)</f>
        <v/>
      </c>
      <c r="AB717" s="12">
        <f>IF($J717="","",IF($J717&lt;=TODAY(),COUNTIFS(cal_fechas,"&gt;="&amp;$J717,cal_fechas,"&lt;"&amp;TODAY(),cal_habil,"sí"),-COUNTIFS(cal_fechas,"&gt;="&amp;TODAY(),cal_fechas,"&lt;"&amp;$J717,cal_habil,"sí")))</f>
        <v/>
      </c>
      <c r="AC717" s="3">
        <f>IF($AB717="","",IF($AB717&lt;0,"FUTURO",IF($AB717&gt;p_dias_backlog_max,"BACKLOG","MES CORRIENTE")))</f>
        <v/>
      </c>
      <c r="AD717" s="3">
        <f>IF($AB717="",FALSE,AND($AB717&gt;p_dias_backlog_min,$AB717&lt;=p_dias_backlog_max))</f>
        <v/>
      </c>
      <c r="AE717" s="6" t="n"/>
      <c r="AF717" s="3">
        <f>IF($AE717="","",IF((IFERROR(INDEX('ASIGNACIONES'!$F$4:$F$339,MATCH($O717&amp;"|"&amp;$R717&amp;"|"&amp;$AE717,'ASIGNACIONES'!$J$4:$J$339,0)),""))=0,"",IFERROR(INDEX('ASIGNACIONES'!$F$4:$F$339,MATCH($O717&amp;"|"&amp;$R717&amp;"|"&amp;$AE717,'ASIGNACIONES'!$J$4:$J$339,0)),"")))</f>
        <v/>
      </c>
      <c r="AG717" s="13">
        <f>IF($AE717="","",SUMIFS('ORDENES'!$M$4:$M$1203,'ORDENES'!$AE$4:$AE$1203,$AE717,'ORDENES'!$O$4:$O$1203,$O717,'ORDENES'!$R$4:$R$1203,$R717))</f>
        <v/>
      </c>
      <c r="AH717" s="13">
        <f>IF($AG717="","",p_factor_productividad*IFERROR(INDEX('ASIGNACIONES'!$I$4:$I$339,MATCH($O717&amp;"|"&amp;$R717&amp;"|"&amp;$AE717,'ASIGNACIONES'!$J$4:$J$339,0)),0)-$AG717)</f>
        <v/>
      </c>
      <c r="AI717" s="10">
        <f>IF($A717="","",IFERROR(INDEX('2_IMPORTAR_EJECUCION'!$F$9:$F$1208,MATCH($AQ717,'2_IMPORTAR_EJECUCION'!$J$9:$J$1208,0)),0))</f>
        <v/>
      </c>
      <c r="AJ717" s="10">
        <f>IF($A717="","",MAX(0,IFERROR(INDEX('2_IMPORTAR_EJECUCION'!$H$9:$H$1208,MATCH($AQ717,'2_IMPORTAR_EJECUCION'!$J$9:$J$1208,0)),0)-$AI717))</f>
        <v/>
      </c>
      <c r="AK717" s="10">
        <f>IF($A717="","",$AI717+$AJ717)</f>
        <v/>
      </c>
      <c r="AL717" s="6" t="n"/>
      <c r="AM717" s="6" t="n"/>
      <c r="AN717" s="6" t="n"/>
      <c r="AO717" s="3">
        <f>IF($AN717="","",HYPERLINK(p_ruta_base_checklists&amp;$AN717,"abrir"))</f>
        <v/>
      </c>
      <c r="AP717" s="6" t="n"/>
      <c r="AQ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IF($A718="","",IFERROR(INDEX('AJUSTES'!$B$4:$B$303,MATCH($AQ718,'AJUSTES'!$A$4:$A$303,0)),IF($K718="","",$K718)))</f>
        <v/>
      </c>
      <c r="N718" s="3">
        <f>IF($A718="","",IFERROR(INDEX('CAT_ESTADOS_ERP'!$B$4:$B$7,MATCH(IFERROR(INDEX('2_IMPORTAR_EJECUCION'!$C$9:$C$1208,MATCH($AQ718,'2_IMPORTAR_EJECUCION'!$J$9:$J$1208,0)),""),'CAT_ESTADOS_ERP'!$A$4:$A$7,0)),"Pendiente"))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J718="","",IFERROR(INDEX('CALENDARIO'!$C$15:$C$214,MATCH(TEXT($J718,"yyyy-mm-dd")&amp;"|"&amp;$V718&amp;"|"&amp;$W718,'CALENDARIO'!$G$15:$G$214,0)),IFERROR(INDEX('CALENDARIO'!$C$15:$C$214,MATCH(TEXT($J718,"yyyy-mm-dd")&amp;"|"&amp;$V718&amp;"|",'CALENDARIO'!$G$15:$G$214,0)),IFERROR(INDEX('CALENDARIO'!$C$15:$C$214,MATCH(TEXT($J718,"yyyy-mm-dd")&amp;"||",'CALENDARIO'!$G$15:$G$214,0)),INDEX(patronHabil,WEEKDAY($J718,2))))))</f>
        <v/>
      </c>
      <c r="T718" s="3">
        <f>IF($I718="","",IFERROR(INDEX('CAT_TIPOS_OT'!$C$4:$C$7,MATCH($I718,'CAT_TIPOS_OT'!$A$4:$A$7,0)),"sin_clasificar"))</f>
        <v/>
      </c>
      <c r="U718" s="3">
        <f>IF($F718="","",IFERROR(INDEX('CAT_CENTROS_COSTO'!$F$4:$F$13,MATCH($F718,'CAT_CENTROS_COSTO'!$A$4:$A$13,0)),"(sin catálogo)"))</f>
        <v/>
      </c>
      <c r="V718" s="3">
        <f>IF($F718="","",IFERROR(INDEX('CAT_CENTROS_COSTO'!$D$4:$D$13,MATCH($F718,'CAT_CENTROS_COSTO'!$A$4:$A$13,0)),"(sin catálogo)"))</f>
        <v/>
      </c>
      <c r="W718" s="3">
        <f>IF($F718="","",IF((IFERROR(INDEX('CAT_CENTROS_COSTO'!$E$4:$E$13,MATCH($F718,'CAT_CENTROS_COSTO'!$A$4:$A$13,0)),""))&lt;&gt;"",IFERROR(INDEX('CAT_CENTROS_COSTO'!$E$4:$E$13,MATCH($F718,'CAT_CENTROS_COSTO'!$A$4:$A$13,0)),""),$V718))</f>
        <v/>
      </c>
      <c r="X718" s="3">
        <f>IF($F718="","",IFERROR(INDEX('CAT_CENTROS_COSTO'!$G$4:$G$13,MATCH($F718,'CAT_CENTROS_COSTO'!$A$4:$A$13,0)),"(sin catálogo)"))</f>
        <v/>
      </c>
      <c r="Y718" s="3">
        <f>IF($G718="","",IFERROR(INDEX('CAT_PUESTOS'!$B$4:$B$8,MATCH($G718,'CAT_PUESTOS'!$A$4:$A$8,0)),"(sin catálogo)"))</f>
        <v/>
      </c>
      <c r="Z718" s="3">
        <f>IF($H718="","",IFERROR(INDEX('CAT_ACTIVIDADES'!$B$4:$B$8,MATCH($H718,'CAT_ACTIVIDADES'!$A$4:$A$8,0)),"(sin catálogo)"))</f>
        <v/>
      </c>
      <c r="AA718" s="12">
        <f>IF($J718="","",TODAY()-$J718)</f>
        <v/>
      </c>
      <c r="AB718" s="12">
        <f>IF($J718="","",IF($J718&lt;=TODAY(),COUNTIFS(cal_fechas,"&gt;="&amp;$J718,cal_fechas,"&lt;"&amp;TODAY(),cal_habil,"sí"),-COUNTIFS(cal_fechas,"&gt;="&amp;TODAY(),cal_fechas,"&lt;"&amp;$J718,cal_habil,"sí")))</f>
        <v/>
      </c>
      <c r="AC718" s="3">
        <f>IF($AB718="","",IF($AB718&lt;0,"FUTURO",IF($AB718&gt;p_dias_backlog_max,"BACKLOG","MES CORRIENTE")))</f>
        <v/>
      </c>
      <c r="AD718" s="3">
        <f>IF($AB718="",FALSE,AND($AB718&gt;p_dias_backlog_min,$AB718&lt;=p_dias_backlog_max))</f>
        <v/>
      </c>
      <c r="AE718" s="6" t="n"/>
      <c r="AF718" s="3">
        <f>IF($AE718="","",IF((IFERROR(INDEX('ASIGNACIONES'!$F$4:$F$339,MATCH($O718&amp;"|"&amp;$R718&amp;"|"&amp;$AE718,'ASIGNACIONES'!$J$4:$J$339,0)),""))=0,"",IFERROR(INDEX('ASIGNACIONES'!$F$4:$F$339,MATCH($O718&amp;"|"&amp;$R718&amp;"|"&amp;$AE718,'ASIGNACIONES'!$J$4:$J$339,0)),"")))</f>
        <v/>
      </c>
      <c r="AG718" s="13">
        <f>IF($AE718="","",SUMIFS('ORDENES'!$M$4:$M$1203,'ORDENES'!$AE$4:$AE$1203,$AE718,'ORDENES'!$O$4:$O$1203,$O718,'ORDENES'!$R$4:$R$1203,$R718))</f>
        <v/>
      </c>
      <c r="AH718" s="13">
        <f>IF($AG718="","",p_factor_productividad*IFERROR(INDEX('ASIGNACIONES'!$I$4:$I$339,MATCH($O718&amp;"|"&amp;$R718&amp;"|"&amp;$AE718,'ASIGNACIONES'!$J$4:$J$339,0)),0)-$AG718)</f>
        <v/>
      </c>
      <c r="AI718" s="10">
        <f>IF($A718="","",IFERROR(INDEX('2_IMPORTAR_EJECUCION'!$F$9:$F$1208,MATCH($AQ718,'2_IMPORTAR_EJECUCION'!$J$9:$J$1208,0)),0))</f>
        <v/>
      </c>
      <c r="AJ718" s="10">
        <f>IF($A718="","",MAX(0,IFERROR(INDEX('2_IMPORTAR_EJECUCION'!$H$9:$H$1208,MATCH($AQ718,'2_IMPORTAR_EJECUCION'!$J$9:$J$1208,0)),0)-$AI718))</f>
        <v/>
      </c>
      <c r="AK718" s="10">
        <f>IF($A718="","",$AI718+$AJ718)</f>
        <v/>
      </c>
      <c r="AL718" s="6" t="n"/>
      <c r="AM718" s="6" t="n"/>
      <c r="AN718" s="6" t="n"/>
      <c r="AO718" s="3">
        <f>IF($AN718="","",HYPERLINK(p_ruta_base_checklists&amp;$AN718,"abrir"))</f>
        <v/>
      </c>
      <c r="AP718" s="6" t="n"/>
      <c r="AQ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IF($A719="","",IFERROR(INDEX('AJUSTES'!$B$4:$B$303,MATCH($AQ719,'AJUSTES'!$A$4:$A$303,0)),IF($K719="","",$K719)))</f>
        <v/>
      </c>
      <c r="N719" s="3">
        <f>IF($A719="","",IFERROR(INDEX('CAT_ESTADOS_ERP'!$B$4:$B$7,MATCH(IFERROR(INDEX('2_IMPORTAR_EJECUCION'!$C$9:$C$1208,MATCH($AQ719,'2_IMPORTAR_EJECUCION'!$J$9:$J$1208,0)),""),'CAT_ESTADOS_ERP'!$A$4:$A$7,0)),"Pendiente"))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J719="","",IFERROR(INDEX('CALENDARIO'!$C$15:$C$214,MATCH(TEXT($J719,"yyyy-mm-dd")&amp;"|"&amp;$V719&amp;"|"&amp;$W719,'CALENDARIO'!$G$15:$G$214,0)),IFERROR(INDEX('CALENDARIO'!$C$15:$C$214,MATCH(TEXT($J719,"yyyy-mm-dd")&amp;"|"&amp;$V719&amp;"|",'CALENDARIO'!$G$15:$G$214,0)),IFERROR(INDEX('CALENDARIO'!$C$15:$C$214,MATCH(TEXT($J719,"yyyy-mm-dd")&amp;"||",'CALENDARIO'!$G$15:$G$214,0)),INDEX(patronHabil,WEEKDAY($J719,2))))))</f>
        <v/>
      </c>
      <c r="T719" s="3">
        <f>IF($I719="","",IFERROR(INDEX('CAT_TIPOS_OT'!$C$4:$C$7,MATCH($I719,'CAT_TIPOS_OT'!$A$4:$A$7,0)),"sin_clasificar"))</f>
        <v/>
      </c>
      <c r="U719" s="3">
        <f>IF($F719="","",IFERROR(INDEX('CAT_CENTROS_COSTO'!$F$4:$F$13,MATCH($F719,'CAT_CENTROS_COSTO'!$A$4:$A$13,0)),"(sin catálogo)"))</f>
        <v/>
      </c>
      <c r="V719" s="3">
        <f>IF($F719="","",IFERROR(INDEX('CAT_CENTROS_COSTO'!$D$4:$D$13,MATCH($F719,'CAT_CENTROS_COSTO'!$A$4:$A$13,0)),"(sin catálogo)"))</f>
        <v/>
      </c>
      <c r="W719" s="3">
        <f>IF($F719="","",IF((IFERROR(INDEX('CAT_CENTROS_COSTO'!$E$4:$E$13,MATCH($F719,'CAT_CENTROS_COSTO'!$A$4:$A$13,0)),""))&lt;&gt;"",IFERROR(INDEX('CAT_CENTROS_COSTO'!$E$4:$E$13,MATCH($F719,'CAT_CENTROS_COSTO'!$A$4:$A$13,0)),""),$V719))</f>
        <v/>
      </c>
      <c r="X719" s="3">
        <f>IF($F719="","",IFERROR(INDEX('CAT_CENTROS_COSTO'!$G$4:$G$13,MATCH($F719,'CAT_CENTROS_COSTO'!$A$4:$A$13,0)),"(sin catálogo)"))</f>
        <v/>
      </c>
      <c r="Y719" s="3">
        <f>IF($G719="","",IFERROR(INDEX('CAT_PUESTOS'!$B$4:$B$8,MATCH($G719,'CAT_PUESTOS'!$A$4:$A$8,0)),"(sin catálogo)"))</f>
        <v/>
      </c>
      <c r="Z719" s="3">
        <f>IF($H719="","",IFERROR(INDEX('CAT_ACTIVIDADES'!$B$4:$B$8,MATCH($H719,'CAT_ACTIVIDADES'!$A$4:$A$8,0)),"(sin catálogo)"))</f>
        <v/>
      </c>
      <c r="AA719" s="12">
        <f>IF($J719="","",TODAY()-$J719)</f>
        <v/>
      </c>
      <c r="AB719" s="12">
        <f>IF($J719="","",IF($J719&lt;=TODAY(),COUNTIFS(cal_fechas,"&gt;="&amp;$J719,cal_fechas,"&lt;"&amp;TODAY(),cal_habil,"sí"),-COUNTIFS(cal_fechas,"&gt;="&amp;TODAY(),cal_fechas,"&lt;"&amp;$J719,cal_habil,"sí")))</f>
        <v/>
      </c>
      <c r="AC719" s="3">
        <f>IF($AB719="","",IF($AB719&lt;0,"FUTURO",IF($AB719&gt;p_dias_backlog_max,"BACKLOG","MES CORRIENTE")))</f>
        <v/>
      </c>
      <c r="AD719" s="3">
        <f>IF($AB719="",FALSE,AND($AB719&gt;p_dias_backlog_min,$AB719&lt;=p_dias_backlog_max))</f>
        <v/>
      </c>
      <c r="AE719" s="6" t="n"/>
      <c r="AF719" s="3">
        <f>IF($AE719="","",IF((IFERROR(INDEX('ASIGNACIONES'!$F$4:$F$339,MATCH($O719&amp;"|"&amp;$R719&amp;"|"&amp;$AE719,'ASIGNACIONES'!$J$4:$J$339,0)),""))=0,"",IFERROR(INDEX('ASIGNACIONES'!$F$4:$F$339,MATCH($O719&amp;"|"&amp;$R719&amp;"|"&amp;$AE719,'ASIGNACIONES'!$J$4:$J$339,0)),"")))</f>
        <v/>
      </c>
      <c r="AG719" s="13">
        <f>IF($AE719="","",SUMIFS('ORDENES'!$M$4:$M$1203,'ORDENES'!$AE$4:$AE$1203,$AE719,'ORDENES'!$O$4:$O$1203,$O719,'ORDENES'!$R$4:$R$1203,$R719))</f>
        <v/>
      </c>
      <c r="AH719" s="13">
        <f>IF($AG719="","",p_factor_productividad*IFERROR(INDEX('ASIGNACIONES'!$I$4:$I$339,MATCH($O719&amp;"|"&amp;$R719&amp;"|"&amp;$AE719,'ASIGNACIONES'!$J$4:$J$339,0)),0)-$AG719)</f>
        <v/>
      </c>
      <c r="AI719" s="10">
        <f>IF($A719="","",IFERROR(INDEX('2_IMPORTAR_EJECUCION'!$F$9:$F$1208,MATCH($AQ719,'2_IMPORTAR_EJECUCION'!$J$9:$J$1208,0)),0))</f>
        <v/>
      </c>
      <c r="AJ719" s="10">
        <f>IF($A719="","",MAX(0,IFERROR(INDEX('2_IMPORTAR_EJECUCION'!$H$9:$H$1208,MATCH($AQ719,'2_IMPORTAR_EJECUCION'!$J$9:$J$1208,0)),0)-$AI719))</f>
        <v/>
      </c>
      <c r="AK719" s="10">
        <f>IF($A719="","",$AI719+$AJ719)</f>
        <v/>
      </c>
      <c r="AL719" s="6" t="n"/>
      <c r="AM719" s="6" t="n"/>
      <c r="AN719" s="6" t="n"/>
      <c r="AO719" s="3">
        <f>IF($AN719="","",HYPERLINK(p_ruta_base_checklists&amp;$AN719,"abrir"))</f>
        <v/>
      </c>
      <c r="AP719" s="6" t="n"/>
      <c r="AQ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IF($A720="","",IFERROR(INDEX('AJUSTES'!$B$4:$B$303,MATCH($AQ720,'AJUSTES'!$A$4:$A$303,0)),IF($K720="","",$K720)))</f>
        <v/>
      </c>
      <c r="N720" s="3">
        <f>IF($A720="","",IFERROR(INDEX('CAT_ESTADOS_ERP'!$B$4:$B$7,MATCH(IFERROR(INDEX('2_IMPORTAR_EJECUCION'!$C$9:$C$1208,MATCH($AQ720,'2_IMPORTAR_EJECUCION'!$J$9:$J$1208,0)),""),'CAT_ESTADOS_ERP'!$A$4:$A$7,0)),"Pendiente"))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J720="","",IFERROR(INDEX('CALENDARIO'!$C$15:$C$214,MATCH(TEXT($J720,"yyyy-mm-dd")&amp;"|"&amp;$V720&amp;"|"&amp;$W720,'CALENDARIO'!$G$15:$G$214,0)),IFERROR(INDEX('CALENDARIO'!$C$15:$C$214,MATCH(TEXT($J720,"yyyy-mm-dd")&amp;"|"&amp;$V720&amp;"|",'CALENDARIO'!$G$15:$G$214,0)),IFERROR(INDEX('CALENDARIO'!$C$15:$C$214,MATCH(TEXT($J720,"yyyy-mm-dd")&amp;"||",'CALENDARIO'!$G$15:$G$214,0)),INDEX(patronHabil,WEEKDAY($J720,2))))))</f>
        <v/>
      </c>
      <c r="T720" s="3">
        <f>IF($I720="","",IFERROR(INDEX('CAT_TIPOS_OT'!$C$4:$C$7,MATCH($I720,'CAT_TIPOS_OT'!$A$4:$A$7,0)),"sin_clasificar"))</f>
        <v/>
      </c>
      <c r="U720" s="3">
        <f>IF($F720="","",IFERROR(INDEX('CAT_CENTROS_COSTO'!$F$4:$F$13,MATCH($F720,'CAT_CENTROS_COSTO'!$A$4:$A$13,0)),"(sin catálogo)"))</f>
        <v/>
      </c>
      <c r="V720" s="3">
        <f>IF($F720="","",IFERROR(INDEX('CAT_CENTROS_COSTO'!$D$4:$D$13,MATCH($F720,'CAT_CENTROS_COSTO'!$A$4:$A$13,0)),"(sin catálogo)"))</f>
        <v/>
      </c>
      <c r="W720" s="3">
        <f>IF($F720="","",IF((IFERROR(INDEX('CAT_CENTROS_COSTO'!$E$4:$E$13,MATCH($F720,'CAT_CENTROS_COSTO'!$A$4:$A$13,0)),""))&lt;&gt;"",IFERROR(INDEX('CAT_CENTROS_COSTO'!$E$4:$E$13,MATCH($F720,'CAT_CENTROS_COSTO'!$A$4:$A$13,0)),""),$V720))</f>
        <v/>
      </c>
      <c r="X720" s="3">
        <f>IF($F720="","",IFERROR(INDEX('CAT_CENTROS_COSTO'!$G$4:$G$13,MATCH($F720,'CAT_CENTROS_COSTO'!$A$4:$A$13,0)),"(sin catálogo)"))</f>
        <v/>
      </c>
      <c r="Y720" s="3">
        <f>IF($G720="","",IFERROR(INDEX('CAT_PUESTOS'!$B$4:$B$8,MATCH($G720,'CAT_PUESTOS'!$A$4:$A$8,0)),"(sin catálogo)"))</f>
        <v/>
      </c>
      <c r="Z720" s="3">
        <f>IF($H720="","",IFERROR(INDEX('CAT_ACTIVIDADES'!$B$4:$B$8,MATCH($H720,'CAT_ACTIVIDADES'!$A$4:$A$8,0)),"(sin catálogo)"))</f>
        <v/>
      </c>
      <c r="AA720" s="12">
        <f>IF($J720="","",TODAY()-$J720)</f>
        <v/>
      </c>
      <c r="AB720" s="12">
        <f>IF($J720="","",IF($J720&lt;=TODAY(),COUNTIFS(cal_fechas,"&gt;="&amp;$J720,cal_fechas,"&lt;"&amp;TODAY(),cal_habil,"sí"),-COUNTIFS(cal_fechas,"&gt;="&amp;TODAY(),cal_fechas,"&lt;"&amp;$J720,cal_habil,"sí")))</f>
        <v/>
      </c>
      <c r="AC720" s="3">
        <f>IF($AB720="","",IF($AB720&lt;0,"FUTURO",IF($AB720&gt;p_dias_backlog_max,"BACKLOG","MES CORRIENTE")))</f>
        <v/>
      </c>
      <c r="AD720" s="3">
        <f>IF($AB720="",FALSE,AND($AB720&gt;p_dias_backlog_min,$AB720&lt;=p_dias_backlog_max))</f>
        <v/>
      </c>
      <c r="AE720" s="6" t="n"/>
      <c r="AF720" s="3">
        <f>IF($AE720="","",IF((IFERROR(INDEX('ASIGNACIONES'!$F$4:$F$339,MATCH($O720&amp;"|"&amp;$R720&amp;"|"&amp;$AE720,'ASIGNACIONES'!$J$4:$J$339,0)),""))=0,"",IFERROR(INDEX('ASIGNACIONES'!$F$4:$F$339,MATCH($O720&amp;"|"&amp;$R720&amp;"|"&amp;$AE720,'ASIGNACIONES'!$J$4:$J$339,0)),"")))</f>
        <v/>
      </c>
      <c r="AG720" s="13">
        <f>IF($AE720="","",SUMIFS('ORDENES'!$M$4:$M$1203,'ORDENES'!$AE$4:$AE$1203,$AE720,'ORDENES'!$O$4:$O$1203,$O720,'ORDENES'!$R$4:$R$1203,$R720))</f>
        <v/>
      </c>
      <c r="AH720" s="13">
        <f>IF($AG720="","",p_factor_productividad*IFERROR(INDEX('ASIGNACIONES'!$I$4:$I$339,MATCH($O720&amp;"|"&amp;$R720&amp;"|"&amp;$AE720,'ASIGNACIONES'!$J$4:$J$339,0)),0)-$AG720)</f>
        <v/>
      </c>
      <c r="AI720" s="10">
        <f>IF($A720="","",IFERROR(INDEX('2_IMPORTAR_EJECUCION'!$F$9:$F$1208,MATCH($AQ720,'2_IMPORTAR_EJECUCION'!$J$9:$J$1208,0)),0))</f>
        <v/>
      </c>
      <c r="AJ720" s="10">
        <f>IF($A720="","",MAX(0,IFERROR(INDEX('2_IMPORTAR_EJECUCION'!$H$9:$H$1208,MATCH($AQ720,'2_IMPORTAR_EJECUCION'!$J$9:$J$1208,0)),0)-$AI720))</f>
        <v/>
      </c>
      <c r="AK720" s="10">
        <f>IF($A720="","",$AI720+$AJ720)</f>
        <v/>
      </c>
      <c r="AL720" s="6" t="n"/>
      <c r="AM720" s="6" t="n"/>
      <c r="AN720" s="6" t="n"/>
      <c r="AO720" s="3">
        <f>IF($AN720="","",HYPERLINK(p_ruta_base_checklists&amp;$AN720,"abrir"))</f>
        <v/>
      </c>
      <c r="AP720" s="6" t="n"/>
      <c r="AQ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IF($A721="","",IFERROR(INDEX('AJUSTES'!$B$4:$B$303,MATCH($AQ721,'AJUSTES'!$A$4:$A$303,0)),IF($K721="","",$K721)))</f>
        <v/>
      </c>
      <c r="N721" s="3">
        <f>IF($A721="","",IFERROR(INDEX('CAT_ESTADOS_ERP'!$B$4:$B$7,MATCH(IFERROR(INDEX('2_IMPORTAR_EJECUCION'!$C$9:$C$1208,MATCH($AQ721,'2_IMPORTAR_EJECUCION'!$J$9:$J$1208,0)),""),'CAT_ESTADOS_ERP'!$A$4:$A$7,0)),"Pendiente"))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J721="","",IFERROR(INDEX('CALENDARIO'!$C$15:$C$214,MATCH(TEXT($J721,"yyyy-mm-dd")&amp;"|"&amp;$V721&amp;"|"&amp;$W721,'CALENDARIO'!$G$15:$G$214,0)),IFERROR(INDEX('CALENDARIO'!$C$15:$C$214,MATCH(TEXT($J721,"yyyy-mm-dd")&amp;"|"&amp;$V721&amp;"|",'CALENDARIO'!$G$15:$G$214,0)),IFERROR(INDEX('CALENDARIO'!$C$15:$C$214,MATCH(TEXT($J721,"yyyy-mm-dd")&amp;"||",'CALENDARIO'!$G$15:$G$214,0)),INDEX(patronHabil,WEEKDAY($J721,2))))))</f>
        <v/>
      </c>
      <c r="T721" s="3">
        <f>IF($I721="","",IFERROR(INDEX('CAT_TIPOS_OT'!$C$4:$C$7,MATCH($I721,'CAT_TIPOS_OT'!$A$4:$A$7,0)),"sin_clasificar"))</f>
        <v/>
      </c>
      <c r="U721" s="3">
        <f>IF($F721="","",IFERROR(INDEX('CAT_CENTROS_COSTO'!$F$4:$F$13,MATCH($F721,'CAT_CENTROS_COSTO'!$A$4:$A$13,0)),"(sin catálogo)"))</f>
        <v/>
      </c>
      <c r="V721" s="3">
        <f>IF($F721="","",IFERROR(INDEX('CAT_CENTROS_COSTO'!$D$4:$D$13,MATCH($F721,'CAT_CENTROS_COSTO'!$A$4:$A$13,0)),"(sin catálogo)"))</f>
        <v/>
      </c>
      <c r="W721" s="3">
        <f>IF($F721="","",IF((IFERROR(INDEX('CAT_CENTROS_COSTO'!$E$4:$E$13,MATCH($F721,'CAT_CENTROS_COSTO'!$A$4:$A$13,0)),""))&lt;&gt;"",IFERROR(INDEX('CAT_CENTROS_COSTO'!$E$4:$E$13,MATCH($F721,'CAT_CENTROS_COSTO'!$A$4:$A$13,0)),""),$V721))</f>
        <v/>
      </c>
      <c r="X721" s="3">
        <f>IF($F721="","",IFERROR(INDEX('CAT_CENTROS_COSTO'!$G$4:$G$13,MATCH($F721,'CAT_CENTROS_COSTO'!$A$4:$A$13,0)),"(sin catálogo)"))</f>
        <v/>
      </c>
      <c r="Y721" s="3">
        <f>IF($G721="","",IFERROR(INDEX('CAT_PUESTOS'!$B$4:$B$8,MATCH($G721,'CAT_PUESTOS'!$A$4:$A$8,0)),"(sin catálogo)"))</f>
        <v/>
      </c>
      <c r="Z721" s="3">
        <f>IF($H721="","",IFERROR(INDEX('CAT_ACTIVIDADES'!$B$4:$B$8,MATCH($H721,'CAT_ACTIVIDADES'!$A$4:$A$8,0)),"(sin catálogo)"))</f>
        <v/>
      </c>
      <c r="AA721" s="12">
        <f>IF($J721="","",TODAY()-$J721)</f>
        <v/>
      </c>
      <c r="AB721" s="12">
        <f>IF($J721="","",IF($J721&lt;=TODAY(),COUNTIFS(cal_fechas,"&gt;="&amp;$J721,cal_fechas,"&lt;"&amp;TODAY(),cal_habil,"sí"),-COUNTIFS(cal_fechas,"&gt;="&amp;TODAY(),cal_fechas,"&lt;"&amp;$J721,cal_habil,"sí")))</f>
        <v/>
      </c>
      <c r="AC721" s="3">
        <f>IF($AB721="","",IF($AB721&lt;0,"FUTURO",IF($AB721&gt;p_dias_backlog_max,"BACKLOG","MES CORRIENTE")))</f>
        <v/>
      </c>
      <c r="AD721" s="3">
        <f>IF($AB721="",FALSE,AND($AB721&gt;p_dias_backlog_min,$AB721&lt;=p_dias_backlog_max))</f>
        <v/>
      </c>
      <c r="AE721" s="6" t="n"/>
      <c r="AF721" s="3">
        <f>IF($AE721="","",IF((IFERROR(INDEX('ASIGNACIONES'!$F$4:$F$339,MATCH($O721&amp;"|"&amp;$R721&amp;"|"&amp;$AE721,'ASIGNACIONES'!$J$4:$J$339,0)),""))=0,"",IFERROR(INDEX('ASIGNACIONES'!$F$4:$F$339,MATCH($O721&amp;"|"&amp;$R721&amp;"|"&amp;$AE721,'ASIGNACIONES'!$J$4:$J$339,0)),"")))</f>
        <v/>
      </c>
      <c r="AG721" s="13">
        <f>IF($AE721="","",SUMIFS('ORDENES'!$M$4:$M$1203,'ORDENES'!$AE$4:$AE$1203,$AE721,'ORDENES'!$O$4:$O$1203,$O721,'ORDENES'!$R$4:$R$1203,$R721))</f>
        <v/>
      </c>
      <c r="AH721" s="13">
        <f>IF($AG721="","",p_factor_productividad*IFERROR(INDEX('ASIGNACIONES'!$I$4:$I$339,MATCH($O721&amp;"|"&amp;$R721&amp;"|"&amp;$AE721,'ASIGNACIONES'!$J$4:$J$339,0)),0)-$AG721)</f>
        <v/>
      </c>
      <c r="AI721" s="10">
        <f>IF($A721="","",IFERROR(INDEX('2_IMPORTAR_EJECUCION'!$F$9:$F$1208,MATCH($AQ721,'2_IMPORTAR_EJECUCION'!$J$9:$J$1208,0)),0))</f>
        <v/>
      </c>
      <c r="AJ721" s="10">
        <f>IF($A721="","",MAX(0,IFERROR(INDEX('2_IMPORTAR_EJECUCION'!$H$9:$H$1208,MATCH($AQ721,'2_IMPORTAR_EJECUCION'!$J$9:$J$1208,0)),0)-$AI721))</f>
        <v/>
      </c>
      <c r="AK721" s="10">
        <f>IF($A721="","",$AI721+$AJ721)</f>
        <v/>
      </c>
      <c r="AL721" s="6" t="n"/>
      <c r="AM721" s="6" t="n"/>
      <c r="AN721" s="6" t="n"/>
      <c r="AO721" s="3">
        <f>IF($AN721="","",HYPERLINK(p_ruta_base_checklists&amp;$AN721,"abrir"))</f>
        <v/>
      </c>
      <c r="AP721" s="6" t="n"/>
      <c r="AQ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IF($A722="","",IFERROR(INDEX('AJUSTES'!$B$4:$B$303,MATCH($AQ722,'AJUSTES'!$A$4:$A$303,0)),IF($K722="","",$K722)))</f>
        <v/>
      </c>
      <c r="N722" s="3">
        <f>IF($A722="","",IFERROR(INDEX('CAT_ESTADOS_ERP'!$B$4:$B$7,MATCH(IFERROR(INDEX('2_IMPORTAR_EJECUCION'!$C$9:$C$1208,MATCH($AQ722,'2_IMPORTAR_EJECUCION'!$J$9:$J$1208,0)),""),'CAT_ESTADOS_ERP'!$A$4:$A$7,0)),"Pendiente"))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J722="","",IFERROR(INDEX('CALENDARIO'!$C$15:$C$214,MATCH(TEXT($J722,"yyyy-mm-dd")&amp;"|"&amp;$V722&amp;"|"&amp;$W722,'CALENDARIO'!$G$15:$G$214,0)),IFERROR(INDEX('CALENDARIO'!$C$15:$C$214,MATCH(TEXT($J722,"yyyy-mm-dd")&amp;"|"&amp;$V722&amp;"|",'CALENDARIO'!$G$15:$G$214,0)),IFERROR(INDEX('CALENDARIO'!$C$15:$C$214,MATCH(TEXT($J722,"yyyy-mm-dd")&amp;"||",'CALENDARIO'!$G$15:$G$214,0)),INDEX(patronHabil,WEEKDAY($J722,2))))))</f>
        <v/>
      </c>
      <c r="T722" s="3">
        <f>IF($I722="","",IFERROR(INDEX('CAT_TIPOS_OT'!$C$4:$C$7,MATCH($I722,'CAT_TIPOS_OT'!$A$4:$A$7,0)),"sin_clasificar"))</f>
        <v/>
      </c>
      <c r="U722" s="3">
        <f>IF($F722="","",IFERROR(INDEX('CAT_CENTROS_COSTO'!$F$4:$F$13,MATCH($F722,'CAT_CENTROS_COSTO'!$A$4:$A$13,0)),"(sin catálogo)"))</f>
        <v/>
      </c>
      <c r="V722" s="3">
        <f>IF($F722="","",IFERROR(INDEX('CAT_CENTROS_COSTO'!$D$4:$D$13,MATCH($F722,'CAT_CENTROS_COSTO'!$A$4:$A$13,0)),"(sin catálogo)"))</f>
        <v/>
      </c>
      <c r="W722" s="3">
        <f>IF($F722="","",IF((IFERROR(INDEX('CAT_CENTROS_COSTO'!$E$4:$E$13,MATCH($F722,'CAT_CENTROS_COSTO'!$A$4:$A$13,0)),""))&lt;&gt;"",IFERROR(INDEX('CAT_CENTROS_COSTO'!$E$4:$E$13,MATCH($F722,'CAT_CENTROS_COSTO'!$A$4:$A$13,0)),""),$V722))</f>
        <v/>
      </c>
      <c r="X722" s="3">
        <f>IF($F722="","",IFERROR(INDEX('CAT_CENTROS_COSTO'!$G$4:$G$13,MATCH($F722,'CAT_CENTROS_COSTO'!$A$4:$A$13,0)),"(sin catálogo)"))</f>
        <v/>
      </c>
      <c r="Y722" s="3">
        <f>IF($G722="","",IFERROR(INDEX('CAT_PUESTOS'!$B$4:$B$8,MATCH($G722,'CAT_PUESTOS'!$A$4:$A$8,0)),"(sin catálogo)"))</f>
        <v/>
      </c>
      <c r="Z722" s="3">
        <f>IF($H722="","",IFERROR(INDEX('CAT_ACTIVIDADES'!$B$4:$B$8,MATCH($H722,'CAT_ACTIVIDADES'!$A$4:$A$8,0)),"(sin catálogo)"))</f>
        <v/>
      </c>
      <c r="AA722" s="12">
        <f>IF($J722="","",TODAY()-$J722)</f>
        <v/>
      </c>
      <c r="AB722" s="12">
        <f>IF($J722="","",IF($J722&lt;=TODAY(),COUNTIFS(cal_fechas,"&gt;="&amp;$J722,cal_fechas,"&lt;"&amp;TODAY(),cal_habil,"sí"),-COUNTIFS(cal_fechas,"&gt;="&amp;TODAY(),cal_fechas,"&lt;"&amp;$J722,cal_habil,"sí")))</f>
        <v/>
      </c>
      <c r="AC722" s="3">
        <f>IF($AB722="","",IF($AB722&lt;0,"FUTURO",IF($AB722&gt;p_dias_backlog_max,"BACKLOG","MES CORRIENTE")))</f>
        <v/>
      </c>
      <c r="AD722" s="3">
        <f>IF($AB722="",FALSE,AND($AB722&gt;p_dias_backlog_min,$AB722&lt;=p_dias_backlog_max))</f>
        <v/>
      </c>
      <c r="AE722" s="6" t="n"/>
      <c r="AF722" s="3">
        <f>IF($AE722="","",IF((IFERROR(INDEX('ASIGNACIONES'!$F$4:$F$339,MATCH($O722&amp;"|"&amp;$R722&amp;"|"&amp;$AE722,'ASIGNACIONES'!$J$4:$J$339,0)),""))=0,"",IFERROR(INDEX('ASIGNACIONES'!$F$4:$F$339,MATCH($O722&amp;"|"&amp;$R722&amp;"|"&amp;$AE722,'ASIGNACIONES'!$J$4:$J$339,0)),"")))</f>
        <v/>
      </c>
      <c r="AG722" s="13">
        <f>IF($AE722="","",SUMIFS('ORDENES'!$M$4:$M$1203,'ORDENES'!$AE$4:$AE$1203,$AE722,'ORDENES'!$O$4:$O$1203,$O722,'ORDENES'!$R$4:$R$1203,$R722))</f>
        <v/>
      </c>
      <c r="AH722" s="13">
        <f>IF($AG722="","",p_factor_productividad*IFERROR(INDEX('ASIGNACIONES'!$I$4:$I$339,MATCH($O722&amp;"|"&amp;$R722&amp;"|"&amp;$AE722,'ASIGNACIONES'!$J$4:$J$339,0)),0)-$AG722)</f>
        <v/>
      </c>
      <c r="AI722" s="10">
        <f>IF($A722="","",IFERROR(INDEX('2_IMPORTAR_EJECUCION'!$F$9:$F$1208,MATCH($AQ722,'2_IMPORTAR_EJECUCION'!$J$9:$J$1208,0)),0))</f>
        <v/>
      </c>
      <c r="AJ722" s="10">
        <f>IF($A722="","",MAX(0,IFERROR(INDEX('2_IMPORTAR_EJECUCION'!$H$9:$H$1208,MATCH($AQ722,'2_IMPORTAR_EJECUCION'!$J$9:$J$1208,0)),0)-$AI722))</f>
        <v/>
      </c>
      <c r="AK722" s="10">
        <f>IF($A722="","",$AI722+$AJ722)</f>
        <v/>
      </c>
      <c r="AL722" s="6" t="n"/>
      <c r="AM722" s="6" t="n"/>
      <c r="AN722" s="6" t="n"/>
      <c r="AO722" s="3">
        <f>IF($AN722="","",HYPERLINK(p_ruta_base_checklists&amp;$AN722,"abrir"))</f>
        <v/>
      </c>
      <c r="AP722" s="6" t="n"/>
      <c r="AQ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IF($A723="","",IFERROR(INDEX('AJUSTES'!$B$4:$B$303,MATCH($AQ723,'AJUSTES'!$A$4:$A$303,0)),IF($K723="","",$K723)))</f>
        <v/>
      </c>
      <c r="N723" s="3">
        <f>IF($A723="","",IFERROR(INDEX('CAT_ESTADOS_ERP'!$B$4:$B$7,MATCH(IFERROR(INDEX('2_IMPORTAR_EJECUCION'!$C$9:$C$1208,MATCH($AQ723,'2_IMPORTAR_EJECUCION'!$J$9:$J$1208,0)),""),'CAT_ESTADOS_ERP'!$A$4:$A$7,0)),"Pendiente"))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J723="","",IFERROR(INDEX('CALENDARIO'!$C$15:$C$214,MATCH(TEXT($J723,"yyyy-mm-dd")&amp;"|"&amp;$V723&amp;"|"&amp;$W723,'CALENDARIO'!$G$15:$G$214,0)),IFERROR(INDEX('CALENDARIO'!$C$15:$C$214,MATCH(TEXT($J723,"yyyy-mm-dd")&amp;"|"&amp;$V723&amp;"|",'CALENDARIO'!$G$15:$G$214,0)),IFERROR(INDEX('CALENDARIO'!$C$15:$C$214,MATCH(TEXT($J723,"yyyy-mm-dd")&amp;"||",'CALENDARIO'!$G$15:$G$214,0)),INDEX(patronHabil,WEEKDAY($J723,2))))))</f>
        <v/>
      </c>
      <c r="T723" s="3">
        <f>IF($I723="","",IFERROR(INDEX('CAT_TIPOS_OT'!$C$4:$C$7,MATCH($I723,'CAT_TIPOS_OT'!$A$4:$A$7,0)),"sin_clasificar"))</f>
        <v/>
      </c>
      <c r="U723" s="3">
        <f>IF($F723="","",IFERROR(INDEX('CAT_CENTROS_COSTO'!$F$4:$F$13,MATCH($F723,'CAT_CENTROS_COSTO'!$A$4:$A$13,0)),"(sin catálogo)"))</f>
        <v/>
      </c>
      <c r="V723" s="3">
        <f>IF($F723="","",IFERROR(INDEX('CAT_CENTROS_COSTO'!$D$4:$D$13,MATCH($F723,'CAT_CENTROS_COSTO'!$A$4:$A$13,0)),"(sin catálogo)"))</f>
        <v/>
      </c>
      <c r="W723" s="3">
        <f>IF($F723="","",IF((IFERROR(INDEX('CAT_CENTROS_COSTO'!$E$4:$E$13,MATCH($F723,'CAT_CENTROS_COSTO'!$A$4:$A$13,0)),""))&lt;&gt;"",IFERROR(INDEX('CAT_CENTROS_COSTO'!$E$4:$E$13,MATCH($F723,'CAT_CENTROS_COSTO'!$A$4:$A$13,0)),""),$V723))</f>
        <v/>
      </c>
      <c r="X723" s="3">
        <f>IF($F723="","",IFERROR(INDEX('CAT_CENTROS_COSTO'!$G$4:$G$13,MATCH($F723,'CAT_CENTROS_COSTO'!$A$4:$A$13,0)),"(sin catálogo)"))</f>
        <v/>
      </c>
      <c r="Y723" s="3">
        <f>IF($G723="","",IFERROR(INDEX('CAT_PUESTOS'!$B$4:$B$8,MATCH($G723,'CAT_PUESTOS'!$A$4:$A$8,0)),"(sin catálogo)"))</f>
        <v/>
      </c>
      <c r="Z723" s="3">
        <f>IF($H723="","",IFERROR(INDEX('CAT_ACTIVIDADES'!$B$4:$B$8,MATCH($H723,'CAT_ACTIVIDADES'!$A$4:$A$8,0)),"(sin catálogo)"))</f>
        <v/>
      </c>
      <c r="AA723" s="12">
        <f>IF($J723="","",TODAY()-$J723)</f>
        <v/>
      </c>
      <c r="AB723" s="12">
        <f>IF($J723="","",IF($J723&lt;=TODAY(),COUNTIFS(cal_fechas,"&gt;="&amp;$J723,cal_fechas,"&lt;"&amp;TODAY(),cal_habil,"sí"),-COUNTIFS(cal_fechas,"&gt;="&amp;TODAY(),cal_fechas,"&lt;"&amp;$J723,cal_habil,"sí")))</f>
        <v/>
      </c>
      <c r="AC723" s="3">
        <f>IF($AB723="","",IF($AB723&lt;0,"FUTURO",IF($AB723&gt;p_dias_backlog_max,"BACKLOG","MES CORRIENTE")))</f>
        <v/>
      </c>
      <c r="AD723" s="3">
        <f>IF($AB723="",FALSE,AND($AB723&gt;p_dias_backlog_min,$AB723&lt;=p_dias_backlog_max))</f>
        <v/>
      </c>
      <c r="AE723" s="6" t="n"/>
      <c r="AF723" s="3">
        <f>IF($AE723="","",IF((IFERROR(INDEX('ASIGNACIONES'!$F$4:$F$339,MATCH($O723&amp;"|"&amp;$R723&amp;"|"&amp;$AE723,'ASIGNACIONES'!$J$4:$J$339,0)),""))=0,"",IFERROR(INDEX('ASIGNACIONES'!$F$4:$F$339,MATCH($O723&amp;"|"&amp;$R723&amp;"|"&amp;$AE723,'ASIGNACIONES'!$J$4:$J$339,0)),"")))</f>
        <v/>
      </c>
      <c r="AG723" s="13">
        <f>IF($AE723="","",SUMIFS('ORDENES'!$M$4:$M$1203,'ORDENES'!$AE$4:$AE$1203,$AE723,'ORDENES'!$O$4:$O$1203,$O723,'ORDENES'!$R$4:$R$1203,$R723))</f>
        <v/>
      </c>
      <c r="AH723" s="13">
        <f>IF($AG723="","",p_factor_productividad*IFERROR(INDEX('ASIGNACIONES'!$I$4:$I$339,MATCH($O723&amp;"|"&amp;$R723&amp;"|"&amp;$AE723,'ASIGNACIONES'!$J$4:$J$339,0)),0)-$AG723)</f>
        <v/>
      </c>
      <c r="AI723" s="10">
        <f>IF($A723="","",IFERROR(INDEX('2_IMPORTAR_EJECUCION'!$F$9:$F$1208,MATCH($AQ723,'2_IMPORTAR_EJECUCION'!$J$9:$J$1208,0)),0))</f>
        <v/>
      </c>
      <c r="AJ723" s="10">
        <f>IF($A723="","",MAX(0,IFERROR(INDEX('2_IMPORTAR_EJECUCION'!$H$9:$H$1208,MATCH($AQ723,'2_IMPORTAR_EJECUCION'!$J$9:$J$1208,0)),0)-$AI723))</f>
        <v/>
      </c>
      <c r="AK723" s="10">
        <f>IF($A723="","",$AI723+$AJ723)</f>
        <v/>
      </c>
      <c r="AL723" s="6" t="n"/>
      <c r="AM723" s="6" t="n"/>
      <c r="AN723" s="6" t="n"/>
      <c r="AO723" s="3">
        <f>IF($AN723="","",HYPERLINK(p_ruta_base_checklists&amp;$AN723,"abrir"))</f>
        <v/>
      </c>
      <c r="AP723" s="6" t="n"/>
      <c r="AQ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IF($A724="","",IFERROR(INDEX('AJUSTES'!$B$4:$B$303,MATCH($AQ724,'AJUSTES'!$A$4:$A$303,0)),IF($K724="","",$K724)))</f>
        <v/>
      </c>
      <c r="N724" s="3">
        <f>IF($A724="","",IFERROR(INDEX('CAT_ESTADOS_ERP'!$B$4:$B$7,MATCH(IFERROR(INDEX('2_IMPORTAR_EJECUCION'!$C$9:$C$1208,MATCH($AQ724,'2_IMPORTAR_EJECUCION'!$J$9:$J$1208,0)),""),'CAT_ESTADOS_ERP'!$A$4:$A$7,0)),"Pendiente"))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J724="","",IFERROR(INDEX('CALENDARIO'!$C$15:$C$214,MATCH(TEXT($J724,"yyyy-mm-dd")&amp;"|"&amp;$V724&amp;"|"&amp;$W724,'CALENDARIO'!$G$15:$G$214,0)),IFERROR(INDEX('CALENDARIO'!$C$15:$C$214,MATCH(TEXT($J724,"yyyy-mm-dd")&amp;"|"&amp;$V724&amp;"|",'CALENDARIO'!$G$15:$G$214,0)),IFERROR(INDEX('CALENDARIO'!$C$15:$C$214,MATCH(TEXT($J724,"yyyy-mm-dd")&amp;"||",'CALENDARIO'!$G$15:$G$214,0)),INDEX(patronHabil,WEEKDAY($J724,2))))))</f>
        <v/>
      </c>
      <c r="T724" s="3">
        <f>IF($I724="","",IFERROR(INDEX('CAT_TIPOS_OT'!$C$4:$C$7,MATCH($I724,'CAT_TIPOS_OT'!$A$4:$A$7,0)),"sin_clasificar"))</f>
        <v/>
      </c>
      <c r="U724" s="3">
        <f>IF($F724="","",IFERROR(INDEX('CAT_CENTROS_COSTO'!$F$4:$F$13,MATCH($F724,'CAT_CENTROS_COSTO'!$A$4:$A$13,0)),"(sin catálogo)"))</f>
        <v/>
      </c>
      <c r="V724" s="3">
        <f>IF($F724="","",IFERROR(INDEX('CAT_CENTROS_COSTO'!$D$4:$D$13,MATCH($F724,'CAT_CENTROS_COSTO'!$A$4:$A$13,0)),"(sin catálogo)"))</f>
        <v/>
      </c>
      <c r="W724" s="3">
        <f>IF($F724="","",IF((IFERROR(INDEX('CAT_CENTROS_COSTO'!$E$4:$E$13,MATCH($F724,'CAT_CENTROS_COSTO'!$A$4:$A$13,0)),""))&lt;&gt;"",IFERROR(INDEX('CAT_CENTROS_COSTO'!$E$4:$E$13,MATCH($F724,'CAT_CENTROS_COSTO'!$A$4:$A$13,0)),""),$V724))</f>
        <v/>
      </c>
      <c r="X724" s="3">
        <f>IF($F724="","",IFERROR(INDEX('CAT_CENTROS_COSTO'!$G$4:$G$13,MATCH($F724,'CAT_CENTROS_COSTO'!$A$4:$A$13,0)),"(sin catálogo)"))</f>
        <v/>
      </c>
      <c r="Y724" s="3">
        <f>IF($G724="","",IFERROR(INDEX('CAT_PUESTOS'!$B$4:$B$8,MATCH($G724,'CAT_PUESTOS'!$A$4:$A$8,0)),"(sin catálogo)"))</f>
        <v/>
      </c>
      <c r="Z724" s="3">
        <f>IF($H724="","",IFERROR(INDEX('CAT_ACTIVIDADES'!$B$4:$B$8,MATCH($H724,'CAT_ACTIVIDADES'!$A$4:$A$8,0)),"(sin catálogo)"))</f>
        <v/>
      </c>
      <c r="AA724" s="12">
        <f>IF($J724="","",TODAY()-$J724)</f>
        <v/>
      </c>
      <c r="AB724" s="12">
        <f>IF($J724="","",IF($J724&lt;=TODAY(),COUNTIFS(cal_fechas,"&gt;="&amp;$J724,cal_fechas,"&lt;"&amp;TODAY(),cal_habil,"sí"),-COUNTIFS(cal_fechas,"&gt;="&amp;TODAY(),cal_fechas,"&lt;"&amp;$J724,cal_habil,"sí")))</f>
        <v/>
      </c>
      <c r="AC724" s="3">
        <f>IF($AB724="","",IF($AB724&lt;0,"FUTURO",IF($AB724&gt;p_dias_backlog_max,"BACKLOG","MES CORRIENTE")))</f>
        <v/>
      </c>
      <c r="AD724" s="3">
        <f>IF($AB724="",FALSE,AND($AB724&gt;p_dias_backlog_min,$AB724&lt;=p_dias_backlog_max))</f>
        <v/>
      </c>
      <c r="AE724" s="6" t="n"/>
      <c r="AF724" s="3">
        <f>IF($AE724="","",IF((IFERROR(INDEX('ASIGNACIONES'!$F$4:$F$339,MATCH($O724&amp;"|"&amp;$R724&amp;"|"&amp;$AE724,'ASIGNACIONES'!$J$4:$J$339,0)),""))=0,"",IFERROR(INDEX('ASIGNACIONES'!$F$4:$F$339,MATCH($O724&amp;"|"&amp;$R724&amp;"|"&amp;$AE724,'ASIGNACIONES'!$J$4:$J$339,0)),"")))</f>
        <v/>
      </c>
      <c r="AG724" s="13">
        <f>IF($AE724="","",SUMIFS('ORDENES'!$M$4:$M$1203,'ORDENES'!$AE$4:$AE$1203,$AE724,'ORDENES'!$O$4:$O$1203,$O724,'ORDENES'!$R$4:$R$1203,$R724))</f>
        <v/>
      </c>
      <c r="AH724" s="13">
        <f>IF($AG724="","",p_factor_productividad*IFERROR(INDEX('ASIGNACIONES'!$I$4:$I$339,MATCH($O724&amp;"|"&amp;$R724&amp;"|"&amp;$AE724,'ASIGNACIONES'!$J$4:$J$339,0)),0)-$AG724)</f>
        <v/>
      </c>
      <c r="AI724" s="10">
        <f>IF($A724="","",IFERROR(INDEX('2_IMPORTAR_EJECUCION'!$F$9:$F$1208,MATCH($AQ724,'2_IMPORTAR_EJECUCION'!$J$9:$J$1208,0)),0))</f>
        <v/>
      </c>
      <c r="AJ724" s="10">
        <f>IF($A724="","",MAX(0,IFERROR(INDEX('2_IMPORTAR_EJECUCION'!$H$9:$H$1208,MATCH($AQ724,'2_IMPORTAR_EJECUCION'!$J$9:$J$1208,0)),0)-$AI724))</f>
        <v/>
      </c>
      <c r="AK724" s="10">
        <f>IF($A724="","",$AI724+$AJ724)</f>
        <v/>
      </c>
      <c r="AL724" s="6" t="n"/>
      <c r="AM724" s="6" t="n"/>
      <c r="AN724" s="6" t="n"/>
      <c r="AO724" s="3">
        <f>IF($AN724="","",HYPERLINK(p_ruta_base_checklists&amp;$AN724,"abrir"))</f>
        <v/>
      </c>
      <c r="AP724" s="6" t="n"/>
      <c r="AQ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IF($A725="","",IFERROR(INDEX('AJUSTES'!$B$4:$B$303,MATCH($AQ725,'AJUSTES'!$A$4:$A$303,0)),IF($K725="","",$K725)))</f>
        <v/>
      </c>
      <c r="N725" s="3">
        <f>IF($A725="","",IFERROR(INDEX('CAT_ESTADOS_ERP'!$B$4:$B$7,MATCH(IFERROR(INDEX('2_IMPORTAR_EJECUCION'!$C$9:$C$1208,MATCH($AQ725,'2_IMPORTAR_EJECUCION'!$J$9:$J$1208,0)),""),'CAT_ESTADOS_ERP'!$A$4:$A$7,0)),"Pendiente"))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J725="","",IFERROR(INDEX('CALENDARIO'!$C$15:$C$214,MATCH(TEXT($J725,"yyyy-mm-dd")&amp;"|"&amp;$V725&amp;"|"&amp;$W725,'CALENDARIO'!$G$15:$G$214,0)),IFERROR(INDEX('CALENDARIO'!$C$15:$C$214,MATCH(TEXT($J725,"yyyy-mm-dd")&amp;"|"&amp;$V725&amp;"|",'CALENDARIO'!$G$15:$G$214,0)),IFERROR(INDEX('CALENDARIO'!$C$15:$C$214,MATCH(TEXT($J725,"yyyy-mm-dd")&amp;"||",'CALENDARIO'!$G$15:$G$214,0)),INDEX(patronHabil,WEEKDAY($J725,2))))))</f>
        <v/>
      </c>
      <c r="T725" s="3">
        <f>IF($I725="","",IFERROR(INDEX('CAT_TIPOS_OT'!$C$4:$C$7,MATCH($I725,'CAT_TIPOS_OT'!$A$4:$A$7,0)),"sin_clasificar"))</f>
        <v/>
      </c>
      <c r="U725" s="3">
        <f>IF($F725="","",IFERROR(INDEX('CAT_CENTROS_COSTO'!$F$4:$F$13,MATCH($F725,'CAT_CENTROS_COSTO'!$A$4:$A$13,0)),"(sin catálogo)"))</f>
        <v/>
      </c>
      <c r="V725" s="3">
        <f>IF($F725="","",IFERROR(INDEX('CAT_CENTROS_COSTO'!$D$4:$D$13,MATCH($F725,'CAT_CENTROS_COSTO'!$A$4:$A$13,0)),"(sin catálogo)"))</f>
        <v/>
      </c>
      <c r="W725" s="3">
        <f>IF($F725="","",IF((IFERROR(INDEX('CAT_CENTROS_COSTO'!$E$4:$E$13,MATCH($F725,'CAT_CENTROS_COSTO'!$A$4:$A$13,0)),""))&lt;&gt;"",IFERROR(INDEX('CAT_CENTROS_COSTO'!$E$4:$E$13,MATCH($F725,'CAT_CENTROS_COSTO'!$A$4:$A$13,0)),""),$V725))</f>
        <v/>
      </c>
      <c r="X725" s="3">
        <f>IF($F725="","",IFERROR(INDEX('CAT_CENTROS_COSTO'!$G$4:$G$13,MATCH($F725,'CAT_CENTROS_COSTO'!$A$4:$A$13,0)),"(sin catálogo)"))</f>
        <v/>
      </c>
      <c r="Y725" s="3">
        <f>IF($G725="","",IFERROR(INDEX('CAT_PUESTOS'!$B$4:$B$8,MATCH($G725,'CAT_PUESTOS'!$A$4:$A$8,0)),"(sin catálogo)"))</f>
        <v/>
      </c>
      <c r="Z725" s="3">
        <f>IF($H725="","",IFERROR(INDEX('CAT_ACTIVIDADES'!$B$4:$B$8,MATCH($H725,'CAT_ACTIVIDADES'!$A$4:$A$8,0)),"(sin catálogo)"))</f>
        <v/>
      </c>
      <c r="AA725" s="12">
        <f>IF($J725="","",TODAY()-$J725)</f>
        <v/>
      </c>
      <c r="AB725" s="12">
        <f>IF($J725="","",IF($J725&lt;=TODAY(),COUNTIFS(cal_fechas,"&gt;="&amp;$J725,cal_fechas,"&lt;"&amp;TODAY(),cal_habil,"sí"),-COUNTIFS(cal_fechas,"&gt;="&amp;TODAY(),cal_fechas,"&lt;"&amp;$J725,cal_habil,"sí")))</f>
        <v/>
      </c>
      <c r="AC725" s="3">
        <f>IF($AB725="","",IF($AB725&lt;0,"FUTURO",IF($AB725&gt;p_dias_backlog_max,"BACKLOG","MES CORRIENTE")))</f>
        <v/>
      </c>
      <c r="AD725" s="3">
        <f>IF($AB725="",FALSE,AND($AB725&gt;p_dias_backlog_min,$AB725&lt;=p_dias_backlog_max))</f>
        <v/>
      </c>
      <c r="AE725" s="6" t="n"/>
      <c r="AF725" s="3">
        <f>IF($AE725="","",IF((IFERROR(INDEX('ASIGNACIONES'!$F$4:$F$339,MATCH($O725&amp;"|"&amp;$R725&amp;"|"&amp;$AE725,'ASIGNACIONES'!$J$4:$J$339,0)),""))=0,"",IFERROR(INDEX('ASIGNACIONES'!$F$4:$F$339,MATCH($O725&amp;"|"&amp;$R725&amp;"|"&amp;$AE725,'ASIGNACIONES'!$J$4:$J$339,0)),"")))</f>
        <v/>
      </c>
      <c r="AG725" s="13">
        <f>IF($AE725="","",SUMIFS('ORDENES'!$M$4:$M$1203,'ORDENES'!$AE$4:$AE$1203,$AE725,'ORDENES'!$O$4:$O$1203,$O725,'ORDENES'!$R$4:$R$1203,$R725))</f>
        <v/>
      </c>
      <c r="AH725" s="13">
        <f>IF($AG725="","",p_factor_productividad*IFERROR(INDEX('ASIGNACIONES'!$I$4:$I$339,MATCH($O725&amp;"|"&amp;$R725&amp;"|"&amp;$AE725,'ASIGNACIONES'!$J$4:$J$339,0)),0)-$AG725)</f>
        <v/>
      </c>
      <c r="AI725" s="10">
        <f>IF($A725="","",IFERROR(INDEX('2_IMPORTAR_EJECUCION'!$F$9:$F$1208,MATCH($AQ725,'2_IMPORTAR_EJECUCION'!$J$9:$J$1208,0)),0))</f>
        <v/>
      </c>
      <c r="AJ725" s="10">
        <f>IF($A725="","",MAX(0,IFERROR(INDEX('2_IMPORTAR_EJECUCION'!$H$9:$H$1208,MATCH($AQ725,'2_IMPORTAR_EJECUCION'!$J$9:$J$1208,0)),0)-$AI725))</f>
        <v/>
      </c>
      <c r="AK725" s="10">
        <f>IF($A725="","",$AI725+$AJ725)</f>
        <v/>
      </c>
      <c r="AL725" s="6" t="n"/>
      <c r="AM725" s="6" t="n"/>
      <c r="AN725" s="6" t="n"/>
      <c r="AO725" s="3">
        <f>IF($AN725="","",HYPERLINK(p_ruta_base_checklists&amp;$AN725,"abrir"))</f>
        <v/>
      </c>
      <c r="AP725" s="6" t="n"/>
      <c r="AQ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IF($A726="","",IFERROR(INDEX('AJUSTES'!$B$4:$B$303,MATCH($AQ726,'AJUSTES'!$A$4:$A$303,0)),IF($K726="","",$K726)))</f>
        <v/>
      </c>
      <c r="N726" s="3">
        <f>IF($A726="","",IFERROR(INDEX('CAT_ESTADOS_ERP'!$B$4:$B$7,MATCH(IFERROR(INDEX('2_IMPORTAR_EJECUCION'!$C$9:$C$1208,MATCH($AQ726,'2_IMPORTAR_EJECUCION'!$J$9:$J$1208,0)),""),'CAT_ESTADOS_ERP'!$A$4:$A$7,0)),"Pendiente"))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J726="","",IFERROR(INDEX('CALENDARIO'!$C$15:$C$214,MATCH(TEXT($J726,"yyyy-mm-dd")&amp;"|"&amp;$V726&amp;"|"&amp;$W726,'CALENDARIO'!$G$15:$G$214,0)),IFERROR(INDEX('CALENDARIO'!$C$15:$C$214,MATCH(TEXT($J726,"yyyy-mm-dd")&amp;"|"&amp;$V726&amp;"|",'CALENDARIO'!$G$15:$G$214,0)),IFERROR(INDEX('CALENDARIO'!$C$15:$C$214,MATCH(TEXT($J726,"yyyy-mm-dd")&amp;"||",'CALENDARIO'!$G$15:$G$214,0)),INDEX(patronHabil,WEEKDAY($J726,2))))))</f>
        <v/>
      </c>
      <c r="T726" s="3">
        <f>IF($I726="","",IFERROR(INDEX('CAT_TIPOS_OT'!$C$4:$C$7,MATCH($I726,'CAT_TIPOS_OT'!$A$4:$A$7,0)),"sin_clasificar"))</f>
        <v/>
      </c>
      <c r="U726" s="3">
        <f>IF($F726="","",IFERROR(INDEX('CAT_CENTROS_COSTO'!$F$4:$F$13,MATCH($F726,'CAT_CENTROS_COSTO'!$A$4:$A$13,0)),"(sin catálogo)"))</f>
        <v/>
      </c>
      <c r="V726" s="3">
        <f>IF($F726="","",IFERROR(INDEX('CAT_CENTROS_COSTO'!$D$4:$D$13,MATCH($F726,'CAT_CENTROS_COSTO'!$A$4:$A$13,0)),"(sin catálogo)"))</f>
        <v/>
      </c>
      <c r="W726" s="3">
        <f>IF($F726="","",IF((IFERROR(INDEX('CAT_CENTROS_COSTO'!$E$4:$E$13,MATCH($F726,'CAT_CENTROS_COSTO'!$A$4:$A$13,0)),""))&lt;&gt;"",IFERROR(INDEX('CAT_CENTROS_COSTO'!$E$4:$E$13,MATCH($F726,'CAT_CENTROS_COSTO'!$A$4:$A$13,0)),""),$V726))</f>
        <v/>
      </c>
      <c r="X726" s="3">
        <f>IF($F726="","",IFERROR(INDEX('CAT_CENTROS_COSTO'!$G$4:$G$13,MATCH($F726,'CAT_CENTROS_COSTO'!$A$4:$A$13,0)),"(sin catálogo)"))</f>
        <v/>
      </c>
      <c r="Y726" s="3">
        <f>IF($G726="","",IFERROR(INDEX('CAT_PUESTOS'!$B$4:$B$8,MATCH($G726,'CAT_PUESTOS'!$A$4:$A$8,0)),"(sin catálogo)"))</f>
        <v/>
      </c>
      <c r="Z726" s="3">
        <f>IF($H726="","",IFERROR(INDEX('CAT_ACTIVIDADES'!$B$4:$B$8,MATCH($H726,'CAT_ACTIVIDADES'!$A$4:$A$8,0)),"(sin catálogo)"))</f>
        <v/>
      </c>
      <c r="AA726" s="12">
        <f>IF($J726="","",TODAY()-$J726)</f>
        <v/>
      </c>
      <c r="AB726" s="12">
        <f>IF($J726="","",IF($J726&lt;=TODAY(),COUNTIFS(cal_fechas,"&gt;="&amp;$J726,cal_fechas,"&lt;"&amp;TODAY(),cal_habil,"sí"),-COUNTIFS(cal_fechas,"&gt;="&amp;TODAY(),cal_fechas,"&lt;"&amp;$J726,cal_habil,"sí")))</f>
        <v/>
      </c>
      <c r="AC726" s="3">
        <f>IF($AB726="","",IF($AB726&lt;0,"FUTURO",IF($AB726&gt;p_dias_backlog_max,"BACKLOG","MES CORRIENTE")))</f>
        <v/>
      </c>
      <c r="AD726" s="3">
        <f>IF($AB726="",FALSE,AND($AB726&gt;p_dias_backlog_min,$AB726&lt;=p_dias_backlog_max))</f>
        <v/>
      </c>
      <c r="AE726" s="6" t="n"/>
      <c r="AF726" s="3">
        <f>IF($AE726="","",IF((IFERROR(INDEX('ASIGNACIONES'!$F$4:$F$339,MATCH($O726&amp;"|"&amp;$R726&amp;"|"&amp;$AE726,'ASIGNACIONES'!$J$4:$J$339,0)),""))=0,"",IFERROR(INDEX('ASIGNACIONES'!$F$4:$F$339,MATCH($O726&amp;"|"&amp;$R726&amp;"|"&amp;$AE726,'ASIGNACIONES'!$J$4:$J$339,0)),"")))</f>
        <v/>
      </c>
      <c r="AG726" s="13">
        <f>IF($AE726="","",SUMIFS('ORDENES'!$M$4:$M$1203,'ORDENES'!$AE$4:$AE$1203,$AE726,'ORDENES'!$O$4:$O$1203,$O726,'ORDENES'!$R$4:$R$1203,$R726))</f>
        <v/>
      </c>
      <c r="AH726" s="13">
        <f>IF($AG726="","",p_factor_productividad*IFERROR(INDEX('ASIGNACIONES'!$I$4:$I$339,MATCH($O726&amp;"|"&amp;$R726&amp;"|"&amp;$AE726,'ASIGNACIONES'!$J$4:$J$339,0)),0)-$AG726)</f>
        <v/>
      </c>
      <c r="AI726" s="10">
        <f>IF($A726="","",IFERROR(INDEX('2_IMPORTAR_EJECUCION'!$F$9:$F$1208,MATCH($AQ726,'2_IMPORTAR_EJECUCION'!$J$9:$J$1208,0)),0))</f>
        <v/>
      </c>
      <c r="AJ726" s="10">
        <f>IF($A726="","",MAX(0,IFERROR(INDEX('2_IMPORTAR_EJECUCION'!$H$9:$H$1208,MATCH($AQ726,'2_IMPORTAR_EJECUCION'!$J$9:$J$1208,0)),0)-$AI726))</f>
        <v/>
      </c>
      <c r="AK726" s="10">
        <f>IF($A726="","",$AI726+$AJ726)</f>
        <v/>
      </c>
      <c r="AL726" s="6" t="n"/>
      <c r="AM726" s="6" t="n"/>
      <c r="AN726" s="6" t="n"/>
      <c r="AO726" s="3">
        <f>IF($AN726="","",HYPERLINK(p_ruta_base_checklists&amp;$AN726,"abrir"))</f>
        <v/>
      </c>
      <c r="AP726" s="6" t="n"/>
      <c r="AQ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IF($A727="","",IFERROR(INDEX('AJUSTES'!$B$4:$B$303,MATCH($AQ727,'AJUSTES'!$A$4:$A$303,0)),IF($K727="","",$K727)))</f>
        <v/>
      </c>
      <c r="N727" s="3">
        <f>IF($A727="","",IFERROR(INDEX('CAT_ESTADOS_ERP'!$B$4:$B$7,MATCH(IFERROR(INDEX('2_IMPORTAR_EJECUCION'!$C$9:$C$1208,MATCH($AQ727,'2_IMPORTAR_EJECUCION'!$J$9:$J$1208,0)),""),'CAT_ESTADOS_ERP'!$A$4:$A$7,0)),"Pendiente"))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J727="","",IFERROR(INDEX('CALENDARIO'!$C$15:$C$214,MATCH(TEXT($J727,"yyyy-mm-dd")&amp;"|"&amp;$V727&amp;"|"&amp;$W727,'CALENDARIO'!$G$15:$G$214,0)),IFERROR(INDEX('CALENDARIO'!$C$15:$C$214,MATCH(TEXT($J727,"yyyy-mm-dd")&amp;"|"&amp;$V727&amp;"|",'CALENDARIO'!$G$15:$G$214,0)),IFERROR(INDEX('CALENDARIO'!$C$15:$C$214,MATCH(TEXT($J727,"yyyy-mm-dd")&amp;"||",'CALENDARIO'!$G$15:$G$214,0)),INDEX(patronHabil,WEEKDAY($J727,2))))))</f>
        <v/>
      </c>
      <c r="T727" s="3">
        <f>IF($I727="","",IFERROR(INDEX('CAT_TIPOS_OT'!$C$4:$C$7,MATCH($I727,'CAT_TIPOS_OT'!$A$4:$A$7,0)),"sin_clasificar"))</f>
        <v/>
      </c>
      <c r="U727" s="3">
        <f>IF($F727="","",IFERROR(INDEX('CAT_CENTROS_COSTO'!$F$4:$F$13,MATCH($F727,'CAT_CENTROS_COSTO'!$A$4:$A$13,0)),"(sin catálogo)"))</f>
        <v/>
      </c>
      <c r="V727" s="3">
        <f>IF($F727="","",IFERROR(INDEX('CAT_CENTROS_COSTO'!$D$4:$D$13,MATCH($F727,'CAT_CENTROS_COSTO'!$A$4:$A$13,0)),"(sin catálogo)"))</f>
        <v/>
      </c>
      <c r="W727" s="3">
        <f>IF($F727="","",IF((IFERROR(INDEX('CAT_CENTROS_COSTO'!$E$4:$E$13,MATCH($F727,'CAT_CENTROS_COSTO'!$A$4:$A$13,0)),""))&lt;&gt;"",IFERROR(INDEX('CAT_CENTROS_COSTO'!$E$4:$E$13,MATCH($F727,'CAT_CENTROS_COSTO'!$A$4:$A$13,0)),""),$V727))</f>
        <v/>
      </c>
      <c r="X727" s="3">
        <f>IF($F727="","",IFERROR(INDEX('CAT_CENTROS_COSTO'!$G$4:$G$13,MATCH($F727,'CAT_CENTROS_COSTO'!$A$4:$A$13,0)),"(sin catálogo)"))</f>
        <v/>
      </c>
      <c r="Y727" s="3">
        <f>IF($G727="","",IFERROR(INDEX('CAT_PUESTOS'!$B$4:$B$8,MATCH($G727,'CAT_PUESTOS'!$A$4:$A$8,0)),"(sin catálogo)"))</f>
        <v/>
      </c>
      <c r="Z727" s="3">
        <f>IF($H727="","",IFERROR(INDEX('CAT_ACTIVIDADES'!$B$4:$B$8,MATCH($H727,'CAT_ACTIVIDADES'!$A$4:$A$8,0)),"(sin catálogo)"))</f>
        <v/>
      </c>
      <c r="AA727" s="12">
        <f>IF($J727="","",TODAY()-$J727)</f>
        <v/>
      </c>
      <c r="AB727" s="12">
        <f>IF($J727="","",IF($J727&lt;=TODAY(),COUNTIFS(cal_fechas,"&gt;="&amp;$J727,cal_fechas,"&lt;"&amp;TODAY(),cal_habil,"sí"),-COUNTIFS(cal_fechas,"&gt;="&amp;TODAY(),cal_fechas,"&lt;"&amp;$J727,cal_habil,"sí")))</f>
        <v/>
      </c>
      <c r="AC727" s="3">
        <f>IF($AB727="","",IF($AB727&lt;0,"FUTURO",IF($AB727&gt;p_dias_backlog_max,"BACKLOG","MES CORRIENTE")))</f>
        <v/>
      </c>
      <c r="AD727" s="3">
        <f>IF($AB727="",FALSE,AND($AB727&gt;p_dias_backlog_min,$AB727&lt;=p_dias_backlog_max))</f>
        <v/>
      </c>
      <c r="AE727" s="6" t="n"/>
      <c r="AF727" s="3">
        <f>IF($AE727="","",IF((IFERROR(INDEX('ASIGNACIONES'!$F$4:$F$339,MATCH($O727&amp;"|"&amp;$R727&amp;"|"&amp;$AE727,'ASIGNACIONES'!$J$4:$J$339,0)),""))=0,"",IFERROR(INDEX('ASIGNACIONES'!$F$4:$F$339,MATCH($O727&amp;"|"&amp;$R727&amp;"|"&amp;$AE727,'ASIGNACIONES'!$J$4:$J$339,0)),"")))</f>
        <v/>
      </c>
      <c r="AG727" s="13">
        <f>IF($AE727="","",SUMIFS('ORDENES'!$M$4:$M$1203,'ORDENES'!$AE$4:$AE$1203,$AE727,'ORDENES'!$O$4:$O$1203,$O727,'ORDENES'!$R$4:$R$1203,$R727))</f>
        <v/>
      </c>
      <c r="AH727" s="13">
        <f>IF($AG727="","",p_factor_productividad*IFERROR(INDEX('ASIGNACIONES'!$I$4:$I$339,MATCH($O727&amp;"|"&amp;$R727&amp;"|"&amp;$AE727,'ASIGNACIONES'!$J$4:$J$339,0)),0)-$AG727)</f>
        <v/>
      </c>
      <c r="AI727" s="10">
        <f>IF($A727="","",IFERROR(INDEX('2_IMPORTAR_EJECUCION'!$F$9:$F$1208,MATCH($AQ727,'2_IMPORTAR_EJECUCION'!$J$9:$J$1208,0)),0))</f>
        <v/>
      </c>
      <c r="AJ727" s="10">
        <f>IF($A727="","",MAX(0,IFERROR(INDEX('2_IMPORTAR_EJECUCION'!$H$9:$H$1208,MATCH($AQ727,'2_IMPORTAR_EJECUCION'!$J$9:$J$1208,0)),0)-$AI727))</f>
        <v/>
      </c>
      <c r="AK727" s="10">
        <f>IF($A727="","",$AI727+$AJ727)</f>
        <v/>
      </c>
      <c r="AL727" s="6" t="n"/>
      <c r="AM727" s="6" t="n"/>
      <c r="AN727" s="6" t="n"/>
      <c r="AO727" s="3">
        <f>IF($AN727="","",HYPERLINK(p_ruta_base_checklists&amp;$AN727,"abrir"))</f>
        <v/>
      </c>
      <c r="AP727" s="6" t="n"/>
      <c r="AQ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IF($A728="","",IFERROR(INDEX('AJUSTES'!$B$4:$B$303,MATCH($AQ728,'AJUSTES'!$A$4:$A$303,0)),IF($K728="","",$K728)))</f>
        <v/>
      </c>
      <c r="N728" s="3">
        <f>IF($A728="","",IFERROR(INDEX('CAT_ESTADOS_ERP'!$B$4:$B$7,MATCH(IFERROR(INDEX('2_IMPORTAR_EJECUCION'!$C$9:$C$1208,MATCH($AQ728,'2_IMPORTAR_EJECUCION'!$J$9:$J$1208,0)),""),'CAT_ESTADOS_ERP'!$A$4:$A$7,0)),"Pendiente"))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J728="","",IFERROR(INDEX('CALENDARIO'!$C$15:$C$214,MATCH(TEXT($J728,"yyyy-mm-dd")&amp;"|"&amp;$V728&amp;"|"&amp;$W728,'CALENDARIO'!$G$15:$G$214,0)),IFERROR(INDEX('CALENDARIO'!$C$15:$C$214,MATCH(TEXT($J728,"yyyy-mm-dd")&amp;"|"&amp;$V728&amp;"|",'CALENDARIO'!$G$15:$G$214,0)),IFERROR(INDEX('CALENDARIO'!$C$15:$C$214,MATCH(TEXT($J728,"yyyy-mm-dd")&amp;"||",'CALENDARIO'!$G$15:$G$214,0)),INDEX(patronHabil,WEEKDAY($J728,2))))))</f>
        <v/>
      </c>
      <c r="T728" s="3">
        <f>IF($I728="","",IFERROR(INDEX('CAT_TIPOS_OT'!$C$4:$C$7,MATCH($I728,'CAT_TIPOS_OT'!$A$4:$A$7,0)),"sin_clasificar"))</f>
        <v/>
      </c>
      <c r="U728" s="3">
        <f>IF($F728="","",IFERROR(INDEX('CAT_CENTROS_COSTO'!$F$4:$F$13,MATCH($F728,'CAT_CENTROS_COSTO'!$A$4:$A$13,0)),"(sin catálogo)"))</f>
        <v/>
      </c>
      <c r="V728" s="3">
        <f>IF($F728="","",IFERROR(INDEX('CAT_CENTROS_COSTO'!$D$4:$D$13,MATCH($F728,'CAT_CENTROS_COSTO'!$A$4:$A$13,0)),"(sin catálogo)"))</f>
        <v/>
      </c>
      <c r="W728" s="3">
        <f>IF($F728="","",IF((IFERROR(INDEX('CAT_CENTROS_COSTO'!$E$4:$E$13,MATCH($F728,'CAT_CENTROS_COSTO'!$A$4:$A$13,0)),""))&lt;&gt;"",IFERROR(INDEX('CAT_CENTROS_COSTO'!$E$4:$E$13,MATCH($F728,'CAT_CENTROS_COSTO'!$A$4:$A$13,0)),""),$V728))</f>
        <v/>
      </c>
      <c r="X728" s="3">
        <f>IF($F728="","",IFERROR(INDEX('CAT_CENTROS_COSTO'!$G$4:$G$13,MATCH($F728,'CAT_CENTROS_COSTO'!$A$4:$A$13,0)),"(sin catálogo)"))</f>
        <v/>
      </c>
      <c r="Y728" s="3">
        <f>IF($G728="","",IFERROR(INDEX('CAT_PUESTOS'!$B$4:$B$8,MATCH($G728,'CAT_PUESTOS'!$A$4:$A$8,0)),"(sin catálogo)"))</f>
        <v/>
      </c>
      <c r="Z728" s="3">
        <f>IF($H728="","",IFERROR(INDEX('CAT_ACTIVIDADES'!$B$4:$B$8,MATCH($H728,'CAT_ACTIVIDADES'!$A$4:$A$8,0)),"(sin catálogo)"))</f>
        <v/>
      </c>
      <c r="AA728" s="12">
        <f>IF($J728="","",TODAY()-$J728)</f>
        <v/>
      </c>
      <c r="AB728" s="12">
        <f>IF($J728="","",IF($J728&lt;=TODAY(),COUNTIFS(cal_fechas,"&gt;="&amp;$J728,cal_fechas,"&lt;"&amp;TODAY(),cal_habil,"sí"),-COUNTIFS(cal_fechas,"&gt;="&amp;TODAY(),cal_fechas,"&lt;"&amp;$J728,cal_habil,"sí")))</f>
        <v/>
      </c>
      <c r="AC728" s="3">
        <f>IF($AB728="","",IF($AB728&lt;0,"FUTURO",IF($AB728&gt;p_dias_backlog_max,"BACKLOG","MES CORRIENTE")))</f>
        <v/>
      </c>
      <c r="AD728" s="3">
        <f>IF($AB728="",FALSE,AND($AB728&gt;p_dias_backlog_min,$AB728&lt;=p_dias_backlog_max))</f>
        <v/>
      </c>
      <c r="AE728" s="6" t="n"/>
      <c r="AF728" s="3">
        <f>IF($AE728="","",IF((IFERROR(INDEX('ASIGNACIONES'!$F$4:$F$339,MATCH($O728&amp;"|"&amp;$R728&amp;"|"&amp;$AE728,'ASIGNACIONES'!$J$4:$J$339,0)),""))=0,"",IFERROR(INDEX('ASIGNACIONES'!$F$4:$F$339,MATCH($O728&amp;"|"&amp;$R728&amp;"|"&amp;$AE728,'ASIGNACIONES'!$J$4:$J$339,0)),"")))</f>
        <v/>
      </c>
      <c r="AG728" s="13">
        <f>IF($AE728="","",SUMIFS('ORDENES'!$M$4:$M$1203,'ORDENES'!$AE$4:$AE$1203,$AE728,'ORDENES'!$O$4:$O$1203,$O728,'ORDENES'!$R$4:$R$1203,$R728))</f>
        <v/>
      </c>
      <c r="AH728" s="13">
        <f>IF($AG728="","",p_factor_productividad*IFERROR(INDEX('ASIGNACIONES'!$I$4:$I$339,MATCH($O728&amp;"|"&amp;$R728&amp;"|"&amp;$AE728,'ASIGNACIONES'!$J$4:$J$339,0)),0)-$AG728)</f>
        <v/>
      </c>
      <c r="AI728" s="10">
        <f>IF($A728="","",IFERROR(INDEX('2_IMPORTAR_EJECUCION'!$F$9:$F$1208,MATCH($AQ728,'2_IMPORTAR_EJECUCION'!$J$9:$J$1208,0)),0))</f>
        <v/>
      </c>
      <c r="AJ728" s="10">
        <f>IF($A728="","",MAX(0,IFERROR(INDEX('2_IMPORTAR_EJECUCION'!$H$9:$H$1208,MATCH($AQ728,'2_IMPORTAR_EJECUCION'!$J$9:$J$1208,0)),0)-$AI728))</f>
        <v/>
      </c>
      <c r="AK728" s="10">
        <f>IF($A728="","",$AI728+$AJ728)</f>
        <v/>
      </c>
      <c r="AL728" s="6" t="n"/>
      <c r="AM728" s="6" t="n"/>
      <c r="AN728" s="6" t="n"/>
      <c r="AO728" s="3">
        <f>IF($AN728="","",HYPERLINK(p_ruta_base_checklists&amp;$AN728,"abrir"))</f>
        <v/>
      </c>
      <c r="AP728" s="6" t="n"/>
      <c r="AQ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IF($A729="","",IFERROR(INDEX('AJUSTES'!$B$4:$B$303,MATCH($AQ729,'AJUSTES'!$A$4:$A$303,0)),IF($K729="","",$K729)))</f>
        <v/>
      </c>
      <c r="N729" s="3">
        <f>IF($A729="","",IFERROR(INDEX('CAT_ESTADOS_ERP'!$B$4:$B$7,MATCH(IFERROR(INDEX('2_IMPORTAR_EJECUCION'!$C$9:$C$1208,MATCH($AQ729,'2_IMPORTAR_EJECUCION'!$J$9:$J$1208,0)),""),'CAT_ESTADOS_ERP'!$A$4:$A$7,0)),"Pendiente"))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J729="","",IFERROR(INDEX('CALENDARIO'!$C$15:$C$214,MATCH(TEXT($J729,"yyyy-mm-dd")&amp;"|"&amp;$V729&amp;"|"&amp;$W729,'CALENDARIO'!$G$15:$G$214,0)),IFERROR(INDEX('CALENDARIO'!$C$15:$C$214,MATCH(TEXT($J729,"yyyy-mm-dd")&amp;"|"&amp;$V729&amp;"|",'CALENDARIO'!$G$15:$G$214,0)),IFERROR(INDEX('CALENDARIO'!$C$15:$C$214,MATCH(TEXT($J729,"yyyy-mm-dd")&amp;"||",'CALENDARIO'!$G$15:$G$214,0)),INDEX(patronHabil,WEEKDAY($J729,2))))))</f>
        <v/>
      </c>
      <c r="T729" s="3">
        <f>IF($I729="","",IFERROR(INDEX('CAT_TIPOS_OT'!$C$4:$C$7,MATCH($I729,'CAT_TIPOS_OT'!$A$4:$A$7,0)),"sin_clasificar"))</f>
        <v/>
      </c>
      <c r="U729" s="3">
        <f>IF($F729="","",IFERROR(INDEX('CAT_CENTROS_COSTO'!$F$4:$F$13,MATCH($F729,'CAT_CENTROS_COSTO'!$A$4:$A$13,0)),"(sin catálogo)"))</f>
        <v/>
      </c>
      <c r="V729" s="3">
        <f>IF($F729="","",IFERROR(INDEX('CAT_CENTROS_COSTO'!$D$4:$D$13,MATCH($F729,'CAT_CENTROS_COSTO'!$A$4:$A$13,0)),"(sin catálogo)"))</f>
        <v/>
      </c>
      <c r="W729" s="3">
        <f>IF($F729="","",IF((IFERROR(INDEX('CAT_CENTROS_COSTO'!$E$4:$E$13,MATCH($F729,'CAT_CENTROS_COSTO'!$A$4:$A$13,0)),""))&lt;&gt;"",IFERROR(INDEX('CAT_CENTROS_COSTO'!$E$4:$E$13,MATCH($F729,'CAT_CENTROS_COSTO'!$A$4:$A$13,0)),""),$V729))</f>
        <v/>
      </c>
      <c r="X729" s="3">
        <f>IF($F729="","",IFERROR(INDEX('CAT_CENTROS_COSTO'!$G$4:$G$13,MATCH($F729,'CAT_CENTROS_COSTO'!$A$4:$A$13,0)),"(sin catálogo)"))</f>
        <v/>
      </c>
      <c r="Y729" s="3">
        <f>IF($G729="","",IFERROR(INDEX('CAT_PUESTOS'!$B$4:$B$8,MATCH($G729,'CAT_PUESTOS'!$A$4:$A$8,0)),"(sin catálogo)"))</f>
        <v/>
      </c>
      <c r="Z729" s="3">
        <f>IF($H729="","",IFERROR(INDEX('CAT_ACTIVIDADES'!$B$4:$B$8,MATCH($H729,'CAT_ACTIVIDADES'!$A$4:$A$8,0)),"(sin catálogo)"))</f>
        <v/>
      </c>
      <c r="AA729" s="12">
        <f>IF($J729="","",TODAY()-$J729)</f>
        <v/>
      </c>
      <c r="AB729" s="12">
        <f>IF($J729="","",IF($J729&lt;=TODAY(),COUNTIFS(cal_fechas,"&gt;="&amp;$J729,cal_fechas,"&lt;"&amp;TODAY(),cal_habil,"sí"),-COUNTIFS(cal_fechas,"&gt;="&amp;TODAY(),cal_fechas,"&lt;"&amp;$J729,cal_habil,"sí")))</f>
        <v/>
      </c>
      <c r="AC729" s="3">
        <f>IF($AB729="","",IF($AB729&lt;0,"FUTURO",IF($AB729&gt;p_dias_backlog_max,"BACKLOG","MES CORRIENTE")))</f>
        <v/>
      </c>
      <c r="AD729" s="3">
        <f>IF($AB729="",FALSE,AND($AB729&gt;p_dias_backlog_min,$AB729&lt;=p_dias_backlog_max))</f>
        <v/>
      </c>
      <c r="AE729" s="6" t="n"/>
      <c r="AF729" s="3">
        <f>IF($AE729="","",IF((IFERROR(INDEX('ASIGNACIONES'!$F$4:$F$339,MATCH($O729&amp;"|"&amp;$R729&amp;"|"&amp;$AE729,'ASIGNACIONES'!$J$4:$J$339,0)),""))=0,"",IFERROR(INDEX('ASIGNACIONES'!$F$4:$F$339,MATCH($O729&amp;"|"&amp;$R729&amp;"|"&amp;$AE729,'ASIGNACIONES'!$J$4:$J$339,0)),"")))</f>
        <v/>
      </c>
      <c r="AG729" s="13">
        <f>IF($AE729="","",SUMIFS('ORDENES'!$M$4:$M$1203,'ORDENES'!$AE$4:$AE$1203,$AE729,'ORDENES'!$O$4:$O$1203,$O729,'ORDENES'!$R$4:$R$1203,$R729))</f>
        <v/>
      </c>
      <c r="AH729" s="13">
        <f>IF($AG729="","",p_factor_productividad*IFERROR(INDEX('ASIGNACIONES'!$I$4:$I$339,MATCH($O729&amp;"|"&amp;$R729&amp;"|"&amp;$AE729,'ASIGNACIONES'!$J$4:$J$339,0)),0)-$AG729)</f>
        <v/>
      </c>
      <c r="AI729" s="10">
        <f>IF($A729="","",IFERROR(INDEX('2_IMPORTAR_EJECUCION'!$F$9:$F$1208,MATCH($AQ729,'2_IMPORTAR_EJECUCION'!$J$9:$J$1208,0)),0))</f>
        <v/>
      </c>
      <c r="AJ729" s="10">
        <f>IF($A729="","",MAX(0,IFERROR(INDEX('2_IMPORTAR_EJECUCION'!$H$9:$H$1208,MATCH($AQ729,'2_IMPORTAR_EJECUCION'!$J$9:$J$1208,0)),0)-$AI729))</f>
        <v/>
      </c>
      <c r="AK729" s="10">
        <f>IF($A729="","",$AI729+$AJ729)</f>
        <v/>
      </c>
      <c r="AL729" s="6" t="n"/>
      <c r="AM729" s="6" t="n"/>
      <c r="AN729" s="6" t="n"/>
      <c r="AO729" s="3">
        <f>IF($AN729="","",HYPERLINK(p_ruta_base_checklists&amp;$AN729,"abrir"))</f>
        <v/>
      </c>
      <c r="AP729" s="6" t="n"/>
      <c r="AQ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IF($A730="","",IFERROR(INDEX('AJUSTES'!$B$4:$B$303,MATCH($AQ730,'AJUSTES'!$A$4:$A$303,0)),IF($K730="","",$K730)))</f>
        <v/>
      </c>
      <c r="N730" s="3">
        <f>IF($A730="","",IFERROR(INDEX('CAT_ESTADOS_ERP'!$B$4:$B$7,MATCH(IFERROR(INDEX('2_IMPORTAR_EJECUCION'!$C$9:$C$1208,MATCH($AQ730,'2_IMPORTAR_EJECUCION'!$J$9:$J$1208,0)),""),'CAT_ESTADOS_ERP'!$A$4:$A$7,0)),"Pendiente"))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J730="","",IFERROR(INDEX('CALENDARIO'!$C$15:$C$214,MATCH(TEXT($J730,"yyyy-mm-dd")&amp;"|"&amp;$V730&amp;"|"&amp;$W730,'CALENDARIO'!$G$15:$G$214,0)),IFERROR(INDEX('CALENDARIO'!$C$15:$C$214,MATCH(TEXT($J730,"yyyy-mm-dd")&amp;"|"&amp;$V730&amp;"|",'CALENDARIO'!$G$15:$G$214,0)),IFERROR(INDEX('CALENDARIO'!$C$15:$C$214,MATCH(TEXT($J730,"yyyy-mm-dd")&amp;"||",'CALENDARIO'!$G$15:$G$214,0)),INDEX(patronHabil,WEEKDAY($J730,2))))))</f>
        <v/>
      </c>
      <c r="T730" s="3">
        <f>IF($I730="","",IFERROR(INDEX('CAT_TIPOS_OT'!$C$4:$C$7,MATCH($I730,'CAT_TIPOS_OT'!$A$4:$A$7,0)),"sin_clasificar"))</f>
        <v/>
      </c>
      <c r="U730" s="3">
        <f>IF($F730="","",IFERROR(INDEX('CAT_CENTROS_COSTO'!$F$4:$F$13,MATCH($F730,'CAT_CENTROS_COSTO'!$A$4:$A$13,0)),"(sin catálogo)"))</f>
        <v/>
      </c>
      <c r="V730" s="3">
        <f>IF($F730="","",IFERROR(INDEX('CAT_CENTROS_COSTO'!$D$4:$D$13,MATCH($F730,'CAT_CENTROS_COSTO'!$A$4:$A$13,0)),"(sin catálogo)"))</f>
        <v/>
      </c>
      <c r="W730" s="3">
        <f>IF($F730="","",IF((IFERROR(INDEX('CAT_CENTROS_COSTO'!$E$4:$E$13,MATCH($F730,'CAT_CENTROS_COSTO'!$A$4:$A$13,0)),""))&lt;&gt;"",IFERROR(INDEX('CAT_CENTROS_COSTO'!$E$4:$E$13,MATCH($F730,'CAT_CENTROS_COSTO'!$A$4:$A$13,0)),""),$V730))</f>
        <v/>
      </c>
      <c r="X730" s="3">
        <f>IF($F730="","",IFERROR(INDEX('CAT_CENTROS_COSTO'!$G$4:$G$13,MATCH($F730,'CAT_CENTROS_COSTO'!$A$4:$A$13,0)),"(sin catálogo)"))</f>
        <v/>
      </c>
      <c r="Y730" s="3">
        <f>IF($G730="","",IFERROR(INDEX('CAT_PUESTOS'!$B$4:$B$8,MATCH($G730,'CAT_PUESTOS'!$A$4:$A$8,0)),"(sin catálogo)"))</f>
        <v/>
      </c>
      <c r="Z730" s="3">
        <f>IF($H730="","",IFERROR(INDEX('CAT_ACTIVIDADES'!$B$4:$B$8,MATCH($H730,'CAT_ACTIVIDADES'!$A$4:$A$8,0)),"(sin catálogo)"))</f>
        <v/>
      </c>
      <c r="AA730" s="12">
        <f>IF($J730="","",TODAY()-$J730)</f>
        <v/>
      </c>
      <c r="AB730" s="12">
        <f>IF($J730="","",IF($J730&lt;=TODAY(),COUNTIFS(cal_fechas,"&gt;="&amp;$J730,cal_fechas,"&lt;"&amp;TODAY(),cal_habil,"sí"),-COUNTIFS(cal_fechas,"&gt;="&amp;TODAY(),cal_fechas,"&lt;"&amp;$J730,cal_habil,"sí")))</f>
        <v/>
      </c>
      <c r="AC730" s="3">
        <f>IF($AB730="","",IF($AB730&lt;0,"FUTURO",IF($AB730&gt;p_dias_backlog_max,"BACKLOG","MES CORRIENTE")))</f>
        <v/>
      </c>
      <c r="AD730" s="3">
        <f>IF($AB730="",FALSE,AND($AB730&gt;p_dias_backlog_min,$AB730&lt;=p_dias_backlog_max))</f>
        <v/>
      </c>
      <c r="AE730" s="6" t="n"/>
      <c r="AF730" s="3">
        <f>IF($AE730="","",IF((IFERROR(INDEX('ASIGNACIONES'!$F$4:$F$339,MATCH($O730&amp;"|"&amp;$R730&amp;"|"&amp;$AE730,'ASIGNACIONES'!$J$4:$J$339,0)),""))=0,"",IFERROR(INDEX('ASIGNACIONES'!$F$4:$F$339,MATCH($O730&amp;"|"&amp;$R730&amp;"|"&amp;$AE730,'ASIGNACIONES'!$J$4:$J$339,0)),"")))</f>
        <v/>
      </c>
      <c r="AG730" s="13">
        <f>IF($AE730="","",SUMIFS('ORDENES'!$M$4:$M$1203,'ORDENES'!$AE$4:$AE$1203,$AE730,'ORDENES'!$O$4:$O$1203,$O730,'ORDENES'!$R$4:$R$1203,$R730))</f>
        <v/>
      </c>
      <c r="AH730" s="13">
        <f>IF($AG730="","",p_factor_productividad*IFERROR(INDEX('ASIGNACIONES'!$I$4:$I$339,MATCH($O730&amp;"|"&amp;$R730&amp;"|"&amp;$AE730,'ASIGNACIONES'!$J$4:$J$339,0)),0)-$AG730)</f>
        <v/>
      </c>
      <c r="AI730" s="10">
        <f>IF($A730="","",IFERROR(INDEX('2_IMPORTAR_EJECUCION'!$F$9:$F$1208,MATCH($AQ730,'2_IMPORTAR_EJECUCION'!$J$9:$J$1208,0)),0))</f>
        <v/>
      </c>
      <c r="AJ730" s="10">
        <f>IF($A730="","",MAX(0,IFERROR(INDEX('2_IMPORTAR_EJECUCION'!$H$9:$H$1208,MATCH($AQ730,'2_IMPORTAR_EJECUCION'!$J$9:$J$1208,0)),0)-$AI730))</f>
        <v/>
      </c>
      <c r="AK730" s="10">
        <f>IF($A730="","",$AI730+$AJ730)</f>
        <v/>
      </c>
      <c r="AL730" s="6" t="n"/>
      <c r="AM730" s="6" t="n"/>
      <c r="AN730" s="6" t="n"/>
      <c r="AO730" s="3">
        <f>IF($AN730="","",HYPERLINK(p_ruta_base_checklists&amp;$AN730,"abrir"))</f>
        <v/>
      </c>
      <c r="AP730" s="6" t="n"/>
      <c r="AQ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IF($A731="","",IFERROR(INDEX('AJUSTES'!$B$4:$B$303,MATCH($AQ731,'AJUSTES'!$A$4:$A$303,0)),IF($K731="","",$K731)))</f>
        <v/>
      </c>
      <c r="N731" s="3">
        <f>IF($A731="","",IFERROR(INDEX('CAT_ESTADOS_ERP'!$B$4:$B$7,MATCH(IFERROR(INDEX('2_IMPORTAR_EJECUCION'!$C$9:$C$1208,MATCH($AQ731,'2_IMPORTAR_EJECUCION'!$J$9:$J$1208,0)),""),'CAT_ESTADOS_ERP'!$A$4:$A$7,0)),"Pendiente"))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J731="","",IFERROR(INDEX('CALENDARIO'!$C$15:$C$214,MATCH(TEXT($J731,"yyyy-mm-dd")&amp;"|"&amp;$V731&amp;"|"&amp;$W731,'CALENDARIO'!$G$15:$G$214,0)),IFERROR(INDEX('CALENDARIO'!$C$15:$C$214,MATCH(TEXT($J731,"yyyy-mm-dd")&amp;"|"&amp;$V731&amp;"|",'CALENDARIO'!$G$15:$G$214,0)),IFERROR(INDEX('CALENDARIO'!$C$15:$C$214,MATCH(TEXT($J731,"yyyy-mm-dd")&amp;"||",'CALENDARIO'!$G$15:$G$214,0)),INDEX(patronHabil,WEEKDAY($J731,2))))))</f>
        <v/>
      </c>
      <c r="T731" s="3">
        <f>IF($I731="","",IFERROR(INDEX('CAT_TIPOS_OT'!$C$4:$C$7,MATCH($I731,'CAT_TIPOS_OT'!$A$4:$A$7,0)),"sin_clasificar"))</f>
        <v/>
      </c>
      <c r="U731" s="3">
        <f>IF($F731="","",IFERROR(INDEX('CAT_CENTROS_COSTO'!$F$4:$F$13,MATCH($F731,'CAT_CENTROS_COSTO'!$A$4:$A$13,0)),"(sin catálogo)"))</f>
        <v/>
      </c>
      <c r="V731" s="3">
        <f>IF($F731="","",IFERROR(INDEX('CAT_CENTROS_COSTO'!$D$4:$D$13,MATCH($F731,'CAT_CENTROS_COSTO'!$A$4:$A$13,0)),"(sin catálogo)"))</f>
        <v/>
      </c>
      <c r="W731" s="3">
        <f>IF($F731="","",IF((IFERROR(INDEX('CAT_CENTROS_COSTO'!$E$4:$E$13,MATCH($F731,'CAT_CENTROS_COSTO'!$A$4:$A$13,0)),""))&lt;&gt;"",IFERROR(INDEX('CAT_CENTROS_COSTO'!$E$4:$E$13,MATCH($F731,'CAT_CENTROS_COSTO'!$A$4:$A$13,0)),""),$V731))</f>
        <v/>
      </c>
      <c r="X731" s="3">
        <f>IF($F731="","",IFERROR(INDEX('CAT_CENTROS_COSTO'!$G$4:$G$13,MATCH($F731,'CAT_CENTROS_COSTO'!$A$4:$A$13,0)),"(sin catálogo)"))</f>
        <v/>
      </c>
      <c r="Y731" s="3">
        <f>IF($G731="","",IFERROR(INDEX('CAT_PUESTOS'!$B$4:$B$8,MATCH($G731,'CAT_PUESTOS'!$A$4:$A$8,0)),"(sin catálogo)"))</f>
        <v/>
      </c>
      <c r="Z731" s="3">
        <f>IF($H731="","",IFERROR(INDEX('CAT_ACTIVIDADES'!$B$4:$B$8,MATCH($H731,'CAT_ACTIVIDADES'!$A$4:$A$8,0)),"(sin catálogo)"))</f>
        <v/>
      </c>
      <c r="AA731" s="12">
        <f>IF($J731="","",TODAY()-$J731)</f>
        <v/>
      </c>
      <c r="AB731" s="12">
        <f>IF($J731="","",IF($J731&lt;=TODAY(),COUNTIFS(cal_fechas,"&gt;="&amp;$J731,cal_fechas,"&lt;"&amp;TODAY(),cal_habil,"sí"),-COUNTIFS(cal_fechas,"&gt;="&amp;TODAY(),cal_fechas,"&lt;"&amp;$J731,cal_habil,"sí")))</f>
        <v/>
      </c>
      <c r="AC731" s="3">
        <f>IF($AB731="","",IF($AB731&lt;0,"FUTURO",IF($AB731&gt;p_dias_backlog_max,"BACKLOG","MES CORRIENTE")))</f>
        <v/>
      </c>
      <c r="AD731" s="3">
        <f>IF($AB731="",FALSE,AND($AB731&gt;p_dias_backlog_min,$AB731&lt;=p_dias_backlog_max))</f>
        <v/>
      </c>
      <c r="AE731" s="6" t="n"/>
      <c r="AF731" s="3">
        <f>IF($AE731="","",IF((IFERROR(INDEX('ASIGNACIONES'!$F$4:$F$339,MATCH($O731&amp;"|"&amp;$R731&amp;"|"&amp;$AE731,'ASIGNACIONES'!$J$4:$J$339,0)),""))=0,"",IFERROR(INDEX('ASIGNACIONES'!$F$4:$F$339,MATCH($O731&amp;"|"&amp;$R731&amp;"|"&amp;$AE731,'ASIGNACIONES'!$J$4:$J$339,0)),"")))</f>
        <v/>
      </c>
      <c r="AG731" s="13">
        <f>IF($AE731="","",SUMIFS('ORDENES'!$M$4:$M$1203,'ORDENES'!$AE$4:$AE$1203,$AE731,'ORDENES'!$O$4:$O$1203,$O731,'ORDENES'!$R$4:$R$1203,$R731))</f>
        <v/>
      </c>
      <c r="AH731" s="13">
        <f>IF($AG731="","",p_factor_productividad*IFERROR(INDEX('ASIGNACIONES'!$I$4:$I$339,MATCH($O731&amp;"|"&amp;$R731&amp;"|"&amp;$AE731,'ASIGNACIONES'!$J$4:$J$339,0)),0)-$AG731)</f>
        <v/>
      </c>
      <c r="AI731" s="10">
        <f>IF($A731="","",IFERROR(INDEX('2_IMPORTAR_EJECUCION'!$F$9:$F$1208,MATCH($AQ731,'2_IMPORTAR_EJECUCION'!$J$9:$J$1208,0)),0))</f>
        <v/>
      </c>
      <c r="AJ731" s="10">
        <f>IF($A731="","",MAX(0,IFERROR(INDEX('2_IMPORTAR_EJECUCION'!$H$9:$H$1208,MATCH($AQ731,'2_IMPORTAR_EJECUCION'!$J$9:$J$1208,0)),0)-$AI731))</f>
        <v/>
      </c>
      <c r="AK731" s="10">
        <f>IF($A731="","",$AI731+$AJ731)</f>
        <v/>
      </c>
      <c r="AL731" s="6" t="n"/>
      <c r="AM731" s="6" t="n"/>
      <c r="AN731" s="6" t="n"/>
      <c r="AO731" s="3">
        <f>IF($AN731="","",HYPERLINK(p_ruta_base_checklists&amp;$AN731,"abrir"))</f>
        <v/>
      </c>
      <c r="AP731" s="6" t="n"/>
      <c r="AQ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IF($A732="","",IFERROR(INDEX('AJUSTES'!$B$4:$B$303,MATCH($AQ732,'AJUSTES'!$A$4:$A$303,0)),IF($K732="","",$K732)))</f>
        <v/>
      </c>
      <c r="N732" s="3">
        <f>IF($A732="","",IFERROR(INDEX('CAT_ESTADOS_ERP'!$B$4:$B$7,MATCH(IFERROR(INDEX('2_IMPORTAR_EJECUCION'!$C$9:$C$1208,MATCH($AQ732,'2_IMPORTAR_EJECUCION'!$J$9:$J$1208,0)),""),'CAT_ESTADOS_ERP'!$A$4:$A$7,0)),"Pendiente"))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J732="","",IFERROR(INDEX('CALENDARIO'!$C$15:$C$214,MATCH(TEXT($J732,"yyyy-mm-dd")&amp;"|"&amp;$V732&amp;"|"&amp;$W732,'CALENDARIO'!$G$15:$G$214,0)),IFERROR(INDEX('CALENDARIO'!$C$15:$C$214,MATCH(TEXT($J732,"yyyy-mm-dd")&amp;"|"&amp;$V732&amp;"|",'CALENDARIO'!$G$15:$G$214,0)),IFERROR(INDEX('CALENDARIO'!$C$15:$C$214,MATCH(TEXT($J732,"yyyy-mm-dd")&amp;"||",'CALENDARIO'!$G$15:$G$214,0)),INDEX(patronHabil,WEEKDAY($J732,2))))))</f>
        <v/>
      </c>
      <c r="T732" s="3">
        <f>IF($I732="","",IFERROR(INDEX('CAT_TIPOS_OT'!$C$4:$C$7,MATCH($I732,'CAT_TIPOS_OT'!$A$4:$A$7,0)),"sin_clasificar"))</f>
        <v/>
      </c>
      <c r="U732" s="3">
        <f>IF($F732="","",IFERROR(INDEX('CAT_CENTROS_COSTO'!$F$4:$F$13,MATCH($F732,'CAT_CENTROS_COSTO'!$A$4:$A$13,0)),"(sin catálogo)"))</f>
        <v/>
      </c>
      <c r="V732" s="3">
        <f>IF($F732="","",IFERROR(INDEX('CAT_CENTROS_COSTO'!$D$4:$D$13,MATCH($F732,'CAT_CENTROS_COSTO'!$A$4:$A$13,0)),"(sin catálogo)"))</f>
        <v/>
      </c>
      <c r="W732" s="3">
        <f>IF($F732="","",IF((IFERROR(INDEX('CAT_CENTROS_COSTO'!$E$4:$E$13,MATCH($F732,'CAT_CENTROS_COSTO'!$A$4:$A$13,0)),""))&lt;&gt;"",IFERROR(INDEX('CAT_CENTROS_COSTO'!$E$4:$E$13,MATCH($F732,'CAT_CENTROS_COSTO'!$A$4:$A$13,0)),""),$V732))</f>
        <v/>
      </c>
      <c r="X732" s="3">
        <f>IF($F732="","",IFERROR(INDEX('CAT_CENTROS_COSTO'!$G$4:$G$13,MATCH($F732,'CAT_CENTROS_COSTO'!$A$4:$A$13,0)),"(sin catálogo)"))</f>
        <v/>
      </c>
      <c r="Y732" s="3">
        <f>IF($G732="","",IFERROR(INDEX('CAT_PUESTOS'!$B$4:$B$8,MATCH($G732,'CAT_PUESTOS'!$A$4:$A$8,0)),"(sin catálogo)"))</f>
        <v/>
      </c>
      <c r="Z732" s="3">
        <f>IF($H732="","",IFERROR(INDEX('CAT_ACTIVIDADES'!$B$4:$B$8,MATCH($H732,'CAT_ACTIVIDADES'!$A$4:$A$8,0)),"(sin catálogo)"))</f>
        <v/>
      </c>
      <c r="AA732" s="12">
        <f>IF($J732="","",TODAY()-$J732)</f>
        <v/>
      </c>
      <c r="AB732" s="12">
        <f>IF($J732="","",IF($J732&lt;=TODAY(),COUNTIFS(cal_fechas,"&gt;="&amp;$J732,cal_fechas,"&lt;"&amp;TODAY(),cal_habil,"sí"),-COUNTIFS(cal_fechas,"&gt;="&amp;TODAY(),cal_fechas,"&lt;"&amp;$J732,cal_habil,"sí")))</f>
        <v/>
      </c>
      <c r="AC732" s="3">
        <f>IF($AB732="","",IF($AB732&lt;0,"FUTURO",IF($AB732&gt;p_dias_backlog_max,"BACKLOG","MES CORRIENTE")))</f>
        <v/>
      </c>
      <c r="AD732" s="3">
        <f>IF($AB732="",FALSE,AND($AB732&gt;p_dias_backlog_min,$AB732&lt;=p_dias_backlog_max))</f>
        <v/>
      </c>
      <c r="AE732" s="6" t="n"/>
      <c r="AF732" s="3">
        <f>IF($AE732="","",IF((IFERROR(INDEX('ASIGNACIONES'!$F$4:$F$339,MATCH($O732&amp;"|"&amp;$R732&amp;"|"&amp;$AE732,'ASIGNACIONES'!$J$4:$J$339,0)),""))=0,"",IFERROR(INDEX('ASIGNACIONES'!$F$4:$F$339,MATCH($O732&amp;"|"&amp;$R732&amp;"|"&amp;$AE732,'ASIGNACIONES'!$J$4:$J$339,0)),"")))</f>
        <v/>
      </c>
      <c r="AG732" s="13">
        <f>IF($AE732="","",SUMIFS('ORDENES'!$M$4:$M$1203,'ORDENES'!$AE$4:$AE$1203,$AE732,'ORDENES'!$O$4:$O$1203,$O732,'ORDENES'!$R$4:$R$1203,$R732))</f>
        <v/>
      </c>
      <c r="AH732" s="13">
        <f>IF($AG732="","",p_factor_productividad*IFERROR(INDEX('ASIGNACIONES'!$I$4:$I$339,MATCH($O732&amp;"|"&amp;$R732&amp;"|"&amp;$AE732,'ASIGNACIONES'!$J$4:$J$339,0)),0)-$AG732)</f>
        <v/>
      </c>
      <c r="AI732" s="10">
        <f>IF($A732="","",IFERROR(INDEX('2_IMPORTAR_EJECUCION'!$F$9:$F$1208,MATCH($AQ732,'2_IMPORTAR_EJECUCION'!$J$9:$J$1208,0)),0))</f>
        <v/>
      </c>
      <c r="AJ732" s="10">
        <f>IF($A732="","",MAX(0,IFERROR(INDEX('2_IMPORTAR_EJECUCION'!$H$9:$H$1208,MATCH($AQ732,'2_IMPORTAR_EJECUCION'!$J$9:$J$1208,0)),0)-$AI732))</f>
        <v/>
      </c>
      <c r="AK732" s="10">
        <f>IF($A732="","",$AI732+$AJ732)</f>
        <v/>
      </c>
      <c r="AL732" s="6" t="n"/>
      <c r="AM732" s="6" t="n"/>
      <c r="AN732" s="6" t="n"/>
      <c r="AO732" s="3">
        <f>IF($AN732="","",HYPERLINK(p_ruta_base_checklists&amp;$AN732,"abrir"))</f>
        <v/>
      </c>
      <c r="AP732" s="6" t="n"/>
      <c r="AQ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IF($A733="","",IFERROR(INDEX('AJUSTES'!$B$4:$B$303,MATCH($AQ733,'AJUSTES'!$A$4:$A$303,0)),IF($K733="","",$K733)))</f>
        <v/>
      </c>
      <c r="N733" s="3">
        <f>IF($A733="","",IFERROR(INDEX('CAT_ESTADOS_ERP'!$B$4:$B$7,MATCH(IFERROR(INDEX('2_IMPORTAR_EJECUCION'!$C$9:$C$1208,MATCH($AQ733,'2_IMPORTAR_EJECUCION'!$J$9:$J$1208,0)),""),'CAT_ESTADOS_ERP'!$A$4:$A$7,0)),"Pendiente"))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J733="","",IFERROR(INDEX('CALENDARIO'!$C$15:$C$214,MATCH(TEXT($J733,"yyyy-mm-dd")&amp;"|"&amp;$V733&amp;"|"&amp;$W733,'CALENDARIO'!$G$15:$G$214,0)),IFERROR(INDEX('CALENDARIO'!$C$15:$C$214,MATCH(TEXT($J733,"yyyy-mm-dd")&amp;"|"&amp;$V733&amp;"|",'CALENDARIO'!$G$15:$G$214,0)),IFERROR(INDEX('CALENDARIO'!$C$15:$C$214,MATCH(TEXT($J733,"yyyy-mm-dd")&amp;"||",'CALENDARIO'!$G$15:$G$214,0)),INDEX(patronHabil,WEEKDAY($J733,2))))))</f>
        <v/>
      </c>
      <c r="T733" s="3">
        <f>IF($I733="","",IFERROR(INDEX('CAT_TIPOS_OT'!$C$4:$C$7,MATCH($I733,'CAT_TIPOS_OT'!$A$4:$A$7,0)),"sin_clasificar"))</f>
        <v/>
      </c>
      <c r="U733" s="3">
        <f>IF($F733="","",IFERROR(INDEX('CAT_CENTROS_COSTO'!$F$4:$F$13,MATCH($F733,'CAT_CENTROS_COSTO'!$A$4:$A$13,0)),"(sin catálogo)"))</f>
        <v/>
      </c>
      <c r="V733" s="3">
        <f>IF($F733="","",IFERROR(INDEX('CAT_CENTROS_COSTO'!$D$4:$D$13,MATCH($F733,'CAT_CENTROS_COSTO'!$A$4:$A$13,0)),"(sin catálogo)"))</f>
        <v/>
      </c>
      <c r="W733" s="3">
        <f>IF($F733="","",IF((IFERROR(INDEX('CAT_CENTROS_COSTO'!$E$4:$E$13,MATCH($F733,'CAT_CENTROS_COSTO'!$A$4:$A$13,0)),""))&lt;&gt;"",IFERROR(INDEX('CAT_CENTROS_COSTO'!$E$4:$E$13,MATCH($F733,'CAT_CENTROS_COSTO'!$A$4:$A$13,0)),""),$V733))</f>
        <v/>
      </c>
      <c r="X733" s="3">
        <f>IF($F733="","",IFERROR(INDEX('CAT_CENTROS_COSTO'!$G$4:$G$13,MATCH($F733,'CAT_CENTROS_COSTO'!$A$4:$A$13,0)),"(sin catálogo)"))</f>
        <v/>
      </c>
      <c r="Y733" s="3">
        <f>IF($G733="","",IFERROR(INDEX('CAT_PUESTOS'!$B$4:$B$8,MATCH($G733,'CAT_PUESTOS'!$A$4:$A$8,0)),"(sin catálogo)"))</f>
        <v/>
      </c>
      <c r="Z733" s="3">
        <f>IF($H733="","",IFERROR(INDEX('CAT_ACTIVIDADES'!$B$4:$B$8,MATCH($H733,'CAT_ACTIVIDADES'!$A$4:$A$8,0)),"(sin catálogo)"))</f>
        <v/>
      </c>
      <c r="AA733" s="12">
        <f>IF($J733="","",TODAY()-$J733)</f>
        <v/>
      </c>
      <c r="AB733" s="12">
        <f>IF($J733="","",IF($J733&lt;=TODAY(),COUNTIFS(cal_fechas,"&gt;="&amp;$J733,cal_fechas,"&lt;"&amp;TODAY(),cal_habil,"sí"),-COUNTIFS(cal_fechas,"&gt;="&amp;TODAY(),cal_fechas,"&lt;"&amp;$J733,cal_habil,"sí")))</f>
        <v/>
      </c>
      <c r="AC733" s="3">
        <f>IF($AB733="","",IF($AB733&lt;0,"FUTURO",IF($AB733&gt;p_dias_backlog_max,"BACKLOG","MES CORRIENTE")))</f>
        <v/>
      </c>
      <c r="AD733" s="3">
        <f>IF($AB733="",FALSE,AND($AB733&gt;p_dias_backlog_min,$AB733&lt;=p_dias_backlog_max))</f>
        <v/>
      </c>
      <c r="AE733" s="6" t="n"/>
      <c r="AF733" s="3">
        <f>IF($AE733="","",IF((IFERROR(INDEX('ASIGNACIONES'!$F$4:$F$339,MATCH($O733&amp;"|"&amp;$R733&amp;"|"&amp;$AE733,'ASIGNACIONES'!$J$4:$J$339,0)),""))=0,"",IFERROR(INDEX('ASIGNACIONES'!$F$4:$F$339,MATCH($O733&amp;"|"&amp;$R733&amp;"|"&amp;$AE733,'ASIGNACIONES'!$J$4:$J$339,0)),"")))</f>
        <v/>
      </c>
      <c r="AG733" s="13">
        <f>IF($AE733="","",SUMIFS('ORDENES'!$M$4:$M$1203,'ORDENES'!$AE$4:$AE$1203,$AE733,'ORDENES'!$O$4:$O$1203,$O733,'ORDENES'!$R$4:$R$1203,$R733))</f>
        <v/>
      </c>
      <c r="AH733" s="13">
        <f>IF($AG733="","",p_factor_productividad*IFERROR(INDEX('ASIGNACIONES'!$I$4:$I$339,MATCH($O733&amp;"|"&amp;$R733&amp;"|"&amp;$AE733,'ASIGNACIONES'!$J$4:$J$339,0)),0)-$AG733)</f>
        <v/>
      </c>
      <c r="AI733" s="10">
        <f>IF($A733="","",IFERROR(INDEX('2_IMPORTAR_EJECUCION'!$F$9:$F$1208,MATCH($AQ733,'2_IMPORTAR_EJECUCION'!$J$9:$J$1208,0)),0))</f>
        <v/>
      </c>
      <c r="AJ733" s="10">
        <f>IF($A733="","",MAX(0,IFERROR(INDEX('2_IMPORTAR_EJECUCION'!$H$9:$H$1208,MATCH($AQ733,'2_IMPORTAR_EJECUCION'!$J$9:$J$1208,0)),0)-$AI733))</f>
        <v/>
      </c>
      <c r="AK733" s="10">
        <f>IF($A733="","",$AI733+$AJ733)</f>
        <v/>
      </c>
      <c r="AL733" s="6" t="n"/>
      <c r="AM733" s="6" t="n"/>
      <c r="AN733" s="6" t="n"/>
      <c r="AO733" s="3">
        <f>IF($AN733="","",HYPERLINK(p_ruta_base_checklists&amp;$AN733,"abrir"))</f>
        <v/>
      </c>
      <c r="AP733" s="6" t="n"/>
      <c r="AQ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IF($A734="","",IFERROR(INDEX('AJUSTES'!$B$4:$B$303,MATCH($AQ734,'AJUSTES'!$A$4:$A$303,0)),IF($K734="","",$K734)))</f>
        <v/>
      </c>
      <c r="N734" s="3">
        <f>IF($A734="","",IFERROR(INDEX('CAT_ESTADOS_ERP'!$B$4:$B$7,MATCH(IFERROR(INDEX('2_IMPORTAR_EJECUCION'!$C$9:$C$1208,MATCH($AQ734,'2_IMPORTAR_EJECUCION'!$J$9:$J$1208,0)),""),'CAT_ESTADOS_ERP'!$A$4:$A$7,0)),"Pendiente"))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J734="","",IFERROR(INDEX('CALENDARIO'!$C$15:$C$214,MATCH(TEXT($J734,"yyyy-mm-dd")&amp;"|"&amp;$V734&amp;"|"&amp;$W734,'CALENDARIO'!$G$15:$G$214,0)),IFERROR(INDEX('CALENDARIO'!$C$15:$C$214,MATCH(TEXT($J734,"yyyy-mm-dd")&amp;"|"&amp;$V734&amp;"|",'CALENDARIO'!$G$15:$G$214,0)),IFERROR(INDEX('CALENDARIO'!$C$15:$C$214,MATCH(TEXT($J734,"yyyy-mm-dd")&amp;"||",'CALENDARIO'!$G$15:$G$214,0)),INDEX(patronHabil,WEEKDAY($J734,2))))))</f>
        <v/>
      </c>
      <c r="T734" s="3">
        <f>IF($I734="","",IFERROR(INDEX('CAT_TIPOS_OT'!$C$4:$C$7,MATCH($I734,'CAT_TIPOS_OT'!$A$4:$A$7,0)),"sin_clasificar"))</f>
        <v/>
      </c>
      <c r="U734" s="3">
        <f>IF($F734="","",IFERROR(INDEX('CAT_CENTROS_COSTO'!$F$4:$F$13,MATCH($F734,'CAT_CENTROS_COSTO'!$A$4:$A$13,0)),"(sin catálogo)"))</f>
        <v/>
      </c>
      <c r="V734" s="3">
        <f>IF($F734="","",IFERROR(INDEX('CAT_CENTROS_COSTO'!$D$4:$D$13,MATCH($F734,'CAT_CENTROS_COSTO'!$A$4:$A$13,0)),"(sin catálogo)"))</f>
        <v/>
      </c>
      <c r="W734" s="3">
        <f>IF($F734="","",IF((IFERROR(INDEX('CAT_CENTROS_COSTO'!$E$4:$E$13,MATCH($F734,'CAT_CENTROS_COSTO'!$A$4:$A$13,0)),""))&lt;&gt;"",IFERROR(INDEX('CAT_CENTROS_COSTO'!$E$4:$E$13,MATCH($F734,'CAT_CENTROS_COSTO'!$A$4:$A$13,0)),""),$V734))</f>
        <v/>
      </c>
      <c r="X734" s="3">
        <f>IF($F734="","",IFERROR(INDEX('CAT_CENTROS_COSTO'!$G$4:$G$13,MATCH($F734,'CAT_CENTROS_COSTO'!$A$4:$A$13,0)),"(sin catálogo)"))</f>
        <v/>
      </c>
      <c r="Y734" s="3">
        <f>IF($G734="","",IFERROR(INDEX('CAT_PUESTOS'!$B$4:$B$8,MATCH($G734,'CAT_PUESTOS'!$A$4:$A$8,0)),"(sin catálogo)"))</f>
        <v/>
      </c>
      <c r="Z734" s="3">
        <f>IF($H734="","",IFERROR(INDEX('CAT_ACTIVIDADES'!$B$4:$B$8,MATCH($H734,'CAT_ACTIVIDADES'!$A$4:$A$8,0)),"(sin catálogo)"))</f>
        <v/>
      </c>
      <c r="AA734" s="12">
        <f>IF($J734="","",TODAY()-$J734)</f>
        <v/>
      </c>
      <c r="AB734" s="12">
        <f>IF($J734="","",IF($J734&lt;=TODAY(),COUNTIFS(cal_fechas,"&gt;="&amp;$J734,cal_fechas,"&lt;"&amp;TODAY(),cal_habil,"sí"),-COUNTIFS(cal_fechas,"&gt;="&amp;TODAY(),cal_fechas,"&lt;"&amp;$J734,cal_habil,"sí")))</f>
        <v/>
      </c>
      <c r="AC734" s="3">
        <f>IF($AB734="","",IF($AB734&lt;0,"FUTURO",IF($AB734&gt;p_dias_backlog_max,"BACKLOG","MES CORRIENTE")))</f>
        <v/>
      </c>
      <c r="AD734" s="3">
        <f>IF($AB734="",FALSE,AND($AB734&gt;p_dias_backlog_min,$AB734&lt;=p_dias_backlog_max))</f>
        <v/>
      </c>
      <c r="AE734" s="6" t="n"/>
      <c r="AF734" s="3">
        <f>IF($AE734="","",IF((IFERROR(INDEX('ASIGNACIONES'!$F$4:$F$339,MATCH($O734&amp;"|"&amp;$R734&amp;"|"&amp;$AE734,'ASIGNACIONES'!$J$4:$J$339,0)),""))=0,"",IFERROR(INDEX('ASIGNACIONES'!$F$4:$F$339,MATCH($O734&amp;"|"&amp;$R734&amp;"|"&amp;$AE734,'ASIGNACIONES'!$J$4:$J$339,0)),"")))</f>
        <v/>
      </c>
      <c r="AG734" s="13">
        <f>IF($AE734="","",SUMIFS('ORDENES'!$M$4:$M$1203,'ORDENES'!$AE$4:$AE$1203,$AE734,'ORDENES'!$O$4:$O$1203,$O734,'ORDENES'!$R$4:$R$1203,$R734))</f>
        <v/>
      </c>
      <c r="AH734" s="13">
        <f>IF($AG734="","",p_factor_productividad*IFERROR(INDEX('ASIGNACIONES'!$I$4:$I$339,MATCH($O734&amp;"|"&amp;$R734&amp;"|"&amp;$AE734,'ASIGNACIONES'!$J$4:$J$339,0)),0)-$AG734)</f>
        <v/>
      </c>
      <c r="AI734" s="10">
        <f>IF($A734="","",IFERROR(INDEX('2_IMPORTAR_EJECUCION'!$F$9:$F$1208,MATCH($AQ734,'2_IMPORTAR_EJECUCION'!$J$9:$J$1208,0)),0))</f>
        <v/>
      </c>
      <c r="AJ734" s="10">
        <f>IF($A734="","",MAX(0,IFERROR(INDEX('2_IMPORTAR_EJECUCION'!$H$9:$H$1208,MATCH($AQ734,'2_IMPORTAR_EJECUCION'!$J$9:$J$1208,0)),0)-$AI734))</f>
        <v/>
      </c>
      <c r="AK734" s="10">
        <f>IF($A734="","",$AI734+$AJ734)</f>
        <v/>
      </c>
      <c r="AL734" s="6" t="n"/>
      <c r="AM734" s="6" t="n"/>
      <c r="AN734" s="6" t="n"/>
      <c r="AO734" s="3">
        <f>IF($AN734="","",HYPERLINK(p_ruta_base_checklists&amp;$AN734,"abrir"))</f>
        <v/>
      </c>
      <c r="AP734" s="6" t="n"/>
      <c r="AQ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IF($A735="","",IFERROR(INDEX('AJUSTES'!$B$4:$B$303,MATCH($AQ735,'AJUSTES'!$A$4:$A$303,0)),IF($K735="","",$K735)))</f>
        <v/>
      </c>
      <c r="N735" s="3">
        <f>IF($A735="","",IFERROR(INDEX('CAT_ESTADOS_ERP'!$B$4:$B$7,MATCH(IFERROR(INDEX('2_IMPORTAR_EJECUCION'!$C$9:$C$1208,MATCH($AQ735,'2_IMPORTAR_EJECUCION'!$J$9:$J$1208,0)),""),'CAT_ESTADOS_ERP'!$A$4:$A$7,0)),"Pendiente"))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J735="","",IFERROR(INDEX('CALENDARIO'!$C$15:$C$214,MATCH(TEXT($J735,"yyyy-mm-dd")&amp;"|"&amp;$V735&amp;"|"&amp;$W735,'CALENDARIO'!$G$15:$G$214,0)),IFERROR(INDEX('CALENDARIO'!$C$15:$C$214,MATCH(TEXT($J735,"yyyy-mm-dd")&amp;"|"&amp;$V735&amp;"|",'CALENDARIO'!$G$15:$G$214,0)),IFERROR(INDEX('CALENDARIO'!$C$15:$C$214,MATCH(TEXT($J735,"yyyy-mm-dd")&amp;"||",'CALENDARIO'!$G$15:$G$214,0)),INDEX(patronHabil,WEEKDAY($J735,2))))))</f>
        <v/>
      </c>
      <c r="T735" s="3">
        <f>IF($I735="","",IFERROR(INDEX('CAT_TIPOS_OT'!$C$4:$C$7,MATCH($I735,'CAT_TIPOS_OT'!$A$4:$A$7,0)),"sin_clasificar"))</f>
        <v/>
      </c>
      <c r="U735" s="3">
        <f>IF($F735="","",IFERROR(INDEX('CAT_CENTROS_COSTO'!$F$4:$F$13,MATCH($F735,'CAT_CENTROS_COSTO'!$A$4:$A$13,0)),"(sin catálogo)"))</f>
        <v/>
      </c>
      <c r="V735" s="3">
        <f>IF($F735="","",IFERROR(INDEX('CAT_CENTROS_COSTO'!$D$4:$D$13,MATCH($F735,'CAT_CENTROS_COSTO'!$A$4:$A$13,0)),"(sin catálogo)"))</f>
        <v/>
      </c>
      <c r="W735" s="3">
        <f>IF($F735="","",IF((IFERROR(INDEX('CAT_CENTROS_COSTO'!$E$4:$E$13,MATCH($F735,'CAT_CENTROS_COSTO'!$A$4:$A$13,0)),""))&lt;&gt;"",IFERROR(INDEX('CAT_CENTROS_COSTO'!$E$4:$E$13,MATCH($F735,'CAT_CENTROS_COSTO'!$A$4:$A$13,0)),""),$V735))</f>
        <v/>
      </c>
      <c r="X735" s="3">
        <f>IF($F735="","",IFERROR(INDEX('CAT_CENTROS_COSTO'!$G$4:$G$13,MATCH($F735,'CAT_CENTROS_COSTO'!$A$4:$A$13,0)),"(sin catálogo)"))</f>
        <v/>
      </c>
      <c r="Y735" s="3">
        <f>IF($G735="","",IFERROR(INDEX('CAT_PUESTOS'!$B$4:$B$8,MATCH($G735,'CAT_PUESTOS'!$A$4:$A$8,0)),"(sin catálogo)"))</f>
        <v/>
      </c>
      <c r="Z735" s="3">
        <f>IF($H735="","",IFERROR(INDEX('CAT_ACTIVIDADES'!$B$4:$B$8,MATCH($H735,'CAT_ACTIVIDADES'!$A$4:$A$8,0)),"(sin catálogo)"))</f>
        <v/>
      </c>
      <c r="AA735" s="12">
        <f>IF($J735="","",TODAY()-$J735)</f>
        <v/>
      </c>
      <c r="AB735" s="12">
        <f>IF($J735="","",IF($J735&lt;=TODAY(),COUNTIFS(cal_fechas,"&gt;="&amp;$J735,cal_fechas,"&lt;"&amp;TODAY(),cal_habil,"sí"),-COUNTIFS(cal_fechas,"&gt;="&amp;TODAY(),cal_fechas,"&lt;"&amp;$J735,cal_habil,"sí")))</f>
        <v/>
      </c>
      <c r="AC735" s="3">
        <f>IF($AB735="","",IF($AB735&lt;0,"FUTURO",IF($AB735&gt;p_dias_backlog_max,"BACKLOG","MES CORRIENTE")))</f>
        <v/>
      </c>
      <c r="AD735" s="3">
        <f>IF($AB735="",FALSE,AND($AB735&gt;p_dias_backlog_min,$AB735&lt;=p_dias_backlog_max))</f>
        <v/>
      </c>
      <c r="AE735" s="6" t="n"/>
      <c r="AF735" s="3">
        <f>IF($AE735="","",IF((IFERROR(INDEX('ASIGNACIONES'!$F$4:$F$339,MATCH($O735&amp;"|"&amp;$R735&amp;"|"&amp;$AE735,'ASIGNACIONES'!$J$4:$J$339,0)),""))=0,"",IFERROR(INDEX('ASIGNACIONES'!$F$4:$F$339,MATCH($O735&amp;"|"&amp;$R735&amp;"|"&amp;$AE735,'ASIGNACIONES'!$J$4:$J$339,0)),"")))</f>
        <v/>
      </c>
      <c r="AG735" s="13">
        <f>IF($AE735="","",SUMIFS('ORDENES'!$M$4:$M$1203,'ORDENES'!$AE$4:$AE$1203,$AE735,'ORDENES'!$O$4:$O$1203,$O735,'ORDENES'!$R$4:$R$1203,$R735))</f>
        <v/>
      </c>
      <c r="AH735" s="13">
        <f>IF($AG735="","",p_factor_productividad*IFERROR(INDEX('ASIGNACIONES'!$I$4:$I$339,MATCH($O735&amp;"|"&amp;$R735&amp;"|"&amp;$AE735,'ASIGNACIONES'!$J$4:$J$339,0)),0)-$AG735)</f>
        <v/>
      </c>
      <c r="AI735" s="10">
        <f>IF($A735="","",IFERROR(INDEX('2_IMPORTAR_EJECUCION'!$F$9:$F$1208,MATCH($AQ735,'2_IMPORTAR_EJECUCION'!$J$9:$J$1208,0)),0))</f>
        <v/>
      </c>
      <c r="AJ735" s="10">
        <f>IF($A735="","",MAX(0,IFERROR(INDEX('2_IMPORTAR_EJECUCION'!$H$9:$H$1208,MATCH($AQ735,'2_IMPORTAR_EJECUCION'!$J$9:$J$1208,0)),0)-$AI735))</f>
        <v/>
      </c>
      <c r="AK735" s="10">
        <f>IF($A735="","",$AI735+$AJ735)</f>
        <v/>
      </c>
      <c r="AL735" s="6" t="n"/>
      <c r="AM735" s="6" t="n"/>
      <c r="AN735" s="6" t="n"/>
      <c r="AO735" s="3">
        <f>IF($AN735="","",HYPERLINK(p_ruta_base_checklists&amp;$AN735,"abrir"))</f>
        <v/>
      </c>
      <c r="AP735" s="6" t="n"/>
      <c r="AQ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IF($A736="","",IFERROR(INDEX('AJUSTES'!$B$4:$B$303,MATCH($AQ736,'AJUSTES'!$A$4:$A$303,0)),IF($K736="","",$K736)))</f>
        <v/>
      </c>
      <c r="N736" s="3">
        <f>IF($A736="","",IFERROR(INDEX('CAT_ESTADOS_ERP'!$B$4:$B$7,MATCH(IFERROR(INDEX('2_IMPORTAR_EJECUCION'!$C$9:$C$1208,MATCH($AQ736,'2_IMPORTAR_EJECUCION'!$J$9:$J$1208,0)),""),'CAT_ESTADOS_ERP'!$A$4:$A$7,0)),"Pendiente"))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J736="","",IFERROR(INDEX('CALENDARIO'!$C$15:$C$214,MATCH(TEXT($J736,"yyyy-mm-dd")&amp;"|"&amp;$V736&amp;"|"&amp;$W736,'CALENDARIO'!$G$15:$G$214,0)),IFERROR(INDEX('CALENDARIO'!$C$15:$C$214,MATCH(TEXT($J736,"yyyy-mm-dd")&amp;"|"&amp;$V736&amp;"|",'CALENDARIO'!$G$15:$G$214,0)),IFERROR(INDEX('CALENDARIO'!$C$15:$C$214,MATCH(TEXT($J736,"yyyy-mm-dd")&amp;"||",'CALENDARIO'!$G$15:$G$214,0)),INDEX(patronHabil,WEEKDAY($J736,2))))))</f>
        <v/>
      </c>
      <c r="T736" s="3">
        <f>IF($I736="","",IFERROR(INDEX('CAT_TIPOS_OT'!$C$4:$C$7,MATCH($I736,'CAT_TIPOS_OT'!$A$4:$A$7,0)),"sin_clasificar"))</f>
        <v/>
      </c>
      <c r="U736" s="3">
        <f>IF($F736="","",IFERROR(INDEX('CAT_CENTROS_COSTO'!$F$4:$F$13,MATCH($F736,'CAT_CENTROS_COSTO'!$A$4:$A$13,0)),"(sin catálogo)"))</f>
        <v/>
      </c>
      <c r="V736" s="3">
        <f>IF($F736="","",IFERROR(INDEX('CAT_CENTROS_COSTO'!$D$4:$D$13,MATCH($F736,'CAT_CENTROS_COSTO'!$A$4:$A$13,0)),"(sin catálogo)"))</f>
        <v/>
      </c>
      <c r="W736" s="3">
        <f>IF($F736="","",IF((IFERROR(INDEX('CAT_CENTROS_COSTO'!$E$4:$E$13,MATCH($F736,'CAT_CENTROS_COSTO'!$A$4:$A$13,0)),""))&lt;&gt;"",IFERROR(INDEX('CAT_CENTROS_COSTO'!$E$4:$E$13,MATCH($F736,'CAT_CENTROS_COSTO'!$A$4:$A$13,0)),""),$V736))</f>
        <v/>
      </c>
      <c r="X736" s="3">
        <f>IF($F736="","",IFERROR(INDEX('CAT_CENTROS_COSTO'!$G$4:$G$13,MATCH($F736,'CAT_CENTROS_COSTO'!$A$4:$A$13,0)),"(sin catálogo)"))</f>
        <v/>
      </c>
      <c r="Y736" s="3">
        <f>IF($G736="","",IFERROR(INDEX('CAT_PUESTOS'!$B$4:$B$8,MATCH($G736,'CAT_PUESTOS'!$A$4:$A$8,0)),"(sin catálogo)"))</f>
        <v/>
      </c>
      <c r="Z736" s="3">
        <f>IF($H736="","",IFERROR(INDEX('CAT_ACTIVIDADES'!$B$4:$B$8,MATCH($H736,'CAT_ACTIVIDADES'!$A$4:$A$8,0)),"(sin catálogo)"))</f>
        <v/>
      </c>
      <c r="AA736" s="12">
        <f>IF($J736="","",TODAY()-$J736)</f>
        <v/>
      </c>
      <c r="AB736" s="12">
        <f>IF($J736="","",IF($J736&lt;=TODAY(),COUNTIFS(cal_fechas,"&gt;="&amp;$J736,cal_fechas,"&lt;"&amp;TODAY(),cal_habil,"sí"),-COUNTIFS(cal_fechas,"&gt;="&amp;TODAY(),cal_fechas,"&lt;"&amp;$J736,cal_habil,"sí")))</f>
        <v/>
      </c>
      <c r="AC736" s="3">
        <f>IF($AB736="","",IF($AB736&lt;0,"FUTURO",IF($AB736&gt;p_dias_backlog_max,"BACKLOG","MES CORRIENTE")))</f>
        <v/>
      </c>
      <c r="AD736" s="3">
        <f>IF($AB736="",FALSE,AND($AB736&gt;p_dias_backlog_min,$AB736&lt;=p_dias_backlog_max))</f>
        <v/>
      </c>
      <c r="AE736" s="6" t="n"/>
      <c r="AF736" s="3">
        <f>IF($AE736="","",IF((IFERROR(INDEX('ASIGNACIONES'!$F$4:$F$339,MATCH($O736&amp;"|"&amp;$R736&amp;"|"&amp;$AE736,'ASIGNACIONES'!$J$4:$J$339,0)),""))=0,"",IFERROR(INDEX('ASIGNACIONES'!$F$4:$F$339,MATCH($O736&amp;"|"&amp;$R736&amp;"|"&amp;$AE736,'ASIGNACIONES'!$J$4:$J$339,0)),"")))</f>
        <v/>
      </c>
      <c r="AG736" s="13">
        <f>IF($AE736="","",SUMIFS('ORDENES'!$M$4:$M$1203,'ORDENES'!$AE$4:$AE$1203,$AE736,'ORDENES'!$O$4:$O$1203,$O736,'ORDENES'!$R$4:$R$1203,$R736))</f>
        <v/>
      </c>
      <c r="AH736" s="13">
        <f>IF($AG736="","",p_factor_productividad*IFERROR(INDEX('ASIGNACIONES'!$I$4:$I$339,MATCH($O736&amp;"|"&amp;$R736&amp;"|"&amp;$AE736,'ASIGNACIONES'!$J$4:$J$339,0)),0)-$AG736)</f>
        <v/>
      </c>
      <c r="AI736" s="10">
        <f>IF($A736="","",IFERROR(INDEX('2_IMPORTAR_EJECUCION'!$F$9:$F$1208,MATCH($AQ736,'2_IMPORTAR_EJECUCION'!$J$9:$J$1208,0)),0))</f>
        <v/>
      </c>
      <c r="AJ736" s="10">
        <f>IF($A736="","",MAX(0,IFERROR(INDEX('2_IMPORTAR_EJECUCION'!$H$9:$H$1208,MATCH($AQ736,'2_IMPORTAR_EJECUCION'!$J$9:$J$1208,0)),0)-$AI736))</f>
        <v/>
      </c>
      <c r="AK736" s="10">
        <f>IF($A736="","",$AI736+$AJ736)</f>
        <v/>
      </c>
      <c r="AL736" s="6" t="n"/>
      <c r="AM736" s="6" t="n"/>
      <c r="AN736" s="6" t="n"/>
      <c r="AO736" s="3">
        <f>IF($AN736="","",HYPERLINK(p_ruta_base_checklists&amp;$AN736,"abrir"))</f>
        <v/>
      </c>
      <c r="AP736" s="6" t="n"/>
      <c r="AQ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IF($A737="","",IFERROR(INDEX('AJUSTES'!$B$4:$B$303,MATCH($AQ737,'AJUSTES'!$A$4:$A$303,0)),IF($K737="","",$K737)))</f>
        <v/>
      </c>
      <c r="N737" s="3">
        <f>IF($A737="","",IFERROR(INDEX('CAT_ESTADOS_ERP'!$B$4:$B$7,MATCH(IFERROR(INDEX('2_IMPORTAR_EJECUCION'!$C$9:$C$1208,MATCH($AQ737,'2_IMPORTAR_EJECUCION'!$J$9:$J$1208,0)),""),'CAT_ESTADOS_ERP'!$A$4:$A$7,0)),"Pendiente"))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J737="","",IFERROR(INDEX('CALENDARIO'!$C$15:$C$214,MATCH(TEXT($J737,"yyyy-mm-dd")&amp;"|"&amp;$V737&amp;"|"&amp;$W737,'CALENDARIO'!$G$15:$G$214,0)),IFERROR(INDEX('CALENDARIO'!$C$15:$C$214,MATCH(TEXT($J737,"yyyy-mm-dd")&amp;"|"&amp;$V737&amp;"|",'CALENDARIO'!$G$15:$G$214,0)),IFERROR(INDEX('CALENDARIO'!$C$15:$C$214,MATCH(TEXT($J737,"yyyy-mm-dd")&amp;"||",'CALENDARIO'!$G$15:$G$214,0)),INDEX(patronHabil,WEEKDAY($J737,2))))))</f>
        <v/>
      </c>
      <c r="T737" s="3">
        <f>IF($I737="","",IFERROR(INDEX('CAT_TIPOS_OT'!$C$4:$C$7,MATCH($I737,'CAT_TIPOS_OT'!$A$4:$A$7,0)),"sin_clasificar"))</f>
        <v/>
      </c>
      <c r="U737" s="3">
        <f>IF($F737="","",IFERROR(INDEX('CAT_CENTROS_COSTO'!$F$4:$F$13,MATCH($F737,'CAT_CENTROS_COSTO'!$A$4:$A$13,0)),"(sin catálogo)"))</f>
        <v/>
      </c>
      <c r="V737" s="3">
        <f>IF($F737="","",IFERROR(INDEX('CAT_CENTROS_COSTO'!$D$4:$D$13,MATCH($F737,'CAT_CENTROS_COSTO'!$A$4:$A$13,0)),"(sin catálogo)"))</f>
        <v/>
      </c>
      <c r="W737" s="3">
        <f>IF($F737="","",IF((IFERROR(INDEX('CAT_CENTROS_COSTO'!$E$4:$E$13,MATCH($F737,'CAT_CENTROS_COSTO'!$A$4:$A$13,0)),""))&lt;&gt;"",IFERROR(INDEX('CAT_CENTROS_COSTO'!$E$4:$E$13,MATCH($F737,'CAT_CENTROS_COSTO'!$A$4:$A$13,0)),""),$V737))</f>
        <v/>
      </c>
      <c r="X737" s="3">
        <f>IF($F737="","",IFERROR(INDEX('CAT_CENTROS_COSTO'!$G$4:$G$13,MATCH($F737,'CAT_CENTROS_COSTO'!$A$4:$A$13,0)),"(sin catálogo)"))</f>
        <v/>
      </c>
      <c r="Y737" s="3">
        <f>IF($G737="","",IFERROR(INDEX('CAT_PUESTOS'!$B$4:$B$8,MATCH($G737,'CAT_PUESTOS'!$A$4:$A$8,0)),"(sin catálogo)"))</f>
        <v/>
      </c>
      <c r="Z737" s="3">
        <f>IF($H737="","",IFERROR(INDEX('CAT_ACTIVIDADES'!$B$4:$B$8,MATCH($H737,'CAT_ACTIVIDADES'!$A$4:$A$8,0)),"(sin catálogo)"))</f>
        <v/>
      </c>
      <c r="AA737" s="12">
        <f>IF($J737="","",TODAY()-$J737)</f>
        <v/>
      </c>
      <c r="AB737" s="12">
        <f>IF($J737="","",IF($J737&lt;=TODAY(),COUNTIFS(cal_fechas,"&gt;="&amp;$J737,cal_fechas,"&lt;"&amp;TODAY(),cal_habil,"sí"),-COUNTIFS(cal_fechas,"&gt;="&amp;TODAY(),cal_fechas,"&lt;"&amp;$J737,cal_habil,"sí")))</f>
        <v/>
      </c>
      <c r="AC737" s="3">
        <f>IF($AB737="","",IF($AB737&lt;0,"FUTURO",IF($AB737&gt;p_dias_backlog_max,"BACKLOG","MES CORRIENTE")))</f>
        <v/>
      </c>
      <c r="AD737" s="3">
        <f>IF($AB737="",FALSE,AND($AB737&gt;p_dias_backlog_min,$AB737&lt;=p_dias_backlog_max))</f>
        <v/>
      </c>
      <c r="AE737" s="6" t="n"/>
      <c r="AF737" s="3">
        <f>IF($AE737="","",IF((IFERROR(INDEX('ASIGNACIONES'!$F$4:$F$339,MATCH($O737&amp;"|"&amp;$R737&amp;"|"&amp;$AE737,'ASIGNACIONES'!$J$4:$J$339,0)),""))=0,"",IFERROR(INDEX('ASIGNACIONES'!$F$4:$F$339,MATCH($O737&amp;"|"&amp;$R737&amp;"|"&amp;$AE737,'ASIGNACIONES'!$J$4:$J$339,0)),"")))</f>
        <v/>
      </c>
      <c r="AG737" s="13">
        <f>IF($AE737="","",SUMIFS('ORDENES'!$M$4:$M$1203,'ORDENES'!$AE$4:$AE$1203,$AE737,'ORDENES'!$O$4:$O$1203,$O737,'ORDENES'!$R$4:$R$1203,$R737))</f>
        <v/>
      </c>
      <c r="AH737" s="13">
        <f>IF($AG737="","",p_factor_productividad*IFERROR(INDEX('ASIGNACIONES'!$I$4:$I$339,MATCH($O737&amp;"|"&amp;$R737&amp;"|"&amp;$AE737,'ASIGNACIONES'!$J$4:$J$339,0)),0)-$AG737)</f>
        <v/>
      </c>
      <c r="AI737" s="10">
        <f>IF($A737="","",IFERROR(INDEX('2_IMPORTAR_EJECUCION'!$F$9:$F$1208,MATCH($AQ737,'2_IMPORTAR_EJECUCION'!$J$9:$J$1208,0)),0))</f>
        <v/>
      </c>
      <c r="AJ737" s="10">
        <f>IF($A737="","",MAX(0,IFERROR(INDEX('2_IMPORTAR_EJECUCION'!$H$9:$H$1208,MATCH($AQ737,'2_IMPORTAR_EJECUCION'!$J$9:$J$1208,0)),0)-$AI737))</f>
        <v/>
      </c>
      <c r="AK737" s="10">
        <f>IF($A737="","",$AI737+$AJ737)</f>
        <v/>
      </c>
      <c r="AL737" s="6" t="n"/>
      <c r="AM737" s="6" t="n"/>
      <c r="AN737" s="6" t="n"/>
      <c r="AO737" s="3">
        <f>IF($AN737="","",HYPERLINK(p_ruta_base_checklists&amp;$AN737,"abrir"))</f>
        <v/>
      </c>
      <c r="AP737" s="6" t="n"/>
      <c r="AQ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IF($A738="","",IFERROR(INDEX('AJUSTES'!$B$4:$B$303,MATCH($AQ738,'AJUSTES'!$A$4:$A$303,0)),IF($K738="","",$K738)))</f>
        <v/>
      </c>
      <c r="N738" s="3">
        <f>IF($A738="","",IFERROR(INDEX('CAT_ESTADOS_ERP'!$B$4:$B$7,MATCH(IFERROR(INDEX('2_IMPORTAR_EJECUCION'!$C$9:$C$1208,MATCH($AQ738,'2_IMPORTAR_EJECUCION'!$J$9:$J$1208,0)),""),'CAT_ESTADOS_ERP'!$A$4:$A$7,0)),"Pendiente"))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J738="","",IFERROR(INDEX('CALENDARIO'!$C$15:$C$214,MATCH(TEXT($J738,"yyyy-mm-dd")&amp;"|"&amp;$V738&amp;"|"&amp;$W738,'CALENDARIO'!$G$15:$G$214,0)),IFERROR(INDEX('CALENDARIO'!$C$15:$C$214,MATCH(TEXT($J738,"yyyy-mm-dd")&amp;"|"&amp;$V738&amp;"|",'CALENDARIO'!$G$15:$G$214,0)),IFERROR(INDEX('CALENDARIO'!$C$15:$C$214,MATCH(TEXT($J738,"yyyy-mm-dd")&amp;"||",'CALENDARIO'!$G$15:$G$214,0)),INDEX(patronHabil,WEEKDAY($J738,2))))))</f>
        <v/>
      </c>
      <c r="T738" s="3">
        <f>IF($I738="","",IFERROR(INDEX('CAT_TIPOS_OT'!$C$4:$C$7,MATCH($I738,'CAT_TIPOS_OT'!$A$4:$A$7,0)),"sin_clasificar"))</f>
        <v/>
      </c>
      <c r="U738" s="3">
        <f>IF($F738="","",IFERROR(INDEX('CAT_CENTROS_COSTO'!$F$4:$F$13,MATCH($F738,'CAT_CENTROS_COSTO'!$A$4:$A$13,0)),"(sin catálogo)"))</f>
        <v/>
      </c>
      <c r="V738" s="3">
        <f>IF($F738="","",IFERROR(INDEX('CAT_CENTROS_COSTO'!$D$4:$D$13,MATCH($F738,'CAT_CENTROS_COSTO'!$A$4:$A$13,0)),"(sin catálogo)"))</f>
        <v/>
      </c>
      <c r="W738" s="3">
        <f>IF($F738="","",IF((IFERROR(INDEX('CAT_CENTROS_COSTO'!$E$4:$E$13,MATCH($F738,'CAT_CENTROS_COSTO'!$A$4:$A$13,0)),""))&lt;&gt;"",IFERROR(INDEX('CAT_CENTROS_COSTO'!$E$4:$E$13,MATCH($F738,'CAT_CENTROS_COSTO'!$A$4:$A$13,0)),""),$V738))</f>
        <v/>
      </c>
      <c r="X738" s="3">
        <f>IF($F738="","",IFERROR(INDEX('CAT_CENTROS_COSTO'!$G$4:$G$13,MATCH($F738,'CAT_CENTROS_COSTO'!$A$4:$A$13,0)),"(sin catálogo)"))</f>
        <v/>
      </c>
      <c r="Y738" s="3">
        <f>IF($G738="","",IFERROR(INDEX('CAT_PUESTOS'!$B$4:$B$8,MATCH($G738,'CAT_PUESTOS'!$A$4:$A$8,0)),"(sin catálogo)"))</f>
        <v/>
      </c>
      <c r="Z738" s="3">
        <f>IF($H738="","",IFERROR(INDEX('CAT_ACTIVIDADES'!$B$4:$B$8,MATCH($H738,'CAT_ACTIVIDADES'!$A$4:$A$8,0)),"(sin catálogo)"))</f>
        <v/>
      </c>
      <c r="AA738" s="12">
        <f>IF($J738="","",TODAY()-$J738)</f>
        <v/>
      </c>
      <c r="AB738" s="12">
        <f>IF($J738="","",IF($J738&lt;=TODAY(),COUNTIFS(cal_fechas,"&gt;="&amp;$J738,cal_fechas,"&lt;"&amp;TODAY(),cal_habil,"sí"),-COUNTIFS(cal_fechas,"&gt;="&amp;TODAY(),cal_fechas,"&lt;"&amp;$J738,cal_habil,"sí")))</f>
        <v/>
      </c>
      <c r="AC738" s="3">
        <f>IF($AB738="","",IF($AB738&lt;0,"FUTURO",IF($AB738&gt;p_dias_backlog_max,"BACKLOG","MES CORRIENTE")))</f>
        <v/>
      </c>
      <c r="AD738" s="3">
        <f>IF($AB738="",FALSE,AND($AB738&gt;p_dias_backlog_min,$AB738&lt;=p_dias_backlog_max))</f>
        <v/>
      </c>
      <c r="AE738" s="6" t="n"/>
      <c r="AF738" s="3">
        <f>IF($AE738="","",IF((IFERROR(INDEX('ASIGNACIONES'!$F$4:$F$339,MATCH($O738&amp;"|"&amp;$R738&amp;"|"&amp;$AE738,'ASIGNACIONES'!$J$4:$J$339,0)),""))=0,"",IFERROR(INDEX('ASIGNACIONES'!$F$4:$F$339,MATCH($O738&amp;"|"&amp;$R738&amp;"|"&amp;$AE738,'ASIGNACIONES'!$J$4:$J$339,0)),"")))</f>
        <v/>
      </c>
      <c r="AG738" s="13">
        <f>IF($AE738="","",SUMIFS('ORDENES'!$M$4:$M$1203,'ORDENES'!$AE$4:$AE$1203,$AE738,'ORDENES'!$O$4:$O$1203,$O738,'ORDENES'!$R$4:$R$1203,$R738))</f>
        <v/>
      </c>
      <c r="AH738" s="13">
        <f>IF($AG738="","",p_factor_productividad*IFERROR(INDEX('ASIGNACIONES'!$I$4:$I$339,MATCH($O738&amp;"|"&amp;$R738&amp;"|"&amp;$AE738,'ASIGNACIONES'!$J$4:$J$339,0)),0)-$AG738)</f>
        <v/>
      </c>
      <c r="AI738" s="10">
        <f>IF($A738="","",IFERROR(INDEX('2_IMPORTAR_EJECUCION'!$F$9:$F$1208,MATCH($AQ738,'2_IMPORTAR_EJECUCION'!$J$9:$J$1208,0)),0))</f>
        <v/>
      </c>
      <c r="AJ738" s="10">
        <f>IF($A738="","",MAX(0,IFERROR(INDEX('2_IMPORTAR_EJECUCION'!$H$9:$H$1208,MATCH($AQ738,'2_IMPORTAR_EJECUCION'!$J$9:$J$1208,0)),0)-$AI738))</f>
        <v/>
      </c>
      <c r="AK738" s="10">
        <f>IF($A738="","",$AI738+$AJ738)</f>
        <v/>
      </c>
      <c r="AL738" s="6" t="n"/>
      <c r="AM738" s="6" t="n"/>
      <c r="AN738" s="6" t="n"/>
      <c r="AO738" s="3">
        <f>IF($AN738="","",HYPERLINK(p_ruta_base_checklists&amp;$AN738,"abrir"))</f>
        <v/>
      </c>
      <c r="AP738" s="6" t="n"/>
      <c r="AQ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IF($A739="","",IFERROR(INDEX('AJUSTES'!$B$4:$B$303,MATCH($AQ739,'AJUSTES'!$A$4:$A$303,0)),IF($K739="","",$K739)))</f>
        <v/>
      </c>
      <c r="N739" s="3">
        <f>IF($A739="","",IFERROR(INDEX('CAT_ESTADOS_ERP'!$B$4:$B$7,MATCH(IFERROR(INDEX('2_IMPORTAR_EJECUCION'!$C$9:$C$1208,MATCH($AQ739,'2_IMPORTAR_EJECUCION'!$J$9:$J$1208,0)),""),'CAT_ESTADOS_ERP'!$A$4:$A$7,0)),"Pendiente"))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J739="","",IFERROR(INDEX('CALENDARIO'!$C$15:$C$214,MATCH(TEXT($J739,"yyyy-mm-dd")&amp;"|"&amp;$V739&amp;"|"&amp;$W739,'CALENDARIO'!$G$15:$G$214,0)),IFERROR(INDEX('CALENDARIO'!$C$15:$C$214,MATCH(TEXT($J739,"yyyy-mm-dd")&amp;"|"&amp;$V739&amp;"|",'CALENDARIO'!$G$15:$G$214,0)),IFERROR(INDEX('CALENDARIO'!$C$15:$C$214,MATCH(TEXT($J739,"yyyy-mm-dd")&amp;"||",'CALENDARIO'!$G$15:$G$214,0)),INDEX(patronHabil,WEEKDAY($J739,2))))))</f>
        <v/>
      </c>
      <c r="T739" s="3">
        <f>IF($I739="","",IFERROR(INDEX('CAT_TIPOS_OT'!$C$4:$C$7,MATCH($I739,'CAT_TIPOS_OT'!$A$4:$A$7,0)),"sin_clasificar"))</f>
        <v/>
      </c>
      <c r="U739" s="3">
        <f>IF($F739="","",IFERROR(INDEX('CAT_CENTROS_COSTO'!$F$4:$F$13,MATCH($F739,'CAT_CENTROS_COSTO'!$A$4:$A$13,0)),"(sin catálogo)"))</f>
        <v/>
      </c>
      <c r="V739" s="3">
        <f>IF($F739="","",IFERROR(INDEX('CAT_CENTROS_COSTO'!$D$4:$D$13,MATCH($F739,'CAT_CENTROS_COSTO'!$A$4:$A$13,0)),"(sin catálogo)"))</f>
        <v/>
      </c>
      <c r="W739" s="3">
        <f>IF($F739="","",IF((IFERROR(INDEX('CAT_CENTROS_COSTO'!$E$4:$E$13,MATCH($F739,'CAT_CENTROS_COSTO'!$A$4:$A$13,0)),""))&lt;&gt;"",IFERROR(INDEX('CAT_CENTROS_COSTO'!$E$4:$E$13,MATCH($F739,'CAT_CENTROS_COSTO'!$A$4:$A$13,0)),""),$V739))</f>
        <v/>
      </c>
      <c r="X739" s="3">
        <f>IF($F739="","",IFERROR(INDEX('CAT_CENTROS_COSTO'!$G$4:$G$13,MATCH($F739,'CAT_CENTROS_COSTO'!$A$4:$A$13,0)),"(sin catálogo)"))</f>
        <v/>
      </c>
      <c r="Y739" s="3">
        <f>IF($G739="","",IFERROR(INDEX('CAT_PUESTOS'!$B$4:$B$8,MATCH($G739,'CAT_PUESTOS'!$A$4:$A$8,0)),"(sin catálogo)"))</f>
        <v/>
      </c>
      <c r="Z739" s="3">
        <f>IF($H739="","",IFERROR(INDEX('CAT_ACTIVIDADES'!$B$4:$B$8,MATCH($H739,'CAT_ACTIVIDADES'!$A$4:$A$8,0)),"(sin catálogo)"))</f>
        <v/>
      </c>
      <c r="AA739" s="12">
        <f>IF($J739="","",TODAY()-$J739)</f>
        <v/>
      </c>
      <c r="AB739" s="12">
        <f>IF($J739="","",IF($J739&lt;=TODAY(),COUNTIFS(cal_fechas,"&gt;="&amp;$J739,cal_fechas,"&lt;"&amp;TODAY(),cal_habil,"sí"),-COUNTIFS(cal_fechas,"&gt;="&amp;TODAY(),cal_fechas,"&lt;"&amp;$J739,cal_habil,"sí")))</f>
        <v/>
      </c>
      <c r="AC739" s="3">
        <f>IF($AB739="","",IF($AB739&lt;0,"FUTURO",IF($AB739&gt;p_dias_backlog_max,"BACKLOG","MES CORRIENTE")))</f>
        <v/>
      </c>
      <c r="AD739" s="3">
        <f>IF($AB739="",FALSE,AND($AB739&gt;p_dias_backlog_min,$AB739&lt;=p_dias_backlog_max))</f>
        <v/>
      </c>
      <c r="AE739" s="6" t="n"/>
      <c r="AF739" s="3">
        <f>IF($AE739="","",IF((IFERROR(INDEX('ASIGNACIONES'!$F$4:$F$339,MATCH($O739&amp;"|"&amp;$R739&amp;"|"&amp;$AE739,'ASIGNACIONES'!$J$4:$J$339,0)),""))=0,"",IFERROR(INDEX('ASIGNACIONES'!$F$4:$F$339,MATCH($O739&amp;"|"&amp;$R739&amp;"|"&amp;$AE739,'ASIGNACIONES'!$J$4:$J$339,0)),"")))</f>
        <v/>
      </c>
      <c r="AG739" s="13">
        <f>IF($AE739="","",SUMIFS('ORDENES'!$M$4:$M$1203,'ORDENES'!$AE$4:$AE$1203,$AE739,'ORDENES'!$O$4:$O$1203,$O739,'ORDENES'!$R$4:$R$1203,$R739))</f>
        <v/>
      </c>
      <c r="AH739" s="13">
        <f>IF($AG739="","",p_factor_productividad*IFERROR(INDEX('ASIGNACIONES'!$I$4:$I$339,MATCH($O739&amp;"|"&amp;$R739&amp;"|"&amp;$AE739,'ASIGNACIONES'!$J$4:$J$339,0)),0)-$AG739)</f>
        <v/>
      </c>
      <c r="AI739" s="10">
        <f>IF($A739="","",IFERROR(INDEX('2_IMPORTAR_EJECUCION'!$F$9:$F$1208,MATCH($AQ739,'2_IMPORTAR_EJECUCION'!$J$9:$J$1208,0)),0))</f>
        <v/>
      </c>
      <c r="AJ739" s="10">
        <f>IF($A739="","",MAX(0,IFERROR(INDEX('2_IMPORTAR_EJECUCION'!$H$9:$H$1208,MATCH($AQ739,'2_IMPORTAR_EJECUCION'!$J$9:$J$1208,0)),0)-$AI739))</f>
        <v/>
      </c>
      <c r="AK739" s="10">
        <f>IF($A739="","",$AI739+$AJ739)</f>
        <v/>
      </c>
      <c r="AL739" s="6" t="n"/>
      <c r="AM739" s="6" t="n"/>
      <c r="AN739" s="6" t="n"/>
      <c r="AO739" s="3">
        <f>IF($AN739="","",HYPERLINK(p_ruta_base_checklists&amp;$AN739,"abrir"))</f>
        <v/>
      </c>
      <c r="AP739" s="6" t="n"/>
      <c r="AQ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IF($A740="","",IFERROR(INDEX('AJUSTES'!$B$4:$B$303,MATCH($AQ740,'AJUSTES'!$A$4:$A$303,0)),IF($K740="","",$K740)))</f>
        <v/>
      </c>
      <c r="N740" s="3">
        <f>IF($A740="","",IFERROR(INDEX('CAT_ESTADOS_ERP'!$B$4:$B$7,MATCH(IFERROR(INDEX('2_IMPORTAR_EJECUCION'!$C$9:$C$1208,MATCH($AQ740,'2_IMPORTAR_EJECUCION'!$J$9:$J$1208,0)),""),'CAT_ESTADOS_ERP'!$A$4:$A$7,0)),"Pendiente"))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J740="","",IFERROR(INDEX('CALENDARIO'!$C$15:$C$214,MATCH(TEXT($J740,"yyyy-mm-dd")&amp;"|"&amp;$V740&amp;"|"&amp;$W740,'CALENDARIO'!$G$15:$G$214,0)),IFERROR(INDEX('CALENDARIO'!$C$15:$C$214,MATCH(TEXT($J740,"yyyy-mm-dd")&amp;"|"&amp;$V740&amp;"|",'CALENDARIO'!$G$15:$G$214,0)),IFERROR(INDEX('CALENDARIO'!$C$15:$C$214,MATCH(TEXT($J740,"yyyy-mm-dd")&amp;"||",'CALENDARIO'!$G$15:$G$214,0)),INDEX(patronHabil,WEEKDAY($J740,2))))))</f>
        <v/>
      </c>
      <c r="T740" s="3">
        <f>IF($I740="","",IFERROR(INDEX('CAT_TIPOS_OT'!$C$4:$C$7,MATCH($I740,'CAT_TIPOS_OT'!$A$4:$A$7,0)),"sin_clasificar"))</f>
        <v/>
      </c>
      <c r="U740" s="3">
        <f>IF($F740="","",IFERROR(INDEX('CAT_CENTROS_COSTO'!$F$4:$F$13,MATCH($F740,'CAT_CENTROS_COSTO'!$A$4:$A$13,0)),"(sin catálogo)"))</f>
        <v/>
      </c>
      <c r="V740" s="3">
        <f>IF($F740="","",IFERROR(INDEX('CAT_CENTROS_COSTO'!$D$4:$D$13,MATCH($F740,'CAT_CENTROS_COSTO'!$A$4:$A$13,0)),"(sin catálogo)"))</f>
        <v/>
      </c>
      <c r="W740" s="3">
        <f>IF($F740="","",IF((IFERROR(INDEX('CAT_CENTROS_COSTO'!$E$4:$E$13,MATCH($F740,'CAT_CENTROS_COSTO'!$A$4:$A$13,0)),""))&lt;&gt;"",IFERROR(INDEX('CAT_CENTROS_COSTO'!$E$4:$E$13,MATCH($F740,'CAT_CENTROS_COSTO'!$A$4:$A$13,0)),""),$V740))</f>
        <v/>
      </c>
      <c r="X740" s="3">
        <f>IF($F740="","",IFERROR(INDEX('CAT_CENTROS_COSTO'!$G$4:$G$13,MATCH($F740,'CAT_CENTROS_COSTO'!$A$4:$A$13,0)),"(sin catálogo)"))</f>
        <v/>
      </c>
      <c r="Y740" s="3">
        <f>IF($G740="","",IFERROR(INDEX('CAT_PUESTOS'!$B$4:$B$8,MATCH($G740,'CAT_PUESTOS'!$A$4:$A$8,0)),"(sin catálogo)"))</f>
        <v/>
      </c>
      <c r="Z740" s="3">
        <f>IF($H740="","",IFERROR(INDEX('CAT_ACTIVIDADES'!$B$4:$B$8,MATCH($H740,'CAT_ACTIVIDADES'!$A$4:$A$8,0)),"(sin catálogo)"))</f>
        <v/>
      </c>
      <c r="AA740" s="12">
        <f>IF($J740="","",TODAY()-$J740)</f>
        <v/>
      </c>
      <c r="AB740" s="12">
        <f>IF($J740="","",IF($J740&lt;=TODAY(),COUNTIFS(cal_fechas,"&gt;="&amp;$J740,cal_fechas,"&lt;"&amp;TODAY(),cal_habil,"sí"),-COUNTIFS(cal_fechas,"&gt;="&amp;TODAY(),cal_fechas,"&lt;"&amp;$J740,cal_habil,"sí")))</f>
        <v/>
      </c>
      <c r="AC740" s="3">
        <f>IF($AB740="","",IF($AB740&lt;0,"FUTURO",IF($AB740&gt;p_dias_backlog_max,"BACKLOG","MES CORRIENTE")))</f>
        <v/>
      </c>
      <c r="AD740" s="3">
        <f>IF($AB740="",FALSE,AND($AB740&gt;p_dias_backlog_min,$AB740&lt;=p_dias_backlog_max))</f>
        <v/>
      </c>
      <c r="AE740" s="6" t="n"/>
      <c r="AF740" s="3">
        <f>IF($AE740="","",IF((IFERROR(INDEX('ASIGNACIONES'!$F$4:$F$339,MATCH($O740&amp;"|"&amp;$R740&amp;"|"&amp;$AE740,'ASIGNACIONES'!$J$4:$J$339,0)),""))=0,"",IFERROR(INDEX('ASIGNACIONES'!$F$4:$F$339,MATCH($O740&amp;"|"&amp;$R740&amp;"|"&amp;$AE740,'ASIGNACIONES'!$J$4:$J$339,0)),"")))</f>
        <v/>
      </c>
      <c r="AG740" s="13">
        <f>IF($AE740="","",SUMIFS('ORDENES'!$M$4:$M$1203,'ORDENES'!$AE$4:$AE$1203,$AE740,'ORDENES'!$O$4:$O$1203,$O740,'ORDENES'!$R$4:$R$1203,$R740))</f>
        <v/>
      </c>
      <c r="AH740" s="13">
        <f>IF($AG740="","",p_factor_productividad*IFERROR(INDEX('ASIGNACIONES'!$I$4:$I$339,MATCH($O740&amp;"|"&amp;$R740&amp;"|"&amp;$AE740,'ASIGNACIONES'!$J$4:$J$339,0)),0)-$AG740)</f>
        <v/>
      </c>
      <c r="AI740" s="10">
        <f>IF($A740="","",IFERROR(INDEX('2_IMPORTAR_EJECUCION'!$F$9:$F$1208,MATCH($AQ740,'2_IMPORTAR_EJECUCION'!$J$9:$J$1208,0)),0))</f>
        <v/>
      </c>
      <c r="AJ740" s="10">
        <f>IF($A740="","",MAX(0,IFERROR(INDEX('2_IMPORTAR_EJECUCION'!$H$9:$H$1208,MATCH($AQ740,'2_IMPORTAR_EJECUCION'!$J$9:$J$1208,0)),0)-$AI740))</f>
        <v/>
      </c>
      <c r="AK740" s="10">
        <f>IF($A740="","",$AI740+$AJ740)</f>
        <v/>
      </c>
      <c r="AL740" s="6" t="n"/>
      <c r="AM740" s="6" t="n"/>
      <c r="AN740" s="6" t="n"/>
      <c r="AO740" s="3">
        <f>IF($AN740="","",HYPERLINK(p_ruta_base_checklists&amp;$AN740,"abrir"))</f>
        <v/>
      </c>
      <c r="AP740" s="6" t="n"/>
      <c r="AQ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IF($A741="","",IFERROR(INDEX('AJUSTES'!$B$4:$B$303,MATCH($AQ741,'AJUSTES'!$A$4:$A$303,0)),IF($K741="","",$K741)))</f>
        <v/>
      </c>
      <c r="N741" s="3">
        <f>IF($A741="","",IFERROR(INDEX('CAT_ESTADOS_ERP'!$B$4:$B$7,MATCH(IFERROR(INDEX('2_IMPORTAR_EJECUCION'!$C$9:$C$1208,MATCH($AQ741,'2_IMPORTAR_EJECUCION'!$J$9:$J$1208,0)),""),'CAT_ESTADOS_ERP'!$A$4:$A$7,0)),"Pendiente"))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J741="","",IFERROR(INDEX('CALENDARIO'!$C$15:$C$214,MATCH(TEXT($J741,"yyyy-mm-dd")&amp;"|"&amp;$V741&amp;"|"&amp;$W741,'CALENDARIO'!$G$15:$G$214,0)),IFERROR(INDEX('CALENDARIO'!$C$15:$C$214,MATCH(TEXT($J741,"yyyy-mm-dd")&amp;"|"&amp;$V741&amp;"|",'CALENDARIO'!$G$15:$G$214,0)),IFERROR(INDEX('CALENDARIO'!$C$15:$C$214,MATCH(TEXT($J741,"yyyy-mm-dd")&amp;"||",'CALENDARIO'!$G$15:$G$214,0)),INDEX(patronHabil,WEEKDAY($J741,2))))))</f>
        <v/>
      </c>
      <c r="T741" s="3">
        <f>IF($I741="","",IFERROR(INDEX('CAT_TIPOS_OT'!$C$4:$C$7,MATCH($I741,'CAT_TIPOS_OT'!$A$4:$A$7,0)),"sin_clasificar"))</f>
        <v/>
      </c>
      <c r="U741" s="3">
        <f>IF($F741="","",IFERROR(INDEX('CAT_CENTROS_COSTO'!$F$4:$F$13,MATCH($F741,'CAT_CENTROS_COSTO'!$A$4:$A$13,0)),"(sin catálogo)"))</f>
        <v/>
      </c>
      <c r="V741" s="3">
        <f>IF($F741="","",IFERROR(INDEX('CAT_CENTROS_COSTO'!$D$4:$D$13,MATCH($F741,'CAT_CENTROS_COSTO'!$A$4:$A$13,0)),"(sin catálogo)"))</f>
        <v/>
      </c>
      <c r="W741" s="3">
        <f>IF($F741="","",IF((IFERROR(INDEX('CAT_CENTROS_COSTO'!$E$4:$E$13,MATCH($F741,'CAT_CENTROS_COSTO'!$A$4:$A$13,0)),""))&lt;&gt;"",IFERROR(INDEX('CAT_CENTROS_COSTO'!$E$4:$E$13,MATCH($F741,'CAT_CENTROS_COSTO'!$A$4:$A$13,0)),""),$V741))</f>
        <v/>
      </c>
      <c r="X741" s="3">
        <f>IF($F741="","",IFERROR(INDEX('CAT_CENTROS_COSTO'!$G$4:$G$13,MATCH($F741,'CAT_CENTROS_COSTO'!$A$4:$A$13,0)),"(sin catálogo)"))</f>
        <v/>
      </c>
      <c r="Y741" s="3">
        <f>IF($G741="","",IFERROR(INDEX('CAT_PUESTOS'!$B$4:$B$8,MATCH($G741,'CAT_PUESTOS'!$A$4:$A$8,0)),"(sin catálogo)"))</f>
        <v/>
      </c>
      <c r="Z741" s="3">
        <f>IF($H741="","",IFERROR(INDEX('CAT_ACTIVIDADES'!$B$4:$B$8,MATCH($H741,'CAT_ACTIVIDADES'!$A$4:$A$8,0)),"(sin catálogo)"))</f>
        <v/>
      </c>
      <c r="AA741" s="12">
        <f>IF($J741="","",TODAY()-$J741)</f>
        <v/>
      </c>
      <c r="AB741" s="12">
        <f>IF($J741="","",IF($J741&lt;=TODAY(),COUNTIFS(cal_fechas,"&gt;="&amp;$J741,cal_fechas,"&lt;"&amp;TODAY(),cal_habil,"sí"),-COUNTIFS(cal_fechas,"&gt;="&amp;TODAY(),cal_fechas,"&lt;"&amp;$J741,cal_habil,"sí")))</f>
        <v/>
      </c>
      <c r="AC741" s="3">
        <f>IF($AB741="","",IF($AB741&lt;0,"FUTURO",IF($AB741&gt;p_dias_backlog_max,"BACKLOG","MES CORRIENTE")))</f>
        <v/>
      </c>
      <c r="AD741" s="3">
        <f>IF($AB741="",FALSE,AND($AB741&gt;p_dias_backlog_min,$AB741&lt;=p_dias_backlog_max))</f>
        <v/>
      </c>
      <c r="AE741" s="6" t="n"/>
      <c r="AF741" s="3">
        <f>IF($AE741="","",IF((IFERROR(INDEX('ASIGNACIONES'!$F$4:$F$339,MATCH($O741&amp;"|"&amp;$R741&amp;"|"&amp;$AE741,'ASIGNACIONES'!$J$4:$J$339,0)),""))=0,"",IFERROR(INDEX('ASIGNACIONES'!$F$4:$F$339,MATCH($O741&amp;"|"&amp;$R741&amp;"|"&amp;$AE741,'ASIGNACIONES'!$J$4:$J$339,0)),"")))</f>
        <v/>
      </c>
      <c r="AG741" s="13">
        <f>IF($AE741="","",SUMIFS('ORDENES'!$M$4:$M$1203,'ORDENES'!$AE$4:$AE$1203,$AE741,'ORDENES'!$O$4:$O$1203,$O741,'ORDENES'!$R$4:$R$1203,$R741))</f>
        <v/>
      </c>
      <c r="AH741" s="13">
        <f>IF($AG741="","",p_factor_productividad*IFERROR(INDEX('ASIGNACIONES'!$I$4:$I$339,MATCH($O741&amp;"|"&amp;$R741&amp;"|"&amp;$AE741,'ASIGNACIONES'!$J$4:$J$339,0)),0)-$AG741)</f>
        <v/>
      </c>
      <c r="AI741" s="10">
        <f>IF($A741="","",IFERROR(INDEX('2_IMPORTAR_EJECUCION'!$F$9:$F$1208,MATCH($AQ741,'2_IMPORTAR_EJECUCION'!$J$9:$J$1208,0)),0))</f>
        <v/>
      </c>
      <c r="AJ741" s="10">
        <f>IF($A741="","",MAX(0,IFERROR(INDEX('2_IMPORTAR_EJECUCION'!$H$9:$H$1208,MATCH($AQ741,'2_IMPORTAR_EJECUCION'!$J$9:$J$1208,0)),0)-$AI741))</f>
        <v/>
      </c>
      <c r="AK741" s="10">
        <f>IF($A741="","",$AI741+$AJ741)</f>
        <v/>
      </c>
      <c r="AL741" s="6" t="n"/>
      <c r="AM741" s="6" t="n"/>
      <c r="AN741" s="6" t="n"/>
      <c r="AO741" s="3">
        <f>IF($AN741="","",HYPERLINK(p_ruta_base_checklists&amp;$AN741,"abrir"))</f>
        <v/>
      </c>
      <c r="AP741" s="6" t="n"/>
      <c r="AQ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IF($A742="","",IFERROR(INDEX('AJUSTES'!$B$4:$B$303,MATCH($AQ742,'AJUSTES'!$A$4:$A$303,0)),IF($K742="","",$K742)))</f>
        <v/>
      </c>
      <c r="N742" s="3">
        <f>IF($A742="","",IFERROR(INDEX('CAT_ESTADOS_ERP'!$B$4:$B$7,MATCH(IFERROR(INDEX('2_IMPORTAR_EJECUCION'!$C$9:$C$1208,MATCH($AQ742,'2_IMPORTAR_EJECUCION'!$J$9:$J$1208,0)),""),'CAT_ESTADOS_ERP'!$A$4:$A$7,0)),"Pendiente"))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J742="","",IFERROR(INDEX('CALENDARIO'!$C$15:$C$214,MATCH(TEXT($J742,"yyyy-mm-dd")&amp;"|"&amp;$V742&amp;"|"&amp;$W742,'CALENDARIO'!$G$15:$G$214,0)),IFERROR(INDEX('CALENDARIO'!$C$15:$C$214,MATCH(TEXT($J742,"yyyy-mm-dd")&amp;"|"&amp;$V742&amp;"|",'CALENDARIO'!$G$15:$G$214,0)),IFERROR(INDEX('CALENDARIO'!$C$15:$C$214,MATCH(TEXT($J742,"yyyy-mm-dd")&amp;"||",'CALENDARIO'!$G$15:$G$214,0)),INDEX(patronHabil,WEEKDAY($J742,2))))))</f>
        <v/>
      </c>
      <c r="T742" s="3">
        <f>IF($I742="","",IFERROR(INDEX('CAT_TIPOS_OT'!$C$4:$C$7,MATCH($I742,'CAT_TIPOS_OT'!$A$4:$A$7,0)),"sin_clasificar"))</f>
        <v/>
      </c>
      <c r="U742" s="3">
        <f>IF($F742="","",IFERROR(INDEX('CAT_CENTROS_COSTO'!$F$4:$F$13,MATCH($F742,'CAT_CENTROS_COSTO'!$A$4:$A$13,0)),"(sin catálogo)"))</f>
        <v/>
      </c>
      <c r="V742" s="3">
        <f>IF($F742="","",IFERROR(INDEX('CAT_CENTROS_COSTO'!$D$4:$D$13,MATCH($F742,'CAT_CENTROS_COSTO'!$A$4:$A$13,0)),"(sin catálogo)"))</f>
        <v/>
      </c>
      <c r="W742" s="3">
        <f>IF($F742="","",IF((IFERROR(INDEX('CAT_CENTROS_COSTO'!$E$4:$E$13,MATCH($F742,'CAT_CENTROS_COSTO'!$A$4:$A$13,0)),""))&lt;&gt;"",IFERROR(INDEX('CAT_CENTROS_COSTO'!$E$4:$E$13,MATCH($F742,'CAT_CENTROS_COSTO'!$A$4:$A$13,0)),""),$V742))</f>
        <v/>
      </c>
      <c r="X742" s="3">
        <f>IF($F742="","",IFERROR(INDEX('CAT_CENTROS_COSTO'!$G$4:$G$13,MATCH($F742,'CAT_CENTROS_COSTO'!$A$4:$A$13,0)),"(sin catálogo)"))</f>
        <v/>
      </c>
      <c r="Y742" s="3">
        <f>IF($G742="","",IFERROR(INDEX('CAT_PUESTOS'!$B$4:$B$8,MATCH($G742,'CAT_PUESTOS'!$A$4:$A$8,0)),"(sin catálogo)"))</f>
        <v/>
      </c>
      <c r="Z742" s="3">
        <f>IF($H742="","",IFERROR(INDEX('CAT_ACTIVIDADES'!$B$4:$B$8,MATCH($H742,'CAT_ACTIVIDADES'!$A$4:$A$8,0)),"(sin catálogo)"))</f>
        <v/>
      </c>
      <c r="AA742" s="12">
        <f>IF($J742="","",TODAY()-$J742)</f>
        <v/>
      </c>
      <c r="AB742" s="12">
        <f>IF($J742="","",IF($J742&lt;=TODAY(),COUNTIFS(cal_fechas,"&gt;="&amp;$J742,cal_fechas,"&lt;"&amp;TODAY(),cal_habil,"sí"),-COUNTIFS(cal_fechas,"&gt;="&amp;TODAY(),cal_fechas,"&lt;"&amp;$J742,cal_habil,"sí")))</f>
        <v/>
      </c>
      <c r="AC742" s="3">
        <f>IF($AB742="","",IF($AB742&lt;0,"FUTURO",IF($AB742&gt;p_dias_backlog_max,"BACKLOG","MES CORRIENTE")))</f>
        <v/>
      </c>
      <c r="AD742" s="3">
        <f>IF($AB742="",FALSE,AND($AB742&gt;p_dias_backlog_min,$AB742&lt;=p_dias_backlog_max))</f>
        <v/>
      </c>
      <c r="AE742" s="6" t="n"/>
      <c r="AF742" s="3">
        <f>IF($AE742="","",IF((IFERROR(INDEX('ASIGNACIONES'!$F$4:$F$339,MATCH($O742&amp;"|"&amp;$R742&amp;"|"&amp;$AE742,'ASIGNACIONES'!$J$4:$J$339,0)),""))=0,"",IFERROR(INDEX('ASIGNACIONES'!$F$4:$F$339,MATCH($O742&amp;"|"&amp;$R742&amp;"|"&amp;$AE742,'ASIGNACIONES'!$J$4:$J$339,0)),"")))</f>
        <v/>
      </c>
      <c r="AG742" s="13">
        <f>IF($AE742="","",SUMIFS('ORDENES'!$M$4:$M$1203,'ORDENES'!$AE$4:$AE$1203,$AE742,'ORDENES'!$O$4:$O$1203,$O742,'ORDENES'!$R$4:$R$1203,$R742))</f>
        <v/>
      </c>
      <c r="AH742" s="13">
        <f>IF($AG742="","",p_factor_productividad*IFERROR(INDEX('ASIGNACIONES'!$I$4:$I$339,MATCH($O742&amp;"|"&amp;$R742&amp;"|"&amp;$AE742,'ASIGNACIONES'!$J$4:$J$339,0)),0)-$AG742)</f>
        <v/>
      </c>
      <c r="AI742" s="10">
        <f>IF($A742="","",IFERROR(INDEX('2_IMPORTAR_EJECUCION'!$F$9:$F$1208,MATCH($AQ742,'2_IMPORTAR_EJECUCION'!$J$9:$J$1208,0)),0))</f>
        <v/>
      </c>
      <c r="AJ742" s="10">
        <f>IF($A742="","",MAX(0,IFERROR(INDEX('2_IMPORTAR_EJECUCION'!$H$9:$H$1208,MATCH($AQ742,'2_IMPORTAR_EJECUCION'!$J$9:$J$1208,0)),0)-$AI742))</f>
        <v/>
      </c>
      <c r="AK742" s="10">
        <f>IF($A742="","",$AI742+$AJ742)</f>
        <v/>
      </c>
      <c r="AL742" s="6" t="n"/>
      <c r="AM742" s="6" t="n"/>
      <c r="AN742" s="6" t="n"/>
      <c r="AO742" s="3">
        <f>IF($AN742="","",HYPERLINK(p_ruta_base_checklists&amp;$AN742,"abrir"))</f>
        <v/>
      </c>
      <c r="AP742" s="6" t="n"/>
      <c r="AQ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IF($A743="","",IFERROR(INDEX('AJUSTES'!$B$4:$B$303,MATCH($AQ743,'AJUSTES'!$A$4:$A$303,0)),IF($K743="","",$K743)))</f>
        <v/>
      </c>
      <c r="N743" s="3">
        <f>IF($A743="","",IFERROR(INDEX('CAT_ESTADOS_ERP'!$B$4:$B$7,MATCH(IFERROR(INDEX('2_IMPORTAR_EJECUCION'!$C$9:$C$1208,MATCH($AQ743,'2_IMPORTAR_EJECUCION'!$J$9:$J$1208,0)),""),'CAT_ESTADOS_ERP'!$A$4:$A$7,0)),"Pendiente"))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J743="","",IFERROR(INDEX('CALENDARIO'!$C$15:$C$214,MATCH(TEXT($J743,"yyyy-mm-dd")&amp;"|"&amp;$V743&amp;"|"&amp;$W743,'CALENDARIO'!$G$15:$G$214,0)),IFERROR(INDEX('CALENDARIO'!$C$15:$C$214,MATCH(TEXT($J743,"yyyy-mm-dd")&amp;"|"&amp;$V743&amp;"|",'CALENDARIO'!$G$15:$G$214,0)),IFERROR(INDEX('CALENDARIO'!$C$15:$C$214,MATCH(TEXT($J743,"yyyy-mm-dd")&amp;"||",'CALENDARIO'!$G$15:$G$214,0)),INDEX(patronHabil,WEEKDAY($J743,2))))))</f>
        <v/>
      </c>
      <c r="T743" s="3">
        <f>IF($I743="","",IFERROR(INDEX('CAT_TIPOS_OT'!$C$4:$C$7,MATCH($I743,'CAT_TIPOS_OT'!$A$4:$A$7,0)),"sin_clasificar"))</f>
        <v/>
      </c>
      <c r="U743" s="3">
        <f>IF($F743="","",IFERROR(INDEX('CAT_CENTROS_COSTO'!$F$4:$F$13,MATCH($F743,'CAT_CENTROS_COSTO'!$A$4:$A$13,0)),"(sin catálogo)"))</f>
        <v/>
      </c>
      <c r="V743" s="3">
        <f>IF($F743="","",IFERROR(INDEX('CAT_CENTROS_COSTO'!$D$4:$D$13,MATCH($F743,'CAT_CENTROS_COSTO'!$A$4:$A$13,0)),"(sin catálogo)"))</f>
        <v/>
      </c>
      <c r="W743" s="3">
        <f>IF($F743="","",IF((IFERROR(INDEX('CAT_CENTROS_COSTO'!$E$4:$E$13,MATCH($F743,'CAT_CENTROS_COSTO'!$A$4:$A$13,0)),""))&lt;&gt;"",IFERROR(INDEX('CAT_CENTROS_COSTO'!$E$4:$E$13,MATCH($F743,'CAT_CENTROS_COSTO'!$A$4:$A$13,0)),""),$V743))</f>
        <v/>
      </c>
      <c r="X743" s="3">
        <f>IF($F743="","",IFERROR(INDEX('CAT_CENTROS_COSTO'!$G$4:$G$13,MATCH($F743,'CAT_CENTROS_COSTO'!$A$4:$A$13,0)),"(sin catálogo)"))</f>
        <v/>
      </c>
      <c r="Y743" s="3">
        <f>IF($G743="","",IFERROR(INDEX('CAT_PUESTOS'!$B$4:$B$8,MATCH($G743,'CAT_PUESTOS'!$A$4:$A$8,0)),"(sin catálogo)"))</f>
        <v/>
      </c>
      <c r="Z743" s="3">
        <f>IF($H743="","",IFERROR(INDEX('CAT_ACTIVIDADES'!$B$4:$B$8,MATCH($H743,'CAT_ACTIVIDADES'!$A$4:$A$8,0)),"(sin catálogo)"))</f>
        <v/>
      </c>
      <c r="AA743" s="12">
        <f>IF($J743="","",TODAY()-$J743)</f>
        <v/>
      </c>
      <c r="AB743" s="12">
        <f>IF($J743="","",IF($J743&lt;=TODAY(),COUNTIFS(cal_fechas,"&gt;="&amp;$J743,cal_fechas,"&lt;"&amp;TODAY(),cal_habil,"sí"),-COUNTIFS(cal_fechas,"&gt;="&amp;TODAY(),cal_fechas,"&lt;"&amp;$J743,cal_habil,"sí")))</f>
        <v/>
      </c>
      <c r="AC743" s="3">
        <f>IF($AB743="","",IF($AB743&lt;0,"FUTURO",IF($AB743&gt;p_dias_backlog_max,"BACKLOG","MES CORRIENTE")))</f>
        <v/>
      </c>
      <c r="AD743" s="3">
        <f>IF($AB743="",FALSE,AND($AB743&gt;p_dias_backlog_min,$AB743&lt;=p_dias_backlog_max))</f>
        <v/>
      </c>
      <c r="AE743" s="6" t="n"/>
      <c r="AF743" s="3">
        <f>IF($AE743="","",IF((IFERROR(INDEX('ASIGNACIONES'!$F$4:$F$339,MATCH($O743&amp;"|"&amp;$R743&amp;"|"&amp;$AE743,'ASIGNACIONES'!$J$4:$J$339,0)),""))=0,"",IFERROR(INDEX('ASIGNACIONES'!$F$4:$F$339,MATCH($O743&amp;"|"&amp;$R743&amp;"|"&amp;$AE743,'ASIGNACIONES'!$J$4:$J$339,0)),"")))</f>
        <v/>
      </c>
      <c r="AG743" s="13">
        <f>IF($AE743="","",SUMIFS('ORDENES'!$M$4:$M$1203,'ORDENES'!$AE$4:$AE$1203,$AE743,'ORDENES'!$O$4:$O$1203,$O743,'ORDENES'!$R$4:$R$1203,$R743))</f>
        <v/>
      </c>
      <c r="AH743" s="13">
        <f>IF($AG743="","",p_factor_productividad*IFERROR(INDEX('ASIGNACIONES'!$I$4:$I$339,MATCH($O743&amp;"|"&amp;$R743&amp;"|"&amp;$AE743,'ASIGNACIONES'!$J$4:$J$339,0)),0)-$AG743)</f>
        <v/>
      </c>
      <c r="AI743" s="10">
        <f>IF($A743="","",IFERROR(INDEX('2_IMPORTAR_EJECUCION'!$F$9:$F$1208,MATCH($AQ743,'2_IMPORTAR_EJECUCION'!$J$9:$J$1208,0)),0))</f>
        <v/>
      </c>
      <c r="AJ743" s="10">
        <f>IF($A743="","",MAX(0,IFERROR(INDEX('2_IMPORTAR_EJECUCION'!$H$9:$H$1208,MATCH($AQ743,'2_IMPORTAR_EJECUCION'!$J$9:$J$1208,0)),0)-$AI743))</f>
        <v/>
      </c>
      <c r="AK743" s="10">
        <f>IF($A743="","",$AI743+$AJ743)</f>
        <v/>
      </c>
      <c r="AL743" s="6" t="n"/>
      <c r="AM743" s="6" t="n"/>
      <c r="AN743" s="6" t="n"/>
      <c r="AO743" s="3">
        <f>IF($AN743="","",HYPERLINK(p_ruta_base_checklists&amp;$AN743,"abrir"))</f>
        <v/>
      </c>
      <c r="AP743" s="6" t="n"/>
      <c r="AQ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IF($A744="","",IFERROR(INDEX('AJUSTES'!$B$4:$B$303,MATCH($AQ744,'AJUSTES'!$A$4:$A$303,0)),IF($K744="","",$K744)))</f>
        <v/>
      </c>
      <c r="N744" s="3">
        <f>IF($A744="","",IFERROR(INDEX('CAT_ESTADOS_ERP'!$B$4:$B$7,MATCH(IFERROR(INDEX('2_IMPORTAR_EJECUCION'!$C$9:$C$1208,MATCH($AQ744,'2_IMPORTAR_EJECUCION'!$J$9:$J$1208,0)),""),'CAT_ESTADOS_ERP'!$A$4:$A$7,0)),"Pendiente"))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J744="","",IFERROR(INDEX('CALENDARIO'!$C$15:$C$214,MATCH(TEXT($J744,"yyyy-mm-dd")&amp;"|"&amp;$V744&amp;"|"&amp;$W744,'CALENDARIO'!$G$15:$G$214,0)),IFERROR(INDEX('CALENDARIO'!$C$15:$C$214,MATCH(TEXT($J744,"yyyy-mm-dd")&amp;"|"&amp;$V744&amp;"|",'CALENDARIO'!$G$15:$G$214,0)),IFERROR(INDEX('CALENDARIO'!$C$15:$C$214,MATCH(TEXT($J744,"yyyy-mm-dd")&amp;"||",'CALENDARIO'!$G$15:$G$214,0)),INDEX(patronHabil,WEEKDAY($J744,2))))))</f>
        <v/>
      </c>
      <c r="T744" s="3">
        <f>IF($I744="","",IFERROR(INDEX('CAT_TIPOS_OT'!$C$4:$C$7,MATCH($I744,'CAT_TIPOS_OT'!$A$4:$A$7,0)),"sin_clasificar"))</f>
        <v/>
      </c>
      <c r="U744" s="3">
        <f>IF($F744="","",IFERROR(INDEX('CAT_CENTROS_COSTO'!$F$4:$F$13,MATCH($F744,'CAT_CENTROS_COSTO'!$A$4:$A$13,0)),"(sin catálogo)"))</f>
        <v/>
      </c>
      <c r="V744" s="3">
        <f>IF($F744="","",IFERROR(INDEX('CAT_CENTROS_COSTO'!$D$4:$D$13,MATCH($F744,'CAT_CENTROS_COSTO'!$A$4:$A$13,0)),"(sin catálogo)"))</f>
        <v/>
      </c>
      <c r="W744" s="3">
        <f>IF($F744="","",IF((IFERROR(INDEX('CAT_CENTROS_COSTO'!$E$4:$E$13,MATCH($F744,'CAT_CENTROS_COSTO'!$A$4:$A$13,0)),""))&lt;&gt;"",IFERROR(INDEX('CAT_CENTROS_COSTO'!$E$4:$E$13,MATCH($F744,'CAT_CENTROS_COSTO'!$A$4:$A$13,0)),""),$V744))</f>
        <v/>
      </c>
      <c r="X744" s="3">
        <f>IF($F744="","",IFERROR(INDEX('CAT_CENTROS_COSTO'!$G$4:$G$13,MATCH($F744,'CAT_CENTROS_COSTO'!$A$4:$A$13,0)),"(sin catálogo)"))</f>
        <v/>
      </c>
      <c r="Y744" s="3">
        <f>IF($G744="","",IFERROR(INDEX('CAT_PUESTOS'!$B$4:$B$8,MATCH($G744,'CAT_PUESTOS'!$A$4:$A$8,0)),"(sin catálogo)"))</f>
        <v/>
      </c>
      <c r="Z744" s="3">
        <f>IF($H744="","",IFERROR(INDEX('CAT_ACTIVIDADES'!$B$4:$B$8,MATCH($H744,'CAT_ACTIVIDADES'!$A$4:$A$8,0)),"(sin catálogo)"))</f>
        <v/>
      </c>
      <c r="AA744" s="12">
        <f>IF($J744="","",TODAY()-$J744)</f>
        <v/>
      </c>
      <c r="AB744" s="12">
        <f>IF($J744="","",IF($J744&lt;=TODAY(),COUNTIFS(cal_fechas,"&gt;="&amp;$J744,cal_fechas,"&lt;"&amp;TODAY(),cal_habil,"sí"),-COUNTIFS(cal_fechas,"&gt;="&amp;TODAY(),cal_fechas,"&lt;"&amp;$J744,cal_habil,"sí")))</f>
        <v/>
      </c>
      <c r="AC744" s="3">
        <f>IF($AB744="","",IF($AB744&lt;0,"FUTURO",IF($AB744&gt;p_dias_backlog_max,"BACKLOG","MES CORRIENTE")))</f>
        <v/>
      </c>
      <c r="AD744" s="3">
        <f>IF($AB744="",FALSE,AND($AB744&gt;p_dias_backlog_min,$AB744&lt;=p_dias_backlog_max))</f>
        <v/>
      </c>
      <c r="AE744" s="6" t="n"/>
      <c r="AF744" s="3">
        <f>IF($AE744="","",IF((IFERROR(INDEX('ASIGNACIONES'!$F$4:$F$339,MATCH($O744&amp;"|"&amp;$R744&amp;"|"&amp;$AE744,'ASIGNACIONES'!$J$4:$J$339,0)),""))=0,"",IFERROR(INDEX('ASIGNACIONES'!$F$4:$F$339,MATCH($O744&amp;"|"&amp;$R744&amp;"|"&amp;$AE744,'ASIGNACIONES'!$J$4:$J$339,0)),"")))</f>
        <v/>
      </c>
      <c r="AG744" s="13">
        <f>IF($AE744="","",SUMIFS('ORDENES'!$M$4:$M$1203,'ORDENES'!$AE$4:$AE$1203,$AE744,'ORDENES'!$O$4:$O$1203,$O744,'ORDENES'!$R$4:$R$1203,$R744))</f>
        <v/>
      </c>
      <c r="AH744" s="13">
        <f>IF($AG744="","",p_factor_productividad*IFERROR(INDEX('ASIGNACIONES'!$I$4:$I$339,MATCH($O744&amp;"|"&amp;$R744&amp;"|"&amp;$AE744,'ASIGNACIONES'!$J$4:$J$339,0)),0)-$AG744)</f>
        <v/>
      </c>
      <c r="AI744" s="10">
        <f>IF($A744="","",IFERROR(INDEX('2_IMPORTAR_EJECUCION'!$F$9:$F$1208,MATCH($AQ744,'2_IMPORTAR_EJECUCION'!$J$9:$J$1208,0)),0))</f>
        <v/>
      </c>
      <c r="AJ744" s="10">
        <f>IF($A744="","",MAX(0,IFERROR(INDEX('2_IMPORTAR_EJECUCION'!$H$9:$H$1208,MATCH($AQ744,'2_IMPORTAR_EJECUCION'!$J$9:$J$1208,0)),0)-$AI744))</f>
        <v/>
      </c>
      <c r="AK744" s="10">
        <f>IF($A744="","",$AI744+$AJ744)</f>
        <v/>
      </c>
      <c r="AL744" s="6" t="n"/>
      <c r="AM744" s="6" t="n"/>
      <c r="AN744" s="6" t="n"/>
      <c r="AO744" s="3">
        <f>IF($AN744="","",HYPERLINK(p_ruta_base_checklists&amp;$AN744,"abrir"))</f>
        <v/>
      </c>
      <c r="AP744" s="6" t="n"/>
      <c r="AQ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IF($A745="","",IFERROR(INDEX('AJUSTES'!$B$4:$B$303,MATCH($AQ745,'AJUSTES'!$A$4:$A$303,0)),IF($K745="","",$K745)))</f>
        <v/>
      </c>
      <c r="N745" s="3">
        <f>IF($A745="","",IFERROR(INDEX('CAT_ESTADOS_ERP'!$B$4:$B$7,MATCH(IFERROR(INDEX('2_IMPORTAR_EJECUCION'!$C$9:$C$1208,MATCH($AQ745,'2_IMPORTAR_EJECUCION'!$J$9:$J$1208,0)),""),'CAT_ESTADOS_ERP'!$A$4:$A$7,0)),"Pendiente"))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J745="","",IFERROR(INDEX('CALENDARIO'!$C$15:$C$214,MATCH(TEXT($J745,"yyyy-mm-dd")&amp;"|"&amp;$V745&amp;"|"&amp;$W745,'CALENDARIO'!$G$15:$G$214,0)),IFERROR(INDEX('CALENDARIO'!$C$15:$C$214,MATCH(TEXT($J745,"yyyy-mm-dd")&amp;"|"&amp;$V745&amp;"|",'CALENDARIO'!$G$15:$G$214,0)),IFERROR(INDEX('CALENDARIO'!$C$15:$C$214,MATCH(TEXT($J745,"yyyy-mm-dd")&amp;"||",'CALENDARIO'!$G$15:$G$214,0)),INDEX(patronHabil,WEEKDAY($J745,2))))))</f>
        <v/>
      </c>
      <c r="T745" s="3">
        <f>IF($I745="","",IFERROR(INDEX('CAT_TIPOS_OT'!$C$4:$C$7,MATCH($I745,'CAT_TIPOS_OT'!$A$4:$A$7,0)),"sin_clasificar"))</f>
        <v/>
      </c>
      <c r="U745" s="3">
        <f>IF($F745="","",IFERROR(INDEX('CAT_CENTROS_COSTO'!$F$4:$F$13,MATCH($F745,'CAT_CENTROS_COSTO'!$A$4:$A$13,0)),"(sin catálogo)"))</f>
        <v/>
      </c>
      <c r="V745" s="3">
        <f>IF($F745="","",IFERROR(INDEX('CAT_CENTROS_COSTO'!$D$4:$D$13,MATCH($F745,'CAT_CENTROS_COSTO'!$A$4:$A$13,0)),"(sin catálogo)"))</f>
        <v/>
      </c>
      <c r="W745" s="3">
        <f>IF($F745="","",IF((IFERROR(INDEX('CAT_CENTROS_COSTO'!$E$4:$E$13,MATCH($F745,'CAT_CENTROS_COSTO'!$A$4:$A$13,0)),""))&lt;&gt;"",IFERROR(INDEX('CAT_CENTROS_COSTO'!$E$4:$E$13,MATCH($F745,'CAT_CENTROS_COSTO'!$A$4:$A$13,0)),""),$V745))</f>
        <v/>
      </c>
      <c r="X745" s="3">
        <f>IF($F745="","",IFERROR(INDEX('CAT_CENTROS_COSTO'!$G$4:$G$13,MATCH($F745,'CAT_CENTROS_COSTO'!$A$4:$A$13,0)),"(sin catálogo)"))</f>
        <v/>
      </c>
      <c r="Y745" s="3">
        <f>IF($G745="","",IFERROR(INDEX('CAT_PUESTOS'!$B$4:$B$8,MATCH($G745,'CAT_PUESTOS'!$A$4:$A$8,0)),"(sin catálogo)"))</f>
        <v/>
      </c>
      <c r="Z745" s="3">
        <f>IF($H745="","",IFERROR(INDEX('CAT_ACTIVIDADES'!$B$4:$B$8,MATCH($H745,'CAT_ACTIVIDADES'!$A$4:$A$8,0)),"(sin catálogo)"))</f>
        <v/>
      </c>
      <c r="AA745" s="12">
        <f>IF($J745="","",TODAY()-$J745)</f>
        <v/>
      </c>
      <c r="AB745" s="12">
        <f>IF($J745="","",IF($J745&lt;=TODAY(),COUNTIFS(cal_fechas,"&gt;="&amp;$J745,cal_fechas,"&lt;"&amp;TODAY(),cal_habil,"sí"),-COUNTIFS(cal_fechas,"&gt;="&amp;TODAY(),cal_fechas,"&lt;"&amp;$J745,cal_habil,"sí")))</f>
        <v/>
      </c>
      <c r="AC745" s="3">
        <f>IF($AB745="","",IF($AB745&lt;0,"FUTURO",IF($AB745&gt;p_dias_backlog_max,"BACKLOG","MES CORRIENTE")))</f>
        <v/>
      </c>
      <c r="AD745" s="3">
        <f>IF($AB745="",FALSE,AND($AB745&gt;p_dias_backlog_min,$AB745&lt;=p_dias_backlog_max))</f>
        <v/>
      </c>
      <c r="AE745" s="6" t="n"/>
      <c r="AF745" s="3">
        <f>IF($AE745="","",IF((IFERROR(INDEX('ASIGNACIONES'!$F$4:$F$339,MATCH($O745&amp;"|"&amp;$R745&amp;"|"&amp;$AE745,'ASIGNACIONES'!$J$4:$J$339,0)),""))=0,"",IFERROR(INDEX('ASIGNACIONES'!$F$4:$F$339,MATCH($O745&amp;"|"&amp;$R745&amp;"|"&amp;$AE745,'ASIGNACIONES'!$J$4:$J$339,0)),"")))</f>
        <v/>
      </c>
      <c r="AG745" s="13">
        <f>IF($AE745="","",SUMIFS('ORDENES'!$M$4:$M$1203,'ORDENES'!$AE$4:$AE$1203,$AE745,'ORDENES'!$O$4:$O$1203,$O745,'ORDENES'!$R$4:$R$1203,$R745))</f>
        <v/>
      </c>
      <c r="AH745" s="13">
        <f>IF($AG745="","",p_factor_productividad*IFERROR(INDEX('ASIGNACIONES'!$I$4:$I$339,MATCH($O745&amp;"|"&amp;$R745&amp;"|"&amp;$AE745,'ASIGNACIONES'!$J$4:$J$339,0)),0)-$AG745)</f>
        <v/>
      </c>
      <c r="AI745" s="10">
        <f>IF($A745="","",IFERROR(INDEX('2_IMPORTAR_EJECUCION'!$F$9:$F$1208,MATCH($AQ745,'2_IMPORTAR_EJECUCION'!$J$9:$J$1208,0)),0))</f>
        <v/>
      </c>
      <c r="AJ745" s="10">
        <f>IF($A745="","",MAX(0,IFERROR(INDEX('2_IMPORTAR_EJECUCION'!$H$9:$H$1208,MATCH($AQ745,'2_IMPORTAR_EJECUCION'!$J$9:$J$1208,0)),0)-$AI745))</f>
        <v/>
      </c>
      <c r="AK745" s="10">
        <f>IF($A745="","",$AI745+$AJ745)</f>
        <v/>
      </c>
      <c r="AL745" s="6" t="n"/>
      <c r="AM745" s="6" t="n"/>
      <c r="AN745" s="6" t="n"/>
      <c r="AO745" s="3">
        <f>IF($AN745="","",HYPERLINK(p_ruta_base_checklists&amp;$AN745,"abrir"))</f>
        <v/>
      </c>
      <c r="AP745" s="6" t="n"/>
      <c r="AQ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IF($A746="","",IFERROR(INDEX('AJUSTES'!$B$4:$B$303,MATCH($AQ746,'AJUSTES'!$A$4:$A$303,0)),IF($K746="","",$K746)))</f>
        <v/>
      </c>
      <c r="N746" s="3">
        <f>IF($A746="","",IFERROR(INDEX('CAT_ESTADOS_ERP'!$B$4:$B$7,MATCH(IFERROR(INDEX('2_IMPORTAR_EJECUCION'!$C$9:$C$1208,MATCH($AQ746,'2_IMPORTAR_EJECUCION'!$J$9:$J$1208,0)),""),'CAT_ESTADOS_ERP'!$A$4:$A$7,0)),"Pendiente"))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J746="","",IFERROR(INDEX('CALENDARIO'!$C$15:$C$214,MATCH(TEXT($J746,"yyyy-mm-dd")&amp;"|"&amp;$V746&amp;"|"&amp;$W746,'CALENDARIO'!$G$15:$G$214,0)),IFERROR(INDEX('CALENDARIO'!$C$15:$C$214,MATCH(TEXT($J746,"yyyy-mm-dd")&amp;"|"&amp;$V746&amp;"|",'CALENDARIO'!$G$15:$G$214,0)),IFERROR(INDEX('CALENDARIO'!$C$15:$C$214,MATCH(TEXT($J746,"yyyy-mm-dd")&amp;"||",'CALENDARIO'!$G$15:$G$214,0)),INDEX(patronHabil,WEEKDAY($J746,2))))))</f>
        <v/>
      </c>
      <c r="T746" s="3">
        <f>IF($I746="","",IFERROR(INDEX('CAT_TIPOS_OT'!$C$4:$C$7,MATCH($I746,'CAT_TIPOS_OT'!$A$4:$A$7,0)),"sin_clasificar"))</f>
        <v/>
      </c>
      <c r="U746" s="3">
        <f>IF($F746="","",IFERROR(INDEX('CAT_CENTROS_COSTO'!$F$4:$F$13,MATCH($F746,'CAT_CENTROS_COSTO'!$A$4:$A$13,0)),"(sin catálogo)"))</f>
        <v/>
      </c>
      <c r="V746" s="3">
        <f>IF($F746="","",IFERROR(INDEX('CAT_CENTROS_COSTO'!$D$4:$D$13,MATCH($F746,'CAT_CENTROS_COSTO'!$A$4:$A$13,0)),"(sin catálogo)"))</f>
        <v/>
      </c>
      <c r="W746" s="3">
        <f>IF($F746="","",IF((IFERROR(INDEX('CAT_CENTROS_COSTO'!$E$4:$E$13,MATCH($F746,'CAT_CENTROS_COSTO'!$A$4:$A$13,0)),""))&lt;&gt;"",IFERROR(INDEX('CAT_CENTROS_COSTO'!$E$4:$E$13,MATCH($F746,'CAT_CENTROS_COSTO'!$A$4:$A$13,0)),""),$V746))</f>
        <v/>
      </c>
      <c r="X746" s="3">
        <f>IF($F746="","",IFERROR(INDEX('CAT_CENTROS_COSTO'!$G$4:$G$13,MATCH($F746,'CAT_CENTROS_COSTO'!$A$4:$A$13,0)),"(sin catálogo)"))</f>
        <v/>
      </c>
      <c r="Y746" s="3">
        <f>IF($G746="","",IFERROR(INDEX('CAT_PUESTOS'!$B$4:$B$8,MATCH($G746,'CAT_PUESTOS'!$A$4:$A$8,0)),"(sin catálogo)"))</f>
        <v/>
      </c>
      <c r="Z746" s="3">
        <f>IF($H746="","",IFERROR(INDEX('CAT_ACTIVIDADES'!$B$4:$B$8,MATCH($H746,'CAT_ACTIVIDADES'!$A$4:$A$8,0)),"(sin catálogo)"))</f>
        <v/>
      </c>
      <c r="AA746" s="12">
        <f>IF($J746="","",TODAY()-$J746)</f>
        <v/>
      </c>
      <c r="AB746" s="12">
        <f>IF($J746="","",IF($J746&lt;=TODAY(),COUNTIFS(cal_fechas,"&gt;="&amp;$J746,cal_fechas,"&lt;"&amp;TODAY(),cal_habil,"sí"),-COUNTIFS(cal_fechas,"&gt;="&amp;TODAY(),cal_fechas,"&lt;"&amp;$J746,cal_habil,"sí")))</f>
        <v/>
      </c>
      <c r="AC746" s="3">
        <f>IF($AB746="","",IF($AB746&lt;0,"FUTURO",IF($AB746&gt;p_dias_backlog_max,"BACKLOG","MES CORRIENTE")))</f>
        <v/>
      </c>
      <c r="AD746" s="3">
        <f>IF($AB746="",FALSE,AND($AB746&gt;p_dias_backlog_min,$AB746&lt;=p_dias_backlog_max))</f>
        <v/>
      </c>
      <c r="AE746" s="6" t="n"/>
      <c r="AF746" s="3">
        <f>IF($AE746="","",IF((IFERROR(INDEX('ASIGNACIONES'!$F$4:$F$339,MATCH($O746&amp;"|"&amp;$R746&amp;"|"&amp;$AE746,'ASIGNACIONES'!$J$4:$J$339,0)),""))=0,"",IFERROR(INDEX('ASIGNACIONES'!$F$4:$F$339,MATCH($O746&amp;"|"&amp;$R746&amp;"|"&amp;$AE746,'ASIGNACIONES'!$J$4:$J$339,0)),"")))</f>
        <v/>
      </c>
      <c r="AG746" s="13">
        <f>IF($AE746="","",SUMIFS('ORDENES'!$M$4:$M$1203,'ORDENES'!$AE$4:$AE$1203,$AE746,'ORDENES'!$O$4:$O$1203,$O746,'ORDENES'!$R$4:$R$1203,$R746))</f>
        <v/>
      </c>
      <c r="AH746" s="13">
        <f>IF($AG746="","",p_factor_productividad*IFERROR(INDEX('ASIGNACIONES'!$I$4:$I$339,MATCH($O746&amp;"|"&amp;$R746&amp;"|"&amp;$AE746,'ASIGNACIONES'!$J$4:$J$339,0)),0)-$AG746)</f>
        <v/>
      </c>
      <c r="AI746" s="10">
        <f>IF($A746="","",IFERROR(INDEX('2_IMPORTAR_EJECUCION'!$F$9:$F$1208,MATCH($AQ746,'2_IMPORTAR_EJECUCION'!$J$9:$J$1208,0)),0))</f>
        <v/>
      </c>
      <c r="AJ746" s="10">
        <f>IF($A746="","",MAX(0,IFERROR(INDEX('2_IMPORTAR_EJECUCION'!$H$9:$H$1208,MATCH($AQ746,'2_IMPORTAR_EJECUCION'!$J$9:$J$1208,0)),0)-$AI746))</f>
        <v/>
      </c>
      <c r="AK746" s="10">
        <f>IF($A746="","",$AI746+$AJ746)</f>
        <v/>
      </c>
      <c r="AL746" s="6" t="n"/>
      <c r="AM746" s="6" t="n"/>
      <c r="AN746" s="6" t="n"/>
      <c r="AO746" s="3">
        <f>IF($AN746="","",HYPERLINK(p_ruta_base_checklists&amp;$AN746,"abrir"))</f>
        <v/>
      </c>
      <c r="AP746" s="6" t="n"/>
      <c r="AQ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IF($A747="","",IFERROR(INDEX('AJUSTES'!$B$4:$B$303,MATCH($AQ747,'AJUSTES'!$A$4:$A$303,0)),IF($K747="","",$K747)))</f>
        <v/>
      </c>
      <c r="N747" s="3">
        <f>IF($A747="","",IFERROR(INDEX('CAT_ESTADOS_ERP'!$B$4:$B$7,MATCH(IFERROR(INDEX('2_IMPORTAR_EJECUCION'!$C$9:$C$1208,MATCH($AQ747,'2_IMPORTAR_EJECUCION'!$J$9:$J$1208,0)),""),'CAT_ESTADOS_ERP'!$A$4:$A$7,0)),"Pendiente"))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J747="","",IFERROR(INDEX('CALENDARIO'!$C$15:$C$214,MATCH(TEXT($J747,"yyyy-mm-dd")&amp;"|"&amp;$V747&amp;"|"&amp;$W747,'CALENDARIO'!$G$15:$G$214,0)),IFERROR(INDEX('CALENDARIO'!$C$15:$C$214,MATCH(TEXT($J747,"yyyy-mm-dd")&amp;"|"&amp;$V747&amp;"|",'CALENDARIO'!$G$15:$G$214,0)),IFERROR(INDEX('CALENDARIO'!$C$15:$C$214,MATCH(TEXT($J747,"yyyy-mm-dd")&amp;"||",'CALENDARIO'!$G$15:$G$214,0)),INDEX(patronHabil,WEEKDAY($J747,2))))))</f>
        <v/>
      </c>
      <c r="T747" s="3">
        <f>IF($I747="","",IFERROR(INDEX('CAT_TIPOS_OT'!$C$4:$C$7,MATCH($I747,'CAT_TIPOS_OT'!$A$4:$A$7,0)),"sin_clasificar"))</f>
        <v/>
      </c>
      <c r="U747" s="3">
        <f>IF($F747="","",IFERROR(INDEX('CAT_CENTROS_COSTO'!$F$4:$F$13,MATCH($F747,'CAT_CENTROS_COSTO'!$A$4:$A$13,0)),"(sin catálogo)"))</f>
        <v/>
      </c>
      <c r="V747" s="3">
        <f>IF($F747="","",IFERROR(INDEX('CAT_CENTROS_COSTO'!$D$4:$D$13,MATCH($F747,'CAT_CENTROS_COSTO'!$A$4:$A$13,0)),"(sin catálogo)"))</f>
        <v/>
      </c>
      <c r="W747" s="3">
        <f>IF($F747="","",IF((IFERROR(INDEX('CAT_CENTROS_COSTO'!$E$4:$E$13,MATCH($F747,'CAT_CENTROS_COSTO'!$A$4:$A$13,0)),""))&lt;&gt;"",IFERROR(INDEX('CAT_CENTROS_COSTO'!$E$4:$E$13,MATCH($F747,'CAT_CENTROS_COSTO'!$A$4:$A$13,0)),""),$V747))</f>
        <v/>
      </c>
      <c r="X747" s="3">
        <f>IF($F747="","",IFERROR(INDEX('CAT_CENTROS_COSTO'!$G$4:$G$13,MATCH($F747,'CAT_CENTROS_COSTO'!$A$4:$A$13,0)),"(sin catálogo)"))</f>
        <v/>
      </c>
      <c r="Y747" s="3">
        <f>IF($G747="","",IFERROR(INDEX('CAT_PUESTOS'!$B$4:$B$8,MATCH($G747,'CAT_PUESTOS'!$A$4:$A$8,0)),"(sin catálogo)"))</f>
        <v/>
      </c>
      <c r="Z747" s="3">
        <f>IF($H747="","",IFERROR(INDEX('CAT_ACTIVIDADES'!$B$4:$B$8,MATCH($H747,'CAT_ACTIVIDADES'!$A$4:$A$8,0)),"(sin catálogo)"))</f>
        <v/>
      </c>
      <c r="AA747" s="12">
        <f>IF($J747="","",TODAY()-$J747)</f>
        <v/>
      </c>
      <c r="AB747" s="12">
        <f>IF($J747="","",IF($J747&lt;=TODAY(),COUNTIFS(cal_fechas,"&gt;="&amp;$J747,cal_fechas,"&lt;"&amp;TODAY(),cal_habil,"sí"),-COUNTIFS(cal_fechas,"&gt;="&amp;TODAY(),cal_fechas,"&lt;"&amp;$J747,cal_habil,"sí")))</f>
        <v/>
      </c>
      <c r="AC747" s="3">
        <f>IF($AB747="","",IF($AB747&lt;0,"FUTURO",IF($AB747&gt;p_dias_backlog_max,"BACKLOG","MES CORRIENTE")))</f>
        <v/>
      </c>
      <c r="AD747" s="3">
        <f>IF($AB747="",FALSE,AND($AB747&gt;p_dias_backlog_min,$AB747&lt;=p_dias_backlog_max))</f>
        <v/>
      </c>
      <c r="AE747" s="6" t="n"/>
      <c r="AF747" s="3">
        <f>IF($AE747="","",IF((IFERROR(INDEX('ASIGNACIONES'!$F$4:$F$339,MATCH($O747&amp;"|"&amp;$R747&amp;"|"&amp;$AE747,'ASIGNACIONES'!$J$4:$J$339,0)),""))=0,"",IFERROR(INDEX('ASIGNACIONES'!$F$4:$F$339,MATCH($O747&amp;"|"&amp;$R747&amp;"|"&amp;$AE747,'ASIGNACIONES'!$J$4:$J$339,0)),"")))</f>
        <v/>
      </c>
      <c r="AG747" s="13">
        <f>IF($AE747="","",SUMIFS('ORDENES'!$M$4:$M$1203,'ORDENES'!$AE$4:$AE$1203,$AE747,'ORDENES'!$O$4:$O$1203,$O747,'ORDENES'!$R$4:$R$1203,$R747))</f>
        <v/>
      </c>
      <c r="AH747" s="13">
        <f>IF($AG747="","",p_factor_productividad*IFERROR(INDEX('ASIGNACIONES'!$I$4:$I$339,MATCH($O747&amp;"|"&amp;$R747&amp;"|"&amp;$AE747,'ASIGNACIONES'!$J$4:$J$339,0)),0)-$AG747)</f>
        <v/>
      </c>
      <c r="AI747" s="10">
        <f>IF($A747="","",IFERROR(INDEX('2_IMPORTAR_EJECUCION'!$F$9:$F$1208,MATCH($AQ747,'2_IMPORTAR_EJECUCION'!$J$9:$J$1208,0)),0))</f>
        <v/>
      </c>
      <c r="AJ747" s="10">
        <f>IF($A747="","",MAX(0,IFERROR(INDEX('2_IMPORTAR_EJECUCION'!$H$9:$H$1208,MATCH($AQ747,'2_IMPORTAR_EJECUCION'!$J$9:$J$1208,0)),0)-$AI747))</f>
        <v/>
      </c>
      <c r="AK747" s="10">
        <f>IF($A747="","",$AI747+$AJ747)</f>
        <v/>
      </c>
      <c r="AL747" s="6" t="n"/>
      <c r="AM747" s="6" t="n"/>
      <c r="AN747" s="6" t="n"/>
      <c r="AO747" s="3">
        <f>IF($AN747="","",HYPERLINK(p_ruta_base_checklists&amp;$AN747,"abrir"))</f>
        <v/>
      </c>
      <c r="AP747" s="6" t="n"/>
      <c r="AQ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IF($A748="","",IFERROR(INDEX('AJUSTES'!$B$4:$B$303,MATCH($AQ748,'AJUSTES'!$A$4:$A$303,0)),IF($K748="","",$K748)))</f>
        <v/>
      </c>
      <c r="N748" s="3">
        <f>IF($A748="","",IFERROR(INDEX('CAT_ESTADOS_ERP'!$B$4:$B$7,MATCH(IFERROR(INDEX('2_IMPORTAR_EJECUCION'!$C$9:$C$1208,MATCH($AQ748,'2_IMPORTAR_EJECUCION'!$J$9:$J$1208,0)),""),'CAT_ESTADOS_ERP'!$A$4:$A$7,0)),"Pendiente"))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J748="","",IFERROR(INDEX('CALENDARIO'!$C$15:$C$214,MATCH(TEXT($J748,"yyyy-mm-dd")&amp;"|"&amp;$V748&amp;"|"&amp;$W748,'CALENDARIO'!$G$15:$G$214,0)),IFERROR(INDEX('CALENDARIO'!$C$15:$C$214,MATCH(TEXT($J748,"yyyy-mm-dd")&amp;"|"&amp;$V748&amp;"|",'CALENDARIO'!$G$15:$G$214,0)),IFERROR(INDEX('CALENDARIO'!$C$15:$C$214,MATCH(TEXT($J748,"yyyy-mm-dd")&amp;"||",'CALENDARIO'!$G$15:$G$214,0)),INDEX(patronHabil,WEEKDAY($J748,2))))))</f>
        <v/>
      </c>
      <c r="T748" s="3">
        <f>IF($I748="","",IFERROR(INDEX('CAT_TIPOS_OT'!$C$4:$C$7,MATCH($I748,'CAT_TIPOS_OT'!$A$4:$A$7,0)),"sin_clasificar"))</f>
        <v/>
      </c>
      <c r="U748" s="3">
        <f>IF($F748="","",IFERROR(INDEX('CAT_CENTROS_COSTO'!$F$4:$F$13,MATCH($F748,'CAT_CENTROS_COSTO'!$A$4:$A$13,0)),"(sin catálogo)"))</f>
        <v/>
      </c>
      <c r="V748" s="3">
        <f>IF($F748="","",IFERROR(INDEX('CAT_CENTROS_COSTO'!$D$4:$D$13,MATCH($F748,'CAT_CENTROS_COSTO'!$A$4:$A$13,0)),"(sin catálogo)"))</f>
        <v/>
      </c>
      <c r="W748" s="3">
        <f>IF($F748="","",IF((IFERROR(INDEX('CAT_CENTROS_COSTO'!$E$4:$E$13,MATCH($F748,'CAT_CENTROS_COSTO'!$A$4:$A$13,0)),""))&lt;&gt;"",IFERROR(INDEX('CAT_CENTROS_COSTO'!$E$4:$E$13,MATCH($F748,'CAT_CENTROS_COSTO'!$A$4:$A$13,0)),""),$V748))</f>
        <v/>
      </c>
      <c r="X748" s="3">
        <f>IF($F748="","",IFERROR(INDEX('CAT_CENTROS_COSTO'!$G$4:$G$13,MATCH($F748,'CAT_CENTROS_COSTO'!$A$4:$A$13,0)),"(sin catálogo)"))</f>
        <v/>
      </c>
      <c r="Y748" s="3">
        <f>IF($G748="","",IFERROR(INDEX('CAT_PUESTOS'!$B$4:$B$8,MATCH($G748,'CAT_PUESTOS'!$A$4:$A$8,0)),"(sin catálogo)"))</f>
        <v/>
      </c>
      <c r="Z748" s="3">
        <f>IF($H748="","",IFERROR(INDEX('CAT_ACTIVIDADES'!$B$4:$B$8,MATCH($H748,'CAT_ACTIVIDADES'!$A$4:$A$8,0)),"(sin catálogo)"))</f>
        <v/>
      </c>
      <c r="AA748" s="12">
        <f>IF($J748="","",TODAY()-$J748)</f>
        <v/>
      </c>
      <c r="AB748" s="12">
        <f>IF($J748="","",IF($J748&lt;=TODAY(),COUNTIFS(cal_fechas,"&gt;="&amp;$J748,cal_fechas,"&lt;"&amp;TODAY(),cal_habil,"sí"),-COUNTIFS(cal_fechas,"&gt;="&amp;TODAY(),cal_fechas,"&lt;"&amp;$J748,cal_habil,"sí")))</f>
        <v/>
      </c>
      <c r="AC748" s="3">
        <f>IF($AB748="","",IF($AB748&lt;0,"FUTURO",IF($AB748&gt;p_dias_backlog_max,"BACKLOG","MES CORRIENTE")))</f>
        <v/>
      </c>
      <c r="AD748" s="3">
        <f>IF($AB748="",FALSE,AND($AB748&gt;p_dias_backlog_min,$AB748&lt;=p_dias_backlog_max))</f>
        <v/>
      </c>
      <c r="AE748" s="6" t="n"/>
      <c r="AF748" s="3">
        <f>IF($AE748="","",IF((IFERROR(INDEX('ASIGNACIONES'!$F$4:$F$339,MATCH($O748&amp;"|"&amp;$R748&amp;"|"&amp;$AE748,'ASIGNACIONES'!$J$4:$J$339,0)),""))=0,"",IFERROR(INDEX('ASIGNACIONES'!$F$4:$F$339,MATCH($O748&amp;"|"&amp;$R748&amp;"|"&amp;$AE748,'ASIGNACIONES'!$J$4:$J$339,0)),"")))</f>
        <v/>
      </c>
      <c r="AG748" s="13">
        <f>IF($AE748="","",SUMIFS('ORDENES'!$M$4:$M$1203,'ORDENES'!$AE$4:$AE$1203,$AE748,'ORDENES'!$O$4:$O$1203,$O748,'ORDENES'!$R$4:$R$1203,$R748))</f>
        <v/>
      </c>
      <c r="AH748" s="13">
        <f>IF($AG748="","",p_factor_productividad*IFERROR(INDEX('ASIGNACIONES'!$I$4:$I$339,MATCH($O748&amp;"|"&amp;$R748&amp;"|"&amp;$AE748,'ASIGNACIONES'!$J$4:$J$339,0)),0)-$AG748)</f>
        <v/>
      </c>
      <c r="AI748" s="10">
        <f>IF($A748="","",IFERROR(INDEX('2_IMPORTAR_EJECUCION'!$F$9:$F$1208,MATCH($AQ748,'2_IMPORTAR_EJECUCION'!$J$9:$J$1208,0)),0))</f>
        <v/>
      </c>
      <c r="AJ748" s="10">
        <f>IF($A748="","",MAX(0,IFERROR(INDEX('2_IMPORTAR_EJECUCION'!$H$9:$H$1208,MATCH($AQ748,'2_IMPORTAR_EJECUCION'!$J$9:$J$1208,0)),0)-$AI748))</f>
        <v/>
      </c>
      <c r="AK748" s="10">
        <f>IF($A748="","",$AI748+$AJ748)</f>
        <v/>
      </c>
      <c r="AL748" s="6" t="n"/>
      <c r="AM748" s="6" t="n"/>
      <c r="AN748" s="6" t="n"/>
      <c r="AO748" s="3">
        <f>IF($AN748="","",HYPERLINK(p_ruta_base_checklists&amp;$AN748,"abrir"))</f>
        <v/>
      </c>
      <c r="AP748" s="6" t="n"/>
      <c r="AQ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IF($A749="","",IFERROR(INDEX('AJUSTES'!$B$4:$B$303,MATCH($AQ749,'AJUSTES'!$A$4:$A$303,0)),IF($K749="","",$K749)))</f>
        <v/>
      </c>
      <c r="N749" s="3">
        <f>IF($A749="","",IFERROR(INDEX('CAT_ESTADOS_ERP'!$B$4:$B$7,MATCH(IFERROR(INDEX('2_IMPORTAR_EJECUCION'!$C$9:$C$1208,MATCH($AQ749,'2_IMPORTAR_EJECUCION'!$J$9:$J$1208,0)),""),'CAT_ESTADOS_ERP'!$A$4:$A$7,0)),"Pendiente"))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J749="","",IFERROR(INDEX('CALENDARIO'!$C$15:$C$214,MATCH(TEXT($J749,"yyyy-mm-dd")&amp;"|"&amp;$V749&amp;"|"&amp;$W749,'CALENDARIO'!$G$15:$G$214,0)),IFERROR(INDEX('CALENDARIO'!$C$15:$C$214,MATCH(TEXT($J749,"yyyy-mm-dd")&amp;"|"&amp;$V749&amp;"|",'CALENDARIO'!$G$15:$G$214,0)),IFERROR(INDEX('CALENDARIO'!$C$15:$C$214,MATCH(TEXT($J749,"yyyy-mm-dd")&amp;"||",'CALENDARIO'!$G$15:$G$214,0)),INDEX(patronHabil,WEEKDAY($J749,2))))))</f>
        <v/>
      </c>
      <c r="T749" s="3">
        <f>IF($I749="","",IFERROR(INDEX('CAT_TIPOS_OT'!$C$4:$C$7,MATCH($I749,'CAT_TIPOS_OT'!$A$4:$A$7,0)),"sin_clasificar"))</f>
        <v/>
      </c>
      <c r="U749" s="3">
        <f>IF($F749="","",IFERROR(INDEX('CAT_CENTROS_COSTO'!$F$4:$F$13,MATCH($F749,'CAT_CENTROS_COSTO'!$A$4:$A$13,0)),"(sin catálogo)"))</f>
        <v/>
      </c>
      <c r="V749" s="3">
        <f>IF($F749="","",IFERROR(INDEX('CAT_CENTROS_COSTO'!$D$4:$D$13,MATCH($F749,'CAT_CENTROS_COSTO'!$A$4:$A$13,0)),"(sin catálogo)"))</f>
        <v/>
      </c>
      <c r="W749" s="3">
        <f>IF($F749="","",IF((IFERROR(INDEX('CAT_CENTROS_COSTO'!$E$4:$E$13,MATCH($F749,'CAT_CENTROS_COSTO'!$A$4:$A$13,0)),""))&lt;&gt;"",IFERROR(INDEX('CAT_CENTROS_COSTO'!$E$4:$E$13,MATCH($F749,'CAT_CENTROS_COSTO'!$A$4:$A$13,0)),""),$V749))</f>
        <v/>
      </c>
      <c r="X749" s="3">
        <f>IF($F749="","",IFERROR(INDEX('CAT_CENTROS_COSTO'!$G$4:$G$13,MATCH($F749,'CAT_CENTROS_COSTO'!$A$4:$A$13,0)),"(sin catálogo)"))</f>
        <v/>
      </c>
      <c r="Y749" s="3">
        <f>IF($G749="","",IFERROR(INDEX('CAT_PUESTOS'!$B$4:$B$8,MATCH($G749,'CAT_PUESTOS'!$A$4:$A$8,0)),"(sin catálogo)"))</f>
        <v/>
      </c>
      <c r="Z749" s="3">
        <f>IF($H749="","",IFERROR(INDEX('CAT_ACTIVIDADES'!$B$4:$B$8,MATCH($H749,'CAT_ACTIVIDADES'!$A$4:$A$8,0)),"(sin catálogo)"))</f>
        <v/>
      </c>
      <c r="AA749" s="12">
        <f>IF($J749="","",TODAY()-$J749)</f>
        <v/>
      </c>
      <c r="AB749" s="12">
        <f>IF($J749="","",IF($J749&lt;=TODAY(),COUNTIFS(cal_fechas,"&gt;="&amp;$J749,cal_fechas,"&lt;"&amp;TODAY(),cal_habil,"sí"),-COUNTIFS(cal_fechas,"&gt;="&amp;TODAY(),cal_fechas,"&lt;"&amp;$J749,cal_habil,"sí")))</f>
        <v/>
      </c>
      <c r="AC749" s="3">
        <f>IF($AB749="","",IF($AB749&lt;0,"FUTURO",IF($AB749&gt;p_dias_backlog_max,"BACKLOG","MES CORRIENTE")))</f>
        <v/>
      </c>
      <c r="AD749" s="3">
        <f>IF($AB749="",FALSE,AND($AB749&gt;p_dias_backlog_min,$AB749&lt;=p_dias_backlog_max))</f>
        <v/>
      </c>
      <c r="AE749" s="6" t="n"/>
      <c r="AF749" s="3">
        <f>IF($AE749="","",IF((IFERROR(INDEX('ASIGNACIONES'!$F$4:$F$339,MATCH($O749&amp;"|"&amp;$R749&amp;"|"&amp;$AE749,'ASIGNACIONES'!$J$4:$J$339,0)),""))=0,"",IFERROR(INDEX('ASIGNACIONES'!$F$4:$F$339,MATCH($O749&amp;"|"&amp;$R749&amp;"|"&amp;$AE749,'ASIGNACIONES'!$J$4:$J$339,0)),"")))</f>
        <v/>
      </c>
      <c r="AG749" s="13">
        <f>IF($AE749="","",SUMIFS('ORDENES'!$M$4:$M$1203,'ORDENES'!$AE$4:$AE$1203,$AE749,'ORDENES'!$O$4:$O$1203,$O749,'ORDENES'!$R$4:$R$1203,$R749))</f>
        <v/>
      </c>
      <c r="AH749" s="13">
        <f>IF($AG749="","",p_factor_productividad*IFERROR(INDEX('ASIGNACIONES'!$I$4:$I$339,MATCH($O749&amp;"|"&amp;$R749&amp;"|"&amp;$AE749,'ASIGNACIONES'!$J$4:$J$339,0)),0)-$AG749)</f>
        <v/>
      </c>
      <c r="AI749" s="10">
        <f>IF($A749="","",IFERROR(INDEX('2_IMPORTAR_EJECUCION'!$F$9:$F$1208,MATCH($AQ749,'2_IMPORTAR_EJECUCION'!$J$9:$J$1208,0)),0))</f>
        <v/>
      </c>
      <c r="AJ749" s="10">
        <f>IF($A749="","",MAX(0,IFERROR(INDEX('2_IMPORTAR_EJECUCION'!$H$9:$H$1208,MATCH($AQ749,'2_IMPORTAR_EJECUCION'!$J$9:$J$1208,0)),0)-$AI749))</f>
        <v/>
      </c>
      <c r="AK749" s="10">
        <f>IF($A749="","",$AI749+$AJ749)</f>
        <v/>
      </c>
      <c r="AL749" s="6" t="n"/>
      <c r="AM749" s="6" t="n"/>
      <c r="AN749" s="6" t="n"/>
      <c r="AO749" s="3">
        <f>IF($AN749="","",HYPERLINK(p_ruta_base_checklists&amp;$AN749,"abrir"))</f>
        <v/>
      </c>
      <c r="AP749" s="6" t="n"/>
      <c r="AQ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IF($A750="","",IFERROR(INDEX('AJUSTES'!$B$4:$B$303,MATCH($AQ750,'AJUSTES'!$A$4:$A$303,0)),IF($K750="","",$K750)))</f>
        <v/>
      </c>
      <c r="N750" s="3">
        <f>IF($A750="","",IFERROR(INDEX('CAT_ESTADOS_ERP'!$B$4:$B$7,MATCH(IFERROR(INDEX('2_IMPORTAR_EJECUCION'!$C$9:$C$1208,MATCH($AQ750,'2_IMPORTAR_EJECUCION'!$J$9:$J$1208,0)),""),'CAT_ESTADOS_ERP'!$A$4:$A$7,0)),"Pendiente"))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J750="","",IFERROR(INDEX('CALENDARIO'!$C$15:$C$214,MATCH(TEXT($J750,"yyyy-mm-dd")&amp;"|"&amp;$V750&amp;"|"&amp;$W750,'CALENDARIO'!$G$15:$G$214,0)),IFERROR(INDEX('CALENDARIO'!$C$15:$C$214,MATCH(TEXT($J750,"yyyy-mm-dd")&amp;"|"&amp;$V750&amp;"|",'CALENDARIO'!$G$15:$G$214,0)),IFERROR(INDEX('CALENDARIO'!$C$15:$C$214,MATCH(TEXT($J750,"yyyy-mm-dd")&amp;"||",'CALENDARIO'!$G$15:$G$214,0)),INDEX(patronHabil,WEEKDAY($J750,2))))))</f>
        <v/>
      </c>
      <c r="T750" s="3">
        <f>IF($I750="","",IFERROR(INDEX('CAT_TIPOS_OT'!$C$4:$C$7,MATCH($I750,'CAT_TIPOS_OT'!$A$4:$A$7,0)),"sin_clasificar"))</f>
        <v/>
      </c>
      <c r="U750" s="3">
        <f>IF($F750="","",IFERROR(INDEX('CAT_CENTROS_COSTO'!$F$4:$F$13,MATCH($F750,'CAT_CENTROS_COSTO'!$A$4:$A$13,0)),"(sin catálogo)"))</f>
        <v/>
      </c>
      <c r="V750" s="3">
        <f>IF($F750="","",IFERROR(INDEX('CAT_CENTROS_COSTO'!$D$4:$D$13,MATCH($F750,'CAT_CENTROS_COSTO'!$A$4:$A$13,0)),"(sin catálogo)"))</f>
        <v/>
      </c>
      <c r="W750" s="3">
        <f>IF($F750="","",IF((IFERROR(INDEX('CAT_CENTROS_COSTO'!$E$4:$E$13,MATCH($F750,'CAT_CENTROS_COSTO'!$A$4:$A$13,0)),""))&lt;&gt;"",IFERROR(INDEX('CAT_CENTROS_COSTO'!$E$4:$E$13,MATCH($F750,'CAT_CENTROS_COSTO'!$A$4:$A$13,0)),""),$V750))</f>
        <v/>
      </c>
      <c r="X750" s="3">
        <f>IF($F750="","",IFERROR(INDEX('CAT_CENTROS_COSTO'!$G$4:$G$13,MATCH($F750,'CAT_CENTROS_COSTO'!$A$4:$A$13,0)),"(sin catálogo)"))</f>
        <v/>
      </c>
      <c r="Y750" s="3">
        <f>IF($G750="","",IFERROR(INDEX('CAT_PUESTOS'!$B$4:$B$8,MATCH($G750,'CAT_PUESTOS'!$A$4:$A$8,0)),"(sin catálogo)"))</f>
        <v/>
      </c>
      <c r="Z750" s="3">
        <f>IF($H750="","",IFERROR(INDEX('CAT_ACTIVIDADES'!$B$4:$B$8,MATCH($H750,'CAT_ACTIVIDADES'!$A$4:$A$8,0)),"(sin catálogo)"))</f>
        <v/>
      </c>
      <c r="AA750" s="12">
        <f>IF($J750="","",TODAY()-$J750)</f>
        <v/>
      </c>
      <c r="AB750" s="12">
        <f>IF($J750="","",IF($J750&lt;=TODAY(),COUNTIFS(cal_fechas,"&gt;="&amp;$J750,cal_fechas,"&lt;"&amp;TODAY(),cal_habil,"sí"),-COUNTIFS(cal_fechas,"&gt;="&amp;TODAY(),cal_fechas,"&lt;"&amp;$J750,cal_habil,"sí")))</f>
        <v/>
      </c>
      <c r="AC750" s="3">
        <f>IF($AB750="","",IF($AB750&lt;0,"FUTURO",IF($AB750&gt;p_dias_backlog_max,"BACKLOG","MES CORRIENTE")))</f>
        <v/>
      </c>
      <c r="AD750" s="3">
        <f>IF($AB750="",FALSE,AND($AB750&gt;p_dias_backlog_min,$AB750&lt;=p_dias_backlog_max))</f>
        <v/>
      </c>
      <c r="AE750" s="6" t="n"/>
      <c r="AF750" s="3">
        <f>IF($AE750="","",IF((IFERROR(INDEX('ASIGNACIONES'!$F$4:$F$339,MATCH($O750&amp;"|"&amp;$R750&amp;"|"&amp;$AE750,'ASIGNACIONES'!$J$4:$J$339,0)),""))=0,"",IFERROR(INDEX('ASIGNACIONES'!$F$4:$F$339,MATCH($O750&amp;"|"&amp;$R750&amp;"|"&amp;$AE750,'ASIGNACIONES'!$J$4:$J$339,0)),"")))</f>
        <v/>
      </c>
      <c r="AG750" s="13">
        <f>IF($AE750="","",SUMIFS('ORDENES'!$M$4:$M$1203,'ORDENES'!$AE$4:$AE$1203,$AE750,'ORDENES'!$O$4:$O$1203,$O750,'ORDENES'!$R$4:$R$1203,$R750))</f>
        <v/>
      </c>
      <c r="AH750" s="13">
        <f>IF($AG750="","",p_factor_productividad*IFERROR(INDEX('ASIGNACIONES'!$I$4:$I$339,MATCH($O750&amp;"|"&amp;$R750&amp;"|"&amp;$AE750,'ASIGNACIONES'!$J$4:$J$339,0)),0)-$AG750)</f>
        <v/>
      </c>
      <c r="AI750" s="10">
        <f>IF($A750="","",IFERROR(INDEX('2_IMPORTAR_EJECUCION'!$F$9:$F$1208,MATCH($AQ750,'2_IMPORTAR_EJECUCION'!$J$9:$J$1208,0)),0))</f>
        <v/>
      </c>
      <c r="AJ750" s="10">
        <f>IF($A750="","",MAX(0,IFERROR(INDEX('2_IMPORTAR_EJECUCION'!$H$9:$H$1208,MATCH($AQ750,'2_IMPORTAR_EJECUCION'!$J$9:$J$1208,0)),0)-$AI750))</f>
        <v/>
      </c>
      <c r="AK750" s="10">
        <f>IF($A750="","",$AI750+$AJ750)</f>
        <v/>
      </c>
      <c r="AL750" s="6" t="n"/>
      <c r="AM750" s="6" t="n"/>
      <c r="AN750" s="6" t="n"/>
      <c r="AO750" s="3">
        <f>IF($AN750="","",HYPERLINK(p_ruta_base_checklists&amp;$AN750,"abrir"))</f>
        <v/>
      </c>
      <c r="AP750" s="6" t="n"/>
      <c r="AQ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IF($A751="","",IFERROR(INDEX('AJUSTES'!$B$4:$B$303,MATCH($AQ751,'AJUSTES'!$A$4:$A$303,0)),IF($K751="","",$K751)))</f>
        <v/>
      </c>
      <c r="N751" s="3">
        <f>IF($A751="","",IFERROR(INDEX('CAT_ESTADOS_ERP'!$B$4:$B$7,MATCH(IFERROR(INDEX('2_IMPORTAR_EJECUCION'!$C$9:$C$1208,MATCH($AQ751,'2_IMPORTAR_EJECUCION'!$J$9:$J$1208,0)),""),'CAT_ESTADOS_ERP'!$A$4:$A$7,0)),"Pendiente"))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J751="","",IFERROR(INDEX('CALENDARIO'!$C$15:$C$214,MATCH(TEXT($J751,"yyyy-mm-dd")&amp;"|"&amp;$V751&amp;"|"&amp;$W751,'CALENDARIO'!$G$15:$G$214,0)),IFERROR(INDEX('CALENDARIO'!$C$15:$C$214,MATCH(TEXT($J751,"yyyy-mm-dd")&amp;"|"&amp;$V751&amp;"|",'CALENDARIO'!$G$15:$G$214,0)),IFERROR(INDEX('CALENDARIO'!$C$15:$C$214,MATCH(TEXT($J751,"yyyy-mm-dd")&amp;"||",'CALENDARIO'!$G$15:$G$214,0)),INDEX(patronHabil,WEEKDAY($J751,2))))))</f>
        <v/>
      </c>
      <c r="T751" s="3">
        <f>IF($I751="","",IFERROR(INDEX('CAT_TIPOS_OT'!$C$4:$C$7,MATCH($I751,'CAT_TIPOS_OT'!$A$4:$A$7,0)),"sin_clasificar"))</f>
        <v/>
      </c>
      <c r="U751" s="3">
        <f>IF($F751="","",IFERROR(INDEX('CAT_CENTROS_COSTO'!$F$4:$F$13,MATCH($F751,'CAT_CENTROS_COSTO'!$A$4:$A$13,0)),"(sin catálogo)"))</f>
        <v/>
      </c>
      <c r="V751" s="3">
        <f>IF($F751="","",IFERROR(INDEX('CAT_CENTROS_COSTO'!$D$4:$D$13,MATCH($F751,'CAT_CENTROS_COSTO'!$A$4:$A$13,0)),"(sin catálogo)"))</f>
        <v/>
      </c>
      <c r="W751" s="3">
        <f>IF($F751="","",IF((IFERROR(INDEX('CAT_CENTROS_COSTO'!$E$4:$E$13,MATCH($F751,'CAT_CENTROS_COSTO'!$A$4:$A$13,0)),""))&lt;&gt;"",IFERROR(INDEX('CAT_CENTROS_COSTO'!$E$4:$E$13,MATCH($F751,'CAT_CENTROS_COSTO'!$A$4:$A$13,0)),""),$V751))</f>
        <v/>
      </c>
      <c r="X751" s="3">
        <f>IF($F751="","",IFERROR(INDEX('CAT_CENTROS_COSTO'!$G$4:$G$13,MATCH($F751,'CAT_CENTROS_COSTO'!$A$4:$A$13,0)),"(sin catálogo)"))</f>
        <v/>
      </c>
      <c r="Y751" s="3">
        <f>IF($G751="","",IFERROR(INDEX('CAT_PUESTOS'!$B$4:$B$8,MATCH($G751,'CAT_PUESTOS'!$A$4:$A$8,0)),"(sin catálogo)"))</f>
        <v/>
      </c>
      <c r="Z751" s="3">
        <f>IF($H751="","",IFERROR(INDEX('CAT_ACTIVIDADES'!$B$4:$B$8,MATCH($H751,'CAT_ACTIVIDADES'!$A$4:$A$8,0)),"(sin catálogo)"))</f>
        <v/>
      </c>
      <c r="AA751" s="12">
        <f>IF($J751="","",TODAY()-$J751)</f>
        <v/>
      </c>
      <c r="AB751" s="12">
        <f>IF($J751="","",IF($J751&lt;=TODAY(),COUNTIFS(cal_fechas,"&gt;="&amp;$J751,cal_fechas,"&lt;"&amp;TODAY(),cal_habil,"sí"),-COUNTIFS(cal_fechas,"&gt;="&amp;TODAY(),cal_fechas,"&lt;"&amp;$J751,cal_habil,"sí")))</f>
        <v/>
      </c>
      <c r="AC751" s="3">
        <f>IF($AB751="","",IF($AB751&lt;0,"FUTURO",IF($AB751&gt;p_dias_backlog_max,"BACKLOG","MES CORRIENTE")))</f>
        <v/>
      </c>
      <c r="AD751" s="3">
        <f>IF($AB751="",FALSE,AND($AB751&gt;p_dias_backlog_min,$AB751&lt;=p_dias_backlog_max))</f>
        <v/>
      </c>
      <c r="AE751" s="6" t="n"/>
      <c r="AF751" s="3">
        <f>IF($AE751="","",IF((IFERROR(INDEX('ASIGNACIONES'!$F$4:$F$339,MATCH($O751&amp;"|"&amp;$R751&amp;"|"&amp;$AE751,'ASIGNACIONES'!$J$4:$J$339,0)),""))=0,"",IFERROR(INDEX('ASIGNACIONES'!$F$4:$F$339,MATCH($O751&amp;"|"&amp;$R751&amp;"|"&amp;$AE751,'ASIGNACIONES'!$J$4:$J$339,0)),"")))</f>
        <v/>
      </c>
      <c r="AG751" s="13">
        <f>IF($AE751="","",SUMIFS('ORDENES'!$M$4:$M$1203,'ORDENES'!$AE$4:$AE$1203,$AE751,'ORDENES'!$O$4:$O$1203,$O751,'ORDENES'!$R$4:$R$1203,$R751))</f>
        <v/>
      </c>
      <c r="AH751" s="13">
        <f>IF($AG751="","",p_factor_productividad*IFERROR(INDEX('ASIGNACIONES'!$I$4:$I$339,MATCH($O751&amp;"|"&amp;$R751&amp;"|"&amp;$AE751,'ASIGNACIONES'!$J$4:$J$339,0)),0)-$AG751)</f>
        <v/>
      </c>
      <c r="AI751" s="10">
        <f>IF($A751="","",IFERROR(INDEX('2_IMPORTAR_EJECUCION'!$F$9:$F$1208,MATCH($AQ751,'2_IMPORTAR_EJECUCION'!$J$9:$J$1208,0)),0))</f>
        <v/>
      </c>
      <c r="AJ751" s="10">
        <f>IF($A751="","",MAX(0,IFERROR(INDEX('2_IMPORTAR_EJECUCION'!$H$9:$H$1208,MATCH($AQ751,'2_IMPORTAR_EJECUCION'!$J$9:$J$1208,0)),0)-$AI751))</f>
        <v/>
      </c>
      <c r="AK751" s="10">
        <f>IF($A751="","",$AI751+$AJ751)</f>
        <v/>
      </c>
      <c r="AL751" s="6" t="n"/>
      <c r="AM751" s="6" t="n"/>
      <c r="AN751" s="6" t="n"/>
      <c r="AO751" s="3">
        <f>IF($AN751="","",HYPERLINK(p_ruta_base_checklists&amp;$AN751,"abrir"))</f>
        <v/>
      </c>
      <c r="AP751" s="6" t="n"/>
      <c r="AQ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IF($A752="","",IFERROR(INDEX('AJUSTES'!$B$4:$B$303,MATCH($AQ752,'AJUSTES'!$A$4:$A$303,0)),IF($K752="","",$K752)))</f>
        <v/>
      </c>
      <c r="N752" s="3">
        <f>IF($A752="","",IFERROR(INDEX('CAT_ESTADOS_ERP'!$B$4:$B$7,MATCH(IFERROR(INDEX('2_IMPORTAR_EJECUCION'!$C$9:$C$1208,MATCH($AQ752,'2_IMPORTAR_EJECUCION'!$J$9:$J$1208,0)),""),'CAT_ESTADOS_ERP'!$A$4:$A$7,0)),"Pendiente"))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J752="","",IFERROR(INDEX('CALENDARIO'!$C$15:$C$214,MATCH(TEXT($J752,"yyyy-mm-dd")&amp;"|"&amp;$V752&amp;"|"&amp;$W752,'CALENDARIO'!$G$15:$G$214,0)),IFERROR(INDEX('CALENDARIO'!$C$15:$C$214,MATCH(TEXT($J752,"yyyy-mm-dd")&amp;"|"&amp;$V752&amp;"|",'CALENDARIO'!$G$15:$G$214,0)),IFERROR(INDEX('CALENDARIO'!$C$15:$C$214,MATCH(TEXT($J752,"yyyy-mm-dd")&amp;"||",'CALENDARIO'!$G$15:$G$214,0)),INDEX(patronHabil,WEEKDAY($J752,2))))))</f>
        <v/>
      </c>
      <c r="T752" s="3">
        <f>IF($I752="","",IFERROR(INDEX('CAT_TIPOS_OT'!$C$4:$C$7,MATCH($I752,'CAT_TIPOS_OT'!$A$4:$A$7,0)),"sin_clasificar"))</f>
        <v/>
      </c>
      <c r="U752" s="3">
        <f>IF($F752="","",IFERROR(INDEX('CAT_CENTROS_COSTO'!$F$4:$F$13,MATCH($F752,'CAT_CENTROS_COSTO'!$A$4:$A$13,0)),"(sin catálogo)"))</f>
        <v/>
      </c>
      <c r="V752" s="3">
        <f>IF($F752="","",IFERROR(INDEX('CAT_CENTROS_COSTO'!$D$4:$D$13,MATCH($F752,'CAT_CENTROS_COSTO'!$A$4:$A$13,0)),"(sin catálogo)"))</f>
        <v/>
      </c>
      <c r="W752" s="3">
        <f>IF($F752="","",IF((IFERROR(INDEX('CAT_CENTROS_COSTO'!$E$4:$E$13,MATCH($F752,'CAT_CENTROS_COSTO'!$A$4:$A$13,0)),""))&lt;&gt;"",IFERROR(INDEX('CAT_CENTROS_COSTO'!$E$4:$E$13,MATCH($F752,'CAT_CENTROS_COSTO'!$A$4:$A$13,0)),""),$V752))</f>
        <v/>
      </c>
      <c r="X752" s="3">
        <f>IF($F752="","",IFERROR(INDEX('CAT_CENTROS_COSTO'!$G$4:$G$13,MATCH($F752,'CAT_CENTROS_COSTO'!$A$4:$A$13,0)),"(sin catálogo)"))</f>
        <v/>
      </c>
      <c r="Y752" s="3">
        <f>IF($G752="","",IFERROR(INDEX('CAT_PUESTOS'!$B$4:$B$8,MATCH($G752,'CAT_PUESTOS'!$A$4:$A$8,0)),"(sin catálogo)"))</f>
        <v/>
      </c>
      <c r="Z752" s="3">
        <f>IF($H752="","",IFERROR(INDEX('CAT_ACTIVIDADES'!$B$4:$B$8,MATCH($H752,'CAT_ACTIVIDADES'!$A$4:$A$8,0)),"(sin catálogo)"))</f>
        <v/>
      </c>
      <c r="AA752" s="12">
        <f>IF($J752="","",TODAY()-$J752)</f>
        <v/>
      </c>
      <c r="AB752" s="12">
        <f>IF($J752="","",IF($J752&lt;=TODAY(),COUNTIFS(cal_fechas,"&gt;="&amp;$J752,cal_fechas,"&lt;"&amp;TODAY(),cal_habil,"sí"),-COUNTIFS(cal_fechas,"&gt;="&amp;TODAY(),cal_fechas,"&lt;"&amp;$J752,cal_habil,"sí")))</f>
        <v/>
      </c>
      <c r="AC752" s="3">
        <f>IF($AB752="","",IF($AB752&lt;0,"FUTURO",IF($AB752&gt;p_dias_backlog_max,"BACKLOG","MES CORRIENTE")))</f>
        <v/>
      </c>
      <c r="AD752" s="3">
        <f>IF($AB752="",FALSE,AND($AB752&gt;p_dias_backlog_min,$AB752&lt;=p_dias_backlog_max))</f>
        <v/>
      </c>
      <c r="AE752" s="6" t="n"/>
      <c r="AF752" s="3">
        <f>IF($AE752="","",IF((IFERROR(INDEX('ASIGNACIONES'!$F$4:$F$339,MATCH($O752&amp;"|"&amp;$R752&amp;"|"&amp;$AE752,'ASIGNACIONES'!$J$4:$J$339,0)),""))=0,"",IFERROR(INDEX('ASIGNACIONES'!$F$4:$F$339,MATCH($O752&amp;"|"&amp;$R752&amp;"|"&amp;$AE752,'ASIGNACIONES'!$J$4:$J$339,0)),"")))</f>
        <v/>
      </c>
      <c r="AG752" s="13">
        <f>IF($AE752="","",SUMIFS('ORDENES'!$M$4:$M$1203,'ORDENES'!$AE$4:$AE$1203,$AE752,'ORDENES'!$O$4:$O$1203,$O752,'ORDENES'!$R$4:$R$1203,$R752))</f>
        <v/>
      </c>
      <c r="AH752" s="13">
        <f>IF($AG752="","",p_factor_productividad*IFERROR(INDEX('ASIGNACIONES'!$I$4:$I$339,MATCH($O752&amp;"|"&amp;$R752&amp;"|"&amp;$AE752,'ASIGNACIONES'!$J$4:$J$339,0)),0)-$AG752)</f>
        <v/>
      </c>
      <c r="AI752" s="10">
        <f>IF($A752="","",IFERROR(INDEX('2_IMPORTAR_EJECUCION'!$F$9:$F$1208,MATCH($AQ752,'2_IMPORTAR_EJECUCION'!$J$9:$J$1208,0)),0))</f>
        <v/>
      </c>
      <c r="AJ752" s="10">
        <f>IF($A752="","",MAX(0,IFERROR(INDEX('2_IMPORTAR_EJECUCION'!$H$9:$H$1208,MATCH($AQ752,'2_IMPORTAR_EJECUCION'!$J$9:$J$1208,0)),0)-$AI752))</f>
        <v/>
      </c>
      <c r="AK752" s="10">
        <f>IF($A752="","",$AI752+$AJ752)</f>
        <v/>
      </c>
      <c r="AL752" s="6" t="n"/>
      <c r="AM752" s="6" t="n"/>
      <c r="AN752" s="6" t="n"/>
      <c r="AO752" s="3">
        <f>IF($AN752="","",HYPERLINK(p_ruta_base_checklists&amp;$AN752,"abrir"))</f>
        <v/>
      </c>
      <c r="AP752" s="6" t="n"/>
      <c r="AQ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IF($A753="","",IFERROR(INDEX('AJUSTES'!$B$4:$B$303,MATCH($AQ753,'AJUSTES'!$A$4:$A$303,0)),IF($K753="","",$K753)))</f>
        <v/>
      </c>
      <c r="N753" s="3">
        <f>IF($A753="","",IFERROR(INDEX('CAT_ESTADOS_ERP'!$B$4:$B$7,MATCH(IFERROR(INDEX('2_IMPORTAR_EJECUCION'!$C$9:$C$1208,MATCH($AQ753,'2_IMPORTAR_EJECUCION'!$J$9:$J$1208,0)),""),'CAT_ESTADOS_ERP'!$A$4:$A$7,0)),"Pendiente"))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J753="","",IFERROR(INDEX('CALENDARIO'!$C$15:$C$214,MATCH(TEXT($J753,"yyyy-mm-dd")&amp;"|"&amp;$V753&amp;"|"&amp;$W753,'CALENDARIO'!$G$15:$G$214,0)),IFERROR(INDEX('CALENDARIO'!$C$15:$C$214,MATCH(TEXT($J753,"yyyy-mm-dd")&amp;"|"&amp;$V753&amp;"|",'CALENDARIO'!$G$15:$G$214,0)),IFERROR(INDEX('CALENDARIO'!$C$15:$C$214,MATCH(TEXT($J753,"yyyy-mm-dd")&amp;"||",'CALENDARIO'!$G$15:$G$214,0)),INDEX(patronHabil,WEEKDAY($J753,2))))))</f>
        <v/>
      </c>
      <c r="T753" s="3">
        <f>IF($I753="","",IFERROR(INDEX('CAT_TIPOS_OT'!$C$4:$C$7,MATCH($I753,'CAT_TIPOS_OT'!$A$4:$A$7,0)),"sin_clasificar"))</f>
        <v/>
      </c>
      <c r="U753" s="3">
        <f>IF($F753="","",IFERROR(INDEX('CAT_CENTROS_COSTO'!$F$4:$F$13,MATCH($F753,'CAT_CENTROS_COSTO'!$A$4:$A$13,0)),"(sin catálogo)"))</f>
        <v/>
      </c>
      <c r="V753" s="3">
        <f>IF($F753="","",IFERROR(INDEX('CAT_CENTROS_COSTO'!$D$4:$D$13,MATCH($F753,'CAT_CENTROS_COSTO'!$A$4:$A$13,0)),"(sin catálogo)"))</f>
        <v/>
      </c>
      <c r="W753" s="3">
        <f>IF($F753="","",IF((IFERROR(INDEX('CAT_CENTROS_COSTO'!$E$4:$E$13,MATCH($F753,'CAT_CENTROS_COSTO'!$A$4:$A$13,0)),""))&lt;&gt;"",IFERROR(INDEX('CAT_CENTROS_COSTO'!$E$4:$E$13,MATCH($F753,'CAT_CENTROS_COSTO'!$A$4:$A$13,0)),""),$V753))</f>
        <v/>
      </c>
      <c r="X753" s="3">
        <f>IF($F753="","",IFERROR(INDEX('CAT_CENTROS_COSTO'!$G$4:$G$13,MATCH($F753,'CAT_CENTROS_COSTO'!$A$4:$A$13,0)),"(sin catálogo)"))</f>
        <v/>
      </c>
      <c r="Y753" s="3">
        <f>IF($G753="","",IFERROR(INDEX('CAT_PUESTOS'!$B$4:$B$8,MATCH($G753,'CAT_PUESTOS'!$A$4:$A$8,0)),"(sin catálogo)"))</f>
        <v/>
      </c>
      <c r="Z753" s="3">
        <f>IF($H753="","",IFERROR(INDEX('CAT_ACTIVIDADES'!$B$4:$B$8,MATCH($H753,'CAT_ACTIVIDADES'!$A$4:$A$8,0)),"(sin catálogo)"))</f>
        <v/>
      </c>
      <c r="AA753" s="12">
        <f>IF($J753="","",TODAY()-$J753)</f>
        <v/>
      </c>
      <c r="AB753" s="12">
        <f>IF($J753="","",IF($J753&lt;=TODAY(),COUNTIFS(cal_fechas,"&gt;="&amp;$J753,cal_fechas,"&lt;"&amp;TODAY(),cal_habil,"sí"),-COUNTIFS(cal_fechas,"&gt;="&amp;TODAY(),cal_fechas,"&lt;"&amp;$J753,cal_habil,"sí")))</f>
        <v/>
      </c>
      <c r="AC753" s="3">
        <f>IF($AB753="","",IF($AB753&lt;0,"FUTURO",IF($AB753&gt;p_dias_backlog_max,"BACKLOG","MES CORRIENTE")))</f>
        <v/>
      </c>
      <c r="AD753" s="3">
        <f>IF($AB753="",FALSE,AND($AB753&gt;p_dias_backlog_min,$AB753&lt;=p_dias_backlog_max))</f>
        <v/>
      </c>
      <c r="AE753" s="6" t="n"/>
      <c r="AF753" s="3">
        <f>IF($AE753="","",IF((IFERROR(INDEX('ASIGNACIONES'!$F$4:$F$339,MATCH($O753&amp;"|"&amp;$R753&amp;"|"&amp;$AE753,'ASIGNACIONES'!$J$4:$J$339,0)),""))=0,"",IFERROR(INDEX('ASIGNACIONES'!$F$4:$F$339,MATCH($O753&amp;"|"&amp;$R753&amp;"|"&amp;$AE753,'ASIGNACIONES'!$J$4:$J$339,0)),"")))</f>
        <v/>
      </c>
      <c r="AG753" s="13">
        <f>IF($AE753="","",SUMIFS('ORDENES'!$M$4:$M$1203,'ORDENES'!$AE$4:$AE$1203,$AE753,'ORDENES'!$O$4:$O$1203,$O753,'ORDENES'!$R$4:$R$1203,$R753))</f>
        <v/>
      </c>
      <c r="AH753" s="13">
        <f>IF($AG753="","",p_factor_productividad*IFERROR(INDEX('ASIGNACIONES'!$I$4:$I$339,MATCH($O753&amp;"|"&amp;$R753&amp;"|"&amp;$AE753,'ASIGNACIONES'!$J$4:$J$339,0)),0)-$AG753)</f>
        <v/>
      </c>
      <c r="AI753" s="10">
        <f>IF($A753="","",IFERROR(INDEX('2_IMPORTAR_EJECUCION'!$F$9:$F$1208,MATCH($AQ753,'2_IMPORTAR_EJECUCION'!$J$9:$J$1208,0)),0))</f>
        <v/>
      </c>
      <c r="AJ753" s="10">
        <f>IF($A753="","",MAX(0,IFERROR(INDEX('2_IMPORTAR_EJECUCION'!$H$9:$H$1208,MATCH($AQ753,'2_IMPORTAR_EJECUCION'!$J$9:$J$1208,0)),0)-$AI753))</f>
        <v/>
      </c>
      <c r="AK753" s="10">
        <f>IF($A753="","",$AI753+$AJ753)</f>
        <v/>
      </c>
      <c r="AL753" s="6" t="n"/>
      <c r="AM753" s="6" t="n"/>
      <c r="AN753" s="6" t="n"/>
      <c r="AO753" s="3">
        <f>IF($AN753="","",HYPERLINK(p_ruta_base_checklists&amp;$AN753,"abrir"))</f>
        <v/>
      </c>
      <c r="AP753" s="6" t="n"/>
      <c r="AQ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IF($A754="","",IFERROR(INDEX('AJUSTES'!$B$4:$B$303,MATCH($AQ754,'AJUSTES'!$A$4:$A$303,0)),IF($K754="","",$K754)))</f>
        <v/>
      </c>
      <c r="N754" s="3">
        <f>IF($A754="","",IFERROR(INDEX('CAT_ESTADOS_ERP'!$B$4:$B$7,MATCH(IFERROR(INDEX('2_IMPORTAR_EJECUCION'!$C$9:$C$1208,MATCH($AQ754,'2_IMPORTAR_EJECUCION'!$J$9:$J$1208,0)),""),'CAT_ESTADOS_ERP'!$A$4:$A$7,0)),"Pendiente"))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J754="","",IFERROR(INDEX('CALENDARIO'!$C$15:$C$214,MATCH(TEXT($J754,"yyyy-mm-dd")&amp;"|"&amp;$V754&amp;"|"&amp;$W754,'CALENDARIO'!$G$15:$G$214,0)),IFERROR(INDEX('CALENDARIO'!$C$15:$C$214,MATCH(TEXT($J754,"yyyy-mm-dd")&amp;"|"&amp;$V754&amp;"|",'CALENDARIO'!$G$15:$G$214,0)),IFERROR(INDEX('CALENDARIO'!$C$15:$C$214,MATCH(TEXT($J754,"yyyy-mm-dd")&amp;"||",'CALENDARIO'!$G$15:$G$214,0)),INDEX(patronHabil,WEEKDAY($J754,2))))))</f>
        <v/>
      </c>
      <c r="T754" s="3">
        <f>IF($I754="","",IFERROR(INDEX('CAT_TIPOS_OT'!$C$4:$C$7,MATCH($I754,'CAT_TIPOS_OT'!$A$4:$A$7,0)),"sin_clasificar"))</f>
        <v/>
      </c>
      <c r="U754" s="3">
        <f>IF($F754="","",IFERROR(INDEX('CAT_CENTROS_COSTO'!$F$4:$F$13,MATCH($F754,'CAT_CENTROS_COSTO'!$A$4:$A$13,0)),"(sin catálogo)"))</f>
        <v/>
      </c>
      <c r="V754" s="3">
        <f>IF($F754="","",IFERROR(INDEX('CAT_CENTROS_COSTO'!$D$4:$D$13,MATCH($F754,'CAT_CENTROS_COSTO'!$A$4:$A$13,0)),"(sin catálogo)"))</f>
        <v/>
      </c>
      <c r="W754" s="3">
        <f>IF($F754="","",IF((IFERROR(INDEX('CAT_CENTROS_COSTO'!$E$4:$E$13,MATCH($F754,'CAT_CENTROS_COSTO'!$A$4:$A$13,0)),""))&lt;&gt;"",IFERROR(INDEX('CAT_CENTROS_COSTO'!$E$4:$E$13,MATCH($F754,'CAT_CENTROS_COSTO'!$A$4:$A$13,0)),""),$V754))</f>
        <v/>
      </c>
      <c r="X754" s="3">
        <f>IF($F754="","",IFERROR(INDEX('CAT_CENTROS_COSTO'!$G$4:$G$13,MATCH($F754,'CAT_CENTROS_COSTO'!$A$4:$A$13,0)),"(sin catálogo)"))</f>
        <v/>
      </c>
      <c r="Y754" s="3">
        <f>IF($G754="","",IFERROR(INDEX('CAT_PUESTOS'!$B$4:$B$8,MATCH($G754,'CAT_PUESTOS'!$A$4:$A$8,0)),"(sin catálogo)"))</f>
        <v/>
      </c>
      <c r="Z754" s="3">
        <f>IF($H754="","",IFERROR(INDEX('CAT_ACTIVIDADES'!$B$4:$B$8,MATCH($H754,'CAT_ACTIVIDADES'!$A$4:$A$8,0)),"(sin catálogo)"))</f>
        <v/>
      </c>
      <c r="AA754" s="12">
        <f>IF($J754="","",TODAY()-$J754)</f>
        <v/>
      </c>
      <c r="AB754" s="12">
        <f>IF($J754="","",IF($J754&lt;=TODAY(),COUNTIFS(cal_fechas,"&gt;="&amp;$J754,cal_fechas,"&lt;"&amp;TODAY(),cal_habil,"sí"),-COUNTIFS(cal_fechas,"&gt;="&amp;TODAY(),cal_fechas,"&lt;"&amp;$J754,cal_habil,"sí")))</f>
        <v/>
      </c>
      <c r="AC754" s="3">
        <f>IF($AB754="","",IF($AB754&lt;0,"FUTURO",IF($AB754&gt;p_dias_backlog_max,"BACKLOG","MES CORRIENTE")))</f>
        <v/>
      </c>
      <c r="AD754" s="3">
        <f>IF($AB754="",FALSE,AND($AB754&gt;p_dias_backlog_min,$AB754&lt;=p_dias_backlog_max))</f>
        <v/>
      </c>
      <c r="AE754" s="6" t="n"/>
      <c r="AF754" s="3">
        <f>IF($AE754="","",IF((IFERROR(INDEX('ASIGNACIONES'!$F$4:$F$339,MATCH($O754&amp;"|"&amp;$R754&amp;"|"&amp;$AE754,'ASIGNACIONES'!$J$4:$J$339,0)),""))=0,"",IFERROR(INDEX('ASIGNACIONES'!$F$4:$F$339,MATCH($O754&amp;"|"&amp;$R754&amp;"|"&amp;$AE754,'ASIGNACIONES'!$J$4:$J$339,0)),"")))</f>
        <v/>
      </c>
      <c r="AG754" s="13">
        <f>IF($AE754="","",SUMIFS('ORDENES'!$M$4:$M$1203,'ORDENES'!$AE$4:$AE$1203,$AE754,'ORDENES'!$O$4:$O$1203,$O754,'ORDENES'!$R$4:$R$1203,$R754))</f>
        <v/>
      </c>
      <c r="AH754" s="13">
        <f>IF($AG754="","",p_factor_productividad*IFERROR(INDEX('ASIGNACIONES'!$I$4:$I$339,MATCH($O754&amp;"|"&amp;$R754&amp;"|"&amp;$AE754,'ASIGNACIONES'!$J$4:$J$339,0)),0)-$AG754)</f>
        <v/>
      </c>
      <c r="AI754" s="10">
        <f>IF($A754="","",IFERROR(INDEX('2_IMPORTAR_EJECUCION'!$F$9:$F$1208,MATCH($AQ754,'2_IMPORTAR_EJECUCION'!$J$9:$J$1208,0)),0))</f>
        <v/>
      </c>
      <c r="AJ754" s="10">
        <f>IF($A754="","",MAX(0,IFERROR(INDEX('2_IMPORTAR_EJECUCION'!$H$9:$H$1208,MATCH($AQ754,'2_IMPORTAR_EJECUCION'!$J$9:$J$1208,0)),0)-$AI754))</f>
        <v/>
      </c>
      <c r="AK754" s="10">
        <f>IF($A754="","",$AI754+$AJ754)</f>
        <v/>
      </c>
      <c r="AL754" s="6" t="n"/>
      <c r="AM754" s="6" t="n"/>
      <c r="AN754" s="6" t="n"/>
      <c r="AO754" s="3">
        <f>IF($AN754="","",HYPERLINK(p_ruta_base_checklists&amp;$AN754,"abrir"))</f>
        <v/>
      </c>
      <c r="AP754" s="6" t="n"/>
      <c r="AQ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IF($A755="","",IFERROR(INDEX('AJUSTES'!$B$4:$B$303,MATCH($AQ755,'AJUSTES'!$A$4:$A$303,0)),IF($K755="","",$K755)))</f>
        <v/>
      </c>
      <c r="N755" s="3">
        <f>IF($A755="","",IFERROR(INDEX('CAT_ESTADOS_ERP'!$B$4:$B$7,MATCH(IFERROR(INDEX('2_IMPORTAR_EJECUCION'!$C$9:$C$1208,MATCH($AQ755,'2_IMPORTAR_EJECUCION'!$J$9:$J$1208,0)),""),'CAT_ESTADOS_ERP'!$A$4:$A$7,0)),"Pendiente"))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J755="","",IFERROR(INDEX('CALENDARIO'!$C$15:$C$214,MATCH(TEXT($J755,"yyyy-mm-dd")&amp;"|"&amp;$V755&amp;"|"&amp;$W755,'CALENDARIO'!$G$15:$G$214,0)),IFERROR(INDEX('CALENDARIO'!$C$15:$C$214,MATCH(TEXT($J755,"yyyy-mm-dd")&amp;"|"&amp;$V755&amp;"|",'CALENDARIO'!$G$15:$G$214,0)),IFERROR(INDEX('CALENDARIO'!$C$15:$C$214,MATCH(TEXT($J755,"yyyy-mm-dd")&amp;"||",'CALENDARIO'!$G$15:$G$214,0)),INDEX(patronHabil,WEEKDAY($J755,2))))))</f>
        <v/>
      </c>
      <c r="T755" s="3">
        <f>IF($I755="","",IFERROR(INDEX('CAT_TIPOS_OT'!$C$4:$C$7,MATCH($I755,'CAT_TIPOS_OT'!$A$4:$A$7,0)),"sin_clasificar"))</f>
        <v/>
      </c>
      <c r="U755" s="3">
        <f>IF($F755="","",IFERROR(INDEX('CAT_CENTROS_COSTO'!$F$4:$F$13,MATCH($F755,'CAT_CENTROS_COSTO'!$A$4:$A$13,0)),"(sin catálogo)"))</f>
        <v/>
      </c>
      <c r="V755" s="3">
        <f>IF($F755="","",IFERROR(INDEX('CAT_CENTROS_COSTO'!$D$4:$D$13,MATCH($F755,'CAT_CENTROS_COSTO'!$A$4:$A$13,0)),"(sin catálogo)"))</f>
        <v/>
      </c>
      <c r="W755" s="3">
        <f>IF($F755="","",IF((IFERROR(INDEX('CAT_CENTROS_COSTO'!$E$4:$E$13,MATCH($F755,'CAT_CENTROS_COSTO'!$A$4:$A$13,0)),""))&lt;&gt;"",IFERROR(INDEX('CAT_CENTROS_COSTO'!$E$4:$E$13,MATCH($F755,'CAT_CENTROS_COSTO'!$A$4:$A$13,0)),""),$V755))</f>
        <v/>
      </c>
      <c r="X755" s="3">
        <f>IF($F755="","",IFERROR(INDEX('CAT_CENTROS_COSTO'!$G$4:$G$13,MATCH($F755,'CAT_CENTROS_COSTO'!$A$4:$A$13,0)),"(sin catálogo)"))</f>
        <v/>
      </c>
      <c r="Y755" s="3">
        <f>IF($G755="","",IFERROR(INDEX('CAT_PUESTOS'!$B$4:$B$8,MATCH($G755,'CAT_PUESTOS'!$A$4:$A$8,0)),"(sin catálogo)"))</f>
        <v/>
      </c>
      <c r="Z755" s="3">
        <f>IF($H755="","",IFERROR(INDEX('CAT_ACTIVIDADES'!$B$4:$B$8,MATCH($H755,'CAT_ACTIVIDADES'!$A$4:$A$8,0)),"(sin catálogo)"))</f>
        <v/>
      </c>
      <c r="AA755" s="12">
        <f>IF($J755="","",TODAY()-$J755)</f>
        <v/>
      </c>
      <c r="AB755" s="12">
        <f>IF($J755="","",IF($J755&lt;=TODAY(),COUNTIFS(cal_fechas,"&gt;="&amp;$J755,cal_fechas,"&lt;"&amp;TODAY(),cal_habil,"sí"),-COUNTIFS(cal_fechas,"&gt;="&amp;TODAY(),cal_fechas,"&lt;"&amp;$J755,cal_habil,"sí")))</f>
        <v/>
      </c>
      <c r="AC755" s="3">
        <f>IF($AB755="","",IF($AB755&lt;0,"FUTURO",IF($AB755&gt;p_dias_backlog_max,"BACKLOG","MES CORRIENTE")))</f>
        <v/>
      </c>
      <c r="AD755" s="3">
        <f>IF($AB755="",FALSE,AND($AB755&gt;p_dias_backlog_min,$AB755&lt;=p_dias_backlog_max))</f>
        <v/>
      </c>
      <c r="AE755" s="6" t="n"/>
      <c r="AF755" s="3">
        <f>IF($AE755="","",IF((IFERROR(INDEX('ASIGNACIONES'!$F$4:$F$339,MATCH($O755&amp;"|"&amp;$R755&amp;"|"&amp;$AE755,'ASIGNACIONES'!$J$4:$J$339,0)),""))=0,"",IFERROR(INDEX('ASIGNACIONES'!$F$4:$F$339,MATCH($O755&amp;"|"&amp;$R755&amp;"|"&amp;$AE755,'ASIGNACIONES'!$J$4:$J$339,0)),"")))</f>
        <v/>
      </c>
      <c r="AG755" s="13">
        <f>IF($AE755="","",SUMIFS('ORDENES'!$M$4:$M$1203,'ORDENES'!$AE$4:$AE$1203,$AE755,'ORDENES'!$O$4:$O$1203,$O755,'ORDENES'!$R$4:$R$1203,$R755))</f>
        <v/>
      </c>
      <c r="AH755" s="13">
        <f>IF($AG755="","",p_factor_productividad*IFERROR(INDEX('ASIGNACIONES'!$I$4:$I$339,MATCH($O755&amp;"|"&amp;$R755&amp;"|"&amp;$AE755,'ASIGNACIONES'!$J$4:$J$339,0)),0)-$AG755)</f>
        <v/>
      </c>
      <c r="AI755" s="10">
        <f>IF($A755="","",IFERROR(INDEX('2_IMPORTAR_EJECUCION'!$F$9:$F$1208,MATCH($AQ755,'2_IMPORTAR_EJECUCION'!$J$9:$J$1208,0)),0))</f>
        <v/>
      </c>
      <c r="AJ755" s="10">
        <f>IF($A755="","",MAX(0,IFERROR(INDEX('2_IMPORTAR_EJECUCION'!$H$9:$H$1208,MATCH($AQ755,'2_IMPORTAR_EJECUCION'!$J$9:$J$1208,0)),0)-$AI755))</f>
        <v/>
      </c>
      <c r="AK755" s="10">
        <f>IF($A755="","",$AI755+$AJ755)</f>
        <v/>
      </c>
      <c r="AL755" s="6" t="n"/>
      <c r="AM755" s="6" t="n"/>
      <c r="AN755" s="6" t="n"/>
      <c r="AO755" s="3">
        <f>IF($AN755="","",HYPERLINK(p_ruta_base_checklists&amp;$AN755,"abrir"))</f>
        <v/>
      </c>
      <c r="AP755" s="6" t="n"/>
      <c r="AQ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IF($A756="","",IFERROR(INDEX('AJUSTES'!$B$4:$B$303,MATCH($AQ756,'AJUSTES'!$A$4:$A$303,0)),IF($K756="","",$K756)))</f>
        <v/>
      </c>
      <c r="N756" s="3">
        <f>IF($A756="","",IFERROR(INDEX('CAT_ESTADOS_ERP'!$B$4:$B$7,MATCH(IFERROR(INDEX('2_IMPORTAR_EJECUCION'!$C$9:$C$1208,MATCH($AQ756,'2_IMPORTAR_EJECUCION'!$J$9:$J$1208,0)),""),'CAT_ESTADOS_ERP'!$A$4:$A$7,0)),"Pendiente"))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J756="","",IFERROR(INDEX('CALENDARIO'!$C$15:$C$214,MATCH(TEXT($J756,"yyyy-mm-dd")&amp;"|"&amp;$V756&amp;"|"&amp;$W756,'CALENDARIO'!$G$15:$G$214,0)),IFERROR(INDEX('CALENDARIO'!$C$15:$C$214,MATCH(TEXT($J756,"yyyy-mm-dd")&amp;"|"&amp;$V756&amp;"|",'CALENDARIO'!$G$15:$G$214,0)),IFERROR(INDEX('CALENDARIO'!$C$15:$C$214,MATCH(TEXT($J756,"yyyy-mm-dd")&amp;"||",'CALENDARIO'!$G$15:$G$214,0)),INDEX(patronHabil,WEEKDAY($J756,2))))))</f>
        <v/>
      </c>
      <c r="T756" s="3">
        <f>IF($I756="","",IFERROR(INDEX('CAT_TIPOS_OT'!$C$4:$C$7,MATCH($I756,'CAT_TIPOS_OT'!$A$4:$A$7,0)),"sin_clasificar"))</f>
        <v/>
      </c>
      <c r="U756" s="3">
        <f>IF($F756="","",IFERROR(INDEX('CAT_CENTROS_COSTO'!$F$4:$F$13,MATCH($F756,'CAT_CENTROS_COSTO'!$A$4:$A$13,0)),"(sin catálogo)"))</f>
        <v/>
      </c>
      <c r="V756" s="3">
        <f>IF($F756="","",IFERROR(INDEX('CAT_CENTROS_COSTO'!$D$4:$D$13,MATCH($F756,'CAT_CENTROS_COSTO'!$A$4:$A$13,0)),"(sin catálogo)"))</f>
        <v/>
      </c>
      <c r="W756" s="3">
        <f>IF($F756="","",IF((IFERROR(INDEX('CAT_CENTROS_COSTO'!$E$4:$E$13,MATCH($F756,'CAT_CENTROS_COSTO'!$A$4:$A$13,0)),""))&lt;&gt;"",IFERROR(INDEX('CAT_CENTROS_COSTO'!$E$4:$E$13,MATCH($F756,'CAT_CENTROS_COSTO'!$A$4:$A$13,0)),""),$V756))</f>
        <v/>
      </c>
      <c r="X756" s="3">
        <f>IF($F756="","",IFERROR(INDEX('CAT_CENTROS_COSTO'!$G$4:$G$13,MATCH($F756,'CAT_CENTROS_COSTO'!$A$4:$A$13,0)),"(sin catálogo)"))</f>
        <v/>
      </c>
      <c r="Y756" s="3">
        <f>IF($G756="","",IFERROR(INDEX('CAT_PUESTOS'!$B$4:$B$8,MATCH($G756,'CAT_PUESTOS'!$A$4:$A$8,0)),"(sin catálogo)"))</f>
        <v/>
      </c>
      <c r="Z756" s="3">
        <f>IF($H756="","",IFERROR(INDEX('CAT_ACTIVIDADES'!$B$4:$B$8,MATCH($H756,'CAT_ACTIVIDADES'!$A$4:$A$8,0)),"(sin catálogo)"))</f>
        <v/>
      </c>
      <c r="AA756" s="12">
        <f>IF($J756="","",TODAY()-$J756)</f>
        <v/>
      </c>
      <c r="AB756" s="12">
        <f>IF($J756="","",IF($J756&lt;=TODAY(),COUNTIFS(cal_fechas,"&gt;="&amp;$J756,cal_fechas,"&lt;"&amp;TODAY(),cal_habil,"sí"),-COUNTIFS(cal_fechas,"&gt;="&amp;TODAY(),cal_fechas,"&lt;"&amp;$J756,cal_habil,"sí")))</f>
        <v/>
      </c>
      <c r="AC756" s="3">
        <f>IF($AB756="","",IF($AB756&lt;0,"FUTURO",IF($AB756&gt;p_dias_backlog_max,"BACKLOG","MES CORRIENTE")))</f>
        <v/>
      </c>
      <c r="AD756" s="3">
        <f>IF($AB756="",FALSE,AND($AB756&gt;p_dias_backlog_min,$AB756&lt;=p_dias_backlog_max))</f>
        <v/>
      </c>
      <c r="AE756" s="6" t="n"/>
      <c r="AF756" s="3">
        <f>IF($AE756="","",IF((IFERROR(INDEX('ASIGNACIONES'!$F$4:$F$339,MATCH($O756&amp;"|"&amp;$R756&amp;"|"&amp;$AE756,'ASIGNACIONES'!$J$4:$J$339,0)),""))=0,"",IFERROR(INDEX('ASIGNACIONES'!$F$4:$F$339,MATCH($O756&amp;"|"&amp;$R756&amp;"|"&amp;$AE756,'ASIGNACIONES'!$J$4:$J$339,0)),"")))</f>
        <v/>
      </c>
      <c r="AG756" s="13">
        <f>IF($AE756="","",SUMIFS('ORDENES'!$M$4:$M$1203,'ORDENES'!$AE$4:$AE$1203,$AE756,'ORDENES'!$O$4:$O$1203,$O756,'ORDENES'!$R$4:$R$1203,$R756))</f>
        <v/>
      </c>
      <c r="AH756" s="13">
        <f>IF($AG756="","",p_factor_productividad*IFERROR(INDEX('ASIGNACIONES'!$I$4:$I$339,MATCH($O756&amp;"|"&amp;$R756&amp;"|"&amp;$AE756,'ASIGNACIONES'!$J$4:$J$339,0)),0)-$AG756)</f>
        <v/>
      </c>
      <c r="AI756" s="10">
        <f>IF($A756="","",IFERROR(INDEX('2_IMPORTAR_EJECUCION'!$F$9:$F$1208,MATCH($AQ756,'2_IMPORTAR_EJECUCION'!$J$9:$J$1208,0)),0))</f>
        <v/>
      </c>
      <c r="AJ756" s="10">
        <f>IF($A756="","",MAX(0,IFERROR(INDEX('2_IMPORTAR_EJECUCION'!$H$9:$H$1208,MATCH($AQ756,'2_IMPORTAR_EJECUCION'!$J$9:$J$1208,0)),0)-$AI756))</f>
        <v/>
      </c>
      <c r="AK756" s="10">
        <f>IF($A756="","",$AI756+$AJ756)</f>
        <v/>
      </c>
      <c r="AL756" s="6" t="n"/>
      <c r="AM756" s="6" t="n"/>
      <c r="AN756" s="6" t="n"/>
      <c r="AO756" s="3">
        <f>IF($AN756="","",HYPERLINK(p_ruta_base_checklists&amp;$AN756,"abrir"))</f>
        <v/>
      </c>
      <c r="AP756" s="6" t="n"/>
      <c r="AQ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IF($A757="","",IFERROR(INDEX('AJUSTES'!$B$4:$B$303,MATCH($AQ757,'AJUSTES'!$A$4:$A$303,0)),IF($K757="","",$K757)))</f>
        <v/>
      </c>
      <c r="N757" s="3">
        <f>IF($A757="","",IFERROR(INDEX('CAT_ESTADOS_ERP'!$B$4:$B$7,MATCH(IFERROR(INDEX('2_IMPORTAR_EJECUCION'!$C$9:$C$1208,MATCH($AQ757,'2_IMPORTAR_EJECUCION'!$J$9:$J$1208,0)),""),'CAT_ESTADOS_ERP'!$A$4:$A$7,0)),"Pendiente"))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J757="","",IFERROR(INDEX('CALENDARIO'!$C$15:$C$214,MATCH(TEXT($J757,"yyyy-mm-dd")&amp;"|"&amp;$V757&amp;"|"&amp;$W757,'CALENDARIO'!$G$15:$G$214,0)),IFERROR(INDEX('CALENDARIO'!$C$15:$C$214,MATCH(TEXT($J757,"yyyy-mm-dd")&amp;"|"&amp;$V757&amp;"|",'CALENDARIO'!$G$15:$G$214,0)),IFERROR(INDEX('CALENDARIO'!$C$15:$C$214,MATCH(TEXT($J757,"yyyy-mm-dd")&amp;"||",'CALENDARIO'!$G$15:$G$214,0)),INDEX(patronHabil,WEEKDAY($J757,2))))))</f>
        <v/>
      </c>
      <c r="T757" s="3">
        <f>IF($I757="","",IFERROR(INDEX('CAT_TIPOS_OT'!$C$4:$C$7,MATCH($I757,'CAT_TIPOS_OT'!$A$4:$A$7,0)),"sin_clasificar"))</f>
        <v/>
      </c>
      <c r="U757" s="3">
        <f>IF($F757="","",IFERROR(INDEX('CAT_CENTROS_COSTO'!$F$4:$F$13,MATCH($F757,'CAT_CENTROS_COSTO'!$A$4:$A$13,0)),"(sin catálogo)"))</f>
        <v/>
      </c>
      <c r="V757" s="3">
        <f>IF($F757="","",IFERROR(INDEX('CAT_CENTROS_COSTO'!$D$4:$D$13,MATCH($F757,'CAT_CENTROS_COSTO'!$A$4:$A$13,0)),"(sin catálogo)"))</f>
        <v/>
      </c>
      <c r="W757" s="3">
        <f>IF($F757="","",IF((IFERROR(INDEX('CAT_CENTROS_COSTO'!$E$4:$E$13,MATCH($F757,'CAT_CENTROS_COSTO'!$A$4:$A$13,0)),""))&lt;&gt;"",IFERROR(INDEX('CAT_CENTROS_COSTO'!$E$4:$E$13,MATCH($F757,'CAT_CENTROS_COSTO'!$A$4:$A$13,0)),""),$V757))</f>
        <v/>
      </c>
      <c r="X757" s="3">
        <f>IF($F757="","",IFERROR(INDEX('CAT_CENTROS_COSTO'!$G$4:$G$13,MATCH($F757,'CAT_CENTROS_COSTO'!$A$4:$A$13,0)),"(sin catálogo)"))</f>
        <v/>
      </c>
      <c r="Y757" s="3">
        <f>IF($G757="","",IFERROR(INDEX('CAT_PUESTOS'!$B$4:$B$8,MATCH($G757,'CAT_PUESTOS'!$A$4:$A$8,0)),"(sin catálogo)"))</f>
        <v/>
      </c>
      <c r="Z757" s="3">
        <f>IF($H757="","",IFERROR(INDEX('CAT_ACTIVIDADES'!$B$4:$B$8,MATCH($H757,'CAT_ACTIVIDADES'!$A$4:$A$8,0)),"(sin catálogo)"))</f>
        <v/>
      </c>
      <c r="AA757" s="12">
        <f>IF($J757="","",TODAY()-$J757)</f>
        <v/>
      </c>
      <c r="AB757" s="12">
        <f>IF($J757="","",IF($J757&lt;=TODAY(),COUNTIFS(cal_fechas,"&gt;="&amp;$J757,cal_fechas,"&lt;"&amp;TODAY(),cal_habil,"sí"),-COUNTIFS(cal_fechas,"&gt;="&amp;TODAY(),cal_fechas,"&lt;"&amp;$J757,cal_habil,"sí")))</f>
        <v/>
      </c>
      <c r="AC757" s="3">
        <f>IF($AB757="","",IF($AB757&lt;0,"FUTURO",IF($AB757&gt;p_dias_backlog_max,"BACKLOG","MES CORRIENTE")))</f>
        <v/>
      </c>
      <c r="AD757" s="3">
        <f>IF($AB757="",FALSE,AND($AB757&gt;p_dias_backlog_min,$AB757&lt;=p_dias_backlog_max))</f>
        <v/>
      </c>
      <c r="AE757" s="6" t="n"/>
      <c r="AF757" s="3">
        <f>IF($AE757="","",IF((IFERROR(INDEX('ASIGNACIONES'!$F$4:$F$339,MATCH($O757&amp;"|"&amp;$R757&amp;"|"&amp;$AE757,'ASIGNACIONES'!$J$4:$J$339,0)),""))=0,"",IFERROR(INDEX('ASIGNACIONES'!$F$4:$F$339,MATCH($O757&amp;"|"&amp;$R757&amp;"|"&amp;$AE757,'ASIGNACIONES'!$J$4:$J$339,0)),"")))</f>
        <v/>
      </c>
      <c r="AG757" s="13">
        <f>IF($AE757="","",SUMIFS('ORDENES'!$M$4:$M$1203,'ORDENES'!$AE$4:$AE$1203,$AE757,'ORDENES'!$O$4:$O$1203,$O757,'ORDENES'!$R$4:$R$1203,$R757))</f>
        <v/>
      </c>
      <c r="AH757" s="13">
        <f>IF($AG757="","",p_factor_productividad*IFERROR(INDEX('ASIGNACIONES'!$I$4:$I$339,MATCH($O757&amp;"|"&amp;$R757&amp;"|"&amp;$AE757,'ASIGNACIONES'!$J$4:$J$339,0)),0)-$AG757)</f>
        <v/>
      </c>
      <c r="AI757" s="10">
        <f>IF($A757="","",IFERROR(INDEX('2_IMPORTAR_EJECUCION'!$F$9:$F$1208,MATCH($AQ757,'2_IMPORTAR_EJECUCION'!$J$9:$J$1208,0)),0))</f>
        <v/>
      </c>
      <c r="AJ757" s="10">
        <f>IF($A757="","",MAX(0,IFERROR(INDEX('2_IMPORTAR_EJECUCION'!$H$9:$H$1208,MATCH($AQ757,'2_IMPORTAR_EJECUCION'!$J$9:$J$1208,0)),0)-$AI757))</f>
        <v/>
      </c>
      <c r="AK757" s="10">
        <f>IF($A757="","",$AI757+$AJ757)</f>
        <v/>
      </c>
      <c r="AL757" s="6" t="n"/>
      <c r="AM757" s="6" t="n"/>
      <c r="AN757" s="6" t="n"/>
      <c r="AO757" s="3">
        <f>IF($AN757="","",HYPERLINK(p_ruta_base_checklists&amp;$AN757,"abrir"))</f>
        <v/>
      </c>
      <c r="AP757" s="6" t="n"/>
      <c r="AQ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IF($A758="","",IFERROR(INDEX('AJUSTES'!$B$4:$B$303,MATCH($AQ758,'AJUSTES'!$A$4:$A$303,0)),IF($K758="","",$K758)))</f>
        <v/>
      </c>
      <c r="N758" s="3">
        <f>IF($A758="","",IFERROR(INDEX('CAT_ESTADOS_ERP'!$B$4:$B$7,MATCH(IFERROR(INDEX('2_IMPORTAR_EJECUCION'!$C$9:$C$1208,MATCH($AQ758,'2_IMPORTAR_EJECUCION'!$J$9:$J$1208,0)),""),'CAT_ESTADOS_ERP'!$A$4:$A$7,0)),"Pendiente"))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J758="","",IFERROR(INDEX('CALENDARIO'!$C$15:$C$214,MATCH(TEXT($J758,"yyyy-mm-dd")&amp;"|"&amp;$V758&amp;"|"&amp;$W758,'CALENDARIO'!$G$15:$G$214,0)),IFERROR(INDEX('CALENDARIO'!$C$15:$C$214,MATCH(TEXT($J758,"yyyy-mm-dd")&amp;"|"&amp;$V758&amp;"|",'CALENDARIO'!$G$15:$G$214,0)),IFERROR(INDEX('CALENDARIO'!$C$15:$C$214,MATCH(TEXT($J758,"yyyy-mm-dd")&amp;"||",'CALENDARIO'!$G$15:$G$214,0)),INDEX(patronHabil,WEEKDAY($J758,2))))))</f>
        <v/>
      </c>
      <c r="T758" s="3">
        <f>IF($I758="","",IFERROR(INDEX('CAT_TIPOS_OT'!$C$4:$C$7,MATCH($I758,'CAT_TIPOS_OT'!$A$4:$A$7,0)),"sin_clasificar"))</f>
        <v/>
      </c>
      <c r="U758" s="3">
        <f>IF($F758="","",IFERROR(INDEX('CAT_CENTROS_COSTO'!$F$4:$F$13,MATCH($F758,'CAT_CENTROS_COSTO'!$A$4:$A$13,0)),"(sin catálogo)"))</f>
        <v/>
      </c>
      <c r="V758" s="3">
        <f>IF($F758="","",IFERROR(INDEX('CAT_CENTROS_COSTO'!$D$4:$D$13,MATCH($F758,'CAT_CENTROS_COSTO'!$A$4:$A$13,0)),"(sin catálogo)"))</f>
        <v/>
      </c>
      <c r="W758" s="3">
        <f>IF($F758="","",IF((IFERROR(INDEX('CAT_CENTROS_COSTO'!$E$4:$E$13,MATCH($F758,'CAT_CENTROS_COSTO'!$A$4:$A$13,0)),""))&lt;&gt;"",IFERROR(INDEX('CAT_CENTROS_COSTO'!$E$4:$E$13,MATCH($F758,'CAT_CENTROS_COSTO'!$A$4:$A$13,0)),""),$V758))</f>
        <v/>
      </c>
      <c r="X758" s="3">
        <f>IF($F758="","",IFERROR(INDEX('CAT_CENTROS_COSTO'!$G$4:$G$13,MATCH($F758,'CAT_CENTROS_COSTO'!$A$4:$A$13,0)),"(sin catálogo)"))</f>
        <v/>
      </c>
      <c r="Y758" s="3">
        <f>IF($G758="","",IFERROR(INDEX('CAT_PUESTOS'!$B$4:$B$8,MATCH($G758,'CAT_PUESTOS'!$A$4:$A$8,0)),"(sin catálogo)"))</f>
        <v/>
      </c>
      <c r="Z758" s="3">
        <f>IF($H758="","",IFERROR(INDEX('CAT_ACTIVIDADES'!$B$4:$B$8,MATCH($H758,'CAT_ACTIVIDADES'!$A$4:$A$8,0)),"(sin catálogo)"))</f>
        <v/>
      </c>
      <c r="AA758" s="12">
        <f>IF($J758="","",TODAY()-$J758)</f>
        <v/>
      </c>
      <c r="AB758" s="12">
        <f>IF($J758="","",IF($J758&lt;=TODAY(),COUNTIFS(cal_fechas,"&gt;="&amp;$J758,cal_fechas,"&lt;"&amp;TODAY(),cal_habil,"sí"),-COUNTIFS(cal_fechas,"&gt;="&amp;TODAY(),cal_fechas,"&lt;"&amp;$J758,cal_habil,"sí")))</f>
        <v/>
      </c>
      <c r="AC758" s="3">
        <f>IF($AB758="","",IF($AB758&lt;0,"FUTURO",IF($AB758&gt;p_dias_backlog_max,"BACKLOG","MES CORRIENTE")))</f>
        <v/>
      </c>
      <c r="AD758" s="3">
        <f>IF($AB758="",FALSE,AND($AB758&gt;p_dias_backlog_min,$AB758&lt;=p_dias_backlog_max))</f>
        <v/>
      </c>
      <c r="AE758" s="6" t="n"/>
      <c r="AF758" s="3">
        <f>IF($AE758="","",IF((IFERROR(INDEX('ASIGNACIONES'!$F$4:$F$339,MATCH($O758&amp;"|"&amp;$R758&amp;"|"&amp;$AE758,'ASIGNACIONES'!$J$4:$J$339,0)),""))=0,"",IFERROR(INDEX('ASIGNACIONES'!$F$4:$F$339,MATCH($O758&amp;"|"&amp;$R758&amp;"|"&amp;$AE758,'ASIGNACIONES'!$J$4:$J$339,0)),"")))</f>
        <v/>
      </c>
      <c r="AG758" s="13">
        <f>IF($AE758="","",SUMIFS('ORDENES'!$M$4:$M$1203,'ORDENES'!$AE$4:$AE$1203,$AE758,'ORDENES'!$O$4:$O$1203,$O758,'ORDENES'!$R$4:$R$1203,$R758))</f>
        <v/>
      </c>
      <c r="AH758" s="13">
        <f>IF($AG758="","",p_factor_productividad*IFERROR(INDEX('ASIGNACIONES'!$I$4:$I$339,MATCH($O758&amp;"|"&amp;$R758&amp;"|"&amp;$AE758,'ASIGNACIONES'!$J$4:$J$339,0)),0)-$AG758)</f>
        <v/>
      </c>
      <c r="AI758" s="10">
        <f>IF($A758="","",IFERROR(INDEX('2_IMPORTAR_EJECUCION'!$F$9:$F$1208,MATCH($AQ758,'2_IMPORTAR_EJECUCION'!$J$9:$J$1208,0)),0))</f>
        <v/>
      </c>
      <c r="AJ758" s="10">
        <f>IF($A758="","",MAX(0,IFERROR(INDEX('2_IMPORTAR_EJECUCION'!$H$9:$H$1208,MATCH($AQ758,'2_IMPORTAR_EJECUCION'!$J$9:$J$1208,0)),0)-$AI758))</f>
        <v/>
      </c>
      <c r="AK758" s="10">
        <f>IF($A758="","",$AI758+$AJ758)</f>
        <v/>
      </c>
      <c r="AL758" s="6" t="n"/>
      <c r="AM758" s="6" t="n"/>
      <c r="AN758" s="6" t="n"/>
      <c r="AO758" s="3">
        <f>IF($AN758="","",HYPERLINK(p_ruta_base_checklists&amp;$AN758,"abrir"))</f>
        <v/>
      </c>
      <c r="AP758" s="6" t="n"/>
      <c r="AQ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IF($A759="","",IFERROR(INDEX('AJUSTES'!$B$4:$B$303,MATCH($AQ759,'AJUSTES'!$A$4:$A$303,0)),IF($K759="","",$K759)))</f>
        <v/>
      </c>
      <c r="N759" s="3">
        <f>IF($A759="","",IFERROR(INDEX('CAT_ESTADOS_ERP'!$B$4:$B$7,MATCH(IFERROR(INDEX('2_IMPORTAR_EJECUCION'!$C$9:$C$1208,MATCH($AQ759,'2_IMPORTAR_EJECUCION'!$J$9:$J$1208,0)),""),'CAT_ESTADOS_ERP'!$A$4:$A$7,0)),"Pendiente"))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J759="","",IFERROR(INDEX('CALENDARIO'!$C$15:$C$214,MATCH(TEXT($J759,"yyyy-mm-dd")&amp;"|"&amp;$V759&amp;"|"&amp;$W759,'CALENDARIO'!$G$15:$G$214,0)),IFERROR(INDEX('CALENDARIO'!$C$15:$C$214,MATCH(TEXT($J759,"yyyy-mm-dd")&amp;"|"&amp;$V759&amp;"|",'CALENDARIO'!$G$15:$G$214,0)),IFERROR(INDEX('CALENDARIO'!$C$15:$C$214,MATCH(TEXT($J759,"yyyy-mm-dd")&amp;"||",'CALENDARIO'!$G$15:$G$214,0)),INDEX(patronHabil,WEEKDAY($J759,2))))))</f>
        <v/>
      </c>
      <c r="T759" s="3">
        <f>IF($I759="","",IFERROR(INDEX('CAT_TIPOS_OT'!$C$4:$C$7,MATCH($I759,'CAT_TIPOS_OT'!$A$4:$A$7,0)),"sin_clasificar"))</f>
        <v/>
      </c>
      <c r="U759" s="3">
        <f>IF($F759="","",IFERROR(INDEX('CAT_CENTROS_COSTO'!$F$4:$F$13,MATCH($F759,'CAT_CENTROS_COSTO'!$A$4:$A$13,0)),"(sin catálogo)"))</f>
        <v/>
      </c>
      <c r="V759" s="3">
        <f>IF($F759="","",IFERROR(INDEX('CAT_CENTROS_COSTO'!$D$4:$D$13,MATCH($F759,'CAT_CENTROS_COSTO'!$A$4:$A$13,0)),"(sin catálogo)"))</f>
        <v/>
      </c>
      <c r="W759" s="3">
        <f>IF($F759="","",IF((IFERROR(INDEX('CAT_CENTROS_COSTO'!$E$4:$E$13,MATCH($F759,'CAT_CENTROS_COSTO'!$A$4:$A$13,0)),""))&lt;&gt;"",IFERROR(INDEX('CAT_CENTROS_COSTO'!$E$4:$E$13,MATCH($F759,'CAT_CENTROS_COSTO'!$A$4:$A$13,0)),""),$V759))</f>
        <v/>
      </c>
      <c r="X759" s="3">
        <f>IF($F759="","",IFERROR(INDEX('CAT_CENTROS_COSTO'!$G$4:$G$13,MATCH($F759,'CAT_CENTROS_COSTO'!$A$4:$A$13,0)),"(sin catálogo)"))</f>
        <v/>
      </c>
      <c r="Y759" s="3">
        <f>IF($G759="","",IFERROR(INDEX('CAT_PUESTOS'!$B$4:$B$8,MATCH($G759,'CAT_PUESTOS'!$A$4:$A$8,0)),"(sin catálogo)"))</f>
        <v/>
      </c>
      <c r="Z759" s="3">
        <f>IF($H759="","",IFERROR(INDEX('CAT_ACTIVIDADES'!$B$4:$B$8,MATCH($H759,'CAT_ACTIVIDADES'!$A$4:$A$8,0)),"(sin catálogo)"))</f>
        <v/>
      </c>
      <c r="AA759" s="12">
        <f>IF($J759="","",TODAY()-$J759)</f>
        <v/>
      </c>
      <c r="AB759" s="12">
        <f>IF($J759="","",IF($J759&lt;=TODAY(),COUNTIFS(cal_fechas,"&gt;="&amp;$J759,cal_fechas,"&lt;"&amp;TODAY(),cal_habil,"sí"),-COUNTIFS(cal_fechas,"&gt;="&amp;TODAY(),cal_fechas,"&lt;"&amp;$J759,cal_habil,"sí")))</f>
        <v/>
      </c>
      <c r="AC759" s="3">
        <f>IF($AB759="","",IF($AB759&lt;0,"FUTURO",IF($AB759&gt;p_dias_backlog_max,"BACKLOG","MES CORRIENTE")))</f>
        <v/>
      </c>
      <c r="AD759" s="3">
        <f>IF($AB759="",FALSE,AND($AB759&gt;p_dias_backlog_min,$AB759&lt;=p_dias_backlog_max))</f>
        <v/>
      </c>
      <c r="AE759" s="6" t="n"/>
      <c r="AF759" s="3">
        <f>IF($AE759="","",IF((IFERROR(INDEX('ASIGNACIONES'!$F$4:$F$339,MATCH($O759&amp;"|"&amp;$R759&amp;"|"&amp;$AE759,'ASIGNACIONES'!$J$4:$J$339,0)),""))=0,"",IFERROR(INDEX('ASIGNACIONES'!$F$4:$F$339,MATCH($O759&amp;"|"&amp;$R759&amp;"|"&amp;$AE759,'ASIGNACIONES'!$J$4:$J$339,0)),"")))</f>
        <v/>
      </c>
      <c r="AG759" s="13">
        <f>IF($AE759="","",SUMIFS('ORDENES'!$M$4:$M$1203,'ORDENES'!$AE$4:$AE$1203,$AE759,'ORDENES'!$O$4:$O$1203,$O759,'ORDENES'!$R$4:$R$1203,$R759))</f>
        <v/>
      </c>
      <c r="AH759" s="13">
        <f>IF($AG759="","",p_factor_productividad*IFERROR(INDEX('ASIGNACIONES'!$I$4:$I$339,MATCH($O759&amp;"|"&amp;$R759&amp;"|"&amp;$AE759,'ASIGNACIONES'!$J$4:$J$339,0)),0)-$AG759)</f>
        <v/>
      </c>
      <c r="AI759" s="10">
        <f>IF($A759="","",IFERROR(INDEX('2_IMPORTAR_EJECUCION'!$F$9:$F$1208,MATCH($AQ759,'2_IMPORTAR_EJECUCION'!$J$9:$J$1208,0)),0))</f>
        <v/>
      </c>
      <c r="AJ759" s="10">
        <f>IF($A759="","",MAX(0,IFERROR(INDEX('2_IMPORTAR_EJECUCION'!$H$9:$H$1208,MATCH($AQ759,'2_IMPORTAR_EJECUCION'!$J$9:$J$1208,0)),0)-$AI759))</f>
        <v/>
      </c>
      <c r="AK759" s="10">
        <f>IF($A759="","",$AI759+$AJ759)</f>
        <v/>
      </c>
      <c r="AL759" s="6" t="n"/>
      <c r="AM759" s="6" t="n"/>
      <c r="AN759" s="6" t="n"/>
      <c r="AO759" s="3">
        <f>IF($AN759="","",HYPERLINK(p_ruta_base_checklists&amp;$AN759,"abrir"))</f>
        <v/>
      </c>
      <c r="AP759" s="6" t="n"/>
      <c r="AQ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IF($A760="","",IFERROR(INDEX('AJUSTES'!$B$4:$B$303,MATCH($AQ760,'AJUSTES'!$A$4:$A$303,0)),IF($K760="","",$K760)))</f>
        <v/>
      </c>
      <c r="N760" s="3">
        <f>IF($A760="","",IFERROR(INDEX('CAT_ESTADOS_ERP'!$B$4:$B$7,MATCH(IFERROR(INDEX('2_IMPORTAR_EJECUCION'!$C$9:$C$1208,MATCH($AQ760,'2_IMPORTAR_EJECUCION'!$J$9:$J$1208,0)),""),'CAT_ESTADOS_ERP'!$A$4:$A$7,0)),"Pendiente"))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J760="","",IFERROR(INDEX('CALENDARIO'!$C$15:$C$214,MATCH(TEXT($J760,"yyyy-mm-dd")&amp;"|"&amp;$V760&amp;"|"&amp;$W760,'CALENDARIO'!$G$15:$G$214,0)),IFERROR(INDEX('CALENDARIO'!$C$15:$C$214,MATCH(TEXT($J760,"yyyy-mm-dd")&amp;"|"&amp;$V760&amp;"|",'CALENDARIO'!$G$15:$G$214,0)),IFERROR(INDEX('CALENDARIO'!$C$15:$C$214,MATCH(TEXT($J760,"yyyy-mm-dd")&amp;"||",'CALENDARIO'!$G$15:$G$214,0)),INDEX(patronHabil,WEEKDAY($J760,2))))))</f>
        <v/>
      </c>
      <c r="T760" s="3">
        <f>IF($I760="","",IFERROR(INDEX('CAT_TIPOS_OT'!$C$4:$C$7,MATCH($I760,'CAT_TIPOS_OT'!$A$4:$A$7,0)),"sin_clasificar"))</f>
        <v/>
      </c>
      <c r="U760" s="3">
        <f>IF($F760="","",IFERROR(INDEX('CAT_CENTROS_COSTO'!$F$4:$F$13,MATCH($F760,'CAT_CENTROS_COSTO'!$A$4:$A$13,0)),"(sin catálogo)"))</f>
        <v/>
      </c>
      <c r="V760" s="3">
        <f>IF($F760="","",IFERROR(INDEX('CAT_CENTROS_COSTO'!$D$4:$D$13,MATCH($F760,'CAT_CENTROS_COSTO'!$A$4:$A$13,0)),"(sin catálogo)"))</f>
        <v/>
      </c>
      <c r="W760" s="3">
        <f>IF($F760="","",IF((IFERROR(INDEX('CAT_CENTROS_COSTO'!$E$4:$E$13,MATCH($F760,'CAT_CENTROS_COSTO'!$A$4:$A$13,0)),""))&lt;&gt;"",IFERROR(INDEX('CAT_CENTROS_COSTO'!$E$4:$E$13,MATCH($F760,'CAT_CENTROS_COSTO'!$A$4:$A$13,0)),""),$V760))</f>
        <v/>
      </c>
      <c r="X760" s="3">
        <f>IF($F760="","",IFERROR(INDEX('CAT_CENTROS_COSTO'!$G$4:$G$13,MATCH($F760,'CAT_CENTROS_COSTO'!$A$4:$A$13,0)),"(sin catálogo)"))</f>
        <v/>
      </c>
      <c r="Y760" s="3">
        <f>IF($G760="","",IFERROR(INDEX('CAT_PUESTOS'!$B$4:$B$8,MATCH($G760,'CAT_PUESTOS'!$A$4:$A$8,0)),"(sin catálogo)"))</f>
        <v/>
      </c>
      <c r="Z760" s="3">
        <f>IF($H760="","",IFERROR(INDEX('CAT_ACTIVIDADES'!$B$4:$B$8,MATCH($H760,'CAT_ACTIVIDADES'!$A$4:$A$8,0)),"(sin catálogo)"))</f>
        <v/>
      </c>
      <c r="AA760" s="12">
        <f>IF($J760="","",TODAY()-$J760)</f>
        <v/>
      </c>
      <c r="AB760" s="12">
        <f>IF($J760="","",IF($J760&lt;=TODAY(),COUNTIFS(cal_fechas,"&gt;="&amp;$J760,cal_fechas,"&lt;"&amp;TODAY(),cal_habil,"sí"),-COUNTIFS(cal_fechas,"&gt;="&amp;TODAY(),cal_fechas,"&lt;"&amp;$J760,cal_habil,"sí")))</f>
        <v/>
      </c>
      <c r="AC760" s="3">
        <f>IF($AB760="","",IF($AB760&lt;0,"FUTURO",IF($AB760&gt;p_dias_backlog_max,"BACKLOG","MES CORRIENTE")))</f>
        <v/>
      </c>
      <c r="AD760" s="3">
        <f>IF($AB760="",FALSE,AND($AB760&gt;p_dias_backlog_min,$AB760&lt;=p_dias_backlog_max))</f>
        <v/>
      </c>
      <c r="AE760" s="6" t="n"/>
      <c r="AF760" s="3">
        <f>IF($AE760="","",IF((IFERROR(INDEX('ASIGNACIONES'!$F$4:$F$339,MATCH($O760&amp;"|"&amp;$R760&amp;"|"&amp;$AE760,'ASIGNACIONES'!$J$4:$J$339,0)),""))=0,"",IFERROR(INDEX('ASIGNACIONES'!$F$4:$F$339,MATCH($O760&amp;"|"&amp;$R760&amp;"|"&amp;$AE760,'ASIGNACIONES'!$J$4:$J$339,0)),"")))</f>
        <v/>
      </c>
      <c r="AG760" s="13">
        <f>IF($AE760="","",SUMIFS('ORDENES'!$M$4:$M$1203,'ORDENES'!$AE$4:$AE$1203,$AE760,'ORDENES'!$O$4:$O$1203,$O760,'ORDENES'!$R$4:$R$1203,$R760))</f>
        <v/>
      </c>
      <c r="AH760" s="13">
        <f>IF($AG760="","",p_factor_productividad*IFERROR(INDEX('ASIGNACIONES'!$I$4:$I$339,MATCH($O760&amp;"|"&amp;$R760&amp;"|"&amp;$AE760,'ASIGNACIONES'!$J$4:$J$339,0)),0)-$AG760)</f>
        <v/>
      </c>
      <c r="AI760" s="10">
        <f>IF($A760="","",IFERROR(INDEX('2_IMPORTAR_EJECUCION'!$F$9:$F$1208,MATCH($AQ760,'2_IMPORTAR_EJECUCION'!$J$9:$J$1208,0)),0))</f>
        <v/>
      </c>
      <c r="AJ760" s="10">
        <f>IF($A760="","",MAX(0,IFERROR(INDEX('2_IMPORTAR_EJECUCION'!$H$9:$H$1208,MATCH($AQ760,'2_IMPORTAR_EJECUCION'!$J$9:$J$1208,0)),0)-$AI760))</f>
        <v/>
      </c>
      <c r="AK760" s="10">
        <f>IF($A760="","",$AI760+$AJ760)</f>
        <v/>
      </c>
      <c r="AL760" s="6" t="n"/>
      <c r="AM760" s="6" t="n"/>
      <c r="AN760" s="6" t="n"/>
      <c r="AO760" s="3">
        <f>IF($AN760="","",HYPERLINK(p_ruta_base_checklists&amp;$AN760,"abrir"))</f>
        <v/>
      </c>
      <c r="AP760" s="6" t="n"/>
      <c r="AQ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IF($A761="","",IFERROR(INDEX('AJUSTES'!$B$4:$B$303,MATCH($AQ761,'AJUSTES'!$A$4:$A$303,0)),IF($K761="","",$K761)))</f>
        <v/>
      </c>
      <c r="N761" s="3">
        <f>IF($A761="","",IFERROR(INDEX('CAT_ESTADOS_ERP'!$B$4:$B$7,MATCH(IFERROR(INDEX('2_IMPORTAR_EJECUCION'!$C$9:$C$1208,MATCH($AQ761,'2_IMPORTAR_EJECUCION'!$J$9:$J$1208,0)),""),'CAT_ESTADOS_ERP'!$A$4:$A$7,0)),"Pendiente"))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J761="","",IFERROR(INDEX('CALENDARIO'!$C$15:$C$214,MATCH(TEXT($J761,"yyyy-mm-dd")&amp;"|"&amp;$V761&amp;"|"&amp;$W761,'CALENDARIO'!$G$15:$G$214,0)),IFERROR(INDEX('CALENDARIO'!$C$15:$C$214,MATCH(TEXT($J761,"yyyy-mm-dd")&amp;"|"&amp;$V761&amp;"|",'CALENDARIO'!$G$15:$G$214,0)),IFERROR(INDEX('CALENDARIO'!$C$15:$C$214,MATCH(TEXT($J761,"yyyy-mm-dd")&amp;"||",'CALENDARIO'!$G$15:$G$214,0)),INDEX(patronHabil,WEEKDAY($J761,2))))))</f>
        <v/>
      </c>
      <c r="T761" s="3">
        <f>IF($I761="","",IFERROR(INDEX('CAT_TIPOS_OT'!$C$4:$C$7,MATCH($I761,'CAT_TIPOS_OT'!$A$4:$A$7,0)),"sin_clasificar"))</f>
        <v/>
      </c>
      <c r="U761" s="3">
        <f>IF($F761="","",IFERROR(INDEX('CAT_CENTROS_COSTO'!$F$4:$F$13,MATCH($F761,'CAT_CENTROS_COSTO'!$A$4:$A$13,0)),"(sin catálogo)"))</f>
        <v/>
      </c>
      <c r="V761" s="3">
        <f>IF($F761="","",IFERROR(INDEX('CAT_CENTROS_COSTO'!$D$4:$D$13,MATCH($F761,'CAT_CENTROS_COSTO'!$A$4:$A$13,0)),"(sin catálogo)"))</f>
        <v/>
      </c>
      <c r="W761" s="3">
        <f>IF($F761="","",IF((IFERROR(INDEX('CAT_CENTROS_COSTO'!$E$4:$E$13,MATCH($F761,'CAT_CENTROS_COSTO'!$A$4:$A$13,0)),""))&lt;&gt;"",IFERROR(INDEX('CAT_CENTROS_COSTO'!$E$4:$E$13,MATCH($F761,'CAT_CENTROS_COSTO'!$A$4:$A$13,0)),""),$V761))</f>
        <v/>
      </c>
      <c r="X761" s="3">
        <f>IF($F761="","",IFERROR(INDEX('CAT_CENTROS_COSTO'!$G$4:$G$13,MATCH($F761,'CAT_CENTROS_COSTO'!$A$4:$A$13,0)),"(sin catálogo)"))</f>
        <v/>
      </c>
      <c r="Y761" s="3">
        <f>IF($G761="","",IFERROR(INDEX('CAT_PUESTOS'!$B$4:$B$8,MATCH($G761,'CAT_PUESTOS'!$A$4:$A$8,0)),"(sin catálogo)"))</f>
        <v/>
      </c>
      <c r="Z761" s="3">
        <f>IF($H761="","",IFERROR(INDEX('CAT_ACTIVIDADES'!$B$4:$B$8,MATCH($H761,'CAT_ACTIVIDADES'!$A$4:$A$8,0)),"(sin catálogo)"))</f>
        <v/>
      </c>
      <c r="AA761" s="12">
        <f>IF($J761="","",TODAY()-$J761)</f>
        <v/>
      </c>
      <c r="AB761" s="12">
        <f>IF($J761="","",IF($J761&lt;=TODAY(),COUNTIFS(cal_fechas,"&gt;="&amp;$J761,cal_fechas,"&lt;"&amp;TODAY(),cal_habil,"sí"),-COUNTIFS(cal_fechas,"&gt;="&amp;TODAY(),cal_fechas,"&lt;"&amp;$J761,cal_habil,"sí")))</f>
        <v/>
      </c>
      <c r="AC761" s="3">
        <f>IF($AB761="","",IF($AB761&lt;0,"FUTURO",IF($AB761&gt;p_dias_backlog_max,"BACKLOG","MES CORRIENTE")))</f>
        <v/>
      </c>
      <c r="AD761" s="3">
        <f>IF($AB761="",FALSE,AND($AB761&gt;p_dias_backlog_min,$AB761&lt;=p_dias_backlog_max))</f>
        <v/>
      </c>
      <c r="AE761" s="6" t="n"/>
      <c r="AF761" s="3">
        <f>IF($AE761="","",IF((IFERROR(INDEX('ASIGNACIONES'!$F$4:$F$339,MATCH($O761&amp;"|"&amp;$R761&amp;"|"&amp;$AE761,'ASIGNACIONES'!$J$4:$J$339,0)),""))=0,"",IFERROR(INDEX('ASIGNACIONES'!$F$4:$F$339,MATCH($O761&amp;"|"&amp;$R761&amp;"|"&amp;$AE761,'ASIGNACIONES'!$J$4:$J$339,0)),"")))</f>
        <v/>
      </c>
      <c r="AG761" s="13">
        <f>IF($AE761="","",SUMIFS('ORDENES'!$M$4:$M$1203,'ORDENES'!$AE$4:$AE$1203,$AE761,'ORDENES'!$O$4:$O$1203,$O761,'ORDENES'!$R$4:$R$1203,$R761))</f>
        <v/>
      </c>
      <c r="AH761" s="13">
        <f>IF($AG761="","",p_factor_productividad*IFERROR(INDEX('ASIGNACIONES'!$I$4:$I$339,MATCH($O761&amp;"|"&amp;$R761&amp;"|"&amp;$AE761,'ASIGNACIONES'!$J$4:$J$339,0)),0)-$AG761)</f>
        <v/>
      </c>
      <c r="AI761" s="10">
        <f>IF($A761="","",IFERROR(INDEX('2_IMPORTAR_EJECUCION'!$F$9:$F$1208,MATCH($AQ761,'2_IMPORTAR_EJECUCION'!$J$9:$J$1208,0)),0))</f>
        <v/>
      </c>
      <c r="AJ761" s="10">
        <f>IF($A761="","",MAX(0,IFERROR(INDEX('2_IMPORTAR_EJECUCION'!$H$9:$H$1208,MATCH($AQ761,'2_IMPORTAR_EJECUCION'!$J$9:$J$1208,0)),0)-$AI761))</f>
        <v/>
      </c>
      <c r="AK761" s="10">
        <f>IF($A761="","",$AI761+$AJ761)</f>
        <v/>
      </c>
      <c r="AL761" s="6" t="n"/>
      <c r="AM761" s="6" t="n"/>
      <c r="AN761" s="6" t="n"/>
      <c r="AO761" s="3">
        <f>IF($AN761="","",HYPERLINK(p_ruta_base_checklists&amp;$AN761,"abrir"))</f>
        <v/>
      </c>
      <c r="AP761" s="6" t="n"/>
      <c r="AQ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IF($A762="","",IFERROR(INDEX('AJUSTES'!$B$4:$B$303,MATCH($AQ762,'AJUSTES'!$A$4:$A$303,0)),IF($K762="","",$K762)))</f>
        <v/>
      </c>
      <c r="N762" s="3">
        <f>IF($A762="","",IFERROR(INDEX('CAT_ESTADOS_ERP'!$B$4:$B$7,MATCH(IFERROR(INDEX('2_IMPORTAR_EJECUCION'!$C$9:$C$1208,MATCH($AQ762,'2_IMPORTAR_EJECUCION'!$J$9:$J$1208,0)),""),'CAT_ESTADOS_ERP'!$A$4:$A$7,0)),"Pendiente"))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J762="","",IFERROR(INDEX('CALENDARIO'!$C$15:$C$214,MATCH(TEXT($J762,"yyyy-mm-dd")&amp;"|"&amp;$V762&amp;"|"&amp;$W762,'CALENDARIO'!$G$15:$G$214,0)),IFERROR(INDEX('CALENDARIO'!$C$15:$C$214,MATCH(TEXT($J762,"yyyy-mm-dd")&amp;"|"&amp;$V762&amp;"|",'CALENDARIO'!$G$15:$G$214,0)),IFERROR(INDEX('CALENDARIO'!$C$15:$C$214,MATCH(TEXT($J762,"yyyy-mm-dd")&amp;"||",'CALENDARIO'!$G$15:$G$214,0)),INDEX(patronHabil,WEEKDAY($J762,2))))))</f>
        <v/>
      </c>
      <c r="T762" s="3">
        <f>IF($I762="","",IFERROR(INDEX('CAT_TIPOS_OT'!$C$4:$C$7,MATCH($I762,'CAT_TIPOS_OT'!$A$4:$A$7,0)),"sin_clasificar"))</f>
        <v/>
      </c>
      <c r="U762" s="3">
        <f>IF($F762="","",IFERROR(INDEX('CAT_CENTROS_COSTO'!$F$4:$F$13,MATCH($F762,'CAT_CENTROS_COSTO'!$A$4:$A$13,0)),"(sin catálogo)"))</f>
        <v/>
      </c>
      <c r="V762" s="3">
        <f>IF($F762="","",IFERROR(INDEX('CAT_CENTROS_COSTO'!$D$4:$D$13,MATCH($F762,'CAT_CENTROS_COSTO'!$A$4:$A$13,0)),"(sin catálogo)"))</f>
        <v/>
      </c>
      <c r="W762" s="3">
        <f>IF($F762="","",IF((IFERROR(INDEX('CAT_CENTROS_COSTO'!$E$4:$E$13,MATCH($F762,'CAT_CENTROS_COSTO'!$A$4:$A$13,0)),""))&lt;&gt;"",IFERROR(INDEX('CAT_CENTROS_COSTO'!$E$4:$E$13,MATCH($F762,'CAT_CENTROS_COSTO'!$A$4:$A$13,0)),""),$V762))</f>
        <v/>
      </c>
      <c r="X762" s="3">
        <f>IF($F762="","",IFERROR(INDEX('CAT_CENTROS_COSTO'!$G$4:$G$13,MATCH($F762,'CAT_CENTROS_COSTO'!$A$4:$A$13,0)),"(sin catálogo)"))</f>
        <v/>
      </c>
      <c r="Y762" s="3">
        <f>IF($G762="","",IFERROR(INDEX('CAT_PUESTOS'!$B$4:$B$8,MATCH($G762,'CAT_PUESTOS'!$A$4:$A$8,0)),"(sin catálogo)"))</f>
        <v/>
      </c>
      <c r="Z762" s="3">
        <f>IF($H762="","",IFERROR(INDEX('CAT_ACTIVIDADES'!$B$4:$B$8,MATCH($H762,'CAT_ACTIVIDADES'!$A$4:$A$8,0)),"(sin catálogo)"))</f>
        <v/>
      </c>
      <c r="AA762" s="12">
        <f>IF($J762="","",TODAY()-$J762)</f>
        <v/>
      </c>
      <c r="AB762" s="12">
        <f>IF($J762="","",IF($J762&lt;=TODAY(),COUNTIFS(cal_fechas,"&gt;="&amp;$J762,cal_fechas,"&lt;"&amp;TODAY(),cal_habil,"sí"),-COUNTIFS(cal_fechas,"&gt;="&amp;TODAY(),cal_fechas,"&lt;"&amp;$J762,cal_habil,"sí")))</f>
        <v/>
      </c>
      <c r="AC762" s="3">
        <f>IF($AB762="","",IF($AB762&lt;0,"FUTURO",IF($AB762&gt;p_dias_backlog_max,"BACKLOG","MES CORRIENTE")))</f>
        <v/>
      </c>
      <c r="AD762" s="3">
        <f>IF($AB762="",FALSE,AND($AB762&gt;p_dias_backlog_min,$AB762&lt;=p_dias_backlog_max))</f>
        <v/>
      </c>
      <c r="AE762" s="6" t="n"/>
      <c r="AF762" s="3">
        <f>IF($AE762="","",IF((IFERROR(INDEX('ASIGNACIONES'!$F$4:$F$339,MATCH($O762&amp;"|"&amp;$R762&amp;"|"&amp;$AE762,'ASIGNACIONES'!$J$4:$J$339,0)),""))=0,"",IFERROR(INDEX('ASIGNACIONES'!$F$4:$F$339,MATCH($O762&amp;"|"&amp;$R762&amp;"|"&amp;$AE762,'ASIGNACIONES'!$J$4:$J$339,0)),"")))</f>
        <v/>
      </c>
      <c r="AG762" s="13">
        <f>IF($AE762="","",SUMIFS('ORDENES'!$M$4:$M$1203,'ORDENES'!$AE$4:$AE$1203,$AE762,'ORDENES'!$O$4:$O$1203,$O762,'ORDENES'!$R$4:$R$1203,$R762))</f>
        <v/>
      </c>
      <c r="AH762" s="13">
        <f>IF($AG762="","",p_factor_productividad*IFERROR(INDEX('ASIGNACIONES'!$I$4:$I$339,MATCH($O762&amp;"|"&amp;$R762&amp;"|"&amp;$AE762,'ASIGNACIONES'!$J$4:$J$339,0)),0)-$AG762)</f>
        <v/>
      </c>
      <c r="AI762" s="10">
        <f>IF($A762="","",IFERROR(INDEX('2_IMPORTAR_EJECUCION'!$F$9:$F$1208,MATCH($AQ762,'2_IMPORTAR_EJECUCION'!$J$9:$J$1208,0)),0))</f>
        <v/>
      </c>
      <c r="AJ762" s="10">
        <f>IF($A762="","",MAX(0,IFERROR(INDEX('2_IMPORTAR_EJECUCION'!$H$9:$H$1208,MATCH($AQ762,'2_IMPORTAR_EJECUCION'!$J$9:$J$1208,0)),0)-$AI762))</f>
        <v/>
      </c>
      <c r="AK762" s="10">
        <f>IF($A762="","",$AI762+$AJ762)</f>
        <v/>
      </c>
      <c r="AL762" s="6" t="n"/>
      <c r="AM762" s="6" t="n"/>
      <c r="AN762" s="6" t="n"/>
      <c r="AO762" s="3">
        <f>IF($AN762="","",HYPERLINK(p_ruta_base_checklists&amp;$AN762,"abrir"))</f>
        <v/>
      </c>
      <c r="AP762" s="6" t="n"/>
      <c r="AQ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IF($A763="","",IFERROR(INDEX('AJUSTES'!$B$4:$B$303,MATCH($AQ763,'AJUSTES'!$A$4:$A$303,0)),IF($K763="","",$K763)))</f>
        <v/>
      </c>
      <c r="N763" s="3">
        <f>IF($A763="","",IFERROR(INDEX('CAT_ESTADOS_ERP'!$B$4:$B$7,MATCH(IFERROR(INDEX('2_IMPORTAR_EJECUCION'!$C$9:$C$1208,MATCH($AQ763,'2_IMPORTAR_EJECUCION'!$J$9:$J$1208,0)),""),'CAT_ESTADOS_ERP'!$A$4:$A$7,0)),"Pendiente"))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J763="","",IFERROR(INDEX('CALENDARIO'!$C$15:$C$214,MATCH(TEXT($J763,"yyyy-mm-dd")&amp;"|"&amp;$V763&amp;"|"&amp;$W763,'CALENDARIO'!$G$15:$G$214,0)),IFERROR(INDEX('CALENDARIO'!$C$15:$C$214,MATCH(TEXT($J763,"yyyy-mm-dd")&amp;"|"&amp;$V763&amp;"|",'CALENDARIO'!$G$15:$G$214,0)),IFERROR(INDEX('CALENDARIO'!$C$15:$C$214,MATCH(TEXT($J763,"yyyy-mm-dd")&amp;"||",'CALENDARIO'!$G$15:$G$214,0)),INDEX(patronHabil,WEEKDAY($J763,2))))))</f>
        <v/>
      </c>
      <c r="T763" s="3">
        <f>IF($I763="","",IFERROR(INDEX('CAT_TIPOS_OT'!$C$4:$C$7,MATCH($I763,'CAT_TIPOS_OT'!$A$4:$A$7,0)),"sin_clasificar"))</f>
        <v/>
      </c>
      <c r="U763" s="3">
        <f>IF($F763="","",IFERROR(INDEX('CAT_CENTROS_COSTO'!$F$4:$F$13,MATCH($F763,'CAT_CENTROS_COSTO'!$A$4:$A$13,0)),"(sin catálogo)"))</f>
        <v/>
      </c>
      <c r="V763" s="3">
        <f>IF($F763="","",IFERROR(INDEX('CAT_CENTROS_COSTO'!$D$4:$D$13,MATCH($F763,'CAT_CENTROS_COSTO'!$A$4:$A$13,0)),"(sin catálogo)"))</f>
        <v/>
      </c>
      <c r="W763" s="3">
        <f>IF($F763="","",IF((IFERROR(INDEX('CAT_CENTROS_COSTO'!$E$4:$E$13,MATCH($F763,'CAT_CENTROS_COSTO'!$A$4:$A$13,0)),""))&lt;&gt;"",IFERROR(INDEX('CAT_CENTROS_COSTO'!$E$4:$E$13,MATCH($F763,'CAT_CENTROS_COSTO'!$A$4:$A$13,0)),""),$V763))</f>
        <v/>
      </c>
      <c r="X763" s="3">
        <f>IF($F763="","",IFERROR(INDEX('CAT_CENTROS_COSTO'!$G$4:$G$13,MATCH($F763,'CAT_CENTROS_COSTO'!$A$4:$A$13,0)),"(sin catálogo)"))</f>
        <v/>
      </c>
      <c r="Y763" s="3">
        <f>IF($G763="","",IFERROR(INDEX('CAT_PUESTOS'!$B$4:$B$8,MATCH($G763,'CAT_PUESTOS'!$A$4:$A$8,0)),"(sin catálogo)"))</f>
        <v/>
      </c>
      <c r="Z763" s="3">
        <f>IF($H763="","",IFERROR(INDEX('CAT_ACTIVIDADES'!$B$4:$B$8,MATCH($H763,'CAT_ACTIVIDADES'!$A$4:$A$8,0)),"(sin catálogo)"))</f>
        <v/>
      </c>
      <c r="AA763" s="12">
        <f>IF($J763="","",TODAY()-$J763)</f>
        <v/>
      </c>
      <c r="AB763" s="12">
        <f>IF($J763="","",IF($J763&lt;=TODAY(),COUNTIFS(cal_fechas,"&gt;="&amp;$J763,cal_fechas,"&lt;"&amp;TODAY(),cal_habil,"sí"),-COUNTIFS(cal_fechas,"&gt;="&amp;TODAY(),cal_fechas,"&lt;"&amp;$J763,cal_habil,"sí")))</f>
        <v/>
      </c>
      <c r="AC763" s="3">
        <f>IF($AB763="","",IF($AB763&lt;0,"FUTURO",IF($AB763&gt;p_dias_backlog_max,"BACKLOG","MES CORRIENTE")))</f>
        <v/>
      </c>
      <c r="AD763" s="3">
        <f>IF($AB763="",FALSE,AND($AB763&gt;p_dias_backlog_min,$AB763&lt;=p_dias_backlog_max))</f>
        <v/>
      </c>
      <c r="AE763" s="6" t="n"/>
      <c r="AF763" s="3">
        <f>IF($AE763="","",IF((IFERROR(INDEX('ASIGNACIONES'!$F$4:$F$339,MATCH($O763&amp;"|"&amp;$R763&amp;"|"&amp;$AE763,'ASIGNACIONES'!$J$4:$J$339,0)),""))=0,"",IFERROR(INDEX('ASIGNACIONES'!$F$4:$F$339,MATCH($O763&amp;"|"&amp;$R763&amp;"|"&amp;$AE763,'ASIGNACIONES'!$J$4:$J$339,0)),"")))</f>
        <v/>
      </c>
      <c r="AG763" s="13">
        <f>IF($AE763="","",SUMIFS('ORDENES'!$M$4:$M$1203,'ORDENES'!$AE$4:$AE$1203,$AE763,'ORDENES'!$O$4:$O$1203,$O763,'ORDENES'!$R$4:$R$1203,$R763))</f>
        <v/>
      </c>
      <c r="AH763" s="13">
        <f>IF($AG763="","",p_factor_productividad*IFERROR(INDEX('ASIGNACIONES'!$I$4:$I$339,MATCH($O763&amp;"|"&amp;$R763&amp;"|"&amp;$AE763,'ASIGNACIONES'!$J$4:$J$339,0)),0)-$AG763)</f>
        <v/>
      </c>
      <c r="AI763" s="10">
        <f>IF($A763="","",IFERROR(INDEX('2_IMPORTAR_EJECUCION'!$F$9:$F$1208,MATCH($AQ763,'2_IMPORTAR_EJECUCION'!$J$9:$J$1208,0)),0))</f>
        <v/>
      </c>
      <c r="AJ763" s="10">
        <f>IF($A763="","",MAX(0,IFERROR(INDEX('2_IMPORTAR_EJECUCION'!$H$9:$H$1208,MATCH($AQ763,'2_IMPORTAR_EJECUCION'!$J$9:$J$1208,0)),0)-$AI763))</f>
        <v/>
      </c>
      <c r="AK763" s="10">
        <f>IF($A763="","",$AI763+$AJ763)</f>
        <v/>
      </c>
      <c r="AL763" s="6" t="n"/>
      <c r="AM763" s="6" t="n"/>
      <c r="AN763" s="6" t="n"/>
      <c r="AO763" s="3">
        <f>IF($AN763="","",HYPERLINK(p_ruta_base_checklists&amp;$AN763,"abrir"))</f>
        <v/>
      </c>
      <c r="AP763" s="6" t="n"/>
      <c r="AQ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IF($A764="","",IFERROR(INDEX('AJUSTES'!$B$4:$B$303,MATCH($AQ764,'AJUSTES'!$A$4:$A$303,0)),IF($K764="","",$K764)))</f>
        <v/>
      </c>
      <c r="N764" s="3">
        <f>IF($A764="","",IFERROR(INDEX('CAT_ESTADOS_ERP'!$B$4:$B$7,MATCH(IFERROR(INDEX('2_IMPORTAR_EJECUCION'!$C$9:$C$1208,MATCH($AQ764,'2_IMPORTAR_EJECUCION'!$J$9:$J$1208,0)),""),'CAT_ESTADOS_ERP'!$A$4:$A$7,0)),"Pendiente"))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J764="","",IFERROR(INDEX('CALENDARIO'!$C$15:$C$214,MATCH(TEXT($J764,"yyyy-mm-dd")&amp;"|"&amp;$V764&amp;"|"&amp;$W764,'CALENDARIO'!$G$15:$G$214,0)),IFERROR(INDEX('CALENDARIO'!$C$15:$C$214,MATCH(TEXT($J764,"yyyy-mm-dd")&amp;"|"&amp;$V764&amp;"|",'CALENDARIO'!$G$15:$G$214,0)),IFERROR(INDEX('CALENDARIO'!$C$15:$C$214,MATCH(TEXT($J764,"yyyy-mm-dd")&amp;"||",'CALENDARIO'!$G$15:$G$214,0)),INDEX(patronHabil,WEEKDAY($J764,2))))))</f>
        <v/>
      </c>
      <c r="T764" s="3">
        <f>IF($I764="","",IFERROR(INDEX('CAT_TIPOS_OT'!$C$4:$C$7,MATCH($I764,'CAT_TIPOS_OT'!$A$4:$A$7,0)),"sin_clasificar"))</f>
        <v/>
      </c>
      <c r="U764" s="3">
        <f>IF($F764="","",IFERROR(INDEX('CAT_CENTROS_COSTO'!$F$4:$F$13,MATCH($F764,'CAT_CENTROS_COSTO'!$A$4:$A$13,0)),"(sin catálogo)"))</f>
        <v/>
      </c>
      <c r="V764" s="3">
        <f>IF($F764="","",IFERROR(INDEX('CAT_CENTROS_COSTO'!$D$4:$D$13,MATCH($F764,'CAT_CENTROS_COSTO'!$A$4:$A$13,0)),"(sin catálogo)"))</f>
        <v/>
      </c>
      <c r="W764" s="3">
        <f>IF($F764="","",IF((IFERROR(INDEX('CAT_CENTROS_COSTO'!$E$4:$E$13,MATCH($F764,'CAT_CENTROS_COSTO'!$A$4:$A$13,0)),""))&lt;&gt;"",IFERROR(INDEX('CAT_CENTROS_COSTO'!$E$4:$E$13,MATCH($F764,'CAT_CENTROS_COSTO'!$A$4:$A$13,0)),""),$V764))</f>
        <v/>
      </c>
      <c r="X764" s="3">
        <f>IF($F764="","",IFERROR(INDEX('CAT_CENTROS_COSTO'!$G$4:$G$13,MATCH($F764,'CAT_CENTROS_COSTO'!$A$4:$A$13,0)),"(sin catálogo)"))</f>
        <v/>
      </c>
      <c r="Y764" s="3">
        <f>IF($G764="","",IFERROR(INDEX('CAT_PUESTOS'!$B$4:$B$8,MATCH($G764,'CAT_PUESTOS'!$A$4:$A$8,0)),"(sin catálogo)"))</f>
        <v/>
      </c>
      <c r="Z764" s="3">
        <f>IF($H764="","",IFERROR(INDEX('CAT_ACTIVIDADES'!$B$4:$B$8,MATCH($H764,'CAT_ACTIVIDADES'!$A$4:$A$8,0)),"(sin catálogo)"))</f>
        <v/>
      </c>
      <c r="AA764" s="12">
        <f>IF($J764="","",TODAY()-$J764)</f>
        <v/>
      </c>
      <c r="AB764" s="12">
        <f>IF($J764="","",IF($J764&lt;=TODAY(),COUNTIFS(cal_fechas,"&gt;="&amp;$J764,cal_fechas,"&lt;"&amp;TODAY(),cal_habil,"sí"),-COUNTIFS(cal_fechas,"&gt;="&amp;TODAY(),cal_fechas,"&lt;"&amp;$J764,cal_habil,"sí")))</f>
        <v/>
      </c>
      <c r="AC764" s="3">
        <f>IF($AB764="","",IF($AB764&lt;0,"FUTURO",IF($AB764&gt;p_dias_backlog_max,"BACKLOG","MES CORRIENTE")))</f>
        <v/>
      </c>
      <c r="AD764" s="3">
        <f>IF($AB764="",FALSE,AND($AB764&gt;p_dias_backlog_min,$AB764&lt;=p_dias_backlog_max))</f>
        <v/>
      </c>
      <c r="AE764" s="6" t="n"/>
      <c r="AF764" s="3">
        <f>IF($AE764="","",IF((IFERROR(INDEX('ASIGNACIONES'!$F$4:$F$339,MATCH($O764&amp;"|"&amp;$R764&amp;"|"&amp;$AE764,'ASIGNACIONES'!$J$4:$J$339,0)),""))=0,"",IFERROR(INDEX('ASIGNACIONES'!$F$4:$F$339,MATCH($O764&amp;"|"&amp;$R764&amp;"|"&amp;$AE764,'ASIGNACIONES'!$J$4:$J$339,0)),"")))</f>
        <v/>
      </c>
      <c r="AG764" s="13">
        <f>IF($AE764="","",SUMIFS('ORDENES'!$M$4:$M$1203,'ORDENES'!$AE$4:$AE$1203,$AE764,'ORDENES'!$O$4:$O$1203,$O764,'ORDENES'!$R$4:$R$1203,$R764))</f>
        <v/>
      </c>
      <c r="AH764" s="13">
        <f>IF($AG764="","",p_factor_productividad*IFERROR(INDEX('ASIGNACIONES'!$I$4:$I$339,MATCH($O764&amp;"|"&amp;$R764&amp;"|"&amp;$AE764,'ASIGNACIONES'!$J$4:$J$339,0)),0)-$AG764)</f>
        <v/>
      </c>
      <c r="AI764" s="10">
        <f>IF($A764="","",IFERROR(INDEX('2_IMPORTAR_EJECUCION'!$F$9:$F$1208,MATCH($AQ764,'2_IMPORTAR_EJECUCION'!$J$9:$J$1208,0)),0))</f>
        <v/>
      </c>
      <c r="AJ764" s="10">
        <f>IF($A764="","",MAX(0,IFERROR(INDEX('2_IMPORTAR_EJECUCION'!$H$9:$H$1208,MATCH($AQ764,'2_IMPORTAR_EJECUCION'!$J$9:$J$1208,0)),0)-$AI764))</f>
        <v/>
      </c>
      <c r="AK764" s="10">
        <f>IF($A764="","",$AI764+$AJ764)</f>
        <v/>
      </c>
      <c r="AL764" s="6" t="n"/>
      <c r="AM764" s="6" t="n"/>
      <c r="AN764" s="6" t="n"/>
      <c r="AO764" s="3">
        <f>IF($AN764="","",HYPERLINK(p_ruta_base_checklists&amp;$AN764,"abrir"))</f>
        <v/>
      </c>
      <c r="AP764" s="6" t="n"/>
      <c r="AQ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IF($A765="","",IFERROR(INDEX('AJUSTES'!$B$4:$B$303,MATCH($AQ765,'AJUSTES'!$A$4:$A$303,0)),IF($K765="","",$K765)))</f>
        <v/>
      </c>
      <c r="N765" s="3">
        <f>IF($A765="","",IFERROR(INDEX('CAT_ESTADOS_ERP'!$B$4:$B$7,MATCH(IFERROR(INDEX('2_IMPORTAR_EJECUCION'!$C$9:$C$1208,MATCH($AQ765,'2_IMPORTAR_EJECUCION'!$J$9:$J$1208,0)),""),'CAT_ESTADOS_ERP'!$A$4:$A$7,0)),"Pendiente"))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J765="","",IFERROR(INDEX('CALENDARIO'!$C$15:$C$214,MATCH(TEXT($J765,"yyyy-mm-dd")&amp;"|"&amp;$V765&amp;"|"&amp;$W765,'CALENDARIO'!$G$15:$G$214,0)),IFERROR(INDEX('CALENDARIO'!$C$15:$C$214,MATCH(TEXT($J765,"yyyy-mm-dd")&amp;"|"&amp;$V765&amp;"|",'CALENDARIO'!$G$15:$G$214,0)),IFERROR(INDEX('CALENDARIO'!$C$15:$C$214,MATCH(TEXT($J765,"yyyy-mm-dd")&amp;"||",'CALENDARIO'!$G$15:$G$214,0)),INDEX(patronHabil,WEEKDAY($J765,2))))))</f>
        <v/>
      </c>
      <c r="T765" s="3">
        <f>IF($I765="","",IFERROR(INDEX('CAT_TIPOS_OT'!$C$4:$C$7,MATCH($I765,'CAT_TIPOS_OT'!$A$4:$A$7,0)),"sin_clasificar"))</f>
        <v/>
      </c>
      <c r="U765" s="3">
        <f>IF($F765="","",IFERROR(INDEX('CAT_CENTROS_COSTO'!$F$4:$F$13,MATCH($F765,'CAT_CENTROS_COSTO'!$A$4:$A$13,0)),"(sin catálogo)"))</f>
        <v/>
      </c>
      <c r="V765" s="3">
        <f>IF($F765="","",IFERROR(INDEX('CAT_CENTROS_COSTO'!$D$4:$D$13,MATCH($F765,'CAT_CENTROS_COSTO'!$A$4:$A$13,0)),"(sin catálogo)"))</f>
        <v/>
      </c>
      <c r="W765" s="3">
        <f>IF($F765="","",IF((IFERROR(INDEX('CAT_CENTROS_COSTO'!$E$4:$E$13,MATCH($F765,'CAT_CENTROS_COSTO'!$A$4:$A$13,0)),""))&lt;&gt;"",IFERROR(INDEX('CAT_CENTROS_COSTO'!$E$4:$E$13,MATCH($F765,'CAT_CENTROS_COSTO'!$A$4:$A$13,0)),""),$V765))</f>
        <v/>
      </c>
      <c r="X765" s="3">
        <f>IF($F765="","",IFERROR(INDEX('CAT_CENTROS_COSTO'!$G$4:$G$13,MATCH($F765,'CAT_CENTROS_COSTO'!$A$4:$A$13,0)),"(sin catálogo)"))</f>
        <v/>
      </c>
      <c r="Y765" s="3">
        <f>IF($G765="","",IFERROR(INDEX('CAT_PUESTOS'!$B$4:$B$8,MATCH($G765,'CAT_PUESTOS'!$A$4:$A$8,0)),"(sin catálogo)"))</f>
        <v/>
      </c>
      <c r="Z765" s="3">
        <f>IF($H765="","",IFERROR(INDEX('CAT_ACTIVIDADES'!$B$4:$B$8,MATCH($H765,'CAT_ACTIVIDADES'!$A$4:$A$8,0)),"(sin catálogo)"))</f>
        <v/>
      </c>
      <c r="AA765" s="12">
        <f>IF($J765="","",TODAY()-$J765)</f>
        <v/>
      </c>
      <c r="AB765" s="12">
        <f>IF($J765="","",IF($J765&lt;=TODAY(),COUNTIFS(cal_fechas,"&gt;="&amp;$J765,cal_fechas,"&lt;"&amp;TODAY(),cal_habil,"sí"),-COUNTIFS(cal_fechas,"&gt;="&amp;TODAY(),cal_fechas,"&lt;"&amp;$J765,cal_habil,"sí")))</f>
        <v/>
      </c>
      <c r="AC765" s="3">
        <f>IF($AB765="","",IF($AB765&lt;0,"FUTURO",IF($AB765&gt;p_dias_backlog_max,"BACKLOG","MES CORRIENTE")))</f>
        <v/>
      </c>
      <c r="AD765" s="3">
        <f>IF($AB765="",FALSE,AND($AB765&gt;p_dias_backlog_min,$AB765&lt;=p_dias_backlog_max))</f>
        <v/>
      </c>
      <c r="AE765" s="6" t="n"/>
      <c r="AF765" s="3">
        <f>IF($AE765="","",IF((IFERROR(INDEX('ASIGNACIONES'!$F$4:$F$339,MATCH($O765&amp;"|"&amp;$R765&amp;"|"&amp;$AE765,'ASIGNACIONES'!$J$4:$J$339,0)),""))=0,"",IFERROR(INDEX('ASIGNACIONES'!$F$4:$F$339,MATCH($O765&amp;"|"&amp;$R765&amp;"|"&amp;$AE765,'ASIGNACIONES'!$J$4:$J$339,0)),"")))</f>
        <v/>
      </c>
      <c r="AG765" s="13">
        <f>IF($AE765="","",SUMIFS('ORDENES'!$M$4:$M$1203,'ORDENES'!$AE$4:$AE$1203,$AE765,'ORDENES'!$O$4:$O$1203,$O765,'ORDENES'!$R$4:$R$1203,$R765))</f>
        <v/>
      </c>
      <c r="AH765" s="13">
        <f>IF($AG765="","",p_factor_productividad*IFERROR(INDEX('ASIGNACIONES'!$I$4:$I$339,MATCH($O765&amp;"|"&amp;$R765&amp;"|"&amp;$AE765,'ASIGNACIONES'!$J$4:$J$339,0)),0)-$AG765)</f>
        <v/>
      </c>
      <c r="AI765" s="10">
        <f>IF($A765="","",IFERROR(INDEX('2_IMPORTAR_EJECUCION'!$F$9:$F$1208,MATCH($AQ765,'2_IMPORTAR_EJECUCION'!$J$9:$J$1208,0)),0))</f>
        <v/>
      </c>
      <c r="AJ765" s="10">
        <f>IF($A765="","",MAX(0,IFERROR(INDEX('2_IMPORTAR_EJECUCION'!$H$9:$H$1208,MATCH($AQ765,'2_IMPORTAR_EJECUCION'!$J$9:$J$1208,0)),0)-$AI765))</f>
        <v/>
      </c>
      <c r="AK765" s="10">
        <f>IF($A765="","",$AI765+$AJ765)</f>
        <v/>
      </c>
      <c r="AL765" s="6" t="n"/>
      <c r="AM765" s="6" t="n"/>
      <c r="AN765" s="6" t="n"/>
      <c r="AO765" s="3">
        <f>IF($AN765="","",HYPERLINK(p_ruta_base_checklists&amp;$AN765,"abrir"))</f>
        <v/>
      </c>
      <c r="AP765" s="6" t="n"/>
      <c r="AQ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IF($A766="","",IFERROR(INDEX('AJUSTES'!$B$4:$B$303,MATCH($AQ766,'AJUSTES'!$A$4:$A$303,0)),IF($K766="","",$K766)))</f>
        <v/>
      </c>
      <c r="N766" s="3">
        <f>IF($A766="","",IFERROR(INDEX('CAT_ESTADOS_ERP'!$B$4:$B$7,MATCH(IFERROR(INDEX('2_IMPORTAR_EJECUCION'!$C$9:$C$1208,MATCH($AQ766,'2_IMPORTAR_EJECUCION'!$J$9:$J$1208,0)),""),'CAT_ESTADOS_ERP'!$A$4:$A$7,0)),"Pendiente"))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J766="","",IFERROR(INDEX('CALENDARIO'!$C$15:$C$214,MATCH(TEXT($J766,"yyyy-mm-dd")&amp;"|"&amp;$V766&amp;"|"&amp;$W766,'CALENDARIO'!$G$15:$G$214,0)),IFERROR(INDEX('CALENDARIO'!$C$15:$C$214,MATCH(TEXT($J766,"yyyy-mm-dd")&amp;"|"&amp;$V766&amp;"|",'CALENDARIO'!$G$15:$G$214,0)),IFERROR(INDEX('CALENDARIO'!$C$15:$C$214,MATCH(TEXT($J766,"yyyy-mm-dd")&amp;"||",'CALENDARIO'!$G$15:$G$214,0)),INDEX(patronHabil,WEEKDAY($J766,2))))))</f>
        <v/>
      </c>
      <c r="T766" s="3">
        <f>IF($I766="","",IFERROR(INDEX('CAT_TIPOS_OT'!$C$4:$C$7,MATCH($I766,'CAT_TIPOS_OT'!$A$4:$A$7,0)),"sin_clasificar"))</f>
        <v/>
      </c>
      <c r="U766" s="3">
        <f>IF($F766="","",IFERROR(INDEX('CAT_CENTROS_COSTO'!$F$4:$F$13,MATCH($F766,'CAT_CENTROS_COSTO'!$A$4:$A$13,0)),"(sin catálogo)"))</f>
        <v/>
      </c>
      <c r="V766" s="3">
        <f>IF($F766="","",IFERROR(INDEX('CAT_CENTROS_COSTO'!$D$4:$D$13,MATCH($F766,'CAT_CENTROS_COSTO'!$A$4:$A$13,0)),"(sin catálogo)"))</f>
        <v/>
      </c>
      <c r="W766" s="3">
        <f>IF($F766="","",IF((IFERROR(INDEX('CAT_CENTROS_COSTO'!$E$4:$E$13,MATCH($F766,'CAT_CENTROS_COSTO'!$A$4:$A$13,0)),""))&lt;&gt;"",IFERROR(INDEX('CAT_CENTROS_COSTO'!$E$4:$E$13,MATCH($F766,'CAT_CENTROS_COSTO'!$A$4:$A$13,0)),""),$V766))</f>
        <v/>
      </c>
      <c r="X766" s="3">
        <f>IF($F766="","",IFERROR(INDEX('CAT_CENTROS_COSTO'!$G$4:$G$13,MATCH($F766,'CAT_CENTROS_COSTO'!$A$4:$A$13,0)),"(sin catálogo)"))</f>
        <v/>
      </c>
      <c r="Y766" s="3">
        <f>IF($G766="","",IFERROR(INDEX('CAT_PUESTOS'!$B$4:$B$8,MATCH($G766,'CAT_PUESTOS'!$A$4:$A$8,0)),"(sin catálogo)"))</f>
        <v/>
      </c>
      <c r="Z766" s="3">
        <f>IF($H766="","",IFERROR(INDEX('CAT_ACTIVIDADES'!$B$4:$B$8,MATCH($H766,'CAT_ACTIVIDADES'!$A$4:$A$8,0)),"(sin catálogo)"))</f>
        <v/>
      </c>
      <c r="AA766" s="12">
        <f>IF($J766="","",TODAY()-$J766)</f>
        <v/>
      </c>
      <c r="AB766" s="12">
        <f>IF($J766="","",IF($J766&lt;=TODAY(),COUNTIFS(cal_fechas,"&gt;="&amp;$J766,cal_fechas,"&lt;"&amp;TODAY(),cal_habil,"sí"),-COUNTIFS(cal_fechas,"&gt;="&amp;TODAY(),cal_fechas,"&lt;"&amp;$J766,cal_habil,"sí")))</f>
        <v/>
      </c>
      <c r="AC766" s="3">
        <f>IF($AB766="","",IF($AB766&lt;0,"FUTURO",IF($AB766&gt;p_dias_backlog_max,"BACKLOG","MES CORRIENTE")))</f>
        <v/>
      </c>
      <c r="AD766" s="3">
        <f>IF($AB766="",FALSE,AND($AB766&gt;p_dias_backlog_min,$AB766&lt;=p_dias_backlog_max))</f>
        <v/>
      </c>
      <c r="AE766" s="6" t="n"/>
      <c r="AF766" s="3">
        <f>IF($AE766="","",IF((IFERROR(INDEX('ASIGNACIONES'!$F$4:$F$339,MATCH($O766&amp;"|"&amp;$R766&amp;"|"&amp;$AE766,'ASIGNACIONES'!$J$4:$J$339,0)),""))=0,"",IFERROR(INDEX('ASIGNACIONES'!$F$4:$F$339,MATCH($O766&amp;"|"&amp;$R766&amp;"|"&amp;$AE766,'ASIGNACIONES'!$J$4:$J$339,0)),"")))</f>
        <v/>
      </c>
      <c r="AG766" s="13">
        <f>IF($AE766="","",SUMIFS('ORDENES'!$M$4:$M$1203,'ORDENES'!$AE$4:$AE$1203,$AE766,'ORDENES'!$O$4:$O$1203,$O766,'ORDENES'!$R$4:$R$1203,$R766))</f>
        <v/>
      </c>
      <c r="AH766" s="13">
        <f>IF($AG766="","",p_factor_productividad*IFERROR(INDEX('ASIGNACIONES'!$I$4:$I$339,MATCH($O766&amp;"|"&amp;$R766&amp;"|"&amp;$AE766,'ASIGNACIONES'!$J$4:$J$339,0)),0)-$AG766)</f>
        <v/>
      </c>
      <c r="AI766" s="10">
        <f>IF($A766="","",IFERROR(INDEX('2_IMPORTAR_EJECUCION'!$F$9:$F$1208,MATCH($AQ766,'2_IMPORTAR_EJECUCION'!$J$9:$J$1208,0)),0))</f>
        <v/>
      </c>
      <c r="AJ766" s="10">
        <f>IF($A766="","",MAX(0,IFERROR(INDEX('2_IMPORTAR_EJECUCION'!$H$9:$H$1208,MATCH($AQ766,'2_IMPORTAR_EJECUCION'!$J$9:$J$1208,0)),0)-$AI766))</f>
        <v/>
      </c>
      <c r="AK766" s="10">
        <f>IF($A766="","",$AI766+$AJ766)</f>
        <v/>
      </c>
      <c r="AL766" s="6" t="n"/>
      <c r="AM766" s="6" t="n"/>
      <c r="AN766" s="6" t="n"/>
      <c r="AO766" s="3">
        <f>IF($AN766="","",HYPERLINK(p_ruta_base_checklists&amp;$AN766,"abrir"))</f>
        <v/>
      </c>
      <c r="AP766" s="6" t="n"/>
      <c r="AQ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IF($A767="","",IFERROR(INDEX('AJUSTES'!$B$4:$B$303,MATCH($AQ767,'AJUSTES'!$A$4:$A$303,0)),IF($K767="","",$K767)))</f>
        <v/>
      </c>
      <c r="N767" s="3">
        <f>IF($A767="","",IFERROR(INDEX('CAT_ESTADOS_ERP'!$B$4:$B$7,MATCH(IFERROR(INDEX('2_IMPORTAR_EJECUCION'!$C$9:$C$1208,MATCH($AQ767,'2_IMPORTAR_EJECUCION'!$J$9:$J$1208,0)),""),'CAT_ESTADOS_ERP'!$A$4:$A$7,0)),"Pendiente"))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J767="","",IFERROR(INDEX('CALENDARIO'!$C$15:$C$214,MATCH(TEXT($J767,"yyyy-mm-dd")&amp;"|"&amp;$V767&amp;"|"&amp;$W767,'CALENDARIO'!$G$15:$G$214,0)),IFERROR(INDEX('CALENDARIO'!$C$15:$C$214,MATCH(TEXT($J767,"yyyy-mm-dd")&amp;"|"&amp;$V767&amp;"|",'CALENDARIO'!$G$15:$G$214,0)),IFERROR(INDEX('CALENDARIO'!$C$15:$C$214,MATCH(TEXT($J767,"yyyy-mm-dd")&amp;"||",'CALENDARIO'!$G$15:$G$214,0)),INDEX(patronHabil,WEEKDAY($J767,2))))))</f>
        <v/>
      </c>
      <c r="T767" s="3">
        <f>IF($I767="","",IFERROR(INDEX('CAT_TIPOS_OT'!$C$4:$C$7,MATCH($I767,'CAT_TIPOS_OT'!$A$4:$A$7,0)),"sin_clasificar"))</f>
        <v/>
      </c>
      <c r="U767" s="3">
        <f>IF($F767="","",IFERROR(INDEX('CAT_CENTROS_COSTO'!$F$4:$F$13,MATCH($F767,'CAT_CENTROS_COSTO'!$A$4:$A$13,0)),"(sin catálogo)"))</f>
        <v/>
      </c>
      <c r="V767" s="3">
        <f>IF($F767="","",IFERROR(INDEX('CAT_CENTROS_COSTO'!$D$4:$D$13,MATCH($F767,'CAT_CENTROS_COSTO'!$A$4:$A$13,0)),"(sin catálogo)"))</f>
        <v/>
      </c>
      <c r="W767" s="3">
        <f>IF($F767="","",IF((IFERROR(INDEX('CAT_CENTROS_COSTO'!$E$4:$E$13,MATCH($F767,'CAT_CENTROS_COSTO'!$A$4:$A$13,0)),""))&lt;&gt;"",IFERROR(INDEX('CAT_CENTROS_COSTO'!$E$4:$E$13,MATCH($F767,'CAT_CENTROS_COSTO'!$A$4:$A$13,0)),""),$V767))</f>
        <v/>
      </c>
      <c r="X767" s="3">
        <f>IF($F767="","",IFERROR(INDEX('CAT_CENTROS_COSTO'!$G$4:$G$13,MATCH($F767,'CAT_CENTROS_COSTO'!$A$4:$A$13,0)),"(sin catálogo)"))</f>
        <v/>
      </c>
      <c r="Y767" s="3">
        <f>IF($G767="","",IFERROR(INDEX('CAT_PUESTOS'!$B$4:$B$8,MATCH($G767,'CAT_PUESTOS'!$A$4:$A$8,0)),"(sin catálogo)"))</f>
        <v/>
      </c>
      <c r="Z767" s="3">
        <f>IF($H767="","",IFERROR(INDEX('CAT_ACTIVIDADES'!$B$4:$B$8,MATCH($H767,'CAT_ACTIVIDADES'!$A$4:$A$8,0)),"(sin catálogo)"))</f>
        <v/>
      </c>
      <c r="AA767" s="12">
        <f>IF($J767="","",TODAY()-$J767)</f>
        <v/>
      </c>
      <c r="AB767" s="12">
        <f>IF($J767="","",IF($J767&lt;=TODAY(),COUNTIFS(cal_fechas,"&gt;="&amp;$J767,cal_fechas,"&lt;"&amp;TODAY(),cal_habil,"sí"),-COUNTIFS(cal_fechas,"&gt;="&amp;TODAY(),cal_fechas,"&lt;"&amp;$J767,cal_habil,"sí")))</f>
        <v/>
      </c>
      <c r="AC767" s="3">
        <f>IF($AB767="","",IF($AB767&lt;0,"FUTURO",IF($AB767&gt;p_dias_backlog_max,"BACKLOG","MES CORRIENTE")))</f>
        <v/>
      </c>
      <c r="AD767" s="3">
        <f>IF($AB767="",FALSE,AND($AB767&gt;p_dias_backlog_min,$AB767&lt;=p_dias_backlog_max))</f>
        <v/>
      </c>
      <c r="AE767" s="6" t="n"/>
      <c r="AF767" s="3">
        <f>IF($AE767="","",IF((IFERROR(INDEX('ASIGNACIONES'!$F$4:$F$339,MATCH($O767&amp;"|"&amp;$R767&amp;"|"&amp;$AE767,'ASIGNACIONES'!$J$4:$J$339,0)),""))=0,"",IFERROR(INDEX('ASIGNACIONES'!$F$4:$F$339,MATCH($O767&amp;"|"&amp;$R767&amp;"|"&amp;$AE767,'ASIGNACIONES'!$J$4:$J$339,0)),"")))</f>
        <v/>
      </c>
      <c r="AG767" s="13">
        <f>IF($AE767="","",SUMIFS('ORDENES'!$M$4:$M$1203,'ORDENES'!$AE$4:$AE$1203,$AE767,'ORDENES'!$O$4:$O$1203,$O767,'ORDENES'!$R$4:$R$1203,$R767))</f>
        <v/>
      </c>
      <c r="AH767" s="13">
        <f>IF($AG767="","",p_factor_productividad*IFERROR(INDEX('ASIGNACIONES'!$I$4:$I$339,MATCH($O767&amp;"|"&amp;$R767&amp;"|"&amp;$AE767,'ASIGNACIONES'!$J$4:$J$339,0)),0)-$AG767)</f>
        <v/>
      </c>
      <c r="AI767" s="10">
        <f>IF($A767="","",IFERROR(INDEX('2_IMPORTAR_EJECUCION'!$F$9:$F$1208,MATCH($AQ767,'2_IMPORTAR_EJECUCION'!$J$9:$J$1208,0)),0))</f>
        <v/>
      </c>
      <c r="AJ767" s="10">
        <f>IF($A767="","",MAX(0,IFERROR(INDEX('2_IMPORTAR_EJECUCION'!$H$9:$H$1208,MATCH($AQ767,'2_IMPORTAR_EJECUCION'!$J$9:$J$1208,0)),0)-$AI767))</f>
        <v/>
      </c>
      <c r="AK767" s="10">
        <f>IF($A767="","",$AI767+$AJ767)</f>
        <v/>
      </c>
      <c r="AL767" s="6" t="n"/>
      <c r="AM767" s="6" t="n"/>
      <c r="AN767" s="6" t="n"/>
      <c r="AO767" s="3">
        <f>IF($AN767="","",HYPERLINK(p_ruta_base_checklists&amp;$AN767,"abrir"))</f>
        <v/>
      </c>
      <c r="AP767" s="6" t="n"/>
      <c r="AQ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IF($A768="","",IFERROR(INDEX('AJUSTES'!$B$4:$B$303,MATCH($AQ768,'AJUSTES'!$A$4:$A$303,0)),IF($K768="","",$K768)))</f>
        <v/>
      </c>
      <c r="N768" s="3">
        <f>IF($A768="","",IFERROR(INDEX('CAT_ESTADOS_ERP'!$B$4:$B$7,MATCH(IFERROR(INDEX('2_IMPORTAR_EJECUCION'!$C$9:$C$1208,MATCH($AQ768,'2_IMPORTAR_EJECUCION'!$J$9:$J$1208,0)),""),'CAT_ESTADOS_ERP'!$A$4:$A$7,0)),"Pendiente"))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J768="","",IFERROR(INDEX('CALENDARIO'!$C$15:$C$214,MATCH(TEXT($J768,"yyyy-mm-dd")&amp;"|"&amp;$V768&amp;"|"&amp;$W768,'CALENDARIO'!$G$15:$G$214,0)),IFERROR(INDEX('CALENDARIO'!$C$15:$C$214,MATCH(TEXT($J768,"yyyy-mm-dd")&amp;"|"&amp;$V768&amp;"|",'CALENDARIO'!$G$15:$G$214,0)),IFERROR(INDEX('CALENDARIO'!$C$15:$C$214,MATCH(TEXT($J768,"yyyy-mm-dd")&amp;"||",'CALENDARIO'!$G$15:$G$214,0)),INDEX(patronHabil,WEEKDAY($J768,2))))))</f>
        <v/>
      </c>
      <c r="T768" s="3">
        <f>IF($I768="","",IFERROR(INDEX('CAT_TIPOS_OT'!$C$4:$C$7,MATCH($I768,'CAT_TIPOS_OT'!$A$4:$A$7,0)),"sin_clasificar"))</f>
        <v/>
      </c>
      <c r="U768" s="3">
        <f>IF($F768="","",IFERROR(INDEX('CAT_CENTROS_COSTO'!$F$4:$F$13,MATCH($F768,'CAT_CENTROS_COSTO'!$A$4:$A$13,0)),"(sin catálogo)"))</f>
        <v/>
      </c>
      <c r="V768" s="3">
        <f>IF($F768="","",IFERROR(INDEX('CAT_CENTROS_COSTO'!$D$4:$D$13,MATCH($F768,'CAT_CENTROS_COSTO'!$A$4:$A$13,0)),"(sin catálogo)"))</f>
        <v/>
      </c>
      <c r="W768" s="3">
        <f>IF($F768="","",IF((IFERROR(INDEX('CAT_CENTROS_COSTO'!$E$4:$E$13,MATCH($F768,'CAT_CENTROS_COSTO'!$A$4:$A$13,0)),""))&lt;&gt;"",IFERROR(INDEX('CAT_CENTROS_COSTO'!$E$4:$E$13,MATCH($F768,'CAT_CENTROS_COSTO'!$A$4:$A$13,0)),""),$V768))</f>
        <v/>
      </c>
      <c r="X768" s="3">
        <f>IF($F768="","",IFERROR(INDEX('CAT_CENTROS_COSTO'!$G$4:$G$13,MATCH($F768,'CAT_CENTROS_COSTO'!$A$4:$A$13,0)),"(sin catálogo)"))</f>
        <v/>
      </c>
      <c r="Y768" s="3">
        <f>IF($G768="","",IFERROR(INDEX('CAT_PUESTOS'!$B$4:$B$8,MATCH($G768,'CAT_PUESTOS'!$A$4:$A$8,0)),"(sin catálogo)"))</f>
        <v/>
      </c>
      <c r="Z768" s="3">
        <f>IF($H768="","",IFERROR(INDEX('CAT_ACTIVIDADES'!$B$4:$B$8,MATCH($H768,'CAT_ACTIVIDADES'!$A$4:$A$8,0)),"(sin catálogo)"))</f>
        <v/>
      </c>
      <c r="AA768" s="12">
        <f>IF($J768="","",TODAY()-$J768)</f>
        <v/>
      </c>
      <c r="AB768" s="12">
        <f>IF($J768="","",IF($J768&lt;=TODAY(),COUNTIFS(cal_fechas,"&gt;="&amp;$J768,cal_fechas,"&lt;"&amp;TODAY(),cal_habil,"sí"),-COUNTIFS(cal_fechas,"&gt;="&amp;TODAY(),cal_fechas,"&lt;"&amp;$J768,cal_habil,"sí")))</f>
        <v/>
      </c>
      <c r="AC768" s="3">
        <f>IF($AB768="","",IF($AB768&lt;0,"FUTURO",IF($AB768&gt;p_dias_backlog_max,"BACKLOG","MES CORRIENTE")))</f>
        <v/>
      </c>
      <c r="AD768" s="3">
        <f>IF($AB768="",FALSE,AND($AB768&gt;p_dias_backlog_min,$AB768&lt;=p_dias_backlog_max))</f>
        <v/>
      </c>
      <c r="AE768" s="6" t="n"/>
      <c r="AF768" s="3">
        <f>IF($AE768="","",IF((IFERROR(INDEX('ASIGNACIONES'!$F$4:$F$339,MATCH($O768&amp;"|"&amp;$R768&amp;"|"&amp;$AE768,'ASIGNACIONES'!$J$4:$J$339,0)),""))=0,"",IFERROR(INDEX('ASIGNACIONES'!$F$4:$F$339,MATCH($O768&amp;"|"&amp;$R768&amp;"|"&amp;$AE768,'ASIGNACIONES'!$J$4:$J$339,0)),"")))</f>
        <v/>
      </c>
      <c r="AG768" s="13">
        <f>IF($AE768="","",SUMIFS('ORDENES'!$M$4:$M$1203,'ORDENES'!$AE$4:$AE$1203,$AE768,'ORDENES'!$O$4:$O$1203,$O768,'ORDENES'!$R$4:$R$1203,$R768))</f>
        <v/>
      </c>
      <c r="AH768" s="13">
        <f>IF($AG768="","",p_factor_productividad*IFERROR(INDEX('ASIGNACIONES'!$I$4:$I$339,MATCH($O768&amp;"|"&amp;$R768&amp;"|"&amp;$AE768,'ASIGNACIONES'!$J$4:$J$339,0)),0)-$AG768)</f>
        <v/>
      </c>
      <c r="AI768" s="10">
        <f>IF($A768="","",IFERROR(INDEX('2_IMPORTAR_EJECUCION'!$F$9:$F$1208,MATCH($AQ768,'2_IMPORTAR_EJECUCION'!$J$9:$J$1208,0)),0))</f>
        <v/>
      </c>
      <c r="AJ768" s="10">
        <f>IF($A768="","",MAX(0,IFERROR(INDEX('2_IMPORTAR_EJECUCION'!$H$9:$H$1208,MATCH($AQ768,'2_IMPORTAR_EJECUCION'!$J$9:$J$1208,0)),0)-$AI768))</f>
        <v/>
      </c>
      <c r="AK768" s="10">
        <f>IF($A768="","",$AI768+$AJ768)</f>
        <v/>
      </c>
      <c r="AL768" s="6" t="n"/>
      <c r="AM768" s="6" t="n"/>
      <c r="AN768" s="6" t="n"/>
      <c r="AO768" s="3">
        <f>IF($AN768="","",HYPERLINK(p_ruta_base_checklists&amp;$AN768,"abrir"))</f>
        <v/>
      </c>
      <c r="AP768" s="6" t="n"/>
      <c r="AQ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IF($A769="","",IFERROR(INDEX('AJUSTES'!$B$4:$B$303,MATCH($AQ769,'AJUSTES'!$A$4:$A$303,0)),IF($K769="","",$K769)))</f>
        <v/>
      </c>
      <c r="N769" s="3">
        <f>IF($A769="","",IFERROR(INDEX('CAT_ESTADOS_ERP'!$B$4:$B$7,MATCH(IFERROR(INDEX('2_IMPORTAR_EJECUCION'!$C$9:$C$1208,MATCH($AQ769,'2_IMPORTAR_EJECUCION'!$J$9:$J$1208,0)),""),'CAT_ESTADOS_ERP'!$A$4:$A$7,0)),"Pendiente"))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J769="","",IFERROR(INDEX('CALENDARIO'!$C$15:$C$214,MATCH(TEXT($J769,"yyyy-mm-dd")&amp;"|"&amp;$V769&amp;"|"&amp;$W769,'CALENDARIO'!$G$15:$G$214,0)),IFERROR(INDEX('CALENDARIO'!$C$15:$C$214,MATCH(TEXT($J769,"yyyy-mm-dd")&amp;"|"&amp;$V769&amp;"|",'CALENDARIO'!$G$15:$G$214,0)),IFERROR(INDEX('CALENDARIO'!$C$15:$C$214,MATCH(TEXT($J769,"yyyy-mm-dd")&amp;"||",'CALENDARIO'!$G$15:$G$214,0)),INDEX(patronHabil,WEEKDAY($J769,2))))))</f>
        <v/>
      </c>
      <c r="T769" s="3">
        <f>IF($I769="","",IFERROR(INDEX('CAT_TIPOS_OT'!$C$4:$C$7,MATCH($I769,'CAT_TIPOS_OT'!$A$4:$A$7,0)),"sin_clasificar"))</f>
        <v/>
      </c>
      <c r="U769" s="3">
        <f>IF($F769="","",IFERROR(INDEX('CAT_CENTROS_COSTO'!$F$4:$F$13,MATCH($F769,'CAT_CENTROS_COSTO'!$A$4:$A$13,0)),"(sin catálogo)"))</f>
        <v/>
      </c>
      <c r="V769" s="3">
        <f>IF($F769="","",IFERROR(INDEX('CAT_CENTROS_COSTO'!$D$4:$D$13,MATCH($F769,'CAT_CENTROS_COSTO'!$A$4:$A$13,0)),"(sin catálogo)"))</f>
        <v/>
      </c>
      <c r="W769" s="3">
        <f>IF($F769="","",IF((IFERROR(INDEX('CAT_CENTROS_COSTO'!$E$4:$E$13,MATCH($F769,'CAT_CENTROS_COSTO'!$A$4:$A$13,0)),""))&lt;&gt;"",IFERROR(INDEX('CAT_CENTROS_COSTO'!$E$4:$E$13,MATCH($F769,'CAT_CENTROS_COSTO'!$A$4:$A$13,0)),""),$V769))</f>
        <v/>
      </c>
      <c r="X769" s="3">
        <f>IF($F769="","",IFERROR(INDEX('CAT_CENTROS_COSTO'!$G$4:$G$13,MATCH($F769,'CAT_CENTROS_COSTO'!$A$4:$A$13,0)),"(sin catálogo)"))</f>
        <v/>
      </c>
      <c r="Y769" s="3">
        <f>IF($G769="","",IFERROR(INDEX('CAT_PUESTOS'!$B$4:$B$8,MATCH($G769,'CAT_PUESTOS'!$A$4:$A$8,0)),"(sin catálogo)"))</f>
        <v/>
      </c>
      <c r="Z769" s="3">
        <f>IF($H769="","",IFERROR(INDEX('CAT_ACTIVIDADES'!$B$4:$B$8,MATCH($H769,'CAT_ACTIVIDADES'!$A$4:$A$8,0)),"(sin catálogo)"))</f>
        <v/>
      </c>
      <c r="AA769" s="12">
        <f>IF($J769="","",TODAY()-$J769)</f>
        <v/>
      </c>
      <c r="AB769" s="12">
        <f>IF($J769="","",IF($J769&lt;=TODAY(),COUNTIFS(cal_fechas,"&gt;="&amp;$J769,cal_fechas,"&lt;"&amp;TODAY(),cal_habil,"sí"),-COUNTIFS(cal_fechas,"&gt;="&amp;TODAY(),cal_fechas,"&lt;"&amp;$J769,cal_habil,"sí")))</f>
        <v/>
      </c>
      <c r="AC769" s="3">
        <f>IF($AB769="","",IF($AB769&lt;0,"FUTURO",IF($AB769&gt;p_dias_backlog_max,"BACKLOG","MES CORRIENTE")))</f>
        <v/>
      </c>
      <c r="AD769" s="3">
        <f>IF($AB769="",FALSE,AND($AB769&gt;p_dias_backlog_min,$AB769&lt;=p_dias_backlog_max))</f>
        <v/>
      </c>
      <c r="AE769" s="6" t="n"/>
      <c r="AF769" s="3">
        <f>IF($AE769="","",IF((IFERROR(INDEX('ASIGNACIONES'!$F$4:$F$339,MATCH($O769&amp;"|"&amp;$R769&amp;"|"&amp;$AE769,'ASIGNACIONES'!$J$4:$J$339,0)),""))=0,"",IFERROR(INDEX('ASIGNACIONES'!$F$4:$F$339,MATCH($O769&amp;"|"&amp;$R769&amp;"|"&amp;$AE769,'ASIGNACIONES'!$J$4:$J$339,0)),"")))</f>
        <v/>
      </c>
      <c r="AG769" s="13">
        <f>IF($AE769="","",SUMIFS('ORDENES'!$M$4:$M$1203,'ORDENES'!$AE$4:$AE$1203,$AE769,'ORDENES'!$O$4:$O$1203,$O769,'ORDENES'!$R$4:$R$1203,$R769))</f>
        <v/>
      </c>
      <c r="AH769" s="13">
        <f>IF($AG769="","",p_factor_productividad*IFERROR(INDEX('ASIGNACIONES'!$I$4:$I$339,MATCH($O769&amp;"|"&amp;$R769&amp;"|"&amp;$AE769,'ASIGNACIONES'!$J$4:$J$339,0)),0)-$AG769)</f>
        <v/>
      </c>
      <c r="AI769" s="10">
        <f>IF($A769="","",IFERROR(INDEX('2_IMPORTAR_EJECUCION'!$F$9:$F$1208,MATCH($AQ769,'2_IMPORTAR_EJECUCION'!$J$9:$J$1208,0)),0))</f>
        <v/>
      </c>
      <c r="AJ769" s="10">
        <f>IF($A769="","",MAX(0,IFERROR(INDEX('2_IMPORTAR_EJECUCION'!$H$9:$H$1208,MATCH($AQ769,'2_IMPORTAR_EJECUCION'!$J$9:$J$1208,0)),0)-$AI769))</f>
        <v/>
      </c>
      <c r="AK769" s="10">
        <f>IF($A769="","",$AI769+$AJ769)</f>
        <v/>
      </c>
      <c r="AL769" s="6" t="n"/>
      <c r="AM769" s="6" t="n"/>
      <c r="AN769" s="6" t="n"/>
      <c r="AO769" s="3">
        <f>IF($AN769="","",HYPERLINK(p_ruta_base_checklists&amp;$AN769,"abrir"))</f>
        <v/>
      </c>
      <c r="AP769" s="6" t="n"/>
      <c r="AQ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IF($A770="","",IFERROR(INDEX('AJUSTES'!$B$4:$B$303,MATCH($AQ770,'AJUSTES'!$A$4:$A$303,0)),IF($K770="","",$K770)))</f>
        <v/>
      </c>
      <c r="N770" s="3">
        <f>IF($A770="","",IFERROR(INDEX('CAT_ESTADOS_ERP'!$B$4:$B$7,MATCH(IFERROR(INDEX('2_IMPORTAR_EJECUCION'!$C$9:$C$1208,MATCH($AQ770,'2_IMPORTAR_EJECUCION'!$J$9:$J$1208,0)),""),'CAT_ESTADOS_ERP'!$A$4:$A$7,0)),"Pendiente"))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J770="","",IFERROR(INDEX('CALENDARIO'!$C$15:$C$214,MATCH(TEXT($J770,"yyyy-mm-dd")&amp;"|"&amp;$V770&amp;"|"&amp;$W770,'CALENDARIO'!$G$15:$G$214,0)),IFERROR(INDEX('CALENDARIO'!$C$15:$C$214,MATCH(TEXT($J770,"yyyy-mm-dd")&amp;"|"&amp;$V770&amp;"|",'CALENDARIO'!$G$15:$G$214,0)),IFERROR(INDEX('CALENDARIO'!$C$15:$C$214,MATCH(TEXT($J770,"yyyy-mm-dd")&amp;"||",'CALENDARIO'!$G$15:$G$214,0)),INDEX(patronHabil,WEEKDAY($J770,2))))))</f>
        <v/>
      </c>
      <c r="T770" s="3">
        <f>IF($I770="","",IFERROR(INDEX('CAT_TIPOS_OT'!$C$4:$C$7,MATCH($I770,'CAT_TIPOS_OT'!$A$4:$A$7,0)),"sin_clasificar"))</f>
        <v/>
      </c>
      <c r="U770" s="3">
        <f>IF($F770="","",IFERROR(INDEX('CAT_CENTROS_COSTO'!$F$4:$F$13,MATCH($F770,'CAT_CENTROS_COSTO'!$A$4:$A$13,0)),"(sin catálogo)"))</f>
        <v/>
      </c>
      <c r="V770" s="3">
        <f>IF($F770="","",IFERROR(INDEX('CAT_CENTROS_COSTO'!$D$4:$D$13,MATCH($F770,'CAT_CENTROS_COSTO'!$A$4:$A$13,0)),"(sin catálogo)"))</f>
        <v/>
      </c>
      <c r="W770" s="3">
        <f>IF($F770="","",IF((IFERROR(INDEX('CAT_CENTROS_COSTO'!$E$4:$E$13,MATCH($F770,'CAT_CENTROS_COSTO'!$A$4:$A$13,0)),""))&lt;&gt;"",IFERROR(INDEX('CAT_CENTROS_COSTO'!$E$4:$E$13,MATCH($F770,'CAT_CENTROS_COSTO'!$A$4:$A$13,0)),""),$V770))</f>
        <v/>
      </c>
      <c r="X770" s="3">
        <f>IF($F770="","",IFERROR(INDEX('CAT_CENTROS_COSTO'!$G$4:$G$13,MATCH($F770,'CAT_CENTROS_COSTO'!$A$4:$A$13,0)),"(sin catálogo)"))</f>
        <v/>
      </c>
      <c r="Y770" s="3">
        <f>IF($G770="","",IFERROR(INDEX('CAT_PUESTOS'!$B$4:$B$8,MATCH($G770,'CAT_PUESTOS'!$A$4:$A$8,0)),"(sin catálogo)"))</f>
        <v/>
      </c>
      <c r="Z770" s="3">
        <f>IF($H770="","",IFERROR(INDEX('CAT_ACTIVIDADES'!$B$4:$B$8,MATCH($H770,'CAT_ACTIVIDADES'!$A$4:$A$8,0)),"(sin catálogo)"))</f>
        <v/>
      </c>
      <c r="AA770" s="12">
        <f>IF($J770="","",TODAY()-$J770)</f>
        <v/>
      </c>
      <c r="AB770" s="12">
        <f>IF($J770="","",IF($J770&lt;=TODAY(),COUNTIFS(cal_fechas,"&gt;="&amp;$J770,cal_fechas,"&lt;"&amp;TODAY(),cal_habil,"sí"),-COUNTIFS(cal_fechas,"&gt;="&amp;TODAY(),cal_fechas,"&lt;"&amp;$J770,cal_habil,"sí")))</f>
        <v/>
      </c>
      <c r="AC770" s="3">
        <f>IF($AB770="","",IF($AB770&lt;0,"FUTURO",IF($AB770&gt;p_dias_backlog_max,"BACKLOG","MES CORRIENTE")))</f>
        <v/>
      </c>
      <c r="AD770" s="3">
        <f>IF($AB770="",FALSE,AND($AB770&gt;p_dias_backlog_min,$AB770&lt;=p_dias_backlog_max))</f>
        <v/>
      </c>
      <c r="AE770" s="6" t="n"/>
      <c r="AF770" s="3">
        <f>IF($AE770="","",IF((IFERROR(INDEX('ASIGNACIONES'!$F$4:$F$339,MATCH($O770&amp;"|"&amp;$R770&amp;"|"&amp;$AE770,'ASIGNACIONES'!$J$4:$J$339,0)),""))=0,"",IFERROR(INDEX('ASIGNACIONES'!$F$4:$F$339,MATCH($O770&amp;"|"&amp;$R770&amp;"|"&amp;$AE770,'ASIGNACIONES'!$J$4:$J$339,0)),"")))</f>
        <v/>
      </c>
      <c r="AG770" s="13">
        <f>IF($AE770="","",SUMIFS('ORDENES'!$M$4:$M$1203,'ORDENES'!$AE$4:$AE$1203,$AE770,'ORDENES'!$O$4:$O$1203,$O770,'ORDENES'!$R$4:$R$1203,$R770))</f>
        <v/>
      </c>
      <c r="AH770" s="13">
        <f>IF($AG770="","",p_factor_productividad*IFERROR(INDEX('ASIGNACIONES'!$I$4:$I$339,MATCH($O770&amp;"|"&amp;$R770&amp;"|"&amp;$AE770,'ASIGNACIONES'!$J$4:$J$339,0)),0)-$AG770)</f>
        <v/>
      </c>
      <c r="AI770" s="10">
        <f>IF($A770="","",IFERROR(INDEX('2_IMPORTAR_EJECUCION'!$F$9:$F$1208,MATCH($AQ770,'2_IMPORTAR_EJECUCION'!$J$9:$J$1208,0)),0))</f>
        <v/>
      </c>
      <c r="AJ770" s="10">
        <f>IF($A770="","",MAX(0,IFERROR(INDEX('2_IMPORTAR_EJECUCION'!$H$9:$H$1208,MATCH($AQ770,'2_IMPORTAR_EJECUCION'!$J$9:$J$1208,0)),0)-$AI770))</f>
        <v/>
      </c>
      <c r="AK770" s="10">
        <f>IF($A770="","",$AI770+$AJ770)</f>
        <v/>
      </c>
      <c r="AL770" s="6" t="n"/>
      <c r="AM770" s="6" t="n"/>
      <c r="AN770" s="6" t="n"/>
      <c r="AO770" s="3">
        <f>IF($AN770="","",HYPERLINK(p_ruta_base_checklists&amp;$AN770,"abrir"))</f>
        <v/>
      </c>
      <c r="AP770" s="6" t="n"/>
      <c r="AQ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IF($A771="","",IFERROR(INDEX('AJUSTES'!$B$4:$B$303,MATCH($AQ771,'AJUSTES'!$A$4:$A$303,0)),IF($K771="","",$K771)))</f>
        <v/>
      </c>
      <c r="N771" s="3">
        <f>IF($A771="","",IFERROR(INDEX('CAT_ESTADOS_ERP'!$B$4:$B$7,MATCH(IFERROR(INDEX('2_IMPORTAR_EJECUCION'!$C$9:$C$1208,MATCH($AQ771,'2_IMPORTAR_EJECUCION'!$J$9:$J$1208,0)),""),'CAT_ESTADOS_ERP'!$A$4:$A$7,0)),"Pendiente"))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J771="","",IFERROR(INDEX('CALENDARIO'!$C$15:$C$214,MATCH(TEXT($J771,"yyyy-mm-dd")&amp;"|"&amp;$V771&amp;"|"&amp;$W771,'CALENDARIO'!$G$15:$G$214,0)),IFERROR(INDEX('CALENDARIO'!$C$15:$C$214,MATCH(TEXT($J771,"yyyy-mm-dd")&amp;"|"&amp;$V771&amp;"|",'CALENDARIO'!$G$15:$G$214,0)),IFERROR(INDEX('CALENDARIO'!$C$15:$C$214,MATCH(TEXT($J771,"yyyy-mm-dd")&amp;"||",'CALENDARIO'!$G$15:$G$214,0)),INDEX(patronHabil,WEEKDAY($J771,2))))))</f>
        <v/>
      </c>
      <c r="T771" s="3">
        <f>IF($I771="","",IFERROR(INDEX('CAT_TIPOS_OT'!$C$4:$C$7,MATCH($I771,'CAT_TIPOS_OT'!$A$4:$A$7,0)),"sin_clasificar"))</f>
        <v/>
      </c>
      <c r="U771" s="3">
        <f>IF($F771="","",IFERROR(INDEX('CAT_CENTROS_COSTO'!$F$4:$F$13,MATCH($F771,'CAT_CENTROS_COSTO'!$A$4:$A$13,0)),"(sin catálogo)"))</f>
        <v/>
      </c>
      <c r="V771" s="3">
        <f>IF($F771="","",IFERROR(INDEX('CAT_CENTROS_COSTO'!$D$4:$D$13,MATCH($F771,'CAT_CENTROS_COSTO'!$A$4:$A$13,0)),"(sin catálogo)"))</f>
        <v/>
      </c>
      <c r="W771" s="3">
        <f>IF($F771="","",IF((IFERROR(INDEX('CAT_CENTROS_COSTO'!$E$4:$E$13,MATCH($F771,'CAT_CENTROS_COSTO'!$A$4:$A$13,0)),""))&lt;&gt;"",IFERROR(INDEX('CAT_CENTROS_COSTO'!$E$4:$E$13,MATCH($F771,'CAT_CENTROS_COSTO'!$A$4:$A$13,0)),""),$V771))</f>
        <v/>
      </c>
      <c r="X771" s="3">
        <f>IF($F771="","",IFERROR(INDEX('CAT_CENTROS_COSTO'!$G$4:$G$13,MATCH($F771,'CAT_CENTROS_COSTO'!$A$4:$A$13,0)),"(sin catálogo)"))</f>
        <v/>
      </c>
      <c r="Y771" s="3">
        <f>IF($G771="","",IFERROR(INDEX('CAT_PUESTOS'!$B$4:$B$8,MATCH($G771,'CAT_PUESTOS'!$A$4:$A$8,0)),"(sin catálogo)"))</f>
        <v/>
      </c>
      <c r="Z771" s="3">
        <f>IF($H771="","",IFERROR(INDEX('CAT_ACTIVIDADES'!$B$4:$B$8,MATCH($H771,'CAT_ACTIVIDADES'!$A$4:$A$8,0)),"(sin catálogo)"))</f>
        <v/>
      </c>
      <c r="AA771" s="12">
        <f>IF($J771="","",TODAY()-$J771)</f>
        <v/>
      </c>
      <c r="AB771" s="12">
        <f>IF($J771="","",IF($J771&lt;=TODAY(),COUNTIFS(cal_fechas,"&gt;="&amp;$J771,cal_fechas,"&lt;"&amp;TODAY(),cal_habil,"sí"),-COUNTIFS(cal_fechas,"&gt;="&amp;TODAY(),cal_fechas,"&lt;"&amp;$J771,cal_habil,"sí")))</f>
        <v/>
      </c>
      <c r="AC771" s="3">
        <f>IF($AB771="","",IF($AB771&lt;0,"FUTURO",IF($AB771&gt;p_dias_backlog_max,"BACKLOG","MES CORRIENTE")))</f>
        <v/>
      </c>
      <c r="AD771" s="3">
        <f>IF($AB771="",FALSE,AND($AB771&gt;p_dias_backlog_min,$AB771&lt;=p_dias_backlog_max))</f>
        <v/>
      </c>
      <c r="AE771" s="6" t="n"/>
      <c r="AF771" s="3">
        <f>IF($AE771="","",IF((IFERROR(INDEX('ASIGNACIONES'!$F$4:$F$339,MATCH($O771&amp;"|"&amp;$R771&amp;"|"&amp;$AE771,'ASIGNACIONES'!$J$4:$J$339,0)),""))=0,"",IFERROR(INDEX('ASIGNACIONES'!$F$4:$F$339,MATCH($O771&amp;"|"&amp;$R771&amp;"|"&amp;$AE771,'ASIGNACIONES'!$J$4:$J$339,0)),"")))</f>
        <v/>
      </c>
      <c r="AG771" s="13">
        <f>IF($AE771="","",SUMIFS('ORDENES'!$M$4:$M$1203,'ORDENES'!$AE$4:$AE$1203,$AE771,'ORDENES'!$O$4:$O$1203,$O771,'ORDENES'!$R$4:$R$1203,$R771))</f>
        <v/>
      </c>
      <c r="AH771" s="13">
        <f>IF($AG771="","",p_factor_productividad*IFERROR(INDEX('ASIGNACIONES'!$I$4:$I$339,MATCH($O771&amp;"|"&amp;$R771&amp;"|"&amp;$AE771,'ASIGNACIONES'!$J$4:$J$339,0)),0)-$AG771)</f>
        <v/>
      </c>
      <c r="AI771" s="10">
        <f>IF($A771="","",IFERROR(INDEX('2_IMPORTAR_EJECUCION'!$F$9:$F$1208,MATCH($AQ771,'2_IMPORTAR_EJECUCION'!$J$9:$J$1208,0)),0))</f>
        <v/>
      </c>
      <c r="AJ771" s="10">
        <f>IF($A771="","",MAX(0,IFERROR(INDEX('2_IMPORTAR_EJECUCION'!$H$9:$H$1208,MATCH($AQ771,'2_IMPORTAR_EJECUCION'!$J$9:$J$1208,0)),0)-$AI771))</f>
        <v/>
      </c>
      <c r="AK771" s="10">
        <f>IF($A771="","",$AI771+$AJ771)</f>
        <v/>
      </c>
      <c r="AL771" s="6" t="n"/>
      <c r="AM771" s="6" t="n"/>
      <c r="AN771" s="6" t="n"/>
      <c r="AO771" s="3">
        <f>IF($AN771="","",HYPERLINK(p_ruta_base_checklists&amp;$AN771,"abrir"))</f>
        <v/>
      </c>
      <c r="AP771" s="6" t="n"/>
      <c r="AQ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IF($A772="","",IFERROR(INDEX('AJUSTES'!$B$4:$B$303,MATCH($AQ772,'AJUSTES'!$A$4:$A$303,0)),IF($K772="","",$K772)))</f>
        <v/>
      </c>
      <c r="N772" s="3">
        <f>IF($A772="","",IFERROR(INDEX('CAT_ESTADOS_ERP'!$B$4:$B$7,MATCH(IFERROR(INDEX('2_IMPORTAR_EJECUCION'!$C$9:$C$1208,MATCH($AQ772,'2_IMPORTAR_EJECUCION'!$J$9:$J$1208,0)),""),'CAT_ESTADOS_ERP'!$A$4:$A$7,0)),"Pendiente"))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J772="","",IFERROR(INDEX('CALENDARIO'!$C$15:$C$214,MATCH(TEXT($J772,"yyyy-mm-dd")&amp;"|"&amp;$V772&amp;"|"&amp;$W772,'CALENDARIO'!$G$15:$G$214,0)),IFERROR(INDEX('CALENDARIO'!$C$15:$C$214,MATCH(TEXT($J772,"yyyy-mm-dd")&amp;"|"&amp;$V772&amp;"|",'CALENDARIO'!$G$15:$G$214,0)),IFERROR(INDEX('CALENDARIO'!$C$15:$C$214,MATCH(TEXT($J772,"yyyy-mm-dd")&amp;"||",'CALENDARIO'!$G$15:$G$214,0)),INDEX(patronHabil,WEEKDAY($J772,2))))))</f>
        <v/>
      </c>
      <c r="T772" s="3">
        <f>IF($I772="","",IFERROR(INDEX('CAT_TIPOS_OT'!$C$4:$C$7,MATCH($I772,'CAT_TIPOS_OT'!$A$4:$A$7,0)),"sin_clasificar"))</f>
        <v/>
      </c>
      <c r="U772" s="3">
        <f>IF($F772="","",IFERROR(INDEX('CAT_CENTROS_COSTO'!$F$4:$F$13,MATCH($F772,'CAT_CENTROS_COSTO'!$A$4:$A$13,0)),"(sin catálogo)"))</f>
        <v/>
      </c>
      <c r="V772" s="3">
        <f>IF($F772="","",IFERROR(INDEX('CAT_CENTROS_COSTO'!$D$4:$D$13,MATCH($F772,'CAT_CENTROS_COSTO'!$A$4:$A$13,0)),"(sin catálogo)"))</f>
        <v/>
      </c>
      <c r="W772" s="3">
        <f>IF($F772="","",IF((IFERROR(INDEX('CAT_CENTROS_COSTO'!$E$4:$E$13,MATCH($F772,'CAT_CENTROS_COSTO'!$A$4:$A$13,0)),""))&lt;&gt;"",IFERROR(INDEX('CAT_CENTROS_COSTO'!$E$4:$E$13,MATCH($F772,'CAT_CENTROS_COSTO'!$A$4:$A$13,0)),""),$V772))</f>
        <v/>
      </c>
      <c r="X772" s="3">
        <f>IF($F772="","",IFERROR(INDEX('CAT_CENTROS_COSTO'!$G$4:$G$13,MATCH($F772,'CAT_CENTROS_COSTO'!$A$4:$A$13,0)),"(sin catálogo)"))</f>
        <v/>
      </c>
      <c r="Y772" s="3">
        <f>IF($G772="","",IFERROR(INDEX('CAT_PUESTOS'!$B$4:$B$8,MATCH($G772,'CAT_PUESTOS'!$A$4:$A$8,0)),"(sin catálogo)"))</f>
        <v/>
      </c>
      <c r="Z772" s="3">
        <f>IF($H772="","",IFERROR(INDEX('CAT_ACTIVIDADES'!$B$4:$B$8,MATCH($H772,'CAT_ACTIVIDADES'!$A$4:$A$8,0)),"(sin catálogo)"))</f>
        <v/>
      </c>
      <c r="AA772" s="12">
        <f>IF($J772="","",TODAY()-$J772)</f>
        <v/>
      </c>
      <c r="AB772" s="12">
        <f>IF($J772="","",IF($J772&lt;=TODAY(),COUNTIFS(cal_fechas,"&gt;="&amp;$J772,cal_fechas,"&lt;"&amp;TODAY(),cal_habil,"sí"),-COUNTIFS(cal_fechas,"&gt;="&amp;TODAY(),cal_fechas,"&lt;"&amp;$J772,cal_habil,"sí")))</f>
        <v/>
      </c>
      <c r="AC772" s="3">
        <f>IF($AB772="","",IF($AB772&lt;0,"FUTURO",IF($AB772&gt;p_dias_backlog_max,"BACKLOG","MES CORRIENTE")))</f>
        <v/>
      </c>
      <c r="AD772" s="3">
        <f>IF($AB772="",FALSE,AND($AB772&gt;p_dias_backlog_min,$AB772&lt;=p_dias_backlog_max))</f>
        <v/>
      </c>
      <c r="AE772" s="6" t="n"/>
      <c r="AF772" s="3">
        <f>IF($AE772="","",IF((IFERROR(INDEX('ASIGNACIONES'!$F$4:$F$339,MATCH($O772&amp;"|"&amp;$R772&amp;"|"&amp;$AE772,'ASIGNACIONES'!$J$4:$J$339,0)),""))=0,"",IFERROR(INDEX('ASIGNACIONES'!$F$4:$F$339,MATCH($O772&amp;"|"&amp;$R772&amp;"|"&amp;$AE772,'ASIGNACIONES'!$J$4:$J$339,0)),"")))</f>
        <v/>
      </c>
      <c r="AG772" s="13">
        <f>IF($AE772="","",SUMIFS('ORDENES'!$M$4:$M$1203,'ORDENES'!$AE$4:$AE$1203,$AE772,'ORDENES'!$O$4:$O$1203,$O772,'ORDENES'!$R$4:$R$1203,$R772))</f>
        <v/>
      </c>
      <c r="AH772" s="13">
        <f>IF($AG772="","",p_factor_productividad*IFERROR(INDEX('ASIGNACIONES'!$I$4:$I$339,MATCH($O772&amp;"|"&amp;$R772&amp;"|"&amp;$AE772,'ASIGNACIONES'!$J$4:$J$339,0)),0)-$AG772)</f>
        <v/>
      </c>
      <c r="AI772" s="10">
        <f>IF($A772="","",IFERROR(INDEX('2_IMPORTAR_EJECUCION'!$F$9:$F$1208,MATCH($AQ772,'2_IMPORTAR_EJECUCION'!$J$9:$J$1208,0)),0))</f>
        <v/>
      </c>
      <c r="AJ772" s="10">
        <f>IF($A772="","",MAX(0,IFERROR(INDEX('2_IMPORTAR_EJECUCION'!$H$9:$H$1208,MATCH($AQ772,'2_IMPORTAR_EJECUCION'!$J$9:$J$1208,0)),0)-$AI772))</f>
        <v/>
      </c>
      <c r="AK772" s="10">
        <f>IF($A772="","",$AI772+$AJ772)</f>
        <v/>
      </c>
      <c r="AL772" s="6" t="n"/>
      <c r="AM772" s="6" t="n"/>
      <c r="AN772" s="6" t="n"/>
      <c r="AO772" s="3">
        <f>IF($AN772="","",HYPERLINK(p_ruta_base_checklists&amp;$AN772,"abrir"))</f>
        <v/>
      </c>
      <c r="AP772" s="6" t="n"/>
      <c r="AQ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IF($A773="","",IFERROR(INDEX('AJUSTES'!$B$4:$B$303,MATCH($AQ773,'AJUSTES'!$A$4:$A$303,0)),IF($K773="","",$K773)))</f>
        <v/>
      </c>
      <c r="N773" s="3">
        <f>IF($A773="","",IFERROR(INDEX('CAT_ESTADOS_ERP'!$B$4:$B$7,MATCH(IFERROR(INDEX('2_IMPORTAR_EJECUCION'!$C$9:$C$1208,MATCH($AQ773,'2_IMPORTAR_EJECUCION'!$J$9:$J$1208,0)),""),'CAT_ESTADOS_ERP'!$A$4:$A$7,0)),"Pendiente"))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J773="","",IFERROR(INDEX('CALENDARIO'!$C$15:$C$214,MATCH(TEXT($J773,"yyyy-mm-dd")&amp;"|"&amp;$V773&amp;"|"&amp;$W773,'CALENDARIO'!$G$15:$G$214,0)),IFERROR(INDEX('CALENDARIO'!$C$15:$C$214,MATCH(TEXT($J773,"yyyy-mm-dd")&amp;"|"&amp;$V773&amp;"|",'CALENDARIO'!$G$15:$G$214,0)),IFERROR(INDEX('CALENDARIO'!$C$15:$C$214,MATCH(TEXT($J773,"yyyy-mm-dd")&amp;"||",'CALENDARIO'!$G$15:$G$214,0)),INDEX(patronHabil,WEEKDAY($J773,2))))))</f>
        <v/>
      </c>
      <c r="T773" s="3">
        <f>IF($I773="","",IFERROR(INDEX('CAT_TIPOS_OT'!$C$4:$C$7,MATCH($I773,'CAT_TIPOS_OT'!$A$4:$A$7,0)),"sin_clasificar"))</f>
        <v/>
      </c>
      <c r="U773" s="3">
        <f>IF($F773="","",IFERROR(INDEX('CAT_CENTROS_COSTO'!$F$4:$F$13,MATCH($F773,'CAT_CENTROS_COSTO'!$A$4:$A$13,0)),"(sin catálogo)"))</f>
        <v/>
      </c>
      <c r="V773" s="3">
        <f>IF($F773="","",IFERROR(INDEX('CAT_CENTROS_COSTO'!$D$4:$D$13,MATCH($F773,'CAT_CENTROS_COSTO'!$A$4:$A$13,0)),"(sin catálogo)"))</f>
        <v/>
      </c>
      <c r="W773" s="3">
        <f>IF($F773="","",IF((IFERROR(INDEX('CAT_CENTROS_COSTO'!$E$4:$E$13,MATCH($F773,'CAT_CENTROS_COSTO'!$A$4:$A$13,0)),""))&lt;&gt;"",IFERROR(INDEX('CAT_CENTROS_COSTO'!$E$4:$E$13,MATCH($F773,'CAT_CENTROS_COSTO'!$A$4:$A$13,0)),""),$V773))</f>
        <v/>
      </c>
      <c r="X773" s="3">
        <f>IF($F773="","",IFERROR(INDEX('CAT_CENTROS_COSTO'!$G$4:$G$13,MATCH($F773,'CAT_CENTROS_COSTO'!$A$4:$A$13,0)),"(sin catálogo)"))</f>
        <v/>
      </c>
      <c r="Y773" s="3">
        <f>IF($G773="","",IFERROR(INDEX('CAT_PUESTOS'!$B$4:$B$8,MATCH($G773,'CAT_PUESTOS'!$A$4:$A$8,0)),"(sin catálogo)"))</f>
        <v/>
      </c>
      <c r="Z773" s="3">
        <f>IF($H773="","",IFERROR(INDEX('CAT_ACTIVIDADES'!$B$4:$B$8,MATCH($H773,'CAT_ACTIVIDADES'!$A$4:$A$8,0)),"(sin catálogo)"))</f>
        <v/>
      </c>
      <c r="AA773" s="12">
        <f>IF($J773="","",TODAY()-$J773)</f>
        <v/>
      </c>
      <c r="AB773" s="12">
        <f>IF($J773="","",IF($J773&lt;=TODAY(),COUNTIFS(cal_fechas,"&gt;="&amp;$J773,cal_fechas,"&lt;"&amp;TODAY(),cal_habil,"sí"),-COUNTIFS(cal_fechas,"&gt;="&amp;TODAY(),cal_fechas,"&lt;"&amp;$J773,cal_habil,"sí")))</f>
        <v/>
      </c>
      <c r="AC773" s="3">
        <f>IF($AB773="","",IF($AB773&lt;0,"FUTURO",IF($AB773&gt;p_dias_backlog_max,"BACKLOG","MES CORRIENTE")))</f>
        <v/>
      </c>
      <c r="AD773" s="3">
        <f>IF($AB773="",FALSE,AND($AB773&gt;p_dias_backlog_min,$AB773&lt;=p_dias_backlog_max))</f>
        <v/>
      </c>
      <c r="AE773" s="6" t="n"/>
      <c r="AF773" s="3">
        <f>IF($AE773="","",IF((IFERROR(INDEX('ASIGNACIONES'!$F$4:$F$339,MATCH($O773&amp;"|"&amp;$R773&amp;"|"&amp;$AE773,'ASIGNACIONES'!$J$4:$J$339,0)),""))=0,"",IFERROR(INDEX('ASIGNACIONES'!$F$4:$F$339,MATCH($O773&amp;"|"&amp;$R773&amp;"|"&amp;$AE773,'ASIGNACIONES'!$J$4:$J$339,0)),"")))</f>
        <v/>
      </c>
      <c r="AG773" s="13">
        <f>IF($AE773="","",SUMIFS('ORDENES'!$M$4:$M$1203,'ORDENES'!$AE$4:$AE$1203,$AE773,'ORDENES'!$O$4:$O$1203,$O773,'ORDENES'!$R$4:$R$1203,$R773))</f>
        <v/>
      </c>
      <c r="AH773" s="13">
        <f>IF($AG773="","",p_factor_productividad*IFERROR(INDEX('ASIGNACIONES'!$I$4:$I$339,MATCH($O773&amp;"|"&amp;$R773&amp;"|"&amp;$AE773,'ASIGNACIONES'!$J$4:$J$339,0)),0)-$AG773)</f>
        <v/>
      </c>
      <c r="AI773" s="10">
        <f>IF($A773="","",IFERROR(INDEX('2_IMPORTAR_EJECUCION'!$F$9:$F$1208,MATCH($AQ773,'2_IMPORTAR_EJECUCION'!$J$9:$J$1208,0)),0))</f>
        <v/>
      </c>
      <c r="AJ773" s="10">
        <f>IF($A773="","",MAX(0,IFERROR(INDEX('2_IMPORTAR_EJECUCION'!$H$9:$H$1208,MATCH($AQ773,'2_IMPORTAR_EJECUCION'!$J$9:$J$1208,0)),0)-$AI773))</f>
        <v/>
      </c>
      <c r="AK773" s="10">
        <f>IF($A773="","",$AI773+$AJ773)</f>
        <v/>
      </c>
      <c r="AL773" s="6" t="n"/>
      <c r="AM773" s="6" t="n"/>
      <c r="AN773" s="6" t="n"/>
      <c r="AO773" s="3">
        <f>IF($AN773="","",HYPERLINK(p_ruta_base_checklists&amp;$AN773,"abrir"))</f>
        <v/>
      </c>
      <c r="AP773" s="6" t="n"/>
      <c r="AQ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IF($A774="","",IFERROR(INDEX('AJUSTES'!$B$4:$B$303,MATCH($AQ774,'AJUSTES'!$A$4:$A$303,0)),IF($K774="","",$K774)))</f>
        <v/>
      </c>
      <c r="N774" s="3">
        <f>IF($A774="","",IFERROR(INDEX('CAT_ESTADOS_ERP'!$B$4:$B$7,MATCH(IFERROR(INDEX('2_IMPORTAR_EJECUCION'!$C$9:$C$1208,MATCH($AQ774,'2_IMPORTAR_EJECUCION'!$J$9:$J$1208,0)),""),'CAT_ESTADOS_ERP'!$A$4:$A$7,0)),"Pendiente"))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J774="","",IFERROR(INDEX('CALENDARIO'!$C$15:$C$214,MATCH(TEXT($J774,"yyyy-mm-dd")&amp;"|"&amp;$V774&amp;"|"&amp;$W774,'CALENDARIO'!$G$15:$G$214,0)),IFERROR(INDEX('CALENDARIO'!$C$15:$C$214,MATCH(TEXT($J774,"yyyy-mm-dd")&amp;"|"&amp;$V774&amp;"|",'CALENDARIO'!$G$15:$G$214,0)),IFERROR(INDEX('CALENDARIO'!$C$15:$C$214,MATCH(TEXT($J774,"yyyy-mm-dd")&amp;"||",'CALENDARIO'!$G$15:$G$214,0)),INDEX(patronHabil,WEEKDAY($J774,2))))))</f>
        <v/>
      </c>
      <c r="T774" s="3">
        <f>IF($I774="","",IFERROR(INDEX('CAT_TIPOS_OT'!$C$4:$C$7,MATCH($I774,'CAT_TIPOS_OT'!$A$4:$A$7,0)),"sin_clasificar"))</f>
        <v/>
      </c>
      <c r="U774" s="3">
        <f>IF($F774="","",IFERROR(INDEX('CAT_CENTROS_COSTO'!$F$4:$F$13,MATCH($F774,'CAT_CENTROS_COSTO'!$A$4:$A$13,0)),"(sin catálogo)"))</f>
        <v/>
      </c>
      <c r="V774" s="3">
        <f>IF($F774="","",IFERROR(INDEX('CAT_CENTROS_COSTO'!$D$4:$D$13,MATCH($F774,'CAT_CENTROS_COSTO'!$A$4:$A$13,0)),"(sin catálogo)"))</f>
        <v/>
      </c>
      <c r="W774" s="3">
        <f>IF($F774="","",IF((IFERROR(INDEX('CAT_CENTROS_COSTO'!$E$4:$E$13,MATCH($F774,'CAT_CENTROS_COSTO'!$A$4:$A$13,0)),""))&lt;&gt;"",IFERROR(INDEX('CAT_CENTROS_COSTO'!$E$4:$E$13,MATCH($F774,'CAT_CENTROS_COSTO'!$A$4:$A$13,0)),""),$V774))</f>
        <v/>
      </c>
      <c r="X774" s="3">
        <f>IF($F774="","",IFERROR(INDEX('CAT_CENTROS_COSTO'!$G$4:$G$13,MATCH($F774,'CAT_CENTROS_COSTO'!$A$4:$A$13,0)),"(sin catálogo)"))</f>
        <v/>
      </c>
      <c r="Y774" s="3">
        <f>IF($G774="","",IFERROR(INDEX('CAT_PUESTOS'!$B$4:$B$8,MATCH($G774,'CAT_PUESTOS'!$A$4:$A$8,0)),"(sin catálogo)"))</f>
        <v/>
      </c>
      <c r="Z774" s="3">
        <f>IF($H774="","",IFERROR(INDEX('CAT_ACTIVIDADES'!$B$4:$B$8,MATCH($H774,'CAT_ACTIVIDADES'!$A$4:$A$8,0)),"(sin catálogo)"))</f>
        <v/>
      </c>
      <c r="AA774" s="12">
        <f>IF($J774="","",TODAY()-$J774)</f>
        <v/>
      </c>
      <c r="AB774" s="12">
        <f>IF($J774="","",IF($J774&lt;=TODAY(),COUNTIFS(cal_fechas,"&gt;="&amp;$J774,cal_fechas,"&lt;"&amp;TODAY(),cal_habil,"sí"),-COUNTIFS(cal_fechas,"&gt;="&amp;TODAY(),cal_fechas,"&lt;"&amp;$J774,cal_habil,"sí")))</f>
        <v/>
      </c>
      <c r="AC774" s="3">
        <f>IF($AB774="","",IF($AB774&lt;0,"FUTURO",IF($AB774&gt;p_dias_backlog_max,"BACKLOG","MES CORRIENTE")))</f>
        <v/>
      </c>
      <c r="AD774" s="3">
        <f>IF($AB774="",FALSE,AND($AB774&gt;p_dias_backlog_min,$AB774&lt;=p_dias_backlog_max))</f>
        <v/>
      </c>
      <c r="AE774" s="6" t="n"/>
      <c r="AF774" s="3">
        <f>IF($AE774="","",IF((IFERROR(INDEX('ASIGNACIONES'!$F$4:$F$339,MATCH($O774&amp;"|"&amp;$R774&amp;"|"&amp;$AE774,'ASIGNACIONES'!$J$4:$J$339,0)),""))=0,"",IFERROR(INDEX('ASIGNACIONES'!$F$4:$F$339,MATCH($O774&amp;"|"&amp;$R774&amp;"|"&amp;$AE774,'ASIGNACIONES'!$J$4:$J$339,0)),"")))</f>
        <v/>
      </c>
      <c r="AG774" s="13">
        <f>IF($AE774="","",SUMIFS('ORDENES'!$M$4:$M$1203,'ORDENES'!$AE$4:$AE$1203,$AE774,'ORDENES'!$O$4:$O$1203,$O774,'ORDENES'!$R$4:$R$1203,$R774))</f>
        <v/>
      </c>
      <c r="AH774" s="13">
        <f>IF($AG774="","",p_factor_productividad*IFERROR(INDEX('ASIGNACIONES'!$I$4:$I$339,MATCH($O774&amp;"|"&amp;$R774&amp;"|"&amp;$AE774,'ASIGNACIONES'!$J$4:$J$339,0)),0)-$AG774)</f>
        <v/>
      </c>
      <c r="AI774" s="10">
        <f>IF($A774="","",IFERROR(INDEX('2_IMPORTAR_EJECUCION'!$F$9:$F$1208,MATCH($AQ774,'2_IMPORTAR_EJECUCION'!$J$9:$J$1208,0)),0))</f>
        <v/>
      </c>
      <c r="AJ774" s="10">
        <f>IF($A774="","",MAX(0,IFERROR(INDEX('2_IMPORTAR_EJECUCION'!$H$9:$H$1208,MATCH($AQ774,'2_IMPORTAR_EJECUCION'!$J$9:$J$1208,0)),0)-$AI774))</f>
        <v/>
      </c>
      <c r="AK774" s="10">
        <f>IF($A774="","",$AI774+$AJ774)</f>
        <v/>
      </c>
      <c r="AL774" s="6" t="n"/>
      <c r="AM774" s="6" t="n"/>
      <c r="AN774" s="6" t="n"/>
      <c r="AO774" s="3">
        <f>IF($AN774="","",HYPERLINK(p_ruta_base_checklists&amp;$AN774,"abrir"))</f>
        <v/>
      </c>
      <c r="AP774" s="6" t="n"/>
      <c r="AQ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IF($A775="","",IFERROR(INDEX('AJUSTES'!$B$4:$B$303,MATCH($AQ775,'AJUSTES'!$A$4:$A$303,0)),IF($K775="","",$K775)))</f>
        <v/>
      </c>
      <c r="N775" s="3">
        <f>IF($A775="","",IFERROR(INDEX('CAT_ESTADOS_ERP'!$B$4:$B$7,MATCH(IFERROR(INDEX('2_IMPORTAR_EJECUCION'!$C$9:$C$1208,MATCH($AQ775,'2_IMPORTAR_EJECUCION'!$J$9:$J$1208,0)),""),'CAT_ESTADOS_ERP'!$A$4:$A$7,0)),"Pendiente"))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J775="","",IFERROR(INDEX('CALENDARIO'!$C$15:$C$214,MATCH(TEXT($J775,"yyyy-mm-dd")&amp;"|"&amp;$V775&amp;"|"&amp;$W775,'CALENDARIO'!$G$15:$G$214,0)),IFERROR(INDEX('CALENDARIO'!$C$15:$C$214,MATCH(TEXT($J775,"yyyy-mm-dd")&amp;"|"&amp;$V775&amp;"|",'CALENDARIO'!$G$15:$G$214,0)),IFERROR(INDEX('CALENDARIO'!$C$15:$C$214,MATCH(TEXT($J775,"yyyy-mm-dd")&amp;"||",'CALENDARIO'!$G$15:$G$214,0)),INDEX(patronHabil,WEEKDAY($J775,2))))))</f>
        <v/>
      </c>
      <c r="T775" s="3">
        <f>IF($I775="","",IFERROR(INDEX('CAT_TIPOS_OT'!$C$4:$C$7,MATCH($I775,'CAT_TIPOS_OT'!$A$4:$A$7,0)),"sin_clasificar"))</f>
        <v/>
      </c>
      <c r="U775" s="3">
        <f>IF($F775="","",IFERROR(INDEX('CAT_CENTROS_COSTO'!$F$4:$F$13,MATCH($F775,'CAT_CENTROS_COSTO'!$A$4:$A$13,0)),"(sin catálogo)"))</f>
        <v/>
      </c>
      <c r="V775" s="3">
        <f>IF($F775="","",IFERROR(INDEX('CAT_CENTROS_COSTO'!$D$4:$D$13,MATCH($F775,'CAT_CENTROS_COSTO'!$A$4:$A$13,0)),"(sin catálogo)"))</f>
        <v/>
      </c>
      <c r="W775" s="3">
        <f>IF($F775="","",IF((IFERROR(INDEX('CAT_CENTROS_COSTO'!$E$4:$E$13,MATCH($F775,'CAT_CENTROS_COSTO'!$A$4:$A$13,0)),""))&lt;&gt;"",IFERROR(INDEX('CAT_CENTROS_COSTO'!$E$4:$E$13,MATCH($F775,'CAT_CENTROS_COSTO'!$A$4:$A$13,0)),""),$V775))</f>
        <v/>
      </c>
      <c r="X775" s="3">
        <f>IF($F775="","",IFERROR(INDEX('CAT_CENTROS_COSTO'!$G$4:$G$13,MATCH($F775,'CAT_CENTROS_COSTO'!$A$4:$A$13,0)),"(sin catálogo)"))</f>
        <v/>
      </c>
      <c r="Y775" s="3">
        <f>IF($G775="","",IFERROR(INDEX('CAT_PUESTOS'!$B$4:$B$8,MATCH($G775,'CAT_PUESTOS'!$A$4:$A$8,0)),"(sin catálogo)"))</f>
        <v/>
      </c>
      <c r="Z775" s="3">
        <f>IF($H775="","",IFERROR(INDEX('CAT_ACTIVIDADES'!$B$4:$B$8,MATCH($H775,'CAT_ACTIVIDADES'!$A$4:$A$8,0)),"(sin catálogo)"))</f>
        <v/>
      </c>
      <c r="AA775" s="12">
        <f>IF($J775="","",TODAY()-$J775)</f>
        <v/>
      </c>
      <c r="AB775" s="12">
        <f>IF($J775="","",IF($J775&lt;=TODAY(),COUNTIFS(cal_fechas,"&gt;="&amp;$J775,cal_fechas,"&lt;"&amp;TODAY(),cal_habil,"sí"),-COUNTIFS(cal_fechas,"&gt;="&amp;TODAY(),cal_fechas,"&lt;"&amp;$J775,cal_habil,"sí")))</f>
        <v/>
      </c>
      <c r="AC775" s="3">
        <f>IF($AB775="","",IF($AB775&lt;0,"FUTURO",IF($AB775&gt;p_dias_backlog_max,"BACKLOG","MES CORRIENTE")))</f>
        <v/>
      </c>
      <c r="AD775" s="3">
        <f>IF($AB775="",FALSE,AND($AB775&gt;p_dias_backlog_min,$AB775&lt;=p_dias_backlog_max))</f>
        <v/>
      </c>
      <c r="AE775" s="6" t="n"/>
      <c r="AF775" s="3">
        <f>IF($AE775="","",IF((IFERROR(INDEX('ASIGNACIONES'!$F$4:$F$339,MATCH($O775&amp;"|"&amp;$R775&amp;"|"&amp;$AE775,'ASIGNACIONES'!$J$4:$J$339,0)),""))=0,"",IFERROR(INDEX('ASIGNACIONES'!$F$4:$F$339,MATCH($O775&amp;"|"&amp;$R775&amp;"|"&amp;$AE775,'ASIGNACIONES'!$J$4:$J$339,0)),"")))</f>
        <v/>
      </c>
      <c r="AG775" s="13">
        <f>IF($AE775="","",SUMIFS('ORDENES'!$M$4:$M$1203,'ORDENES'!$AE$4:$AE$1203,$AE775,'ORDENES'!$O$4:$O$1203,$O775,'ORDENES'!$R$4:$R$1203,$R775))</f>
        <v/>
      </c>
      <c r="AH775" s="13">
        <f>IF($AG775="","",p_factor_productividad*IFERROR(INDEX('ASIGNACIONES'!$I$4:$I$339,MATCH($O775&amp;"|"&amp;$R775&amp;"|"&amp;$AE775,'ASIGNACIONES'!$J$4:$J$339,0)),0)-$AG775)</f>
        <v/>
      </c>
      <c r="AI775" s="10">
        <f>IF($A775="","",IFERROR(INDEX('2_IMPORTAR_EJECUCION'!$F$9:$F$1208,MATCH($AQ775,'2_IMPORTAR_EJECUCION'!$J$9:$J$1208,0)),0))</f>
        <v/>
      </c>
      <c r="AJ775" s="10">
        <f>IF($A775="","",MAX(0,IFERROR(INDEX('2_IMPORTAR_EJECUCION'!$H$9:$H$1208,MATCH($AQ775,'2_IMPORTAR_EJECUCION'!$J$9:$J$1208,0)),0)-$AI775))</f>
        <v/>
      </c>
      <c r="AK775" s="10">
        <f>IF($A775="","",$AI775+$AJ775)</f>
        <v/>
      </c>
      <c r="AL775" s="6" t="n"/>
      <c r="AM775" s="6" t="n"/>
      <c r="AN775" s="6" t="n"/>
      <c r="AO775" s="3">
        <f>IF($AN775="","",HYPERLINK(p_ruta_base_checklists&amp;$AN775,"abrir"))</f>
        <v/>
      </c>
      <c r="AP775" s="6" t="n"/>
      <c r="AQ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IF($A776="","",IFERROR(INDEX('AJUSTES'!$B$4:$B$303,MATCH($AQ776,'AJUSTES'!$A$4:$A$303,0)),IF($K776="","",$K776)))</f>
        <v/>
      </c>
      <c r="N776" s="3">
        <f>IF($A776="","",IFERROR(INDEX('CAT_ESTADOS_ERP'!$B$4:$B$7,MATCH(IFERROR(INDEX('2_IMPORTAR_EJECUCION'!$C$9:$C$1208,MATCH($AQ776,'2_IMPORTAR_EJECUCION'!$J$9:$J$1208,0)),""),'CAT_ESTADOS_ERP'!$A$4:$A$7,0)),"Pendiente"))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J776="","",IFERROR(INDEX('CALENDARIO'!$C$15:$C$214,MATCH(TEXT($J776,"yyyy-mm-dd")&amp;"|"&amp;$V776&amp;"|"&amp;$W776,'CALENDARIO'!$G$15:$G$214,0)),IFERROR(INDEX('CALENDARIO'!$C$15:$C$214,MATCH(TEXT($J776,"yyyy-mm-dd")&amp;"|"&amp;$V776&amp;"|",'CALENDARIO'!$G$15:$G$214,0)),IFERROR(INDEX('CALENDARIO'!$C$15:$C$214,MATCH(TEXT($J776,"yyyy-mm-dd")&amp;"||",'CALENDARIO'!$G$15:$G$214,0)),INDEX(patronHabil,WEEKDAY($J776,2))))))</f>
        <v/>
      </c>
      <c r="T776" s="3">
        <f>IF($I776="","",IFERROR(INDEX('CAT_TIPOS_OT'!$C$4:$C$7,MATCH($I776,'CAT_TIPOS_OT'!$A$4:$A$7,0)),"sin_clasificar"))</f>
        <v/>
      </c>
      <c r="U776" s="3">
        <f>IF($F776="","",IFERROR(INDEX('CAT_CENTROS_COSTO'!$F$4:$F$13,MATCH($F776,'CAT_CENTROS_COSTO'!$A$4:$A$13,0)),"(sin catálogo)"))</f>
        <v/>
      </c>
      <c r="V776" s="3">
        <f>IF($F776="","",IFERROR(INDEX('CAT_CENTROS_COSTO'!$D$4:$D$13,MATCH($F776,'CAT_CENTROS_COSTO'!$A$4:$A$13,0)),"(sin catálogo)"))</f>
        <v/>
      </c>
      <c r="W776" s="3">
        <f>IF($F776="","",IF((IFERROR(INDEX('CAT_CENTROS_COSTO'!$E$4:$E$13,MATCH($F776,'CAT_CENTROS_COSTO'!$A$4:$A$13,0)),""))&lt;&gt;"",IFERROR(INDEX('CAT_CENTROS_COSTO'!$E$4:$E$13,MATCH($F776,'CAT_CENTROS_COSTO'!$A$4:$A$13,0)),""),$V776))</f>
        <v/>
      </c>
      <c r="X776" s="3">
        <f>IF($F776="","",IFERROR(INDEX('CAT_CENTROS_COSTO'!$G$4:$G$13,MATCH($F776,'CAT_CENTROS_COSTO'!$A$4:$A$13,0)),"(sin catálogo)"))</f>
        <v/>
      </c>
      <c r="Y776" s="3">
        <f>IF($G776="","",IFERROR(INDEX('CAT_PUESTOS'!$B$4:$B$8,MATCH($G776,'CAT_PUESTOS'!$A$4:$A$8,0)),"(sin catálogo)"))</f>
        <v/>
      </c>
      <c r="Z776" s="3">
        <f>IF($H776="","",IFERROR(INDEX('CAT_ACTIVIDADES'!$B$4:$B$8,MATCH($H776,'CAT_ACTIVIDADES'!$A$4:$A$8,0)),"(sin catálogo)"))</f>
        <v/>
      </c>
      <c r="AA776" s="12">
        <f>IF($J776="","",TODAY()-$J776)</f>
        <v/>
      </c>
      <c r="AB776" s="12">
        <f>IF($J776="","",IF($J776&lt;=TODAY(),COUNTIFS(cal_fechas,"&gt;="&amp;$J776,cal_fechas,"&lt;"&amp;TODAY(),cal_habil,"sí"),-COUNTIFS(cal_fechas,"&gt;="&amp;TODAY(),cal_fechas,"&lt;"&amp;$J776,cal_habil,"sí")))</f>
        <v/>
      </c>
      <c r="AC776" s="3">
        <f>IF($AB776="","",IF($AB776&lt;0,"FUTURO",IF($AB776&gt;p_dias_backlog_max,"BACKLOG","MES CORRIENTE")))</f>
        <v/>
      </c>
      <c r="AD776" s="3">
        <f>IF($AB776="",FALSE,AND($AB776&gt;p_dias_backlog_min,$AB776&lt;=p_dias_backlog_max))</f>
        <v/>
      </c>
      <c r="AE776" s="6" t="n"/>
      <c r="AF776" s="3">
        <f>IF($AE776="","",IF((IFERROR(INDEX('ASIGNACIONES'!$F$4:$F$339,MATCH($O776&amp;"|"&amp;$R776&amp;"|"&amp;$AE776,'ASIGNACIONES'!$J$4:$J$339,0)),""))=0,"",IFERROR(INDEX('ASIGNACIONES'!$F$4:$F$339,MATCH($O776&amp;"|"&amp;$R776&amp;"|"&amp;$AE776,'ASIGNACIONES'!$J$4:$J$339,0)),"")))</f>
        <v/>
      </c>
      <c r="AG776" s="13">
        <f>IF($AE776="","",SUMIFS('ORDENES'!$M$4:$M$1203,'ORDENES'!$AE$4:$AE$1203,$AE776,'ORDENES'!$O$4:$O$1203,$O776,'ORDENES'!$R$4:$R$1203,$R776))</f>
        <v/>
      </c>
      <c r="AH776" s="13">
        <f>IF($AG776="","",p_factor_productividad*IFERROR(INDEX('ASIGNACIONES'!$I$4:$I$339,MATCH($O776&amp;"|"&amp;$R776&amp;"|"&amp;$AE776,'ASIGNACIONES'!$J$4:$J$339,0)),0)-$AG776)</f>
        <v/>
      </c>
      <c r="AI776" s="10">
        <f>IF($A776="","",IFERROR(INDEX('2_IMPORTAR_EJECUCION'!$F$9:$F$1208,MATCH($AQ776,'2_IMPORTAR_EJECUCION'!$J$9:$J$1208,0)),0))</f>
        <v/>
      </c>
      <c r="AJ776" s="10">
        <f>IF($A776="","",MAX(0,IFERROR(INDEX('2_IMPORTAR_EJECUCION'!$H$9:$H$1208,MATCH($AQ776,'2_IMPORTAR_EJECUCION'!$J$9:$J$1208,0)),0)-$AI776))</f>
        <v/>
      </c>
      <c r="AK776" s="10">
        <f>IF($A776="","",$AI776+$AJ776)</f>
        <v/>
      </c>
      <c r="AL776" s="6" t="n"/>
      <c r="AM776" s="6" t="n"/>
      <c r="AN776" s="6" t="n"/>
      <c r="AO776" s="3">
        <f>IF($AN776="","",HYPERLINK(p_ruta_base_checklists&amp;$AN776,"abrir"))</f>
        <v/>
      </c>
      <c r="AP776" s="6" t="n"/>
      <c r="AQ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IF($A777="","",IFERROR(INDEX('AJUSTES'!$B$4:$B$303,MATCH($AQ777,'AJUSTES'!$A$4:$A$303,0)),IF($K777="","",$K777)))</f>
        <v/>
      </c>
      <c r="N777" s="3">
        <f>IF($A777="","",IFERROR(INDEX('CAT_ESTADOS_ERP'!$B$4:$B$7,MATCH(IFERROR(INDEX('2_IMPORTAR_EJECUCION'!$C$9:$C$1208,MATCH($AQ777,'2_IMPORTAR_EJECUCION'!$J$9:$J$1208,0)),""),'CAT_ESTADOS_ERP'!$A$4:$A$7,0)),"Pendiente"))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J777="","",IFERROR(INDEX('CALENDARIO'!$C$15:$C$214,MATCH(TEXT($J777,"yyyy-mm-dd")&amp;"|"&amp;$V777&amp;"|"&amp;$W777,'CALENDARIO'!$G$15:$G$214,0)),IFERROR(INDEX('CALENDARIO'!$C$15:$C$214,MATCH(TEXT($J777,"yyyy-mm-dd")&amp;"|"&amp;$V777&amp;"|",'CALENDARIO'!$G$15:$G$214,0)),IFERROR(INDEX('CALENDARIO'!$C$15:$C$214,MATCH(TEXT($J777,"yyyy-mm-dd")&amp;"||",'CALENDARIO'!$G$15:$G$214,0)),INDEX(patronHabil,WEEKDAY($J777,2))))))</f>
        <v/>
      </c>
      <c r="T777" s="3">
        <f>IF($I777="","",IFERROR(INDEX('CAT_TIPOS_OT'!$C$4:$C$7,MATCH($I777,'CAT_TIPOS_OT'!$A$4:$A$7,0)),"sin_clasificar"))</f>
        <v/>
      </c>
      <c r="U777" s="3">
        <f>IF($F777="","",IFERROR(INDEX('CAT_CENTROS_COSTO'!$F$4:$F$13,MATCH($F777,'CAT_CENTROS_COSTO'!$A$4:$A$13,0)),"(sin catálogo)"))</f>
        <v/>
      </c>
      <c r="V777" s="3">
        <f>IF($F777="","",IFERROR(INDEX('CAT_CENTROS_COSTO'!$D$4:$D$13,MATCH($F777,'CAT_CENTROS_COSTO'!$A$4:$A$13,0)),"(sin catálogo)"))</f>
        <v/>
      </c>
      <c r="W777" s="3">
        <f>IF($F777="","",IF((IFERROR(INDEX('CAT_CENTROS_COSTO'!$E$4:$E$13,MATCH($F777,'CAT_CENTROS_COSTO'!$A$4:$A$13,0)),""))&lt;&gt;"",IFERROR(INDEX('CAT_CENTROS_COSTO'!$E$4:$E$13,MATCH($F777,'CAT_CENTROS_COSTO'!$A$4:$A$13,0)),""),$V777))</f>
        <v/>
      </c>
      <c r="X777" s="3">
        <f>IF($F777="","",IFERROR(INDEX('CAT_CENTROS_COSTO'!$G$4:$G$13,MATCH($F777,'CAT_CENTROS_COSTO'!$A$4:$A$13,0)),"(sin catálogo)"))</f>
        <v/>
      </c>
      <c r="Y777" s="3">
        <f>IF($G777="","",IFERROR(INDEX('CAT_PUESTOS'!$B$4:$B$8,MATCH($G777,'CAT_PUESTOS'!$A$4:$A$8,0)),"(sin catálogo)"))</f>
        <v/>
      </c>
      <c r="Z777" s="3">
        <f>IF($H777="","",IFERROR(INDEX('CAT_ACTIVIDADES'!$B$4:$B$8,MATCH($H777,'CAT_ACTIVIDADES'!$A$4:$A$8,0)),"(sin catálogo)"))</f>
        <v/>
      </c>
      <c r="AA777" s="12">
        <f>IF($J777="","",TODAY()-$J777)</f>
        <v/>
      </c>
      <c r="AB777" s="12">
        <f>IF($J777="","",IF($J777&lt;=TODAY(),COUNTIFS(cal_fechas,"&gt;="&amp;$J777,cal_fechas,"&lt;"&amp;TODAY(),cal_habil,"sí"),-COUNTIFS(cal_fechas,"&gt;="&amp;TODAY(),cal_fechas,"&lt;"&amp;$J777,cal_habil,"sí")))</f>
        <v/>
      </c>
      <c r="AC777" s="3">
        <f>IF($AB777="","",IF($AB777&lt;0,"FUTURO",IF($AB777&gt;p_dias_backlog_max,"BACKLOG","MES CORRIENTE")))</f>
        <v/>
      </c>
      <c r="AD777" s="3">
        <f>IF($AB777="",FALSE,AND($AB777&gt;p_dias_backlog_min,$AB777&lt;=p_dias_backlog_max))</f>
        <v/>
      </c>
      <c r="AE777" s="6" t="n"/>
      <c r="AF777" s="3">
        <f>IF($AE777="","",IF((IFERROR(INDEX('ASIGNACIONES'!$F$4:$F$339,MATCH($O777&amp;"|"&amp;$R777&amp;"|"&amp;$AE777,'ASIGNACIONES'!$J$4:$J$339,0)),""))=0,"",IFERROR(INDEX('ASIGNACIONES'!$F$4:$F$339,MATCH($O777&amp;"|"&amp;$R777&amp;"|"&amp;$AE777,'ASIGNACIONES'!$J$4:$J$339,0)),"")))</f>
        <v/>
      </c>
      <c r="AG777" s="13">
        <f>IF($AE777="","",SUMIFS('ORDENES'!$M$4:$M$1203,'ORDENES'!$AE$4:$AE$1203,$AE777,'ORDENES'!$O$4:$O$1203,$O777,'ORDENES'!$R$4:$R$1203,$R777))</f>
        <v/>
      </c>
      <c r="AH777" s="13">
        <f>IF($AG777="","",p_factor_productividad*IFERROR(INDEX('ASIGNACIONES'!$I$4:$I$339,MATCH($O777&amp;"|"&amp;$R777&amp;"|"&amp;$AE777,'ASIGNACIONES'!$J$4:$J$339,0)),0)-$AG777)</f>
        <v/>
      </c>
      <c r="AI777" s="10">
        <f>IF($A777="","",IFERROR(INDEX('2_IMPORTAR_EJECUCION'!$F$9:$F$1208,MATCH($AQ777,'2_IMPORTAR_EJECUCION'!$J$9:$J$1208,0)),0))</f>
        <v/>
      </c>
      <c r="AJ777" s="10">
        <f>IF($A777="","",MAX(0,IFERROR(INDEX('2_IMPORTAR_EJECUCION'!$H$9:$H$1208,MATCH($AQ777,'2_IMPORTAR_EJECUCION'!$J$9:$J$1208,0)),0)-$AI777))</f>
        <v/>
      </c>
      <c r="AK777" s="10">
        <f>IF($A777="","",$AI777+$AJ777)</f>
        <v/>
      </c>
      <c r="AL777" s="6" t="n"/>
      <c r="AM777" s="6" t="n"/>
      <c r="AN777" s="6" t="n"/>
      <c r="AO777" s="3">
        <f>IF($AN777="","",HYPERLINK(p_ruta_base_checklists&amp;$AN777,"abrir"))</f>
        <v/>
      </c>
      <c r="AP777" s="6" t="n"/>
      <c r="AQ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IF($A778="","",IFERROR(INDEX('AJUSTES'!$B$4:$B$303,MATCH($AQ778,'AJUSTES'!$A$4:$A$303,0)),IF($K778="","",$K778)))</f>
        <v/>
      </c>
      <c r="N778" s="3">
        <f>IF($A778="","",IFERROR(INDEX('CAT_ESTADOS_ERP'!$B$4:$B$7,MATCH(IFERROR(INDEX('2_IMPORTAR_EJECUCION'!$C$9:$C$1208,MATCH($AQ778,'2_IMPORTAR_EJECUCION'!$J$9:$J$1208,0)),""),'CAT_ESTADOS_ERP'!$A$4:$A$7,0)),"Pendiente"))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J778="","",IFERROR(INDEX('CALENDARIO'!$C$15:$C$214,MATCH(TEXT($J778,"yyyy-mm-dd")&amp;"|"&amp;$V778&amp;"|"&amp;$W778,'CALENDARIO'!$G$15:$G$214,0)),IFERROR(INDEX('CALENDARIO'!$C$15:$C$214,MATCH(TEXT($J778,"yyyy-mm-dd")&amp;"|"&amp;$V778&amp;"|",'CALENDARIO'!$G$15:$G$214,0)),IFERROR(INDEX('CALENDARIO'!$C$15:$C$214,MATCH(TEXT($J778,"yyyy-mm-dd")&amp;"||",'CALENDARIO'!$G$15:$G$214,0)),INDEX(patronHabil,WEEKDAY($J778,2))))))</f>
        <v/>
      </c>
      <c r="T778" s="3">
        <f>IF($I778="","",IFERROR(INDEX('CAT_TIPOS_OT'!$C$4:$C$7,MATCH($I778,'CAT_TIPOS_OT'!$A$4:$A$7,0)),"sin_clasificar"))</f>
        <v/>
      </c>
      <c r="U778" s="3">
        <f>IF($F778="","",IFERROR(INDEX('CAT_CENTROS_COSTO'!$F$4:$F$13,MATCH($F778,'CAT_CENTROS_COSTO'!$A$4:$A$13,0)),"(sin catálogo)"))</f>
        <v/>
      </c>
      <c r="V778" s="3">
        <f>IF($F778="","",IFERROR(INDEX('CAT_CENTROS_COSTO'!$D$4:$D$13,MATCH($F778,'CAT_CENTROS_COSTO'!$A$4:$A$13,0)),"(sin catálogo)"))</f>
        <v/>
      </c>
      <c r="W778" s="3">
        <f>IF($F778="","",IF((IFERROR(INDEX('CAT_CENTROS_COSTO'!$E$4:$E$13,MATCH($F778,'CAT_CENTROS_COSTO'!$A$4:$A$13,0)),""))&lt;&gt;"",IFERROR(INDEX('CAT_CENTROS_COSTO'!$E$4:$E$13,MATCH($F778,'CAT_CENTROS_COSTO'!$A$4:$A$13,0)),""),$V778))</f>
        <v/>
      </c>
      <c r="X778" s="3">
        <f>IF($F778="","",IFERROR(INDEX('CAT_CENTROS_COSTO'!$G$4:$G$13,MATCH($F778,'CAT_CENTROS_COSTO'!$A$4:$A$13,0)),"(sin catálogo)"))</f>
        <v/>
      </c>
      <c r="Y778" s="3">
        <f>IF($G778="","",IFERROR(INDEX('CAT_PUESTOS'!$B$4:$B$8,MATCH($G778,'CAT_PUESTOS'!$A$4:$A$8,0)),"(sin catálogo)"))</f>
        <v/>
      </c>
      <c r="Z778" s="3">
        <f>IF($H778="","",IFERROR(INDEX('CAT_ACTIVIDADES'!$B$4:$B$8,MATCH($H778,'CAT_ACTIVIDADES'!$A$4:$A$8,0)),"(sin catálogo)"))</f>
        <v/>
      </c>
      <c r="AA778" s="12">
        <f>IF($J778="","",TODAY()-$J778)</f>
        <v/>
      </c>
      <c r="AB778" s="12">
        <f>IF($J778="","",IF($J778&lt;=TODAY(),COUNTIFS(cal_fechas,"&gt;="&amp;$J778,cal_fechas,"&lt;"&amp;TODAY(),cal_habil,"sí"),-COUNTIFS(cal_fechas,"&gt;="&amp;TODAY(),cal_fechas,"&lt;"&amp;$J778,cal_habil,"sí")))</f>
        <v/>
      </c>
      <c r="AC778" s="3">
        <f>IF($AB778="","",IF($AB778&lt;0,"FUTURO",IF($AB778&gt;p_dias_backlog_max,"BACKLOG","MES CORRIENTE")))</f>
        <v/>
      </c>
      <c r="AD778" s="3">
        <f>IF($AB778="",FALSE,AND($AB778&gt;p_dias_backlog_min,$AB778&lt;=p_dias_backlog_max))</f>
        <v/>
      </c>
      <c r="AE778" s="6" t="n"/>
      <c r="AF778" s="3">
        <f>IF($AE778="","",IF((IFERROR(INDEX('ASIGNACIONES'!$F$4:$F$339,MATCH($O778&amp;"|"&amp;$R778&amp;"|"&amp;$AE778,'ASIGNACIONES'!$J$4:$J$339,0)),""))=0,"",IFERROR(INDEX('ASIGNACIONES'!$F$4:$F$339,MATCH($O778&amp;"|"&amp;$R778&amp;"|"&amp;$AE778,'ASIGNACIONES'!$J$4:$J$339,0)),"")))</f>
        <v/>
      </c>
      <c r="AG778" s="13">
        <f>IF($AE778="","",SUMIFS('ORDENES'!$M$4:$M$1203,'ORDENES'!$AE$4:$AE$1203,$AE778,'ORDENES'!$O$4:$O$1203,$O778,'ORDENES'!$R$4:$R$1203,$R778))</f>
        <v/>
      </c>
      <c r="AH778" s="13">
        <f>IF($AG778="","",p_factor_productividad*IFERROR(INDEX('ASIGNACIONES'!$I$4:$I$339,MATCH($O778&amp;"|"&amp;$R778&amp;"|"&amp;$AE778,'ASIGNACIONES'!$J$4:$J$339,0)),0)-$AG778)</f>
        <v/>
      </c>
      <c r="AI778" s="10">
        <f>IF($A778="","",IFERROR(INDEX('2_IMPORTAR_EJECUCION'!$F$9:$F$1208,MATCH($AQ778,'2_IMPORTAR_EJECUCION'!$J$9:$J$1208,0)),0))</f>
        <v/>
      </c>
      <c r="AJ778" s="10">
        <f>IF($A778="","",MAX(0,IFERROR(INDEX('2_IMPORTAR_EJECUCION'!$H$9:$H$1208,MATCH($AQ778,'2_IMPORTAR_EJECUCION'!$J$9:$J$1208,0)),0)-$AI778))</f>
        <v/>
      </c>
      <c r="AK778" s="10">
        <f>IF($A778="","",$AI778+$AJ778)</f>
        <v/>
      </c>
      <c r="AL778" s="6" t="n"/>
      <c r="AM778" s="6" t="n"/>
      <c r="AN778" s="6" t="n"/>
      <c r="AO778" s="3">
        <f>IF($AN778="","",HYPERLINK(p_ruta_base_checklists&amp;$AN778,"abrir"))</f>
        <v/>
      </c>
      <c r="AP778" s="6" t="n"/>
      <c r="AQ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IF($A779="","",IFERROR(INDEX('AJUSTES'!$B$4:$B$303,MATCH($AQ779,'AJUSTES'!$A$4:$A$303,0)),IF($K779="","",$K779)))</f>
        <v/>
      </c>
      <c r="N779" s="3">
        <f>IF($A779="","",IFERROR(INDEX('CAT_ESTADOS_ERP'!$B$4:$B$7,MATCH(IFERROR(INDEX('2_IMPORTAR_EJECUCION'!$C$9:$C$1208,MATCH($AQ779,'2_IMPORTAR_EJECUCION'!$J$9:$J$1208,0)),""),'CAT_ESTADOS_ERP'!$A$4:$A$7,0)),"Pendiente"))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J779="","",IFERROR(INDEX('CALENDARIO'!$C$15:$C$214,MATCH(TEXT($J779,"yyyy-mm-dd")&amp;"|"&amp;$V779&amp;"|"&amp;$W779,'CALENDARIO'!$G$15:$G$214,0)),IFERROR(INDEX('CALENDARIO'!$C$15:$C$214,MATCH(TEXT($J779,"yyyy-mm-dd")&amp;"|"&amp;$V779&amp;"|",'CALENDARIO'!$G$15:$G$214,0)),IFERROR(INDEX('CALENDARIO'!$C$15:$C$214,MATCH(TEXT($J779,"yyyy-mm-dd")&amp;"||",'CALENDARIO'!$G$15:$G$214,0)),INDEX(patronHabil,WEEKDAY($J779,2))))))</f>
        <v/>
      </c>
      <c r="T779" s="3">
        <f>IF($I779="","",IFERROR(INDEX('CAT_TIPOS_OT'!$C$4:$C$7,MATCH($I779,'CAT_TIPOS_OT'!$A$4:$A$7,0)),"sin_clasificar"))</f>
        <v/>
      </c>
      <c r="U779" s="3">
        <f>IF($F779="","",IFERROR(INDEX('CAT_CENTROS_COSTO'!$F$4:$F$13,MATCH($F779,'CAT_CENTROS_COSTO'!$A$4:$A$13,0)),"(sin catálogo)"))</f>
        <v/>
      </c>
      <c r="V779" s="3">
        <f>IF($F779="","",IFERROR(INDEX('CAT_CENTROS_COSTO'!$D$4:$D$13,MATCH($F779,'CAT_CENTROS_COSTO'!$A$4:$A$13,0)),"(sin catálogo)"))</f>
        <v/>
      </c>
      <c r="W779" s="3">
        <f>IF($F779="","",IF((IFERROR(INDEX('CAT_CENTROS_COSTO'!$E$4:$E$13,MATCH($F779,'CAT_CENTROS_COSTO'!$A$4:$A$13,0)),""))&lt;&gt;"",IFERROR(INDEX('CAT_CENTROS_COSTO'!$E$4:$E$13,MATCH($F779,'CAT_CENTROS_COSTO'!$A$4:$A$13,0)),""),$V779))</f>
        <v/>
      </c>
      <c r="X779" s="3">
        <f>IF($F779="","",IFERROR(INDEX('CAT_CENTROS_COSTO'!$G$4:$G$13,MATCH($F779,'CAT_CENTROS_COSTO'!$A$4:$A$13,0)),"(sin catálogo)"))</f>
        <v/>
      </c>
      <c r="Y779" s="3">
        <f>IF($G779="","",IFERROR(INDEX('CAT_PUESTOS'!$B$4:$B$8,MATCH($G779,'CAT_PUESTOS'!$A$4:$A$8,0)),"(sin catálogo)"))</f>
        <v/>
      </c>
      <c r="Z779" s="3">
        <f>IF($H779="","",IFERROR(INDEX('CAT_ACTIVIDADES'!$B$4:$B$8,MATCH($H779,'CAT_ACTIVIDADES'!$A$4:$A$8,0)),"(sin catálogo)"))</f>
        <v/>
      </c>
      <c r="AA779" s="12">
        <f>IF($J779="","",TODAY()-$J779)</f>
        <v/>
      </c>
      <c r="AB779" s="12">
        <f>IF($J779="","",IF($J779&lt;=TODAY(),COUNTIFS(cal_fechas,"&gt;="&amp;$J779,cal_fechas,"&lt;"&amp;TODAY(),cal_habil,"sí"),-COUNTIFS(cal_fechas,"&gt;="&amp;TODAY(),cal_fechas,"&lt;"&amp;$J779,cal_habil,"sí")))</f>
        <v/>
      </c>
      <c r="AC779" s="3">
        <f>IF($AB779="","",IF($AB779&lt;0,"FUTURO",IF($AB779&gt;p_dias_backlog_max,"BACKLOG","MES CORRIENTE")))</f>
        <v/>
      </c>
      <c r="AD779" s="3">
        <f>IF($AB779="",FALSE,AND($AB779&gt;p_dias_backlog_min,$AB779&lt;=p_dias_backlog_max))</f>
        <v/>
      </c>
      <c r="AE779" s="6" t="n"/>
      <c r="AF779" s="3">
        <f>IF($AE779="","",IF((IFERROR(INDEX('ASIGNACIONES'!$F$4:$F$339,MATCH($O779&amp;"|"&amp;$R779&amp;"|"&amp;$AE779,'ASIGNACIONES'!$J$4:$J$339,0)),""))=0,"",IFERROR(INDEX('ASIGNACIONES'!$F$4:$F$339,MATCH($O779&amp;"|"&amp;$R779&amp;"|"&amp;$AE779,'ASIGNACIONES'!$J$4:$J$339,0)),"")))</f>
        <v/>
      </c>
      <c r="AG779" s="13">
        <f>IF($AE779="","",SUMIFS('ORDENES'!$M$4:$M$1203,'ORDENES'!$AE$4:$AE$1203,$AE779,'ORDENES'!$O$4:$O$1203,$O779,'ORDENES'!$R$4:$R$1203,$R779))</f>
        <v/>
      </c>
      <c r="AH779" s="13">
        <f>IF($AG779="","",p_factor_productividad*IFERROR(INDEX('ASIGNACIONES'!$I$4:$I$339,MATCH($O779&amp;"|"&amp;$R779&amp;"|"&amp;$AE779,'ASIGNACIONES'!$J$4:$J$339,0)),0)-$AG779)</f>
        <v/>
      </c>
      <c r="AI779" s="10">
        <f>IF($A779="","",IFERROR(INDEX('2_IMPORTAR_EJECUCION'!$F$9:$F$1208,MATCH($AQ779,'2_IMPORTAR_EJECUCION'!$J$9:$J$1208,0)),0))</f>
        <v/>
      </c>
      <c r="AJ779" s="10">
        <f>IF($A779="","",MAX(0,IFERROR(INDEX('2_IMPORTAR_EJECUCION'!$H$9:$H$1208,MATCH($AQ779,'2_IMPORTAR_EJECUCION'!$J$9:$J$1208,0)),0)-$AI779))</f>
        <v/>
      </c>
      <c r="AK779" s="10">
        <f>IF($A779="","",$AI779+$AJ779)</f>
        <v/>
      </c>
      <c r="AL779" s="6" t="n"/>
      <c r="AM779" s="6" t="n"/>
      <c r="AN779" s="6" t="n"/>
      <c r="AO779" s="3">
        <f>IF($AN779="","",HYPERLINK(p_ruta_base_checklists&amp;$AN779,"abrir"))</f>
        <v/>
      </c>
      <c r="AP779" s="6" t="n"/>
      <c r="AQ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IF($A780="","",IFERROR(INDEX('AJUSTES'!$B$4:$B$303,MATCH($AQ780,'AJUSTES'!$A$4:$A$303,0)),IF($K780="","",$K780)))</f>
        <v/>
      </c>
      <c r="N780" s="3">
        <f>IF($A780="","",IFERROR(INDEX('CAT_ESTADOS_ERP'!$B$4:$B$7,MATCH(IFERROR(INDEX('2_IMPORTAR_EJECUCION'!$C$9:$C$1208,MATCH($AQ780,'2_IMPORTAR_EJECUCION'!$J$9:$J$1208,0)),""),'CAT_ESTADOS_ERP'!$A$4:$A$7,0)),"Pendiente"))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J780="","",IFERROR(INDEX('CALENDARIO'!$C$15:$C$214,MATCH(TEXT($J780,"yyyy-mm-dd")&amp;"|"&amp;$V780&amp;"|"&amp;$W780,'CALENDARIO'!$G$15:$G$214,0)),IFERROR(INDEX('CALENDARIO'!$C$15:$C$214,MATCH(TEXT($J780,"yyyy-mm-dd")&amp;"|"&amp;$V780&amp;"|",'CALENDARIO'!$G$15:$G$214,0)),IFERROR(INDEX('CALENDARIO'!$C$15:$C$214,MATCH(TEXT($J780,"yyyy-mm-dd")&amp;"||",'CALENDARIO'!$G$15:$G$214,0)),INDEX(patronHabil,WEEKDAY($J780,2))))))</f>
        <v/>
      </c>
      <c r="T780" s="3">
        <f>IF($I780="","",IFERROR(INDEX('CAT_TIPOS_OT'!$C$4:$C$7,MATCH($I780,'CAT_TIPOS_OT'!$A$4:$A$7,0)),"sin_clasificar"))</f>
        <v/>
      </c>
      <c r="U780" s="3">
        <f>IF($F780="","",IFERROR(INDEX('CAT_CENTROS_COSTO'!$F$4:$F$13,MATCH($F780,'CAT_CENTROS_COSTO'!$A$4:$A$13,0)),"(sin catálogo)"))</f>
        <v/>
      </c>
      <c r="V780" s="3">
        <f>IF($F780="","",IFERROR(INDEX('CAT_CENTROS_COSTO'!$D$4:$D$13,MATCH($F780,'CAT_CENTROS_COSTO'!$A$4:$A$13,0)),"(sin catálogo)"))</f>
        <v/>
      </c>
      <c r="W780" s="3">
        <f>IF($F780="","",IF((IFERROR(INDEX('CAT_CENTROS_COSTO'!$E$4:$E$13,MATCH($F780,'CAT_CENTROS_COSTO'!$A$4:$A$13,0)),""))&lt;&gt;"",IFERROR(INDEX('CAT_CENTROS_COSTO'!$E$4:$E$13,MATCH($F780,'CAT_CENTROS_COSTO'!$A$4:$A$13,0)),""),$V780))</f>
        <v/>
      </c>
      <c r="X780" s="3">
        <f>IF($F780="","",IFERROR(INDEX('CAT_CENTROS_COSTO'!$G$4:$G$13,MATCH($F780,'CAT_CENTROS_COSTO'!$A$4:$A$13,0)),"(sin catálogo)"))</f>
        <v/>
      </c>
      <c r="Y780" s="3">
        <f>IF($G780="","",IFERROR(INDEX('CAT_PUESTOS'!$B$4:$B$8,MATCH($G780,'CAT_PUESTOS'!$A$4:$A$8,0)),"(sin catálogo)"))</f>
        <v/>
      </c>
      <c r="Z780" s="3">
        <f>IF($H780="","",IFERROR(INDEX('CAT_ACTIVIDADES'!$B$4:$B$8,MATCH($H780,'CAT_ACTIVIDADES'!$A$4:$A$8,0)),"(sin catálogo)"))</f>
        <v/>
      </c>
      <c r="AA780" s="12">
        <f>IF($J780="","",TODAY()-$J780)</f>
        <v/>
      </c>
      <c r="AB780" s="12">
        <f>IF($J780="","",IF($J780&lt;=TODAY(),COUNTIFS(cal_fechas,"&gt;="&amp;$J780,cal_fechas,"&lt;"&amp;TODAY(),cal_habil,"sí"),-COUNTIFS(cal_fechas,"&gt;="&amp;TODAY(),cal_fechas,"&lt;"&amp;$J780,cal_habil,"sí")))</f>
        <v/>
      </c>
      <c r="AC780" s="3">
        <f>IF($AB780="","",IF($AB780&lt;0,"FUTURO",IF($AB780&gt;p_dias_backlog_max,"BACKLOG","MES CORRIENTE")))</f>
        <v/>
      </c>
      <c r="AD780" s="3">
        <f>IF($AB780="",FALSE,AND($AB780&gt;p_dias_backlog_min,$AB780&lt;=p_dias_backlog_max))</f>
        <v/>
      </c>
      <c r="AE780" s="6" t="n"/>
      <c r="AF780" s="3">
        <f>IF($AE780="","",IF((IFERROR(INDEX('ASIGNACIONES'!$F$4:$F$339,MATCH($O780&amp;"|"&amp;$R780&amp;"|"&amp;$AE780,'ASIGNACIONES'!$J$4:$J$339,0)),""))=0,"",IFERROR(INDEX('ASIGNACIONES'!$F$4:$F$339,MATCH($O780&amp;"|"&amp;$R780&amp;"|"&amp;$AE780,'ASIGNACIONES'!$J$4:$J$339,0)),"")))</f>
        <v/>
      </c>
      <c r="AG780" s="13">
        <f>IF($AE780="","",SUMIFS('ORDENES'!$M$4:$M$1203,'ORDENES'!$AE$4:$AE$1203,$AE780,'ORDENES'!$O$4:$O$1203,$O780,'ORDENES'!$R$4:$R$1203,$R780))</f>
        <v/>
      </c>
      <c r="AH780" s="13">
        <f>IF($AG780="","",p_factor_productividad*IFERROR(INDEX('ASIGNACIONES'!$I$4:$I$339,MATCH($O780&amp;"|"&amp;$R780&amp;"|"&amp;$AE780,'ASIGNACIONES'!$J$4:$J$339,0)),0)-$AG780)</f>
        <v/>
      </c>
      <c r="AI780" s="10">
        <f>IF($A780="","",IFERROR(INDEX('2_IMPORTAR_EJECUCION'!$F$9:$F$1208,MATCH($AQ780,'2_IMPORTAR_EJECUCION'!$J$9:$J$1208,0)),0))</f>
        <v/>
      </c>
      <c r="AJ780" s="10">
        <f>IF($A780="","",MAX(0,IFERROR(INDEX('2_IMPORTAR_EJECUCION'!$H$9:$H$1208,MATCH($AQ780,'2_IMPORTAR_EJECUCION'!$J$9:$J$1208,0)),0)-$AI780))</f>
        <v/>
      </c>
      <c r="AK780" s="10">
        <f>IF($A780="","",$AI780+$AJ780)</f>
        <v/>
      </c>
      <c r="AL780" s="6" t="n"/>
      <c r="AM780" s="6" t="n"/>
      <c r="AN780" s="6" t="n"/>
      <c r="AO780" s="3">
        <f>IF($AN780="","",HYPERLINK(p_ruta_base_checklists&amp;$AN780,"abrir"))</f>
        <v/>
      </c>
      <c r="AP780" s="6" t="n"/>
      <c r="AQ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IF($A781="","",IFERROR(INDEX('AJUSTES'!$B$4:$B$303,MATCH($AQ781,'AJUSTES'!$A$4:$A$303,0)),IF($K781="","",$K781)))</f>
        <v/>
      </c>
      <c r="N781" s="3">
        <f>IF($A781="","",IFERROR(INDEX('CAT_ESTADOS_ERP'!$B$4:$B$7,MATCH(IFERROR(INDEX('2_IMPORTAR_EJECUCION'!$C$9:$C$1208,MATCH($AQ781,'2_IMPORTAR_EJECUCION'!$J$9:$J$1208,0)),""),'CAT_ESTADOS_ERP'!$A$4:$A$7,0)),"Pendiente"))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J781="","",IFERROR(INDEX('CALENDARIO'!$C$15:$C$214,MATCH(TEXT($J781,"yyyy-mm-dd")&amp;"|"&amp;$V781&amp;"|"&amp;$W781,'CALENDARIO'!$G$15:$G$214,0)),IFERROR(INDEX('CALENDARIO'!$C$15:$C$214,MATCH(TEXT($J781,"yyyy-mm-dd")&amp;"|"&amp;$V781&amp;"|",'CALENDARIO'!$G$15:$G$214,0)),IFERROR(INDEX('CALENDARIO'!$C$15:$C$214,MATCH(TEXT($J781,"yyyy-mm-dd")&amp;"||",'CALENDARIO'!$G$15:$G$214,0)),INDEX(patronHabil,WEEKDAY($J781,2))))))</f>
        <v/>
      </c>
      <c r="T781" s="3">
        <f>IF($I781="","",IFERROR(INDEX('CAT_TIPOS_OT'!$C$4:$C$7,MATCH($I781,'CAT_TIPOS_OT'!$A$4:$A$7,0)),"sin_clasificar"))</f>
        <v/>
      </c>
      <c r="U781" s="3">
        <f>IF($F781="","",IFERROR(INDEX('CAT_CENTROS_COSTO'!$F$4:$F$13,MATCH($F781,'CAT_CENTROS_COSTO'!$A$4:$A$13,0)),"(sin catálogo)"))</f>
        <v/>
      </c>
      <c r="V781" s="3">
        <f>IF($F781="","",IFERROR(INDEX('CAT_CENTROS_COSTO'!$D$4:$D$13,MATCH($F781,'CAT_CENTROS_COSTO'!$A$4:$A$13,0)),"(sin catálogo)"))</f>
        <v/>
      </c>
      <c r="W781" s="3">
        <f>IF($F781="","",IF((IFERROR(INDEX('CAT_CENTROS_COSTO'!$E$4:$E$13,MATCH($F781,'CAT_CENTROS_COSTO'!$A$4:$A$13,0)),""))&lt;&gt;"",IFERROR(INDEX('CAT_CENTROS_COSTO'!$E$4:$E$13,MATCH($F781,'CAT_CENTROS_COSTO'!$A$4:$A$13,0)),""),$V781))</f>
        <v/>
      </c>
      <c r="X781" s="3">
        <f>IF($F781="","",IFERROR(INDEX('CAT_CENTROS_COSTO'!$G$4:$G$13,MATCH($F781,'CAT_CENTROS_COSTO'!$A$4:$A$13,0)),"(sin catálogo)"))</f>
        <v/>
      </c>
      <c r="Y781" s="3">
        <f>IF($G781="","",IFERROR(INDEX('CAT_PUESTOS'!$B$4:$B$8,MATCH($G781,'CAT_PUESTOS'!$A$4:$A$8,0)),"(sin catálogo)"))</f>
        <v/>
      </c>
      <c r="Z781" s="3">
        <f>IF($H781="","",IFERROR(INDEX('CAT_ACTIVIDADES'!$B$4:$B$8,MATCH($H781,'CAT_ACTIVIDADES'!$A$4:$A$8,0)),"(sin catálogo)"))</f>
        <v/>
      </c>
      <c r="AA781" s="12">
        <f>IF($J781="","",TODAY()-$J781)</f>
        <v/>
      </c>
      <c r="AB781" s="12">
        <f>IF($J781="","",IF($J781&lt;=TODAY(),COUNTIFS(cal_fechas,"&gt;="&amp;$J781,cal_fechas,"&lt;"&amp;TODAY(),cal_habil,"sí"),-COUNTIFS(cal_fechas,"&gt;="&amp;TODAY(),cal_fechas,"&lt;"&amp;$J781,cal_habil,"sí")))</f>
        <v/>
      </c>
      <c r="AC781" s="3">
        <f>IF($AB781="","",IF($AB781&lt;0,"FUTURO",IF($AB781&gt;p_dias_backlog_max,"BACKLOG","MES CORRIENTE")))</f>
        <v/>
      </c>
      <c r="AD781" s="3">
        <f>IF($AB781="",FALSE,AND($AB781&gt;p_dias_backlog_min,$AB781&lt;=p_dias_backlog_max))</f>
        <v/>
      </c>
      <c r="AE781" s="6" t="n"/>
      <c r="AF781" s="3">
        <f>IF($AE781="","",IF((IFERROR(INDEX('ASIGNACIONES'!$F$4:$F$339,MATCH($O781&amp;"|"&amp;$R781&amp;"|"&amp;$AE781,'ASIGNACIONES'!$J$4:$J$339,0)),""))=0,"",IFERROR(INDEX('ASIGNACIONES'!$F$4:$F$339,MATCH($O781&amp;"|"&amp;$R781&amp;"|"&amp;$AE781,'ASIGNACIONES'!$J$4:$J$339,0)),"")))</f>
        <v/>
      </c>
      <c r="AG781" s="13">
        <f>IF($AE781="","",SUMIFS('ORDENES'!$M$4:$M$1203,'ORDENES'!$AE$4:$AE$1203,$AE781,'ORDENES'!$O$4:$O$1203,$O781,'ORDENES'!$R$4:$R$1203,$R781))</f>
        <v/>
      </c>
      <c r="AH781" s="13">
        <f>IF($AG781="","",p_factor_productividad*IFERROR(INDEX('ASIGNACIONES'!$I$4:$I$339,MATCH($O781&amp;"|"&amp;$R781&amp;"|"&amp;$AE781,'ASIGNACIONES'!$J$4:$J$339,0)),0)-$AG781)</f>
        <v/>
      </c>
      <c r="AI781" s="10">
        <f>IF($A781="","",IFERROR(INDEX('2_IMPORTAR_EJECUCION'!$F$9:$F$1208,MATCH($AQ781,'2_IMPORTAR_EJECUCION'!$J$9:$J$1208,0)),0))</f>
        <v/>
      </c>
      <c r="AJ781" s="10">
        <f>IF($A781="","",MAX(0,IFERROR(INDEX('2_IMPORTAR_EJECUCION'!$H$9:$H$1208,MATCH($AQ781,'2_IMPORTAR_EJECUCION'!$J$9:$J$1208,0)),0)-$AI781))</f>
        <v/>
      </c>
      <c r="AK781" s="10">
        <f>IF($A781="","",$AI781+$AJ781)</f>
        <v/>
      </c>
      <c r="AL781" s="6" t="n"/>
      <c r="AM781" s="6" t="n"/>
      <c r="AN781" s="6" t="n"/>
      <c r="AO781" s="3">
        <f>IF($AN781="","",HYPERLINK(p_ruta_base_checklists&amp;$AN781,"abrir"))</f>
        <v/>
      </c>
      <c r="AP781" s="6" t="n"/>
      <c r="AQ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IF($A782="","",IFERROR(INDEX('AJUSTES'!$B$4:$B$303,MATCH($AQ782,'AJUSTES'!$A$4:$A$303,0)),IF($K782="","",$K782)))</f>
        <v/>
      </c>
      <c r="N782" s="3">
        <f>IF($A782="","",IFERROR(INDEX('CAT_ESTADOS_ERP'!$B$4:$B$7,MATCH(IFERROR(INDEX('2_IMPORTAR_EJECUCION'!$C$9:$C$1208,MATCH($AQ782,'2_IMPORTAR_EJECUCION'!$J$9:$J$1208,0)),""),'CAT_ESTADOS_ERP'!$A$4:$A$7,0)),"Pendiente"))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J782="","",IFERROR(INDEX('CALENDARIO'!$C$15:$C$214,MATCH(TEXT($J782,"yyyy-mm-dd")&amp;"|"&amp;$V782&amp;"|"&amp;$W782,'CALENDARIO'!$G$15:$G$214,0)),IFERROR(INDEX('CALENDARIO'!$C$15:$C$214,MATCH(TEXT($J782,"yyyy-mm-dd")&amp;"|"&amp;$V782&amp;"|",'CALENDARIO'!$G$15:$G$214,0)),IFERROR(INDEX('CALENDARIO'!$C$15:$C$214,MATCH(TEXT($J782,"yyyy-mm-dd")&amp;"||",'CALENDARIO'!$G$15:$G$214,0)),INDEX(patronHabil,WEEKDAY($J782,2))))))</f>
        <v/>
      </c>
      <c r="T782" s="3">
        <f>IF($I782="","",IFERROR(INDEX('CAT_TIPOS_OT'!$C$4:$C$7,MATCH($I782,'CAT_TIPOS_OT'!$A$4:$A$7,0)),"sin_clasificar"))</f>
        <v/>
      </c>
      <c r="U782" s="3">
        <f>IF($F782="","",IFERROR(INDEX('CAT_CENTROS_COSTO'!$F$4:$F$13,MATCH($F782,'CAT_CENTROS_COSTO'!$A$4:$A$13,0)),"(sin catálogo)"))</f>
        <v/>
      </c>
      <c r="V782" s="3">
        <f>IF($F782="","",IFERROR(INDEX('CAT_CENTROS_COSTO'!$D$4:$D$13,MATCH($F782,'CAT_CENTROS_COSTO'!$A$4:$A$13,0)),"(sin catálogo)"))</f>
        <v/>
      </c>
      <c r="W782" s="3">
        <f>IF($F782="","",IF((IFERROR(INDEX('CAT_CENTROS_COSTO'!$E$4:$E$13,MATCH($F782,'CAT_CENTROS_COSTO'!$A$4:$A$13,0)),""))&lt;&gt;"",IFERROR(INDEX('CAT_CENTROS_COSTO'!$E$4:$E$13,MATCH($F782,'CAT_CENTROS_COSTO'!$A$4:$A$13,0)),""),$V782))</f>
        <v/>
      </c>
      <c r="X782" s="3">
        <f>IF($F782="","",IFERROR(INDEX('CAT_CENTROS_COSTO'!$G$4:$G$13,MATCH($F782,'CAT_CENTROS_COSTO'!$A$4:$A$13,0)),"(sin catálogo)"))</f>
        <v/>
      </c>
      <c r="Y782" s="3">
        <f>IF($G782="","",IFERROR(INDEX('CAT_PUESTOS'!$B$4:$B$8,MATCH($G782,'CAT_PUESTOS'!$A$4:$A$8,0)),"(sin catálogo)"))</f>
        <v/>
      </c>
      <c r="Z782" s="3">
        <f>IF($H782="","",IFERROR(INDEX('CAT_ACTIVIDADES'!$B$4:$B$8,MATCH($H782,'CAT_ACTIVIDADES'!$A$4:$A$8,0)),"(sin catálogo)"))</f>
        <v/>
      </c>
      <c r="AA782" s="12">
        <f>IF($J782="","",TODAY()-$J782)</f>
        <v/>
      </c>
      <c r="AB782" s="12">
        <f>IF($J782="","",IF($J782&lt;=TODAY(),COUNTIFS(cal_fechas,"&gt;="&amp;$J782,cal_fechas,"&lt;"&amp;TODAY(),cal_habil,"sí"),-COUNTIFS(cal_fechas,"&gt;="&amp;TODAY(),cal_fechas,"&lt;"&amp;$J782,cal_habil,"sí")))</f>
        <v/>
      </c>
      <c r="AC782" s="3">
        <f>IF($AB782="","",IF($AB782&lt;0,"FUTURO",IF($AB782&gt;p_dias_backlog_max,"BACKLOG","MES CORRIENTE")))</f>
        <v/>
      </c>
      <c r="AD782" s="3">
        <f>IF($AB782="",FALSE,AND($AB782&gt;p_dias_backlog_min,$AB782&lt;=p_dias_backlog_max))</f>
        <v/>
      </c>
      <c r="AE782" s="6" t="n"/>
      <c r="AF782" s="3">
        <f>IF($AE782="","",IF((IFERROR(INDEX('ASIGNACIONES'!$F$4:$F$339,MATCH($O782&amp;"|"&amp;$R782&amp;"|"&amp;$AE782,'ASIGNACIONES'!$J$4:$J$339,0)),""))=0,"",IFERROR(INDEX('ASIGNACIONES'!$F$4:$F$339,MATCH($O782&amp;"|"&amp;$R782&amp;"|"&amp;$AE782,'ASIGNACIONES'!$J$4:$J$339,0)),"")))</f>
        <v/>
      </c>
      <c r="AG782" s="13">
        <f>IF($AE782="","",SUMIFS('ORDENES'!$M$4:$M$1203,'ORDENES'!$AE$4:$AE$1203,$AE782,'ORDENES'!$O$4:$O$1203,$O782,'ORDENES'!$R$4:$R$1203,$R782))</f>
        <v/>
      </c>
      <c r="AH782" s="13">
        <f>IF($AG782="","",p_factor_productividad*IFERROR(INDEX('ASIGNACIONES'!$I$4:$I$339,MATCH($O782&amp;"|"&amp;$R782&amp;"|"&amp;$AE782,'ASIGNACIONES'!$J$4:$J$339,0)),0)-$AG782)</f>
        <v/>
      </c>
      <c r="AI782" s="10">
        <f>IF($A782="","",IFERROR(INDEX('2_IMPORTAR_EJECUCION'!$F$9:$F$1208,MATCH($AQ782,'2_IMPORTAR_EJECUCION'!$J$9:$J$1208,0)),0))</f>
        <v/>
      </c>
      <c r="AJ782" s="10">
        <f>IF($A782="","",MAX(0,IFERROR(INDEX('2_IMPORTAR_EJECUCION'!$H$9:$H$1208,MATCH($AQ782,'2_IMPORTAR_EJECUCION'!$J$9:$J$1208,0)),0)-$AI782))</f>
        <v/>
      </c>
      <c r="AK782" s="10">
        <f>IF($A782="","",$AI782+$AJ782)</f>
        <v/>
      </c>
      <c r="AL782" s="6" t="n"/>
      <c r="AM782" s="6" t="n"/>
      <c r="AN782" s="6" t="n"/>
      <c r="AO782" s="3">
        <f>IF($AN782="","",HYPERLINK(p_ruta_base_checklists&amp;$AN782,"abrir"))</f>
        <v/>
      </c>
      <c r="AP782" s="6" t="n"/>
      <c r="AQ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IF($A783="","",IFERROR(INDEX('AJUSTES'!$B$4:$B$303,MATCH($AQ783,'AJUSTES'!$A$4:$A$303,0)),IF($K783="","",$K783)))</f>
        <v/>
      </c>
      <c r="N783" s="3">
        <f>IF($A783="","",IFERROR(INDEX('CAT_ESTADOS_ERP'!$B$4:$B$7,MATCH(IFERROR(INDEX('2_IMPORTAR_EJECUCION'!$C$9:$C$1208,MATCH($AQ783,'2_IMPORTAR_EJECUCION'!$J$9:$J$1208,0)),""),'CAT_ESTADOS_ERP'!$A$4:$A$7,0)),"Pendiente"))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J783="","",IFERROR(INDEX('CALENDARIO'!$C$15:$C$214,MATCH(TEXT($J783,"yyyy-mm-dd")&amp;"|"&amp;$V783&amp;"|"&amp;$W783,'CALENDARIO'!$G$15:$G$214,0)),IFERROR(INDEX('CALENDARIO'!$C$15:$C$214,MATCH(TEXT($J783,"yyyy-mm-dd")&amp;"|"&amp;$V783&amp;"|",'CALENDARIO'!$G$15:$G$214,0)),IFERROR(INDEX('CALENDARIO'!$C$15:$C$214,MATCH(TEXT($J783,"yyyy-mm-dd")&amp;"||",'CALENDARIO'!$G$15:$G$214,0)),INDEX(patronHabil,WEEKDAY($J783,2))))))</f>
        <v/>
      </c>
      <c r="T783" s="3">
        <f>IF($I783="","",IFERROR(INDEX('CAT_TIPOS_OT'!$C$4:$C$7,MATCH($I783,'CAT_TIPOS_OT'!$A$4:$A$7,0)),"sin_clasificar"))</f>
        <v/>
      </c>
      <c r="U783" s="3">
        <f>IF($F783="","",IFERROR(INDEX('CAT_CENTROS_COSTO'!$F$4:$F$13,MATCH($F783,'CAT_CENTROS_COSTO'!$A$4:$A$13,0)),"(sin catálogo)"))</f>
        <v/>
      </c>
      <c r="V783" s="3">
        <f>IF($F783="","",IFERROR(INDEX('CAT_CENTROS_COSTO'!$D$4:$D$13,MATCH($F783,'CAT_CENTROS_COSTO'!$A$4:$A$13,0)),"(sin catálogo)"))</f>
        <v/>
      </c>
      <c r="W783" s="3">
        <f>IF($F783="","",IF((IFERROR(INDEX('CAT_CENTROS_COSTO'!$E$4:$E$13,MATCH($F783,'CAT_CENTROS_COSTO'!$A$4:$A$13,0)),""))&lt;&gt;"",IFERROR(INDEX('CAT_CENTROS_COSTO'!$E$4:$E$13,MATCH($F783,'CAT_CENTROS_COSTO'!$A$4:$A$13,0)),""),$V783))</f>
        <v/>
      </c>
      <c r="X783" s="3">
        <f>IF($F783="","",IFERROR(INDEX('CAT_CENTROS_COSTO'!$G$4:$G$13,MATCH($F783,'CAT_CENTROS_COSTO'!$A$4:$A$13,0)),"(sin catálogo)"))</f>
        <v/>
      </c>
      <c r="Y783" s="3">
        <f>IF($G783="","",IFERROR(INDEX('CAT_PUESTOS'!$B$4:$B$8,MATCH($G783,'CAT_PUESTOS'!$A$4:$A$8,0)),"(sin catálogo)"))</f>
        <v/>
      </c>
      <c r="Z783" s="3">
        <f>IF($H783="","",IFERROR(INDEX('CAT_ACTIVIDADES'!$B$4:$B$8,MATCH($H783,'CAT_ACTIVIDADES'!$A$4:$A$8,0)),"(sin catálogo)"))</f>
        <v/>
      </c>
      <c r="AA783" s="12">
        <f>IF($J783="","",TODAY()-$J783)</f>
        <v/>
      </c>
      <c r="AB783" s="12">
        <f>IF($J783="","",IF($J783&lt;=TODAY(),COUNTIFS(cal_fechas,"&gt;="&amp;$J783,cal_fechas,"&lt;"&amp;TODAY(),cal_habil,"sí"),-COUNTIFS(cal_fechas,"&gt;="&amp;TODAY(),cal_fechas,"&lt;"&amp;$J783,cal_habil,"sí")))</f>
        <v/>
      </c>
      <c r="AC783" s="3">
        <f>IF($AB783="","",IF($AB783&lt;0,"FUTURO",IF($AB783&gt;p_dias_backlog_max,"BACKLOG","MES CORRIENTE")))</f>
        <v/>
      </c>
      <c r="AD783" s="3">
        <f>IF($AB783="",FALSE,AND($AB783&gt;p_dias_backlog_min,$AB783&lt;=p_dias_backlog_max))</f>
        <v/>
      </c>
      <c r="AE783" s="6" t="n"/>
      <c r="AF783" s="3">
        <f>IF($AE783="","",IF((IFERROR(INDEX('ASIGNACIONES'!$F$4:$F$339,MATCH($O783&amp;"|"&amp;$R783&amp;"|"&amp;$AE783,'ASIGNACIONES'!$J$4:$J$339,0)),""))=0,"",IFERROR(INDEX('ASIGNACIONES'!$F$4:$F$339,MATCH($O783&amp;"|"&amp;$R783&amp;"|"&amp;$AE783,'ASIGNACIONES'!$J$4:$J$339,0)),"")))</f>
        <v/>
      </c>
      <c r="AG783" s="13">
        <f>IF($AE783="","",SUMIFS('ORDENES'!$M$4:$M$1203,'ORDENES'!$AE$4:$AE$1203,$AE783,'ORDENES'!$O$4:$O$1203,$O783,'ORDENES'!$R$4:$R$1203,$R783))</f>
        <v/>
      </c>
      <c r="AH783" s="13">
        <f>IF($AG783="","",p_factor_productividad*IFERROR(INDEX('ASIGNACIONES'!$I$4:$I$339,MATCH($O783&amp;"|"&amp;$R783&amp;"|"&amp;$AE783,'ASIGNACIONES'!$J$4:$J$339,0)),0)-$AG783)</f>
        <v/>
      </c>
      <c r="AI783" s="10">
        <f>IF($A783="","",IFERROR(INDEX('2_IMPORTAR_EJECUCION'!$F$9:$F$1208,MATCH($AQ783,'2_IMPORTAR_EJECUCION'!$J$9:$J$1208,0)),0))</f>
        <v/>
      </c>
      <c r="AJ783" s="10">
        <f>IF($A783="","",MAX(0,IFERROR(INDEX('2_IMPORTAR_EJECUCION'!$H$9:$H$1208,MATCH($AQ783,'2_IMPORTAR_EJECUCION'!$J$9:$J$1208,0)),0)-$AI783))</f>
        <v/>
      </c>
      <c r="AK783" s="10">
        <f>IF($A783="","",$AI783+$AJ783)</f>
        <v/>
      </c>
      <c r="AL783" s="6" t="n"/>
      <c r="AM783" s="6" t="n"/>
      <c r="AN783" s="6" t="n"/>
      <c r="AO783" s="3">
        <f>IF($AN783="","",HYPERLINK(p_ruta_base_checklists&amp;$AN783,"abrir"))</f>
        <v/>
      </c>
      <c r="AP783" s="6" t="n"/>
      <c r="AQ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IF($A784="","",IFERROR(INDEX('AJUSTES'!$B$4:$B$303,MATCH($AQ784,'AJUSTES'!$A$4:$A$303,0)),IF($K784="","",$K784)))</f>
        <v/>
      </c>
      <c r="N784" s="3">
        <f>IF($A784="","",IFERROR(INDEX('CAT_ESTADOS_ERP'!$B$4:$B$7,MATCH(IFERROR(INDEX('2_IMPORTAR_EJECUCION'!$C$9:$C$1208,MATCH($AQ784,'2_IMPORTAR_EJECUCION'!$J$9:$J$1208,0)),""),'CAT_ESTADOS_ERP'!$A$4:$A$7,0)),"Pendiente"))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J784="","",IFERROR(INDEX('CALENDARIO'!$C$15:$C$214,MATCH(TEXT($J784,"yyyy-mm-dd")&amp;"|"&amp;$V784&amp;"|"&amp;$W784,'CALENDARIO'!$G$15:$G$214,0)),IFERROR(INDEX('CALENDARIO'!$C$15:$C$214,MATCH(TEXT($J784,"yyyy-mm-dd")&amp;"|"&amp;$V784&amp;"|",'CALENDARIO'!$G$15:$G$214,0)),IFERROR(INDEX('CALENDARIO'!$C$15:$C$214,MATCH(TEXT($J784,"yyyy-mm-dd")&amp;"||",'CALENDARIO'!$G$15:$G$214,0)),INDEX(patronHabil,WEEKDAY($J784,2))))))</f>
        <v/>
      </c>
      <c r="T784" s="3">
        <f>IF($I784="","",IFERROR(INDEX('CAT_TIPOS_OT'!$C$4:$C$7,MATCH($I784,'CAT_TIPOS_OT'!$A$4:$A$7,0)),"sin_clasificar"))</f>
        <v/>
      </c>
      <c r="U784" s="3">
        <f>IF($F784="","",IFERROR(INDEX('CAT_CENTROS_COSTO'!$F$4:$F$13,MATCH($F784,'CAT_CENTROS_COSTO'!$A$4:$A$13,0)),"(sin catálogo)"))</f>
        <v/>
      </c>
      <c r="V784" s="3">
        <f>IF($F784="","",IFERROR(INDEX('CAT_CENTROS_COSTO'!$D$4:$D$13,MATCH($F784,'CAT_CENTROS_COSTO'!$A$4:$A$13,0)),"(sin catálogo)"))</f>
        <v/>
      </c>
      <c r="W784" s="3">
        <f>IF($F784="","",IF((IFERROR(INDEX('CAT_CENTROS_COSTO'!$E$4:$E$13,MATCH($F784,'CAT_CENTROS_COSTO'!$A$4:$A$13,0)),""))&lt;&gt;"",IFERROR(INDEX('CAT_CENTROS_COSTO'!$E$4:$E$13,MATCH($F784,'CAT_CENTROS_COSTO'!$A$4:$A$13,0)),""),$V784))</f>
        <v/>
      </c>
      <c r="X784" s="3">
        <f>IF($F784="","",IFERROR(INDEX('CAT_CENTROS_COSTO'!$G$4:$G$13,MATCH($F784,'CAT_CENTROS_COSTO'!$A$4:$A$13,0)),"(sin catálogo)"))</f>
        <v/>
      </c>
      <c r="Y784" s="3">
        <f>IF($G784="","",IFERROR(INDEX('CAT_PUESTOS'!$B$4:$B$8,MATCH($G784,'CAT_PUESTOS'!$A$4:$A$8,0)),"(sin catálogo)"))</f>
        <v/>
      </c>
      <c r="Z784" s="3">
        <f>IF($H784="","",IFERROR(INDEX('CAT_ACTIVIDADES'!$B$4:$B$8,MATCH($H784,'CAT_ACTIVIDADES'!$A$4:$A$8,0)),"(sin catálogo)"))</f>
        <v/>
      </c>
      <c r="AA784" s="12">
        <f>IF($J784="","",TODAY()-$J784)</f>
        <v/>
      </c>
      <c r="AB784" s="12">
        <f>IF($J784="","",IF($J784&lt;=TODAY(),COUNTIFS(cal_fechas,"&gt;="&amp;$J784,cal_fechas,"&lt;"&amp;TODAY(),cal_habil,"sí"),-COUNTIFS(cal_fechas,"&gt;="&amp;TODAY(),cal_fechas,"&lt;"&amp;$J784,cal_habil,"sí")))</f>
        <v/>
      </c>
      <c r="AC784" s="3">
        <f>IF($AB784="","",IF($AB784&lt;0,"FUTURO",IF($AB784&gt;p_dias_backlog_max,"BACKLOG","MES CORRIENTE")))</f>
        <v/>
      </c>
      <c r="AD784" s="3">
        <f>IF($AB784="",FALSE,AND($AB784&gt;p_dias_backlog_min,$AB784&lt;=p_dias_backlog_max))</f>
        <v/>
      </c>
      <c r="AE784" s="6" t="n"/>
      <c r="AF784" s="3">
        <f>IF($AE784="","",IF((IFERROR(INDEX('ASIGNACIONES'!$F$4:$F$339,MATCH($O784&amp;"|"&amp;$R784&amp;"|"&amp;$AE784,'ASIGNACIONES'!$J$4:$J$339,0)),""))=0,"",IFERROR(INDEX('ASIGNACIONES'!$F$4:$F$339,MATCH($O784&amp;"|"&amp;$R784&amp;"|"&amp;$AE784,'ASIGNACIONES'!$J$4:$J$339,0)),"")))</f>
        <v/>
      </c>
      <c r="AG784" s="13">
        <f>IF($AE784="","",SUMIFS('ORDENES'!$M$4:$M$1203,'ORDENES'!$AE$4:$AE$1203,$AE784,'ORDENES'!$O$4:$O$1203,$O784,'ORDENES'!$R$4:$R$1203,$R784))</f>
        <v/>
      </c>
      <c r="AH784" s="13">
        <f>IF($AG784="","",p_factor_productividad*IFERROR(INDEX('ASIGNACIONES'!$I$4:$I$339,MATCH($O784&amp;"|"&amp;$R784&amp;"|"&amp;$AE784,'ASIGNACIONES'!$J$4:$J$339,0)),0)-$AG784)</f>
        <v/>
      </c>
      <c r="AI784" s="10">
        <f>IF($A784="","",IFERROR(INDEX('2_IMPORTAR_EJECUCION'!$F$9:$F$1208,MATCH($AQ784,'2_IMPORTAR_EJECUCION'!$J$9:$J$1208,0)),0))</f>
        <v/>
      </c>
      <c r="AJ784" s="10">
        <f>IF($A784="","",MAX(0,IFERROR(INDEX('2_IMPORTAR_EJECUCION'!$H$9:$H$1208,MATCH($AQ784,'2_IMPORTAR_EJECUCION'!$J$9:$J$1208,0)),0)-$AI784))</f>
        <v/>
      </c>
      <c r="AK784" s="10">
        <f>IF($A784="","",$AI784+$AJ784)</f>
        <v/>
      </c>
      <c r="AL784" s="6" t="n"/>
      <c r="AM784" s="6" t="n"/>
      <c r="AN784" s="6" t="n"/>
      <c r="AO784" s="3">
        <f>IF($AN784="","",HYPERLINK(p_ruta_base_checklists&amp;$AN784,"abrir"))</f>
        <v/>
      </c>
      <c r="AP784" s="6" t="n"/>
      <c r="AQ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IF($A785="","",IFERROR(INDEX('AJUSTES'!$B$4:$B$303,MATCH($AQ785,'AJUSTES'!$A$4:$A$303,0)),IF($K785="","",$K785)))</f>
        <v/>
      </c>
      <c r="N785" s="3">
        <f>IF($A785="","",IFERROR(INDEX('CAT_ESTADOS_ERP'!$B$4:$B$7,MATCH(IFERROR(INDEX('2_IMPORTAR_EJECUCION'!$C$9:$C$1208,MATCH($AQ785,'2_IMPORTAR_EJECUCION'!$J$9:$J$1208,0)),""),'CAT_ESTADOS_ERP'!$A$4:$A$7,0)),"Pendiente"))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J785="","",IFERROR(INDEX('CALENDARIO'!$C$15:$C$214,MATCH(TEXT($J785,"yyyy-mm-dd")&amp;"|"&amp;$V785&amp;"|"&amp;$W785,'CALENDARIO'!$G$15:$G$214,0)),IFERROR(INDEX('CALENDARIO'!$C$15:$C$214,MATCH(TEXT($J785,"yyyy-mm-dd")&amp;"|"&amp;$V785&amp;"|",'CALENDARIO'!$G$15:$G$214,0)),IFERROR(INDEX('CALENDARIO'!$C$15:$C$214,MATCH(TEXT($J785,"yyyy-mm-dd")&amp;"||",'CALENDARIO'!$G$15:$G$214,0)),INDEX(patronHabil,WEEKDAY($J785,2))))))</f>
        <v/>
      </c>
      <c r="T785" s="3">
        <f>IF($I785="","",IFERROR(INDEX('CAT_TIPOS_OT'!$C$4:$C$7,MATCH($I785,'CAT_TIPOS_OT'!$A$4:$A$7,0)),"sin_clasificar"))</f>
        <v/>
      </c>
      <c r="U785" s="3">
        <f>IF($F785="","",IFERROR(INDEX('CAT_CENTROS_COSTO'!$F$4:$F$13,MATCH($F785,'CAT_CENTROS_COSTO'!$A$4:$A$13,0)),"(sin catálogo)"))</f>
        <v/>
      </c>
      <c r="V785" s="3">
        <f>IF($F785="","",IFERROR(INDEX('CAT_CENTROS_COSTO'!$D$4:$D$13,MATCH($F785,'CAT_CENTROS_COSTO'!$A$4:$A$13,0)),"(sin catálogo)"))</f>
        <v/>
      </c>
      <c r="W785" s="3">
        <f>IF($F785="","",IF((IFERROR(INDEX('CAT_CENTROS_COSTO'!$E$4:$E$13,MATCH($F785,'CAT_CENTROS_COSTO'!$A$4:$A$13,0)),""))&lt;&gt;"",IFERROR(INDEX('CAT_CENTROS_COSTO'!$E$4:$E$13,MATCH($F785,'CAT_CENTROS_COSTO'!$A$4:$A$13,0)),""),$V785))</f>
        <v/>
      </c>
      <c r="X785" s="3">
        <f>IF($F785="","",IFERROR(INDEX('CAT_CENTROS_COSTO'!$G$4:$G$13,MATCH($F785,'CAT_CENTROS_COSTO'!$A$4:$A$13,0)),"(sin catálogo)"))</f>
        <v/>
      </c>
      <c r="Y785" s="3">
        <f>IF($G785="","",IFERROR(INDEX('CAT_PUESTOS'!$B$4:$B$8,MATCH($G785,'CAT_PUESTOS'!$A$4:$A$8,0)),"(sin catálogo)"))</f>
        <v/>
      </c>
      <c r="Z785" s="3">
        <f>IF($H785="","",IFERROR(INDEX('CAT_ACTIVIDADES'!$B$4:$B$8,MATCH($H785,'CAT_ACTIVIDADES'!$A$4:$A$8,0)),"(sin catálogo)"))</f>
        <v/>
      </c>
      <c r="AA785" s="12">
        <f>IF($J785="","",TODAY()-$J785)</f>
        <v/>
      </c>
      <c r="AB785" s="12">
        <f>IF($J785="","",IF($J785&lt;=TODAY(),COUNTIFS(cal_fechas,"&gt;="&amp;$J785,cal_fechas,"&lt;"&amp;TODAY(),cal_habil,"sí"),-COUNTIFS(cal_fechas,"&gt;="&amp;TODAY(),cal_fechas,"&lt;"&amp;$J785,cal_habil,"sí")))</f>
        <v/>
      </c>
      <c r="AC785" s="3">
        <f>IF($AB785="","",IF($AB785&lt;0,"FUTURO",IF($AB785&gt;p_dias_backlog_max,"BACKLOG","MES CORRIENTE")))</f>
        <v/>
      </c>
      <c r="AD785" s="3">
        <f>IF($AB785="",FALSE,AND($AB785&gt;p_dias_backlog_min,$AB785&lt;=p_dias_backlog_max))</f>
        <v/>
      </c>
      <c r="AE785" s="6" t="n"/>
      <c r="AF785" s="3">
        <f>IF($AE785="","",IF((IFERROR(INDEX('ASIGNACIONES'!$F$4:$F$339,MATCH($O785&amp;"|"&amp;$R785&amp;"|"&amp;$AE785,'ASIGNACIONES'!$J$4:$J$339,0)),""))=0,"",IFERROR(INDEX('ASIGNACIONES'!$F$4:$F$339,MATCH($O785&amp;"|"&amp;$R785&amp;"|"&amp;$AE785,'ASIGNACIONES'!$J$4:$J$339,0)),"")))</f>
        <v/>
      </c>
      <c r="AG785" s="13">
        <f>IF($AE785="","",SUMIFS('ORDENES'!$M$4:$M$1203,'ORDENES'!$AE$4:$AE$1203,$AE785,'ORDENES'!$O$4:$O$1203,$O785,'ORDENES'!$R$4:$R$1203,$R785))</f>
        <v/>
      </c>
      <c r="AH785" s="13">
        <f>IF($AG785="","",p_factor_productividad*IFERROR(INDEX('ASIGNACIONES'!$I$4:$I$339,MATCH($O785&amp;"|"&amp;$R785&amp;"|"&amp;$AE785,'ASIGNACIONES'!$J$4:$J$339,0)),0)-$AG785)</f>
        <v/>
      </c>
      <c r="AI785" s="10">
        <f>IF($A785="","",IFERROR(INDEX('2_IMPORTAR_EJECUCION'!$F$9:$F$1208,MATCH($AQ785,'2_IMPORTAR_EJECUCION'!$J$9:$J$1208,0)),0))</f>
        <v/>
      </c>
      <c r="AJ785" s="10">
        <f>IF($A785="","",MAX(0,IFERROR(INDEX('2_IMPORTAR_EJECUCION'!$H$9:$H$1208,MATCH($AQ785,'2_IMPORTAR_EJECUCION'!$J$9:$J$1208,0)),0)-$AI785))</f>
        <v/>
      </c>
      <c r="AK785" s="10">
        <f>IF($A785="","",$AI785+$AJ785)</f>
        <v/>
      </c>
      <c r="AL785" s="6" t="n"/>
      <c r="AM785" s="6" t="n"/>
      <c r="AN785" s="6" t="n"/>
      <c r="AO785" s="3">
        <f>IF($AN785="","",HYPERLINK(p_ruta_base_checklists&amp;$AN785,"abrir"))</f>
        <v/>
      </c>
      <c r="AP785" s="6" t="n"/>
      <c r="AQ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IF($A786="","",IFERROR(INDEX('AJUSTES'!$B$4:$B$303,MATCH($AQ786,'AJUSTES'!$A$4:$A$303,0)),IF($K786="","",$K786)))</f>
        <v/>
      </c>
      <c r="N786" s="3">
        <f>IF($A786="","",IFERROR(INDEX('CAT_ESTADOS_ERP'!$B$4:$B$7,MATCH(IFERROR(INDEX('2_IMPORTAR_EJECUCION'!$C$9:$C$1208,MATCH($AQ786,'2_IMPORTAR_EJECUCION'!$J$9:$J$1208,0)),""),'CAT_ESTADOS_ERP'!$A$4:$A$7,0)),"Pendiente"))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J786="","",IFERROR(INDEX('CALENDARIO'!$C$15:$C$214,MATCH(TEXT($J786,"yyyy-mm-dd")&amp;"|"&amp;$V786&amp;"|"&amp;$W786,'CALENDARIO'!$G$15:$G$214,0)),IFERROR(INDEX('CALENDARIO'!$C$15:$C$214,MATCH(TEXT($J786,"yyyy-mm-dd")&amp;"|"&amp;$V786&amp;"|",'CALENDARIO'!$G$15:$G$214,0)),IFERROR(INDEX('CALENDARIO'!$C$15:$C$214,MATCH(TEXT($J786,"yyyy-mm-dd")&amp;"||",'CALENDARIO'!$G$15:$G$214,0)),INDEX(patronHabil,WEEKDAY($J786,2))))))</f>
        <v/>
      </c>
      <c r="T786" s="3">
        <f>IF($I786="","",IFERROR(INDEX('CAT_TIPOS_OT'!$C$4:$C$7,MATCH($I786,'CAT_TIPOS_OT'!$A$4:$A$7,0)),"sin_clasificar"))</f>
        <v/>
      </c>
      <c r="U786" s="3">
        <f>IF($F786="","",IFERROR(INDEX('CAT_CENTROS_COSTO'!$F$4:$F$13,MATCH($F786,'CAT_CENTROS_COSTO'!$A$4:$A$13,0)),"(sin catálogo)"))</f>
        <v/>
      </c>
      <c r="V786" s="3">
        <f>IF($F786="","",IFERROR(INDEX('CAT_CENTROS_COSTO'!$D$4:$D$13,MATCH($F786,'CAT_CENTROS_COSTO'!$A$4:$A$13,0)),"(sin catálogo)"))</f>
        <v/>
      </c>
      <c r="W786" s="3">
        <f>IF($F786="","",IF((IFERROR(INDEX('CAT_CENTROS_COSTO'!$E$4:$E$13,MATCH($F786,'CAT_CENTROS_COSTO'!$A$4:$A$13,0)),""))&lt;&gt;"",IFERROR(INDEX('CAT_CENTROS_COSTO'!$E$4:$E$13,MATCH($F786,'CAT_CENTROS_COSTO'!$A$4:$A$13,0)),""),$V786))</f>
        <v/>
      </c>
      <c r="X786" s="3">
        <f>IF($F786="","",IFERROR(INDEX('CAT_CENTROS_COSTO'!$G$4:$G$13,MATCH($F786,'CAT_CENTROS_COSTO'!$A$4:$A$13,0)),"(sin catálogo)"))</f>
        <v/>
      </c>
      <c r="Y786" s="3">
        <f>IF($G786="","",IFERROR(INDEX('CAT_PUESTOS'!$B$4:$B$8,MATCH($G786,'CAT_PUESTOS'!$A$4:$A$8,0)),"(sin catálogo)"))</f>
        <v/>
      </c>
      <c r="Z786" s="3">
        <f>IF($H786="","",IFERROR(INDEX('CAT_ACTIVIDADES'!$B$4:$B$8,MATCH($H786,'CAT_ACTIVIDADES'!$A$4:$A$8,0)),"(sin catálogo)"))</f>
        <v/>
      </c>
      <c r="AA786" s="12">
        <f>IF($J786="","",TODAY()-$J786)</f>
        <v/>
      </c>
      <c r="AB786" s="12">
        <f>IF($J786="","",IF($J786&lt;=TODAY(),COUNTIFS(cal_fechas,"&gt;="&amp;$J786,cal_fechas,"&lt;"&amp;TODAY(),cal_habil,"sí"),-COUNTIFS(cal_fechas,"&gt;="&amp;TODAY(),cal_fechas,"&lt;"&amp;$J786,cal_habil,"sí")))</f>
        <v/>
      </c>
      <c r="AC786" s="3">
        <f>IF($AB786="","",IF($AB786&lt;0,"FUTURO",IF($AB786&gt;p_dias_backlog_max,"BACKLOG","MES CORRIENTE")))</f>
        <v/>
      </c>
      <c r="AD786" s="3">
        <f>IF($AB786="",FALSE,AND($AB786&gt;p_dias_backlog_min,$AB786&lt;=p_dias_backlog_max))</f>
        <v/>
      </c>
      <c r="AE786" s="6" t="n"/>
      <c r="AF786" s="3">
        <f>IF($AE786="","",IF((IFERROR(INDEX('ASIGNACIONES'!$F$4:$F$339,MATCH($O786&amp;"|"&amp;$R786&amp;"|"&amp;$AE786,'ASIGNACIONES'!$J$4:$J$339,0)),""))=0,"",IFERROR(INDEX('ASIGNACIONES'!$F$4:$F$339,MATCH($O786&amp;"|"&amp;$R786&amp;"|"&amp;$AE786,'ASIGNACIONES'!$J$4:$J$339,0)),"")))</f>
        <v/>
      </c>
      <c r="AG786" s="13">
        <f>IF($AE786="","",SUMIFS('ORDENES'!$M$4:$M$1203,'ORDENES'!$AE$4:$AE$1203,$AE786,'ORDENES'!$O$4:$O$1203,$O786,'ORDENES'!$R$4:$R$1203,$R786))</f>
        <v/>
      </c>
      <c r="AH786" s="13">
        <f>IF($AG786="","",p_factor_productividad*IFERROR(INDEX('ASIGNACIONES'!$I$4:$I$339,MATCH($O786&amp;"|"&amp;$R786&amp;"|"&amp;$AE786,'ASIGNACIONES'!$J$4:$J$339,0)),0)-$AG786)</f>
        <v/>
      </c>
      <c r="AI786" s="10">
        <f>IF($A786="","",IFERROR(INDEX('2_IMPORTAR_EJECUCION'!$F$9:$F$1208,MATCH($AQ786,'2_IMPORTAR_EJECUCION'!$J$9:$J$1208,0)),0))</f>
        <v/>
      </c>
      <c r="AJ786" s="10">
        <f>IF($A786="","",MAX(0,IFERROR(INDEX('2_IMPORTAR_EJECUCION'!$H$9:$H$1208,MATCH($AQ786,'2_IMPORTAR_EJECUCION'!$J$9:$J$1208,0)),0)-$AI786))</f>
        <v/>
      </c>
      <c r="AK786" s="10">
        <f>IF($A786="","",$AI786+$AJ786)</f>
        <v/>
      </c>
      <c r="AL786" s="6" t="n"/>
      <c r="AM786" s="6" t="n"/>
      <c r="AN786" s="6" t="n"/>
      <c r="AO786" s="3">
        <f>IF($AN786="","",HYPERLINK(p_ruta_base_checklists&amp;$AN786,"abrir"))</f>
        <v/>
      </c>
      <c r="AP786" s="6" t="n"/>
      <c r="AQ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IF($A787="","",IFERROR(INDEX('AJUSTES'!$B$4:$B$303,MATCH($AQ787,'AJUSTES'!$A$4:$A$303,0)),IF($K787="","",$K787)))</f>
        <v/>
      </c>
      <c r="N787" s="3">
        <f>IF($A787="","",IFERROR(INDEX('CAT_ESTADOS_ERP'!$B$4:$B$7,MATCH(IFERROR(INDEX('2_IMPORTAR_EJECUCION'!$C$9:$C$1208,MATCH($AQ787,'2_IMPORTAR_EJECUCION'!$J$9:$J$1208,0)),""),'CAT_ESTADOS_ERP'!$A$4:$A$7,0)),"Pendiente"))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J787="","",IFERROR(INDEX('CALENDARIO'!$C$15:$C$214,MATCH(TEXT($J787,"yyyy-mm-dd")&amp;"|"&amp;$V787&amp;"|"&amp;$W787,'CALENDARIO'!$G$15:$G$214,0)),IFERROR(INDEX('CALENDARIO'!$C$15:$C$214,MATCH(TEXT($J787,"yyyy-mm-dd")&amp;"|"&amp;$V787&amp;"|",'CALENDARIO'!$G$15:$G$214,0)),IFERROR(INDEX('CALENDARIO'!$C$15:$C$214,MATCH(TEXT($J787,"yyyy-mm-dd")&amp;"||",'CALENDARIO'!$G$15:$G$214,0)),INDEX(patronHabil,WEEKDAY($J787,2))))))</f>
        <v/>
      </c>
      <c r="T787" s="3">
        <f>IF($I787="","",IFERROR(INDEX('CAT_TIPOS_OT'!$C$4:$C$7,MATCH($I787,'CAT_TIPOS_OT'!$A$4:$A$7,0)),"sin_clasificar"))</f>
        <v/>
      </c>
      <c r="U787" s="3">
        <f>IF($F787="","",IFERROR(INDEX('CAT_CENTROS_COSTO'!$F$4:$F$13,MATCH($F787,'CAT_CENTROS_COSTO'!$A$4:$A$13,0)),"(sin catálogo)"))</f>
        <v/>
      </c>
      <c r="V787" s="3">
        <f>IF($F787="","",IFERROR(INDEX('CAT_CENTROS_COSTO'!$D$4:$D$13,MATCH($F787,'CAT_CENTROS_COSTO'!$A$4:$A$13,0)),"(sin catálogo)"))</f>
        <v/>
      </c>
      <c r="W787" s="3">
        <f>IF($F787="","",IF((IFERROR(INDEX('CAT_CENTROS_COSTO'!$E$4:$E$13,MATCH($F787,'CAT_CENTROS_COSTO'!$A$4:$A$13,0)),""))&lt;&gt;"",IFERROR(INDEX('CAT_CENTROS_COSTO'!$E$4:$E$13,MATCH($F787,'CAT_CENTROS_COSTO'!$A$4:$A$13,0)),""),$V787))</f>
        <v/>
      </c>
      <c r="X787" s="3">
        <f>IF($F787="","",IFERROR(INDEX('CAT_CENTROS_COSTO'!$G$4:$G$13,MATCH($F787,'CAT_CENTROS_COSTO'!$A$4:$A$13,0)),"(sin catálogo)"))</f>
        <v/>
      </c>
      <c r="Y787" s="3">
        <f>IF($G787="","",IFERROR(INDEX('CAT_PUESTOS'!$B$4:$B$8,MATCH($G787,'CAT_PUESTOS'!$A$4:$A$8,0)),"(sin catálogo)"))</f>
        <v/>
      </c>
      <c r="Z787" s="3">
        <f>IF($H787="","",IFERROR(INDEX('CAT_ACTIVIDADES'!$B$4:$B$8,MATCH($H787,'CAT_ACTIVIDADES'!$A$4:$A$8,0)),"(sin catálogo)"))</f>
        <v/>
      </c>
      <c r="AA787" s="12">
        <f>IF($J787="","",TODAY()-$J787)</f>
        <v/>
      </c>
      <c r="AB787" s="12">
        <f>IF($J787="","",IF($J787&lt;=TODAY(),COUNTIFS(cal_fechas,"&gt;="&amp;$J787,cal_fechas,"&lt;"&amp;TODAY(),cal_habil,"sí"),-COUNTIFS(cal_fechas,"&gt;="&amp;TODAY(),cal_fechas,"&lt;"&amp;$J787,cal_habil,"sí")))</f>
        <v/>
      </c>
      <c r="AC787" s="3">
        <f>IF($AB787="","",IF($AB787&lt;0,"FUTURO",IF($AB787&gt;p_dias_backlog_max,"BACKLOG","MES CORRIENTE")))</f>
        <v/>
      </c>
      <c r="AD787" s="3">
        <f>IF($AB787="",FALSE,AND($AB787&gt;p_dias_backlog_min,$AB787&lt;=p_dias_backlog_max))</f>
        <v/>
      </c>
      <c r="AE787" s="6" t="n"/>
      <c r="AF787" s="3">
        <f>IF($AE787="","",IF((IFERROR(INDEX('ASIGNACIONES'!$F$4:$F$339,MATCH($O787&amp;"|"&amp;$R787&amp;"|"&amp;$AE787,'ASIGNACIONES'!$J$4:$J$339,0)),""))=0,"",IFERROR(INDEX('ASIGNACIONES'!$F$4:$F$339,MATCH($O787&amp;"|"&amp;$R787&amp;"|"&amp;$AE787,'ASIGNACIONES'!$J$4:$J$339,0)),"")))</f>
        <v/>
      </c>
      <c r="AG787" s="13">
        <f>IF($AE787="","",SUMIFS('ORDENES'!$M$4:$M$1203,'ORDENES'!$AE$4:$AE$1203,$AE787,'ORDENES'!$O$4:$O$1203,$O787,'ORDENES'!$R$4:$R$1203,$R787))</f>
        <v/>
      </c>
      <c r="AH787" s="13">
        <f>IF($AG787="","",p_factor_productividad*IFERROR(INDEX('ASIGNACIONES'!$I$4:$I$339,MATCH($O787&amp;"|"&amp;$R787&amp;"|"&amp;$AE787,'ASIGNACIONES'!$J$4:$J$339,0)),0)-$AG787)</f>
        <v/>
      </c>
      <c r="AI787" s="10">
        <f>IF($A787="","",IFERROR(INDEX('2_IMPORTAR_EJECUCION'!$F$9:$F$1208,MATCH($AQ787,'2_IMPORTAR_EJECUCION'!$J$9:$J$1208,0)),0))</f>
        <v/>
      </c>
      <c r="AJ787" s="10">
        <f>IF($A787="","",MAX(0,IFERROR(INDEX('2_IMPORTAR_EJECUCION'!$H$9:$H$1208,MATCH($AQ787,'2_IMPORTAR_EJECUCION'!$J$9:$J$1208,0)),0)-$AI787))</f>
        <v/>
      </c>
      <c r="AK787" s="10">
        <f>IF($A787="","",$AI787+$AJ787)</f>
        <v/>
      </c>
      <c r="AL787" s="6" t="n"/>
      <c r="AM787" s="6" t="n"/>
      <c r="AN787" s="6" t="n"/>
      <c r="AO787" s="3">
        <f>IF($AN787="","",HYPERLINK(p_ruta_base_checklists&amp;$AN787,"abrir"))</f>
        <v/>
      </c>
      <c r="AP787" s="6" t="n"/>
      <c r="AQ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IF($A788="","",IFERROR(INDEX('AJUSTES'!$B$4:$B$303,MATCH($AQ788,'AJUSTES'!$A$4:$A$303,0)),IF($K788="","",$K788)))</f>
        <v/>
      </c>
      <c r="N788" s="3">
        <f>IF($A788="","",IFERROR(INDEX('CAT_ESTADOS_ERP'!$B$4:$B$7,MATCH(IFERROR(INDEX('2_IMPORTAR_EJECUCION'!$C$9:$C$1208,MATCH($AQ788,'2_IMPORTAR_EJECUCION'!$J$9:$J$1208,0)),""),'CAT_ESTADOS_ERP'!$A$4:$A$7,0)),"Pendiente"))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J788="","",IFERROR(INDEX('CALENDARIO'!$C$15:$C$214,MATCH(TEXT($J788,"yyyy-mm-dd")&amp;"|"&amp;$V788&amp;"|"&amp;$W788,'CALENDARIO'!$G$15:$G$214,0)),IFERROR(INDEX('CALENDARIO'!$C$15:$C$214,MATCH(TEXT($J788,"yyyy-mm-dd")&amp;"|"&amp;$V788&amp;"|",'CALENDARIO'!$G$15:$G$214,0)),IFERROR(INDEX('CALENDARIO'!$C$15:$C$214,MATCH(TEXT($J788,"yyyy-mm-dd")&amp;"||",'CALENDARIO'!$G$15:$G$214,0)),INDEX(patronHabil,WEEKDAY($J788,2))))))</f>
        <v/>
      </c>
      <c r="T788" s="3">
        <f>IF($I788="","",IFERROR(INDEX('CAT_TIPOS_OT'!$C$4:$C$7,MATCH($I788,'CAT_TIPOS_OT'!$A$4:$A$7,0)),"sin_clasificar"))</f>
        <v/>
      </c>
      <c r="U788" s="3">
        <f>IF($F788="","",IFERROR(INDEX('CAT_CENTROS_COSTO'!$F$4:$F$13,MATCH($F788,'CAT_CENTROS_COSTO'!$A$4:$A$13,0)),"(sin catálogo)"))</f>
        <v/>
      </c>
      <c r="V788" s="3">
        <f>IF($F788="","",IFERROR(INDEX('CAT_CENTROS_COSTO'!$D$4:$D$13,MATCH($F788,'CAT_CENTROS_COSTO'!$A$4:$A$13,0)),"(sin catálogo)"))</f>
        <v/>
      </c>
      <c r="W788" s="3">
        <f>IF($F788="","",IF((IFERROR(INDEX('CAT_CENTROS_COSTO'!$E$4:$E$13,MATCH($F788,'CAT_CENTROS_COSTO'!$A$4:$A$13,0)),""))&lt;&gt;"",IFERROR(INDEX('CAT_CENTROS_COSTO'!$E$4:$E$13,MATCH($F788,'CAT_CENTROS_COSTO'!$A$4:$A$13,0)),""),$V788))</f>
        <v/>
      </c>
      <c r="X788" s="3">
        <f>IF($F788="","",IFERROR(INDEX('CAT_CENTROS_COSTO'!$G$4:$G$13,MATCH($F788,'CAT_CENTROS_COSTO'!$A$4:$A$13,0)),"(sin catálogo)"))</f>
        <v/>
      </c>
      <c r="Y788" s="3">
        <f>IF($G788="","",IFERROR(INDEX('CAT_PUESTOS'!$B$4:$B$8,MATCH($G788,'CAT_PUESTOS'!$A$4:$A$8,0)),"(sin catálogo)"))</f>
        <v/>
      </c>
      <c r="Z788" s="3">
        <f>IF($H788="","",IFERROR(INDEX('CAT_ACTIVIDADES'!$B$4:$B$8,MATCH($H788,'CAT_ACTIVIDADES'!$A$4:$A$8,0)),"(sin catálogo)"))</f>
        <v/>
      </c>
      <c r="AA788" s="12">
        <f>IF($J788="","",TODAY()-$J788)</f>
        <v/>
      </c>
      <c r="AB788" s="12">
        <f>IF($J788="","",IF($J788&lt;=TODAY(),COUNTIFS(cal_fechas,"&gt;="&amp;$J788,cal_fechas,"&lt;"&amp;TODAY(),cal_habil,"sí"),-COUNTIFS(cal_fechas,"&gt;="&amp;TODAY(),cal_fechas,"&lt;"&amp;$J788,cal_habil,"sí")))</f>
        <v/>
      </c>
      <c r="AC788" s="3">
        <f>IF($AB788="","",IF($AB788&lt;0,"FUTURO",IF($AB788&gt;p_dias_backlog_max,"BACKLOG","MES CORRIENTE")))</f>
        <v/>
      </c>
      <c r="AD788" s="3">
        <f>IF($AB788="",FALSE,AND($AB788&gt;p_dias_backlog_min,$AB788&lt;=p_dias_backlog_max))</f>
        <v/>
      </c>
      <c r="AE788" s="6" t="n"/>
      <c r="AF788" s="3">
        <f>IF($AE788="","",IF((IFERROR(INDEX('ASIGNACIONES'!$F$4:$F$339,MATCH($O788&amp;"|"&amp;$R788&amp;"|"&amp;$AE788,'ASIGNACIONES'!$J$4:$J$339,0)),""))=0,"",IFERROR(INDEX('ASIGNACIONES'!$F$4:$F$339,MATCH($O788&amp;"|"&amp;$R788&amp;"|"&amp;$AE788,'ASIGNACIONES'!$J$4:$J$339,0)),"")))</f>
        <v/>
      </c>
      <c r="AG788" s="13">
        <f>IF($AE788="","",SUMIFS('ORDENES'!$M$4:$M$1203,'ORDENES'!$AE$4:$AE$1203,$AE788,'ORDENES'!$O$4:$O$1203,$O788,'ORDENES'!$R$4:$R$1203,$R788))</f>
        <v/>
      </c>
      <c r="AH788" s="13">
        <f>IF($AG788="","",p_factor_productividad*IFERROR(INDEX('ASIGNACIONES'!$I$4:$I$339,MATCH($O788&amp;"|"&amp;$R788&amp;"|"&amp;$AE788,'ASIGNACIONES'!$J$4:$J$339,0)),0)-$AG788)</f>
        <v/>
      </c>
      <c r="AI788" s="10">
        <f>IF($A788="","",IFERROR(INDEX('2_IMPORTAR_EJECUCION'!$F$9:$F$1208,MATCH($AQ788,'2_IMPORTAR_EJECUCION'!$J$9:$J$1208,0)),0))</f>
        <v/>
      </c>
      <c r="AJ788" s="10">
        <f>IF($A788="","",MAX(0,IFERROR(INDEX('2_IMPORTAR_EJECUCION'!$H$9:$H$1208,MATCH($AQ788,'2_IMPORTAR_EJECUCION'!$J$9:$J$1208,0)),0)-$AI788))</f>
        <v/>
      </c>
      <c r="AK788" s="10">
        <f>IF($A788="","",$AI788+$AJ788)</f>
        <v/>
      </c>
      <c r="AL788" s="6" t="n"/>
      <c r="AM788" s="6" t="n"/>
      <c r="AN788" s="6" t="n"/>
      <c r="AO788" s="3">
        <f>IF($AN788="","",HYPERLINK(p_ruta_base_checklists&amp;$AN788,"abrir"))</f>
        <v/>
      </c>
      <c r="AP788" s="6" t="n"/>
      <c r="AQ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IF($A789="","",IFERROR(INDEX('AJUSTES'!$B$4:$B$303,MATCH($AQ789,'AJUSTES'!$A$4:$A$303,0)),IF($K789="","",$K789)))</f>
        <v/>
      </c>
      <c r="N789" s="3">
        <f>IF($A789="","",IFERROR(INDEX('CAT_ESTADOS_ERP'!$B$4:$B$7,MATCH(IFERROR(INDEX('2_IMPORTAR_EJECUCION'!$C$9:$C$1208,MATCH($AQ789,'2_IMPORTAR_EJECUCION'!$J$9:$J$1208,0)),""),'CAT_ESTADOS_ERP'!$A$4:$A$7,0)),"Pendiente"))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J789="","",IFERROR(INDEX('CALENDARIO'!$C$15:$C$214,MATCH(TEXT($J789,"yyyy-mm-dd")&amp;"|"&amp;$V789&amp;"|"&amp;$W789,'CALENDARIO'!$G$15:$G$214,0)),IFERROR(INDEX('CALENDARIO'!$C$15:$C$214,MATCH(TEXT($J789,"yyyy-mm-dd")&amp;"|"&amp;$V789&amp;"|",'CALENDARIO'!$G$15:$G$214,0)),IFERROR(INDEX('CALENDARIO'!$C$15:$C$214,MATCH(TEXT($J789,"yyyy-mm-dd")&amp;"||",'CALENDARIO'!$G$15:$G$214,0)),INDEX(patronHabil,WEEKDAY($J789,2))))))</f>
        <v/>
      </c>
      <c r="T789" s="3">
        <f>IF($I789="","",IFERROR(INDEX('CAT_TIPOS_OT'!$C$4:$C$7,MATCH($I789,'CAT_TIPOS_OT'!$A$4:$A$7,0)),"sin_clasificar"))</f>
        <v/>
      </c>
      <c r="U789" s="3">
        <f>IF($F789="","",IFERROR(INDEX('CAT_CENTROS_COSTO'!$F$4:$F$13,MATCH($F789,'CAT_CENTROS_COSTO'!$A$4:$A$13,0)),"(sin catálogo)"))</f>
        <v/>
      </c>
      <c r="V789" s="3">
        <f>IF($F789="","",IFERROR(INDEX('CAT_CENTROS_COSTO'!$D$4:$D$13,MATCH($F789,'CAT_CENTROS_COSTO'!$A$4:$A$13,0)),"(sin catálogo)"))</f>
        <v/>
      </c>
      <c r="W789" s="3">
        <f>IF($F789="","",IF((IFERROR(INDEX('CAT_CENTROS_COSTO'!$E$4:$E$13,MATCH($F789,'CAT_CENTROS_COSTO'!$A$4:$A$13,0)),""))&lt;&gt;"",IFERROR(INDEX('CAT_CENTROS_COSTO'!$E$4:$E$13,MATCH($F789,'CAT_CENTROS_COSTO'!$A$4:$A$13,0)),""),$V789))</f>
        <v/>
      </c>
      <c r="X789" s="3">
        <f>IF($F789="","",IFERROR(INDEX('CAT_CENTROS_COSTO'!$G$4:$G$13,MATCH($F789,'CAT_CENTROS_COSTO'!$A$4:$A$13,0)),"(sin catálogo)"))</f>
        <v/>
      </c>
      <c r="Y789" s="3">
        <f>IF($G789="","",IFERROR(INDEX('CAT_PUESTOS'!$B$4:$B$8,MATCH($G789,'CAT_PUESTOS'!$A$4:$A$8,0)),"(sin catálogo)"))</f>
        <v/>
      </c>
      <c r="Z789" s="3">
        <f>IF($H789="","",IFERROR(INDEX('CAT_ACTIVIDADES'!$B$4:$B$8,MATCH($H789,'CAT_ACTIVIDADES'!$A$4:$A$8,0)),"(sin catálogo)"))</f>
        <v/>
      </c>
      <c r="AA789" s="12">
        <f>IF($J789="","",TODAY()-$J789)</f>
        <v/>
      </c>
      <c r="AB789" s="12">
        <f>IF($J789="","",IF($J789&lt;=TODAY(),COUNTIFS(cal_fechas,"&gt;="&amp;$J789,cal_fechas,"&lt;"&amp;TODAY(),cal_habil,"sí"),-COUNTIFS(cal_fechas,"&gt;="&amp;TODAY(),cal_fechas,"&lt;"&amp;$J789,cal_habil,"sí")))</f>
        <v/>
      </c>
      <c r="AC789" s="3">
        <f>IF($AB789="","",IF($AB789&lt;0,"FUTURO",IF($AB789&gt;p_dias_backlog_max,"BACKLOG","MES CORRIENTE")))</f>
        <v/>
      </c>
      <c r="AD789" s="3">
        <f>IF($AB789="",FALSE,AND($AB789&gt;p_dias_backlog_min,$AB789&lt;=p_dias_backlog_max))</f>
        <v/>
      </c>
      <c r="AE789" s="6" t="n"/>
      <c r="AF789" s="3">
        <f>IF($AE789="","",IF((IFERROR(INDEX('ASIGNACIONES'!$F$4:$F$339,MATCH($O789&amp;"|"&amp;$R789&amp;"|"&amp;$AE789,'ASIGNACIONES'!$J$4:$J$339,0)),""))=0,"",IFERROR(INDEX('ASIGNACIONES'!$F$4:$F$339,MATCH($O789&amp;"|"&amp;$R789&amp;"|"&amp;$AE789,'ASIGNACIONES'!$J$4:$J$339,0)),"")))</f>
        <v/>
      </c>
      <c r="AG789" s="13">
        <f>IF($AE789="","",SUMIFS('ORDENES'!$M$4:$M$1203,'ORDENES'!$AE$4:$AE$1203,$AE789,'ORDENES'!$O$4:$O$1203,$O789,'ORDENES'!$R$4:$R$1203,$R789))</f>
        <v/>
      </c>
      <c r="AH789" s="13">
        <f>IF($AG789="","",p_factor_productividad*IFERROR(INDEX('ASIGNACIONES'!$I$4:$I$339,MATCH($O789&amp;"|"&amp;$R789&amp;"|"&amp;$AE789,'ASIGNACIONES'!$J$4:$J$339,0)),0)-$AG789)</f>
        <v/>
      </c>
      <c r="AI789" s="10">
        <f>IF($A789="","",IFERROR(INDEX('2_IMPORTAR_EJECUCION'!$F$9:$F$1208,MATCH($AQ789,'2_IMPORTAR_EJECUCION'!$J$9:$J$1208,0)),0))</f>
        <v/>
      </c>
      <c r="AJ789" s="10">
        <f>IF($A789="","",MAX(0,IFERROR(INDEX('2_IMPORTAR_EJECUCION'!$H$9:$H$1208,MATCH($AQ789,'2_IMPORTAR_EJECUCION'!$J$9:$J$1208,0)),0)-$AI789))</f>
        <v/>
      </c>
      <c r="AK789" s="10">
        <f>IF($A789="","",$AI789+$AJ789)</f>
        <v/>
      </c>
      <c r="AL789" s="6" t="n"/>
      <c r="AM789" s="6" t="n"/>
      <c r="AN789" s="6" t="n"/>
      <c r="AO789" s="3">
        <f>IF($AN789="","",HYPERLINK(p_ruta_base_checklists&amp;$AN789,"abrir"))</f>
        <v/>
      </c>
      <c r="AP789" s="6" t="n"/>
      <c r="AQ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IF($A790="","",IFERROR(INDEX('AJUSTES'!$B$4:$B$303,MATCH($AQ790,'AJUSTES'!$A$4:$A$303,0)),IF($K790="","",$K790)))</f>
        <v/>
      </c>
      <c r="N790" s="3">
        <f>IF($A790="","",IFERROR(INDEX('CAT_ESTADOS_ERP'!$B$4:$B$7,MATCH(IFERROR(INDEX('2_IMPORTAR_EJECUCION'!$C$9:$C$1208,MATCH($AQ790,'2_IMPORTAR_EJECUCION'!$J$9:$J$1208,0)),""),'CAT_ESTADOS_ERP'!$A$4:$A$7,0)),"Pendiente"))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J790="","",IFERROR(INDEX('CALENDARIO'!$C$15:$C$214,MATCH(TEXT($J790,"yyyy-mm-dd")&amp;"|"&amp;$V790&amp;"|"&amp;$W790,'CALENDARIO'!$G$15:$G$214,0)),IFERROR(INDEX('CALENDARIO'!$C$15:$C$214,MATCH(TEXT($J790,"yyyy-mm-dd")&amp;"|"&amp;$V790&amp;"|",'CALENDARIO'!$G$15:$G$214,0)),IFERROR(INDEX('CALENDARIO'!$C$15:$C$214,MATCH(TEXT($J790,"yyyy-mm-dd")&amp;"||",'CALENDARIO'!$G$15:$G$214,0)),INDEX(patronHabil,WEEKDAY($J790,2))))))</f>
        <v/>
      </c>
      <c r="T790" s="3">
        <f>IF($I790="","",IFERROR(INDEX('CAT_TIPOS_OT'!$C$4:$C$7,MATCH($I790,'CAT_TIPOS_OT'!$A$4:$A$7,0)),"sin_clasificar"))</f>
        <v/>
      </c>
      <c r="U790" s="3">
        <f>IF($F790="","",IFERROR(INDEX('CAT_CENTROS_COSTO'!$F$4:$F$13,MATCH($F790,'CAT_CENTROS_COSTO'!$A$4:$A$13,0)),"(sin catálogo)"))</f>
        <v/>
      </c>
      <c r="V790" s="3">
        <f>IF($F790="","",IFERROR(INDEX('CAT_CENTROS_COSTO'!$D$4:$D$13,MATCH($F790,'CAT_CENTROS_COSTO'!$A$4:$A$13,0)),"(sin catálogo)"))</f>
        <v/>
      </c>
      <c r="W790" s="3">
        <f>IF($F790="","",IF((IFERROR(INDEX('CAT_CENTROS_COSTO'!$E$4:$E$13,MATCH($F790,'CAT_CENTROS_COSTO'!$A$4:$A$13,0)),""))&lt;&gt;"",IFERROR(INDEX('CAT_CENTROS_COSTO'!$E$4:$E$13,MATCH($F790,'CAT_CENTROS_COSTO'!$A$4:$A$13,0)),""),$V790))</f>
        <v/>
      </c>
      <c r="X790" s="3">
        <f>IF($F790="","",IFERROR(INDEX('CAT_CENTROS_COSTO'!$G$4:$G$13,MATCH($F790,'CAT_CENTROS_COSTO'!$A$4:$A$13,0)),"(sin catálogo)"))</f>
        <v/>
      </c>
      <c r="Y790" s="3">
        <f>IF($G790="","",IFERROR(INDEX('CAT_PUESTOS'!$B$4:$B$8,MATCH($G790,'CAT_PUESTOS'!$A$4:$A$8,0)),"(sin catálogo)"))</f>
        <v/>
      </c>
      <c r="Z790" s="3">
        <f>IF($H790="","",IFERROR(INDEX('CAT_ACTIVIDADES'!$B$4:$B$8,MATCH($H790,'CAT_ACTIVIDADES'!$A$4:$A$8,0)),"(sin catálogo)"))</f>
        <v/>
      </c>
      <c r="AA790" s="12">
        <f>IF($J790="","",TODAY()-$J790)</f>
        <v/>
      </c>
      <c r="AB790" s="12">
        <f>IF($J790="","",IF($J790&lt;=TODAY(),COUNTIFS(cal_fechas,"&gt;="&amp;$J790,cal_fechas,"&lt;"&amp;TODAY(),cal_habil,"sí"),-COUNTIFS(cal_fechas,"&gt;="&amp;TODAY(),cal_fechas,"&lt;"&amp;$J790,cal_habil,"sí")))</f>
        <v/>
      </c>
      <c r="AC790" s="3">
        <f>IF($AB790="","",IF($AB790&lt;0,"FUTURO",IF($AB790&gt;p_dias_backlog_max,"BACKLOG","MES CORRIENTE")))</f>
        <v/>
      </c>
      <c r="AD790" s="3">
        <f>IF($AB790="",FALSE,AND($AB790&gt;p_dias_backlog_min,$AB790&lt;=p_dias_backlog_max))</f>
        <v/>
      </c>
      <c r="AE790" s="6" t="n"/>
      <c r="AF790" s="3">
        <f>IF($AE790="","",IF((IFERROR(INDEX('ASIGNACIONES'!$F$4:$F$339,MATCH($O790&amp;"|"&amp;$R790&amp;"|"&amp;$AE790,'ASIGNACIONES'!$J$4:$J$339,0)),""))=0,"",IFERROR(INDEX('ASIGNACIONES'!$F$4:$F$339,MATCH($O790&amp;"|"&amp;$R790&amp;"|"&amp;$AE790,'ASIGNACIONES'!$J$4:$J$339,0)),"")))</f>
        <v/>
      </c>
      <c r="AG790" s="13">
        <f>IF($AE790="","",SUMIFS('ORDENES'!$M$4:$M$1203,'ORDENES'!$AE$4:$AE$1203,$AE790,'ORDENES'!$O$4:$O$1203,$O790,'ORDENES'!$R$4:$R$1203,$R790))</f>
        <v/>
      </c>
      <c r="AH790" s="13">
        <f>IF($AG790="","",p_factor_productividad*IFERROR(INDEX('ASIGNACIONES'!$I$4:$I$339,MATCH($O790&amp;"|"&amp;$R790&amp;"|"&amp;$AE790,'ASIGNACIONES'!$J$4:$J$339,0)),0)-$AG790)</f>
        <v/>
      </c>
      <c r="AI790" s="10">
        <f>IF($A790="","",IFERROR(INDEX('2_IMPORTAR_EJECUCION'!$F$9:$F$1208,MATCH($AQ790,'2_IMPORTAR_EJECUCION'!$J$9:$J$1208,0)),0))</f>
        <v/>
      </c>
      <c r="AJ790" s="10">
        <f>IF($A790="","",MAX(0,IFERROR(INDEX('2_IMPORTAR_EJECUCION'!$H$9:$H$1208,MATCH($AQ790,'2_IMPORTAR_EJECUCION'!$J$9:$J$1208,0)),0)-$AI790))</f>
        <v/>
      </c>
      <c r="AK790" s="10">
        <f>IF($A790="","",$AI790+$AJ790)</f>
        <v/>
      </c>
      <c r="AL790" s="6" t="n"/>
      <c r="AM790" s="6" t="n"/>
      <c r="AN790" s="6" t="n"/>
      <c r="AO790" s="3">
        <f>IF($AN790="","",HYPERLINK(p_ruta_base_checklists&amp;$AN790,"abrir"))</f>
        <v/>
      </c>
      <c r="AP790" s="6" t="n"/>
      <c r="AQ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IF($A791="","",IFERROR(INDEX('AJUSTES'!$B$4:$B$303,MATCH($AQ791,'AJUSTES'!$A$4:$A$303,0)),IF($K791="","",$K791)))</f>
        <v/>
      </c>
      <c r="N791" s="3">
        <f>IF($A791="","",IFERROR(INDEX('CAT_ESTADOS_ERP'!$B$4:$B$7,MATCH(IFERROR(INDEX('2_IMPORTAR_EJECUCION'!$C$9:$C$1208,MATCH($AQ791,'2_IMPORTAR_EJECUCION'!$J$9:$J$1208,0)),""),'CAT_ESTADOS_ERP'!$A$4:$A$7,0)),"Pendiente"))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J791="","",IFERROR(INDEX('CALENDARIO'!$C$15:$C$214,MATCH(TEXT($J791,"yyyy-mm-dd")&amp;"|"&amp;$V791&amp;"|"&amp;$W791,'CALENDARIO'!$G$15:$G$214,0)),IFERROR(INDEX('CALENDARIO'!$C$15:$C$214,MATCH(TEXT($J791,"yyyy-mm-dd")&amp;"|"&amp;$V791&amp;"|",'CALENDARIO'!$G$15:$G$214,0)),IFERROR(INDEX('CALENDARIO'!$C$15:$C$214,MATCH(TEXT($J791,"yyyy-mm-dd")&amp;"||",'CALENDARIO'!$G$15:$G$214,0)),INDEX(patronHabil,WEEKDAY($J791,2))))))</f>
        <v/>
      </c>
      <c r="T791" s="3">
        <f>IF($I791="","",IFERROR(INDEX('CAT_TIPOS_OT'!$C$4:$C$7,MATCH($I791,'CAT_TIPOS_OT'!$A$4:$A$7,0)),"sin_clasificar"))</f>
        <v/>
      </c>
      <c r="U791" s="3">
        <f>IF($F791="","",IFERROR(INDEX('CAT_CENTROS_COSTO'!$F$4:$F$13,MATCH($F791,'CAT_CENTROS_COSTO'!$A$4:$A$13,0)),"(sin catálogo)"))</f>
        <v/>
      </c>
      <c r="V791" s="3">
        <f>IF($F791="","",IFERROR(INDEX('CAT_CENTROS_COSTO'!$D$4:$D$13,MATCH($F791,'CAT_CENTROS_COSTO'!$A$4:$A$13,0)),"(sin catálogo)"))</f>
        <v/>
      </c>
      <c r="W791" s="3">
        <f>IF($F791="","",IF((IFERROR(INDEX('CAT_CENTROS_COSTO'!$E$4:$E$13,MATCH($F791,'CAT_CENTROS_COSTO'!$A$4:$A$13,0)),""))&lt;&gt;"",IFERROR(INDEX('CAT_CENTROS_COSTO'!$E$4:$E$13,MATCH($F791,'CAT_CENTROS_COSTO'!$A$4:$A$13,0)),""),$V791))</f>
        <v/>
      </c>
      <c r="X791" s="3">
        <f>IF($F791="","",IFERROR(INDEX('CAT_CENTROS_COSTO'!$G$4:$G$13,MATCH($F791,'CAT_CENTROS_COSTO'!$A$4:$A$13,0)),"(sin catálogo)"))</f>
        <v/>
      </c>
      <c r="Y791" s="3">
        <f>IF($G791="","",IFERROR(INDEX('CAT_PUESTOS'!$B$4:$B$8,MATCH($G791,'CAT_PUESTOS'!$A$4:$A$8,0)),"(sin catálogo)"))</f>
        <v/>
      </c>
      <c r="Z791" s="3">
        <f>IF($H791="","",IFERROR(INDEX('CAT_ACTIVIDADES'!$B$4:$B$8,MATCH($H791,'CAT_ACTIVIDADES'!$A$4:$A$8,0)),"(sin catálogo)"))</f>
        <v/>
      </c>
      <c r="AA791" s="12">
        <f>IF($J791="","",TODAY()-$J791)</f>
        <v/>
      </c>
      <c r="AB791" s="12">
        <f>IF($J791="","",IF($J791&lt;=TODAY(),COUNTIFS(cal_fechas,"&gt;="&amp;$J791,cal_fechas,"&lt;"&amp;TODAY(),cal_habil,"sí"),-COUNTIFS(cal_fechas,"&gt;="&amp;TODAY(),cal_fechas,"&lt;"&amp;$J791,cal_habil,"sí")))</f>
        <v/>
      </c>
      <c r="AC791" s="3">
        <f>IF($AB791="","",IF($AB791&lt;0,"FUTURO",IF($AB791&gt;p_dias_backlog_max,"BACKLOG","MES CORRIENTE")))</f>
        <v/>
      </c>
      <c r="AD791" s="3">
        <f>IF($AB791="",FALSE,AND($AB791&gt;p_dias_backlog_min,$AB791&lt;=p_dias_backlog_max))</f>
        <v/>
      </c>
      <c r="AE791" s="6" t="n"/>
      <c r="AF791" s="3">
        <f>IF($AE791="","",IF((IFERROR(INDEX('ASIGNACIONES'!$F$4:$F$339,MATCH($O791&amp;"|"&amp;$R791&amp;"|"&amp;$AE791,'ASIGNACIONES'!$J$4:$J$339,0)),""))=0,"",IFERROR(INDEX('ASIGNACIONES'!$F$4:$F$339,MATCH($O791&amp;"|"&amp;$R791&amp;"|"&amp;$AE791,'ASIGNACIONES'!$J$4:$J$339,0)),"")))</f>
        <v/>
      </c>
      <c r="AG791" s="13">
        <f>IF($AE791="","",SUMIFS('ORDENES'!$M$4:$M$1203,'ORDENES'!$AE$4:$AE$1203,$AE791,'ORDENES'!$O$4:$O$1203,$O791,'ORDENES'!$R$4:$R$1203,$R791))</f>
        <v/>
      </c>
      <c r="AH791" s="13">
        <f>IF($AG791="","",p_factor_productividad*IFERROR(INDEX('ASIGNACIONES'!$I$4:$I$339,MATCH($O791&amp;"|"&amp;$R791&amp;"|"&amp;$AE791,'ASIGNACIONES'!$J$4:$J$339,0)),0)-$AG791)</f>
        <v/>
      </c>
      <c r="AI791" s="10">
        <f>IF($A791="","",IFERROR(INDEX('2_IMPORTAR_EJECUCION'!$F$9:$F$1208,MATCH($AQ791,'2_IMPORTAR_EJECUCION'!$J$9:$J$1208,0)),0))</f>
        <v/>
      </c>
      <c r="AJ791" s="10">
        <f>IF($A791="","",MAX(0,IFERROR(INDEX('2_IMPORTAR_EJECUCION'!$H$9:$H$1208,MATCH($AQ791,'2_IMPORTAR_EJECUCION'!$J$9:$J$1208,0)),0)-$AI791))</f>
        <v/>
      </c>
      <c r="AK791" s="10">
        <f>IF($A791="","",$AI791+$AJ791)</f>
        <v/>
      </c>
      <c r="AL791" s="6" t="n"/>
      <c r="AM791" s="6" t="n"/>
      <c r="AN791" s="6" t="n"/>
      <c r="AO791" s="3">
        <f>IF($AN791="","",HYPERLINK(p_ruta_base_checklists&amp;$AN791,"abrir"))</f>
        <v/>
      </c>
      <c r="AP791" s="6" t="n"/>
      <c r="AQ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IF($A792="","",IFERROR(INDEX('AJUSTES'!$B$4:$B$303,MATCH($AQ792,'AJUSTES'!$A$4:$A$303,0)),IF($K792="","",$K792)))</f>
        <v/>
      </c>
      <c r="N792" s="3">
        <f>IF($A792="","",IFERROR(INDEX('CAT_ESTADOS_ERP'!$B$4:$B$7,MATCH(IFERROR(INDEX('2_IMPORTAR_EJECUCION'!$C$9:$C$1208,MATCH($AQ792,'2_IMPORTAR_EJECUCION'!$J$9:$J$1208,0)),""),'CAT_ESTADOS_ERP'!$A$4:$A$7,0)),"Pendiente"))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J792="","",IFERROR(INDEX('CALENDARIO'!$C$15:$C$214,MATCH(TEXT($J792,"yyyy-mm-dd")&amp;"|"&amp;$V792&amp;"|"&amp;$W792,'CALENDARIO'!$G$15:$G$214,0)),IFERROR(INDEX('CALENDARIO'!$C$15:$C$214,MATCH(TEXT($J792,"yyyy-mm-dd")&amp;"|"&amp;$V792&amp;"|",'CALENDARIO'!$G$15:$G$214,0)),IFERROR(INDEX('CALENDARIO'!$C$15:$C$214,MATCH(TEXT($J792,"yyyy-mm-dd")&amp;"||",'CALENDARIO'!$G$15:$G$214,0)),INDEX(patronHabil,WEEKDAY($J792,2))))))</f>
        <v/>
      </c>
      <c r="T792" s="3">
        <f>IF($I792="","",IFERROR(INDEX('CAT_TIPOS_OT'!$C$4:$C$7,MATCH($I792,'CAT_TIPOS_OT'!$A$4:$A$7,0)),"sin_clasificar"))</f>
        <v/>
      </c>
      <c r="U792" s="3">
        <f>IF($F792="","",IFERROR(INDEX('CAT_CENTROS_COSTO'!$F$4:$F$13,MATCH($F792,'CAT_CENTROS_COSTO'!$A$4:$A$13,0)),"(sin catálogo)"))</f>
        <v/>
      </c>
      <c r="V792" s="3">
        <f>IF($F792="","",IFERROR(INDEX('CAT_CENTROS_COSTO'!$D$4:$D$13,MATCH($F792,'CAT_CENTROS_COSTO'!$A$4:$A$13,0)),"(sin catálogo)"))</f>
        <v/>
      </c>
      <c r="W792" s="3">
        <f>IF($F792="","",IF((IFERROR(INDEX('CAT_CENTROS_COSTO'!$E$4:$E$13,MATCH($F792,'CAT_CENTROS_COSTO'!$A$4:$A$13,0)),""))&lt;&gt;"",IFERROR(INDEX('CAT_CENTROS_COSTO'!$E$4:$E$13,MATCH($F792,'CAT_CENTROS_COSTO'!$A$4:$A$13,0)),""),$V792))</f>
        <v/>
      </c>
      <c r="X792" s="3">
        <f>IF($F792="","",IFERROR(INDEX('CAT_CENTROS_COSTO'!$G$4:$G$13,MATCH($F792,'CAT_CENTROS_COSTO'!$A$4:$A$13,0)),"(sin catálogo)"))</f>
        <v/>
      </c>
      <c r="Y792" s="3">
        <f>IF($G792="","",IFERROR(INDEX('CAT_PUESTOS'!$B$4:$B$8,MATCH($G792,'CAT_PUESTOS'!$A$4:$A$8,0)),"(sin catálogo)"))</f>
        <v/>
      </c>
      <c r="Z792" s="3">
        <f>IF($H792="","",IFERROR(INDEX('CAT_ACTIVIDADES'!$B$4:$B$8,MATCH($H792,'CAT_ACTIVIDADES'!$A$4:$A$8,0)),"(sin catálogo)"))</f>
        <v/>
      </c>
      <c r="AA792" s="12">
        <f>IF($J792="","",TODAY()-$J792)</f>
        <v/>
      </c>
      <c r="AB792" s="12">
        <f>IF($J792="","",IF($J792&lt;=TODAY(),COUNTIFS(cal_fechas,"&gt;="&amp;$J792,cal_fechas,"&lt;"&amp;TODAY(),cal_habil,"sí"),-COUNTIFS(cal_fechas,"&gt;="&amp;TODAY(),cal_fechas,"&lt;"&amp;$J792,cal_habil,"sí")))</f>
        <v/>
      </c>
      <c r="AC792" s="3">
        <f>IF($AB792="","",IF($AB792&lt;0,"FUTURO",IF($AB792&gt;p_dias_backlog_max,"BACKLOG","MES CORRIENTE")))</f>
        <v/>
      </c>
      <c r="AD792" s="3">
        <f>IF($AB792="",FALSE,AND($AB792&gt;p_dias_backlog_min,$AB792&lt;=p_dias_backlog_max))</f>
        <v/>
      </c>
      <c r="AE792" s="6" t="n"/>
      <c r="AF792" s="3">
        <f>IF($AE792="","",IF((IFERROR(INDEX('ASIGNACIONES'!$F$4:$F$339,MATCH($O792&amp;"|"&amp;$R792&amp;"|"&amp;$AE792,'ASIGNACIONES'!$J$4:$J$339,0)),""))=0,"",IFERROR(INDEX('ASIGNACIONES'!$F$4:$F$339,MATCH($O792&amp;"|"&amp;$R792&amp;"|"&amp;$AE792,'ASIGNACIONES'!$J$4:$J$339,0)),"")))</f>
        <v/>
      </c>
      <c r="AG792" s="13">
        <f>IF($AE792="","",SUMIFS('ORDENES'!$M$4:$M$1203,'ORDENES'!$AE$4:$AE$1203,$AE792,'ORDENES'!$O$4:$O$1203,$O792,'ORDENES'!$R$4:$R$1203,$R792))</f>
        <v/>
      </c>
      <c r="AH792" s="13">
        <f>IF($AG792="","",p_factor_productividad*IFERROR(INDEX('ASIGNACIONES'!$I$4:$I$339,MATCH($O792&amp;"|"&amp;$R792&amp;"|"&amp;$AE792,'ASIGNACIONES'!$J$4:$J$339,0)),0)-$AG792)</f>
        <v/>
      </c>
      <c r="AI792" s="10">
        <f>IF($A792="","",IFERROR(INDEX('2_IMPORTAR_EJECUCION'!$F$9:$F$1208,MATCH($AQ792,'2_IMPORTAR_EJECUCION'!$J$9:$J$1208,0)),0))</f>
        <v/>
      </c>
      <c r="AJ792" s="10">
        <f>IF($A792="","",MAX(0,IFERROR(INDEX('2_IMPORTAR_EJECUCION'!$H$9:$H$1208,MATCH($AQ792,'2_IMPORTAR_EJECUCION'!$J$9:$J$1208,0)),0)-$AI792))</f>
        <v/>
      </c>
      <c r="AK792" s="10">
        <f>IF($A792="","",$AI792+$AJ792)</f>
        <v/>
      </c>
      <c r="AL792" s="6" t="n"/>
      <c r="AM792" s="6" t="n"/>
      <c r="AN792" s="6" t="n"/>
      <c r="AO792" s="3">
        <f>IF($AN792="","",HYPERLINK(p_ruta_base_checklists&amp;$AN792,"abrir"))</f>
        <v/>
      </c>
      <c r="AP792" s="6" t="n"/>
      <c r="AQ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IF($A793="","",IFERROR(INDEX('AJUSTES'!$B$4:$B$303,MATCH($AQ793,'AJUSTES'!$A$4:$A$303,0)),IF($K793="","",$K793)))</f>
        <v/>
      </c>
      <c r="N793" s="3">
        <f>IF($A793="","",IFERROR(INDEX('CAT_ESTADOS_ERP'!$B$4:$B$7,MATCH(IFERROR(INDEX('2_IMPORTAR_EJECUCION'!$C$9:$C$1208,MATCH($AQ793,'2_IMPORTAR_EJECUCION'!$J$9:$J$1208,0)),""),'CAT_ESTADOS_ERP'!$A$4:$A$7,0)),"Pendiente"))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J793="","",IFERROR(INDEX('CALENDARIO'!$C$15:$C$214,MATCH(TEXT($J793,"yyyy-mm-dd")&amp;"|"&amp;$V793&amp;"|"&amp;$W793,'CALENDARIO'!$G$15:$G$214,0)),IFERROR(INDEX('CALENDARIO'!$C$15:$C$214,MATCH(TEXT($J793,"yyyy-mm-dd")&amp;"|"&amp;$V793&amp;"|",'CALENDARIO'!$G$15:$G$214,0)),IFERROR(INDEX('CALENDARIO'!$C$15:$C$214,MATCH(TEXT($J793,"yyyy-mm-dd")&amp;"||",'CALENDARIO'!$G$15:$G$214,0)),INDEX(patronHabil,WEEKDAY($J793,2))))))</f>
        <v/>
      </c>
      <c r="T793" s="3">
        <f>IF($I793="","",IFERROR(INDEX('CAT_TIPOS_OT'!$C$4:$C$7,MATCH($I793,'CAT_TIPOS_OT'!$A$4:$A$7,0)),"sin_clasificar"))</f>
        <v/>
      </c>
      <c r="U793" s="3">
        <f>IF($F793="","",IFERROR(INDEX('CAT_CENTROS_COSTO'!$F$4:$F$13,MATCH($F793,'CAT_CENTROS_COSTO'!$A$4:$A$13,0)),"(sin catálogo)"))</f>
        <v/>
      </c>
      <c r="V793" s="3">
        <f>IF($F793="","",IFERROR(INDEX('CAT_CENTROS_COSTO'!$D$4:$D$13,MATCH($F793,'CAT_CENTROS_COSTO'!$A$4:$A$13,0)),"(sin catálogo)"))</f>
        <v/>
      </c>
      <c r="W793" s="3">
        <f>IF($F793="","",IF((IFERROR(INDEX('CAT_CENTROS_COSTO'!$E$4:$E$13,MATCH($F793,'CAT_CENTROS_COSTO'!$A$4:$A$13,0)),""))&lt;&gt;"",IFERROR(INDEX('CAT_CENTROS_COSTO'!$E$4:$E$13,MATCH($F793,'CAT_CENTROS_COSTO'!$A$4:$A$13,0)),""),$V793))</f>
        <v/>
      </c>
      <c r="X793" s="3">
        <f>IF($F793="","",IFERROR(INDEX('CAT_CENTROS_COSTO'!$G$4:$G$13,MATCH($F793,'CAT_CENTROS_COSTO'!$A$4:$A$13,0)),"(sin catálogo)"))</f>
        <v/>
      </c>
      <c r="Y793" s="3">
        <f>IF($G793="","",IFERROR(INDEX('CAT_PUESTOS'!$B$4:$B$8,MATCH($G793,'CAT_PUESTOS'!$A$4:$A$8,0)),"(sin catálogo)"))</f>
        <v/>
      </c>
      <c r="Z793" s="3">
        <f>IF($H793="","",IFERROR(INDEX('CAT_ACTIVIDADES'!$B$4:$B$8,MATCH($H793,'CAT_ACTIVIDADES'!$A$4:$A$8,0)),"(sin catálogo)"))</f>
        <v/>
      </c>
      <c r="AA793" s="12">
        <f>IF($J793="","",TODAY()-$J793)</f>
        <v/>
      </c>
      <c r="AB793" s="12">
        <f>IF($J793="","",IF($J793&lt;=TODAY(),COUNTIFS(cal_fechas,"&gt;="&amp;$J793,cal_fechas,"&lt;"&amp;TODAY(),cal_habil,"sí"),-COUNTIFS(cal_fechas,"&gt;="&amp;TODAY(),cal_fechas,"&lt;"&amp;$J793,cal_habil,"sí")))</f>
        <v/>
      </c>
      <c r="AC793" s="3">
        <f>IF($AB793="","",IF($AB793&lt;0,"FUTURO",IF($AB793&gt;p_dias_backlog_max,"BACKLOG","MES CORRIENTE")))</f>
        <v/>
      </c>
      <c r="AD793" s="3">
        <f>IF($AB793="",FALSE,AND($AB793&gt;p_dias_backlog_min,$AB793&lt;=p_dias_backlog_max))</f>
        <v/>
      </c>
      <c r="AE793" s="6" t="n"/>
      <c r="AF793" s="3">
        <f>IF($AE793="","",IF((IFERROR(INDEX('ASIGNACIONES'!$F$4:$F$339,MATCH($O793&amp;"|"&amp;$R793&amp;"|"&amp;$AE793,'ASIGNACIONES'!$J$4:$J$339,0)),""))=0,"",IFERROR(INDEX('ASIGNACIONES'!$F$4:$F$339,MATCH($O793&amp;"|"&amp;$R793&amp;"|"&amp;$AE793,'ASIGNACIONES'!$J$4:$J$339,0)),"")))</f>
        <v/>
      </c>
      <c r="AG793" s="13">
        <f>IF($AE793="","",SUMIFS('ORDENES'!$M$4:$M$1203,'ORDENES'!$AE$4:$AE$1203,$AE793,'ORDENES'!$O$4:$O$1203,$O793,'ORDENES'!$R$4:$R$1203,$R793))</f>
        <v/>
      </c>
      <c r="AH793" s="13">
        <f>IF($AG793="","",p_factor_productividad*IFERROR(INDEX('ASIGNACIONES'!$I$4:$I$339,MATCH($O793&amp;"|"&amp;$R793&amp;"|"&amp;$AE793,'ASIGNACIONES'!$J$4:$J$339,0)),0)-$AG793)</f>
        <v/>
      </c>
      <c r="AI793" s="10">
        <f>IF($A793="","",IFERROR(INDEX('2_IMPORTAR_EJECUCION'!$F$9:$F$1208,MATCH($AQ793,'2_IMPORTAR_EJECUCION'!$J$9:$J$1208,0)),0))</f>
        <v/>
      </c>
      <c r="AJ793" s="10">
        <f>IF($A793="","",MAX(0,IFERROR(INDEX('2_IMPORTAR_EJECUCION'!$H$9:$H$1208,MATCH($AQ793,'2_IMPORTAR_EJECUCION'!$J$9:$J$1208,0)),0)-$AI793))</f>
        <v/>
      </c>
      <c r="AK793" s="10">
        <f>IF($A793="","",$AI793+$AJ793)</f>
        <v/>
      </c>
      <c r="AL793" s="6" t="n"/>
      <c r="AM793" s="6" t="n"/>
      <c r="AN793" s="6" t="n"/>
      <c r="AO793" s="3">
        <f>IF($AN793="","",HYPERLINK(p_ruta_base_checklists&amp;$AN793,"abrir"))</f>
        <v/>
      </c>
      <c r="AP793" s="6" t="n"/>
      <c r="AQ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IF($A794="","",IFERROR(INDEX('AJUSTES'!$B$4:$B$303,MATCH($AQ794,'AJUSTES'!$A$4:$A$303,0)),IF($K794="","",$K794)))</f>
        <v/>
      </c>
      <c r="N794" s="3">
        <f>IF($A794="","",IFERROR(INDEX('CAT_ESTADOS_ERP'!$B$4:$B$7,MATCH(IFERROR(INDEX('2_IMPORTAR_EJECUCION'!$C$9:$C$1208,MATCH($AQ794,'2_IMPORTAR_EJECUCION'!$J$9:$J$1208,0)),""),'CAT_ESTADOS_ERP'!$A$4:$A$7,0)),"Pendiente"))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J794="","",IFERROR(INDEX('CALENDARIO'!$C$15:$C$214,MATCH(TEXT($J794,"yyyy-mm-dd")&amp;"|"&amp;$V794&amp;"|"&amp;$W794,'CALENDARIO'!$G$15:$G$214,0)),IFERROR(INDEX('CALENDARIO'!$C$15:$C$214,MATCH(TEXT($J794,"yyyy-mm-dd")&amp;"|"&amp;$V794&amp;"|",'CALENDARIO'!$G$15:$G$214,0)),IFERROR(INDEX('CALENDARIO'!$C$15:$C$214,MATCH(TEXT($J794,"yyyy-mm-dd")&amp;"||",'CALENDARIO'!$G$15:$G$214,0)),INDEX(patronHabil,WEEKDAY($J794,2))))))</f>
        <v/>
      </c>
      <c r="T794" s="3">
        <f>IF($I794="","",IFERROR(INDEX('CAT_TIPOS_OT'!$C$4:$C$7,MATCH($I794,'CAT_TIPOS_OT'!$A$4:$A$7,0)),"sin_clasificar"))</f>
        <v/>
      </c>
      <c r="U794" s="3">
        <f>IF($F794="","",IFERROR(INDEX('CAT_CENTROS_COSTO'!$F$4:$F$13,MATCH($F794,'CAT_CENTROS_COSTO'!$A$4:$A$13,0)),"(sin catálogo)"))</f>
        <v/>
      </c>
      <c r="V794" s="3">
        <f>IF($F794="","",IFERROR(INDEX('CAT_CENTROS_COSTO'!$D$4:$D$13,MATCH($F794,'CAT_CENTROS_COSTO'!$A$4:$A$13,0)),"(sin catálogo)"))</f>
        <v/>
      </c>
      <c r="W794" s="3">
        <f>IF($F794="","",IF((IFERROR(INDEX('CAT_CENTROS_COSTO'!$E$4:$E$13,MATCH($F794,'CAT_CENTROS_COSTO'!$A$4:$A$13,0)),""))&lt;&gt;"",IFERROR(INDEX('CAT_CENTROS_COSTO'!$E$4:$E$13,MATCH($F794,'CAT_CENTROS_COSTO'!$A$4:$A$13,0)),""),$V794))</f>
        <v/>
      </c>
      <c r="X794" s="3">
        <f>IF($F794="","",IFERROR(INDEX('CAT_CENTROS_COSTO'!$G$4:$G$13,MATCH($F794,'CAT_CENTROS_COSTO'!$A$4:$A$13,0)),"(sin catálogo)"))</f>
        <v/>
      </c>
      <c r="Y794" s="3">
        <f>IF($G794="","",IFERROR(INDEX('CAT_PUESTOS'!$B$4:$B$8,MATCH($G794,'CAT_PUESTOS'!$A$4:$A$8,0)),"(sin catálogo)"))</f>
        <v/>
      </c>
      <c r="Z794" s="3">
        <f>IF($H794="","",IFERROR(INDEX('CAT_ACTIVIDADES'!$B$4:$B$8,MATCH($H794,'CAT_ACTIVIDADES'!$A$4:$A$8,0)),"(sin catálogo)"))</f>
        <v/>
      </c>
      <c r="AA794" s="12">
        <f>IF($J794="","",TODAY()-$J794)</f>
        <v/>
      </c>
      <c r="AB794" s="12">
        <f>IF($J794="","",IF($J794&lt;=TODAY(),COUNTIFS(cal_fechas,"&gt;="&amp;$J794,cal_fechas,"&lt;"&amp;TODAY(),cal_habil,"sí"),-COUNTIFS(cal_fechas,"&gt;="&amp;TODAY(),cal_fechas,"&lt;"&amp;$J794,cal_habil,"sí")))</f>
        <v/>
      </c>
      <c r="AC794" s="3">
        <f>IF($AB794="","",IF($AB794&lt;0,"FUTURO",IF($AB794&gt;p_dias_backlog_max,"BACKLOG","MES CORRIENTE")))</f>
        <v/>
      </c>
      <c r="AD794" s="3">
        <f>IF($AB794="",FALSE,AND($AB794&gt;p_dias_backlog_min,$AB794&lt;=p_dias_backlog_max))</f>
        <v/>
      </c>
      <c r="AE794" s="6" t="n"/>
      <c r="AF794" s="3">
        <f>IF($AE794="","",IF((IFERROR(INDEX('ASIGNACIONES'!$F$4:$F$339,MATCH($O794&amp;"|"&amp;$R794&amp;"|"&amp;$AE794,'ASIGNACIONES'!$J$4:$J$339,0)),""))=0,"",IFERROR(INDEX('ASIGNACIONES'!$F$4:$F$339,MATCH($O794&amp;"|"&amp;$R794&amp;"|"&amp;$AE794,'ASIGNACIONES'!$J$4:$J$339,0)),"")))</f>
        <v/>
      </c>
      <c r="AG794" s="13">
        <f>IF($AE794="","",SUMIFS('ORDENES'!$M$4:$M$1203,'ORDENES'!$AE$4:$AE$1203,$AE794,'ORDENES'!$O$4:$O$1203,$O794,'ORDENES'!$R$4:$R$1203,$R794))</f>
        <v/>
      </c>
      <c r="AH794" s="13">
        <f>IF($AG794="","",p_factor_productividad*IFERROR(INDEX('ASIGNACIONES'!$I$4:$I$339,MATCH($O794&amp;"|"&amp;$R794&amp;"|"&amp;$AE794,'ASIGNACIONES'!$J$4:$J$339,0)),0)-$AG794)</f>
        <v/>
      </c>
      <c r="AI794" s="10">
        <f>IF($A794="","",IFERROR(INDEX('2_IMPORTAR_EJECUCION'!$F$9:$F$1208,MATCH($AQ794,'2_IMPORTAR_EJECUCION'!$J$9:$J$1208,0)),0))</f>
        <v/>
      </c>
      <c r="AJ794" s="10">
        <f>IF($A794="","",MAX(0,IFERROR(INDEX('2_IMPORTAR_EJECUCION'!$H$9:$H$1208,MATCH($AQ794,'2_IMPORTAR_EJECUCION'!$J$9:$J$1208,0)),0)-$AI794))</f>
        <v/>
      </c>
      <c r="AK794" s="10">
        <f>IF($A794="","",$AI794+$AJ794)</f>
        <v/>
      </c>
      <c r="AL794" s="6" t="n"/>
      <c r="AM794" s="6" t="n"/>
      <c r="AN794" s="6" t="n"/>
      <c r="AO794" s="3">
        <f>IF($AN794="","",HYPERLINK(p_ruta_base_checklists&amp;$AN794,"abrir"))</f>
        <v/>
      </c>
      <c r="AP794" s="6" t="n"/>
      <c r="AQ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IF($A795="","",IFERROR(INDEX('AJUSTES'!$B$4:$B$303,MATCH($AQ795,'AJUSTES'!$A$4:$A$303,0)),IF($K795="","",$K795)))</f>
        <v/>
      </c>
      <c r="N795" s="3">
        <f>IF($A795="","",IFERROR(INDEX('CAT_ESTADOS_ERP'!$B$4:$B$7,MATCH(IFERROR(INDEX('2_IMPORTAR_EJECUCION'!$C$9:$C$1208,MATCH($AQ795,'2_IMPORTAR_EJECUCION'!$J$9:$J$1208,0)),""),'CAT_ESTADOS_ERP'!$A$4:$A$7,0)),"Pendiente"))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J795="","",IFERROR(INDEX('CALENDARIO'!$C$15:$C$214,MATCH(TEXT($J795,"yyyy-mm-dd")&amp;"|"&amp;$V795&amp;"|"&amp;$W795,'CALENDARIO'!$G$15:$G$214,0)),IFERROR(INDEX('CALENDARIO'!$C$15:$C$214,MATCH(TEXT($J795,"yyyy-mm-dd")&amp;"|"&amp;$V795&amp;"|",'CALENDARIO'!$G$15:$G$214,0)),IFERROR(INDEX('CALENDARIO'!$C$15:$C$214,MATCH(TEXT($J795,"yyyy-mm-dd")&amp;"||",'CALENDARIO'!$G$15:$G$214,0)),INDEX(patronHabil,WEEKDAY($J795,2))))))</f>
        <v/>
      </c>
      <c r="T795" s="3">
        <f>IF($I795="","",IFERROR(INDEX('CAT_TIPOS_OT'!$C$4:$C$7,MATCH($I795,'CAT_TIPOS_OT'!$A$4:$A$7,0)),"sin_clasificar"))</f>
        <v/>
      </c>
      <c r="U795" s="3">
        <f>IF($F795="","",IFERROR(INDEX('CAT_CENTROS_COSTO'!$F$4:$F$13,MATCH($F795,'CAT_CENTROS_COSTO'!$A$4:$A$13,0)),"(sin catálogo)"))</f>
        <v/>
      </c>
      <c r="V795" s="3">
        <f>IF($F795="","",IFERROR(INDEX('CAT_CENTROS_COSTO'!$D$4:$D$13,MATCH($F795,'CAT_CENTROS_COSTO'!$A$4:$A$13,0)),"(sin catálogo)"))</f>
        <v/>
      </c>
      <c r="W795" s="3">
        <f>IF($F795="","",IF((IFERROR(INDEX('CAT_CENTROS_COSTO'!$E$4:$E$13,MATCH($F795,'CAT_CENTROS_COSTO'!$A$4:$A$13,0)),""))&lt;&gt;"",IFERROR(INDEX('CAT_CENTROS_COSTO'!$E$4:$E$13,MATCH($F795,'CAT_CENTROS_COSTO'!$A$4:$A$13,0)),""),$V795))</f>
        <v/>
      </c>
      <c r="X795" s="3">
        <f>IF($F795="","",IFERROR(INDEX('CAT_CENTROS_COSTO'!$G$4:$G$13,MATCH($F795,'CAT_CENTROS_COSTO'!$A$4:$A$13,0)),"(sin catálogo)"))</f>
        <v/>
      </c>
      <c r="Y795" s="3">
        <f>IF($G795="","",IFERROR(INDEX('CAT_PUESTOS'!$B$4:$B$8,MATCH($G795,'CAT_PUESTOS'!$A$4:$A$8,0)),"(sin catálogo)"))</f>
        <v/>
      </c>
      <c r="Z795" s="3">
        <f>IF($H795="","",IFERROR(INDEX('CAT_ACTIVIDADES'!$B$4:$B$8,MATCH($H795,'CAT_ACTIVIDADES'!$A$4:$A$8,0)),"(sin catálogo)"))</f>
        <v/>
      </c>
      <c r="AA795" s="12">
        <f>IF($J795="","",TODAY()-$J795)</f>
        <v/>
      </c>
      <c r="AB795" s="12">
        <f>IF($J795="","",IF($J795&lt;=TODAY(),COUNTIFS(cal_fechas,"&gt;="&amp;$J795,cal_fechas,"&lt;"&amp;TODAY(),cal_habil,"sí"),-COUNTIFS(cal_fechas,"&gt;="&amp;TODAY(),cal_fechas,"&lt;"&amp;$J795,cal_habil,"sí")))</f>
        <v/>
      </c>
      <c r="AC795" s="3">
        <f>IF($AB795="","",IF($AB795&lt;0,"FUTURO",IF($AB795&gt;p_dias_backlog_max,"BACKLOG","MES CORRIENTE")))</f>
        <v/>
      </c>
      <c r="AD795" s="3">
        <f>IF($AB795="",FALSE,AND($AB795&gt;p_dias_backlog_min,$AB795&lt;=p_dias_backlog_max))</f>
        <v/>
      </c>
      <c r="AE795" s="6" t="n"/>
      <c r="AF795" s="3">
        <f>IF($AE795="","",IF((IFERROR(INDEX('ASIGNACIONES'!$F$4:$F$339,MATCH($O795&amp;"|"&amp;$R795&amp;"|"&amp;$AE795,'ASIGNACIONES'!$J$4:$J$339,0)),""))=0,"",IFERROR(INDEX('ASIGNACIONES'!$F$4:$F$339,MATCH($O795&amp;"|"&amp;$R795&amp;"|"&amp;$AE795,'ASIGNACIONES'!$J$4:$J$339,0)),"")))</f>
        <v/>
      </c>
      <c r="AG795" s="13">
        <f>IF($AE795="","",SUMIFS('ORDENES'!$M$4:$M$1203,'ORDENES'!$AE$4:$AE$1203,$AE795,'ORDENES'!$O$4:$O$1203,$O795,'ORDENES'!$R$4:$R$1203,$R795))</f>
        <v/>
      </c>
      <c r="AH795" s="13">
        <f>IF($AG795="","",p_factor_productividad*IFERROR(INDEX('ASIGNACIONES'!$I$4:$I$339,MATCH($O795&amp;"|"&amp;$R795&amp;"|"&amp;$AE795,'ASIGNACIONES'!$J$4:$J$339,0)),0)-$AG795)</f>
        <v/>
      </c>
      <c r="AI795" s="10">
        <f>IF($A795="","",IFERROR(INDEX('2_IMPORTAR_EJECUCION'!$F$9:$F$1208,MATCH($AQ795,'2_IMPORTAR_EJECUCION'!$J$9:$J$1208,0)),0))</f>
        <v/>
      </c>
      <c r="AJ795" s="10">
        <f>IF($A795="","",MAX(0,IFERROR(INDEX('2_IMPORTAR_EJECUCION'!$H$9:$H$1208,MATCH($AQ795,'2_IMPORTAR_EJECUCION'!$J$9:$J$1208,0)),0)-$AI795))</f>
        <v/>
      </c>
      <c r="AK795" s="10">
        <f>IF($A795="","",$AI795+$AJ795)</f>
        <v/>
      </c>
      <c r="AL795" s="6" t="n"/>
      <c r="AM795" s="6" t="n"/>
      <c r="AN795" s="6" t="n"/>
      <c r="AO795" s="3">
        <f>IF($AN795="","",HYPERLINK(p_ruta_base_checklists&amp;$AN795,"abrir"))</f>
        <v/>
      </c>
      <c r="AP795" s="6" t="n"/>
      <c r="AQ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IF($A796="","",IFERROR(INDEX('AJUSTES'!$B$4:$B$303,MATCH($AQ796,'AJUSTES'!$A$4:$A$303,0)),IF($K796="","",$K796)))</f>
        <v/>
      </c>
      <c r="N796" s="3">
        <f>IF($A796="","",IFERROR(INDEX('CAT_ESTADOS_ERP'!$B$4:$B$7,MATCH(IFERROR(INDEX('2_IMPORTAR_EJECUCION'!$C$9:$C$1208,MATCH($AQ796,'2_IMPORTAR_EJECUCION'!$J$9:$J$1208,0)),""),'CAT_ESTADOS_ERP'!$A$4:$A$7,0)),"Pendiente"))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J796="","",IFERROR(INDEX('CALENDARIO'!$C$15:$C$214,MATCH(TEXT($J796,"yyyy-mm-dd")&amp;"|"&amp;$V796&amp;"|"&amp;$W796,'CALENDARIO'!$G$15:$G$214,0)),IFERROR(INDEX('CALENDARIO'!$C$15:$C$214,MATCH(TEXT($J796,"yyyy-mm-dd")&amp;"|"&amp;$V796&amp;"|",'CALENDARIO'!$G$15:$G$214,0)),IFERROR(INDEX('CALENDARIO'!$C$15:$C$214,MATCH(TEXT($J796,"yyyy-mm-dd")&amp;"||",'CALENDARIO'!$G$15:$G$214,0)),INDEX(patronHabil,WEEKDAY($J796,2))))))</f>
        <v/>
      </c>
      <c r="T796" s="3">
        <f>IF($I796="","",IFERROR(INDEX('CAT_TIPOS_OT'!$C$4:$C$7,MATCH($I796,'CAT_TIPOS_OT'!$A$4:$A$7,0)),"sin_clasificar"))</f>
        <v/>
      </c>
      <c r="U796" s="3">
        <f>IF($F796="","",IFERROR(INDEX('CAT_CENTROS_COSTO'!$F$4:$F$13,MATCH($F796,'CAT_CENTROS_COSTO'!$A$4:$A$13,0)),"(sin catálogo)"))</f>
        <v/>
      </c>
      <c r="V796" s="3">
        <f>IF($F796="","",IFERROR(INDEX('CAT_CENTROS_COSTO'!$D$4:$D$13,MATCH($F796,'CAT_CENTROS_COSTO'!$A$4:$A$13,0)),"(sin catálogo)"))</f>
        <v/>
      </c>
      <c r="W796" s="3">
        <f>IF($F796="","",IF((IFERROR(INDEX('CAT_CENTROS_COSTO'!$E$4:$E$13,MATCH($F796,'CAT_CENTROS_COSTO'!$A$4:$A$13,0)),""))&lt;&gt;"",IFERROR(INDEX('CAT_CENTROS_COSTO'!$E$4:$E$13,MATCH($F796,'CAT_CENTROS_COSTO'!$A$4:$A$13,0)),""),$V796))</f>
        <v/>
      </c>
      <c r="X796" s="3">
        <f>IF($F796="","",IFERROR(INDEX('CAT_CENTROS_COSTO'!$G$4:$G$13,MATCH($F796,'CAT_CENTROS_COSTO'!$A$4:$A$13,0)),"(sin catálogo)"))</f>
        <v/>
      </c>
      <c r="Y796" s="3">
        <f>IF($G796="","",IFERROR(INDEX('CAT_PUESTOS'!$B$4:$B$8,MATCH($G796,'CAT_PUESTOS'!$A$4:$A$8,0)),"(sin catálogo)"))</f>
        <v/>
      </c>
      <c r="Z796" s="3">
        <f>IF($H796="","",IFERROR(INDEX('CAT_ACTIVIDADES'!$B$4:$B$8,MATCH($H796,'CAT_ACTIVIDADES'!$A$4:$A$8,0)),"(sin catálogo)"))</f>
        <v/>
      </c>
      <c r="AA796" s="12">
        <f>IF($J796="","",TODAY()-$J796)</f>
        <v/>
      </c>
      <c r="AB796" s="12">
        <f>IF($J796="","",IF($J796&lt;=TODAY(),COUNTIFS(cal_fechas,"&gt;="&amp;$J796,cal_fechas,"&lt;"&amp;TODAY(),cal_habil,"sí"),-COUNTIFS(cal_fechas,"&gt;="&amp;TODAY(),cal_fechas,"&lt;"&amp;$J796,cal_habil,"sí")))</f>
        <v/>
      </c>
      <c r="AC796" s="3">
        <f>IF($AB796="","",IF($AB796&lt;0,"FUTURO",IF($AB796&gt;p_dias_backlog_max,"BACKLOG","MES CORRIENTE")))</f>
        <v/>
      </c>
      <c r="AD796" s="3">
        <f>IF($AB796="",FALSE,AND($AB796&gt;p_dias_backlog_min,$AB796&lt;=p_dias_backlog_max))</f>
        <v/>
      </c>
      <c r="AE796" s="6" t="n"/>
      <c r="AF796" s="3">
        <f>IF($AE796="","",IF((IFERROR(INDEX('ASIGNACIONES'!$F$4:$F$339,MATCH($O796&amp;"|"&amp;$R796&amp;"|"&amp;$AE796,'ASIGNACIONES'!$J$4:$J$339,0)),""))=0,"",IFERROR(INDEX('ASIGNACIONES'!$F$4:$F$339,MATCH($O796&amp;"|"&amp;$R796&amp;"|"&amp;$AE796,'ASIGNACIONES'!$J$4:$J$339,0)),"")))</f>
        <v/>
      </c>
      <c r="AG796" s="13">
        <f>IF($AE796="","",SUMIFS('ORDENES'!$M$4:$M$1203,'ORDENES'!$AE$4:$AE$1203,$AE796,'ORDENES'!$O$4:$O$1203,$O796,'ORDENES'!$R$4:$R$1203,$R796))</f>
        <v/>
      </c>
      <c r="AH796" s="13">
        <f>IF($AG796="","",p_factor_productividad*IFERROR(INDEX('ASIGNACIONES'!$I$4:$I$339,MATCH($O796&amp;"|"&amp;$R796&amp;"|"&amp;$AE796,'ASIGNACIONES'!$J$4:$J$339,0)),0)-$AG796)</f>
        <v/>
      </c>
      <c r="AI796" s="10">
        <f>IF($A796="","",IFERROR(INDEX('2_IMPORTAR_EJECUCION'!$F$9:$F$1208,MATCH($AQ796,'2_IMPORTAR_EJECUCION'!$J$9:$J$1208,0)),0))</f>
        <v/>
      </c>
      <c r="AJ796" s="10">
        <f>IF($A796="","",MAX(0,IFERROR(INDEX('2_IMPORTAR_EJECUCION'!$H$9:$H$1208,MATCH($AQ796,'2_IMPORTAR_EJECUCION'!$J$9:$J$1208,0)),0)-$AI796))</f>
        <v/>
      </c>
      <c r="AK796" s="10">
        <f>IF($A796="","",$AI796+$AJ796)</f>
        <v/>
      </c>
      <c r="AL796" s="6" t="n"/>
      <c r="AM796" s="6" t="n"/>
      <c r="AN796" s="6" t="n"/>
      <c r="AO796" s="3">
        <f>IF($AN796="","",HYPERLINK(p_ruta_base_checklists&amp;$AN796,"abrir"))</f>
        <v/>
      </c>
      <c r="AP796" s="6" t="n"/>
      <c r="AQ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IF($A797="","",IFERROR(INDEX('AJUSTES'!$B$4:$B$303,MATCH($AQ797,'AJUSTES'!$A$4:$A$303,0)),IF($K797="","",$K797)))</f>
        <v/>
      </c>
      <c r="N797" s="3">
        <f>IF($A797="","",IFERROR(INDEX('CAT_ESTADOS_ERP'!$B$4:$B$7,MATCH(IFERROR(INDEX('2_IMPORTAR_EJECUCION'!$C$9:$C$1208,MATCH($AQ797,'2_IMPORTAR_EJECUCION'!$J$9:$J$1208,0)),""),'CAT_ESTADOS_ERP'!$A$4:$A$7,0)),"Pendiente"))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J797="","",IFERROR(INDEX('CALENDARIO'!$C$15:$C$214,MATCH(TEXT($J797,"yyyy-mm-dd")&amp;"|"&amp;$V797&amp;"|"&amp;$W797,'CALENDARIO'!$G$15:$G$214,0)),IFERROR(INDEX('CALENDARIO'!$C$15:$C$214,MATCH(TEXT($J797,"yyyy-mm-dd")&amp;"|"&amp;$V797&amp;"|",'CALENDARIO'!$G$15:$G$214,0)),IFERROR(INDEX('CALENDARIO'!$C$15:$C$214,MATCH(TEXT($J797,"yyyy-mm-dd")&amp;"||",'CALENDARIO'!$G$15:$G$214,0)),INDEX(patronHabil,WEEKDAY($J797,2))))))</f>
        <v/>
      </c>
      <c r="T797" s="3">
        <f>IF($I797="","",IFERROR(INDEX('CAT_TIPOS_OT'!$C$4:$C$7,MATCH($I797,'CAT_TIPOS_OT'!$A$4:$A$7,0)),"sin_clasificar"))</f>
        <v/>
      </c>
      <c r="U797" s="3">
        <f>IF($F797="","",IFERROR(INDEX('CAT_CENTROS_COSTO'!$F$4:$F$13,MATCH($F797,'CAT_CENTROS_COSTO'!$A$4:$A$13,0)),"(sin catálogo)"))</f>
        <v/>
      </c>
      <c r="V797" s="3">
        <f>IF($F797="","",IFERROR(INDEX('CAT_CENTROS_COSTO'!$D$4:$D$13,MATCH($F797,'CAT_CENTROS_COSTO'!$A$4:$A$13,0)),"(sin catálogo)"))</f>
        <v/>
      </c>
      <c r="W797" s="3">
        <f>IF($F797="","",IF((IFERROR(INDEX('CAT_CENTROS_COSTO'!$E$4:$E$13,MATCH($F797,'CAT_CENTROS_COSTO'!$A$4:$A$13,0)),""))&lt;&gt;"",IFERROR(INDEX('CAT_CENTROS_COSTO'!$E$4:$E$13,MATCH($F797,'CAT_CENTROS_COSTO'!$A$4:$A$13,0)),""),$V797))</f>
        <v/>
      </c>
      <c r="X797" s="3">
        <f>IF($F797="","",IFERROR(INDEX('CAT_CENTROS_COSTO'!$G$4:$G$13,MATCH($F797,'CAT_CENTROS_COSTO'!$A$4:$A$13,0)),"(sin catálogo)"))</f>
        <v/>
      </c>
      <c r="Y797" s="3">
        <f>IF($G797="","",IFERROR(INDEX('CAT_PUESTOS'!$B$4:$B$8,MATCH($G797,'CAT_PUESTOS'!$A$4:$A$8,0)),"(sin catálogo)"))</f>
        <v/>
      </c>
      <c r="Z797" s="3">
        <f>IF($H797="","",IFERROR(INDEX('CAT_ACTIVIDADES'!$B$4:$B$8,MATCH($H797,'CAT_ACTIVIDADES'!$A$4:$A$8,0)),"(sin catálogo)"))</f>
        <v/>
      </c>
      <c r="AA797" s="12">
        <f>IF($J797="","",TODAY()-$J797)</f>
        <v/>
      </c>
      <c r="AB797" s="12">
        <f>IF($J797="","",IF($J797&lt;=TODAY(),COUNTIFS(cal_fechas,"&gt;="&amp;$J797,cal_fechas,"&lt;"&amp;TODAY(),cal_habil,"sí"),-COUNTIFS(cal_fechas,"&gt;="&amp;TODAY(),cal_fechas,"&lt;"&amp;$J797,cal_habil,"sí")))</f>
        <v/>
      </c>
      <c r="AC797" s="3">
        <f>IF($AB797="","",IF($AB797&lt;0,"FUTURO",IF($AB797&gt;p_dias_backlog_max,"BACKLOG","MES CORRIENTE")))</f>
        <v/>
      </c>
      <c r="AD797" s="3">
        <f>IF($AB797="",FALSE,AND($AB797&gt;p_dias_backlog_min,$AB797&lt;=p_dias_backlog_max))</f>
        <v/>
      </c>
      <c r="AE797" s="6" t="n"/>
      <c r="AF797" s="3">
        <f>IF($AE797="","",IF((IFERROR(INDEX('ASIGNACIONES'!$F$4:$F$339,MATCH($O797&amp;"|"&amp;$R797&amp;"|"&amp;$AE797,'ASIGNACIONES'!$J$4:$J$339,0)),""))=0,"",IFERROR(INDEX('ASIGNACIONES'!$F$4:$F$339,MATCH($O797&amp;"|"&amp;$R797&amp;"|"&amp;$AE797,'ASIGNACIONES'!$J$4:$J$339,0)),"")))</f>
        <v/>
      </c>
      <c r="AG797" s="13">
        <f>IF($AE797="","",SUMIFS('ORDENES'!$M$4:$M$1203,'ORDENES'!$AE$4:$AE$1203,$AE797,'ORDENES'!$O$4:$O$1203,$O797,'ORDENES'!$R$4:$R$1203,$R797))</f>
        <v/>
      </c>
      <c r="AH797" s="13">
        <f>IF($AG797="","",p_factor_productividad*IFERROR(INDEX('ASIGNACIONES'!$I$4:$I$339,MATCH($O797&amp;"|"&amp;$R797&amp;"|"&amp;$AE797,'ASIGNACIONES'!$J$4:$J$339,0)),0)-$AG797)</f>
        <v/>
      </c>
      <c r="AI797" s="10">
        <f>IF($A797="","",IFERROR(INDEX('2_IMPORTAR_EJECUCION'!$F$9:$F$1208,MATCH($AQ797,'2_IMPORTAR_EJECUCION'!$J$9:$J$1208,0)),0))</f>
        <v/>
      </c>
      <c r="AJ797" s="10">
        <f>IF($A797="","",MAX(0,IFERROR(INDEX('2_IMPORTAR_EJECUCION'!$H$9:$H$1208,MATCH($AQ797,'2_IMPORTAR_EJECUCION'!$J$9:$J$1208,0)),0)-$AI797))</f>
        <v/>
      </c>
      <c r="AK797" s="10">
        <f>IF($A797="","",$AI797+$AJ797)</f>
        <v/>
      </c>
      <c r="AL797" s="6" t="n"/>
      <c r="AM797" s="6" t="n"/>
      <c r="AN797" s="6" t="n"/>
      <c r="AO797" s="3">
        <f>IF($AN797="","",HYPERLINK(p_ruta_base_checklists&amp;$AN797,"abrir"))</f>
        <v/>
      </c>
      <c r="AP797" s="6" t="n"/>
      <c r="AQ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IF($A798="","",IFERROR(INDEX('AJUSTES'!$B$4:$B$303,MATCH($AQ798,'AJUSTES'!$A$4:$A$303,0)),IF($K798="","",$K798)))</f>
        <v/>
      </c>
      <c r="N798" s="3">
        <f>IF($A798="","",IFERROR(INDEX('CAT_ESTADOS_ERP'!$B$4:$B$7,MATCH(IFERROR(INDEX('2_IMPORTAR_EJECUCION'!$C$9:$C$1208,MATCH($AQ798,'2_IMPORTAR_EJECUCION'!$J$9:$J$1208,0)),""),'CAT_ESTADOS_ERP'!$A$4:$A$7,0)),"Pendiente"))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J798="","",IFERROR(INDEX('CALENDARIO'!$C$15:$C$214,MATCH(TEXT($J798,"yyyy-mm-dd")&amp;"|"&amp;$V798&amp;"|"&amp;$W798,'CALENDARIO'!$G$15:$G$214,0)),IFERROR(INDEX('CALENDARIO'!$C$15:$C$214,MATCH(TEXT($J798,"yyyy-mm-dd")&amp;"|"&amp;$V798&amp;"|",'CALENDARIO'!$G$15:$G$214,0)),IFERROR(INDEX('CALENDARIO'!$C$15:$C$214,MATCH(TEXT($J798,"yyyy-mm-dd")&amp;"||",'CALENDARIO'!$G$15:$G$214,0)),INDEX(patronHabil,WEEKDAY($J798,2))))))</f>
        <v/>
      </c>
      <c r="T798" s="3">
        <f>IF($I798="","",IFERROR(INDEX('CAT_TIPOS_OT'!$C$4:$C$7,MATCH($I798,'CAT_TIPOS_OT'!$A$4:$A$7,0)),"sin_clasificar"))</f>
        <v/>
      </c>
      <c r="U798" s="3">
        <f>IF($F798="","",IFERROR(INDEX('CAT_CENTROS_COSTO'!$F$4:$F$13,MATCH($F798,'CAT_CENTROS_COSTO'!$A$4:$A$13,0)),"(sin catálogo)"))</f>
        <v/>
      </c>
      <c r="V798" s="3">
        <f>IF($F798="","",IFERROR(INDEX('CAT_CENTROS_COSTO'!$D$4:$D$13,MATCH($F798,'CAT_CENTROS_COSTO'!$A$4:$A$13,0)),"(sin catálogo)"))</f>
        <v/>
      </c>
      <c r="W798" s="3">
        <f>IF($F798="","",IF((IFERROR(INDEX('CAT_CENTROS_COSTO'!$E$4:$E$13,MATCH($F798,'CAT_CENTROS_COSTO'!$A$4:$A$13,0)),""))&lt;&gt;"",IFERROR(INDEX('CAT_CENTROS_COSTO'!$E$4:$E$13,MATCH($F798,'CAT_CENTROS_COSTO'!$A$4:$A$13,0)),""),$V798))</f>
        <v/>
      </c>
      <c r="X798" s="3">
        <f>IF($F798="","",IFERROR(INDEX('CAT_CENTROS_COSTO'!$G$4:$G$13,MATCH($F798,'CAT_CENTROS_COSTO'!$A$4:$A$13,0)),"(sin catálogo)"))</f>
        <v/>
      </c>
      <c r="Y798" s="3">
        <f>IF($G798="","",IFERROR(INDEX('CAT_PUESTOS'!$B$4:$B$8,MATCH($G798,'CAT_PUESTOS'!$A$4:$A$8,0)),"(sin catálogo)"))</f>
        <v/>
      </c>
      <c r="Z798" s="3">
        <f>IF($H798="","",IFERROR(INDEX('CAT_ACTIVIDADES'!$B$4:$B$8,MATCH($H798,'CAT_ACTIVIDADES'!$A$4:$A$8,0)),"(sin catálogo)"))</f>
        <v/>
      </c>
      <c r="AA798" s="12">
        <f>IF($J798="","",TODAY()-$J798)</f>
        <v/>
      </c>
      <c r="AB798" s="12">
        <f>IF($J798="","",IF($J798&lt;=TODAY(),COUNTIFS(cal_fechas,"&gt;="&amp;$J798,cal_fechas,"&lt;"&amp;TODAY(),cal_habil,"sí"),-COUNTIFS(cal_fechas,"&gt;="&amp;TODAY(),cal_fechas,"&lt;"&amp;$J798,cal_habil,"sí")))</f>
        <v/>
      </c>
      <c r="AC798" s="3">
        <f>IF($AB798="","",IF($AB798&lt;0,"FUTURO",IF($AB798&gt;p_dias_backlog_max,"BACKLOG","MES CORRIENTE")))</f>
        <v/>
      </c>
      <c r="AD798" s="3">
        <f>IF($AB798="",FALSE,AND($AB798&gt;p_dias_backlog_min,$AB798&lt;=p_dias_backlog_max))</f>
        <v/>
      </c>
      <c r="AE798" s="6" t="n"/>
      <c r="AF798" s="3">
        <f>IF($AE798="","",IF((IFERROR(INDEX('ASIGNACIONES'!$F$4:$F$339,MATCH($O798&amp;"|"&amp;$R798&amp;"|"&amp;$AE798,'ASIGNACIONES'!$J$4:$J$339,0)),""))=0,"",IFERROR(INDEX('ASIGNACIONES'!$F$4:$F$339,MATCH($O798&amp;"|"&amp;$R798&amp;"|"&amp;$AE798,'ASIGNACIONES'!$J$4:$J$339,0)),"")))</f>
        <v/>
      </c>
      <c r="AG798" s="13">
        <f>IF($AE798="","",SUMIFS('ORDENES'!$M$4:$M$1203,'ORDENES'!$AE$4:$AE$1203,$AE798,'ORDENES'!$O$4:$O$1203,$O798,'ORDENES'!$R$4:$R$1203,$R798))</f>
        <v/>
      </c>
      <c r="AH798" s="13">
        <f>IF($AG798="","",p_factor_productividad*IFERROR(INDEX('ASIGNACIONES'!$I$4:$I$339,MATCH($O798&amp;"|"&amp;$R798&amp;"|"&amp;$AE798,'ASIGNACIONES'!$J$4:$J$339,0)),0)-$AG798)</f>
        <v/>
      </c>
      <c r="AI798" s="10">
        <f>IF($A798="","",IFERROR(INDEX('2_IMPORTAR_EJECUCION'!$F$9:$F$1208,MATCH($AQ798,'2_IMPORTAR_EJECUCION'!$J$9:$J$1208,0)),0))</f>
        <v/>
      </c>
      <c r="AJ798" s="10">
        <f>IF($A798="","",MAX(0,IFERROR(INDEX('2_IMPORTAR_EJECUCION'!$H$9:$H$1208,MATCH($AQ798,'2_IMPORTAR_EJECUCION'!$J$9:$J$1208,0)),0)-$AI798))</f>
        <v/>
      </c>
      <c r="AK798" s="10">
        <f>IF($A798="","",$AI798+$AJ798)</f>
        <v/>
      </c>
      <c r="AL798" s="6" t="n"/>
      <c r="AM798" s="6" t="n"/>
      <c r="AN798" s="6" t="n"/>
      <c r="AO798" s="3">
        <f>IF($AN798="","",HYPERLINK(p_ruta_base_checklists&amp;$AN798,"abrir"))</f>
        <v/>
      </c>
      <c r="AP798" s="6" t="n"/>
      <c r="AQ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IF($A799="","",IFERROR(INDEX('AJUSTES'!$B$4:$B$303,MATCH($AQ799,'AJUSTES'!$A$4:$A$303,0)),IF($K799="","",$K799)))</f>
        <v/>
      </c>
      <c r="N799" s="3">
        <f>IF($A799="","",IFERROR(INDEX('CAT_ESTADOS_ERP'!$B$4:$B$7,MATCH(IFERROR(INDEX('2_IMPORTAR_EJECUCION'!$C$9:$C$1208,MATCH($AQ799,'2_IMPORTAR_EJECUCION'!$J$9:$J$1208,0)),""),'CAT_ESTADOS_ERP'!$A$4:$A$7,0)),"Pendiente"))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J799="","",IFERROR(INDEX('CALENDARIO'!$C$15:$C$214,MATCH(TEXT($J799,"yyyy-mm-dd")&amp;"|"&amp;$V799&amp;"|"&amp;$W799,'CALENDARIO'!$G$15:$G$214,0)),IFERROR(INDEX('CALENDARIO'!$C$15:$C$214,MATCH(TEXT($J799,"yyyy-mm-dd")&amp;"|"&amp;$V799&amp;"|",'CALENDARIO'!$G$15:$G$214,0)),IFERROR(INDEX('CALENDARIO'!$C$15:$C$214,MATCH(TEXT($J799,"yyyy-mm-dd")&amp;"||",'CALENDARIO'!$G$15:$G$214,0)),INDEX(patronHabil,WEEKDAY($J799,2))))))</f>
        <v/>
      </c>
      <c r="T799" s="3">
        <f>IF($I799="","",IFERROR(INDEX('CAT_TIPOS_OT'!$C$4:$C$7,MATCH($I799,'CAT_TIPOS_OT'!$A$4:$A$7,0)),"sin_clasificar"))</f>
        <v/>
      </c>
      <c r="U799" s="3">
        <f>IF($F799="","",IFERROR(INDEX('CAT_CENTROS_COSTO'!$F$4:$F$13,MATCH($F799,'CAT_CENTROS_COSTO'!$A$4:$A$13,0)),"(sin catálogo)"))</f>
        <v/>
      </c>
      <c r="V799" s="3">
        <f>IF($F799="","",IFERROR(INDEX('CAT_CENTROS_COSTO'!$D$4:$D$13,MATCH($F799,'CAT_CENTROS_COSTO'!$A$4:$A$13,0)),"(sin catálogo)"))</f>
        <v/>
      </c>
      <c r="W799" s="3">
        <f>IF($F799="","",IF((IFERROR(INDEX('CAT_CENTROS_COSTO'!$E$4:$E$13,MATCH($F799,'CAT_CENTROS_COSTO'!$A$4:$A$13,0)),""))&lt;&gt;"",IFERROR(INDEX('CAT_CENTROS_COSTO'!$E$4:$E$13,MATCH($F799,'CAT_CENTROS_COSTO'!$A$4:$A$13,0)),""),$V799))</f>
        <v/>
      </c>
      <c r="X799" s="3">
        <f>IF($F799="","",IFERROR(INDEX('CAT_CENTROS_COSTO'!$G$4:$G$13,MATCH($F799,'CAT_CENTROS_COSTO'!$A$4:$A$13,0)),"(sin catálogo)"))</f>
        <v/>
      </c>
      <c r="Y799" s="3">
        <f>IF($G799="","",IFERROR(INDEX('CAT_PUESTOS'!$B$4:$B$8,MATCH($G799,'CAT_PUESTOS'!$A$4:$A$8,0)),"(sin catálogo)"))</f>
        <v/>
      </c>
      <c r="Z799" s="3">
        <f>IF($H799="","",IFERROR(INDEX('CAT_ACTIVIDADES'!$B$4:$B$8,MATCH($H799,'CAT_ACTIVIDADES'!$A$4:$A$8,0)),"(sin catálogo)"))</f>
        <v/>
      </c>
      <c r="AA799" s="12">
        <f>IF($J799="","",TODAY()-$J799)</f>
        <v/>
      </c>
      <c r="AB799" s="12">
        <f>IF($J799="","",IF($J799&lt;=TODAY(),COUNTIFS(cal_fechas,"&gt;="&amp;$J799,cal_fechas,"&lt;"&amp;TODAY(),cal_habil,"sí"),-COUNTIFS(cal_fechas,"&gt;="&amp;TODAY(),cal_fechas,"&lt;"&amp;$J799,cal_habil,"sí")))</f>
        <v/>
      </c>
      <c r="AC799" s="3">
        <f>IF($AB799="","",IF($AB799&lt;0,"FUTURO",IF($AB799&gt;p_dias_backlog_max,"BACKLOG","MES CORRIENTE")))</f>
        <v/>
      </c>
      <c r="AD799" s="3">
        <f>IF($AB799="",FALSE,AND($AB799&gt;p_dias_backlog_min,$AB799&lt;=p_dias_backlog_max))</f>
        <v/>
      </c>
      <c r="AE799" s="6" t="n"/>
      <c r="AF799" s="3">
        <f>IF($AE799="","",IF((IFERROR(INDEX('ASIGNACIONES'!$F$4:$F$339,MATCH($O799&amp;"|"&amp;$R799&amp;"|"&amp;$AE799,'ASIGNACIONES'!$J$4:$J$339,0)),""))=0,"",IFERROR(INDEX('ASIGNACIONES'!$F$4:$F$339,MATCH($O799&amp;"|"&amp;$R799&amp;"|"&amp;$AE799,'ASIGNACIONES'!$J$4:$J$339,0)),"")))</f>
        <v/>
      </c>
      <c r="AG799" s="13">
        <f>IF($AE799="","",SUMIFS('ORDENES'!$M$4:$M$1203,'ORDENES'!$AE$4:$AE$1203,$AE799,'ORDENES'!$O$4:$O$1203,$O799,'ORDENES'!$R$4:$R$1203,$R799))</f>
        <v/>
      </c>
      <c r="AH799" s="13">
        <f>IF($AG799="","",p_factor_productividad*IFERROR(INDEX('ASIGNACIONES'!$I$4:$I$339,MATCH($O799&amp;"|"&amp;$R799&amp;"|"&amp;$AE799,'ASIGNACIONES'!$J$4:$J$339,0)),0)-$AG799)</f>
        <v/>
      </c>
      <c r="AI799" s="10">
        <f>IF($A799="","",IFERROR(INDEX('2_IMPORTAR_EJECUCION'!$F$9:$F$1208,MATCH($AQ799,'2_IMPORTAR_EJECUCION'!$J$9:$J$1208,0)),0))</f>
        <v/>
      </c>
      <c r="AJ799" s="10">
        <f>IF($A799="","",MAX(0,IFERROR(INDEX('2_IMPORTAR_EJECUCION'!$H$9:$H$1208,MATCH($AQ799,'2_IMPORTAR_EJECUCION'!$J$9:$J$1208,0)),0)-$AI799))</f>
        <v/>
      </c>
      <c r="AK799" s="10">
        <f>IF($A799="","",$AI799+$AJ799)</f>
        <v/>
      </c>
      <c r="AL799" s="6" t="n"/>
      <c r="AM799" s="6" t="n"/>
      <c r="AN799" s="6" t="n"/>
      <c r="AO799" s="3">
        <f>IF($AN799="","",HYPERLINK(p_ruta_base_checklists&amp;$AN799,"abrir"))</f>
        <v/>
      </c>
      <c r="AP799" s="6" t="n"/>
      <c r="AQ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IF($A800="","",IFERROR(INDEX('AJUSTES'!$B$4:$B$303,MATCH($AQ800,'AJUSTES'!$A$4:$A$303,0)),IF($K800="","",$K800)))</f>
        <v/>
      </c>
      <c r="N800" s="3">
        <f>IF($A800="","",IFERROR(INDEX('CAT_ESTADOS_ERP'!$B$4:$B$7,MATCH(IFERROR(INDEX('2_IMPORTAR_EJECUCION'!$C$9:$C$1208,MATCH($AQ800,'2_IMPORTAR_EJECUCION'!$J$9:$J$1208,0)),""),'CAT_ESTADOS_ERP'!$A$4:$A$7,0)),"Pendiente"))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J800="","",IFERROR(INDEX('CALENDARIO'!$C$15:$C$214,MATCH(TEXT($J800,"yyyy-mm-dd")&amp;"|"&amp;$V800&amp;"|"&amp;$W800,'CALENDARIO'!$G$15:$G$214,0)),IFERROR(INDEX('CALENDARIO'!$C$15:$C$214,MATCH(TEXT($J800,"yyyy-mm-dd")&amp;"|"&amp;$V800&amp;"|",'CALENDARIO'!$G$15:$G$214,0)),IFERROR(INDEX('CALENDARIO'!$C$15:$C$214,MATCH(TEXT($J800,"yyyy-mm-dd")&amp;"||",'CALENDARIO'!$G$15:$G$214,0)),INDEX(patronHabil,WEEKDAY($J800,2))))))</f>
        <v/>
      </c>
      <c r="T800" s="3">
        <f>IF($I800="","",IFERROR(INDEX('CAT_TIPOS_OT'!$C$4:$C$7,MATCH($I800,'CAT_TIPOS_OT'!$A$4:$A$7,0)),"sin_clasificar"))</f>
        <v/>
      </c>
      <c r="U800" s="3">
        <f>IF($F800="","",IFERROR(INDEX('CAT_CENTROS_COSTO'!$F$4:$F$13,MATCH($F800,'CAT_CENTROS_COSTO'!$A$4:$A$13,0)),"(sin catálogo)"))</f>
        <v/>
      </c>
      <c r="V800" s="3">
        <f>IF($F800="","",IFERROR(INDEX('CAT_CENTROS_COSTO'!$D$4:$D$13,MATCH($F800,'CAT_CENTROS_COSTO'!$A$4:$A$13,0)),"(sin catálogo)"))</f>
        <v/>
      </c>
      <c r="W800" s="3">
        <f>IF($F800="","",IF((IFERROR(INDEX('CAT_CENTROS_COSTO'!$E$4:$E$13,MATCH($F800,'CAT_CENTROS_COSTO'!$A$4:$A$13,0)),""))&lt;&gt;"",IFERROR(INDEX('CAT_CENTROS_COSTO'!$E$4:$E$13,MATCH($F800,'CAT_CENTROS_COSTO'!$A$4:$A$13,0)),""),$V800))</f>
        <v/>
      </c>
      <c r="X800" s="3">
        <f>IF($F800="","",IFERROR(INDEX('CAT_CENTROS_COSTO'!$G$4:$G$13,MATCH($F800,'CAT_CENTROS_COSTO'!$A$4:$A$13,0)),"(sin catálogo)"))</f>
        <v/>
      </c>
      <c r="Y800" s="3">
        <f>IF($G800="","",IFERROR(INDEX('CAT_PUESTOS'!$B$4:$B$8,MATCH($G800,'CAT_PUESTOS'!$A$4:$A$8,0)),"(sin catálogo)"))</f>
        <v/>
      </c>
      <c r="Z800" s="3">
        <f>IF($H800="","",IFERROR(INDEX('CAT_ACTIVIDADES'!$B$4:$B$8,MATCH($H800,'CAT_ACTIVIDADES'!$A$4:$A$8,0)),"(sin catálogo)"))</f>
        <v/>
      </c>
      <c r="AA800" s="12">
        <f>IF($J800="","",TODAY()-$J800)</f>
        <v/>
      </c>
      <c r="AB800" s="12">
        <f>IF($J800="","",IF($J800&lt;=TODAY(),COUNTIFS(cal_fechas,"&gt;="&amp;$J800,cal_fechas,"&lt;"&amp;TODAY(),cal_habil,"sí"),-COUNTIFS(cal_fechas,"&gt;="&amp;TODAY(),cal_fechas,"&lt;"&amp;$J800,cal_habil,"sí")))</f>
        <v/>
      </c>
      <c r="AC800" s="3">
        <f>IF($AB800="","",IF($AB800&lt;0,"FUTURO",IF($AB800&gt;p_dias_backlog_max,"BACKLOG","MES CORRIENTE")))</f>
        <v/>
      </c>
      <c r="AD800" s="3">
        <f>IF($AB800="",FALSE,AND($AB800&gt;p_dias_backlog_min,$AB800&lt;=p_dias_backlog_max))</f>
        <v/>
      </c>
      <c r="AE800" s="6" t="n"/>
      <c r="AF800" s="3">
        <f>IF($AE800="","",IF((IFERROR(INDEX('ASIGNACIONES'!$F$4:$F$339,MATCH($O800&amp;"|"&amp;$R800&amp;"|"&amp;$AE800,'ASIGNACIONES'!$J$4:$J$339,0)),""))=0,"",IFERROR(INDEX('ASIGNACIONES'!$F$4:$F$339,MATCH($O800&amp;"|"&amp;$R800&amp;"|"&amp;$AE800,'ASIGNACIONES'!$J$4:$J$339,0)),"")))</f>
        <v/>
      </c>
      <c r="AG800" s="13">
        <f>IF($AE800="","",SUMIFS('ORDENES'!$M$4:$M$1203,'ORDENES'!$AE$4:$AE$1203,$AE800,'ORDENES'!$O$4:$O$1203,$O800,'ORDENES'!$R$4:$R$1203,$R800))</f>
        <v/>
      </c>
      <c r="AH800" s="13">
        <f>IF($AG800="","",p_factor_productividad*IFERROR(INDEX('ASIGNACIONES'!$I$4:$I$339,MATCH($O800&amp;"|"&amp;$R800&amp;"|"&amp;$AE800,'ASIGNACIONES'!$J$4:$J$339,0)),0)-$AG800)</f>
        <v/>
      </c>
      <c r="AI800" s="10">
        <f>IF($A800="","",IFERROR(INDEX('2_IMPORTAR_EJECUCION'!$F$9:$F$1208,MATCH($AQ800,'2_IMPORTAR_EJECUCION'!$J$9:$J$1208,0)),0))</f>
        <v/>
      </c>
      <c r="AJ800" s="10">
        <f>IF($A800="","",MAX(0,IFERROR(INDEX('2_IMPORTAR_EJECUCION'!$H$9:$H$1208,MATCH($AQ800,'2_IMPORTAR_EJECUCION'!$J$9:$J$1208,0)),0)-$AI800))</f>
        <v/>
      </c>
      <c r="AK800" s="10">
        <f>IF($A800="","",$AI800+$AJ800)</f>
        <v/>
      </c>
      <c r="AL800" s="6" t="n"/>
      <c r="AM800" s="6" t="n"/>
      <c r="AN800" s="6" t="n"/>
      <c r="AO800" s="3">
        <f>IF($AN800="","",HYPERLINK(p_ruta_base_checklists&amp;$AN800,"abrir"))</f>
        <v/>
      </c>
      <c r="AP800" s="6" t="n"/>
      <c r="AQ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IF($A801="","",IFERROR(INDEX('AJUSTES'!$B$4:$B$303,MATCH($AQ801,'AJUSTES'!$A$4:$A$303,0)),IF($K801="","",$K801)))</f>
        <v/>
      </c>
      <c r="N801" s="3">
        <f>IF($A801="","",IFERROR(INDEX('CAT_ESTADOS_ERP'!$B$4:$B$7,MATCH(IFERROR(INDEX('2_IMPORTAR_EJECUCION'!$C$9:$C$1208,MATCH($AQ801,'2_IMPORTAR_EJECUCION'!$J$9:$J$1208,0)),""),'CAT_ESTADOS_ERP'!$A$4:$A$7,0)),"Pendiente"))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J801="","",IFERROR(INDEX('CALENDARIO'!$C$15:$C$214,MATCH(TEXT($J801,"yyyy-mm-dd")&amp;"|"&amp;$V801&amp;"|"&amp;$W801,'CALENDARIO'!$G$15:$G$214,0)),IFERROR(INDEX('CALENDARIO'!$C$15:$C$214,MATCH(TEXT($J801,"yyyy-mm-dd")&amp;"|"&amp;$V801&amp;"|",'CALENDARIO'!$G$15:$G$214,0)),IFERROR(INDEX('CALENDARIO'!$C$15:$C$214,MATCH(TEXT($J801,"yyyy-mm-dd")&amp;"||",'CALENDARIO'!$G$15:$G$214,0)),INDEX(patronHabil,WEEKDAY($J801,2))))))</f>
        <v/>
      </c>
      <c r="T801" s="3">
        <f>IF($I801="","",IFERROR(INDEX('CAT_TIPOS_OT'!$C$4:$C$7,MATCH($I801,'CAT_TIPOS_OT'!$A$4:$A$7,0)),"sin_clasificar"))</f>
        <v/>
      </c>
      <c r="U801" s="3">
        <f>IF($F801="","",IFERROR(INDEX('CAT_CENTROS_COSTO'!$F$4:$F$13,MATCH($F801,'CAT_CENTROS_COSTO'!$A$4:$A$13,0)),"(sin catálogo)"))</f>
        <v/>
      </c>
      <c r="V801" s="3">
        <f>IF($F801="","",IFERROR(INDEX('CAT_CENTROS_COSTO'!$D$4:$D$13,MATCH($F801,'CAT_CENTROS_COSTO'!$A$4:$A$13,0)),"(sin catálogo)"))</f>
        <v/>
      </c>
      <c r="W801" s="3">
        <f>IF($F801="","",IF((IFERROR(INDEX('CAT_CENTROS_COSTO'!$E$4:$E$13,MATCH($F801,'CAT_CENTROS_COSTO'!$A$4:$A$13,0)),""))&lt;&gt;"",IFERROR(INDEX('CAT_CENTROS_COSTO'!$E$4:$E$13,MATCH($F801,'CAT_CENTROS_COSTO'!$A$4:$A$13,0)),""),$V801))</f>
        <v/>
      </c>
      <c r="X801" s="3">
        <f>IF($F801="","",IFERROR(INDEX('CAT_CENTROS_COSTO'!$G$4:$G$13,MATCH($F801,'CAT_CENTROS_COSTO'!$A$4:$A$13,0)),"(sin catálogo)"))</f>
        <v/>
      </c>
      <c r="Y801" s="3">
        <f>IF($G801="","",IFERROR(INDEX('CAT_PUESTOS'!$B$4:$B$8,MATCH($G801,'CAT_PUESTOS'!$A$4:$A$8,0)),"(sin catálogo)"))</f>
        <v/>
      </c>
      <c r="Z801" s="3">
        <f>IF($H801="","",IFERROR(INDEX('CAT_ACTIVIDADES'!$B$4:$B$8,MATCH($H801,'CAT_ACTIVIDADES'!$A$4:$A$8,0)),"(sin catálogo)"))</f>
        <v/>
      </c>
      <c r="AA801" s="12">
        <f>IF($J801="","",TODAY()-$J801)</f>
        <v/>
      </c>
      <c r="AB801" s="12">
        <f>IF($J801="","",IF($J801&lt;=TODAY(),COUNTIFS(cal_fechas,"&gt;="&amp;$J801,cal_fechas,"&lt;"&amp;TODAY(),cal_habil,"sí"),-COUNTIFS(cal_fechas,"&gt;="&amp;TODAY(),cal_fechas,"&lt;"&amp;$J801,cal_habil,"sí")))</f>
        <v/>
      </c>
      <c r="AC801" s="3">
        <f>IF($AB801="","",IF($AB801&lt;0,"FUTURO",IF($AB801&gt;p_dias_backlog_max,"BACKLOG","MES CORRIENTE")))</f>
        <v/>
      </c>
      <c r="AD801" s="3">
        <f>IF($AB801="",FALSE,AND($AB801&gt;p_dias_backlog_min,$AB801&lt;=p_dias_backlog_max))</f>
        <v/>
      </c>
      <c r="AE801" s="6" t="n"/>
      <c r="AF801" s="3">
        <f>IF($AE801="","",IF((IFERROR(INDEX('ASIGNACIONES'!$F$4:$F$339,MATCH($O801&amp;"|"&amp;$R801&amp;"|"&amp;$AE801,'ASIGNACIONES'!$J$4:$J$339,0)),""))=0,"",IFERROR(INDEX('ASIGNACIONES'!$F$4:$F$339,MATCH($O801&amp;"|"&amp;$R801&amp;"|"&amp;$AE801,'ASIGNACIONES'!$J$4:$J$339,0)),"")))</f>
        <v/>
      </c>
      <c r="AG801" s="13">
        <f>IF($AE801="","",SUMIFS('ORDENES'!$M$4:$M$1203,'ORDENES'!$AE$4:$AE$1203,$AE801,'ORDENES'!$O$4:$O$1203,$O801,'ORDENES'!$R$4:$R$1203,$R801))</f>
        <v/>
      </c>
      <c r="AH801" s="13">
        <f>IF($AG801="","",p_factor_productividad*IFERROR(INDEX('ASIGNACIONES'!$I$4:$I$339,MATCH($O801&amp;"|"&amp;$R801&amp;"|"&amp;$AE801,'ASIGNACIONES'!$J$4:$J$339,0)),0)-$AG801)</f>
        <v/>
      </c>
      <c r="AI801" s="10">
        <f>IF($A801="","",IFERROR(INDEX('2_IMPORTAR_EJECUCION'!$F$9:$F$1208,MATCH($AQ801,'2_IMPORTAR_EJECUCION'!$J$9:$J$1208,0)),0))</f>
        <v/>
      </c>
      <c r="AJ801" s="10">
        <f>IF($A801="","",MAX(0,IFERROR(INDEX('2_IMPORTAR_EJECUCION'!$H$9:$H$1208,MATCH($AQ801,'2_IMPORTAR_EJECUCION'!$J$9:$J$1208,0)),0)-$AI801))</f>
        <v/>
      </c>
      <c r="AK801" s="10">
        <f>IF($A801="","",$AI801+$AJ801)</f>
        <v/>
      </c>
      <c r="AL801" s="6" t="n"/>
      <c r="AM801" s="6" t="n"/>
      <c r="AN801" s="6" t="n"/>
      <c r="AO801" s="3">
        <f>IF($AN801="","",HYPERLINK(p_ruta_base_checklists&amp;$AN801,"abrir"))</f>
        <v/>
      </c>
      <c r="AP801" s="6" t="n"/>
      <c r="AQ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IF($A802="","",IFERROR(INDEX('AJUSTES'!$B$4:$B$303,MATCH($AQ802,'AJUSTES'!$A$4:$A$303,0)),IF($K802="","",$K802)))</f>
        <v/>
      </c>
      <c r="N802" s="3">
        <f>IF($A802="","",IFERROR(INDEX('CAT_ESTADOS_ERP'!$B$4:$B$7,MATCH(IFERROR(INDEX('2_IMPORTAR_EJECUCION'!$C$9:$C$1208,MATCH($AQ802,'2_IMPORTAR_EJECUCION'!$J$9:$J$1208,0)),""),'CAT_ESTADOS_ERP'!$A$4:$A$7,0)),"Pendiente"))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J802="","",IFERROR(INDEX('CALENDARIO'!$C$15:$C$214,MATCH(TEXT($J802,"yyyy-mm-dd")&amp;"|"&amp;$V802&amp;"|"&amp;$W802,'CALENDARIO'!$G$15:$G$214,0)),IFERROR(INDEX('CALENDARIO'!$C$15:$C$214,MATCH(TEXT($J802,"yyyy-mm-dd")&amp;"|"&amp;$V802&amp;"|",'CALENDARIO'!$G$15:$G$214,0)),IFERROR(INDEX('CALENDARIO'!$C$15:$C$214,MATCH(TEXT($J802,"yyyy-mm-dd")&amp;"||",'CALENDARIO'!$G$15:$G$214,0)),INDEX(patronHabil,WEEKDAY($J802,2))))))</f>
        <v/>
      </c>
      <c r="T802" s="3">
        <f>IF($I802="","",IFERROR(INDEX('CAT_TIPOS_OT'!$C$4:$C$7,MATCH($I802,'CAT_TIPOS_OT'!$A$4:$A$7,0)),"sin_clasificar"))</f>
        <v/>
      </c>
      <c r="U802" s="3">
        <f>IF($F802="","",IFERROR(INDEX('CAT_CENTROS_COSTO'!$F$4:$F$13,MATCH($F802,'CAT_CENTROS_COSTO'!$A$4:$A$13,0)),"(sin catálogo)"))</f>
        <v/>
      </c>
      <c r="V802" s="3">
        <f>IF($F802="","",IFERROR(INDEX('CAT_CENTROS_COSTO'!$D$4:$D$13,MATCH($F802,'CAT_CENTROS_COSTO'!$A$4:$A$13,0)),"(sin catálogo)"))</f>
        <v/>
      </c>
      <c r="W802" s="3">
        <f>IF($F802="","",IF((IFERROR(INDEX('CAT_CENTROS_COSTO'!$E$4:$E$13,MATCH($F802,'CAT_CENTROS_COSTO'!$A$4:$A$13,0)),""))&lt;&gt;"",IFERROR(INDEX('CAT_CENTROS_COSTO'!$E$4:$E$13,MATCH($F802,'CAT_CENTROS_COSTO'!$A$4:$A$13,0)),""),$V802))</f>
        <v/>
      </c>
      <c r="X802" s="3">
        <f>IF($F802="","",IFERROR(INDEX('CAT_CENTROS_COSTO'!$G$4:$G$13,MATCH($F802,'CAT_CENTROS_COSTO'!$A$4:$A$13,0)),"(sin catálogo)"))</f>
        <v/>
      </c>
      <c r="Y802" s="3">
        <f>IF($G802="","",IFERROR(INDEX('CAT_PUESTOS'!$B$4:$B$8,MATCH($G802,'CAT_PUESTOS'!$A$4:$A$8,0)),"(sin catálogo)"))</f>
        <v/>
      </c>
      <c r="Z802" s="3">
        <f>IF($H802="","",IFERROR(INDEX('CAT_ACTIVIDADES'!$B$4:$B$8,MATCH($H802,'CAT_ACTIVIDADES'!$A$4:$A$8,0)),"(sin catálogo)"))</f>
        <v/>
      </c>
      <c r="AA802" s="12">
        <f>IF($J802="","",TODAY()-$J802)</f>
        <v/>
      </c>
      <c r="AB802" s="12">
        <f>IF($J802="","",IF($J802&lt;=TODAY(),COUNTIFS(cal_fechas,"&gt;="&amp;$J802,cal_fechas,"&lt;"&amp;TODAY(),cal_habil,"sí"),-COUNTIFS(cal_fechas,"&gt;="&amp;TODAY(),cal_fechas,"&lt;"&amp;$J802,cal_habil,"sí")))</f>
        <v/>
      </c>
      <c r="AC802" s="3">
        <f>IF($AB802="","",IF($AB802&lt;0,"FUTURO",IF($AB802&gt;p_dias_backlog_max,"BACKLOG","MES CORRIENTE")))</f>
        <v/>
      </c>
      <c r="AD802" s="3">
        <f>IF($AB802="",FALSE,AND($AB802&gt;p_dias_backlog_min,$AB802&lt;=p_dias_backlog_max))</f>
        <v/>
      </c>
      <c r="AE802" s="6" t="n"/>
      <c r="AF802" s="3">
        <f>IF($AE802="","",IF((IFERROR(INDEX('ASIGNACIONES'!$F$4:$F$339,MATCH($O802&amp;"|"&amp;$R802&amp;"|"&amp;$AE802,'ASIGNACIONES'!$J$4:$J$339,0)),""))=0,"",IFERROR(INDEX('ASIGNACIONES'!$F$4:$F$339,MATCH($O802&amp;"|"&amp;$R802&amp;"|"&amp;$AE802,'ASIGNACIONES'!$J$4:$J$339,0)),"")))</f>
        <v/>
      </c>
      <c r="AG802" s="13">
        <f>IF($AE802="","",SUMIFS('ORDENES'!$M$4:$M$1203,'ORDENES'!$AE$4:$AE$1203,$AE802,'ORDENES'!$O$4:$O$1203,$O802,'ORDENES'!$R$4:$R$1203,$R802))</f>
        <v/>
      </c>
      <c r="AH802" s="13">
        <f>IF($AG802="","",p_factor_productividad*IFERROR(INDEX('ASIGNACIONES'!$I$4:$I$339,MATCH($O802&amp;"|"&amp;$R802&amp;"|"&amp;$AE802,'ASIGNACIONES'!$J$4:$J$339,0)),0)-$AG802)</f>
        <v/>
      </c>
      <c r="AI802" s="10">
        <f>IF($A802="","",IFERROR(INDEX('2_IMPORTAR_EJECUCION'!$F$9:$F$1208,MATCH($AQ802,'2_IMPORTAR_EJECUCION'!$J$9:$J$1208,0)),0))</f>
        <v/>
      </c>
      <c r="AJ802" s="10">
        <f>IF($A802="","",MAX(0,IFERROR(INDEX('2_IMPORTAR_EJECUCION'!$H$9:$H$1208,MATCH($AQ802,'2_IMPORTAR_EJECUCION'!$J$9:$J$1208,0)),0)-$AI802))</f>
        <v/>
      </c>
      <c r="AK802" s="10">
        <f>IF($A802="","",$AI802+$AJ802)</f>
        <v/>
      </c>
      <c r="AL802" s="6" t="n"/>
      <c r="AM802" s="6" t="n"/>
      <c r="AN802" s="6" t="n"/>
      <c r="AO802" s="3">
        <f>IF($AN802="","",HYPERLINK(p_ruta_base_checklists&amp;$AN802,"abrir"))</f>
        <v/>
      </c>
      <c r="AP802" s="6" t="n"/>
      <c r="AQ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IF($A803="","",IFERROR(INDEX('AJUSTES'!$B$4:$B$303,MATCH($AQ803,'AJUSTES'!$A$4:$A$303,0)),IF($K803="","",$K803)))</f>
        <v/>
      </c>
      <c r="N803" s="3">
        <f>IF($A803="","",IFERROR(INDEX('CAT_ESTADOS_ERP'!$B$4:$B$7,MATCH(IFERROR(INDEX('2_IMPORTAR_EJECUCION'!$C$9:$C$1208,MATCH($AQ803,'2_IMPORTAR_EJECUCION'!$J$9:$J$1208,0)),""),'CAT_ESTADOS_ERP'!$A$4:$A$7,0)),"Pendiente"))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J803="","",IFERROR(INDEX('CALENDARIO'!$C$15:$C$214,MATCH(TEXT($J803,"yyyy-mm-dd")&amp;"|"&amp;$V803&amp;"|"&amp;$W803,'CALENDARIO'!$G$15:$G$214,0)),IFERROR(INDEX('CALENDARIO'!$C$15:$C$214,MATCH(TEXT($J803,"yyyy-mm-dd")&amp;"|"&amp;$V803&amp;"|",'CALENDARIO'!$G$15:$G$214,0)),IFERROR(INDEX('CALENDARIO'!$C$15:$C$214,MATCH(TEXT($J803,"yyyy-mm-dd")&amp;"||",'CALENDARIO'!$G$15:$G$214,0)),INDEX(patronHabil,WEEKDAY($J803,2))))))</f>
        <v/>
      </c>
      <c r="T803" s="3">
        <f>IF($I803="","",IFERROR(INDEX('CAT_TIPOS_OT'!$C$4:$C$7,MATCH($I803,'CAT_TIPOS_OT'!$A$4:$A$7,0)),"sin_clasificar"))</f>
        <v/>
      </c>
      <c r="U803" s="3">
        <f>IF($F803="","",IFERROR(INDEX('CAT_CENTROS_COSTO'!$F$4:$F$13,MATCH($F803,'CAT_CENTROS_COSTO'!$A$4:$A$13,0)),"(sin catálogo)"))</f>
        <v/>
      </c>
      <c r="V803" s="3">
        <f>IF($F803="","",IFERROR(INDEX('CAT_CENTROS_COSTO'!$D$4:$D$13,MATCH($F803,'CAT_CENTROS_COSTO'!$A$4:$A$13,0)),"(sin catálogo)"))</f>
        <v/>
      </c>
      <c r="W803" s="3">
        <f>IF($F803="","",IF((IFERROR(INDEX('CAT_CENTROS_COSTO'!$E$4:$E$13,MATCH($F803,'CAT_CENTROS_COSTO'!$A$4:$A$13,0)),""))&lt;&gt;"",IFERROR(INDEX('CAT_CENTROS_COSTO'!$E$4:$E$13,MATCH($F803,'CAT_CENTROS_COSTO'!$A$4:$A$13,0)),""),$V803))</f>
        <v/>
      </c>
      <c r="X803" s="3">
        <f>IF($F803="","",IFERROR(INDEX('CAT_CENTROS_COSTO'!$G$4:$G$13,MATCH($F803,'CAT_CENTROS_COSTO'!$A$4:$A$13,0)),"(sin catálogo)"))</f>
        <v/>
      </c>
      <c r="Y803" s="3">
        <f>IF($G803="","",IFERROR(INDEX('CAT_PUESTOS'!$B$4:$B$8,MATCH($G803,'CAT_PUESTOS'!$A$4:$A$8,0)),"(sin catálogo)"))</f>
        <v/>
      </c>
      <c r="Z803" s="3">
        <f>IF($H803="","",IFERROR(INDEX('CAT_ACTIVIDADES'!$B$4:$B$8,MATCH($H803,'CAT_ACTIVIDADES'!$A$4:$A$8,0)),"(sin catálogo)"))</f>
        <v/>
      </c>
      <c r="AA803" s="12">
        <f>IF($J803="","",TODAY()-$J803)</f>
        <v/>
      </c>
      <c r="AB803" s="12">
        <f>IF($J803="","",IF($J803&lt;=TODAY(),COUNTIFS(cal_fechas,"&gt;="&amp;$J803,cal_fechas,"&lt;"&amp;TODAY(),cal_habil,"sí"),-COUNTIFS(cal_fechas,"&gt;="&amp;TODAY(),cal_fechas,"&lt;"&amp;$J803,cal_habil,"sí")))</f>
        <v/>
      </c>
      <c r="AC803" s="3">
        <f>IF($AB803="","",IF($AB803&lt;0,"FUTURO",IF($AB803&gt;p_dias_backlog_max,"BACKLOG","MES CORRIENTE")))</f>
        <v/>
      </c>
      <c r="AD803" s="3">
        <f>IF($AB803="",FALSE,AND($AB803&gt;p_dias_backlog_min,$AB803&lt;=p_dias_backlog_max))</f>
        <v/>
      </c>
      <c r="AE803" s="6" t="n"/>
      <c r="AF803" s="3">
        <f>IF($AE803="","",IF((IFERROR(INDEX('ASIGNACIONES'!$F$4:$F$339,MATCH($O803&amp;"|"&amp;$R803&amp;"|"&amp;$AE803,'ASIGNACIONES'!$J$4:$J$339,0)),""))=0,"",IFERROR(INDEX('ASIGNACIONES'!$F$4:$F$339,MATCH($O803&amp;"|"&amp;$R803&amp;"|"&amp;$AE803,'ASIGNACIONES'!$J$4:$J$339,0)),"")))</f>
        <v/>
      </c>
      <c r="AG803" s="13">
        <f>IF($AE803="","",SUMIFS('ORDENES'!$M$4:$M$1203,'ORDENES'!$AE$4:$AE$1203,$AE803,'ORDENES'!$O$4:$O$1203,$O803,'ORDENES'!$R$4:$R$1203,$R803))</f>
        <v/>
      </c>
      <c r="AH803" s="13">
        <f>IF($AG803="","",p_factor_productividad*IFERROR(INDEX('ASIGNACIONES'!$I$4:$I$339,MATCH($O803&amp;"|"&amp;$R803&amp;"|"&amp;$AE803,'ASIGNACIONES'!$J$4:$J$339,0)),0)-$AG803)</f>
        <v/>
      </c>
      <c r="AI803" s="10">
        <f>IF($A803="","",IFERROR(INDEX('2_IMPORTAR_EJECUCION'!$F$9:$F$1208,MATCH($AQ803,'2_IMPORTAR_EJECUCION'!$J$9:$J$1208,0)),0))</f>
        <v/>
      </c>
      <c r="AJ803" s="10">
        <f>IF($A803="","",MAX(0,IFERROR(INDEX('2_IMPORTAR_EJECUCION'!$H$9:$H$1208,MATCH($AQ803,'2_IMPORTAR_EJECUCION'!$J$9:$J$1208,0)),0)-$AI803))</f>
        <v/>
      </c>
      <c r="AK803" s="10">
        <f>IF($A803="","",$AI803+$AJ803)</f>
        <v/>
      </c>
      <c r="AL803" s="6" t="n"/>
      <c r="AM803" s="6" t="n"/>
      <c r="AN803" s="6" t="n"/>
      <c r="AO803" s="3">
        <f>IF($AN803="","",HYPERLINK(p_ruta_base_checklists&amp;$AN803,"abrir"))</f>
        <v/>
      </c>
      <c r="AP803" s="6" t="n"/>
      <c r="AQ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IF($A804="","",IFERROR(INDEX('AJUSTES'!$B$4:$B$303,MATCH($AQ804,'AJUSTES'!$A$4:$A$303,0)),IF($K804="","",$K804)))</f>
        <v/>
      </c>
      <c r="N804" s="3">
        <f>IF($A804="","",IFERROR(INDEX('CAT_ESTADOS_ERP'!$B$4:$B$7,MATCH(IFERROR(INDEX('2_IMPORTAR_EJECUCION'!$C$9:$C$1208,MATCH($AQ804,'2_IMPORTAR_EJECUCION'!$J$9:$J$1208,0)),""),'CAT_ESTADOS_ERP'!$A$4:$A$7,0)),"Pendiente"))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J804="","",IFERROR(INDEX('CALENDARIO'!$C$15:$C$214,MATCH(TEXT($J804,"yyyy-mm-dd")&amp;"|"&amp;$V804&amp;"|"&amp;$W804,'CALENDARIO'!$G$15:$G$214,0)),IFERROR(INDEX('CALENDARIO'!$C$15:$C$214,MATCH(TEXT($J804,"yyyy-mm-dd")&amp;"|"&amp;$V804&amp;"|",'CALENDARIO'!$G$15:$G$214,0)),IFERROR(INDEX('CALENDARIO'!$C$15:$C$214,MATCH(TEXT($J804,"yyyy-mm-dd")&amp;"||",'CALENDARIO'!$G$15:$G$214,0)),INDEX(patronHabil,WEEKDAY($J804,2))))))</f>
        <v/>
      </c>
      <c r="T804" s="3">
        <f>IF($I804="","",IFERROR(INDEX('CAT_TIPOS_OT'!$C$4:$C$7,MATCH($I804,'CAT_TIPOS_OT'!$A$4:$A$7,0)),"sin_clasificar"))</f>
        <v/>
      </c>
      <c r="U804" s="3">
        <f>IF($F804="","",IFERROR(INDEX('CAT_CENTROS_COSTO'!$F$4:$F$13,MATCH($F804,'CAT_CENTROS_COSTO'!$A$4:$A$13,0)),"(sin catálogo)"))</f>
        <v/>
      </c>
      <c r="V804" s="3">
        <f>IF($F804="","",IFERROR(INDEX('CAT_CENTROS_COSTO'!$D$4:$D$13,MATCH($F804,'CAT_CENTROS_COSTO'!$A$4:$A$13,0)),"(sin catálogo)"))</f>
        <v/>
      </c>
      <c r="W804" s="3">
        <f>IF($F804="","",IF((IFERROR(INDEX('CAT_CENTROS_COSTO'!$E$4:$E$13,MATCH($F804,'CAT_CENTROS_COSTO'!$A$4:$A$13,0)),""))&lt;&gt;"",IFERROR(INDEX('CAT_CENTROS_COSTO'!$E$4:$E$13,MATCH($F804,'CAT_CENTROS_COSTO'!$A$4:$A$13,0)),""),$V804))</f>
        <v/>
      </c>
      <c r="X804" s="3">
        <f>IF($F804="","",IFERROR(INDEX('CAT_CENTROS_COSTO'!$G$4:$G$13,MATCH($F804,'CAT_CENTROS_COSTO'!$A$4:$A$13,0)),"(sin catálogo)"))</f>
        <v/>
      </c>
      <c r="Y804" s="3">
        <f>IF($G804="","",IFERROR(INDEX('CAT_PUESTOS'!$B$4:$B$8,MATCH($G804,'CAT_PUESTOS'!$A$4:$A$8,0)),"(sin catálogo)"))</f>
        <v/>
      </c>
      <c r="Z804" s="3">
        <f>IF($H804="","",IFERROR(INDEX('CAT_ACTIVIDADES'!$B$4:$B$8,MATCH($H804,'CAT_ACTIVIDADES'!$A$4:$A$8,0)),"(sin catálogo)"))</f>
        <v/>
      </c>
      <c r="AA804" s="12">
        <f>IF($J804="","",TODAY()-$J804)</f>
        <v/>
      </c>
      <c r="AB804" s="12">
        <f>IF($J804="","",IF($J804&lt;=TODAY(),COUNTIFS(cal_fechas,"&gt;="&amp;$J804,cal_fechas,"&lt;"&amp;TODAY(),cal_habil,"sí"),-COUNTIFS(cal_fechas,"&gt;="&amp;TODAY(),cal_fechas,"&lt;"&amp;$J804,cal_habil,"sí")))</f>
        <v/>
      </c>
      <c r="AC804" s="3">
        <f>IF($AB804="","",IF($AB804&lt;0,"FUTURO",IF($AB804&gt;p_dias_backlog_max,"BACKLOG","MES CORRIENTE")))</f>
        <v/>
      </c>
      <c r="AD804" s="3">
        <f>IF($AB804="",FALSE,AND($AB804&gt;p_dias_backlog_min,$AB804&lt;=p_dias_backlog_max))</f>
        <v/>
      </c>
      <c r="AE804" s="6" t="n"/>
      <c r="AF804" s="3">
        <f>IF($AE804="","",IF((IFERROR(INDEX('ASIGNACIONES'!$F$4:$F$339,MATCH($O804&amp;"|"&amp;$R804&amp;"|"&amp;$AE804,'ASIGNACIONES'!$J$4:$J$339,0)),""))=0,"",IFERROR(INDEX('ASIGNACIONES'!$F$4:$F$339,MATCH($O804&amp;"|"&amp;$R804&amp;"|"&amp;$AE804,'ASIGNACIONES'!$J$4:$J$339,0)),"")))</f>
        <v/>
      </c>
      <c r="AG804" s="13">
        <f>IF($AE804="","",SUMIFS('ORDENES'!$M$4:$M$1203,'ORDENES'!$AE$4:$AE$1203,$AE804,'ORDENES'!$O$4:$O$1203,$O804,'ORDENES'!$R$4:$R$1203,$R804))</f>
        <v/>
      </c>
      <c r="AH804" s="13">
        <f>IF($AG804="","",p_factor_productividad*IFERROR(INDEX('ASIGNACIONES'!$I$4:$I$339,MATCH($O804&amp;"|"&amp;$R804&amp;"|"&amp;$AE804,'ASIGNACIONES'!$J$4:$J$339,0)),0)-$AG804)</f>
        <v/>
      </c>
      <c r="AI804" s="10">
        <f>IF($A804="","",IFERROR(INDEX('2_IMPORTAR_EJECUCION'!$F$9:$F$1208,MATCH($AQ804,'2_IMPORTAR_EJECUCION'!$J$9:$J$1208,0)),0))</f>
        <v/>
      </c>
      <c r="AJ804" s="10">
        <f>IF($A804="","",MAX(0,IFERROR(INDEX('2_IMPORTAR_EJECUCION'!$H$9:$H$1208,MATCH($AQ804,'2_IMPORTAR_EJECUCION'!$J$9:$J$1208,0)),0)-$AI804))</f>
        <v/>
      </c>
      <c r="AK804" s="10">
        <f>IF($A804="","",$AI804+$AJ804)</f>
        <v/>
      </c>
      <c r="AL804" s="6" t="n"/>
      <c r="AM804" s="6" t="n"/>
      <c r="AN804" s="6" t="n"/>
      <c r="AO804" s="3">
        <f>IF($AN804="","",HYPERLINK(p_ruta_base_checklists&amp;$AN804,"abrir"))</f>
        <v/>
      </c>
      <c r="AP804" s="6" t="n"/>
      <c r="AQ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IF($A805="","",IFERROR(INDEX('AJUSTES'!$B$4:$B$303,MATCH($AQ805,'AJUSTES'!$A$4:$A$303,0)),IF($K805="","",$K805)))</f>
        <v/>
      </c>
      <c r="N805" s="3">
        <f>IF($A805="","",IFERROR(INDEX('CAT_ESTADOS_ERP'!$B$4:$B$7,MATCH(IFERROR(INDEX('2_IMPORTAR_EJECUCION'!$C$9:$C$1208,MATCH($AQ805,'2_IMPORTAR_EJECUCION'!$J$9:$J$1208,0)),""),'CAT_ESTADOS_ERP'!$A$4:$A$7,0)),"Pendiente"))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J805="","",IFERROR(INDEX('CALENDARIO'!$C$15:$C$214,MATCH(TEXT($J805,"yyyy-mm-dd")&amp;"|"&amp;$V805&amp;"|"&amp;$W805,'CALENDARIO'!$G$15:$G$214,0)),IFERROR(INDEX('CALENDARIO'!$C$15:$C$214,MATCH(TEXT($J805,"yyyy-mm-dd")&amp;"|"&amp;$V805&amp;"|",'CALENDARIO'!$G$15:$G$214,0)),IFERROR(INDEX('CALENDARIO'!$C$15:$C$214,MATCH(TEXT($J805,"yyyy-mm-dd")&amp;"||",'CALENDARIO'!$G$15:$G$214,0)),INDEX(patronHabil,WEEKDAY($J805,2))))))</f>
        <v/>
      </c>
      <c r="T805" s="3">
        <f>IF($I805="","",IFERROR(INDEX('CAT_TIPOS_OT'!$C$4:$C$7,MATCH($I805,'CAT_TIPOS_OT'!$A$4:$A$7,0)),"sin_clasificar"))</f>
        <v/>
      </c>
      <c r="U805" s="3">
        <f>IF($F805="","",IFERROR(INDEX('CAT_CENTROS_COSTO'!$F$4:$F$13,MATCH($F805,'CAT_CENTROS_COSTO'!$A$4:$A$13,0)),"(sin catálogo)"))</f>
        <v/>
      </c>
      <c r="V805" s="3">
        <f>IF($F805="","",IFERROR(INDEX('CAT_CENTROS_COSTO'!$D$4:$D$13,MATCH($F805,'CAT_CENTROS_COSTO'!$A$4:$A$13,0)),"(sin catálogo)"))</f>
        <v/>
      </c>
      <c r="W805" s="3">
        <f>IF($F805="","",IF((IFERROR(INDEX('CAT_CENTROS_COSTO'!$E$4:$E$13,MATCH($F805,'CAT_CENTROS_COSTO'!$A$4:$A$13,0)),""))&lt;&gt;"",IFERROR(INDEX('CAT_CENTROS_COSTO'!$E$4:$E$13,MATCH($F805,'CAT_CENTROS_COSTO'!$A$4:$A$13,0)),""),$V805))</f>
        <v/>
      </c>
      <c r="X805" s="3">
        <f>IF($F805="","",IFERROR(INDEX('CAT_CENTROS_COSTO'!$G$4:$G$13,MATCH($F805,'CAT_CENTROS_COSTO'!$A$4:$A$13,0)),"(sin catálogo)"))</f>
        <v/>
      </c>
      <c r="Y805" s="3">
        <f>IF($G805="","",IFERROR(INDEX('CAT_PUESTOS'!$B$4:$B$8,MATCH($G805,'CAT_PUESTOS'!$A$4:$A$8,0)),"(sin catálogo)"))</f>
        <v/>
      </c>
      <c r="Z805" s="3">
        <f>IF($H805="","",IFERROR(INDEX('CAT_ACTIVIDADES'!$B$4:$B$8,MATCH($H805,'CAT_ACTIVIDADES'!$A$4:$A$8,0)),"(sin catálogo)"))</f>
        <v/>
      </c>
      <c r="AA805" s="12">
        <f>IF($J805="","",TODAY()-$J805)</f>
        <v/>
      </c>
      <c r="AB805" s="12">
        <f>IF($J805="","",IF($J805&lt;=TODAY(),COUNTIFS(cal_fechas,"&gt;="&amp;$J805,cal_fechas,"&lt;"&amp;TODAY(),cal_habil,"sí"),-COUNTIFS(cal_fechas,"&gt;="&amp;TODAY(),cal_fechas,"&lt;"&amp;$J805,cal_habil,"sí")))</f>
        <v/>
      </c>
      <c r="AC805" s="3">
        <f>IF($AB805="","",IF($AB805&lt;0,"FUTURO",IF($AB805&gt;p_dias_backlog_max,"BACKLOG","MES CORRIENTE")))</f>
        <v/>
      </c>
      <c r="AD805" s="3">
        <f>IF($AB805="",FALSE,AND($AB805&gt;p_dias_backlog_min,$AB805&lt;=p_dias_backlog_max))</f>
        <v/>
      </c>
      <c r="AE805" s="6" t="n"/>
      <c r="AF805" s="3">
        <f>IF($AE805="","",IF((IFERROR(INDEX('ASIGNACIONES'!$F$4:$F$339,MATCH($O805&amp;"|"&amp;$R805&amp;"|"&amp;$AE805,'ASIGNACIONES'!$J$4:$J$339,0)),""))=0,"",IFERROR(INDEX('ASIGNACIONES'!$F$4:$F$339,MATCH($O805&amp;"|"&amp;$R805&amp;"|"&amp;$AE805,'ASIGNACIONES'!$J$4:$J$339,0)),"")))</f>
        <v/>
      </c>
      <c r="AG805" s="13">
        <f>IF($AE805="","",SUMIFS('ORDENES'!$M$4:$M$1203,'ORDENES'!$AE$4:$AE$1203,$AE805,'ORDENES'!$O$4:$O$1203,$O805,'ORDENES'!$R$4:$R$1203,$R805))</f>
        <v/>
      </c>
      <c r="AH805" s="13">
        <f>IF($AG805="","",p_factor_productividad*IFERROR(INDEX('ASIGNACIONES'!$I$4:$I$339,MATCH($O805&amp;"|"&amp;$R805&amp;"|"&amp;$AE805,'ASIGNACIONES'!$J$4:$J$339,0)),0)-$AG805)</f>
        <v/>
      </c>
      <c r="AI805" s="10">
        <f>IF($A805="","",IFERROR(INDEX('2_IMPORTAR_EJECUCION'!$F$9:$F$1208,MATCH($AQ805,'2_IMPORTAR_EJECUCION'!$J$9:$J$1208,0)),0))</f>
        <v/>
      </c>
      <c r="AJ805" s="10">
        <f>IF($A805="","",MAX(0,IFERROR(INDEX('2_IMPORTAR_EJECUCION'!$H$9:$H$1208,MATCH($AQ805,'2_IMPORTAR_EJECUCION'!$J$9:$J$1208,0)),0)-$AI805))</f>
        <v/>
      </c>
      <c r="AK805" s="10">
        <f>IF($A805="","",$AI805+$AJ805)</f>
        <v/>
      </c>
      <c r="AL805" s="6" t="n"/>
      <c r="AM805" s="6" t="n"/>
      <c r="AN805" s="6" t="n"/>
      <c r="AO805" s="3">
        <f>IF($AN805="","",HYPERLINK(p_ruta_base_checklists&amp;$AN805,"abrir"))</f>
        <v/>
      </c>
      <c r="AP805" s="6" t="n"/>
      <c r="AQ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IF($A806="","",IFERROR(INDEX('AJUSTES'!$B$4:$B$303,MATCH($AQ806,'AJUSTES'!$A$4:$A$303,0)),IF($K806="","",$K806)))</f>
        <v/>
      </c>
      <c r="N806" s="3">
        <f>IF($A806="","",IFERROR(INDEX('CAT_ESTADOS_ERP'!$B$4:$B$7,MATCH(IFERROR(INDEX('2_IMPORTAR_EJECUCION'!$C$9:$C$1208,MATCH($AQ806,'2_IMPORTAR_EJECUCION'!$J$9:$J$1208,0)),""),'CAT_ESTADOS_ERP'!$A$4:$A$7,0)),"Pendiente"))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J806="","",IFERROR(INDEX('CALENDARIO'!$C$15:$C$214,MATCH(TEXT($J806,"yyyy-mm-dd")&amp;"|"&amp;$V806&amp;"|"&amp;$W806,'CALENDARIO'!$G$15:$G$214,0)),IFERROR(INDEX('CALENDARIO'!$C$15:$C$214,MATCH(TEXT($J806,"yyyy-mm-dd")&amp;"|"&amp;$V806&amp;"|",'CALENDARIO'!$G$15:$G$214,0)),IFERROR(INDEX('CALENDARIO'!$C$15:$C$214,MATCH(TEXT($J806,"yyyy-mm-dd")&amp;"||",'CALENDARIO'!$G$15:$G$214,0)),INDEX(patronHabil,WEEKDAY($J806,2))))))</f>
        <v/>
      </c>
      <c r="T806" s="3">
        <f>IF($I806="","",IFERROR(INDEX('CAT_TIPOS_OT'!$C$4:$C$7,MATCH($I806,'CAT_TIPOS_OT'!$A$4:$A$7,0)),"sin_clasificar"))</f>
        <v/>
      </c>
      <c r="U806" s="3">
        <f>IF($F806="","",IFERROR(INDEX('CAT_CENTROS_COSTO'!$F$4:$F$13,MATCH($F806,'CAT_CENTROS_COSTO'!$A$4:$A$13,0)),"(sin catálogo)"))</f>
        <v/>
      </c>
      <c r="V806" s="3">
        <f>IF($F806="","",IFERROR(INDEX('CAT_CENTROS_COSTO'!$D$4:$D$13,MATCH($F806,'CAT_CENTROS_COSTO'!$A$4:$A$13,0)),"(sin catálogo)"))</f>
        <v/>
      </c>
      <c r="W806" s="3">
        <f>IF($F806="","",IF((IFERROR(INDEX('CAT_CENTROS_COSTO'!$E$4:$E$13,MATCH($F806,'CAT_CENTROS_COSTO'!$A$4:$A$13,0)),""))&lt;&gt;"",IFERROR(INDEX('CAT_CENTROS_COSTO'!$E$4:$E$13,MATCH($F806,'CAT_CENTROS_COSTO'!$A$4:$A$13,0)),""),$V806))</f>
        <v/>
      </c>
      <c r="X806" s="3">
        <f>IF($F806="","",IFERROR(INDEX('CAT_CENTROS_COSTO'!$G$4:$G$13,MATCH($F806,'CAT_CENTROS_COSTO'!$A$4:$A$13,0)),"(sin catálogo)"))</f>
        <v/>
      </c>
      <c r="Y806" s="3">
        <f>IF($G806="","",IFERROR(INDEX('CAT_PUESTOS'!$B$4:$B$8,MATCH($G806,'CAT_PUESTOS'!$A$4:$A$8,0)),"(sin catálogo)"))</f>
        <v/>
      </c>
      <c r="Z806" s="3">
        <f>IF($H806="","",IFERROR(INDEX('CAT_ACTIVIDADES'!$B$4:$B$8,MATCH($H806,'CAT_ACTIVIDADES'!$A$4:$A$8,0)),"(sin catálogo)"))</f>
        <v/>
      </c>
      <c r="AA806" s="12">
        <f>IF($J806="","",TODAY()-$J806)</f>
        <v/>
      </c>
      <c r="AB806" s="12">
        <f>IF($J806="","",IF($J806&lt;=TODAY(),COUNTIFS(cal_fechas,"&gt;="&amp;$J806,cal_fechas,"&lt;"&amp;TODAY(),cal_habil,"sí"),-COUNTIFS(cal_fechas,"&gt;="&amp;TODAY(),cal_fechas,"&lt;"&amp;$J806,cal_habil,"sí")))</f>
        <v/>
      </c>
      <c r="AC806" s="3">
        <f>IF($AB806="","",IF($AB806&lt;0,"FUTURO",IF($AB806&gt;p_dias_backlog_max,"BACKLOG","MES CORRIENTE")))</f>
        <v/>
      </c>
      <c r="AD806" s="3">
        <f>IF($AB806="",FALSE,AND($AB806&gt;p_dias_backlog_min,$AB806&lt;=p_dias_backlog_max))</f>
        <v/>
      </c>
      <c r="AE806" s="6" t="n"/>
      <c r="AF806" s="3">
        <f>IF($AE806="","",IF((IFERROR(INDEX('ASIGNACIONES'!$F$4:$F$339,MATCH($O806&amp;"|"&amp;$R806&amp;"|"&amp;$AE806,'ASIGNACIONES'!$J$4:$J$339,0)),""))=0,"",IFERROR(INDEX('ASIGNACIONES'!$F$4:$F$339,MATCH($O806&amp;"|"&amp;$R806&amp;"|"&amp;$AE806,'ASIGNACIONES'!$J$4:$J$339,0)),"")))</f>
        <v/>
      </c>
      <c r="AG806" s="13">
        <f>IF($AE806="","",SUMIFS('ORDENES'!$M$4:$M$1203,'ORDENES'!$AE$4:$AE$1203,$AE806,'ORDENES'!$O$4:$O$1203,$O806,'ORDENES'!$R$4:$R$1203,$R806))</f>
        <v/>
      </c>
      <c r="AH806" s="13">
        <f>IF($AG806="","",p_factor_productividad*IFERROR(INDEX('ASIGNACIONES'!$I$4:$I$339,MATCH($O806&amp;"|"&amp;$R806&amp;"|"&amp;$AE806,'ASIGNACIONES'!$J$4:$J$339,0)),0)-$AG806)</f>
        <v/>
      </c>
      <c r="AI806" s="10">
        <f>IF($A806="","",IFERROR(INDEX('2_IMPORTAR_EJECUCION'!$F$9:$F$1208,MATCH($AQ806,'2_IMPORTAR_EJECUCION'!$J$9:$J$1208,0)),0))</f>
        <v/>
      </c>
      <c r="AJ806" s="10">
        <f>IF($A806="","",MAX(0,IFERROR(INDEX('2_IMPORTAR_EJECUCION'!$H$9:$H$1208,MATCH($AQ806,'2_IMPORTAR_EJECUCION'!$J$9:$J$1208,0)),0)-$AI806))</f>
        <v/>
      </c>
      <c r="AK806" s="10">
        <f>IF($A806="","",$AI806+$AJ806)</f>
        <v/>
      </c>
      <c r="AL806" s="6" t="n"/>
      <c r="AM806" s="6" t="n"/>
      <c r="AN806" s="6" t="n"/>
      <c r="AO806" s="3">
        <f>IF($AN806="","",HYPERLINK(p_ruta_base_checklists&amp;$AN806,"abrir"))</f>
        <v/>
      </c>
      <c r="AP806" s="6" t="n"/>
      <c r="AQ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IF($A807="","",IFERROR(INDEX('AJUSTES'!$B$4:$B$303,MATCH($AQ807,'AJUSTES'!$A$4:$A$303,0)),IF($K807="","",$K807)))</f>
        <v/>
      </c>
      <c r="N807" s="3">
        <f>IF($A807="","",IFERROR(INDEX('CAT_ESTADOS_ERP'!$B$4:$B$7,MATCH(IFERROR(INDEX('2_IMPORTAR_EJECUCION'!$C$9:$C$1208,MATCH($AQ807,'2_IMPORTAR_EJECUCION'!$J$9:$J$1208,0)),""),'CAT_ESTADOS_ERP'!$A$4:$A$7,0)),"Pendiente"))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J807="","",IFERROR(INDEX('CALENDARIO'!$C$15:$C$214,MATCH(TEXT($J807,"yyyy-mm-dd")&amp;"|"&amp;$V807&amp;"|"&amp;$W807,'CALENDARIO'!$G$15:$G$214,0)),IFERROR(INDEX('CALENDARIO'!$C$15:$C$214,MATCH(TEXT($J807,"yyyy-mm-dd")&amp;"|"&amp;$V807&amp;"|",'CALENDARIO'!$G$15:$G$214,0)),IFERROR(INDEX('CALENDARIO'!$C$15:$C$214,MATCH(TEXT($J807,"yyyy-mm-dd")&amp;"||",'CALENDARIO'!$G$15:$G$214,0)),INDEX(patronHabil,WEEKDAY($J807,2))))))</f>
        <v/>
      </c>
      <c r="T807" s="3">
        <f>IF($I807="","",IFERROR(INDEX('CAT_TIPOS_OT'!$C$4:$C$7,MATCH($I807,'CAT_TIPOS_OT'!$A$4:$A$7,0)),"sin_clasificar"))</f>
        <v/>
      </c>
      <c r="U807" s="3">
        <f>IF($F807="","",IFERROR(INDEX('CAT_CENTROS_COSTO'!$F$4:$F$13,MATCH($F807,'CAT_CENTROS_COSTO'!$A$4:$A$13,0)),"(sin catálogo)"))</f>
        <v/>
      </c>
      <c r="V807" s="3">
        <f>IF($F807="","",IFERROR(INDEX('CAT_CENTROS_COSTO'!$D$4:$D$13,MATCH($F807,'CAT_CENTROS_COSTO'!$A$4:$A$13,0)),"(sin catálogo)"))</f>
        <v/>
      </c>
      <c r="W807" s="3">
        <f>IF($F807="","",IF((IFERROR(INDEX('CAT_CENTROS_COSTO'!$E$4:$E$13,MATCH($F807,'CAT_CENTROS_COSTO'!$A$4:$A$13,0)),""))&lt;&gt;"",IFERROR(INDEX('CAT_CENTROS_COSTO'!$E$4:$E$13,MATCH($F807,'CAT_CENTROS_COSTO'!$A$4:$A$13,0)),""),$V807))</f>
        <v/>
      </c>
      <c r="X807" s="3">
        <f>IF($F807="","",IFERROR(INDEX('CAT_CENTROS_COSTO'!$G$4:$G$13,MATCH($F807,'CAT_CENTROS_COSTO'!$A$4:$A$13,0)),"(sin catálogo)"))</f>
        <v/>
      </c>
      <c r="Y807" s="3">
        <f>IF($G807="","",IFERROR(INDEX('CAT_PUESTOS'!$B$4:$B$8,MATCH($G807,'CAT_PUESTOS'!$A$4:$A$8,0)),"(sin catálogo)"))</f>
        <v/>
      </c>
      <c r="Z807" s="3">
        <f>IF($H807="","",IFERROR(INDEX('CAT_ACTIVIDADES'!$B$4:$B$8,MATCH($H807,'CAT_ACTIVIDADES'!$A$4:$A$8,0)),"(sin catálogo)"))</f>
        <v/>
      </c>
      <c r="AA807" s="12">
        <f>IF($J807="","",TODAY()-$J807)</f>
        <v/>
      </c>
      <c r="AB807" s="12">
        <f>IF($J807="","",IF($J807&lt;=TODAY(),COUNTIFS(cal_fechas,"&gt;="&amp;$J807,cal_fechas,"&lt;"&amp;TODAY(),cal_habil,"sí"),-COUNTIFS(cal_fechas,"&gt;="&amp;TODAY(),cal_fechas,"&lt;"&amp;$J807,cal_habil,"sí")))</f>
        <v/>
      </c>
      <c r="AC807" s="3">
        <f>IF($AB807="","",IF($AB807&lt;0,"FUTURO",IF($AB807&gt;p_dias_backlog_max,"BACKLOG","MES CORRIENTE")))</f>
        <v/>
      </c>
      <c r="AD807" s="3">
        <f>IF($AB807="",FALSE,AND($AB807&gt;p_dias_backlog_min,$AB807&lt;=p_dias_backlog_max))</f>
        <v/>
      </c>
      <c r="AE807" s="6" t="n"/>
      <c r="AF807" s="3">
        <f>IF($AE807="","",IF((IFERROR(INDEX('ASIGNACIONES'!$F$4:$F$339,MATCH($O807&amp;"|"&amp;$R807&amp;"|"&amp;$AE807,'ASIGNACIONES'!$J$4:$J$339,0)),""))=0,"",IFERROR(INDEX('ASIGNACIONES'!$F$4:$F$339,MATCH($O807&amp;"|"&amp;$R807&amp;"|"&amp;$AE807,'ASIGNACIONES'!$J$4:$J$339,0)),"")))</f>
        <v/>
      </c>
      <c r="AG807" s="13">
        <f>IF($AE807="","",SUMIFS('ORDENES'!$M$4:$M$1203,'ORDENES'!$AE$4:$AE$1203,$AE807,'ORDENES'!$O$4:$O$1203,$O807,'ORDENES'!$R$4:$R$1203,$R807))</f>
        <v/>
      </c>
      <c r="AH807" s="13">
        <f>IF($AG807="","",p_factor_productividad*IFERROR(INDEX('ASIGNACIONES'!$I$4:$I$339,MATCH($O807&amp;"|"&amp;$R807&amp;"|"&amp;$AE807,'ASIGNACIONES'!$J$4:$J$339,0)),0)-$AG807)</f>
        <v/>
      </c>
      <c r="AI807" s="10">
        <f>IF($A807="","",IFERROR(INDEX('2_IMPORTAR_EJECUCION'!$F$9:$F$1208,MATCH($AQ807,'2_IMPORTAR_EJECUCION'!$J$9:$J$1208,0)),0))</f>
        <v/>
      </c>
      <c r="AJ807" s="10">
        <f>IF($A807="","",MAX(0,IFERROR(INDEX('2_IMPORTAR_EJECUCION'!$H$9:$H$1208,MATCH($AQ807,'2_IMPORTAR_EJECUCION'!$J$9:$J$1208,0)),0)-$AI807))</f>
        <v/>
      </c>
      <c r="AK807" s="10">
        <f>IF($A807="","",$AI807+$AJ807)</f>
        <v/>
      </c>
      <c r="AL807" s="6" t="n"/>
      <c r="AM807" s="6" t="n"/>
      <c r="AN807" s="6" t="n"/>
      <c r="AO807" s="3">
        <f>IF($AN807="","",HYPERLINK(p_ruta_base_checklists&amp;$AN807,"abrir"))</f>
        <v/>
      </c>
      <c r="AP807" s="6" t="n"/>
      <c r="AQ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IF($A808="","",IFERROR(INDEX('AJUSTES'!$B$4:$B$303,MATCH($AQ808,'AJUSTES'!$A$4:$A$303,0)),IF($K808="","",$K808)))</f>
        <v/>
      </c>
      <c r="N808" s="3">
        <f>IF($A808="","",IFERROR(INDEX('CAT_ESTADOS_ERP'!$B$4:$B$7,MATCH(IFERROR(INDEX('2_IMPORTAR_EJECUCION'!$C$9:$C$1208,MATCH($AQ808,'2_IMPORTAR_EJECUCION'!$J$9:$J$1208,0)),""),'CAT_ESTADOS_ERP'!$A$4:$A$7,0)),"Pendiente"))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J808="","",IFERROR(INDEX('CALENDARIO'!$C$15:$C$214,MATCH(TEXT($J808,"yyyy-mm-dd")&amp;"|"&amp;$V808&amp;"|"&amp;$W808,'CALENDARIO'!$G$15:$G$214,0)),IFERROR(INDEX('CALENDARIO'!$C$15:$C$214,MATCH(TEXT($J808,"yyyy-mm-dd")&amp;"|"&amp;$V808&amp;"|",'CALENDARIO'!$G$15:$G$214,0)),IFERROR(INDEX('CALENDARIO'!$C$15:$C$214,MATCH(TEXT($J808,"yyyy-mm-dd")&amp;"||",'CALENDARIO'!$G$15:$G$214,0)),INDEX(patronHabil,WEEKDAY($J808,2))))))</f>
        <v/>
      </c>
      <c r="T808" s="3">
        <f>IF($I808="","",IFERROR(INDEX('CAT_TIPOS_OT'!$C$4:$C$7,MATCH($I808,'CAT_TIPOS_OT'!$A$4:$A$7,0)),"sin_clasificar"))</f>
        <v/>
      </c>
      <c r="U808" s="3">
        <f>IF($F808="","",IFERROR(INDEX('CAT_CENTROS_COSTO'!$F$4:$F$13,MATCH($F808,'CAT_CENTROS_COSTO'!$A$4:$A$13,0)),"(sin catálogo)"))</f>
        <v/>
      </c>
      <c r="V808" s="3">
        <f>IF($F808="","",IFERROR(INDEX('CAT_CENTROS_COSTO'!$D$4:$D$13,MATCH($F808,'CAT_CENTROS_COSTO'!$A$4:$A$13,0)),"(sin catálogo)"))</f>
        <v/>
      </c>
      <c r="W808" s="3">
        <f>IF($F808="","",IF((IFERROR(INDEX('CAT_CENTROS_COSTO'!$E$4:$E$13,MATCH($F808,'CAT_CENTROS_COSTO'!$A$4:$A$13,0)),""))&lt;&gt;"",IFERROR(INDEX('CAT_CENTROS_COSTO'!$E$4:$E$13,MATCH($F808,'CAT_CENTROS_COSTO'!$A$4:$A$13,0)),""),$V808))</f>
        <v/>
      </c>
      <c r="X808" s="3">
        <f>IF($F808="","",IFERROR(INDEX('CAT_CENTROS_COSTO'!$G$4:$G$13,MATCH($F808,'CAT_CENTROS_COSTO'!$A$4:$A$13,0)),"(sin catálogo)"))</f>
        <v/>
      </c>
      <c r="Y808" s="3">
        <f>IF($G808="","",IFERROR(INDEX('CAT_PUESTOS'!$B$4:$B$8,MATCH($G808,'CAT_PUESTOS'!$A$4:$A$8,0)),"(sin catálogo)"))</f>
        <v/>
      </c>
      <c r="Z808" s="3">
        <f>IF($H808="","",IFERROR(INDEX('CAT_ACTIVIDADES'!$B$4:$B$8,MATCH($H808,'CAT_ACTIVIDADES'!$A$4:$A$8,0)),"(sin catálogo)"))</f>
        <v/>
      </c>
      <c r="AA808" s="12">
        <f>IF($J808="","",TODAY()-$J808)</f>
        <v/>
      </c>
      <c r="AB808" s="12">
        <f>IF($J808="","",IF($J808&lt;=TODAY(),COUNTIFS(cal_fechas,"&gt;="&amp;$J808,cal_fechas,"&lt;"&amp;TODAY(),cal_habil,"sí"),-COUNTIFS(cal_fechas,"&gt;="&amp;TODAY(),cal_fechas,"&lt;"&amp;$J808,cal_habil,"sí")))</f>
        <v/>
      </c>
      <c r="AC808" s="3">
        <f>IF($AB808="","",IF($AB808&lt;0,"FUTURO",IF($AB808&gt;p_dias_backlog_max,"BACKLOG","MES CORRIENTE")))</f>
        <v/>
      </c>
      <c r="AD808" s="3">
        <f>IF($AB808="",FALSE,AND($AB808&gt;p_dias_backlog_min,$AB808&lt;=p_dias_backlog_max))</f>
        <v/>
      </c>
      <c r="AE808" s="6" t="n"/>
      <c r="AF808" s="3">
        <f>IF($AE808="","",IF((IFERROR(INDEX('ASIGNACIONES'!$F$4:$F$339,MATCH($O808&amp;"|"&amp;$R808&amp;"|"&amp;$AE808,'ASIGNACIONES'!$J$4:$J$339,0)),""))=0,"",IFERROR(INDEX('ASIGNACIONES'!$F$4:$F$339,MATCH($O808&amp;"|"&amp;$R808&amp;"|"&amp;$AE808,'ASIGNACIONES'!$J$4:$J$339,0)),"")))</f>
        <v/>
      </c>
      <c r="AG808" s="13">
        <f>IF($AE808="","",SUMIFS('ORDENES'!$M$4:$M$1203,'ORDENES'!$AE$4:$AE$1203,$AE808,'ORDENES'!$O$4:$O$1203,$O808,'ORDENES'!$R$4:$R$1203,$R808))</f>
        <v/>
      </c>
      <c r="AH808" s="13">
        <f>IF($AG808="","",p_factor_productividad*IFERROR(INDEX('ASIGNACIONES'!$I$4:$I$339,MATCH($O808&amp;"|"&amp;$R808&amp;"|"&amp;$AE808,'ASIGNACIONES'!$J$4:$J$339,0)),0)-$AG808)</f>
        <v/>
      </c>
      <c r="AI808" s="10">
        <f>IF($A808="","",IFERROR(INDEX('2_IMPORTAR_EJECUCION'!$F$9:$F$1208,MATCH($AQ808,'2_IMPORTAR_EJECUCION'!$J$9:$J$1208,0)),0))</f>
        <v/>
      </c>
      <c r="AJ808" s="10">
        <f>IF($A808="","",MAX(0,IFERROR(INDEX('2_IMPORTAR_EJECUCION'!$H$9:$H$1208,MATCH($AQ808,'2_IMPORTAR_EJECUCION'!$J$9:$J$1208,0)),0)-$AI808))</f>
        <v/>
      </c>
      <c r="AK808" s="10">
        <f>IF($A808="","",$AI808+$AJ808)</f>
        <v/>
      </c>
      <c r="AL808" s="6" t="n"/>
      <c r="AM808" s="6" t="n"/>
      <c r="AN808" s="6" t="n"/>
      <c r="AO808" s="3">
        <f>IF($AN808="","",HYPERLINK(p_ruta_base_checklists&amp;$AN808,"abrir"))</f>
        <v/>
      </c>
      <c r="AP808" s="6" t="n"/>
      <c r="AQ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IF($A809="","",IFERROR(INDEX('AJUSTES'!$B$4:$B$303,MATCH($AQ809,'AJUSTES'!$A$4:$A$303,0)),IF($K809="","",$K809)))</f>
        <v/>
      </c>
      <c r="N809" s="3">
        <f>IF($A809="","",IFERROR(INDEX('CAT_ESTADOS_ERP'!$B$4:$B$7,MATCH(IFERROR(INDEX('2_IMPORTAR_EJECUCION'!$C$9:$C$1208,MATCH($AQ809,'2_IMPORTAR_EJECUCION'!$J$9:$J$1208,0)),""),'CAT_ESTADOS_ERP'!$A$4:$A$7,0)),"Pendiente"))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J809="","",IFERROR(INDEX('CALENDARIO'!$C$15:$C$214,MATCH(TEXT($J809,"yyyy-mm-dd")&amp;"|"&amp;$V809&amp;"|"&amp;$W809,'CALENDARIO'!$G$15:$G$214,0)),IFERROR(INDEX('CALENDARIO'!$C$15:$C$214,MATCH(TEXT($J809,"yyyy-mm-dd")&amp;"|"&amp;$V809&amp;"|",'CALENDARIO'!$G$15:$G$214,0)),IFERROR(INDEX('CALENDARIO'!$C$15:$C$214,MATCH(TEXT($J809,"yyyy-mm-dd")&amp;"||",'CALENDARIO'!$G$15:$G$214,0)),INDEX(patronHabil,WEEKDAY($J809,2))))))</f>
        <v/>
      </c>
      <c r="T809" s="3">
        <f>IF($I809="","",IFERROR(INDEX('CAT_TIPOS_OT'!$C$4:$C$7,MATCH($I809,'CAT_TIPOS_OT'!$A$4:$A$7,0)),"sin_clasificar"))</f>
        <v/>
      </c>
      <c r="U809" s="3">
        <f>IF($F809="","",IFERROR(INDEX('CAT_CENTROS_COSTO'!$F$4:$F$13,MATCH($F809,'CAT_CENTROS_COSTO'!$A$4:$A$13,0)),"(sin catálogo)"))</f>
        <v/>
      </c>
      <c r="V809" s="3">
        <f>IF($F809="","",IFERROR(INDEX('CAT_CENTROS_COSTO'!$D$4:$D$13,MATCH($F809,'CAT_CENTROS_COSTO'!$A$4:$A$13,0)),"(sin catálogo)"))</f>
        <v/>
      </c>
      <c r="W809" s="3">
        <f>IF($F809="","",IF((IFERROR(INDEX('CAT_CENTROS_COSTO'!$E$4:$E$13,MATCH($F809,'CAT_CENTROS_COSTO'!$A$4:$A$13,0)),""))&lt;&gt;"",IFERROR(INDEX('CAT_CENTROS_COSTO'!$E$4:$E$13,MATCH($F809,'CAT_CENTROS_COSTO'!$A$4:$A$13,0)),""),$V809))</f>
        <v/>
      </c>
      <c r="X809" s="3">
        <f>IF($F809="","",IFERROR(INDEX('CAT_CENTROS_COSTO'!$G$4:$G$13,MATCH($F809,'CAT_CENTROS_COSTO'!$A$4:$A$13,0)),"(sin catálogo)"))</f>
        <v/>
      </c>
      <c r="Y809" s="3">
        <f>IF($G809="","",IFERROR(INDEX('CAT_PUESTOS'!$B$4:$B$8,MATCH($G809,'CAT_PUESTOS'!$A$4:$A$8,0)),"(sin catálogo)"))</f>
        <v/>
      </c>
      <c r="Z809" s="3">
        <f>IF($H809="","",IFERROR(INDEX('CAT_ACTIVIDADES'!$B$4:$B$8,MATCH($H809,'CAT_ACTIVIDADES'!$A$4:$A$8,0)),"(sin catálogo)"))</f>
        <v/>
      </c>
      <c r="AA809" s="12">
        <f>IF($J809="","",TODAY()-$J809)</f>
        <v/>
      </c>
      <c r="AB809" s="12">
        <f>IF($J809="","",IF($J809&lt;=TODAY(),COUNTIFS(cal_fechas,"&gt;="&amp;$J809,cal_fechas,"&lt;"&amp;TODAY(),cal_habil,"sí"),-COUNTIFS(cal_fechas,"&gt;="&amp;TODAY(),cal_fechas,"&lt;"&amp;$J809,cal_habil,"sí")))</f>
        <v/>
      </c>
      <c r="AC809" s="3">
        <f>IF($AB809="","",IF($AB809&lt;0,"FUTURO",IF($AB809&gt;p_dias_backlog_max,"BACKLOG","MES CORRIENTE")))</f>
        <v/>
      </c>
      <c r="AD809" s="3">
        <f>IF($AB809="",FALSE,AND($AB809&gt;p_dias_backlog_min,$AB809&lt;=p_dias_backlog_max))</f>
        <v/>
      </c>
      <c r="AE809" s="6" t="n"/>
      <c r="AF809" s="3">
        <f>IF($AE809="","",IF((IFERROR(INDEX('ASIGNACIONES'!$F$4:$F$339,MATCH($O809&amp;"|"&amp;$R809&amp;"|"&amp;$AE809,'ASIGNACIONES'!$J$4:$J$339,0)),""))=0,"",IFERROR(INDEX('ASIGNACIONES'!$F$4:$F$339,MATCH($O809&amp;"|"&amp;$R809&amp;"|"&amp;$AE809,'ASIGNACIONES'!$J$4:$J$339,0)),"")))</f>
        <v/>
      </c>
      <c r="AG809" s="13">
        <f>IF($AE809="","",SUMIFS('ORDENES'!$M$4:$M$1203,'ORDENES'!$AE$4:$AE$1203,$AE809,'ORDENES'!$O$4:$O$1203,$O809,'ORDENES'!$R$4:$R$1203,$R809))</f>
        <v/>
      </c>
      <c r="AH809" s="13">
        <f>IF($AG809="","",p_factor_productividad*IFERROR(INDEX('ASIGNACIONES'!$I$4:$I$339,MATCH($O809&amp;"|"&amp;$R809&amp;"|"&amp;$AE809,'ASIGNACIONES'!$J$4:$J$339,0)),0)-$AG809)</f>
        <v/>
      </c>
      <c r="AI809" s="10">
        <f>IF($A809="","",IFERROR(INDEX('2_IMPORTAR_EJECUCION'!$F$9:$F$1208,MATCH($AQ809,'2_IMPORTAR_EJECUCION'!$J$9:$J$1208,0)),0))</f>
        <v/>
      </c>
      <c r="AJ809" s="10">
        <f>IF($A809="","",MAX(0,IFERROR(INDEX('2_IMPORTAR_EJECUCION'!$H$9:$H$1208,MATCH($AQ809,'2_IMPORTAR_EJECUCION'!$J$9:$J$1208,0)),0)-$AI809))</f>
        <v/>
      </c>
      <c r="AK809" s="10">
        <f>IF($A809="","",$AI809+$AJ809)</f>
        <v/>
      </c>
      <c r="AL809" s="6" t="n"/>
      <c r="AM809" s="6" t="n"/>
      <c r="AN809" s="6" t="n"/>
      <c r="AO809" s="3">
        <f>IF($AN809="","",HYPERLINK(p_ruta_base_checklists&amp;$AN809,"abrir"))</f>
        <v/>
      </c>
      <c r="AP809" s="6" t="n"/>
      <c r="AQ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IF($A810="","",IFERROR(INDEX('AJUSTES'!$B$4:$B$303,MATCH($AQ810,'AJUSTES'!$A$4:$A$303,0)),IF($K810="","",$K810)))</f>
        <v/>
      </c>
      <c r="N810" s="3">
        <f>IF($A810="","",IFERROR(INDEX('CAT_ESTADOS_ERP'!$B$4:$B$7,MATCH(IFERROR(INDEX('2_IMPORTAR_EJECUCION'!$C$9:$C$1208,MATCH($AQ810,'2_IMPORTAR_EJECUCION'!$J$9:$J$1208,0)),""),'CAT_ESTADOS_ERP'!$A$4:$A$7,0)),"Pendiente"))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J810="","",IFERROR(INDEX('CALENDARIO'!$C$15:$C$214,MATCH(TEXT($J810,"yyyy-mm-dd")&amp;"|"&amp;$V810&amp;"|"&amp;$W810,'CALENDARIO'!$G$15:$G$214,0)),IFERROR(INDEX('CALENDARIO'!$C$15:$C$214,MATCH(TEXT($J810,"yyyy-mm-dd")&amp;"|"&amp;$V810&amp;"|",'CALENDARIO'!$G$15:$G$214,0)),IFERROR(INDEX('CALENDARIO'!$C$15:$C$214,MATCH(TEXT($J810,"yyyy-mm-dd")&amp;"||",'CALENDARIO'!$G$15:$G$214,0)),INDEX(patronHabil,WEEKDAY($J810,2))))))</f>
        <v/>
      </c>
      <c r="T810" s="3">
        <f>IF($I810="","",IFERROR(INDEX('CAT_TIPOS_OT'!$C$4:$C$7,MATCH($I810,'CAT_TIPOS_OT'!$A$4:$A$7,0)),"sin_clasificar"))</f>
        <v/>
      </c>
      <c r="U810" s="3">
        <f>IF($F810="","",IFERROR(INDEX('CAT_CENTROS_COSTO'!$F$4:$F$13,MATCH($F810,'CAT_CENTROS_COSTO'!$A$4:$A$13,0)),"(sin catálogo)"))</f>
        <v/>
      </c>
      <c r="V810" s="3">
        <f>IF($F810="","",IFERROR(INDEX('CAT_CENTROS_COSTO'!$D$4:$D$13,MATCH($F810,'CAT_CENTROS_COSTO'!$A$4:$A$13,0)),"(sin catálogo)"))</f>
        <v/>
      </c>
      <c r="W810" s="3">
        <f>IF($F810="","",IF((IFERROR(INDEX('CAT_CENTROS_COSTO'!$E$4:$E$13,MATCH($F810,'CAT_CENTROS_COSTO'!$A$4:$A$13,0)),""))&lt;&gt;"",IFERROR(INDEX('CAT_CENTROS_COSTO'!$E$4:$E$13,MATCH($F810,'CAT_CENTROS_COSTO'!$A$4:$A$13,0)),""),$V810))</f>
        <v/>
      </c>
      <c r="X810" s="3">
        <f>IF($F810="","",IFERROR(INDEX('CAT_CENTROS_COSTO'!$G$4:$G$13,MATCH($F810,'CAT_CENTROS_COSTO'!$A$4:$A$13,0)),"(sin catálogo)"))</f>
        <v/>
      </c>
      <c r="Y810" s="3">
        <f>IF($G810="","",IFERROR(INDEX('CAT_PUESTOS'!$B$4:$B$8,MATCH($G810,'CAT_PUESTOS'!$A$4:$A$8,0)),"(sin catálogo)"))</f>
        <v/>
      </c>
      <c r="Z810" s="3">
        <f>IF($H810="","",IFERROR(INDEX('CAT_ACTIVIDADES'!$B$4:$B$8,MATCH($H810,'CAT_ACTIVIDADES'!$A$4:$A$8,0)),"(sin catálogo)"))</f>
        <v/>
      </c>
      <c r="AA810" s="12">
        <f>IF($J810="","",TODAY()-$J810)</f>
        <v/>
      </c>
      <c r="AB810" s="12">
        <f>IF($J810="","",IF($J810&lt;=TODAY(),COUNTIFS(cal_fechas,"&gt;="&amp;$J810,cal_fechas,"&lt;"&amp;TODAY(),cal_habil,"sí"),-COUNTIFS(cal_fechas,"&gt;="&amp;TODAY(),cal_fechas,"&lt;"&amp;$J810,cal_habil,"sí")))</f>
        <v/>
      </c>
      <c r="AC810" s="3">
        <f>IF($AB810="","",IF($AB810&lt;0,"FUTURO",IF($AB810&gt;p_dias_backlog_max,"BACKLOG","MES CORRIENTE")))</f>
        <v/>
      </c>
      <c r="AD810" s="3">
        <f>IF($AB810="",FALSE,AND($AB810&gt;p_dias_backlog_min,$AB810&lt;=p_dias_backlog_max))</f>
        <v/>
      </c>
      <c r="AE810" s="6" t="n"/>
      <c r="AF810" s="3">
        <f>IF($AE810="","",IF((IFERROR(INDEX('ASIGNACIONES'!$F$4:$F$339,MATCH($O810&amp;"|"&amp;$R810&amp;"|"&amp;$AE810,'ASIGNACIONES'!$J$4:$J$339,0)),""))=0,"",IFERROR(INDEX('ASIGNACIONES'!$F$4:$F$339,MATCH($O810&amp;"|"&amp;$R810&amp;"|"&amp;$AE810,'ASIGNACIONES'!$J$4:$J$339,0)),"")))</f>
        <v/>
      </c>
      <c r="AG810" s="13">
        <f>IF($AE810="","",SUMIFS('ORDENES'!$M$4:$M$1203,'ORDENES'!$AE$4:$AE$1203,$AE810,'ORDENES'!$O$4:$O$1203,$O810,'ORDENES'!$R$4:$R$1203,$R810))</f>
        <v/>
      </c>
      <c r="AH810" s="13">
        <f>IF($AG810="","",p_factor_productividad*IFERROR(INDEX('ASIGNACIONES'!$I$4:$I$339,MATCH($O810&amp;"|"&amp;$R810&amp;"|"&amp;$AE810,'ASIGNACIONES'!$J$4:$J$339,0)),0)-$AG810)</f>
        <v/>
      </c>
      <c r="AI810" s="10">
        <f>IF($A810="","",IFERROR(INDEX('2_IMPORTAR_EJECUCION'!$F$9:$F$1208,MATCH($AQ810,'2_IMPORTAR_EJECUCION'!$J$9:$J$1208,0)),0))</f>
        <v/>
      </c>
      <c r="AJ810" s="10">
        <f>IF($A810="","",MAX(0,IFERROR(INDEX('2_IMPORTAR_EJECUCION'!$H$9:$H$1208,MATCH($AQ810,'2_IMPORTAR_EJECUCION'!$J$9:$J$1208,0)),0)-$AI810))</f>
        <v/>
      </c>
      <c r="AK810" s="10">
        <f>IF($A810="","",$AI810+$AJ810)</f>
        <v/>
      </c>
      <c r="AL810" s="6" t="n"/>
      <c r="AM810" s="6" t="n"/>
      <c r="AN810" s="6" t="n"/>
      <c r="AO810" s="3">
        <f>IF($AN810="","",HYPERLINK(p_ruta_base_checklists&amp;$AN810,"abrir"))</f>
        <v/>
      </c>
      <c r="AP810" s="6" t="n"/>
      <c r="AQ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IF($A811="","",IFERROR(INDEX('AJUSTES'!$B$4:$B$303,MATCH($AQ811,'AJUSTES'!$A$4:$A$303,0)),IF($K811="","",$K811)))</f>
        <v/>
      </c>
      <c r="N811" s="3">
        <f>IF($A811="","",IFERROR(INDEX('CAT_ESTADOS_ERP'!$B$4:$B$7,MATCH(IFERROR(INDEX('2_IMPORTAR_EJECUCION'!$C$9:$C$1208,MATCH($AQ811,'2_IMPORTAR_EJECUCION'!$J$9:$J$1208,0)),""),'CAT_ESTADOS_ERP'!$A$4:$A$7,0)),"Pendiente"))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J811="","",IFERROR(INDEX('CALENDARIO'!$C$15:$C$214,MATCH(TEXT($J811,"yyyy-mm-dd")&amp;"|"&amp;$V811&amp;"|"&amp;$W811,'CALENDARIO'!$G$15:$G$214,0)),IFERROR(INDEX('CALENDARIO'!$C$15:$C$214,MATCH(TEXT($J811,"yyyy-mm-dd")&amp;"|"&amp;$V811&amp;"|",'CALENDARIO'!$G$15:$G$214,0)),IFERROR(INDEX('CALENDARIO'!$C$15:$C$214,MATCH(TEXT($J811,"yyyy-mm-dd")&amp;"||",'CALENDARIO'!$G$15:$G$214,0)),INDEX(patronHabil,WEEKDAY($J811,2))))))</f>
        <v/>
      </c>
      <c r="T811" s="3">
        <f>IF($I811="","",IFERROR(INDEX('CAT_TIPOS_OT'!$C$4:$C$7,MATCH($I811,'CAT_TIPOS_OT'!$A$4:$A$7,0)),"sin_clasificar"))</f>
        <v/>
      </c>
      <c r="U811" s="3">
        <f>IF($F811="","",IFERROR(INDEX('CAT_CENTROS_COSTO'!$F$4:$F$13,MATCH($F811,'CAT_CENTROS_COSTO'!$A$4:$A$13,0)),"(sin catálogo)"))</f>
        <v/>
      </c>
      <c r="V811" s="3">
        <f>IF($F811="","",IFERROR(INDEX('CAT_CENTROS_COSTO'!$D$4:$D$13,MATCH($F811,'CAT_CENTROS_COSTO'!$A$4:$A$13,0)),"(sin catálogo)"))</f>
        <v/>
      </c>
      <c r="W811" s="3">
        <f>IF($F811="","",IF((IFERROR(INDEX('CAT_CENTROS_COSTO'!$E$4:$E$13,MATCH($F811,'CAT_CENTROS_COSTO'!$A$4:$A$13,0)),""))&lt;&gt;"",IFERROR(INDEX('CAT_CENTROS_COSTO'!$E$4:$E$13,MATCH($F811,'CAT_CENTROS_COSTO'!$A$4:$A$13,0)),""),$V811))</f>
        <v/>
      </c>
      <c r="X811" s="3">
        <f>IF($F811="","",IFERROR(INDEX('CAT_CENTROS_COSTO'!$G$4:$G$13,MATCH($F811,'CAT_CENTROS_COSTO'!$A$4:$A$13,0)),"(sin catálogo)"))</f>
        <v/>
      </c>
      <c r="Y811" s="3">
        <f>IF($G811="","",IFERROR(INDEX('CAT_PUESTOS'!$B$4:$B$8,MATCH($G811,'CAT_PUESTOS'!$A$4:$A$8,0)),"(sin catálogo)"))</f>
        <v/>
      </c>
      <c r="Z811" s="3">
        <f>IF($H811="","",IFERROR(INDEX('CAT_ACTIVIDADES'!$B$4:$B$8,MATCH($H811,'CAT_ACTIVIDADES'!$A$4:$A$8,0)),"(sin catálogo)"))</f>
        <v/>
      </c>
      <c r="AA811" s="12">
        <f>IF($J811="","",TODAY()-$J811)</f>
        <v/>
      </c>
      <c r="AB811" s="12">
        <f>IF($J811="","",IF($J811&lt;=TODAY(),COUNTIFS(cal_fechas,"&gt;="&amp;$J811,cal_fechas,"&lt;"&amp;TODAY(),cal_habil,"sí"),-COUNTIFS(cal_fechas,"&gt;="&amp;TODAY(),cal_fechas,"&lt;"&amp;$J811,cal_habil,"sí")))</f>
        <v/>
      </c>
      <c r="AC811" s="3">
        <f>IF($AB811="","",IF($AB811&lt;0,"FUTURO",IF($AB811&gt;p_dias_backlog_max,"BACKLOG","MES CORRIENTE")))</f>
        <v/>
      </c>
      <c r="AD811" s="3">
        <f>IF($AB811="",FALSE,AND($AB811&gt;p_dias_backlog_min,$AB811&lt;=p_dias_backlog_max))</f>
        <v/>
      </c>
      <c r="AE811" s="6" t="n"/>
      <c r="AF811" s="3">
        <f>IF($AE811="","",IF((IFERROR(INDEX('ASIGNACIONES'!$F$4:$F$339,MATCH($O811&amp;"|"&amp;$R811&amp;"|"&amp;$AE811,'ASIGNACIONES'!$J$4:$J$339,0)),""))=0,"",IFERROR(INDEX('ASIGNACIONES'!$F$4:$F$339,MATCH($O811&amp;"|"&amp;$R811&amp;"|"&amp;$AE811,'ASIGNACIONES'!$J$4:$J$339,0)),"")))</f>
        <v/>
      </c>
      <c r="AG811" s="13">
        <f>IF($AE811="","",SUMIFS('ORDENES'!$M$4:$M$1203,'ORDENES'!$AE$4:$AE$1203,$AE811,'ORDENES'!$O$4:$O$1203,$O811,'ORDENES'!$R$4:$R$1203,$R811))</f>
        <v/>
      </c>
      <c r="AH811" s="13">
        <f>IF($AG811="","",p_factor_productividad*IFERROR(INDEX('ASIGNACIONES'!$I$4:$I$339,MATCH($O811&amp;"|"&amp;$R811&amp;"|"&amp;$AE811,'ASIGNACIONES'!$J$4:$J$339,0)),0)-$AG811)</f>
        <v/>
      </c>
      <c r="AI811" s="10">
        <f>IF($A811="","",IFERROR(INDEX('2_IMPORTAR_EJECUCION'!$F$9:$F$1208,MATCH($AQ811,'2_IMPORTAR_EJECUCION'!$J$9:$J$1208,0)),0))</f>
        <v/>
      </c>
      <c r="AJ811" s="10">
        <f>IF($A811="","",MAX(0,IFERROR(INDEX('2_IMPORTAR_EJECUCION'!$H$9:$H$1208,MATCH($AQ811,'2_IMPORTAR_EJECUCION'!$J$9:$J$1208,0)),0)-$AI811))</f>
        <v/>
      </c>
      <c r="AK811" s="10">
        <f>IF($A811="","",$AI811+$AJ811)</f>
        <v/>
      </c>
      <c r="AL811" s="6" t="n"/>
      <c r="AM811" s="6" t="n"/>
      <c r="AN811" s="6" t="n"/>
      <c r="AO811" s="3">
        <f>IF($AN811="","",HYPERLINK(p_ruta_base_checklists&amp;$AN811,"abrir"))</f>
        <v/>
      </c>
      <c r="AP811" s="6" t="n"/>
      <c r="AQ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IF($A812="","",IFERROR(INDEX('AJUSTES'!$B$4:$B$303,MATCH($AQ812,'AJUSTES'!$A$4:$A$303,0)),IF($K812="","",$K812)))</f>
        <v/>
      </c>
      <c r="N812" s="3">
        <f>IF($A812="","",IFERROR(INDEX('CAT_ESTADOS_ERP'!$B$4:$B$7,MATCH(IFERROR(INDEX('2_IMPORTAR_EJECUCION'!$C$9:$C$1208,MATCH($AQ812,'2_IMPORTAR_EJECUCION'!$J$9:$J$1208,0)),""),'CAT_ESTADOS_ERP'!$A$4:$A$7,0)),"Pendiente"))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J812="","",IFERROR(INDEX('CALENDARIO'!$C$15:$C$214,MATCH(TEXT($J812,"yyyy-mm-dd")&amp;"|"&amp;$V812&amp;"|"&amp;$W812,'CALENDARIO'!$G$15:$G$214,0)),IFERROR(INDEX('CALENDARIO'!$C$15:$C$214,MATCH(TEXT($J812,"yyyy-mm-dd")&amp;"|"&amp;$V812&amp;"|",'CALENDARIO'!$G$15:$G$214,0)),IFERROR(INDEX('CALENDARIO'!$C$15:$C$214,MATCH(TEXT($J812,"yyyy-mm-dd")&amp;"||",'CALENDARIO'!$G$15:$G$214,0)),INDEX(patronHabil,WEEKDAY($J812,2))))))</f>
        <v/>
      </c>
      <c r="T812" s="3">
        <f>IF($I812="","",IFERROR(INDEX('CAT_TIPOS_OT'!$C$4:$C$7,MATCH($I812,'CAT_TIPOS_OT'!$A$4:$A$7,0)),"sin_clasificar"))</f>
        <v/>
      </c>
      <c r="U812" s="3">
        <f>IF($F812="","",IFERROR(INDEX('CAT_CENTROS_COSTO'!$F$4:$F$13,MATCH($F812,'CAT_CENTROS_COSTO'!$A$4:$A$13,0)),"(sin catálogo)"))</f>
        <v/>
      </c>
      <c r="V812" s="3">
        <f>IF($F812="","",IFERROR(INDEX('CAT_CENTROS_COSTO'!$D$4:$D$13,MATCH($F812,'CAT_CENTROS_COSTO'!$A$4:$A$13,0)),"(sin catálogo)"))</f>
        <v/>
      </c>
      <c r="W812" s="3">
        <f>IF($F812="","",IF((IFERROR(INDEX('CAT_CENTROS_COSTO'!$E$4:$E$13,MATCH($F812,'CAT_CENTROS_COSTO'!$A$4:$A$13,0)),""))&lt;&gt;"",IFERROR(INDEX('CAT_CENTROS_COSTO'!$E$4:$E$13,MATCH($F812,'CAT_CENTROS_COSTO'!$A$4:$A$13,0)),""),$V812))</f>
        <v/>
      </c>
      <c r="X812" s="3">
        <f>IF($F812="","",IFERROR(INDEX('CAT_CENTROS_COSTO'!$G$4:$G$13,MATCH($F812,'CAT_CENTROS_COSTO'!$A$4:$A$13,0)),"(sin catálogo)"))</f>
        <v/>
      </c>
      <c r="Y812" s="3">
        <f>IF($G812="","",IFERROR(INDEX('CAT_PUESTOS'!$B$4:$B$8,MATCH($G812,'CAT_PUESTOS'!$A$4:$A$8,0)),"(sin catálogo)"))</f>
        <v/>
      </c>
      <c r="Z812" s="3">
        <f>IF($H812="","",IFERROR(INDEX('CAT_ACTIVIDADES'!$B$4:$B$8,MATCH($H812,'CAT_ACTIVIDADES'!$A$4:$A$8,0)),"(sin catálogo)"))</f>
        <v/>
      </c>
      <c r="AA812" s="12">
        <f>IF($J812="","",TODAY()-$J812)</f>
        <v/>
      </c>
      <c r="AB812" s="12">
        <f>IF($J812="","",IF($J812&lt;=TODAY(),COUNTIFS(cal_fechas,"&gt;="&amp;$J812,cal_fechas,"&lt;"&amp;TODAY(),cal_habil,"sí"),-COUNTIFS(cal_fechas,"&gt;="&amp;TODAY(),cal_fechas,"&lt;"&amp;$J812,cal_habil,"sí")))</f>
        <v/>
      </c>
      <c r="AC812" s="3">
        <f>IF($AB812="","",IF($AB812&lt;0,"FUTURO",IF($AB812&gt;p_dias_backlog_max,"BACKLOG","MES CORRIENTE")))</f>
        <v/>
      </c>
      <c r="AD812" s="3">
        <f>IF($AB812="",FALSE,AND($AB812&gt;p_dias_backlog_min,$AB812&lt;=p_dias_backlog_max))</f>
        <v/>
      </c>
      <c r="AE812" s="6" t="n"/>
      <c r="AF812" s="3">
        <f>IF($AE812="","",IF((IFERROR(INDEX('ASIGNACIONES'!$F$4:$F$339,MATCH($O812&amp;"|"&amp;$R812&amp;"|"&amp;$AE812,'ASIGNACIONES'!$J$4:$J$339,0)),""))=0,"",IFERROR(INDEX('ASIGNACIONES'!$F$4:$F$339,MATCH($O812&amp;"|"&amp;$R812&amp;"|"&amp;$AE812,'ASIGNACIONES'!$J$4:$J$339,0)),"")))</f>
        <v/>
      </c>
      <c r="AG812" s="13">
        <f>IF($AE812="","",SUMIFS('ORDENES'!$M$4:$M$1203,'ORDENES'!$AE$4:$AE$1203,$AE812,'ORDENES'!$O$4:$O$1203,$O812,'ORDENES'!$R$4:$R$1203,$R812))</f>
        <v/>
      </c>
      <c r="AH812" s="13">
        <f>IF($AG812="","",p_factor_productividad*IFERROR(INDEX('ASIGNACIONES'!$I$4:$I$339,MATCH($O812&amp;"|"&amp;$R812&amp;"|"&amp;$AE812,'ASIGNACIONES'!$J$4:$J$339,0)),0)-$AG812)</f>
        <v/>
      </c>
      <c r="AI812" s="10">
        <f>IF($A812="","",IFERROR(INDEX('2_IMPORTAR_EJECUCION'!$F$9:$F$1208,MATCH($AQ812,'2_IMPORTAR_EJECUCION'!$J$9:$J$1208,0)),0))</f>
        <v/>
      </c>
      <c r="AJ812" s="10">
        <f>IF($A812="","",MAX(0,IFERROR(INDEX('2_IMPORTAR_EJECUCION'!$H$9:$H$1208,MATCH($AQ812,'2_IMPORTAR_EJECUCION'!$J$9:$J$1208,0)),0)-$AI812))</f>
        <v/>
      </c>
      <c r="AK812" s="10">
        <f>IF($A812="","",$AI812+$AJ812)</f>
        <v/>
      </c>
      <c r="AL812" s="6" t="n"/>
      <c r="AM812" s="6" t="n"/>
      <c r="AN812" s="6" t="n"/>
      <c r="AO812" s="3">
        <f>IF($AN812="","",HYPERLINK(p_ruta_base_checklists&amp;$AN812,"abrir"))</f>
        <v/>
      </c>
      <c r="AP812" s="6" t="n"/>
      <c r="AQ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IF($A813="","",IFERROR(INDEX('AJUSTES'!$B$4:$B$303,MATCH($AQ813,'AJUSTES'!$A$4:$A$303,0)),IF($K813="","",$K813)))</f>
        <v/>
      </c>
      <c r="N813" s="3">
        <f>IF($A813="","",IFERROR(INDEX('CAT_ESTADOS_ERP'!$B$4:$B$7,MATCH(IFERROR(INDEX('2_IMPORTAR_EJECUCION'!$C$9:$C$1208,MATCH($AQ813,'2_IMPORTAR_EJECUCION'!$J$9:$J$1208,0)),""),'CAT_ESTADOS_ERP'!$A$4:$A$7,0)),"Pendiente"))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J813="","",IFERROR(INDEX('CALENDARIO'!$C$15:$C$214,MATCH(TEXT($J813,"yyyy-mm-dd")&amp;"|"&amp;$V813&amp;"|"&amp;$W813,'CALENDARIO'!$G$15:$G$214,0)),IFERROR(INDEX('CALENDARIO'!$C$15:$C$214,MATCH(TEXT($J813,"yyyy-mm-dd")&amp;"|"&amp;$V813&amp;"|",'CALENDARIO'!$G$15:$G$214,0)),IFERROR(INDEX('CALENDARIO'!$C$15:$C$214,MATCH(TEXT($J813,"yyyy-mm-dd")&amp;"||",'CALENDARIO'!$G$15:$G$214,0)),INDEX(patronHabil,WEEKDAY($J813,2))))))</f>
        <v/>
      </c>
      <c r="T813" s="3">
        <f>IF($I813="","",IFERROR(INDEX('CAT_TIPOS_OT'!$C$4:$C$7,MATCH($I813,'CAT_TIPOS_OT'!$A$4:$A$7,0)),"sin_clasificar"))</f>
        <v/>
      </c>
      <c r="U813" s="3">
        <f>IF($F813="","",IFERROR(INDEX('CAT_CENTROS_COSTO'!$F$4:$F$13,MATCH($F813,'CAT_CENTROS_COSTO'!$A$4:$A$13,0)),"(sin catálogo)"))</f>
        <v/>
      </c>
      <c r="V813" s="3">
        <f>IF($F813="","",IFERROR(INDEX('CAT_CENTROS_COSTO'!$D$4:$D$13,MATCH($F813,'CAT_CENTROS_COSTO'!$A$4:$A$13,0)),"(sin catálogo)"))</f>
        <v/>
      </c>
      <c r="W813" s="3">
        <f>IF($F813="","",IF((IFERROR(INDEX('CAT_CENTROS_COSTO'!$E$4:$E$13,MATCH($F813,'CAT_CENTROS_COSTO'!$A$4:$A$13,0)),""))&lt;&gt;"",IFERROR(INDEX('CAT_CENTROS_COSTO'!$E$4:$E$13,MATCH($F813,'CAT_CENTROS_COSTO'!$A$4:$A$13,0)),""),$V813))</f>
        <v/>
      </c>
      <c r="X813" s="3">
        <f>IF($F813="","",IFERROR(INDEX('CAT_CENTROS_COSTO'!$G$4:$G$13,MATCH($F813,'CAT_CENTROS_COSTO'!$A$4:$A$13,0)),"(sin catálogo)"))</f>
        <v/>
      </c>
      <c r="Y813" s="3">
        <f>IF($G813="","",IFERROR(INDEX('CAT_PUESTOS'!$B$4:$B$8,MATCH($G813,'CAT_PUESTOS'!$A$4:$A$8,0)),"(sin catálogo)"))</f>
        <v/>
      </c>
      <c r="Z813" s="3">
        <f>IF($H813="","",IFERROR(INDEX('CAT_ACTIVIDADES'!$B$4:$B$8,MATCH($H813,'CAT_ACTIVIDADES'!$A$4:$A$8,0)),"(sin catálogo)"))</f>
        <v/>
      </c>
      <c r="AA813" s="12">
        <f>IF($J813="","",TODAY()-$J813)</f>
        <v/>
      </c>
      <c r="AB813" s="12">
        <f>IF($J813="","",IF($J813&lt;=TODAY(),COUNTIFS(cal_fechas,"&gt;="&amp;$J813,cal_fechas,"&lt;"&amp;TODAY(),cal_habil,"sí"),-COUNTIFS(cal_fechas,"&gt;="&amp;TODAY(),cal_fechas,"&lt;"&amp;$J813,cal_habil,"sí")))</f>
        <v/>
      </c>
      <c r="AC813" s="3">
        <f>IF($AB813="","",IF($AB813&lt;0,"FUTURO",IF($AB813&gt;p_dias_backlog_max,"BACKLOG","MES CORRIENTE")))</f>
        <v/>
      </c>
      <c r="AD813" s="3">
        <f>IF($AB813="",FALSE,AND($AB813&gt;p_dias_backlog_min,$AB813&lt;=p_dias_backlog_max))</f>
        <v/>
      </c>
      <c r="AE813" s="6" t="n"/>
      <c r="AF813" s="3">
        <f>IF($AE813="","",IF((IFERROR(INDEX('ASIGNACIONES'!$F$4:$F$339,MATCH($O813&amp;"|"&amp;$R813&amp;"|"&amp;$AE813,'ASIGNACIONES'!$J$4:$J$339,0)),""))=0,"",IFERROR(INDEX('ASIGNACIONES'!$F$4:$F$339,MATCH($O813&amp;"|"&amp;$R813&amp;"|"&amp;$AE813,'ASIGNACIONES'!$J$4:$J$339,0)),"")))</f>
        <v/>
      </c>
      <c r="AG813" s="13">
        <f>IF($AE813="","",SUMIFS('ORDENES'!$M$4:$M$1203,'ORDENES'!$AE$4:$AE$1203,$AE813,'ORDENES'!$O$4:$O$1203,$O813,'ORDENES'!$R$4:$R$1203,$R813))</f>
        <v/>
      </c>
      <c r="AH813" s="13">
        <f>IF($AG813="","",p_factor_productividad*IFERROR(INDEX('ASIGNACIONES'!$I$4:$I$339,MATCH($O813&amp;"|"&amp;$R813&amp;"|"&amp;$AE813,'ASIGNACIONES'!$J$4:$J$339,0)),0)-$AG813)</f>
        <v/>
      </c>
      <c r="AI813" s="10">
        <f>IF($A813="","",IFERROR(INDEX('2_IMPORTAR_EJECUCION'!$F$9:$F$1208,MATCH($AQ813,'2_IMPORTAR_EJECUCION'!$J$9:$J$1208,0)),0))</f>
        <v/>
      </c>
      <c r="AJ813" s="10">
        <f>IF($A813="","",MAX(0,IFERROR(INDEX('2_IMPORTAR_EJECUCION'!$H$9:$H$1208,MATCH($AQ813,'2_IMPORTAR_EJECUCION'!$J$9:$J$1208,0)),0)-$AI813))</f>
        <v/>
      </c>
      <c r="AK813" s="10">
        <f>IF($A813="","",$AI813+$AJ813)</f>
        <v/>
      </c>
      <c r="AL813" s="6" t="n"/>
      <c r="AM813" s="6" t="n"/>
      <c r="AN813" s="6" t="n"/>
      <c r="AO813" s="3">
        <f>IF($AN813="","",HYPERLINK(p_ruta_base_checklists&amp;$AN813,"abrir"))</f>
        <v/>
      </c>
      <c r="AP813" s="6" t="n"/>
      <c r="AQ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IF($A814="","",IFERROR(INDEX('AJUSTES'!$B$4:$B$303,MATCH($AQ814,'AJUSTES'!$A$4:$A$303,0)),IF($K814="","",$K814)))</f>
        <v/>
      </c>
      <c r="N814" s="3">
        <f>IF($A814="","",IFERROR(INDEX('CAT_ESTADOS_ERP'!$B$4:$B$7,MATCH(IFERROR(INDEX('2_IMPORTAR_EJECUCION'!$C$9:$C$1208,MATCH($AQ814,'2_IMPORTAR_EJECUCION'!$J$9:$J$1208,0)),""),'CAT_ESTADOS_ERP'!$A$4:$A$7,0)),"Pendiente"))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J814="","",IFERROR(INDEX('CALENDARIO'!$C$15:$C$214,MATCH(TEXT($J814,"yyyy-mm-dd")&amp;"|"&amp;$V814&amp;"|"&amp;$W814,'CALENDARIO'!$G$15:$G$214,0)),IFERROR(INDEX('CALENDARIO'!$C$15:$C$214,MATCH(TEXT($J814,"yyyy-mm-dd")&amp;"|"&amp;$V814&amp;"|",'CALENDARIO'!$G$15:$G$214,0)),IFERROR(INDEX('CALENDARIO'!$C$15:$C$214,MATCH(TEXT($J814,"yyyy-mm-dd")&amp;"||",'CALENDARIO'!$G$15:$G$214,0)),INDEX(patronHabil,WEEKDAY($J814,2))))))</f>
        <v/>
      </c>
      <c r="T814" s="3">
        <f>IF($I814="","",IFERROR(INDEX('CAT_TIPOS_OT'!$C$4:$C$7,MATCH($I814,'CAT_TIPOS_OT'!$A$4:$A$7,0)),"sin_clasificar"))</f>
        <v/>
      </c>
      <c r="U814" s="3">
        <f>IF($F814="","",IFERROR(INDEX('CAT_CENTROS_COSTO'!$F$4:$F$13,MATCH($F814,'CAT_CENTROS_COSTO'!$A$4:$A$13,0)),"(sin catálogo)"))</f>
        <v/>
      </c>
      <c r="V814" s="3">
        <f>IF($F814="","",IFERROR(INDEX('CAT_CENTROS_COSTO'!$D$4:$D$13,MATCH($F814,'CAT_CENTROS_COSTO'!$A$4:$A$13,0)),"(sin catálogo)"))</f>
        <v/>
      </c>
      <c r="W814" s="3">
        <f>IF($F814="","",IF((IFERROR(INDEX('CAT_CENTROS_COSTO'!$E$4:$E$13,MATCH($F814,'CAT_CENTROS_COSTO'!$A$4:$A$13,0)),""))&lt;&gt;"",IFERROR(INDEX('CAT_CENTROS_COSTO'!$E$4:$E$13,MATCH($F814,'CAT_CENTROS_COSTO'!$A$4:$A$13,0)),""),$V814))</f>
        <v/>
      </c>
      <c r="X814" s="3">
        <f>IF($F814="","",IFERROR(INDEX('CAT_CENTROS_COSTO'!$G$4:$G$13,MATCH($F814,'CAT_CENTROS_COSTO'!$A$4:$A$13,0)),"(sin catálogo)"))</f>
        <v/>
      </c>
      <c r="Y814" s="3">
        <f>IF($G814="","",IFERROR(INDEX('CAT_PUESTOS'!$B$4:$B$8,MATCH($G814,'CAT_PUESTOS'!$A$4:$A$8,0)),"(sin catálogo)"))</f>
        <v/>
      </c>
      <c r="Z814" s="3">
        <f>IF($H814="","",IFERROR(INDEX('CAT_ACTIVIDADES'!$B$4:$B$8,MATCH($H814,'CAT_ACTIVIDADES'!$A$4:$A$8,0)),"(sin catálogo)"))</f>
        <v/>
      </c>
      <c r="AA814" s="12">
        <f>IF($J814="","",TODAY()-$J814)</f>
        <v/>
      </c>
      <c r="AB814" s="12">
        <f>IF($J814="","",IF($J814&lt;=TODAY(),COUNTIFS(cal_fechas,"&gt;="&amp;$J814,cal_fechas,"&lt;"&amp;TODAY(),cal_habil,"sí"),-COUNTIFS(cal_fechas,"&gt;="&amp;TODAY(),cal_fechas,"&lt;"&amp;$J814,cal_habil,"sí")))</f>
        <v/>
      </c>
      <c r="AC814" s="3">
        <f>IF($AB814="","",IF($AB814&lt;0,"FUTURO",IF($AB814&gt;p_dias_backlog_max,"BACKLOG","MES CORRIENTE")))</f>
        <v/>
      </c>
      <c r="AD814" s="3">
        <f>IF($AB814="",FALSE,AND($AB814&gt;p_dias_backlog_min,$AB814&lt;=p_dias_backlog_max))</f>
        <v/>
      </c>
      <c r="AE814" s="6" t="n"/>
      <c r="AF814" s="3">
        <f>IF($AE814="","",IF((IFERROR(INDEX('ASIGNACIONES'!$F$4:$F$339,MATCH($O814&amp;"|"&amp;$R814&amp;"|"&amp;$AE814,'ASIGNACIONES'!$J$4:$J$339,0)),""))=0,"",IFERROR(INDEX('ASIGNACIONES'!$F$4:$F$339,MATCH($O814&amp;"|"&amp;$R814&amp;"|"&amp;$AE814,'ASIGNACIONES'!$J$4:$J$339,0)),"")))</f>
        <v/>
      </c>
      <c r="AG814" s="13">
        <f>IF($AE814="","",SUMIFS('ORDENES'!$M$4:$M$1203,'ORDENES'!$AE$4:$AE$1203,$AE814,'ORDENES'!$O$4:$O$1203,$O814,'ORDENES'!$R$4:$R$1203,$R814))</f>
        <v/>
      </c>
      <c r="AH814" s="13">
        <f>IF($AG814="","",p_factor_productividad*IFERROR(INDEX('ASIGNACIONES'!$I$4:$I$339,MATCH($O814&amp;"|"&amp;$R814&amp;"|"&amp;$AE814,'ASIGNACIONES'!$J$4:$J$339,0)),0)-$AG814)</f>
        <v/>
      </c>
      <c r="AI814" s="10">
        <f>IF($A814="","",IFERROR(INDEX('2_IMPORTAR_EJECUCION'!$F$9:$F$1208,MATCH($AQ814,'2_IMPORTAR_EJECUCION'!$J$9:$J$1208,0)),0))</f>
        <v/>
      </c>
      <c r="AJ814" s="10">
        <f>IF($A814="","",MAX(0,IFERROR(INDEX('2_IMPORTAR_EJECUCION'!$H$9:$H$1208,MATCH($AQ814,'2_IMPORTAR_EJECUCION'!$J$9:$J$1208,0)),0)-$AI814))</f>
        <v/>
      </c>
      <c r="AK814" s="10">
        <f>IF($A814="","",$AI814+$AJ814)</f>
        <v/>
      </c>
      <c r="AL814" s="6" t="n"/>
      <c r="AM814" s="6" t="n"/>
      <c r="AN814" s="6" t="n"/>
      <c r="AO814" s="3">
        <f>IF($AN814="","",HYPERLINK(p_ruta_base_checklists&amp;$AN814,"abrir"))</f>
        <v/>
      </c>
      <c r="AP814" s="6" t="n"/>
      <c r="AQ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IF($A815="","",IFERROR(INDEX('AJUSTES'!$B$4:$B$303,MATCH($AQ815,'AJUSTES'!$A$4:$A$303,0)),IF($K815="","",$K815)))</f>
        <v/>
      </c>
      <c r="N815" s="3">
        <f>IF($A815="","",IFERROR(INDEX('CAT_ESTADOS_ERP'!$B$4:$B$7,MATCH(IFERROR(INDEX('2_IMPORTAR_EJECUCION'!$C$9:$C$1208,MATCH($AQ815,'2_IMPORTAR_EJECUCION'!$J$9:$J$1208,0)),""),'CAT_ESTADOS_ERP'!$A$4:$A$7,0)),"Pendiente"))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J815="","",IFERROR(INDEX('CALENDARIO'!$C$15:$C$214,MATCH(TEXT($J815,"yyyy-mm-dd")&amp;"|"&amp;$V815&amp;"|"&amp;$W815,'CALENDARIO'!$G$15:$G$214,0)),IFERROR(INDEX('CALENDARIO'!$C$15:$C$214,MATCH(TEXT($J815,"yyyy-mm-dd")&amp;"|"&amp;$V815&amp;"|",'CALENDARIO'!$G$15:$G$214,0)),IFERROR(INDEX('CALENDARIO'!$C$15:$C$214,MATCH(TEXT($J815,"yyyy-mm-dd")&amp;"||",'CALENDARIO'!$G$15:$G$214,0)),INDEX(patronHabil,WEEKDAY($J815,2))))))</f>
        <v/>
      </c>
      <c r="T815" s="3">
        <f>IF($I815="","",IFERROR(INDEX('CAT_TIPOS_OT'!$C$4:$C$7,MATCH($I815,'CAT_TIPOS_OT'!$A$4:$A$7,0)),"sin_clasificar"))</f>
        <v/>
      </c>
      <c r="U815" s="3">
        <f>IF($F815="","",IFERROR(INDEX('CAT_CENTROS_COSTO'!$F$4:$F$13,MATCH($F815,'CAT_CENTROS_COSTO'!$A$4:$A$13,0)),"(sin catálogo)"))</f>
        <v/>
      </c>
      <c r="V815" s="3">
        <f>IF($F815="","",IFERROR(INDEX('CAT_CENTROS_COSTO'!$D$4:$D$13,MATCH($F815,'CAT_CENTROS_COSTO'!$A$4:$A$13,0)),"(sin catálogo)"))</f>
        <v/>
      </c>
      <c r="W815" s="3">
        <f>IF($F815="","",IF((IFERROR(INDEX('CAT_CENTROS_COSTO'!$E$4:$E$13,MATCH($F815,'CAT_CENTROS_COSTO'!$A$4:$A$13,0)),""))&lt;&gt;"",IFERROR(INDEX('CAT_CENTROS_COSTO'!$E$4:$E$13,MATCH($F815,'CAT_CENTROS_COSTO'!$A$4:$A$13,0)),""),$V815))</f>
        <v/>
      </c>
      <c r="X815" s="3">
        <f>IF($F815="","",IFERROR(INDEX('CAT_CENTROS_COSTO'!$G$4:$G$13,MATCH($F815,'CAT_CENTROS_COSTO'!$A$4:$A$13,0)),"(sin catálogo)"))</f>
        <v/>
      </c>
      <c r="Y815" s="3">
        <f>IF($G815="","",IFERROR(INDEX('CAT_PUESTOS'!$B$4:$B$8,MATCH($G815,'CAT_PUESTOS'!$A$4:$A$8,0)),"(sin catálogo)"))</f>
        <v/>
      </c>
      <c r="Z815" s="3">
        <f>IF($H815="","",IFERROR(INDEX('CAT_ACTIVIDADES'!$B$4:$B$8,MATCH($H815,'CAT_ACTIVIDADES'!$A$4:$A$8,0)),"(sin catálogo)"))</f>
        <v/>
      </c>
      <c r="AA815" s="12">
        <f>IF($J815="","",TODAY()-$J815)</f>
        <v/>
      </c>
      <c r="AB815" s="12">
        <f>IF($J815="","",IF($J815&lt;=TODAY(),COUNTIFS(cal_fechas,"&gt;="&amp;$J815,cal_fechas,"&lt;"&amp;TODAY(),cal_habil,"sí"),-COUNTIFS(cal_fechas,"&gt;="&amp;TODAY(),cal_fechas,"&lt;"&amp;$J815,cal_habil,"sí")))</f>
        <v/>
      </c>
      <c r="AC815" s="3">
        <f>IF($AB815="","",IF($AB815&lt;0,"FUTURO",IF($AB815&gt;p_dias_backlog_max,"BACKLOG","MES CORRIENTE")))</f>
        <v/>
      </c>
      <c r="AD815" s="3">
        <f>IF($AB815="",FALSE,AND($AB815&gt;p_dias_backlog_min,$AB815&lt;=p_dias_backlog_max))</f>
        <v/>
      </c>
      <c r="AE815" s="6" t="n"/>
      <c r="AF815" s="3">
        <f>IF($AE815="","",IF((IFERROR(INDEX('ASIGNACIONES'!$F$4:$F$339,MATCH($O815&amp;"|"&amp;$R815&amp;"|"&amp;$AE815,'ASIGNACIONES'!$J$4:$J$339,0)),""))=0,"",IFERROR(INDEX('ASIGNACIONES'!$F$4:$F$339,MATCH($O815&amp;"|"&amp;$R815&amp;"|"&amp;$AE815,'ASIGNACIONES'!$J$4:$J$339,0)),"")))</f>
        <v/>
      </c>
      <c r="AG815" s="13">
        <f>IF($AE815="","",SUMIFS('ORDENES'!$M$4:$M$1203,'ORDENES'!$AE$4:$AE$1203,$AE815,'ORDENES'!$O$4:$O$1203,$O815,'ORDENES'!$R$4:$R$1203,$R815))</f>
        <v/>
      </c>
      <c r="AH815" s="13">
        <f>IF($AG815="","",p_factor_productividad*IFERROR(INDEX('ASIGNACIONES'!$I$4:$I$339,MATCH($O815&amp;"|"&amp;$R815&amp;"|"&amp;$AE815,'ASIGNACIONES'!$J$4:$J$339,0)),0)-$AG815)</f>
        <v/>
      </c>
      <c r="AI815" s="10">
        <f>IF($A815="","",IFERROR(INDEX('2_IMPORTAR_EJECUCION'!$F$9:$F$1208,MATCH($AQ815,'2_IMPORTAR_EJECUCION'!$J$9:$J$1208,0)),0))</f>
        <v/>
      </c>
      <c r="AJ815" s="10">
        <f>IF($A815="","",MAX(0,IFERROR(INDEX('2_IMPORTAR_EJECUCION'!$H$9:$H$1208,MATCH($AQ815,'2_IMPORTAR_EJECUCION'!$J$9:$J$1208,0)),0)-$AI815))</f>
        <v/>
      </c>
      <c r="AK815" s="10">
        <f>IF($A815="","",$AI815+$AJ815)</f>
        <v/>
      </c>
      <c r="AL815" s="6" t="n"/>
      <c r="AM815" s="6" t="n"/>
      <c r="AN815" s="6" t="n"/>
      <c r="AO815" s="3">
        <f>IF($AN815="","",HYPERLINK(p_ruta_base_checklists&amp;$AN815,"abrir"))</f>
        <v/>
      </c>
      <c r="AP815" s="6" t="n"/>
      <c r="AQ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IF($A816="","",IFERROR(INDEX('AJUSTES'!$B$4:$B$303,MATCH($AQ816,'AJUSTES'!$A$4:$A$303,0)),IF($K816="","",$K816)))</f>
        <v/>
      </c>
      <c r="N816" s="3">
        <f>IF($A816="","",IFERROR(INDEX('CAT_ESTADOS_ERP'!$B$4:$B$7,MATCH(IFERROR(INDEX('2_IMPORTAR_EJECUCION'!$C$9:$C$1208,MATCH($AQ816,'2_IMPORTAR_EJECUCION'!$J$9:$J$1208,0)),""),'CAT_ESTADOS_ERP'!$A$4:$A$7,0)),"Pendiente"))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J816="","",IFERROR(INDEX('CALENDARIO'!$C$15:$C$214,MATCH(TEXT($J816,"yyyy-mm-dd")&amp;"|"&amp;$V816&amp;"|"&amp;$W816,'CALENDARIO'!$G$15:$G$214,0)),IFERROR(INDEX('CALENDARIO'!$C$15:$C$214,MATCH(TEXT($J816,"yyyy-mm-dd")&amp;"|"&amp;$V816&amp;"|",'CALENDARIO'!$G$15:$G$214,0)),IFERROR(INDEX('CALENDARIO'!$C$15:$C$214,MATCH(TEXT($J816,"yyyy-mm-dd")&amp;"||",'CALENDARIO'!$G$15:$G$214,0)),INDEX(patronHabil,WEEKDAY($J816,2))))))</f>
        <v/>
      </c>
      <c r="T816" s="3">
        <f>IF($I816="","",IFERROR(INDEX('CAT_TIPOS_OT'!$C$4:$C$7,MATCH($I816,'CAT_TIPOS_OT'!$A$4:$A$7,0)),"sin_clasificar"))</f>
        <v/>
      </c>
      <c r="U816" s="3">
        <f>IF($F816="","",IFERROR(INDEX('CAT_CENTROS_COSTO'!$F$4:$F$13,MATCH($F816,'CAT_CENTROS_COSTO'!$A$4:$A$13,0)),"(sin catálogo)"))</f>
        <v/>
      </c>
      <c r="V816" s="3">
        <f>IF($F816="","",IFERROR(INDEX('CAT_CENTROS_COSTO'!$D$4:$D$13,MATCH($F816,'CAT_CENTROS_COSTO'!$A$4:$A$13,0)),"(sin catálogo)"))</f>
        <v/>
      </c>
      <c r="W816" s="3">
        <f>IF($F816="","",IF((IFERROR(INDEX('CAT_CENTROS_COSTO'!$E$4:$E$13,MATCH($F816,'CAT_CENTROS_COSTO'!$A$4:$A$13,0)),""))&lt;&gt;"",IFERROR(INDEX('CAT_CENTROS_COSTO'!$E$4:$E$13,MATCH($F816,'CAT_CENTROS_COSTO'!$A$4:$A$13,0)),""),$V816))</f>
        <v/>
      </c>
      <c r="X816" s="3">
        <f>IF($F816="","",IFERROR(INDEX('CAT_CENTROS_COSTO'!$G$4:$G$13,MATCH($F816,'CAT_CENTROS_COSTO'!$A$4:$A$13,0)),"(sin catálogo)"))</f>
        <v/>
      </c>
      <c r="Y816" s="3">
        <f>IF($G816="","",IFERROR(INDEX('CAT_PUESTOS'!$B$4:$B$8,MATCH($G816,'CAT_PUESTOS'!$A$4:$A$8,0)),"(sin catálogo)"))</f>
        <v/>
      </c>
      <c r="Z816" s="3">
        <f>IF($H816="","",IFERROR(INDEX('CAT_ACTIVIDADES'!$B$4:$B$8,MATCH($H816,'CAT_ACTIVIDADES'!$A$4:$A$8,0)),"(sin catálogo)"))</f>
        <v/>
      </c>
      <c r="AA816" s="12">
        <f>IF($J816="","",TODAY()-$J816)</f>
        <v/>
      </c>
      <c r="AB816" s="12">
        <f>IF($J816="","",IF($J816&lt;=TODAY(),COUNTIFS(cal_fechas,"&gt;="&amp;$J816,cal_fechas,"&lt;"&amp;TODAY(),cal_habil,"sí"),-COUNTIFS(cal_fechas,"&gt;="&amp;TODAY(),cal_fechas,"&lt;"&amp;$J816,cal_habil,"sí")))</f>
        <v/>
      </c>
      <c r="AC816" s="3">
        <f>IF($AB816="","",IF($AB816&lt;0,"FUTURO",IF($AB816&gt;p_dias_backlog_max,"BACKLOG","MES CORRIENTE")))</f>
        <v/>
      </c>
      <c r="AD816" s="3">
        <f>IF($AB816="",FALSE,AND($AB816&gt;p_dias_backlog_min,$AB816&lt;=p_dias_backlog_max))</f>
        <v/>
      </c>
      <c r="AE816" s="6" t="n"/>
      <c r="AF816" s="3">
        <f>IF($AE816="","",IF((IFERROR(INDEX('ASIGNACIONES'!$F$4:$F$339,MATCH($O816&amp;"|"&amp;$R816&amp;"|"&amp;$AE816,'ASIGNACIONES'!$J$4:$J$339,0)),""))=0,"",IFERROR(INDEX('ASIGNACIONES'!$F$4:$F$339,MATCH($O816&amp;"|"&amp;$R816&amp;"|"&amp;$AE816,'ASIGNACIONES'!$J$4:$J$339,0)),"")))</f>
        <v/>
      </c>
      <c r="AG816" s="13">
        <f>IF($AE816="","",SUMIFS('ORDENES'!$M$4:$M$1203,'ORDENES'!$AE$4:$AE$1203,$AE816,'ORDENES'!$O$4:$O$1203,$O816,'ORDENES'!$R$4:$R$1203,$R816))</f>
        <v/>
      </c>
      <c r="AH816" s="13">
        <f>IF($AG816="","",p_factor_productividad*IFERROR(INDEX('ASIGNACIONES'!$I$4:$I$339,MATCH($O816&amp;"|"&amp;$R816&amp;"|"&amp;$AE816,'ASIGNACIONES'!$J$4:$J$339,0)),0)-$AG816)</f>
        <v/>
      </c>
      <c r="AI816" s="10">
        <f>IF($A816="","",IFERROR(INDEX('2_IMPORTAR_EJECUCION'!$F$9:$F$1208,MATCH($AQ816,'2_IMPORTAR_EJECUCION'!$J$9:$J$1208,0)),0))</f>
        <v/>
      </c>
      <c r="AJ816" s="10">
        <f>IF($A816="","",MAX(0,IFERROR(INDEX('2_IMPORTAR_EJECUCION'!$H$9:$H$1208,MATCH($AQ816,'2_IMPORTAR_EJECUCION'!$J$9:$J$1208,0)),0)-$AI816))</f>
        <v/>
      </c>
      <c r="AK816" s="10">
        <f>IF($A816="","",$AI816+$AJ816)</f>
        <v/>
      </c>
      <c r="AL816" s="6" t="n"/>
      <c r="AM816" s="6" t="n"/>
      <c r="AN816" s="6" t="n"/>
      <c r="AO816" s="3">
        <f>IF($AN816="","",HYPERLINK(p_ruta_base_checklists&amp;$AN816,"abrir"))</f>
        <v/>
      </c>
      <c r="AP816" s="6" t="n"/>
      <c r="AQ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IF($A817="","",IFERROR(INDEX('AJUSTES'!$B$4:$B$303,MATCH($AQ817,'AJUSTES'!$A$4:$A$303,0)),IF($K817="","",$K817)))</f>
        <v/>
      </c>
      <c r="N817" s="3">
        <f>IF($A817="","",IFERROR(INDEX('CAT_ESTADOS_ERP'!$B$4:$B$7,MATCH(IFERROR(INDEX('2_IMPORTAR_EJECUCION'!$C$9:$C$1208,MATCH($AQ817,'2_IMPORTAR_EJECUCION'!$J$9:$J$1208,0)),""),'CAT_ESTADOS_ERP'!$A$4:$A$7,0)),"Pendiente"))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J817="","",IFERROR(INDEX('CALENDARIO'!$C$15:$C$214,MATCH(TEXT($J817,"yyyy-mm-dd")&amp;"|"&amp;$V817&amp;"|"&amp;$W817,'CALENDARIO'!$G$15:$G$214,0)),IFERROR(INDEX('CALENDARIO'!$C$15:$C$214,MATCH(TEXT($J817,"yyyy-mm-dd")&amp;"|"&amp;$V817&amp;"|",'CALENDARIO'!$G$15:$G$214,0)),IFERROR(INDEX('CALENDARIO'!$C$15:$C$214,MATCH(TEXT($J817,"yyyy-mm-dd")&amp;"||",'CALENDARIO'!$G$15:$G$214,0)),INDEX(patronHabil,WEEKDAY($J817,2))))))</f>
        <v/>
      </c>
      <c r="T817" s="3">
        <f>IF($I817="","",IFERROR(INDEX('CAT_TIPOS_OT'!$C$4:$C$7,MATCH($I817,'CAT_TIPOS_OT'!$A$4:$A$7,0)),"sin_clasificar"))</f>
        <v/>
      </c>
      <c r="U817" s="3">
        <f>IF($F817="","",IFERROR(INDEX('CAT_CENTROS_COSTO'!$F$4:$F$13,MATCH($F817,'CAT_CENTROS_COSTO'!$A$4:$A$13,0)),"(sin catálogo)"))</f>
        <v/>
      </c>
      <c r="V817" s="3">
        <f>IF($F817="","",IFERROR(INDEX('CAT_CENTROS_COSTO'!$D$4:$D$13,MATCH($F817,'CAT_CENTROS_COSTO'!$A$4:$A$13,0)),"(sin catálogo)"))</f>
        <v/>
      </c>
      <c r="W817" s="3">
        <f>IF($F817="","",IF((IFERROR(INDEX('CAT_CENTROS_COSTO'!$E$4:$E$13,MATCH($F817,'CAT_CENTROS_COSTO'!$A$4:$A$13,0)),""))&lt;&gt;"",IFERROR(INDEX('CAT_CENTROS_COSTO'!$E$4:$E$13,MATCH($F817,'CAT_CENTROS_COSTO'!$A$4:$A$13,0)),""),$V817))</f>
        <v/>
      </c>
      <c r="X817" s="3">
        <f>IF($F817="","",IFERROR(INDEX('CAT_CENTROS_COSTO'!$G$4:$G$13,MATCH($F817,'CAT_CENTROS_COSTO'!$A$4:$A$13,0)),"(sin catálogo)"))</f>
        <v/>
      </c>
      <c r="Y817" s="3">
        <f>IF($G817="","",IFERROR(INDEX('CAT_PUESTOS'!$B$4:$B$8,MATCH($G817,'CAT_PUESTOS'!$A$4:$A$8,0)),"(sin catálogo)"))</f>
        <v/>
      </c>
      <c r="Z817" s="3">
        <f>IF($H817="","",IFERROR(INDEX('CAT_ACTIVIDADES'!$B$4:$B$8,MATCH($H817,'CAT_ACTIVIDADES'!$A$4:$A$8,0)),"(sin catálogo)"))</f>
        <v/>
      </c>
      <c r="AA817" s="12">
        <f>IF($J817="","",TODAY()-$J817)</f>
        <v/>
      </c>
      <c r="AB817" s="12">
        <f>IF($J817="","",IF($J817&lt;=TODAY(),COUNTIFS(cal_fechas,"&gt;="&amp;$J817,cal_fechas,"&lt;"&amp;TODAY(),cal_habil,"sí"),-COUNTIFS(cal_fechas,"&gt;="&amp;TODAY(),cal_fechas,"&lt;"&amp;$J817,cal_habil,"sí")))</f>
        <v/>
      </c>
      <c r="AC817" s="3">
        <f>IF($AB817="","",IF($AB817&lt;0,"FUTURO",IF($AB817&gt;p_dias_backlog_max,"BACKLOG","MES CORRIENTE")))</f>
        <v/>
      </c>
      <c r="AD817" s="3">
        <f>IF($AB817="",FALSE,AND($AB817&gt;p_dias_backlog_min,$AB817&lt;=p_dias_backlog_max))</f>
        <v/>
      </c>
      <c r="AE817" s="6" t="n"/>
      <c r="AF817" s="3">
        <f>IF($AE817="","",IF((IFERROR(INDEX('ASIGNACIONES'!$F$4:$F$339,MATCH($O817&amp;"|"&amp;$R817&amp;"|"&amp;$AE817,'ASIGNACIONES'!$J$4:$J$339,0)),""))=0,"",IFERROR(INDEX('ASIGNACIONES'!$F$4:$F$339,MATCH($O817&amp;"|"&amp;$R817&amp;"|"&amp;$AE817,'ASIGNACIONES'!$J$4:$J$339,0)),"")))</f>
        <v/>
      </c>
      <c r="AG817" s="13">
        <f>IF($AE817="","",SUMIFS('ORDENES'!$M$4:$M$1203,'ORDENES'!$AE$4:$AE$1203,$AE817,'ORDENES'!$O$4:$O$1203,$O817,'ORDENES'!$R$4:$R$1203,$R817))</f>
        <v/>
      </c>
      <c r="AH817" s="13">
        <f>IF($AG817="","",p_factor_productividad*IFERROR(INDEX('ASIGNACIONES'!$I$4:$I$339,MATCH($O817&amp;"|"&amp;$R817&amp;"|"&amp;$AE817,'ASIGNACIONES'!$J$4:$J$339,0)),0)-$AG817)</f>
        <v/>
      </c>
      <c r="AI817" s="10">
        <f>IF($A817="","",IFERROR(INDEX('2_IMPORTAR_EJECUCION'!$F$9:$F$1208,MATCH($AQ817,'2_IMPORTAR_EJECUCION'!$J$9:$J$1208,0)),0))</f>
        <v/>
      </c>
      <c r="AJ817" s="10">
        <f>IF($A817="","",MAX(0,IFERROR(INDEX('2_IMPORTAR_EJECUCION'!$H$9:$H$1208,MATCH($AQ817,'2_IMPORTAR_EJECUCION'!$J$9:$J$1208,0)),0)-$AI817))</f>
        <v/>
      </c>
      <c r="AK817" s="10">
        <f>IF($A817="","",$AI817+$AJ817)</f>
        <v/>
      </c>
      <c r="AL817" s="6" t="n"/>
      <c r="AM817" s="6" t="n"/>
      <c r="AN817" s="6" t="n"/>
      <c r="AO817" s="3">
        <f>IF($AN817="","",HYPERLINK(p_ruta_base_checklists&amp;$AN817,"abrir"))</f>
        <v/>
      </c>
      <c r="AP817" s="6" t="n"/>
      <c r="AQ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IF($A818="","",IFERROR(INDEX('AJUSTES'!$B$4:$B$303,MATCH($AQ818,'AJUSTES'!$A$4:$A$303,0)),IF($K818="","",$K818)))</f>
        <v/>
      </c>
      <c r="N818" s="3">
        <f>IF($A818="","",IFERROR(INDEX('CAT_ESTADOS_ERP'!$B$4:$B$7,MATCH(IFERROR(INDEX('2_IMPORTAR_EJECUCION'!$C$9:$C$1208,MATCH($AQ818,'2_IMPORTAR_EJECUCION'!$J$9:$J$1208,0)),""),'CAT_ESTADOS_ERP'!$A$4:$A$7,0)),"Pendiente"))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J818="","",IFERROR(INDEX('CALENDARIO'!$C$15:$C$214,MATCH(TEXT($J818,"yyyy-mm-dd")&amp;"|"&amp;$V818&amp;"|"&amp;$W818,'CALENDARIO'!$G$15:$G$214,0)),IFERROR(INDEX('CALENDARIO'!$C$15:$C$214,MATCH(TEXT($J818,"yyyy-mm-dd")&amp;"|"&amp;$V818&amp;"|",'CALENDARIO'!$G$15:$G$214,0)),IFERROR(INDEX('CALENDARIO'!$C$15:$C$214,MATCH(TEXT($J818,"yyyy-mm-dd")&amp;"||",'CALENDARIO'!$G$15:$G$214,0)),INDEX(patronHabil,WEEKDAY($J818,2))))))</f>
        <v/>
      </c>
      <c r="T818" s="3">
        <f>IF($I818="","",IFERROR(INDEX('CAT_TIPOS_OT'!$C$4:$C$7,MATCH($I818,'CAT_TIPOS_OT'!$A$4:$A$7,0)),"sin_clasificar"))</f>
        <v/>
      </c>
      <c r="U818" s="3">
        <f>IF($F818="","",IFERROR(INDEX('CAT_CENTROS_COSTO'!$F$4:$F$13,MATCH($F818,'CAT_CENTROS_COSTO'!$A$4:$A$13,0)),"(sin catálogo)"))</f>
        <v/>
      </c>
      <c r="V818" s="3">
        <f>IF($F818="","",IFERROR(INDEX('CAT_CENTROS_COSTO'!$D$4:$D$13,MATCH($F818,'CAT_CENTROS_COSTO'!$A$4:$A$13,0)),"(sin catálogo)"))</f>
        <v/>
      </c>
      <c r="W818" s="3">
        <f>IF($F818="","",IF((IFERROR(INDEX('CAT_CENTROS_COSTO'!$E$4:$E$13,MATCH($F818,'CAT_CENTROS_COSTO'!$A$4:$A$13,0)),""))&lt;&gt;"",IFERROR(INDEX('CAT_CENTROS_COSTO'!$E$4:$E$13,MATCH($F818,'CAT_CENTROS_COSTO'!$A$4:$A$13,0)),""),$V818))</f>
        <v/>
      </c>
      <c r="X818" s="3">
        <f>IF($F818="","",IFERROR(INDEX('CAT_CENTROS_COSTO'!$G$4:$G$13,MATCH($F818,'CAT_CENTROS_COSTO'!$A$4:$A$13,0)),"(sin catálogo)"))</f>
        <v/>
      </c>
      <c r="Y818" s="3">
        <f>IF($G818="","",IFERROR(INDEX('CAT_PUESTOS'!$B$4:$B$8,MATCH($G818,'CAT_PUESTOS'!$A$4:$A$8,0)),"(sin catálogo)"))</f>
        <v/>
      </c>
      <c r="Z818" s="3">
        <f>IF($H818="","",IFERROR(INDEX('CAT_ACTIVIDADES'!$B$4:$B$8,MATCH($H818,'CAT_ACTIVIDADES'!$A$4:$A$8,0)),"(sin catálogo)"))</f>
        <v/>
      </c>
      <c r="AA818" s="12">
        <f>IF($J818="","",TODAY()-$J818)</f>
        <v/>
      </c>
      <c r="AB818" s="12">
        <f>IF($J818="","",IF($J818&lt;=TODAY(),COUNTIFS(cal_fechas,"&gt;="&amp;$J818,cal_fechas,"&lt;"&amp;TODAY(),cal_habil,"sí"),-COUNTIFS(cal_fechas,"&gt;="&amp;TODAY(),cal_fechas,"&lt;"&amp;$J818,cal_habil,"sí")))</f>
        <v/>
      </c>
      <c r="AC818" s="3">
        <f>IF($AB818="","",IF($AB818&lt;0,"FUTURO",IF($AB818&gt;p_dias_backlog_max,"BACKLOG","MES CORRIENTE")))</f>
        <v/>
      </c>
      <c r="AD818" s="3">
        <f>IF($AB818="",FALSE,AND($AB818&gt;p_dias_backlog_min,$AB818&lt;=p_dias_backlog_max))</f>
        <v/>
      </c>
      <c r="AE818" s="6" t="n"/>
      <c r="AF818" s="3">
        <f>IF($AE818="","",IF((IFERROR(INDEX('ASIGNACIONES'!$F$4:$F$339,MATCH($O818&amp;"|"&amp;$R818&amp;"|"&amp;$AE818,'ASIGNACIONES'!$J$4:$J$339,0)),""))=0,"",IFERROR(INDEX('ASIGNACIONES'!$F$4:$F$339,MATCH($O818&amp;"|"&amp;$R818&amp;"|"&amp;$AE818,'ASIGNACIONES'!$J$4:$J$339,0)),"")))</f>
        <v/>
      </c>
      <c r="AG818" s="13">
        <f>IF($AE818="","",SUMIFS('ORDENES'!$M$4:$M$1203,'ORDENES'!$AE$4:$AE$1203,$AE818,'ORDENES'!$O$4:$O$1203,$O818,'ORDENES'!$R$4:$R$1203,$R818))</f>
        <v/>
      </c>
      <c r="AH818" s="13">
        <f>IF($AG818="","",p_factor_productividad*IFERROR(INDEX('ASIGNACIONES'!$I$4:$I$339,MATCH($O818&amp;"|"&amp;$R818&amp;"|"&amp;$AE818,'ASIGNACIONES'!$J$4:$J$339,0)),0)-$AG818)</f>
        <v/>
      </c>
      <c r="AI818" s="10">
        <f>IF($A818="","",IFERROR(INDEX('2_IMPORTAR_EJECUCION'!$F$9:$F$1208,MATCH($AQ818,'2_IMPORTAR_EJECUCION'!$J$9:$J$1208,0)),0))</f>
        <v/>
      </c>
      <c r="AJ818" s="10">
        <f>IF($A818="","",MAX(0,IFERROR(INDEX('2_IMPORTAR_EJECUCION'!$H$9:$H$1208,MATCH($AQ818,'2_IMPORTAR_EJECUCION'!$J$9:$J$1208,0)),0)-$AI818))</f>
        <v/>
      </c>
      <c r="AK818" s="10">
        <f>IF($A818="","",$AI818+$AJ818)</f>
        <v/>
      </c>
      <c r="AL818" s="6" t="n"/>
      <c r="AM818" s="6" t="n"/>
      <c r="AN818" s="6" t="n"/>
      <c r="AO818" s="3">
        <f>IF($AN818="","",HYPERLINK(p_ruta_base_checklists&amp;$AN818,"abrir"))</f>
        <v/>
      </c>
      <c r="AP818" s="6" t="n"/>
      <c r="AQ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IF($A819="","",IFERROR(INDEX('AJUSTES'!$B$4:$B$303,MATCH($AQ819,'AJUSTES'!$A$4:$A$303,0)),IF($K819="","",$K819)))</f>
        <v/>
      </c>
      <c r="N819" s="3">
        <f>IF($A819="","",IFERROR(INDEX('CAT_ESTADOS_ERP'!$B$4:$B$7,MATCH(IFERROR(INDEX('2_IMPORTAR_EJECUCION'!$C$9:$C$1208,MATCH($AQ819,'2_IMPORTAR_EJECUCION'!$J$9:$J$1208,0)),""),'CAT_ESTADOS_ERP'!$A$4:$A$7,0)),"Pendiente"))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J819="","",IFERROR(INDEX('CALENDARIO'!$C$15:$C$214,MATCH(TEXT($J819,"yyyy-mm-dd")&amp;"|"&amp;$V819&amp;"|"&amp;$W819,'CALENDARIO'!$G$15:$G$214,0)),IFERROR(INDEX('CALENDARIO'!$C$15:$C$214,MATCH(TEXT($J819,"yyyy-mm-dd")&amp;"|"&amp;$V819&amp;"|",'CALENDARIO'!$G$15:$G$214,0)),IFERROR(INDEX('CALENDARIO'!$C$15:$C$214,MATCH(TEXT($J819,"yyyy-mm-dd")&amp;"||",'CALENDARIO'!$G$15:$G$214,0)),INDEX(patronHabil,WEEKDAY($J819,2))))))</f>
        <v/>
      </c>
      <c r="T819" s="3">
        <f>IF($I819="","",IFERROR(INDEX('CAT_TIPOS_OT'!$C$4:$C$7,MATCH($I819,'CAT_TIPOS_OT'!$A$4:$A$7,0)),"sin_clasificar"))</f>
        <v/>
      </c>
      <c r="U819" s="3">
        <f>IF($F819="","",IFERROR(INDEX('CAT_CENTROS_COSTO'!$F$4:$F$13,MATCH($F819,'CAT_CENTROS_COSTO'!$A$4:$A$13,0)),"(sin catálogo)"))</f>
        <v/>
      </c>
      <c r="V819" s="3">
        <f>IF($F819="","",IFERROR(INDEX('CAT_CENTROS_COSTO'!$D$4:$D$13,MATCH($F819,'CAT_CENTROS_COSTO'!$A$4:$A$13,0)),"(sin catálogo)"))</f>
        <v/>
      </c>
      <c r="W819" s="3">
        <f>IF($F819="","",IF((IFERROR(INDEX('CAT_CENTROS_COSTO'!$E$4:$E$13,MATCH($F819,'CAT_CENTROS_COSTO'!$A$4:$A$13,0)),""))&lt;&gt;"",IFERROR(INDEX('CAT_CENTROS_COSTO'!$E$4:$E$13,MATCH($F819,'CAT_CENTROS_COSTO'!$A$4:$A$13,0)),""),$V819))</f>
        <v/>
      </c>
      <c r="X819" s="3">
        <f>IF($F819="","",IFERROR(INDEX('CAT_CENTROS_COSTO'!$G$4:$G$13,MATCH($F819,'CAT_CENTROS_COSTO'!$A$4:$A$13,0)),"(sin catálogo)"))</f>
        <v/>
      </c>
      <c r="Y819" s="3">
        <f>IF($G819="","",IFERROR(INDEX('CAT_PUESTOS'!$B$4:$B$8,MATCH($G819,'CAT_PUESTOS'!$A$4:$A$8,0)),"(sin catálogo)"))</f>
        <v/>
      </c>
      <c r="Z819" s="3">
        <f>IF($H819="","",IFERROR(INDEX('CAT_ACTIVIDADES'!$B$4:$B$8,MATCH($H819,'CAT_ACTIVIDADES'!$A$4:$A$8,0)),"(sin catálogo)"))</f>
        <v/>
      </c>
      <c r="AA819" s="12">
        <f>IF($J819="","",TODAY()-$J819)</f>
        <v/>
      </c>
      <c r="AB819" s="12">
        <f>IF($J819="","",IF($J819&lt;=TODAY(),COUNTIFS(cal_fechas,"&gt;="&amp;$J819,cal_fechas,"&lt;"&amp;TODAY(),cal_habil,"sí"),-COUNTIFS(cal_fechas,"&gt;="&amp;TODAY(),cal_fechas,"&lt;"&amp;$J819,cal_habil,"sí")))</f>
        <v/>
      </c>
      <c r="AC819" s="3">
        <f>IF($AB819="","",IF($AB819&lt;0,"FUTURO",IF($AB819&gt;p_dias_backlog_max,"BACKLOG","MES CORRIENTE")))</f>
        <v/>
      </c>
      <c r="AD819" s="3">
        <f>IF($AB819="",FALSE,AND($AB819&gt;p_dias_backlog_min,$AB819&lt;=p_dias_backlog_max))</f>
        <v/>
      </c>
      <c r="AE819" s="6" t="n"/>
      <c r="AF819" s="3">
        <f>IF($AE819="","",IF((IFERROR(INDEX('ASIGNACIONES'!$F$4:$F$339,MATCH($O819&amp;"|"&amp;$R819&amp;"|"&amp;$AE819,'ASIGNACIONES'!$J$4:$J$339,0)),""))=0,"",IFERROR(INDEX('ASIGNACIONES'!$F$4:$F$339,MATCH($O819&amp;"|"&amp;$R819&amp;"|"&amp;$AE819,'ASIGNACIONES'!$J$4:$J$339,0)),"")))</f>
        <v/>
      </c>
      <c r="AG819" s="13">
        <f>IF($AE819="","",SUMIFS('ORDENES'!$M$4:$M$1203,'ORDENES'!$AE$4:$AE$1203,$AE819,'ORDENES'!$O$4:$O$1203,$O819,'ORDENES'!$R$4:$R$1203,$R819))</f>
        <v/>
      </c>
      <c r="AH819" s="13">
        <f>IF($AG819="","",p_factor_productividad*IFERROR(INDEX('ASIGNACIONES'!$I$4:$I$339,MATCH($O819&amp;"|"&amp;$R819&amp;"|"&amp;$AE819,'ASIGNACIONES'!$J$4:$J$339,0)),0)-$AG819)</f>
        <v/>
      </c>
      <c r="AI819" s="10">
        <f>IF($A819="","",IFERROR(INDEX('2_IMPORTAR_EJECUCION'!$F$9:$F$1208,MATCH($AQ819,'2_IMPORTAR_EJECUCION'!$J$9:$J$1208,0)),0))</f>
        <v/>
      </c>
      <c r="AJ819" s="10">
        <f>IF($A819="","",MAX(0,IFERROR(INDEX('2_IMPORTAR_EJECUCION'!$H$9:$H$1208,MATCH($AQ819,'2_IMPORTAR_EJECUCION'!$J$9:$J$1208,0)),0)-$AI819))</f>
        <v/>
      </c>
      <c r="AK819" s="10">
        <f>IF($A819="","",$AI819+$AJ819)</f>
        <v/>
      </c>
      <c r="AL819" s="6" t="n"/>
      <c r="AM819" s="6" t="n"/>
      <c r="AN819" s="6" t="n"/>
      <c r="AO819" s="3">
        <f>IF($AN819="","",HYPERLINK(p_ruta_base_checklists&amp;$AN819,"abrir"))</f>
        <v/>
      </c>
      <c r="AP819" s="6" t="n"/>
      <c r="AQ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IF($A820="","",IFERROR(INDEX('AJUSTES'!$B$4:$B$303,MATCH($AQ820,'AJUSTES'!$A$4:$A$303,0)),IF($K820="","",$K820)))</f>
        <v/>
      </c>
      <c r="N820" s="3">
        <f>IF($A820="","",IFERROR(INDEX('CAT_ESTADOS_ERP'!$B$4:$B$7,MATCH(IFERROR(INDEX('2_IMPORTAR_EJECUCION'!$C$9:$C$1208,MATCH($AQ820,'2_IMPORTAR_EJECUCION'!$J$9:$J$1208,0)),""),'CAT_ESTADOS_ERP'!$A$4:$A$7,0)),"Pendiente"))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J820="","",IFERROR(INDEX('CALENDARIO'!$C$15:$C$214,MATCH(TEXT($J820,"yyyy-mm-dd")&amp;"|"&amp;$V820&amp;"|"&amp;$W820,'CALENDARIO'!$G$15:$G$214,0)),IFERROR(INDEX('CALENDARIO'!$C$15:$C$214,MATCH(TEXT($J820,"yyyy-mm-dd")&amp;"|"&amp;$V820&amp;"|",'CALENDARIO'!$G$15:$G$214,0)),IFERROR(INDEX('CALENDARIO'!$C$15:$C$214,MATCH(TEXT($J820,"yyyy-mm-dd")&amp;"||",'CALENDARIO'!$G$15:$G$214,0)),INDEX(patronHabil,WEEKDAY($J820,2))))))</f>
        <v/>
      </c>
      <c r="T820" s="3">
        <f>IF($I820="","",IFERROR(INDEX('CAT_TIPOS_OT'!$C$4:$C$7,MATCH($I820,'CAT_TIPOS_OT'!$A$4:$A$7,0)),"sin_clasificar"))</f>
        <v/>
      </c>
      <c r="U820" s="3">
        <f>IF($F820="","",IFERROR(INDEX('CAT_CENTROS_COSTO'!$F$4:$F$13,MATCH($F820,'CAT_CENTROS_COSTO'!$A$4:$A$13,0)),"(sin catálogo)"))</f>
        <v/>
      </c>
      <c r="V820" s="3">
        <f>IF($F820="","",IFERROR(INDEX('CAT_CENTROS_COSTO'!$D$4:$D$13,MATCH($F820,'CAT_CENTROS_COSTO'!$A$4:$A$13,0)),"(sin catálogo)"))</f>
        <v/>
      </c>
      <c r="W820" s="3">
        <f>IF($F820="","",IF((IFERROR(INDEX('CAT_CENTROS_COSTO'!$E$4:$E$13,MATCH($F820,'CAT_CENTROS_COSTO'!$A$4:$A$13,0)),""))&lt;&gt;"",IFERROR(INDEX('CAT_CENTROS_COSTO'!$E$4:$E$13,MATCH($F820,'CAT_CENTROS_COSTO'!$A$4:$A$13,0)),""),$V820))</f>
        <v/>
      </c>
      <c r="X820" s="3">
        <f>IF($F820="","",IFERROR(INDEX('CAT_CENTROS_COSTO'!$G$4:$G$13,MATCH($F820,'CAT_CENTROS_COSTO'!$A$4:$A$13,0)),"(sin catálogo)"))</f>
        <v/>
      </c>
      <c r="Y820" s="3">
        <f>IF($G820="","",IFERROR(INDEX('CAT_PUESTOS'!$B$4:$B$8,MATCH($G820,'CAT_PUESTOS'!$A$4:$A$8,0)),"(sin catálogo)"))</f>
        <v/>
      </c>
      <c r="Z820" s="3">
        <f>IF($H820="","",IFERROR(INDEX('CAT_ACTIVIDADES'!$B$4:$B$8,MATCH($H820,'CAT_ACTIVIDADES'!$A$4:$A$8,0)),"(sin catálogo)"))</f>
        <v/>
      </c>
      <c r="AA820" s="12">
        <f>IF($J820="","",TODAY()-$J820)</f>
        <v/>
      </c>
      <c r="AB820" s="12">
        <f>IF($J820="","",IF($J820&lt;=TODAY(),COUNTIFS(cal_fechas,"&gt;="&amp;$J820,cal_fechas,"&lt;"&amp;TODAY(),cal_habil,"sí"),-COUNTIFS(cal_fechas,"&gt;="&amp;TODAY(),cal_fechas,"&lt;"&amp;$J820,cal_habil,"sí")))</f>
        <v/>
      </c>
      <c r="AC820" s="3">
        <f>IF($AB820="","",IF($AB820&lt;0,"FUTURO",IF($AB820&gt;p_dias_backlog_max,"BACKLOG","MES CORRIENTE")))</f>
        <v/>
      </c>
      <c r="AD820" s="3">
        <f>IF($AB820="",FALSE,AND($AB820&gt;p_dias_backlog_min,$AB820&lt;=p_dias_backlog_max))</f>
        <v/>
      </c>
      <c r="AE820" s="6" t="n"/>
      <c r="AF820" s="3">
        <f>IF($AE820="","",IF((IFERROR(INDEX('ASIGNACIONES'!$F$4:$F$339,MATCH($O820&amp;"|"&amp;$R820&amp;"|"&amp;$AE820,'ASIGNACIONES'!$J$4:$J$339,0)),""))=0,"",IFERROR(INDEX('ASIGNACIONES'!$F$4:$F$339,MATCH($O820&amp;"|"&amp;$R820&amp;"|"&amp;$AE820,'ASIGNACIONES'!$J$4:$J$339,0)),"")))</f>
        <v/>
      </c>
      <c r="AG820" s="13">
        <f>IF($AE820="","",SUMIFS('ORDENES'!$M$4:$M$1203,'ORDENES'!$AE$4:$AE$1203,$AE820,'ORDENES'!$O$4:$O$1203,$O820,'ORDENES'!$R$4:$R$1203,$R820))</f>
        <v/>
      </c>
      <c r="AH820" s="13">
        <f>IF($AG820="","",p_factor_productividad*IFERROR(INDEX('ASIGNACIONES'!$I$4:$I$339,MATCH($O820&amp;"|"&amp;$R820&amp;"|"&amp;$AE820,'ASIGNACIONES'!$J$4:$J$339,0)),0)-$AG820)</f>
        <v/>
      </c>
      <c r="AI820" s="10">
        <f>IF($A820="","",IFERROR(INDEX('2_IMPORTAR_EJECUCION'!$F$9:$F$1208,MATCH($AQ820,'2_IMPORTAR_EJECUCION'!$J$9:$J$1208,0)),0))</f>
        <v/>
      </c>
      <c r="AJ820" s="10">
        <f>IF($A820="","",MAX(0,IFERROR(INDEX('2_IMPORTAR_EJECUCION'!$H$9:$H$1208,MATCH($AQ820,'2_IMPORTAR_EJECUCION'!$J$9:$J$1208,0)),0)-$AI820))</f>
        <v/>
      </c>
      <c r="AK820" s="10">
        <f>IF($A820="","",$AI820+$AJ820)</f>
        <v/>
      </c>
      <c r="AL820" s="6" t="n"/>
      <c r="AM820" s="6" t="n"/>
      <c r="AN820" s="6" t="n"/>
      <c r="AO820" s="3">
        <f>IF($AN820="","",HYPERLINK(p_ruta_base_checklists&amp;$AN820,"abrir"))</f>
        <v/>
      </c>
      <c r="AP820" s="6" t="n"/>
      <c r="AQ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IF($A821="","",IFERROR(INDEX('AJUSTES'!$B$4:$B$303,MATCH($AQ821,'AJUSTES'!$A$4:$A$303,0)),IF($K821="","",$K821)))</f>
        <v/>
      </c>
      <c r="N821" s="3">
        <f>IF($A821="","",IFERROR(INDEX('CAT_ESTADOS_ERP'!$B$4:$B$7,MATCH(IFERROR(INDEX('2_IMPORTAR_EJECUCION'!$C$9:$C$1208,MATCH($AQ821,'2_IMPORTAR_EJECUCION'!$J$9:$J$1208,0)),""),'CAT_ESTADOS_ERP'!$A$4:$A$7,0)),"Pendiente"))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J821="","",IFERROR(INDEX('CALENDARIO'!$C$15:$C$214,MATCH(TEXT($J821,"yyyy-mm-dd")&amp;"|"&amp;$V821&amp;"|"&amp;$W821,'CALENDARIO'!$G$15:$G$214,0)),IFERROR(INDEX('CALENDARIO'!$C$15:$C$214,MATCH(TEXT($J821,"yyyy-mm-dd")&amp;"|"&amp;$V821&amp;"|",'CALENDARIO'!$G$15:$G$214,0)),IFERROR(INDEX('CALENDARIO'!$C$15:$C$214,MATCH(TEXT($J821,"yyyy-mm-dd")&amp;"||",'CALENDARIO'!$G$15:$G$214,0)),INDEX(patronHabil,WEEKDAY($J821,2))))))</f>
        <v/>
      </c>
      <c r="T821" s="3">
        <f>IF($I821="","",IFERROR(INDEX('CAT_TIPOS_OT'!$C$4:$C$7,MATCH($I821,'CAT_TIPOS_OT'!$A$4:$A$7,0)),"sin_clasificar"))</f>
        <v/>
      </c>
      <c r="U821" s="3">
        <f>IF($F821="","",IFERROR(INDEX('CAT_CENTROS_COSTO'!$F$4:$F$13,MATCH($F821,'CAT_CENTROS_COSTO'!$A$4:$A$13,0)),"(sin catálogo)"))</f>
        <v/>
      </c>
      <c r="V821" s="3">
        <f>IF($F821="","",IFERROR(INDEX('CAT_CENTROS_COSTO'!$D$4:$D$13,MATCH($F821,'CAT_CENTROS_COSTO'!$A$4:$A$13,0)),"(sin catálogo)"))</f>
        <v/>
      </c>
      <c r="W821" s="3">
        <f>IF($F821="","",IF((IFERROR(INDEX('CAT_CENTROS_COSTO'!$E$4:$E$13,MATCH($F821,'CAT_CENTROS_COSTO'!$A$4:$A$13,0)),""))&lt;&gt;"",IFERROR(INDEX('CAT_CENTROS_COSTO'!$E$4:$E$13,MATCH($F821,'CAT_CENTROS_COSTO'!$A$4:$A$13,0)),""),$V821))</f>
        <v/>
      </c>
      <c r="X821" s="3">
        <f>IF($F821="","",IFERROR(INDEX('CAT_CENTROS_COSTO'!$G$4:$G$13,MATCH($F821,'CAT_CENTROS_COSTO'!$A$4:$A$13,0)),"(sin catálogo)"))</f>
        <v/>
      </c>
      <c r="Y821" s="3">
        <f>IF($G821="","",IFERROR(INDEX('CAT_PUESTOS'!$B$4:$B$8,MATCH($G821,'CAT_PUESTOS'!$A$4:$A$8,0)),"(sin catálogo)"))</f>
        <v/>
      </c>
      <c r="Z821" s="3">
        <f>IF($H821="","",IFERROR(INDEX('CAT_ACTIVIDADES'!$B$4:$B$8,MATCH($H821,'CAT_ACTIVIDADES'!$A$4:$A$8,0)),"(sin catálogo)"))</f>
        <v/>
      </c>
      <c r="AA821" s="12">
        <f>IF($J821="","",TODAY()-$J821)</f>
        <v/>
      </c>
      <c r="AB821" s="12">
        <f>IF($J821="","",IF($J821&lt;=TODAY(),COUNTIFS(cal_fechas,"&gt;="&amp;$J821,cal_fechas,"&lt;"&amp;TODAY(),cal_habil,"sí"),-COUNTIFS(cal_fechas,"&gt;="&amp;TODAY(),cal_fechas,"&lt;"&amp;$J821,cal_habil,"sí")))</f>
        <v/>
      </c>
      <c r="AC821" s="3">
        <f>IF($AB821="","",IF($AB821&lt;0,"FUTURO",IF($AB821&gt;p_dias_backlog_max,"BACKLOG","MES CORRIENTE")))</f>
        <v/>
      </c>
      <c r="AD821" s="3">
        <f>IF($AB821="",FALSE,AND($AB821&gt;p_dias_backlog_min,$AB821&lt;=p_dias_backlog_max))</f>
        <v/>
      </c>
      <c r="AE821" s="6" t="n"/>
      <c r="AF821" s="3">
        <f>IF($AE821="","",IF((IFERROR(INDEX('ASIGNACIONES'!$F$4:$F$339,MATCH($O821&amp;"|"&amp;$R821&amp;"|"&amp;$AE821,'ASIGNACIONES'!$J$4:$J$339,0)),""))=0,"",IFERROR(INDEX('ASIGNACIONES'!$F$4:$F$339,MATCH($O821&amp;"|"&amp;$R821&amp;"|"&amp;$AE821,'ASIGNACIONES'!$J$4:$J$339,0)),"")))</f>
        <v/>
      </c>
      <c r="AG821" s="13">
        <f>IF($AE821="","",SUMIFS('ORDENES'!$M$4:$M$1203,'ORDENES'!$AE$4:$AE$1203,$AE821,'ORDENES'!$O$4:$O$1203,$O821,'ORDENES'!$R$4:$R$1203,$R821))</f>
        <v/>
      </c>
      <c r="AH821" s="13">
        <f>IF($AG821="","",p_factor_productividad*IFERROR(INDEX('ASIGNACIONES'!$I$4:$I$339,MATCH($O821&amp;"|"&amp;$R821&amp;"|"&amp;$AE821,'ASIGNACIONES'!$J$4:$J$339,0)),0)-$AG821)</f>
        <v/>
      </c>
      <c r="AI821" s="10">
        <f>IF($A821="","",IFERROR(INDEX('2_IMPORTAR_EJECUCION'!$F$9:$F$1208,MATCH($AQ821,'2_IMPORTAR_EJECUCION'!$J$9:$J$1208,0)),0))</f>
        <v/>
      </c>
      <c r="AJ821" s="10">
        <f>IF($A821="","",MAX(0,IFERROR(INDEX('2_IMPORTAR_EJECUCION'!$H$9:$H$1208,MATCH($AQ821,'2_IMPORTAR_EJECUCION'!$J$9:$J$1208,0)),0)-$AI821))</f>
        <v/>
      </c>
      <c r="AK821" s="10">
        <f>IF($A821="","",$AI821+$AJ821)</f>
        <v/>
      </c>
      <c r="AL821" s="6" t="n"/>
      <c r="AM821" s="6" t="n"/>
      <c r="AN821" s="6" t="n"/>
      <c r="AO821" s="3">
        <f>IF($AN821="","",HYPERLINK(p_ruta_base_checklists&amp;$AN821,"abrir"))</f>
        <v/>
      </c>
      <c r="AP821" s="6" t="n"/>
      <c r="AQ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IF($A822="","",IFERROR(INDEX('AJUSTES'!$B$4:$B$303,MATCH($AQ822,'AJUSTES'!$A$4:$A$303,0)),IF($K822="","",$K822)))</f>
        <v/>
      </c>
      <c r="N822" s="3">
        <f>IF($A822="","",IFERROR(INDEX('CAT_ESTADOS_ERP'!$B$4:$B$7,MATCH(IFERROR(INDEX('2_IMPORTAR_EJECUCION'!$C$9:$C$1208,MATCH($AQ822,'2_IMPORTAR_EJECUCION'!$J$9:$J$1208,0)),""),'CAT_ESTADOS_ERP'!$A$4:$A$7,0)),"Pendiente"))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J822="","",IFERROR(INDEX('CALENDARIO'!$C$15:$C$214,MATCH(TEXT($J822,"yyyy-mm-dd")&amp;"|"&amp;$V822&amp;"|"&amp;$W822,'CALENDARIO'!$G$15:$G$214,0)),IFERROR(INDEX('CALENDARIO'!$C$15:$C$214,MATCH(TEXT($J822,"yyyy-mm-dd")&amp;"|"&amp;$V822&amp;"|",'CALENDARIO'!$G$15:$G$214,0)),IFERROR(INDEX('CALENDARIO'!$C$15:$C$214,MATCH(TEXT($J822,"yyyy-mm-dd")&amp;"||",'CALENDARIO'!$G$15:$G$214,0)),INDEX(patronHabil,WEEKDAY($J822,2))))))</f>
        <v/>
      </c>
      <c r="T822" s="3">
        <f>IF($I822="","",IFERROR(INDEX('CAT_TIPOS_OT'!$C$4:$C$7,MATCH($I822,'CAT_TIPOS_OT'!$A$4:$A$7,0)),"sin_clasificar"))</f>
        <v/>
      </c>
      <c r="U822" s="3">
        <f>IF($F822="","",IFERROR(INDEX('CAT_CENTROS_COSTO'!$F$4:$F$13,MATCH($F822,'CAT_CENTROS_COSTO'!$A$4:$A$13,0)),"(sin catálogo)"))</f>
        <v/>
      </c>
      <c r="V822" s="3">
        <f>IF($F822="","",IFERROR(INDEX('CAT_CENTROS_COSTO'!$D$4:$D$13,MATCH($F822,'CAT_CENTROS_COSTO'!$A$4:$A$13,0)),"(sin catálogo)"))</f>
        <v/>
      </c>
      <c r="W822" s="3">
        <f>IF($F822="","",IF((IFERROR(INDEX('CAT_CENTROS_COSTO'!$E$4:$E$13,MATCH($F822,'CAT_CENTROS_COSTO'!$A$4:$A$13,0)),""))&lt;&gt;"",IFERROR(INDEX('CAT_CENTROS_COSTO'!$E$4:$E$13,MATCH($F822,'CAT_CENTROS_COSTO'!$A$4:$A$13,0)),""),$V822))</f>
        <v/>
      </c>
      <c r="X822" s="3">
        <f>IF($F822="","",IFERROR(INDEX('CAT_CENTROS_COSTO'!$G$4:$G$13,MATCH($F822,'CAT_CENTROS_COSTO'!$A$4:$A$13,0)),"(sin catálogo)"))</f>
        <v/>
      </c>
      <c r="Y822" s="3">
        <f>IF($G822="","",IFERROR(INDEX('CAT_PUESTOS'!$B$4:$B$8,MATCH($G822,'CAT_PUESTOS'!$A$4:$A$8,0)),"(sin catálogo)"))</f>
        <v/>
      </c>
      <c r="Z822" s="3">
        <f>IF($H822="","",IFERROR(INDEX('CAT_ACTIVIDADES'!$B$4:$B$8,MATCH($H822,'CAT_ACTIVIDADES'!$A$4:$A$8,0)),"(sin catálogo)"))</f>
        <v/>
      </c>
      <c r="AA822" s="12">
        <f>IF($J822="","",TODAY()-$J822)</f>
        <v/>
      </c>
      <c r="AB822" s="12">
        <f>IF($J822="","",IF($J822&lt;=TODAY(),COUNTIFS(cal_fechas,"&gt;="&amp;$J822,cal_fechas,"&lt;"&amp;TODAY(),cal_habil,"sí"),-COUNTIFS(cal_fechas,"&gt;="&amp;TODAY(),cal_fechas,"&lt;"&amp;$J822,cal_habil,"sí")))</f>
        <v/>
      </c>
      <c r="AC822" s="3">
        <f>IF($AB822="","",IF($AB822&lt;0,"FUTURO",IF($AB822&gt;p_dias_backlog_max,"BACKLOG","MES CORRIENTE")))</f>
        <v/>
      </c>
      <c r="AD822" s="3">
        <f>IF($AB822="",FALSE,AND($AB822&gt;p_dias_backlog_min,$AB822&lt;=p_dias_backlog_max))</f>
        <v/>
      </c>
      <c r="AE822" s="6" t="n"/>
      <c r="AF822" s="3">
        <f>IF($AE822="","",IF((IFERROR(INDEX('ASIGNACIONES'!$F$4:$F$339,MATCH($O822&amp;"|"&amp;$R822&amp;"|"&amp;$AE822,'ASIGNACIONES'!$J$4:$J$339,0)),""))=0,"",IFERROR(INDEX('ASIGNACIONES'!$F$4:$F$339,MATCH($O822&amp;"|"&amp;$R822&amp;"|"&amp;$AE822,'ASIGNACIONES'!$J$4:$J$339,0)),"")))</f>
        <v/>
      </c>
      <c r="AG822" s="13">
        <f>IF($AE822="","",SUMIFS('ORDENES'!$M$4:$M$1203,'ORDENES'!$AE$4:$AE$1203,$AE822,'ORDENES'!$O$4:$O$1203,$O822,'ORDENES'!$R$4:$R$1203,$R822))</f>
        <v/>
      </c>
      <c r="AH822" s="13">
        <f>IF($AG822="","",p_factor_productividad*IFERROR(INDEX('ASIGNACIONES'!$I$4:$I$339,MATCH($O822&amp;"|"&amp;$R822&amp;"|"&amp;$AE822,'ASIGNACIONES'!$J$4:$J$339,0)),0)-$AG822)</f>
        <v/>
      </c>
      <c r="AI822" s="10">
        <f>IF($A822="","",IFERROR(INDEX('2_IMPORTAR_EJECUCION'!$F$9:$F$1208,MATCH($AQ822,'2_IMPORTAR_EJECUCION'!$J$9:$J$1208,0)),0))</f>
        <v/>
      </c>
      <c r="AJ822" s="10">
        <f>IF($A822="","",MAX(0,IFERROR(INDEX('2_IMPORTAR_EJECUCION'!$H$9:$H$1208,MATCH($AQ822,'2_IMPORTAR_EJECUCION'!$J$9:$J$1208,0)),0)-$AI822))</f>
        <v/>
      </c>
      <c r="AK822" s="10">
        <f>IF($A822="","",$AI822+$AJ822)</f>
        <v/>
      </c>
      <c r="AL822" s="6" t="n"/>
      <c r="AM822" s="6" t="n"/>
      <c r="AN822" s="6" t="n"/>
      <c r="AO822" s="3">
        <f>IF($AN822="","",HYPERLINK(p_ruta_base_checklists&amp;$AN822,"abrir"))</f>
        <v/>
      </c>
      <c r="AP822" s="6" t="n"/>
      <c r="AQ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IF($A823="","",IFERROR(INDEX('AJUSTES'!$B$4:$B$303,MATCH($AQ823,'AJUSTES'!$A$4:$A$303,0)),IF($K823="","",$K823)))</f>
        <v/>
      </c>
      <c r="N823" s="3">
        <f>IF($A823="","",IFERROR(INDEX('CAT_ESTADOS_ERP'!$B$4:$B$7,MATCH(IFERROR(INDEX('2_IMPORTAR_EJECUCION'!$C$9:$C$1208,MATCH($AQ823,'2_IMPORTAR_EJECUCION'!$J$9:$J$1208,0)),""),'CAT_ESTADOS_ERP'!$A$4:$A$7,0)),"Pendiente"))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J823="","",IFERROR(INDEX('CALENDARIO'!$C$15:$C$214,MATCH(TEXT($J823,"yyyy-mm-dd")&amp;"|"&amp;$V823&amp;"|"&amp;$W823,'CALENDARIO'!$G$15:$G$214,0)),IFERROR(INDEX('CALENDARIO'!$C$15:$C$214,MATCH(TEXT($J823,"yyyy-mm-dd")&amp;"|"&amp;$V823&amp;"|",'CALENDARIO'!$G$15:$G$214,0)),IFERROR(INDEX('CALENDARIO'!$C$15:$C$214,MATCH(TEXT($J823,"yyyy-mm-dd")&amp;"||",'CALENDARIO'!$G$15:$G$214,0)),INDEX(patronHabil,WEEKDAY($J823,2))))))</f>
        <v/>
      </c>
      <c r="T823" s="3">
        <f>IF($I823="","",IFERROR(INDEX('CAT_TIPOS_OT'!$C$4:$C$7,MATCH($I823,'CAT_TIPOS_OT'!$A$4:$A$7,0)),"sin_clasificar"))</f>
        <v/>
      </c>
      <c r="U823" s="3">
        <f>IF($F823="","",IFERROR(INDEX('CAT_CENTROS_COSTO'!$F$4:$F$13,MATCH($F823,'CAT_CENTROS_COSTO'!$A$4:$A$13,0)),"(sin catálogo)"))</f>
        <v/>
      </c>
      <c r="V823" s="3">
        <f>IF($F823="","",IFERROR(INDEX('CAT_CENTROS_COSTO'!$D$4:$D$13,MATCH($F823,'CAT_CENTROS_COSTO'!$A$4:$A$13,0)),"(sin catálogo)"))</f>
        <v/>
      </c>
      <c r="W823" s="3">
        <f>IF($F823="","",IF((IFERROR(INDEX('CAT_CENTROS_COSTO'!$E$4:$E$13,MATCH($F823,'CAT_CENTROS_COSTO'!$A$4:$A$13,0)),""))&lt;&gt;"",IFERROR(INDEX('CAT_CENTROS_COSTO'!$E$4:$E$13,MATCH($F823,'CAT_CENTROS_COSTO'!$A$4:$A$13,0)),""),$V823))</f>
        <v/>
      </c>
      <c r="X823" s="3">
        <f>IF($F823="","",IFERROR(INDEX('CAT_CENTROS_COSTO'!$G$4:$G$13,MATCH($F823,'CAT_CENTROS_COSTO'!$A$4:$A$13,0)),"(sin catálogo)"))</f>
        <v/>
      </c>
      <c r="Y823" s="3">
        <f>IF($G823="","",IFERROR(INDEX('CAT_PUESTOS'!$B$4:$B$8,MATCH($G823,'CAT_PUESTOS'!$A$4:$A$8,0)),"(sin catálogo)"))</f>
        <v/>
      </c>
      <c r="Z823" s="3">
        <f>IF($H823="","",IFERROR(INDEX('CAT_ACTIVIDADES'!$B$4:$B$8,MATCH($H823,'CAT_ACTIVIDADES'!$A$4:$A$8,0)),"(sin catálogo)"))</f>
        <v/>
      </c>
      <c r="AA823" s="12">
        <f>IF($J823="","",TODAY()-$J823)</f>
        <v/>
      </c>
      <c r="AB823" s="12">
        <f>IF($J823="","",IF($J823&lt;=TODAY(),COUNTIFS(cal_fechas,"&gt;="&amp;$J823,cal_fechas,"&lt;"&amp;TODAY(),cal_habil,"sí"),-COUNTIFS(cal_fechas,"&gt;="&amp;TODAY(),cal_fechas,"&lt;"&amp;$J823,cal_habil,"sí")))</f>
        <v/>
      </c>
      <c r="AC823" s="3">
        <f>IF($AB823="","",IF($AB823&lt;0,"FUTURO",IF($AB823&gt;p_dias_backlog_max,"BACKLOG","MES CORRIENTE")))</f>
        <v/>
      </c>
      <c r="AD823" s="3">
        <f>IF($AB823="",FALSE,AND($AB823&gt;p_dias_backlog_min,$AB823&lt;=p_dias_backlog_max))</f>
        <v/>
      </c>
      <c r="AE823" s="6" t="n"/>
      <c r="AF823" s="3">
        <f>IF($AE823="","",IF((IFERROR(INDEX('ASIGNACIONES'!$F$4:$F$339,MATCH($O823&amp;"|"&amp;$R823&amp;"|"&amp;$AE823,'ASIGNACIONES'!$J$4:$J$339,0)),""))=0,"",IFERROR(INDEX('ASIGNACIONES'!$F$4:$F$339,MATCH($O823&amp;"|"&amp;$R823&amp;"|"&amp;$AE823,'ASIGNACIONES'!$J$4:$J$339,0)),"")))</f>
        <v/>
      </c>
      <c r="AG823" s="13">
        <f>IF($AE823="","",SUMIFS('ORDENES'!$M$4:$M$1203,'ORDENES'!$AE$4:$AE$1203,$AE823,'ORDENES'!$O$4:$O$1203,$O823,'ORDENES'!$R$4:$R$1203,$R823))</f>
        <v/>
      </c>
      <c r="AH823" s="13">
        <f>IF($AG823="","",p_factor_productividad*IFERROR(INDEX('ASIGNACIONES'!$I$4:$I$339,MATCH($O823&amp;"|"&amp;$R823&amp;"|"&amp;$AE823,'ASIGNACIONES'!$J$4:$J$339,0)),0)-$AG823)</f>
        <v/>
      </c>
      <c r="AI823" s="10">
        <f>IF($A823="","",IFERROR(INDEX('2_IMPORTAR_EJECUCION'!$F$9:$F$1208,MATCH($AQ823,'2_IMPORTAR_EJECUCION'!$J$9:$J$1208,0)),0))</f>
        <v/>
      </c>
      <c r="AJ823" s="10">
        <f>IF($A823="","",MAX(0,IFERROR(INDEX('2_IMPORTAR_EJECUCION'!$H$9:$H$1208,MATCH($AQ823,'2_IMPORTAR_EJECUCION'!$J$9:$J$1208,0)),0)-$AI823))</f>
        <v/>
      </c>
      <c r="AK823" s="10">
        <f>IF($A823="","",$AI823+$AJ823)</f>
        <v/>
      </c>
      <c r="AL823" s="6" t="n"/>
      <c r="AM823" s="6" t="n"/>
      <c r="AN823" s="6" t="n"/>
      <c r="AO823" s="3">
        <f>IF($AN823="","",HYPERLINK(p_ruta_base_checklists&amp;$AN823,"abrir"))</f>
        <v/>
      </c>
      <c r="AP823" s="6" t="n"/>
      <c r="AQ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IF($A824="","",IFERROR(INDEX('AJUSTES'!$B$4:$B$303,MATCH($AQ824,'AJUSTES'!$A$4:$A$303,0)),IF($K824="","",$K824)))</f>
        <v/>
      </c>
      <c r="N824" s="3">
        <f>IF($A824="","",IFERROR(INDEX('CAT_ESTADOS_ERP'!$B$4:$B$7,MATCH(IFERROR(INDEX('2_IMPORTAR_EJECUCION'!$C$9:$C$1208,MATCH($AQ824,'2_IMPORTAR_EJECUCION'!$J$9:$J$1208,0)),""),'CAT_ESTADOS_ERP'!$A$4:$A$7,0)),"Pendiente"))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J824="","",IFERROR(INDEX('CALENDARIO'!$C$15:$C$214,MATCH(TEXT($J824,"yyyy-mm-dd")&amp;"|"&amp;$V824&amp;"|"&amp;$W824,'CALENDARIO'!$G$15:$G$214,0)),IFERROR(INDEX('CALENDARIO'!$C$15:$C$214,MATCH(TEXT($J824,"yyyy-mm-dd")&amp;"|"&amp;$V824&amp;"|",'CALENDARIO'!$G$15:$G$214,0)),IFERROR(INDEX('CALENDARIO'!$C$15:$C$214,MATCH(TEXT($J824,"yyyy-mm-dd")&amp;"||",'CALENDARIO'!$G$15:$G$214,0)),INDEX(patronHabil,WEEKDAY($J824,2))))))</f>
        <v/>
      </c>
      <c r="T824" s="3">
        <f>IF($I824="","",IFERROR(INDEX('CAT_TIPOS_OT'!$C$4:$C$7,MATCH($I824,'CAT_TIPOS_OT'!$A$4:$A$7,0)),"sin_clasificar"))</f>
        <v/>
      </c>
      <c r="U824" s="3">
        <f>IF($F824="","",IFERROR(INDEX('CAT_CENTROS_COSTO'!$F$4:$F$13,MATCH($F824,'CAT_CENTROS_COSTO'!$A$4:$A$13,0)),"(sin catálogo)"))</f>
        <v/>
      </c>
      <c r="V824" s="3">
        <f>IF($F824="","",IFERROR(INDEX('CAT_CENTROS_COSTO'!$D$4:$D$13,MATCH($F824,'CAT_CENTROS_COSTO'!$A$4:$A$13,0)),"(sin catálogo)"))</f>
        <v/>
      </c>
      <c r="W824" s="3">
        <f>IF($F824="","",IF((IFERROR(INDEX('CAT_CENTROS_COSTO'!$E$4:$E$13,MATCH($F824,'CAT_CENTROS_COSTO'!$A$4:$A$13,0)),""))&lt;&gt;"",IFERROR(INDEX('CAT_CENTROS_COSTO'!$E$4:$E$13,MATCH($F824,'CAT_CENTROS_COSTO'!$A$4:$A$13,0)),""),$V824))</f>
        <v/>
      </c>
      <c r="X824" s="3">
        <f>IF($F824="","",IFERROR(INDEX('CAT_CENTROS_COSTO'!$G$4:$G$13,MATCH($F824,'CAT_CENTROS_COSTO'!$A$4:$A$13,0)),"(sin catálogo)"))</f>
        <v/>
      </c>
      <c r="Y824" s="3">
        <f>IF($G824="","",IFERROR(INDEX('CAT_PUESTOS'!$B$4:$B$8,MATCH($G824,'CAT_PUESTOS'!$A$4:$A$8,0)),"(sin catálogo)"))</f>
        <v/>
      </c>
      <c r="Z824" s="3">
        <f>IF($H824="","",IFERROR(INDEX('CAT_ACTIVIDADES'!$B$4:$B$8,MATCH($H824,'CAT_ACTIVIDADES'!$A$4:$A$8,0)),"(sin catálogo)"))</f>
        <v/>
      </c>
      <c r="AA824" s="12">
        <f>IF($J824="","",TODAY()-$J824)</f>
        <v/>
      </c>
      <c r="AB824" s="12">
        <f>IF($J824="","",IF($J824&lt;=TODAY(),COUNTIFS(cal_fechas,"&gt;="&amp;$J824,cal_fechas,"&lt;"&amp;TODAY(),cal_habil,"sí"),-COUNTIFS(cal_fechas,"&gt;="&amp;TODAY(),cal_fechas,"&lt;"&amp;$J824,cal_habil,"sí")))</f>
        <v/>
      </c>
      <c r="AC824" s="3">
        <f>IF($AB824="","",IF($AB824&lt;0,"FUTURO",IF($AB824&gt;p_dias_backlog_max,"BACKLOG","MES CORRIENTE")))</f>
        <v/>
      </c>
      <c r="AD824" s="3">
        <f>IF($AB824="",FALSE,AND($AB824&gt;p_dias_backlog_min,$AB824&lt;=p_dias_backlog_max))</f>
        <v/>
      </c>
      <c r="AE824" s="6" t="n"/>
      <c r="AF824" s="3">
        <f>IF($AE824="","",IF((IFERROR(INDEX('ASIGNACIONES'!$F$4:$F$339,MATCH($O824&amp;"|"&amp;$R824&amp;"|"&amp;$AE824,'ASIGNACIONES'!$J$4:$J$339,0)),""))=0,"",IFERROR(INDEX('ASIGNACIONES'!$F$4:$F$339,MATCH($O824&amp;"|"&amp;$R824&amp;"|"&amp;$AE824,'ASIGNACIONES'!$J$4:$J$339,0)),"")))</f>
        <v/>
      </c>
      <c r="AG824" s="13">
        <f>IF($AE824="","",SUMIFS('ORDENES'!$M$4:$M$1203,'ORDENES'!$AE$4:$AE$1203,$AE824,'ORDENES'!$O$4:$O$1203,$O824,'ORDENES'!$R$4:$R$1203,$R824))</f>
        <v/>
      </c>
      <c r="AH824" s="13">
        <f>IF($AG824="","",p_factor_productividad*IFERROR(INDEX('ASIGNACIONES'!$I$4:$I$339,MATCH($O824&amp;"|"&amp;$R824&amp;"|"&amp;$AE824,'ASIGNACIONES'!$J$4:$J$339,0)),0)-$AG824)</f>
        <v/>
      </c>
      <c r="AI824" s="10">
        <f>IF($A824="","",IFERROR(INDEX('2_IMPORTAR_EJECUCION'!$F$9:$F$1208,MATCH($AQ824,'2_IMPORTAR_EJECUCION'!$J$9:$J$1208,0)),0))</f>
        <v/>
      </c>
      <c r="AJ824" s="10">
        <f>IF($A824="","",MAX(0,IFERROR(INDEX('2_IMPORTAR_EJECUCION'!$H$9:$H$1208,MATCH($AQ824,'2_IMPORTAR_EJECUCION'!$J$9:$J$1208,0)),0)-$AI824))</f>
        <v/>
      </c>
      <c r="AK824" s="10">
        <f>IF($A824="","",$AI824+$AJ824)</f>
        <v/>
      </c>
      <c r="AL824" s="6" t="n"/>
      <c r="AM824" s="6" t="n"/>
      <c r="AN824" s="6" t="n"/>
      <c r="AO824" s="3">
        <f>IF($AN824="","",HYPERLINK(p_ruta_base_checklists&amp;$AN824,"abrir"))</f>
        <v/>
      </c>
      <c r="AP824" s="6" t="n"/>
      <c r="AQ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IF($A825="","",IFERROR(INDEX('AJUSTES'!$B$4:$B$303,MATCH($AQ825,'AJUSTES'!$A$4:$A$303,0)),IF($K825="","",$K825)))</f>
        <v/>
      </c>
      <c r="N825" s="3">
        <f>IF($A825="","",IFERROR(INDEX('CAT_ESTADOS_ERP'!$B$4:$B$7,MATCH(IFERROR(INDEX('2_IMPORTAR_EJECUCION'!$C$9:$C$1208,MATCH($AQ825,'2_IMPORTAR_EJECUCION'!$J$9:$J$1208,0)),""),'CAT_ESTADOS_ERP'!$A$4:$A$7,0)),"Pendiente"))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J825="","",IFERROR(INDEX('CALENDARIO'!$C$15:$C$214,MATCH(TEXT($J825,"yyyy-mm-dd")&amp;"|"&amp;$V825&amp;"|"&amp;$W825,'CALENDARIO'!$G$15:$G$214,0)),IFERROR(INDEX('CALENDARIO'!$C$15:$C$214,MATCH(TEXT($J825,"yyyy-mm-dd")&amp;"|"&amp;$V825&amp;"|",'CALENDARIO'!$G$15:$G$214,0)),IFERROR(INDEX('CALENDARIO'!$C$15:$C$214,MATCH(TEXT($J825,"yyyy-mm-dd")&amp;"||",'CALENDARIO'!$G$15:$G$214,0)),INDEX(patronHabil,WEEKDAY($J825,2))))))</f>
        <v/>
      </c>
      <c r="T825" s="3">
        <f>IF($I825="","",IFERROR(INDEX('CAT_TIPOS_OT'!$C$4:$C$7,MATCH($I825,'CAT_TIPOS_OT'!$A$4:$A$7,0)),"sin_clasificar"))</f>
        <v/>
      </c>
      <c r="U825" s="3">
        <f>IF($F825="","",IFERROR(INDEX('CAT_CENTROS_COSTO'!$F$4:$F$13,MATCH($F825,'CAT_CENTROS_COSTO'!$A$4:$A$13,0)),"(sin catálogo)"))</f>
        <v/>
      </c>
      <c r="V825" s="3">
        <f>IF($F825="","",IFERROR(INDEX('CAT_CENTROS_COSTO'!$D$4:$D$13,MATCH($F825,'CAT_CENTROS_COSTO'!$A$4:$A$13,0)),"(sin catálogo)"))</f>
        <v/>
      </c>
      <c r="W825" s="3">
        <f>IF($F825="","",IF((IFERROR(INDEX('CAT_CENTROS_COSTO'!$E$4:$E$13,MATCH($F825,'CAT_CENTROS_COSTO'!$A$4:$A$13,0)),""))&lt;&gt;"",IFERROR(INDEX('CAT_CENTROS_COSTO'!$E$4:$E$13,MATCH($F825,'CAT_CENTROS_COSTO'!$A$4:$A$13,0)),""),$V825))</f>
        <v/>
      </c>
      <c r="X825" s="3">
        <f>IF($F825="","",IFERROR(INDEX('CAT_CENTROS_COSTO'!$G$4:$G$13,MATCH($F825,'CAT_CENTROS_COSTO'!$A$4:$A$13,0)),"(sin catálogo)"))</f>
        <v/>
      </c>
      <c r="Y825" s="3">
        <f>IF($G825="","",IFERROR(INDEX('CAT_PUESTOS'!$B$4:$B$8,MATCH($G825,'CAT_PUESTOS'!$A$4:$A$8,0)),"(sin catálogo)"))</f>
        <v/>
      </c>
      <c r="Z825" s="3">
        <f>IF($H825="","",IFERROR(INDEX('CAT_ACTIVIDADES'!$B$4:$B$8,MATCH($H825,'CAT_ACTIVIDADES'!$A$4:$A$8,0)),"(sin catálogo)"))</f>
        <v/>
      </c>
      <c r="AA825" s="12">
        <f>IF($J825="","",TODAY()-$J825)</f>
        <v/>
      </c>
      <c r="AB825" s="12">
        <f>IF($J825="","",IF($J825&lt;=TODAY(),COUNTIFS(cal_fechas,"&gt;="&amp;$J825,cal_fechas,"&lt;"&amp;TODAY(),cal_habil,"sí"),-COUNTIFS(cal_fechas,"&gt;="&amp;TODAY(),cal_fechas,"&lt;"&amp;$J825,cal_habil,"sí")))</f>
        <v/>
      </c>
      <c r="AC825" s="3">
        <f>IF($AB825="","",IF($AB825&lt;0,"FUTURO",IF($AB825&gt;p_dias_backlog_max,"BACKLOG","MES CORRIENTE")))</f>
        <v/>
      </c>
      <c r="AD825" s="3">
        <f>IF($AB825="",FALSE,AND($AB825&gt;p_dias_backlog_min,$AB825&lt;=p_dias_backlog_max))</f>
        <v/>
      </c>
      <c r="AE825" s="6" t="n"/>
      <c r="AF825" s="3">
        <f>IF($AE825="","",IF((IFERROR(INDEX('ASIGNACIONES'!$F$4:$F$339,MATCH($O825&amp;"|"&amp;$R825&amp;"|"&amp;$AE825,'ASIGNACIONES'!$J$4:$J$339,0)),""))=0,"",IFERROR(INDEX('ASIGNACIONES'!$F$4:$F$339,MATCH($O825&amp;"|"&amp;$R825&amp;"|"&amp;$AE825,'ASIGNACIONES'!$J$4:$J$339,0)),"")))</f>
        <v/>
      </c>
      <c r="AG825" s="13">
        <f>IF($AE825="","",SUMIFS('ORDENES'!$M$4:$M$1203,'ORDENES'!$AE$4:$AE$1203,$AE825,'ORDENES'!$O$4:$O$1203,$O825,'ORDENES'!$R$4:$R$1203,$R825))</f>
        <v/>
      </c>
      <c r="AH825" s="13">
        <f>IF($AG825="","",p_factor_productividad*IFERROR(INDEX('ASIGNACIONES'!$I$4:$I$339,MATCH($O825&amp;"|"&amp;$R825&amp;"|"&amp;$AE825,'ASIGNACIONES'!$J$4:$J$339,0)),0)-$AG825)</f>
        <v/>
      </c>
      <c r="AI825" s="10">
        <f>IF($A825="","",IFERROR(INDEX('2_IMPORTAR_EJECUCION'!$F$9:$F$1208,MATCH($AQ825,'2_IMPORTAR_EJECUCION'!$J$9:$J$1208,0)),0))</f>
        <v/>
      </c>
      <c r="AJ825" s="10">
        <f>IF($A825="","",MAX(0,IFERROR(INDEX('2_IMPORTAR_EJECUCION'!$H$9:$H$1208,MATCH($AQ825,'2_IMPORTAR_EJECUCION'!$J$9:$J$1208,0)),0)-$AI825))</f>
        <v/>
      </c>
      <c r="AK825" s="10">
        <f>IF($A825="","",$AI825+$AJ825)</f>
        <v/>
      </c>
      <c r="AL825" s="6" t="n"/>
      <c r="AM825" s="6" t="n"/>
      <c r="AN825" s="6" t="n"/>
      <c r="AO825" s="3">
        <f>IF($AN825="","",HYPERLINK(p_ruta_base_checklists&amp;$AN825,"abrir"))</f>
        <v/>
      </c>
      <c r="AP825" s="6" t="n"/>
      <c r="AQ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IF($A826="","",IFERROR(INDEX('AJUSTES'!$B$4:$B$303,MATCH($AQ826,'AJUSTES'!$A$4:$A$303,0)),IF($K826="","",$K826)))</f>
        <v/>
      </c>
      <c r="N826" s="3">
        <f>IF($A826="","",IFERROR(INDEX('CAT_ESTADOS_ERP'!$B$4:$B$7,MATCH(IFERROR(INDEX('2_IMPORTAR_EJECUCION'!$C$9:$C$1208,MATCH($AQ826,'2_IMPORTAR_EJECUCION'!$J$9:$J$1208,0)),""),'CAT_ESTADOS_ERP'!$A$4:$A$7,0)),"Pendiente"))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J826="","",IFERROR(INDEX('CALENDARIO'!$C$15:$C$214,MATCH(TEXT($J826,"yyyy-mm-dd")&amp;"|"&amp;$V826&amp;"|"&amp;$W826,'CALENDARIO'!$G$15:$G$214,0)),IFERROR(INDEX('CALENDARIO'!$C$15:$C$214,MATCH(TEXT($J826,"yyyy-mm-dd")&amp;"|"&amp;$V826&amp;"|",'CALENDARIO'!$G$15:$G$214,0)),IFERROR(INDEX('CALENDARIO'!$C$15:$C$214,MATCH(TEXT($J826,"yyyy-mm-dd")&amp;"||",'CALENDARIO'!$G$15:$G$214,0)),INDEX(patronHabil,WEEKDAY($J826,2))))))</f>
        <v/>
      </c>
      <c r="T826" s="3">
        <f>IF($I826="","",IFERROR(INDEX('CAT_TIPOS_OT'!$C$4:$C$7,MATCH($I826,'CAT_TIPOS_OT'!$A$4:$A$7,0)),"sin_clasificar"))</f>
        <v/>
      </c>
      <c r="U826" s="3">
        <f>IF($F826="","",IFERROR(INDEX('CAT_CENTROS_COSTO'!$F$4:$F$13,MATCH($F826,'CAT_CENTROS_COSTO'!$A$4:$A$13,0)),"(sin catálogo)"))</f>
        <v/>
      </c>
      <c r="V826" s="3">
        <f>IF($F826="","",IFERROR(INDEX('CAT_CENTROS_COSTO'!$D$4:$D$13,MATCH($F826,'CAT_CENTROS_COSTO'!$A$4:$A$13,0)),"(sin catálogo)"))</f>
        <v/>
      </c>
      <c r="W826" s="3">
        <f>IF($F826="","",IF((IFERROR(INDEX('CAT_CENTROS_COSTO'!$E$4:$E$13,MATCH($F826,'CAT_CENTROS_COSTO'!$A$4:$A$13,0)),""))&lt;&gt;"",IFERROR(INDEX('CAT_CENTROS_COSTO'!$E$4:$E$13,MATCH($F826,'CAT_CENTROS_COSTO'!$A$4:$A$13,0)),""),$V826))</f>
        <v/>
      </c>
      <c r="X826" s="3">
        <f>IF($F826="","",IFERROR(INDEX('CAT_CENTROS_COSTO'!$G$4:$G$13,MATCH($F826,'CAT_CENTROS_COSTO'!$A$4:$A$13,0)),"(sin catálogo)"))</f>
        <v/>
      </c>
      <c r="Y826" s="3">
        <f>IF($G826="","",IFERROR(INDEX('CAT_PUESTOS'!$B$4:$B$8,MATCH($G826,'CAT_PUESTOS'!$A$4:$A$8,0)),"(sin catálogo)"))</f>
        <v/>
      </c>
      <c r="Z826" s="3">
        <f>IF($H826="","",IFERROR(INDEX('CAT_ACTIVIDADES'!$B$4:$B$8,MATCH($H826,'CAT_ACTIVIDADES'!$A$4:$A$8,0)),"(sin catálogo)"))</f>
        <v/>
      </c>
      <c r="AA826" s="12">
        <f>IF($J826="","",TODAY()-$J826)</f>
        <v/>
      </c>
      <c r="AB826" s="12">
        <f>IF($J826="","",IF($J826&lt;=TODAY(),COUNTIFS(cal_fechas,"&gt;="&amp;$J826,cal_fechas,"&lt;"&amp;TODAY(),cal_habil,"sí"),-COUNTIFS(cal_fechas,"&gt;="&amp;TODAY(),cal_fechas,"&lt;"&amp;$J826,cal_habil,"sí")))</f>
        <v/>
      </c>
      <c r="AC826" s="3">
        <f>IF($AB826="","",IF($AB826&lt;0,"FUTURO",IF($AB826&gt;p_dias_backlog_max,"BACKLOG","MES CORRIENTE")))</f>
        <v/>
      </c>
      <c r="AD826" s="3">
        <f>IF($AB826="",FALSE,AND($AB826&gt;p_dias_backlog_min,$AB826&lt;=p_dias_backlog_max))</f>
        <v/>
      </c>
      <c r="AE826" s="6" t="n"/>
      <c r="AF826" s="3">
        <f>IF($AE826="","",IF((IFERROR(INDEX('ASIGNACIONES'!$F$4:$F$339,MATCH($O826&amp;"|"&amp;$R826&amp;"|"&amp;$AE826,'ASIGNACIONES'!$J$4:$J$339,0)),""))=0,"",IFERROR(INDEX('ASIGNACIONES'!$F$4:$F$339,MATCH($O826&amp;"|"&amp;$R826&amp;"|"&amp;$AE826,'ASIGNACIONES'!$J$4:$J$339,0)),"")))</f>
        <v/>
      </c>
      <c r="AG826" s="13">
        <f>IF($AE826="","",SUMIFS('ORDENES'!$M$4:$M$1203,'ORDENES'!$AE$4:$AE$1203,$AE826,'ORDENES'!$O$4:$O$1203,$O826,'ORDENES'!$R$4:$R$1203,$R826))</f>
        <v/>
      </c>
      <c r="AH826" s="13">
        <f>IF($AG826="","",p_factor_productividad*IFERROR(INDEX('ASIGNACIONES'!$I$4:$I$339,MATCH($O826&amp;"|"&amp;$R826&amp;"|"&amp;$AE826,'ASIGNACIONES'!$J$4:$J$339,0)),0)-$AG826)</f>
        <v/>
      </c>
      <c r="AI826" s="10">
        <f>IF($A826="","",IFERROR(INDEX('2_IMPORTAR_EJECUCION'!$F$9:$F$1208,MATCH($AQ826,'2_IMPORTAR_EJECUCION'!$J$9:$J$1208,0)),0))</f>
        <v/>
      </c>
      <c r="AJ826" s="10">
        <f>IF($A826="","",MAX(0,IFERROR(INDEX('2_IMPORTAR_EJECUCION'!$H$9:$H$1208,MATCH($AQ826,'2_IMPORTAR_EJECUCION'!$J$9:$J$1208,0)),0)-$AI826))</f>
        <v/>
      </c>
      <c r="AK826" s="10">
        <f>IF($A826="","",$AI826+$AJ826)</f>
        <v/>
      </c>
      <c r="AL826" s="6" t="n"/>
      <c r="AM826" s="6" t="n"/>
      <c r="AN826" s="6" t="n"/>
      <c r="AO826" s="3">
        <f>IF($AN826="","",HYPERLINK(p_ruta_base_checklists&amp;$AN826,"abrir"))</f>
        <v/>
      </c>
      <c r="AP826" s="6" t="n"/>
      <c r="AQ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IF($A827="","",IFERROR(INDEX('AJUSTES'!$B$4:$B$303,MATCH($AQ827,'AJUSTES'!$A$4:$A$303,0)),IF($K827="","",$K827)))</f>
        <v/>
      </c>
      <c r="N827" s="3">
        <f>IF($A827="","",IFERROR(INDEX('CAT_ESTADOS_ERP'!$B$4:$B$7,MATCH(IFERROR(INDEX('2_IMPORTAR_EJECUCION'!$C$9:$C$1208,MATCH($AQ827,'2_IMPORTAR_EJECUCION'!$J$9:$J$1208,0)),""),'CAT_ESTADOS_ERP'!$A$4:$A$7,0)),"Pendiente"))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J827="","",IFERROR(INDEX('CALENDARIO'!$C$15:$C$214,MATCH(TEXT($J827,"yyyy-mm-dd")&amp;"|"&amp;$V827&amp;"|"&amp;$W827,'CALENDARIO'!$G$15:$G$214,0)),IFERROR(INDEX('CALENDARIO'!$C$15:$C$214,MATCH(TEXT($J827,"yyyy-mm-dd")&amp;"|"&amp;$V827&amp;"|",'CALENDARIO'!$G$15:$G$214,0)),IFERROR(INDEX('CALENDARIO'!$C$15:$C$214,MATCH(TEXT($J827,"yyyy-mm-dd")&amp;"||",'CALENDARIO'!$G$15:$G$214,0)),INDEX(patronHabil,WEEKDAY($J827,2))))))</f>
        <v/>
      </c>
      <c r="T827" s="3">
        <f>IF($I827="","",IFERROR(INDEX('CAT_TIPOS_OT'!$C$4:$C$7,MATCH($I827,'CAT_TIPOS_OT'!$A$4:$A$7,0)),"sin_clasificar"))</f>
        <v/>
      </c>
      <c r="U827" s="3">
        <f>IF($F827="","",IFERROR(INDEX('CAT_CENTROS_COSTO'!$F$4:$F$13,MATCH($F827,'CAT_CENTROS_COSTO'!$A$4:$A$13,0)),"(sin catálogo)"))</f>
        <v/>
      </c>
      <c r="V827" s="3">
        <f>IF($F827="","",IFERROR(INDEX('CAT_CENTROS_COSTO'!$D$4:$D$13,MATCH($F827,'CAT_CENTROS_COSTO'!$A$4:$A$13,0)),"(sin catálogo)"))</f>
        <v/>
      </c>
      <c r="W827" s="3">
        <f>IF($F827="","",IF((IFERROR(INDEX('CAT_CENTROS_COSTO'!$E$4:$E$13,MATCH($F827,'CAT_CENTROS_COSTO'!$A$4:$A$13,0)),""))&lt;&gt;"",IFERROR(INDEX('CAT_CENTROS_COSTO'!$E$4:$E$13,MATCH($F827,'CAT_CENTROS_COSTO'!$A$4:$A$13,0)),""),$V827))</f>
        <v/>
      </c>
      <c r="X827" s="3">
        <f>IF($F827="","",IFERROR(INDEX('CAT_CENTROS_COSTO'!$G$4:$G$13,MATCH($F827,'CAT_CENTROS_COSTO'!$A$4:$A$13,0)),"(sin catálogo)"))</f>
        <v/>
      </c>
      <c r="Y827" s="3">
        <f>IF($G827="","",IFERROR(INDEX('CAT_PUESTOS'!$B$4:$B$8,MATCH($G827,'CAT_PUESTOS'!$A$4:$A$8,0)),"(sin catálogo)"))</f>
        <v/>
      </c>
      <c r="Z827" s="3">
        <f>IF($H827="","",IFERROR(INDEX('CAT_ACTIVIDADES'!$B$4:$B$8,MATCH($H827,'CAT_ACTIVIDADES'!$A$4:$A$8,0)),"(sin catálogo)"))</f>
        <v/>
      </c>
      <c r="AA827" s="12">
        <f>IF($J827="","",TODAY()-$J827)</f>
        <v/>
      </c>
      <c r="AB827" s="12">
        <f>IF($J827="","",IF($J827&lt;=TODAY(),COUNTIFS(cal_fechas,"&gt;="&amp;$J827,cal_fechas,"&lt;"&amp;TODAY(),cal_habil,"sí"),-COUNTIFS(cal_fechas,"&gt;="&amp;TODAY(),cal_fechas,"&lt;"&amp;$J827,cal_habil,"sí")))</f>
        <v/>
      </c>
      <c r="AC827" s="3">
        <f>IF($AB827="","",IF($AB827&lt;0,"FUTURO",IF($AB827&gt;p_dias_backlog_max,"BACKLOG","MES CORRIENTE")))</f>
        <v/>
      </c>
      <c r="AD827" s="3">
        <f>IF($AB827="",FALSE,AND($AB827&gt;p_dias_backlog_min,$AB827&lt;=p_dias_backlog_max))</f>
        <v/>
      </c>
      <c r="AE827" s="6" t="n"/>
      <c r="AF827" s="3">
        <f>IF($AE827="","",IF((IFERROR(INDEX('ASIGNACIONES'!$F$4:$F$339,MATCH($O827&amp;"|"&amp;$R827&amp;"|"&amp;$AE827,'ASIGNACIONES'!$J$4:$J$339,0)),""))=0,"",IFERROR(INDEX('ASIGNACIONES'!$F$4:$F$339,MATCH($O827&amp;"|"&amp;$R827&amp;"|"&amp;$AE827,'ASIGNACIONES'!$J$4:$J$339,0)),"")))</f>
        <v/>
      </c>
      <c r="AG827" s="13">
        <f>IF($AE827="","",SUMIFS('ORDENES'!$M$4:$M$1203,'ORDENES'!$AE$4:$AE$1203,$AE827,'ORDENES'!$O$4:$O$1203,$O827,'ORDENES'!$R$4:$R$1203,$R827))</f>
        <v/>
      </c>
      <c r="AH827" s="13">
        <f>IF($AG827="","",p_factor_productividad*IFERROR(INDEX('ASIGNACIONES'!$I$4:$I$339,MATCH($O827&amp;"|"&amp;$R827&amp;"|"&amp;$AE827,'ASIGNACIONES'!$J$4:$J$339,0)),0)-$AG827)</f>
        <v/>
      </c>
      <c r="AI827" s="10">
        <f>IF($A827="","",IFERROR(INDEX('2_IMPORTAR_EJECUCION'!$F$9:$F$1208,MATCH($AQ827,'2_IMPORTAR_EJECUCION'!$J$9:$J$1208,0)),0))</f>
        <v/>
      </c>
      <c r="AJ827" s="10">
        <f>IF($A827="","",MAX(0,IFERROR(INDEX('2_IMPORTAR_EJECUCION'!$H$9:$H$1208,MATCH($AQ827,'2_IMPORTAR_EJECUCION'!$J$9:$J$1208,0)),0)-$AI827))</f>
        <v/>
      </c>
      <c r="AK827" s="10">
        <f>IF($A827="","",$AI827+$AJ827)</f>
        <v/>
      </c>
      <c r="AL827" s="6" t="n"/>
      <c r="AM827" s="6" t="n"/>
      <c r="AN827" s="6" t="n"/>
      <c r="AO827" s="3">
        <f>IF($AN827="","",HYPERLINK(p_ruta_base_checklists&amp;$AN827,"abrir"))</f>
        <v/>
      </c>
      <c r="AP827" s="6" t="n"/>
      <c r="AQ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IF($A828="","",IFERROR(INDEX('AJUSTES'!$B$4:$B$303,MATCH($AQ828,'AJUSTES'!$A$4:$A$303,0)),IF($K828="","",$K828)))</f>
        <v/>
      </c>
      <c r="N828" s="3">
        <f>IF($A828="","",IFERROR(INDEX('CAT_ESTADOS_ERP'!$B$4:$B$7,MATCH(IFERROR(INDEX('2_IMPORTAR_EJECUCION'!$C$9:$C$1208,MATCH($AQ828,'2_IMPORTAR_EJECUCION'!$J$9:$J$1208,0)),""),'CAT_ESTADOS_ERP'!$A$4:$A$7,0)),"Pendiente"))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J828="","",IFERROR(INDEX('CALENDARIO'!$C$15:$C$214,MATCH(TEXT($J828,"yyyy-mm-dd")&amp;"|"&amp;$V828&amp;"|"&amp;$W828,'CALENDARIO'!$G$15:$G$214,0)),IFERROR(INDEX('CALENDARIO'!$C$15:$C$214,MATCH(TEXT($J828,"yyyy-mm-dd")&amp;"|"&amp;$V828&amp;"|",'CALENDARIO'!$G$15:$G$214,0)),IFERROR(INDEX('CALENDARIO'!$C$15:$C$214,MATCH(TEXT($J828,"yyyy-mm-dd")&amp;"||",'CALENDARIO'!$G$15:$G$214,0)),INDEX(patronHabil,WEEKDAY($J828,2))))))</f>
        <v/>
      </c>
      <c r="T828" s="3">
        <f>IF($I828="","",IFERROR(INDEX('CAT_TIPOS_OT'!$C$4:$C$7,MATCH($I828,'CAT_TIPOS_OT'!$A$4:$A$7,0)),"sin_clasificar"))</f>
        <v/>
      </c>
      <c r="U828" s="3">
        <f>IF($F828="","",IFERROR(INDEX('CAT_CENTROS_COSTO'!$F$4:$F$13,MATCH($F828,'CAT_CENTROS_COSTO'!$A$4:$A$13,0)),"(sin catálogo)"))</f>
        <v/>
      </c>
      <c r="V828" s="3">
        <f>IF($F828="","",IFERROR(INDEX('CAT_CENTROS_COSTO'!$D$4:$D$13,MATCH($F828,'CAT_CENTROS_COSTO'!$A$4:$A$13,0)),"(sin catálogo)"))</f>
        <v/>
      </c>
      <c r="W828" s="3">
        <f>IF($F828="","",IF((IFERROR(INDEX('CAT_CENTROS_COSTO'!$E$4:$E$13,MATCH($F828,'CAT_CENTROS_COSTO'!$A$4:$A$13,0)),""))&lt;&gt;"",IFERROR(INDEX('CAT_CENTROS_COSTO'!$E$4:$E$13,MATCH($F828,'CAT_CENTROS_COSTO'!$A$4:$A$13,0)),""),$V828))</f>
        <v/>
      </c>
      <c r="X828" s="3">
        <f>IF($F828="","",IFERROR(INDEX('CAT_CENTROS_COSTO'!$G$4:$G$13,MATCH($F828,'CAT_CENTROS_COSTO'!$A$4:$A$13,0)),"(sin catálogo)"))</f>
        <v/>
      </c>
      <c r="Y828" s="3">
        <f>IF($G828="","",IFERROR(INDEX('CAT_PUESTOS'!$B$4:$B$8,MATCH($G828,'CAT_PUESTOS'!$A$4:$A$8,0)),"(sin catálogo)"))</f>
        <v/>
      </c>
      <c r="Z828" s="3">
        <f>IF($H828="","",IFERROR(INDEX('CAT_ACTIVIDADES'!$B$4:$B$8,MATCH($H828,'CAT_ACTIVIDADES'!$A$4:$A$8,0)),"(sin catálogo)"))</f>
        <v/>
      </c>
      <c r="AA828" s="12">
        <f>IF($J828="","",TODAY()-$J828)</f>
        <v/>
      </c>
      <c r="AB828" s="12">
        <f>IF($J828="","",IF($J828&lt;=TODAY(),COUNTIFS(cal_fechas,"&gt;="&amp;$J828,cal_fechas,"&lt;"&amp;TODAY(),cal_habil,"sí"),-COUNTIFS(cal_fechas,"&gt;="&amp;TODAY(),cal_fechas,"&lt;"&amp;$J828,cal_habil,"sí")))</f>
        <v/>
      </c>
      <c r="AC828" s="3">
        <f>IF($AB828="","",IF($AB828&lt;0,"FUTURO",IF($AB828&gt;p_dias_backlog_max,"BACKLOG","MES CORRIENTE")))</f>
        <v/>
      </c>
      <c r="AD828" s="3">
        <f>IF($AB828="",FALSE,AND($AB828&gt;p_dias_backlog_min,$AB828&lt;=p_dias_backlog_max))</f>
        <v/>
      </c>
      <c r="AE828" s="6" t="n"/>
      <c r="AF828" s="3">
        <f>IF($AE828="","",IF((IFERROR(INDEX('ASIGNACIONES'!$F$4:$F$339,MATCH($O828&amp;"|"&amp;$R828&amp;"|"&amp;$AE828,'ASIGNACIONES'!$J$4:$J$339,0)),""))=0,"",IFERROR(INDEX('ASIGNACIONES'!$F$4:$F$339,MATCH($O828&amp;"|"&amp;$R828&amp;"|"&amp;$AE828,'ASIGNACIONES'!$J$4:$J$339,0)),"")))</f>
        <v/>
      </c>
      <c r="AG828" s="13">
        <f>IF($AE828="","",SUMIFS('ORDENES'!$M$4:$M$1203,'ORDENES'!$AE$4:$AE$1203,$AE828,'ORDENES'!$O$4:$O$1203,$O828,'ORDENES'!$R$4:$R$1203,$R828))</f>
        <v/>
      </c>
      <c r="AH828" s="13">
        <f>IF($AG828="","",p_factor_productividad*IFERROR(INDEX('ASIGNACIONES'!$I$4:$I$339,MATCH($O828&amp;"|"&amp;$R828&amp;"|"&amp;$AE828,'ASIGNACIONES'!$J$4:$J$339,0)),0)-$AG828)</f>
        <v/>
      </c>
      <c r="AI828" s="10">
        <f>IF($A828="","",IFERROR(INDEX('2_IMPORTAR_EJECUCION'!$F$9:$F$1208,MATCH($AQ828,'2_IMPORTAR_EJECUCION'!$J$9:$J$1208,0)),0))</f>
        <v/>
      </c>
      <c r="AJ828" s="10">
        <f>IF($A828="","",MAX(0,IFERROR(INDEX('2_IMPORTAR_EJECUCION'!$H$9:$H$1208,MATCH($AQ828,'2_IMPORTAR_EJECUCION'!$J$9:$J$1208,0)),0)-$AI828))</f>
        <v/>
      </c>
      <c r="AK828" s="10">
        <f>IF($A828="","",$AI828+$AJ828)</f>
        <v/>
      </c>
      <c r="AL828" s="6" t="n"/>
      <c r="AM828" s="6" t="n"/>
      <c r="AN828" s="6" t="n"/>
      <c r="AO828" s="3">
        <f>IF($AN828="","",HYPERLINK(p_ruta_base_checklists&amp;$AN828,"abrir"))</f>
        <v/>
      </c>
      <c r="AP828" s="6" t="n"/>
      <c r="AQ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IF($A829="","",IFERROR(INDEX('AJUSTES'!$B$4:$B$303,MATCH($AQ829,'AJUSTES'!$A$4:$A$303,0)),IF($K829="","",$K829)))</f>
        <v/>
      </c>
      <c r="N829" s="3">
        <f>IF($A829="","",IFERROR(INDEX('CAT_ESTADOS_ERP'!$B$4:$B$7,MATCH(IFERROR(INDEX('2_IMPORTAR_EJECUCION'!$C$9:$C$1208,MATCH($AQ829,'2_IMPORTAR_EJECUCION'!$J$9:$J$1208,0)),""),'CAT_ESTADOS_ERP'!$A$4:$A$7,0)),"Pendiente"))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J829="","",IFERROR(INDEX('CALENDARIO'!$C$15:$C$214,MATCH(TEXT($J829,"yyyy-mm-dd")&amp;"|"&amp;$V829&amp;"|"&amp;$W829,'CALENDARIO'!$G$15:$G$214,0)),IFERROR(INDEX('CALENDARIO'!$C$15:$C$214,MATCH(TEXT($J829,"yyyy-mm-dd")&amp;"|"&amp;$V829&amp;"|",'CALENDARIO'!$G$15:$G$214,0)),IFERROR(INDEX('CALENDARIO'!$C$15:$C$214,MATCH(TEXT($J829,"yyyy-mm-dd")&amp;"||",'CALENDARIO'!$G$15:$G$214,0)),INDEX(patronHabil,WEEKDAY($J829,2))))))</f>
        <v/>
      </c>
      <c r="T829" s="3">
        <f>IF($I829="","",IFERROR(INDEX('CAT_TIPOS_OT'!$C$4:$C$7,MATCH($I829,'CAT_TIPOS_OT'!$A$4:$A$7,0)),"sin_clasificar"))</f>
        <v/>
      </c>
      <c r="U829" s="3">
        <f>IF($F829="","",IFERROR(INDEX('CAT_CENTROS_COSTO'!$F$4:$F$13,MATCH($F829,'CAT_CENTROS_COSTO'!$A$4:$A$13,0)),"(sin catálogo)"))</f>
        <v/>
      </c>
      <c r="V829" s="3">
        <f>IF($F829="","",IFERROR(INDEX('CAT_CENTROS_COSTO'!$D$4:$D$13,MATCH($F829,'CAT_CENTROS_COSTO'!$A$4:$A$13,0)),"(sin catálogo)"))</f>
        <v/>
      </c>
      <c r="W829" s="3">
        <f>IF($F829="","",IF((IFERROR(INDEX('CAT_CENTROS_COSTO'!$E$4:$E$13,MATCH($F829,'CAT_CENTROS_COSTO'!$A$4:$A$13,0)),""))&lt;&gt;"",IFERROR(INDEX('CAT_CENTROS_COSTO'!$E$4:$E$13,MATCH($F829,'CAT_CENTROS_COSTO'!$A$4:$A$13,0)),""),$V829))</f>
        <v/>
      </c>
      <c r="X829" s="3">
        <f>IF($F829="","",IFERROR(INDEX('CAT_CENTROS_COSTO'!$G$4:$G$13,MATCH($F829,'CAT_CENTROS_COSTO'!$A$4:$A$13,0)),"(sin catálogo)"))</f>
        <v/>
      </c>
      <c r="Y829" s="3">
        <f>IF($G829="","",IFERROR(INDEX('CAT_PUESTOS'!$B$4:$B$8,MATCH($G829,'CAT_PUESTOS'!$A$4:$A$8,0)),"(sin catálogo)"))</f>
        <v/>
      </c>
      <c r="Z829" s="3">
        <f>IF($H829="","",IFERROR(INDEX('CAT_ACTIVIDADES'!$B$4:$B$8,MATCH($H829,'CAT_ACTIVIDADES'!$A$4:$A$8,0)),"(sin catálogo)"))</f>
        <v/>
      </c>
      <c r="AA829" s="12">
        <f>IF($J829="","",TODAY()-$J829)</f>
        <v/>
      </c>
      <c r="AB829" s="12">
        <f>IF($J829="","",IF($J829&lt;=TODAY(),COUNTIFS(cal_fechas,"&gt;="&amp;$J829,cal_fechas,"&lt;"&amp;TODAY(),cal_habil,"sí"),-COUNTIFS(cal_fechas,"&gt;="&amp;TODAY(),cal_fechas,"&lt;"&amp;$J829,cal_habil,"sí")))</f>
        <v/>
      </c>
      <c r="AC829" s="3">
        <f>IF($AB829="","",IF($AB829&lt;0,"FUTURO",IF($AB829&gt;p_dias_backlog_max,"BACKLOG","MES CORRIENTE")))</f>
        <v/>
      </c>
      <c r="AD829" s="3">
        <f>IF($AB829="",FALSE,AND($AB829&gt;p_dias_backlog_min,$AB829&lt;=p_dias_backlog_max))</f>
        <v/>
      </c>
      <c r="AE829" s="6" t="n"/>
      <c r="AF829" s="3">
        <f>IF($AE829="","",IF((IFERROR(INDEX('ASIGNACIONES'!$F$4:$F$339,MATCH($O829&amp;"|"&amp;$R829&amp;"|"&amp;$AE829,'ASIGNACIONES'!$J$4:$J$339,0)),""))=0,"",IFERROR(INDEX('ASIGNACIONES'!$F$4:$F$339,MATCH($O829&amp;"|"&amp;$R829&amp;"|"&amp;$AE829,'ASIGNACIONES'!$J$4:$J$339,0)),"")))</f>
        <v/>
      </c>
      <c r="AG829" s="13">
        <f>IF($AE829="","",SUMIFS('ORDENES'!$M$4:$M$1203,'ORDENES'!$AE$4:$AE$1203,$AE829,'ORDENES'!$O$4:$O$1203,$O829,'ORDENES'!$R$4:$R$1203,$R829))</f>
        <v/>
      </c>
      <c r="AH829" s="13">
        <f>IF($AG829="","",p_factor_productividad*IFERROR(INDEX('ASIGNACIONES'!$I$4:$I$339,MATCH($O829&amp;"|"&amp;$R829&amp;"|"&amp;$AE829,'ASIGNACIONES'!$J$4:$J$339,0)),0)-$AG829)</f>
        <v/>
      </c>
      <c r="AI829" s="10">
        <f>IF($A829="","",IFERROR(INDEX('2_IMPORTAR_EJECUCION'!$F$9:$F$1208,MATCH($AQ829,'2_IMPORTAR_EJECUCION'!$J$9:$J$1208,0)),0))</f>
        <v/>
      </c>
      <c r="AJ829" s="10">
        <f>IF($A829="","",MAX(0,IFERROR(INDEX('2_IMPORTAR_EJECUCION'!$H$9:$H$1208,MATCH($AQ829,'2_IMPORTAR_EJECUCION'!$J$9:$J$1208,0)),0)-$AI829))</f>
        <v/>
      </c>
      <c r="AK829" s="10">
        <f>IF($A829="","",$AI829+$AJ829)</f>
        <v/>
      </c>
      <c r="AL829" s="6" t="n"/>
      <c r="AM829" s="6" t="n"/>
      <c r="AN829" s="6" t="n"/>
      <c r="AO829" s="3">
        <f>IF($AN829="","",HYPERLINK(p_ruta_base_checklists&amp;$AN829,"abrir"))</f>
        <v/>
      </c>
      <c r="AP829" s="6" t="n"/>
      <c r="AQ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IF($A830="","",IFERROR(INDEX('AJUSTES'!$B$4:$B$303,MATCH($AQ830,'AJUSTES'!$A$4:$A$303,0)),IF($K830="","",$K830)))</f>
        <v/>
      </c>
      <c r="N830" s="3">
        <f>IF($A830="","",IFERROR(INDEX('CAT_ESTADOS_ERP'!$B$4:$B$7,MATCH(IFERROR(INDEX('2_IMPORTAR_EJECUCION'!$C$9:$C$1208,MATCH($AQ830,'2_IMPORTAR_EJECUCION'!$J$9:$J$1208,0)),""),'CAT_ESTADOS_ERP'!$A$4:$A$7,0)),"Pendiente"))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J830="","",IFERROR(INDEX('CALENDARIO'!$C$15:$C$214,MATCH(TEXT($J830,"yyyy-mm-dd")&amp;"|"&amp;$V830&amp;"|"&amp;$W830,'CALENDARIO'!$G$15:$G$214,0)),IFERROR(INDEX('CALENDARIO'!$C$15:$C$214,MATCH(TEXT($J830,"yyyy-mm-dd")&amp;"|"&amp;$V830&amp;"|",'CALENDARIO'!$G$15:$G$214,0)),IFERROR(INDEX('CALENDARIO'!$C$15:$C$214,MATCH(TEXT($J830,"yyyy-mm-dd")&amp;"||",'CALENDARIO'!$G$15:$G$214,0)),INDEX(patronHabil,WEEKDAY($J830,2))))))</f>
        <v/>
      </c>
      <c r="T830" s="3">
        <f>IF($I830="","",IFERROR(INDEX('CAT_TIPOS_OT'!$C$4:$C$7,MATCH($I830,'CAT_TIPOS_OT'!$A$4:$A$7,0)),"sin_clasificar"))</f>
        <v/>
      </c>
      <c r="U830" s="3">
        <f>IF($F830="","",IFERROR(INDEX('CAT_CENTROS_COSTO'!$F$4:$F$13,MATCH($F830,'CAT_CENTROS_COSTO'!$A$4:$A$13,0)),"(sin catálogo)"))</f>
        <v/>
      </c>
      <c r="V830" s="3">
        <f>IF($F830="","",IFERROR(INDEX('CAT_CENTROS_COSTO'!$D$4:$D$13,MATCH($F830,'CAT_CENTROS_COSTO'!$A$4:$A$13,0)),"(sin catálogo)"))</f>
        <v/>
      </c>
      <c r="W830" s="3">
        <f>IF($F830="","",IF((IFERROR(INDEX('CAT_CENTROS_COSTO'!$E$4:$E$13,MATCH($F830,'CAT_CENTROS_COSTO'!$A$4:$A$13,0)),""))&lt;&gt;"",IFERROR(INDEX('CAT_CENTROS_COSTO'!$E$4:$E$13,MATCH($F830,'CAT_CENTROS_COSTO'!$A$4:$A$13,0)),""),$V830))</f>
        <v/>
      </c>
      <c r="X830" s="3">
        <f>IF($F830="","",IFERROR(INDEX('CAT_CENTROS_COSTO'!$G$4:$G$13,MATCH($F830,'CAT_CENTROS_COSTO'!$A$4:$A$13,0)),"(sin catálogo)"))</f>
        <v/>
      </c>
      <c r="Y830" s="3">
        <f>IF($G830="","",IFERROR(INDEX('CAT_PUESTOS'!$B$4:$B$8,MATCH($G830,'CAT_PUESTOS'!$A$4:$A$8,0)),"(sin catálogo)"))</f>
        <v/>
      </c>
      <c r="Z830" s="3">
        <f>IF($H830="","",IFERROR(INDEX('CAT_ACTIVIDADES'!$B$4:$B$8,MATCH($H830,'CAT_ACTIVIDADES'!$A$4:$A$8,0)),"(sin catálogo)"))</f>
        <v/>
      </c>
      <c r="AA830" s="12">
        <f>IF($J830="","",TODAY()-$J830)</f>
        <v/>
      </c>
      <c r="AB830" s="12">
        <f>IF($J830="","",IF($J830&lt;=TODAY(),COUNTIFS(cal_fechas,"&gt;="&amp;$J830,cal_fechas,"&lt;"&amp;TODAY(),cal_habil,"sí"),-COUNTIFS(cal_fechas,"&gt;="&amp;TODAY(),cal_fechas,"&lt;"&amp;$J830,cal_habil,"sí")))</f>
        <v/>
      </c>
      <c r="AC830" s="3">
        <f>IF($AB830="","",IF($AB830&lt;0,"FUTURO",IF($AB830&gt;p_dias_backlog_max,"BACKLOG","MES CORRIENTE")))</f>
        <v/>
      </c>
      <c r="AD830" s="3">
        <f>IF($AB830="",FALSE,AND($AB830&gt;p_dias_backlog_min,$AB830&lt;=p_dias_backlog_max))</f>
        <v/>
      </c>
      <c r="AE830" s="6" t="n"/>
      <c r="AF830" s="3">
        <f>IF($AE830="","",IF((IFERROR(INDEX('ASIGNACIONES'!$F$4:$F$339,MATCH($O830&amp;"|"&amp;$R830&amp;"|"&amp;$AE830,'ASIGNACIONES'!$J$4:$J$339,0)),""))=0,"",IFERROR(INDEX('ASIGNACIONES'!$F$4:$F$339,MATCH($O830&amp;"|"&amp;$R830&amp;"|"&amp;$AE830,'ASIGNACIONES'!$J$4:$J$339,0)),"")))</f>
        <v/>
      </c>
      <c r="AG830" s="13">
        <f>IF($AE830="","",SUMIFS('ORDENES'!$M$4:$M$1203,'ORDENES'!$AE$4:$AE$1203,$AE830,'ORDENES'!$O$4:$O$1203,$O830,'ORDENES'!$R$4:$R$1203,$R830))</f>
        <v/>
      </c>
      <c r="AH830" s="13">
        <f>IF($AG830="","",p_factor_productividad*IFERROR(INDEX('ASIGNACIONES'!$I$4:$I$339,MATCH($O830&amp;"|"&amp;$R830&amp;"|"&amp;$AE830,'ASIGNACIONES'!$J$4:$J$339,0)),0)-$AG830)</f>
        <v/>
      </c>
      <c r="AI830" s="10">
        <f>IF($A830="","",IFERROR(INDEX('2_IMPORTAR_EJECUCION'!$F$9:$F$1208,MATCH($AQ830,'2_IMPORTAR_EJECUCION'!$J$9:$J$1208,0)),0))</f>
        <v/>
      </c>
      <c r="AJ830" s="10">
        <f>IF($A830="","",MAX(0,IFERROR(INDEX('2_IMPORTAR_EJECUCION'!$H$9:$H$1208,MATCH($AQ830,'2_IMPORTAR_EJECUCION'!$J$9:$J$1208,0)),0)-$AI830))</f>
        <v/>
      </c>
      <c r="AK830" s="10">
        <f>IF($A830="","",$AI830+$AJ830)</f>
        <v/>
      </c>
      <c r="AL830" s="6" t="n"/>
      <c r="AM830" s="6" t="n"/>
      <c r="AN830" s="6" t="n"/>
      <c r="AO830" s="3">
        <f>IF($AN830="","",HYPERLINK(p_ruta_base_checklists&amp;$AN830,"abrir"))</f>
        <v/>
      </c>
      <c r="AP830" s="6" t="n"/>
      <c r="AQ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IF($A831="","",IFERROR(INDEX('AJUSTES'!$B$4:$B$303,MATCH($AQ831,'AJUSTES'!$A$4:$A$303,0)),IF($K831="","",$K831)))</f>
        <v/>
      </c>
      <c r="N831" s="3">
        <f>IF($A831="","",IFERROR(INDEX('CAT_ESTADOS_ERP'!$B$4:$B$7,MATCH(IFERROR(INDEX('2_IMPORTAR_EJECUCION'!$C$9:$C$1208,MATCH($AQ831,'2_IMPORTAR_EJECUCION'!$J$9:$J$1208,0)),""),'CAT_ESTADOS_ERP'!$A$4:$A$7,0)),"Pendiente"))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J831="","",IFERROR(INDEX('CALENDARIO'!$C$15:$C$214,MATCH(TEXT($J831,"yyyy-mm-dd")&amp;"|"&amp;$V831&amp;"|"&amp;$W831,'CALENDARIO'!$G$15:$G$214,0)),IFERROR(INDEX('CALENDARIO'!$C$15:$C$214,MATCH(TEXT($J831,"yyyy-mm-dd")&amp;"|"&amp;$V831&amp;"|",'CALENDARIO'!$G$15:$G$214,0)),IFERROR(INDEX('CALENDARIO'!$C$15:$C$214,MATCH(TEXT($J831,"yyyy-mm-dd")&amp;"||",'CALENDARIO'!$G$15:$G$214,0)),INDEX(patronHabil,WEEKDAY($J831,2))))))</f>
        <v/>
      </c>
      <c r="T831" s="3">
        <f>IF($I831="","",IFERROR(INDEX('CAT_TIPOS_OT'!$C$4:$C$7,MATCH($I831,'CAT_TIPOS_OT'!$A$4:$A$7,0)),"sin_clasificar"))</f>
        <v/>
      </c>
      <c r="U831" s="3">
        <f>IF($F831="","",IFERROR(INDEX('CAT_CENTROS_COSTO'!$F$4:$F$13,MATCH($F831,'CAT_CENTROS_COSTO'!$A$4:$A$13,0)),"(sin catálogo)"))</f>
        <v/>
      </c>
      <c r="V831" s="3">
        <f>IF($F831="","",IFERROR(INDEX('CAT_CENTROS_COSTO'!$D$4:$D$13,MATCH($F831,'CAT_CENTROS_COSTO'!$A$4:$A$13,0)),"(sin catálogo)"))</f>
        <v/>
      </c>
      <c r="W831" s="3">
        <f>IF($F831="","",IF((IFERROR(INDEX('CAT_CENTROS_COSTO'!$E$4:$E$13,MATCH($F831,'CAT_CENTROS_COSTO'!$A$4:$A$13,0)),""))&lt;&gt;"",IFERROR(INDEX('CAT_CENTROS_COSTO'!$E$4:$E$13,MATCH($F831,'CAT_CENTROS_COSTO'!$A$4:$A$13,0)),""),$V831))</f>
        <v/>
      </c>
      <c r="X831" s="3">
        <f>IF($F831="","",IFERROR(INDEX('CAT_CENTROS_COSTO'!$G$4:$G$13,MATCH($F831,'CAT_CENTROS_COSTO'!$A$4:$A$13,0)),"(sin catálogo)"))</f>
        <v/>
      </c>
      <c r="Y831" s="3">
        <f>IF($G831="","",IFERROR(INDEX('CAT_PUESTOS'!$B$4:$B$8,MATCH($G831,'CAT_PUESTOS'!$A$4:$A$8,0)),"(sin catálogo)"))</f>
        <v/>
      </c>
      <c r="Z831" s="3">
        <f>IF($H831="","",IFERROR(INDEX('CAT_ACTIVIDADES'!$B$4:$B$8,MATCH($H831,'CAT_ACTIVIDADES'!$A$4:$A$8,0)),"(sin catálogo)"))</f>
        <v/>
      </c>
      <c r="AA831" s="12">
        <f>IF($J831="","",TODAY()-$J831)</f>
        <v/>
      </c>
      <c r="AB831" s="12">
        <f>IF($J831="","",IF($J831&lt;=TODAY(),COUNTIFS(cal_fechas,"&gt;="&amp;$J831,cal_fechas,"&lt;"&amp;TODAY(),cal_habil,"sí"),-COUNTIFS(cal_fechas,"&gt;="&amp;TODAY(),cal_fechas,"&lt;"&amp;$J831,cal_habil,"sí")))</f>
        <v/>
      </c>
      <c r="AC831" s="3">
        <f>IF($AB831="","",IF($AB831&lt;0,"FUTURO",IF($AB831&gt;p_dias_backlog_max,"BACKLOG","MES CORRIENTE")))</f>
        <v/>
      </c>
      <c r="AD831" s="3">
        <f>IF($AB831="",FALSE,AND($AB831&gt;p_dias_backlog_min,$AB831&lt;=p_dias_backlog_max))</f>
        <v/>
      </c>
      <c r="AE831" s="6" t="n"/>
      <c r="AF831" s="3">
        <f>IF($AE831="","",IF((IFERROR(INDEX('ASIGNACIONES'!$F$4:$F$339,MATCH($O831&amp;"|"&amp;$R831&amp;"|"&amp;$AE831,'ASIGNACIONES'!$J$4:$J$339,0)),""))=0,"",IFERROR(INDEX('ASIGNACIONES'!$F$4:$F$339,MATCH($O831&amp;"|"&amp;$R831&amp;"|"&amp;$AE831,'ASIGNACIONES'!$J$4:$J$339,0)),"")))</f>
        <v/>
      </c>
      <c r="AG831" s="13">
        <f>IF($AE831="","",SUMIFS('ORDENES'!$M$4:$M$1203,'ORDENES'!$AE$4:$AE$1203,$AE831,'ORDENES'!$O$4:$O$1203,$O831,'ORDENES'!$R$4:$R$1203,$R831))</f>
        <v/>
      </c>
      <c r="AH831" s="13">
        <f>IF($AG831="","",p_factor_productividad*IFERROR(INDEX('ASIGNACIONES'!$I$4:$I$339,MATCH($O831&amp;"|"&amp;$R831&amp;"|"&amp;$AE831,'ASIGNACIONES'!$J$4:$J$339,0)),0)-$AG831)</f>
        <v/>
      </c>
      <c r="AI831" s="10">
        <f>IF($A831="","",IFERROR(INDEX('2_IMPORTAR_EJECUCION'!$F$9:$F$1208,MATCH($AQ831,'2_IMPORTAR_EJECUCION'!$J$9:$J$1208,0)),0))</f>
        <v/>
      </c>
      <c r="AJ831" s="10">
        <f>IF($A831="","",MAX(0,IFERROR(INDEX('2_IMPORTAR_EJECUCION'!$H$9:$H$1208,MATCH($AQ831,'2_IMPORTAR_EJECUCION'!$J$9:$J$1208,0)),0)-$AI831))</f>
        <v/>
      </c>
      <c r="AK831" s="10">
        <f>IF($A831="","",$AI831+$AJ831)</f>
        <v/>
      </c>
      <c r="AL831" s="6" t="n"/>
      <c r="AM831" s="6" t="n"/>
      <c r="AN831" s="6" t="n"/>
      <c r="AO831" s="3">
        <f>IF($AN831="","",HYPERLINK(p_ruta_base_checklists&amp;$AN831,"abrir"))</f>
        <v/>
      </c>
      <c r="AP831" s="6" t="n"/>
      <c r="AQ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IF($A832="","",IFERROR(INDEX('AJUSTES'!$B$4:$B$303,MATCH($AQ832,'AJUSTES'!$A$4:$A$303,0)),IF($K832="","",$K832)))</f>
        <v/>
      </c>
      <c r="N832" s="3">
        <f>IF($A832="","",IFERROR(INDEX('CAT_ESTADOS_ERP'!$B$4:$B$7,MATCH(IFERROR(INDEX('2_IMPORTAR_EJECUCION'!$C$9:$C$1208,MATCH($AQ832,'2_IMPORTAR_EJECUCION'!$J$9:$J$1208,0)),""),'CAT_ESTADOS_ERP'!$A$4:$A$7,0)),"Pendiente"))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J832="","",IFERROR(INDEX('CALENDARIO'!$C$15:$C$214,MATCH(TEXT($J832,"yyyy-mm-dd")&amp;"|"&amp;$V832&amp;"|"&amp;$W832,'CALENDARIO'!$G$15:$G$214,0)),IFERROR(INDEX('CALENDARIO'!$C$15:$C$214,MATCH(TEXT($J832,"yyyy-mm-dd")&amp;"|"&amp;$V832&amp;"|",'CALENDARIO'!$G$15:$G$214,0)),IFERROR(INDEX('CALENDARIO'!$C$15:$C$214,MATCH(TEXT($J832,"yyyy-mm-dd")&amp;"||",'CALENDARIO'!$G$15:$G$214,0)),INDEX(patronHabil,WEEKDAY($J832,2))))))</f>
        <v/>
      </c>
      <c r="T832" s="3">
        <f>IF($I832="","",IFERROR(INDEX('CAT_TIPOS_OT'!$C$4:$C$7,MATCH($I832,'CAT_TIPOS_OT'!$A$4:$A$7,0)),"sin_clasificar"))</f>
        <v/>
      </c>
      <c r="U832" s="3">
        <f>IF($F832="","",IFERROR(INDEX('CAT_CENTROS_COSTO'!$F$4:$F$13,MATCH($F832,'CAT_CENTROS_COSTO'!$A$4:$A$13,0)),"(sin catálogo)"))</f>
        <v/>
      </c>
      <c r="V832" s="3">
        <f>IF($F832="","",IFERROR(INDEX('CAT_CENTROS_COSTO'!$D$4:$D$13,MATCH($F832,'CAT_CENTROS_COSTO'!$A$4:$A$13,0)),"(sin catálogo)"))</f>
        <v/>
      </c>
      <c r="W832" s="3">
        <f>IF($F832="","",IF((IFERROR(INDEX('CAT_CENTROS_COSTO'!$E$4:$E$13,MATCH($F832,'CAT_CENTROS_COSTO'!$A$4:$A$13,0)),""))&lt;&gt;"",IFERROR(INDEX('CAT_CENTROS_COSTO'!$E$4:$E$13,MATCH($F832,'CAT_CENTROS_COSTO'!$A$4:$A$13,0)),""),$V832))</f>
        <v/>
      </c>
      <c r="X832" s="3">
        <f>IF($F832="","",IFERROR(INDEX('CAT_CENTROS_COSTO'!$G$4:$G$13,MATCH($F832,'CAT_CENTROS_COSTO'!$A$4:$A$13,0)),"(sin catálogo)"))</f>
        <v/>
      </c>
      <c r="Y832" s="3">
        <f>IF($G832="","",IFERROR(INDEX('CAT_PUESTOS'!$B$4:$B$8,MATCH($G832,'CAT_PUESTOS'!$A$4:$A$8,0)),"(sin catálogo)"))</f>
        <v/>
      </c>
      <c r="Z832" s="3">
        <f>IF($H832="","",IFERROR(INDEX('CAT_ACTIVIDADES'!$B$4:$B$8,MATCH($H832,'CAT_ACTIVIDADES'!$A$4:$A$8,0)),"(sin catálogo)"))</f>
        <v/>
      </c>
      <c r="AA832" s="12">
        <f>IF($J832="","",TODAY()-$J832)</f>
        <v/>
      </c>
      <c r="AB832" s="12">
        <f>IF($J832="","",IF($J832&lt;=TODAY(),COUNTIFS(cal_fechas,"&gt;="&amp;$J832,cal_fechas,"&lt;"&amp;TODAY(),cal_habil,"sí"),-COUNTIFS(cal_fechas,"&gt;="&amp;TODAY(),cal_fechas,"&lt;"&amp;$J832,cal_habil,"sí")))</f>
        <v/>
      </c>
      <c r="AC832" s="3">
        <f>IF($AB832="","",IF($AB832&lt;0,"FUTURO",IF($AB832&gt;p_dias_backlog_max,"BACKLOG","MES CORRIENTE")))</f>
        <v/>
      </c>
      <c r="AD832" s="3">
        <f>IF($AB832="",FALSE,AND($AB832&gt;p_dias_backlog_min,$AB832&lt;=p_dias_backlog_max))</f>
        <v/>
      </c>
      <c r="AE832" s="6" t="n"/>
      <c r="AF832" s="3">
        <f>IF($AE832="","",IF((IFERROR(INDEX('ASIGNACIONES'!$F$4:$F$339,MATCH($O832&amp;"|"&amp;$R832&amp;"|"&amp;$AE832,'ASIGNACIONES'!$J$4:$J$339,0)),""))=0,"",IFERROR(INDEX('ASIGNACIONES'!$F$4:$F$339,MATCH($O832&amp;"|"&amp;$R832&amp;"|"&amp;$AE832,'ASIGNACIONES'!$J$4:$J$339,0)),"")))</f>
        <v/>
      </c>
      <c r="AG832" s="13">
        <f>IF($AE832="","",SUMIFS('ORDENES'!$M$4:$M$1203,'ORDENES'!$AE$4:$AE$1203,$AE832,'ORDENES'!$O$4:$O$1203,$O832,'ORDENES'!$R$4:$R$1203,$R832))</f>
        <v/>
      </c>
      <c r="AH832" s="13">
        <f>IF($AG832="","",p_factor_productividad*IFERROR(INDEX('ASIGNACIONES'!$I$4:$I$339,MATCH($O832&amp;"|"&amp;$R832&amp;"|"&amp;$AE832,'ASIGNACIONES'!$J$4:$J$339,0)),0)-$AG832)</f>
        <v/>
      </c>
      <c r="AI832" s="10">
        <f>IF($A832="","",IFERROR(INDEX('2_IMPORTAR_EJECUCION'!$F$9:$F$1208,MATCH($AQ832,'2_IMPORTAR_EJECUCION'!$J$9:$J$1208,0)),0))</f>
        <v/>
      </c>
      <c r="AJ832" s="10">
        <f>IF($A832="","",MAX(0,IFERROR(INDEX('2_IMPORTAR_EJECUCION'!$H$9:$H$1208,MATCH($AQ832,'2_IMPORTAR_EJECUCION'!$J$9:$J$1208,0)),0)-$AI832))</f>
        <v/>
      </c>
      <c r="AK832" s="10">
        <f>IF($A832="","",$AI832+$AJ832)</f>
        <v/>
      </c>
      <c r="AL832" s="6" t="n"/>
      <c r="AM832" s="6" t="n"/>
      <c r="AN832" s="6" t="n"/>
      <c r="AO832" s="3">
        <f>IF($AN832="","",HYPERLINK(p_ruta_base_checklists&amp;$AN832,"abrir"))</f>
        <v/>
      </c>
      <c r="AP832" s="6" t="n"/>
      <c r="AQ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IF($A833="","",IFERROR(INDEX('AJUSTES'!$B$4:$B$303,MATCH($AQ833,'AJUSTES'!$A$4:$A$303,0)),IF($K833="","",$K833)))</f>
        <v/>
      </c>
      <c r="N833" s="3">
        <f>IF($A833="","",IFERROR(INDEX('CAT_ESTADOS_ERP'!$B$4:$B$7,MATCH(IFERROR(INDEX('2_IMPORTAR_EJECUCION'!$C$9:$C$1208,MATCH($AQ833,'2_IMPORTAR_EJECUCION'!$J$9:$J$1208,0)),""),'CAT_ESTADOS_ERP'!$A$4:$A$7,0)),"Pendiente"))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J833="","",IFERROR(INDEX('CALENDARIO'!$C$15:$C$214,MATCH(TEXT($J833,"yyyy-mm-dd")&amp;"|"&amp;$V833&amp;"|"&amp;$W833,'CALENDARIO'!$G$15:$G$214,0)),IFERROR(INDEX('CALENDARIO'!$C$15:$C$214,MATCH(TEXT($J833,"yyyy-mm-dd")&amp;"|"&amp;$V833&amp;"|",'CALENDARIO'!$G$15:$G$214,0)),IFERROR(INDEX('CALENDARIO'!$C$15:$C$214,MATCH(TEXT($J833,"yyyy-mm-dd")&amp;"||",'CALENDARIO'!$G$15:$G$214,0)),INDEX(patronHabil,WEEKDAY($J833,2))))))</f>
        <v/>
      </c>
      <c r="T833" s="3">
        <f>IF($I833="","",IFERROR(INDEX('CAT_TIPOS_OT'!$C$4:$C$7,MATCH($I833,'CAT_TIPOS_OT'!$A$4:$A$7,0)),"sin_clasificar"))</f>
        <v/>
      </c>
      <c r="U833" s="3">
        <f>IF($F833="","",IFERROR(INDEX('CAT_CENTROS_COSTO'!$F$4:$F$13,MATCH($F833,'CAT_CENTROS_COSTO'!$A$4:$A$13,0)),"(sin catálogo)"))</f>
        <v/>
      </c>
      <c r="V833" s="3">
        <f>IF($F833="","",IFERROR(INDEX('CAT_CENTROS_COSTO'!$D$4:$D$13,MATCH($F833,'CAT_CENTROS_COSTO'!$A$4:$A$13,0)),"(sin catálogo)"))</f>
        <v/>
      </c>
      <c r="W833" s="3">
        <f>IF($F833="","",IF((IFERROR(INDEX('CAT_CENTROS_COSTO'!$E$4:$E$13,MATCH($F833,'CAT_CENTROS_COSTO'!$A$4:$A$13,0)),""))&lt;&gt;"",IFERROR(INDEX('CAT_CENTROS_COSTO'!$E$4:$E$13,MATCH($F833,'CAT_CENTROS_COSTO'!$A$4:$A$13,0)),""),$V833))</f>
        <v/>
      </c>
      <c r="X833" s="3">
        <f>IF($F833="","",IFERROR(INDEX('CAT_CENTROS_COSTO'!$G$4:$G$13,MATCH($F833,'CAT_CENTROS_COSTO'!$A$4:$A$13,0)),"(sin catálogo)"))</f>
        <v/>
      </c>
      <c r="Y833" s="3">
        <f>IF($G833="","",IFERROR(INDEX('CAT_PUESTOS'!$B$4:$B$8,MATCH($G833,'CAT_PUESTOS'!$A$4:$A$8,0)),"(sin catálogo)"))</f>
        <v/>
      </c>
      <c r="Z833" s="3">
        <f>IF($H833="","",IFERROR(INDEX('CAT_ACTIVIDADES'!$B$4:$B$8,MATCH($H833,'CAT_ACTIVIDADES'!$A$4:$A$8,0)),"(sin catálogo)"))</f>
        <v/>
      </c>
      <c r="AA833" s="12">
        <f>IF($J833="","",TODAY()-$J833)</f>
        <v/>
      </c>
      <c r="AB833" s="12">
        <f>IF($J833="","",IF($J833&lt;=TODAY(),COUNTIFS(cal_fechas,"&gt;="&amp;$J833,cal_fechas,"&lt;"&amp;TODAY(),cal_habil,"sí"),-COUNTIFS(cal_fechas,"&gt;="&amp;TODAY(),cal_fechas,"&lt;"&amp;$J833,cal_habil,"sí")))</f>
        <v/>
      </c>
      <c r="AC833" s="3">
        <f>IF($AB833="","",IF($AB833&lt;0,"FUTURO",IF($AB833&gt;p_dias_backlog_max,"BACKLOG","MES CORRIENTE")))</f>
        <v/>
      </c>
      <c r="AD833" s="3">
        <f>IF($AB833="",FALSE,AND($AB833&gt;p_dias_backlog_min,$AB833&lt;=p_dias_backlog_max))</f>
        <v/>
      </c>
      <c r="AE833" s="6" t="n"/>
      <c r="AF833" s="3">
        <f>IF($AE833="","",IF((IFERROR(INDEX('ASIGNACIONES'!$F$4:$F$339,MATCH($O833&amp;"|"&amp;$R833&amp;"|"&amp;$AE833,'ASIGNACIONES'!$J$4:$J$339,0)),""))=0,"",IFERROR(INDEX('ASIGNACIONES'!$F$4:$F$339,MATCH($O833&amp;"|"&amp;$R833&amp;"|"&amp;$AE833,'ASIGNACIONES'!$J$4:$J$339,0)),"")))</f>
        <v/>
      </c>
      <c r="AG833" s="13">
        <f>IF($AE833="","",SUMIFS('ORDENES'!$M$4:$M$1203,'ORDENES'!$AE$4:$AE$1203,$AE833,'ORDENES'!$O$4:$O$1203,$O833,'ORDENES'!$R$4:$R$1203,$R833))</f>
        <v/>
      </c>
      <c r="AH833" s="13">
        <f>IF($AG833="","",p_factor_productividad*IFERROR(INDEX('ASIGNACIONES'!$I$4:$I$339,MATCH($O833&amp;"|"&amp;$R833&amp;"|"&amp;$AE833,'ASIGNACIONES'!$J$4:$J$339,0)),0)-$AG833)</f>
        <v/>
      </c>
      <c r="AI833" s="10">
        <f>IF($A833="","",IFERROR(INDEX('2_IMPORTAR_EJECUCION'!$F$9:$F$1208,MATCH($AQ833,'2_IMPORTAR_EJECUCION'!$J$9:$J$1208,0)),0))</f>
        <v/>
      </c>
      <c r="AJ833" s="10">
        <f>IF($A833="","",MAX(0,IFERROR(INDEX('2_IMPORTAR_EJECUCION'!$H$9:$H$1208,MATCH($AQ833,'2_IMPORTAR_EJECUCION'!$J$9:$J$1208,0)),0)-$AI833))</f>
        <v/>
      </c>
      <c r="AK833" s="10">
        <f>IF($A833="","",$AI833+$AJ833)</f>
        <v/>
      </c>
      <c r="AL833" s="6" t="n"/>
      <c r="AM833" s="6" t="n"/>
      <c r="AN833" s="6" t="n"/>
      <c r="AO833" s="3">
        <f>IF($AN833="","",HYPERLINK(p_ruta_base_checklists&amp;$AN833,"abrir"))</f>
        <v/>
      </c>
      <c r="AP833" s="6" t="n"/>
      <c r="AQ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IF($A834="","",IFERROR(INDEX('AJUSTES'!$B$4:$B$303,MATCH($AQ834,'AJUSTES'!$A$4:$A$303,0)),IF($K834="","",$K834)))</f>
        <v/>
      </c>
      <c r="N834" s="3">
        <f>IF($A834="","",IFERROR(INDEX('CAT_ESTADOS_ERP'!$B$4:$B$7,MATCH(IFERROR(INDEX('2_IMPORTAR_EJECUCION'!$C$9:$C$1208,MATCH($AQ834,'2_IMPORTAR_EJECUCION'!$J$9:$J$1208,0)),""),'CAT_ESTADOS_ERP'!$A$4:$A$7,0)),"Pendiente"))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J834="","",IFERROR(INDEX('CALENDARIO'!$C$15:$C$214,MATCH(TEXT($J834,"yyyy-mm-dd")&amp;"|"&amp;$V834&amp;"|"&amp;$W834,'CALENDARIO'!$G$15:$G$214,0)),IFERROR(INDEX('CALENDARIO'!$C$15:$C$214,MATCH(TEXT($J834,"yyyy-mm-dd")&amp;"|"&amp;$V834&amp;"|",'CALENDARIO'!$G$15:$G$214,0)),IFERROR(INDEX('CALENDARIO'!$C$15:$C$214,MATCH(TEXT($J834,"yyyy-mm-dd")&amp;"||",'CALENDARIO'!$G$15:$G$214,0)),INDEX(patronHabil,WEEKDAY($J834,2))))))</f>
        <v/>
      </c>
      <c r="T834" s="3">
        <f>IF($I834="","",IFERROR(INDEX('CAT_TIPOS_OT'!$C$4:$C$7,MATCH($I834,'CAT_TIPOS_OT'!$A$4:$A$7,0)),"sin_clasificar"))</f>
        <v/>
      </c>
      <c r="U834" s="3">
        <f>IF($F834="","",IFERROR(INDEX('CAT_CENTROS_COSTO'!$F$4:$F$13,MATCH($F834,'CAT_CENTROS_COSTO'!$A$4:$A$13,0)),"(sin catálogo)"))</f>
        <v/>
      </c>
      <c r="V834" s="3">
        <f>IF($F834="","",IFERROR(INDEX('CAT_CENTROS_COSTO'!$D$4:$D$13,MATCH($F834,'CAT_CENTROS_COSTO'!$A$4:$A$13,0)),"(sin catálogo)"))</f>
        <v/>
      </c>
      <c r="W834" s="3">
        <f>IF($F834="","",IF((IFERROR(INDEX('CAT_CENTROS_COSTO'!$E$4:$E$13,MATCH($F834,'CAT_CENTROS_COSTO'!$A$4:$A$13,0)),""))&lt;&gt;"",IFERROR(INDEX('CAT_CENTROS_COSTO'!$E$4:$E$13,MATCH($F834,'CAT_CENTROS_COSTO'!$A$4:$A$13,0)),""),$V834))</f>
        <v/>
      </c>
      <c r="X834" s="3">
        <f>IF($F834="","",IFERROR(INDEX('CAT_CENTROS_COSTO'!$G$4:$G$13,MATCH($F834,'CAT_CENTROS_COSTO'!$A$4:$A$13,0)),"(sin catálogo)"))</f>
        <v/>
      </c>
      <c r="Y834" s="3">
        <f>IF($G834="","",IFERROR(INDEX('CAT_PUESTOS'!$B$4:$B$8,MATCH($G834,'CAT_PUESTOS'!$A$4:$A$8,0)),"(sin catálogo)"))</f>
        <v/>
      </c>
      <c r="Z834" s="3">
        <f>IF($H834="","",IFERROR(INDEX('CAT_ACTIVIDADES'!$B$4:$B$8,MATCH($H834,'CAT_ACTIVIDADES'!$A$4:$A$8,0)),"(sin catálogo)"))</f>
        <v/>
      </c>
      <c r="AA834" s="12">
        <f>IF($J834="","",TODAY()-$J834)</f>
        <v/>
      </c>
      <c r="AB834" s="12">
        <f>IF($J834="","",IF($J834&lt;=TODAY(),COUNTIFS(cal_fechas,"&gt;="&amp;$J834,cal_fechas,"&lt;"&amp;TODAY(),cal_habil,"sí"),-COUNTIFS(cal_fechas,"&gt;="&amp;TODAY(),cal_fechas,"&lt;"&amp;$J834,cal_habil,"sí")))</f>
        <v/>
      </c>
      <c r="AC834" s="3">
        <f>IF($AB834="","",IF($AB834&lt;0,"FUTURO",IF($AB834&gt;p_dias_backlog_max,"BACKLOG","MES CORRIENTE")))</f>
        <v/>
      </c>
      <c r="AD834" s="3">
        <f>IF($AB834="",FALSE,AND($AB834&gt;p_dias_backlog_min,$AB834&lt;=p_dias_backlog_max))</f>
        <v/>
      </c>
      <c r="AE834" s="6" t="n"/>
      <c r="AF834" s="3">
        <f>IF($AE834="","",IF((IFERROR(INDEX('ASIGNACIONES'!$F$4:$F$339,MATCH($O834&amp;"|"&amp;$R834&amp;"|"&amp;$AE834,'ASIGNACIONES'!$J$4:$J$339,0)),""))=0,"",IFERROR(INDEX('ASIGNACIONES'!$F$4:$F$339,MATCH($O834&amp;"|"&amp;$R834&amp;"|"&amp;$AE834,'ASIGNACIONES'!$J$4:$J$339,0)),"")))</f>
        <v/>
      </c>
      <c r="AG834" s="13">
        <f>IF($AE834="","",SUMIFS('ORDENES'!$M$4:$M$1203,'ORDENES'!$AE$4:$AE$1203,$AE834,'ORDENES'!$O$4:$O$1203,$O834,'ORDENES'!$R$4:$R$1203,$R834))</f>
        <v/>
      </c>
      <c r="AH834" s="13">
        <f>IF($AG834="","",p_factor_productividad*IFERROR(INDEX('ASIGNACIONES'!$I$4:$I$339,MATCH($O834&amp;"|"&amp;$R834&amp;"|"&amp;$AE834,'ASIGNACIONES'!$J$4:$J$339,0)),0)-$AG834)</f>
        <v/>
      </c>
      <c r="AI834" s="10">
        <f>IF($A834="","",IFERROR(INDEX('2_IMPORTAR_EJECUCION'!$F$9:$F$1208,MATCH($AQ834,'2_IMPORTAR_EJECUCION'!$J$9:$J$1208,0)),0))</f>
        <v/>
      </c>
      <c r="AJ834" s="10">
        <f>IF($A834="","",MAX(0,IFERROR(INDEX('2_IMPORTAR_EJECUCION'!$H$9:$H$1208,MATCH($AQ834,'2_IMPORTAR_EJECUCION'!$J$9:$J$1208,0)),0)-$AI834))</f>
        <v/>
      </c>
      <c r="AK834" s="10">
        <f>IF($A834="","",$AI834+$AJ834)</f>
        <v/>
      </c>
      <c r="AL834" s="6" t="n"/>
      <c r="AM834" s="6" t="n"/>
      <c r="AN834" s="6" t="n"/>
      <c r="AO834" s="3">
        <f>IF($AN834="","",HYPERLINK(p_ruta_base_checklists&amp;$AN834,"abrir"))</f>
        <v/>
      </c>
      <c r="AP834" s="6" t="n"/>
      <c r="AQ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IF($A835="","",IFERROR(INDEX('AJUSTES'!$B$4:$B$303,MATCH($AQ835,'AJUSTES'!$A$4:$A$303,0)),IF($K835="","",$K835)))</f>
        <v/>
      </c>
      <c r="N835" s="3">
        <f>IF($A835="","",IFERROR(INDEX('CAT_ESTADOS_ERP'!$B$4:$B$7,MATCH(IFERROR(INDEX('2_IMPORTAR_EJECUCION'!$C$9:$C$1208,MATCH($AQ835,'2_IMPORTAR_EJECUCION'!$J$9:$J$1208,0)),""),'CAT_ESTADOS_ERP'!$A$4:$A$7,0)),"Pendiente"))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J835="","",IFERROR(INDEX('CALENDARIO'!$C$15:$C$214,MATCH(TEXT($J835,"yyyy-mm-dd")&amp;"|"&amp;$V835&amp;"|"&amp;$W835,'CALENDARIO'!$G$15:$G$214,0)),IFERROR(INDEX('CALENDARIO'!$C$15:$C$214,MATCH(TEXT($J835,"yyyy-mm-dd")&amp;"|"&amp;$V835&amp;"|",'CALENDARIO'!$G$15:$G$214,0)),IFERROR(INDEX('CALENDARIO'!$C$15:$C$214,MATCH(TEXT($J835,"yyyy-mm-dd")&amp;"||",'CALENDARIO'!$G$15:$G$214,0)),INDEX(patronHabil,WEEKDAY($J835,2))))))</f>
        <v/>
      </c>
      <c r="T835" s="3">
        <f>IF($I835="","",IFERROR(INDEX('CAT_TIPOS_OT'!$C$4:$C$7,MATCH($I835,'CAT_TIPOS_OT'!$A$4:$A$7,0)),"sin_clasificar"))</f>
        <v/>
      </c>
      <c r="U835" s="3">
        <f>IF($F835="","",IFERROR(INDEX('CAT_CENTROS_COSTO'!$F$4:$F$13,MATCH($F835,'CAT_CENTROS_COSTO'!$A$4:$A$13,0)),"(sin catálogo)"))</f>
        <v/>
      </c>
      <c r="V835" s="3">
        <f>IF($F835="","",IFERROR(INDEX('CAT_CENTROS_COSTO'!$D$4:$D$13,MATCH($F835,'CAT_CENTROS_COSTO'!$A$4:$A$13,0)),"(sin catálogo)"))</f>
        <v/>
      </c>
      <c r="W835" s="3">
        <f>IF($F835="","",IF((IFERROR(INDEX('CAT_CENTROS_COSTO'!$E$4:$E$13,MATCH($F835,'CAT_CENTROS_COSTO'!$A$4:$A$13,0)),""))&lt;&gt;"",IFERROR(INDEX('CAT_CENTROS_COSTO'!$E$4:$E$13,MATCH($F835,'CAT_CENTROS_COSTO'!$A$4:$A$13,0)),""),$V835))</f>
        <v/>
      </c>
      <c r="X835" s="3">
        <f>IF($F835="","",IFERROR(INDEX('CAT_CENTROS_COSTO'!$G$4:$G$13,MATCH($F835,'CAT_CENTROS_COSTO'!$A$4:$A$13,0)),"(sin catálogo)"))</f>
        <v/>
      </c>
      <c r="Y835" s="3">
        <f>IF($G835="","",IFERROR(INDEX('CAT_PUESTOS'!$B$4:$B$8,MATCH($G835,'CAT_PUESTOS'!$A$4:$A$8,0)),"(sin catálogo)"))</f>
        <v/>
      </c>
      <c r="Z835" s="3">
        <f>IF($H835="","",IFERROR(INDEX('CAT_ACTIVIDADES'!$B$4:$B$8,MATCH($H835,'CAT_ACTIVIDADES'!$A$4:$A$8,0)),"(sin catálogo)"))</f>
        <v/>
      </c>
      <c r="AA835" s="12">
        <f>IF($J835="","",TODAY()-$J835)</f>
        <v/>
      </c>
      <c r="AB835" s="12">
        <f>IF($J835="","",IF($J835&lt;=TODAY(),COUNTIFS(cal_fechas,"&gt;="&amp;$J835,cal_fechas,"&lt;"&amp;TODAY(),cal_habil,"sí"),-COUNTIFS(cal_fechas,"&gt;="&amp;TODAY(),cal_fechas,"&lt;"&amp;$J835,cal_habil,"sí")))</f>
        <v/>
      </c>
      <c r="AC835" s="3">
        <f>IF($AB835="","",IF($AB835&lt;0,"FUTURO",IF($AB835&gt;p_dias_backlog_max,"BACKLOG","MES CORRIENTE")))</f>
        <v/>
      </c>
      <c r="AD835" s="3">
        <f>IF($AB835="",FALSE,AND($AB835&gt;p_dias_backlog_min,$AB835&lt;=p_dias_backlog_max))</f>
        <v/>
      </c>
      <c r="AE835" s="6" t="n"/>
      <c r="AF835" s="3">
        <f>IF($AE835="","",IF((IFERROR(INDEX('ASIGNACIONES'!$F$4:$F$339,MATCH($O835&amp;"|"&amp;$R835&amp;"|"&amp;$AE835,'ASIGNACIONES'!$J$4:$J$339,0)),""))=0,"",IFERROR(INDEX('ASIGNACIONES'!$F$4:$F$339,MATCH($O835&amp;"|"&amp;$R835&amp;"|"&amp;$AE835,'ASIGNACIONES'!$J$4:$J$339,0)),"")))</f>
        <v/>
      </c>
      <c r="AG835" s="13">
        <f>IF($AE835="","",SUMIFS('ORDENES'!$M$4:$M$1203,'ORDENES'!$AE$4:$AE$1203,$AE835,'ORDENES'!$O$4:$O$1203,$O835,'ORDENES'!$R$4:$R$1203,$R835))</f>
        <v/>
      </c>
      <c r="AH835" s="13">
        <f>IF($AG835="","",p_factor_productividad*IFERROR(INDEX('ASIGNACIONES'!$I$4:$I$339,MATCH($O835&amp;"|"&amp;$R835&amp;"|"&amp;$AE835,'ASIGNACIONES'!$J$4:$J$339,0)),0)-$AG835)</f>
        <v/>
      </c>
      <c r="AI835" s="10">
        <f>IF($A835="","",IFERROR(INDEX('2_IMPORTAR_EJECUCION'!$F$9:$F$1208,MATCH($AQ835,'2_IMPORTAR_EJECUCION'!$J$9:$J$1208,0)),0))</f>
        <v/>
      </c>
      <c r="AJ835" s="10">
        <f>IF($A835="","",MAX(0,IFERROR(INDEX('2_IMPORTAR_EJECUCION'!$H$9:$H$1208,MATCH($AQ835,'2_IMPORTAR_EJECUCION'!$J$9:$J$1208,0)),0)-$AI835))</f>
        <v/>
      </c>
      <c r="AK835" s="10">
        <f>IF($A835="","",$AI835+$AJ835)</f>
        <v/>
      </c>
      <c r="AL835" s="6" t="n"/>
      <c r="AM835" s="6" t="n"/>
      <c r="AN835" s="6" t="n"/>
      <c r="AO835" s="3">
        <f>IF($AN835="","",HYPERLINK(p_ruta_base_checklists&amp;$AN835,"abrir"))</f>
        <v/>
      </c>
      <c r="AP835" s="6" t="n"/>
      <c r="AQ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IF($A836="","",IFERROR(INDEX('AJUSTES'!$B$4:$B$303,MATCH($AQ836,'AJUSTES'!$A$4:$A$303,0)),IF($K836="","",$K836)))</f>
        <v/>
      </c>
      <c r="N836" s="3">
        <f>IF($A836="","",IFERROR(INDEX('CAT_ESTADOS_ERP'!$B$4:$B$7,MATCH(IFERROR(INDEX('2_IMPORTAR_EJECUCION'!$C$9:$C$1208,MATCH($AQ836,'2_IMPORTAR_EJECUCION'!$J$9:$J$1208,0)),""),'CAT_ESTADOS_ERP'!$A$4:$A$7,0)),"Pendiente"))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J836="","",IFERROR(INDEX('CALENDARIO'!$C$15:$C$214,MATCH(TEXT($J836,"yyyy-mm-dd")&amp;"|"&amp;$V836&amp;"|"&amp;$W836,'CALENDARIO'!$G$15:$G$214,0)),IFERROR(INDEX('CALENDARIO'!$C$15:$C$214,MATCH(TEXT($J836,"yyyy-mm-dd")&amp;"|"&amp;$V836&amp;"|",'CALENDARIO'!$G$15:$G$214,0)),IFERROR(INDEX('CALENDARIO'!$C$15:$C$214,MATCH(TEXT($J836,"yyyy-mm-dd")&amp;"||",'CALENDARIO'!$G$15:$G$214,0)),INDEX(patronHabil,WEEKDAY($J836,2))))))</f>
        <v/>
      </c>
      <c r="T836" s="3">
        <f>IF($I836="","",IFERROR(INDEX('CAT_TIPOS_OT'!$C$4:$C$7,MATCH($I836,'CAT_TIPOS_OT'!$A$4:$A$7,0)),"sin_clasificar"))</f>
        <v/>
      </c>
      <c r="U836" s="3">
        <f>IF($F836="","",IFERROR(INDEX('CAT_CENTROS_COSTO'!$F$4:$F$13,MATCH($F836,'CAT_CENTROS_COSTO'!$A$4:$A$13,0)),"(sin catálogo)"))</f>
        <v/>
      </c>
      <c r="V836" s="3">
        <f>IF($F836="","",IFERROR(INDEX('CAT_CENTROS_COSTO'!$D$4:$D$13,MATCH($F836,'CAT_CENTROS_COSTO'!$A$4:$A$13,0)),"(sin catálogo)"))</f>
        <v/>
      </c>
      <c r="W836" s="3">
        <f>IF($F836="","",IF((IFERROR(INDEX('CAT_CENTROS_COSTO'!$E$4:$E$13,MATCH($F836,'CAT_CENTROS_COSTO'!$A$4:$A$13,0)),""))&lt;&gt;"",IFERROR(INDEX('CAT_CENTROS_COSTO'!$E$4:$E$13,MATCH($F836,'CAT_CENTROS_COSTO'!$A$4:$A$13,0)),""),$V836))</f>
        <v/>
      </c>
      <c r="X836" s="3">
        <f>IF($F836="","",IFERROR(INDEX('CAT_CENTROS_COSTO'!$G$4:$G$13,MATCH($F836,'CAT_CENTROS_COSTO'!$A$4:$A$13,0)),"(sin catálogo)"))</f>
        <v/>
      </c>
      <c r="Y836" s="3">
        <f>IF($G836="","",IFERROR(INDEX('CAT_PUESTOS'!$B$4:$B$8,MATCH($G836,'CAT_PUESTOS'!$A$4:$A$8,0)),"(sin catálogo)"))</f>
        <v/>
      </c>
      <c r="Z836" s="3">
        <f>IF($H836="","",IFERROR(INDEX('CAT_ACTIVIDADES'!$B$4:$B$8,MATCH($H836,'CAT_ACTIVIDADES'!$A$4:$A$8,0)),"(sin catálogo)"))</f>
        <v/>
      </c>
      <c r="AA836" s="12">
        <f>IF($J836="","",TODAY()-$J836)</f>
        <v/>
      </c>
      <c r="AB836" s="12">
        <f>IF($J836="","",IF($J836&lt;=TODAY(),COUNTIFS(cal_fechas,"&gt;="&amp;$J836,cal_fechas,"&lt;"&amp;TODAY(),cal_habil,"sí"),-COUNTIFS(cal_fechas,"&gt;="&amp;TODAY(),cal_fechas,"&lt;"&amp;$J836,cal_habil,"sí")))</f>
        <v/>
      </c>
      <c r="AC836" s="3">
        <f>IF($AB836="","",IF($AB836&lt;0,"FUTURO",IF($AB836&gt;p_dias_backlog_max,"BACKLOG","MES CORRIENTE")))</f>
        <v/>
      </c>
      <c r="AD836" s="3">
        <f>IF($AB836="",FALSE,AND($AB836&gt;p_dias_backlog_min,$AB836&lt;=p_dias_backlog_max))</f>
        <v/>
      </c>
      <c r="AE836" s="6" t="n"/>
      <c r="AF836" s="3">
        <f>IF($AE836="","",IF((IFERROR(INDEX('ASIGNACIONES'!$F$4:$F$339,MATCH($O836&amp;"|"&amp;$R836&amp;"|"&amp;$AE836,'ASIGNACIONES'!$J$4:$J$339,0)),""))=0,"",IFERROR(INDEX('ASIGNACIONES'!$F$4:$F$339,MATCH($O836&amp;"|"&amp;$R836&amp;"|"&amp;$AE836,'ASIGNACIONES'!$J$4:$J$339,0)),"")))</f>
        <v/>
      </c>
      <c r="AG836" s="13">
        <f>IF($AE836="","",SUMIFS('ORDENES'!$M$4:$M$1203,'ORDENES'!$AE$4:$AE$1203,$AE836,'ORDENES'!$O$4:$O$1203,$O836,'ORDENES'!$R$4:$R$1203,$R836))</f>
        <v/>
      </c>
      <c r="AH836" s="13">
        <f>IF($AG836="","",p_factor_productividad*IFERROR(INDEX('ASIGNACIONES'!$I$4:$I$339,MATCH($O836&amp;"|"&amp;$R836&amp;"|"&amp;$AE836,'ASIGNACIONES'!$J$4:$J$339,0)),0)-$AG836)</f>
        <v/>
      </c>
      <c r="AI836" s="10">
        <f>IF($A836="","",IFERROR(INDEX('2_IMPORTAR_EJECUCION'!$F$9:$F$1208,MATCH($AQ836,'2_IMPORTAR_EJECUCION'!$J$9:$J$1208,0)),0))</f>
        <v/>
      </c>
      <c r="AJ836" s="10">
        <f>IF($A836="","",MAX(0,IFERROR(INDEX('2_IMPORTAR_EJECUCION'!$H$9:$H$1208,MATCH($AQ836,'2_IMPORTAR_EJECUCION'!$J$9:$J$1208,0)),0)-$AI836))</f>
        <v/>
      </c>
      <c r="AK836" s="10">
        <f>IF($A836="","",$AI836+$AJ836)</f>
        <v/>
      </c>
      <c r="AL836" s="6" t="n"/>
      <c r="AM836" s="6" t="n"/>
      <c r="AN836" s="6" t="n"/>
      <c r="AO836" s="3">
        <f>IF($AN836="","",HYPERLINK(p_ruta_base_checklists&amp;$AN836,"abrir"))</f>
        <v/>
      </c>
      <c r="AP836" s="6" t="n"/>
      <c r="AQ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IF($A837="","",IFERROR(INDEX('AJUSTES'!$B$4:$B$303,MATCH($AQ837,'AJUSTES'!$A$4:$A$303,0)),IF($K837="","",$K837)))</f>
        <v/>
      </c>
      <c r="N837" s="3">
        <f>IF($A837="","",IFERROR(INDEX('CAT_ESTADOS_ERP'!$B$4:$B$7,MATCH(IFERROR(INDEX('2_IMPORTAR_EJECUCION'!$C$9:$C$1208,MATCH($AQ837,'2_IMPORTAR_EJECUCION'!$J$9:$J$1208,0)),""),'CAT_ESTADOS_ERP'!$A$4:$A$7,0)),"Pendiente"))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J837="","",IFERROR(INDEX('CALENDARIO'!$C$15:$C$214,MATCH(TEXT($J837,"yyyy-mm-dd")&amp;"|"&amp;$V837&amp;"|"&amp;$W837,'CALENDARIO'!$G$15:$G$214,0)),IFERROR(INDEX('CALENDARIO'!$C$15:$C$214,MATCH(TEXT($J837,"yyyy-mm-dd")&amp;"|"&amp;$V837&amp;"|",'CALENDARIO'!$G$15:$G$214,0)),IFERROR(INDEX('CALENDARIO'!$C$15:$C$214,MATCH(TEXT($J837,"yyyy-mm-dd")&amp;"||",'CALENDARIO'!$G$15:$G$214,0)),INDEX(patronHabil,WEEKDAY($J837,2))))))</f>
        <v/>
      </c>
      <c r="T837" s="3">
        <f>IF($I837="","",IFERROR(INDEX('CAT_TIPOS_OT'!$C$4:$C$7,MATCH($I837,'CAT_TIPOS_OT'!$A$4:$A$7,0)),"sin_clasificar"))</f>
        <v/>
      </c>
      <c r="U837" s="3">
        <f>IF($F837="","",IFERROR(INDEX('CAT_CENTROS_COSTO'!$F$4:$F$13,MATCH($F837,'CAT_CENTROS_COSTO'!$A$4:$A$13,0)),"(sin catálogo)"))</f>
        <v/>
      </c>
      <c r="V837" s="3">
        <f>IF($F837="","",IFERROR(INDEX('CAT_CENTROS_COSTO'!$D$4:$D$13,MATCH($F837,'CAT_CENTROS_COSTO'!$A$4:$A$13,0)),"(sin catálogo)"))</f>
        <v/>
      </c>
      <c r="W837" s="3">
        <f>IF($F837="","",IF((IFERROR(INDEX('CAT_CENTROS_COSTO'!$E$4:$E$13,MATCH($F837,'CAT_CENTROS_COSTO'!$A$4:$A$13,0)),""))&lt;&gt;"",IFERROR(INDEX('CAT_CENTROS_COSTO'!$E$4:$E$13,MATCH($F837,'CAT_CENTROS_COSTO'!$A$4:$A$13,0)),""),$V837))</f>
        <v/>
      </c>
      <c r="X837" s="3">
        <f>IF($F837="","",IFERROR(INDEX('CAT_CENTROS_COSTO'!$G$4:$G$13,MATCH($F837,'CAT_CENTROS_COSTO'!$A$4:$A$13,0)),"(sin catálogo)"))</f>
        <v/>
      </c>
      <c r="Y837" s="3">
        <f>IF($G837="","",IFERROR(INDEX('CAT_PUESTOS'!$B$4:$B$8,MATCH($G837,'CAT_PUESTOS'!$A$4:$A$8,0)),"(sin catálogo)"))</f>
        <v/>
      </c>
      <c r="Z837" s="3">
        <f>IF($H837="","",IFERROR(INDEX('CAT_ACTIVIDADES'!$B$4:$B$8,MATCH($H837,'CAT_ACTIVIDADES'!$A$4:$A$8,0)),"(sin catálogo)"))</f>
        <v/>
      </c>
      <c r="AA837" s="12">
        <f>IF($J837="","",TODAY()-$J837)</f>
        <v/>
      </c>
      <c r="AB837" s="12">
        <f>IF($J837="","",IF($J837&lt;=TODAY(),COUNTIFS(cal_fechas,"&gt;="&amp;$J837,cal_fechas,"&lt;"&amp;TODAY(),cal_habil,"sí"),-COUNTIFS(cal_fechas,"&gt;="&amp;TODAY(),cal_fechas,"&lt;"&amp;$J837,cal_habil,"sí")))</f>
        <v/>
      </c>
      <c r="AC837" s="3">
        <f>IF($AB837="","",IF($AB837&lt;0,"FUTURO",IF($AB837&gt;p_dias_backlog_max,"BACKLOG","MES CORRIENTE")))</f>
        <v/>
      </c>
      <c r="AD837" s="3">
        <f>IF($AB837="",FALSE,AND($AB837&gt;p_dias_backlog_min,$AB837&lt;=p_dias_backlog_max))</f>
        <v/>
      </c>
      <c r="AE837" s="6" t="n"/>
      <c r="AF837" s="3">
        <f>IF($AE837="","",IF((IFERROR(INDEX('ASIGNACIONES'!$F$4:$F$339,MATCH($O837&amp;"|"&amp;$R837&amp;"|"&amp;$AE837,'ASIGNACIONES'!$J$4:$J$339,0)),""))=0,"",IFERROR(INDEX('ASIGNACIONES'!$F$4:$F$339,MATCH($O837&amp;"|"&amp;$R837&amp;"|"&amp;$AE837,'ASIGNACIONES'!$J$4:$J$339,0)),"")))</f>
        <v/>
      </c>
      <c r="AG837" s="13">
        <f>IF($AE837="","",SUMIFS('ORDENES'!$M$4:$M$1203,'ORDENES'!$AE$4:$AE$1203,$AE837,'ORDENES'!$O$4:$O$1203,$O837,'ORDENES'!$R$4:$R$1203,$R837))</f>
        <v/>
      </c>
      <c r="AH837" s="13">
        <f>IF($AG837="","",p_factor_productividad*IFERROR(INDEX('ASIGNACIONES'!$I$4:$I$339,MATCH($O837&amp;"|"&amp;$R837&amp;"|"&amp;$AE837,'ASIGNACIONES'!$J$4:$J$339,0)),0)-$AG837)</f>
        <v/>
      </c>
      <c r="AI837" s="10">
        <f>IF($A837="","",IFERROR(INDEX('2_IMPORTAR_EJECUCION'!$F$9:$F$1208,MATCH($AQ837,'2_IMPORTAR_EJECUCION'!$J$9:$J$1208,0)),0))</f>
        <v/>
      </c>
      <c r="AJ837" s="10">
        <f>IF($A837="","",MAX(0,IFERROR(INDEX('2_IMPORTAR_EJECUCION'!$H$9:$H$1208,MATCH($AQ837,'2_IMPORTAR_EJECUCION'!$J$9:$J$1208,0)),0)-$AI837))</f>
        <v/>
      </c>
      <c r="AK837" s="10">
        <f>IF($A837="","",$AI837+$AJ837)</f>
        <v/>
      </c>
      <c r="AL837" s="6" t="n"/>
      <c r="AM837" s="6" t="n"/>
      <c r="AN837" s="6" t="n"/>
      <c r="AO837" s="3">
        <f>IF($AN837="","",HYPERLINK(p_ruta_base_checklists&amp;$AN837,"abrir"))</f>
        <v/>
      </c>
      <c r="AP837" s="6" t="n"/>
      <c r="AQ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IF($A838="","",IFERROR(INDEX('AJUSTES'!$B$4:$B$303,MATCH($AQ838,'AJUSTES'!$A$4:$A$303,0)),IF($K838="","",$K838)))</f>
        <v/>
      </c>
      <c r="N838" s="3">
        <f>IF($A838="","",IFERROR(INDEX('CAT_ESTADOS_ERP'!$B$4:$B$7,MATCH(IFERROR(INDEX('2_IMPORTAR_EJECUCION'!$C$9:$C$1208,MATCH($AQ838,'2_IMPORTAR_EJECUCION'!$J$9:$J$1208,0)),""),'CAT_ESTADOS_ERP'!$A$4:$A$7,0)),"Pendiente"))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J838="","",IFERROR(INDEX('CALENDARIO'!$C$15:$C$214,MATCH(TEXT($J838,"yyyy-mm-dd")&amp;"|"&amp;$V838&amp;"|"&amp;$W838,'CALENDARIO'!$G$15:$G$214,0)),IFERROR(INDEX('CALENDARIO'!$C$15:$C$214,MATCH(TEXT($J838,"yyyy-mm-dd")&amp;"|"&amp;$V838&amp;"|",'CALENDARIO'!$G$15:$G$214,0)),IFERROR(INDEX('CALENDARIO'!$C$15:$C$214,MATCH(TEXT($J838,"yyyy-mm-dd")&amp;"||",'CALENDARIO'!$G$15:$G$214,0)),INDEX(patronHabil,WEEKDAY($J838,2))))))</f>
        <v/>
      </c>
      <c r="T838" s="3">
        <f>IF($I838="","",IFERROR(INDEX('CAT_TIPOS_OT'!$C$4:$C$7,MATCH($I838,'CAT_TIPOS_OT'!$A$4:$A$7,0)),"sin_clasificar"))</f>
        <v/>
      </c>
      <c r="U838" s="3">
        <f>IF($F838="","",IFERROR(INDEX('CAT_CENTROS_COSTO'!$F$4:$F$13,MATCH($F838,'CAT_CENTROS_COSTO'!$A$4:$A$13,0)),"(sin catálogo)"))</f>
        <v/>
      </c>
      <c r="V838" s="3">
        <f>IF($F838="","",IFERROR(INDEX('CAT_CENTROS_COSTO'!$D$4:$D$13,MATCH($F838,'CAT_CENTROS_COSTO'!$A$4:$A$13,0)),"(sin catálogo)"))</f>
        <v/>
      </c>
      <c r="W838" s="3">
        <f>IF($F838="","",IF((IFERROR(INDEX('CAT_CENTROS_COSTO'!$E$4:$E$13,MATCH($F838,'CAT_CENTROS_COSTO'!$A$4:$A$13,0)),""))&lt;&gt;"",IFERROR(INDEX('CAT_CENTROS_COSTO'!$E$4:$E$13,MATCH($F838,'CAT_CENTROS_COSTO'!$A$4:$A$13,0)),""),$V838))</f>
        <v/>
      </c>
      <c r="X838" s="3">
        <f>IF($F838="","",IFERROR(INDEX('CAT_CENTROS_COSTO'!$G$4:$G$13,MATCH($F838,'CAT_CENTROS_COSTO'!$A$4:$A$13,0)),"(sin catálogo)"))</f>
        <v/>
      </c>
      <c r="Y838" s="3">
        <f>IF($G838="","",IFERROR(INDEX('CAT_PUESTOS'!$B$4:$B$8,MATCH($G838,'CAT_PUESTOS'!$A$4:$A$8,0)),"(sin catálogo)"))</f>
        <v/>
      </c>
      <c r="Z838" s="3">
        <f>IF($H838="","",IFERROR(INDEX('CAT_ACTIVIDADES'!$B$4:$B$8,MATCH($H838,'CAT_ACTIVIDADES'!$A$4:$A$8,0)),"(sin catálogo)"))</f>
        <v/>
      </c>
      <c r="AA838" s="12">
        <f>IF($J838="","",TODAY()-$J838)</f>
        <v/>
      </c>
      <c r="AB838" s="12">
        <f>IF($J838="","",IF($J838&lt;=TODAY(),COUNTIFS(cal_fechas,"&gt;="&amp;$J838,cal_fechas,"&lt;"&amp;TODAY(),cal_habil,"sí"),-COUNTIFS(cal_fechas,"&gt;="&amp;TODAY(),cal_fechas,"&lt;"&amp;$J838,cal_habil,"sí")))</f>
        <v/>
      </c>
      <c r="AC838" s="3">
        <f>IF($AB838="","",IF($AB838&lt;0,"FUTURO",IF($AB838&gt;p_dias_backlog_max,"BACKLOG","MES CORRIENTE")))</f>
        <v/>
      </c>
      <c r="AD838" s="3">
        <f>IF($AB838="",FALSE,AND($AB838&gt;p_dias_backlog_min,$AB838&lt;=p_dias_backlog_max))</f>
        <v/>
      </c>
      <c r="AE838" s="6" t="n"/>
      <c r="AF838" s="3">
        <f>IF($AE838="","",IF((IFERROR(INDEX('ASIGNACIONES'!$F$4:$F$339,MATCH($O838&amp;"|"&amp;$R838&amp;"|"&amp;$AE838,'ASIGNACIONES'!$J$4:$J$339,0)),""))=0,"",IFERROR(INDEX('ASIGNACIONES'!$F$4:$F$339,MATCH($O838&amp;"|"&amp;$R838&amp;"|"&amp;$AE838,'ASIGNACIONES'!$J$4:$J$339,0)),"")))</f>
        <v/>
      </c>
      <c r="AG838" s="13">
        <f>IF($AE838="","",SUMIFS('ORDENES'!$M$4:$M$1203,'ORDENES'!$AE$4:$AE$1203,$AE838,'ORDENES'!$O$4:$O$1203,$O838,'ORDENES'!$R$4:$R$1203,$R838))</f>
        <v/>
      </c>
      <c r="AH838" s="13">
        <f>IF($AG838="","",p_factor_productividad*IFERROR(INDEX('ASIGNACIONES'!$I$4:$I$339,MATCH($O838&amp;"|"&amp;$R838&amp;"|"&amp;$AE838,'ASIGNACIONES'!$J$4:$J$339,0)),0)-$AG838)</f>
        <v/>
      </c>
      <c r="AI838" s="10">
        <f>IF($A838="","",IFERROR(INDEX('2_IMPORTAR_EJECUCION'!$F$9:$F$1208,MATCH($AQ838,'2_IMPORTAR_EJECUCION'!$J$9:$J$1208,0)),0))</f>
        <v/>
      </c>
      <c r="AJ838" s="10">
        <f>IF($A838="","",MAX(0,IFERROR(INDEX('2_IMPORTAR_EJECUCION'!$H$9:$H$1208,MATCH($AQ838,'2_IMPORTAR_EJECUCION'!$J$9:$J$1208,0)),0)-$AI838))</f>
        <v/>
      </c>
      <c r="AK838" s="10">
        <f>IF($A838="","",$AI838+$AJ838)</f>
        <v/>
      </c>
      <c r="AL838" s="6" t="n"/>
      <c r="AM838" s="6" t="n"/>
      <c r="AN838" s="6" t="n"/>
      <c r="AO838" s="3">
        <f>IF($AN838="","",HYPERLINK(p_ruta_base_checklists&amp;$AN838,"abrir"))</f>
        <v/>
      </c>
      <c r="AP838" s="6" t="n"/>
      <c r="AQ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IF($A839="","",IFERROR(INDEX('AJUSTES'!$B$4:$B$303,MATCH($AQ839,'AJUSTES'!$A$4:$A$303,0)),IF($K839="","",$K839)))</f>
        <v/>
      </c>
      <c r="N839" s="3">
        <f>IF($A839="","",IFERROR(INDEX('CAT_ESTADOS_ERP'!$B$4:$B$7,MATCH(IFERROR(INDEX('2_IMPORTAR_EJECUCION'!$C$9:$C$1208,MATCH($AQ839,'2_IMPORTAR_EJECUCION'!$J$9:$J$1208,0)),""),'CAT_ESTADOS_ERP'!$A$4:$A$7,0)),"Pendiente"))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J839="","",IFERROR(INDEX('CALENDARIO'!$C$15:$C$214,MATCH(TEXT($J839,"yyyy-mm-dd")&amp;"|"&amp;$V839&amp;"|"&amp;$W839,'CALENDARIO'!$G$15:$G$214,0)),IFERROR(INDEX('CALENDARIO'!$C$15:$C$214,MATCH(TEXT($J839,"yyyy-mm-dd")&amp;"|"&amp;$V839&amp;"|",'CALENDARIO'!$G$15:$G$214,0)),IFERROR(INDEX('CALENDARIO'!$C$15:$C$214,MATCH(TEXT($J839,"yyyy-mm-dd")&amp;"||",'CALENDARIO'!$G$15:$G$214,0)),INDEX(patronHabil,WEEKDAY($J839,2))))))</f>
        <v/>
      </c>
      <c r="T839" s="3">
        <f>IF($I839="","",IFERROR(INDEX('CAT_TIPOS_OT'!$C$4:$C$7,MATCH($I839,'CAT_TIPOS_OT'!$A$4:$A$7,0)),"sin_clasificar"))</f>
        <v/>
      </c>
      <c r="U839" s="3">
        <f>IF($F839="","",IFERROR(INDEX('CAT_CENTROS_COSTO'!$F$4:$F$13,MATCH($F839,'CAT_CENTROS_COSTO'!$A$4:$A$13,0)),"(sin catálogo)"))</f>
        <v/>
      </c>
      <c r="V839" s="3">
        <f>IF($F839="","",IFERROR(INDEX('CAT_CENTROS_COSTO'!$D$4:$D$13,MATCH($F839,'CAT_CENTROS_COSTO'!$A$4:$A$13,0)),"(sin catálogo)"))</f>
        <v/>
      </c>
      <c r="W839" s="3">
        <f>IF($F839="","",IF((IFERROR(INDEX('CAT_CENTROS_COSTO'!$E$4:$E$13,MATCH($F839,'CAT_CENTROS_COSTO'!$A$4:$A$13,0)),""))&lt;&gt;"",IFERROR(INDEX('CAT_CENTROS_COSTO'!$E$4:$E$13,MATCH($F839,'CAT_CENTROS_COSTO'!$A$4:$A$13,0)),""),$V839))</f>
        <v/>
      </c>
      <c r="X839" s="3">
        <f>IF($F839="","",IFERROR(INDEX('CAT_CENTROS_COSTO'!$G$4:$G$13,MATCH($F839,'CAT_CENTROS_COSTO'!$A$4:$A$13,0)),"(sin catálogo)"))</f>
        <v/>
      </c>
      <c r="Y839" s="3">
        <f>IF($G839="","",IFERROR(INDEX('CAT_PUESTOS'!$B$4:$B$8,MATCH($G839,'CAT_PUESTOS'!$A$4:$A$8,0)),"(sin catálogo)"))</f>
        <v/>
      </c>
      <c r="Z839" s="3">
        <f>IF($H839="","",IFERROR(INDEX('CAT_ACTIVIDADES'!$B$4:$B$8,MATCH($H839,'CAT_ACTIVIDADES'!$A$4:$A$8,0)),"(sin catálogo)"))</f>
        <v/>
      </c>
      <c r="AA839" s="12">
        <f>IF($J839="","",TODAY()-$J839)</f>
        <v/>
      </c>
      <c r="AB839" s="12">
        <f>IF($J839="","",IF($J839&lt;=TODAY(),COUNTIFS(cal_fechas,"&gt;="&amp;$J839,cal_fechas,"&lt;"&amp;TODAY(),cal_habil,"sí"),-COUNTIFS(cal_fechas,"&gt;="&amp;TODAY(),cal_fechas,"&lt;"&amp;$J839,cal_habil,"sí")))</f>
        <v/>
      </c>
      <c r="AC839" s="3">
        <f>IF($AB839="","",IF($AB839&lt;0,"FUTURO",IF($AB839&gt;p_dias_backlog_max,"BACKLOG","MES CORRIENTE")))</f>
        <v/>
      </c>
      <c r="AD839" s="3">
        <f>IF($AB839="",FALSE,AND($AB839&gt;p_dias_backlog_min,$AB839&lt;=p_dias_backlog_max))</f>
        <v/>
      </c>
      <c r="AE839" s="6" t="n"/>
      <c r="AF839" s="3">
        <f>IF($AE839="","",IF((IFERROR(INDEX('ASIGNACIONES'!$F$4:$F$339,MATCH($O839&amp;"|"&amp;$R839&amp;"|"&amp;$AE839,'ASIGNACIONES'!$J$4:$J$339,0)),""))=0,"",IFERROR(INDEX('ASIGNACIONES'!$F$4:$F$339,MATCH($O839&amp;"|"&amp;$R839&amp;"|"&amp;$AE839,'ASIGNACIONES'!$J$4:$J$339,0)),"")))</f>
        <v/>
      </c>
      <c r="AG839" s="13">
        <f>IF($AE839="","",SUMIFS('ORDENES'!$M$4:$M$1203,'ORDENES'!$AE$4:$AE$1203,$AE839,'ORDENES'!$O$4:$O$1203,$O839,'ORDENES'!$R$4:$R$1203,$R839))</f>
        <v/>
      </c>
      <c r="AH839" s="13">
        <f>IF($AG839="","",p_factor_productividad*IFERROR(INDEX('ASIGNACIONES'!$I$4:$I$339,MATCH($O839&amp;"|"&amp;$R839&amp;"|"&amp;$AE839,'ASIGNACIONES'!$J$4:$J$339,0)),0)-$AG839)</f>
        <v/>
      </c>
      <c r="AI839" s="10">
        <f>IF($A839="","",IFERROR(INDEX('2_IMPORTAR_EJECUCION'!$F$9:$F$1208,MATCH($AQ839,'2_IMPORTAR_EJECUCION'!$J$9:$J$1208,0)),0))</f>
        <v/>
      </c>
      <c r="AJ839" s="10">
        <f>IF($A839="","",MAX(0,IFERROR(INDEX('2_IMPORTAR_EJECUCION'!$H$9:$H$1208,MATCH($AQ839,'2_IMPORTAR_EJECUCION'!$J$9:$J$1208,0)),0)-$AI839))</f>
        <v/>
      </c>
      <c r="AK839" s="10">
        <f>IF($A839="","",$AI839+$AJ839)</f>
        <v/>
      </c>
      <c r="AL839" s="6" t="n"/>
      <c r="AM839" s="6" t="n"/>
      <c r="AN839" s="6" t="n"/>
      <c r="AO839" s="3">
        <f>IF($AN839="","",HYPERLINK(p_ruta_base_checklists&amp;$AN839,"abrir"))</f>
        <v/>
      </c>
      <c r="AP839" s="6" t="n"/>
      <c r="AQ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IF($A840="","",IFERROR(INDEX('AJUSTES'!$B$4:$B$303,MATCH($AQ840,'AJUSTES'!$A$4:$A$303,0)),IF($K840="","",$K840)))</f>
        <v/>
      </c>
      <c r="N840" s="3">
        <f>IF($A840="","",IFERROR(INDEX('CAT_ESTADOS_ERP'!$B$4:$B$7,MATCH(IFERROR(INDEX('2_IMPORTAR_EJECUCION'!$C$9:$C$1208,MATCH($AQ840,'2_IMPORTAR_EJECUCION'!$J$9:$J$1208,0)),""),'CAT_ESTADOS_ERP'!$A$4:$A$7,0)),"Pendiente"))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J840="","",IFERROR(INDEX('CALENDARIO'!$C$15:$C$214,MATCH(TEXT($J840,"yyyy-mm-dd")&amp;"|"&amp;$V840&amp;"|"&amp;$W840,'CALENDARIO'!$G$15:$G$214,0)),IFERROR(INDEX('CALENDARIO'!$C$15:$C$214,MATCH(TEXT($J840,"yyyy-mm-dd")&amp;"|"&amp;$V840&amp;"|",'CALENDARIO'!$G$15:$G$214,0)),IFERROR(INDEX('CALENDARIO'!$C$15:$C$214,MATCH(TEXT($J840,"yyyy-mm-dd")&amp;"||",'CALENDARIO'!$G$15:$G$214,0)),INDEX(patronHabil,WEEKDAY($J840,2))))))</f>
        <v/>
      </c>
      <c r="T840" s="3">
        <f>IF($I840="","",IFERROR(INDEX('CAT_TIPOS_OT'!$C$4:$C$7,MATCH($I840,'CAT_TIPOS_OT'!$A$4:$A$7,0)),"sin_clasificar"))</f>
        <v/>
      </c>
      <c r="U840" s="3">
        <f>IF($F840="","",IFERROR(INDEX('CAT_CENTROS_COSTO'!$F$4:$F$13,MATCH($F840,'CAT_CENTROS_COSTO'!$A$4:$A$13,0)),"(sin catálogo)"))</f>
        <v/>
      </c>
      <c r="V840" s="3">
        <f>IF($F840="","",IFERROR(INDEX('CAT_CENTROS_COSTO'!$D$4:$D$13,MATCH($F840,'CAT_CENTROS_COSTO'!$A$4:$A$13,0)),"(sin catálogo)"))</f>
        <v/>
      </c>
      <c r="W840" s="3">
        <f>IF($F840="","",IF((IFERROR(INDEX('CAT_CENTROS_COSTO'!$E$4:$E$13,MATCH($F840,'CAT_CENTROS_COSTO'!$A$4:$A$13,0)),""))&lt;&gt;"",IFERROR(INDEX('CAT_CENTROS_COSTO'!$E$4:$E$13,MATCH($F840,'CAT_CENTROS_COSTO'!$A$4:$A$13,0)),""),$V840))</f>
        <v/>
      </c>
      <c r="X840" s="3">
        <f>IF($F840="","",IFERROR(INDEX('CAT_CENTROS_COSTO'!$G$4:$G$13,MATCH($F840,'CAT_CENTROS_COSTO'!$A$4:$A$13,0)),"(sin catálogo)"))</f>
        <v/>
      </c>
      <c r="Y840" s="3">
        <f>IF($G840="","",IFERROR(INDEX('CAT_PUESTOS'!$B$4:$B$8,MATCH($G840,'CAT_PUESTOS'!$A$4:$A$8,0)),"(sin catálogo)"))</f>
        <v/>
      </c>
      <c r="Z840" s="3">
        <f>IF($H840="","",IFERROR(INDEX('CAT_ACTIVIDADES'!$B$4:$B$8,MATCH($H840,'CAT_ACTIVIDADES'!$A$4:$A$8,0)),"(sin catálogo)"))</f>
        <v/>
      </c>
      <c r="AA840" s="12">
        <f>IF($J840="","",TODAY()-$J840)</f>
        <v/>
      </c>
      <c r="AB840" s="12">
        <f>IF($J840="","",IF($J840&lt;=TODAY(),COUNTIFS(cal_fechas,"&gt;="&amp;$J840,cal_fechas,"&lt;"&amp;TODAY(),cal_habil,"sí"),-COUNTIFS(cal_fechas,"&gt;="&amp;TODAY(),cal_fechas,"&lt;"&amp;$J840,cal_habil,"sí")))</f>
        <v/>
      </c>
      <c r="AC840" s="3">
        <f>IF($AB840="","",IF($AB840&lt;0,"FUTURO",IF($AB840&gt;p_dias_backlog_max,"BACKLOG","MES CORRIENTE")))</f>
        <v/>
      </c>
      <c r="AD840" s="3">
        <f>IF($AB840="",FALSE,AND($AB840&gt;p_dias_backlog_min,$AB840&lt;=p_dias_backlog_max))</f>
        <v/>
      </c>
      <c r="AE840" s="6" t="n"/>
      <c r="AF840" s="3">
        <f>IF($AE840="","",IF((IFERROR(INDEX('ASIGNACIONES'!$F$4:$F$339,MATCH($O840&amp;"|"&amp;$R840&amp;"|"&amp;$AE840,'ASIGNACIONES'!$J$4:$J$339,0)),""))=0,"",IFERROR(INDEX('ASIGNACIONES'!$F$4:$F$339,MATCH($O840&amp;"|"&amp;$R840&amp;"|"&amp;$AE840,'ASIGNACIONES'!$J$4:$J$339,0)),"")))</f>
        <v/>
      </c>
      <c r="AG840" s="13">
        <f>IF($AE840="","",SUMIFS('ORDENES'!$M$4:$M$1203,'ORDENES'!$AE$4:$AE$1203,$AE840,'ORDENES'!$O$4:$O$1203,$O840,'ORDENES'!$R$4:$R$1203,$R840))</f>
        <v/>
      </c>
      <c r="AH840" s="13">
        <f>IF($AG840="","",p_factor_productividad*IFERROR(INDEX('ASIGNACIONES'!$I$4:$I$339,MATCH($O840&amp;"|"&amp;$R840&amp;"|"&amp;$AE840,'ASIGNACIONES'!$J$4:$J$339,0)),0)-$AG840)</f>
        <v/>
      </c>
      <c r="AI840" s="10">
        <f>IF($A840="","",IFERROR(INDEX('2_IMPORTAR_EJECUCION'!$F$9:$F$1208,MATCH($AQ840,'2_IMPORTAR_EJECUCION'!$J$9:$J$1208,0)),0))</f>
        <v/>
      </c>
      <c r="AJ840" s="10">
        <f>IF($A840="","",MAX(0,IFERROR(INDEX('2_IMPORTAR_EJECUCION'!$H$9:$H$1208,MATCH($AQ840,'2_IMPORTAR_EJECUCION'!$J$9:$J$1208,0)),0)-$AI840))</f>
        <v/>
      </c>
      <c r="AK840" s="10">
        <f>IF($A840="","",$AI840+$AJ840)</f>
        <v/>
      </c>
      <c r="AL840" s="6" t="n"/>
      <c r="AM840" s="6" t="n"/>
      <c r="AN840" s="6" t="n"/>
      <c r="AO840" s="3">
        <f>IF($AN840="","",HYPERLINK(p_ruta_base_checklists&amp;$AN840,"abrir"))</f>
        <v/>
      </c>
      <c r="AP840" s="6" t="n"/>
      <c r="AQ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IF($A841="","",IFERROR(INDEX('AJUSTES'!$B$4:$B$303,MATCH($AQ841,'AJUSTES'!$A$4:$A$303,0)),IF($K841="","",$K841)))</f>
        <v/>
      </c>
      <c r="N841" s="3">
        <f>IF($A841="","",IFERROR(INDEX('CAT_ESTADOS_ERP'!$B$4:$B$7,MATCH(IFERROR(INDEX('2_IMPORTAR_EJECUCION'!$C$9:$C$1208,MATCH($AQ841,'2_IMPORTAR_EJECUCION'!$J$9:$J$1208,0)),""),'CAT_ESTADOS_ERP'!$A$4:$A$7,0)),"Pendiente"))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J841="","",IFERROR(INDEX('CALENDARIO'!$C$15:$C$214,MATCH(TEXT($J841,"yyyy-mm-dd")&amp;"|"&amp;$V841&amp;"|"&amp;$W841,'CALENDARIO'!$G$15:$G$214,0)),IFERROR(INDEX('CALENDARIO'!$C$15:$C$214,MATCH(TEXT($J841,"yyyy-mm-dd")&amp;"|"&amp;$V841&amp;"|",'CALENDARIO'!$G$15:$G$214,0)),IFERROR(INDEX('CALENDARIO'!$C$15:$C$214,MATCH(TEXT($J841,"yyyy-mm-dd")&amp;"||",'CALENDARIO'!$G$15:$G$214,0)),INDEX(patronHabil,WEEKDAY($J841,2))))))</f>
        <v/>
      </c>
      <c r="T841" s="3">
        <f>IF($I841="","",IFERROR(INDEX('CAT_TIPOS_OT'!$C$4:$C$7,MATCH($I841,'CAT_TIPOS_OT'!$A$4:$A$7,0)),"sin_clasificar"))</f>
        <v/>
      </c>
      <c r="U841" s="3">
        <f>IF($F841="","",IFERROR(INDEX('CAT_CENTROS_COSTO'!$F$4:$F$13,MATCH($F841,'CAT_CENTROS_COSTO'!$A$4:$A$13,0)),"(sin catálogo)"))</f>
        <v/>
      </c>
      <c r="V841" s="3">
        <f>IF($F841="","",IFERROR(INDEX('CAT_CENTROS_COSTO'!$D$4:$D$13,MATCH($F841,'CAT_CENTROS_COSTO'!$A$4:$A$13,0)),"(sin catálogo)"))</f>
        <v/>
      </c>
      <c r="W841" s="3">
        <f>IF($F841="","",IF((IFERROR(INDEX('CAT_CENTROS_COSTO'!$E$4:$E$13,MATCH($F841,'CAT_CENTROS_COSTO'!$A$4:$A$13,0)),""))&lt;&gt;"",IFERROR(INDEX('CAT_CENTROS_COSTO'!$E$4:$E$13,MATCH($F841,'CAT_CENTROS_COSTO'!$A$4:$A$13,0)),""),$V841))</f>
        <v/>
      </c>
      <c r="X841" s="3">
        <f>IF($F841="","",IFERROR(INDEX('CAT_CENTROS_COSTO'!$G$4:$G$13,MATCH($F841,'CAT_CENTROS_COSTO'!$A$4:$A$13,0)),"(sin catálogo)"))</f>
        <v/>
      </c>
      <c r="Y841" s="3">
        <f>IF($G841="","",IFERROR(INDEX('CAT_PUESTOS'!$B$4:$B$8,MATCH($G841,'CAT_PUESTOS'!$A$4:$A$8,0)),"(sin catálogo)"))</f>
        <v/>
      </c>
      <c r="Z841" s="3">
        <f>IF($H841="","",IFERROR(INDEX('CAT_ACTIVIDADES'!$B$4:$B$8,MATCH($H841,'CAT_ACTIVIDADES'!$A$4:$A$8,0)),"(sin catálogo)"))</f>
        <v/>
      </c>
      <c r="AA841" s="12">
        <f>IF($J841="","",TODAY()-$J841)</f>
        <v/>
      </c>
      <c r="AB841" s="12">
        <f>IF($J841="","",IF($J841&lt;=TODAY(),COUNTIFS(cal_fechas,"&gt;="&amp;$J841,cal_fechas,"&lt;"&amp;TODAY(),cal_habil,"sí"),-COUNTIFS(cal_fechas,"&gt;="&amp;TODAY(),cal_fechas,"&lt;"&amp;$J841,cal_habil,"sí")))</f>
        <v/>
      </c>
      <c r="AC841" s="3">
        <f>IF($AB841="","",IF($AB841&lt;0,"FUTURO",IF($AB841&gt;p_dias_backlog_max,"BACKLOG","MES CORRIENTE")))</f>
        <v/>
      </c>
      <c r="AD841" s="3">
        <f>IF($AB841="",FALSE,AND($AB841&gt;p_dias_backlog_min,$AB841&lt;=p_dias_backlog_max))</f>
        <v/>
      </c>
      <c r="AE841" s="6" t="n"/>
      <c r="AF841" s="3">
        <f>IF($AE841="","",IF((IFERROR(INDEX('ASIGNACIONES'!$F$4:$F$339,MATCH($O841&amp;"|"&amp;$R841&amp;"|"&amp;$AE841,'ASIGNACIONES'!$J$4:$J$339,0)),""))=0,"",IFERROR(INDEX('ASIGNACIONES'!$F$4:$F$339,MATCH($O841&amp;"|"&amp;$R841&amp;"|"&amp;$AE841,'ASIGNACIONES'!$J$4:$J$339,0)),"")))</f>
        <v/>
      </c>
      <c r="AG841" s="13">
        <f>IF($AE841="","",SUMIFS('ORDENES'!$M$4:$M$1203,'ORDENES'!$AE$4:$AE$1203,$AE841,'ORDENES'!$O$4:$O$1203,$O841,'ORDENES'!$R$4:$R$1203,$R841))</f>
        <v/>
      </c>
      <c r="AH841" s="13">
        <f>IF($AG841="","",p_factor_productividad*IFERROR(INDEX('ASIGNACIONES'!$I$4:$I$339,MATCH($O841&amp;"|"&amp;$R841&amp;"|"&amp;$AE841,'ASIGNACIONES'!$J$4:$J$339,0)),0)-$AG841)</f>
        <v/>
      </c>
      <c r="AI841" s="10">
        <f>IF($A841="","",IFERROR(INDEX('2_IMPORTAR_EJECUCION'!$F$9:$F$1208,MATCH($AQ841,'2_IMPORTAR_EJECUCION'!$J$9:$J$1208,0)),0))</f>
        <v/>
      </c>
      <c r="AJ841" s="10">
        <f>IF($A841="","",MAX(0,IFERROR(INDEX('2_IMPORTAR_EJECUCION'!$H$9:$H$1208,MATCH($AQ841,'2_IMPORTAR_EJECUCION'!$J$9:$J$1208,0)),0)-$AI841))</f>
        <v/>
      </c>
      <c r="AK841" s="10">
        <f>IF($A841="","",$AI841+$AJ841)</f>
        <v/>
      </c>
      <c r="AL841" s="6" t="n"/>
      <c r="AM841" s="6" t="n"/>
      <c r="AN841" s="6" t="n"/>
      <c r="AO841" s="3">
        <f>IF($AN841="","",HYPERLINK(p_ruta_base_checklists&amp;$AN841,"abrir"))</f>
        <v/>
      </c>
      <c r="AP841" s="6" t="n"/>
      <c r="AQ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IF($A842="","",IFERROR(INDEX('AJUSTES'!$B$4:$B$303,MATCH($AQ842,'AJUSTES'!$A$4:$A$303,0)),IF($K842="","",$K842)))</f>
        <v/>
      </c>
      <c r="N842" s="3">
        <f>IF($A842="","",IFERROR(INDEX('CAT_ESTADOS_ERP'!$B$4:$B$7,MATCH(IFERROR(INDEX('2_IMPORTAR_EJECUCION'!$C$9:$C$1208,MATCH($AQ842,'2_IMPORTAR_EJECUCION'!$J$9:$J$1208,0)),""),'CAT_ESTADOS_ERP'!$A$4:$A$7,0)),"Pendiente"))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J842="","",IFERROR(INDEX('CALENDARIO'!$C$15:$C$214,MATCH(TEXT($J842,"yyyy-mm-dd")&amp;"|"&amp;$V842&amp;"|"&amp;$W842,'CALENDARIO'!$G$15:$G$214,0)),IFERROR(INDEX('CALENDARIO'!$C$15:$C$214,MATCH(TEXT($J842,"yyyy-mm-dd")&amp;"|"&amp;$V842&amp;"|",'CALENDARIO'!$G$15:$G$214,0)),IFERROR(INDEX('CALENDARIO'!$C$15:$C$214,MATCH(TEXT($J842,"yyyy-mm-dd")&amp;"||",'CALENDARIO'!$G$15:$G$214,0)),INDEX(patronHabil,WEEKDAY($J842,2))))))</f>
        <v/>
      </c>
      <c r="T842" s="3">
        <f>IF($I842="","",IFERROR(INDEX('CAT_TIPOS_OT'!$C$4:$C$7,MATCH($I842,'CAT_TIPOS_OT'!$A$4:$A$7,0)),"sin_clasificar"))</f>
        <v/>
      </c>
      <c r="U842" s="3">
        <f>IF($F842="","",IFERROR(INDEX('CAT_CENTROS_COSTO'!$F$4:$F$13,MATCH($F842,'CAT_CENTROS_COSTO'!$A$4:$A$13,0)),"(sin catálogo)"))</f>
        <v/>
      </c>
      <c r="V842" s="3">
        <f>IF($F842="","",IFERROR(INDEX('CAT_CENTROS_COSTO'!$D$4:$D$13,MATCH($F842,'CAT_CENTROS_COSTO'!$A$4:$A$13,0)),"(sin catálogo)"))</f>
        <v/>
      </c>
      <c r="W842" s="3">
        <f>IF($F842="","",IF((IFERROR(INDEX('CAT_CENTROS_COSTO'!$E$4:$E$13,MATCH($F842,'CAT_CENTROS_COSTO'!$A$4:$A$13,0)),""))&lt;&gt;"",IFERROR(INDEX('CAT_CENTROS_COSTO'!$E$4:$E$13,MATCH($F842,'CAT_CENTROS_COSTO'!$A$4:$A$13,0)),""),$V842))</f>
        <v/>
      </c>
      <c r="X842" s="3">
        <f>IF($F842="","",IFERROR(INDEX('CAT_CENTROS_COSTO'!$G$4:$G$13,MATCH($F842,'CAT_CENTROS_COSTO'!$A$4:$A$13,0)),"(sin catálogo)"))</f>
        <v/>
      </c>
      <c r="Y842" s="3">
        <f>IF($G842="","",IFERROR(INDEX('CAT_PUESTOS'!$B$4:$B$8,MATCH($G842,'CAT_PUESTOS'!$A$4:$A$8,0)),"(sin catálogo)"))</f>
        <v/>
      </c>
      <c r="Z842" s="3">
        <f>IF($H842="","",IFERROR(INDEX('CAT_ACTIVIDADES'!$B$4:$B$8,MATCH($H842,'CAT_ACTIVIDADES'!$A$4:$A$8,0)),"(sin catálogo)"))</f>
        <v/>
      </c>
      <c r="AA842" s="12">
        <f>IF($J842="","",TODAY()-$J842)</f>
        <v/>
      </c>
      <c r="AB842" s="12">
        <f>IF($J842="","",IF($J842&lt;=TODAY(),COUNTIFS(cal_fechas,"&gt;="&amp;$J842,cal_fechas,"&lt;"&amp;TODAY(),cal_habil,"sí"),-COUNTIFS(cal_fechas,"&gt;="&amp;TODAY(),cal_fechas,"&lt;"&amp;$J842,cal_habil,"sí")))</f>
        <v/>
      </c>
      <c r="AC842" s="3">
        <f>IF($AB842="","",IF($AB842&lt;0,"FUTURO",IF($AB842&gt;p_dias_backlog_max,"BACKLOG","MES CORRIENTE")))</f>
        <v/>
      </c>
      <c r="AD842" s="3">
        <f>IF($AB842="",FALSE,AND($AB842&gt;p_dias_backlog_min,$AB842&lt;=p_dias_backlog_max))</f>
        <v/>
      </c>
      <c r="AE842" s="6" t="n"/>
      <c r="AF842" s="3">
        <f>IF($AE842="","",IF((IFERROR(INDEX('ASIGNACIONES'!$F$4:$F$339,MATCH($O842&amp;"|"&amp;$R842&amp;"|"&amp;$AE842,'ASIGNACIONES'!$J$4:$J$339,0)),""))=0,"",IFERROR(INDEX('ASIGNACIONES'!$F$4:$F$339,MATCH($O842&amp;"|"&amp;$R842&amp;"|"&amp;$AE842,'ASIGNACIONES'!$J$4:$J$339,0)),"")))</f>
        <v/>
      </c>
      <c r="AG842" s="13">
        <f>IF($AE842="","",SUMIFS('ORDENES'!$M$4:$M$1203,'ORDENES'!$AE$4:$AE$1203,$AE842,'ORDENES'!$O$4:$O$1203,$O842,'ORDENES'!$R$4:$R$1203,$R842))</f>
        <v/>
      </c>
      <c r="AH842" s="13">
        <f>IF($AG842="","",p_factor_productividad*IFERROR(INDEX('ASIGNACIONES'!$I$4:$I$339,MATCH($O842&amp;"|"&amp;$R842&amp;"|"&amp;$AE842,'ASIGNACIONES'!$J$4:$J$339,0)),0)-$AG842)</f>
        <v/>
      </c>
      <c r="AI842" s="10">
        <f>IF($A842="","",IFERROR(INDEX('2_IMPORTAR_EJECUCION'!$F$9:$F$1208,MATCH($AQ842,'2_IMPORTAR_EJECUCION'!$J$9:$J$1208,0)),0))</f>
        <v/>
      </c>
      <c r="AJ842" s="10">
        <f>IF($A842="","",MAX(0,IFERROR(INDEX('2_IMPORTAR_EJECUCION'!$H$9:$H$1208,MATCH($AQ842,'2_IMPORTAR_EJECUCION'!$J$9:$J$1208,0)),0)-$AI842))</f>
        <v/>
      </c>
      <c r="AK842" s="10">
        <f>IF($A842="","",$AI842+$AJ842)</f>
        <v/>
      </c>
      <c r="AL842" s="6" t="n"/>
      <c r="AM842" s="6" t="n"/>
      <c r="AN842" s="6" t="n"/>
      <c r="AO842" s="3">
        <f>IF($AN842="","",HYPERLINK(p_ruta_base_checklists&amp;$AN842,"abrir"))</f>
        <v/>
      </c>
      <c r="AP842" s="6" t="n"/>
      <c r="AQ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IF($A843="","",IFERROR(INDEX('AJUSTES'!$B$4:$B$303,MATCH($AQ843,'AJUSTES'!$A$4:$A$303,0)),IF($K843="","",$K843)))</f>
        <v/>
      </c>
      <c r="N843" s="3">
        <f>IF($A843="","",IFERROR(INDEX('CAT_ESTADOS_ERP'!$B$4:$B$7,MATCH(IFERROR(INDEX('2_IMPORTAR_EJECUCION'!$C$9:$C$1208,MATCH($AQ843,'2_IMPORTAR_EJECUCION'!$J$9:$J$1208,0)),""),'CAT_ESTADOS_ERP'!$A$4:$A$7,0)),"Pendiente"))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J843="","",IFERROR(INDEX('CALENDARIO'!$C$15:$C$214,MATCH(TEXT($J843,"yyyy-mm-dd")&amp;"|"&amp;$V843&amp;"|"&amp;$W843,'CALENDARIO'!$G$15:$G$214,0)),IFERROR(INDEX('CALENDARIO'!$C$15:$C$214,MATCH(TEXT($J843,"yyyy-mm-dd")&amp;"|"&amp;$V843&amp;"|",'CALENDARIO'!$G$15:$G$214,0)),IFERROR(INDEX('CALENDARIO'!$C$15:$C$214,MATCH(TEXT($J843,"yyyy-mm-dd")&amp;"||",'CALENDARIO'!$G$15:$G$214,0)),INDEX(patronHabil,WEEKDAY($J843,2))))))</f>
        <v/>
      </c>
      <c r="T843" s="3">
        <f>IF($I843="","",IFERROR(INDEX('CAT_TIPOS_OT'!$C$4:$C$7,MATCH($I843,'CAT_TIPOS_OT'!$A$4:$A$7,0)),"sin_clasificar"))</f>
        <v/>
      </c>
      <c r="U843" s="3">
        <f>IF($F843="","",IFERROR(INDEX('CAT_CENTROS_COSTO'!$F$4:$F$13,MATCH($F843,'CAT_CENTROS_COSTO'!$A$4:$A$13,0)),"(sin catálogo)"))</f>
        <v/>
      </c>
      <c r="V843" s="3">
        <f>IF($F843="","",IFERROR(INDEX('CAT_CENTROS_COSTO'!$D$4:$D$13,MATCH($F843,'CAT_CENTROS_COSTO'!$A$4:$A$13,0)),"(sin catálogo)"))</f>
        <v/>
      </c>
      <c r="W843" s="3">
        <f>IF($F843="","",IF((IFERROR(INDEX('CAT_CENTROS_COSTO'!$E$4:$E$13,MATCH($F843,'CAT_CENTROS_COSTO'!$A$4:$A$13,0)),""))&lt;&gt;"",IFERROR(INDEX('CAT_CENTROS_COSTO'!$E$4:$E$13,MATCH($F843,'CAT_CENTROS_COSTO'!$A$4:$A$13,0)),""),$V843))</f>
        <v/>
      </c>
      <c r="X843" s="3">
        <f>IF($F843="","",IFERROR(INDEX('CAT_CENTROS_COSTO'!$G$4:$G$13,MATCH($F843,'CAT_CENTROS_COSTO'!$A$4:$A$13,0)),"(sin catálogo)"))</f>
        <v/>
      </c>
      <c r="Y843" s="3">
        <f>IF($G843="","",IFERROR(INDEX('CAT_PUESTOS'!$B$4:$B$8,MATCH($G843,'CAT_PUESTOS'!$A$4:$A$8,0)),"(sin catálogo)"))</f>
        <v/>
      </c>
      <c r="Z843" s="3">
        <f>IF($H843="","",IFERROR(INDEX('CAT_ACTIVIDADES'!$B$4:$B$8,MATCH($H843,'CAT_ACTIVIDADES'!$A$4:$A$8,0)),"(sin catálogo)"))</f>
        <v/>
      </c>
      <c r="AA843" s="12">
        <f>IF($J843="","",TODAY()-$J843)</f>
        <v/>
      </c>
      <c r="AB843" s="12">
        <f>IF($J843="","",IF($J843&lt;=TODAY(),COUNTIFS(cal_fechas,"&gt;="&amp;$J843,cal_fechas,"&lt;"&amp;TODAY(),cal_habil,"sí"),-COUNTIFS(cal_fechas,"&gt;="&amp;TODAY(),cal_fechas,"&lt;"&amp;$J843,cal_habil,"sí")))</f>
        <v/>
      </c>
      <c r="AC843" s="3">
        <f>IF($AB843="","",IF($AB843&lt;0,"FUTURO",IF($AB843&gt;p_dias_backlog_max,"BACKLOG","MES CORRIENTE")))</f>
        <v/>
      </c>
      <c r="AD843" s="3">
        <f>IF($AB843="",FALSE,AND($AB843&gt;p_dias_backlog_min,$AB843&lt;=p_dias_backlog_max))</f>
        <v/>
      </c>
      <c r="AE843" s="6" t="n"/>
      <c r="AF843" s="3">
        <f>IF($AE843="","",IF((IFERROR(INDEX('ASIGNACIONES'!$F$4:$F$339,MATCH($O843&amp;"|"&amp;$R843&amp;"|"&amp;$AE843,'ASIGNACIONES'!$J$4:$J$339,0)),""))=0,"",IFERROR(INDEX('ASIGNACIONES'!$F$4:$F$339,MATCH($O843&amp;"|"&amp;$R843&amp;"|"&amp;$AE843,'ASIGNACIONES'!$J$4:$J$339,0)),"")))</f>
        <v/>
      </c>
      <c r="AG843" s="13">
        <f>IF($AE843="","",SUMIFS('ORDENES'!$M$4:$M$1203,'ORDENES'!$AE$4:$AE$1203,$AE843,'ORDENES'!$O$4:$O$1203,$O843,'ORDENES'!$R$4:$R$1203,$R843))</f>
        <v/>
      </c>
      <c r="AH843" s="13">
        <f>IF($AG843="","",p_factor_productividad*IFERROR(INDEX('ASIGNACIONES'!$I$4:$I$339,MATCH($O843&amp;"|"&amp;$R843&amp;"|"&amp;$AE843,'ASIGNACIONES'!$J$4:$J$339,0)),0)-$AG843)</f>
        <v/>
      </c>
      <c r="AI843" s="10">
        <f>IF($A843="","",IFERROR(INDEX('2_IMPORTAR_EJECUCION'!$F$9:$F$1208,MATCH($AQ843,'2_IMPORTAR_EJECUCION'!$J$9:$J$1208,0)),0))</f>
        <v/>
      </c>
      <c r="AJ843" s="10">
        <f>IF($A843="","",MAX(0,IFERROR(INDEX('2_IMPORTAR_EJECUCION'!$H$9:$H$1208,MATCH($AQ843,'2_IMPORTAR_EJECUCION'!$J$9:$J$1208,0)),0)-$AI843))</f>
        <v/>
      </c>
      <c r="AK843" s="10">
        <f>IF($A843="","",$AI843+$AJ843)</f>
        <v/>
      </c>
      <c r="AL843" s="6" t="n"/>
      <c r="AM843" s="6" t="n"/>
      <c r="AN843" s="6" t="n"/>
      <c r="AO843" s="3">
        <f>IF($AN843="","",HYPERLINK(p_ruta_base_checklists&amp;$AN843,"abrir"))</f>
        <v/>
      </c>
      <c r="AP843" s="6" t="n"/>
      <c r="AQ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IF($A844="","",IFERROR(INDEX('AJUSTES'!$B$4:$B$303,MATCH($AQ844,'AJUSTES'!$A$4:$A$303,0)),IF($K844="","",$K844)))</f>
        <v/>
      </c>
      <c r="N844" s="3">
        <f>IF($A844="","",IFERROR(INDEX('CAT_ESTADOS_ERP'!$B$4:$B$7,MATCH(IFERROR(INDEX('2_IMPORTAR_EJECUCION'!$C$9:$C$1208,MATCH($AQ844,'2_IMPORTAR_EJECUCION'!$J$9:$J$1208,0)),""),'CAT_ESTADOS_ERP'!$A$4:$A$7,0)),"Pendiente"))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J844="","",IFERROR(INDEX('CALENDARIO'!$C$15:$C$214,MATCH(TEXT($J844,"yyyy-mm-dd")&amp;"|"&amp;$V844&amp;"|"&amp;$W844,'CALENDARIO'!$G$15:$G$214,0)),IFERROR(INDEX('CALENDARIO'!$C$15:$C$214,MATCH(TEXT($J844,"yyyy-mm-dd")&amp;"|"&amp;$V844&amp;"|",'CALENDARIO'!$G$15:$G$214,0)),IFERROR(INDEX('CALENDARIO'!$C$15:$C$214,MATCH(TEXT($J844,"yyyy-mm-dd")&amp;"||",'CALENDARIO'!$G$15:$G$214,0)),INDEX(patronHabil,WEEKDAY($J844,2))))))</f>
        <v/>
      </c>
      <c r="T844" s="3">
        <f>IF($I844="","",IFERROR(INDEX('CAT_TIPOS_OT'!$C$4:$C$7,MATCH($I844,'CAT_TIPOS_OT'!$A$4:$A$7,0)),"sin_clasificar"))</f>
        <v/>
      </c>
      <c r="U844" s="3">
        <f>IF($F844="","",IFERROR(INDEX('CAT_CENTROS_COSTO'!$F$4:$F$13,MATCH($F844,'CAT_CENTROS_COSTO'!$A$4:$A$13,0)),"(sin catálogo)"))</f>
        <v/>
      </c>
      <c r="V844" s="3">
        <f>IF($F844="","",IFERROR(INDEX('CAT_CENTROS_COSTO'!$D$4:$D$13,MATCH($F844,'CAT_CENTROS_COSTO'!$A$4:$A$13,0)),"(sin catálogo)"))</f>
        <v/>
      </c>
      <c r="W844" s="3">
        <f>IF($F844="","",IF((IFERROR(INDEX('CAT_CENTROS_COSTO'!$E$4:$E$13,MATCH($F844,'CAT_CENTROS_COSTO'!$A$4:$A$13,0)),""))&lt;&gt;"",IFERROR(INDEX('CAT_CENTROS_COSTO'!$E$4:$E$13,MATCH($F844,'CAT_CENTROS_COSTO'!$A$4:$A$13,0)),""),$V844))</f>
        <v/>
      </c>
      <c r="X844" s="3">
        <f>IF($F844="","",IFERROR(INDEX('CAT_CENTROS_COSTO'!$G$4:$G$13,MATCH($F844,'CAT_CENTROS_COSTO'!$A$4:$A$13,0)),"(sin catálogo)"))</f>
        <v/>
      </c>
      <c r="Y844" s="3">
        <f>IF($G844="","",IFERROR(INDEX('CAT_PUESTOS'!$B$4:$B$8,MATCH($G844,'CAT_PUESTOS'!$A$4:$A$8,0)),"(sin catálogo)"))</f>
        <v/>
      </c>
      <c r="Z844" s="3">
        <f>IF($H844="","",IFERROR(INDEX('CAT_ACTIVIDADES'!$B$4:$B$8,MATCH($H844,'CAT_ACTIVIDADES'!$A$4:$A$8,0)),"(sin catálogo)"))</f>
        <v/>
      </c>
      <c r="AA844" s="12">
        <f>IF($J844="","",TODAY()-$J844)</f>
        <v/>
      </c>
      <c r="AB844" s="12">
        <f>IF($J844="","",IF($J844&lt;=TODAY(),COUNTIFS(cal_fechas,"&gt;="&amp;$J844,cal_fechas,"&lt;"&amp;TODAY(),cal_habil,"sí"),-COUNTIFS(cal_fechas,"&gt;="&amp;TODAY(),cal_fechas,"&lt;"&amp;$J844,cal_habil,"sí")))</f>
        <v/>
      </c>
      <c r="AC844" s="3">
        <f>IF($AB844="","",IF($AB844&lt;0,"FUTURO",IF($AB844&gt;p_dias_backlog_max,"BACKLOG","MES CORRIENTE")))</f>
        <v/>
      </c>
      <c r="AD844" s="3">
        <f>IF($AB844="",FALSE,AND($AB844&gt;p_dias_backlog_min,$AB844&lt;=p_dias_backlog_max))</f>
        <v/>
      </c>
      <c r="AE844" s="6" t="n"/>
      <c r="AF844" s="3">
        <f>IF($AE844="","",IF((IFERROR(INDEX('ASIGNACIONES'!$F$4:$F$339,MATCH($O844&amp;"|"&amp;$R844&amp;"|"&amp;$AE844,'ASIGNACIONES'!$J$4:$J$339,0)),""))=0,"",IFERROR(INDEX('ASIGNACIONES'!$F$4:$F$339,MATCH($O844&amp;"|"&amp;$R844&amp;"|"&amp;$AE844,'ASIGNACIONES'!$J$4:$J$339,0)),"")))</f>
        <v/>
      </c>
      <c r="AG844" s="13">
        <f>IF($AE844="","",SUMIFS('ORDENES'!$M$4:$M$1203,'ORDENES'!$AE$4:$AE$1203,$AE844,'ORDENES'!$O$4:$O$1203,$O844,'ORDENES'!$R$4:$R$1203,$R844))</f>
        <v/>
      </c>
      <c r="AH844" s="13">
        <f>IF($AG844="","",p_factor_productividad*IFERROR(INDEX('ASIGNACIONES'!$I$4:$I$339,MATCH($O844&amp;"|"&amp;$R844&amp;"|"&amp;$AE844,'ASIGNACIONES'!$J$4:$J$339,0)),0)-$AG844)</f>
        <v/>
      </c>
      <c r="AI844" s="10">
        <f>IF($A844="","",IFERROR(INDEX('2_IMPORTAR_EJECUCION'!$F$9:$F$1208,MATCH($AQ844,'2_IMPORTAR_EJECUCION'!$J$9:$J$1208,0)),0))</f>
        <v/>
      </c>
      <c r="AJ844" s="10">
        <f>IF($A844="","",MAX(0,IFERROR(INDEX('2_IMPORTAR_EJECUCION'!$H$9:$H$1208,MATCH($AQ844,'2_IMPORTAR_EJECUCION'!$J$9:$J$1208,0)),0)-$AI844))</f>
        <v/>
      </c>
      <c r="AK844" s="10">
        <f>IF($A844="","",$AI844+$AJ844)</f>
        <v/>
      </c>
      <c r="AL844" s="6" t="n"/>
      <c r="AM844" s="6" t="n"/>
      <c r="AN844" s="6" t="n"/>
      <c r="AO844" s="3">
        <f>IF($AN844="","",HYPERLINK(p_ruta_base_checklists&amp;$AN844,"abrir"))</f>
        <v/>
      </c>
      <c r="AP844" s="6" t="n"/>
      <c r="AQ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IF($A845="","",IFERROR(INDEX('AJUSTES'!$B$4:$B$303,MATCH($AQ845,'AJUSTES'!$A$4:$A$303,0)),IF($K845="","",$K845)))</f>
        <v/>
      </c>
      <c r="N845" s="3">
        <f>IF($A845="","",IFERROR(INDEX('CAT_ESTADOS_ERP'!$B$4:$B$7,MATCH(IFERROR(INDEX('2_IMPORTAR_EJECUCION'!$C$9:$C$1208,MATCH($AQ845,'2_IMPORTAR_EJECUCION'!$J$9:$J$1208,0)),""),'CAT_ESTADOS_ERP'!$A$4:$A$7,0)),"Pendiente"))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J845="","",IFERROR(INDEX('CALENDARIO'!$C$15:$C$214,MATCH(TEXT($J845,"yyyy-mm-dd")&amp;"|"&amp;$V845&amp;"|"&amp;$W845,'CALENDARIO'!$G$15:$G$214,0)),IFERROR(INDEX('CALENDARIO'!$C$15:$C$214,MATCH(TEXT($J845,"yyyy-mm-dd")&amp;"|"&amp;$V845&amp;"|",'CALENDARIO'!$G$15:$G$214,0)),IFERROR(INDEX('CALENDARIO'!$C$15:$C$214,MATCH(TEXT($J845,"yyyy-mm-dd")&amp;"||",'CALENDARIO'!$G$15:$G$214,0)),INDEX(patronHabil,WEEKDAY($J845,2))))))</f>
        <v/>
      </c>
      <c r="T845" s="3">
        <f>IF($I845="","",IFERROR(INDEX('CAT_TIPOS_OT'!$C$4:$C$7,MATCH($I845,'CAT_TIPOS_OT'!$A$4:$A$7,0)),"sin_clasificar"))</f>
        <v/>
      </c>
      <c r="U845" s="3">
        <f>IF($F845="","",IFERROR(INDEX('CAT_CENTROS_COSTO'!$F$4:$F$13,MATCH($F845,'CAT_CENTROS_COSTO'!$A$4:$A$13,0)),"(sin catálogo)"))</f>
        <v/>
      </c>
      <c r="V845" s="3">
        <f>IF($F845="","",IFERROR(INDEX('CAT_CENTROS_COSTO'!$D$4:$D$13,MATCH($F845,'CAT_CENTROS_COSTO'!$A$4:$A$13,0)),"(sin catálogo)"))</f>
        <v/>
      </c>
      <c r="W845" s="3">
        <f>IF($F845="","",IF((IFERROR(INDEX('CAT_CENTROS_COSTO'!$E$4:$E$13,MATCH($F845,'CAT_CENTROS_COSTO'!$A$4:$A$13,0)),""))&lt;&gt;"",IFERROR(INDEX('CAT_CENTROS_COSTO'!$E$4:$E$13,MATCH($F845,'CAT_CENTROS_COSTO'!$A$4:$A$13,0)),""),$V845))</f>
        <v/>
      </c>
      <c r="X845" s="3">
        <f>IF($F845="","",IFERROR(INDEX('CAT_CENTROS_COSTO'!$G$4:$G$13,MATCH($F845,'CAT_CENTROS_COSTO'!$A$4:$A$13,0)),"(sin catálogo)"))</f>
        <v/>
      </c>
      <c r="Y845" s="3">
        <f>IF($G845="","",IFERROR(INDEX('CAT_PUESTOS'!$B$4:$B$8,MATCH($G845,'CAT_PUESTOS'!$A$4:$A$8,0)),"(sin catálogo)"))</f>
        <v/>
      </c>
      <c r="Z845" s="3">
        <f>IF($H845="","",IFERROR(INDEX('CAT_ACTIVIDADES'!$B$4:$B$8,MATCH($H845,'CAT_ACTIVIDADES'!$A$4:$A$8,0)),"(sin catálogo)"))</f>
        <v/>
      </c>
      <c r="AA845" s="12">
        <f>IF($J845="","",TODAY()-$J845)</f>
        <v/>
      </c>
      <c r="AB845" s="12">
        <f>IF($J845="","",IF($J845&lt;=TODAY(),COUNTIFS(cal_fechas,"&gt;="&amp;$J845,cal_fechas,"&lt;"&amp;TODAY(),cal_habil,"sí"),-COUNTIFS(cal_fechas,"&gt;="&amp;TODAY(),cal_fechas,"&lt;"&amp;$J845,cal_habil,"sí")))</f>
        <v/>
      </c>
      <c r="AC845" s="3">
        <f>IF($AB845="","",IF($AB845&lt;0,"FUTURO",IF($AB845&gt;p_dias_backlog_max,"BACKLOG","MES CORRIENTE")))</f>
        <v/>
      </c>
      <c r="AD845" s="3">
        <f>IF($AB845="",FALSE,AND($AB845&gt;p_dias_backlog_min,$AB845&lt;=p_dias_backlog_max))</f>
        <v/>
      </c>
      <c r="AE845" s="6" t="n"/>
      <c r="AF845" s="3">
        <f>IF($AE845="","",IF((IFERROR(INDEX('ASIGNACIONES'!$F$4:$F$339,MATCH($O845&amp;"|"&amp;$R845&amp;"|"&amp;$AE845,'ASIGNACIONES'!$J$4:$J$339,0)),""))=0,"",IFERROR(INDEX('ASIGNACIONES'!$F$4:$F$339,MATCH($O845&amp;"|"&amp;$R845&amp;"|"&amp;$AE845,'ASIGNACIONES'!$J$4:$J$339,0)),"")))</f>
        <v/>
      </c>
      <c r="AG845" s="13">
        <f>IF($AE845="","",SUMIFS('ORDENES'!$M$4:$M$1203,'ORDENES'!$AE$4:$AE$1203,$AE845,'ORDENES'!$O$4:$O$1203,$O845,'ORDENES'!$R$4:$R$1203,$R845))</f>
        <v/>
      </c>
      <c r="AH845" s="13">
        <f>IF($AG845="","",p_factor_productividad*IFERROR(INDEX('ASIGNACIONES'!$I$4:$I$339,MATCH($O845&amp;"|"&amp;$R845&amp;"|"&amp;$AE845,'ASIGNACIONES'!$J$4:$J$339,0)),0)-$AG845)</f>
        <v/>
      </c>
      <c r="AI845" s="10">
        <f>IF($A845="","",IFERROR(INDEX('2_IMPORTAR_EJECUCION'!$F$9:$F$1208,MATCH($AQ845,'2_IMPORTAR_EJECUCION'!$J$9:$J$1208,0)),0))</f>
        <v/>
      </c>
      <c r="AJ845" s="10">
        <f>IF($A845="","",MAX(0,IFERROR(INDEX('2_IMPORTAR_EJECUCION'!$H$9:$H$1208,MATCH($AQ845,'2_IMPORTAR_EJECUCION'!$J$9:$J$1208,0)),0)-$AI845))</f>
        <v/>
      </c>
      <c r="AK845" s="10">
        <f>IF($A845="","",$AI845+$AJ845)</f>
        <v/>
      </c>
      <c r="AL845" s="6" t="n"/>
      <c r="AM845" s="6" t="n"/>
      <c r="AN845" s="6" t="n"/>
      <c r="AO845" s="3">
        <f>IF($AN845="","",HYPERLINK(p_ruta_base_checklists&amp;$AN845,"abrir"))</f>
        <v/>
      </c>
      <c r="AP845" s="6" t="n"/>
      <c r="AQ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IF($A846="","",IFERROR(INDEX('AJUSTES'!$B$4:$B$303,MATCH($AQ846,'AJUSTES'!$A$4:$A$303,0)),IF($K846="","",$K846)))</f>
        <v/>
      </c>
      <c r="N846" s="3">
        <f>IF($A846="","",IFERROR(INDEX('CAT_ESTADOS_ERP'!$B$4:$B$7,MATCH(IFERROR(INDEX('2_IMPORTAR_EJECUCION'!$C$9:$C$1208,MATCH($AQ846,'2_IMPORTAR_EJECUCION'!$J$9:$J$1208,0)),""),'CAT_ESTADOS_ERP'!$A$4:$A$7,0)),"Pendiente"))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J846="","",IFERROR(INDEX('CALENDARIO'!$C$15:$C$214,MATCH(TEXT($J846,"yyyy-mm-dd")&amp;"|"&amp;$V846&amp;"|"&amp;$W846,'CALENDARIO'!$G$15:$G$214,0)),IFERROR(INDEX('CALENDARIO'!$C$15:$C$214,MATCH(TEXT($J846,"yyyy-mm-dd")&amp;"|"&amp;$V846&amp;"|",'CALENDARIO'!$G$15:$G$214,0)),IFERROR(INDEX('CALENDARIO'!$C$15:$C$214,MATCH(TEXT($J846,"yyyy-mm-dd")&amp;"||",'CALENDARIO'!$G$15:$G$214,0)),INDEX(patronHabil,WEEKDAY($J846,2))))))</f>
        <v/>
      </c>
      <c r="T846" s="3">
        <f>IF($I846="","",IFERROR(INDEX('CAT_TIPOS_OT'!$C$4:$C$7,MATCH($I846,'CAT_TIPOS_OT'!$A$4:$A$7,0)),"sin_clasificar"))</f>
        <v/>
      </c>
      <c r="U846" s="3">
        <f>IF($F846="","",IFERROR(INDEX('CAT_CENTROS_COSTO'!$F$4:$F$13,MATCH($F846,'CAT_CENTROS_COSTO'!$A$4:$A$13,0)),"(sin catálogo)"))</f>
        <v/>
      </c>
      <c r="V846" s="3">
        <f>IF($F846="","",IFERROR(INDEX('CAT_CENTROS_COSTO'!$D$4:$D$13,MATCH($F846,'CAT_CENTROS_COSTO'!$A$4:$A$13,0)),"(sin catálogo)"))</f>
        <v/>
      </c>
      <c r="W846" s="3">
        <f>IF($F846="","",IF((IFERROR(INDEX('CAT_CENTROS_COSTO'!$E$4:$E$13,MATCH($F846,'CAT_CENTROS_COSTO'!$A$4:$A$13,0)),""))&lt;&gt;"",IFERROR(INDEX('CAT_CENTROS_COSTO'!$E$4:$E$13,MATCH($F846,'CAT_CENTROS_COSTO'!$A$4:$A$13,0)),""),$V846))</f>
        <v/>
      </c>
      <c r="X846" s="3">
        <f>IF($F846="","",IFERROR(INDEX('CAT_CENTROS_COSTO'!$G$4:$G$13,MATCH($F846,'CAT_CENTROS_COSTO'!$A$4:$A$13,0)),"(sin catálogo)"))</f>
        <v/>
      </c>
      <c r="Y846" s="3">
        <f>IF($G846="","",IFERROR(INDEX('CAT_PUESTOS'!$B$4:$B$8,MATCH($G846,'CAT_PUESTOS'!$A$4:$A$8,0)),"(sin catálogo)"))</f>
        <v/>
      </c>
      <c r="Z846" s="3">
        <f>IF($H846="","",IFERROR(INDEX('CAT_ACTIVIDADES'!$B$4:$B$8,MATCH($H846,'CAT_ACTIVIDADES'!$A$4:$A$8,0)),"(sin catálogo)"))</f>
        <v/>
      </c>
      <c r="AA846" s="12">
        <f>IF($J846="","",TODAY()-$J846)</f>
        <v/>
      </c>
      <c r="AB846" s="12">
        <f>IF($J846="","",IF($J846&lt;=TODAY(),COUNTIFS(cal_fechas,"&gt;="&amp;$J846,cal_fechas,"&lt;"&amp;TODAY(),cal_habil,"sí"),-COUNTIFS(cal_fechas,"&gt;="&amp;TODAY(),cal_fechas,"&lt;"&amp;$J846,cal_habil,"sí")))</f>
        <v/>
      </c>
      <c r="AC846" s="3">
        <f>IF($AB846="","",IF($AB846&lt;0,"FUTURO",IF($AB846&gt;p_dias_backlog_max,"BACKLOG","MES CORRIENTE")))</f>
        <v/>
      </c>
      <c r="AD846" s="3">
        <f>IF($AB846="",FALSE,AND($AB846&gt;p_dias_backlog_min,$AB846&lt;=p_dias_backlog_max))</f>
        <v/>
      </c>
      <c r="AE846" s="6" t="n"/>
      <c r="AF846" s="3">
        <f>IF($AE846="","",IF((IFERROR(INDEX('ASIGNACIONES'!$F$4:$F$339,MATCH($O846&amp;"|"&amp;$R846&amp;"|"&amp;$AE846,'ASIGNACIONES'!$J$4:$J$339,0)),""))=0,"",IFERROR(INDEX('ASIGNACIONES'!$F$4:$F$339,MATCH($O846&amp;"|"&amp;$R846&amp;"|"&amp;$AE846,'ASIGNACIONES'!$J$4:$J$339,0)),"")))</f>
        <v/>
      </c>
      <c r="AG846" s="13">
        <f>IF($AE846="","",SUMIFS('ORDENES'!$M$4:$M$1203,'ORDENES'!$AE$4:$AE$1203,$AE846,'ORDENES'!$O$4:$O$1203,$O846,'ORDENES'!$R$4:$R$1203,$R846))</f>
        <v/>
      </c>
      <c r="AH846" s="13">
        <f>IF($AG846="","",p_factor_productividad*IFERROR(INDEX('ASIGNACIONES'!$I$4:$I$339,MATCH($O846&amp;"|"&amp;$R846&amp;"|"&amp;$AE846,'ASIGNACIONES'!$J$4:$J$339,0)),0)-$AG846)</f>
        <v/>
      </c>
      <c r="AI846" s="10">
        <f>IF($A846="","",IFERROR(INDEX('2_IMPORTAR_EJECUCION'!$F$9:$F$1208,MATCH($AQ846,'2_IMPORTAR_EJECUCION'!$J$9:$J$1208,0)),0))</f>
        <v/>
      </c>
      <c r="AJ846" s="10">
        <f>IF($A846="","",MAX(0,IFERROR(INDEX('2_IMPORTAR_EJECUCION'!$H$9:$H$1208,MATCH($AQ846,'2_IMPORTAR_EJECUCION'!$J$9:$J$1208,0)),0)-$AI846))</f>
        <v/>
      </c>
      <c r="AK846" s="10">
        <f>IF($A846="","",$AI846+$AJ846)</f>
        <v/>
      </c>
      <c r="AL846" s="6" t="n"/>
      <c r="AM846" s="6" t="n"/>
      <c r="AN846" s="6" t="n"/>
      <c r="AO846" s="3">
        <f>IF($AN846="","",HYPERLINK(p_ruta_base_checklists&amp;$AN846,"abrir"))</f>
        <v/>
      </c>
      <c r="AP846" s="6" t="n"/>
      <c r="AQ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IF($A847="","",IFERROR(INDEX('AJUSTES'!$B$4:$B$303,MATCH($AQ847,'AJUSTES'!$A$4:$A$303,0)),IF($K847="","",$K847)))</f>
        <v/>
      </c>
      <c r="N847" s="3">
        <f>IF($A847="","",IFERROR(INDEX('CAT_ESTADOS_ERP'!$B$4:$B$7,MATCH(IFERROR(INDEX('2_IMPORTAR_EJECUCION'!$C$9:$C$1208,MATCH($AQ847,'2_IMPORTAR_EJECUCION'!$J$9:$J$1208,0)),""),'CAT_ESTADOS_ERP'!$A$4:$A$7,0)),"Pendiente"))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J847="","",IFERROR(INDEX('CALENDARIO'!$C$15:$C$214,MATCH(TEXT($J847,"yyyy-mm-dd")&amp;"|"&amp;$V847&amp;"|"&amp;$W847,'CALENDARIO'!$G$15:$G$214,0)),IFERROR(INDEX('CALENDARIO'!$C$15:$C$214,MATCH(TEXT($J847,"yyyy-mm-dd")&amp;"|"&amp;$V847&amp;"|",'CALENDARIO'!$G$15:$G$214,0)),IFERROR(INDEX('CALENDARIO'!$C$15:$C$214,MATCH(TEXT($J847,"yyyy-mm-dd")&amp;"||",'CALENDARIO'!$G$15:$G$214,0)),INDEX(patronHabil,WEEKDAY($J847,2))))))</f>
        <v/>
      </c>
      <c r="T847" s="3">
        <f>IF($I847="","",IFERROR(INDEX('CAT_TIPOS_OT'!$C$4:$C$7,MATCH($I847,'CAT_TIPOS_OT'!$A$4:$A$7,0)),"sin_clasificar"))</f>
        <v/>
      </c>
      <c r="U847" s="3">
        <f>IF($F847="","",IFERROR(INDEX('CAT_CENTROS_COSTO'!$F$4:$F$13,MATCH($F847,'CAT_CENTROS_COSTO'!$A$4:$A$13,0)),"(sin catálogo)"))</f>
        <v/>
      </c>
      <c r="V847" s="3">
        <f>IF($F847="","",IFERROR(INDEX('CAT_CENTROS_COSTO'!$D$4:$D$13,MATCH($F847,'CAT_CENTROS_COSTO'!$A$4:$A$13,0)),"(sin catálogo)"))</f>
        <v/>
      </c>
      <c r="W847" s="3">
        <f>IF($F847="","",IF((IFERROR(INDEX('CAT_CENTROS_COSTO'!$E$4:$E$13,MATCH($F847,'CAT_CENTROS_COSTO'!$A$4:$A$13,0)),""))&lt;&gt;"",IFERROR(INDEX('CAT_CENTROS_COSTO'!$E$4:$E$13,MATCH($F847,'CAT_CENTROS_COSTO'!$A$4:$A$13,0)),""),$V847))</f>
        <v/>
      </c>
      <c r="X847" s="3">
        <f>IF($F847="","",IFERROR(INDEX('CAT_CENTROS_COSTO'!$G$4:$G$13,MATCH($F847,'CAT_CENTROS_COSTO'!$A$4:$A$13,0)),"(sin catálogo)"))</f>
        <v/>
      </c>
      <c r="Y847" s="3">
        <f>IF($G847="","",IFERROR(INDEX('CAT_PUESTOS'!$B$4:$B$8,MATCH($G847,'CAT_PUESTOS'!$A$4:$A$8,0)),"(sin catálogo)"))</f>
        <v/>
      </c>
      <c r="Z847" s="3">
        <f>IF($H847="","",IFERROR(INDEX('CAT_ACTIVIDADES'!$B$4:$B$8,MATCH($H847,'CAT_ACTIVIDADES'!$A$4:$A$8,0)),"(sin catálogo)"))</f>
        <v/>
      </c>
      <c r="AA847" s="12">
        <f>IF($J847="","",TODAY()-$J847)</f>
        <v/>
      </c>
      <c r="AB847" s="12">
        <f>IF($J847="","",IF($J847&lt;=TODAY(),COUNTIFS(cal_fechas,"&gt;="&amp;$J847,cal_fechas,"&lt;"&amp;TODAY(),cal_habil,"sí"),-COUNTIFS(cal_fechas,"&gt;="&amp;TODAY(),cal_fechas,"&lt;"&amp;$J847,cal_habil,"sí")))</f>
        <v/>
      </c>
      <c r="AC847" s="3">
        <f>IF($AB847="","",IF($AB847&lt;0,"FUTURO",IF($AB847&gt;p_dias_backlog_max,"BACKLOG","MES CORRIENTE")))</f>
        <v/>
      </c>
      <c r="AD847" s="3">
        <f>IF($AB847="",FALSE,AND($AB847&gt;p_dias_backlog_min,$AB847&lt;=p_dias_backlog_max))</f>
        <v/>
      </c>
      <c r="AE847" s="6" t="n"/>
      <c r="AF847" s="3">
        <f>IF($AE847="","",IF((IFERROR(INDEX('ASIGNACIONES'!$F$4:$F$339,MATCH($O847&amp;"|"&amp;$R847&amp;"|"&amp;$AE847,'ASIGNACIONES'!$J$4:$J$339,0)),""))=0,"",IFERROR(INDEX('ASIGNACIONES'!$F$4:$F$339,MATCH($O847&amp;"|"&amp;$R847&amp;"|"&amp;$AE847,'ASIGNACIONES'!$J$4:$J$339,0)),"")))</f>
        <v/>
      </c>
      <c r="AG847" s="13">
        <f>IF($AE847="","",SUMIFS('ORDENES'!$M$4:$M$1203,'ORDENES'!$AE$4:$AE$1203,$AE847,'ORDENES'!$O$4:$O$1203,$O847,'ORDENES'!$R$4:$R$1203,$R847))</f>
        <v/>
      </c>
      <c r="AH847" s="13">
        <f>IF($AG847="","",p_factor_productividad*IFERROR(INDEX('ASIGNACIONES'!$I$4:$I$339,MATCH($O847&amp;"|"&amp;$R847&amp;"|"&amp;$AE847,'ASIGNACIONES'!$J$4:$J$339,0)),0)-$AG847)</f>
        <v/>
      </c>
      <c r="AI847" s="10">
        <f>IF($A847="","",IFERROR(INDEX('2_IMPORTAR_EJECUCION'!$F$9:$F$1208,MATCH($AQ847,'2_IMPORTAR_EJECUCION'!$J$9:$J$1208,0)),0))</f>
        <v/>
      </c>
      <c r="AJ847" s="10">
        <f>IF($A847="","",MAX(0,IFERROR(INDEX('2_IMPORTAR_EJECUCION'!$H$9:$H$1208,MATCH($AQ847,'2_IMPORTAR_EJECUCION'!$J$9:$J$1208,0)),0)-$AI847))</f>
        <v/>
      </c>
      <c r="AK847" s="10">
        <f>IF($A847="","",$AI847+$AJ847)</f>
        <v/>
      </c>
      <c r="AL847" s="6" t="n"/>
      <c r="AM847" s="6" t="n"/>
      <c r="AN847" s="6" t="n"/>
      <c r="AO847" s="3">
        <f>IF($AN847="","",HYPERLINK(p_ruta_base_checklists&amp;$AN847,"abrir"))</f>
        <v/>
      </c>
      <c r="AP847" s="6" t="n"/>
      <c r="AQ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IF($A848="","",IFERROR(INDEX('AJUSTES'!$B$4:$B$303,MATCH($AQ848,'AJUSTES'!$A$4:$A$303,0)),IF($K848="","",$K848)))</f>
        <v/>
      </c>
      <c r="N848" s="3">
        <f>IF($A848="","",IFERROR(INDEX('CAT_ESTADOS_ERP'!$B$4:$B$7,MATCH(IFERROR(INDEX('2_IMPORTAR_EJECUCION'!$C$9:$C$1208,MATCH($AQ848,'2_IMPORTAR_EJECUCION'!$J$9:$J$1208,0)),""),'CAT_ESTADOS_ERP'!$A$4:$A$7,0)),"Pendiente"))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J848="","",IFERROR(INDEX('CALENDARIO'!$C$15:$C$214,MATCH(TEXT($J848,"yyyy-mm-dd")&amp;"|"&amp;$V848&amp;"|"&amp;$W848,'CALENDARIO'!$G$15:$G$214,0)),IFERROR(INDEX('CALENDARIO'!$C$15:$C$214,MATCH(TEXT($J848,"yyyy-mm-dd")&amp;"|"&amp;$V848&amp;"|",'CALENDARIO'!$G$15:$G$214,0)),IFERROR(INDEX('CALENDARIO'!$C$15:$C$214,MATCH(TEXT($J848,"yyyy-mm-dd")&amp;"||",'CALENDARIO'!$G$15:$G$214,0)),INDEX(patronHabil,WEEKDAY($J848,2))))))</f>
        <v/>
      </c>
      <c r="T848" s="3">
        <f>IF($I848="","",IFERROR(INDEX('CAT_TIPOS_OT'!$C$4:$C$7,MATCH($I848,'CAT_TIPOS_OT'!$A$4:$A$7,0)),"sin_clasificar"))</f>
        <v/>
      </c>
      <c r="U848" s="3">
        <f>IF($F848="","",IFERROR(INDEX('CAT_CENTROS_COSTO'!$F$4:$F$13,MATCH($F848,'CAT_CENTROS_COSTO'!$A$4:$A$13,0)),"(sin catálogo)"))</f>
        <v/>
      </c>
      <c r="V848" s="3">
        <f>IF($F848="","",IFERROR(INDEX('CAT_CENTROS_COSTO'!$D$4:$D$13,MATCH($F848,'CAT_CENTROS_COSTO'!$A$4:$A$13,0)),"(sin catálogo)"))</f>
        <v/>
      </c>
      <c r="W848" s="3">
        <f>IF($F848="","",IF((IFERROR(INDEX('CAT_CENTROS_COSTO'!$E$4:$E$13,MATCH($F848,'CAT_CENTROS_COSTO'!$A$4:$A$13,0)),""))&lt;&gt;"",IFERROR(INDEX('CAT_CENTROS_COSTO'!$E$4:$E$13,MATCH($F848,'CAT_CENTROS_COSTO'!$A$4:$A$13,0)),""),$V848))</f>
        <v/>
      </c>
      <c r="X848" s="3">
        <f>IF($F848="","",IFERROR(INDEX('CAT_CENTROS_COSTO'!$G$4:$G$13,MATCH($F848,'CAT_CENTROS_COSTO'!$A$4:$A$13,0)),"(sin catálogo)"))</f>
        <v/>
      </c>
      <c r="Y848" s="3">
        <f>IF($G848="","",IFERROR(INDEX('CAT_PUESTOS'!$B$4:$B$8,MATCH($G848,'CAT_PUESTOS'!$A$4:$A$8,0)),"(sin catálogo)"))</f>
        <v/>
      </c>
      <c r="Z848" s="3">
        <f>IF($H848="","",IFERROR(INDEX('CAT_ACTIVIDADES'!$B$4:$B$8,MATCH($H848,'CAT_ACTIVIDADES'!$A$4:$A$8,0)),"(sin catálogo)"))</f>
        <v/>
      </c>
      <c r="AA848" s="12">
        <f>IF($J848="","",TODAY()-$J848)</f>
        <v/>
      </c>
      <c r="AB848" s="12">
        <f>IF($J848="","",IF($J848&lt;=TODAY(),COUNTIFS(cal_fechas,"&gt;="&amp;$J848,cal_fechas,"&lt;"&amp;TODAY(),cal_habil,"sí"),-COUNTIFS(cal_fechas,"&gt;="&amp;TODAY(),cal_fechas,"&lt;"&amp;$J848,cal_habil,"sí")))</f>
        <v/>
      </c>
      <c r="AC848" s="3">
        <f>IF($AB848="","",IF($AB848&lt;0,"FUTURO",IF($AB848&gt;p_dias_backlog_max,"BACKLOG","MES CORRIENTE")))</f>
        <v/>
      </c>
      <c r="AD848" s="3">
        <f>IF($AB848="",FALSE,AND($AB848&gt;p_dias_backlog_min,$AB848&lt;=p_dias_backlog_max))</f>
        <v/>
      </c>
      <c r="AE848" s="6" t="n"/>
      <c r="AF848" s="3">
        <f>IF($AE848="","",IF((IFERROR(INDEX('ASIGNACIONES'!$F$4:$F$339,MATCH($O848&amp;"|"&amp;$R848&amp;"|"&amp;$AE848,'ASIGNACIONES'!$J$4:$J$339,0)),""))=0,"",IFERROR(INDEX('ASIGNACIONES'!$F$4:$F$339,MATCH($O848&amp;"|"&amp;$R848&amp;"|"&amp;$AE848,'ASIGNACIONES'!$J$4:$J$339,0)),"")))</f>
        <v/>
      </c>
      <c r="AG848" s="13">
        <f>IF($AE848="","",SUMIFS('ORDENES'!$M$4:$M$1203,'ORDENES'!$AE$4:$AE$1203,$AE848,'ORDENES'!$O$4:$O$1203,$O848,'ORDENES'!$R$4:$R$1203,$R848))</f>
        <v/>
      </c>
      <c r="AH848" s="13">
        <f>IF($AG848="","",p_factor_productividad*IFERROR(INDEX('ASIGNACIONES'!$I$4:$I$339,MATCH($O848&amp;"|"&amp;$R848&amp;"|"&amp;$AE848,'ASIGNACIONES'!$J$4:$J$339,0)),0)-$AG848)</f>
        <v/>
      </c>
      <c r="AI848" s="10">
        <f>IF($A848="","",IFERROR(INDEX('2_IMPORTAR_EJECUCION'!$F$9:$F$1208,MATCH($AQ848,'2_IMPORTAR_EJECUCION'!$J$9:$J$1208,0)),0))</f>
        <v/>
      </c>
      <c r="AJ848" s="10">
        <f>IF($A848="","",MAX(0,IFERROR(INDEX('2_IMPORTAR_EJECUCION'!$H$9:$H$1208,MATCH($AQ848,'2_IMPORTAR_EJECUCION'!$J$9:$J$1208,0)),0)-$AI848))</f>
        <v/>
      </c>
      <c r="AK848" s="10">
        <f>IF($A848="","",$AI848+$AJ848)</f>
        <v/>
      </c>
      <c r="AL848" s="6" t="n"/>
      <c r="AM848" s="6" t="n"/>
      <c r="AN848" s="6" t="n"/>
      <c r="AO848" s="3">
        <f>IF($AN848="","",HYPERLINK(p_ruta_base_checklists&amp;$AN848,"abrir"))</f>
        <v/>
      </c>
      <c r="AP848" s="6" t="n"/>
      <c r="AQ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IF($A849="","",IFERROR(INDEX('AJUSTES'!$B$4:$B$303,MATCH($AQ849,'AJUSTES'!$A$4:$A$303,0)),IF($K849="","",$K849)))</f>
        <v/>
      </c>
      <c r="N849" s="3">
        <f>IF($A849="","",IFERROR(INDEX('CAT_ESTADOS_ERP'!$B$4:$B$7,MATCH(IFERROR(INDEX('2_IMPORTAR_EJECUCION'!$C$9:$C$1208,MATCH($AQ849,'2_IMPORTAR_EJECUCION'!$J$9:$J$1208,0)),""),'CAT_ESTADOS_ERP'!$A$4:$A$7,0)),"Pendiente"))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J849="","",IFERROR(INDEX('CALENDARIO'!$C$15:$C$214,MATCH(TEXT($J849,"yyyy-mm-dd")&amp;"|"&amp;$V849&amp;"|"&amp;$W849,'CALENDARIO'!$G$15:$G$214,0)),IFERROR(INDEX('CALENDARIO'!$C$15:$C$214,MATCH(TEXT($J849,"yyyy-mm-dd")&amp;"|"&amp;$V849&amp;"|",'CALENDARIO'!$G$15:$G$214,0)),IFERROR(INDEX('CALENDARIO'!$C$15:$C$214,MATCH(TEXT($J849,"yyyy-mm-dd")&amp;"||",'CALENDARIO'!$G$15:$G$214,0)),INDEX(patronHabil,WEEKDAY($J849,2))))))</f>
        <v/>
      </c>
      <c r="T849" s="3">
        <f>IF($I849="","",IFERROR(INDEX('CAT_TIPOS_OT'!$C$4:$C$7,MATCH($I849,'CAT_TIPOS_OT'!$A$4:$A$7,0)),"sin_clasificar"))</f>
        <v/>
      </c>
      <c r="U849" s="3">
        <f>IF($F849="","",IFERROR(INDEX('CAT_CENTROS_COSTO'!$F$4:$F$13,MATCH($F849,'CAT_CENTROS_COSTO'!$A$4:$A$13,0)),"(sin catálogo)"))</f>
        <v/>
      </c>
      <c r="V849" s="3">
        <f>IF($F849="","",IFERROR(INDEX('CAT_CENTROS_COSTO'!$D$4:$D$13,MATCH($F849,'CAT_CENTROS_COSTO'!$A$4:$A$13,0)),"(sin catálogo)"))</f>
        <v/>
      </c>
      <c r="W849" s="3">
        <f>IF($F849="","",IF((IFERROR(INDEX('CAT_CENTROS_COSTO'!$E$4:$E$13,MATCH($F849,'CAT_CENTROS_COSTO'!$A$4:$A$13,0)),""))&lt;&gt;"",IFERROR(INDEX('CAT_CENTROS_COSTO'!$E$4:$E$13,MATCH($F849,'CAT_CENTROS_COSTO'!$A$4:$A$13,0)),""),$V849))</f>
        <v/>
      </c>
      <c r="X849" s="3">
        <f>IF($F849="","",IFERROR(INDEX('CAT_CENTROS_COSTO'!$G$4:$G$13,MATCH($F849,'CAT_CENTROS_COSTO'!$A$4:$A$13,0)),"(sin catálogo)"))</f>
        <v/>
      </c>
      <c r="Y849" s="3">
        <f>IF($G849="","",IFERROR(INDEX('CAT_PUESTOS'!$B$4:$B$8,MATCH($G849,'CAT_PUESTOS'!$A$4:$A$8,0)),"(sin catálogo)"))</f>
        <v/>
      </c>
      <c r="Z849" s="3">
        <f>IF($H849="","",IFERROR(INDEX('CAT_ACTIVIDADES'!$B$4:$B$8,MATCH($H849,'CAT_ACTIVIDADES'!$A$4:$A$8,0)),"(sin catálogo)"))</f>
        <v/>
      </c>
      <c r="AA849" s="12">
        <f>IF($J849="","",TODAY()-$J849)</f>
        <v/>
      </c>
      <c r="AB849" s="12">
        <f>IF($J849="","",IF($J849&lt;=TODAY(),COUNTIFS(cal_fechas,"&gt;="&amp;$J849,cal_fechas,"&lt;"&amp;TODAY(),cal_habil,"sí"),-COUNTIFS(cal_fechas,"&gt;="&amp;TODAY(),cal_fechas,"&lt;"&amp;$J849,cal_habil,"sí")))</f>
        <v/>
      </c>
      <c r="AC849" s="3">
        <f>IF($AB849="","",IF($AB849&lt;0,"FUTURO",IF($AB849&gt;p_dias_backlog_max,"BACKLOG","MES CORRIENTE")))</f>
        <v/>
      </c>
      <c r="AD849" s="3">
        <f>IF($AB849="",FALSE,AND($AB849&gt;p_dias_backlog_min,$AB849&lt;=p_dias_backlog_max))</f>
        <v/>
      </c>
      <c r="AE849" s="6" t="n"/>
      <c r="AF849" s="3">
        <f>IF($AE849="","",IF((IFERROR(INDEX('ASIGNACIONES'!$F$4:$F$339,MATCH($O849&amp;"|"&amp;$R849&amp;"|"&amp;$AE849,'ASIGNACIONES'!$J$4:$J$339,0)),""))=0,"",IFERROR(INDEX('ASIGNACIONES'!$F$4:$F$339,MATCH($O849&amp;"|"&amp;$R849&amp;"|"&amp;$AE849,'ASIGNACIONES'!$J$4:$J$339,0)),"")))</f>
        <v/>
      </c>
      <c r="AG849" s="13">
        <f>IF($AE849="","",SUMIFS('ORDENES'!$M$4:$M$1203,'ORDENES'!$AE$4:$AE$1203,$AE849,'ORDENES'!$O$4:$O$1203,$O849,'ORDENES'!$R$4:$R$1203,$R849))</f>
        <v/>
      </c>
      <c r="AH849" s="13">
        <f>IF($AG849="","",p_factor_productividad*IFERROR(INDEX('ASIGNACIONES'!$I$4:$I$339,MATCH($O849&amp;"|"&amp;$R849&amp;"|"&amp;$AE849,'ASIGNACIONES'!$J$4:$J$339,0)),0)-$AG849)</f>
        <v/>
      </c>
      <c r="AI849" s="10">
        <f>IF($A849="","",IFERROR(INDEX('2_IMPORTAR_EJECUCION'!$F$9:$F$1208,MATCH($AQ849,'2_IMPORTAR_EJECUCION'!$J$9:$J$1208,0)),0))</f>
        <v/>
      </c>
      <c r="AJ849" s="10">
        <f>IF($A849="","",MAX(0,IFERROR(INDEX('2_IMPORTAR_EJECUCION'!$H$9:$H$1208,MATCH($AQ849,'2_IMPORTAR_EJECUCION'!$J$9:$J$1208,0)),0)-$AI849))</f>
        <v/>
      </c>
      <c r="AK849" s="10">
        <f>IF($A849="","",$AI849+$AJ849)</f>
        <v/>
      </c>
      <c r="AL849" s="6" t="n"/>
      <c r="AM849" s="6" t="n"/>
      <c r="AN849" s="6" t="n"/>
      <c r="AO849" s="3">
        <f>IF($AN849="","",HYPERLINK(p_ruta_base_checklists&amp;$AN849,"abrir"))</f>
        <v/>
      </c>
      <c r="AP849" s="6" t="n"/>
      <c r="AQ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IF($A850="","",IFERROR(INDEX('AJUSTES'!$B$4:$B$303,MATCH($AQ850,'AJUSTES'!$A$4:$A$303,0)),IF($K850="","",$K850)))</f>
        <v/>
      </c>
      <c r="N850" s="3">
        <f>IF($A850="","",IFERROR(INDEX('CAT_ESTADOS_ERP'!$B$4:$B$7,MATCH(IFERROR(INDEX('2_IMPORTAR_EJECUCION'!$C$9:$C$1208,MATCH($AQ850,'2_IMPORTAR_EJECUCION'!$J$9:$J$1208,0)),""),'CAT_ESTADOS_ERP'!$A$4:$A$7,0)),"Pendiente"))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J850="","",IFERROR(INDEX('CALENDARIO'!$C$15:$C$214,MATCH(TEXT($J850,"yyyy-mm-dd")&amp;"|"&amp;$V850&amp;"|"&amp;$W850,'CALENDARIO'!$G$15:$G$214,0)),IFERROR(INDEX('CALENDARIO'!$C$15:$C$214,MATCH(TEXT($J850,"yyyy-mm-dd")&amp;"|"&amp;$V850&amp;"|",'CALENDARIO'!$G$15:$G$214,0)),IFERROR(INDEX('CALENDARIO'!$C$15:$C$214,MATCH(TEXT($J850,"yyyy-mm-dd")&amp;"||",'CALENDARIO'!$G$15:$G$214,0)),INDEX(patronHabil,WEEKDAY($J850,2))))))</f>
        <v/>
      </c>
      <c r="T850" s="3">
        <f>IF($I850="","",IFERROR(INDEX('CAT_TIPOS_OT'!$C$4:$C$7,MATCH($I850,'CAT_TIPOS_OT'!$A$4:$A$7,0)),"sin_clasificar"))</f>
        <v/>
      </c>
      <c r="U850" s="3">
        <f>IF($F850="","",IFERROR(INDEX('CAT_CENTROS_COSTO'!$F$4:$F$13,MATCH($F850,'CAT_CENTROS_COSTO'!$A$4:$A$13,0)),"(sin catálogo)"))</f>
        <v/>
      </c>
      <c r="V850" s="3">
        <f>IF($F850="","",IFERROR(INDEX('CAT_CENTROS_COSTO'!$D$4:$D$13,MATCH($F850,'CAT_CENTROS_COSTO'!$A$4:$A$13,0)),"(sin catálogo)"))</f>
        <v/>
      </c>
      <c r="W850" s="3">
        <f>IF($F850="","",IF((IFERROR(INDEX('CAT_CENTROS_COSTO'!$E$4:$E$13,MATCH($F850,'CAT_CENTROS_COSTO'!$A$4:$A$13,0)),""))&lt;&gt;"",IFERROR(INDEX('CAT_CENTROS_COSTO'!$E$4:$E$13,MATCH($F850,'CAT_CENTROS_COSTO'!$A$4:$A$13,0)),""),$V850))</f>
        <v/>
      </c>
      <c r="X850" s="3">
        <f>IF($F850="","",IFERROR(INDEX('CAT_CENTROS_COSTO'!$G$4:$G$13,MATCH($F850,'CAT_CENTROS_COSTO'!$A$4:$A$13,0)),"(sin catálogo)"))</f>
        <v/>
      </c>
      <c r="Y850" s="3">
        <f>IF($G850="","",IFERROR(INDEX('CAT_PUESTOS'!$B$4:$B$8,MATCH($G850,'CAT_PUESTOS'!$A$4:$A$8,0)),"(sin catálogo)"))</f>
        <v/>
      </c>
      <c r="Z850" s="3">
        <f>IF($H850="","",IFERROR(INDEX('CAT_ACTIVIDADES'!$B$4:$B$8,MATCH($H850,'CAT_ACTIVIDADES'!$A$4:$A$8,0)),"(sin catálogo)"))</f>
        <v/>
      </c>
      <c r="AA850" s="12">
        <f>IF($J850="","",TODAY()-$J850)</f>
        <v/>
      </c>
      <c r="AB850" s="12">
        <f>IF($J850="","",IF($J850&lt;=TODAY(),COUNTIFS(cal_fechas,"&gt;="&amp;$J850,cal_fechas,"&lt;"&amp;TODAY(),cal_habil,"sí"),-COUNTIFS(cal_fechas,"&gt;="&amp;TODAY(),cal_fechas,"&lt;"&amp;$J850,cal_habil,"sí")))</f>
        <v/>
      </c>
      <c r="AC850" s="3">
        <f>IF($AB850="","",IF($AB850&lt;0,"FUTURO",IF($AB850&gt;p_dias_backlog_max,"BACKLOG","MES CORRIENTE")))</f>
        <v/>
      </c>
      <c r="AD850" s="3">
        <f>IF($AB850="",FALSE,AND($AB850&gt;p_dias_backlog_min,$AB850&lt;=p_dias_backlog_max))</f>
        <v/>
      </c>
      <c r="AE850" s="6" t="n"/>
      <c r="AF850" s="3">
        <f>IF($AE850="","",IF((IFERROR(INDEX('ASIGNACIONES'!$F$4:$F$339,MATCH($O850&amp;"|"&amp;$R850&amp;"|"&amp;$AE850,'ASIGNACIONES'!$J$4:$J$339,0)),""))=0,"",IFERROR(INDEX('ASIGNACIONES'!$F$4:$F$339,MATCH($O850&amp;"|"&amp;$R850&amp;"|"&amp;$AE850,'ASIGNACIONES'!$J$4:$J$339,0)),"")))</f>
        <v/>
      </c>
      <c r="AG850" s="13">
        <f>IF($AE850="","",SUMIFS('ORDENES'!$M$4:$M$1203,'ORDENES'!$AE$4:$AE$1203,$AE850,'ORDENES'!$O$4:$O$1203,$O850,'ORDENES'!$R$4:$R$1203,$R850))</f>
        <v/>
      </c>
      <c r="AH850" s="13">
        <f>IF($AG850="","",p_factor_productividad*IFERROR(INDEX('ASIGNACIONES'!$I$4:$I$339,MATCH($O850&amp;"|"&amp;$R850&amp;"|"&amp;$AE850,'ASIGNACIONES'!$J$4:$J$339,0)),0)-$AG850)</f>
        <v/>
      </c>
      <c r="AI850" s="10">
        <f>IF($A850="","",IFERROR(INDEX('2_IMPORTAR_EJECUCION'!$F$9:$F$1208,MATCH($AQ850,'2_IMPORTAR_EJECUCION'!$J$9:$J$1208,0)),0))</f>
        <v/>
      </c>
      <c r="AJ850" s="10">
        <f>IF($A850="","",MAX(0,IFERROR(INDEX('2_IMPORTAR_EJECUCION'!$H$9:$H$1208,MATCH($AQ850,'2_IMPORTAR_EJECUCION'!$J$9:$J$1208,0)),0)-$AI850))</f>
        <v/>
      </c>
      <c r="AK850" s="10">
        <f>IF($A850="","",$AI850+$AJ850)</f>
        <v/>
      </c>
      <c r="AL850" s="6" t="n"/>
      <c r="AM850" s="6" t="n"/>
      <c r="AN850" s="6" t="n"/>
      <c r="AO850" s="3">
        <f>IF($AN850="","",HYPERLINK(p_ruta_base_checklists&amp;$AN850,"abrir"))</f>
        <v/>
      </c>
      <c r="AP850" s="6" t="n"/>
      <c r="AQ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IF($A851="","",IFERROR(INDEX('AJUSTES'!$B$4:$B$303,MATCH($AQ851,'AJUSTES'!$A$4:$A$303,0)),IF($K851="","",$K851)))</f>
        <v/>
      </c>
      <c r="N851" s="3">
        <f>IF($A851="","",IFERROR(INDEX('CAT_ESTADOS_ERP'!$B$4:$B$7,MATCH(IFERROR(INDEX('2_IMPORTAR_EJECUCION'!$C$9:$C$1208,MATCH($AQ851,'2_IMPORTAR_EJECUCION'!$J$9:$J$1208,0)),""),'CAT_ESTADOS_ERP'!$A$4:$A$7,0)),"Pendiente"))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J851="","",IFERROR(INDEX('CALENDARIO'!$C$15:$C$214,MATCH(TEXT($J851,"yyyy-mm-dd")&amp;"|"&amp;$V851&amp;"|"&amp;$W851,'CALENDARIO'!$G$15:$G$214,0)),IFERROR(INDEX('CALENDARIO'!$C$15:$C$214,MATCH(TEXT($J851,"yyyy-mm-dd")&amp;"|"&amp;$V851&amp;"|",'CALENDARIO'!$G$15:$G$214,0)),IFERROR(INDEX('CALENDARIO'!$C$15:$C$214,MATCH(TEXT($J851,"yyyy-mm-dd")&amp;"||",'CALENDARIO'!$G$15:$G$214,0)),INDEX(patronHabil,WEEKDAY($J851,2))))))</f>
        <v/>
      </c>
      <c r="T851" s="3">
        <f>IF($I851="","",IFERROR(INDEX('CAT_TIPOS_OT'!$C$4:$C$7,MATCH($I851,'CAT_TIPOS_OT'!$A$4:$A$7,0)),"sin_clasificar"))</f>
        <v/>
      </c>
      <c r="U851" s="3">
        <f>IF($F851="","",IFERROR(INDEX('CAT_CENTROS_COSTO'!$F$4:$F$13,MATCH($F851,'CAT_CENTROS_COSTO'!$A$4:$A$13,0)),"(sin catálogo)"))</f>
        <v/>
      </c>
      <c r="V851" s="3">
        <f>IF($F851="","",IFERROR(INDEX('CAT_CENTROS_COSTO'!$D$4:$D$13,MATCH($F851,'CAT_CENTROS_COSTO'!$A$4:$A$13,0)),"(sin catálogo)"))</f>
        <v/>
      </c>
      <c r="W851" s="3">
        <f>IF($F851="","",IF((IFERROR(INDEX('CAT_CENTROS_COSTO'!$E$4:$E$13,MATCH($F851,'CAT_CENTROS_COSTO'!$A$4:$A$13,0)),""))&lt;&gt;"",IFERROR(INDEX('CAT_CENTROS_COSTO'!$E$4:$E$13,MATCH($F851,'CAT_CENTROS_COSTO'!$A$4:$A$13,0)),""),$V851))</f>
        <v/>
      </c>
      <c r="X851" s="3">
        <f>IF($F851="","",IFERROR(INDEX('CAT_CENTROS_COSTO'!$G$4:$G$13,MATCH($F851,'CAT_CENTROS_COSTO'!$A$4:$A$13,0)),"(sin catálogo)"))</f>
        <v/>
      </c>
      <c r="Y851" s="3">
        <f>IF($G851="","",IFERROR(INDEX('CAT_PUESTOS'!$B$4:$B$8,MATCH($G851,'CAT_PUESTOS'!$A$4:$A$8,0)),"(sin catálogo)"))</f>
        <v/>
      </c>
      <c r="Z851" s="3">
        <f>IF($H851="","",IFERROR(INDEX('CAT_ACTIVIDADES'!$B$4:$B$8,MATCH($H851,'CAT_ACTIVIDADES'!$A$4:$A$8,0)),"(sin catálogo)"))</f>
        <v/>
      </c>
      <c r="AA851" s="12">
        <f>IF($J851="","",TODAY()-$J851)</f>
        <v/>
      </c>
      <c r="AB851" s="12">
        <f>IF($J851="","",IF($J851&lt;=TODAY(),COUNTIFS(cal_fechas,"&gt;="&amp;$J851,cal_fechas,"&lt;"&amp;TODAY(),cal_habil,"sí"),-COUNTIFS(cal_fechas,"&gt;="&amp;TODAY(),cal_fechas,"&lt;"&amp;$J851,cal_habil,"sí")))</f>
        <v/>
      </c>
      <c r="AC851" s="3">
        <f>IF($AB851="","",IF($AB851&lt;0,"FUTURO",IF($AB851&gt;p_dias_backlog_max,"BACKLOG","MES CORRIENTE")))</f>
        <v/>
      </c>
      <c r="AD851" s="3">
        <f>IF($AB851="",FALSE,AND($AB851&gt;p_dias_backlog_min,$AB851&lt;=p_dias_backlog_max))</f>
        <v/>
      </c>
      <c r="AE851" s="6" t="n"/>
      <c r="AF851" s="3">
        <f>IF($AE851="","",IF((IFERROR(INDEX('ASIGNACIONES'!$F$4:$F$339,MATCH($O851&amp;"|"&amp;$R851&amp;"|"&amp;$AE851,'ASIGNACIONES'!$J$4:$J$339,0)),""))=0,"",IFERROR(INDEX('ASIGNACIONES'!$F$4:$F$339,MATCH($O851&amp;"|"&amp;$R851&amp;"|"&amp;$AE851,'ASIGNACIONES'!$J$4:$J$339,0)),"")))</f>
        <v/>
      </c>
      <c r="AG851" s="13">
        <f>IF($AE851="","",SUMIFS('ORDENES'!$M$4:$M$1203,'ORDENES'!$AE$4:$AE$1203,$AE851,'ORDENES'!$O$4:$O$1203,$O851,'ORDENES'!$R$4:$R$1203,$R851))</f>
        <v/>
      </c>
      <c r="AH851" s="13">
        <f>IF($AG851="","",p_factor_productividad*IFERROR(INDEX('ASIGNACIONES'!$I$4:$I$339,MATCH($O851&amp;"|"&amp;$R851&amp;"|"&amp;$AE851,'ASIGNACIONES'!$J$4:$J$339,0)),0)-$AG851)</f>
        <v/>
      </c>
      <c r="AI851" s="10">
        <f>IF($A851="","",IFERROR(INDEX('2_IMPORTAR_EJECUCION'!$F$9:$F$1208,MATCH($AQ851,'2_IMPORTAR_EJECUCION'!$J$9:$J$1208,0)),0))</f>
        <v/>
      </c>
      <c r="AJ851" s="10">
        <f>IF($A851="","",MAX(0,IFERROR(INDEX('2_IMPORTAR_EJECUCION'!$H$9:$H$1208,MATCH($AQ851,'2_IMPORTAR_EJECUCION'!$J$9:$J$1208,0)),0)-$AI851))</f>
        <v/>
      </c>
      <c r="AK851" s="10">
        <f>IF($A851="","",$AI851+$AJ851)</f>
        <v/>
      </c>
      <c r="AL851" s="6" t="n"/>
      <c r="AM851" s="6" t="n"/>
      <c r="AN851" s="6" t="n"/>
      <c r="AO851" s="3">
        <f>IF($AN851="","",HYPERLINK(p_ruta_base_checklists&amp;$AN851,"abrir"))</f>
        <v/>
      </c>
      <c r="AP851" s="6" t="n"/>
      <c r="AQ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IF($A852="","",IFERROR(INDEX('AJUSTES'!$B$4:$B$303,MATCH($AQ852,'AJUSTES'!$A$4:$A$303,0)),IF($K852="","",$K852)))</f>
        <v/>
      </c>
      <c r="N852" s="3">
        <f>IF($A852="","",IFERROR(INDEX('CAT_ESTADOS_ERP'!$B$4:$B$7,MATCH(IFERROR(INDEX('2_IMPORTAR_EJECUCION'!$C$9:$C$1208,MATCH($AQ852,'2_IMPORTAR_EJECUCION'!$J$9:$J$1208,0)),""),'CAT_ESTADOS_ERP'!$A$4:$A$7,0)),"Pendiente"))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J852="","",IFERROR(INDEX('CALENDARIO'!$C$15:$C$214,MATCH(TEXT($J852,"yyyy-mm-dd")&amp;"|"&amp;$V852&amp;"|"&amp;$W852,'CALENDARIO'!$G$15:$G$214,0)),IFERROR(INDEX('CALENDARIO'!$C$15:$C$214,MATCH(TEXT($J852,"yyyy-mm-dd")&amp;"|"&amp;$V852&amp;"|",'CALENDARIO'!$G$15:$G$214,0)),IFERROR(INDEX('CALENDARIO'!$C$15:$C$214,MATCH(TEXT($J852,"yyyy-mm-dd")&amp;"||",'CALENDARIO'!$G$15:$G$214,0)),INDEX(patronHabil,WEEKDAY($J852,2))))))</f>
        <v/>
      </c>
      <c r="T852" s="3">
        <f>IF($I852="","",IFERROR(INDEX('CAT_TIPOS_OT'!$C$4:$C$7,MATCH($I852,'CAT_TIPOS_OT'!$A$4:$A$7,0)),"sin_clasificar"))</f>
        <v/>
      </c>
      <c r="U852" s="3">
        <f>IF($F852="","",IFERROR(INDEX('CAT_CENTROS_COSTO'!$F$4:$F$13,MATCH($F852,'CAT_CENTROS_COSTO'!$A$4:$A$13,0)),"(sin catálogo)"))</f>
        <v/>
      </c>
      <c r="V852" s="3">
        <f>IF($F852="","",IFERROR(INDEX('CAT_CENTROS_COSTO'!$D$4:$D$13,MATCH($F852,'CAT_CENTROS_COSTO'!$A$4:$A$13,0)),"(sin catálogo)"))</f>
        <v/>
      </c>
      <c r="W852" s="3">
        <f>IF($F852="","",IF((IFERROR(INDEX('CAT_CENTROS_COSTO'!$E$4:$E$13,MATCH($F852,'CAT_CENTROS_COSTO'!$A$4:$A$13,0)),""))&lt;&gt;"",IFERROR(INDEX('CAT_CENTROS_COSTO'!$E$4:$E$13,MATCH($F852,'CAT_CENTROS_COSTO'!$A$4:$A$13,0)),""),$V852))</f>
        <v/>
      </c>
      <c r="X852" s="3">
        <f>IF($F852="","",IFERROR(INDEX('CAT_CENTROS_COSTO'!$G$4:$G$13,MATCH($F852,'CAT_CENTROS_COSTO'!$A$4:$A$13,0)),"(sin catálogo)"))</f>
        <v/>
      </c>
      <c r="Y852" s="3">
        <f>IF($G852="","",IFERROR(INDEX('CAT_PUESTOS'!$B$4:$B$8,MATCH($G852,'CAT_PUESTOS'!$A$4:$A$8,0)),"(sin catálogo)"))</f>
        <v/>
      </c>
      <c r="Z852" s="3">
        <f>IF($H852="","",IFERROR(INDEX('CAT_ACTIVIDADES'!$B$4:$B$8,MATCH($H852,'CAT_ACTIVIDADES'!$A$4:$A$8,0)),"(sin catálogo)"))</f>
        <v/>
      </c>
      <c r="AA852" s="12">
        <f>IF($J852="","",TODAY()-$J852)</f>
        <v/>
      </c>
      <c r="AB852" s="12">
        <f>IF($J852="","",IF($J852&lt;=TODAY(),COUNTIFS(cal_fechas,"&gt;="&amp;$J852,cal_fechas,"&lt;"&amp;TODAY(),cal_habil,"sí"),-COUNTIFS(cal_fechas,"&gt;="&amp;TODAY(),cal_fechas,"&lt;"&amp;$J852,cal_habil,"sí")))</f>
        <v/>
      </c>
      <c r="AC852" s="3">
        <f>IF($AB852="","",IF($AB852&lt;0,"FUTURO",IF($AB852&gt;p_dias_backlog_max,"BACKLOG","MES CORRIENTE")))</f>
        <v/>
      </c>
      <c r="AD852" s="3">
        <f>IF($AB852="",FALSE,AND($AB852&gt;p_dias_backlog_min,$AB852&lt;=p_dias_backlog_max))</f>
        <v/>
      </c>
      <c r="AE852" s="6" t="n"/>
      <c r="AF852" s="3">
        <f>IF($AE852="","",IF((IFERROR(INDEX('ASIGNACIONES'!$F$4:$F$339,MATCH($O852&amp;"|"&amp;$R852&amp;"|"&amp;$AE852,'ASIGNACIONES'!$J$4:$J$339,0)),""))=0,"",IFERROR(INDEX('ASIGNACIONES'!$F$4:$F$339,MATCH($O852&amp;"|"&amp;$R852&amp;"|"&amp;$AE852,'ASIGNACIONES'!$J$4:$J$339,0)),"")))</f>
        <v/>
      </c>
      <c r="AG852" s="13">
        <f>IF($AE852="","",SUMIFS('ORDENES'!$M$4:$M$1203,'ORDENES'!$AE$4:$AE$1203,$AE852,'ORDENES'!$O$4:$O$1203,$O852,'ORDENES'!$R$4:$R$1203,$R852))</f>
        <v/>
      </c>
      <c r="AH852" s="13">
        <f>IF($AG852="","",p_factor_productividad*IFERROR(INDEX('ASIGNACIONES'!$I$4:$I$339,MATCH($O852&amp;"|"&amp;$R852&amp;"|"&amp;$AE852,'ASIGNACIONES'!$J$4:$J$339,0)),0)-$AG852)</f>
        <v/>
      </c>
      <c r="AI852" s="10">
        <f>IF($A852="","",IFERROR(INDEX('2_IMPORTAR_EJECUCION'!$F$9:$F$1208,MATCH($AQ852,'2_IMPORTAR_EJECUCION'!$J$9:$J$1208,0)),0))</f>
        <v/>
      </c>
      <c r="AJ852" s="10">
        <f>IF($A852="","",MAX(0,IFERROR(INDEX('2_IMPORTAR_EJECUCION'!$H$9:$H$1208,MATCH($AQ852,'2_IMPORTAR_EJECUCION'!$J$9:$J$1208,0)),0)-$AI852))</f>
        <v/>
      </c>
      <c r="AK852" s="10">
        <f>IF($A852="","",$AI852+$AJ852)</f>
        <v/>
      </c>
      <c r="AL852" s="6" t="n"/>
      <c r="AM852" s="6" t="n"/>
      <c r="AN852" s="6" t="n"/>
      <c r="AO852" s="3">
        <f>IF($AN852="","",HYPERLINK(p_ruta_base_checklists&amp;$AN852,"abrir"))</f>
        <v/>
      </c>
      <c r="AP852" s="6" t="n"/>
      <c r="AQ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IF($A853="","",IFERROR(INDEX('AJUSTES'!$B$4:$B$303,MATCH($AQ853,'AJUSTES'!$A$4:$A$303,0)),IF($K853="","",$K853)))</f>
        <v/>
      </c>
      <c r="N853" s="3">
        <f>IF($A853="","",IFERROR(INDEX('CAT_ESTADOS_ERP'!$B$4:$B$7,MATCH(IFERROR(INDEX('2_IMPORTAR_EJECUCION'!$C$9:$C$1208,MATCH($AQ853,'2_IMPORTAR_EJECUCION'!$J$9:$J$1208,0)),""),'CAT_ESTADOS_ERP'!$A$4:$A$7,0)),"Pendiente"))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J853="","",IFERROR(INDEX('CALENDARIO'!$C$15:$C$214,MATCH(TEXT($J853,"yyyy-mm-dd")&amp;"|"&amp;$V853&amp;"|"&amp;$W853,'CALENDARIO'!$G$15:$G$214,0)),IFERROR(INDEX('CALENDARIO'!$C$15:$C$214,MATCH(TEXT($J853,"yyyy-mm-dd")&amp;"|"&amp;$V853&amp;"|",'CALENDARIO'!$G$15:$G$214,0)),IFERROR(INDEX('CALENDARIO'!$C$15:$C$214,MATCH(TEXT($J853,"yyyy-mm-dd")&amp;"||",'CALENDARIO'!$G$15:$G$214,0)),INDEX(patronHabil,WEEKDAY($J853,2))))))</f>
        <v/>
      </c>
      <c r="T853" s="3">
        <f>IF($I853="","",IFERROR(INDEX('CAT_TIPOS_OT'!$C$4:$C$7,MATCH($I853,'CAT_TIPOS_OT'!$A$4:$A$7,0)),"sin_clasificar"))</f>
        <v/>
      </c>
      <c r="U853" s="3">
        <f>IF($F853="","",IFERROR(INDEX('CAT_CENTROS_COSTO'!$F$4:$F$13,MATCH($F853,'CAT_CENTROS_COSTO'!$A$4:$A$13,0)),"(sin catálogo)"))</f>
        <v/>
      </c>
      <c r="V853" s="3">
        <f>IF($F853="","",IFERROR(INDEX('CAT_CENTROS_COSTO'!$D$4:$D$13,MATCH($F853,'CAT_CENTROS_COSTO'!$A$4:$A$13,0)),"(sin catálogo)"))</f>
        <v/>
      </c>
      <c r="W853" s="3">
        <f>IF($F853="","",IF((IFERROR(INDEX('CAT_CENTROS_COSTO'!$E$4:$E$13,MATCH($F853,'CAT_CENTROS_COSTO'!$A$4:$A$13,0)),""))&lt;&gt;"",IFERROR(INDEX('CAT_CENTROS_COSTO'!$E$4:$E$13,MATCH($F853,'CAT_CENTROS_COSTO'!$A$4:$A$13,0)),""),$V853))</f>
        <v/>
      </c>
      <c r="X853" s="3">
        <f>IF($F853="","",IFERROR(INDEX('CAT_CENTROS_COSTO'!$G$4:$G$13,MATCH($F853,'CAT_CENTROS_COSTO'!$A$4:$A$13,0)),"(sin catálogo)"))</f>
        <v/>
      </c>
      <c r="Y853" s="3">
        <f>IF($G853="","",IFERROR(INDEX('CAT_PUESTOS'!$B$4:$B$8,MATCH($G853,'CAT_PUESTOS'!$A$4:$A$8,0)),"(sin catálogo)"))</f>
        <v/>
      </c>
      <c r="Z853" s="3">
        <f>IF($H853="","",IFERROR(INDEX('CAT_ACTIVIDADES'!$B$4:$B$8,MATCH($H853,'CAT_ACTIVIDADES'!$A$4:$A$8,0)),"(sin catálogo)"))</f>
        <v/>
      </c>
      <c r="AA853" s="12">
        <f>IF($J853="","",TODAY()-$J853)</f>
        <v/>
      </c>
      <c r="AB853" s="12">
        <f>IF($J853="","",IF($J853&lt;=TODAY(),COUNTIFS(cal_fechas,"&gt;="&amp;$J853,cal_fechas,"&lt;"&amp;TODAY(),cal_habil,"sí"),-COUNTIFS(cal_fechas,"&gt;="&amp;TODAY(),cal_fechas,"&lt;"&amp;$J853,cal_habil,"sí")))</f>
        <v/>
      </c>
      <c r="AC853" s="3">
        <f>IF($AB853="","",IF($AB853&lt;0,"FUTURO",IF($AB853&gt;p_dias_backlog_max,"BACKLOG","MES CORRIENTE")))</f>
        <v/>
      </c>
      <c r="AD853" s="3">
        <f>IF($AB853="",FALSE,AND($AB853&gt;p_dias_backlog_min,$AB853&lt;=p_dias_backlog_max))</f>
        <v/>
      </c>
      <c r="AE853" s="6" t="n"/>
      <c r="AF853" s="3">
        <f>IF($AE853="","",IF((IFERROR(INDEX('ASIGNACIONES'!$F$4:$F$339,MATCH($O853&amp;"|"&amp;$R853&amp;"|"&amp;$AE853,'ASIGNACIONES'!$J$4:$J$339,0)),""))=0,"",IFERROR(INDEX('ASIGNACIONES'!$F$4:$F$339,MATCH($O853&amp;"|"&amp;$R853&amp;"|"&amp;$AE853,'ASIGNACIONES'!$J$4:$J$339,0)),"")))</f>
        <v/>
      </c>
      <c r="AG853" s="13">
        <f>IF($AE853="","",SUMIFS('ORDENES'!$M$4:$M$1203,'ORDENES'!$AE$4:$AE$1203,$AE853,'ORDENES'!$O$4:$O$1203,$O853,'ORDENES'!$R$4:$R$1203,$R853))</f>
        <v/>
      </c>
      <c r="AH853" s="13">
        <f>IF($AG853="","",p_factor_productividad*IFERROR(INDEX('ASIGNACIONES'!$I$4:$I$339,MATCH($O853&amp;"|"&amp;$R853&amp;"|"&amp;$AE853,'ASIGNACIONES'!$J$4:$J$339,0)),0)-$AG853)</f>
        <v/>
      </c>
      <c r="AI853" s="10">
        <f>IF($A853="","",IFERROR(INDEX('2_IMPORTAR_EJECUCION'!$F$9:$F$1208,MATCH($AQ853,'2_IMPORTAR_EJECUCION'!$J$9:$J$1208,0)),0))</f>
        <v/>
      </c>
      <c r="AJ853" s="10">
        <f>IF($A853="","",MAX(0,IFERROR(INDEX('2_IMPORTAR_EJECUCION'!$H$9:$H$1208,MATCH($AQ853,'2_IMPORTAR_EJECUCION'!$J$9:$J$1208,0)),0)-$AI853))</f>
        <v/>
      </c>
      <c r="AK853" s="10">
        <f>IF($A853="","",$AI853+$AJ853)</f>
        <v/>
      </c>
      <c r="AL853" s="6" t="n"/>
      <c r="AM853" s="6" t="n"/>
      <c r="AN853" s="6" t="n"/>
      <c r="AO853" s="3">
        <f>IF($AN853="","",HYPERLINK(p_ruta_base_checklists&amp;$AN853,"abrir"))</f>
        <v/>
      </c>
      <c r="AP853" s="6" t="n"/>
      <c r="AQ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IF($A854="","",IFERROR(INDEX('AJUSTES'!$B$4:$B$303,MATCH($AQ854,'AJUSTES'!$A$4:$A$303,0)),IF($K854="","",$K854)))</f>
        <v/>
      </c>
      <c r="N854" s="3">
        <f>IF($A854="","",IFERROR(INDEX('CAT_ESTADOS_ERP'!$B$4:$B$7,MATCH(IFERROR(INDEX('2_IMPORTAR_EJECUCION'!$C$9:$C$1208,MATCH($AQ854,'2_IMPORTAR_EJECUCION'!$J$9:$J$1208,0)),""),'CAT_ESTADOS_ERP'!$A$4:$A$7,0)),"Pendiente"))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J854="","",IFERROR(INDEX('CALENDARIO'!$C$15:$C$214,MATCH(TEXT($J854,"yyyy-mm-dd")&amp;"|"&amp;$V854&amp;"|"&amp;$W854,'CALENDARIO'!$G$15:$G$214,0)),IFERROR(INDEX('CALENDARIO'!$C$15:$C$214,MATCH(TEXT($J854,"yyyy-mm-dd")&amp;"|"&amp;$V854&amp;"|",'CALENDARIO'!$G$15:$G$214,0)),IFERROR(INDEX('CALENDARIO'!$C$15:$C$214,MATCH(TEXT($J854,"yyyy-mm-dd")&amp;"||",'CALENDARIO'!$G$15:$G$214,0)),INDEX(patronHabil,WEEKDAY($J854,2))))))</f>
        <v/>
      </c>
      <c r="T854" s="3">
        <f>IF($I854="","",IFERROR(INDEX('CAT_TIPOS_OT'!$C$4:$C$7,MATCH($I854,'CAT_TIPOS_OT'!$A$4:$A$7,0)),"sin_clasificar"))</f>
        <v/>
      </c>
      <c r="U854" s="3">
        <f>IF($F854="","",IFERROR(INDEX('CAT_CENTROS_COSTO'!$F$4:$F$13,MATCH($F854,'CAT_CENTROS_COSTO'!$A$4:$A$13,0)),"(sin catálogo)"))</f>
        <v/>
      </c>
      <c r="V854" s="3">
        <f>IF($F854="","",IFERROR(INDEX('CAT_CENTROS_COSTO'!$D$4:$D$13,MATCH($F854,'CAT_CENTROS_COSTO'!$A$4:$A$13,0)),"(sin catálogo)"))</f>
        <v/>
      </c>
      <c r="W854" s="3">
        <f>IF($F854="","",IF((IFERROR(INDEX('CAT_CENTROS_COSTO'!$E$4:$E$13,MATCH($F854,'CAT_CENTROS_COSTO'!$A$4:$A$13,0)),""))&lt;&gt;"",IFERROR(INDEX('CAT_CENTROS_COSTO'!$E$4:$E$13,MATCH($F854,'CAT_CENTROS_COSTO'!$A$4:$A$13,0)),""),$V854))</f>
        <v/>
      </c>
      <c r="X854" s="3">
        <f>IF($F854="","",IFERROR(INDEX('CAT_CENTROS_COSTO'!$G$4:$G$13,MATCH($F854,'CAT_CENTROS_COSTO'!$A$4:$A$13,0)),"(sin catálogo)"))</f>
        <v/>
      </c>
      <c r="Y854" s="3">
        <f>IF($G854="","",IFERROR(INDEX('CAT_PUESTOS'!$B$4:$B$8,MATCH($G854,'CAT_PUESTOS'!$A$4:$A$8,0)),"(sin catálogo)"))</f>
        <v/>
      </c>
      <c r="Z854" s="3">
        <f>IF($H854="","",IFERROR(INDEX('CAT_ACTIVIDADES'!$B$4:$B$8,MATCH($H854,'CAT_ACTIVIDADES'!$A$4:$A$8,0)),"(sin catálogo)"))</f>
        <v/>
      </c>
      <c r="AA854" s="12">
        <f>IF($J854="","",TODAY()-$J854)</f>
        <v/>
      </c>
      <c r="AB854" s="12">
        <f>IF($J854="","",IF($J854&lt;=TODAY(),COUNTIFS(cal_fechas,"&gt;="&amp;$J854,cal_fechas,"&lt;"&amp;TODAY(),cal_habil,"sí"),-COUNTIFS(cal_fechas,"&gt;="&amp;TODAY(),cal_fechas,"&lt;"&amp;$J854,cal_habil,"sí")))</f>
        <v/>
      </c>
      <c r="AC854" s="3">
        <f>IF($AB854="","",IF($AB854&lt;0,"FUTURO",IF($AB854&gt;p_dias_backlog_max,"BACKLOG","MES CORRIENTE")))</f>
        <v/>
      </c>
      <c r="AD854" s="3">
        <f>IF($AB854="",FALSE,AND($AB854&gt;p_dias_backlog_min,$AB854&lt;=p_dias_backlog_max))</f>
        <v/>
      </c>
      <c r="AE854" s="6" t="n"/>
      <c r="AF854" s="3">
        <f>IF($AE854="","",IF((IFERROR(INDEX('ASIGNACIONES'!$F$4:$F$339,MATCH($O854&amp;"|"&amp;$R854&amp;"|"&amp;$AE854,'ASIGNACIONES'!$J$4:$J$339,0)),""))=0,"",IFERROR(INDEX('ASIGNACIONES'!$F$4:$F$339,MATCH($O854&amp;"|"&amp;$R854&amp;"|"&amp;$AE854,'ASIGNACIONES'!$J$4:$J$339,0)),"")))</f>
        <v/>
      </c>
      <c r="AG854" s="13">
        <f>IF($AE854="","",SUMIFS('ORDENES'!$M$4:$M$1203,'ORDENES'!$AE$4:$AE$1203,$AE854,'ORDENES'!$O$4:$O$1203,$O854,'ORDENES'!$R$4:$R$1203,$R854))</f>
        <v/>
      </c>
      <c r="AH854" s="13">
        <f>IF($AG854="","",p_factor_productividad*IFERROR(INDEX('ASIGNACIONES'!$I$4:$I$339,MATCH($O854&amp;"|"&amp;$R854&amp;"|"&amp;$AE854,'ASIGNACIONES'!$J$4:$J$339,0)),0)-$AG854)</f>
        <v/>
      </c>
      <c r="AI854" s="10">
        <f>IF($A854="","",IFERROR(INDEX('2_IMPORTAR_EJECUCION'!$F$9:$F$1208,MATCH($AQ854,'2_IMPORTAR_EJECUCION'!$J$9:$J$1208,0)),0))</f>
        <v/>
      </c>
      <c r="AJ854" s="10">
        <f>IF($A854="","",MAX(0,IFERROR(INDEX('2_IMPORTAR_EJECUCION'!$H$9:$H$1208,MATCH($AQ854,'2_IMPORTAR_EJECUCION'!$J$9:$J$1208,0)),0)-$AI854))</f>
        <v/>
      </c>
      <c r="AK854" s="10">
        <f>IF($A854="","",$AI854+$AJ854)</f>
        <v/>
      </c>
      <c r="AL854" s="6" t="n"/>
      <c r="AM854" s="6" t="n"/>
      <c r="AN854" s="6" t="n"/>
      <c r="AO854" s="3">
        <f>IF($AN854="","",HYPERLINK(p_ruta_base_checklists&amp;$AN854,"abrir"))</f>
        <v/>
      </c>
      <c r="AP854" s="6" t="n"/>
      <c r="AQ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IF($A855="","",IFERROR(INDEX('AJUSTES'!$B$4:$B$303,MATCH($AQ855,'AJUSTES'!$A$4:$A$303,0)),IF($K855="","",$K855)))</f>
        <v/>
      </c>
      <c r="N855" s="3">
        <f>IF($A855="","",IFERROR(INDEX('CAT_ESTADOS_ERP'!$B$4:$B$7,MATCH(IFERROR(INDEX('2_IMPORTAR_EJECUCION'!$C$9:$C$1208,MATCH($AQ855,'2_IMPORTAR_EJECUCION'!$J$9:$J$1208,0)),""),'CAT_ESTADOS_ERP'!$A$4:$A$7,0)),"Pendiente"))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J855="","",IFERROR(INDEX('CALENDARIO'!$C$15:$C$214,MATCH(TEXT($J855,"yyyy-mm-dd")&amp;"|"&amp;$V855&amp;"|"&amp;$W855,'CALENDARIO'!$G$15:$G$214,0)),IFERROR(INDEX('CALENDARIO'!$C$15:$C$214,MATCH(TEXT($J855,"yyyy-mm-dd")&amp;"|"&amp;$V855&amp;"|",'CALENDARIO'!$G$15:$G$214,0)),IFERROR(INDEX('CALENDARIO'!$C$15:$C$214,MATCH(TEXT($J855,"yyyy-mm-dd")&amp;"||",'CALENDARIO'!$G$15:$G$214,0)),INDEX(patronHabil,WEEKDAY($J855,2))))))</f>
        <v/>
      </c>
      <c r="T855" s="3">
        <f>IF($I855="","",IFERROR(INDEX('CAT_TIPOS_OT'!$C$4:$C$7,MATCH($I855,'CAT_TIPOS_OT'!$A$4:$A$7,0)),"sin_clasificar"))</f>
        <v/>
      </c>
      <c r="U855" s="3">
        <f>IF($F855="","",IFERROR(INDEX('CAT_CENTROS_COSTO'!$F$4:$F$13,MATCH($F855,'CAT_CENTROS_COSTO'!$A$4:$A$13,0)),"(sin catálogo)"))</f>
        <v/>
      </c>
      <c r="V855" s="3">
        <f>IF($F855="","",IFERROR(INDEX('CAT_CENTROS_COSTO'!$D$4:$D$13,MATCH($F855,'CAT_CENTROS_COSTO'!$A$4:$A$13,0)),"(sin catálogo)"))</f>
        <v/>
      </c>
      <c r="W855" s="3">
        <f>IF($F855="","",IF((IFERROR(INDEX('CAT_CENTROS_COSTO'!$E$4:$E$13,MATCH($F855,'CAT_CENTROS_COSTO'!$A$4:$A$13,0)),""))&lt;&gt;"",IFERROR(INDEX('CAT_CENTROS_COSTO'!$E$4:$E$13,MATCH($F855,'CAT_CENTROS_COSTO'!$A$4:$A$13,0)),""),$V855))</f>
        <v/>
      </c>
      <c r="X855" s="3">
        <f>IF($F855="","",IFERROR(INDEX('CAT_CENTROS_COSTO'!$G$4:$G$13,MATCH($F855,'CAT_CENTROS_COSTO'!$A$4:$A$13,0)),"(sin catálogo)"))</f>
        <v/>
      </c>
      <c r="Y855" s="3">
        <f>IF($G855="","",IFERROR(INDEX('CAT_PUESTOS'!$B$4:$B$8,MATCH($G855,'CAT_PUESTOS'!$A$4:$A$8,0)),"(sin catálogo)"))</f>
        <v/>
      </c>
      <c r="Z855" s="3">
        <f>IF($H855="","",IFERROR(INDEX('CAT_ACTIVIDADES'!$B$4:$B$8,MATCH($H855,'CAT_ACTIVIDADES'!$A$4:$A$8,0)),"(sin catálogo)"))</f>
        <v/>
      </c>
      <c r="AA855" s="12">
        <f>IF($J855="","",TODAY()-$J855)</f>
        <v/>
      </c>
      <c r="AB855" s="12">
        <f>IF($J855="","",IF($J855&lt;=TODAY(),COUNTIFS(cal_fechas,"&gt;="&amp;$J855,cal_fechas,"&lt;"&amp;TODAY(),cal_habil,"sí"),-COUNTIFS(cal_fechas,"&gt;="&amp;TODAY(),cal_fechas,"&lt;"&amp;$J855,cal_habil,"sí")))</f>
        <v/>
      </c>
      <c r="AC855" s="3">
        <f>IF($AB855="","",IF($AB855&lt;0,"FUTURO",IF($AB855&gt;p_dias_backlog_max,"BACKLOG","MES CORRIENTE")))</f>
        <v/>
      </c>
      <c r="AD855" s="3">
        <f>IF($AB855="",FALSE,AND($AB855&gt;p_dias_backlog_min,$AB855&lt;=p_dias_backlog_max))</f>
        <v/>
      </c>
      <c r="AE855" s="6" t="n"/>
      <c r="AF855" s="3">
        <f>IF($AE855="","",IF((IFERROR(INDEX('ASIGNACIONES'!$F$4:$F$339,MATCH($O855&amp;"|"&amp;$R855&amp;"|"&amp;$AE855,'ASIGNACIONES'!$J$4:$J$339,0)),""))=0,"",IFERROR(INDEX('ASIGNACIONES'!$F$4:$F$339,MATCH($O855&amp;"|"&amp;$R855&amp;"|"&amp;$AE855,'ASIGNACIONES'!$J$4:$J$339,0)),"")))</f>
        <v/>
      </c>
      <c r="AG855" s="13">
        <f>IF($AE855="","",SUMIFS('ORDENES'!$M$4:$M$1203,'ORDENES'!$AE$4:$AE$1203,$AE855,'ORDENES'!$O$4:$O$1203,$O855,'ORDENES'!$R$4:$R$1203,$R855))</f>
        <v/>
      </c>
      <c r="AH855" s="13">
        <f>IF($AG855="","",p_factor_productividad*IFERROR(INDEX('ASIGNACIONES'!$I$4:$I$339,MATCH($O855&amp;"|"&amp;$R855&amp;"|"&amp;$AE855,'ASIGNACIONES'!$J$4:$J$339,0)),0)-$AG855)</f>
        <v/>
      </c>
      <c r="AI855" s="10">
        <f>IF($A855="","",IFERROR(INDEX('2_IMPORTAR_EJECUCION'!$F$9:$F$1208,MATCH($AQ855,'2_IMPORTAR_EJECUCION'!$J$9:$J$1208,0)),0))</f>
        <v/>
      </c>
      <c r="AJ855" s="10">
        <f>IF($A855="","",MAX(0,IFERROR(INDEX('2_IMPORTAR_EJECUCION'!$H$9:$H$1208,MATCH($AQ855,'2_IMPORTAR_EJECUCION'!$J$9:$J$1208,0)),0)-$AI855))</f>
        <v/>
      </c>
      <c r="AK855" s="10">
        <f>IF($A855="","",$AI855+$AJ855)</f>
        <v/>
      </c>
      <c r="AL855" s="6" t="n"/>
      <c r="AM855" s="6" t="n"/>
      <c r="AN855" s="6" t="n"/>
      <c r="AO855" s="3">
        <f>IF($AN855="","",HYPERLINK(p_ruta_base_checklists&amp;$AN855,"abrir"))</f>
        <v/>
      </c>
      <c r="AP855" s="6" t="n"/>
      <c r="AQ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IF($A856="","",IFERROR(INDEX('AJUSTES'!$B$4:$B$303,MATCH($AQ856,'AJUSTES'!$A$4:$A$303,0)),IF($K856="","",$K856)))</f>
        <v/>
      </c>
      <c r="N856" s="3">
        <f>IF($A856="","",IFERROR(INDEX('CAT_ESTADOS_ERP'!$B$4:$B$7,MATCH(IFERROR(INDEX('2_IMPORTAR_EJECUCION'!$C$9:$C$1208,MATCH($AQ856,'2_IMPORTAR_EJECUCION'!$J$9:$J$1208,0)),""),'CAT_ESTADOS_ERP'!$A$4:$A$7,0)),"Pendiente"))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J856="","",IFERROR(INDEX('CALENDARIO'!$C$15:$C$214,MATCH(TEXT($J856,"yyyy-mm-dd")&amp;"|"&amp;$V856&amp;"|"&amp;$W856,'CALENDARIO'!$G$15:$G$214,0)),IFERROR(INDEX('CALENDARIO'!$C$15:$C$214,MATCH(TEXT($J856,"yyyy-mm-dd")&amp;"|"&amp;$V856&amp;"|",'CALENDARIO'!$G$15:$G$214,0)),IFERROR(INDEX('CALENDARIO'!$C$15:$C$214,MATCH(TEXT($J856,"yyyy-mm-dd")&amp;"||",'CALENDARIO'!$G$15:$G$214,0)),INDEX(patronHabil,WEEKDAY($J856,2))))))</f>
        <v/>
      </c>
      <c r="T856" s="3">
        <f>IF($I856="","",IFERROR(INDEX('CAT_TIPOS_OT'!$C$4:$C$7,MATCH($I856,'CAT_TIPOS_OT'!$A$4:$A$7,0)),"sin_clasificar"))</f>
        <v/>
      </c>
      <c r="U856" s="3">
        <f>IF($F856="","",IFERROR(INDEX('CAT_CENTROS_COSTO'!$F$4:$F$13,MATCH($F856,'CAT_CENTROS_COSTO'!$A$4:$A$13,0)),"(sin catálogo)"))</f>
        <v/>
      </c>
      <c r="V856" s="3">
        <f>IF($F856="","",IFERROR(INDEX('CAT_CENTROS_COSTO'!$D$4:$D$13,MATCH($F856,'CAT_CENTROS_COSTO'!$A$4:$A$13,0)),"(sin catálogo)"))</f>
        <v/>
      </c>
      <c r="W856" s="3">
        <f>IF($F856="","",IF((IFERROR(INDEX('CAT_CENTROS_COSTO'!$E$4:$E$13,MATCH($F856,'CAT_CENTROS_COSTO'!$A$4:$A$13,0)),""))&lt;&gt;"",IFERROR(INDEX('CAT_CENTROS_COSTO'!$E$4:$E$13,MATCH($F856,'CAT_CENTROS_COSTO'!$A$4:$A$13,0)),""),$V856))</f>
        <v/>
      </c>
      <c r="X856" s="3">
        <f>IF($F856="","",IFERROR(INDEX('CAT_CENTROS_COSTO'!$G$4:$G$13,MATCH($F856,'CAT_CENTROS_COSTO'!$A$4:$A$13,0)),"(sin catálogo)"))</f>
        <v/>
      </c>
      <c r="Y856" s="3">
        <f>IF($G856="","",IFERROR(INDEX('CAT_PUESTOS'!$B$4:$B$8,MATCH($G856,'CAT_PUESTOS'!$A$4:$A$8,0)),"(sin catálogo)"))</f>
        <v/>
      </c>
      <c r="Z856" s="3">
        <f>IF($H856="","",IFERROR(INDEX('CAT_ACTIVIDADES'!$B$4:$B$8,MATCH($H856,'CAT_ACTIVIDADES'!$A$4:$A$8,0)),"(sin catálogo)"))</f>
        <v/>
      </c>
      <c r="AA856" s="12">
        <f>IF($J856="","",TODAY()-$J856)</f>
        <v/>
      </c>
      <c r="AB856" s="12">
        <f>IF($J856="","",IF($J856&lt;=TODAY(),COUNTIFS(cal_fechas,"&gt;="&amp;$J856,cal_fechas,"&lt;"&amp;TODAY(),cal_habil,"sí"),-COUNTIFS(cal_fechas,"&gt;="&amp;TODAY(),cal_fechas,"&lt;"&amp;$J856,cal_habil,"sí")))</f>
        <v/>
      </c>
      <c r="AC856" s="3">
        <f>IF($AB856="","",IF($AB856&lt;0,"FUTURO",IF($AB856&gt;p_dias_backlog_max,"BACKLOG","MES CORRIENTE")))</f>
        <v/>
      </c>
      <c r="AD856" s="3">
        <f>IF($AB856="",FALSE,AND($AB856&gt;p_dias_backlog_min,$AB856&lt;=p_dias_backlog_max))</f>
        <v/>
      </c>
      <c r="AE856" s="6" t="n"/>
      <c r="AF856" s="3">
        <f>IF($AE856="","",IF((IFERROR(INDEX('ASIGNACIONES'!$F$4:$F$339,MATCH($O856&amp;"|"&amp;$R856&amp;"|"&amp;$AE856,'ASIGNACIONES'!$J$4:$J$339,0)),""))=0,"",IFERROR(INDEX('ASIGNACIONES'!$F$4:$F$339,MATCH($O856&amp;"|"&amp;$R856&amp;"|"&amp;$AE856,'ASIGNACIONES'!$J$4:$J$339,0)),"")))</f>
        <v/>
      </c>
      <c r="AG856" s="13">
        <f>IF($AE856="","",SUMIFS('ORDENES'!$M$4:$M$1203,'ORDENES'!$AE$4:$AE$1203,$AE856,'ORDENES'!$O$4:$O$1203,$O856,'ORDENES'!$R$4:$R$1203,$R856))</f>
        <v/>
      </c>
      <c r="AH856" s="13">
        <f>IF($AG856="","",p_factor_productividad*IFERROR(INDEX('ASIGNACIONES'!$I$4:$I$339,MATCH($O856&amp;"|"&amp;$R856&amp;"|"&amp;$AE856,'ASIGNACIONES'!$J$4:$J$339,0)),0)-$AG856)</f>
        <v/>
      </c>
      <c r="AI856" s="10">
        <f>IF($A856="","",IFERROR(INDEX('2_IMPORTAR_EJECUCION'!$F$9:$F$1208,MATCH($AQ856,'2_IMPORTAR_EJECUCION'!$J$9:$J$1208,0)),0))</f>
        <v/>
      </c>
      <c r="AJ856" s="10">
        <f>IF($A856="","",MAX(0,IFERROR(INDEX('2_IMPORTAR_EJECUCION'!$H$9:$H$1208,MATCH($AQ856,'2_IMPORTAR_EJECUCION'!$J$9:$J$1208,0)),0)-$AI856))</f>
        <v/>
      </c>
      <c r="AK856" s="10">
        <f>IF($A856="","",$AI856+$AJ856)</f>
        <v/>
      </c>
      <c r="AL856" s="6" t="n"/>
      <c r="AM856" s="6" t="n"/>
      <c r="AN856" s="6" t="n"/>
      <c r="AO856" s="3">
        <f>IF($AN856="","",HYPERLINK(p_ruta_base_checklists&amp;$AN856,"abrir"))</f>
        <v/>
      </c>
      <c r="AP856" s="6" t="n"/>
      <c r="AQ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IF($A857="","",IFERROR(INDEX('AJUSTES'!$B$4:$B$303,MATCH($AQ857,'AJUSTES'!$A$4:$A$303,0)),IF($K857="","",$K857)))</f>
        <v/>
      </c>
      <c r="N857" s="3">
        <f>IF($A857="","",IFERROR(INDEX('CAT_ESTADOS_ERP'!$B$4:$B$7,MATCH(IFERROR(INDEX('2_IMPORTAR_EJECUCION'!$C$9:$C$1208,MATCH($AQ857,'2_IMPORTAR_EJECUCION'!$J$9:$J$1208,0)),""),'CAT_ESTADOS_ERP'!$A$4:$A$7,0)),"Pendiente"))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J857="","",IFERROR(INDEX('CALENDARIO'!$C$15:$C$214,MATCH(TEXT($J857,"yyyy-mm-dd")&amp;"|"&amp;$V857&amp;"|"&amp;$W857,'CALENDARIO'!$G$15:$G$214,0)),IFERROR(INDEX('CALENDARIO'!$C$15:$C$214,MATCH(TEXT($J857,"yyyy-mm-dd")&amp;"|"&amp;$V857&amp;"|",'CALENDARIO'!$G$15:$G$214,0)),IFERROR(INDEX('CALENDARIO'!$C$15:$C$214,MATCH(TEXT($J857,"yyyy-mm-dd")&amp;"||",'CALENDARIO'!$G$15:$G$214,0)),INDEX(patronHabil,WEEKDAY($J857,2))))))</f>
        <v/>
      </c>
      <c r="T857" s="3">
        <f>IF($I857="","",IFERROR(INDEX('CAT_TIPOS_OT'!$C$4:$C$7,MATCH($I857,'CAT_TIPOS_OT'!$A$4:$A$7,0)),"sin_clasificar"))</f>
        <v/>
      </c>
      <c r="U857" s="3">
        <f>IF($F857="","",IFERROR(INDEX('CAT_CENTROS_COSTO'!$F$4:$F$13,MATCH($F857,'CAT_CENTROS_COSTO'!$A$4:$A$13,0)),"(sin catálogo)"))</f>
        <v/>
      </c>
      <c r="V857" s="3">
        <f>IF($F857="","",IFERROR(INDEX('CAT_CENTROS_COSTO'!$D$4:$D$13,MATCH($F857,'CAT_CENTROS_COSTO'!$A$4:$A$13,0)),"(sin catálogo)"))</f>
        <v/>
      </c>
      <c r="W857" s="3">
        <f>IF($F857="","",IF((IFERROR(INDEX('CAT_CENTROS_COSTO'!$E$4:$E$13,MATCH($F857,'CAT_CENTROS_COSTO'!$A$4:$A$13,0)),""))&lt;&gt;"",IFERROR(INDEX('CAT_CENTROS_COSTO'!$E$4:$E$13,MATCH($F857,'CAT_CENTROS_COSTO'!$A$4:$A$13,0)),""),$V857))</f>
        <v/>
      </c>
      <c r="X857" s="3">
        <f>IF($F857="","",IFERROR(INDEX('CAT_CENTROS_COSTO'!$G$4:$G$13,MATCH($F857,'CAT_CENTROS_COSTO'!$A$4:$A$13,0)),"(sin catálogo)"))</f>
        <v/>
      </c>
      <c r="Y857" s="3">
        <f>IF($G857="","",IFERROR(INDEX('CAT_PUESTOS'!$B$4:$B$8,MATCH($G857,'CAT_PUESTOS'!$A$4:$A$8,0)),"(sin catálogo)"))</f>
        <v/>
      </c>
      <c r="Z857" s="3">
        <f>IF($H857="","",IFERROR(INDEX('CAT_ACTIVIDADES'!$B$4:$B$8,MATCH($H857,'CAT_ACTIVIDADES'!$A$4:$A$8,0)),"(sin catálogo)"))</f>
        <v/>
      </c>
      <c r="AA857" s="12">
        <f>IF($J857="","",TODAY()-$J857)</f>
        <v/>
      </c>
      <c r="AB857" s="12">
        <f>IF($J857="","",IF($J857&lt;=TODAY(),COUNTIFS(cal_fechas,"&gt;="&amp;$J857,cal_fechas,"&lt;"&amp;TODAY(),cal_habil,"sí"),-COUNTIFS(cal_fechas,"&gt;="&amp;TODAY(),cal_fechas,"&lt;"&amp;$J857,cal_habil,"sí")))</f>
        <v/>
      </c>
      <c r="AC857" s="3">
        <f>IF($AB857="","",IF($AB857&lt;0,"FUTURO",IF($AB857&gt;p_dias_backlog_max,"BACKLOG","MES CORRIENTE")))</f>
        <v/>
      </c>
      <c r="AD857" s="3">
        <f>IF($AB857="",FALSE,AND($AB857&gt;p_dias_backlog_min,$AB857&lt;=p_dias_backlog_max))</f>
        <v/>
      </c>
      <c r="AE857" s="6" t="n"/>
      <c r="AF857" s="3">
        <f>IF($AE857="","",IF((IFERROR(INDEX('ASIGNACIONES'!$F$4:$F$339,MATCH($O857&amp;"|"&amp;$R857&amp;"|"&amp;$AE857,'ASIGNACIONES'!$J$4:$J$339,0)),""))=0,"",IFERROR(INDEX('ASIGNACIONES'!$F$4:$F$339,MATCH($O857&amp;"|"&amp;$R857&amp;"|"&amp;$AE857,'ASIGNACIONES'!$J$4:$J$339,0)),"")))</f>
        <v/>
      </c>
      <c r="AG857" s="13">
        <f>IF($AE857="","",SUMIFS('ORDENES'!$M$4:$M$1203,'ORDENES'!$AE$4:$AE$1203,$AE857,'ORDENES'!$O$4:$O$1203,$O857,'ORDENES'!$R$4:$R$1203,$R857))</f>
        <v/>
      </c>
      <c r="AH857" s="13">
        <f>IF($AG857="","",p_factor_productividad*IFERROR(INDEX('ASIGNACIONES'!$I$4:$I$339,MATCH($O857&amp;"|"&amp;$R857&amp;"|"&amp;$AE857,'ASIGNACIONES'!$J$4:$J$339,0)),0)-$AG857)</f>
        <v/>
      </c>
      <c r="AI857" s="10">
        <f>IF($A857="","",IFERROR(INDEX('2_IMPORTAR_EJECUCION'!$F$9:$F$1208,MATCH($AQ857,'2_IMPORTAR_EJECUCION'!$J$9:$J$1208,0)),0))</f>
        <v/>
      </c>
      <c r="AJ857" s="10">
        <f>IF($A857="","",MAX(0,IFERROR(INDEX('2_IMPORTAR_EJECUCION'!$H$9:$H$1208,MATCH($AQ857,'2_IMPORTAR_EJECUCION'!$J$9:$J$1208,0)),0)-$AI857))</f>
        <v/>
      </c>
      <c r="AK857" s="10">
        <f>IF($A857="","",$AI857+$AJ857)</f>
        <v/>
      </c>
      <c r="AL857" s="6" t="n"/>
      <c r="AM857" s="6" t="n"/>
      <c r="AN857" s="6" t="n"/>
      <c r="AO857" s="3">
        <f>IF($AN857="","",HYPERLINK(p_ruta_base_checklists&amp;$AN857,"abrir"))</f>
        <v/>
      </c>
      <c r="AP857" s="6" t="n"/>
      <c r="AQ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IF($A858="","",IFERROR(INDEX('AJUSTES'!$B$4:$B$303,MATCH($AQ858,'AJUSTES'!$A$4:$A$303,0)),IF($K858="","",$K858)))</f>
        <v/>
      </c>
      <c r="N858" s="3">
        <f>IF($A858="","",IFERROR(INDEX('CAT_ESTADOS_ERP'!$B$4:$B$7,MATCH(IFERROR(INDEX('2_IMPORTAR_EJECUCION'!$C$9:$C$1208,MATCH($AQ858,'2_IMPORTAR_EJECUCION'!$J$9:$J$1208,0)),""),'CAT_ESTADOS_ERP'!$A$4:$A$7,0)),"Pendiente"))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J858="","",IFERROR(INDEX('CALENDARIO'!$C$15:$C$214,MATCH(TEXT($J858,"yyyy-mm-dd")&amp;"|"&amp;$V858&amp;"|"&amp;$W858,'CALENDARIO'!$G$15:$G$214,0)),IFERROR(INDEX('CALENDARIO'!$C$15:$C$214,MATCH(TEXT($J858,"yyyy-mm-dd")&amp;"|"&amp;$V858&amp;"|",'CALENDARIO'!$G$15:$G$214,0)),IFERROR(INDEX('CALENDARIO'!$C$15:$C$214,MATCH(TEXT($J858,"yyyy-mm-dd")&amp;"||",'CALENDARIO'!$G$15:$G$214,0)),INDEX(patronHabil,WEEKDAY($J858,2))))))</f>
        <v/>
      </c>
      <c r="T858" s="3">
        <f>IF($I858="","",IFERROR(INDEX('CAT_TIPOS_OT'!$C$4:$C$7,MATCH($I858,'CAT_TIPOS_OT'!$A$4:$A$7,0)),"sin_clasificar"))</f>
        <v/>
      </c>
      <c r="U858" s="3">
        <f>IF($F858="","",IFERROR(INDEX('CAT_CENTROS_COSTO'!$F$4:$F$13,MATCH($F858,'CAT_CENTROS_COSTO'!$A$4:$A$13,0)),"(sin catálogo)"))</f>
        <v/>
      </c>
      <c r="V858" s="3">
        <f>IF($F858="","",IFERROR(INDEX('CAT_CENTROS_COSTO'!$D$4:$D$13,MATCH($F858,'CAT_CENTROS_COSTO'!$A$4:$A$13,0)),"(sin catálogo)"))</f>
        <v/>
      </c>
      <c r="W858" s="3">
        <f>IF($F858="","",IF((IFERROR(INDEX('CAT_CENTROS_COSTO'!$E$4:$E$13,MATCH($F858,'CAT_CENTROS_COSTO'!$A$4:$A$13,0)),""))&lt;&gt;"",IFERROR(INDEX('CAT_CENTROS_COSTO'!$E$4:$E$13,MATCH($F858,'CAT_CENTROS_COSTO'!$A$4:$A$13,0)),""),$V858))</f>
        <v/>
      </c>
      <c r="X858" s="3">
        <f>IF($F858="","",IFERROR(INDEX('CAT_CENTROS_COSTO'!$G$4:$G$13,MATCH($F858,'CAT_CENTROS_COSTO'!$A$4:$A$13,0)),"(sin catálogo)"))</f>
        <v/>
      </c>
      <c r="Y858" s="3">
        <f>IF($G858="","",IFERROR(INDEX('CAT_PUESTOS'!$B$4:$B$8,MATCH($G858,'CAT_PUESTOS'!$A$4:$A$8,0)),"(sin catálogo)"))</f>
        <v/>
      </c>
      <c r="Z858" s="3">
        <f>IF($H858="","",IFERROR(INDEX('CAT_ACTIVIDADES'!$B$4:$B$8,MATCH($H858,'CAT_ACTIVIDADES'!$A$4:$A$8,0)),"(sin catálogo)"))</f>
        <v/>
      </c>
      <c r="AA858" s="12">
        <f>IF($J858="","",TODAY()-$J858)</f>
        <v/>
      </c>
      <c r="AB858" s="12">
        <f>IF($J858="","",IF($J858&lt;=TODAY(),COUNTIFS(cal_fechas,"&gt;="&amp;$J858,cal_fechas,"&lt;"&amp;TODAY(),cal_habil,"sí"),-COUNTIFS(cal_fechas,"&gt;="&amp;TODAY(),cal_fechas,"&lt;"&amp;$J858,cal_habil,"sí")))</f>
        <v/>
      </c>
      <c r="AC858" s="3">
        <f>IF($AB858="","",IF($AB858&lt;0,"FUTURO",IF($AB858&gt;p_dias_backlog_max,"BACKLOG","MES CORRIENTE")))</f>
        <v/>
      </c>
      <c r="AD858" s="3">
        <f>IF($AB858="",FALSE,AND($AB858&gt;p_dias_backlog_min,$AB858&lt;=p_dias_backlog_max))</f>
        <v/>
      </c>
      <c r="AE858" s="6" t="n"/>
      <c r="AF858" s="3">
        <f>IF($AE858="","",IF((IFERROR(INDEX('ASIGNACIONES'!$F$4:$F$339,MATCH($O858&amp;"|"&amp;$R858&amp;"|"&amp;$AE858,'ASIGNACIONES'!$J$4:$J$339,0)),""))=0,"",IFERROR(INDEX('ASIGNACIONES'!$F$4:$F$339,MATCH($O858&amp;"|"&amp;$R858&amp;"|"&amp;$AE858,'ASIGNACIONES'!$J$4:$J$339,0)),"")))</f>
        <v/>
      </c>
      <c r="AG858" s="13">
        <f>IF($AE858="","",SUMIFS('ORDENES'!$M$4:$M$1203,'ORDENES'!$AE$4:$AE$1203,$AE858,'ORDENES'!$O$4:$O$1203,$O858,'ORDENES'!$R$4:$R$1203,$R858))</f>
        <v/>
      </c>
      <c r="AH858" s="13">
        <f>IF($AG858="","",p_factor_productividad*IFERROR(INDEX('ASIGNACIONES'!$I$4:$I$339,MATCH($O858&amp;"|"&amp;$R858&amp;"|"&amp;$AE858,'ASIGNACIONES'!$J$4:$J$339,0)),0)-$AG858)</f>
        <v/>
      </c>
      <c r="AI858" s="10">
        <f>IF($A858="","",IFERROR(INDEX('2_IMPORTAR_EJECUCION'!$F$9:$F$1208,MATCH($AQ858,'2_IMPORTAR_EJECUCION'!$J$9:$J$1208,0)),0))</f>
        <v/>
      </c>
      <c r="AJ858" s="10">
        <f>IF($A858="","",MAX(0,IFERROR(INDEX('2_IMPORTAR_EJECUCION'!$H$9:$H$1208,MATCH($AQ858,'2_IMPORTAR_EJECUCION'!$J$9:$J$1208,0)),0)-$AI858))</f>
        <v/>
      </c>
      <c r="AK858" s="10">
        <f>IF($A858="","",$AI858+$AJ858)</f>
        <v/>
      </c>
      <c r="AL858" s="6" t="n"/>
      <c r="AM858" s="6" t="n"/>
      <c r="AN858" s="6" t="n"/>
      <c r="AO858" s="3">
        <f>IF($AN858="","",HYPERLINK(p_ruta_base_checklists&amp;$AN858,"abrir"))</f>
        <v/>
      </c>
      <c r="AP858" s="6" t="n"/>
      <c r="AQ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IF($A859="","",IFERROR(INDEX('AJUSTES'!$B$4:$B$303,MATCH($AQ859,'AJUSTES'!$A$4:$A$303,0)),IF($K859="","",$K859)))</f>
        <v/>
      </c>
      <c r="N859" s="3">
        <f>IF($A859="","",IFERROR(INDEX('CAT_ESTADOS_ERP'!$B$4:$B$7,MATCH(IFERROR(INDEX('2_IMPORTAR_EJECUCION'!$C$9:$C$1208,MATCH($AQ859,'2_IMPORTAR_EJECUCION'!$J$9:$J$1208,0)),""),'CAT_ESTADOS_ERP'!$A$4:$A$7,0)),"Pendiente"))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J859="","",IFERROR(INDEX('CALENDARIO'!$C$15:$C$214,MATCH(TEXT($J859,"yyyy-mm-dd")&amp;"|"&amp;$V859&amp;"|"&amp;$W859,'CALENDARIO'!$G$15:$G$214,0)),IFERROR(INDEX('CALENDARIO'!$C$15:$C$214,MATCH(TEXT($J859,"yyyy-mm-dd")&amp;"|"&amp;$V859&amp;"|",'CALENDARIO'!$G$15:$G$214,0)),IFERROR(INDEX('CALENDARIO'!$C$15:$C$214,MATCH(TEXT($J859,"yyyy-mm-dd")&amp;"||",'CALENDARIO'!$G$15:$G$214,0)),INDEX(patronHabil,WEEKDAY($J859,2))))))</f>
        <v/>
      </c>
      <c r="T859" s="3">
        <f>IF($I859="","",IFERROR(INDEX('CAT_TIPOS_OT'!$C$4:$C$7,MATCH($I859,'CAT_TIPOS_OT'!$A$4:$A$7,0)),"sin_clasificar"))</f>
        <v/>
      </c>
      <c r="U859" s="3">
        <f>IF($F859="","",IFERROR(INDEX('CAT_CENTROS_COSTO'!$F$4:$F$13,MATCH($F859,'CAT_CENTROS_COSTO'!$A$4:$A$13,0)),"(sin catálogo)"))</f>
        <v/>
      </c>
      <c r="V859" s="3">
        <f>IF($F859="","",IFERROR(INDEX('CAT_CENTROS_COSTO'!$D$4:$D$13,MATCH($F859,'CAT_CENTROS_COSTO'!$A$4:$A$13,0)),"(sin catálogo)"))</f>
        <v/>
      </c>
      <c r="W859" s="3">
        <f>IF($F859="","",IF((IFERROR(INDEX('CAT_CENTROS_COSTO'!$E$4:$E$13,MATCH($F859,'CAT_CENTROS_COSTO'!$A$4:$A$13,0)),""))&lt;&gt;"",IFERROR(INDEX('CAT_CENTROS_COSTO'!$E$4:$E$13,MATCH($F859,'CAT_CENTROS_COSTO'!$A$4:$A$13,0)),""),$V859))</f>
        <v/>
      </c>
      <c r="X859" s="3">
        <f>IF($F859="","",IFERROR(INDEX('CAT_CENTROS_COSTO'!$G$4:$G$13,MATCH($F859,'CAT_CENTROS_COSTO'!$A$4:$A$13,0)),"(sin catálogo)"))</f>
        <v/>
      </c>
      <c r="Y859" s="3">
        <f>IF($G859="","",IFERROR(INDEX('CAT_PUESTOS'!$B$4:$B$8,MATCH($G859,'CAT_PUESTOS'!$A$4:$A$8,0)),"(sin catálogo)"))</f>
        <v/>
      </c>
      <c r="Z859" s="3">
        <f>IF($H859="","",IFERROR(INDEX('CAT_ACTIVIDADES'!$B$4:$B$8,MATCH($H859,'CAT_ACTIVIDADES'!$A$4:$A$8,0)),"(sin catálogo)"))</f>
        <v/>
      </c>
      <c r="AA859" s="12">
        <f>IF($J859="","",TODAY()-$J859)</f>
        <v/>
      </c>
      <c r="AB859" s="12">
        <f>IF($J859="","",IF($J859&lt;=TODAY(),COUNTIFS(cal_fechas,"&gt;="&amp;$J859,cal_fechas,"&lt;"&amp;TODAY(),cal_habil,"sí"),-COUNTIFS(cal_fechas,"&gt;="&amp;TODAY(),cal_fechas,"&lt;"&amp;$J859,cal_habil,"sí")))</f>
        <v/>
      </c>
      <c r="AC859" s="3">
        <f>IF($AB859="","",IF($AB859&lt;0,"FUTURO",IF($AB859&gt;p_dias_backlog_max,"BACKLOG","MES CORRIENTE")))</f>
        <v/>
      </c>
      <c r="AD859" s="3">
        <f>IF($AB859="",FALSE,AND($AB859&gt;p_dias_backlog_min,$AB859&lt;=p_dias_backlog_max))</f>
        <v/>
      </c>
      <c r="AE859" s="6" t="n"/>
      <c r="AF859" s="3">
        <f>IF($AE859="","",IF((IFERROR(INDEX('ASIGNACIONES'!$F$4:$F$339,MATCH($O859&amp;"|"&amp;$R859&amp;"|"&amp;$AE859,'ASIGNACIONES'!$J$4:$J$339,0)),""))=0,"",IFERROR(INDEX('ASIGNACIONES'!$F$4:$F$339,MATCH($O859&amp;"|"&amp;$R859&amp;"|"&amp;$AE859,'ASIGNACIONES'!$J$4:$J$339,0)),"")))</f>
        <v/>
      </c>
      <c r="AG859" s="13">
        <f>IF($AE859="","",SUMIFS('ORDENES'!$M$4:$M$1203,'ORDENES'!$AE$4:$AE$1203,$AE859,'ORDENES'!$O$4:$O$1203,$O859,'ORDENES'!$R$4:$R$1203,$R859))</f>
        <v/>
      </c>
      <c r="AH859" s="13">
        <f>IF($AG859="","",p_factor_productividad*IFERROR(INDEX('ASIGNACIONES'!$I$4:$I$339,MATCH($O859&amp;"|"&amp;$R859&amp;"|"&amp;$AE859,'ASIGNACIONES'!$J$4:$J$339,0)),0)-$AG859)</f>
        <v/>
      </c>
      <c r="AI859" s="10">
        <f>IF($A859="","",IFERROR(INDEX('2_IMPORTAR_EJECUCION'!$F$9:$F$1208,MATCH($AQ859,'2_IMPORTAR_EJECUCION'!$J$9:$J$1208,0)),0))</f>
        <v/>
      </c>
      <c r="AJ859" s="10">
        <f>IF($A859="","",MAX(0,IFERROR(INDEX('2_IMPORTAR_EJECUCION'!$H$9:$H$1208,MATCH($AQ859,'2_IMPORTAR_EJECUCION'!$J$9:$J$1208,0)),0)-$AI859))</f>
        <v/>
      </c>
      <c r="AK859" s="10">
        <f>IF($A859="","",$AI859+$AJ859)</f>
        <v/>
      </c>
      <c r="AL859" s="6" t="n"/>
      <c r="AM859" s="6" t="n"/>
      <c r="AN859" s="6" t="n"/>
      <c r="AO859" s="3">
        <f>IF($AN859="","",HYPERLINK(p_ruta_base_checklists&amp;$AN859,"abrir"))</f>
        <v/>
      </c>
      <c r="AP859" s="6" t="n"/>
      <c r="AQ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IF($A860="","",IFERROR(INDEX('AJUSTES'!$B$4:$B$303,MATCH($AQ860,'AJUSTES'!$A$4:$A$303,0)),IF($K860="","",$K860)))</f>
        <v/>
      </c>
      <c r="N860" s="3">
        <f>IF($A860="","",IFERROR(INDEX('CAT_ESTADOS_ERP'!$B$4:$B$7,MATCH(IFERROR(INDEX('2_IMPORTAR_EJECUCION'!$C$9:$C$1208,MATCH($AQ860,'2_IMPORTAR_EJECUCION'!$J$9:$J$1208,0)),""),'CAT_ESTADOS_ERP'!$A$4:$A$7,0)),"Pendiente"))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J860="","",IFERROR(INDEX('CALENDARIO'!$C$15:$C$214,MATCH(TEXT($J860,"yyyy-mm-dd")&amp;"|"&amp;$V860&amp;"|"&amp;$W860,'CALENDARIO'!$G$15:$G$214,0)),IFERROR(INDEX('CALENDARIO'!$C$15:$C$214,MATCH(TEXT($J860,"yyyy-mm-dd")&amp;"|"&amp;$V860&amp;"|",'CALENDARIO'!$G$15:$G$214,0)),IFERROR(INDEX('CALENDARIO'!$C$15:$C$214,MATCH(TEXT($J860,"yyyy-mm-dd")&amp;"||",'CALENDARIO'!$G$15:$G$214,0)),INDEX(patronHabil,WEEKDAY($J860,2))))))</f>
        <v/>
      </c>
      <c r="T860" s="3">
        <f>IF($I860="","",IFERROR(INDEX('CAT_TIPOS_OT'!$C$4:$C$7,MATCH($I860,'CAT_TIPOS_OT'!$A$4:$A$7,0)),"sin_clasificar"))</f>
        <v/>
      </c>
      <c r="U860" s="3">
        <f>IF($F860="","",IFERROR(INDEX('CAT_CENTROS_COSTO'!$F$4:$F$13,MATCH($F860,'CAT_CENTROS_COSTO'!$A$4:$A$13,0)),"(sin catálogo)"))</f>
        <v/>
      </c>
      <c r="V860" s="3">
        <f>IF($F860="","",IFERROR(INDEX('CAT_CENTROS_COSTO'!$D$4:$D$13,MATCH($F860,'CAT_CENTROS_COSTO'!$A$4:$A$13,0)),"(sin catálogo)"))</f>
        <v/>
      </c>
      <c r="W860" s="3">
        <f>IF($F860="","",IF((IFERROR(INDEX('CAT_CENTROS_COSTO'!$E$4:$E$13,MATCH($F860,'CAT_CENTROS_COSTO'!$A$4:$A$13,0)),""))&lt;&gt;"",IFERROR(INDEX('CAT_CENTROS_COSTO'!$E$4:$E$13,MATCH($F860,'CAT_CENTROS_COSTO'!$A$4:$A$13,0)),""),$V860))</f>
        <v/>
      </c>
      <c r="X860" s="3">
        <f>IF($F860="","",IFERROR(INDEX('CAT_CENTROS_COSTO'!$G$4:$G$13,MATCH($F860,'CAT_CENTROS_COSTO'!$A$4:$A$13,0)),"(sin catálogo)"))</f>
        <v/>
      </c>
      <c r="Y860" s="3">
        <f>IF($G860="","",IFERROR(INDEX('CAT_PUESTOS'!$B$4:$B$8,MATCH($G860,'CAT_PUESTOS'!$A$4:$A$8,0)),"(sin catálogo)"))</f>
        <v/>
      </c>
      <c r="Z860" s="3">
        <f>IF($H860="","",IFERROR(INDEX('CAT_ACTIVIDADES'!$B$4:$B$8,MATCH($H860,'CAT_ACTIVIDADES'!$A$4:$A$8,0)),"(sin catálogo)"))</f>
        <v/>
      </c>
      <c r="AA860" s="12">
        <f>IF($J860="","",TODAY()-$J860)</f>
        <v/>
      </c>
      <c r="AB860" s="12">
        <f>IF($J860="","",IF($J860&lt;=TODAY(),COUNTIFS(cal_fechas,"&gt;="&amp;$J860,cal_fechas,"&lt;"&amp;TODAY(),cal_habil,"sí"),-COUNTIFS(cal_fechas,"&gt;="&amp;TODAY(),cal_fechas,"&lt;"&amp;$J860,cal_habil,"sí")))</f>
        <v/>
      </c>
      <c r="AC860" s="3">
        <f>IF($AB860="","",IF($AB860&lt;0,"FUTURO",IF($AB860&gt;p_dias_backlog_max,"BACKLOG","MES CORRIENTE")))</f>
        <v/>
      </c>
      <c r="AD860" s="3">
        <f>IF($AB860="",FALSE,AND($AB860&gt;p_dias_backlog_min,$AB860&lt;=p_dias_backlog_max))</f>
        <v/>
      </c>
      <c r="AE860" s="6" t="n"/>
      <c r="AF860" s="3">
        <f>IF($AE860="","",IF((IFERROR(INDEX('ASIGNACIONES'!$F$4:$F$339,MATCH($O860&amp;"|"&amp;$R860&amp;"|"&amp;$AE860,'ASIGNACIONES'!$J$4:$J$339,0)),""))=0,"",IFERROR(INDEX('ASIGNACIONES'!$F$4:$F$339,MATCH($O860&amp;"|"&amp;$R860&amp;"|"&amp;$AE860,'ASIGNACIONES'!$J$4:$J$339,0)),"")))</f>
        <v/>
      </c>
      <c r="AG860" s="13">
        <f>IF($AE860="","",SUMIFS('ORDENES'!$M$4:$M$1203,'ORDENES'!$AE$4:$AE$1203,$AE860,'ORDENES'!$O$4:$O$1203,$O860,'ORDENES'!$R$4:$R$1203,$R860))</f>
        <v/>
      </c>
      <c r="AH860" s="13">
        <f>IF($AG860="","",p_factor_productividad*IFERROR(INDEX('ASIGNACIONES'!$I$4:$I$339,MATCH($O860&amp;"|"&amp;$R860&amp;"|"&amp;$AE860,'ASIGNACIONES'!$J$4:$J$339,0)),0)-$AG860)</f>
        <v/>
      </c>
      <c r="AI860" s="10">
        <f>IF($A860="","",IFERROR(INDEX('2_IMPORTAR_EJECUCION'!$F$9:$F$1208,MATCH($AQ860,'2_IMPORTAR_EJECUCION'!$J$9:$J$1208,0)),0))</f>
        <v/>
      </c>
      <c r="AJ860" s="10">
        <f>IF($A860="","",MAX(0,IFERROR(INDEX('2_IMPORTAR_EJECUCION'!$H$9:$H$1208,MATCH($AQ860,'2_IMPORTAR_EJECUCION'!$J$9:$J$1208,0)),0)-$AI860))</f>
        <v/>
      </c>
      <c r="AK860" s="10">
        <f>IF($A860="","",$AI860+$AJ860)</f>
        <v/>
      </c>
      <c r="AL860" s="6" t="n"/>
      <c r="AM860" s="6" t="n"/>
      <c r="AN860" s="6" t="n"/>
      <c r="AO860" s="3">
        <f>IF($AN860="","",HYPERLINK(p_ruta_base_checklists&amp;$AN860,"abrir"))</f>
        <v/>
      </c>
      <c r="AP860" s="6" t="n"/>
      <c r="AQ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IF($A861="","",IFERROR(INDEX('AJUSTES'!$B$4:$B$303,MATCH($AQ861,'AJUSTES'!$A$4:$A$303,0)),IF($K861="","",$K861)))</f>
        <v/>
      </c>
      <c r="N861" s="3">
        <f>IF($A861="","",IFERROR(INDEX('CAT_ESTADOS_ERP'!$B$4:$B$7,MATCH(IFERROR(INDEX('2_IMPORTAR_EJECUCION'!$C$9:$C$1208,MATCH($AQ861,'2_IMPORTAR_EJECUCION'!$J$9:$J$1208,0)),""),'CAT_ESTADOS_ERP'!$A$4:$A$7,0)),"Pendiente"))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J861="","",IFERROR(INDEX('CALENDARIO'!$C$15:$C$214,MATCH(TEXT($J861,"yyyy-mm-dd")&amp;"|"&amp;$V861&amp;"|"&amp;$W861,'CALENDARIO'!$G$15:$G$214,0)),IFERROR(INDEX('CALENDARIO'!$C$15:$C$214,MATCH(TEXT($J861,"yyyy-mm-dd")&amp;"|"&amp;$V861&amp;"|",'CALENDARIO'!$G$15:$G$214,0)),IFERROR(INDEX('CALENDARIO'!$C$15:$C$214,MATCH(TEXT($J861,"yyyy-mm-dd")&amp;"||",'CALENDARIO'!$G$15:$G$214,0)),INDEX(patronHabil,WEEKDAY($J861,2))))))</f>
        <v/>
      </c>
      <c r="T861" s="3">
        <f>IF($I861="","",IFERROR(INDEX('CAT_TIPOS_OT'!$C$4:$C$7,MATCH($I861,'CAT_TIPOS_OT'!$A$4:$A$7,0)),"sin_clasificar"))</f>
        <v/>
      </c>
      <c r="U861" s="3">
        <f>IF($F861="","",IFERROR(INDEX('CAT_CENTROS_COSTO'!$F$4:$F$13,MATCH($F861,'CAT_CENTROS_COSTO'!$A$4:$A$13,0)),"(sin catálogo)"))</f>
        <v/>
      </c>
      <c r="V861" s="3">
        <f>IF($F861="","",IFERROR(INDEX('CAT_CENTROS_COSTO'!$D$4:$D$13,MATCH($F861,'CAT_CENTROS_COSTO'!$A$4:$A$13,0)),"(sin catálogo)"))</f>
        <v/>
      </c>
      <c r="W861" s="3">
        <f>IF($F861="","",IF((IFERROR(INDEX('CAT_CENTROS_COSTO'!$E$4:$E$13,MATCH($F861,'CAT_CENTROS_COSTO'!$A$4:$A$13,0)),""))&lt;&gt;"",IFERROR(INDEX('CAT_CENTROS_COSTO'!$E$4:$E$13,MATCH($F861,'CAT_CENTROS_COSTO'!$A$4:$A$13,0)),""),$V861))</f>
        <v/>
      </c>
      <c r="X861" s="3">
        <f>IF($F861="","",IFERROR(INDEX('CAT_CENTROS_COSTO'!$G$4:$G$13,MATCH($F861,'CAT_CENTROS_COSTO'!$A$4:$A$13,0)),"(sin catálogo)"))</f>
        <v/>
      </c>
      <c r="Y861" s="3">
        <f>IF($G861="","",IFERROR(INDEX('CAT_PUESTOS'!$B$4:$B$8,MATCH($G861,'CAT_PUESTOS'!$A$4:$A$8,0)),"(sin catálogo)"))</f>
        <v/>
      </c>
      <c r="Z861" s="3">
        <f>IF($H861="","",IFERROR(INDEX('CAT_ACTIVIDADES'!$B$4:$B$8,MATCH($H861,'CAT_ACTIVIDADES'!$A$4:$A$8,0)),"(sin catálogo)"))</f>
        <v/>
      </c>
      <c r="AA861" s="12">
        <f>IF($J861="","",TODAY()-$J861)</f>
        <v/>
      </c>
      <c r="AB861" s="12">
        <f>IF($J861="","",IF($J861&lt;=TODAY(),COUNTIFS(cal_fechas,"&gt;="&amp;$J861,cal_fechas,"&lt;"&amp;TODAY(),cal_habil,"sí"),-COUNTIFS(cal_fechas,"&gt;="&amp;TODAY(),cal_fechas,"&lt;"&amp;$J861,cal_habil,"sí")))</f>
        <v/>
      </c>
      <c r="AC861" s="3">
        <f>IF($AB861="","",IF($AB861&lt;0,"FUTURO",IF($AB861&gt;p_dias_backlog_max,"BACKLOG","MES CORRIENTE")))</f>
        <v/>
      </c>
      <c r="AD861" s="3">
        <f>IF($AB861="",FALSE,AND($AB861&gt;p_dias_backlog_min,$AB861&lt;=p_dias_backlog_max))</f>
        <v/>
      </c>
      <c r="AE861" s="6" t="n"/>
      <c r="AF861" s="3">
        <f>IF($AE861="","",IF((IFERROR(INDEX('ASIGNACIONES'!$F$4:$F$339,MATCH($O861&amp;"|"&amp;$R861&amp;"|"&amp;$AE861,'ASIGNACIONES'!$J$4:$J$339,0)),""))=0,"",IFERROR(INDEX('ASIGNACIONES'!$F$4:$F$339,MATCH($O861&amp;"|"&amp;$R861&amp;"|"&amp;$AE861,'ASIGNACIONES'!$J$4:$J$339,0)),"")))</f>
        <v/>
      </c>
      <c r="AG861" s="13">
        <f>IF($AE861="","",SUMIFS('ORDENES'!$M$4:$M$1203,'ORDENES'!$AE$4:$AE$1203,$AE861,'ORDENES'!$O$4:$O$1203,$O861,'ORDENES'!$R$4:$R$1203,$R861))</f>
        <v/>
      </c>
      <c r="AH861" s="13">
        <f>IF($AG861="","",p_factor_productividad*IFERROR(INDEX('ASIGNACIONES'!$I$4:$I$339,MATCH($O861&amp;"|"&amp;$R861&amp;"|"&amp;$AE861,'ASIGNACIONES'!$J$4:$J$339,0)),0)-$AG861)</f>
        <v/>
      </c>
      <c r="AI861" s="10">
        <f>IF($A861="","",IFERROR(INDEX('2_IMPORTAR_EJECUCION'!$F$9:$F$1208,MATCH($AQ861,'2_IMPORTAR_EJECUCION'!$J$9:$J$1208,0)),0))</f>
        <v/>
      </c>
      <c r="AJ861" s="10">
        <f>IF($A861="","",MAX(0,IFERROR(INDEX('2_IMPORTAR_EJECUCION'!$H$9:$H$1208,MATCH($AQ861,'2_IMPORTAR_EJECUCION'!$J$9:$J$1208,0)),0)-$AI861))</f>
        <v/>
      </c>
      <c r="AK861" s="10">
        <f>IF($A861="","",$AI861+$AJ861)</f>
        <v/>
      </c>
      <c r="AL861" s="6" t="n"/>
      <c r="AM861" s="6" t="n"/>
      <c r="AN861" s="6" t="n"/>
      <c r="AO861" s="3">
        <f>IF($AN861="","",HYPERLINK(p_ruta_base_checklists&amp;$AN861,"abrir"))</f>
        <v/>
      </c>
      <c r="AP861" s="6" t="n"/>
      <c r="AQ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IF($A862="","",IFERROR(INDEX('AJUSTES'!$B$4:$B$303,MATCH($AQ862,'AJUSTES'!$A$4:$A$303,0)),IF($K862="","",$K862)))</f>
        <v/>
      </c>
      <c r="N862" s="3">
        <f>IF($A862="","",IFERROR(INDEX('CAT_ESTADOS_ERP'!$B$4:$B$7,MATCH(IFERROR(INDEX('2_IMPORTAR_EJECUCION'!$C$9:$C$1208,MATCH($AQ862,'2_IMPORTAR_EJECUCION'!$J$9:$J$1208,0)),""),'CAT_ESTADOS_ERP'!$A$4:$A$7,0)),"Pendiente"))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J862="","",IFERROR(INDEX('CALENDARIO'!$C$15:$C$214,MATCH(TEXT($J862,"yyyy-mm-dd")&amp;"|"&amp;$V862&amp;"|"&amp;$W862,'CALENDARIO'!$G$15:$G$214,0)),IFERROR(INDEX('CALENDARIO'!$C$15:$C$214,MATCH(TEXT($J862,"yyyy-mm-dd")&amp;"|"&amp;$V862&amp;"|",'CALENDARIO'!$G$15:$G$214,0)),IFERROR(INDEX('CALENDARIO'!$C$15:$C$214,MATCH(TEXT($J862,"yyyy-mm-dd")&amp;"||",'CALENDARIO'!$G$15:$G$214,0)),INDEX(patronHabil,WEEKDAY($J862,2))))))</f>
        <v/>
      </c>
      <c r="T862" s="3">
        <f>IF($I862="","",IFERROR(INDEX('CAT_TIPOS_OT'!$C$4:$C$7,MATCH($I862,'CAT_TIPOS_OT'!$A$4:$A$7,0)),"sin_clasificar"))</f>
        <v/>
      </c>
      <c r="U862" s="3">
        <f>IF($F862="","",IFERROR(INDEX('CAT_CENTROS_COSTO'!$F$4:$F$13,MATCH($F862,'CAT_CENTROS_COSTO'!$A$4:$A$13,0)),"(sin catálogo)"))</f>
        <v/>
      </c>
      <c r="V862" s="3">
        <f>IF($F862="","",IFERROR(INDEX('CAT_CENTROS_COSTO'!$D$4:$D$13,MATCH($F862,'CAT_CENTROS_COSTO'!$A$4:$A$13,0)),"(sin catálogo)"))</f>
        <v/>
      </c>
      <c r="W862" s="3">
        <f>IF($F862="","",IF((IFERROR(INDEX('CAT_CENTROS_COSTO'!$E$4:$E$13,MATCH($F862,'CAT_CENTROS_COSTO'!$A$4:$A$13,0)),""))&lt;&gt;"",IFERROR(INDEX('CAT_CENTROS_COSTO'!$E$4:$E$13,MATCH($F862,'CAT_CENTROS_COSTO'!$A$4:$A$13,0)),""),$V862))</f>
        <v/>
      </c>
      <c r="X862" s="3">
        <f>IF($F862="","",IFERROR(INDEX('CAT_CENTROS_COSTO'!$G$4:$G$13,MATCH($F862,'CAT_CENTROS_COSTO'!$A$4:$A$13,0)),"(sin catálogo)"))</f>
        <v/>
      </c>
      <c r="Y862" s="3">
        <f>IF($G862="","",IFERROR(INDEX('CAT_PUESTOS'!$B$4:$B$8,MATCH($G862,'CAT_PUESTOS'!$A$4:$A$8,0)),"(sin catálogo)"))</f>
        <v/>
      </c>
      <c r="Z862" s="3">
        <f>IF($H862="","",IFERROR(INDEX('CAT_ACTIVIDADES'!$B$4:$B$8,MATCH($H862,'CAT_ACTIVIDADES'!$A$4:$A$8,0)),"(sin catálogo)"))</f>
        <v/>
      </c>
      <c r="AA862" s="12">
        <f>IF($J862="","",TODAY()-$J862)</f>
        <v/>
      </c>
      <c r="AB862" s="12">
        <f>IF($J862="","",IF($J862&lt;=TODAY(),COUNTIFS(cal_fechas,"&gt;="&amp;$J862,cal_fechas,"&lt;"&amp;TODAY(),cal_habil,"sí"),-COUNTIFS(cal_fechas,"&gt;="&amp;TODAY(),cal_fechas,"&lt;"&amp;$J862,cal_habil,"sí")))</f>
        <v/>
      </c>
      <c r="AC862" s="3">
        <f>IF($AB862="","",IF($AB862&lt;0,"FUTURO",IF($AB862&gt;p_dias_backlog_max,"BACKLOG","MES CORRIENTE")))</f>
        <v/>
      </c>
      <c r="AD862" s="3">
        <f>IF($AB862="",FALSE,AND($AB862&gt;p_dias_backlog_min,$AB862&lt;=p_dias_backlog_max))</f>
        <v/>
      </c>
      <c r="AE862" s="6" t="n"/>
      <c r="AF862" s="3">
        <f>IF($AE862="","",IF((IFERROR(INDEX('ASIGNACIONES'!$F$4:$F$339,MATCH($O862&amp;"|"&amp;$R862&amp;"|"&amp;$AE862,'ASIGNACIONES'!$J$4:$J$339,0)),""))=0,"",IFERROR(INDEX('ASIGNACIONES'!$F$4:$F$339,MATCH($O862&amp;"|"&amp;$R862&amp;"|"&amp;$AE862,'ASIGNACIONES'!$J$4:$J$339,0)),"")))</f>
        <v/>
      </c>
      <c r="AG862" s="13">
        <f>IF($AE862="","",SUMIFS('ORDENES'!$M$4:$M$1203,'ORDENES'!$AE$4:$AE$1203,$AE862,'ORDENES'!$O$4:$O$1203,$O862,'ORDENES'!$R$4:$R$1203,$R862))</f>
        <v/>
      </c>
      <c r="AH862" s="13">
        <f>IF($AG862="","",p_factor_productividad*IFERROR(INDEX('ASIGNACIONES'!$I$4:$I$339,MATCH($O862&amp;"|"&amp;$R862&amp;"|"&amp;$AE862,'ASIGNACIONES'!$J$4:$J$339,0)),0)-$AG862)</f>
        <v/>
      </c>
      <c r="AI862" s="10">
        <f>IF($A862="","",IFERROR(INDEX('2_IMPORTAR_EJECUCION'!$F$9:$F$1208,MATCH($AQ862,'2_IMPORTAR_EJECUCION'!$J$9:$J$1208,0)),0))</f>
        <v/>
      </c>
      <c r="AJ862" s="10">
        <f>IF($A862="","",MAX(0,IFERROR(INDEX('2_IMPORTAR_EJECUCION'!$H$9:$H$1208,MATCH($AQ862,'2_IMPORTAR_EJECUCION'!$J$9:$J$1208,0)),0)-$AI862))</f>
        <v/>
      </c>
      <c r="AK862" s="10">
        <f>IF($A862="","",$AI862+$AJ862)</f>
        <v/>
      </c>
      <c r="AL862" s="6" t="n"/>
      <c r="AM862" s="6" t="n"/>
      <c r="AN862" s="6" t="n"/>
      <c r="AO862" s="3">
        <f>IF($AN862="","",HYPERLINK(p_ruta_base_checklists&amp;$AN862,"abrir"))</f>
        <v/>
      </c>
      <c r="AP862" s="6" t="n"/>
      <c r="AQ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IF($A863="","",IFERROR(INDEX('AJUSTES'!$B$4:$B$303,MATCH($AQ863,'AJUSTES'!$A$4:$A$303,0)),IF($K863="","",$K863)))</f>
        <v/>
      </c>
      <c r="N863" s="3">
        <f>IF($A863="","",IFERROR(INDEX('CAT_ESTADOS_ERP'!$B$4:$B$7,MATCH(IFERROR(INDEX('2_IMPORTAR_EJECUCION'!$C$9:$C$1208,MATCH($AQ863,'2_IMPORTAR_EJECUCION'!$J$9:$J$1208,0)),""),'CAT_ESTADOS_ERP'!$A$4:$A$7,0)),"Pendiente"))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J863="","",IFERROR(INDEX('CALENDARIO'!$C$15:$C$214,MATCH(TEXT($J863,"yyyy-mm-dd")&amp;"|"&amp;$V863&amp;"|"&amp;$W863,'CALENDARIO'!$G$15:$G$214,0)),IFERROR(INDEX('CALENDARIO'!$C$15:$C$214,MATCH(TEXT($J863,"yyyy-mm-dd")&amp;"|"&amp;$V863&amp;"|",'CALENDARIO'!$G$15:$G$214,0)),IFERROR(INDEX('CALENDARIO'!$C$15:$C$214,MATCH(TEXT($J863,"yyyy-mm-dd")&amp;"||",'CALENDARIO'!$G$15:$G$214,0)),INDEX(patronHabil,WEEKDAY($J863,2))))))</f>
        <v/>
      </c>
      <c r="T863" s="3">
        <f>IF($I863="","",IFERROR(INDEX('CAT_TIPOS_OT'!$C$4:$C$7,MATCH($I863,'CAT_TIPOS_OT'!$A$4:$A$7,0)),"sin_clasificar"))</f>
        <v/>
      </c>
      <c r="U863" s="3">
        <f>IF($F863="","",IFERROR(INDEX('CAT_CENTROS_COSTO'!$F$4:$F$13,MATCH($F863,'CAT_CENTROS_COSTO'!$A$4:$A$13,0)),"(sin catálogo)"))</f>
        <v/>
      </c>
      <c r="V863" s="3">
        <f>IF($F863="","",IFERROR(INDEX('CAT_CENTROS_COSTO'!$D$4:$D$13,MATCH($F863,'CAT_CENTROS_COSTO'!$A$4:$A$13,0)),"(sin catálogo)"))</f>
        <v/>
      </c>
      <c r="W863" s="3">
        <f>IF($F863="","",IF((IFERROR(INDEX('CAT_CENTROS_COSTO'!$E$4:$E$13,MATCH($F863,'CAT_CENTROS_COSTO'!$A$4:$A$13,0)),""))&lt;&gt;"",IFERROR(INDEX('CAT_CENTROS_COSTO'!$E$4:$E$13,MATCH($F863,'CAT_CENTROS_COSTO'!$A$4:$A$13,0)),""),$V863))</f>
        <v/>
      </c>
      <c r="X863" s="3">
        <f>IF($F863="","",IFERROR(INDEX('CAT_CENTROS_COSTO'!$G$4:$G$13,MATCH($F863,'CAT_CENTROS_COSTO'!$A$4:$A$13,0)),"(sin catálogo)"))</f>
        <v/>
      </c>
      <c r="Y863" s="3">
        <f>IF($G863="","",IFERROR(INDEX('CAT_PUESTOS'!$B$4:$B$8,MATCH($G863,'CAT_PUESTOS'!$A$4:$A$8,0)),"(sin catálogo)"))</f>
        <v/>
      </c>
      <c r="Z863" s="3">
        <f>IF($H863="","",IFERROR(INDEX('CAT_ACTIVIDADES'!$B$4:$B$8,MATCH($H863,'CAT_ACTIVIDADES'!$A$4:$A$8,0)),"(sin catálogo)"))</f>
        <v/>
      </c>
      <c r="AA863" s="12">
        <f>IF($J863="","",TODAY()-$J863)</f>
        <v/>
      </c>
      <c r="AB863" s="12">
        <f>IF($J863="","",IF($J863&lt;=TODAY(),COUNTIFS(cal_fechas,"&gt;="&amp;$J863,cal_fechas,"&lt;"&amp;TODAY(),cal_habil,"sí"),-COUNTIFS(cal_fechas,"&gt;="&amp;TODAY(),cal_fechas,"&lt;"&amp;$J863,cal_habil,"sí")))</f>
        <v/>
      </c>
      <c r="AC863" s="3">
        <f>IF($AB863="","",IF($AB863&lt;0,"FUTURO",IF($AB863&gt;p_dias_backlog_max,"BACKLOG","MES CORRIENTE")))</f>
        <v/>
      </c>
      <c r="AD863" s="3">
        <f>IF($AB863="",FALSE,AND($AB863&gt;p_dias_backlog_min,$AB863&lt;=p_dias_backlog_max))</f>
        <v/>
      </c>
      <c r="AE863" s="6" t="n"/>
      <c r="AF863" s="3">
        <f>IF($AE863="","",IF((IFERROR(INDEX('ASIGNACIONES'!$F$4:$F$339,MATCH($O863&amp;"|"&amp;$R863&amp;"|"&amp;$AE863,'ASIGNACIONES'!$J$4:$J$339,0)),""))=0,"",IFERROR(INDEX('ASIGNACIONES'!$F$4:$F$339,MATCH($O863&amp;"|"&amp;$R863&amp;"|"&amp;$AE863,'ASIGNACIONES'!$J$4:$J$339,0)),"")))</f>
        <v/>
      </c>
      <c r="AG863" s="13">
        <f>IF($AE863="","",SUMIFS('ORDENES'!$M$4:$M$1203,'ORDENES'!$AE$4:$AE$1203,$AE863,'ORDENES'!$O$4:$O$1203,$O863,'ORDENES'!$R$4:$R$1203,$R863))</f>
        <v/>
      </c>
      <c r="AH863" s="13">
        <f>IF($AG863="","",p_factor_productividad*IFERROR(INDEX('ASIGNACIONES'!$I$4:$I$339,MATCH($O863&amp;"|"&amp;$R863&amp;"|"&amp;$AE863,'ASIGNACIONES'!$J$4:$J$339,0)),0)-$AG863)</f>
        <v/>
      </c>
      <c r="AI863" s="10">
        <f>IF($A863="","",IFERROR(INDEX('2_IMPORTAR_EJECUCION'!$F$9:$F$1208,MATCH($AQ863,'2_IMPORTAR_EJECUCION'!$J$9:$J$1208,0)),0))</f>
        <v/>
      </c>
      <c r="AJ863" s="10">
        <f>IF($A863="","",MAX(0,IFERROR(INDEX('2_IMPORTAR_EJECUCION'!$H$9:$H$1208,MATCH($AQ863,'2_IMPORTAR_EJECUCION'!$J$9:$J$1208,0)),0)-$AI863))</f>
        <v/>
      </c>
      <c r="AK863" s="10">
        <f>IF($A863="","",$AI863+$AJ863)</f>
        <v/>
      </c>
      <c r="AL863" s="6" t="n"/>
      <c r="AM863" s="6" t="n"/>
      <c r="AN863" s="6" t="n"/>
      <c r="AO863" s="3">
        <f>IF($AN863="","",HYPERLINK(p_ruta_base_checklists&amp;$AN863,"abrir"))</f>
        <v/>
      </c>
      <c r="AP863" s="6" t="n"/>
      <c r="AQ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IF($A864="","",IFERROR(INDEX('AJUSTES'!$B$4:$B$303,MATCH($AQ864,'AJUSTES'!$A$4:$A$303,0)),IF($K864="","",$K864)))</f>
        <v/>
      </c>
      <c r="N864" s="3">
        <f>IF($A864="","",IFERROR(INDEX('CAT_ESTADOS_ERP'!$B$4:$B$7,MATCH(IFERROR(INDEX('2_IMPORTAR_EJECUCION'!$C$9:$C$1208,MATCH($AQ864,'2_IMPORTAR_EJECUCION'!$J$9:$J$1208,0)),""),'CAT_ESTADOS_ERP'!$A$4:$A$7,0)),"Pendiente"))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J864="","",IFERROR(INDEX('CALENDARIO'!$C$15:$C$214,MATCH(TEXT($J864,"yyyy-mm-dd")&amp;"|"&amp;$V864&amp;"|"&amp;$W864,'CALENDARIO'!$G$15:$G$214,0)),IFERROR(INDEX('CALENDARIO'!$C$15:$C$214,MATCH(TEXT($J864,"yyyy-mm-dd")&amp;"|"&amp;$V864&amp;"|",'CALENDARIO'!$G$15:$G$214,0)),IFERROR(INDEX('CALENDARIO'!$C$15:$C$214,MATCH(TEXT($J864,"yyyy-mm-dd")&amp;"||",'CALENDARIO'!$G$15:$G$214,0)),INDEX(patronHabil,WEEKDAY($J864,2))))))</f>
        <v/>
      </c>
      <c r="T864" s="3">
        <f>IF($I864="","",IFERROR(INDEX('CAT_TIPOS_OT'!$C$4:$C$7,MATCH($I864,'CAT_TIPOS_OT'!$A$4:$A$7,0)),"sin_clasificar"))</f>
        <v/>
      </c>
      <c r="U864" s="3">
        <f>IF($F864="","",IFERROR(INDEX('CAT_CENTROS_COSTO'!$F$4:$F$13,MATCH($F864,'CAT_CENTROS_COSTO'!$A$4:$A$13,0)),"(sin catálogo)"))</f>
        <v/>
      </c>
      <c r="V864" s="3">
        <f>IF($F864="","",IFERROR(INDEX('CAT_CENTROS_COSTO'!$D$4:$D$13,MATCH($F864,'CAT_CENTROS_COSTO'!$A$4:$A$13,0)),"(sin catálogo)"))</f>
        <v/>
      </c>
      <c r="W864" s="3">
        <f>IF($F864="","",IF((IFERROR(INDEX('CAT_CENTROS_COSTO'!$E$4:$E$13,MATCH($F864,'CAT_CENTROS_COSTO'!$A$4:$A$13,0)),""))&lt;&gt;"",IFERROR(INDEX('CAT_CENTROS_COSTO'!$E$4:$E$13,MATCH($F864,'CAT_CENTROS_COSTO'!$A$4:$A$13,0)),""),$V864))</f>
        <v/>
      </c>
      <c r="X864" s="3">
        <f>IF($F864="","",IFERROR(INDEX('CAT_CENTROS_COSTO'!$G$4:$G$13,MATCH($F864,'CAT_CENTROS_COSTO'!$A$4:$A$13,0)),"(sin catálogo)"))</f>
        <v/>
      </c>
      <c r="Y864" s="3">
        <f>IF($G864="","",IFERROR(INDEX('CAT_PUESTOS'!$B$4:$B$8,MATCH($G864,'CAT_PUESTOS'!$A$4:$A$8,0)),"(sin catálogo)"))</f>
        <v/>
      </c>
      <c r="Z864" s="3">
        <f>IF($H864="","",IFERROR(INDEX('CAT_ACTIVIDADES'!$B$4:$B$8,MATCH($H864,'CAT_ACTIVIDADES'!$A$4:$A$8,0)),"(sin catálogo)"))</f>
        <v/>
      </c>
      <c r="AA864" s="12">
        <f>IF($J864="","",TODAY()-$J864)</f>
        <v/>
      </c>
      <c r="AB864" s="12">
        <f>IF($J864="","",IF($J864&lt;=TODAY(),COUNTIFS(cal_fechas,"&gt;="&amp;$J864,cal_fechas,"&lt;"&amp;TODAY(),cal_habil,"sí"),-COUNTIFS(cal_fechas,"&gt;="&amp;TODAY(),cal_fechas,"&lt;"&amp;$J864,cal_habil,"sí")))</f>
        <v/>
      </c>
      <c r="AC864" s="3">
        <f>IF($AB864="","",IF($AB864&lt;0,"FUTURO",IF($AB864&gt;p_dias_backlog_max,"BACKLOG","MES CORRIENTE")))</f>
        <v/>
      </c>
      <c r="AD864" s="3">
        <f>IF($AB864="",FALSE,AND($AB864&gt;p_dias_backlog_min,$AB864&lt;=p_dias_backlog_max))</f>
        <v/>
      </c>
      <c r="AE864" s="6" t="n"/>
      <c r="AF864" s="3">
        <f>IF($AE864="","",IF((IFERROR(INDEX('ASIGNACIONES'!$F$4:$F$339,MATCH($O864&amp;"|"&amp;$R864&amp;"|"&amp;$AE864,'ASIGNACIONES'!$J$4:$J$339,0)),""))=0,"",IFERROR(INDEX('ASIGNACIONES'!$F$4:$F$339,MATCH($O864&amp;"|"&amp;$R864&amp;"|"&amp;$AE864,'ASIGNACIONES'!$J$4:$J$339,0)),"")))</f>
        <v/>
      </c>
      <c r="AG864" s="13">
        <f>IF($AE864="","",SUMIFS('ORDENES'!$M$4:$M$1203,'ORDENES'!$AE$4:$AE$1203,$AE864,'ORDENES'!$O$4:$O$1203,$O864,'ORDENES'!$R$4:$R$1203,$R864))</f>
        <v/>
      </c>
      <c r="AH864" s="13">
        <f>IF($AG864="","",p_factor_productividad*IFERROR(INDEX('ASIGNACIONES'!$I$4:$I$339,MATCH($O864&amp;"|"&amp;$R864&amp;"|"&amp;$AE864,'ASIGNACIONES'!$J$4:$J$339,0)),0)-$AG864)</f>
        <v/>
      </c>
      <c r="AI864" s="10">
        <f>IF($A864="","",IFERROR(INDEX('2_IMPORTAR_EJECUCION'!$F$9:$F$1208,MATCH($AQ864,'2_IMPORTAR_EJECUCION'!$J$9:$J$1208,0)),0))</f>
        <v/>
      </c>
      <c r="AJ864" s="10">
        <f>IF($A864="","",MAX(0,IFERROR(INDEX('2_IMPORTAR_EJECUCION'!$H$9:$H$1208,MATCH($AQ864,'2_IMPORTAR_EJECUCION'!$J$9:$J$1208,0)),0)-$AI864))</f>
        <v/>
      </c>
      <c r="AK864" s="10">
        <f>IF($A864="","",$AI864+$AJ864)</f>
        <v/>
      </c>
      <c r="AL864" s="6" t="n"/>
      <c r="AM864" s="6" t="n"/>
      <c r="AN864" s="6" t="n"/>
      <c r="AO864" s="3">
        <f>IF($AN864="","",HYPERLINK(p_ruta_base_checklists&amp;$AN864,"abrir"))</f>
        <v/>
      </c>
      <c r="AP864" s="6" t="n"/>
      <c r="AQ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IF($A865="","",IFERROR(INDEX('AJUSTES'!$B$4:$B$303,MATCH($AQ865,'AJUSTES'!$A$4:$A$303,0)),IF($K865="","",$K865)))</f>
        <v/>
      </c>
      <c r="N865" s="3">
        <f>IF($A865="","",IFERROR(INDEX('CAT_ESTADOS_ERP'!$B$4:$B$7,MATCH(IFERROR(INDEX('2_IMPORTAR_EJECUCION'!$C$9:$C$1208,MATCH($AQ865,'2_IMPORTAR_EJECUCION'!$J$9:$J$1208,0)),""),'CAT_ESTADOS_ERP'!$A$4:$A$7,0)),"Pendiente"))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J865="","",IFERROR(INDEX('CALENDARIO'!$C$15:$C$214,MATCH(TEXT($J865,"yyyy-mm-dd")&amp;"|"&amp;$V865&amp;"|"&amp;$W865,'CALENDARIO'!$G$15:$G$214,0)),IFERROR(INDEX('CALENDARIO'!$C$15:$C$214,MATCH(TEXT($J865,"yyyy-mm-dd")&amp;"|"&amp;$V865&amp;"|",'CALENDARIO'!$G$15:$G$214,0)),IFERROR(INDEX('CALENDARIO'!$C$15:$C$214,MATCH(TEXT($J865,"yyyy-mm-dd")&amp;"||",'CALENDARIO'!$G$15:$G$214,0)),INDEX(patronHabil,WEEKDAY($J865,2))))))</f>
        <v/>
      </c>
      <c r="T865" s="3">
        <f>IF($I865="","",IFERROR(INDEX('CAT_TIPOS_OT'!$C$4:$C$7,MATCH($I865,'CAT_TIPOS_OT'!$A$4:$A$7,0)),"sin_clasificar"))</f>
        <v/>
      </c>
      <c r="U865" s="3">
        <f>IF($F865="","",IFERROR(INDEX('CAT_CENTROS_COSTO'!$F$4:$F$13,MATCH($F865,'CAT_CENTROS_COSTO'!$A$4:$A$13,0)),"(sin catálogo)"))</f>
        <v/>
      </c>
      <c r="V865" s="3">
        <f>IF($F865="","",IFERROR(INDEX('CAT_CENTROS_COSTO'!$D$4:$D$13,MATCH($F865,'CAT_CENTROS_COSTO'!$A$4:$A$13,0)),"(sin catálogo)"))</f>
        <v/>
      </c>
      <c r="W865" s="3">
        <f>IF($F865="","",IF((IFERROR(INDEX('CAT_CENTROS_COSTO'!$E$4:$E$13,MATCH($F865,'CAT_CENTROS_COSTO'!$A$4:$A$13,0)),""))&lt;&gt;"",IFERROR(INDEX('CAT_CENTROS_COSTO'!$E$4:$E$13,MATCH($F865,'CAT_CENTROS_COSTO'!$A$4:$A$13,0)),""),$V865))</f>
        <v/>
      </c>
      <c r="X865" s="3">
        <f>IF($F865="","",IFERROR(INDEX('CAT_CENTROS_COSTO'!$G$4:$G$13,MATCH($F865,'CAT_CENTROS_COSTO'!$A$4:$A$13,0)),"(sin catálogo)"))</f>
        <v/>
      </c>
      <c r="Y865" s="3">
        <f>IF($G865="","",IFERROR(INDEX('CAT_PUESTOS'!$B$4:$B$8,MATCH($G865,'CAT_PUESTOS'!$A$4:$A$8,0)),"(sin catálogo)"))</f>
        <v/>
      </c>
      <c r="Z865" s="3">
        <f>IF($H865="","",IFERROR(INDEX('CAT_ACTIVIDADES'!$B$4:$B$8,MATCH($H865,'CAT_ACTIVIDADES'!$A$4:$A$8,0)),"(sin catálogo)"))</f>
        <v/>
      </c>
      <c r="AA865" s="12">
        <f>IF($J865="","",TODAY()-$J865)</f>
        <v/>
      </c>
      <c r="AB865" s="12">
        <f>IF($J865="","",IF($J865&lt;=TODAY(),COUNTIFS(cal_fechas,"&gt;="&amp;$J865,cal_fechas,"&lt;"&amp;TODAY(),cal_habil,"sí"),-COUNTIFS(cal_fechas,"&gt;="&amp;TODAY(),cal_fechas,"&lt;"&amp;$J865,cal_habil,"sí")))</f>
        <v/>
      </c>
      <c r="AC865" s="3">
        <f>IF($AB865="","",IF($AB865&lt;0,"FUTURO",IF($AB865&gt;p_dias_backlog_max,"BACKLOG","MES CORRIENTE")))</f>
        <v/>
      </c>
      <c r="AD865" s="3">
        <f>IF($AB865="",FALSE,AND($AB865&gt;p_dias_backlog_min,$AB865&lt;=p_dias_backlog_max))</f>
        <v/>
      </c>
      <c r="AE865" s="6" t="n"/>
      <c r="AF865" s="3">
        <f>IF($AE865="","",IF((IFERROR(INDEX('ASIGNACIONES'!$F$4:$F$339,MATCH($O865&amp;"|"&amp;$R865&amp;"|"&amp;$AE865,'ASIGNACIONES'!$J$4:$J$339,0)),""))=0,"",IFERROR(INDEX('ASIGNACIONES'!$F$4:$F$339,MATCH($O865&amp;"|"&amp;$R865&amp;"|"&amp;$AE865,'ASIGNACIONES'!$J$4:$J$339,0)),"")))</f>
        <v/>
      </c>
      <c r="AG865" s="13">
        <f>IF($AE865="","",SUMIFS('ORDENES'!$M$4:$M$1203,'ORDENES'!$AE$4:$AE$1203,$AE865,'ORDENES'!$O$4:$O$1203,$O865,'ORDENES'!$R$4:$R$1203,$R865))</f>
        <v/>
      </c>
      <c r="AH865" s="13">
        <f>IF($AG865="","",p_factor_productividad*IFERROR(INDEX('ASIGNACIONES'!$I$4:$I$339,MATCH($O865&amp;"|"&amp;$R865&amp;"|"&amp;$AE865,'ASIGNACIONES'!$J$4:$J$339,0)),0)-$AG865)</f>
        <v/>
      </c>
      <c r="AI865" s="10">
        <f>IF($A865="","",IFERROR(INDEX('2_IMPORTAR_EJECUCION'!$F$9:$F$1208,MATCH($AQ865,'2_IMPORTAR_EJECUCION'!$J$9:$J$1208,0)),0))</f>
        <v/>
      </c>
      <c r="AJ865" s="10">
        <f>IF($A865="","",MAX(0,IFERROR(INDEX('2_IMPORTAR_EJECUCION'!$H$9:$H$1208,MATCH($AQ865,'2_IMPORTAR_EJECUCION'!$J$9:$J$1208,0)),0)-$AI865))</f>
        <v/>
      </c>
      <c r="AK865" s="10">
        <f>IF($A865="","",$AI865+$AJ865)</f>
        <v/>
      </c>
      <c r="AL865" s="6" t="n"/>
      <c r="AM865" s="6" t="n"/>
      <c r="AN865" s="6" t="n"/>
      <c r="AO865" s="3">
        <f>IF($AN865="","",HYPERLINK(p_ruta_base_checklists&amp;$AN865,"abrir"))</f>
        <v/>
      </c>
      <c r="AP865" s="6" t="n"/>
      <c r="AQ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IF($A866="","",IFERROR(INDEX('AJUSTES'!$B$4:$B$303,MATCH($AQ866,'AJUSTES'!$A$4:$A$303,0)),IF($K866="","",$K866)))</f>
        <v/>
      </c>
      <c r="N866" s="3">
        <f>IF($A866="","",IFERROR(INDEX('CAT_ESTADOS_ERP'!$B$4:$B$7,MATCH(IFERROR(INDEX('2_IMPORTAR_EJECUCION'!$C$9:$C$1208,MATCH($AQ866,'2_IMPORTAR_EJECUCION'!$J$9:$J$1208,0)),""),'CAT_ESTADOS_ERP'!$A$4:$A$7,0)),"Pendiente"))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J866="","",IFERROR(INDEX('CALENDARIO'!$C$15:$C$214,MATCH(TEXT($J866,"yyyy-mm-dd")&amp;"|"&amp;$V866&amp;"|"&amp;$W866,'CALENDARIO'!$G$15:$G$214,0)),IFERROR(INDEX('CALENDARIO'!$C$15:$C$214,MATCH(TEXT($J866,"yyyy-mm-dd")&amp;"|"&amp;$V866&amp;"|",'CALENDARIO'!$G$15:$G$214,0)),IFERROR(INDEX('CALENDARIO'!$C$15:$C$214,MATCH(TEXT($J866,"yyyy-mm-dd")&amp;"||",'CALENDARIO'!$G$15:$G$214,0)),INDEX(patronHabil,WEEKDAY($J866,2))))))</f>
        <v/>
      </c>
      <c r="T866" s="3">
        <f>IF($I866="","",IFERROR(INDEX('CAT_TIPOS_OT'!$C$4:$C$7,MATCH($I866,'CAT_TIPOS_OT'!$A$4:$A$7,0)),"sin_clasificar"))</f>
        <v/>
      </c>
      <c r="U866" s="3">
        <f>IF($F866="","",IFERROR(INDEX('CAT_CENTROS_COSTO'!$F$4:$F$13,MATCH($F866,'CAT_CENTROS_COSTO'!$A$4:$A$13,0)),"(sin catálogo)"))</f>
        <v/>
      </c>
      <c r="V866" s="3">
        <f>IF($F866="","",IFERROR(INDEX('CAT_CENTROS_COSTO'!$D$4:$D$13,MATCH($F866,'CAT_CENTROS_COSTO'!$A$4:$A$13,0)),"(sin catálogo)"))</f>
        <v/>
      </c>
      <c r="W866" s="3">
        <f>IF($F866="","",IF((IFERROR(INDEX('CAT_CENTROS_COSTO'!$E$4:$E$13,MATCH($F866,'CAT_CENTROS_COSTO'!$A$4:$A$13,0)),""))&lt;&gt;"",IFERROR(INDEX('CAT_CENTROS_COSTO'!$E$4:$E$13,MATCH($F866,'CAT_CENTROS_COSTO'!$A$4:$A$13,0)),""),$V866))</f>
        <v/>
      </c>
      <c r="X866" s="3">
        <f>IF($F866="","",IFERROR(INDEX('CAT_CENTROS_COSTO'!$G$4:$G$13,MATCH($F866,'CAT_CENTROS_COSTO'!$A$4:$A$13,0)),"(sin catálogo)"))</f>
        <v/>
      </c>
      <c r="Y866" s="3">
        <f>IF($G866="","",IFERROR(INDEX('CAT_PUESTOS'!$B$4:$B$8,MATCH($G866,'CAT_PUESTOS'!$A$4:$A$8,0)),"(sin catálogo)"))</f>
        <v/>
      </c>
      <c r="Z866" s="3">
        <f>IF($H866="","",IFERROR(INDEX('CAT_ACTIVIDADES'!$B$4:$B$8,MATCH($H866,'CAT_ACTIVIDADES'!$A$4:$A$8,0)),"(sin catálogo)"))</f>
        <v/>
      </c>
      <c r="AA866" s="12">
        <f>IF($J866="","",TODAY()-$J866)</f>
        <v/>
      </c>
      <c r="AB866" s="12">
        <f>IF($J866="","",IF($J866&lt;=TODAY(),COUNTIFS(cal_fechas,"&gt;="&amp;$J866,cal_fechas,"&lt;"&amp;TODAY(),cal_habil,"sí"),-COUNTIFS(cal_fechas,"&gt;="&amp;TODAY(),cal_fechas,"&lt;"&amp;$J866,cal_habil,"sí")))</f>
        <v/>
      </c>
      <c r="AC866" s="3">
        <f>IF($AB866="","",IF($AB866&lt;0,"FUTURO",IF($AB866&gt;p_dias_backlog_max,"BACKLOG","MES CORRIENTE")))</f>
        <v/>
      </c>
      <c r="AD866" s="3">
        <f>IF($AB866="",FALSE,AND($AB866&gt;p_dias_backlog_min,$AB866&lt;=p_dias_backlog_max))</f>
        <v/>
      </c>
      <c r="AE866" s="6" t="n"/>
      <c r="AF866" s="3">
        <f>IF($AE866="","",IF((IFERROR(INDEX('ASIGNACIONES'!$F$4:$F$339,MATCH($O866&amp;"|"&amp;$R866&amp;"|"&amp;$AE866,'ASIGNACIONES'!$J$4:$J$339,0)),""))=0,"",IFERROR(INDEX('ASIGNACIONES'!$F$4:$F$339,MATCH($O866&amp;"|"&amp;$R866&amp;"|"&amp;$AE866,'ASIGNACIONES'!$J$4:$J$339,0)),"")))</f>
        <v/>
      </c>
      <c r="AG866" s="13">
        <f>IF($AE866="","",SUMIFS('ORDENES'!$M$4:$M$1203,'ORDENES'!$AE$4:$AE$1203,$AE866,'ORDENES'!$O$4:$O$1203,$O866,'ORDENES'!$R$4:$R$1203,$R866))</f>
        <v/>
      </c>
      <c r="AH866" s="13">
        <f>IF($AG866="","",p_factor_productividad*IFERROR(INDEX('ASIGNACIONES'!$I$4:$I$339,MATCH($O866&amp;"|"&amp;$R866&amp;"|"&amp;$AE866,'ASIGNACIONES'!$J$4:$J$339,0)),0)-$AG866)</f>
        <v/>
      </c>
      <c r="AI866" s="10">
        <f>IF($A866="","",IFERROR(INDEX('2_IMPORTAR_EJECUCION'!$F$9:$F$1208,MATCH($AQ866,'2_IMPORTAR_EJECUCION'!$J$9:$J$1208,0)),0))</f>
        <v/>
      </c>
      <c r="AJ866" s="10">
        <f>IF($A866="","",MAX(0,IFERROR(INDEX('2_IMPORTAR_EJECUCION'!$H$9:$H$1208,MATCH($AQ866,'2_IMPORTAR_EJECUCION'!$J$9:$J$1208,0)),0)-$AI866))</f>
        <v/>
      </c>
      <c r="AK866" s="10">
        <f>IF($A866="","",$AI866+$AJ866)</f>
        <v/>
      </c>
      <c r="AL866" s="6" t="n"/>
      <c r="AM866" s="6" t="n"/>
      <c r="AN866" s="6" t="n"/>
      <c r="AO866" s="3">
        <f>IF($AN866="","",HYPERLINK(p_ruta_base_checklists&amp;$AN866,"abrir"))</f>
        <v/>
      </c>
      <c r="AP866" s="6" t="n"/>
      <c r="AQ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IF($A867="","",IFERROR(INDEX('AJUSTES'!$B$4:$B$303,MATCH($AQ867,'AJUSTES'!$A$4:$A$303,0)),IF($K867="","",$K867)))</f>
        <v/>
      </c>
      <c r="N867" s="3">
        <f>IF($A867="","",IFERROR(INDEX('CAT_ESTADOS_ERP'!$B$4:$B$7,MATCH(IFERROR(INDEX('2_IMPORTAR_EJECUCION'!$C$9:$C$1208,MATCH($AQ867,'2_IMPORTAR_EJECUCION'!$J$9:$J$1208,0)),""),'CAT_ESTADOS_ERP'!$A$4:$A$7,0)),"Pendiente"))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J867="","",IFERROR(INDEX('CALENDARIO'!$C$15:$C$214,MATCH(TEXT($J867,"yyyy-mm-dd")&amp;"|"&amp;$V867&amp;"|"&amp;$W867,'CALENDARIO'!$G$15:$G$214,0)),IFERROR(INDEX('CALENDARIO'!$C$15:$C$214,MATCH(TEXT($J867,"yyyy-mm-dd")&amp;"|"&amp;$V867&amp;"|",'CALENDARIO'!$G$15:$G$214,0)),IFERROR(INDEX('CALENDARIO'!$C$15:$C$214,MATCH(TEXT($J867,"yyyy-mm-dd")&amp;"||",'CALENDARIO'!$G$15:$G$214,0)),INDEX(patronHabil,WEEKDAY($J867,2))))))</f>
        <v/>
      </c>
      <c r="T867" s="3">
        <f>IF($I867="","",IFERROR(INDEX('CAT_TIPOS_OT'!$C$4:$C$7,MATCH($I867,'CAT_TIPOS_OT'!$A$4:$A$7,0)),"sin_clasificar"))</f>
        <v/>
      </c>
      <c r="U867" s="3">
        <f>IF($F867="","",IFERROR(INDEX('CAT_CENTROS_COSTO'!$F$4:$F$13,MATCH($F867,'CAT_CENTROS_COSTO'!$A$4:$A$13,0)),"(sin catálogo)"))</f>
        <v/>
      </c>
      <c r="V867" s="3">
        <f>IF($F867="","",IFERROR(INDEX('CAT_CENTROS_COSTO'!$D$4:$D$13,MATCH($F867,'CAT_CENTROS_COSTO'!$A$4:$A$13,0)),"(sin catálogo)"))</f>
        <v/>
      </c>
      <c r="W867" s="3">
        <f>IF($F867="","",IF((IFERROR(INDEX('CAT_CENTROS_COSTO'!$E$4:$E$13,MATCH($F867,'CAT_CENTROS_COSTO'!$A$4:$A$13,0)),""))&lt;&gt;"",IFERROR(INDEX('CAT_CENTROS_COSTO'!$E$4:$E$13,MATCH($F867,'CAT_CENTROS_COSTO'!$A$4:$A$13,0)),""),$V867))</f>
        <v/>
      </c>
      <c r="X867" s="3">
        <f>IF($F867="","",IFERROR(INDEX('CAT_CENTROS_COSTO'!$G$4:$G$13,MATCH($F867,'CAT_CENTROS_COSTO'!$A$4:$A$13,0)),"(sin catálogo)"))</f>
        <v/>
      </c>
      <c r="Y867" s="3">
        <f>IF($G867="","",IFERROR(INDEX('CAT_PUESTOS'!$B$4:$B$8,MATCH($G867,'CAT_PUESTOS'!$A$4:$A$8,0)),"(sin catálogo)"))</f>
        <v/>
      </c>
      <c r="Z867" s="3">
        <f>IF($H867="","",IFERROR(INDEX('CAT_ACTIVIDADES'!$B$4:$B$8,MATCH($H867,'CAT_ACTIVIDADES'!$A$4:$A$8,0)),"(sin catálogo)"))</f>
        <v/>
      </c>
      <c r="AA867" s="12">
        <f>IF($J867="","",TODAY()-$J867)</f>
        <v/>
      </c>
      <c r="AB867" s="12">
        <f>IF($J867="","",IF($J867&lt;=TODAY(),COUNTIFS(cal_fechas,"&gt;="&amp;$J867,cal_fechas,"&lt;"&amp;TODAY(),cal_habil,"sí"),-COUNTIFS(cal_fechas,"&gt;="&amp;TODAY(),cal_fechas,"&lt;"&amp;$J867,cal_habil,"sí")))</f>
        <v/>
      </c>
      <c r="AC867" s="3">
        <f>IF($AB867="","",IF($AB867&lt;0,"FUTURO",IF($AB867&gt;p_dias_backlog_max,"BACKLOG","MES CORRIENTE")))</f>
        <v/>
      </c>
      <c r="AD867" s="3">
        <f>IF($AB867="",FALSE,AND($AB867&gt;p_dias_backlog_min,$AB867&lt;=p_dias_backlog_max))</f>
        <v/>
      </c>
      <c r="AE867" s="6" t="n"/>
      <c r="AF867" s="3">
        <f>IF($AE867="","",IF((IFERROR(INDEX('ASIGNACIONES'!$F$4:$F$339,MATCH($O867&amp;"|"&amp;$R867&amp;"|"&amp;$AE867,'ASIGNACIONES'!$J$4:$J$339,0)),""))=0,"",IFERROR(INDEX('ASIGNACIONES'!$F$4:$F$339,MATCH($O867&amp;"|"&amp;$R867&amp;"|"&amp;$AE867,'ASIGNACIONES'!$J$4:$J$339,0)),"")))</f>
        <v/>
      </c>
      <c r="AG867" s="13">
        <f>IF($AE867="","",SUMIFS('ORDENES'!$M$4:$M$1203,'ORDENES'!$AE$4:$AE$1203,$AE867,'ORDENES'!$O$4:$O$1203,$O867,'ORDENES'!$R$4:$R$1203,$R867))</f>
        <v/>
      </c>
      <c r="AH867" s="13">
        <f>IF($AG867="","",p_factor_productividad*IFERROR(INDEX('ASIGNACIONES'!$I$4:$I$339,MATCH($O867&amp;"|"&amp;$R867&amp;"|"&amp;$AE867,'ASIGNACIONES'!$J$4:$J$339,0)),0)-$AG867)</f>
        <v/>
      </c>
      <c r="AI867" s="10">
        <f>IF($A867="","",IFERROR(INDEX('2_IMPORTAR_EJECUCION'!$F$9:$F$1208,MATCH($AQ867,'2_IMPORTAR_EJECUCION'!$J$9:$J$1208,0)),0))</f>
        <v/>
      </c>
      <c r="AJ867" s="10">
        <f>IF($A867="","",MAX(0,IFERROR(INDEX('2_IMPORTAR_EJECUCION'!$H$9:$H$1208,MATCH($AQ867,'2_IMPORTAR_EJECUCION'!$J$9:$J$1208,0)),0)-$AI867))</f>
        <v/>
      </c>
      <c r="AK867" s="10">
        <f>IF($A867="","",$AI867+$AJ867)</f>
        <v/>
      </c>
      <c r="AL867" s="6" t="n"/>
      <c r="AM867" s="6" t="n"/>
      <c r="AN867" s="6" t="n"/>
      <c r="AO867" s="3">
        <f>IF($AN867="","",HYPERLINK(p_ruta_base_checklists&amp;$AN867,"abrir"))</f>
        <v/>
      </c>
      <c r="AP867" s="6" t="n"/>
      <c r="AQ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IF($A868="","",IFERROR(INDEX('AJUSTES'!$B$4:$B$303,MATCH($AQ868,'AJUSTES'!$A$4:$A$303,0)),IF($K868="","",$K868)))</f>
        <v/>
      </c>
      <c r="N868" s="3">
        <f>IF($A868="","",IFERROR(INDEX('CAT_ESTADOS_ERP'!$B$4:$B$7,MATCH(IFERROR(INDEX('2_IMPORTAR_EJECUCION'!$C$9:$C$1208,MATCH($AQ868,'2_IMPORTAR_EJECUCION'!$J$9:$J$1208,0)),""),'CAT_ESTADOS_ERP'!$A$4:$A$7,0)),"Pendiente"))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J868="","",IFERROR(INDEX('CALENDARIO'!$C$15:$C$214,MATCH(TEXT($J868,"yyyy-mm-dd")&amp;"|"&amp;$V868&amp;"|"&amp;$W868,'CALENDARIO'!$G$15:$G$214,0)),IFERROR(INDEX('CALENDARIO'!$C$15:$C$214,MATCH(TEXT($J868,"yyyy-mm-dd")&amp;"|"&amp;$V868&amp;"|",'CALENDARIO'!$G$15:$G$214,0)),IFERROR(INDEX('CALENDARIO'!$C$15:$C$214,MATCH(TEXT($J868,"yyyy-mm-dd")&amp;"||",'CALENDARIO'!$G$15:$G$214,0)),INDEX(patronHabil,WEEKDAY($J868,2))))))</f>
        <v/>
      </c>
      <c r="T868" s="3">
        <f>IF($I868="","",IFERROR(INDEX('CAT_TIPOS_OT'!$C$4:$C$7,MATCH($I868,'CAT_TIPOS_OT'!$A$4:$A$7,0)),"sin_clasificar"))</f>
        <v/>
      </c>
      <c r="U868" s="3">
        <f>IF($F868="","",IFERROR(INDEX('CAT_CENTROS_COSTO'!$F$4:$F$13,MATCH($F868,'CAT_CENTROS_COSTO'!$A$4:$A$13,0)),"(sin catálogo)"))</f>
        <v/>
      </c>
      <c r="V868" s="3">
        <f>IF($F868="","",IFERROR(INDEX('CAT_CENTROS_COSTO'!$D$4:$D$13,MATCH($F868,'CAT_CENTROS_COSTO'!$A$4:$A$13,0)),"(sin catálogo)"))</f>
        <v/>
      </c>
      <c r="W868" s="3">
        <f>IF($F868="","",IF((IFERROR(INDEX('CAT_CENTROS_COSTO'!$E$4:$E$13,MATCH($F868,'CAT_CENTROS_COSTO'!$A$4:$A$13,0)),""))&lt;&gt;"",IFERROR(INDEX('CAT_CENTROS_COSTO'!$E$4:$E$13,MATCH($F868,'CAT_CENTROS_COSTO'!$A$4:$A$13,0)),""),$V868))</f>
        <v/>
      </c>
      <c r="X868" s="3">
        <f>IF($F868="","",IFERROR(INDEX('CAT_CENTROS_COSTO'!$G$4:$G$13,MATCH($F868,'CAT_CENTROS_COSTO'!$A$4:$A$13,0)),"(sin catálogo)"))</f>
        <v/>
      </c>
      <c r="Y868" s="3">
        <f>IF($G868="","",IFERROR(INDEX('CAT_PUESTOS'!$B$4:$B$8,MATCH($G868,'CAT_PUESTOS'!$A$4:$A$8,0)),"(sin catálogo)"))</f>
        <v/>
      </c>
      <c r="Z868" s="3">
        <f>IF($H868="","",IFERROR(INDEX('CAT_ACTIVIDADES'!$B$4:$B$8,MATCH($H868,'CAT_ACTIVIDADES'!$A$4:$A$8,0)),"(sin catálogo)"))</f>
        <v/>
      </c>
      <c r="AA868" s="12">
        <f>IF($J868="","",TODAY()-$J868)</f>
        <v/>
      </c>
      <c r="AB868" s="12">
        <f>IF($J868="","",IF($J868&lt;=TODAY(),COUNTIFS(cal_fechas,"&gt;="&amp;$J868,cal_fechas,"&lt;"&amp;TODAY(),cal_habil,"sí"),-COUNTIFS(cal_fechas,"&gt;="&amp;TODAY(),cal_fechas,"&lt;"&amp;$J868,cal_habil,"sí")))</f>
        <v/>
      </c>
      <c r="AC868" s="3">
        <f>IF($AB868="","",IF($AB868&lt;0,"FUTURO",IF($AB868&gt;p_dias_backlog_max,"BACKLOG","MES CORRIENTE")))</f>
        <v/>
      </c>
      <c r="AD868" s="3">
        <f>IF($AB868="",FALSE,AND($AB868&gt;p_dias_backlog_min,$AB868&lt;=p_dias_backlog_max))</f>
        <v/>
      </c>
      <c r="AE868" s="6" t="n"/>
      <c r="AF868" s="3">
        <f>IF($AE868="","",IF((IFERROR(INDEX('ASIGNACIONES'!$F$4:$F$339,MATCH($O868&amp;"|"&amp;$R868&amp;"|"&amp;$AE868,'ASIGNACIONES'!$J$4:$J$339,0)),""))=0,"",IFERROR(INDEX('ASIGNACIONES'!$F$4:$F$339,MATCH($O868&amp;"|"&amp;$R868&amp;"|"&amp;$AE868,'ASIGNACIONES'!$J$4:$J$339,0)),"")))</f>
        <v/>
      </c>
      <c r="AG868" s="13">
        <f>IF($AE868="","",SUMIFS('ORDENES'!$M$4:$M$1203,'ORDENES'!$AE$4:$AE$1203,$AE868,'ORDENES'!$O$4:$O$1203,$O868,'ORDENES'!$R$4:$R$1203,$R868))</f>
        <v/>
      </c>
      <c r="AH868" s="13">
        <f>IF($AG868="","",p_factor_productividad*IFERROR(INDEX('ASIGNACIONES'!$I$4:$I$339,MATCH($O868&amp;"|"&amp;$R868&amp;"|"&amp;$AE868,'ASIGNACIONES'!$J$4:$J$339,0)),0)-$AG868)</f>
        <v/>
      </c>
      <c r="AI868" s="10">
        <f>IF($A868="","",IFERROR(INDEX('2_IMPORTAR_EJECUCION'!$F$9:$F$1208,MATCH($AQ868,'2_IMPORTAR_EJECUCION'!$J$9:$J$1208,0)),0))</f>
        <v/>
      </c>
      <c r="AJ868" s="10">
        <f>IF($A868="","",MAX(0,IFERROR(INDEX('2_IMPORTAR_EJECUCION'!$H$9:$H$1208,MATCH($AQ868,'2_IMPORTAR_EJECUCION'!$J$9:$J$1208,0)),0)-$AI868))</f>
        <v/>
      </c>
      <c r="AK868" s="10">
        <f>IF($A868="","",$AI868+$AJ868)</f>
        <v/>
      </c>
      <c r="AL868" s="6" t="n"/>
      <c r="AM868" s="6" t="n"/>
      <c r="AN868" s="6" t="n"/>
      <c r="AO868" s="3">
        <f>IF($AN868="","",HYPERLINK(p_ruta_base_checklists&amp;$AN868,"abrir"))</f>
        <v/>
      </c>
      <c r="AP868" s="6" t="n"/>
      <c r="AQ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IF($A869="","",IFERROR(INDEX('AJUSTES'!$B$4:$B$303,MATCH($AQ869,'AJUSTES'!$A$4:$A$303,0)),IF($K869="","",$K869)))</f>
        <v/>
      </c>
      <c r="N869" s="3">
        <f>IF($A869="","",IFERROR(INDEX('CAT_ESTADOS_ERP'!$B$4:$B$7,MATCH(IFERROR(INDEX('2_IMPORTAR_EJECUCION'!$C$9:$C$1208,MATCH($AQ869,'2_IMPORTAR_EJECUCION'!$J$9:$J$1208,0)),""),'CAT_ESTADOS_ERP'!$A$4:$A$7,0)),"Pendiente"))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J869="","",IFERROR(INDEX('CALENDARIO'!$C$15:$C$214,MATCH(TEXT($J869,"yyyy-mm-dd")&amp;"|"&amp;$V869&amp;"|"&amp;$W869,'CALENDARIO'!$G$15:$G$214,0)),IFERROR(INDEX('CALENDARIO'!$C$15:$C$214,MATCH(TEXT($J869,"yyyy-mm-dd")&amp;"|"&amp;$V869&amp;"|",'CALENDARIO'!$G$15:$G$214,0)),IFERROR(INDEX('CALENDARIO'!$C$15:$C$214,MATCH(TEXT($J869,"yyyy-mm-dd")&amp;"||",'CALENDARIO'!$G$15:$G$214,0)),INDEX(patronHabil,WEEKDAY($J869,2))))))</f>
        <v/>
      </c>
      <c r="T869" s="3">
        <f>IF($I869="","",IFERROR(INDEX('CAT_TIPOS_OT'!$C$4:$C$7,MATCH($I869,'CAT_TIPOS_OT'!$A$4:$A$7,0)),"sin_clasificar"))</f>
        <v/>
      </c>
      <c r="U869" s="3">
        <f>IF($F869="","",IFERROR(INDEX('CAT_CENTROS_COSTO'!$F$4:$F$13,MATCH($F869,'CAT_CENTROS_COSTO'!$A$4:$A$13,0)),"(sin catálogo)"))</f>
        <v/>
      </c>
      <c r="V869" s="3">
        <f>IF($F869="","",IFERROR(INDEX('CAT_CENTROS_COSTO'!$D$4:$D$13,MATCH($F869,'CAT_CENTROS_COSTO'!$A$4:$A$13,0)),"(sin catálogo)"))</f>
        <v/>
      </c>
      <c r="W869" s="3">
        <f>IF($F869="","",IF((IFERROR(INDEX('CAT_CENTROS_COSTO'!$E$4:$E$13,MATCH($F869,'CAT_CENTROS_COSTO'!$A$4:$A$13,0)),""))&lt;&gt;"",IFERROR(INDEX('CAT_CENTROS_COSTO'!$E$4:$E$13,MATCH($F869,'CAT_CENTROS_COSTO'!$A$4:$A$13,0)),""),$V869))</f>
        <v/>
      </c>
      <c r="X869" s="3">
        <f>IF($F869="","",IFERROR(INDEX('CAT_CENTROS_COSTO'!$G$4:$G$13,MATCH($F869,'CAT_CENTROS_COSTO'!$A$4:$A$13,0)),"(sin catálogo)"))</f>
        <v/>
      </c>
      <c r="Y869" s="3">
        <f>IF($G869="","",IFERROR(INDEX('CAT_PUESTOS'!$B$4:$B$8,MATCH($G869,'CAT_PUESTOS'!$A$4:$A$8,0)),"(sin catálogo)"))</f>
        <v/>
      </c>
      <c r="Z869" s="3">
        <f>IF($H869="","",IFERROR(INDEX('CAT_ACTIVIDADES'!$B$4:$B$8,MATCH($H869,'CAT_ACTIVIDADES'!$A$4:$A$8,0)),"(sin catálogo)"))</f>
        <v/>
      </c>
      <c r="AA869" s="12">
        <f>IF($J869="","",TODAY()-$J869)</f>
        <v/>
      </c>
      <c r="AB869" s="12">
        <f>IF($J869="","",IF($J869&lt;=TODAY(),COUNTIFS(cal_fechas,"&gt;="&amp;$J869,cal_fechas,"&lt;"&amp;TODAY(),cal_habil,"sí"),-COUNTIFS(cal_fechas,"&gt;="&amp;TODAY(),cal_fechas,"&lt;"&amp;$J869,cal_habil,"sí")))</f>
        <v/>
      </c>
      <c r="AC869" s="3">
        <f>IF($AB869="","",IF($AB869&lt;0,"FUTURO",IF($AB869&gt;p_dias_backlog_max,"BACKLOG","MES CORRIENTE")))</f>
        <v/>
      </c>
      <c r="AD869" s="3">
        <f>IF($AB869="",FALSE,AND($AB869&gt;p_dias_backlog_min,$AB869&lt;=p_dias_backlog_max))</f>
        <v/>
      </c>
      <c r="AE869" s="6" t="n"/>
      <c r="AF869" s="3">
        <f>IF($AE869="","",IF((IFERROR(INDEX('ASIGNACIONES'!$F$4:$F$339,MATCH($O869&amp;"|"&amp;$R869&amp;"|"&amp;$AE869,'ASIGNACIONES'!$J$4:$J$339,0)),""))=0,"",IFERROR(INDEX('ASIGNACIONES'!$F$4:$F$339,MATCH($O869&amp;"|"&amp;$R869&amp;"|"&amp;$AE869,'ASIGNACIONES'!$J$4:$J$339,0)),"")))</f>
        <v/>
      </c>
      <c r="AG869" s="13">
        <f>IF($AE869="","",SUMIFS('ORDENES'!$M$4:$M$1203,'ORDENES'!$AE$4:$AE$1203,$AE869,'ORDENES'!$O$4:$O$1203,$O869,'ORDENES'!$R$4:$R$1203,$R869))</f>
        <v/>
      </c>
      <c r="AH869" s="13">
        <f>IF($AG869="","",p_factor_productividad*IFERROR(INDEX('ASIGNACIONES'!$I$4:$I$339,MATCH($O869&amp;"|"&amp;$R869&amp;"|"&amp;$AE869,'ASIGNACIONES'!$J$4:$J$339,0)),0)-$AG869)</f>
        <v/>
      </c>
      <c r="AI869" s="10">
        <f>IF($A869="","",IFERROR(INDEX('2_IMPORTAR_EJECUCION'!$F$9:$F$1208,MATCH($AQ869,'2_IMPORTAR_EJECUCION'!$J$9:$J$1208,0)),0))</f>
        <v/>
      </c>
      <c r="AJ869" s="10">
        <f>IF($A869="","",MAX(0,IFERROR(INDEX('2_IMPORTAR_EJECUCION'!$H$9:$H$1208,MATCH($AQ869,'2_IMPORTAR_EJECUCION'!$J$9:$J$1208,0)),0)-$AI869))</f>
        <v/>
      </c>
      <c r="AK869" s="10">
        <f>IF($A869="","",$AI869+$AJ869)</f>
        <v/>
      </c>
      <c r="AL869" s="6" t="n"/>
      <c r="AM869" s="6" t="n"/>
      <c r="AN869" s="6" t="n"/>
      <c r="AO869" s="3">
        <f>IF($AN869="","",HYPERLINK(p_ruta_base_checklists&amp;$AN869,"abrir"))</f>
        <v/>
      </c>
      <c r="AP869" s="6" t="n"/>
      <c r="AQ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IF($A870="","",IFERROR(INDEX('AJUSTES'!$B$4:$B$303,MATCH($AQ870,'AJUSTES'!$A$4:$A$303,0)),IF($K870="","",$K870)))</f>
        <v/>
      </c>
      <c r="N870" s="3">
        <f>IF($A870="","",IFERROR(INDEX('CAT_ESTADOS_ERP'!$B$4:$B$7,MATCH(IFERROR(INDEX('2_IMPORTAR_EJECUCION'!$C$9:$C$1208,MATCH($AQ870,'2_IMPORTAR_EJECUCION'!$J$9:$J$1208,0)),""),'CAT_ESTADOS_ERP'!$A$4:$A$7,0)),"Pendiente"))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J870="","",IFERROR(INDEX('CALENDARIO'!$C$15:$C$214,MATCH(TEXT($J870,"yyyy-mm-dd")&amp;"|"&amp;$V870&amp;"|"&amp;$W870,'CALENDARIO'!$G$15:$G$214,0)),IFERROR(INDEX('CALENDARIO'!$C$15:$C$214,MATCH(TEXT($J870,"yyyy-mm-dd")&amp;"|"&amp;$V870&amp;"|",'CALENDARIO'!$G$15:$G$214,0)),IFERROR(INDEX('CALENDARIO'!$C$15:$C$214,MATCH(TEXT($J870,"yyyy-mm-dd")&amp;"||",'CALENDARIO'!$G$15:$G$214,0)),INDEX(patronHabil,WEEKDAY($J870,2))))))</f>
        <v/>
      </c>
      <c r="T870" s="3">
        <f>IF($I870="","",IFERROR(INDEX('CAT_TIPOS_OT'!$C$4:$C$7,MATCH($I870,'CAT_TIPOS_OT'!$A$4:$A$7,0)),"sin_clasificar"))</f>
        <v/>
      </c>
      <c r="U870" s="3">
        <f>IF($F870="","",IFERROR(INDEX('CAT_CENTROS_COSTO'!$F$4:$F$13,MATCH($F870,'CAT_CENTROS_COSTO'!$A$4:$A$13,0)),"(sin catálogo)"))</f>
        <v/>
      </c>
      <c r="V870" s="3">
        <f>IF($F870="","",IFERROR(INDEX('CAT_CENTROS_COSTO'!$D$4:$D$13,MATCH($F870,'CAT_CENTROS_COSTO'!$A$4:$A$13,0)),"(sin catálogo)"))</f>
        <v/>
      </c>
      <c r="W870" s="3">
        <f>IF($F870="","",IF((IFERROR(INDEX('CAT_CENTROS_COSTO'!$E$4:$E$13,MATCH($F870,'CAT_CENTROS_COSTO'!$A$4:$A$13,0)),""))&lt;&gt;"",IFERROR(INDEX('CAT_CENTROS_COSTO'!$E$4:$E$13,MATCH($F870,'CAT_CENTROS_COSTO'!$A$4:$A$13,0)),""),$V870))</f>
        <v/>
      </c>
      <c r="X870" s="3">
        <f>IF($F870="","",IFERROR(INDEX('CAT_CENTROS_COSTO'!$G$4:$G$13,MATCH($F870,'CAT_CENTROS_COSTO'!$A$4:$A$13,0)),"(sin catálogo)"))</f>
        <v/>
      </c>
      <c r="Y870" s="3">
        <f>IF($G870="","",IFERROR(INDEX('CAT_PUESTOS'!$B$4:$B$8,MATCH($G870,'CAT_PUESTOS'!$A$4:$A$8,0)),"(sin catálogo)"))</f>
        <v/>
      </c>
      <c r="Z870" s="3">
        <f>IF($H870="","",IFERROR(INDEX('CAT_ACTIVIDADES'!$B$4:$B$8,MATCH($H870,'CAT_ACTIVIDADES'!$A$4:$A$8,0)),"(sin catálogo)"))</f>
        <v/>
      </c>
      <c r="AA870" s="12">
        <f>IF($J870="","",TODAY()-$J870)</f>
        <v/>
      </c>
      <c r="AB870" s="12">
        <f>IF($J870="","",IF($J870&lt;=TODAY(),COUNTIFS(cal_fechas,"&gt;="&amp;$J870,cal_fechas,"&lt;"&amp;TODAY(),cal_habil,"sí"),-COUNTIFS(cal_fechas,"&gt;="&amp;TODAY(),cal_fechas,"&lt;"&amp;$J870,cal_habil,"sí")))</f>
        <v/>
      </c>
      <c r="AC870" s="3">
        <f>IF($AB870="","",IF($AB870&lt;0,"FUTURO",IF($AB870&gt;p_dias_backlog_max,"BACKLOG","MES CORRIENTE")))</f>
        <v/>
      </c>
      <c r="AD870" s="3">
        <f>IF($AB870="",FALSE,AND($AB870&gt;p_dias_backlog_min,$AB870&lt;=p_dias_backlog_max))</f>
        <v/>
      </c>
      <c r="AE870" s="6" t="n"/>
      <c r="AF870" s="3">
        <f>IF($AE870="","",IF((IFERROR(INDEX('ASIGNACIONES'!$F$4:$F$339,MATCH($O870&amp;"|"&amp;$R870&amp;"|"&amp;$AE870,'ASIGNACIONES'!$J$4:$J$339,0)),""))=0,"",IFERROR(INDEX('ASIGNACIONES'!$F$4:$F$339,MATCH($O870&amp;"|"&amp;$R870&amp;"|"&amp;$AE870,'ASIGNACIONES'!$J$4:$J$339,0)),"")))</f>
        <v/>
      </c>
      <c r="AG870" s="13">
        <f>IF($AE870="","",SUMIFS('ORDENES'!$M$4:$M$1203,'ORDENES'!$AE$4:$AE$1203,$AE870,'ORDENES'!$O$4:$O$1203,$O870,'ORDENES'!$R$4:$R$1203,$R870))</f>
        <v/>
      </c>
      <c r="AH870" s="13">
        <f>IF($AG870="","",p_factor_productividad*IFERROR(INDEX('ASIGNACIONES'!$I$4:$I$339,MATCH($O870&amp;"|"&amp;$R870&amp;"|"&amp;$AE870,'ASIGNACIONES'!$J$4:$J$339,0)),0)-$AG870)</f>
        <v/>
      </c>
      <c r="AI870" s="10">
        <f>IF($A870="","",IFERROR(INDEX('2_IMPORTAR_EJECUCION'!$F$9:$F$1208,MATCH($AQ870,'2_IMPORTAR_EJECUCION'!$J$9:$J$1208,0)),0))</f>
        <v/>
      </c>
      <c r="AJ870" s="10">
        <f>IF($A870="","",MAX(0,IFERROR(INDEX('2_IMPORTAR_EJECUCION'!$H$9:$H$1208,MATCH($AQ870,'2_IMPORTAR_EJECUCION'!$J$9:$J$1208,0)),0)-$AI870))</f>
        <v/>
      </c>
      <c r="AK870" s="10">
        <f>IF($A870="","",$AI870+$AJ870)</f>
        <v/>
      </c>
      <c r="AL870" s="6" t="n"/>
      <c r="AM870" s="6" t="n"/>
      <c r="AN870" s="6" t="n"/>
      <c r="AO870" s="3">
        <f>IF($AN870="","",HYPERLINK(p_ruta_base_checklists&amp;$AN870,"abrir"))</f>
        <v/>
      </c>
      <c r="AP870" s="6" t="n"/>
      <c r="AQ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IF($A871="","",IFERROR(INDEX('AJUSTES'!$B$4:$B$303,MATCH($AQ871,'AJUSTES'!$A$4:$A$303,0)),IF($K871="","",$K871)))</f>
        <v/>
      </c>
      <c r="N871" s="3">
        <f>IF($A871="","",IFERROR(INDEX('CAT_ESTADOS_ERP'!$B$4:$B$7,MATCH(IFERROR(INDEX('2_IMPORTAR_EJECUCION'!$C$9:$C$1208,MATCH($AQ871,'2_IMPORTAR_EJECUCION'!$J$9:$J$1208,0)),""),'CAT_ESTADOS_ERP'!$A$4:$A$7,0)),"Pendiente"))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J871="","",IFERROR(INDEX('CALENDARIO'!$C$15:$C$214,MATCH(TEXT($J871,"yyyy-mm-dd")&amp;"|"&amp;$V871&amp;"|"&amp;$W871,'CALENDARIO'!$G$15:$G$214,0)),IFERROR(INDEX('CALENDARIO'!$C$15:$C$214,MATCH(TEXT($J871,"yyyy-mm-dd")&amp;"|"&amp;$V871&amp;"|",'CALENDARIO'!$G$15:$G$214,0)),IFERROR(INDEX('CALENDARIO'!$C$15:$C$214,MATCH(TEXT($J871,"yyyy-mm-dd")&amp;"||",'CALENDARIO'!$G$15:$G$214,0)),INDEX(patronHabil,WEEKDAY($J871,2))))))</f>
        <v/>
      </c>
      <c r="T871" s="3">
        <f>IF($I871="","",IFERROR(INDEX('CAT_TIPOS_OT'!$C$4:$C$7,MATCH($I871,'CAT_TIPOS_OT'!$A$4:$A$7,0)),"sin_clasificar"))</f>
        <v/>
      </c>
      <c r="U871" s="3">
        <f>IF($F871="","",IFERROR(INDEX('CAT_CENTROS_COSTO'!$F$4:$F$13,MATCH($F871,'CAT_CENTROS_COSTO'!$A$4:$A$13,0)),"(sin catálogo)"))</f>
        <v/>
      </c>
      <c r="V871" s="3">
        <f>IF($F871="","",IFERROR(INDEX('CAT_CENTROS_COSTO'!$D$4:$D$13,MATCH($F871,'CAT_CENTROS_COSTO'!$A$4:$A$13,0)),"(sin catálogo)"))</f>
        <v/>
      </c>
      <c r="W871" s="3">
        <f>IF($F871="","",IF((IFERROR(INDEX('CAT_CENTROS_COSTO'!$E$4:$E$13,MATCH($F871,'CAT_CENTROS_COSTO'!$A$4:$A$13,0)),""))&lt;&gt;"",IFERROR(INDEX('CAT_CENTROS_COSTO'!$E$4:$E$13,MATCH($F871,'CAT_CENTROS_COSTO'!$A$4:$A$13,0)),""),$V871))</f>
        <v/>
      </c>
      <c r="X871" s="3">
        <f>IF($F871="","",IFERROR(INDEX('CAT_CENTROS_COSTO'!$G$4:$G$13,MATCH($F871,'CAT_CENTROS_COSTO'!$A$4:$A$13,0)),"(sin catálogo)"))</f>
        <v/>
      </c>
      <c r="Y871" s="3">
        <f>IF($G871="","",IFERROR(INDEX('CAT_PUESTOS'!$B$4:$B$8,MATCH($G871,'CAT_PUESTOS'!$A$4:$A$8,0)),"(sin catálogo)"))</f>
        <v/>
      </c>
      <c r="Z871" s="3">
        <f>IF($H871="","",IFERROR(INDEX('CAT_ACTIVIDADES'!$B$4:$B$8,MATCH($H871,'CAT_ACTIVIDADES'!$A$4:$A$8,0)),"(sin catálogo)"))</f>
        <v/>
      </c>
      <c r="AA871" s="12">
        <f>IF($J871="","",TODAY()-$J871)</f>
        <v/>
      </c>
      <c r="AB871" s="12">
        <f>IF($J871="","",IF($J871&lt;=TODAY(),COUNTIFS(cal_fechas,"&gt;="&amp;$J871,cal_fechas,"&lt;"&amp;TODAY(),cal_habil,"sí"),-COUNTIFS(cal_fechas,"&gt;="&amp;TODAY(),cal_fechas,"&lt;"&amp;$J871,cal_habil,"sí")))</f>
        <v/>
      </c>
      <c r="AC871" s="3">
        <f>IF($AB871="","",IF($AB871&lt;0,"FUTURO",IF($AB871&gt;p_dias_backlog_max,"BACKLOG","MES CORRIENTE")))</f>
        <v/>
      </c>
      <c r="AD871" s="3">
        <f>IF($AB871="",FALSE,AND($AB871&gt;p_dias_backlog_min,$AB871&lt;=p_dias_backlog_max))</f>
        <v/>
      </c>
      <c r="AE871" s="6" t="n"/>
      <c r="AF871" s="3">
        <f>IF($AE871="","",IF((IFERROR(INDEX('ASIGNACIONES'!$F$4:$F$339,MATCH($O871&amp;"|"&amp;$R871&amp;"|"&amp;$AE871,'ASIGNACIONES'!$J$4:$J$339,0)),""))=0,"",IFERROR(INDEX('ASIGNACIONES'!$F$4:$F$339,MATCH($O871&amp;"|"&amp;$R871&amp;"|"&amp;$AE871,'ASIGNACIONES'!$J$4:$J$339,0)),"")))</f>
        <v/>
      </c>
      <c r="AG871" s="13">
        <f>IF($AE871="","",SUMIFS('ORDENES'!$M$4:$M$1203,'ORDENES'!$AE$4:$AE$1203,$AE871,'ORDENES'!$O$4:$O$1203,$O871,'ORDENES'!$R$4:$R$1203,$R871))</f>
        <v/>
      </c>
      <c r="AH871" s="13">
        <f>IF($AG871="","",p_factor_productividad*IFERROR(INDEX('ASIGNACIONES'!$I$4:$I$339,MATCH($O871&amp;"|"&amp;$R871&amp;"|"&amp;$AE871,'ASIGNACIONES'!$J$4:$J$339,0)),0)-$AG871)</f>
        <v/>
      </c>
      <c r="AI871" s="10">
        <f>IF($A871="","",IFERROR(INDEX('2_IMPORTAR_EJECUCION'!$F$9:$F$1208,MATCH($AQ871,'2_IMPORTAR_EJECUCION'!$J$9:$J$1208,0)),0))</f>
        <v/>
      </c>
      <c r="AJ871" s="10">
        <f>IF($A871="","",MAX(0,IFERROR(INDEX('2_IMPORTAR_EJECUCION'!$H$9:$H$1208,MATCH($AQ871,'2_IMPORTAR_EJECUCION'!$J$9:$J$1208,0)),0)-$AI871))</f>
        <v/>
      </c>
      <c r="AK871" s="10">
        <f>IF($A871="","",$AI871+$AJ871)</f>
        <v/>
      </c>
      <c r="AL871" s="6" t="n"/>
      <c r="AM871" s="6" t="n"/>
      <c r="AN871" s="6" t="n"/>
      <c r="AO871" s="3">
        <f>IF($AN871="","",HYPERLINK(p_ruta_base_checklists&amp;$AN871,"abrir"))</f>
        <v/>
      </c>
      <c r="AP871" s="6" t="n"/>
      <c r="AQ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IF($A872="","",IFERROR(INDEX('AJUSTES'!$B$4:$B$303,MATCH($AQ872,'AJUSTES'!$A$4:$A$303,0)),IF($K872="","",$K872)))</f>
        <v/>
      </c>
      <c r="N872" s="3">
        <f>IF($A872="","",IFERROR(INDEX('CAT_ESTADOS_ERP'!$B$4:$B$7,MATCH(IFERROR(INDEX('2_IMPORTAR_EJECUCION'!$C$9:$C$1208,MATCH($AQ872,'2_IMPORTAR_EJECUCION'!$J$9:$J$1208,0)),""),'CAT_ESTADOS_ERP'!$A$4:$A$7,0)),"Pendiente"))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J872="","",IFERROR(INDEX('CALENDARIO'!$C$15:$C$214,MATCH(TEXT($J872,"yyyy-mm-dd")&amp;"|"&amp;$V872&amp;"|"&amp;$W872,'CALENDARIO'!$G$15:$G$214,0)),IFERROR(INDEX('CALENDARIO'!$C$15:$C$214,MATCH(TEXT($J872,"yyyy-mm-dd")&amp;"|"&amp;$V872&amp;"|",'CALENDARIO'!$G$15:$G$214,0)),IFERROR(INDEX('CALENDARIO'!$C$15:$C$214,MATCH(TEXT($J872,"yyyy-mm-dd")&amp;"||",'CALENDARIO'!$G$15:$G$214,0)),INDEX(patronHabil,WEEKDAY($J872,2))))))</f>
        <v/>
      </c>
      <c r="T872" s="3">
        <f>IF($I872="","",IFERROR(INDEX('CAT_TIPOS_OT'!$C$4:$C$7,MATCH($I872,'CAT_TIPOS_OT'!$A$4:$A$7,0)),"sin_clasificar"))</f>
        <v/>
      </c>
      <c r="U872" s="3">
        <f>IF($F872="","",IFERROR(INDEX('CAT_CENTROS_COSTO'!$F$4:$F$13,MATCH($F872,'CAT_CENTROS_COSTO'!$A$4:$A$13,0)),"(sin catálogo)"))</f>
        <v/>
      </c>
      <c r="V872" s="3">
        <f>IF($F872="","",IFERROR(INDEX('CAT_CENTROS_COSTO'!$D$4:$D$13,MATCH($F872,'CAT_CENTROS_COSTO'!$A$4:$A$13,0)),"(sin catálogo)"))</f>
        <v/>
      </c>
      <c r="W872" s="3">
        <f>IF($F872="","",IF((IFERROR(INDEX('CAT_CENTROS_COSTO'!$E$4:$E$13,MATCH($F872,'CAT_CENTROS_COSTO'!$A$4:$A$13,0)),""))&lt;&gt;"",IFERROR(INDEX('CAT_CENTROS_COSTO'!$E$4:$E$13,MATCH($F872,'CAT_CENTROS_COSTO'!$A$4:$A$13,0)),""),$V872))</f>
        <v/>
      </c>
      <c r="X872" s="3">
        <f>IF($F872="","",IFERROR(INDEX('CAT_CENTROS_COSTO'!$G$4:$G$13,MATCH($F872,'CAT_CENTROS_COSTO'!$A$4:$A$13,0)),"(sin catálogo)"))</f>
        <v/>
      </c>
      <c r="Y872" s="3">
        <f>IF($G872="","",IFERROR(INDEX('CAT_PUESTOS'!$B$4:$B$8,MATCH($G872,'CAT_PUESTOS'!$A$4:$A$8,0)),"(sin catálogo)"))</f>
        <v/>
      </c>
      <c r="Z872" s="3">
        <f>IF($H872="","",IFERROR(INDEX('CAT_ACTIVIDADES'!$B$4:$B$8,MATCH($H872,'CAT_ACTIVIDADES'!$A$4:$A$8,0)),"(sin catálogo)"))</f>
        <v/>
      </c>
      <c r="AA872" s="12">
        <f>IF($J872="","",TODAY()-$J872)</f>
        <v/>
      </c>
      <c r="AB872" s="12">
        <f>IF($J872="","",IF($J872&lt;=TODAY(),COUNTIFS(cal_fechas,"&gt;="&amp;$J872,cal_fechas,"&lt;"&amp;TODAY(),cal_habil,"sí"),-COUNTIFS(cal_fechas,"&gt;="&amp;TODAY(),cal_fechas,"&lt;"&amp;$J872,cal_habil,"sí")))</f>
        <v/>
      </c>
      <c r="AC872" s="3">
        <f>IF($AB872="","",IF($AB872&lt;0,"FUTURO",IF($AB872&gt;p_dias_backlog_max,"BACKLOG","MES CORRIENTE")))</f>
        <v/>
      </c>
      <c r="AD872" s="3">
        <f>IF($AB872="",FALSE,AND($AB872&gt;p_dias_backlog_min,$AB872&lt;=p_dias_backlog_max))</f>
        <v/>
      </c>
      <c r="AE872" s="6" t="n"/>
      <c r="AF872" s="3">
        <f>IF($AE872="","",IF((IFERROR(INDEX('ASIGNACIONES'!$F$4:$F$339,MATCH($O872&amp;"|"&amp;$R872&amp;"|"&amp;$AE872,'ASIGNACIONES'!$J$4:$J$339,0)),""))=0,"",IFERROR(INDEX('ASIGNACIONES'!$F$4:$F$339,MATCH($O872&amp;"|"&amp;$R872&amp;"|"&amp;$AE872,'ASIGNACIONES'!$J$4:$J$339,0)),"")))</f>
        <v/>
      </c>
      <c r="AG872" s="13">
        <f>IF($AE872="","",SUMIFS('ORDENES'!$M$4:$M$1203,'ORDENES'!$AE$4:$AE$1203,$AE872,'ORDENES'!$O$4:$O$1203,$O872,'ORDENES'!$R$4:$R$1203,$R872))</f>
        <v/>
      </c>
      <c r="AH872" s="13">
        <f>IF($AG872="","",p_factor_productividad*IFERROR(INDEX('ASIGNACIONES'!$I$4:$I$339,MATCH($O872&amp;"|"&amp;$R872&amp;"|"&amp;$AE872,'ASIGNACIONES'!$J$4:$J$339,0)),0)-$AG872)</f>
        <v/>
      </c>
      <c r="AI872" s="10">
        <f>IF($A872="","",IFERROR(INDEX('2_IMPORTAR_EJECUCION'!$F$9:$F$1208,MATCH($AQ872,'2_IMPORTAR_EJECUCION'!$J$9:$J$1208,0)),0))</f>
        <v/>
      </c>
      <c r="AJ872" s="10">
        <f>IF($A872="","",MAX(0,IFERROR(INDEX('2_IMPORTAR_EJECUCION'!$H$9:$H$1208,MATCH($AQ872,'2_IMPORTAR_EJECUCION'!$J$9:$J$1208,0)),0)-$AI872))</f>
        <v/>
      </c>
      <c r="AK872" s="10">
        <f>IF($A872="","",$AI872+$AJ872)</f>
        <v/>
      </c>
      <c r="AL872" s="6" t="n"/>
      <c r="AM872" s="6" t="n"/>
      <c r="AN872" s="6" t="n"/>
      <c r="AO872" s="3">
        <f>IF($AN872="","",HYPERLINK(p_ruta_base_checklists&amp;$AN872,"abrir"))</f>
        <v/>
      </c>
      <c r="AP872" s="6" t="n"/>
      <c r="AQ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IF($A873="","",IFERROR(INDEX('AJUSTES'!$B$4:$B$303,MATCH($AQ873,'AJUSTES'!$A$4:$A$303,0)),IF($K873="","",$K873)))</f>
        <v/>
      </c>
      <c r="N873" s="3">
        <f>IF($A873="","",IFERROR(INDEX('CAT_ESTADOS_ERP'!$B$4:$B$7,MATCH(IFERROR(INDEX('2_IMPORTAR_EJECUCION'!$C$9:$C$1208,MATCH($AQ873,'2_IMPORTAR_EJECUCION'!$J$9:$J$1208,0)),""),'CAT_ESTADOS_ERP'!$A$4:$A$7,0)),"Pendiente"))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J873="","",IFERROR(INDEX('CALENDARIO'!$C$15:$C$214,MATCH(TEXT($J873,"yyyy-mm-dd")&amp;"|"&amp;$V873&amp;"|"&amp;$W873,'CALENDARIO'!$G$15:$G$214,0)),IFERROR(INDEX('CALENDARIO'!$C$15:$C$214,MATCH(TEXT($J873,"yyyy-mm-dd")&amp;"|"&amp;$V873&amp;"|",'CALENDARIO'!$G$15:$G$214,0)),IFERROR(INDEX('CALENDARIO'!$C$15:$C$214,MATCH(TEXT($J873,"yyyy-mm-dd")&amp;"||",'CALENDARIO'!$G$15:$G$214,0)),INDEX(patronHabil,WEEKDAY($J873,2))))))</f>
        <v/>
      </c>
      <c r="T873" s="3">
        <f>IF($I873="","",IFERROR(INDEX('CAT_TIPOS_OT'!$C$4:$C$7,MATCH($I873,'CAT_TIPOS_OT'!$A$4:$A$7,0)),"sin_clasificar"))</f>
        <v/>
      </c>
      <c r="U873" s="3">
        <f>IF($F873="","",IFERROR(INDEX('CAT_CENTROS_COSTO'!$F$4:$F$13,MATCH($F873,'CAT_CENTROS_COSTO'!$A$4:$A$13,0)),"(sin catálogo)"))</f>
        <v/>
      </c>
      <c r="V873" s="3">
        <f>IF($F873="","",IFERROR(INDEX('CAT_CENTROS_COSTO'!$D$4:$D$13,MATCH($F873,'CAT_CENTROS_COSTO'!$A$4:$A$13,0)),"(sin catálogo)"))</f>
        <v/>
      </c>
      <c r="W873" s="3">
        <f>IF($F873="","",IF((IFERROR(INDEX('CAT_CENTROS_COSTO'!$E$4:$E$13,MATCH($F873,'CAT_CENTROS_COSTO'!$A$4:$A$13,0)),""))&lt;&gt;"",IFERROR(INDEX('CAT_CENTROS_COSTO'!$E$4:$E$13,MATCH($F873,'CAT_CENTROS_COSTO'!$A$4:$A$13,0)),""),$V873))</f>
        <v/>
      </c>
      <c r="X873" s="3">
        <f>IF($F873="","",IFERROR(INDEX('CAT_CENTROS_COSTO'!$G$4:$G$13,MATCH($F873,'CAT_CENTROS_COSTO'!$A$4:$A$13,0)),"(sin catálogo)"))</f>
        <v/>
      </c>
      <c r="Y873" s="3">
        <f>IF($G873="","",IFERROR(INDEX('CAT_PUESTOS'!$B$4:$B$8,MATCH($G873,'CAT_PUESTOS'!$A$4:$A$8,0)),"(sin catálogo)"))</f>
        <v/>
      </c>
      <c r="Z873" s="3">
        <f>IF($H873="","",IFERROR(INDEX('CAT_ACTIVIDADES'!$B$4:$B$8,MATCH($H873,'CAT_ACTIVIDADES'!$A$4:$A$8,0)),"(sin catálogo)"))</f>
        <v/>
      </c>
      <c r="AA873" s="12">
        <f>IF($J873="","",TODAY()-$J873)</f>
        <v/>
      </c>
      <c r="AB873" s="12">
        <f>IF($J873="","",IF($J873&lt;=TODAY(),COUNTIFS(cal_fechas,"&gt;="&amp;$J873,cal_fechas,"&lt;"&amp;TODAY(),cal_habil,"sí"),-COUNTIFS(cal_fechas,"&gt;="&amp;TODAY(),cal_fechas,"&lt;"&amp;$J873,cal_habil,"sí")))</f>
        <v/>
      </c>
      <c r="AC873" s="3">
        <f>IF($AB873="","",IF($AB873&lt;0,"FUTURO",IF($AB873&gt;p_dias_backlog_max,"BACKLOG","MES CORRIENTE")))</f>
        <v/>
      </c>
      <c r="AD873" s="3">
        <f>IF($AB873="",FALSE,AND($AB873&gt;p_dias_backlog_min,$AB873&lt;=p_dias_backlog_max))</f>
        <v/>
      </c>
      <c r="AE873" s="6" t="n"/>
      <c r="AF873" s="3">
        <f>IF($AE873="","",IF((IFERROR(INDEX('ASIGNACIONES'!$F$4:$F$339,MATCH($O873&amp;"|"&amp;$R873&amp;"|"&amp;$AE873,'ASIGNACIONES'!$J$4:$J$339,0)),""))=0,"",IFERROR(INDEX('ASIGNACIONES'!$F$4:$F$339,MATCH($O873&amp;"|"&amp;$R873&amp;"|"&amp;$AE873,'ASIGNACIONES'!$J$4:$J$339,0)),"")))</f>
        <v/>
      </c>
      <c r="AG873" s="13">
        <f>IF($AE873="","",SUMIFS('ORDENES'!$M$4:$M$1203,'ORDENES'!$AE$4:$AE$1203,$AE873,'ORDENES'!$O$4:$O$1203,$O873,'ORDENES'!$R$4:$R$1203,$R873))</f>
        <v/>
      </c>
      <c r="AH873" s="13">
        <f>IF($AG873="","",p_factor_productividad*IFERROR(INDEX('ASIGNACIONES'!$I$4:$I$339,MATCH($O873&amp;"|"&amp;$R873&amp;"|"&amp;$AE873,'ASIGNACIONES'!$J$4:$J$339,0)),0)-$AG873)</f>
        <v/>
      </c>
      <c r="AI873" s="10">
        <f>IF($A873="","",IFERROR(INDEX('2_IMPORTAR_EJECUCION'!$F$9:$F$1208,MATCH($AQ873,'2_IMPORTAR_EJECUCION'!$J$9:$J$1208,0)),0))</f>
        <v/>
      </c>
      <c r="AJ873" s="10">
        <f>IF($A873="","",MAX(0,IFERROR(INDEX('2_IMPORTAR_EJECUCION'!$H$9:$H$1208,MATCH($AQ873,'2_IMPORTAR_EJECUCION'!$J$9:$J$1208,0)),0)-$AI873))</f>
        <v/>
      </c>
      <c r="AK873" s="10">
        <f>IF($A873="","",$AI873+$AJ873)</f>
        <v/>
      </c>
      <c r="AL873" s="6" t="n"/>
      <c r="AM873" s="6" t="n"/>
      <c r="AN873" s="6" t="n"/>
      <c r="AO873" s="3">
        <f>IF($AN873="","",HYPERLINK(p_ruta_base_checklists&amp;$AN873,"abrir"))</f>
        <v/>
      </c>
      <c r="AP873" s="6" t="n"/>
      <c r="AQ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IF($A874="","",IFERROR(INDEX('AJUSTES'!$B$4:$B$303,MATCH($AQ874,'AJUSTES'!$A$4:$A$303,0)),IF($K874="","",$K874)))</f>
        <v/>
      </c>
      <c r="N874" s="3">
        <f>IF($A874="","",IFERROR(INDEX('CAT_ESTADOS_ERP'!$B$4:$B$7,MATCH(IFERROR(INDEX('2_IMPORTAR_EJECUCION'!$C$9:$C$1208,MATCH($AQ874,'2_IMPORTAR_EJECUCION'!$J$9:$J$1208,0)),""),'CAT_ESTADOS_ERP'!$A$4:$A$7,0)),"Pendiente"))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J874="","",IFERROR(INDEX('CALENDARIO'!$C$15:$C$214,MATCH(TEXT($J874,"yyyy-mm-dd")&amp;"|"&amp;$V874&amp;"|"&amp;$W874,'CALENDARIO'!$G$15:$G$214,0)),IFERROR(INDEX('CALENDARIO'!$C$15:$C$214,MATCH(TEXT($J874,"yyyy-mm-dd")&amp;"|"&amp;$V874&amp;"|",'CALENDARIO'!$G$15:$G$214,0)),IFERROR(INDEX('CALENDARIO'!$C$15:$C$214,MATCH(TEXT($J874,"yyyy-mm-dd")&amp;"||",'CALENDARIO'!$G$15:$G$214,0)),INDEX(patronHabil,WEEKDAY($J874,2))))))</f>
        <v/>
      </c>
      <c r="T874" s="3">
        <f>IF($I874="","",IFERROR(INDEX('CAT_TIPOS_OT'!$C$4:$C$7,MATCH($I874,'CAT_TIPOS_OT'!$A$4:$A$7,0)),"sin_clasificar"))</f>
        <v/>
      </c>
      <c r="U874" s="3">
        <f>IF($F874="","",IFERROR(INDEX('CAT_CENTROS_COSTO'!$F$4:$F$13,MATCH($F874,'CAT_CENTROS_COSTO'!$A$4:$A$13,0)),"(sin catálogo)"))</f>
        <v/>
      </c>
      <c r="V874" s="3">
        <f>IF($F874="","",IFERROR(INDEX('CAT_CENTROS_COSTO'!$D$4:$D$13,MATCH($F874,'CAT_CENTROS_COSTO'!$A$4:$A$13,0)),"(sin catálogo)"))</f>
        <v/>
      </c>
      <c r="W874" s="3">
        <f>IF($F874="","",IF((IFERROR(INDEX('CAT_CENTROS_COSTO'!$E$4:$E$13,MATCH($F874,'CAT_CENTROS_COSTO'!$A$4:$A$13,0)),""))&lt;&gt;"",IFERROR(INDEX('CAT_CENTROS_COSTO'!$E$4:$E$13,MATCH($F874,'CAT_CENTROS_COSTO'!$A$4:$A$13,0)),""),$V874))</f>
        <v/>
      </c>
      <c r="X874" s="3">
        <f>IF($F874="","",IFERROR(INDEX('CAT_CENTROS_COSTO'!$G$4:$G$13,MATCH($F874,'CAT_CENTROS_COSTO'!$A$4:$A$13,0)),"(sin catálogo)"))</f>
        <v/>
      </c>
      <c r="Y874" s="3">
        <f>IF($G874="","",IFERROR(INDEX('CAT_PUESTOS'!$B$4:$B$8,MATCH($G874,'CAT_PUESTOS'!$A$4:$A$8,0)),"(sin catálogo)"))</f>
        <v/>
      </c>
      <c r="Z874" s="3">
        <f>IF($H874="","",IFERROR(INDEX('CAT_ACTIVIDADES'!$B$4:$B$8,MATCH($H874,'CAT_ACTIVIDADES'!$A$4:$A$8,0)),"(sin catálogo)"))</f>
        <v/>
      </c>
      <c r="AA874" s="12">
        <f>IF($J874="","",TODAY()-$J874)</f>
        <v/>
      </c>
      <c r="AB874" s="12">
        <f>IF($J874="","",IF($J874&lt;=TODAY(),COUNTIFS(cal_fechas,"&gt;="&amp;$J874,cal_fechas,"&lt;"&amp;TODAY(),cal_habil,"sí"),-COUNTIFS(cal_fechas,"&gt;="&amp;TODAY(),cal_fechas,"&lt;"&amp;$J874,cal_habil,"sí")))</f>
        <v/>
      </c>
      <c r="AC874" s="3">
        <f>IF($AB874="","",IF($AB874&lt;0,"FUTURO",IF($AB874&gt;p_dias_backlog_max,"BACKLOG","MES CORRIENTE")))</f>
        <v/>
      </c>
      <c r="AD874" s="3">
        <f>IF($AB874="",FALSE,AND($AB874&gt;p_dias_backlog_min,$AB874&lt;=p_dias_backlog_max))</f>
        <v/>
      </c>
      <c r="AE874" s="6" t="n"/>
      <c r="AF874" s="3">
        <f>IF($AE874="","",IF((IFERROR(INDEX('ASIGNACIONES'!$F$4:$F$339,MATCH($O874&amp;"|"&amp;$R874&amp;"|"&amp;$AE874,'ASIGNACIONES'!$J$4:$J$339,0)),""))=0,"",IFERROR(INDEX('ASIGNACIONES'!$F$4:$F$339,MATCH($O874&amp;"|"&amp;$R874&amp;"|"&amp;$AE874,'ASIGNACIONES'!$J$4:$J$339,0)),"")))</f>
        <v/>
      </c>
      <c r="AG874" s="13">
        <f>IF($AE874="","",SUMIFS('ORDENES'!$M$4:$M$1203,'ORDENES'!$AE$4:$AE$1203,$AE874,'ORDENES'!$O$4:$O$1203,$O874,'ORDENES'!$R$4:$R$1203,$R874))</f>
        <v/>
      </c>
      <c r="AH874" s="13">
        <f>IF($AG874="","",p_factor_productividad*IFERROR(INDEX('ASIGNACIONES'!$I$4:$I$339,MATCH($O874&amp;"|"&amp;$R874&amp;"|"&amp;$AE874,'ASIGNACIONES'!$J$4:$J$339,0)),0)-$AG874)</f>
        <v/>
      </c>
      <c r="AI874" s="10">
        <f>IF($A874="","",IFERROR(INDEX('2_IMPORTAR_EJECUCION'!$F$9:$F$1208,MATCH($AQ874,'2_IMPORTAR_EJECUCION'!$J$9:$J$1208,0)),0))</f>
        <v/>
      </c>
      <c r="AJ874" s="10">
        <f>IF($A874="","",MAX(0,IFERROR(INDEX('2_IMPORTAR_EJECUCION'!$H$9:$H$1208,MATCH($AQ874,'2_IMPORTAR_EJECUCION'!$J$9:$J$1208,0)),0)-$AI874))</f>
        <v/>
      </c>
      <c r="AK874" s="10">
        <f>IF($A874="","",$AI874+$AJ874)</f>
        <v/>
      </c>
      <c r="AL874" s="6" t="n"/>
      <c r="AM874" s="6" t="n"/>
      <c r="AN874" s="6" t="n"/>
      <c r="AO874" s="3">
        <f>IF($AN874="","",HYPERLINK(p_ruta_base_checklists&amp;$AN874,"abrir"))</f>
        <v/>
      </c>
      <c r="AP874" s="6" t="n"/>
      <c r="AQ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IF($A875="","",IFERROR(INDEX('AJUSTES'!$B$4:$B$303,MATCH($AQ875,'AJUSTES'!$A$4:$A$303,0)),IF($K875="","",$K875)))</f>
        <v/>
      </c>
      <c r="N875" s="3">
        <f>IF($A875="","",IFERROR(INDEX('CAT_ESTADOS_ERP'!$B$4:$B$7,MATCH(IFERROR(INDEX('2_IMPORTAR_EJECUCION'!$C$9:$C$1208,MATCH($AQ875,'2_IMPORTAR_EJECUCION'!$J$9:$J$1208,0)),""),'CAT_ESTADOS_ERP'!$A$4:$A$7,0)),"Pendiente"))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J875="","",IFERROR(INDEX('CALENDARIO'!$C$15:$C$214,MATCH(TEXT($J875,"yyyy-mm-dd")&amp;"|"&amp;$V875&amp;"|"&amp;$W875,'CALENDARIO'!$G$15:$G$214,0)),IFERROR(INDEX('CALENDARIO'!$C$15:$C$214,MATCH(TEXT($J875,"yyyy-mm-dd")&amp;"|"&amp;$V875&amp;"|",'CALENDARIO'!$G$15:$G$214,0)),IFERROR(INDEX('CALENDARIO'!$C$15:$C$214,MATCH(TEXT($J875,"yyyy-mm-dd")&amp;"||",'CALENDARIO'!$G$15:$G$214,0)),INDEX(patronHabil,WEEKDAY($J875,2))))))</f>
        <v/>
      </c>
      <c r="T875" s="3">
        <f>IF($I875="","",IFERROR(INDEX('CAT_TIPOS_OT'!$C$4:$C$7,MATCH($I875,'CAT_TIPOS_OT'!$A$4:$A$7,0)),"sin_clasificar"))</f>
        <v/>
      </c>
      <c r="U875" s="3">
        <f>IF($F875="","",IFERROR(INDEX('CAT_CENTROS_COSTO'!$F$4:$F$13,MATCH($F875,'CAT_CENTROS_COSTO'!$A$4:$A$13,0)),"(sin catálogo)"))</f>
        <v/>
      </c>
      <c r="V875" s="3">
        <f>IF($F875="","",IFERROR(INDEX('CAT_CENTROS_COSTO'!$D$4:$D$13,MATCH($F875,'CAT_CENTROS_COSTO'!$A$4:$A$13,0)),"(sin catálogo)"))</f>
        <v/>
      </c>
      <c r="W875" s="3">
        <f>IF($F875="","",IF((IFERROR(INDEX('CAT_CENTROS_COSTO'!$E$4:$E$13,MATCH($F875,'CAT_CENTROS_COSTO'!$A$4:$A$13,0)),""))&lt;&gt;"",IFERROR(INDEX('CAT_CENTROS_COSTO'!$E$4:$E$13,MATCH($F875,'CAT_CENTROS_COSTO'!$A$4:$A$13,0)),""),$V875))</f>
        <v/>
      </c>
      <c r="X875" s="3">
        <f>IF($F875="","",IFERROR(INDEX('CAT_CENTROS_COSTO'!$G$4:$G$13,MATCH($F875,'CAT_CENTROS_COSTO'!$A$4:$A$13,0)),"(sin catálogo)"))</f>
        <v/>
      </c>
      <c r="Y875" s="3">
        <f>IF($G875="","",IFERROR(INDEX('CAT_PUESTOS'!$B$4:$B$8,MATCH($G875,'CAT_PUESTOS'!$A$4:$A$8,0)),"(sin catálogo)"))</f>
        <v/>
      </c>
      <c r="Z875" s="3">
        <f>IF($H875="","",IFERROR(INDEX('CAT_ACTIVIDADES'!$B$4:$B$8,MATCH($H875,'CAT_ACTIVIDADES'!$A$4:$A$8,0)),"(sin catálogo)"))</f>
        <v/>
      </c>
      <c r="AA875" s="12">
        <f>IF($J875="","",TODAY()-$J875)</f>
        <v/>
      </c>
      <c r="AB875" s="12">
        <f>IF($J875="","",IF($J875&lt;=TODAY(),COUNTIFS(cal_fechas,"&gt;="&amp;$J875,cal_fechas,"&lt;"&amp;TODAY(),cal_habil,"sí"),-COUNTIFS(cal_fechas,"&gt;="&amp;TODAY(),cal_fechas,"&lt;"&amp;$J875,cal_habil,"sí")))</f>
        <v/>
      </c>
      <c r="AC875" s="3">
        <f>IF($AB875="","",IF($AB875&lt;0,"FUTURO",IF($AB875&gt;p_dias_backlog_max,"BACKLOG","MES CORRIENTE")))</f>
        <v/>
      </c>
      <c r="AD875" s="3">
        <f>IF($AB875="",FALSE,AND($AB875&gt;p_dias_backlog_min,$AB875&lt;=p_dias_backlog_max))</f>
        <v/>
      </c>
      <c r="AE875" s="6" t="n"/>
      <c r="AF875" s="3">
        <f>IF($AE875="","",IF((IFERROR(INDEX('ASIGNACIONES'!$F$4:$F$339,MATCH($O875&amp;"|"&amp;$R875&amp;"|"&amp;$AE875,'ASIGNACIONES'!$J$4:$J$339,0)),""))=0,"",IFERROR(INDEX('ASIGNACIONES'!$F$4:$F$339,MATCH($O875&amp;"|"&amp;$R875&amp;"|"&amp;$AE875,'ASIGNACIONES'!$J$4:$J$339,0)),"")))</f>
        <v/>
      </c>
      <c r="AG875" s="13">
        <f>IF($AE875="","",SUMIFS('ORDENES'!$M$4:$M$1203,'ORDENES'!$AE$4:$AE$1203,$AE875,'ORDENES'!$O$4:$O$1203,$O875,'ORDENES'!$R$4:$R$1203,$R875))</f>
        <v/>
      </c>
      <c r="AH875" s="13">
        <f>IF($AG875="","",p_factor_productividad*IFERROR(INDEX('ASIGNACIONES'!$I$4:$I$339,MATCH($O875&amp;"|"&amp;$R875&amp;"|"&amp;$AE875,'ASIGNACIONES'!$J$4:$J$339,0)),0)-$AG875)</f>
        <v/>
      </c>
      <c r="AI875" s="10">
        <f>IF($A875="","",IFERROR(INDEX('2_IMPORTAR_EJECUCION'!$F$9:$F$1208,MATCH($AQ875,'2_IMPORTAR_EJECUCION'!$J$9:$J$1208,0)),0))</f>
        <v/>
      </c>
      <c r="AJ875" s="10">
        <f>IF($A875="","",MAX(0,IFERROR(INDEX('2_IMPORTAR_EJECUCION'!$H$9:$H$1208,MATCH($AQ875,'2_IMPORTAR_EJECUCION'!$J$9:$J$1208,0)),0)-$AI875))</f>
        <v/>
      </c>
      <c r="AK875" s="10">
        <f>IF($A875="","",$AI875+$AJ875)</f>
        <v/>
      </c>
      <c r="AL875" s="6" t="n"/>
      <c r="AM875" s="6" t="n"/>
      <c r="AN875" s="6" t="n"/>
      <c r="AO875" s="3">
        <f>IF($AN875="","",HYPERLINK(p_ruta_base_checklists&amp;$AN875,"abrir"))</f>
        <v/>
      </c>
      <c r="AP875" s="6" t="n"/>
      <c r="AQ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IF($A876="","",IFERROR(INDEX('AJUSTES'!$B$4:$B$303,MATCH($AQ876,'AJUSTES'!$A$4:$A$303,0)),IF($K876="","",$K876)))</f>
        <v/>
      </c>
      <c r="N876" s="3">
        <f>IF($A876="","",IFERROR(INDEX('CAT_ESTADOS_ERP'!$B$4:$B$7,MATCH(IFERROR(INDEX('2_IMPORTAR_EJECUCION'!$C$9:$C$1208,MATCH($AQ876,'2_IMPORTAR_EJECUCION'!$J$9:$J$1208,0)),""),'CAT_ESTADOS_ERP'!$A$4:$A$7,0)),"Pendiente"))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J876="","",IFERROR(INDEX('CALENDARIO'!$C$15:$C$214,MATCH(TEXT($J876,"yyyy-mm-dd")&amp;"|"&amp;$V876&amp;"|"&amp;$W876,'CALENDARIO'!$G$15:$G$214,0)),IFERROR(INDEX('CALENDARIO'!$C$15:$C$214,MATCH(TEXT($J876,"yyyy-mm-dd")&amp;"|"&amp;$V876&amp;"|",'CALENDARIO'!$G$15:$G$214,0)),IFERROR(INDEX('CALENDARIO'!$C$15:$C$214,MATCH(TEXT($J876,"yyyy-mm-dd")&amp;"||",'CALENDARIO'!$G$15:$G$214,0)),INDEX(patronHabil,WEEKDAY($J876,2))))))</f>
        <v/>
      </c>
      <c r="T876" s="3">
        <f>IF($I876="","",IFERROR(INDEX('CAT_TIPOS_OT'!$C$4:$C$7,MATCH($I876,'CAT_TIPOS_OT'!$A$4:$A$7,0)),"sin_clasificar"))</f>
        <v/>
      </c>
      <c r="U876" s="3">
        <f>IF($F876="","",IFERROR(INDEX('CAT_CENTROS_COSTO'!$F$4:$F$13,MATCH($F876,'CAT_CENTROS_COSTO'!$A$4:$A$13,0)),"(sin catálogo)"))</f>
        <v/>
      </c>
      <c r="V876" s="3">
        <f>IF($F876="","",IFERROR(INDEX('CAT_CENTROS_COSTO'!$D$4:$D$13,MATCH($F876,'CAT_CENTROS_COSTO'!$A$4:$A$13,0)),"(sin catálogo)"))</f>
        <v/>
      </c>
      <c r="W876" s="3">
        <f>IF($F876="","",IF((IFERROR(INDEX('CAT_CENTROS_COSTO'!$E$4:$E$13,MATCH($F876,'CAT_CENTROS_COSTO'!$A$4:$A$13,0)),""))&lt;&gt;"",IFERROR(INDEX('CAT_CENTROS_COSTO'!$E$4:$E$13,MATCH($F876,'CAT_CENTROS_COSTO'!$A$4:$A$13,0)),""),$V876))</f>
        <v/>
      </c>
      <c r="X876" s="3">
        <f>IF($F876="","",IFERROR(INDEX('CAT_CENTROS_COSTO'!$G$4:$G$13,MATCH($F876,'CAT_CENTROS_COSTO'!$A$4:$A$13,0)),"(sin catálogo)"))</f>
        <v/>
      </c>
      <c r="Y876" s="3">
        <f>IF($G876="","",IFERROR(INDEX('CAT_PUESTOS'!$B$4:$B$8,MATCH($G876,'CAT_PUESTOS'!$A$4:$A$8,0)),"(sin catálogo)"))</f>
        <v/>
      </c>
      <c r="Z876" s="3">
        <f>IF($H876="","",IFERROR(INDEX('CAT_ACTIVIDADES'!$B$4:$B$8,MATCH($H876,'CAT_ACTIVIDADES'!$A$4:$A$8,0)),"(sin catálogo)"))</f>
        <v/>
      </c>
      <c r="AA876" s="12">
        <f>IF($J876="","",TODAY()-$J876)</f>
        <v/>
      </c>
      <c r="AB876" s="12">
        <f>IF($J876="","",IF($J876&lt;=TODAY(),COUNTIFS(cal_fechas,"&gt;="&amp;$J876,cal_fechas,"&lt;"&amp;TODAY(),cal_habil,"sí"),-COUNTIFS(cal_fechas,"&gt;="&amp;TODAY(),cal_fechas,"&lt;"&amp;$J876,cal_habil,"sí")))</f>
        <v/>
      </c>
      <c r="AC876" s="3">
        <f>IF($AB876="","",IF($AB876&lt;0,"FUTURO",IF($AB876&gt;p_dias_backlog_max,"BACKLOG","MES CORRIENTE")))</f>
        <v/>
      </c>
      <c r="AD876" s="3">
        <f>IF($AB876="",FALSE,AND($AB876&gt;p_dias_backlog_min,$AB876&lt;=p_dias_backlog_max))</f>
        <v/>
      </c>
      <c r="AE876" s="6" t="n"/>
      <c r="AF876" s="3">
        <f>IF($AE876="","",IF((IFERROR(INDEX('ASIGNACIONES'!$F$4:$F$339,MATCH($O876&amp;"|"&amp;$R876&amp;"|"&amp;$AE876,'ASIGNACIONES'!$J$4:$J$339,0)),""))=0,"",IFERROR(INDEX('ASIGNACIONES'!$F$4:$F$339,MATCH($O876&amp;"|"&amp;$R876&amp;"|"&amp;$AE876,'ASIGNACIONES'!$J$4:$J$339,0)),"")))</f>
        <v/>
      </c>
      <c r="AG876" s="13">
        <f>IF($AE876="","",SUMIFS('ORDENES'!$M$4:$M$1203,'ORDENES'!$AE$4:$AE$1203,$AE876,'ORDENES'!$O$4:$O$1203,$O876,'ORDENES'!$R$4:$R$1203,$R876))</f>
        <v/>
      </c>
      <c r="AH876" s="13">
        <f>IF($AG876="","",p_factor_productividad*IFERROR(INDEX('ASIGNACIONES'!$I$4:$I$339,MATCH($O876&amp;"|"&amp;$R876&amp;"|"&amp;$AE876,'ASIGNACIONES'!$J$4:$J$339,0)),0)-$AG876)</f>
        <v/>
      </c>
      <c r="AI876" s="10">
        <f>IF($A876="","",IFERROR(INDEX('2_IMPORTAR_EJECUCION'!$F$9:$F$1208,MATCH($AQ876,'2_IMPORTAR_EJECUCION'!$J$9:$J$1208,0)),0))</f>
        <v/>
      </c>
      <c r="AJ876" s="10">
        <f>IF($A876="","",MAX(0,IFERROR(INDEX('2_IMPORTAR_EJECUCION'!$H$9:$H$1208,MATCH($AQ876,'2_IMPORTAR_EJECUCION'!$J$9:$J$1208,0)),0)-$AI876))</f>
        <v/>
      </c>
      <c r="AK876" s="10">
        <f>IF($A876="","",$AI876+$AJ876)</f>
        <v/>
      </c>
      <c r="AL876" s="6" t="n"/>
      <c r="AM876" s="6" t="n"/>
      <c r="AN876" s="6" t="n"/>
      <c r="AO876" s="3">
        <f>IF($AN876="","",HYPERLINK(p_ruta_base_checklists&amp;$AN876,"abrir"))</f>
        <v/>
      </c>
      <c r="AP876" s="6" t="n"/>
      <c r="AQ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IF($A877="","",IFERROR(INDEX('AJUSTES'!$B$4:$B$303,MATCH($AQ877,'AJUSTES'!$A$4:$A$303,0)),IF($K877="","",$K877)))</f>
        <v/>
      </c>
      <c r="N877" s="3">
        <f>IF($A877="","",IFERROR(INDEX('CAT_ESTADOS_ERP'!$B$4:$B$7,MATCH(IFERROR(INDEX('2_IMPORTAR_EJECUCION'!$C$9:$C$1208,MATCH($AQ877,'2_IMPORTAR_EJECUCION'!$J$9:$J$1208,0)),""),'CAT_ESTADOS_ERP'!$A$4:$A$7,0)),"Pendiente"))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J877="","",IFERROR(INDEX('CALENDARIO'!$C$15:$C$214,MATCH(TEXT($J877,"yyyy-mm-dd")&amp;"|"&amp;$V877&amp;"|"&amp;$W877,'CALENDARIO'!$G$15:$G$214,0)),IFERROR(INDEX('CALENDARIO'!$C$15:$C$214,MATCH(TEXT($J877,"yyyy-mm-dd")&amp;"|"&amp;$V877&amp;"|",'CALENDARIO'!$G$15:$G$214,0)),IFERROR(INDEX('CALENDARIO'!$C$15:$C$214,MATCH(TEXT($J877,"yyyy-mm-dd")&amp;"||",'CALENDARIO'!$G$15:$G$214,0)),INDEX(patronHabil,WEEKDAY($J877,2))))))</f>
        <v/>
      </c>
      <c r="T877" s="3">
        <f>IF($I877="","",IFERROR(INDEX('CAT_TIPOS_OT'!$C$4:$C$7,MATCH($I877,'CAT_TIPOS_OT'!$A$4:$A$7,0)),"sin_clasificar"))</f>
        <v/>
      </c>
      <c r="U877" s="3">
        <f>IF($F877="","",IFERROR(INDEX('CAT_CENTROS_COSTO'!$F$4:$F$13,MATCH($F877,'CAT_CENTROS_COSTO'!$A$4:$A$13,0)),"(sin catálogo)"))</f>
        <v/>
      </c>
      <c r="V877" s="3">
        <f>IF($F877="","",IFERROR(INDEX('CAT_CENTROS_COSTO'!$D$4:$D$13,MATCH($F877,'CAT_CENTROS_COSTO'!$A$4:$A$13,0)),"(sin catálogo)"))</f>
        <v/>
      </c>
      <c r="W877" s="3">
        <f>IF($F877="","",IF((IFERROR(INDEX('CAT_CENTROS_COSTO'!$E$4:$E$13,MATCH($F877,'CAT_CENTROS_COSTO'!$A$4:$A$13,0)),""))&lt;&gt;"",IFERROR(INDEX('CAT_CENTROS_COSTO'!$E$4:$E$13,MATCH($F877,'CAT_CENTROS_COSTO'!$A$4:$A$13,0)),""),$V877))</f>
        <v/>
      </c>
      <c r="X877" s="3">
        <f>IF($F877="","",IFERROR(INDEX('CAT_CENTROS_COSTO'!$G$4:$G$13,MATCH($F877,'CAT_CENTROS_COSTO'!$A$4:$A$13,0)),"(sin catálogo)"))</f>
        <v/>
      </c>
      <c r="Y877" s="3">
        <f>IF($G877="","",IFERROR(INDEX('CAT_PUESTOS'!$B$4:$B$8,MATCH($G877,'CAT_PUESTOS'!$A$4:$A$8,0)),"(sin catálogo)"))</f>
        <v/>
      </c>
      <c r="Z877" s="3">
        <f>IF($H877="","",IFERROR(INDEX('CAT_ACTIVIDADES'!$B$4:$B$8,MATCH($H877,'CAT_ACTIVIDADES'!$A$4:$A$8,0)),"(sin catálogo)"))</f>
        <v/>
      </c>
      <c r="AA877" s="12">
        <f>IF($J877="","",TODAY()-$J877)</f>
        <v/>
      </c>
      <c r="AB877" s="12">
        <f>IF($J877="","",IF($J877&lt;=TODAY(),COUNTIFS(cal_fechas,"&gt;="&amp;$J877,cal_fechas,"&lt;"&amp;TODAY(),cal_habil,"sí"),-COUNTIFS(cal_fechas,"&gt;="&amp;TODAY(),cal_fechas,"&lt;"&amp;$J877,cal_habil,"sí")))</f>
        <v/>
      </c>
      <c r="AC877" s="3">
        <f>IF($AB877="","",IF($AB877&lt;0,"FUTURO",IF($AB877&gt;p_dias_backlog_max,"BACKLOG","MES CORRIENTE")))</f>
        <v/>
      </c>
      <c r="AD877" s="3">
        <f>IF($AB877="",FALSE,AND($AB877&gt;p_dias_backlog_min,$AB877&lt;=p_dias_backlog_max))</f>
        <v/>
      </c>
      <c r="AE877" s="6" t="n"/>
      <c r="AF877" s="3">
        <f>IF($AE877="","",IF((IFERROR(INDEX('ASIGNACIONES'!$F$4:$F$339,MATCH($O877&amp;"|"&amp;$R877&amp;"|"&amp;$AE877,'ASIGNACIONES'!$J$4:$J$339,0)),""))=0,"",IFERROR(INDEX('ASIGNACIONES'!$F$4:$F$339,MATCH($O877&amp;"|"&amp;$R877&amp;"|"&amp;$AE877,'ASIGNACIONES'!$J$4:$J$339,0)),"")))</f>
        <v/>
      </c>
      <c r="AG877" s="13">
        <f>IF($AE877="","",SUMIFS('ORDENES'!$M$4:$M$1203,'ORDENES'!$AE$4:$AE$1203,$AE877,'ORDENES'!$O$4:$O$1203,$O877,'ORDENES'!$R$4:$R$1203,$R877))</f>
        <v/>
      </c>
      <c r="AH877" s="13">
        <f>IF($AG877="","",p_factor_productividad*IFERROR(INDEX('ASIGNACIONES'!$I$4:$I$339,MATCH($O877&amp;"|"&amp;$R877&amp;"|"&amp;$AE877,'ASIGNACIONES'!$J$4:$J$339,0)),0)-$AG877)</f>
        <v/>
      </c>
      <c r="AI877" s="10">
        <f>IF($A877="","",IFERROR(INDEX('2_IMPORTAR_EJECUCION'!$F$9:$F$1208,MATCH($AQ877,'2_IMPORTAR_EJECUCION'!$J$9:$J$1208,0)),0))</f>
        <v/>
      </c>
      <c r="AJ877" s="10">
        <f>IF($A877="","",MAX(0,IFERROR(INDEX('2_IMPORTAR_EJECUCION'!$H$9:$H$1208,MATCH($AQ877,'2_IMPORTAR_EJECUCION'!$J$9:$J$1208,0)),0)-$AI877))</f>
        <v/>
      </c>
      <c r="AK877" s="10">
        <f>IF($A877="","",$AI877+$AJ877)</f>
        <v/>
      </c>
      <c r="AL877" s="6" t="n"/>
      <c r="AM877" s="6" t="n"/>
      <c r="AN877" s="6" t="n"/>
      <c r="AO877" s="3">
        <f>IF($AN877="","",HYPERLINK(p_ruta_base_checklists&amp;$AN877,"abrir"))</f>
        <v/>
      </c>
      <c r="AP877" s="6" t="n"/>
      <c r="AQ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IF($A878="","",IFERROR(INDEX('AJUSTES'!$B$4:$B$303,MATCH($AQ878,'AJUSTES'!$A$4:$A$303,0)),IF($K878="","",$K878)))</f>
        <v/>
      </c>
      <c r="N878" s="3">
        <f>IF($A878="","",IFERROR(INDEX('CAT_ESTADOS_ERP'!$B$4:$B$7,MATCH(IFERROR(INDEX('2_IMPORTAR_EJECUCION'!$C$9:$C$1208,MATCH($AQ878,'2_IMPORTAR_EJECUCION'!$J$9:$J$1208,0)),""),'CAT_ESTADOS_ERP'!$A$4:$A$7,0)),"Pendiente"))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J878="","",IFERROR(INDEX('CALENDARIO'!$C$15:$C$214,MATCH(TEXT($J878,"yyyy-mm-dd")&amp;"|"&amp;$V878&amp;"|"&amp;$W878,'CALENDARIO'!$G$15:$G$214,0)),IFERROR(INDEX('CALENDARIO'!$C$15:$C$214,MATCH(TEXT($J878,"yyyy-mm-dd")&amp;"|"&amp;$V878&amp;"|",'CALENDARIO'!$G$15:$G$214,0)),IFERROR(INDEX('CALENDARIO'!$C$15:$C$214,MATCH(TEXT($J878,"yyyy-mm-dd")&amp;"||",'CALENDARIO'!$G$15:$G$214,0)),INDEX(patronHabil,WEEKDAY($J878,2))))))</f>
        <v/>
      </c>
      <c r="T878" s="3">
        <f>IF($I878="","",IFERROR(INDEX('CAT_TIPOS_OT'!$C$4:$C$7,MATCH($I878,'CAT_TIPOS_OT'!$A$4:$A$7,0)),"sin_clasificar"))</f>
        <v/>
      </c>
      <c r="U878" s="3">
        <f>IF($F878="","",IFERROR(INDEX('CAT_CENTROS_COSTO'!$F$4:$F$13,MATCH($F878,'CAT_CENTROS_COSTO'!$A$4:$A$13,0)),"(sin catálogo)"))</f>
        <v/>
      </c>
      <c r="V878" s="3">
        <f>IF($F878="","",IFERROR(INDEX('CAT_CENTROS_COSTO'!$D$4:$D$13,MATCH($F878,'CAT_CENTROS_COSTO'!$A$4:$A$13,0)),"(sin catálogo)"))</f>
        <v/>
      </c>
      <c r="W878" s="3">
        <f>IF($F878="","",IF((IFERROR(INDEX('CAT_CENTROS_COSTO'!$E$4:$E$13,MATCH($F878,'CAT_CENTROS_COSTO'!$A$4:$A$13,0)),""))&lt;&gt;"",IFERROR(INDEX('CAT_CENTROS_COSTO'!$E$4:$E$13,MATCH($F878,'CAT_CENTROS_COSTO'!$A$4:$A$13,0)),""),$V878))</f>
        <v/>
      </c>
      <c r="X878" s="3">
        <f>IF($F878="","",IFERROR(INDEX('CAT_CENTROS_COSTO'!$G$4:$G$13,MATCH($F878,'CAT_CENTROS_COSTO'!$A$4:$A$13,0)),"(sin catálogo)"))</f>
        <v/>
      </c>
      <c r="Y878" s="3">
        <f>IF($G878="","",IFERROR(INDEX('CAT_PUESTOS'!$B$4:$B$8,MATCH($G878,'CAT_PUESTOS'!$A$4:$A$8,0)),"(sin catálogo)"))</f>
        <v/>
      </c>
      <c r="Z878" s="3">
        <f>IF($H878="","",IFERROR(INDEX('CAT_ACTIVIDADES'!$B$4:$B$8,MATCH($H878,'CAT_ACTIVIDADES'!$A$4:$A$8,0)),"(sin catálogo)"))</f>
        <v/>
      </c>
      <c r="AA878" s="12">
        <f>IF($J878="","",TODAY()-$J878)</f>
        <v/>
      </c>
      <c r="AB878" s="12">
        <f>IF($J878="","",IF($J878&lt;=TODAY(),COUNTIFS(cal_fechas,"&gt;="&amp;$J878,cal_fechas,"&lt;"&amp;TODAY(),cal_habil,"sí"),-COUNTIFS(cal_fechas,"&gt;="&amp;TODAY(),cal_fechas,"&lt;"&amp;$J878,cal_habil,"sí")))</f>
        <v/>
      </c>
      <c r="AC878" s="3">
        <f>IF($AB878="","",IF($AB878&lt;0,"FUTURO",IF($AB878&gt;p_dias_backlog_max,"BACKLOG","MES CORRIENTE")))</f>
        <v/>
      </c>
      <c r="AD878" s="3">
        <f>IF($AB878="",FALSE,AND($AB878&gt;p_dias_backlog_min,$AB878&lt;=p_dias_backlog_max))</f>
        <v/>
      </c>
      <c r="AE878" s="6" t="n"/>
      <c r="AF878" s="3">
        <f>IF($AE878="","",IF((IFERROR(INDEX('ASIGNACIONES'!$F$4:$F$339,MATCH($O878&amp;"|"&amp;$R878&amp;"|"&amp;$AE878,'ASIGNACIONES'!$J$4:$J$339,0)),""))=0,"",IFERROR(INDEX('ASIGNACIONES'!$F$4:$F$339,MATCH($O878&amp;"|"&amp;$R878&amp;"|"&amp;$AE878,'ASIGNACIONES'!$J$4:$J$339,0)),"")))</f>
        <v/>
      </c>
      <c r="AG878" s="13">
        <f>IF($AE878="","",SUMIFS('ORDENES'!$M$4:$M$1203,'ORDENES'!$AE$4:$AE$1203,$AE878,'ORDENES'!$O$4:$O$1203,$O878,'ORDENES'!$R$4:$R$1203,$R878))</f>
        <v/>
      </c>
      <c r="AH878" s="13">
        <f>IF($AG878="","",p_factor_productividad*IFERROR(INDEX('ASIGNACIONES'!$I$4:$I$339,MATCH($O878&amp;"|"&amp;$R878&amp;"|"&amp;$AE878,'ASIGNACIONES'!$J$4:$J$339,0)),0)-$AG878)</f>
        <v/>
      </c>
      <c r="AI878" s="10">
        <f>IF($A878="","",IFERROR(INDEX('2_IMPORTAR_EJECUCION'!$F$9:$F$1208,MATCH($AQ878,'2_IMPORTAR_EJECUCION'!$J$9:$J$1208,0)),0))</f>
        <v/>
      </c>
      <c r="AJ878" s="10">
        <f>IF($A878="","",MAX(0,IFERROR(INDEX('2_IMPORTAR_EJECUCION'!$H$9:$H$1208,MATCH($AQ878,'2_IMPORTAR_EJECUCION'!$J$9:$J$1208,0)),0)-$AI878))</f>
        <v/>
      </c>
      <c r="AK878" s="10">
        <f>IF($A878="","",$AI878+$AJ878)</f>
        <v/>
      </c>
      <c r="AL878" s="6" t="n"/>
      <c r="AM878" s="6" t="n"/>
      <c r="AN878" s="6" t="n"/>
      <c r="AO878" s="3">
        <f>IF($AN878="","",HYPERLINK(p_ruta_base_checklists&amp;$AN878,"abrir"))</f>
        <v/>
      </c>
      <c r="AP878" s="6" t="n"/>
      <c r="AQ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IF($A879="","",IFERROR(INDEX('AJUSTES'!$B$4:$B$303,MATCH($AQ879,'AJUSTES'!$A$4:$A$303,0)),IF($K879="","",$K879)))</f>
        <v/>
      </c>
      <c r="N879" s="3">
        <f>IF($A879="","",IFERROR(INDEX('CAT_ESTADOS_ERP'!$B$4:$B$7,MATCH(IFERROR(INDEX('2_IMPORTAR_EJECUCION'!$C$9:$C$1208,MATCH($AQ879,'2_IMPORTAR_EJECUCION'!$J$9:$J$1208,0)),""),'CAT_ESTADOS_ERP'!$A$4:$A$7,0)),"Pendiente"))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J879="","",IFERROR(INDEX('CALENDARIO'!$C$15:$C$214,MATCH(TEXT($J879,"yyyy-mm-dd")&amp;"|"&amp;$V879&amp;"|"&amp;$W879,'CALENDARIO'!$G$15:$G$214,0)),IFERROR(INDEX('CALENDARIO'!$C$15:$C$214,MATCH(TEXT($J879,"yyyy-mm-dd")&amp;"|"&amp;$V879&amp;"|",'CALENDARIO'!$G$15:$G$214,0)),IFERROR(INDEX('CALENDARIO'!$C$15:$C$214,MATCH(TEXT($J879,"yyyy-mm-dd")&amp;"||",'CALENDARIO'!$G$15:$G$214,0)),INDEX(patronHabil,WEEKDAY($J879,2))))))</f>
        <v/>
      </c>
      <c r="T879" s="3">
        <f>IF($I879="","",IFERROR(INDEX('CAT_TIPOS_OT'!$C$4:$C$7,MATCH($I879,'CAT_TIPOS_OT'!$A$4:$A$7,0)),"sin_clasificar"))</f>
        <v/>
      </c>
      <c r="U879" s="3">
        <f>IF($F879="","",IFERROR(INDEX('CAT_CENTROS_COSTO'!$F$4:$F$13,MATCH($F879,'CAT_CENTROS_COSTO'!$A$4:$A$13,0)),"(sin catálogo)"))</f>
        <v/>
      </c>
      <c r="V879" s="3">
        <f>IF($F879="","",IFERROR(INDEX('CAT_CENTROS_COSTO'!$D$4:$D$13,MATCH($F879,'CAT_CENTROS_COSTO'!$A$4:$A$13,0)),"(sin catálogo)"))</f>
        <v/>
      </c>
      <c r="W879" s="3">
        <f>IF($F879="","",IF((IFERROR(INDEX('CAT_CENTROS_COSTO'!$E$4:$E$13,MATCH($F879,'CAT_CENTROS_COSTO'!$A$4:$A$13,0)),""))&lt;&gt;"",IFERROR(INDEX('CAT_CENTROS_COSTO'!$E$4:$E$13,MATCH($F879,'CAT_CENTROS_COSTO'!$A$4:$A$13,0)),""),$V879))</f>
        <v/>
      </c>
      <c r="X879" s="3">
        <f>IF($F879="","",IFERROR(INDEX('CAT_CENTROS_COSTO'!$G$4:$G$13,MATCH($F879,'CAT_CENTROS_COSTO'!$A$4:$A$13,0)),"(sin catálogo)"))</f>
        <v/>
      </c>
      <c r="Y879" s="3">
        <f>IF($G879="","",IFERROR(INDEX('CAT_PUESTOS'!$B$4:$B$8,MATCH($G879,'CAT_PUESTOS'!$A$4:$A$8,0)),"(sin catálogo)"))</f>
        <v/>
      </c>
      <c r="Z879" s="3">
        <f>IF($H879="","",IFERROR(INDEX('CAT_ACTIVIDADES'!$B$4:$B$8,MATCH($H879,'CAT_ACTIVIDADES'!$A$4:$A$8,0)),"(sin catálogo)"))</f>
        <v/>
      </c>
      <c r="AA879" s="12">
        <f>IF($J879="","",TODAY()-$J879)</f>
        <v/>
      </c>
      <c r="AB879" s="12">
        <f>IF($J879="","",IF($J879&lt;=TODAY(),COUNTIFS(cal_fechas,"&gt;="&amp;$J879,cal_fechas,"&lt;"&amp;TODAY(),cal_habil,"sí"),-COUNTIFS(cal_fechas,"&gt;="&amp;TODAY(),cal_fechas,"&lt;"&amp;$J879,cal_habil,"sí")))</f>
        <v/>
      </c>
      <c r="AC879" s="3">
        <f>IF($AB879="","",IF($AB879&lt;0,"FUTURO",IF($AB879&gt;p_dias_backlog_max,"BACKLOG","MES CORRIENTE")))</f>
        <v/>
      </c>
      <c r="AD879" s="3">
        <f>IF($AB879="",FALSE,AND($AB879&gt;p_dias_backlog_min,$AB879&lt;=p_dias_backlog_max))</f>
        <v/>
      </c>
      <c r="AE879" s="6" t="n"/>
      <c r="AF879" s="3">
        <f>IF($AE879="","",IF((IFERROR(INDEX('ASIGNACIONES'!$F$4:$F$339,MATCH($O879&amp;"|"&amp;$R879&amp;"|"&amp;$AE879,'ASIGNACIONES'!$J$4:$J$339,0)),""))=0,"",IFERROR(INDEX('ASIGNACIONES'!$F$4:$F$339,MATCH($O879&amp;"|"&amp;$R879&amp;"|"&amp;$AE879,'ASIGNACIONES'!$J$4:$J$339,0)),"")))</f>
        <v/>
      </c>
      <c r="AG879" s="13">
        <f>IF($AE879="","",SUMIFS('ORDENES'!$M$4:$M$1203,'ORDENES'!$AE$4:$AE$1203,$AE879,'ORDENES'!$O$4:$O$1203,$O879,'ORDENES'!$R$4:$R$1203,$R879))</f>
        <v/>
      </c>
      <c r="AH879" s="13">
        <f>IF($AG879="","",p_factor_productividad*IFERROR(INDEX('ASIGNACIONES'!$I$4:$I$339,MATCH($O879&amp;"|"&amp;$R879&amp;"|"&amp;$AE879,'ASIGNACIONES'!$J$4:$J$339,0)),0)-$AG879)</f>
        <v/>
      </c>
      <c r="AI879" s="10">
        <f>IF($A879="","",IFERROR(INDEX('2_IMPORTAR_EJECUCION'!$F$9:$F$1208,MATCH($AQ879,'2_IMPORTAR_EJECUCION'!$J$9:$J$1208,0)),0))</f>
        <v/>
      </c>
      <c r="AJ879" s="10">
        <f>IF($A879="","",MAX(0,IFERROR(INDEX('2_IMPORTAR_EJECUCION'!$H$9:$H$1208,MATCH($AQ879,'2_IMPORTAR_EJECUCION'!$J$9:$J$1208,0)),0)-$AI879))</f>
        <v/>
      </c>
      <c r="AK879" s="10">
        <f>IF($A879="","",$AI879+$AJ879)</f>
        <v/>
      </c>
      <c r="AL879" s="6" t="n"/>
      <c r="AM879" s="6" t="n"/>
      <c r="AN879" s="6" t="n"/>
      <c r="AO879" s="3">
        <f>IF($AN879="","",HYPERLINK(p_ruta_base_checklists&amp;$AN879,"abrir"))</f>
        <v/>
      </c>
      <c r="AP879" s="6" t="n"/>
      <c r="AQ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IF($A880="","",IFERROR(INDEX('AJUSTES'!$B$4:$B$303,MATCH($AQ880,'AJUSTES'!$A$4:$A$303,0)),IF($K880="","",$K880)))</f>
        <v/>
      </c>
      <c r="N880" s="3">
        <f>IF($A880="","",IFERROR(INDEX('CAT_ESTADOS_ERP'!$B$4:$B$7,MATCH(IFERROR(INDEX('2_IMPORTAR_EJECUCION'!$C$9:$C$1208,MATCH($AQ880,'2_IMPORTAR_EJECUCION'!$J$9:$J$1208,0)),""),'CAT_ESTADOS_ERP'!$A$4:$A$7,0)),"Pendiente"))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J880="","",IFERROR(INDEX('CALENDARIO'!$C$15:$C$214,MATCH(TEXT($J880,"yyyy-mm-dd")&amp;"|"&amp;$V880&amp;"|"&amp;$W880,'CALENDARIO'!$G$15:$G$214,0)),IFERROR(INDEX('CALENDARIO'!$C$15:$C$214,MATCH(TEXT($J880,"yyyy-mm-dd")&amp;"|"&amp;$V880&amp;"|",'CALENDARIO'!$G$15:$G$214,0)),IFERROR(INDEX('CALENDARIO'!$C$15:$C$214,MATCH(TEXT($J880,"yyyy-mm-dd")&amp;"||",'CALENDARIO'!$G$15:$G$214,0)),INDEX(patronHabil,WEEKDAY($J880,2))))))</f>
        <v/>
      </c>
      <c r="T880" s="3">
        <f>IF($I880="","",IFERROR(INDEX('CAT_TIPOS_OT'!$C$4:$C$7,MATCH($I880,'CAT_TIPOS_OT'!$A$4:$A$7,0)),"sin_clasificar"))</f>
        <v/>
      </c>
      <c r="U880" s="3">
        <f>IF($F880="","",IFERROR(INDEX('CAT_CENTROS_COSTO'!$F$4:$F$13,MATCH($F880,'CAT_CENTROS_COSTO'!$A$4:$A$13,0)),"(sin catálogo)"))</f>
        <v/>
      </c>
      <c r="V880" s="3">
        <f>IF($F880="","",IFERROR(INDEX('CAT_CENTROS_COSTO'!$D$4:$D$13,MATCH($F880,'CAT_CENTROS_COSTO'!$A$4:$A$13,0)),"(sin catálogo)"))</f>
        <v/>
      </c>
      <c r="W880" s="3">
        <f>IF($F880="","",IF((IFERROR(INDEX('CAT_CENTROS_COSTO'!$E$4:$E$13,MATCH($F880,'CAT_CENTROS_COSTO'!$A$4:$A$13,0)),""))&lt;&gt;"",IFERROR(INDEX('CAT_CENTROS_COSTO'!$E$4:$E$13,MATCH($F880,'CAT_CENTROS_COSTO'!$A$4:$A$13,0)),""),$V880))</f>
        <v/>
      </c>
      <c r="X880" s="3">
        <f>IF($F880="","",IFERROR(INDEX('CAT_CENTROS_COSTO'!$G$4:$G$13,MATCH($F880,'CAT_CENTROS_COSTO'!$A$4:$A$13,0)),"(sin catálogo)"))</f>
        <v/>
      </c>
      <c r="Y880" s="3">
        <f>IF($G880="","",IFERROR(INDEX('CAT_PUESTOS'!$B$4:$B$8,MATCH($G880,'CAT_PUESTOS'!$A$4:$A$8,0)),"(sin catálogo)"))</f>
        <v/>
      </c>
      <c r="Z880" s="3">
        <f>IF($H880="","",IFERROR(INDEX('CAT_ACTIVIDADES'!$B$4:$B$8,MATCH($H880,'CAT_ACTIVIDADES'!$A$4:$A$8,0)),"(sin catálogo)"))</f>
        <v/>
      </c>
      <c r="AA880" s="12">
        <f>IF($J880="","",TODAY()-$J880)</f>
        <v/>
      </c>
      <c r="AB880" s="12">
        <f>IF($J880="","",IF($J880&lt;=TODAY(),COUNTIFS(cal_fechas,"&gt;="&amp;$J880,cal_fechas,"&lt;"&amp;TODAY(),cal_habil,"sí"),-COUNTIFS(cal_fechas,"&gt;="&amp;TODAY(),cal_fechas,"&lt;"&amp;$J880,cal_habil,"sí")))</f>
        <v/>
      </c>
      <c r="AC880" s="3">
        <f>IF($AB880="","",IF($AB880&lt;0,"FUTURO",IF($AB880&gt;p_dias_backlog_max,"BACKLOG","MES CORRIENTE")))</f>
        <v/>
      </c>
      <c r="AD880" s="3">
        <f>IF($AB880="",FALSE,AND($AB880&gt;p_dias_backlog_min,$AB880&lt;=p_dias_backlog_max))</f>
        <v/>
      </c>
      <c r="AE880" s="6" t="n"/>
      <c r="AF880" s="3">
        <f>IF($AE880="","",IF((IFERROR(INDEX('ASIGNACIONES'!$F$4:$F$339,MATCH($O880&amp;"|"&amp;$R880&amp;"|"&amp;$AE880,'ASIGNACIONES'!$J$4:$J$339,0)),""))=0,"",IFERROR(INDEX('ASIGNACIONES'!$F$4:$F$339,MATCH($O880&amp;"|"&amp;$R880&amp;"|"&amp;$AE880,'ASIGNACIONES'!$J$4:$J$339,0)),"")))</f>
        <v/>
      </c>
      <c r="AG880" s="13">
        <f>IF($AE880="","",SUMIFS('ORDENES'!$M$4:$M$1203,'ORDENES'!$AE$4:$AE$1203,$AE880,'ORDENES'!$O$4:$O$1203,$O880,'ORDENES'!$R$4:$R$1203,$R880))</f>
        <v/>
      </c>
      <c r="AH880" s="13">
        <f>IF($AG880="","",p_factor_productividad*IFERROR(INDEX('ASIGNACIONES'!$I$4:$I$339,MATCH($O880&amp;"|"&amp;$R880&amp;"|"&amp;$AE880,'ASIGNACIONES'!$J$4:$J$339,0)),0)-$AG880)</f>
        <v/>
      </c>
      <c r="AI880" s="10">
        <f>IF($A880="","",IFERROR(INDEX('2_IMPORTAR_EJECUCION'!$F$9:$F$1208,MATCH($AQ880,'2_IMPORTAR_EJECUCION'!$J$9:$J$1208,0)),0))</f>
        <v/>
      </c>
      <c r="AJ880" s="10">
        <f>IF($A880="","",MAX(0,IFERROR(INDEX('2_IMPORTAR_EJECUCION'!$H$9:$H$1208,MATCH($AQ880,'2_IMPORTAR_EJECUCION'!$J$9:$J$1208,0)),0)-$AI880))</f>
        <v/>
      </c>
      <c r="AK880" s="10">
        <f>IF($A880="","",$AI880+$AJ880)</f>
        <v/>
      </c>
      <c r="AL880" s="6" t="n"/>
      <c r="AM880" s="6" t="n"/>
      <c r="AN880" s="6" t="n"/>
      <c r="AO880" s="3">
        <f>IF($AN880="","",HYPERLINK(p_ruta_base_checklists&amp;$AN880,"abrir"))</f>
        <v/>
      </c>
      <c r="AP880" s="6" t="n"/>
      <c r="AQ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IF($A881="","",IFERROR(INDEX('AJUSTES'!$B$4:$B$303,MATCH($AQ881,'AJUSTES'!$A$4:$A$303,0)),IF($K881="","",$K881)))</f>
        <v/>
      </c>
      <c r="N881" s="3">
        <f>IF($A881="","",IFERROR(INDEX('CAT_ESTADOS_ERP'!$B$4:$B$7,MATCH(IFERROR(INDEX('2_IMPORTAR_EJECUCION'!$C$9:$C$1208,MATCH($AQ881,'2_IMPORTAR_EJECUCION'!$J$9:$J$1208,0)),""),'CAT_ESTADOS_ERP'!$A$4:$A$7,0)),"Pendiente"))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J881="","",IFERROR(INDEX('CALENDARIO'!$C$15:$C$214,MATCH(TEXT($J881,"yyyy-mm-dd")&amp;"|"&amp;$V881&amp;"|"&amp;$W881,'CALENDARIO'!$G$15:$G$214,0)),IFERROR(INDEX('CALENDARIO'!$C$15:$C$214,MATCH(TEXT($J881,"yyyy-mm-dd")&amp;"|"&amp;$V881&amp;"|",'CALENDARIO'!$G$15:$G$214,0)),IFERROR(INDEX('CALENDARIO'!$C$15:$C$214,MATCH(TEXT($J881,"yyyy-mm-dd")&amp;"||",'CALENDARIO'!$G$15:$G$214,0)),INDEX(patronHabil,WEEKDAY($J881,2))))))</f>
        <v/>
      </c>
      <c r="T881" s="3">
        <f>IF($I881="","",IFERROR(INDEX('CAT_TIPOS_OT'!$C$4:$C$7,MATCH($I881,'CAT_TIPOS_OT'!$A$4:$A$7,0)),"sin_clasificar"))</f>
        <v/>
      </c>
      <c r="U881" s="3">
        <f>IF($F881="","",IFERROR(INDEX('CAT_CENTROS_COSTO'!$F$4:$F$13,MATCH($F881,'CAT_CENTROS_COSTO'!$A$4:$A$13,0)),"(sin catálogo)"))</f>
        <v/>
      </c>
      <c r="V881" s="3">
        <f>IF($F881="","",IFERROR(INDEX('CAT_CENTROS_COSTO'!$D$4:$D$13,MATCH($F881,'CAT_CENTROS_COSTO'!$A$4:$A$13,0)),"(sin catálogo)"))</f>
        <v/>
      </c>
      <c r="W881" s="3">
        <f>IF($F881="","",IF((IFERROR(INDEX('CAT_CENTROS_COSTO'!$E$4:$E$13,MATCH($F881,'CAT_CENTROS_COSTO'!$A$4:$A$13,0)),""))&lt;&gt;"",IFERROR(INDEX('CAT_CENTROS_COSTO'!$E$4:$E$13,MATCH($F881,'CAT_CENTROS_COSTO'!$A$4:$A$13,0)),""),$V881))</f>
        <v/>
      </c>
      <c r="X881" s="3">
        <f>IF($F881="","",IFERROR(INDEX('CAT_CENTROS_COSTO'!$G$4:$G$13,MATCH($F881,'CAT_CENTROS_COSTO'!$A$4:$A$13,0)),"(sin catálogo)"))</f>
        <v/>
      </c>
      <c r="Y881" s="3">
        <f>IF($G881="","",IFERROR(INDEX('CAT_PUESTOS'!$B$4:$B$8,MATCH($G881,'CAT_PUESTOS'!$A$4:$A$8,0)),"(sin catálogo)"))</f>
        <v/>
      </c>
      <c r="Z881" s="3">
        <f>IF($H881="","",IFERROR(INDEX('CAT_ACTIVIDADES'!$B$4:$B$8,MATCH($H881,'CAT_ACTIVIDADES'!$A$4:$A$8,0)),"(sin catálogo)"))</f>
        <v/>
      </c>
      <c r="AA881" s="12">
        <f>IF($J881="","",TODAY()-$J881)</f>
        <v/>
      </c>
      <c r="AB881" s="12">
        <f>IF($J881="","",IF($J881&lt;=TODAY(),COUNTIFS(cal_fechas,"&gt;="&amp;$J881,cal_fechas,"&lt;"&amp;TODAY(),cal_habil,"sí"),-COUNTIFS(cal_fechas,"&gt;="&amp;TODAY(),cal_fechas,"&lt;"&amp;$J881,cal_habil,"sí")))</f>
        <v/>
      </c>
      <c r="AC881" s="3">
        <f>IF($AB881="","",IF($AB881&lt;0,"FUTURO",IF($AB881&gt;p_dias_backlog_max,"BACKLOG","MES CORRIENTE")))</f>
        <v/>
      </c>
      <c r="AD881" s="3">
        <f>IF($AB881="",FALSE,AND($AB881&gt;p_dias_backlog_min,$AB881&lt;=p_dias_backlog_max))</f>
        <v/>
      </c>
      <c r="AE881" s="6" t="n"/>
      <c r="AF881" s="3">
        <f>IF($AE881="","",IF((IFERROR(INDEX('ASIGNACIONES'!$F$4:$F$339,MATCH($O881&amp;"|"&amp;$R881&amp;"|"&amp;$AE881,'ASIGNACIONES'!$J$4:$J$339,0)),""))=0,"",IFERROR(INDEX('ASIGNACIONES'!$F$4:$F$339,MATCH($O881&amp;"|"&amp;$R881&amp;"|"&amp;$AE881,'ASIGNACIONES'!$J$4:$J$339,0)),"")))</f>
        <v/>
      </c>
      <c r="AG881" s="13">
        <f>IF($AE881="","",SUMIFS('ORDENES'!$M$4:$M$1203,'ORDENES'!$AE$4:$AE$1203,$AE881,'ORDENES'!$O$4:$O$1203,$O881,'ORDENES'!$R$4:$R$1203,$R881))</f>
        <v/>
      </c>
      <c r="AH881" s="13">
        <f>IF($AG881="","",p_factor_productividad*IFERROR(INDEX('ASIGNACIONES'!$I$4:$I$339,MATCH($O881&amp;"|"&amp;$R881&amp;"|"&amp;$AE881,'ASIGNACIONES'!$J$4:$J$339,0)),0)-$AG881)</f>
        <v/>
      </c>
      <c r="AI881" s="10">
        <f>IF($A881="","",IFERROR(INDEX('2_IMPORTAR_EJECUCION'!$F$9:$F$1208,MATCH($AQ881,'2_IMPORTAR_EJECUCION'!$J$9:$J$1208,0)),0))</f>
        <v/>
      </c>
      <c r="AJ881" s="10">
        <f>IF($A881="","",MAX(0,IFERROR(INDEX('2_IMPORTAR_EJECUCION'!$H$9:$H$1208,MATCH($AQ881,'2_IMPORTAR_EJECUCION'!$J$9:$J$1208,0)),0)-$AI881))</f>
        <v/>
      </c>
      <c r="AK881" s="10">
        <f>IF($A881="","",$AI881+$AJ881)</f>
        <v/>
      </c>
      <c r="AL881" s="6" t="n"/>
      <c r="AM881" s="6" t="n"/>
      <c r="AN881" s="6" t="n"/>
      <c r="AO881" s="3">
        <f>IF($AN881="","",HYPERLINK(p_ruta_base_checklists&amp;$AN881,"abrir"))</f>
        <v/>
      </c>
      <c r="AP881" s="6" t="n"/>
      <c r="AQ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IF($A882="","",IFERROR(INDEX('AJUSTES'!$B$4:$B$303,MATCH($AQ882,'AJUSTES'!$A$4:$A$303,0)),IF($K882="","",$K882)))</f>
        <v/>
      </c>
      <c r="N882" s="3">
        <f>IF($A882="","",IFERROR(INDEX('CAT_ESTADOS_ERP'!$B$4:$B$7,MATCH(IFERROR(INDEX('2_IMPORTAR_EJECUCION'!$C$9:$C$1208,MATCH($AQ882,'2_IMPORTAR_EJECUCION'!$J$9:$J$1208,0)),""),'CAT_ESTADOS_ERP'!$A$4:$A$7,0)),"Pendiente"))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J882="","",IFERROR(INDEX('CALENDARIO'!$C$15:$C$214,MATCH(TEXT($J882,"yyyy-mm-dd")&amp;"|"&amp;$V882&amp;"|"&amp;$W882,'CALENDARIO'!$G$15:$G$214,0)),IFERROR(INDEX('CALENDARIO'!$C$15:$C$214,MATCH(TEXT($J882,"yyyy-mm-dd")&amp;"|"&amp;$V882&amp;"|",'CALENDARIO'!$G$15:$G$214,0)),IFERROR(INDEX('CALENDARIO'!$C$15:$C$214,MATCH(TEXT($J882,"yyyy-mm-dd")&amp;"||",'CALENDARIO'!$G$15:$G$214,0)),INDEX(patronHabil,WEEKDAY($J882,2))))))</f>
        <v/>
      </c>
      <c r="T882" s="3">
        <f>IF($I882="","",IFERROR(INDEX('CAT_TIPOS_OT'!$C$4:$C$7,MATCH($I882,'CAT_TIPOS_OT'!$A$4:$A$7,0)),"sin_clasificar"))</f>
        <v/>
      </c>
      <c r="U882" s="3">
        <f>IF($F882="","",IFERROR(INDEX('CAT_CENTROS_COSTO'!$F$4:$F$13,MATCH($F882,'CAT_CENTROS_COSTO'!$A$4:$A$13,0)),"(sin catálogo)"))</f>
        <v/>
      </c>
      <c r="V882" s="3">
        <f>IF($F882="","",IFERROR(INDEX('CAT_CENTROS_COSTO'!$D$4:$D$13,MATCH($F882,'CAT_CENTROS_COSTO'!$A$4:$A$13,0)),"(sin catálogo)"))</f>
        <v/>
      </c>
      <c r="W882" s="3">
        <f>IF($F882="","",IF((IFERROR(INDEX('CAT_CENTROS_COSTO'!$E$4:$E$13,MATCH($F882,'CAT_CENTROS_COSTO'!$A$4:$A$13,0)),""))&lt;&gt;"",IFERROR(INDEX('CAT_CENTROS_COSTO'!$E$4:$E$13,MATCH($F882,'CAT_CENTROS_COSTO'!$A$4:$A$13,0)),""),$V882))</f>
        <v/>
      </c>
      <c r="X882" s="3">
        <f>IF($F882="","",IFERROR(INDEX('CAT_CENTROS_COSTO'!$G$4:$G$13,MATCH($F882,'CAT_CENTROS_COSTO'!$A$4:$A$13,0)),"(sin catálogo)"))</f>
        <v/>
      </c>
      <c r="Y882" s="3">
        <f>IF($G882="","",IFERROR(INDEX('CAT_PUESTOS'!$B$4:$B$8,MATCH($G882,'CAT_PUESTOS'!$A$4:$A$8,0)),"(sin catálogo)"))</f>
        <v/>
      </c>
      <c r="Z882" s="3">
        <f>IF($H882="","",IFERROR(INDEX('CAT_ACTIVIDADES'!$B$4:$B$8,MATCH($H882,'CAT_ACTIVIDADES'!$A$4:$A$8,0)),"(sin catálogo)"))</f>
        <v/>
      </c>
      <c r="AA882" s="12">
        <f>IF($J882="","",TODAY()-$J882)</f>
        <v/>
      </c>
      <c r="AB882" s="12">
        <f>IF($J882="","",IF($J882&lt;=TODAY(),COUNTIFS(cal_fechas,"&gt;="&amp;$J882,cal_fechas,"&lt;"&amp;TODAY(),cal_habil,"sí"),-COUNTIFS(cal_fechas,"&gt;="&amp;TODAY(),cal_fechas,"&lt;"&amp;$J882,cal_habil,"sí")))</f>
        <v/>
      </c>
      <c r="AC882" s="3">
        <f>IF($AB882="","",IF($AB882&lt;0,"FUTURO",IF($AB882&gt;p_dias_backlog_max,"BACKLOG","MES CORRIENTE")))</f>
        <v/>
      </c>
      <c r="AD882" s="3">
        <f>IF($AB882="",FALSE,AND($AB882&gt;p_dias_backlog_min,$AB882&lt;=p_dias_backlog_max))</f>
        <v/>
      </c>
      <c r="AE882" s="6" t="n"/>
      <c r="AF882" s="3">
        <f>IF($AE882="","",IF((IFERROR(INDEX('ASIGNACIONES'!$F$4:$F$339,MATCH($O882&amp;"|"&amp;$R882&amp;"|"&amp;$AE882,'ASIGNACIONES'!$J$4:$J$339,0)),""))=0,"",IFERROR(INDEX('ASIGNACIONES'!$F$4:$F$339,MATCH($O882&amp;"|"&amp;$R882&amp;"|"&amp;$AE882,'ASIGNACIONES'!$J$4:$J$339,0)),"")))</f>
        <v/>
      </c>
      <c r="AG882" s="13">
        <f>IF($AE882="","",SUMIFS('ORDENES'!$M$4:$M$1203,'ORDENES'!$AE$4:$AE$1203,$AE882,'ORDENES'!$O$4:$O$1203,$O882,'ORDENES'!$R$4:$R$1203,$R882))</f>
        <v/>
      </c>
      <c r="AH882" s="13">
        <f>IF($AG882="","",p_factor_productividad*IFERROR(INDEX('ASIGNACIONES'!$I$4:$I$339,MATCH($O882&amp;"|"&amp;$R882&amp;"|"&amp;$AE882,'ASIGNACIONES'!$J$4:$J$339,0)),0)-$AG882)</f>
        <v/>
      </c>
      <c r="AI882" s="10">
        <f>IF($A882="","",IFERROR(INDEX('2_IMPORTAR_EJECUCION'!$F$9:$F$1208,MATCH($AQ882,'2_IMPORTAR_EJECUCION'!$J$9:$J$1208,0)),0))</f>
        <v/>
      </c>
      <c r="AJ882" s="10">
        <f>IF($A882="","",MAX(0,IFERROR(INDEX('2_IMPORTAR_EJECUCION'!$H$9:$H$1208,MATCH($AQ882,'2_IMPORTAR_EJECUCION'!$J$9:$J$1208,0)),0)-$AI882))</f>
        <v/>
      </c>
      <c r="AK882" s="10">
        <f>IF($A882="","",$AI882+$AJ882)</f>
        <v/>
      </c>
      <c r="AL882" s="6" t="n"/>
      <c r="AM882" s="6" t="n"/>
      <c r="AN882" s="6" t="n"/>
      <c r="AO882" s="3">
        <f>IF($AN882="","",HYPERLINK(p_ruta_base_checklists&amp;$AN882,"abrir"))</f>
        <v/>
      </c>
      <c r="AP882" s="6" t="n"/>
      <c r="AQ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IF($A883="","",IFERROR(INDEX('AJUSTES'!$B$4:$B$303,MATCH($AQ883,'AJUSTES'!$A$4:$A$303,0)),IF($K883="","",$K883)))</f>
        <v/>
      </c>
      <c r="N883" s="3">
        <f>IF($A883="","",IFERROR(INDEX('CAT_ESTADOS_ERP'!$B$4:$B$7,MATCH(IFERROR(INDEX('2_IMPORTAR_EJECUCION'!$C$9:$C$1208,MATCH($AQ883,'2_IMPORTAR_EJECUCION'!$J$9:$J$1208,0)),""),'CAT_ESTADOS_ERP'!$A$4:$A$7,0)),"Pendiente"))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J883="","",IFERROR(INDEX('CALENDARIO'!$C$15:$C$214,MATCH(TEXT($J883,"yyyy-mm-dd")&amp;"|"&amp;$V883&amp;"|"&amp;$W883,'CALENDARIO'!$G$15:$G$214,0)),IFERROR(INDEX('CALENDARIO'!$C$15:$C$214,MATCH(TEXT($J883,"yyyy-mm-dd")&amp;"|"&amp;$V883&amp;"|",'CALENDARIO'!$G$15:$G$214,0)),IFERROR(INDEX('CALENDARIO'!$C$15:$C$214,MATCH(TEXT($J883,"yyyy-mm-dd")&amp;"||",'CALENDARIO'!$G$15:$G$214,0)),INDEX(patronHabil,WEEKDAY($J883,2))))))</f>
        <v/>
      </c>
      <c r="T883" s="3">
        <f>IF($I883="","",IFERROR(INDEX('CAT_TIPOS_OT'!$C$4:$C$7,MATCH($I883,'CAT_TIPOS_OT'!$A$4:$A$7,0)),"sin_clasificar"))</f>
        <v/>
      </c>
      <c r="U883" s="3">
        <f>IF($F883="","",IFERROR(INDEX('CAT_CENTROS_COSTO'!$F$4:$F$13,MATCH($F883,'CAT_CENTROS_COSTO'!$A$4:$A$13,0)),"(sin catálogo)"))</f>
        <v/>
      </c>
      <c r="V883" s="3">
        <f>IF($F883="","",IFERROR(INDEX('CAT_CENTROS_COSTO'!$D$4:$D$13,MATCH($F883,'CAT_CENTROS_COSTO'!$A$4:$A$13,0)),"(sin catálogo)"))</f>
        <v/>
      </c>
      <c r="W883" s="3">
        <f>IF($F883="","",IF((IFERROR(INDEX('CAT_CENTROS_COSTO'!$E$4:$E$13,MATCH($F883,'CAT_CENTROS_COSTO'!$A$4:$A$13,0)),""))&lt;&gt;"",IFERROR(INDEX('CAT_CENTROS_COSTO'!$E$4:$E$13,MATCH($F883,'CAT_CENTROS_COSTO'!$A$4:$A$13,0)),""),$V883))</f>
        <v/>
      </c>
      <c r="X883" s="3">
        <f>IF($F883="","",IFERROR(INDEX('CAT_CENTROS_COSTO'!$G$4:$G$13,MATCH($F883,'CAT_CENTROS_COSTO'!$A$4:$A$13,0)),"(sin catálogo)"))</f>
        <v/>
      </c>
      <c r="Y883" s="3">
        <f>IF($G883="","",IFERROR(INDEX('CAT_PUESTOS'!$B$4:$B$8,MATCH($G883,'CAT_PUESTOS'!$A$4:$A$8,0)),"(sin catálogo)"))</f>
        <v/>
      </c>
      <c r="Z883" s="3">
        <f>IF($H883="","",IFERROR(INDEX('CAT_ACTIVIDADES'!$B$4:$B$8,MATCH($H883,'CAT_ACTIVIDADES'!$A$4:$A$8,0)),"(sin catálogo)"))</f>
        <v/>
      </c>
      <c r="AA883" s="12">
        <f>IF($J883="","",TODAY()-$J883)</f>
        <v/>
      </c>
      <c r="AB883" s="12">
        <f>IF($J883="","",IF($J883&lt;=TODAY(),COUNTIFS(cal_fechas,"&gt;="&amp;$J883,cal_fechas,"&lt;"&amp;TODAY(),cal_habil,"sí"),-COUNTIFS(cal_fechas,"&gt;="&amp;TODAY(),cal_fechas,"&lt;"&amp;$J883,cal_habil,"sí")))</f>
        <v/>
      </c>
      <c r="AC883" s="3">
        <f>IF($AB883="","",IF($AB883&lt;0,"FUTURO",IF($AB883&gt;p_dias_backlog_max,"BACKLOG","MES CORRIENTE")))</f>
        <v/>
      </c>
      <c r="AD883" s="3">
        <f>IF($AB883="",FALSE,AND($AB883&gt;p_dias_backlog_min,$AB883&lt;=p_dias_backlog_max))</f>
        <v/>
      </c>
      <c r="AE883" s="6" t="n"/>
      <c r="AF883" s="3">
        <f>IF($AE883="","",IF((IFERROR(INDEX('ASIGNACIONES'!$F$4:$F$339,MATCH($O883&amp;"|"&amp;$R883&amp;"|"&amp;$AE883,'ASIGNACIONES'!$J$4:$J$339,0)),""))=0,"",IFERROR(INDEX('ASIGNACIONES'!$F$4:$F$339,MATCH($O883&amp;"|"&amp;$R883&amp;"|"&amp;$AE883,'ASIGNACIONES'!$J$4:$J$339,0)),"")))</f>
        <v/>
      </c>
      <c r="AG883" s="13">
        <f>IF($AE883="","",SUMIFS('ORDENES'!$M$4:$M$1203,'ORDENES'!$AE$4:$AE$1203,$AE883,'ORDENES'!$O$4:$O$1203,$O883,'ORDENES'!$R$4:$R$1203,$R883))</f>
        <v/>
      </c>
      <c r="AH883" s="13">
        <f>IF($AG883="","",p_factor_productividad*IFERROR(INDEX('ASIGNACIONES'!$I$4:$I$339,MATCH($O883&amp;"|"&amp;$R883&amp;"|"&amp;$AE883,'ASIGNACIONES'!$J$4:$J$339,0)),0)-$AG883)</f>
        <v/>
      </c>
      <c r="AI883" s="10">
        <f>IF($A883="","",IFERROR(INDEX('2_IMPORTAR_EJECUCION'!$F$9:$F$1208,MATCH($AQ883,'2_IMPORTAR_EJECUCION'!$J$9:$J$1208,0)),0))</f>
        <v/>
      </c>
      <c r="AJ883" s="10">
        <f>IF($A883="","",MAX(0,IFERROR(INDEX('2_IMPORTAR_EJECUCION'!$H$9:$H$1208,MATCH($AQ883,'2_IMPORTAR_EJECUCION'!$J$9:$J$1208,0)),0)-$AI883))</f>
        <v/>
      </c>
      <c r="AK883" s="10">
        <f>IF($A883="","",$AI883+$AJ883)</f>
        <v/>
      </c>
      <c r="AL883" s="6" t="n"/>
      <c r="AM883" s="6" t="n"/>
      <c r="AN883" s="6" t="n"/>
      <c r="AO883" s="3">
        <f>IF($AN883="","",HYPERLINK(p_ruta_base_checklists&amp;$AN883,"abrir"))</f>
        <v/>
      </c>
      <c r="AP883" s="6" t="n"/>
      <c r="AQ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IF($A884="","",IFERROR(INDEX('AJUSTES'!$B$4:$B$303,MATCH($AQ884,'AJUSTES'!$A$4:$A$303,0)),IF($K884="","",$K884)))</f>
        <v/>
      </c>
      <c r="N884" s="3">
        <f>IF($A884="","",IFERROR(INDEX('CAT_ESTADOS_ERP'!$B$4:$B$7,MATCH(IFERROR(INDEX('2_IMPORTAR_EJECUCION'!$C$9:$C$1208,MATCH($AQ884,'2_IMPORTAR_EJECUCION'!$J$9:$J$1208,0)),""),'CAT_ESTADOS_ERP'!$A$4:$A$7,0)),"Pendiente"))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J884="","",IFERROR(INDEX('CALENDARIO'!$C$15:$C$214,MATCH(TEXT($J884,"yyyy-mm-dd")&amp;"|"&amp;$V884&amp;"|"&amp;$W884,'CALENDARIO'!$G$15:$G$214,0)),IFERROR(INDEX('CALENDARIO'!$C$15:$C$214,MATCH(TEXT($J884,"yyyy-mm-dd")&amp;"|"&amp;$V884&amp;"|",'CALENDARIO'!$G$15:$G$214,0)),IFERROR(INDEX('CALENDARIO'!$C$15:$C$214,MATCH(TEXT($J884,"yyyy-mm-dd")&amp;"||",'CALENDARIO'!$G$15:$G$214,0)),INDEX(patronHabil,WEEKDAY($J884,2))))))</f>
        <v/>
      </c>
      <c r="T884" s="3">
        <f>IF($I884="","",IFERROR(INDEX('CAT_TIPOS_OT'!$C$4:$C$7,MATCH($I884,'CAT_TIPOS_OT'!$A$4:$A$7,0)),"sin_clasificar"))</f>
        <v/>
      </c>
      <c r="U884" s="3">
        <f>IF($F884="","",IFERROR(INDEX('CAT_CENTROS_COSTO'!$F$4:$F$13,MATCH($F884,'CAT_CENTROS_COSTO'!$A$4:$A$13,0)),"(sin catálogo)"))</f>
        <v/>
      </c>
      <c r="V884" s="3">
        <f>IF($F884="","",IFERROR(INDEX('CAT_CENTROS_COSTO'!$D$4:$D$13,MATCH($F884,'CAT_CENTROS_COSTO'!$A$4:$A$13,0)),"(sin catálogo)"))</f>
        <v/>
      </c>
      <c r="W884" s="3">
        <f>IF($F884="","",IF((IFERROR(INDEX('CAT_CENTROS_COSTO'!$E$4:$E$13,MATCH($F884,'CAT_CENTROS_COSTO'!$A$4:$A$13,0)),""))&lt;&gt;"",IFERROR(INDEX('CAT_CENTROS_COSTO'!$E$4:$E$13,MATCH($F884,'CAT_CENTROS_COSTO'!$A$4:$A$13,0)),""),$V884))</f>
        <v/>
      </c>
      <c r="X884" s="3">
        <f>IF($F884="","",IFERROR(INDEX('CAT_CENTROS_COSTO'!$G$4:$G$13,MATCH($F884,'CAT_CENTROS_COSTO'!$A$4:$A$13,0)),"(sin catálogo)"))</f>
        <v/>
      </c>
      <c r="Y884" s="3">
        <f>IF($G884="","",IFERROR(INDEX('CAT_PUESTOS'!$B$4:$B$8,MATCH($G884,'CAT_PUESTOS'!$A$4:$A$8,0)),"(sin catálogo)"))</f>
        <v/>
      </c>
      <c r="Z884" s="3">
        <f>IF($H884="","",IFERROR(INDEX('CAT_ACTIVIDADES'!$B$4:$B$8,MATCH($H884,'CAT_ACTIVIDADES'!$A$4:$A$8,0)),"(sin catálogo)"))</f>
        <v/>
      </c>
      <c r="AA884" s="12">
        <f>IF($J884="","",TODAY()-$J884)</f>
        <v/>
      </c>
      <c r="AB884" s="12">
        <f>IF($J884="","",IF($J884&lt;=TODAY(),COUNTIFS(cal_fechas,"&gt;="&amp;$J884,cal_fechas,"&lt;"&amp;TODAY(),cal_habil,"sí"),-COUNTIFS(cal_fechas,"&gt;="&amp;TODAY(),cal_fechas,"&lt;"&amp;$J884,cal_habil,"sí")))</f>
        <v/>
      </c>
      <c r="AC884" s="3">
        <f>IF($AB884="","",IF($AB884&lt;0,"FUTURO",IF($AB884&gt;p_dias_backlog_max,"BACKLOG","MES CORRIENTE")))</f>
        <v/>
      </c>
      <c r="AD884" s="3">
        <f>IF($AB884="",FALSE,AND($AB884&gt;p_dias_backlog_min,$AB884&lt;=p_dias_backlog_max))</f>
        <v/>
      </c>
      <c r="AE884" s="6" t="n"/>
      <c r="AF884" s="3">
        <f>IF($AE884="","",IF((IFERROR(INDEX('ASIGNACIONES'!$F$4:$F$339,MATCH($O884&amp;"|"&amp;$R884&amp;"|"&amp;$AE884,'ASIGNACIONES'!$J$4:$J$339,0)),""))=0,"",IFERROR(INDEX('ASIGNACIONES'!$F$4:$F$339,MATCH($O884&amp;"|"&amp;$R884&amp;"|"&amp;$AE884,'ASIGNACIONES'!$J$4:$J$339,0)),"")))</f>
        <v/>
      </c>
      <c r="AG884" s="13">
        <f>IF($AE884="","",SUMIFS('ORDENES'!$M$4:$M$1203,'ORDENES'!$AE$4:$AE$1203,$AE884,'ORDENES'!$O$4:$O$1203,$O884,'ORDENES'!$R$4:$R$1203,$R884))</f>
        <v/>
      </c>
      <c r="AH884" s="13">
        <f>IF($AG884="","",p_factor_productividad*IFERROR(INDEX('ASIGNACIONES'!$I$4:$I$339,MATCH($O884&amp;"|"&amp;$R884&amp;"|"&amp;$AE884,'ASIGNACIONES'!$J$4:$J$339,0)),0)-$AG884)</f>
        <v/>
      </c>
      <c r="AI884" s="10">
        <f>IF($A884="","",IFERROR(INDEX('2_IMPORTAR_EJECUCION'!$F$9:$F$1208,MATCH($AQ884,'2_IMPORTAR_EJECUCION'!$J$9:$J$1208,0)),0))</f>
        <v/>
      </c>
      <c r="AJ884" s="10">
        <f>IF($A884="","",MAX(0,IFERROR(INDEX('2_IMPORTAR_EJECUCION'!$H$9:$H$1208,MATCH($AQ884,'2_IMPORTAR_EJECUCION'!$J$9:$J$1208,0)),0)-$AI884))</f>
        <v/>
      </c>
      <c r="AK884" s="10">
        <f>IF($A884="","",$AI884+$AJ884)</f>
        <v/>
      </c>
      <c r="AL884" s="6" t="n"/>
      <c r="AM884" s="6" t="n"/>
      <c r="AN884" s="6" t="n"/>
      <c r="AO884" s="3">
        <f>IF($AN884="","",HYPERLINK(p_ruta_base_checklists&amp;$AN884,"abrir"))</f>
        <v/>
      </c>
      <c r="AP884" s="6" t="n"/>
      <c r="AQ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IF($A885="","",IFERROR(INDEX('AJUSTES'!$B$4:$B$303,MATCH($AQ885,'AJUSTES'!$A$4:$A$303,0)),IF($K885="","",$K885)))</f>
        <v/>
      </c>
      <c r="N885" s="3">
        <f>IF($A885="","",IFERROR(INDEX('CAT_ESTADOS_ERP'!$B$4:$B$7,MATCH(IFERROR(INDEX('2_IMPORTAR_EJECUCION'!$C$9:$C$1208,MATCH($AQ885,'2_IMPORTAR_EJECUCION'!$J$9:$J$1208,0)),""),'CAT_ESTADOS_ERP'!$A$4:$A$7,0)),"Pendiente"))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J885="","",IFERROR(INDEX('CALENDARIO'!$C$15:$C$214,MATCH(TEXT($J885,"yyyy-mm-dd")&amp;"|"&amp;$V885&amp;"|"&amp;$W885,'CALENDARIO'!$G$15:$G$214,0)),IFERROR(INDEX('CALENDARIO'!$C$15:$C$214,MATCH(TEXT($J885,"yyyy-mm-dd")&amp;"|"&amp;$V885&amp;"|",'CALENDARIO'!$G$15:$G$214,0)),IFERROR(INDEX('CALENDARIO'!$C$15:$C$214,MATCH(TEXT($J885,"yyyy-mm-dd")&amp;"||",'CALENDARIO'!$G$15:$G$214,0)),INDEX(patronHabil,WEEKDAY($J885,2))))))</f>
        <v/>
      </c>
      <c r="T885" s="3">
        <f>IF($I885="","",IFERROR(INDEX('CAT_TIPOS_OT'!$C$4:$C$7,MATCH($I885,'CAT_TIPOS_OT'!$A$4:$A$7,0)),"sin_clasificar"))</f>
        <v/>
      </c>
      <c r="U885" s="3">
        <f>IF($F885="","",IFERROR(INDEX('CAT_CENTROS_COSTO'!$F$4:$F$13,MATCH($F885,'CAT_CENTROS_COSTO'!$A$4:$A$13,0)),"(sin catálogo)"))</f>
        <v/>
      </c>
      <c r="V885" s="3">
        <f>IF($F885="","",IFERROR(INDEX('CAT_CENTROS_COSTO'!$D$4:$D$13,MATCH($F885,'CAT_CENTROS_COSTO'!$A$4:$A$13,0)),"(sin catálogo)"))</f>
        <v/>
      </c>
      <c r="W885" s="3">
        <f>IF($F885="","",IF((IFERROR(INDEX('CAT_CENTROS_COSTO'!$E$4:$E$13,MATCH($F885,'CAT_CENTROS_COSTO'!$A$4:$A$13,0)),""))&lt;&gt;"",IFERROR(INDEX('CAT_CENTROS_COSTO'!$E$4:$E$13,MATCH($F885,'CAT_CENTROS_COSTO'!$A$4:$A$13,0)),""),$V885))</f>
        <v/>
      </c>
      <c r="X885" s="3">
        <f>IF($F885="","",IFERROR(INDEX('CAT_CENTROS_COSTO'!$G$4:$G$13,MATCH($F885,'CAT_CENTROS_COSTO'!$A$4:$A$13,0)),"(sin catálogo)"))</f>
        <v/>
      </c>
      <c r="Y885" s="3">
        <f>IF($G885="","",IFERROR(INDEX('CAT_PUESTOS'!$B$4:$B$8,MATCH($G885,'CAT_PUESTOS'!$A$4:$A$8,0)),"(sin catálogo)"))</f>
        <v/>
      </c>
      <c r="Z885" s="3">
        <f>IF($H885="","",IFERROR(INDEX('CAT_ACTIVIDADES'!$B$4:$B$8,MATCH($H885,'CAT_ACTIVIDADES'!$A$4:$A$8,0)),"(sin catálogo)"))</f>
        <v/>
      </c>
      <c r="AA885" s="12">
        <f>IF($J885="","",TODAY()-$J885)</f>
        <v/>
      </c>
      <c r="AB885" s="12">
        <f>IF($J885="","",IF($J885&lt;=TODAY(),COUNTIFS(cal_fechas,"&gt;="&amp;$J885,cal_fechas,"&lt;"&amp;TODAY(),cal_habil,"sí"),-COUNTIFS(cal_fechas,"&gt;="&amp;TODAY(),cal_fechas,"&lt;"&amp;$J885,cal_habil,"sí")))</f>
        <v/>
      </c>
      <c r="AC885" s="3">
        <f>IF($AB885="","",IF($AB885&lt;0,"FUTURO",IF($AB885&gt;p_dias_backlog_max,"BACKLOG","MES CORRIENTE")))</f>
        <v/>
      </c>
      <c r="AD885" s="3">
        <f>IF($AB885="",FALSE,AND($AB885&gt;p_dias_backlog_min,$AB885&lt;=p_dias_backlog_max))</f>
        <v/>
      </c>
      <c r="AE885" s="6" t="n"/>
      <c r="AF885" s="3">
        <f>IF($AE885="","",IF((IFERROR(INDEX('ASIGNACIONES'!$F$4:$F$339,MATCH($O885&amp;"|"&amp;$R885&amp;"|"&amp;$AE885,'ASIGNACIONES'!$J$4:$J$339,0)),""))=0,"",IFERROR(INDEX('ASIGNACIONES'!$F$4:$F$339,MATCH($O885&amp;"|"&amp;$R885&amp;"|"&amp;$AE885,'ASIGNACIONES'!$J$4:$J$339,0)),"")))</f>
        <v/>
      </c>
      <c r="AG885" s="13">
        <f>IF($AE885="","",SUMIFS('ORDENES'!$M$4:$M$1203,'ORDENES'!$AE$4:$AE$1203,$AE885,'ORDENES'!$O$4:$O$1203,$O885,'ORDENES'!$R$4:$R$1203,$R885))</f>
        <v/>
      </c>
      <c r="AH885" s="13">
        <f>IF($AG885="","",p_factor_productividad*IFERROR(INDEX('ASIGNACIONES'!$I$4:$I$339,MATCH($O885&amp;"|"&amp;$R885&amp;"|"&amp;$AE885,'ASIGNACIONES'!$J$4:$J$339,0)),0)-$AG885)</f>
        <v/>
      </c>
      <c r="AI885" s="10">
        <f>IF($A885="","",IFERROR(INDEX('2_IMPORTAR_EJECUCION'!$F$9:$F$1208,MATCH($AQ885,'2_IMPORTAR_EJECUCION'!$J$9:$J$1208,0)),0))</f>
        <v/>
      </c>
      <c r="AJ885" s="10">
        <f>IF($A885="","",MAX(0,IFERROR(INDEX('2_IMPORTAR_EJECUCION'!$H$9:$H$1208,MATCH($AQ885,'2_IMPORTAR_EJECUCION'!$J$9:$J$1208,0)),0)-$AI885))</f>
        <v/>
      </c>
      <c r="AK885" s="10">
        <f>IF($A885="","",$AI885+$AJ885)</f>
        <v/>
      </c>
      <c r="AL885" s="6" t="n"/>
      <c r="AM885" s="6" t="n"/>
      <c r="AN885" s="6" t="n"/>
      <c r="AO885" s="3">
        <f>IF($AN885="","",HYPERLINK(p_ruta_base_checklists&amp;$AN885,"abrir"))</f>
        <v/>
      </c>
      <c r="AP885" s="6" t="n"/>
      <c r="AQ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IF($A886="","",IFERROR(INDEX('AJUSTES'!$B$4:$B$303,MATCH($AQ886,'AJUSTES'!$A$4:$A$303,0)),IF($K886="","",$K886)))</f>
        <v/>
      </c>
      <c r="N886" s="3">
        <f>IF($A886="","",IFERROR(INDEX('CAT_ESTADOS_ERP'!$B$4:$B$7,MATCH(IFERROR(INDEX('2_IMPORTAR_EJECUCION'!$C$9:$C$1208,MATCH($AQ886,'2_IMPORTAR_EJECUCION'!$J$9:$J$1208,0)),""),'CAT_ESTADOS_ERP'!$A$4:$A$7,0)),"Pendiente"))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J886="","",IFERROR(INDEX('CALENDARIO'!$C$15:$C$214,MATCH(TEXT($J886,"yyyy-mm-dd")&amp;"|"&amp;$V886&amp;"|"&amp;$W886,'CALENDARIO'!$G$15:$G$214,0)),IFERROR(INDEX('CALENDARIO'!$C$15:$C$214,MATCH(TEXT($J886,"yyyy-mm-dd")&amp;"|"&amp;$V886&amp;"|",'CALENDARIO'!$G$15:$G$214,0)),IFERROR(INDEX('CALENDARIO'!$C$15:$C$214,MATCH(TEXT($J886,"yyyy-mm-dd")&amp;"||",'CALENDARIO'!$G$15:$G$214,0)),INDEX(patronHabil,WEEKDAY($J886,2))))))</f>
        <v/>
      </c>
      <c r="T886" s="3">
        <f>IF($I886="","",IFERROR(INDEX('CAT_TIPOS_OT'!$C$4:$C$7,MATCH($I886,'CAT_TIPOS_OT'!$A$4:$A$7,0)),"sin_clasificar"))</f>
        <v/>
      </c>
      <c r="U886" s="3">
        <f>IF($F886="","",IFERROR(INDEX('CAT_CENTROS_COSTO'!$F$4:$F$13,MATCH($F886,'CAT_CENTROS_COSTO'!$A$4:$A$13,0)),"(sin catálogo)"))</f>
        <v/>
      </c>
      <c r="V886" s="3">
        <f>IF($F886="","",IFERROR(INDEX('CAT_CENTROS_COSTO'!$D$4:$D$13,MATCH($F886,'CAT_CENTROS_COSTO'!$A$4:$A$13,0)),"(sin catálogo)"))</f>
        <v/>
      </c>
      <c r="W886" s="3">
        <f>IF($F886="","",IF((IFERROR(INDEX('CAT_CENTROS_COSTO'!$E$4:$E$13,MATCH($F886,'CAT_CENTROS_COSTO'!$A$4:$A$13,0)),""))&lt;&gt;"",IFERROR(INDEX('CAT_CENTROS_COSTO'!$E$4:$E$13,MATCH($F886,'CAT_CENTROS_COSTO'!$A$4:$A$13,0)),""),$V886))</f>
        <v/>
      </c>
      <c r="X886" s="3">
        <f>IF($F886="","",IFERROR(INDEX('CAT_CENTROS_COSTO'!$G$4:$G$13,MATCH($F886,'CAT_CENTROS_COSTO'!$A$4:$A$13,0)),"(sin catálogo)"))</f>
        <v/>
      </c>
      <c r="Y886" s="3">
        <f>IF($G886="","",IFERROR(INDEX('CAT_PUESTOS'!$B$4:$B$8,MATCH($G886,'CAT_PUESTOS'!$A$4:$A$8,0)),"(sin catálogo)"))</f>
        <v/>
      </c>
      <c r="Z886" s="3">
        <f>IF($H886="","",IFERROR(INDEX('CAT_ACTIVIDADES'!$B$4:$B$8,MATCH($H886,'CAT_ACTIVIDADES'!$A$4:$A$8,0)),"(sin catálogo)"))</f>
        <v/>
      </c>
      <c r="AA886" s="12">
        <f>IF($J886="","",TODAY()-$J886)</f>
        <v/>
      </c>
      <c r="AB886" s="12">
        <f>IF($J886="","",IF($J886&lt;=TODAY(),COUNTIFS(cal_fechas,"&gt;="&amp;$J886,cal_fechas,"&lt;"&amp;TODAY(),cal_habil,"sí"),-COUNTIFS(cal_fechas,"&gt;="&amp;TODAY(),cal_fechas,"&lt;"&amp;$J886,cal_habil,"sí")))</f>
        <v/>
      </c>
      <c r="AC886" s="3">
        <f>IF($AB886="","",IF($AB886&lt;0,"FUTURO",IF($AB886&gt;p_dias_backlog_max,"BACKLOG","MES CORRIENTE")))</f>
        <v/>
      </c>
      <c r="AD886" s="3">
        <f>IF($AB886="",FALSE,AND($AB886&gt;p_dias_backlog_min,$AB886&lt;=p_dias_backlog_max))</f>
        <v/>
      </c>
      <c r="AE886" s="6" t="n"/>
      <c r="AF886" s="3">
        <f>IF($AE886="","",IF((IFERROR(INDEX('ASIGNACIONES'!$F$4:$F$339,MATCH($O886&amp;"|"&amp;$R886&amp;"|"&amp;$AE886,'ASIGNACIONES'!$J$4:$J$339,0)),""))=0,"",IFERROR(INDEX('ASIGNACIONES'!$F$4:$F$339,MATCH($O886&amp;"|"&amp;$R886&amp;"|"&amp;$AE886,'ASIGNACIONES'!$J$4:$J$339,0)),"")))</f>
        <v/>
      </c>
      <c r="AG886" s="13">
        <f>IF($AE886="","",SUMIFS('ORDENES'!$M$4:$M$1203,'ORDENES'!$AE$4:$AE$1203,$AE886,'ORDENES'!$O$4:$O$1203,$O886,'ORDENES'!$R$4:$R$1203,$R886))</f>
        <v/>
      </c>
      <c r="AH886" s="13">
        <f>IF($AG886="","",p_factor_productividad*IFERROR(INDEX('ASIGNACIONES'!$I$4:$I$339,MATCH($O886&amp;"|"&amp;$R886&amp;"|"&amp;$AE886,'ASIGNACIONES'!$J$4:$J$339,0)),0)-$AG886)</f>
        <v/>
      </c>
      <c r="AI886" s="10">
        <f>IF($A886="","",IFERROR(INDEX('2_IMPORTAR_EJECUCION'!$F$9:$F$1208,MATCH($AQ886,'2_IMPORTAR_EJECUCION'!$J$9:$J$1208,0)),0))</f>
        <v/>
      </c>
      <c r="AJ886" s="10">
        <f>IF($A886="","",MAX(0,IFERROR(INDEX('2_IMPORTAR_EJECUCION'!$H$9:$H$1208,MATCH($AQ886,'2_IMPORTAR_EJECUCION'!$J$9:$J$1208,0)),0)-$AI886))</f>
        <v/>
      </c>
      <c r="AK886" s="10">
        <f>IF($A886="","",$AI886+$AJ886)</f>
        <v/>
      </c>
      <c r="AL886" s="6" t="n"/>
      <c r="AM886" s="6" t="n"/>
      <c r="AN886" s="6" t="n"/>
      <c r="AO886" s="3">
        <f>IF($AN886="","",HYPERLINK(p_ruta_base_checklists&amp;$AN886,"abrir"))</f>
        <v/>
      </c>
      <c r="AP886" s="6" t="n"/>
      <c r="AQ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IF($A887="","",IFERROR(INDEX('AJUSTES'!$B$4:$B$303,MATCH($AQ887,'AJUSTES'!$A$4:$A$303,0)),IF($K887="","",$K887)))</f>
        <v/>
      </c>
      <c r="N887" s="3">
        <f>IF($A887="","",IFERROR(INDEX('CAT_ESTADOS_ERP'!$B$4:$B$7,MATCH(IFERROR(INDEX('2_IMPORTAR_EJECUCION'!$C$9:$C$1208,MATCH($AQ887,'2_IMPORTAR_EJECUCION'!$J$9:$J$1208,0)),""),'CAT_ESTADOS_ERP'!$A$4:$A$7,0)),"Pendiente"))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J887="","",IFERROR(INDEX('CALENDARIO'!$C$15:$C$214,MATCH(TEXT($J887,"yyyy-mm-dd")&amp;"|"&amp;$V887&amp;"|"&amp;$W887,'CALENDARIO'!$G$15:$G$214,0)),IFERROR(INDEX('CALENDARIO'!$C$15:$C$214,MATCH(TEXT($J887,"yyyy-mm-dd")&amp;"|"&amp;$V887&amp;"|",'CALENDARIO'!$G$15:$G$214,0)),IFERROR(INDEX('CALENDARIO'!$C$15:$C$214,MATCH(TEXT($J887,"yyyy-mm-dd")&amp;"||",'CALENDARIO'!$G$15:$G$214,0)),INDEX(patronHabil,WEEKDAY($J887,2))))))</f>
        <v/>
      </c>
      <c r="T887" s="3">
        <f>IF($I887="","",IFERROR(INDEX('CAT_TIPOS_OT'!$C$4:$C$7,MATCH($I887,'CAT_TIPOS_OT'!$A$4:$A$7,0)),"sin_clasificar"))</f>
        <v/>
      </c>
      <c r="U887" s="3">
        <f>IF($F887="","",IFERROR(INDEX('CAT_CENTROS_COSTO'!$F$4:$F$13,MATCH($F887,'CAT_CENTROS_COSTO'!$A$4:$A$13,0)),"(sin catálogo)"))</f>
        <v/>
      </c>
      <c r="V887" s="3">
        <f>IF($F887="","",IFERROR(INDEX('CAT_CENTROS_COSTO'!$D$4:$D$13,MATCH($F887,'CAT_CENTROS_COSTO'!$A$4:$A$13,0)),"(sin catálogo)"))</f>
        <v/>
      </c>
      <c r="W887" s="3">
        <f>IF($F887="","",IF((IFERROR(INDEX('CAT_CENTROS_COSTO'!$E$4:$E$13,MATCH($F887,'CAT_CENTROS_COSTO'!$A$4:$A$13,0)),""))&lt;&gt;"",IFERROR(INDEX('CAT_CENTROS_COSTO'!$E$4:$E$13,MATCH($F887,'CAT_CENTROS_COSTO'!$A$4:$A$13,0)),""),$V887))</f>
        <v/>
      </c>
      <c r="X887" s="3">
        <f>IF($F887="","",IFERROR(INDEX('CAT_CENTROS_COSTO'!$G$4:$G$13,MATCH($F887,'CAT_CENTROS_COSTO'!$A$4:$A$13,0)),"(sin catálogo)"))</f>
        <v/>
      </c>
      <c r="Y887" s="3">
        <f>IF($G887="","",IFERROR(INDEX('CAT_PUESTOS'!$B$4:$B$8,MATCH($G887,'CAT_PUESTOS'!$A$4:$A$8,0)),"(sin catálogo)"))</f>
        <v/>
      </c>
      <c r="Z887" s="3">
        <f>IF($H887="","",IFERROR(INDEX('CAT_ACTIVIDADES'!$B$4:$B$8,MATCH($H887,'CAT_ACTIVIDADES'!$A$4:$A$8,0)),"(sin catálogo)"))</f>
        <v/>
      </c>
      <c r="AA887" s="12">
        <f>IF($J887="","",TODAY()-$J887)</f>
        <v/>
      </c>
      <c r="AB887" s="12">
        <f>IF($J887="","",IF($J887&lt;=TODAY(),COUNTIFS(cal_fechas,"&gt;="&amp;$J887,cal_fechas,"&lt;"&amp;TODAY(),cal_habil,"sí"),-COUNTIFS(cal_fechas,"&gt;="&amp;TODAY(),cal_fechas,"&lt;"&amp;$J887,cal_habil,"sí")))</f>
        <v/>
      </c>
      <c r="AC887" s="3">
        <f>IF($AB887="","",IF($AB887&lt;0,"FUTURO",IF($AB887&gt;p_dias_backlog_max,"BACKLOG","MES CORRIENTE")))</f>
        <v/>
      </c>
      <c r="AD887" s="3">
        <f>IF($AB887="",FALSE,AND($AB887&gt;p_dias_backlog_min,$AB887&lt;=p_dias_backlog_max))</f>
        <v/>
      </c>
      <c r="AE887" s="6" t="n"/>
      <c r="AF887" s="3">
        <f>IF($AE887="","",IF((IFERROR(INDEX('ASIGNACIONES'!$F$4:$F$339,MATCH($O887&amp;"|"&amp;$R887&amp;"|"&amp;$AE887,'ASIGNACIONES'!$J$4:$J$339,0)),""))=0,"",IFERROR(INDEX('ASIGNACIONES'!$F$4:$F$339,MATCH($O887&amp;"|"&amp;$R887&amp;"|"&amp;$AE887,'ASIGNACIONES'!$J$4:$J$339,0)),"")))</f>
        <v/>
      </c>
      <c r="AG887" s="13">
        <f>IF($AE887="","",SUMIFS('ORDENES'!$M$4:$M$1203,'ORDENES'!$AE$4:$AE$1203,$AE887,'ORDENES'!$O$4:$O$1203,$O887,'ORDENES'!$R$4:$R$1203,$R887))</f>
        <v/>
      </c>
      <c r="AH887" s="13">
        <f>IF($AG887="","",p_factor_productividad*IFERROR(INDEX('ASIGNACIONES'!$I$4:$I$339,MATCH($O887&amp;"|"&amp;$R887&amp;"|"&amp;$AE887,'ASIGNACIONES'!$J$4:$J$339,0)),0)-$AG887)</f>
        <v/>
      </c>
      <c r="AI887" s="10">
        <f>IF($A887="","",IFERROR(INDEX('2_IMPORTAR_EJECUCION'!$F$9:$F$1208,MATCH($AQ887,'2_IMPORTAR_EJECUCION'!$J$9:$J$1208,0)),0))</f>
        <v/>
      </c>
      <c r="AJ887" s="10">
        <f>IF($A887="","",MAX(0,IFERROR(INDEX('2_IMPORTAR_EJECUCION'!$H$9:$H$1208,MATCH($AQ887,'2_IMPORTAR_EJECUCION'!$J$9:$J$1208,0)),0)-$AI887))</f>
        <v/>
      </c>
      <c r="AK887" s="10">
        <f>IF($A887="","",$AI887+$AJ887)</f>
        <v/>
      </c>
      <c r="AL887" s="6" t="n"/>
      <c r="AM887" s="6" t="n"/>
      <c r="AN887" s="6" t="n"/>
      <c r="AO887" s="3">
        <f>IF($AN887="","",HYPERLINK(p_ruta_base_checklists&amp;$AN887,"abrir"))</f>
        <v/>
      </c>
      <c r="AP887" s="6" t="n"/>
      <c r="AQ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IF($A888="","",IFERROR(INDEX('AJUSTES'!$B$4:$B$303,MATCH($AQ888,'AJUSTES'!$A$4:$A$303,0)),IF($K888="","",$K888)))</f>
        <v/>
      </c>
      <c r="N888" s="3">
        <f>IF($A888="","",IFERROR(INDEX('CAT_ESTADOS_ERP'!$B$4:$B$7,MATCH(IFERROR(INDEX('2_IMPORTAR_EJECUCION'!$C$9:$C$1208,MATCH($AQ888,'2_IMPORTAR_EJECUCION'!$J$9:$J$1208,0)),""),'CAT_ESTADOS_ERP'!$A$4:$A$7,0)),"Pendiente"))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J888="","",IFERROR(INDEX('CALENDARIO'!$C$15:$C$214,MATCH(TEXT($J888,"yyyy-mm-dd")&amp;"|"&amp;$V888&amp;"|"&amp;$W888,'CALENDARIO'!$G$15:$G$214,0)),IFERROR(INDEX('CALENDARIO'!$C$15:$C$214,MATCH(TEXT($J888,"yyyy-mm-dd")&amp;"|"&amp;$V888&amp;"|",'CALENDARIO'!$G$15:$G$214,0)),IFERROR(INDEX('CALENDARIO'!$C$15:$C$214,MATCH(TEXT($J888,"yyyy-mm-dd")&amp;"||",'CALENDARIO'!$G$15:$G$214,0)),INDEX(patronHabil,WEEKDAY($J888,2))))))</f>
        <v/>
      </c>
      <c r="T888" s="3">
        <f>IF($I888="","",IFERROR(INDEX('CAT_TIPOS_OT'!$C$4:$C$7,MATCH($I888,'CAT_TIPOS_OT'!$A$4:$A$7,0)),"sin_clasificar"))</f>
        <v/>
      </c>
      <c r="U888" s="3">
        <f>IF($F888="","",IFERROR(INDEX('CAT_CENTROS_COSTO'!$F$4:$F$13,MATCH($F888,'CAT_CENTROS_COSTO'!$A$4:$A$13,0)),"(sin catálogo)"))</f>
        <v/>
      </c>
      <c r="V888" s="3">
        <f>IF($F888="","",IFERROR(INDEX('CAT_CENTROS_COSTO'!$D$4:$D$13,MATCH($F888,'CAT_CENTROS_COSTO'!$A$4:$A$13,0)),"(sin catálogo)"))</f>
        <v/>
      </c>
      <c r="W888" s="3">
        <f>IF($F888="","",IF((IFERROR(INDEX('CAT_CENTROS_COSTO'!$E$4:$E$13,MATCH($F888,'CAT_CENTROS_COSTO'!$A$4:$A$13,0)),""))&lt;&gt;"",IFERROR(INDEX('CAT_CENTROS_COSTO'!$E$4:$E$13,MATCH($F888,'CAT_CENTROS_COSTO'!$A$4:$A$13,0)),""),$V888))</f>
        <v/>
      </c>
      <c r="X888" s="3">
        <f>IF($F888="","",IFERROR(INDEX('CAT_CENTROS_COSTO'!$G$4:$G$13,MATCH($F888,'CAT_CENTROS_COSTO'!$A$4:$A$13,0)),"(sin catálogo)"))</f>
        <v/>
      </c>
      <c r="Y888" s="3">
        <f>IF($G888="","",IFERROR(INDEX('CAT_PUESTOS'!$B$4:$B$8,MATCH($G888,'CAT_PUESTOS'!$A$4:$A$8,0)),"(sin catálogo)"))</f>
        <v/>
      </c>
      <c r="Z888" s="3">
        <f>IF($H888="","",IFERROR(INDEX('CAT_ACTIVIDADES'!$B$4:$B$8,MATCH($H888,'CAT_ACTIVIDADES'!$A$4:$A$8,0)),"(sin catálogo)"))</f>
        <v/>
      </c>
      <c r="AA888" s="12">
        <f>IF($J888="","",TODAY()-$J888)</f>
        <v/>
      </c>
      <c r="AB888" s="12">
        <f>IF($J888="","",IF($J888&lt;=TODAY(),COUNTIFS(cal_fechas,"&gt;="&amp;$J888,cal_fechas,"&lt;"&amp;TODAY(),cal_habil,"sí"),-COUNTIFS(cal_fechas,"&gt;="&amp;TODAY(),cal_fechas,"&lt;"&amp;$J888,cal_habil,"sí")))</f>
        <v/>
      </c>
      <c r="AC888" s="3">
        <f>IF($AB888="","",IF($AB888&lt;0,"FUTURO",IF($AB888&gt;p_dias_backlog_max,"BACKLOG","MES CORRIENTE")))</f>
        <v/>
      </c>
      <c r="AD888" s="3">
        <f>IF($AB888="",FALSE,AND($AB888&gt;p_dias_backlog_min,$AB888&lt;=p_dias_backlog_max))</f>
        <v/>
      </c>
      <c r="AE888" s="6" t="n"/>
      <c r="AF888" s="3">
        <f>IF($AE888="","",IF((IFERROR(INDEX('ASIGNACIONES'!$F$4:$F$339,MATCH($O888&amp;"|"&amp;$R888&amp;"|"&amp;$AE888,'ASIGNACIONES'!$J$4:$J$339,0)),""))=0,"",IFERROR(INDEX('ASIGNACIONES'!$F$4:$F$339,MATCH($O888&amp;"|"&amp;$R888&amp;"|"&amp;$AE888,'ASIGNACIONES'!$J$4:$J$339,0)),"")))</f>
        <v/>
      </c>
      <c r="AG888" s="13">
        <f>IF($AE888="","",SUMIFS('ORDENES'!$M$4:$M$1203,'ORDENES'!$AE$4:$AE$1203,$AE888,'ORDENES'!$O$4:$O$1203,$O888,'ORDENES'!$R$4:$R$1203,$R888))</f>
        <v/>
      </c>
      <c r="AH888" s="13">
        <f>IF($AG888="","",p_factor_productividad*IFERROR(INDEX('ASIGNACIONES'!$I$4:$I$339,MATCH($O888&amp;"|"&amp;$R888&amp;"|"&amp;$AE888,'ASIGNACIONES'!$J$4:$J$339,0)),0)-$AG888)</f>
        <v/>
      </c>
      <c r="AI888" s="10">
        <f>IF($A888="","",IFERROR(INDEX('2_IMPORTAR_EJECUCION'!$F$9:$F$1208,MATCH($AQ888,'2_IMPORTAR_EJECUCION'!$J$9:$J$1208,0)),0))</f>
        <v/>
      </c>
      <c r="AJ888" s="10">
        <f>IF($A888="","",MAX(0,IFERROR(INDEX('2_IMPORTAR_EJECUCION'!$H$9:$H$1208,MATCH($AQ888,'2_IMPORTAR_EJECUCION'!$J$9:$J$1208,0)),0)-$AI888))</f>
        <v/>
      </c>
      <c r="AK888" s="10">
        <f>IF($A888="","",$AI888+$AJ888)</f>
        <v/>
      </c>
      <c r="AL888" s="6" t="n"/>
      <c r="AM888" s="6" t="n"/>
      <c r="AN888" s="6" t="n"/>
      <c r="AO888" s="3">
        <f>IF($AN888="","",HYPERLINK(p_ruta_base_checklists&amp;$AN888,"abrir"))</f>
        <v/>
      </c>
      <c r="AP888" s="6" t="n"/>
      <c r="AQ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IF($A889="","",IFERROR(INDEX('AJUSTES'!$B$4:$B$303,MATCH($AQ889,'AJUSTES'!$A$4:$A$303,0)),IF($K889="","",$K889)))</f>
        <v/>
      </c>
      <c r="N889" s="3">
        <f>IF($A889="","",IFERROR(INDEX('CAT_ESTADOS_ERP'!$B$4:$B$7,MATCH(IFERROR(INDEX('2_IMPORTAR_EJECUCION'!$C$9:$C$1208,MATCH($AQ889,'2_IMPORTAR_EJECUCION'!$J$9:$J$1208,0)),""),'CAT_ESTADOS_ERP'!$A$4:$A$7,0)),"Pendiente"))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J889="","",IFERROR(INDEX('CALENDARIO'!$C$15:$C$214,MATCH(TEXT($J889,"yyyy-mm-dd")&amp;"|"&amp;$V889&amp;"|"&amp;$W889,'CALENDARIO'!$G$15:$G$214,0)),IFERROR(INDEX('CALENDARIO'!$C$15:$C$214,MATCH(TEXT($J889,"yyyy-mm-dd")&amp;"|"&amp;$V889&amp;"|",'CALENDARIO'!$G$15:$G$214,0)),IFERROR(INDEX('CALENDARIO'!$C$15:$C$214,MATCH(TEXT($J889,"yyyy-mm-dd")&amp;"||",'CALENDARIO'!$G$15:$G$214,0)),INDEX(patronHabil,WEEKDAY($J889,2))))))</f>
        <v/>
      </c>
      <c r="T889" s="3">
        <f>IF($I889="","",IFERROR(INDEX('CAT_TIPOS_OT'!$C$4:$C$7,MATCH($I889,'CAT_TIPOS_OT'!$A$4:$A$7,0)),"sin_clasificar"))</f>
        <v/>
      </c>
      <c r="U889" s="3">
        <f>IF($F889="","",IFERROR(INDEX('CAT_CENTROS_COSTO'!$F$4:$F$13,MATCH($F889,'CAT_CENTROS_COSTO'!$A$4:$A$13,0)),"(sin catálogo)"))</f>
        <v/>
      </c>
      <c r="V889" s="3">
        <f>IF($F889="","",IFERROR(INDEX('CAT_CENTROS_COSTO'!$D$4:$D$13,MATCH($F889,'CAT_CENTROS_COSTO'!$A$4:$A$13,0)),"(sin catálogo)"))</f>
        <v/>
      </c>
      <c r="W889" s="3">
        <f>IF($F889="","",IF((IFERROR(INDEX('CAT_CENTROS_COSTO'!$E$4:$E$13,MATCH($F889,'CAT_CENTROS_COSTO'!$A$4:$A$13,0)),""))&lt;&gt;"",IFERROR(INDEX('CAT_CENTROS_COSTO'!$E$4:$E$13,MATCH($F889,'CAT_CENTROS_COSTO'!$A$4:$A$13,0)),""),$V889))</f>
        <v/>
      </c>
      <c r="X889" s="3">
        <f>IF($F889="","",IFERROR(INDEX('CAT_CENTROS_COSTO'!$G$4:$G$13,MATCH($F889,'CAT_CENTROS_COSTO'!$A$4:$A$13,0)),"(sin catálogo)"))</f>
        <v/>
      </c>
      <c r="Y889" s="3">
        <f>IF($G889="","",IFERROR(INDEX('CAT_PUESTOS'!$B$4:$B$8,MATCH($G889,'CAT_PUESTOS'!$A$4:$A$8,0)),"(sin catálogo)"))</f>
        <v/>
      </c>
      <c r="Z889" s="3">
        <f>IF($H889="","",IFERROR(INDEX('CAT_ACTIVIDADES'!$B$4:$B$8,MATCH($H889,'CAT_ACTIVIDADES'!$A$4:$A$8,0)),"(sin catálogo)"))</f>
        <v/>
      </c>
      <c r="AA889" s="12">
        <f>IF($J889="","",TODAY()-$J889)</f>
        <v/>
      </c>
      <c r="AB889" s="12">
        <f>IF($J889="","",IF($J889&lt;=TODAY(),COUNTIFS(cal_fechas,"&gt;="&amp;$J889,cal_fechas,"&lt;"&amp;TODAY(),cal_habil,"sí"),-COUNTIFS(cal_fechas,"&gt;="&amp;TODAY(),cal_fechas,"&lt;"&amp;$J889,cal_habil,"sí")))</f>
        <v/>
      </c>
      <c r="AC889" s="3">
        <f>IF($AB889="","",IF($AB889&lt;0,"FUTURO",IF($AB889&gt;p_dias_backlog_max,"BACKLOG","MES CORRIENTE")))</f>
        <v/>
      </c>
      <c r="AD889" s="3">
        <f>IF($AB889="",FALSE,AND($AB889&gt;p_dias_backlog_min,$AB889&lt;=p_dias_backlog_max))</f>
        <v/>
      </c>
      <c r="AE889" s="6" t="n"/>
      <c r="AF889" s="3">
        <f>IF($AE889="","",IF((IFERROR(INDEX('ASIGNACIONES'!$F$4:$F$339,MATCH($O889&amp;"|"&amp;$R889&amp;"|"&amp;$AE889,'ASIGNACIONES'!$J$4:$J$339,0)),""))=0,"",IFERROR(INDEX('ASIGNACIONES'!$F$4:$F$339,MATCH($O889&amp;"|"&amp;$R889&amp;"|"&amp;$AE889,'ASIGNACIONES'!$J$4:$J$339,0)),"")))</f>
        <v/>
      </c>
      <c r="AG889" s="13">
        <f>IF($AE889="","",SUMIFS('ORDENES'!$M$4:$M$1203,'ORDENES'!$AE$4:$AE$1203,$AE889,'ORDENES'!$O$4:$O$1203,$O889,'ORDENES'!$R$4:$R$1203,$R889))</f>
        <v/>
      </c>
      <c r="AH889" s="13">
        <f>IF($AG889="","",p_factor_productividad*IFERROR(INDEX('ASIGNACIONES'!$I$4:$I$339,MATCH($O889&amp;"|"&amp;$R889&amp;"|"&amp;$AE889,'ASIGNACIONES'!$J$4:$J$339,0)),0)-$AG889)</f>
        <v/>
      </c>
      <c r="AI889" s="10">
        <f>IF($A889="","",IFERROR(INDEX('2_IMPORTAR_EJECUCION'!$F$9:$F$1208,MATCH($AQ889,'2_IMPORTAR_EJECUCION'!$J$9:$J$1208,0)),0))</f>
        <v/>
      </c>
      <c r="AJ889" s="10">
        <f>IF($A889="","",MAX(0,IFERROR(INDEX('2_IMPORTAR_EJECUCION'!$H$9:$H$1208,MATCH($AQ889,'2_IMPORTAR_EJECUCION'!$J$9:$J$1208,0)),0)-$AI889))</f>
        <v/>
      </c>
      <c r="AK889" s="10">
        <f>IF($A889="","",$AI889+$AJ889)</f>
        <v/>
      </c>
      <c r="AL889" s="6" t="n"/>
      <c r="AM889" s="6" t="n"/>
      <c r="AN889" s="6" t="n"/>
      <c r="AO889" s="3">
        <f>IF($AN889="","",HYPERLINK(p_ruta_base_checklists&amp;$AN889,"abrir"))</f>
        <v/>
      </c>
      <c r="AP889" s="6" t="n"/>
      <c r="AQ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IF($A890="","",IFERROR(INDEX('AJUSTES'!$B$4:$B$303,MATCH($AQ890,'AJUSTES'!$A$4:$A$303,0)),IF($K890="","",$K890)))</f>
        <v/>
      </c>
      <c r="N890" s="3">
        <f>IF($A890="","",IFERROR(INDEX('CAT_ESTADOS_ERP'!$B$4:$B$7,MATCH(IFERROR(INDEX('2_IMPORTAR_EJECUCION'!$C$9:$C$1208,MATCH($AQ890,'2_IMPORTAR_EJECUCION'!$J$9:$J$1208,0)),""),'CAT_ESTADOS_ERP'!$A$4:$A$7,0)),"Pendiente"))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J890="","",IFERROR(INDEX('CALENDARIO'!$C$15:$C$214,MATCH(TEXT($J890,"yyyy-mm-dd")&amp;"|"&amp;$V890&amp;"|"&amp;$W890,'CALENDARIO'!$G$15:$G$214,0)),IFERROR(INDEX('CALENDARIO'!$C$15:$C$214,MATCH(TEXT($J890,"yyyy-mm-dd")&amp;"|"&amp;$V890&amp;"|",'CALENDARIO'!$G$15:$G$214,0)),IFERROR(INDEX('CALENDARIO'!$C$15:$C$214,MATCH(TEXT($J890,"yyyy-mm-dd")&amp;"||",'CALENDARIO'!$G$15:$G$214,0)),INDEX(patronHabil,WEEKDAY($J890,2))))))</f>
        <v/>
      </c>
      <c r="T890" s="3">
        <f>IF($I890="","",IFERROR(INDEX('CAT_TIPOS_OT'!$C$4:$C$7,MATCH($I890,'CAT_TIPOS_OT'!$A$4:$A$7,0)),"sin_clasificar"))</f>
        <v/>
      </c>
      <c r="U890" s="3">
        <f>IF($F890="","",IFERROR(INDEX('CAT_CENTROS_COSTO'!$F$4:$F$13,MATCH($F890,'CAT_CENTROS_COSTO'!$A$4:$A$13,0)),"(sin catálogo)"))</f>
        <v/>
      </c>
      <c r="V890" s="3">
        <f>IF($F890="","",IFERROR(INDEX('CAT_CENTROS_COSTO'!$D$4:$D$13,MATCH($F890,'CAT_CENTROS_COSTO'!$A$4:$A$13,0)),"(sin catálogo)"))</f>
        <v/>
      </c>
      <c r="W890" s="3">
        <f>IF($F890="","",IF((IFERROR(INDEX('CAT_CENTROS_COSTO'!$E$4:$E$13,MATCH($F890,'CAT_CENTROS_COSTO'!$A$4:$A$13,0)),""))&lt;&gt;"",IFERROR(INDEX('CAT_CENTROS_COSTO'!$E$4:$E$13,MATCH($F890,'CAT_CENTROS_COSTO'!$A$4:$A$13,0)),""),$V890))</f>
        <v/>
      </c>
      <c r="X890" s="3">
        <f>IF($F890="","",IFERROR(INDEX('CAT_CENTROS_COSTO'!$G$4:$G$13,MATCH($F890,'CAT_CENTROS_COSTO'!$A$4:$A$13,0)),"(sin catálogo)"))</f>
        <v/>
      </c>
      <c r="Y890" s="3">
        <f>IF($G890="","",IFERROR(INDEX('CAT_PUESTOS'!$B$4:$B$8,MATCH($G890,'CAT_PUESTOS'!$A$4:$A$8,0)),"(sin catálogo)"))</f>
        <v/>
      </c>
      <c r="Z890" s="3">
        <f>IF($H890="","",IFERROR(INDEX('CAT_ACTIVIDADES'!$B$4:$B$8,MATCH($H890,'CAT_ACTIVIDADES'!$A$4:$A$8,0)),"(sin catálogo)"))</f>
        <v/>
      </c>
      <c r="AA890" s="12">
        <f>IF($J890="","",TODAY()-$J890)</f>
        <v/>
      </c>
      <c r="AB890" s="12">
        <f>IF($J890="","",IF($J890&lt;=TODAY(),COUNTIFS(cal_fechas,"&gt;="&amp;$J890,cal_fechas,"&lt;"&amp;TODAY(),cal_habil,"sí"),-COUNTIFS(cal_fechas,"&gt;="&amp;TODAY(),cal_fechas,"&lt;"&amp;$J890,cal_habil,"sí")))</f>
        <v/>
      </c>
      <c r="AC890" s="3">
        <f>IF($AB890="","",IF($AB890&lt;0,"FUTURO",IF($AB890&gt;p_dias_backlog_max,"BACKLOG","MES CORRIENTE")))</f>
        <v/>
      </c>
      <c r="AD890" s="3">
        <f>IF($AB890="",FALSE,AND($AB890&gt;p_dias_backlog_min,$AB890&lt;=p_dias_backlog_max))</f>
        <v/>
      </c>
      <c r="AE890" s="6" t="n"/>
      <c r="AF890" s="3">
        <f>IF($AE890="","",IF((IFERROR(INDEX('ASIGNACIONES'!$F$4:$F$339,MATCH($O890&amp;"|"&amp;$R890&amp;"|"&amp;$AE890,'ASIGNACIONES'!$J$4:$J$339,0)),""))=0,"",IFERROR(INDEX('ASIGNACIONES'!$F$4:$F$339,MATCH($O890&amp;"|"&amp;$R890&amp;"|"&amp;$AE890,'ASIGNACIONES'!$J$4:$J$339,0)),"")))</f>
        <v/>
      </c>
      <c r="AG890" s="13">
        <f>IF($AE890="","",SUMIFS('ORDENES'!$M$4:$M$1203,'ORDENES'!$AE$4:$AE$1203,$AE890,'ORDENES'!$O$4:$O$1203,$O890,'ORDENES'!$R$4:$R$1203,$R890))</f>
        <v/>
      </c>
      <c r="AH890" s="13">
        <f>IF($AG890="","",p_factor_productividad*IFERROR(INDEX('ASIGNACIONES'!$I$4:$I$339,MATCH($O890&amp;"|"&amp;$R890&amp;"|"&amp;$AE890,'ASIGNACIONES'!$J$4:$J$339,0)),0)-$AG890)</f>
        <v/>
      </c>
      <c r="AI890" s="10">
        <f>IF($A890="","",IFERROR(INDEX('2_IMPORTAR_EJECUCION'!$F$9:$F$1208,MATCH($AQ890,'2_IMPORTAR_EJECUCION'!$J$9:$J$1208,0)),0))</f>
        <v/>
      </c>
      <c r="AJ890" s="10">
        <f>IF($A890="","",MAX(0,IFERROR(INDEX('2_IMPORTAR_EJECUCION'!$H$9:$H$1208,MATCH($AQ890,'2_IMPORTAR_EJECUCION'!$J$9:$J$1208,0)),0)-$AI890))</f>
        <v/>
      </c>
      <c r="AK890" s="10">
        <f>IF($A890="","",$AI890+$AJ890)</f>
        <v/>
      </c>
      <c r="AL890" s="6" t="n"/>
      <c r="AM890" s="6" t="n"/>
      <c r="AN890" s="6" t="n"/>
      <c r="AO890" s="3">
        <f>IF($AN890="","",HYPERLINK(p_ruta_base_checklists&amp;$AN890,"abrir"))</f>
        <v/>
      </c>
      <c r="AP890" s="6" t="n"/>
      <c r="AQ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IF($A891="","",IFERROR(INDEX('AJUSTES'!$B$4:$B$303,MATCH($AQ891,'AJUSTES'!$A$4:$A$303,0)),IF($K891="","",$K891)))</f>
        <v/>
      </c>
      <c r="N891" s="3">
        <f>IF($A891="","",IFERROR(INDEX('CAT_ESTADOS_ERP'!$B$4:$B$7,MATCH(IFERROR(INDEX('2_IMPORTAR_EJECUCION'!$C$9:$C$1208,MATCH($AQ891,'2_IMPORTAR_EJECUCION'!$J$9:$J$1208,0)),""),'CAT_ESTADOS_ERP'!$A$4:$A$7,0)),"Pendiente"))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J891="","",IFERROR(INDEX('CALENDARIO'!$C$15:$C$214,MATCH(TEXT($J891,"yyyy-mm-dd")&amp;"|"&amp;$V891&amp;"|"&amp;$W891,'CALENDARIO'!$G$15:$G$214,0)),IFERROR(INDEX('CALENDARIO'!$C$15:$C$214,MATCH(TEXT($J891,"yyyy-mm-dd")&amp;"|"&amp;$V891&amp;"|",'CALENDARIO'!$G$15:$G$214,0)),IFERROR(INDEX('CALENDARIO'!$C$15:$C$214,MATCH(TEXT($J891,"yyyy-mm-dd")&amp;"||",'CALENDARIO'!$G$15:$G$214,0)),INDEX(patronHabil,WEEKDAY($J891,2))))))</f>
        <v/>
      </c>
      <c r="T891" s="3">
        <f>IF($I891="","",IFERROR(INDEX('CAT_TIPOS_OT'!$C$4:$C$7,MATCH($I891,'CAT_TIPOS_OT'!$A$4:$A$7,0)),"sin_clasificar"))</f>
        <v/>
      </c>
      <c r="U891" s="3">
        <f>IF($F891="","",IFERROR(INDEX('CAT_CENTROS_COSTO'!$F$4:$F$13,MATCH($F891,'CAT_CENTROS_COSTO'!$A$4:$A$13,0)),"(sin catálogo)"))</f>
        <v/>
      </c>
      <c r="V891" s="3">
        <f>IF($F891="","",IFERROR(INDEX('CAT_CENTROS_COSTO'!$D$4:$D$13,MATCH($F891,'CAT_CENTROS_COSTO'!$A$4:$A$13,0)),"(sin catálogo)"))</f>
        <v/>
      </c>
      <c r="W891" s="3">
        <f>IF($F891="","",IF((IFERROR(INDEX('CAT_CENTROS_COSTO'!$E$4:$E$13,MATCH($F891,'CAT_CENTROS_COSTO'!$A$4:$A$13,0)),""))&lt;&gt;"",IFERROR(INDEX('CAT_CENTROS_COSTO'!$E$4:$E$13,MATCH($F891,'CAT_CENTROS_COSTO'!$A$4:$A$13,0)),""),$V891))</f>
        <v/>
      </c>
      <c r="X891" s="3">
        <f>IF($F891="","",IFERROR(INDEX('CAT_CENTROS_COSTO'!$G$4:$G$13,MATCH($F891,'CAT_CENTROS_COSTO'!$A$4:$A$13,0)),"(sin catálogo)"))</f>
        <v/>
      </c>
      <c r="Y891" s="3">
        <f>IF($G891="","",IFERROR(INDEX('CAT_PUESTOS'!$B$4:$B$8,MATCH($G891,'CAT_PUESTOS'!$A$4:$A$8,0)),"(sin catálogo)"))</f>
        <v/>
      </c>
      <c r="Z891" s="3">
        <f>IF($H891="","",IFERROR(INDEX('CAT_ACTIVIDADES'!$B$4:$B$8,MATCH($H891,'CAT_ACTIVIDADES'!$A$4:$A$8,0)),"(sin catálogo)"))</f>
        <v/>
      </c>
      <c r="AA891" s="12">
        <f>IF($J891="","",TODAY()-$J891)</f>
        <v/>
      </c>
      <c r="AB891" s="12">
        <f>IF($J891="","",IF($J891&lt;=TODAY(),COUNTIFS(cal_fechas,"&gt;="&amp;$J891,cal_fechas,"&lt;"&amp;TODAY(),cal_habil,"sí"),-COUNTIFS(cal_fechas,"&gt;="&amp;TODAY(),cal_fechas,"&lt;"&amp;$J891,cal_habil,"sí")))</f>
        <v/>
      </c>
      <c r="AC891" s="3">
        <f>IF($AB891="","",IF($AB891&lt;0,"FUTURO",IF($AB891&gt;p_dias_backlog_max,"BACKLOG","MES CORRIENTE")))</f>
        <v/>
      </c>
      <c r="AD891" s="3">
        <f>IF($AB891="",FALSE,AND($AB891&gt;p_dias_backlog_min,$AB891&lt;=p_dias_backlog_max))</f>
        <v/>
      </c>
      <c r="AE891" s="6" t="n"/>
      <c r="AF891" s="3">
        <f>IF($AE891="","",IF((IFERROR(INDEX('ASIGNACIONES'!$F$4:$F$339,MATCH($O891&amp;"|"&amp;$R891&amp;"|"&amp;$AE891,'ASIGNACIONES'!$J$4:$J$339,0)),""))=0,"",IFERROR(INDEX('ASIGNACIONES'!$F$4:$F$339,MATCH($O891&amp;"|"&amp;$R891&amp;"|"&amp;$AE891,'ASIGNACIONES'!$J$4:$J$339,0)),"")))</f>
        <v/>
      </c>
      <c r="AG891" s="13">
        <f>IF($AE891="","",SUMIFS('ORDENES'!$M$4:$M$1203,'ORDENES'!$AE$4:$AE$1203,$AE891,'ORDENES'!$O$4:$O$1203,$O891,'ORDENES'!$R$4:$R$1203,$R891))</f>
        <v/>
      </c>
      <c r="AH891" s="13">
        <f>IF($AG891="","",p_factor_productividad*IFERROR(INDEX('ASIGNACIONES'!$I$4:$I$339,MATCH($O891&amp;"|"&amp;$R891&amp;"|"&amp;$AE891,'ASIGNACIONES'!$J$4:$J$339,0)),0)-$AG891)</f>
        <v/>
      </c>
      <c r="AI891" s="10">
        <f>IF($A891="","",IFERROR(INDEX('2_IMPORTAR_EJECUCION'!$F$9:$F$1208,MATCH($AQ891,'2_IMPORTAR_EJECUCION'!$J$9:$J$1208,0)),0))</f>
        <v/>
      </c>
      <c r="AJ891" s="10">
        <f>IF($A891="","",MAX(0,IFERROR(INDEX('2_IMPORTAR_EJECUCION'!$H$9:$H$1208,MATCH($AQ891,'2_IMPORTAR_EJECUCION'!$J$9:$J$1208,0)),0)-$AI891))</f>
        <v/>
      </c>
      <c r="AK891" s="10">
        <f>IF($A891="","",$AI891+$AJ891)</f>
        <v/>
      </c>
      <c r="AL891" s="6" t="n"/>
      <c r="AM891" s="6" t="n"/>
      <c r="AN891" s="6" t="n"/>
      <c r="AO891" s="3">
        <f>IF($AN891="","",HYPERLINK(p_ruta_base_checklists&amp;$AN891,"abrir"))</f>
        <v/>
      </c>
      <c r="AP891" s="6" t="n"/>
      <c r="AQ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IF($A892="","",IFERROR(INDEX('AJUSTES'!$B$4:$B$303,MATCH($AQ892,'AJUSTES'!$A$4:$A$303,0)),IF($K892="","",$K892)))</f>
        <v/>
      </c>
      <c r="N892" s="3">
        <f>IF($A892="","",IFERROR(INDEX('CAT_ESTADOS_ERP'!$B$4:$B$7,MATCH(IFERROR(INDEX('2_IMPORTAR_EJECUCION'!$C$9:$C$1208,MATCH($AQ892,'2_IMPORTAR_EJECUCION'!$J$9:$J$1208,0)),""),'CAT_ESTADOS_ERP'!$A$4:$A$7,0)),"Pendiente"))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J892="","",IFERROR(INDEX('CALENDARIO'!$C$15:$C$214,MATCH(TEXT($J892,"yyyy-mm-dd")&amp;"|"&amp;$V892&amp;"|"&amp;$W892,'CALENDARIO'!$G$15:$G$214,0)),IFERROR(INDEX('CALENDARIO'!$C$15:$C$214,MATCH(TEXT($J892,"yyyy-mm-dd")&amp;"|"&amp;$V892&amp;"|",'CALENDARIO'!$G$15:$G$214,0)),IFERROR(INDEX('CALENDARIO'!$C$15:$C$214,MATCH(TEXT($J892,"yyyy-mm-dd")&amp;"||",'CALENDARIO'!$G$15:$G$214,0)),INDEX(patronHabil,WEEKDAY($J892,2))))))</f>
        <v/>
      </c>
      <c r="T892" s="3">
        <f>IF($I892="","",IFERROR(INDEX('CAT_TIPOS_OT'!$C$4:$C$7,MATCH($I892,'CAT_TIPOS_OT'!$A$4:$A$7,0)),"sin_clasificar"))</f>
        <v/>
      </c>
      <c r="U892" s="3">
        <f>IF($F892="","",IFERROR(INDEX('CAT_CENTROS_COSTO'!$F$4:$F$13,MATCH($F892,'CAT_CENTROS_COSTO'!$A$4:$A$13,0)),"(sin catálogo)"))</f>
        <v/>
      </c>
      <c r="V892" s="3">
        <f>IF($F892="","",IFERROR(INDEX('CAT_CENTROS_COSTO'!$D$4:$D$13,MATCH($F892,'CAT_CENTROS_COSTO'!$A$4:$A$13,0)),"(sin catálogo)"))</f>
        <v/>
      </c>
      <c r="W892" s="3">
        <f>IF($F892="","",IF((IFERROR(INDEX('CAT_CENTROS_COSTO'!$E$4:$E$13,MATCH($F892,'CAT_CENTROS_COSTO'!$A$4:$A$13,0)),""))&lt;&gt;"",IFERROR(INDEX('CAT_CENTROS_COSTO'!$E$4:$E$13,MATCH($F892,'CAT_CENTROS_COSTO'!$A$4:$A$13,0)),""),$V892))</f>
        <v/>
      </c>
      <c r="X892" s="3">
        <f>IF($F892="","",IFERROR(INDEX('CAT_CENTROS_COSTO'!$G$4:$G$13,MATCH($F892,'CAT_CENTROS_COSTO'!$A$4:$A$13,0)),"(sin catálogo)"))</f>
        <v/>
      </c>
      <c r="Y892" s="3">
        <f>IF($G892="","",IFERROR(INDEX('CAT_PUESTOS'!$B$4:$B$8,MATCH($G892,'CAT_PUESTOS'!$A$4:$A$8,0)),"(sin catálogo)"))</f>
        <v/>
      </c>
      <c r="Z892" s="3">
        <f>IF($H892="","",IFERROR(INDEX('CAT_ACTIVIDADES'!$B$4:$B$8,MATCH($H892,'CAT_ACTIVIDADES'!$A$4:$A$8,0)),"(sin catálogo)"))</f>
        <v/>
      </c>
      <c r="AA892" s="12">
        <f>IF($J892="","",TODAY()-$J892)</f>
        <v/>
      </c>
      <c r="AB892" s="12">
        <f>IF($J892="","",IF($J892&lt;=TODAY(),COUNTIFS(cal_fechas,"&gt;="&amp;$J892,cal_fechas,"&lt;"&amp;TODAY(),cal_habil,"sí"),-COUNTIFS(cal_fechas,"&gt;="&amp;TODAY(),cal_fechas,"&lt;"&amp;$J892,cal_habil,"sí")))</f>
        <v/>
      </c>
      <c r="AC892" s="3">
        <f>IF($AB892="","",IF($AB892&lt;0,"FUTURO",IF($AB892&gt;p_dias_backlog_max,"BACKLOG","MES CORRIENTE")))</f>
        <v/>
      </c>
      <c r="AD892" s="3">
        <f>IF($AB892="",FALSE,AND($AB892&gt;p_dias_backlog_min,$AB892&lt;=p_dias_backlog_max))</f>
        <v/>
      </c>
      <c r="AE892" s="6" t="n"/>
      <c r="AF892" s="3">
        <f>IF($AE892="","",IF((IFERROR(INDEX('ASIGNACIONES'!$F$4:$F$339,MATCH($O892&amp;"|"&amp;$R892&amp;"|"&amp;$AE892,'ASIGNACIONES'!$J$4:$J$339,0)),""))=0,"",IFERROR(INDEX('ASIGNACIONES'!$F$4:$F$339,MATCH($O892&amp;"|"&amp;$R892&amp;"|"&amp;$AE892,'ASIGNACIONES'!$J$4:$J$339,0)),"")))</f>
        <v/>
      </c>
      <c r="AG892" s="13">
        <f>IF($AE892="","",SUMIFS('ORDENES'!$M$4:$M$1203,'ORDENES'!$AE$4:$AE$1203,$AE892,'ORDENES'!$O$4:$O$1203,$O892,'ORDENES'!$R$4:$R$1203,$R892))</f>
        <v/>
      </c>
      <c r="AH892" s="13">
        <f>IF($AG892="","",p_factor_productividad*IFERROR(INDEX('ASIGNACIONES'!$I$4:$I$339,MATCH($O892&amp;"|"&amp;$R892&amp;"|"&amp;$AE892,'ASIGNACIONES'!$J$4:$J$339,0)),0)-$AG892)</f>
        <v/>
      </c>
      <c r="AI892" s="10">
        <f>IF($A892="","",IFERROR(INDEX('2_IMPORTAR_EJECUCION'!$F$9:$F$1208,MATCH($AQ892,'2_IMPORTAR_EJECUCION'!$J$9:$J$1208,0)),0))</f>
        <v/>
      </c>
      <c r="AJ892" s="10">
        <f>IF($A892="","",MAX(0,IFERROR(INDEX('2_IMPORTAR_EJECUCION'!$H$9:$H$1208,MATCH($AQ892,'2_IMPORTAR_EJECUCION'!$J$9:$J$1208,0)),0)-$AI892))</f>
        <v/>
      </c>
      <c r="AK892" s="10">
        <f>IF($A892="","",$AI892+$AJ892)</f>
        <v/>
      </c>
      <c r="AL892" s="6" t="n"/>
      <c r="AM892" s="6" t="n"/>
      <c r="AN892" s="6" t="n"/>
      <c r="AO892" s="3">
        <f>IF($AN892="","",HYPERLINK(p_ruta_base_checklists&amp;$AN892,"abrir"))</f>
        <v/>
      </c>
      <c r="AP892" s="6" t="n"/>
      <c r="AQ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IF($A893="","",IFERROR(INDEX('AJUSTES'!$B$4:$B$303,MATCH($AQ893,'AJUSTES'!$A$4:$A$303,0)),IF($K893="","",$K893)))</f>
        <v/>
      </c>
      <c r="N893" s="3">
        <f>IF($A893="","",IFERROR(INDEX('CAT_ESTADOS_ERP'!$B$4:$B$7,MATCH(IFERROR(INDEX('2_IMPORTAR_EJECUCION'!$C$9:$C$1208,MATCH($AQ893,'2_IMPORTAR_EJECUCION'!$J$9:$J$1208,0)),""),'CAT_ESTADOS_ERP'!$A$4:$A$7,0)),"Pendiente"))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J893="","",IFERROR(INDEX('CALENDARIO'!$C$15:$C$214,MATCH(TEXT($J893,"yyyy-mm-dd")&amp;"|"&amp;$V893&amp;"|"&amp;$W893,'CALENDARIO'!$G$15:$G$214,0)),IFERROR(INDEX('CALENDARIO'!$C$15:$C$214,MATCH(TEXT($J893,"yyyy-mm-dd")&amp;"|"&amp;$V893&amp;"|",'CALENDARIO'!$G$15:$G$214,0)),IFERROR(INDEX('CALENDARIO'!$C$15:$C$214,MATCH(TEXT($J893,"yyyy-mm-dd")&amp;"||",'CALENDARIO'!$G$15:$G$214,0)),INDEX(patronHabil,WEEKDAY($J893,2))))))</f>
        <v/>
      </c>
      <c r="T893" s="3">
        <f>IF($I893="","",IFERROR(INDEX('CAT_TIPOS_OT'!$C$4:$C$7,MATCH($I893,'CAT_TIPOS_OT'!$A$4:$A$7,0)),"sin_clasificar"))</f>
        <v/>
      </c>
      <c r="U893" s="3">
        <f>IF($F893="","",IFERROR(INDEX('CAT_CENTROS_COSTO'!$F$4:$F$13,MATCH($F893,'CAT_CENTROS_COSTO'!$A$4:$A$13,0)),"(sin catálogo)"))</f>
        <v/>
      </c>
      <c r="V893" s="3">
        <f>IF($F893="","",IFERROR(INDEX('CAT_CENTROS_COSTO'!$D$4:$D$13,MATCH($F893,'CAT_CENTROS_COSTO'!$A$4:$A$13,0)),"(sin catálogo)"))</f>
        <v/>
      </c>
      <c r="W893" s="3">
        <f>IF($F893="","",IF((IFERROR(INDEX('CAT_CENTROS_COSTO'!$E$4:$E$13,MATCH($F893,'CAT_CENTROS_COSTO'!$A$4:$A$13,0)),""))&lt;&gt;"",IFERROR(INDEX('CAT_CENTROS_COSTO'!$E$4:$E$13,MATCH($F893,'CAT_CENTROS_COSTO'!$A$4:$A$13,0)),""),$V893))</f>
        <v/>
      </c>
      <c r="X893" s="3">
        <f>IF($F893="","",IFERROR(INDEX('CAT_CENTROS_COSTO'!$G$4:$G$13,MATCH($F893,'CAT_CENTROS_COSTO'!$A$4:$A$13,0)),"(sin catálogo)"))</f>
        <v/>
      </c>
      <c r="Y893" s="3">
        <f>IF($G893="","",IFERROR(INDEX('CAT_PUESTOS'!$B$4:$B$8,MATCH($G893,'CAT_PUESTOS'!$A$4:$A$8,0)),"(sin catálogo)"))</f>
        <v/>
      </c>
      <c r="Z893" s="3">
        <f>IF($H893="","",IFERROR(INDEX('CAT_ACTIVIDADES'!$B$4:$B$8,MATCH($H893,'CAT_ACTIVIDADES'!$A$4:$A$8,0)),"(sin catálogo)"))</f>
        <v/>
      </c>
      <c r="AA893" s="12">
        <f>IF($J893="","",TODAY()-$J893)</f>
        <v/>
      </c>
      <c r="AB893" s="12">
        <f>IF($J893="","",IF($J893&lt;=TODAY(),COUNTIFS(cal_fechas,"&gt;="&amp;$J893,cal_fechas,"&lt;"&amp;TODAY(),cal_habil,"sí"),-COUNTIFS(cal_fechas,"&gt;="&amp;TODAY(),cal_fechas,"&lt;"&amp;$J893,cal_habil,"sí")))</f>
        <v/>
      </c>
      <c r="AC893" s="3">
        <f>IF($AB893="","",IF($AB893&lt;0,"FUTURO",IF($AB893&gt;p_dias_backlog_max,"BACKLOG","MES CORRIENTE")))</f>
        <v/>
      </c>
      <c r="AD893" s="3">
        <f>IF($AB893="",FALSE,AND($AB893&gt;p_dias_backlog_min,$AB893&lt;=p_dias_backlog_max))</f>
        <v/>
      </c>
      <c r="AE893" s="6" t="n"/>
      <c r="AF893" s="3">
        <f>IF($AE893="","",IF((IFERROR(INDEX('ASIGNACIONES'!$F$4:$F$339,MATCH($O893&amp;"|"&amp;$R893&amp;"|"&amp;$AE893,'ASIGNACIONES'!$J$4:$J$339,0)),""))=0,"",IFERROR(INDEX('ASIGNACIONES'!$F$4:$F$339,MATCH($O893&amp;"|"&amp;$R893&amp;"|"&amp;$AE893,'ASIGNACIONES'!$J$4:$J$339,0)),"")))</f>
        <v/>
      </c>
      <c r="AG893" s="13">
        <f>IF($AE893="","",SUMIFS('ORDENES'!$M$4:$M$1203,'ORDENES'!$AE$4:$AE$1203,$AE893,'ORDENES'!$O$4:$O$1203,$O893,'ORDENES'!$R$4:$R$1203,$R893))</f>
        <v/>
      </c>
      <c r="AH893" s="13">
        <f>IF($AG893="","",p_factor_productividad*IFERROR(INDEX('ASIGNACIONES'!$I$4:$I$339,MATCH($O893&amp;"|"&amp;$R893&amp;"|"&amp;$AE893,'ASIGNACIONES'!$J$4:$J$339,0)),0)-$AG893)</f>
        <v/>
      </c>
      <c r="AI893" s="10">
        <f>IF($A893="","",IFERROR(INDEX('2_IMPORTAR_EJECUCION'!$F$9:$F$1208,MATCH($AQ893,'2_IMPORTAR_EJECUCION'!$J$9:$J$1208,0)),0))</f>
        <v/>
      </c>
      <c r="AJ893" s="10">
        <f>IF($A893="","",MAX(0,IFERROR(INDEX('2_IMPORTAR_EJECUCION'!$H$9:$H$1208,MATCH($AQ893,'2_IMPORTAR_EJECUCION'!$J$9:$J$1208,0)),0)-$AI893))</f>
        <v/>
      </c>
      <c r="AK893" s="10">
        <f>IF($A893="","",$AI893+$AJ893)</f>
        <v/>
      </c>
      <c r="AL893" s="6" t="n"/>
      <c r="AM893" s="6" t="n"/>
      <c r="AN893" s="6" t="n"/>
      <c r="AO893" s="3">
        <f>IF($AN893="","",HYPERLINK(p_ruta_base_checklists&amp;$AN893,"abrir"))</f>
        <v/>
      </c>
      <c r="AP893" s="6" t="n"/>
      <c r="AQ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IF($A894="","",IFERROR(INDEX('AJUSTES'!$B$4:$B$303,MATCH($AQ894,'AJUSTES'!$A$4:$A$303,0)),IF($K894="","",$K894)))</f>
        <v/>
      </c>
      <c r="N894" s="3">
        <f>IF($A894="","",IFERROR(INDEX('CAT_ESTADOS_ERP'!$B$4:$B$7,MATCH(IFERROR(INDEX('2_IMPORTAR_EJECUCION'!$C$9:$C$1208,MATCH($AQ894,'2_IMPORTAR_EJECUCION'!$J$9:$J$1208,0)),""),'CAT_ESTADOS_ERP'!$A$4:$A$7,0)),"Pendiente"))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J894="","",IFERROR(INDEX('CALENDARIO'!$C$15:$C$214,MATCH(TEXT($J894,"yyyy-mm-dd")&amp;"|"&amp;$V894&amp;"|"&amp;$W894,'CALENDARIO'!$G$15:$G$214,0)),IFERROR(INDEX('CALENDARIO'!$C$15:$C$214,MATCH(TEXT($J894,"yyyy-mm-dd")&amp;"|"&amp;$V894&amp;"|",'CALENDARIO'!$G$15:$G$214,0)),IFERROR(INDEX('CALENDARIO'!$C$15:$C$214,MATCH(TEXT($J894,"yyyy-mm-dd")&amp;"||",'CALENDARIO'!$G$15:$G$214,0)),INDEX(patronHabil,WEEKDAY($J894,2))))))</f>
        <v/>
      </c>
      <c r="T894" s="3">
        <f>IF($I894="","",IFERROR(INDEX('CAT_TIPOS_OT'!$C$4:$C$7,MATCH($I894,'CAT_TIPOS_OT'!$A$4:$A$7,0)),"sin_clasificar"))</f>
        <v/>
      </c>
      <c r="U894" s="3">
        <f>IF($F894="","",IFERROR(INDEX('CAT_CENTROS_COSTO'!$F$4:$F$13,MATCH($F894,'CAT_CENTROS_COSTO'!$A$4:$A$13,0)),"(sin catálogo)"))</f>
        <v/>
      </c>
      <c r="V894" s="3">
        <f>IF($F894="","",IFERROR(INDEX('CAT_CENTROS_COSTO'!$D$4:$D$13,MATCH($F894,'CAT_CENTROS_COSTO'!$A$4:$A$13,0)),"(sin catálogo)"))</f>
        <v/>
      </c>
      <c r="W894" s="3">
        <f>IF($F894="","",IF((IFERROR(INDEX('CAT_CENTROS_COSTO'!$E$4:$E$13,MATCH($F894,'CAT_CENTROS_COSTO'!$A$4:$A$13,0)),""))&lt;&gt;"",IFERROR(INDEX('CAT_CENTROS_COSTO'!$E$4:$E$13,MATCH($F894,'CAT_CENTROS_COSTO'!$A$4:$A$13,0)),""),$V894))</f>
        <v/>
      </c>
      <c r="X894" s="3">
        <f>IF($F894="","",IFERROR(INDEX('CAT_CENTROS_COSTO'!$G$4:$G$13,MATCH($F894,'CAT_CENTROS_COSTO'!$A$4:$A$13,0)),"(sin catálogo)"))</f>
        <v/>
      </c>
      <c r="Y894" s="3">
        <f>IF($G894="","",IFERROR(INDEX('CAT_PUESTOS'!$B$4:$B$8,MATCH($G894,'CAT_PUESTOS'!$A$4:$A$8,0)),"(sin catálogo)"))</f>
        <v/>
      </c>
      <c r="Z894" s="3">
        <f>IF($H894="","",IFERROR(INDEX('CAT_ACTIVIDADES'!$B$4:$B$8,MATCH($H894,'CAT_ACTIVIDADES'!$A$4:$A$8,0)),"(sin catálogo)"))</f>
        <v/>
      </c>
      <c r="AA894" s="12">
        <f>IF($J894="","",TODAY()-$J894)</f>
        <v/>
      </c>
      <c r="AB894" s="12">
        <f>IF($J894="","",IF($J894&lt;=TODAY(),COUNTIFS(cal_fechas,"&gt;="&amp;$J894,cal_fechas,"&lt;"&amp;TODAY(),cal_habil,"sí"),-COUNTIFS(cal_fechas,"&gt;="&amp;TODAY(),cal_fechas,"&lt;"&amp;$J894,cal_habil,"sí")))</f>
        <v/>
      </c>
      <c r="AC894" s="3">
        <f>IF($AB894="","",IF($AB894&lt;0,"FUTURO",IF($AB894&gt;p_dias_backlog_max,"BACKLOG","MES CORRIENTE")))</f>
        <v/>
      </c>
      <c r="AD894" s="3">
        <f>IF($AB894="",FALSE,AND($AB894&gt;p_dias_backlog_min,$AB894&lt;=p_dias_backlog_max))</f>
        <v/>
      </c>
      <c r="AE894" s="6" t="n"/>
      <c r="AF894" s="3">
        <f>IF($AE894="","",IF((IFERROR(INDEX('ASIGNACIONES'!$F$4:$F$339,MATCH($O894&amp;"|"&amp;$R894&amp;"|"&amp;$AE894,'ASIGNACIONES'!$J$4:$J$339,0)),""))=0,"",IFERROR(INDEX('ASIGNACIONES'!$F$4:$F$339,MATCH($O894&amp;"|"&amp;$R894&amp;"|"&amp;$AE894,'ASIGNACIONES'!$J$4:$J$339,0)),"")))</f>
        <v/>
      </c>
      <c r="AG894" s="13">
        <f>IF($AE894="","",SUMIFS('ORDENES'!$M$4:$M$1203,'ORDENES'!$AE$4:$AE$1203,$AE894,'ORDENES'!$O$4:$O$1203,$O894,'ORDENES'!$R$4:$R$1203,$R894))</f>
        <v/>
      </c>
      <c r="AH894" s="13">
        <f>IF($AG894="","",p_factor_productividad*IFERROR(INDEX('ASIGNACIONES'!$I$4:$I$339,MATCH($O894&amp;"|"&amp;$R894&amp;"|"&amp;$AE894,'ASIGNACIONES'!$J$4:$J$339,0)),0)-$AG894)</f>
        <v/>
      </c>
      <c r="AI894" s="10">
        <f>IF($A894="","",IFERROR(INDEX('2_IMPORTAR_EJECUCION'!$F$9:$F$1208,MATCH($AQ894,'2_IMPORTAR_EJECUCION'!$J$9:$J$1208,0)),0))</f>
        <v/>
      </c>
      <c r="AJ894" s="10">
        <f>IF($A894="","",MAX(0,IFERROR(INDEX('2_IMPORTAR_EJECUCION'!$H$9:$H$1208,MATCH($AQ894,'2_IMPORTAR_EJECUCION'!$J$9:$J$1208,0)),0)-$AI894))</f>
        <v/>
      </c>
      <c r="AK894" s="10">
        <f>IF($A894="","",$AI894+$AJ894)</f>
        <v/>
      </c>
      <c r="AL894" s="6" t="n"/>
      <c r="AM894" s="6" t="n"/>
      <c r="AN894" s="6" t="n"/>
      <c r="AO894" s="3">
        <f>IF($AN894="","",HYPERLINK(p_ruta_base_checklists&amp;$AN894,"abrir"))</f>
        <v/>
      </c>
      <c r="AP894" s="6" t="n"/>
      <c r="AQ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IF($A895="","",IFERROR(INDEX('AJUSTES'!$B$4:$B$303,MATCH($AQ895,'AJUSTES'!$A$4:$A$303,0)),IF($K895="","",$K895)))</f>
        <v/>
      </c>
      <c r="N895" s="3">
        <f>IF($A895="","",IFERROR(INDEX('CAT_ESTADOS_ERP'!$B$4:$B$7,MATCH(IFERROR(INDEX('2_IMPORTAR_EJECUCION'!$C$9:$C$1208,MATCH($AQ895,'2_IMPORTAR_EJECUCION'!$J$9:$J$1208,0)),""),'CAT_ESTADOS_ERP'!$A$4:$A$7,0)),"Pendiente"))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J895="","",IFERROR(INDEX('CALENDARIO'!$C$15:$C$214,MATCH(TEXT($J895,"yyyy-mm-dd")&amp;"|"&amp;$V895&amp;"|"&amp;$W895,'CALENDARIO'!$G$15:$G$214,0)),IFERROR(INDEX('CALENDARIO'!$C$15:$C$214,MATCH(TEXT($J895,"yyyy-mm-dd")&amp;"|"&amp;$V895&amp;"|",'CALENDARIO'!$G$15:$G$214,0)),IFERROR(INDEX('CALENDARIO'!$C$15:$C$214,MATCH(TEXT($J895,"yyyy-mm-dd")&amp;"||",'CALENDARIO'!$G$15:$G$214,0)),INDEX(patronHabil,WEEKDAY($J895,2))))))</f>
        <v/>
      </c>
      <c r="T895" s="3">
        <f>IF($I895="","",IFERROR(INDEX('CAT_TIPOS_OT'!$C$4:$C$7,MATCH($I895,'CAT_TIPOS_OT'!$A$4:$A$7,0)),"sin_clasificar"))</f>
        <v/>
      </c>
      <c r="U895" s="3">
        <f>IF($F895="","",IFERROR(INDEX('CAT_CENTROS_COSTO'!$F$4:$F$13,MATCH($F895,'CAT_CENTROS_COSTO'!$A$4:$A$13,0)),"(sin catálogo)"))</f>
        <v/>
      </c>
      <c r="V895" s="3">
        <f>IF($F895="","",IFERROR(INDEX('CAT_CENTROS_COSTO'!$D$4:$D$13,MATCH($F895,'CAT_CENTROS_COSTO'!$A$4:$A$13,0)),"(sin catálogo)"))</f>
        <v/>
      </c>
      <c r="W895" s="3">
        <f>IF($F895="","",IF((IFERROR(INDEX('CAT_CENTROS_COSTO'!$E$4:$E$13,MATCH($F895,'CAT_CENTROS_COSTO'!$A$4:$A$13,0)),""))&lt;&gt;"",IFERROR(INDEX('CAT_CENTROS_COSTO'!$E$4:$E$13,MATCH($F895,'CAT_CENTROS_COSTO'!$A$4:$A$13,0)),""),$V895))</f>
        <v/>
      </c>
      <c r="X895" s="3">
        <f>IF($F895="","",IFERROR(INDEX('CAT_CENTROS_COSTO'!$G$4:$G$13,MATCH($F895,'CAT_CENTROS_COSTO'!$A$4:$A$13,0)),"(sin catálogo)"))</f>
        <v/>
      </c>
      <c r="Y895" s="3">
        <f>IF($G895="","",IFERROR(INDEX('CAT_PUESTOS'!$B$4:$B$8,MATCH($G895,'CAT_PUESTOS'!$A$4:$A$8,0)),"(sin catálogo)"))</f>
        <v/>
      </c>
      <c r="Z895" s="3">
        <f>IF($H895="","",IFERROR(INDEX('CAT_ACTIVIDADES'!$B$4:$B$8,MATCH($H895,'CAT_ACTIVIDADES'!$A$4:$A$8,0)),"(sin catálogo)"))</f>
        <v/>
      </c>
      <c r="AA895" s="12">
        <f>IF($J895="","",TODAY()-$J895)</f>
        <v/>
      </c>
      <c r="AB895" s="12">
        <f>IF($J895="","",IF($J895&lt;=TODAY(),COUNTIFS(cal_fechas,"&gt;="&amp;$J895,cal_fechas,"&lt;"&amp;TODAY(),cal_habil,"sí"),-COUNTIFS(cal_fechas,"&gt;="&amp;TODAY(),cal_fechas,"&lt;"&amp;$J895,cal_habil,"sí")))</f>
        <v/>
      </c>
      <c r="AC895" s="3">
        <f>IF($AB895="","",IF($AB895&lt;0,"FUTURO",IF($AB895&gt;p_dias_backlog_max,"BACKLOG","MES CORRIENTE")))</f>
        <v/>
      </c>
      <c r="AD895" s="3">
        <f>IF($AB895="",FALSE,AND($AB895&gt;p_dias_backlog_min,$AB895&lt;=p_dias_backlog_max))</f>
        <v/>
      </c>
      <c r="AE895" s="6" t="n"/>
      <c r="AF895" s="3">
        <f>IF($AE895="","",IF((IFERROR(INDEX('ASIGNACIONES'!$F$4:$F$339,MATCH($O895&amp;"|"&amp;$R895&amp;"|"&amp;$AE895,'ASIGNACIONES'!$J$4:$J$339,0)),""))=0,"",IFERROR(INDEX('ASIGNACIONES'!$F$4:$F$339,MATCH($O895&amp;"|"&amp;$R895&amp;"|"&amp;$AE895,'ASIGNACIONES'!$J$4:$J$339,0)),"")))</f>
        <v/>
      </c>
      <c r="AG895" s="13">
        <f>IF($AE895="","",SUMIFS('ORDENES'!$M$4:$M$1203,'ORDENES'!$AE$4:$AE$1203,$AE895,'ORDENES'!$O$4:$O$1203,$O895,'ORDENES'!$R$4:$R$1203,$R895))</f>
        <v/>
      </c>
      <c r="AH895" s="13">
        <f>IF($AG895="","",p_factor_productividad*IFERROR(INDEX('ASIGNACIONES'!$I$4:$I$339,MATCH($O895&amp;"|"&amp;$R895&amp;"|"&amp;$AE895,'ASIGNACIONES'!$J$4:$J$339,0)),0)-$AG895)</f>
        <v/>
      </c>
      <c r="AI895" s="10">
        <f>IF($A895="","",IFERROR(INDEX('2_IMPORTAR_EJECUCION'!$F$9:$F$1208,MATCH($AQ895,'2_IMPORTAR_EJECUCION'!$J$9:$J$1208,0)),0))</f>
        <v/>
      </c>
      <c r="AJ895" s="10">
        <f>IF($A895="","",MAX(0,IFERROR(INDEX('2_IMPORTAR_EJECUCION'!$H$9:$H$1208,MATCH($AQ895,'2_IMPORTAR_EJECUCION'!$J$9:$J$1208,0)),0)-$AI895))</f>
        <v/>
      </c>
      <c r="AK895" s="10">
        <f>IF($A895="","",$AI895+$AJ895)</f>
        <v/>
      </c>
      <c r="AL895" s="6" t="n"/>
      <c r="AM895" s="6" t="n"/>
      <c r="AN895" s="6" t="n"/>
      <c r="AO895" s="3">
        <f>IF($AN895="","",HYPERLINK(p_ruta_base_checklists&amp;$AN895,"abrir"))</f>
        <v/>
      </c>
      <c r="AP895" s="6" t="n"/>
      <c r="AQ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IF($A896="","",IFERROR(INDEX('AJUSTES'!$B$4:$B$303,MATCH($AQ896,'AJUSTES'!$A$4:$A$303,0)),IF($K896="","",$K896)))</f>
        <v/>
      </c>
      <c r="N896" s="3">
        <f>IF($A896="","",IFERROR(INDEX('CAT_ESTADOS_ERP'!$B$4:$B$7,MATCH(IFERROR(INDEX('2_IMPORTAR_EJECUCION'!$C$9:$C$1208,MATCH($AQ896,'2_IMPORTAR_EJECUCION'!$J$9:$J$1208,0)),""),'CAT_ESTADOS_ERP'!$A$4:$A$7,0)),"Pendiente"))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J896="","",IFERROR(INDEX('CALENDARIO'!$C$15:$C$214,MATCH(TEXT($J896,"yyyy-mm-dd")&amp;"|"&amp;$V896&amp;"|"&amp;$W896,'CALENDARIO'!$G$15:$G$214,0)),IFERROR(INDEX('CALENDARIO'!$C$15:$C$214,MATCH(TEXT($J896,"yyyy-mm-dd")&amp;"|"&amp;$V896&amp;"|",'CALENDARIO'!$G$15:$G$214,0)),IFERROR(INDEX('CALENDARIO'!$C$15:$C$214,MATCH(TEXT($J896,"yyyy-mm-dd")&amp;"||",'CALENDARIO'!$G$15:$G$214,0)),INDEX(patronHabil,WEEKDAY($J896,2))))))</f>
        <v/>
      </c>
      <c r="T896" s="3">
        <f>IF($I896="","",IFERROR(INDEX('CAT_TIPOS_OT'!$C$4:$C$7,MATCH($I896,'CAT_TIPOS_OT'!$A$4:$A$7,0)),"sin_clasificar"))</f>
        <v/>
      </c>
      <c r="U896" s="3">
        <f>IF($F896="","",IFERROR(INDEX('CAT_CENTROS_COSTO'!$F$4:$F$13,MATCH($F896,'CAT_CENTROS_COSTO'!$A$4:$A$13,0)),"(sin catálogo)"))</f>
        <v/>
      </c>
      <c r="V896" s="3">
        <f>IF($F896="","",IFERROR(INDEX('CAT_CENTROS_COSTO'!$D$4:$D$13,MATCH($F896,'CAT_CENTROS_COSTO'!$A$4:$A$13,0)),"(sin catálogo)"))</f>
        <v/>
      </c>
      <c r="W896" s="3">
        <f>IF($F896="","",IF((IFERROR(INDEX('CAT_CENTROS_COSTO'!$E$4:$E$13,MATCH($F896,'CAT_CENTROS_COSTO'!$A$4:$A$13,0)),""))&lt;&gt;"",IFERROR(INDEX('CAT_CENTROS_COSTO'!$E$4:$E$13,MATCH($F896,'CAT_CENTROS_COSTO'!$A$4:$A$13,0)),""),$V896))</f>
        <v/>
      </c>
      <c r="X896" s="3">
        <f>IF($F896="","",IFERROR(INDEX('CAT_CENTROS_COSTO'!$G$4:$G$13,MATCH($F896,'CAT_CENTROS_COSTO'!$A$4:$A$13,0)),"(sin catálogo)"))</f>
        <v/>
      </c>
      <c r="Y896" s="3">
        <f>IF($G896="","",IFERROR(INDEX('CAT_PUESTOS'!$B$4:$B$8,MATCH($G896,'CAT_PUESTOS'!$A$4:$A$8,0)),"(sin catálogo)"))</f>
        <v/>
      </c>
      <c r="Z896" s="3">
        <f>IF($H896="","",IFERROR(INDEX('CAT_ACTIVIDADES'!$B$4:$B$8,MATCH($H896,'CAT_ACTIVIDADES'!$A$4:$A$8,0)),"(sin catálogo)"))</f>
        <v/>
      </c>
      <c r="AA896" s="12">
        <f>IF($J896="","",TODAY()-$J896)</f>
        <v/>
      </c>
      <c r="AB896" s="12">
        <f>IF($J896="","",IF($J896&lt;=TODAY(),COUNTIFS(cal_fechas,"&gt;="&amp;$J896,cal_fechas,"&lt;"&amp;TODAY(),cal_habil,"sí"),-COUNTIFS(cal_fechas,"&gt;="&amp;TODAY(),cal_fechas,"&lt;"&amp;$J896,cal_habil,"sí")))</f>
        <v/>
      </c>
      <c r="AC896" s="3">
        <f>IF($AB896="","",IF($AB896&lt;0,"FUTURO",IF($AB896&gt;p_dias_backlog_max,"BACKLOG","MES CORRIENTE")))</f>
        <v/>
      </c>
      <c r="AD896" s="3">
        <f>IF($AB896="",FALSE,AND($AB896&gt;p_dias_backlog_min,$AB896&lt;=p_dias_backlog_max))</f>
        <v/>
      </c>
      <c r="AE896" s="6" t="n"/>
      <c r="AF896" s="3">
        <f>IF($AE896="","",IF((IFERROR(INDEX('ASIGNACIONES'!$F$4:$F$339,MATCH($O896&amp;"|"&amp;$R896&amp;"|"&amp;$AE896,'ASIGNACIONES'!$J$4:$J$339,0)),""))=0,"",IFERROR(INDEX('ASIGNACIONES'!$F$4:$F$339,MATCH($O896&amp;"|"&amp;$R896&amp;"|"&amp;$AE896,'ASIGNACIONES'!$J$4:$J$339,0)),"")))</f>
        <v/>
      </c>
      <c r="AG896" s="13">
        <f>IF($AE896="","",SUMIFS('ORDENES'!$M$4:$M$1203,'ORDENES'!$AE$4:$AE$1203,$AE896,'ORDENES'!$O$4:$O$1203,$O896,'ORDENES'!$R$4:$R$1203,$R896))</f>
        <v/>
      </c>
      <c r="AH896" s="13">
        <f>IF($AG896="","",p_factor_productividad*IFERROR(INDEX('ASIGNACIONES'!$I$4:$I$339,MATCH($O896&amp;"|"&amp;$R896&amp;"|"&amp;$AE896,'ASIGNACIONES'!$J$4:$J$339,0)),0)-$AG896)</f>
        <v/>
      </c>
      <c r="AI896" s="10">
        <f>IF($A896="","",IFERROR(INDEX('2_IMPORTAR_EJECUCION'!$F$9:$F$1208,MATCH($AQ896,'2_IMPORTAR_EJECUCION'!$J$9:$J$1208,0)),0))</f>
        <v/>
      </c>
      <c r="AJ896" s="10">
        <f>IF($A896="","",MAX(0,IFERROR(INDEX('2_IMPORTAR_EJECUCION'!$H$9:$H$1208,MATCH($AQ896,'2_IMPORTAR_EJECUCION'!$J$9:$J$1208,0)),0)-$AI896))</f>
        <v/>
      </c>
      <c r="AK896" s="10">
        <f>IF($A896="","",$AI896+$AJ896)</f>
        <v/>
      </c>
      <c r="AL896" s="6" t="n"/>
      <c r="AM896" s="6" t="n"/>
      <c r="AN896" s="6" t="n"/>
      <c r="AO896" s="3">
        <f>IF($AN896="","",HYPERLINK(p_ruta_base_checklists&amp;$AN896,"abrir"))</f>
        <v/>
      </c>
      <c r="AP896" s="6" t="n"/>
      <c r="AQ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IF($A897="","",IFERROR(INDEX('AJUSTES'!$B$4:$B$303,MATCH($AQ897,'AJUSTES'!$A$4:$A$303,0)),IF($K897="","",$K897)))</f>
        <v/>
      </c>
      <c r="N897" s="3">
        <f>IF($A897="","",IFERROR(INDEX('CAT_ESTADOS_ERP'!$B$4:$B$7,MATCH(IFERROR(INDEX('2_IMPORTAR_EJECUCION'!$C$9:$C$1208,MATCH($AQ897,'2_IMPORTAR_EJECUCION'!$J$9:$J$1208,0)),""),'CAT_ESTADOS_ERP'!$A$4:$A$7,0)),"Pendiente"))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J897="","",IFERROR(INDEX('CALENDARIO'!$C$15:$C$214,MATCH(TEXT($J897,"yyyy-mm-dd")&amp;"|"&amp;$V897&amp;"|"&amp;$W897,'CALENDARIO'!$G$15:$G$214,0)),IFERROR(INDEX('CALENDARIO'!$C$15:$C$214,MATCH(TEXT($J897,"yyyy-mm-dd")&amp;"|"&amp;$V897&amp;"|",'CALENDARIO'!$G$15:$G$214,0)),IFERROR(INDEX('CALENDARIO'!$C$15:$C$214,MATCH(TEXT($J897,"yyyy-mm-dd")&amp;"||",'CALENDARIO'!$G$15:$G$214,0)),INDEX(patronHabil,WEEKDAY($J897,2))))))</f>
        <v/>
      </c>
      <c r="T897" s="3">
        <f>IF($I897="","",IFERROR(INDEX('CAT_TIPOS_OT'!$C$4:$C$7,MATCH($I897,'CAT_TIPOS_OT'!$A$4:$A$7,0)),"sin_clasificar"))</f>
        <v/>
      </c>
      <c r="U897" s="3">
        <f>IF($F897="","",IFERROR(INDEX('CAT_CENTROS_COSTO'!$F$4:$F$13,MATCH($F897,'CAT_CENTROS_COSTO'!$A$4:$A$13,0)),"(sin catálogo)"))</f>
        <v/>
      </c>
      <c r="V897" s="3">
        <f>IF($F897="","",IFERROR(INDEX('CAT_CENTROS_COSTO'!$D$4:$D$13,MATCH($F897,'CAT_CENTROS_COSTO'!$A$4:$A$13,0)),"(sin catálogo)"))</f>
        <v/>
      </c>
      <c r="W897" s="3">
        <f>IF($F897="","",IF((IFERROR(INDEX('CAT_CENTROS_COSTO'!$E$4:$E$13,MATCH($F897,'CAT_CENTROS_COSTO'!$A$4:$A$13,0)),""))&lt;&gt;"",IFERROR(INDEX('CAT_CENTROS_COSTO'!$E$4:$E$13,MATCH($F897,'CAT_CENTROS_COSTO'!$A$4:$A$13,0)),""),$V897))</f>
        <v/>
      </c>
      <c r="X897" s="3">
        <f>IF($F897="","",IFERROR(INDEX('CAT_CENTROS_COSTO'!$G$4:$G$13,MATCH($F897,'CAT_CENTROS_COSTO'!$A$4:$A$13,0)),"(sin catálogo)"))</f>
        <v/>
      </c>
      <c r="Y897" s="3">
        <f>IF($G897="","",IFERROR(INDEX('CAT_PUESTOS'!$B$4:$B$8,MATCH($G897,'CAT_PUESTOS'!$A$4:$A$8,0)),"(sin catálogo)"))</f>
        <v/>
      </c>
      <c r="Z897" s="3">
        <f>IF($H897="","",IFERROR(INDEX('CAT_ACTIVIDADES'!$B$4:$B$8,MATCH($H897,'CAT_ACTIVIDADES'!$A$4:$A$8,0)),"(sin catálogo)"))</f>
        <v/>
      </c>
      <c r="AA897" s="12">
        <f>IF($J897="","",TODAY()-$J897)</f>
        <v/>
      </c>
      <c r="AB897" s="12">
        <f>IF($J897="","",IF($J897&lt;=TODAY(),COUNTIFS(cal_fechas,"&gt;="&amp;$J897,cal_fechas,"&lt;"&amp;TODAY(),cal_habil,"sí"),-COUNTIFS(cal_fechas,"&gt;="&amp;TODAY(),cal_fechas,"&lt;"&amp;$J897,cal_habil,"sí")))</f>
        <v/>
      </c>
      <c r="AC897" s="3">
        <f>IF($AB897="","",IF($AB897&lt;0,"FUTURO",IF($AB897&gt;p_dias_backlog_max,"BACKLOG","MES CORRIENTE")))</f>
        <v/>
      </c>
      <c r="AD897" s="3">
        <f>IF($AB897="",FALSE,AND($AB897&gt;p_dias_backlog_min,$AB897&lt;=p_dias_backlog_max))</f>
        <v/>
      </c>
      <c r="AE897" s="6" t="n"/>
      <c r="AF897" s="3">
        <f>IF($AE897="","",IF((IFERROR(INDEX('ASIGNACIONES'!$F$4:$F$339,MATCH($O897&amp;"|"&amp;$R897&amp;"|"&amp;$AE897,'ASIGNACIONES'!$J$4:$J$339,0)),""))=0,"",IFERROR(INDEX('ASIGNACIONES'!$F$4:$F$339,MATCH($O897&amp;"|"&amp;$R897&amp;"|"&amp;$AE897,'ASIGNACIONES'!$J$4:$J$339,0)),"")))</f>
        <v/>
      </c>
      <c r="AG897" s="13">
        <f>IF($AE897="","",SUMIFS('ORDENES'!$M$4:$M$1203,'ORDENES'!$AE$4:$AE$1203,$AE897,'ORDENES'!$O$4:$O$1203,$O897,'ORDENES'!$R$4:$R$1203,$R897))</f>
        <v/>
      </c>
      <c r="AH897" s="13">
        <f>IF($AG897="","",p_factor_productividad*IFERROR(INDEX('ASIGNACIONES'!$I$4:$I$339,MATCH($O897&amp;"|"&amp;$R897&amp;"|"&amp;$AE897,'ASIGNACIONES'!$J$4:$J$339,0)),0)-$AG897)</f>
        <v/>
      </c>
      <c r="AI897" s="10">
        <f>IF($A897="","",IFERROR(INDEX('2_IMPORTAR_EJECUCION'!$F$9:$F$1208,MATCH($AQ897,'2_IMPORTAR_EJECUCION'!$J$9:$J$1208,0)),0))</f>
        <v/>
      </c>
      <c r="AJ897" s="10">
        <f>IF($A897="","",MAX(0,IFERROR(INDEX('2_IMPORTAR_EJECUCION'!$H$9:$H$1208,MATCH($AQ897,'2_IMPORTAR_EJECUCION'!$J$9:$J$1208,0)),0)-$AI897))</f>
        <v/>
      </c>
      <c r="AK897" s="10">
        <f>IF($A897="","",$AI897+$AJ897)</f>
        <v/>
      </c>
      <c r="AL897" s="6" t="n"/>
      <c r="AM897" s="6" t="n"/>
      <c r="AN897" s="6" t="n"/>
      <c r="AO897" s="3">
        <f>IF($AN897="","",HYPERLINK(p_ruta_base_checklists&amp;$AN897,"abrir"))</f>
        <v/>
      </c>
      <c r="AP897" s="6" t="n"/>
      <c r="AQ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IF($A898="","",IFERROR(INDEX('AJUSTES'!$B$4:$B$303,MATCH($AQ898,'AJUSTES'!$A$4:$A$303,0)),IF($K898="","",$K898)))</f>
        <v/>
      </c>
      <c r="N898" s="3">
        <f>IF($A898="","",IFERROR(INDEX('CAT_ESTADOS_ERP'!$B$4:$B$7,MATCH(IFERROR(INDEX('2_IMPORTAR_EJECUCION'!$C$9:$C$1208,MATCH($AQ898,'2_IMPORTAR_EJECUCION'!$J$9:$J$1208,0)),""),'CAT_ESTADOS_ERP'!$A$4:$A$7,0)),"Pendiente"))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J898="","",IFERROR(INDEX('CALENDARIO'!$C$15:$C$214,MATCH(TEXT($J898,"yyyy-mm-dd")&amp;"|"&amp;$V898&amp;"|"&amp;$W898,'CALENDARIO'!$G$15:$G$214,0)),IFERROR(INDEX('CALENDARIO'!$C$15:$C$214,MATCH(TEXT($J898,"yyyy-mm-dd")&amp;"|"&amp;$V898&amp;"|",'CALENDARIO'!$G$15:$G$214,0)),IFERROR(INDEX('CALENDARIO'!$C$15:$C$214,MATCH(TEXT($J898,"yyyy-mm-dd")&amp;"||",'CALENDARIO'!$G$15:$G$214,0)),INDEX(patronHabil,WEEKDAY($J898,2))))))</f>
        <v/>
      </c>
      <c r="T898" s="3">
        <f>IF($I898="","",IFERROR(INDEX('CAT_TIPOS_OT'!$C$4:$C$7,MATCH($I898,'CAT_TIPOS_OT'!$A$4:$A$7,0)),"sin_clasificar"))</f>
        <v/>
      </c>
      <c r="U898" s="3">
        <f>IF($F898="","",IFERROR(INDEX('CAT_CENTROS_COSTO'!$F$4:$F$13,MATCH($F898,'CAT_CENTROS_COSTO'!$A$4:$A$13,0)),"(sin catálogo)"))</f>
        <v/>
      </c>
      <c r="V898" s="3">
        <f>IF($F898="","",IFERROR(INDEX('CAT_CENTROS_COSTO'!$D$4:$D$13,MATCH($F898,'CAT_CENTROS_COSTO'!$A$4:$A$13,0)),"(sin catálogo)"))</f>
        <v/>
      </c>
      <c r="W898" s="3">
        <f>IF($F898="","",IF((IFERROR(INDEX('CAT_CENTROS_COSTO'!$E$4:$E$13,MATCH($F898,'CAT_CENTROS_COSTO'!$A$4:$A$13,0)),""))&lt;&gt;"",IFERROR(INDEX('CAT_CENTROS_COSTO'!$E$4:$E$13,MATCH($F898,'CAT_CENTROS_COSTO'!$A$4:$A$13,0)),""),$V898))</f>
        <v/>
      </c>
      <c r="X898" s="3">
        <f>IF($F898="","",IFERROR(INDEX('CAT_CENTROS_COSTO'!$G$4:$G$13,MATCH($F898,'CAT_CENTROS_COSTO'!$A$4:$A$13,0)),"(sin catálogo)"))</f>
        <v/>
      </c>
      <c r="Y898" s="3">
        <f>IF($G898="","",IFERROR(INDEX('CAT_PUESTOS'!$B$4:$B$8,MATCH($G898,'CAT_PUESTOS'!$A$4:$A$8,0)),"(sin catálogo)"))</f>
        <v/>
      </c>
      <c r="Z898" s="3">
        <f>IF($H898="","",IFERROR(INDEX('CAT_ACTIVIDADES'!$B$4:$B$8,MATCH($H898,'CAT_ACTIVIDADES'!$A$4:$A$8,0)),"(sin catálogo)"))</f>
        <v/>
      </c>
      <c r="AA898" s="12">
        <f>IF($J898="","",TODAY()-$J898)</f>
        <v/>
      </c>
      <c r="AB898" s="12">
        <f>IF($J898="","",IF($J898&lt;=TODAY(),COUNTIFS(cal_fechas,"&gt;="&amp;$J898,cal_fechas,"&lt;"&amp;TODAY(),cal_habil,"sí"),-COUNTIFS(cal_fechas,"&gt;="&amp;TODAY(),cal_fechas,"&lt;"&amp;$J898,cal_habil,"sí")))</f>
        <v/>
      </c>
      <c r="AC898" s="3">
        <f>IF($AB898="","",IF($AB898&lt;0,"FUTURO",IF($AB898&gt;p_dias_backlog_max,"BACKLOG","MES CORRIENTE")))</f>
        <v/>
      </c>
      <c r="AD898" s="3">
        <f>IF($AB898="",FALSE,AND($AB898&gt;p_dias_backlog_min,$AB898&lt;=p_dias_backlog_max))</f>
        <v/>
      </c>
      <c r="AE898" s="6" t="n"/>
      <c r="AF898" s="3">
        <f>IF($AE898="","",IF((IFERROR(INDEX('ASIGNACIONES'!$F$4:$F$339,MATCH($O898&amp;"|"&amp;$R898&amp;"|"&amp;$AE898,'ASIGNACIONES'!$J$4:$J$339,0)),""))=0,"",IFERROR(INDEX('ASIGNACIONES'!$F$4:$F$339,MATCH($O898&amp;"|"&amp;$R898&amp;"|"&amp;$AE898,'ASIGNACIONES'!$J$4:$J$339,0)),"")))</f>
        <v/>
      </c>
      <c r="AG898" s="13">
        <f>IF($AE898="","",SUMIFS('ORDENES'!$M$4:$M$1203,'ORDENES'!$AE$4:$AE$1203,$AE898,'ORDENES'!$O$4:$O$1203,$O898,'ORDENES'!$R$4:$R$1203,$R898))</f>
        <v/>
      </c>
      <c r="AH898" s="13">
        <f>IF($AG898="","",p_factor_productividad*IFERROR(INDEX('ASIGNACIONES'!$I$4:$I$339,MATCH($O898&amp;"|"&amp;$R898&amp;"|"&amp;$AE898,'ASIGNACIONES'!$J$4:$J$339,0)),0)-$AG898)</f>
        <v/>
      </c>
      <c r="AI898" s="10">
        <f>IF($A898="","",IFERROR(INDEX('2_IMPORTAR_EJECUCION'!$F$9:$F$1208,MATCH($AQ898,'2_IMPORTAR_EJECUCION'!$J$9:$J$1208,0)),0))</f>
        <v/>
      </c>
      <c r="AJ898" s="10">
        <f>IF($A898="","",MAX(0,IFERROR(INDEX('2_IMPORTAR_EJECUCION'!$H$9:$H$1208,MATCH($AQ898,'2_IMPORTAR_EJECUCION'!$J$9:$J$1208,0)),0)-$AI898))</f>
        <v/>
      </c>
      <c r="AK898" s="10">
        <f>IF($A898="","",$AI898+$AJ898)</f>
        <v/>
      </c>
      <c r="AL898" s="6" t="n"/>
      <c r="AM898" s="6" t="n"/>
      <c r="AN898" s="6" t="n"/>
      <c r="AO898" s="3">
        <f>IF($AN898="","",HYPERLINK(p_ruta_base_checklists&amp;$AN898,"abrir"))</f>
        <v/>
      </c>
      <c r="AP898" s="6" t="n"/>
      <c r="AQ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IF($A899="","",IFERROR(INDEX('AJUSTES'!$B$4:$B$303,MATCH($AQ899,'AJUSTES'!$A$4:$A$303,0)),IF($K899="","",$K899)))</f>
        <v/>
      </c>
      <c r="N899" s="3">
        <f>IF($A899="","",IFERROR(INDEX('CAT_ESTADOS_ERP'!$B$4:$B$7,MATCH(IFERROR(INDEX('2_IMPORTAR_EJECUCION'!$C$9:$C$1208,MATCH($AQ899,'2_IMPORTAR_EJECUCION'!$J$9:$J$1208,0)),""),'CAT_ESTADOS_ERP'!$A$4:$A$7,0)),"Pendiente"))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J899="","",IFERROR(INDEX('CALENDARIO'!$C$15:$C$214,MATCH(TEXT($J899,"yyyy-mm-dd")&amp;"|"&amp;$V899&amp;"|"&amp;$W899,'CALENDARIO'!$G$15:$G$214,0)),IFERROR(INDEX('CALENDARIO'!$C$15:$C$214,MATCH(TEXT($J899,"yyyy-mm-dd")&amp;"|"&amp;$V899&amp;"|",'CALENDARIO'!$G$15:$G$214,0)),IFERROR(INDEX('CALENDARIO'!$C$15:$C$214,MATCH(TEXT($J899,"yyyy-mm-dd")&amp;"||",'CALENDARIO'!$G$15:$G$214,0)),INDEX(patronHabil,WEEKDAY($J899,2))))))</f>
        <v/>
      </c>
      <c r="T899" s="3">
        <f>IF($I899="","",IFERROR(INDEX('CAT_TIPOS_OT'!$C$4:$C$7,MATCH($I899,'CAT_TIPOS_OT'!$A$4:$A$7,0)),"sin_clasificar"))</f>
        <v/>
      </c>
      <c r="U899" s="3">
        <f>IF($F899="","",IFERROR(INDEX('CAT_CENTROS_COSTO'!$F$4:$F$13,MATCH($F899,'CAT_CENTROS_COSTO'!$A$4:$A$13,0)),"(sin catálogo)"))</f>
        <v/>
      </c>
      <c r="V899" s="3">
        <f>IF($F899="","",IFERROR(INDEX('CAT_CENTROS_COSTO'!$D$4:$D$13,MATCH($F899,'CAT_CENTROS_COSTO'!$A$4:$A$13,0)),"(sin catálogo)"))</f>
        <v/>
      </c>
      <c r="W899" s="3">
        <f>IF($F899="","",IF((IFERROR(INDEX('CAT_CENTROS_COSTO'!$E$4:$E$13,MATCH($F899,'CAT_CENTROS_COSTO'!$A$4:$A$13,0)),""))&lt;&gt;"",IFERROR(INDEX('CAT_CENTROS_COSTO'!$E$4:$E$13,MATCH($F899,'CAT_CENTROS_COSTO'!$A$4:$A$13,0)),""),$V899))</f>
        <v/>
      </c>
      <c r="X899" s="3">
        <f>IF($F899="","",IFERROR(INDEX('CAT_CENTROS_COSTO'!$G$4:$G$13,MATCH($F899,'CAT_CENTROS_COSTO'!$A$4:$A$13,0)),"(sin catálogo)"))</f>
        <v/>
      </c>
      <c r="Y899" s="3">
        <f>IF($G899="","",IFERROR(INDEX('CAT_PUESTOS'!$B$4:$B$8,MATCH($G899,'CAT_PUESTOS'!$A$4:$A$8,0)),"(sin catálogo)"))</f>
        <v/>
      </c>
      <c r="Z899" s="3">
        <f>IF($H899="","",IFERROR(INDEX('CAT_ACTIVIDADES'!$B$4:$B$8,MATCH($H899,'CAT_ACTIVIDADES'!$A$4:$A$8,0)),"(sin catálogo)"))</f>
        <v/>
      </c>
      <c r="AA899" s="12">
        <f>IF($J899="","",TODAY()-$J899)</f>
        <v/>
      </c>
      <c r="AB899" s="12">
        <f>IF($J899="","",IF($J899&lt;=TODAY(),COUNTIFS(cal_fechas,"&gt;="&amp;$J899,cal_fechas,"&lt;"&amp;TODAY(),cal_habil,"sí"),-COUNTIFS(cal_fechas,"&gt;="&amp;TODAY(),cal_fechas,"&lt;"&amp;$J899,cal_habil,"sí")))</f>
        <v/>
      </c>
      <c r="AC899" s="3">
        <f>IF($AB899="","",IF($AB899&lt;0,"FUTURO",IF($AB899&gt;p_dias_backlog_max,"BACKLOG","MES CORRIENTE")))</f>
        <v/>
      </c>
      <c r="AD899" s="3">
        <f>IF($AB899="",FALSE,AND($AB899&gt;p_dias_backlog_min,$AB899&lt;=p_dias_backlog_max))</f>
        <v/>
      </c>
      <c r="AE899" s="6" t="n"/>
      <c r="AF899" s="3">
        <f>IF($AE899="","",IF((IFERROR(INDEX('ASIGNACIONES'!$F$4:$F$339,MATCH($O899&amp;"|"&amp;$R899&amp;"|"&amp;$AE899,'ASIGNACIONES'!$J$4:$J$339,0)),""))=0,"",IFERROR(INDEX('ASIGNACIONES'!$F$4:$F$339,MATCH($O899&amp;"|"&amp;$R899&amp;"|"&amp;$AE899,'ASIGNACIONES'!$J$4:$J$339,0)),"")))</f>
        <v/>
      </c>
      <c r="AG899" s="13">
        <f>IF($AE899="","",SUMIFS('ORDENES'!$M$4:$M$1203,'ORDENES'!$AE$4:$AE$1203,$AE899,'ORDENES'!$O$4:$O$1203,$O899,'ORDENES'!$R$4:$R$1203,$R899))</f>
        <v/>
      </c>
      <c r="AH899" s="13">
        <f>IF($AG899="","",p_factor_productividad*IFERROR(INDEX('ASIGNACIONES'!$I$4:$I$339,MATCH($O899&amp;"|"&amp;$R899&amp;"|"&amp;$AE899,'ASIGNACIONES'!$J$4:$J$339,0)),0)-$AG899)</f>
        <v/>
      </c>
      <c r="AI899" s="10">
        <f>IF($A899="","",IFERROR(INDEX('2_IMPORTAR_EJECUCION'!$F$9:$F$1208,MATCH($AQ899,'2_IMPORTAR_EJECUCION'!$J$9:$J$1208,0)),0))</f>
        <v/>
      </c>
      <c r="AJ899" s="10">
        <f>IF($A899="","",MAX(0,IFERROR(INDEX('2_IMPORTAR_EJECUCION'!$H$9:$H$1208,MATCH($AQ899,'2_IMPORTAR_EJECUCION'!$J$9:$J$1208,0)),0)-$AI899))</f>
        <v/>
      </c>
      <c r="AK899" s="10">
        <f>IF($A899="","",$AI899+$AJ899)</f>
        <v/>
      </c>
      <c r="AL899" s="6" t="n"/>
      <c r="AM899" s="6" t="n"/>
      <c r="AN899" s="6" t="n"/>
      <c r="AO899" s="3">
        <f>IF($AN899="","",HYPERLINK(p_ruta_base_checklists&amp;$AN899,"abrir"))</f>
        <v/>
      </c>
      <c r="AP899" s="6" t="n"/>
      <c r="AQ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IF($A900="","",IFERROR(INDEX('AJUSTES'!$B$4:$B$303,MATCH($AQ900,'AJUSTES'!$A$4:$A$303,0)),IF($K900="","",$K900)))</f>
        <v/>
      </c>
      <c r="N900" s="3">
        <f>IF($A900="","",IFERROR(INDEX('CAT_ESTADOS_ERP'!$B$4:$B$7,MATCH(IFERROR(INDEX('2_IMPORTAR_EJECUCION'!$C$9:$C$1208,MATCH($AQ900,'2_IMPORTAR_EJECUCION'!$J$9:$J$1208,0)),""),'CAT_ESTADOS_ERP'!$A$4:$A$7,0)),"Pendiente"))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J900="","",IFERROR(INDEX('CALENDARIO'!$C$15:$C$214,MATCH(TEXT($J900,"yyyy-mm-dd")&amp;"|"&amp;$V900&amp;"|"&amp;$W900,'CALENDARIO'!$G$15:$G$214,0)),IFERROR(INDEX('CALENDARIO'!$C$15:$C$214,MATCH(TEXT($J900,"yyyy-mm-dd")&amp;"|"&amp;$V900&amp;"|",'CALENDARIO'!$G$15:$G$214,0)),IFERROR(INDEX('CALENDARIO'!$C$15:$C$214,MATCH(TEXT($J900,"yyyy-mm-dd")&amp;"||",'CALENDARIO'!$G$15:$G$214,0)),INDEX(patronHabil,WEEKDAY($J900,2))))))</f>
        <v/>
      </c>
      <c r="T900" s="3">
        <f>IF($I900="","",IFERROR(INDEX('CAT_TIPOS_OT'!$C$4:$C$7,MATCH($I900,'CAT_TIPOS_OT'!$A$4:$A$7,0)),"sin_clasificar"))</f>
        <v/>
      </c>
      <c r="U900" s="3">
        <f>IF($F900="","",IFERROR(INDEX('CAT_CENTROS_COSTO'!$F$4:$F$13,MATCH($F900,'CAT_CENTROS_COSTO'!$A$4:$A$13,0)),"(sin catálogo)"))</f>
        <v/>
      </c>
      <c r="V900" s="3">
        <f>IF($F900="","",IFERROR(INDEX('CAT_CENTROS_COSTO'!$D$4:$D$13,MATCH($F900,'CAT_CENTROS_COSTO'!$A$4:$A$13,0)),"(sin catálogo)"))</f>
        <v/>
      </c>
      <c r="W900" s="3">
        <f>IF($F900="","",IF((IFERROR(INDEX('CAT_CENTROS_COSTO'!$E$4:$E$13,MATCH($F900,'CAT_CENTROS_COSTO'!$A$4:$A$13,0)),""))&lt;&gt;"",IFERROR(INDEX('CAT_CENTROS_COSTO'!$E$4:$E$13,MATCH($F900,'CAT_CENTROS_COSTO'!$A$4:$A$13,0)),""),$V900))</f>
        <v/>
      </c>
      <c r="X900" s="3">
        <f>IF($F900="","",IFERROR(INDEX('CAT_CENTROS_COSTO'!$G$4:$G$13,MATCH($F900,'CAT_CENTROS_COSTO'!$A$4:$A$13,0)),"(sin catálogo)"))</f>
        <v/>
      </c>
      <c r="Y900" s="3">
        <f>IF($G900="","",IFERROR(INDEX('CAT_PUESTOS'!$B$4:$B$8,MATCH($G900,'CAT_PUESTOS'!$A$4:$A$8,0)),"(sin catálogo)"))</f>
        <v/>
      </c>
      <c r="Z900" s="3">
        <f>IF($H900="","",IFERROR(INDEX('CAT_ACTIVIDADES'!$B$4:$B$8,MATCH($H900,'CAT_ACTIVIDADES'!$A$4:$A$8,0)),"(sin catálogo)"))</f>
        <v/>
      </c>
      <c r="AA900" s="12">
        <f>IF($J900="","",TODAY()-$J900)</f>
        <v/>
      </c>
      <c r="AB900" s="12">
        <f>IF($J900="","",IF($J900&lt;=TODAY(),COUNTIFS(cal_fechas,"&gt;="&amp;$J900,cal_fechas,"&lt;"&amp;TODAY(),cal_habil,"sí"),-COUNTIFS(cal_fechas,"&gt;="&amp;TODAY(),cal_fechas,"&lt;"&amp;$J900,cal_habil,"sí")))</f>
        <v/>
      </c>
      <c r="AC900" s="3">
        <f>IF($AB900="","",IF($AB900&lt;0,"FUTURO",IF($AB900&gt;p_dias_backlog_max,"BACKLOG","MES CORRIENTE")))</f>
        <v/>
      </c>
      <c r="AD900" s="3">
        <f>IF($AB900="",FALSE,AND($AB900&gt;p_dias_backlog_min,$AB900&lt;=p_dias_backlog_max))</f>
        <v/>
      </c>
      <c r="AE900" s="6" t="n"/>
      <c r="AF900" s="3">
        <f>IF($AE900="","",IF((IFERROR(INDEX('ASIGNACIONES'!$F$4:$F$339,MATCH($O900&amp;"|"&amp;$R900&amp;"|"&amp;$AE900,'ASIGNACIONES'!$J$4:$J$339,0)),""))=0,"",IFERROR(INDEX('ASIGNACIONES'!$F$4:$F$339,MATCH($O900&amp;"|"&amp;$R900&amp;"|"&amp;$AE900,'ASIGNACIONES'!$J$4:$J$339,0)),"")))</f>
        <v/>
      </c>
      <c r="AG900" s="13">
        <f>IF($AE900="","",SUMIFS('ORDENES'!$M$4:$M$1203,'ORDENES'!$AE$4:$AE$1203,$AE900,'ORDENES'!$O$4:$O$1203,$O900,'ORDENES'!$R$4:$R$1203,$R900))</f>
        <v/>
      </c>
      <c r="AH900" s="13">
        <f>IF($AG900="","",p_factor_productividad*IFERROR(INDEX('ASIGNACIONES'!$I$4:$I$339,MATCH($O900&amp;"|"&amp;$R900&amp;"|"&amp;$AE900,'ASIGNACIONES'!$J$4:$J$339,0)),0)-$AG900)</f>
        <v/>
      </c>
      <c r="AI900" s="10">
        <f>IF($A900="","",IFERROR(INDEX('2_IMPORTAR_EJECUCION'!$F$9:$F$1208,MATCH($AQ900,'2_IMPORTAR_EJECUCION'!$J$9:$J$1208,0)),0))</f>
        <v/>
      </c>
      <c r="AJ900" s="10">
        <f>IF($A900="","",MAX(0,IFERROR(INDEX('2_IMPORTAR_EJECUCION'!$H$9:$H$1208,MATCH($AQ900,'2_IMPORTAR_EJECUCION'!$J$9:$J$1208,0)),0)-$AI900))</f>
        <v/>
      </c>
      <c r="AK900" s="10">
        <f>IF($A900="","",$AI900+$AJ900)</f>
        <v/>
      </c>
      <c r="AL900" s="6" t="n"/>
      <c r="AM900" s="6" t="n"/>
      <c r="AN900" s="6" t="n"/>
      <c r="AO900" s="3">
        <f>IF($AN900="","",HYPERLINK(p_ruta_base_checklists&amp;$AN900,"abrir"))</f>
        <v/>
      </c>
      <c r="AP900" s="6" t="n"/>
      <c r="AQ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IF($A901="","",IFERROR(INDEX('AJUSTES'!$B$4:$B$303,MATCH($AQ901,'AJUSTES'!$A$4:$A$303,0)),IF($K901="","",$K901)))</f>
        <v/>
      </c>
      <c r="N901" s="3">
        <f>IF($A901="","",IFERROR(INDEX('CAT_ESTADOS_ERP'!$B$4:$B$7,MATCH(IFERROR(INDEX('2_IMPORTAR_EJECUCION'!$C$9:$C$1208,MATCH($AQ901,'2_IMPORTAR_EJECUCION'!$J$9:$J$1208,0)),""),'CAT_ESTADOS_ERP'!$A$4:$A$7,0)),"Pendiente"))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J901="","",IFERROR(INDEX('CALENDARIO'!$C$15:$C$214,MATCH(TEXT($J901,"yyyy-mm-dd")&amp;"|"&amp;$V901&amp;"|"&amp;$W901,'CALENDARIO'!$G$15:$G$214,0)),IFERROR(INDEX('CALENDARIO'!$C$15:$C$214,MATCH(TEXT($J901,"yyyy-mm-dd")&amp;"|"&amp;$V901&amp;"|",'CALENDARIO'!$G$15:$G$214,0)),IFERROR(INDEX('CALENDARIO'!$C$15:$C$214,MATCH(TEXT($J901,"yyyy-mm-dd")&amp;"||",'CALENDARIO'!$G$15:$G$214,0)),INDEX(patronHabil,WEEKDAY($J901,2))))))</f>
        <v/>
      </c>
      <c r="T901" s="3">
        <f>IF($I901="","",IFERROR(INDEX('CAT_TIPOS_OT'!$C$4:$C$7,MATCH($I901,'CAT_TIPOS_OT'!$A$4:$A$7,0)),"sin_clasificar"))</f>
        <v/>
      </c>
      <c r="U901" s="3">
        <f>IF($F901="","",IFERROR(INDEX('CAT_CENTROS_COSTO'!$F$4:$F$13,MATCH($F901,'CAT_CENTROS_COSTO'!$A$4:$A$13,0)),"(sin catálogo)"))</f>
        <v/>
      </c>
      <c r="V901" s="3">
        <f>IF($F901="","",IFERROR(INDEX('CAT_CENTROS_COSTO'!$D$4:$D$13,MATCH($F901,'CAT_CENTROS_COSTO'!$A$4:$A$13,0)),"(sin catálogo)"))</f>
        <v/>
      </c>
      <c r="W901" s="3">
        <f>IF($F901="","",IF((IFERROR(INDEX('CAT_CENTROS_COSTO'!$E$4:$E$13,MATCH($F901,'CAT_CENTROS_COSTO'!$A$4:$A$13,0)),""))&lt;&gt;"",IFERROR(INDEX('CAT_CENTROS_COSTO'!$E$4:$E$13,MATCH($F901,'CAT_CENTROS_COSTO'!$A$4:$A$13,0)),""),$V901))</f>
        <v/>
      </c>
      <c r="X901" s="3">
        <f>IF($F901="","",IFERROR(INDEX('CAT_CENTROS_COSTO'!$G$4:$G$13,MATCH($F901,'CAT_CENTROS_COSTO'!$A$4:$A$13,0)),"(sin catálogo)"))</f>
        <v/>
      </c>
      <c r="Y901" s="3">
        <f>IF($G901="","",IFERROR(INDEX('CAT_PUESTOS'!$B$4:$B$8,MATCH($G901,'CAT_PUESTOS'!$A$4:$A$8,0)),"(sin catálogo)"))</f>
        <v/>
      </c>
      <c r="Z901" s="3">
        <f>IF($H901="","",IFERROR(INDEX('CAT_ACTIVIDADES'!$B$4:$B$8,MATCH($H901,'CAT_ACTIVIDADES'!$A$4:$A$8,0)),"(sin catálogo)"))</f>
        <v/>
      </c>
      <c r="AA901" s="12">
        <f>IF($J901="","",TODAY()-$J901)</f>
        <v/>
      </c>
      <c r="AB901" s="12">
        <f>IF($J901="","",IF($J901&lt;=TODAY(),COUNTIFS(cal_fechas,"&gt;="&amp;$J901,cal_fechas,"&lt;"&amp;TODAY(),cal_habil,"sí"),-COUNTIFS(cal_fechas,"&gt;="&amp;TODAY(),cal_fechas,"&lt;"&amp;$J901,cal_habil,"sí")))</f>
        <v/>
      </c>
      <c r="AC901" s="3">
        <f>IF($AB901="","",IF($AB901&lt;0,"FUTURO",IF($AB901&gt;p_dias_backlog_max,"BACKLOG","MES CORRIENTE")))</f>
        <v/>
      </c>
      <c r="AD901" s="3">
        <f>IF($AB901="",FALSE,AND($AB901&gt;p_dias_backlog_min,$AB901&lt;=p_dias_backlog_max))</f>
        <v/>
      </c>
      <c r="AE901" s="6" t="n"/>
      <c r="AF901" s="3">
        <f>IF($AE901="","",IF((IFERROR(INDEX('ASIGNACIONES'!$F$4:$F$339,MATCH($O901&amp;"|"&amp;$R901&amp;"|"&amp;$AE901,'ASIGNACIONES'!$J$4:$J$339,0)),""))=0,"",IFERROR(INDEX('ASIGNACIONES'!$F$4:$F$339,MATCH($O901&amp;"|"&amp;$R901&amp;"|"&amp;$AE901,'ASIGNACIONES'!$J$4:$J$339,0)),"")))</f>
        <v/>
      </c>
      <c r="AG901" s="13">
        <f>IF($AE901="","",SUMIFS('ORDENES'!$M$4:$M$1203,'ORDENES'!$AE$4:$AE$1203,$AE901,'ORDENES'!$O$4:$O$1203,$O901,'ORDENES'!$R$4:$R$1203,$R901))</f>
        <v/>
      </c>
      <c r="AH901" s="13">
        <f>IF($AG901="","",p_factor_productividad*IFERROR(INDEX('ASIGNACIONES'!$I$4:$I$339,MATCH($O901&amp;"|"&amp;$R901&amp;"|"&amp;$AE901,'ASIGNACIONES'!$J$4:$J$339,0)),0)-$AG901)</f>
        <v/>
      </c>
      <c r="AI901" s="10">
        <f>IF($A901="","",IFERROR(INDEX('2_IMPORTAR_EJECUCION'!$F$9:$F$1208,MATCH($AQ901,'2_IMPORTAR_EJECUCION'!$J$9:$J$1208,0)),0))</f>
        <v/>
      </c>
      <c r="AJ901" s="10">
        <f>IF($A901="","",MAX(0,IFERROR(INDEX('2_IMPORTAR_EJECUCION'!$H$9:$H$1208,MATCH($AQ901,'2_IMPORTAR_EJECUCION'!$J$9:$J$1208,0)),0)-$AI901))</f>
        <v/>
      </c>
      <c r="AK901" s="10">
        <f>IF($A901="","",$AI901+$AJ901)</f>
        <v/>
      </c>
      <c r="AL901" s="6" t="n"/>
      <c r="AM901" s="6" t="n"/>
      <c r="AN901" s="6" t="n"/>
      <c r="AO901" s="3">
        <f>IF($AN901="","",HYPERLINK(p_ruta_base_checklists&amp;$AN901,"abrir"))</f>
        <v/>
      </c>
      <c r="AP901" s="6" t="n"/>
      <c r="AQ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IF($A902="","",IFERROR(INDEX('AJUSTES'!$B$4:$B$303,MATCH($AQ902,'AJUSTES'!$A$4:$A$303,0)),IF($K902="","",$K902)))</f>
        <v/>
      </c>
      <c r="N902" s="3">
        <f>IF($A902="","",IFERROR(INDEX('CAT_ESTADOS_ERP'!$B$4:$B$7,MATCH(IFERROR(INDEX('2_IMPORTAR_EJECUCION'!$C$9:$C$1208,MATCH($AQ902,'2_IMPORTAR_EJECUCION'!$J$9:$J$1208,0)),""),'CAT_ESTADOS_ERP'!$A$4:$A$7,0)),"Pendiente"))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J902="","",IFERROR(INDEX('CALENDARIO'!$C$15:$C$214,MATCH(TEXT($J902,"yyyy-mm-dd")&amp;"|"&amp;$V902&amp;"|"&amp;$W902,'CALENDARIO'!$G$15:$G$214,0)),IFERROR(INDEX('CALENDARIO'!$C$15:$C$214,MATCH(TEXT($J902,"yyyy-mm-dd")&amp;"|"&amp;$V902&amp;"|",'CALENDARIO'!$G$15:$G$214,0)),IFERROR(INDEX('CALENDARIO'!$C$15:$C$214,MATCH(TEXT($J902,"yyyy-mm-dd")&amp;"||",'CALENDARIO'!$G$15:$G$214,0)),INDEX(patronHabil,WEEKDAY($J902,2))))))</f>
        <v/>
      </c>
      <c r="T902" s="3">
        <f>IF($I902="","",IFERROR(INDEX('CAT_TIPOS_OT'!$C$4:$C$7,MATCH($I902,'CAT_TIPOS_OT'!$A$4:$A$7,0)),"sin_clasificar"))</f>
        <v/>
      </c>
      <c r="U902" s="3">
        <f>IF($F902="","",IFERROR(INDEX('CAT_CENTROS_COSTO'!$F$4:$F$13,MATCH($F902,'CAT_CENTROS_COSTO'!$A$4:$A$13,0)),"(sin catálogo)"))</f>
        <v/>
      </c>
      <c r="V902" s="3">
        <f>IF($F902="","",IFERROR(INDEX('CAT_CENTROS_COSTO'!$D$4:$D$13,MATCH($F902,'CAT_CENTROS_COSTO'!$A$4:$A$13,0)),"(sin catálogo)"))</f>
        <v/>
      </c>
      <c r="W902" s="3">
        <f>IF($F902="","",IF((IFERROR(INDEX('CAT_CENTROS_COSTO'!$E$4:$E$13,MATCH($F902,'CAT_CENTROS_COSTO'!$A$4:$A$13,0)),""))&lt;&gt;"",IFERROR(INDEX('CAT_CENTROS_COSTO'!$E$4:$E$13,MATCH($F902,'CAT_CENTROS_COSTO'!$A$4:$A$13,0)),""),$V902))</f>
        <v/>
      </c>
      <c r="X902" s="3">
        <f>IF($F902="","",IFERROR(INDEX('CAT_CENTROS_COSTO'!$G$4:$G$13,MATCH($F902,'CAT_CENTROS_COSTO'!$A$4:$A$13,0)),"(sin catálogo)"))</f>
        <v/>
      </c>
      <c r="Y902" s="3">
        <f>IF($G902="","",IFERROR(INDEX('CAT_PUESTOS'!$B$4:$B$8,MATCH($G902,'CAT_PUESTOS'!$A$4:$A$8,0)),"(sin catálogo)"))</f>
        <v/>
      </c>
      <c r="Z902" s="3">
        <f>IF($H902="","",IFERROR(INDEX('CAT_ACTIVIDADES'!$B$4:$B$8,MATCH($H902,'CAT_ACTIVIDADES'!$A$4:$A$8,0)),"(sin catálogo)"))</f>
        <v/>
      </c>
      <c r="AA902" s="12">
        <f>IF($J902="","",TODAY()-$J902)</f>
        <v/>
      </c>
      <c r="AB902" s="12">
        <f>IF($J902="","",IF($J902&lt;=TODAY(),COUNTIFS(cal_fechas,"&gt;="&amp;$J902,cal_fechas,"&lt;"&amp;TODAY(),cal_habil,"sí"),-COUNTIFS(cal_fechas,"&gt;="&amp;TODAY(),cal_fechas,"&lt;"&amp;$J902,cal_habil,"sí")))</f>
        <v/>
      </c>
      <c r="AC902" s="3">
        <f>IF($AB902="","",IF($AB902&lt;0,"FUTURO",IF($AB902&gt;p_dias_backlog_max,"BACKLOG","MES CORRIENTE")))</f>
        <v/>
      </c>
      <c r="AD902" s="3">
        <f>IF($AB902="",FALSE,AND($AB902&gt;p_dias_backlog_min,$AB902&lt;=p_dias_backlog_max))</f>
        <v/>
      </c>
      <c r="AE902" s="6" t="n"/>
      <c r="AF902" s="3">
        <f>IF($AE902="","",IF((IFERROR(INDEX('ASIGNACIONES'!$F$4:$F$339,MATCH($O902&amp;"|"&amp;$R902&amp;"|"&amp;$AE902,'ASIGNACIONES'!$J$4:$J$339,0)),""))=0,"",IFERROR(INDEX('ASIGNACIONES'!$F$4:$F$339,MATCH($O902&amp;"|"&amp;$R902&amp;"|"&amp;$AE902,'ASIGNACIONES'!$J$4:$J$339,0)),"")))</f>
        <v/>
      </c>
      <c r="AG902" s="13">
        <f>IF($AE902="","",SUMIFS('ORDENES'!$M$4:$M$1203,'ORDENES'!$AE$4:$AE$1203,$AE902,'ORDENES'!$O$4:$O$1203,$O902,'ORDENES'!$R$4:$R$1203,$R902))</f>
        <v/>
      </c>
      <c r="AH902" s="13">
        <f>IF($AG902="","",p_factor_productividad*IFERROR(INDEX('ASIGNACIONES'!$I$4:$I$339,MATCH($O902&amp;"|"&amp;$R902&amp;"|"&amp;$AE902,'ASIGNACIONES'!$J$4:$J$339,0)),0)-$AG902)</f>
        <v/>
      </c>
      <c r="AI902" s="10">
        <f>IF($A902="","",IFERROR(INDEX('2_IMPORTAR_EJECUCION'!$F$9:$F$1208,MATCH($AQ902,'2_IMPORTAR_EJECUCION'!$J$9:$J$1208,0)),0))</f>
        <v/>
      </c>
      <c r="AJ902" s="10">
        <f>IF($A902="","",MAX(0,IFERROR(INDEX('2_IMPORTAR_EJECUCION'!$H$9:$H$1208,MATCH($AQ902,'2_IMPORTAR_EJECUCION'!$J$9:$J$1208,0)),0)-$AI902))</f>
        <v/>
      </c>
      <c r="AK902" s="10">
        <f>IF($A902="","",$AI902+$AJ902)</f>
        <v/>
      </c>
      <c r="AL902" s="6" t="n"/>
      <c r="AM902" s="6" t="n"/>
      <c r="AN902" s="6" t="n"/>
      <c r="AO902" s="3">
        <f>IF($AN902="","",HYPERLINK(p_ruta_base_checklists&amp;$AN902,"abrir"))</f>
        <v/>
      </c>
      <c r="AP902" s="6" t="n"/>
      <c r="AQ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IF($A903="","",IFERROR(INDEX('AJUSTES'!$B$4:$B$303,MATCH($AQ903,'AJUSTES'!$A$4:$A$303,0)),IF($K903="","",$K903)))</f>
        <v/>
      </c>
      <c r="N903" s="3">
        <f>IF($A903="","",IFERROR(INDEX('CAT_ESTADOS_ERP'!$B$4:$B$7,MATCH(IFERROR(INDEX('2_IMPORTAR_EJECUCION'!$C$9:$C$1208,MATCH($AQ903,'2_IMPORTAR_EJECUCION'!$J$9:$J$1208,0)),""),'CAT_ESTADOS_ERP'!$A$4:$A$7,0)),"Pendiente"))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J903="","",IFERROR(INDEX('CALENDARIO'!$C$15:$C$214,MATCH(TEXT($J903,"yyyy-mm-dd")&amp;"|"&amp;$V903&amp;"|"&amp;$W903,'CALENDARIO'!$G$15:$G$214,0)),IFERROR(INDEX('CALENDARIO'!$C$15:$C$214,MATCH(TEXT($J903,"yyyy-mm-dd")&amp;"|"&amp;$V903&amp;"|",'CALENDARIO'!$G$15:$G$214,0)),IFERROR(INDEX('CALENDARIO'!$C$15:$C$214,MATCH(TEXT($J903,"yyyy-mm-dd")&amp;"||",'CALENDARIO'!$G$15:$G$214,0)),INDEX(patronHabil,WEEKDAY($J903,2))))))</f>
        <v/>
      </c>
      <c r="T903" s="3">
        <f>IF($I903="","",IFERROR(INDEX('CAT_TIPOS_OT'!$C$4:$C$7,MATCH($I903,'CAT_TIPOS_OT'!$A$4:$A$7,0)),"sin_clasificar"))</f>
        <v/>
      </c>
      <c r="U903" s="3">
        <f>IF($F903="","",IFERROR(INDEX('CAT_CENTROS_COSTO'!$F$4:$F$13,MATCH($F903,'CAT_CENTROS_COSTO'!$A$4:$A$13,0)),"(sin catálogo)"))</f>
        <v/>
      </c>
      <c r="V903" s="3">
        <f>IF($F903="","",IFERROR(INDEX('CAT_CENTROS_COSTO'!$D$4:$D$13,MATCH($F903,'CAT_CENTROS_COSTO'!$A$4:$A$13,0)),"(sin catálogo)"))</f>
        <v/>
      </c>
      <c r="W903" s="3">
        <f>IF($F903="","",IF((IFERROR(INDEX('CAT_CENTROS_COSTO'!$E$4:$E$13,MATCH($F903,'CAT_CENTROS_COSTO'!$A$4:$A$13,0)),""))&lt;&gt;"",IFERROR(INDEX('CAT_CENTROS_COSTO'!$E$4:$E$13,MATCH($F903,'CAT_CENTROS_COSTO'!$A$4:$A$13,0)),""),$V903))</f>
        <v/>
      </c>
      <c r="X903" s="3">
        <f>IF($F903="","",IFERROR(INDEX('CAT_CENTROS_COSTO'!$G$4:$G$13,MATCH($F903,'CAT_CENTROS_COSTO'!$A$4:$A$13,0)),"(sin catálogo)"))</f>
        <v/>
      </c>
      <c r="Y903" s="3">
        <f>IF($G903="","",IFERROR(INDEX('CAT_PUESTOS'!$B$4:$B$8,MATCH($G903,'CAT_PUESTOS'!$A$4:$A$8,0)),"(sin catálogo)"))</f>
        <v/>
      </c>
      <c r="Z903" s="3">
        <f>IF($H903="","",IFERROR(INDEX('CAT_ACTIVIDADES'!$B$4:$B$8,MATCH($H903,'CAT_ACTIVIDADES'!$A$4:$A$8,0)),"(sin catálogo)"))</f>
        <v/>
      </c>
      <c r="AA903" s="12">
        <f>IF($J903="","",TODAY()-$J903)</f>
        <v/>
      </c>
      <c r="AB903" s="12">
        <f>IF($J903="","",IF($J903&lt;=TODAY(),COUNTIFS(cal_fechas,"&gt;="&amp;$J903,cal_fechas,"&lt;"&amp;TODAY(),cal_habil,"sí"),-COUNTIFS(cal_fechas,"&gt;="&amp;TODAY(),cal_fechas,"&lt;"&amp;$J903,cal_habil,"sí")))</f>
        <v/>
      </c>
      <c r="AC903" s="3">
        <f>IF($AB903="","",IF($AB903&lt;0,"FUTURO",IF($AB903&gt;p_dias_backlog_max,"BACKLOG","MES CORRIENTE")))</f>
        <v/>
      </c>
      <c r="AD903" s="3">
        <f>IF($AB903="",FALSE,AND($AB903&gt;p_dias_backlog_min,$AB903&lt;=p_dias_backlog_max))</f>
        <v/>
      </c>
      <c r="AE903" s="6" t="n"/>
      <c r="AF903" s="3">
        <f>IF($AE903="","",IF((IFERROR(INDEX('ASIGNACIONES'!$F$4:$F$339,MATCH($O903&amp;"|"&amp;$R903&amp;"|"&amp;$AE903,'ASIGNACIONES'!$J$4:$J$339,0)),""))=0,"",IFERROR(INDEX('ASIGNACIONES'!$F$4:$F$339,MATCH($O903&amp;"|"&amp;$R903&amp;"|"&amp;$AE903,'ASIGNACIONES'!$J$4:$J$339,0)),"")))</f>
        <v/>
      </c>
      <c r="AG903" s="13">
        <f>IF($AE903="","",SUMIFS('ORDENES'!$M$4:$M$1203,'ORDENES'!$AE$4:$AE$1203,$AE903,'ORDENES'!$O$4:$O$1203,$O903,'ORDENES'!$R$4:$R$1203,$R903))</f>
        <v/>
      </c>
      <c r="AH903" s="13">
        <f>IF($AG903="","",p_factor_productividad*IFERROR(INDEX('ASIGNACIONES'!$I$4:$I$339,MATCH($O903&amp;"|"&amp;$R903&amp;"|"&amp;$AE903,'ASIGNACIONES'!$J$4:$J$339,0)),0)-$AG903)</f>
        <v/>
      </c>
      <c r="AI903" s="10">
        <f>IF($A903="","",IFERROR(INDEX('2_IMPORTAR_EJECUCION'!$F$9:$F$1208,MATCH($AQ903,'2_IMPORTAR_EJECUCION'!$J$9:$J$1208,0)),0))</f>
        <v/>
      </c>
      <c r="AJ903" s="10">
        <f>IF($A903="","",MAX(0,IFERROR(INDEX('2_IMPORTAR_EJECUCION'!$H$9:$H$1208,MATCH($AQ903,'2_IMPORTAR_EJECUCION'!$J$9:$J$1208,0)),0)-$AI903))</f>
        <v/>
      </c>
      <c r="AK903" s="10">
        <f>IF($A903="","",$AI903+$AJ903)</f>
        <v/>
      </c>
      <c r="AL903" s="6" t="n"/>
      <c r="AM903" s="6" t="n"/>
      <c r="AN903" s="6" t="n"/>
      <c r="AO903" s="3">
        <f>IF($AN903="","",HYPERLINK(p_ruta_base_checklists&amp;$AN903,"abrir"))</f>
        <v/>
      </c>
      <c r="AP903" s="6" t="n"/>
      <c r="AQ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IF($A904="","",IFERROR(INDEX('AJUSTES'!$B$4:$B$303,MATCH($AQ904,'AJUSTES'!$A$4:$A$303,0)),IF($K904="","",$K904)))</f>
        <v/>
      </c>
      <c r="N904" s="3">
        <f>IF($A904="","",IFERROR(INDEX('CAT_ESTADOS_ERP'!$B$4:$B$7,MATCH(IFERROR(INDEX('2_IMPORTAR_EJECUCION'!$C$9:$C$1208,MATCH($AQ904,'2_IMPORTAR_EJECUCION'!$J$9:$J$1208,0)),""),'CAT_ESTADOS_ERP'!$A$4:$A$7,0)),"Pendiente"))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J904="","",IFERROR(INDEX('CALENDARIO'!$C$15:$C$214,MATCH(TEXT($J904,"yyyy-mm-dd")&amp;"|"&amp;$V904&amp;"|"&amp;$W904,'CALENDARIO'!$G$15:$G$214,0)),IFERROR(INDEX('CALENDARIO'!$C$15:$C$214,MATCH(TEXT($J904,"yyyy-mm-dd")&amp;"|"&amp;$V904&amp;"|",'CALENDARIO'!$G$15:$G$214,0)),IFERROR(INDEX('CALENDARIO'!$C$15:$C$214,MATCH(TEXT($J904,"yyyy-mm-dd")&amp;"||",'CALENDARIO'!$G$15:$G$214,0)),INDEX(patronHabil,WEEKDAY($J904,2))))))</f>
        <v/>
      </c>
      <c r="T904" s="3">
        <f>IF($I904="","",IFERROR(INDEX('CAT_TIPOS_OT'!$C$4:$C$7,MATCH($I904,'CAT_TIPOS_OT'!$A$4:$A$7,0)),"sin_clasificar"))</f>
        <v/>
      </c>
      <c r="U904" s="3">
        <f>IF($F904="","",IFERROR(INDEX('CAT_CENTROS_COSTO'!$F$4:$F$13,MATCH($F904,'CAT_CENTROS_COSTO'!$A$4:$A$13,0)),"(sin catálogo)"))</f>
        <v/>
      </c>
      <c r="V904" s="3">
        <f>IF($F904="","",IFERROR(INDEX('CAT_CENTROS_COSTO'!$D$4:$D$13,MATCH($F904,'CAT_CENTROS_COSTO'!$A$4:$A$13,0)),"(sin catálogo)"))</f>
        <v/>
      </c>
      <c r="W904" s="3">
        <f>IF($F904="","",IF((IFERROR(INDEX('CAT_CENTROS_COSTO'!$E$4:$E$13,MATCH($F904,'CAT_CENTROS_COSTO'!$A$4:$A$13,0)),""))&lt;&gt;"",IFERROR(INDEX('CAT_CENTROS_COSTO'!$E$4:$E$13,MATCH($F904,'CAT_CENTROS_COSTO'!$A$4:$A$13,0)),""),$V904))</f>
        <v/>
      </c>
      <c r="X904" s="3">
        <f>IF($F904="","",IFERROR(INDEX('CAT_CENTROS_COSTO'!$G$4:$G$13,MATCH($F904,'CAT_CENTROS_COSTO'!$A$4:$A$13,0)),"(sin catálogo)"))</f>
        <v/>
      </c>
      <c r="Y904" s="3">
        <f>IF($G904="","",IFERROR(INDEX('CAT_PUESTOS'!$B$4:$B$8,MATCH($G904,'CAT_PUESTOS'!$A$4:$A$8,0)),"(sin catálogo)"))</f>
        <v/>
      </c>
      <c r="Z904" s="3">
        <f>IF($H904="","",IFERROR(INDEX('CAT_ACTIVIDADES'!$B$4:$B$8,MATCH($H904,'CAT_ACTIVIDADES'!$A$4:$A$8,0)),"(sin catálogo)"))</f>
        <v/>
      </c>
      <c r="AA904" s="12">
        <f>IF($J904="","",TODAY()-$J904)</f>
        <v/>
      </c>
      <c r="AB904" s="12">
        <f>IF($J904="","",IF($J904&lt;=TODAY(),COUNTIFS(cal_fechas,"&gt;="&amp;$J904,cal_fechas,"&lt;"&amp;TODAY(),cal_habil,"sí"),-COUNTIFS(cal_fechas,"&gt;="&amp;TODAY(),cal_fechas,"&lt;"&amp;$J904,cal_habil,"sí")))</f>
        <v/>
      </c>
      <c r="AC904" s="3">
        <f>IF($AB904="","",IF($AB904&lt;0,"FUTURO",IF($AB904&gt;p_dias_backlog_max,"BACKLOG","MES CORRIENTE")))</f>
        <v/>
      </c>
      <c r="AD904" s="3">
        <f>IF($AB904="",FALSE,AND($AB904&gt;p_dias_backlog_min,$AB904&lt;=p_dias_backlog_max))</f>
        <v/>
      </c>
      <c r="AE904" s="6" t="n"/>
      <c r="AF904" s="3">
        <f>IF($AE904="","",IF((IFERROR(INDEX('ASIGNACIONES'!$F$4:$F$339,MATCH($O904&amp;"|"&amp;$R904&amp;"|"&amp;$AE904,'ASIGNACIONES'!$J$4:$J$339,0)),""))=0,"",IFERROR(INDEX('ASIGNACIONES'!$F$4:$F$339,MATCH($O904&amp;"|"&amp;$R904&amp;"|"&amp;$AE904,'ASIGNACIONES'!$J$4:$J$339,0)),"")))</f>
        <v/>
      </c>
      <c r="AG904" s="13">
        <f>IF($AE904="","",SUMIFS('ORDENES'!$M$4:$M$1203,'ORDENES'!$AE$4:$AE$1203,$AE904,'ORDENES'!$O$4:$O$1203,$O904,'ORDENES'!$R$4:$R$1203,$R904))</f>
        <v/>
      </c>
      <c r="AH904" s="13">
        <f>IF($AG904="","",p_factor_productividad*IFERROR(INDEX('ASIGNACIONES'!$I$4:$I$339,MATCH($O904&amp;"|"&amp;$R904&amp;"|"&amp;$AE904,'ASIGNACIONES'!$J$4:$J$339,0)),0)-$AG904)</f>
        <v/>
      </c>
      <c r="AI904" s="10">
        <f>IF($A904="","",IFERROR(INDEX('2_IMPORTAR_EJECUCION'!$F$9:$F$1208,MATCH($AQ904,'2_IMPORTAR_EJECUCION'!$J$9:$J$1208,0)),0))</f>
        <v/>
      </c>
      <c r="AJ904" s="10">
        <f>IF($A904="","",MAX(0,IFERROR(INDEX('2_IMPORTAR_EJECUCION'!$H$9:$H$1208,MATCH($AQ904,'2_IMPORTAR_EJECUCION'!$J$9:$J$1208,0)),0)-$AI904))</f>
        <v/>
      </c>
      <c r="AK904" s="10">
        <f>IF($A904="","",$AI904+$AJ904)</f>
        <v/>
      </c>
      <c r="AL904" s="6" t="n"/>
      <c r="AM904" s="6" t="n"/>
      <c r="AN904" s="6" t="n"/>
      <c r="AO904" s="3">
        <f>IF($AN904="","",HYPERLINK(p_ruta_base_checklists&amp;$AN904,"abrir"))</f>
        <v/>
      </c>
      <c r="AP904" s="6" t="n"/>
      <c r="AQ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IF($A905="","",IFERROR(INDEX('AJUSTES'!$B$4:$B$303,MATCH($AQ905,'AJUSTES'!$A$4:$A$303,0)),IF($K905="","",$K905)))</f>
        <v/>
      </c>
      <c r="N905" s="3">
        <f>IF($A905="","",IFERROR(INDEX('CAT_ESTADOS_ERP'!$B$4:$B$7,MATCH(IFERROR(INDEX('2_IMPORTAR_EJECUCION'!$C$9:$C$1208,MATCH($AQ905,'2_IMPORTAR_EJECUCION'!$J$9:$J$1208,0)),""),'CAT_ESTADOS_ERP'!$A$4:$A$7,0)),"Pendiente"))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J905="","",IFERROR(INDEX('CALENDARIO'!$C$15:$C$214,MATCH(TEXT($J905,"yyyy-mm-dd")&amp;"|"&amp;$V905&amp;"|"&amp;$W905,'CALENDARIO'!$G$15:$G$214,0)),IFERROR(INDEX('CALENDARIO'!$C$15:$C$214,MATCH(TEXT($J905,"yyyy-mm-dd")&amp;"|"&amp;$V905&amp;"|",'CALENDARIO'!$G$15:$G$214,0)),IFERROR(INDEX('CALENDARIO'!$C$15:$C$214,MATCH(TEXT($J905,"yyyy-mm-dd")&amp;"||",'CALENDARIO'!$G$15:$G$214,0)),INDEX(patronHabil,WEEKDAY($J905,2))))))</f>
        <v/>
      </c>
      <c r="T905" s="3">
        <f>IF($I905="","",IFERROR(INDEX('CAT_TIPOS_OT'!$C$4:$C$7,MATCH($I905,'CAT_TIPOS_OT'!$A$4:$A$7,0)),"sin_clasificar"))</f>
        <v/>
      </c>
      <c r="U905" s="3">
        <f>IF($F905="","",IFERROR(INDEX('CAT_CENTROS_COSTO'!$F$4:$F$13,MATCH($F905,'CAT_CENTROS_COSTO'!$A$4:$A$13,0)),"(sin catálogo)"))</f>
        <v/>
      </c>
      <c r="V905" s="3">
        <f>IF($F905="","",IFERROR(INDEX('CAT_CENTROS_COSTO'!$D$4:$D$13,MATCH($F905,'CAT_CENTROS_COSTO'!$A$4:$A$13,0)),"(sin catálogo)"))</f>
        <v/>
      </c>
      <c r="W905" s="3">
        <f>IF($F905="","",IF((IFERROR(INDEX('CAT_CENTROS_COSTO'!$E$4:$E$13,MATCH($F905,'CAT_CENTROS_COSTO'!$A$4:$A$13,0)),""))&lt;&gt;"",IFERROR(INDEX('CAT_CENTROS_COSTO'!$E$4:$E$13,MATCH($F905,'CAT_CENTROS_COSTO'!$A$4:$A$13,0)),""),$V905))</f>
        <v/>
      </c>
      <c r="X905" s="3">
        <f>IF($F905="","",IFERROR(INDEX('CAT_CENTROS_COSTO'!$G$4:$G$13,MATCH($F905,'CAT_CENTROS_COSTO'!$A$4:$A$13,0)),"(sin catálogo)"))</f>
        <v/>
      </c>
      <c r="Y905" s="3">
        <f>IF($G905="","",IFERROR(INDEX('CAT_PUESTOS'!$B$4:$B$8,MATCH($G905,'CAT_PUESTOS'!$A$4:$A$8,0)),"(sin catálogo)"))</f>
        <v/>
      </c>
      <c r="Z905" s="3">
        <f>IF($H905="","",IFERROR(INDEX('CAT_ACTIVIDADES'!$B$4:$B$8,MATCH($H905,'CAT_ACTIVIDADES'!$A$4:$A$8,0)),"(sin catálogo)"))</f>
        <v/>
      </c>
      <c r="AA905" s="12">
        <f>IF($J905="","",TODAY()-$J905)</f>
        <v/>
      </c>
      <c r="AB905" s="12">
        <f>IF($J905="","",IF($J905&lt;=TODAY(),COUNTIFS(cal_fechas,"&gt;="&amp;$J905,cal_fechas,"&lt;"&amp;TODAY(),cal_habil,"sí"),-COUNTIFS(cal_fechas,"&gt;="&amp;TODAY(),cal_fechas,"&lt;"&amp;$J905,cal_habil,"sí")))</f>
        <v/>
      </c>
      <c r="AC905" s="3">
        <f>IF($AB905="","",IF($AB905&lt;0,"FUTURO",IF($AB905&gt;p_dias_backlog_max,"BACKLOG","MES CORRIENTE")))</f>
        <v/>
      </c>
      <c r="AD905" s="3">
        <f>IF($AB905="",FALSE,AND($AB905&gt;p_dias_backlog_min,$AB905&lt;=p_dias_backlog_max))</f>
        <v/>
      </c>
      <c r="AE905" s="6" t="n"/>
      <c r="AF905" s="3">
        <f>IF($AE905="","",IF((IFERROR(INDEX('ASIGNACIONES'!$F$4:$F$339,MATCH($O905&amp;"|"&amp;$R905&amp;"|"&amp;$AE905,'ASIGNACIONES'!$J$4:$J$339,0)),""))=0,"",IFERROR(INDEX('ASIGNACIONES'!$F$4:$F$339,MATCH($O905&amp;"|"&amp;$R905&amp;"|"&amp;$AE905,'ASIGNACIONES'!$J$4:$J$339,0)),"")))</f>
        <v/>
      </c>
      <c r="AG905" s="13">
        <f>IF($AE905="","",SUMIFS('ORDENES'!$M$4:$M$1203,'ORDENES'!$AE$4:$AE$1203,$AE905,'ORDENES'!$O$4:$O$1203,$O905,'ORDENES'!$R$4:$R$1203,$R905))</f>
        <v/>
      </c>
      <c r="AH905" s="13">
        <f>IF($AG905="","",p_factor_productividad*IFERROR(INDEX('ASIGNACIONES'!$I$4:$I$339,MATCH($O905&amp;"|"&amp;$R905&amp;"|"&amp;$AE905,'ASIGNACIONES'!$J$4:$J$339,0)),0)-$AG905)</f>
        <v/>
      </c>
      <c r="AI905" s="10">
        <f>IF($A905="","",IFERROR(INDEX('2_IMPORTAR_EJECUCION'!$F$9:$F$1208,MATCH($AQ905,'2_IMPORTAR_EJECUCION'!$J$9:$J$1208,0)),0))</f>
        <v/>
      </c>
      <c r="AJ905" s="10">
        <f>IF($A905="","",MAX(0,IFERROR(INDEX('2_IMPORTAR_EJECUCION'!$H$9:$H$1208,MATCH($AQ905,'2_IMPORTAR_EJECUCION'!$J$9:$J$1208,0)),0)-$AI905))</f>
        <v/>
      </c>
      <c r="AK905" s="10">
        <f>IF($A905="","",$AI905+$AJ905)</f>
        <v/>
      </c>
      <c r="AL905" s="6" t="n"/>
      <c r="AM905" s="6" t="n"/>
      <c r="AN905" s="6" t="n"/>
      <c r="AO905" s="3">
        <f>IF($AN905="","",HYPERLINK(p_ruta_base_checklists&amp;$AN905,"abrir"))</f>
        <v/>
      </c>
      <c r="AP905" s="6" t="n"/>
      <c r="AQ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IF($A906="","",IFERROR(INDEX('AJUSTES'!$B$4:$B$303,MATCH($AQ906,'AJUSTES'!$A$4:$A$303,0)),IF($K906="","",$K906)))</f>
        <v/>
      </c>
      <c r="N906" s="3">
        <f>IF($A906="","",IFERROR(INDEX('CAT_ESTADOS_ERP'!$B$4:$B$7,MATCH(IFERROR(INDEX('2_IMPORTAR_EJECUCION'!$C$9:$C$1208,MATCH($AQ906,'2_IMPORTAR_EJECUCION'!$J$9:$J$1208,0)),""),'CAT_ESTADOS_ERP'!$A$4:$A$7,0)),"Pendiente"))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J906="","",IFERROR(INDEX('CALENDARIO'!$C$15:$C$214,MATCH(TEXT($J906,"yyyy-mm-dd")&amp;"|"&amp;$V906&amp;"|"&amp;$W906,'CALENDARIO'!$G$15:$G$214,0)),IFERROR(INDEX('CALENDARIO'!$C$15:$C$214,MATCH(TEXT($J906,"yyyy-mm-dd")&amp;"|"&amp;$V906&amp;"|",'CALENDARIO'!$G$15:$G$214,0)),IFERROR(INDEX('CALENDARIO'!$C$15:$C$214,MATCH(TEXT($J906,"yyyy-mm-dd")&amp;"||",'CALENDARIO'!$G$15:$G$214,0)),INDEX(patronHabil,WEEKDAY($J906,2))))))</f>
        <v/>
      </c>
      <c r="T906" s="3">
        <f>IF($I906="","",IFERROR(INDEX('CAT_TIPOS_OT'!$C$4:$C$7,MATCH($I906,'CAT_TIPOS_OT'!$A$4:$A$7,0)),"sin_clasificar"))</f>
        <v/>
      </c>
      <c r="U906" s="3">
        <f>IF($F906="","",IFERROR(INDEX('CAT_CENTROS_COSTO'!$F$4:$F$13,MATCH($F906,'CAT_CENTROS_COSTO'!$A$4:$A$13,0)),"(sin catálogo)"))</f>
        <v/>
      </c>
      <c r="V906" s="3">
        <f>IF($F906="","",IFERROR(INDEX('CAT_CENTROS_COSTO'!$D$4:$D$13,MATCH($F906,'CAT_CENTROS_COSTO'!$A$4:$A$13,0)),"(sin catálogo)"))</f>
        <v/>
      </c>
      <c r="W906" s="3">
        <f>IF($F906="","",IF((IFERROR(INDEX('CAT_CENTROS_COSTO'!$E$4:$E$13,MATCH($F906,'CAT_CENTROS_COSTO'!$A$4:$A$13,0)),""))&lt;&gt;"",IFERROR(INDEX('CAT_CENTROS_COSTO'!$E$4:$E$13,MATCH($F906,'CAT_CENTROS_COSTO'!$A$4:$A$13,0)),""),$V906))</f>
        <v/>
      </c>
      <c r="X906" s="3">
        <f>IF($F906="","",IFERROR(INDEX('CAT_CENTROS_COSTO'!$G$4:$G$13,MATCH($F906,'CAT_CENTROS_COSTO'!$A$4:$A$13,0)),"(sin catálogo)"))</f>
        <v/>
      </c>
      <c r="Y906" s="3">
        <f>IF($G906="","",IFERROR(INDEX('CAT_PUESTOS'!$B$4:$B$8,MATCH($G906,'CAT_PUESTOS'!$A$4:$A$8,0)),"(sin catálogo)"))</f>
        <v/>
      </c>
      <c r="Z906" s="3">
        <f>IF($H906="","",IFERROR(INDEX('CAT_ACTIVIDADES'!$B$4:$B$8,MATCH($H906,'CAT_ACTIVIDADES'!$A$4:$A$8,0)),"(sin catálogo)"))</f>
        <v/>
      </c>
      <c r="AA906" s="12">
        <f>IF($J906="","",TODAY()-$J906)</f>
        <v/>
      </c>
      <c r="AB906" s="12">
        <f>IF($J906="","",IF($J906&lt;=TODAY(),COUNTIFS(cal_fechas,"&gt;="&amp;$J906,cal_fechas,"&lt;"&amp;TODAY(),cal_habil,"sí"),-COUNTIFS(cal_fechas,"&gt;="&amp;TODAY(),cal_fechas,"&lt;"&amp;$J906,cal_habil,"sí")))</f>
        <v/>
      </c>
      <c r="AC906" s="3">
        <f>IF($AB906="","",IF($AB906&lt;0,"FUTURO",IF($AB906&gt;p_dias_backlog_max,"BACKLOG","MES CORRIENTE")))</f>
        <v/>
      </c>
      <c r="AD906" s="3">
        <f>IF($AB906="",FALSE,AND($AB906&gt;p_dias_backlog_min,$AB906&lt;=p_dias_backlog_max))</f>
        <v/>
      </c>
      <c r="AE906" s="6" t="n"/>
      <c r="AF906" s="3">
        <f>IF($AE906="","",IF((IFERROR(INDEX('ASIGNACIONES'!$F$4:$F$339,MATCH($O906&amp;"|"&amp;$R906&amp;"|"&amp;$AE906,'ASIGNACIONES'!$J$4:$J$339,0)),""))=0,"",IFERROR(INDEX('ASIGNACIONES'!$F$4:$F$339,MATCH($O906&amp;"|"&amp;$R906&amp;"|"&amp;$AE906,'ASIGNACIONES'!$J$4:$J$339,0)),"")))</f>
        <v/>
      </c>
      <c r="AG906" s="13">
        <f>IF($AE906="","",SUMIFS('ORDENES'!$M$4:$M$1203,'ORDENES'!$AE$4:$AE$1203,$AE906,'ORDENES'!$O$4:$O$1203,$O906,'ORDENES'!$R$4:$R$1203,$R906))</f>
        <v/>
      </c>
      <c r="AH906" s="13">
        <f>IF($AG906="","",p_factor_productividad*IFERROR(INDEX('ASIGNACIONES'!$I$4:$I$339,MATCH($O906&amp;"|"&amp;$R906&amp;"|"&amp;$AE906,'ASIGNACIONES'!$J$4:$J$339,0)),0)-$AG906)</f>
        <v/>
      </c>
      <c r="AI906" s="10">
        <f>IF($A906="","",IFERROR(INDEX('2_IMPORTAR_EJECUCION'!$F$9:$F$1208,MATCH($AQ906,'2_IMPORTAR_EJECUCION'!$J$9:$J$1208,0)),0))</f>
        <v/>
      </c>
      <c r="AJ906" s="10">
        <f>IF($A906="","",MAX(0,IFERROR(INDEX('2_IMPORTAR_EJECUCION'!$H$9:$H$1208,MATCH($AQ906,'2_IMPORTAR_EJECUCION'!$J$9:$J$1208,0)),0)-$AI906))</f>
        <v/>
      </c>
      <c r="AK906" s="10">
        <f>IF($A906="","",$AI906+$AJ906)</f>
        <v/>
      </c>
      <c r="AL906" s="6" t="n"/>
      <c r="AM906" s="6" t="n"/>
      <c r="AN906" s="6" t="n"/>
      <c r="AO906" s="3">
        <f>IF($AN906="","",HYPERLINK(p_ruta_base_checklists&amp;$AN906,"abrir"))</f>
        <v/>
      </c>
      <c r="AP906" s="6" t="n"/>
      <c r="AQ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IF($A907="","",IFERROR(INDEX('AJUSTES'!$B$4:$B$303,MATCH($AQ907,'AJUSTES'!$A$4:$A$303,0)),IF($K907="","",$K907)))</f>
        <v/>
      </c>
      <c r="N907" s="3">
        <f>IF($A907="","",IFERROR(INDEX('CAT_ESTADOS_ERP'!$B$4:$B$7,MATCH(IFERROR(INDEX('2_IMPORTAR_EJECUCION'!$C$9:$C$1208,MATCH($AQ907,'2_IMPORTAR_EJECUCION'!$J$9:$J$1208,0)),""),'CAT_ESTADOS_ERP'!$A$4:$A$7,0)),"Pendiente"))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J907="","",IFERROR(INDEX('CALENDARIO'!$C$15:$C$214,MATCH(TEXT($J907,"yyyy-mm-dd")&amp;"|"&amp;$V907&amp;"|"&amp;$W907,'CALENDARIO'!$G$15:$G$214,0)),IFERROR(INDEX('CALENDARIO'!$C$15:$C$214,MATCH(TEXT($J907,"yyyy-mm-dd")&amp;"|"&amp;$V907&amp;"|",'CALENDARIO'!$G$15:$G$214,0)),IFERROR(INDEX('CALENDARIO'!$C$15:$C$214,MATCH(TEXT($J907,"yyyy-mm-dd")&amp;"||",'CALENDARIO'!$G$15:$G$214,0)),INDEX(patronHabil,WEEKDAY($J907,2))))))</f>
        <v/>
      </c>
      <c r="T907" s="3">
        <f>IF($I907="","",IFERROR(INDEX('CAT_TIPOS_OT'!$C$4:$C$7,MATCH($I907,'CAT_TIPOS_OT'!$A$4:$A$7,0)),"sin_clasificar"))</f>
        <v/>
      </c>
      <c r="U907" s="3">
        <f>IF($F907="","",IFERROR(INDEX('CAT_CENTROS_COSTO'!$F$4:$F$13,MATCH($F907,'CAT_CENTROS_COSTO'!$A$4:$A$13,0)),"(sin catálogo)"))</f>
        <v/>
      </c>
      <c r="V907" s="3">
        <f>IF($F907="","",IFERROR(INDEX('CAT_CENTROS_COSTO'!$D$4:$D$13,MATCH($F907,'CAT_CENTROS_COSTO'!$A$4:$A$13,0)),"(sin catálogo)"))</f>
        <v/>
      </c>
      <c r="W907" s="3">
        <f>IF($F907="","",IF((IFERROR(INDEX('CAT_CENTROS_COSTO'!$E$4:$E$13,MATCH($F907,'CAT_CENTROS_COSTO'!$A$4:$A$13,0)),""))&lt;&gt;"",IFERROR(INDEX('CAT_CENTROS_COSTO'!$E$4:$E$13,MATCH($F907,'CAT_CENTROS_COSTO'!$A$4:$A$13,0)),""),$V907))</f>
        <v/>
      </c>
      <c r="X907" s="3">
        <f>IF($F907="","",IFERROR(INDEX('CAT_CENTROS_COSTO'!$G$4:$G$13,MATCH($F907,'CAT_CENTROS_COSTO'!$A$4:$A$13,0)),"(sin catálogo)"))</f>
        <v/>
      </c>
      <c r="Y907" s="3">
        <f>IF($G907="","",IFERROR(INDEX('CAT_PUESTOS'!$B$4:$B$8,MATCH($G907,'CAT_PUESTOS'!$A$4:$A$8,0)),"(sin catálogo)"))</f>
        <v/>
      </c>
      <c r="Z907" s="3">
        <f>IF($H907="","",IFERROR(INDEX('CAT_ACTIVIDADES'!$B$4:$B$8,MATCH($H907,'CAT_ACTIVIDADES'!$A$4:$A$8,0)),"(sin catálogo)"))</f>
        <v/>
      </c>
      <c r="AA907" s="12">
        <f>IF($J907="","",TODAY()-$J907)</f>
        <v/>
      </c>
      <c r="AB907" s="12">
        <f>IF($J907="","",IF($J907&lt;=TODAY(),COUNTIFS(cal_fechas,"&gt;="&amp;$J907,cal_fechas,"&lt;"&amp;TODAY(),cal_habil,"sí"),-COUNTIFS(cal_fechas,"&gt;="&amp;TODAY(),cal_fechas,"&lt;"&amp;$J907,cal_habil,"sí")))</f>
        <v/>
      </c>
      <c r="AC907" s="3">
        <f>IF($AB907="","",IF($AB907&lt;0,"FUTURO",IF($AB907&gt;p_dias_backlog_max,"BACKLOG","MES CORRIENTE")))</f>
        <v/>
      </c>
      <c r="AD907" s="3">
        <f>IF($AB907="",FALSE,AND($AB907&gt;p_dias_backlog_min,$AB907&lt;=p_dias_backlog_max))</f>
        <v/>
      </c>
      <c r="AE907" s="6" t="n"/>
      <c r="AF907" s="3">
        <f>IF($AE907="","",IF((IFERROR(INDEX('ASIGNACIONES'!$F$4:$F$339,MATCH($O907&amp;"|"&amp;$R907&amp;"|"&amp;$AE907,'ASIGNACIONES'!$J$4:$J$339,0)),""))=0,"",IFERROR(INDEX('ASIGNACIONES'!$F$4:$F$339,MATCH($O907&amp;"|"&amp;$R907&amp;"|"&amp;$AE907,'ASIGNACIONES'!$J$4:$J$339,0)),"")))</f>
        <v/>
      </c>
      <c r="AG907" s="13">
        <f>IF($AE907="","",SUMIFS('ORDENES'!$M$4:$M$1203,'ORDENES'!$AE$4:$AE$1203,$AE907,'ORDENES'!$O$4:$O$1203,$O907,'ORDENES'!$R$4:$R$1203,$R907))</f>
        <v/>
      </c>
      <c r="AH907" s="13">
        <f>IF($AG907="","",p_factor_productividad*IFERROR(INDEX('ASIGNACIONES'!$I$4:$I$339,MATCH($O907&amp;"|"&amp;$R907&amp;"|"&amp;$AE907,'ASIGNACIONES'!$J$4:$J$339,0)),0)-$AG907)</f>
        <v/>
      </c>
      <c r="AI907" s="10">
        <f>IF($A907="","",IFERROR(INDEX('2_IMPORTAR_EJECUCION'!$F$9:$F$1208,MATCH($AQ907,'2_IMPORTAR_EJECUCION'!$J$9:$J$1208,0)),0))</f>
        <v/>
      </c>
      <c r="AJ907" s="10">
        <f>IF($A907="","",MAX(0,IFERROR(INDEX('2_IMPORTAR_EJECUCION'!$H$9:$H$1208,MATCH($AQ907,'2_IMPORTAR_EJECUCION'!$J$9:$J$1208,0)),0)-$AI907))</f>
        <v/>
      </c>
      <c r="AK907" s="10">
        <f>IF($A907="","",$AI907+$AJ907)</f>
        <v/>
      </c>
      <c r="AL907" s="6" t="n"/>
      <c r="AM907" s="6" t="n"/>
      <c r="AN907" s="6" t="n"/>
      <c r="AO907" s="3">
        <f>IF($AN907="","",HYPERLINK(p_ruta_base_checklists&amp;$AN907,"abrir"))</f>
        <v/>
      </c>
      <c r="AP907" s="6" t="n"/>
      <c r="AQ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IF($A908="","",IFERROR(INDEX('AJUSTES'!$B$4:$B$303,MATCH($AQ908,'AJUSTES'!$A$4:$A$303,0)),IF($K908="","",$K908)))</f>
        <v/>
      </c>
      <c r="N908" s="3">
        <f>IF($A908="","",IFERROR(INDEX('CAT_ESTADOS_ERP'!$B$4:$B$7,MATCH(IFERROR(INDEX('2_IMPORTAR_EJECUCION'!$C$9:$C$1208,MATCH($AQ908,'2_IMPORTAR_EJECUCION'!$J$9:$J$1208,0)),""),'CAT_ESTADOS_ERP'!$A$4:$A$7,0)),"Pendiente"))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J908="","",IFERROR(INDEX('CALENDARIO'!$C$15:$C$214,MATCH(TEXT($J908,"yyyy-mm-dd")&amp;"|"&amp;$V908&amp;"|"&amp;$W908,'CALENDARIO'!$G$15:$G$214,0)),IFERROR(INDEX('CALENDARIO'!$C$15:$C$214,MATCH(TEXT($J908,"yyyy-mm-dd")&amp;"|"&amp;$V908&amp;"|",'CALENDARIO'!$G$15:$G$214,0)),IFERROR(INDEX('CALENDARIO'!$C$15:$C$214,MATCH(TEXT($J908,"yyyy-mm-dd")&amp;"||",'CALENDARIO'!$G$15:$G$214,0)),INDEX(patronHabil,WEEKDAY($J908,2))))))</f>
        <v/>
      </c>
      <c r="T908" s="3">
        <f>IF($I908="","",IFERROR(INDEX('CAT_TIPOS_OT'!$C$4:$C$7,MATCH($I908,'CAT_TIPOS_OT'!$A$4:$A$7,0)),"sin_clasificar"))</f>
        <v/>
      </c>
      <c r="U908" s="3">
        <f>IF($F908="","",IFERROR(INDEX('CAT_CENTROS_COSTO'!$F$4:$F$13,MATCH($F908,'CAT_CENTROS_COSTO'!$A$4:$A$13,0)),"(sin catálogo)"))</f>
        <v/>
      </c>
      <c r="V908" s="3">
        <f>IF($F908="","",IFERROR(INDEX('CAT_CENTROS_COSTO'!$D$4:$D$13,MATCH($F908,'CAT_CENTROS_COSTO'!$A$4:$A$13,0)),"(sin catálogo)"))</f>
        <v/>
      </c>
      <c r="W908" s="3">
        <f>IF($F908="","",IF((IFERROR(INDEX('CAT_CENTROS_COSTO'!$E$4:$E$13,MATCH($F908,'CAT_CENTROS_COSTO'!$A$4:$A$13,0)),""))&lt;&gt;"",IFERROR(INDEX('CAT_CENTROS_COSTO'!$E$4:$E$13,MATCH($F908,'CAT_CENTROS_COSTO'!$A$4:$A$13,0)),""),$V908))</f>
        <v/>
      </c>
      <c r="X908" s="3">
        <f>IF($F908="","",IFERROR(INDEX('CAT_CENTROS_COSTO'!$G$4:$G$13,MATCH($F908,'CAT_CENTROS_COSTO'!$A$4:$A$13,0)),"(sin catálogo)"))</f>
        <v/>
      </c>
      <c r="Y908" s="3">
        <f>IF($G908="","",IFERROR(INDEX('CAT_PUESTOS'!$B$4:$B$8,MATCH($G908,'CAT_PUESTOS'!$A$4:$A$8,0)),"(sin catálogo)"))</f>
        <v/>
      </c>
      <c r="Z908" s="3">
        <f>IF($H908="","",IFERROR(INDEX('CAT_ACTIVIDADES'!$B$4:$B$8,MATCH($H908,'CAT_ACTIVIDADES'!$A$4:$A$8,0)),"(sin catálogo)"))</f>
        <v/>
      </c>
      <c r="AA908" s="12">
        <f>IF($J908="","",TODAY()-$J908)</f>
        <v/>
      </c>
      <c r="AB908" s="12">
        <f>IF($J908="","",IF($J908&lt;=TODAY(),COUNTIFS(cal_fechas,"&gt;="&amp;$J908,cal_fechas,"&lt;"&amp;TODAY(),cal_habil,"sí"),-COUNTIFS(cal_fechas,"&gt;="&amp;TODAY(),cal_fechas,"&lt;"&amp;$J908,cal_habil,"sí")))</f>
        <v/>
      </c>
      <c r="AC908" s="3">
        <f>IF($AB908="","",IF($AB908&lt;0,"FUTURO",IF($AB908&gt;p_dias_backlog_max,"BACKLOG","MES CORRIENTE")))</f>
        <v/>
      </c>
      <c r="AD908" s="3">
        <f>IF($AB908="",FALSE,AND($AB908&gt;p_dias_backlog_min,$AB908&lt;=p_dias_backlog_max))</f>
        <v/>
      </c>
      <c r="AE908" s="6" t="n"/>
      <c r="AF908" s="3">
        <f>IF($AE908="","",IF((IFERROR(INDEX('ASIGNACIONES'!$F$4:$F$339,MATCH($O908&amp;"|"&amp;$R908&amp;"|"&amp;$AE908,'ASIGNACIONES'!$J$4:$J$339,0)),""))=0,"",IFERROR(INDEX('ASIGNACIONES'!$F$4:$F$339,MATCH($O908&amp;"|"&amp;$R908&amp;"|"&amp;$AE908,'ASIGNACIONES'!$J$4:$J$339,0)),"")))</f>
        <v/>
      </c>
      <c r="AG908" s="13">
        <f>IF($AE908="","",SUMIFS('ORDENES'!$M$4:$M$1203,'ORDENES'!$AE$4:$AE$1203,$AE908,'ORDENES'!$O$4:$O$1203,$O908,'ORDENES'!$R$4:$R$1203,$R908))</f>
        <v/>
      </c>
      <c r="AH908" s="13">
        <f>IF($AG908="","",p_factor_productividad*IFERROR(INDEX('ASIGNACIONES'!$I$4:$I$339,MATCH($O908&amp;"|"&amp;$R908&amp;"|"&amp;$AE908,'ASIGNACIONES'!$J$4:$J$339,0)),0)-$AG908)</f>
        <v/>
      </c>
      <c r="AI908" s="10">
        <f>IF($A908="","",IFERROR(INDEX('2_IMPORTAR_EJECUCION'!$F$9:$F$1208,MATCH($AQ908,'2_IMPORTAR_EJECUCION'!$J$9:$J$1208,0)),0))</f>
        <v/>
      </c>
      <c r="AJ908" s="10">
        <f>IF($A908="","",MAX(0,IFERROR(INDEX('2_IMPORTAR_EJECUCION'!$H$9:$H$1208,MATCH($AQ908,'2_IMPORTAR_EJECUCION'!$J$9:$J$1208,0)),0)-$AI908))</f>
        <v/>
      </c>
      <c r="AK908" s="10">
        <f>IF($A908="","",$AI908+$AJ908)</f>
        <v/>
      </c>
      <c r="AL908" s="6" t="n"/>
      <c r="AM908" s="6" t="n"/>
      <c r="AN908" s="6" t="n"/>
      <c r="AO908" s="3">
        <f>IF($AN908="","",HYPERLINK(p_ruta_base_checklists&amp;$AN908,"abrir"))</f>
        <v/>
      </c>
      <c r="AP908" s="6" t="n"/>
      <c r="AQ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IF($A909="","",IFERROR(INDEX('AJUSTES'!$B$4:$B$303,MATCH($AQ909,'AJUSTES'!$A$4:$A$303,0)),IF($K909="","",$K909)))</f>
        <v/>
      </c>
      <c r="N909" s="3">
        <f>IF($A909="","",IFERROR(INDEX('CAT_ESTADOS_ERP'!$B$4:$B$7,MATCH(IFERROR(INDEX('2_IMPORTAR_EJECUCION'!$C$9:$C$1208,MATCH($AQ909,'2_IMPORTAR_EJECUCION'!$J$9:$J$1208,0)),""),'CAT_ESTADOS_ERP'!$A$4:$A$7,0)),"Pendiente"))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J909="","",IFERROR(INDEX('CALENDARIO'!$C$15:$C$214,MATCH(TEXT($J909,"yyyy-mm-dd")&amp;"|"&amp;$V909&amp;"|"&amp;$W909,'CALENDARIO'!$G$15:$G$214,0)),IFERROR(INDEX('CALENDARIO'!$C$15:$C$214,MATCH(TEXT($J909,"yyyy-mm-dd")&amp;"|"&amp;$V909&amp;"|",'CALENDARIO'!$G$15:$G$214,0)),IFERROR(INDEX('CALENDARIO'!$C$15:$C$214,MATCH(TEXT($J909,"yyyy-mm-dd")&amp;"||",'CALENDARIO'!$G$15:$G$214,0)),INDEX(patronHabil,WEEKDAY($J909,2))))))</f>
        <v/>
      </c>
      <c r="T909" s="3">
        <f>IF($I909="","",IFERROR(INDEX('CAT_TIPOS_OT'!$C$4:$C$7,MATCH($I909,'CAT_TIPOS_OT'!$A$4:$A$7,0)),"sin_clasificar"))</f>
        <v/>
      </c>
      <c r="U909" s="3">
        <f>IF($F909="","",IFERROR(INDEX('CAT_CENTROS_COSTO'!$F$4:$F$13,MATCH($F909,'CAT_CENTROS_COSTO'!$A$4:$A$13,0)),"(sin catálogo)"))</f>
        <v/>
      </c>
      <c r="V909" s="3">
        <f>IF($F909="","",IFERROR(INDEX('CAT_CENTROS_COSTO'!$D$4:$D$13,MATCH($F909,'CAT_CENTROS_COSTO'!$A$4:$A$13,0)),"(sin catálogo)"))</f>
        <v/>
      </c>
      <c r="W909" s="3">
        <f>IF($F909="","",IF((IFERROR(INDEX('CAT_CENTROS_COSTO'!$E$4:$E$13,MATCH($F909,'CAT_CENTROS_COSTO'!$A$4:$A$13,0)),""))&lt;&gt;"",IFERROR(INDEX('CAT_CENTROS_COSTO'!$E$4:$E$13,MATCH($F909,'CAT_CENTROS_COSTO'!$A$4:$A$13,0)),""),$V909))</f>
        <v/>
      </c>
      <c r="X909" s="3">
        <f>IF($F909="","",IFERROR(INDEX('CAT_CENTROS_COSTO'!$G$4:$G$13,MATCH($F909,'CAT_CENTROS_COSTO'!$A$4:$A$13,0)),"(sin catálogo)"))</f>
        <v/>
      </c>
      <c r="Y909" s="3">
        <f>IF($G909="","",IFERROR(INDEX('CAT_PUESTOS'!$B$4:$B$8,MATCH($G909,'CAT_PUESTOS'!$A$4:$A$8,0)),"(sin catálogo)"))</f>
        <v/>
      </c>
      <c r="Z909" s="3">
        <f>IF($H909="","",IFERROR(INDEX('CAT_ACTIVIDADES'!$B$4:$B$8,MATCH($H909,'CAT_ACTIVIDADES'!$A$4:$A$8,0)),"(sin catálogo)"))</f>
        <v/>
      </c>
      <c r="AA909" s="12">
        <f>IF($J909="","",TODAY()-$J909)</f>
        <v/>
      </c>
      <c r="AB909" s="12">
        <f>IF($J909="","",IF($J909&lt;=TODAY(),COUNTIFS(cal_fechas,"&gt;="&amp;$J909,cal_fechas,"&lt;"&amp;TODAY(),cal_habil,"sí"),-COUNTIFS(cal_fechas,"&gt;="&amp;TODAY(),cal_fechas,"&lt;"&amp;$J909,cal_habil,"sí")))</f>
        <v/>
      </c>
      <c r="AC909" s="3">
        <f>IF($AB909="","",IF($AB909&lt;0,"FUTURO",IF($AB909&gt;p_dias_backlog_max,"BACKLOG","MES CORRIENTE")))</f>
        <v/>
      </c>
      <c r="AD909" s="3">
        <f>IF($AB909="",FALSE,AND($AB909&gt;p_dias_backlog_min,$AB909&lt;=p_dias_backlog_max))</f>
        <v/>
      </c>
      <c r="AE909" s="6" t="n"/>
      <c r="AF909" s="3">
        <f>IF($AE909="","",IF((IFERROR(INDEX('ASIGNACIONES'!$F$4:$F$339,MATCH($O909&amp;"|"&amp;$R909&amp;"|"&amp;$AE909,'ASIGNACIONES'!$J$4:$J$339,0)),""))=0,"",IFERROR(INDEX('ASIGNACIONES'!$F$4:$F$339,MATCH($O909&amp;"|"&amp;$R909&amp;"|"&amp;$AE909,'ASIGNACIONES'!$J$4:$J$339,0)),"")))</f>
        <v/>
      </c>
      <c r="AG909" s="13">
        <f>IF($AE909="","",SUMIFS('ORDENES'!$M$4:$M$1203,'ORDENES'!$AE$4:$AE$1203,$AE909,'ORDENES'!$O$4:$O$1203,$O909,'ORDENES'!$R$4:$R$1203,$R909))</f>
        <v/>
      </c>
      <c r="AH909" s="13">
        <f>IF($AG909="","",p_factor_productividad*IFERROR(INDEX('ASIGNACIONES'!$I$4:$I$339,MATCH($O909&amp;"|"&amp;$R909&amp;"|"&amp;$AE909,'ASIGNACIONES'!$J$4:$J$339,0)),0)-$AG909)</f>
        <v/>
      </c>
      <c r="AI909" s="10">
        <f>IF($A909="","",IFERROR(INDEX('2_IMPORTAR_EJECUCION'!$F$9:$F$1208,MATCH($AQ909,'2_IMPORTAR_EJECUCION'!$J$9:$J$1208,0)),0))</f>
        <v/>
      </c>
      <c r="AJ909" s="10">
        <f>IF($A909="","",MAX(0,IFERROR(INDEX('2_IMPORTAR_EJECUCION'!$H$9:$H$1208,MATCH($AQ909,'2_IMPORTAR_EJECUCION'!$J$9:$J$1208,0)),0)-$AI909))</f>
        <v/>
      </c>
      <c r="AK909" s="10">
        <f>IF($A909="","",$AI909+$AJ909)</f>
        <v/>
      </c>
      <c r="AL909" s="6" t="n"/>
      <c r="AM909" s="6" t="n"/>
      <c r="AN909" s="6" t="n"/>
      <c r="AO909" s="3">
        <f>IF($AN909="","",HYPERLINK(p_ruta_base_checklists&amp;$AN909,"abrir"))</f>
        <v/>
      </c>
      <c r="AP909" s="6" t="n"/>
      <c r="AQ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IF($A910="","",IFERROR(INDEX('AJUSTES'!$B$4:$B$303,MATCH($AQ910,'AJUSTES'!$A$4:$A$303,0)),IF($K910="","",$K910)))</f>
        <v/>
      </c>
      <c r="N910" s="3">
        <f>IF($A910="","",IFERROR(INDEX('CAT_ESTADOS_ERP'!$B$4:$B$7,MATCH(IFERROR(INDEX('2_IMPORTAR_EJECUCION'!$C$9:$C$1208,MATCH($AQ910,'2_IMPORTAR_EJECUCION'!$J$9:$J$1208,0)),""),'CAT_ESTADOS_ERP'!$A$4:$A$7,0)),"Pendiente"))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J910="","",IFERROR(INDEX('CALENDARIO'!$C$15:$C$214,MATCH(TEXT($J910,"yyyy-mm-dd")&amp;"|"&amp;$V910&amp;"|"&amp;$W910,'CALENDARIO'!$G$15:$G$214,0)),IFERROR(INDEX('CALENDARIO'!$C$15:$C$214,MATCH(TEXT($J910,"yyyy-mm-dd")&amp;"|"&amp;$V910&amp;"|",'CALENDARIO'!$G$15:$G$214,0)),IFERROR(INDEX('CALENDARIO'!$C$15:$C$214,MATCH(TEXT($J910,"yyyy-mm-dd")&amp;"||",'CALENDARIO'!$G$15:$G$214,0)),INDEX(patronHabil,WEEKDAY($J910,2))))))</f>
        <v/>
      </c>
      <c r="T910" s="3">
        <f>IF($I910="","",IFERROR(INDEX('CAT_TIPOS_OT'!$C$4:$C$7,MATCH($I910,'CAT_TIPOS_OT'!$A$4:$A$7,0)),"sin_clasificar"))</f>
        <v/>
      </c>
      <c r="U910" s="3">
        <f>IF($F910="","",IFERROR(INDEX('CAT_CENTROS_COSTO'!$F$4:$F$13,MATCH($F910,'CAT_CENTROS_COSTO'!$A$4:$A$13,0)),"(sin catálogo)"))</f>
        <v/>
      </c>
      <c r="V910" s="3">
        <f>IF($F910="","",IFERROR(INDEX('CAT_CENTROS_COSTO'!$D$4:$D$13,MATCH($F910,'CAT_CENTROS_COSTO'!$A$4:$A$13,0)),"(sin catálogo)"))</f>
        <v/>
      </c>
      <c r="W910" s="3">
        <f>IF($F910="","",IF((IFERROR(INDEX('CAT_CENTROS_COSTO'!$E$4:$E$13,MATCH($F910,'CAT_CENTROS_COSTO'!$A$4:$A$13,0)),""))&lt;&gt;"",IFERROR(INDEX('CAT_CENTROS_COSTO'!$E$4:$E$13,MATCH($F910,'CAT_CENTROS_COSTO'!$A$4:$A$13,0)),""),$V910))</f>
        <v/>
      </c>
      <c r="X910" s="3">
        <f>IF($F910="","",IFERROR(INDEX('CAT_CENTROS_COSTO'!$G$4:$G$13,MATCH($F910,'CAT_CENTROS_COSTO'!$A$4:$A$13,0)),"(sin catálogo)"))</f>
        <v/>
      </c>
      <c r="Y910" s="3">
        <f>IF($G910="","",IFERROR(INDEX('CAT_PUESTOS'!$B$4:$B$8,MATCH($G910,'CAT_PUESTOS'!$A$4:$A$8,0)),"(sin catálogo)"))</f>
        <v/>
      </c>
      <c r="Z910" s="3">
        <f>IF($H910="","",IFERROR(INDEX('CAT_ACTIVIDADES'!$B$4:$B$8,MATCH($H910,'CAT_ACTIVIDADES'!$A$4:$A$8,0)),"(sin catálogo)"))</f>
        <v/>
      </c>
      <c r="AA910" s="12">
        <f>IF($J910="","",TODAY()-$J910)</f>
        <v/>
      </c>
      <c r="AB910" s="12">
        <f>IF($J910="","",IF($J910&lt;=TODAY(),COUNTIFS(cal_fechas,"&gt;="&amp;$J910,cal_fechas,"&lt;"&amp;TODAY(),cal_habil,"sí"),-COUNTIFS(cal_fechas,"&gt;="&amp;TODAY(),cal_fechas,"&lt;"&amp;$J910,cal_habil,"sí")))</f>
        <v/>
      </c>
      <c r="AC910" s="3">
        <f>IF($AB910="","",IF($AB910&lt;0,"FUTURO",IF($AB910&gt;p_dias_backlog_max,"BACKLOG","MES CORRIENTE")))</f>
        <v/>
      </c>
      <c r="AD910" s="3">
        <f>IF($AB910="",FALSE,AND($AB910&gt;p_dias_backlog_min,$AB910&lt;=p_dias_backlog_max))</f>
        <v/>
      </c>
      <c r="AE910" s="6" t="n"/>
      <c r="AF910" s="3">
        <f>IF($AE910="","",IF((IFERROR(INDEX('ASIGNACIONES'!$F$4:$F$339,MATCH($O910&amp;"|"&amp;$R910&amp;"|"&amp;$AE910,'ASIGNACIONES'!$J$4:$J$339,0)),""))=0,"",IFERROR(INDEX('ASIGNACIONES'!$F$4:$F$339,MATCH($O910&amp;"|"&amp;$R910&amp;"|"&amp;$AE910,'ASIGNACIONES'!$J$4:$J$339,0)),"")))</f>
        <v/>
      </c>
      <c r="AG910" s="13">
        <f>IF($AE910="","",SUMIFS('ORDENES'!$M$4:$M$1203,'ORDENES'!$AE$4:$AE$1203,$AE910,'ORDENES'!$O$4:$O$1203,$O910,'ORDENES'!$R$4:$R$1203,$R910))</f>
        <v/>
      </c>
      <c r="AH910" s="13">
        <f>IF($AG910="","",p_factor_productividad*IFERROR(INDEX('ASIGNACIONES'!$I$4:$I$339,MATCH($O910&amp;"|"&amp;$R910&amp;"|"&amp;$AE910,'ASIGNACIONES'!$J$4:$J$339,0)),0)-$AG910)</f>
        <v/>
      </c>
      <c r="AI910" s="10">
        <f>IF($A910="","",IFERROR(INDEX('2_IMPORTAR_EJECUCION'!$F$9:$F$1208,MATCH($AQ910,'2_IMPORTAR_EJECUCION'!$J$9:$J$1208,0)),0))</f>
        <v/>
      </c>
      <c r="AJ910" s="10">
        <f>IF($A910="","",MAX(0,IFERROR(INDEX('2_IMPORTAR_EJECUCION'!$H$9:$H$1208,MATCH($AQ910,'2_IMPORTAR_EJECUCION'!$J$9:$J$1208,0)),0)-$AI910))</f>
        <v/>
      </c>
      <c r="AK910" s="10">
        <f>IF($A910="","",$AI910+$AJ910)</f>
        <v/>
      </c>
      <c r="AL910" s="6" t="n"/>
      <c r="AM910" s="6" t="n"/>
      <c r="AN910" s="6" t="n"/>
      <c r="AO910" s="3">
        <f>IF($AN910="","",HYPERLINK(p_ruta_base_checklists&amp;$AN910,"abrir"))</f>
        <v/>
      </c>
      <c r="AP910" s="6" t="n"/>
      <c r="AQ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IF($A911="","",IFERROR(INDEX('AJUSTES'!$B$4:$B$303,MATCH($AQ911,'AJUSTES'!$A$4:$A$303,0)),IF($K911="","",$K911)))</f>
        <v/>
      </c>
      <c r="N911" s="3">
        <f>IF($A911="","",IFERROR(INDEX('CAT_ESTADOS_ERP'!$B$4:$B$7,MATCH(IFERROR(INDEX('2_IMPORTAR_EJECUCION'!$C$9:$C$1208,MATCH($AQ911,'2_IMPORTAR_EJECUCION'!$J$9:$J$1208,0)),""),'CAT_ESTADOS_ERP'!$A$4:$A$7,0)),"Pendiente"))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J911="","",IFERROR(INDEX('CALENDARIO'!$C$15:$C$214,MATCH(TEXT($J911,"yyyy-mm-dd")&amp;"|"&amp;$V911&amp;"|"&amp;$W911,'CALENDARIO'!$G$15:$G$214,0)),IFERROR(INDEX('CALENDARIO'!$C$15:$C$214,MATCH(TEXT($J911,"yyyy-mm-dd")&amp;"|"&amp;$V911&amp;"|",'CALENDARIO'!$G$15:$G$214,0)),IFERROR(INDEX('CALENDARIO'!$C$15:$C$214,MATCH(TEXT($J911,"yyyy-mm-dd")&amp;"||",'CALENDARIO'!$G$15:$G$214,0)),INDEX(patronHabil,WEEKDAY($J911,2))))))</f>
        <v/>
      </c>
      <c r="T911" s="3">
        <f>IF($I911="","",IFERROR(INDEX('CAT_TIPOS_OT'!$C$4:$C$7,MATCH($I911,'CAT_TIPOS_OT'!$A$4:$A$7,0)),"sin_clasificar"))</f>
        <v/>
      </c>
      <c r="U911" s="3">
        <f>IF($F911="","",IFERROR(INDEX('CAT_CENTROS_COSTO'!$F$4:$F$13,MATCH($F911,'CAT_CENTROS_COSTO'!$A$4:$A$13,0)),"(sin catálogo)"))</f>
        <v/>
      </c>
      <c r="V911" s="3">
        <f>IF($F911="","",IFERROR(INDEX('CAT_CENTROS_COSTO'!$D$4:$D$13,MATCH($F911,'CAT_CENTROS_COSTO'!$A$4:$A$13,0)),"(sin catálogo)"))</f>
        <v/>
      </c>
      <c r="W911" s="3">
        <f>IF($F911="","",IF((IFERROR(INDEX('CAT_CENTROS_COSTO'!$E$4:$E$13,MATCH($F911,'CAT_CENTROS_COSTO'!$A$4:$A$13,0)),""))&lt;&gt;"",IFERROR(INDEX('CAT_CENTROS_COSTO'!$E$4:$E$13,MATCH($F911,'CAT_CENTROS_COSTO'!$A$4:$A$13,0)),""),$V911))</f>
        <v/>
      </c>
      <c r="X911" s="3">
        <f>IF($F911="","",IFERROR(INDEX('CAT_CENTROS_COSTO'!$G$4:$G$13,MATCH($F911,'CAT_CENTROS_COSTO'!$A$4:$A$13,0)),"(sin catálogo)"))</f>
        <v/>
      </c>
      <c r="Y911" s="3">
        <f>IF($G911="","",IFERROR(INDEX('CAT_PUESTOS'!$B$4:$B$8,MATCH($G911,'CAT_PUESTOS'!$A$4:$A$8,0)),"(sin catálogo)"))</f>
        <v/>
      </c>
      <c r="Z911" s="3">
        <f>IF($H911="","",IFERROR(INDEX('CAT_ACTIVIDADES'!$B$4:$B$8,MATCH($H911,'CAT_ACTIVIDADES'!$A$4:$A$8,0)),"(sin catálogo)"))</f>
        <v/>
      </c>
      <c r="AA911" s="12">
        <f>IF($J911="","",TODAY()-$J911)</f>
        <v/>
      </c>
      <c r="AB911" s="12">
        <f>IF($J911="","",IF($J911&lt;=TODAY(),COUNTIFS(cal_fechas,"&gt;="&amp;$J911,cal_fechas,"&lt;"&amp;TODAY(),cal_habil,"sí"),-COUNTIFS(cal_fechas,"&gt;="&amp;TODAY(),cal_fechas,"&lt;"&amp;$J911,cal_habil,"sí")))</f>
        <v/>
      </c>
      <c r="AC911" s="3">
        <f>IF($AB911="","",IF($AB911&lt;0,"FUTURO",IF($AB911&gt;p_dias_backlog_max,"BACKLOG","MES CORRIENTE")))</f>
        <v/>
      </c>
      <c r="AD911" s="3">
        <f>IF($AB911="",FALSE,AND($AB911&gt;p_dias_backlog_min,$AB911&lt;=p_dias_backlog_max))</f>
        <v/>
      </c>
      <c r="AE911" s="6" t="n"/>
      <c r="AF911" s="3">
        <f>IF($AE911="","",IF((IFERROR(INDEX('ASIGNACIONES'!$F$4:$F$339,MATCH($O911&amp;"|"&amp;$R911&amp;"|"&amp;$AE911,'ASIGNACIONES'!$J$4:$J$339,0)),""))=0,"",IFERROR(INDEX('ASIGNACIONES'!$F$4:$F$339,MATCH($O911&amp;"|"&amp;$R911&amp;"|"&amp;$AE911,'ASIGNACIONES'!$J$4:$J$339,0)),"")))</f>
        <v/>
      </c>
      <c r="AG911" s="13">
        <f>IF($AE911="","",SUMIFS('ORDENES'!$M$4:$M$1203,'ORDENES'!$AE$4:$AE$1203,$AE911,'ORDENES'!$O$4:$O$1203,$O911,'ORDENES'!$R$4:$R$1203,$R911))</f>
        <v/>
      </c>
      <c r="AH911" s="13">
        <f>IF($AG911="","",p_factor_productividad*IFERROR(INDEX('ASIGNACIONES'!$I$4:$I$339,MATCH($O911&amp;"|"&amp;$R911&amp;"|"&amp;$AE911,'ASIGNACIONES'!$J$4:$J$339,0)),0)-$AG911)</f>
        <v/>
      </c>
      <c r="AI911" s="10">
        <f>IF($A911="","",IFERROR(INDEX('2_IMPORTAR_EJECUCION'!$F$9:$F$1208,MATCH($AQ911,'2_IMPORTAR_EJECUCION'!$J$9:$J$1208,0)),0))</f>
        <v/>
      </c>
      <c r="AJ911" s="10">
        <f>IF($A911="","",MAX(0,IFERROR(INDEX('2_IMPORTAR_EJECUCION'!$H$9:$H$1208,MATCH($AQ911,'2_IMPORTAR_EJECUCION'!$J$9:$J$1208,0)),0)-$AI911))</f>
        <v/>
      </c>
      <c r="AK911" s="10">
        <f>IF($A911="","",$AI911+$AJ911)</f>
        <v/>
      </c>
      <c r="AL911" s="6" t="n"/>
      <c r="AM911" s="6" t="n"/>
      <c r="AN911" s="6" t="n"/>
      <c r="AO911" s="3">
        <f>IF($AN911="","",HYPERLINK(p_ruta_base_checklists&amp;$AN911,"abrir"))</f>
        <v/>
      </c>
      <c r="AP911" s="6" t="n"/>
      <c r="AQ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IF($A912="","",IFERROR(INDEX('AJUSTES'!$B$4:$B$303,MATCH($AQ912,'AJUSTES'!$A$4:$A$303,0)),IF($K912="","",$K912)))</f>
        <v/>
      </c>
      <c r="N912" s="3">
        <f>IF($A912="","",IFERROR(INDEX('CAT_ESTADOS_ERP'!$B$4:$B$7,MATCH(IFERROR(INDEX('2_IMPORTAR_EJECUCION'!$C$9:$C$1208,MATCH($AQ912,'2_IMPORTAR_EJECUCION'!$J$9:$J$1208,0)),""),'CAT_ESTADOS_ERP'!$A$4:$A$7,0)),"Pendiente"))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J912="","",IFERROR(INDEX('CALENDARIO'!$C$15:$C$214,MATCH(TEXT($J912,"yyyy-mm-dd")&amp;"|"&amp;$V912&amp;"|"&amp;$W912,'CALENDARIO'!$G$15:$G$214,0)),IFERROR(INDEX('CALENDARIO'!$C$15:$C$214,MATCH(TEXT($J912,"yyyy-mm-dd")&amp;"|"&amp;$V912&amp;"|",'CALENDARIO'!$G$15:$G$214,0)),IFERROR(INDEX('CALENDARIO'!$C$15:$C$214,MATCH(TEXT($J912,"yyyy-mm-dd")&amp;"||",'CALENDARIO'!$G$15:$G$214,0)),INDEX(patronHabil,WEEKDAY($J912,2))))))</f>
        <v/>
      </c>
      <c r="T912" s="3">
        <f>IF($I912="","",IFERROR(INDEX('CAT_TIPOS_OT'!$C$4:$C$7,MATCH($I912,'CAT_TIPOS_OT'!$A$4:$A$7,0)),"sin_clasificar"))</f>
        <v/>
      </c>
      <c r="U912" s="3">
        <f>IF($F912="","",IFERROR(INDEX('CAT_CENTROS_COSTO'!$F$4:$F$13,MATCH($F912,'CAT_CENTROS_COSTO'!$A$4:$A$13,0)),"(sin catálogo)"))</f>
        <v/>
      </c>
      <c r="V912" s="3">
        <f>IF($F912="","",IFERROR(INDEX('CAT_CENTROS_COSTO'!$D$4:$D$13,MATCH($F912,'CAT_CENTROS_COSTO'!$A$4:$A$13,0)),"(sin catálogo)"))</f>
        <v/>
      </c>
      <c r="W912" s="3">
        <f>IF($F912="","",IF((IFERROR(INDEX('CAT_CENTROS_COSTO'!$E$4:$E$13,MATCH($F912,'CAT_CENTROS_COSTO'!$A$4:$A$13,0)),""))&lt;&gt;"",IFERROR(INDEX('CAT_CENTROS_COSTO'!$E$4:$E$13,MATCH($F912,'CAT_CENTROS_COSTO'!$A$4:$A$13,0)),""),$V912))</f>
        <v/>
      </c>
      <c r="X912" s="3">
        <f>IF($F912="","",IFERROR(INDEX('CAT_CENTROS_COSTO'!$G$4:$G$13,MATCH($F912,'CAT_CENTROS_COSTO'!$A$4:$A$13,0)),"(sin catálogo)"))</f>
        <v/>
      </c>
      <c r="Y912" s="3">
        <f>IF($G912="","",IFERROR(INDEX('CAT_PUESTOS'!$B$4:$B$8,MATCH($G912,'CAT_PUESTOS'!$A$4:$A$8,0)),"(sin catálogo)"))</f>
        <v/>
      </c>
      <c r="Z912" s="3">
        <f>IF($H912="","",IFERROR(INDEX('CAT_ACTIVIDADES'!$B$4:$B$8,MATCH($H912,'CAT_ACTIVIDADES'!$A$4:$A$8,0)),"(sin catálogo)"))</f>
        <v/>
      </c>
      <c r="AA912" s="12">
        <f>IF($J912="","",TODAY()-$J912)</f>
        <v/>
      </c>
      <c r="AB912" s="12">
        <f>IF($J912="","",IF($J912&lt;=TODAY(),COUNTIFS(cal_fechas,"&gt;="&amp;$J912,cal_fechas,"&lt;"&amp;TODAY(),cal_habil,"sí"),-COUNTIFS(cal_fechas,"&gt;="&amp;TODAY(),cal_fechas,"&lt;"&amp;$J912,cal_habil,"sí")))</f>
        <v/>
      </c>
      <c r="AC912" s="3">
        <f>IF($AB912="","",IF($AB912&lt;0,"FUTURO",IF($AB912&gt;p_dias_backlog_max,"BACKLOG","MES CORRIENTE")))</f>
        <v/>
      </c>
      <c r="AD912" s="3">
        <f>IF($AB912="",FALSE,AND($AB912&gt;p_dias_backlog_min,$AB912&lt;=p_dias_backlog_max))</f>
        <v/>
      </c>
      <c r="AE912" s="6" t="n"/>
      <c r="AF912" s="3">
        <f>IF($AE912="","",IF((IFERROR(INDEX('ASIGNACIONES'!$F$4:$F$339,MATCH($O912&amp;"|"&amp;$R912&amp;"|"&amp;$AE912,'ASIGNACIONES'!$J$4:$J$339,0)),""))=0,"",IFERROR(INDEX('ASIGNACIONES'!$F$4:$F$339,MATCH($O912&amp;"|"&amp;$R912&amp;"|"&amp;$AE912,'ASIGNACIONES'!$J$4:$J$339,0)),"")))</f>
        <v/>
      </c>
      <c r="AG912" s="13">
        <f>IF($AE912="","",SUMIFS('ORDENES'!$M$4:$M$1203,'ORDENES'!$AE$4:$AE$1203,$AE912,'ORDENES'!$O$4:$O$1203,$O912,'ORDENES'!$R$4:$R$1203,$R912))</f>
        <v/>
      </c>
      <c r="AH912" s="13">
        <f>IF($AG912="","",p_factor_productividad*IFERROR(INDEX('ASIGNACIONES'!$I$4:$I$339,MATCH($O912&amp;"|"&amp;$R912&amp;"|"&amp;$AE912,'ASIGNACIONES'!$J$4:$J$339,0)),0)-$AG912)</f>
        <v/>
      </c>
      <c r="AI912" s="10">
        <f>IF($A912="","",IFERROR(INDEX('2_IMPORTAR_EJECUCION'!$F$9:$F$1208,MATCH($AQ912,'2_IMPORTAR_EJECUCION'!$J$9:$J$1208,0)),0))</f>
        <v/>
      </c>
      <c r="AJ912" s="10">
        <f>IF($A912="","",MAX(0,IFERROR(INDEX('2_IMPORTAR_EJECUCION'!$H$9:$H$1208,MATCH($AQ912,'2_IMPORTAR_EJECUCION'!$J$9:$J$1208,0)),0)-$AI912))</f>
        <v/>
      </c>
      <c r="AK912" s="10">
        <f>IF($A912="","",$AI912+$AJ912)</f>
        <v/>
      </c>
      <c r="AL912" s="6" t="n"/>
      <c r="AM912" s="6" t="n"/>
      <c r="AN912" s="6" t="n"/>
      <c r="AO912" s="3">
        <f>IF($AN912="","",HYPERLINK(p_ruta_base_checklists&amp;$AN912,"abrir"))</f>
        <v/>
      </c>
      <c r="AP912" s="6" t="n"/>
      <c r="AQ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IF($A913="","",IFERROR(INDEX('AJUSTES'!$B$4:$B$303,MATCH($AQ913,'AJUSTES'!$A$4:$A$303,0)),IF($K913="","",$K913)))</f>
        <v/>
      </c>
      <c r="N913" s="3">
        <f>IF($A913="","",IFERROR(INDEX('CAT_ESTADOS_ERP'!$B$4:$B$7,MATCH(IFERROR(INDEX('2_IMPORTAR_EJECUCION'!$C$9:$C$1208,MATCH($AQ913,'2_IMPORTAR_EJECUCION'!$J$9:$J$1208,0)),""),'CAT_ESTADOS_ERP'!$A$4:$A$7,0)),"Pendiente"))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J913="","",IFERROR(INDEX('CALENDARIO'!$C$15:$C$214,MATCH(TEXT($J913,"yyyy-mm-dd")&amp;"|"&amp;$V913&amp;"|"&amp;$W913,'CALENDARIO'!$G$15:$G$214,0)),IFERROR(INDEX('CALENDARIO'!$C$15:$C$214,MATCH(TEXT($J913,"yyyy-mm-dd")&amp;"|"&amp;$V913&amp;"|",'CALENDARIO'!$G$15:$G$214,0)),IFERROR(INDEX('CALENDARIO'!$C$15:$C$214,MATCH(TEXT($J913,"yyyy-mm-dd")&amp;"||",'CALENDARIO'!$G$15:$G$214,0)),INDEX(patronHabil,WEEKDAY($J913,2))))))</f>
        <v/>
      </c>
      <c r="T913" s="3">
        <f>IF($I913="","",IFERROR(INDEX('CAT_TIPOS_OT'!$C$4:$C$7,MATCH($I913,'CAT_TIPOS_OT'!$A$4:$A$7,0)),"sin_clasificar"))</f>
        <v/>
      </c>
      <c r="U913" s="3">
        <f>IF($F913="","",IFERROR(INDEX('CAT_CENTROS_COSTO'!$F$4:$F$13,MATCH($F913,'CAT_CENTROS_COSTO'!$A$4:$A$13,0)),"(sin catálogo)"))</f>
        <v/>
      </c>
      <c r="V913" s="3">
        <f>IF($F913="","",IFERROR(INDEX('CAT_CENTROS_COSTO'!$D$4:$D$13,MATCH($F913,'CAT_CENTROS_COSTO'!$A$4:$A$13,0)),"(sin catálogo)"))</f>
        <v/>
      </c>
      <c r="W913" s="3">
        <f>IF($F913="","",IF((IFERROR(INDEX('CAT_CENTROS_COSTO'!$E$4:$E$13,MATCH($F913,'CAT_CENTROS_COSTO'!$A$4:$A$13,0)),""))&lt;&gt;"",IFERROR(INDEX('CAT_CENTROS_COSTO'!$E$4:$E$13,MATCH($F913,'CAT_CENTROS_COSTO'!$A$4:$A$13,0)),""),$V913))</f>
        <v/>
      </c>
      <c r="X913" s="3">
        <f>IF($F913="","",IFERROR(INDEX('CAT_CENTROS_COSTO'!$G$4:$G$13,MATCH($F913,'CAT_CENTROS_COSTO'!$A$4:$A$13,0)),"(sin catálogo)"))</f>
        <v/>
      </c>
      <c r="Y913" s="3">
        <f>IF($G913="","",IFERROR(INDEX('CAT_PUESTOS'!$B$4:$B$8,MATCH($G913,'CAT_PUESTOS'!$A$4:$A$8,0)),"(sin catálogo)"))</f>
        <v/>
      </c>
      <c r="Z913" s="3">
        <f>IF($H913="","",IFERROR(INDEX('CAT_ACTIVIDADES'!$B$4:$B$8,MATCH($H913,'CAT_ACTIVIDADES'!$A$4:$A$8,0)),"(sin catálogo)"))</f>
        <v/>
      </c>
      <c r="AA913" s="12">
        <f>IF($J913="","",TODAY()-$J913)</f>
        <v/>
      </c>
      <c r="AB913" s="12">
        <f>IF($J913="","",IF($J913&lt;=TODAY(),COUNTIFS(cal_fechas,"&gt;="&amp;$J913,cal_fechas,"&lt;"&amp;TODAY(),cal_habil,"sí"),-COUNTIFS(cal_fechas,"&gt;="&amp;TODAY(),cal_fechas,"&lt;"&amp;$J913,cal_habil,"sí")))</f>
        <v/>
      </c>
      <c r="AC913" s="3">
        <f>IF($AB913="","",IF($AB913&lt;0,"FUTURO",IF($AB913&gt;p_dias_backlog_max,"BACKLOG","MES CORRIENTE")))</f>
        <v/>
      </c>
      <c r="AD913" s="3">
        <f>IF($AB913="",FALSE,AND($AB913&gt;p_dias_backlog_min,$AB913&lt;=p_dias_backlog_max))</f>
        <v/>
      </c>
      <c r="AE913" s="6" t="n"/>
      <c r="AF913" s="3">
        <f>IF($AE913="","",IF((IFERROR(INDEX('ASIGNACIONES'!$F$4:$F$339,MATCH($O913&amp;"|"&amp;$R913&amp;"|"&amp;$AE913,'ASIGNACIONES'!$J$4:$J$339,0)),""))=0,"",IFERROR(INDEX('ASIGNACIONES'!$F$4:$F$339,MATCH($O913&amp;"|"&amp;$R913&amp;"|"&amp;$AE913,'ASIGNACIONES'!$J$4:$J$339,0)),"")))</f>
        <v/>
      </c>
      <c r="AG913" s="13">
        <f>IF($AE913="","",SUMIFS('ORDENES'!$M$4:$M$1203,'ORDENES'!$AE$4:$AE$1203,$AE913,'ORDENES'!$O$4:$O$1203,$O913,'ORDENES'!$R$4:$R$1203,$R913))</f>
        <v/>
      </c>
      <c r="AH913" s="13">
        <f>IF($AG913="","",p_factor_productividad*IFERROR(INDEX('ASIGNACIONES'!$I$4:$I$339,MATCH($O913&amp;"|"&amp;$R913&amp;"|"&amp;$AE913,'ASIGNACIONES'!$J$4:$J$339,0)),0)-$AG913)</f>
        <v/>
      </c>
      <c r="AI913" s="10">
        <f>IF($A913="","",IFERROR(INDEX('2_IMPORTAR_EJECUCION'!$F$9:$F$1208,MATCH($AQ913,'2_IMPORTAR_EJECUCION'!$J$9:$J$1208,0)),0))</f>
        <v/>
      </c>
      <c r="AJ913" s="10">
        <f>IF($A913="","",MAX(0,IFERROR(INDEX('2_IMPORTAR_EJECUCION'!$H$9:$H$1208,MATCH($AQ913,'2_IMPORTAR_EJECUCION'!$J$9:$J$1208,0)),0)-$AI913))</f>
        <v/>
      </c>
      <c r="AK913" s="10">
        <f>IF($A913="","",$AI913+$AJ913)</f>
        <v/>
      </c>
      <c r="AL913" s="6" t="n"/>
      <c r="AM913" s="6" t="n"/>
      <c r="AN913" s="6" t="n"/>
      <c r="AO913" s="3">
        <f>IF($AN913="","",HYPERLINK(p_ruta_base_checklists&amp;$AN913,"abrir"))</f>
        <v/>
      </c>
      <c r="AP913" s="6" t="n"/>
      <c r="AQ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IF($A914="","",IFERROR(INDEX('AJUSTES'!$B$4:$B$303,MATCH($AQ914,'AJUSTES'!$A$4:$A$303,0)),IF($K914="","",$K914)))</f>
        <v/>
      </c>
      <c r="N914" s="3">
        <f>IF($A914="","",IFERROR(INDEX('CAT_ESTADOS_ERP'!$B$4:$B$7,MATCH(IFERROR(INDEX('2_IMPORTAR_EJECUCION'!$C$9:$C$1208,MATCH($AQ914,'2_IMPORTAR_EJECUCION'!$J$9:$J$1208,0)),""),'CAT_ESTADOS_ERP'!$A$4:$A$7,0)),"Pendiente"))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J914="","",IFERROR(INDEX('CALENDARIO'!$C$15:$C$214,MATCH(TEXT($J914,"yyyy-mm-dd")&amp;"|"&amp;$V914&amp;"|"&amp;$W914,'CALENDARIO'!$G$15:$G$214,0)),IFERROR(INDEX('CALENDARIO'!$C$15:$C$214,MATCH(TEXT($J914,"yyyy-mm-dd")&amp;"|"&amp;$V914&amp;"|",'CALENDARIO'!$G$15:$G$214,0)),IFERROR(INDEX('CALENDARIO'!$C$15:$C$214,MATCH(TEXT($J914,"yyyy-mm-dd")&amp;"||",'CALENDARIO'!$G$15:$G$214,0)),INDEX(patronHabil,WEEKDAY($J914,2))))))</f>
        <v/>
      </c>
      <c r="T914" s="3">
        <f>IF($I914="","",IFERROR(INDEX('CAT_TIPOS_OT'!$C$4:$C$7,MATCH($I914,'CAT_TIPOS_OT'!$A$4:$A$7,0)),"sin_clasificar"))</f>
        <v/>
      </c>
      <c r="U914" s="3">
        <f>IF($F914="","",IFERROR(INDEX('CAT_CENTROS_COSTO'!$F$4:$F$13,MATCH($F914,'CAT_CENTROS_COSTO'!$A$4:$A$13,0)),"(sin catálogo)"))</f>
        <v/>
      </c>
      <c r="V914" s="3">
        <f>IF($F914="","",IFERROR(INDEX('CAT_CENTROS_COSTO'!$D$4:$D$13,MATCH($F914,'CAT_CENTROS_COSTO'!$A$4:$A$13,0)),"(sin catálogo)"))</f>
        <v/>
      </c>
      <c r="W914" s="3">
        <f>IF($F914="","",IF((IFERROR(INDEX('CAT_CENTROS_COSTO'!$E$4:$E$13,MATCH($F914,'CAT_CENTROS_COSTO'!$A$4:$A$13,0)),""))&lt;&gt;"",IFERROR(INDEX('CAT_CENTROS_COSTO'!$E$4:$E$13,MATCH($F914,'CAT_CENTROS_COSTO'!$A$4:$A$13,0)),""),$V914))</f>
        <v/>
      </c>
      <c r="X914" s="3">
        <f>IF($F914="","",IFERROR(INDEX('CAT_CENTROS_COSTO'!$G$4:$G$13,MATCH($F914,'CAT_CENTROS_COSTO'!$A$4:$A$13,0)),"(sin catálogo)"))</f>
        <v/>
      </c>
      <c r="Y914" s="3">
        <f>IF($G914="","",IFERROR(INDEX('CAT_PUESTOS'!$B$4:$B$8,MATCH($G914,'CAT_PUESTOS'!$A$4:$A$8,0)),"(sin catálogo)"))</f>
        <v/>
      </c>
      <c r="Z914" s="3">
        <f>IF($H914="","",IFERROR(INDEX('CAT_ACTIVIDADES'!$B$4:$B$8,MATCH($H914,'CAT_ACTIVIDADES'!$A$4:$A$8,0)),"(sin catálogo)"))</f>
        <v/>
      </c>
      <c r="AA914" s="12">
        <f>IF($J914="","",TODAY()-$J914)</f>
        <v/>
      </c>
      <c r="AB914" s="12">
        <f>IF($J914="","",IF($J914&lt;=TODAY(),COUNTIFS(cal_fechas,"&gt;="&amp;$J914,cal_fechas,"&lt;"&amp;TODAY(),cal_habil,"sí"),-COUNTIFS(cal_fechas,"&gt;="&amp;TODAY(),cal_fechas,"&lt;"&amp;$J914,cal_habil,"sí")))</f>
        <v/>
      </c>
      <c r="AC914" s="3">
        <f>IF($AB914="","",IF($AB914&lt;0,"FUTURO",IF($AB914&gt;p_dias_backlog_max,"BACKLOG","MES CORRIENTE")))</f>
        <v/>
      </c>
      <c r="AD914" s="3">
        <f>IF($AB914="",FALSE,AND($AB914&gt;p_dias_backlog_min,$AB914&lt;=p_dias_backlog_max))</f>
        <v/>
      </c>
      <c r="AE914" s="6" t="n"/>
      <c r="AF914" s="3">
        <f>IF($AE914="","",IF((IFERROR(INDEX('ASIGNACIONES'!$F$4:$F$339,MATCH($O914&amp;"|"&amp;$R914&amp;"|"&amp;$AE914,'ASIGNACIONES'!$J$4:$J$339,0)),""))=0,"",IFERROR(INDEX('ASIGNACIONES'!$F$4:$F$339,MATCH($O914&amp;"|"&amp;$R914&amp;"|"&amp;$AE914,'ASIGNACIONES'!$J$4:$J$339,0)),"")))</f>
        <v/>
      </c>
      <c r="AG914" s="13">
        <f>IF($AE914="","",SUMIFS('ORDENES'!$M$4:$M$1203,'ORDENES'!$AE$4:$AE$1203,$AE914,'ORDENES'!$O$4:$O$1203,$O914,'ORDENES'!$R$4:$R$1203,$R914))</f>
        <v/>
      </c>
      <c r="AH914" s="13">
        <f>IF($AG914="","",p_factor_productividad*IFERROR(INDEX('ASIGNACIONES'!$I$4:$I$339,MATCH($O914&amp;"|"&amp;$R914&amp;"|"&amp;$AE914,'ASIGNACIONES'!$J$4:$J$339,0)),0)-$AG914)</f>
        <v/>
      </c>
      <c r="AI914" s="10">
        <f>IF($A914="","",IFERROR(INDEX('2_IMPORTAR_EJECUCION'!$F$9:$F$1208,MATCH($AQ914,'2_IMPORTAR_EJECUCION'!$J$9:$J$1208,0)),0))</f>
        <v/>
      </c>
      <c r="AJ914" s="10">
        <f>IF($A914="","",MAX(0,IFERROR(INDEX('2_IMPORTAR_EJECUCION'!$H$9:$H$1208,MATCH($AQ914,'2_IMPORTAR_EJECUCION'!$J$9:$J$1208,0)),0)-$AI914))</f>
        <v/>
      </c>
      <c r="AK914" s="10">
        <f>IF($A914="","",$AI914+$AJ914)</f>
        <v/>
      </c>
      <c r="AL914" s="6" t="n"/>
      <c r="AM914" s="6" t="n"/>
      <c r="AN914" s="6" t="n"/>
      <c r="AO914" s="3">
        <f>IF($AN914="","",HYPERLINK(p_ruta_base_checklists&amp;$AN914,"abrir"))</f>
        <v/>
      </c>
      <c r="AP914" s="6" t="n"/>
      <c r="AQ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IF($A915="","",IFERROR(INDEX('AJUSTES'!$B$4:$B$303,MATCH($AQ915,'AJUSTES'!$A$4:$A$303,0)),IF($K915="","",$K915)))</f>
        <v/>
      </c>
      <c r="N915" s="3">
        <f>IF($A915="","",IFERROR(INDEX('CAT_ESTADOS_ERP'!$B$4:$B$7,MATCH(IFERROR(INDEX('2_IMPORTAR_EJECUCION'!$C$9:$C$1208,MATCH($AQ915,'2_IMPORTAR_EJECUCION'!$J$9:$J$1208,0)),""),'CAT_ESTADOS_ERP'!$A$4:$A$7,0)),"Pendiente"))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J915="","",IFERROR(INDEX('CALENDARIO'!$C$15:$C$214,MATCH(TEXT($J915,"yyyy-mm-dd")&amp;"|"&amp;$V915&amp;"|"&amp;$W915,'CALENDARIO'!$G$15:$G$214,0)),IFERROR(INDEX('CALENDARIO'!$C$15:$C$214,MATCH(TEXT($J915,"yyyy-mm-dd")&amp;"|"&amp;$V915&amp;"|",'CALENDARIO'!$G$15:$G$214,0)),IFERROR(INDEX('CALENDARIO'!$C$15:$C$214,MATCH(TEXT($J915,"yyyy-mm-dd")&amp;"||",'CALENDARIO'!$G$15:$G$214,0)),INDEX(patronHabil,WEEKDAY($J915,2))))))</f>
        <v/>
      </c>
      <c r="T915" s="3">
        <f>IF($I915="","",IFERROR(INDEX('CAT_TIPOS_OT'!$C$4:$C$7,MATCH($I915,'CAT_TIPOS_OT'!$A$4:$A$7,0)),"sin_clasificar"))</f>
        <v/>
      </c>
      <c r="U915" s="3">
        <f>IF($F915="","",IFERROR(INDEX('CAT_CENTROS_COSTO'!$F$4:$F$13,MATCH($F915,'CAT_CENTROS_COSTO'!$A$4:$A$13,0)),"(sin catálogo)"))</f>
        <v/>
      </c>
      <c r="V915" s="3">
        <f>IF($F915="","",IFERROR(INDEX('CAT_CENTROS_COSTO'!$D$4:$D$13,MATCH($F915,'CAT_CENTROS_COSTO'!$A$4:$A$13,0)),"(sin catálogo)"))</f>
        <v/>
      </c>
      <c r="W915" s="3">
        <f>IF($F915="","",IF((IFERROR(INDEX('CAT_CENTROS_COSTO'!$E$4:$E$13,MATCH($F915,'CAT_CENTROS_COSTO'!$A$4:$A$13,0)),""))&lt;&gt;"",IFERROR(INDEX('CAT_CENTROS_COSTO'!$E$4:$E$13,MATCH($F915,'CAT_CENTROS_COSTO'!$A$4:$A$13,0)),""),$V915))</f>
        <v/>
      </c>
      <c r="X915" s="3">
        <f>IF($F915="","",IFERROR(INDEX('CAT_CENTROS_COSTO'!$G$4:$G$13,MATCH($F915,'CAT_CENTROS_COSTO'!$A$4:$A$13,0)),"(sin catálogo)"))</f>
        <v/>
      </c>
      <c r="Y915" s="3">
        <f>IF($G915="","",IFERROR(INDEX('CAT_PUESTOS'!$B$4:$B$8,MATCH($G915,'CAT_PUESTOS'!$A$4:$A$8,0)),"(sin catálogo)"))</f>
        <v/>
      </c>
      <c r="Z915" s="3">
        <f>IF($H915="","",IFERROR(INDEX('CAT_ACTIVIDADES'!$B$4:$B$8,MATCH($H915,'CAT_ACTIVIDADES'!$A$4:$A$8,0)),"(sin catálogo)"))</f>
        <v/>
      </c>
      <c r="AA915" s="12">
        <f>IF($J915="","",TODAY()-$J915)</f>
        <v/>
      </c>
      <c r="AB915" s="12">
        <f>IF($J915="","",IF($J915&lt;=TODAY(),COUNTIFS(cal_fechas,"&gt;="&amp;$J915,cal_fechas,"&lt;"&amp;TODAY(),cal_habil,"sí"),-COUNTIFS(cal_fechas,"&gt;="&amp;TODAY(),cal_fechas,"&lt;"&amp;$J915,cal_habil,"sí")))</f>
        <v/>
      </c>
      <c r="AC915" s="3">
        <f>IF($AB915="","",IF($AB915&lt;0,"FUTURO",IF($AB915&gt;p_dias_backlog_max,"BACKLOG","MES CORRIENTE")))</f>
        <v/>
      </c>
      <c r="AD915" s="3">
        <f>IF($AB915="",FALSE,AND($AB915&gt;p_dias_backlog_min,$AB915&lt;=p_dias_backlog_max))</f>
        <v/>
      </c>
      <c r="AE915" s="6" t="n"/>
      <c r="AF915" s="3">
        <f>IF($AE915="","",IF((IFERROR(INDEX('ASIGNACIONES'!$F$4:$F$339,MATCH($O915&amp;"|"&amp;$R915&amp;"|"&amp;$AE915,'ASIGNACIONES'!$J$4:$J$339,0)),""))=0,"",IFERROR(INDEX('ASIGNACIONES'!$F$4:$F$339,MATCH($O915&amp;"|"&amp;$R915&amp;"|"&amp;$AE915,'ASIGNACIONES'!$J$4:$J$339,0)),"")))</f>
        <v/>
      </c>
      <c r="AG915" s="13">
        <f>IF($AE915="","",SUMIFS('ORDENES'!$M$4:$M$1203,'ORDENES'!$AE$4:$AE$1203,$AE915,'ORDENES'!$O$4:$O$1203,$O915,'ORDENES'!$R$4:$R$1203,$R915))</f>
        <v/>
      </c>
      <c r="AH915" s="13">
        <f>IF($AG915="","",p_factor_productividad*IFERROR(INDEX('ASIGNACIONES'!$I$4:$I$339,MATCH($O915&amp;"|"&amp;$R915&amp;"|"&amp;$AE915,'ASIGNACIONES'!$J$4:$J$339,0)),0)-$AG915)</f>
        <v/>
      </c>
      <c r="AI915" s="10">
        <f>IF($A915="","",IFERROR(INDEX('2_IMPORTAR_EJECUCION'!$F$9:$F$1208,MATCH($AQ915,'2_IMPORTAR_EJECUCION'!$J$9:$J$1208,0)),0))</f>
        <v/>
      </c>
      <c r="AJ915" s="10">
        <f>IF($A915="","",MAX(0,IFERROR(INDEX('2_IMPORTAR_EJECUCION'!$H$9:$H$1208,MATCH($AQ915,'2_IMPORTAR_EJECUCION'!$J$9:$J$1208,0)),0)-$AI915))</f>
        <v/>
      </c>
      <c r="AK915" s="10">
        <f>IF($A915="","",$AI915+$AJ915)</f>
        <v/>
      </c>
      <c r="AL915" s="6" t="n"/>
      <c r="AM915" s="6" t="n"/>
      <c r="AN915" s="6" t="n"/>
      <c r="AO915" s="3">
        <f>IF($AN915="","",HYPERLINK(p_ruta_base_checklists&amp;$AN915,"abrir"))</f>
        <v/>
      </c>
      <c r="AP915" s="6" t="n"/>
      <c r="AQ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IF($A916="","",IFERROR(INDEX('AJUSTES'!$B$4:$B$303,MATCH($AQ916,'AJUSTES'!$A$4:$A$303,0)),IF($K916="","",$K916)))</f>
        <v/>
      </c>
      <c r="N916" s="3">
        <f>IF($A916="","",IFERROR(INDEX('CAT_ESTADOS_ERP'!$B$4:$B$7,MATCH(IFERROR(INDEX('2_IMPORTAR_EJECUCION'!$C$9:$C$1208,MATCH($AQ916,'2_IMPORTAR_EJECUCION'!$J$9:$J$1208,0)),""),'CAT_ESTADOS_ERP'!$A$4:$A$7,0)),"Pendiente"))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J916="","",IFERROR(INDEX('CALENDARIO'!$C$15:$C$214,MATCH(TEXT($J916,"yyyy-mm-dd")&amp;"|"&amp;$V916&amp;"|"&amp;$W916,'CALENDARIO'!$G$15:$G$214,0)),IFERROR(INDEX('CALENDARIO'!$C$15:$C$214,MATCH(TEXT($J916,"yyyy-mm-dd")&amp;"|"&amp;$V916&amp;"|",'CALENDARIO'!$G$15:$G$214,0)),IFERROR(INDEX('CALENDARIO'!$C$15:$C$214,MATCH(TEXT($J916,"yyyy-mm-dd")&amp;"||",'CALENDARIO'!$G$15:$G$214,0)),INDEX(patronHabil,WEEKDAY($J916,2))))))</f>
        <v/>
      </c>
      <c r="T916" s="3">
        <f>IF($I916="","",IFERROR(INDEX('CAT_TIPOS_OT'!$C$4:$C$7,MATCH($I916,'CAT_TIPOS_OT'!$A$4:$A$7,0)),"sin_clasificar"))</f>
        <v/>
      </c>
      <c r="U916" s="3">
        <f>IF($F916="","",IFERROR(INDEX('CAT_CENTROS_COSTO'!$F$4:$F$13,MATCH($F916,'CAT_CENTROS_COSTO'!$A$4:$A$13,0)),"(sin catálogo)"))</f>
        <v/>
      </c>
      <c r="V916" s="3">
        <f>IF($F916="","",IFERROR(INDEX('CAT_CENTROS_COSTO'!$D$4:$D$13,MATCH($F916,'CAT_CENTROS_COSTO'!$A$4:$A$13,0)),"(sin catálogo)"))</f>
        <v/>
      </c>
      <c r="W916" s="3">
        <f>IF($F916="","",IF((IFERROR(INDEX('CAT_CENTROS_COSTO'!$E$4:$E$13,MATCH($F916,'CAT_CENTROS_COSTO'!$A$4:$A$13,0)),""))&lt;&gt;"",IFERROR(INDEX('CAT_CENTROS_COSTO'!$E$4:$E$13,MATCH($F916,'CAT_CENTROS_COSTO'!$A$4:$A$13,0)),""),$V916))</f>
        <v/>
      </c>
      <c r="X916" s="3">
        <f>IF($F916="","",IFERROR(INDEX('CAT_CENTROS_COSTO'!$G$4:$G$13,MATCH($F916,'CAT_CENTROS_COSTO'!$A$4:$A$13,0)),"(sin catálogo)"))</f>
        <v/>
      </c>
      <c r="Y916" s="3">
        <f>IF($G916="","",IFERROR(INDEX('CAT_PUESTOS'!$B$4:$B$8,MATCH($G916,'CAT_PUESTOS'!$A$4:$A$8,0)),"(sin catálogo)"))</f>
        <v/>
      </c>
      <c r="Z916" s="3">
        <f>IF($H916="","",IFERROR(INDEX('CAT_ACTIVIDADES'!$B$4:$B$8,MATCH($H916,'CAT_ACTIVIDADES'!$A$4:$A$8,0)),"(sin catálogo)"))</f>
        <v/>
      </c>
      <c r="AA916" s="12">
        <f>IF($J916="","",TODAY()-$J916)</f>
        <v/>
      </c>
      <c r="AB916" s="12">
        <f>IF($J916="","",IF($J916&lt;=TODAY(),COUNTIFS(cal_fechas,"&gt;="&amp;$J916,cal_fechas,"&lt;"&amp;TODAY(),cal_habil,"sí"),-COUNTIFS(cal_fechas,"&gt;="&amp;TODAY(),cal_fechas,"&lt;"&amp;$J916,cal_habil,"sí")))</f>
        <v/>
      </c>
      <c r="AC916" s="3">
        <f>IF($AB916="","",IF($AB916&lt;0,"FUTURO",IF($AB916&gt;p_dias_backlog_max,"BACKLOG","MES CORRIENTE")))</f>
        <v/>
      </c>
      <c r="AD916" s="3">
        <f>IF($AB916="",FALSE,AND($AB916&gt;p_dias_backlog_min,$AB916&lt;=p_dias_backlog_max))</f>
        <v/>
      </c>
      <c r="AE916" s="6" t="n"/>
      <c r="AF916" s="3">
        <f>IF($AE916="","",IF((IFERROR(INDEX('ASIGNACIONES'!$F$4:$F$339,MATCH($O916&amp;"|"&amp;$R916&amp;"|"&amp;$AE916,'ASIGNACIONES'!$J$4:$J$339,0)),""))=0,"",IFERROR(INDEX('ASIGNACIONES'!$F$4:$F$339,MATCH($O916&amp;"|"&amp;$R916&amp;"|"&amp;$AE916,'ASIGNACIONES'!$J$4:$J$339,0)),"")))</f>
        <v/>
      </c>
      <c r="AG916" s="13">
        <f>IF($AE916="","",SUMIFS('ORDENES'!$M$4:$M$1203,'ORDENES'!$AE$4:$AE$1203,$AE916,'ORDENES'!$O$4:$O$1203,$O916,'ORDENES'!$R$4:$R$1203,$R916))</f>
        <v/>
      </c>
      <c r="AH916" s="13">
        <f>IF($AG916="","",p_factor_productividad*IFERROR(INDEX('ASIGNACIONES'!$I$4:$I$339,MATCH($O916&amp;"|"&amp;$R916&amp;"|"&amp;$AE916,'ASIGNACIONES'!$J$4:$J$339,0)),0)-$AG916)</f>
        <v/>
      </c>
      <c r="AI916" s="10">
        <f>IF($A916="","",IFERROR(INDEX('2_IMPORTAR_EJECUCION'!$F$9:$F$1208,MATCH($AQ916,'2_IMPORTAR_EJECUCION'!$J$9:$J$1208,0)),0))</f>
        <v/>
      </c>
      <c r="AJ916" s="10">
        <f>IF($A916="","",MAX(0,IFERROR(INDEX('2_IMPORTAR_EJECUCION'!$H$9:$H$1208,MATCH($AQ916,'2_IMPORTAR_EJECUCION'!$J$9:$J$1208,0)),0)-$AI916))</f>
        <v/>
      </c>
      <c r="AK916" s="10">
        <f>IF($A916="","",$AI916+$AJ916)</f>
        <v/>
      </c>
      <c r="AL916" s="6" t="n"/>
      <c r="AM916" s="6" t="n"/>
      <c r="AN916" s="6" t="n"/>
      <c r="AO916" s="3">
        <f>IF($AN916="","",HYPERLINK(p_ruta_base_checklists&amp;$AN916,"abrir"))</f>
        <v/>
      </c>
      <c r="AP916" s="6" t="n"/>
      <c r="AQ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IF($A917="","",IFERROR(INDEX('AJUSTES'!$B$4:$B$303,MATCH($AQ917,'AJUSTES'!$A$4:$A$303,0)),IF($K917="","",$K917)))</f>
        <v/>
      </c>
      <c r="N917" s="3">
        <f>IF($A917="","",IFERROR(INDEX('CAT_ESTADOS_ERP'!$B$4:$B$7,MATCH(IFERROR(INDEX('2_IMPORTAR_EJECUCION'!$C$9:$C$1208,MATCH($AQ917,'2_IMPORTAR_EJECUCION'!$J$9:$J$1208,0)),""),'CAT_ESTADOS_ERP'!$A$4:$A$7,0)),"Pendiente"))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J917="","",IFERROR(INDEX('CALENDARIO'!$C$15:$C$214,MATCH(TEXT($J917,"yyyy-mm-dd")&amp;"|"&amp;$V917&amp;"|"&amp;$W917,'CALENDARIO'!$G$15:$G$214,0)),IFERROR(INDEX('CALENDARIO'!$C$15:$C$214,MATCH(TEXT($J917,"yyyy-mm-dd")&amp;"|"&amp;$V917&amp;"|",'CALENDARIO'!$G$15:$G$214,0)),IFERROR(INDEX('CALENDARIO'!$C$15:$C$214,MATCH(TEXT($J917,"yyyy-mm-dd")&amp;"||",'CALENDARIO'!$G$15:$G$214,0)),INDEX(patronHabil,WEEKDAY($J917,2))))))</f>
        <v/>
      </c>
      <c r="T917" s="3">
        <f>IF($I917="","",IFERROR(INDEX('CAT_TIPOS_OT'!$C$4:$C$7,MATCH($I917,'CAT_TIPOS_OT'!$A$4:$A$7,0)),"sin_clasificar"))</f>
        <v/>
      </c>
      <c r="U917" s="3">
        <f>IF($F917="","",IFERROR(INDEX('CAT_CENTROS_COSTO'!$F$4:$F$13,MATCH($F917,'CAT_CENTROS_COSTO'!$A$4:$A$13,0)),"(sin catálogo)"))</f>
        <v/>
      </c>
      <c r="V917" s="3">
        <f>IF($F917="","",IFERROR(INDEX('CAT_CENTROS_COSTO'!$D$4:$D$13,MATCH($F917,'CAT_CENTROS_COSTO'!$A$4:$A$13,0)),"(sin catálogo)"))</f>
        <v/>
      </c>
      <c r="W917" s="3">
        <f>IF($F917="","",IF((IFERROR(INDEX('CAT_CENTROS_COSTO'!$E$4:$E$13,MATCH($F917,'CAT_CENTROS_COSTO'!$A$4:$A$13,0)),""))&lt;&gt;"",IFERROR(INDEX('CAT_CENTROS_COSTO'!$E$4:$E$13,MATCH($F917,'CAT_CENTROS_COSTO'!$A$4:$A$13,0)),""),$V917))</f>
        <v/>
      </c>
      <c r="X917" s="3">
        <f>IF($F917="","",IFERROR(INDEX('CAT_CENTROS_COSTO'!$G$4:$G$13,MATCH($F917,'CAT_CENTROS_COSTO'!$A$4:$A$13,0)),"(sin catálogo)"))</f>
        <v/>
      </c>
      <c r="Y917" s="3">
        <f>IF($G917="","",IFERROR(INDEX('CAT_PUESTOS'!$B$4:$B$8,MATCH($G917,'CAT_PUESTOS'!$A$4:$A$8,0)),"(sin catálogo)"))</f>
        <v/>
      </c>
      <c r="Z917" s="3">
        <f>IF($H917="","",IFERROR(INDEX('CAT_ACTIVIDADES'!$B$4:$B$8,MATCH($H917,'CAT_ACTIVIDADES'!$A$4:$A$8,0)),"(sin catálogo)"))</f>
        <v/>
      </c>
      <c r="AA917" s="12">
        <f>IF($J917="","",TODAY()-$J917)</f>
        <v/>
      </c>
      <c r="AB917" s="12">
        <f>IF($J917="","",IF($J917&lt;=TODAY(),COUNTIFS(cal_fechas,"&gt;="&amp;$J917,cal_fechas,"&lt;"&amp;TODAY(),cal_habil,"sí"),-COUNTIFS(cal_fechas,"&gt;="&amp;TODAY(),cal_fechas,"&lt;"&amp;$J917,cal_habil,"sí")))</f>
        <v/>
      </c>
      <c r="AC917" s="3">
        <f>IF($AB917="","",IF($AB917&lt;0,"FUTURO",IF($AB917&gt;p_dias_backlog_max,"BACKLOG","MES CORRIENTE")))</f>
        <v/>
      </c>
      <c r="AD917" s="3">
        <f>IF($AB917="",FALSE,AND($AB917&gt;p_dias_backlog_min,$AB917&lt;=p_dias_backlog_max))</f>
        <v/>
      </c>
      <c r="AE917" s="6" t="n"/>
      <c r="AF917" s="3">
        <f>IF($AE917="","",IF((IFERROR(INDEX('ASIGNACIONES'!$F$4:$F$339,MATCH($O917&amp;"|"&amp;$R917&amp;"|"&amp;$AE917,'ASIGNACIONES'!$J$4:$J$339,0)),""))=0,"",IFERROR(INDEX('ASIGNACIONES'!$F$4:$F$339,MATCH($O917&amp;"|"&amp;$R917&amp;"|"&amp;$AE917,'ASIGNACIONES'!$J$4:$J$339,0)),"")))</f>
        <v/>
      </c>
      <c r="AG917" s="13">
        <f>IF($AE917="","",SUMIFS('ORDENES'!$M$4:$M$1203,'ORDENES'!$AE$4:$AE$1203,$AE917,'ORDENES'!$O$4:$O$1203,$O917,'ORDENES'!$R$4:$R$1203,$R917))</f>
        <v/>
      </c>
      <c r="AH917" s="13">
        <f>IF($AG917="","",p_factor_productividad*IFERROR(INDEX('ASIGNACIONES'!$I$4:$I$339,MATCH($O917&amp;"|"&amp;$R917&amp;"|"&amp;$AE917,'ASIGNACIONES'!$J$4:$J$339,0)),0)-$AG917)</f>
        <v/>
      </c>
      <c r="AI917" s="10">
        <f>IF($A917="","",IFERROR(INDEX('2_IMPORTAR_EJECUCION'!$F$9:$F$1208,MATCH($AQ917,'2_IMPORTAR_EJECUCION'!$J$9:$J$1208,0)),0))</f>
        <v/>
      </c>
      <c r="AJ917" s="10">
        <f>IF($A917="","",MAX(0,IFERROR(INDEX('2_IMPORTAR_EJECUCION'!$H$9:$H$1208,MATCH($AQ917,'2_IMPORTAR_EJECUCION'!$J$9:$J$1208,0)),0)-$AI917))</f>
        <v/>
      </c>
      <c r="AK917" s="10">
        <f>IF($A917="","",$AI917+$AJ917)</f>
        <v/>
      </c>
      <c r="AL917" s="6" t="n"/>
      <c r="AM917" s="6" t="n"/>
      <c r="AN917" s="6" t="n"/>
      <c r="AO917" s="3">
        <f>IF($AN917="","",HYPERLINK(p_ruta_base_checklists&amp;$AN917,"abrir"))</f>
        <v/>
      </c>
      <c r="AP917" s="6" t="n"/>
      <c r="AQ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IF($A918="","",IFERROR(INDEX('AJUSTES'!$B$4:$B$303,MATCH($AQ918,'AJUSTES'!$A$4:$A$303,0)),IF($K918="","",$K918)))</f>
        <v/>
      </c>
      <c r="N918" s="3">
        <f>IF($A918="","",IFERROR(INDEX('CAT_ESTADOS_ERP'!$B$4:$B$7,MATCH(IFERROR(INDEX('2_IMPORTAR_EJECUCION'!$C$9:$C$1208,MATCH($AQ918,'2_IMPORTAR_EJECUCION'!$J$9:$J$1208,0)),""),'CAT_ESTADOS_ERP'!$A$4:$A$7,0)),"Pendiente"))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J918="","",IFERROR(INDEX('CALENDARIO'!$C$15:$C$214,MATCH(TEXT($J918,"yyyy-mm-dd")&amp;"|"&amp;$V918&amp;"|"&amp;$W918,'CALENDARIO'!$G$15:$G$214,0)),IFERROR(INDEX('CALENDARIO'!$C$15:$C$214,MATCH(TEXT($J918,"yyyy-mm-dd")&amp;"|"&amp;$V918&amp;"|",'CALENDARIO'!$G$15:$G$214,0)),IFERROR(INDEX('CALENDARIO'!$C$15:$C$214,MATCH(TEXT($J918,"yyyy-mm-dd")&amp;"||",'CALENDARIO'!$G$15:$G$214,0)),INDEX(patronHabil,WEEKDAY($J918,2))))))</f>
        <v/>
      </c>
      <c r="T918" s="3">
        <f>IF($I918="","",IFERROR(INDEX('CAT_TIPOS_OT'!$C$4:$C$7,MATCH($I918,'CAT_TIPOS_OT'!$A$4:$A$7,0)),"sin_clasificar"))</f>
        <v/>
      </c>
      <c r="U918" s="3">
        <f>IF($F918="","",IFERROR(INDEX('CAT_CENTROS_COSTO'!$F$4:$F$13,MATCH($F918,'CAT_CENTROS_COSTO'!$A$4:$A$13,0)),"(sin catálogo)"))</f>
        <v/>
      </c>
      <c r="V918" s="3">
        <f>IF($F918="","",IFERROR(INDEX('CAT_CENTROS_COSTO'!$D$4:$D$13,MATCH($F918,'CAT_CENTROS_COSTO'!$A$4:$A$13,0)),"(sin catálogo)"))</f>
        <v/>
      </c>
      <c r="W918" s="3">
        <f>IF($F918="","",IF((IFERROR(INDEX('CAT_CENTROS_COSTO'!$E$4:$E$13,MATCH($F918,'CAT_CENTROS_COSTO'!$A$4:$A$13,0)),""))&lt;&gt;"",IFERROR(INDEX('CAT_CENTROS_COSTO'!$E$4:$E$13,MATCH($F918,'CAT_CENTROS_COSTO'!$A$4:$A$13,0)),""),$V918))</f>
        <v/>
      </c>
      <c r="X918" s="3">
        <f>IF($F918="","",IFERROR(INDEX('CAT_CENTROS_COSTO'!$G$4:$G$13,MATCH($F918,'CAT_CENTROS_COSTO'!$A$4:$A$13,0)),"(sin catálogo)"))</f>
        <v/>
      </c>
      <c r="Y918" s="3">
        <f>IF($G918="","",IFERROR(INDEX('CAT_PUESTOS'!$B$4:$B$8,MATCH($G918,'CAT_PUESTOS'!$A$4:$A$8,0)),"(sin catálogo)"))</f>
        <v/>
      </c>
      <c r="Z918" s="3">
        <f>IF($H918="","",IFERROR(INDEX('CAT_ACTIVIDADES'!$B$4:$B$8,MATCH($H918,'CAT_ACTIVIDADES'!$A$4:$A$8,0)),"(sin catálogo)"))</f>
        <v/>
      </c>
      <c r="AA918" s="12">
        <f>IF($J918="","",TODAY()-$J918)</f>
        <v/>
      </c>
      <c r="AB918" s="12">
        <f>IF($J918="","",IF($J918&lt;=TODAY(),COUNTIFS(cal_fechas,"&gt;="&amp;$J918,cal_fechas,"&lt;"&amp;TODAY(),cal_habil,"sí"),-COUNTIFS(cal_fechas,"&gt;="&amp;TODAY(),cal_fechas,"&lt;"&amp;$J918,cal_habil,"sí")))</f>
        <v/>
      </c>
      <c r="AC918" s="3">
        <f>IF($AB918="","",IF($AB918&lt;0,"FUTURO",IF($AB918&gt;p_dias_backlog_max,"BACKLOG","MES CORRIENTE")))</f>
        <v/>
      </c>
      <c r="AD918" s="3">
        <f>IF($AB918="",FALSE,AND($AB918&gt;p_dias_backlog_min,$AB918&lt;=p_dias_backlog_max))</f>
        <v/>
      </c>
      <c r="AE918" s="6" t="n"/>
      <c r="AF918" s="3">
        <f>IF($AE918="","",IF((IFERROR(INDEX('ASIGNACIONES'!$F$4:$F$339,MATCH($O918&amp;"|"&amp;$R918&amp;"|"&amp;$AE918,'ASIGNACIONES'!$J$4:$J$339,0)),""))=0,"",IFERROR(INDEX('ASIGNACIONES'!$F$4:$F$339,MATCH($O918&amp;"|"&amp;$R918&amp;"|"&amp;$AE918,'ASIGNACIONES'!$J$4:$J$339,0)),"")))</f>
        <v/>
      </c>
      <c r="AG918" s="13">
        <f>IF($AE918="","",SUMIFS('ORDENES'!$M$4:$M$1203,'ORDENES'!$AE$4:$AE$1203,$AE918,'ORDENES'!$O$4:$O$1203,$O918,'ORDENES'!$R$4:$R$1203,$R918))</f>
        <v/>
      </c>
      <c r="AH918" s="13">
        <f>IF($AG918="","",p_factor_productividad*IFERROR(INDEX('ASIGNACIONES'!$I$4:$I$339,MATCH($O918&amp;"|"&amp;$R918&amp;"|"&amp;$AE918,'ASIGNACIONES'!$J$4:$J$339,0)),0)-$AG918)</f>
        <v/>
      </c>
      <c r="AI918" s="10">
        <f>IF($A918="","",IFERROR(INDEX('2_IMPORTAR_EJECUCION'!$F$9:$F$1208,MATCH($AQ918,'2_IMPORTAR_EJECUCION'!$J$9:$J$1208,0)),0))</f>
        <v/>
      </c>
      <c r="AJ918" s="10">
        <f>IF($A918="","",MAX(0,IFERROR(INDEX('2_IMPORTAR_EJECUCION'!$H$9:$H$1208,MATCH($AQ918,'2_IMPORTAR_EJECUCION'!$J$9:$J$1208,0)),0)-$AI918))</f>
        <v/>
      </c>
      <c r="AK918" s="10">
        <f>IF($A918="","",$AI918+$AJ918)</f>
        <v/>
      </c>
      <c r="AL918" s="6" t="n"/>
      <c r="AM918" s="6" t="n"/>
      <c r="AN918" s="6" t="n"/>
      <c r="AO918" s="3">
        <f>IF($AN918="","",HYPERLINK(p_ruta_base_checklists&amp;$AN918,"abrir"))</f>
        <v/>
      </c>
      <c r="AP918" s="6" t="n"/>
      <c r="AQ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IF($A919="","",IFERROR(INDEX('AJUSTES'!$B$4:$B$303,MATCH($AQ919,'AJUSTES'!$A$4:$A$303,0)),IF($K919="","",$K919)))</f>
        <v/>
      </c>
      <c r="N919" s="3">
        <f>IF($A919="","",IFERROR(INDEX('CAT_ESTADOS_ERP'!$B$4:$B$7,MATCH(IFERROR(INDEX('2_IMPORTAR_EJECUCION'!$C$9:$C$1208,MATCH($AQ919,'2_IMPORTAR_EJECUCION'!$J$9:$J$1208,0)),""),'CAT_ESTADOS_ERP'!$A$4:$A$7,0)),"Pendiente"))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J919="","",IFERROR(INDEX('CALENDARIO'!$C$15:$C$214,MATCH(TEXT($J919,"yyyy-mm-dd")&amp;"|"&amp;$V919&amp;"|"&amp;$W919,'CALENDARIO'!$G$15:$G$214,0)),IFERROR(INDEX('CALENDARIO'!$C$15:$C$214,MATCH(TEXT($J919,"yyyy-mm-dd")&amp;"|"&amp;$V919&amp;"|",'CALENDARIO'!$G$15:$G$214,0)),IFERROR(INDEX('CALENDARIO'!$C$15:$C$214,MATCH(TEXT($J919,"yyyy-mm-dd")&amp;"||",'CALENDARIO'!$G$15:$G$214,0)),INDEX(patronHabil,WEEKDAY($J919,2))))))</f>
        <v/>
      </c>
      <c r="T919" s="3">
        <f>IF($I919="","",IFERROR(INDEX('CAT_TIPOS_OT'!$C$4:$C$7,MATCH($I919,'CAT_TIPOS_OT'!$A$4:$A$7,0)),"sin_clasificar"))</f>
        <v/>
      </c>
      <c r="U919" s="3">
        <f>IF($F919="","",IFERROR(INDEX('CAT_CENTROS_COSTO'!$F$4:$F$13,MATCH($F919,'CAT_CENTROS_COSTO'!$A$4:$A$13,0)),"(sin catálogo)"))</f>
        <v/>
      </c>
      <c r="V919" s="3">
        <f>IF($F919="","",IFERROR(INDEX('CAT_CENTROS_COSTO'!$D$4:$D$13,MATCH($F919,'CAT_CENTROS_COSTO'!$A$4:$A$13,0)),"(sin catálogo)"))</f>
        <v/>
      </c>
      <c r="W919" s="3">
        <f>IF($F919="","",IF((IFERROR(INDEX('CAT_CENTROS_COSTO'!$E$4:$E$13,MATCH($F919,'CAT_CENTROS_COSTO'!$A$4:$A$13,0)),""))&lt;&gt;"",IFERROR(INDEX('CAT_CENTROS_COSTO'!$E$4:$E$13,MATCH($F919,'CAT_CENTROS_COSTO'!$A$4:$A$13,0)),""),$V919))</f>
        <v/>
      </c>
      <c r="X919" s="3">
        <f>IF($F919="","",IFERROR(INDEX('CAT_CENTROS_COSTO'!$G$4:$G$13,MATCH($F919,'CAT_CENTROS_COSTO'!$A$4:$A$13,0)),"(sin catálogo)"))</f>
        <v/>
      </c>
      <c r="Y919" s="3">
        <f>IF($G919="","",IFERROR(INDEX('CAT_PUESTOS'!$B$4:$B$8,MATCH($G919,'CAT_PUESTOS'!$A$4:$A$8,0)),"(sin catálogo)"))</f>
        <v/>
      </c>
      <c r="Z919" s="3">
        <f>IF($H919="","",IFERROR(INDEX('CAT_ACTIVIDADES'!$B$4:$B$8,MATCH($H919,'CAT_ACTIVIDADES'!$A$4:$A$8,0)),"(sin catálogo)"))</f>
        <v/>
      </c>
      <c r="AA919" s="12">
        <f>IF($J919="","",TODAY()-$J919)</f>
        <v/>
      </c>
      <c r="AB919" s="12">
        <f>IF($J919="","",IF($J919&lt;=TODAY(),COUNTIFS(cal_fechas,"&gt;="&amp;$J919,cal_fechas,"&lt;"&amp;TODAY(),cal_habil,"sí"),-COUNTIFS(cal_fechas,"&gt;="&amp;TODAY(),cal_fechas,"&lt;"&amp;$J919,cal_habil,"sí")))</f>
        <v/>
      </c>
      <c r="AC919" s="3">
        <f>IF($AB919="","",IF($AB919&lt;0,"FUTURO",IF($AB919&gt;p_dias_backlog_max,"BACKLOG","MES CORRIENTE")))</f>
        <v/>
      </c>
      <c r="AD919" s="3">
        <f>IF($AB919="",FALSE,AND($AB919&gt;p_dias_backlog_min,$AB919&lt;=p_dias_backlog_max))</f>
        <v/>
      </c>
      <c r="AE919" s="6" t="n"/>
      <c r="AF919" s="3">
        <f>IF($AE919="","",IF((IFERROR(INDEX('ASIGNACIONES'!$F$4:$F$339,MATCH($O919&amp;"|"&amp;$R919&amp;"|"&amp;$AE919,'ASIGNACIONES'!$J$4:$J$339,0)),""))=0,"",IFERROR(INDEX('ASIGNACIONES'!$F$4:$F$339,MATCH($O919&amp;"|"&amp;$R919&amp;"|"&amp;$AE919,'ASIGNACIONES'!$J$4:$J$339,0)),"")))</f>
        <v/>
      </c>
      <c r="AG919" s="13">
        <f>IF($AE919="","",SUMIFS('ORDENES'!$M$4:$M$1203,'ORDENES'!$AE$4:$AE$1203,$AE919,'ORDENES'!$O$4:$O$1203,$O919,'ORDENES'!$R$4:$R$1203,$R919))</f>
        <v/>
      </c>
      <c r="AH919" s="13">
        <f>IF($AG919="","",p_factor_productividad*IFERROR(INDEX('ASIGNACIONES'!$I$4:$I$339,MATCH($O919&amp;"|"&amp;$R919&amp;"|"&amp;$AE919,'ASIGNACIONES'!$J$4:$J$339,0)),0)-$AG919)</f>
        <v/>
      </c>
      <c r="AI919" s="10">
        <f>IF($A919="","",IFERROR(INDEX('2_IMPORTAR_EJECUCION'!$F$9:$F$1208,MATCH($AQ919,'2_IMPORTAR_EJECUCION'!$J$9:$J$1208,0)),0))</f>
        <v/>
      </c>
      <c r="AJ919" s="10">
        <f>IF($A919="","",MAX(0,IFERROR(INDEX('2_IMPORTAR_EJECUCION'!$H$9:$H$1208,MATCH($AQ919,'2_IMPORTAR_EJECUCION'!$J$9:$J$1208,0)),0)-$AI919))</f>
        <v/>
      </c>
      <c r="AK919" s="10">
        <f>IF($A919="","",$AI919+$AJ919)</f>
        <v/>
      </c>
      <c r="AL919" s="6" t="n"/>
      <c r="AM919" s="6" t="n"/>
      <c r="AN919" s="6" t="n"/>
      <c r="AO919" s="3">
        <f>IF($AN919="","",HYPERLINK(p_ruta_base_checklists&amp;$AN919,"abrir"))</f>
        <v/>
      </c>
      <c r="AP919" s="6" t="n"/>
      <c r="AQ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IF($A920="","",IFERROR(INDEX('AJUSTES'!$B$4:$B$303,MATCH($AQ920,'AJUSTES'!$A$4:$A$303,0)),IF($K920="","",$K920)))</f>
        <v/>
      </c>
      <c r="N920" s="3">
        <f>IF($A920="","",IFERROR(INDEX('CAT_ESTADOS_ERP'!$B$4:$B$7,MATCH(IFERROR(INDEX('2_IMPORTAR_EJECUCION'!$C$9:$C$1208,MATCH($AQ920,'2_IMPORTAR_EJECUCION'!$J$9:$J$1208,0)),""),'CAT_ESTADOS_ERP'!$A$4:$A$7,0)),"Pendiente"))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J920="","",IFERROR(INDEX('CALENDARIO'!$C$15:$C$214,MATCH(TEXT($J920,"yyyy-mm-dd")&amp;"|"&amp;$V920&amp;"|"&amp;$W920,'CALENDARIO'!$G$15:$G$214,0)),IFERROR(INDEX('CALENDARIO'!$C$15:$C$214,MATCH(TEXT($J920,"yyyy-mm-dd")&amp;"|"&amp;$V920&amp;"|",'CALENDARIO'!$G$15:$G$214,0)),IFERROR(INDEX('CALENDARIO'!$C$15:$C$214,MATCH(TEXT($J920,"yyyy-mm-dd")&amp;"||",'CALENDARIO'!$G$15:$G$214,0)),INDEX(patronHabil,WEEKDAY($J920,2))))))</f>
        <v/>
      </c>
      <c r="T920" s="3">
        <f>IF($I920="","",IFERROR(INDEX('CAT_TIPOS_OT'!$C$4:$C$7,MATCH($I920,'CAT_TIPOS_OT'!$A$4:$A$7,0)),"sin_clasificar"))</f>
        <v/>
      </c>
      <c r="U920" s="3">
        <f>IF($F920="","",IFERROR(INDEX('CAT_CENTROS_COSTO'!$F$4:$F$13,MATCH($F920,'CAT_CENTROS_COSTO'!$A$4:$A$13,0)),"(sin catálogo)"))</f>
        <v/>
      </c>
      <c r="V920" s="3">
        <f>IF($F920="","",IFERROR(INDEX('CAT_CENTROS_COSTO'!$D$4:$D$13,MATCH($F920,'CAT_CENTROS_COSTO'!$A$4:$A$13,0)),"(sin catálogo)"))</f>
        <v/>
      </c>
      <c r="W920" s="3">
        <f>IF($F920="","",IF((IFERROR(INDEX('CAT_CENTROS_COSTO'!$E$4:$E$13,MATCH($F920,'CAT_CENTROS_COSTO'!$A$4:$A$13,0)),""))&lt;&gt;"",IFERROR(INDEX('CAT_CENTROS_COSTO'!$E$4:$E$13,MATCH($F920,'CAT_CENTROS_COSTO'!$A$4:$A$13,0)),""),$V920))</f>
        <v/>
      </c>
      <c r="X920" s="3">
        <f>IF($F920="","",IFERROR(INDEX('CAT_CENTROS_COSTO'!$G$4:$G$13,MATCH($F920,'CAT_CENTROS_COSTO'!$A$4:$A$13,0)),"(sin catálogo)"))</f>
        <v/>
      </c>
      <c r="Y920" s="3">
        <f>IF($G920="","",IFERROR(INDEX('CAT_PUESTOS'!$B$4:$B$8,MATCH($G920,'CAT_PUESTOS'!$A$4:$A$8,0)),"(sin catálogo)"))</f>
        <v/>
      </c>
      <c r="Z920" s="3">
        <f>IF($H920="","",IFERROR(INDEX('CAT_ACTIVIDADES'!$B$4:$B$8,MATCH($H920,'CAT_ACTIVIDADES'!$A$4:$A$8,0)),"(sin catálogo)"))</f>
        <v/>
      </c>
      <c r="AA920" s="12">
        <f>IF($J920="","",TODAY()-$J920)</f>
        <v/>
      </c>
      <c r="AB920" s="12">
        <f>IF($J920="","",IF($J920&lt;=TODAY(),COUNTIFS(cal_fechas,"&gt;="&amp;$J920,cal_fechas,"&lt;"&amp;TODAY(),cal_habil,"sí"),-COUNTIFS(cal_fechas,"&gt;="&amp;TODAY(),cal_fechas,"&lt;"&amp;$J920,cal_habil,"sí")))</f>
        <v/>
      </c>
      <c r="AC920" s="3">
        <f>IF($AB920="","",IF($AB920&lt;0,"FUTURO",IF($AB920&gt;p_dias_backlog_max,"BACKLOG","MES CORRIENTE")))</f>
        <v/>
      </c>
      <c r="AD920" s="3">
        <f>IF($AB920="",FALSE,AND($AB920&gt;p_dias_backlog_min,$AB920&lt;=p_dias_backlog_max))</f>
        <v/>
      </c>
      <c r="AE920" s="6" t="n"/>
      <c r="AF920" s="3">
        <f>IF($AE920="","",IF((IFERROR(INDEX('ASIGNACIONES'!$F$4:$F$339,MATCH($O920&amp;"|"&amp;$R920&amp;"|"&amp;$AE920,'ASIGNACIONES'!$J$4:$J$339,0)),""))=0,"",IFERROR(INDEX('ASIGNACIONES'!$F$4:$F$339,MATCH($O920&amp;"|"&amp;$R920&amp;"|"&amp;$AE920,'ASIGNACIONES'!$J$4:$J$339,0)),"")))</f>
        <v/>
      </c>
      <c r="AG920" s="13">
        <f>IF($AE920="","",SUMIFS('ORDENES'!$M$4:$M$1203,'ORDENES'!$AE$4:$AE$1203,$AE920,'ORDENES'!$O$4:$O$1203,$O920,'ORDENES'!$R$4:$R$1203,$R920))</f>
        <v/>
      </c>
      <c r="AH920" s="13">
        <f>IF($AG920="","",p_factor_productividad*IFERROR(INDEX('ASIGNACIONES'!$I$4:$I$339,MATCH($O920&amp;"|"&amp;$R920&amp;"|"&amp;$AE920,'ASIGNACIONES'!$J$4:$J$339,0)),0)-$AG920)</f>
        <v/>
      </c>
      <c r="AI920" s="10">
        <f>IF($A920="","",IFERROR(INDEX('2_IMPORTAR_EJECUCION'!$F$9:$F$1208,MATCH($AQ920,'2_IMPORTAR_EJECUCION'!$J$9:$J$1208,0)),0))</f>
        <v/>
      </c>
      <c r="AJ920" s="10">
        <f>IF($A920="","",MAX(0,IFERROR(INDEX('2_IMPORTAR_EJECUCION'!$H$9:$H$1208,MATCH($AQ920,'2_IMPORTAR_EJECUCION'!$J$9:$J$1208,0)),0)-$AI920))</f>
        <v/>
      </c>
      <c r="AK920" s="10">
        <f>IF($A920="","",$AI920+$AJ920)</f>
        <v/>
      </c>
      <c r="AL920" s="6" t="n"/>
      <c r="AM920" s="6" t="n"/>
      <c r="AN920" s="6" t="n"/>
      <c r="AO920" s="3">
        <f>IF($AN920="","",HYPERLINK(p_ruta_base_checklists&amp;$AN920,"abrir"))</f>
        <v/>
      </c>
      <c r="AP920" s="6" t="n"/>
      <c r="AQ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IF($A921="","",IFERROR(INDEX('AJUSTES'!$B$4:$B$303,MATCH($AQ921,'AJUSTES'!$A$4:$A$303,0)),IF($K921="","",$K921)))</f>
        <v/>
      </c>
      <c r="N921" s="3">
        <f>IF($A921="","",IFERROR(INDEX('CAT_ESTADOS_ERP'!$B$4:$B$7,MATCH(IFERROR(INDEX('2_IMPORTAR_EJECUCION'!$C$9:$C$1208,MATCH($AQ921,'2_IMPORTAR_EJECUCION'!$J$9:$J$1208,0)),""),'CAT_ESTADOS_ERP'!$A$4:$A$7,0)),"Pendiente"))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J921="","",IFERROR(INDEX('CALENDARIO'!$C$15:$C$214,MATCH(TEXT($J921,"yyyy-mm-dd")&amp;"|"&amp;$V921&amp;"|"&amp;$W921,'CALENDARIO'!$G$15:$G$214,0)),IFERROR(INDEX('CALENDARIO'!$C$15:$C$214,MATCH(TEXT($J921,"yyyy-mm-dd")&amp;"|"&amp;$V921&amp;"|",'CALENDARIO'!$G$15:$G$214,0)),IFERROR(INDEX('CALENDARIO'!$C$15:$C$214,MATCH(TEXT($J921,"yyyy-mm-dd")&amp;"||",'CALENDARIO'!$G$15:$G$214,0)),INDEX(patronHabil,WEEKDAY($J921,2))))))</f>
        <v/>
      </c>
      <c r="T921" s="3">
        <f>IF($I921="","",IFERROR(INDEX('CAT_TIPOS_OT'!$C$4:$C$7,MATCH($I921,'CAT_TIPOS_OT'!$A$4:$A$7,0)),"sin_clasificar"))</f>
        <v/>
      </c>
      <c r="U921" s="3">
        <f>IF($F921="","",IFERROR(INDEX('CAT_CENTROS_COSTO'!$F$4:$F$13,MATCH($F921,'CAT_CENTROS_COSTO'!$A$4:$A$13,0)),"(sin catálogo)"))</f>
        <v/>
      </c>
      <c r="V921" s="3">
        <f>IF($F921="","",IFERROR(INDEX('CAT_CENTROS_COSTO'!$D$4:$D$13,MATCH($F921,'CAT_CENTROS_COSTO'!$A$4:$A$13,0)),"(sin catálogo)"))</f>
        <v/>
      </c>
      <c r="W921" s="3">
        <f>IF($F921="","",IF((IFERROR(INDEX('CAT_CENTROS_COSTO'!$E$4:$E$13,MATCH($F921,'CAT_CENTROS_COSTO'!$A$4:$A$13,0)),""))&lt;&gt;"",IFERROR(INDEX('CAT_CENTROS_COSTO'!$E$4:$E$13,MATCH($F921,'CAT_CENTROS_COSTO'!$A$4:$A$13,0)),""),$V921))</f>
        <v/>
      </c>
      <c r="X921" s="3">
        <f>IF($F921="","",IFERROR(INDEX('CAT_CENTROS_COSTO'!$G$4:$G$13,MATCH($F921,'CAT_CENTROS_COSTO'!$A$4:$A$13,0)),"(sin catálogo)"))</f>
        <v/>
      </c>
      <c r="Y921" s="3">
        <f>IF($G921="","",IFERROR(INDEX('CAT_PUESTOS'!$B$4:$B$8,MATCH($G921,'CAT_PUESTOS'!$A$4:$A$8,0)),"(sin catálogo)"))</f>
        <v/>
      </c>
      <c r="Z921" s="3">
        <f>IF($H921="","",IFERROR(INDEX('CAT_ACTIVIDADES'!$B$4:$B$8,MATCH($H921,'CAT_ACTIVIDADES'!$A$4:$A$8,0)),"(sin catálogo)"))</f>
        <v/>
      </c>
      <c r="AA921" s="12">
        <f>IF($J921="","",TODAY()-$J921)</f>
        <v/>
      </c>
      <c r="AB921" s="12">
        <f>IF($J921="","",IF($J921&lt;=TODAY(),COUNTIFS(cal_fechas,"&gt;="&amp;$J921,cal_fechas,"&lt;"&amp;TODAY(),cal_habil,"sí"),-COUNTIFS(cal_fechas,"&gt;="&amp;TODAY(),cal_fechas,"&lt;"&amp;$J921,cal_habil,"sí")))</f>
        <v/>
      </c>
      <c r="AC921" s="3">
        <f>IF($AB921="","",IF($AB921&lt;0,"FUTURO",IF($AB921&gt;p_dias_backlog_max,"BACKLOG","MES CORRIENTE")))</f>
        <v/>
      </c>
      <c r="AD921" s="3">
        <f>IF($AB921="",FALSE,AND($AB921&gt;p_dias_backlog_min,$AB921&lt;=p_dias_backlog_max))</f>
        <v/>
      </c>
      <c r="AE921" s="6" t="n"/>
      <c r="AF921" s="3">
        <f>IF($AE921="","",IF((IFERROR(INDEX('ASIGNACIONES'!$F$4:$F$339,MATCH($O921&amp;"|"&amp;$R921&amp;"|"&amp;$AE921,'ASIGNACIONES'!$J$4:$J$339,0)),""))=0,"",IFERROR(INDEX('ASIGNACIONES'!$F$4:$F$339,MATCH($O921&amp;"|"&amp;$R921&amp;"|"&amp;$AE921,'ASIGNACIONES'!$J$4:$J$339,0)),"")))</f>
        <v/>
      </c>
      <c r="AG921" s="13">
        <f>IF($AE921="","",SUMIFS('ORDENES'!$M$4:$M$1203,'ORDENES'!$AE$4:$AE$1203,$AE921,'ORDENES'!$O$4:$O$1203,$O921,'ORDENES'!$R$4:$R$1203,$R921))</f>
        <v/>
      </c>
      <c r="AH921" s="13">
        <f>IF($AG921="","",p_factor_productividad*IFERROR(INDEX('ASIGNACIONES'!$I$4:$I$339,MATCH($O921&amp;"|"&amp;$R921&amp;"|"&amp;$AE921,'ASIGNACIONES'!$J$4:$J$339,0)),0)-$AG921)</f>
        <v/>
      </c>
      <c r="AI921" s="10">
        <f>IF($A921="","",IFERROR(INDEX('2_IMPORTAR_EJECUCION'!$F$9:$F$1208,MATCH($AQ921,'2_IMPORTAR_EJECUCION'!$J$9:$J$1208,0)),0))</f>
        <v/>
      </c>
      <c r="AJ921" s="10">
        <f>IF($A921="","",MAX(0,IFERROR(INDEX('2_IMPORTAR_EJECUCION'!$H$9:$H$1208,MATCH($AQ921,'2_IMPORTAR_EJECUCION'!$J$9:$J$1208,0)),0)-$AI921))</f>
        <v/>
      </c>
      <c r="AK921" s="10">
        <f>IF($A921="","",$AI921+$AJ921)</f>
        <v/>
      </c>
      <c r="AL921" s="6" t="n"/>
      <c r="AM921" s="6" t="n"/>
      <c r="AN921" s="6" t="n"/>
      <c r="AO921" s="3">
        <f>IF($AN921="","",HYPERLINK(p_ruta_base_checklists&amp;$AN921,"abrir"))</f>
        <v/>
      </c>
      <c r="AP921" s="6" t="n"/>
      <c r="AQ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IF($A922="","",IFERROR(INDEX('AJUSTES'!$B$4:$B$303,MATCH($AQ922,'AJUSTES'!$A$4:$A$303,0)),IF($K922="","",$K922)))</f>
        <v/>
      </c>
      <c r="N922" s="3">
        <f>IF($A922="","",IFERROR(INDEX('CAT_ESTADOS_ERP'!$B$4:$B$7,MATCH(IFERROR(INDEX('2_IMPORTAR_EJECUCION'!$C$9:$C$1208,MATCH($AQ922,'2_IMPORTAR_EJECUCION'!$J$9:$J$1208,0)),""),'CAT_ESTADOS_ERP'!$A$4:$A$7,0)),"Pendiente"))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J922="","",IFERROR(INDEX('CALENDARIO'!$C$15:$C$214,MATCH(TEXT($J922,"yyyy-mm-dd")&amp;"|"&amp;$V922&amp;"|"&amp;$W922,'CALENDARIO'!$G$15:$G$214,0)),IFERROR(INDEX('CALENDARIO'!$C$15:$C$214,MATCH(TEXT($J922,"yyyy-mm-dd")&amp;"|"&amp;$V922&amp;"|",'CALENDARIO'!$G$15:$G$214,0)),IFERROR(INDEX('CALENDARIO'!$C$15:$C$214,MATCH(TEXT($J922,"yyyy-mm-dd")&amp;"||",'CALENDARIO'!$G$15:$G$214,0)),INDEX(patronHabil,WEEKDAY($J922,2))))))</f>
        <v/>
      </c>
      <c r="T922" s="3">
        <f>IF($I922="","",IFERROR(INDEX('CAT_TIPOS_OT'!$C$4:$C$7,MATCH($I922,'CAT_TIPOS_OT'!$A$4:$A$7,0)),"sin_clasificar"))</f>
        <v/>
      </c>
      <c r="U922" s="3">
        <f>IF($F922="","",IFERROR(INDEX('CAT_CENTROS_COSTO'!$F$4:$F$13,MATCH($F922,'CAT_CENTROS_COSTO'!$A$4:$A$13,0)),"(sin catálogo)"))</f>
        <v/>
      </c>
      <c r="V922" s="3">
        <f>IF($F922="","",IFERROR(INDEX('CAT_CENTROS_COSTO'!$D$4:$D$13,MATCH($F922,'CAT_CENTROS_COSTO'!$A$4:$A$13,0)),"(sin catálogo)"))</f>
        <v/>
      </c>
      <c r="W922" s="3">
        <f>IF($F922="","",IF((IFERROR(INDEX('CAT_CENTROS_COSTO'!$E$4:$E$13,MATCH($F922,'CAT_CENTROS_COSTO'!$A$4:$A$13,0)),""))&lt;&gt;"",IFERROR(INDEX('CAT_CENTROS_COSTO'!$E$4:$E$13,MATCH($F922,'CAT_CENTROS_COSTO'!$A$4:$A$13,0)),""),$V922))</f>
        <v/>
      </c>
      <c r="X922" s="3">
        <f>IF($F922="","",IFERROR(INDEX('CAT_CENTROS_COSTO'!$G$4:$G$13,MATCH($F922,'CAT_CENTROS_COSTO'!$A$4:$A$13,0)),"(sin catálogo)"))</f>
        <v/>
      </c>
      <c r="Y922" s="3">
        <f>IF($G922="","",IFERROR(INDEX('CAT_PUESTOS'!$B$4:$B$8,MATCH($G922,'CAT_PUESTOS'!$A$4:$A$8,0)),"(sin catálogo)"))</f>
        <v/>
      </c>
      <c r="Z922" s="3">
        <f>IF($H922="","",IFERROR(INDEX('CAT_ACTIVIDADES'!$B$4:$B$8,MATCH($H922,'CAT_ACTIVIDADES'!$A$4:$A$8,0)),"(sin catálogo)"))</f>
        <v/>
      </c>
      <c r="AA922" s="12">
        <f>IF($J922="","",TODAY()-$J922)</f>
        <v/>
      </c>
      <c r="AB922" s="12">
        <f>IF($J922="","",IF($J922&lt;=TODAY(),COUNTIFS(cal_fechas,"&gt;="&amp;$J922,cal_fechas,"&lt;"&amp;TODAY(),cal_habil,"sí"),-COUNTIFS(cal_fechas,"&gt;="&amp;TODAY(),cal_fechas,"&lt;"&amp;$J922,cal_habil,"sí")))</f>
        <v/>
      </c>
      <c r="AC922" s="3">
        <f>IF($AB922="","",IF($AB922&lt;0,"FUTURO",IF($AB922&gt;p_dias_backlog_max,"BACKLOG","MES CORRIENTE")))</f>
        <v/>
      </c>
      <c r="AD922" s="3">
        <f>IF($AB922="",FALSE,AND($AB922&gt;p_dias_backlog_min,$AB922&lt;=p_dias_backlog_max))</f>
        <v/>
      </c>
      <c r="AE922" s="6" t="n"/>
      <c r="AF922" s="3">
        <f>IF($AE922="","",IF((IFERROR(INDEX('ASIGNACIONES'!$F$4:$F$339,MATCH($O922&amp;"|"&amp;$R922&amp;"|"&amp;$AE922,'ASIGNACIONES'!$J$4:$J$339,0)),""))=0,"",IFERROR(INDEX('ASIGNACIONES'!$F$4:$F$339,MATCH($O922&amp;"|"&amp;$R922&amp;"|"&amp;$AE922,'ASIGNACIONES'!$J$4:$J$339,0)),"")))</f>
        <v/>
      </c>
      <c r="AG922" s="13">
        <f>IF($AE922="","",SUMIFS('ORDENES'!$M$4:$M$1203,'ORDENES'!$AE$4:$AE$1203,$AE922,'ORDENES'!$O$4:$O$1203,$O922,'ORDENES'!$R$4:$R$1203,$R922))</f>
        <v/>
      </c>
      <c r="AH922" s="13">
        <f>IF($AG922="","",p_factor_productividad*IFERROR(INDEX('ASIGNACIONES'!$I$4:$I$339,MATCH($O922&amp;"|"&amp;$R922&amp;"|"&amp;$AE922,'ASIGNACIONES'!$J$4:$J$339,0)),0)-$AG922)</f>
        <v/>
      </c>
      <c r="AI922" s="10">
        <f>IF($A922="","",IFERROR(INDEX('2_IMPORTAR_EJECUCION'!$F$9:$F$1208,MATCH($AQ922,'2_IMPORTAR_EJECUCION'!$J$9:$J$1208,0)),0))</f>
        <v/>
      </c>
      <c r="AJ922" s="10">
        <f>IF($A922="","",MAX(0,IFERROR(INDEX('2_IMPORTAR_EJECUCION'!$H$9:$H$1208,MATCH($AQ922,'2_IMPORTAR_EJECUCION'!$J$9:$J$1208,0)),0)-$AI922))</f>
        <v/>
      </c>
      <c r="AK922" s="10">
        <f>IF($A922="","",$AI922+$AJ922)</f>
        <v/>
      </c>
      <c r="AL922" s="6" t="n"/>
      <c r="AM922" s="6" t="n"/>
      <c r="AN922" s="6" t="n"/>
      <c r="AO922" s="3">
        <f>IF($AN922="","",HYPERLINK(p_ruta_base_checklists&amp;$AN922,"abrir"))</f>
        <v/>
      </c>
      <c r="AP922" s="6" t="n"/>
      <c r="AQ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IF($A923="","",IFERROR(INDEX('AJUSTES'!$B$4:$B$303,MATCH($AQ923,'AJUSTES'!$A$4:$A$303,0)),IF($K923="","",$K923)))</f>
        <v/>
      </c>
      <c r="N923" s="3">
        <f>IF($A923="","",IFERROR(INDEX('CAT_ESTADOS_ERP'!$B$4:$B$7,MATCH(IFERROR(INDEX('2_IMPORTAR_EJECUCION'!$C$9:$C$1208,MATCH($AQ923,'2_IMPORTAR_EJECUCION'!$J$9:$J$1208,0)),""),'CAT_ESTADOS_ERP'!$A$4:$A$7,0)),"Pendiente"))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J923="","",IFERROR(INDEX('CALENDARIO'!$C$15:$C$214,MATCH(TEXT($J923,"yyyy-mm-dd")&amp;"|"&amp;$V923&amp;"|"&amp;$W923,'CALENDARIO'!$G$15:$G$214,0)),IFERROR(INDEX('CALENDARIO'!$C$15:$C$214,MATCH(TEXT($J923,"yyyy-mm-dd")&amp;"|"&amp;$V923&amp;"|",'CALENDARIO'!$G$15:$G$214,0)),IFERROR(INDEX('CALENDARIO'!$C$15:$C$214,MATCH(TEXT($J923,"yyyy-mm-dd")&amp;"||",'CALENDARIO'!$G$15:$G$214,0)),INDEX(patronHabil,WEEKDAY($J923,2))))))</f>
        <v/>
      </c>
      <c r="T923" s="3">
        <f>IF($I923="","",IFERROR(INDEX('CAT_TIPOS_OT'!$C$4:$C$7,MATCH($I923,'CAT_TIPOS_OT'!$A$4:$A$7,0)),"sin_clasificar"))</f>
        <v/>
      </c>
      <c r="U923" s="3">
        <f>IF($F923="","",IFERROR(INDEX('CAT_CENTROS_COSTO'!$F$4:$F$13,MATCH($F923,'CAT_CENTROS_COSTO'!$A$4:$A$13,0)),"(sin catálogo)"))</f>
        <v/>
      </c>
      <c r="V923" s="3">
        <f>IF($F923="","",IFERROR(INDEX('CAT_CENTROS_COSTO'!$D$4:$D$13,MATCH($F923,'CAT_CENTROS_COSTO'!$A$4:$A$13,0)),"(sin catálogo)"))</f>
        <v/>
      </c>
      <c r="W923" s="3">
        <f>IF($F923="","",IF((IFERROR(INDEX('CAT_CENTROS_COSTO'!$E$4:$E$13,MATCH($F923,'CAT_CENTROS_COSTO'!$A$4:$A$13,0)),""))&lt;&gt;"",IFERROR(INDEX('CAT_CENTROS_COSTO'!$E$4:$E$13,MATCH($F923,'CAT_CENTROS_COSTO'!$A$4:$A$13,0)),""),$V923))</f>
        <v/>
      </c>
      <c r="X923" s="3">
        <f>IF($F923="","",IFERROR(INDEX('CAT_CENTROS_COSTO'!$G$4:$G$13,MATCH($F923,'CAT_CENTROS_COSTO'!$A$4:$A$13,0)),"(sin catálogo)"))</f>
        <v/>
      </c>
      <c r="Y923" s="3">
        <f>IF($G923="","",IFERROR(INDEX('CAT_PUESTOS'!$B$4:$B$8,MATCH($G923,'CAT_PUESTOS'!$A$4:$A$8,0)),"(sin catálogo)"))</f>
        <v/>
      </c>
      <c r="Z923" s="3">
        <f>IF($H923="","",IFERROR(INDEX('CAT_ACTIVIDADES'!$B$4:$B$8,MATCH($H923,'CAT_ACTIVIDADES'!$A$4:$A$8,0)),"(sin catálogo)"))</f>
        <v/>
      </c>
      <c r="AA923" s="12">
        <f>IF($J923="","",TODAY()-$J923)</f>
        <v/>
      </c>
      <c r="AB923" s="12">
        <f>IF($J923="","",IF($J923&lt;=TODAY(),COUNTIFS(cal_fechas,"&gt;="&amp;$J923,cal_fechas,"&lt;"&amp;TODAY(),cal_habil,"sí"),-COUNTIFS(cal_fechas,"&gt;="&amp;TODAY(),cal_fechas,"&lt;"&amp;$J923,cal_habil,"sí")))</f>
        <v/>
      </c>
      <c r="AC923" s="3">
        <f>IF($AB923="","",IF($AB923&lt;0,"FUTURO",IF($AB923&gt;p_dias_backlog_max,"BACKLOG","MES CORRIENTE")))</f>
        <v/>
      </c>
      <c r="AD923" s="3">
        <f>IF($AB923="",FALSE,AND($AB923&gt;p_dias_backlog_min,$AB923&lt;=p_dias_backlog_max))</f>
        <v/>
      </c>
      <c r="AE923" s="6" t="n"/>
      <c r="AF923" s="3">
        <f>IF($AE923="","",IF((IFERROR(INDEX('ASIGNACIONES'!$F$4:$F$339,MATCH($O923&amp;"|"&amp;$R923&amp;"|"&amp;$AE923,'ASIGNACIONES'!$J$4:$J$339,0)),""))=0,"",IFERROR(INDEX('ASIGNACIONES'!$F$4:$F$339,MATCH($O923&amp;"|"&amp;$R923&amp;"|"&amp;$AE923,'ASIGNACIONES'!$J$4:$J$339,0)),"")))</f>
        <v/>
      </c>
      <c r="AG923" s="13">
        <f>IF($AE923="","",SUMIFS('ORDENES'!$M$4:$M$1203,'ORDENES'!$AE$4:$AE$1203,$AE923,'ORDENES'!$O$4:$O$1203,$O923,'ORDENES'!$R$4:$R$1203,$R923))</f>
        <v/>
      </c>
      <c r="AH923" s="13">
        <f>IF($AG923="","",p_factor_productividad*IFERROR(INDEX('ASIGNACIONES'!$I$4:$I$339,MATCH($O923&amp;"|"&amp;$R923&amp;"|"&amp;$AE923,'ASIGNACIONES'!$J$4:$J$339,0)),0)-$AG923)</f>
        <v/>
      </c>
      <c r="AI923" s="10">
        <f>IF($A923="","",IFERROR(INDEX('2_IMPORTAR_EJECUCION'!$F$9:$F$1208,MATCH($AQ923,'2_IMPORTAR_EJECUCION'!$J$9:$J$1208,0)),0))</f>
        <v/>
      </c>
      <c r="AJ923" s="10">
        <f>IF($A923="","",MAX(0,IFERROR(INDEX('2_IMPORTAR_EJECUCION'!$H$9:$H$1208,MATCH($AQ923,'2_IMPORTAR_EJECUCION'!$J$9:$J$1208,0)),0)-$AI923))</f>
        <v/>
      </c>
      <c r="AK923" s="10">
        <f>IF($A923="","",$AI923+$AJ923)</f>
        <v/>
      </c>
      <c r="AL923" s="6" t="n"/>
      <c r="AM923" s="6" t="n"/>
      <c r="AN923" s="6" t="n"/>
      <c r="AO923" s="3">
        <f>IF($AN923="","",HYPERLINK(p_ruta_base_checklists&amp;$AN923,"abrir"))</f>
        <v/>
      </c>
      <c r="AP923" s="6" t="n"/>
      <c r="AQ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IF($A924="","",IFERROR(INDEX('AJUSTES'!$B$4:$B$303,MATCH($AQ924,'AJUSTES'!$A$4:$A$303,0)),IF($K924="","",$K924)))</f>
        <v/>
      </c>
      <c r="N924" s="3">
        <f>IF($A924="","",IFERROR(INDEX('CAT_ESTADOS_ERP'!$B$4:$B$7,MATCH(IFERROR(INDEX('2_IMPORTAR_EJECUCION'!$C$9:$C$1208,MATCH($AQ924,'2_IMPORTAR_EJECUCION'!$J$9:$J$1208,0)),""),'CAT_ESTADOS_ERP'!$A$4:$A$7,0)),"Pendiente"))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J924="","",IFERROR(INDEX('CALENDARIO'!$C$15:$C$214,MATCH(TEXT($J924,"yyyy-mm-dd")&amp;"|"&amp;$V924&amp;"|"&amp;$W924,'CALENDARIO'!$G$15:$G$214,0)),IFERROR(INDEX('CALENDARIO'!$C$15:$C$214,MATCH(TEXT($J924,"yyyy-mm-dd")&amp;"|"&amp;$V924&amp;"|",'CALENDARIO'!$G$15:$G$214,0)),IFERROR(INDEX('CALENDARIO'!$C$15:$C$214,MATCH(TEXT($J924,"yyyy-mm-dd")&amp;"||",'CALENDARIO'!$G$15:$G$214,0)),INDEX(patronHabil,WEEKDAY($J924,2))))))</f>
        <v/>
      </c>
      <c r="T924" s="3">
        <f>IF($I924="","",IFERROR(INDEX('CAT_TIPOS_OT'!$C$4:$C$7,MATCH($I924,'CAT_TIPOS_OT'!$A$4:$A$7,0)),"sin_clasificar"))</f>
        <v/>
      </c>
      <c r="U924" s="3">
        <f>IF($F924="","",IFERROR(INDEX('CAT_CENTROS_COSTO'!$F$4:$F$13,MATCH($F924,'CAT_CENTROS_COSTO'!$A$4:$A$13,0)),"(sin catálogo)"))</f>
        <v/>
      </c>
      <c r="V924" s="3">
        <f>IF($F924="","",IFERROR(INDEX('CAT_CENTROS_COSTO'!$D$4:$D$13,MATCH($F924,'CAT_CENTROS_COSTO'!$A$4:$A$13,0)),"(sin catálogo)"))</f>
        <v/>
      </c>
      <c r="W924" s="3">
        <f>IF($F924="","",IF((IFERROR(INDEX('CAT_CENTROS_COSTO'!$E$4:$E$13,MATCH($F924,'CAT_CENTROS_COSTO'!$A$4:$A$13,0)),""))&lt;&gt;"",IFERROR(INDEX('CAT_CENTROS_COSTO'!$E$4:$E$13,MATCH($F924,'CAT_CENTROS_COSTO'!$A$4:$A$13,0)),""),$V924))</f>
        <v/>
      </c>
      <c r="X924" s="3">
        <f>IF($F924="","",IFERROR(INDEX('CAT_CENTROS_COSTO'!$G$4:$G$13,MATCH($F924,'CAT_CENTROS_COSTO'!$A$4:$A$13,0)),"(sin catálogo)"))</f>
        <v/>
      </c>
      <c r="Y924" s="3">
        <f>IF($G924="","",IFERROR(INDEX('CAT_PUESTOS'!$B$4:$B$8,MATCH($G924,'CAT_PUESTOS'!$A$4:$A$8,0)),"(sin catálogo)"))</f>
        <v/>
      </c>
      <c r="Z924" s="3">
        <f>IF($H924="","",IFERROR(INDEX('CAT_ACTIVIDADES'!$B$4:$B$8,MATCH($H924,'CAT_ACTIVIDADES'!$A$4:$A$8,0)),"(sin catálogo)"))</f>
        <v/>
      </c>
      <c r="AA924" s="12">
        <f>IF($J924="","",TODAY()-$J924)</f>
        <v/>
      </c>
      <c r="AB924" s="12">
        <f>IF($J924="","",IF($J924&lt;=TODAY(),COUNTIFS(cal_fechas,"&gt;="&amp;$J924,cal_fechas,"&lt;"&amp;TODAY(),cal_habil,"sí"),-COUNTIFS(cal_fechas,"&gt;="&amp;TODAY(),cal_fechas,"&lt;"&amp;$J924,cal_habil,"sí")))</f>
        <v/>
      </c>
      <c r="AC924" s="3">
        <f>IF($AB924="","",IF($AB924&lt;0,"FUTURO",IF($AB924&gt;p_dias_backlog_max,"BACKLOG","MES CORRIENTE")))</f>
        <v/>
      </c>
      <c r="AD924" s="3">
        <f>IF($AB924="",FALSE,AND($AB924&gt;p_dias_backlog_min,$AB924&lt;=p_dias_backlog_max))</f>
        <v/>
      </c>
      <c r="AE924" s="6" t="n"/>
      <c r="AF924" s="3">
        <f>IF($AE924="","",IF((IFERROR(INDEX('ASIGNACIONES'!$F$4:$F$339,MATCH($O924&amp;"|"&amp;$R924&amp;"|"&amp;$AE924,'ASIGNACIONES'!$J$4:$J$339,0)),""))=0,"",IFERROR(INDEX('ASIGNACIONES'!$F$4:$F$339,MATCH($O924&amp;"|"&amp;$R924&amp;"|"&amp;$AE924,'ASIGNACIONES'!$J$4:$J$339,0)),"")))</f>
        <v/>
      </c>
      <c r="AG924" s="13">
        <f>IF($AE924="","",SUMIFS('ORDENES'!$M$4:$M$1203,'ORDENES'!$AE$4:$AE$1203,$AE924,'ORDENES'!$O$4:$O$1203,$O924,'ORDENES'!$R$4:$R$1203,$R924))</f>
        <v/>
      </c>
      <c r="AH924" s="13">
        <f>IF($AG924="","",p_factor_productividad*IFERROR(INDEX('ASIGNACIONES'!$I$4:$I$339,MATCH($O924&amp;"|"&amp;$R924&amp;"|"&amp;$AE924,'ASIGNACIONES'!$J$4:$J$339,0)),0)-$AG924)</f>
        <v/>
      </c>
      <c r="AI924" s="10">
        <f>IF($A924="","",IFERROR(INDEX('2_IMPORTAR_EJECUCION'!$F$9:$F$1208,MATCH($AQ924,'2_IMPORTAR_EJECUCION'!$J$9:$J$1208,0)),0))</f>
        <v/>
      </c>
      <c r="AJ924" s="10">
        <f>IF($A924="","",MAX(0,IFERROR(INDEX('2_IMPORTAR_EJECUCION'!$H$9:$H$1208,MATCH($AQ924,'2_IMPORTAR_EJECUCION'!$J$9:$J$1208,0)),0)-$AI924))</f>
        <v/>
      </c>
      <c r="AK924" s="10">
        <f>IF($A924="","",$AI924+$AJ924)</f>
        <v/>
      </c>
      <c r="AL924" s="6" t="n"/>
      <c r="AM924" s="6" t="n"/>
      <c r="AN924" s="6" t="n"/>
      <c r="AO924" s="3">
        <f>IF($AN924="","",HYPERLINK(p_ruta_base_checklists&amp;$AN924,"abrir"))</f>
        <v/>
      </c>
      <c r="AP924" s="6" t="n"/>
      <c r="AQ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IF($A925="","",IFERROR(INDEX('AJUSTES'!$B$4:$B$303,MATCH($AQ925,'AJUSTES'!$A$4:$A$303,0)),IF($K925="","",$K925)))</f>
        <v/>
      </c>
      <c r="N925" s="3">
        <f>IF($A925="","",IFERROR(INDEX('CAT_ESTADOS_ERP'!$B$4:$B$7,MATCH(IFERROR(INDEX('2_IMPORTAR_EJECUCION'!$C$9:$C$1208,MATCH($AQ925,'2_IMPORTAR_EJECUCION'!$J$9:$J$1208,0)),""),'CAT_ESTADOS_ERP'!$A$4:$A$7,0)),"Pendiente"))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J925="","",IFERROR(INDEX('CALENDARIO'!$C$15:$C$214,MATCH(TEXT($J925,"yyyy-mm-dd")&amp;"|"&amp;$V925&amp;"|"&amp;$W925,'CALENDARIO'!$G$15:$G$214,0)),IFERROR(INDEX('CALENDARIO'!$C$15:$C$214,MATCH(TEXT($J925,"yyyy-mm-dd")&amp;"|"&amp;$V925&amp;"|",'CALENDARIO'!$G$15:$G$214,0)),IFERROR(INDEX('CALENDARIO'!$C$15:$C$214,MATCH(TEXT($J925,"yyyy-mm-dd")&amp;"||",'CALENDARIO'!$G$15:$G$214,0)),INDEX(patronHabil,WEEKDAY($J925,2))))))</f>
        <v/>
      </c>
      <c r="T925" s="3">
        <f>IF($I925="","",IFERROR(INDEX('CAT_TIPOS_OT'!$C$4:$C$7,MATCH($I925,'CAT_TIPOS_OT'!$A$4:$A$7,0)),"sin_clasificar"))</f>
        <v/>
      </c>
      <c r="U925" s="3">
        <f>IF($F925="","",IFERROR(INDEX('CAT_CENTROS_COSTO'!$F$4:$F$13,MATCH($F925,'CAT_CENTROS_COSTO'!$A$4:$A$13,0)),"(sin catálogo)"))</f>
        <v/>
      </c>
      <c r="V925" s="3">
        <f>IF($F925="","",IFERROR(INDEX('CAT_CENTROS_COSTO'!$D$4:$D$13,MATCH($F925,'CAT_CENTROS_COSTO'!$A$4:$A$13,0)),"(sin catálogo)"))</f>
        <v/>
      </c>
      <c r="W925" s="3">
        <f>IF($F925="","",IF((IFERROR(INDEX('CAT_CENTROS_COSTO'!$E$4:$E$13,MATCH($F925,'CAT_CENTROS_COSTO'!$A$4:$A$13,0)),""))&lt;&gt;"",IFERROR(INDEX('CAT_CENTROS_COSTO'!$E$4:$E$13,MATCH($F925,'CAT_CENTROS_COSTO'!$A$4:$A$13,0)),""),$V925))</f>
        <v/>
      </c>
      <c r="X925" s="3">
        <f>IF($F925="","",IFERROR(INDEX('CAT_CENTROS_COSTO'!$G$4:$G$13,MATCH($F925,'CAT_CENTROS_COSTO'!$A$4:$A$13,0)),"(sin catálogo)"))</f>
        <v/>
      </c>
      <c r="Y925" s="3">
        <f>IF($G925="","",IFERROR(INDEX('CAT_PUESTOS'!$B$4:$B$8,MATCH($G925,'CAT_PUESTOS'!$A$4:$A$8,0)),"(sin catálogo)"))</f>
        <v/>
      </c>
      <c r="Z925" s="3">
        <f>IF($H925="","",IFERROR(INDEX('CAT_ACTIVIDADES'!$B$4:$B$8,MATCH($H925,'CAT_ACTIVIDADES'!$A$4:$A$8,0)),"(sin catálogo)"))</f>
        <v/>
      </c>
      <c r="AA925" s="12">
        <f>IF($J925="","",TODAY()-$J925)</f>
        <v/>
      </c>
      <c r="AB925" s="12">
        <f>IF($J925="","",IF($J925&lt;=TODAY(),COUNTIFS(cal_fechas,"&gt;="&amp;$J925,cal_fechas,"&lt;"&amp;TODAY(),cal_habil,"sí"),-COUNTIFS(cal_fechas,"&gt;="&amp;TODAY(),cal_fechas,"&lt;"&amp;$J925,cal_habil,"sí")))</f>
        <v/>
      </c>
      <c r="AC925" s="3">
        <f>IF($AB925="","",IF($AB925&lt;0,"FUTURO",IF($AB925&gt;p_dias_backlog_max,"BACKLOG","MES CORRIENTE")))</f>
        <v/>
      </c>
      <c r="AD925" s="3">
        <f>IF($AB925="",FALSE,AND($AB925&gt;p_dias_backlog_min,$AB925&lt;=p_dias_backlog_max))</f>
        <v/>
      </c>
      <c r="AE925" s="6" t="n"/>
      <c r="AF925" s="3">
        <f>IF($AE925="","",IF((IFERROR(INDEX('ASIGNACIONES'!$F$4:$F$339,MATCH($O925&amp;"|"&amp;$R925&amp;"|"&amp;$AE925,'ASIGNACIONES'!$J$4:$J$339,0)),""))=0,"",IFERROR(INDEX('ASIGNACIONES'!$F$4:$F$339,MATCH($O925&amp;"|"&amp;$R925&amp;"|"&amp;$AE925,'ASIGNACIONES'!$J$4:$J$339,0)),"")))</f>
        <v/>
      </c>
      <c r="AG925" s="13">
        <f>IF($AE925="","",SUMIFS('ORDENES'!$M$4:$M$1203,'ORDENES'!$AE$4:$AE$1203,$AE925,'ORDENES'!$O$4:$O$1203,$O925,'ORDENES'!$R$4:$R$1203,$R925))</f>
        <v/>
      </c>
      <c r="AH925" s="13">
        <f>IF($AG925="","",p_factor_productividad*IFERROR(INDEX('ASIGNACIONES'!$I$4:$I$339,MATCH($O925&amp;"|"&amp;$R925&amp;"|"&amp;$AE925,'ASIGNACIONES'!$J$4:$J$339,0)),0)-$AG925)</f>
        <v/>
      </c>
      <c r="AI925" s="10">
        <f>IF($A925="","",IFERROR(INDEX('2_IMPORTAR_EJECUCION'!$F$9:$F$1208,MATCH($AQ925,'2_IMPORTAR_EJECUCION'!$J$9:$J$1208,0)),0))</f>
        <v/>
      </c>
      <c r="AJ925" s="10">
        <f>IF($A925="","",MAX(0,IFERROR(INDEX('2_IMPORTAR_EJECUCION'!$H$9:$H$1208,MATCH($AQ925,'2_IMPORTAR_EJECUCION'!$J$9:$J$1208,0)),0)-$AI925))</f>
        <v/>
      </c>
      <c r="AK925" s="10">
        <f>IF($A925="","",$AI925+$AJ925)</f>
        <v/>
      </c>
      <c r="AL925" s="6" t="n"/>
      <c r="AM925" s="6" t="n"/>
      <c r="AN925" s="6" t="n"/>
      <c r="AO925" s="3">
        <f>IF($AN925="","",HYPERLINK(p_ruta_base_checklists&amp;$AN925,"abrir"))</f>
        <v/>
      </c>
      <c r="AP925" s="6" t="n"/>
      <c r="AQ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IF($A926="","",IFERROR(INDEX('AJUSTES'!$B$4:$B$303,MATCH($AQ926,'AJUSTES'!$A$4:$A$303,0)),IF($K926="","",$K926)))</f>
        <v/>
      </c>
      <c r="N926" s="3">
        <f>IF($A926="","",IFERROR(INDEX('CAT_ESTADOS_ERP'!$B$4:$B$7,MATCH(IFERROR(INDEX('2_IMPORTAR_EJECUCION'!$C$9:$C$1208,MATCH($AQ926,'2_IMPORTAR_EJECUCION'!$J$9:$J$1208,0)),""),'CAT_ESTADOS_ERP'!$A$4:$A$7,0)),"Pendiente"))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J926="","",IFERROR(INDEX('CALENDARIO'!$C$15:$C$214,MATCH(TEXT($J926,"yyyy-mm-dd")&amp;"|"&amp;$V926&amp;"|"&amp;$W926,'CALENDARIO'!$G$15:$G$214,0)),IFERROR(INDEX('CALENDARIO'!$C$15:$C$214,MATCH(TEXT($J926,"yyyy-mm-dd")&amp;"|"&amp;$V926&amp;"|",'CALENDARIO'!$G$15:$G$214,0)),IFERROR(INDEX('CALENDARIO'!$C$15:$C$214,MATCH(TEXT($J926,"yyyy-mm-dd")&amp;"||",'CALENDARIO'!$G$15:$G$214,0)),INDEX(patronHabil,WEEKDAY($J926,2))))))</f>
        <v/>
      </c>
      <c r="T926" s="3">
        <f>IF($I926="","",IFERROR(INDEX('CAT_TIPOS_OT'!$C$4:$C$7,MATCH($I926,'CAT_TIPOS_OT'!$A$4:$A$7,0)),"sin_clasificar"))</f>
        <v/>
      </c>
      <c r="U926" s="3">
        <f>IF($F926="","",IFERROR(INDEX('CAT_CENTROS_COSTO'!$F$4:$F$13,MATCH($F926,'CAT_CENTROS_COSTO'!$A$4:$A$13,0)),"(sin catálogo)"))</f>
        <v/>
      </c>
      <c r="V926" s="3">
        <f>IF($F926="","",IFERROR(INDEX('CAT_CENTROS_COSTO'!$D$4:$D$13,MATCH($F926,'CAT_CENTROS_COSTO'!$A$4:$A$13,0)),"(sin catálogo)"))</f>
        <v/>
      </c>
      <c r="W926" s="3">
        <f>IF($F926="","",IF((IFERROR(INDEX('CAT_CENTROS_COSTO'!$E$4:$E$13,MATCH($F926,'CAT_CENTROS_COSTO'!$A$4:$A$13,0)),""))&lt;&gt;"",IFERROR(INDEX('CAT_CENTROS_COSTO'!$E$4:$E$13,MATCH($F926,'CAT_CENTROS_COSTO'!$A$4:$A$13,0)),""),$V926))</f>
        <v/>
      </c>
      <c r="X926" s="3">
        <f>IF($F926="","",IFERROR(INDEX('CAT_CENTROS_COSTO'!$G$4:$G$13,MATCH($F926,'CAT_CENTROS_COSTO'!$A$4:$A$13,0)),"(sin catálogo)"))</f>
        <v/>
      </c>
      <c r="Y926" s="3">
        <f>IF($G926="","",IFERROR(INDEX('CAT_PUESTOS'!$B$4:$B$8,MATCH($G926,'CAT_PUESTOS'!$A$4:$A$8,0)),"(sin catálogo)"))</f>
        <v/>
      </c>
      <c r="Z926" s="3">
        <f>IF($H926="","",IFERROR(INDEX('CAT_ACTIVIDADES'!$B$4:$B$8,MATCH($H926,'CAT_ACTIVIDADES'!$A$4:$A$8,0)),"(sin catálogo)"))</f>
        <v/>
      </c>
      <c r="AA926" s="12">
        <f>IF($J926="","",TODAY()-$J926)</f>
        <v/>
      </c>
      <c r="AB926" s="12">
        <f>IF($J926="","",IF($J926&lt;=TODAY(),COUNTIFS(cal_fechas,"&gt;="&amp;$J926,cal_fechas,"&lt;"&amp;TODAY(),cal_habil,"sí"),-COUNTIFS(cal_fechas,"&gt;="&amp;TODAY(),cal_fechas,"&lt;"&amp;$J926,cal_habil,"sí")))</f>
        <v/>
      </c>
      <c r="AC926" s="3">
        <f>IF($AB926="","",IF($AB926&lt;0,"FUTURO",IF($AB926&gt;p_dias_backlog_max,"BACKLOG","MES CORRIENTE")))</f>
        <v/>
      </c>
      <c r="AD926" s="3">
        <f>IF($AB926="",FALSE,AND($AB926&gt;p_dias_backlog_min,$AB926&lt;=p_dias_backlog_max))</f>
        <v/>
      </c>
      <c r="AE926" s="6" t="n"/>
      <c r="AF926" s="3">
        <f>IF($AE926="","",IF((IFERROR(INDEX('ASIGNACIONES'!$F$4:$F$339,MATCH($O926&amp;"|"&amp;$R926&amp;"|"&amp;$AE926,'ASIGNACIONES'!$J$4:$J$339,0)),""))=0,"",IFERROR(INDEX('ASIGNACIONES'!$F$4:$F$339,MATCH($O926&amp;"|"&amp;$R926&amp;"|"&amp;$AE926,'ASIGNACIONES'!$J$4:$J$339,0)),"")))</f>
        <v/>
      </c>
      <c r="AG926" s="13">
        <f>IF($AE926="","",SUMIFS('ORDENES'!$M$4:$M$1203,'ORDENES'!$AE$4:$AE$1203,$AE926,'ORDENES'!$O$4:$O$1203,$O926,'ORDENES'!$R$4:$R$1203,$R926))</f>
        <v/>
      </c>
      <c r="AH926" s="13">
        <f>IF($AG926="","",p_factor_productividad*IFERROR(INDEX('ASIGNACIONES'!$I$4:$I$339,MATCH($O926&amp;"|"&amp;$R926&amp;"|"&amp;$AE926,'ASIGNACIONES'!$J$4:$J$339,0)),0)-$AG926)</f>
        <v/>
      </c>
      <c r="AI926" s="10">
        <f>IF($A926="","",IFERROR(INDEX('2_IMPORTAR_EJECUCION'!$F$9:$F$1208,MATCH($AQ926,'2_IMPORTAR_EJECUCION'!$J$9:$J$1208,0)),0))</f>
        <v/>
      </c>
      <c r="AJ926" s="10">
        <f>IF($A926="","",MAX(0,IFERROR(INDEX('2_IMPORTAR_EJECUCION'!$H$9:$H$1208,MATCH($AQ926,'2_IMPORTAR_EJECUCION'!$J$9:$J$1208,0)),0)-$AI926))</f>
        <v/>
      </c>
      <c r="AK926" s="10">
        <f>IF($A926="","",$AI926+$AJ926)</f>
        <v/>
      </c>
      <c r="AL926" s="6" t="n"/>
      <c r="AM926" s="6" t="n"/>
      <c r="AN926" s="6" t="n"/>
      <c r="AO926" s="3">
        <f>IF($AN926="","",HYPERLINK(p_ruta_base_checklists&amp;$AN926,"abrir"))</f>
        <v/>
      </c>
      <c r="AP926" s="6" t="n"/>
      <c r="AQ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IF($A927="","",IFERROR(INDEX('AJUSTES'!$B$4:$B$303,MATCH($AQ927,'AJUSTES'!$A$4:$A$303,0)),IF($K927="","",$K927)))</f>
        <v/>
      </c>
      <c r="N927" s="3">
        <f>IF($A927="","",IFERROR(INDEX('CAT_ESTADOS_ERP'!$B$4:$B$7,MATCH(IFERROR(INDEX('2_IMPORTAR_EJECUCION'!$C$9:$C$1208,MATCH($AQ927,'2_IMPORTAR_EJECUCION'!$J$9:$J$1208,0)),""),'CAT_ESTADOS_ERP'!$A$4:$A$7,0)),"Pendiente"))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J927="","",IFERROR(INDEX('CALENDARIO'!$C$15:$C$214,MATCH(TEXT($J927,"yyyy-mm-dd")&amp;"|"&amp;$V927&amp;"|"&amp;$W927,'CALENDARIO'!$G$15:$G$214,0)),IFERROR(INDEX('CALENDARIO'!$C$15:$C$214,MATCH(TEXT($J927,"yyyy-mm-dd")&amp;"|"&amp;$V927&amp;"|",'CALENDARIO'!$G$15:$G$214,0)),IFERROR(INDEX('CALENDARIO'!$C$15:$C$214,MATCH(TEXT($J927,"yyyy-mm-dd")&amp;"||",'CALENDARIO'!$G$15:$G$214,0)),INDEX(patronHabil,WEEKDAY($J927,2))))))</f>
        <v/>
      </c>
      <c r="T927" s="3">
        <f>IF($I927="","",IFERROR(INDEX('CAT_TIPOS_OT'!$C$4:$C$7,MATCH($I927,'CAT_TIPOS_OT'!$A$4:$A$7,0)),"sin_clasificar"))</f>
        <v/>
      </c>
      <c r="U927" s="3">
        <f>IF($F927="","",IFERROR(INDEX('CAT_CENTROS_COSTO'!$F$4:$F$13,MATCH($F927,'CAT_CENTROS_COSTO'!$A$4:$A$13,0)),"(sin catálogo)"))</f>
        <v/>
      </c>
      <c r="V927" s="3">
        <f>IF($F927="","",IFERROR(INDEX('CAT_CENTROS_COSTO'!$D$4:$D$13,MATCH($F927,'CAT_CENTROS_COSTO'!$A$4:$A$13,0)),"(sin catálogo)"))</f>
        <v/>
      </c>
      <c r="W927" s="3">
        <f>IF($F927="","",IF((IFERROR(INDEX('CAT_CENTROS_COSTO'!$E$4:$E$13,MATCH($F927,'CAT_CENTROS_COSTO'!$A$4:$A$13,0)),""))&lt;&gt;"",IFERROR(INDEX('CAT_CENTROS_COSTO'!$E$4:$E$13,MATCH($F927,'CAT_CENTROS_COSTO'!$A$4:$A$13,0)),""),$V927))</f>
        <v/>
      </c>
      <c r="X927" s="3">
        <f>IF($F927="","",IFERROR(INDEX('CAT_CENTROS_COSTO'!$G$4:$G$13,MATCH($F927,'CAT_CENTROS_COSTO'!$A$4:$A$13,0)),"(sin catálogo)"))</f>
        <v/>
      </c>
      <c r="Y927" s="3">
        <f>IF($G927="","",IFERROR(INDEX('CAT_PUESTOS'!$B$4:$B$8,MATCH($G927,'CAT_PUESTOS'!$A$4:$A$8,0)),"(sin catálogo)"))</f>
        <v/>
      </c>
      <c r="Z927" s="3">
        <f>IF($H927="","",IFERROR(INDEX('CAT_ACTIVIDADES'!$B$4:$B$8,MATCH($H927,'CAT_ACTIVIDADES'!$A$4:$A$8,0)),"(sin catálogo)"))</f>
        <v/>
      </c>
      <c r="AA927" s="12">
        <f>IF($J927="","",TODAY()-$J927)</f>
        <v/>
      </c>
      <c r="AB927" s="12">
        <f>IF($J927="","",IF($J927&lt;=TODAY(),COUNTIFS(cal_fechas,"&gt;="&amp;$J927,cal_fechas,"&lt;"&amp;TODAY(),cal_habil,"sí"),-COUNTIFS(cal_fechas,"&gt;="&amp;TODAY(),cal_fechas,"&lt;"&amp;$J927,cal_habil,"sí")))</f>
        <v/>
      </c>
      <c r="AC927" s="3">
        <f>IF($AB927="","",IF($AB927&lt;0,"FUTURO",IF($AB927&gt;p_dias_backlog_max,"BACKLOG","MES CORRIENTE")))</f>
        <v/>
      </c>
      <c r="AD927" s="3">
        <f>IF($AB927="",FALSE,AND($AB927&gt;p_dias_backlog_min,$AB927&lt;=p_dias_backlog_max))</f>
        <v/>
      </c>
      <c r="AE927" s="6" t="n"/>
      <c r="AF927" s="3">
        <f>IF($AE927="","",IF((IFERROR(INDEX('ASIGNACIONES'!$F$4:$F$339,MATCH($O927&amp;"|"&amp;$R927&amp;"|"&amp;$AE927,'ASIGNACIONES'!$J$4:$J$339,0)),""))=0,"",IFERROR(INDEX('ASIGNACIONES'!$F$4:$F$339,MATCH($O927&amp;"|"&amp;$R927&amp;"|"&amp;$AE927,'ASIGNACIONES'!$J$4:$J$339,0)),"")))</f>
        <v/>
      </c>
      <c r="AG927" s="13">
        <f>IF($AE927="","",SUMIFS('ORDENES'!$M$4:$M$1203,'ORDENES'!$AE$4:$AE$1203,$AE927,'ORDENES'!$O$4:$O$1203,$O927,'ORDENES'!$R$4:$R$1203,$R927))</f>
        <v/>
      </c>
      <c r="AH927" s="13">
        <f>IF($AG927="","",p_factor_productividad*IFERROR(INDEX('ASIGNACIONES'!$I$4:$I$339,MATCH($O927&amp;"|"&amp;$R927&amp;"|"&amp;$AE927,'ASIGNACIONES'!$J$4:$J$339,0)),0)-$AG927)</f>
        <v/>
      </c>
      <c r="AI927" s="10">
        <f>IF($A927="","",IFERROR(INDEX('2_IMPORTAR_EJECUCION'!$F$9:$F$1208,MATCH($AQ927,'2_IMPORTAR_EJECUCION'!$J$9:$J$1208,0)),0))</f>
        <v/>
      </c>
      <c r="AJ927" s="10">
        <f>IF($A927="","",MAX(0,IFERROR(INDEX('2_IMPORTAR_EJECUCION'!$H$9:$H$1208,MATCH($AQ927,'2_IMPORTAR_EJECUCION'!$J$9:$J$1208,0)),0)-$AI927))</f>
        <v/>
      </c>
      <c r="AK927" s="10">
        <f>IF($A927="","",$AI927+$AJ927)</f>
        <v/>
      </c>
      <c r="AL927" s="6" t="n"/>
      <c r="AM927" s="6" t="n"/>
      <c r="AN927" s="6" t="n"/>
      <c r="AO927" s="3">
        <f>IF($AN927="","",HYPERLINK(p_ruta_base_checklists&amp;$AN927,"abrir"))</f>
        <v/>
      </c>
      <c r="AP927" s="6" t="n"/>
      <c r="AQ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IF($A928="","",IFERROR(INDEX('AJUSTES'!$B$4:$B$303,MATCH($AQ928,'AJUSTES'!$A$4:$A$303,0)),IF($K928="","",$K928)))</f>
        <v/>
      </c>
      <c r="N928" s="3">
        <f>IF($A928="","",IFERROR(INDEX('CAT_ESTADOS_ERP'!$B$4:$B$7,MATCH(IFERROR(INDEX('2_IMPORTAR_EJECUCION'!$C$9:$C$1208,MATCH($AQ928,'2_IMPORTAR_EJECUCION'!$J$9:$J$1208,0)),""),'CAT_ESTADOS_ERP'!$A$4:$A$7,0)),"Pendiente"))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J928="","",IFERROR(INDEX('CALENDARIO'!$C$15:$C$214,MATCH(TEXT($J928,"yyyy-mm-dd")&amp;"|"&amp;$V928&amp;"|"&amp;$W928,'CALENDARIO'!$G$15:$G$214,0)),IFERROR(INDEX('CALENDARIO'!$C$15:$C$214,MATCH(TEXT($J928,"yyyy-mm-dd")&amp;"|"&amp;$V928&amp;"|",'CALENDARIO'!$G$15:$G$214,0)),IFERROR(INDEX('CALENDARIO'!$C$15:$C$214,MATCH(TEXT($J928,"yyyy-mm-dd")&amp;"||",'CALENDARIO'!$G$15:$G$214,0)),INDEX(patronHabil,WEEKDAY($J928,2))))))</f>
        <v/>
      </c>
      <c r="T928" s="3">
        <f>IF($I928="","",IFERROR(INDEX('CAT_TIPOS_OT'!$C$4:$C$7,MATCH($I928,'CAT_TIPOS_OT'!$A$4:$A$7,0)),"sin_clasificar"))</f>
        <v/>
      </c>
      <c r="U928" s="3">
        <f>IF($F928="","",IFERROR(INDEX('CAT_CENTROS_COSTO'!$F$4:$F$13,MATCH($F928,'CAT_CENTROS_COSTO'!$A$4:$A$13,0)),"(sin catálogo)"))</f>
        <v/>
      </c>
      <c r="V928" s="3">
        <f>IF($F928="","",IFERROR(INDEX('CAT_CENTROS_COSTO'!$D$4:$D$13,MATCH($F928,'CAT_CENTROS_COSTO'!$A$4:$A$13,0)),"(sin catálogo)"))</f>
        <v/>
      </c>
      <c r="W928" s="3">
        <f>IF($F928="","",IF((IFERROR(INDEX('CAT_CENTROS_COSTO'!$E$4:$E$13,MATCH($F928,'CAT_CENTROS_COSTO'!$A$4:$A$13,0)),""))&lt;&gt;"",IFERROR(INDEX('CAT_CENTROS_COSTO'!$E$4:$E$13,MATCH($F928,'CAT_CENTROS_COSTO'!$A$4:$A$13,0)),""),$V928))</f>
        <v/>
      </c>
      <c r="X928" s="3">
        <f>IF($F928="","",IFERROR(INDEX('CAT_CENTROS_COSTO'!$G$4:$G$13,MATCH($F928,'CAT_CENTROS_COSTO'!$A$4:$A$13,0)),"(sin catálogo)"))</f>
        <v/>
      </c>
      <c r="Y928" s="3">
        <f>IF($G928="","",IFERROR(INDEX('CAT_PUESTOS'!$B$4:$B$8,MATCH($G928,'CAT_PUESTOS'!$A$4:$A$8,0)),"(sin catálogo)"))</f>
        <v/>
      </c>
      <c r="Z928" s="3">
        <f>IF($H928="","",IFERROR(INDEX('CAT_ACTIVIDADES'!$B$4:$B$8,MATCH($H928,'CAT_ACTIVIDADES'!$A$4:$A$8,0)),"(sin catálogo)"))</f>
        <v/>
      </c>
      <c r="AA928" s="12">
        <f>IF($J928="","",TODAY()-$J928)</f>
        <v/>
      </c>
      <c r="AB928" s="12">
        <f>IF($J928="","",IF($J928&lt;=TODAY(),COUNTIFS(cal_fechas,"&gt;="&amp;$J928,cal_fechas,"&lt;"&amp;TODAY(),cal_habil,"sí"),-COUNTIFS(cal_fechas,"&gt;="&amp;TODAY(),cal_fechas,"&lt;"&amp;$J928,cal_habil,"sí")))</f>
        <v/>
      </c>
      <c r="AC928" s="3">
        <f>IF($AB928="","",IF($AB928&lt;0,"FUTURO",IF($AB928&gt;p_dias_backlog_max,"BACKLOG","MES CORRIENTE")))</f>
        <v/>
      </c>
      <c r="AD928" s="3">
        <f>IF($AB928="",FALSE,AND($AB928&gt;p_dias_backlog_min,$AB928&lt;=p_dias_backlog_max))</f>
        <v/>
      </c>
      <c r="AE928" s="6" t="n"/>
      <c r="AF928" s="3">
        <f>IF($AE928="","",IF((IFERROR(INDEX('ASIGNACIONES'!$F$4:$F$339,MATCH($O928&amp;"|"&amp;$R928&amp;"|"&amp;$AE928,'ASIGNACIONES'!$J$4:$J$339,0)),""))=0,"",IFERROR(INDEX('ASIGNACIONES'!$F$4:$F$339,MATCH($O928&amp;"|"&amp;$R928&amp;"|"&amp;$AE928,'ASIGNACIONES'!$J$4:$J$339,0)),"")))</f>
        <v/>
      </c>
      <c r="AG928" s="13">
        <f>IF($AE928="","",SUMIFS('ORDENES'!$M$4:$M$1203,'ORDENES'!$AE$4:$AE$1203,$AE928,'ORDENES'!$O$4:$O$1203,$O928,'ORDENES'!$R$4:$R$1203,$R928))</f>
        <v/>
      </c>
      <c r="AH928" s="13">
        <f>IF($AG928="","",p_factor_productividad*IFERROR(INDEX('ASIGNACIONES'!$I$4:$I$339,MATCH($O928&amp;"|"&amp;$R928&amp;"|"&amp;$AE928,'ASIGNACIONES'!$J$4:$J$339,0)),0)-$AG928)</f>
        <v/>
      </c>
      <c r="AI928" s="10">
        <f>IF($A928="","",IFERROR(INDEX('2_IMPORTAR_EJECUCION'!$F$9:$F$1208,MATCH($AQ928,'2_IMPORTAR_EJECUCION'!$J$9:$J$1208,0)),0))</f>
        <v/>
      </c>
      <c r="AJ928" s="10">
        <f>IF($A928="","",MAX(0,IFERROR(INDEX('2_IMPORTAR_EJECUCION'!$H$9:$H$1208,MATCH($AQ928,'2_IMPORTAR_EJECUCION'!$J$9:$J$1208,0)),0)-$AI928))</f>
        <v/>
      </c>
      <c r="AK928" s="10">
        <f>IF($A928="","",$AI928+$AJ928)</f>
        <v/>
      </c>
      <c r="AL928" s="6" t="n"/>
      <c r="AM928" s="6" t="n"/>
      <c r="AN928" s="6" t="n"/>
      <c r="AO928" s="3">
        <f>IF($AN928="","",HYPERLINK(p_ruta_base_checklists&amp;$AN928,"abrir"))</f>
        <v/>
      </c>
      <c r="AP928" s="6" t="n"/>
      <c r="AQ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IF($A929="","",IFERROR(INDEX('AJUSTES'!$B$4:$B$303,MATCH($AQ929,'AJUSTES'!$A$4:$A$303,0)),IF($K929="","",$K929)))</f>
        <v/>
      </c>
      <c r="N929" s="3">
        <f>IF($A929="","",IFERROR(INDEX('CAT_ESTADOS_ERP'!$B$4:$B$7,MATCH(IFERROR(INDEX('2_IMPORTAR_EJECUCION'!$C$9:$C$1208,MATCH($AQ929,'2_IMPORTAR_EJECUCION'!$J$9:$J$1208,0)),""),'CAT_ESTADOS_ERP'!$A$4:$A$7,0)),"Pendiente"))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J929="","",IFERROR(INDEX('CALENDARIO'!$C$15:$C$214,MATCH(TEXT($J929,"yyyy-mm-dd")&amp;"|"&amp;$V929&amp;"|"&amp;$W929,'CALENDARIO'!$G$15:$G$214,0)),IFERROR(INDEX('CALENDARIO'!$C$15:$C$214,MATCH(TEXT($J929,"yyyy-mm-dd")&amp;"|"&amp;$V929&amp;"|",'CALENDARIO'!$G$15:$G$214,0)),IFERROR(INDEX('CALENDARIO'!$C$15:$C$214,MATCH(TEXT($J929,"yyyy-mm-dd")&amp;"||",'CALENDARIO'!$G$15:$G$214,0)),INDEX(patronHabil,WEEKDAY($J929,2))))))</f>
        <v/>
      </c>
      <c r="T929" s="3">
        <f>IF($I929="","",IFERROR(INDEX('CAT_TIPOS_OT'!$C$4:$C$7,MATCH($I929,'CAT_TIPOS_OT'!$A$4:$A$7,0)),"sin_clasificar"))</f>
        <v/>
      </c>
      <c r="U929" s="3">
        <f>IF($F929="","",IFERROR(INDEX('CAT_CENTROS_COSTO'!$F$4:$F$13,MATCH($F929,'CAT_CENTROS_COSTO'!$A$4:$A$13,0)),"(sin catálogo)"))</f>
        <v/>
      </c>
      <c r="V929" s="3">
        <f>IF($F929="","",IFERROR(INDEX('CAT_CENTROS_COSTO'!$D$4:$D$13,MATCH($F929,'CAT_CENTROS_COSTO'!$A$4:$A$13,0)),"(sin catálogo)"))</f>
        <v/>
      </c>
      <c r="W929" s="3">
        <f>IF($F929="","",IF((IFERROR(INDEX('CAT_CENTROS_COSTO'!$E$4:$E$13,MATCH($F929,'CAT_CENTROS_COSTO'!$A$4:$A$13,0)),""))&lt;&gt;"",IFERROR(INDEX('CAT_CENTROS_COSTO'!$E$4:$E$13,MATCH($F929,'CAT_CENTROS_COSTO'!$A$4:$A$13,0)),""),$V929))</f>
        <v/>
      </c>
      <c r="X929" s="3">
        <f>IF($F929="","",IFERROR(INDEX('CAT_CENTROS_COSTO'!$G$4:$G$13,MATCH($F929,'CAT_CENTROS_COSTO'!$A$4:$A$13,0)),"(sin catálogo)"))</f>
        <v/>
      </c>
      <c r="Y929" s="3">
        <f>IF($G929="","",IFERROR(INDEX('CAT_PUESTOS'!$B$4:$B$8,MATCH($G929,'CAT_PUESTOS'!$A$4:$A$8,0)),"(sin catálogo)"))</f>
        <v/>
      </c>
      <c r="Z929" s="3">
        <f>IF($H929="","",IFERROR(INDEX('CAT_ACTIVIDADES'!$B$4:$B$8,MATCH($H929,'CAT_ACTIVIDADES'!$A$4:$A$8,0)),"(sin catálogo)"))</f>
        <v/>
      </c>
      <c r="AA929" s="12">
        <f>IF($J929="","",TODAY()-$J929)</f>
        <v/>
      </c>
      <c r="AB929" s="12">
        <f>IF($J929="","",IF($J929&lt;=TODAY(),COUNTIFS(cal_fechas,"&gt;="&amp;$J929,cal_fechas,"&lt;"&amp;TODAY(),cal_habil,"sí"),-COUNTIFS(cal_fechas,"&gt;="&amp;TODAY(),cal_fechas,"&lt;"&amp;$J929,cal_habil,"sí")))</f>
        <v/>
      </c>
      <c r="AC929" s="3">
        <f>IF($AB929="","",IF($AB929&lt;0,"FUTURO",IF($AB929&gt;p_dias_backlog_max,"BACKLOG","MES CORRIENTE")))</f>
        <v/>
      </c>
      <c r="AD929" s="3">
        <f>IF($AB929="",FALSE,AND($AB929&gt;p_dias_backlog_min,$AB929&lt;=p_dias_backlog_max))</f>
        <v/>
      </c>
      <c r="AE929" s="6" t="n"/>
      <c r="AF929" s="3">
        <f>IF($AE929="","",IF((IFERROR(INDEX('ASIGNACIONES'!$F$4:$F$339,MATCH($O929&amp;"|"&amp;$R929&amp;"|"&amp;$AE929,'ASIGNACIONES'!$J$4:$J$339,0)),""))=0,"",IFERROR(INDEX('ASIGNACIONES'!$F$4:$F$339,MATCH($O929&amp;"|"&amp;$R929&amp;"|"&amp;$AE929,'ASIGNACIONES'!$J$4:$J$339,0)),"")))</f>
        <v/>
      </c>
      <c r="AG929" s="13">
        <f>IF($AE929="","",SUMIFS('ORDENES'!$M$4:$M$1203,'ORDENES'!$AE$4:$AE$1203,$AE929,'ORDENES'!$O$4:$O$1203,$O929,'ORDENES'!$R$4:$R$1203,$R929))</f>
        <v/>
      </c>
      <c r="AH929" s="13">
        <f>IF($AG929="","",p_factor_productividad*IFERROR(INDEX('ASIGNACIONES'!$I$4:$I$339,MATCH($O929&amp;"|"&amp;$R929&amp;"|"&amp;$AE929,'ASIGNACIONES'!$J$4:$J$339,0)),0)-$AG929)</f>
        <v/>
      </c>
      <c r="AI929" s="10">
        <f>IF($A929="","",IFERROR(INDEX('2_IMPORTAR_EJECUCION'!$F$9:$F$1208,MATCH($AQ929,'2_IMPORTAR_EJECUCION'!$J$9:$J$1208,0)),0))</f>
        <v/>
      </c>
      <c r="AJ929" s="10">
        <f>IF($A929="","",MAX(0,IFERROR(INDEX('2_IMPORTAR_EJECUCION'!$H$9:$H$1208,MATCH($AQ929,'2_IMPORTAR_EJECUCION'!$J$9:$J$1208,0)),0)-$AI929))</f>
        <v/>
      </c>
      <c r="AK929" s="10">
        <f>IF($A929="","",$AI929+$AJ929)</f>
        <v/>
      </c>
      <c r="AL929" s="6" t="n"/>
      <c r="AM929" s="6" t="n"/>
      <c r="AN929" s="6" t="n"/>
      <c r="AO929" s="3">
        <f>IF($AN929="","",HYPERLINK(p_ruta_base_checklists&amp;$AN929,"abrir"))</f>
        <v/>
      </c>
      <c r="AP929" s="6" t="n"/>
      <c r="AQ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IF($A930="","",IFERROR(INDEX('AJUSTES'!$B$4:$B$303,MATCH($AQ930,'AJUSTES'!$A$4:$A$303,0)),IF($K930="","",$K930)))</f>
        <v/>
      </c>
      <c r="N930" s="3">
        <f>IF($A930="","",IFERROR(INDEX('CAT_ESTADOS_ERP'!$B$4:$B$7,MATCH(IFERROR(INDEX('2_IMPORTAR_EJECUCION'!$C$9:$C$1208,MATCH($AQ930,'2_IMPORTAR_EJECUCION'!$J$9:$J$1208,0)),""),'CAT_ESTADOS_ERP'!$A$4:$A$7,0)),"Pendiente"))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J930="","",IFERROR(INDEX('CALENDARIO'!$C$15:$C$214,MATCH(TEXT($J930,"yyyy-mm-dd")&amp;"|"&amp;$V930&amp;"|"&amp;$W930,'CALENDARIO'!$G$15:$G$214,0)),IFERROR(INDEX('CALENDARIO'!$C$15:$C$214,MATCH(TEXT($J930,"yyyy-mm-dd")&amp;"|"&amp;$V930&amp;"|",'CALENDARIO'!$G$15:$G$214,0)),IFERROR(INDEX('CALENDARIO'!$C$15:$C$214,MATCH(TEXT($J930,"yyyy-mm-dd")&amp;"||",'CALENDARIO'!$G$15:$G$214,0)),INDEX(patronHabil,WEEKDAY($J930,2))))))</f>
        <v/>
      </c>
      <c r="T930" s="3">
        <f>IF($I930="","",IFERROR(INDEX('CAT_TIPOS_OT'!$C$4:$C$7,MATCH($I930,'CAT_TIPOS_OT'!$A$4:$A$7,0)),"sin_clasificar"))</f>
        <v/>
      </c>
      <c r="U930" s="3">
        <f>IF($F930="","",IFERROR(INDEX('CAT_CENTROS_COSTO'!$F$4:$F$13,MATCH($F930,'CAT_CENTROS_COSTO'!$A$4:$A$13,0)),"(sin catálogo)"))</f>
        <v/>
      </c>
      <c r="V930" s="3">
        <f>IF($F930="","",IFERROR(INDEX('CAT_CENTROS_COSTO'!$D$4:$D$13,MATCH($F930,'CAT_CENTROS_COSTO'!$A$4:$A$13,0)),"(sin catálogo)"))</f>
        <v/>
      </c>
      <c r="W930" s="3">
        <f>IF($F930="","",IF((IFERROR(INDEX('CAT_CENTROS_COSTO'!$E$4:$E$13,MATCH($F930,'CAT_CENTROS_COSTO'!$A$4:$A$13,0)),""))&lt;&gt;"",IFERROR(INDEX('CAT_CENTROS_COSTO'!$E$4:$E$13,MATCH($F930,'CAT_CENTROS_COSTO'!$A$4:$A$13,0)),""),$V930))</f>
        <v/>
      </c>
      <c r="X930" s="3">
        <f>IF($F930="","",IFERROR(INDEX('CAT_CENTROS_COSTO'!$G$4:$G$13,MATCH($F930,'CAT_CENTROS_COSTO'!$A$4:$A$13,0)),"(sin catálogo)"))</f>
        <v/>
      </c>
      <c r="Y930" s="3">
        <f>IF($G930="","",IFERROR(INDEX('CAT_PUESTOS'!$B$4:$B$8,MATCH($G930,'CAT_PUESTOS'!$A$4:$A$8,0)),"(sin catálogo)"))</f>
        <v/>
      </c>
      <c r="Z930" s="3">
        <f>IF($H930="","",IFERROR(INDEX('CAT_ACTIVIDADES'!$B$4:$B$8,MATCH($H930,'CAT_ACTIVIDADES'!$A$4:$A$8,0)),"(sin catálogo)"))</f>
        <v/>
      </c>
      <c r="AA930" s="12">
        <f>IF($J930="","",TODAY()-$J930)</f>
        <v/>
      </c>
      <c r="AB930" s="12">
        <f>IF($J930="","",IF($J930&lt;=TODAY(),COUNTIFS(cal_fechas,"&gt;="&amp;$J930,cal_fechas,"&lt;"&amp;TODAY(),cal_habil,"sí"),-COUNTIFS(cal_fechas,"&gt;="&amp;TODAY(),cal_fechas,"&lt;"&amp;$J930,cal_habil,"sí")))</f>
        <v/>
      </c>
      <c r="AC930" s="3">
        <f>IF($AB930="","",IF($AB930&lt;0,"FUTURO",IF($AB930&gt;p_dias_backlog_max,"BACKLOG","MES CORRIENTE")))</f>
        <v/>
      </c>
      <c r="AD930" s="3">
        <f>IF($AB930="",FALSE,AND($AB930&gt;p_dias_backlog_min,$AB930&lt;=p_dias_backlog_max))</f>
        <v/>
      </c>
      <c r="AE930" s="6" t="n"/>
      <c r="AF930" s="3">
        <f>IF($AE930="","",IF((IFERROR(INDEX('ASIGNACIONES'!$F$4:$F$339,MATCH($O930&amp;"|"&amp;$R930&amp;"|"&amp;$AE930,'ASIGNACIONES'!$J$4:$J$339,0)),""))=0,"",IFERROR(INDEX('ASIGNACIONES'!$F$4:$F$339,MATCH($O930&amp;"|"&amp;$R930&amp;"|"&amp;$AE930,'ASIGNACIONES'!$J$4:$J$339,0)),"")))</f>
        <v/>
      </c>
      <c r="AG930" s="13">
        <f>IF($AE930="","",SUMIFS('ORDENES'!$M$4:$M$1203,'ORDENES'!$AE$4:$AE$1203,$AE930,'ORDENES'!$O$4:$O$1203,$O930,'ORDENES'!$R$4:$R$1203,$R930))</f>
        <v/>
      </c>
      <c r="AH930" s="13">
        <f>IF($AG930="","",p_factor_productividad*IFERROR(INDEX('ASIGNACIONES'!$I$4:$I$339,MATCH($O930&amp;"|"&amp;$R930&amp;"|"&amp;$AE930,'ASIGNACIONES'!$J$4:$J$339,0)),0)-$AG930)</f>
        <v/>
      </c>
      <c r="AI930" s="10">
        <f>IF($A930="","",IFERROR(INDEX('2_IMPORTAR_EJECUCION'!$F$9:$F$1208,MATCH($AQ930,'2_IMPORTAR_EJECUCION'!$J$9:$J$1208,0)),0))</f>
        <v/>
      </c>
      <c r="AJ930" s="10">
        <f>IF($A930="","",MAX(0,IFERROR(INDEX('2_IMPORTAR_EJECUCION'!$H$9:$H$1208,MATCH($AQ930,'2_IMPORTAR_EJECUCION'!$J$9:$J$1208,0)),0)-$AI930))</f>
        <v/>
      </c>
      <c r="AK930" s="10">
        <f>IF($A930="","",$AI930+$AJ930)</f>
        <v/>
      </c>
      <c r="AL930" s="6" t="n"/>
      <c r="AM930" s="6" t="n"/>
      <c r="AN930" s="6" t="n"/>
      <c r="AO930" s="3">
        <f>IF($AN930="","",HYPERLINK(p_ruta_base_checklists&amp;$AN930,"abrir"))</f>
        <v/>
      </c>
      <c r="AP930" s="6" t="n"/>
      <c r="AQ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IF($A931="","",IFERROR(INDEX('AJUSTES'!$B$4:$B$303,MATCH($AQ931,'AJUSTES'!$A$4:$A$303,0)),IF($K931="","",$K931)))</f>
        <v/>
      </c>
      <c r="N931" s="3">
        <f>IF($A931="","",IFERROR(INDEX('CAT_ESTADOS_ERP'!$B$4:$B$7,MATCH(IFERROR(INDEX('2_IMPORTAR_EJECUCION'!$C$9:$C$1208,MATCH($AQ931,'2_IMPORTAR_EJECUCION'!$J$9:$J$1208,0)),""),'CAT_ESTADOS_ERP'!$A$4:$A$7,0)),"Pendiente"))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J931="","",IFERROR(INDEX('CALENDARIO'!$C$15:$C$214,MATCH(TEXT($J931,"yyyy-mm-dd")&amp;"|"&amp;$V931&amp;"|"&amp;$W931,'CALENDARIO'!$G$15:$G$214,0)),IFERROR(INDEX('CALENDARIO'!$C$15:$C$214,MATCH(TEXT($J931,"yyyy-mm-dd")&amp;"|"&amp;$V931&amp;"|",'CALENDARIO'!$G$15:$G$214,0)),IFERROR(INDEX('CALENDARIO'!$C$15:$C$214,MATCH(TEXT($J931,"yyyy-mm-dd")&amp;"||",'CALENDARIO'!$G$15:$G$214,0)),INDEX(patronHabil,WEEKDAY($J931,2))))))</f>
        <v/>
      </c>
      <c r="T931" s="3">
        <f>IF($I931="","",IFERROR(INDEX('CAT_TIPOS_OT'!$C$4:$C$7,MATCH($I931,'CAT_TIPOS_OT'!$A$4:$A$7,0)),"sin_clasificar"))</f>
        <v/>
      </c>
      <c r="U931" s="3">
        <f>IF($F931="","",IFERROR(INDEX('CAT_CENTROS_COSTO'!$F$4:$F$13,MATCH($F931,'CAT_CENTROS_COSTO'!$A$4:$A$13,0)),"(sin catálogo)"))</f>
        <v/>
      </c>
      <c r="V931" s="3">
        <f>IF($F931="","",IFERROR(INDEX('CAT_CENTROS_COSTO'!$D$4:$D$13,MATCH($F931,'CAT_CENTROS_COSTO'!$A$4:$A$13,0)),"(sin catálogo)"))</f>
        <v/>
      </c>
      <c r="W931" s="3">
        <f>IF($F931="","",IF((IFERROR(INDEX('CAT_CENTROS_COSTO'!$E$4:$E$13,MATCH($F931,'CAT_CENTROS_COSTO'!$A$4:$A$13,0)),""))&lt;&gt;"",IFERROR(INDEX('CAT_CENTROS_COSTO'!$E$4:$E$13,MATCH($F931,'CAT_CENTROS_COSTO'!$A$4:$A$13,0)),""),$V931))</f>
        <v/>
      </c>
      <c r="X931" s="3">
        <f>IF($F931="","",IFERROR(INDEX('CAT_CENTROS_COSTO'!$G$4:$G$13,MATCH($F931,'CAT_CENTROS_COSTO'!$A$4:$A$13,0)),"(sin catálogo)"))</f>
        <v/>
      </c>
      <c r="Y931" s="3">
        <f>IF($G931="","",IFERROR(INDEX('CAT_PUESTOS'!$B$4:$B$8,MATCH($G931,'CAT_PUESTOS'!$A$4:$A$8,0)),"(sin catálogo)"))</f>
        <v/>
      </c>
      <c r="Z931" s="3">
        <f>IF($H931="","",IFERROR(INDEX('CAT_ACTIVIDADES'!$B$4:$B$8,MATCH($H931,'CAT_ACTIVIDADES'!$A$4:$A$8,0)),"(sin catálogo)"))</f>
        <v/>
      </c>
      <c r="AA931" s="12">
        <f>IF($J931="","",TODAY()-$J931)</f>
        <v/>
      </c>
      <c r="AB931" s="12">
        <f>IF($J931="","",IF($J931&lt;=TODAY(),COUNTIFS(cal_fechas,"&gt;="&amp;$J931,cal_fechas,"&lt;"&amp;TODAY(),cal_habil,"sí"),-COUNTIFS(cal_fechas,"&gt;="&amp;TODAY(),cal_fechas,"&lt;"&amp;$J931,cal_habil,"sí")))</f>
        <v/>
      </c>
      <c r="AC931" s="3">
        <f>IF($AB931="","",IF($AB931&lt;0,"FUTURO",IF($AB931&gt;p_dias_backlog_max,"BACKLOG","MES CORRIENTE")))</f>
        <v/>
      </c>
      <c r="AD931" s="3">
        <f>IF($AB931="",FALSE,AND($AB931&gt;p_dias_backlog_min,$AB931&lt;=p_dias_backlog_max))</f>
        <v/>
      </c>
      <c r="AE931" s="6" t="n"/>
      <c r="AF931" s="3">
        <f>IF($AE931="","",IF((IFERROR(INDEX('ASIGNACIONES'!$F$4:$F$339,MATCH($O931&amp;"|"&amp;$R931&amp;"|"&amp;$AE931,'ASIGNACIONES'!$J$4:$J$339,0)),""))=0,"",IFERROR(INDEX('ASIGNACIONES'!$F$4:$F$339,MATCH($O931&amp;"|"&amp;$R931&amp;"|"&amp;$AE931,'ASIGNACIONES'!$J$4:$J$339,0)),"")))</f>
        <v/>
      </c>
      <c r="AG931" s="13">
        <f>IF($AE931="","",SUMIFS('ORDENES'!$M$4:$M$1203,'ORDENES'!$AE$4:$AE$1203,$AE931,'ORDENES'!$O$4:$O$1203,$O931,'ORDENES'!$R$4:$R$1203,$R931))</f>
        <v/>
      </c>
      <c r="AH931" s="13">
        <f>IF($AG931="","",p_factor_productividad*IFERROR(INDEX('ASIGNACIONES'!$I$4:$I$339,MATCH($O931&amp;"|"&amp;$R931&amp;"|"&amp;$AE931,'ASIGNACIONES'!$J$4:$J$339,0)),0)-$AG931)</f>
        <v/>
      </c>
      <c r="AI931" s="10">
        <f>IF($A931="","",IFERROR(INDEX('2_IMPORTAR_EJECUCION'!$F$9:$F$1208,MATCH($AQ931,'2_IMPORTAR_EJECUCION'!$J$9:$J$1208,0)),0))</f>
        <v/>
      </c>
      <c r="AJ931" s="10">
        <f>IF($A931="","",MAX(0,IFERROR(INDEX('2_IMPORTAR_EJECUCION'!$H$9:$H$1208,MATCH($AQ931,'2_IMPORTAR_EJECUCION'!$J$9:$J$1208,0)),0)-$AI931))</f>
        <v/>
      </c>
      <c r="AK931" s="10">
        <f>IF($A931="","",$AI931+$AJ931)</f>
        <v/>
      </c>
      <c r="AL931" s="6" t="n"/>
      <c r="AM931" s="6" t="n"/>
      <c r="AN931" s="6" t="n"/>
      <c r="AO931" s="3">
        <f>IF($AN931="","",HYPERLINK(p_ruta_base_checklists&amp;$AN931,"abrir"))</f>
        <v/>
      </c>
      <c r="AP931" s="6" t="n"/>
      <c r="AQ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IF($A932="","",IFERROR(INDEX('AJUSTES'!$B$4:$B$303,MATCH($AQ932,'AJUSTES'!$A$4:$A$303,0)),IF($K932="","",$K932)))</f>
        <v/>
      </c>
      <c r="N932" s="3">
        <f>IF($A932="","",IFERROR(INDEX('CAT_ESTADOS_ERP'!$B$4:$B$7,MATCH(IFERROR(INDEX('2_IMPORTAR_EJECUCION'!$C$9:$C$1208,MATCH($AQ932,'2_IMPORTAR_EJECUCION'!$J$9:$J$1208,0)),""),'CAT_ESTADOS_ERP'!$A$4:$A$7,0)),"Pendiente"))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J932="","",IFERROR(INDEX('CALENDARIO'!$C$15:$C$214,MATCH(TEXT($J932,"yyyy-mm-dd")&amp;"|"&amp;$V932&amp;"|"&amp;$W932,'CALENDARIO'!$G$15:$G$214,0)),IFERROR(INDEX('CALENDARIO'!$C$15:$C$214,MATCH(TEXT($J932,"yyyy-mm-dd")&amp;"|"&amp;$V932&amp;"|",'CALENDARIO'!$G$15:$G$214,0)),IFERROR(INDEX('CALENDARIO'!$C$15:$C$214,MATCH(TEXT($J932,"yyyy-mm-dd")&amp;"||",'CALENDARIO'!$G$15:$G$214,0)),INDEX(patronHabil,WEEKDAY($J932,2))))))</f>
        <v/>
      </c>
      <c r="T932" s="3">
        <f>IF($I932="","",IFERROR(INDEX('CAT_TIPOS_OT'!$C$4:$C$7,MATCH($I932,'CAT_TIPOS_OT'!$A$4:$A$7,0)),"sin_clasificar"))</f>
        <v/>
      </c>
      <c r="U932" s="3">
        <f>IF($F932="","",IFERROR(INDEX('CAT_CENTROS_COSTO'!$F$4:$F$13,MATCH($F932,'CAT_CENTROS_COSTO'!$A$4:$A$13,0)),"(sin catálogo)"))</f>
        <v/>
      </c>
      <c r="V932" s="3">
        <f>IF($F932="","",IFERROR(INDEX('CAT_CENTROS_COSTO'!$D$4:$D$13,MATCH($F932,'CAT_CENTROS_COSTO'!$A$4:$A$13,0)),"(sin catálogo)"))</f>
        <v/>
      </c>
      <c r="W932" s="3">
        <f>IF($F932="","",IF((IFERROR(INDEX('CAT_CENTROS_COSTO'!$E$4:$E$13,MATCH($F932,'CAT_CENTROS_COSTO'!$A$4:$A$13,0)),""))&lt;&gt;"",IFERROR(INDEX('CAT_CENTROS_COSTO'!$E$4:$E$13,MATCH($F932,'CAT_CENTROS_COSTO'!$A$4:$A$13,0)),""),$V932))</f>
        <v/>
      </c>
      <c r="X932" s="3">
        <f>IF($F932="","",IFERROR(INDEX('CAT_CENTROS_COSTO'!$G$4:$G$13,MATCH($F932,'CAT_CENTROS_COSTO'!$A$4:$A$13,0)),"(sin catálogo)"))</f>
        <v/>
      </c>
      <c r="Y932" s="3">
        <f>IF($G932="","",IFERROR(INDEX('CAT_PUESTOS'!$B$4:$B$8,MATCH($G932,'CAT_PUESTOS'!$A$4:$A$8,0)),"(sin catálogo)"))</f>
        <v/>
      </c>
      <c r="Z932" s="3">
        <f>IF($H932="","",IFERROR(INDEX('CAT_ACTIVIDADES'!$B$4:$B$8,MATCH($H932,'CAT_ACTIVIDADES'!$A$4:$A$8,0)),"(sin catálogo)"))</f>
        <v/>
      </c>
      <c r="AA932" s="12">
        <f>IF($J932="","",TODAY()-$J932)</f>
        <v/>
      </c>
      <c r="AB932" s="12">
        <f>IF($J932="","",IF($J932&lt;=TODAY(),COUNTIFS(cal_fechas,"&gt;="&amp;$J932,cal_fechas,"&lt;"&amp;TODAY(),cal_habil,"sí"),-COUNTIFS(cal_fechas,"&gt;="&amp;TODAY(),cal_fechas,"&lt;"&amp;$J932,cal_habil,"sí")))</f>
        <v/>
      </c>
      <c r="AC932" s="3">
        <f>IF($AB932="","",IF($AB932&lt;0,"FUTURO",IF($AB932&gt;p_dias_backlog_max,"BACKLOG","MES CORRIENTE")))</f>
        <v/>
      </c>
      <c r="AD932" s="3">
        <f>IF($AB932="",FALSE,AND($AB932&gt;p_dias_backlog_min,$AB932&lt;=p_dias_backlog_max))</f>
        <v/>
      </c>
      <c r="AE932" s="6" t="n"/>
      <c r="AF932" s="3">
        <f>IF($AE932="","",IF((IFERROR(INDEX('ASIGNACIONES'!$F$4:$F$339,MATCH($O932&amp;"|"&amp;$R932&amp;"|"&amp;$AE932,'ASIGNACIONES'!$J$4:$J$339,0)),""))=0,"",IFERROR(INDEX('ASIGNACIONES'!$F$4:$F$339,MATCH($O932&amp;"|"&amp;$R932&amp;"|"&amp;$AE932,'ASIGNACIONES'!$J$4:$J$339,0)),"")))</f>
        <v/>
      </c>
      <c r="AG932" s="13">
        <f>IF($AE932="","",SUMIFS('ORDENES'!$M$4:$M$1203,'ORDENES'!$AE$4:$AE$1203,$AE932,'ORDENES'!$O$4:$O$1203,$O932,'ORDENES'!$R$4:$R$1203,$R932))</f>
        <v/>
      </c>
      <c r="AH932" s="13">
        <f>IF($AG932="","",p_factor_productividad*IFERROR(INDEX('ASIGNACIONES'!$I$4:$I$339,MATCH($O932&amp;"|"&amp;$R932&amp;"|"&amp;$AE932,'ASIGNACIONES'!$J$4:$J$339,0)),0)-$AG932)</f>
        <v/>
      </c>
      <c r="AI932" s="10">
        <f>IF($A932="","",IFERROR(INDEX('2_IMPORTAR_EJECUCION'!$F$9:$F$1208,MATCH($AQ932,'2_IMPORTAR_EJECUCION'!$J$9:$J$1208,0)),0))</f>
        <v/>
      </c>
      <c r="AJ932" s="10">
        <f>IF($A932="","",MAX(0,IFERROR(INDEX('2_IMPORTAR_EJECUCION'!$H$9:$H$1208,MATCH($AQ932,'2_IMPORTAR_EJECUCION'!$J$9:$J$1208,0)),0)-$AI932))</f>
        <v/>
      </c>
      <c r="AK932" s="10">
        <f>IF($A932="","",$AI932+$AJ932)</f>
        <v/>
      </c>
      <c r="AL932" s="6" t="n"/>
      <c r="AM932" s="6" t="n"/>
      <c r="AN932" s="6" t="n"/>
      <c r="AO932" s="3">
        <f>IF($AN932="","",HYPERLINK(p_ruta_base_checklists&amp;$AN932,"abrir"))</f>
        <v/>
      </c>
      <c r="AP932" s="6" t="n"/>
      <c r="AQ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IF($A933="","",IFERROR(INDEX('AJUSTES'!$B$4:$B$303,MATCH($AQ933,'AJUSTES'!$A$4:$A$303,0)),IF($K933="","",$K933)))</f>
        <v/>
      </c>
      <c r="N933" s="3">
        <f>IF($A933="","",IFERROR(INDEX('CAT_ESTADOS_ERP'!$B$4:$B$7,MATCH(IFERROR(INDEX('2_IMPORTAR_EJECUCION'!$C$9:$C$1208,MATCH($AQ933,'2_IMPORTAR_EJECUCION'!$J$9:$J$1208,0)),""),'CAT_ESTADOS_ERP'!$A$4:$A$7,0)),"Pendiente"))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J933="","",IFERROR(INDEX('CALENDARIO'!$C$15:$C$214,MATCH(TEXT($J933,"yyyy-mm-dd")&amp;"|"&amp;$V933&amp;"|"&amp;$W933,'CALENDARIO'!$G$15:$G$214,0)),IFERROR(INDEX('CALENDARIO'!$C$15:$C$214,MATCH(TEXT($J933,"yyyy-mm-dd")&amp;"|"&amp;$V933&amp;"|",'CALENDARIO'!$G$15:$G$214,0)),IFERROR(INDEX('CALENDARIO'!$C$15:$C$214,MATCH(TEXT($J933,"yyyy-mm-dd")&amp;"||",'CALENDARIO'!$G$15:$G$214,0)),INDEX(patronHabil,WEEKDAY($J933,2))))))</f>
        <v/>
      </c>
      <c r="T933" s="3">
        <f>IF($I933="","",IFERROR(INDEX('CAT_TIPOS_OT'!$C$4:$C$7,MATCH($I933,'CAT_TIPOS_OT'!$A$4:$A$7,0)),"sin_clasificar"))</f>
        <v/>
      </c>
      <c r="U933" s="3">
        <f>IF($F933="","",IFERROR(INDEX('CAT_CENTROS_COSTO'!$F$4:$F$13,MATCH($F933,'CAT_CENTROS_COSTO'!$A$4:$A$13,0)),"(sin catálogo)"))</f>
        <v/>
      </c>
      <c r="V933" s="3">
        <f>IF($F933="","",IFERROR(INDEX('CAT_CENTROS_COSTO'!$D$4:$D$13,MATCH($F933,'CAT_CENTROS_COSTO'!$A$4:$A$13,0)),"(sin catálogo)"))</f>
        <v/>
      </c>
      <c r="W933" s="3">
        <f>IF($F933="","",IF((IFERROR(INDEX('CAT_CENTROS_COSTO'!$E$4:$E$13,MATCH($F933,'CAT_CENTROS_COSTO'!$A$4:$A$13,0)),""))&lt;&gt;"",IFERROR(INDEX('CAT_CENTROS_COSTO'!$E$4:$E$13,MATCH($F933,'CAT_CENTROS_COSTO'!$A$4:$A$13,0)),""),$V933))</f>
        <v/>
      </c>
      <c r="X933" s="3">
        <f>IF($F933="","",IFERROR(INDEX('CAT_CENTROS_COSTO'!$G$4:$G$13,MATCH($F933,'CAT_CENTROS_COSTO'!$A$4:$A$13,0)),"(sin catálogo)"))</f>
        <v/>
      </c>
      <c r="Y933" s="3">
        <f>IF($G933="","",IFERROR(INDEX('CAT_PUESTOS'!$B$4:$B$8,MATCH($G933,'CAT_PUESTOS'!$A$4:$A$8,0)),"(sin catálogo)"))</f>
        <v/>
      </c>
      <c r="Z933" s="3">
        <f>IF($H933="","",IFERROR(INDEX('CAT_ACTIVIDADES'!$B$4:$B$8,MATCH($H933,'CAT_ACTIVIDADES'!$A$4:$A$8,0)),"(sin catálogo)"))</f>
        <v/>
      </c>
      <c r="AA933" s="12">
        <f>IF($J933="","",TODAY()-$J933)</f>
        <v/>
      </c>
      <c r="AB933" s="12">
        <f>IF($J933="","",IF($J933&lt;=TODAY(),COUNTIFS(cal_fechas,"&gt;="&amp;$J933,cal_fechas,"&lt;"&amp;TODAY(),cal_habil,"sí"),-COUNTIFS(cal_fechas,"&gt;="&amp;TODAY(),cal_fechas,"&lt;"&amp;$J933,cal_habil,"sí")))</f>
        <v/>
      </c>
      <c r="AC933" s="3">
        <f>IF($AB933="","",IF($AB933&lt;0,"FUTURO",IF($AB933&gt;p_dias_backlog_max,"BACKLOG","MES CORRIENTE")))</f>
        <v/>
      </c>
      <c r="AD933" s="3">
        <f>IF($AB933="",FALSE,AND($AB933&gt;p_dias_backlog_min,$AB933&lt;=p_dias_backlog_max))</f>
        <v/>
      </c>
      <c r="AE933" s="6" t="n"/>
      <c r="AF933" s="3">
        <f>IF($AE933="","",IF((IFERROR(INDEX('ASIGNACIONES'!$F$4:$F$339,MATCH($O933&amp;"|"&amp;$R933&amp;"|"&amp;$AE933,'ASIGNACIONES'!$J$4:$J$339,0)),""))=0,"",IFERROR(INDEX('ASIGNACIONES'!$F$4:$F$339,MATCH($O933&amp;"|"&amp;$R933&amp;"|"&amp;$AE933,'ASIGNACIONES'!$J$4:$J$339,0)),"")))</f>
        <v/>
      </c>
      <c r="AG933" s="13">
        <f>IF($AE933="","",SUMIFS('ORDENES'!$M$4:$M$1203,'ORDENES'!$AE$4:$AE$1203,$AE933,'ORDENES'!$O$4:$O$1203,$O933,'ORDENES'!$R$4:$R$1203,$R933))</f>
        <v/>
      </c>
      <c r="AH933" s="13">
        <f>IF($AG933="","",p_factor_productividad*IFERROR(INDEX('ASIGNACIONES'!$I$4:$I$339,MATCH($O933&amp;"|"&amp;$R933&amp;"|"&amp;$AE933,'ASIGNACIONES'!$J$4:$J$339,0)),0)-$AG933)</f>
        <v/>
      </c>
      <c r="AI933" s="10">
        <f>IF($A933="","",IFERROR(INDEX('2_IMPORTAR_EJECUCION'!$F$9:$F$1208,MATCH($AQ933,'2_IMPORTAR_EJECUCION'!$J$9:$J$1208,0)),0))</f>
        <v/>
      </c>
      <c r="AJ933" s="10">
        <f>IF($A933="","",MAX(0,IFERROR(INDEX('2_IMPORTAR_EJECUCION'!$H$9:$H$1208,MATCH($AQ933,'2_IMPORTAR_EJECUCION'!$J$9:$J$1208,0)),0)-$AI933))</f>
        <v/>
      </c>
      <c r="AK933" s="10">
        <f>IF($A933="","",$AI933+$AJ933)</f>
        <v/>
      </c>
      <c r="AL933" s="6" t="n"/>
      <c r="AM933" s="6" t="n"/>
      <c r="AN933" s="6" t="n"/>
      <c r="AO933" s="3">
        <f>IF($AN933="","",HYPERLINK(p_ruta_base_checklists&amp;$AN933,"abrir"))</f>
        <v/>
      </c>
      <c r="AP933" s="6" t="n"/>
      <c r="AQ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IF($A934="","",IFERROR(INDEX('AJUSTES'!$B$4:$B$303,MATCH($AQ934,'AJUSTES'!$A$4:$A$303,0)),IF($K934="","",$K934)))</f>
        <v/>
      </c>
      <c r="N934" s="3">
        <f>IF($A934="","",IFERROR(INDEX('CAT_ESTADOS_ERP'!$B$4:$B$7,MATCH(IFERROR(INDEX('2_IMPORTAR_EJECUCION'!$C$9:$C$1208,MATCH($AQ934,'2_IMPORTAR_EJECUCION'!$J$9:$J$1208,0)),""),'CAT_ESTADOS_ERP'!$A$4:$A$7,0)),"Pendiente"))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J934="","",IFERROR(INDEX('CALENDARIO'!$C$15:$C$214,MATCH(TEXT($J934,"yyyy-mm-dd")&amp;"|"&amp;$V934&amp;"|"&amp;$W934,'CALENDARIO'!$G$15:$G$214,0)),IFERROR(INDEX('CALENDARIO'!$C$15:$C$214,MATCH(TEXT($J934,"yyyy-mm-dd")&amp;"|"&amp;$V934&amp;"|",'CALENDARIO'!$G$15:$G$214,0)),IFERROR(INDEX('CALENDARIO'!$C$15:$C$214,MATCH(TEXT($J934,"yyyy-mm-dd")&amp;"||",'CALENDARIO'!$G$15:$G$214,0)),INDEX(patronHabil,WEEKDAY($J934,2))))))</f>
        <v/>
      </c>
      <c r="T934" s="3">
        <f>IF($I934="","",IFERROR(INDEX('CAT_TIPOS_OT'!$C$4:$C$7,MATCH($I934,'CAT_TIPOS_OT'!$A$4:$A$7,0)),"sin_clasificar"))</f>
        <v/>
      </c>
      <c r="U934" s="3">
        <f>IF($F934="","",IFERROR(INDEX('CAT_CENTROS_COSTO'!$F$4:$F$13,MATCH($F934,'CAT_CENTROS_COSTO'!$A$4:$A$13,0)),"(sin catálogo)"))</f>
        <v/>
      </c>
      <c r="V934" s="3">
        <f>IF($F934="","",IFERROR(INDEX('CAT_CENTROS_COSTO'!$D$4:$D$13,MATCH($F934,'CAT_CENTROS_COSTO'!$A$4:$A$13,0)),"(sin catálogo)"))</f>
        <v/>
      </c>
      <c r="W934" s="3">
        <f>IF($F934="","",IF((IFERROR(INDEX('CAT_CENTROS_COSTO'!$E$4:$E$13,MATCH($F934,'CAT_CENTROS_COSTO'!$A$4:$A$13,0)),""))&lt;&gt;"",IFERROR(INDEX('CAT_CENTROS_COSTO'!$E$4:$E$13,MATCH($F934,'CAT_CENTROS_COSTO'!$A$4:$A$13,0)),""),$V934))</f>
        <v/>
      </c>
      <c r="X934" s="3">
        <f>IF($F934="","",IFERROR(INDEX('CAT_CENTROS_COSTO'!$G$4:$G$13,MATCH($F934,'CAT_CENTROS_COSTO'!$A$4:$A$13,0)),"(sin catálogo)"))</f>
        <v/>
      </c>
      <c r="Y934" s="3">
        <f>IF($G934="","",IFERROR(INDEX('CAT_PUESTOS'!$B$4:$B$8,MATCH($G934,'CAT_PUESTOS'!$A$4:$A$8,0)),"(sin catálogo)"))</f>
        <v/>
      </c>
      <c r="Z934" s="3">
        <f>IF($H934="","",IFERROR(INDEX('CAT_ACTIVIDADES'!$B$4:$B$8,MATCH($H934,'CAT_ACTIVIDADES'!$A$4:$A$8,0)),"(sin catálogo)"))</f>
        <v/>
      </c>
      <c r="AA934" s="12">
        <f>IF($J934="","",TODAY()-$J934)</f>
        <v/>
      </c>
      <c r="AB934" s="12">
        <f>IF($J934="","",IF($J934&lt;=TODAY(),COUNTIFS(cal_fechas,"&gt;="&amp;$J934,cal_fechas,"&lt;"&amp;TODAY(),cal_habil,"sí"),-COUNTIFS(cal_fechas,"&gt;="&amp;TODAY(),cal_fechas,"&lt;"&amp;$J934,cal_habil,"sí")))</f>
        <v/>
      </c>
      <c r="AC934" s="3">
        <f>IF($AB934="","",IF($AB934&lt;0,"FUTURO",IF($AB934&gt;p_dias_backlog_max,"BACKLOG","MES CORRIENTE")))</f>
        <v/>
      </c>
      <c r="AD934" s="3">
        <f>IF($AB934="",FALSE,AND($AB934&gt;p_dias_backlog_min,$AB934&lt;=p_dias_backlog_max))</f>
        <v/>
      </c>
      <c r="AE934" s="6" t="n"/>
      <c r="AF934" s="3">
        <f>IF($AE934="","",IF((IFERROR(INDEX('ASIGNACIONES'!$F$4:$F$339,MATCH($O934&amp;"|"&amp;$R934&amp;"|"&amp;$AE934,'ASIGNACIONES'!$J$4:$J$339,0)),""))=0,"",IFERROR(INDEX('ASIGNACIONES'!$F$4:$F$339,MATCH($O934&amp;"|"&amp;$R934&amp;"|"&amp;$AE934,'ASIGNACIONES'!$J$4:$J$339,0)),"")))</f>
        <v/>
      </c>
      <c r="AG934" s="13">
        <f>IF($AE934="","",SUMIFS('ORDENES'!$M$4:$M$1203,'ORDENES'!$AE$4:$AE$1203,$AE934,'ORDENES'!$O$4:$O$1203,$O934,'ORDENES'!$R$4:$R$1203,$R934))</f>
        <v/>
      </c>
      <c r="AH934" s="13">
        <f>IF($AG934="","",p_factor_productividad*IFERROR(INDEX('ASIGNACIONES'!$I$4:$I$339,MATCH($O934&amp;"|"&amp;$R934&amp;"|"&amp;$AE934,'ASIGNACIONES'!$J$4:$J$339,0)),0)-$AG934)</f>
        <v/>
      </c>
      <c r="AI934" s="10">
        <f>IF($A934="","",IFERROR(INDEX('2_IMPORTAR_EJECUCION'!$F$9:$F$1208,MATCH($AQ934,'2_IMPORTAR_EJECUCION'!$J$9:$J$1208,0)),0))</f>
        <v/>
      </c>
      <c r="AJ934" s="10">
        <f>IF($A934="","",MAX(0,IFERROR(INDEX('2_IMPORTAR_EJECUCION'!$H$9:$H$1208,MATCH($AQ934,'2_IMPORTAR_EJECUCION'!$J$9:$J$1208,0)),0)-$AI934))</f>
        <v/>
      </c>
      <c r="AK934" s="10">
        <f>IF($A934="","",$AI934+$AJ934)</f>
        <v/>
      </c>
      <c r="AL934" s="6" t="n"/>
      <c r="AM934" s="6" t="n"/>
      <c r="AN934" s="6" t="n"/>
      <c r="AO934" s="3">
        <f>IF($AN934="","",HYPERLINK(p_ruta_base_checklists&amp;$AN934,"abrir"))</f>
        <v/>
      </c>
      <c r="AP934" s="6" t="n"/>
      <c r="AQ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IF($A935="","",IFERROR(INDEX('AJUSTES'!$B$4:$B$303,MATCH($AQ935,'AJUSTES'!$A$4:$A$303,0)),IF($K935="","",$K935)))</f>
        <v/>
      </c>
      <c r="N935" s="3">
        <f>IF($A935="","",IFERROR(INDEX('CAT_ESTADOS_ERP'!$B$4:$B$7,MATCH(IFERROR(INDEX('2_IMPORTAR_EJECUCION'!$C$9:$C$1208,MATCH($AQ935,'2_IMPORTAR_EJECUCION'!$J$9:$J$1208,0)),""),'CAT_ESTADOS_ERP'!$A$4:$A$7,0)),"Pendiente"))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J935="","",IFERROR(INDEX('CALENDARIO'!$C$15:$C$214,MATCH(TEXT($J935,"yyyy-mm-dd")&amp;"|"&amp;$V935&amp;"|"&amp;$W935,'CALENDARIO'!$G$15:$G$214,0)),IFERROR(INDEX('CALENDARIO'!$C$15:$C$214,MATCH(TEXT($J935,"yyyy-mm-dd")&amp;"|"&amp;$V935&amp;"|",'CALENDARIO'!$G$15:$G$214,0)),IFERROR(INDEX('CALENDARIO'!$C$15:$C$214,MATCH(TEXT($J935,"yyyy-mm-dd")&amp;"||",'CALENDARIO'!$G$15:$G$214,0)),INDEX(patronHabil,WEEKDAY($J935,2))))))</f>
        <v/>
      </c>
      <c r="T935" s="3">
        <f>IF($I935="","",IFERROR(INDEX('CAT_TIPOS_OT'!$C$4:$C$7,MATCH($I935,'CAT_TIPOS_OT'!$A$4:$A$7,0)),"sin_clasificar"))</f>
        <v/>
      </c>
      <c r="U935" s="3">
        <f>IF($F935="","",IFERROR(INDEX('CAT_CENTROS_COSTO'!$F$4:$F$13,MATCH($F935,'CAT_CENTROS_COSTO'!$A$4:$A$13,0)),"(sin catálogo)"))</f>
        <v/>
      </c>
      <c r="V935" s="3">
        <f>IF($F935="","",IFERROR(INDEX('CAT_CENTROS_COSTO'!$D$4:$D$13,MATCH($F935,'CAT_CENTROS_COSTO'!$A$4:$A$13,0)),"(sin catálogo)"))</f>
        <v/>
      </c>
      <c r="W935" s="3">
        <f>IF($F935="","",IF((IFERROR(INDEX('CAT_CENTROS_COSTO'!$E$4:$E$13,MATCH($F935,'CAT_CENTROS_COSTO'!$A$4:$A$13,0)),""))&lt;&gt;"",IFERROR(INDEX('CAT_CENTROS_COSTO'!$E$4:$E$13,MATCH($F935,'CAT_CENTROS_COSTO'!$A$4:$A$13,0)),""),$V935))</f>
        <v/>
      </c>
      <c r="X935" s="3">
        <f>IF($F935="","",IFERROR(INDEX('CAT_CENTROS_COSTO'!$G$4:$G$13,MATCH($F935,'CAT_CENTROS_COSTO'!$A$4:$A$13,0)),"(sin catálogo)"))</f>
        <v/>
      </c>
      <c r="Y935" s="3">
        <f>IF($G935="","",IFERROR(INDEX('CAT_PUESTOS'!$B$4:$B$8,MATCH($G935,'CAT_PUESTOS'!$A$4:$A$8,0)),"(sin catálogo)"))</f>
        <v/>
      </c>
      <c r="Z935" s="3">
        <f>IF($H935="","",IFERROR(INDEX('CAT_ACTIVIDADES'!$B$4:$B$8,MATCH($H935,'CAT_ACTIVIDADES'!$A$4:$A$8,0)),"(sin catálogo)"))</f>
        <v/>
      </c>
      <c r="AA935" s="12">
        <f>IF($J935="","",TODAY()-$J935)</f>
        <v/>
      </c>
      <c r="AB935" s="12">
        <f>IF($J935="","",IF($J935&lt;=TODAY(),COUNTIFS(cal_fechas,"&gt;="&amp;$J935,cal_fechas,"&lt;"&amp;TODAY(),cal_habil,"sí"),-COUNTIFS(cal_fechas,"&gt;="&amp;TODAY(),cal_fechas,"&lt;"&amp;$J935,cal_habil,"sí")))</f>
        <v/>
      </c>
      <c r="AC935" s="3">
        <f>IF($AB935="","",IF($AB935&lt;0,"FUTURO",IF($AB935&gt;p_dias_backlog_max,"BACKLOG","MES CORRIENTE")))</f>
        <v/>
      </c>
      <c r="AD935" s="3">
        <f>IF($AB935="",FALSE,AND($AB935&gt;p_dias_backlog_min,$AB935&lt;=p_dias_backlog_max))</f>
        <v/>
      </c>
      <c r="AE935" s="6" t="n"/>
      <c r="AF935" s="3">
        <f>IF($AE935="","",IF((IFERROR(INDEX('ASIGNACIONES'!$F$4:$F$339,MATCH($O935&amp;"|"&amp;$R935&amp;"|"&amp;$AE935,'ASIGNACIONES'!$J$4:$J$339,0)),""))=0,"",IFERROR(INDEX('ASIGNACIONES'!$F$4:$F$339,MATCH($O935&amp;"|"&amp;$R935&amp;"|"&amp;$AE935,'ASIGNACIONES'!$J$4:$J$339,0)),"")))</f>
        <v/>
      </c>
      <c r="AG935" s="13">
        <f>IF($AE935="","",SUMIFS('ORDENES'!$M$4:$M$1203,'ORDENES'!$AE$4:$AE$1203,$AE935,'ORDENES'!$O$4:$O$1203,$O935,'ORDENES'!$R$4:$R$1203,$R935))</f>
        <v/>
      </c>
      <c r="AH935" s="13">
        <f>IF($AG935="","",p_factor_productividad*IFERROR(INDEX('ASIGNACIONES'!$I$4:$I$339,MATCH($O935&amp;"|"&amp;$R935&amp;"|"&amp;$AE935,'ASIGNACIONES'!$J$4:$J$339,0)),0)-$AG935)</f>
        <v/>
      </c>
      <c r="AI935" s="10">
        <f>IF($A935="","",IFERROR(INDEX('2_IMPORTAR_EJECUCION'!$F$9:$F$1208,MATCH($AQ935,'2_IMPORTAR_EJECUCION'!$J$9:$J$1208,0)),0))</f>
        <v/>
      </c>
      <c r="AJ935" s="10">
        <f>IF($A935="","",MAX(0,IFERROR(INDEX('2_IMPORTAR_EJECUCION'!$H$9:$H$1208,MATCH($AQ935,'2_IMPORTAR_EJECUCION'!$J$9:$J$1208,0)),0)-$AI935))</f>
        <v/>
      </c>
      <c r="AK935" s="10">
        <f>IF($A935="","",$AI935+$AJ935)</f>
        <v/>
      </c>
      <c r="AL935" s="6" t="n"/>
      <c r="AM935" s="6" t="n"/>
      <c r="AN935" s="6" t="n"/>
      <c r="AO935" s="3">
        <f>IF($AN935="","",HYPERLINK(p_ruta_base_checklists&amp;$AN935,"abrir"))</f>
        <v/>
      </c>
      <c r="AP935" s="6" t="n"/>
      <c r="AQ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IF($A936="","",IFERROR(INDEX('AJUSTES'!$B$4:$B$303,MATCH($AQ936,'AJUSTES'!$A$4:$A$303,0)),IF($K936="","",$K936)))</f>
        <v/>
      </c>
      <c r="N936" s="3">
        <f>IF($A936="","",IFERROR(INDEX('CAT_ESTADOS_ERP'!$B$4:$B$7,MATCH(IFERROR(INDEX('2_IMPORTAR_EJECUCION'!$C$9:$C$1208,MATCH($AQ936,'2_IMPORTAR_EJECUCION'!$J$9:$J$1208,0)),""),'CAT_ESTADOS_ERP'!$A$4:$A$7,0)),"Pendiente"))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J936="","",IFERROR(INDEX('CALENDARIO'!$C$15:$C$214,MATCH(TEXT($J936,"yyyy-mm-dd")&amp;"|"&amp;$V936&amp;"|"&amp;$W936,'CALENDARIO'!$G$15:$G$214,0)),IFERROR(INDEX('CALENDARIO'!$C$15:$C$214,MATCH(TEXT($J936,"yyyy-mm-dd")&amp;"|"&amp;$V936&amp;"|",'CALENDARIO'!$G$15:$G$214,0)),IFERROR(INDEX('CALENDARIO'!$C$15:$C$214,MATCH(TEXT($J936,"yyyy-mm-dd")&amp;"||",'CALENDARIO'!$G$15:$G$214,0)),INDEX(patronHabil,WEEKDAY($J936,2))))))</f>
        <v/>
      </c>
      <c r="T936" s="3">
        <f>IF($I936="","",IFERROR(INDEX('CAT_TIPOS_OT'!$C$4:$C$7,MATCH($I936,'CAT_TIPOS_OT'!$A$4:$A$7,0)),"sin_clasificar"))</f>
        <v/>
      </c>
      <c r="U936" s="3">
        <f>IF($F936="","",IFERROR(INDEX('CAT_CENTROS_COSTO'!$F$4:$F$13,MATCH($F936,'CAT_CENTROS_COSTO'!$A$4:$A$13,0)),"(sin catálogo)"))</f>
        <v/>
      </c>
      <c r="V936" s="3">
        <f>IF($F936="","",IFERROR(INDEX('CAT_CENTROS_COSTO'!$D$4:$D$13,MATCH($F936,'CAT_CENTROS_COSTO'!$A$4:$A$13,0)),"(sin catálogo)"))</f>
        <v/>
      </c>
      <c r="W936" s="3">
        <f>IF($F936="","",IF((IFERROR(INDEX('CAT_CENTROS_COSTO'!$E$4:$E$13,MATCH($F936,'CAT_CENTROS_COSTO'!$A$4:$A$13,0)),""))&lt;&gt;"",IFERROR(INDEX('CAT_CENTROS_COSTO'!$E$4:$E$13,MATCH($F936,'CAT_CENTROS_COSTO'!$A$4:$A$13,0)),""),$V936))</f>
        <v/>
      </c>
      <c r="X936" s="3">
        <f>IF($F936="","",IFERROR(INDEX('CAT_CENTROS_COSTO'!$G$4:$G$13,MATCH($F936,'CAT_CENTROS_COSTO'!$A$4:$A$13,0)),"(sin catálogo)"))</f>
        <v/>
      </c>
      <c r="Y936" s="3">
        <f>IF($G936="","",IFERROR(INDEX('CAT_PUESTOS'!$B$4:$B$8,MATCH($G936,'CAT_PUESTOS'!$A$4:$A$8,0)),"(sin catálogo)"))</f>
        <v/>
      </c>
      <c r="Z936" s="3">
        <f>IF($H936="","",IFERROR(INDEX('CAT_ACTIVIDADES'!$B$4:$B$8,MATCH($H936,'CAT_ACTIVIDADES'!$A$4:$A$8,0)),"(sin catálogo)"))</f>
        <v/>
      </c>
      <c r="AA936" s="12">
        <f>IF($J936="","",TODAY()-$J936)</f>
        <v/>
      </c>
      <c r="AB936" s="12">
        <f>IF($J936="","",IF($J936&lt;=TODAY(),COUNTIFS(cal_fechas,"&gt;="&amp;$J936,cal_fechas,"&lt;"&amp;TODAY(),cal_habil,"sí"),-COUNTIFS(cal_fechas,"&gt;="&amp;TODAY(),cal_fechas,"&lt;"&amp;$J936,cal_habil,"sí")))</f>
        <v/>
      </c>
      <c r="AC936" s="3">
        <f>IF($AB936="","",IF($AB936&lt;0,"FUTURO",IF($AB936&gt;p_dias_backlog_max,"BACKLOG","MES CORRIENTE")))</f>
        <v/>
      </c>
      <c r="AD936" s="3">
        <f>IF($AB936="",FALSE,AND($AB936&gt;p_dias_backlog_min,$AB936&lt;=p_dias_backlog_max))</f>
        <v/>
      </c>
      <c r="AE936" s="6" t="n"/>
      <c r="AF936" s="3">
        <f>IF($AE936="","",IF((IFERROR(INDEX('ASIGNACIONES'!$F$4:$F$339,MATCH($O936&amp;"|"&amp;$R936&amp;"|"&amp;$AE936,'ASIGNACIONES'!$J$4:$J$339,0)),""))=0,"",IFERROR(INDEX('ASIGNACIONES'!$F$4:$F$339,MATCH($O936&amp;"|"&amp;$R936&amp;"|"&amp;$AE936,'ASIGNACIONES'!$J$4:$J$339,0)),"")))</f>
        <v/>
      </c>
      <c r="AG936" s="13">
        <f>IF($AE936="","",SUMIFS('ORDENES'!$M$4:$M$1203,'ORDENES'!$AE$4:$AE$1203,$AE936,'ORDENES'!$O$4:$O$1203,$O936,'ORDENES'!$R$4:$R$1203,$R936))</f>
        <v/>
      </c>
      <c r="AH936" s="13">
        <f>IF($AG936="","",p_factor_productividad*IFERROR(INDEX('ASIGNACIONES'!$I$4:$I$339,MATCH($O936&amp;"|"&amp;$R936&amp;"|"&amp;$AE936,'ASIGNACIONES'!$J$4:$J$339,0)),0)-$AG936)</f>
        <v/>
      </c>
      <c r="AI936" s="10">
        <f>IF($A936="","",IFERROR(INDEX('2_IMPORTAR_EJECUCION'!$F$9:$F$1208,MATCH($AQ936,'2_IMPORTAR_EJECUCION'!$J$9:$J$1208,0)),0))</f>
        <v/>
      </c>
      <c r="AJ936" s="10">
        <f>IF($A936="","",MAX(0,IFERROR(INDEX('2_IMPORTAR_EJECUCION'!$H$9:$H$1208,MATCH($AQ936,'2_IMPORTAR_EJECUCION'!$J$9:$J$1208,0)),0)-$AI936))</f>
        <v/>
      </c>
      <c r="AK936" s="10">
        <f>IF($A936="","",$AI936+$AJ936)</f>
        <v/>
      </c>
      <c r="AL936" s="6" t="n"/>
      <c r="AM936" s="6" t="n"/>
      <c r="AN936" s="6" t="n"/>
      <c r="AO936" s="3">
        <f>IF($AN936="","",HYPERLINK(p_ruta_base_checklists&amp;$AN936,"abrir"))</f>
        <v/>
      </c>
      <c r="AP936" s="6" t="n"/>
      <c r="AQ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IF($A937="","",IFERROR(INDEX('AJUSTES'!$B$4:$B$303,MATCH($AQ937,'AJUSTES'!$A$4:$A$303,0)),IF($K937="","",$K937)))</f>
        <v/>
      </c>
      <c r="N937" s="3">
        <f>IF($A937="","",IFERROR(INDEX('CAT_ESTADOS_ERP'!$B$4:$B$7,MATCH(IFERROR(INDEX('2_IMPORTAR_EJECUCION'!$C$9:$C$1208,MATCH($AQ937,'2_IMPORTAR_EJECUCION'!$J$9:$J$1208,0)),""),'CAT_ESTADOS_ERP'!$A$4:$A$7,0)),"Pendiente"))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J937="","",IFERROR(INDEX('CALENDARIO'!$C$15:$C$214,MATCH(TEXT($J937,"yyyy-mm-dd")&amp;"|"&amp;$V937&amp;"|"&amp;$W937,'CALENDARIO'!$G$15:$G$214,0)),IFERROR(INDEX('CALENDARIO'!$C$15:$C$214,MATCH(TEXT($J937,"yyyy-mm-dd")&amp;"|"&amp;$V937&amp;"|",'CALENDARIO'!$G$15:$G$214,0)),IFERROR(INDEX('CALENDARIO'!$C$15:$C$214,MATCH(TEXT($J937,"yyyy-mm-dd")&amp;"||",'CALENDARIO'!$G$15:$G$214,0)),INDEX(patronHabil,WEEKDAY($J937,2))))))</f>
        <v/>
      </c>
      <c r="T937" s="3">
        <f>IF($I937="","",IFERROR(INDEX('CAT_TIPOS_OT'!$C$4:$C$7,MATCH($I937,'CAT_TIPOS_OT'!$A$4:$A$7,0)),"sin_clasificar"))</f>
        <v/>
      </c>
      <c r="U937" s="3">
        <f>IF($F937="","",IFERROR(INDEX('CAT_CENTROS_COSTO'!$F$4:$F$13,MATCH($F937,'CAT_CENTROS_COSTO'!$A$4:$A$13,0)),"(sin catálogo)"))</f>
        <v/>
      </c>
      <c r="V937" s="3">
        <f>IF($F937="","",IFERROR(INDEX('CAT_CENTROS_COSTO'!$D$4:$D$13,MATCH($F937,'CAT_CENTROS_COSTO'!$A$4:$A$13,0)),"(sin catálogo)"))</f>
        <v/>
      </c>
      <c r="W937" s="3">
        <f>IF($F937="","",IF((IFERROR(INDEX('CAT_CENTROS_COSTO'!$E$4:$E$13,MATCH($F937,'CAT_CENTROS_COSTO'!$A$4:$A$13,0)),""))&lt;&gt;"",IFERROR(INDEX('CAT_CENTROS_COSTO'!$E$4:$E$13,MATCH($F937,'CAT_CENTROS_COSTO'!$A$4:$A$13,0)),""),$V937))</f>
        <v/>
      </c>
      <c r="X937" s="3">
        <f>IF($F937="","",IFERROR(INDEX('CAT_CENTROS_COSTO'!$G$4:$G$13,MATCH($F937,'CAT_CENTROS_COSTO'!$A$4:$A$13,0)),"(sin catálogo)"))</f>
        <v/>
      </c>
      <c r="Y937" s="3">
        <f>IF($G937="","",IFERROR(INDEX('CAT_PUESTOS'!$B$4:$B$8,MATCH($G937,'CAT_PUESTOS'!$A$4:$A$8,0)),"(sin catálogo)"))</f>
        <v/>
      </c>
      <c r="Z937" s="3">
        <f>IF($H937="","",IFERROR(INDEX('CAT_ACTIVIDADES'!$B$4:$B$8,MATCH($H937,'CAT_ACTIVIDADES'!$A$4:$A$8,0)),"(sin catálogo)"))</f>
        <v/>
      </c>
      <c r="AA937" s="12">
        <f>IF($J937="","",TODAY()-$J937)</f>
        <v/>
      </c>
      <c r="AB937" s="12">
        <f>IF($J937="","",IF($J937&lt;=TODAY(),COUNTIFS(cal_fechas,"&gt;="&amp;$J937,cal_fechas,"&lt;"&amp;TODAY(),cal_habil,"sí"),-COUNTIFS(cal_fechas,"&gt;="&amp;TODAY(),cal_fechas,"&lt;"&amp;$J937,cal_habil,"sí")))</f>
        <v/>
      </c>
      <c r="AC937" s="3">
        <f>IF($AB937="","",IF($AB937&lt;0,"FUTURO",IF($AB937&gt;p_dias_backlog_max,"BACKLOG","MES CORRIENTE")))</f>
        <v/>
      </c>
      <c r="AD937" s="3">
        <f>IF($AB937="",FALSE,AND($AB937&gt;p_dias_backlog_min,$AB937&lt;=p_dias_backlog_max))</f>
        <v/>
      </c>
      <c r="AE937" s="6" t="n"/>
      <c r="AF937" s="3">
        <f>IF($AE937="","",IF((IFERROR(INDEX('ASIGNACIONES'!$F$4:$F$339,MATCH($O937&amp;"|"&amp;$R937&amp;"|"&amp;$AE937,'ASIGNACIONES'!$J$4:$J$339,0)),""))=0,"",IFERROR(INDEX('ASIGNACIONES'!$F$4:$F$339,MATCH($O937&amp;"|"&amp;$R937&amp;"|"&amp;$AE937,'ASIGNACIONES'!$J$4:$J$339,0)),"")))</f>
        <v/>
      </c>
      <c r="AG937" s="13">
        <f>IF($AE937="","",SUMIFS('ORDENES'!$M$4:$M$1203,'ORDENES'!$AE$4:$AE$1203,$AE937,'ORDENES'!$O$4:$O$1203,$O937,'ORDENES'!$R$4:$R$1203,$R937))</f>
        <v/>
      </c>
      <c r="AH937" s="13">
        <f>IF($AG937="","",p_factor_productividad*IFERROR(INDEX('ASIGNACIONES'!$I$4:$I$339,MATCH($O937&amp;"|"&amp;$R937&amp;"|"&amp;$AE937,'ASIGNACIONES'!$J$4:$J$339,0)),0)-$AG937)</f>
        <v/>
      </c>
      <c r="AI937" s="10">
        <f>IF($A937="","",IFERROR(INDEX('2_IMPORTAR_EJECUCION'!$F$9:$F$1208,MATCH($AQ937,'2_IMPORTAR_EJECUCION'!$J$9:$J$1208,0)),0))</f>
        <v/>
      </c>
      <c r="AJ937" s="10">
        <f>IF($A937="","",MAX(0,IFERROR(INDEX('2_IMPORTAR_EJECUCION'!$H$9:$H$1208,MATCH($AQ937,'2_IMPORTAR_EJECUCION'!$J$9:$J$1208,0)),0)-$AI937))</f>
        <v/>
      </c>
      <c r="AK937" s="10">
        <f>IF($A937="","",$AI937+$AJ937)</f>
        <v/>
      </c>
      <c r="AL937" s="6" t="n"/>
      <c r="AM937" s="6" t="n"/>
      <c r="AN937" s="6" t="n"/>
      <c r="AO937" s="3">
        <f>IF($AN937="","",HYPERLINK(p_ruta_base_checklists&amp;$AN937,"abrir"))</f>
        <v/>
      </c>
      <c r="AP937" s="6" t="n"/>
      <c r="AQ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IF($A938="","",IFERROR(INDEX('AJUSTES'!$B$4:$B$303,MATCH($AQ938,'AJUSTES'!$A$4:$A$303,0)),IF($K938="","",$K938)))</f>
        <v/>
      </c>
      <c r="N938" s="3">
        <f>IF($A938="","",IFERROR(INDEX('CAT_ESTADOS_ERP'!$B$4:$B$7,MATCH(IFERROR(INDEX('2_IMPORTAR_EJECUCION'!$C$9:$C$1208,MATCH($AQ938,'2_IMPORTAR_EJECUCION'!$J$9:$J$1208,0)),""),'CAT_ESTADOS_ERP'!$A$4:$A$7,0)),"Pendiente"))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J938="","",IFERROR(INDEX('CALENDARIO'!$C$15:$C$214,MATCH(TEXT($J938,"yyyy-mm-dd")&amp;"|"&amp;$V938&amp;"|"&amp;$W938,'CALENDARIO'!$G$15:$G$214,0)),IFERROR(INDEX('CALENDARIO'!$C$15:$C$214,MATCH(TEXT($J938,"yyyy-mm-dd")&amp;"|"&amp;$V938&amp;"|",'CALENDARIO'!$G$15:$G$214,0)),IFERROR(INDEX('CALENDARIO'!$C$15:$C$214,MATCH(TEXT($J938,"yyyy-mm-dd")&amp;"||",'CALENDARIO'!$G$15:$G$214,0)),INDEX(patronHabil,WEEKDAY($J938,2))))))</f>
        <v/>
      </c>
      <c r="T938" s="3">
        <f>IF($I938="","",IFERROR(INDEX('CAT_TIPOS_OT'!$C$4:$C$7,MATCH($I938,'CAT_TIPOS_OT'!$A$4:$A$7,0)),"sin_clasificar"))</f>
        <v/>
      </c>
      <c r="U938" s="3">
        <f>IF($F938="","",IFERROR(INDEX('CAT_CENTROS_COSTO'!$F$4:$F$13,MATCH($F938,'CAT_CENTROS_COSTO'!$A$4:$A$13,0)),"(sin catálogo)"))</f>
        <v/>
      </c>
      <c r="V938" s="3">
        <f>IF($F938="","",IFERROR(INDEX('CAT_CENTROS_COSTO'!$D$4:$D$13,MATCH($F938,'CAT_CENTROS_COSTO'!$A$4:$A$13,0)),"(sin catálogo)"))</f>
        <v/>
      </c>
      <c r="W938" s="3">
        <f>IF($F938="","",IF((IFERROR(INDEX('CAT_CENTROS_COSTO'!$E$4:$E$13,MATCH($F938,'CAT_CENTROS_COSTO'!$A$4:$A$13,0)),""))&lt;&gt;"",IFERROR(INDEX('CAT_CENTROS_COSTO'!$E$4:$E$13,MATCH($F938,'CAT_CENTROS_COSTO'!$A$4:$A$13,0)),""),$V938))</f>
        <v/>
      </c>
      <c r="X938" s="3">
        <f>IF($F938="","",IFERROR(INDEX('CAT_CENTROS_COSTO'!$G$4:$G$13,MATCH($F938,'CAT_CENTROS_COSTO'!$A$4:$A$13,0)),"(sin catálogo)"))</f>
        <v/>
      </c>
      <c r="Y938" s="3">
        <f>IF($G938="","",IFERROR(INDEX('CAT_PUESTOS'!$B$4:$B$8,MATCH($G938,'CAT_PUESTOS'!$A$4:$A$8,0)),"(sin catálogo)"))</f>
        <v/>
      </c>
      <c r="Z938" s="3">
        <f>IF($H938="","",IFERROR(INDEX('CAT_ACTIVIDADES'!$B$4:$B$8,MATCH($H938,'CAT_ACTIVIDADES'!$A$4:$A$8,0)),"(sin catálogo)"))</f>
        <v/>
      </c>
      <c r="AA938" s="12">
        <f>IF($J938="","",TODAY()-$J938)</f>
        <v/>
      </c>
      <c r="AB938" s="12">
        <f>IF($J938="","",IF($J938&lt;=TODAY(),COUNTIFS(cal_fechas,"&gt;="&amp;$J938,cal_fechas,"&lt;"&amp;TODAY(),cal_habil,"sí"),-COUNTIFS(cal_fechas,"&gt;="&amp;TODAY(),cal_fechas,"&lt;"&amp;$J938,cal_habil,"sí")))</f>
        <v/>
      </c>
      <c r="AC938" s="3">
        <f>IF($AB938="","",IF($AB938&lt;0,"FUTURO",IF($AB938&gt;p_dias_backlog_max,"BACKLOG","MES CORRIENTE")))</f>
        <v/>
      </c>
      <c r="AD938" s="3">
        <f>IF($AB938="",FALSE,AND($AB938&gt;p_dias_backlog_min,$AB938&lt;=p_dias_backlog_max))</f>
        <v/>
      </c>
      <c r="AE938" s="6" t="n"/>
      <c r="AF938" s="3">
        <f>IF($AE938="","",IF((IFERROR(INDEX('ASIGNACIONES'!$F$4:$F$339,MATCH($O938&amp;"|"&amp;$R938&amp;"|"&amp;$AE938,'ASIGNACIONES'!$J$4:$J$339,0)),""))=0,"",IFERROR(INDEX('ASIGNACIONES'!$F$4:$F$339,MATCH($O938&amp;"|"&amp;$R938&amp;"|"&amp;$AE938,'ASIGNACIONES'!$J$4:$J$339,0)),"")))</f>
        <v/>
      </c>
      <c r="AG938" s="13">
        <f>IF($AE938="","",SUMIFS('ORDENES'!$M$4:$M$1203,'ORDENES'!$AE$4:$AE$1203,$AE938,'ORDENES'!$O$4:$O$1203,$O938,'ORDENES'!$R$4:$R$1203,$R938))</f>
        <v/>
      </c>
      <c r="AH938" s="13">
        <f>IF($AG938="","",p_factor_productividad*IFERROR(INDEX('ASIGNACIONES'!$I$4:$I$339,MATCH($O938&amp;"|"&amp;$R938&amp;"|"&amp;$AE938,'ASIGNACIONES'!$J$4:$J$339,0)),0)-$AG938)</f>
        <v/>
      </c>
      <c r="AI938" s="10">
        <f>IF($A938="","",IFERROR(INDEX('2_IMPORTAR_EJECUCION'!$F$9:$F$1208,MATCH($AQ938,'2_IMPORTAR_EJECUCION'!$J$9:$J$1208,0)),0))</f>
        <v/>
      </c>
      <c r="AJ938" s="10">
        <f>IF($A938="","",MAX(0,IFERROR(INDEX('2_IMPORTAR_EJECUCION'!$H$9:$H$1208,MATCH($AQ938,'2_IMPORTAR_EJECUCION'!$J$9:$J$1208,0)),0)-$AI938))</f>
        <v/>
      </c>
      <c r="AK938" s="10">
        <f>IF($A938="","",$AI938+$AJ938)</f>
        <v/>
      </c>
      <c r="AL938" s="6" t="n"/>
      <c r="AM938" s="6" t="n"/>
      <c r="AN938" s="6" t="n"/>
      <c r="AO938" s="3">
        <f>IF($AN938="","",HYPERLINK(p_ruta_base_checklists&amp;$AN938,"abrir"))</f>
        <v/>
      </c>
      <c r="AP938" s="6" t="n"/>
      <c r="AQ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IF($A939="","",IFERROR(INDEX('AJUSTES'!$B$4:$B$303,MATCH($AQ939,'AJUSTES'!$A$4:$A$303,0)),IF($K939="","",$K939)))</f>
        <v/>
      </c>
      <c r="N939" s="3">
        <f>IF($A939="","",IFERROR(INDEX('CAT_ESTADOS_ERP'!$B$4:$B$7,MATCH(IFERROR(INDEX('2_IMPORTAR_EJECUCION'!$C$9:$C$1208,MATCH($AQ939,'2_IMPORTAR_EJECUCION'!$J$9:$J$1208,0)),""),'CAT_ESTADOS_ERP'!$A$4:$A$7,0)),"Pendiente"))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J939="","",IFERROR(INDEX('CALENDARIO'!$C$15:$C$214,MATCH(TEXT($J939,"yyyy-mm-dd")&amp;"|"&amp;$V939&amp;"|"&amp;$W939,'CALENDARIO'!$G$15:$G$214,0)),IFERROR(INDEX('CALENDARIO'!$C$15:$C$214,MATCH(TEXT($J939,"yyyy-mm-dd")&amp;"|"&amp;$V939&amp;"|",'CALENDARIO'!$G$15:$G$214,0)),IFERROR(INDEX('CALENDARIO'!$C$15:$C$214,MATCH(TEXT($J939,"yyyy-mm-dd")&amp;"||",'CALENDARIO'!$G$15:$G$214,0)),INDEX(patronHabil,WEEKDAY($J939,2))))))</f>
        <v/>
      </c>
      <c r="T939" s="3">
        <f>IF($I939="","",IFERROR(INDEX('CAT_TIPOS_OT'!$C$4:$C$7,MATCH($I939,'CAT_TIPOS_OT'!$A$4:$A$7,0)),"sin_clasificar"))</f>
        <v/>
      </c>
      <c r="U939" s="3">
        <f>IF($F939="","",IFERROR(INDEX('CAT_CENTROS_COSTO'!$F$4:$F$13,MATCH($F939,'CAT_CENTROS_COSTO'!$A$4:$A$13,0)),"(sin catálogo)"))</f>
        <v/>
      </c>
      <c r="V939" s="3">
        <f>IF($F939="","",IFERROR(INDEX('CAT_CENTROS_COSTO'!$D$4:$D$13,MATCH($F939,'CAT_CENTROS_COSTO'!$A$4:$A$13,0)),"(sin catálogo)"))</f>
        <v/>
      </c>
      <c r="W939" s="3">
        <f>IF($F939="","",IF((IFERROR(INDEX('CAT_CENTROS_COSTO'!$E$4:$E$13,MATCH($F939,'CAT_CENTROS_COSTO'!$A$4:$A$13,0)),""))&lt;&gt;"",IFERROR(INDEX('CAT_CENTROS_COSTO'!$E$4:$E$13,MATCH($F939,'CAT_CENTROS_COSTO'!$A$4:$A$13,0)),""),$V939))</f>
        <v/>
      </c>
      <c r="X939" s="3">
        <f>IF($F939="","",IFERROR(INDEX('CAT_CENTROS_COSTO'!$G$4:$G$13,MATCH($F939,'CAT_CENTROS_COSTO'!$A$4:$A$13,0)),"(sin catálogo)"))</f>
        <v/>
      </c>
      <c r="Y939" s="3">
        <f>IF($G939="","",IFERROR(INDEX('CAT_PUESTOS'!$B$4:$B$8,MATCH($G939,'CAT_PUESTOS'!$A$4:$A$8,0)),"(sin catálogo)"))</f>
        <v/>
      </c>
      <c r="Z939" s="3">
        <f>IF($H939="","",IFERROR(INDEX('CAT_ACTIVIDADES'!$B$4:$B$8,MATCH($H939,'CAT_ACTIVIDADES'!$A$4:$A$8,0)),"(sin catálogo)"))</f>
        <v/>
      </c>
      <c r="AA939" s="12">
        <f>IF($J939="","",TODAY()-$J939)</f>
        <v/>
      </c>
      <c r="AB939" s="12">
        <f>IF($J939="","",IF($J939&lt;=TODAY(),COUNTIFS(cal_fechas,"&gt;="&amp;$J939,cal_fechas,"&lt;"&amp;TODAY(),cal_habil,"sí"),-COUNTIFS(cal_fechas,"&gt;="&amp;TODAY(),cal_fechas,"&lt;"&amp;$J939,cal_habil,"sí")))</f>
        <v/>
      </c>
      <c r="AC939" s="3">
        <f>IF($AB939="","",IF($AB939&lt;0,"FUTURO",IF($AB939&gt;p_dias_backlog_max,"BACKLOG","MES CORRIENTE")))</f>
        <v/>
      </c>
      <c r="AD939" s="3">
        <f>IF($AB939="",FALSE,AND($AB939&gt;p_dias_backlog_min,$AB939&lt;=p_dias_backlog_max))</f>
        <v/>
      </c>
      <c r="AE939" s="6" t="n"/>
      <c r="AF939" s="3">
        <f>IF($AE939="","",IF((IFERROR(INDEX('ASIGNACIONES'!$F$4:$F$339,MATCH($O939&amp;"|"&amp;$R939&amp;"|"&amp;$AE939,'ASIGNACIONES'!$J$4:$J$339,0)),""))=0,"",IFERROR(INDEX('ASIGNACIONES'!$F$4:$F$339,MATCH($O939&amp;"|"&amp;$R939&amp;"|"&amp;$AE939,'ASIGNACIONES'!$J$4:$J$339,0)),"")))</f>
        <v/>
      </c>
      <c r="AG939" s="13">
        <f>IF($AE939="","",SUMIFS('ORDENES'!$M$4:$M$1203,'ORDENES'!$AE$4:$AE$1203,$AE939,'ORDENES'!$O$4:$O$1203,$O939,'ORDENES'!$R$4:$R$1203,$R939))</f>
        <v/>
      </c>
      <c r="AH939" s="13">
        <f>IF($AG939="","",p_factor_productividad*IFERROR(INDEX('ASIGNACIONES'!$I$4:$I$339,MATCH($O939&amp;"|"&amp;$R939&amp;"|"&amp;$AE939,'ASIGNACIONES'!$J$4:$J$339,0)),0)-$AG939)</f>
        <v/>
      </c>
      <c r="AI939" s="10">
        <f>IF($A939="","",IFERROR(INDEX('2_IMPORTAR_EJECUCION'!$F$9:$F$1208,MATCH($AQ939,'2_IMPORTAR_EJECUCION'!$J$9:$J$1208,0)),0))</f>
        <v/>
      </c>
      <c r="AJ939" s="10">
        <f>IF($A939="","",MAX(0,IFERROR(INDEX('2_IMPORTAR_EJECUCION'!$H$9:$H$1208,MATCH($AQ939,'2_IMPORTAR_EJECUCION'!$J$9:$J$1208,0)),0)-$AI939))</f>
        <v/>
      </c>
      <c r="AK939" s="10">
        <f>IF($A939="","",$AI939+$AJ939)</f>
        <v/>
      </c>
      <c r="AL939" s="6" t="n"/>
      <c r="AM939" s="6" t="n"/>
      <c r="AN939" s="6" t="n"/>
      <c r="AO939" s="3">
        <f>IF($AN939="","",HYPERLINK(p_ruta_base_checklists&amp;$AN939,"abrir"))</f>
        <v/>
      </c>
      <c r="AP939" s="6" t="n"/>
      <c r="AQ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IF($A940="","",IFERROR(INDEX('AJUSTES'!$B$4:$B$303,MATCH($AQ940,'AJUSTES'!$A$4:$A$303,0)),IF($K940="","",$K940)))</f>
        <v/>
      </c>
      <c r="N940" s="3">
        <f>IF($A940="","",IFERROR(INDEX('CAT_ESTADOS_ERP'!$B$4:$B$7,MATCH(IFERROR(INDEX('2_IMPORTAR_EJECUCION'!$C$9:$C$1208,MATCH($AQ940,'2_IMPORTAR_EJECUCION'!$J$9:$J$1208,0)),""),'CAT_ESTADOS_ERP'!$A$4:$A$7,0)),"Pendiente"))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J940="","",IFERROR(INDEX('CALENDARIO'!$C$15:$C$214,MATCH(TEXT($J940,"yyyy-mm-dd")&amp;"|"&amp;$V940&amp;"|"&amp;$W940,'CALENDARIO'!$G$15:$G$214,0)),IFERROR(INDEX('CALENDARIO'!$C$15:$C$214,MATCH(TEXT($J940,"yyyy-mm-dd")&amp;"|"&amp;$V940&amp;"|",'CALENDARIO'!$G$15:$G$214,0)),IFERROR(INDEX('CALENDARIO'!$C$15:$C$214,MATCH(TEXT($J940,"yyyy-mm-dd")&amp;"||",'CALENDARIO'!$G$15:$G$214,0)),INDEX(patronHabil,WEEKDAY($J940,2))))))</f>
        <v/>
      </c>
      <c r="T940" s="3">
        <f>IF($I940="","",IFERROR(INDEX('CAT_TIPOS_OT'!$C$4:$C$7,MATCH($I940,'CAT_TIPOS_OT'!$A$4:$A$7,0)),"sin_clasificar"))</f>
        <v/>
      </c>
      <c r="U940" s="3">
        <f>IF($F940="","",IFERROR(INDEX('CAT_CENTROS_COSTO'!$F$4:$F$13,MATCH($F940,'CAT_CENTROS_COSTO'!$A$4:$A$13,0)),"(sin catálogo)"))</f>
        <v/>
      </c>
      <c r="V940" s="3">
        <f>IF($F940="","",IFERROR(INDEX('CAT_CENTROS_COSTO'!$D$4:$D$13,MATCH($F940,'CAT_CENTROS_COSTO'!$A$4:$A$13,0)),"(sin catálogo)"))</f>
        <v/>
      </c>
      <c r="W940" s="3">
        <f>IF($F940="","",IF((IFERROR(INDEX('CAT_CENTROS_COSTO'!$E$4:$E$13,MATCH($F940,'CAT_CENTROS_COSTO'!$A$4:$A$13,0)),""))&lt;&gt;"",IFERROR(INDEX('CAT_CENTROS_COSTO'!$E$4:$E$13,MATCH($F940,'CAT_CENTROS_COSTO'!$A$4:$A$13,0)),""),$V940))</f>
        <v/>
      </c>
      <c r="X940" s="3">
        <f>IF($F940="","",IFERROR(INDEX('CAT_CENTROS_COSTO'!$G$4:$G$13,MATCH($F940,'CAT_CENTROS_COSTO'!$A$4:$A$13,0)),"(sin catálogo)"))</f>
        <v/>
      </c>
      <c r="Y940" s="3">
        <f>IF($G940="","",IFERROR(INDEX('CAT_PUESTOS'!$B$4:$B$8,MATCH($G940,'CAT_PUESTOS'!$A$4:$A$8,0)),"(sin catálogo)"))</f>
        <v/>
      </c>
      <c r="Z940" s="3">
        <f>IF($H940="","",IFERROR(INDEX('CAT_ACTIVIDADES'!$B$4:$B$8,MATCH($H940,'CAT_ACTIVIDADES'!$A$4:$A$8,0)),"(sin catálogo)"))</f>
        <v/>
      </c>
      <c r="AA940" s="12">
        <f>IF($J940="","",TODAY()-$J940)</f>
        <v/>
      </c>
      <c r="AB940" s="12">
        <f>IF($J940="","",IF($J940&lt;=TODAY(),COUNTIFS(cal_fechas,"&gt;="&amp;$J940,cal_fechas,"&lt;"&amp;TODAY(),cal_habil,"sí"),-COUNTIFS(cal_fechas,"&gt;="&amp;TODAY(),cal_fechas,"&lt;"&amp;$J940,cal_habil,"sí")))</f>
        <v/>
      </c>
      <c r="AC940" s="3">
        <f>IF($AB940="","",IF($AB940&lt;0,"FUTURO",IF($AB940&gt;p_dias_backlog_max,"BACKLOG","MES CORRIENTE")))</f>
        <v/>
      </c>
      <c r="AD940" s="3">
        <f>IF($AB940="",FALSE,AND($AB940&gt;p_dias_backlog_min,$AB940&lt;=p_dias_backlog_max))</f>
        <v/>
      </c>
      <c r="AE940" s="6" t="n"/>
      <c r="AF940" s="3">
        <f>IF($AE940="","",IF((IFERROR(INDEX('ASIGNACIONES'!$F$4:$F$339,MATCH($O940&amp;"|"&amp;$R940&amp;"|"&amp;$AE940,'ASIGNACIONES'!$J$4:$J$339,0)),""))=0,"",IFERROR(INDEX('ASIGNACIONES'!$F$4:$F$339,MATCH($O940&amp;"|"&amp;$R940&amp;"|"&amp;$AE940,'ASIGNACIONES'!$J$4:$J$339,0)),"")))</f>
        <v/>
      </c>
      <c r="AG940" s="13">
        <f>IF($AE940="","",SUMIFS('ORDENES'!$M$4:$M$1203,'ORDENES'!$AE$4:$AE$1203,$AE940,'ORDENES'!$O$4:$O$1203,$O940,'ORDENES'!$R$4:$R$1203,$R940))</f>
        <v/>
      </c>
      <c r="AH940" s="13">
        <f>IF($AG940="","",p_factor_productividad*IFERROR(INDEX('ASIGNACIONES'!$I$4:$I$339,MATCH($O940&amp;"|"&amp;$R940&amp;"|"&amp;$AE940,'ASIGNACIONES'!$J$4:$J$339,0)),0)-$AG940)</f>
        <v/>
      </c>
      <c r="AI940" s="10">
        <f>IF($A940="","",IFERROR(INDEX('2_IMPORTAR_EJECUCION'!$F$9:$F$1208,MATCH($AQ940,'2_IMPORTAR_EJECUCION'!$J$9:$J$1208,0)),0))</f>
        <v/>
      </c>
      <c r="AJ940" s="10">
        <f>IF($A940="","",MAX(0,IFERROR(INDEX('2_IMPORTAR_EJECUCION'!$H$9:$H$1208,MATCH($AQ940,'2_IMPORTAR_EJECUCION'!$J$9:$J$1208,0)),0)-$AI940))</f>
        <v/>
      </c>
      <c r="AK940" s="10">
        <f>IF($A940="","",$AI940+$AJ940)</f>
        <v/>
      </c>
      <c r="AL940" s="6" t="n"/>
      <c r="AM940" s="6" t="n"/>
      <c r="AN940" s="6" t="n"/>
      <c r="AO940" s="3">
        <f>IF($AN940="","",HYPERLINK(p_ruta_base_checklists&amp;$AN940,"abrir"))</f>
        <v/>
      </c>
      <c r="AP940" s="6" t="n"/>
      <c r="AQ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IF($A941="","",IFERROR(INDEX('AJUSTES'!$B$4:$B$303,MATCH($AQ941,'AJUSTES'!$A$4:$A$303,0)),IF($K941="","",$K941)))</f>
        <v/>
      </c>
      <c r="N941" s="3">
        <f>IF($A941="","",IFERROR(INDEX('CAT_ESTADOS_ERP'!$B$4:$B$7,MATCH(IFERROR(INDEX('2_IMPORTAR_EJECUCION'!$C$9:$C$1208,MATCH($AQ941,'2_IMPORTAR_EJECUCION'!$J$9:$J$1208,0)),""),'CAT_ESTADOS_ERP'!$A$4:$A$7,0)),"Pendiente"))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J941="","",IFERROR(INDEX('CALENDARIO'!$C$15:$C$214,MATCH(TEXT($J941,"yyyy-mm-dd")&amp;"|"&amp;$V941&amp;"|"&amp;$W941,'CALENDARIO'!$G$15:$G$214,0)),IFERROR(INDEX('CALENDARIO'!$C$15:$C$214,MATCH(TEXT($J941,"yyyy-mm-dd")&amp;"|"&amp;$V941&amp;"|",'CALENDARIO'!$G$15:$G$214,0)),IFERROR(INDEX('CALENDARIO'!$C$15:$C$214,MATCH(TEXT($J941,"yyyy-mm-dd")&amp;"||",'CALENDARIO'!$G$15:$G$214,0)),INDEX(patronHabil,WEEKDAY($J941,2))))))</f>
        <v/>
      </c>
      <c r="T941" s="3">
        <f>IF($I941="","",IFERROR(INDEX('CAT_TIPOS_OT'!$C$4:$C$7,MATCH($I941,'CAT_TIPOS_OT'!$A$4:$A$7,0)),"sin_clasificar"))</f>
        <v/>
      </c>
      <c r="U941" s="3">
        <f>IF($F941="","",IFERROR(INDEX('CAT_CENTROS_COSTO'!$F$4:$F$13,MATCH($F941,'CAT_CENTROS_COSTO'!$A$4:$A$13,0)),"(sin catálogo)"))</f>
        <v/>
      </c>
      <c r="V941" s="3">
        <f>IF($F941="","",IFERROR(INDEX('CAT_CENTROS_COSTO'!$D$4:$D$13,MATCH($F941,'CAT_CENTROS_COSTO'!$A$4:$A$13,0)),"(sin catálogo)"))</f>
        <v/>
      </c>
      <c r="W941" s="3">
        <f>IF($F941="","",IF((IFERROR(INDEX('CAT_CENTROS_COSTO'!$E$4:$E$13,MATCH($F941,'CAT_CENTROS_COSTO'!$A$4:$A$13,0)),""))&lt;&gt;"",IFERROR(INDEX('CAT_CENTROS_COSTO'!$E$4:$E$13,MATCH($F941,'CAT_CENTROS_COSTO'!$A$4:$A$13,0)),""),$V941))</f>
        <v/>
      </c>
      <c r="X941" s="3">
        <f>IF($F941="","",IFERROR(INDEX('CAT_CENTROS_COSTO'!$G$4:$G$13,MATCH($F941,'CAT_CENTROS_COSTO'!$A$4:$A$13,0)),"(sin catálogo)"))</f>
        <v/>
      </c>
      <c r="Y941" s="3">
        <f>IF($G941="","",IFERROR(INDEX('CAT_PUESTOS'!$B$4:$B$8,MATCH($G941,'CAT_PUESTOS'!$A$4:$A$8,0)),"(sin catálogo)"))</f>
        <v/>
      </c>
      <c r="Z941" s="3">
        <f>IF($H941="","",IFERROR(INDEX('CAT_ACTIVIDADES'!$B$4:$B$8,MATCH($H941,'CAT_ACTIVIDADES'!$A$4:$A$8,0)),"(sin catálogo)"))</f>
        <v/>
      </c>
      <c r="AA941" s="12">
        <f>IF($J941="","",TODAY()-$J941)</f>
        <v/>
      </c>
      <c r="AB941" s="12">
        <f>IF($J941="","",IF($J941&lt;=TODAY(),COUNTIFS(cal_fechas,"&gt;="&amp;$J941,cal_fechas,"&lt;"&amp;TODAY(),cal_habil,"sí"),-COUNTIFS(cal_fechas,"&gt;="&amp;TODAY(),cal_fechas,"&lt;"&amp;$J941,cal_habil,"sí")))</f>
        <v/>
      </c>
      <c r="AC941" s="3">
        <f>IF($AB941="","",IF($AB941&lt;0,"FUTURO",IF($AB941&gt;p_dias_backlog_max,"BACKLOG","MES CORRIENTE")))</f>
        <v/>
      </c>
      <c r="AD941" s="3">
        <f>IF($AB941="",FALSE,AND($AB941&gt;p_dias_backlog_min,$AB941&lt;=p_dias_backlog_max))</f>
        <v/>
      </c>
      <c r="AE941" s="6" t="n"/>
      <c r="AF941" s="3">
        <f>IF($AE941="","",IF((IFERROR(INDEX('ASIGNACIONES'!$F$4:$F$339,MATCH($O941&amp;"|"&amp;$R941&amp;"|"&amp;$AE941,'ASIGNACIONES'!$J$4:$J$339,0)),""))=0,"",IFERROR(INDEX('ASIGNACIONES'!$F$4:$F$339,MATCH($O941&amp;"|"&amp;$R941&amp;"|"&amp;$AE941,'ASIGNACIONES'!$J$4:$J$339,0)),"")))</f>
        <v/>
      </c>
      <c r="AG941" s="13">
        <f>IF($AE941="","",SUMIFS('ORDENES'!$M$4:$M$1203,'ORDENES'!$AE$4:$AE$1203,$AE941,'ORDENES'!$O$4:$O$1203,$O941,'ORDENES'!$R$4:$R$1203,$R941))</f>
        <v/>
      </c>
      <c r="AH941" s="13">
        <f>IF($AG941="","",p_factor_productividad*IFERROR(INDEX('ASIGNACIONES'!$I$4:$I$339,MATCH($O941&amp;"|"&amp;$R941&amp;"|"&amp;$AE941,'ASIGNACIONES'!$J$4:$J$339,0)),0)-$AG941)</f>
        <v/>
      </c>
      <c r="AI941" s="10">
        <f>IF($A941="","",IFERROR(INDEX('2_IMPORTAR_EJECUCION'!$F$9:$F$1208,MATCH($AQ941,'2_IMPORTAR_EJECUCION'!$J$9:$J$1208,0)),0))</f>
        <v/>
      </c>
      <c r="AJ941" s="10">
        <f>IF($A941="","",MAX(0,IFERROR(INDEX('2_IMPORTAR_EJECUCION'!$H$9:$H$1208,MATCH($AQ941,'2_IMPORTAR_EJECUCION'!$J$9:$J$1208,0)),0)-$AI941))</f>
        <v/>
      </c>
      <c r="AK941" s="10">
        <f>IF($A941="","",$AI941+$AJ941)</f>
        <v/>
      </c>
      <c r="AL941" s="6" t="n"/>
      <c r="AM941" s="6" t="n"/>
      <c r="AN941" s="6" t="n"/>
      <c r="AO941" s="3">
        <f>IF($AN941="","",HYPERLINK(p_ruta_base_checklists&amp;$AN941,"abrir"))</f>
        <v/>
      </c>
      <c r="AP941" s="6" t="n"/>
      <c r="AQ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IF($A942="","",IFERROR(INDEX('AJUSTES'!$B$4:$B$303,MATCH($AQ942,'AJUSTES'!$A$4:$A$303,0)),IF($K942="","",$K942)))</f>
        <v/>
      </c>
      <c r="N942" s="3">
        <f>IF($A942="","",IFERROR(INDEX('CAT_ESTADOS_ERP'!$B$4:$B$7,MATCH(IFERROR(INDEX('2_IMPORTAR_EJECUCION'!$C$9:$C$1208,MATCH($AQ942,'2_IMPORTAR_EJECUCION'!$J$9:$J$1208,0)),""),'CAT_ESTADOS_ERP'!$A$4:$A$7,0)),"Pendiente"))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J942="","",IFERROR(INDEX('CALENDARIO'!$C$15:$C$214,MATCH(TEXT($J942,"yyyy-mm-dd")&amp;"|"&amp;$V942&amp;"|"&amp;$W942,'CALENDARIO'!$G$15:$G$214,0)),IFERROR(INDEX('CALENDARIO'!$C$15:$C$214,MATCH(TEXT($J942,"yyyy-mm-dd")&amp;"|"&amp;$V942&amp;"|",'CALENDARIO'!$G$15:$G$214,0)),IFERROR(INDEX('CALENDARIO'!$C$15:$C$214,MATCH(TEXT($J942,"yyyy-mm-dd")&amp;"||",'CALENDARIO'!$G$15:$G$214,0)),INDEX(patronHabil,WEEKDAY($J942,2))))))</f>
        <v/>
      </c>
      <c r="T942" s="3">
        <f>IF($I942="","",IFERROR(INDEX('CAT_TIPOS_OT'!$C$4:$C$7,MATCH($I942,'CAT_TIPOS_OT'!$A$4:$A$7,0)),"sin_clasificar"))</f>
        <v/>
      </c>
      <c r="U942" s="3">
        <f>IF($F942="","",IFERROR(INDEX('CAT_CENTROS_COSTO'!$F$4:$F$13,MATCH($F942,'CAT_CENTROS_COSTO'!$A$4:$A$13,0)),"(sin catálogo)"))</f>
        <v/>
      </c>
      <c r="V942" s="3">
        <f>IF($F942="","",IFERROR(INDEX('CAT_CENTROS_COSTO'!$D$4:$D$13,MATCH($F942,'CAT_CENTROS_COSTO'!$A$4:$A$13,0)),"(sin catálogo)"))</f>
        <v/>
      </c>
      <c r="W942" s="3">
        <f>IF($F942="","",IF((IFERROR(INDEX('CAT_CENTROS_COSTO'!$E$4:$E$13,MATCH($F942,'CAT_CENTROS_COSTO'!$A$4:$A$13,0)),""))&lt;&gt;"",IFERROR(INDEX('CAT_CENTROS_COSTO'!$E$4:$E$13,MATCH($F942,'CAT_CENTROS_COSTO'!$A$4:$A$13,0)),""),$V942))</f>
        <v/>
      </c>
      <c r="X942" s="3">
        <f>IF($F942="","",IFERROR(INDEX('CAT_CENTROS_COSTO'!$G$4:$G$13,MATCH($F942,'CAT_CENTROS_COSTO'!$A$4:$A$13,0)),"(sin catálogo)"))</f>
        <v/>
      </c>
      <c r="Y942" s="3">
        <f>IF($G942="","",IFERROR(INDEX('CAT_PUESTOS'!$B$4:$B$8,MATCH($G942,'CAT_PUESTOS'!$A$4:$A$8,0)),"(sin catálogo)"))</f>
        <v/>
      </c>
      <c r="Z942" s="3">
        <f>IF($H942="","",IFERROR(INDEX('CAT_ACTIVIDADES'!$B$4:$B$8,MATCH($H942,'CAT_ACTIVIDADES'!$A$4:$A$8,0)),"(sin catálogo)"))</f>
        <v/>
      </c>
      <c r="AA942" s="12">
        <f>IF($J942="","",TODAY()-$J942)</f>
        <v/>
      </c>
      <c r="AB942" s="12">
        <f>IF($J942="","",IF($J942&lt;=TODAY(),COUNTIFS(cal_fechas,"&gt;="&amp;$J942,cal_fechas,"&lt;"&amp;TODAY(),cal_habil,"sí"),-COUNTIFS(cal_fechas,"&gt;="&amp;TODAY(),cal_fechas,"&lt;"&amp;$J942,cal_habil,"sí")))</f>
        <v/>
      </c>
      <c r="AC942" s="3">
        <f>IF($AB942="","",IF($AB942&lt;0,"FUTURO",IF($AB942&gt;p_dias_backlog_max,"BACKLOG","MES CORRIENTE")))</f>
        <v/>
      </c>
      <c r="AD942" s="3">
        <f>IF($AB942="",FALSE,AND($AB942&gt;p_dias_backlog_min,$AB942&lt;=p_dias_backlog_max))</f>
        <v/>
      </c>
      <c r="AE942" s="6" t="n"/>
      <c r="AF942" s="3">
        <f>IF($AE942="","",IF((IFERROR(INDEX('ASIGNACIONES'!$F$4:$F$339,MATCH($O942&amp;"|"&amp;$R942&amp;"|"&amp;$AE942,'ASIGNACIONES'!$J$4:$J$339,0)),""))=0,"",IFERROR(INDEX('ASIGNACIONES'!$F$4:$F$339,MATCH($O942&amp;"|"&amp;$R942&amp;"|"&amp;$AE942,'ASIGNACIONES'!$J$4:$J$339,0)),"")))</f>
        <v/>
      </c>
      <c r="AG942" s="13">
        <f>IF($AE942="","",SUMIFS('ORDENES'!$M$4:$M$1203,'ORDENES'!$AE$4:$AE$1203,$AE942,'ORDENES'!$O$4:$O$1203,$O942,'ORDENES'!$R$4:$R$1203,$R942))</f>
        <v/>
      </c>
      <c r="AH942" s="13">
        <f>IF($AG942="","",p_factor_productividad*IFERROR(INDEX('ASIGNACIONES'!$I$4:$I$339,MATCH($O942&amp;"|"&amp;$R942&amp;"|"&amp;$AE942,'ASIGNACIONES'!$J$4:$J$339,0)),0)-$AG942)</f>
        <v/>
      </c>
      <c r="AI942" s="10">
        <f>IF($A942="","",IFERROR(INDEX('2_IMPORTAR_EJECUCION'!$F$9:$F$1208,MATCH($AQ942,'2_IMPORTAR_EJECUCION'!$J$9:$J$1208,0)),0))</f>
        <v/>
      </c>
      <c r="AJ942" s="10">
        <f>IF($A942="","",MAX(0,IFERROR(INDEX('2_IMPORTAR_EJECUCION'!$H$9:$H$1208,MATCH($AQ942,'2_IMPORTAR_EJECUCION'!$J$9:$J$1208,0)),0)-$AI942))</f>
        <v/>
      </c>
      <c r="AK942" s="10">
        <f>IF($A942="","",$AI942+$AJ942)</f>
        <v/>
      </c>
      <c r="AL942" s="6" t="n"/>
      <c r="AM942" s="6" t="n"/>
      <c r="AN942" s="6" t="n"/>
      <c r="AO942" s="3">
        <f>IF($AN942="","",HYPERLINK(p_ruta_base_checklists&amp;$AN942,"abrir"))</f>
        <v/>
      </c>
      <c r="AP942" s="6" t="n"/>
      <c r="AQ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IF($A943="","",IFERROR(INDEX('AJUSTES'!$B$4:$B$303,MATCH($AQ943,'AJUSTES'!$A$4:$A$303,0)),IF($K943="","",$K943)))</f>
        <v/>
      </c>
      <c r="N943" s="3">
        <f>IF($A943="","",IFERROR(INDEX('CAT_ESTADOS_ERP'!$B$4:$B$7,MATCH(IFERROR(INDEX('2_IMPORTAR_EJECUCION'!$C$9:$C$1208,MATCH($AQ943,'2_IMPORTAR_EJECUCION'!$J$9:$J$1208,0)),""),'CAT_ESTADOS_ERP'!$A$4:$A$7,0)),"Pendiente"))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J943="","",IFERROR(INDEX('CALENDARIO'!$C$15:$C$214,MATCH(TEXT($J943,"yyyy-mm-dd")&amp;"|"&amp;$V943&amp;"|"&amp;$W943,'CALENDARIO'!$G$15:$G$214,0)),IFERROR(INDEX('CALENDARIO'!$C$15:$C$214,MATCH(TEXT($J943,"yyyy-mm-dd")&amp;"|"&amp;$V943&amp;"|",'CALENDARIO'!$G$15:$G$214,0)),IFERROR(INDEX('CALENDARIO'!$C$15:$C$214,MATCH(TEXT($J943,"yyyy-mm-dd")&amp;"||",'CALENDARIO'!$G$15:$G$214,0)),INDEX(patronHabil,WEEKDAY($J943,2))))))</f>
        <v/>
      </c>
      <c r="T943" s="3">
        <f>IF($I943="","",IFERROR(INDEX('CAT_TIPOS_OT'!$C$4:$C$7,MATCH($I943,'CAT_TIPOS_OT'!$A$4:$A$7,0)),"sin_clasificar"))</f>
        <v/>
      </c>
      <c r="U943" s="3">
        <f>IF($F943="","",IFERROR(INDEX('CAT_CENTROS_COSTO'!$F$4:$F$13,MATCH($F943,'CAT_CENTROS_COSTO'!$A$4:$A$13,0)),"(sin catálogo)"))</f>
        <v/>
      </c>
      <c r="V943" s="3">
        <f>IF($F943="","",IFERROR(INDEX('CAT_CENTROS_COSTO'!$D$4:$D$13,MATCH($F943,'CAT_CENTROS_COSTO'!$A$4:$A$13,0)),"(sin catálogo)"))</f>
        <v/>
      </c>
      <c r="W943" s="3">
        <f>IF($F943="","",IF((IFERROR(INDEX('CAT_CENTROS_COSTO'!$E$4:$E$13,MATCH($F943,'CAT_CENTROS_COSTO'!$A$4:$A$13,0)),""))&lt;&gt;"",IFERROR(INDEX('CAT_CENTROS_COSTO'!$E$4:$E$13,MATCH($F943,'CAT_CENTROS_COSTO'!$A$4:$A$13,0)),""),$V943))</f>
        <v/>
      </c>
      <c r="X943" s="3">
        <f>IF($F943="","",IFERROR(INDEX('CAT_CENTROS_COSTO'!$G$4:$G$13,MATCH($F943,'CAT_CENTROS_COSTO'!$A$4:$A$13,0)),"(sin catálogo)"))</f>
        <v/>
      </c>
      <c r="Y943" s="3">
        <f>IF($G943="","",IFERROR(INDEX('CAT_PUESTOS'!$B$4:$B$8,MATCH($G943,'CAT_PUESTOS'!$A$4:$A$8,0)),"(sin catálogo)"))</f>
        <v/>
      </c>
      <c r="Z943" s="3">
        <f>IF($H943="","",IFERROR(INDEX('CAT_ACTIVIDADES'!$B$4:$B$8,MATCH($H943,'CAT_ACTIVIDADES'!$A$4:$A$8,0)),"(sin catálogo)"))</f>
        <v/>
      </c>
      <c r="AA943" s="12">
        <f>IF($J943="","",TODAY()-$J943)</f>
        <v/>
      </c>
      <c r="AB943" s="12">
        <f>IF($J943="","",IF($J943&lt;=TODAY(),COUNTIFS(cal_fechas,"&gt;="&amp;$J943,cal_fechas,"&lt;"&amp;TODAY(),cal_habil,"sí"),-COUNTIFS(cal_fechas,"&gt;="&amp;TODAY(),cal_fechas,"&lt;"&amp;$J943,cal_habil,"sí")))</f>
        <v/>
      </c>
      <c r="AC943" s="3">
        <f>IF($AB943="","",IF($AB943&lt;0,"FUTURO",IF($AB943&gt;p_dias_backlog_max,"BACKLOG","MES CORRIENTE")))</f>
        <v/>
      </c>
      <c r="AD943" s="3">
        <f>IF($AB943="",FALSE,AND($AB943&gt;p_dias_backlog_min,$AB943&lt;=p_dias_backlog_max))</f>
        <v/>
      </c>
      <c r="AE943" s="6" t="n"/>
      <c r="AF943" s="3">
        <f>IF($AE943="","",IF((IFERROR(INDEX('ASIGNACIONES'!$F$4:$F$339,MATCH($O943&amp;"|"&amp;$R943&amp;"|"&amp;$AE943,'ASIGNACIONES'!$J$4:$J$339,0)),""))=0,"",IFERROR(INDEX('ASIGNACIONES'!$F$4:$F$339,MATCH($O943&amp;"|"&amp;$R943&amp;"|"&amp;$AE943,'ASIGNACIONES'!$J$4:$J$339,0)),"")))</f>
        <v/>
      </c>
      <c r="AG943" s="13">
        <f>IF($AE943="","",SUMIFS('ORDENES'!$M$4:$M$1203,'ORDENES'!$AE$4:$AE$1203,$AE943,'ORDENES'!$O$4:$O$1203,$O943,'ORDENES'!$R$4:$R$1203,$R943))</f>
        <v/>
      </c>
      <c r="AH943" s="13">
        <f>IF($AG943="","",p_factor_productividad*IFERROR(INDEX('ASIGNACIONES'!$I$4:$I$339,MATCH($O943&amp;"|"&amp;$R943&amp;"|"&amp;$AE943,'ASIGNACIONES'!$J$4:$J$339,0)),0)-$AG943)</f>
        <v/>
      </c>
      <c r="AI943" s="10">
        <f>IF($A943="","",IFERROR(INDEX('2_IMPORTAR_EJECUCION'!$F$9:$F$1208,MATCH($AQ943,'2_IMPORTAR_EJECUCION'!$J$9:$J$1208,0)),0))</f>
        <v/>
      </c>
      <c r="AJ943" s="10">
        <f>IF($A943="","",MAX(0,IFERROR(INDEX('2_IMPORTAR_EJECUCION'!$H$9:$H$1208,MATCH($AQ943,'2_IMPORTAR_EJECUCION'!$J$9:$J$1208,0)),0)-$AI943))</f>
        <v/>
      </c>
      <c r="AK943" s="10">
        <f>IF($A943="","",$AI943+$AJ943)</f>
        <v/>
      </c>
      <c r="AL943" s="6" t="n"/>
      <c r="AM943" s="6" t="n"/>
      <c r="AN943" s="6" t="n"/>
      <c r="AO943" s="3">
        <f>IF($AN943="","",HYPERLINK(p_ruta_base_checklists&amp;$AN943,"abrir"))</f>
        <v/>
      </c>
      <c r="AP943" s="6" t="n"/>
      <c r="AQ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IF($A944="","",IFERROR(INDEX('AJUSTES'!$B$4:$B$303,MATCH($AQ944,'AJUSTES'!$A$4:$A$303,0)),IF($K944="","",$K944)))</f>
        <v/>
      </c>
      <c r="N944" s="3">
        <f>IF($A944="","",IFERROR(INDEX('CAT_ESTADOS_ERP'!$B$4:$B$7,MATCH(IFERROR(INDEX('2_IMPORTAR_EJECUCION'!$C$9:$C$1208,MATCH($AQ944,'2_IMPORTAR_EJECUCION'!$J$9:$J$1208,0)),""),'CAT_ESTADOS_ERP'!$A$4:$A$7,0)),"Pendiente"))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J944="","",IFERROR(INDEX('CALENDARIO'!$C$15:$C$214,MATCH(TEXT($J944,"yyyy-mm-dd")&amp;"|"&amp;$V944&amp;"|"&amp;$W944,'CALENDARIO'!$G$15:$G$214,0)),IFERROR(INDEX('CALENDARIO'!$C$15:$C$214,MATCH(TEXT($J944,"yyyy-mm-dd")&amp;"|"&amp;$V944&amp;"|",'CALENDARIO'!$G$15:$G$214,0)),IFERROR(INDEX('CALENDARIO'!$C$15:$C$214,MATCH(TEXT($J944,"yyyy-mm-dd")&amp;"||",'CALENDARIO'!$G$15:$G$214,0)),INDEX(patronHabil,WEEKDAY($J944,2))))))</f>
        <v/>
      </c>
      <c r="T944" s="3">
        <f>IF($I944="","",IFERROR(INDEX('CAT_TIPOS_OT'!$C$4:$C$7,MATCH($I944,'CAT_TIPOS_OT'!$A$4:$A$7,0)),"sin_clasificar"))</f>
        <v/>
      </c>
      <c r="U944" s="3">
        <f>IF($F944="","",IFERROR(INDEX('CAT_CENTROS_COSTO'!$F$4:$F$13,MATCH($F944,'CAT_CENTROS_COSTO'!$A$4:$A$13,0)),"(sin catálogo)"))</f>
        <v/>
      </c>
      <c r="V944" s="3">
        <f>IF($F944="","",IFERROR(INDEX('CAT_CENTROS_COSTO'!$D$4:$D$13,MATCH($F944,'CAT_CENTROS_COSTO'!$A$4:$A$13,0)),"(sin catálogo)"))</f>
        <v/>
      </c>
      <c r="W944" s="3">
        <f>IF($F944="","",IF((IFERROR(INDEX('CAT_CENTROS_COSTO'!$E$4:$E$13,MATCH($F944,'CAT_CENTROS_COSTO'!$A$4:$A$13,0)),""))&lt;&gt;"",IFERROR(INDEX('CAT_CENTROS_COSTO'!$E$4:$E$13,MATCH($F944,'CAT_CENTROS_COSTO'!$A$4:$A$13,0)),""),$V944))</f>
        <v/>
      </c>
      <c r="X944" s="3">
        <f>IF($F944="","",IFERROR(INDEX('CAT_CENTROS_COSTO'!$G$4:$G$13,MATCH($F944,'CAT_CENTROS_COSTO'!$A$4:$A$13,0)),"(sin catálogo)"))</f>
        <v/>
      </c>
      <c r="Y944" s="3">
        <f>IF($G944="","",IFERROR(INDEX('CAT_PUESTOS'!$B$4:$B$8,MATCH($G944,'CAT_PUESTOS'!$A$4:$A$8,0)),"(sin catálogo)"))</f>
        <v/>
      </c>
      <c r="Z944" s="3">
        <f>IF($H944="","",IFERROR(INDEX('CAT_ACTIVIDADES'!$B$4:$B$8,MATCH($H944,'CAT_ACTIVIDADES'!$A$4:$A$8,0)),"(sin catálogo)"))</f>
        <v/>
      </c>
      <c r="AA944" s="12">
        <f>IF($J944="","",TODAY()-$J944)</f>
        <v/>
      </c>
      <c r="AB944" s="12">
        <f>IF($J944="","",IF($J944&lt;=TODAY(),COUNTIFS(cal_fechas,"&gt;="&amp;$J944,cal_fechas,"&lt;"&amp;TODAY(),cal_habil,"sí"),-COUNTIFS(cal_fechas,"&gt;="&amp;TODAY(),cal_fechas,"&lt;"&amp;$J944,cal_habil,"sí")))</f>
        <v/>
      </c>
      <c r="AC944" s="3">
        <f>IF($AB944="","",IF($AB944&lt;0,"FUTURO",IF($AB944&gt;p_dias_backlog_max,"BACKLOG","MES CORRIENTE")))</f>
        <v/>
      </c>
      <c r="AD944" s="3">
        <f>IF($AB944="",FALSE,AND($AB944&gt;p_dias_backlog_min,$AB944&lt;=p_dias_backlog_max))</f>
        <v/>
      </c>
      <c r="AE944" s="6" t="n"/>
      <c r="AF944" s="3">
        <f>IF($AE944="","",IF((IFERROR(INDEX('ASIGNACIONES'!$F$4:$F$339,MATCH($O944&amp;"|"&amp;$R944&amp;"|"&amp;$AE944,'ASIGNACIONES'!$J$4:$J$339,0)),""))=0,"",IFERROR(INDEX('ASIGNACIONES'!$F$4:$F$339,MATCH($O944&amp;"|"&amp;$R944&amp;"|"&amp;$AE944,'ASIGNACIONES'!$J$4:$J$339,0)),"")))</f>
        <v/>
      </c>
      <c r="AG944" s="13">
        <f>IF($AE944="","",SUMIFS('ORDENES'!$M$4:$M$1203,'ORDENES'!$AE$4:$AE$1203,$AE944,'ORDENES'!$O$4:$O$1203,$O944,'ORDENES'!$R$4:$R$1203,$R944))</f>
        <v/>
      </c>
      <c r="AH944" s="13">
        <f>IF($AG944="","",p_factor_productividad*IFERROR(INDEX('ASIGNACIONES'!$I$4:$I$339,MATCH($O944&amp;"|"&amp;$R944&amp;"|"&amp;$AE944,'ASIGNACIONES'!$J$4:$J$339,0)),0)-$AG944)</f>
        <v/>
      </c>
      <c r="AI944" s="10">
        <f>IF($A944="","",IFERROR(INDEX('2_IMPORTAR_EJECUCION'!$F$9:$F$1208,MATCH($AQ944,'2_IMPORTAR_EJECUCION'!$J$9:$J$1208,0)),0))</f>
        <v/>
      </c>
      <c r="AJ944" s="10">
        <f>IF($A944="","",MAX(0,IFERROR(INDEX('2_IMPORTAR_EJECUCION'!$H$9:$H$1208,MATCH($AQ944,'2_IMPORTAR_EJECUCION'!$J$9:$J$1208,0)),0)-$AI944))</f>
        <v/>
      </c>
      <c r="AK944" s="10">
        <f>IF($A944="","",$AI944+$AJ944)</f>
        <v/>
      </c>
      <c r="AL944" s="6" t="n"/>
      <c r="AM944" s="6" t="n"/>
      <c r="AN944" s="6" t="n"/>
      <c r="AO944" s="3">
        <f>IF($AN944="","",HYPERLINK(p_ruta_base_checklists&amp;$AN944,"abrir"))</f>
        <v/>
      </c>
      <c r="AP944" s="6" t="n"/>
      <c r="AQ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IF($A945="","",IFERROR(INDEX('AJUSTES'!$B$4:$B$303,MATCH($AQ945,'AJUSTES'!$A$4:$A$303,0)),IF($K945="","",$K945)))</f>
        <v/>
      </c>
      <c r="N945" s="3">
        <f>IF($A945="","",IFERROR(INDEX('CAT_ESTADOS_ERP'!$B$4:$B$7,MATCH(IFERROR(INDEX('2_IMPORTAR_EJECUCION'!$C$9:$C$1208,MATCH($AQ945,'2_IMPORTAR_EJECUCION'!$J$9:$J$1208,0)),""),'CAT_ESTADOS_ERP'!$A$4:$A$7,0)),"Pendiente"))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J945="","",IFERROR(INDEX('CALENDARIO'!$C$15:$C$214,MATCH(TEXT($J945,"yyyy-mm-dd")&amp;"|"&amp;$V945&amp;"|"&amp;$W945,'CALENDARIO'!$G$15:$G$214,0)),IFERROR(INDEX('CALENDARIO'!$C$15:$C$214,MATCH(TEXT($J945,"yyyy-mm-dd")&amp;"|"&amp;$V945&amp;"|",'CALENDARIO'!$G$15:$G$214,0)),IFERROR(INDEX('CALENDARIO'!$C$15:$C$214,MATCH(TEXT($J945,"yyyy-mm-dd")&amp;"||",'CALENDARIO'!$G$15:$G$214,0)),INDEX(patronHabil,WEEKDAY($J945,2))))))</f>
        <v/>
      </c>
      <c r="T945" s="3">
        <f>IF($I945="","",IFERROR(INDEX('CAT_TIPOS_OT'!$C$4:$C$7,MATCH($I945,'CAT_TIPOS_OT'!$A$4:$A$7,0)),"sin_clasificar"))</f>
        <v/>
      </c>
      <c r="U945" s="3">
        <f>IF($F945="","",IFERROR(INDEX('CAT_CENTROS_COSTO'!$F$4:$F$13,MATCH($F945,'CAT_CENTROS_COSTO'!$A$4:$A$13,0)),"(sin catálogo)"))</f>
        <v/>
      </c>
      <c r="V945" s="3">
        <f>IF($F945="","",IFERROR(INDEX('CAT_CENTROS_COSTO'!$D$4:$D$13,MATCH($F945,'CAT_CENTROS_COSTO'!$A$4:$A$13,0)),"(sin catálogo)"))</f>
        <v/>
      </c>
      <c r="W945" s="3">
        <f>IF($F945="","",IF((IFERROR(INDEX('CAT_CENTROS_COSTO'!$E$4:$E$13,MATCH($F945,'CAT_CENTROS_COSTO'!$A$4:$A$13,0)),""))&lt;&gt;"",IFERROR(INDEX('CAT_CENTROS_COSTO'!$E$4:$E$13,MATCH($F945,'CAT_CENTROS_COSTO'!$A$4:$A$13,0)),""),$V945))</f>
        <v/>
      </c>
      <c r="X945" s="3">
        <f>IF($F945="","",IFERROR(INDEX('CAT_CENTROS_COSTO'!$G$4:$G$13,MATCH($F945,'CAT_CENTROS_COSTO'!$A$4:$A$13,0)),"(sin catálogo)"))</f>
        <v/>
      </c>
      <c r="Y945" s="3">
        <f>IF($G945="","",IFERROR(INDEX('CAT_PUESTOS'!$B$4:$B$8,MATCH($G945,'CAT_PUESTOS'!$A$4:$A$8,0)),"(sin catálogo)"))</f>
        <v/>
      </c>
      <c r="Z945" s="3">
        <f>IF($H945="","",IFERROR(INDEX('CAT_ACTIVIDADES'!$B$4:$B$8,MATCH($H945,'CAT_ACTIVIDADES'!$A$4:$A$8,0)),"(sin catálogo)"))</f>
        <v/>
      </c>
      <c r="AA945" s="12">
        <f>IF($J945="","",TODAY()-$J945)</f>
        <v/>
      </c>
      <c r="AB945" s="12">
        <f>IF($J945="","",IF($J945&lt;=TODAY(),COUNTIFS(cal_fechas,"&gt;="&amp;$J945,cal_fechas,"&lt;"&amp;TODAY(),cal_habil,"sí"),-COUNTIFS(cal_fechas,"&gt;="&amp;TODAY(),cal_fechas,"&lt;"&amp;$J945,cal_habil,"sí")))</f>
        <v/>
      </c>
      <c r="AC945" s="3">
        <f>IF($AB945="","",IF($AB945&lt;0,"FUTURO",IF($AB945&gt;p_dias_backlog_max,"BACKLOG","MES CORRIENTE")))</f>
        <v/>
      </c>
      <c r="AD945" s="3">
        <f>IF($AB945="",FALSE,AND($AB945&gt;p_dias_backlog_min,$AB945&lt;=p_dias_backlog_max))</f>
        <v/>
      </c>
      <c r="AE945" s="6" t="n"/>
      <c r="AF945" s="3">
        <f>IF($AE945="","",IF((IFERROR(INDEX('ASIGNACIONES'!$F$4:$F$339,MATCH($O945&amp;"|"&amp;$R945&amp;"|"&amp;$AE945,'ASIGNACIONES'!$J$4:$J$339,0)),""))=0,"",IFERROR(INDEX('ASIGNACIONES'!$F$4:$F$339,MATCH($O945&amp;"|"&amp;$R945&amp;"|"&amp;$AE945,'ASIGNACIONES'!$J$4:$J$339,0)),"")))</f>
        <v/>
      </c>
      <c r="AG945" s="13">
        <f>IF($AE945="","",SUMIFS('ORDENES'!$M$4:$M$1203,'ORDENES'!$AE$4:$AE$1203,$AE945,'ORDENES'!$O$4:$O$1203,$O945,'ORDENES'!$R$4:$R$1203,$R945))</f>
        <v/>
      </c>
      <c r="AH945" s="13">
        <f>IF($AG945="","",p_factor_productividad*IFERROR(INDEX('ASIGNACIONES'!$I$4:$I$339,MATCH($O945&amp;"|"&amp;$R945&amp;"|"&amp;$AE945,'ASIGNACIONES'!$J$4:$J$339,0)),0)-$AG945)</f>
        <v/>
      </c>
      <c r="AI945" s="10">
        <f>IF($A945="","",IFERROR(INDEX('2_IMPORTAR_EJECUCION'!$F$9:$F$1208,MATCH($AQ945,'2_IMPORTAR_EJECUCION'!$J$9:$J$1208,0)),0))</f>
        <v/>
      </c>
      <c r="AJ945" s="10">
        <f>IF($A945="","",MAX(0,IFERROR(INDEX('2_IMPORTAR_EJECUCION'!$H$9:$H$1208,MATCH($AQ945,'2_IMPORTAR_EJECUCION'!$J$9:$J$1208,0)),0)-$AI945))</f>
        <v/>
      </c>
      <c r="AK945" s="10">
        <f>IF($A945="","",$AI945+$AJ945)</f>
        <v/>
      </c>
      <c r="AL945" s="6" t="n"/>
      <c r="AM945" s="6" t="n"/>
      <c r="AN945" s="6" t="n"/>
      <c r="AO945" s="3">
        <f>IF($AN945="","",HYPERLINK(p_ruta_base_checklists&amp;$AN945,"abrir"))</f>
        <v/>
      </c>
      <c r="AP945" s="6" t="n"/>
      <c r="AQ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IF($A946="","",IFERROR(INDEX('AJUSTES'!$B$4:$B$303,MATCH($AQ946,'AJUSTES'!$A$4:$A$303,0)),IF($K946="","",$K946)))</f>
        <v/>
      </c>
      <c r="N946" s="3">
        <f>IF($A946="","",IFERROR(INDEX('CAT_ESTADOS_ERP'!$B$4:$B$7,MATCH(IFERROR(INDEX('2_IMPORTAR_EJECUCION'!$C$9:$C$1208,MATCH($AQ946,'2_IMPORTAR_EJECUCION'!$J$9:$J$1208,0)),""),'CAT_ESTADOS_ERP'!$A$4:$A$7,0)),"Pendiente"))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J946="","",IFERROR(INDEX('CALENDARIO'!$C$15:$C$214,MATCH(TEXT($J946,"yyyy-mm-dd")&amp;"|"&amp;$V946&amp;"|"&amp;$W946,'CALENDARIO'!$G$15:$G$214,0)),IFERROR(INDEX('CALENDARIO'!$C$15:$C$214,MATCH(TEXT($J946,"yyyy-mm-dd")&amp;"|"&amp;$V946&amp;"|",'CALENDARIO'!$G$15:$G$214,0)),IFERROR(INDEX('CALENDARIO'!$C$15:$C$214,MATCH(TEXT($J946,"yyyy-mm-dd")&amp;"||",'CALENDARIO'!$G$15:$G$214,0)),INDEX(patronHabil,WEEKDAY($J946,2))))))</f>
        <v/>
      </c>
      <c r="T946" s="3">
        <f>IF($I946="","",IFERROR(INDEX('CAT_TIPOS_OT'!$C$4:$C$7,MATCH($I946,'CAT_TIPOS_OT'!$A$4:$A$7,0)),"sin_clasificar"))</f>
        <v/>
      </c>
      <c r="U946" s="3">
        <f>IF($F946="","",IFERROR(INDEX('CAT_CENTROS_COSTO'!$F$4:$F$13,MATCH($F946,'CAT_CENTROS_COSTO'!$A$4:$A$13,0)),"(sin catálogo)"))</f>
        <v/>
      </c>
      <c r="V946" s="3">
        <f>IF($F946="","",IFERROR(INDEX('CAT_CENTROS_COSTO'!$D$4:$D$13,MATCH($F946,'CAT_CENTROS_COSTO'!$A$4:$A$13,0)),"(sin catálogo)"))</f>
        <v/>
      </c>
      <c r="W946" s="3">
        <f>IF($F946="","",IF((IFERROR(INDEX('CAT_CENTROS_COSTO'!$E$4:$E$13,MATCH($F946,'CAT_CENTROS_COSTO'!$A$4:$A$13,0)),""))&lt;&gt;"",IFERROR(INDEX('CAT_CENTROS_COSTO'!$E$4:$E$13,MATCH($F946,'CAT_CENTROS_COSTO'!$A$4:$A$13,0)),""),$V946))</f>
        <v/>
      </c>
      <c r="X946" s="3">
        <f>IF($F946="","",IFERROR(INDEX('CAT_CENTROS_COSTO'!$G$4:$G$13,MATCH($F946,'CAT_CENTROS_COSTO'!$A$4:$A$13,0)),"(sin catálogo)"))</f>
        <v/>
      </c>
      <c r="Y946" s="3">
        <f>IF($G946="","",IFERROR(INDEX('CAT_PUESTOS'!$B$4:$B$8,MATCH($G946,'CAT_PUESTOS'!$A$4:$A$8,0)),"(sin catálogo)"))</f>
        <v/>
      </c>
      <c r="Z946" s="3">
        <f>IF($H946="","",IFERROR(INDEX('CAT_ACTIVIDADES'!$B$4:$B$8,MATCH($H946,'CAT_ACTIVIDADES'!$A$4:$A$8,0)),"(sin catálogo)"))</f>
        <v/>
      </c>
      <c r="AA946" s="12">
        <f>IF($J946="","",TODAY()-$J946)</f>
        <v/>
      </c>
      <c r="AB946" s="12">
        <f>IF($J946="","",IF($J946&lt;=TODAY(),COUNTIFS(cal_fechas,"&gt;="&amp;$J946,cal_fechas,"&lt;"&amp;TODAY(),cal_habil,"sí"),-COUNTIFS(cal_fechas,"&gt;="&amp;TODAY(),cal_fechas,"&lt;"&amp;$J946,cal_habil,"sí")))</f>
        <v/>
      </c>
      <c r="AC946" s="3">
        <f>IF($AB946="","",IF($AB946&lt;0,"FUTURO",IF($AB946&gt;p_dias_backlog_max,"BACKLOG","MES CORRIENTE")))</f>
        <v/>
      </c>
      <c r="AD946" s="3">
        <f>IF($AB946="",FALSE,AND($AB946&gt;p_dias_backlog_min,$AB946&lt;=p_dias_backlog_max))</f>
        <v/>
      </c>
      <c r="AE946" s="6" t="n"/>
      <c r="AF946" s="3">
        <f>IF($AE946="","",IF((IFERROR(INDEX('ASIGNACIONES'!$F$4:$F$339,MATCH($O946&amp;"|"&amp;$R946&amp;"|"&amp;$AE946,'ASIGNACIONES'!$J$4:$J$339,0)),""))=0,"",IFERROR(INDEX('ASIGNACIONES'!$F$4:$F$339,MATCH($O946&amp;"|"&amp;$R946&amp;"|"&amp;$AE946,'ASIGNACIONES'!$J$4:$J$339,0)),"")))</f>
        <v/>
      </c>
      <c r="AG946" s="13">
        <f>IF($AE946="","",SUMIFS('ORDENES'!$M$4:$M$1203,'ORDENES'!$AE$4:$AE$1203,$AE946,'ORDENES'!$O$4:$O$1203,$O946,'ORDENES'!$R$4:$R$1203,$R946))</f>
        <v/>
      </c>
      <c r="AH946" s="13">
        <f>IF($AG946="","",p_factor_productividad*IFERROR(INDEX('ASIGNACIONES'!$I$4:$I$339,MATCH($O946&amp;"|"&amp;$R946&amp;"|"&amp;$AE946,'ASIGNACIONES'!$J$4:$J$339,0)),0)-$AG946)</f>
        <v/>
      </c>
      <c r="AI946" s="10">
        <f>IF($A946="","",IFERROR(INDEX('2_IMPORTAR_EJECUCION'!$F$9:$F$1208,MATCH($AQ946,'2_IMPORTAR_EJECUCION'!$J$9:$J$1208,0)),0))</f>
        <v/>
      </c>
      <c r="AJ946" s="10">
        <f>IF($A946="","",MAX(0,IFERROR(INDEX('2_IMPORTAR_EJECUCION'!$H$9:$H$1208,MATCH($AQ946,'2_IMPORTAR_EJECUCION'!$J$9:$J$1208,0)),0)-$AI946))</f>
        <v/>
      </c>
      <c r="AK946" s="10">
        <f>IF($A946="","",$AI946+$AJ946)</f>
        <v/>
      </c>
      <c r="AL946" s="6" t="n"/>
      <c r="AM946" s="6" t="n"/>
      <c r="AN946" s="6" t="n"/>
      <c r="AO946" s="3">
        <f>IF($AN946="","",HYPERLINK(p_ruta_base_checklists&amp;$AN946,"abrir"))</f>
        <v/>
      </c>
      <c r="AP946" s="6" t="n"/>
      <c r="AQ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IF($A947="","",IFERROR(INDEX('AJUSTES'!$B$4:$B$303,MATCH($AQ947,'AJUSTES'!$A$4:$A$303,0)),IF($K947="","",$K947)))</f>
        <v/>
      </c>
      <c r="N947" s="3">
        <f>IF($A947="","",IFERROR(INDEX('CAT_ESTADOS_ERP'!$B$4:$B$7,MATCH(IFERROR(INDEX('2_IMPORTAR_EJECUCION'!$C$9:$C$1208,MATCH($AQ947,'2_IMPORTAR_EJECUCION'!$J$9:$J$1208,0)),""),'CAT_ESTADOS_ERP'!$A$4:$A$7,0)),"Pendiente"))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J947="","",IFERROR(INDEX('CALENDARIO'!$C$15:$C$214,MATCH(TEXT($J947,"yyyy-mm-dd")&amp;"|"&amp;$V947&amp;"|"&amp;$W947,'CALENDARIO'!$G$15:$G$214,0)),IFERROR(INDEX('CALENDARIO'!$C$15:$C$214,MATCH(TEXT($J947,"yyyy-mm-dd")&amp;"|"&amp;$V947&amp;"|",'CALENDARIO'!$G$15:$G$214,0)),IFERROR(INDEX('CALENDARIO'!$C$15:$C$214,MATCH(TEXT($J947,"yyyy-mm-dd")&amp;"||",'CALENDARIO'!$G$15:$G$214,0)),INDEX(patronHabil,WEEKDAY($J947,2))))))</f>
        <v/>
      </c>
      <c r="T947" s="3">
        <f>IF($I947="","",IFERROR(INDEX('CAT_TIPOS_OT'!$C$4:$C$7,MATCH($I947,'CAT_TIPOS_OT'!$A$4:$A$7,0)),"sin_clasificar"))</f>
        <v/>
      </c>
      <c r="U947" s="3">
        <f>IF($F947="","",IFERROR(INDEX('CAT_CENTROS_COSTO'!$F$4:$F$13,MATCH($F947,'CAT_CENTROS_COSTO'!$A$4:$A$13,0)),"(sin catálogo)"))</f>
        <v/>
      </c>
      <c r="V947" s="3">
        <f>IF($F947="","",IFERROR(INDEX('CAT_CENTROS_COSTO'!$D$4:$D$13,MATCH($F947,'CAT_CENTROS_COSTO'!$A$4:$A$13,0)),"(sin catálogo)"))</f>
        <v/>
      </c>
      <c r="W947" s="3">
        <f>IF($F947="","",IF((IFERROR(INDEX('CAT_CENTROS_COSTO'!$E$4:$E$13,MATCH($F947,'CAT_CENTROS_COSTO'!$A$4:$A$13,0)),""))&lt;&gt;"",IFERROR(INDEX('CAT_CENTROS_COSTO'!$E$4:$E$13,MATCH($F947,'CAT_CENTROS_COSTO'!$A$4:$A$13,0)),""),$V947))</f>
        <v/>
      </c>
      <c r="X947" s="3">
        <f>IF($F947="","",IFERROR(INDEX('CAT_CENTROS_COSTO'!$G$4:$G$13,MATCH($F947,'CAT_CENTROS_COSTO'!$A$4:$A$13,0)),"(sin catálogo)"))</f>
        <v/>
      </c>
      <c r="Y947" s="3">
        <f>IF($G947="","",IFERROR(INDEX('CAT_PUESTOS'!$B$4:$B$8,MATCH($G947,'CAT_PUESTOS'!$A$4:$A$8,0)),"(sin catálogo)"))</f>
        <v/>
      </c>
      <c r="Z947" s="3">
        <f>IF($H947="","",IFERROR(INDEX('CAT_ACTIVIDADES'!$B$4:$B$8,MATCH($H947,'CAT_ACTIVIDADES'!$A$4:$A$8,0)),"(sin catálogo)"))</f>
        <v/>
      </c>
      <c r="AA947" s="12">
        <f>IF($J947="","",TODAY()-$J947)</f>
        <v/>
      </c>
      <c r="AB947" s="12">
        <f>IF($J947="","",IF($J947&lt;=TODAY(),COUNTIFS(cal_fechas,"&gt;="&amp;$J947,cal_fechas,"&lt;"&amp;TODAY(),cal_habil,"sí"),-COUNTIFS(cal_fechas,"&gt;="&amp;TODAY(),cal_fechas,"&lt;"&amp;$J947,cal_habil,"sí")))</f>
        <v/>
      </c>
      <c r="AC947" s="3">
        <f>IF($AB947="","",IF($AB947&lt;0,"FUTURO",IF($AB947&gt;p_dias_backlog_max,"BACKLOG","MES CORRIENTE")))</f>
        <v/>
      </c>
      <c r="AD947" s="3">
        <f>IF($AB947="",FALSE,AND($AB947&gt;p_dias_backlog_min,$AB947&lt;=p_dias_backlog_max))</f>
        <v/>
      </c>
      <c r="AE947" s="6" t="n"/>
      <c r="AF947" s="3">
        <f>IF($AE947="","",IF((IFERROR(INDEX('ASIGNACIONES'!$F$4:$F$339,MATCH($O947&amp;"|"&amp;$R947&amp;"|"&amp;$AE947,'ASIGNACIONES'!$J$4:$J$339,0)),""))=0,"",IFERROR(INDEX('ASIGNACIONES'!$F$4:$F$339,MATCH($O947&amp;"|"&amp;$R947&amp;"|"&amp;$AE947,'ASIGNACIONES'!$J$4:$J$339,0)),"")))</f>
        <v/>
      </c>
      <c r="AG947" s="13">
        <f>IF($AE947="","",SUMIFS('ORDENES'!$M$4:$M$1203,'ORDENES'!$AE$4:$AE$1203,$AE947,'ORDENES'!$O$4:$O$1203,$O947,'ORDENES'!$R$4:$R$1203,$R947))</f>
        <v/>
      </c>
      <c r="AH947" s="13">
        <f>IF($AG947="","",p_factor_productividad*IFERROR(INDEX('ASIGNACIONES'!$I$4:$I$339,MATCH($O947&amp;"|"&amp;$R947&amp;"|"&amp;$AE947,'ASIGNACIONES'!$J$4:$J$339,0)),0)-$AG947)</f>
        <v/>
      </c>
      <c r="AI947" s="10">
        <f>IF($A947="","",IFERROR(INDEX('2_IMPORTAR_EJECUCION'!$F$9:$F$1208,MATCH($AQ947,'2_IMPORTAR_EJECUCION'!$J$9:$J$1208,0)),0))</f>
        <v/>
      </c>
      <c r="AJ947" s="10">
        <f>IF($A947="","",MAX(0,IFERROR(INDEX('2_IMPORTAR_EJECUCION'!$H$9:$H$1208,MATCH($AQ947,'2_IMPORTAR_EJECUCION'!$J$9:$J$1208,0)),0)-$AI947))</f>
        <v/>
      </c>
      <c r="AK947" s="10">
        <f>IF($A947="","",$AI947+$AJ947)</f>
        <v/>
      </c>
      <c r="AL947" s="6" t="n"/>
      <c r="AM947" s="6" t="n"/>
      <c r="AN947" s="6" t="n"/>
      <c r="AO947" s="3">
        <f>IF($AN947="","",HYPERLINK(p_ruta_base_checklists&amp;$AN947,"abrir"))</f>
        <v/>
      </c>
      <c r="AP947" s="6" t="n"/>
      <c r="AQ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IF($A948="","",IFERROR(INDEX('AJUSTES'!$B$4:$B$303,MATCH($AQ948,'AJUSTES'!$A$4:$A$303,0)),IF($K948="","",$K948)))</f>
        <v/>
      </c>
      <c r="N948" s="3">
        <f>IF($A948="","",IFERROR(INDEX('CAT_ESTADOS_ERP'!$B$4:$B$7,MATCH(IFERROR(INDEX('2_IMPORTAR_EJECUCION'!$C$9:$C$1208,MATCH($AQ948,'2_IMPORTAR_EJECUCION'!$J$9:$J$1208,0)),""),'CAT_ESTADOS_ERP'!$A$4:$A$7,0)),"Pendiente"))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J948="","",IFERROR(INDEX('CALENDARIO'!$C$15:$C$214,MATCH(TEXT($J948,"yyyy-mm-dd")&amp;"|"&amp;$V948&amp;"|"&amp;$W948,'CALENDARIO'!$G$15:$G$214,0)),IFERROR(INDEX('CALENDARIO'!$C$15:$C$214,MATCH(TEXT($J948,"yyyy-mm-dd")&amp;"|"&amp;$V948&amp;"|",'CALENDARIO'!$G$15:$G$214,0)),IFERROR(INDEX('CALENDARIO'!$C$15:$C$214,MATCH(TEXT($J948,"yyyy-mm-dd")&amp;"||",'CALENDARIO'!$G$15:$G$214,0)),INDEX(patronHabil,WEEKDAY($J948,2))))))</f>
        <v/>
      </c>
      <c r="T948" s="3">
        <f>IF($I948="","",IFERROR(INDEX('CAT_TIPOS_OT'!$C$4:$C$7,MATCH($I948,'CAT_TIPOS_OT'!$A$4:$A$7,0)),"sin_clasificar"))</f>
        <v/>
      </c>
      <c r="U948" s="3">
        <f>IF($F948="","",IFERROR(INDEX('CAT_CENTROS_COSTO'!$F$4:$F$13,MATCH($F948,'CAT_CENTROS_COSTO'!$A$4:$A$13,0)),"(sin catálogo)"))</f>
        <v/>
      </c>
      <c r="V948" s="3">
        <f>IF($F948="","",IFERROR(INDEX('CAT_CENTROS_COSTO'!$D$4:$D$13,MATCH($F948,'CAT_CENTROS_COSTO'!$A$4:$A$13,0)),"(sin catálogo)"))</f>
        <v/>
      </c>
      <c r="W948" s="3">
        <f>IF($F948="","",IF((IFERROR(INDEX('CAT_CENTROS_COSTO'!$E$4:$E$13,MATCH($F948,'CAT_CENTROS_COSTO'!$A$4:$A$13,0)),""))&lt;&gt;"",IFERROR(INDEX('CAT_CENTROS_COSTO'!$E$4:$E$13,MATCH($F948,'CAT_CENTROS_COSTO'!$A$4:$A$13,0)),""),$V948))</f>
        <v/>
      </c>
      <c r="X948" s="3">
        <f>IF($F948="","",IFERROR(INDEX('CAT_CENTROS_COSTO'!$G$4:$G$13,MATCH($F948,'CAT_CENTROS_COSTO'!$A$4:$A$13,0)),"(sin catálogo)"))</f>
        <v/>
      </c>
      <c r="Y948" s="3">
        <f>IF($G948="","",IFERROR(INDEX('CAT_PUESTOS'!$B$4:$B$8,MATCH($G948,'CAT_PUESTOS'!$A$4:$A$8,0)),"(sin catálogo)"))</f>
        <v/>
      </c>
      <c r="Z948" s="3">
        <f>IF($H948="","",IFERROR(INDEX('CAT_ACTIVIDADES'!$B$4:$B$8,MATCH($H948,'CAT_ACTIVIDADES'!$A$4:$A$8,0)),"(sin catálogo)"))</f>
        <v/>
      </c>
      <c r="AA948" s="12">
        <f>IF($J948="","",TODAY()-$J948)</f>
        <v/>
      </c>
      <c r="AB948" s="12">
        <f>IF($J948="","",IF($J948&lt;=TODAY(),COUNTIFS(cal_fechas,"&gt;="&amp;$J948,cal_fechas,"&lt;"&amp;TODAY(),cal_habil,"sí"),-COUNTIFS(cal_fechas,"&gt;="&amp;TODAY(),cal_fechas,"&lt;"&amp;$J948,cal_habil,"sí")))</f>
        <v/>
      </c>
      <c r="AC948" s="3">
        <f>IF($AB948="","",IF($AB948&lt;0,"FUTURO",IF($AB948&gt;p_dias_backlog_max,"BACKLOG","MES CORRIENTE")))</f>
        <v/>
      </c>
      <c r="AD948" s="3">
        <f>IF($AB948="",FALSE,AND($AB948&gt;p_dias_backlog_min,$AB948&lt;=p_dias_backlog_max))</f>
        <v/>
      </c>
      <c r="AE948" s="6" t="n"/>
      <c r="AF948" s="3">
        <f>IF($AE948="","",IF((IFERROR(INDEX('ASIGNACIONES'!$F$4:$F$339,MATCH($O948&amp;"|"&amp;$R948&amp;"|"&amp;$AE948,'ASIGNACIONES'!$J$4:$J$339,0)),""))=0,"",IFERROR(INDEX('ASIGNACIONES'!$F$4:$F$339,MATCH($O948&amp;"|"&amp;$R948&amp;"|"&amp;$AE948,'ASIGNACIONES'!$J$4:$J$339,0)),"")))</f>
        <v/>
      </c>
      <c r="AG948" s="13">
        <f>IF($AE948="","",SUMIFS('ORDENES'!$M$4:$M$1203,'ORDENES'!$AE$4:$AE$1203,$AE948,'ORDENES'!$O$4:$O$1203,$O948,'ORDENES'!$R$4:$R$1203,$R948))</f>
        <v/>
      </c>
      <c r="AH948" s="13">
        <f>IF($AG948="","",p_factor_productividad*IFERROR(INDEX('ASIGNACIONES'!$I$4:$I$339,MATCH($O948&amp;"|"&amp;$R948&amp;"|"&amp;$AE948,'ASIGNACIONES'!$J$4:$J$339,0)),0)-$AG948)</f>
        <v/>
      </c>
      <c r="AI948" s="10">
        <f>IF($A948="","",IFERROR(INDEX('2_IMPORTAR_EJECUCION'!$F$9:$F$1208,MATCH($AQ948,'2_IMPORTAR_EJECUCION'!$J$9:$J$1208,0)),0))</f>
        <v/>
      </c>
      <c r="AJ948" s="10">
        <f>IF($A948="","",MAX(0,IFERROR(INDEX('2_IMPORTAR_EJECUCION'!$H$9:$H$1208,MATCH($AQ948,'2_IMPORTAR_EJECUCION'!$J$9:$J$1208,0)),0)-$AI948))</f>
        <v/>
      </c>
      <c r="AK948" s="10">
        <f>IF($A948="","",$AI948+$AJ948)</f>
        <v/>
      </c>
      <c r="AL948" s="6" t="n"/>
      <c r="AM948" s="6" t="n"/>
      <c r="AN948" s="6" t="n"/>
      <c r="AO948" s="3">
        <f>IF($AN948="","",HYPERLINK(p_ruta_base_checklists&amp;$AN948,"abrir"))</f>
        <v/>
      </c>
      <c r="AP948" s="6" t="n"/>
      <c r="AQ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IF($A949="","",IFERROR(INDEX('AJUSTES'!$B$4:$B$303,MATCH($AQ949,'AJUSTES'!$A$4:$A$303,0)),IF($K949="","",$K949)))</f>
        <v/>
      </c>
      <c r="N949" s="3">
        <f>IF($A949="","",IFERROR(INDEX('CAT_ESTADOS_ERP'!$B$4:$B$7,MATCH(IFERROR(INDEX('2_IMPORTAR_EJECUCION'!$C$9:$C$1208,MATCH($AQ949,'2_IMPORTAR_EJECUCION'!$J$9:$J$1208,0)),""),'CAT_ESTADOS_ERP'!$A$4:$A$7,0)),"Pendiente"))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J949="","",IFERROR(INDEX('CALENDARIO'!$C$15:$C$214,MATCH(TEXT($J949,"yyyy-mm-dd")&amp;"|"&amp;$V949&amp;"|"&amp;$W949,'CALENDARIO'!$G$15:$G$214,0)),IFERROR(INDEX('CALENDARIO'!$C$15:$C$214,MATCH(TEXT($J949,"yyyy-mm-dd")&amp;"|"&amp;$V949&amp;"|",'CALENDARIO'!$G$15:$G$214,0)),IFERROR(INDEX('CALENDARIO'!$C$15:$C$214,MATCH(TEXT($J949,"yyyy-mm-dd")&amp;"||",'CALENDARIO'!$G$15:$G$214,0)),INDEX(patronHabil,WEEKDAY($J949,2))))))</f>
        <v/>
      </c>
      <c r="T949" s="3">
        <f>IF($I949="","",IFERROR(INDEX('CAT_TIPOS_OT'!$C$4:$C$7,MATCH($I949,'CAT_TIPOS_OT'!$A$4:$A$7,0)),"sin_clasificar"))</f>
        <v/>
      </c>
      <c r="U949" s="3">
        <f>IF($F949="","",IFERROR(INDEX('CAT_CENTROS_COSTO'!$F$4:$F$13,MATCH($F949,'CAT_CENTROS_COSTO'!$A$4:$A$13,0)),"(sin catálogo)"))</f>
        <v/>
      </c>
      <c r="V949" s="3">
        <f>IF($F949="","",IFERROR(INDEX('CAT_CENTROS_COSTO'!$D$4:$D$13,MATCH($F949,'CAT_CENTROS_COSTO'!$A$4:$A$13,0)),"(sin catálogo)"))</f>
        <v/>
      </c>
      <c r="W949" s="3">
        <f>IF($F949="","",IF((IFERROR(INDEX('CAT_CENTROS_COSTO'!$E$4:$E$13,MATCH($F949,'CAT_CENTROS_COSTO'!$A$4:$A$13,0)),""))&lt;&gt;"",IFERROR(INDEX('CAT_CENTROS_COSTO'!$E$4:$E$13,MATCH($F949,'CAT_CENTROS_COSTO'!$A$4:$A$13,0)),""),$V949))</f>
        <v/>
      </c>
      <c r="X949" s="3">
        <f>IF($F949="","",IFERROR(INDEX('CAT_CENTROS_COSTO'!$G$4:$G$13,MATCH($F949,'CAT_CENTROS_COSTO'!$A$4:$A$13,0)),"(sin catálogo)"))</f>
        <v/>
      </c>
      <c r="Y949" s="3">
        <f>IF($G949="","",IFERROR(INDEX('CAT_PUESTOS'!$B$4:$B$8,MATCH($G949,'CAT_PUESTOS'!$A$4:$A$8,0)),"(sin catálogo)"))</f>
        <v/>
      </c>
      <c r="Z949" s="3">
        <f>IF($H949="","",IFERROR(INDEX('CAT_ACTIVIDADES'!$B$4:$B$8,MATCH($H949,'CAT_ACTIVIDADES'!$A$4:$A$8,0)),"(sin catálogo)"))</f>
        <v/>
      </c>
      <c r="AA949" s="12">
        <f>IF($J949="","",TODAY()-$J949)</f>
        <v/>
      </c>
      <c r="AB949" s="12">
        <f>IF($J949="","",IF($J949&lt;=TODAY(),COUNTIFS(cal_fechas,"&gt;="&amp;$J949,cal_fechas,"&lt;"&amp;TODAY(),cal_habil,"sí"),-COUNTIFS(cal_fechas,"&gt;="&amp;TODAY(),cal_fechas,"&lt;"&amp;$J949,cal_habil,"sí")))</f>
        <v/>
      </c>
      <c r="AC949" s="3">
        <f>IF($AB949="","",IF($AB949&lt;0,"FUTURO",IF($AB949&gt;p_dias_backlog_max,"BACKLOG","MES CORRIENTE")))</f>
        <v/>
      </c>
      <c r="AD949" s="3">
        <f>IF($AB949="",FALSE,AND($AB949&gt;p_dias_backlog_min,$AB949&lt;=p_dias_backlog_max))</f>
        <v/>
      </c>
      <c r="AE949" s="6" t="n"/>
      <c r="AF949" s="3">
        <f>IF($AE949="","",IF((IFERROR(INDEX('ASIGNACIONES'!$F$4:$F$339,MATCH($O949&amp;"|"&amp;$R949&amp;"|"&amp;$AE949,'ASIGNACIONES'!$J$4:$J$339,0)),""))=0,"",IFERROR(INDEX('ASIGNACIONES'!$F$4:$F$339,MATCH($O949&amp;"|"&amp;$R949&amp;"|"&amp;$AE949,'ASIGNACIONES'!$J$4:$J$339,0)),"")))</f>
        <v/>
      </c>
      <c r="AG949" s="13">
        <f>IF($AE949="","",SUMIFS('ORDENES'!$M$4:$M$1203,'ORDENES'!$AE$4:$AE$1203,$AE949,'ORDENES'!$O$4:$O$1203,$O949,'ORDENES'!$R$4:$R$1203,$R949))</f>
        <v/>
      </c>
      <c r="AH949" s="13">
        <f>IF($AG949="","",p_factor_productividad*IFERROR(INDEX('ASIGNACIONES'!$I$4:$I$339,MATCH($O949&amp;"|"&amp;$R949&amp;"|"&amp;$AE949,'ASIGNACIONES'!$J$4:$J$339,0)),0)-$AG949)</f>
        <v/>
      </c>
      <c r="AI949" s="10">
        <f>IF($A949="","",IFERROR(INDEX('2_IMPORTAR_EJECUCION'!$F$9:$F$1208,MATCH($AQ949,'2_IMPORTAR_EJECUCION'!$J$9:$J$1208,0)),0))</f>
        <v/>
      </c>
      <c r="AJ949" s="10">
        <f>IF($A949="","",MAX(0,IFERROR(INDEX('2_IMPORTAR_EJECUCION'!$H$9:$H$1208,MATCH($AQ949,'2_IMPORTAR_EJECUCION'!$J$9:$J$1208,0)),0)-$AI949))</f>
        <v/>
      </c>
      <c r="AK949" s="10">
        <f>IF($A949="","",$AI949+$AJ949)</f>
        <v/>
      </c>
      <c r="AL949" s="6" t="n"/>
      <c r="AM949" s="6" t="n"/>
      <c r="AN949" s="6" t="n"/>
      <c r="AO949" s="3">
        <f>IF($AN949="","",HYPERLINK(p_ruta_base_checklists&amp;$AN949,"abrir"))</f>
        <v/>
      </c>
      <c r="AP949" s="6" t="n"/>
      <c r="AQ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IF($A950="","",IFERROR(INDEX('AJUSTES'!$B$4:$B$303,MATCH($AQ950,'AJUSTES'!$A$4:$A$303,0)),IF($K950="","",$K950)))</f>
        <v/>
      </c>
      <c r="N950" s="3">
        <f>IF($A950="","",IFERROR(INDEX('CAT_ESTADOS_ERP'!$B$4:$B$7,MATCH(IFERROR(INDEX('2_IMPORTAR_EJECUCION'!$C$9:$C$1208,MATCH($AQ950,'2_IMPORTAR_EJECUCION'!$J$9:$J$1208,0)),""),'CAT_ESTADOS_ERP'!$A$4:$A$7,0)),"Pendiente"))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J950="","",IFERROR(INDEX('CALENDARIO'!$C$15:$C$214,MATCH(TEXT($J950,"yyyy-mm-dd")&amp;"|"&amp;$V950&amp;"|"&amp;$W950,'CALENDARIO'!$G$15:$G$214,0)),IFERROR(INDEX('CALENDARIO'!$C$15:$C$214,MATCH(TEXT($J950,"yyyy-mm-dd")&amp;"|"&amp;$V950&amp;"|",'CALENDARIO'!$G$15:$G$214,0)),IFERROR(INDEX('CALENDARIO'!$C$15:$C$214,MATCH(TEXT($J950,"yyyy-mm-dd")&amp;"||",'CALENDARIO'!$G$15:$G$214,0)),INDEX(patronHabil,WEEKDAY($J950,2))))))</f>
        <v/>
      </c>
      <c r="T950" s="3">
        <f>IF($I950="","",IFERROR(INDEX('CAT_TIPOS_OT'!$C$4:$C$7,MATCH($I950,'CAT_TIPOS_OT'!$A$4:$A$7,0)),"sin_clasificar"))</f>
        <v/>
      </c>
      <c r="U950" s="3">
        <f>IF($F950="","",IFERROR(INDEX('CAT_CENTROS_COSTO'!$F$4:$F$13,MATCH($F950,'CAT_CENTROS_COSTO'!$A$4:$A$13,0)),"(sin catálogo)"))</f>
        <v/>
      </c>
      <c r="V950" s="3">
        <f>IF($F950="","",IFERROR(INDEX('CAT_CENTROS_COSTO'!$D$4:$D$13,MATCH($F950,'CAT_CENTROS_COSTO'!$A$4:$A$13,0)),"(sin catálogo)"))</f>
        <v/>
      </c>
      <c r="W950" s="3">
        <f>IF($F950="","",IF((IFERROR(INDEX('CAT_CENTROS_COSTO'!$E$4:$E$13,MATCH($F950,'CAT_CENTROS_COSTO'!$A$4:$A$13,0)),""))&lt;&gt;"",IFERROR(INDEX('CAT_CENTROS_COSTO'!$E$4:$E$13,MATCH($F950,'CAT_CENTROS_COSTO'!$A$4:$A$13,0)),""),$V950))</f>
        <v/>
      </c>
      <c r="X950" s="3">
        <f>IF($F950="","",IFERROR(INDEX('CAT_CENTROS_COSTO'!$G$4:$G$13,MATCH($F950,'CAT_CENTROS_COSTO'!$A$4:$A$13,0)),"(sin catálogo)"))</f>
        <v/>
      </c>
      <c r="Y950" s="3">
        <f>IF($G950="","",IFERROR(INDEX('CAT_PUESTOS'!$B$4:$B$8,MATCH($G950,'CAT_PUESTOS'!$A$4:$A$8,0)),"(sin catálogo)"))</f>
        <v/>
      </c>
      <c r="Z950" s="3">
        <f>IF($H950="","",IFERROR(INDEX('CAT_ACTIVIDADES'!$B$4:$B$8,MATCH($H950,'CAT_ACTIVIDADES'!$A$4:$A$8,0)),"(sin catálogo)"))</f>
        <v/>
      </c>
      <c r="AA950" s="12">
        <f>IF($J950="","",TODAY()-$J950)</f>
        <v/>
      </c>
      <c r="AB950" s="12">
        <f>IF($J950="","",IF($J950&lt;=TODAY(),COUNTIFS(cal_fechas,"&gt;="&amp;$J950,cal_fechas,"&lt;"&amp;TODAY(),cal_habil,"sí"),-COUNTIFS(cal_fechas,"&gt;="&amp;TODAY(),cal_fechas,"&lt;"&amp;$J950,cal_habil,"sí")))</f>
        <v/>
      </c>
      <c r="AC950" s="3">
        <f>IF($AB950="","",IF($AB950&lt;0,"FUTURO",IF($AB950&gt;p_dias_backlog_max,"BACKLOG","MES CORRIENTE")))</f>
        <v/>
      </c>
      <c r="AD950" s="3">
        <f>IF($AB950="",FALSE,AND($AB950&gt;p_dias_backlog_min,$AB950&lt;=p_dias_backlog_max))</f>
        <v/>
      </c>
      <c r="AE950" s="6" t="n"/>
      <c r="AF950" s="3">
        <f>IF($AE950="","",IF((IFERROR(INDEX('ASIGNACIONES'!$F$4:$F$339,MATCH($O950&amp;"|"&amp;$R950&amp;"|"&amp;$AE950,'ASIGNACIONES'!$J$4:$J$339,0)),""))=0,"",IFERROR(INDEX('ASIGNACIONES'!$F$4:$F$339,MATCH($O950&amp;"|"&amp;$R950&amp;"|"&amp;$AE950,'ASIGNACIONES'!$J$4:$J$339,0)),"")))</f>
        <v/>
      </c>
      <c r="AG950" s="13">
        <f>IF($AE950="","",SUMIFS('ORDENES'!$M$4:$M$1203,'ORDENES'!$AE$4:$AE$1203,$AE950,'ORDENES'!$O$4:$O$1203,$O950,'ORDENES'!$R$4:$R$1203,$R950))</f>
        <v/>
      </c>
      <c r="AH950" s="13">
        <f>IF($AG950="","",p_factor_productividad*IFERROR(INDEX('ASIGNACIONES'!$I$4:$I$339,MATCH($O950&amp;"|"&amp;$R950&amp;"|"&amp;$AE950,'ASIGNACIONES'!$J$4:$J$339,0)),0)-$AG950)</f>
        <v/>
      </c>
      <c r="AI950" s="10">
        <f>IF($A950="","",IFERROR(INDEX('2_IMPORTAR_EJECUCION'!$F$9:$F$1208,MATCH($AQ950,'2_IMPORTAR_EJECUCION'!$J$9:$J$1208,0)),0))</f>
        <v/>
      </c>
      <c r="AJ950" s="10">
        <f>IF($A950="","",MAX(0,IFERROR(INDEX('2_IMPORTAR_EJECUCION'!$H$9:$H$1208,MATCH($AQ950,'2_IMPORTAR_EJECUCION'!$J$9:$J$1208,0)),0)-$AI950))</f>
        <v/>
      </c>
      <c r="AK950" s="10">
        <f>IF($A950="","",$AI950+$AJ950)</f>
        <v/>
      </c>
      <c r="AL950" s="6" t="n"/>
      <c r="AM950" s="6" t="n"/>
      <c r="AN950" s="6" t="n"/>
      <c r="AO950" s="3">
        <f>IF($AN950="","",HYPERLINK(p_ruta_base_checklists&amp;$AN950,"abrir"))</f>
        <v/>
      </c>
      <c r="AP950" s="6" t="n"/>
      <c r="AQ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IF($A951="","",IFERROR(INDEX('AJUSTES'!$B$4:$B$303,MATCH($AQ951,'AJUSTES'!$A$4:$A$303,0)),IF($K951="","",$K951)))</f>
        <v/>
      </c>
      <c r="N951" s="3">
        <f>IF($A951="","",IFERROR(INDEX('CAT_ESTADOS_ERP'!$B$4:$B$7,MATCH(IFERROR(INDEX('2_IMPORTAR_EJECUCION'!$C$9:$C$1208,MATCH($AQ951,'2_IMPORTAR_EJECUCION'!$J$9:$J$1208,0)),""),'CAT_ESTADOS_ERP'!$A$4:$A$7,0)),"Pendiente"))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J951="","",IFERROR(INDEX('CALENDARIO'!$C$15:$C$214,MATCH(TEXT($J951,"yyyy-mm-dd")&amp;"|"&amp;$V951&amp;"|"&amp;$W951,'CALENDARIO'!$G$15:$G$214,0)),IFERROR(INDEX('CALENDARIO'!$C$15:$C$214,MATCH(TEXT($J951,"yyyy-mm-dd")&amp;"|"&amp;$V951&amp;"|",'CALENDARIO'!$G$15:$G$214,0)),IFERROR(INDEX('CALENDARIO'!$C$15:$C$214,MATCH(TEXT($J951,"yyyy-mm-dd")&amp;"||",'CALENDARIO'!$G$15:$G$214,0)),INDEX(patronHabil,WEEKDAY($J951,2))))))</f>
        <v/>
      </c>
      <c r="T951" s="3">
        <f>IF($I951="","",IFERROR(INDEX('CAT_TIPOS_OT'!$C$4:$C$7,MATCH($I951,'CAT_TIPOS_OT'!$A$4:$A$7,0)),"sin_clasificar"))</f>
        <v/>
      </c>
      <c r="U951" s="3">
        <f>IF($F951="","",IFERROR(INDEX('CAT_CENTROS_COSTO'!$F$4:$F$13,MATCH($F951,'CAT_CENTROS_COSTO'!$A$4:$A$13,0)),"(sin catálogo)"))</f>
        <v/>
      </c>
      <c r="V951" s="3">
        <f>IF($F951="","",IFERROR(INDEX('CAT_CENTROS_COSTO'!$D$4:$D$13,MATCH($F951,'CAT_CENTROS_COSTO'!$A$4:$A$13,0)),"(sin catálogo)"))</f>
        <v/>
      </c>
      <c r="W951" s="3">
        <f>IF($F951="","",IF((IFERROR(INDEX('CAT_CENTROS_COSTO'!$E$4:$E$13,MATCH($F951,'CAT_CENTROS_COSTO'!$A$4:$A$13,0)),""))&lt;&gt;"",IFERROR(INDEX('CAT_CENTROS_COSTO'!$E$4:$E$13,MATCH($F951,'CAT_CENTROS_COSTO'!$A$4:$A$13,0)),""),$V951))</f>
        <v/>
      </c>
      <c r="X951" s="3">
        <f>IF($F951="","",IFERROR(INDEX('CAT_CENTROS_COSTO'!$G$4:$G$13,MATCH($F951,'CAT_CENTROS_COSTO'!$A$4:$A$13,0)),"(sin catálogo)"))</f>
        <v/>
      </c>
      <c r="Y951" s="3">
        <f>IF($G951="","",IFERROR(INDEX('CAT_PUESTOS'!$B$4:$B$8,MATCH($G951,'CAT_PUESTOS'!$A$4:$A$8,0)),"(sin catálogo)"))</f>
        <v/>
      </c>
      <c r="Z951" s="3">
        <f>IF($H951="","",IFERROR(INDEX('CAT_ACTIVIDADES'!$B$4:$B$8,MATCH($H951,'CAT_ACTIVIDADES'!$A$4:$A$8,0)),"(sin catálogo)"))</f>
        <v/>
      </c>
      <c r="AA951" s="12">
        <f>IF($J951="","",TODAY()-$J951)</f>
        <v/>
      </c>
      <c r="AB951" s="12">
        <f>IF($J951="","",IF($J951&lt;=TODAY(),COUNTIFS(cal_fechas,"&gt;="&amp;$J951,cal_fechas,"&lt;"&amp;TODAY(),cal_habil,"sí"),-COUNTIFS(cal_fechas,"&gt;="&amp;TODAY(),cal_fechas,"&lt;"&amp;$J951,cal_habil,"sí")))</f>
        <v/>
      </c>
      <c r="AC951" s="3">
        <f>IF($AB951="","",IF($AB951&lt;0,"FUTURO",IF($AB951&gt;p_dias_backlog_max,"BACKLOG","MES CORRIENTE")))</f>
        <v/>
      </c>
      <c r="AD951" s="3">
        <f>IF($AB951="",FALSE,AND($AB951&gt;p_dias_backlog_min,$AB951&lt;=p_dias_backlog_max))</f>
        <v/>
      </c>
      <c r="AE951" s="6" t="n"/>
      <c r="AF951" s="3">
        <f>IF($AE951="","",IF((IFERROR(INDEX('ASIGNACIONES'!$F$4:$F$339,MATCH($O951&amp;"|"&amp;$R951&amp;"|"&amp;$AE951,'ASIGNACIONES'!$J$4:$J$339,0)),""))=0,"",IFERROR(INDEX('ASIGNACIONES'!$F$4:$F$339,MATCH($O951&amp;"|"&amp;$R951&amp;"|"&amp;$AE951,'ASIGNACIONES'!$J$4:$J$339,0)),"")))</f>
        <v/>
      </c>
      <c r="AG951" s="13">
        <f>IF($AE951="","",SUMIFS('ORDENES'!$M$4:$M$1203,'ORDENES'!$AE$4:$AE$1203,$AE951,'ORDENES'!$O$4:$O$1203,$O951,'ORDENES'!$R$4:$R$1203,$R951))</f>
        <v/>
      </c>
      <c r="AH951" s="13">
        <f>IF($AG951="","",p_factor_productividad*IFERROR(INDEX('ASIGNACIONES'!$I$4:$I$339,MATCH($O951&amp;"|"&amp;$R951&amp;"|"&amp;$AE951,'ASIGNACIONES'!$J$4:$J$339,0)),0)-$AG951)</f>
        <v/>
      </c>
      <c r="AI951" s="10">
        <f>IF($A951="","",IFERROR(INDEX('2_IMPORTAR_EJECUCION'!$F$9:$F$1208,MATCH($AQ951,'2_IMPORTAR_EJECUCION'!$J$9:$J$1208,0)),0))</f>
        <v/>
      </c>
      <c r="AJ951" s="10">
        <f>IF($A951="","",MAX(0,IFERROR(INDEX('2_IMPORTAR_EJECUCION'!$H$9:$H$1208,MATCH($AQ951,'2_IMPORTAR_EJECUCION'!$J$9:$J$1208,0)),0)-$AI951))</f>
        <v/>
      </c>
      <c r="AK951" s="10">
        <f>IF($A951="","",$AI951+$AJ951)</f>
        <v/>
      </c>
      <c r="AL951" s="6" t="n"/>
      <c r="AM951" s="6" t="n"/>
      <c r="AN951" s="6" t="n"/>
      <c r="AO951" s="3">
        <f>IF($AN951="","",HYPERLINK(p_ruta_base_checklists&amp;$AN951,"abrir"))</f>
        <v/>
      </c>
      <c r="AP951" s="6" t="n"/>
      <c r="AQ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IF($A952="","",IFERROR(INDEX('AJUSTES'!$B$4:$B$303,MATCH($AQ952,'AJUSTES'!$A$4:$A$303,0)),IF($K952="","",$K952)))</f>
        <v/>
      </c>
      <c r="N952" s="3">
        <f>IF($A952="","",IFERROR(INDEX('CAT_ESTADOS_ERP'!$B$4:$B$7,MATCH(IFERROR(INDEX('2_IMPORTAR_EJECUCION'!$C$9:$C$1208,MATCH($AQ952,'2_IMPORTAR_EJECUCION'!$J$9:$J$1208,0)),""),'CAT_ESTADOS_ERP'!$A$4:$A$7,0)),"Pendiente"))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J952="","",IFERROR(INDEX('CALENDARIO'!$C$15:$C$214,MATCH(TEXT($J952,"yyyy-mm-dd")&amp;"|"&amp;$V952&amp;"|"&amp;$W952,'CALENDARIO'!$G$15:$G$214,0)),IFERROR(INDEX('CALENDARIO'!$C$15:$C$214,MATCH(TEXT($J952,"yyyy-mm-dd")&amp;"|"&amp;$V952&amp;"|",'CALENDARIO'!$G$15:$G$214,0)),IFERROR(INDEX('CALENDARIO'!$C$15:$C$214,MATCH(TEXT($J952,"yyyy-mm-dd")&amp;"||",'CALENDARIO'!$G$15:$G$214,0)),INDEX(patronHabil,WEEKDAY($J952,2))))))</f>
        <v/>
      </c>
      <c r="T952" s="3">
        <f>IF($I952="","",IFERROR(INDEX('CAT_TIPOS_OT'!$C$4:$C$7,MATCH($I952,'CAT_TIPOS_OT'!$A$4:$A$7,0)),"sin_clasificar"))</f>
        <v/>
      </c>
      <c r="U952" s="3">
        <f>IF($F952="","",IFERROR(INDEX('CAT_CENTROS_COSTO'!$F$4:$F$13,MATCH($F952,'CAT_CENTROS_COSTO'!$A$4:$A$13,0)),"(sin catálogo)"))</f>
        <v/>
      </c>
      <c r="V952" s="3">
        <f>IF($F952="","",IFERROR(INDEX('CAT_CENTROS_COSTO'!$D$4:$D$13,MATCH($F952,'CAT_CENTROS_COSTO'!$A$4:$A$13,0)),"(sin catálogo)"))</f>
        <v/>
      </c>
      <c r="W952" s="3">
        <f>IF($F952="","",IF((IFERROR(INDEX('CAT_CENTROS_COSTO'!$E$4:$E$13,MATCH($F952,'CAT_CENTROS_COSTO'!$A$4:$A$13,0)),""))&lt;&gt;"",IFERROR(INDEX('CAT_CENTROS_COSTO'!$E$4:$E$13,MATCH($F952,'CAT_CENTROS_COSTO'!$A$4:$A$13,0)),""),$V952))</f>
        <v/>
      </c>
      <c r="X952" s="3">
        <f>IF($F952="","",IFERROR(INDEX('CAT_CENTROS_COSTO'!$G$4:$G$13,MATCH($F952,'CAT_CENTROS_COSTO'!$A$4:$A$13,0)),"(sin catálogo)"))</f>
        <v/>
      </c>
      <c r="Y952" s="3">
        <f>IF($G952="","",IFERROR(INDEX('CAT_PUESTOS'!$B$4:$B$8,MATCH($G952,'CAT_PUESTOS'!$A$4:$A$8,0)),"(sin catálogo)"))</f>
        <v/>
      </c>
      <c r="Z952" s="3">
        <f>IF($H952="","",IFERROR(INDEX('CAT_ACTIVIDADES'!$B$4:$B$8,MATCH($H952,'CAT_ACTIVIDADES'!$A$4:$A$8,0)),"(sin catálogo)"))</f>
        <v/>
      </c>
      <c r="AA952" s="12">
        <f>IF($J952="","",TODAY()-$J952)</f>
        <v/>
      </c>
      <c r="AB952" s="12">
        <f>IF($J952="","",IF($J952&lt;=TODAY(),COUNTIFS(cal_fechas,"&gt;="&amp;$J952,cal_fechas,"&lt;"&amp;TODAY(),cal_habil,"sí"),-COUNTIFS(cal_fechas,"&gt;="&amp;TODAY(),cal_fechas,"&lt;"&amp;$J952,cal_habil,"sí")))</f>
        <v/>
      </c>
      <c r="AC952" s="3">
        <f>IF($AB952="","",IF($AB952&lt;0,"FUTURO",IF($AB952&gt;p_dias_backlog_max,"BACKLOG","MES CORRIENTE")))</f>
        <v/>
      </c>
      <c r="AD952" s="3">
        <f>IF($AB952="",FALSE,AND($AB952&gt;p_dias_backlog_min,$AB952&lt;=p_dias_backlog_max))</f>
        <v/>
      </c>
      <c r="AE952" s="6" t="n"/>
      <c r="AF952" s="3">
        <f>IF($AE952="","",IF((IFERROR(INDEX('ASIGNACIONES'!$F$4:$F$339,MATCH($O952&amp;"|"&amp;$R952&amp;"|"&amp;$AE952,'ASIGNACIONES'!$J$4:$J$339,0)),""))=0,"",IFERROR(INDEX('ASIGNACIONES'!$F$4:$F$339,MATCH($O952&amp;"|"&amp;$R952&amp;"|"&amp;$AE952,'ASIGNACIONES'!$J$4:$J$339,0)),"")))</f>
        <v/>
      </c>
      <c r="AG952" s="13">
        <f>IF($AE952="","",SUMIFS('ORDENES'!$M$4:$M$1203,'ORDENES'!$AE$4:$AE$1203,$AE952,'ORDENES'!$O$4:$O$1203,$O952,'ORDENES'!$R$4:$R$1203,$R952))</f>
        <v/>
      </c>
      <c r="AH952" s="13">
        <f>IF($AG952="","",p_factor_productividad*IFERROR(INDEX('ASIGNACIONES'!$I$4:$I$339,MATCH($O952&amp;"|"&amp;$R952&amp;"|"&amp;$AE952,'ASIGNACIONES'!$J$4:$J$339,0)),0)-$AG952)</f>
        <v/>
      </c>
      <c r="AI952" s="10">
        <f>IF($A952="","",IFERROR(INDEX('2_IMPORTAR_EJECUCION'!$F$9:$F$1208,MATCH($AQ952,'2_IMPORTAR_EJECUCION'!$J$9:$J$1208,0)),0))</f>
        <v/>
      </c>
      <c r="AJ952" s="10">
        <f>IF($A952="","",MAX(0,IFERROR(INDEX('2_IMPORTAR_EJECUCION'!$H$9:$H$1208,MATCH($AQ952,'2_IMPORTAR_EJECUCION'!$J$9:$J$1208,0)),0)-$AI952))</f>
        <v/>
      </c>
      <c r="AK952" s="10">
        <f>IF($A952="","",$AI952+$AJ952)</f>
        <v/>
      </c>
      <c r="AL952" s="6" t="n"/>
      <c r="AM952" s="6" t="n"/>
      <c r="AN952" s="6" t="n"/>
      <c r="AO952" s="3">
        <f>IF($AN952="","",HYPERLINK(p_ruta_base_checklists&amp;$AN952,"abrir"))</f>
        <v/>
      </c>
      <c r="AP952" s="6" t="n"/>
      <c r="AQ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IF($A953="","",IFERROR(INDEX('AJUSTES'!$B$4:$B$303,MATCH($AQ953,'AJUSTES'!$A$4:$A$303,0)),IF($K953="","",$K953)))</f>
        <v/>
      </c>
      <c r="N953" s="3">
        <f>IF($A953="","",IFERROR(INDEX('CAT_ESTADOS_ERP'!$B$4:$B$7,MATCH(IFERROR(INDEX('2_IMPORTAR_EJECUCION'!$C$9:$C$1208,MATCH($AQ953,'2_IMPORTAR_EJECUCION'!$J$9:$J$1208,0)),""),'CAT_ESTADOS_ERP'!$A$4:$A$7,0)),"Pendiente"))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J953="","",IFERROR(INDEX('CALENDARIO'!$C$15:$C$214,MATCH(TEXT($J953,"yyyy-mm-dd")&amp;"|"&amp;$V953&amp;"|"&amp;$W953,'CALENDARIO'!$G$15:$G$214,0)),IFERROR(INDEX('CALENDARIO'!$C$15:$C$214,MATCH(TEXT($J953,"yyyy-mm-dd")&amp;"|"&amp;$V953&amp;"|",'CALENDARIO'!$G$15:$G$214,0)),IFERROR(INDEX('CALENDARIO'!$C$15:$C$214,MATCH(TEXT($J953,"yyyy-mm-dd")&amp;"||",'CALENDARIO'!$G$15:$G$214,0)),INDEX(patronHabil,WEEKDAY($J953,2))))))</f>
        <v/>
      </c>
      <c r="T953" s="3">
        <f>IF($I953="","",IFERROR(INDEX('CAT_TIPOS_OT'!$C$4:$C$7,MATCH($I953,'CAT_TIPOS_OT'!$A$4:$A$7,0)),"sin_clasificar"))</f>
        <v/>
      </c>
      <c r="U953" s="3">
        <f>IF($F953="","",IFERROR(INDEX('CAT_CENTROS_COSTO'!$F$4:$F$13,MATCH($F953,'CAT_CENTROS_COSTO'!$A$4:$A$13,0)),"(sin catálogo)"))</f>
        <v/>
      </c>
      <c r="V953" s="3">
        <f>IF($F953="","",IFERROR(INDEX('CAT_CENTROS_COSTO'!$D$4:$D$13,MATCH($F953,'CAT_CENTROS_COSTO'!$A$4:$A$13,0)),"(sin catálogo)"))</f>
        <v/>
      </c>
      <c r="W953" s="3">
        <f>IF($F953="","",IF((IFERROR(INDEX('CAT_CENTROS_COSTO'!$E$4:$E$13,MATCH($F953,'CAT_CENTROS_COSTO'!$A$4:$A$13,0)),""))&lt;&gt;"",IFERROR(INDEX('CAT_CENTROS_COSTO'!$E$4:$E$13,MATCH($F953,'CAT_CENTROS_COSTO'!$A$4:$A$13,0)),""),$V953))</f>
        <v/>
      </c>
      <c r="X953" s="3">
        <f>IF($F953="","",IFERROR(INDEX('CAT_CENTROS_COSTO'!$G$4:$G$13,MATCH($F953,'CAT_CENTROS_COSTO'!$A$4:$A$13,0)),"(sin catálogo)"))</f>
        <v/>
      </c>
      <c r="Y953" s="3">
        <f>IF($G953="","",IFERROR(INDEX('CAT_PUESTOS'!$B$4:$B$8,MATCH($G953,'CAT_PUESTOS'!$A$4:$A$8,0)),"(sin catálogo)"))</f>
        <v/>
      </c>
      <c r="Z953" s="3">
        <f>IF($H953="","",IFERROR(INDEX('CAT_ACTIVIDADES'!$B$4:$B$8,MATCH($H953,'CAT_ACTIVIDADES'!$A$4:$A$8,0)),"(sin catálogo)"))</f>
        <v/>
      </c>
      <c r="AA953" s="12">
        <f>IF($J953="","",TODAY()-$J953)</f>
        <v/>
      </c>
      <c r="AB953" s="12">
        <f>IF($J953="","",IF($J953&lt;=TODAY(),COUNTIFS(cal_fechas,"&gt;="&amp;$J953,cal_fechas,"&lt;"&amp;TODAY(),cal_habil,"sí"),-COUNTIFS(cal_fechas,"&gt;="&amp;TODAY(),cal_fechas,"&lt;"&amp;$J953,cal_habil,"sí")))</f>
        <v/>
      </c>
      <c r="AC953" s="3">
        <f>IF($AB953="","",IF($AB953&lt;0,"FUTURO",IF($AB953&gt;p_dias_backlog_max,"BACKLOG","MES CORRIENTE")))</f>
        <v/>
      </c>
      <c r="AD953" s="3">
        <f>IF($AB953="",FALSE,AND($AB953&gt;p_dias_backlog_min,$AB953&lt;=p_dias_backlog_max))</f>
        <v/>
      </c>
      <c r="AE953" s="6" t="n"/>
      <c r="AF953" s="3">
        <f>IF($AE953="","",IF((IFERROR(INDEX('ASIGNACIONES'!$F$4:$F$339,MATCH($O953&amp;"|"&amp;$R953&amp;"|"&amp;$AE953,'ASIGNACIONES'!$J$4:$J$339,0)),""))=0,"",IFERROR(INDEX('ASIGNACIONES'!$F$4:$F$339,MATCH($O953&amp;"|"&amp;$R953&amp;"|"&amp;$AE953,'ASIGNACIONES'!$J$4:$J$339,0)),"")))</f>
        <v/>
      </c>
      <c r="AG953" s="13">
        <f>IF($AE953="","",SUMIFS('ORDENES'!$M$4:$M$1203,'ORDENES'!$AE$4:$AE$1203,$AE953,'ORDENES'!$O$4:$O$1203,$O953,'ORDENES'!$R$4:$R$1203,$R953))</f>
        <v/>
      </c>
      <c r="AH953" s="13">
        <f>IF($AG953="","",p_factor_productividad*IFERROR(INDEX('ASIGNACIONES'!$I$4:$I$339,MATCH($O953&amp;"|"&amp;$R953&amp;"|"&amp;$AE953,'ASIGNACIONES'!$J$4:$J$339,0)),0)-$AG953)</f>
        <v/>
      </c>
      <c r="AI953" s="10">
        <f>IF($A953="","",IFERROR(INDEX('2_IMPORTAR_EJECUCION'!$F$9:$F$1208,MATCH($AQ953,'2_IMPORTAR_EJECUCION'!$J$9:$J$1208,0)),0))</f>
        <v/>
      </c>
      <c r="AJ953" s="10">
        <f>IF($A953="","",MAX(0,IFERROR(INDEX('2_IMPORTAR_EJECUCION'!$H$9:$H$1208,MATCH($AQ953,'2_IMPORTAR_EJECUCION'!$J$9:$J$1208,0)),0)-$AI953))</f>
        <v/>
      </c>
      <c r="AK953" s="10">
        <f>IF($A953="","",$AI953+$AJ953)</f>
        <v/>
      </c>
      <c r="AL953" s="6" t="n"/>
      <c r="AM953" s="6" t="n"/>
      <c r="AN953" s="6" t="n"/>
      <c r="AO953" s="3">
        <f>IF($AN953="","",HYPERLINK(p_ruta_base_checklists&amp;$AN953,"abrir"))</f>
        <v/>
      </c>
      <c r="AP953" s="6" t="n"/>
      <c r="AQ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IF($A954="","",IFERROR(INDEX('AJUSTES'!$B$4:$B$303,MATCH($AQ954,'AJUSTES'!$A$4:$A$303,0)),IF($K954="","",$K954)))</f>
        <v/>
      </c>
      <c r="N954" s="3">
        <f>IF($A954="","",IFERROR(INDEX('CAT_ESTADOS_ERP'!$B$4:$B$7,MATCH(IFERROR(INDEX('2_IMPORTAR_EJECUCION'!$C$9:$C$1208,MATCH($AQ954,'2_IMPORTAR_EJECUCION'!$J$9:$J$1208,0)),""),'CAT_ESTADOS_ERP'!$A$4:$A$7,0)),"Pendiente"))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J954="","",IFERROR(INDEX('CALENDARIO'!$C$15:$C$214,MATCH(TEXT($J954,"yyyy-mm-dd")&amp;"|"&amp;$V954&amp;"|"&amp;$W954,'CALENDARIO'!$G$15:$G$214,0)),IFERROR(INDEX('CALENDARIO'!$C$15:$C$214,MATCH(TEXT($J954,"yyyy-mm-dd")&amp;"|"&amp;$V954&amp;"|",'CALENDARIO'!$G$15:$G$214,0)),IFERROR(INDEX('CALENDARIO'!$C$15:$C$214,MATCH(TEXT($J954,"yyyy-mm-dd")&amp;"||",'CALENDARIO'!$G$15:$G$214,0)),INDEX(patronHabil,WEEKDAY($J954,2))))))</f>
        <v/>
      </c>
      <c r="T954" s="3">
        <f>IF($I954="","",IFERROR(INDEX('CAT_TIPOS_OT'!$C$4:$C$7,MATCH($I954,'CAT_TIPOS_OT'!$A$4:$A$7,0)),"sin_clasificar"))</f>
        <v/>
      </c>
      <c r="U954" s="3">
        <f>IF($F954="","",IFERROR(INDEX('CAT_CENTROS_COSTO'!$F$4:$F$13,MATCH($F954,'CAT_CENTROS_COSTO'!$A$4:$A$13,0)),"(sin catálogo)"))</f>
        <v/>
      </c>
      <c r="V954" s="3">
        <f>IF($F954="","",IFERROR(INDEX('CAT_CENTROS_COSTO'!$D$4:$D$13,MATCH($F954,'CAT_CENTROS_COSTO'!$A$4:$A$13,0)),"(sin catálogo)"))</f>
        <v/>
      </c>
      <c r="W954" s="3">
        <f>IF($F954="","",IF((IFERROR(INDEX('CAT_CENTROS_COSTO'!$E$4:$E$13,MATCH($F954,'CAT_CENTROS_COSTO'!$A$4:$A$13,0)),""))&lt;&gt;"",IFERROR(INDEX('CAT_CENTROS_COSTO'!$E$4:$E$13,MATCH($F954,'CAT_CENTROS_COSTO'!$A$4:$A$13,0)),""),$V954))</f>
        <v/>
      </c>
      <c r="X954" s="3">
        <f>IF($F954="","",IFERROR(INDEX('CAT_CENTROS_COSTO'!$G$4:$G$13,MATCH($F954,'CAT_CENTROS_COSTO'!$A$4:$A$13,0)),"(sin catálogo)"))</f>
        <v/>
      </c>
      <c r="Y954" s="3">
        <f>IF($G954="","",IFERROR(INDEX('CAT_PUESTOS'!$B$4:$B$8,MATCH($G954,'CAT_PUESTOS'!$A$4:$A$8,0)),"(sin catálogo)"))</f>
        <v/>
      </c>
      <c r="Z954" s="3">
        <f>IF($H954="","",IFERROR(INDEX('CAT_ACTIVIDADES'!$B$4:$B$8,MATCH($H954,'CAT_ACTIVIDADES'!$A$4:$A$8,0)),"(sin catálogo)"))</f>
        <v/>
      </c>
      <c r="AA954" s="12">
        <f>IF($J954="","",TODAY()-$J954)</f>
        <v/>
      </c>
      <c r="AB954" s="12">
        <f>IF($J954="","",IF($J954&lt;=TODAY(),COUNTIFS(cal_fechas,"&gt;="&amp;$J954,cal_fechas,"&lt;"&amp;TODAY(),cal_habil,"sí"),-COUNTIFS(cal_fechas,"&gt;="&amp;TODAY(),cal_fechas,"&lt;"&amp;$J954,cal_habil,"sí")))</f>
        <v/>
      </c>
      <c r="AC954" s="3">
        <f>IF($AB954="","",IF($AB954&lt;0,"FUTURO",IF($AB954&gt;p_dias_backlog_max,"BACKLOG","MES CORRIENTE")))</f>
        <v/>
      </c>
      <c r="AD954" s="3">
        <f>IF($AB954="",FALSE,AND($AB954&gt;p_dias_backlog_min,$AB954&lt;=p_dias_backlog_max))</f>
        <v/>
      </c>
      <c r="AE954" s="6" t="n"/>
      <c r="AF954" s="3">
        <f>IF($AE954="","",IF((IFERROR(INDEX('ASIGNACIONES'!$F$4:$F$339,MATCH($O954&amp;"|"&amp;$R954&amp;"|"&amp;$AE954,'ASIGNACIONES'!$J$4:$J$339,0)),""))=0,"",IFERROR(INDEX('ASIGNACIONES'!$F$4:$F$339,MATCH($O954&amp;"|"&amp;$R954&amp;"|"&amp;$AE954,'ASIGNACIONES'!$J$4:$J$339,0)),"")))</f>
        <v/>
      </c>
      <c r="AG954" s="13">
        <f>IF($AE954="","",SUMIFS('ORDENES'!$M$4:$M$1203,'ORDENES'!$AE$4:$AE$1203,$AE954,'ORDENES'!$O$4:$O$1203,$O954,'ORDENES'!$R$4:$R$1203,$R954))</f>
        <v/>
      </c>
      <c r="AH954" s="13">
        <f>IF($AG954="","",p_factor_productividad*IFERROR(INDEX('ASIGNACIONES'!$I$4:$I$339,MATCH($O954&amp;"|"&amp;$R954&amp;"|"&amp;$AE954,'ASIGNACIONES'!$J$4:$J$339,0)),0)-$AG954)</f>
        <v/>
      </c>
      <c r="AI954" s="10">
        <f>IF($A954="","",IFERROR(INDEX('2_IMPORTAR_EJECUCION'!$F$9:$F$1208,MATCH($AQ954,'2_IMPORTAR_EJECUCION'!$J$9:$J$1208,0)),0))</f>
        <v/>
      </c>
      <c r="AJ954" s="10">
        <f>IF($A954="","",MAX(0,IFERROR(INDEX('2_IMPORTAR_EJECUCION'!$H$9:$H$1208,MATCH($AQ954,'2_IMPORTAR_EJECUCION'!$J$9:$J$1208,0)),0)-$AI954))</f>
        <v/>
      </c>
      <c r="AK954" s="10">
        <f>IF($A954="","",$AI954+$AJ954)</f>
        <v/>
      </c>
      <c r="AL954" s="6" t="n"/>
      <c r="AM954" s="6" t="n"/>
      <c r="AN954" s="6" t="n"/>
      <c r="AO954" s="3">
        <f>IF($AN954="","",HYPERLINK(p_ruta_base_checklists&amp;$AN954,"abrir"))</f>
        <v/>
      </c>
      <c r="AP954" s="6" t="n"/>
      <c r="AQ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IF($A955="","",IFERROR(INDEX('AJUSTES'!$B$4:$B$303,MATCH($AQ955,'AJUSTES'!$A$4:$A$303,0)),IF($K955="","",$K955)))</f>
        <v/>
      </c>
      <c r="N955" s="3">
        <f>IF($A955="","",IFERROR(INDEX('CAT_ESTADOS_ERP'!$B$4:$B$7,MATCH(IFERROR(INDEX('2_IMPORTAR_EJECUCION'!$C$9:$C$1208,MATCH($AQ955,'2_IMPORTAR_EJECUCION'!$J$9:$J$1208,0)),""),'CAT_ESTADOS_ERP'!$A$4:$A$7,0)),"Pendiente"))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J955="","",IFERROR(INDEX('CALENDARIO'!$C$15:$C$214,MATCH(TEXT($J955,"yyyy-mm-dd")&amp;"|"&amp;$V955&amp;"|"&amp;$W955,'CALENDARIO'!$G$15:$G$214,0)),IFERROR(INDEX('CALENDARIO'!$C$15:$C$214,MATCH(TEXT($J955,"yyyy-mm-dd")&amp;"|"&amp;$V955&amp;"|",'CALENDARIO'!$G$15:$G$214,0)),IFERROR(INDEX('CALENDARIO'!$C$15:$C$214,MATCH(TEXT($J955,"yyyy-mm-dd")&amp;"||",'CALENDARIO'!$G$15:$G$214,0)),INDEX(patronHabil,WEEKDAY($J955,2))))))</f>
        <v/>
      </c>
      <c r="T955" s="3">
        <f>IF($I955="","",IFERROR(INDEX('CAT_TIPOS_OT'!$C$4:$C$7,MATCH($I955,'CAT_TIPOS_OT'!$A$4:$A$7,0)),"sin_clasificar"))</f>
        <v/>
      </c>
      <c r="U955" s="3">
        <f>IF($F955="","",IFERROR(INDEX('CAT_CENTROS_COSTO'!$F$4:$F$13,MATCH($F955,'CAT_CENTROS_COSTO'!$A$4:$A$13,0)),"(sin catálogo)"))</f>
        <v/>
      </c>
      <c r="V955" s="3">
        <f>IF($F955="","",IFERROR(INDEX('CAT_CENTROS_COSTO'!$D$4:$D$13,MATCH($F955,'CAT_CENTROS_COSTO'!$A$4:$A$13,0)),"(sin catálogo)"))</f>
        <v/>
      </c>
      <c r="W955" s="3">
        <f>IF($F955="","",IF((IFERROR(INDEX('CAT_CENTROS_COSTO'!$E$4:$E$13,MATCH($F955,'CAT_CENTROS_COSTO'!$A$4:$A$13,0)),""))&lt;&gt;"",IFERROR(INDEX('CAT_CENTROS_COSTO'!$E$4:$E$13,MATCH($F955,'CAT_CENTROS_COSTO'!$A$4:$A$13,0)),""),$V955))</f>
        <v/>
      </c>
      <c r="X955" s="3">
        <f>IF($F955="","",IFERROR(INDEX('CAT_CENTROS_COSTO'!$G$4:$G$13,MATCH($F955,'CAT_CENTROS_COSTO'!$A$4:$A$13,0)),"(sin catálogo)"))</f>
        <v/>
      </c>
      <c r="Y955" s="3">
        <f>IF($G955="","",IFERROR(INDEX('CAT_PUESTOS'!$B$4:$B$8,MATCH($G955,'CAT_PUESTOS'!$A$4:$A$8,0)),"(sin catálogo)"))</f>
        <v/>
      </c>
      <c r="Z955" s="3">
        <f>IF($H955="","",IFERROR(INDEX('CAT_ACTIVIDADES'!$B$4:$B$8,MATCH($H955,'CAT_ACTIVIDADES'!$A$4:$A$8,0)),"(sin catálogo)"))</f>
        <v/>
      </c>
      <c r="AA955" s="12">
        <f>IF($J955="","",TODAY()-$J955)</f>
        <v/>
      </c>
      <c r="AB955" s="12">
        <f>IF($J955="","",IF($J955&lt;=TODAY(),COUNTIFS(cal_fechas,"&gt;="&amp;$J955,cal_fechas,"&lt;"&amp;TODAY(),cal_habil,"sí"),-COUNTIFS(cal_fechas,"&gt;="&amp;TODAY(),cal_fechas,"&lt;"&amp;$J955,cal_habil,"sí")))</f>
        <v/>
      </c>
      <c r="AC955" s="3">
        <f>IF($AB955="","",IF($AB955&lt;0,"FUTURO",IF($AB955&gt;p_dias_backlog_max,"BACKLOG","MES CORRIENTE")))</f>
        <v/>
      </c>
      <c r="AD955" s="3">
        <f>IF($AB955="",FALSE,AND($AB955&gt;p_dias_backlog_min,$AB955&lt;=p_dias_backlog_max))</f>
        <v/>
      </c>
      <c r="AE955" s="6" t="n"/>
      <c r="AF955" s="3">
        <f>IF($AE955="","",IF((IFERROR(INDEX('ASIGNACIONES'!$F$4:$F$339,MATCH($O955&amp;"|"&amp;$R955&amp;"|"&amp;$AE955,'ASIGNACIONES'!$J$4:$J$339,0)),""))=0,"",IFERROR(INDEX('ASIGNACIONES'!$F$4:$F$339,MATCH($O955&amp;"|"&amp;$R955&amp;"|"&amp;$AE955,'ASIGNACIONES'!$J$4:$J$339,0)),"")))</f>
        <v/>
      </c>
      <c r="AG955" s="13">
        <f>IF($AE955="","",SUMIFS('ORDENES'!$M$4:$M$1203,'ORDENES'!$AE$4:$AE$1203,$AE955,'ORDENES'!$O$4:$O$1203,$O955,'ORDENES'!$R$4:$R$1203,$R955))</f>
        <v/>
      </c>
      <c r="AH955" s="13">
        <f>IF($AG955="","",p_factor_productividad*IFERROR(INDEX('ASIGNACIONES'!$I$4:$I$339,MATCH($O955&amp;"|"&amp;$R955&amp;"|"&amp;$AE955,'ASIGNACIONES'!$J$4:$J$339,0)),0)-$AG955)</f>
        <v/>
      </c>
      <c r="AI955" s="10">
        <f>IF($A955="","",IFERROR(INDEX('2_IMPORTAR_EJECUCION'!$F$9:$F$1208,MATCH($AQ955,'2_IMPORTAR_EJECUCION'!$J$9:$J$1208,0)),0))</f>
        <v/>
      </c>
      <c r="AJ955" s="10">
        <f>IF($A955="","",MAX(0,IFERROR(INDEX('2_IMPORTAR_EJECUCION'!$H$9:$H$1208,MATCH($AQ955,'2_IMPORTAR_EJECUCION'!$J$9:$J$1208,0)),0)-$AI955))</f>
        <v/>
      </c>
      <c r="AK955" s="10">
        <f>IF($A955="","",$AI955+$AJ955)</f>
        <v/>
      </c>
      <c r="AL955" s="6" t="n"/>
      <c r="AM955" s="6" t="n"/>
      <c r="AN955" s="6" t="n"/>
      <c r="AO955" s="3">
        <f>IF($AN955="","",HYPERLINK(p_ruta_base_checklists&amp;$AN955,"abrir"))</f>
        <v/>
      </c>
      <c r="AP955" s="6" t="n"/>
      <c r="AQ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IF($A956="","",IFERROR(INDEX('AJUSTES'!$B$4:$B$303,MATCH($AQ956,'AJUSTES'!$A$4:$A$303,0)),IF($K956="","",$K956)))</f>
        <v/>
      </c>
      <c r="N956" s="3">
        <f>IF($A956="","",IFERROR(INDEX('CAT_ESTADOS_ERP'!$B$4:$B$7,MATCH(IFERROR(INDEX('2_IMPORTAR_EJECUCION'!$C$9:$C$1208,MATCH($AQ956,'2_IMPORTAR_EJECUCION'!$J$9:$J$1208,0)),""),'CAT_ESTADOS_ERP'!$A$4:$A$7,0)),"Pendiente"))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J956="","",IFERROR(INDEX('CALENDARIO'!$C$15:$C$214,MATCH(TEXT($J956,"yyyy-mm-dd")&amp;"|"&amp;$V956&amp;"|"&amp;$W956,'CALENDARIO'!$G$15:$G$214,0)),IFERROR(INDEX('CALENDARIO'!$C$15:$C$214,MATCH(TEXT($J956,"yyyy-mm-dd")&amp;"|"&amp;$V956&amp;"|",'CALENDARIO'!$G$15:$G$214,0)),IFERROR(INDEX('CALENDARIO'!$C$15:$C$214,MATCH(TEXT($J956,"yyyy-mm-dd")&amp;"||",'CALENDARIO'!$G$15:$G$214,0)),INDEX(patronHabil,WEEKDAY($J956,2))))))</f>
        <v/>
      </c>
      <c r="T956" s="3">
        <f>IF($I956="","",IFERROR(INDEX('CAT_TIPOS_OT'!$C$4:$C$7,MATCH($I956,'CAT_TIPOS_OT'!$A$4:$A$7,0)),"sin_clasificar"))</f>
        <v/>
      </c>
      <c r="U956" s="3">
        <f>IF($F956="","",IFERROR(INDEX('CAT_CENTROS_COSTO'!$F$4:$F$13,MATCH($F956,'CAT_CENTROS_COSTO'!$A$4:$A$13,0)),"(sin catálogo)"))</f>
        <v/>
      </c>
      <c r="V956" s="3">
        <f>IF($F956="","",IFERROR(INDEX('CAT_CENTROS_COSTO'!$D$4:$D$13,MATCH($F956,'CAT_CENTROS_COSTO'!$A$4:$A$13,0)),"(sin catálogo)"))</f>
        <v/>
      </c>
      <c r="W956" s="3">
        <f>IF($F956="","",IF((IFERROR(INDEX('CAT_CENTROS_COSTO'!$E$4:$E$13,MATCH($F956,'CAT_CENTROS_COSTO'!$A$4:$A$13,0)),""))&lt;&gt;"",IFERROR(INDEX('CAT_CENTROS_COSTO'!$E$4:$E$13,MATCH($F956,'CAT_CENTROS_COSTO'!$A$4:$A$13,0)),""),$V956))</f>
        <v/>
      </c>
      <c r="X956" s="3">
        <f>IF($F956="","",IFERROR(INDEX('CAT_CENTROS_COSTO'!$G$4:$G$13,MATCH($F956,'CAT_CENTROS_COSTO'!$A$4:$A$13,0)),"(sin catálogo)"))</f>
        <v/>
      </c>
      <c r="Y956" s="3">
        <f>IF($G956="","",IFERROR(INDEX('CAT_PUESTOS'!$B$4:$B$8,MATCH($G956,'CAT_PUESTOS'!$A$4:$A$8,0)),"(sin catálogo)"))</f>
        <v/>
      </c>
      <c r="Z956" s="3">
        <f>IF($H956="","",IFERROR(INDEX('CAT_ACTIVIDADES'!$B$4:$B$8,MATCH($H956,'CAT_ACTIVIDADES'!$A$4:$A$8,0)),"(sin catálogo)"))</f>
        <v/>
      </c>
      <c r="AA956" s="12">
        <f>IF($J956="","",TODAY()-$J956)</f>
        <v/>
      </c>
      <c r="AB956" s="12">
        <f>IF($J956="","",IF($J956&lt;=TODAY(),COUNTIFS(cal_fechas,"&gt;="&amp;$J956,cal_fechas,"&lt;"&amp;TODAY(),cal_habil,"sí"),-COUNTIFS(cal_fechas,"&gt;="&amp;TODAY(),cal_fechas,"&lt;"&amp;$J956,cal_habil,"sí")))</f>
        <v/>
      </c>
      <c r="AC956" s="3">
        <f>IF($AB956="","",IF($AB956&lt;0,"FUTURO",IF($AB956&gt;p_dias_backlog_max,"BACKLOG","MES CORRIENTE")))</f>
        <v/>
      </c>
      <c r="AD956" s="3">
        <f>IF($AB956="",FALSE,AND($AB956&gt;p_dias_backlog_min,$AB956&lt;=p_dias_backlog_max))</f>
        <v/>
      </c>
      <c r="AE956" s="6" t="n"/>
      <c r="AF956" s="3">
        <f>IF($AE956="","",IF((IFERROR(INDEX('ASIGNACIONES'!$F$4:$F$339,MATCH($O956&amp;"|"&amp;$R956&amp;"|"&amp;$AE956,'ASIGNACIONES'!$J$4:$J$339,0)),""))=0,"",IFERROR(INDEX('ASIGNACIONES'!$F$4:$F$339,MATCH($O956&amp;"|"&amp;$R956&amp;"|"&amp;$AE956,'ASIGNACIONES'!$J$4:$J$339,0)),"")))</f>
        <v/>
      </c>
      <c r="AG956" s="13">
        <f>IF($AE956="","",SUMIFS('ORDENES'!$M$4:$M$1203,'ORDENES'!$AE$4:$AE$1203,$AE956,'ORDENES'!$O$4:$O$1203,$O956,'ORDENES'!$R$4:$R$1203,$R956))</f>
        <v/>
      </c>
      <c r="AH956" s="13">
        <f>IF($AG956="","",p_factor_productividad*IFERROR(INDEX('ASIGNACIONES'!$I$4:$I$339,MATCH($O956&amp;"|"&amp;$R956&amp;"|"&amp;$AE956,'ASIGNACIONES'!$J$4:$J$339,0)),0)-$AG956)</f>
        <v/>
      </c>
      <c r="AI956" s="10">
        <f>IF($A956="","",IFERROR(INDEX('2_IMPORTAR_EJECUCION'!$F$9:$F$1208,MATCH($AQ956,'2_IMPORTAR_EJECUCION'!$J$9:$J$1208,0)),0))</f>
        <v/>
      </c>
      <c r="AJ956" s="10">
        <f>IF($A956="","",MAX(0,IFERROR(INDEX('2_IMPORTAR_EJECUCION'!$H$9:$H$1208,MATCH($AQ956,'2_IMPORTAR_EJECUCION'!$J$9:$J$1208,0)),0)-$AI956))</f>
        <v/>
      </c>
      <c r="AK956" s="10">
        <f>IF($A956="","",$AI956+$AJ956)</f>
        <v/>
      </c>
      <c r="AL956" s="6" t="n"/>
      <c r="AM956" s="6" t="n"/>
      <c r="AN956" s="6" t="n"/>
      <c r="AO956" s="3">
        <f>IF($AN956="","",HYPERLINK(p_ruta_base_checklists&amp;$AN956,"abrir"))</f>
        <v/>
      </c>
      <c r="AP956" s="6" t="n"/>
      <c r="AQ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IF($A957="","",IFERROR(INDEX('AJUSTES'!$B$4:$B$303,MATCH($AQ957,'AJUSTES'!$A$4:$A$303,0)),IF($K957="","",$K957)))</f>
        <v/>
      </c>
      <c r="N957" s="3">
        <f>IF($A957="","",IFERROR(INDEX('CAT_ESTADOS_ERP'!$B$4:$B$7,MATCH(IFERROR(INDEX('2_IMPORTAR_EJECUCION'!$C$9:$C$1208,MATCH($AQ957,'2_IMPORTAR_EJECUCION'!$J$9:$J$1208,0)),""),'CAT_ESTADOS_ERP'!$A$4:$A$7,0)),"Pendiente"))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J957="","",IFERROR(INDEX('CALENDARIO'!$C$15:$C$214,MATCH(TEXT($J957,"yyyy-mm-dd")&amp;"|"&amp;$V957&amp;"|"&amp;$W957,'CALENDARIO'!$G$15:$G$214,0)),IFERROR(INDEX('CALENDARIO'!$C$15:$C$214,MATCH(TEXT($J957,"yyyy-mm-dd")&amp;"|"&amp;$V957&amp;"|",'CALENDARIO'!$G$15:$G$214,0)),IFERROR(INDEX('CALENDARIO'!$C$15:$C$214,MATCH(TEXT($J957,"yyyy-mm-dd")&amp;"||",'CALENDARIO'!$G$15:$G$214,0)),INDEX(patronHabil,WEEKDAY($J957,2))))))</f>
        <v/>
      </c>
      <c r="T957" s="3">
        <f>IF($I957="","",IFERROR(INDEX('CAT_TIPOS_OT'!$C$4:$C$7,MATCH($I957,'CAT_TIPOS_OT'!$A$4:$A$7,0)),"sin_clasificar"))</f>
        <v/>
      </c>
      <c r="U957" s="3">
        <f>IF($F957="","",IFERROR(INDEX('CAT_CENTROS_COSTO'!$F$4:$F$13,MATCH($F957,'CAT_CENTROS_COSTO'!$A$4:$A$13,0)),"(sin catálogo)"))</f>
        <v/>
      </c>
      <c r="V957" s="3">
        <f>IF($F957="","",IFERROR(INDEX('CAT_CENTROS_COSTO'!$D$4:$D$13,MATCH($F957,'CAT_CENTROS_COSTO'!$A$4:$A$13,0)),"(sin catálogo)"))</f>
        <v/>
      </c>
      <c r="W957" s="3">
        <f>IF($F957="","",IF((IFERROR(INDEX('CAT_CENTROS_COSTO'!$E$4:$E$13,MATCH($F957,'CAT_CENTROS_COSTO'!$A$4:$A$13,0)),""))&lt;&gt;"",IFERROR(INDEX('CAT_CENTROS_COSTO'!$E$4:$E$13,MATCH($F957,'CAT_CENTROS_COSTO'!$A$4:$A$13,0)),""),$V957))</f>
        <v/>
      </c>
      <c r="X957" s="3">
        <f>IF($F957="","",IFERROR(INDEX('CAT_CENTROS_COSTO'!$G$4:$G$13,MATCH($F957,'CAT_CENTROS_COSTO'!$A$4:$A$13,0)),"(sin catálogo)"))</f>
        <v/>
      </c>
      <c r="Y957" s="3">
        <f>IF($G957="","",IFERROR(INDEX('CAT_PUESTOS'!$B$4:$B$8,MATCH($G957,'CAT_PUESTOS'!$A$4:$A$8,0)),"(sin catálogo)"))</f>
        <v/>
      </c>
      <c r="Z957" s="3">
        <f>IF($H957="","",IFERROR(INDEX('CAT_ACTIVIDADES'!$B$4:$B$8,MATCH($H957,'CAT_ACTIVIDADES'!$A$4:$A$8,0)),"(sin catálogo)"))</f>
        <v/>
      </c>
      <c r="AA957" s="12">
        <f>IF($J957="","",TODAY()-$J957)</f>
        <v/>
      </c>
      <c r="AB957" s="12">
        <f>IF($J957="","",IF($J957&lt;=TODAY(),COUNTIFS(cal_fechas,"&gt;="&amp;$J957,cal_fechas,"&lt;"&amp;TODAY(),cal_habil,"sí"),-COUNTIFS(cal_fechas,"&gt;="&amp;TODAY(),cal_fechas,"&lt;"&amp;$J957,cal_habil,"sí")))</f>
        <v/>
      </c>
      <c r="AC957" s="3">
        <f>IF($AB957="","",IF($AB957&lt;0,"FUTURO",IF($AB957&gt;p_dias_backlog_max,"BACKLOG","MES CORRIENTE")))</f>
        <v/>
      </c>
      <c r="AD957" s="3">
        <f>IF($AB957="",FALSE,AND($AB957&gt;p_dias_backlog_min,$AB957&lt;=p_dias_backlog_max))</f>
        <v/>
      </c>
      <c r="AE957" s="6" t="n"/>
      <c r="AF957" s="3">
        <f>IF($AE957="","",IF((IFERROR(INDEX('ASIGNACIONES'!$F$4:$F$339,MATCH($O957&amp;"|"&amp;$R957&amp;"|"&amp;$AE957,'ASIGNACIONES'!$J$4:$J$339,0)),""))=0,"",IFERROR(INDEX('ASIGNACIONES'!$F$4:$F$339,MATCH($O957&amp;"|"&amp;$R957&amp;"|"&amp;$AE957,'ASIGNACIONES'!$J$4:$J$339,0)),"")))</f>
        <v/>
      </c>
      <c r="AG957" s="13">
        <f>IF($AE957="","",SUMIFS('ORDENES'!$M$4:$M$1203,'ORDENES'!$AE$4:$AE$1203,$AE957,'ORDENES'!$O$4:$O$1203,$O957,'ORDENES'!$R$4:$R$1203,$R957))</f>
        <v/>
      </c>
      <c r="AH957" s="13">
        <f>IF($AG957="","",p_factor_productividad*IFERROR(INDEX('ASIGNACIONES'!$I$4:$I$339,MATCH($O957&amp;"|"&amp;$R957&amp;"|"&amp;$AE957,'ASIGNACIONES'!$J$4:$J$339,0)),0)-$AG957)</f>
        <v/>
      </c>
      <c r="AI957" s="10">
        <f>IF($A957="","",IFERROR(INDEX('2_IMPORTAR_EJECUCION'!$F$9:$F$1208,MATCH($AQ957,'2_IMPORTAR_EJECUCION'!$J$9:$J$1208,0)),0))</f>
        <v/>
      </c>
      <c r="AJ957" s="10">
        <f>IF($A957="","",MAX(0,IFERROR(INDEX('2_IMPORTAR_EJECUCION'!$H$9:$H$1208,MATCH($AQ957,'2_IMPORTAR_EJECUCION'!$J$9:$J$1208,0)),0)-$AI957))</f>
        <v/>
      </c>
      <c r="AK957" s="10">
        <f>IF($A957="","",$AI957+$AJ957)</f>
        <v/>
      </c>
      <c r="AL957" s="6" t="n"/>
      <c r="AM957" s="6" t="n"/>
      <c r="AN957" s="6" t="n"/>
      <c r="AO957" s="3">
        <f>IF($AN957="","",HYPERLINK(p_ruta_base_checklists&amp;$AN957,"abrir"))</f>
        <v/>
      </c>
      <c r="AP957" s="6" t="n"/>
      <c r="AQ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IF($A958="","",IFERROR(INDEX('AJUSTES'!$B$4:$B$303,MATCH($AQ958,'AJUSTES'!$A$4:$A$303,0)),IF($K958="","",$K958)))</f>
        <v/>
      </c>
      <c r="N958" s="3">
        <f>IF($A958="","",IFERROR(INDEX('CAT_ESTADOS_ERP'!$B$4:$B$7,MATCH(IFERROR(INDEX('2_IMPORTAR_EJECUCION'!$C$9:$C$1208,MATCH($AQ958,'2_IMPORTAR_EJECUCION'!$J$9:$J$1208,0)),""),'CAT_ESTADOS_ERP'!$A$4:$A$7,0)),"Pendiente"))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J958="","",IFERROR(INDEX('CALENDARIO'!$C$15:$C$214,MATCH(TEXT($J958,"yyyy-mm-dd")&amp;"|"&amp;$V958&amp;"|"&amp;$W958,'CALENDARIO'!$G$15:$G$214,0)),IFERROR(INDEX('CALENDARIO'!$C$15:$C$214,MATCH(TEXT($J958,"yyyy-mm-dd")&amp;"|"&amp;$V958&amp;"|",'CALENDARIO'!$G$15:$G$214,0)),IFERROR(INDEX('CALENDARIO'!$C$15:$C$214,MATCH(TEXT($J958,"yyyy-mm-dd")&amp;"||",'CALENDARIO'!$G$15:$G$214,0)),INDEX(patronHabil,WEEKDAY($J958,2))))))</f>
        <v/>
      </c>
      <c r="T958" s="3">
        <f>IF($I958="","",IFERROR(INDEX('CAT_TIPOS_OT'!$C$4:$C$7,MATCH($I958,'CAT_TIPOS_OT'!$A$4:$A$7,0)),"sin_clasificar"))</f>
        <v/>
      </c>
      <c r="U958" s="3">
        <f>IF($F958="","",IFERROR(INDEX('CAT_CENTROS_COSTO'!$F$4:$F$13,MATCH($F958,'CAT_CENTROS_COSTO'!$A$4:$A$13,0)),"(sin catálogo)"))</f>
        <v/>
      </c>
      <c r="V958" s="3">
        <f>IF($F958="","",IFERROR(INDEX('CAT_CENTROS_COSTO'!$D$4:$D$13,MATCH($F958,'CAT_CENTROS_COSTO'!$A$4:$A$13,0)),"(sin catálogo)"))</f>
        <v/>
      </c>
      <c r="W958" s="3">
        <f>IF($F958="","",IF((IFERROR(INDEX('CAT_CENTROS_COSTO'!$E$4:$E$13,MATCH($F958,'CAT_CENTROS_COSTO'!$A$4:$A$13,0)),""))&lt;&gt;"",IFERROR(INDEX('CAT_CENTROS_COSTO'!$E$4:$E$13,MATCH($F958,'CAT_CENTROS_COSTO'!$A$4:$A$13,0)),""),$V958))</f>
        <v/>
      </c>
      <c r="X958" s="3">
        <f>IF($F958="","",IFERROR(INDEX('CAT_CENTROS_COSTO'!$G$4:$G$13,MATCH($F958,'CAT_CENTROS_COSTO'!$A$4:$A$13,0)),"(sin catálogo)"))</f>
        <v/>
      </c>
      <c r="Y958" s="3">
        <f>IF($G958="","",IFERROR(INDEX('CAT_PUESTOS'!$B$4:$B$8,MATCH($G958,'CAT_PUESTOS'!$A$4:$A$8,0)),"(sin catálogo)"))</f>
        <v/>
      </c>
      <c r="Z958" s="3">
        <f>IF($H958="","",IFERROR(INDEX('CAT_ACTIVIDADES'!$B$4:$B$8,MATCH($H958,'CAT_ACTIVIDADES'!$A$4:$A$8,0)),"(sin catálogo)"))</f>
        <v/>
      </c>
      <c r="AA958" s="12">
        <f>IF($J958="","",TODAY()-$J958)</f>
        <v/>
      </c>
      <c r="AB958" s="12">
        <f>IF($J958="","",IF($J958&lt;=TODAY(),COUNTIFS(cal_fechas,"&gt;="&amp;$J958,cal_fechas,"&lt;"&amp;TODAY(),cal_habil,"sí"),-COUNTIFS(cal_fechas,"&gt;="&amp;TODAY(),cal_fechas,"&lt;"&amp;$J958,cal_habil,"sí")))</f>
        <v/>
      </c>
      <c r="AC958" s="3">
        <f>IF($AB958="","",IF($AB958&lt;0,"FUTURO",IF($AB958&gt;p_dias_backlog_max,"BACKLOG","MES CORRIENTE")))</f>
        <v/>
      </c>
      <c r="AD958" s="3">
        <f>IF($AB958="",FALSE,AND($AB958&gt;p_dias_backlog_min,$AB958&lt;=p_dias_backlog_max))</f>
        <v/>
      </c>
      <c r="AE958" s="6" t="n"/>
      <c r="AF958" s="3">
        <f>IF($AE958="","",IF((IFERROR(INDEX('ASIGNACIONES'!$F$4:$F$339,MATCH($O958&amp;"|"&amp;$R958&amp;"|"&amp;$AE958,'ASIGNACIONES'!$J$4:$J$339,0)),""))=0,"",IFERROR(INDEX('ASIGNACIONES'!$F$4:$F$339,MATCH($O958&amp;"|"&amp;$R958&amp;"|"&amp;$AE958,'ASIGNACIONES'!$J$4:$J$339,0)),"")))</f>
        <v/>
      </c>
      <c r="AG958" s="13">
        <f>IF($AE958="","",SUMIFS('ORDENES'!$M$4:$M$1203,'ORDENES'!$AE$4:$AE$1203,$AE958,'ORDENES'!$O$4:$O$1203,$O958,'ORDENES'!$R$4:$R$1203,$R958))</f>
        <v/>
      </c>
      <c r="AH958" s="13">
        <f>IF($AG958="","",p_factor_productividad*IFERROR(INDEX('ASIGNACIONES'!$I$4:$I$339,MATCH($O958&amp;"|"&amp;$R958&amp;"|"&amp;$AE958,'ASIGNACIONES'!$J$4:$J$339,0)),0)-$AG958)</f>
        <v/>
      </c>
      <c r="AI958" s="10">
        <f>IF($A958="","",IFERROR(INDEX('2_IMPORTAR_EJECUCION'!$F$9:$F$1208,MATCH($AQ958,'2_IMPORTAR_EJECUCION'!$J$9:$J$1208,0)),0))</f>
        <v/>
      </c>
      <c r="AJ958" s="10">
        <f>IF($A958="","",MAX(0,IFERROR(INDEX('2_IMPORTAR_EJECUCION'!$H$9:$H$1208,MATCH($AQ958,'2_IMPORTAR_EJECUCION'!$J$9:$J$1208,0)),0)-$AI958))</f>
        <v/>
      </c>
      <c r="AK958" s="10">
        <f>IF($A958="","",$AI958+$AJ958)</f>
        <v/>
      </c>
      <c r="AL958" s="6" t="n"/>
      <c r="AM958" s="6" t="n"/>
      <c r="AN958" s="6" t="n"/>
      <c r="AO958" s="3">
        <f>IF($AN958="","",HYPERLINK(p_ruta_base_checklists&amp;$AN958,"abrir"))</f>
        <v/>
      </c>
      <c r="AP958" s="6" t="n"/>
      <c r="AQ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IF($A959="","",IFERROR(INDEX('AJUSTES'!$B$4:$B$303,MATCH($AQ959,'AJUSTES'!$A$4:$A$303,0)),IF($K959="","",$K959)))</f>
        <v/>
      </c>
      <c r="N959" s="3">
        <f>IF($A959="","",IFERROR(INDEX('CAT_ESTADOS_ERP'!$B$4:$B$7,MATCH(IFERROR(INDEX('2_IMPORTAR_EJECUCION'!$C$9:$C$1208,MATCH($AQ959,'2_IMPORTAR_EJECUCION'!$J$9:$J$1208,0)),""),'CAT_ESTADOS_ERP'!$A$4:$A$7,0)),"Pendiente"))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J959="","",IFERROR(INDEX('CALENDARIO'!$C$15:$C$214,MATCH(TEXT($J959,"yyyy-mm-dd")&amp;"|"&amp;$V959&amp;"|"&amp;$W959,'CALENDARIO'!$G$15:$G$214,0)),IFERROR(INDEX('CALENDARIO'!$C$15:$C$214,MATCH(TEXT($J959,"yyyy-mm-dd")&amp;"|"&amp;$V959&amp;"|",'CALENDARIO'!$G$15:$G$214,0)),IFERROR(INDEX('CALENDARIO'!$C$15:$C$214,MATCH(TEXT($J959,"yyyy-mm-dd")&amp;"||",'CALENDARIO'!$G$15:$G$214,0)),INDEX(patronHabil,WEEKDAY($J959,2))))))</f>
        <v/>
      </c>
      <c r="T959" s="3">
        <f>IF($I959="","",IFERROR(INDEX('CAT_TIPOS_OT'!$C$4:$C$7,MATCH($I959,'CAT_TIPOS_OT'!$A$4:$A$7,0)),"sin_clasificar"))</f>
        <v/>
      </c>
      <c r="U959" s="3">
        <f>IF($F959="","",IFERROR(INDEX('CAT_CENTROS_COSTO'!$F$4:$F$13,MATCH($F959,'CAT_CENTROS_COSTO'!$A$4:$A$13,0)),"(sin catálogo)"))</f>
        <v/>
      </c>
      <c r="V959" s="3">
        <f>IF($F959="","",IFERROR(INDEX('CAT_CENTROS_COSTO'!$D$4:$D$13,MATCH($F959,'CAT_CENTROS_COSTO'!$A$4:$A$13,0)),"(sin catálogo)"))</f>
        <v/>
      </c>
      <c r="W959" s="3">
        <f>IF($F959="","",IF((IFERROR(INDEX('CAT_CENTROS_COSTO'!$E$4:$E$13,MATCH($F959,'CAT_CENTROS_COSTO'!$A$4:$A$13,0)),""))&lt;&gt;"",IFERROR(INDEX('CAT_CENTROS_COSTO'!$E$4:$E$13,MATCH($F959,'CAT_CENTROS_COSTO'!$A$4:$A$13,0)),""),$V959))</f>
        <v/>
      </c>
      <c r="X959" s="3">
        <f>IF($F959="","",IFERROR(INDEX('CAT_CENTROS_COSTO'!$G$4:$G$13,MATCH($F959,'CAT_CENTROS_COSTO'!$A$4:$A$13,0)),"(sin catálogo)"))</f>
        <v/>
      </c>
      <c r="Y959" s="3">
        <f>IF($G959="","",IFERROR(INDEX('CAT_PUESTOS'!$B$4:$B$8,MATCH($G959,'CAT_PUESTOS'!$A$4:$A$8,0)),"(sin catálogo)"))</f>
        <v/>
      </c>
      <c r="Z959" s="3">
        <f>IF($H959="","",IFERROR(INDEX('CAT_ACTIVIDADES'!$B$4:$B$8,MATCH($H959,'CAT_ACTIVIDADES'!$A$4:$A$8,0)),"(sin catálogo)"))</f>
        <v/>
      </c>
      <c r="AA959" s="12">
        <f>IF($J959="","",TODAY()-$J959)</f>
        <v/>
      </c>
      <c r="AB959" s="12">
        <f>IF($J959="","",IF($J959&lt;=TODAY(),COUNTIFS(cal_fechas,"&gt;="&amp;$J959,cal_fechas,"&lt;"&amp;TODAY(),cal_habil,"sí"),-COUNTIFS(cal_fechas,"&gt;="&amp;TODAY(),cal_fechas,"&lt;"&amp;$J959,cal_habil,"sí")))</f>
        <v/>
      </c>
      <c r="AC959" s="3">
        <f>IF($AB959="","",IF($AB959&lt;0,"FUTURO",IF($AB959&gt;p_dias_backlog_max,"BACKLOG","MES CORRIENTE")))</f>
        <v/>
      </c>
      <c r="AD959" s="3">
        <f>IF($AB959="",FALSE,AND($AB959&gt;p_dias_backlog_min,$AB959&lt;=p_dias_backlog_max))</f>
        <v/>
      </c>
      <c r="AE959" s="6" t="n"/>
      <c r="AF959" s="3">
        <f>IF($AE959="","",IF((IFERROR(INDEX('ASIGNACIONES'!$F$4:$F$339,MATCH($O959&amp;"|"&amp;$R959&amp;"|"&amp;$AE959,'ASIGNACIONES'!$J$4:$J$339,0)),""))=0,"",IFERROR(INDEX('ASIGNACIONES'!$F$4:$F$339,MATCH($O959&amp;"|"&amp;$R959&amp;"|"&amp;$AE959,'ASIGNACIONES'!$J$4:$J$339,0)),"")))</f>
        <v/>
      </c>
      <c r="AG959" s="13">
        <f>IF($AE959="","",SUMIFS('ORDENES'!$M$4:$M$1203,'ORDENES'!$AE$4:$AE$1203,$AE959,'ORDENES'!$O$4:$O$1203,$O959,'ORDENES'!$R$4:$R$1203,$R959))</f>
        <v/>
      </c>
      <c r="AH959" s="13">
        <f>IF($AG959="","",p_factor_productividad*IFERROR(INDEX('ASIGNACIONES'!$I$4:$I$339,MATCH($O959&amp;"|"&amp;$R959&amp;"|"&amp;$AE959,'ASIGNACIONES'!$J$4:$J$339,0)),0)-$AG959)</f>
        <v/>
      </c>
      <c r="AI959" s="10">
        <f>IF($A959="","",IFERROR(INDEX('2_IMPORTAR_EJECUCION'!$F$9:$F$1208,MATCH($AQ959,'2_IMPORTAR_EJECUCION'!$J$9:$J$1208,0)),0))</f>
        <v/>
      </c>
      <c r="AJ959" s="10">
        <f>IF($A959="","",MAX(0,IFERROR(INDEX('2_IMPORTAR_EJECUCION'!$H$9:$H$1208,MATCH($AQ959,'2_IMPORTAR_EJECUCION'!$J$9:$J$1208,0)),0)-$AI959))</f>
        <v/>
      </c>
      <c r="AK959" s="10">
        <f>IF($A959="","",$AI959+$AJ959)</f>
        <v/>
      </c>
      <c r="AL959" s="6" t="n"/>
      <c r="AM959" s="6" t="n"/>
      <c r="AN959" s="6" t="n"/>
      <c r="AO959" s="3">
        <f>IF($AN959="","",HYPERLINK(p_ruta_base_checklists&amp;$AN959,"abrir"))</f>
        <v/>
      </c>
      <c r="AP959" s="6" t="n"/>
      <c r="AQ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IF($A960="","",IFERROR(INDEX('AJUSTES'!$B$4:$B$303,MATCH($AQ960,'AJUSTES'!$A$4:$A$303,0)),IF($K960="","",$K960)))</f>
        <v/>
      </c>
      <c r="N960" s="3">
        <f>IF($A960="","",IFERROR(INDEX('CAT_ESTADOS_ERP'!$B$4:$B$7,MATCH(IFERROR(INDEX('2_IMPORTAR_EJECUCION'!$C$9:$C$1208,MATCH($AQ960,'2_IMPORTAR_EJECUCION'!$J$9:$J$1208,0)),""),'CAT_ESTADOS_ERP'!$A$4:$A$7,0)),"Pendiente"))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J960="","",IFERROR(INDEX('CALENDARIO'!$C$15:$C$214,MATCH(TEXT($J960,"yyyy-mm-dd")&amp;"|"&amp;$V960&amp;"|"&amp;$W960,'CALENDARIO'!$G$15:$G$214,0)),IFERROR(INDEX('CALENDARIO'!$C$15:$C$214,MATCH(TEXT($J960,"yyyy-mm-dd")&amp;"|"&amp;$V960&amp;"|",'CALENDARIO'!$G$15:$G$214,0)),IFERROR(INDEX('CALENDARIO'!$C$15:$C$214,MATCH(TEXT($J960,"yyyy-mm-dd")&amp;"||",'CALENDARIO'!$G$15:$G$214,0)),INDEX(patronHabil,WEEKDAY($J960,2))))))</f>
        <v/>
      </c>
      <c r="T960" s="3">
        <f>IF($I960="","",IFERROR(INDEX('CAT_TIPOS_OT'!$C$4:$C$7,MATCH($I960,'CAT_TIPOS_OT'!$A$4:$A$7,0)),"sin_clasificar"))</f>
        <v/>
      </c>
      <c r="U960" s="3">
        <f>IF($F960="","",IFERROR(INDEX('CAT_CENTROS_COSTO'!$F$4:$F$13,MATCH($F960,'CAT_CENTROS_COSTO'!$A$4:$A$13,0)),"(sin catálogo)"))</f>
        <v/>
      </c>
      <c r="V960" s="3">
        <f>IF($F960="","",IFERROR(INDEX('CAT_CENTROS_COSTO'!$D$4:$D$13,MATCH($F960,'CAT_CENTROS_COSTO'!$A$4:$A$13,0)),"(sin catálogo)"))</f>
        <v/>
      </c>
      <c r="W960" s="3">
        <f>IF($F960="","",IF((IFERROR(INDEX('CAT_CENTROS_COSTO'!$E$4:$E$13,MATCH($F960,'CAT_CENTROS_COSTO'!$A$4:$A$13,0)),""))&lt;&gt;"",IFERROR(INDEX('CAT_CENTROS_COSTO'!$E$4:$E$13,MATCH($F960,'CAT_CENTROS_COSTO'!$A$4:$A$13,0)),""),$V960))</f>
        <v/>
      </c>
      <c r="X960" s="3">
        <f>IF($F960="","",IFERROR(INDEX('CAT_CENTROS_COSTO'!$G$4:$G$13,MATCH($F960,'CAT_CENTROS_COSTO'!$A$4:$A$13,0)),"(sin catálogo)"))</f>
        <v/>
      </c>
      <c r="Y960" s="3">
        <f>IF($G960="","",IFERROR(INDEX('CAT_PUESTOS'!$B$4:$B$8,MATCH($G960,'CAT_PUESTOS'!$A$4:$A$8,0)),"(sin catálogo)"))</f>
        <v/>
      </c>
      <c r="Z960" s="3">
        <f>IF($H960="","",IFERROR(INDEX('CAT_ACTIVIDADES'!$B$4:$B$8,MATCH($H960,'CAT_ACTIVIDADES'!$A$4:$A$8,0)),"(sin catálogo)"))</f>
        <v/>
      </c>
      <c r="AA960" s="12">
        <f>IF($J960="","",TODAY()-$J960)</f>
        <v/>
      </c>
      <c r="AB960" s="12">
        <f>IF($J960="","",IF($J960&lt;=TODAY(),COUNTIFS(cal_fechas,"&gt;="&amp;$J960,cal_fechas,"&lt;"&amp;TODAY(),cal_habil,"sí"),-COUNTIFS(cal_fechas,"&gt;="&amp;TODAY(),cal_fechas,"&lt;"&amp;$J960,cal_habil,"sí")))</f>
        <v/>
      </c>
      <c r="AC960" s="3">
        <f>IF($AB960="","",IF($AB960&lt;0,"FUTURO",IF($AB960&gt;p_dias_backlog_max,"BACKLOG","MES CORRIENTE")))</f>
        <v/>
      </c>
      <c r="AD960" s="3">
        <f>IF($AB960="",FALSE,AND($AB960&gt;p_dias_backlog_min,$AB960&lt;=p_dias_backlog_max))</f>
        <v/>
      </c>
      <c r="AE960" s="6" t="n"/>
      <c r="AF960" s="3">
        <f>IF($AE960="","",IF((IFERROR(INDEX('ASIGNACIONES'!$F$4:$F$339,MATCH($O960&amp;"|"&amp;$R960&amp;"|"&amp;$AE960,'ASIGNACIONES'!$J$4:$J$339,0)),""))=0,"",IFERROR(INDEX('ASIGNACIONES'!$F$4:$F$339,MATCH($O960&amp;"|"&amp;$R960&amp;"|"&amp;$AE960,'ASIGNACIONES'!$J$4:$J$339,0)),"")))</f>
        <v/>
      </c>
      <c r="AG960" s="13">
        <f>IF($AE960="","",SUMIFS('ORDENES'!$M$4:$M$1203,'ORDENES'!$AE$4:$AE$1203,$AE960,'ORDENES'!$O$4:$O$1203,$O960,'ORDENES'!$R$4:$R$1203,$R960))</f>
        <v/>
      </c>
      <c r="AH960" s="13">
        <f>IF($AG960="","",p_factor_productividad*IFERROR(INDEX('ASIGNACIONES'!$I$4:$I$339,MATCH($O960&amp;"|"&amp;$R960&amp;"|"&amp;$AE960,'ASIGNACIONES'!$J$4:$J$339,0)),0)-$AG960)</f>
        <v/>
      </c>
      <c r="AI960" s="10">
        <f>IF($A960="","",IFERROR(INDEX('2_IMPORTAR_EJECUCION'!$F$9:$F$1208,MATCH($AQ960,'2_IMPORTAR_EJECUCION'!$J$9:$J$1208,0)),0))</f>
        <v/>
      </c>
      <c r="AJ960" s="10">
        <f>IF($A960="","",MAX(0,IFERROR(INDEX('2_IMPORTAR_EJECUCION'!$H$9:$H$1208,MATCH($AQ960,'2_IMPORTAR_EJECUCION'!$J$9:$J$1208,0)),0)-$AI960))</f>
        <v/>
      </c>
      <c r="AK960" s="10">
        <f>IF($A960="","",$AI960+$AJ960)</f>
        <v/>
      </c>
      <c r="AL960" s="6" t="n"/>
      <c r="AM960" s="6" t="n"/>
      <c r="AN960" s="6" t="n"/>
      <c r="AO960" s="3">
        <f>IF($AN960="","",HYPERLINK(p_ruta_base_checklists&amp;$AN960,"abrir"))</f>
        <v/>
      </c>
      <c r="AP960" s="6" t="n"/>
      <c r="AQ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IF($A961="","",IFERROR(INDEX('AJUSTES'!$B$4:$B$303,MATCH($AQ961,'AJUSTES'!$A$4:$A$303,0)),IF($K961="","",$K961)))</f>
        <v/>
      </c>
      <c r="N961" s="3">
        <f>IF($A961="","",IFERROR(INDEX('CAT_ESTADOS_ERP'!$B$4:$B$7,MATCH(IFERROR(INDEX('2_IMPORTAR_EJECUCION'!$C$9:$C$1208,MATCH($AQ961,'2_IMPORTAR_EJECUCION'!$J$9:$J$1208,0)),""),'CAT_ESTADOS_ERP'!$A$4:$A$7,0)),"Pendiente"))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J961="","",IFERROR(INDEX('CALENDARIO'!$C$15:$C$214,MATCH(TEXT($J961,"yyyy-mm-dd")&amp;"|"&amp;$V961&amp;"|"&amp;$W961,'CALENDARIO'!$G$15:$G$214,0)),IFERROR(INDEX('CALENDARIO'!$C$15:$C$214,MATCH(TEXT($J961,"yyyy-mm-dd")&amp;"|"&amp;$V961&amp;"|",'CALENDARIO'!$G$15:$G$214,0)),IFERROR(INDEX('CALENDARIO'!$C$15:$C$214,MATCH(TEXT($J961,"yyyy-mm-dd")&amp;"||",'CALENDARIO'!$G$15:$G$214,0)),INDEX(patronHabil,WEEKDAY($J961,2))))))</f>
        <v/>
      </c>
      <c r="T961" s="3">
        <f>IF($I961="","",IFERROR(INDEX('CAT_TIPOS_OT'!$C$4:$C$7,MATCH($I961,'CAT_TIPOS_OT'!$A$4:$A$7,0)),"sin_clasificar"))</f>
        <v/>
      </c>
      <c r="U961" s="3">
        <f>IF($F961="","",IFERROR(INDEX('CAT_CENTROS_COSTO'!$F$4:$F$13,MATCH($F961,'CAT_CENTROS_COSTO'!$A$4:$A$13,0)),"(sin catálogo)"))</f>
        <v/>
      </c>
      <c r="V961" s="3">
        <f>IF($F961="","",IFERROR(INDEX('CAT_CENTROS_COSTO'!$D$4:$D$13,MATCH($F961,'CAT_CENTROS_COSTO'!$A$4:$A$13,0)),"(sin catálogo)"))</f>
        <v/>
      </c>
      <c r="W961" s="3">
        <f>IF($F961="","",IF((IFERROR(INDEX('CAT_CENTROS_COSTO'!$E$4:$E$13,MATCH($F961,'CAT_CENTROS_COSTO'!$A$4:$A$13,0)),""))&lt;&gt;"",IFERROR(INDEX('CAT_CENTROS_COSTO'!$E$4:$E$13,MATCH($F961,'CAT_CENTROS_COSTO'!$A$4:$A$13,0)),""),$V961))</f>
        <v/>
      </c>
      <c r="X961" s="3">
        <f>IF($F961="","",IFERROR(INDEX('CAT_CENTROS_COSTO'!$G$4:$G$13,MATCH($F961,'CAT_CENTROS_COSTO'!$A$4:$A$13,0)),"(sin catálogo)"))</f>
        <v/>
      </c>
      <c r="Y961" s="3">
        <f>IF($G961="","",IFERROR(INDEX('CAT_PUESTOS'!$B$4:$B$8,MATCH($G961,'CAT_PUESTOS'!$A$4:$A$8,0)),"(sin catálogo)"))</f>
        <v/>
      </c>
      <c r="Z961" s="3">
        <f>IF($H961="","",IFERROR(INDEX('CAT_ACTIVIDADES'!$B$4:$B$8,MATCH($H961,'CAT_ACTIVIDADES'!$A$4:$A$8,0)),"(sin catálogo)"))</f>
        <v/>
      </c>
      <c r="AA961" s="12">
        <f>IF($J961="","",TODAY()-$J961)</f>
        <v/>
      </c>
      <c r="AB961" s="12">
        <f>IF($J961="","",IF($J961&lt;=TODAY(),COUNTIFS(cal_fechas,"&gt;="&amp;$J961,cal_fechas,"&lt;"&amp;TODAY(),cal_habil,"sí"),-COUNTIFS(cal_fechas,"&gt;="&amp;TODAY(),cal_fechas,"&lt;"&amp;$J961,cal_habil,"sí")))</f>
        <v/>
      </c>
      <c r="AC961" s="3">
        <f>IF($AB961="","",IF($AB961&lt;0,"FUTURO",IF($AB961&gt;p_dias_backlog_max,"BACKLOG","MES CORRIENTE")))</f>
        <v/>
      </c>
      <c r="AD961" s="3">
        <f>IF($AB961="",FALSE,AND($AB961&gt;p_dias_backlog_min,$AB961&lt;=p_dias_backlog_max))</f>
        <v/>
      </c>
      <c r="AE961" s="6" t="n"/>
      <c r="AF961" s="3">
        <f>IF($AE961="","",IF((IFERROR(INDEX('ASIGNACIONES'!$F$4:$F$339,MATCH($O961&amp;"|"&amp;$R961&amp;"|"&amp;$AE961,'ASIGNACIONES'!$J$4:$J$339,0)),""))=0,"",IFERROR(INDEX('ASIGNACIONES'!$F$4:$F$339,MATCH($O961&amp;"|"&amp;$R961&amp;"|"&amp;$AE961,'ASIGNACIONES'!$J$4:$J$339,0)),"")))</f>
        <v/>
      </c>
      <c r="AG961" s="13">
        <f>IF($AE961="","",SUMIFS('ORDENES'!$M$4:$M$1203,'ORDENES'!$AE$4:$AE$1203,$AE961,'ORDENES'!$O$4:$O$1203,$O961,'ORDENES'!$R$4:$R$1203,$R961))</f>
        <v/>
      </c>
      <c r="AH961" s="13">
        <f>IF($AG961="","",p_factor_productividad*IFERROR(INDEX('ASIGNACIONES'!$I$4:$I$339,MATCH($O961&amp;"|"&amp;$R961&amp;"|"&amp;$AE961,'ASIGNACIONES'!$J$4:$J$339,0)),0)-$AG961)</f>
        <v/>
      </c>
      <c r="AI961" s="10">
        <f>IF($A961="","",IFERROR(INDEX('2_IMPORTAR_EJECUCION'!$F$9:$F$1208,MATCH($AQ961,'2_IMPORTAR_EJECUCION'!$J$9:$J$1208,0)),0))</f>
        <v/>
      </c>
      <c r="AJ961" s="10">
        <f>IF($A961="","",MAX(0,IFERROR(INDEX('2_IMPORTAR_EJECUCION'!$H$9:$H$1208,MATCH($AQ961,'2_IMPORTAR_EJECUCION'!$J$9:$J$1208,0)),0)-$AI961))</f>
        <v/>
      </c>
      <c r="AK961" s="10">
        <f>IF($A961="","",$AI961+$AJ961)</f>
        <v/>
      </c>
      <c r="AL961" s="6" t="n"/>
      <c r="AM961" s="6" t="n"/>
      <c r="AN961" s="6" t="n"/>
      <c r="AO961" s="3">
        <f>IF($AN961="","",HYPERLINK(p_ruta_base_checklists&amp;$AN961,"abrir"))</f>
        <v/>
      </c>
      <c r="AP961" s="6" t="n"/>
      <c r="AQ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IF($A962="","",IFERROR(INDEX('AJUSTES'!$B$4:$B$303,MATCH($AQ962,'AJUSTES'!$A$4:$A$303,0)),IF($K962="","",$K962)))</f>
        <v/>
      </c>
      <c r="N962" s="3">
        <f>IF($A962="","",IFERROR(INDEX('CAT_ESTADOS_ERP'!$B$4:$B$7,MATCH(IFERROR(INDEX('2_IMPORTAR_EJECUCION'!$C$9:$C$1208,MATCH($AQ962,'2_IMPORTAR_EJECUCION'!$J$9:$J$1208,0)),""),'CAT_ESTADOS_ERP'!$A$4:$A$7,0)),"Pendiente"))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J962="","",IFERROR(INDEX('CALENDARIO'!$C$15:$C$214,MATCH(TEXT($J962,"yyyy-mm-dd")&amp;"|"&amp;$V962&amp;"|"&amp;$W962,'CALENDARIO'!$G$15:$G$214,0)),IFERROR(INDEX('CALENDARIO'!$C$15:$C$214,MATCH(TEXT($J962,"yyyy-mm-dd")&amp;"|"&amp;$V962&amp;"|",'CALENDARIO'!$G$15:$G$214,0)),IFERROR(INDEX('CALENDARIO'!$C$15:$C$214,MATCH(TEXT($J962,"yyyy-mm-dd")&amp;"||",'CALENDARIO'!$G$15:$G$214,0)),INDEX(patronHabil,WEEKDAY($J962,2))))))</f>
        <v/>
      </c>
      <c r="T962" s="3">
        <f>IF($I962="","",IFERROR(INDEX('CAT_TIPOS_OT'!$C$4:$C$7,MATCH($I962,'CAT_TIPOS_OT'!$A$4:$A$7,0)),"sin_clasificar"))</f>
        <v/>
      </c>
      <c r="U962" s="3">
        <f>IF($F962="","",IFERROR(INDEX('CAT_CENTROS_COSTO'!$F$4:$F$13,MATCH($F962,'CAT_CENTROS_COSTO'!$A$4:$A$13,0)),"(sin catálogo)"))</f>
        <v/>
      </c>
      <c r="V962" s="3">
        <f>IF($F962="","",IFERROR(INDEX('CAT_CENTROS_COSTO'!$D$4:$D$13,MATCH($F962,'CAT_CENTROS_COSTO'!$A$4:$A$13,0)),"(sin catálogo)"))</f>
        <v/>
      </c>
      <c r="W962" s="3">
        <f>IF($F962="","",IF((IFERROR(INDEX('CAT_CENTROS_COSTO'!$E$4:$E$13,MATCH($F962,'CAT_CENTROS_COSTO'!$A$4:$A$13,0)),""))&lt;&gt;"",IFERROR(INDEX('CAT_CENTROS_COSTO'!$E$4:$E$13,MATCH($F962,'CAT_CENTROS_COSTO'!$A$4:$A$13,0)),""),$V962))</f>
        <v/>
      </c>
      <c r="X962" s="3">
        <f>IF($F962="","",IFERROR(INDEX('CAT_CENTROS_COSTO'!$G$4:$G$13,MATCH($F962,'CAT_CENTROS_COSTO'!$A$4:$A$13,0)),"(sin catálogo)"))</f>
        <v/>
      </c>
      <c r="Y962" s="3">
        <f>IF($G962="","",IFERROR(INDEX('CAT_PUESTOS'!$B$4:$B$8,MATCH($G962,'CAT_PUESTOS'!$A$4:$A$8,0)),"(sin catálogo)"))</f>
        <v/>
      </c>
      <c r="Z962" s="3">
        <f>IF($H962="","",IFERROR(INDEX('CAT_ACTIVIDADES'!$B$4:$B$8,MATCH($H962,'CAT_ACTIVIDADES'!$A$4:$A$8,0)),"(sin catálogo)"))</f>
        <v/>
      </c>
      <c r="AA962" s="12">
        <f>IF($J962="","",TODAY()-$J962)</f>
        <v/>
      </c>
      <c r="AB962" s="12">
        <f>IF($J962="","",IF($J962&lt;=TODAY(),COUNTIFS(cal_fechas,"&gt;="&amp;$J962,cal_fechas,"&lt;"&amp;TODAY(),cal_habil,"sí"),-COUNTIFS(cal_fechas,"&gt;="&amp;TODAY(),cal_fechas,"&lt;"&amp;$J962,cal_habil,"sí")))</f>
        <v/>
      </c>
      <c r="AC962" s="3">
        <f>IF($AB962="","",IF($AB962&lt;0,"FUTURO",IF($AB962&gt;p_dias_backlog_max,"BACKLOG","MES CORRIENTE")))</f>
        <v/>
      </c>
      <c r="AD962" s="3">
        <f>IF($AB962="",FALSE,AND($AB962&gt;p_dias_backlog_min,$AB962&lt;=p_dias_backlog_max))</f>
        <v/>
      </c>
      <c r="AE962" s="6" t="n"/>
      <c r="AF962" s="3">
        <f>IF($AE962="","",IF((IFERROR(INDEX('ASIGNACIONES'!$F$4:$F$339,MATCH($O962&amp;"|"&amp;$R962&amp;"|"&amp;$AE962,'ASIGNACIONES'!$J$4:$J$339,0)),""))=0,"",IFERROR(INDEX('ASIGNACIONES'!$F$4:$F$339,MATCH($O962&amp;"|"&amp;$R962&amp;"|"&amp;$AE962,'ASIGNACIONES'!$J$4:$J$339,0)),"")))</f>
        <v/>
      </c>
      <c r="AG962" s="13">
        <f>IF($AE962="","",SUMIFS('ORDENES'!$M$4:$M$1203,'ORDENES'!$AE$4:$AE$1203,$AE962,'ORDENES'!$O$4:$O$1203,$O962,'ORDENES'!$R$4:$R$1203,$R962))</f>
        <v/>
      </c>
      <c r="AH962" s="13">
        <f>IF($AG962="","",p_factor_productividad*IFERROR(INDEX('ASIGNACIONES'!$I$4:$I$339,MATCH($O962&amp;"|"&amp;$R962&amp;"|"&amp;$AE962,'ASIGNACIONES'!$J$4:$J$339,0)),0)-$AG962)</f>
        <v/>
      </c>
      <c r="AI962" s="10">
        <f>IF($A962="","",IFERROR(INDEX('2_IMPORTAR_EJECUCION'!$F$9:$F$1208,MATCH($AQ962,'2_IMPORTAR_EJECUCION'!$J$9:$J$1208,0)),0))</f>
        <v/>
      </c>
      <c r="AJ962" s="10">
        <f>IF($A962="","",MAX(0,IFERROR(INDEX('2_IMPORTAR_EJECUCION'!$H$9:$H$1208,MATCH($AQ962,'2_IMPORTAR_EJECUCION'!$J$9:$J$1208,0)),0)-$AI962))</f>
        <v/>
      </c>
      <c r="AK962" s="10">
        <f>IF($A962="","",$AI962+$AJ962)</f>
        <v/>
      </c>
      <c r="AL962" s="6" t="n"/>
      <c r="AM962" s="6" t="n"/>
      <c r="AN962" s="6" t="n"/>
      <c r="AO962" s="3">
        <f>IF($AN962="","",HYPERLINK(p_ruta_base_checklists&amp;$AN962,"abrir"))</f>
        <v/>
      </c>
      <c r="AP962" s="6" t="n"/>
      <c r="AQ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IF($A963="","",IFERROR(INDEX('AJUSTES'!$B$4:$B$303,MATCH($AQ963,'AJUSTES'!$A$4:$A$303,0)),IF($K963="","",$K963)))</f>
        <v/>
      </c>
      <c r="N963" s="3">
        <f>IF($A963="","",IFERROR(INDEX('CAT_ESTADOS_ERP'!$B$4:$B$7,MATCH(IFERROR(INDEX('2_IMPORTAR_EJECUCION'!$C$9:$C$1208,MATCH($AQ963,'2_IMPORTAR_EJECUCION'!$J$9:$J$1208,0)),""),'CAT_ESTADOS_ERP'!$A$4:$A$7,0)),"Pendiente"))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J963="","",IFERROR(INDEX('CALENDARIO'!$C$15:$C$214,MATCH(TEXT($J963,"yyyy-mm-dd")&amp;"|"&amp;$V963&amp;"|"&amp;$W963,'CALENDARIO'!$G$15:$G$214,0)),IFERROR(INDEX('CALENDARIO'!$C$15:$C$214,MATCH(TEXT($J963,"yyyy-mm-dd")&amp;"|"&amp;$V963&amp;"|",'CALENDARIO'!$G$15:$G$214,0)),IFERROR(INDEX('CALENDARIO'!$C$15:$C$214,MATCH(TEXT($J963,"yyyy-mm-dd")&amp;"||",'CALENDARIO'!$G$15:$G$214,0)),INDEX(patronHabil,WEEKDAY($J963,2))))))</f>
        <v/>
      </c>
      <c r="T963" s="3">
        <f>IF($I963="","",IFERROR(INDEX('CAT_TIPOS_OT'!$C$4:$C$7,MATCH($I963,'CAT_TIPOS_OT'!$A$4:$A$7,0)),"sin_clasificar"))</f>
        <v/>
      </c>
      <c r="U963" s="3">
        <f>IF($F963="","",IFERROR(INDEX('CAT_CENTROS_COSTO'!$F$4:$F$13,MATCH($F963,'CAT_CENTROS_COSTO'!$A$4:$A$13,0)),"(sin catálogo)"))</f>
        <v/>
      </c>
      <c r="V963" s="3">
        <f>IF($F963="","",IFERROR(INDEX('CAT_CENTROS_COSTO'!$D$4:$D$13,MATCH($F963,'CAT_CENTROS_COSTO'!$A$4:$A$13,0)),"(sin catálogo)"))</f>
        <v/>
      </c>
      <c r="W963" s="3">
        <f>IF($F963="","",IF((IFERROR(INDEX('CAT_CENTROS_COSTO'!$E$4:$E$13,MATCH($F963,'CAT_CENTROS_COSTO'!$A$4:$A$13,0)),""))&lt;&gt;"",IFERROR(INDEX('CAT_CENTROS_COSTO'!$E$4:$E$13,MATCH($F963,'CAT_CENTROS_COSTO'!$A$4:$A$13,0)),""),$V963))</f>
        <v/>
      </c>
      <c r="X963" s="3">
        <f>IF($F963="","",IFERROR(INDEX('CAT_CENTROS_COSTO'!$G$4:$G$13,MATCH($F963,'CAT_CENTROS_COSTO'!$A$4:$A$13,0)),"(sin catálogo)"))</f>
        <v/>
      </c>
      <c r="Y963" s="3">
        <f>IF($G963="","",IFERROR(INDEX('CAT_PUESTOS'!$B$4:$B$8,MATCH($G963,'CAT_PUESTOS'!$A$4:$A$8,0)),"(sin catálogo)"))</f>
        <v/>
      </c>
      <c r="Z963" s="3">
        <f>IF($H963="","",IFERROR(INDEX('CAT_ACTIVIDADES'!$B$4:$B$8,MATCH($H963,'CAT_ACTIVIDADES'!$A$4:$A$8,0)),"(sin catálogo)"))</f>
        <v/>
      </c>
      <c r="AA963" s="12">
        <f>IF($J963="","",TODAY()-$J963)</f>
        <v/>
      </c>
      <c r="AB963" s="12">
        <f>IF($J963="","",IF($J963&lt;=TODAY(),COUNTIFS(cal_fechas,"&gt;="&amp;$J963,cal_fechas,"&lt;"&amp;TODAY(),cal_habil,"sí"),-COUNTIFS(cal_fechas,"&gt;="&amp;TODAY(),cal_fechas,"&lt;"&amp;$J963,cal_habil,"sí")))</f>
        <v/>
      </c>
      <c r="AC963" s="3">
        <f>IF($AB963="","",IF($AB963&lt;0,"FUTURO",IF($AB963&gt;p_dias_backlog_max,"BACKLOG","MES CORRIENTE")))</f>
        <v/>
      </c>
      <c r="AD963" s="3">
        <f>IF($AB963="",FALSE,AND($AB963&gt;p_dias_backlog_min,$AB963&lt;=p_dias_backlog_max))</f>
        <v/>
      </c>
      <c r="AE963" s="6" t="n"/>
      <c r="AF963" s="3">
        <f>IF($AE963="","",IF((IFERROR(INDEX('ASIGNACIONES'!$F$4:$F$339,MATCH($O963&amp;"|"&amp;$R963&amp;"|"&amp;$AE963,'ASIGNACIONES'!$J$4:$J$339,0)),""))=0,"",IFERROR(INDEX('ASIGNACIONES'!$F$4:$F$339,MATCH($O963&amp;"|"&amp;$R963&amp;"|"&amp;$AE963,'ASIGNACIONES'!$J$4:$J$339,0)),"")))</f>
        <v/>
      </c>
      <c r="AG963" s="13">
        <f>IF($AE963="","",SUMIFS('ORDENES'!$M$4:$M$1203,'ORDENES'!$AE$4:$AE$1203,$AE963,'ORDENES'!$O$4:$O$1203,$O963,'ORDENES'!$R$4:$R$1203,$R963))</f>
        <v/>
      </c>
      <c r="AH963" s="13">
        <f>IF($AG963="","",p_factor_productividad*IFERROR(INDEX('ASIGNACIONES'!$I$4:$I$339,MATCH($O963&amp;"|"&amp;$R963&amp;"|"&amp;$AE963,'ASIGNACIONES'!$J$4:$J$339,0)),0)-$AG963)</f>
        <v/>
      </c>
      <c r="AI963" s="10">
        <f>IF($A963="","",IFERROR(INDEX('2_IMPORTAR_EJECUCION'!$F$9:$F$1208,MATCH($AQ963,'2_IMPORTAR_EJECUCION'!$J$9:$J$1208,0)),0))</f>
        <v/>
      </c>
      <c r="AJ963" s="10">
        <f>IF($A963="","",MAX(0,IFERROR(INDEX('2_IMPORTAR_EJECUCION'!$H$9:$H$1208,MATCH($AQ963,'2_IMPORTAR_EJECUCION'!$J$9:$J$1208,0)),0)-$AI963))</f>
        <v/>
      </c>
      <c r="AK963" s="10">
        <f>IF($A963="","",$AI963+$AJ963)</f>
        <v/>
      </c>
      <c r="AL963" s="6" t="n"/>
      <c r="AM963" s="6" t="n"/>
      <c r="AN963" s="6" t="n"/>
      <c r="AO963" s="3">
        <f>IF($AN963="","",HYPERLINK(p_ruta_base_checklists&amp;$AN963,"abrir"))</f>
        <v/>
      </c>
      <c r="AP963" s="6" t="n"/>
      <c r="AQ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IF($A964="","",IFERROR(INDEX('AJUSTES'!$B$4:$B$303,MATCH($AQ964,'AJUSTES'!$A$4:$A$303,0)),IF($K964="","",$K964)))</f>
        <v/>
      </c>
      <c r="N964" s="3">
        <f>IF($A964="","",IFERROR(INDEX('CAT_ESTADOS_ERP'!$B$4:$B$7,MATCH(IFERROR(INDEX('2_IMPORTAR_EJECUCION'!$C$9:$C$1208,MATCH($AQ964,'2_IMPORTAR_EJECUCION'!$J$9:$J$1208,0)),""),'CAT_ESTADOS_ERP'!$A$4:$A$7,0)),"Pendiente"))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J964="","",IFERROR(INDEX('CALENDARIO'!$C$15:$C$214,MATCH(TEXT($J964,"yyyy-mm-dd")&amp;"|"&amp;$V964&amp;"|"&amp;$W964,'CALENDARIO'!$G$15:$G$214,0)),IFERROR(INDEX('CALENDARIO'!$C$15:$C$214,MATCH(TEXT($J964,"yyyy-mm-dd")&amp;"|"&amp;$V964&amp;"|",'CALENDARIO'!$G$15:$G$214,0)),IFERROR(INDEX('CALENDARIO'!$C$15:$C$214,MATCH(TEXT($J964,"yyyy-mm-dd")&amp;"||",'CALENDARIO'!$G$15:$G$214,0)),INDEX(patronHabil,WEEKDAY($J964,2))))))</f>
        <v/>
      </c>
      <c r="T964" s="3">
        <f>IF($I964="","",IFERROR(INDEX('CAT_TIPOS_OT'!$C$4:$C$7,MATCH($I964,'CAT_TIPOS_OT'!$A$4:$A$7,0)),"sin_clasificar"))</f>
        <v/>
      </c>
      <c r="U964" s="3">
        <f>IF($F964="","",IFERROR(INDEX('CAT_CENTROS_COSTO'!$F$4:$F$13,MATCH($F964,'CAT_CENTROS_COSTO'!$A$4:$A$13,0)),"(sin catálogo)"))</f>
        <v/>
      </c>
      <c r="V964" s="3">
        <f>IF($F964="","",IFERROR(INDEX('CAT_CENTROS_COSTO'!$D$4:$D$13,MATCH($F964,'CAT_CENTROS_COSTO'!$A$4:$A$13,0)),"(sin catálogo)"))</f>
        <v/>
      </c>
      <c r="W964" s="3">
        <f>IF($F964="","",IF((IFERROR(INDEX('CAT_CENTROS_COSTO'!$E$4:$E$13,MATCH($F964,'CAT_CENTROS_COSTO'!$A$4:$A$13,0)),""))&lt;&gt;"",IFERROR(INDEX('CAT_CENTROS_COSTO'!$E$4:$E$13,MATCH($F964,'CAT_CENTROS_COSTO'!$A$4:$A$13,0)),""),$V964))</f>
        <v/>
      </c>
      <c r="X964" s="3">
        <f>IF($F964="","",IFERROR(INDEX('CAT_CENTROS_COSTO'!$G$4:$G$13,MATCH($F964,'CAT_CENTROS_COSTO'!$A$4:$A$13,0)),"(sin catálogo)"))</f>
        <v/>
      </c>
      <c r="Y964" s="3">
        <f>IF($G964="","",IFERROR(INDEX('CAT_PUESTOS'!$B$4:$B$8,MATCH($G964,'CAT_PUESTOS'!$A$4:$A$8,0)),"(sin catálogo)"))</f>
        <v/>
      </c>
      <c r="Z964" s="3">
        <f>IF($H964="","",IFERROR(INDEX('CAT_ACTIVIDADES'!$B$4:$B$8,MATCH($H964,'CAT_ACTIVIDADES'!$A$4:$A$8,0)),"(sin catálogo)"))</f>
        <v/>
      </c>
      <c r="AA964" s="12">
        <f>IF($J964="","",TODAY()-$J964)</f>
        <v/>
      </c>
      <c r="AB964" s="12">
        <f>IF($J964="","",IF($J964&lt;=TODAY(),COUNTIFS(cal_fechas,"&gt;="&amp;$J964,cal_fechas,"&lt;"&amp;TODAY(),cal_habil,"sí"),-COUNTIFS(cal_fechas,"&gt;="&amp;TODAY(),cal_fechas,"&lt;"&amp;$J964,cal_habil,"sí")))</f>
        <v/>
      </c>
      <c r="AC964" s="3">
        <f>IF($AB964="","",IF($AB964&lt;0,"FUTURO",IF($AB964&gt;p_dias_backlog_max,"BACKLOG","MES CORRIENTE")))</f>
        <v/>
      </c>
      <c r="AD964" s="3">
        <f>IF($AB964="",FALSE,AND($AB964&gt;p_dias_backlog_min,$AB964&lt;=p_dias_backlog_max))</f>
        <v/>
      </c>
      <c r="AE964" s="6" t="n"/>
      <c r="AF964" s="3">
        <f>IF($AE964="","",IF((IFERROR(INDEX('ASIGNACIONES'!$F$4:$F$339,MATCH($O964&amp;"|"&amp;$R964&amp;"|"&amp;$AE964,'ASIGNACIONES'!$J$4:$J$339,0)),""))=0,"",IFERROR(INDEX('ASIGNACIONES'!$F$4:$F$339,MATCH($O964&amp;"|"&amp;$R964&amp;"|"&amp;$AE964,'ASIGNACIONES'!$J$4:$J$339,0)),"")))</f>
        <v/>
      </c>
      <c r="AG964" s="13">
        <f>IF($AE964="","",SUMIFS('ORDENES'!$M$4:$M$1203,'ORDENES'!$AE$4:$AE$1203,$AE964,'ORDENES'!$O$4:$O$1203,$O964,'ORDENES'!$R$4:$R$1203,$R964))</f>
        <v/>
      </c>
      <c r="AH964" s="13">
        <f>IF($AG964="","",p_factor_productividad*IFERROR(INDEX('ASIGNACIONES'!$I$4:$I$339,MATCH($O964&amp;"|"&amp;$R964&amp;"|"&amp;$AE964,'ASIGNACIONES'!$J$4:$J$339,0)),0)-$AG964)</f>
        <v/>
      </c>
      <c r="AI964" s="10">
        <f>IF($A964="","",IFERROR(INDEX('2_IMPORTAR_EJECUCION'!$F$9:$F$1208,MATCH($AQ964,'2_IMPORTAR_EJECUCION'!$J$9:$J$1208,0)),0))</f>
        <v/>
      </c>
      <c r="AJ964" s="10">
        <f>IF($A964="","",MAX(0,IFERROR(INDEX('2_IMPORTAR_EJECUCION'!$H$9:$H$1208,MATCH($AQ964,'2_IMPORTAR_EJECUCION'!$J$9:$J$1208,0)),0)-$AI964))</f>
        <v/>
      </c>
      <c r="AK964" s="10">
        <f>IF($A964="","",$AI964+$AJ964)</f>
        <v/>
      </c>
      <c r="AL964" s="6" t="n"/>
      <c r="AM964" s="6" t="n"/>
      <c r="AN964" s="6" t="n"/>
      <c r="AO964" s="3">
        <f>IF($AN964="","",HYPERLINK(p_ruta_base_checklists&amp;$AN964,"abrir"))</f>
        <v/>
      </c>
      <c r="AP964" s="6" t="n"/>
      <c r="AQ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IF($A965="","",IFERROR(INDEX('AJUSTES'!$B$4:$B$303,MATCH($AQ965,'AJUSTES'!$A$4:$A$303,0)),IF($K965="","",$K965)))</f>
        <v/>
      </c>
      <c r="N965" s="3">
        <f>IF($A965="","",IFERROR(INDEX('CAT_ESTADOS_ERP'!$B$4:$B$7,MATCH(IFERROR(INDEX('2_IMPORTAR_EJECUCION'!$C$9:$C$1208,MATCH($AQ965,'2_IMPORTAR_EJECUCION'!$J$9:$J$1208,0)),""),'CAT_ESTADOS_ERP'!$A$4:$A$7,0)),"Pendiente"))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J965="","",IFERROR(INDEX('CALENDARIO'!$C$15:$C$214,MATCH(TEXT($J965,"yyyy-mm-dd")&amp;"|"&amp;$V965&amp;"|"&amp;$W965,'CALENDARIO'!$G$15:$G$214,0)),IFERROR(INDEX('CALENDARIO'!$C$15:$C$214,MATCH(TEXT($J965,"yyyy-mm-dd")&amp;"|"&amp;$V965&amp;"|",'CALENDARIO'!$G$15:$G$214,0)),IFERROR(INDEX('CALENDARIO'!$C$15:$C$214,MATCH(TEXT($J965,"yyyy-mm-dd")&amp;"||",'CALENDARIO'!$G$15:$G$214,0)),INDEX(patronHabil,WEEKDAY($J965,2))))))</f>
        <v/>
      </c>
      <c r="T965" s="3">
        <f>IF($I965="","",IFERROR(INDEX('CAT_TIPOS_OT'!$C$4:$C$7,MATCH($I965,'CAT_TIPOS_OT'!$A$4:$A$7,0)),"sin_clasificar"))</f>
        <v/>
      </c>
      <c r="U965" s="3">
        <f>IF($F965="","",IFERROR(INDEX('CAT_CENTROS_COSTO'!$F$4:$F$13,MATCH($F965,'CAT_CENTROS_COSTO'!$A$4:$A$13,0)),"(sin catálogo)"))</f>
        <v/>
      </c>
      <c r="V965" s="3">
        <f>IF($F965="","",IFERROR(INDEX('CAT_CENTROS_COSTO'!$D$4:$D$13,MATCH($F965,'CAT_CENTROS_COSTO'!$A$4:$A$13,0)),"(sin catálogo)"))</f>
        <v/>
      </c>
      <c r="W965" s="3">
        <f>IF($F965="","",IF((IFERROR(INDEX('CAT_CENTROS_COSTO'!$E$4:$E$13,MATCH($F965,'CAT_CENTROS_COSTO'!$A$4:$A$13,0)),""))&lt;&gt;"",IFERROR(INDEX('CAT_CENTROS_COSTO'!$E$4:$E$13,MATCH($F965,'CAT_CENTROS_COSTO'!$A$4:$A$13,0)),""),$V965))</f>
        <v/>
      </c>
      <c r="X965" s="3">
        <f>IF($F965="","",IFERROR(INDEX('CAT_CENTROS_COSTO'!$G$4:$G$13,MATCH($F965,'CAT_CENTROS_COSTO'!$A$4:$A$13,0)),"(sin catálogo)"))</f>
        <v/>
      </c>
      <c r="Y965" s="3">
        <f>IF($G965="","",IFERROR(INDEX('CAT_PUESTOS'!$B$4:$B$8,MATCH($G965,'CAT_PUESTOS'!$A$4:$A$8,0)),"(sin catálogo)"))</f>
        <v/>
      </c>
      <c r="Z965" s="3">
        <f>IF($H965="","",IFERROR(INDEX('CAT_ACTIVIDADES'!$B$4:$B$8,MATCH($H965,'CAT_ACTIVIDADES'!$A$4:$A$8,0)),"(sin catálogo)"))</f>
        <v/>
      </c>
      <c r="AA965" s="12">
        <f>IF($J965="","",TODAY()-$J965)</f>
        <v/>
      </c>
      <c r="AB965" s="12">
        <f>IF($J965="","",IF($J965&lt;=TODAY(),COUNTIFS(cal_fechas,"&gt;="&amp;$J965,cal_fechas,"&lt;"&amp;TODAY(),cal_habil,"sí"),-COUNTIFS(cal_fechas,"&gt;="&amp;TODAY(),cal_fechas,"&lt;"&amp;$J965,cal_habil,"sí")))</f>
        <v/>
      </c>
      <c r="AC965" s="3">
        <f>IF($AB965="","",IF($AB965&lt;0,"FUTURO",IF($AB965&gt;p_dias_backlog_max,"BACKLOG","MES CORRIENTE")))</f>
        <v/>
      </c>
      <c r="AD965" s="3">
        <f>IF($AB965="",FALSE,AND($AB965&gt;p_dias_backlog_min,$AB965&lt;=p_dias_backlog_max))</f>
        <v/>
      </c>
      <c r="AE965" s="6" t="n"/>
      <c r="AF965" s="3">
        <f>IF($AE965="","",IF((IFERROR(INDEX('ASIGNACIONES'!$F$4:$F$339,MATCH($O965&amp;"|"&amp;$R965&amp;"|"&amp;$AE965,'ASIGNACIONES'!$J$4:$J$339,0)),""))=0,"",IFERROR(INDEX('ASIGNACIONES'!$F$4:$F$339,MATCH($O965&amp;"|"&amp;$R965&amp;"|"&amp;$AE965,'ASIGNACIONES'!$J$4:$J$339,0)),"")))</f>
        <v/>
      </c>
      <c r="AG965" s="13">
        <f>IF($AE965="","",SUMIFS('ORDENES'!$M$4:$M$1203,'ORDENES'!$AE$4:$AE$1203,$AE965,'ORDENES'!$O$4:$O$1203,$O965,'ORDENES'!$R$4:$R$1203,$R965))</f>
        <v/>
      </c>
      <c r="AH965" s="13">
        <f>IF($AG965="","",p_factor_productividad*IFERROR(INDEX('ASIGNACIONES'!$I$4:$I$339,MATCH($O965&amp;"|"&amp;$R965&amp;"|"&amp;$AE965,'ASIGNACIONES'!$J$4:$J$339,0)),0)-$AG965)</f>
        <v/>
      </c>
      <c r="AI965" s="10">
        <f>IF($A965="","",IFERROR(INDEX('2_IMPORTAR_EJECUCION'!$F$9:$F$1208,MATCH($AQ965,'2_IMPORTAR_EJECUCION'!$J$9:$J$1208,0)),0))</f>
        <v/>
      </c>
      <c r="AJ965" s="10">
        <f>IF($A965="","",MAX(0,IFERROR(INDEX('2_IMPORTAR_EJECUCION'!$H$9:$H$1208,MATCH($AQ965,'2_IMPORTAR_EJECUCION'!$J$9:$J$1208,0)),0)-$AI965))</f>
        <v/>
      </c>
      <c r="AK965" s="10">
        <f>IF($A965="","",$AI965+$AJ965)</f>
        <v/>
      </c>
      <c r="AL965" s="6" t="n"/>
      <c r="AM965" s="6" t="n"/>
      <c r="AN965" s="6" t="n"/>
      <c r="AO965" s="3">
        <f>IF($AN965="","",HYPERLINK(p_ruta_base_checklists&amp;$AN965,"abrir"))</f>
        <v/>
      </c>
      <c r="AP965" s="6" t="n"/>
      <c r="AQ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IF($A966="","",IFERROR(INDEX('AJUSTES'!$B$4:$B$303,MATCH($AQ966,'AJUSTES'!$A$4:$A$303,0)),IF($K966="","",$K966)))</f>
        <v/>
      </c>
      <c r="N966" s="3">
        <f>IF($A966="","",IFERROR(INDEX('CAT_ESTADOS_ERP'!$B$4:$B$7,MATCH(IFERROR(INDEX('2_IMPORTAR_EJECUCION'!$C$9:$C$1208,MATCH($AQ966,'2_IMPORTAR_EJECUCION'!$J$9:$J$1208,0)),""),'CAT_ESTADOS_ERP'!$A$4:$A$7,0)),"Pendiente"))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J966="","",IFERROR(INDEX('CALENDARIO'!$C$15:$C$214,MATCH(TEXT($J966,"yyyy-mm-dd")&amp;"|"&amp;$V966&amp;"|"&amp;$W966,'CALENDARIO'!$G$15:$G$214,0)),IFERROR(INDEX('CALENDARIO'!$C$15:$C$214,MATCH(TEXT($J966,"yyyy-mm-dd")&amp;"|"&amp;$V966&amp;"|",'CALENDARIO'!$G$15:$G$214,0)),IFERROR(INDEX('CALENDARIO'!$C$15:$C$214,MATCH(TEXT($J966,"yyyy-mm-dd")&amp;"||",'CALENDARIO'!$G$15:$G$214,0)),INDEX(patronHabil,WEEKDAY($J966,2))))))</f>
        <v/>
      </c>
      <c r="T966" s="3">
        <f>IF($I966="","",IFERROR(INDEX('CAT_TIPOS_OT'!$C$4:$C$7,MATCH($I966,'CAT_TIPOS_OT'!$A$4:$A$7,0)),"sin_clasificar"))</f>
        <v/>
      </c>
      <c r="U966" s="3">
        <f>IF($F966="","",IFERROR(INDEX('CAT_CENTROS_COSTO'!$F$4:$F$13,MATCH($F966,'CAT_CENTROS_COSTO'!$A$4:$A$13,0)),"(sin catálogo)"))</f>
        <v/>
      </c>
      <c r="V966" s="3">
        <f>IF($F966="","",IFERROR(INDEX('CAT_CENTROS_COSTO'!$D$4:$D$13,MATCH($F966,'CAT_CENTROS_COSTO'!$A$4:$A$13,0)),"(sin catálogo)"))</f>
        <v/>
      </c>
      <c r="W966" s="3">
        <f>IF($F966="","",IF((IFERROR(INDEX('CAT_CENTROS_COSTO'!$E$4:$E$13,MATCH($F966,'CAT_CENTROS_COSTO'!$A$4:$A$13,0)),""))&lt;&gt;"",IFERROR(INDEX('CAT_CENTROS_COSTO'!$E$4:$E$13,MATCH($F966,'CAT_CENTROS_COSTO'!$A$4:$A$13,0)),""),$V966))</f>
        <v/>
      </c>
      <c r="X966" s="3">
        <f>IF($F966="","",IFERROR(INDEX('CAT_CENTROS_COSTO'!$G$4:$G$13,MATCH($F966,'CAT_CENTROS_COSTO'!$A$4:$A$13,0)),"(sin catálogo)"))</f>
        <v/>
      </c>
      <c r="Y966" s="3">
        <f>IF($G966="","",IFERROR(INDEX('CAT_PUESTOS'!$B$4:$B$8,MATCH($G966,'CAT_PUESTOS'!$A$4:$A$8,0)),"(sin catálogo)"))</f>
        <v/>
      </c>
      <c r="Z966" s="3">
        <f>IF($H966="","",IFERROR(INDEX('CAT_ACTIVIDADES'!$B$4:$B$8,MATCH($H966,'CAT_ACTIVIDADES'!$A$4:$A$8,0)),"(sin catálogo)"))</f>
        <v/>
      </c>
      <c r="AA966" s="12">
        <f>IF($J966="","",TODAY()-$J966)</f>
        <v/>
      </c>
      <c r="AB966" s="12">
        <f>IF($J966="","",IF($J966&lt;=TODAY(),COUNTIFS(cal_fechas,"&gt;="&amp;$J966,cal_fechas,"&lt;"&amp;TODAY(),cal_habil,"sí"),-COUNTIFS(cal_fechas,"&gt;="&amp;TODAY(),cal_fechas,"&lt;"&amp;$J966,cal_habil,"sí")))</f>
        <v/>
      </c>
      <c r="AC966" s="3">
        <f>IF($AB966="","",IF($AB966&lt;0,"FUTURO",IF($AB966&gt;p_dias_backlog_max,"BACKLOG","MES CORRIENTE")))</f>
        <v/>
      </c>
      <c r="AD966" s="3">
        <f>IF($AB966="",FALSE,AND($AB966&gt;p_dias_backlog_min,$AB966&lt;=p_dias_backlog_max))</f>
        <v/>
      </c>
      <c r="AE966" s="6" t="n"/>
      <c r="AF966" s="3">
        <f>IF($AE966="","",IF((IFERROR(INDEX('ASIGNACIONES'!$F$4:$F$339,MATCH($O966&amp;"|"&amp;$R966&amp;"|"&amp;$AE966,'ASIGNACIONES'!$J$4:$J$339,0)),""))=0,"",IFERROR(INDEX('ASIGNACIONES'!$F$4:$F$339,MATCH($O966&amp;"|"&amp;$R966&amp;"|"&amp;$AE966,'ASIGNACIONES'!$J$4:$J$339,0)),"")))</f>
        <v/>
      </c>
      <c r="AG966" s="13">
        <f>IF($AE966="","",SUMIFS('ORDENES'!$M$4:$M$1203,'ORDENES'!$AE$4:$AE$1203,$AE966,'ORDENES'!$O$4:$O$1203,$O966,'ORDENES'!$R$4:$R$1203,$R966))</f>
        <v/>
      </c>
      <c r="AH966" s="13">
        <f>IF($AG966="","",p_factor_productividad*IFERROR(INDEX('ASIGNACIONES'!$I$4:$I$339,MATCH($O966&amp;"|"&amp;$R966&amp;"|"&amp;$AE966,'ASIGNACIONES'!$J$4:$J$339,0)),0)-$AG966)</f>
        <v/>
      </c>
      <c r="AI966" s="10">
        <f>IF($A966="","",IFERROR(INDEX('2_IMPORTAR_EJECUCION'!$F$9:$F$1208,MATCH($AQ966,'2_IMPORTAR_EJECUCION'!$J$9:$J$1208,0)),0))</f>
        <v/>
      </c>
      <c r="AJ966" s="10">
        <f>IF($A966="","",MAX(0,IFERROR(INDEX('2_IMPORTAR_EJECUCION'!$H$9:$H$1208,MATCH($AQ966,'2_IMPORTAR_EJECUCION'!$J$9:$J$1208,0)),0)-$AI966))</f>
        <v/>
      </c>
      <c r="AK966" s="10">
        <f>IF($A966="","",$AI966+$AJ966)</f>
        <v/>
      </c>
      <c r="AL966" s="6" t="n"/>
      <c r="AM966" s="6" t="n"/>
      <c r="AN966" s="6" t="n"/>
      <c r="AO966" s="3">
        <f>IF($AN966="","",HYPERLINK(p_ruta_base_checklists&amp;$AN966,"abrir"))</f>
        <v/>
      </c>
      <c r="AP966" s="6" t="n"/>
      <c r="AQ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IF($A967="","",IFERROR(INDEX('AJUSTES'!$B$4:$B$303,MATCH($AQ967,'AJUSTES'!$A$4:$A$303,0)),IF($K967="","",$K967)))</f>
        <v/>
      </c>
      <c r="N967" s="3">
        <f>IF($A967="","",IFERROR(INDEX('CAT_ESTADOS_ERP'!$B$4:$B$7,MATCH(IFERROR(INDEX('2_IMPORTAR_EJECUCION'!$C$9:$C$1208,MATCH($AQ967,'2_IMPORTAR_EJECUCION'!$J$9:$J$1208,0)),""),'CAT_ESTADOS_ERP'!$A$4:$A$7,0)),"Pendiente"))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J967="","",IFERROR(INDEX('CALENDARIO'!$C$15:$C$214,MATCH(TEXT($J967,"yyyy-mm-dd")&amp;"|"&amp;$V967&amp;"|"&amp;$W967,'CALENDARIO'!$G$15:$G$214,0)),IFERROR(INDEX('CALENDARIO'!$C$15:$C$214,MATCH(TEXT($J967,"yyyy-mm-dd")&amp;"|"&amp;$V967&amp;"|",'CALENDARIO'!$G$15:$G$214,0)),IFERROR(INDEX('CALENDARIO'!$C$15:$C$214,MATCH(TEXT($J967,"yyyy-mm-dd")&amp;"||",'CALENDARIO'!$G$15:$G$214,0)),INDEX(patronHabil,WEEKDAY($J967,2))))))</f>
        <v/>
      </c>
      <c r="T967" s="3">
        <f>IF($I967="","",IFERROR(INDEX('CAT_TIPOS_OT'!$C$4:$C$7,MATCH($I967,'CAT_TIPOS_OT'!$A$4:$A$7,0)),"sin_clasificar"))</f>
        <v/>
      </c>
      <c r="U967" s="3">
        <f>IF($F967="","",IFERROR(INDEX('CAT_CENTROS_COSTO'!$F$4:$F$13,MATCH($F967,'CAT_CENTROS_COSTO'!$A$4:$A$13,0)),"(sin catálogo)"))</f>
        <v/>
      </c>
      <c r="V967" s="3">
        <f>IF($F967="","",IFERROR(INDEX('CAT_CENTROS_COSTO'!$D$4:$D$13,MATCH($F967,'CAT_CENTROS_COSTO'!$A$4:$A$13,0)),"(sin catálogo)"))</f>
        <v/>
      </c>
      <c r="W967" s="3">
        <f>IF($F967="","",IF((IFERROR(INDEX('CAT_CENTROS_COSTO'!$E$4:$E$13,MATCH($F967,'CAT_CENTROS_COSTO'!$A$4:$A$13,0)),""))&lt;&gt;"",IFERROR(INDEX('CAT_CENTROS_COSTO'!$E$4:$E$13,MATCH($F967,'CAT_CENTROS_COSTO'!$A$4:$A$13,0)),""),$V967))</f>
        <v/>
      </c>
      <c r="X967" s="3">
        <f>IF($F967="","",IFERROR(INDEX('CAT_CENTROS_COSTO'!$G$4:$G$13,MATCH($F967,'CAT_CENTROS_COSTO'!$A$4:$A$13,0)),"(sin catálogo)"))</f>
        <v/>
      </c>
      <c r="Y967" s="3">
        <f>IF($G967="","",IFERROR(INDEX('CAT_PUESTOS'!$B$4:$B$8,MATCH($G967,'CAT_PUESTOS'!$A$4:$A$8,0)),"(sin catálogo)"))</f>
        <v/>
      </c>
      <c r="Z967" s="3">
        <f>IF($H967="","",IFERROR(INDEX('CAT_ACTIVIDADES'!$B$4:$B$8,MATCH($H967,'CAT_ACTIVIDADES'!$A$4:$A$8,0)),"(sin catálogo)"))</f>
        <v/>
      </c>
      <c r="AA967" s="12">
        <f>IF($J967="","",TODAY()-$J967)</f>
        <v/>
      </c>
      <c r="AB967" s="12">
        <f>IF($J967="","",IF($J967&lt;=TODAY(),COUNTIFS(cal_fechas,"&gt;="&amp;$J967,cal_fechas,"&lt;"&amp;TODAY(),cal_habil,"sí"),-COUNTIFS(cal_fechas,"&gt;="&amp;TODAY(),cal_fechas,"&lt;"&amp;$J967,cal_habil,"sí")))</f>
        <v/>
      </c>
      <c r="AC967" s="3">
        <f>IF($AB967="","",IF($AB967&lt;0,"FUTURO",IF($AB967&gt;p_dias_backlog_max,"BACKLOG","MES CORRIENTE")))</f>
        <v/>
      </c>
      <c r="AD967" s="3">
        <f>IF($AB967="",FALSE,AND($AB967&gt;p_dias_backlog_min,$AB967&lt;=p_dias_backlog_max))</f>
        <v/>
      </c>
      <c r="AE967" s="6" t="n"/>
      <c r="AF967" s="3">
        <f>IF($AE967="","",IF((IFERROR(INDEX('ASIGNACIONES'!$F$4:$F$339,MATCH($O967&amp;"|"&amp;$R967&amp;"|"&amp;$AE967,'ASIGNACIONES'!$J$4:$J$339,0)),""))=0,"",IFERROR(INDEX('ASIGNACIONES'!$F$4:$F$339,MATCH($O967&amp;"|"&amp;$R967&amp;"|"&amp;$AE967,'ASIGNACIONES'!$J$4:$J$339,0)),"")))</f>
        <v/>
      </c>
      <c r="AG967" s="13">
        <f>IF($AE967="","",SUMIFS('ORDENES'!$M$4:$M$1203,'ORDENES'!$AE$4:$AE$1203,$AE967,'ORDENES'!$O$4:$O$1203,$O967,'ORDENES'!$R$4:$R$1203,$R967))</f>
        <v/>
      </c>
      <c r="AH967" s="13">
        <f>IF($AG967="","",p_factor_productividad*IFERROR(INDEX('ASIGNACIONES'!$I$4:$I$339,MATCH($O967&amp;"|"&amp;$R967&amp;"|"&amp;$AE967,'ASIGNACIONES'!$J$4:$J$339,0)),0)-$AG967)</f>
        <v/>
      </c>
      <c r="AI967" s="10">
        <f>IF($A967="","",IFERROR(INDEX('2_IMPORTAR_EJECUCION'!$F$9:$F$1208,MATCH($AQ967,'2_IMPORTAR_EJECUCION'!$J$9:$J$1208,0)),0))</f>
        <v/>
      </c>
      <c r="AJ967" s="10">
        <f>IF($A967="","",MAX(0,IFERROR(INDEX('2_IMPORTAR_EJECUCION'!$H$9:$H$1208,MATCH($AQ967,'2_IMPORTAR_EJECUCION'!$J$9:$J$1208,0)),0)-$AI967))</f>
        <v/>
      </c>
      <c r="AK967" s="10">
        <f>IF($A967="","",$AI967+$AJ967)</f>
        <v/>
      </c>
      <c r="AL967" s="6" t="n"/>
      <c r="AM967" s="6" t="n"/>
      <c r="AN967" s="6" t="n"/>
      <c r="AO967" s="3">
        <f>IF($AN967="","",HYPERLINK(p_ruta_base_checklists&amp;$AN967,"abrir"))</f>
        <v/>
      </c>
      <c r="AP967" s="6" t="n"/>
      <c r="AQ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IF($A968="","",IFERROR(INDEX('AJUSTES'!$B$4:$B$303,MATCH($AQ968,'AJUSTES'!$A$4:$A$303,0)),IF($K968="","",$K968)))</f>
        <v/>
      </c>
      <c r="N968" s="3">
        <f>IF($A968="","",IFERROR(INDEX('CAT_ESTADOS_ERP'!$B$4:$B$7,MATCH(IFERROR(INDEX('2_IMPORTAR_EJECUCION'!$C$9:$C$1208,MATCH($AQ968,'2_IMPORTAR_EJECUCION'!$J$9:$J$1208,0)),""),'CAT_ESTADOS_ERP'!$A$4:$A$7,0)),"Pendiente"))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J968="","",IFERROR(INDEX('CALENDARIO'!$C$15:$C$214,MATCH(TEXT($J968,"yyyy-mm-dd")&amp;"|"&amp;$V968&amp;"|"&amp;$W968,'CALENDARIO'!$G$15:$G$214,0)),IFERROR(INDEX('CALENDARIO'!$C$15:$C$214,MATCH(TEXT($J968,"yyyy-mm-dd")&amp;"|"&amp;$V968&amp;"|",'CALENDARIO'!$G$15:$G$214,0)),IFERROR(INDEX('CALENDARIO'!$C$15:$C$214,MATCH(TEXT($J968,"yyyy-mm-dd")&amp;"||",'CALENDARIO'!$G$15:$G$214,0)),INDEX(patronHabil,WEEKDAY($J968,2))))))</f>
        <v/>
      </c>
      <c r="T968" s="3">
        <f>IF($I968="","",IFERROR(INDEX('CAT_TIPOS_OT'!$C$4:$C$7,MATCH($I968,'CAT_TIPOS_OT'!$A$4:$A$7,0)),"sin_clasificar"))</f>
        <v/>
      </c>
      <c r="U968" s="3">
        <f>IF($F968="","",IFERROR(INDEX('CAT_CENTROS_COSTO'!$F$4:$F$13,MATCH($F968,'CAT_CENTROS_COSTO'!$A$4:$A$13,0)),"(sin catálogo)"))</f>
        <v/>
      </c>
      <c r="V968" s="3">
        <f>IF($F968="","",IFERROR(INDEX('CAT_CENTROS_COSTO'!$D$4:$D$13,MATCH($F968,'CAT_CENTROS_COSTO'!$A$4:$A$13,0)),"(sin catálogo)"))</f>
        <v/>
      </c>
      <c r="W968" s="3">
        <f>IF($F968="","",IF((IFERROR(INDEX('CAT_CENTROS_COSTO'!$E$4:$E$13,MATCH($F968,'CAT_CENTROS_COSTO'!$A$4:$A$13,0)),""))&lt;&gt;"",IFERROR(INDEX('CAT_CENTROS_COSTO'!$E$4:$E$13,MATCH($F968,'CAT_CENTROS_COSTO'!$A$4:$A$13,0)),""),$V968))</f>
        <v/>
      </c>
      <c r="X968" s="3">
        <f>IF($F968="","",IFERROR(INDEX('CAT_CENTROS_COSTO'!$G$4:$G$13,MATCH($F968,'CAT_CENTROS_COSTO'!$A$4:$A$13,0)),"(sin catálogo)"))</f>
        <v/>
      </c>
      <c r="Y968" s="3">
        <f>IF($G968="","",IFERROR(INDEX('CAT_PUESTOS'!$B$4:$B$8,MATCH($G968,'CAT_PUESTOS'!$A$4:$A$8,0)),"(sin catálogo)"))</f>
        <v/>
      </c>
      <c r="Z968" s="3">
        <f>IF($H968="","",IFERROR(INDEX('CAT_ACTIVIDADES'!$B$4:$B$8,MATCH($H968,'CAT_ACTIVIDADES'!$A$4:$A$8,0)),"(sin catálogo)"))</f>
        <v/>
      </c>
      <c r="AA968" s="12">
        <f>IF($J968="","",TODAY()-$J968)</f>
        <v/>
      </c>
      <c r="AB968" s="12">
        <f>IF($J968="","",IF($J968&lt;=TODAY(),COUNTIFS(cal_fechas,"&gt;="&amp;$J968,cal_fechas,"&lt;"&amp;TODAY(),cal_habil,"sí"),-COUNTIFS(cal_fechas,"&gt;="&amp;TODAY(),cal_fechas,"&lt;"&amp;$J968,cal_habil,"sí")))</f>
        <v/>
      </c>
      <c r="AC968" s="3">
        <f>IF($AB968="","",IF($AB968&lt;0,"FUTURO",IF($AB968&gt;p_dias_backlog_max,"BACKLOG","MES CORRIENTE")))</f>
        <v/>
      </c>
      <c r="AD968" s="3">
        <f>IF($AB968="",FALSE,AND($AB968&gt;p_dias_backlog_min,$AB968&lt;=p_dias_backlog_max))</f>
        <v/>
      </c>
      <c r="AE968" s="6" t="n"/>
      <c r="AF968" s="3">
        <f>IF($AE968="","",IF((IFERROR(INDEX('ASIGNACIONES'!$F$4:$F$339,MATCH($O968&amp;"|"&amp;$R968&amp;"|"&amp;$AE968,'ASIGNACIONES'!$J$4:$J$339,0)),""))=0,"",IFERROR(INDEX('ASIGNACIONES'!$F$4:$F$339,MATCH($O968&amp;"|"&amp;$R968&amp;"|"&amp;$AE968,'ASIGNACIONES'!$J$4:$J$339,0)),"")))</f>
        <v/>
      </c>
      <c r="AG968" s="13">
        <f>IF($AE968="","",SUMIFS('ORDENES'!$M$4:$M$1203,'ORDENES'!$AE$4:$AE$1203,$AE968,'ORDENES'!$O$4:$O$1203,$O968,'ORDENES'!$R$4:$R$1203,$R968))</f>
        <v/>
      </c>
      <c r="AH968" s="13">
        <f>IF($AG968="","",p_factor_productividad*IFERROR(INDEX('ASIGNACIONES'!$I$4:$I$339,MATCH($O968&amp;"|"&amp;$R968&amp;"|"&amp;$AE968,'ASIGNACIONES'!$J$4:$J$339,0)),0)-$AG968)</f>
        <v/>
      </c>
      <c r="AI968" s="10">
        <f>IF($A968="","",IFERROR(INDEX('2_IMPORTAR_EJECUCION'!$F$9:$F$1208,MATCH($AQ968,'2_IMPORTAR_EJECUCION'!$J$9:$J$1208,0)),0))</f>
        <v/>
      </c>
      <c r="AJ968" s="10">
        <f>IF($A968="","",MAX(0,IFERROR(INDEX('2_IMPORTAR_EJECUCION'!$H$9:$H$1208,MATCH($AQ968,'2_IMPORTAR_EJECUCION'!$J$9:$J$1208,0)),0)-$AI968))</f>
        <v/>
      </c>
      <c r="AK968" s="10">
        <f>IF($A968="","",$AI968+$AJ968)</f>
        <v/>
      </c>
      <c r="AL968" s="6" t="n"/>
      <c r="AM968" s="6" t="n"/>
      <c r="AN968" s="6" t="n"/>
      <c r="AO968" s="3">
        <f>IF($AN968="","",HYPERLINK(p_ruta_base_checklists&amp;$AN968,"abrir"))</f>
        <v/>
      </c>
      <c r="AP968" s="6" t="n"/>
      <c r="AQ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IF($A969="","",IFERROR(INDEX('AJUSTES'!$B$4:$B$303,MATCH($AQ969,'AJUSTES'!$A$4:$A$303,0)),IF($K969="","",$K969)))</f>
        <v/>
      </c>
      <c r="N969" s="3">
        <f>IF($A969="","",IFERROR(INDEX('CAT_ESTADOS_ERP'!$B$4:$B$7,MATCH(IFERROR(INDEX('2_IMPORTAR_EJECUCION'!$C$9:$C$1208,MATCH($AQ969,'2_IMPORTAR_EJECUCION'!$J$9:$J$1208,0)),""),'CAT_ESTADOS_ERP'!$A$4:$A$7,0)),"Pendiente"))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J969="","",IFERROR(INDEX('CALENDARIO'!$C$15:$C$214,MATCH(TEXT($J969,"yyyy-mm-dd")&amp;"|"&amp;$V969&amp;"|"&amp;$W969,'CALENDARIO'!$G$15:$G$214,0)),IFERROR(INDEX('CALENDARIO'!$C$15:$C$214,MATCH(TEXT($J969,"yyyy-mm-dd")&amp;"|"&amp;$V969&amp;"|",'CALENDARIO'!$G$15:$G$214,0)),IFERROR(INDEX('CALENDARIO'!$C$15:$C$214,MATCH(TEXT($J969,"yyyy-mm-dd")&amp;"||",'CALENDARIO'!$G$15:$G$214,0)),INDEX(patronHabil,WEEKDAY($J969,2))))))</f>
        <v/>
      </c>
      <c r="T969" s="3">
        <f>IF($I969="","",IFERROR(INDEX('CAT_TIPOS_OT'!$C$4:$C$7,MATCH($I969,'CAT_TIPOS_OT'!$A$4:$A$7,0)),"sin_clasificar"))</f>
        <v/>
      </c>
      <c r="U969" s="3">
        <f>IF($F969="","",IFERROR(INDEX('CAT_CENTROS_COSTO'!$F$4:$F$13,MATCH($F969,'CAT_CENTROS_COSTO'!$A$4:$A$13,0)),"(sin catálogo)"))</f>
        <v/>
      </c>
      <c r="V969" s="3">
        <f>IF($F969="","",IFERROR(INDEX('CAT_CENTROS_COSTO'!$D$4:$D$13,MATCH($F969,'CAT_CENTROS_COSTO'!$A$4:$A$13,0)),"(sin catálogo)"))</f>
        <v/>
      </c>
      <c r="W969" s="3">
        <f>IF($F969="","",IF((IFERROR(INDEX('CAT_CENTROS_COSTO'!$E$4:$E$13,MATCH($F969,'CAT_CENTROS_COSTO'!$A$4:$A$13,0)),""))&lt;&gt;"",IFERROR(INDEX('CAT_CENTROS_COSTO'!$E$4:$E$13,MATCH($F969,'CAT_CENTROS_COSTO'!$A$4:$A$13,0)),""),$V969))</f>
        <v/>
      </c>
      <c r="X969" s="3">
        <f>IF($F969="","",IFERROR(INDEX('CAT_CENTROS_COSTO'!$G$4:$G$13,MATCH($F969,'CAT_CENTROS_COSTO'!$A$4:$A$13,0)),"(sin catálogo)"))</f>
        <v/>
      </c>
      <c r="Y969" s="3">
        <f>IF($G969="","",IFERROR(INDEX('CAT_PUESTOS'!$B$4:$B$8,MATCH($G969,'CAT_PUESTOS'!$A$4:$A$8,0)),"(sin catálogo)"))</f>
        <v/>
      </c>
      <c r="Z969" s="3">
        <f>IF($H969="","",IFERROR(INDEX('CAT_ACTIVIDADES'!$B$4:$B$8,MATCH($H969,'CAT_ACTIVIDADES'!$A$4:$A$8,0)),"(sin catálogo)"))</f>
        <v/>
      </c>
      <c r="AA969" s="12">
        <f>IF($J969="","",TODAY()-$J969)</f>
        <v/>
      </c>
      <c r="AB969" s="12">
        <f>IF($J969="","",IF($J969&lt;=TODAY(),COUNTIFS(cal_fechas,"&gt;="&amp;$J969,cal_fechas,"&lt;"&amp;TODAY(),cal_habil,"sí"),-COUNTIFS(cal_fechas,"&gt;="&amp;TODAY(),cal_fechas,"&lt;"&amp;$J969,cal_habil,"sí")))</f>
        <v/>
      </c>
      <c r="AC969" s="3">
        <f>IF($AB969="","",IF($AB969&lt;0,"FUTURO",IF($AB969&gt;p_dias_backlog_max,"BACKLOG","MES CORRIENTE")))</f>
        <v/>
      </c>
      <c r="AD969" s="3">
        <f>IF($AB969="",FALSE,AND($AB969&gt;p_dias_backlog_min,$AB969&lt;=p_dias_backlog_max))</f>
        <v/>
      </c>
      <c r="AE969" s="6" t="n"/>
      <c r="AF969" s="3">
        <f>IF($AE969="","",IF((IFERROR(INDEX('ASIGNACIONES'!$F$4:$F$339,MATCH($O969&amp;"|"&amp;$R969&amp;"|"&amp;$AE969,'ASIGNACIONES'!$J$4:$J$339,0)),""))=0,"",IFERROR(INDEX('ASIGNACIONES'!$F$4:$F$339,MATCH($O969&amp;"|"&amp;$R969&amp;"|"&amp;$AE969,'ASIGNACIONES'!$J$4:$J$339,0)),"")))</f>
        <v/>
      </c>
      <c r="AG969" s="13">
        <f>IF($AE969="","",SUMIFS('ORDENES'!$M$4:$M$1203,'ORDENES'!$AE$4:$AE$1203,$AE969,'ORDENES'!$O$4:$O$1203,$O969,'ORDENES'!$R$4:$R$1203,$R969))</f>
        <v/>
      </c>
      <c r="AH969" s="13">
        <f>IF($AG969="","",p_factor_productividad*IFERROR(INDEX('ASIGNACIONES'!$I$4:$I$339,MATCH($O969&amp;"|"&amp;$R969&amp;"|"&amp;$AE969,'ASIGNACIONES'!$J$4:$J$339,0)),0)-$AG969)</f>
        <v/>
      </c>
      <c r="AI969" s="10">
        <f>IF($A969="","",IFERROR(INDEX('2_IMPORTAR_EJECUCION'!$F$9:$F$1208,MATCH($AQ969,'2_IMPORTAR_EJECUCION'!$J$9:$J$1208,0)),0))</f>
        <v/>
      </c>
      <c r="AJ969" s="10">
        <f>IF($A969="","",MAX(0,IFERROR(INDEX('2_IMPORTAR_EJECUCION'!$H$9:$H$1208,MATCH($AQ969,'2_IMPORTAR_EJECUCION'!$J$9:$J$1208,0)),0)-$AI969))</f>
        <v/>
      </c>
      <c r="AK969" s="10">
        <f>IF($A969="","",$AI969+$AJ969)</f>
        <v/>
      </c>
      <c r="AL969" s="6" t="n"/>
      <c r="AM969" s="6" t="n"/>
      <c r="AN969" s="6" t="n"/>
      <c r="AO969" s="3">
        <f>IF($AN969="","",HYPERLINK(p_ruta_base_checklists&amp;$AN969,"abrir"))</f>
        <v/>
      </c>
      <c r="AP969" s="6" t="n"/>
      <c r="AQ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IF($A970="","",IFERROR(INDEX('AJUSTES'!$B$4:$B$303,MATCH($AQ970,'AJUSTES'!$A$4:$A$303,0)),IF($K970="","",$K970)))</f>
        <v/>
      </c>
      <c r="N970" s="3">
        <f>IF($A970="","",IFERROR(INDEX('CAT_ESTADOS_ERP'!$B$4:$B$7,MATCH(IFERROR(INDEX('2_IMPORTAR_EJECUCION'!$C$9:$C$1208,MATCH($AQ970,'2_IMPORTAR_EJECUCION'!$J$9:$J$1208,0)),""),'CAT_ESTADOS_ERP'!$A$4:$A$7,0)),"Pendiente"))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J970="","",IFERROR(INDEX('CALENDARIO'!$C$15:$C$214,MATCH(TEXT($J970,"yyyy-mm-dd")&amp;"|"&amp;$V970&amp;"|"&amp;$W970,'CALENDARIO'!$G$15:$G$214,0)),IFERROR(INDEX('CALENDARIO'!$C$15:$C$214,MATCH(TEXT($J970,"yyyy-mm-dd")&amp;"|"&amp;$V970&amp;"|",'CALENDARIO'!$G$15:$G$214,0)),IFERROR(INDEX('CALENDARIO'!$C$15:$C$214,MATCH(TEXT($J970,"yyyy-mm-dd")&amp;"||",'CALENDARIO'!$G$15:$G$214,0)),INDEX(patronHabil,WEEKDAY($J970,2))))))</f>
        <v/>
      </c>
      <c r="T970" s="3">
        <f>IF($I970="","",IFERROR(INDEX('CAT_TIPOS_OT'!$C$4:$C$7,MATCH($I970,'CAT_TIPOS_OT'!$A$4:$A$7,0)),"sin_clasificar"))</f>
        <v/>
      </c>
      <c r="U970" s="3">
        <f>IF($F970="","",IFERROR(INDEX('CAT_CENTROS_COSTO'!$F$4:$F$13,MATCH($F970,'CAT_CENTROS_COSTO'!$A$4:$A$13,0)),"(sin catálogo)"))</f>
        <v/>
      </c>
      <c r="V970" s="3">
        <f>IF($F970="","",IFERROR(INDEX('CAT_CENTROS_COSTO'!$D$4:$D$13,MATCH($F970,'CAT_CENTROS_COSTO'!$A$4:$A$13,0)),"(sin catálogo)"))</f>
        <v/>
      </c>
      <c r="W970" s="3">
        <f>IF($F970="","",IF((IFERROR(INDEX('CAT_CENTROS_COSTO'!$E$4:$E$13,MATCH($F970,'CAT_CENTROS_COSTO'!$A$4:$A$13,0)),""))&lt;&gt;"",IFERROR(INDEX('CAT_CENTROS_COSTO'!$E$4:$E$13,MATCH($F970,'CAT_CENTROS_COSTO'!$A$4:$A$13,0)),""),$V970))</f>
        <v/>
      </c>
      <c r="X970" s="3">
        <f>IF($F970="","",IFERROR(INDEX('CAT_CENTROS_COSTO'!$G$4:$G$13,MATCH($F970,'CAT_CENTROS_COSTO'!$A$4:$A$13,0)),"(sin catálogo)"))</f>
        <v/>
      </c>
      <c r="Y970" s="3">
        <f>IF($G970="","",IFERROR(INDEX('CAT_PUESTOS'!$B$4:$B$8,MATCH($G970,'CAT_PUESTOS'!$A$4:$A$8,0)),"(sin catálogo)"))</f>
        <v/>
      </c>
      <c r="Z970" s="3">
        <f>IF($H970="","",IFERROR(INDEX('CAT_ACTIVIDADES'!$B$4:$B$8,MATCH($H970,'CAT_ACTIVIDADES'!$A$4:$A$8,0)),"(sin catálogo)"))</f>
        <v/>
      </c>
      <c r="AA970" s="12">
        <f>IF($J970="","",TODAY()-$J970)</f>
        <v/>
      </c>
      <c r="AB970" s="12">
        <f>IF($J970="","",IF($J970&lt;=TODAY(),COUNTIFS(cal_fechas,"&gt;="&amp;$J970,cal_fechas,"&lt;"&amp;TODAY(),cal_habil,"sí"),-COUNTIFS(cal_fechas,"&gt;="&amp;TODAY(),cal_fechas,"&lt;"&amp;$J970,cal_habil,"sí")))</f>
        <v/>
      </c>
      <c r="AC970" s="3">
        <f>IF($AB970="","",IF($AB970&lt;0,"FUTURO",IF($AB970&gt;p_dias_backlog_max,"BACKLOG","MES CORRIENTE")))</f>
        <v/>
      </c>
      <c r="AD970" s="3">
        <f>IF($AB970="",FALSE,AND($AB970&gt;p_dias_backlog_min,$AB970&lt;=p_dias_backlog_max))</f>
        <v/>
      </c>
      <c r="AE970" s="6" t="n"/>
      <c r="AF970" s="3">
        <f>IF($AE970="","",IF((IFERROR(INDEX('ASIGNACIONES'!$F$4:$F$339,MATCH($O970&amp;"|"&amp;$R970&amp;"|"&amp;$AE970,'ASIGNACIONES'!$J$4:$J$339,0)),""))=0,"",IFERROR(INDEX('ASIGNACIONES'!$F$4:$F$339,MATCH($O970&amp;"|"&amp;$R970&amp;"|"&amp;$AE970,'ASIGNACIONES'!$J$4:$J$339,0)),"")))</f>
        <v/>
      </c>
      <c r="AG970" s="13">
        <f>IF($AE970="","",SUMIFS('ORDENES'!$M$4:$M$1203,'ORDENES'!$AE$4:$AE$1203,$AE970,'ORDENES'!$O$4:$O$1203,$O970,'ORDENES'!$R$4:$R$1203,$R970))</f>
        <v/>
      </c>
      <c r="AH970" s="13">
        <f>IF($AG970="","",p_factor_productividad*IFERROR(INDEX('ASIGNACIONES'!$I$4:$I$339,MATCH($O970&amp;"|"&amp;$R970&amp;"|"&amp;$AE970,'ASIGNACIONES'!$J$4:$J$339,0)),0)-$AG970)</f>
        <v/>
      </c>
      <c r="AI970" s="10">
        <f>IF($A970="","",IFERROR(INDEX('2_IMPORTAR_EJECUCION'!$F$9:$F$1208,MATCH($AQ970,'2_IMPORTAR_EJECUCION'!$J$9:$J$1208,0)),0))</f>
        <v/>
      </c>
      <c r="AJ970" s="10">
        <f>IF($A970="","",MAX(0,IFERROR(INDEX('2_IMPORTAR_EJECUCION'!$H$9:$H$1208,MATCH($AQ970,'2_IMPORTAR_EJECUCION'!$J$9:$J$1208,0)),0)-$AI970))</f>
        <v/>
      </c>
      <c r="AK970" s="10">
        <f>IF($A970="","",$AI970+$AJ970)</f>
        <v/>
      </c>
      <c r="AL970" s="6" t="n"/>
      <c r="AM970" s="6" t="n"/>
      <c r="AN970" s="6" t="n"/>
      <c r="AO970" s="3">
        <f>IF($AN970="","",HYPERLINK(p_ruta_base_checklists&amp;$AN970,"abrir"))</f>
        <v/>
      </c>
      <c r="AP970" s="6" t="n"/>
      <c r="AQ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IF($A971="","",IFERROR(INDEX('AJUSTES'!$B$4:$B$303,MATCH($AQ971,'AJUSTES'!$A$4:$A$303,0)),IF($K971="","",$K971)))</f>
        <v/>
      </c>
      <c r="N971" s="3">
        <f>IF($A971="","",IFERROR(INDEX('CAT_ESTADOS_ERP'!$B$4:$B$7,MATCH(IFERROR(INDEX('2_IMPORTAR_EJECUCION'!$C$9:$C$1208,MATCH($AQ971,'2_IMPORTAR_EJECUCION'!$J$9:$J$1208,0)),""),'CAT_ESTADOS_ERP'!$A$4:$A$7,0)),"Pendiente"))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J971="","",IFERROR(INDEX('CALENDARIO'!$C$15:$C$214,MATCH(TEXT($J971,"yyyy-mm-dd")&amp;"|"&amp;$V971&amp;"|"&amp;$W971,'CALENDARIO'!$G$15:$G$214,0)),IFERROR(INDEX('CALENDARIO'!$C$15:$C$214,MATCH(TEXT($J971,"yyyy-mm-dd")&amp;"|"&amp;$V971&amp;"|",'CALENDARIO'!$G$15:$G$214,0)),IFERROR(INDEX('CALENDARIO'!$C$15:$C$214,MATCH(TEXT($J971,"yyyy-mm-dd")&amp;"||",'CALENDARIO'!$G$15:$G$214,0)),INDEX(patronHabil,WEEKDAY($J971,2))))))</f>
        <v/>
      </c>
      <c r="T971" s="3">
        <f>IF($I971="","",IFERROR(INDEX('CAT_TIPOS_OT'!$C$4:$C$7,MATCH($I971,'CAT_TIPOS_OT'!$A$4:$A$7,0)),"sin_clasificar"))</f>
        <v/>
      </c>
      <c r="U971" s="3">
        <f>IF($F971="","",IFERROR(INDEX('CAT_CENTROS_COSTO'!$F$4:$F$13,MATCH($F971,'CAT_CENTROS_COSTO'!$A$4:$A$13,0)),"(sin catálogo)"))</f>
        <v/>
      </c>
      <c r="V971" s="3">
        <f>IF($F971="","",IFERROR(INDEX('CAT_CENTROS_COSTO'!$D$4:$D$13,MATCH($F971,'CAT_CENTROS_COSTO'!$A$4:$A$13,0)),"(sin catálogo)"))</f>
        <v/>
      </c>
      <c r="W971" s="3">
        <f>IF($F971="","",IF((IFERROR(INDEX('CAT_CENTROS_COSTO'!$E$4:$E$13,MATCH($F971,'CAT_CENTROS_COSTO'!$A$4:$A$13,0)),""))&lt;&gt;"",IFERROR(INDEX('CAT_CENTROS_COSTO'!$E$4:$E$13,MATCH($F971,'CAT_CENTROS_COSTO'!$A$4:$A$13,0)),""),$V971))</f>
        <v/>
      </c>
      <c r="X971" s="3">
        <f>IF($F971="","",IFERROR(INDEX('CAT_CENTROS_COSTO'!$G$4:$G$13,MATCH($F971,'CAT_CENTROS_COSTO'!$A$4:$A$13,0)),"(sin catálogo)"))</f>
        <v/>
      </c>
      <c r="Y971" s="3">
        <f>IF($G971="","",IFERROR(INDEX('CAT_PUESTOS'!$B$4:$B$8,MATCH($G971,'CAT_PUESTOS'!$A$4:$A$8,0)),"(sin catálogo)"))</f>
        <v/>
      </c>
      <c r="Z971" s="3">
        <f>IF($H971="","",IFERROR(INDEX('CAT_ACTIVIDADES'!$B$4:$B$8,MATCH($H971,'CAT_ACTIVIDADES'!$A$4:$A$8,0)),"(sin catálogo)"))</f>
        <v/>
      </c>
      <c r="AA971" s="12">
        <f>IF($J971="","",TODAY()-$J971)</f>
        <v/>
      </c>
      <c r="AB971" s="12">
        <f>IF($J971="","",IF($J971&lt;=TODAY(),COUNTIFS(cal_fechas,"&gt;="&amp;$J971,cal_fechas,"&lt;"&amp;TODAY(),cal_habil,"sí"),-COUNTIFS(cal_fechas,"&gt;="&amp;TODAY(),cal_fechas,"&lt;"&amp;$J971,cal_habil,"sí")))</f>
        <v/>
      </c>
      <c r="AC971" s="3">
        <f>IF($AB971="","",IF($AB971&lt;0,"FUTURO",IF($AB971&gt;p_dias_backlog_max,"BACKLOG","MES CORRIENTE")))</f>
        <v/>
      </c>
      <c r="AD971" s="3">
        <f>IF($AB971="",FALSE,AND($AB971&gt;p_dias_backlog_min,$AB971&lt;=p_dias_backlog_max))</f>
        <v/>
      </c>
      <c r="AE971" s="6" t="n"/>
      <c r="AF971" s="3">
        <f>IF($AE971="","",IF((IFERROR(INDEX('ASIGNACIONES'!$F$4:$F$339,MATCH($O971&amp;"|"&amp;$R971&amp;"|"&amp;$AE971,'ASIGNACIONES'!$J$4:$J$339,0)),""))=0,"",IFERROR(INDEX('ASIGNACIONES'!$F$4:$F$339,MATCH($O971&amp;"|"&amp;$R971&amp;"|"&amp;$AE971,'ASIGNACIONES'!$J$4:$J$339,0)),"")))</f>
        <v/>
      </c>
      <c r="AG971" s="13">
        <f>IF($AE971="","",SUMIFS('ORDENES'!$M$4:$M$1203,'ORDENES'!$AE$4:$AE$1203,$AE971,'ORDENES'!$O$4:$O$1203,$O971,'ORDENES'!$R$4:$R$1203,$R971))</f>
        <v/>
      </c>
      <c r="AH971" s="13">
        <f>IF($AG971="","",p_factor_productividad*IFERROR(INDEX('ASIGNACIONES'!$I$4:$I$339,MATCH($O971&amp;"|"&amp;$R971&amp;"|"&amp;$AE971,'ASIGNACIONES'!$J$4:$J$339,0)),0)-$AG971)</f>
        <v/>
      </c>
      <c r="AI971" s="10">
        <f>IF($A971="","",IFERROR(INDEX('2_IMPORTAR_EJECUCION'!$F$9:$F$1208,MATCH($AQ971,'2_IMPORTAR_EJECUCION'!$J$9:$J$1208,0)),0))</f>
        <v/>
      </c>
      <c r="AJ971" s="10">
        <f>IF($A971="","",MAX(0,IFERROR(INDEX('2_IMPORTAR_EJECUCION'!$H$9:$H$1208,MATCH($AQ971,'2_IMPORTAR_EJECUCION'!$J$9:$J$1208,0)),0)-$AI971))</f>
        <v/>
      </c>
      <c r="AK971" s="10">
        <f>IF($A971="","",$AI971+$AJ971)</f>
        <v/>
      </c>
      <c r="AL971" s="6" t="n"/>
      <c r="AM971" s="6" t="n"/>
      <c r="AN971" s="6" t="n"/>
      <c r="AO971" s="3">
        <f>IF($AN971="","",HYPERLINK(p_ruta_base_checklists&amp;$AN971,"abrir"))</f>
        <v/>
      </c>
      <c r="AP971" s="6" t="n"/>
      <c r="AQ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IF($A972="","",IFERROR(INDEX('AJUSTES'!$B$4:$B$303,MATCH($AQ972,'AJUSTES'!$A$4:$A$303,0)),IF($K972="","",$K972)))</f>
        <v/>
      </c>
      <c r="N972" s="3">
        <f>IF($A972="","",IFERROR(INDEX('CAT_ESTADOS_ERP'!$B$4:$B$7,MATCH(IFERROR(INDEX('2_IMPORTAR_EJECUCION'!$C$9:$C$1208,MATCH($AQ972,'2_IMPORTAR_EJECUCION'!$J$9:$J$1208,0)),""),'CAT_ESTADOS_ERP'!$A$4:$A$7,0)),"Pendiente"))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J972="","",IFERROR(INDEX('CALENDARIO'!$C$15:$C$214,MATCH(TEXT($J972,"yyyy-mm-dd")&amp;"|"&amp;$V972&amp;"|"&amp;$W972,'CALENDARIO'!$G$15:$G$214,0)),IFERROR(INDEX('CALENDARIO'!$C$15:$C$214,MATCH(TEXT($J972,"yyyy-mm-dd")&amp;"|"&amp;$V972&amp;"|",'CALENDARIO'!$G$15:$G$214,0)),IFERROR(INDEX('CALENDARIO'!$C$15:$C$214,MATCH(TEXT($J972,"yyyy-mm-dd")&amp;"||",'CALENDARIO'!$G$15:$G$214,0)),INDEX(patronHabil,WEEKDAY($J972,2))))))</f>
        <v/>
      </c>
      <c r="T972" s="3">
        <f>IF($I972="","",IFERROR(INDEX('CAT_TIPOS_OT'!$C$4:$C$7,MATCH($I972,'CAT_TIPOS_OT'!$A$4:$A$7,0)),"sin_clasificar"))</f>
        <v/>
      </c>
      <c r="U972" s="3">
        <f>IF($F972="","",IFERROR(INDEX('CAT_CENTROS_COSTO'!$F$4:$F$13,MATCH($F972,'CAT_CENTROS_COSTO'!$A$4:$A$13,0)),"(sin catálogo)"))</f>
        <v/>
      </c>
      <c r="V972" s="3">
        <f>IF($F972="","",IFERROR(INDEX('CAT_CENTROS_COSTO'!$D$4:$D$13,MATCH($F972,'CAT_CENTROS_COSTO'!$A$4:$A$13,0)),"(sin catálogo)"))</f>
        <v/>
      </c>
      <c r="W972" s="3">
        <f>IF($F972="","",IF((IFERROR(INDEX('CAT_CENTROS_COSTO'!$E$4:$E$13,MATCH($F972,'CAT_CENTROS_COSTO'!$A$4:$A$13,0)),""))&lt;&gt;"",IFERROR(INDEX('CAT_CENTROS_COSTO'!$E$4:$E$13,MATCH($F972,'CAT_CENTROS_COSTO'!$A$4:$A$13,0)),""),$V972))</f>
        <v/>
      </c>
      <c r="X972" s="3">
        <f>IF($F972="","",IFERROR(INDEX('CAT_CENTROS_COSTO'!$G$4:$G$13,MATCH($F972,'CAT_CENTROS_COSTO'!$A$4:$A$13,0)),"(sin catálogo)"))</f>
        <v/>
      </c>
      <c r="Y972" s="3">
        <f>IF($G972="","",IFERROR(INDEX('CAT_PUESTOS'!$B$4:$B$8,MATCH($G972,'CAT_PUESTOS'!$A$4:$A$8,0)),"(sin catálogo)"))</f>
        <v/>
      </c>
      <c r="Z972" s="3">
        <f>IF($H972="","",IFERROR(INDEX('CAT_ACTIVIDADES'!$B$4:$B$8,MATCH($H972,'CAT_ACTIVIDADES'!$A$4:$A$8,0)),"(sin catálogo)"))</f>
        <v/>
      </c>
      <c r="AA972" s="12">
        <f>IF($J972="","",TODAY()-$J972)</f>
        <v/>
      </c>
      <c r="AB972" s="12">
        <f>IF($J972="","",IF($J972&lt;=TODAY(),COUNTIFS(cal_fechas,"&gt;="&amp;$J972,cal_fechas,"&lt;"&amp;TODAY(),cal_habil,"sí"),-COUNTIFS(cal_fechas,"&gt;="&amp;TODAY(),cal_fechas,"&lt;"&amp;$J972,cal_habil,"sí")))</f>
        <v/>
      </c>
      <c r="AC972" s="3">
        <f>IF($AB972="","",IF($AB972&lt;0,"FUTURO",IF($AB972&gt;p_dias_backlog_max,"BACKLOG","MES CORRIENTE")))</f>
        <v/>
      </c>
      <c r="AD972" s="3">
        <f>IF($AB972="",FALSE,AND($AB972&gt;p_dias_backlog_min,$AB972&lt;=p_dias_backlog_max))</f>
        <v/>
      </c>
      <c r="AE972" s="6" t="n"/>
      <c r="AF972" s="3">
        <f>IF($AE972="","",IF((IFERROR(INDEX('ASIGNACIONES'!$F$4:$F$339,MATCH($O972&amp;"|"&amp;$R972&amp;"|"&amp;$AE972,'ASIGNACIONES'!$J$4:$J$339,0)),""))=0,"",IFERROR(INDEX('ASIGNACIONES'!$F$4:$F$339,MATCH($O972&amp;"|"&amp;$R972&amp;"|"&amp;$AE972,'ASIGNACIONES'!$J$4:$J$339,0)),"")))</f>
        <v/>
      </c>
      <c r="AG972" s="13">
        <f>IF($AE972="","",SUMIFS('ORDENES'!$M$4:$M$1203,'ORDENES'!$AE$4:$AE$1203,$AE972,'ORDENES'!$O$4:$O$1203,$O972,'ORDENES'!$R$4:$R$1203,$R972))</f>
        <v/>
      </c>
      <c r="AH972" s="13">
        <f>IF($AG972="","",p_factor_productividad*IFERROR(INDEX('ASIGNACIONES'!$I$4:$I$339,MATCH($O972&amp;"|"&amp;$R972&amp;"|"&amp;$AE972,'ASIGNACIONES'!$J$4:$J$339,0)),0)-$AG972)</f>
        <v/>
      </c>
      <c r="AI972" s="10">
        <f>IF($A972="","",IFERROR(INDEX('2_IMPORTAR_EJECUCION'!$F$9:$F$1208,MATCH($AQ972,'2_IMPORTAR_EJECUCION'!$J$9:$J$1208,0)),0))</f>
        <v/>
      </c>
      <c r="AJ972" s="10">
        <f>IF($A972="","",MAX(0,IFERROR(INDEX('2_IMPORTAR_EJECUCION'!$H$9:$H$1208,MATCH($AQ972,'2_IMPORTAR_EJECUCION'!$J$9:$J$1208,0)),0)-$AI972))</f>
        <v/>
      </c>
      <c r="AK972" s="10">
        <f>IF($A972="","",$AI972+$AJ972)</f>
        <v/>
      </c>
      <c r="AL972" s="6" t="n"/>
      <c r="AM972" s="6" t="n"/>
      <c r="AN972" s="6" t="n"/>
      <c r="AO972" s="3">
        <f>IF($AN972="","",HYPERLINK(p_ruta_base_checklists&amp;$AN972,"abrir"))</f>
        <v/>
      </c>
      <c r="AP972" s="6" t="n"/>
      <c r="AQ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IF($A973="","",IFERROR(INDEX('AJUSTES'!$B$4:$B$303,MATCH($AQ973,'AJUSTES'!$A$4:$A$303,0)),IF($K973="","",$K973)))</f>
        <v/>
      </c>
      <c r="N973" s="3">
        <f>IF($A973="","",IFERROR(INDEX('CAT_ESTADOS_ERP'!$B$4:$B$7,MATCH(IFERROR(INDEX('2_IMPORTAR_EJECUCION'!$C$9:$C$1208,MATCH($AQ973,'2_IMPORTAR_EJECUCION'!$J$9:$J$1208,0)),""),'CAT_ESTADOS_ERP'!$A$4:$A$7,0)),"Pendiente"))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J973="","",IFERROR(INDEX('CALENDARIO'!$C$15:$C$214,MATCH(TEXT($J973,"yyyy-mm-dd")&amp;"|"&amp;$V973&amp;"|"&amp;$W973,'CALENDARIO'!$G$15:$G$214,0)),IFERROR(INDEX('CALENDARIO'!$C$15:$C$214,MATCH(TEXT($J973,"yyyy-mm-dd")&amp;"|"&amp;$V973&amp;"|",'CALENDARIO'!$G$15:$G$214,0)),IFERROR(INDEX('CALENDARIO'!$C$15:$C$214,MATCH(TEXT($J973,"yyyy-mm-dd")&amp;"||",'CALENDARIO'!$G$15:$G$214,0)),INDEX(patronHabil,WEEKDAY($J973,2))))))</f>
        <v/>
      </c>
      <c r="T973" s="3">
        <f>IF($I973="","",IFERROR(INDEX('CAT_TIPOS_OT'!$C$4:$C$7,MATCH($I973,'CAT_TIPOS_OT'!$A$4:$A$7,0)),"sin_clasificar"))</f>
        <v/>
      </c>
      <c r="U973" s="3">
        <f>IF($F973="","",IFERROR(INDEX('CAT_CENTROS_COSTO'!$F$4:$F$13,MATCH($F973,'CAT_CENTROS_COSTO'!$A$4:$A$13,0)),"(sin catálogo)"))</f>
        <v/>
      </c>
      <c r="V973" s="3">
        <f>IF($F973="","",IFERROR(INDEX('CAT_CENTROS_COSTO'!$D$4:$D$13,MATCH($F973,'CAT_CENTROS_COSTO'!$A$4:$A$13,0)),"(sin catálogo)"))</f>
        <v/>
      </c>
      <c r="W973" s="3">
        <f>IF($F973="","",IF((IFERROR(INDEX('CAT_CENTROS_COSTO'!$E$4:$E$13,MATCH($F973,'CAT_CENTROS_COSTO'!$A$4:$A$13,0)),""))&lt;&gt;"",IFERROR(INDEX('CAT_CENTROS_COSTO'!$E$4:$E$13,MATCH($F973,'CAT_CENTROS_COSTO'!$A$4:$A$13,0)),""),$V973))</f>
        <v/>
      </c>
      <c r="X973" s="3">
        <f>IF($F973="","",IFERROR(INDEX('CAT_CENTROS_COSTO'!$G$4:$G$13,MATCH($F973,'CAT_CENTROS_COSTO'!$A$4:$A$13,0)),"(sin catálogo)"))</f>
        <v/>
      </c>
      <c r="Y973" s="3">
        <f>IF($G973="","",IFERROR(INDEX('CAT_PUESTOS'!$B$4:$B$8,MATCH($G973,'CAT_PUESTOS'!$A$4:$A$8,0)),"(sin catálogo)"))</f>
        <v/>
      </c>
      <c r="Z973" s="3">
        <f>IF($H973="","",IFERROR(INDEX('CAT_ACTIVIDADES'!$B$4:$B$8,MATCH($H973,'CAT_ACTIVIDADES'!$A$4:$A$8,0)),"(sin catálogo)"))</f>
        <v/>
      </c>
      <c r="AA973" s="12">
        <f>IF($J973="","",TODAY()-$J973)</f>
        <v/>
      </c>
      <c r="AB973" s="12">
        <f>IF($J973="","",IF($J973&lt;=TODAY(),COUNTIFS(cal_fechas,"&gt;="&amp;$J973,cal_fechas,"&lt;"&amp;TODAY(),cal_habil,"sí"),-COUNTIFS(cal_fechas,"&gt;="&amp;TODAY(),cal_fechas,"&lt;"&amp;$J973,cal_habil,"sí")))</f>
        <v/>
      </c>
      <c r="AC973" s="3">
        <f>IF($AB973="","",IF($AB973&lt;0,"FUTURO",IF($AB973&gt;p_dias_backlog_max,"BACKLOG","MES CORRIENTE")))</f>
        <v/>
      </c>
      <c r="AD973" s="3">
        <f>IF($AB973="",FALSE,AND($AB973&gt;p_dias_backlog_min,$AB973&lt;=p_dias_backlog_max))</f>
        <v/>
      </c>
      <c r="AE973" s="6" t="n"/>
      <c r="AF973" s="3">
        <f>IF($AE973="","",IF((IFERROR(INDEX('ASIGNACIONES'!$F$4:$F$339,MATCH($O973&amp;"|"&amp;$R973&amp;"|"&amp;$AE973,'ASIGNACIONES'!$J$4:$J$339,0)),""))=0,"",IFERROR(INDEX('ASIGNACIONES'!$F$4:$F$339,MATCH($O973&amp;"|"&amp;$R973&amp;"|"&amp;$AE973,'ASIGNACIONES'!$J$4:$J$339,0)),"")))</f>
        <v/>
      </c>
      <c r="AG973" s="13">
        <f>IF($AE973="","",SUMIFS('ORDENES'!$M$4:$M$1203,'ORDENES'!$AE$4:$AE$1203,$AE973,'ORDENES'!$O$4:$O$1203,$O973,'ORDENES'!$R$4:$R$1203,$R973))</f>
        <v/>
      </c>
      <c r="AH973" s="13">
        <f>IF($AG973="","",p_factor_productividad*IFERROR(INDEX('ASIGNACIONES'!$I$4:$I$339,MATCH($O973&amp;"|"&amp;$R973&amp;"|"&amp;$AE973,'ASIGNACIONES'!$J$4:$J$339,0)),0)-$AG973)</f>
        <v/>
      </c>
      <c r="AI973" s="10">
        <f>IF($A973="","",IFERROR(INDEX('2_IMPORTAR_EJECUCION'!$F$9:$F$1208,MATCH($AQ973,'2_IMPORTAR_EJECUCION'!$J$9:$J$1208,0)),0))</f>
        <v/>
      </c>
      <c r="AJ973" s="10">
        <f>IF($A973="","",MAX(0,IFERROR(INDEX('2_IMPORTAR_EJECUCION'!$H$9:$H$1208,MATCH($AQ973,'2_IMPORTAR_EJECUCION'!$J$9:$J$1208,0)),0)-$AI973))</f>
        <v/>
      </c>
      <c r="AK973" s="10">
        <f>IF($A973="","",$AI973+$AJ973)</f>
        <v/>
      </c>
      <c r="AL973" s="6" t="n"/>
      <c r="AM973" s="6" t="n"/>
      <c r="AN973" s="6" t="n"/>
      <c r="AO973" s="3">
        <f>IF($AN973="","",HYPERLINK(p_ruta_base_checklists&amp;$AN973,"abrir"))</f>
        <v/>
      </c>
      <c r="AP973" s="6" t="n"/>
      <c r="AQ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IF($A974="","",IFERROR(INDEX('AJUSTES'!$B$4:$B$303,MATCH($AQ974,'AJUSTES'!$A$4:$A$303,0)),IF($K974="","",$K974)))</f>
        <v/>
      </c>
      <c r="N974" s="3">
        <f>IF($A974="","",IFERROR(INDEX('CAT_ESTADOS_ERP'!$B$4:$B$7,MATCH(IFERROR(INDEX('2_IMPORTAR_EJECUCION'!$C$9:$C$1208,MATCH($AQ974,'2_IMPORTAR_EJECUCION'!$J$9:$J$1208,0)),""),'CAT_ESTADOS_ERP'!$A$4:$A$7,0)),"Pendiente"))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J974="","",IFERROR(INDEX('CALENDARIO'!$C$15:$C$214,MATCH(TEXT($J974,"yyyy-mm-dd")&amp;"|"&amp;$V974&amp;"|"&amp;$W974,'CALENDARIO'!$G$15:$G$214,0)),IFERROR(INDEX('CALENDARIO'!$C$15:$C$214,MATCH(TEXT($J974,"yyyy-mm-dd")&amp;"|"&amp;$V974&amp;"|",'CALENDARIO'!$G$15:$G$214,0)),IFERROR(INDEX('CALENDARIO'!$C$15:$C$214,MATCH(TEXT($J974,"yyyy-mm-dd")&amp;"||",'CALENDARIO'!$G$15:$G$214,0)),INDEX(patronHabil,WEEKDAY($J974,2))))))</f>
        <v/>
      </c>
      <c r="T974" s="3">
        <f>IF($I974="","",IFERROR(INDEX('CAT_TIPOS_OT'!$C$4:$C$7,MATCH($I974,'CAT_TIPOS_OT'!$A$4:$A$7,0)),"sin_clasificar"))</f>
        <v/>
      </c>
      <c r="U974" s="3">
        <f>IF($F974="","",IFERROR(INDEX('CAT_CENTROS_COSTO'!$F$4:$F$13,MATCH($F974,'CAT_CENTROS_COSTO'!$A$4:$A$13,0)),"(sin catálogo)"))</f>
        <v/>
      </c>
      <c r="V974" s="3">
        <f>IF($F974="","",IFERROR(INDEX('CAT_CENTROS_COSTO'!$D$4:$D$13,MATCH($F974,'CAT_CENTROS_COSTO'!$A$4:$A$13,0)),"(sin catálogo)"))</f>
        <v/>
      </c>
      <c r="W974" s="3">
        <f>IF($F974="","",IF((IFERROR(INDEX('CAT_CENTROS_COSTO'!$E$4:$E$13,MATCH($F974,'CAT_CENTROS_COSTO'!$A$4:$A$13,0)),""))&lt;&gt;"",IFERROR(INDEX('CAT_CENTROS_COSTO'!$E$4:$E$13,MATCH($F974,'CAT_CENTROS_COSTO'!$A$4:$A$13,0)),""),$V974))</f>
        <v/>
      </c>
      <c r="X974" s="3">
        <f>IF($F974="","",IFERROR(INDEX('CAT_CENTROS_COSTO'!$G$4:$G$13,MATCH($F974,'CAT_CENTROS_COSTO'!$A$4:$A$13,0)),"(sin catálogo)"))</f>
        <v/>
      </c>
      <c r="Y974" s="3">
        <f>IF($G974="","",IFERROR(INDEX('CAT_PUESTOS'!$B$4:$B$8,MATCH($G974,'CAT_PUESTOS'!$A$4:$A$8,0)),"(sin catálogo)"))</f>
        <v/>
      </c>
      <c r="Z974" s="3">
        <f>IF($H974="","",IFERROR(INDEX('CAT_ACTIVIDADES'!$B$4:$B$8,MATCH($H974,'CAT_ACTIVIDADES'!$A$4:$A$8,0)),"(sin catálogo)"))</f>
        <v/>
      </c>
      <c r="AA974" s="12">
        <f>IF($J974="","",TODAY()-$J974)</f>
        <v/>
      </c>
      <c r="AB974" s="12">
        <f>IF($J974="","",IF($J974&lt;=TODAY(),COUNTIFS(cal_fechas,"&gt;="&amp;$J974,cal_fechas,"&lt;"&amp;TODAY(),cal_habil,"sí"),-COUNTIFS(cal_fechas,"&gt;="&amp;TODAY(),cal_fechas,"&lt;"&amp;$J974,cal_habil,"sí")))</f>
        <v/>
      </c>
      <c r="AC974" s="3">
        <f>IF($AB974="","",IF($AB974&lt;0,"FUTURO",IF($AB974&gt;p_dias_backlog_max,"BACKLOG","MES CORRIENTE")))</f>
        <v/>
      </c>
      <c r="AD974" s="3">
        <f>IF($AB974="",FALSE,AND($AB974&gt;p_dias_backlog_min,$AB974&lt;=p_dias_backlog_max))</f>
        <v/>
      </c>
      <c r="AE974" s="6" t="n"/>
      <c r="AF974" s="3">
        <f>IF($AE974="","",IF((IFERROR(INDEX('ASIGNACIONES'!$F$4:$F$339,MATCH($O974&amp;"|"&amp;$R974&amp;"|"&amp;$AE974,'ASIGNACIONES'!$J$4:$J$339,0)),""))=0,"",IFERROR(INDEX('ASIGNACIONES'!$F$4:$F$339,MATCH($O974&amp;"|"&amp;$R974&amp;"|"&amp;$AE974,'ASIGNACIONES'!$J$4:$J$339,0)),"")))</f>
        <v/>
      </c>
      <c r="AG974" s="13">
        <f>IF($AE974="","",SUMIFS('ORDENES'!$M$4:$M$1203,'ORDENES'!$AE$4:$AE$1203,$AE974,'ORDENES'!$O$4:$O$1203,$O974,'ORDENES'!$R$4:$R$1203,$R974))</f>
        <v/>
      </c>
      <c r="AH974" s="13">
        <f>IF($AG974="","",p_factor_productividad*IFERROR(INDEX('ASIGNACIONES'!$I$4:$I$339,MATCH($O974&amp;"|"&amp;$R974&amp;"|"&amp;$AE974,'ASIGNACIONES'!$J$4:$J$339,0)),0)-$AG974)</f>
        <v/>
      </c>
      <c r="AI974" s="10">
        <f>IF($A974="","",IFERROR(INDEX('2_IMPORTAR_EJECUCION'!$F$9:$F$1208,MATCH($AQ974,'2_IMPORTAR_EJECUCION'!$J$9:$J$1208,0)),0))</f>
        <v/>
      </c>
      <c r="AJ974" s="10">
        <f>IF($A974="","",MAX(0,IFERROR(INDEX('2_IMPORTAR_EJECUCION'!$H$9:$H$1208,MATCH($AQ974,'2_IMPORTAR_EJECUCION'!$J$9:$J$1208,0)),0)-$AI974))</f>
        <v/>
      </c>
      <c r="AK974" s="10">
        <f>IF($A974="","",$AI974+$AJ974)</f>
        <v/>
      </c>
      <c r="AL974" s="6" t="n"/>
      <c r="AM974" s="6" t="n"/>
      <c r="AN974" s="6" t="n"/>
      <c r="AO974" s="3">
        <f>IF($AN974="","",HYPERLINK(p_ruta_base_checklists&amp;$AN974,"abrir"))</f>
        <v/>
      </c>
      <c r="AP974" s="6" t="n"/>
      <c r="AQ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IF($A975="","",IFERROR(INDEX('AJUSTES'!$B$4:$B$303,MATCH($AQ975,'AJUSTES'!$A$4:$A$303,0)),IF($K975="","",$K975)))</f>
        <v/>
      </c>
      <c r="N975" s="3">
        <f>IF($A975="","",IFERROR(INDEX('CAT_ESTADOS_ERP'!$B$4:$B$7,MATCH(IFERROR(INDEX('2_IMPORTAR_EJECUCION'!$C$9:$C$1208,MATCH($AQ975,'2_IMPORTAR_EJECUCION'!$J$9:$J$1208,0)),""),'CAT_ESTADOS_ERP'!$A$4:$A$7,0)),"Pendiente"))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J975="","",IFERROR(INDEX('CALENDARIO'!$C$15:$C$214,MATCH(TEXT($J975,"yyyy-mm-dd")&amp;"|"&amp;$V975&amp;"|"&amp;$W975,'CALENDARIO'!$G$15:$G$214,0)),IFERROR(INDEX('CALENDARIO'!$C$15:$C$214,MATCH(TEXT($J975,"yyyy-mm-dd")&amp;"|"&amp;$V975&amp;"|",'CALENDARIO'!$G$15:$G$214,0)),IFERROR(INDEX('CALENDARIO'!$C$15:$C$214,MATCH(TEXT($J975,"yyyy-mm-dd")&amp;"||",'CALENDARIO'!$G$15:$G$214,0)),INDEX(patronHabil,WEEKDAY($J975,2))))))</f>
        <v/>
      </c>
      <c r="T975" s="3">
        <f>IF($I975="","",IFERROR(INDEX('CAT_TIPOS_OT'!$C$4:$C$7,MATCH($I975,'CAT_TIPOS_OT'!$A$4:$A$7,0)),"sin_clasificar"))</f>
        <v/>
      </c>
      <c r="U975" s="3">
        <f>IF($F975="","",IFERROR(INDEX('CAT_CENTROS_COSTO'!$F$4:$F$13,MATCH($F975,'CAT_CENTROS_COSTO'!$A$4:$A$13,0)),"(sin catálogo)"))</f>
        <v/>
      </c>
      <c r="V975" s="3">
        <f>IF($F975="","",IFERROR(INDEX('CAT_CENTROS_COSTO'!$D$4:$D$13,MATCH($F975,'CAT_CENTROS_COSTO'!$A$4:$A$13,0)),"(sin catálogo)"))</f>
        <v/>
      </c>
      <c r="W975" s="3">
        <f>IF($F975="","",IF((IFERROR(INDEX('CAT_CENTROS_COSTO'!$E$4:$E$13,MATCH($F975,'CAT_CENTROS_COSTO'!$A$4:$A$13,0)),""))&lt;&gt;"",IFERROR(INDEX('CAT_CENTROS_COSTO'!$E$4:$E$13,MATCH($F975,'CAT_CENTROS_COSTO'!$A$4:$A$13,0)),""),$V975))</f>
        <v/>
      </c>
      <c r="X975" s="3">
        <f>IF($F975="","",IFERROR(INDEX('CAT_CENTROS_COSTO'!$G$4:$G$13,MATCH($F975,'CAT_CENTROS_COSTO'!$A$4:$A$13,0)),"(sin catálogo)"))</f>
        <v/>
      </c>
      <c r="Y975" s="3">
        <f>IF($G975="","",IFERROR(INDEX('CAT_PUESTOS'!$B$4:$B$8,MATCH($G975,'CAT_PUESTOS'!$A$4:$A$8,0)),"(sin catálogo)"))</f>
        <v/>
      </c>
      <c r="Z975" s="3">
        <f>IF($H975="","",IFERROR(INDEX('CAT_ACTIVIDADES'!$B$4:$B$8,MATCH($H975,'CAT_ACTIVIDADES'!$A$4:$A$8,0)),"(sin catálogo)"))</f>
        <v/>
      </c>
      <c r="AA975" s="12">
        <f>IF($J975="","",TODAY()-$J975)</f>
        <v/>
      </c>
      <c r="AB975" s="12">
        <f>IF($J975="","",IF($J975&lt;=TODAY(),COUNTIFS(cal_fechas,"&gt;="&amp;$J975,cal_fechas,"&lt;"&amp;TODAY(),cal_habil,"sí"),-COUNTIFS(cal_fechas,"&gt;="&amp;TODAY(),cal_fechas,"&lt;"&amp;$J975,cal_habil,"sí")))</f>
        <v/>
      </c>
      <c r="AC975" s="3">
        <f>IF($AB975="","",IF($AB975&lt;0,"FUTURO",IF($AB975&gt;p_dias_backlog_max,"BACKLOG","MES CORRIENTE")))</f>
        <v/>
      </c>
      <c r="AD975" s="3">
        <f>IF($AB975="",FALSE,AND($AB975&gt;p_dias_backlog_min,$AB975&lt;=p_dias_backlog_max))</f>
        <v/>
      </c>
      <c r="AE975" s="6" t="n"/>
      <c r="AF975" s="3">
        <f>IF($AE975="","",IF((IFERROR(INDEX('ASIGNACIONES'!$F$4:$F$339,MATCH($O975&amp;"|"&amp;$R975&amp;"|"&amp;$AE975,'ASIGNACIONES'!$J$4:$J$339,0)),""))=0,"",IFERROR(INDEX('ASIGNACIONES'!$F$4:$F$339,MATCH($O975&amp;"|"&amp;$R975&amp;"|"&amp;$AE975,'ASIGNACIONES'!$J$4:$J$339,0)),"")))</f>
        <v/>
      </c>
      <c r="AG975" s="13">
        <f>IF($AE975="","",SUMIFS('ORDENES'!$M$4:$M$1203,'ORDENES'!$AE$4:$AE$1203,$AE975,'ORDENES'!$O$4:$O$1203,$O975,'ORDENES'!$R$4:$R$1203,$R975))</f>
        <v/>
      </c>
      <c r="AH975" s="13">
        <f>IF($AG975="","",p_factor_productividad*IFERROR(INDEX('ASIGNACIONES'!$I$4:$I$339,MATCH($O975&amp;"|"&amp;$R975&amp;"|"&amp;$AE975,'ASIGNACIONES'!$J$4:$J$339,0)),0)-$AG975)</f>
        <v/>
      </c>
      <c r="AI975" s="10">
        <f>IF($A975="","",IFERROR(INDEX('2_IMPORTAR_EJECUCION'!$F$9:$F$1208,MATCH($AQ975,'2_IMPORTAR_EJECUCION'!$J$9:$J$1208,0)),0))</f>
        <v/>
      </c>
      <c r="AJ975" s="10">
        <f>IF($A975="","",MAX(0,IFERROR(INDEX('2_IMPORTAR_EJECUCION'!$H$9:$H$1208,MATCH($AQ975,'2_IMPORTAR_EJECUCION'!$J$9:$J$1208,0)),0)-$AI975))</f>
        <v/>
      </c>
      <c r="AK975" s="10">
        <f>IF($A975="","",$AI975+$AJ975)</f>
        <v/>
      </c>
      <c r="AL975" s="6" t="n"/>
      <c r="AM975" s="6" t="n"/>
      <c r="AN975" s="6" t="n"/>
      <c r="AO975" s="3">
        <f>IF($AN975="","",HYPERLINK(p_ruta_base_checklists&amp;$AN975,"abrir"))</f>
        <v/>
      </c>
      <c r="AP975" s="6" t="n"/>
      <c r="AQ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IF($A976="","",IFERROR(INDEX('AJUSTES'!$B$4:$B$303,MATCH($AQ976,'AJUSTES'!$A$4:$A$303,0)),IF($K976="","",$K976)))</f>
        <v/>
      </c>
      <c r="N976" s="3">
        <f>IF($A976="","",IFERROR(INDEX('CAT_ESTADOS_ERP'!$B$4:$B$7,MATCH(IFERROR(INDEX('2_IMPORTAR_EJECUCION'!$C$9:$C$1208,MATCH($AQ976,'2_IMPORTAR_EJECUCION'!$J$9:$J$1208,0)),""),'CAT_ESTADOS_ERP'!$A$4:$A$7,0)),"Pendiente"))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J976="","",IFERROR(INDEX('CALENDARIO'!$C$15:$C$214,MATCH(TEXT($J976,"yyyy-mm-dd")&amp;"|"&amp;$V976&amp;"|"&amp;$W976,'CALENDARIO'!$G$15:$G$214,0)),IFERROR(INDEX('CALENDARIO'!$C$15:$C$214,MATCH(TEXT($J976,"yyyy-mm-dd")&amp;"|"&amp;$V976&amp;"|",'CALENDARIO'!$G$15:$G$214,0)),IFERROR(INDEX('CALENDARIO'!$C$15:$C$214,MATCH(TEXT($J976,"yyyy-mm-dd")&amp;"||",'CALENDARIO'!$G$15:$G$214,0)),INDEX(patronHabil,WEEKDAY($J976,2))))))</f>
        <v/>
      </c>
      <c r="T976" s="3">
        <f>IF($I976="","",IFERROR(INDEX('CAT_TIPOS_OT'!$C$4:$C$7,MATCH($I976,'CAT_TIPOS_OT'!$A$4:$A$7,0)),"sin_clasificar"))</f>
        <v/>
      </c>
      <c r="U976" s="3">
        <f>IF($F976="","",IFERROR(INDEX('CAT_CENTROS_COSTO'!$F$4:$F$13,MATCH($F976,'CAT_CENTROS_COSTO'!$A$4:$A$13,0)),"(sin catálogo)"))</f>
        <v/>
      </c>
      <c r="V976" s="3">
        <f>IF($F976="","",IFERROR(INDEX('CAT_CENTROS_COSTO'!$D$4:$D$13,MATCH($F976,'CAT_CENTROS_COSTO'!$A$4:$A$13,0)),"(sin catálogo)"))</f>
        <v/>
      </c>
      <c r="W976" s="3">
        <f>IF($F976="","",IF((IFERROR(INDEX('CAT_CENTROS_COSTO'!$E$4:$E$13,MATCH($F976,'CAT_CENTROS_COSTO'!$A$4:$A$13,0)),""))&lt;&gt;"",IFERROR(INDEX('CAT_CENTROS_COSTO'!$E$4:$E$13,MATCH($F976,'CAT_CENTROS_COSTO'!$A$4:$A$13,0)),""),$V976))</f>
        <v/>
      </c>
      <c r="X976" s="3">
        <f>IF($F976="","",IFERROR(INDEX('CAT_CENTROS_COSTO'!$G$4:$G$13,MATCH($F976,'CAT_CENTROS_COSTO'!$A$4:$A$13,0)),"(sin catálogo)"))</f>
        <v/>
      </c>
      <c r="Y976" s="3">
        <f>IF($G976="","",IFERROR(INDEX('CAT_PUESTOS'!$B$4:$B$8,MATCH($G976,'CAT_PUESTOS'!$A$4:$A$8,0)),"(sin catálogo)"))</f>
        <v/>
      </c>
      <c r="Z976" s="3">
        <f>IF($H976="","",IFERROR(INDEX('CAT_ACTIVIDADES'!$B$4:$B$8,MATCH($H976,'CAT_ACTIVIDADES'!$A$4:$A$8,0)),"(sin catálogo)"))</f>
        <v/>
      </c>
      <c r="AA976" s="12">
        <f>IF($J976="","",TODAY()-$J976)</f>
        <v/>
      </c>
      <c r="AB976" s="12">
        <f>IF($J976="","",IF($J976&lt;=TODAY(),COUNTIFS(cal_fechas,"&gt;="&amp;$J976,cal_fechas,"&lt;"&amp;TODAY(),cal_habil,"sí"),-COUNTIFS(cal_fechas,"&gt;="&amp;TODAY(),cal_fechas,"&lt;"&amp;$J976,cal_habil,"sí")))</f>
        <v/>
      </c>
      <c r="AC976" s="3">
        <f>IF($AB976="","",IF($AB976&lt;0,"FUTURO",IF($AB976&gt;p_dias_backlog_max,"BACKLOG","MES CORRIENTE")))</f>
        <v/>
      </c>
      <c r="AD976" s="3">
        <f>IF($AB976="",FALSE,AND($AB976&gt;p_dias_backlog_min,$AB976&lt;=p_dias_backlog_max))</f>
        <v/>
      </c>
      <c r="AE976" s="6" t="n"/>
      <c r="AF976" s="3">
        <f>IF($AE976="","",IF((IFERROR(INDEX('ASIGNACIONES'!$F$4:$F$339,MATCH($O976&amp;"|"&amp;$R976&amp;"|"&amp;$AE976,'ASIGNACIONES'!$J$4:$J$339,0)),""))=0,"",IFERROR(INDEX('ASIGNACIONES'!$F$4:$F$339,MATCH($O976&amp;"|"&amp;$R976&amp;"|"&amp;$AE976,'ASIGNACIONES'!$J$4:$J$339,0)),"")))</f>
        <v/>
      </c>
      <c r="AG976" s="13">
        <f>IF($AE976="","",SUMIFS('ORDENES'!$M$4:$M$1203,'ORDENES'!$AE$4:$AE$1203,$AE976,'ORDENES'!$O$4:$O$1203,$O976,'ORDENES'!$R$4:$R$1203,$R976))</f>
        <v/>
      </c>
      <c r="AH976" s="13">
        <f>IF($AG976="","",p_factor_productividad*IFERROR(INDEX('ASIGNACIONES'!$I$4:$I$339,MATCH($O976&amp;"|"&amp;$R976&amp;"|"&amp;$AE976,'ASIGNACIONES'!$J$4:$J$339,0)),0)-$AG976)</f>
        <v/>
      </c>
      <c r="AI976" s="10">
        <f>IF($A976="","",IFERROR(INDEX('2_IMPORTAR_EJECUCION'!$F$9:$F$1208,MATCH($AQ976,'2_IMPORTAR_EJECUCION'!$J$9:$J$1208,0)),0))</f>
        <v/>
      </c>
      <c r="AJ976" s="10">
        <f>IF($A976="","",MAX(0,IFERROR(INDEX('2_IMPORTAR_EJECUCION'!$H$9:$H$1208,MATCH($AQ976,'2_IMPORTAR_EJECUCION'!$J$9:$J$1208,0)),0)-$AI976))</f>
        <v/>
      </c>
      <c r="AK976" s="10">
        <f>IF($A976="","",$AI976+$AJ976)</f>
        <v/>
      </c>
      <c r="AL976" s="6" t="n"/>
      <c r="AM976" s="6" t="n"/>
      <c r="AN976" s="6" t="n"/>
      <c r="AO976" s="3">
        <f>IF($AN976="","",HYPERLINK(p_ruta_base_checklists&amp;$AN976,"abrir"))</f>
        <v/>
      </c>
      <c r="AP976" s="6" t="n"/>
      <c r="AQ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IF($A977="","",IFERROR(INDEX('AJUSTES'!$B$4:$B$303,MATCH($AQ977,'AJUSTES'!$A$4:$A$303,0)),IF($K977="","",$K977)))</f>
        <v/>
      </c>
      <c r="N977" s="3">
        <f>IF($A977="","",IFERROR(INDEX('CAT_ESTADOS_ERP'!$B$4:$B$7,MATCH(IFERROR(INDEX('2_IMPORTAR_EJECUCION'!$C$9:$C$1208,MATCH($AQ977,'2_IMPORTAR_EJECUCION'!$J$9:$J$1208,0)),""),'CAT_ESTADOS_ERP'!$A$4:$A$7,0)),"Pendiente"))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J977="","",IFERROR(INDEX('CALENDARIO'!$C$15:$C$214,MATCH(TEXT($J977,"yyyy-mm-dd")&amp;"|"&amp;$V977&amp;"|"&amp;$W977,'CALENDARIO'!$G$15:$G$214,0)),IFERROR(INDEX('CALENDARIO'!$C$15:$C$214,MATCH(TEXT($J977,"yyyy-mm-dd")&amp;"|"&amp;$V977&amp;"|",'CALENDARIO'!$G$15:$G$214,0)),IFERROR(INDEX('CALENDARIO'!$C$15:$C$214,MATCH(TEXT($J977,"yyyy-mm-dd")&amp;"||",'CALENDARIO'!$G$15:$G$214,0)),INDEX(patronHabil,WEEKDAY($J977,2))))))</f>
        <v/>
      </c>
      <c r="T977" s="3">
        <f>IF($I977="","",IFERROR(INDEX('CAT_TIPOS_OT'!$C$4:$C$7,MATCH($I977,'CAT_TIPOS_OT'!$A$4:$A$7,0)),"sin_clasificar"))</f>
        <v/>
      </c>
      <c r="U977" s="3">
        <f>IF($F977="","",IFERROR(INDEX('CAT_CENTROS_COSTO'!$F$4:$F$13,MATCH($F977,'CAT_CENTROS_COSTO'!$A$4:$A$13,0)),"(sin catálogo)"))</f>
        <v/>
      </c>
      <c r="V977" s="3">
        <f>IF($F977="","",IFERROR(INDEX('CAT_CENTROS_COSTO'!$D$4:$D$13,MATCH($F977,'CAT_CENTROS_COSTO'!$A$4:$A$13,0)),"(sin catálogo)"))</f>
        <v/>
      </c>
      <c r="W977" s="3">
        <f>IF($F977="","",IF((IFERROR(INDEX('CAT_CENTROS_COSTO'!$E$4:$E$13,MATCH($F977,'CAT_CENTROS_COSTO'!$A$4:$A$13,0)),""))&lt;&gt;"",IFERROR(INDEX('CAT_CENTROS_COSTO'!$E$4:$E$13,MATCH($F977,'CAT_CENTROS_COSTO'!$A$4:$A$13,0)),""),$V977))</f>
        <v/>
      </c>
      <c r="X977" s="3">
        <f>IF($F977="","",IFERROR(INDEX('CAT_CENTROS_COSTO'!$G$4:$G$13,MATCH($F977,'CAT_CENTROS_COSTO'!$A$4:$A$13,0)),"(sin catálogo)"))</f>
        <v/>
      </c>
      <c r="Y977" s="3">
        <f>IF($G977="","",IFERROR(INDEX('CAT_PUESTOS'!$B$4:$B$8,MATCH($G977,'CAT_PUESTOS'!$A$4:$A$8,0)),"(sin catálogo)"))</f>
        <v/>
      </c>
      <c r="Z977" s="3">
        <f>IF($H977="","",IFERROR(INDEX('CAT_ACTIVIDADES'!$B$4:$B$8,MATCH($H977,'CAT_ACTIVIDADES'!$A$4:$A$8,0)),"(sin catálogo)"))</f>
        <v/>
      </c>
      <c r="AA977" s="12">
        <f>IF($J977="","",TODAY()-$J977)</f>
        <v/>
      </c>
      <c r="AB977" s="12">
        <f>IF($J977="","",IF($J977&lt;=TODAY(),COUNTIFS(cal_fechas,"&gt;="&amp;$J977,cal_fechas,"&lt;"&amp;TODAY(),cal_habil,"sí"),-COUNTIFS(cal_fechas,"&gt;="&amp;TODAY(),cal_fechas,"&lt;"&amp;$J977,cal_habil,"sí")))</f>
        <v/>
      </c>
      <c r="AC977" s="3">
        <f>IF($AB977="","",IF($AB977&lt;0,"FUTURO",IF($AB977&gt;p_dias_backlog_max,"BACKLOG","MES CORRIENTE")))</f>
        <v/>
      </c>
      <c r="AD977" s="3">
        <f>IF($AB977="",FALSE,AND($AB977&gt;p_dias_backlog_min,$AB977&lt;=p_dias_backlog_max))</f>
        <v/>
      </c>
      <c r="AE977" s="6" t="n"/>
      <c r="AF977" s="3">
        <f>IF($AE977="","",IF((IFERROR(INDEX('ASIGNACIONES'!$F$4:$F$339,MATCH($O977&amp;"|"&amp;$R977&amp;"|"&amp;$AE977,'ASIGNACIONES'!$J$4:$J$339,0)),""))=0,"",IFERROR(INDEX('ASIGNACIONES'!$F$4:$F$339,MATCH($O977&amp;"|"&amp;$R977&amp;"|"&amp;$AE977,'ASIGNACIONES'!$J$4:$J$339,0)),"")))</f>
        <v/>
      </c>
      <c r="AG977" s="13">
        <f>IF($AE977="","",SUMIFS('ORDENES'!$M$4:$M$1203,'ORDENES'!$AE$4:$AE$1203,$AE977,'ORDENES'!$O$4:$O$1203,$O977,'ORDENES'!$R$4:$R$1203,$R977))</f>
        <v/>
      </c>
      <c r="AH977" s="13">
        <f>IF($AG977="","",p_factor_productividad*IFERROR(INDEX('ASIGNACIONES'!$I$4:$I$339,MATCH($O977&amp;"|"&amp;$R977&amp;"|"&amp;$AE977,'ASIGNACIONES'!$J$4:$J$339,0)),0)-$AG977)</f>
        <v/>
      </c>
      <c r="AI977" s="10">
        <f>IF($A977="","",IFERROR(INDEX('2_IMPORTAR_EJECUCION'!$F$9:$F$1208,MATCH($AQ977,'2_IMPORTAR_EJECUCION'!$J$9:$J$1208,0)),0))</f>
        <v/>
      </c>
      <c r="AJ977" s="10">
        <f>IF($A977="","",MAX(0,IFERROR(INDEX('2_IMPORTAR_EJECUCION'!$H$9:$H$1208,MATCH($AQ977,'2_IMPORTAR_EJECUCION'!$J$9:$J$1208,0)),0)-$AI977))</f>
        <v/>
      </c>
      <c r="AK977" s="10">
        <f>IF($A977="","",$AI977+$AJ977)</f>
        <v/>
      </c>
      <c r="AL977" s="6" t="n"/>
      <c r="AM977" s="6" t="n"/>
      <c r="AN977" s="6" t="n"/>
      <c r="AO977" s="3">
        <f>IF($AN977="","",HYPERLINK(p_ruta_base_checklists&amp;$AN977,"abrir"))</f>
        <v/>
      </c>
      <c r="AP977" s="6" t="n"/>
      <c r="AQ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IF($A978="","",IFERROR(INDEX('AJUSTES'!$B$4:$B$303,MATCH($AQ978,'AJUSTES'!$A$4:$A$303,0)),IF($K978="","",$K978)))</f>
        <v/>
      </c>
      <c r="N978" s="3">
        <f>IF($A978="","",IFERROR(INDEX('CAT_ESTADOS_ERP'!$B$4:$B$7,MATCH(IFERROR(INDEX('2_IMPORTAR_EJECUCION'!$C$9:$C$1208,MATCH($AQ978,'2_IMPORTAR_EJECUCION'!$J$9:$J$1208,0)),""),'CAT_ESTADOS_ERP'!$A$4:$A$7,0)),"Pendiente"))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J978="","",IFERROR(INDEX('CALENDARIO'!$C$15:$C$214,MATCH(TEXT($J978,"yyyy-mm-dd")&amp;"|"&amp;$V978&amp;"|"&amp;$W978,'CALENDARIO'!$G$15:$G$214,0)),IFERROR(INDEX('CALENDARIO'!$C$15:$C$214,MATCH(TEXT($J978,"yyyy-mm-dd")&amp;"|"&amp;$V978&amp;"|",'CALENDARIO'!$G$15:$G$214,0)),IFERROR(INDEX('CALENDARIO'!$C$15:$C$214,MATCH(TEXT($J978,"yyyy-mm-dd")&amp;"||",'CALENDARIO'!$G$15:$G$214,0)),INDEX(patronHabil,WEEKDAY($J978,2))))))</f>
        <v/>
      </c>
      <c r="T978" s="3">
        <f>IF($I978="","",IFERROR(INDEX('CAT_TIPOS_OT'!$C$4:$C$7,MATCH($I978,'CAT_TIPOS_OT'!$A$4:$A$7,0)),"sin_clasificar"))</f>
        <v/>
      </c>
      <c r="U978" s="3">
        <f>IF($F978="","",IFERROR(INDEX('CAT_CENTROS_COSTO'!$F$4:$F$13,MATCH($F978,'CAT_CENTROS_COSTO'!$A$4:$A$13,0)),"(sin catálogo)"))</f>
        <v/>
      </c>
      <c r="V978" s="3">
        <f>IF($F978="","",IFERROR(INDEX('CAT_CENTROS_COSTO'!$D$4:$D$13,MATCH($F978,'CAT_CENTROS_COSTO'!$A$4:$A$13,0)),"(sin catálogo)"))</f>
        <v/>
      </c>
      <c r="W978" s="3">
        <f>IF($F978="","",IF((IFERROR(INDEX('CAT_CENTROS_COSTO'!$E$4:$E$13,MATCH($F978,'CAT_CENTROS_COSTO'!$A$4:$A$13,0)),""))&lt;&gt;"",IFERROR(INDEX('CAT_CENTROS_COSTO'!$E$4:$E$13,MATCH($F978,'CAT_CENTROS_COSTO'!$A$4:$A$13,0)),""),$V978))</f>
        <v/>
      </c>
      <c r="X978" s="3">
        <f>IF($F978="","",IFERROR(INDEX('CAT_CENTROS_COSTO'!$G$4:$G$13,MATCH($F978,'CAT_CENTROS_COSTO'!$A$4:$A$13,0)),"(sin catálogo)"))</f>
        <v/>
      </c>
      <c r="Y978" s="3">
        <f>IF($G978="","",IFERROR(INDEX('CAT_PUESTOS'!$B$4:$B$8,MATCH($G978,'CAT_PUESTOS'!$A$4:$A$8,0)),"(sin catálogo)"))</f>
        <v/>
      </c>
      <c r="Z978" s="3">
        <f>IF($H978="","",IFERROR(INDEX('CAT_ACTIVIDADES'!$B$4:$B$8,MATCH($H978,'CAT_ACTIVIDADES'!$A$4:$A$8,0)),"(sin catálogo)"))</f>
        <v/>
      </c>
      <c r="AA978" s="12">
        <f>IF($J978="","",TODAY()-$J978)</f>
        <v/>
      </c>
      <c r="AB978" s="12">
        <f>IF($J978="","",IF($J978&lt;=TODAY(),COUNTIFS(cal_fechas,"&gt;="&amp;$J978,cal_fechas,"&lt;"&amp;TODAY(),cal_habil,"sí"),-COUNTIFS(cal_fechas,"&gt;="&amp;TODAY(),cal_fechas,"&lt;"&amp;$J978,cal_habil,"sí")))</f>
        <v/>
      </c>
      <c r="AC978" s="3">
        <f>IF($AB978="","",IF($AB978&lt;0,"FUTURO",IF($AB978&gt;p_dias_backlog_max,"BACKLOG","MES CORRIENTE")))</f>
        <v/>
      </c>
      <c r="AD978" s="3">
        <f>IF($AB978="",FALSE,AND($AB978&gt;p_dias_backlog_min,$AB978&lt;=p_dias_backlog_max))</f>
        <v/>
      </c>
      <c r="AE978" s="6" t="n"/>
      <c r="AF978" s="3">
        <f>IF($AE978="","",IF((IFERROR(INDEX('ASIGNACIONES'!$F$4:$F$339,MATCH($O978&amp;"|"&amp;$R978&amp;"|"&amp;$AE978,'ASIGNACIONES'!$J$4:$J$339,0)),""))=0,"",IFERROR(INDEX('ASIGNACIONES'!$F$4:$F$339,MATCH($O978&amp;"|"&amp;$R978&amp;"|"&amp;$AE978,'ASIGNACIONES'!$J$4:$J$339,0)),"")))</f>
        <v/>
      </c>
      <c r="AG978" s="13">
        <f>IF($AE978="","",SUMIFS('ORDENES'!$M$4:$M$1203,'ORDENES'!$AE$4:$AE$1203,$AE978,'ORDENES'!$O$4:$O$1203,$O978,'ORDENES'!$R$4:$R$1203,$R978))</f>
        <v/>
      </c>
      <c r="AH978" s="13">
        <f>IF($AG978="","",p_factor_productividad*IFERROR(INDEX('ASIGNACIONES'!$I$4:$I$339,MATCH($O978&amp;"|"&amp;$R978&amp;"|"&amp;$AE978,'ASIGNACIONES'!$J$4:$J$339,0)),0)-$AG978)</f>
        <v/>
      </c>
      <c r="AI978" s="10">
        <f>IF($A978="","",IFERROR(INDEX('2_IMPORTAR_EJECUCION'!$F$9:$F$1208,MATCH($AQ978,'2_IMPORTAR_EJECUCION'!$J$9:$J$1208,0)),0))</f>
        <v/>
      </c>
      <c r="AJ978" s="10">
        <f>IF($A978="","",MAX(0,IFERROR(INDEX('2_IMPORTAR_EJECUCION'!$H$9:$H$1208,MATCH($AQ978,'2_IMPORTAR_EJECUCION'!$J$9:$J$1208,0)),0)-$AI978))</f>
        <v/>
      </c>
      <c r="AK978" s="10">
        <f>IF($A978="","",$AI978+$AJ978)</f>
        <v/>
      </c>
      <c r="AL978" s="6" t="n"/>
      <c r="AM978" s="6" t="n"/>
      <c r="AN978" s="6" t="n"/>
      <c r="AO978" s="3">
        <f>IF($AN978="","",HYPERLINK(p_ruta_base_checklists&amp;$AN978,"abrir"))</f>
        <v/>
      </c>
      <c r="AP978" s="6" t="n"/>
      <c r="AQ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IF($A979="","",IFERROR(INDEX('AJUSTES'!$B$4:$B$303,MATCH($AQ979,'AJUSTES'!$A$4:$A$303,0)),IF($K979="","",$K979)))</f>
        <v/>
      </c>
      <c r="N979" s="3">
        <f>IF($A979="","",IFERROR(INDEX('CAT_ESTADOS_ERP'!$B$4:$B$7,MATCH(IFERROR(INDEX('2_IMPORTAR_EJECUCION'!$C$9:$C$1208,MATCH($AQ979,'2_IMPORTAR_EJECUCION'!$J$9:$J$1208,0)),""),'CAT_ESTADOS_ERP'!$A$4:$A$7,0)),"Pendiente"))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J979="","",IFERROR(INDEX('CALENDARIO'!$C$15:$C$214,MATCH(TEXT($J979,"yyyy-mm-dd")&amp;"|"&amp;$V979&amp;"|"&amp;$W979,'CALENDARIO'!$G$15:$G$214,0)),IFERROR(INDEX('CALENDARIO'!$C$15:$C$214,MATCH(TEXT($J979,"yyyy-mm-dd")&amp;"|"&amp;$V979&amp;"|",'CALENDARIO'!$G$15:$G$214,0)),IFERROR(INDEX('CALENDARIO'!$C$15:$C$214,MATCH(TEXT($J979,"yyyy-mm-dd")&amp;"||",'CALENDARIO'!$G$15:$G$214,0)),INDEX(patronHabil,WEEKDAY($J979,2))))))</f>
        <v/>
      </c>
      <c r="T979" s="3">
        <f>IF($I979="","",IFERROR(INDEX('CAT_TIPOS_OT'!$C$4:$C$7,MATCH($I979,'CAT_TIPOS_OT'!$A$4:$A$7,0)),"sin_clasificar"))</f>
        <v/>
      </c>
      <c r="U979" s="3">
        <f>IF($F979="","",IFERROR(INDEX('CAT_CENTROS_COSTO'!$F$4:$F$13,MATCH($F979,'CAT_CENTROS_COSTO'!$A$4:$A$13,0)),"(sin catálogo)"))</f>
        <v/>
      </c>
      <c r="V979" s="3">
        <f>IF($F979="","",IFERROR(INDEX('CAT_CENTROS_COSTO'!$D$4:$D$13,MATCH($F979,'CAT_CENTROS_COSTO'!$A$4:$A$13,0)),"(sin catálogo)"))</f>
        <v/>
      </c>
      <c r="W979" s="3">
        <f>IF($F979="","",IF((IFERROR(INDEX('CAT_CENTROS_COSTO'!$E$4:$E$13,MATCH($F979,'CAT_CENTROS_COSTO'!$A$4:$A$13,0)),""))&lt;&gt;"",IFERROR(INDEX('CAT_CENTROS_COSTO'!$E$4:$E$13,MATCH($F979,'CAT_CENTROS_COSTO'!$A$4:$A$13,0)),""),$V979))</f>
        <v/>
      </c>
      <c r="X979" s="3">
        <f>IF($F979="","",IFERROR(INDEX('CAT_CENTROS_COSTO'!$G$4:$G$13,MATCH($F979,'CAT_CENTROS_COSTO'!$A$4:$A$13,0)),"(sin catálogo)"))</f>
        <v/>
      </c>
      <c r="Y979" s="3">
        <f>IF($G979="","",IFERROR(INDEX('CAT_PUESTOS'!$B$4:$B$8,MATCH($G979,'CAT_PUESTOS'!$A$4:$A$8,0)),"(sin catálogo)"))</f>
        <v/>
      </c>
      <c r="Z979" s="3">
        <f>IF($H979="","",IFERROR(INDEX('CAT_ACTIVIDADES'!$B$4:$B$8,MATCH($H979,'CAT_ACTIVIDADES'!$A$4:$A$8,0)),"(sin catálogo)"))</f>
        <v/>
      </c>
      <c r="AA979" s="12">
        <f>IF($J979="","",TODAY()-$J979)</f>
        <v/>
      </c>
      <c r="AB979" s="12">
        <f>IF($J979="","",IF($J979&lt;=TODAY(),COUNTIFS(cal_fechas,"&gt;="&amp;$J979,cal_fechas,"&lt;"&amp;TODAY(),cal_habil,"sí"),-COUNTIFS(cal_fechas,"&gt;="&amp;TODAY(),cal_fechas,"&lt;"&amp;$J979,cal_habil,"sí")))</f>
        <v/>
      </c>
      <c r="AC979" s="3">
        <f>IF($AB979="","",IF($AB979&lt;0,"FUTURO",IF($AB979&gt;p_dias_backlog_max,"BACKLOG","MES CORRIENTE")))</f>
        <v/>
      </c>
      <c r="AD979" s="3">
        <f>IF($AB979="",FALSE,AND($AB979&gt;p_dias_backlog_min,$AB979&lt;=p_dias_backlog_max))</f>
        <v/>
      </c>
      <c r="AE979" s="6" t="n"/>
      <c r="AF979" s="3">
        <f>IF($AE979="","",IF((IFERROR(INDEX('ASIGNACIONES'!$F$4:$F$339,MATCH($O979&amp;"|"&amp;$R979&amp;"|"&amp;$AE979,'ASIGNACIONES'!$J$4:$J$339,0)),""))=0,"",IFERROR(INDEX('ASIGNACIONES'!$F$4:$F$339,MATCH($O979&amp;"|"&amp;$R979&amp;"|"&amp;$AE979,'ASIGNACIONES'!$J$4:$J$339,0)),"")))</f>
        <v/>
      </c>
      <c r="AG979" s="13">
        <f>IF($AE979="","",SUMIFS('ORDENES'!$M$4:$M$1203,'ORDENES'!$AE$4:$AE$1203,$AE979,'ORDENES'!$O$4:$O$1203,$O979,'ORDENES'!$R$4:$R$1203,$R979))</f>
        <v/>
      </c>
      <c r="AH979" s="13">
        <f>IF($AG979="","",p_factor_productividad*IFERROR(INDEX('ASIGNACIONES'!$I$4:$I$339,MATCH($O979&amp;"|"&amp;$R979&amp;"|"&amp;$AE979,'ASIGNACIONES'!$J$4:$J$339,0)),0)-$AG979)</f>
        <v/>
      </c>
      <c r="AI979" s="10">
        <f>IF($A979="","",IFERROR(INDEX('2_IMPORTAR_EJECUCION'!$F$9:$F$1208,MATCH($AQ979,'2_IMPORTAR_EJECUCION'!$J$9:$J$1208,0)),0))</f>
        <v/>
      </c>
      <c r="AJ979" s="10">
        <f>IF($A979="","",MAX(0,IFERROR(INDEX('2_IMPORTAR_EJECUCION'!$H$9:$H$1208,MATCH($AQ979,'2_IMPORTAR_EJECUCION'!$J$9:$J$1208,0)),0)-$AI979))</f>
        <v/>
      </c>
      <c r="AK979" s="10">
        <f>IF($A979="","",$AI979+$AJ979)</f>
        <v/>
      </c>
      <c r="AL979" s="6" t="n"/>
      <c r="AM979" s="6" t="n"/>
      <c r="AN979" s="6" t="n"/>
      <c r="AO979" s="3">
        <f>IF($AN979="","",HYPERLINK(p_ruta_base_checklists&amp;$AN979,"abrir"))</f>
        <v/>
      </c>
      <c r="AP979" s="6" t="n"/>
      <c r="AQ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IF($A980="","",IFERROR(INDEX('AJUSTES'!$B$4:$B$303,MATCH($AQ980,'AJUSTES'!$A$4:$A$303,0)),IF($K980="","",$K980)))</f>
        <v/>
      </c>
      <c r="N980" s="3">
        <f>IF($A980="","",IFERROR(INDEX('CAT_ESTADOS_ERP'!$B$4:$B$7,MATCH(IFERROR(INDEX('2_IMPORTAR_EJECUCION'!$C$9:$C$1208,MATCH($AQ980,'2_IMPORTAR_EJECUCION'!$J$9:$J$1208,0)),""),'CAT_ESTADOS_ERP'!$A$4:$A$7,0)),"Pendiente"))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J980="","",IFERROR(INDEX('CALENDARIO'!$C$15:$C$214,MATCH(TEXT($J980,"yyyy-mm-dd")&amp;"|"&amp;$V980&amp;"|"&amp;$W980,'CALENDARIO'!$G$15:$G$214,0)),IFERROR(INDEX('CALENDARIO'!$C$15:$C$214,MATCH(TEXT($J980,"yyyy-mm-dd")&amp;"|"&amp;$V980&amp;"|",'CALENDARIO'!$G$15:$G$214,0)),IFERROR(INDEX('CALENDARIO'!$C$15:$C$214,MATCH(TEXT($J980,"yyyy-mm-dd")&amp;"||",'CALENDARIO'!$G$15:$G$214,0)),INDEX(patronHabil,WEEKDAY($J980,2))))))</f>
        <v/>
      </c>
      <c r="T980" s="3">
        <f>IF($I980="","",IFERROR(INDEX('CAT_TIPOS_OT'!$C$4:$C$7,MATCH($I980,'CAT_TIPOS_OT'!$A$4:$A$7,0)),"sin_clasificar"))</f>
        <v/>
      </c>
      <c r="U980" s="3">
        <f>IF($F980="","",IFERROR(INDEX('CAT_CENTROS_COSTO'!$F$4:$F$13,MATCH($F980,'CAT_CENTROS_COSTO'!$A$4:$A$13,0)),"(sin catálogo)"))</f>
        <v/>
      </c>
      <c r="V980" s="3">
        <f>IF($F980="","",IFERROR(INDEX('CAT_CENTROS_COSTO'!$D$4:$D$13,MATCH($F980,'CAT_CENTROS_COSTO'!$A$4:$A$13,0)),"(sin catálogo)"))</f>
        <v/>
      </c>
      <c r="W980" s="3">
        <f>IF($F980="","",IF((IFERROR(INDEX('CAT_CENTROS_COSTO'!$E$4:$E$13,MATCH($F980,'CAT_CENTROS_COSTO'!$A$4:$A$13,0)),""))&lt;&gt;"",IFERROR(INDEX('CAT_CENTROS_COSTO'!$E$4:$E$13,MATCH($F980,'CAT_CENTROS_COSTO'!$A$4:$A$13,0)),""),$V980))</f>
        <v/>
      </c>
      <c r="X980" s="3">
        <f>IF($F980="","",IFERROR(INDEX('CAT_CENTROS_COSTO'!$G$4:$G$13,MATCH($F980,'CAT_CENTROS_COSTO'!$A$4:$A$13,0)),"(sin catálogo)"))</f>
        <v/>
      </c>
      <c r="Y980" s="3">
        <f>IF($G980="","",IFERROR(INDEX('CAT_PUESTOS'!$B$4:$B$8,MATCH($G980,'CAT_PUESTOS'!$A$4:$A$8,0)),"(sin catálogo)"))</f>
        <v/>
      </c>
      <c r="Z980" s="3">
        <f>IF($H980="","",IFERROR(INDEX('CAT_ACTIVIDADES'!$B$4:$B$8,MATCH($H980,'CAT_ACTIVIDADES'!$A$4:$A$8,0)),"(sin catálogo)"))</f>
        <v/>
      </c>
      <c r="AA980" s="12">
        <f>IF($J980="","",TODAY()-$J980)</f>
        <v/>
      </c>
      <c r="AB980" s="12">
        <f>IF($J980="","",IF($J980&lt;=TODAY(),COUNTIFS(cal_fechas,"&gt;="&amp;$J980,cal_fechas,"&lt;"&amp;TODAY(),cal_habil,"sí"),-COUNTIFS(cal_fechas,"&gt;="&amp;TODAY(),cal_fechas,"&lt;"&amp;$J980,cal_habil,"sí")))</f>
        <v/>
      </c>
      <c r="AC980" s="3">
        <f>IF($AB980="","",IF($AB980&lt;0,"FUTURO",IF($AB980&gt;p_dias_backlog_max,"BACKLOG","MES CORRIENTE")))</f>
        <v/>
      </c>
      <c r="AD980" s="3">
        <f>IF($AB980="",FALSE,AND($AB980&gt;p_dias_backlog_min,$AB980&lt;=p_dias_backlog_max))</f>
        <v/>
      </c>
      <c r="AE980" s="6" t="n"/>
      <c r="AF980" s="3">
        <f>IF($AE980="","",IF((IFERROR(INDEX('ASIGNACIONES'!$F$4:$F$339,MATCH($O980&amp;"|"&amp;$R980&amp;"|"&amp;$AE980,'ASIGNACIONES'!$J$4:$J$339,0)),""))=0,"",IFERROR(INDEX('ASIGNACIONES'!$F$4:$F$339,MATCH($O980&amp;"|"&amp;$R980&amp;"|"&amp;$AE980,'ASIGNACIONES'!$J$4:$J$339,0)),"")))</f>
        <v/>
      </c>
      <c r="AG980" s="13">
        <f>IF($AE980="","",SUMIFS('ORDENES'!$M$4:$M$1203,'ORDENES'!$AE$4:$AE$1203,$AE980,'ORDENES'!$O$4:$O$1203,$O980,'ORDENES'!$R$4:$R$1203,$R980))</f>
        <v/>
      </c>
      <c r="AH980" s="13">
        <f>IF($AG980="","",p_factor_productividad*IFERROR(INDEX('ASIGNACIONES'!$I$4:$I$339,MATCH($O980&amp;"|"&amp;$R980&amp;"|"&amp;$AE980,'ASIGNACIONES'!$J$4:$J$339,0)),0)-$AG980)</f>
        <v/>
      </c>
      <c r="AI980" s="10">
        <f>IF($A980="","",IFERROR(INDEX('2_IMPORTAR_EJECUCION'!$F$9:$F$1208,MATCH($AQ980,'2_IMPORTAR_EJECUCION'!$J$9:$J$1208,0)),0))</f>
        <v/>
      </c>
      <c r="AJ980" s="10">
        <f>IF($A980="","",MAX(0,IFERROR(INDEX('2_IMPORTAR_EJECUCION'!$H$9:$H$1208,MATCH($AQ980,'2_IMPORTAR_EJECUCION'!$J$9:$J$1208,0)),0)-$AI980))</f>
        <v/>
      </c>
      <c r="AK980" s="10">
        <f>IF($A980="","",$AI980+$AJ980)</f>
        <v/>
      </c>
      <c r="AL980" s="6" t="n"/>
      <c r="AM980" s="6" t="n"/>
      <c r="AN980" s="6" t="n"/>
      <c r="AO980" s="3">
        <f>IF($AN980="","",HYPERLINK(p_ruta_base_checklists&amp;$AN980,"abrir"))</f>
        <v/>
      </c>
      <c r="AP980" s="6" t="n"/>
      <c r="AQ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IF($A981="","",IFERROR(INDEX('AJUSTES'!$B$4:$B$303,MATCH($AQ981,'AJUSTES'!$A$4:$A$303,0)),IF($K981="","",$K981)))</f>
        <v/>
      </c>
      <c r="N981" s="3">
        <f>IF($A981="","",IFERROR(INDEX('CAT_ESTADOS_ERP'!$B$4:$B$7,MATCH(IFERROR(INDEX('2_IMPORTAR_EJECUCION'!$C$9:$C$1208,MATCH($AQ981,'2_IMPORTAR_EJECUCION'!$J$9:$J$1208,0)),""),'CAT_ESTADOS_ERP'!$A$4:$A$7,0)),"Pendiente"))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J981="","",IFERROR(INDEX('CALENDARIO'!$C$15:$C$214,MATCH(TEXT($J981,"yyyy-mm-dd")&amp;"|"&amp;$V981&amp;"|"&amp;$W981,'CALENDARIO'!$G$15:$G$214,0)),IFERROR(INDEX('CALENDARIO'!$C$15:$C$214,MATCH(TEXT($J981,"yyyy-mm-dd")&amp;"|"&amp;$V981&amp;"|",'CALENDARIO'!$G$15:$G$214,0)),IFERROR(INDEX('CALENDARIO'!$C$15:$C$214,MATCH(TEXT($J981,"yyyy-mm-dd")&amp;"||",'CALENDARIO'!$G$15:$G$214,0)),INDEX(patronHabil,WEEKDAY($J981,2))))))</f>
        <v/>
      </c>
      <c r="T981" s="3">
        <f>IF($I981="","",IFERROR(INDEX('CAT_TIPOS_OT'!$C$4:$C$7,MATCH($I981,'CAT_TIPOS_OT'!$A$4:$A$7,0)),"sin_clasificar"))</f>
        <v/>
      </c>
      <c r="U981" s="3">
        <f>IF($F981="","",IFERROR(INDEX('CAT_CENTROS_COSTO'!$F$4:$F$13,MATCH($F981,'CAT_CENTROS_COSTO'!$A$4:$A$13,0)),"(sin catálogo)"))</f>
        <v/>
      </c>
      <c r="V981" s="3">
        <f>IF($F981="","",IFERROR(INDEX('CAT_CENTROS_COSTO'!$D$4:$D$13,MATCH($F981,'CAT_CENTROS_COSTO'!$A$4:$A$13,0)),"(sin catálogo)"))</f>
        <v/>
      </c>
      <c r="W981" s="3">
        <f>IF($F981="","",IF((IFERROR(INDEX('CAT_CENTROS_COSTO'!$E$4:$E$13,MATCH($F981,'CAT_CENTROS_COSTO'!$A$4:$A$13,0)),""))&lt;&gt;"",IFERROR(INDEX('CAT_CENTROS_COSTO'!$E$4:$E$13,MATCH($F981,'CAT_CENTROS_COSTO'!$A$4:$A$13,0)),""),$V981))</f>
        <v/>
      </c>
      <c r="X981" s="3">
        <f>IF($F981="","",IFERROR(INDEX('CAT_CENTROS_COSTO'!$G$4:$G$13,MATCH($F981,'CAT_CENTROS_COSTO'!$A$4:$A$13,0)),"(sin catálogo)"))</f>
        <v/>
      </c>
      <c r="Y981" s="3">
        <f>IF($G981="","",IFERROR(INDEX('CAT_PUESTOS'!$B$4:$B$8,MATCH($G981,'CAT_PUESTOS'!$A$4:$A$8,0)),"(sin catálogo)"))</f>
        <v/>
      </c>
      <c r="Z981" s="3">
        <f>IF($H981="","",IFERROR(INDEX('CAT_ACTIVIDADES'!$B$4:$B$8,MATCH($H981,'CAT_ACTIVIDADES'!$A$4:$A$8,0)),"(sin catálogo)"))</f>
        <v/>
      </c>
      <c r="AA981" s="12">
        <f>IF($J981="","",TODAY()-$J981)</f>
        <v/>
      </c>
      <c r="AB981" s="12">
        <f>IF($J981="","",IF($J981&lt;=TODAY(),COUNTIFS(cal_fechas,"&gt;="&amp;$J981,cal_fechas,"&lt;"&amp;TODAY(),cal_habil,"sí"),-COUNTIFS(cal_fechas,"&gt;="&amp;TODAY(),cal_fechas,"&lt;"&amp;$J981,cal_habil,"sí")))</f>
        <v/>
      </c>
      <c r="AC981" s="3">
        <f>IF($AB981="","",IF($AB981&lt;0,"FUTURO",IF($AB981&gt;p_dias_backlog_max,"BACKLOG","MES CORRIENTE")))</f>
        <v/>
      </c>
      <c r="AD981" s="3">
        <f>IF($AB981="",FALSE,AND($AB981&gt;p_dias_backlog_min,$AB981&lt;=p_dias_backlog_max))</f>
        <v/>
      </c>
      <c r="AE981" s="6" t="n"/>
      <c r="AF981" s="3">
        <f>IF($AE981="","",IF((IFERROR(INDEX('ASIGNACIONES'!$F$4:$F$339,MATCH($O981&amp;"|"&amp;$R981&amp;"|"&amp;$AE981,'ASIGNACIONES'!$J$4:$J$339,0)),""))=0,"",IFERROR(INDEX('ASIGNACIONES'!$F$4:$F$339,MATCH($O981&amp;"|"&amp;$R981&amp;"|"&amp;$AE981,'ASIGNACIONES'!$J$4:$J$339,0)),"")))</f>
        <v/>
      </c>
      <c r="AG981" s="13">
        <f>IF($AE981="","",SUMIFS('ORDENES'!$M$4:$M$1203,'ORDENES'!$AE$4:$AE$1203,$AE981,'ORDENES'!$O$4:$O$1203,$O981,'ORDENES'!$R$4:$R$1203,$R981))</f>
        <v/>
      </c>
      <c r="AH981" s="13">
        <f>IF($AG981="","",p_factor_productividad*IFERROR(INDEX('ASIGNACIONES'!$I$4:$I$339,MATCH($O981&amp;"|"&amp;$R981&amp;"|"&amp;$AE981,'ASIGNACIONES'!$J$4:$J$339,0)),0)-$AG981)</f>
        <v/>
      </c>
      <c r="AI981" s="10">
        <f>IF($A981="","",IFERROR(INDEX('2_IMPORTAR_EJECUCION'!$F$9:$F$1208,MATCH($AQ981,'2_IMPORTAR_EJECUCION'!$J$9:$J$1208,0)),0))</f>
        <v/>
      </c>
      <c r="AJ981" s="10">
        <f>IF($A981="","",MAX(0,IFERROR(INDEX('2_IMPORTAR_EJECUCION'!$H$9:$H$1208,MATCH($AQ981,'2_IMPORTAR_EJECUCION'!$J$9:$J$1208,0)),0)-$AI981))</f>
        <v/>
      </c>
      <c r="AK981" s="10">
        <f>IF($A981="","",$AI981+$AJ981)</f>
        <v/>
      </c>
      <c r="AL981" s="6" t="n"/>
      <c r="AM981" s="6" t="n"/>
      <c r="AN981" s="6" t="n"/>
      <c r="AO981" s="3">
        <f>IF($AN981="","",HYPERLINK(p_ruta_base_checklists&amp;$AN981,"abrir"))</f>
        <v/>
      </c>
      <c r="AP981" s="6" t="n"/>
      <c r="AQ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IF($A982="","",IFERROR(INDEX('AJUSTES'!$B$4:$B$303,MATCH($AQ982,'AJUSTES'!$A$4:$A$303,0)),IF($K982="","",$K982)))</f>
        <v/>
      </c>
      <c r="N982" s="3">
        <f>IF($A982="","",IFERROR(INDEX('CAT_ESTADOS_ERP'!$B$4:$B$7,MATCH(IFERROR(INDEX('2_IMPORTAR_EJECUCION'!$C$9:$C$1208,MATCH($AQ982,'2_IMPORTAR_EJECUCION'!$J$9:$J$1208,0)),""),'CAT_ESTADOS_ERP'!$A$4:$A$7,0)),"Pendiente"))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J982="","",IFERROR(INDEX('CALENDARIO'!$C$15:$C$214,MATCH(TEXT($J982,"yyyy-mm-dd")&amp;"|"&amp;$V982&amp;"|"&amp;$W982,'CALENDARIO'!$G$15:$G$214,0)),IFERROR(INDEX('CALENDARIO'!$C$15:$C$214,MATCH(TEXT($J982,"yyyy-mm-dd")&amp;"|"&amp;$V982&amp;"|",'CALENDARIO'!$G$15:$G$214,0)),IFERROR(INDEX('CALENDARIO'!$C$15:$C$214,MATCH(TEXT($J982,"yyyy-mm-dd")&amp;"||",'CALENDARIO'!$G$15:$G$214,0)),INDEX(patronHabil,WEEKDAY($J982,2))))))</f>
        <v/>
      </c>
      <c r="T982" s="3">
        <f>IF($I982="","",IFERROR(INDEX('CAT_TIPOS_OT'!$C$4:$C$7,MATCH($I982,'CAT_TIPOS_OT'!$A$4:$A$7,0)),"sin_clasificar"))</f>
        <v/>
      </c>
      <c r="U982" s="3">
        <f>IF($F982="","",IFERROR(INDEX('CAT_CENTROS_COSTO'!$F$4:$F$13,MATCH($F982,'CAT_CENTROS_COSTO'!$A$4:$A$13,0)),"(sin catálogo)"))</f>
        <v/>
      </c>
      <c r="V982" s="3">
        <f>IF($F982="","",IFERROR(INDEX('CAT_CENTROS_COSTO'!$D$4:$D$13,MATCH($F982,'CAT_CENTROS_COSTO'!$A$4:$A$13,0)),"(sin catálogo)"))</f>
        <v/>
      </c>
      <c r="W982" s="3">
        <f>IF($F982="","",IF((IFERROR(INDEX('CAT_CENTROS_COSTO'!$E$4:$E$13,MATCH($F982,'CAT_CENTROS_COSTO'!$A$4:$A$13,0)),""))&lt;&gt;"",IFERROR(INDEX('CAT_CENTROS_COSTO'!$E$4:$E$13,MATCH($F982,'CAT_CENTROS_COSTO'!$A$4:$A$13,0)),""),$V982))</f>
        <v/>
      </c>
      <c r="X982" s="3">
        <f>IF($F982="","",IFERROR(INDEX('CAT_CENTROS_COSTO'!$G$4:$G$13,MATCH($F982,'CAT_CENTROS_COSTO'!$A$4:$A$13,0)),"(sin catálogo)"))</f>
        <v/>
      </c>
      <c r="Y982" s="3">
        <f>IF($G982="","",IFERROR(INDEX('CAT_PUESTOS'!$B$4:$B$8,MATCH($G982,'CAT_PUESTOS'!$A$4:$A$8,0)),"(sin catálogo)"))</f>
        <v/>
      </c>
      <c r="Z982" s="3">
        <f>IF($H982="","",IFERROR(INDEX('CAT_ACTIVIDADES'!$B$4:$B$8,MATCH($H982,'CAT_ACTIVIDADES'!$A$4:$A$8,0)),"(sin catálogo)"))</f>
        <v/>
      </c>
      <c r="AA982" s="12">
        <f>IF($J982="","",TODAY()-$J982)</f>
        <v/>
      </c>
      <c r="AB982" s="12">
        <f>IF($J982="","",IF($J982&lt;=TODAY(),COUNTIFS(cal_fechas,"&gt;="&amp;$J982,cal_fechas,"&lt;"&amp;TODAY(),cal_habil,"sí"),-COUNTIFS(cal_fechas,"&gt;="&amp;TODAY(),cal_fechas,"&lt;"&amp;$J982,cal_habil,"sí")))</f>
        <v/>
      </c>
      <c r="AC982" s="3">
        <f>IF($AB982="","",IF($AB982&lt;0,"FUTURO",IF($AB982&gt;p_dias_backlog_max,"BACKLOG","MES CORRIENTE")))</f>
        <v/>
      </c>
      <c r="AD982" s="3">
        <f>IF($AB982="",FALSE,AND($AB982&gt;p_dias_backlog_min,$AB982&lt;=p_dias_backlog_max))</f>
        <v/>
      </c>
      <c r="AE982" s="6" t="n"/>
      <c r="AF982" s="3">
        <f>IF($AE982="","",IF((IFERROR(INDEX('ASIGNACIONES'!$F$4:$F$339,MATCH($O982&amp;"|"&amp;$R982&amp;"|"&amp;$AE982,'ASIGNACIONES'!$J$4:$J$339,0)),""))=0,"",IFERROR(INDEX('ASIGNACIONES'!$F$4:$F$339,MATCH($O982&amp;"|"&amp;$R982&amp;"|"&amp;$AE982,'ASIGNACIONES'!$J$4:$J$339,0)),"")))</f>
        <v/>
      </c>
      <c r="AG982" s="13">
        <f>IF($AE982="","",SUMIFS('ORDENES'!$M$4:$M$1203,'ORDENES'!$AE$4:$AE$1203,$AE982,'ORDENES'!$O$4:$O$1203,$O982,'ORDENES'!$R$4:$R$1203,$R982))</f>
        <v/>
      </c>
      <c r="AH982" s="13">
        <f>IF($AG982="","",p_factor_productividad*IFERROR(INDEX('ASIGNACIONES'!$I$4:$I$339,MATCH($O982&amp;"|"&amp;$R982&amp;"|"&amp;$AE982,'ASIGNACIONES'!$J$4:$J$339,0)),0)-$AG982)</f>
        <v/>
      </c>
      <c r="AI982" s="10">
        <f>IF($A982="","",IFERROR(INDEX('2_IMPORTAR_EJECUCION'!$F$9:$F$1208,MATCH($AQ982,'2_IMPORTAR_EJECUCION'!$J$9:$J$1208,0)),0))</f>
        <v/>
      </c>
      <c r="AJ982" s="10">
        <f>IF($A982="","",MAX(0,IFERROR(INDEX('2_IMPORTAR_EJECUCION'!$H$9:$H$1208,MATCH($AQ982,'2_IMPORTAR_EJECUCION'!$J$9:$J$1208,0)),0)-$AI982))</f>
        <v/>
      </c>
      <c r="AK982" s="10">
        <f>IF($A982="","",$AI982+$AJ982)</f>
        <v/>
      </c>
      <c r="AL982" s="6" t="n"/>
      <c r="AM982" s="6" t="n"/>
      <c r="AN982" s="6" t="n"/>
      <c r="AO982" s="3">
        <f>IF($AN982="","",HYPERLINK(p_ruta_base_checklists&amp;$AN982,"abrir"))</f>
        <v/>
      </c>
      <c r="AP982" s="6" t="n"/>
      <c r="AQ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IF($A983="","",IFERROR(INDEX('AJUSTES'!$B$4:$B$303,MATCH($AQ983,'AJUSTES'!$A$4:$A$303,0)),IF($K983="","",$K983)))</f>
        <v/>
      </c>
      <c r="N983" s="3">
        <f>IF($A983="","",IFERROR(INDEX('CAT_ESTADOS_ERP'!$B$4:$B$7,MATCH(IFERROR(INDEX('2_IMPORTAR_EJECUCION'!$C$9:$C$1208,MATCH($AQ983,'2_IMPORTAR_EJECUCION'!$J$9:$J$1208,0)),""),'CAT_ESTADOS_ERP'!$A$4:$A$7,0)),"Pendiente"))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J983="","",IFERROR(INDEX('CALENDARIO'!$C$15:$C$214,MATCH(TEXT($J983,"yyyy-mm-dd")&amp;"|"&amp;$V983&amp;"|"&amp;$W983,'CALENDARIO'!$G$15:$G$214,0)),IFERROR(INDEX('CALENDARIO'!$C$15:$C$214,MATCH(TEXT($J983,"yyyy-mm-dd")&amp;"|"&amp;$V983&amp;"|",'CALENDARIO'!$G$15:$G$214,0)),IFERROR(INDEX('CALENDARIO'!$C$15:$C$214,MATCH(TEXT($J983,"yyyy-mm-dd")&amp;"||",'CALENDARIO'!$G$15:$G$214,0)),INDEX(patronHabil,WEEKDAY($J983,2))))))</f>
        <v/>
      </c>
      <c r="T983" s="3">
        <f>IF($I983="","",IFERROR(INDEX('CAT_TIPOS_OT'!$C$4:$C$7,MATCH($I983,'CAT_TIPOS_OT'!$A$4:$A$7,0)),"sin_clasificar"))</f>
        <v/>
      </c>
      <c r="U983" s="3">
        <f>IF($F983="","",IFERROR(INDEX('CAT_CENTROS_COSTO'!$F$4:$F$13,MATCH($F983,'CAT_CENTROS_COSTO'!$A$4:$A$13,0)),"(sin catálogo)"))</f>
        <v/>
      </c>
      <c r="V983" s="3">
        <f>IF($F983="","",IFERROR(INDEX('CAT_CENTROS_COSTO'!$D$4:$D$13,MATCH($F983,'CAT_CENTROS_COSTO'!$A$4:$A$13,0)),"(sin catálogo)"))</f>
        <v/>
      </c>
      <c r="W983" s="3">
        <f>IF($F983="","",IF((IFERROR(INDEX('CAT_CENTROS_COSTO'!$E$4:$E$13,MATCH($F983,'CAT_CENTROS_COSTO'!$A$4:$A$13,0)),""))&lt;&gt;"",IFERROR(INDEX('CAT_CENTROS_COSTO'!$E$4:$E$13,MATCH($F983,'CAT_CENTROS_COSTO'!$A$4:$A$13,0)),""),$V983))</f>
        <v/>
      </c>
      <c r="X983" s="3">
        <f>IF($F983="","",IFERROR(INDEX('CAT_CENTROS_COSTO'!$G$4:$G$13,MATCH($F983,'CAT_CENTROS_COSTO'!$A$4:$A$13,0)),"(sin catálogo)"))</f>
        <v/>
      </c>
      <c r="Y983" s="3">
        <f>IF($G983="","",IFERROR(INDEX('CAT_PUESTOS'!$B$4:$B$8,MATCH($G983,'CAT_PUESTOS'!$A$4:$A$8,0)),"(sin catálogo)"))</f>
        <v/>
      </c>
      <c r="Z983" s="3">
        <f>IF($H983="","",IFERROR(INDEX('CAT_ACTIVIDADES'!$B$4:$B$8,MATCH($H983,'CAT_ACTIVIDADES'!$A$4:$A$8,0)),"(sin catálogo)"))</f>
        <v/>
      </c>
      <c r="AA983" s="12">
        <f>IF($J983="","",TODAY()-$J983)</f>
        <v/>
      </c>
      <c r="AB983" s="12">
        <f>IF($J983="","",IF($J983&lt;=TODAY(),COUNTIFS(cal_fechas,"&gt;="&amp;$J983,cal_fechas,"&lt;"&amp;TODAY(),cal_habil,"sí"),-COUNTIFS(cal_fechas,"&gt;="&amp;TODAY(),cal_fechas,"&lt;"&amp;$J983,cal_habil,"sí")))</f>
        <v/>
      </c>
      <c r="AC983" s="3">
        <f>IF($AB983="","",IF($AB983&lt;0,"FUTURO",IF($AB983&gt;p_dias_backlog_max,"BACKLOG","MES CORRIENTE")))</f>
        <v/>
      </c>
      <c r="AD983" s="3">
        <f>IF($AB983="",FALSE,AND($AB983&gt;p_dias_backlog_min,$AB983&lt;=p_dias_backlog_max))</f>
        <v/>
      </c>
      <c r="AE983" s="6" t="n"/>
      <c r="AF983" s="3">
        <f>IF($AE983="","",IF((IFERROR(INDEX('ASIGNACIONES'!$F$4:$F$339,MATCH($O983&amp;"|"&amp;$R983&amp;"|"&amp;$AE983,'ASIGNACIONES'!$J$4:$J$339,0)),""))=0,"",IFERROR(INDEX('ASIGNACIONES'!$F$4:$F$339,MATCH($O983&amp;"|"&amp;$R983&amp;"|"&amp;$AE983,'ASIGNACIONES'!$J$4:$J$339,0)),"")))</f>
        <v/>
      </c>
      <c r="AG983" s="13">
        <f>IF($AE983="","",SUMIFS('ORDENES'!$M$4:$M$1203,'ORDENES'!$AE$4:$AE$1203,$AE983,'ORDENES'!$O$4:$O$1203,$O983,'ORDENES'!$R$4:$R$1203,$R983))</f>
        <v/>
      </c>
      <c r="AH983" s="13">
        <f>IF($AG983="","",p_factor_productividad*IFERROR(INDEX('ASIGNACIONES'!$I$4:$I$339,MATCH($O983&amp;"|"&amp;$R983&amp;"|"&amp;$AE983,'ASIGNACIONES'!$J$4:$J$339,0)),0)-$AG983)</f>
        <v/>
      </c>
      <c r="AI983" s="10">
        <f>IF($A983="","",IFERROR(INDEX('2_IMPORTAR_EJECUCION'!$F$9:$F$1208,MATCH($AQ983,'2_IMPORTAR_EJECUCION'!$J$9:$J$1208,0)),0))</f>
        <v/>
      </c>
      <c r="AJ983" s="10">
        <f>IF($A983="","",MAX(0,IFERROR(INDEX('2_IMPORTAR_EJECUCION'!$H$9:$H$1208,MATCH($AQ983,'2_IMPORTAR_EJECUCION'!$J$9:$J$1208,0)),0)-$AI983))</f>
        <v/>
      </c>
      <c r="AK983" s="10">
        <f>IF($A983="","",$AI983+$AJ983)</f>
        <v/>
      </c>
      <c r="AL983" s="6" t="n"/>
      <c r="AM983" s="6" t="n"/>
      <c r="AN983" s="6" t="n"/>
      <c r="AO983" s="3">
        <f>IF($AN983="","",HYPERLINK(p_ruta_base_checklists&amp;$AN983,"abrir"))</f>
        <v/>
      </c>
      <c r="AP983" s="6" t="n"/>
      <c r="AQ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IF($A984="","",IFERROR(INDEX('AJUSTES'!$B$4:$B$303,MATCH($AQ984,'AJUSTES'!$A$4:$A$303,0)),IF($K984="","",$K984)))</f>
        <v/>
      </c>
      <c r="N984" s="3">
        <f>IF($A984="","",IFERROR(INDEX('CAT_ESTADOS_ERP'!$B$4:$B$7,MATCH(IFERROR(INDEX('2_IMPORTAR_EJECUCION'!$C$9:$C$1208,MATCH($AQ984,'2_IMPORTAR_EJECUCION'!$J$9:$J$1208,0)),""),'CAT_ESTADOS_ERP'!$A$4:$A$7,0)),"Pendiente"))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J984="","",IFERROR(INDEX('CALENDARIO'!$C$15:$C$214,MATCH(TEXT($J984,"yyyy-mm-dd")&amp;"|"&amp;$V984&amp;"|"&amp;$W984,'CALENDARIO'!$G$15:$G$214,0)),IFERROR(INDEX('CALENDARIO'!$C$15:$C$214,MATCH(TEXT($J984,"yyyy-mm-dd")&amp;"|"&amp;$V984&amp;"|",'CALENDARIO'!$G$15:$G$214,0)),IFERROR(INDEX('CALENDARIO'!$C$15:$C$214,MATCH(TEXT($J984,"yyyy-mm-dd")&amp;"||",'CALENDARIO'!$G$15:$G$214,0)),INDEX(patronHabil,WEEKDAY($J984,2))))))</f>
        <v/>
      </c>
      <c r="T984" s="3">
        <f>IF($I984="","",IFERROR(INDEX('CAT_TIPOS_OT'!$C$4:$C$7,MATCH($I984,'CAT_TIPOS_OT'!$A$4:$A$7,0)),"sin_clasificar"))</f>
        <v/>
      </c>
      <c r="U984" s="3">
        <f>IF($F984="","",IFERROR(INDEX('CAT_CENTROS_COSTO'!$F$4:$F$13,MATCH($F984,'CAT_CENTROS_COSTO'!$A$4:$A$13,0)),"(sin catálogo)"))</f>
        <v/>
      </c>
      <c r="V984" s="3">
        <f>IF($F984="","",IFERROR(INDEX('CAT_CENTROS_COSTO'!$D$4:$D$13,MATCH($F984,'CAT_CENTROS_COSTO'!$A$4:$A$13,0)),"(sin catálogo)"))</f>
        <v/>
      </c>
      <c r="W984" s="3">
        <f>IF($F984="","",IF((IFERROR(INDEX('CAT_CENTROS_COSTO'!$E$4:$E$13,MATCH($F984,'CAT_CENTROS_COSTO'!$A$4:$A$13,0)),""))&lt;&gt;"",IFERROR(INDEX('CAT_CENTROS_COSTO'!$E$4:$E$13,MATCH($F984,'CAT_CENTROS_COSTO'!$A$4:$A$13,0)),""),$V984))</f>
        <v/>
      </c>
      <c r="X984" s="3">
        <f>IF($F984="","",IFERROR(INDEX('CAT_CENTROS_COSTO'!$G$4:$G$13,MATCH($F984,'CAT_CENTROS_COSTO'!$A$4:$A$13,0)),"(sin catálogo)"))</f>
        <v/>
      </c>
      <c r="Y984" s="3">
        <f>IF($G984="","",IFERROR(INDEX('CAT_PUESTOS'!$B$4:$B$8,MATCH($G984,'CAT_PUESTOS'!$A$4:$A$8,0)),"(sin catálogo)"))</f>
        <v/>
      </c>
      <c r="Z984" s="3">
        <f>IF($H984="","",IFERROR(INDEX('CAT_ACTIVIDADES'!$B$4:$B$8,MATCH($H984,'CAT_ACTIVIDADES'!$A$4:$A$8,0)),"(sin catálogo)"))</f>
        <v/>
      </c>
      <c r="AA984" s="12">
        <f>IF($J984="","",TODAY()-$J984)</f>
        <v/>
      </c>
      <c r="AB984" s="12">
        <f>IF($J984="","",IF($J984&lt;=TODAY(),COUNTIFS(cal_fechas,"&gt;="&amp;$J984,cal_fechas,"&lt;"&amp;TODAY(),cal_habil,"sí"),-COUNTIFS(cal_fechas,"&gt;="&amp;TODAY(),cal_fechas,"&lt;"&amp;$J984,cal_habil,"sí")))</f>
        <v/>
      </c>
      <c r="AC984" s="3">
        <f>IF($AB984="","",IF($AB984&lt;0,"FUTURO",IF($AB984&gt;p_dias_backlog_max,"BACKLOG","MES CORRIENTE")))</f>
        <v/>
      </c>
      <c r="AD984" s="3">
        <f>IF($AB984="",FALSE,AND($AB984&gt;p_dias_backlog_min,$AB984&lt;=p_dias_backlog_max))</f>
        <v/>
      </c>
      <c r="AE984" s="6" t="n"/>
      <c r="AF984" s="3">
        <f>IF($AE984="","",IF((IFERROR(INDEX('ASIGNACIONES'!$F$4:$F$339,MATCH($O984&amp;"|"&amp;$R984&amp;"|"&amp;$AE984,'ASIGNACIONES'!$J$4:$J$339,0)),""))=0,"",IFERROR(INDEX('ASIGNACIONES'!$F$4:$F$339,MATCH($O984&amp;"|"&amp;$R984&amp;"|"&amp;$AE984,'ASIGNACIONES'!$J$4:$J$339,0)),"")))</f>
        <v/>
      </c>
      <c r="AG984" s="13">
        <f>IF($AE984="","",SUMIFS('ORDENES'!$M$4:$M$1203,'ORDENES'!$AE$4:$AE$1203,$AE984,'ORDENES'!$O$4:$O$1203,$O984,'ORDENES'!$R$4:$R$1203,$R984))</f>
        <v/>
      </c>
      <c r="AH984" s="13">
        <f>IF($AG984="","",p_factor_productividad*IFERROR(INDEX('ASIGNACIONES'!$I$4:$I$339,MATCH($O984&amp;"|"&amp;$R984&amp;"|"&amp;$AE984,'ASIGNACIONES'!$J$4:$J$339,0)),0)-$AG984)</f>
        <v/>
      </c>
      <c r="AI984" s="10">
        <f>IF($A984="","",IFERROR(INDEX('2_IMPORTAR_EJECUCION'!$F$9:$F$1208,MATCH($AQ984,'2_IMPORTAR_EJECUCION'!$J$9:$J$1208,0)),0))</f>
        <v/>
      </c>
      <c r="AJ984" s="10">
        <f>IF($A984="","",MAX(0,IFERROR(INDEX('2_IMPORTAR_EJECUCION'!$H$9:$H$1208,MATCH($AQ984,'2_IMPORTAR_EJECUCION'!$J$9:$J$1208,0)),0)-$AI984))</f>
        <v/>
      </c>
      <c r="AK984" s="10">
        <f>IF($A984="","",$AI984+$AJ984)</f>
        <v/>
      </c>
      <c r="AL984" s="6" t="n"/>
      <c r="AM984" s="6" t="n"/>
      <c r="AN984" s="6" t="n"/>
      <c r="AO984" s="3">
        <f>IF($AN984="","",HYPERLINK(p_ruta_base_checklists&amp;$AN984,"abrir"))</f>
        <v/>
      </c>
      <c r="AP984" s="6" t="n"/>
      <c r="AQ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IF($A985="","",IFERROR(INDEX('AJUSTES'!$B$4:$B$303,MATCH($AQ985,'AJUSTES'!$A$4:$A$303,0)),IF($K985="","",$K985)))</f>
        <v/>
      </c>
      <c r="N985" s="3">
        <f>IF($A985="","",IFERROR(INDEX('CAT_ESTADOS_ERP'!$B$4:$B$7,MATCH(IFERROR(INDEX('2_IMPORTAR_EJECUCION'!$C$9:$C$1208,MATCH($AQ985,'2_IMPORTAR_EJECUCION'!$J$9:$J$1208,0)),""),'CAT_ESTADOS_ERP'!$A$4:$A$7,0)),"Pendiente"))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J985="","",IFERROR(INDEX('CALENDARIO'!$C$15:$C$214,MATCH(TEXT($J985,"yyyy-mm-dd")&amp;"|"&amp;$V985&amp;"|"&amp;$W985,'CALENDARIO'!$G$15:$G$214,0)),IFERROR(INDEX('CALENDARIO'!$C$15:$C$214,MATCH(TEXT($J985,"yyyy-mm-dd")&amp;"|"&amp;$V985&amp;"|",'CALENDARIO'!$G$15:$G$214,0)),IFERROR(INDEX('CALENDARIO'!$C$15:$C$214,MATCH(TEXT($J985,"yyyy-mm-dd")&amp;"||",'CALENDARIO'!$G$15:$G$214,0)),INDEX(patronHabil,WEEKDAY($J985,2))))))</f>
        <v/>
      </c>
      <c r="T985" s="3">
        <f>IF($I985="","",IFERROR(INDEX('CAT_TIPOS_OT'!$C$4:$C$7,MATCH($I985,'CAT_TIPOS_OT'!$A$4:$A$7,0)),"sin_clasificar"))</f>
        <v/>
      </c>
      <c r="U985" s="3">
        <f>IF($F985="","",IFERROR(INDEX('CAT_CENTROS_COSTO'!$F$4:$F$13,MATCH($F985,'CAT_CENTROS_COSTO'!$A$4:$A$13,0)),"(sin catálogo)"))</f>
        <v/>
      </c>
      <c r="V985" s="3">
        <f>IF($F985="","",IFERROR(INDEX('CAT_CENTROS_COSTO'!$D$4:$D$13,MATCH($F985,'CAT_CENTROS_COSTO'!$A$4:$A$13,0)),"(sin catálogo)"))</f>
        <v/>
      </c>
      <c r="W985" s="3">
        <f>IF($F985="","",IF((IFERROR(INDEX('CAT_CENTROS_COSTO'!$E$4:$E$13,MATCH($F985,'CAT_CENTROS_COSTO'!$A$4:$A$13,0)),""))&lt;&gt;"",IFERROR(INDEX('CAT_CENTROS_COSTO'!$E$4:$E$13,MATCH($F985,'CAT_CENTROS_COSTO'!$A$4:$A$13,0)),""),$V985))</f>
        <v/>
      </c>
      <c r="X985" s="3">
        <f>IF($F985="","",IFERROR(INDEX('CAT_CENTROS_COSTO'!$G$4:$G$13,MATCH($F985,'CAT_CENTROS_COSTO'!$A$4:$A$13,0)),"(sin catálogo)"))</f>
        <v/>
      </c>
      <c r="Y985" s="3">
        <f>IF($G985="","",IFERROR(INDEX('CAT_PUESTOS'!$B$4:$B$8,MATCH($G985,'CAT_PUESTOS'!$A$4:$A$8,0)),"(sin catálogo)"))</f>
        <v/>
      </c>
      <c r="Z985" s="3">
        <f>IF($H985="","",IFERROR(INDEX('CAT_ACTIVIDADES'!$B$4:$B$8,MATCH($H985,'CAT_ACTIVIDADES'!$A$4:$A$8,0)),"(sin catálogo)"))</f>
        <v/>
      </c>
      <c r="AA985" s="12">
        <f>IF($J985="","",TODAY()-$J985)</f>
        <v/>
      </c>
      <c r="AB985" s="12">
        <f>IF($J985="","",IF($J985&lt;=TODAY(),COUNTIFS(cal_fechas,"&gt;="&amp;$J985,cal_fechas,"&lt;"&amp;TODAY(),cal_habil,"sí"),-COUNTIFS(cal_fechas,"&gt;="&amp;TODAY(),cal_fechas,"&lt;"&amp;$J985,cal_habil,"sí")))</f>
        <v/>
      </c>
      <c r="AC985" s="3">
        <f>IF($AB985="","",IF($AB985&lt;0,"FUTURO",IF($AB985&gt;p_dias_backlog_max,"BACKLOG","MES CORRIENTE")))</f>
        <v/>
      </c>
      <c r="AD985" s="3">
        <f>IF($AB985="",FALSE,AND($AB985&gt;p_dias_backlog_min,$AB985&lt;=p_dias_backlog_max))</f>
        <v/>
      </c>
      <c r="AE985" s="6" t="n"/>
      <c r="AF985" s="3">
        <f>IF($AE985="","",IF((IFERROR(INDEX('ASIGNACIONES'!$F$4:$F$339,MATCH($O985&amp;"|"&amp;$R985&amp;"|"&amp;$AE985,'ASIGNACIONES'!$J$4:$J$339,0)),""))=0,"",IFERROR(INDEX('ASIGNACIONES'!$F$4:$F$339,MATCH($O985&amp;"|"&amp;$R985&amp;"|"&amp;$AE985,'ASIGNACIONES'!$J$4:$J$339,0)),"")))</f>
        <v/>
      </c>
      <c r="AG985" s="13">
        <f>IF($AE985="","",SUMIFS('ORDENES'!$M$4:$M$1203,'ORDENES'!$AE$4:$AE$1203,$AE985,'ORDENES'!$O$4:$O$1203,$O985,'ORDENES'!$R$4:$R$1203,$R985))</f>
        <v/>
      </c>
      <c r="AH985" s="13">
        <f>IF($AG985="","",p_factor_productividad*IFERROR(INDEX('ASIGNACIONES'!$I$4:$I$339,MATCH($O985&amp;"|"&amp;$R985&amp;"|"&amp;$AE985,'ASIGNACIONES'!$J$4:$J$339,0)),0)-$AG985)</f>
        <v/>
      </c>
      <c r="AI985" s="10">
        <f>IF($A985="","",IFERROR(INDEX('2_IMPORTAR_EJECUCION'!$F$9:$F$1208,MATCH($AQ985,'2_IMPORTAR_EJECUCION'!$J$9:$J$1208,0)),0))</f>
        <v/>
      </c>
      <c r="AJ985" s="10">
        <f>IF($A985="","",MAX(0,IFERROR(INDEX('2_IMPORTAR_EJECUCION'!$H$9:$H$1208,MATCH($AQ985,'2_IMPORTAR_EJECUCION'!$J$9:$J$1208,0)),0)-$AI985))</f>
        <v/>
      </c>
      <c r="AK985" s="10">
        <f>IF($A985="","",$AI985+$AJ985)</f>
        <v/>
      </c>
      <c r="AL985" s="6" t="n"/>
      <c r="AM985" s="6" t="n"/>
      <c r="AN985" s="6" t="n"/>
      <c r="AO985" s="3">
        <f>IF($AN985="","",HYPERLINK(p_ruta_base_checklists&amp;$AN985,"abrir"))</f>
        <v/>
      </c>
      <c r="AP985" s="6" t="n"/>
      <c r="AQ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IF($A986="","",IFERROR(INDEX('AJUSTES'!$B$4:$B$303,MATCH($AQ986,'AJUSTES'!$A$4:$A$303,0)),IF($K986="","",$K986)))</f>
        <v/>
      </c>
      <c r="N986" s="3">
        <f>IF($A986="","",IFERROR(INDEX('CAT_ESTADOS_ERP'!$B$4:$B$7,MATCH(IFERROR(INDEX('2_IMPORTAR_EJECUCION'!$C$9:$C$1208,MATCH($AQ986,'2_IMPORTAR_EJECUCION'!$J$9:$J$1208,0)),""),'CAT_ESTADOS_ERP'!$A$4:$A$7,0)),"Pendiente"))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J986="","",IFERROR(INDEX('CALENDARIO'!$C$15:$C$214,MATCH(TEXT($J986,"yyyy-mm-dd")&amp;"|"&amp;$V986&amp;"|"&amp;$W986,'CALENDARIO'!$G$15:$G$214,0)),IFERROR(INDEX('CALENDARIO'!$C$15:$C$214,MATCH(TEXT($J986,"yyyy-mm-dd")&amp;"|"&amp;$V986&amp;"|",'CALENDARIO'!$G$15:$G$214,0)),IFERROR(INDEX('CALENDARIO'!$C$15:$C$214,MATCH(TEXT($J986,"yyyy-mm-dd")&amp;"||",'CALENDARIO'!$G$15:$G$214,0)),INDEX(patronHabil,WEEKDAY($J986,2))))))</f>
        <v/>
      </c>
      <c r="T986" s="3">
        <f>IF($I986="","",IFERROR(INDEX('CAT_TIPOS_OT'!$C$4:$C$7,MATCH($I986,'CAT_TIPOS_OT'!$A$4:$A$7,0)),"sin_clasificar"))</f>
        <v/>
      </c>
      <c r="U986" s="3">
        <f>IF($F986="","",IFERROR(INDEX('CAT_CENTROS_COSTO'!$F$4:$F$13,MATCH($F986,'CAT_CENTROS_COSTO'!$A$4:$A$13,0)),"(sin catálogo)"))</f>
        <v/>
      </c>
      <c r="V986" s="3">
        <f>IF($F986="","",IFERROR(INDEX('CAT_CENTROS_COSTO'!$D$4:$D$13,MATCH($F986,'CAT_CENTROS_COSTO'!$A$4:$A$13,0)),"(sin catálogo)"))</f>
        <v/>
      </c>
      <c r="W986" s="3">
        <f>IF($F986="","",IF((IFERROR(INDEX('CAT_CENTROS_COSTO'!$E$4:$E$13,MATCH($F986,'CAT_CENTROS_COSTO'!$A$4:$A$13,0)),""))&lt;&gt;"",IFERROR(INDEX('CAT_CENTROS_COSTO'!$E$4:$E$13,MATCH($F986,'CAT_CENTROS_COSTO'!$A$4:$A$13,0)),""),$V986))</f>
        <v/>
      </c>
      <c r="X986" s="3">
        <f>IF($F986="","",IFERROR(INDEX('CAT_CENTROS_COSTO'!$G$4:$G$13,MATCH($F986,'CAT_CENTROS_COSTO'!$A$4:$A$13,0)),"(sin catálogo)"))</f>
        <v/>
      </c>
      <c r="Y986" s="3">
        <f>IF($G986="","",IFERROR(INDEX('CAT_PUESTOS'!$B$4:$B$8,MATCH($G986,'CAT_PUESTOS'!$A$4:$A$8,0)),"(sin catálogo)"))</f>
        <v/>
      </c>
      <c r="Z986" s="3">
        <f>IF($H986="","",IFERROR(INDEX('CAT_ACTIVIDADES'!$B$4:$B$8,MATCH($H986,'CAT_ACTIVIDADES'!$A$4:$A$8,0)),"(sin catálogo)"))</f>
        <v/>
      </c>
      <c r="AA986" s="12">
        <f>IF($J986="","",TODAY()-$J986)</f>
        <v/>
      </c>
      <c r="AB986" s="12">
        <f>IF($J986="","",IF($J986&lt;=TODAY(),COUNTIFS(cal_fechas,"&gt;="&amp;$J986,cal_fechas,"&lt;"&amp;TODAY(),cal_habil,"sí"),-COUNTIFS(cal_fechas,"&gt;="&amp;TODAY(),cal_fechas,"&lt;"&amp;$J986,cal_habil,"sí")))</f>
        <v/>
      </c>
      <c r="AC986" s="3">
        <f>IF($AB986="","",IF($AB986&lt;0,"FUTURO",IF($AB986&gt;p_dias_backlog_max,"BACKLOG","MES CORRIENTE")))</f>
        <v/>
      </c>
      <c r="AD986" s="3">
        <f>IF($AB986="",FALSE,AND($AB986&gt;p_dias_backlog_min,$AB986&lt;=p_dias_backlog_max))</f>
        <v/>
      </c>
      <c r="AE986" s="6" t="n"/>
      <c r="AF986" s="3">
        <f>IF($AE986="","",IF((IFERROR(INDEX('ASIGNACIONES'!$F$4:$F$339,MATCH($O986&amp;"|"&amp;$R986&amp;"|"&amp;$AE986,'ASIGNACIONES'!$J$4:$J$339,0)),""))=0,"",IFERROR(INDEX('ASIGNACIONES'!$F$4:$F$339,MATCH($O986&amp;"|"&amp;$R986&amp;"|"&amp;$AE986,'ASIGNACIONES'!$J$4:$J$339,0)),"")))</f>
        <v/>
      </c>
      <c r="AG986" s="13">
        <f>IF($AE986="","",SUMIFS('ORDENES'!$M$4:$M$1203,'ORDENES'!$AE$4:$AE$1203,$AE986,'ORDENES'!$O$4:$O$1203,$O986,'ORDENES'!$R$4:$R$1203,$R986))</f>
        <v/>
      </c>
      <c r="AH986" s="13">
        <f>IF($AG986="","",p_factor_productividad*IFERROR(INDEX('ASIGNACIONES'!$I$4:$I$339,MATCH($O986&amp;"|"&amp;$R986&amp;"|"&amp;$AE986,'ASIGNACIONES'!$J$4:$J$339,0)),0)-$AG986)</f>
        <v/>
      </c>
      <c r="AI986" s="10">
        <f>IF($A986="","",IFERROR(INDEX('2_IMPORTAR_EJECUCION'!$F$9:$F$1208,MATCH($AQ986,'2_IMPORTAR_EJECUCION'!$J$9:$J$1208,0)),0))</f>
        <v/>
      </c>
      <c r="AJ986" s="10">
        <f>IF($A986="","",MAX(0,IFERROR(INDEX('2_IMPORTAR_EJECUCION'!$H$9:$H$1208,MATCH($AQ986,'2_IMPORTAR_EJECUCION'!$J$9:$J$1208,0)),0)-$AI986))</f>
        <v/>
      </c>
      <c r="AK986" s="10">
        <f>IF($A986="","",$AI986+$AJ986)</f>
        <v/>
      </c>
      <c r="AL986" s="6" t="n"/>
      <c r="AM986" s="6" t="n"/>
      <c r="AN986" s="6" t="n"/>
      <c r="AO986" s="3">
        <f>IF($AN986="","",HYPERLINK(p_ruta_base_checklists&amp;$AN986,"abrir"))</f>
        <v/>
      </c>
      <c r="AP986" s="6" t="n"/>
      <c r="AQ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IF($A987="","",IFERROR(INDEX('AJUSTES'!$B$4:$B$303,MATCH($AQ987,'AJUSTES'!$A$4:$A$303,0)),IF($K987="","",$K987)))</f>
        <v/>
      </c>
      <c r="N987" s="3">
        <f>IF($A987="","",IFERROR(INDEX('CAT_ESTADOS_ERP'!$B$4:$B$7,MATCH(IFERROR(INDEX('2_IMPORTAR_EJECUCION'!$C$9:$C$1208,MATCH($AQ987,'2_IMPORTAR_EJECUCION'!$J$9:$J$1208,0)),""),'CAT_ESTADOS_ERP'!$A$4:$A$7,0)),"Pendiente"))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J987="","",IFERROR(INDEX('CALENDARIO'!$C$15:$C$214,MATCH(TEXT($J987,"yyyy-mm-dd")&amp;"|"&amp;$V987&amp;"|"&amp;$W987,'CALENDARIO'!$G$15:$G$214,0)),IFERROR(INDEX('CALENDARIO'!$C$15:$C$214,MATCH(TEXT($J987,"yyyy-mm-dd")&amp;"|"&amp;$V987&amp;"|",'CALENDARIO'!$G$15:$G$214,0)),IFERROR(INDEX('CALENDARIO'!$C$15:$C$214,MATCH(TEXT($J987,"yyyy-mm-dd")&amp;"||",'CALENDARIO'!$G$15:$G$214,0)),INDEX(patronHabil,WEEKDAY($J987,2))))))</f>
        <v/>
      </c>
      <c r="T987" s="3">
        <f>IF($I987="","",IFERROR(INDEX('CAT_TIPOS_OT'!$C$4:$C$7,MATCH($I987,'CAT_TIPOS_OT'!$A$4:$A$7,0)),"sin_clasificar"))</f>
        <v/>
      </c>
      <c r="U987" s="3">
        <f>IF($F987="","",IFERROR(INDEX('CAT_CENTROS_COSTO'!$F$4:$F$13,MATCH($F987,'CAT_CENTROS_COSTO'!$A$4:$A$13,0)),"(sin catálogo)"))</f>
        <v/>
      </c>
      <c r="V987" s="3">
        <f>IF($F987="","",IFERROR(INDEX('CAT_CENTROS_COSTO'!$D$4:$D$13,MATCH($F987,'CAT_CENTROS_COSTO'!$A$4:$A$13,0)),"(sin catálogo)"))</f>
        <v/>
      </c>
      <c r="W987" s="3">
        <f>IF($F987="","",IF((IFERROR(INDEX('CAT_CENTROS_COSTO'!$E$4:$E$13,MATCH($F987,'CAT_CENTROS_COSTO'!$A$4:$A$13,0)),""))&lt;&gt;"",IFERROR(INDEX('CAT_CENTROS_COSTO'!$E$4:$E$13,MATCH($F987,'CAT_CENTROS_COSTO'!$A$4:$A$13,0)),""),$V987))</f>
        <v/>
      </c>
      <c r="X987" s="3">
        <f>IF($F987="","",IFERROR(INDEX('CAT_CENTROS_COSTO'!$G$4:$G$13,MATCH($F987,'CAT_CENTROS_COSTO'!$A$4:$A$13,0)),"(sin catálogo)"))</f>
        <v/>
      </c>
      <c r="Y987" s="3">
        <f>IF($G987="","",IFERROR(INDEX('CAT_PUESTOS'!$B$4:$B$8,MATCH($G987,'CAT_PUESTOS'!$A$4:$A$8,0)),"(sin catálogo)"))</f>
        <v/>
      </c>
      <c r="Z987" s="3">
        <f>IF($H987="","",IFERROR(INDEX('CAT_ACTIVIDADES'!$B$4:$B$8,MATCH($H987,'CAT_ACTIVIDADES'!$A$4:$A$8,0)),"(sin catálogo)"))</f>
        <v/>
      </c>
      <c r="AA987" s="12">
        <f>IF($J987="","",TODAY()-$J987)</f>
        <v/>
      </c>
      <c r="AB987" s="12">
        <f>IF($J987="","",IF($J987&lt;=TODAY(),COUNTIFS(cal_fechas,"&gt;="&amp;$J987,cal_fechas,"&lt;"&amp;TODAY(),cal_habil,"sí"),-COUNTIFS(cal_fechas,"&gt;="&amp;TODAY(),cal_fechas,"&lt;"&amp;$J987,cal_habil,"sí")))</f>
        <v/>
      </c>
      <c r="AC987" s="3">
        <f>IF($AB987="","",IF($AB987&lt;0,"FUTURO",IF($AB987&gt;p_dias_backlog_max,"BACKLOG","MES CORRIENTE")))</f>
        <v/>
      </c>
      <c r="AD987" s="3">
        <f>IF($AB987="",FALSE,AND($AB987&gt;p_dias_backlog_min,$AB987&lt;=p_dias_backlog_max))</f>
        <v/>
      </c>
      <c r="AE987" s="6" t="n"/>
      <c r="AF987" s="3">
        <f>IF($AE987="","",IF((IFERROR(INDEX('ASIGNACIONES'!$F$4:$F$339,MATCH($O987&amp;"|"&amp;$R987&amp;"|"&amp;$AE987,'ASIGNACIONES'!$J$4:$J$339,0)),""))=0,"",IFERROR(INDEX('ASIGNACIONES'!$F$4:$F$339,MATCH($O987&amp;"|"&amp;$R987&amp;"|"&amp;$AE987,'ASIGNACIONES'!$J$4:$J$339,0)),"")))</f>
        <v/>
      </c>
      <c r="AG987" s="13">
        <f>IF($AE987="","",SUMIFS('ORDENES'!$M$4:$M$1203,'ORDENES'!$AE$4:$AE$1203,$AE987,'ORDENES'!$O$4:$O$1203,$O987,'ORDENES'!$R$4:$R$1203,$R987))</f>
        <v/>
      </c>
      <c r="AH987" s="13">
        <f>IF($AG987="","",p_factor_productividad*IFERROR(INDEX('ASIGNACIONES'!$I$4:$I$339,MATCH($O987&amp;"|"&amp;$R987&amp;"|"&amp;$AE987,'ASIGNACIONES'!$J$4:$J$339,0)),0)-$AG987)</f>
        <v/>
      </c>
      <c r="AI987" s="10">
        <f>IF($A987="","",IFERROR(INDEX('2_IMPORTAR_EJECUCION'!$F$9:$F$1208,MATCH($AQ987,'2_IMPORTAR_EJECUCION'!$J$9:$J$1208,0)),0))</f>
        <v/>
      </c>
      <c r="AJ987" s="10">
        <f>IF($A987="","",MAX(0,IFERROR(INDEX('2_IMPORTAR_EJECUCION'!$H$9:$H$1208,MATCH($AQ987,'2_IMPORTAR_EJECUCION'!$J$9:$J$1208,0)),0)-$AI987))</f>
        <v/>
      </c>
      <c r="AK987" s="10">
        <f>IF($A987="","",$AI987+$AJ987)</f>
        <v/>
      </c>
      <c r="AL987" s="6" t="n"/>
      <c r="AM987" s="6" t="n"/>
      <c r="AN987" s="6" t="n"/>
      <c r="AO987" s="3">
        <f>IF($AN987="","",HYPERLINK(p_ruta_base_checklists&amp;$AN987,"abrir"))</f>
        <v/>
      </c>
      <c r="AP987" s="6" t="n"/>
      <c r="AQ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IF($A988="","",IFERROR(INDEX('AJUSTES'!$B$4:$B$303,MATCH($AQ988,'AJUSTES'!$A$4:$A$303,0)),IF($K988="","",$K988)))</f>
        <v/>
      </c>
      <c r="N988" s="3">
        <f>IF($A988="","",IFERROR(INDEX('CAT_ESTADOS_ERP'!$B$4:$B$7,MATCH(IFERROR(INDEX('2_IMPORTAR_EJECUCION'!$C$9:$C$1208,MATCH($AQ988,'2_IMPORTAR_EJECUCION'!$J$9:$J$1208,0)),""),'CAT_ESTADOS_ERP'!$A$4:$A$7,0)),"Pendiente"))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J988="","",IFERROR(INDEX('CALENDARIO'!$C$15:$C$214,MATCH(TEXT($J988,"yyyy-mm-dd")&amp;"|"&amp;$V988&amp;"|"&amp;$W988,'CALENDARIO'!$G$15:$G$214,0)),IFERROR(INDEX('CALENDARIO'!$C$15:$C$214,MATCH(TEXT($J988,"yyyy-mm-dd")&amp;"|"&amp;$V988&amp;"|",'CALENDARIO'!$G$15:$G$214,0)),IFERROR(INDEX('CALENDARIO'!$C$15:$C$214,MATCH(TEXT($J988,"yyyy-mm-dd")&amp;"||",'CALENDARIO'!$G$15:$G$214,0)),INDEX(patronHabil,WEEKDAY($J988,2))))))</f>
        <v/>
      </c>
      <c r="T988" s="3">
        <f>IF($I988="","",IFERROR(INDEX('CAT_TIPOS_OT'!$C$4:$C$7,MATCH($I988,'CAT_TIPOS_OT'!$A$4:$A$7,0)),"sin_clasificar"))</f>
        <v/>
      </c>
      <c r="U988" s="3">
        <f>IF($F988="","",IFERROR(INDEX('CAT_CENTROS_COSTO'!$F$4:$F$13,MATCH($F988,'CAT_CENTROS_COSTO'!$A$4:$A$13,0)),"(sin catálogo)"))</f>
        <v/>
      </c>
      <c r="V988" s="3">
        <f>IF($F988="","",IFERROR(INDEX('CAT_CENTROS_COSTO'!$D$4:$D$13,MATCH($F988,'CAT_CENTROS_COSTO'!$A$4:$A$13,0)),"(sin catálogo)"))</f>
        <v/>
      </c>
      <c r="W988" s="3">
        <f>IF($F988="","",IF((IFERROR(INDEX('CAT_CENTROS_COSTO'!$E$4:$E$13,MATCH($F988,'CAT_CENTROS_COSTO'!$A$4:$A$13,0)),""))&lt;&gt;"",IFERROR(INDEX('CAT_CENTROS_COSTO'!$E$4:$E$13,MATCH($F988,'CAT_CENTROS_COSTO'!$A$4:$A$13,0)),""),$V988))</f>
        <v/>
      </c>
      <c r="X988" s="3">
        <f>IF($F988="","",IFERROR(INDEX('CAT_CENTROS_COSTO'!$G$4:$G$13,MATCH($F988,'CAT_CENTROS_COSTO'!$A$4:$A$13,0)),"(sin catálogo)"))</f>
        <v/>
      </c>
      <c r="Y988" s="3">
        <f>IF($G988="","",IFERROR(INDEX('CAT_PUESTOS'!$B$4:$B$8,MATCH($G988,'CAT_PUESTOS'!$A$4:$A$8,0)),"(sin catálogo)"))</f>
        <v/>
      </c>
      <c r="Z988" s="3">
        <f>IF($H988="","",IFERROR(INDEX('CAT_ACTIVIDADES'!$B$4:$B$8,MATCH($H988,'CAT_ACTIVIDADES'!$A$4:$A$8,0)),"(sin catálogo)"))</f>
        <v/>
      </c>
      <c r="AA988" s="12">
        <f>IF($J988="","",TODAY()-$J988)</f>
        <v/>
      </c>
      <c r="AB988" s="12">
        <f>IF($J988="","",IF($J988&lt;=TODAY(),COUNTIFS(cal_fechas,"&gt;="&amp;$J988,cal_fechas,"&lt;"&amp;TODAY(),cal_habil,"sí"),-COUNTIFS(cal_fechas,"&gt;="&amp;TODAY(),cal_fechas,"&lt;"&amp;$J988,cal_habil,"sí")))</f>
        <v/>
      </c>
      <c r="AC988" s="3">
        <f>IF($AB988="","",IF($AB988&lt;0,"FUTURO",IF($AB988&gt;p_dias_backlog_max,"BACKLOG","MES CORRIENTE")))</f>
        <v/>
      </c>
      <c r="AD988" s="3">
        <f>IF($AB988="",FALSE,AND($AB988&gt;p_dias_backlog_min,$AB988&lt;=p_dias_backlog_max))</f>
        <v/>
      </c>
      <c r="AE988" s="6" t="n"/>
      <c r="AF988" s="3">
        <f>IF($AE988="","",IF((IFERROR(INDEX('ASIGNACIONES'!$F$4:$F$339,MATCH($O988&amp;"|"&amp;$R988&amp;"|"&amp;$AE988,'ASIGNACIONES'!$J$4:$J$339,0)),""))=0,"",IFERROR(INDEX('ASIGNACIONES'!$F$4:$F$339,MATCH($O988&amp;"|"&amp;$R988&amp;"|"&amp;$AE988,'ASIGNACIONES'!$J$4:$J$339,0)),"")))</f>
        <v/>
      </c>
      <c r="AG988" s="13">
        <f>IF($AE988="","",SUMIFS('ORDENES'!$M$4:$M$1203,'ORDENES'!$AE$4:$AE$1203,$AE988,'ORDENES'!$O$4:$O$1203,$O988,'ORDENES'!$R$4:$R$1203,$R988))</f>
        <v/>
      </c>
      <c r="AH988" s="13">
        <f>IF($AG988="","",p_factor_productividad*IFERROR(INDEX('ASIGNACIONES'!$I$4:$I$339,MATCH($O988&amp;"|"&amp;$R988&amp;"|"&amp;$AE988,'ASIGNACIONES'!$J$4:$J$339,0)),0)-$AG988)</f>
        <v/>
      </c>
      <c r="AI988" s="10">
        <f>IF($A988="","",IFERROR(INDEX('2_IMPORTAR_EJECUCION'!$F$9:$F$1208,MATCH($AQ988,'2_IMPORTAR_EJECUCION'!$J$9:$J$1208,0)),0))</f>
        <v/>
      </c>
      <c r="AJ988" s="10">
        <f>IF($A988="","",MAX(0,IFERROR(INDEX('2_IMPORTAR_EJECUCION'!$H$9:$H$1208,MATCH($AQ988,'2_IMPORTAR_EJECUCION'!$J$9:$J$1208,0)),0)-$AI988))</f>
        <v/>
      </c>
      <c r="AK988" s="10">
        <f>IF($A988="","",$AI988+$AJ988)</f>
        <v/>
      </c>
      <c r="AL988" s="6" t="n"/>
      <c r="AM988" s="6" t="n"/>
      <c r="AN988" s="6" t="n"/>
      <c r="AO988" s="3">
        <f>IF($AN988="","",HYPERLINK(p_ruta_base_checklists&amp;$AN988,"abrir"))</f>
        <v/>
      </c>
      <c r="AP988" s="6" t="n"/>
      <c r="AQ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IF($A989="","",IFERROR(INDEX('AJUSTES'!$B$4:$B$303,MATCH($AQ989,'AJUSTES'!$A$4:$A$303,0)),IF($K989="","",$K989)))</f>
        <v/>
      </c>
      <c r="N989" s="3">
        <f>IF($A989="","",IFERROR(INDEX('CAT_ESTADOS_ERP'!$B$4:$B$7,MATCH(IFERROR(INDEX('2_IMPORTAR_EJECUCION'!$C$9:$C$1208,MATCH($AQ989,'2_IMPORTAR_EJECUCION'!$J$9:$J$1208,0)),""),'CAT_ESTADOS_ERP'!$A$4:$A$7,0)),"Pendiente"))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J989="","",IFERROR(INDEX('CALENDARIO'!$C$15:$C$214,MATCH(TEXT($J989,"yyyy-mm-dd")&amp;"|"&amp;$V989&amp;"|"&amp;$W989,'CALENDARIO'!$G$15:$G$214,0)),IFERROR(INDEX('CALENDARIO'!$C$15:$C$214,MATCH(TEXT($J989,"yyyy-mm-dd")&amp;"|"&amp;$V989&amp;"|",'CALENDARIO'!$G$15:$G$214,0)),IFERROR(INDEX('CALENDARIO'!$C$15:$C$214,MATCH(TEXT($J989,"yyyy-mm-dd")&amp;"||",'CALENDARIO'!$G$15:$G$214,0)),INDEX(patronHabil,WEEKDAY($J989,2))))))</f>
        <v/>
      </c>
      <c r="T989" s="3">
        <f>IF($I989="","",IFERROR(INDEX('CAT_TIPOS_OT'!$C$4:$C$7,MATCH($I989,'CAT_TIPOS_OT'!$A$4:$A$7,0)),"sin_clasificar"))</f>
        <v/>
      </c>
      <c r="U989" s="3">
        <f>IF($F989="","",IFERROR(INDEX('CAT_CENTROS_COSTO'!$F$4:$F$13,MATCH($F989,'CAT_CENTROS_COSTO'!$A$4:$A$13,0)),"(sin catálogo)"))</f>
        <v/>
      </c>
      <c r="V989" s="3">
        <f>IF($F989="","",IFERROR(INDEX('CAT_CENTROS_COSTO'!$D$4:$D$13,MATCH($F989,'CAT_CENTROS_COSTO'!$A$4:$A$13,0)),"(sin catálogo)"))</f>
        <v/>
      </c>
      <c r="W989" s="3">
        <f>IF($F989="","",IF((IFERROR(INDEX('CAT_CENTROS_COSTO'!$E$4:$E$13,MATCH($F989,'CAT_CENTROS_COSTO'!$A$4:$A$13,0)),""))&lt;&gt;"",IFERROR(INDEX('CAT_CENTROS_COSTO'!$E$4:$E$13,MATCH($F989,'CAT_CENTROS_COSTO'!$A$4:$A$13,0)),""),$V989))</f>
        <v/>
      </c>
      <c r="X989" s="3">
        <f>IF($F989="","",IFERROR(INDEX('CAT_CENTROS_COSTO'!$G$4:$G$13,MATCH($F989,'CAT_CENTROS_COSTO'!$A$4:$A$13,0)),"(sin catálogo)"))</f>
        <v/>
      </c>
      <c r="Y989" s="3">
        <f>IF($G989="","",IFERROR(INDEX('CAT_PUESTOS'!$B$4:$B$8,MATCH($G989,'CAT_PUESTOS'!$A$4:$A$8,0)),"(sin catálogo)"))</f>
        <v/>
      </c>
      <c r="Z989" s="3">
        <f>IF($H989="","",IFERROR(INDEX('CAT_ACTIVIDADES'!$B$4:$B$8,MATCH($H989,'CAT_ACTIVIDADES'!$A$4:$A$8,0)),"(sin catálogo)"))</f>
        <v/>
      </c>
      <c r="AA989" s="12">
        <f>IF($J989="","",TODAY()-$J989)</f>
        <v/>
      </c>
      <c r="AB989" s="12">
        <f>IF($J989="","",IF($J989&lt;=TODAY(),COUNTIFS(cal_fechas,"&gt;="&amp;$J989,cal_fechas,"&lt;"&amp;TODAY(),cal_habil,"sí"),-COUNTIFS(cal_fechas,"&gt;="&amp;TODAY(),cal_fechas,"&lt;"&amp;$J989,cal_habil,"sí")))</f>
        <v/>
      </c>
      <c r="AC989" s="3">
        <f>IF($AB989="","",IF($AB989&lt;0,"FUTURO",IF($AB989&gt;p_dias_backlog_max,"BACKLOG","MES CORRIENTE")))</f>
        <v/>
      </c>
      <c r="AD989" s="3">
        <f>IF($AB989="",FALSE,AND($AB989&gt;p_dias_backlog_min,$AB989&lt;=p_dias_backlog_max))</f>
        <v/>
      </c>
      <c r="AE989" s="6" t="n"/>
      <c r="AF989" s="3">
        <f>IF($AE989="","",IF((IFERROR(INDEX('ASIGNACIONES'!$F$4:$F$339,MATCH($O989&amp;"|"&amp;$R989&amp;"|"&amp;$AE989,'ASIGNACIONES'!$J$4:$J$339,0)),""))=0,"",IFERROR(INDEX('ASIGNACIONES'!$F$4:$F$339,MATCH($O989&amp;"|"&amp;$R989&amp;"|"&amp;$AE989,'ASIGNACIONES'!$J$4:$J$339,0)),"")))</f>
        <v/>
      </c>
      <c r="AG989" s="13">
        <f>IF($AE989="","",SUMIFS('ORDENES'!$M$4:$M$1203,'ORDENES'!$AE$4:$AE$1203,$AE989,'ORDENES'!$O$4:$O$1203,$O989,'ORDENES'!$R$4:$R$1203,$R989))</f>
        <v/>
      </c>
      <c r="AH989" s="13">
        <f>IF($AG989="","",p_factor_productividad*IFERROR(INDEX('ASIGNACIONES'!$I$4:$I$339,MATCH($O989&amp;"|"&amp;$R989&amp;"|"&amp;$AE989,'ASIGNACIONES'!$J$4:$J$339,0)),0)-$AG989)</f>
        <v/>
      </c>
      <c r="AI989" s="10">
        <f>IF($A989="","",IFERROR(INDEX('2_IMPORTAR_EJECUCION'!$F$9:$F$1208,MATCH($AQ989,'2_IMPORTAR_EJECUCION'!$J$9:$J$1208,0)),0))</f>
        <v/>
      </c>
      <c r="AJ989" s="10">
        <f>IF($A989="","",MAX(0,IFERROR(INDEX('2_IMPORTAR_EJECUCION'!$H$9:$H$1208,MATCH($AQ989,'2_IMPORTAR_EJECUCION'!$J$9:$J$1208,0)),0)-$AI989))</f>
        <v/>
      </c>
      <c r="AK989" s="10">
        <f>IF($A989="","",$AI989+$AJ989)</f>
        <v/>
      </c>
      <c r="AL989" s="6" t="n"/>
      <c r="AM989" s="6" t="n"/>
      <c r="AN989" s="6" t="n"/>
      <c r="AO989" s="3">
        <f>IF($AN989="","",HYPERLINK(p_ruta_base_checklists&amp;$AN989,"abrir"))</f>
        <v/>
      </c>
      <c r="AP989" s="6" t="n"/>
      <c r="AQ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IF($A990="","",IFERROR(INDEX('AJUSTES'!$B$4:$B$303,MATCH($AQ990,'AJUSTES'!$A$4:$A$303,0)),IF($K990="","",$K990)))</f>
        <v/>
      </c>
      <c r="N990" s="3">
        <f>IF($A990="","",IFERROR(INDEX('CAT_ESTADOS_ERP'!$B$4:$B$7,MATCH(IFERROR(INDEX('2_IMPORTAR_EJECUCION'!$C$9:$C$1208,MATCH($AQ990,'2_IMPORTAR_EJECUCION'!$J$9:$J$1208,0)),""),'CAT_ESTADOS_ERP'!$A$4:$A$7,0)),"Pendiente"))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J990="","",IFERROR(INDEX('CALENDARIO'!$C$15:$C$214,MATCH(TEXT($J990,"yyyy-mm-dd")&amp;"|"&amp;$V990&amp;"|"&amp;$W990,'CALENDARIO'!$G$15:$G$214,0)),IFERROR(INDEX('CALENDARIO'!$C$15:$C$214,MATCH(TEXT($J990,"yyyy-mm-dd")&amp;"|"&amp;$V990&amp;"|",'CALENDARIO'!$G$15:$G$214,0)),IFERROR(INDEX('CALENDARIO'!$C$15:$C$214,MATCH(TEXT($J990,"yyyy-mm-dd")&amp;"||",'CALENDARIO'!$G$15:$G$214,0)),INDEX(patronHabil,WEEKDAY($J990,2))))))</f>
        <v/>
      </c>
      <c r="T990" s="3">
        <f>IF($I990="","",IFERROR(INDEX('CAT_TIPOS_OT'!$C$4:$C$7,MATCH($I990,'CAT_TIPOS_OT'!$A$4:$A$7,0)),"sin_clasificar"))</f>
        <v/>
      </c>
      <c r="U990" s="3">
        <f>IF($F990="","",IFERROR(INDEX('CAT_CENTROS_COSTO'!$F$4:$F$13,MATCH($F990,'CAT_CENTROS_COSTO'!$A$4:$A$13,0)),"(sin catálogo)"))</f>
        <v/>
      </c>
      <c r="V990" s="3">
        <f>IF($F990="","",IFERROR(INDEX('CAT_CENTROS_COSTO'!$D$4:$D$13,MATCH($F990,'CAT_CENTROS_COSTO'!$A$4:$A$13,0)),"(sin catálogo)"))</f>
        <v/>
      </c>
      <c r="W990" s="3">
        <f>IF($F990="","",IF((IFERROR(INDEX('CAT_CENTROS_COSTO'!$E$4:$E$13,MATCH($F990,'CAT_CENTROS_COSTO'!$A$4:$A$13,0)),""))&lt;&gt;"",IFERROR(INDEX('CAT_CENTROS_COSTO'!$E$4:$E$13,MATCH($F990,'CAT_CENTROS_COSTO'!$A$4:$A$13,0)),""),$V990))</f>
        <v/>
      </c>
      <c r="X990" s="3">
        <f>IF($F990="","",IFERROR(INDEX('CAT_CENTROS_COSTO'!$G$4:$G$13,MATCH($F990,'CAT_CENTROS_COSTO'!$A$4:$A$13,0)),"(sin catálogo)"))</f>
        <v/>
      </c>
      <c r="Y990" s="3">
        <f>IF($G990="","",IFERROR(INDEX('CAT_PUESTOS'!$B$4:$B$8,MATCH($G990,'CAT_PUESTOS'!$A$4:$A$8,0)),"(sin catálogo)"))</f>
        <v/>
      </c>
      <c r="Z990" s="3">
        <f>IF($H990="","",IFERROR(INDEX('CAT_ACTIVIDADES'!$B$4:$B$8,MATCH($H990,'CAT_ACTIVIDADES'!$A$4:$A$8,0)),"(sin catálogo)"))</f>
        <v/>
      </c>
      <c r="AA990" s="12">
        <f>IF($J990="","",TODAY()-$J990)</f>
        <v/>
      </c>
      <c r="AB990" s="12">
        <f>IF($J990="","",IF($J990&lt;=TODAY(),COUNTIFS(cal_fechas,"&gt;="&amp;$J990,cal_fechas,"&lt;"&amp;TODAY(),cal_habil,"sí"),-COUNTIFS(cal_fechas,"&gt;="&amp;TODAY(),cal_fechas,"&lt;"&amp;$J990,cal_habil,"sí")))</f>
        <v/>
      </c>
      <c r="AC990" s="3">
        <f>IF($AB990="","",IF($AB990&lt;0,"FUTURO",IF($AB990&gt;p_dias_backlog_max,"BACKLOG","MES CORRIENTE")))</f>
        <v/>
      </c>
      <c r="AD990" s="3">
        <f>IF($AB990="",FALSE,AND($AB990&gt;p_dias_backlog_min,$AB990&lt;=p_dias_backlog_max))</f>
        <v/>
      </c>
      <c r="AE990" s="6" t="n"/>
      <c r="AF990" s="3">
        <f>IF($AE990="","",IF((IFERROR(INDEX('ASIGNACIONES'!$F$4:$F$339,MATCH($O990&amp;"|"&amp;$R990&amp;"|"&amp;$AE990,'ASIGNACIONES'!$J$4:$J$339,0)),""))=0,"",IFERROR(INDEX('ASIGNACIONES'!$F$4:$F$339,MATCH($O990&amp;"|"&amp;$R990&amp;"|"&amp;$AE990,'ASIGNACIONES'!$J$4:$J$339,0)),"")))</f>
        <v/>
      </c>
      <c r="AG990" s="13">
        <f>IF($AE990="","",SUMIFS('ORDENES'!$M$4:$M$1203,'ORDENES'!$AE$4:$AE$1203,$AE990,'ORDENES'!$O$4:$O$1203,$O990,'ORDENES'!$R$4:$R$1203,$R990))</f>
        <v/>
      </c>
      <c r="AH990" s="13">
        <f>IF($AG990="","",p_factor_productividad*IFERROR(INDEX('ASIGNACIONES'!$I$4:$I$339,MATCH($O990&amp;"|"&amp;$R990&amp;"|"&amp;$AE990,'ASIGNACIONES'!$J$4:$J$339,0)),0)-$AG990)</f>
        <v/>
      </c>
      <c r="AI990" s="10">
        <f>IF($A990="","",IFERROR(INDEX('2_IMPORTAR_EJECUCION'!$F$9:$F$1208,MATCH($AQ990,'2_IMPORTAR_EJECUCION'!$J$9:$J$1208,0)),0))</f>
        <v/>
      </c>
      <c r="AJ990" s="10">
        <f>IF($A990="","",MAX(0,IFERROR(INDEX('2_IMPORTAR_EJECUCION'!$H$9:$H$1208,MATCH($AQ990,'2_IMPORTAR_EJECUCION'!$J$9:$J$1208,0)),0)-$AI990))</f>
        <v/>
      </c>
      <c r="AK990" s="10">
        <f>IF($A990="","",$AI990+$AJ990)</f>
        <v/>
      </c>
      <c r="AL990" s="6" t="n"/>
      <c r="AM990" s="6" t="n"/>
      <c r="AN990" s="6" t="n"/>
      <c r="AO990" s="3">
        <f>IF($AN990="","",HYPERLINK(p_ruta_base_checklists&amp;$AN990,"abrir"))</f>
        <v/>
      </c>
      <c r="AP990" s="6" t="n"/>
      <c r="AQ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IF($A991="","",IFERROR(INDEX('AJUSTES'!$B$4:$B$303,MATCH($AQ991,'AJUSTES'!$A$4:$A$303,0)),IF($K991="","",$K991)))</f>
        <v/>
      </c>
      <c r="N991" s="3">
        <f>IF($A991="","",IFERROR(INDEX('CAT_ESTADOS_ERP'!$B$4:$B$7,MATCH(IFERROR(INDEX('2_IMPORTAR_EJECUCION'!$C$9:$C$1208,MATCH($AQ991,'2_IMPORTAR_EJECUCION'!$J$9:$J$1208,0)),""),'CAT_ESTADOS_ERP'!$A$4:$A$7,0)),"Pendiente"))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J991="","",IFERROR(INDEX('CALENDARIO'!$C$15:$C$214,MATCH(TEXT($J991,"yyyy-mm-dd")&amp;"|"&amp;$V991&amp;"|"&amp;$W991,'CALENDARIO'!$G$15:$G$214,0)),IFERROR(INDEX('CALENDARIO'!$C$15:$C$214,MATCH(TEXT($J991,"yyyy-mm-dd")&amp;"|"&amp;$V991&amp;"|",'CALENDARIO'!$G$15:$G$214,0)),IFERROR(INDEX('CALENDARIO'!$C$15:$C$214,MATCH(TEXT($J991,"yyyy-mm-dd")&amp;"||",'CALENDARIO'!$G$15:$G$214,0)),INDEX(patronHabil,WEEKDAY($J991,2))))))</f>
        <v/>
      </c>
      <c r="T991" s="3">
        <f>IF($I991="","",IFERROR(INDEX('CAT_TIPOS_OT'!$C$4:$C$7,MATCH($I991,'CAT_TIPOS_OT'!$A$4:$A$7,0)),"sin_clasificar"))</f>
        <v/>
      </c>
      <c r="U991" s="3">
        <f>IF($F991="","",IFERROR(INDEX('CAT_CENTROS_COSTO'!$F$4:$F$13,MATCH($F991,'CAT_CENTROS_COSTO'!$A$4:$A$13,0)),"(sin catálogo)"))</f>
        <v/>
      </c>
      <c r="V991" s="3">
        <f>IF($F991="","",IFERROR(INDEX('CAT_CENTROS_COSTO'!$D$4:$D$13,MATCH($F991,'CAT_CENTROS_COSTO'!$A$4:$A$13,0)),"(sin catálogo)"))</f>
        <v/>
      </c>
      <c r="W991" s="3">
        <f>IF($F991="","",IF((IFERROR(INDEX('CAT_CENTROS_COSTO'!$E$4:$E$13,MATCH($F991,'CAT_CENTROS_COSTO'!$A$4:$A$13,0)),""))&lt;&gt;"",IFERROR(INDEX('CAT_CENTROS_COSTO'!$E$4:$E$13,MATCH($F991,'CAT_CENTROS_COSTO'!$A$4:$A$13,0)),""),$V991))</f>
        <v/>
      </c>
      <c r="X991" s="3">
        <f>IF($F991="","",IFERROR(INDEX('CAT_CENTROS_COSTO'!$G$4:$G$13,MATCH($F991,'CAT_CENTROS_COSTO'!$A$4:$A$13,0)),"(sin catálogo)"))</f>
        <v/>
      </c>
      <c r="Y991" s="3">
        <f>IF($G991="","",IFERROR(INDEX('CAT_PUESTOS'!$B$4:$B$8,MATCH($G991,'CAT_PUESTOS'!$A$4:$A$8,0)),"(sin catálogo)"))</f>
        <v/>
      </c>
      <c r="Z991" s="3">
        <f>IF($H991="","",IFERROR(INDEX('CAT_ACTIVIDADES'!$B$4:$B$8,MATCH($H991,'CAT_ACTIVIDADES'!$A$4:$A$8,0)),"(sin catálogo)"))</f>
        <v/>
      </c>
      <c r="AA991" s="12">
        <f>IF($J991="","",TODAY()-$J991)</f>
        <v/>
      </c>
      <c r="AB991" s="12">
        <f>IF($J991="","",IF($J991&lt;=TODAY(),COUNTIFS(cal_fechas,"&gt;="&amp;$J991,cal_fechas,"&lt;"&amp;TODAY(),cal_habil,"sí"),-COUNTIFS(cal_fechas,"&gt;="&amp;TODAY(),cal_fechas,"&lt;"&amp;$J991,cal_habil,"sí")))</f>
        <v/>
      </c>
      <c r="AC991" s="3">
        <f>IF($AB991="","",IF($AB991&lt;0,"FUTURO",IF($AB991&gt;p_dias_backlog_max,"BACKLOG","MES CORRIENTE")))</f>
        <v/>
      </c>
      <c r="AD991" s="3">
        <f>IF($AB991="",FALSE,AND($AB991&gt;p_dias_backlog_min,$AB991&lt;=p_dias_backlog_max))</f>
        <v/>
      </c>
      <c r="AE991" s="6" t="n"/>
      <c r="AF991" s="3">
        <f>IF($AE991="","",IF((IFERROR(INDEX('ASIGNACIONES'!$F$4:$F$339,MATCH($O991&amp;"|"&amp;$R991&amp;"|"&amp;$AE991,'ASIGNACIONES'!$J$4:$J$339,0)),""))=0,"",IFERROR(INDEX('ASIGNACIONES'!$F$4:$F$339,MATCH($O991&amp;"|"&amp;$R991&amp;"|"&amp;$AE991,'ASIGNACIONES'!$J$4:$J$339,0)),"")))</f>
        <v/>
      </c>
      <c r="AG991" s="13">
        <f>IF($AE991="","",SUMIFS('ORDENES'!$M$4:$M$1203,'ORDENES'!$AE$4:$AE$1203,$AE991,'ORDENES'!$O$4:$O$1203,$O991,'ORDENES'!$R$4:$R$1203,$R991))</f>
        <v/>
      </c>
      <c r="AH991" s="13">
        <f>IF($AG991="","",p_factor_productividad*IFERROR(INDEX('ASIGNACIONES'!$I$4:$I$339,MATCH($O991&amp;"|"&amp;$R991&amp;"|"&amp;$AE991,'ASIGNACIONES'!$J$4:$J$339,0)),0)-$AG991)</f>
        <v/>
      </c>
      <c r="AI991" s="10">
        <f>IF($A991="","",IFERROR(INDEX('2_IMPORTAR_EJECUCION'!$F$9:$F$1208,MATCH($AQ991,'2_IMPORTAR_EJECUCION'!$J$9:$J$1208,0)),0))</f>
        <v/>
      </c>
      <c r="AJ991" s="10">
        <f>IF($A991="","",MAX(0,IFERROR(INDEX('2_IMPORTAR_EJECUCION'!$H$9:$H$1208,MATCH($AQ991,'2_IMPORTAR_EJECUCION'!$J$9:$J$1208,0)),0)-$AI991))</f>
        <v/>
      </c>
      <c r="AK991" s="10">
        <f>IF($A991="","",$AI991+$AJ991)</f>
        <v/>
      </c>
      <c r="AL991" s="6" t="n"/>
      <c r="AM991" s="6" t="n"/>
      <c r="AN991" s="6" t="n"/>
      <c r="AO991" s="3">
        <f>IF($AN991="","",HYPERLINK(p_ruta_base_checklists&amp;$AN991,"abrir"))</f>
        <v/>
      </c>
      <c r="AP991" s="6" t="n"/>
      <c r="AQ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IF($A992="","",IFERROR(INDEX('AJUSTES'!$B$4:$B$303,MATCH($AQ992,'AJUSTES'!$A$4:$A$303,0)),IF($K992="","",$K992)))</f>
        <v/>
      </c>
      <c r="N992" s="3">
        <f>IF($A992="","",IFERROR(INDEX('CAT_ESTADOS_ERP'!$B$4:$B$7,MATCH(IFERROR(INDEX('2_IMPORTAR_EJECUCION'!$C$9:$C$1208,MATCH($AQ992,'2_IMPORTAR_EJECUCION'!$J$9:$J$1208,0)),""),'CAT_ESTADOS_ERP'!$A$4:$A$7,0)),"Pendiente"))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J992="","",IFERROR(INDEX('CALENDARIO'!$C$15:$C$214,MATCH(TEXT($J992,"yyyy-mm-dd")&amp;"|"&amp;$V992&amp;"|"&amp;$W992,'CALENDARIO'!$G$15:$G$214,0)),IFERROR(INDEX('CALENDARIO'!$C$15:$C$214,MATCH(TEXT($J992,"yyyy-mm-dd")&amp;"|"&amp;$V992&amp;"|",'CALENDARIO'!$G$15:$G$214,0)),IFERROR(INDEX('CALENDARIO'!$C$15:$C$214,MATCH(TEXT($J992,"yyyy-mm-dd")&amp;"||",'CALENDARIO'!$G$15:$G$214,0)),INDEX(patronHabil,WEEKDAY($J992,2))))))</f>
        <v/>
      </c>
      <c r="T992" s="3">
        <f>IF($I992="","",IFERROR(INDEX('CAT_TIPOS_OT'!$C$4:$C$7,MATCH($I992,'CAT_TIPOS_OT'!$A$4:$A$7,0)),"sin_clasificar"))</f>
        <v/>
      </c>
      <c r="U992" s="3">
        <f>IF($F992="","",IFERROR(INDEX('CAT_CENTROS_COSTO'!$F$4:$F$13,MATCH($F992,'CAT_CENTROS_COSTO'!$A$4:$A$13,0)),"(sin catálogo)"))</f>
        <v/>
      </c>
      <c r="V992" s="3">
        <f>IF($F992="","",IFERROR(INDEX('CAT_CENTROS_COSTO'!$D$4:$D$13,MATCH($F992,'CAT_CENTROS_COSTO'!$A$4:$A$13,0)),"(sin catálogo)"))</f>
        <v/>
      </c>
      <c r="W992" s="3">
        <f>IF($F992="","",IF((IFERROR(INDEX('CAT_CENTROS_COSTO'!$E$4:$E$13,MATCH($F992,'CAT_CENTROS_COSTO'!$A$4:$A$13,0)),""))&lt;&gt;"",IFERROR(INDEX('CAT_CENTROS_COSTO'!$E$4:$E$13,MATCH($F992,'CAT_CENTROS_COSTO'!$A$4:$A$13,0)),""),$V992))</f>
        <v/>
      </c>
      <c r="X992" s="3">
        <f>IF($F992="","",IFERROR(INDEX('CAT_CENTROS_COSTO'!$G$4:$G$13,MATCH($F992,'CAT_CENTROS_COSTO'!$A$4:$A$13,0)),"(sin catálogo)"))</f>
        <v/>
      </c>
      <c r="Y992" s="3">
        <f>IF($G992="","",IFERROR(INDEX('CAT_PUESTOS'!$B$4:$B$8,MATCH($G992,'CAT_PUESTOS'!$A$4:$A$8,0)),"(sin catálogo)"))</f>
        <v/>
      </c>
      <c r="Z992" s="3">
        <f>IF($H992="","",IFERROR(INDEX('CAT_ACTIVIDADES'!$B$4:$B$8,MATCH($H992,'CAT_ACTIVIDADES'!$A$4:$A$8,0)),"(sin catálogo)"))</f>
        <v/>
      </c>
      <c r="AA992" s="12">
        <f>IF($J992="","",TODAY()-$J992)</f>
        <v/>
      </c>
      <c r="AB992" s="12">
        <f>IF($J992="","",IF($J992&lt;=TODAY(),COUNTIFS(cal_fechas,"&gt;="&amp;$J992,cal_fechas,"&lt;"&amp;TODAY(),cal_habil,"sí"),-COUNTIFS(cal_fechas,"&gt;="&amp;TODAY(),cal_fechas,"&lt;"&amp;$J992,cal_habil,"sí")))</f>
        <v/>
      </c>
      <c r="AC992" s="3">
        <f>IF($AB992="","",IF($AB992&lt;0,"FUTURO",IF($AB992&gt;p_dias_backlog_max,"BACKLOG","MES CORRIENTE")))</f>
        <v/>
      </c>
      <c r="AD992" s="3">
        <f>IF($AB992="",FALSE,AND($AB992&gt;p_dias_backlog_min,$AB992&lt;=p_dias_backlog_max))</f>
        <v/>
      </c>
      <c r="AE992" s="6" t="n"/>
      <c r="AF992" s="3">
        <f>IF($AE992="","",IF((IFERROR(INDEX('ASIGNACIONES'!$F$4:$F$339,MATCH($O992&amp;"|"&amp;$R992&amp;"|"&amp;$AE992,'ASIGNACIONES'!$J$4:$J$339,0)),""))=0,"",IFERROR(INDEX('ASIGNACIONES'!$F$4:$F$339,MATCH($O992&amp;"|"&amp;$R992&amp;"|"&amp;$AE992,'ASIGNACIONES'!$J$4:$J$339,0)),"")))</f>
        <v/>
      </c>
      <c r="AG992" s="13">
        <f>IF($AE992="","",SUMIFS('ORDENES'!$M$4:$M$1203,'ORDENES'!$AE$4:$AE$1203,$AE992,'ORDENES'!$O$4:$O$1203,$O992,'ORDENES'!$R$4:$R$1203,$R992))</f>
        <v/>
      </c>
      <c r="AH992" s="13">
        <f>IF($AG992="","",p_factor_productividad*IFERROR(INDEX('ASIGNACIONES'!$I$4:$I$339,MATCH($O992&amp;"|"&amp;$R992&amp;"|"&amp;$AE992,'ASIGNACIONES'!$J$4:$J$339,0)),0)-$AG992)</f>
        <v/>
      </c>
      <c r="AI992" s="10">
        <f>IF($A992="","",IFERROR(INDEX('2_IMPORTAR_EJECUCION'!$F$9:$F$1208,MATCH($AQ992,'2_IMPORTAR_EJECUCION'!$J$9:$J$1208,0)),0))</f>
        <v/>
      </c>
      <c r="AJ992" s="10">
        <f>IF($A992="","",MAX(0,IFERROR(INDEX('2_IMPORTAR_EJECUCION'!$H$9:$H$1208,MATCH($AQ992,'2_IMPORTAR_EJECUCION'!$J$9:$J$1208,0)),0)-$AI992))</f>
        <v/>
      </c>
      <c r="AK992" s="10">
        <f>IF($A992="","",$AI992+$AJ992)</f>
        <v/>
      </c>
      <c r="AL992" s="6" t="n"/>
      <c r="AM992" s="6" t="n"/>
      <c r="AN992" s="6" t="n"/>
      <c r="AO992" s="3">
        <f>IF($AN992="","",HYPERLINK(p_ruta_base_checklists&amp;$AN992,"abrir"))</f>
        <v/>
      </c>
      <c r="AP992" s="6" t="n"/>
      <c r="AQ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IF($A993="","",IFERROR(INDEX('AJUSTES'!$B$4:$B$303,MATCH($AQ993,'AJUSTES'!$A$4:$A$303,0)),IF($K993="","",$K993)))</f>
        <v/>
      </c>
      <c r="N993" s="3">
        <f>IF($A993="","",IFERROR(INDEX('CAT_ESTADOS_ERP'!$B$4:$B$7,MATCH(IFERROR(INDEX('2_IMPORTAR_EJECUCION'!$C$9:$C$1208,MATCH($AQ993,'2_IMPORTAR_EJECUCION'!$J$9:$J$1208,0)),""),'CAT_ESTADOS_ERP'!$A$4:$A$7,0)),"Pendiente"))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J993="","",IFERROR(INDEX('CALENDARIO'!$C$15:$C$214,MATCH(TEXT($J993,"yyyy-mm-dd")&amp;"|"&amp;$V993&amp;"|"&amp;$W993,'CALENDARIO'!$G$15:$G$214,0)),IFERROR(INDEX('CALENDARIO'!$C$15:$C$214,MATCH(TEXT($J993,"yyyy-mm-dd")&amp;"|"&amp;$V993&amp;"|",'CALENDARIO'!$G$15:$G$214,0)),IFERROR(INDEX('CALENDARIO'!$C$15:$C$214,MATCH(TEXT($J993,"yyyy-mm-dd")&amp;"||",'CALENDARIO'!$G$15:$G$214,0)),INDEX(patronHabil,WEEKDAY($J993,2))))))</f>
        <v/>
      </c>
      <c r="T993" s="3">
        <f>IF($I993="","",IFERROR(INDEX('CAT_TIPOS_OT'!$C$4:$C$7,MATCH($I993,'CAT_TIPOS_OT'!$A$4:$A$7,0)),"sin_clasificar"))</f>
        <v/>
      </c>
      <c r="U993" s="3">
        <f>IF($F993="","",IFERROR(INDEX('CAT_CENTROS_COSTO'!$F$4:$F$13,MATCH($F993,'CAT_CENTROS_COSTO'!$A$4:$A$13,0)),"(sin catálogo)"))</f>
        <v/>
      </c>
      <c r="V993" s="3">
        <f>IF($F993="","",IFERROR(INDEX('CAT_CENTROS_COSTO'!$D$4:$D$13,MATCH($F993,'CAT_CENTROS_COSTO'!$A$4:$A$13,0)),"(sin catálogo)"))</f>
        <v/>
      </c>
      <c r="W993" s="3">
        <f>IF($F993="","",IF((IFERROR(INDEX('CAT_CENTROS_COSTO'!$E$4:$E$13,MATCH($F993,'CAT_CENTROS_COSTO'!$A$4:$A$13,0)),""))&lt;&gt;"",IFERROR(INDEX('CAT_CENTROS_COSTO'!$E$4:$E$13,MATCH($F993,'CAT_CENTROS_COSTO'!$A$4:$A$13,0)),""),$V993))</f>
        <v/>
      </c>
      <c r="X993" s="3">
        <f>IF($F993="","",IFERROR(INDEX('CAT_CENTROS_COSTO'!$G$4:$G$13,MATCH($F993,'CAT_CENTROS_COSTO'!$A$4:$A$13,0)),"(sin catálogo)"))</f>
        <v/>
      </c>
      <c r="Y993" s="3">
        <f>IF($G993="","",IFERROR(INDEX('CAT_PUESTOS'!$B$4:$B$8,MATCH($G993,'CAT_PUESTOS'!$A$4:$A$8,0)),"(sin catálogo)"))</f>
        <v/>
      </c>
      <c r="Z993" s="3">
        <f>IF($H993="","",IFERROR(INDEX('CAT_ACTIVIDADES'!$B$4:$B$8,MATCH($H993,'CAT_ACTIVIDADES'!$A$4:$A$8,0)),"(sin catálogo)"))</f>
        <v/>
      </c>
      <c r="AA993" s="12">
        <f>IF($J993="","",TODAY()-$J993)</f>
        <v/>
      </c>
      <c r="AB993" s="12">
        <f>IF($J993="","",IF($J993&lt;=TODAY(),COUNTIFS(cal_fechas,"&gt;="&amp;$J993,cal_fechas,"&lt;"&amp;TODAY(),cal_habil,"sí"),-COUNTIFS(cal_fechas,"&gt;="&amp;TODAY(),cal_fechas,"&lt;"&amp;$J993,cal_habil,"sí")))</f>
        <v/>
      </c>
      <c r="AC993" s="3">
        <f>IF($AB993="","",IF($AB993&lt;0,"FUTURO",IF($AB993&gt;p_dias_backlog_max,"BACKLOG","MES CORRIENTE")))</f>
        <v/>
      </c>
      <c r="AD993" s="3">
        <f>IF($AB993="",FALSE,AND($AB993&gt;p_dias_backlog_min,$AB993&lt;=p_dias_backlog_max))</f>
        <v/>
      </c>
      <c r="AE993" s="6" t="n"/>
      <c r="AF993" s="3">
        <f>IF($AE993="","",IF((IFERROR(INDEX('ASIGNACIONES'!$F$4:$F$339,MATCH($O993&amp;"|"&amp;$R993&amp;"|"&amp;$AE993,'ASIGNACIONES'!$J$4:$J$339,0)),""))=0,"",IFERROR(INDEX('ASIGNACIONES'!$F$4:$F$339,MATCH($O993&amp;"|"&amp;$R993&amp;"|"&amp;$AE993,'ASIGNACIONES'!$J$4:$J$339,0)),"")))</f>
        <v/>
      </c>
      <c r="AG993" s="13">
        <f>IF($AE993="","",SUMIFS('ORDENES'!$M$4:$M$1203,'ORDENES'!$AE$4:$AE$1203,$AE993,'ORDENES'!$O$4:$O$1203,$O993,'ORDENES'!$R$4:$R$1203,$R993))</f>
        <v/>
      </c>
      <c r="AH993" s="13">
        <f>IF($AG993="","",p_factor_productividad*IFERROR(INDEX('ASIGNACIONES'!$I$4:$I$339,MATCH($O993&amp;"|"&amp;$R993&amp;"|"&amp;$AE993,'ASIGNACIONES'!$J$4:$J$339,0)),0)-$AG993)</f>
        <v/>
      </c>
      <c r="AI993" s="10">
        <f>IF($A993="","",IFERROR(INDEX('2_IMPORTAR_EJECUCION'!$F$9:$F$1208,MATCH($AQ993,'2_IMPORTAR_EJECUCION'!$J$9:$J$1208,0)),0))</f>
        <v/>
      </c>
      <c r="AJ993" s="10">
        <f>IF($A993="","",MAX(0,IFERROR(INDEX('2_IMPORTAR_EJECUCION'!$H$9:$H$1208,MATCH($AQ993,'2_IMPORTAR_EJECUCION'!$J$9:$J$1208,0)),0)-$AI993))</f>
        <v/>
      </c>
      <c r="AK993" s="10">
        <f>IF($A993="","",$AI993+$AJ993)</f>
        <v/>
      </c>
      <c r="AL993" s="6" t="n"/>
      <c r="AM993" s="6" t="n"/>
      <c r="AN993" s="6" t="n"/>
      <c r="AO993" s="3">
        <f>IF($AN993="","",HYPERLINK(p_ruta_base_checklists&amp;$AN993,"abrir"))</f>
        <v/>
      </c>
      <c r="AP993" s="6" t="n"/>
      <c r="AQ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IF($A994="","",IFERROR(INDEX('AJUSTES'!$B$4:$B$303,MATCH($AQ994,'AJUSTES'!$A$4:$A$303,0)),IF($K994="","",$K994)))</f>
        <v/>
      </c>
      <c r="N994" s="3">
        <f>IF($A994="","",IFERROR(INDEX('CAT_ESTADOS_ERP'!$B$4:$B$7,MATCH(IFERROR(INDEX('2_IMPORTAR_EJECUCION'!$C$9:$C$1208,MATCH($AQ994,'2_IMPORTAR_EJECUCION'!$J$9:$J$1208,0)),""),'CAT_ESTADOS_ERP'!$A$4:$A$7,0)),"Pendiente"))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J994="","",IFERROR(INDEX('CALENDARIO'!$C$15:$C$214,MATCH(TEXT($J994,"yyyy-mm-dd")&amp;"|"&amp;$V994&amp;"|"&amp;$W994,'CALENDARIO'!$G$15:$G$214,0)),IFERROR(INDEX('CALENDARIO'!$C$15:$C$214,MATCH(TEXT($J994,"yyyy-mm-dd")&amp;"|"&amp;$V994&amp;"|",'CALENDARIO'!$G$15:$G$214,0)),IFERROR(INDEX('CALENDARIO'!$C$15:$C$214,MATCH(TEXT($J994,"yyyy-mm-dd")&amp;"||",'CALENDARIO'!$G$15:$G$214,0)),INDEX(patronHabil,WEEKDAY($J994,2))))))</f>
        <v/>
      </c>
      <c r="T994" s="3">
        <f>IF($I994="","",IFERROR(INDEX('CAT_TIPOS_OT'!$C$4:$C$7,MATCH($I994,'CAT_TIPOS_OT'!$A$4:$A$7,0)),"sin_clasificar"))</f>
        <v/>
      </c>
      <c r="U994" s="3">
        <f>IF($F994="","",IFERROR(INDEX('CAT_CENTROS_COSTO'!$F$4:$F$13,MATCH($F994,'CAT_CENTROS_COSTO'!$A$4:$A$13,0)),"(sin catálogo)"))</f>
        <v/>
      </c>
      <c r="V994" s="3">
        <f>IF($F994="","",IFERROR(INDEX('CAT_CENTROS_COSTO'!$D$4:$D$13,MATCH($F994,'CAT_CENTROS_COSTO'!$A$4:$A$13,0)),"(sin catálogo)"))</f>
        <v/>
      </c>
      <c r="W994" s="3">
        <f>IF($F994="","",IF((IFERROR(INDEX('CAT_CENTROS_COSTO'!$E$4:$E$13,MATCH($F994,'CAT_CENTROS_COSTO'!$A$4:$A$13,0)),""))&lt;&gt;"",IFERROR(INDEX('CAT_CENTROS_COSTO'!$E$4:$E$13,MATCH($F994,'CAT_CENTROS_COSTO'!$A$4:$A$13,0)),""),$V994))</f>
        <v/>
      </c>
      <c r="X994" s="3">
        <f>IF($F994="","",IFERROR(INDEX('CAT_CENTROS_COSTO'!$G$4:$G$13,MATCH($F994,'CAT_CENTROS_COSTO'!$A$4:$A$13,0)),"(sin catálogo)"))</f>
        <v/>
      </c>
      <c r="Y994" s="3">
        <f>IF($G994="","",IFERROR(INDEX('CAT_PUESTOS'!$B$4:$B$8,MATCH($G994,'CAT_PUESTOS'!$A$4:$A$8,0)),"(sin catálogo)"))</f>
        <v/>
      </c>
      <c r="Z994" s="3">
        <f>IF($H994="","",IFERROR(INDEX('CAT_ACTIVIDADES'!$B$4:$B$8,MATCH($H994,'CAT_ACTIVIDADES'!$A$4:$A$8,0)),"(sin catálogo)"))</f>
        <v/>
      </c>
      <c r="AA994" s="12">
        <f>IF($J994="","",TODAY()-$J994)</f>
        <v/>
      </c>
      <c r="AB994" s="12">
        <f>IF($J994="","",IF($J994&lt;=TODAY(),COUNTIFS(cal_fechas,"&gt;="&amp;$J994,cal_fechas,"&lt;"&amp;TODAY(),cal_habil,"sí"),-COUNTIFS(cal_fechas,"&gt;="&amp;TODAY(),cal_fechas,"&lt;"&amp;$J994,cal_habil,"sí")))</f>
        <v/>
      </c>
      <c r="AC994" s="3">
        <f>IF($AB994="","",IF($AB994&lt;0,"FUTURO",IF($AB994&gt;p_dias_backlog_max,"BACKLOG","MES CORRIENTE")))</f>
        <v/>
      </c>
      <c r="AD994" s="3">
        <f>IF($AB994="",FALSE,AND($AB994&gt;p_dias_backlog_min,$AB994&lt;=p_dias_backlog_max))</f>
        <v/>
      </c>
      <c r="AE994" s="6" t="n"/>
      <c r="AF994" s="3">
        <f>IF($AE994="","",IF((IFERROR(INDEX('ASIGNACIONES'!$F$4:$F$339,MATCH($O994&amp;"|"&amp;$R994&amp;"|"&amp;$AE994,'ASIGNACIONES'!$J$4:$J$339,0)),""))=0,"",IFERROR(INDEX('ASIGNACIONES'!$F$4:$F$339,MATCH($O994&amp;"|"&amp;$R994&amp;"|"&amp;$AE994,'ASIGNACIONES'!$J$4:$J$339,0)),"")))</f>
        <v/>
      </c>
      <c r="AG994" s="13">
        <f>IF($AE994="","",SUMIFS('ORDENES'!$M$4:$M$1203,'ORDENES'!$AE$4:$AE$1203,$AE994,'ORDENES'!$O$4:$O$1203,$O994,'ORDENES'!$R$4:$R$1203,$R994))</f>
        <v/>
      </c>
      <c r="AH994" s="13">
        <f>IF($AG994="","",p_factor_productividad*IFERROR(INDEX('ASIGNACIONES'!$I$4:$I$339,MATCH($O994&amp;"|"&amp;$R994&amp;"|"&amp;$AE994,'ASIGNACIONES'!$J$4:$J$339,0)),0)-$AG994)</f>
        <v/>
      </c>
      <c r="AI994" s="10">
        <f>IF($A994="","",IFERROR(INDEX('2_IMPORTAR_EJECUCION'!$F$9:$F$1208,MATCH($AQ994,'2_IMPORTAR_EJECUCION'!$J$9:$J$1208,0)),0))</f>
        <v/>
      </c>
      <c r="AJ994" s="10">
        <f>IF($A994="","",MAX(0,IFERROR(INDEX('2_IMPORTAR_EJECUCION'!$H$9:$H$1208,MATCH($AQ994,'2_IMPORTAR_EJECUCION'!$J$9:$J$1208,0)),0)-$AI994))</f>
        <v/>
      </c>
      <c r="AK994" s="10">
        <f>IF($A994="","",$AI994+$AJ994)</f>
        <v/>
      </c>
      <c r="AL994" s="6" t="n"/>
      <c r="AM994" s="6" t="n"/>
      <c r="AN994" s="6" t="n"/>
      <c r="AO994" s="3">
        <f>IF($AN994="","",HYPERLINK(p_ruta_base_checklists&amp;$AN994,"abrir"))</f>
        <v/>
      </c>
      <c r="AP994" s="6" t="n"/>
      <c r="AQ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IF($A995="","",IFERROR(INDEX('AJUSTES'!$B$4:$B$303,MATCH($AQ995,'AJUSTES'!$A$4:$A$303,0)),IF($K995="","",$K995)))</f>
        <v/>
      </c>
      <c r="N995" s="3">
        <f>IF($A995="","",IFERROR(INDEX('CAT_ESTADOS_ERP'!$B$4:$B$7,MATCH(IFERROR(INDEX('2_IMPORTAR_EJECUCION'!$C$9:$C$1208,MATCH($AQ995,'2_IMPORTAR_EJECUCION'!$J$9:$J$1208,0)),""),'CAT_ESTADOS_ERP'!$A$4:$A$7,0)),"Pendiente"))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J995="","",IFERROR(INDEX('CALENDARIO'!$C$15:$C$214,MATCH(TEXT($J995,"yyyy-mm-dd")&amp;"|"&amp;$V995&amp;"|"&amp;$W995,'CALENDARIO'!$G$15:$G$214,0)),IFERROR(INDEX('CALENDARIO'!$C$15:$C$214,MATCH(TEXT($J995,"yyyy-mm-dd")&amp;"|"&amp;$V995&amp;"|",'CALENDARIO'!$G$15:$G$214,0)),IFERROR(INDEX('CALENDARIO'!$C$15:$C$214,MATCH(TEXT($J995,"yyyy-mm-dd")&amp;"||",'CALENDARIO'!$G$15:$G$214,0)),INDEX(patronHabil,WEEKDAY($J995,2))))))</f>
        <v/>
      </c>
      <c r="T995" s="3">
        <f>IF($I995="","",IFERROR(INDEX('CAT_TIPOS_OT'!$C$4:$C$7,MATCH($I995,'CAT_TIPOS_OT'!$A$4:$A$7,0)),"sin_clasificar"))</f>
        <v/>
      </c>
      <c r="U995" s="3">
        <f>IF($F995="","",IFERROR(INDEX('CAT_CENTROS_COSTO'!$F$4:$F$13,MATCH($F995,'CAT_CENTROS_COSTO'!$A$4:$A$13,0)),"(sin catálogo)"))</f>
        <v/>
      </c>
      <c r="V995" s="3">
        <f>IF($F995="","",IFERROR(INDEX('CAT_CENTROS_COSTO'!$D$4:$D$13,MATCH($F995,'CAT_CENTROS_COSTO'!$A$4:$A$13,0)),"(sin catálogo)"))</f>
        <v/>
      </c>
      <c r="W995" s="3">
        <f>IF($F995="","",IF((IFERROR(INDEX('CAT_CENTROS_COSTO'!$E$4:$E$13,MATCH($F995,'CAT_CENTROS_COSTO'!$A$4:$A$13,0)),""))&lt;&gt;"",IFERROR(INDEX('CAT_CENTROS_COSTO'!$E$4:$E$13,MATCH($F995,'CAT_CENTROS_COSTO'!$A$4:$A$13,0)),""),$V995))</f>
        <v/>
      </c>
      <c r="X995" s="3">
        <f>IF($F995="","",IFERROR(INDEX('CAT_CENTROS_COSTO'!$G$4:$G$13,MATCH($F995,'CAT_CENTROS_COSTO'!$A$4:$A$13,0)),"(sin catálogo)"))</f>
        <v/>
      </c>
      <c r="Y995" s="3">
        <f>IF($G995="","",IFERROR(INDEX('CAT_PUESTOS'!$B$4:$B$8,MATCH($G995,'CAT_PUESTOS'!$A$4:$A$8,0)),"(sin catálogo)"))</f>
        <v/>
      </c>
      <c r="Z995" s="3">
        <f>IF($H995="","",IFERROR(INDEX('CAT_ACTIVIDADES'!$B$4:$B$8,MATCH($H995,'CAT_ACTIVIDADES'!$A$4:$A$8,0)),"(sin catálogo)"))</f>
        <v/>
      </c>
      <c r="AA995" s="12">
        <f>IF($J995="","",TODAY()-$J995)</f>
        <v/>
      </c>
      <c r="AB995" s="12">
        <f>IF($J995="","",IF($J995&lt;=TODAY(),COUNTIFS(cal_fechas,"&gt;="&amp;$J995,cal_fechas,"&lt;"&amp;TODAY(),cal_habil,"sí"),-COUNTIFS(cal_fechas,"&gt;="&amp;TODAY(),cal_fechas,"&lt;"&amp;$J995,cal_habil,"sí")))</f>
        <v/>
      </c>
      <c r="AC995" s="3">
        <f>IF($AB995="","",IF($AB995&lt;0,"FUTURO",IF($AB995&gt;p_dias_backlog_max,"BACKLOG","MES CORRIENTE")))</f>
        <v/>
      </c>
      <c r="AD995" s="3">
        <f>IF($AB995="",FALSE,AND($AB995&gt;p_dias_backlog_min,$AB995&lt;=p_dias_backlog_max))</f>
        <v/>
      </c>
      <c r="AE995" s="6" t="n"/>
      <c r="AF995" s="3">
        <f>IF($AE995="","",IF((IFERROR(INDEX('ASIGNACIONES'!$F$4:$F$339,MATCH($O995&amp;"|"&amp;$R995&amp;"|"&amp;$AE995,'ASIGNACIONES'!$J$4:$J$339,0)),""))=0,"",IFERROR(INDEX('ASIGNACIONES'!$F$4:$F$339,MATCH($O995&amp;"|"&amp;$R995&amp;"|"&amp;$AE995,'ASIGNACIONES'!$J$4:$J$339,0)),"")))</f>
        <v/>
      </c>
      <c r="AG995" s="13">
        <f>IF($AE995="","",SUMIFS('ORDENES'!$M$4:$M$1203,'ORDENES'!$AE$4:$AE$1203,$AE995,'ORDENES'!$O$4:$O$1203,$O995,'ORDENES'!$R$4:$R$1203,$R995))</f>
        <v/>
      </c>
      <c r="AH995" s="13">
        <f>IF($AG995="","",p_factor_productividad*IFERROR(INDEX('ASIGNACIONES'!$I$4:$I$339,MATCH($O995&amp;"|"&amp;$R995&amp;"|"&amp;$AE995,'ASIGNACIONES'!$J$4:$J$339,0)),0)-$AG995)</f>
        <v/>
      </c>
      <c r="AI995" s="10">
        <f>IF($A995="","",IFERROR(INDEX('2_IMPORTAR_EJECUCION'!$F$9:$F$1208,MATCH($AQ995,'2_IMPORTAR_EJECUCION'!$J$9:$J$1208,0)),0))</f>
        <v/>
      </c>
      <c r="AJ995" s="10">
        <f>IF($A995="","",MAX(0,IFERROR(INDEX('2_IMPORTAR_EJECUCION'!$H$9:$H$1208,MATCH($AQ995,'2_IMPORTAR_EJECUCION'!$J$9:$J$1208,0)),0)-$AI995))</f>
        <v/>
      </c>
      <c r="AK995" s="10">
        <f>IF($A995="","",$AI995+$AJ995)</f>
        <v/>
      </c>
      <c r="AL995" s="6" t="n"/>
      <c r="AM995" s="6" t="n"/>
      <c r="AN995" s="6" t="n"/>
      <c r="AO995" s="3">
        <f>IF($AN995="","",HYPERLINK(p_ruta_base_checklists&amp;$AN995,"abrir"))</f>
        <v/>
      </c>
      <c r="AP995" s="6" t="n"/>
      <c r="AQ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IF($A996="","",IFERROR(INDEX('AJUSTES'!$B$4:$B$303,MATCH($AQ996,'AJUSTES'!$A$4:$A$303,0)),IF($K996="","",$K996)))</f>
        <v/>
      </c>
      <c r="N996" s="3">
        <f>IF($A996="","",IFERROR(INDEX('CAT_ESTADOS_ERP'!$B$4:$B$7,MATCH(IFERROR(INDEX('2_IMPORTAR_EJECUCION'!$C$9:$C$1208,MATCH($AQ996,'2_IMPORTAR_EJECUCION'!$J$9:$J$1208,0)),""),'CAT_ESTADOS_ERP'!$A$4:$A$7,0)),"Pendiente"))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J996="","",IFERROR(INDEX('CALENDARIO'!$C$15:$C$214,MATCH(TEXT($J996,"yyyy-mm-dd")&amp;"|"&amp;$V996&amp;"|"&amp;$W996,'CALENDARIO'!$G$15:$G$214,0)),IFERROR(INDEX('CALENDARIO'!$C$15:$C$214,MATCH(TEXT($J996,"yyyy-mm-dd")&amp;"|"&amp;$V996&amp;"|",'CALENDARIO'!$G$15:$G$214,0)),IFERROR(INDEX('CALENDARIO'!$C$15:$C$214,MATCH(TEXT($J996,"yyyy-mm-dd")&amp;"||",'CALENDARIO'!$G$15:$G$214,0)),INDEX(patronHabil,WEEKDAY($J996,2))))))</f>
        <v/>
      </c>
      <c r="T996" s="3">
        <f>IF($I996="","",IFERROR(INDEX('CAT_TIPOS_OT'!$C$4:$C$7,MATCH($I996,'CAT_TIPOS_OT'!$A$4:$A$7,0)),"sin_clasificar"))</f>
        <v/>
      </c>
      <c r="U996" s="3">
        <f>IF($F996="","",IFERROR(INDEX('CAT_CENTROS_COSTO'!$F$4:$F$13,MATCH($F996,'CAT_CENTROS_COSTO'!$A$4:$A$13,0)),"(sin catálogo)"))</f>
        <v/>
      </c>
      <c r="V996" s="3">
        <f>IF($F996="","",IFERROR(INDEX('CAT_CENTROS_COSTO'!$D$4:$D$13,MATCH($F996,'CAT_CENTROS_COSTO'!$A$4:$A$13,0)),"(sin catálogo)"))</f>
        <v/>
      </c>
      <c r="W996" s="3">
        <f>IF($F996="","",IF((IFERROR(INDEX('CAT_CENTROS_COSTO'!$E$4:$E$13,MATCH($F996,'CAT_CENTROS_COSTO'!$A$4:$A$13,0)),""))&lt;&gt;"",IFERROR(INDEX('CAT_CENTROS_COSTO'!$E$4:$E$13,MATCH($F996,'CAT_CENTROS_COSTO'!$A$4:$A$13,0)),""),$V996))</f>
        <v/>
      </c>
      <c r="X996" s="3">
        <f>IF($F996="","",IFERROR(INDEX('CAT_CENTROS_COSTO'!$G$4:$G$13,MATCH($F996,'CAT_CENTROS_COSTO'!$A$4:$A$13,0)),"(sin catálogo)"))</f>
        <v/>
      </c>
      <c r="Y996" s="3">
        <f>IF($G996="","",IFERROR(INDEX('CAT_PUESTOS'!$B$4:$B$8,MATCH($G996,'CAT_PUESTOS'!$A$4:$A$8,0)),"(sin catálogo)"))</f>
        <v/>
      </c>
      <c r="Z996" s="3">
        <f>IF($H996="","",IFERROR(INDEX('CAT_ACTIVIDADES'!$B$4:$B$8,MATCH($H996,'CAT_ACTIVIDADES'!$A$4:$A$8,0)),"(sin catálogo)"))</f>
        <v/>
      </c>
      <c r="AA996" s="12">
        <f>IF($J996="","",TODAY()-$J996)</f>
        <v/>
      </c>
      <c r="AB996" s="12">
        <f>IF($J996="","",IF($J996&lt;=TODAY(),COUNTIFS(cal_fechas,"&gt;="&amp;$J996,cal_fechas,"&lt;"&amp;TODAY(),cal_habil,"sí"),-COUNTIFS(cal_fechas,"&gt;="&amp;TODAY(),cal_fechas,"&lt;"&amp;$J996,cal_habil,"sí")))</f>
        <v/>
      </c>
      <c r="AC996" s="3">
        <f>IF($AB996="","",IF($AB996&lt;0,"FUTURO",IF($AB996&gt;p_dias_backlog_max,"BACKLOG","MES CORRIENTE")))</f>
        <v/>
      </c>
      <c r="AD996" s="3">
        <f>IF($AB996="",FALSE,AND($AB996&gt;p_dias_backlog_min,$AB996&lt;=p_dias_backlog_max))</f>
        <v/>
      </c>
      <c r="AE996" s="6" t="n"/>
      <c r="AF996" s="3">
        <f>IF($AE996="","",IF((IFERROR(INDEX('ASIGNACIONES'!$F$4:$F$339,MATCH($O996&amp;"|"&amp;$R996&amp;"|"&amp;$AE996,'ASIGNACIONES'!$J$4:$J$339,0)),""))=0,"",IFERROR(INDEX('ASIGNACIONES'!$F$4:$F$339,MATCH($O996&amp;"|"&amp;$R996&amp;"|"&amp;$AE996,'ASIGNACIONES'!$J$4:$J$339,0)),"")))</f>
        <v/>
      </c>
      <c r="AG996" s="13">
        <f>IF($AE996="","",SUMIFS('ORDENES'!$M$4:$M$1203,'ORDENES'!$AE$4:$AE$1203,$AE996,'ORDENES'!$O$4:$O$1203,$O996,'ORDENES'!$R$4:$R$1203,$R996))</f>
        <v/>
      </c>
      <c r="AH996" s="13">
        <f>IF($AG996="","",p_factor_productividad*IFERROR(INDEX('ASIGNACIONES'!$I$4:$I$339,MATCH($O996&amp;"|"&amp;$R996&amp;"|"&amp;$AE996,'ASIGNACIONES'!$J$4:$J$339,0)),0)-$AG996)</f>
        <v/>
      </c>
      <c r="AI996" s="10">
        <f>IF($A996="","",IFERROR(INDEX('2_IMPORTAR_EJECUCION'!$F$9:$F$1208,MATCH($AQ996,'2_IMPORTAR_EJECUCION'!$J$9:$J$1208,0)),0))</f>
        <v/>
      </c>
      <c r="AJ996" s="10">
        <f>IF($A996="","",MAX(0,IFERROR(INDEX('2_IMPORTAR_EJECUCION'!$H$9:$H$1208,MATCH($AQ996,'2_IMPORTAR_EJECUCION'!$J$9:$J$1208,0)),0)-$AI996))</f>
        <v/>
      </c>
      <c r="AK996" s="10">
        <f>IF($A996="","",$AI996+$AJ996)</f>
        <v/>
      </c>
      <c r="AL996" s="6" t="n"/>
      <c r="AM996" s="6" t="n"/>
      <c r="AN996" s="6" t="n"/>
      <c r="AO996" s="3">
        <f>IF($AN996="","",HYPERLINK(p_ruta_base_checklists&amp;$AN996,"abrir"))</f>
        <v/>
      </c>
      <c r="AP996" s="6" t="n"/>
      <c r="AQ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IF($A997="","",IFERROR(INDEX('AJUSTES'!$B$4:$B$303,MATCH($AQ997,'AJUSTES'!$A$4:$A$303,0)),IF($K997="","",$K997)))</f>
        <v/>
      </c>
      <c r="N997" s="3">
        <f>IF($A997="","",IFERROR(INDEX('CAT_ESTADOS_ERP'!$B$4:$B$7,MATCH(IFERROR(INDEX('2_IMPORTAR_EJECUCION'!$C$9:$C$1208,MATCH($AQ997,'2_IMPORTAR_EJECUCION'!$J$9:$J$1208,0)),""),'CAT_ESTADOS_ERP'!$A$4:$A$7,0)),"Pendiente"))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J997="","",IFERROR(INDEX('CALENDARIO'!$C$15:$C$214,MATCH(TEXT($J997,"yyyy-mm-dd")&amp;"|"&amp;$V997&amp;"|"&amp;$W997,'CALENDARIO'!$G$15:$G$214,0)),IFERROR(INDEX('CALENDARIO'!$C$15:$C$214,MATCH(TEXT($J997,"yyyy-mm-dd")&amp;"|"&amp;$V997&amp;"|",'CALENDARIO'!$G$15:$G$214,0)),IFERROR(INDEX('CALENDARIO'!$C$15:$C$214,MATCH(TEXT($J997,"yyyy-mm-dd")&amp;"||",'CALENDARIO'!$G$15:$G$214,0)),INDEX(patronHabil,WEEKDAY($J997,2))))))</f>
        <v/>
      </c>
      <c r="T997" s="3">
        <f>IF($I997="","",IFERROR(INDEX('CAT_TIPOS_OT'!$C$4:$C$7,MATCH($I997,'CAT_TIPOS_OT'!$A$4:$A$7,0)),"sin_clasificar"))</f>
        <v/>
      </c>
      <c r="U997" s="3">
        <f>IF($F997="","",IFERROR(INDEX('CAT_CENTROS_COSTO'!$F$4:$F$13,MATCH($F997,'CAT_CENTROS_COSTO'!$A$4:$A$13,0)),"(sin catálogo)"))</f>
        <v/>
      </c>
      <c r="V997" s="3">
        <f>IF($F997="","",IFERROR(INDEX('CAT_CENTROS_COSTO'!$D$4:$D$13,MATCH($F997,'CAT_CENTROS_COSTO'!$A$4:$A$13,0)),"(sin catálogo)"))</f>
        <v/>
      </c>
      <c r="W997" s="3">
        <f>IF($F997="","",IF((IFERROR(INDEX('CAT_CENTROS_COSTO'!$E$4:$E$13,MATCH($F997,'CAT_CENTROS_COSTO'!$A$4:$A$13,0)),""))&lt;&gt;"",IFERROR(INDEX('CAT_CENTROS_COSTO'!$E$4:$E$13,MATCH($F997,'CAT_CENTROS_COSTO'!$A$4:$A$13,0)),""),$V997))</f>
        <v/>
      </c>
      <c r="X997" s="3">
        <f>IF($F997="","",IFERROR(INDEX('CAT_CENTROS_COSTO'!$G$4:$G$13,MATCH($F997,'CAT_CENTROS_COSTO'!$A$4:$A$13,0)),"(sin catálogo)"))</f>
        <v/>
      </c>
      <c r="Y997" s="3">
        <f>IF($G997="","",IFERROR(INDEX('CAT_PUESTOS'!$B$4:$B$8,MATCH($G997,'CAT_PUESTOS'!$A$4:$A$8,0)),"(sin catálogo)"))</f>
        <v/>
      </c>
      <c r="Z997" s="3">
        <f>IF($H997="","",IFERROR(INDEX('CAT_ACTIVIDADES'!$B$4:$B$8,MATCH($H997,'CAT_ACTIVIDADES'!$A$4:$A$8,0)),"(sin catálogo)"))</f>
        <v/>
      </c>
      <c r="AA997" s="12">
        <f>IF($J997="","",TODAY()-$J997)</f>
        <v/>
      </c>
      <c r="AB997" s="12">
        <f>IF($J997="","",IF($J997&lt;=TODAY(),COUNTIFS(cal_fechas,"&gt;="&amp;$J997,cal_fechas,"&lt;"&amp;TODAY(),cal_habil,"sí"),-COUNTIFS(cal_fechas,"&gt;="&amp;TODAY(),cal_fechas,"&lt;"&amp;$J997,cal_habil,"sí")))</f>
        <v/>
      </c>
      <c r="AC997" s="3">
        <f>IF($AB997="","",IF($AB997&lt;0,"FUTURO",IF($AB997&gt;p_dias_backlog_max,"BACKLOG","MES CORRIENTE")))</f>
        <v/>
      </c>
      <c r="AD997" s="3">
        <f>IF($AB997="",FALSE,AND($AB997&gt;p_dias_backlog_min,$AB997&lt;=p_dias_backlog_max))</f>
        <v/>
      </c>
      <c r="AE997" s="6" t="n"/>
      <c r="AF997" s="3">
        <f>IF($AE997="","",IF((IFERROR(INDEX('ASIGNACIONES'!$F$4:$F$339,MATCH($O997&amp;"|"&amp;$R997&amp;"|"&amp;$AE997,'ASIGNACIONES'!$J$4:$J$339,0)),""))=0,"",IFERROR(INDEX('ASIGNACIONES'!$F$4:$F$339,MATCH($O997&amp;"|"&amp;$R997&amp;"|"&amp;$AE997,'ASIGNACIONES'!$J$4:$J$339,0)),"")))</f>
        <v/>
      </c>
      <c r="AG997" s="13">
        <f>IF($AE997="","",SUMIFS('ORDENES'!$M$4:$M$1203,'ORDENES'!$AE$4:$AE$1203,$AE997,'ORDENES'!$O$4:$O$1203,$O997,'ORDENES'!$R$4:$R$1203,$R997))</f>
        <v/>
      </c>
      <c r="AH997" s="13">
        <f>IF($AG997="","",p_factor_productividad*IFERROR(INDEX('ASIGNACIONES'!$I$4:$I$339,MATCH($O997&amp;"|"&amp;$R997&amp;"|"&amp;$AE997,'ASIGNACIONES'!$J$4:$J$339,0)),0)-$AG997)</f>
        <v/>
      </c>
      <c r="AI997" s="10">
        <f>IF($A997="","",IFERROR(INDEX('2_IMPORTAR_EJECUCION'!$F$9:$F$1208,MATCH($AQ997,'2_IMPORTAR_EJECUCION'!$J$9:$J$1208,0)),0))</f>
        <v/>
      </c>
      <c r="AJ997" s="10">
        <f>IF($A997="","",MAX(0,IFERROR(INDEX('2_IMPORTAR_EJECUCION'!$H$9:$H$1208,MATCH($AQ997,'2_IMPORTAR_EJECUCION'!$J$9:$J$1208,0)),0)-$AI997))</f>
        <v/>
      </c>
      <c r="AK997" s="10">
        <f>IF($A997="","",$AI997+$AJ997)</f>
        <v/>
      </c>
      <c r="AL997" s="6" t="n"/>
      <c r="AM997" s="6" t="n"/>
      <c r="AN997" s="6" t="n"/>
      <c r="AO997" s="3">
        <f>IF($AN997="","",HYPERLINK(p_ruta_base_checklists&amp;$AN997,"abrir"))</f>
        <v/>
      </c>
      <c r="AP997" s="6" t="n"/>
      <c r="AQ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IF($A998="","",IFERROR(INDEX('AJUSTES'!$B$4:$B$303,MATCH($AQ998,'AJUSTES'!$A$4:$A$303,0)),IF($K998="","",$K998)))</f>
        <v/>
      </c>
      <c r="N998" s="3">
        <f>IF($A998="","",IFERROR(INDEX('CAT_ESTADOS_ERP'!$B$4:$B$7,MATCH(IFERROR(INDEX('2_IMPORTAR_EJECUCION'!$C$9:$C$1208,MATCH($AQ998,'2_IMPORTAR_EJECUCION'!$J$9:$J$1208,0)),""),'CAT_ESTADOS_ERP'!$A$4:$A$7,0)),"Pendiente"))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J998="","",IFERROR(INDEX('CALENDARIO'!$C$15:$C$214,MATCH(TEXT($J998,"yyyy-mm-dd")&amp;"|"&amp;$V998&amp;"|"&amp;$W998,'CALENDARIO'!$G$15:$G$214,0)),IFERROR(INDEX('CALENDARIO'!$C$15:$C$214,MATCH(TEXT($J998,"yyyy-mm-dd")&amp;"|"&amp;$V998&amp;"|",'CALENDARIO'!$G$15:$G$214,0)),IFERROR(INDEX('CALENDARIO'!$C$15:$C$214,MATCH(TEXT($J998,"yyyy-mm-dd")&amp;"||",'CALENDARIO'!$G$15:$G$214,0)),INDEX(patronHabil,WEEKDAY($J998,2))))))</f>
        <v/>
      </c>
      <c r="T998" s="3">
        <f>IF($I998="","",IFERROR(INDEX('CAT_TIPOS_OT'!$C$4:$C$7,MATCH($I998,'CAT_TIPOS_OT'!$A$4:$A$7,0)),"sin_clasificar"))</f>
        <v/>
      </c>
      <c r="U998" s="3">
        <f>IF($F998="","",IFERROR(INDEX('CAT_CENTROS_COSTO'!$F$4:$F$13,MATCH($F998,'CAT_CENTROS_COSTO'!$A$4:$A$13,0)),"(sin catálogo)"))</f>
        <v/>
      </c>
      <c r="V998" s="3">
        <f>IF($F998="","",IFERROR(INDEX('CAT_CENTROS_COSTO'!$D$4:$D$13,MATCH($F998,'CAT_CENTROS_COSTO'!$A$4:$A$13,0)),"(sin catálogo)"))</f>
        <v/>
      </c>
      <c r="W998" s="3">
        <f>IF($F998="","",IF((IFERROR(INDEX('CAT_CENTROS_COSTO'!$E$4:$E$13,MATCH($F998,'CAT_CENTROS_COSTO'!$A$4:$A$13,0)),""))&lt;&gt;"",IFERROR(INDEX('CAT_CENTROS_COSTO'!$E$4:$E$13,MATCH($F998,'CAT_CENTROS_COSTO'!$A$4:$A$13,0)),""),$V998))</f>
        <v/>
      </c>
      <c r="X998" s="3">
        <f>IF($F998="","",IFERROR(INDEX('CAT_CENTROS_COSTO'!$G$4:$G$13,MATCH($F998,'CAT_CENTROS_COSTO'!$A$4:$A$13,0)),"(sin catálogo)"))</f>
        <v/>
      </c>
      <c r="Y998" s="3">
        <f>IF($G998="","",IFERROR(INDEX('CAT_PUESTOS'!$B$4:$B$8,MATCH($G998,'CAT_PUESTOS'!$A$4:$A$8,0)),"(sin catálogo)"))</f>
        <v/>
      </c>
      <c r="Z998" s="3">
        <f>IF($H998="","",IFERROR(INDEX('CAT_ACTIVIDADES'!$B$4:$B$8,MATCH($H998,'CAT_ACTIVIDADES'!$A$4:$A$8,0)),"(sin catálogo)"))</f>
        <v/>
      </c>
      <c r="AA998" s="12">
        <f>IF($J998="","",TODAY()-$J998)</f>
        <v/>
      </c>
      <c r="AB998" s="12">
        <f>IF($J998="","",IF($J998&lt;=TODAY(),COUNTIFS(cal_fechas,"&gt;="&amp;$J998,cal_fechas,"&lt;"&amp;TODAY(),cal_habil,"sí"),-COUNTIFS(cal_fechas,"&gt;="&amp;TODAY(),cal_fechas,"&lt;"&amp;$J998,cal_habil,"sí")))</f>
        <v/>
      </c>
      <c r="AC998" s="3">
        <f>IF($AB998="","",IF($AB998&lt;0,"FUTURO",IF($AB998&gt;p_dias_backlog_max,"BACKLOG","MES CORRIENTE")))</f>
        <v/>
      </c>
      <c r="AD998" s="3">
        <f>IF($AB998="",FALSE,AND($AB998&gt;p_dias_backlog_min,$AB998&lt;=p_dias_backlog_max))</f>
        <v/>
      </c>
      <c r="AE998" s="6" t="n"/>
      <c r="AF998" s="3">
        <f>IF($AE998="","",IF((IFERROR(INDEX('ASIGNACIONES'!$F$4:$F$339,MATCH($O998&amp;"|"&amp;$R998&amp;"|"&amp;$AE998,'ASIGNACIONES'!$J$4:$J$339,0)),""))=0,"",IFERROR(INDEX('ASIGNACIONES'!$F$4:$F$339,MATCH($O998&amp;"|"&amp;$R998&amp;"|"&amp;$AE998,'ASIGNACIONES'!$J$4:$J$339,0)),"")))</f>
        <v/>
      </c>
      <c r="AG998" s="13">
        <f>IF($AE998="","",SUMIFS('ORDENES'!$M$4:$M$1203,'ORDENES'!$AE$4:$AE$1203,$AE998,'ORDENES'!$O$4:$O$1203,$O998,'ORDENES'!$R$4:$R$1203,$R998))</f>
        <v/>
      </c>
      <c r="AH998" s="13">
        <f>IF($AG998="","",p_factor_productividad*IFERROR(INDEX('ASIGNACIONES'!$I$4:$I$339,MATCH($O998&amp;"|"&amp;$R998&amp;"|"&amp;$AE998,'ASIGNACIONES'!$J$4:$J$339,0)),0)-$AG998)</f>
        <v/>
      </c>
      <c r="AI998" s="10">
        <f>IF($A998="","",IFERROR(INDEX('2_IMPORTAR_EJECUCION'!$F$9:$F$1208,MATCH($AQ998,'2_IMPORTAR_EJECUCION'!$J$9:$J$1208,0)),0))</f>
        <v/>
      </c>
      <c r="AJ998" s="10">
        <f>IF($A998="","",MAX(0,IFERROR(INDEX('2_IMPORTAR_EJECUCION'!$H$9:$H$1208,MATCH($AQ998,'2_IMPORTAR_EJECUCION'!$J$9:$J$1208,0)),0)-$AI998))</f>
        <v/>
      </c>
      <c r="AK998" s="10">
        <f>IF($A998="","",$AI998+$AJ998)</f>
        <v/>
      </c>
      <c r="AL998" s="6" t="n"/>
      <c r="AM998" s="6" t="n"/>
      <c r="AN998" s="6" t="n"/>
      <c r="AO998" s="3">
        <f>IF($AN998="","",HYPERLINK(p_ruta_base_checklists&amp;$AN998,"abrir"))</f>
        <v/>
      </c>
      <c r="AP998" s="6" t="n"/>
      <c r="AQ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IF($A999="","",IFERROR(INDEX('AJUSTES'!$B$4:$B$303,MATCH($AQ999,'AJUSTES'!$A$4:$A$303,0)),IF($K999="","",$K999)))</f>
        <v/>
      </c>
      <c r="N999" s="3">
        <f>IF($A999="","",IFERROR(INDEX('CAT_ESTADOS_ERP'!$B$4:$B$7,MATCH(IFERROR(INDEX('2_IMPORTAR_EJECUCION'!$C$9:$C$1208,MATCH($AQ999,'2_IMPORTAR_EJECUCION'!$J$9:$J$1208,0)),""),'CAT_ESTADOS_ERP'!$A$4:$A$7,0)),"Pendiente"))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J999="","",IFERROR(INDEX('CALENDARIO'!$C$15:$C$214,MATCH(TEXT($J999,"yyyy-mm-dd")&amp;"|"&amp;$V999&amp;"|"&amp;$W999,'CALENDARIO'!$G$15:$G$214,0)),IFERROR(INDEX('CALENDARIO'!$C$15:$C$214,MATCH(TEXT($J999,"yyyy-mm-dd")&amp;"|"&amp;$V999&amp;"|",'CALENDARIO'!$G$15:$G$214,0)),IFERROR(INDEX('CALENDARIO'!$C$15:$C$214,MATCH(TEXT($J999,"yyyy-mm-dd")&amp;"||",'CALENDARIO'!$G$15:$G$214,0)),INDEX(patronHabil,WEEKDAY($J999,2))))))</f>
        <v/>
      </c>
      <c r="T999" s="3">
        <f>IF($I999="","",IFERROR(INDEX('CAT_TIPOS_OT'!$C$4:$C$7,MATCH($I999,'CAT_TIPOS_OT'!$A$4:$A$7,0)),"sin_clasificar"))</f>
        <v/>
      </c>
      <c r="U999" s="3">
        <f>IF($F999="","",IFERROR(INDEX('CAT_CENTROS_COSTO'!$F$4:$F$13,MATCH($F999,'CAT_CENTROS_COSTO'!$A$4:$A$13,0)),"(sin catálogo)"))</f>
        <v/>
      </c>
      <c r="V999" s="3">
        <f>IF($F999="","",IFERROR(INDEX('CAT_CENTROS_COSTO'!$D$4:$D$13,MATCH($F999,'CAT_CENTROS_COSTO'!$A$4:$A$13,0)),"(sin catálogo)"))</f>
        <v/>
      </c>
      <c r="W999" s="3">
        <f>IF($F999="","",IF((IFERROR(INDEX('CAT_CENTROS_COSTO'!$E$4:$E$13,MATCH($F999,'CAT_CENTROS_COSTO'!$A$4:$A$13,0)),""))&lt;&gt;"",IFERROR(INDEX('CAT_CENTROS_COSTO'!$E$4:$E$13,MATCH($F999,'CAT_CENTROS_COSTO'!$A$4:$A$13,0)),""),$V999))</f>
        <v/>
      </c>
      <c r="X999" s="3">
        <f>IF($F999="","",IFERROR(INDEX('CAT_CENTROS_COSTO'!$G$4:$G$13,MATCH($F999,'CAT_CENTROS_COSTO'!$A$4:$A$13,0)),"(sin catálogo)"))</f>
        <v/>
      </c>
      <c r="Y999" s="3">
        <f>IF($G999="","",IFERROR(INDEX('CAT_PUESTOS'!$B$4:$B$8,MATCH($G999,'CAT_PUESTOS'!$A$4:$A$8,0)),"(sin catálogo)"))</f>
        <v/>
      </c>
      <c r="Z999" s="3">
        <f>IF($H999="","",IFERROR(INDEX('CAT_ACTIVIDADES'!$B$4:$B$8,MATCH($H999,'CAT_ACTIVIDADES'!$A$4:$A$8,0)),"(sin catálogo)"))</f>
        <v/>
      </c>
      <c r="AA999" s="12">
        <f>IF($J999="","",TODAY()-$J999)</f>
        <v/>
      </c>
      <c r="AB999" s="12">
        <f>IF($J999="","",IF($J999&lt;=TODAY(),COUNTIFS(cal_fechas,"&gt;="&amp;$J999,cal_fechas,"&lt;"&amp;TODAY(),cal_habil,"sí"),-COUNTIFS(cal_fechas,"&gt;="&amp;TODAY(),cal_fechas,"&lt;"&amp;$J999,cal_habil,"sí")))</f>
        <v/>
      </c>
      <c r="AC999" s="3">
        <f>IF($AB999="","",IF($AB999&lt;0,"FUTURO",IF($AB999&gt;p_dias_backlog_max,"BACKLOG","MES CORRIENTE")))</f>
        <v/>
      </c>
      <c r="AD999" s="3">
        <f>IF($AB999="",FALSE,AND($AB999&gt;p_dias_backlog_min,$AB999&lt;=p_dias_backlog_max))</f>
        <v/>
      </c>
      <c r="AE999" s="6" t="n"/>
      <c r="AF999" s="3">
        <f>IF($AE999="","",IF((IFERROR(INDEX('ASIGNACIONES'!$F$4:$F$339,MATCH($O999&amp;"|"&amp;$R999&amp;"|"&amp;$AE999,'ASIGNACIONES'!$J$4:$J$339,0)),""))=0,"",IFERROR(INDEX('ASIGNACIONES'!$F$4:$F$339,MATCH($O999&amp;"|"&amp;$R999&amp;"|"&amp;$AE999,'ASIGNACIONES'!$J$4:$J$339,0)),"")))</f>
        <v/>
      </c>
      <c r="AG999" s="13">
        <f>IF($AE999="","",SUMIFS('ORDENES'!$M$4:$M$1203,'ORDENES'!$AE$4:$AE$1203,$AE999,'ORDENES'!$O$4:$O$1203,$O999,'ORDENES'!$R$4:$R$1203,$R999))</f>
        <v/>
      </c>
      <c r="AH999" s="13">
        <f>IF($AG999="","",p_factor_productividad*IFERROR(INDEX('ASIGNACIONES'!$I$4:$I$339,MATCH($O999&amp;"|"&amp;$R999&amp;"|"&amp;$AE999,'ASIGNACIONES'!$J$4:$J$339,0)),0)-$AG999)</f>
        <v/>
      </c>
      <c r="AI999" s="10">
        <f>IF($A999="","",IFERROR(INDEX('2_IMPORTAR_EJECUCION'!$F$9:$F$1208,MATCH($AQ999,'2_IMPORTAR_EJECUCION'!$J$9:$J$1208,0)),0))</f>
        <v/>
      </c>
      <c r="AJ999" s="10">
        <f>IF($A999="","",MAX(0,IFERROR(INDEX('2_IMPORTAR_EJECUCION'!$H$9:$H$1208,MATCH($AQ999,'2_IMPORTAR_EJECUCION'!$J$9:$J$1208,0)),0)-$AI999))</f>
        <v/>
      </c>
      <c r="AK999" s="10">
        <f>IF($A999="","",$AI999+$AJ999)</f>
        <v/>
      </c>
      <c r="AL999" s="6" t="n"/>
      <c r="AM999" s="6" t="n"/>
      <c r="AN999" s="6" t="n"/>
      <c r="AO999" s="3">
        <f>IF($AN999="","",HYPERLINK(p_ruta_base_checklists&amp;$AN999,"abrir"))</f>
        <v/>
      </c>
      <c r="AP999" s="6" t="n"/>
      <c r="AQ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IF($A1000="","",IFERROR(INDEX('AJUSTES'!$B$4:$B$303,MATCH($AQ1000,'AJUSTES'!$A$4:$A$303,0)),IF($K1000="","",$K1000)))</f>
        <v/>
      </c>
      <c r="N1000" s="3">
        <f>IF($A1000="","",IFERROR(INDEX('CAT_ESTADOS_ERP'!$B$4:$B$7,MATCH(IFERROR(INDEX('2_IMPORTAR_EJECUCION'!$C$9:$C$1208,MATCH($AQ1000,'2_IMPORTAR_EJECUCION'!$J$9:$J$1208,0)),""),'CAT_ESTADOS_ERP'!$A$4:$A$7,0)),"Pendiente"))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J1000="","",IFERROR(INDEX('CALENDARIO'!$C$15:$C$214,MATCH(TEXT($J1000,"yyyy-mm-dd")&amp;"|"&amp;$V1000&amp;"|"&amp;$W1000,'CALENDARIO'!$G$15:$G$214,0)),IFERROR(INDEX('CALENDARIO'!$C$15:$C$214,MATCH(TEXT($J1000,"yyyy-mm-dd")&amp;"|"&amp;$V1000&amp;"|",'CALENDARIO'!$G$15:$G$214,0)),IFERROR(INDEX('CALENDARIO'!$C$15:$C$214,MATCH(TEXT($J1000,"yyyy-mm-dd")&amp;"||",'CALENDARIO'!$G$15:$G$214,0)),INDEX(patronHabil,WEEKDAY($J1000,2))))))</f>
        <v/>
      </c>
      <c r="T1000" s="3">
        <f>IF($I1000="","",IFERROR(INDEX('CAT_TIPOS_OT'!$C$4:$C$7,MATCH($I1000,'CAT_TIPOS_OT'!$A$4:$A$7,0)),"sin_clasificar"))</f>
        <v/>
      </c>
      <c r="U1000" s="3">
        <f>IF($F1000="","",IFERROR(INDEX('CAT_CENTROS_COSTO'!$F$4:$F$13,MATCH($F1000,'CAT_CENTROS_COSTO'!$A$4:$A$13,0)),"(sin catálogo)"))</f>
        <v/>
      </c>
      <c r="V1000" s="3">
        <f>IF($F1000="","",IFERROR(INDEX('CAT_CENTROS_COSTO'!$D$4:$D$13,MATCH($F1000,'CAT_CENTROS_COSTO'!$A$4:$A$13,0)),"(sin catálogo)"))</f>
        <v/>
      </c>
      <c r="W1000" s="3">
        <f>IF($F1000="","",IF((IFERROR(INDEX('CAT_CENTROS_COSTO'!$E$4:$E$13,MATCH($F1000,'CAT_CENTROS_COSTO'!$A$4:$A$13,0)),""))&lt;&gt;"",IFERROR(INDEX('CAT_CENTROS_COSTO'!$E$4:$E$13,MATCH($F1000,'CAT_CENTROS_COSTO'!$A$4:$A$13,0)),""),$V1000))</f>
        <v/>
      </c>
      <c r="X1000" s="3">
        <f>IF($F1000="","",IFERROR(INDEX('CAT_CENTROS_COSTO'!$G$4:$G$13,MATCH($F1000,'CAT_CENTROS_COSTO'!$A$4:$A$13,0)),"(sin catálogo)"))</f>
        <v/>
      </c>
      <c r="Y1000" s="3">
        <f>IF($G1000="","",IFERROR(INDEX('CAT_PUESTOS'!$B$4:$B$8,MATCH($G1000,'CAT_PUESTOS'!$A$4:$A$8,0)),"(sin catálogo)"))</f>
        <v/>
      </c>
      <c r="Z1000" s="3">
        <f>IF($H1000="","",IFERROR(INDEX('CAT_ACTIVIDADES'!$B$4:$B$8,MATCH($H1000,'CAT_ACTIVIDADES'!$A$4:$A$8,0)),"(sin catálogo)"))</f>
        <v/>
      </c>
      <c r="AA1000" s="12">
        <f>IF($J1000="","",TODAY()-$J1000)</f>
        <v/>
      </c>
      <c r="AB1000" s="12">
        <f>IF($J1000="","",IF($J1000&lt;=TODAY(),COUNTIFS(cal_fechas,"&gt;="&amp;$J1000,cal_fechas,"&lt;"&amp;TODAY(),cal_habil,"sí"),-COUNTIFS(cal_fechas,"&gt;="&amp;TODAY(),cal_fechas,"&lt;"&amp;$J1000,cal_habil,"sí")))</f>
        <v/>
      </c>
      <c r="AC1000" s="3">
        <f>IF($AB1000="","",IF($AB1000&lt;0,"FUTURO",IF($AB1000&gt;p_dias_backlog_max,"BACKLOG","MES CORRIENTE")))</f>
        <v/>
      </c>
      <c r="AD1000" s="3">
        <f>IF($AB1000="",FALSE,AND($AB1000&gt;p_dias_backlog_min,$AB1000&lt;=p_dias_backlog_max))</f>
        <v/>
      </c>
      <c r="AE1000" s="6" t="n"/>
      <c r="AF1000" s="3">
        <f>IF($AE1000="","",IF((IFERROR(INDEX('ASIGNACIONES'!$F$4:$F$339,MATCH($O1000&amp;"|"&amp;$R1000&amp;"|"&amp;$AE1000,'ASIGNACIONES'!$J$4:$J$339,0)),""))=0,"",IFERROR(INDEX('ASIGNACIONES'!$F$4:$F$339,MATCH($O1000&amp;"|"&amp;$R1000&amp;"|"&amp;$AE1000,'ASIGNACIONES'!$J$4:$J$339,0)),"")))</f>
        <v/>
      </c>
      <c r="AG1000" s="13">
        <f>IF($AE1000="","",SUMIFS('ORDENES'!$M$4:$M$1203,'ORDENES'!$AE$4:$AE$1203,$AE1000,'ORDENES'!$O$4:$O$1203,$O1000,'ORDENES'!$R$4:$R$1203,$R1000))</f>
        <v/>
      </c>
      <c r="AH1000" s="13">
        <f>IF($AG1000="","",p_factor_productividad*IFERROR(INDEX('ASIGNACIONES'!$I$4:$I$339,MATCH($O1000&amp;"|"&amp;$R1000&amp;"|"&amp;$AE1000,'ASIGNACIONES'!$J$4:$J$339,0)),0)-$AG1000)</f>
        <v/>
      </c>
      <c r="AI1000" s="10">
        <f>IF($A1000="","",IFERROR(INDEX('2_IMPORTAR_EJECUCION'!$F$9:$F$1208,MATCH($AQ1000,'2_IMPORTAR_EJECUCION'!$J$9:$J$1208,0)),0))</f>
        <v/>
      </c>
      <c r="AJ1000" s="10">
        <f>IF($A1000="","",MAX(0,IFERROR(INDEX('2_IMPORTAR_EJECUCION'!$H$9:$H$1208,MATCH($AQ1000,'2_IMPORTAR_EJECUCION'!$J$9:$J$1208,0)),0)-$AI1000))</f>
        <v/>
      </c>
      <c r="AK1000" s="10">
        <f>IF($A1000="","",$AI1000+$AJ1000)</f>
        <v/>
      </c>
      <c r="AL1000" s="6" t="n"/>
      <c r="AM1000" s="6" t="n"/>
      <c r="AN1000" s="6" t="n"/>
      <c r="AO1000" s="3">
        <f>IF($AN1000="","",HYPERLINK(p_ruta_base_checklists&amp;$AN1000,"abrir"))</f>
        <v/>
      </c>
      <c r="AP1000" s="6" t="n"/>
      <c r="AQ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IF($A1001="","",IFERROR(INDEX('AJUSTES'!$B$4:$B$303,MATCH($AQ1001,'AJUSTES'!$A$4:$A$303,0)),IF($K1001="","",$K1001)))</f>
        <v/>
      </c>
      <c r="N1001" s="3">
        <f>IF($A1001="","",IFERROR(INDEX('CAT_ESTADOS_ERP'!$B$4:$B$7,MATCH(IFERROR(INDEX('2_IMPORTAR_EJECUCION'!$C$9:$C$1208,MATCH($AQ1001,'2_IMPORTAR_EJECUCION'!$J$9:$J$1208,0)),""),'CAT_ESTADOS_ERP'!$A$4:$A$7,0)),"Pendiente"))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J1001="","",IFERROR(INDEX('CALENDARIO'!$C$15:$C$214,MATCH(TEXT($J1001,"yyyy-mm-dd")&amp;"|"&amp;$V1001&amp;"|"&amp;$W1001,'CALENDARIO'!$G$15:$G$214,0)),IFERROR(INDEX('CALENDARIO'!$C$15:$C$214,MATCH(TEXT($J1001,"yyyy-mm-dd")&amp;"|"&amp;$V1001&amp;"|",'CALENDARIO'!$G$15:$G$214,0)),IFERROR(INDEX('CALENDARIO'!$C$15:$C$214,MATCH(TEXT($J1001,"yyyy-mm-dd")&amp;"||",'CALENDARIO'!$G$15:$G$214,0)),INDEX(patronHabil,WEEKDAY($J1001,2))))))</f>
        <v/>
      </c>
      <c r="T1001" s="3">
        <f>IF($I1001="","",IFERROR(INDEX('CAT_TIPOS_OT'!$C$4:$C$7,MATCH($I1001,'CAT_TIPOS_OT'!$A$4:$A$7,0)),"sin_clasificar"))</f>
        <v/>
      </c>
      <c r="U1001" s="3">
        <f>IF($F1001="","",IFERROR(INDEX('CAT_CENTROS_COSTO'!$F$4:$F$13,MATCH($F1001,'CAT_CENTROS_COSTO'!$A$4:$A$13,0)),"(sin catálogo)"))</f>
        <v/>
      </c>
      <c r="V1001" s="3">
        <f>IF($F1001="","",IFERROR(INDEX('CAT_CENTROS_COSTO'!$D$4:$D$13,MATCH($F1001,'CAT_CENTROS_COSTO'!$A$4:$A$13,0)),"(sin catálogo)"))</f>
        <v/>
      </c>
      <c r="W1001" s="3">
        <f>IF($F1001="","",IF((IFERROR(INDEX('CAT_CENTROS_COSTO'!$E$4:$E$13,MATCH($F1001,'CAT_CENTROS_COSTO'!$A$4:$A$13,0)),""))&lt;&gt;"",IFERROR(INDEX('CAT_CENTROS_COSTO'!$E$4:$E$13,MATCH($F1001,'CAT_CENTROS_COSTO'!$A$4:$A$13,0)),""),$V1001))</f>
        <v/>
      </c>
      <c r="X1001" s="3">
        <f>IF($F1001="","",IFERROR(INDEX('CAT_CENTROS_COSTO'!$G$4:$G$13,MATCH($F1001,'CAT_CENTROS_COSTO'!$A$4:$A$13,0)),"(sin catálogo)"))</f>
        <v/>
      </c>
      <c r="Y1001" s="3">
        <f>IF($G1001="","",IFERROR(INDEX('CAT_PUESTOS'!$B$4:$B$8,MATCH($G1001,'CAT_PUESTOS'!$A$4:$A$8,0)),"(sin catálogo)"))</f>
        <v/>
      </c>
      <c r="Z1001" s="3">
        <f>IF($H1001="","",IFERROR(INDEX('CAT_ACTIVIDADES'!$B$4:$B$8,MATCH($H1001,'CAT_ACTIVIDADES'!$A$4:$A$8,0)),"(sin catálogo)"))</f>
        <v/>
      </c>
      <c r="AA1001" s="12">
        <f>IF($J1001="","",TODAY()-$J1001)</f>
        <v/>
      </c>
      <c r="AB1001" s="12">
        <f>IF($J1001="","",IF($J1001&lt;=TODAY(),COUNTIFS(cal_fechas,"&gt;="&amp;$J1001,cal_fechas,"&lt;"&amp;TODAY(),cal_habil,"sí"),-COUNTIFS(cal_fechas,"&gt;="&amp;TODAY(),cal_fechas,"&lt;"&amp;$J1001,cal_habil,"sí")))</f>
        <v/>
      </c>
      <c r="AC1001" s="3">
        <f>IF($AB1001="","",IF($AB1001&lt;0,"FUTURO",IF($AB1001&gt;p_dias_backlog_max,"BACKLOG","MES CORRIENTE")))</f>
        <v/>
      </c>
      <c r="AD1001" s="3">
        <f>IF($AB1001="",FALSE,AND($AB1001&gt;p_dias_backlog_min,$AB1001&lt;=p_dias_backlog_max))</f>
        <v/>
      </c>
      <c r="AE1001" s="6" t="n"/>
      <c r="AF1001" s="3">
        <f>IF($AE1001="","",IF((IFERROR(INDEX('ASIGNACIONES'!$F$4:$F$339,MATCH($O1001&amp;"|"&amp;$R1001&amp;"|"&amp;$AE1001,'ASIGNACIONES'!$J$4:$J$339,0)),""))=0,"",IFERROR(INDEX('ASIGNACIONES'!$F$4:$F$339,MATCH($O1001&amp;"|"&amp;$R1001&amp;"|"&amp;$AE1001,'ASIGNACIONES'!$J$4:$J$339,0)),"")))</f>
        <v/>
      </c>
      <c r="AG1001" s="13">
        <f>IF($AE1001="","",SUMIFS('ORDENES'!$M$4:$M$1203,'ORDENES'!$AE$4:$AE$1203,$AE1001,'ORDENES'!$O$4:$O$1203,$O1001,'ORDENES'!$R$4:$R$1203,$R1001))</f>
        <v/>
      </c>
      <c r="AH1001" s="13">
        <f>IF($AG1001="","",p_factor_productividad*IFERROR(INDEX('ASIGNACIONES'!$I$4:$I$339,MATCH($O1001&amp;"|"&amp;$R1001&amp;"|"&amp;$AE1001,'ASIGNACIONES'!$J$4:$J$339,0)),0)-$AG1001)</f>
        <v/>
      </c>
      <c r="AI1001" s="10">
        <f>IF($A1001="","",IFERROR(INDEX('2_IMPORTAR_EJECUCION'!$F$9:$F$1208,MATCH($AQ1001,'2_IMPORTAR_EJECUCION'!$J$9:$J$1208,0)),0))</f>
        <v/>
      </c>
      <c r="AJ1001" s="10">
        <f>IF($A1001="","",MAX(0,IFERROR(INDEX('2_IMPORTAR_EJECUCION'!$H$9:$H$1208,MATCH($AQ1001,'2_IMPORTAR_EJECUCION'!$J$9:$J$1208,0)),0)-$AI1001))</f>
        <v/>
      </c>
      <c r="AK1001" s="10">
        <f>IF($A1001="","",$AI1001+$AJ1001)</f>
        <v/>
      </c>
      <c r="AL1001" s="6" t="n"/>
      <c r="AM1001" s="6" t="n"/>
      <c r="AN1001" s="6" t="n"/>
      <c r="AO1001" s="3">
        <f>IF($AN1001="","",HYPERLINK(p_ruta_base_checklists&amp;$AN1001,"abrir"))</f>
        <v/>
      </c>
      <c r="AP1001" s="6" t="n"/>
      <c r="AQ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IF($A1002="","",IFERROR(INDEX('AJUSTES'!$B$4:$B$303,MATCH($AQ1002,'AJUSTES'!$A$4:$A$303,0)),IF($K1002="","",$K1002)))</f>
        <v/>
      </c>
      <c r="N1002" s="3">
        <f>IF($A1002="","",IFERROR(INDEX('CAT_ESTADOS_ERP'!$B$4:$B$7,MATCH(IFERROR(INDEX('2_IMPORTAR_EJECUCION'!$C$9:$C$1208,MATCH($AQ1002,'2_IMPORTAR_EJECUCION'!$J$9:$J$1208,0)),""),'CAT_ESTADOS_ERP'!$A$4:$A$7,0)),"Pendiente"))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J1002="","",IFERROR(INDEX('CALENDARIO'!$C$15:$C$214,MATCH(TEXT($J1002,"yyyy-mm-dd")&amp;"|"&amp;$V1002&amp;"|"&amp;$W1002,'CALENDARIO'!$G$15:$G$214,0)),IFERROR(INDEX('CALENDARIO'!$C$15:$C$214,MATCH(TEXT($J1002,"yyyy-mm-dd")&amp;"|"&amp;$V1002&amp;"|",'CALENDARIO'!$G$15:$G$214,0)),IFERROR(INDEX('CALENDARIO'!$C$15:$C$214,MATCH(TEXT($J1002,"yyyy-mm-dd")&amp;"||",'CALENDARIO'!$G$15:$G$214,0)),INDEX(patronHabil,WEEKDAY($J1002,2))))))</f>
        <v/>
      </c>
      <c r="T1002" s="3">
        <f>IF($I1002="","",IFERROR(INDEX('CAT_TIPOS_OT'!$C$4:$C$7,MATCH($I1002,'CAT_TIPOS_OT'!$A$4:$A$7,0)),"sin_clasificar"))</f>
        <v/>
      </c>
      <c r="U1002" s="3">
        <f>IF($F1002="","",IFERROR(INDEX('CAT_CENTROS_COSTO'!$F$4:$F$13,MATCH($F1002,'CAT_CENTROS_COSTO'!$A$4:$A$13,0)),"(sin catálogo)"))</f>
        <v/>
      </c>
      <c r="V1002" s="3">
        <f>IF($F1002="","",IFERROR(INDEX('CAT_CENTROS_COSTO'!$D$4:$D$13,MATCH($F1002,'CAT_CENTROS_COSTO'!$A$4:$A$13,0)),"(sin catálogo)"))</f>
        <v/>
      </c>
      <c r="W1002" s="3">
        <f>IF($F1002="","",IF((IFERROR(INDEX('CAT_CENTROS_COSTO'!$E$4:$E$13,MATCH($F1002,'CAT_CENTROS_COSTO'!$A$4:$A$13,0)),""))&lt;&gt;"",IFERROR(INDEX('CAT_CENTROS_COSTO'!$E$4:$E$13,MATCH($F1002,'CAT_CENTROS_COSTO'!$A$4:$A$13,0)),""),$V1002))</f>
        <v/>
      </c>
      <c r="X1002" s="3">
        <f>IF($F1002="","",IFERROR(INDEX('CAT_CENTROS_COSTO'!$G$4:$G$13,MATCH($F1002,'CAT_CENTROS_COSTO'!$A$4:$A$13,0)),"(sin catálogo)"))</f>
        <v/>
      </c>
      <c r="Y1002" s="3">
        <f>IF($G1002="","",IFERROR(INDEX('CAT_PUESTOS'!$B$4:$B$8,MATCH($G1002,'CAT_PUESTOS'!$A$4:$A$8,0)),"(sin catálogo)"))</f>
        <v/>
      </c>
      <c r="Z1002" s="3">
        <f>IF($H1002="","",IFERROR(INDEX('CAT_ACTIVIDADES'!$B$4:$B$8,MATCH($H1002,'CAT_ACTIVIDADES'!$A$4:$A$8,0)),"(sin catálogo)"))</f>
        <v/>
      </c>
      <c r="AA1002" s="12">
        <f>IF($J1002="","",TODAY()-$J1002)</f>
        <v/>
      </c>
      <c r="AB1002" s="12">
        <f>IF($J1002="","",IF($J1002&lt;=TODAY(),COUNTIFS(cal_fechas,"&gt;="&amp;$J1002,cal_fechas,"&lt;"&amp;TODAY(),cal_habil,"sí"),-COUNTIFS(cal_fechas,"&gt;="&amp;TODAY(),cal_fechas,"&lt;"&amp;$J1002,cal_habil,"sí")))</f>
        <v/>
      </c>
      <c r="AC1002" s="3">
        <f>IF($AB1002="","",IF($AB1002&lt;0,"FUTURO",IF($AB1002&gt;p_dias_backlog_max,"BACKLOG","MES CORRIENTE")))</f>
        <v/>
      </c>
      <c r="AD1002" s="3">
        <f>IF($AB1002="",FALSE,AND($AB1002&gt;p_dias_backlog_min,$AB1002&lt;=p_dias_backlog_max))</f>
        <v/>
      </c>
      <c r="AE1002" s="6" t="n"/>
      <c r="AF1002" s="3">
        <f>IF($AE1002="","",IF((IFERROR(INDEX('ASIGNACIONES'!$F$4:$F$339,MATCH($O1002&amp;"|"&amp;$R1002&amp;"|"&amp;$AE1002,'ASIGNACIONES'!$J$4:$J$339,0)),""))=0,"",IFERROR(INDEX('ASIGNACIONES'!$F$4:$F$339,MATCH($O1002&amp;"|"&amp;$R1002&amp;"|"&amp;$AE1002,'ASIGNACIONES'!$J$4:$J$339,0)),"")))</f>
        <v/>
      </c>
      <c r="AG1002" s="13">
        <f>IF($AE1002="","",SUMIFS('ORDENES'!$M$4:$M$1203,'ORDENES'!$AE$4:$AE$1203,$AE1002,'ORDENES'!$O$4:$O$1203,$O1002,'ORDENES'!$R$4:$R$1203,$R1002))</f>
        <v/>
      </c>
      <c r="AH1002" s="13">
        <f>IF($AG1002="","",p_factor_productividad*IFERROR(INDEX('ASIGNACIONES'!$I$4:$I$339,MATCH($O1002&amp;"|"&amp;$R1002&amp;"|"&amp;$AE1002,'ASIGNACIONES'!$J$4:$J$339,0)),0)-$AG1002)</f>
        <v/>
      </c>
      <c r="AI1002" s="10">
        <f>IF($A1002="","",IFERROR(INDEX('2_IMPORTAR_EJECUCION'!$F$9:$F$1208,MATCH($AQ1002,'2_IMPORTAR_EJECUCION'!$J$9:$J$1208,0)),0))</f>
        <v/>
      </c>
      <c r="AJ1002" s="10">
        <f>IF($A1002="","",MAX(0,IFERROR(INDEX('2_IMPORTAR_EJECUCION'!$H$9:$H$1208,MATCH($AQ1002,'2_IMPORTAR_EJECUCION'!$J$9:$J$1208,0)),0)-$AI1002))</f>
        <v/>
      </c>
      <c r="AK1002" s="10">
        <f>IF($A1002="","",$AI1002+$AJ1002)</f>
        <v/>
      </c>
      <c r="AL1002" s="6" t="n"/>
      <c r="AM1002" s="6" t="n"/>
      <c r="AN1002" s="6" t="n"/>
      <c r="AO1002" s="3">
        <f>IF($AN1002="","",HYPERLINK(p_ruta_base_checklists&amp;$AN1002,"abrir"))</f>
        <v/>
      </c>
      <c r="AP1002" s="6" t="n"/>
      <c r="AQ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IF($A1003="","",IFERROR(INDEX('AJUSTES'!$B$4:$B$303,MATCH($AQ1003,'AJUSTES'!$A$4:$A$303,0)),IF($K1003="","",$K1003)))</f>
        <v/>
      </c>
      <c r="N1003" s="3">
        <f>IF($A1003="","",IFERROR(INDEX('CAT_ESTADOS_ERP'!$B$4:$B$7,MATCH(IFERROR(INDEX('2_IMPORTAR_EJECUCION'!$C$9:$C$1208,MATCH($AQ1003,'2_IMPORTAR_EJECUCION'!$J$9:$J$1208,0)),""),'CAT_ESTADOS_ERP'!$A$4:$A$7,0)),"Pendiente"))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J1003="","",IFERROR(INDEX('CALENDARIO'!$C$15:$C$214,MATCH(TEXT($J1003,"yyyy-mm-dd")&amp;"|"&amp;$V1003&amp;"|"&amp;$W1003,'CALENDARIO'!$G$15:$G$214,0)),IFERROR(INDEX('CALENDARIO'!$C$15:$C$214,MATCH(TEXT($J1003,"yyyy-mm-dd")&amp;"|"&amp;$V1003&amp;"|",'CALENDARIO'!$G$15:$G$214,0)),IFERROR(INDEX('CALENDARIO'!$C$15:$C$214,MATCH(TEXT($J1003,"yyyy-mm-dd")&amp;"||",'CALENDARIO'!$G$15:$G$214,0)),INDEX(patronHabil,WEEKDAY($J1003,2))))))</f>
        <v/>
      </c>
      <c r="T1003" s="3">
        <f>IF($I1003="","",IFERROR(INDEX('CAT_TIPOS_OT'!$C$4:$C$7,MATCH($I1003,'CAT_TIPOS_OT'!$A$4:$A$7,0)),"sin_clasificar"))</f>
        <v/>
      </c>
      <c r="U1003" s="3">
        <f>IF($F1003="","",IFERROR(INDEX('CAT_CENTROS_COSTO'!$F$4:$F$13,MATCH($F1003,'CAT_CENTROS_COSTO'!$A$4:$A$13,0)),"(sin catálogo)"))</f>
        <v/>
      </c>
      <c r="V1003" s="3">
        <f>IF($F1003="","",IFERROR(INDEX('CAT_CENTROS_COSTO'!$D$4:$D$13,MATCH($F1003,'CAT_CENTROS_COSTO'!$A$4:$A$13,0)),"(sin catálogo)"))</f>
        <v/>
      </c>
      <c r="W1003" s="3">
        <f>IF($F1003="","",IF((IFERROR(INDEX('CAT_CENTROS_COSTO'!$E$4:$E$13,MATCH($F1003,'CAT_CENTROS_COSTO'!$A$4:$A$13,0)),""))&lt;&gt;"",IFERROR(INDEX('CAT_CENTROS_COSTO'!$E$4:$E$13,MATCH($F1003,'CAT_CENTROS_COSTO'!$A$4:$A$13,0)),""),$V1003))</f>
        <v/>
      </c>
      <c r="X1003" s="3">
        <f>IF($F1003="","",IFERROR(INDEX('CAT_CENTROS_COSTO'!$G$4:$G$13,MATCH($F1003,'CAT_CENTROS_COSTO'!$A$4:$A$13,0)),"(sin catálogo)"))</f>
        <v/>
      </c>
      <c r="Y1003" s="3">
        <f>IF($G1003="","",IFERROR(INDEX('CAT_PUESTOS'!$B$4:$B$8,MATCH($G1003,'CAT_PUESTOS'!$A$4:$A$8,0)),"(sin catálogo)"))</f>
        <v/>
      </c>
      <c r="Z1003" s="3">
        <f>IF($H1003="","",IFERROR(INDEX('CAT_ACTIVIDADES'!$B$4:$B$8,MATCH($H1003,'CAT_ACTIVIDADES'!$A$4:$A$8,0)),"(sin catálogo)"))</f>
        <v/>
      </c>
      <c r="AA1003" s="12">
        <f>IF($J1003="","",TODAY()-$J1003)</f>
        <v/>
      </c>
      <c r="AB1003" s="12">
        <f>IF($J1003="","",IF($J1003&lt;=TODAY(),COUNTIFS(cal_fechas,"&gt;="&amp;$J1003,cal_fechas,"&lt;"&amp;TODAY(),cal_habil,"sí"),-COUNTIFS(cal_fechas,"&gt;="&amp;TODAY(),cal_fechas,"&lt;"&amp;$J1003,cal_habil,"sí")))</f>
        <v/>
      </c>
      <c r="AC1003" s="3">
        <f>IF($AB1003="","",IF($AB1003&lt;0,"FUTURO",IF($AB1003&gt;p_dias_backlog_max,"BACKLOG","MES CORRIENTE")))</f>
        <v/>
      </c>
      <c r="AD1003" s="3">
        <f>IF($AB1003="",FALSE,AND($AB1003&gt;p_dias_backlog_min,$AB1003&lt;=p_dias_backlog_max))</f>
        <v/>
      </c>
      <c r="AE1003" s="6" t="n"/>
      <c r="AF1003" s="3">
        <f>IF($AE1003="","",IF((IFERROR(INDEX('ASIGNACIONES'!$F$4:$F$339,MATCH($O1003&amp;"|"&amp;$R1003&amp;"|"&amp;$AE1003,'ASIGNACIONES'!$J$4:$J$339,0)),""))=0,"",IFERROR(INDEX('ASIGNACIONES'!$F$4:$F$339,MATCH($O1003&amp;"|"&amp;$R1003&amp;"|"&amp;$AE1003,'ASIGNACIONES'!$J$4:$J$339,0)),"")))</f>
        <v/>
      </c>
      <c r="AG1003" s="13">
        <f>IF($AE1003="","",SUMIFS('ORDENES'!$M$4:$M$1203,'ORDENES'!$AE$4:$AE$1203,$AE1003,'ORDENES'!$O$4:$O$1203,$O1003,'ORDENES'!$R$4:$R$1203,$R1003))</f>
        <v/>
      </c>
      <c r="AH1003" s="13">
        <f>IF($AG1003="","",p_factor_productividad*IFERROR(INDEX('ASIGNACIONES'!$I$4:$I$339,MATCH($O1003&amp;"|"&amp;$R1003&amp;"|"&amp;$AE1003,'ASIGNACIONES'!$J$4:$J$339,0)),0)-$AG1003)</f>
        <v/>
      </c>
      <c r="AI1003" s="10">
        <f>IF($A1003="","",IFERROR(INDEX('2_IMPORTAR_EJECUCION'!$F$9:$F$1208,MATCH($AQ1003,'2_IMPORTAR_EJECUCION'!$J$9:$J$1208,0)),0))</f>
        <v/>
      </c>
      <c r="AJ1003" s="10">
        <f>IF($A1003="","",MAX(0,IFERROR(INDEX('2_IMPORTAR_EJECUCION'!$H$9:$H$1208,MATCH($AQ1003,'2_IMPORTAR_EJECUCION'!$J$9:$J$1208,0)),0)-$AI1003))</f>
        <v/>
      </c>
      <c r="AK1003" s="10">
        <f>IF($A1003="","",$AI1003+$AJ1003)</f>
        <v/>
      </c>
      <c r="AL1003" s="6" t="n"/>
      <c r="AM1003" s="6" t="n"/>
      <c r="AN1003" s="6" t="n"/>
      <c r="AO1003" s="3">
        <f>IF($AN1003="","",HYPERLINK(p_ruta_base_checklists&amp;$AN1003,"abrir"))</f>
        <v/>
      </c>
      <c r="AP1003" s="6" t="n"/>
      <c r="AQ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IF($A1004="","",IFERROR(INDEX('AJUSTES'!$B$4:$B$303,MATCH($AQ1004,'AJUSTES'!$A$4:$A$303,0)),IF($K1004="","",$K1004)))</f>
        <v/>
      </c>
      <c r="N1004" s="3">
        <f>IF($A1004="","",IFERROR(INDEX('CAT_ESTADOS_ERP'!$B$4:$B$7,MATCH(IFERROR(INDEX('2_IMPORTAR_EJECUCION'!$C$9:$C$1208,MATCH($AQ1004,'2_IMPORTAR_EJECUCION'!$J$9:$J$1208,0)),""),'CAT_ESTADOS_ERP'!$A$4:$A$7,0)),"Pendiente"))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J1004="","",IFERROR(INDEX('CALENDARIO'!$C$15:$C$214,MATCH(TEXT($J1004,"yyyy-mm-dd")&amp;"|"&amp;$V1004&amp;"|"&amp;$W1004,'CALENDARIO'!$G$15:$G$214,0)),IFERROR(INDEX('CALENDARIO'!$C$15:$C$214,MATCH(TEXT($J1004,"yyyy-mm-dd")&amp;"|"&amp;$V1004&amp;"|",'CALENDARIO'!$G$15:$G$214,0)),IFERROR(INDEX('CALENDARIO'!$C$15:$C$214,MATCH(TEXT($J1004,"yyyy-mm-dd")&amp;"||",'CALENDARIO'!$G$15:$G$214,0)),INDEX(patronHabil,WEEKDAY($J1004,2))))))</f>
        <v/>
      </c>
      <c r="T1004" s="3">
        <f>IF($I1004="","",IFERROR(INDEX('CAT_TIPOS_OT'!$C$4:$C$7,MATCH($I1004,'CAT_TIPOS_OT'!$A$4:$A$7,0)),"sin_clasificar"))</f>
        <v/>
      </c>
      <c r="U1004" s="3">
        <f>IF($F1004="","",IFERROR(INDEX('CAT_CENTROS_COSTO'!$F$4:$F$13,MATCH($F1004,'CAT_CENTROS_COSTO'!$A$4:$A$13,0)),"(sin catálogo)"))</f>
        <v/>
      </c>
      <c r="V1004" s="3">
        <f>IF($F1004="","",IFERROR(INDEX('CAT_CENTROS_COSTO'!$D$4:$D$13,MATCH($F1004,'CAT_CENTROS_COSTO'!$A$4:$A$13,0)),"(sin catálogo)"))</f>
        <v/>
      </c>
      <c r="W1004" s="3">
        <f>IF($F1004="","",IF((IFERROR(INDEX('CAT_CENTROS_COSTO'!$E$4:$E$13,MATCH($F1004,'CAT_CENTROS_COSTO'!$A$4:$A$13,0)),""))&lt;&gt;"",IFERROR(INDEX('CAT_CENTROS_COSTO'!$E$4:$E$13,MATCH($F1004,'CAT_CENTROS_COSTO'!$A$4:$A$13,0)),""),$V1004))</f>
        <v/>
      </c>
      <c r="X1004" s="3">
        <f>IF($F1004="","",IFERROR(INDEX('CAT_CENTROS_COSTO'!$G$4:$G$13,MATCH($F1004,'CAT_CENTROS_COSTO'!$A$4:$A$13,0)),"(sin catálogo)"))</f>
        <v/>
      </c>
      <c r="Y1004" s="3">
        <f>IF($G1004="","",IFERROR(INDEX('CAT_PUESTOS'!$B$4:$B$8,MATCH($G1004,'CAT_PUESTOS'!$A$4:$A$8,0)),"(sin catálogo)"))</f>
        <v/>
      </c>
      <c r="Z1004" s="3">
        <f>IF($H1004="","",IFERROR(INDEX('CAT_ACTIVIDADES'!$B$4:$B$8,MATCH($H1004,'CAT_ACTIVIDADES'!$A$4:$A$8,0)),"(sin catálogo)"))</f>
        <v/>
      </c>
      <c r="AA1004" s="12">
        <f>IF($J1004="","",TODAY()-$J1004)</f>
        <v/>
      </c>
      <c r="AB1004" s="12">
        <f>IF($J1004="","",IF($J1004&lt;=TODAY(),COUNTIFS(cal_fechas,"&gt;="&amp;$J1004,cal_fechas,"&lt;"&amp;TODAY(),cal_habil,"sí"),-COUNTIFS(cal_fechas,"&gt;="&amp;TODAY(),cal_fechas,"&lt;"&amp;$J1004,cal_habil,"sí")))</f>
        <v/>
      </c>
      <c r="AC1004" s="3">
        <f>IF($AB1004="","",IF($AB1004&lt;0,"FUTURO",IF($AB1004&gt;p_dias_backlog_max,"BACKLOG","MES CORRIENTE")))</f>
        <v/>
      </c>
      <c r="AD1004" s="3">
        <f>IF($AB1004="",FALSE,AND($AB1004&gt;p_dias_backlog_min,$AB1004&lt;=p_dias_backlog_max))</f>
        <v/>
      </c>
      <c r="AE1004" s="6" t="n"/>
      <c r="AF1004" s="3">
        <f>IF($AE1004="","",IF((IFERROR(INDEX('ASIGNACIONES'!$F$4:$F$339,MATCH($O1004&amp;"|"&amp;$R1004&amp;"|"&amp;$AE1004,'ASIGNACIONES'!$J$4:$J$339,0)),""))=0,"",IFERROR(INDEX('ASIGNACIONES'!$F$4:$F$339,MATCH($O1004&amp;"|"&amp;$R1004&amp;"|"&amp;$AE1004,'ASIGNACIONES'!$J$4:$J$339,0)),"")))</f>
        <v/>
      </c>
      <c r="AG1004" s="13">
        <f>IF($AE1004="","",SUMIFS('ORDENES'!$M$4:$M$1203,'ORDENES'!$AE$4:$AE$1203,$AE1004,'ORDENES'!$O$4:$O$1203,$O1004,'ORDENES'!$R$4:$R$1203,$R1004))</f>
        <v/>
      </c>
      <c r="AH1004" s="13">
        <f>IF($AG1004="","",p_factor_productividad*IFERROR(INDEX('ASIGNACIONES'!$I$4:$I$339,MATCH($O1004&amp;"|"&amp;$R1004&amp;"|"&amp;$AE1004,'ASIGNACIONES'!$J$4:$J$339,0)),0)-$AG1004)</f>
        <v/>
      </c>
      <c r="AI1004" s="10">
        <f>IF($A1004="","",IFERROR(INDEX('2_IMPORTAR_EJECUCION'!$F$9:$F$1208,MATCH($AQ1004,'2_IMPORTAR_EJECUCION'!$J$9:$J$1208,0)),0))</f>
        <v/>
      </c>
      <c r="AJ1004" s="10">
        <f>IF($A1004="","",MAX(0,IFERROR(INDEX('2_IMPORTAR_EJECUCION'!$H$9:$H$1208,MATCH($AQ1004,'2_IMPORTAR_EJECUCION'!$J$9:$J$1208,0)),0)-$AI1004))</f>
        <v/>
      </c>
      <c r="AK1004" s="10">
        <f>IF($A1004="","",$AI1004+$AJ1004)</f>
        <v/>
      </c>
      <c r="AL1004" s="6" t="n"/>
      <c r="AM1004" s="6" t="n"/>
      <c r="AN1004" s="6" t="n"/>
      <c r="AO1004" s="3">
        <f>IF($AN1004="","",HYPERLINK(p_ruta_base_checklists&amp;$AN1004,"abrir"))</f>
        <v/>
      </c>
      <c r="AP1004" s="6" t="n"/>
      <c r="AQ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IF($A1005="","",IFERROR(INDEX('AJUSTES'!$B$4:$B$303,MATCH($AQ1005,'AJUSTES'!$A$4:$A$303,0)),IF($K1005="","",$K1005)))</f>
        <v/>
      </c>
      <c r="N1005" s="3">
        <f>IF($A1005="","",IFERROR(INDEX('CAT_ESTADOS_ERP'!$B$4:$B$7,MATCH(IFERROR(INDEX('2_IMPORTAR_EJECUCION'!$C$9:$C$1208,MATCH($AQ1005,'2_IMPORTAR_EJECUCION'!$J$9:$J$1208,0)),""),'CAT_ESTADOS_ERP'!$A$4:$A$7,0)),"Pendiente"))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J1005="","",IFERROR(INDEX('CALENDARIO'!$C$15:$C$214,MATCH(TEXT($J1005,"yyyy-mm-dd")&amp;"|"&amp;$V1005&amp;"|"&amp;$W1005,'CALENDARIO'!$G$15:$G$214,0)),IFERROR(INDEX('CALENDARIO'!$C$15:$C$214,MATCH(TEXT($J1005,"yyyy-mm-dd")&amp;"|"&amp;$V1005&amp;"|",'CALENDARIO'!$G$15:$G$214,0)),IFERROR(INDEX('CALENDARIO'!$C$15:$C$214,MATCH(TEXT($J1005,"yyyy-mm-dd")&amp;"||",'CALENDARIO'!$G$15:$G$214,0)),INDEX(patronHabil,WEEKDAY($J1005,2))))))</f>
        <v/>
      </c>
      <c r="T1005" s="3">
        <f>IF($I1005="","",IFERROR(INDEX('CAT_TIPOS_OT'!$C$4:$C$7,MATCH($I1005,'CAT_TIPOS_OT'!$A$4:$A$7,0)),"sin_clasificar"))</f>
        <v/>
      </c>
      <c r="U1005" s="3">
        <f>IF($F1005="","",IFERROR(INDEX('CAT_CENTROS_COSTO'!$F$4:$F$13,MATCH($F1005,'CAT_CENTROS_COSTO'!$A$4:$A$13,0)),"(sin catálogo)"))</f>
        <v/>
      </c>
      <c r="V1005" s="3">
        <f>IF($F1005="","",IFERROR(INDEX('CAT_CENTROS_COSTO'!$D$4:$D$13,MATCH($F1005,'CAT_CENTROS_COSTO'!$A$4:$A$13,0)),"(sin catálogo)"))</f>
        <v/>
      </c>
      <c r="W1005" s="3">
        <f>IF($F1005="","",IF((IFERROR(INDEX('CAT_CENTROS_COSTO'!$E$4:$E$13,MATCH($F1005,'CAT_CENTROS_COSTO'!$A$4:$A$13,0)),""))&lt;&gt;"",IFERROR(INDEX('CAT_CENTROS_COSTO'!$E$4:$E$13,MATCH($F1005,'CAT_CENTROS_COSTO'!$A$4:$A$13,0)),""),$V1005))</f>
        <v/>
      </c>
      <c r="X1005" s="3">
        <f>IF($F1005="","",IFERROR(INDEX('CAT_CENTROS_COSTO'!$G$4:$G$13,MATCH($F1005,'CAT_CENTROS_COSTO'!$A$4:$A$13,0)),"(sin catálogo)"))</f>
        <v/>
      </c>
      <c r="Y1005" s="3">
        <f>IF($G1005="","",IFERROR(INDEX('CAT_PUESTOS'!$B$4:$B$8,MATCH($G1005,'CAT_PUESTOS'!$A$4:$A$8,0)),"(sin catálogo)"))</f>
        <v/>
      </c>
      <c r="Z1005" s="3">
        <f>IF($H1005="","",IFERROR(INDEX('CAT_ACTIVIDADES'!$B$4:$B$8,MATCH($H1005,'CAT_ACTIVIDADES'!$A$4:$A$8,0)),"(sin catálogo)"))</f>
        <v/>
      </c>
      <c r="AA1005" s="12">
        <f>IF($J1005="","",TODAY()-$J1005)</f>
        <v/>
      </c>
      <c r="AB1005" s="12">
        <f>IF($J1005="","",IF($J1005&lt;=TODAY(),COUNTIFS(cal_fechas,"&gt;="&amp;$J1005,cal_fechas,"&lt;"&amp;TODAY(),cal_habil,"sí"),-COUNTIFS(cal_fechas,"&gt;="&amp;TODAY(),cal_fechas,"&lt;"&amp;$J1005,cal_habil,"sí")))</f>
        <v/>
      </c>
      <c r="AC1005" s="3">
        <f>IF($AB1005="","",IF($AB1005&lt;0,"FUTURO",IF($AB1005&gt;p_dias_backlog_max,"BACKLOG","MES CORRIENTE")))</f>
        <v/>
      </c>
      <c r="AD1005" s="3">
        <f>IF($AB1005="",FALSE,AND($AB1005&gt;p_dias_backlog_min,$AB1005&lt;=p_dias_backlog_max))</f>
        <v/>
      </c>
      <c r="AE1005" s="6" t="n"/>
      <c r="AF1005" s="3">
        <f>IF($AE1005="","",IF((IFERROR(INDEX('ASIGNACIONES'!$F$4:$F$339,MATCH($O1005&amp;"|"&amp;$R1005&amp;"|"&amp;$AE1005,'ASIGNACIONES'!$J$4:$J$339,0)),""))=0,"",IFERROR(INDEX('ASIGNACIONES'!$F$4:$F$339,MATCH($O1005&amp;"|"&amp;$R1005&amp;"|"&amp;$AE1005,'ASIGNACIONES'!$J$4:$J$339,0)),"")))</f>
        <v/>
      </c>
      <c r="AG1005" s="13">
        <f>IF($AE1005="","",SUMIFS('ORDENES'!$M$4:$M$1203,'ORDENES'!$AE$4:$AE$1203,$AE1005,'ORDENES'!$O$4:$O$1203,$O1005,'ORDENES'!$R$4:$R$1203,$R1005))</f>
        <v/>
      </c>
      <c r="AH1005" s="13">
        <f>IF($AG1005="","",p_factor_productividad*IFERROR(INDEX('ASIGNACIONES'!$I$4:$I$339,MATCH($O1005&amp;"|"&amp;$R1005&amp;"|"&amp;$AE1005,'ASIGNACIONES'!$J$4:$J$339,0)),0)-$AG1005)</f>
        <v/>
      </c>
      <c r="AI1005" s="10">
        <f>IF($A1005="","",IFERROR(INDEX('2_IMPORTAR_EJECUCION'!$F$9:$F$1208,MATCH($AQ1005,'2_IMPORTAR_EJECUCION'!$J$9:$J$1208,0)),0))</f>
        <v/>
      </c>
      <c r="AJ1005" s="10">
        <f>IF($A1005="","",MAX(0,IFERROR(INDEX('2_IMPORTAR_EJECUCION'!$H$9:$H$1208,MATCH($AQ1005,'2_IMPORTAR_EJECUCION'!$J$9:$J$1208,0)),0)-$AI1005))</f>
        <v/>
      </c>
      <c r="AK1005" s="10">
        <f>IF($A1005="","",$AI1005+$AJ1005)</f>
        <v/>
      </c>
      <c r="AL1005" s="6" t="n"/>
      <c r="AM1005" s="6" t="n"/>
      <c r="AN1005" s="6" t="n"/>
      <c r="AO1005" s="3">
        <f>IF($AN1005="","",HYPERLINK(p_ruta_base_checklists&amp;$AN1005,"abrir"))</f>
        <v/>
      </c>
      <c r="AP1005" s="6" t="n"/>
      <c r="AQ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IF($A1006="","",IFERROR(INDEX('AJUSTES'!$B$4:$B$303,MATCH($AQ1006,'AJUSTES'!$A$4:$A$303,0)),IF($K1006="","",$K1006)))</f>
        <v/>
      </c>
      <c r="N1006" s="3">
        <f>IF($A1006="","",IFERROR(INDEX('CAT_ESTADOS_ERP'!$B$4:$B$7,MATCH(IFERROR(INDEX('2_IMPORTAR_EJECUCION'!$C$9:$C$1208,MATCH($AQ1006,'2_IMPORTAR_EJECUCION'!$J$9:$J$1208,0)),""),'CAT_ESTADOS_ERP'!$A$4:$A$7,0)),"Pendiente"))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J1006="","",IFERROR(INDEX('CALENDARIO'!$C$15:$C$214,MATCH(TEXT($J1006,"yyyy-mm-dd")&amp;"|"&amp;$V1006&amp;"|"&amp;$W1006,'CALENDARIO'!$G$15:$G$214,0)),IFERROR(INDEX('CALENDARIO'!$C$15:$C$214,MATCH(TEXT($J1006,"yyyy-mm-dd")&amp;"|"&amp;$V1006&amp;"|",'CALENDARIO'!$G$15:$G$214,0)),IFERROR(INDEX('CALENDARIO'!$C$15:$C$214,MATCH(TEXT($J1006,"yyyy-mm-dd")&amp;"||",'CALENDARIO'!$G$15:$G$214,0)),INDEX(patronHabil,WEEKDAY($J1006,2))))))</f>
        <v/>
      </c>
      <c r="T1006" s="3">
        <f>IF($I1006="","",IFERROR(INDEX('CAT_TIPOS_OT'!$C$4:$C$7,MATCH($I1006,'CAT_TIPOS_OT'!$A$4:$A$7,0)),"sin_clasificar"))</f>
        <v/>
      </c>
      <c r="U1006" s="3">
        <f>IF($F1006="","",IFERROR(INDEX('CAT_CENTROS_COSTO'!$F$4:$F$13,MATCH($F1006,'CAT_CENTROS_COSTO'!$A$4:$A$13,0)),"(sin catálogo)"))</f>
        <v/>
      </c>
      <c r="V1006" s="3">
        <f>IF($F1006="","",IFERROR(INDEX('CAT_CENTROS_COSTO'!$D$4:$D$13,MATCH($F1006,'CAT_CENTROS_COSTO'!$A$4:$A$13,0)),"(sin catálogo)"))</f>
        <v/>
      </c>
      <c r="W1006" s="3">
        <f>IF($F1006="","",IF((IFERROR(INDEX('CAT_CENTROS_COSTO'!$E$4:$E$13,MATCH($F1006,'CAT_CENTROS_COSTO'!$A$4:$A$13,0)),""))&lt;&gt;"",IFERROR(INDEX('CAT_CENTROS_COSTO'!$E$4:$E$13,MATCH($F1006,'CAT_CENTROS_COSTO'!$A$4:$A$13,0)),""),$V1006))</f>
        <v/>
      </c>
      <c r="X1006" s="3">
        <f>IF($F1006="","",IFERROR(INDEX('CAT_CENTROS_COSTO'!$G$4:$G$13,MATCH($F1006,'CAT_CENTROS_COSTO'!$A$4:$A$13,0)),"(sin catálogo)"))</f>
        <v/>
      </c>
      <c r="Y1006" s="3">
        <f>IF($G1006="","",IFERROR(INDEX('CAT_PUESTOS'!$B$4:$B$8,MATCH($G1006,'CAT_PUESTOS'!$A$4:$A$8,0)),"(sin catálogo)"))</f>
        <v/>
      </c>
      <c r="Z1006" s="3">
        <f>IF($H1006="","",IFERROR(INDEX('CAT_ACTIVIDADES'!$B$4:$B$8,MATCH($H1006,'CAT_ACTIVIDADES'!$A$4:$A$8,0)),"(sin catálogo)"))</f>
        <v/>
      </c>
      <c r="AA1006" s="12">
        <f>IF($J1006="","",TODAY()-$J1006)</f>
        <v/>
      </c>
      <c r="AB1006" s="12">
        <f>IF($J1006="","",IF($J1006&lt;=TODAY(),COUNTIFS(cal_fechas,"&gt;="&amp;$J1006,cal_fechas,"&lt;"&amp;TODAY(),cal_habil,"sí"),-COUNTIFS(cal_fechas,"&gt;="&amp;TODAY(),cal_fechas,"&lt;"&amp;$J1006,cal_habil,"sí")))</f>
        <v/>
      </c>
      <c r="AC1006" s="3">
        <f>IF($AB1006="","",IF($AB1006&lt;0,"FUTURO",IF($AB1006&gt;p_dias_backlog_max,"BACKLOG","MES CORRIENTE")))</f>
        <v/>
      </c>
      <c r="AD1006" s="3">
        <f>IF($AB1006="",FALSE,AND($AB1006&gt;p_dias_backlog_min,$AB1006&lt;=p_dias_backlog_max))</f>
        <v/>
      </c>
      <c r="AE1006" s="6" t="n"/>
      <c r="AF1006" s="3">
        <f>IF($AE1006="","",IF((IFERROR(INDEX('ASIGNACIONES'!$F$4:$F$339,MATCH($O1006&amp;"|"&amp;$R1006&amp;"|"&amp;$AE1006,'ASIGNACIONES'!$J$4:$J$339,0)),""))=0,"",IFERROR(INDEX('ASIGNACIONES'!$F$4:$F$339,MATCH($O1006&amp;"|"&amp;$R1006&amp;"|"&amp;$AE1006,'ASIGNACIONES'!$J$4:$J$339,0)),"")))</f>
        <v/>
      </c>
      <c r="AG1006" s="13">
        <f>IF($AE1006="","",SUMIFS('ORDENES'!$M$4:$M$1203,'ORDENES'!$AE$4:$AE$1203,$AE1006,'ORDENES'!$O$4:$O$1203,$O1006,'ORDENES'!$R$4:$R$1203,$R1006))</f>
        <v/>
      </c>
      <c r="AH1006" s="13">
        <f>IF($AG1006="","",p_factor_productividad*IFERROR(INDEX('ASIGNACIONES'!$I$4:$I$339,MATCH($O1006&amp;"|"&amp;$R1006&amp;"|"&amp;$AE1006,'ASIGNACIONES'!$J$4:$J$339,0)),0)-$AG1006)</f>
        <v/>
      </c>
      <c r="AI1006" s="10">
        <f>IF($A1006="","",IFERROR(INDEX('2_IMPORTAR_EJECUCION'!$F$9:$F$1208,MATCH($AQ1006,'2_IMPORTAR_EJECUCION'!$J$9:$J$1208,0)),0))</f>
        <v/>
      </c>
      <c r="AJ1006" s="10">
        <f>IF($A1006="","",MAX(0,IFERROR(INDEX('2_IMPORTAR_EJECUCION'!$H$9:$H$1208,MATCH($AQ1006,'2_IMPORTAR_EJECUCION'!$J$9:$J$1208,0)),0)-$AI1006))</f>
        <v/>
      </c>
      <c r="AK1006" s="10">
        <f>IF($A1006="","",$AI1006+$AJ1006)</f>
        <v/>
      </c>
      <c r="AL1006" s="6" t="n"/>
      <c r="AM1006" s="6" t="n"/>
      <c r="AN1006" s="6" t="n"/>
      <c r="AO1006" s="3">
        <f>IF($AN1006="","",HYPERLINK(p_ruta_base_checklists&amp;$AN1006,"abrir"))</f>
        <v/>
      </c>
      <c r="AP1006" s="6" t="n"/>
      <c r="AQ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IF($A1007="","",IFERROR(INDEX('AJUSTES'!$B$4:$B$303,MATCH($AQ1007,'AJUSTES'!$A$4:$A$303,0)),IF($K1007="","",$K1007)))</f>
        <v/>
      </c>
      <c r="N1007" s="3">
        <f>IF($A1007="","",IFERROR(INDEX('CAT_ESTADOS_ERP'!$B$4:$B$7,MATCH(IFERROR(INDEX('2_IMPORTAR_EJECUCION'!$C$9:$C$1208,MATCH($AQ1007,'2_IMPORTAR_EJECUCION'!$J$9:$J$1208,0)),""),'CAT_ESTADOS_ERP'!$A$4:$A$7,0)),"Pendiente"))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J1007="","",IFERROR(INDEX('CALENDARIO'!$C$15:$C$214,MATCH(TEXT($J1007,"yyyy-mm-dd")&amp;"|"&amp;$V1007&amp;"|"&amp;$W1007,'CALENDARIO'!$G$15:$G$214,0)),IFERROR(INDEX('CALENDARIO'!$C$15:$C$214,MATCH(TEXT($J1007,"yyyy-mm-dd")&amp;"|"&amp;$V1007&amp;"|",'CALENDARIO'!$G$15:$G$214,0)),IFERROR(INDEX('CALENDARIO'!$C$15:$C$214,MATCH(TEXT($J1007,"yyyy-mm-dd")&amp;"||",'CALENDARIO'!$G$15:$G$214,0)),INDEX(patronHabil,WEEKDAY($J1007,2))))))</f>
        <v/>
      </c>
      <c r="T1007" s="3">
        <f>IF($I1007="","",IFERROR(INDEX('CAT_TIPOS_OT'!$C$4:$C$7,MATCH($I1007,'CAT_TIPOS_OT'!$A$4:$A$7,0)),"sin_clasificar"))</f>
        <v/>
      </c>
      <c r="U1007" s="3">
        <f>IF($F1007="","",IFERROR(INDEX('CAT_CENTROS_COSTO'!$F$4:$F$13,MATCH($F1007,'CAT_CENTROS_COSTO'!$A$4:$A$13,0)),"(sin catálogo)"))</f>
        <v/>
      </c>
      <c r="V1007" s="3">
        <f>IF($F1007="","",IFERROR(INDEX('CAT_CENTROS_COSTO'!$D$4:$D$13,MATCH($F1007,'CAT_CENTROS_COSTO'!$A$4:$A$13,0)),"(sin catálogo)"))</f>
        <v/>
      </c>
      <c r="W1007" s="3">
        <f>IF($F1007="","",IF((IFERROR(INDEX('CAT_CENTROS_COSTO'!$E$4:$E$13,MATCH($F1007,'CAT_CENTROS_COSTO'!$A$4:$A$13,0)),""))&lt;&gt;"",IFERROR(INDEX('CAT_CENTROS_COSTO'!$E$4:$E$13,MATCH($F1007,'CAT_CENTROS_COSTO'!$A$4:$A$13,0)),""),$V1007))</f>
        <v/>
      </c>
      <c r="X1007" s="3">
        <f>IF($F1007="","",IFERROR(INDEX('CAT_CENTROS_COSTO'!$G$4:$G$13,MATCH($F1007,'CAT_CENTROS_COSTO'!$A$4:$A$13,0)),"(sin catálogo)"))</f>
        <v/>
      </c>
      <c r="Y1007" s="3">
        <f>IF($G1007="","",IFERROR(INDEX('CAT_PUESTOS'!$B$4:$B$8,MATCH($G1007,'CAT_PUESTOS'!$A$4:$A$8,0)),"(sin catálogo)"))</f>
        <v/>
      </c>
      <c r="Z1007" s="3">
        <f>IF($H1007="","",IFERROR(INDEX('CAT_ACTIVIDADES'!$B$4:$B$8,MATCH($H1007,'CAT_ACTIVIDADES'!$A$4:$A$8,0)),"(sin catálogo)"))</f>
        <v/>
      </c>
      <c r="AA1007" s="12">
        <f>IF($J1007="","",TODAY()-$J1007)</f>
        <v/>
      </c>
      <c r="AB1007" s="12">
        <f>IF($J1007="","",IF($J1007&lt;=TODAY(),COUNTIFS(cal_fechas,"&gt;="&amp;$J1007,cal_fechas,"&lt;"&amp;TODAY(),cal_habil,"sí"),-COUNTIFS(cal_fechas,"&gt;="&amp;TODAY(),cal_fechas,"&lt;"&amp;$J1007,cal_habil,"sí")))</f>
        <v/>
      </c>
      <c r="AC1007" s="3">
        <f>IF($AB1007="","",IF($AB1007&lt;0,"FUTURO",IF($AB1007&gt;p_dias_backlog_max,"BACKLOG","MES CORRIENTE")))</f>
        <v/>
      </c>
      <c r="AD1007" s="3">
        <f>IF($AB1007="",FALSE,AND($AB1007&gt;p_dias_backlog_min,$AB1007&lt;=p_dias_backlog_max))</f>
        <v/>
      </c>
      <c r="AE1007" s="6" t="n"/>
      <c r="AF1007" s="3">
        <f>IF($AE1007="","",IF((IFERROR(INDEX('ASIGNACIONES'!$F$4:$F$339,MATCH($O1007&amp;"|"&amp;$R1007&amp;"|"&amp;$AE1007,'ASIGNACIONES'!$J$4:$J$339,0)),""))=0,"",IFERROR(INDEX('ASIGNACIONES'!$F$4:$F$339,MATCH($O1007&amp;"|"&amp;$R1007&amp;"|"&amp;$AE1007,'ASIGNACIONES'!$J$4:$J$339,0)),"")))</f>
        <v/>
      </c>
      <c r="AG1007" s="13">
        <f>IF($AE1007="","",SUMIFS('ORDENES'!$M$4:$M$1203,'ORDENES'!$AE$4:$AE$1203,$AE1007,'ORDENES'!$O$4:$O$1203,$O1007,'ORDENES'!$R$4:$R$1203,$R1007))</f>
        <v/>
      </c>
      <c r="AH1007" s="13">
        <f>IF($AG1007="","",p_factor_productividad*IFERROR(INDEX('ASIGNACIONES'!$I$4:$I$339,MATCH($O1007&amp;"|"&amp;$R1007&amp;"|"&amp;$AE1007,'ASIGNACIONES'!$J$4:$J$339,0)),0)-$AG1007)</f>
        <v/>
      </c>
      <c r="AI1007" s="10">
        <f>IF($A1007="","",IFERROR(INDEX('2_IMPORTAR_EJECUCION'!$F$9:$F$1208,MATCH($AQ1007,'2_IMPORTAR_EJECUCION'!$J$9:$J$1208,0)),0))</f>
        <v/>
      </c>
      <c r="AJ1007" s="10">
        <f>IF($A1007="","",MAX(0,IFERROR(INDEX('2_IMPORTAR_EJECUCION'!$H$9:$H$1208,MATCH($AQ1007,'2_IMPORTAR_EJECUCION'!$J$9:$J$1208,0)),0)-$AI1007))</f>
        <v/>
      </c>
      <c r="AK1007" s="10">
        <f>IF($A1007="","",$AI1007+$AJ1007)</f>
        <v/>
      </c>
      <c r="AL1007" s="6" t="n"/>
      <c r="AM1007" s="6" t="n"/>
      <c r="AN1007" s="6" t="n"/>
      <c r="AO1007" s="3">
        <f>IF($AN1007="","",HYPERLINK(p_ruta_base_checklists&amp;$AN1007,"abrir"))</f>
        <v/>
      </c>
      <c r="AP1007" s="6" t="n"/>
      <c r="AQ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IF($A1008="","",IFERROR(INDEX('AJUSTES'!$B$4:$B$303,MATCH($AQ1008,'AJUSTES'!$A$4:$A$303,0)),IF($K1008="","",$K1008)))</f>
        <v/>
      </c>
      <c r="N1008" s="3">
        <f>IF($A1008="","",IFERROR(INDEX('CAT_ESTADOS_ERP'!$B$4:$B$7,MATCH(IFERROR(INDEX('2_IMPORTAR_EJECUCION'!$C$9:$C$1208,MATCH($AQ1008,'2_IMPORTAR_EJECUCION'!$J$9:$J$1208,0)),""),'CAT_ESTADOS_ERP'!$A$4:$A$7,0)),"Pendiente"))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J1008="","",IFERROR(INDEX('CALENDARIO'!$C$15:$C$214,MATCH(TEXT($J1008,"yyyy-mm-dd")&amp;"|"&amp;$V1008&amp;"|"&amp;$W1008,'CALENDARIO'!$G$15:$G$214,0)),IFERROR(INDEX('CALENDARIO'!$C$15:$C$214,MATCH(TEXT($J1008,"yyyy-mm-dd")&amp;"|"&amp;$V1008&amp;"|",'CALENDARIO'!$G$15:$G$214,0)),IFERROR(INDEX('CALENDARIO'!$C$15:$C$214,MATCH(TEXT($J1008,"yyyy-mm-dd")&amp;"||",'CALENDARIO'!$G$15:$G$214,0)),INDEX(patronHabil,WEEKDAY($J1008,2))))))</f>
        <v/>
      </c>
      <c r="T1008" s="3">
        <f>IF($I1008="","",IFERROR(INDEX('CAT_TIPOS_OT'!$C$4:$C$7,MATCH($I1008,'CAT_TIPOS_OT'!$A$4:$A$7,0)),"sin_clasificar"))</f>
        <v/>
      </c>
      <c r="U1008" s="3">
        <f>IF($F1008="","",IFERROR(INDEX('CAT_CENTROS_COSTO'!$F$4:$F$13,MATCH($F1008,'CAT_CENTROS_COSTO'!$A$4:$A$13,0)),"(sin catálogo)"))</f>
        <v/>
      </c>
      <c r="V1008" s="3">
        <f>IF($F1008="","",IFERROR(INDEX('CAT_CENTROS_COSTO'!$D$4:$D$13,MATCH($F1008,'CAT_CENTROS_COSTO'!$A$4:$A$13,0)),"(sin catálogo)"))</f>
        <v/>
      </c>
      <c r="W1008" s="3">
        <f>IF($F1008="","",IF((IFERROR(INDEX('CAT_CENTROS_COSTO'!$E$4:$E$13,MATCH($F1008,'CAT_CENTROS_COSTO'!$A$4:$A$13,0)),""))&lt;&gt;"",IFERROR(INDEX('CAT_CENTROS_COSTO'!$E$4:$E$13,MATCH($F1008,'CAT_CENTROS_COSTO'!$A$4:$A$13,0)),""),$V1008))</f>
        <v/>
      </c>
      <c r="X1008" s="3">
        <f>IF($F1008="","",IFERROR(INDEX('CAT_CENTROS_COSTO'!$G$4:$G$13,MATCH($F1008,'CAT_CENTROS_COSTO'!$A$4:$A$13,0)),"(sin catálogo)"))</f>
        <v/>
      </c>
      <c r="Y1008" s="3">
        <f>IF($G1008="","",IFERROR(INDEX('CAT_PUESTOS'!$B$4:$B$8,MATCH($G1008,'CAT_PUESTOS'!$A$4:$A$8,0)),"(sin catálogo)"))</f>
        <v/>
      </c>
      <c r="Z1008" s="3">
        <f>IF($H1008="","",IFERROR(INDEX('CAT_ACTIVIDADES'!$B$4:$B$8,MATCH($H1008,'CAT_ACTIVIDADES'!$A$4:$A$8,0)),"(sin catálogo)"))</f>
        <v/>
      </c>
      <c r="AA1008" s="12">
        <f>IF($J1008="","",TODAY()-$J1008)</f>
        <v/>
      </c>
      <c r="AB1008" s="12">
        <f>IF($J1008="","",IF($J1008&lt;=TODAY(),COUNTIFS(cal_fechas,"&gt;="&amp;$J1008,cal_fechas,"&lt;"&amp;TODAY(),cal_habil,"sí"),-COUNTIFS(cal_fechas,"&gt;="&amp;TODAY(),cal_fechas,"&lt;"&amp;$J1008,cal_habil,"sí")))</f>
        <v/>
      </c>
      <c r="AC1008" s="3">
        <f>IF($AB1008="","",IF($AB1008&lt;0,"FUTURO",IF($AB1008&gt;p_dias_backlog_max,"BACKLOG","MES CORRIENTE")))</f>
        <v/>
      </c>
      <c r="AD1008" s="3">
        <f>IF($AB1008="",FALSE,AND($AB1008&gt;p_dias_backlog_min,$AB1008&lt;=p_dias_backlog_max))</f>
        <v/>
      </c>
      <c r="AE1008" s="6" t="n"/>
      <c r="AF1008" s="3">
        <f>IF($AE1008="","",IF((IFERROR(INDEX('ASIGNACIONES'!$F$4:$F$339,MATCH($O1008&amp;"|"&amp;$R1008&amp;"|"&amp;$AE1008,'ASIGNACIONES'!$J$4:$J$339,0)),""))=0,"",IFERROR(INDEX('ASIGNACIONES'!$F$4:$F$339,MATCH($O1008&amp;"|"&amp;$R1008&amp;"|"&amp;$AE1008,'ASIGNACIONES'!$J$4:$J$339,0)),"")))</f>
        <v/>
      </c>
      <c r="AG1008" s="13">
        <f>IF($AE1008="","",SUMIFS('ORDENES'!$M$4:$M$1203,'ORDENES'!$AE$4:$AE$1203,$AE1008,'ORDENES'!$O$4:$O$1203,$O1008,'ORDENES'!$R$4:$R$1203,$R1008))</f>
        <v/>
      </c>
      <c r="AH1008" s="13">
        <f>IF($AG1008="","",p_factor_productividad*IFERROR(INDEX('ASIGNACIONES'!$I$4:$I$339,MATCH($O1008&amp;"|"&amp;$R1008&amp;"|"&amp;$AE1008,'ASIGNACIONES'!$J$4:$J$339,0)),0)-$AG1008)</f>
        <v/>
      </c>
      <c r="AI1008" s="10">
        <f>IF($A1008="","",IFERROR(INDEX('2_IMPORTAR_EJECUCION'!$F$9:$F$1208,MATCH($AQ1008,'2_IMPORTAR_EJECUCION'!$J$9:$J$1208,0)),0))</f>
        <v/>
      </c>
      <c r="AJ1008" s="10">
        <f>IF($A1008="","",MAX(0,IFERROR(INDEX('2_IMPORTAR_EJECUCION'!$H$9:$H$1208,MATCH($AQ1008,'2_IMPORTAR_EJECUCION'!$J$9:$J$1208,0)),0)-$AI1008))</f>
        <v/>
      </c>
      <c r="AK1008" s="10">
        <f>IF($A1008="","",$AI1008+$AJ1008)</f>
        <v/>
      </c>
      <c r="AL1008" s="6" t="n"/>
      <c r="AM1008" s="6" t="n"/>
      <c r="AN1008" s="6" t="n"/>
      <c r="AO1008" s="3">
        <f>IF($AN1008="","",HYPERLINK(p_ruta_base_checklists&amp;$AN1008,"abrir"))</f>
        <v/>
      </c>
      <c r="AP1008" s="6" t="n"/>
      <c r="AQ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IF($A1009="","",IFERROR(INDEX('AJUSTES'!$B$4:$B$303,MATCH($AQ1009,'AJUSTES'!$A$4:$A$303,0)),IF($K1009="","",$K1009)))</f>
        <v/>
      </c>
      <c r="N1009" s="3">
        <f>IF($A1009="","",IFERROR(INDEX('CAT_ESTADOS_ERP'!$B$4:$B$7,MATCH(IFERROR(INDEX('2_IMPORTAR_EJECUCION'!$C$9:$C$1208,MATCH($AQ1009,'2_IMPORTAR_EJECUCION'!$J$9:$J$1208,0)),""),'CAT_ESTADOS_ERP'!$A$4:$A$7,0)),"Pendiente"))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J1009="","",IFERROR(INDEX('CALENDARIO'!$C$15:$C$214,MATCH(TEXT($J1009,"yyyy-mm-dd")&amp;"|"&amp;$V1009&amp;"|"&amp;$W1009,'CALENDARIO'!$G$15:$G$214,0)),IFERROR(INDEX('CALENDARIO'!$C$15:$C$214,MATCH(TEXT($J1009,"yyyy-mm-dd")&amp;"|"&amp;$V1009&amp;"|",'CALENDARIO'!$G$15:$G$214,0)),IFERROR(INDEX('CALENDARIO'!$C$15:$C$214,MATCH(TEXT($J1009,"yyyy-mm-dd")&amp;"||",'CALENDARIO'!$G$15:$G$214,0)),INDEX(patronHabil,WEEKDAY($J1009,2))))))</f>
        <v/>
      </c>
      <c r="T1009" s="3">
        <f>IF($I1009="","",IFERROR(INDEX('CAT_TIPOS_OT'!$C$4:$C$7,MATCH($I1009,'CAT_TIPOS_OT'!$A$4:$A$7,0)),"sin_clasificar"))</f>
        <v/>
      </c>
      <c r="U1009" s="3">
        <f>IF($F1009="","",IFERROR(INDEX('CAT_CENTROS_COSTO'!$F$4:$F$13,MATCH($F1009,'CAT_CENTROS_COSTO'!$A$4:$A$13,0)),"(sin catálogo)"))</f>
        <v/>
      </c>
      <c r="V1009" s="3">
        <f>IF($F1009="","",IFERROR(INDEX('CAT_CENTROS_COSTO'!$D$4:$D$13,MATCH($F1009,'CAT_CENTROS_COSTO'!$A$4:$A$13,0)),"(sin catálogo)"))</f>
        <v/>
      </c>
      <c r="W1009" s="3">
        <f>IF($F1009="","",IF((IFERROR(INDEX('CAT_CENTROS_COSTO'!$E$4:$E$13,MATCH($F1009,'CAT_CENTROS_COSTO'!$A$4:$A$13,0)),""))&lt;&gt;"",IFERROR(INDEX('CAT_CENTROS_COSTO'!$E$4:$E$13,MATCH($F1009,'CAT_CENTROS_COSTO'!$A$4:$A$13,0)),""),$V1009))</f>
        <v/>
      </c>
      <c r="X1009" s="3">
        <f>IF($F1009="","",IFERROR(INDEX('CAT_CENTROS_COSTO'!$G$4:$G$13,MATCH($F1009,'CAT_CENTROS_COSTO'!$A$4:$A$13,0)),"(sin catálogo)"))</f>
        <v/>
      </c>
      <c r="Y1009" s="3">
        <f>IF($G1009="","",IFERROR(INDEX('CAT_PUESTOS'!$B$4:$B$8,MATCH($G1009,'CAT_PUESTOS'!$A$4:$A$8,0)),"(sin catálogo)"))</f>
        <v/>
      </c>
      <c r="Z1009" s="3">
        <f>IF($H1009="","",IFERROR(INDEX('CAT_ACTIVIDADES'!$B$4:$B$8,MATCH($H1009,'CAT_ACTIVIDADES'!$A$4:$A$8,0)),"(sin catálogo)"))</f>
        <v/>
      </c>
      <c r="AA1009" s="12">
        <f>IF($J1009="","",TODAY()-$J1009)</f>
        <v/>
      </c>
      <c r="AB1009" s="12">
        <f>IF($J1009="","",IF($J1009&lt;=TODAY(),COUNTIFS(cal_fechas,"&gt;="&amp;$J1009,cal_fechas,"&lt;"&amp;TODAY(),cal_habil,"sí"),-COUNTIFS(cal_fechas,"&gt;="&amp;TODAY(),cal_fechas,"&lt;"&amp;$J1009,cal_habil,"sí")))</f>
        <v/>
      </c>
      <c r="AC1009" s="3">
        <f>IF($AB1009="","",IF($AB1009&lt;0,"FUTURO",IF($AB1009&gt;p_dias_backlog_max,"BACKLOG","MES CORRIENTE")))</f>
        <v/>
      </c>
      <c r="AD1009" s="3">
        <f>IF($AB1009="",FALSE,AND($AB1009&gt;p_dias_backlog_min,$AB1009&lt;=p_dias_backlog_max))</f>
        <v/>
      </c>
      <c r="AE1009" s="6" t="n"/>
      <c r="AF1009" s="3">
        <f>IF($AE1009="","",IF((IFERROR(INDEX('ASIGNACIONES'!$F$4:$F$339,MATCH($O1009&amp;"|"&amp;$R1009&amp;"|"&amp;$AE1009,'ASIGNACIONES'!$J$4:$J$339,0)),""))=0,"",IFERROR(INDEX('ASIGNACIONES'!$F$4:$F$339,MATCH($O1009&amp;"|"&amp;$R1009&amp;"|"&amp;$AE1009,'ASIGNACIONES'!$J$4:$J$339,0)),"")))</f>
        <v/>
      </c>
      <c r="AG1009" s="13">
        <f>IF($AE1009="","",SUMIFS('ORDENES'!$M$4:$M$1203,'ORDENES'!$AE$4:$AE$1203,$AE1009,'ORDENES'!$O$4:$O$1203,$O1009,'ORDENES'!$R$4:$R$1203,$R1009))</f>
        <v/>
      </c>
      <c r="AH1009" s="13">
        <f>IF($AG1009="","",p_factor_productividad*IFERROR(INDEX('ASIGNACIONES'!$I$4:$I$339,MATCH($O1009&amp;"|"&amp;$R1009&amp;"|"&amp;$AE1009,'ASIGNACIONES'!$J$4:$J$339,0)),0)-$AG1009)</f>
        <v/>
      </c>
      <c r="AI1009" s="10">
        <f>IF($A1009="","",IFERROR(INDEX('2_IMPORTAR_EJECUCION'!$F$9:$F$1208,MATCH($AQ1009,'2_IMPORTAR_EJECUCION'!$J$9:$J$1208,0)),0))</f>
        <v/>
      </c>
      <c r="AJ1009" s="10">
        <f>IF($A1009="","",MAX(0,IFERROR(INDEX('2_IMPORTAR_EJECUCION'!$H$9:$H$1208,MATCH($AQ1009,'2_IMPORTAR_EJECUCION'!$J$9:$J$1208,0)),0)-$AI1009))</f>
        <v/>
      </c>
      <c r="AK1009" s="10">
        <f>IF($A1009="","",$AI1009+$AJ1009)</f>
        <v/>
      </c>
      <c r="AL1009" s="6" t="n"/>
      <c r="AM1009" s="6" t="n"/>
      <c r="AN1009" s="6" t="n"/>
      <c r="AO1009" s="3">
        <f>IF($AN1009="","",HYPERLINK(p_ruta_base_checklists&amp;$AN1009,"abrir"))</f>
        <v/>
      </c>
      <c r="AP1009" s="6" t="n"/>
      <c r="AQ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IF($A1010="","",IFERROR(INDEX('AJUSTES'!$B$4:$B$303,MATCH($AQ1010,'AJUSTES'!$A$4:$A$303,0)),IF($K1010="","",$K1010)))</f>
        <v/>
      </c>
      <c r="N1010" s="3">
        <f>IF($A1010="","",IFERROR(INDEX('CAT_ESTADOS_ERP'!$B$4:$B$7,MATCH(IFERROR(INDEX('2_IMPORTAR_EJECUCION'!$C$9:$C$1208,MATCH($AQ1010,'2_IMPORTAR_EJECUCION'!$J$9:$J$1208,0)),""),'CAT_ESTADOS_ERP'!$A$4:$A$7,0)),"Pendiente"))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J1010="","",IFERROR(INDEX('CALENDARIO'!$C$15:$C$214,MATCH(TEXT($J1010,"yyyy-mm-dd")&amp;"|"&amp;$V1010&amp;"|"&amp;$W1010,'CALENDARIO'!$G$15:$G$214,0)),IFERROR(INDEX('CALENDARIO'!$C$15:$C$214,MATCH(TEXT($J1010,"yyyy-mm-dd")&amp;"|"&amp;$V1010&amp;"|",'CALENDARIO'!$G$15:$G$214,0)),IFERROR(INDEX('CALENDARIO'!$C$15:$C$214,MATCH(TEXT($J1010,"yyyy-mm-dd")&amp;"||",'CALENDARIO'!$G$15:$G$214,0)),INDEX(patronHabil,WEEKDAY($J1010,2))))))</f>
        <v/>
      </c>
      <c r="T1010" s="3">
        <f>IF($I1010="","",IFERROR(INDEX('CAT_TIPOS_OT'!$C$4:$C$7,MATCH($I1010,'CAT_TIPOS_OT'!$A$4:$A$7,0)),"sin_clasificar"))</f>
        <v/>
      </c>
      <c r="U1010" s="3">
        <f>IF($F1010="","",IFERROR(INDEX('CAT_CENTROS_COSTO'!$F$4:$F$13,MATCH($F1010,'CAT_CENTROS_COSTO'!$A$4:$A$13,0)),"(sin catálogo)"))</f>
        <v/>
      </c>
      <c r="V1010" s="3">
        <f>IF($F1010="","",IFERROR(INDEX('CAT_CENTROS_COSTO'!$D$4:$D$13,MATCH($F1010,'CAT_CENTROS_COSTO'!$A$4:$A$13,0)),"(sin catálogo)"))</f>
        <v/>
      </c>
      <c r="W1010" s="3">
        <f>IF($F1010="","",IF((IFERROR(INDEX('CAT_CENTROS_COSTO'!$E$4:$E$13,MATCH($F1010,'CAT_CENTROS_COSTO'!$A$4:$A$13,0)),""))&lt;&gt;"",IFERROR(INDEX('CAT_CENTROS_COSTO'!$E$4:$E$13,MATCH($F1010,'CAT_CENTROS_COSTO'!$A$4:$A$13,0)),""),$V1010))</f>
        <v/>
      </c>
      <c r="X1010" s="3">
        <f>IF($F1010="","",IFERROR(INDEX('CAT_CENTROS_COSTO'!$G$4:$G$13,MATCH($F1010,'CAT_CENTROS_COSTO'!$A$4:$A$13,0)),"(sin catálogo)"))</f>
        <v/>
      </c>
      <c r="Y1010" s="3">
        <f>IF($G1010="","",IFERROR(INDEX('CAT_PUESTOS'!$B$4:$B$8,MATCH($G1010,'CAT_PUESTOS'!$A$4:$A$8,0)),"(sin catálogo)"))</f>
        <v/>
      </c>
      <c r="Z1010" s="3">
        <f>IF($H1010="","",IFERROR(INDEX('CAT_ACTIVIDADES'!$B$4:$B$8,MATCH($H1010,'CAT_ACTIVIDADES'!$A$4:$A$8,0)),"(sin catálogo)"))</f>
        <v/>
      </c>
      <c r="AA1010" s="12">
        <f>IF($J1010="","",TODAY()-$J1010)</f>
        <v/>
      </c>
      <c r="AB1010" s="12">
        <f>IF($J1010="","",IF($J1010&lt;=TODAY(),COUNTIFS(cal_fechas,"&gt;="&amp;$J1010,cal_fechas,"&lt;"&amp;TODAY(),cal_habil,"sí"),-COUNTIFS(cal_fechas,"&gt;="&amp;TODAY(),cal_fechas,"&lt;"&amp;$J1010,cal_habil,"sí")))</f>
        <v/>
      </c>
      <c r="AC1010" s="3">
        <f>IF($AB1010="","",IF($AB1010&lt;0,"FUTURO",IF($AB1010&gt;p_dias_backlog_max,"BACKLOG","MES CORRIENTE")))</f>
        <v/>
      </c>
      <c r="AD1010" s="3">
        <f>IF($AB1010="",FALSE,AND($AB1010&gt;p_dias_backlog_min,$AB1010&lt;=p_dias_backlog_max))</f>
        <v/>
      </c>
      <c r="AE1010" s="6" t="n"/>
      <c r="AF1010" s="3">
        <f>IF($AE1010="","",IF((IFERROR(INDEX('ASIGNACIONES'!$F$4:$F$339,MATCH($O1010&amp;"|"&amp;$R1010&amp;"|"&amp;$AE1010,'ASIGNACIONES'!$J$4:$J$339,0)),""))=0,"",IFERROR(INDEX('ASIGNACIONES'!$F$4:$F$339,MATCH($O1010&amp;"|"&amp;$R1010&amp;"|"&amp;$AE1010,'ASIGNACIONES'!$J$4:$J$339,0)),"")))</f>
        <v/>
      </c>
      <c r="AG1010" s="13">
        <f>IF($AE1010="","",SUMIFS('ORDENES'!$M$4:$M$1203,'ORDENES'!$AE$4:$AE$1203,$AE1010,'ORDENES'!$O$4:$O$1203,$O1010,'ORDENES'!$R$4:$R$1203,$R1010))</f>
        <v/>
      </c>
      <c r="AH1010" s="13">
        <f>IF($AG1010="","",p_factor_productividad*IFERROR(INDEX('ASIGNACIONES'!$I$4:$I$339,MATCH($O1010&amp;"|"&amp;$R1010&amp;"|"&amp;$AE1010,'ASIGNACIONES'!$J$4:$J$339,0)),0)-$AG1010)</f>
        <v/>
      </c>
      <c r="AI1010" s="10">
        <f>IF($A1010="","",IFERROR(INDEX('2_IMPORTAR_EJECUCION'!$F$9:$F$1208,MATCH($AQ1010,'2_IMPORTAR_EJECUCION'!$J$9:$J$1208,0)),0))</f>
        <v/>
      </c>
      <c r="AJ1010" s="10">
        <f>IF($A1010="","",MAX(0,IFERROR(INDEX('2_IMPORTAR_EJECUCION'!$H$9:$H$1208,MATCH($AQ1010,'2_IMPORTAR_EJECUCION'!$J$9:$J$1208,0)),0)-$AI1010))</f>
        <v/>
      </c>
      <c r="AK1010" s="10">
        <f>IF($A1010="","",$AI1010+$AJ1010)</f>
        <v/>
      </c>
      <c r="AL1010" s="6" t="n"/>
      <c r="AM1010" s="6" t="n"/>
      <c r="AN1010" s="6" t="n"/>
      <c r="AO1010" s="3">
        <f>IF($AN1010="","",HYPERLINK(p_ruta_base_checklists&amp;$AN1010,"abrir"))</f>
        <v/>
      </c>
      <c r="AP1010" s="6" t="n"/>
      <c r="AQ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IF($A1011="","",IFERROR(INDEX('AJUSTES'!$B$4:$B$303,MATCH($AQ1011,'AJUSTES'!$A$4:$A$303,0)),IF($K1011="","",$K1011)))</f>
        <v/>
      </c>
      <c r="N1011" s="3">
        <f>IF($A1011="","",IFERROR(INDEX('CAT_ESTADOS_ERP'!$B$4:$B$7,MATCH(IFERROR(INDEX('2_IMPORTAR_EJECUCION'!$C$9:$C$1208,MATCH($AQ1011,'2_IMPORTAR_EJECUCION'!$J$9:$J$1208,0)),""),'CAT_ESTADOS_ERP'!$A$4:$A$7,0)),"Pendiente"))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J1011="","",IFERROR(INDEX('CALENDARIO'!$C$15:$C$214,MATCH(TEXT($J1011,"yyyy-mm-dd")&amp;"|"&amp;$V1011&amp;"|"&amp;$W1011,'CALENDARIO'!$G$15:$G$214,0)),IFERROR(INDEX('CALENDARIO'!$C$15:$C$214,MATCH(TEXT($J1011,"yyyy-mm-dd")&amp;"|"&amp;$V1011&amp;"|",'CALENDARIO'!$G$15:$G$214,0)),IFERROR(INDEX('CALENDARIO'!$C$15:$C$214,MATCH(TEXT($J1011,"yyyy-mm-dd")&amp;"||",'CALENDARIO'!$G$15:$G$214,0)),INDEX(patronHabil,WEEKDAY($J1011,2))))))</f>
        <v/>
      </c>
      <c r="T1011" s="3">
        <f>IF($I1011="","",IFERROR(INDEX('CAT_TIPOS_OT'!$C$4:$C$7,MATCH($I1011,'CAT_TIPOS_OT'!$A$4:$A$7,0)),"sin_clasificar"))</f>
        <v/>
      </c>
      <c r="U1011" s="3">
        <f>IF($F1011="","",IFERROR(INDEX('CAT_CENTROS_COSTO'!$F$4:$F$13,MATCH($F1011,'CAT_CENTROS_COSTO'!$A$4:$A$13,0)),"(sin catálogo)"))</f>
        <v/>
      </c>
      <c r="V1011" s="3">
        <f>IF($F1011="","",IFERROR(INDEX('CAT_CENTROS_COSTO'!$D$4:$D$13,MATCH($F1011,'CAT_CENTROS_COSTO'!$A$4:$A$13,0)),"(sin catálogo)"))</f>
        <v/>
      </c>
      <c r="W1011" s="3">
        <f>IF($F1011="","",IF((IFERROR(INDEX('CAT_CENTROS_COSTO'!$E$4:$E$13,MATCH($F1011,'CAT_CENTROS_COSTO'!$A$4:$A$13,0)),""))&lt;&gt;"",IFERROR(INDEX('CAT_CENTROS_COSTO'!$E$4:$E$13,MATCH($F1011,'CAT_CENTROS_COSTO'!$A$4:$A$13,0)),""),$V1011))</f>
        <v/>
      </c>
      <c r="X1011" s="3">
        <f>IF($F1011="","",IFERROR(INDEX('CAT_CENTROS_COSTO'!$G$4:$G$13,MATCH($F1011,'CAT_CENTROS_COSTO'!$A$4:$A$13,0)),"(sin catálogo)"))</f>
        <v/>
      </c>
      <c r="Y1011" s="3">
        <f>IF($G1011="","",IFERROR(INDEX('CAT_PUESTOS'!$B$4:$B$8,MATCH($G1011,'CAT_PUESTOS'!$A$4:$A$8,0)),"(sin catálogo)"))</f>
        <v/>
      </c>
      <c r="Z1011" s="3">
        <f>IF($H1011="","",IFERROR(INDEX('CAT_ACTIVIDADES'!$B$4:$B$8,MATCH($H1011,'CAT_ACTIVIDADES'!$A$4:$A$8,0)),"(sin catálogo)"))</f>
        <v/>
      </c>
      <c r="AA1011" s="12">
        <f>IF($J1011="","",TODAY()-$J1011)</f>
        <v/>
      </c>
      <c r="AB1011" s="12">
        <f>IF($J1011="","",IF($J1011&lt;=TODAY(),COUNTIFS(cal_fechas,"&gt;="&amp;$J1011,cal_fechas,"&lt;"&amp;TODAY(),cal_habil,"sí"),-COUNTIFS(cal_fechas,"&gt;="&amp;TODAY(),cal_fechas,"&lt;"&amp;$J1011,cal_habil,"sí")))</f>
        <v/>
      </c>
      <c r="AC1011" s="3">
        <f>IF($AB1011="","",IF($AB1011&lt;0,"FUTURO",IF($AB1011&gt;p_dias_backlog_max,"BACKLOG","MES CORRIENTE")))</f>
        <v/>
      </c>
      <c r="AD1011" s="3">
        <f>IF($AB1011="",FALSE,AND($AB1011&gt;p_dias_backlog_min,$AB1011&lt;=p_dias_backlog_max))</f>
        <v/>
      </c>
      <c r="AE1011" s="6" t="n"/>
      <c r="AF1011" s="3">
        <f>IF($AE1011="","",IF((IFERROR(INDEX('ASIGNACIONES'!$F$4:$F$339,MATCH($O1011&amp;"|"&amp;$R1011&amp;"|"&amp;$AE1011,'ASIGNACIONES'!$J$4:$J$339,0)),""))=0,"",IFERROR(INDEX('ASIGNACIONES'!$F$4:$F$339,MATCH($O1011&amp;"|"&amp;$R1011&amp;"|"&amp;$AE1011,'ASIGNACIONES'!$J$4:$J$339,0)),"")))</f>
        <v/>
      </c>
      <c r="AG1011" s="13">
        <f>IF($AE1011="","",SUMIFS('ORDENES'!$M$4:$M$1203,'ORDENES'!$AE$4:$AE$1203,$AE1011,'ORDENES'!$O$4:$O$1203,$O1011,'ORDENES'!$R$4:$R$1203,$R1011))</f>
        <v/>
      </c>
      <c r="AH1011" s="13">
        <f>IF($AG1011="","",p_factor_productividad*IFERROR(INDEX('ASIGNACIONES'!$I$4:$I$339,MATCH($O1011&amp;"|"&amp;$R1011&amp;"|"&amp;$AE1011,'ASIGNACIONES'!$J$4:$J$339,0)),0)-$AG1011)</f>
        <v/>
      </c>
      <c r="AI1011" s="10">
        <f>IF($A1011="","",IFERROR(INDEX('2_IMPORTAR_EJECUCION'!$F$9:$F$1208,MATCH($AQ1011,'2_IMPORTAR_EJECUCION'!$J$9:$J$1208,0)),0))</f>
        <v/>
      </c>
      <c r="AJ1011" s="10">
        <f>IF($A1011="","",MAX(0,IFERROR(INDEX('2_IMPORTAR_EJECUCION'!$H$9:$H$1208,MATCH($AQ1011,'2_IMPORTAR_EJECUCION'!$J$9:$J$1208,0)),0)-$AI1011))</f>
        <v/>
      </c>
      <c r="AK1011" s="10">
        <f>IF($A1011="","",$AI1011+$AJ1011)</f>
        <v/>
      </c>
      <c r="AL1011" s="6" t="n"/>
      <c r="AM1011" s="6" t="n"/>
      <c r="AN1011" s="6" t="n"/>
      <c r="AO1011" s="3">
        <f>IF($AN1011="","",HYPERLINK(p_ruta_base_checklists&amp;$AN1011,"abrir"))</f>
        <v/>
      </c>
      <c r="AP1011" s="6" t="n"/>
      <c r="AQ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IF($A1012="","",IFERROR(INDEX('AJUSTES'!$B$4:$B$303,MATCH($AQ1012,'AJUSTES'!$A$4:$A$303,0)),IF($K1012="","",$K1012)))</f>
        <v/>
      </c>
      <c r="N1012" s="3">
        <f>IF($A1012="","",IFERROR(INDEX('CAT_ESTADOS_ERP'!$B$4:$B$7,MATCH(IFERROR(INDEX('2_IMPORTAR_EJECUCION'!$C$9:$C$1208,MATCH($AQ1012,'2_IMPORTAR_EJECUCION'!$J$9:$J$1208,0)),""),'CAT_ESTADOS_ERP'!$A$4:$A$7,0)),"Pendiente"))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J1012="","",IFERROR(INDEX('CALENDARIO'!$C$15:$C$214,MATCH(TEXT($J1012,"yyyy-mm-dd")&amp;"|"&amp;$V1012&amp;"|"&amp;$W1012,'CALENDARIO'!$G$15:$G$214,0)),IFERROR(INDEX('CALENDARIO'!$C$15:$C$214,MATCH(TEXT($J1012,"yyyy-mm-dd")&amp;"|"&amp;$V1012&amp;"|",'CALENDARIO'!$G$15:$G$214,0)),IFERROR(INDEX('CALENDARIO'!$C$15:$C$214,MATCH(TEXT($J1012,"yyyy-mm-dd")&amp;"||",'CALENDARIO'!$G$15:$G$214,0)),INDEX(patronHabil,WEEKDAY($J1012,2))))))</f>
        <v/>
      </c>
      <c r="T1012" s="3">
        <f>IF($I1012="","",IFERROR(INDEX('CAT_TIPOS_OT'!$C$4:$C$7,MATCH($I1012,'CAT_TIPOS_OT'!$A$4:$A$7,0)),"sin_clasificar"))</f>
        <v/>
      </c>
      <c r="U1012" s="3">
        <f>IF($F1012="","",IFERROR(INDEX('CAT_CENTROS_COSTO'!$F$4:$F$13,MATCH($F1012,'CAT_CENTROS_COSTO'!$A$4:$A$13,0)),"(sin catálogo)"))</f>
        <v/>
      </c>
      <c r="V1012" s="3">
        <f>IF($F1012="","",IFERROR(INDEX('CAT_CENTROS_COSTO'!$D$4:$D$13,MATCH($F1012,'CAT_CENTROS_COSTO'!$A$4:$A$13,0)),"(sin catálogo)"))</f>
        <v/>
      </c>
      <c r="W1012" s="3">
        <f>IF($F1012="","",IF((IFERROR(INDEX('CAT_CENTROS_COSTO'!$E$4:$E$13,MATCH($F1012,'CAT_CENTROS_COSTO'!$A$4:$A$13,0)),""))&lt;&gt;"",IFERROR(INDEX('CAT_CENTROS_COSTO'!$E$4:$E$13,MATCH($F1012,'CAT_CENTROS_COSTO'!$A$4:$A$13,0)),""),$V1012))</f>
        <v/>
      </c>
      <c r="X1012" s="3">
        <f>IF($F1012="","",IFERROR(INDEX('CAT_CENTROS_COSTO'!$G$4:$G$13,MATCH($F1012,'CAT_CENTROS_COSTO'!$A$4:$A$13,0)),"(sin catálogo)"))</f>
        <v/>
      </c>
      <c r="Y1012" s="3">
        <f>IF($G1012="","",IFERROR(INDEX('CAT_PUESTOS'!$B$4:$B$8,MATCH($G1012,'CAT_PUESTOS'!$A$4:$A$8,0)),"(sin catálogo)"))</f>
        <v/>
      </c>
      <c r="Z1012" s="3">
        <f>IF($H1012="","",IFERROR(INDEX('CAT_ACTIVIDADES'!$B$4:$B$8,MATCH($H1012,'CAT_ACTIVIDADES'!$A$4:$A$8,0)),"(sin catálogo)"))</f>
        <v/>
      </c>
      <c r="AA1012" s="12">
        <f>IF($J1012="","",TODAY()-$J1012)</f>
        <v/>
      </c>
      <c r="AB1012" s="12">
        <f>IF($J1012="","",IF($J1012&lt;=TODAY(),COUNTIFS(cal_fechas,"&gt;="&amp;$J1012,cal_fechas,"&lt;"&amp;TODAY(),cal_habil,"sí"),-COUNTIFS(cal_fechas,"&gt;="&amp;TODAY(),cal_fechas,"&lt;"&amp;$J1012,cal_habil,"sí")))</f>
        <v/>
      </c>
      <c r="AC1012" s="3">
        <f>IF($AB1012="","",IF($AB1012&lt;0,"FUTURO",IF($AB1012&gt;p_dias_backlog_max,"BACKLOG","MES CORRIENTE")))</f>
        <v/>
      </c>
      <c r="AD1012" s="3">
        <f>IF($AB1012="",FALSE,AND($AB1012&gt;p_dias_backlog_min,$AB1012&lt;=p_dias_backlog_max))</f>
        <v/>
      </c>
      <c r="AE1012" s="6" t="n"/>
      <c r="AF1012" s="3">
        <f>IF($AE1012="","",IF((IFERROR(INDEX('ASIGNACIONES'!$F$4:$F$339,MATCH($O1012&amp;"|"&amp;$R1012&amp;"|"&amp;$AE1012,'ASIGNACIONES'!$J$4:$J$339,0)),""))=0,"",IFERROR(INDEX('ASIGNACIONES'!$F$4:$F$339,MATCH($O1012&amp;"|"&amp;$R1012&amp;"|"&amp;$AE1012,'ASIGNACIONES'!$J$4:$J$339,0)),"")))</f>
        <v/>
      </c>
      <c r="AG1012" s="13">
        <f>IF($AE1012="","",SUMIFS('ORDENES'!$M$4:$M$1203,'ORDENES'!$AE$4:$AE$1203,$AE1012,'ORDENES'!$O$4:$O$1203,$O1012,'ORDENES'!$R$4:$R$1203,$R1012))</f>
        <v/>
      </c>
      <c r="AH1012" s="13">
        <f>IF($AG1012="","",p_factor_productividad*IFERROR(INDEX('ASIGNACIONES'!$I$4:$I$339,MATCH($O1012&amp;"|"&amp;$R1012&amp;"|"&amp;$AE1012,'ASIGNACIONES'!$J$4:$J$339,0)),0)-$AG1012)</f>
        <v/>
      </c>
      <c r="AI1012" s="10">
        <f>IF($A1012="","",IFERROR(INDEX('2_IMPORTAR_EJECUCION'!$F$9:$F$1208,MATCH($AQ1012,'2_IMPORTAR_EJECUCION'!$J$9:$J$1208,0)),0))</f>
        <v/>
      </c>
      <c r="AJ1012" s="10">
        <f>IF($A1012="","",MAX(0,IFERROR(INDEX('2_IMPORTAR_EJECUCION'!$H$9:$H$1208,MATCH($AQ1012,'2_IMPORTAR_EJECUCION'!$J$9:$J$1208,0)),0)-$AI1012))</f>
        <v/>
      </c>
      <c r="AK1012" s="10">
        <f>IF($A1012="","",$AI1012+$AJ1012)</f>
        <v/>
      </c>
      <c r="AL1012" s="6" t="n"/>
      <c r="AM1012" s="6" t="n"/>
      <c r="AN1012" s="6" t="n"/>
      <c r="AO1012" s="3">
        <f>IF($AN1012="","",HYPERLINK(p_ruta_base_checklists&amp;$AN1012,"abrir"))</f>
        <v/>
      </c>
      <c r="AP1012" s="6" t="n"/>
      <c r="AQ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IF($A1013="","",IFERROR(INDEX('AJUSTES'!$B$4:$B$303,MATCH($AQ1013,'AJUSTES'!$A$4:$A$303,0)),IF($K1013="","",$K1013)))</f>
        <v/>
      </c>
      <c r="N1013" s="3">
        <f>IF($A1013="","",IFERROR(INDEX('CAT_ESTADOS_ERP'!$B$4:$B$7,MATCH(IFERROR(INDEX('2_IMPORTAR_EJECUCION'!$C$9:$C$1208,MATCH($AQ1013,'2_IMPORTAR_EJECUCION'!$J$9:$J$1208,0)),""),'CAT_ESTADOS_ERP'!$A$4:$A$7,0)),"Pendiente"))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J1013="","",IFERROR(INDEX('CALENDARIO'!$C$15:$C$214,MATCH(TEXT($J1013,"yyyy-mm-dd")&amp;"|"&amp;$V1013&amp;"|"&amp;$W1013,'CALENDARIO'!$G$15:$G$214,0)),IFERROR(INDEX('CALENDARIO'!$C$15:$C$214,MATCH(TEXT($J1013,"yyyy-mm-dd")&amp;"|"&amp;$V1013&amp;"|",'CALENDARIO'!$G$15:$G$214,0)),IFERROR(INDEX('CALENDARIO'!$C$15:$C$214,MATCH(TEXT($J1013,"yyyy-mm-dd")&amp;"||",'CALENDARIO'!$G$15:$G$214,0)),INDEX(patronHabil,WEEKDAY($J1013,2))))))</f>
        <v/>
      </c>
      <c r="T1013" s="3">
        <f>IF($I1013="","",IFERROR(INDEX('CAT_TIPOS_OT'!$C$4:$C$7,MATCH($I1013,'CAT_TIPOS_OT'!$A$4:$A$7,0)),"sin_clasificar"))</f>
        <v/>
      </c>
      <c r="U1013" s="3">
        <f>IF($F1013="","",IFERROR(INDEX('CAT_CENTROS_COSTO'!$F$4:$F$13,MATCH($F1013,'CAT_CENTROS_COSTO'!$A$4:$A$13,0)),"(sin catálogo)"))</f>
        <v/>
      </c>
      <c r="V1013" s="3">
        <f>IF($F1013="","",IFERROR(INDEX('CAT_CENTROS_COSTO'!$D$4:$D$13,MATCH($F1013,'CAT_CENTROS_COSTO'!$A$4:$A$13,0)),"(sin catálogo)"))</f>
        <v/>
      </c>
      <c r="W1013" s="3">
        <f>IF($F1013="","",IF((IFERROR(INDEX('CAT_CENTROS_COSTO'!$E$4:$E$13,MATCH($F1013,'CAT_CENTROS_COSTO'!$A$4:$A$13,0)),""))&lt;&gt;"",IFERROR(INDEX('CAT_CENTROS_COSTO'!$E$4:$E$13,MATCH($F1013,'CAT_CENTROS_COSTO'!$A$4:$A$13,0)),""),$V1013))</f>
        <v/>
      </c>
      <c r="X1013" s="3">
        <f>IF($F1013="","",IFERROR(INDEX('CAT_CENTROS_COSTO'!$G$4:$G$13,MATCH($F1013,'CAT_CENTROS_COSTO'!$A$4:$A$13,0)),"(sin catálogo)"))</f>
        <v/>
      </c>
      <c r="Y1013" s="3">
        <f>IF($G1013="","",IFERROR(INDEX('CAT_PUESTOS'!$B$4:$B$8,MATCH($G1013,'CAT_PUESTOS'!$A$4:$A$8,0)),"(sin catálogo)"))</f>
        <v/>
      </c>
      <c r="Z1013" s="3">
        <f>IF($H1013="","",IFERROR(INDEX('CAT_ACTIVIDADES'!$B$4:$B$8,MATCH($H1013,'CAT_ACTIVIDADES'!$A$4:$A$8,0)),"(sin catálogo)"))</f>
        <v/>
      </c>
      <c r="AA1013" s="12">
        <f>IF($J1013="","",TODAY()-$J1013)</f>
        <v/>
      </c>
      <c r="AB1013" s="12">
        <f>IF($J1013="","",IF($J1013&lt;=TODAY(),COUNTIFS(cal_fechas,"&gt;="&amp;$J1013,cal_fechas,"&lt;"&amp;TODAY(),cal_habil,"sí"),-COUNTIFS(cal_fechas,"&gt;="&amp;TODAY(),cal_fechas,"&lt;"&amp;$J1013,cal_habil,"sí")))</f>
        <v/>
      </c>
      <c r="AC1013" s="3">
        <f>IF($AB1013="","",IF($AB1013&lt;0,"FUTURO",IF($AB1013&gt;p_dias_backlog_max,"BACKLOG","MES CORRIENTE")))</f>
        <v/>
      </c>
      <c r="AD1013" s="3">
        <f>IF($AB1013="",FALSE,AND($AB1013&gt;p_dias_backlog_min,$AB1013&lt;=p_dias_backlog_max))</f>
        <v/>
      </c>
      <c r="AE1013" s="6" t="n"/>
      <c r="AF1013" s="3">
        <f>IF($AE1013="","",IF((IFERROR(INDEX('ASIGNACIONES'!$F$4:$F$339,MATCH($O1013&amp;"|"&amp;$R1013&amp;"|"&amp;$AE1013,'ASIGNACIONES'!$J$4:$J$339,0)),""))=0,"",IFERROR(INDEX('ASIGNACIONES'!$F$4:$F$339,MATCH($O1013&amp;"|"&amp;$R1013&amp;"|"&amp;$AE1013,'ASIGNACIONES'!$J$4:$J$339,0)),"")))</f>
        <v/>
      </c>
      <c r="AG1013" s="13">
        <f>IF($AE1013="","",SUMIFS('ORDENES'!$M$4:$M$1203,'ORDENES'!$AE$4:$AE$1203,$AE1013,'ORDENES'!$O$4:$O$1203,$O1013,'ORDENES'!$R$4:$R$1203,$R1013))</f>
        <v/>
      </c>
      <c r="AH1013" s="13">
        <f>IF($AG1013="","",p_factor_productividad*IFERROR(INDEX('ASIGNACIONES'!$I$4:$I$339,MATCH($O1013&amp;"|"&amp;$R1013&amp;"|"&amp;$AE1013,'ASIGNACIONES'!$J$4:$J$339,0)),0)-$AG1013)</f>
        <v/>
      </c>
      <c r="AI1013" s="10">
        <f>IF($A1013="","",IFERROR(INDEX('2_IMPORTAR_EJECUCION'!$F$9:$F$1208,MATCH($AQ1013,'2_IMPORTAR_EJECUCION'!$J$9:$J$1208,0)),0))</f>
        <v/>
      </c>
      <c r="AJ1013" s="10">
        <f>IF($A1013="","",MAX(0,IFERROR(INDEX('2_IMPORTAR_EJECUCION'!$H$9:$H$1208,MATCH($AQ1013,'2_IMPORTAR_EJECUCION'!$J$9:$J$1208,0)),0)-$AI1013))</f>
        <v/>
      </c>
      <c r="AK1013" s="10">
        <f>IF($A1013="","",$AI1013+$AJ1013)</f>
        <v/>
      </c>
      <c r="AL1013" s="6" t="n"/>
      <c r="AM1013" s="6" t="n"/>
      <c r="AN1013" s="6" t="n"/>
      <c r="AO1013" s="3">
        <f>IF($AN1013="","",HYPERLINK(p_ruta_base_checklists&amp;$AN1013,"abrir"))</f>
        <v/>
      </c>
      <c r="AP1013" s="6" t="n"/>
      <c r="AQ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IF($A1014="","",IFERROR(INDEX('AJUSTES'!$B$4:$B$303,MATCH($AQ1014,'AJUSTES'!$A$4:$A$303,0)),IF($K1014="","",$K1014)))</f>
        <v/>
      </c>
      <c r="N1014" s="3">
        <f>IF($A1014="","",IFERROR(INDEX('CAT_ESTADOS_ERP'!$B$4:$B$7,MATCH(IFERROR(INDEX('2_IMPORTAR_EJECUCION'!$C$9:$C$1208,MATCH($AQ1014,'2_IMPORTAR_EJECUCION'!$J$9:$J$1208,0)),""),'CAT_ESTADOS_ERP'!$A$4:$A$7,0)),"Pendiente"))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J1014="","",IFERROR(INDEX('CALENDARIO'!$C$15:$C$214,MATCH(TEXT($J1014,"yyyy-mm-dd")&amp;"|"&amp;$V1014&amp;"|"&amp;$W1014,'CALENDARIO'!$G$15:$G$214,0)),IFERROR(INDEX('CALENDARIO'!$C$15:$C$214,MATCH(TEXT($J1014,"yyyy-mm-dd")&amp;"|"&amp;$V1014&amp;"|",'CALENDARIO'!$G$15:$G$214,0)),IFERROR(INDEX('CALENDARIO'!$C$15:$C$214,MATCH(TEXT($J1014,"yyyy-mm-dd")&amp;"||",'CALENDARIO'!$G$15:$G$214,0)),INDEX(patronHabil,WEEKDAY($J1014,2))))))</f>
        <v/>
      </c>
      <c r="T1014" s="3">
        <f>IF($I1014="","",IFERROR(INDEX('CAT_TIPOS_OT'!$C$4:$C$7,MATCH($I1014,'CAT_TIPOS_OT'!$A$4:$A$7,0)),"sin_clasificar"))</f>
        <v/>
      </c>
      <c r="U1014" s="3">
        <f>IF($F1014="","",IFERROR(INDEX('CAT_CENTROS_COSTO'!$F$4:$F$13,MATCH($F1014,'CAT_CENTROS_COSTO'!$A$4:$A$13,0)),"(sin catálogo)"))</f>
        <v/>
      </c>
      <c r="V1014" s="3">
        <f>IF($F1014="","",IFERROR(INDEX('CAT_CENTROS_COSTO'!$D$4:$D$13,MATCH($F1014,'CAT_CENTROS_COSTO'!$A$4:$A$13,0)),"(sin catálogo)"))</f>
        <v/>
      </c>
      <c r="W1014" s="3">
        <f>IF($F1014="","",IF((IFERROR(INDEX('CAT_CENTROS_COSTO'!$E$4:$E$13,MATCH($F1014,'CAT_CENTROS_COSTO'!$A$4:$A$13,0)),""))&lt;&gt;"",IFERROR(INDEX('CAT_CENTROS_COSTO'!$E$4:$E$13,MATCH($F1014,'CAT_CENTROS_COSTO'!$A$4:$A$13,0)),""),$V1014))</f>
        <v/>
      </c>
      <c r="X1014" s="3">
        <f>IF($F1014="","",IFERROR(INDEX('CAT_CENTROS_COSTO'!$G$4:$G$13,MATCH($F1014,'CAT_CENTROS_COSTO'!$A$4:$A$13,0)),"(sin catálogo)"))</f>
        <v/>
      </c>
      <c r="Y1014" s="3">
        <f>IF($G1014="","",IFERROR(INDEX('CAT_PUESTOS'!$B$4:$B$8,MATCH($G1014,'CAT_PUESTOS'!$A$4:$A$8,0)),"(sin catálogo)"))</f>
        <v/>
      </c>
      <c r="Z1014" s="3">
        <f>IF($H1014="","",IFERROR(INDEX('CAT_ACTIVIDADES'!$B$4:$B$8,MATCH($H1014,'CAT_ACTIVIDADES'!$A$4:$A$8,0)),"(sin catálogo)"))</f>
        <v/>
      </c>
      <c r="AA1014" s="12">
        <f>IF($J1014="","",TODAY()-$J1014)</f>
        <v/>
      </c>
      <c r="AB1014" s="12">
        <f>IF($J1014="","",IF($J1014&lt;=TODAY(),COUNTIFS(cal_fechas,"&gt;="&amp;$J1014,cal_fechas,"&lt;"&amp;TODAY(),cal_habil,"sí"),-COUNTIFS(cal_fechas,"&gt;="&amp;TODAY(),cal_fechas,"&lt;"&amp;$J1014,cal_habil,"sí")))</f>
        <v/>
      </c>
      <c r="AC1014" s="3">
        <f>IF($AB1014="","",IF($AB1014&lt;0,"FUTURO",IF($AB1014&gt;p_dias_backlog_max,"BACKLOG","MES CORRIENTE")))</f>
        <v/>
      </c>
      <c r="AD1014" s="3">
        <f>IF($AB1014="",FALSE,AND($AB1014&gt;p_dias_backlog_min,$AB1014&lt;=p_dias_backlog_max))</f>
        <v/>
      </c>
      <c r="AE1014" s="6" t="n"/>
      <c r="AF1014" s="3">
        <f>IF($AE1014="","",IF((IFERROR(INDEX('ASIGNACIONES'!$F$4:$F$339,MATCH($O1014&amp;"|"&amp;$R1014&amp;"|"&amp;$AE1014,'ASIGNACIONES'!$J$4:$J$339,0)),""))=0,"",IFERROR(INDEX('ASIGNACIONES'!$F$4:$F$339,MATCH($O1014&amp;"|"&amp;$R1014&amp;"|"&amp;$AE1014,'ASIGNACIONES'!$J$4:$J$339,0)),"")))</f>
        <v/>
      </c>
      <c r="AG1014" s="13">
        <f>IF($AE1014="","",SUMIFS('ORDENES'!$M$4:$M$1203,'ORDENES'!$AE$4:$AE$1203,$AE1014,'ORDENES'!$O$4:$O$1203,$O1014,'ORDENES'!$R$4:$R$1203,$R1014))</f>
        <v/>
      </c>
      <c r="AH1014" s="13">
        <f>IF($AG1014="","",p_factor_productividad*IFERROR(INDEX('ASIGNACIONES'!$I$4:$I$339,MATCH($O1014&amp;"|"&amp;$R1014&amp;"|"&amp;$AE1014,'ASIGNACIONES'!$J$4:$J$339,0)),0)-$AG1014)</f>
        <v/>
      </c>
      <c r="AI1014" s="10">
        <f>IF($A1014="","",IFERROR(INDEX('2_IMPORTAR_EJECUCION'!$F$9:$F$1208,MATCH($AQ1014,'2_IMPORTAR_EJECUCION'!$J$9:$J$1208,0)),0))</f>
        <v/>
      </c>
      <c r="AJ1014" s="10">
        <f>IF($A1014="","",MAX(0,IFERROR(INDEX('2_IMPORTAR_EJECUCION'!$H$9:$H$1208,MATCH($AQ1014,'2_IMPORTAR_EJECUCION'!$J$9:$J$1208,0)),0)-$AI1014))</f>
        <v/>
      </c>
      <c r="AK1014" s="10">
        <f>IF($A1014="","",$AI1014+$AJ1014)</f>
        <v/>
      </c>
      <c r="AL1014" s="6" t="n"/>
      <c r="AM1014" s="6" t="n"/>
      <c r="AN1014" s="6" t="n"/>
      <c r="AO1014" s="3">
        <f>IF($AN1014="","",HYPERLINK(p_ruta_base_checklists&amp;$AN1014,"abrir"))</f>
        <v/>
      </c>
      <c r="AP1014" s="6" t="n"/>
      <c r="AQ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IF($A1015="","",IFERROR(INDEX('AJUSTES'!$B$4:$B$303,MATCH($AQ1015,'AJUSTES'!$A$4:$A$303,0)),IF($K1015="","",$K1015)))</f>
        <v/>
      </c>
      <c r="N1015" s="3">
        <f>IF($A1015="","",IFERROR(INDEX('CAT_ESTADOS_ERP'!$B$4:$B$7,MATCH(IFERROR(INDEX('2_IMPORTAR_EJECUCION'!$C$9:$C$1208,MATCH($AQ1015,'2_IMPORTAR_EJECUCION'!$J$9:$J$1208,0)),""),'CAT_ESTADOS_ERP'!$A$4:$A$7,0)),"Pendiente"))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J1015="","",IFERROR(INDEX('CALENDARIO'!$C$15:$C$214,MATCH(TEXT($J1015,"yyyy-mm-dd")&amp;"|"&amp;$V1015&amp;"|"&amp;$W1015,'CALENDARIO'!$G$15:$G$214,0)),IFERROR(INDEX('CALENDARIO'!$C$15:$C$214,MATCH(TEXT($J1015,"yyyy-mm-dd")&amp;"|"&amp;$V1015&amp;"|",'CALENDARIO'!$G$15:$G$214,0)),IFERROR(INDEX('CALENDARIO'!$C$15:$C$214,MATCH(TEXT($J1015,"yyyy-mm-dd")&amp;"||",'CALENDARIO'!$G$15:$G$214,0)),INDEX(patronHabil,WEEKDAY($J1015,2))))))</f>
        <v/>
      </c>
      <c r="T1015" s="3">
        <f>IF($I1015="","",IFERROR(INDEX('CAT_TIPOS_OT'!$C$4:$C$7,MATCH($I1015,'CAT_TIPOS_OT'!$A$4:$A$7,0)),"sin_clasificar"))</f>
        <v/>
      </c>
      <c r="U1015" s="3">
        <f>IF($F1015="","",IFERROR(INDEX('CAT_CENTROS_COSTO'!$F$4:$F$13,MATCH($F1015,'CAT_CENTROS_COSTO'!$A$4:$A$13,0)),"(sin catálogo)"))</f>
        <v/>
      </c>
      <c r="V1015" s="3">
        <f>IF($F1015="","",IFERROR(INDEX('CAT_CENTROS_COSTO'!$D$4:$D$13,MATCH($F1015,'CAT_CENTROS_COSTO'!$A$4:$A$13,0)),"(sin catálogo)"))</f>
        <v/>
      </c>
      <c r="W1015" s="3">
        <f>IF($F1015="","",IF((IFERROR(INDEX('CAT_CENTROS_COSTO'!$E$4:$E$13,MATCH($F1015,'CAT_CENTROS_COSTO'!$A$4:$A$13,0)),""))&lt;&gt;"",IFERROR(INDEX('CAT_CENTROS_COSTO'!$E$4:$E$13,MATCH($F1015,'CAT_CENTROS_COSTO'!$A$4:$A$13,0)),""),$V1015))</f>
        <v/>
      </c>
      <c r="X1015" s="3">
        <f>IF($F1015="","",IFERROR(INDEX('CAT_CENTROS_COSTO'!$G$4:$G$13,MATCH($F1015,'CAT_CENTROS_COSTO'!$A$4:$A$13,0)),"(sin catálogo)"))</f>
        <v/>
      </c>
      <c r="Y1015" s="3">
        <f>IF($G1015="","",IFERROR(INDEX('CAT_PUESTOS'!$B$4:$B$8,MATCH($G1015,'CAT_PUESTOS'!$A$4:$A$8,0)),"(sin catálogo)"))</f>
        <v/>
      </c>
      <c r="Z1015" s="3">
        <f>IF($H1015="","",IFERROR(INDEX('CAT_ACTIVIDADES'!$B$4:$B$8,MATCH($H1015,'CAT_ACTIVIDADES'!$A$4:$A$8,0)),"(sin catálogo)"))</f>
        <v/>
      </c>
      <c r="AA1015" s="12">
        <f>IF($J1015="","",TODAY()-$J1015)</f>
        <v/>
      </c>
      <c r="AB1015" s="12">
        <f>IF($J1015="","",IF($J1015&lt;=TODAY(),COUNTIFS(cal_fechas,"&gt;="&amp;$J1015,cal_fechas,"&lt;"&amp;TODAY(),cal_habil,"sí"),-COUNTIFS(cal_fechas,"&gt;="&amp;TODAY(),cal_fechas,"&lt;"&amp;$J1015,cal_habil,"sí")))</f>
        <v/>
      </c>
      <c r="AC1015" s="3">
        <f>IF($AB1015="","",IF($AB1015&lt;0,"FUTURO",IF($AB1015&gt;p_dias_backlog_max,"BACKLOG","MES CORRIENTE")))</f>
        <v/>
      </c>
      <c r="AD1015" s="3">
        <f>IF($AB1015="",FALSE,AND($AB1015&gt;p_dias_backlog_min,$AB1015&lt;=p_dias_backlog_max))</f>
        <v/>
      </c>
      <c r="AE1015" s="6" t="n"/>
      <c r="AF1015" s="3">
        <f>IF($AE1015="","",IF((IFERROR(INDEX('ASIGNACIONES'!$F$4:$F$339,MATCH($O1015&amp;"|"&amp;$R1015&amp;"|"&amp;$AE1015,'ASIGNACIONES'!$J$4:$J$339,0)),""))=0,"",IFERROR(INDEX('ASIGNACIONES'!$F$4:$F$339,MATCH($O1015&amp;"|"&amp;$R1015&amp;"|"&amp;$AE1015,'ASIGNACIONES'!$J$4:$J$339,0)),"")))</f>
        <v/>
      </c>
      <c r="AG1015" s="13">
        <f>IF($AE1015="","",SUMIFS('ORDENES'!$M$4:$M$1203,'ORDENES'!$AE$4:$AE$1203,$AE1015,'ORDENES'!$O$4:$O$1203,$O1015,'ORDENES'!$R$4:$R$1203,$R1015))</f>
        <v/>
      </c>
      <c r="AH1015" s="13">
        <f>IF($AG1015="","",p_factor_productividad*IFERROR(INDEX('ASIGNACIONES'!$I$4:$I$339,MATCH($O1015&amp;"|"&amp;$R1015&amp;"|"&amp;$AE1015,'ASIGNACIONES'!$J$4:$J$339,0)),0)-$AG1015)</f>
        <v/>
      </c>
      <c r="AI1015" s="10">
        <f>IF($A1015="","",IFERROR(INDEX('2_IMPORTAR_EJECUCION'!$F$9:$F$1208,MATCH($AQ1015,'2_IMPORTAR_EJECUCION'!$J$9:$J$1208,0)),0))</f>
        <v/>
      </c>
      <c r="AJ1015" s="10">
        <f>IF($A1015="","",MAX(0,IFERROR(INDEX('2_IMPORTAR_EJECUCION'!$H$9:$H$1208,MATCH($AQ1015,'2_IMPORTAR_EJECUCION'!$J$9:$J$1208,0)),0)-$AI1015))</f>
        <v/>
      </c>
      <c r="AK1015" s="10">
        <f>IF($A1015="","",$AI1015+$AJ1015)</f>
        <v/>
      </c>
      <c r="AL1015" s="6" t="n"/>
      <c r="AM1015" s="6" t="n"/>
      <c r="AN1015" s="6" t="n"/>
      <c r="AO1015" s="3">
        <f>IF($AN1015="","",HYPERLINK(p_ruta_base_checklists&amp;$AN1015,"abrir"))</f>
        <v/>
      </c>
      <c r="AP1015" s="6" t="n"/>
      <c r="AQ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IF($A1016="","",IFERROR(INDEX('AJUSTES'!$B$4:$B$303,MATCH($AQ1016,'AJUSTES'!$A$4:$A$303,0)),IF($K1016="","",$K1016)))</f>
        <v/>
      </c>
      <c r="N1016" s="3">
        <f>IF($A1016="","",IFERROR(INDEX('CAT_ESTADOS_ERP'!$B$4:$B$7,MATCH(IFERROR(INDEX('2_IMPORTAR_EJECUCION'!$C$9:$C$1208,MATCH($AQ1016,'2_IMPORTAR_EJECUCION'!$J$9:$J$1208,0)),""),'CAT_ESTADOS_ERP'!$A$4:$A$7,0)),"Pendiente"))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J1016="","",IFERROR(INDEX('CALENDARIO'!$C$15:$C$214,MATCH(TEXT($J1016,"yyyy-mm-dd")&amp;"|"&amp;$V1016&amp;"|"&amp;$W1016,'CALENDARIO'!$G$15:$G$214,0)),IFERROR(INDEX('CALENDARIO'!$C$15:$C$214,MATCH(TEXT($J1016,"yyyy-mm-dd")&amp;"|"&amp;$V1016&amp;"|",'CALENDARIO'!$G$15:$G$214,0)),IFERROR(INDEX('CALENDARIO'!$C$15:$C$214,MATCH(TEXT($J1016,"yyyy-mm-dd")&amp;"||",'CALENDARIO'!$G$15:$G$214,0)),INDEX(patronHabil,WEEKDAY($J1016,2))))))</f>
        <v/>
      </c>
      <c r="T1016" s="3">
        <f>IF($I1016="","",IFERROR(INDEX('CAT_TIPOS_OT'!$C$4:$C$7,MATCH($I1016,'CAT_TIPOS_OT'!$A$4:$A$7,0)),"sin_clasificar"))</f>
        <v/>
      </c>
      <c r="U1016" s="3">
        <f>IF($F1016="","",IFERROR(INDEX('CAT_CENTROS_COSTO'!$F$4:$F$13,MATCH($F1016,'CAT_CENTROS_COSTO'!$A$4:$A$13,0)),"(sin catálogo)"))</f>
        <v/>
      </c>
      <c r="V1016" s="3">
        <f>IF($F1016="","",IFERROR(INDEX('CAT_CENTROS_COSTO'!$D$4:$D$13,MATCH($F1016,'CAT_CENTROS_COSTO'!$A$4:$A$13,0)),"(sin catálogo)"))</f>
        <v/>
      </c>
      <c r="W1016" s="3">
        <f>IF($F1016="","",IF((IFERROR(INDEX('CAT_CENTROS_COSTO'!$E$4:$E$13,MATCH($F1016,'CAT_CENTROS_COSTO'!$A$4:$A$13,0)),""))&lt;&gt;"",IFERROR(INDEX('CAT_CENTROS_COSTO'!$E$4:$E$13,MATCH($F1016,'CAT_CENTROS_COSTO'!$A$4:$A$13,0)),""),$V1016))</f>
        <v/>
      </c>
      <c r="X1016" s="3">
        <f>IF($F1016="","",IFERROR(INDEX('CAT_CENTROS_COSTO'!$G$4:$G$13,MATCH($F1016,'CAT_CENTROS_COSTO'!$A$4:$A$13,0)),"(sin catálogo)"))</f>
        <v/>
      </c>
      <c r="Y1016" s="3">
        <f>IF($G1016="","",IFERROR(INDEX('CAT_PUESTOS'!$B$4:$B$8,MATCH($G1016,'CAT_PUESTOS'!$A$4:$A$8,0)),"(sin catálogo)"))</f>
        <v/>
      </c>
      <c r="Z1016" s="3">
        <f>IF($H1016="","",IFERROR(INDEX('CAT_ACTIVIDADES'!$B$4:$B$8,MATCH($H1016,'CAT_ACTIVIDADES'!$A$4:$A$8,0)),"(sin catálogo)"))</f>
        <v/>
      </c>
      <c r="AA1016" s="12">
        <f>IF($J1016="","",TODAY()-$J1016)</f>
        <v/>
      </c>
      <c r="AB1016" s="12">
        <f>IF($J1016="","",IF($J1016&lt;=TODAY(),COUNTIFS(cal_fechas,"&gt;="&amp;$J1016,cal_fechas,"&lt;"&amp;TODAY(),cal_habil,"sí"),-COUNTIFS(cal_fechas,"&gt;="&amp;TODAY(),cal_fechas,"&lt;"&amp;$J1016,cal_habil,"sí")))</f>
        <v/>
      </c>
      <c r="AC1016" s="3">
        <f>IF($AB1016="","",IF($AB1016&lt;0,"FUTURO",IF($AB1016&gt;p_dias_backlog_max,"BACKLOG","MES CORRIENTE")))</f>
        <v/>
      </c>
      <c r="AD1016" s="3">
        <f>IF($AB1016="",FALSE,AND($AB1016&gt;p_dias_backlog_min,$AB1016&lt;=p_dias_backlog_max))</f>
        <v/>
      </c>
      <c r="AE1016" s="6" t="n"/>
      <c r="AF1016" s="3">
        <f>IF($AE1016="","",IF((IFERROR(INDEX('ASIGNACIONES'!$F$4:$F$339,MATCH($O1016&amp;"|"&amp;$R1016&amp;"|"&amp;$AE1016,'ASIGNACIONES'!$J$4:$J$339,0)),""))=0,"",IFERROR(INDEX('ASIGNACIONES'!$F$4:$F$339,MATCH($O1016&amp;"|"&amp;$R1016&amp;"|"&amp;$AE1016,'ASIGNACIONES'!$J$4:$J$339,0)),"")))</f>
        <v/>
      </c>
      <c r="AG1016" s="13">
        <f>IF($AE1016="","",SUMIFS('ORDENES'!$M$4:$M$1203,'ORDENES'!$AE$4:$AE$1203,$AE1016,'ORDENES'!$O$4:$O$1203,$O1016,'ORDENES'!$R$4:$R$1203,$R1016))</f>
        <v/>
      </c>
      <c r="AH1016" s="13">
        <f>IF($AG1016="","",p_factor_productividad*IFERROR(INDEX('ASIGNACIONES'!$I$4:$I$339,MATCH($O1016&amp;"|"&amp;$R1016&amp;"|"&amp;$AE1016,'ASIGNACIONES'!$J$4:$J$339,0)),0)-$AG1016)</f>
        <v/>
      </c>
      <c r="AI1016" s="10">
        <f>IF($A1016="","",IFERROR(INDEX('2_IMPORTAR_EJECUCION'!$F$9:$F$1208,MATCH($AQ1016,'2_IMPORTAR_EJECUCION'!$J$9:$J$1208,0)),0))</f>
        <v/>
      </c>
      <c r="AJ1016" s="10">
        <f>IF($A1016="","",MAX(0,IFERROR(INDEX('2_IMPORTAR_EJECUCION'!$H$9:$H$1208,MATCH($AQ1016,'2_IMPORTAR_EJECUCION'!$J$9:$J$1208,0)),0)-$AI1016))</f>
        <v/>
      </c>
      <c r="AK1016" s="10">
        <f>IF($A1016="","",$AI1016+$AJ1016)</f>
        <v/>
      </c>
      <c r="AL1016" s="6" t="n"/>
      <c r="AM1016" s="6" t="n"/>
      <c r="AN1016" s="6" t="n"/>
      <c r="AO1016" s="3">
        <f>IF($AN1016="","",HYPERLINK(p_ruta_base_checklists&amp;$AN1016,"abrir"))</f>
        <v/>
      </c>
      <c r="AP1016" s="6" t="n"/>
      <c r="AQ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IF($A1017="","",IFERROR(INDEX('AJUSTES'!$B$4:$B$303,MATCH($AQ1017,'AJUSTES'!$A$4:$A$303,0)),IF($K1017="","",$K1017)))</f>
        <v/>
      </c>
      <c r="N1017" s="3">
        <f>IF($A1017="","",IFERROR(INDEX('CAT_ESTADOS_ERP'!$B$4:$B$7,MATCH(IFERROR(INDEX('2_IMPORTAR_EJECUCION'!$C$9:$C$1208,MATCH($AQ1017,'2_IMPORTAR_EJECUCION'!$J$9:$J$1208,0)),""),'CAT_ESTADOS_ERP'!$A$4:$A$7,0)),"Pendiente"))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J1017="","",IFERROR(INDEX('CALENDARIO'!$C$15:$C$214,MATCH(TEXT($J1017,"yyyy-mm-dd")&amp;"|"&amp;$V1017&amp;"|"&amp;$W1017,'CALENDARIO'!$G$15:$G$214,0)),IFERROR(INDEX('CALENDARIO'!$C$15:$C$214,MATCH(TEXT($J1017,"yyyy-mm-dd")&amp;"|"&amp;$V1017&amp;"|",'CALENDARIO'!$G$15:$G$214,0)),IFERROR(INDEX('CALENDARIO'!$C$15:$C$214,MATCH(TEXT($J1017,"yyyy-mm-dd")&amp;"||",'CALENDARIO'!$G$15:$G$214,0)),INDEX(patronHabil,WEEKDAY($J1017,2))))))</f>
        <v/>
      </c>
      <c r="T1017" s="3">
        <f>IF($I1017="","",IFERROR(INDEX('CAT_TIPOS_OT'!$C$4:$C$7,MATCH($I1017,'CAT_TIPOS_OT'!$A$4:$A$7,0)),"sin_clasificar"))</f>
        <v/>
      </c>
      <c r="U1017" s="3">
        <f>IF($F1017="","",IFERROR(INDEX('CAT_CENTROS_COSTO'!$F$4:$F$13,MATCH($F1017,'CAT_CENTROS_COSTO'!$A$4:$A$13,0)),"(sin catálogo)"))</f>
        <v/>
      </c>
      <c r="V1017" s="3">
        <f>IF($F1017="","",IFERROR(INDEX('CAT_CENTROS_COSTO'!$D$4:$D$13,MATCH($F1017,'CAT_CENTROS_COSTO'!$A$4:$A$13,0)),"(sin catálogo)"))</f>
        <v/>
      </c>
      <c r="W1017" s="3">
        <f>IF($F1017="","",IF((IFERROR(INDEX('CAT_CENTROS_COSTO'!$E$4:$E$13,MATCH($F1017,'CAT_CENTROS_COSTO'!$A$4:$A$13,0)),""))&lt;&gt;"",IFERROR(INDEX('CAT_CENTROS_COSTO'!$E$4:$E$13,MATCH($F1017,'CAT_CENTROS_COSTO'!$A$4:$A$13,0)),""),$V1017))</f>
        <v/>
      </c>
      <c r="X1017" s="3">
        <f>IF($F1017="","",IFERROR(INDEX('CAT_CENTROS_COSTO'!$G$4:$G$13,MATCH($F1017,'CAT_CENTROS_COSTO'!$A$4:$A$13,0)),"(sin catálogo)"))</f>
        <v/>
      </c>
      <c r="Y1017" s="3">
        <f>IF($G1017="","",IFERROR(INDEX('CAT_PUESTOS'!$B$4:$B$8,MATCH($G1017,'CAT_PUESTOS'!$A$4:$A$8,0)),"(sin catálogo)"))</f>
        <v/>
      </c>
      <c r="Z1017" s="3">
        <f>IF($H1017="","",IFERROR(INDEX('CAT_ACTIVIDADES'!$B$4:$B$8,MATCH($H1017,'CAT_ACTIVIDADES'!$A$4:$A$8,0)),"(sin catálogo)"))</f>
        <v/>
      </c>
      <c r="AA1017" s="12">
        <f>IF($J1017="","",TODAY()-$J1017)</f>
        <v/>
      </c>
      <c r="AB1017" s="12">
        <f>IF($J1017="","",IF($J1017&lt;=TODAY(),COUNTIFS(cal_fechas,"&gt;="&amp;$J1017,cal_fechas,"&lt;"&amp;TODAY(),cal_habil,"sí"),-COUNTIFS(cal_fechas,"&gt;="&amp;TODAY(),cal_fechas,"&lt;"&amp;$J1017,cal_habil,"sí")))</f>
        <v/>
      </c>
      <c r="AC1017" s="3">
        <f>IF($AB1017="","",IF($AB1017&lt;0,"FUTURO",IF($AB1017&gt;p_dias_backlog_max,"BACKLOG","MES CORRIENTE")))</f>
        <v/>
      </c>
      <c r="AD1017" s="3">
        <f>IF($AB1017="",FALSE,AND($AB1017&gt;p_dias_backlog_min,$AB1017&lt;=p_dias_backlog_max))</f>
        <v/>
      </c>
      <c r="AE1017" s="6" t="n"/>
      <c r="AF1017" s="3">
        <f>IF($AE1017="","",IF((IFERROR(INDEX('ASIGNACIONES'!$F$4:$F$339,MATCH($O1017&amp;"|"&amp;$R1017&amp;"|"&amp;$AE1017,'ASIGNACIONES'!$J$4:$J$339,0)),""))=0,"",IFERROR(INDEX('ASIGNACIONES'!$F$4:$F$339,MATCH($O1017&amp;"|"&amp;$R1017&amp;"|"&amp;$AE1017,'ASIGNACIONES'!$J$4:$J$339,0)),"")))</f>
        <v/>
      </c>
      <c r="AG1017" s="13">
        <f>IF($AE1017="","",SUMIFS('ORDENES'!$M$4:$M$1203,'ORDENES'!$AE$4:$AE$1203,$AE1017,'ORDENES'!$O$4:$O$1203,$O1017,'ORDENES'!$R$4:$R$1203,$R1017))</f>
        <v/>
      </c>
      <c r="AH1017" s="13">
        <f>IF($AG1017="","",p_factor_productividad*IFERROR(INDEX('ASIGNACIONES'!$I$4:$I$339,MATCH($O1017&amp;"|"&amp;$R1017&amp;"|"&amp;$AE1017,'ASIGNACIONES'!$J$4:$J$339,0)),0)-$AG1017)</f>
        <v/>
      </c>
      <c r="AI1017" s="10">
        <f>IF($A1017="","",IFERROR(INDEX('2_IMPORTAR_EJECUCION'!$F$9:$F$1208,MATCH($AQ1017,'2_IMPORTAR_EJECUCION'!$J$9:$J$1208,0)),0))</f>
        <v/>
      </c>
      <c r="AJ1017" s="10">
        <f>IF($A1017="","",MAX(0,IFERROR(INDEX('2_IMPORTAR_EJECUCION'!$H$9:$H$1208,MATCH($AQ1017,'2_IMPORTAR_EJECUCION'!$J$9:$J$1208,0)),0)-$AI1017))</f>
        <v/>
      </c>
      <c r="AK1017" s="10">
        <f>IF($A1017="","",$AI1017+$AJ1017)</f>
        <v/>
      </c>
      <c r="AL1017" s="6" t="n"/>
      <c r="AM1017" s="6" t="n"/>
      <c r="AN1017" s="6" t="n"/>
      <c r="AO1017" s="3">
        <f>IF($AN1017="","",HYPERLINK(p_ruta_base_checklists&amp;$AN1017,"abrir"))</f>
        <v/>
      </c>
      <c r="AP1017" s="6" t="n"/>
      <c r="AQ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IF($A1018="","",IFERROR(INDEX('AJUSTES'!$B$4:$B$303,MATCH($AQ1018,'AJUSTES'!$A$4:$A$303,0)),IF($K1018="","",$K1018)))</f>
        <v/>
      </c>
      <c r="N1018" s="3">
        <f>IF($A1018="","",IFERROR(INDEX('CAT_ESTADOS_ERP'!$B$4:$B$7,MATCH(IFERROR(INDEX('2_IMPORTAR_EJECUCION'!$C$9:$C$1208,MATCH($AQ1018,'2_IMPORTAR_EJECUCION'!$J$9:$J$1208,0)),""),'CAT_ESTADOS_ERP'!$A$4:$A$7,0)),"Pendiente"))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J1018="","",IFERROR(INDEX('CALENDARIO'!$C$15:$C$214,MATCH(TEXT($J1018,"yyyy-mm-dd")&amp;"|"&amp;$V1018&amp;"|"&amp;$W1018,'CALENDARIO'!$G$15:$G$214,0)),IFERROR(INDEX('CALENDARIO'!$C$15:$C$214,MATCH(TEXT($J1018,"yyyy-mm-dd")&amp;"|"&amp;$V1018&amp;"|",'CALENDARIO'!$G$15:$G$214,0)),IFERROR(INDEX('CALENDARIO'!$C$15:$C$214,MATCH(TEXT($J1018,"yyyy-mm-dd")&amp;"||",'CALENDARIO'!$G$15:$G$214,0)),INDEX(patronHabil,WEEKDAY($J1018,2))))))</f>
        <v/>
      </c>
      <c r="T1018" s="3">
        <f>IF($I1018="","",IFERROR(INDEX('CAT_TIPOS_OT'!$C$4:$C$7,MATCH($I1018,'CAT_TIPOS_OT'!$A$4:$A$7,0)),"sin_clasificar"))</f>
        <v/>
      </c>
      <c r="U1018" s="3">
        <f>IF($F1018="","",IFERROR(INDEX('CAT_CENTROS_COSTO'!$F$4:$F$13,MATCH($F1018,'CAT_CENTROS_COSTO'!$A$4:$A$13,0)),"(sin catálogo)"))</f>
        <v/>
      </c>
      <c r="V1018" s="3">
        <f>IF($F1018="","",IFERROR(INDEX('CAT_CENTROS_COSTO'!$D$4:$D$13,MATCH($F1018,'CAT_CENTROS_COSTO'!$A$4:$A$13,0)),"(sin catálogo)"))</f>
        <v/>
      </c>
      <c r="W1018" s="3">
        <f>IF($F1018="","",IF((IFERROR(INDEX('CAT_CENTROS_COSTO'!$E$4:$E$13,MATCH($F1018,'CAT_CENTROS_COSTO'!$A$4:$A$13,0)),""))&lt;&gt;"",IFERROR(INDEX('CAT_CENTROS_COSTO'!$E$4:$E$13,MATCH($F1018,'CAT_CENTROS_COSTO'!$A$4:$A$13,0)),""),$V1018))</f>
        <v/>
      </c>
      <c r="X1018" s="3">
        <f>IF($F1018="","",IFERROR(INDEX('CAT_CENTROS_COSTO'!$G$4:$G$13,MATCH($F1018,'CAT_CENTROS_COSTO'!$A$4:$A$13,0)),"(sin catálogo)"))</f>
        <v/>
      </c>
      <c r="Y1018" s="3">
        <f>IF($G1018="","",IFERROR(INDEX('CAT_PUESTOS'!$B$4:$B$8,MATCH($G1018,'CAT_PUESTOS'!$A$4:$A$8,0)),"(sin catálogo)"))</f>
        <v/>
      </c>
      <c r="Z1018" s="3">
        <f>IF($H1018="","",IFERROR(INDEX('CAT_ACTIVIDADES'!$B$4:$B$8,MATCH($H1018,'CAT_ACTIVIDADES'!$A$4:$A$8,0)),"(sin catálogo)"))</f>
        <v/>
      </c>
      <c r="AA1018" s="12">
        <f>IF($J1018="","",TODAY()-$J1018)</f>
        <v/>
      </c>
      <c r="AB1018" s="12">
        <f>IF($J1018="","",IF($J1018&lt;=TODAY(),COUNTIFS(cal_fechas,"&gt;="&amp;$J1018,cal_fechas,"&lt;"&amp;TODAY(),cal_habil,"sí"),-COUNTIFS(cal_fechas,"&gt;="&amp;TODAY(),cal_fechas,"&lt;"&amp;$J1018,cal_habil,"sí")))</f>
        <v/>
      </c>
      <c r="AC1018" s="3">
        <f>IF($AB1018="","",IF($AB1018&lt;0,"FUTURO",IF($AB1018&gt;p_dias_backlog_max,"BACKLOG","MES CORRIENTE")))</f>
        <v/>
      </c>
      <c r="AD1018" s="3">
        <f>IF($AB1018="",FALSE,AND($AB1018&gt;p_dias_backlog_min,$AB1018&lt;=p_dias_backlog_max))</f>
        <v/>
      </c>
      <c r="AE1018" s="6" t="n"/>
      <c r="AF1018" s="3">
        <f>IF($AE1018="","",IF((IFERROR(INDEX('ASIGNACIONES'!$F$4:$F$339,MATCH($O1018&amp;"|"&amp;$R1018&amp;"|"&amp;$AE1018,'ASIGNACIONES'!$J$4:$J$339,0)),""))=0,"",IFERROR(INDEX('ASIGNACIONES'!$F$4:$F$339,MATCH($O1018&amp;"|"&amp;$R1018&amp;"|"&amp;$AE1018,'ASIGNACIONES'!$J$4:$J$339,0)),"")))</f>
        <v/>
      </c>
      <c r="AG1018" s="13">
        <f>IF($AE1018="","",SUMIFS('ORDENES'!$M$4:$M$1203,'ORDENES'!$AE$4:$AE$1203,$AE1018,'ORDENES'!$O$4:$O$1203,$O1018,'ORDENES'!$R$4:$R$1203,$R1018))</f>
        <v/>
      </c>
      <c r="AH1018" s="13">
        <f>IF($AG1018="","",p_factor_productividad*IFERROR(INDEX('ASIGNACIONES'!$I$4:$I$339,MATCH($O1018&amp;"|"&amp;$R1018&amp;"|"&amp;$AE1018,'ASIGNACIONES'!$J$4:$J$339,0)),0)-$AG1018)</f>
        <v/>
      </c>
      <c r="AI1018" s="10">
        <f>IF($A1018="","",IFERROR(INDEX('2_IMPORTAR_EJECUCION'!$F$9:$F$1208,MATCH($AQ1018,'2_IMPORTAR_EJECUCION'!$J$9:$J$1208,0)),0))</f>
        <v/>
      </c>
      <c r="AJ1018" s="10">
        <f>IF($A1018="","",MAX(0,IFERROR(INDEX('2_IMPORTAR_EJECUCION'!$H$9:$H$1208,MATCH($AQ1018,'2_IMPORTAR_EJECUCION'!$J$9:$J$1208,0)),0)-$AI1018))</f>
        <v/>
      </c>
      <c r="AK1018" s="10">
        <f>IF($A1018="","",$AI1018+$AJ1018)</f>
        <v/>
      </c>
      <c r="AL1018" s="6" t="n"/>
      <c r="AM1018" s="6" t="n"/>
      <c r="AN1018" s="6" t="n"/>
      <c r="AO1018" s="3">
        <f>IF($AN1018="","",HYPERLINK(p_ruta_base_checklists&amp;$AN1018,"abrir"))</f>
        <v/>
      </c>
      <c r="AP1018" s="6" t="n"/>
      <c r="AQ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IF($A1019="","",IFERROR(INDEX('AJUSTES'!$B$4:$B$303,MATCH($AQ1019,'AJUSTES'!$A$4:$A$303,0)),IF($K1019="","",$K1019)))</f>
        <v/>
      </c>
      <c r="N1019" s="3">
        <f>IF($A1019="","",IFERROR(INDEX('CAT_ESTADOS_ERP'!$B$4:$B$7,MATCH(IFERROR(INDEX('2_IMPORTAR_EJECUCION'!$C$9:$C$1208,MATCH($AQ1019,'2_IMPORTAR_EJECUCION'!$J$9:$J$1208,0)),""),'CAT_ESTADOS_ERP'!$A$4:$A$7,0)),"Pendiente"))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J1019="","",IFERROR(INDEX('CALENDARIO'!$C$15:$C$214,MATCH(TEXT($J1019,"yyyy-mm-dd")&amp;"|"&amp;$V1019&amp;"|"&amp;$W1019,'CALENDARIO'!$G$15:$G$214,0)),IFERROR(INDEX('CALENDARIO'!$C$15:$C$214,MATCH(TEXT($J1019,"yyyy-mm-dd")&amp;"|"&amp;$V1019&amp;"|",'CALENDARIO'!$G$15:$G$214,0)),IFERROR(INDEX('CALENDARIO'!$C$15:$C$214,MATCH(TEXT($J1019,"yyyy-mm-dd")&amp;"||",'CALENDARIO'!$G$15:$G$214,0)),INDEX(patronHabil,WEEKDAY($J1019,2))))))</f>
        <v/>
      </c>
      <c r="T1019" s="3">
        <f>IF($I1019="","",IFERROR(INDEX('CAT_TIPOS_OT'!$C$4:$C$7,MATCH($I1019,'CAT_TIPOS_OT'!$A$4:$A$7,0)),"sin_clasificar"))</f>
        <v/>
      </c>
      <c r="U1019" s="3">
        <f>IF($F1019="","",IFERROR(INDEX('CAT_CENTROS_COSTO'!$F$4:$F$13,MATCH($F1019,'CAT_CENTROS_COSTO'!$A$4:$A$13,0)),"(sin catálogo)"))</f>
        <v/>
      </c>
      <c r="V1019" s="3">
        <f>IF($F1019="","",IFERROR(INDEX('CAT_CENTROS_COSTO'!$D$4:$D$13,MATCH($F1019,'CAT_CENTROS_COSTO'!$A$4:$A$13,0)),"(sin catálogo)"))</f>
        <v/>
      </c>
      <c r="W1019" s="3">
        <f>IF($F1019="","",IF((IFERROR(INDEX('CAT_CENTROS_COSTO'!$E$4:$E$13,MATCH($F1019,'CAT_CENTROS_COSTO'!$A$4:$A$13,0)),""))&lt;&gt;"",IFERROR(INDEX('CAT_CENTROS_COSTO'!$E$4:$E$13,MATCH($F1019,'CAT_CENTROS_COSTO'!$A$4:$A$13,0)),""),$V1019))</f>
        <v/>
      </c>
      <c r="X1019" s="3">
        <f>IF($F1019="","",IFERROR(INDEX('CAT_CENTROS_COSTO'!$G$4:$G$13,MATCH($F1019,'CAT_CENTROS_COSTO'!$A$4:$A$13,0)),"(sin catálogo)"))</f>
        <v/>
      </c>
      <c r="Y1019" s="3">
        <f>IF($G1019="","",IFERROR(INDEX('CAT_PUESTOS'!$B$4:$B$8,MATCH($G1019,'CAT_PUESTOS'!$A$4:$A$8,0)),"(sin catálogo)"))</f>
        <v/>
      </c>
      <c r="Z1019" s="3">
        <f>IF($H1019="","",IFERROR(INDEX('CAT_ACTIVIDADES'!$B$4:$B$8,MATCH($H1019,'CAT_ACTIVIDADES'!$A$4:$A$8,0)),"(sin catálogo)"))</f>
        <v/>
      </c>
      <c r="AA1019" s="12">
        <f>IF($J1019="","",TODAY()-$J1019)</f>
        <v/>
      </c>
      <c r="AB1019" s="12">
        <f>IF($J1019="","",IF($J1019&lt;=TODAY(),COUNTIFS(cal_fechas,"&gt;="&amp;$J1019,cal_fechas,"&lt;"&amp;TODAY(),cal_habil,"sí"),-COUNTIFS(cal_fechas,"&gt;="&amp;TODAY(),cal_fechas,"&lt;"&amp;$J1019,cal_habil,"sí")))</f>
        <v/>
      </c>
      <c r="AC1019" s="3">
        <f>IF($AB1019="","",IF($AB1019&lt;0,"FUTURO",IF($AB1019&gt;p_dias_backlog_max,"BACKLOG","MES CORRIENTE")))</f>
        <v/>
      </c>
      <c r="AD1019" s="3">
        <f>IF($AB1019="",FALSE,AND($AB1019&gt;p_dias_backlog_min,$AB1019&lt;=p_dias_backlog_max))</f>
        <v/>
      </c>
      <c r="AE1019" s="6" t="n"/>
      <c r="AF1019" s="3">
        <f>IF($AE1019="","",IF((IFERROR(INDEX('ASIGNACIONES'!$F$4:$F$339,MATCH($O1019&amp;"|"&amp;$R1019&amp;"|"&amp;$AE1019,'ASIGNACIONES'!$J$4:$J$339,0)),""))=0,"",IFERROR(INDEX('ASIGNACIONES'!$F$4:$F$339,MATCH($O1019&amp;"|"&amp;$R1019&amp;"|"&amp;$AE1019,'ASIGNACIONES'!$J$4:$J$339,0)),"")))</f>
        <v/>
      </c>
      <c r="AG1019" s="13">
        <f>IF($AE1019="","",SUMIFS('ORDENES'!$M$4:$M$1203,'ORDENES'!$AE$4:$AE$1203,$AE1019,'ORDENES'!$O$4:$O$1203,$O1019,'ORDENES'!$R$4:$R$1203,$R1019))</f>
        <v/>
      </c>
      <c r="AH1019" s="13">
        <f>IF($AG1019="","",p_factor_productividad*IFERROR(INDEX('ASIGNACIONES'!$I$4:$I$339,MATCH($O1019&amp;"|"&amp;$R1019&amp;"|"&amp;$AE1019,'ASIGNACIONES'!$J$4:$J$339,0)),0)-$AG1019)</f>
        <v/>
      </c>
      <c r="AI1019" s="10">
        <f>IF($A1019="","",IFERROR(INDEX('2_IMPORTAR_EJECUCION'!$F$9:$F$1208,MATCH($AQ1019,'2_IMPORTAR_EJECUCION'!$J$9:$J$1208,0)),0))</f>
        <v/>
      </c>
      <c r="AJ1019" s="10">
        <f>IF($A1019="","",MAX(0,IFERROR(INDEX('2_IMPORTAR_EJECUCION'!$H$9:$H$1208,MATCH($AQ1019,'2_IMPORTAR_EJECUCION'!$J$9:$J$1208,0)),0)-$AI1019))</f>
        <v/>
      </c>
      <c r="AK1019" s="10">
        <f>IF($A1019="","",$AI1019+$AJ1019)</f>
        <v/>
      </c>
      <c r="AL1019" s="6" t="n"/>
      <c r="AM1019" s="6" t="n"/>
      <c r="AN1019" s="6" t="n"/>
      <c r="AO1019" s="3">
        <f>IF($AN1019="","",HYPERLINK(p_ruta_base_checklists&amp;$AN1019,"abrir"))</f>
        <v/>
      </c>
      <c r="AP1019" s="6" t="n"/>
      <c r="AQ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IF($A1020="","",IFERROR(INDEX('AJUSTES'!$B$4:$B$303,MATCH($AQ1020,'AJUSTES'!$A$4:$A$303,0)),IF($K1020="","",$K1020)))</f>
        <v/>
      </c>
      <c r="N1020" s="3">
        <f>IF($A1020="","",IFERROR(INDEX('CAT_ESTADOS_ERP'!$B$4:$B$7,MATCH(IFERROR(INDEX('2_IMPORTAR_EJECUCION'!$C$9:$C$1208,MATCH($AQ1020,'2_IMPORTAR_EJECUCION'!$J$9:$J$1208,0)),""),'CAT_ESTADOS_ERP'!$A$4:$A$7,0)),"Pendiente"))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J1020="","",IFERROR(INDEX('CALENDARIO'!$C$15:$C$214,MATCH(TEXT($J1020,"yyyy-mm-dd")&amp;"|"&amp;$V1020&amp;"|"&amp;$W1020,'CALENDARIO'!$G$15:$G$214,0)),IFERROR(INDEX('CALENDARIO'!$C$15:$C$214,MATCH(TEXT($J1020,"yyyy-mm-dd")&amp;"|"&amp;$V1020&amp;"|",'CALENDARIO'!$G$15:$G$214,0)),IFERROR(INDEX('CALENDARIO'!$C$15:$C$214,MATCH(TEXT($J1020,"yyyy-mm-dd")&amp;"||",'CALENDARIO'!$G$15:$G$214,0)),INDEX(patronHabil,WEEKDAY($J1020,2))))))</f>
        <v/>
      </c>
      <c r="T1020" s="3">
        <f>IF($I1020="","",IFERROR(INDEX('CAT_TIPOS_OT'!$C$4:$C$7,MATCH($I1020,'CAT_TIPOS_OT'!$A$4:$A$7,0)),"sin_clasificar"))</f>
        <v/>
      </c>
      <c r="U1020" s="3">
        <f>IF($F1020="","",IFERROR(INDEX('CAT_CENTROS_COSTO'!$F$4:$F$13,MATCH($F1020,'CAT_CENTROS_COSTO'!$A$4:$A$13,0)),"(sin catálogo)"))</f>
        <v/>
      </c>
      <c r="V1020" s="3">
        <f>IF($F1020="","",IFERROR(INDEX('CAT_CENTROS_COSTO'!$D$4:$D$13,MATCH($F1020,'CAT_CENTROS_COSTO'!$A$4:$A$13,0)),"(sin catálogo)"))</f>
        <v/>
      </c>
      <c r="W1020" s="3">
        <f>IF($F1020="","",IF((IFERROR(INDEX('CAT_CENTROS_COSTO'!$E$4:$E$13,MATCH($F1020,'CAT_CENTROS_COSTO'!$A$4:$A$13,0)),""))&lt;&gt;"",IFERROR(INDEX('CAT_CENTROS_COSTO'!$E$4:$E$13,MATCH($F1020,'CAT_CENTROS_COSTO'!$A$4:$A$13,0)),""),$V1020))</f>
        <v/>
      </c>
      <c r="X1020" s="3">
        <f>IF($F1020="","",IFERROR(INDEX('CAT_CENTROS_COSTO'!$G$4:$G$13,MATCH($F1020,'CAT_CENTROS_COSTO'!$A$4:$A$13,0)),"(sin catálogo)"))</f>
        <v/>
      </c>
      <c r="Y1020" s="3">
        <f>IF($G1020="","",IFERROR(INDEX('CAT_PUESTOS'!$B$4:$B$8,MATCH($G1020,'CAT_PUESTOS'!$A$4:$A$8,0)),"(sin catálogo)"))</f>
        <v/>
      </c>
      <c r="Z1020" s="3">
        <f>IF($H1020="","",IFERROR(INDEX('CAT_ACTIVIDADES'!$B$4:$B$8,MATCH($H1020,'CAT_ACTIVIDADES'!$A$4:$A$8,0)),"(sin catálogo)"))</f>
        <v/>
      </c>
      <c r="AA1020" s="12">
        <f>IF($J1020="","",TODAY()-$J1020)</f>
        <v/>
      </c>
      <c r="AB1020" s="12">
        <f>IF($J1020="","",IF($J1020&lt;=TODAY(),COUNTIFS(cal_fechas,"&gt;="&amp;$J1020,cal_fechas,"&lt;"&amp;TODAY(),cal_habil,"sí"),-COUNTIFS(cal_fechas,"&gt;="&amp;TODAY(),cal_fechas,"&lt;"&amp;$J1020,cal_habil,"sí")))</f>
        <v/>
      </c>
      <c r="AC1020" s="3">
        <f>IF($AB1020="","",IF($AB1020&lt;0,"FUTURO",IF($AB1020&gt;p_dias_backlog_max,"BACKLOG","MES CORRIENTE")))</f>
        <v/>
      </c>
      <c r="AD1020" s="3">
        <f>IF($AB1020="",FALSE,AND($AB1020&gt;p_dias_backlog_min,$AB1020&lt;=p_dias_backlog_max))</f>
        <v/>
      </c>
      <c r="AE1020" s="6" t="n"/>
      <c r="AF1020" s="3">
        <f>IF($AE1020="","",IF((IFERROR(INDEX('ASIGNACIONES'!$F$4:$F$339,MATCH($O1020&amp;"|"&amp;$R1020&amp;"|"&amp;$AE1020,'ASIGNACIONES'!$J$4:$J$339,0)),""))=0,"",IFERROR(INDEX('ASIGNACIONES'!$F$4:$F$339,MATCH($O1020&amp;"|"&amp;$R1020&amp;"|"&amp;$AE1020,'ASIGNACIONES'!$J$4:$J$339,0)),"")))</f>
        <v/>
      </c>
      <c r="AG1020" s="13">
        <f>IF($AE1020="","",SUMIFS('ORDENES'!$M$4:$M$1203,'ORDENES'!$AE$4:$AE$1203,$AE1020,'ORDENES'!$O$4:$O$1203,$O1020,'ORDENES'!$R$4:$R$1203,$R1020))</f>
        <v/>
      </c>
      <c r="AH1020" s="13">
        <f>IF($AG1020="","",p_factor_productividad*IFERROR(INDEX('ASIGNACIONES'!$I$4:$I$339,MATCH($O1020&amp;"|"&amp;$R1020&amp;"|"&amp;$AE1020,'ASIGNACIONES'!$J$4:$J$339,0)),0)-$AG1020)</f>
        <v/>
      </c>
      <c r="AI1020" s="10">
        <f>IF($A1020="","",IFERROR(INDEX('2_IMPORTAR_EJECUCION'!$F$9:$F$1208,MATCH($AQ1020,'2_IMPORTAR_EJECUCION'!$J$9:$J$1208,0)),0))</f>
        <v/>
      </c>
      <c r="AJ1020" s="10">
        <f>IF($A1020="","",MAX(0,IFERROR(INDEX('2_IMPORTAR_EJECUCION'!$H$9:$H$1208,MATCH($AQ1020,'2_IMPORTAR_EJECUCION'!$J$9:$J$1208,0)),0)-$AI1020))</f>
        <v/>
      </c>
      <c r="AK1020" s="10">
        <f>IF($A1020="","",$AI1020+$AJ1020)</f>
        <v/>
      </c>
      <c r="AL1020" s="6" t="n"/>
      <c r="AM1020" s="6" t="n"/>
      <c r="AN1020" s="6" t="n"/>
      <c r="AO1020" s="3">
        <f>IF($AN1020="","",HYPERLINK(p_ruta_base_checklists&amp;$AN1020,"abrir"))</f>
        <v/>
      </c>
      <c r="AP1020" s="6" t="n"/>
      <c r="AQ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IF($A1021="","",IFERROR(INDEX('AJUSTES'!$B$4:$B$303,MATCH($AQ1021,'AJUSTES'!$A$4:$A$303,0)),IF($K1021="","",$K1021)))</f>
        <v/>
      </c>
      <c r="N1021" s="3">
        <f>IF($A1021="","",IFERROR(INDEX('CAT_ESTADOS_ERP'!$B$4:$B$7,MATCH(IFERROR(INDEX('2_IMPORTAR_EJECUCION'!$C$9:$C$1208,MATCH($AQ1021,'2_IMPORTAR_EJECUCION'!$J$9:$J$1208,0)),""),'CAT_ESTADOS_ERP'!$A$4:$A$7,0)),"Pendiente"))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J1021="","",IFERROR(INDEX('CALENDARIO'!$C$15:$C$214,MATCH(TEXT($J1021,"yyyy-mm-dd")&amp;"|"&amp;$V1021&amp;"|"&amp;$W1021,'CALENDARIO'!$G$15:$G$214,0)),IFERROR(INDEX('CALENDARIO'!$C$15:$C$214,MATCH(TEXT($J1021,"yyyy-mm-dd")&amp;"|"&amp;$V1021&amp;"|",'CALENDARIO'!$G$15:$G$214,0)),IFERROR(INDEX('CALENDARIO'!$C$15:$C$214,MATCH(TEXT($J1021,"yyyy-mm-dd")&amp;"||",'CALENDARIO'!$G$15:$G$214,0)),INDEX(patronHabil,WEEKDAY($J1021,2))))))</f>
        <v/>
      </c>
      <c r="T1021" s="3">
        <f>IF($I1021="","",IFERROR(INDEX('CAT_TIPOS_OT'!$C$4:$C$7,MATCH($I1021,'CAT_TIPOS_OT'!$A$4:$A$7,0)),"sin_clasificar"))</f>
        <v/>
      </c>
      <c r="U1021" s="3">
        <f>IF($F1021="","",IFERROR(INDEX('CAT_CENTROS_COSTO'!$F$4:$F$13,MATCH($F1021,'CAT_CENTROS_COSTO'!$A$4:$A$13,0)),"(sin catálogo)"))</f>
        <v/>
      </c>
      <c r="V1021" s="3">
        <f>IF($F1021="","",IFERROR(INDEX('CAT_CENTROS_COSTO'!$D$4:$D$13,MATCH($F1021,'CAT_CENTROS_COSTO'!$A$4:$A$13,0)),"(sin catálogo)"))</f>
        <v/>
      </c>
      <c r="W1021" s="3">
        <f>IF($F1021="","",IF((IFERROR(INDEX('CAT_CENTROS_COSTO'!$E$4:$E$13,MATCH($F1021,'CAT_CENTROS_COSTO'!$A$4:$A$13,0)),""))&lt;&gt;"",IFERROR(INDEX('CAT_CENTROS_COSTO'!$E$4:$E$13,MATCH($F1021,'CAT_CENTROS_COSTO'!$A$4:$A$13,0)),""),$V1021))</f>
        <v/>
      </c>
      <c r="X1021" s="3">
        <f>IF($F1021="","",IFERROR(INDEX('CAT_CENTROS_COSTO'!$G$4:$G$13,MATCH($F1021,'CAT_CENTROS_COSTO'!$A$4:$A$13,0)),"(sin catálogo)"))</f>
        <v/>
      </c>
      <c r="Y1021" s="3">
        <f>IF($G1021="","",IFERROR(INDEX('CAT_PUESTOS'!$B$4:$B$8,MATCH($G1021,'CAT_PUESTOS'!$A$4:$A$8,0)),"(sin catálogo)"))</f>
        <v/>
      </c>
      <c r="Z1021" s="3">
        <f>IF($H1021="","",IFERROR(INDEX('CAT_ACTIVIDADES'!$B$4:$B$8,MATCH($H1021,'CAT_ACTIVIDADES'!$A$4:$A$8,0)),"(sin catálogo)"))</f>
        <v/>
      </c>
      <c r="AA1021" s="12">
        <f>IF($J1021="","",TODAY()-$J1021)</f>
        <v/>
      </c>
      <c r="AB1021" s="12">
        <f>IF($J1021="","",IF($J1021&lt;=TODAY(),COUNTIFS(cal_fechas,"&gt;="&amp;$J1021,cal_fechas,"&lt;"&amp;TODAY(),cal_habil,"sí"),-COUNTIFS(cal_fechas,"&gt;="&amp;TODAY(),cal_fechas,"&lt;"&amp;$J1021,cal_habil,"sí")))</f>
        <v/>
      </c>
      <c r="AC1021" s="3">
        <f>IF($AB1021="","",IF($AB1021&lt;0,"FUTURO",IF($AB1021&gt;p_dias_backlog_max,"BACKLOG","MES CORRIENTE")))</f>
        <v/>
      </c>
      <c r="AD1021" s="3">
        <f>IF($AB1021="",FALSE,AND($AB1021&gt;p_dias_backlog_min,$AB1021&lt;=p_dias_backlog_max))</f>
        <v/>
      </c>
      <c r="AE1021" s="6" t="n"/>
      <c r="AF1021" s="3">
        <f>IF($AE1021="","",IF((IFERROR(INDEX('ASIGNACIONES'!$F$4:$F$339,MATCH($O1021&amp;"|"&amp;$R1021&amp;"|"&amp;$AE1021,'ASIGNACIONES'!$J$4:$J$339,0)),""))=0,"",IFERROR(INDEX('ASIGNACIONES'!$F$4:$F$339,MATCH($O1021&amp;"|"&amp;$R1021&amp;"|"&amp;$AE1021,'ASIGNACIONES'!$J$4:$J$339,0)),"")))</f>
        <v/>
      </c>
      <c r="AG1021" s="13">
        <f>IF($AE1021="","",SUMIFS('ORDENES'!$M$4:$M$1203,'ORDENES'!$AE$4:$AE$1203,$AE1021,'ORDENES'!$O$4:$O$1203,$O1021,'ORDENES'!$R$4:$R$1203,$R1021))</f>
        <v/>
      </c>
      <c r="AH1021" s="13">
        <f>IF($AG1021="","",p_factor_productividad*IFERROR(INDEX('ASIGNACIONES'!$I$4:$I$339,MATCH($O1021&amp;"|"&amp;$R1021&amp;"|"&amp;$AE1021,'ASIGNACIONES'!$J$4:$J$339,0)),0)-$AG1021)</f>
        <v/>
      </c>
      <c r="AI1021" s="10">
        <f>IF($A1021="","",IFERROR(INDEX('2_IMPORTAR_EJECUCION'!$F$9:$F$1208,MATCH($AQ1021,'2_IMPORTAR_EJECUCION'!$J$9:$J$1208,0)),0))</f>
        <v/>
      </c>
      <c r="AJ1021" s="10">
        <f>IF($A1021="","",MAX(0,IFERROR(INDEX('2_IMPORTAR_EJECUCION'!$H$9:$H$1208,MATCH($AQ1021,'2_IMPORTAR_EJECUCION'!$J$9:$J$1208,0)),0)-$AI1021))</f>
        <v/>
      </c>
      <c r="AK1021" s="10">
        <f>IF($A1021="","",$AI1021+$AJ1021)</f>
        <v/>
      </c>
      <c r="AL1021" s="6" t="n"/>
      <c r="AM1021" s="6" t="n"/>
      <c r="AN1021" s="6" t="n"/>
      <c r="AO1021" s="3">
        <f>IF($AN1021="","",HYPERLINK(p_ruta_base_checklists&amp;$AN1021,"abrir"))</f>
        <v/>
      </c>
      <c r="AP1021" s="6" t="n"/>
      <c r="AQ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IF($A1022="","",IFERROR(INDEX('AJUSTES'!$B$4:$B$303,MATCH($AQ1022,'AJUSTES'!$A$4:$A$303,0)),IF($K1022="","",$K1022)))</f>
        <v/>
      </c>
      <c r="N1022" s="3">
        <f>IF($A1022="","",IFERROR(INDEX('CAT_ESTADOS_ERP'!$B$4:$B$7,MATCH(IFERROR(INDEX('2_IMPORTAR_EJECUCION'!$C$9:$C$1208,MATCH($AQ1022,'2_IMPORTAR_EJECUCION'!$J$9:$J$1208,0)),""),'CAT_ESTADOS_ERP'!$A$4:$A$7,0)),"Pendiente"))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J1022="","",IFERROR(INDEX('CALENDARIO'!$C$15:$C$214,MATCH(TEXT($J1022,"yyyy-mm-dd")&amp;"|"&amp;$V1022&amp;"|"&amp;$W1022,'CALENDARIO'!$G$15:$G$214,0)),IFERROR(INDEX('CALENDARIO'!$C$15:$C$214,MATCH(TEXT($J1022,"yyyy-mm-dd")&amp;"|"&amp;$V1022&amp;"|",'CALENDARIO'!$G$15:$G$214,0)),IFERROR(INDEX('CALENDARIO'!$C$15:$C$214,MATCH(TEXT($J1022,"yyyy-mm-dd")&amp;"||",'CALENDARIO'!$G$15:$G$214,0)),INDEX(patronHabil,WEEKDAY($J1022,2))))))</f>
        <v/>
      </c>
      <c r="T1022" s="3">
        <f>IF($I1022="","",IFERROR(INDEX('CAT_TIPOS_OT'!$C$4:$C$7,MATCH($I1022,'CAT_TIPOS_OT'!$A$4:$A$7,0)),"sin_clasificar"))</f>
        <v/>
      </c>
      <c r="U1022" s="3">
        <f>IF($F1022="","",IFERROR(INDEX('CAT_CENTROS_COSTO'!$F$4:$F$13,MATCH($F1022,'CAT_CENTROS_COSTO'!$A$4:$A$13,0)),"(sin catálogo)"))</f>
        <v/>
      </c>
      <c r="V1022" s="3">
        <f>IF($F1022="","",IFERROR(INDEX('CAT_CENTROS_COSTO'!$D$4:$D$13,MATCH($F1022,'CAT_CENTROS_COSTO'!$A$4:$A$13,0)),"(sin catálogo)"))</f>
        <v/>
      </c>
      <c r="W1022" s="3">
        <f>IF($F1022="","",IF((IFERROR(INDEX('CAT_CENTROS_COSTO'!$E$4:$E$13,MATCH($F1022,'CAT_CENTROS_COSTO'!$A$4:$A$13,0)),""))&lt;&gt;"",IFERROR(INDEX('CAT_CENTROS_COSTO'!$E$4:$E$13,MATCH($F1022,'CAT_CENTROS_COSTO'!$A$4:$A$13,0)),""),$V1022))</f>
        <v/>
      </c>
      <c r="X1022" s="3">
        <f>IF($F1022="","",IFERROR(INDEX('CAT_CENTROS_COSTO'!$G$4:$G$13,MATCH($F1022,'CAT_CENTROS_COSTO'!$A$4:$A$13,0)),"(sin catálogo)"))</f>
        <v/>
      </c>
      <c r="Y1022" s="3">
        <f>IF($G1022="","",IFERROR(INDEX('CAT_PUESTOS'!$B$4:$B$8,MATCH($G1022,'CAT_PUESTOS'!$A$4:$A$8,0)),"(sin catálogo)"))</f>
        <v/>
      </c>
      <c r="Z1022" s="3">
        <f>IF($H1022="","",IFERROR(INDEX('CAT_ACTIVIDADES'!$B$4:$B$8,MATCH($H1022,'CAT_ACTIVIDADES'!$A$4:$A$8,0)),"(sin catálogo)"))</f>
        <v/>
      </c>
      <c r="AA1022" s="12">
        <f>IF($J1022="","",TODAY()-$J1022)</f>
        <v/>
      </c>
      <c r="AB1022" s="12">
        <f>IF($J1022="","",IF($J1022&lt;=TODAY(),COUNTIFS(cal_fechas,"&gt;="&amp;$J1022,cal_fechas,"&lt;"&amp;TODAY(),cal_habil,"sí"),-COUNTIFS(cal_fechas,"&gt;="&amp;TODAY(),cal_fechas,"&lt;"&amp;$J1022,cal_habil,"sí")))</f>
        <v/>
      </c>
      <c r="AC1022" s="3">
        <f>IF($AB1022="","",IF($AB1022&lt;0,"FUTURO",IF($AB1022&gt;p_dias_backlog_max,"BACKLOG","MES CORRIENTE")))</f>
        <v/>
      </c>
      <c r="AD1022" s="3">
        <f>IF($AB1022="",FALSE,AND($AB1022&gt;p_dias_backlog_min,$AB1022&lt;=p_dias_backlog_max))</f>
        <v/>
      </c>
      <c r="AE1022" s="6" t="n"/>
      <c r="AF1022" s="3">
        <f>IF($AE1022="","",IF((IFERROR(INDEX('ASIGNACIONES'!$F$4:$F$339,MATCH($O1022&amp;"|"&amp;$R1022&amp;"|"&amp;$AE1022,'ASIGNACIONES'!$J$4:$J$339,0)),""))=0,"",IFERROR(INDEX('ASIGNACIONES'!$F$4:$F$339,MATCH($O1022&amp;"|"&amp;$R1022&amp;"|"&amp;$AE1022,'ASIGNACIONES'!$J$4:$J$339,0)),"")))</f>
        <v/>
      </c>
      <c r="AG1022" s="13">
        <f>IF($AE1022="","",SUMIFS('ORDENES'!$M$4:$M$1203,'ORDENES'!$AE$4:$AE$1203,$AE1022,'ORDENES'!$O$4:$O$1203,$O1022,'ORDENES'!$R$4:$R$1203,$R1022))</f>
        <v/>
      </c>
      <c r="AH1022" s="13">
        <f>IF($AG1022="","",p_factor_productividad*IFERROR(INDEX('ASIGNACIONES'!$I$4:$I$339,MATCH($O1022&amp;"|"&amp;$R1022&amp;"|"&amp;$AE1022,'ASIGNACIONES'!$J$4:$J$339,0)),0)-$AG1022)</f>
        <v/>
      </c>
      <c r="AI1022" s="10">
        <f>IF($A1022="","",IFERROR(INDEX('2_IMPORTAR_EJECUCION'!$F$9:$F$1208,MATCH($AQ1022,'2_IMPORTAR_EJECUCION'!$J$9:$J$1208,0)),0))</f>
        <v/>
      </c>
      <c r="AJ1022" s="10">
        <f>IF($A1022="","",MAX(0,IFERROR(INDEX('2_IMPORTAR_EJECUCION'!$H$9:$H$1208,MATCH($AQ1022,'2_IMPORTAR_EJECUCION'!$J$9:$J$1208,0)),0)-$AI1022))</f>
        <v/>
      </c>
      <c r="AK1022" s="10">
        <f>IF($A1022="","",$AI1022+$AJ1022)</f>
        <v/>
      </c>
      <c r="AL1022" s="6" t="n"/>
      <c r="AM1022" s="6" t="n"/>
      <c r="AN1022" s="6" t="n"/>
      <c r="AO1022" s="3">
        <f>IF($AN1022="","",HYPERLINK(p_ruta_base_checklists&amp;$AN1022,"abrir"))</f>
        <v/>
      </c>
      <c r="AP1022" s="6" t="n"/>
      <c r="AQ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IF($A1023="","",IFERROR(INDEX('AJUSTES'!$B$4:$B$303,MATCH($AQ1023,'AJUSTES'!$A$4:$A$303,0)),IF($K1023="","",$K1023)))</f>
        <v/>
      </c>
      <c r="N1023" s="3">
        <f>IF($A1023="","",IFERROR(INDEX('CAT_ESTADOS_ERP'!$B$4:$B$7,MATCH(IFERROR(INDEX('2_IMPORTAR_EJECUCION'!$C$9:$C$1208,MATCH($AQ1023,'2_IMPORTAR_EJECUCION'!$J$9:$J$1208,0)),""),'CAT_ESTADOS_ERP'!$A$4:$A$7,0)),"Pendiente"))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J1023="","",IFERROR(INDEX('CALENDARIO'!$C$15:$C$214,MATCH(TEXT($J1023,"yyyy-mm-dd")&amp;"|"&amp;$V1023&amp;"|"&amp;$W1023,'CALENDARIO'!$G$15:$G$214,0)),IFERROR(INDEX('CALENDARIO'!$C$15:$C$214,MATCH(TEXT($J1023,"yyyy-mm-dd")&amp;"|"&amp;$V1023&amp;"|",'CALENDARIO'!$G$15:$G$214,0)),IFERROR(INDEX('CALENDARIO'!$C$15:$C$214,MATCH(TEXT($J1023,"yyyy-mm-dd")&amp;"||",'CALENDARIO'!$G$15:$G$214,0)),INDEX(patronHabil,WEEKDAY($J1023,2))))))</f>
        <v/>
      </c>
      <c r="T1023" s="3">
        <f>IF($I1023="","",IFERROR(INDEX('CAT_TIPOS_OT'!$C$4:$C$7,MATCH($I1023,'CAT_TIPOS_OT'!$A$4:$A$7,0)),"sin_clasificar"))</f>
        <v/>
      </c>
      <c r="U1023" s="3">
        <f>IF($F1023="","",IFERROR(INDEX('CAT_CENTROS_COSTO'!$F$4:$F$13,MATCH($F1023,'CAT_CENTROS_COSTO'!$A$4:$A$13,0)),"(sin catálogo)"))</f>
        <v/>
      </c>
      <c r="V1023" s="3">
        <f>IF($F1023="","",IFERROR(INDEX('CAT_CENTROS_COSTO'!$D$4:$D$13,MATCH($F1023,'CAT_CENTROS_COSTO'!$A$4:$A$13,0)),"(sin catálogo)"))</f>
        <v/>
      </c>
      <c r="W1023" s="3">
        <f>IF($F1023="","",IF((IFERROR(INDEX('CAT_CENTROS_COSTO'!$E$4:$E$13,MATCH($F1023,'CAT_CENTROS_COSTO'!$A$4:$A$13,0)),""))&lt;&gt;"",IFERROR(INDEX('CAT_CENTROS_COSTO'!$E$4:$E$13,MATCH($F1023,'CAT_CENTROS_COSTO'!$A$4:$A$13,0)),""),$V1023))</f>
        <v/>
      </c>
      <c r="X1023" s="3">
        <f>IF($F1023="","",IFERROR(INDEX('CAT_CENTROS_COSTO'!$G$4:$G$13,MATCH($F1023,'CAT_CENTROS_COSTO'!$A$4:$A$13,0)),"(sin catálogo)"))</f>
        <v/>
      </c>
      <c r="Y1023" s="3">
        <f>IF($G1023="","",IFERROR(INDEX('CAT_PUESTOS'!$B$4:$B$8,MATCH($G1023,'CAT_PUESTOS'!$A$4:$A$8,0)),"(sin catálogo)"))</f>
        <v/>
      </c>
      <c r="Z1023" s="3">
        <f>IF($H1023="","",IFERROR(INDEX('CAT_ACTIVIDADES'!$B$4:$B$8,MATCH($H1023,'CAT_ACTIVIDADES'!$A$4:$A$8,0)),"(sin catálogo)"))</f>
        <v/>
      </c>
      <c r="AA1023" s="12">
        <f>IF($J1023="","",TODAY()-$J1023)</f>
        <v/>
      </c>
      <c r="AB1023" s="12">
        <f>IF($J1023="","",IF($J1023&lt;=TODAY(),COUNTIFS(cal_fechas,"&gt;="&amp;$J1023,cal_fechas,"&lt;"&amp;TODAY(),cal_habil,"sí"),-COUNTIFS(cal_fechas,"&gt;="&amp;TODAY(),cal_fechas,"&lt;"&amp;$J1023,cal_habil,"sí")))</f>
        <v/>
      </c>
      <c r="AC1023" s="3">
        <f>IF($AB1023="","",IF($AB1023&lt;0,"FUTURO",IF($AB1023&gt;p_dias_backlog_max,"BACKLOG","MES CORRIENTE")))</f>
        <v/>
      </c>
      <c r="AD1023" s="3">
        <f>IF($AB1023="",FALSE,AND($AB1023&gt;p_dias_backlog_min,$AB1023&lt;=p_dias_backlog_max))</f>
        <v/>
      </c>
      <c r="AE1023" s="6" t="n"/>
      <c r="AF1023" s="3">
        <f>IF($AE1023="","",IF((IFERROR(INDEX('ASIGNACIONES'!$F$4:$F$339,MATCH($O1023&amp;"|"&amp;$R1023&amp;"|"&amp;$AE1023,'ASIGNACIONES'!$J$4:$J$339,0)),""))=0,"",IFERROR(INDEX('ASIGNACIONES'!$F$4:$F$339,MATCH($O1023&amp;"|"&amp;$R1023&amp;"|"&amp;$AE1023,'ASIGNACIONES'!$J$4:$J$339,0)),"")))</f>
        <v/>
      </c>
      <c r="AG1023" s="13">
        <f>IF($AE1023="","",SUMIFS('ORDENES'!$M$4:$M$1203,'ORDENES'!$AE$4:$AE$1203,$AE1023,'ORDENES'!$O$4:$O$1203,$O1023,'ORDENES'!$R$4:$R$1203,$R1023))</f>
        <v/>
      </c>
      <c r="AH1023" s="13">
        <f>IF($AG1023="","",p_factor_productividad*IFERROR(INDEX('ASIGNACIONES'!$I$4:$I$339,MATCH($O1023&amp;"|"&amp;$R1023&amp;"|"&amp;$AE1023,'ASIGNACIONES'!$J$4:$J$339,0)),0)-$AG1023)</f>
        <v/>
      </c>
      <c r="AI1023" s="10">
        <f>IF($A1023="","",IFERROR(INDEX('2_IMPORTAR_EJECUCION'!$F$9:$F$1208,MATCH($AQ1023,'2_IMPORTAR_EJECUCION'!$J$9:$J$1208,0)),0))</f>
        <v/>
      </c>
      <c r="AJ1023" s="10">
        <f>IF($A1023="","",MAX(0,IFERROR(INDEX('2_IMPORTAR_EJECUCION'!$H$9:$H$1208,MATCH($AQ1023,'2_IMPORTAR_EJECUCION'!$J$9:$J$1208,0)),0)-$AI1023))</f>
        <v/>
      </c>
      <c r="AK1023" s="10">
        <f>IF($A1023="","",$AI1023+$AJ1023)</f>
        <v/>
      </c>
      <c r="AL1023" s="6" t="n"/>
      <c r="AM1023" s="6" t="n"/>
      <c r="AN1023" s="6" t="n"/>
      <c r="AO1023" s="3">
        <f>IF($AN1023="","",HYPERLINK(p_ruta_base_checklists&amp;$AN1023,"abrir"))</f>
        <v/>
      </c>
      <c r="AP1023" s="6" t="n"/>
      <c r="AQ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IF($A1024="","",IFERROR(INDEX('AJUSTES'!$B$4:$B$303,MATCH($AQ1024,'AJUSTES'!$A$4:$A$303,0)),IF($K1024="","",$K1024)))</f>
        <v/>
      </c>
      <c r="N1024" s="3">
        <f>IF($A1024="","",IFERROR(INDEX('CAT_ESTADOS_ERP'!$B$4:$B$7,MATCH(IFERROR(INDEX('2_IMPORTAR_EJECUCION'!$C$9:$C$1208,MATCH($AQ1024,'2_IMPORTAR_EJECUCION'!$J$9:$J$1208,0)),""),'CAT_ESTADOS_ERP'!$A$4:$A$7,0)),"Pendiente"))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J1024="","",IFERROR(INDEX('CALENDARIO'!$C$15:$C$214,MATCH(TEXT($J1024,"yyyy-mm-dd")&amp;"|"&amp;$V1024&amp;"|"&amp;$W1024,'CALENDARIO'!$G$15:$G$214,0)),IFERROR(INDEX('CALENDARIO'!$C$15:$C$214,MATCH(TEXT($J1024,"yyyy-mm-dd")&amp;"|"&amp;$V1024&amp;"|",'CALENDARIO'!$G$15:$G$214,0)),IFERROR(INDEX('CALENDARIO'!$C$15:$C$214,MATCH(TEXT($J1024,"yyyy-mm-dd")&amp;"||",'CALENDARIO'!$G$15:$G$214,0)),INDEX(patronHabil,WEEKDAY($J1024,2))))))</f>
        <v/>
      </c>
      <c r="T1024" s="3">
        <f>IF($I1024="","",IFERROR(INDEX('CAT_TIPOS_OT'!$C$4:$C$7,MATCH($I1024,'CAT_TIPOS_OT'!$A$4:$A$7,0)),"sin_clasificar"))</f>
        <v/>
      </c>
      <c r="U1024" s="3">
        <f>IF($F1024="","",IFERROR(INDEX('CAT_CENTROS_COSTO'!$F$4:$F$13,MATCH($F1024,'CAT_CENTROS_COSTO'!$A$4:$A$13,0)),"(sin catálogo)"))</f>
        <v/>
      </c>
      <c r="V1024" s="3">
        <f>IF($F1024="","",IFERROR(INDEX('CAT_CENTROS_COSTO'!$D$4:$D$13,MATCH($F1024,'CAT_CENTROS_COSTO'!$A$4:$A$13,0)),"(sin catálogo)"))</f>
        <v/>
      </c>
      <c r="W1024" s="3">
        <f>IF($F1024="","",IF((IFERROR(INDEX('CAT_CENTROS_COSTO'!$E$4:$E$13,MATCH($F1024,'CAT_CENTROS_COSTO'!$A$4:$A$13,0)),""))&lt;&gt;"",IFERROR(INDEX('CAT_CENTROS_COSTO'!$E$4:$E$13,MATCH($F1024,'CAT_CENTROS_COSTO'!$A$4:$A$13,0)),""),$V1024))</f>
        <v/>
      </c>
      <c r="X1024" s="3">
        <f>IF($F1024="","",IFERROR(INDEX('CAT_CENTROS_COSTO'!$G$4:$G$13,MATCH($F1024,'CAT_CENTROS_COSTO'!$A$4:$A$13,0)),"(sin catálogo)"))</f>
        <v/>
      </c>
      <c r="Y1024" s="3">
        <f>IF($G1024="","",IFERROR(INDEX('CAT_PUESTOS'!$B$4:$B$8,MATCH($G1024,'CAT_PUESTOS'!$A$4:$A$8,0)),"(sin catálogo)"))</f>
        <v/>
      </c>
      <c r="Z1024" s="3">
        <f>IF($H1024="","",IFERROR(INDEX('CAT_ACTIVIDADES'!$B$4:$B$8,MATCH($H1024,'CAT_ACTIVIDADES'!$A$4:$A$8,0)),"(sin catálogo)"))</f>
        <v/>
      </c>
      <c r="AA1024" s="12">
        <f>IF($J1024="","",TODAY()-$J1024)</f>
        <v/>
      </c>
      <c r="AB1024" s="12">
        <f>IF($J1024="","",IF($J1024&lt;=TODAY(),COUNTIFS(cal_fechas,"&gt;="&amp;$J1024,cal_fechas,"&lt;"&amp;TODAY(),cal_habil,"sí"),-COUNTIFS(cal_fechas,"&gt;="&amp;TODAY(),cal_fechas,"&lt;"&amp;$J1024,cal_habil,"sí")))</f>
        <v/>
      </c>
      <c r="AC1024" s="3">
        <f>IF($AB1024="","",IF($AB1024&lt;0,"FUTURO",IF($AB1024&gt;p_dias_backlog_max,"BACKLOG","MES CORRIENTE")))</f>
        <v/>
      </c>
      <c r="AD1024" s="3">
        <f>IF($AB1024="",FALSE,AND($AB1024&gt;p_dias_backlog_min,$AB1024&lt;=p_dias_backlog_max))</f>
        <v/>
      </c>
      <c r="AE1024" s="6" t="n"/>
      <c r="AF1024" s="3">
        <f>IF($AE1024="","",IF((IFERROR(INDEX('ASIGNACIONES'!$F$4:$F$339,MATCH($O1024&amp;"|"&amp;$R1024&amp;"|"&amp;$AE1024,'ASIGNACIONES'!$J$4:$J$339,0)),""))=0,"",IFERROR(INDEX('ASIGNACIONES'!$F$4:$F$339,MATCH($O1024&amp;"|"&amp;$R1024&amp;"|"&amp;$AE1024,'ASIGNACIONES'!$J$4:$J$339,0)),"")))</f>
        <v/>
      </c>
      <c r="AG1024" s="13">
        <f>IF($AE1024="","",SUMIFS('ORDENES'!$M$4:$M$1203,'ORDENES'!$AE$4:$AE$1203,$AE1024,'ORDENES'!$O$4:$O$1203,$O1024,'ORDENES'!$R$4:$R$1203,$R1024))</f>
        <v/>
      </c>
      <c r="AH1024" s="13">
        <f>IF($AG1024="","",p_factor_productividad*IFERROR(INDEX('ASIGNACIONES'!$I$4:$I$339,MATCH($O1024&amp;"|"&amp;$R1024&amp;"|"&amp;$AE1024,'ASIGNACIONES'!$J$4:$J$339,0)),0)-$AG1024)</f>
        <v/>
      </c>
      <c r="AI1024" s="10">
        <f>IF($A1024="","",IFERROR(INDEX('2_IMPORTAR_EJECUCION'!$F$9:$F$1208,MATCH($AQ1024,'2_IMPORTAR_EJECUCION'!$J$9:$J$1208,0)),0))</f>
        <v/>
      </c>
      <c r="AJ1024" s="10">
        <f>IF($A1024="","",MAX(0,IFERROR(INDEX('2_IMPORTAR_EJECUCION'!$H$9:$H$1208,MATCH($AQ1024,'2_IMPORTAR_EJECUCION'!$J$9:$J$1208,0)),0)-$AI1024))</f>
        <v/>
      </c>
      <c r="AK1024" s="10">
        <f>IF($A1024="","",$AI1024+$AJ1024)</f>
        <v/>
      </c>
      <c r="AL1024" s="6" t="n"/>
      <c r="AM1024" s="6" t="n"/>
      <c r="AN1024" s="6" t="n"/>
      <c r="AO1024" s="3">
        <f>IF($AN1024="","",HYPERLINK(p_ruta_base_checklists&amp;$AN1024,"abrir"))</f>
        <v/>
      </c>
      <c r="AP1024" s="6" t="n"/>
      <c r="AQ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IF($A1025="","",IFERROR(INDEX('AJUSTES'!$B$4:$B$303,MATCH($AQ1025,'AJUSTES'!$A$4:$A$303,0)),IF($K1025="","",$K1025)))</f>
        <v/>
      </c>
      <c r="N1025" s="3">
        <f>IF($A1025="","",IFERROR(INDEX('CAT_ESTADOS_ERP'!$B$4:$B$7,MATCH(IFERROR(INDEX('2_IMPORTAR_EJECUCION'!$C$9:$C$1208,MATCH($AQ1025,'2_IMPORTAR_EJECUCION'!$J$9:$J$1208,0)),""),'CAT_ESTADOS_ERP'!$A$4:$A$7,0)),"Pendiente"))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J1025="","",IFERROR(INDEX('CALENDARIO'!$C$15:$C$214,MATCH(TEXT($J1025,"yyyy-mm-dd")&amp;"|"&amp;$V1025&amp;"|"&amp;$W1025,'CALENDARIO'!$G$15:$G$214,0)),IFERROR(INDEX('CALENDARIO'!$C$15:$C$214,MATCH(TEXT($J1025,"yyyy-mm-dd")&amp;"|"&amp;$V1025&amp;"|",'CALENDARIO'!$G$15:$G$214,0)),IFERROR(INDEX('CALENDARIO'!$C$15:$C$214,MATCH(TEXT($J1025,"yyyy-mm-dd")&amp;"||",'CALENDARIO'!$G$15:$G$214,0)),INDEX(patronHabil,WEEKDAY($J1025,2))))))</f>
        <v/>
      </c>
      <c r="T1025" s="3">
        <f>IF($I1025="","",IFERROR(INDEX('CAT_TIPOS_OT'!$C$4:$C$7,MATCH($I1025,'CAT_TIPOS_OT'!$A$4:$A$7,0)),"sin_clasificar"))</f>
        <v/>
      </c>
      <c r="U1025" s="3">
        <f>IF($F1025="","",IFERROR(INDEX('CAT_CENTROS_COSTO'!$F$4:$F$13,MATCH($F1025,'CAT_CENTROS_COSTO'!$A$4:$A$13,0)),"(sin catálogo)"))</f>
        <v/>
      </c>
      <c r="V1025" s="3">
        <f>IF($F1025="","",IFERROR(INDEX('CAT_CENTROS_COSTO'!$D$4:$D$13,MATCH($F1025,'CAT_CENTROS_COSTO'!$A$4:$A$13,0)),"(sin catálogo)"))</f>
        <v/>
      </c>
      <c r="W1025" s="3">
        <f>IF($F1025="","",IF((IFERROR(INDEX('CAT_CENTROS_COSTO'!$E$4:$E$13,MATCH($F1025,'CAT_CENTROS_COSTO'!$A$4:$A$13,0)),""))&lt;&gt;"",IFERROR(INDEX('CAT_CENTROS_COSTO'!$E$4:$E$13,MATCH($F1025,'CAT_CENTROS_COSTO'!$A$4:$A$13,0)),""),$V1025))</f>
        <v/>
      </c>
      <c r="X1025" s="3">
        <f>IF($F1025="","",IFERROR(INDEX('CAT_CENTROS_COSTO'!$G$4:$G$13,MATCH($F1025,'CAT_CENTROS_COSTO'!$A$4:$A$13,0)),"(sin catálogo)"))</f>
        <v/>
      </c>
      <c r="Y1025" s="3">
        <f>IF($G1025="","",IFERROR(INDEX('CAT_PUESTOS'!$B$4:$B$8,MATCH($G1025,'CAT_PUESTOS'!$A$4:$A$8,0)),"(sin catálogo)"))</f>
        <v/>
      </c>
      <c r="Z1025" s="3">
        <f>IF($H1025="","",IFERROR(INDEX('CAT_ACTIVIDADES'!$B$4:$B$8,MATCH($H1025,'CAT_ACTIVIDADES'!$A$4:$A$8,0)),"(sin catálogo)"))</f>
        <v/>
      </c>
      <c r="AA1025" s="12">
        <f>IF($J1025="","",TODAY()-$J1025)</f>
        <v/>
      </c>
      <c r="AB1025" s="12">
        <f>IF($J1025="","",IF($J1025&lt;=TODAY(),COUNTIFS(cal_fechas,"&gt;="&amp;$J1025,cal_fechas,"&lt;"&amp;TODAY(),cal_habil,"sí"),-COUNTIFS(cal_fechas,"&gt;="&amp;TODAY(),cal_fechas,"&lt;"&amp;$J1025,cal_habil,"sí")))</f>
        <v/>
      </c>
      <c r="AC1025" s="3">
        <f>IF($AB1025="","",IF($AB1025&lt;0,"FUTURO",IF($AB1025&gt;p_dias_backlog_max,"BACKLOG","MES CORRIENTE")))</f>
        <v/>
      </c>
      <c r="AD1025" s="3">
        <f>IF($AB1025="",FALSE,AND($AB1025&gt;p_dias_backlog_min,$AB1025&lt;=p_dias_backlog_max))</f>
        <v/>
      </c>
      <c r="AE1025" s="6" t="n"/>
      <c r="AF1025" s="3">
        <f>IF($AE1025="","",IF((IFERROR(INDEX('ASIGNACIONES'!$F$4:$F$339,MATCH($O1025&amp;"|"&amp;$R1025&amp;"|"&amp;$AE1025,'ASIGNACIONES'!$J$4:$J$339,0)),""))=0,"",IFERROR(INDEX('ASIGNACIONES'!$F$4:$F$339,MATCH($O1025&amp;"|"&amp;$R1025&amp;"|"&amp;$AE1025,'ASIGNACIONES'!$J$4:$J$339,0)),"")))</f>
        <v/>
      </c>
      <c r="AG1025" s="13">
        <f>IF($AE1025="","",SUMIFS('ORDENES'!$M$4:$M$1203,'ORDENES'!$AE$4:$AE$1203,$AE1025,'ORDENES'!$O$4:$O$1203,$O1025,'ORDENES'!$R$4:$R$1203,$R1025))</f>
        <v/>
      </c>
      <c r="AH1025" s="13">
        <f>IF($AG1025="","",p_factor_productividad*IFERROR(INDEX('ASIGNACIONES'!$I$4:$I$339,MATCH($O1025&amp;"|"&amp;$R1025&amp;"|"&amp;$AE1025,'ASIGNACIONES'!$J$4:$J$339,0)),0)-$AG1025)</f>
        <v/>
      </c>
      <c r="AI1025" s="10">
        <f>IF($A1025="","",IFERROR(INDEX('2_IMPORTAR_EJECUCION'!$F$9:$F$1208,MATCH($AQ1025,'2_IMPORTAR_EJECUCION'!$J$9:$J$1208,0)),0))</f>
        <v/>
      </c>
      <c r="AJ1025" s="10">
        <f>IF($A1025="","",MAX(0,IFERROR(INDEX('2_IMPORTAR_EJECUCION'!$H$9:$H$1208,MATCH($AQ1025,'2_IMPORTAR_EJECUCION'!$J$9:$J$1208,0)),0)-$AI1025))</f>
        <v/>
      </c>
      <c r="AK1025" s="10">
        <f>IF($A1025="","",$AI1025+$AJ1025)</f>
        <v/>
      </c>
      <c r="AL1025" s="6" t="n"/>
      <c r="AM1025" s="6" t="n"/>
      <c r="AN1025" s="6" t="n"/>
      <c r="AO1025" s="3">
        <f>IF($AN1025="","",HYPERLINK(p_ruta_base_checklists&amp;$AN1025,"abrir"))</f>
        <v/>
      </c>
      <c r="AP1025" s="6" t="n"/>
      <c r="AQ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IF($A1026="","",IFERROR(INDEX('AJUSTES'!$B$4:$B$303,MATCH($AQ1026,'AJUSTES'!$A$4:$A$303,0)),IF($K1026="","",$K1026)))</f>
        <v/>
      </c>
      <c r="N1026" s="3">
        <f>IF($A1026="","",IFERROR(INDEX('CAT_ESTADOS_ERP'!$B$4:$B$7,MATCH(IFERROR(INDEX('2_IMPORTAR_EJECUCION'!$C$9:$C$1208,MATCH($AQ1026,'2_IMPORTAR_EJECUCION'!$J$9:$J$1208,0)),""),'CAT_ESTADOS_ERP'!$A$4:$A$7,0)),"Pendiente"))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J1026="","",IFERROR(INDEX('CALENDARIO'!$C$15:$C$214,MATCH(TEXT($J1026,"yyyy-mm-dd")&amp;"|"&amp;$V1026&amp;"|"&amp;$W1026,'CALENDARIO'!$G$15:$G$214,0)),IFERROR(INDEX('CALENDARIO'!$C$15:$C$214,MATCH(TEXT($J1026,"yyyy-mm-dd")&amp;"|"&amp;$V1026&amp;"|",'CALENDARIO'!$G$15:$G$214,0)),IFERROR(INDEX('CALENDARIO'!$C$15:$C$214,MATCH(TEXT($J1026,"yyyy-mm-dd")&amp;"||",'CALENDARIO'!$G$15:$G$214,0)),INDEX(patronHabil,WEEKDAY($J1026,2))))))</f>
        <v/>
      </c>
      <c r="T1026" s="3">
        <f>IF($I1026="","",IFERROR(INDEX('CAT_TIPOS_OT'!$C$4:$C$7,MATCH($I1026,'CAT_TIPOS_OT'!$A$4:$A$7,0)),"sin_clasificar"))</f>
        <v/>
      </c>
      <c r="U1026" s="3">
        <f>IF($F1026="","",IFERROR(INDEX('CAT_CENTROS_COSTO'!$F$4:$F$13,MATCH($F1026,'CAT_CENTROS_COSTO'!$A$4:$A$13,0)),"(sin catálogo)"))</f>
        <v/>
      </c>
      <c r="V1026" s="3">
        <f>IF($F1026="","",IFERROR(INDEX('CAT_CENTROS_COSTO'!$D$4:$D$13,MATCH($F1026,'CAT_CENTROS_COSTO'!$A$4:$A$13,0)),"(sin catálogo)"))</f>
        <v/>
      </c>
      <c r="W1026" s="3">
        <f>IF($F1026="","",IF((IFERROR(INDEX('CAT_CENTROS_COSTO'!$E$4:$E$13,MATCH($F1026,'CAT_CENTROS_COSTO'!$A$4:$A$13,0)),""))&lt;&gt;"",IFERROR(INDEX('CAT_CENTROS_COSTO'!$E$4:$E$13,MATCH($F1026,'CAT_CENTROS_COSTO'!$A$4:$A$13,0)),""),$V1026))</f>
        <v/>
      </c>
      <c r="X1026" s="3">
        <f>IF($F1026="","",IFERROR(INDEX('CAT_CENTROS_COSTO'!$G$4:$G$13,MATCH($F1026,'CAT_CENTROS_COSTO'!$A$4:$A$13,0)),"(sin catálogo)"))</f>
        <v/>
      </c>
      <c r="Y1026" s="3">
        <f>IF($G1026="","",IFERROR(INDEX('CAT_PUESTOS'!$B$4:$B$8,MATCH($G1026,'CAT_PUESTOS'!$A$4:$A$8,0)),"(sin catálogo)"))</f>
        <v/>
      </c>
      <c r="Z1026" s="3">
        <f>IF($H1026="","",IFERROR(INDEX('CAT_ACTIVIDADES'!$B$4:$B$8,MATCH($H1026,'CAT_ACTIVIDADES'!$A$4:$A$8,0)),"(sin catálogo)"))</f>
        <v/>
      </c>
      <c r="AA1026" s="12">
        <f>IF($J1026="","",TODAY()-$J1026)</f>
        <v/>
      </c>
      <c r="AB1026" s="12">
        <f>IF($J1026="","",IF($J1026&lt;=TODAY(),COUNTIFS(cal_fechas,"&gt;="&amp;$J1026,cal_fechas,"&lt;"&amp;TODAY(),cal_habil,"sí"),-COUNTIFS(cal_fechas,"&gt;="&amp;TODAY(),cal_fechas,"&lt;"&amp;$J1026,cal_habil,"sí")))</f>
        <v/>
      </c>
      <c r="AC1026" s="3">
        <f>IF($AB1026="","",IF($AB1026&lt;0,"FUTURO",IF($AB1026&gt;p_dias_backlog_max,"BACKLOG","MES CORRIENTE")))</f>
        <v/>
      </c>
      <c r="AD1026" s="3">
        <f>IF($AB1026="",FALSE,AND($AB1026&gt;p_dias_backlog_min,$AB1026&lt;=p_dias_backlog_max))</f>
        <v/>
      </c>
      <c r="AE1026" s="6" t="n"/>
      <c r="AF1026" s="3">
        <f>IF($AE1026="","",IF((IFERROR(INDEX('ASIGNACIONES'!$F$4:$F$339,MATCH($O1026&amp;"|"&amp;$R1026&amp;"|"&amp;$AE1026,'ASIGNACIONES'!$J$4:$J$339,0)),""))=0,"",IFERROR(INDEX('ASIGNACIONES'!$F$4:$F$339,MATCH($O1026&amp;"|"&amp;$R1026&amp;"|"&amp;$AE1026,'ASIGNACIONES'!$J$4:$J$339,0)),"")))</f>
        <v/>
      </c>
      <c r="AG1026" s="13">
        <f>IF($AE1026="","",SUMIFS('ORDENES'!$M$4:$M$1203,'ORDENES'!$AE$4:$AE$1203,$AE1026,'ORDENES'!$O$4:$O$1203,$O1026,'ORDENES'!$R$4:$R$1203,$R1026))</f>
        <v/>
      </c>
      <c r="AH1026" s="13">
        <f>IF($AG1026="","",p_factor_productividad*IFERROR(INDEX('ASIGNACIONES'!$I$4:$I$339,MATCH($O1026&amp;"|"&amp;$R1026&amp;"|"&amp;$AE1026,'ASIGNACIONES'!$J$4:$J$339,0)),0)-$AG1026)</f>
        <v/>
      </c>
      <c r="AI1026" s="10">
        <f>IF($A1026="","",IFERROR(INDEX('2_IMPORTAR_EJECUCION'!$F$9:$F$1208,MATCH($AQ1026,'2_IMPORTAR_EJECUCION'!$J$9:$J$1208,0)),0))</f>
        <v/>
      </c>
      <c r="AJ1026" s="10">
        <f>IF($A1026="","",MAX(0,IFERROR(INDEX('2_IMPORTAR_EJECUCION'!$H$9:$H$1208,MATCH($AQ1026,'2_IMPORTAR_EJECUCION'!$J$9:$J$1208,0)),0)-$AI1026))</f>
        <v/>
      </c>
      <c r="AK1026" s="10">
        <f>IF($A1026="","",$AI1026+$AJ1026)</f>
        <v/>
      </c>
      <c r="AL1026" s="6" t="n"/>
      <c r="AM1026" s="6" t="n"/>
      <c r="AN1026" s="6" t="n"/>
      <c r="AO1026" s="3">
        <f>IF($AN1026="","",HYPERLINK(p_ruta_base_checklists&amp;$AN1026,"abrir"))</f>
        <v/>
      </c>
      <c r="AP1026" s="6" t="n"/>
      <c r="AQ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IF($A1027="","",IFERROR(INDEX('AJUSTES'!$B$4:$B$303,MATCH($AQ1027,'AJUSTES'!$A$4:$A$303,0)),IF($K1027="","",$K1027)))</f>
        <v/>
      </c>
      <c r="N1027" s="3">
        <f>IF($A1027="","",IFERROR(INDEX('CAT_ESTADOS_ERP'!$B$4:$B$7,MATCH(IFERROR(INDEX('2_IMPORTAR_EJECUCION'!$C$9:$C$1208,MATCH($AQ1027,'2_IMPORTAR_EJECUCION'!$J$9:$J$1208,0)),""),'CAT_ESTADOS_ERP'!$A$4:$A$7,0)),"Pendiente"))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J1027="","",IFERROR(INDEX('CALENDARIO'!$C$15:$C$214,MATCH(TEXT($J1027,"yyyy-mm-dd")&amp;"|"&amp;$V1027&amp;"|"&amp;$W1027,'CALENDARIO'!$G$15:$G$214,0)),IFERROR(INDEX('CALENDARIO'!$C$15:$C$214,MATCH(TEXT($J1027,"yyyy-mm-dd")&amp;"|"&amp;$V1027&amp;"|",'CALENDARIO'!$G$15:$G$214,0)),IFERROR(INDEX('CALENDARIO'!$C$15:$C$214,MATCH(TEXT($J1027,"yyyy-mm-dd")&amp;"||",'CALENDARIO'!$G$15:$G$214,0)),INDEX(patronHabil,WEEKDAY($J1027,2))))))</f>
        <v/>
      </c>
      <c r="T1027" s="3">
        <f>IF($I1027="","",IFERROR(INDEX('CAT_TIPOS_OT'!$C$4:$C$7,MATCH($I1027,'CAT_TIPOS_OT'!$A$4:$A$7,0)),"sin_clasificar"))</f>
        <v/>
      </c>
      <c r="U1027" s="3">
        <f>IF($F1027="","",IFERROR(INDEX('CAT_CENTROS_COSTO'!$F$4:$F$13,MATCH($F1027,'CAT_CENTROS_COSTO'!$A$4:$A$13,0)),"(sin catálogo)"))</f>
        <v/>
      </c>
      <c r="V1027" s="3">
        <f>IF($F1027="","",IFERROR(INDEX('CAT_CENTROS_COSTO'!$D$4:$D$13,MATCH($F1027,'CAT_CENTROS_COSTO'!$A$4:$A$13,0)),"(sin catálogo)"))</f>
        <v/>
      </c>
      <c r="W1027" s="3">
        <f>IF($F1027="","",IF((IFERROR(INDEX('CAT_CENTROS_COSTO'!$E$4:$E$13,MATCH($F1027,'CAT_CENTROS_COSTO'!$A$4:$A$13,0)),""))&lt;&gt;"",IFERROR(INDEX('CAT_CENTROS_COSTO'!$E$4:$E$13,MATCH($F1027,'CAT_CENTROS_COSTO'!$A$4:$A$13,0)),""),$V1027))</f>
        <v/>
      </c>
      <c r="X1027" s="3">
        <f>IF($F1027="","",IFERROR(INDEX('CAT_CENTROS_COSTO'!$G$4:$G$13,MATCH($F1027,'CAT_CENTROS_COSTO'!$A$4:$A$13,0)),"(sin catálogo)"))</f>
        <v/>
      </c>
      <c r="Y1027" s="3">
        <f>IF($G1027="","",IFERROR(INDEX('CAT_PUESTOS'!$B$4:$B$8,MATCH($G1027,'CAT_PUESTOS'!$A$4:$A$8,0)),"(sin catálogo)"))</f>
        <v/>
      </c>
      <c r="Z1027" s="3">
        <f>IF($H1027="","",IFERROR(INDEX('CAT_ACTIVIDADES'!$B$4:$B$8,MATCH($H1027,'CAT_ACTIVIDADES'!$A$4:$A$8,0)),"(sin catálogo)"))</f>
        <v/>
      </c>
      <c r="AA1027" s="12">
        <f>IF($J1027="","",TODAY()-$J1027)</f>
        <v/>
      </c>
      <c r="AB1027" s="12">
        <f>IF($J1027="","",IF($J1027&lt;=TODAY(),COUNTIFS(cal_fechas,"&gt;="&amp;$J1027,cal_fechas,"&lt;"&amp;TODAY(),cal_habil,"sí"),-COUNTIFS(cal_fechas,"&gt;="&amp;TODAY(),cal_fechas,"&lt;"&amp;$J1027,cal_habil,"sí")))</f>
        <v/>
      </c>
      <c r="AC1027" s="3">
        <f>IF($AB1027="","",IF($AB1027&lt;0,"FUTURO",IF($AB1027&gt;p_dias_backlog_max,"BACKLOG","MES CORRIENTE")))</f>
        <v/>
      </c>
      <c r="AD1027" s="3">
        <f>IF($AB1027="",FALSE,AND($AB1027&gt;p_dias_backlog_min,$AB1027&lt;=p_dias_backlog_max))</f>
        <v/>
      </c>
      <c r="AE1027" s="6" t="n"/>
      <c r="AF1027" s="3">
        <f>IF($AE1027="","",IF((IFERROR(INDEX('ASIGNACIONES'!$F$4:$F$339,MATCH($O1027&amp;"|"&amp;$R1027&amp;"|"&amp;$AE1027,'ASIGNACIONES'!$J$4:$J$339,0)),""))=0,"",IFERROR(INDEX('ASIGNACIONES'!$F$4:$F$339,MATCH($O1027&amp;"|"&amp;$R1027&amp;"|"&amp;$AE1027,'ASIGNACIONES'!$J$4:$J$339,0)),"")))</f>
        <v/>
      </c>
      <c r="AG1027" s="13">
        <f>IF($AE1027="","",SUMIFS('ORDENES'!$M$4:$M$1203,'ORDENES'!$AE$4:$AE$1203,$AE1027,'ORDENES'!$O$4:$O$1203,$O1027,'ORDENES'!$R$4:$R$1203,$R1027))</f>
        <v/>
      </c>
      <c r="AH1027" s="13">
        <f>IF($AG1027="","",p_factor_productividad*IFERROR(INDEX('ASIGNACIONES'!$I$4:$I$339,MATCH($O1027&amp;"|"&amp;$R1027&amp;"|"&amp;$AE1027,'ASIGNACIONES'!$J$4:$J$339,0)),0)-$AG1027)</f>
        <v/>
      </c>
      <c r="AI1027" s="10">
        <f>IF($A1027="","",IFERROR(INDEX('2_IMPORTAR_EJECUCION'!$F$9:$F$1208,MATCH($AQ1027,'2_IMPORTAR_EJECUCION'!$J$9:$J$1208,0)),0))</f>
        <v/>
      </c>
      <c r="AJ1027" s="10">
        <f>IF($A1027="","",MAX(0,IFERROR(INDEX('2_IMPORTAR_EJECUCION'!$H$9:$H$1208,MATCH($AQ1027,'2_IMPORTAR_EJECUCION'!$J$9:$J$1208,0)),0)-$AI1027))</f>
        <v/>
      </c>
      <c r="AK1027" s="10">
        <f>IF($A1027="","",$AI1027+$AJ1027)</f>
        <v/>
      </c>
      <c r="AL1027" s="6" t="n"/>
      <c r="AM1027" s="6" t="n"/>
      <c r="AN1027" s="6" t="n"/>
      <c r="AO1027" s="3">
        <f>IF($AN1027="","",HYPERLINK(p_ruta_base_checklists&amp;$AN1027,"abrir"))</f>
        <v/>
      </c>
      <c r="AP1027" s="6" t="n"/>
      <c r="AQ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IF($A1028="","",IFERROR(INDEX('AJUSTES'!$B$4:$B$303,MATCH($AQ1028,'AJUSTES'!$A$4:$A$303,0)),IF($K1028="","",$K1028)))</f>
        <v/>
      </c>
      <c r="N1028" s="3">
        <f>IF($A1028="","",IFERROR(INDEX('CAT_ESTADOS_ERP'!$B$4:$B$7,MATCH(IFERROR(INDEX('2_IMPORTAR_EJECUCION'!$C$9:$C$1208,MATCH($AQ1028,'2_IMPORTAR_EJECUCION'!$J$9:$J$1208,0)),""),'CAT_ESTADOS_ERP'!$A$4:$A$7,0)),"Pendiente"))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J1028="","",IFERROR(INDEX('CALENDARIO'!$C$15:$C$214,MATCH(TEXT($J1028,"yyyy-mm-dd")&amp;"|"&amp;$V1028&amp;"|"&amp;$W1028,'CALENDARIO'!$G$15:$G$214,0)),IFERROR(INDEX('CALENDARIO'!$C$15:$C$214,MATCH(TEXT($J1028,"yyyy-mm-dd")&amp;"|"&amp;$V1028&amp;"|",'CALENDARIO'!$G$15:$G$214,0)),IFERROR(INDEX('CALENDARIO'!$C$15:$C$214,MATCH(TEXT($J1028,"yyyy-mm-dd")&amp;"||",'CALENDARIO'!$G$15:$G$214,0)),INDEX(patronHabil,WEEKDAY($J1028,2))))))</f>
        <v/>
      </c>
      <c r="T1028" s="3">
        <f>IF($I1028="","",IFERROR(INDEX('CAT_TIPOS_OT'!$C$4:$C$7,MATCH($I1028,'CAT_TIPOS_OT'!$A$4:$A$7,0)),"sin_clasificar"))</f>
        <v/>
      </c>
      <c r="U1028" s="3">
        <f>IF($F1028="","",IFERROR(INDEX('CAT_CENTROS_COSTO'!$F$4:$F$13,MATCH($F1028,'CAT_CENTROS_COSTO'!$A$4:$A$13,0)),"(sin catálogo)"))</f>
        <v/>
      </c>
      <c r="V1028" s="3">
        <f>IF($F1028="","",IFERROR(INDEX('CAT_CENTROS_COSTO'!$D$4:$D$13,MATCH($F1028,'CAT_CENTROS_COSTO'!$A$4:$A$13,0)),"(sin catálogo)"))</f>
        <v/>
      </c>
      <c r="W1028" s="3">
        <f>IF($F1028="","",IF((IFERROR(INDEX('CAT_CENTROS_COSTO'!$E$4:$E$13,MATCH($F1028,'CAT_CENTROS_COSTO'!$A$4:$A$13,0)),""))&lt;&gt;"",IFERROR(INDEX('CAT_CENTROS_COSTO'!$E$4:$E$13,MATCH($F1028,'CAT_CENTROS_COSTO'!$A$4:$A$13,0)),""),$V1028))</f>
        <v/>
      </c>
      <c r="X1028" s="3">
        <f>IF($F1028="","",IFERROR(INDEX('CAT_CENTROS_COSTO'!$G$4:$G$13,MATCH($F1028,'CAT_CENTROS_COSTO'!$A$4:$A$13,0)),"(sin catálogo)"))</f>
        <v/>
      </c>
      <c r="Y1028" s="3">
        <f>IF($G1028="","",IFERROR(INDEX('CAT_PUESTOS'!$B$4:$B$8,MATCH($G1028,'CAT_PUESTOS'!$A$4:$A$8,0)),"(sin catálogo)"))</f>
        <v/>
      </c>
      <c r="Z1028" s="3">
        <f>IF($H1028="","",IFERROR(INDEX('CAT_ACTIVIDADES'!$B$4:$B$8,MATCH($H1028,'CAT_ACTIVIDADES'!$A$4:$A$8,0)),"(sin catálogo)"))</f>
        <v/>
      </c>
      <c r="AA1028" s="12">
        <f>IF($J1028="","",TODAY()-$J1028)</f>
        <v/>
      </c>
      <c r="AB1028" s="12">
        <f>IF($J1028="","",IF($J1028&lt;=TODAY(),COUNTIFS(cal_fechas,"&gt;="&amp;$J1028,cal_fechas,"&lt;"&amp;TODAY(),cal_habil,"sí"),-COUNTIFS(cal_fechas,"&gt;="&amp;TODAY(),cal_fechas,"&lt;"&amp;$J1028,cal_habil,"sí")))</f>
        <v/>
      </c>
      <c r="AC1028" s="3">
        <f>IF($AB1028="","",IF($AB1028&lt;0,"FUTURO",IF($AB1028&gt;p_dias_backlog_max,"BACKLOG","MES CORRIENTE")))</f>
        <v/>
      </c>
      <c r="AD1028" s="3">
        <f>IF($AB1028="",FALSE,AND($AB1028&gt;p_dias_backlog_min,$AB1028&lt;=p_dias_backlog_max))</f>
        <v/>
      </c>
      <c r="AE1028" s="6" t="n"/>
      <c r="AF1028" s="3">
        <f>IF($AE1028="","",IF((IFERROR(INDEX('ASIGNACIONES'!$F$4:$F$339,MATCH($O1028&amp;"|"&amp;$R1028&amp;"|"&amp;$AE1028,'ASIGNACIONES'!$J$4:$J$339,0)),""))=0,"",IFERROR(INDEX('ASIGNACIONES'!$F$4:$F$339,MATCH($O1028&amp;"|"&amp;$R1028&amp;"|"&amp;$AE1028,'ASIGNACIONES'!$J$4:$J$339,0)),"")))</f>
        <v/>
      </c>
      <c r="AG1028" s="13">
        <f>IF($AE1028="","",SUMIFS('ORDENES'!$M$4:$M$1203,'ORDENES'!$AE$4:$AE$1203,$AE1028,'ORDENES'!$O$4:$O$1203,$O1028,'ORDENES'!$R$4:$R$1203,$R1028))</f>
        <v/>
      </c>
      <c r="AH1028" s="13">
        <f>IF($AG1028="","",p_factor_productividad*IFERROR(INDEX('ASIGNACIONES'!$I$4:$I$339,MATCH($O1028&amp;"|"&amp;$R1028&amp;"|"&amp;$AE1028,'ASIGNACIONES'!$J$4:$J$339,0)),0)-$AG1028)</f>
        <v/>
      </c>
      <c r="AI1028" s="10">
        <f>IF($A1028="","",IFERROR(INDEX('2_IMPORTAR_EJECUCION'!$F$9:$F$1208,MATCH($AQ1028,'2_IMPORTAR_EJECUCION'!$J$9:$J$1208,0)),0))</f>
        <v/>
      </c>
      <c r="AJ1028" s="10">
        <f>IF($A1028="","",MAX(0,IFERROR(INDEX('2_IMPORTAR_EJECUCION'!$H$9:$H$1208,MATCH($AQ1028,'2_IMPORTAR_EJECUCION'!$J$9:$J$1208,0)),0)-$AI1028))</f>
        <v/>
      </c>
      <c r="AK1028" s="10">
        <f>IF($A1028="","",$AI1028+$AJ1028)</f>
        <v/>
      </c>
      <c r="AL1028" s="6" t="n"/>
      <c r="AM1028" s="6" t="n"/>
      <c r="AN1028" s="6" t="n"/>
      <c r="AO1028" s="3">
        <f>IF($AN1028="","",HYPERLINK(p_ruta_base_checklists&amp;$AN1028,"abrir"))</f>
        <v/>
      </c>
      <c r="AP1028" s="6" t="n"/>
      <c r="AQ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IF($A1029="","",IFERROR(INDEX('AJUSTES'!$B$4:$B$303,MATCH($AQ1029,'AJUSTES'!$A$4:$A$303,0)),IF($K1029="","",$K1029)))</f>
        <v/>
      </c>
      <c r="N1029" s="3">
        <f>IF($A1029="","",IFERROR(INDEX('CAT_ESTADOS_ERP'!$B$4:$B$7,MATCH(IFERROR(INDEX('2_IMPORTAR_EJECUCION'!$C$9:$C$1208,MATCH($AQ1029,'2_IMPORTAR_EJECUCION'!$J$9:$J$1208,0)),""),'CAT_ESTADOS_ERP'!$A$4:$A$7,0)),"Pendiente"))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J1029="","",IFERROR(INDEX('CALENDARIO'!$C$15:$C$214,MATCH(TEXT($J1029,"yyyy-mm-dd")&amp;"|"&amp;$V1029&amp;"|"&amp;$W1029,'CALENDARIO'!$G$15:$G$214,0)),IFERROR(INDEX('CALENDARIO'!$C$15:$C$214,MATCH(TEXT($J1029,"yyyy-mm-dd")&amp;"|"&amp;$V1029&amp;"|",'CALENDARIO'!$G$15:$G$214,0)),IFERROR(INDEX('CALENDARIO'!$C$15:$C$214,MATCH(TEXT($J1029,"yyyy-mm-dd")&amp;"||",'CALENDARIO'!$G$15:$G$214,0)),INDEX(patronHabil,WEEKDAY($J1029,2))))))</f>
        <v/>
      </c>
      <c r="T1029" s="3">
        <f>IF($I1029="","",IFERROR(INDEX('CAT_TIPOS_OT'!$C$4:$C$7,MATCH($I1029,'CAT_TIPOS_OT'!$A$4:$A$7,0)),"sin_clasificar"))</f>
        <v/>
      </c>
      <c r="U1029" s="3">
        <f>IF($F1029="","",IFERROR(INDEX('CAT_CENTROS_COSTO'!$F$4:$F$13,MATCH($F1029,'CAT_CENTROS_COSTO'!$A$4:$A$13,0)),"(sin catálogo)"))</f>
        <v/>
      </c>
      <c r="V1029" s="3">
        <f>IF($F1029="","",IFERROR(INDEX('CAT_CENTROS_COSTO'!$D$4:$D$13,MATCH($F1029,'CAT_CENTROS_COSTO'!$A$4:$A$13,0)),"(sin catálogo)"))</f>
        <v/>
      </c>
      <c r="W1029" s="3">
        <f>IF($F1029="","",IF((IFERROR(INDEX('CAT_CENTROS_COSTO'!$E$4:$E$13,MATCH($F1029,'CAT_CENTROS_COSTO'!$A$4:$A$13,0)),""))&lt;&gt;"",IFERROR(INDEX('CAT_CENTROS_COSTO'!$E$4:$E$13,MATCH($F1029,'CAT_CENTROS_COSTO'!$A$4:$A$13,0)),""),$V1029))</f>
        <v/>
      </c>
      <c r="X1029" s="3">
        <f>IF($F1029="","",IFERROR(INDEX('CAT_CENTROS_COSTO'!$G$4:$G$13,MATCH($F1029,'CAT_CENTROS_COSTO'!$A$4:$A$13,0)),"(sin catálogo)"))</f>
        <v/>
      </c>
      <c r="Y1029" s="3">
        <f>IF($G1029="","",IFERROR(INDEX('CAT_PUESTOS'!$B$4:$B$8,MATCH($G1029,'CAT_PUESTOS'!$A$4:$A$8,0)),"(sin catálogo)"))</f>
        <v/>
      </c>
      <c r="Z1029" s="3">
        <f>IF($H1029="","",IFERROR(INDEX('CAT_ACTIVIDADES'!$B$4:$B$8,MATCH($H1029,'CAT_ACTIVIDADES'!$A$4:$A$8,0)),"(sin catálogo)"))</f>
        <v/>
      </c>
      <c r="AA1029" s="12">
        <f>IF($J1029="","",TODAY()-$J1029)</f>
        <v/>
      </c>
      <c r="AB1029" s="12">
        <f>IF($J1029="","",IF($J1029&lt;=TODAY(),COUNTIFS(cal_fechas,"&gt;="&amp;$J1029,cal_fechas,"&lt;"&amp;TODAY(),cal_habil,"sí"),-COUNTIFS(cal_fechas,"&gt;="&amp;TODAY(),cal_fechas,"&lt;"&amp;$J1029,cal_habil,"sí")))</f>
        <v/>
      </c>
      <c r="AC1029" s="3">
        <f>IF($AB1029="","",IF($AB1029&lt;0,"FUTURO",IF($AB1029&gt;p_dias_backlog_max,"BACKLOG","MES CORRIENTE")))</f>
        <v/>
      </c>
      <c r="AD1029" s="3">
        <f>IF($AB1029="",FALSE,AND($AB1029&gt;p_dias_backlog_min,$AB1029&lt;=p_dias_backlog_max))</f>
        <v/>
      </c>
      <c r="AE1029" s="6" t="n"/>
      <c r="AF1029" s="3">
        <f>IF($AE1029="","",IF((IFERROR(INDEX('ASIGNACIONES'!$F$4:$F$339,MATCH($O1029&amp;"|"&amp;$R1029&amp;"|"&amp;$AE1029,'ASIGNACIONES'!$J$4:$J$339,0)),""))=0,"",IFERROR(INDEX('ASIGNACIONES'!$F$4:$F$339,MATCH($O1029&amp;"|"&amp;$R1029&amp;"|"&amp;$AE1029,'ASIGNACIONES'!$J$4:$J$339,0)),"")))</f>
        <v/>
      </c>
      <c r="AG1029" s="13">
        <f>IF($AE1029="","",SUMIFS('ORDENES'!$M$4:$M$1203,'ORDENES'!$AE$4:$AE$1203,$AE1029,'ORDENES'!$O$4:$O$1203,$O1029,'ORDENES'!$R$4:$R$1203,$R1029))</f>
        <v/>
      </c>
      <c r="AH1029" s="13">
        <f>IF($AG1029="","",p_factor_productividad*IFERROR(INDEX('ASIGNACIONES'!$I$4:$I$339,MATCH($O1029&amp;"|"&amp;$R1029&amp;"|"&amp;$AE1029,'ASIGNACIONES'!$J$4:$J$339,0)),0)-$AG1029)</f>
        <v/>
      </c>
      <c r="AI1029" s="10">
        <f>IF($A1029="","",IFERROR(INDEX('2_IMPORTAR_EJECUCION'!$F$9:$F$1208,MATCH($AQ1029,'2_IMPORTAR_EJECUCION'!$J$9:$J$1208,0)),0))</f>
        <v/>
      </c>
      <c r="AJ1029" s="10">
        <f>IF($A1029="","",MAX(0,IFERROR(INDEX('2_IMPORTAR_EJECUCION'!$H$9:$H$1208,MATCH($AQ1029,'2_IMPORTAR_EJECUCION'!$J$9:$J$1208,0)),0)-$AI1029))</f>
        <v/>
      </c>
      <c r="AK1029" s="10">
        <f>IF($A1029="","",$AI1029+$AJ1029)</f>
        <v/>
      </c>
      <c r="AL1029" s="6" t="n"/>
      <c r="AM1029" s="6" t="n"/>
      <c r="AN1029" s="6" t="n"/>
      <c r="AO1029" s="3">
        <f>IF($AN1029="","",HYPERLINK(p_ruta_base_checklists&amp;$AN1029,"abrir"))</f>
        <v/>
      </c>
      <c r="AP1029" s="6" t="n"/>
      <c r="AQ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IF($A1030="","",IFERROR(INDEX('AJUSTES'!$B$4:$B$303,MATCH($AQ1030,'AJUSTES'!$A$4:$A$303,0)),IF($K1030="","",$K1030)))</f>
        <v/>
      </c>
      <c r="N1030" s="3">
        <f>IF($A1030="","",IFERROR(INDEX('CAT_ESTADOS_ERP'!$B$4:$B$7,MATCH(IFERROR(INDEX('2_IMPORTAR_EJECUCION'!$C$9:$C$1208,MATCH($AQ1030,'2_IMPORTAR_EJECUCION'!$J$9:$J$1208,0)),""),'CAT_ESTADOS_ERP'!$A$4:$A$7,0)),"Pendiente"))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J1030="","",IFERROR(INDEX('CALENDARIO'!$C$15:$C$214,MATCH(TEXT($J1030,"yyyy-mm-dd")&amp;"|"&amp;$V1030&amp;"|"&amp;$W1030,'CALENDARIO'!$G$15:$G$214,0)),IFERROR(INDEX('CALENDARIO'!$C$15:$C$214,MATCH(TEXT($J1030,"yyyy-mm-dd")&amp;"|"&amp;$V1030&amp;"|",'CALENDARIO'!$G$15:$G$214,0)),IFERROR(INDEX('CALENDARIO'!$C$15:$C$214,MATCH(TEXT($J1030,"yyyy-mm-dd")&amp;"||",'CALENDARIO'!$G$15:$G$214,0)),INDEX(patronHabil,WEEKDAY($J1030,2))))))</f>
        <v/>
      </c>
      <c r="T1030" s="3">
        <f>IF($I1030="","",IFERROR(INDEX('CAT_TIPOS_OT'!$C$4:$C$7,MATCH($I1030,'CAT_TIPOS_OT'!$A$4:$A$7,0)),"sin_clasificar"))</f>
        <v/>
      </c>
      <c r="U1030" s="3">
        <f>IF($F1030="","",IFERROR(INDEX('CAT_CENTROS_COSTO'!$F$4:$F$13,MATCH($F1030,'CAT_CENTROS_COSTO'!$A$4:$A$13,0)),"(sin catálogo)"))</f>
        <v/>
      </c>
      <c r="V1030" s="3">
        <f>IF($F1030="","",IFERROR(INDEX('CAT_CENTROS_COSTO'!$D$4:$D$13,MATCH($F1030,'CAT_CENTROS_COSTO'!$A$4:$A$13,0)),"(sin catálogo)"))</f>
        <v/>
      </c>
      <c r="W1030" s="3">
        <f>IF($F1030="","",IF((IFERROR(INDEX('CAT_CENTROS_COSTO'!$E$4:$E$13,MATCH($F1030,'CAT_CENTROS_COSTO'!$A$4:$A$13,0)),""))&lt;&gt;"",IFERROR(INDEX('CAT_CENTROS_COSTO'!$E$4:$E$13,MATCH($F1030,'CAT_CENTROS_COSTO'!$A$4:$A$13,0)),""),$V1030))</f>
        <v/>
      </c>
      <c r="X1030" s="3">
        <f>IF($F1030="","",IFERROR(INDEX('CAT_CENTROS_COSTO'!$G$4:$G$13,MATCH($F1030,'CAT_CENTROS_COSTO'!$A$4:$A$13,0)),"(sin catálogo)"))</f>
        <v/>
      </c>
      <c r="Y1030" s="3">
        <f>IF($G1030="","",IFERROR(INDEX('CAT_PUESTOS'!$B$4:$B$8,MATCH($G1030,'CAT_PUESTOS'!$A$4:$A$8,0)),"(sin catálogo)"))</f>
        <v/>
      </c>
      <c r="Z1030" s="3">
        <f>IF($H1030="","",IFERROR(INDEX('CAT_ACTIVIDADES'!$B$4:$B$8,MATCH($H1030,'CAT_ACTIVIDADES'!$A$4:$A$8,0)),"(sin catálogo)"))</f>
        <v/>
      </c>
      <c r="AA1030" s="12">
        <f>IF($J1030="","",TODAY()-$J1030)</f>
        <v/>
      </c>
      <c r="AB1030" s="12">
        <f>IF($J1030="","",IF($J1030&lt;=TODAY(),COUNTIFS(cal_fechas,"&gt;="&amp;$J1030,cal_fechas,"&lt;"&amp;TODAY(),cal_habil,"sí"),-COUNTIFS(cal_fechas,"&gt;="&amp;TODAY(),cal_fechas,"&lt;"&amp;$J1030,cal_habil,"sí")))</f>
        <v/>
      </c>
      <c r="AC1030" s="3">
        <f>IF($AB1030="","",IF($AB1030&lt;0,"FUTURO",IF($AB1030&gt;p_dias_backlog_max,"BACKLOG","MES CORRIENTE")))</f>
        <v/>
      </c>
      <c r="AD1030" s="3">
        <f>IF($AB1030="",FALSE,AND($AB1030&gt;p_dias_backlog_min,$AB1030&lt;=p_dias_backlog_max))</f>
        <v/>
      </c>
      <c r="AE1030" s="6" t="n"/>
      <c r="AF1030" s="3">
        <f>IF($AE1030="","",IF((IFERROR(INDEX('ASIGNACIONES'!$F$4:$F$339,MATCH($O1030&amp;"|"&amp;$R1030&amp;"|"&amp;$AE1030,'ASIGNACIONES'!$J$4:$J$339,0)),""))=0,"",IFERROR(INDEX('ASIGNACIONES'!$F$4:$F$339,MATCH($O1030&amp;"|"&amp;$R1030&amp;"|"&amp;$AE1030,'ASIGNACIONES'!$J$4:$J$339,0)),"")))</f>
        <v/>
      </c>
      <c r="AG1030" s="13">
        <f>IF($AE1030="","",SUMIFS('ORDENES'!$M$4:$M$1203,'ORDENES'!$AE$4:$AE$1203,$AE1030,'ORDENES'!$O$4:$O$1203,$O1030,'ORDENES'!$R$4:$R$1203,$R1030))</f>
        <v/>
      </c>
      <c r="AH1030" s="13">
        <f>IF($AG1030="","",p_factor_productividad*IFERROR(INDEX('ASIGNACIONES'!$I$4:$I$339,MATCH($O1030&amp;"|"&amp;$R1030&amp;"|"&amp;$AE1030,'ASIGNACIONES'!$J$4:$J$339,0)),0)-$AG1030)</f>
        <v/>
      </c>
      <c r="AI1030" s="10">
        <f>IF($A1030="","",IFERROR(INDEX('2_IMPORTAR_EJECUCION'!$F$9:$F$1208,MATCH($AQ1030,'2_IMPORTAR_EJECUCION'!$J$9:$J$1208,0)),0))</f>
        <v/>
      </c>
      <c r="AJ1030" s="10">
        <f>IF($A1030="","",MAX(0,IFERROR(INDEX('2_IMPORTAR_EJECUCION'!$H$9:$H$1208,MATCH($AQ1030,'2_IMPORTAR_EJECUCION'!$J$9:$J$1208,0)),0)-$AI1030))</f>
        <v/>
      </c>
      <c r="AK1030" s="10">
        <f>IF($A1030="","",$AI1030+$AJ1030)</f>
        <v/>
      </c>
      <c r="AL1030" s="6" t="n"/>
      <c r="AM1030" s="6" t="n"/>
      <c r="AN1030" s="6" t="n"/>
      <c r="AO1030" s="3">
        <f>IF($AN1030="","",HYPERLINK(p_ruta_base_checklists&amp;$AN1030,"abrir"))</f>
        <v/>
      </c>
      <c r="AP1030" s="6" t="n"/>
      <c r="AQ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IF($A1031="","",IFERROR(INDEX('AJUSTES'!$B$4:$B$303,MATCH($AQ1031,'AJUSTES'!$A$4:$A$303,0)),IF($K1031="","",$K1031)))</f>
        <v/>
      </c>
      <c r="N1031" s="3">
        <f>IF($A1031="","",IFERROR(INDEX('CAT_ESTADOS_ERP'!$B$4:$B$7,MATCH(IFERROR(INDEX('2_IMPORTAR_EJECUCION'!$C$9:$C$1208,MATCH($AQ1031,'2_IMPORTAR_EJECUCION'!$J$9:$J$1208,0)),""),'CAT_ESTADOS_ERP'!$A$4:$A$7,0)),"Pendiente"))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J1031="","",IFERROR(INDEX('CALENDARIO'!$C$15:$C$214,MATCH(TEXT($J1031,"yyyy-mm-dd")&amp;"|"&amp;$V1031&amp;"|"&amp;$W1031,'CALENDARIO'!$G$15:$G$214,0)),IFERROR(INDEX('CALENDARIO'!$C$15:$C$214,MATCH(TEXT($J1031,"yyyy-mm-dd")&amp;"|"&amp;$V1031&amp;"|",'CALENDARIO'!$G$15:$G$214,0)),IFERROR(INDEX('CALENDARIO'!$C$15:$C$214,MATCH(TEXT($J1031,"yyyy-mm-dd")&amp;"||",'CALENDARIO'!$G$15:$G$214,0)),INDEX(patronHabil,WEEKDAY($J1031,2))))))</f>
        <v/>
      </c>
      <c r="T1031" s="3">
        <f>IF($I1031="","",IFERROR(INDEX('CAT_TIPOS_OT'!$C$4:$C$7,MATCH($I1031,'CAT_TIPOS_OT'!$A$4:$A$7,0)),"sin_clasificar"))</f>
        <v/>
      </c>
      <c r="U1031" s="3">
        <f>IF($F1031="","",IFERROR(INDEX('CAT_CENTROS_COSTO'!$F$4:$F$13,MATCH($F1031,'CAT_CENTROS_COSTO'!$A$4:$A$13,0)),"(sin catálogo)"))</f>
        <v/>
      </c>
      <c r="V1031" s="3">
        <f>IF($F1031="","",IFERROR(INDEX('CAT_CENTROS_COSTO'!$D$4:$D$13,MATCH($F1031,'CAT_CENTROS_COSTO'!$A$4:$A$13,0)),"(sin catálogo)"))</f>
        <v/>
      </c>
      <c r="W1031" s="3">
        <f>IF($F1031="","",IF((IFERROR(INDEX('CAT_CENTROS_COSTO'!$E$4:$E$13,MATCH($F1031,'CAT_CENTROS_COSTO'!$A$4:$A$13,0)),""))&lt;&gt;"",IFERROR(INDEX('CAT_CENTROS_COSTO'!$E$4:$E$13,MATCH($F1031,'CAT_CENTROS_COSTO'!$A$4:$A$13,0)),""),$V1031))</f>
        <v/>
      </c>
      <c r="X1031" s="3">
        <f>IF($F1031="","",IFERROR(INDEX('CAT_CENTROS_COSTO'!$G$4:$G$13,MATCH($F1031,'CAT_CENTROS_COSTO'!$A$4:$A$13,0)),"(sin catálogo)"))</f>
        <v/>
      </c>
      <c r="Y1031" s="3">
        <f>IF($G1031="","",IFERROR(INDEX('CAT_PUESTOS'!$B$4:$B$8,MATCH($G1031,'CAT_PUESTOS'!$A$4:$A$8,0)),"(sin catálogo)"))</f>
        <v/>
      </c>
      <c r="Z1031" s="3">
        <f>IF($H1031="","",IFERROR(INDEX('CAT_ACTIVIDADES'!$B$4:$B$8,MATCH($H1031,'CAT_ACTIVIDADES'!$A$4:$A$8,0)),"(sin catálogo)"))</f>
        <v/>
      </c>
      <c r="AA1031" s="12">
        <f>IF($J1031="","",TODAY()-$J1031)</f>
        <v/>
      </c>
      <c r="AB1031" s="12">
        <f>IF($J1031="","",IF($J1031&lt;=TODAY(),COUNTIFS(cal_fechas,"&gt;="&amp;$J1031,cal_fechas,"&lt;"&amp;TODAY(),cal_habil,"sí"),-COUNTIFS(cal_fechas,"&gt;="&amp;TODAY(),cal_fechas,"&lt;"&amp;$J1031,cal_habil,"sí")))</f>
        <v/>
      </c>
      <c r="AC1031" s="3">
        <f>IF($AB1031="","",IF($AB1031&lt;0,"FUTURO",IF($AB1031&gt;p_dias_backlog_max,"BACKLOG","MES CORRIENTE")))</f>
        <v/>
      </c>
      <c r="AD1031" s="3">
        <f>IF($AB1031="",FALSE,AND($AB1031&gt;p_dias_backlog_min,$AB1031&lt;=p_dias_backlog_max))</f>
        <v/>
      </c>
      <c r="AE1031" s="6" t="n"/>
      <c r="AF1031" s="3">
        <f>IF($AE1031="","",IF((IFERROR(INDEX('ASIGNACIONES'!$F$4:$F$339,MATCH($O1031&amp;"|"&amp;$R1031&amp;"|"&amp;$AE1031,'ASIGNACIONES'!$J$4:$J$339,0)),""))=0,"",IFERROR(INDEX('ASIGNACIONES'!$F$4:$F$339,MATCH($O1031&amp;"|"&amp;$R1031&amp;"|"&amp;$AE1031,'ASIGNACIONES'!$J$4:$J$339,0)),"")))</f>
        <v/>
      </c>
      <c r="AG1031" s="13">
        <f>IF($AE1031="","",SUMIFS('ORDENES'!$M$4:$M$1203,'ORDENES'!$AE$4:$AE$1203,$AE1031,'ORDENES'!$O$4:$O$1203,$O1031,'ORDENES'!$R$4:$R$1203,$R1031))</f>
        <v/>
      </c>
      <c r="AH1031" s="13">
        <f>IF($AG1031="","",p_factor_productividad*IFERROR(INDEX('ASIGNACIONES'!$I$4:$I$339,MATCH($O1031&amp;"|"&amp;$R1031&amp;"|"&amp;$AE1031,'ASIGNACIONES'!$J$4:$J$339,0)),0)-$AG1031)</f>
        <v/>
      </c>
      <c r="AI1031" s="10">
        <f>IF($A1031="","",IFERROR(INDEX('2_IMPORTAR_EJECUCION'!$F$9:$F$1208,MATCH($AQ1031,'2_IMPORTAR_EJECUCION'!$J$9:$J$1208,0)),0))</f>
        <v/>
      </c>
      <c r="AJ1031" s="10">
        <f>IF($A1031="","",MAX(0,IFERROR(INDEX('2_IMPORTAR_EJECUCION'!$H$9:$H$1208,MATCH($AQ1031,'2_IMPORTAR_EJECUCION'!$J$9:$J$1208,0)),0)-$AI1031))</f>
        <v/>
      </c>
      <c r="AK1031" s="10">
        <f>IF($A1031="","",$AI1031+$AJ1031)</f>
        <v/>
      </c>
      <c r="AL1031" s="6" t="n"/>
      <c r="AM1031" s="6" t="n"/>
      <c r="AN1031" s="6" t="n"/>
      <c r="AO1031" s="3">
        <f>IF($AN1031="","",HYPERLINK(p_ruta_base_checklists&amp;$AN1031,"abrir"))</f>
        <v/>
      </c>
      <c r="AP1031" s="6" t="n"/>
      <c r="AQ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IF($A1032="","",IFERROR(INDEX('AJUSTES'!$B$4:$B$303,MATCH($AQ1032,'AJUSTES'!$A$4:$A$303,0)),IF($K1032="","",$K1032)))</f>
        <v/>
      </c>
      <c r="N1032" s="3">
        <f>IF($A1032="","",IFERROR(INDEX('CAT_ESTADOS_ERP'!$B$4:$B$7,MATCH(IFERROR(INDEX('2_IMPORTAR_EJECUCION'!$C$9:$C$1208,MATCH($AQ1032,'2_IMPORTAR_EJECUCION'!$J$9:$J$1208,0)),""),'CAT_ESTADOS_ERP'!$A$4:$A$7,0)),"Pendiente"))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J1032="","",IFERROR(INDEX('CALENDARIO'!$C$15:$C$214,MATCH(TEXT($J1032,"yyyy-mm-dd")&amp;"|"&amp;$V1032&amp;"|"&amp;$W1032,'CALENDARIO'!$G$15:$G$214,0)),IFERROR(INDEX('CALENDARIO'!$C$15:$C$214,MATCH(TEXT($J1032,"yyyy-mm-dd")&amp;"|"&amp;$V1032&amp;"|",'CALENDARIO'!$G$15:$G$214,0)),IFERROR(INDEX('CALENDARIO'!$C$15:$C$214,MATCH(TEXT($J1032,"yyyy-mm-dd")&amp;"||",'CALENDARIO'!$G$15:$G$214,0)),INDEX(patronHabil,WEEKDAY($J1032,2))))))</f>
        <v/>
      </c>
      <c r="T1032" s="3">
        <f>IF($I1032="","",IFERROR(INDEX('CAT_TIPOS_OT'!$C$4:$C$7,MATCH($I1032,'CAT_TIPOS_OT'!$A$4:$A$7,0)),"sin_clasificar"))</f>
        <v/>
      </c>
      <c r="U1032" s="3">
        <f>IF($F1032="","",IFERROR(INDEX('CAT_CENTROS_COSTO'!$F$4:$F$13,MATCH($F1032,'CAT_CENTROS_COSTO'!$A$4:$A$13,0)),"(sin catálogo)"))</f>
        <v/>
      </c>
      <c r="V1032" s="3">
        <f>IF($F1032="","",IFERROR(INDEX('CAT_CENTROS_COSTO'!$D$4:$D$13,MATCH($F1032,'CAT_CENTROS_COSTO'!$A$4:$A$13,0)),"(sin catálogo)"))</f>
        <v/>
      </c>
      <c r="W1032" s="3">
        <f>IF($F1032="","",IF((IFERROR(INDEX('CAT_CENTROS_COSTO'!$E$4:$E$13,MATCH($F1032,'CAT_CENTROS_COSTO'!$A$4:$A$13,0)),""))&lt;&gt;"",IFERROR(INDEX('CAT_CENTROS_COSTO'!$E$4:$E$13,MATCH($F1032,'CAT_CENTROS_COSTO'!$A$4:$A$13,0)),""),$V1032))</f>
        <v/>
      </c>
      <c r="X1032" s="3">
        <f>IF($F1032="","",IFERROR(INDEX('CAT_CENTROS_COSTO'!$G$4:$G$13,MATCH($F1032,'CAT_CENTROS_COSTO'!$A$4:$A$13,0)),"(sin catálogo)"))</f>
        <v/>
      </c>
      <c r="Y1032" s="3">
        <f>IF($G1032="","",IFERROR(INDEX('CAT_PUESTOS'!$B$4:$B$8,MATCH($G1032,'CAT_PUESTOS'!$A$4:$A$8,0)),"(sin catálogo)"))</f>
        <v/>
      </c>
      <c r="Z1032" s="3">
        <f>IF($H1032="","",IFERROR(INDEX('CAT_ACTIVIDADES'!$B$4:$B$8,MATCH($H1032,'CAT_ACTIVIDADES'!$A$4:$A$8,0)),"(sin catálogo)"))</f>
        <v/>
      </c>
      <c r="AA1032" s="12">
        <f>IF($J1032="","",TODAY()-$J1032)</f>
        <v/>
      </c>
      <c r="AB1032" s="12">
        <f>IF($J1032="","",IF($J1032&lt;=TODAY(),COUNTIFS(cal_fechas,"&gt;="&amp;$J1032,cal_fechas,"&lt;"&amp;TODAY(),cal_habil,"sí"),-COUNTIFS(cal_fechas,"&gt;="&amp;TODAY(),cal_fechas,"&lt;"&amp;$J1032,cal_habil,"sí")))</f>
        <v/>
      </c>
      <c r="AC1032" s="3">
        <f>IF($AB1032="","",IF($AB1032&lt;0,"FUTURO",IF($AB1032&gt;p_dias_backlog_max,"BACKLOG","MES CORRIENTE")))</f>
        <v/>
      </c>
      <c r="AD1032" s="3">
        <f>IF($AB1032="",FALSE,AND($AB1032&gt;p_dias_backlog_min,$AB1032&lt;=p_dias_backlog_max))</f>
        <v/>
      </c>
      <c r="AE1032" s="6" t="n"/>
      <c r="AF1032" s="3">
        <f>IF($AE1032="","",IF((IFERROR(INDEX('ASIGNACIONES'!$F$4:$F$339,MATCH($O1032&amp;"|"&amp;$R1032&amp;"|"&amp;$AE1032,'ASIGNACIONES'!$J$4:$J$339,0)),""))=0,"",IFERROR(INDEX('ASIGNACIONES'!$F$4:$F$339,MATCH($O1032&amp;"|"&amp;$R1032&amp;"|"&amp;$AE1032,'ASIGNACIONES'!$J$4:$J$339,0)),"")))</f>
        <v/>
      </c>
      <c r="AG1032" s="13">
        <f>IF($AE1032="","",SUMIFS('ORDENES'!$M$4:$M$1203,'ORDENES'!$AE$4:$AE$1203,$AE1032,'ORDENES'!$O$4:$O$1203,$O1032,'ORDENES'!$R$4:$R$1203,$R1032))</f>
        <v/>
      </c>
      <c r="AH1032" s="13">
        <f>IF($AG1032="","",p_factor_productividad*IFERROR(INDEX('ASIGNACIONES'!$I$4:$I$339,MATCH($O1032&amp;"|"&amp;$R1032&amp;"|"&amp;$AE1032,'ASIGNACIONES'!$J$4:$J$339,0)),0)-$AG1032)</f>
        <v/>
      </c>
      <c r="AI1032" s="10">
        <f>IF($A1032="","",IFERROR(INDEX('2_IMPORTAR_EJECUCION'!$F$9:$F$1208,MATCH($AQ1032,'2_IMPORTAR_EJECUCION'!$J$9:$J$1208,0)),0))</f>
        <v/>
      </c>
      <c r="AJ1032" s="10">
        <f>IF($A1032="","",MAX(0,IFERROR(INDEX('2_IMPORTAR_EJECUCION'!$H$9:$H$1208,MATCH($AQ1032,'2_IMPORTAR_EJECUCION'!$J$9:$J$1208,0)),0)-$AI1032))</f>
        <v/>
      </c>
      <c r="AK1032" s="10">
        <f>IF($A1032="","",$AI1032+$AJ1032)</f>
        <v/>
      </c>
      <c r="AL1032" s="6" t="n"/>
      <c r="AM1032" s="6" t="n"/>
      <c r="AN1032" s="6" t="n"/>
      <c r="AO1032" s="3">
        <f>IF($AN1032="","",HYPERLINK(p_ruta_base_checklists&amp;$AN1032,"abrir"))</f>
        <v/>
      </c>
      <c r="AP1032" s="6" t="n"/>
      <c r="AQ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IF($A1033="","",IFERROR(INDEX('AJUSTES'!$B$4:$B$303,MATCH($AQ1033,'AJUSTES'!$A$4:$A$303,0)),IF($K1033="","",$K1033)))</f>
        <v/>
      </c>
      <c r="N1033" s="3">
        <f>IF($A1033="","",IFERROR(INDEX('CAT_ESTADOS_ERP'!$B$4:$B$7,MATCH(IFERROR(INDEX('2_IMPORTAR_EJECUCION'!$C$9:$C$1208,MATCH($AQ1033,'2_IMPORTAR_EJECUCION'!$J$9:$J$1208,0)),""),'CAT_ESTADOS_ERP'!$A$4:$A$7,0)),"Pendiente"))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J1033="","",IFERROR(INDEX('CALENDARIO'!$C$15:$C$214,MATCH(TEXT($J1033,"yyyy-mm-dd")&amp;"|"&amp;$V1033&amp;"|"&amp;$W1033,'CALENDARIO'!$G$15:$G$214,0)),IFERROR(INDEX('CALENDARIO'!$C$15:$C$214,MATCH(TEXT($J1033,"yyyy-mm-dd")&amp;"|"&amp;$V1033&amp;"|",'CALENDARIO'!$G$15:$G$214,0)),IFERROR(INDEX('CALENDARIO'!$C$15:$C$214,MATCH(TEXT($J1033,"yyyy-mm-dd")&amp;"||",'CALENDARIO'!$G$15:$G$214,0)),INDEX(patronHabil,WEEKDAY($J1033,2))))))</f>
        <v/>
      </c>
      <c r="T1033" s="3">
        <f>IF($I1033="","",IFERROR(INDEX('CAT_TIPOS_OT'!$C$4:$C$7,MATCH($I1033,'CAT_TIPOS_OT'!$A$4:$A$7,0)),"sin_clasificar"))</f>
        <v/>
      </c>
      <c r="U1033" s="3">
        <f>IF($F1033="","",IFERROR(INDEX('CAT_CENTROS_COSTO'!$F$4:$F$13,MATCH($F1033,'CAT_CENTROS_COSTO'!$A$4:$A$13,0)),"(sin catálogo)"))</f>
        <v/>
      </c>
      <c r="V1033" s="3">
        <f>IF($F1033="","",IFERROR(INDEX('CAT_CENTROS_COSTO'!$D$4:$D$13,MATCH($F1033,'CAT_CENTROS_COSTO'!$A$4:$A$13,0)),"(sin catálogo)"))</f>
        <v/>
      </c>
      <c r="W1033" s="3">
        <f>IF($F1033="","",IF((IFERROR(INDEX('CAT_CENTROS_COSTO'!$E$4:$E$13,MATCH($F1033,'CAT_CENTROS_COSTO'!$A$4:$A$13,0)),""))&lt;&gt;"",IFERROR(INDEX('CAT_CENTROS_COSTO'!$E$4:$E$13,MATCH($F1033,'CAT_CENTROS_COSTO'!$A$4:$A$13,0)),""),$V1033))</f>
        <v/>
      </c>
      <c r="X1033" s="3">
        <f>IF($F1033="","",IFERROR(INDEX('CAT_CENTROS_COSTO'!$G$4:$G$13,MATCH($F1033,'CAT_CENTROS_COSTO'!$A$4:$A$13,0)),"(sin catálogo)"))</f>
        <v/>
      </c>
      <c r="Y1033" s="3">
        <f>IF($G1033="","",IFERROR(INDEX('CAT_PUESTOS'!$B$4:$B$8,MATCH($G1033,'CAT_PUESTOS'!$A$4:$A$8,0)),"(sin catálogo)"))</f>
        <v/>
      </c>
      <c r="Z1033" s="3">
        <f>IF($H1033="","",IFERROR(INDEX('CAT_ACTIVIDADES'!$B$4:$B$8,MATCH($H1033,'CAT_ACTIVIDADES'!$A$4:$A$8,0)),"(sin catálogo)"))</f>
        <v/>
      </c>
      <c r="AA1033" s="12">
        <f>IF($J1033="","",TODAY()-$J1033)</f>
        <v/>
      </c>
      <c r="AB1033" s="12">
        <f>IF($J1033="","",IF($J1033&lt;=TODAY(),COUNTIFS(cal_fechas,"&gt;="&amp;$J1033,cal_fechas,"&lt;"&amp;TODAY(),cal_habil,"sí"),-COUNTIFS(cal_fechas,"&gt;="&amp;TODAY(),cal_fechas,"&lt;"&amp;$J1033,cal_habil,"sí")))</f>
        <v/>
      </c>
      <c r="AC1033" s="3">
        <f>IF($AB1033="","",IF($AB1033&lt;0,"FUTURO",IF($AB1033&gt;p_dias_backlog_max,"BACKLOG","MES CORRIENTE")))</f>
        <v/>
      </c>
      <c r="AD1033" s="3">
        <f>IF($AB1033="",FALSE,AND($AB1033&gt;p_dias_backlog_min,$AB1033&lt;=p_dias_backlog_max))</f>
        <v/>
      </c>
      <c r="AE1033" s="6" t="n"/>
      <c r="AF1033" s="3">
        <f>IF($AE1033="","",IF((IFERROR(INDEX('ASIGNACIONES'!$F$4:$F$339,MATCH($O1033&amp;"|"&amp;$R1033&amp;"|"&amp;$AE1033,'ASIGNACIONES'!$J$4:$J$339,0)),""))=0,"",IFERROR(INDEX('ASIGNACIONES'!$F$4:$F$339,MATCH($O1033&amp;"|"&amp;$R1033&amp;"|"&amp;$AE1033,'ASIGNACIONES'!$J$4:$J$339,0)),"")))</f>
        <v/>
      </c>
      <c r="AG1033" s="13">
        <f>IF($AE1033="","",SUMIFS('ORDENES'!$M$4:$M$1203,'ORDENES'!$AE$4:$AE$1203,$AE1033,'ORDENES'!$O$4:$O$1203,$O1033,'ORDENES'!$R$4:$R$1203,$R1033))</f>
        <v/>
      </c>
      <c r="AH1033" s="13">
        <f>IF($AG1033="","",p_factor_productividad*IFERROR(INDEX('ASIGNACIONES'!$I$4:$I$339,MATCH($O1033&amp;"|"&amp;$R1033&amp;"|"&amp;$AE1033,'ASIGNACIONES'!$J$4:$J$339,0)),0)-$AG1033)</f>
        <v/>
      </c>
      <c r="AI1033" s="10">
        <f>IF($A1033="","",IFERROR(INDEX('2_IMPORTAR_EJECUCION'!$F$9:$F$1208,MATCH($AQ1033,'2_IMPORTAR_EJECUCION'!$J$9:$J$1208,0)),0))</f>
        <v/>
      </c>
      <c r="AJ1033" s="10">
        <f>IF($A1033="","",MAX(0,IFERROR(INDEX('2_IMPORTAR_EJECUCION'!$H$9:$H$1208,MATCH($AQ1033,'2_IMPORTAR_EJECUCION'!$J$9:$J$1208,0)),0)-$AI1033))</f>
        <v/>
      </c>
      <c r="AK1033" s="10">
        <f>IF($A1033="","",$AI1033+$AJ1033)</f>
        <v/>
      </c>
      <c r="AL1033" s="6" t="n"/>
      <c r="AM1033" s="6" t="n"/>
      <c r="AN1033" s="6" t="n"/>
      <c r="AO1033" s="3">
        <f>IF($AN1033="","",HYPERLINK(p_ruta_base_checklists&amp;$AN1033,"abrir"))</f>
        <v/>
      </c>
      <c r="AP1033" s="6" t="n"/>
      <c r="AQ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IF($A1034="","",IFERROR(INDEX('AJUSTES'!$B$4:$B$303,MATCH($AQ1034,'AJUSTES'!$A$4:$A$303,0)),IF($K1034="","",$K1034)))</f>
        <v/>
      </c>
      <c r="N1034" s="3">
        <f>IF($A1034="","",IFERROR(INDEX('CAT_ESTADOS_ERP'!$B$4:$B$7,MATCH(IFERROR(INDEX('2_IMPORTAR_EJECUCION'!$C$9:$C$1208,MATCH($AQ1034,'2_IMPORTAR_EJECUCION'!$J$9:$J$1208,0)),""),'CAT_ESTADOS_ERP'!$A$4:$A$7,0)),"Pendiente"))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J1034="","",IFERROR(INDEX('CALENDARIO'!$C$15:$C$214,MATCH(TEXT($J1034,"yyyy-mm-dd")&amp;"|"&amp;$V1034&amp;"|"&amp;$W1034,'CALENDARIO'!$G$15:$G$214,0)),IFERROR(INDEX('CALENDARIO'!$C$15:$C$214,MATCH(TEXT($J1034,"yyyy-mm-dd")&amp;"|"&amp;$V1034&amp;"|",'CALENDARIO'!$G$15:$G$214,0)),IFERROR(INDEX('CALENDARIO'!$C$15:$C$214,MATCH(TEXT($J1034,"yyyy-mm-dd")&amp;"||",'CALENDARIO'!$G$15:$G$214,0)),INDEX(patronHabil,WEEKDAY($J1034,2))))))</f>
        <v/>
      </c>
      <c r="T1034" s="3">
        <f>IF($I1034="","",IFERROR(INDEX('CAT_TIPOS_OT'!$C$4:$C$7,MATCH($I1034,'CAT_TIPOS_OT'!$A$4:$A$7,0)),"sin_clasificar"))</f>
        <v/>
      </c>
      <c r="U1034" s="3">
        <f>IF($F1034="","",IFERROR(INDEX('CAT_CENTROS_COSTO'!$F$4:$F$13,MATCH($F1034,'CAT_CENTROS_COSTO'!$A$4:$A$13,0)),"(sin catálogo)"))</f>
        <v/>
      </c>
      <c r="V1034" s="3">
        <f>IF($F1034="","",IFERROR(INDEX('CAT_CENTROS_COSTO'!$D$4:$D$13,MATCH($F1034,'CAT_CENTROS_COSTO'!$A$4:$A$13,0)),"(sin catálogo)"))</f>
        <v/>
      </c>
      <c r="W1034" s="3">
        <f>IF($F1034="","",IF((IFERROR(INDEX('CAT_CENTROS_COSTO'!$E$4:$E$13,MATCH($F1034,'CAT_CENTROS_COSTO'!$A$4:$A$13,0)),""))&lt;&gt;"",IFERROR(INDEX('CAT_CENTROS_COSTO'!$E$4:$E$13,MATCH($F1034,'CAT_CENTROS_COSTO'!$A$4:$A$13,0)),""),$V1034))</f>
        <v/>
      </c>
      <c r="X1034" s="3">
        <f>IF($F1034="","",IFERROR(INDEX('CAT_CENTROS_COSTO'!$G$4:$G$13,MATCH($F1034,'CAT_CENTROS_COSTO'!$A$4:$A$13,0)),"(sin catálogo)"))</f>
        <v/>
      </c>
      <c r="Y1034" s="3">
        <f>IF($G1034="","",IFERROR(INDEX('CAT_PUESTOS'!$B$4:$B$8,MATCH($G1034,'CAT_PUESTOS'!$A$4:$A$8,0)),"(sin catálogo)"))</f>
        <v/>
      </c>
      <c r="Z1034" s="3">
        <f>IF($H1034="","",IFERROR(INDEX('CAT_ACTIVIDADES'!$B$4:$B$8,MATCH($H1034,'CAT_ACTIVIDADES'!$A$4:$A$8,0)),"(sin catálogo)"))</f>
        <v/>
      </c>
      <c r="AA1034" s="12">
        <f>IF($J1034="","",TODAY()-$J1034)</f>
        <v/>
      </c>
      <c r="AB1034" s="12">
        <f>IF($J1034="","",IF($J1034&lt;=TODAY(),COUNTIFS(cal_fechas,"&gt;="&amp;$J1034,cal_fechas,"&lt;"&amp;TODAY(),cal_habil,"sí"),-COUNTIFS(cal_fechas,"&gt;="&amp;TODAY(),cal_fechas,"&lt;"&amp;$J1034,cal_habil,"sí")))</f>
        <v/>
      </c>
      <c r="AC1034" s="3">
        <f>IF($AB1034="","",IF($AB1034&lt;0,"FUTURO",IF($AB1034&gt;p_dias_backlog_max,"BACKLOG","MES CORRIENTE")))</f>
        <v/>
      </c>
      <c r="AD1034" s="3">
        <f>IF($AB1034="",FALSE,AND($AB1034&gt;p_dias_backlog_min,$AB1034&lt;=p_dias_backlog_max))</f>
        <v/>
      </c>
      <c r="AE1034" s="6" t="n"/>
      <c r="AF1034" s="3">
        <f>IF($AE1034="","",IF((IFERROR(INDEX('ASIGNACIONES'!$F$4:$F$339,MATCH($O1034&amp;"|"&amp;$R1034&amp;"|"&amp;$AE1034,'ASIGNACIONES'!$J$4:$J$339,0)),""))=0,"",IFERROR(INDEX('ASIGNACIONES'!$F$4:$F$339,MATCH($O1034&amp;"|"&amp;$R1034&amp;"|"&amp;$AE1034,'ASIGNACIONES'!$J$4:$J$339,0)),"")))</f>
        <v/>
      </c>
      <c r="AG1034" s="13">
        <f>IF($AE1034="","",SUMIFS('ORDENES'!$M$4:$M$1203,'ORDENES'!$AE$4:$AE$1203,$AE1034,'ORDENES'!$O$4:$O$1203,$O1034,'ORDENES'!$R$4:$R$1203,$R1034))</f>
        <v/>
      </c>
      <c r="AH1034" s="13">
        <f>IF($AG1034="","",p_factor_productividad*IFERROR(INDEX('ASIGNACIONES'!$I$4:$I$339,MATCH($O1034&amp;"|"&amp;$R1034&amp;"|"&amp;$AE1034,'ASIGNACIONES'!$J$4:$J$339,0)),0)-$AG1034)</f>
        <v/>
      </c>
      <c r="AI1034" s="10">
        <f>IF($A1034="","",IFERROR(INDEX('2_IMPORTAR_EJECUCION'!$F$9:$F$1208,MATCH($AQ1034,'2_IMPORTAR_EJECUCION'!$J$9:$J$1208,0)),0))</f>
        <v/>
      </c>
      <c r="AJ1034" s="10">
        <f>IF($A1034="","",MAX(0,IFERROR(INDEX('2_IMPORTAR_EJECUCION'!$H$9:$H$1208,MATCH($AQ1034,'2_IMPORTAR_EJECUCION'!$J$9:$J$1208,0)),0)-$AI1034))</f>
        <v/>
      </c>
      <c r="AK1034" s="10">
        <f>IF($A1034="","",$AI1034+$AJ1034)</f>
        <v/>
      </c>
      <c r="AL1034" s="6" t="n"/>
      <c r="AM1034" s="6" t="n"/>
      <c r="AN1034" s="6" t="n"/>
      <c r="AO1034" s="3">
        <f>IF($AN1034="","",HYPERLINK(p_ruta_base_checklists&amp;$AN1034,"abrir"))</f>
        <v/>
      </c>
      <c r="AP1034" s="6" t="n"/>
      <c r="AQ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IF($A1035="","",IFERROR(INDEX('AJUSTES'!$B$4:$B$303,MATCH($AQ1035,'AJUSTES'!$A$4:$A$303,0)),IF($K1035="","",$K1035)))</f>
        <v/>
      </c>
      <c r="N1035" s="3">
        <f>IF($A1035="","",IFERROR(INDEX('CAT_ESTADOS_ERP'!$B$4:$B$7,MATCH(IFERROR(INDEX('2_IMPORTAR_EJECUCION'!$C$9:$C$1208,MATCH($AQ1035,'2_IMPORTAR_EJECUCION'!$J$9:$J$1208,0)),""),'CAT_ESTADOS_ERP'!$A$4:$A$7,0)),"Pendiente"))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J1035="","",IFERROR(INDEX('CALENDARIO'!$C$15:$C$214,MATCH(TEXT($J1035,"yyyy-mm-dd")&amp;"|"&amp;$V1035&amp;"|"&amp;$W1035,'CALENDARIO'!$G$15:$G$214,0)),IFERROR(INDEX('CALENDARIO'!$C$15:$C$214,MATCH(TEXT($J1035,"yyyy-mm-dd")&amp;"|"&amp;$V1035&amp;"|",'CALENDARIO'!$G$15:$G$214,0)),IFERROR(INDEX('CALENDARIO'!$C$15:$C$214,MATCH(TEXT($J1035,"yyyy-mm-dd")&amp;"||",'CALENDARIO'!$G$15:$G$214,0)),INDEX(patronHabil,WEEKDAY($J1035,2))))))</f>
        <v/>
      </c>
      <c r="T1035" s="3">
        <f>IF($I1035="","",IFERROR(INDEX('CAT_TIPOS_OT'!$C$4:$C$7,MATCH($I1035,'CAT_TIPOS_OT'!$A$4:$A$7,0)),"sin_clasificar"))</f>
        <v/>
      </c>
      <c r="U1035" s="3">
        <f>IF($F1035="","",IFERROR(INDEX('CAT_CENTROS_COSTO'!$F$4:$F$13,MATCH($F1035,'CAT_CENTROS_COSTO'!$A$4:$A$13,0)),"(sin catálogo)"))</f>
        <v/>
      </c>
      <c r="V1035" s="3">
        <f>IF($F1035="","",IFERROR(INDEX('CAT_CENTROS_COSTO'!$D$4:$D$13,MATCH($F1035,'CAT_CENTROS_COSTO'!$A$4:$A$13,0)),"(sin catálogo)"))</f>
        <v/>
      </c>
      <c r="W1035" s="3">
        <f>IF($F1035="","",IF((IFERROR(INDEX('CAT_CENTROS_COSTO'!$E$4:$E$13,MATCH($F1035,'CAT_CENTROS_COSTO'!$A$4:$A$13,0)),""))&lt;&gt;"",IFERROR(INDEX('CAT_CENTROS_COSTO'!$E$4:$E$13,MATCH($F1035,'CAT_CENTROS_COSTO'!$A$4:$A$13,0)),""),$V1035))</f>
        <v/>
      </c>
      <c r="X1035" s="3">
        <f>IF($F1035="","",IFERROR(INDEX('CAT_CENTROS_COSTO'!$G$4:$G$13,MATCH($F1035,'CAT_CENTROS_COSTO'!$A$4:$A$13,0)),"(sin catálogo)"))</f>
        <v/>
      </c>
      <c r="Y1035" s="3">
        <f>IF($G1035="","",IFERROR(INDEX('CAT_PUESTOS'!$B$4:$B$8,MATCH($G1035,'CAT_PUESTOS'!$A$4:$A$8,0)),"(sin catálogo)"))</f>
        <v/>
      </c>
      <c r="Z1035" s="3">
        <f>IF($H1035="","",IFERROR(INDEX('CAT_ACTIVIDADES'!$B$4:$B$8,MATCH($H1035,'CAT_ACTIVIDADES'!$A$4:$A$8,0)),"(sin catálogo)"))</f>
        <v/>
      </c>
      <c r="AA1035" s="12">
        <f>IF($J1035="","",TODAY()-$J1035)</f>
        <v/>
      </c>
      <c r="AB1035" s="12">
        <f>IF($J1035="","",IF($J1035&lt;=TODAY(),COUNTIFS(cal_fechas,"&gt;="&amp;$J1035,cal_fechas,"&lt;"&amp;TODAY(),cal_habil,"sí"),-COUNTIFS(cal_fechas,"&gt;="&amp;TODAY(),cal_fechas,"&lt;"&amp;$J1035,cal_habil,"sí")))</f>
        <v/>
      </c>
      <c r="AC1035" s="3">
        <f>IF($AB1035="","",IF($AB1035&lt;0,"FUTURO",IF($AB1035&gt;p_dias_backlog_max,"BACKLOG","MES CORRIENTE")))</f>
        <v/>
      </c>
      <c r="AD1035" s="3">
        <f>IF($AB1035="",FALSE,AND($AB1035&gt;p_dias_backlog_min,$AB1035&lt;=p_dias_backlog_max))</f>
        <v/>
      </c>
      <c r="AE1035" s="6" t="n"/>
      <c r="AF1035" s="3">
        <f>IF($AE1035="","",IF((IFERROR(INDEX('ASIGNACIONES'!$F$4:$F$339,MATCH($O1035&amp;"|"&amp;$R1035&amp;"|"&amp;$AE1035,'ASIGNACIONES'!$J$4:$J$339,0)),""))=0,"",IFERROR(INDEX('ASIGNACIONES'!$F$4:$F$339,MATCH($O1035&amp;"|"&amp;$R1035&amp;"|"&amp;$AE1035,'ASIGNACIONES'!$J$4:$J$339,0)),"")))</f>
        <v/>
      </c>
      <c r="AG1035" s="13">
        <f>IF($AE1035="","",SUMIFS('ORDENES'!$M$4:$M$1203,'ORDENES'!$AE$4:$AE$1203,$AE1035,'ORDENES'!$O$4:$O$1203,$O1035,'ORDENES'!$R$4:$R$1203,$R1035))</f>
        <v/>
      </c>
      <c r="AH1035" s="13">
        <f>IF($AG1035="","",p_factor_productividad*IFERROR(INDEX('ASIGNACIONES'!$I$4:$I$339,MATCH($O1035&amp;"|"&amp;$R1035&amp;"|"&amp;$AE1035,'ASIGNACIONES'!$J$4:$J$339,0)),0)-$AG1035)</f>
        <v/>
      </c>
      <c r="AI1035" s="10">
        <f>IF($A1035="","",IFERROR(INDEX('2_IMPORTAR_EJECUCION'!$F$9:$F$1208,MATCH($AQ1035,'2_IMPORTAR_EJECUCION'!$J$9:$J$1208,0)),0))</f>
        <v/>
      </c>
      <c r="AJ1035" s="10">
        <f>IF($A1035="","",MAX(0,IFERROR(INDEX('2_IMPORTAR_EJECUCION'!$H$9:$H$1208,MATCH($AQ1035,'2_IMPORTAR_EJECUCION'!$J$9:$J$1208,0)),0)-$AI1035))</f>
        <v/>
      </c>
      <c r="AK1035" s="10">
        <f>IF($A1035="","",$AI1035+$AJ1035)</f>
        <v/>
      </c>
      <c r="AL1035" s="6" t="n"/>
      <c r="AM1035" s="6" t="n"/>
      <c r="AN1035" s="6" t="n"/>
      <c r="AO1035" s="3">
        <f>IF($AN1035="","",HYPERLINK(p_ruta_base_checklists&amp;$AN1035,"abrir"))</f>
        <v/>
      </c>
      <c r="AP1035" s="6" t="n"/>
      <c r="AQ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IF($A1036="","",IFERROR(INDEX('AJUSTES'!$B$4:$B$303,MATCH($AQ1036,'AJUSTES'!$A$4:$A$303,0)),IF($K1036="","",$K1036)))</f>
        <v/>
      </c>
      <c r="N1036" s="3">
        <f>IF($A1036="","",IFERROR(INDEX('CAT_ESTADOS_ERP'!$B$4:$B$7,MATCH(IFERROR(INDEX('2_IMPORTAR_EJECUCION'!$C$9:$C$1208,MATCH($AQ1036,'2_IMPORTAR_EJECUCION'!$J$9:$J$1208,0)),""),'CAT_ESTADOS_ERP'!$A$4:$A$7,0)),"Pendiente"))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J1036="","",IFERROR(INDEX('CALENDARIO'!$C$15:$C$214,MATCH(TEXT($J1036,"yyyy-mm-dd")&amp;"|"&amp;$V1036&amp;"|"&amp;$W1036,'CALENDARIO'!$G$15:$G$214,0)),IFERROR(INDEX('CALENDARIO'!$C$15:$C$214,MATCH(TEXT($J1036,"yyyy-mm-dd")&amp;"|"&amp;$V1036&amp;"|",'CALENDARIO'!$G$15:$G$214,0)),IFERROR(INDEX('CALENDARIO'!$C$15:$C$214,MATCH(TEXT($J1036,"yyyy-mm-dd")&amp;"||",'CALENDARIO'!$G$15:$G$214,0)),INDEX(patronHabil,WEEKDAY($J1036,2))))))</f>
        <v/>
      </c>
      <c r="T1036" s="3">
        <f>IF($I1036="","",IFERROR(INDEX('CAT_TIPOS_OT'!$C$4:$C$7,MATCH($I1036,'CAT_TIPOS_OT'!$A$4:$A$7,0)),"sin_clasificar"))</f>
        <v/>
      </c>
      <c r="U1036" s="3">
        <f>IF($F1036="","",IFERROR(INDEX('CAT_CENTROS_COSTO'!$F$4:$F$13,MATCH($F1036,'CAT_CENTROS_COSTO'!$A$4:$A$13,0)),"(sin catálogo)"))</f>
        <v/>
      </c>
      <c r="V1036" s="3">
        <f>IF($F1036="","",IFERROR(INDEX('CAT_CENTROS_COSTO'!$D$4:$D$13,MATCH($F1036,'CAT_CENTROS_COSTO'!$A$4:$A$13,0)),"(sin catálogo)"))</f>
        <v/>
      </c>
      <c r="W1036" s="3">
        <f>IF($F1036="","",IF((IFERROR(INDEX('CAT_CENTROS_COSTO'!$E$4:$E$13,MATCH($F1036,'CAT_CENTROS_COSTO'!$A$4:$A$13,0)),""))&lt;&gt;"",IFERROR(INDEX('CAT_CENTROS_COSTO'!$E$4:$E$13,MATCH($F1036,'CAT_CENTROS_COSTO'!$A$4:$A$13,0)),""),$V1036))</f>
        <v/>
      </c>
      <c r="X1036" s="3">
        <f>IF($F1036="","",IFERROR(INDEX('CAT_CENTROS_COSTO'!$G$4:$G$13,MATCH($F1036,'CAT_CENTROS_COSTO'!$A$4:$A$13,0)),"(sin catálogo)"))</f>
        <v/>
      </c>
      <c r="Y1036" s="3">
        <f>IF($G1036="","",IFERROR(INDEX('CAT_PUESTOS'!$B$4:$B$8,MATCH($G1036,'CAT_PUESTOS'!$A$4:$A$8,0)),"(sin catálogo)"))</f>
        <v/>
      </c>
      <c r="Z1036" s="3">
        <f>IF($H1036="","",IFERROR(INDEX('CAT_ACTIVIDADES'!$B$4:$B$8,MATCH($H1036,'CAT_ACTIVIDADES'!$A$4:$A$8,0)),"(sin catálogo)"))</f>
        <v/>
      </c>
      <c r="AA1036" s="12">
        <f>IF($J1036="","",TODAY()-$J1036)</f>
        <v/>
      </c>
      <c r="AB1036" s="12">
        <f>IF($J1036="","",IF($J1036&lt;=TODAY(),COUNTIFS(cal_fechas,"&gt;="&amp;$J1036,cal_fechas,"&lt;"&amp;TODAY(),cal_habil,"sí"),-COUNTIFS(cal_fechas,"&gt;="&amp;TODAY(),cal_fechas,"&lt;"&amp;$J1036,cal_habil,"sí")))</f>
        <v/>
      </c>
      <c r="AC1036" s="3">
        <f>IF($AB1036="","",IF($AB1036&lt;0,"FUTURO",IF($AB1036&gt;p_dias_backlog_max,"BACKLOG","MES CORRIENTE")))</f>
        <v/>
      </c>
      <c r="AD1036" s="3">
        <f>IF($AB1036="",FALSE,AND($AB1036&gt;p_dias_backlog_min,$AB1036&lt;=p_dias_backlog_max))</f>
        <v/>
      </c>
      <c r="AE1036" s="6" t="n"/>
      <c r="AF1036" s="3">
        <f>IF($AE1036="","",IF((IFERROR(INDEX('ASIGNACIONES'!$F$4:$F$339,MATCH($O1036&amp;"|"&amp;$R1036&amp;"|"&amp;$AE1036,'ASIGNACIONES'!$J$4:$J$339,0)),""))=0,"",IFERROR(INDEX('ASIGNACIONES'!$F$4:$F$339,MATCH($O1036&amp;"|"&amp;$R1036&amp;"|"&amp;$AE1036,'ASIGNACIONES'!$J$4:$J$339,0)),"")))</f>
        <v/>
      </c>
      <c r="AG1036" s="13">
        <f>IF($AE1036="","",SUMIFS('ORDENES'!$M$4:$M$1203,'ORDENES'!$AE$4:$AE$1203,$AE1036,'ORDENES'!$O$4:$O$1203,$O1036,'ORDENES'!$R$4:$R$1203,$R1036))</f>
        <v/>
      </c>
      <c r="AH1036" s="13">
        <f>IF($AG1036="","",p_factor_productividad*IFERROR(INDEX('ASIGNACIONES'!$I$4:$I$339,MATCH($O1036&amp;"|"&amp;$R1036&amp;"|"&amp;$AE1036,'ASIGNACIONES'!$J$4:$J$339,0)),0)-$AG1036)</f>
        <v/>
      </c>
      <c r="AI1036" s="10">
        <f>IF($A1036="","",IFERROR(INDEX('2_IMPORTAR_EJECUCION'!$F$9:$F$1208,MATCH($AQ1036,'2_IMPORTAR_EJECUCION'!$J$9:$J$1208,0)),0))</f>
        <v/>
      </c>
      <c r="AJ1036" s="10">
        <f>IF($A1036="","",MAX(0,IFERROR(INDEX('2_IMPORTAR_EJECUCION'!$H$9:$H$1208,MATCH($AQ1036,'2_IMPORTAR_EJECUCION'!$J$9:$J$1208,0)),0)-$AI1036))</f>
        <v/>
      </c>
      <c r="AK1036" s="10">
        <f>IF($A1036="","",$AI1036+$AJ1036)</f>
        <v/>
      </c>
      <c r="AL1036" s="6" t="n"/>
      <c r="AM1036" s="6" t="n"/>
      <c r="AN1036" s="6" t="n"/>
      <c r="AO1036" s="3">
        <f>IF($AN1036="","",HYPERLINK(p_ruta_base_checklists&amp;$AN1036,"abrir"))</f>
        <v/>
      </c>
      <c r="AP1036" s="6" t="n"/>
      <c r="AQ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IF($A1037="","",IFERROR(INDEX('AJUSTES'!$B$4:$B$303,MATCH($AQ1037,'AJUSTES'!$A$4:$A$303,0)),IF($K1037="","",$K1037)))</f>
        <v/>
      </c>
      <c r="N1037" s="3">
        <f>IF($A1037="","",IFERROR(INDEX('CAT_ESTADOS_ERP'!$B$4:$B$7,MATCH(IFERROR(INDEX('2_IMPORTAR_EJECUCION'!$C$9:$C$1208,MATCH($AQ1037,'2_IMPORTAR_EJECUCION'!$J$9:$J$1208,0)),""),'CAT_ESTADOS_ERP'!$A$4:$A$7,0)),"Pendiente"))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J1037="","",IFERROR(INDEX('CALENDARIO'!$C$15:$C$214,MATCH(TEXT($J1037,"yyyy-mm-dd")&amp;"|"&amp;$V1037&amp;"|"&amp;$W1037,'CALENDARIO'!$G$15:$G$214,0)),IFERROR(INDEX('CALENDARIO'!$C$15:$C$214,MATCH(TEXT($J1037,"yyyy-mm-dd")&amp;"|"&amp;$V1037&amp;"|",'CALENDARIO'!$G$15:$G$214,0)),IFERROR(INDEX('CALENDARIO'!$C$15:$C$214,MATCH(TEXT($J1037,"yyyy-mm-dd")&amp;"||",'CALENDARIO'!$G$15:$G$214,0)),INDEX(patronHabil,WEEKDAY($J1037,2))))))</f>
        <v/>
      </c>
      <c r="T1037" s="3">
        <f>IF($I1037="","",IFERROR(INDEX('CAT_TIPOS_OT'!$C$4:$C$7,MATCH($I1037,'CAT_TIPOS_OT'!$A$4:$A$7,0)),"sin_clasificar"))</f>
        <v/>
      </c>
      <c r="U1037" s="3">
        <f>IF($F1037="","",IFERROR(INDEX('CAT_CENTROS_COSTO'!$F$4:$F$13,MATCH($F1037,'CAT_CENTROS_COSTO'!$A$4:$A$13,0)),"(sin catálogo)"))</f>
        <v/>
      </c>
      <c r="V1037" s="3">
        <f>IF($F1037="","",IFERROR(INDEX('CAT_CENTROS_COSTO'!$D$4:$D$13,MATCH($F1037,'CAT_CENTROS_COSTO'!$A$4:$A$13,0)),"(sin catálogo)"))</f>
        <v/>
      </c>
      <c r="W1037" s="3">
        <f>IF($F1037="","",IF((IFERROR(INDEX('CAT_CENTROS_COSTO'!$E$4:$E$13,MATCH($F1037,'CAT_CENTROS_COSTO'!$A$4:$A$13,0)),""))&lt;&gt;"",IFERROR(INDEX('CAT_CENTROS_COSTO'!$E$4:$E$13,MATCH($F1037,'CAT_CENTROS_COSTO'!$A$4:$A$13,0)),""),$V1037))</f>
        <v/>
      </c>
      <c r="X1037" s="3">
        <f>IF($F1037="","",IFERROR(INDEX('CAT_CENTROS_COSTO'!$G$4:$G$13,MATCH($F1037,'CAT_CENTROS_COSTO'!$A$4:$A$13,0)),"(sin catálogo)"))</f>
        <v/>
      </c>
      <c r="Y1037" s="3">
        <f>IF($G1037="","",IFERROR(INDEX('CAT_PUESTOS'!$B$4:$B$8,MATCH($G1037,'CAT_PUESTOS'!$A$4:$A$8,0)),"(sin catálogo)"))</f>
        <v/>
      </c>
      <c r="Z1037" s="3">
        <f>IF($H1037="","",IFERROR(INDEX('CAT_ACTIVIDADES'!$B$4:$B$8,MATCH($H1037,'CAT_ACTIVIDADES'!$A$4:$A$8,0)),"(sin catálogo)"))</f>
        <v/>
      </c>
      <c r="AA1037" s="12">
        <f>IF($J1037="","",TODAY()-$J1037)</f>
        <v/>
      </c>
      <c r="AB1037" s="12">
        <f>IF($J1037="","",IF($J1037&lt;=TODAY(),COUNTIFS(cal_fechas,"&gt;="&amp;$J1037,cal_fechas,"&lt;"&amp;TODAY(),cal_habil,"sí"),-COUNTIFS(cal_fechas,"&gt;="&amp;TODAY(),cal_fechas,"&lt;"&amp;$J1037,cal_habil,"sí")))</f>
        <v/>
      </c>
      <c r="AC1037" s="3">
        <f>IF($AB1037="","",IF($AB1037&lt;0,"FUTURO",IF($AB1037&gt;p_dias_backlog_max,"BACKLOG","MES CORRIENTE")))</f>
        <v/>
      </c>
      <c r="AD1037" s="3">
        <f>IF($AB1037="",FALSE,AND($AB1037&gt;p_dias_backlog_min,$AB1037&lt;=p_dias_backlog_max))</f>
        <v/>
      </c>
      <c r="AE1037" s="6" t="n"/>
      <c r="AF1037" s="3">
        <f>IF($AE1037="","",IF((IFERROR(INDEX('ASIGNACIONES'!$F$4:$F$339,MATCH($O1037&amp;"|"&amp;$R1037&amp;"|"&amp;$AE1037,'ASIGNACIONES'!$J$4:$J$339,0)),""))=0,"",IFERROR(INDEX('ASIGNACIONES'!$F$4:$F$339,MATCH($O1037&amp;"|"&amp;$R1037&amp;"|"&amp;$AE1037,'ASIGNACIONES'!$J$4:$J$339,0)),"")))</f>
        <v/>
      </c>
      <c r="AG1037" s="13">
        <f>IF($AE1037="","",SUMIFS('ORDENES'!$M$4:$M$1203,'ORDENES'!$AE$4:$AE$1203,$AE1037,'ORDENES'!$O$4:$O$1203,$O1037,'ORDENES'!$R$4:$R$1203,$R1037))</f>
        <v/>
      </c>
      <c r="AH1037" s="13">
        <f>IF($AG1037="","",p_factor_productividad*IFERROR(INDEX('ASIGNACIONES'!$I$4:$I$339,MATCH($O1037&amp;"|"&amp;$R1037&amp;"|"&amp;$AE1037,'ASIGNACIONES'!$J$4:$J$339,0)),0)-$AG1037)</f>
        <v/>
      </c>
      <c r="AI1037" s="10">
        <f>IF($A1037="","",IFERROR(INDEX('2_IMPORTAR_EJECUCION'!$F$9:$F$1208,MATCH($AQ1037,'2_IMPORTAR_EJECUCION'!$J$9:$J$1208,0)),0))</f>
        <v/>
      </c>
      <c r="AJ1037" s="10">
        <f>IF($A1037="","",MAX(0,IFERROR(INDEX('2_IMPORTAR_EJECUCION'!$H$9:$H$1208,MATCH($AQ1037,'2_IMPORTAR_EJECUCION'!$J$9:$J$1208,0)),0)-$AI1037))</f>
        <v/>
      </c>
      <c r="AK1037" s="10">
        <f>IF($A1037="","",$AI1037+$AJ1037)</f>
        <v/>
      </c>
      <c r="AL1037" s="6" t="n"/>
      <c r="AM1037" s="6" t="n"/>
      <c r="AN1037" s="6" t="n"/>
      <c r="AO1037" s="3">
        <f>IF($AN1037="","",HYPERLINK(p_ruta_base_checklists&amp;$AN1037,"abrir"))</f>
        <v/>
      </c>
      <c r="AP1037" s="6" t="n"/>
      <c r="AQ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IF($A1038="","",IFERROR(INDEX('AJUSTES'!$B$4:$B$303,MATCH($AQ1038,'AJUSTES'!$A$4:$A$303,0)),IF($K1038="","",$K1038)))</f>
        <v/>
      </c>
      <c r="N1038" s="3">
        <f>IF($A1038="","",IFERROR(INDEX('CAT_ESTADOS_ERP'!$B$4:$B$7,MATCH(IFERROR(INDEX('2_IMPORTAR_EJECUCION'!$C$9:$C$1208,MATCH($AQ1038,'2_IMPORTAR_EJECUCION'!$J$9:$J$1208,0)),""),'CAT_ESTADOS_ERP'!$A$4:$A$7,0)),"Pendiente"))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J1038="","",IFERROR(INDEX('CALENDARIO'!$C$15:$C$214,MATCH(TEXT($J1038,"yyyy-mm-dd")&amp;"|"&amp;$V1038&amp;"|"&amp;$W1038,'CALENDARIO'!$G$15:$G$214,0)),IFERROR(INDEX('CALENDARIO'!$C$15:$C$214,MATCH(TEXT($J1038,"yyyy-mm-dd")&amp;"|"&amp;$V1038&amp;"|",'CALENDARIO'!$G$15:$G$214,0)),IFERROR(INDEX('CALENDARIO'!$C$15:$C$214,MATCH(TEXT($J1038,"yyyy-mm-dd")&amp;"||",'CALENDARIO'!$G$15:$G$214,0)),INDEX(patronHabil,WEEKDAY($J1038,2))))))</f>
        <v/>
      </c>
      <c r="T1038" s="3">
        <f>IF($I1038="","",IFERROR(INDEX('CAT_TIPOS_OT'!$C$4:$C$7,MATCH($I1038,'CAT_TIPOS_OT'!$A$4:$A$7,0)),"sin_clasificar"))</f>
        <v/>
      </c>
      <c r="U1038" s="3">
        <f>IF($F1038="","",IFERROR(INDEX('CAT_CENTROS_COSTO'!$F$4:$F$13,MATCH($F1038,'CAT_CENTROS_COSTO'!$A$4:$A$13,0)),"(sin catálogo)"))</f>
        <v/>
      </c>
      <c r="V1038" s="3">
        <f>IF($F1038="","",IFERROR(INDEX('CAT_CENTROS_COSTO'!$D$4:$D$13,MATCH($F1038,'CAT_CENTROS_COSTO'!$A$4:$A$13,0)),"(sin catálogo)"))</f>
        <v/>
      </c>
      <c r="W1038" s="3">
        <f>IF($F1038="","",IF((IFERROR(INDEX('CAT_CENTROS_COSTO'!$E$4:$E$13,MATCH($F1038,'CAT_CENTROS_COSTO'!$A$4:$A$13,0)),""))&lt;&gt;"",IFERROR(INDEX('CAT_CENTROS_COSTO'!$E$4:$E$13,MATCH($F1038,'CAT_CENTROS_COSTO'!$A$4:$A$13,0)),""),$V1038))</f>
        <v/>
      </c>
      <c r="X1038" s="3">
        <f>IF($F1038="","",IFERROR(INDEX('CAT_CENTROS_COSTO'!$G$4:$G$13,MATCH($F1038,'CAT_CENTROS_COSTO'!$A$4:$A$13,0)),"(sin catálogo)"))</f>
        <v/>
      </c>
      <c r="Y1038" s="3">
        <f>IF($G1038="","",IFERROR(INDEX('CAT_PUESTOS'!$B$4:$B$8,MATCH($G1038,'CAT_PUESTOS'!$A$4:$A$8,0)),"(sin catálogo)"))</f>
        <v/>
      </c>
      <c r="Z1038" s="3">
        <f>IF($H1038="","",IFERROR(INDEX('CAT_ACTIVIDADES'!$B$4:$B$8,MATCH($H1038,'CAT_ACTIVIDADES'!$A$4:$A$8,0)),"(sin catálogo)"))</f>
        <v/>
      </c>
      <c r="AA1038" s="12">
        <f>IF($J1038="","",TODAY()-$J1038)</f>
        <v/>
      </c>
      <c r="AB1038" s="12">
        <f>IF($J1038="","",IF($J1038&lt;=TODAY(),COUNTIFS(cal_fechas,"&gt;="&amp;$J1038,cal_fechas,"&lt;"&amp;TODAY(),cal_habil,"sí"),-COUNTIFS(cal_fechas,"&gt;="&amp;TODAY(),cal_fechas,"&lt;"&amp;$J1038,cal_habil,"sí")))</f>
        <v/>
      </c>
      <c r="AC1038" s="3">
        <f>IF($AB1038="","",IF($AB1038&lt;0,"FUTURO",IF($AB1038&gt;p_dias_backlog_max,"BACKLOG","MES CORRIENTE")))</f>
        <v/>
      </c>
      <c r="AD1038" s="3">
        <f>IF($AB1038="",FALSE,AND($AB1038&gt;p_dias_backlog_min,$AB1038&lt;=p_dias_backlog_max))</f>
        <v/>
      </c>
      <c r="AE1038" s="6" t="n"/>
      <c r="AF1038" s="3">
        <f>IF($AE1038="","",IF((IFERROR(INDEX('ASIGNACIONES'!$F$4:$F$339,MATCH($O1038&amp;"|"&amp;$R1038&amp;"|"&amp;$AE1038,'ASIGNACIONES'!$J$4:$J$339,0)),""))=0,"",IFERROR(INDEX('ASIGNACIONES'!$F$4:$F$339,MATCH($O1038&amp;"|"&amp;$R1038&amp;"|"&amp;$AE1038,'ASIGNACIONES'!$J$4:$J$339,0)),"")))</f>
        <v/>
      </c>
      <c r="AG1038" s="13">
        <f>IF($AE1038="","",SUMIFS('ORDENES'!$M$4:$M$1203,'ORDENES'!$AE$4:$AE$1203,$AE1038,'ORDENES'!$O$4:$O$1203,$O1038,'ORDENES'!$R$4:$R$1203,$R1038))</f>
        <v/>
      </c>
      <c r="AH1038" s="13">
        <f>IF($AG1038="","",p_factor_productividad*IFERROR(INDEX('ASIGNACIONES'!$I$4:$I$339,MATCH($O1038&amp;"|"&amp;$R1038&amp;"|"&amp;$AE1038,'ASIGNACIONES'!$J$4:$J$339,0)),0)-$AG1038)</f>
        <v/>
      </c>
      <c r="AI1038" s="10">
        <f>IF($A1038="","",IFERROR(INDEX('2_IMPORTAR_EJECUCION'!$F$9:$F$1208,MATCH($AQ1038,'2_IMPORTAR_EJECUCION'!$J$9:$J$1208,0)),0))</f>
        <v/>
      </c>
      <c r="AJ1038" s="10">
        <f>IF($A1038="","",MAX(0,IFERROR(INDEX('2_IMPORTAR_EJECUCION'!$H$9:$H$1208,MATCH($AQ1038,'2_IMPORTAR_EJECUCION'!$J$9:$J$1208,0)),0)-$AI1038))</f>
        <v/>
      </c>
      <c r="AK1038" s="10">
        <f>IF($A1038="","",$AI1038+$AJ1038)</f>
        <v/>
      </c>
      <c r="AL1038" s="6" t="n"/>
      <c r="AM1038" s="6" t="n"/>
      <c r="AN1038" s="6" t="n"/>
      <c r="AO1038" s="3">
        <f>IF($AN1038="","",HYPERLINK(p_ruta_base_checklists&amp;$AN1038,"abrir"))</f>
        <v/>
      </c>
      <c r="AP1038" s="6" t="n"/>
      <c r="AQ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IF($A1039="","",IFERROR(INDEX('AJUSTES'!$B$4:$B$303,MATCH($AQ1039,'AJUSTES'!$A$4:$A$303,0)),IF($K1039="","",$K1039)))</f>
        <v/>
      </c>
      <c r="N1039" s="3">
        <f>IF($A1039="","",IFERROR(INDEX('CAT_ESTADOS_ERP'!$B$4:$B$7,MATCH(IFERROR(INDEX('2_IMPORTAR_EJECUCION'!$C$9:$C$1208,MATCH($AQ1039,'2_IMPORTAR_EJECUCION'!$J$9:$J$1208,0)),""),'CAT_ESTADOS_ERP'!$A$4:$A$7,0)),"Pendiente"))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J1039="","",IFERROR(INDEX('CALENDARIO'!$C$15:$C$214,MATCH(TEXT($J1039,"yyyy-mm-dd")&amp;"|"&amp;$V1039&amp;"|"&amp;$W1039,'CALENDARIO'!$G$15:$G$214,0)),IFERROR(INDEX('CALENDARIO'!$C$15:$C$214,MATCH(TEXT($J1039,"yyyy-mm-dd")&amp;"|"&amp;$V1039&amp;"|",'CALENDARIO'!$G$15:$G$214,0)),IFERROR(INDEX('CALENDARIO'!$C$15:$C$214,MATCH(TEXT($J1039,"yyyy-mm-dd")&amp;"||",'CALENDARIO'!$G$15:$G$214,0)),INDEX(patronHabil,WEEKDAY($J1039,2))))))</f>
        <v/>
      </c>
      <c r="T1039" s="3">
        <f>IF($I1039="","",IFERROR(INDEX('CAT_TIPOS_OT'!$C$4:$C$7,MATCH($I1039,'CAT_TIPOS_OT'!$A$4:$A$7,0)),"sin_clasificar"))</f>
        <v/>
      </c>
      <c r="U1039" s="3">
        <f>IF($F1039="","",IFERROR(INDEX('CAT_CENTROS_COSTO'!$F$4:$F$13,MATCH($F1039,'CAT_CENTROS_COSTO'!$A$4:$A$13,0)),"(sin catálogo)"))</f>
        <v/>
      </c>
      <c r="V1039" s="3">
        <f>IF($F1039="","",IFERROR(INDEX('CAT_CENTROS_COSTO'!$D$4:$D$13,MATCH($F1039,'CAT_CENTROS_COSTO'!$A$4:$A$13,0)),"(sin catálogo)"))</f>
        <v/>
      </c>
      <c r="W1039" s="3">
        <f>IF($F1039="","",IF((IFERROR(INDEX('CAT_CENTROS_COSTO'!$E$4:$E$13,MATCH($F1039,'CAT_CENTROS_COSTO'!$A$4:$A$13,0)),""))&lt;&gt;"",IFERROR(INDEX('CAT_CENTROS_COSTO'!$E$4:$E$13,MATCH($F1039,'CAT_CENTROS_COSTO'!$A$4:$A$13,0)),""),$V1039))</f>
        <v/>
      </c>
      <c r="X1039" s="3">
        <f>IF($F1039="","",IFERROR(INDEX('CAT_CENTROS_COSTO'!$G$4:$G$13,MATCH($F1039,'CAT_CENTROS_COSTO'!$A$4:$A$13,0)),"(sin catálogo)"))</f>
        <v/>
      </c>
      <c r="Y1039" s="3">
        <f>IF($G1039="","",IFERROR(INDEX('CAT_PUESTOS'!$B$4:$B$8,MATCH($G1039,'CAT_PUESTOS'!$A$4:$A$8,0)),"(sin catálogo)"))</f>
        <v/>
      </c>
      <c r="Z1039" s="3">
        <f>IF($H1039="","",IFERROR(INDEX('CAT_ACTIVIDADES'!$B$4:$B$8,MATCH($H1039,'CAT_ACTIVIDADES'!$A$4:$A$8,0)),"(sin catálogo)"))</f>
        <v/>
      </c>
      <c r="AA1039" s="12">
        <f>IF($J1039="","",TODAY()-$J1039)</f>
        <v/>
      </c>
      <c r="AB1039" s="12">
        <f>IF($J1039="","",IF($J1039&lt;=TODAY(),COUNTIFS(cal_fechas,"&gt;="&amp;$J1039,cal_fechas,"&lt;"&amp;TODAY(),cal_habil,"sí"),-COUNTIFS(cal_fechas,"&gt;="&amp;TODAY(),cal_fechas,"&lt;"&amp;$J1039,cal_habil,"sí")))</f>
        <v/>
      </c>
      <c r="AC1039" s="3">
        <f>IF($AB1039="","",IF($AB1039&lt;0,"FUTURO",IF($AB1039&gt;p_dias_backlog_max,"BACKLOG","MES CORRIENTE")))</f>
        <v/>
      </c>
      <c r="AD1039" s="3">
        <f>IF($AB1039="",FALSE,AND($AB1039&gt;p_dias_backlog_min,$AB1039&lt;=p_dias_backlog_max))</f>
        <v/>
      </c>
      <c r="AE1039" s="6" t="n"/>
      <c r="AF1039" s="3">
        <f>IF($AE1039="","",IF((IFERROR(INDEX('ASIGNACIONES'!$F$4:$F$339,MATCH($O1039&amp;"|"&amp;$R1039&amp;"|"&amp;$AE1039,'ASIGNACIONES'!$J$4:$J$339,0)),""))=0,"",IFERROR(INDEX('ASIGNACIONES'!$F$4:$F$339,MATCH($O1039&amp;"|"&amp;$R1039&amp;"|"&amp;$AE1039,'ASIGNACIONES'!$J$4:$J$339,0)),"")))</f>
        <v/>
      </c>
      <c r="AG1039" s="13">
        <f>IF($AE1039="","",SUMIFS('ORDENES'!$M$4:$M$1203,'ORDENES'!$AE$4:$AE$1203,$AE1039,'ORDENES'!$O$4:$O$1203,$O1039,'ORDENES'!$R$4:$R$1203,$R1039))</f>
        <v/>
      </c>
      <c r="AH1039" s="13">
        <f>IF($AG1039="","",p_factor_productividad*IFERROR(INDEX('ASIGNACIONES'!$I$4:$I$339,MATCH($O1039&amp;"|"&amp;$R1039&amp;"|"&amp;$AE1039,'ASIGNACIONES'!$J$4:$J$339,0)),0)-$AG1039)</f>
        <v/>
      </c>
      <c r="AI1039" s="10">
        <f>IF($A1039="","",IFERROR(INDEX('2_IMPORTAR_EJECUCION'!$F$9:$F$1208,MATCH($AQ1039,'2_IMPORTAR_EJECUCION'!$J$9:$J$1208,0)),0))</f>
        <v/>
      </c>
      <c r="AJ1039" s="10">
        <f>IF($A1039="","",MAX(0,IFERROR(INDEX('2_IMPORTAR_EJECUCION'!$H$9:$H$1208,MATCH($AQ1039,'2_IMPORTAR_EJECUCION'!$J$9:$J$1208,0)),0)-$AI1039))</f>
        <v/>
      </c>
      <c r="AK1039" s="10">
        <f>IF($A1039="","",$AI1039+$AJ1039)</f>
        <v/>
      </c>
      <c r="AL1039" s="6" t="n"/>
      <c r="AM1039" s="6" t="n"/>
      <c r="AN1039" s="6" t="n"/>
      <c r="AO1039" s="3">
        <f>IF($AN1039="","",HYPERLINK(p_ruta_base_checklists&amp;$AN1039,"abrir"))</f>
        <v/>
      </c>
      <c r="AP1039" s="6" t="n"/>
      <c r="AQ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IF($A1040="","",IFERROR(INDEX('AJUSTES'!$B$4:$B$303,MATCH($AQ1040,'AJUSTES'!$A$4:$A$303,0)),IF($K1040="","",$K1040)))</f>
        <v/>
      </c>
      <c r="N1040" s="3">
        <f>IF($A1040="","",IFERROR(INDEX('CAT_ESTADOS_ERP'!$B$4:$B$7,MATCH(IFERROR(INDEX('2_IMPORTAR_EJECUCION'!$C$9:$C$1208,MATCH($AQ1040,'2_IMPORTAR_EJECUCION'!$J$9:$J$1208,0)),""),'CAT_ESTADOS_ERP'!$A$4:$A$7,0)),"Pendiente"))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J1040="","",IFERROR(INDEX('CALENDARIO'!$C$15:$C$214,MATCH(TEXT($J1040,"yyyy-mm-dd")&amp;"|"&amp;$V1040&amp;"|"&amp;$W1040,'CALENDARIO'!$G$15:$G$214,0)),IFERROR(INDEX('CALENDARIO'!$C$15:$C$214,MATCH(TEXT($J1040,"yyyy-mm-dd")&amp;"|"&amp;$V1040&amp;"|",'CALENDARIO'!$G$15:$G$214,0)),IFERROR(INDEX('CALENDARIO'!$C$15:$C$214,MATCH(TEXT($J1040,"yyyy-mm-dd")&amp;"||",'CALENDARIO'!$G$15:$G$214,0)),INDEX(patronHabil,WEEKDAY($J1040,2))))))</f>
        <v/>
      </c>
      <c r="T1040" s="3">
        <f>IF($I1040="","",IFERROR(INDEX('CAT_TIPOS_OT'!$C$4:$C$7,MATCH($I1040,'CAT_TIPOS_OT'!$A$4:$A$7,0)),"sin_clasificar"))</f>
        <v/>
      </c>
      <c r="U1040" s="3">
        <f>IF($F1040="","",IFERROR(INDEX('CAT_CENTROS_COSTO'!$F$4:$F$13,MATCH($F1040,'CAT_CENTROS_COSTO'!$A$4:$A$13,0)),"(sin catálogo)"))</f>
        <v/>
      </c>
      <c r="V1040" s="3">
        <f>IF($F1040="","",IFERROR(INDEX('CAT_CENTROS_COSTO'!$D$4:$D$13,MATCH($F1040,'CAT_CENTROS_COSTO'!$A$4:$A$13,0)),"(sin catálogo)"))</f>
        <v/>
      </c>
      <c r="W1040" s="3">
        <f>IF($F1040="","",IF((IFERROR(INDEX('CAT_CENTROS_COSTO'!$E$4:$E$13,MATCH($F1040,'CAT_CENTROS_COSTO'!$A$4:$A$13,0)),""))&lt;&gt;"",IFERROR(INDEX('CAT_CENTROS_COSTO'!$E$4:$E$13,MATCH($F1040,'CAT_CENTROS_COSTO'!$A$4:$A$13,0)),""),$V1040))</f>
        <v/>
      </c>
      <c r="X1040" s="3">
        <f>IF($F1040="","",IFERROR(INDEX('CAT_CENTROS_COSTO'!$G$4:$G$13,MATCH($F1040,'CAT_CENTROS_COSTO'!$A$4:$A$13,0)),"(sin catálogo)"))</f>
        <v/>
      </c>
      <c r="Y1040" s="3">
        <f>IF($G1040="","",IFERROR(INDEX('CAT_PUESTOS'!$B$4:$B$8,MATCH($G1040,'CAT_PUESTOS'!$A$4:$A$8,0)),"(sin catálogo)"))</f>
        <v/>
      </c>
      <c r="Z1040" s="3">
        <f>IF($H1040="","",IFERROR(INDEX('CAT_ACTIVIDADES'!$B$4:$B$8,MATCH($H1040,'CAT_ACTIVIDADES'!$A$4:$A$8,0)),"(sin catálogo)"))</f>
        <v/>
      </c>
      <c r="AA1040" s="12">
        <f>IF($J1040="","",TODAY()-$J1040)</f>
        <v/>
      </c>
      <c r="AB1040" s="12">
        <f>IF($J1040="","",IF($J1040&lt;=TODAY(),COUNTIFS(cal_fechas,"&gt;="&amp;$J1040,cal_fechas,"&lt;"&amp;TODAY(),cal_habil,"sí"),-COUNTIFS(cal_fechas,"&gt;="&amp;TODAY(),cal_fechas,"&lt;"&amp;$J1040,cal_habil,"sí")))</f>
        <v/>
      </c>
      <c r="AC1040" s="3">
        <f>IF($AB1040="","",IF($AB1040&lt;0,"FUTURO",IF($AB1040&gt;p_dias_backlog_max,"BACKLOG","MES CORRIENTE")))</f>
        <v/>
      </c>
      <c r="AD1040" s="3">
        <f>IF($AB1040="",FALSE,AND($AB1040&gt;p_dias_backlog_min,$AB1040&lt;=p_dias_backlog_max))</f>
        <v/>
      </c>
      <c r="AE1040" s="6" t="n"/>
      <c r="AF1040" s="3">
        <f>IF($AE1040="","",IF((IFERROR(INDEX('ASIGNACIONES'!$F$4:$F$339,MATCH($O1040&amp;"|"&amp;$R1040&amp;"|"&amp;$AE1040,'ASIGNACIONES'!$J$4:$J$339,0)),""))=0,"",IFERROR(INDEX('ASIGNACIONES'!$F$4:$F$339,MATCH($O1040&amp;"|"&amp;$R1040&amp;"|"&amp;$AE1040,'ASIGNACIONES'!$J$4:$J$339,0)),"")))</f>
        <v/>
      </c>
      <c r="AG1040" s="13">
        <f>IF($AE1040="","",SUMIFS('ORDENES'!$M$4:$M$1203,'ORDENES'!$AE$4:$AE$1203,$AE1040,'ORDENES'!$O$4:$O$1203,$O1040,'ORDENES'!$R$4:$R$1203,$R1040))</f>
        <v/>
      </c>
      <c r="AH1040" s="13">
        <f>IF($AG1040="","",p_factor_productividad*IFERROR(INDEX('ASIGNACIONES'!$I$4:$I$339,MATCH($O1040&amp;"|"&amp;$R1040&amp;"|"&amp;$AE1040,'ASIGNACIONES'!$J$4:$J$339,0)),0)-$AG1040)</f>
        <v/>
      </c>
      <c r="AI1040" s="10">
        <f>IF($A1040="","",IFERROR(INDEX('2_IMPORTAR_EJECUCION'!$F$9:$F$1208,MATCH($AQ1040,'2_IMPORTAR_EJECUCION'!$J$9:$J$1208,0)),0))</f>
        <v/>
      </c>
      <c r="AJ1040" s="10">
        <f>IF($A1040="","",MAX(0,IFERROR(INDEX('2_IMPORTAR_EJECUCION'!$H$9:$H$1208,MATCH($AQ1040,'2_IMPORTAR_EJECUCION'!$J$9:$J$1208,0)),0)-$AI1040))</f>
        <v/>
      </c>
      <c r="AK1040" s="10">
        <f>IF($A1040="","",$AI1040+$AJ1040)</f>
        <v/>
      </c>
      <c r="AL1040" s="6" t="n"/>
      <c r="AM1040" s="6" t="n"/>
      <c r="AN1040" s="6" t="n"/>
      <c r="AO1040" s="3">
        <f>IF($AN1040="","",HYPERLINK(p_ruta_base_checklists&amp;$AN1040,"abrir"))</f>
        <v/>
      </c>
      <c r="AP1040" s="6" t="n"/>
      <c r="AQ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IF($A1041="","",IFERROR(INDEX('AJUSTES'!$B$4:$B$303,MATCH($AQ1041,'AJUSTES'!$A$4:$A$303,0)),IF($K1041="","",$K1041)))</f>
        <v/>
      </c>
      <c r="N1041" s="3">
        <f>IF($A1041="","",IFERROR(INDEX('CAT_ESTADOS_ERP'!$B$4:$B$7,MATCH(IFERROR(INDEX('2_IMPORTAR_EJECUCION'!$C$9:$C$1208,MATCH($AQ1041,'2_IMPORTAR_EJECUCION'!$J$9:$J$1208,0)),""),'CAT_ESTADOS_ERP'!$A$4:$A$7,0)),"Pendiente"))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J1041="","",IFERROR(INDEX('CALENDARIO'!$C$15:$C$214,MATCH(TEXT($J1041,"yyyy-mm-dd")&amp;"|"&amp;$V1041&amp;"|"&amp;$W1041,'CALENDARIO'!$G$15:$G$214,0)),IFERROR(INDEX('CALENDARIO'!$C$15:$C$214,MATCH(TEXT($J1041,"yyyy-mm-dd")&amp;"|"&amp;$V1041&amp;"|",'CALENDARIO'!$G$15:$G$214,0)),IFERROR(INDEX('CALENDARIO'!$C$15:$C$214,MATCH(TEXT($J1041,"yyyy-mm-dd")&amp;"||",'CALENDARIO'!$G$15:$G$214,0)),INDEX(patronHabil,WEEKDAY($J1041,2))))))</f>
        <v/>
      </c>
      <c r="T1041" s="3">
        <f>IF($I1041="","",IFERROR(INDEX('CAT_TIPOS_OT'!$C$4:$C$7,MATCH($I1041,'CAT_TIPOS_OT'!$A$4:$A$7,0)),"sin_clasificar"))</f>
        <v/>
      </c>
      <c r="U1041" s="3">
        <f>IF($F1041="","",IFERROR(INDEX('CAT_CENTROS_COSTO'!$F$4:$F$13,MATCH($F1041,'CAT_CENTROS_COSTO'!$A$4:$A$13,0)),"(sin catálogo)"))</f>
        <v/>
      </c>
      <c r="V1041" s="3">
        <f>IF($F1041="","",IFERROR(INDEX('CAT_CENTROS_COSTO'!$D$4:$D$13,MATCH($F1041,'CAT_CENTROS_COSTO'!$A$4:$A$13,0)),"(sin catálogo)"))</f>
        <v/>
      </c>
      <c r="W1041" s="3">
        <f>IF($F1041="","",IF((IFERROR(INDEX('CAT_CENTROS_COSTO'!$E$4:$E$13,MATCH($F1041,'CAT_CENTROS_COSTO'!$A$4:$A$13,0)),""))&lt;&gt;"",IFERROR(INDEX('CAT_CENTROS_COSTO'!$E$4:$E$13,MATCH($F1041,'CAT_CENTROS_COSTO'!$A$4:$A$13,0)),""),$V1041))</f>
        <v/>
      </c>
      <c r="X1041" s="3">
        <f>IF($F1041="","",IFERROR(INDEX('CAT_CENTROS_COSTO'!$G$4:$G$13,MATCH($F1041,'CAT_CENTROS_COSTO'!$A$4:$A$13,0)),"(sin catálogo)"))</f>
        <v/>
      </c>
      <c r="Y1041" s="3">
        <f>IF($G1041="","",IFERROR(INDEX('CAT_PUESTOS'!$B$4:$B$8,MATCH($G1041,'CAT_PUESTOS'!$A$4:$A$8,0)),"(sin catálogo)"))</f>
        <v/>
      </c>
      <c r="Z1041" s="3">
        <f>IF($H1041="","",IFERROR(INDEX('CAT_ACTIVIDADES'!$B$4:$B$8,MATCH($H1041,'CAT_ACTIVIDADES'!$A$4:$A$8,0)),"(sin catálogo)"))</f>
        <v/>
      </c>
      <c r="AA1041" s="12">
        <f>IF($J1041="","",TODAY()-$J1041)</f>
        <v/>
      </c>
      <c r="AB1041" s="12">
        <f>IF($J1041="","",IF($J1041&lt;=TODAY(),COUNTIFS(cal_fechas,"&gt;="&amp;$J1041,cal_fechas,"&lt;"&amp;TODAY(),cal_habil,"sí"),-COUNTIFS(cal_fechas,"&gt;="&amp;TODAY(),cal_fechas,"&lt;"&amp;$J1041,cal_habil,"sí")))</f>
        <v/>
      </c>
      <c r="AC1041" s="3">
        <f>IF($AB1041="","",IF($AB1041&lt;0,"FUTURO",IF($AB1041&gt;p_dias_backlog_max,"BACKLOG","MES CORRIENTE")))</f>
        <v/>
      </c>
      <c r="AD1041" s="3">
        <f>IF($AB1041="",FALSE,AND($AB1041&gt;p_dias_backlog_min,$AB1041&lt;=p_dias_backlog_max))</f>
        <v/>
      </c>
      <c r="AE1041" s="6" t="n"/>
      <c r="AF1041" s="3">
        <f>IF($AE1041="","",IF((IFERROR(INDEX('ASIGNACIONES'!$F$4:$F$339,MATCH($O1041&amp;"|"&amp;$R1041&amp;"|"&amp;$AE1041,'ASIGNACIONES'!$J$4:$J$339,0)),""))=0,"",IFERROR(INDEX('ASIGNACIONES'!$F$4:$F$339,MATCH($O1041&amp;"|"&amp;$R1041&amp;"|"&amp;$AE1041,'ASIGNACIONES'!$J$4:$J$339,0)),"")))</f>
        <v/>
      </c>
      <c r="AG1041" s="13">
        <f>IF($AE1041="","",SUMIFS('ORDENES'!$M$4:$M$1203,'ORDENES'!$AE$4:$AE$1203,$AE1041,'ORDENES'!$O$4:$O$1203,$O1041,'ORDENES'!$R$4:$R$1203,$R1041))</f>
        <v/>
      </c>
      <c r="AH1041" s="13">
        <f>IF($AG1041="","",p_factor_productividad*IFERROR(INDEX('ASIGNACIONES'!$I$4:$I$339,MATCH($O1041&amp;"|"&amp;$R1041&amp;"|"&amp;$AE1041,'ASIGNACIONES'!$J$4:$J$339,0)),0)-$AG1041)</f>
        <v/>
      </c>
      <c r="AI1041" s="10">
        <f>IF($A1041="","",IFERROR(INDEX('2_IMPORTAR_EJECUCION'!$F$9:$F$1208,MATCH($AQ1041,'2_IMPORTAR_EJECUCION'!$J$9:$J$1208,0)),0))</f>
        <v/>
      </c>
      <c r="AJ1041" s="10">
        <f>IF($A1041="","",MAX(0,IFERROR(INDEX('2_IMPORTAR_EJECUCION'!$H$9:$H$1208,MATCH($AQ1041,'2_IMPORTAR_EJECUCION'!$J$9:$J$1208,0)),0)-$AI1041))</f>
        <v/>
      </c>
      <c r="AK1041" s="10">
        <f>IF($A1041="","",$AI1041+$AJ1041)</f>
        <v/>
      </c>
      <c r="AL1041" s="6" t="n"/>
      <c r="AM1041" s="6" t="n"/>
      <c r="AN1041" s="6" t="n"/>
      <c r="AO1041" s="3">
        <f>IF($AN1041="","",HYPERLINK(p_ruta_base_checklists&amp;$AN1041,"abrir"))</f>
        <v/>
      </c>
      <c r="AP1041" s="6" t="n"/>
      <c r="AQ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IF($A1042="","",IFERROR(INDEX('AJUSTES'!$B$4:$B$303,MATCH($AQ1042,'AJUSTES'!$A$4:$A$303,0)),IF($K1042="","",$K1042)))</f>
        <v/>
      </c>
      <c r="N1042" s="3">
        <f>IF($A1042="","",IFERROR(INDEX('CAT_ESTADOS_ERP'!$B$4:$B$7,MATCH(IFERROR(INDEX('2_IMPORTAR_EJECUCION'!$C$9:$C$1208,MATCH($AQ1042,'2_IMPORTAR_EJECUCION'!$J$9:$J$1208,0)),""),'CAT_ESTADOS_ERP'!$A$4:$A$7,0)),"Pendiente"))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J1042="","",IFERROR(INDEX('CALENDARIO'!$C$15:$C$214,MATCH(TEXT($J1042,"yyyy-mm-dd")&amp;"|"&amp;$V1042&amp;"|"&amp;$W1042,'CALENDARIO'!$G$15:$G$214,0)),IFERROR(INDEX('CALENDARIO'!$C$15:$C$214,MATCH(TEXT($J1042,"yyyy-mm-dd")&amp;"|"&amp;$V1042&amp;"|",'CALENDARIO'!$G$15:$G$214,0)),IFERROR(INDEX('CALENDARIO'!$C$15:$C$214,MATCH(TEXT($J1042,"yyyy-mm-dd")&amp;"||",'CALENDARIO'!$G$15:$G$214,0)),INDEX(patronHabil,WEEKDAY($J1042,2))))))</f>
        <v/>
      </c>
      <c r="T1042" s="3">
        <f>IF($I1042="","",IFERROR(INDEX('CAT_TIPOS_OT'!$C$4:$C$7,MATCH($I1042,'CAT_TIPOS_OT'!$A$4:$A$7,0)),"sin_clasificar"))</f>
        <v/>
      </c>
      <c r="U1042" s="3">
        <f>IF($F1042="","",IFERROR(INDEX('CAT_CENTROS_COSTO'!$F$4:$F$13,MATCH($F1042,'CAT_CENTROS_COSTO'!$A$4:$A$13,0)),"(sin catálogo)"))</f>
        <v/>
      </c>
      <c r="V1042" s="3">
        <f>IF($F1042="","",IFERROR(INDEX('CAT_CENTROS_COSTO'!$D$4:$D$13,MATCH($F1042,'CAT_CENTROS_COSTO'!$A$4:$A$13,0)),"(sin catálogo)"))</f>
        <v/>
      </c>
      <c r="W1042" s="3">
        <f>IF($F1042="","",IF((IFERROR(INDEX('CAT_CENTROS_COSTO'!$E$4:$E$13,MATCH($F1042,'CAT_CENTROS_COSTO'!$A$4:$A$13,0)),""))&lt;&gt;"",IFERROR(INDEX('CAT_CENTROS_COSTO'!$E$4:$E$13,MATCH($F1042,'CAT_CENTROS_COSTO'!$A$4:$A$13,0)),""),$V1042))</f>
        <v/>
      </c>
      <c r="X1042" s="3">
        <f>IF($F1042="","",IFERROR(INDEX('CAT_CENTROS_COSTO'!$G$4:$G$13,MATCH($F1042,'CAT_CENTROS_COSTO'!$A$4:$A$13,0)),"(sin catálogo)"))</f>
        <v/>
      </c>
      <c r="Y1042" s="3">
        <f>IF($G1042="","",IFERROR(INDEX('CAT_PUESTOS'!$B$4:$B$8,MATCH($G1042,'CAT_PUESTOS'!$A$4:$A$8,0)),"(sin catálogo)"))</f>
        <v/>
      </c>
      <c r="Z1042" s="3">
        <f>IF($H1042="","",IFERROR(INDEX('CAT_ACTIVIDADES'!$B$4:$B$8,MATCH($H1042,'CAT_ACTIVIDADES'!$A$4:$A$8,0)),"(sin catálogo)"))</f>
        <v/>
      </c>
      <c r="AA1042" s="12">
        <f>IF($J1042="","",TODAY()-$J1042)</f>
        <v/>
      </c>
      <c r="AB1042" s="12">
        <f>IF($J1042="","",IF($J1042&lt;=TODAY(),COUNTIFS(cal_fechas,"&gt;="&amp;$J1042,cal_fechas,"&lt;"&amp;TODAY(),cal_habil,"sí"),-COUNTIFS(cal_fechas,"&gt;="&amp;TODAY(),cal_fechas,"&lt;"&amp;$J1042,cal_habil,"sí")))</f>
        <v/>
      </c>
      <c r="AC1042" s="3">
        <f>IF($AB1042="","",IF($AB1042&lt;0,"FUTURO",IF($AB1042&gt;p_dias_backlog_max,"BACKLOG","MES CORRIENTE")))</f>
        <v/>
      </c>
      <c r="AD1042" s="3">
        <f>IF($AB1042="",FALSE,AND($AB1042&gt;p_dias_backlog_min,$AB1042&lt;=p_dias_backlog_max))</f>
        <v/>
      </c>
      <c r="AE1042" s="6" t="n"/>
      <c r="AF1042" s="3">
        <f>IF($AE1042="","",IF((IFERROR(INDEX('ASIGNACIONES'!$F$4:$F$339,MATCH($O1042&amp;"|"&amp;$R1042&amp;"|"&amp;$AE1042,'ASIGNACIONES'!$J$4:$J$339,0)),""))=0,"",IFERROR(INDEX('ASIGNACIONES'!$F$4:$F$339,MATCH($O1042&amp;"|"&amp;$R1042&amp;"|"&amp;$AE1042,'ASIGNACIONES'!$J$4:$J$339,0)),"")))</f>
        <v/>
      </c>
      <c r="AG1042" s="13">
        <f>IF($AE1042="","",SUMIFS('ORDENES'!$M$4:$M$1203,'ORDENES'!$AE$4:$AE$1203,$AE1042,'ORDENES'!$O$4:$O$1203,$O1042,'ORDENES'!$R$4:$R$1203,$R1042))</f>
        <v/>
      </c>
      <c r="AH1042" s="13">
        <f>IF($AG1042="","",p_factor_productividad*IFERROR(INDEX('ASIGNACIONES'!$I$4:$I$339,MATCH($O1042&amp;"|"&amp;$R1042&amp;"|"&amp;$AE1042,'ASIGNACIONES'!$J$4:$J$339,0)),0)-$AG1042)</f>
        <v/>
      </c>
      <c r="AI1042" s="10">
        <f>IF($A1042="","",IFERROR(INDEX('2_IMPORTAR_EJECUCION'!$F$9:$F$1208,MATCH($AQ1042,'2_IMPORTAR_EJECUCION'!$J$9:$J$1208,0)),0))</f>
        <v/>
      </c>
      <c r="AJ1042" s="10">
        <f>IF($A1042="","",MAX(0,IFERROR(INDEX('2_IMPORTAR_EJECUCION'!$H$9:$H$1208,MATCH($AQ1042,'2_IMPORTAR_EJECUCION'!$J$9:$J$1208,0)),0)-$AI1042))</f>
        <v/>
      </c>
      <c r="AK1042" s="10">
        <f>IF($A1042="","",$AI1042+$AJ1042)</f>
        <v/>
      </c>
      <c r="AL1042" s="6" t="n"/>
      <c r="AM1042" s="6" t="n"/>
      <c r="AN1042" s="6" t="n"/>
      <c r="AO1042" s="3">
        <f>IF($AN1042="","",HYPERLINK(p_ruta_base_checklists&amp;$AN1042,"abrir"))</f>
        <v/>
      </c>
      <c r="AP1042" s="6" t="n"/>
      <c r="AQ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IF($A1043="","",IFERROR(INDEX('AJUSTES'!$B$4:$B$303,MATCH($AQ1043,'AJUSTES'!$A$4:$A$303,0)),IF($K1043="","",$K1043)))</f>
        <v/>
      </c>
      <c r="N1043" s="3">
        <f>IF($A1043="","",IFERROR(INDEX('CAT_ESTADOS_ERP'!$B$4:$B$7,MATCH(IFERROR(INDEX('2_IMPORTAR_EJECUCION'!$C$9:$C$1208,MATCH($AQ1043,'2_IMPORTAR_EJECUCION'!$J$9:$J$1208,0)),""),'CAT_ESTADOS_ERP'!$A$4:$A$7,0)),"Pendiente"))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J1043="","",IFERROR(INDEX('CALENDARIO'!$C$15:$C$214,MATCH(TEXT($J1043,"yyyy-mm-dd")&amp;"|"&amp;$V1043&amp;"|"&amp;$W1043,'CALENDARIO'!$G$15:$G$214,0)),IFERROR(INDEX('CALENDARIO'!$C$15:$C$214,MATCH(TEXT($J1043,"yyyy-mm-dd")&amp;"|"&amp;$V1043&amp;"|",'CALENDARIO'!$G$15:$G$214,0)),IFERROR(INDEX('CALENDARIO'!$C$15:$C$214,MATCH(TEXT($J1043,"yyyy-mm-dd")&amp;"||",'CALENDARIO'!$G$15:$G$214,0)),INDEX(patronHabil,WEEKDAY($J1043,2))))))</f>
        <v/>
      </c>
      <c r="T1043" s="3">
        <f>IF($I1043="","",IFERROR(INDEX('CAT_TIPOS_OT'!$C$4:$C$7,MATCH($I1043,'CAT_TIPOS_OT'!$A$4:$A$7,0)),"sin_clasificar"))</f>
        <v/>
      </c>
      <c r="U1043" s="3">
        <f>IF($F1043="","",IFERROR(INDEX('CAT_CENTROS_COSTO'!$F$4:$F$13,MATCH($F1043,'CAT_CENTROS_COSTO'!$A$4:$A$13,0)),"(sin catálogo)"))</f>
        <v/>
      </c>
      <c r="V1043" s="3">
        <f>IF($F1043="","",IFERROR(INDEX('CAT_CENTROS_COSTO'!$D$4:$D$13,MATCH($F1043,'CAT_CENTROS_COSTO'!$A$4:$A$13,0)),"(sin catálogo)"))</f>
        <v/>
      </c>
      <c r="W1043" s="3">
        <f>IF($F1043="","",IF((IFERROR(INDEX('CAT_CENTROS_COSTO'!$E$4:$E$13,MATCH($F1043,'CAT_CENTROS_COSTO'!$A$4:$A$13,0)),""))&lt;&gt;"",IFERROR(INDEX('CAT_CENTROS_COSTO'!$E$4:$E$13,MATCH($F1043,'CAT_CENTROS_COSTO'!$A$4:$A$13,0)),""),$V1043))</f>
        <v/>
      </c>
      <c r="X1043" s="3">
        <f>IF($F1043="","",IFERROR(INDEX('CAT_CENTROS_COSTO'!$G$4:$G$13,MATCH($F1043,'CAT_CENTROS_COSTO'!$A$4:$A$13,0)),"(sin catálogo)"))</f>
        <v/>
      </c>
      <c r="Y1043" s="3">
        <f>IF($G1043="","",IFERROR(INDEX('CAT_PUESTOS'!$B$4:$B$8,MATCH($G1043,'CAT_PUESTOS'!$A$4:$A$8,0)),"(sin catálogo)"))</f>
        <v/>
      </c>
      <c r="Z1043" s="3">
        <f>IF($H1043="","",IFERROR(INDEX('CAT_ACTIVIDADES'!$B$4:$B$8,MATCH($H1043,'CAT_ACTIVIDADES'!$A$4:$A$8,0)),"(sin catálogo)"))</f>
        <v/>
      </c>
      <c r="AA1043" s="12">
        <f>IF($J1043="","",TODAY()-$J1043)</f>
        <v/>
      </c>
      <c r="AB1043" s="12">
        <f>IF($J1043="","",IF($J1043&lt;=TODAY(),COUNTIFS(cal_fechas,"&gt;="&amp;$J1043,cal_fechas,"&lt;"&amp;TODAY(),cal_habil,"sí"),-COUNTIFS(cal_fechas,"&gt;="&amp;TODAY(),cal_fechas,"&lt;"&amp;$J1043,cal_habil,"sí")))</f>
        <v/>
      </c>
      <c r="AC1043" s="3">
        <f>IF($AB1043="","",IF($AB1043&lt;0,"FUTURO",IF($AB1043&gt;p_dias_backlog_max,"BACKLOG","MES CORRIENTE")))</f>
        <v/>
      </c>
      <c r="AD1043" s="3">
        <f>IF($AB1043="",FALSE,AND($AB1043&gt;p_dias_backlog_min,$AB1043&lt;=p_dias_backlog_max))</f>
        <v/>
      </c>
      <c r="AE1043" s="6" t="n"/>
      <c r="AF1043" s="3">
        <f>IF($AE1043="","",IF((IFERROR(INDEX('ASIGNACIONES'!$F$4:$F$339,MATCH($O1043&amp;"|"&amp;$R1043&amp;"|"&amp;$AE1043,'ASIGNACIONES'!$J$4:$J$339,0)),""))=0,"",IFERROR(INDEX('ASIGNACIONES'!$F$4:$F$339,MATCH($O1043&amp;"|"&amp;$R1043&amp;"|"&amp;$AE1043,'ASIGNACIONES'!$J$4:$J$339,0)),"")))</f>
        <v/>
      </c>
      <c r="AG1043" s="13">
        <f>IF($AE1043="","",SUMIFS('ORDENES'!$M$4:$M$1203,'ORDENES'!$AE$4:$AE$1203,$AE1043,'ORDENES'!$O$4:$O$1203,$O1043,'ORDENES'!$R$4:$R$1203,$R1043))</f>
        <v/>
      </c>
      <c r="AH1043" s="13">
        <f>IF($AG1043="","",p_factor_productividad*IFERROR(INDEX('ASIGNACIONES'!$I$4:$I$339,MATCH($O1043&amp;"|"&amp;$R1043&amp;"|"&amp;$AE1043,'ASIGNACIONES'!$J$4:$J$339,0)),0)-$AG1043)</f>
        <v/>
      </c>
      <c r="AI1043" s="10">
        <f>IF($A1043="","",IFERROR(INDEX('2_IMPORTAR_EJECUCION'!$F$9:$F$1208,MATCH($AQ1043,'2_IMPORTAR_EJECUCION'!$J$9:$J$1208,0)),0))</f>
        <v/>
      </c>
      <c r="AJ1043" s="10">
        <f>IF($A1043="","",MAX(0,IFERROR(INDEX('2_IMPORTAR_EJECUCION'!$H$9:$H$1208,MATCH($AQ1043,'2_IMPORTAR_EJECUCION'!$J$9:$J$1208,0)),0)-$AI1043))</f>
        <v/>
      </c>
      <c r="AK1043" s="10">
        <f>IF($A1043="","",$AI1043+$AJ1043)</f>
        <v/>
      </c>
      <c r="AL1043" s="6" t="n"/>
      <c r="AM1043" s="6" t="n"/>
      <c r="AN1043" s="6" t="n"/>
      <c r="AO1043" s="3">
        <f>IF($AN1043="","",HYPERLINK(p_ruta_base_checklists&amp;$AN1043,"abrir"))</f>
        <v/>
      </c>
      <c r="AP1043" s="6" t="n"/>
      <c r="AQ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IF($A1044="","",IFERROR(INDEX('AJUSTES'!$B$4:$B$303,MATCH($AQ1044,'AJUSTES'!$A$4:$A$303,0)),IF($K1044="","",$K1044)))</f>
        <v/>
      </c>
      <c r="N1044" s="3">
        <f>IF($A1044="","",IFERROR(INDEX('CAT_ESTADOS_ERP'!$B$4:$B$7,MATCH(IFERROR(INDEX('2_IMPORTAR_EJECUCION'!$C$9:$C$1208,MATCH($AQ1044,'2_IMPORTAR_EJECUCION'!$J$9:$J$1208,0)),""),'CAT_ESTADOS_ERP'!$A$4:$A$7,0)),"Pendiente"))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J1044="","",IFERROR(INDEX('CALENDARIO'!$C$15:$C$214,MATCH(TEXT($J1044,"yyyy-mm-dd")&amp;"|"&amp;$V1044&amp;"|"&amp;$W1044,'CALENDARIO'!$G$15:$G$214,0)),IFERROR(INDEX('CALENDARIO'!$C$15:$C$214,MATCH(TEXT($J1044,"yyyy-mm-dd")&amp;"|"&amp;$V1044&amp;"|",'CALENDARIO'!$G$15:$G$214,0)),IFERROR(INDEX('CALENDARIO'!$C$15:$C$214,MATCH(TEXT($J1044,"yyyy-mm-dd")&amp;"||",'CALENDARIO'!$G$15:$G$214,0)),INDEX(patronHabil,WEEKDAY($J1044,2))))))</f>
        <v/>
      </c>
      <c r="T1044" s="3">
        <f>IF($I1044="","",IFERROR(INDEX('CAT_TIPOS_OT'!$C$4:$C$7,MATCH($I1044,'CAT_TIPOS_OT'!$A$4:$A$7,0)),"sin_clasificar"))</f>
        <v/>
      </c>
      <c r="U1044" s="3">
        <f>IF($F1044="","",IFERROR(INDEX('CAT_CENTROS_COSTO'!$F$4:$F$13,MATCH($F1044,'CAT_CENTROS_COSTO'!$A$4:$A$13,0)),"(sin catálogo)"))</f>
        <v/>
      </c>
      <c r="V1044" s="3">
        <f>IF($F1044="","",IFERROR(INDEX('CAT_CENTROS_COSTO'!$D$4:$D$13,MATCH($F1044,'CAT_CENTROS_COSTO'!$A$4:$A$13,0)),"(sin catálogo)"))</f>
        <v/>
      </c>
      <c r="W1044" s="3">
        <f>IF($F1044="","",IF((IFERROR(INDEX('CAT_CENTROS_COSTO'!$E$4:$E$13,MATCH($F1044,'CAT_CENTROS_COSTO'!$A$4:$A$13,0)),""))&lt;&gt;"",IFERROR(INDEX('CAT_CENTROS_COSTO'!$E$4:$E$13,MATCH($F1044,'CAT_CENTROS_COSTO'!$A$4:$A$13,0)),""),$V1044))</f>
        <v/>
      </c>
      <c r="X1044" s="3">
        <f>IF($F1044="","",IFERROR(INDEX('CAT_CENTROS_COSTO'!$G$4:$G$13,MATCH($F1044,'CAT_CENTROS_COSTO'!$A$4:$A$13,0)),"(sin catálogo)"))</f>
        <v/>
      </c>
      <c r="Y1044" s="3">
        <f>IF($G1044="","",IFERROR(INDEX('CAT_PUESTOS'!$B$4:$B$8,MATCH($G1044,'CAT_PUESTOS'!$A$4:$A$8,0)),"(sin catálogo)"))</f>
        <v/>
      </c>
      <c r="Z1044" s="3">
        <f>IF($H1044="","",IFERROR(INDEX('CAT_ACTIVIDADES'!$B$4:$B$8,MATCH($H1044,'CAT_ACTIVIDADES'!$A$4:$A$8,0)),"(sin catálogo)"))</f>
        <v/>
      </c>
      <c r="AA1044" s="12">
        <f>IF($J1044="","",TODAY()-$J1044)</f>
        <v/>
      </c>
      <c r="AB1044" s="12">
        <f>IF($J1044="","",IF($J1044&lt;=TODAY(),COUNTIFS(cal_fechas,"&gt;="&amp;$J1044,cal_fechas,"&lt;"&amp;TODAY(),cal_habil,"sí"),-COUNTIFS(cal_fechas,"&gt;="&amp;TODAY(),cal_fechas,"&lt;"&amp;$J1044,cal_habil,"sí")))</f>
        <v/>
      </c>
      <c r="AC1044" s="3">
        <f>IF($AB1044="","",IF($AB1044&lt;0,"FUTURO",IF($AB1044&gt;p_dias_backlog_max,"BACKLOG","MES CORRIENTE")))</f>
        <v/>
      </c>
      <c r="AD1044" s="3">
        <f>IF($AB1044="",FALSE,AND($AB1044&gt;p_dias_backlog_min,$AB1044&lt;=p_dias_backlog_max))</f>
        <v/>
      </c>
      <c r="AE1044" s="6" t="n"/>
      <c r="AF1044" s="3">
        <f>IF($AE1044="","",IF((IFERROR(INDEX('ASIGNACIONES'!$F$4:$F$339,MATCH($O1044&amp;"|"&amp;$R1044&amp;"|"&amp;$AE1044,'ASIGNACIONES'!$J$4:$J$339,0)),""))=0,"",IFERROR(INDEX('ASIGNACIONES'!$F$4:$F$339,MATCH($O1044&amp;"|"&amp;$R1044&amp;"|"&amp;$AE1044,'ASIGNACIONES'!$J$4:$J$339,0)),"")))</f>
        <v/>
      </c>
      <c r="AG1044" s="13">
        <f>IF($AE1044="","",SUMIFS('ORDENES'!$M$4:$M$1203,'ORDENES'!$AE$4:$AE$1203,$AE1044,'ORDENES'!$O$4:$O$1203,$O1044,'ORDENES'!$R$4:$R$1203,$R1044))</f>
        <v/>
      </c>
      <c r="AH1044" s="13">
        <f>IF($AG1044="","",p_factor_productividad*IFERROR(INDEX('ASIGNACIONES'!$I$4:$I$339,MATCH($O1044&amp;"|"&amp;$R1044&amp;"|"&amp;$AE1044,'ASIGNACIONES'!$J$4:$J$339,0)),0)-$AG1044)</f>
        <v/>
      </c>
      <c r="AI1044" s="10">
        <f>IF($A1044="","",IFERROR(INDEX('2_IMPORTAR_EJECUCION'!$F$9:$F$1208,MATCH($AQ1044,'2_IMPORTAR_EJECUCION'!$J$9:$J$1208,0)),0))</f>
        <v/>
      </c>
      <c r="AJ1044" s="10">
        <f>IF($A1044="","",MAX(0,IFERROR(INDEX('2_IMPORTAR_EJECUCION'!$H$9:$H$1208,MATCH($AQ1044,'2_IMPORTAR_EJECUCION'!$J$9:$J$1208,0)),0)-$AI1044))</f>
        <v/>
      </c>
      <c r="AK1044" s="10">
        <f>IF($A1044="","",$AI1044+$AJ1044)</f>
        <v/>
      </c>
      <c r="AL1044" s="6" t="n"/>
      <c r="AM1044" s="6" t="n"/>
      <c r="AN1044" s="6" t="n"/>
      <c r="AO1044" s="3">
        <f>IF($AN1044="","",HYPERLINK(p_ruta_base_checklists&amp;$AN1044,"abrir"))</f>
        <v/>
      </c>
      <c r="AP1044" s="6" t="n"/>
      <c r="AQ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IF($A1045="","",IFERROR(INDEX('AJUSTES'!$B$4:$B$303,MATCH($AQ1045,'AJUSTES'!$A$4:$A$303,0)),IF($K1045="","",$K1045)))</f>
        <v/>
      </c>
      <c r="N1045" s="3">
        <f>IF($A1045="","",IFERROR(INDEX('CAT_ESTADOS_ERP'!$B$4:$B$7,MATCH(IFERROR(INDEX('2_IMPORTAR_EJECUCION'!$C$9:$C$1208,MATCH($AQ1045,'2_IMPORTAR_EJECUCION'!$J$9:$J$1208,0)),""),'CAT_ESTADOS_ERP'!$A$4:$A$7,0)),"Pendiente"))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J1045="","",IFERROR(INDEX('CALENDARIO'!$C$15:$C$214,MATCH(TEXT($J1045,"yyyy-mm-dd")&amp;"|"&amp;$V1045&amp;"|"&amp;$W1045,'CALENDARIO'!$G$15:$G$214,0)),IFERROR(INDEX('CALENDARIO'!$C$15:$C$214,MATCH(TEXT($J1045,"yyyy-mm-dd")&amp;"|"&amp;$V1045&amp;"|",'CALENDARIO'!$G$15:$G$214,0)),IFERROR(INDEX('CALENDARIO'!$C$15:$C$214,MATCH(TEXT($J1045,"yyyy-mm-dd")&amp;"||",'CALENDARIO'!$G$15:$G$214,0)),INDEX(patronHabil,WEEKDAY($J1045,2))))))</f>
        <v/>
      </c>
      <c r="T1045" s="3">
        <f>IF($I1045="","",IFERROR(INDEX('CAT_TIPOS_OT'!$C$4:$C$7,MATCH($I1045,'CAT_TIPOS_OT'!$A$4:$A$7,0)),"sin_clasificar"))</f>
        <v/>
      </c>
      <c r="U1045" s="3">
        <f>IF($F1045="","",IFERROR(INDEX('CAT_CENTROS_COSTO'!$F$4:$F$13,MATCH($F1045,'CAT_CENTROS_COSTO'!$A$4:$A$13,0)),"(sin catálogo)"))</f>
        <v/>
      </c>
      <c r="V1045" s="3">
        <f>IF($F1045="","",IFERROR(INDEX('CAT_CENTROS_COSTO'!$D$4:$D$13,MATCH($F1045,'CAT_CENTROS_COSTO'!$A$4:$A$13,0)),"(sin catálogo)"))</f>
        <v/>
      </c>
      <c r="W1045" s="3">
        <f>IF($F1045="","",IF((IFERROR(INDEX('CAT_CENTROS_COSTO'!$E$4:$E$13,MATCH($F1045,'CAT_CENTROS_COSTO'!$A$4:$A$13,0)),""))&lt;&gt;"",IFERROR(INDEX('CAT_CENTROS_COSTO'!$E$4:$E$13,MATCH($F1045,'CAT_CENTROS_COSTO'!$A$4:$A$13,0)),""),$V1045))</f>
        <v/>
      </c>
      <c r="X1045" s="3">
        <f>IF($F1045="","",IFERROR(INDEX('CAT_CENTROS_COSTO'!$G$4:$G$13,MATCH($F1045,'CAT_CENTROS_COSTO'!$A$4:$A$13,0)),"(sin catálogo)"))</f>
        <v/>
      </c>
      <c r="Y1045" s="3">
        <f>IF($G1045="","",IFERROR(INDEX('CAT_PUESTOS'!$B$4:$B$8,MATCH($G1045,'CAT_PUESTOS'!$A$4:$A$8,0)),"(sin catálogo)"))</f>
        <v/>
      </c>
      <c r="Z1045" s="3">
        <f>IF($H1045="","",IFERROR(INDEX('CAT_ACTIVIDADES'!$B$4:$B$8,MATCH($H1045,'CAT_ACTIVIDADES'!$A$4:$A$8,0)),"(sin catálogo)"))</f>
        <v/>
      </c>
      <c r="AA1045" s="12">
        <f>IF($J1045="","",TODAY()-$J1045)</f>
        <v/>
      </c>
      <c r="AB1045" s="12">
        <f>IF($J1045="","",IF($J1045&lt;=TODAY(),COUNTIFS(cal_fechas,"&gt;="&amp;$J1045,cal_fechas,"&lt;"&amp;TODAY(),cal_habil,"sí"),-COUNTIFS(cal_fechas,"&gt;="&amp;TODAY(),cal_fechas,"&lt;"&amp;$J1045,cal_habil,"sí")))</f>
        <v/>
      </c>
      <c r="AC1045" s="3">
        <f>IF($AB1045="","",IF($AB1045&lt;0,"FUTURO",IF($AB1045&gt;p_dias_backlog_max,"BACKLOG","MES CORRIENTE")))</f>
        <v/>
      </c>
      <c r="AD1045" s="3">
        <f>IF($AB1045="",FALSE,AND($AB1045&gt;p_dias_backlog_min,$AB1045&lt;=p_dias_backlog_max))</f>
        <v/>
      </c>
      <c r="AE1045" s="6" t="n"/>
      <c r="AF1045" s="3">
        <f>IF($AE1045="","",IF((IFERROR(INDEX('ASIGNACIONES'!$F$4:$F$339,MATCH($O1045&amp;"|"&amp;$R1045&amp;"|"&amp;$AE1045,'ASIGNACIONES'!$J$4:$J$339,0)),""))=0,"",IFERROR(INDEX('ASIGNACIONES'!$F$4:$F$339,MATCH($O1045&amp;"|"&amp;$R1045&amp;"|"&amp;$AE1045,'ASIGNACIONES'!$J$4:$J$339,0)),"")))</f>
        <v/>
      </c>
      <c r="AG1045" s="13">
        <f>IF($AE1045="","",SUMIFS('ORDENES'!$M$4:$M$1203,'ORDENES'!$AE$4:$AE$1203,$AE1045,'ORDENES'!$O$4:$O$1203,$O1045,'ORDENES'!$R$4:$R$1203,$R1045))</f>
        <v/>
      </c>
      <c r="AH1045" s="13">
        <f>IF($AG1045="","",p_factor_productividad*IFERROR(INDEX('ASIGNACIONES'!$I$4:$I$339,MATCH($O1045&amp;"|"&amp;$R1045&amp;"|"&amp;$AE1045,'ASIGNACIONES'!$J$4:$J$339,0)),0)-$AG1045)</f>
        <v/>
      </c>
      <c r="AI1045" s="10">
        <f>IF($A1045="","",IFERROR(INDEX('2_IMPORTAR_EJECUCION'!$F$9:$F$1208,MATCH($AQ1045,'2_IMPORTAR_EJECUCION'!$J$9:$J$1208,0)),0))</f>
        <v/>
      </c>
      <c r="AJ1045" s="10">
        <f>IF($A1045="","",MAX(0,IFERROR(INDEX('2_IMPORTAR_EJECUCION'!$H$9:$H$1208,MATCH($AQ1045,'2_IMPORTAR_EJECUCION'!$J$9:$J$1208,0)),0)-$AI1045))</f>
        <v/>
      </c>
      <c r="AK1045" s="10">
        <f>IF($A1045="","",$AI1045+$AJ1045)</f>
        <v/>
      </c>
      <c r="AL1045" s="6" t="n"/>
      <c r="AM1045" s="6" t="n"/>
      <c r="AN1045" s="6" t="n"/>
      <c r="AO1045" s="3">
        <f>IF($AN1045="","",HYPERLINK(p_ruta_base_checklists&amp;$AN1045,"abrir"))</f>
        <v/>
      </c>
      <c r="AP1045" s="6" t="n"/>
      <c r="AQ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IF($A1046="","",IFERROR(INDEX('AJUSTES'!$B$4:$B$303,MATCH($AQ1046,'AJUSTES'!$A$4:$A$303,0)),IF($K1046="","",$K1046)))</f>
        <v/>
      </c>
      <c r="N1046" s="3">
        <f>IF($A1046="","",IFERROR(INDEX('CAT_ESTADOS_ERP'!$B$4:$B$7,MATCH(IFERROR(INDEX('2_IMPORTAR_EJECUCION'!$C$9:$C$1208,MATCH($AQ1046,'2_IMPORTAR_EJECUCION'!$J$9:$J$1208,0)),""),'CAT_ESTADOS_ERP'!$A$4:$A$7,0)),"Pendiente"))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J1046="","",IFERROR(INDEX('CALENDARIO'!$C$15:$C$214,MATCH(TEXT($J1046,"yyyy-mm-dd")&amp;"|"&amp;$V1046&amp;"|"&amp;$W1046,'CALENDARIO'!$G$15:$G$214,0)),IFERROR(INDEX('CALENDARIO'!$C$15:$C$214,MATCH(TEXT($J1046,"yyyy-mm-dd")&amp;"|"&amp;$V1046&amp;"|",'CALENDARIO'!$G$15:$G$214,0)),IFERROR(INDEX('CALENDARIO'!$C$15:$C$214,MATCH(TEXT($J1046,"yyyy-mm-dd")&amp;"||",'CALENDARIO'!$G$15:$G$214,0)),INDEX(patronHabil,WEEKDAY($J1046,2))))))</f>
        <v/>
      </c>
      <c r="T1046" s="3">
        <f>IF($I1046="","",IFERROR(INDEX('CAT_TIPOS_OT'!$C$4:$C$7,MATCH($I1046,'CAT_TIPOS_OT'!$A$4:$A$7,0)),"sin_clasificar"))</f>
        <v/>
      </c>
      <c r="U1046" s="3">
        <f>IF($F1046="","",IFERROR(INDEX('CAT_CENTROS_COSTO'!$F$4:$F$13,MATCH($F1046,'CAT_CENTROS_COSTO'!$A$4:$A$13,0)),"(sin catálogo)"))</f>
        <v/>
      </c>
      <c r="V1046" s="3">
        <f>IF($F1046="","",IFERROR(INDEX('CAT_CENTROS_COSTO'!$D$4:$D$13,MATCH($F1046,'CAT_CENTROS_COSTO'!$A$4:$A$13,0)),"(sin catálogo)"))</f>
        <v/>
      </c>
      <c r="W1046" s="3">
        <f>IF($F1046="","",IF((IFERROR(INDEX('CAT_CENTROS_COSTO'!$E$4:$E$13,MATCH($F1046,'CAT_CENTROS_COSTO'!$A$4:$A$13,0)),""))&lt;&gt;"",IFERROR(INDEX('CAT_CENTROS_COSTO'!$E$4:$E$13,MATCH($F1046,'CAT_CENTROS_COSTO'!$A$4:$A$13,0)),""),$V1046))</f>
        <v/>
      </c>
      <c r="X1046" s="3">
        <f>IF($F1046="","",IFERROR(INDEX('CAT_CENTROS_COSTO'!$G$4:$G$13,MATCH($F1046,'CAT_CENTROS_COSTO'!$A$4:$A$13,0)),"(sin catálogo)"))</f>
        <v/>
      </c>
      <c r="Y1046" s="3">
        <f>IF($G1046="","",IFERROR(INDEX('CAT_PUESTOS'!$B$4:$B$8,MATCH($G1046,'CAT_PUESTOS'!$A$4:$A$8,0)),"(sin catálogo)"))</f>
        <v/>
      </c>
      <c r="Z1046" s="3">
        <f>IF($H1046="","",IFERROR(INDEX('CAT_ACTIVIDADES'!$B$4:$B$8,MATCH($H1046,'CAT_ACTIVIDADES'!$A$4:$A$8,0)),"(sin catálogo)"))</f>
        <v/>
      </c>
      <c r="AA1046" s="12">
        <f>IF($J1046="","",TODAY()-$J1046)</f>
        <v/>
      </c>
      <c r="AB1046" s="12">
        <f>IF($J1046="","",IF($J1046&lt;=TODAY(),COUNTIFS(cal_fechas,"&gt;="&amp;$J1046,cal_fechas,"&lt;"&amp;TODAY(),cal_habil,"sí"),-COUNTIFS(cal_fechas,"&gt;="&amp;TODAY(),cal_fechas,"&lt;"&amp;$J1046,cal_habil,"sí")))</f>
        <v/>
      </c>
      <c r="AC1046" s="3">
        <f>IF($AB1046="","",IF($AB1046&lt;0,"FUTURO",IF($AB1046&gt;p_dias_backlog_max,"BACKLOG","MES CORRIENTE")))</f>
        <v/>
      </c>
      <c r="AD1046" s="3">
        <f>IF($AB1046="",FALSE,AND($AB1046&gt;p_dias_backlog_min,$AB1046&lt;=p_dias_backlog_max))</f>
        <v/>
      </c>
      <c r="AE1046" s="6" t="n"/>
      <c r="AF1046" s="3">
        <f>IF($AE1046="","",IF((IFERROR(INDEX('ASIGNACIONES'!$F$4:$F$339,MATCH($O1046&amp;"|"&amp;$R1046&amp;"|"&amp;$AE1046,'ASIGNACIONES'!$J$4:$J$339,0)),""))=0,"",IFERROR(INDEX('ASIGNACIONES'!$F$4:$F$339,MATCH($O1046&amp;"|"&amp;$R1046&amp;"|"&amp;$AE1046,'ASIGNACIONES'!$J$4:$J$339,0)),"")))</f>
        <v/>
      </c>
      <c r="AG1046" s="13">
        <f>IF($AE1046="","",SUMIFS('ORDENES'!$M$4:$M$1203,'ORDENES'!$AE$4:$AE$1203,$AE1046,'ORDENES'!$O$4:$O$1203,$O1046,'ORDENES'!$R$4:$R$1203,$R1046))</f>
        <v/>
      </c>
      <c r="AH1046" s="13">
        <f>IF($AG1046="","",p_factor_productividad*IFERROR(INDEX('ASIGNACIONES'!$I$4:$I$339,MATCH($O1046&amp;"|"&amp;$R1046&amp;"|"&amp;$AE1046,'ASIGNACIONES'!$J$4:$J$339,0)),0)-$AG1046)</f>
        <v/>
      </c>
      <c r="AI1046" s="10">
        <f>IF($A1046="","",IFERROR(INDEX('2_IMPORTAR_EJECUCION'!$F$9:$F$1208,MATCH($AQ1046,'2_IMPORTAR_EJECUCION'!$J$9:$J$1208,0)),0))</f>
        <v/>
      </c>
      <c r="AJ1046" s="10">
        <f>IF($A1046="","",MAX(0,IFERROR(INDEX('2_IMPORTAR_EJECUCION'!$H$9:$H$1208,MATCH($AQ1046,'2_IMPORTAR_EJECUCION'!$J$9:$J$1208,0)),0)-$AI1046))</f>
        <v/>
      </c>
      <c r="AK1046" s="10">
        <f>IF($A1046="","",$AI1046+$AJ1046)</f>
        <v/>
      </c>
      <c r="AL1046" s="6" t="n"/>
      <c r="AM1046" s="6" t="n"/>
      <c r="AN1046" s="6" t="n"/>
      <c r="AO1046" s="3">
        <f>IF($AN1046="","",HYPERLINK(p_ruta_base_checklists&amp;$AN1046,"abrir"))</f>
        <v/>
      </c>
      <c r="AP1046" s="6" t="n"/>
      <c r="AQ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IF($A1047="","",IFERROR(INDEX('AJUSTES'!$B$4:$B$303,MATCH($AQ1047,'AJUSTES'!$A$4:$A$303,0)),IF($K1047="","",$K1047)))</f>
        <v/>
      </c>
      <c r="N1047" s="3">
        <f>IF($A1047="","",IFERROR(INDEX('CAT_ESTADOS_ERP'!$B$4:$B$7,MATCH(IFERROR(INDEX('2_IMPORTAR_EJECUCION'!$C$9:$C$1208,MATCH($AQ1047,'2_IMPORTAR_EJECUCION'!$J$9:$J$1208,0)),""),'CAT_ESTADOS_ERP'!$A$4:$A$7,0)),"Pendiente"))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J1047="","",IFERROR(INDEX('CALENDARIO'!$C$15:$C$214,MATCH(TEXT($J1047,"yyyy-mm-dd")&amp;"|"&amp;$V1047&amp;"|"&amp;$W1047,'CALENDARIO'!$G$15:$G$214,0)),IFERROR(INDEX('CALENDARIO'!$C$15:$C$214,MATCH(TEXT($J1047,"yyyy-mm-dd")&amp;"|"&amp;$V1047&amp;"|",'CALENDARIO'!$G$15:$G$214,0)),IFERROR(INDEX('CALENDARIO'!$C$15:$C$214,MATCH(TEXT($J1047,"yyyy-mm-dd")&amp;"||",'CALENDARIO'!$G$15:$G$214,0)),INDEX(patronHabil,WEEKDAY($J1047,2))))))</f>
        <v/>
      </c>
      <c r="T1047" s="3">
        <f>IF($I1047="","",IFERROR(INDEX('CAT_TIPOS_OT'!$C$4:$C$7,MATCH($I1047,'CAT_TIPOS_OT'!$A$4:$A$7,0)),"sin_clasificar"))</f>
        <v/>
      </c>
      <c r="U1047" s="3">
        <f>IF($F1047="","",IFERROR(INDEX('CAT_CENTROS_COSTO'!$F$4:$F$13,MATCH($F1047,'CAT_CENTROS_COSTO'!$A$4:$A$13,0)),"(sin catálogo)"))</f>
        <v/>
      </c>
      <c r="V1047" s="3">
        <f>IF($F1047="","",IFERROR(INDEX('CAT_CENTROS_COSTO'!$D$4:$D$13,MATCH($F1047,'CAT_CENTROS_COSTO'!$A$4:$A$13,0)),"(sin catálogo)"))</f>
        <v/>
      </c>
      <c r="W1047" s="3">
        <f>IF($F1047="","",IF((IFERROR(INDEX('CAT_CENTROS_COSTO'!$E$4:$E$13,MATCH($F1047,'CAT_CENTROS_COSTO'!$A$4:$A$13,0)),""))&lt;&gt;"",IFERROR(INDEX('CAT_CENTROS_COSTO'!$E$4:$E$13,MATCH($F1047,'CAT_CENTROS_COSTO'!$A$4:$A$13,0)),""),$V1047))</f>
        <v/>
      </c>
      <c r="X1047" s="3">
        <f>IF($F1047="","",IFERROR(INDEX('CAT_CENTROS_COSTO'!$G$4:$G$13,MATCH($F1047,'CAT_CENTROS_COSTO'!$A$4:$A$13,0)),"(sin catálogo)"))</f>
        <v/>
      </c>
      <c r="Y1047" s="3">
        <f>IF($G1047="","",IFERROR(INDEX('CAT_PUESTOS'!$B$4:$B$8,MATCH($G1047,'CAT_PUESTOS'!$A$4:$A$8,0)),"(sin catálogo)"))</f>
        <v/>
      </c>
      <c r="Z1047" s="3">
        <f>IF($H1047="","",IFERROR(INDEX('CAT_ACTIVIDADES'!$B$4:$B$8,MATCH($H1047,'CAT_ACTIVIDADES'!$A$4:$A$8,0)),"(sin catálogo)"))</f>
        <v/>
      </c>
      <c r="AA1047" s="12">
        <f>IF($J1047="","",TODAY()-$J1047)</f>
        <v/>
      </c>
      <c r="AB1047" s="12">
        <f>IF($J1047="","",IF($J1047&lt;=TODAY(),COUNTIFS(cal_fechas,"&gt;="&amp;$J1047,cal_fechas,"&lt;"&amp;TODAY(),cal_habil,"sí"),-COUNTIFS(cal_fechas,"&gt;="&amp;TODAY(),cal_fechas,"&lt;"&amp;$J1047,cal_habil,"sí")))</f>
        <v/>
      </c>
      <c r="AC1047" s="3">
        <f>IF($AB1047="","",IF($AB1047&lt;0,"FUTURO",IF($AB1047&gt;p_dias_backlog_max,"BACKLOG","MES CORRIENTE")))</f>
        <v/>
      </c>
      <c r="AD1047" s="3">
        <f>IF($AB1047="",FALSE,AND($AB1047&gt;p_dias_backlog_min,$AB1047&lt;=p_dias_backlog_max))</f>
        <v/>
      </c>
      <c r="AE1047" s="6" t="n"/>
      <c r="AF1047" s="3">
        <f>IF($AE1047="","",IF((IFERROR(INDEX('ASIGNACIONES'!$F$4:$F$339,MATCH($O1047&amp;"|"&amp;$R1047&amp;"|"&amp;$AE1047,'ASIGNACIONES'!$J$4:$J$339,0)),""))=0,"",IFERROR(INDEX('ASIGNACIONES'!$F$4:$F$339,MATCH($O1047&amp;"|"&amp;$R1047&amp;"|"&amp;$AE1047,'ASIGNACIONES'!$J$4:$J$339,0)),"")))</f>
        <v/>
      </c>
      <c r="AG1047" s="13">
        <f>IF($AE1047="","",SUMIFS('ORDENES'!$M$4:$M$1203,'ORDENES'!$AE$4:$AE$1203,$AE1047,'ORDENES'!$O$4:$O$1203,$O1047,'ORDENES'!$R$4:$R$1203,$R1047))</f>
        <v/>
      </c>
      <c r="AH1047" s="13">
        <f>IF($AG1047="","",p_factor_productividad*IFERROR(INDEX('ASIGNACIONES'!$I$4:$I$339,MATCH($O1047&amp;"|"&amp;$R1047&amp;"|"&amp;$AE1047,'ASIGNACIONES'!$J$4:$J$339,0)),0)-$AG1047)</f>
        <v/>
      </c>
      <c r="AI1047" s="10">
        <f>IF($A1047="","",IFERROR(INDEX('2_IMPORTAR_EJECUCION'!$F$9:$F$1208,MATCH($AQ1047,'2_IMPORTAR_EJECUCION'!$J$9:$J$1208,0)),0))</f>
        <v/>
      </c>
      <c r="AJ1047" s="10">
        <f>IF($A1047="","",MAX(0,IFERROR(INDEX('2_IMPORTAR_EJECUCION'!$H$9:$H$1208,MATCH($AQ1047,'2_IMPORTAR_EJECUCION'!$J$9:$J$1208,0)),0)-$AI1047))</f>
        <v/>
      </c>
      <c r="AK1047" s="10">
        <f>IF($A1047="","",$AI1047+$AJ1047)</f>
        <v/>
      </c>
      <c r="AL1047" s="6" t="n"/>
      <c r="AM1047" s="6" t="n"/>
      <c r="AN1047" s="6" t="n"/>
      <c r="AO1047" s="3">
        <f>IF($AN1047="","",HYPERLINK(p_ruta_base_checklists&amp;$AN1047,"abrir"))</f>
        <v/>
      </c>
      <c r="AP1047" s="6" t="n"/>
      <c r="AQ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IF($A1048="","",IFERROR(INDEX('AJUSTES'!$B$4:$B$303,MATCH($AQ1048,'AJUSTES'!$A$4:$A$303,0)),IF($K1048="","",$K1048)))</f>
        <v/>
      </c>
      <c r="N1048" s="3">
        <f>IF($A1048="","",IFERROR(INDEX('CAT_ESTADOS_ERP'!$B$4:$B$7,MATCH(IFERROR(INDEX('2_IMPORTAR_EJECUCION'!$C$9:$C$1208,MATCH($AQ1048,'2_IMPORTAR_EJECUCION'!$J$9:$J$1208,0)),""),'CAT_ESTADOS_ERP'!$A$4:$A$7,0)),"Pendiente"))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J1048="","",IFERROR(INDEX('CALENDARIO'!$C$15:$C$214,MATCH(TEXT($J1048,"yyyy-mm-dd")&amp;"|"&amp;$V1048&amp;"|"&amp;$W1048,'CALENDARIO'!$G$15:$G$214,0)),IFERROR(INDEX('CALENDARIO'!$C$15:$C$214,MATCH(TEXT($J1048,"yyyy-mm-dd")&amp;"|"&amp;$V1048&amp;"|",'CALENDARIO'!$G$15:$G$214,0)),IFERROR(INDEX('CALENDARIO'!$C$15:$C$214,MATCH(TEXT($J1048,"yyyy-mm-dd")&amp;"||",'CALENDARIO'!$G$15:$G$214,0)),INDEX(patronHabil,WEEKDAY($J1048,2))))))</f>
        <v/>
      </c>
      <c r="T1048" s="3">
        <f>IF($I1048="","",IFERROR(INDEX('CAT_TIPOS_OT'!$C$4:$C$7,MATCH($I1048,'CAT_TIPOS_OT'!$A$4:$A$7,0)),"sin_clasificar"))</f>
        <v/>
      </c>
      <c r="U1048" s="3">
        <f>IF($F1048="","",IFERROR(INDEX('CAT_CENTROS_COSTO'!$F$4:$F$13,MATCH($F1048,'CAT_CENTROS_COSTO'!$A$4:$A$13,0)),"(sin catálogo)"))</f>
        <v/>
      </c>
      <c r="V1048" s="3">
        <f>IF($F1048="","",IFERROR(INDEX('CAT_CENTROS_COSTO'!$D$4:$D$13,MATCH($F1048,'CAT_CENTROS_COSTO'!$A$4:$A$13,0)),"(sin catálogo)"))</f>
        <v/>
      </c>
      <c r="W1048" s="3">
        <f>IF($F1048="","",IF((IFERROR(INDEX('CAT_CENTROS_COSTO'!$E$4:$E$13,MATCH($F1048,'CAT_CENTROS_COSTO'!$A$4:$A$13,0)),""))&lt;&gt;"",IFERROR(INDEX('CAT_CENTROS_COSTO'!$E$4:$E$13,MATCH($F1048,'CAT_CENTROS_COSTO'!$A$4:$A$13,0)),""),$V1048))</f>
        <v/>
      </c>
      <c r="X1048" s="3">
        <f>IF($F1048="","",IFERROR(INDEX('CAT_CENTROS_COSTO'!$G$4:$G$13,MATCH($F1048,'CAT_CENTROS_COSTO'!$A$4:$A$13,0)),"(sin catálogo)"))</f>
        <v/>
      </c>
      <c r="Y1048" s="3">
        <f>IF($G1048="","",IFERROR(INDEX('CAT_PUESTOS'!$B$4:$B$8,MATCH($G1048,'CAT_PUESTOS'!$A$4:$A$8,0)),"(sin catálogo)"))</f>
        <v/>
      </c>
      <c r="Z1048" s="3">
        <f>IF($H1048="","",IFERROR(INDEX('CAT_ACTIVIDADES'!$B$4:$B$8,MATCH($H1048,'CAT_ACTIVIDADES'!$A$4:$A$8,0)),"(sin catálogo)"))</f>
        <v/>
      </c>
      <c r="AA1048" s="12">
        <f>IF($J1048="","",TODAY()-$J1048)</f>
        <v/>
      </c>
      <c r="AB1048" s="12">
        <f>IF($J1048="","",IF($J1048&lt;=TODAY(),COUNTIFS(cal_fechas,"&gt;="&amp;$J1048,cal_fechas,"&lt;"&amp;TODAY(),cal_habil,"sí"),-COUNTIFS(cal_fechas,"&gt;="&amp;TODAY(),cal_fechas,"&lt;"&amp;$J1048,cal_habil,"sí")))</f>
        <v/>
      </c>
      <c r="AC1048" s="3">
        <f>IF($AB1048="","",IF($AB1048&lt;0,"FUTURO",IF($AB1048&gt;p_dias_backlog_max,"BACKLOG","MES CORRIENTE")))</f>
        <v/>
      </c>
      <c r="AD1048" s="3">
        <f>IF($AB1048="",FALSE,AND($AB1048&gt;p_dias_backlog_min,$AB1048&lt;=p_dias_backlog_max))</f>
        <v/>
      </c>
      <c r="AE1048" s="6" t="n"/>
      <c r="AF1048" s="3">
        <f>IF($AE1048="","",IF((IFERROR(INDEX('ASIGNACIONES'!$F$4:$F$339,MATCH($O1048&amp;"|"&amp;$R1048&amp;"|"&amp;$AE1048,'ASIGNACIONES'!$J$4:$J$339,0)),""))=0,"",IFERROR(INDEX('ASIGNACIONES'!$F$4:$F$339,MATCH($O1048&amp;"|"&amp;$R1048&amp;"|"&amp;$AE1048,'ASIGNACIONES'!$J$4:$J$339,0)),"")))</f>
        <v/>
      </c>
      <c r="AG1048" s="13">
        <f>IF($AE1048="","",SUMIFS('ORDENES'!$M$4:$M$1203,'ORDENES'!$AE$4:$AE$1203,$AE1048,'ORDENES'!$O$4:$O$1203,$O1048,'ORDENES'!$R$4:$R$1203,$R1048))</f>
        <v/>
      </c>
      <c r="AH1048" s="13">
        <f>IF($AG1048="","",p_factor_productividad*IFERROR(INDEX('ASIGNACIONES'!$I$4:$I$339,MATCH($O1048&amp;"|"&amp;$R1048&amp;"|"&amp;$AE1048,'ASIGNACIONES'!$J$4:$J$339,0)),0)-$AG1048)</f>
        <v/>
      </c>
      <c r="AI1048" s="10">
        <f>IF($A1048="","",IFERROR(INDEX('2_IMPORTAR_EJECUCION'!$F$9:$F$1208,MATCH($AQ1048,'2_IMPORTAR_EJECUCION'!$J$9:$J$1208,0)),0))</f>
        <v/>
      </c>
      <c r="AJ1048" s="10">
        <f>IF($A1048="","",MAX(0,IFERROR(INDEX('2_IMPORTAR_EJECUCION'!$H$9:$H$1208,MATCH($AQ1048,'2_IMPORTAR_EJECUCION'!$J$9:$J$1208,0)),0)-$AI1048))</f>
        <v/>
      </c>
      <c r="AK1048" s="10">
        <f>IF($A1048="","",$AI1048+$AJ1048)</f>
        <v/>
      </c>
      <c r="AL1048" s="6" t="n"/>
      <c r="AM1048" s="6" t="n"/>
      <c r="AN1048" s="6" t="n"/>
      <c r="AO1048" s="3">
        <f>IF($AN1048="","",HYPERLINK(p_ruta_base_checklists&amp;$AN1048,"abrir"))</f>
        <v/>
      </c>
      <c r="AP1048" s="6" t="n"/>
      <c r="AQ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IF($A1049="","",IFERROR(INDEX('AJUSTES'!$B$4:$B$303,MATCH($AQ1049,'AJUSTES'!$A$4:$A$303,0)),IF($K1049="","",$K1049)))</f>
        <v/>
      </c>
      <c r="N1049" s="3">
        <f>IF($A1049="","",IFERROR(INDEX('CAT_ESTADOS_ERP'!$B$4:$B$7,MATCH(IFERROR(INDEX('2_IMPORTAR_EJECUCION'!$C$9:$C$1208,MATCH($AQ1049,'2_IMPORTAR_EJECUCION'!$J$9:$J$1208,0)),""),'CAT_ESTADOS_ERP'!$A$4:$A$7,0)),"Pendiente"))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J1049="","",IFERROR(INDEX('CALENDARIO'!$C$15:$C$214,MATCH(TEXT($J1049,"yyyy-mm-dd")&amp;"|"&amp;$V1049&amp;"|"&amp;$W1049,'CALENDARIO'!$G$15:$G$214,0)),IFERROR(INDEX('CALENDARIO'!$C$15:$C$214,MATCH(TEXT($J1049,"yyyy-mm-dd")&amp;"|"&amp;$V1049&amp;"|",'CALENDARIO'!$G$15:$G$214,0)),IFERROR(INDEX('CALENDARIO'!$C$15:$C$214,MATCH(TEXT($J1049,"yyyy-mm-dd")&amp;"||",'CALENDARIO'!$G$15:$G$214,0)),INDEX(patronHabil,WEEKDAY($J1049,2))))))</f>
        <v/>
      </c>
      <c r="T1049" s="3">
        <f>IF($I1049="","",IFERROR(INDEX('CAT_TIPOS_OT'!$C$4:$C$7,MATCH($I1049,'CAT_TIPOS_OT'!$A$4:$A$7,0)),"sin_clasificar"))</f>
        <v/>
      </c>
      <c r="U1049" s="3">
        <f>IF($F1049="","",IFERROR(INDEX('CAT_CENTROS_COSTO'!$F$4:$F$13,MATCH($F1049,'CAT_CENTROS_COSTO'!$A$4:$A$13,0)),"(sin catálogo)"))</f>
        <v/>
      </c>
      <c r="V1049" s="3">
        <f>IF($F1049="","",IFERROR(INDEX('CAT_CENTROS_COSTO'!$D$4:$D$13,MATCH($F1049,'CAT_CENTROS_COSTO'!$A$4:$A$13,0)),"(sin catálogo)"))</f>
        <v/>
      </c>
      <c r="W1049" s="3">
        <f>IF($F1049="","",IF((IFERROR(INDEX('CAT_CENTROS_COSTO'!$E$4:$E$13,MATCH($F1049,'CAT_CENTROS_COSTO'!$A$4:$A$13,0)),""))&lt;&gt;"",IFERROR(INDEX('CAT_CENTROS_COSTO'!$E$4:$E$13,MATCH($F1049,'CAT_CENTROS_COSTO'!$A$4:$A$13,0)),""),$V1049))</f>
        <v/>
      </c>
      <c r="X1049" s="3">
        <f>IF($F1049="","",IFERROR(INDEX('CAT_CENTROS_COSTO'!$G$4:$G$13,MATCH($F1049,'CAT_CENTROS_COSTO'!$A$4:$A$13,0)),"(sin catálogo)"))</f>
        <v/>
      </c>
      <c r="Y1049" s="3">
        <f>IF($G1049="","",IFERROR(INDEX('CAT_PUESTOS'!$B$4:$B$8,MATCH($G1049,'CAT_PUESTOS'!$A$4:$A$8,0)),"(sin catálogo)"))</f>
        <v/>
      </c>
      <c r="Z1049" s="3">
        <f>IF($H1049="","",IFERROR(INDEX('CAT_ACTIVIDADES'!$B$4:$B$8,MATCH($H1049,'CAT_ACTIVIDADES'!$A$4:$A$8,0)),"(sin catálogo)"))</f>
        <v/>
      </c>
      <c r="AA1049" s="12">
        <f>IF($J1049="","",TODAY()-$J1049)</f>
        <v/>
      </c>
      <c r="AB1049" s="12">
        <f>IF($J1049="","",IF($J1049&lt;=TODAY(),COUNTIFS(cal_fechas,"&gt;="&amp;$J1049,cal_fechas,"&lt;"&amp;TODAY(),cal_habil,"sí"),-COUNTIFS(cal_fechas,"&gt;="&amp;TODAY(),cal_fechas,"&lt;"&amp;$J1049,cal_habil,"sí")))</f>
        <v/>
      </c>
      <c r="AC1049" s="3">
        <f>IF($AB1049="","",IF($AB1049&lt;0,"FUTURO",IF($AB1049&gt;p_dias_backlog_max,"BACKLOG","MES CORRIENTE")))</f>
        <v/>
      </c>
      <c r="AD1049" s="3">
        <f>IF($AB1049="",FALSE,AND($AB1049&gt;p_dias_backlog_min,$AB1049&lt;=p_dias_backlog_max))</f>
        <v/>
      </c>
      <c r="AE1049" s="6" t="n"/>
      <c r="AF1049" s="3">
        <f>IF($AE1049="","",IF((IFERROR(INDEX('ASIGNACIONES'!$F$4:$F$339,MATCH($O1049&amp;"|"&amp;$R1049&amp;"|"&amp;$AE1049,'ASIGNACIONES'!$J$4:$J$339,0)),""))=0,"",IFERROR(INDEX('ASIGNACIONES'!$F$4:$F$339,MATCH($O1049&amp;"|"&amp;$R1049&amp;"|"&amp;$AE1049,'ASIGNACIONES'!$J$4:$J$339,0)),"")))</f>
        <v/>
      </c>
      <c r="AG1049" s="13">
        <f>IF($AE1049="","",SUMIFS('ORDENES'!$M$4:$M$1203,'ORDENES'!$AE$4:$AE$1203,$AE1049,'ORDENES'!$O$4:$O$1203,$O1049,'ORDENES'!$R$4:$R$1203,$R1049))</f>
        <v/>
      </c>
      <c r="AH1049" s="13">
        <f>IF($AG1049="","",p_factor_productividad*IFERROR(INDEX('ASIGNACIONES'!$I$4:$I$339,MATCH($O1049&amp;"|"&amp;$R1049&amp;"|"&amp;$AE1049,'ASIGNACIONES'!$J$4:$J$339,0)),0)-$AG1049)</f>
        <v/>
      </c>
      <c r="AI1049" s="10">
        <f>IF($A1049="","",IFERROR(INDEX('2_IMPORTAR_EJECUCION'!$F$9:$F$1208,MATCH($AQ1049,'2_IMPORTAR_EJECUCION'!$J$9:$J$1208,0)),0))</f>
        <v/>
      </c>
      <c r="AJ1049" s="10">
        <f>IF($A1049="","",MAX(0,IFERROR(INDEX('2_IMPORTAR_EJECUCION'!$H$9:$H$1208,MATCH($AQ1049,'2_IMPORTAR_EJECUCION'!$J$9:$J$1208,0)),0)-$AI1049))</f>
        <v/>
      </c>
      <c r="AK1049" s="10">
        <f>IF($A1049="","",$AI1049+$AJ1049)</f>
        <v/>
      </c>
      <c r="AL1049" s="6" t="n"/>
      <c r="AM1049" s="6" t="n"/>
      <c r="AN1049" s="6" t="n"/>
      <c r="AO1049" s="3">
        <f>IF($AN1049="","",HYPERLINK(p_ruta_base_checklists&amp;$AN1049,"abrir"))</f>
        <v/>
      </c>
      <c r="AP1049" s="6" t="n"/>
      <c r="AQ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IF($A1050="","",IFERROR(INDEX('AJUSTES'!$B$4:$B$303,MATCH($AQ1050,'AJUSTES'!$A$4:$A$303,0)),IF($K1050="","",$K1050)))</f>
        <v/>
      </c>
      <c r="N1050" s="3">
        <f>IF($A1050="","",IFERROR(INDEX('CAT_ESTADOS_ERP'!$B$4:$B$7,MATCH(IFERROR(INDEX('2_IMPORTAR_EJECUCION'!$C$9:$C$1208,MATCH($AQ1050,'2_IMPORTAR_EJECUCION'!$J$9:$J$1208,0)),""),'CAT_ESTADOS_ERP'!$A$4:$A$7,0)),"Pendiente"))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J1050="","",IFERROR(INDEX('CALENDARIO'!$C$15:$C$214,MATCH(TEXT($J1050,"yyyy-mm-dd")&amp;"|"&amp;$V1050&amp;"|"&amp;$W1050,'CALENDARIO'!$G$15:$G$214,0)),IFERROR(INDEX('CALENDARIO'!$C$15:$C$214,MATCH(TEXT($J1050,"yyyy-mm-dd")&amp;"|"&amp;$V1050&amp;"|",'CALENDARIO'!$G$15:$G$214,0)),IFERROR(INDEX('CALENDARIO'!$C$15:$C$214,MATCH(TEXT($J1050,"yyyy-mm-dd")&amp;"||",'CALENDARIO'!$G$15:$G$214,0)),INDEX(patronHabil,WEEKDAY($J1050,2))))))</f>
        <v/>
      </c>
      <c r="T1050" s="3">
        <f>IF($I1050="","",IFERROR(INDEX('CAT_TIPOS_OT'!$C$4:$C$7,MATCH($I1050,'CAT_TIPOS_OT'!$A$4:$A$7,0)),"sin_clasificar"))</f>
        <v/>
      </c>
      <c r="U1050" s="3">
        <f>IF($F1050="","",IFERROR(INDEX('CAT_CENTROS_COSTO'!$F$4:$F$13,MATCH($F1050,'CAT_CENTROS_COSTO'!$A$4:$A$13,0)),"(sin catálogo)"))</f>
        <v/>
      </c>
      <c r="V1050" s="3">
        <f>IF($F1050="","",IFERROR(INDEX('CAT_CENTROS_COSTO'!$D$4:$D$13,MATCH($F1050,'CAT_CENTROS_COSTO'!$A$4:$A$13,0)),"(sin catálogo)"))</f>
        <v/>
      </c>
      <c r="W1050" s="3">
        <f>IF($F1050="","",IF((IFERROR(INDEX('CAT_CENTROS_COSTO'!$E$4:$E$13,MATCH($F1050,'CAT_CENTROS_COSTO'!$A$4:$A$13,0)),""))&lt;&gt;"",IFERROR(INDEX('CAT_CENTROS_COSTO'!$E$4:$E$13,MATCH($F1050,'CAT_CENTROS_COSTO'!$A$4:$A$13,0)),""),$V1050))</f>
        <v/>
      </c>
      <c r="X1050" s="3">
        <f>IF($F1050="","",IFERROR(INDEX('CAT_CENTROS_COSTO'!$G$4:$G$13,MATCH($F1050,'CAT_CENTROS_COSTO'!$A$4:$A$13,0)),"(sin catálogo)"))</f>
        <v/>
      </c>
      <c r="Y1050" s="3">
        <f>IF($G1050="","",IFERROR(INDEX('CAT_PUESTOS'!$B$4:$B$8,MATCH($G1050,'CAT_PUESTOS'!$A$4:$A$8,0)),"(sin catálogo)"))</f>
        <v/>
      </c>
      <c r="Z1050" s="3">
        <f>IF($H1050="","",IFERROR(INDEX('CAT_ACTIVIDADES'!$B$4:$B$8,MATCH($H1050,'CAT_ACTIVIDADES'!$A$4:$A$8,0)),"(sin catálogo)"))</f>
        <v/>
      </c>
      <c r="AA1050" s="12">
        <f>IF($J1050="","",TODAY()-$J1050)</f>
        <v/>
      </c>
      <c r="AB1050" s="12">
        <f>IF($J1050="","",IF($J1050&lt;=TODAY(),COUNTIFS(cal_fechas,"&gt;="&amp;$J1050,cal_fechas,"&lt;"&amp;TODAY(),cal_habil,"sí"),-COUNTIFS(cal_fechas,"&gt;="&amp;TODAY(),cal_fechas,"&lt;"&amp;$J1050,cal_habil,"sí")))</f>
        <v/>
      </c>
      <c r="AC1050" s="3">
        <f>IF($AB1050="","",IF($AB1050&lt;0,"FUTURO",IF($AB1050&gt;p_dias_backlog_max,"BACKLOG","MES CORRIENTE")))</f>
        <v/>
      </c>
      <c r="AD1050" s="3">
        <f>IF($AB1050="",FALSE,AND($AB1050&gt;p_dias_backlog_min,$AB1050&lt;=p_dias_backlog_max))</f>
        <v/>
      </c>
      <c r="AE1050" s="6" t="n"/>
      <c r="AF1050" s="3">
        <f>IF($AE1050="","",IF((IFERROR(INDEX('ASIGNACIONES'!$F$4:$F$339,MATCH($O1050&amp;"|"&amp;$R1050&amp;"|"&amp;$AE1050,'ASIGNACIONES'!$J$4:$J$339,0)),""))=0,"",IFERROR(INDEX('ASIGNACIONES'!$F$4:$F$339,MATCH($O1050&amp;"|"&amp;$R1050&amp;"|"&amp;$AE1050,'ASIGNACIONES'!$J$4:$J$339,0)),"")))</f>
        <v/>
      </c>
      <c r="AG1050" s="13">
        <f>IF($AE1050="","",SUMIFS('ORDENES'!$M$4:$M$1203,'ORDENES'!$AE$4:$AE$1203,$AE1050,'ORDENES'!$O$4:$O$1203,$O1050,'ORDENES'!$R$4:$R$1203,$R1050))</f>
        <v/>
      </c>
      <c r="AH1050" s="13">
        <f>IF($AG1050="","",p_factor_productividad*IFERROR(INDEX('ASIGNACIONES'!$I$4:$I$339,MATCH($O1050&amp;"|"&amp;$R1050&amp;"|"&amp;$AE1050,'ASIGNACIONES'!$J$4:$J$339,0)),0)-$AG1050)</f>
        <v/>
      </c>
      <c r="AI1050" s="10">
        <f>IF($A1050="","",IFERROR(INDEX('2_IMPORTAR_EJECUCION'!$F$9:$F$1208,MATCH($AQ1050,'2_IMPORTAR_EJECUCION'!$J$9:$J$1208,0)),0))</f>
        <v/>
      </c>
      <c r="AJ1050" s="10">
        <f>IF($A1050="","",MAX(0,IFERROR(INDEX('2_IMPORTAR_EJECUCION'!$H$9:$H$1208,MATCH($AQ1050,'2_IMPORTAR_EJECUCION'!$J$9:$J$1208,0)),0)-$AI1050))</f>
        <v/>
      </c>
      <c r="AK1050" s="10">
        <f>IF($A1050="","",$AI1050+$AJ1050)</f>
        <v/>
      </c>
      <c r="AL1050" s="6" t="n"/>
      <c r="AM1050" s="6" t="n"/>
      <c r="AN1050" s="6" t="n"/>
      <c r="AO1050" s="3">
        <f>IF($AN1050="","",HYPERLINK(p_ruta_base_checklists&amp;$AN1050,"abrir"))</f>
        <v/>
      </c>
      <c r="AP1050" s="6" t="n"/>
      <c r="AQ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IF($A1051="","",IFERROR(INDEX('AJUSTES'!$B$4:$B$303,MATCH($AQ1051,'AJUSTES'!$A$4:$A$303,0)),IF($K1051="","",$K1051)))</f>
        <v/>
      </c>
      <c r="N1051" s="3">
        <f>IF($A1051="","",IFERROR(INDEX('CAT_ESTADOS_ERP'!$B$4:$B$7,MATCH(IFERROR(INDEX('2_IMPORTAR_EJECUCION'!$C$9:$C$1208,MATCH($AQ1051,'2_IMPORTAR_EJECUCION'!$J$9:$J$1208,0)),""),'CAT_ESTADOS_ERP'!$A$4:$A$7,0)),"Pendiente"))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J1051="","",IFERROR(INDEX('CALENDARIO'!$C$15:$C$214,MATCH(TEXT($J1051,"yyyy-mm-dd")&amp;"|"&amp;$V1051&amp;"|"&amp;$W1051,'CALENDARIO'!$G$15:$G$214,0)),IFERROR(INDEX('CALENDARIO'!$C$15:$C$214,MATCH(TEXT($J1051,"yyyy-mm-dd")&amp;"|"&amp;$V1051&amp;"|",'CALENDARIO'!$G$15:$G$214,0)),IFERROR(INDEX('CALENDARIO'!$C$15:$C$214,MATCH(TEXT($J1051,"yyyy-mm-dd")&amp;"||",'CALENDARIO'!$G$15:$G$214,0)),INDEX(patronHabil,WEEKDAY($J1051,2))))))</f>
        <v/>
      </c>
      <c r="T1051" s="3">
        <f>IF($I1051="","",IFERROR(INDEX('CAT_TIPOS_OT'!$C$4:$C$7,MATCH($I1051,'CAT_TIPOS_OT'!$A$4:$A$7,0)),"sin_clasificar"))</f>
        <v/>
      </c>
      <c r="U1051" s="3">
        <f>IF($F1051="","",IFERROR(INDEX('CAT_CENTROS_COSTO'!$F$4:$F$13,MATCH($F1051,'CAT_CENTROS_COSTO'!$A$4:$A$13,0)),"(sin catálogo)"))</f>
        <v/>
      </c>
      <c r="V1051" s="3">
        <f>IF($F1051="","",IFERROR(INDEX('CAT_CENTROS_COSTO'!$D$4:$D$13,MATCH($F1051,'CAT_CENTROS_COSTO'!$A$4:$A$13,0)),"(sin catálogo)"))</f>
        <v/>
      </c>
      <c r="W1051" s="3">
        <f>IF($F1051="","",IF((IFERROR(INDEX('CAT_CENTROS_COSTO'!$E$4:$E$13,MATCH($F1051,'CAT_CENTROS_COSTO'!$A$4:$A$13,0)),""))&lt;&gt;"",IFERROR(INDEX('CAT_CENTROS_COSTO'!$E$4:$E$13,MATCH($F1051,'CAT_CENTROS_COSTO'!$A$4:$A$13,0)),""),$V1051))</f>
        <v/>
      </c>
      <c r="X1051" s="3">
        <f>IF($F1051="","",IFERROR(INDEX('CAT_CENTROS_COSTO'!$G$4:$G$13,MATCH($F1051,'CAT_CENTROS_COSTO'!$A$4:$A$13,0)),"(sin catálogo)"))</f>
        <v/>
      </c>
      <c r="Y1051" s="3">
        <f>IF($G1051="","",IFERROR(INDEX('CAT_PUESTOS'!$B$4:$B$8,MATCH($G1051,'CAT_PUESTOS'!$A$4:$A$8,0)),"(sin catálogo)"))</f>
        <v/>
      </c>
      <c r="Z1051" s="3">
        <f>IF($H1051="","",IFERROR(INDEX('CAT_ACTIVIDADES'!$B$4:$B$8,MATCH($H1051,'CAT_ACTIVIDADES'!$A$4:$A$8,0)),"(sin catálogo)"))</f>
        <v/>
      </c>
      <c r="AA1051" s="12">
        <f>IF($J1051="","",TODAY()-$J1051)</f>
        <v/>
      </c>
      <c r="AB1051" s="12">
        <f>IF($J1051="","",IF($J1051&lt;=TODAY(),COUNTIFS(cal_fechas,"&gt;="&amp;$J1051,cal_fechas,"&lt;"&amp;TODAY(),cal_habil,"sí"),-COUNTIFS(cal_fechas,"&gt;="&amp;TODAY(),cal_fechas,"&lt;"&amp;$J1051,cal_habil,"sí")))</f>
        <v/>
      </c>
      <c r="AC1051" s="3">
        <f>IF($AB1051="","",IF($AB1051&lt;0,"FUTURO",IF($AB1051&gt;p_dias_backlog_max,"BACKLOG","MES CORRIENTE")))</f>
        <v/>
      </c>
      <c r="AD1051" s="3">
        <f>IF($AB1051="",FALSE,AND($AB1051&gt;p_dias_backlog_min,$AB1051&lt;=p_dias_backlog_max))</f>
        <v/>
      </c>
      <c r="AE1051" s="6" t="n"/>
      <c r="AF1051" s="3">
        <f>IF($AE1051="","",IF((IFERROR(INDEX('ASIGNACIONES'!$F$4:$F$339,MATCH($O1051&amp;"|"&amp;$R1051&amp;"|"&amp;$AE1051,'ASIGNACIONES'!$J$4:$J$339,0)),""))=0,"",IFERROR(INDEX('ASIGNACIONES'!$F$4:$F$339,MATCH($O1051&amp;"|"&amp;$R1051&amp;"|"&amp;$AE1051,'ASIGNACIONES'!$J$4:$J$339,0)),"")))</f>
        <v/>
      </c>
      <c r="AG1051" s="13">
        <f>IF($AE1051="","",SUMIFS('ORDENES'!$M$4:$M$1203,'ORDENES'!$AE$4:$AE$1203,$AE1051,'ORDENES'!$O$4:$O$1203,$O1051,'ORDENES'!$R$4:$R$1203,$R1051))</f>
        <v/>
      </c>
      <c r="AH1051" s="13">
        <f>IF($AG1051="","",p_factor_productividad*IFERROR(INDEX('ASIGNACIONES'!$I$4:$I$339,MATCH($O1051&amp;"|"&amp;$R1051&amp;"|"&amp;$AE1051,'ASIGNACIONES'!$J$4:$J$339,0)),0)-$AG1051)</f>
        <v/>
      </c>
      <c r="AI1051" s="10">
        <f>IF($A1051="","",IFERROR(INDEX('2_IMPORTAR_EJECUCION'!$F$9:$F$1208,MATCH($AQ1051,'2_IMPORTAR_EJECUCION'!$J$9:$J$1208,0)),0))</f>
        <v/>
      </c>
      <c r="AJ1051" s="10">
        <f>IF($A1051="","",MAX(0,IFERROR(INDEX('2_IMPORTAR_EJECUCION'!$H$9:$H$1208,MATCH($AQ1051,'2_IMPORTAR_EJECUCION'!$J$9:$J$1208,0)),0)-$AI1051))</f>
        <v/>
      </c>
      <c r="AK1051" s="10">
        <f>IF($A1051="","",$AI1051+$AJ1051)</f>
        <v/>
      </c>
      <c r="AL1051" s="6" t="n"/>
      <c r="AM1051" s="6" t="n"/>
      <c r="AN1051" s="6" t="n"/>
      <c r="AO1051" s="3">
        <f>IF($AN1051="","",HYPERLINK(p_ruta_base_checklists&amp;$AN1051,"abrir"))</f>
        <v/>
      </c>
      <c r="AP1051" s="6" t="n"/>
      <c r="AQ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IF($A1052="","",IFERROR(INDEX('AJUSTES'!$B$4:$B$303,MATCH($AQ1052,'AJUSTES'!$A$4:$A$303,0)),IF($K1052="","",$K1052)))</f>
        <v/>
      </c>
      <c r="N1052" s="3">
        <f>IF($A1052="","",IFERROR(INDEX('CAT_ESTADOS_ERP'!$B$4:$B$7,MATCH(IFERROR(INDEX('2_IMPORTAR_EJECUCION'!$C$9:$C$1208,MATCH($AQ1052,'2_IMPORTAR_EJECUCION'!$J$9:$J$1208,0)),""),'CAT_ESTADOS_ERP'!$A$4:$A$7,0)),"Pendiente"))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J1052="","",IFERROR(INDEX('CALENDARIO'!$C$15:$C$214,MATCH(TEXT($J1052,"yyyy-mm-dd")&amp;"|"&amp;$V1052&amp;"|"&amp;$W1052,'CALENDARIO'!$G$15:$G$214,0)),IFERROR(INDEX('CALENDARIO'!$C$15:$C$214,MATCH(TEXT($J1052,"yyyy-mm-dd")&amp;"|"&amp;$V1052&amp;"|",'CALENDARIO'!$G$15:$G$214,0)),IFERROR(INDEX('CALENDARIO'!$C$15:$C$214,MATCH(TEXT($J1052,"yyyy-mm-dd")&amp;"||",'CALENDARIO'!$G$15:$G$214,0)),INDEX(patronHabil,WEEKDAY($J1052,2))))))</f>
        <v/>
      </c>
      <c r="T1052" s="3">
        <f>IF($I1052="","",IFERROR(INDEX('CAT_TIPOS_OT'!$C$4:$C$7,MATCH($I1052,'CAT_TIPOS_OT'!$A$4:$A$7,0)),"sin_clasificar"))</f>
        <v/>
      </c>
      <c r="U1052" s="3">
        <f>IF($F1052="","",IFERROR(INDEX('CAT_CENTROS_COSTO'!$F$4:$F$13,MATCH($F1052,'CAT_CENTROS_COSTO'!$A$4:$A$13,0)),"(sin catálogo)"))</f>
        <v/>
      </c>
      <c r="V1052" s="3">
        <f>IF($F1052="","",IFERROR(INDEX('CAT_CENTROS_COSTO'!$D$4:$D$13,MATCH($F1052,'CAT_CENTROS_COSTO'!$A$4:$A$13,0)),"(sin catálogo)"))</f>
        <v/>
      </c>
      <c r="W1052" s="3">
        <f>IF($F1052="","",IF((IFERROR(INDEX('CAT_CENTROS_COSTO'!$E$4:$E$13,MATCH($F1052,'CAT_CENTROS_COSTO'!$A$4:$A$13,0)),""))&lt;&gt;"",IFERROR(INDEX('CAT_CENTROS_COSTO'!$E$4:$E$13,MATCH($F1052,'CAT_CENTROS_COSTO'!$A$4:$A$13,0)),""),$V1052))</f>
        <v/>
      </c>
      <c r="X1052" s="3">
        <f>IF($F1052="","",IFERROR(INDEX('CAT_CENTROS_COSTO'!$G$4:$G$13,MATCH($F1052,'CAT_CENTROS_COSTO'!$A$4:$A$13,0)),"(sin catálogo)"))</f>
        <v/>
      </c>
      <c r="Y1052" s="3">
        <f>IF($G1052="","",IFERROR(INDEX('CAT_PUESTOS'!$B$4:$B$8,MATCH($G1052,'CAT_PUESTOS'!$A$4:$A$8,0)),"(sin catálogo)"))</f>
        <v/>
      </c>
      <c r="Z1052" s="3">
        <f>IF($H1052="","",IFERROR(INDEX('CAT_ACTIVIDADES'!$B$4:$B$8,MATCH($H1052,'CAT_ACTIVIDADES'!$A$4:$A$8,0)),"(sin catálogo)"))</f>
        <v/>
      </c>
      <c r="AA1052" s="12">
        <f>IF($J1052="","",TODAY()-$J1052)</f>
        <v/>
      </c>
      <c r="AB1052" s="12">
        <f>IF($J1052="","",IF($J1052&lt;=TODAY(),COUNTIFS(cal_fechas,"&gt;="&amp;$J1052,cal_fechas,"&lt;"&amp;TODAY(),cal_habil,"sí"),-COUNTIFS(cal_fechas,"&gt;="&amp;TODAY(),cal_fechas,"&lt;"&amp;$J1052,cal_habil,"sí")))</f>
        <v/>
      </c>
      <c r="AC1052" s="3">
        <f>IF($AB1052="","",IF($AB1052&lt;0,"FUTURO",IF($AB1052&gt;p_dias_backlog_max,"BACKLOG","MES CORRIENTE")))</f>
        <v/>
      </c>
      <c r="AD1052" s="3">
        <f>IF($AB1052="",FALSE,AND($AB1052&gt;p_dias_backlog_min,$AB1052&lt;=p_dias_backlog_max))</f>
        <v/>
      </c>
      <c r="AE1052" s="6" t="n"/>
      <c r="AF1052" s="3">
        <f>IF($AE1052="","",IF((IFERROR(INDEX('ASIGNACIONES'!$F$4:$F$339,MATCH($O1052&amp;"|"&amp;$R1052&amp;"|"&amp;$AE1052,'ASIGNACIONES'!$J$4:$J$339,0)),""))=0,"",IFERROR(INDEX('ASIGNACIONES'!$F$4:$F$339,MATCH($O1052&amp;"|"&amp;$R1052&amp;"|"&amp;$AE1052,'ASIGNACIONES'!$J$4:$J$339,0)),"")))</f>
        <v/>
      </c>
      <c r="AG1052" s="13">
        <f>IF($AE1052="","",SUMIFS('ORDENES'!$M$4:$M$1203,'ORDENES'!$AE$4:$AE$1203,$AE1052,'ORDENES'!$O$4:$O$1203,$O1052,'ORDENES'!$R$4:$R$1203,$R1052))</f>
        <v/>
      </c>
      <c r="AH1052" s="13">
        <f>IF($AG1052="","",p_factor_productividad*IFERROR(INDEX('ASIGNACIONES'!$I$4:$I$339,MATCH($O1052&amp;"|"&amp;$R1052&amp;"|"&amp;$AE1052,'ASIGNACIONES'!$J$4:$J$339,0)),0)-$AG1052)</f>
        <v/>
      </c>
      <c r="AI1052" s="10">
        <f>IF($A1052="","",IFERROR(INDEX('2_IMPORTAR_EJECUCION'!$F$9:$F$1208,MATCH($AQ1052,'2_IMPORTAR_EJECUCION'!$J$9:$J$1208,0)),0))</f>
        <v/>
      </c>
      <c r="AJ1052" s="10">
        <f>IF($A1052="","",MAX(0,IFERROR(INDEX('2_IMPORTAR_EJECUCION'!$H$9:$H$1208,MATCH($AQ1052,'2_IMPORTAR_EJECUCION'!$J$9:$J$1208,0)),0)-$AI1052))</f>
        <v/>
      </c>
      <c r="AK1052" s="10">
        <f>IF($A1052="","",$AI1052+$AJ1052)</f>
        <v/>
      </c>
      <c r="AL1052" s="6" t="n"/>
      <c r="AM1052" s="6" t="n"/>
      <c r="AN1052" s="6" t="n"/>
      <c r="AO1052" s="3">
        <f>IF($AN1052="","",HYPERLINK(p_ruta_base_checklists&amp;$AN1052,"abrir"))</f>
        <v/>
      </c>
      <c r="AP1052" s="6" t="n"/>
      <c r="AQ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IF($A1053="","",IFERROR(INDEX('AJUSTES'!$B$4:$B$303,MATCH($AQ1053,'AJUSTES'!$A$4:$A$303,0)),IF($K1053="","",$K1053)))</f>
        <v/>
      </c>
      <c r="N1053" s="3">
        <f>IF($A1053="","",IFERROR(INDEX('CAT_ESTADOS_ERP'!$B$4:$B$7,MATCH(IFERROR(INDEX('2_IMPORTAR_EJECUCION'!$C$9:$C$1208,MATCH($AQ1053,'2_IMPORTAR_EJECUCION'!$J$9:$J$1208,0)),""),'CAT_ESTADOS_ERP'!$A$4:$A$7,0)),"Pendiente"))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J1053="","",IFERROR(INDEX('CALENDARIO'!$C$15:$C$214,MATCH(TEXT($J1053,"yyyy-mm-dd")&amp;"|"&amp;$V1053&amp;"|"&amp;$W1053,'CALENDARIO'!$G$15:$G$214,0)),IFERROR(INDEX('CALENDARIO'!$C$15:$C$214,MATCH(TEXT($J1053,"yyyy-mm-dd")&amp;"|"&amp;$V1053&amp;"|",'CALENDARIO'!$G$15:$G$214,0)),IFERROR(INDEX('CALENDARIO'!$C$15:$C$214,MATCH(TEXT($J1053,"yyyy-mm-dd")&amp;"||",'CALENDARIO'!$G$15:$G$214,0)),INDEX(patronHabil,WEEKDAY($J1053,2))))))</f>
        <v/>
      </c>
      <c r="T1053" s="3">
        <f>IF($I1053="","",IFERROR(INDEX('CAT_TIPOS_OT'!$C$4:$C$7,MATCH($I1053,'CAT_TIPOS_OT'!$A$4:$A$7,0)),"sin_clasificar"))</f>
        <v/>
      </c>
      <c r="U1053" s="3">
        <f>IF($F1053="","",IFERROR(INDEX('CAT_CENTROS_COSTO'!$F$4:$F$13,MATCH($F1053,'CAT_CENTROS_COSTO'!$A$4:$A$13,0)),"(sin catálogo)"))</f>
        <v/>
      </c>
      <c r="V1053" s="3">
        <f>IF($F1053="","",IFERROR(INDEX('CAT_CENTROS_COSTO'!$D$4:$D$13,MATCH($F1053,'CAT_CENTROS_COSTO'!$A$4:$A$13,0)),"(sin catálogo)"))</f>
        <v/>
      </c>
      <c r="W1053" s="3">
        <f>IF($F1053="","",IF((IFERROR(INDEX('CAT_CENTROS_COSTO'!$E$4:$E$13,MATCH($F1053,'CAT_CENTROS_COSTO'!$A$4:$A$13,0)),""))&lt;&gt;"",IFERROR(INDEX('CAT_CENTROS_COSTO'!$E$4:$E$13,MATCH($F1053,'CAT_CENTROS_COSTO'!$A$4:$A$13,0)),""),$V1053))</f>
        <v/>
      </c>
      <c r="X1053" s="3">
        <f>IF($F1053="","",IFERROR(INDEX('CAT_CENTROS_COSTO'!$G$4:$G$13,MATCH($F1053,'CAT_CENTROS_COSTO'!$A$4:$A$13,0)),"(sin catálogo)"))</f>
        <v/>
      </c>
      <c r="Y1053" s="3">
        <f>IF($G1053="","",IFERROR(INDEX('CAT_PUESTOS'!$B$4:$B$8,MATCH($G1053,'CAT_PUESTOS'!$A$4:$A$8,0)),"(sin catálogo)"))</f>
        <v/>
      </c>
      <c r="Z1053" s="3">
        <f>IF($H1053="","",IFERROR(INDEX('CAT_ACTIVIDADES'!$B$4:$B$8,MATCH($H1053,'CAT_ACTIVIDADES'!$A$4:$A$8,0)),"(sin catálogo)"))</f>
        <v/>
      </c>
      <c r="AA1053" s="12">
        <f>IF($J1053="","",TODAY()-$J1053)</f>
        <v/>
      </c>
      <c r="AB1053" s="12">
        <f>IF($J1053="","",IF($J1053&lt;=TODAY(),COUNTIFS(cal_fechas,"&gt;="&amp;$J1053,cal_fechas,"&lt;"&amp;TODAY(),cal_habil,"sí"),-COUNTIFS(cal_fechas,"&gt;="&amp;TODAY(),cal_fechas,"&lt;"&amp;$J1053,cal_habil,"sí")))</f>
        <v/>
      </c>
      <c r="AC1053" s="3">
        <f>IF($AB1053="","",IF($AB1053&lt;0,"FUTURO",IF($AB1053&gt;p_dias_backlog_max,"BACKLOG","MES CORRIENTE")))</f>
        <v/>
      </c>
      <c r="AD1053" s="3">
        <f>IF($AB1053="",FALSE,AND($AB1053&gt;p_dias_backlog_min,$AB1053&lt;=p_dias_backlog_max))</f>
        <v/>
      </c>
      <c r="AE1053" s="6" t="n"/>
      <c r="AF1053" s="3">
        <f>IF($AE1053="","",IF((IFERROR(INDEX('ASIGNACIONES'!$F$4:$F$339,MATCH($O1053&amp;"|"&amp;$R1053&amp;"|"&amp;$AE1053,'ASIGNACIONES'!$J$4:$J$339,0)),""))=0,"",IFERROR(INDEX('ASIGNACIONES'!$F$4:$F$339,MATCH($O1053&amp;"|"&amp;$R1053&amp;"|"&amp;$AE1053,'ASIGNACIONES'!$J$4:$J$339,0)),"")))</f>
        <v/>
      </c>
      <c r="AG1053" s="13">
        <f>IF($AE1053="","",SUMIFS('ORDENES'!$M$4:$M$1203,'ORDENES'!$AE$4:$AE$1203,$AE1053,'ORDENES'!$O$4:$O$1203,$O1053,'ORDENES'!$R$4:$R$1203,$R1053))</f>
        <v/>
      </c>
      <c r="AH1053" s="13">
        <f>IF($AG1053="","",p_factor_productividad*IFERROR(INDEX('ASIGNACIONES'!$I$4:$I$339,MATCH($O1053&amp;"|"&amp;$R1053&amp;"|"&amp;$AE1053,'ASIGNACIONES'!$J$4:$J$339,0)),0)-$AG1053)</f>
        <v/>
      </c>
      <c r="AI1053" s="10">
        <f>IF($A1053="","",IFERROR(INDEX('2_IMPORTAR_EJECUCION'!$F$9:$F$1208,MATCH($AQ1053,'2_IMPORTAR_EJECUCION'!$J$9:$J$1208,0)),0))</f>
        <v/>
      </c>
      <c r="AJ1053" s="10">
        <f>IF($A1053="","",MAX(0,IFERROR(INDEX('2_IMPORTAR_EJECUCION'!$H$9:$H$1208,MATCH($AQ1053,'2_IMPORTAR_EJECUCION'!$J$9:$J$1208,0)),0)-$AI1053))</f>
        <v/>
      </c>
      <c r="AK1053" s="10">
        <f>IF($A1053="","",$AI1053+$AJ1053)</f>
        <v/>
      </c>
      <c r="AL1053" s="6" t="n"/>
      <c r="AM1053" s="6" t="n"/>
      <c r="AN1053" s="6" t="n"/>
      <c r="AO1053" s="3">
        <f>IF($AN1053="","",HYPERLINK(p_ruta_base_checklists&amp;$AN1053,"abrir"))</f>
        <v/>
      </c>
      <c r="AP1053" s="6" t="n"/>
      <c r="AQ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IF($A1054="","",IFERROR(INDEX('AJUSTES'!$B$4:$B$303,MATCH($AQ1054,'AJUSTES'!$A$4:$A$303,0)),IF($K1054="","",$K1054)))</f>
        <v/>
      </c>
      <c r="N1054" s="3">
        <f>IF($A1054="","",IFERROR(INDEX('CAT_ESTADOS_ERP'!$B$4:$B$7,MATCH(IFERROR(INDEX('2_IMPORTAR_EJECUCION'!$C$9:$C$1208,MATCH($AQ1054,'2_IMPORTAR_EJECUCION'!$J$9:$J$1208,0)),""),'CAT_ESTADOS_ERP'!$A$4:$A$7,0)),"Pendiente"))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J1054="","",IFERROR(INDEX('CALENDARIO'!$C$15:$C$214,MATCH(TEXT($J1054,"yyyy-mm-dd")&amp;"|"&amp;$V1054&amp;"|"&amp;$W1054,'CALENDARIO'!$G$15:$G$214,0)),IFERROR(INDEX('CALENDARIO'!$C$15:$C$214,MATCH(TEXT($J1054,"yyyy-mm-dd")&amp;"|"&amp;$V1054&amp;"|",'CALENDARIO'!$G$15:$G$214,0)),IFERROR(INDEX('CALENDARIO'!$C$15:$C$214,MATCH(TEXT($J1054,"yyyy-mm-dd")&amp;"||",'CALENDARIO'!$G$15:$G$214,0)),INDEX(patronHabil,WEEKDAY($J1054,2))))))</f>
        <v/>
      </c>
      <c r="T1054" s="3">
        <f>IF($I1054="","",IFERROR(INDEX('CAT_TIPOS_OT'!$C$4:$C$7,MATCH($I1054,'CAT_TIPOS_OT'!$A$4:$A$7,0)),"sin_clasificar"))</f>
        <v/>
      </c>
      <c r="U1054" s="3">
        <f>IF($F1054="","",IFERROR(INDEX('CAT_CENTROS_COSTO'!$F$4:$F$13,MATCH($F1054,'CAT_CENTROS_COSTO'!$A$4:$A$13,0)),"(sin catálogo)"))</f>
        <v/>
      </c>
      <c r="V1054" s="3">
        <f>IF($F1054="","",IFERROR(INDEX('CAT_CENTROS_COSTO'!$D$4:$D$13,MATCH($F1054,'CAT_CENTROS_COSTO'!$A$4:$A$13,0)),"(sin catálogo)"))</f>
        <v/>
      </c>
      <c r="W1054" s="3">
        <f>IF($F1054="","",IF((IFERROR(INDEX('CAT_CENTROS_COSTO'!$E$4:$E$13,MATCH($F1054,'CAT_CENTROS_COSTO'!$A$4:$A$13,0)),""))&lt;&gt;"",IFERROR(INDEX('CAT_CENTROS_COSTO'!$E$4:$E$13,MATCH($F1054,'CAT_CENTROS_COSTO'!$A$4:$A$13,0)),""),$V1054))</f>
        <v/>
      </c>
      <c r="X1054" s="3">
        <f>IF($F1054="","",IFERROR(INDEX('CAT_CENTROS_COSTO'!$G$4:$G$13,MATCH($F1054,'CAT_CENTROS_COSTO'!$A$4:$A$13,0)),"(sin catálogo)"))</f>
        <v/>
      </c>
      <c r="Y1054" s="3">
        <f>IF($G1054="","",IFERROR(INDEX('CAT_PUESTOS'!$B$4:$B$8,MATCH($G1054,'CAT_PUESTOS'!$A$4:$A$8,0)),"(sin catálogo)"))</f>
        <v/>
      </c>
      <c r="Z1054" s="3">
        <f>IF($H1054="","",IFERROR(INDEX('CAT_ACTIVIDADES'!$B$4:$B$8,MATCH($H1054,'CAT_ACTIVIDADES'!$A$4:$A$8,0)),"(sin catálogo)"))</f>
        <v/>
      </c>
      <c r="AA1054" s="12">
        <f>IF($J1054="","",TODAY()-$J1054)</f>
        <v/>
      </c>
      <c r="AB1054" s="12">
        <f>IF($J1054="","",IF($J1054&lt;=TODAY(),COUNTIFS(cal_fechas,"&gt;="&amp;$J1054,cal_fechas,"&lt;"&amp;TODAY(),cal_habil,"sí"),-COUNTIFS(cal_fechas,"&gt;="&amp;TODAY(),cal_fechas,"&lt;"&amp;$J1054,cal_habil,"sí")))</f>
        <v/>
      </c>
      <c r="AC1054" s="3">
        <f>IF($AB1054="","",IF($AB1054&lt;0,"FUTURO",IF($AB1054&gt;p_dias_backlog_max,"BACKLOG","MES CORRIENTE")))</f>
        <v/>
      </c>
      <c r="AD1054" s="3">
        <f>IF($AB1054="",FALSE,AND($AB1054&gt;p_dias_backlog_min,$AB1054&lt;=p_dias_backlog_max))</f>
        <v/>
      </c>
      <c r="AE1054" s="6" t="n"/>
      <c r="AF1054" s="3">
        <f>IF($AE1054="","",IF((IFERROR(INDEX('ASIGNACIONES'!$F$4:$F$339,MATCH($O1054&amp;"|"&amp;$R1054&amp;"|"&amp;$AE1054,'ASIGNACIONES'!$J$4:$J$339,0)),""))=0,"",IFERROR(INDEX('ASIGNACIONES'!$F$4:$F$339,MATCH($O1054&amp;"|"&amp;$R1054&amp;"|"&amp;$AE1054,'ASIGNACIONES'!$J$4:$J$339,0)),"")))</f>
        <v/>
      </c>
      <c r="AG1054" s="13">
        <f>IF($AE1054="","",SUMIFS('ORDENES'!$M$4:$M$1203,'ORDENES'!$AE$4:$AE$1203,$AE1054,'ORDENES'!$O$4:$O$1203,$O1054,'ORDENES'!$R$4:$R$1203,$R1054))</f>
        <v/>
      </c>
      <c r="AH1054" s="13">
        <f>IF($AG1054="","",p_factor_productividad*IFERROR(INDEX('ASIGNACIONES'!$I$4:$I$339,MATCH($O1054&amp;"|"&amp;$R1054&amp;"|"&amp;$AE1054,'ASIGNACIONES'!$J$4:$J$339,0)),0)-$AG1054)</f>
        <v/>
      </c>
      <c r="AI1054" s="10">
        <f>IF($A1054="","",IFERROR(INDEX('2_IMPORTAR_EJECUCION'!$F$9:$F$1208,MATCH($AQ1054,'2_IMPORTAR_EJECUCION'!$J$9:$J$1208,0)),0))</f>
        <v/>
      </c>
      <c r="AJ1054" s="10">
        <f>IF($A1054="","",MAX(0,IFERROR(INDEX('2_IMPORTAR_EJECUCION'!$H$9:$H$1208,MATCH($AQ1054,'2_IMPORTAR_EJECUCION'!$J$9:$J$1208,0)),0)-$AI1054))</f>
        <v/>
      </c>
      <c r="AK1054" s="10">
        <f>IF($A1054="","",$AI1054+$AJ1054)</f>
        <v/>
      </c>
      <c r="AL1054" s="6" t="n"/>
      <c r="AM1054" s="6" t="n"/>
      <c r="AN1054" s="6" t="n"/>
      <c r="AO1054" s="3">
        <f>IF($AN1054="","",HYPERLINK(p_ruta_base_checklists&amp;$AN1054,"abrir"))</f>
        <v/>
      </c>
      <c r="AP1054" s="6" t="n"/>
      <c r="AQ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IF($A1055="","",IFERROR(INDEX('AJUSTES'!$B$4:$B$303,MATCH($AQ1055,'AJUSTES'!$A$4:$A$303,0)),IF($K1055="","",$K1055)))</f>
        <v/>
      </c>
      <c r="N1055" s="3">
        <f>IF($A1055="","",IFERROR(INDEX('CAT_ESTADOS_ERP'!$B$4:$B$7,MATCH(IFERROR(INDEX('2_IMPORTAR_EJECUCION'!$C$9:$C$1208,MATCH($AQ1055,'2_IMPORTAR_EJECUCION'!$J$9:$J$1208,0)),""),'CAT_ESTADOS_ERP'!$A$4:$A$7,0)),"Pendiente"))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J1055="","",IFERROR(INDEX('CALENDARIO'!$C$15:$C$214,MATCH(TEXT($J1055,"yyyy-mm-dd")&amp;"|"&amp;$V1055&amp;"|"&amp;$W1055,'CALENDARIO'!$G$15:$G$214,0)),IFERROR(INDEX('CALENDARIO'!$C$15:$C$214,MATCH(TEXT($J1055,"yyyy-mm-dd")&amp;"|"&amp;$V1055&amp;"|",'CALENDARIO'!$G$15:$G$214,0)),IFERROR(INDEX('CALENDARIO'!$C$15:$C$214,MATCH(TEXT($J1055,"yyyy-mm-dd")&amp;"||",'CALENDARIO'!$G$15:$G$214,0)),INDEX(patronHabil,WEEKDAY($J1055,2))))))</f>
        <v/>
      </c>
      <c r="T1055" s="3">
        <f>IF($I1055="","",IFERROR(INDEX('CAT_TIPOS_OT'!$C$4:$C$7,MATCH($I1055,'CAT_TIPOS_OT'!$A$4:$A$7,0)),"sin_clasificar"))</f>
        <v/>
      </c>
      <c r="U1055" s="3">
        <f>IF($F1055="","",IFERROR(INDEX('CAT_CENTROS_COSTO'!$F$4:$F$13,MATCH($F1055,'CAT_CENTROS_COSTO'!$A$4:$A$13,0)),"(sin catálogo)"))</f>
        <v/>
      </c>
      <c r="V1055" s="3">
        <f>IF($F1055="","",IFERROR(INDEX('CAT_CENTROS_COSTO'!$D$4:$D$13,MATCH($F1055,'CAT_CENTROS_COSTO'!$A$4:$A$13,0)),"(sin catálogo)"))</f>
        <v/>
      </c>
      <c r="W1055" s="3">
        <f>IF($F1055="","",IF((IFERROR(INDEX('CAT_CENTROS_COSTO'!$E$4:$E$13,MATCH($F1055,'CAT_CENTROS_COSTO'!$A$4:$A$13,0)),""))&lt;&gt;"",IFERROR(INDEX('CAT_CENTROS_COSTO'!$E$4:$E$13,MATCH($F1055,'CAT_CENTROS_COSTO'!$A$4:$A$13,0)),""),$V1055))</f>
        <v/>
      </c>
      <c r="X1055" s="3">
        <f>IF($F1055="","",IFERROR(INDEX('CAT_CENTROS_COSTO'!$G$4:$G$13,MATCH($F1055,'CAT_CENTROS_COSTO'!$A$4:$A$13,0)),"(sin catálogo)"))</f>
        <v/>
      </c>
      <c r="Y1055" s="3">
        <f>IF($G1055="","",IFERROR(INDEX('CAT_PUESTOS'!$B$4:$B$8,MATCH($G1055,'CAT_PUESTOS'!$A$4:$A$8,0)),"(sin catálogo)"))</f>
        <v/>
      </c>
      <c r="Z1055" s="3">
        <f>IF($H1055="","",IFERROR(INDEX('CAT_ACTIVIDADES'!$B$4:$B$8,MATCH($H1055,'CAT_ACTIVIDADES'!$A$4:$A$8,0)),"(sin catálogo)"))</f>
        <v/>
      </c>
      <c r="AA1055" s="12">
        <f>IF($J1055="","",TODAY()-$J1055)</f>
        <v/>
      </c>
      <c r="AB1055" s="12">
        <f>IF($J1055="","",IF($J1055&lt;=TODAY(),COUNTIFS(cal_fechas,"&gt;="&amp;$J1055,cal_fechas,"&lt;"&amp;TODAY(),cal_habil,"sí"),-COUNTIFS(cal_fechas,"&gt;="&amp;TODAY(),cal_fechas,"&lt;"&amp;$J1055,cal_habil,"sí")))</f>
        <v/>
      </c>
      <c r="AC1055" s="3">
        <f>IF($AB1055="","",IF($AB1055&lt;0,"FUTURO",IF($AB1055&gt;p_dias_backlog_max,"BACKLOG","MES CORRIENTE")))</f>
        <v/>
      </c>
      <c r="AD1055" s="3">
        <f>IF($AB1055="",FALSE,AND($AB1055&gt;p_dias_backlog_min,$AB1055&lt;=p_dias_backlog_max))</f>
        <v/>
      </c>
      <c r="AE1055" s="6" t="n"/>
      <c r="AF1055" s="3">
        <f>IF($AE1055="","",IF((IFERROR(INDEX('ASIGNACIONES'!$F$4:$F$339,MATCH($O1055&amp;"|"&amp;$R1055&amp;"|"&amp;$AE1055,'ASIGNACIONES'!$J$4:$J$339,0)),""))=0,"",IFERROR(INDEX('ASIGNACIONES'!$F$4:$F$339,MATCH($O1055&amp;"|"&amp;$R1055&amp;"|"&amp;$AE1055,'ASIGNACIONES'!$J$4:$J$339,0)),"")))</f>
        <v/>
      </c>
      <c r="AG1055" s="13">
        <f>IF($AE1055="","",SUMIFS('ORDENES'!$M$4:$M$1203,'ORDENES'!$AE$4:$AE$1203,$AE1055,'ORDENES'!$O$4:$O$1203,$O1055,'ORDENES'!$R$4:$R$1203,$R1055))</f>
        <v/>
      </c>
      <c r="AH1055" s="13">
        <f>IF($AG1055="","",p_factor_productividad*IFERROR(INDEX('ASIGNACIONES'!$I$4:$I$339,MATCH($O1055&amp;"|"&amp;$R1055&amp;"|"&amp;$AE1055,'ASIGNACIONES'!$J$4:$J$339,0)),0)-$AG1055)</f>
        <v/>
      </c>
      <c r="AI1055" s="10">
        <f>IF($A1055="","",IFERROR(INDEX('2_IMPORTAR_EJECUCION'!$F$9:$F$1208,MATCH($AQ1055,'2_IMPORTAR_EJECUCION'!$J$9:$J$1208,0)),0))</f>
        <v/>
      </c>
      <c r="AJ1055" s="10">
        <f>IF($A1055="","",MAX(0,IFERROR(INDEX('2_IMPORTAR_EJECUCION'!$H$9:$H$1208,MATCH($AQ1055,'2_IMPORTAR_EJECUCION'!$J$9:$J$1208,0)),0)-$AI1055))</f>
        <v/>
      </c>
      <c r="AK1055" s="10">
        <f>IF($A1055="","",$AI1055+$AJ1055)</f>
        <v/>
      </c>
      <c r="AL1055" s="6" t="n"/>
      <c r="AM1055" s="6" t="n"/>
      <c r="AN1055" s="6" t="n"/>
      <c r="AO1055" s="3">
        <f>IF($AN1055="","",HYPERLINK(p_ruta_base_checklists&amp;$AN1055,"abrir"))</f>
        <v/>
      </c>
      <c r="AP1055" s="6" t="n"/>
      <c r="AQ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IF($A1056="","",IFERROR(INDEX('AJUSTES'!$B$4:$B$303,MATCH($AQ1056,'AJUSTES'!$A$4:$A$303,0)),IF($K1056="","",$K1056)))</f>
        <v/>
      </c>
      <c r="N1056" s="3">
        <f>IF($A1056="","",IFERROR(INDEX('CAT_ESTADOS_ERP'!$B$4:$B$7,MATCH(IFERROR(INDEX('2_IMPORTAR_EJECUCION'!$C$9:$C$1208,MATCH($AQ1056,'2_IMPORTAR_EJECUCION'!$J$9:$J$1208,0)),""),'CAT_ESTADOS_ERP'!$A$4:$A$7,0)),"Pendiente"))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J1056="","",IFERROR(INDEX('CALENDARIO'!$C$15:$C$214,MATCH(TEXT($J1056,"yyyy-mm-dd")&amp;"|"&amp;$V1056&amp;"|"&amp;$W1056,'CALENDARIO'!$G$15:$G$214,0)),IFERROR(INDEX('CALENDARIO'!$C$15:$C$214,MATCH(TEXT($J1056,"yyyy-mm-dd")&amp;"|"&amp;$V1056&amp;"|",'CALENDARIO'!$G$15:$G$214,0)),IFERROR(INDEX('CALENDARIO'!$C$15:$C$214,MATCH(TEXT($J1056,"yyyy-mm-dd")&amp;"||",'CALENDARIO'!$G$15:$G$214,0)),INDEX(patronHabil,WEEKDAY($J1056,2))))))</f>
        <v/>
      </c>
      <c r="T1056" s="3">
        <f>IF($I1056="","",IFERROR(INDEX('CAT_TIPOS_OT'!$C$4:$C$7,MATCH($I1056,'CAT_TIPOS_OT'!$A$4:$A$7,0)),"sin_clasificar"))</f>
        <v/>
      </c>
      <c r="U1056" s="3">
        <f>IF($F1056="","",IFERROR(INDEX('CAT_CENTROS_COSTO'!$F$4:$F$13,MATCH($F1056,'CAT_CENTROS_COSTO'!$A$4:$A$13,0)),"(sin catálogo)"))</f>
        <v/>
      </c>
      <c r="V1056" s="3">
        <f>IF($F1056="","",IFERROR(INDEX('CAT_CENTROS_COSTO'!$D$4:$D$13,MATCH($F1056,'CAT_CENTROS_COSTO'!$A$4:$A$13,0)),"(sin catálogo)"))</f>
        <v/>
      </c>
      <c r="W1056" s="3">
        <f>IF($F1056="","",IF((IFERROR(INDEX('CAT_CENTROS_COSTO'!$E$4:$E$13,MATCH($F1056,'CAT_CENTROS_COSTO'!$A$4:$A$13,0)),""))&lt;&gt;"",IFERROR(INDEX('CAT_CENTROS_COSTO'!$E$4:$E$13,MATCH($F1056,'CAT_CENTROS_COSTO'!$A$4:$A$13,0)),""),$V1056))</f>
        <v/>
      </c>
      <c r="X1056" s="3">
        <f>IF($F1056="","",IFERROR(INDEX('CAT_CENTROS_COSTO'!$G$4:$G$13,MATCH($F1056,'CAT_CENTROS_COSTO'!$A$4:$A$13,0)),"(sin catálogo)"))</f>
        <v/>
      </c>
      <c r="Y1056" s="3">
        <f>IF($G1056="","",IFERROR(INDEX('CAT_PUESTOS'!$B$4:$B$8,MATCH($G1056,'CAT_PUESTOS'!$A$4:$A$8,0)),"(sin catálogo)"))</f>
        <v/>
      </c>
      <c r="Z1056" s="3">
        <f>IF($H1056="","",IFERROR(INDEX('CAT_ACTIVIDADES'!$B$4:$B$8,MATCH($H1056,'CAT_ACTIVIDADES'!$A$4:$A$8,0)),"(sin catálogo)"))</f>
        <v/>
      </c>
      <c r="AA1056" s="12">
        <f>IF($J1056="","",TODAY()-$J1056)</f>
        <v/>
      </c>
      <c r="AB1056" s="12">
        <f>IF($J1056="","",IF($J1056&lt;=TODAY(),COUNTIFS(cal_fechas,"&gt;="&amp;$J1056,cal_fechas,"&lt;"&amp;TODAY(),cal_habil,"sí"),-COUNTIFS(cal_fechas,"&gt;="&amp;TODAY(),cal_fechas,"&lt;"&amp;$J1056,cal_habil,"sí")))</f>
        <v/>
      </c>
      <c r="AC1056" s="3">
        <f>IF($AB1056="","",IF($AB1056&lt;0,"FUTURO",IF($AB1056&gt;p_dias_backlog_max,"BACKLOG","MES CORRIENTE")))</f>
        <v/>
      </c>
      <c r="AD1056" s="3">
        <f>IF($AB1056="",FALSE,AND($AB1056&gt;p_dias_backlog_min,$AB1056&lt;=p_dias_backlog_max))</f>
        <v/>
      </c>
      <c r="AE1056" s="6" t="n"/>
      <c r="AF1056" s="3">
        <f>IF($AE1056="","",IF((IFERROR(INDEX('ASIGNACIONES'!$F$4:$F$339,MATCH($O1056&amp;"|"&amp;$R1056&amp;"|"&amp;$AE1056,'ASIGNACIONES'!$J$4:$J$339,0)),""))=0,"",IFERROR(INDEX('ASIGNACIONES'!$F$4:$F$339,MATCH($O1056&amp;"|"&amp;$R1056&amp;"|"&amp;$AE1056,'ASIGNACIONES'!$J$4:$J$339,0)),"")))</f>
        <v/>
      </c>
      <c r="AG1056" s="13">
        <f>IF($AE1056="","",SUMIFS('ORDENES'!$M$4:$M$1203,'ORDENES'!$AE$4:$AE$1203,$AE1056,'ORDENES'!$O$4:$O$1203,$O1056,'ORDENES'!$R$4:$R$1203,$R1056))</f>
        <v/>
      </c>
      <c r="AH1056" s="13">
        <f>IF($AG1056="","",p_factor_productividad*IFERROR(INDEX('ASIGNACIONES'!$I$4:$I$339,MATCH($O1056&amp;"|"&amp;$R1056&amp;"|"&amp;$AE1056,'ASIGNACIONES'!$J$4:$J$339,0)),0)-$AG1056)</f>
        <v/>
      </c>
      <c r="AI1056" s="10">
        <f>IF($A1056="","",IFERROR(INDEX('2_IMPORTAR_EJECUCION'!$F$9:$F$1208,MATCH($AQ1056,'2_IMPORTAR_EJECUCION'!$J$9:$J$1208,0)),0))</f>
        <v/>
      </c>
      <c r="AJ1056" s="10">
        <f>IF($A1056="","",MAX(0,IFERROR(INDEX('2_IMPORTAR_EJECUCION'!$H$9:$H$1208,MATCH($AQ1056,'2_IMPORTAR_EJECUCION'!$J$9:$J$1208,0)),0)-$AI1056))</f>
        <v/>
      </c>
      <c r="AK1056" s="10">
        <f>IF($A1056="","",$AI1056+$AJ1056)</f>
        <v/>
      </c>
      <c r="AL1056" s="6" t="n"/>
      <c r="AM1056" s="6" t="n"/>
      <c r="AN1056" s="6" t="n"/>
      <c r="AO1056" s="3">
        <f>IF($AN1056="","",HYPERLINK(p_ruta_base_checklists&amp;$AN1056,"abrir"))</f>
        <v/>
      </c>
      <c r="AP1056" s="6" t="n"/>
      <c r="AQ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IF($A1057="","",IFERROR(INDEX('AJUSTES'!$B$4:$B$303,MATCH($AQ1057,'AJUSTES'!$A$4:$A$303,0)),IF($K1057="","",$K1057)))</f>
        <v/>
      </c>
      <c r="N1057" s="3">
        <f>IF($A1057="","",IFERROR(INDEX('CAT_ESTADOS_ERP'!$B$4:$B$7,MATCH(IFERROR(INDEX('2_IMPORTAR_EJECUCION'!$C$9:$C$1208,MATCH($AQ1057,'2_IMPORTAR_EJECUCION'!$J$9:$J$1208,0)),""),'CAT_ESTADOS_ERP'!$A$4:$A$7,0)),"Pendiente"))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J1057="","",IFERROR(INDEX('CALENDARIO'!$C$15:$C$214,MATCH(TEXT($J1057,"yyyy-mm-dd")&amp;"|"&amp;$V1057&amp;"|"&amp;$W1057,'CALENDARIO'!$G$15:$G$214,0)),IFERROR(INDEX('CALENDARIO'!$C$15:$C$214,MATCH(TEXT($J1057,"yyyy-mm-dd")&amp;"|"&amp;$V1057&amp;"|",'CALENDARIO'!$G$15:$G$214,0)),IFERROR(INDEX('CALENDARIO'!$C$15:$C$214,MATCH(TEXT($J1057,"yyyy-mm-dd")&amp;"||",'CALENDARIO'!$G$15:$G$214,0)),INDEX(patronHabil,WEEKDAY($J1057,2))))))</f>
        <v/>
      </c>
      <c r="T1057" s="3">
        <f>IF($I1057="","",IFERROR(INDEX('CAT_TIPOS_OT'!$C$4:$C$7,MATCH($I1057,'CAT_TIPOS_OT'!$A$4:$A$7,0)),"sin_clasificar"))</f>
        <v/>
      </c>
      <c r="U1057" s="3">
        <f>IF($F1057="","",IFERROR(INDEX('CAT_CENTROS_COSTO'!$F$4:$F$13,MATCH($F1057,'CAT_CENTROS_COSTO'!$A$4:$A$13,0)),"(sin catálogo)"))</f>
        <v/>
      </c>
      <c r="V1057" s="3">
        <f>IF($F1057="","",IFERROR(INDEX('CAT_CENTROS_COSTO'!$D$4:$D$13,MATCH($F1057,'CAT_CENTROS_COSTO'!$A$4:$A$13,0)),"(sin catálogo)"))</f>
        <v/>
      </c>
      <c r="W1057" s="3">
        <f>IF($F1057="","",IF((IFERROR(INDEX('CAT_CENTROS_COSTO'!$E$4:$E$13,MATCH($F1057,'CAT_CENTROS_COSTO'!$A$4:$A$13,0)),""))&lt;&gt;"",IFERROR(INDEX('CAT_CENTROS_COSTO'!$E$4:$E$13,MATCH($F1057,'CAT_CENTROS_COSTO'!$A$4:$A$13,0)),""),$V1057))</f>
        <v/>
      </c>
      <c r="X1057" s="3">
        <f>IF($F1057="","",IFERROR(INDEX('CAT_CENTROS_COSTO'!$G$4:$G$13,MATCH($F1057,'CAT_CENTROS_COSTO'!$A$4:$A$13,0)),"(sin catálogo)"))</f>
        <v/>
      </c>
      <c r="Y1057" s="3">
        <f>IF($G1057="","",IFERROR(INDEX('CAT_PUESTOS'!$B$4:$B$8,MATCH($G1057,'CAT_PUESTOS'!$A$4:$A$8,0)),"(sin catálogo)"))</f>
        <v/>
      </c>
      <c r="Z1057" s="3">
        <f>IF($H1057="","",IFERROR(INDEX('CAT_ACTIVIDADES'!$B$4:$B$8,MATCH($H1057,'CAT_ACTIVIDADES'!$A$4:$A$8,0)),"(sin catálogo)"))</f>
        <v/>
      </c>
      <c r="AA1057" s="12">
        <f>IF($J1057="","",TODAY()-$J1057)</f>
        <v/>
      </c>
      <c r="AB1057" s="12">
        <f>IF($J1057="","",IF($J1057&lt;=TODAY(),COUNTIFS(cal_fechas,"&gt;="&amp;$J1057,cal_fechas,"&lt;"&amp;TODAY(),cal_habil,"sí"),-COUNTIFS(cal_fechas,"&gt;="&amp;TODAY(),cal_fechas,"&lt;"&amp;$J1057,cal_habil,"sí")))</f>
        <v/>
      </c>
      <c r="AC1057" s="3">
        <f>IF($AB1057="","",IF($AB1057&lt;0,"FUTURO",IF($AB1057&gt;p_dias_backlog_max,"BACKLOG","MES CORRIENTE")))</f>
        <v/>
      </c>
      <c r="AD1057" s="3">
        <f>IF($AB1057="",FALSE,AND($AB1057&gt;p_dias_backlog_min,$AB1057&lt;=p_dias_backlog_max))</f>
        <v/>
      </c>
      <c r="AE1057" s="6" t="n"/>
      <c r="AF1057" s="3">
        <f>IF($AE1057="","",IF((IFERROR(INDEX('ASIGNACIONES'!$F$4:$F$339,MATCH($O1057&amp;"|"&amp;$R1057&amp;"|"&amp;$AE1057,'ASIGNACIONES'!$J$4:$J$339,0)),""))=0,"",IFERROR(INDEX('ASIGNACIONES'!$F$4:$F$339,MATCH($O1057&amp;"|"&amp;$R1057&amp;"|"&amp;$AE1057,'ASIGNACIONES'!$J$4:$J$339,0)),"")))</f>
        <v/>
      </c>
      <c r="AG1057" s="13">
        <f>IF($AE1057="","",SUMIFS('ORDENES'!$M$4:$M$1203,'ORDENES'!$AE$4:$AE$1203,$AE1057,'ORDENES'!$O$4:$O$1203,$O1057,'ORDENES'!$R$4:$R$1203,$R1057))</f>
        <v/>
      </c>
      <c r="AH1057" s="13">
        <f>IF($AG1057="","",p_factor_productividad*IFERROR(INDEX('ASIGNACIONES'!$I$4:$I$339,MATCH($O1057&amp;"|"&amp;$R1057&amp;"|"&amp;$AE1057,'ASIGNACIONES'!$J$4:$J$339,0)),0)-$AG1057)</f>
        <v/>
      </c>
      <c r="AI1057" s="10">
        <f>IF($A1057="","",IFERROR(INDEX('2_IMPORTAR_EJECUCION'!$F$9:$F$1208,MATCH($AQ1057,'2_IMPORTAR_EJECUCION'!$J$9:$J$1208,0)),0))</f>
        <v/>
      </c>
      <c r="AJ1057" s="10">
        <f>IF($A1057="","",MAX(0,IFERROR(INDEX('2_IMPORTAR_EJECUCION'!$H$9:$H$1208,MATCH($AQ1057,'2_IMPORTAR_EJECUCION'!$J$9:$J$1208,0)),0)-$AI1057))</f>
        <v/>
      </c>
      <c r="AK1057" s="10">
        <f>IF($A1057="","",$AI1057+$AJ1057)</f>
        <v/>
      </c>
      <c r="AL1057" s="6" t="n"/>
      <c r="AM1057" s="6" t="n"/>
      <c r="AN1057" s="6" t="n"/>
      <c r="AO1057" s="3">
        <f>IF($AN1057="","",HYPERLINK(p_ruta_base_checklists&amp;$AN1057,"abrir"))</f>
        <v/>
      </c>
      <c r="AP1057" s="6" t="n"/>
      <c r="AQ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IF($A1058="","",IFERROR(INDEX('AJUSTES'!$B$4:$B$303,MATCH($AQ1058,'AJUSTES'!$A$4:$A$303,0)),IF($K1058="","",$K1058)))</f>
        <v/>
      </c>
      <c r="N1058" s="3">
        <f>IF($A1058="","",IFERROR(INDEX('CAT_ESTADOS_ERP'!$B$4:$B$7,MATCH(IFERROR(INDEX('2_IMPORTAR_EJECUCION'!$C$9:$C$1208,MATCH($AQ1058,'2_IMPORTAR_EJECUCION'!$J$9:$J$1208,0)),""),'CAT_ESTADOS_ERP'!$A$4:$A$7,0)),"Pendiente"))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J1058="","",IFERROR(INDEX('CALENDARIO'!$C$15:$C$214,MATCH(TEXT($J1058,"yyyy-mm-dd")&amp;"|"&amp;$V1058&amp;"|"&amp;$W1058,'CALENDARIO'!$G$15:$G$214,0)),IFERROR(INDEX('CALENDARIO'!$C$15:$C$214,MATCH(TEXT($J1058,"yyyy-mm-dd")&amp;"|"&amp;$V1058&amp;"|",'CALENDARIO'!$G$15:$G$214,0)),IFERROR(INDEX('CALENDARIO'!$C$15:$C$214,MATCH(TEXT($J1058,"yyyy-mm-dd")&amp;"||",'CALENDARIO'!$G$15:$G$214,0)),INDEX(patronHabil,WEEKDAY($J1058,2))))))</f>
        <v/>
      </c>
      <c r="T1058" s="3">
        <f>IF($I1058="","",IFERROR(INDEX('CAT_TIPOS_OT'!$C$4:$C$7,MATCH($I1058,'CAT_TIPOS_OT'!$A$4:$A$7,0)),"sin_clasificar"))</f>
        <v/>
      </c>
      <c r="U1058" s="3">
        <f>IF($F1058="","",IFERROR(INDEX('CAT_CENTROS_COSTO'!$F$4:$F$13,MATCH($F1058,'CAT_CENTROS_COSTO'!$A$4:$A$13,0)),"(sin catálogo)"))</f>
        <v/>
      </c>
      <c r="V1058" s="3">
        <f>IF($F1058="","",IFERROR(INDEX('CAT_CENTROS_COSTO'!$D$4:$D$13,MATCH($F1058,'CAT_CENTROS_COSTO'!$A$4:$A$13,0)),"(sin catálogo)"))</f>
        <v/>
      </c>
      <c r="W1058" s="3">
        <f>IF($F1058="","",IF((IFERROR(INDEX('CAT_CENTROS_COSTO'!$E$4:$E$13,MATCH($F1058,'CAT_CENTROS_COSTO'!$A$4:$A$13,0)),""))&lt;&gt;"",IFERROR(INDEX('CAT_CENTROS_COSTO'!$E$4:$E$13,MATCH($F1058,'CAT_CENTROS_COSTO'!$A$4:$A$13,0)),""),$V1058))</f>
        <v/>
      </c>
      <c r="X1058" s="3">
        <f>IF($F1058="","",IFERROR(INDEX('CAT_CENTROS_COSTO'!$G$4:$G$13,MATCH($F1058,'CAT_CENTROS_COSTO'!$A$4:$A$13,0)),"(sin catálogo)"))</f>
        <v/>
      </c>
      <c r="Y1058" s="3">
        <f>IF($G1058="","",IFERROR(INDEX('CAT_PUESTOS'!$B$4:$B$8,MATCH($G1058,'CAT_PUESTOS'!$A$4:$A$8,0)),"(sin catálogo)"))</f>
        <v/>
      </c>
      <c r="Z1058" s="3">
        <f>IF($H1058="","",IFERROR(INDEX('CAT_ACTIVIDADES'!$B$4:$B$8,MATCH($H1058,'CAT_ACTIVIDADES'!$A$4:$A$8,0)),"(sin catálogo)"))</f>
        <v/>
      </c>
      <c r="AA1058" s="12">
        <f>IF($J1058="","",TODAY()-$J1058)</f>
        <v/>
      </c>
      <c r="AB1058" s="12">
        <f>IF($J1058="","",IF($J1058&lt;=TODAY(),COUNTIFS(cal_fechas,"&gt;="&amp;$J1058,cal_fechas,"&lt;"&amp;TODAY(),cal_habil,"sí"),-COUNTIFS(cal_fechas,"&gt;="&amp;TODAY(),cal_fechas,"&lt;"&amp;$J1058,cal_habil,"sí")))</f>
        <v/>
      </c>
      <c r="AC1058" s="3">
        <f>IF($AB1058="","",IF($AB1058&lt;0,"FUTURO",IF($AB1058&gt;p_dias_backlog_max,"BACKLOG","MES CORRIENTE")))</f>
        <v/>
      </c>
      <c r="AD1058" s="3">
        <f>IF($AB1058="",FALSE,AND($AB1058&gt;p_dias_backlog_min,$AB1058&lt;=p_dias_backlog_max))</f>
        <v/>
      </c>
      <c r="AE1058" s="6" t="n"/>
      <c r="AF1058" s="3">
        <f>IF($AE1058="","",IF((IFERROR(INDEX('ASIGNACIONES'!$F$4:$F$339,MATCH($O1058&amp;"|"&amp;$R1058&amp;"|"&amp;$AE1058,'ASIGNACIONES'!$J$4:$J$339,0)),""))=0,"",IFERROR(INDEX('ASIGNACIONES'!$F$4:$F$339,MATCH($O1058&amp;"|"&amp;$R1058&amp;"|"&amp;$AE1058,'ASIGNACIONES'!$J$4:$J$339,0)),"")))</f>
        <v/>
      </c>
      <c r="AG1058" s="13">
        <f>IF($AE1058="","",SUMIFS('ORDENES'!$M$4:$M$1203,'ORDENES'!$AE$4:$AE$1203,$AE1058,'ORDENES'!$O$4:$O$1203,$O1058,'ORDENES'!$R$4:$R$1203,$R1058))</f>
        <v/>
      </c>
      <c r="AH1058" s="13">
        <f>IF($AG1058="","",p_factor_productividad*IFERROR(INDEX('ASIGNACIONES'!$I$4:$I$339,MATCH($O1058&amp;"|"&amp;$R1058&amp;"|"&amp;$AE1058,'ASIGNACIONES'!$J$4:$J$339,0)),0)-$AG1058)</f>
        <v/>
      </c>
      <c r="AI1058" s="10">
        <f>IF($A1058="","",IFERROR(INDEX('2_IMPORTAR_EJECUCION'!$F$9:$F$1208,MATCH($AQ1058,'2_IMPORTAR_EJECUCION'!$J$9:$J$1208,0)),0))</f>
        <v/>
      </c>
      <c r="AJ1058" s="10">
        <f>IF($A1058="","",MAX(0,IFERROR(INDEX('2_IMPORTAR_EJECUCION'!$H$9:$H$1208,MATCH($AQ1058,'2_IMPORTAR_EJECUCION'!$J$9:$J$1208,0)),0)-$AI1058))</f>
        <v/>
      </c>
      <c r="AK1058" s="10">
        <f>IF($A1058="","",$AI1058+$AJ1058)</f>
        <v/>
      </c>
      <c r="AL1058" s="6" t="n"/>
      <c r="AM1058" s="6" t="n"/>
      <c r="AN1058" s="6" t="n"/>
      <c r="AO1058" s="3">
        <f>IF($AN1058="","",HYPERLINK(p_ruta_base_checklists&amp;$AN1058,"abrir"))</f>
        <v/>
      </c>
      <c r="AP1058" s="6" t="n"/>
      <c r="AQ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IF($A1059="","",IFERROR(INDEX('AJUSTES'!$B$4:$B$303,MATCH($AQ1059,'AJUSTES'!$A$4:$A$303,0)),IF($K1059="","",$K1059)))</f>
        <v/>
      </c>
      <c r="N1059" s="3">
        <f>IF($A1059="","",IFERROR(INDEX('CAT_ESTADOS_ERP'!$B$4:$B$7,MATCH(IFERROR(INDEX('2_IMPORTAR_EJECUCION'!$C$9:$C$1208,MATCH($AQ1059,'2_IMPORTAR_EJECUCION'!$J$9:$J$1208,0)),""),'CAT_ESTADOS_ERP'!$A$4:$A$7,0)),"Pendiente"))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J1059="","",IFERROR(INDEX('CALENDARIO'!$C$15:$C$214,MATCH(TEXT($J1059,"yyyy-mm-dd")&amp;"|"&amp;$V1059&amp;"|"&amp;$W1059,'CALENDARIO'!$G$15:$G$214,0)),IFERROR(INDEX('CALENDARIO'!$C$15:$C$214,MATCH(TEXT($J1059,"yyyy-mm-dd")&amp;"|"&amp;$V1059&amp;"|",'CALENDARIO'!$G$15:$G$214,0)),IFERROR(INDEX('CALENDARIO'!$C$15:$C$214,MATCH(TEXT($J1059,"yyyy-mm-dd")&amp;"||",'CALENDARIO'!$G$15:$G$214,0)),INDEX(patronHabil,WEEKDAY($J1059,2))))))</f>
        <v/>
      </c>
      <c r="T1059" s="3">
        <f>IF($I1059="","",IFERROR(INDEX('CAT_TIPOS_OT'!$C$4:$C$7,MATCH($I1059,'CAT_TIPOS_OT'!$A$4:$A$7,0)),"sin_clasificar"))</f>
        <v/>
      </c>
      <c r="U1059" s="3">
        <f>IF($F1059="","",IFERROR(INDEX('CAT_CENTROS_COSTO'!$F$4:$F$13,MATCH($F1059,'CAT_CENTROS_COSTO'!$A$4:$A$13,0)),"(sin catálogo)"))</f>
        <v/>
      </c>
      <c r="V1059" s="3">
        <f>IF($F1059="","",IFERROR(INDEX('CAT_CENTROS_COSTO'!$D$4:$D$13,MATCH($F1059,'CAT_CENTROS_COSTO'!$A$4:$A$13,0)),"(sin catálogo)"))</f>
        <v/>
      </c>
      <c r="W1059" s="3">
        <f>IF($F1059="","",IF((IFERROR(INDEX('CAT_CENTROS_COSTO'!$E$4:$E$13,MATCH($F1059,'CAT_CENTROS_COSTO'!$A$4:$A$13,0)),""))&lt;&gt;"",IFERROR(INDEX('CAT_CENTROS_COSTO'!$E$4:$E$13,MATCH($F1059,'CAT_CENTROS_COSTO'!$A$4:$A$13,0)),""),$V1059))</f>
        <v/>
      </c>
      <c r="X1059" s="3">
        <f>IF($F1059="","",IFERROR(INDEX('CAT_CENTROS_COSTO'!$G$4:$G$13,MATCH($F1059,'CAT_CENTROS_COSTO'!$A$4:$A$13,0)),"(sin catálogo)"))</f>
        <v/>
      </c>
      <c r="Y1059" s="3">
        <f>IF($G1059="","",IFERROR(INDEX('CAT_PUESTOS'!$B$4:$B$8,MATCH($G1059,'CAT_PUESTOS'!$A$4:$A$8,0)),"(sin catálogo)"))</f>
        <v/>
      </c>
      <c r="Z1059" s="3">
        <f>IF($H1059="","",IFERROR(INDEX('CAT_ACTIVIDADES'!$B$4:$B$8,MATCH($H1059,'CAT_ACTIVIDADES'!$A$4:$A$8,0)),"(sin catálogo)"))</f>
        <v/>
      </c>
      <c r="AA1059" s="12">
        <f>IF($J1059="","",TODAY()-$J1059)</f>
        <v/>
      </c>
      <c r="AB1059" s="12">
        <f>IF($J1059="","",IF($J1059&lt;=TODAY(),COUNTIFS(cal_fechas,"&gt;="&amp;$J1059,cal_fechas,"&lt;"&amp;TODAY(),cal_habil,"sí"),-COUNTIFS(cal_fechas,"&gt;="&amp;TODAY(),cal_fechas,"&lt;"&amp;$J1059,cal_habil,"sí")))</f>
        <v/>
      </c>
      <c r="AC1059" s="3">
        <f>IF($AB1059="","",IF($AB1059&lt;0,"FUTURO",IF($AB1059&gt;p_dias_backlog_max,"BACKLOG","MES CORRIENTE")))</f>
        <v/>
      </c>
      <c r="AD1059" s="3">
        <f>IF($AB1059="",FALSE,AND($AB1059&gt;p_dias_backlog_min,$AB1059&lt;=p_dias_backlog_max))</f>
        <v/>
      </c>
      <c r="AE1059" s="6" t="n"/>
      <c r="AF1059" s="3">
        <f>IF($AE1059="","",IF((IFERROR(INDEX('ASIGNACIONES'!$F$4:$F$339,MATCH($O1059&amp;"|"&amp;$R1059&amp;"|"&amp;$AE1059,'ASIGNACIONES'!$J$4:$J$339,0)),""))=0,"",IFERROR(INDEX('ASIGNACIONES'!$F$4:$F$339,MATCH($O1059&amp;"|"&amp;$R1059&amp;"|"&amp;$AE1059,'ASIGNACIONES'!$J$4:$J$339,0)),"")))</f>
        <v/>
      </c>
      <c r="AG1059" s="13">
        <f>IF($AE1059="","",SUMIFS('ORDENES'!$M$4:$M$1203,'ORDENES'!$AE$4:$AE$1203,$AE1059,'ORDENES'!$O$4:$O$1203,$O1059,'ORDENES'!$R$4:$R$1203,$R1059))</f>
        <v/>
      </c>
      <c r="AH1059" s="13">
        <f>IF($AG1059="","",p_factor_productividad*IFERROR(INDEX('ASIGNACIONES'!$I$4:$I$339,MATCH($O1059&amp;"|"&amp;$R1059&amp;"|"&amp;$AE1059,'ASIGNACIONES'!$J$4:$J$339,0)),0)-$AG1059)</f>
        <v/>
      </c>
      <c r="AI1059" s="10">
        <f>IF($A1059="","",IFERROR(INDEX('2_IMPORTAR_EJECUCION'!$F$9:$F$1208,MATCH($AQ1059,'2_IMPORTAR_EJECUCION'!$J$9:$J$1208,0)),0))</f>
        <v/>
      </c>
      <c r="AJ1059" s="10">
        <f>IF($A1059="","",MAX(0,IFERROR(INDEX('2_IMPORTAR_EJECUCION'!$H$9:$H$1208,MATCH($AQ1059,'2_IMPORTAR_EJECUCION'!$J$9:$J$1208,0)),0)-$AI1059))</f>
        <v/>
      </c>
      <c r="AK1059" s="10">
        <f>IF($A1059="","",$AI1059+$AJ1059)</f>
        <v/>
      </c>
      <c r="AL1059" s="6" t="n"/>
      <c r="AM1059" s="6" t="n"/>
      <c r="AN1059" s="6" t="n"/>
      <c r="AO1059" s="3">
        <f>IF($AN1059="","",HYPERLINK(p_ruta_base_checklists&amp;$AN1059,"abrir"))</f>
        <v/>
      </c>
      <c r="AP1059" s="6" t="n"/>
      <c r="AQ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IF($A1060="","",IFERROR(INDEX('AJUSTES'!$B$4:$B$303,MATCH($AQ1060,'AJUSTES'!$A$4:$A$303,0)),IF($K1060="","",$K1060)))</f>
        <v/>
      </c>
      <c r="N1060" s="3">
        <f>IF($A1060="","",IFERROR(INDEX('CAT_ESTADOS_ERP'!$B$4:$B$7,MATCH(IFERROR(INDEX('2_IMPORTAR_EJECUCION'!$C$9:$C$1208,MATCH($AQ1060,'2_IMPORTAR_EJECUCION'!$J$9:$J$1208,0)),""),'CAT_ESTADOS_ERP'!$A$4:$A$7,0)),"Pendiente"))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J1060="","",IFERROR(INDEX('CALENDARIO'!$C$15:$C$214,MATCH(TEXT($J1060,"yyyy-mm-dd")&amp;"|"&amp;$V1060&amp;"|"&amp;$W1060,'CALENDARIO'!$G$15:$G$214,0)),IFERROR(INDEX('CALENDARIO'!$C$15:$C$214,MATCH(TEXT($J1060,"yyyy-mm-dd")&amp;"|"&amp;$V1060&amp;"|",'CALENDARIO'!$G$15:$G$214,0)),IFERROR(INDEX('CALENDARIO'!$C$15:$C$214,MATCH(TEXT($J1060,"yyyy-mm-dd")&amp;"||",'CALENDARIO'!$G$15:$G$214,0)),INDEX(patronHabil,WEEKDAY($J1060,2))))))</f>
        <v/>
      </c>
      <c r="T1060" s="3">
        <f>IF($I1060="","",IFERROR(INDEX('CAT_TIPOS_OT'!$C$4:$C$7,MATCH($I1060,'CAT_TIPOS_OT'!$A$4:$A$7,0)),"sin_clasificar"))</f>
        <v/>
      </c>
      <c r="U1060" s="3">
        <f>IF($F1060="","",IFERROR(INDEX('CAT_CENTROS_COSTO'!$F$4:$F$13,MATCH($F1060,'CAT_CENTROS_COSTO'!$A$4:$A$13,0)),"(sin catálogo)"))</f>
        <v/>
      </c>
      <c r="V1060" s="3">
        <f>IF($F1060="","",IFERROR(INDEX('CAT_CENTROS_COSTO'!$D$4:$D$13,MATCH($F1060,'CAT_CENTROS_COSTO'!$A$4:$A$13,0)),"(sin catálogo)"))</f>
        <v/>
      </c>
      <c r="W1060" s="3">
        <f>IF($F1060="","",IF((IFERROR(INDEX('CAT_CENTROS_COSTO'!$E$4:$E$13,MATCH($F1060,'CAT_CENTROS_COSTO'!$A$4:$A$13,0)),""))&lt;&gt;"",IFERROR(INDEX('CAT_CENTROS_COSTO'!$E$4:$E$13,MATCH($F1060,'CAT_CENTROS_COSTO'!$A$4:$A$13,0)),""),$V1060))</f>
        <v/>
      </c>
      <c r="X1060" s="3">
        <f>IF($F1060="","",IFERROR(INDEX('CAT_CENTROS_COSTO'!$G$4:$G$13,MATCH($F1060,'CAT_CENTROS_COSTO'!$A$4:$A$13,0)),"(sin catálogo)"))</f>
        <v/>
      </c>
      <c r="Y1060" s="3">
        <f>IF($G1060="","",IFERROR(INDEX('CAT_PUESTOS'!$B$4:$B$8,MATCH($G1060,'CAT_PUESTOS'!$A$4:$A$8,0)),"(sin catálogo)"))</f>
        <v/>
      </c>
      <c r="Z1060" s="3">
        <f>IF($H1060="","",IFERROR(INDEX('CAT_ACTIVIDADES'!$B$4:$B$8,MATCH($H1060,'CAT_ACTIVIDADES'!$A$4:$A$8,0)),"(sin catálogo)"))</f>
        <v/>
      </c>
      <c r="AA1060" s="12">
        <f>IF($J1060="","",TODAY()-$J1060)</f>
        <v/>
      </c>
      <c r="AB1060" s="12">
        <f>IF($J1060="","",IF($J1060&lt;=TODAY(),COUNTIFS(cal_fechas,"&gt;="&amp;$J1060,cal_fechas,"&lt;"&amp;TODAY(),cal_habil,"sí"),-COUNTIFS(cal_fechas,"&gt;="&amp;TODAY(),cal_fechas,"&lt;"&amp;$J1060,cal_habil,"sí")))</f>
        <v/>
      </c>
      <c r="AC1060" s="3">
        <f>IF($AB1060="","",IF($AB1060&lt;0,"FUTURO",IF($AB1060&gt;p_dias_backlog_max,"BACKLOG","MES CORRIENTE")))</f>
        <v/>
      </c>
      <c r="AD1060" s="3">
        <f>IF($AB1060="",FALSE,AND($AB1060&gt;p_dias_backlog_min,$AB1060&lt;=p_dias_backlog_max))</f>
        <v/>
      </c>
      <c r="AE1060" s="6" t="n"/>
      <c r="AF1060" s="3">
        <f>IF($AE1060="","",IF((IFERROR(INDEX('ASIGNACIONES'!$F$4:$F$339,MATCH($O1060&amp;"|"&amp;$R1060&amp;"|"&amp;$AE1060,'ASIGNACIONES'!$J$4:$J$339,0)),""))=0,"",IFERROR(INDEX('ASIGNACIONES'!$F$4:$F$339,MATCH($O1060&amp;"|"&amp;$R1060&amp;"|"&amp;$AE1060,'ASIGNACIONES'!$J$4:$J$339,0)),"")))</f>
        <v/>
      </c>
      <c r="AG1060" s="13">
        <f>IF($AE1060="","",SUMIFS('ORDENES'!$M$4:$M$1203,'ORDENES'!$AE$4:$AE$1203,$AE1060,'ORDENES'!$O$4:$O$1203,$O1060,'ORDENES'!$R$4:$R$1203,$R1060))</f>
        <v/>
      </c>
      <c r="AH1060" s="13">
        <f>IF($AG1060="","",p_factor_productividad*IFERROR(INDEX('ASIGNACIONES'!$I$4:$I$339,MATCH($O1060&amp;"|"&amp;$R1060&amp;"|"&amp;$AE1060,'ASIGNACIONES'!$J$4:$J$339,0)),0)-$AG1060)</f>
        <v/>
      </c>
      <c r="AI1060" s="10">
        <f>IF($A1060="","",IFERROR(INDEX('2_IMPORTAR_EJECUCION'!$F$9:$F$1208,MATCH($AQ1060,'2_IMPORTAR_EJECUCION'!$J$9:$J$1208,0)),0))</f>
        <v/>
      </c>
      <c r="AJ1060" s="10">
        <f>IF($A1060="","",MAX(0,IFERROR(INDEX('2_IMPORTAR_EJECUCION'!$H$9:$H$1208,MATCH($AQ1060,'2_IMPORTAR_EJECUCION'!$J$9:$J$1208,0)),0)-$AI1060))</f>
        <v/>
      </c>
      <c r="AK1060" s="10">
        <f>IF($A1060="","",$AI1060+$AJ1060)</f>
        <v/>
      </c>
      <c r="AL1060" s="6" t="n"/>
      <c r="AM1060" s="6" t="n"/>
      <c r="AN1060" s="6" t="n"/>
      <c r="AO1060" s="3">
        <f>IF($AN1060="","",HYPERLINK(p_ruta_base_checklists&amp;$AN1060,"abrir"))</f>
        <v/>
      </c>
      <c r="AP1060" s="6" t="n"/>
      <c r="AQ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IF($A1061="","",IFERROR(INDEX('AJUSTES'!$B$4:$B$303,MATCH($AQ1061,'AJUSTES'!$A$4:$A$303,0)),IF($K1061="","",$K1061)))</f>
        <v/>
      </c>
      <c r="N1061" s="3">
        <f>IF($A1061="","",IFERROR(INDEX('CAT_ESTADOS_ERP'!$B$4:$B$7,MATCH(IFERROR(INDEX('2_IMPORTAR_EJECUCION'!$C$9:$C$1208,MATCH($AQ1061,'2_IMPORTAR_EJECUCION'!$J$9:$J$1208,0)),""),'CAT_ESTADOS_ERP'!$A$4:$A$7,0)),"Pendiente"))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J1061="","",IFERROR(INDEX('CALENDARIO'!$C$15:$C$214,MATCH(TEXT($J1061,"yyyy-mm-dd")&amp;"|"&amp;$V1061&amp;"|"&amp;$W1061,'CALENDARIO'!$G$15:$G$214,0)),IFERROR(INDEX('CALENDARIO'!$C$15:$C$214,MATCH(TEXT($J1061,"yyyy-mm-dd")&amp;"|"&amp;$V1061&amp;"|",'CALENDARIO'!$G$15:$G$214,0)),IFERROR(INDEX('CALENDARIO'!$C$15:$C$214,MATCH(TEXT($J1061,"yyyy-mm-dd")&amp;"||",'CALENDARIO'!$G$15:$G$214,0)),INDEX(patronHabil,WEEKDAY($J1061,2))))))</f>
        <v/>
      </c>
      <c r="T1061" s="3">
        <f>IF($I1061="","",IFERROR(INDEX('CAT_TIPOS_OT'!$C$4:$C$7,MATCH($I1061,'CAT_TIPOS_OT'!$A$4:$A$7,0)),"sin_clasificar"))</f>
        <v/>
      </c>
      <c r="U1061" s="3">
        <f>IF($F1061="","",IFERROR(INDEX('CAT_CENTROS_COSTO'!$F$4:$F$13,MATCH($F1061,'CAT_CENTROS_COSTO'!$A$4:$A$13,0)),"(sin catálogo)"))</f>
        <v/>
      </c>
      <c r="V1061" s="3">
        <f>IF($F1061="","",IFERROR(INDEX('CAT_CENTROS_COSTO'!$D$4:$D$13,MATCH($F1061,'CAT_CENTROS_COSTO'!$A$4:$A$13,0)),"(sin catálogo)"))</f>
        <v/>
      </c>
      <c r="W1061" s="3">
        <f>IF($F1061="","",IF((IFERROR(INDEX('CAT_CENTROS_COSTO'!$E$4:$E$13,MATCH($F1061,'CAT_CENTROS_COSTO'!$A$4:$A$13,0)),""))&lt;&gt;"",IFERROR(INDEX('CAT_CENTROS_COSTO'!$E$4:$E$13,MATCH($F1061,'CAT_CENTROS_COSTO'!$A$4:$A$13,0)),""),$V1061))</f>
        <v/>
      </c>
      <c r="X1061" s="3">
        <f>IF($F1061="","",IFERROR(INDEX('CAT_CENTROS_COSTO'!$G$4:$G$13,MATCH($F1061,'CAT_CENTROS_COSTO'!$A$4:$A$13,0)),"(sin catálogo)"))</f>
        <v/>
      </c>
      <c r="Y1061" s="3">
        <f>IF($G1061="","",IFERROR(INDEX('CAT_PUESTOS'!$B$4:$B$8,MATCH($G1061,'CAT_PUESTOS'!$A$4:$A$8,0)),"(sin catálogo)"))</f>
        <v/>
      </c>
      <c r="Z1061" s="3">
        <f>IF($H1061="","",IFERROR(INDEX('CAT_ACTIVIDADES'!$B$4:$B$8,MATCH($H1061,'CAT_ACTIVIDADES'!$A$4:$A$8,0)),"(sin catálogo)"))</f>
        <v/>
      </c>
      <c r="AA1061" s="12">
        <f>IF($J1061="","",TODAY()-$J1061)</f>
        <v/>
      </c>
      <c r="AB1061" s="12">
        <f>IF($J1061="","",IF($J1061&lt;=TODAY(),COUNTIFS(cal_fechas,"&gt;="&amp;$J1061,cal_fechas,"&lt;"&amp;TODAY(),cal_habil,"sí"),-COUNTIFS(cal_fechas,"&gt;="&amp;TODAY(),cal_fechas,"&lt;"&amp;$J1061,cal_habil,"sí")))</f>
        <v/>
      </c>
      <c r="AC1061" s="3">
        <f>IF($AB1061="","",IF($AB1061&lt;0,"FUTURO",IF($AB1061&gt;p_dias_backlog_max,"BACKLOG","MES CORRIENTE")))</f>
        <v/>
      </c>
      <c r="AD1061" s="3">
        <f>IF($AB1061="",FALSE,AND($AB1061&gt;p_dias_backlog_min,$AB1061&lt;=p_dias_backlog_max))</f>
        <v/>
      </c>
      <c r="AE1061" s="6" t="n"/>
      <c r="AF1061" s="3">
        <f>IF($AE1061="","",IF((IFERROR(INDEX('ASIGNACIONES'!$F$4:$F$339,MATCH($O1061&amp;"|"&amp;$R1061&amp;"|"&amp;$AE1061,'ASIGNACIONES'!$J$4:$J$339,0)),""))=0,"",IFERROR(INDEX('ASIGNACIONES'!$F$4:$F$339,MATCH($O1061&amp;"|"&amp;$R1061&amp;"|"&amp;$AE1061,'ASIGNACIONES'!$J$4:$J$339,0)),"")))</f>
        <v/>
      </c>
      <c r="AG1061" s="13">
        <f>IF($AE1061="","",SUMIFS('ORDENES'!$M$4:$M$1203,'ORDENES'!$AE$4:$AE$1203,$AE1061,'ORDENES'!$O$4:$O$1203,$O1061,'ORDENES'!$R$4:$R$1203,$R1061))</f>
        <v/>
      </c>
      <c r="AH1061" s="13">
        <f>IF($AG1061="","",p_factor_productividad*IFERROR(INDEX('ASIGNACIONES'!$I$4:$I$339,MATCH($O1061&amp;"|"&amp;$R1061&amp;"|"&amp;$AE1061,'ASIGNACIONES'!$J$4:$J$339,0)),0)-$AG1061)</f>
        <v/>
      </c>
      <c r="AI1061" s="10">
        <f>IF($A1061="","",IFERROR(INDEX('2_IMPORTAR_EJECUCION'!$F$9:$F$1208,MATCH($AQ1061,'2_IMPORTAR_EJECUCION'!$J$9:$J$1208,0)),0))</f>
        <v/>
      </c>
      <c r="AJ1061" s="10">
        <f>IF($A1061="","",MAX(0,IFERROR(INDEX('2_IMPORTAR_EJECUCION'!$H$9:$H$1208,MATCH($AQ1061,'2_IMPORTAR_EJECUCION'!$J$9:$J$1208,0)),0)-$AI1061))</f>
        <v/>
      </c>
      <c r="AK1061" s="10">
        <f>IF($A1061="","",$AI1061+$AJ1061)</f>
        <v/>
      </c>
      <c r="AL1061" s="6" t="n"/>
      <c r="AM1061" s="6" t="n"/>
      <c r="AN1061" s="6" t="n"/>
      <c r="AO1061" s="3">
        <f>IF($AN1061="","",HYPERLINK(p_ruta_base_checklists&amp;$AN1061,"abrir"))</f>
        <v/>
      </c>
      <c r="AP1061" s="6" t="n"/>
      <c r="AQ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IF($A1062="","",IFERROR(INDEX('AJUSTES'!$B$4:$B$303,MATCH($AQ1062,'AJUSTES'!$A$4:$A$303,0)),IF($K1062="","",$K1062)))</f>
        <v/>
      </c>
      <c r="N1062" s="3">
        <f>IF($A1062="","",IFERROR(INDEX('CAT_ESTADOS_ERP'!$B$4:$B$7,MATCH(IFERROR(INDEX('2_IMPORTAR_EJECUCION'!$C$9:$C$1208,MATCH($AQ1062,'2_IMPORTAR_EJECUCION'!$J$9:$J$1208,0)),""),'CAT_ESTADOS_ERP'!$A$4:$A$7,0)),"Pendiente"))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J1062="","",IFERROR(INDEX('CALENDARIO'!$C$15:$C$214,MATCH(TEXT($J1062,"yyyy-mm-dd")&amp;"|"&amp;$V1062&amp;"|"&amp;$W1062,'CALENDARIO'!$G$15:$G$214,0)),IFERROR(INDEX('CALENDARIO'!$C$15:$C$214,MATCH(TEXT($J1062,"yyyy-mm-dd")&amp;"|"&amp;$V1062&amp;"|",'CALENDARIO'!$G$15:$G$214,0)),IFERROR(INDEX('CALENDARIO'!$C$15:$C$214,MATCH(TEXT($J1062,"yyyy-mm-dd")&amp;"||",'CALENDARIO'!$G$15:$G$214,0)),INDEX(patronHabil,WEEKDAY($J1062,2))))))</f>
        <v/>
      </c>
      <c r="T1062" s="3">
        <f>IF($I1062="","",IFERROR(INDEX('CAT_TIPOS_OT'!$C$4:$C$7,MATCH($I1062,'CAT_TIPOS_OT'!$A$4:$A$7,0)),"sin_clasificar"))</f>
        <v/>
      </c>
      <c r="U1062" s="3">
        <f>IF($F1062="","",IFERROR(INDEX('CAT_CENTROS_COSTO'!$F$4:$F$13,MATCH($F1062,'CAT_CENTROS_COSTO'!$A$4:$A$13,0)),"(sin catálogo)"))</f>
        <v/>
      </c>
      <c r="V1062" s="3">
        <f>IF($F1062="","",IFERROR(INDEX('CAT_CENTROS_COSTO'!$D$4:$D$13,MATCH($F1062,'CAT_CENTROS_COSTO'!$A$4:$A$13,0)),"(sin catálogo)"))</f>
        <v/>
      </c>
      <c r="W1062" s="3">
        <f>IF($F1062="","",IF((IFERROR(INDEX('CAT_CENTROS_COSTO'!$E$4:$E$13,MATCH($F1062,'CAT_CENTROS_COSTO'!$A$4:$A$13,0)),""))&lt;&gt;"",IFERROR(INDEX('CAT_CENTROS_COSTO'!$E$4:$E$13,MATCH($F1062,'CAT_CENTROS_COSTO'!$A$4:$A$13,0)),""),$V1062))</f>
        <v/>
      </c>
      <c r="X1062" s="3">
        <f>IF($F1062="","",IFERROR(INDEX('CAT_CENTROS_COSTO'!$G$4:$G$13,MATCH($F1062,'CAT_CENTROS_COSTO'!$A$4:$A$13,0)),"(sin catálogo)"))</f>
        <v/>
      </c>
      <c r="Y1062" s="3">
        <f>IF($G1062="","",IFERROR(INDEX('CAT_PUESTOS'!$B$4:$B$8,MATCH($G1062,'CAT_PUESTOS'!$A$4:$A$8,0)),"(sin catálogo)"))</f>
        <v/>
      </c>
      <c r="Z1062" s="3">
        <f>IF($H1062="","",IFERROR(INDEX('CAT_ACTIVIDADES'!$B$4:$B$8,MATCH($H1062,'CAT_ACTIVIDADES'!$A$4:$A$8,0)),"(sin catálogo)"))</f>
        <v/>
      </c>
      <c r="AA1062" s="12">
        <f>IF($J1062="","",TODAY()-$J1062)</f>
        <v/>
      </c>
      <c r="AB1062" s="12">
        <f>IF($J1062="","",IF($J1062&lt;=TODAY(),COUNTIFS(cal_fechas,"&gt;="&amp;$J1062,cal_fechas,"&lt;"&amp;TODAY(),cal_habil,"sí"),-COUNTIFS(cal_fechas,"&gt;="&amp;TODAY(),cal_fechas,"&lt;"&amp;$J1062,cal_habil,"sí")))</f>
        <v/>
      </c>
      <c r="AC1062" s="3">
        <f>IF($AB1062="","",IF($AB1062&lt;0,"FUTURO",IF($AB1062&gt;p_dias_backlog_max,"BACKLOG","MES CORRIENTE")))</f>
        <v/>
      </c>
      <c r="AD1062" s="3">
        <f>IF($AB1062="",FALSE,AND($AB1062&gt;p_dias_backlog_min,$AB1062&lt;=p_dias_backlog_max))</f>
        <v/>
      </c>
      <c r="AE1062" s="6" t="n"/>
      <c r="AF1062" s="3">
        <f>IF($AE1062="","",IF((IFERROR(INDEX('ASIGNACIONES'!$F$4:$F$339,MATCH($O1062&amp;"|"&amp;$R1062&amp;"|"&amp;$AE1062,'ASIGNACIONES'!$J$4:$J$339,0)),""))=0,"",IFERROR(INDEX('ASIGNACIONES'!$F$4:$F$339,MATCH($O1062&amp;"|"&amp;$R1062&amp;"|"&amp;$AE1062,'ASIGNACIONES'!$J$4:$J$339,0)),"")))</f>
        <v/>
      </c>
      <c r="AG1062" s="13">
        <f>IF($AE1062="","",SUMIFS('ORDENES'!$M$4:$M$1203,'ORDENES'!$AE$4:$AE$1203,$AE1062,'ORDENES'!$O$4:$O$1203,$O1062,'ORDENES'!$R$4:$R$1203,$R1062))</f>
        <v/>
      </c>
      <c r="AH1062" s="13">
        <f>IF($AG1062="","",p_factor_productividad*IFERROR(INDEX('ASIGNACIONES'!$I$4:$I$339,MATCH($O1062&amp;"|"&amp;$R1062&amp;"|"&amp;$AE1062,'ASIGNACIONES'!$J$4:$J$339,0)),0)-$AG1062)</f>
        <v/>
      </c>
      <c r="AI1062" s="10">
        <f>IF($A1062="","",IFERROR(INDEX('2_IMPORTAR_EJECUCION'!$F$9:$F$1208,MATCH($AQ1062,'2_IMPORTAR_EJECUCION'!$J$9:$J$1208,0)),0))</f>
        <v/>
      </c>
      <c r="AJ1062" s="10">
        <f>IF($A1062="","",MAX(0,IFERROR(INDEX('2_IMPORTAR_EJECUCION'!$H$9:$H$1208,MATCH($AQ1062,'2_IMPORTAR_EJECUCION'!$J$9:$J$1208,0)),0)-$AI1062))</f>
        <v/>
      </c>
      <c r="AK1062" s="10">
        <f>IF($A1062="","",$AI1062+$AJ1062)</f>
        <v/>
      </c>
      <c r="AL1062" s="6" t="n"/>
      <c r="AM1062" s="6" t="n"/>
      <c r="AN1062" s="6" t="n"/>
      <c r="AO1062" s="3">
        <f>IF($AN1062="","",HYPERLINK(p_ruta_base_checklists&amp;$AN1062,"abrir"))</f>
        <v/>
      </c>
      <c r="AP1062" s="6" t="n"/>
      <c r="AQ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IF($A1063="","",IFERROR(INDEX('AJUSTES'!$B$4:$B$303,MATCH($AQ1063,'AJUSTES'!$A$4:$A$303,0)),IF($K1063="","",$K1063)))</f>
        <v/>
      </c>
      <c r="N1063" s="3">
        <f>IF($A1063="","",IFERROR(INDEX('CAT_ESTADOS_ERP'!$B$4:$B$7,MATCH(IFERROR(INDEX('2_IMPORTAR_EJECUCION'!$C$9:$C$1208,MATCH($AQ1063,'2_IMPORTAR_EJECUCION'!$J$9:$J$1208,0)),""),'CAT_ESTADOS_ERP'!$A$4:$A$7,0)),"Pendiente"))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J1063="","",IFERROR(INDEX('CALENDARIO'!$C$15:$C$214,MATCH(TEXT($J1063,"yyyy-mm-dd")&amp;"|"&amp;$V1063&amp;"|"&amp;$W1063,'CALENDARIO'!$G$15:$G$214,0)),IFERROR(INDEX('CALENDARIO'!$C$15:$C$214,MATCH(TEXT($J1063,"yyyy-mm-dd")&amp;"|"&amp;$V1063&amp;"|",'CALENDARIO'!$G$15:$G$214,0)),IFERROR(INDEX('CALENDARIO'!$C$15:$C$214,MATCH(TEXT($J1063,"yyyy-mm-dd")&amp;"||",'CALENDARIO'!$G$15:$G$214,0)),INDEX(patronHabil,WEEKDAY($J1063,2))))))</f>
        <v/>
      </c>
      <c r="T1063" s="3">
        <f>IF($I1063="","",IFERROR(INDEX('CAT_TIPOS_OT'!$C$4:$C$7,MATCH($I1063,'CAT_TIPOS_OT'!$A$4:$A$7,0)),"sin_clasificar"))</f>
        <v/>
      </c>
      <c r="U1063" s="3">
        <f>IF($F1063="","",IFERROR(INDEX('CAT_CENTROS_COSTO'!$F$4:$F$13,MATCH($F1063,'CAT_CENTROS_COSTO'!$A$4:$A$13,0)),"(sin catálogo)"))</f>
        <v/>
      </c>
      <c r="V1063" s="3">
        <f>IF($F1063="","",IFERROR(INDEX('CAT_CENTROS_COSTO'!$D$4:$D$13,MATCH($F1063,'CAT_CENTROS_COSTO'!$A$4:$A$13,0)),"(sin catálogo)"))</f>
        <v/>
      </c>
      <c r="W1063" s="3">
        <f>IF($F1063="","",IF((IFERROR(INDEX('CAT_CENTROS_COSTO'!$E$4:$E$13,MATCH($F1063,'CAT_CENTROS_COSTO'!$A$4:$A$13,0)),""))&lt;&gt;"",IFERROR(INDEX('CAT_CENTROS_COSTO'!$E$4:$E$13,MATCH($F1063,'CAT_CENTROS_COSTO'!$A$4:$A$13,0)),""),$V1063))</f>
        <v/>
      </c>
      <c r="X1063" s="3">
        <f>IF($F1063="","",IFERROR(INDEX('CAT_CENTROS_COSTO'!$G$4:$G$13,MATCH($F1063,'CAT_CENTROS_COSTO'!$A$4:$A$13,0)),"(sin catálogo)"))</f>
        <v/>
      </c>
      <c r="Y1063" s="3">
        <f>IF($G1063="","",IFERROR(INDEX('CAT_PUESTOS'!$B$4:$B$8,MATCH($G1063,'CAT_PUESTOS'!$A$4:$A$8,0)),"(sin catálogo)"))</f>
        <v/>
      </c>
      <c r="Z1063" s="3">
        <f>IF($H1063="","",IFERROR(INDEX('CAT_ACTIVIDADES'!$B$4:$B$8,MATCH($H1063,'CAT_ACTIVIDADES'!$A$4:$A$8,0)),"(sin catálogo)"))</f>
        <v/>
      </c>
      <c r="AA1063" s="12">
        <f>IF($J1063="","",TODAY()-$J1063)</f>
        <v/>
      </c>
      <c r="AB1063" s="12">
        <f>IF($J1063="","",IF($J1063&lt;=TODAY(),COUNTIFS(cal_fechas,"&gt;="&amp;$J1063,cal_fechas,"&lt;"&amp;TODAY(),cal_habil,"sí"),-COUNTIFS(cal_fechas,"&gt;="&amp;TODAY(),cal_fechas,"&lt;"&amp;$J1063,cal_habil,"sí")))</f>
        <v/>
      </c>
      <c r="AC1063" s="3">
        <f>IF($AB1063="","",IF($AB1063&lt;0,"FUTURO",IF($AB1063&gt;p_dias_backlog_max,"BACKLOG","MES CORRIENTE")))</f>
        <v/>
      </c>
      <c r="AD1063" s="3">
        <f>IF($AB1063="",FALSE,AND($AB1063&gt;p_dias_backlog_min,$AB1063&lt;=p_dias_backlog_max))</f>
        <v/>
      </c>
      <c r="AE1063" s="6" t="n"/>
      <c r="AF1063" s="3">
        <f>IF($AE1063="","",IF((IFERROR(INDEX('ASIGNACIONES'!$F$4:$F$339,MATCH($O1063&amp;"|"&amp;$R1063&amp;"|"&amp;$AE1063,'ASIGNACIONES'!$J$4:$J$339,0)),""))=0,"",IFERROR(INDEX('ASIGNACIONES'!$F$4:$F$339,MATCH($O1063&amp;"|"&amp;$R1063&amp;"|"&amp;$AE1063,'ASIGNACIONES'!$J$4:$J$339,0)),"")))</f>
        <v/>
      </c>
      <c r="AG1063" s="13">
        <f>IF($AE1063="","",SUMIFS('ORDENES'!$M$4:$M$1203,'ORDENES'!$AE$4:$AE$1203,$AE1063,'ORDENES'!$O$4:$O$1203,$O1063,'ORDENES'!$R$4:$R$1203,$R1063))</f>
        <v/>
      </c>
      <c r="AH1063" s="13">
        <f>IF($AG1063="","",p_factor_productividad*IFERROR(INDEX('ASIGNACIONES'!$I$4:$I$339,MATCH($O1063&amp;"|"&amp;$R1063&amp;"|"&amp;$AE1063,'ASIGNACIONES'!$J$4:$J$339,0)),0)-$AG1063)</f>
        <v/>
      </c>
      <c r="AI1063" s="10">
        <f>IF($A1063="","",IFERROR(INDEX('2_IMPORTAR_EJECUCION'!$F$9:$F$1208,MATCH($AQ1063,'2_IMPORTAR_EJECUCION'!$J$9:$J$1208,0)),0))</f>
        <v/>
      </c>
      <c r="AJ1063" s="10">
        <f>IF($A1063="","",MAX(0,IFERROR(INDEX('2_IMPORTAR_EJECUCION'!$H$9:$H$1208,MATCH($AQ1063,'2_IMPORTAR_EJECUCION'!$J$9:$J$1208,0)),0)-$AI1063))</f>
        <v/>
      </c>
      <c r="AK1063" s="10">
        <f>IF($A1063="","",$AI1063+$AJ1063)</f>
        <v/>
      </c>
      <c r="AL1063" s="6" t="n"/>
      <c r="AM1063" s="6" t="n"/>
      <c r="AN1063" s="6" t="n"/>
      <c r="AO1063" s="3">
        <f>IF($AN1063="","",HYPERLINK(p_ruta_base_checklists&amp;$AN1063,"abrir"))</f>
        <v/>
      </c>
      <c r="AP1063" s="6" t="n"/>
      <c r="AQ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IF($A1064="","",IFERROR(INDEX('AJUSTES'!$B$4:$B$303,MATCH($AQ1064,'AJUSTES'!$A$4:$A$303,0)),IF($K1064="","",$K1064)))</f>
        <v/>
      </c>
      <c r="N1064" s="3">
        <f>IF($A1064="","",IFERROR(INDEX('CAT_ESTADOS_ERP'!$B$4:$B$7,MATCH(IFERROR(INDEX('2_IMPORTAR_EJECUCION'!$C$9:$C$1208,MATCH($AQ1064,'2_IMPORTAR_EJECUCION'!$J$9:$J$1208,0)),""),'CAT_ESTADOS_ERP'!$A$4:$A$7,0)),"Pendiente"))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J1064="","",IFERROR(INDEX('CALENDARIO'!$C$15:$C$214,MATCH(TEXT($J1064,"yyyy-mm-dd")&amp;"|"&amp;$V1064&amp;"|"&amp;$W1064,'CALENDARIO'!$G$15:$G$214,0)),IFERROR(INDEX('CALENDARIO'!$C$15:$C$214,MATCH(TEXT($J1064,"yyyy-mm-dd")&amp;"|"&amp;$V1064&amp;"|",'CALENDARIO'!$G$15:$G$214,0)),IFERROR(INDEX('CALENDARIO'!$C$15:$C$214,MATCH(TEXT($J1064,"yyyy-mm-dd")&amp;"||",'CALENDARIO'!$G$15:$G$214,0)),INDEX(patronHabil,WEEKDAY($J1064,2))))))</f>
        <v/>
      </c>
      <c r="T1064" s="3">
        <f>IF($I1064="","",IFERROR(INDEX('CAT_TIPOS_OT'!$C$4:$C$7,MATCH($I1064,'CAT_TIPOS_OT'!$A$4:$A$7,0)),"sin_clasificar"))</f>
        <v/>
      </c>
      <c r="U1064" s="3">
        <f>IF($F1064="","",IFERROR(INDEX('CAT_CENTROS_COSTO'!$F$4:$F$13,MATCH($F1064,'CAT_CENTROS_COSTO'!$A$4:$A$13,0)),"(sin catálogo)"))</f>
        <v/>
      </c>
      <c r="V1064" s="3">
        <f>IF($F1064="","",IFERROR(INDEX('CAT_CENTROS_COSTO'!$D$4:$D$13,MATCH($F1064,'CAT_CENTROS_COSTO'!$A$4:$A$13,0)),"(sin catálogo)"))</f>
        <v/>
      </c>
      <c r="W1064" s="3">
        <f>IF($F1064="","",IF((IFERROR(INDEX('CAT_CENTROS_COSTO'!$E$4:$E$13,MATCH($F1064,'CAT_CENTROS_COSTO'!$A$4:$A$13,0)),""))&lt;&gt;"",IFERROR(INDEX('CAT_CENTROS_COSTO'!$E$4:$E$13,MATCH($F1064,'CAT_CENTROS_COSTO'!$A$4:$A$13,0)),""),$V1064))</f>
        <v/>
      </c>
      <c r="X1064" s="3">
        <f>IF($F1064="","",IFERROR(INDEX('CAT_CENTROS_COSTO'!$G$4:$G$13,MATCH($F1064,'CAT_CENTROS_COSTO'!$A$4:$A$13,0)),"(sin catálogo)"))</f>
        <v/>
      </c>
      <c r="Y1064" s="3">
        <f>IF($G1064="","",IFERROR(INDEX('CAT_PUESTOS'!$B$4:$B$8,MATCH($G1064,'CAT_PUESTOS'!$A$4:$A$8,0)),"(sin catálogo)"))</f>
        <v/>
      </c>
      <c r="Z1064" s="3">
        <f>IF($H1064="","",IFERROR(INDEX('CAT_ACTIVIDADES'!$B$4:$B$8,MATCH($H1064,'CAT_ACTIVIDADES'!$A$4:$A$8,0)),"(sin catálogo)"))</f>
        <v/>
      </c>
      <c r="AA1064" s="12">
        <f>IF($J1064="","",TODAY()-$J1064)</f>
        <v/>
      </c>
      <c r="AB1064" s="12">
        <f>IF($J1064="","",IF($J1064&lt;=TODAY(),COUNTIFS(cal_fechas,"&gt;="&amp;$J1064,cal_fechas,"&lt;"&amp;TODAY(),cal_habil,"sí"),-COUNTIFS(cal_fechas,"&gt;="&amp;TODAY(),cal_fechas,"&lt;"&amp;$J1064,cal_habil,"sí")))</f>
        <v/>
      </c>
      <c r="AC1064" s="3">
        <f>IF($AB1064="","",IF($AB1064&lt;0,"FUTURO",IF($AB1064&gt;p_dias_backlog_max,"BACKLOG","MES CORRIENTE")))</f>
        <v/>
      </c>
      <c r="AD1064" s="3">
        <f>IF($AB1064="",FALSE,AND($AB1064&gt;p_dias_backlog_min,$AB1064&lt;=p_dias_backlog_max))</f>
        <v/>
      </c>
      <c r="AE1064" s="6" t="n"/>
      <c r="AF1064" s="3">
        <f>IF($AE1064="","",IF((IFERROR(INDEX('ASIGNACIONES'!$F$4:$F$339,MATCH($O1064&amp;"|"&amp;$R1064&amp;"|"&amp;$AE1064,'ASIGNACIONES'!$J$4:$J$339,0)),""))=0,"",IFERROR(INDEX('ASIGNACIONES'!$F$4:$F$339,MATCH($O1064&amp;"|"&amp;$R1064&amp;"|"&amp;$AE1064,'ASIGNACIONES'!$J$4:$J$339,0)),"")))</f>
        <v/>
      </c>
      <c r="AG1064" s="13">
        <f>IF($AE1064="","",SUMIFS('ORDENES'!$M$4:$M$1203,'ORDENES'!$AE$4:$AE$1203,$AE1064,'ORDENES'!$O$4:$O$1203,$O1064,'ORDENES'!$R$4:$R$1203,$R1064))</f>
        <v/>
      </c>
      <c r="AH1064" s="13">
        <f>IF($AG1064="","",p_factor_productividad*IFERROR(INDEX('ASIGNACIONES'!$I$4:$I$339,MATCH($O1064&amp;"|"&amp;$R1064&amp;"|"&amp;$AE1064,'ASIGNACIONES'!$J$4:$J$339,0)),0)-$AG1064)</f>
        <v/>
      </c>
      <c r="AI1064" s="10">
        <f>IF($A1064="","",IFERROR(INDEX('2_IMPORTAR_EJECUCION'!$F$9:$F$1208,MATCH($AQ1064,'2_IMPORTAR_EJECUCION'!$J$9:$J$1208,0)),0))</f>
        <v/>
      </c>
      <c r="AJ1064" s="10">
        <f>IF($A1064="","",MAX(0,IFERROR(INDEX('2_IMPORTAR_EJECUCION'!$H$9:$H$1208,MATCH($AQ1064,'2_IMPORTAR_EJECUCION'!$J$9:$J$1208,0)),0)-$AI1064))</f>
        <v/>
      </c>
      <c r="AK1064" s="10">
        <f>IF($A1064="","",$AI1064+$AJ1064)</f>
        <v/>
      </c>
      <c r="AL1064" s="6" t="n"/>
      <c r="AM1064" s="6" t="n"/>
      <c r="AN1064" s="6" t="n"/>
      <c r="AO1064" s="3">
        <f>IF($AN1064="","",HYPERLINK(p_ruta_base_checklists&amp;$AN1064,"abrir"))</f>
        <v/>
      </c>
      <c r="AP1064" s="6" t="n"/>
      <c r="AQ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IF($A1065="","",IFERROR(INDEX('AJUSTES'!$B$4:$B$303,MATCH($AQ1065,'AJUSTES'!$A$4:$A$303,0)),IF($K1065="","",$K1065)))</f>
        <v/>
      </c>
      <c r="N1065" s="3">
        <f>IF($A1065="","",IFERROR(INDEX('CAT_ESTADOS_ERP'!$B$4:$B$7,MATCH(IFERROR(INDEX('2_IMPORTAR_EJECUCION'!$C$9:$C$1208,MATCH($AQ1065,'2_IMPORTAR_EJECUCION'!$J$9:$J$1208,0)),""),'CAT_ESTADOS_ERP'!$A$4:$A$7,0)),"Pendiente"))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J1065="","",IFERROR(INDEX('CALENDARIO'!$C$15:$C$214,MATCH(TEXT($J1065,"yyyy-mm-dd")&amp;"|"&amp;$V1065&amp;"|"&amp;$W1065,'CALENDARIO'!$G$15:$G$214,0)),IFERROR(INDEX('CALENDARIO'!$C$15:$C$214,MATCH(TEXT($J1065,"yyyy-mm-dd")&amp;"|"&amp;$V1065&amp;"|",'CALENDARIO'!$G$15:$G$214,0)),IFERROR(INDEX('CALENDARIO'!$C$15:$C$214,MATCH(TEXT($J1065,"yyyy-mm-dd")&amp;"||",'CALENDARIO'!$G$15:$G$214,0)),INDEX(patronHabil,WEEKDAY($J1065,2))))))</f>
        <v/>
      </c>
      <c r="T1065" s="3">
        <f>IF($I1065="","",IFERROR(INDEX('CAT_TIPOS_OT'!$C$4:$C$7,MATCH($I1065,'CAT_TIPOS_OT'!$A$4:$A$7,0)),"sin_clasificar"))</f>
        <v/>
      </c>
      <c r="U1065" s="3">
        <f>IF($F1065="","",IFERROR(INDEX('CAT_CENTROS_COSTO'!$F$4:$F$13,MATCH($F1065,'CAT_CENTROS_COSTO'!$A$4:$A$13,0)),"(sin catálogo)"))</f>
        <v/>
      </c>
      <c r="V1065" s="3">
        <f>IF($F1065="","",IFERROR(INDEX('CAT_CENTROS_COSTO'!$D$4:$D$13,MATCH($F1065,'CAT_CENTROS_COSTO'!$A$4:$A$13,0)),"(sin catálogo)"))</f>
        <v/>
      </c>
      <c r="W1065" s="3">
        <f>IF($F1065="","",IF((IFERROR(INDEX('CAT_CENTROS_COSTO'!$E$4:$E$13,MATCH($F1065,'CAT_CENTROS_COSTO'!$A$4:$A$13,0)),""))&lt;&gt;"",IFERROR(INDEX('CAT_CENTROS_COSTO'!$E$4:$E$13,MATCH($F1065,'CAT_CENTROS_COSTO'!$A$4:$A$13,0)),""),$V1065))</f>
        <v/>
      </c>
      <c r="X1065" s="3">
        <f>IF($F1065="","",IFERROR(INDEX('CAT_CENTROS_COSTO'!$G$4:$G$13,MATCH($F1065,'CAT_CENTROS_COSTO'!$A$4:$A$13,0)),"(sin catálogo)"))</f>
        <v/>
      </c>
      <c r="Y1065" s="3">
        <f>IF($G1065="","",IFERROR(INDEX('CAT_PUESTOS'!$B$4:$B$8,MATCH($G1065,'CAT_PUESTOS'!$A$4:$A$8,0)),"(sin catálogo)"))</f>
        <v/>
      </c>
      <c r="Z1065" s="3">
        <f>IF($H1065="","",IFERROR(INDEX('CAT_ACTIVIDADES'!$B$4:$B$8,MATCH($H1065,'CAT_ACTIVIDADES'!$A$4:$A$8,0)),"(sin catálogo)"))</f>
        <v/>
      </c>
      <c r="AA1065" s="12">
        <f>IF($J1065="","",TODAY()-$J1065)</f>
        <v/>
      </c>
      <c r="AB1065" s="12">
        <f>IF($J1065="","",IF($J1065&lt;=TODAY(),COUNTIFS(cal_fechas,"&gt;="&amp;$J1065,cal_fechas,"&lt;"&amp;TODAY(),cal_habil,"sí"),-COUNTIFS(cal_fechas,"&gt;="&amp;TODAY(),cal_fechas,"&lt;"&amp;$J1065,cal_habil,"sí")))</f>
        <v/>
      </c>
      <c r="AC1065" s="3">
        <f>IF($AB1065="","",IF($AB1065&lt;0,"FUTURO",IF($AB1065&gt;p_dias_backlog_max,"BACKLOG","MES CORRIENTE")))</f>
        <v/>
      </c>
      <c r="AD1065" s="3">
        <f>IF($AB1065="",FALSE,AND($AB1065&gt;p_dias_backlog_min,$AB1065&lt;=p_dias_backlog_max))</f>
        <v/>
      </c>
      <c r="AE1065" s="6" t="n"/>
      <c r="AF1065" s="3">
        <f>IF($AE1065="","",IF((IFERROR(INDEX('ASIGNACIONES'!$F$4:$F$339,MATCH($O1065&amp;"|"&amp;$R1065&amp;"|"&amp;$AE1065,'ASIGNACIONES'!$J$4:$J$339,0)),""))=0,"",IFERROR(INDEX('ASIGNACIONES'!$F$4:$F$339,MATCH($O1065&amp;"|"&amp;$R1065&amp;"|"&amp;$AE1065,'ASIGNACIONES'!$J$4:$J$339,0)),"")))</f>
        <v/>
      </c>
      <c r="AG1065" s="13">
        <f>IF($AE1065="","",SUMIFS('ORDENES'!$M$4:$M$1203,'ORDENES'!$AE$4:$AE$1203,$AE1065,'ORDENES'!$O$4:$O$1203,$O1065,'ORDENES'!$R$4:$R$1203,$R1065))</f>
        <v/>
      </c>
      <c r="AH1065" s="13">
        <f>IF($AG1065="","",p_factor_productividad*IFERROR(INDEX('ASIGNACIONES'!$I$4:$I$339,MATCH($O1065&amp;"|"&amp;$R1065&amp;"|"&amp;$AE1065,'ASIGNACIONES'!$J$4:$J$339,0)),0)-$AG1065)</f>
        <v/>
      </c>
      <c r="AI1065" s="10">
        <f>IF($A1065="","",IFERROR(INDEX('2_IMPORTAR_EJECUCION'!$F$9:$F$1208,MATCH($AQ1065,'2_IMPORTAR_EJECUCION'!$J$9:$J$1208,0)),0))</f>
        <v/>
      </c>
      <c r="AJ1065" s="10">
        <f>IF($A1065="","",MAX(0,IFERROR(INDEX('2_IMPORTAR_EJECUCION'!$H$9:$H$1208,MATCH($AQ1065,'2_IMPORTAR_EJECUCION'!$J$9:$J$1208,0)),0)-$AI1065))</f>
        <v/>
      </c>
      <c r="AK1065" s="10">
        <f>IF($A1065="","",$AI1065+$AJ1065)</f>
        <v/>
      </c>
      <c r="AL1065" s="6" t="n"/>
      <c r="AM1065" s="6" t="n"/>
      <c r="AN1065" s="6" t="n"/>
      <c r="AO1065" s="3">
        <f>IF($AN1065="","",HYPERLINK(p_ruta_base_checklists&amp;$AN1065,"abrir"))</f>
        <v/>
      </c>
      <c r="AP1065" s="6" t="n"/>
      <c r="AQ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IF($A1066="","",IFERROR(INDEX('AJUSTES'!$B$4:$B$303,MATCH($AQ1066,'AJUSTES'!$A$4:$A$303,0)),IF($K1066="","",$K1066)))</f>
        <v/>
      </c>
      <c r="N1066" s="3">
        <f>IF($A1066="","",IFERROR(INDEX('CAT_ESTADOS_ERP'!$B$4:$B$7,MATCH(IFERROR(INDEX('2_IMPORTAR_EJECUCION'!$C$9:$C$1208,MATCH($AQ1066,'2_IMPORTAR_EJECUCION'!$J$9:$J$1208,0)),""),'CAT_ESTADOS_ERP'!$A$4:$A$7,0)),"Pendiente"))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J1066="","",IFERROR(INDEX('CALENDARIO'!$C$15:$C$214,MATCH(TEXT($J1066,"yyyy-mm-dd")&amp;"|"&amp;$V1066&amp;"|"&amp;$W1066,'CALENDARIO'!$G$15:$G$214,0)),IFERROR(INDEX('CALENDARIO'!$C$15:$C$214,MATCH(TEXT($J1066,"yyyy-mm-dd")&amp;"|"&amp;$V1066&amp;"|",'CALENDARIO'!$G$15:$G$214,0)),IFERROR(INDEX('CALENDARIO'!$C$15:$C$214,MATCH(TEXT($J1066,"yyyy-mm-dd")&amp;"||",'CALENDARIO'!$G$15:$G$214,0)),INDEX(patronHabil,WEEKDAY($J1066,2))))))</f>
        <v/>
      </c>
      <c r="T1066" s="3">
        <f>IF($I1066="","",IFERROR(INDEX('CAT_TIPOS_OT'!$C$4:$C$7,MATCH($I1066,'CAT_TIPOS_OT'!$A$4:$A$7,0)),"sin_clasificar"))</f>
        <v/>
      </c>
      <c r="U1066" s="3">
        <f>IF($F1066="","",IFERROR(INDEX('CAT_CENTROS_COSTO'!$F$4:$F$13,MATCH($F1066,'CAT_CENTROS_COSTO'!$A$4:$A$13,0)),"(sin catálogo)"))</f>
        <v/>
      </c>
      <c r="V1066" s="3">
        <f>IF($F1066="","",IFERROR(INDEX('CAT_CENTROS_COSTO'!$D$4:$D$13,MATCH($F1066,'CAT_CENTROS_COSTO'!$A$4:$A$13,0)),"(sin catálogo)"))</f>
        <v/>
      </c>
      <c r="W1066" s="3">
        <f>IF($F1066="","",IF((IFERROR(INDEX('CAT_CENTROS_COSTO'!$E$4:$E$13,MATCH($F1066,'CAT_CENTROS_COSTO'!$A$4:$A$13,0)),""))&lt;&gt;"",IFERROR(INDEX('CAT_CENTROS_COSTO'!$E$4:$E$13,MATCH($F1066,'CAT_CENTROS_COSTO'!$A$4:$A$13,0)),""),$V1066))</f>
        <v/>
      </c>
      <c r="X1066" s="3">
        <f>IF($F1066="","",IFERROR(INDEX('CAT_CENTROS_COSTO'!$G$4:$G$13,MATCH($F1066,'CAT_CENTROS_COSTO'!$A$4:$A$13,0)),"(sin catálogo)"))</f>
        <v/>
      </c>
      <c r="Y1066" s="3">
        <f>IF($G1066="","",IFERROR(INDEX('CAT_PUESTOS'!$B$4:$B$8,MATCH($G1066,'CAT_PUESTOS'!$A$4:$A$8,0)),"(sin catálogo)"))</f>
        <v/>
      </c>
      <c r="Z1066" s="3">
        <f>IF($H1066="","",IFERROR(INDEX('CAT_ACTIVIDADES'!$B$4:$B$8,MATCH($H1066,'CAT_ACTIVIDADES'!$A$4:$A$8,0)),"(sin catálogo)"))</f>
        <v/>
      </c>
      <c r="AA1066" s="12">
        <f>IF($J1066="","",TODAY()-$J1066)</f>
        <v/>
      </c>
      <c r="AB1066" s="12">
        <f>IF($J1066="","",IF($J1066&lt;=TODAY(),COUNTIFS(cal_fechas,"&gt;="&amp;$J1066,cal_fechas,"&lt;"&amp;TODAY(),cal_habil,"sí"),-COUNTIFS(cal_fechas,"&gt;="&amp;TODAY(),cal_fechas,"&lt;"&amp;$J1066,cal_habil,"sí")))</f>
        <v/>
      </c>
      <c r="AC1066" s="3">
        <f>IF($AB1066="","",IF($AB1066&lt;0,"FUTURO",IF($AB1066&gt;p_dias_backlog_max,"BACKLOG","MES CORRIENTE")))</f>
        <v/>
      </c>
      <c r="AD1066" s="3">
        <f>IF($AB1066="",FALSE,AND($AB1066&gt;p_dias_backlog_min,$AB1066&lt;=p_dias_backlog_max))</f>
        <v/>
      </c>
      <c r="AE1066" s="6" t="n"/>
      <c r="AF1066" s="3">
        <f>IF($AE1066="","",IF((IFERROR(INDEX('ASIGNACIONES'!$F$4:$F$339,MATCH($O1066&amp;"|"&amp;$R1066&amp;"|"&amp;$AE1066,'ASIGNACIONES'!$J$4:$J$339,0)),""))=0,"",IFERROR(INDEX('ASIGNACIONES'!$F$4:$F$339,MATCH($O1066&amp;"|"&amp;$R1066&amp;"|"&amp;$AE1066,'ASIGNACIONES'!$J$4:$J$339,0)),"")))</f>
        <v/>
      </c>
      <c r="AG1066" s="13">
        <f>IF($AE1066="","",SUMIFS('ORDENES'!$M$4:$M$1203,'ORDENES'!$AE$4:$AE$1203,$AE1066,'ORDENES'!$O$4:$O$1203,$O1066,'ORDENES'!$R$4:$R$1203,$R1066))</f>
        <v/>
      </c>
      <c r="AH1066" s="13">
        <f>IF($AG1066="","",p_factor_productividad*IFERROR(INDEX('ASIGNACIONES'!$I$4:$I$339,MATCH($O1066&amp;"|"&amp;$R1066&amp;"|"&amp;$AE1066,'ASIGNACIONES'!$J$4:$J$339,0)),0)-$AG1066)</f>
        <v/>
      </c>
      <c r="AI1066" s="10">
        <f>IF($A1066="","",IFERROR(INDEX('2_IMPORTAR_EJECUCION'!$F$9:$F$1208,MATCH($AQ1066,'2_IMPORTAR_EJECUCION'!$J$9:$J$1208,0)),0))</f>
        <v/>
      </c>
      <c r="AJ1066" s="10">
        <f>IF($A1066="","",MAX(0,IFERROR(INDEX('2_IMPORTAR_EJECUCION'!$H$9:$H$1208,MATCH($AQ1066,'2_IMPORTAR_EJECUCION'!$J$9:$J$1208,0)),0)-$AI1066))</f>
        <v/>
      </c>
      <c r="AK1066" s="10">
        <f>IF($A1066="","",$AI1066+$AJ1066)</f>
        <v/>
      </c>
      <c r="AL1066" s="6" t="n"/>
      <c r="AM1066" s="6" t="n"/>
      <c r="AN1066" s="6" t="n"/>
      <c r="AO1066" s="3">
        <f>IF($AN1066="","",HYPERLINK(p_ruta_base_checklists&amp;$AN1066,"abrir"))</f>
        <v/>
      </c>
      <c r="AP1066" s="6" t="n"/>
      <c r="AQ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IF($A1067="","",IFERROR(INDEX('AJUSTES'!$B$4:$B$303,MATCH($AQ1067,'AJUSTES'!$A$4:$A$303,0)),IF($K1067="","",$K1067)))</f>
        <v/>
      </c>
      <c r="N1067" s="3">
        <f>IF($A1067="","",IFERROR(INDEX('CAT_ESTADOS_ERP'!$B$4:$B$7,MATCH(IFERROR(INDEX('2_IMPORTAR_EJECUCION'!$C$9:$C$1208,MATCH($AQ1067,'2_IMPORTAR_EJECUCION'!$J$9:$J$1208,0)),""),'CAT_ESTADOS_ERP'!$A$4:$A$7,0)),"Pendiente"))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J1067="","",IFERROR(INDEX('CALENDARIO'!$C$15:$C$214,MATCH(TEXT($J1067,"yyyy-mm-dd")&amp;"|"&amp;$V1067&amp;"|"&amp;$W1067,'CALENDARIO'!$G$15:$G$214,0)),IFERROR(INDEX('CALENDARIO'!$C$15:$C$214,MATCH(TEXT($J1067,"yyyy-mm-dd")&amp;"|"&amp;$V1067&amp;"|",'CALENDARIO'!$G$15:$G$214,0)),IFERROR(INDEX('CALENDARIO'!$C$15:$C$214,MATCH(TEXT($J1067,"yyyy-mm-dd")&amp;"||",'CALENDARIO'!$G$15:$G$214,0)),INDEX(patronHabil,WEEKDAY($J1067,2))))))</f>
        <v/>
      </c>
      <c r="T1067" s="3">
        <f>IF($I1067="","",IFERROR(INDEX('CAT_TIPOS_OT'!$C$4:$C$7,MATCH($I1067,'CAT_TIPOS_OT'!$A$4:$A$7,0)),"sin_clasificar"))</f>
        <v/>
      </c>
      <c r="U1067" s="3">
        <f>IF($F1067="","",IFERROR(INDEX('CAT_CENTROS_COSTO'!$F$4:$F$13,MATCH($F1067,'CAT_CENTROS_COSTO'!$A$4:$A$13,0)),"(sin catálogo)"))</f>
        <v/>
      </c>
      <c r="V1067" s="3">
        <f>IF($F1067="","",IFERROR(INDEX('CAT_CENTROS_COSTO'!$D$4:$D$13,MATCH($F1067,'CAT_CENTROS_COSTO'!$A$4:$A$13,0)),"(sin catálogo)"))</f>
        <v/>
      </c>
      <c r="W1067" s="3">
        <f>IF($F1067="","",IF((IFERROR(INDEX('CAT_CENTROS_COSTO'!$E$4:$E$13,MATCH($F1067,'CAT_CENTROS_COSTO'!$A$4:$A$13,0)),""))&lt;&gt;"",IFERROR(INDEX('CAT_CENTROS_COSTO'!$E$4:$E$13,MATCH($F1067,'CAT_CENTROS_COSTO'!$A$4:$A$13,0)),""),$V1067))</f>
        <v/>
      </c>
      <c r="X1067" s="3">
        <f>IF($F1067="","",IFERROR(INDEX('CAT_CENTROS_COSTO'!$G$4:$G$13,MATCH($F1067,'CAT_CENTROS_COSTO'!$A$4:$A$13,0)),"(sin catálogo)"))</f>
        <v/>
      </c>
      <c r="Y1067" s="3">
        <f>IF($G1067="","",IFERROR(INDEX('CAT_PUESTOS'!$B$4:$B$8,MATCH($G1067,'CAT_PUESTOS'!$A$4:$A$8,0)),"(sin catálogo)"))</f>
        <v/>
      </c>
      <c r="Z1067" s="3">
        <f>IF($H1067="","",IFERROR(INDEX('CAT_ACTIVIDADES'!$B$4:$B$8,MATCH($H1067,'CAT_ACTIVIDADES'!$A$4:$A$8,0)),"(sin catálogo)"))</f>
        <v/>
      </c>
      <c r="AA1067" s="12">
        <f>IF($J1067="","",TODAY()-$J1067)</f>
        <v/>
      </c>
      <c r="AB1067" s="12">
        <f>IF($J1067="","",IF($J1067&lt;=TODAY(),COUNTIFS(cal_fechas,"&gt;="&amp;$J1067,cal_fechas,"&lt;"&amp;TODAY(),cal_habil,"sí"),-COUNTIFS(cal_fechas,"&gt;="&amp;TODAY(),cal_fechas,"&lt;"&amp;$J1067,cal_habil,"sí")))</f>
        <v/>
      </c>
      <c r="AC1067" s="3">
        <f>IF($AB1067="","",IF($AB1067&lt;0,"FUTURO",IF($AB1067&gt;p_dias_backlog_max,"BACKLOG","MES CORRIENTE")))</f>
        <v/>
      </c>
      <c r="AD1067" s="3">
        <f>IF($AB1067="",FALSE,AND($AB1067&gt;p_dias_backlog_min,$AB1067&lt;=p_dias_backlog_max))</f>
        <v/>
      </c>
      <c r="AE1067" s="6" t="n"/>
      <c r="AF1067" s="3">
        <f>IF($AE1067="","",IF((IFERROR(INDEX('ASIGNACIONES'!$F$4:$F$339,MATCH($O1067&amp;"|"&amp;$R1067&amp;"|"&amp;$AE1067,'ASIGNACIONES'!$J$4:$J$339,0)),""))=0,"",IFERROR(INDEX('ASIGNACIONES'!$F$4:$F$339,MATCH($O1067&amp;"|"&amp;$R1067&amp;"|"&amp;$AE1067,'ASIGNACIONES'!$J$4:$J$339,0)),"")))</f>
        <v/>
      </c>
      <c r="AG1067" s="13">
        <f>IF($AE1067="","",SUMIFS('ORDENES'!$M$4:$M$1203,'ORDENES'!$AE$4:$AE$1203,$AE1067,'ORDENES'!$O$4:$O$1203,$O1067,'ORDENES'!$R$4:$R$1203,$R1067))</f>
        <v/>
      </c>
      <c r="AH1067" s="13">
        <f>IF($AG1067="","",p_factor_productividad*IFERROR(INDEX('ASIGNACIONES'!$I$4:$I$339,MATCH($O1067&amp;"|"&amp;$R1067&amp;"|"&amp;$AE1067,'ASIGNACIONES'!$J$4:$J$339,0)),0)-$AG1067)</f>
        <v/>
      </c>
      <c r="AI1067" s="10">
        <f>IF($A1067="","",IFERROR(INDEX('2_IMPORTAR_EJECUCION'!$F$9:$F$1208,MATCH($AQ1067,'2_IMPORTAR_EJECUCION'!$J$9:$J$1208,0)),0))</f>
        <v/>
      </c>
      <c r="AJ1067" s="10">
        <f>IF($A1067="","",MAX(0,IFERROR(INDEX('2_IMPORTAR_EJECUCION'!$H$9:$H$1208,MATCH($AQ1067,'2_IMPORTAR_EJECUCION'!$J$9:$J$1208,0)),0)-$AI1067))</f>
        <v/>
      </c>
      <c r="AK1067" s="10">
        <f>IF($A1067="","",$AI1067+$AJ1067)</f>
        <v/>
      </c>
      <c r="AL1067" s="6" t="n"/>
      <c r="AM1067" s="6" t="n"/>
      <c r="AN1067" s="6" t="n"/>
      <c r="AO1067" s="3">
        <f>IF($AN1067="","",HYPERLINK(p_ruta_base_checklists&amp;$AN1067,"abrir"))</f>
        <v/>
      </c>
      <c r="AP1067" s="6" t="n"/>
      <c r="AQ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IF($A1068="","",IFERROR(INDEX('AJUSTES'!$B$4:$B$303,MATCH($AQ1068,'AJUSTES'!$A$4:$A$303,0)),IF($K1068="","",$K1068)))</f>
        <v/>
      </c>
      <c r="N1068" s="3">
        <f>IF($A1068="","",IFERROR(INDEX('CAT_ESTADOS_ERP'!$B$4:$B$7,MATCH(IFERROR(INDEX('2_IMPORTAR_EJECUCION'!$C$9:$C$1208,MATCH($AQ1068,'2_IMPORTAR_EJECUCION'!$J$9:$J$1208,0)),""),'CAT_ESTADOS_ERP'!$A$4:$A$7,0)),"Pendiente"))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J1068="","",IFERROR(INDEX('CALENDARIO'!$C$15:$C$214,MATCH(TEXT($J1068,"yyyy-mm-dd")&amp;"|"&amp;$V1068&amp;"|"&amp;$W1068,'CALENDARIO'!$G$15:$G$214,0)),IFERROR(INDEX('CALENDARIO'!$C$15:$C$214,MATCH(TEXT($J1068,"yyyy-mm-dd")&amp;"|"&amp;$V1068&amp;"|",'CALENDARIO'!$G$15:$G$214,0)),IFERROR(INDEX('CALENDARIO'!$C$15:$C$214,MATCH(TEXT($J1068,"yyyy-mm-dd")&amp;"||",'CALENDARIO'!$G$15:$G$214,0)),INDEX(patronHabil,WEEKDAY($J1068,2))))))</f>
        <v/>
      </c>
      <c r="T1068" s="3">
        <f>IF($I1068="","",IFERROR(INDEX('CAT_TIPOS_OT'!$C$4:$C$7,MATCH($I1068,'CAT_TIPOS_OT'!$A$4:$A$7,0)),"sin_clasificar"))</f>
        <v/>
      </c>
      <c r="U1068" s="3">
        <f>IF($F1068="","",IFERROR(INDEX('CAT_CENTROS_COSTO'!$F$4:$F$13,MATCH($F1068,'CAT_CENTROS_COSTO'!$A$4:$A$13,0)),"(sin catálogo)"))</f>
        <v/>
      </c>
      <c r="V1068" s="3">
        <f>IF($F1068="","",IFERROR(INDEX('CAT_CENTROS_COSTO'!$D$4:$D$13,MATCH($F1068,'CAT_CENTROS_COSTO'!$A$4:$A$13,0)),"(sin catálogo)"))</f>
        <v/>
      </c>
      <c r="W1068" s="3">
        <f>IF($F1068="","",IF((IFERROR(INDEX('CAT_CENTROS_COSTO'!$E$4:$E$13,MATCH($F1068,'CAT_CENTROS_COSTO'!$A$4:$A$13,0)),""))&lt;&gt;"",IFERROR(INDEX('CAT_CENTROS_COSTO'!$E$4:$E$13,MATCH($F1068,'CAT_CENTROS_COSTO'!$A$4:$A$13,0)),""),$V1068))</f>
        <v/>
      </c>
      <c r="X1068" s="3">
        <f>IF($F1068="","",IFERROR(INDEX('CAT_CENTROS_COSTO'!$G$4:$G$13,MATCH($F1068,'CAT_CENTROS_COSTO'!$A$4:$A$13,0)),"(sin catálogo)"))</f>
        <v/>
      </c>
      <c r="Y1068" s="3">
        <f>IF($G1068="","",IFERROR(INDEX('CAT_PUESTOS'!$B$4:$B$8,MATCH($G1068,'CAT_PUESTOS'!$A$4:$A$8,0)),"(sin catálogo)"))</f>
        <v/>
      </c>
      <c r="Z1068" s="3">
        <f>IF($H1068="","",IFERROR(INDEX('CAT_ACTIVIDADES'!$B$4:$B$8,MATCH($H1068,'CAT_ACTIVIDADES'!$A$4:$A$8,0)),"(sin catálogo)"))</f>
        <v/>
      </c>
      <c r="AA1068" s="12">
        <f>IF($J1068="","",TODAY()-$J1068)</f>
        <v/>
      </c>
      <c r="AB1068" s="12">
        <f>IF($J1068="","",IF($J1068&lt;=TODAY(),COUNTIFS(cal_fechas,"&gt;="&amp;$J1068,cal_fechas,"&lt;"&amp;TODAY(),cal_habil,"sí"),-COUNTIFS(cal_fechas,"&gt;="&amp;TODAY(),cal_fechas,"&lt;"&amp;$J1068,cal_habil,"sí")))</f>
        <v/>
      </c>
      <c r="AC1068" s="3">
        <f>IF($AB1068="","",IF($AB1068&lt;0,"FUTURO",IF($AB1068&gt;p_dias_backlog_max,"BACKLOG","MES CORRIENTE")))</f>
        <v/>
      </c>
      <c r="AD1068" s="3">
        <f>IF($AB1068="",FALSE,AND($AB1068&gt;p_dias_backlog_min,$AB1068&lt;=p_dias_backlog_max))</f>
        <v/>
      </c>
      <c r="AE1068" s="6" t="n"/>
      <c r="AF1068" s="3">
        <f>IF($AE1068="","",IF((IFERROR(INDEX('ASIGNACIONES'!$F$4:$F$339,MATCH($O1068&amp;"|"&amp;$R1068&amp;"|"&amp;$AE1068,'ASIGNACIONES'!$J$4:$J$339,0)),""))=0,"",IFERROR(INDEX('ASIGNACIONES'!$F$4:$F$339,MATCH($O1068&amp;"|"&amp;$R1068&amp;"|"&amp;$AE1068,'ASIGNACIONES'!$J$4:$J$339,0)),"")))</f>
        <v/>
      </c>
      <c r="AG1068" s="13">
        <f>IF($AE1068="","",SUMIFS('ORDENES'!$M$4:$M$1203,'ORDENES'!$AE$4:$AE$1203,$AE1068,'ORDENES'!$O$4:$O$1203,$O1068,'ORDENES'!$R$4:$R$1203,$R1068))</f>
        <v/>
      </c>
      <c r="AH1068" s="13">
        <f>IF($AG1068="","",p_factor_productividad*IFERROR(INDEX('ASIGNACIONES'!$I$4:$I$339,MATCH($O1068&amp;"|"&amp;$R1068&amp;"|"&amp;$AE1068,'ASIGNACIONES'!$J$4:$J$339,0)),0)-$AG1068)</f>
        <v/>
      </c>
      <c r="AI1068" s="10">
        <f>IF($A1068="","",IFERROR(INDEX('2_IMPORTAR_EJECUCION'!$F$9:$F$1208,MATCH($AQ1068,'2_IMPORTAR_EJECUCION'!$J$9:$J$1208,0)),0))</f>
        <v/>
      </c>
      <c r="AJ1068" s="10">
        <f>IF($A1068="","",MAX(0,IFERROR(INDEX('2_IMPORTAR_EJECUCION'!$H$9:$H$1208,MATCH($AQ1068,'2_IMPORTAR_EJECUCION'!$J$9:$J$1208,0)),0)-$AI1068))</f>
        <v/>
      </c>
      <c r="AK1068" s="10">
        <f>IF($A1068="","",$AI1068+$AJ1068)</f>
        <v/>
      </c>
      <c r="AL1068" s="6" t="n"/>
      <c r="AM1068" s="6" t="n"/>
      <c r="AN1068" s="6" t="n"/>
      <c r="AO1068" s="3">
        <f>IF($AN1068="","",HYPERLINK(p_ruta_base_checklists&amp;$AN1068,"abrir"))</f>
        <v/>
      </c>
      <c r="AP1068" s="6" t="n"/>
      <c r="AQ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IF($A1069="","",IFERROR(INDEX('AJUSTES'!$B$4:$B$303,MATCH($AQ1069,'AJUSTES'!$A$4:$A$303,0)),IF($K1069="","",$K1069)))</f>
        <v/>
      </c>
      <c r="N1069" s="3">
        <f>IF($A1069="","",IFERROR(INDEX('CAT_ESTADOS_ERP'!$B$4:$B$7,MATCH(IFERROR(INDEX('2_IMPORTAR_EJECUCION'!$C$9:$C$1208,MATCH($AQ1069,'2_IMPORTAR_EJECUCION'!$J$9:$J$1208,0)),""),'CAT_ESTADOS_ERP'!$A$4:$A$7,0)),"Pendiente"))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J1069="","",IFERROR(INDEX('CALENDARIO'!$C$15:$C$214,MATCH(TEXT($J1069,"yyyy-mm-dd")&amp;"|"&amp;$V1069&amp;"|"&amp;$W1069,'CALENDARIO'!$G$15:$G$214,0)),IFERROR(INDEX('CALENDARIO'!$C$15:$C$214,MATCH(TEXT($J1069,"yyyy-mm-dd")&amp;"|"&amp;$V1069&amp;"|",'CALENDARIO'!$G$15:$G$214,0)),IFERROR(INDEX('CALENDARIO'!$C$15:$C$214,MATCH(TEXT($J1069,"yyyy-mm-dd")&amp;"||",'CALENDARIO'!$G$15:$G$214,0)),INDEX(patronHabil,WEEKDAY($J1069,2))))))</f>
        <v/>
      </c>
      <c r="T1069" s="3">
        <f>IF($I1069="","",IFERROR(INDEX('CAT_TIPOS_OT'!$C$4:$C$7,MATCH($I1069,'CAT_TIPOS_OT'!$A$4:$A$7,0)),"sin_clasificar"))</f>
        <v/>
      </c>
      <c r="U1069" s="3">
        <f>IF($F1069="","",IFERROR(INDEX('CAT_CENTROS_COSTO'!$F$4:$F$13,MATCH($F1069,'CAT_CENTROS_COSTO'!$A$4:$A$13,0)),"(sin catálogo)"))</f>
        <v/>
      </c>
      <c r="V1069" s="3">
        <f>IF($F1069="","",IFERROR(INDEX('CAT_CENTROS_COSTO'!$D$4:$D$13,MATCH($F1069,'CAT_CENTROS_COSTO'!$A$4:$A$13,0)),"(sin catálogo)"))</f>
        <v/>
      </c>
      <c r="W1069" s="3">
        <f>IF($F1069="","",IF((IFERROR(INDEX('CAT_CENTROS_COSTO'!$E$4:$E$13,MATCH($F1069,'CAT_CENTROS_COSTO'!$A$4:$A$13,0)),""))&lt;&gt;"",IFERROR(INDEX('CAT_CENTROS_COSTO'!$E$4:$E$13,MATCH($F1069,'CAT_CENTROS_COSTO'!$A$4:$A$13,0)),""),$V1069))</f>
        <v/>
      </c>
      <c r="X1069" s="3">
        <f>IF($F1069="","",IFERROR(INDEX('CAT_CENTROS_COSTO'!$G$4:$G$13,MATCH($F1069,'CAT_CENTROS_COSTO'!$A$4:$A$13,0)),"(sin catálogo)"))</f>
        <v/>
      </c>
      <c r="Y1069" s="3">
        <f>IF($G1069="","",IFERROR(INDEX('CAT_PUESTOS'!$B$4:$B$8,MATCH($G1069,'CAT_PUESTOS'!$A$4:$A$8,0)),"(sin catálogo)"))</f>
        <v/>
      </c>
      <c r="Z1069" s="3">
        <f>IF($H1069="","",IFERROR(INDEX('CAT_ACTIVIDADES'!$B$4:$B$8,MATCH($H1069,'CAT_ACTIVIDADES'!$A$4:$A$8,0)),"(sin catálogo)"))</f>
        <v/>
      </c>
      <c r="AA1069" s="12">
        <f>IF($J1069="","",TODAY()-$J1069)</f>
        <v/>
      </c>
      <c r="AB1069" s="12">
        <f>IF($J1069="","",IF($J1069&lt;=TODAY(),COUNTIFS(cal_fechas,"&gt;="&amp;$J1069,cal_fechas,"&lt;"&amp;TODAY(),cal_habil,"sí"),-COUNTIFS(cal_fechas,"&gt;="&amp;TODAY(),cal_fechas,"&lt;"&amp;$J1069,cal_habil,"sí")))</f>
        <v/>
      </c>
      <c r="AC1069" s="3">
        <f>IF($AB1069="","",IF($AB1069&lt;0,"FUTURO",IF($AB1069&gt;p_dias_backlog_max,"BACKLOG","MES CORRIENTE")))</f>
        <v/>
      </c>
      <c r="AD1069" s="3">
        <f>IF($AB1069="",FALSE,AND($AB1069&gt;p_dias_backlog_min,$AB1069&lt;=p_dias_backlog_max))</f>
        <v/>
      </c>
      <c r="AE1069" s="6" t="n"/>
      <c r="AF1069" s="3">
        <f>IF($AE1069="","",IF((IFERROR(INDEX('ASIGNACIONES'!$F$4:$F$339,MATCH($O1069&amp;"|"&amp;$R1069&amp;"|"&amp;$AE1069,'ASIGNACIONES'!$J$4:$J$339,0)),""))=0,"",IFERROR(INDEX('ASIGNACIONES'!$F$4:$F$339,MATCH($O1069&amp;"|"&amp;$R1069&amp;"|"&amp;$AE1069,'ASIGNACIONES'!$J$4:$J$339,0)),"")))</f>
        <v/>
      </c>
      <c r="AG1069" s="13">
        <f>IF($AE1069="","",SUMIFS('ORDENES'!$M$4:$M$1203,'ORDENES'!$AE$4:$AE$1203,$AE1069,'ORDENES'!$O$4:$O$1203,$O1069,'ORDENES'!$R$4:$R$1203,$R1069))</f>
        <v/>
      </c>
      <c r="AH1069" s="13">
        <f>IF($AG1069="","",p_factor_productividad*IFERROR(INDEX('ASIGNACIONES'!$I$4:$I$339,MATCH($O1069&amp;"|"&amp;$R1069&amp;"|"&amp;$AE1069,'ASIGNACIONES'!$J$4:$J$339,0)),0)-$AG1069)</f>
        <v/>
      </c>
      <c r="AI1069" s="10">
        <f>IF($A1069="","",IFERROR(INDEX('2_IMPORTAR_EJECUCION'!$F$9:$F$1208,MATCH($AQ1069,'2_IMPORTAR_EJECUCION'!$J$9:$J$1208,0)),0))</f>
        <v/>
      </c>
      <c r="AJ1069" s="10">
        <f>IF($A1069="","",MAX(0,IFERROR(INDEX('2_IMPORTAR_EJECUCION'!$H$9:$H$1208,MATCH($AQ1069,'2_IMPORTAR_EJECUCION'!$J$9:$J$1208,0)),0)-$AI1069))</f>
        <v/>
      </c>
      <c r="AK1069" s="10">
        <f>IF($A1069="","",$AI1069+$AJ1069)</f>
        <v/>
      </c>
      <c r="AL1069" s="6" t="n"/>
      <c r="AM1069" s="6" t="n"/>
      <c r="AN1069" s="6" t="n"/>
      <c r="AO1069" s="3">
        <f>IF($AN1069="","",HYPERLINK(p_ruta_base_checklists&amp;$AN1069,"abrir"))</f>
        <v/>
      </c>
      <c r="AP1069" s="6" t="n"/>
      <c r="AQ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IF($A1070="","",IFERROR(INDEX('AJUSTES'!$B$4:$B$303,MATCH($AQ1070,'AJUSTES'!$A$4:$A$303,0)),IF($K1070="","",$K1070)))</f>
        <v/>
      </c>
      <c r="N1070" s="3">
        <f>IF($A1070="","",IFERROR(INDEX('CAT_ESTADOS_ERP'!$B$4:$B$7,MATCH(IFERROR(INDEX('2_IMPORTAR_EJECUCION'!$C$9:$C$1208,MATCH($AQ1070,'2_IMPORTAR_EJECUCION'!$J$9:$J$1208,0)),""),'CAT_ESTADOS_ERP'!$A$4:$A$7,0)),"Pendiente"))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J1070="","",IFERROR(INDEX('CALENDARIO'!$C$15:$C$214,MATCH(TEXT($J1070,"yyyy-mm-dd")&amp;"|"&amp;$V1070&amp;"|"&amp;$W1070,'CALENDARIO'!$G$15:$G$214,0)),IFERROR(INDEX('CALENDARIO'!$C$15:$C$214,MATCH(TEXT($J1070,"yyyy-mm-dd")&amp;"|"&amp;$V1070&amp;"|",'CALENDARIO'!$G$15:$G$214,0)),IFERROR(INDEX('CALENDARIO'!$C$15:$C$214,MATCH(TEXT($J1070,"yyyy-mm-dd")&amp;"||",'CALENDARIO'!$G$15:$G$214,0)),INDEX(patronHabil,WEEKDAY($J1070,2))))))</f>
        <v/>
      </c>
      <c r="T1070" s="3">
        <f>IF($I1070="","",IFERROR(INDEX('CAT_TIPOS_OT'!$C$4:$C$7,MATCH($I1070,'CAT_TIPOS_OT'!$A$4:$A$7,0)),"sin_clasificar"))</f>
        <v/>
      </c>
      <c r="U1070" s="3">
        <f>IF($F1070="","",IFERROR(INDEX('CAT_CENTROS_COSTO'!$F$4:$F$13,MATCH($F1070,'CAT_CENTROS_COSTO'!$A$4:$A$13,0)),"(sin catálogo)"))</f>
        <v/>
      </c>
      <c r="V1070" s="3">
        <f>IF($F1070="","",IFERROR(INDEX('CAT_CENTROS_COSTO'!$D$4:$D$13,MATCH($F1070,'CAT_CENTROS_COSTO'!$A$4:$A$13,0)),"(sin catálogo)"))</f>
        <v/>
      </c>
      <c r="W1070" s="3">
        <f>IF($F1070="","",IF((IFERROR(INDEX('CAT_CENTROS_COSTO'!$E$4:$E$13,MATCH($F1070,'CAT_CENTROS_COSTO'!$A$4:$A$13,0)),""))&lt;&gt;"",IFERROR(INDEX('CAT_CENTROS_COSTO'!$E$4:$E$13,MATCH($F1070,'CAT_CENTROS_COSTO'!$A$4:$A$13,0)),""),$V1070))</f>
        <v/>
      </c>
      <c r="X1070" s="3">
        <f>IF($F1070="","",IFERROR(INDEX('CAT_CENTROS_COSTO'!$G$4:$G$13,MATCH($F1070,'CAT_CENTROS_COSTO'!$A$4:$A$13,0)),"(sin catálogo)"))</f>
        <v/>
      </c>
      <c r="Y1070" s="3">
        <f>IF($G1070="","",IFERROR(INDEX('CAT_PUESTOS'!$B$4:$B$8,MATCH($G1070,'CAT_PUESTOS'!$A$4:$A$8,0)),"(sin catálogo)"))</f>
        <v/>
      </c>
      <c r="Z1070" s="3">
        <f>IF($H1070="","",IFERROR(INDEX('CAT_ACTIVIDADES'!$B$4:$B$8,MATCH($H1070,'CAT_ACTIVIDADES'!$A$4:$A$8,0)),"(sin catálogo)"))</f>
        <v/>
      </c>
      <c r="AA1070" s="12">
        <f>IF($J1070="","",TODAY()-$J1070)</f>
        <v/>
      </c>
      <c r="AB1070" s="12">
        <f>IF($J1070="","",IF($J1070&lt;=TODAY(),COUNTIFS(cal_fechas,"&gt;="&amp;$J1070,cal_fechas,"&lt;"&amp;TODAY(),cal_habil,"sí"),-COUNTIFS(cal_fechas,"&gt;="&amp;TODAY(),cal_fechas,"&lt;"&amp;$J1070,cal_habil,"sí")))</f>
        <v/>
      </c>
      <c r="AC1070" s="3">
        <f>IF($AB1070="","",IF($AB1070&lt;0,"FUTURO",IF($AB1070&gt;p_dias_backlog_max,"BACKLOG","MES CORRIENTE")))</f>
        <v/>
      </c>
      <c r="AD1070" s="3">
        <f>IF($AB1070="",FALSE,AND($AB1070&gt;p_dias_backlog_min,$AB1070&lt;=p_dias_backlog_max))</f>
        <v/>
      </c>
      <c r="AE1070" s="6" t="n"/>
      <c r="AF1070" s="3">
        <f>IF($AE1070="","",IF((IFERROR(INDEX('ASIGNACIONES'!$F$4:$F$339,MATCH($O1070&amp;"|"&amp;$R1070&amp;"|"&amp;$AE1070,'ASIGNACIONES'!$J$4:$J$339,0)),""))=0,"",IFERROR(INDEX('ASIGNACIONES'!$F$4:$F$339,MATCH($O1070&amp;"|"&amp;$R1070&amp;"|"&amp;$AE1070,'ASIGNACIONES'!$J$4:$J$339,0)),"")))</f>
        <v/>
      </c>
      <c r="AG1070" s="13">
        <f>IF($AE1070="","",SUMIFS('ORDENES'!$M$4:$M$1203,'ORDENES'!$AE$4:$AE$1203,$AE1070,'ORDENES'!$O$4:$O$1203,$O1070,'ORDENES'!$R$4:$R$1203,$R1070))</f>
        <v/>
      </c>
      <c r="AH1070" s="13">
        <f>IF($AG1070="","",p_factor_productividad*IFERROR(INDEX('ASIGNACIONES'!$I$4:$I$339,MATCH($O1070&amp;"|"&amp;$R1070&amp;"|"&amp;$AE1070,'ASIGNACIONES'!$J$4:$J$339,0)),0)-$AG1070)</f>
        <v/>
      </c>
      <c r="AI1070" s="10">
        <f>IF($A1070="","",IFERROR(INDEX('2_IMPORTAR_EJECUCION'!$F$9:$F$1208,MATCH($AQ1070,'2_IMPORTAR_EJECUCION'!$J$9:$J$1208,0)),0))</f>
        <v/>
      </c>
      <c r="AJ1070" s="10">
        <f>IF($A1070="","",MAX(0,IFERROR(INDEX('2_IMPORTAR_EJECUCION'!$H$9:$H$1208,MATCH($AQ1070,'2_IMPORTAR_EJECUCION'!$J$9:$J$1208,0)),0)-$AI1070))</f>
        <v/>
      </c>
      <c r="AK1070" s="10">
        <f>IF($A1070="","",$AI1070+$AJ1070)</f>
        <v/>
      </c>
      <c r="AL1070" s="6" t="n"/>
      <c r="AM1070" s="6" t="n"/>
      <c r="AN1070" s="6" t="n"/>
      <c r="AO1070" s="3">
        <f>IF($AN1070="","",HYPERLINK(p_ruta_base_checklists&amp;$AN1070,"abrir"))</f>
        <v/>
      </c>
      <c r="AP1070" s="6" t="n"/>
      <c r="AQ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IF($A1071="","",IFERROR(INDEX('AJUSTES'!$B$4:$B$303,MATCH($AQ1071,'AJUSTES'!$A$4:$A$303,0)),IF($K1071="","",$K1071)))</f>
        <v/>
      </c>
      <c r="N1071" s="3">
        <f>IF($A1071="","",IFERROR(INDEX('CAT_ESTADOS_ERP'!$B$4:$B$7,MATCH(IFERROR(INDEX('2_IMPORTAR_EJECUCION'!$C$9:$C$1208,MATCH($AQ1071,'2_IMPORTAR_EJECUCION'!$J$9:$J$1208,0)),""),'CAT_ESTADOS_ERP'!$A$4:$A$7,0)),"Pendiente"))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J1071="","",IFERROR(INDEX('CALENDARIO'!$C$15:$C$214,MATCH(TEXT($J1071,"yyyy-mm-dd")&amp;"|"&amp;$V1071&amp;"|"&amp;$W1071,'CALENDARIO'!$G$15:$G$214,0)),IFERROR(INDEX('CALENDARIO'!$C$15:$C$214,MATCH(TEXT($J1071,"yyyy-mm-dd")&amp;"|"&amp;$V1071&amp;"|",'CALENDARIO'!$G$15:$G$214,0)),IFERROR(INDEX('CALENDARIO'!$C$15:$C$214,MATCH(TEXT($J1071,"yyyy-mm-dd")&amp;"||",'CALENDARIO'!$G$15:$G$214,0)),INDEX(patronHabil,WEEKDAY($J1071,2))))))</f>
        <v/>
      </c>
      <c r="T1071" s="3">
        <f>IF($I1071="","",IFERROR(INDEX('CAT_TIPOS_OT'!$C$4:$C$7,MATCH($I1071,'CAT_TIPOS_OT'!$A$4:$A$7,0)),"sin_clasificar"))</f>
        <v/>
      </c>
      <c r="U1071" s="3">
        <f>IF($F1071="","",IFERROR(INDEX('CAT_CENTROS_COSTO'!$F$4:$F$13,MATCH($F1071,'CAT_CENTROS_COSTO'!$A$4:$A$13,0)),"(sin catálogo)"))</f>
        <v/>
      </c>
      <c r="V1071" s="3">
        <f>IF($F1071="","",IFERROR(INDEX('CAT_CENTROS_COSTO'!$D$4:$D$13,MATCH($F1071,'CAT_CENTROS_COSTO'!$A$4:$A$13,0)),"(sin catálogo)"))</f>
        <v/>
      </c>
      <c r="W1071" s="3">
        <f>IF($F1071="","",IF((IFERROR(INDEX('CAT_CENTROS_COSTO'!$E$4:$E$13,MATCH($F1071,'CAT_CENTROS_COSTO'!$A$4:$A$13,0)),""))&lt;&gt;"",IFERROR(INDEX('CAT_CENTROS_COSTO'!$E$4:$E$13,MATCH($F1071,'CAT_CENTROS_COSTO'!$A$4:$A$13,0)),""),$V1071))</f>
        <v/>
      </c>
      <c r="X1071" s="3">
        <f>IF($F1071="","",IFERROR(INDEX('CAT_CENTROS_COSTO'!$G$4:$G$13,MATCH($F1071,'CAT_CENTROS_COSTO'!$A$4:$A$13,0)),"(sin catálogo)"))</f>
        <v/>
      </c>
      <c r="Y1071" s="3">
        <f>IF($G1071="","",IFERROR(INDEX('CAT_PUESTOS'!$B$4:$B$8,MATCH($G1071,'CAT_PUESTOS'!$A$4:$A$8,0)),"(sin catálogo)"))</f>
        <v/>
      </c>
      <c r="Z1071" s="3">
        <f>IF($H1071="","",IFERROR(INDEX('CAT_ACTIVIDADES'!$B$4:$B$8,MATCH($H1071,'CAT_ACTIVIDADES'!$A$4:$A$8,0)),"(sin catálogo)"))</f>
        <v/>
      </c>
      <c r="AA1071" s="12">
        <f>IF($J1071="","",TODAY()-$J1071)</f>
        <v/>
      </c>
      <c r="AB1071" s="12">
        <f>IF($J1071="","",IF($J1071&lt;=TODAY(),COUNTIFS(cal_fechas,"&gt;="&amp;$J1071,cal_fechas,"&lt;"&amp;TODAY(),cal_habil,"sí"),-COUNTIFS(cal_fechas,"&gt;="&amp;TODAY(),cal_fechas,"&lt;"&amp;$J1071,cal_habil,"sí")))</f>
        <v/>
      </c>
      <c r="AC1071" s="3">
        <f>IF($AB1071="","",IF($AB1071&lt;0,"FUTURO",IF($AB1071&gt;p_dias_backlog_max,"BACKLOG","MES CORRIENTE")))</f>
        <v/>
      </c>
      <c r="AD1071" s="3">
        <f>IF($AB1071="",FALSE,AND($AB1071&gt;p_dias_backlog_min,$AB1071&lt;=p_dias_backlog_max))</f>
        <v/>
      </c>
      <c r="AE1071" s="6" t="n"/>
      <c r="AF1071" s="3">
        <f>IF($AE1071="","",IF((IFERROR(INDEX('ASIGNACIONES'!$F$4:$F$339,MATCH($O1071&amp;"|"&amp;$R1071&amp;"|"&amp;$AE1071,'ASIGNACIONES'!$J$4:$J$339,0)),""))=0,"",IFERROR(INDEX('ASIGNACIONES'!$F$4:$F$339,MATCH($O1071&amp;"|"&amp;$R1071&amp;"|"&amp;$AE1071,'ASIGNACIONES'!$J$4:$J$339,0)),"")))</f>
        <v/>
      </c>
      <c r="AG1071" s="13">
        <f>IF($AE1071="","",SUMIFS('ORDENES'!$M$4:$M$1203,'ORDENES'!$AE$4:$AE$1203,$AE1071,'ORDENES'!$O$4:$O$1203,$O1071,'ORDENES'!$R$4:$R$1203,$R1071))</f>
        <v/>
      </c>
      <c r="AH1071" s="13">
        <f>IF($AG1071="","",p_factor_productividad*IFERROR(INDEX('ASIGNACIONES'!$I$4:$I$339,MATCH($O1071&amp;"|"&amp;$R1071&amp;"|"&amp;$AE1071,'ASIGNACIONES'!$J$4:$J$339,0)),0)-$AG1071)</f>
        <v/>
      </c>
      <c r="AI1071" s="10">
        <f>IF($A1071="","",IFERROR(INDEX('2_IMPORTAR_EJECUCION'!$F$9:$F$1208,MATCH($AQ1071,'2_IMPORTAR_EJECUCION'!$J$9:$J$1208,0)),0))</f>
        <v/>
      </c>
      <c r="AJ1071" s="10">
        <f>IF($A1071="","",MAX(0,IFERROR(INDEX('2_IMPORTAR_EJECUCION'!$H$9:$H$1208,MATCH($AQ1071,'2_IMPORTAR_EJECUCION'!$J$9:$J$1208,0)),0)-$AI1071))</f>
        <v/>
      </c>
      <c r="AK1071" s="10">
        <f>IF($A1071="","",$AI1071+$AJ1071)</f>
        <v/>
      </c>
      <c r="AL1071" s="6" t="n"/>
      <c r="AM1071" s="6" t="n"/>
      <c r="AN1071" s="6" t="n"/>
      <c r="AO1071" s="3">
        <f>IF($AN1071="","",HYPERLINK(p_ruta_base_checklists&amp;$AN1071,"abrir"))</f>
        <v/>
      </c>
      <c r="AP1071" s="6" t="n"/>
      <c r="AQ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IF($A1072="","",IFERROR(INDEX('AJUSTES'!$B$4:$B$303,MATCH($AQ1072,'AJUSTES'!$A$4:$A$303,0)),IF($K1072="","",$K1072)))</f>
        <v/>
      </c>
      <c r="N1072" s="3">
        <f>IF($A1072="","",IFERROR(INDEX('CAT_ESTADOS_ERP'!$B$4:$B$7,MATCH(IFERROR(INDEX('2_IMPORTAR_EJECUCION'!$C$9:$C$1208,MATCH($AQ1072,'2_IMPORTAR_EJECUCION'!$J$9:$J$1208,0)),""),'CAT_ESTADOS_ERP'!$A$4:$A$7,0)),"Pendiente"))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J1072="","",IFERROR(INDEX('CALENDARIO'!$C$15:$C$214,MATCH(TEXT($J1072,"yyyy-mm-dd")&amp;"|"&amp;$V1072&amp;"|"&amp;$W1072,'CALENDARIO'!$G$15:$G$214,0)),IFERROR(INDEX('CALENDARIO'!$C$15:$C$214,MATCH(TEXT($J1072,"yyyy-mm-dd")&amp;"|"&amp;$V1072&amp;"|",'CALENDARIO'!$G$15:$G$214,0)),IFERROR(INDEX('CALENDARIO'!$C$15:$C$214,MATCH(TEXT($J1072,"yyyy-mm-dd")&amp;"||",'CALENDARIO'!$G$15:$G$214,0)),INDEX(patronHabil,WEEKDAY($J1072,2))))))</f>
        <v/>
      </c>
      <c r="T1072" s="3">
        <f>IF($I1072="","",IFERROR(INDEX('CAT_TIPOS_OT'!$C$4:$C$7,MATCH($I1072,'CAT_TIPOS_OT'!$A$4:$A$7,0)),"sin_clasificar"))</f>
        <v/>
      </c>
      <c r="U1072" s="3">
        <f>IF($F1072="","",IFERROR(INDEX('CAT_CENTROS_COSTO'!$F$4:$F$13,MATCH($F1072,'CAT_CENTROS_COSTO'!$A$4:$A$13,0)),"(sin catálogo)"))</f>
        <v/>
      </c>
      <c r="V1072" s="3">
        <f>IF($F1072="","",IFERROR(INDEX('CAT_CENTROS_COSTO'!$D$4:$D$13,MATCH($F1072,'CAT_CENTROS_COSTO'!$A$4:$A$13,0)),"(sin catálogo)"))</f>
        <v/>
      </c>
      <c r="W1072" s="3">
        <f>IF($F1072="","",IF((IFERROR(INDEX('CAT_CENTROS_COSTO'!$E$4:$E$13,MATCH($F1072,'CAT_CENTROS_COSTO'!$A$4:$A$13,0)),""))&lt;&gt;"",IFERROR(INDEX('CAT_CENTROS_COSTO'!$E$4:$E$13,MATCH($F1072,'CAT_CENTROS_COSTO'!$A$4:$A$13,0)),""),$V1072))</f>
        <v/>
      </c>
      <c r="X1072" s="3">
        <f>IF($F1072="","",IFERROR(INDEX('CAT_CENTROS_COSTO'!$G$4:$G$13,MATCH($F1072,'CAT_CENTROS_COSTO'!$A$4:$A$13,0)),"(sin catálogo)"))</f>
        <v/>
      </c>
      <c r="Y1072" s="3">
        <f>IF($G1072="","",IFERROR(INDEX('CAT_PUESTOS'!$B$4:$B$8,MATCH($G1072,'CAT_PUESTOS'!$A$4:$A$8,0)),"(sin catálogo)"))</f>
        <v/>
      </c>
      <c r="Z1072" s="3">
        <f>IF($H1072="","",IFERROR(INDEX('CAT_ACTIVIDADES'!$B$4:$B$8,MATCH($H1072,'CAT_ACTIVIDADES'!$A$4:$A$8,0)),"(sin catálogo)"))</f>
        <v/>
      </c>
      <c r="AA1072" s="12">
        <f>IF($J1072="","",TODAY()-$J1072)</f>
        <v/>
      </c>
      <c r="AB1072" s="12">
        <f>IF($J1072="","",IF($J1072&lt;=TODAY(),COUNTIFS(cal_fechas,"&gt;="&amp;$J1072,cal_fechas,"&lt;"&amp;TODAY(),cal_habil,"sí"),-COUNTIFS(cal_fechas,"&gt;="&amp;TODAY(),cal_fechas,"&lt;"&amp;$J1072,cal_habil,"sí")))</f>
        <v/>
      </c>
      <c r="AC1072" s="3">
        <f>IF($AB1072="","",IF($AB1072&lt;0,"FUTURO",IF($AB1072&gt;p_dias_backlog_max,"BACKLOG","MES CORRIENTE")))</f>
        <v/>
      </c>
      <c r="AD1072" s="3">
        <f>IF($AB1072="",FALSE,AND($AB1072&gt;p_dias_backlog_min,$AB1072&lt;=p_dias_backlog_max))</f>
        <v/>
      </c>
      <c r="AE1072" s="6" t="n"/>
      <c r="AF1072" s="3">
        <f>IF($AE1072="","",IF((IFERROR(INDEX('ASIGNACIONES'!$F$4:$F$339,MATCH($O1072&amp;"|"&amp;$R1072&amp;"|"&amp;$AE1072,'ASIGNACIONES'!$J$4:$J$339,0)),""))=0,"",IFERROR(INDEX('ASIGNACIONES'!$F$4:$F$339,MATCH($O1072&amp;"|"&amp;$R1072&amp;"|"&amp;$AE1072,'ASIGNACIONES'!$J$4:$J$339,0)),"")))</f>
        <v/>
      </c>
      <c r="AG1072" s="13">
        <f>IF($AE1072="","",SUMIFS('ORDENES'!$M$4:$M$1203,'ORDENES'!$AE$4:$AE$1203,$AE1072,'ORDENES'!$O$4:$O$1203,$O1072,'ORDENES'!$R$4:$R$1203,$R1072))</f>
        <v/>
      </c>
      <c r="AH1072" s="13">
        <f>IF($AG1072="","",p_factor_productividad*IFERROR(INDEX('ASIGNACIONES'!$I$4:$I$339,MATCH($O1072&amp;"|"&amp;$R1072&amp;"|"&amp;$AE1072,'ASIGNACIONES'!$J$4:$J$339,0)),0)-$AG1072)</f>
        <v/>
      </c>
      <c r="AI1072" s="10">
        <f>IF($A1072="","",IFERROR(INDEX('2_IMPORTAR_EJECUCION'!$F$9:$F$1208,MATCH($AQ1072,'2_IMPORTAR_EJECUCION'!$J$9:$J$1208,0)),0))</f>
        <v/>
      </c>
      <c r="AJ1072" s="10">
        <f>IF($A1072="","",MAX(0,IFERROR(INDEX('2_IMPORTAR_EJECUCION'!$H$9:$H$1208,MATCH($AQ1072,'2_IMPORTAR_EJECUCION'!$J$9:$J$1208,0)),0)-$AI1072))</f>
        <v/>
      </c>
      <c r="AK1072" s="10">
        <f>IF($A1072="","",$AI1072+$AJ1072)</f>
        <v/>
      </c>
      <c r="AL1072" s="6" t="n"/>
      <c r="AM1072" s="6" t="n"/>
      <c r="AN1072" s="6" t="n"/>
      <c r="AO1072" s="3">
        <f>IF($AN1072="","",HYPERLINK(p_ruta_base_checklists&amp;$AN1072,"abrir"))</f>
        <v/>
      </c>
      <c r="AP1072" s="6" t="n"/>
      <c r="AQ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IF($A1073="","",IFERROR(INDEX('AJUSTES'!$B$4:$B$303,MATCH($AQ1073,'AJUSTES'!$A$4:$A$303,0)),IF($K1073="","",$K1073)))</f>
        <v/>
      </c>
      <c r="N1073" s="3">
        <f>IF($A1073="","",IFERROR(INDEX('CAT_ESTADOS_ERP'!$B$4:$B$7,MATCH(IFERROR(INDEX('2_IMPORTAR_EJECUCION'!$C$9:$C$1208,MATCH($AQ1073,'2_IMPORTAR_EJECUCION'!$J$9:$J$1208,0)),""),'CAT_ESTADOS_ERP'!$A$4:$A$7,0)),"Pendiente"))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J1073="","",IFERROR(INDEX('CALENDARIO'!$C$15:$C$214,MATCH(TEXT($J1073,"yyyy-mm-dd")&amp;"|"&amp;$V1073&amp;"|"&amp;$W1073,'CALENDARIO'!$G$15:$G$214,0)),IFERROR(INDEX('CALENDARIO'!$C$15:$C$214,MATCH(TEXT($J1073,"yyyy-mm-dd")&amp;"|"&amp;$V1073&amp;"|",'CALENDARIO'!$G$15:$G$214,0)),IFERROR(INDEX('CALENDARIO'!$C$15:$C$214,MATCH(TEXT($J1073,"yyyy-mm-dd")&amp;"||",'CALENDARIO'!$G$15:$G$214,0)),INDEX(patronHabil,WEEKDAY($J1073,2))))))</f>
        <v/>
      </c>
      <c r="T1073" s="3">
        <f>IF($I1073="","",IFERROR(INDEX('CAT_TIPOS_OT'!$C$4:$C$7,MATCH($I1073,'CAT_TIPOS_OT'!$A$4:$A$7,0)),"sin_clasificar"))</f>
        <v/>
      </c>
      <c r="U1073" s="3">
        <f>IF($F1073="","",IFERROR(INDEX('CAT_CENTROS_COSTO'!$F$4:$F$13,MATCH($F1073,'CAT_CENTROS_COSTO'!$A$4:$A$13,0)),"(sin catálogo)"))</f>
        <v/>
      </c>
      <c r="V1073" s="3">
        <f>IF($F1073="","",IFERROR(INDEX('CAT_CENTROS_COSTO'!$D$4:$D$13,MATCH($F1073,'CAT_CENTROS_COSTO'!$A$4:$A$13,0)),"(sin catálogo)"))</f>
        <v/>
      </c>
      <c r="W1073" s="3">
        <f>IF($F1073="","",IF((IFERROR(INDEX('CAT_CENTROS_COSTO'!$E$4:$E$13,MATCH($F1073,'CAT_CENTROS_COSTO'!$A$4:$A$13,0)),""))&lt;&gt;"",IFERROR(INDEX('CAT_CENTROS_COSTO'!$E$4:$E$13,MATCH($F1073,'CAT_CENTROS_COSTO'!$A$4:$A$13,0)),""),$V1073))</f>
        <v/>
      </c>
      <c r="X1073" s="3">
        <f>IF($F1073="","",IFERROR(INDEX('CAT_CENTROS_COSTO'!$G$4:$G$13,MATCH($F1073,'CAT_CENTROS_COSTO'!$A$4:$A$13,0)),"(sin catálogo)"))</f>
        <v/>
      </c>
      <c r="Y1073" s="3">
        <f>IF($G1073="","",IFERROR(INDEX('CAT_PUESTOS'!$B$4:$B$8,MATCH($G1073,'CAT_PUESTOS'!$A$4:$A$8,0)),"(sin catálogo)"))</f>
        <v/>
      </c>
      <c r="Z1073" s="3">
        <f>IF($H1073="","",IFERROR(INDEX('CAT_ACTIVIDADES'!$B$4:$B$8,MATCH($H1073,'CAT_ACTIVIDADES'!$A$4:$A$8,0)),"(sin catálogo)"))</f>
        <v/>
      </c>
      <c r="AA1073" s="12">
        <f>IF($J1073="","",TODAY()-$J1073)</f>
        <v/>
      </c>
      <c r="AB1073" s="12">
        <f>IF($J1073="","",IF($J1073&lt;=TODAY(),COUNTIFS(cal_fechas,"&gt;="&amp;$J1073,cal_fechas,"&lt;"&amp;TODAY(),cal_habil,"sí"),-COUNTIFS(cal_fechas,"&gt;="&amp;TODAY(),cal_fechas,"&lt;"&amp;$J1073,cal_habil,"sí")))</f>
        <v/>
      </c>
      <c r="AC1073" s="3">
        <f>IF($AB1073="","",IF($AB1073&lt;0,"FUTURO",IF($AB1073&gt;p_dias_backlog_max,"BACKLOG","MES CORRIENTE")))</f>
        <v/>
      </c>
      <c r="AD1073" s="3">
        <f>IF($AB1073="",FALSE,AND($AB1073&gt;p_dias_backlog_min,$AB1073&lt;=p_dias_backlog_max))</f>
        <v/>
      </c>
      <c r="AE1073" s="6" t="n"/>
      <c r="AF1073" s="3">
        <f>IF($AE1073="","",IF((IFERROR(INDEX('ASIGNACIONES'!$F$4:$F$339,MATCH($O1073&amp;"|"&amp;$R1073&amp;"|"&amp;$AE1073,'ASIGNACIONES'!$J$4:$J$339,0)),""))=0,"",IFERROR(INDEX('ASIGNACIONES'!$F$4:$F$339,MATCH($O1073&amp;"|"&amp;$R1073&amp;"|"&amp;$AE1073,'ASIGNACIONES'!$J$4:$J$339,0)),"")))</f>
        <v/>
      </c>
      <c r="AG1073" s="13">
        <f>IF($AE1073="","",SUMIFS('ORDENES'!$M$4:$M$1203,'ORDENES'!$AE$4:$AE$1203,$AE1073,'ORDENES'!$O$4:$O$1203,$O1073,'ORDENES'!$R$4:$R$1203,$R1073))</f>
        <v/>
      </c>
      <c r="AH1073" s="13">
        <f>IF($AG1073="","",p_factor_productividad*IFERROR(INDEX('ASIGNACIONES'!$I$4:$I$339,MATCH($O1073&amp;"|"&amp;$R1073&amp;"|"&amp;$AE1073,'ASIGNACIONES'!$J$4:$J$339,0)),0)-$AG1073)</f>
        <v/>
      </c>
      <c r="AI1073" s="10">
        <f>IF($A1073="","",IFERROR(INDEX('2_IMPORTAR_EJECUCION'!$F$9:$F$1208,MATCH($AQ1073,'2_IMPORTAR_EJECUCION'!$J$9:$J$1208,0)),0))</f>
        <v/>
      </c>
      <c r="AJ1073" s="10">
        <f>IF($A1073="","",MAX(0,IFERROR(INDEX('2_IMPORTAR_EJECUCION'!$H$9:$H$1208,MATCH($AQ1073,'2_IMPORTAR_EJECUCION'!$J$9:$J$1208,0)),0)-$AI1073))</f>
        <v/>
      </c>
      <c r="AK1073" s="10">
        <f>IF($A1073="","",$AI1073+$AJ1073)</f>
        <v/>
      </c>
      <c r="AL1073" s="6" t="n"/>
      <c r="AM1073" s="6" t="n"/>
      <c r="AN1073" s="6" t="n"/>
      <c r="AO1073" s="3">
        <f>IF($AN1073="","",HYPERLINK(p_ruta_base_checklists&amp;$AN1073,"abrir"))</f>
        <v/>
      </c>
      <c r="AP1073" s="6" t="n"/>
      <c r="AQ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IF($A1074="","",IFERROR(INDEX('AJUSTES'!$B$4:$B$303,MATCH($AQ1074,'AJUSTES'!$A$4:$A$303,0)),IF($K1074="","",$K1074)))</f>
        <v/>
      </c>
      <c r="N1074" s="3">
        <f>IF($A1074="","",IFERROR(INDEX('CAT_ESTADOS_ERP'!$B$4:$B$7,MATCH(IFERROR(INDEX('2_IMPORTAR_EJECUCION'!$C$9:$C$1208,MATCH($AQ1074,'2_IMPORTAR_EJECUCION'!$J$9:$J$1208,0)),""),'CAT_ESTADOS_ERP'!$A$4:$A$7,0)),"Pendiente"))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J1074="","",IFERROR(INDEX('CALENDARIO'!$C$15:$C$214,MATCH(TEXT($J1074,"yyyy-mm-dd")&amp;"|"&amp;$V1074&amp;"|"&amp;$W1074,'CALENDARIO'!$G$15:$G$214,0)),IFERROR(INDEX('CALENDARIO'!$C$15:$C$214,MATCH(TEXT($J1074,"yyyy-mm-dd")&amp;"|"&amp;$V1074&amp;"|",'CALENDARIO'!$G$15:$G$214,0)),IFERROR(INDEX('CALENDARIO'!$C$15:$C$214,MATCH(TEXT($J1074,"yyyy-mm-dd")&amp;"||",'CALENDARIO'!$G$15:$G$214,0)),INDEX(patronHabil,WEEKDAY($J1074,2))))))</f>
        <v/>
      </c>
      <c r="T1074" s="3">
        <f>IF($I1074="","",IFERROR(INDEX('CAT_TIPOS_OT'!$C$4:$C$7,MATCH($I1074,'CAT_TIPOS_OT'!$A$4:$A$7,0)),"sin_clasificar"))</f>
        <v/>
      </c>
      <c r="U1074" s="3">
        <f>IF($F1074="","",IFERROR(INDEX('CAT_CENTROS_COSTO'!$F$4:$F$13,MATCH($F1074,'CAT_CENTROS_COSTO'!$A$4:$A$13,0)),"(sin catálogo)"))</f>
        <v/>
      </c>
      <c r="V1074" s="3">
        <f>IF($F1074="","",IFERROR(INDEX('CAT_CENTROS_COSTO'!$D$4:$D$13,MATCH($F1074,'CAT_CENTROS_COSTO'!$A$4:$A$13,0)),"(sin catálogo)"))</f>
        <v/>
      </c>
      <c r="W1074" s="3">
        <f>IF($F1074="","",IF((IFERROR(INDEX('CAT_CENTROS_COSTO'!$E$4:$E$13,MATCH($F1074,'CAT_CENTROS_COSTO'!$A$4:$A$13,0)),""))&lt;&gt;"",IFERROR(INDEX('CAT_CENTROS_COSTO'!$E$4:$E$13,MATCH($F1074,'CAT_CENTROS_COSTO'!$A$4:$A$13,0)),""),$V1074))</f>
        <v/>
      </c>
      <c r="X1074" s="3">
        <f>IF($F1074="","",IFERROR(INDEX('CAT_CENTROS_COSTO'!$G$4:$G$13,MATCH($F1074,'CAT_CENTROS_COSTO'!$A$4:$A$13,0)),"(sin catálogo)"))</f>
        <v/>
      </c>
      <c r="Y1074" s="3">
        <f>IF($G1074="","",IFERROR(INDEX('CAT_PUESTOS'!$B$4:$B$8,MATCH($G1074,'CAT_PUESTOS'!$A$4:$A$8,0)),"(sin catálogo)"))</f>
        <v/>
      </c>
      <c r="Z1074" s="3">
        <f>IF($H1074="","",IFERROR(INDEX('CAT_ACTIVIDADES'!$B$4:$B$8,MATCH($H1074,'CAT_ACTIVIDADES'!$A$4:$A$8,0)),"(sin catálogo)"))</f>
        <v/>
      </c>
      <c r="AA1074" s="12">
        <f>IF($J1074="","",TODAY()-$J1074)</f>
        <v/>
      </c>
      <c r="AB1074" s="12">
        <f>IF($J1074="","",IF($J1074&lt;=TODAY(),COUNTIFS(cal_fechas,"&gt;="&amp;$J1074,cal_fechas,"&lt;"&amp;TODAY(),cal_habil,"sí"),-COUNTIFS(cal_fechas,"&gt;="&amp;TODAY(),cal_fechas,"&lt;"&amp;$J1074,cal_habil,"sí")))</f>
        <v/>
      </c>
      <c r="AC1074" s="3">
        <f>IF($AB1074="","",IF($AB1074&lt;0,"FUTURO",IF($AB1074&gt;p_dias_backlog_max,"BACKLOG","MES CORRIENTE")))</f>
        <v/>
      </c>
      <c r="AD1074" s="3">
        <f>IF($AB1074="",FALSE,AND($AB1074&gt;p_dias_backlog_min,$AB1074&lt;=p_dias_backlog_max))</f>
        <v/>
      </c>
      <c r="AE1074" s="6" t="n"/>
      <c r="AF1074" s="3">
        <f>IF($AE1074="","",IF((IFERROR(INDEX('ASIGNACIONES'!$F$4:$F$339,MATCH($O1074&amp;"|"&amp;$R1074&amp;"|"&amp;$AE1074,'ASIGNACIONES'!$J$4:$J$339,0)),""))=0,"",IFERROR(INDEX('ASIGNACIONES'!$F$4:$F$339,MATCH($O1074&amp;"|"&amp;$R1074&amp;"|"&amp;$AE1074,'ASIGNACIONES'!$J$4:$J$339,0)),"")))</f>
        <v/>
      </c>
      <c r="AG1074" s="13">
        <f>IF($AE1074="","",SUMIFS('ORDENES'!$M$4:$M$1203,'ORDENES'!$AE$4:$AE$1203,$AE1074,'ORDENES'!$O$4:$O$1203,$O1074,'ORDENES'!$R$4:$R$1203,$R1074))</f>
        <v/>
      </c>
      <c r="AH1074" s="13">
        <f>IF($AG1074="","",p_factor_productividad*IFERROR(INDEX('ASIGNACIONES'!$I$4:$I$339,MATCH($O1074&amp;"|"&amp;$R1074&amp;"|"&amp;$AE1074,'ASIGNACIONES'!$J$4:$J$339,0)),0)-$AG1074)</f>
        <v/>
      </c>
      <c r="AI1074" s="10">
        <f>IF($A1074="","",IFERROR(INDEX('2_IMPORTAR_EJECUCION'!$F$9:$F$1208,MATCH($AQ1074,'2_IMPORTAR_EJECUCION'!$J$9:$J$1208,0)),0))</f>
        <v/>
      </c>
      <c r="AJ1074" s="10">
        <f>IF($A1074="","",MAX(0,IFERROR(INDEX('2_IMPORTAR_EJECUCION'!$H$9:$H$1208,MATCH($AQ1074,'2_IMPORTAR_EJECUCION'!$J$9:$J$1208,0)),0)-$AI1074))</f>
        <v/>
      </c>
      <c r="AK1074" s="10">
        <f>IF($A1074="","",$AI1074+$AJ1074)</f>
        <v/>
      </c>
      <c r="AL1074" s="6" t="n"/>
      <c r="AM1074" s="6" t="n"/>
      <c r="AN1074" s="6" t="n"/>
      <c r="AO1074" s="3">
        <f>IF($AN1074="","",HYPERLINK(p_ruta_base_checklists&amp;$AN1074,"abrir"))</f>
        <v/>
      </c>
      <c r="AP1074" s="6" t="n"/>
      <c r="AQ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IF($A1075="","",IFERROR(INDEX('AJUSTES'!$B$4:$B$303,MATCH($AQ1075,'AJUSTES'!$A$4:$A$303,0)),IF($K1075="","",$K1075)))</f>
        <v/>
      </c>
      <c r="N1075" s="3">
        <f>IF($A1075="","",IFERROR(INDEX('CAT_ESTADOS_ERP'!$B$4:$B$7,MATCH(IFERROR(INDEX('2_IMPORTAR_EJECUCION'!$C$9:$C$1208,MATCH($AQ1075,'2_IMPORTAR_EJECUCION'!$J$9:$J$1208,0)),""),'CAT_ESTADOS_ERP'!$A$4:$A$7,0)),"Pendiente"))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J1075="","",IFERROR(INDEX('CALENDARIO'!$C$15:$C$214,MATCH(TEXT($J1075,"yyyy-mm-dd")&amp;"|"&amp;$V1075&amp;"|"&amp;$W1075,'CALENDARIO'!$G$15:$G$214,0)),IFERROR(INDEX('CALENDARIO'!$C$15:$C$214,MATCH(TEXT($J1075,"yyyy-mm-dd")&amp;"|"&amp;$V1075&amp;"|",'CALENDARIO'!$G$15:$G$214,0)),IFERROR(INDEX('CALENDARIO'!$C$15:$C$214,MATCH(TEXT($J1075,"yyyy-mm-dd")&amp;"||",'CALENDARIO'!$G$15:$G$214,0)),INDEX(patronHabil,WEEKDAY($J1075,2))))))</f>
        <v/>
      </c>
      <c r="T1075" s="3">
        <f>IF($I1075="","",IFERROR(INDEX('CAT_TIPOS_OT'!$C$4:$C$7,MATCH($I1075,'CAT_TIPOS_OT'!$A$4:$A$7,0)),"sin_clasificar"))</f>
        <v/>
      </c>
      <c r="U1075" s="3">
        <f>IF($F1075="","",IFERROR(INDEX('CAT_CENTROS_COSTO'!$F$4:$F$13,MATCH($F1075,'CAT_CENTROS_COSTO'!$A$4:$A$13,0)),"(sin catálogo)"))</f>
        <v/>
      </c>
      <c r="V1075" s="3">
        <f>IF($F1075="","",IFERROR(INDEX('CAT_CENTROS_COSTO'!$D$4:$D$13,MATCH($F1075,'CAT_CENTROS_COSTO'!$A$4:$A$13,0)),"(sin catálogo)"))</f>
        <v/>
      </c>
      <c r="W1075" s="3">
        <f>IF($F1075="","",IF((IFERROR(INDEX('CAT_CENTROS_COSTO'!$E$4:$E$13,MATCH($F1075,'CAT_CENTROS_COSTO'!$A$4:$A$13,0)),""))&lt;&gt;"",IFERROR(INDEX('CAT_CENTROS_COSTO'!$E$4:$E$13,MATCH($F1075,'CAT_CENTROS_COSTO'!$A$4:$A$13,0)),""),$V1075))</f>
        <v/>
      </c>
      <c r="X1075" s="3">
        <f>IF($F1075="","",IFERROR(INDEX('CAT_CENTROS_COSTO'!$G$4:$G$13,MATCH($F1075,'CAT_CENTROS_COSTO'!$A$4:$A$13,0)),"(sin catálogo)"))</f>
        <v/>
      </c>
      <c r="Y1075" s="3">
        <f>IF($G1075="","",IFERROR(INDEX('CAT_PUESTOS'!$B$4:$B$8,MATCH($G1075,'CAT_PUESTOS'!$A$4:$A$8,0)),"(sin catálogo)"))</f>
        <v/>
      </c>
      <c r="Z1075" s="3">
        <f>IF($H1075="","",IFERROR(INDEX('CAT_ACTIVIDADES'!$B$4:$B$8,MATCH($H1075,'CAT_ACTIVIDADES'!$A$4:$A$8,0)),"(sin catálogo)"))</f>
        <v/>
      </c>
      <c r="AA1075" s="12">
        <f>IF($J1075="","",TODAY()-$J1075)</f>
        <v/>
      </c>
      <c r="AB1075" s="12">
        <f>IF($J1075="","",IF($J1075&lt;=TODAY(),COUNTIFS(cal_fechas,"&gt;="&amp;$J1075,cal_fechas,"&lt;"&amp;TODAY(),cal_habil,"sí"),-COUNTIFS(cal_fechas,"&gt;="&amp;TODAY(),cal_fechas,"&lt;"&amp;$J1075,cal_habil,"sí")))</f>
        <v/>
      </c>
      <c r="AC1075" s="3">
        <f>IF($AB1075="","",IF($AB1075&lt;0,"FUTURO",IF($AB1075&gt;p_dias_backlog_max,"BACKLOG","MES CORRIENTE")))</f>
        <v/>
      </c>
      <c r="AD1075" s="3">
        <f>IF($AB1075="",FALSE,AND($AB1075&gt;p_dias_backlog_min,$AB1075&lt;=p_dias_backlog_max))</f>
        <v/>
      </c>
      <c r="AE1075" s="6" t="n"/>
      <c r="AF1075" s="3">
        <f>IF($AE1075="","",IF((IFERROR(INDEX('ASIGNACIONES'!$F$4:$F$339,MATCH($O1075&amp;"|"&amp;$R1075&amp;"|"&amp;$AE1075,'ASIGNACIONES'!$J$4:$J$339,0)),""))=0,"",IFERROR(INDEX('ASIGNACIONES'!$F$4:$F$339,MATCH($O1075&amp;"|"&amp;$R1075&amp;"|"&amp;$AE1075,'ASIGNACIONES'!$J$4:$J$339,0)),"")))</f>
        <v/>
      </c>
      <c r="AG1075" s="13">
        <f>IF($AE1075="","",SUMIFS('ORDENES'!$M$4:$M$1203,'ORDENES'!$AE$4:$AE$1203,$AE1075,'ORDENES'!$O$4:$O$1203,$O1075,'ORDENES'!$R$4:$R$1203,$R1075))</f>
        <v/>
      </c>
      <c r="AH1075" s="13">
        <f>IF($AG1075="","",p_factor_productividad*IFERROR(INDEX('ASIGNACIONES'!$I$4:$I$339,MATCH($O1075&amp;"|"&amp;$R1075&amp;"|"&amp;$AE1075,'ASIGNACIONES'!$J$4:$J$339,0)),0)-$AG1075)</f>
        <v/>
      </c>
      <c r="AI1075" s="10">
        <f>IF($A1075="","",IFERROR(INDEX('2_IMPORTAR_EJECUCION'!$F$9:$F$1208,MATCH($AQ1075,'2_IMPORTAR_EJECUCION'!$J$9:$J$1208,0)),0))</f>
        <v/>
      </c>
      <c r="AJ1075" s="10">
        <f>IF($A1075="","",MAX(0,IFERROR(INDEX('2_IMPORTAR_EJECUCION'!$H$9:$H$1208,MATCH($AQ1075,'2_IMPORTAR_EJECUCION'!$J$9:$J$1208,0)),0)-$AI1075))</f>
        <v/>
      </c>
      <c r="AK1075" s="10">
        <f>IF($A1075="","",$AI1075+$AJ1075)</f>
        <v/>
      </c>
      <c r="AL1075" s="6" t="n"/>
      <c r="AM1075" s="6" t="n"/>
      <c r="AN1075" s="6" t="n"/>
      <c r="AO1075" s="3">
        <f>IF($AN1075="","",HYPERLINK(p_ruta_base_checklists&amp;$AN1075,"abrir"))</f>
        <v/>
      </c>
      <c r="AP1075" s="6" t="n"/>
      <c r="AQ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IF($A1076="","",IFERROR(INDEX('AJUSTES'!$B$4:$B$303,MATCH($AQ1076,'AJUSTES'!$A$4:$A$303,0)),IF($K1076="","",$K1076)))</f>
        <v/>
      </c>
      <c r="N1076" s="3">
        <f>IF($A1076="","",IFERROR(INDEX('CAT_ESTADOS_ERP'!$B$4:$B$7,MATCH(IFERROR(INDEX('2_IMPORTAR_EJECUCION'!$C$9:$C$1208,MATCH($AQ1076,'2_IMPORTAR_EJECUCION'!$J$9:$J$1208,0)),""),'CAT_ESTADOS_ERP'!$A$4:$A$7,0)),"Pendiente"))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J1076="","",IFERROR(INDEX('CALENDARIO'!$C$15:$C$214,MATCH(TEXT($J1076,"yyyy-mm-dd")&amp;"|"&amp;$V1076&amp;"|"&amp;$W1076,'CALENDARIO'!$G$15:$G$214,0)),IFERROR(INDEX('CALENDARIO'!$C$15:$C$214,MATCH(TEXT($J1076,"yyyy-mm-dd")&amp;"|"&amp;$V1076&amp;"|",'CALENDARIO'!$G$15:$G$214,0)),IFERROR(INDEX('CALENDARIO'!$C$15:$C$214,MATCH(TEXT($J1076,"yyyy-mm-dd")&amp;"||",'CALENDARIO'!$G$15:$G$214,0)),INDEX(patronHabil,WEEKDAY($J1076,2))))))</f>
        <v/>
      </c>
      <c r="T1076" s="3">
        <f>IF($I1076="","",IFERROR(INDEX('CAT_TIPOS_OT'!$C$4:$C$7,MATCH($I1076,'CAT_TIPOS_OT'!$A$4:$A$7,0)),"sin_clasificar"))</f>
        <v/>
      </c>
      <c r="U1076" s="3">
        <f>IF($F1076="","",IFERROR(INDEX('CAT_CENTROS_COSTO'!$F$4:$F$13,MATCH($F1076,'CAT_CENTROS_COSTO'!$A$4:$A$13,0)),"(sin catálogo)"))</f>
        <v/>
      </c>
      <c r="V1076" s="3">
        <f>IF($F1076="","",IFERROR(INDEX('CAT_CENTROS_COSTO'!$D$4:$D$13,MATCH($F1076,'CAT_CENTROS_COSTO'!$A$4:$A$13,0)),"(sin catálogo)"))</f>
        <v/>
      </c>
      <c r="W1076" s="3">
        <f>IF($F1076="","",IF((IFERROR(INDEX('CAT_CENTROS_COSTO'!$E$4:$E$13,MATCH($F1076,'CAT_CENTROS_COSTO'!$A$4:$A$13,0)),""))&lt;&gt;"",IFERROR(INDEX('CAT_CENTROS_COSTO'!$E$4:$E$13,MATCH($F1076,'CAT_CENTROS_COSTO'!$A$4:$A$13,0)),""),$V1076))</f>
        <v/>
      </c>
      <c r="X1076" s="3">
        <f>IF($F1076="","",IFERROR(INDEX('CAT_CENTROS_COSTO'!$G$4:$G$13,MATCH($F1076,'CAT_CENTROS_COSTO'!$A$4:$A$13,0)),"(sin catálogo)"))</f>
        <v/>
      </c>
      <c r="Y1076" s="3">
        <f>IF($G1076="","",IFERROR(INDEX('CAT_PUESTOS'!$B$4:$B$8,MATCH($G1076,'CAT_PUESTOS'!$A$4:$A$8,0)),"(sin catálogo)"))</f>
        <v/>
      </c>
      <c r="Z1076" s="3">
        <f>IF($H1076="","",IFERROR(INDEX('CAT_ACTIVIDADES'!$B$4:$B$8,MATCH($H1076,'CAT_ACTIVIDADES'!$A$4:$A$8,0)),"(sin catálogo)"))</f>
        <v/>
      </c>
      <c r="AA1076" s="12">
        <f>IF($J1076="","",TODAY()-$J1076)</f>
        <v/>
      </c>
      <c r="AB1076" s="12">
        <f>IF($J1076="","",IF($J1076&lt;=TODAY(),COUNTIFS(cal_fechas,"&gt;="&amp;$J1076,cal_fechas,"&lt;"&amp;TODAY(),cal_habil,"sí"),-COUNTIFS(cal_fechas,"&gt;="&amp;TODAY(),cal_fechas,"&lt;"&amp;$J1076,cal_habil,"sí")))</f>
        <v/>
      </c>
      <c r="AC1076" s="3">
        <f>IF($AB1076="","",IF($AB1076&lt;0,"FUTURO",IF($AB1076&gt;p_dias_backlog_max,"BACKLOG","MES CORRIENTE")))</f>
        <v/>
      </c>
      <c r="AD1076" s="3">
        <f>IF($AB1076="",FALSE,AND($AB1076&gt;p_dias_backlog_min,$AB1076&lt;=p_dias_backlog_max))</f>
        <v/>
      </c>
      <c r="AE1076" s="6" t="n"/>
      <c r="AF1076" s="3">
        <f>IF($AE1076="","",IF((IFERROR(INDEX('ASIGNACIONES'!$F$4:$F$339,MATCH($O1076&amp;"|"&amp;$R1076&amp;"|"&amp;$AE1076,'ASIGNACIONES'!$J$4:$J$339,0)),""))=0,"",IFERROR(INDEX('ASIGNACIONES'!$F$4:$F$339,MATCH($O1076&amp;"|"&amp;$R1076&amp;"|"&amp;$AE1076,'ASIGNACIONES'!$J$4:$J$339,0)),"")))</f>
        <v/>
      </c>
      <c r="AG1076" s="13">
        <f>IF($AE1076="","",SUMIFS('ORDENES'!$M$4:$M$1203,'ORDENES'!$AE$4:$AE$1203,$AE1076,'ORDENES'!$O$4:$O$1203,$O1076,'ORDENES'!$R$4:$R$1203,$R1076))</f>
        <v/>
      </c>
      <c r="AH1076" s="13">
        <f>IF($AG1076="","",p_factor_productividad*IFERROR(INDEX('ASIGNACIONES'!$I$4:$I$339,MATCH($O1076&amp;"|"&amp;$R1076&amp;"|"&amp;$AE1076,'ASIGNACIONES'!$J$4:$J$339,0)),0)-$AG1076)</f>
        <v/>
      </c>
      <c r="AI1076" s="10">
        <f>IF($A1076="","",IFERROR(INDEX('2_IMPORTAR_EJECUCION'!$F$9:$F$1208,MATCH($AQ1076,'2_IMPORTAR_EJECUCION'!$J$9:$J$1208,0)),0))</f>
        <v/>
      </c>
      <c r="AJ1076" s="10">
        <f>IF($A1076="","",MAX(0,IFERROR(INDEX('2_IMPORTAR_EJECUCION'!$H$9:$H$1208,MATCH($AQ1076,'2_IMPORTAR_EJECUCION'!$J$9:$J$1208,0)),0)-$AI1076))</f>
        <v/>
      </c>
      <c r="AK1076" s="10">
        <f>IF($A1076="","",$AI1076+$AJ1076)</f>
        <v/>
      </c>
      <c r="AL1076" s="6" t="n"/>
      <c r="AM1076" s="6" t="n"/>
      <c r="AN1076" s="6" t="n"/>
      <c r="AO1076" s="3">
        <f>IF($AN1076="","",HYPERLINK(p_ruta_base_checklists&amp;$AN1076,"abrir"))</f>
        <v/>
      </c>
      <c r="AP1076" s="6" t="n"/>
      <c r="AQ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IF($A1077="","",IFERROR(INDEX('AJUSTES'!$B$4:$B$303,MATCH($AQ1077,'AJUSTES'!$A$4:$A$303,0)),IF($K1077="","",$K1077)))</f>
        <v/>
      </c>
      <c r="N1077" s="3">
        <f>IF($A1077="","",IFERROR(INDEX('CAT_ESTADOS_ERP'!$B$4:$B$7,MATCH(IFERROR(INDEX('2_IMPORTAR_EJECUCION'!$C$9:$C$1208,MATCH($AQ1077,'2_IMPORTAR_EJECUCION'!$J$9:$J$1208,0)),""),'CAT_ESTADOS_ERP'!$A$4:$A$7,0)),"Pendiente"))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J1077="","",IFERROR(INDEX('CALENDARIO'!$C$15:$C$214,MATCH(TEXT($J1077,"yyyy-mm-dd")&amp;"|"&amp;$V1077&amp;"|"&amp;$W1077,'CALENDARIO'!$G$15:$G$214,0)),IFERROR(INDEX('CALENDARIO'!$C$15:$C$214,MATCH(TEXT($J1077,"yyyy-mm-dd")&amp;"|"&amp;$V1077&amp;"|",'CALENDARIO'!$G$15:$G$214,0)),IFERROR(INDEX('CALENDARIO'!$C$15:$C$214,MATCH(TEXT($J1077,"yyyy-mm-dd")&amp;"||",'CALENDARIO'!$G$15:$G$214,0)),INDEX(patronHabil,WEEKDAY($J1077,2))))))</f>
        <v/>
      </c>
      <c r="T1077" s="3">
        <f>IF($I1077="","",IFERROR(INDEX('CAT_TIPOS_OT'!$C$4:$C$7,MATCH($I1077,'CAT_TIPOS_OT'!$A$4:$A$7,0)),"sin_clasificar"))</f>
        <v/>
      </c>
      <c r="U1077" s="3">
        <f>IF($F1077="","",IFERROR(INDEX('CAT_CENTROS_COSTO'!$F$4:$F$13,MATCH($F1077,'CAT_CENTROS_COSTO'!$A$4:$A$13,0)),"(sin catálogo)"))</f>
        <v/>
      </c>
      <c r="V1077" s="3">
        <f>IF($F1077="","",IFERROR(INDEX('CAT_CENTROS_COSTO'!$D$4:$D$13,MATCH($F1077,'CAT_CENTROS_COSTO'!$A$4:$A$13,0)),"(sin catálogo)"))</f>
        <v/>
      </c>
      <c r="W1077" s="3">
        <f>IF($F1077="","",IF((IFERROR(INDEX('CAT_CENTROS_COSTO'!$E$4:$E$13,MATCH($F1077,'CAT_CENTROS_COSTO'!$A$4:$A$13,0)),""))&lt;&gt;"",IFERROR(INDEX('CAT_CENTROS_COSTO'!$E$4:$E$13,MATCH($F1077,'CAT_CENTROS_COSTO'!$A$4:$A$13,0)),""),$V1077))</f>
        <v/>
      </c>
      <c r="X1077" s="3">
        <f>IF($F1077="","",IFERROR(INDEX('CAT_CENTROS_COSTO'!$G$4:$G$13,MATCH($F1077,'CAT_CENTROS_COSTO'!$A$4:$A$13,0)),"(sin catálogo)"))</f>
        <v/>
      </c>
      <c r="Y1077" s="3">
        <f>IF($G1077="","",IFERROR(INDEX('CAT_PUESTOS'!$B$4:$B$8,MATCH($G1077,'CAT_PUESTOS'!$A$4:$A$8,0)),"(sin catálogo)"))</f>
        <v/>
      </c>
      <c r="Z1077" s="3">
        <f>IF($H1077="","",IFERROR(INDEX('CAT_ACTIVIDADES'!$B$4:$B$8,MATCH($H1077,'CAT_ACTIVIDADES'!$A$4:$A$8,0)),"(sin catálogo)"))</f>
        <v/>
      </c>
      <c r="AA1077" s="12">
        <f>IF($J1077="","",TODAY()-$J1077)</f>
        <v/>
      </c>
      <c r="AB1077" s="12">
        <f>IF($J1077="","",IF($J1077&lt;=TODAY(),COUNTIFS(cal_fechas,"&gt;="&amp;$J1077,cal_fechas,"&lt;"&amp;TODAY(),cal_habil,"sí"),-COUNTIFS(cal_fechas,"&gt;="&amp;TODAY(),cal_fechas,"&lt;"&amp;$J1077,cal_habil,"sí")))</f>
        <v/>
      </c>
      <c r="AC1077" s="3">
        <f>IF($AB1077="","",IF($AB1077&lt;0,"FUTURO",IF($AB1077&gt;p_dias_backlog_max,"BACKLOG","MES CORRIENTE")))</f>
        <v/>
      </c>
      <c r="AD1077" s="3">
        <f>IF($AB1077="",FALSE,AND($AB1077&gt;p_dias_backlog_min,$AB1077&lt;=p_dias_backlog_max))</f>
        <v/>
      </c>
      <c r="AE1077" s="6" t="n"/>
      <c r="AF1077" s="3">
        <f>IF($AE1077="","",IF((IFERROR(INDEX('ASIGNACIONES'!$F$4:$F$339,MATCH($O1077&amp;"|"&amp;$R1077&amp;"|"&amp;$AE1077,'ASIGNACIONES'!$J$4:$J$339,0)),""))=0,"",IFERROR(INDEX('ASIGNACIONES'!$F$4:$F$339,MATCH($O1077&amp;"|"&amp;$R1077&amp;"|"&amp;$AE1077,'ASIGNACIONES'!$J$4:$J$339,0)),"")))</f>
        <v/>
      </c>
      <c r="AG1077" s="13">
        <f>IF($AE1077="","",SUMIFS('ORDENES'!$M$4:$M$1203,'ORDENES'!$AE$4:$AE$1203,$AE1077,'ORDENES'!$O$4:$O$1203,$O1077,'ORDENES'!$R$4:$R$1203,$R1077))</f>
        <v/>
      </c>
      <c r="AH1077" s="13">
        <f>IF($AG1077="","",p_factor_productividad*IFERROR(INDEX('ASIGNACIONES'!$I$4:$I$339,MATCH($O1077&amp;"|"&amp;$R1077&amp;"|"&amp;$AE1077,'ASIGNACIONES'!$J$4:$J$339,0)),0)-$AG1077)</f>
        <v/>
      </c>
      <c r="AI1077" s="10">
        <f>IF($A1077="","",IFERROR(INDEX('2_IMPORTAR_EJECUCION'!$F$9:$F$1208,MATCH($AQ1077,'2_IMPORTAR_EJECUCION'!$J$9:$J$1208,0)),0))</f>
        <v/>
      </c>
      <c r="AJ1077" s="10">
        <f>IF($A1077="","",MAX(0,IFERROR(INDEX('2_IMPORTAR_EJECUCION'!$H$9:$H$1208,MATCH($AQ1077,'2_IMPORTAR_EJECUCION'!$J$9:$J$1208,0)),0)-$AI1077))</f>
        <v/>
      </c>
      <c r="AK1077" s="10">
        <f>IF($A1077="","",$AI1077+$AJ1077)</f>
        <v/>
      </c>
      <c r="AL1077" s="6" t="n"/>
      <c r="AM1077" s="6" t="n"/>
      <c r="AN1077" s="6" t="n"/>
      <c r="AO1077" s="3">
        <f>IF($AN1077="","",HYPERLINK(p_ruta_base_checklists&amp;$AN1077,"abrir"))</f>
        <v/>
      </c>
      <c r="AP1077" s="6" t="n"/>
      <c r="AQ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IF($A1078="","",IFERROR(INDEX('AJUSTES'!$B$4:$B$303,MATCH($AQ1078,'AJUSTES'!$A$4:$A$303,0)),IF($K1078="","",$K1078)))</f>
        <v/>
      </c>
      <c r="N1078" s="3">
        <f>IF($A1078="","",IFERROR(INDEX('CAT_ESTADOS_ERP'!$B$4:$B$7,MATCH(IFERROR(INDEX('2_IMPORTAR_EJECUCION'!$C$9:$C$1208,MATCH($AQ1078,'2_IMPORTAR_EJECUCION'!$J$9:$J$1208,0)),""),'CAT_ESTADOS_ERP'!$A$4:$A$7,0)),"Pendiente"))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J1078="","",IFERROR(INDEX('CALENDARIO'!$C$15:$C$214,MATCH(TEXT($J1078,"yyyy-mm-dd")&amp;"|"&amp;$V1078&amp;"|"&amp;$W1078,'CALENDARIO'!$G$15:$G$214,0)),IFERROR(INDEX('CALENDARIO'!$C$15:$C$214,MATCH(TEXT($J1078,"yyyy-mm-dd")&amp;"|"&amp;$V1078&amp;"|",'CALENDARIO'!$G$15:$G$214,0)),IFERROR(INDEX('CALENDARIO'!$C$15:$C$214,MATCH(TEXT($J1078,"yyyy-mm-dd")&amp;"||",'CALENDARIO'!$G$15:$G$214,0)),INDEX(patronHabil,WEEKDAY($J1078,2))))))</f>
        <v/>
      </c>
      <c r="T1078" s="3">
        <f>IF($I1078="","",IFERROR(INDEX('CAT_TIPOS_OT'!$C$4:$C$7,MATCH($I1078,'CAT_TIPOS_OT'!$A$4:$A$7,0)),"sin_clasificar"))</f>
        <v/>
      </c>
      <c r="U1078" s="3">
        <f>IF($F1078="","",IFERROR(INDEX('CAT_CENTROS_COSTO'!$F$4:$F$13,MATCH($F1078,'CAT_CENTROS_COSTO'!$A$4:$A$13,0)),"(sin catálogo)"))</f>
        <v/>
      </c>
      <c r="V1078" s="3">
        <f>IF($F1078="","",IFERROR(INDEX('CAT_CENTROS_COSTO'!$D$4:$D$13,MATCH($F1078,'CAT_CENTROS_COSTO'!$A$4:$A$13,0)),"(sin catálogo)"))</f>
        <v/>
      </c>
      <c r="W1078" s="3">
        <f>IF($F1078="","",IF((IFERROR(INDEX('CAT_CENTROS_COSTO'!$E$4:$E$13,MATCH($F1078,'CAT_CENTROS_COSTO'!$A$4:$A$13,0)),""))&lt;&gt;"",IFERROR(INDEX('CAT_CENTROS_COSTO'!$E$4:$E$13,MATCH($F1078,'CAT_CENTROS_COSTO'!$A$4:$A$13,0)),""),$V1078))</f>
        <v/>
      </c>
      <c r="X1078" s="3">
        <f>IF($F1078="","",IFERROR(INDEX('CAT_CENTROS_COSTO'!$G$4:$G$13,MATCH($F1078,'CAT_CENTROS_COSTO'!$A$4:$A$13,0)),"(sin catálogo)"))</f>
        <v/>
      </c>
      <c r="Y1078" s="3">
        <f>IF($G1078="","",IFERROR(INDEX('CAT_PUESTOS'!$B$4:$B$8,MATCH($G1078,'CAT_PUESTOS'!$A$4:$A$8,0)),"(sin catálogo)"))</f>
        <v/>
      </c>
      <c r="Z1078" s="3">
        <f>IF($H1078="","",IFERROR(INDEX('CAT_ACTIVIDADES'!$B$4:$B$8,MATCH($H1078,'CAT_ACTIVIDADES'!$A$4:$A$8,0)),"(sin catálogo)"))</f>
        <v/>
      </c>
      <c r="AA1078" s="12">
        <f>IF($J1078="","",TODAY()-$J1078)</f>
        <v/>
      </c>
      <c r="AB1078" s="12">
        <f>IF($J1078="","",IF($J1078&lt;=TODAY(),COUNTIFS(cal_fechas,"&gt;="&amp;$J1078,cal_fechas,"&lt;"&amp;TODAY(),cal_habil,"sí"),-COUNTIFS(cal_fechas,"&gt;="&amp;TODAY(),cal_fechas,"&lt;"&amp;$J1078,cal_habil,"sí")))</f>
        <v/>
      </c>
      <c r="AC1078" s="3">
        <f>IF($AB1078="","",IF($AB1078&lt;0,"FUTURO",IF($AB1078&gt;p_dias_backlog_max,"BACKLOG","MES CORRIENTE")))</f>
        <v/>
      </c>
      <c r="AD1078" s="3">
        <f>IF($AB1078="",FALSE,AND($AB1078&gt;p_dias_backlog_min,$AB1078&lt;=p_dias_backlog_max))</f>
        <v/>
      </c>
      <c r="AE1078" s="6" t="n"/>
      <c r="AF1078" s="3">
        <f>IF($AE1078="","",IF((IFERROR(INDEX('ASIGNACIONES'!$F$4:$F$339,MATCH($O1078&amp;"|"&amp;$R1078&amp;"|"&amp;$AE1078,'ASIGNACIONES'!$J$4:$J$339,0)),""))=0,"",IFERROR(INDEX('ASIGNACIONES'!$F$4:$F$339,MATCH($O1078&amp;"|"&amp;$R1078&amp;"|"&amp;$AE1078,'ASIGNACIONES'!$J$4:$J$339,0)),"")))</f>
        <v/>
      </c>
      <c r="AG1078" s="13">
        <f>IF($AE1078="","",SUMIFS('ORDENES'!$M$4:$M$1203,'ORDENES'!$AE$4:$AE$1203,$AE1078,'ORDENES'!$O$4:$O$1203,$O1078,'ORDENES'!$R$4:$R$1203,$R1078))</f>
        <v/>
      </c>
      <c r="AH1078" s="13">
        <f>IF($AG1078="","",p_factor_productividad*IFERROR(INDEX('ASIGNACIONES'!$I$4:$I$339,MATCH($O1078&amp;"|"&amp;$R1078&amp;"|"&amp;$AE1078,'ASIGNACIONES'!$J$4:$J$339,0)),0)-$AG1078)</f>
        <v/>
      </c>
      <c r="AI1078" s="10">
        <f>IF($A1078="","",IFERROR(INDEX('2_IMPORTAR_EJECUCION'!$F$9:$F$1208,MATCH($AQ1078,'2_IMPORTAR_EJECUCION'!$J$9:$J$1208,0)),0))</f>
        <v/>
      </c>
      <c r="AJ1078" s="10">
        <f>IF($A1078="","",MAX(0,IFERROR(INDEX('2_IMPORTAR_EJECUCION'!$H$9:$H$1208,MATCH($AQ1078,'2_IMPORTAR_EJECUCION'!$J$9:$J$1208,0)),0)-$AI1078))</f>
        <v/>
      </c>
      <c r="AK1078" s="10">
        <f>IF($A1078="","",$AI1078+$AJ1078)</f>
        <v/>
      </c>
      <c r="AL1078" s="6" t="n"/>
      <c r="AM1078" s="6" t="n"/>
      <c r="AN1078" s="6" t="n"/>
      <c r="AO1078" s="3">
        <f>IF($AN1078="","",HYPERLINK(p_ruta_base_checklists&amp;$AN1078,"abrir"))</f>
        <v/>
      </c>
      <c r="AP1078" s="6" t="n"/>
      <c r="AQ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IF($A1079="","",IFERROR(INDEX('AJUSTES'!$B$4:$B$303,MATCH($AQ1079,'AJUSTES'!$A$4:$A$303,0)),IF($K1079="","",$K1079)))</f>
        <v/>
      </c>
      <c r="N1079" s="3">
        <f>IF($A1079="","",IFERROR(INDEX('CAT_ESTADOS_ERP'!$B$4:$B$7,MATCH(IFERROR(INDEX('2_IMPORTAR_EJECUCION'!$C$9:$C$1208,MATCH($AQ1079,'2_IMPORTAR_EJECUCION'!$J$9:$J$1208,0)),""),'CAT_ESTADOS_ERP'!$A$4:$A$7,0)),"Pendiente"))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J1079="","",IFERROR(INDEX('CALENDARIO'!$C$15:$C$214,MATCH(TEXT($J1079,"yyyy-mm-dd")&amp;"|"&amp;$V1079&amp;"|"&amp;$W1079,'CALENDARIO'!$G$15:$G$214,0)),IFERROR(INDEX('CALENDARIO'!$C$15:$C$214,MATCH(TEXT($J1079,"yyyy-mm-dd")&amp;"|"&amp;$V1079&amp;"|",'CALENDARIO'!$G$15:$G$214,0)),IFERROR(INDEX('CALENDARIO'!$C$15:$C$214,MATCH(TEXT($J1079,"yyyy-mm-dd")&amp;"||",'CALENDARIO'!$G$15:$G$214,0)),INDEX(patronHabil,WEEKDAY($J1079,2))))))</f>
        <v/>
      </c>
      <c r="T1079" s="3">
        <f>IF($I1079="","",IFERROR(INDEX('CAT_TIPOS_OT'!$C$4:$C$7,MATCH($I1079,'CAT_TIPOS_OT'!$A$4:$A$7,0)),"sin_clasificar"))</f>
        <v/>
      </c>
      <c r="U1079" s="3">
        <f>IF($F1079="","",IFERROR(INDEX('CAT_CENTROS_COSTO'!$F$4:$F$13,MATCH($F1079,'CAT_CENTROS_COSTO'!$A$4:$A$13,0)),"(sin catálogo)"))</f>
        <v/>
      </c>
      <c r="V1079" s="3">
        <f>IF($F1079="","",IFERROR(INDEX('CAT_CENTROS_COSTO'!$D$4:$D$13,MATCH($F1079,'CAT_CENTROS_COSTO'!$A$4:$A$13,0)),"(sin catálogo)"))</f>
        <v/>
      </c>
      <c r="W1079" s="3">
        <f>IF($F1079="","",IF((IFERROR(INDEX('CAT_CENTROS_COSTO'!$E$4:$E$13,MATCH($F1079,'CAT_CENTROS_COSTO'!$A$4:$A$13,0)),""))&lt;&gt;"",IFERROR(INDEX('CAT_CENTROS_COSTO'!$E$4:$E$13,MATCH($F1079,'CAT_CENTROS_COSTO'!$A$4:$A$13,0)),""),$V1079))</f>
        <v/>
      </c>
      <c r="X1079" s="3">
        <f>IF($F1079="","",IFERROR(INDEX('CAT_CENTROS_COSTO'!$G$4:$G$13,MATCH($F1079,'CAT_CENTROS_COSTO'!$A$4:$A$13,0)),"(sin catálogo)"))</f>
        <v/>
      </c>
      <c r="Y1079" s="3">
        <f>IF($G1079="","",IFERROR(INDEX('CAT_PUESTOS'!$B$4:$B$8,MATCH($G1079,'CAT_PUESTOS'!$A$4:$A$8,0)),"(sin catálogo)"))</f>
        <v/>
      </c>
      <c r="Z1079" s="3">
        <f>IF($H1079="","",IFERROR(INDEX('CAT_ACTIVIDADES'!$B$4:$B$8,MATCH($H1079,'CAT_ACTIVIDADES'!$A$4:$A$8,0)),"(sin catálogo)"))</f>
        <v/>
      </c>
      <c r="AA1079" s="12">
        <f>IF($J1079="","",TODAY()-$J1079)</f>
        <v/>
      </c>
      <c r="AB1079" s="12">
        <f>IF($J1079="","",IF($J1079&lt;=TODAY(),COUNTIFS(cal_fechas,"&gt;="&amp;$J1079,cal_fechas,"&lt;"&amp;TODAY(),cal_habil,"sí"),-COUNTIFS(cal_fechas,"&gt;="&amp;TODAY(),cal_fechas,"&lt;"&amp;$J1079,cal_habil,"sí")))</f>
        <v/>
      </c>
      <c r="AC1079" s="3">
        <f>IF($AB1079="","",IF($AB1079&lt;0,"FUTURO",IF($AB1079&gt;p_dias_backlog_max,"BACKLOG","MES CORRIENTE")))</f>
        <v/>
      </c>
      <c r="AD1079" s="3">
        <f>IF($AB1079="",FALSE,AND($AB1079&gt;p_dias_backlog_min,$AB1079&lt;=p_dias_backlog_max))</f>
        <v/>
      </c>
      <c r="AE1079" s="6" t="n"/>
      <c r="AF1079" s="3">
        <f>IF($AE1079="","",IF((IFERROR(INDEX('ASIGNACIONES'!$F$4:$F$339,MATCH($O1079&amp;"|"&amp;$R1079&amp;"|"&amp;$AE1079,'ASIGNACIONES'!$J$4:$J$339,0)),""))=0,"",IFERROR(INDEX('ASIGNACIONES'!$F$4:$F$339,MATCH($O1079&amp;"|"&amp;$R1079&amp;"|"&amp;$AE1079,'ASIGNACIONES'!$J$4:$J$339,0)),"")))</f>
        <v/>
      </c>
      <c r="AG1079" s="13">
        <f>IF($AE1079="","",SUMIFS('ORDENES'!$M$4:$M$1203,'ORDENES'!$AE$4:$AE$1203,$AE1079,'ORDENES'!$O$4:$O$1203,$O1079,'ORDENES'!$R$4:$R$1203,$R1079))</f>
        <v/>
      </c>
      <c r="AH1079" s="13">
        <f>IF($AG1079="","",p_factor_productividad*IFERROR(INDEX('ASIGNACIONES'!$I$4:$I$339,MATCH($O1079&amp;"|"&amp;$R1079&amp;"|"&amp;$AE1079,'ASIGNACIONES'!$J$4:$J$339,0)),0)-$AG1079)</f>
        <v/>
      </c>
      <c r="AI1079" s="10">
        <f>IF($A1079="","",IFERROR(INDEX('2_IMPORTAR_EJECUCION'!$F$9:$F$1208,MATCH($AQ1079,'2_IMPORTAR_EJECUCION'!$J$9:$J$1208,0)),0))</f>
        <v/>
      </c>
      <c r="AJ1079" s="10">
        <f>IF($A1079="","",MAX(0,IFERROR(INDEX('2_IMPORTAR_EJECUCION'!$H$9:$H$1208,MATCH($AQ1079,'2_IMPORTAR_EJECUCION'!$J$9:$J$1208,0)),0)-$AI1079))</f>
        <v/>
      </c>
      <c r="AK1079" s="10">
        <f>IF($A1079="","",$AI1079+$AJ1079)</f>
        <v/>
      </c>
      <c r="AL1079" s="6" t="n"/>
      <c r="AM1079" s="6" t="n"/>
      <c r="AN1079" s="6" t="n"/>
      <c r="AO1079" s="3">
        <f>IF($AN1079="","",HYPERLINK(p_ruta_base_checklists&amp;$AN1079,"abrir"))</f>
        <v/>
      </c>
      <c r="AP1079" s="6" t="n"/>
      <c r="AQ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IF($A1080="","",IFERROR(INDEX('AJUSTES'!$B$4:$B$303,MATCH($AQ1080,'AJUSTES'!$A$4:$A$303,0)),IF($K1080="","",$K1080)))</f>
        <v/>
      </c>
      <c r="N1080" s="3">
        <f>IF($A1080="","",IFERROR(INDEX('CAT_ESTADOS_ERP'!$B$4:$B$7,MATCH(IFERROR(INDEX('2_IMPORTAR_EJECUCION'!$C$9:$C$1208,MATCH($AQ1080,'2_IMPORTAR_EJECUCION'!$J$9:$J$1208,0)),""),'CAT_ESTADOS_ERP'!$A$4:$A$7,0)),"Pendiente"))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J1080="","",IFERROR(INDEX('CALENDARIO'!$C$15:$C$214,MATCH(TEXT($J1080,"yyyy-mm-dd")&amp;"|"&amp;$V1080&amp;"|"&amp;$W1080,'CALENDARIO'!$G$15:$G$214,0)),IFERROR(INDEX('CALENDARIO'!$C$15:$C$214,MATCH(TEXT($J1080,"yyyy-mm-dd")&amp;"|"&amp;$V1080&amp;"|",'CALENDARIO'!$G$15:$G$214,0)),IFERROR(INDEX('CALENDARIO'!$C$15:$C$214,MATCH(TEXT($J1080,"yyyy-mm-dd")&amp;"||",'CALENDARIO'!$G$15:$G$214,0)),INDEX(patronHabil,WEEKDAY($J1080,2))))))</f>
        <v/>
      </c>
      <c r="T1080" s="3">
        <f>IF($I1080="","",IFERROR(INDEX('CAT_TIPOS_OT'!$C$4:$C$7,MATCH($I1080,'CAT_TIPOS_OT'!$A$4:$A$7,0)),"sin_clasificar"))</f>
        <v/>
      </c>
      <c r="U1080" s="3">
        <f>IF($F1080="","",IFERROR(INDEX('CAT_CENTROS_COSTO'!$F$4:$F$13,MATCH($F1080,'CAT_CENTROS_COSTO'!$A$4:$A$13,0)),"(sin catálogo)"))</f>
        <v/>
      </c>
      <c r="V1080" s="3">
        <f>IF($F1080="","",IFERROR(INDEX('CAT_CENTROS_COSTO'!$D$4:$D$13,MATCH($F1080,'CAT_CENTROS_COSTO'!$A$4:$A$13,0)),"(sin catálogo)"))</f>
        <v/>
      </c>
      <c r="W1080" s="3">
        <f>IF($F1080="","",IF((IFERROR(INDEX('CAT_CENTROS_COSTO'!$E$4:$E$13,MATCH($F1080,'CAT_CENTROS_COSTO'!$A$4:$A$13,0)),""))&lt;&gt;"",IFERROR(INDEX('CAT_CENTROS_COSTO'!$E$4:$E$13,MATCH($F1080,'CAT_CENTROS_COSTO'!$A$4:$A$13,0)),""),$V1080))</f>
        <v/>
      </c>
      <c r="X1080" s="3">
        <f>IF($F1080="","",IFERROR(INDEX('CAT_CENTROS_COSTO'!$G$4:$G$13,MATCH($F1080,'CAT_CENTROS_COSTO'!$A$4:$A$13,0)),"(sin catálogo)"))</f>
        <v/>
      </c>
      <c r="Y1080" s="3">
        <f>IF($G1080="","",IFERROR(INDEX('CAT_PUESTOS'!$B$4:$B$8,MATCH($G1080,'CAT_PUESTOS'!$A$4:$A$8,0)),"(sin catálogo)"))</f>
        <v/>
      </c>
      <c r="Z1080" s="3">
        <f>IF($H1080="","",IFERROR(INDEX('CAT_ACTIVIDADES'!$B$4:$B$8,MATCH($H1080,'CAT_ACTIVIDADES'!$A$4:$A$8,0)),"(sin catálogo)"))</f>
        <v/>
      </c>
      <c r="AA1080" s="12">
        <f>IF($J1080="","",TODAY()-$J1080)</f>
        <v/>
      </c>
      <c r="AB1080" s="12">
        <f>IF($J1080="","",IF($J1080&lt;=TODAY(),COUNTIFS(cal_fechas,"&gt;="&amp;$J1080,cal_fechas,"&lt;"&amp;TODAY(),cal_habil,"sí"),-COUNTIFS(cal_fechas,"&gt;="&amp;TODAY(),cal_fechas,"&lt;"&amp;$J1080,cal_habil,"sí")))</f>
        <v/>
      </c>
      <c r="AC1080" s="3">
        <f>IF($AB1080="","",IF($AB1080&lt;0,"FUTURO",IF($AB1080&gt;p_dias_backlog_max,"BACKLOG","MES CORRIENTE")))</f>
        <v/>
      </c>
      <c r="AD1080" s="3">
        <f>IF($AB1080="",FALSE,AND($AB1080&gt;p_dias_backlog_min,$AB1080&lt;=p_dias_backlog_max))</f>
        <v/>
      </c>
      <c r="AE1080" s="6" t="n"/>
      <c r="AF1080" s="3">
        <f>IF($AE1080="","",IF((IFERROR(INDEX('ASIGNACIONES'!$F$4:$F$339,MATCH($O1080&amp;"|"&amp;$R1080&amp;"|"&amp;$AE1080,'ASIGNACIONES'!$J$4:$J$339,0)),""))=0,"",IFERROR(INDEX('ASIGNACIONES'!$F$4:$F$339,MATCH($O1080&amp;"|"&amp;$R1080&amp;"|"&amp;$AE1080,'ASIGNACIONES'!$J$4:$J$339,0)),"")))</f>
        <v/>
      </c>
      <c r="AG1080" s="13">
        <f>IF($AE1080="","",SUMIFS('ORDENES'!$M$4:$M$1203,'ORDENES'!$AE$4:$AE$1203,$AE1080,'ORDENES'!$O$4:$O$1203,$O1080,'ORDENES'!$R$4:$R$1203,$R1080))</f>
        <v/>
      </c>
      <c r="AH1080" s="13">
        <f>IF($AG1080="","",p_factor_productividad*IFERROR(INDEX('ASIGNACIONES'!$I$4:$I$339,MATCH($O1080&amp;"|"&amp;$R1080&amp;"|"&amp;$AE1080,'ASIGNACIONES'!$J$4:$J$339,0)),0)-$AG1080)</f>
        <v/>
      </c>
      <c r="AI1080" s="10">
        <f>IF($A1080="","",IFERROR(INDEX('2_IMPORTAR_EJECUCION'!$F$9:$F$1208,MATCH($AQ1080,'2_IMPORTAR_EJECUCION'!$J$9:$J$1208,0)),0))</f>
        <v/>
      </c>
      <c r="AJ1080" s="10">
        <f>IF($A1080="","",MAX(0,IFERROR(INDEX('2_IMPORTAR_EJECUCION'!$H$9:$H$1208,MATCH($AQ1080,'2_IMPORTAR_EJECUCION'!$J$9:$J$1208,0)),0)-$AI1080))</f>
        <v/>
      </c>
      <c r="AK1080" s="10">
        <f>IF($A1080="","",$AI1080+$AJ1080)</f>
        <v/>
      </c>
      <c r="AL1080" s="6" t="n"/>
      <c r="AM1080" s="6" t="n"/>
      <c r="AN1080" s="6" t="n"/>
      <c r="AO1080" s="3">
        <f>IF($AN1080="","",HYPERLINK(p_ruta_base_checklists&amp;$AN1080,"abrir"))</f>
        <v/>
      </c>
      <c r="AP1080" s="6" t="n"/>
      <c r="AQ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IF($A1081="","",IFERROR(INDEX('AJUSTES'!$B$4:$B$303,MATCH($AQ1081,'AJUSTES'!$A$4:$A$303,0)),IF($K1081="","",$K1081)))</f>
        <v/>
      </c>
      <c r="N1081" s="3">
        <f>IF($A1081="","",IFERROR(INDEX('CAT_ESTADOS_ERP'!$B$4:$B$7,MATCH(IFERROR(INDEX('2_IMPORTAR_EJECUCION'!$C$9:$C$1208,MATCH($AQ1081,'2_IMPORTAR_EJECUCION'!$J$9:$J$1208,0)),""),'CAT_ESTADOS_ERP'!$A$4:$A$7,0)),"Pendiente"))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J1081="","",IFERROR(INDEX('CALENDARIO'!$C$15:$C$214,MATCH(TEXT($J1081,"yyyy-mm-dd")&amp;"|"&amp;$V1081&amp;"|"&amp;$W1081,'CALENDARIO'!$G$15:$G$214,0)),IFERROR(INDEX('CALENDARIO'!$C$15:$C$214,MATCH(TEXT($J1081,"yyyy-mm-dd")&amp;"|"&amp;$V1081&amp;"|",'CALENDARIO'!$G$15:$G$214,0)),IFERROR(INDEX('CALENDARIO'!$C$15:$C$214,MATCH(TEXT($J1081,"yyyy-mm-dd")&amp;"||",'CALENDARIO'!$G$15:$G$214,0)),INDEX(patronHabil,WEEKDAY($J1081,2))))))</f>
        <v/>
      </c>
      <c r="T1081" s="3">
        <f>IF($I1081="","",IFERROR(INDEX('CAT_TIPOS_OT'!$C$4:$C$7,MATCH($I1081,'CAT_TIPOS_OT'!$A$4:$A$7,0)),"sin_clasificar"))</f>
        <v/>
      </c>
      <c r="U1081" s="3">
        <f>IF($F1081="","",IFERROR(INDEX('CAT_CENTROS_COSTO'!$F$4:$F$13,MATCH($F1081,'CAT_CENTROS_COSTO'!$A$4:$A$13,0)),"(sin catálogo)"))</f>
        <v/>
      </c>
      <c r="V1081" s="3">
        <f>IF($F1081="","",IFERROR(INDEX('CAT_CENTROS_COSTO'!$D$4:$D$13,MATCH($F1081,'CAT_CENTROS_COSTO'!$A$4:$A$13,0)),"(sin catálogo)"))</f>
        <v/>
      </c>
      <c r="W1081" s="3">
        <f>IF($F1081="","",IF((IFERROR(INDEX('CAT_CENTROS_COSTO'!$E$4:$E$13,MATCH($F1081,'CAT_CENTROS_COSTO'!$A$4:$A$13,0)),""))&lt;&gt;"",IFERROR(INDEX('CAT_CENTROS_COSTO'!$E$4:$E$13,MATCH($F1081,'CAT_CENTROS_COSTO'!$A$4:$A$13,0)),""),$V1081))</f>
        <v/>
      </c>
      <c r="X1081" s="3">
        <f>IF($F1081="","",IFERROR(INDEX('CAT_CENTROS_COSTO'!$G$4:$G$13,MATCH($F1081,'CAT_CENTROS_COSTO'!$A$4:$A$13,0)),"(sin catálogo)"))</f>
        <v/>
      </c>
      <c r="Y1081" s="3">
        <f>IF($G1081="","",IFERROR(INDEX('CAT_PUESTOS'!$B$4:$B$8,MATCH($G1081,'CAT_PUESTOS'!$A$4:$A$8,0)),"(sin catálogo)"))</f>
        <v/>
      </c>
      <c r="Z1081" s="3">
        <f>IF($H1081="","",IFERROR(INDEX('CAT_ACTIVIDADES'!$B$4:$B$8,MATCH($H1081,'CAT_ACTIVIDADES'!$A$4:$A$8,0)),"(sin catálogo)"))</f>
        <v/>
      </c>
      <c r="AA1081" s="12">
        <f>IF($J1081="","",TODAY()-$J1081)</f>
        <v/>
      </c>
      <c r="AB1081" s="12">
        <f>IF($J1081="","",IF($J1081&lt;=TODAY(),COUNTIFS(cal_fechas,"&gt;="&amp;$J1081,cal_fechas,"&lt;"&amp;TODAY(),cal_habil,"sí"),-COUNTIFS(cal_fechas,"&gt;="&amp;TODAY(),cal_fechas,"&lt;"&amp;$J1081,cal_habil,"sí")))</f>
        <v/>
      </c>
      <c r="AC1081" s="3">
        <f>IF($AB1081="","",IF($AB1081&lt;0,"FUTURO",IF($AB1081&gt;p_dias_backlog_max,"BACKLOG","MES CORRIENTE")))</f>
        <v/>
      </c>
      <c r="AD1081" s="3">
        <f>IF($AB1081="",FALSE,AND($AB1081&gt;p_dias_backlog_min,$AB1081&lt;=p_dias_backlog_max))</f>
        <v/>
      </c>
      <c r="AE1081" s="6" t="n"/>
      <c r="AF1081" s="3">
        <f>IF($AE1081="","",IF((IFERROR(INDEX('ASIGNACIONES'!$F$4:$F$339,MATCH($O1081&amp;"|"&amp;$R1081&amp;"|"&amp;$AE1081,'ASIGNACIONES'!$J$4:$J$339,0)),""))=0,"",IFERROR(INDEX('ASIGNACIONES'!$F$4:$F$339,MATCH($O1081&amp;"|"&amp;$R1081&amp;"|"&amp;$AE1081,'ASIGNACIONES'!$J$4:$J$339,0)),"")))</f>
        <v/>
      </c>
      <c r="AG1081" s="13">
        <f>IF($AE1081="","",SUMIFS('ORDENES'!$M$4:$M$1203,'ORDENES'!$AE$4:$AE$1203,$AE1081,'ORDENES'!$O$4:$O$1203,$O1081,'ORDENES'!$R$4:$R$1203,$R1081))</f>
        <v/>
      </c>
      <c r="AH1081" s="13">
        <f>IF($AG1081="","",p_factor_productividad*IFERROR(INDEX('ASIGNACIONES'!$I$4:$I$339,MATCH($O1081&amp;"|"&amp;$R1081&amp;"|"&amp;$AE1081,'ASIGNACIONES'!$J$4:$J$339,0)),0)-$AG1081)</f>
        <v/>
      </c>
      <c r="AI1081" s="10">
        <f>IF($A1081="","",IFERROR(INDEX('2_IMPORTAR_EJECUCION'!$F$9:$F$1208,MATCH($AQ1081,'2_IMPORTAR_EJECUCION'!$J$9:$J$1208,0)),0))</f>
        <v/>
      </c>
      <c r="AJ1081" s="10">
        <f>IF($A1081="","",MAX(0,IFERROR(INDEX('2_IMPORTAR_EJECUCION'!$H$9:$H$1208,MATCH($AQ1081,'2_IMPORTAR_EJECUCION'!$J$9:$J$1208,0)),0)-$AI1081))</f>
        <v/>
      </c>
      <c r="AK1081" s="10">
        <f>IF($A1081="","",$AI1081+$AJ1081)</f>
        <v/>
      </c>
      <c r="AL1081" s="6" t="n"/>
      <c r="AM1081" s="6" t="n"/>
      <c r="AN1081" s="6" t="n"/>
      <c r="AO1081" s="3">
        <f>IF($AN1081="","",HYPERLINK(p_ruta_base_checklists&amp;$AN1081,"abrir"))</f>
        <v/>
      </c>
      <c r="AP1081" s="6" t="n"/>
      <c r="AQ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IF($A1082="","",IFERROR(INDEX('AJUSTES'!$B$4:$B$303,MATCH($AQ1082,'AJUSTES'!$A$4:$A$303,0)),IF($K1082="","",$K1082)))</f>
        <v/>
      </c>
      <c r="N1082" s="3">
        <f>IF($A1082="","",IFERROR(INDEX('CAT_ESTADOS_ERP'!$B$4:$B$7,MATCH(IFERROR(INDEX('2_IMPORTAR_EJECUCION'!$C$9:$C$1208,MATCH($AQ1082,'2_IMPORTAR_EJECUCION'!$J$9:$J$1208,0)),""),'CAT_ESTADOS_ERP'!$A$4:$A$7,0)),"Pendiente"))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J1082="","",IFERROR(INDEX('CALENDARIO'!$C$15:$C$214,MATCH(TEXT($J1082,"yyyy-mm-dd")&amp;"|"&amp;$V1082&amp;"|"&amp;$W1082,'CALENDARIO'!$G$15:$G$214,0)),IFERROR(INDEX('CALENDARIO'!$C$15:$C$214,MATCH(TEXT($J1082,"yyyy-mm-dd")&amp;"|"&amp;$V1082&amp;"|",'CALENDARIO'!$G$15:$G$214,0)),IFERROR(INDEX('CALENDARIO'!$C$15:$C$214,MATCH(TEXT($J1082,"yyyy-mm-dd")&amp;"||",'CALENDARIO'!$G$15:$G$214,0)),INDEX(patronHabil,WEEKDAY($J1082,2))))))</f>
        <v/>
      </c>
      <c r="T1082" s="3">
        <f>IF($I1082="","",IFERROR(INDEX('CAT_TIPOS_OT'!$C$4:$C$7,MATCH($I1082,'CAT_TIPOS_OT'!$A$4:$A$7,0)),"sin_clasificar"))</f>
        <v/>
      </c>
      <c r="U1082" s="3">
        <f>IF($F1082="","",IFERROR(INDEX('CAT_CENTROS_COSTO'!$F$4:$F$13,MATCH($F1082,'CAT_CENTROS_COSTO'!$A$4:$A$13,0)),"(sin catálogo)"))</f>
        <v/>
      </c>
      <c r="V1082" s="3">
        <f>IF($F1082="","",IFERROR(INDEX('CAT_CENTROS_COSTO'!$D$4:$D$13,MATCH($F1082,'CAT_CENTROS_COSTO'!$A$4:$A$13,0)),"(sin catálogo)"))</f>
        <v/>
      </c>
      <c r="W1082" s="3">
        <f>IF($F1082="","",IF((IFERROR(INDEX('CAT_CENTROS_COSTO'!$E$4:$E$13,MATCH($F1082,'CAT_CENTROS_COSTO'!$A$4:$A$13,0)),""))&lt;&gt;"",IFERROR(INDEX('CAT_CENTROS_COSTO'!$E$4:$E$13,MATCH($F1082,'CAT_CENTROS_COSTO'!$A$4:$A$13,0)),""),$V1082))</f>
        <v/>
      </c>
      <c r="X1082" s="3">
        <f>IF($F1082="","",IFERROR(INDEX('CAT_CENTROS_COSTO'!$G$4:$G$13,MATCH($F1082,'CAT_CENTROS_COSTO'!$A$4:$A$13,0)),"(sin catálogo)"))</f>
        <v/>
      </c>
      <c r="Y1082" s="3">
        <f>IF($G1082="","",IFERROR(INDEX('CAT_PUESTOS'!$B$4:$B$8,MATCH($G1082,'CAT_PUESTOS'!$A$4:$A$8,0)),"(sin catálogo)"))</f>
        <v/>
      </c>
      <c r="Z1082" s="3">
        <f>IF($H1082="","",IFERROR(INDEX('CAT_ACTIVIDADES'!$B$4:$B$8,MATCH($H1082,'CAT_ACTIVIDADES'!$A$4:$A$8,0)),"(sin catálogo)"))</f>
        <v/>
      </c>
      <c r="AA1082" s="12">
        <f>IF($J1082="","",TODAY()-$J1082)</f>
        <v/>
      </c>
      <c r="AB1082" s="12">
        <f>IF($J1082="","",IF($J1082&lt;=TODAY(),COUNTIFS(cal_fechas,"&gt;="&amp;$J1082,cal_fechas,"&lt;"&amp;TODAY(),cal_habil,"sí"),-COUNTIFS(cal_fechas,"&gt;="&amp;TODAY(),cal_fechas,"&lt;"&amp;$J1082,cal_habil,"sí")))</f>
        <v/>
      </c>
      <c r="AC1082" s="3">
        <f>IF($AB1082="","",IF($AB1082&lt;0,"FUTURO",IF($AB1082&gt;p_dias_backlog_max,"BACKLOG","MES CORRIENTE")))</f>
        <v/>
      </c>
      <c r="AD1082" s="3">
        <f>IF($AB1082="",FALSE,AND($AB1082&gt;p_dias_backlog_min,$AB1082&lt;=p_dias_backlog_max))</f>
        <v/>
      </c>
      <c r="AE1082" s="6" t="n"/>
      <c r="AF1082" s="3">
        <f>IF($AE1082="","",IF((IFERROR(INDEX('ASIGNACIONES'!$F$4:$F$339,MATCH($O1082&amp;"|"&amp;$R1082&amp;"|"&amp;$AE1082,'ASIGNACIONES'!$J$4:$J$339,0)),""))=0,"",IFERROR(INDEX('ASIGNACIONES'!$F$4:$F$339,MATCH($O1082&amp;"|"&amp;$R1082&amp;"|"&amp;$AE1082,'ASIGNACIONES'!$J$4:$J$339,0)),"")))</f>
        <v/>
      </c>
      <c r="AG1082" s="13">
        <f>IF($AE1082="","",SUMIFS('ORDENES'!$M$4:$M$1203,'ORDENES'!$AE$4:$AE$1203,$AE1082,'ORDENES'!$O$4:$O$1203,$O1082,'ORDENES'!$R$4:$R$1203,$R1082))</f>
        <v/>
      </c>
      <c r="AH1082" s="13">
        <f>IF($AG1082="","",p_factor_productividad*IFERROR(INDEX('ASIGNACIONES'!$I$4:$I$339,MATCH($O1082&amp;"|"&amp;$R1082&amp;"|"&amp;$AE1082,'ASIGNACIONES'!$J$4:$J$339,0)),0)-$AG1082)</f>
        <v/>
      </c>
      <c r="AI1082" s="10">
        <f>IF($A1082="","",IFERROR(INDEX('2_IMPORTAR_EJECUCION'!$F$9:$F$1208,MATCH($AQ1082,'2_IMPORTAR_EJECUCION'!$J$9:$J$1208,0)),0))</f>
        <v/>
      </c>
      <c r="AJ1082" s="10">
        <f>IF($A1082="","",MAX(0,IFERROR(INDEX('2_IMPORTAR_EJECUCION'!$H$9:$H$1208,MATCH($AQ1082,'2_IMPORTAR_EJECUCION'!$J$9:$J$1208,0)),0)-$AI1082))</f>
        <v/>
      </c>
      <c r="AK1082" s="10">
        <f>IF($A1082="","",$AI1082+$AJ1082)</f>
        <v/>
      </c>
      <c r="AL1082" s="6" t="n"/>
      <c r="AM1082" s="6" t="n"/>
      <c r="AN1082" s="6" t="n"/>
      <c r="AO1082" s="3">
        <f>IF($AN1082="","",HYPERLINK(p_ruta_base_checklists&amp;$AN1082,"abrir"))</f>
        <v/>
      </c>
      <c r="AP1082" s="6" t="n"/>
      <c r="AQ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IF($A1083="","",IFERROR(INDEX('AJUSTES'!$B$4:$B$303,MATCH($AQ1083,'AJUSTES'!$A$4:$A$303,0)),IF($K1083="","",$K1083)))</f>
        <v/>
      </c>
      <c r="N1083" s="3">
        <f>IF($A1083="","",IFERROR(INDEX('CAT_ESTADOS_ERP'!$B$4:$B$7,MATCH(IFERROR(INDEX('2_IMPORTAR_EJECUCION'!$C$9:$C$1208,MATCH($AQ1083,'2_IMPORTAR_EJECUCION'!$J$9:$J$1208,0)),""),'CAT_ESTADOS_ERP'!$A$4:$A$7,0)),"Pendiente"))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J1083="","",IFERROR(INDEX('CALENDARIO'!$C$15:$C$214,MATCH(TEXT($J1083,"yyyy-mm-dd")&amp;"|"&amp;$V1083&amp;"|"&amp;$W1083,'CALENDARIO'!$G$15:$G$214,0)),IFERROR(INDEX('CALENDARIO'!$C$15:$C$214,MATCH(TEXT($J1083,"yyyy-mm-dd")&amp;"|"&amp;$V1083&amp;"|",'CALENDARIO'!$G$15:$G$214,0)),IFERROR(INDEX('CALENDARIO'!$C$15:$C$214,MATCH(TEXT($J1083,"yyyy-mm-dd")&amp;"||",'CALENDARIO'!$G$15:$G$214,0)),INDEX(patronHabil,WEEKDAY($J1083,2))))))</f>
        <v/>
      </c>
      <c r="T1083" s="3">
        <f>IF($I1083="","",IFERROR(INDEX('CAT_TIPOS_OT'!$C$4:$C$7,MATCH($I1083,'CAT_TIPOS_OT'!$A$4:$A$7,0)),"sin_clasificar"))</f>
        <v/>
      </c>
      <c r="U1083" s="3">
        <f>IF($F1083="","",IFERROR(INDEX('CAT_CENTROS_COSTO'!$F$4:$F$13,MATCH($F1083,'CAT_CENTROS_COSTO'!$A$4:$A$13,0)),"(sin catálogo)"))</f>
        <v/>
      </c>
      <c r="V1083" s="3">
        <f>IF($F1083="","",IFERROR(INDEX('CAT_CENTROS_COSTO'!$D$4:$D$13,MATCH($F1083,'CAT_CENTROS_COSTO'!$A$4:$A$13,0)),"(sin catálogo)"))</f>
        <v/>
      </c>
      <c r="W1083" s="3">
        <f>IF($F1083="","",IF((IFERROR(INDEX('CAT_CENTROS_COSTO'!$E$4:$E$13,MATCH($F1083,'CAT_CENTROS_COSTO'!$A$4:$A$13,0)),""))&lt;&gt;"",IFERROR(INDEX('CAT_CENTROS_COSTO'!$E$4:$E$13,MATCH($F1083,'CAT_CENTROS_COSTO'!$A$4:$A$13,0)),""),$V1083))</f>
        <v/>
      </c>
      <c r="X1083" s="3">
        <f>IF($F1083="","",IFERROR(INDEX('CAT_CENTROS_COSTO'!$G$4:$G$13,MATCH($F1083,'CAT_CENTROS_COSTO'!$A$4:$A$13,0)),"(sin catálogo)"))</f>
        <v/>
      </c>
      <c r="Y1083" s="3">
        <f>IF($G1083="","",IFERROR(INDEX('CAT_PUESTOS'!$B$4:$B$8,MATCH($G1083,'CAT_PUESTOS'!$A$4:$A$8,0)),"(sin catálogo)"))</f>
        <v/>
      </c>
      <c r="Z1083" s="3">
        <f>IF($H1083="","",IFERROR(INDEX('CAT_ACTIVIDADES'!$B$4:$B$8,MATCH($H1083,'CAT_ACTIVIDADES'!$A$4:$A$8,0)),"(sin catálogo)"))</f>
        <v/>
      </c>
      <c r="AA1083" s="12">
        <f>IF($J1083="","",TODAY()-$J1083)</f>
        <v/>
      </c>
      <c r="AB1083" s="12">
        <f>IF($J1083="","",IF($J1083&lt;=TODAY(),COUNTIFS(cal_fechas,"&gt;="&amp;$J1083,cal_fechas,"&lt;"&amp;TODAY(),cal_habil,"sí"),-COUNTIFS(cal_fechas,"&gt;="&amp;TODAY(),cal_fechas,"&lt;"&amp;$J1083,cal_habil,"sí")))</f>
        <v/>
      </c>
      <c r="AC1083" s="3">
        <f>IF($AB1083="","",IF($AB1083&lt;0,"FUTURO",IF($AB1083&gt;p_dias_backlog_max,"BACKLOG","MES CORRIENTE")))</f>
        <v/>
      </c>
      <c r="AD1083" s="3">
        <f>IF($AB1083="",FALSE,AND($AB1083&gt;p_dias_backlog_min,$AB1083&lt;=p_dias_backlog_max))</f>
        <v/>
      </c>
      <c r="AE1083" s="6" t="n"/>
      <c r="AF1083" s="3">
        <f>IF($AE1083="","",IF((IFERROR(INDEX('ASIGNACIONES'!$F$4:$F$339,MATCH($O1083&amp;"|"&amp;$R1083&amp;"|"&amp;$AE1083,'ASIGNACIONES'!$J$4:$J$339,0)),""))=0,"",IFERROR(INDEX('ASIGNACIONES'!$F$4:$F$339,MATCH($O1083&amp;"|"&amp;$R1083&amp;"|"&amp;$AE1083,'ASIGNACIONES'!$J$4:$J$339,0)),"")))</f>
        <v/>
      </c>
      <c r="AG1083" s="13">
        <f>IF($AE1083="","",SUMIFS('ORDENES'!$M$4:$M$1203,'ORDENES'!$AE$4:$AE$1203,$AE1083,'ORDENES'!$O$4:$O$1203,$O1083,'ORDENES'!$R$4:$R$1203,$R1083))</f>
        <v/>
      </c>
      <c r="AH1083" s="13">
        <f>IF($AG1083="","",p_factor_productividad*IFERROR(INDEX('ASIGNACIONES'!$I$4:$I$339,MATCH($O1083&amp;"|"&amp;$R1083&amp;"|"&amp;$AE1083,'ASIGNACIONES'!$J$4:$J$339,0)),0)-$AG1083)</f>
        <v/>
      </c>
      <c r="AI1083" s="10">
        <f>IF($A1083="","",IFERROR(INDEX('2_IMPORTAR_EJECUCION'!$F$9:$F$1208,MATCH($AQ1083,'2_IMPORTAR_EJECUCION'!$J$9:$J$1208,0)),0))</f>
        <v/>
      </c>
      <c r="AJ1083" s="10">
        <f>IF($A1083="","",MAX(0,IFERROR(INDEX('2_IMPORTAR_EJECUCION'!$H$9:$H$1208,MATCH($AQ1083,'2_IMPORTAR_EJECUCION'!$J$9:$J$1208,0)),0)-$AI1083))</f>
        <v/>
      </c>
      <c r="AK1083" s="10">
        <f>IF($A1083="","",$AI1083+$AJ1083)</f>
        <v/>
      </c>
      <c r="AL1083" s="6" t="n"/>
      <c r="AM1083" s="6" t="n"/>
      <c r="AN1083" s="6" t="n"/>
      <c r="AO1083" s="3">
        <f>IF($AN1083="","",HYPERLINK(p_ruta_base_checklists&amp;$AN1083,"abrir"))</f>
        <v/>
      </c>
      <c r="AP1083" s="6" t="n"/>
      <c r="AQ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IF($A1084="","",IFERROR(INDEX('AJUSTES'!$B$4:$B$303,MATCH($AQ1084,'AJUSTES'!$A$4:$A$303,0)),IF($K1084="","",$K1084)))</f>
        <v/>
      </c>
      <c r="N1084" s="3">
        <f>IF($A1084="","",IFERROR(INDEX('CAT_ESTADOS_ERP'!$B$4:$B$7,MATCH(IFERROR(INDEX('2_IMPORTAR_EJECUCION'!$C$9:$C$1208,MATCH($AQ1084,'2_IMPORTAR_EJECUCION'!$J$9:$J$1208,0)),""),'CAT_ESTADOS_ERP'!$A$4:$A$7,0)),"Pendiente"))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J1084="","",IFERROR(INDEX('CALENDARIO'!$C$15:$C$214,MATCH(TEXT($J1084,"yyyy-mm-dd")&amp;"|"&amp;$V1084&amp;"|"&amp;$W1084,'CALENDARIO'!$G$15:$G$214,0)),IFERROR(INDEX('CALENDARIO'!$C$15:$C$214,MATCH(TEXT($J1084,"yyyy-mm-dd")&amp;"|"&amp;$V1084&amp;"|",'CALENDARIO'!$G$15:$G$214,0)),IFERROR(INDEX('CALENDARIO'!$C$15:$C$214,MATCH(TEXT($J1084,"yyyy-mm-dd")&amp;"||",'CALENDARIO'!$G$15:$G$214,0)),INDEX(patronHabil,WEEKDAY($J1084,2))))))</f>
        <v/>
      </c>
      <c r="T1084" s="3">
        <f>IF($I1084="","",IFERROR(INDEX('CAT_TIPOS_OT'!$C$4:$C$7,MATCH($I1084,'CAT_TIPOS_OT'!$A$4:$A$7,0)),"sin_clasificar"))</f>
        <v/>
      </c>
      <c r="U1084" s="3">
        <f>IF($F1084="","",IFERROR(INDEX('CAT_CENTROS_COSTO'!$F$4:$F$13,MATCH($F1084,'CAT_CENTROS_COSTO'!$A$4:$A$13,0)),"(sin catálogo)"))</f>
        <v/>
      </c>
      <c r="V1084" s="3">
        <f>IF($F1084="","",IFERROR(INDEX('CAT_CENTROS_COSTO'!$D$4:$D$13,MATCH($F1084,'CAT_CENTROS_COSTO'!$A$4:$A$13,0)),"(sin catálogo)"))</f>
        <v/>
      </c>
      <c r="W1084" s="3">
        <f>IF($F1084="","",IF((IFERROR(INDEX('CAT_CENTROS_COSTO'!$E$4:$E$13,MATCH($F1084,'CAT_CENTROS_COSTO'!$A$4:$A$13,0)),""))&lt;&gt;"",IFERROR(INDEX('CAT_CENTROS_COSTO'!$E$4:$E$13,MATCH($F1084,'CAT_CENTROS_COSTO'!$A$4:$A$13,0)),""),$V1084))</f>
        <v/>
      </c>
      <c r="X1084" s="3">
        <f>IF($F1084="","",IFERROR(INDEX('CAT_CENTROS_COSTO'!$G$4:$G$13,MATCH($F1084,'CAT_CENTROS_COSTO'!$A$4:$A$13,0)),"(sin catálogo)"))</f>
        <v/>
      </c>
      <c r="Y1084" s="3">
        <f>IF($G1084="","",IFERROR(INDEX('CAT_PUESTOS'!$B$4:$B$8,MATCH($G1084,'CAT_PUESTOS'!$A$4:$A$8,0)),"(sin catálogo)"))</f>
        <v/>
      </c>
      <c r="Z1084" s="3">
        <f>IF($H1084="","",IFERROR(INDEX('CAT_ACTIVIDADES'!$B$4:$B$8,MATCH($H1084,'CAT_ACTIVIDADES'!$A$4:$A$8,0)),"(sin catálogo)"))</f>
        <v/>
      </c>
      <c r="AA1084" s="12">
        <f>IF($J1084="","",TODAY()-$J1084)</f>
        <v/>
      </c>
      <c r="AB1084" s="12">
        <f>IF($J1084="","",IF($J1084&lt;=TODAY(),COUNTIFS(cal_fechas,"&gt;="&amp;$J1084,cal_fechas,"&lt;"&amp;TODAY(),cal_habil,"sí"),-COUNTIFS(cal_fechas,"&gt;="&amp;TODAY(),cal_fechas,"&lt;"&amp;$J1084,cal_habil,"sí")))</f>
        <v/>
      </c>
      <c r="AC1084" s="3">
        <f>IF($AB1084="","",IF($AB1084&lt;0,"FUTURO",IF($AB1084&gt;p_dias_backlog_max,"BACKLOG","MES CORRIENTE")))</f>
        <v/>
      </c>
      <c r="AD1084" s="3">
        <f>IF($AB1084="",FALSE,AND($AB1084&gt;p_dias_backlog_min,$AB1084&lt;=p_dias_backlog_max))</f>
        <v/>
      </c>
      <c r="AE1084" s="6" t="n"/>
      <c r="AF1084" s="3">
        <f>IF($AE1084="","",IF((IFERROR(INDEX('ASIGNACIONES'!$F$4:$F$339,MATCH($O1084&amp;"|"&amp;$R1084&amp;"|"&amp;$AE1084,'ASIGNACIONES'!$J$4:$J$339,0)),""))=0,"",IFERROR(INDEX('ASIGNACIONES'!$F$4:$F$339,MATCH($O1084&amp;"|"&amp;$R1084&amp;"|"&amp;$AE1084,'ASIGNACIONES'!$J$4:$J$339,0)),"")))</f>
        <v/>
      </c>
      <c r="AG1084" s="13">
        <f>IF($AE1084="","",SUMIFS('ORDENES'!$M$4:$M$1203,'ORDENES'!$AE$4:$AE$1203,$AE1084,'ORDENES'!$O$4:$O$1203,$O1084,'ORDENES'!$R$4:$R$1203,$R1084))</f>
        <v/>
      </c>
      <c r="AH1084" s="13">
        <f>IF($AG1084="","",p_factor_productividad*IFERROR(INDEX('ASIGNACIONES'!$I$4:$I$339,MATCH($O1084&amp;"|"&amp;$R1084&amp;"|"&amp;$AE1084,'ASIGNACIONES'!$J$4:$J$339,0)),0)-$AG1084)</f>
        <v/>
      </c>
      <c r="AI1084" s="10">
        <f>IF($A1084="","",IFERROR(INDEX('2_IMPORTAR_EJECUCION'!$F$9:$F$1208,MATCH($AQ1084,'2_IMPORTAR_EJECUCION'!$J$9:$J$1208,0)),0))</f>
        <v/>
      </c>
      <c r="AJ1084" s="10">
        <f>IF($A1084="","",MAX(0,IFERROR(INDEX('2_IMPORTAR_EJECUCION'!$H$9:$H$1208,MATCH($AQ1084,'2_IMPORTAR_EJECUCION'!$J$9:$J$1208,0)),0)-$AI1084))</f>
        <v/>
      </c>
      <c r="AK1084" s="10">
        <f>IF($A1084="","",$AI1084+$AJ1084)</f>
        <v/>
      </c>
      <c r="AL1084" s="6" t="n"/>
      <c r="AM1084" s="6" t="n"/>
      <c r="AN1084" s="6" t="n"/>
      <c r="AO1084" s="3">
        <f>IF($AN1084="","",HYPERLINK(p_ruta_base_checklists&amp;$AN1084,"abrir"))</f>
        <v/>
      </c>
      <c r="AP1084" s="6" t="n"/>
      <c r="AQ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IF($A1085="","",IFERROR(INDEX('AJUSTES'!$B$4:$B$303,MATCH($AQ1085,'AJUSTES'!$A$4:$A$303,0)),IF($K1085="","",$K1085)))</f>
        <v/>
      </c>
      <c r="N1085" s="3">
        <f>IF($A1085="","",IFERROR(INDEX('CAT_ESTADOS_ERP'!$B$4:$B$7,MATCH(IFERROR(INDEX('2_IMPORTAR_EJECUCION'!$C$9:$C$1208,MATCH($AQ1085,'2_IMPORTAR_EJECUCION'!$J$9:$J$1208,0)),""),'CAT_ESTADOS_ERP'!$A$4:$A$7,0)),"Pendiente"))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J1085="","",IFERROR(INDEX('CALENDARIO'!$C$15:$C$214,MATCH(TEXT($J1085,"yyyy-mm-dd")&amp;"|"&amp;$V1085&amp;"|"&amp;$W1085,'CALENDARIO'!$G$15:$G$214,0)),IFERROR(INDEX('CALENDARIO'!$C$15:$C$214,MATCH(TEXT($J1085,"yyyy-mm-dd")&amp;"|"&amp;$V1085&amp;"|",'CALENDARIO'!$G$15:$G$214,0)),IFERROR(INDEX('CALENDARIO'!$C$15:$C$214,MATCH(TEXT($J1085,"yyyy-mm-dd")&amp;"||",'CALENDARIO'!$G$15:$G$214,0)),INDEX(patronHabil,WEEKDAY($J1085,2))))))</f>
        <v/>
      </c>
      <c r="T1085" s="3">
        <f>IF($I1085="","",IFERROR(INDEX('CAT_TIPOS_OT'!$C$4:$C$7,MATCH($I1085,'CAT_TIPOS_OT'!$A$4:$A$7,0)),"sin_clasificar"))</f>
        <v/>
      </c>
      <c r="U1085" s="3">
        <f>IF($F1085="","",IFERROR(INDEX('CAT_CENTROS_COSTO'!$F$4:$F$13,MATCH($F1085,'CAT_CENTROS_COSTO'!$A$4:$A$13,0)),"(sin catálogo)"))</f>
        <v/>
      </c>
      <c r="V1085" s="3">
        <f>IF($F1085="","",IFERROR(INDEX('CAT_CENTROS_COSTO'!$D$4:$D$13,MATCH($F1085,'CAT_CENTROS_COSTO'!$A$4:$A$13,0)),"(sin catálogo)"))</f>
        <v/>
      </c>
      <c r="W1085" s="3">
        <f>IF($F1085="","",IF((IFERROR(INDEX('CAT_CENTROS_COSTO'!$E$4:$E$13,MATCH($F1085,'CAT_CENTROS_COSTO'!$A$4:$A$13,0)),""))&lt;&gt;"",IFERROR(INDEX('CAT_CENTROS_COSTO'!$E$4:$E$13,MATCH($F1085,'CAT_CENTROS_COSTO'!$A$4:$A$13,0)),""),$V1085))</f>
        <v/>
      </c>
      <c r="X1085" s="3">
        <f>IF($F1085="","",IFERROR(INDEX('CAT_CENTROS_COSTO'!$G$4:$G$13,MATCH($F1085,'CAT_CENTROS_COSTO'!$A$4:$A$13,0)),"(sin catálogo)"))</f>
        <v/>
      </c>
      <c r="Y1085" s="3">
        <f>IF($G1085="","",IFERROR(INDEX('CAT_PUESTOS'!$B$4:$B$8,MATCH($G1085,'CAT_PUESTOS'!$A$4:$A$8,0)),"(sin catálogo)"))</f>
        <v/>
      </c>
      <c r="Z1085" s="3">
        <f>IF($H1085="","",IFERROR(INDEX('CAT_ACTIVIDADES'!$B$4:$B$8,MATCH($H1085,'CAT_ACTIVIDADES'!$A$4:$A$8,0)),"(sin catálogo)"))</f>
        <v/>
      </c>
      <c r="AA1085" s="12">
        <f>IF($J1085="","",TODAY()-$J1085)</f>
        <v/>
      </c>
      <c r="AB1085" s="12">
        <f>IF($J1085="","",IF($J1085&lt;=TODAY(),COUNTIFS(cal_fechas,"&gt;="&amp;$J1085,cal_fechas,"&lt;"&amp;TODAY(),cal_habil,"sí"),-COUNTIFS(cal_fechas,"&gt;="&amp;TODAY(),cal_fechas,"&lt;"&amp;$J1085,cal_habil,"sí")))</f>
        <v/>
      </c>
      <c r="AC1085" s="3">
        <f>IF($AB1085="","",IF($AB1085&lt;0,"FUTURO",IF($AB1085&gt;p_dias_backlog_max,"BACKLOG","MES CORRIENTE")))</f>
        <v/>
      </c>
      <c r="AD1085" s="3">
        <f>IF($AB1085="",FALSE,AND($AB1085&gt;p_dias_backlog_min,$AB1085&lt;=p_dias_backlog_max))</f>
        <v/>
      </c>
      <c r="AE1085" s="6" t="n"/>
      <c r="AF1085" s="3">
        <f>IF($AE1085="","",IF((IFERROR(INDEX('ASIGNACIONES'!$F$4:$F$339,MATCH($O1085&amp;"|"&amp;$R1085&amp;"|"&amp;$AE1085,'ASIGNACIONES'!$J$4:$J$339,0)),""))=0,"",IFERROR(INDEX('ASIGNACIONES'!$F$4:$F$339,MATCH($O1085&amp;"|"&amp;$R1085&amp;"|"&amp;$AE1085,'ASIGNACIONES'!$J$4:$J$339,0)),"")))</f>
        <v/>
      </c>
      <c r="AG1085" s="13">
        <f>IF($AE1085="","",SUMIFS('ORDENES'!$M$4:$M$1203,'ORDENES'!$AE$4:$AE$1203,$AE1085,'ORDENES'!$O$4:$O$1203,$O1085,'ORDENES'!$R$4:$R$1203,$R1085))</f>
        <v/>
      </c>
      <c r="AH1085" s="13">
        <f>IF($AG1085="","",p_factor_productividad*IFERROR(INDEX('ASIGNACIONES'!$I$4:$I$339,MATCH($O1085&amp;"|"&amp;$R1085&amp;"|"&amp;$AE1085,'ASIGNACIONES'!$J$4:$J$339,0)),0)-$AG1085)</f>
        <v/>
      </c>
      <c r="AI1085" s="10">
        <f>IF($A1085="","",IFERROR(INDEX('2_IMPORTAR_EJECUCION'!$F$9:$F$1208,MATCH($AQ1085,'2_IMPORTAR_EJECUCION'!$J$9:$J$1208,0)),0))</f>
        <v/>
      </c>
      <c r="AJ1085" s="10">
        <f>IF($A1085="","",MAX(0,IFERROR(INDEX('2_IMPORTAR_EJECUCION'!$H$9:$H$1208,MATCH($AQ1085,'2_IMPORTAR_EJECUCION'!$J$9:$J$1208,0)),0)-$AI1085))</f>
        <v/>
      </c>
      <c r="AK1085" s="10">
        <f>IF($A1085="","",$AI1085+$AJ1085)</f>
        <v/>
      </c>
      <c r="AL1085" s="6" t="n"/>
      <c r="AM1085" s="6" t="n"/>
      <c r="AN1085" s="6" t="n"/>
      <c r="AO1085" s="3">
        <f>IF($AN1085="","",HYPERLINK(p_ruta_base_checklists&amp;$AN1085,"abrir"))</f>
        <v/>
      </c>
      <c r="AP1085" s="6" t="n"/>
      <c r="AQ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IF($A1086="","",IFERROR(INDEX('AJUSTES'!$B$4:$B$303,MATCH($AQ1086,'AJUSTES'!$A$4:$A$303,0)),IF($K1086="","",$K1086)))</f>
        <v/>
      </c>
      <c r="N1086" s="3">
        <f>IF($A1086="","",IFERROR(INDEX('CAT_ESTADOS_ERP'!$B$4:$B$7,MATCH(IFERROR(INDEX('2_IMPORTAR_EJECUCION'!$C$9:$C$1208,MATCH($AQ1086,'2_IMPORTAR_EJECUCION'!$J$9:$J$1208,0)),""),'CAT_ESTADOS_ERP'!$A$4:$A$7,0)),"Pendiente"))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J1086="","",IFERROR(INDEX('CALENDARIO'!$C$15:$C$214,MATCH(TEXT($J1086,"yyyy-mm-dd")&amp;"|"&amp;$V1086&amp;"|"&amp;$W1086,'CALENDARIO'!$G$15:$G$214,0)),IFERROR(INDEX('CALENDARIO'!$C$15:$C$214,MATCH(TEXT($J1086,"yyyy-mm-dd")&amp;"|"&amp;$V1086&amp;"|",'CALENDARIO'!$G$15:$G$214,0)),IFERROR(INDEX('CALENDARIO'!$C$15:$C$214,MATCH(TEXT($J1086,"yyyy-mm-dd")&amp;"||",'CALENDARIO'!$G$15:$G$214,0)),INDEX(patronHabil,WEEKDAY($J1086,2))))))</f>
        <v/>
      </c>
      <c r="T1086" s="3">
        <f>IF($I1086="","",IFERROR(INDEX('CAT_TIPOS_OT'!$C$4:$C$7,MATCH($I1086,'CAT_TIPOS_OT'!$A$4:$A$7,0)),"sin_clasificar"))</f>
        <v/>
      </c>
      <c r="U1086" s="3">
        <f>IF($F1086="","",IFERROR(INDEX('CAT_CENTROS_COSTO'!$F$4:$F$13,MATCH($F1086,'CAT_CENTROS_COSTO'!$A$4:$A$13,0)),"(sin catálogo)"))</f>
        <v/>
      </c>
      <c r="V1086" s="3">
        <f>IF($F1086="","",IFERROR(INDEX('CAT_CENTROS_COSTO'!$D$4:$D$13,MATCH($F1086,'CAT_CENTROS_COSTO'!$A$4:$A$13,0)),"(sin catálogo)"))</f>
        <v/>
      </c>
      <c r="W1086" s="3">
        <f>IF($F1086="","",IF((IFERROR(INDEX('CAT_CENTROS_COSTO'!$E$4:$E$13,MATCH($F1086,'CAT_CENTROS_COSTO'!$A$4:$A$13,0)),""))&lt;&gt;"",IFERROR(INDEX('CAT_CENTROS_COSTO'!$E$4:$E$13,MATCH($F1086,'CAT_CENTROS_COSTO'!$A$4:$A$13,0)),""),$V1086))</f>
        <v/>
      </c>
      <c r="X1086" s="3">
        <f>IF($F1086="","",IFERROR(INDEX('CAT_CENTROS_COSTO'!$G$4:$G$13,MATCH($F1086,'CAT_CENTROS_COSTO'!$A$4:$A$13,0)),"(sin catálogo)"))</f>
        <v/>
      </c>
      <c r="Y1086" s="3">
        <f>IF($G1086="","",IFERROR(INDEX('CAT_PUESTOS'!$B$4:$B$8,MATCH($G1086,'CAT_PUESTOS'!$A$4:$A$8,0)),"(sin catálogo)"))</f>
        <v/>
      </c>
      <c r="Z1086" s="3">
        <f>IF($H1086="","",IFERROR(INDEX('CAT_ACTIVIDADES'!$B$4:$B$8,MATCH($H1086,'CAT_ACTIVIDADES'!$A$4:$A$8,0)),"(sin catálogo)"))</f>
        <v/>
      </c>
      <c r="AA1086" s="12">
        <f>IF($J1086="","",TODAY()-$J1086)</f>
        <v/>
      </c>
      <c r="AB1086" s="12">
        <f>IF($J1086="","",IF($J1086&lt;=TODAY(),COUNTIFS(cal_fechas,"&gt;="&amp;$J1086,cal_fechas,"&lt;"&amp;TODAY(),cal_habil,"sí"),-COUNTIFS(cal_fechas,"&gt;="&amp;TODAY(),cal_fechas,"&lt;"&amp;$J1086,cal_habil,"sí")))</f>
        <v/>
      </c>
      <c r="AC1086" s="3">
        <f>IF($AB1086="","",IF($AB1086&lt;0,"FUTURO",IF($AB1086&gt;p_dias_backlog_max,"BACKLOG","MES CORRIENTE")))</f>
        <v/>
      </c>
      <c r="AD1086" s="3">
        <f>IF($AB1086="",FALSE,AND($AB1086&gt;p_dias_backlog_min,$AB1086&lt;=p_dias_backlog_max))</f>
        <v/>
      </c>
      <c r="AE1086" s="6" t="n"/>
      <c r="AF1086" s="3">
        <f>IF($AE1086="","",IF((IFERROR(INDEX('ASIGNACIONES'!$F$4:$F$339,MATCH($O1086&amp;"|"&amp;$R1086&amp;"|"&amp;$AE1086,'ASIGNACIONES'!$J$4:$J$339,0)),""))=0,"",IFERROR(INDEX('ASIGNACIONES'!$F$4:$F$339,MATCH($O1086&amp;"|"&amp;$R1086&amp;"|"&amp;$AE1086,'ASIGNACIONES'!$J$4:$J$339,0)),"")))</f>
        <v/>
      </c>
      <c r="AG1086" s="13">
        <f>IF($AE1086="","",SUMIFS('ORDENES'!$M$4:$M$1203,'ORDENES'!$AE$4:$AE$1203,$AE1086,'ORDENES'!$O$4:$O$1203,$O1086,'ORDENES'!$R$4:$R$1203,$R1086))</f>
        <v/>
      </c>
      <c r="AH1086" s="13">
        <f>IF($AG1086="","",p_factor_productividad*IFERROR(INDEX('ASIGNACIONES'!$I$4:$I$339,MATCH($O1086&amp;"|"&amp;$R1086&amp;"|"&amp;$AE1086,'ASIGNACIONES'!$J$4:$J$339,0)),0)-$AG1086)</f>
        <v/>
      </c>
      <c r="AI1086" s="10">
        <f>IF($A1086="","",IFERROR(INDEX('2_IMPORTAR_EJECUCION'!$F$9:$F$1208,MATCH($AQ1086,'2_IMPORTAR_EJECUCION'!$J$9:$J$1208,0)),0))</f>
        <v/>
      </c>
      <c r="AJ1086" s="10">
        <f>IF($A1086="","",MAX(0,IFERROR(INDEX('2_IMPORTAR_EJECUCION'!$H$9:$H$1208,MATCH($AQ1086,'2_IMPORTAR_EJECUCION'!$J$9:$J$1208,0)),0)-$AI1086))</f>
        <v/>
      </c>
      <c r="AK1086" s="10">
        <f>IF($A1086="","",$AI1086+$AJ1086)</f>
        <v/>
      </c>
      <c r="AL1086" s="6" t="n"/>
      <c r="AM1086" s="6" t="n"/>
      <c r="AN1086" s="6" t="n"/>
      <c r="AO1086" s="3">
        <f>IF($AN1086="","",HYPERLINK(p_ruta_base_checklists&amp;$AN1086,"abrir"))</f>
        <v/>
      </c>
      <c r="AP1086" s="6" t="n"/>
      <c r="AQ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IF($A1087="","",IFERROR(INDEX('AJUSTES'!$B$4:$B$303,MATCH($AQ1087,'AJUSTES'!$A$4:$A$303,0)),IF($K1087="","",$K1087)))</f>
        <v/>
      </c>
      <c r="N1087" s="3">
        <f>IF($A1087="","",IFERROR(INDEX('CAT_ESTADOS_ERP'!$B$4:$B$7,MATCH(IFERROR(INDEX('2_IMPORTAR_EJECUCION'!$C$9:$C$1208,MATCH($AQ1087,'2_IMPORTAR_EJECUCION'!$J$9:$J$1208,0)),""),'CAT_ESTADOS_ERP'!$A$4:$A$7,0)),"Pendiente"))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J1087="","",IFERROR(INDEX('CALENDARIO'!$C$15:$C$214,MATCH(TEXT($J1087,"yyyy-mm-dd")&amp;"|"&amp;$V1087&amp;"|"&amp;$W1087,'CALENDARIO'!$G$15:$G$214,0)),IFERROR(INDEX('CALENDARIO'!$C$15:$C$214,MATCH(TEXT($J1087,"yyyy-mm-dd")&amp;"|"&amp;$V1087&amp;"|",'CALENDARIO'!$G$15:$G$214,0)),IFERROR(INDEX('CALENDARIO'!$C$15:$C$214,MATCH(TEXT($J1087,"yyyy-mm-dd")&amp;"||",'CALENDARIO'!$G$15:$G$214,0)),INDEX(patronHabil,WEEKDAY($J1087,2))))))</f>
        <v/>
      </c>
      <c r="T1087" s="3">
        <f>IF($I1087="","",IFERROR(INDEX('CAT_TIPOS_OT'!$C$4:$C$7,MATCH($I1087,'CAT_TIPOS_OT'!$A$4:$A$7,0)),"sin_clasificar"))</f>
        <v/>
      </c>
      <c r="U1087" s="3">
        <f>IF($F1087="","",IFERROR(INDEX('CAT_CENTROS_COSTO'!$F$4:$F$13,MATCH($F1087,'CAT_CENTROS_COSTO'!$A$4:$A$13,0)),"(sin catálogo)"))</f>
        <v/>
      </c>
      <c r="V1087" s="3">
        <f>IF($F1087="","",IFERROR(INDEX('CAT_CENTROS_COSTO'!$D$4:$D$13,MATCH($F1087,'CAT_CENTROS_COSTO'!$A$4:$A$13,0)),"(sin catálogo)"))</f>
        <v/>
      </c>
      <c r="W1087" s="3">
        <f>IF($F1087="","",IF((IFERROR(INDEX('CAT_CENTROS_COSTO'!$E$4:$E$13,MATCH($F1087,'CAT_CENTROS_COSTO'!$A$4:$A$13,0)),""))&lt;&gt;"",IFERROR(INDEX('CAT_CENTROS_COSTO'!$E$4:$E$13,MATCH($F1087,'CAT_CENTROS_COSTO'!$A$4:$A$13,0)),""),$V1087))</f>
        <v/>
      </c>
      <c r="X1087" s="3">
        <f>IF($F1087="","",IFERROR(INDEX('CAT_CENTROS_COSTO'!$G$4:$G$13,MATCH($F1087,'CAT_CENTROS_COSTO'!$A$4:$A$13,0)),"(sin catálogo)"))</f>
        <v/>
      </c>
      <c r="Y1087" s="3">
        <f>IF($G1087="","",IFERROR(INDEX('CAT_PUESTOS'!$B$4:$B$8,MATCH($G1087,'CAT_PUESTOS'!$A$4:$A$8,0)),"(sin catálogo)"))</f>
        <v/>
      </c>
      <c r="Z1087" s="3">
        <f>IF($H1087="","",IFERROR(INDEX('CAT_ACTIVIDADES'!$B$4:$B$8,MATCH($H1087,'CAT_ACTIVIDADES'!$A$4:$A$8,0)),"(sin catálogo)"))</f>
        <v/>
      </c>
      <c r="AA1087" s="12">
        <f>IF($J1087="","",TODAY()-$J1087)</f>
        <v/>
      </c>
      <c r="AB1087" s="12">
        <f>IF($J1087="","",IF($J1087&lt;=TODAY(),COUNTIFS(cal_fechas,"&gt;="&amp;$J1087,cal_fechas,"&lt;"&amp;TODAY(),cal_habil,"sí"),-COUNTIFS(cal_fechas,"&gt;="&amp;TODAY(),cal_fechas,"&lt;"&amp;$J1087,cal_habil,"sí")))</f>
        <v/>
      </c>
      <c r="AC1087" s="3">
        <f>IF($AB1087="","",IF($AB1087&lt;0,"FUTURO",IF($AB1087&gt;p_dias_backlog_max,"BACKLOG","MES CORRIENTE")))</f>
        <v/>
      </c>
      <c r="AD1087" s="3">
        <f>IF($AB1087="",FALSE,AND($AB1087&gt;p_dias_backlog_min,$AB1087&lt;=p_dias_backlog_max))</f>
        <v/>
      </c>
      <c r="AE1087" s="6" t="n"/>
      <c r="AF1087" s="3">
        <f>IF($AE1087="","",IF((IFERROR(INDEX('ASIGNACIONES'!$F$4:$F$339,MATCH($O1087&amp;"|"&amp;$R1087&amp;"|"&amp;$AE1087,'ASIGNACIONES'!$J$4:$J$339,0)),""))=0,"",IFERROR(INDEX('ASIGNACIONES'!$F$4:$F$339,MATCH($O1087&amp;"|"&amp;$R1087&amp;"|"&amp;$AE1087,'ASIGNACIONES'!$J$4:$J$339,0)),"")))</f>
        <v/>
      </c>
      <c r="AG1087" s="13">
        <f>IF($AE1087="","",SUMIFS('ORDENES'!$M$4:$M$1203,'ORDENES'!$AE$4:$AE$1203,$AE1087,'ORDENES'!$O$4:$O$1203,$O1087,'ORDENES'!$R$4:$R$1203,$R1087))</f>
        <v/>
      </c>
      <c r="AH1087" s="13">
        <f>IF($AG1087="","",p_factor_productividad*IFERROR(INDEX('ASIGNACIONES'!$I$4:$I$339,MATCH($O1087&amp;"|"&amp;$R1087&amp;"|"&amp;$AE1087,'ASIGNACIONES'!$J$4:$J$339,0)),0)-$AG1087)</f>
        <v/>
      </c>
      <c r="AI1087" s="10">
        <f>IF($A1087="","",IFERROR(INDEX('2_IMPORTAR_EJECUCION'!$F$9:$F$1208,MATCH($AQ1087,'2_IMPORTAR_EJECUCION'!$J$9:$J$1208,0)),0))</f>
        <v/>
      </c>
      <c r="AJ1087" s="10">
        <f>IF($A1087="","",MAX(0,IFERROR(INDEX('2_IMPORTAR_EJECUCION'!$H$9:$H$1208,MATCH($AQ1087,'2_IMPORTAR_EJECUCION'!$J$9:$J$1208,0)),0)-$AI1087))</f>
        <v/>
      </c>
      <c r="AK1087" s="10">
        <f>IF($A1087="","",$AI1087+$AJ1087)</f>
        <v/>
      </c>
      <c r="AL1087" s="6" t="n"/>
      <c r="AM1087" s="6" t="n"/>
      <c r="AN1087" s="6" t="n"/>
      <c r="AO1087" s="3">
        <f>IF($AN1087="","",HYPERLINK(p_ruta_base_checklists&amp;$AN1087,"abrir"))</f>
        <v/>
      </c>
      <c r="AP1087" s="6" t="n"/>
      <c r="AQ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IF($A1088="","",IFERROR(INDEX('AJUSTES'!$B$4:$B$303,MATCH($AQ1088,'AJUSTES'!$A$4:$A$303,0)),IF($K1088="","",$K1088)))</f>
        <v/>
      </c>
      <c r="N1088" s="3">
        <f>IF($A1088="","",IFERROR(INDEX('CAT_ESTADOS_ERP'!$B$4:$B$7,MATCH(IFERROR(INDEX('2_IMPORTAR_EJECUCION'!$C$9:$C$1208,MATCH($AQ1088,'2_IMPORTAR_EJECUCION'!$J$9:$J$1208,0)),""),'CAT_ESTADOS_ERP'!$A$4:$A$7,0)),"Pendiente"))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J1088="","",IFERROR(INDEX('CALENDARIO'!$C$15:$C$214,MATCH(TEXT($J1088,"yyyy-mm-dd")&amp;"|"&amp;$V1088&amp;"|"&amp;$W1088,'CALENDARIO'!$G$15:$G$214,0)),IFERROR(INDEX('CALENDARIO'!$C$15:$C$214,MATCH(TEXT($J1088,"yyyy-mm-dd")&amp;"|"&amp;$V1088&amp;"|",'CALENDARIO'!$G$15:$G$214,0)),IFERROR(INDEX('CALENDARIO'!$C$15:$C$214,MATCH(TEXT($J1088,"yyyy-mm-dd")&amp;"||",'CALENDARIO'!$G$15:$G$214,0)),INDEX(patronHabil,WEEKDAY($J1088,2))))))</f>
        <v/>
      </c>
      <c r="T1088" s="3">
        <f>IF($I1088="","",IFERROR(INDEX('CAT_TIPOS_OT'!$C$4:$C$7,MATCH($I1088,'CAT_TIPOS_OT'!$A$4:$A$7,0)),"sin_clasificar"))</f>
        <v/>
      </c>
      <c r="U1088" s="3">
        <f>IF($F1088="","",IFERROR(INDEX('CAT_CENTROS_COSTO'!$F$4:$F$13,MATCH($F1088,'CAT_CENTROS_COSTO'!$A$4:$A$13,0)),"(sin catálogo)"))</f>
        <v/>
      </c>
      <c r="V1088" s="3">
        <f>IF($F1088="","",IFERROR(INDEX('CAT_CENTROS_COSTO'!$D$4:$D$13,MATCH($F1088,'CAT_CENTROS_COSTO'!$A$4:$A$13,0)),"(sin catálogo)"))</f>
        <v/>
      </c>
      <c r="W1088" s="3">
        <f>IF($F1088="","",IF((IFERROR(INDEX('CAT_CENTROS_COSTO'!$E$4:$E$13,MATCH($F1088,'CAT_CENTROS_COSTO'!$A$4:$A$13,0)),""))&lt;&gt;"",IFERROR(INDEX('CAT_CENTROS_COSTO'!$E$4:$E$13,MATCH($F1088,'CAT_CENTROS_COSTO'!$A$4:$A$13,0)),""),$V1088))</f>
        <v/>
      </c>
      <c r="X1088" s="3">
        <f>IF($F1088="","",IFERROR(INDEX('CAT_CENTROS_COSTO'!$G$4:$G$13,MATCH($F1088,'CAT_CENTROS_COSTO'!$A$4:$A$13,0)),"(sin catálogo)"))</f>
        <v/>
      </c>
      <c r="Y1088" s="3">
        <f>IF($G1088="","",IFERROR(INDEX('CAT_PUESTOS'!$B$4:$B$8,MATCH($G1088,'CAT_PUESTOS'!$A$4:$A$8,0)),"(sin catálogo)"))</f>
        <v/>
      </c>
      <c r="Z1088" s="3">
        <f>IF($H1088="","",IFERROR(INDEX('CAT_ACTIVIDADES'!$B$4:$B$8,MATCH($H1088,'CAT_ACTIVIDADES'!$A$4:$A$8,0)),"(sin catálogo)"))</f>
        <v/>
      </c>
      <c r="AA1088" s="12">
        <f>IF($J1088="","",TODAY()-$J1088)</f>
        <v/>
      </c>
      <c r="AB1088" s="12">
        <f>IF($J1088="","",IF($J1088&lt;=TODAY(),COUNTIFS(cal_fechas,"&gt;="&amp;$J1088,cal_fechas,"&lt;"&amp;TODAY(),cal_habil,"sí"),-COUNTIFS(cal_fechas,"&gt;="&amp;TODAY(),cal_fechas,"&lt;"&amp;$J1088,cal_habil,"sí")))</f>
        <v/>
      </c>
      <c r="AC1088" s="3">
        <f>IF($AB1088="","",IF($AB1088&lt;0,"FUTURO",IF($AB1088&gt;p_dias_backlog_max,"BACKLOG","MES CORRIENTE")))</f>
        <v/>
      </c>
      <c r="AD1088" s="3">
        <f>IF($AB1088="",FALSE,AND($AB1088&gt;p_dias_backlog_min,$AB1088&lt;=p_dias_backlog_max))</f>
        <v/>
      </c>
      <c r="AE1088" s="6" t="n"/>
      <c r="AF1088" s="3">
        <f>IF($AE1088="","",IF((IFERROR(INDEX('ASIGNACIONES'!$F$4:$F$339,MATCH($O1088&amp;"|"&amp;$R1088&amp;"|"&amp;$AE1088,'ASIGNACIONES'!$J$4:$J$339,0)),""))=0,"",IFERROR(INDEX('ASIGNACIONES'!$F$4:$F$339,MATCH($O1088&amp;"|"&amp;$R1088&amp;"|"&amp;$AE1088,'ASIGNACIONES'!$J$4:$J$339,0)),"")))</f>
        <v/>
      </c>
      <c r="AG1088" s="13">
        <f>IF($AE1088="","",SUMIFS('ORDENES'!$M$4:$M$1203,'ORDENES'!$AE$4:$AE$1203,$AE1088,'ORDENES'!$O$4:$O$1203,$O1088,'ORDENES'!$R$4:$R$1203,$R1088))</f>
        <v/>
      </c>
      <c r="AH1088" s="13">
        <f>IF($AG1088="","",p_factor_productividad*IFERROR(INDEX('ASIGNACIONES'!$I$4:$I$339,MATCH($O1088&amp;"|"&amp;$R1088&amp;"|"&amp;$AE1088,'ASIGNACIONES'!$J$4:$J$339,0)),0)-$AG1088)</f>
        <v/>
      </c>
      <c r="AI1088" s="10">
        <f>IF($A1088="","",IFERROR(INDEX('2_IMPORTAR_EJECUCION'!$F$9:$F$1208,MATCH($AQ1088,'2_IMPORTAR_EJECUCION'!$J$9:$J$1208,0)),0))</f>
        <v/>
      </c>
      <c r="AJ1088" s="10">
        <f>IF($A1088="","",MAX(0,IFERROR(INDEX('2_IMPORTAR_EJECUCION'!$H$9:$H$1208,MATCH($AQ1088,'2_IMPORTAR_EJECUCION'!$J$9:$J$1208,0)),0)-$AI1088))</f>
        <v/>
      </c>
      <c r="AK1088" s="10">
        <f>IF($A1088="","",$AI1088+$AJ1088)</f>
        <v/>
      </c>
      <c r="AL1088" s="6" t="n"/>
      <c r="AM1088" s="6" t="n"/>
      <c r="AN1088" s="6" t="n"/>
      <c r="AO1088" s="3">
        <f>IF($AN1088="","",HYPERLINK(p_ruta_base_checklists&amp;$AN1088,"abrir"))</f>
        <v/>
      </c>
      <c r="AP1088" s="6" t="n"/>
      <c r="AQ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IF($A1089="","",IFERROR(INDEX('AJUSTES'!$B$4:$B$303,MATCH($AQ1089,'AJUSTES'!$A$4:$A$303,0)),IF($K1089="","",$K1089)))</f>
        <v/>
      </c>
      <c r="N1089" s="3">
        <f>IF($A1089="","",IFERROR(INDEX('CAT_ESTADOS_ERP'!$B$4:$B$7,MATCH(IFERROR(INDEX('2_IMPORTAR_EJECUCION'!$C$9:$C$1208,MATCH($AQ1089,'2_IMPORTAR_EJECUCION'!$J$9:$J$1208,0)),""),'CAT_ESTADOS_ERP'!$A$4:$A$7,0)),"Pendiente"))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J1089="","",IFERROR(INDEX('CALENDARIO'!$C$15:$C$214,MATCH(TEXT($J1089,"yyyy-mm-dd")&amp;"|"&amp;$V1089&amp;"|"&amp;$W1089,'CALENDARIO'!$G$15:$G$214,0)),IFERROR(INDEX('CALENDARIO'!$C$15:$C$214,MATCH(TEXT($J1089,"yyyy-mm-dd")&amp;"|"&amp;$V1089&amp;"|",'CALENDARIO'!$G$15:$G$214,0)),IFERROR(INDEX('CALENDARIO'!$C$15:$C$214,MATCH(TEXT($J1089,"yyyy-mm-dd")&amp;"||",'CALENDARIO'!$G$15:$G$214,0)),INDEX(patronHabil,WEEKDAY($J1089,2))))))</f>
        <v/>
      </c>
      <c r="T1089" s="3">
        <f>IF($I1089="","",IFERROR(INDEX('CAT_TIPOS_OT'!$C$4:$C$7,MATCH($I1089,'CAT_TIPOS_OT'!$A$4:$A$7,0)),"sin_clasificar"))</f>
        <v/>
      </c>
      <c r="U1089" s="3">
        <f>IF($F1089="","",IFERROR(INDEX('CAT_CENTROS_COSTO'!$F$4:$F$13,MATCH($F1089,'CAT_CENTROS_COSTO'!$A$4:$A$13,0)),"(sin catálogo)"))</f>
        <v/>
      </c>
      <c r="V1089" s="3">
        <f>IF($F1089="","",IFERROR(INDEX('CAT_CENTROS_COSTO'!$D$4:$D$13,MATCH($F1089,'CAT_CENTROS_COSTO'!$A$4:$A$13,0)),"(sin catálogo)"))</f>
        <v/>
      </c>
      <c r="W1089" s="3">
        <f>IF($F1089="","",IF((IFERROR(INDEX('CAT_CENTROS_COSTO'!$E$4:$E$13,MATCH($F1089,'CAT_CENTROS_COSTO'!$A$4:$A$13,0)),""))&lt;&gt;"",IFERROR(INDEX('CAT_CENTROS_COSTO'!$E$4:$E$13,MATCH($F1089,'CAT_CENTROS_COSTO'!$A$4:$A$13,0)),""),$V1089))</f>
        <v/>
      </c>
      <c r="X1089" s="3">
        <f>IF($F1089="","",IFERROR(INDEX('CAT_CENTROS_COSTO'!$G$4:$G$13,MATCH($F1089,'CAT_CENTROS_COSTO'!$A$4:$A$13,0)),"(sin catálogo)"))</f>
        <v/>
      </c>
      <c r="Y1089" s="3">
        <f>IF($G1089="","",IFERROR(INDEX('CAT_PUESTOS'!$B$4:$B$8,MATCH($G1089,'CAT_PUESTOS'!$A$4:$A$8,0)),"(sin catálogo)"))</f>
        <v/>
      </c>
      <c r="Z1089" s="3">
        <f>IF($H1089="","",IFERROR(INDEX('CAT_ACTIVIDADES'!$B$4:$B$8,MATCH($H1089,'CAT_ACTIVIDADES'!$A$4:$A$8,0)),"(sin catálogo)"))</f>
        <v/>
      </c>
      <c r="AA1089" s="12">
        <f>IF($J1089="","",TODAY()-$J1089)</f>
        <v/>
      </c>
      <c r="AB1089" s="12">
        <f>IF($J1089="","",IF($J1089&lt;=TODAY(),COUNTIFS(cal_fechas,"&gt;="&amp;$J1089,cal_fechas,"&lt;"&amp;TODAY(),cal_habil,"sí"),-COUNTIFS(cal_fechas,"&gt;="&amp;TODAY(),cal_fechas,"&lt;"&amp;$J1089,cal_habil,"sí")))</f>
        <v/>
      </c>
      <c r="AC1089" s="3">
        <f>IF($AB1089="","",IF($AB1089&lt;0,"FUTURO",IF($AB1089&gt;p_dias_backlog_max,"BACKLOG","MES CORRIENTE")))</f>
        <v/>
      </c>
      <c r="AD1089" s="3">
        <f>IF($AB1089="",FALSE,AND($AB1089&gt;p_dias_backlog_min,$AB1089&lt;=p_dias_backlog_max))</f>
        <v/>
      </c>
      <c r="AE1089" s="6" t="n"/>
      <c r="AF1089" s="3">
        <f>IF($AE1089="","",IF((IFERROR(INDEX('ASIGNACIONES'!$F$4:$F$339,MATCH($O1089&amp;"|"&amp;$R1089&amp;"|"&amp;$AE1089,'ASIGNACIONES'!$J$4:$J$339,0)),""))=0,"",IFERROR(INDEX('ASIGNACIONES'!$F$4:$F$339,MATCH($O1089&amp;"|"&amp;$R1089&amp;"|"&amp;$AE1089,'ASIGNACIONES'!$J$4:$J$339,0)),"")))</f>
        <v/>
      </c>
      <c r="AG1089" s="13">
        <f>IF($AE1089="","",SUMIFS('ORDENES'!$M$4:$M$1203,'ORDENES'!$AE$4:$AE$1203,$AE1089,'ORDENES'!$O$4:$O$1203,$O1089,'ORDENES'!$R$4:$R$1203,$R1089))</f>
        <v/>
      </c>
      <c r="AH1089" s="13">
        <f>IF($AG1089="","",p_factor_productividad*IFERROR(INDEX('ASIGNACIONES'!$I$4:$I$339,MATCH($O1089&amp;"|"&amp;$R1089&amp;"|"&amp;$AE1089,'ASIGNACIONES'!$J$4:$J$339,0)),0)-$AG1089)</f>
        <v/>
      </c>
      <c r="AI1089" s="10">
        <f>IF($A1089="","",IFERROR(INDEX('2_IMPORTAR_EJECUCION'!$F$9:$F$1208,MATCH($AQ1089,'2_IMPORTAR_EJECUCION'!$J$9:$J$1208,0)),0))</f>
        <v/>
      </c>
      <c r="AJ1089" s="10">
        <f>IF($A1089="","",MAX(0,IFERROR(INDEX('2_IMPORTAR_EJECUCION'!$H$9:$H$1208,MATCH($AQ1089,'2_IMPORTAR_EJECUCION'!$J$9:$J$1208,0)),0)-$AI1089))</f>
        <v/>
      </c>
      <c r="AK1089" s="10">
        <f>IF($A1089="","",$AI1089+$AJ1089)</f>
        <v/>
      </c>
      <c r="AL1089" s="6" t="n"/>
      <c r="AM1089" s="6" t="n"/>
      <c r="AN1089" s="6" t="n"/>
      <c r="AO1089" s="3">
        <f>IF($AN1089="","",HYPERLINK(p_ruta_base_checklists&amp;$AN1089,"abrir"))</f>
        <v/>
      </c>
      <c r="AP1089" s="6" t="n"/>
      <c r="AQ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IF($A1090="","",IFERROR(INDEX('AJUSTES'!$B$4:$B$303,MATCH($AQ1090,'AJUSTES'!$A$4:$A$303,0)),IF($K1090="","",$K1090)))</f>
        <v/>
      </c>
      <c r="N1090" s="3">
        <f>IF($A1090="","",IFERROR(INDEX('CAT_ESTADOS_ERP'!$B$4:$B$7,MATCH(IFERROR(INDEX('2_IMPORTAR_EJECUCION'!$C$9:$C$1208,MATCH($AQ1090,'2_IMPORTAR_EJECUCION'!$J$9:$J$1208,0)),""),'CAT_ESTADOS_ERP'!$A$4:$A$7,0)),"Pendiente"))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J1090="","",IFERROR(INDEX('CALENDARIO'!$C$15:$C$214,MATCH(TEXT($J1090,"yyyy-mm-dd")&amp;"|"&amp;$V1090&amp;"|"&amp;$W1090,'CALENDARIO'!$G$15:$G$214,0)),IFERROR(INDEX('CALENDARIO'!$C$15:$C$214,MATCH(TEXT($J1090,"yyyy-mm-dd")&amp;"|"&amp;$V1090&amp;"|",'CALENDARIO'!$G$15:$G$214,0)),IFERROR(INDEX('CALENDARIO'!$C$15:$C$214,MATCH(TEXT($J1090,"yyyy-mm-dd")&amp;"||",'CALENDARIO'!$G$15:$G$214,0)),INDEX(patronHabil,WEEKDAY($J1090,2))))))</f>
        <v/>
      </c>
      <c r="T1090" s="3">
        <f>IF($I1090="","",IFERROR(INDEX('CAT_TIPOS_OT'!$C$4:$C$7,MATCH($I1090,'CAT_TIPOS_OT'!$A$4:$A$7,0)),"sin_clasificar"))</f>
        <v/>
      </c>
      <c r="U1090" s="3">
        <f>IF($F1090="","",IFERROR(INDEX('CAT_CENTROS_COSTO'!$F$4:$F$13,MATCH($F1090,'CAT_CENTROS_COSTO'!$A$4:$A$13,0)),"(sin catálogo)"))</f>
        <v/>
      </c>
      <c r="V1090" s="3">
        <f>IF($F1090="","",IFERROR(INDEX('CAT_CENTROS_COSTO'!$D$4:$D$13,MATCH($F1090,'CAT_CENTROS_COSTO'!$A$4:$A$13,0)),"(sin catálogo)"))</f>
        <v/>
      </c>
      <c r="W1090" s="3">
        <f>IF($F1090="","",IF((IFERROR(INDEX('CAT_CENTROS_COSTO'!$E$4:$E$13,MATCH($F1090,'CAT_CENTROS_COSTO'!$A$4:$A$13,0)),""))&lt;&gt;"",IFERROR(INDEX('CAT_CENTROS_COSTO'!$E$4:$E$13,MATCH($F1090,'CAT_CENTROS_COSTO'!$A$4:$A$13,0)),""),$V1090))</f>
        <v/>
      </c>
      <c r="X1090" s="3">
        <f>IF($F1090="","",IFERROR(INDEX('CAT_CENTROS_COSTO'!$G$4:$G$13,MATCH($F1090,'CAT_CENTROS_COSTO'!$A$4:$A$13,0)),"(sin catálogo)"))</f>
        <v/>
      </c>
      <c r="Y1090" s="3">
        <f>IF($G1090="","",IFERROR(INDEX('CAT_PUESTOS'!$B$4:$B$8,MATCH($G1090,'CAT_PUESTOS'!$A$4:$A$8,0)),"(sin catálogo)"))</f>
        <v/>
      </c>
      <c r="Z1090" s="3">
        <f>IF($H1090="","",IFERROR(INDEX('CAT_ACTIVIDADES'!$B$4:$B$8,MATCH($H1090,'CAT_ACTIVIDADES'!$A$4:$A$8,0)),"(sin catálogo)"))</f>
        <v/>
      </c>
      <c r="AA1090" s="12">
        <f>IF($J1090="","",TODAY()-$J1090)</f>
        <v/>
      </c>
      <c r="AB1090" s="12">
        <f>IF($J1090="","",IF($J1090&lt;=TODAY(),COUNTIFS(cal_fechas,"&gt;="&amp;$J1090,cal_fechas,"&lt;"&amp;TODAY(),cal_habil,"sí"),-COUNTIFS(cal_fechas,"&gt;="&amp;TODAY(),cal_fechas,"&lt;"&amp;$J1090,cal_habil,"sí")))</f>
        <v/>
      </c>
      <c r="AC1090" s="3">
        <f>IF($AB1090="","",IF($AB1090&lt;0,"FUTURO",IF($AB1090&gt;p_dias_backlog_max,"BACKLOG","MES CORRIENTE")))</f>
        <v/>
      </c>
      <c r="AD1090" s="3">
        <f>IF($AB1090="",FALSE,AND($AB1090&gt;p_dias_backlog_min,$AB1090&lt;=p_dias_backlog_max))</f>
        <v/>
      </c>
      <c r="AE1090" s="6" t="n"/>
      <c r="AF1090" s="3">
        <f>IF($AE1090="","",IF((IFERROR(INDEX('ASIGNACIONES'!$F$4:$F$339,MATCH($O1090&amp;"|"&amp;$R1090&amp;"|"&amp;$AE1090,'ASIGNACIONES'!$J$4:$J$339,0)),""))=0,"",IFERROR(INDEX('ASIGNACIONES'!$F$4:$F$339,MATCH($O1090&amp;"|"&amp;$R1090&amp;"|"&amp;$AE1090,'ASIGNACIONES'!$J$4:$J$339,0)),"")))</f>
        <v/>
      </c>
      <c r="AG1090" s="13">
        <f>IF($AE1090="","",SUMIFS('ORDENES'!$M$4:$M$1203,'ORDENES'!$AE$4:$AE$1203,$AE1090,'ORDENES'!$O$4:$O$1203,$O1090,'ORDENES'!$R$4:$R$1203,$R1090))</f>
        <v/>
      </c>
      <c r="AH1090" s="13">
        <f>IF($AG1090="","",p_factor_productividad*IFERROR(INDEX('ASIGNACIONES'!$I$4:$I$339,MATCH($O1090&amp;"|"&amp;$R1090&amp;"|"&amp;$AE1090,'ASIGNACIONES'!$J$4:$J$339,0)),0)-$AG1090)</f>
        <v/>
      </c>
      <c r="AI1090" s="10">
        <f>IF($A1090="","",IFERROR(INDEX('2_IMPORTAR_EJECUCION'!$F$9:$F$1208,MATCH($AQ1090,'2_IMPORTAR_EJECUCION'!$J$9:$J$1208,0)),0))</f>
        <v/>
      </c>
      <c r="AJ1090" s="10">
        <f>IF($A1090="","",MAX(0,IFERROR(INDEX('2_IMPORTAR_EJECUCION'!$H$9:$H$1208,MATCH($AQ1090,'2_IMPORTAR_EJECUCION'!$J$9:$J$1208,0)),0)-$AI1090))</f>
        <v/>
      </c>
      <c r="AK1090" s="10">
        <f>IF($A1090="","",$AI1090+$AJ1090)</f>
        <v/>
      </c>
      <c r="AL1090" s="6" t="n"/>
      <c r="AM1090" s="6" t="n"/>
      <c r="AN1090" s="6" t="n"/>
      <c r="AO1090" s="3">
        <f>IF($AN1090="","",HYPERLINK(p_ruta_base_checklists&amp;$AN1090,"abrir"))</f>
        <v/>
      </c>
      <c r="AP1090" s="6" t="n"/>
      <c r="AQ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IF($A1091="","",IFERROR(INDEX('AJUSTES'!$B$4:$B$303,MATCH($AQ1091,'AJUSTES'!$A$4:$A$303,0)),IF($K1091="","",$K1091)))</f>
        <v/>
      </c>
      <c r="N1091" s="3">
        <f>IF($A1091="","",IFERROR(INDEX('CAT_ESTADOS_ERP'!$B$4:$B$7,MATCH(IFERROR(INDEX('2_IMPORTAR_EJECUCION'!$C$9:$C$1208,MATCH($AQ1091,'2_IMPORTAR_EJECUCION'!$J$9:$J$1208,0)),""),'CAT_ESTADOS_ERP'!$A$4:$A$7,0)),"Pendiente"))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J1091="","",IFERROR(INDEX('CALENDARIO'!$C$15:$C$214,MATCH(TEXT($J1091,"yyyy-mm-dd")&amp;"|"&amp;$V1091&amp;"|"&amp;$W1091,'CALENDARIO'!$G$15:$G$214,0)),IFERROR(INDEX('CALENDARIO'!$C$15:$C$214,MATCH(TEXT($J1091,"yyyy-mm-dd")&amp;"|"&amp;$V1091&amp;"|",'CALENDARIO'!$G$15:$G$214,0)),IFERROR(INDEX('CALENDARIO'!$C$15:$C$214,MATCH(TEXT($J1091,"yyyy-mm-dd")&amp;"||",'CALENDARIO'!$G$15:$G$214,0)),INDEX(patronHabil,WEEKDAY($J1091,2))))))</f>
        <v/>
      </c>
      <c r="T1091" s="3">
        <f>IF($I1091="","",IFERROR(INDEX('CAT_TIPOS_OT'!$C$4:$C$7,MATCH($I1091,'CAT_TIPOS_OT'!$A$4:$A$7,0)),"sin_clasificar"))</f>
        <v/>
      </c>
      <c r="U1091" s="3">
        <f>IF($F1091="","",IFERROR(INDEX('CAT_CENTROS_COSTO'!$F$4:$F$13,MATCH($F1091,'CAT_CENTROS_COSTO'!$A$4:$A$13,0)),"(sin catálogo)"))</f>
        <v/>
      </c>
      <c r="V1091" s="3">
        <f>IF($F1091="","",IFERROR(INDEX('CAT_CENTROS_COSTO'!$D$4:$D$13,MATCH($F1091,'CAT_CENTROS_COSTO'!$A$4:$A$13,0)),"(sin catálogo)"))</f>
        <v/>
      </c>
      <c r="W1091" s="3">
        <f>IF($F1091="","",IF((IFERROR(INDEX('CAT_CENTROS_COSTO'!$E$4:$E$13,MATCH($F1091,'CAT_CENTROS_COSTO'!$A$4:$A$13,0)),""))&lt;&gt;"",IFERROR(INDEX('CAT_CENTROS_COSTO'!$E$4:$E$13,MATCH($F1091,'CAT_CENTROS_COSTO'!$A$4:$A$13,0)),""),$V1091))</f>
        <v/>
      </c>
      <c r="X1091" s="3">
        <f>IF($F1091="","",IFERROR(INDEX('CAT_CENTROS_COSTO'!$G$4:$G$13,MATCH($F1091,'CAT_CENTROS_COSTO'!$A$4:$A$13,0)),"(sin catálogo)"))</f>
        <v/>
      </c>
      <c r="Y1091" s="3">
        <f>IF($G1091="","",IFERROR(INDEX('CAT_PUESTOS'!$B$4:$B$8,MATCH($G1091,'CAT_PUESTOS'!$A$4:$A$8,0)),"(sin catálogo)"))</f>
        <v/>
      </c>
      <c r="Z1091" s="3">
        <f>IF($H1091="","",IFERROR(INDEX('CAT_ACTIVIDADES'!$B$4:$B$8,MATCH($H1091,'CAT_ACTIVIDADES'!$A$4:$A$8,0)),"(sin catálogo)"))</f>
        <v/>
      </c>
      <c r="AA1091" s="12">
        <f>IF($J1091="","",TODAY()-$J1091)</f>
        <v/>
      </c>
      <c r="AB1091" s="12">
        <f>IF($J1091="","",IF($J1091&lt;=TODAY(),COUNTIFS(cal_fechas,"&gt;="&amp;$J1091,cal_fechas,"&lt;"&amp;TODAY(),cal_habil,"sí"),-COUNTIFS(cal_fechas,"&gt;="&amp;TODAY(),cal_fechas,"&lt;"&amp;$J1091,cal_habil,"sí")))</f>
        <v/>
      </c>
      <c r="AC1091" s="3">
        <f>IF($AB1091="","",IF($AB1091&lt;0,"FUTURO",IF($AB1091&gt;p_dias_backlog_max,"BACKLOG","MES CORRIENTE")))</f>
        <v/>
      </c>
      <c r="AD1091" s="3">
        <f>IF($AB1091="",FALSE,AND($AB1091&gt;p_dias_backlog_min,$AB1091&lt;=p_dias_backlog_max))</f>
        <v/>
      </c>
      <c r="AE1091" s="6" t="n"/>
      <c r="AF1091" s="3">
        <f>IF($AE1091="","",IF((IFERROR(INDEX('ASIGNACIONES'!$F$4:$F$339,MATCH($O1091&amp;"|"&amp;$R1091&amp;"|"&amp;$AE1091,'ASIGNACIONES'!$J$4:$J$339,0)),""))=0,"",IFERROR(INDEX('ASIGNACIONES'!$F$4:$F$339,MATCH($O1091&amp;"|"&amp;$R1091&amp;"|"&amp;$AE1091,'ASIGNACIONES'!$J$4:$J$339,0)),"")))</f>
        <v/>
      </c>
      <c r="AG1091" s="13">
        <f>IF($AE1091="","",SUMIFS('ORDENES'!$M$4:$M$1203,'ORDENES'!$AE$4:$AE$1203,$AE1091,'ORDENES'!$O$4:$O$1203,$O1091,'ORDENES'!$R$4:$R$1203,$R1091))</f>
        <v/>
      </c>
      <c r="AH1091" s="13">
        <f>IF($AG1091="","",p_factor_productividad*IFERROR(INDEX('ASIGNACIONES'!$I$4:$I$339,MATCH($O1091&amp;"|"&amp;$R1091&amp;"|"&amp;$AE1091,'ASIGNACIONES'!$J$4:$J$339,0)),0)-$AG1091)</f>
        <v/>
      </c>
      <c r="AI1091" s="10">
        <f>IF($A1091="","",IFERROR(INDEX('2_IMPORTAR_EJECUCION'!$F$9:$F$1208,MATCH($AQ1091,'2_IMPORTAR_EJECUCION'!$J$9:$J$1208,0)),0))</f>
        <v/>
      </c>
      <c r="AJ1091" s="10">
        <f>IF($A1091="","",MAX(0,IFERROR(INDEX('2_IMPORTAR_EJECUCION'!$H$9:$H$1208,MATCH($AQ1091,'2_IMPORTAR_EJECUCION'!$J$9:$J$1208,0)),0)-$AI1091))</f>
        <v/>
      </c>
      <c r="AK1091" s="10">
        <f>IF($A1091="","",$AI1091+$AJ1091)</f>
        <v/>
      </c>
      <c r="AL1091" s="6" t="n"/>
      <c r="AM1091" s="6" t="n"/>
      <c r="AN1091" s="6" t="n"/>
      <c r="AO1091" s="3">
        <f>IF($AN1091="","",HYPERLINK(p_ruta_base_checklists&amp;$AN1091,"abrir"))</f>
        <v/>
      </c>
      <c r="AP1091" s="6" t="n"/>
      <c r="AQ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IF($A1092="","",IFERROR(INDEX('AJUSTES'!$B$4:$B$303,MATCH($AQ1092,'AJUSTES'!$A$4:$A$303,0)),IF($K1092="","",$K1092)))</f>
        <v/>
      </c>
      <c r="N1092" s="3">
        <f>IF($A1092="","",IFERROR(INDEX('CAT_ESTADOS_ERP'!$B$4:$B$7,MATCH(IFERROR(INDEX('2_IMPORTAR_EJECUCION'!$C$9:$C$1208,MATCH($AQ1092,'2_IMPORTAR_EJECUCION'!$J$9:$J$1208,0)),""),'CAT_ESTADOS_ERP'!$A$4:$A$7,0)),"Pendiente"))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J1092="","",IFERROR(INDEX('CALENDARIO'!$C$15:$C$214,MATCH(TEXT($J1092,"yyyy-mm-dd")&amp;"|"&amp;$V1092&amp;"|"&amp;$W1092,'CALENDARIO'!$G$15:$G$214,0)),IFERROR(INDEX('CALENDARIO'!$C$15:$C$214,MATCH(TEXT($J1092,"yyyy-mm-dd")&amp;"|"&amp;$V1092&amp;"|",'CALENDARIO'!$G$15:$G$214,0)),IFERROR(INDEX('CALENDARIO'!$C$15:$C$214,MATCH(TEXT($J1092,"yyyy-mm-dd")&amp;"||",'CALENDARIO'!$G$15:$G$214,0)),INDEX(patronHabil,WEEKDAY($J1092,2))))))</f>
        <v/>
      </c>
      <c r="T1092" s="3">
        <f>IF($I1092="","",IFERROR(INDEX('CAT_TIPOS_OT'!$C$4:$C$7,MATCH($I1092,'CAT_TIPOS_OT'!$A$4:$A$7,0)),"sin_clasificar"))</f>
        <v/>
      </c>
      <c r="U1092" s="3">
        <f>IF($F1092="","",IFERROR(INDEX('CAT_CENTROS_COSTO'!$F$4:$F$13,MATCH($F1092,'CAT_CENTROS_COSTO'!$A$4:$A$13,0)),"(sin catálogo)"))</f>
        <v/>
      </c>
      <c r="V1092" s="3">
        <f>IF($F1092="","",IFERROR(INDEX('CAT_CENTROS_COSTO'!$D$4:$D$13,MATCH($F1092,'CAT_CENTROS_COSTO'!$A$4:$A$13,0)),"(sin catálogo)"))</f>
        <v/>
      </c>
      <c r="W1092" s="3">
        <f>IF($F1092="","",IF((IFERROR(INDEX('CAT_CENTROS_COSTO'!$E$4:$E$13,MATCH($F1092,'CAT_CENTROS_COSTO'!$A$4:$A$13,0)),""))&lt;&gt;"",IFERROR(INDEX('CAT_CENTROS_COSTO'!$E$4:$E$13,MATCH($F1092,'CAT_CENTROS_COSTO'!$A$4:$A$13,0)),""),$V1092))</f>
        <v/>
      </c>
      <c r="X1092" s="3">
        <f>IF($F1092="","",IFERROR(INDEX('CAT_CENTROS_COSTO'!$G$4:$G$13,MATCH($F1092,'CAT_CENTROS_COSTO'!$A$4:$A$13,0)),"(sin catálogo)"))</f>
        <v/>
      </c>
      <c r="Y1092" s="3">
        <f>IF($G1092="","",IFERROR(INDEX('CAT_PUESTOS'!$B$4:$B$8,MATCH($G1092,'CAT_PUESTOS'!$A$4:$A$8,0)),"(sin catálogo)"))</f>
        <v/>
      </c>
      <c r="Z1092" s="3">
        <f>IF($H1092="","",IFERROR(INDEX('CAT_ACTIVIDADES'!$B$4:$B$8,MATCH($H1092,'CAT_ACTIVIDADES'!$A$4:$A$8,0)),"(sin catálogo)"))</f>
        <v/>
      </c>
      <c r="AA1092" s="12">
        <f>IF($J1092="","",TODAY()-$J1092)</f>
        <v/>
      </c>
      <c r="AB1092" s="12">
        <f>IF($J1092="","",IF($J1092&lt;=TODAY(),COUNTIFS(cal_fechas,"&gt;="&amp;$J1092,cal_fechas,"&lt;"&amp;TODAY(),cal_habil,"sí"),-COUNTIFS(cal_fechas,"&gt;="&amp;TODAY(),cal_fechas,"&lt;"&amp;$J1092,cal_habil,"sí")))</f>
        <v/>
      </c>
      <c r="AC1092" s="3">
        <f>IF($AB1092="","",IF($AB1092&lt;0,"FUTURO",IF($AB1092&gt;p_dias_backlog_max,"BACKLOG","MES CORRIENTE")))</f>
        <v/>
      </c>
      <c r="AD1092" s="3">
        <f>IF($AB1092="",FALSE,AND($AB1092&gt;p_dias_backlog_min,$AB1092&lt;=p_dias_backlog_max))</f>
        <v/>
      </c>
      <c r="AE1092" s="6" t="n"/>
      <c r="AF1092" s="3">
        <f>IF($AE1092="","",IF((IFERROR(INDEX('ASIGNACIONES'!$F$4:$F$339,MATCH($O1092&amp;"|"&amp;$R1092&amp;"|"&amp;$AE1092,'ASIGNACIONES'!$J$4:$J$339,0)),""))=0,"",IFERROR(INDEX('ASIGNACIONES'!$F$4:$F$339,MATCH($O1092&amp;"|"&amp;$R1092&amp;"|"&amp;$AE1092,'ASIGNACIONES'!$J$4:$J$339,0)),"")))</f>
        <v/>
      </c>
      <c r="AG1092" s="13">
        <f>IF($AE1092="","",SUMIFS('ORDENES'!$M$4:$M$1203,'ORDENES'!$AE$4:$AE$1203,$AE1092,'ORDENES'!$O$4:$O$1203,$O1092,'ORDENES'!$R$4:$R$1203,$R1092))</f>
        <v/>
      </c>
      <c r="AH1092" s="13">
        <f>IF($AG1092="","",p_factor_productividad*IFERROR(INDEX('ASIGNACIONES'!$I$4:$I$339,MATCH($O1092&amp;"|"&amp;$R1092&amp;"|"&amp;$AE1092,'ASIGNACIONES'!$J$4:$J$339,0)),0)-$AG1092)</f>
        <v/>
      </c>
      <c r="AI1092" s="10">
        <f>IF($A1092="","",IFERROR(INDEX('2_IMPORTAR_EJECUCION'!$F$9:$F$1208,MATCH($AQ1092,'2_IMPORTAR_EJECUCION'!$J$9:$J$1208,0)),0))</f>
        <v/>
      </c>
      <c r="AJ1092" s="10">
        <f>IF($A1092="","",MAX(0,IFERROR(INDEX('2_IMPORTAR_EJECUCION'!$H$9:$H$1208,MATCH($AQ1092,'2_IMPORTAR_EJECUCION'!$J$9:$J$1208,0)),0)-$AI1092))</f>
        <v/>
      </c>
      <c r="AK1092" s="10">
        <f>IF($A1092="","",$AI1092+$AJ1092)</f>
        <v/>
      </c>
      <c r="AL1092" s="6" t="n"/>
      <c r="AM1092" s="6" t="n"/>
      <c r="AN1092" s="6" t="n"/>
      <c r="AO1092" s="3">
        <f>IF($AN1092="","",HYPERLINK(p_ruta_base_checklists&amp;$AN1092,"abrir"))</f>
        <v/>
      </c>
      <c r="AP1092" s="6" t="n"/>
      <c r="AQ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IF($A1093="","",IFERROR(INDEX('AJUSTES'!$B$4:$B$303,MATCH($AQ1093,'AJUSTES'!$A$4:$A$303,0)),IF($K1093="","",$K1093)))</f>
        <v/>
      </c>
      <c r="N1093" s="3">
        <f>IF($A1093="","",IFERROR(INDEX('CAT_ESTADOS_ERP'!$B$4:$B$7,MATCH(IFERROR(INDEX('2_IMPORTAR_EJECUCION'!$C$9:$C$1208,MATCH($AQ1093,'2_IMPORTAR_EJECUCION'!$J$9:$J$1208,0)),""),'CAT_ESTADOS_ERP'!$A$4:$A$7,0)),"Pendiente"))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J1093="","",IFERROR(INDEX('CALENDARIO'!$C$15:$C$214,MATCH(TEXT($J1093,"yyyy-mm-dd")&amp;"|"&amp;$V1093&amp;"|"&amp;$W1093,'CALENDARIO'!$G$15:$G$214,0)),IFERROR(INDEX('CALENDARIO'!$C$15:$C$214,MATCH(TEXT($J1093,"yyyy-mm-dd")&amp;"|"&amp;$V1093&amp;"|",'CALENDARIO'!$G$15:$G$214,0)),IFERROR(INDEX('CALENDARIO'!$C$15:$C$214,MATCH(TEXT($J1093,"yyyy-mm-dd")&amp;"||",'CALENDARIO'!$G$15:$G$214,0)),INDEX(patronHabil,WEEKDAY($J1093,2))))))</f>
        <v/>
      </c>
      <c r="T1093" s="3">
        <f>IF($I1093="","",IFERROR(INDEX('CAT_TIPOS_OT'!$C$4:$C$7,MATCH($I1093,'CAT_TIPOS_OT'!$A$4:$A$7,0)),"sin_clasificar"))</f>
        <v/>
      </c>
      <c r="U1093" s="3">
        <f>IF($F1093="","",IFERROR(INDEX('CAT_CENTROS_COSTO'!$F$4:$F$13,MATCH($F1093,'CAT_CENTROS_COSTO'!$A$4:$A$13,0)),"(sin catálogo)"))</f>
        <v/>
      </c>
      <c r="V1093" s="3">
        <f>IF($F1093="","",IFERROR(INDEX('CAT_CENTROS_COSTO'!$D$4:$D$13,MATCH($F1093,'CAT_CENTROS_COSTO'!$A$4:$A$13,0)),"(sin catálogo)"))</f>
        <v/>
      </c>
      <c r="W1093" s="3">
        <f>IF($F1093="","",IF((IFERROR(INDEX('CAT_CENTROS_COSTO'!$E$4:$E$13,MATCH($F1093,'CAT_CENTROS_COSTO'!$A$4:$A$13,0)),""))&lt;&gt;"",IFERROR(INDEX('CAT_CENTROS_COSTO'!$E$4:$E$13,MATCH($F1093,'CAT_CENTROS_COSTO'!$A$4:$A$13,0)),""),$V1093))</f>
        <v/>
      </c>
      <c r="X1093" s="3">
        <f>IF($F1093="","",IFERROR(INDEX('CAT_CENTROS_COSTO'!$G$4:$G$13,MATCH($F1093,'CAT_CENTROS_COSTO'!$A$4:$A$13,0)),"(sin catálogo)"))</f>
        <v/>
      </c>
      <c r="Y1093" s="3">
        <f>IF($G1093="","",IFERROR(INDEX('CAT_PUESTOS'!$B$4:$B$8,MATCH($G1093,'CAT_PUESTOS'!$A$4:$A$8,0)),"(sin catálogo)"))</f>
        <v/>
      </c>
      <c r="Z1093" s="3">
        <f>IF($H1093="","",IFERROR(INDEX('CAT_ACTIVIDADES'!$B$4:$B$8,MATCH($H1093,'CAT_ACTIVIDADES'!$A$4:$A$8,0)),"(sin catálogo)"))</f>
        <v/>
      </c>
      <c r="AA1093" s="12">
        <f>IF($J1093="","",TODAY()-$J1093)</f>
        <v/>
      </c>
      <c r="AB1093" s="12">
        <f>IF($J1093="","",IF($J1093&lt;=TODAY(),COUNTIFS(cal_fechas,"&gt;="&amp;$J1093,cal_fechas,"&lt;"&amp;TODAY(),cal_habil,"sí"),-COUNTIFS(cal_fechas,"&gt;="&amp;TODAY(),cal_fechas,"&lt;"&amp;$J1093,cal_habil,"sí")))</f>
        <v/>
      </c>
      <c r="AC1093" s="3">
        <f>IF($AB1093="","",IF($AB1093&lt;0,"FUTURO",IF($AB1093&gt;p_dias_backlog_max,"BACKLOG","MES CORRIENTE")))</f>
        <v/>
      </c>
      <c r="AD1093" s="3">
        <f>IF($AB1093="",FALSE,AND($AB1093&gt;p_dias_backlog_min,$AB1093&lt;=p_dias_backlog_max))</f>
        <v/>
      </c>
      <c r="AE1093" s="6" t="n"/>
      <c r="AF1093" s="3">
        <f>IF($AE1093="","",IF((IFERROR(INDEX('ASIGNACIONES'!$F$4:$F$339,MATCH($O1093&amp;"|"&amp;$R1093&amp;"|"&amp;$AE1093,'ASIGNACIONES'!$J$4:$J$339,0)),""))=0,"",IFERROR(INDEX('ASIGNACIONES'!$F$4:$F$339,MATCH($O1093&amp;"|"&amp;$R1093&amp;"|"&amp;$AE1093,'ASIGNACIONES'!$J$4:$J$339,0)),"")))</f>
        <v/>
      </c>
      <c r="AG1093" s="13">
        <f>IF($AE1093="","",SUMIFS('ORDENES'!$M$4:$M$1203,'ORDENES'!$AE$4:$AE$1203,$AE1093,'ORDENES'!$O$4:$O$1203,$O1093,'ORDENES'!$R$4:$R$1203,$R1093))</f>
        <v/>
      </c>
      <c r="AH1093" s="13">
        <f>IF($AG1093="","",p_factor_productividad*IFERROR(INDEX('ASIGNACIONES'!$I$4:$I$339,MATCH($O1093&amp;"|"&amp;$R1093&amp;"|"&amp;$AE1093,'ASIGNACIONES'!$J$4:$J$339,0)),0)-$AG1093)</f>
        <v/>
      </c>
      <c r="AI1093" s="10">
        <f>IF($A1093="","",IFERROR(INDEX('2_IMPORTAR_EJECUCION'!$F$9:$F$1208,MATCH($AQ1093,'2_IMPORTAR_EJECUCION'!$J$9:$J$1208,0)),0))</f>
        <v/>
      </c>
      <c r="AJ1093" s="10">
        <f>IF($A1093="","",MAX(0,IFERROR(INDEX('2_IMPORTAR_EJECUCION'!$H$9:$H$1208,MATCH($AQ1093,'2_IMPORTAR_EJECUCION'!$J$9:$J$1208,0)),0)-$AI1093))</f>
        <v/>
      </c>
      <c r="AK1093" s="10">
        <f>IF($A1093="","",$AI1093+$AJ1093)</f>
        <v/>
      </c>
      <c r="AL1093" s="6" t="n"/>
      <c r="AM1093" s="6" t="n"/>
      <c r="AN1093" s="6" t="n"/>
      <c r="AO1093" s="3">
        <f>IF($AN1093="","",HYPERLINK(p_ruta_base_checklists&amp;$AN1093,"abrir"))</f>
        <v/>
      </c>
      <c r="AP1093" s="6" t="n"/>
      <c r="AQ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IF($A1094="","",IFERROR(INDEX('AJUSTES'!$B$4:$B$303,MATCH($AQ1094,'AJUSTES'!$A$4:$A$303,0)),IF($K1094="","",$K1094)))</f>
        <v/>
      </c>
      <c r="N1094" s="3">
        <f>IF($A1094="","",IFERROR(INDEX('CAT_ESTADOS_ERP'!$B$4:$B$7,MATCH(IFERROR(INDEX('2_IMPORTAR_EJECUCION'!$C$9:$C$1208,MATCH($AQ1094,'2_IMPORTAR_EJECUCION'!$J$9:$J$1208,0)),""),'CAT_ESTADOS_ERP'!$A$4:$A$7,0)),"Pendiente"))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J1094="","",IFERROR(INDEX('CALENDARIO'!$C$15:$C$214,MATCH(TEXT($J1094,"yyyy-mm-dd")&amp;"|"&amp;$V1094&amp;"|"&amp;$W1094,'CALENDARIO'!$G$15:$G$214,0)),IFERROR(INDEX('CALENDARIO'!$C$15:$C$214,MATCH(TEXT($J1094,"yyyy-mm-dd")&amp;"|"&amp;$V1094&amp;"|",'CALENDARIO'!$G$15:$G$214,0)),IFERROR(INDEX('CALENDARIO'!$C$15:$C$214,MATCH(TEXT($J1094,"yyyy-mm-dd")&amp;"||",'CALENDARIO'!$G$15:$G$214,0)),INDEX(patronHabil,WEEKDAY($J1094,2))))))</f>
        <v/>
      </c>
      <c r="T1094" s="3">
        <f>IF($I1094="","",IFERROR(INDEX('CAT_TIPOS_OT'!$C$4:$C$7,MATCH($I1094,'CAT_TIPOS_OT'!$A$4:$A$7,0)),"sin_clasificar"))</f>
        <v/>
      </c>
      <c r="U1094" s="3">
        <f>IF($F1094="","",IFERROR(INDEX('CAT_CENTROS_COSTO'!$F$4:$F$13,MATCH($F1094,'CAT_CENTROS_COSTO'!$A$4:$A$13,0)),"(sin catálogo)"))</f>
        <v/>
      </c>
      <c r="V1094" s="3">
        <f>IF($F1094="","",IFERROR(INDEX('CAT_CENTROS_COSTO'!$D$4:$D$13,MATCH($F1094,'CAT_CENTROS_COSTO'!$A$4:$A$13,0)),"(sin catálogo)"))</f>
        <v/>
      </c>
      <c r="W1094" s="3">
        <f>IF($F1094="","",IF((IFERROR(INDEX('CAT_CENTROS_COSTO'!$E$4:$E$13,MATCH($F1094,'CAT_CENTROS_COSTO'!$A$4:$A$13,0)),""))&lt;&gt;"",IFERROR(INDEX('CAT_CENTROS_COSTO'!$E$4:$E$13,MATCH($F1094,'CAT_CENTROS_COSTO'!$A$4:$A$13,0)),""),$V1094))</f>
        <v/>
      </c>
      <c r="X1094" s="3">
        <f>IF($F1094="","",IFERROR(INDEX('CAT_CENTROS_COSTO'!$G$4:$G$13,MATCH($F1094,'CAT_CENTROS_COSTO'!$A$4:$A$13,0)),"(sin catálogo)"))</f>
        <v/>
      </c>
      <c r="Y1094" s="3">
        <f>IF($G1094="","",IFERROR(INDEX('CAT_PUESTOS'!$B$4:$B$8,MATCH($G1094,'CAT_PUESTOS'!$A$4:$A$8,0)),"(sin catálogo)"))</f>
        <v/>
      </c>
      <c r="Z1094" s="3">
        <f>IF($H1094="","",IFERROR(INDEX('CAT_ACTIVIDADES'!$B$4:$B$8,MATCH($H1094,'CAT_ACTIVIDADES'!$A$4:$A$8,0)),"(sin catálogo)"))</f>
        <v/>
      </c>
      <c r="AA1094" s="12">
        <f>IF($J1094="","",TODAY()-$J1094)</f>
        <v/>
      </c>
      <c r="AB1094" s="12">
        <f>IF($J1094="","",IF($J1094&lt;=TODAY(),COUNTIFS(cal_fechas,"&gt;="&amp;$J1094,cal_fechas,"&lt;"&amp;TODAY(),cal_habil,"sí"),-COUNTIFS(cal_fechas,"&gt;="&amp;TODAY(),cal_fechas,"&lt;"&amp;$J1094,cal_habil,"sí")))</f>
        <v/>
      </c>
      <c r="AC1094" s="3">
        <f>IF($AB1094="","",IF($AB1094&lt;0,"FUTURO",IF($AB1094&gt;p_dias_backlog_max,"BACKLOG","MES CORRIENTE")))</f>
        <v/>
      </c>
      <c r="AD1094" s="3">
        <f>IF($AB1094="",FALSE,AND($AB1094&gt;p_dias_backlog_min,$AB1094&lt;=p_dias_backlog_max))</f>
        <v/>
      </c>
      <c r="AE1094" s="6" t="n"/>
      <c r="AF1094" s="3">
        <f>IF($AE1094="","",IF((IFERROR(INDEX('ASIGNACIONES'!$F$4:$F$339,MATCH($O1094&amp;"|"&amp;$R1094&amp;"|"&amp;$AE1094,'ASIGNACIONES'!$J$4:$J$339,0)),""))=0,"",IFERROR(INDEX('ASIGNACIONES'!$F$4:$F$339,MATCH($O1094&amp;"|"&amp;$R1094&amp;"|"&amp;$AE1094,'ASIGNACIONES'!$J$4:$J$339,0)),"")))</f>
        <v/>
      </c>
      <c r="AG1094" s="13">
        <f>IF($AE1094="","",SUMIFS('ORDENES'!$M$4:$M$1203,'ORDENES'!$AE$4:$AE$1203,$AE1094,'ORDENES'!$O$4:$O$1203,$O1094,'ORDENES'!$R$4:$R$1203,$R1094))</f>
        <v/>
      </c>
      <c r="AH1094" s="13">
        <f>IF($AG1094="","",p_factor_productividad*IFERROR(INDEX('ASIGNACIONES'!$I$4:$I$339,MATCH($O1094&amp;"|"&amp;$R1094&amp;"|"&amp;$AE1094,'ASIGNACIONES'!$J$4:$J$339,0)),0)-$AG1094)</f>
        <v/>
      </c>
      <c r="AI1094" s="10">
        <f>IF($A1094="","",IFERROR(INDEX('2_IMPORTAR_EJECUCION'!$F$9:$F$1208,MATCH($AQ1094,'2_IMPORTAR_EJECUCION'!$J$9:$J$1208,0)),0))</f>
        <v/>
      </c>
      <c r="AJ1094" s="10">
        <f>IF($A1094="","",MAX(0,IFERROR(INDEX('2_IMPORTAR_EJECUCION'!$H$9:$H$1208,MATCH($AQ1094,'2_IMPORTAR_EJECUCION'!$J$9:$J$1208,0)),0)-$AI1094))</f>
        <v/>
      </c>
      <c r="AK1094" s="10">
        <f>IF($A1094="","",$AI1094+$AJ1094)</f>
        <v/>
      </c>
      <c r="AL1094" s="6" t="n"/>
      <c r="AM1094" s="6" t="n"/>
      <c r="AN1094" s="6" t="n"/>
      <c r="AO1094" s="3">
        <f>IF($AN1094="","",HYPERLINK(p_ruta_base_checklists&amp;$AN1094,"abrir"))</f>
        <v/>
      </c>
      <c r="AP1094" s="6" t="n"/>
      <c r="AQ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IF($A1095="","",IFERROR(INDEX('AJUSTES'!$B$4:$B$303,MATCH($AQ1095,'AJUSTES'!$A$4:$A$303,0)),IF($K1095="","",$K1095)))</f>
        <v/>
      </c>
      <c r="N1095" s="3">
        <f>IF($A1095="","",IFERROR(INDEX('CAT_ESTADOS_ERP'!$B$4:$B$7,MATCH(IFERROR(INDEX('2_IMPORTAR_EJECUCION'!$C$9:$C$1208,MATCH($AQ1095,'2_IMPORTAR_EJECUCION'!$J$9:$J$1208,0)),""),'CAT_ESTADOS_ERP'!$A$4:$A$7,0)),"Pendiente"))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J1095="","",IFERROR(INDEX('CALENDARIO'!$C$15:$C$214,MATCH(TEXT($J1095,"yyyy-mm-dd")&amp;"|"&amp;$V1095&amp;"|"&amp;$W1095,'CALENDARIO'!$G$15:$G$214,0)),IFERROR(INDEX('CALENDARIO'!$C$15:$C$214,MATCH(TEXT($J1095,"yyyy-mm-dd")&amp;"|"&amp;$V1095&amp;"|",'CALENDARIO'!$G$15:$G$214,0)),IFERROR(INDEX('CALENDARIO'!$C$15:$C$214,MATCH(TEXT($J1095,"yyyy-mm-dd")&amp;"||",'CALENDARIO'!$G$15:$G$214,0)),INDEX(patronHabil,WEEKDAY($J1095,2))))))</f>
        <v/>
      </c>
      <c r="T1095" s="3">
        <f>IF($I1095="","",IFERROR(INDEX('CAT_TIPOS_OT'!$C$4:$C$7,MATCH($I1095,'CAT_TIPOS_OT'!$A$4:$A$7,0)),"sin_clasificar"))</f>
        <v/>
      </c>
      <c r="U1095" s="3">
        <f>IF($F1095="","",IFERROR(INDEX('CAT_CENTROS_COSTO'!$F$4:$F$13,MATCH($F1095,'CAT_CENTROS_COSTO'!$A$4:$A$13,0)),"(sin catálogo)"))</f>
        <v/>
      </c>
      <c r="V1095" s="3">
        <f>IF($F1095="","",IFERROR(INDEX('CAT_CENTROS_COSTO'!$D$4:$D$13,MATCH($F1095,'CAT_CENTROS_COSTO'!$A$4:$A$13,0)),"(sin catálogo)"))</f>
        <v/>
      </c>
      <c r="W1095" s="3">
        <f>IF($F1095="","",IF((IFERROR(INDEX('CAT_CENTROS_COSTO'!$E$4:$E$13,MATCH($F1095,'CAT_CENTROS_COSTO'!$A$4:$A$13,0)),""))&lt;&gt;"",IFERROR(INDEX('CAT_CENTROS_COSTO'!$E$4:$E$13,MATCH($F1095,'CAT_CENTROS_COSTO'!$A$4:$A$13,0)),""),$V1095))</f>
        <v/>
      </c>
      <c r="X1095" s="3">
        <f>IF($F1095="","",IFERROR(INDEX('CAT_CENTROS_COSTO'!$G$4:$G$13,MATCH($F1095,'CAT_CENTROS_COSTO'!$A$4:$A$13,0)),"(sin catálogo)"))</f>
        <v/>
      </c>
      <c r="Y1095" s="3">
        <f>IF($G1095="","",IFERROR(INDEX('CAT_PUESTOS'!$B$4:$B$8,MATCH($G1095,'CAT_PUESTOS'!$A$4:$A$8,0)),"(sin catálogo)"))</f>
        <v/>
      </c>
      <c r="Z1095" s="3">
        <f>IF($H1095="","",IFERROR(INDEX('CAT_ACTIVIDADES'!$B$4:$B$8,MATCH($H1095,'CAT_ACTIVIDADES'!$A$4:$A$8,0)),"(sin catálogo)"))</f>
        <v/>
      </c>
      <c r="AA1095" s="12">
        <f>IF($J1095="","",TODAY()-$J1095)</f>
        <v/>
      </c>
      <c r="AB1095" s="12">
        <f>IF($J1095="","",IF($J1095&lt;=TODAY(),COUNTIFS(cal_fechas,"&gt;="&amp;$J1095,cal_fechas,"&lt;"&amp;TODAY(),cal_habil,"sí"),-COUNTIFS(cal_fechas,"&gt;="&amp;TODAY(),cal_fechas,"&lt;"&amp;$J1095,cal_habil,"sí")))</f>
        <v/>
      </c>
      <c r="AC1095" s="3">
        <f>IF($AB1095="","",IF($AB1095&lt;0,"FUTURO",IF($AB1095&gt;p_dias_backlog_max,"BACKLOG","MES CORRIENTE")))</f>
        <v/>
      </c>
      <c r="AD1095" s="3">
        <f>IF($AB1095="",FALSE,AND($AB1095&gt;p_dias_backlog_min,$AB1095&lt;=p_dias_backlog_max))</f>
        <v/>
      </c>
      <c r="AE1095" s="6" t="n"/>
      <c r="AF1095" s="3">
        <f>IF($AE1095="","",IF((IFERROR(INDEX('ASIGNACIONES'!$F$4:$F$339,MATCH($O1095&amp;"|"&amp;$R1095&amp;"|"&amp;$AE1095,'ASIGNACIONES'!$J$4:$J$339,0)),""))=0,"",IFERROR(INDEX('ASIGNACIONES'!$F$4:$F$339,MATCH($O1095&amp;"|"&amp;$R1095&amp;"|"&amp;$AE1095,'ASIGNACIONES'!$J$4:$J$339,0)),"")))</f>
        <v/>
      </c>
      <c r="AG1095" s="13">
        <f>IF($AE1095="","",SUMIFS('ORDENES'!$M$4:$M$1203,'ORDENES'!$AE$4:$AE$1203,$AE1095,'ORDENES'!$O$4:$O$1203,$O1095,'ORDENES'!$R$4:$R$1203,$R1095))</f>
        <v/>
      </c>
      <c r="AH1095" s="13">
        <f>IF($AG1095="","",p_factor_productividad*IFERROR(INDEX('ASIGNACIONES'!$I$4:$I$339,MATCH($O1095&amp;"|"&amp;$R1095&amp;"|"&amp;$AE1095,'ASIGNACIONES'!$J$4:$J$339,0)),0)-$AG1095)</f>
        <v/>
      </c>
      <c r="AI1095" s="10">
        <f>IF($A1095="","",IFERROR(INDEX('2_IMPORTAR_EJECUCION'!$F$9:$F$1208,MATCH($AQ1095,'2_IMPORTAR_EJECUCION'!$J$9:$J$1208,0)),0))</f>
        <v/>
      </c>
      <c r="AJ1095" s="10">
        <f>IF($A1095="","",MAX(0,IFERROR(INDEX('2_IMPORTAR_EJECUCION'!$H$9:$H$1208,MATCH($AQ1095,'2_IMPORTAR_EJECUCION'!$J$9:$J$1208,0)),0)-$AI1095))</f>
        <v/>
      </c>
      <c r="AK1095" s="10">
        <f>IF($A1095="","",$AI1095+$AJ1095)</f>
        <v/>
      </c>
      <c r="AL1095" s="6" t="n"/>
      <c r="AM1095" s="6" t="n"/>
      <c r="AN1095" s="6" t="n"/>
      <c r="AO1095" s="3">
        <f>IF($AN1095="","",HYPERLINK(p_ruta_base_checklists&amp;$AN1095,"abrir"))</f>
        <v/>
      </c>
      <c r="AP1095" s="6" t="n"/>
      <c r="AQ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IF($A1096="","",IFERROR(INDEX('AJUSTES'!$B$4:$B$303,MATCH($AQ1096,'AJUSTES'!$A$4:$A$303,0)),IF($K1096="","",$K1096)))</f>
        <v/>
      </c>
      <c r="N1096" s="3">
        <f>IF($A1096="","",IFERROR(INDEX('CAT_ESTADOS_ERP'!$B$4:$B$7,MATCH(IFERROR(INDEX('2_IMPORTAR_EJECUCION'!$C$9:$C$1208,MATCH($AQ1096,'2_IMPORTAR_EJECUCION'!$J$9:$J$1208,0)),""),'CAT_ESTADOS_ERP'!$A$4:$A$7,0)),"Pendiente"))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J1096="","",IFERROR(INDEX('CALENDARIO'!$C$15:$C$214,MATCH(TEXT($J1096,"yyyy-mm-dd")&amp;"|"&amp;$V1096&amp;"|"&amp;$W1096,'CALENDARIO'!$G$15:$G$214,0)),IFERROR(INDEX('CALENDARIO'!$C$15:$C$214,MATCH(TEXT($J1096,"yyyy-mm-dd")&amp;"|"&amp;$V1096&amp;"|",'CALENDARIO'!$G$15:$G$214,0)),IFERROR(INDEX('CALENDARIO'!$C$15:$C$214,MATCH(TEXT($J1096,"yyyy-mm-dd")&amp;"||",'CALENDARIO'!$G$15:$G$214,0)),INDEX(patronHabil,WEEKDAY($J1096,2))))))</f>
        <v/>
      </c>
      <c r="T1096" s="3">
        <f>IF($I1096="","",IFERROR(INDEX('CAT_TIPOS_OT'!$C$4:$C$7,MATCH($I1096,'CAT_TIPOS_OT'!$A$4:$A$7,0)),"sin_clasificar"))</f>
        <v/>
      </c>
      <c r="U1096" s="3">
        <f>IF($F1096="","",IFERROR(INDEX('CAT_CENTROS_COSTO'!$F$4:$F$13,MATCH($F1096,'CAT_CENTROS_COSTO'!$A$4:$A$13,0)),"(sin catálogo)"))</f>
        <v/>
      </c>
      <c r="V1096" s="3">
        <f>IF($F1096="","",IFERROR(INDEX('CAT_CENTROS_COSTO'!$D$4:$D$13,MATCH($F1096,'CAT_CENTROS_COSTO'!$A$4:$A$13,0)),"(sin catálogo)"))</f>
        <v/>
      </c>
      <c r="W1096" s="3">
        <f>IF($F1096="","",IF((IFERROR(INDEX('CAT_CENTROS_COSTO'!$E$4:$E$13,MATCH($F1096,'CAT_CENTROS_COSTO'!$A$4:$A$13,0)),""))&lt;&gt;"",IFERROR(INDEX('CAT_CENTROS_COSTO'!$E$4:$E$13,MATCH($F1096,'CAT_CENTROS_COSTO'!$A$4:$A$13,0)),""),$V1096))</f>
        <v/>
      </c>
      <c r="X1096" s="3">
        <f>IF($F1096="","",IFERROR(INDEX('CAT_CENTROS_COSTO'!$G$4:$G$13,MATCH($F1096,'CAT_CENTROS_COSTO'!$A$4:$A$13,0)),"(sin catálogo)"))</f>
        <v/>
      </c>
      <c r="Y1096" s="3">
        <f>IF($G1096="","",IFERROR(INDEX('CAT_PUESTOS'!$B$4:$B$8,MATCH($G1096,'CAT_PUESTOS'!$A$4:$A$8,0)),"(sin catálogo)"))</f>
        <v/>
      </c>
      <c r="Z1096" s="3">
        <f>IF($H1096="","",IFERROR(INDEX('CAT_ACTIVIDADES'!$B$4:$B$8,MATCH($H1096,'CAT_ACTIVIDADES'!$A$4:$A$8,0)),"(sin catálogo)"))</f>
        <v/>
      </c>
      <c r="AA1096" s="12">
        <f>IF($J1096="","",TODAY()-$J1096)</f>
        <v/>
      </c>
      <c r="AB1096" s="12">
        <f>IF($J1096="","",IF($J1096&lt;=TODAY(),COUNTIFS(cal_fechas,"&gt;="&amp;$J1096,cal_fechas,"&lt;"&amp;TODAY(),cal_habil,"sí"),-COUNTIFS(cal_fechas,"&gt;="&amp;TODAY(),cal_fechas,"&lt;"&amp;$J1096,cal_habil,"sí")))</f>
        <v/>
      </c>
      <c r="AC1096" s="3">
        <f>IF($AB1096="","",IF($AB1096&lt;0,"FUTURO",IF($AB1096&gt;p_dias_backlog_max,"BACKLOG","MES CORRIENTE")))</f>
        <v/>
      </c>
      <c r="AD1096" s="3">
        <f>IF($AB1096="",FALSE,AND($AB1096&gt;p_dias_backlog_min,$AB1096&lt;=p_dias_backlog_max))</f>
        <v/>
      </c>
      <c r="AE1096" s="6" t="n"/>
      <c r="AF1096" s="3">
        <f>IF($AE1096="","",IF((IFERROR(INDEX('ASIGNACIONES'!$F$4:$F$339,MATCH($O1096&amp;"|"&amp;$R1096&amp;"|"&amp;$AE1096,'ASIGNACIONES'!$J$4:$J$339,0)),""))=0,"",IFERROR(INDEX('ASIGNACIONES'!$F$4:$F$339,MATCH($O1096&amp;"|"&amp;$R1096&amp;"|"&amp;$AE1096,'ASIGNACIONES'!$J$4:$J$339,0)),"")))</f>
        <v/>
      </c>
      <c r="AG1096" s="13">
        <f>IF($AE1096="","",SUMIFS('ORDENES'!$M$4:$M$1203,'ORDENES'!$AE$4:$AE$1203,$AE1096,'ORDENES'!$O$4:$O$1203,$O1096,'ORDENES'!$R$4:$R$1203,$R1096))</f>
        <v/>
      </c>
      <c r="AH1096" s="13">
        <f>IF($AG1096="","",p_factor_productividad*IFERROR(INDEX('ASIGNACIONES'!$I$4:$I$339,MATCH($O1096&amp;"|"&amp;$R1096&amp;"|"&amp;$AE1096,'ASIGNACIONES'!$J$4:$J$339,0)),0)-$AG1096)</f>
        <v/>
      </c>
      <c r="AI1096" s="10">
        <f>IF($A1096="","",IFERROR(INDEX('2_IMPORTAR_EJECUCION'!$F$9:$F$1208,MATCH($AQ1096,'2_IMPORTAR_EJECUCION'!$J$9:$J$1208,0)),0))</f>
        <v/>
      </c>
      <c r="AJ1096" s="10">
        <f>IF($A1096="","",MAX(0,IFERROR(INDEX('2_IMPORTAR_EJECUCION'!$H$9:$H$1208,MATCH($AQ1096,'2_IMPORTAR_EJECUCION'!$J$9:$J$1208,0)),0)-$AI1096))</f>
        <v/>
      </c>
      <c r="AK1096" s="10">
        <f>IF($A1096="","",$AI1096+$AJ1096)</f>
        <v/>
      </c>
      <c r="AL1096" s="6" t="n"/>
      <c r="AM1096" s="6" t="n"/>
      <c r="AN1096" s="6" t="n"/>
      <c r="AO1096" s="3">
        <f>IF($AN1096="","",HYPERLINK(p_ruta_base_checklists&amp;$AN1096,"abrir"))</f>
        <v/>
      </c>
      <c r="AP1096" s="6" t="n"/>
      <c r="AQ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IF($A1097="","",IFERROR(INDEX('AJUSTES'!$B$4:$B$303,MATCH($AQ1097,'AJUSTES'!$A$4:$A$303,0)),IF($K1097="","",$K1097)))</f>
        <v/>
      </c>
      <c r="N1097" s="3">
        <f>IF($A1097="","",IFERROR(INDEX('CAT_ESTADOS_ERP'!$B$4:$B$7,MATCH(IFERROR(INDEX('2_IMPORTAR_EJECUCION'!$C$9:$C$1208,MATCH($AQ1097,'2_IMPORTAR_EJECUCION'!$J$9:$J$1208,0)),""),'CAT_ESTADOS_ERP'!$A$4:$A$7,0)),"Pendiente"))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J1097="","",IFERROR(INDEX('CALENDARIO'!$C$15:$C$214,MATCH(TEXT($J1097,"yyyy-mm-dd")&amp;"|"&amp;$V1097&amp;"|"&amp;$W1097,'CALENDARIO'!$G$15:$G$214,0)),IFERROR(INDEX('CALENDARIO'!$C$15:$C$214,MATCH(TEXT($J1097,"yyyy-mm-dd")&amp;"|"&amp;$V1097&amp;"|",'CALENDARIO'!$G$15:$G$214,0)),IFERROR(INDEX('CALENDARIO'!$C$15:$C$214,MATCH(TEXT($J1097,"yyyy-mm-dd")&amp;"||",'CALENDARIO'!$G$15:$G$214,0)),INDEX(patronHabil,WEEKDAY($J1097,2))))))</f>
        <v/>
      </c>
      <c r="T1097" s="3">
        <f>IF($I1097="","",IFERROR(INDEX('CAT_TIPOS_OT'!$C$4:$C$7,MATCH($I1097,'CAT_TIPOS_OT'!$A$4:$A$7,0)),"sin_clasificar"))</f>
        <v/>
      </c>
      <c r="U1097" s="3">
        <f>IF($F1097="","",IFERROR(INDEX('CAT_CENTROS_COSTO'!$F$4:$F$13,MATCH($F1097,'CAT_CENTROS_COSTO'!$A$4:$A$13,0)),"(sin catálogo)"))</f>
        <v/>
      </c>
      <c r="V1097" s="3">
        <f>IF($F1097="","",IFERROR(INDEX('CAT_CENTROS_COSTO'!$D$4:$D$13,MATCH($F1097,'CAT_CENTROS_COSTO'!$A$4:$A$13,0)),"(sin catálogo)"))</f>
        <v/>
      </c>
      <c r="W1097" s="3">
        <f>IF($F1097="","",IF((IFERROR(INDEX('CAT_CENTROS_COSTO'!$E$4:$E$13,MATCH($F1097,'CAT_CENTROS_COSTO'!$A$4:$A$13,0)),""))&lt;&gt;"",IFERROR(INDEX('CAT_CENTROS_COSTO'!$E$4:$E$13,MATCH($F1097,'CAT_CENTROS_COSTO'!$A$4:$A$13,0)),""),$V1097))</f>
        <v/>
      </c>
      <c r="X1097" s="3">
        <f>IF($F1097="","",IFERROR(INDEX('CAT_CENTROS_COSTO'!$G$4:$G$13,MATCH($F1097,'CAT_CENTROS_COSTO'!$A$4:$A$13,0)),"(sin catálogo)"))</f>
        <v/>
      </c>
      <c r="Y1097" s="3">
        <f>IF($G1097="","",IFERROR(INDEX('CAT_PUESTOS'!$B$4:$B$8,MATCH($G1097,'CAT_PUESTOS'!$A$4:$A$8,0)),"(sin catálogo)"))</f>
        <v/>
      </c>
      <c r="Z1097" s="3">
        <f>IF($H1097="","",IFERROR(INDEX('CAT_ACTIVIDADES'!$B$4:$B$8,MATCH($H1097,'CAT_ACTIVIDADES'!$A$4:$A$8,0)),"(sin catálogo)"))</f>
        <v/>
      </c>
      <c r="AA1097" s="12">
        <f>IF($J1097="","",TODAY()-$J1097)</f>
        <v/>
      </c>
      <c r="AB1097" s="12">
        <f>IF($J1097="","",IF($J1097&lt;=TODAY(),COUNTIFS(cal_fechas,"&gt;="&amp;$J1097,cal_fechas,"&lt;"&amp;TODAY(),cal_habil,"sí"),-COUNTIFS(cal_fechas,"&gt;="&amp;TODAY(),cal_fechas,"&lt;"&amp;$J1097,cal_habil,"sí")))</f>
        <v/>
      </c>
      <c r="AC1097" s="3">
        <f>IF($AB1097="","",IF($AB1097&lt;0,"FUTURO",IF($AB1097&gt;p_dias_backlog_max,"BACKLOG","MES CORRIENTE")))</f>
        <v/>
      </c>
      <c r="AD1097" s="3">
        <f>IF($AB1097="",FALSE,AND($AB1097&gt;p_dias_backlog_min,$AB1097&lt;=p_dias_backlog_max))</f>
        <v/>
      </c>
      <c r="AE1097" s="6" t="n"/>
      <c r="AF1097" s="3">
        <f>IF($AE1097="","",IF((IFERROR(INDEX('ASIGNACIONES'!$F$4:$F$339,MATCH($O1097&amp;"|"&amp;$R1097&amp;"|"&amp;$AE1097,'ASIGNACIONES'!$J$4:$J$339,0)),""))=0,"",IFERROR(INDEX('ASIGNACIONES'!$F$4:$F$339,MATCH($O1097&amp;"|"&amp;$R1097&amp;"|"&amp;$AE1097,'ASIGNACIONES'!$J$4:$J$339,0)),"")))</f>
        <v/>
      </c>
      <c r="AG1097" s="13">
        <f>IF($AE1097="","",SUMIFS('ORDENES'!$M$4:$M$1203,'ORDENES'!$AE$4:$AE$1203,$AE1097,'ORDENES'!$O$4:$O$1203,$O1097,'ORDENES'!$R$4:$R$1203,$R1097))</f>
        <v/>
      </c>
      <c r="AH1097" s="13">
        <f>IF($AG1097="","",p_factor_productividad*IFERROR(INDEX('ASIGNACIONES'!$I$4:$I$339,MATCH($O1097&amp;"|"&amp;$R1097&amp;"|"&amp;$AE1097,'ASIGNACIONES'!$J$4:$J$339,0)),0)-$AG1097)</f>
        <v/>
      </c>
      <c r="AI1097" s="10">
        <f>IF($A1097="","",IFERROR(INDEX('2_IMPORTAR_EJECUCION'!$F$9:$F$1208,MATCH($AQ1097,'2_IMPORTAR_EJECUCION'!$J$9:$J$1208,0)),0))</f>
        <v/>
      </c>
      <c r="AJ1097" s="10">
        <f>IF($A1097="","",MAX(0,IFERROR(INDEX('2_IMPORTAR_EJECUCION'!$H$9:$H$1208,MATCH($AQ1097,'2_IMPORTAR_EJECUCION'!$J$9:$J$1208,0)),0)-$AI1097))</f>
        <v/>
      </c>
      <c r="AK1097" s="10">
        <f>IF($A1097="","",$AI1097+$AJ1097)</f>
        <v/>
      </c>
      <c r="AL1097" s="6" t="n"/>
      <c r="AM1097" s="6" t="n"/>
      <c r="AN1097" s="6" t="n"/>
      <c r="AO1097" s="3">
        <f>IF($AN1097="","",HYPERLINK(p_ruta_base_checklists&amp;$AN1097,"abrir"))</f>
        <v/>
      </c>
      <c r="AP1097" s="6" t="n"/>
      <c r="AQ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IF($A1098="","",IFERROR(INDEX('AJUSTES'!$B$4:$B$303,MATCH($AQ1098,'AJUSTES'!$A$4:$A$303,0)),IF($K1098="","",$K1098)))</f>
        <v/>
      </c>
      <c r="N1098" s="3">
        <f>IF($A1098="","",IFERROR(INDEX('CAT_ESTADOS_ERP'!$B$4:$B$7,MATCH(IFERROR(INDEX('2_IMPORTAR_EJECUCION'!$C$9:$C$1208,MATCH($AQ1098,'2_IMPORTAR_EJECUCION'!$J$9:$J$1208,0)),""),'CAT_ESTADOS_ERP'!$A$4:$A$7,0)),"Pendiente"))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J1098="","",IFERROR(INDEX('CALENDARIO'!$C$15:$C$214,MATCH(TEXT($J1098,"yyyy-mm-dd")&amp;"|"&amp;$V1098&amp;"|"&amp;$W1098,'CALENDARIO'!$G$15:$G$214,0)),IFERROR(INDEX('CALENDARIO'!$C$15:$C$214,MATCH(TEXT($J1098,"yyyy-mm-dd")&amp;"|"&amp;$V1098&amp;"|",'CALENDARIO'!$G$15:$G$214,0)),IFERROR(INDEX('CALENDARIO'!$C$15:$C$214,MATCH(TEXT($J1098,"yyyy-mm-dd")&amp;"||",'CALENDARIO'!$G$15:$G$214,0)),INDEX(patronHabil,WEEKDAY($J1098,2))))))</f>
        <v/>
      </c>
      <c r="T1098" s="3">
        <f>IF($I1098="","",IFERROR(INDEX('CAT_TIPOS_OT'!$C$4:$C$7,MATCH($I1098,'CAT_TIPOS_OT'!$A$4:$A$7,0)),"sin_clasificar"))</f>
        <v/>
      </c>
      <c r="U1098" s="3">
        <f>IF($F1098="","",IFERROR(INDEX('CAT_CENTROS_COSTO'!$F$4:$F$13,MATCH($F1098,'CAT_CENTROS_COSTO'!$A$4:$A$13,0)),"(sin catálogo)"))</f>
        <v/>
      </c>
      <c r="V1098" s="3">
        <f>IF($F1098="","",IFERROR(INDEX('CAT_CENTROS_COSTO'!$D$4:$D$13,MATCH($F1098,'CAT_CENTROS_COSTO'!$A$4:$A$13,0)),"(sin catálogo)"))</f>
        <v/>
      </c>
      <c r="W1098" s="3">
        <f>IF($F1098="","",IF((IFERROR(INDEX('CAT_CENTROS_COSTO'!$E$4:$E$13,MATCH($F1098,'CAT_CENTROS_COSTO'!$A$4:$A$13,0)),""))&lt;&gt;"",IFERROR(INDEX('CAT_CENTROS_COSTO'!$E$4:$E$13,MATCH($F1098,'CAT_CENTROS_COSTO'!$A$4:$A$13,0)),""),$V1098))</f>
        <v/>
      </c>
      <c r="X1098" s="3">
        <f>IF($F1098="","",IFERROR(INDEX('CAT_CENTROS_COSTO'!$G$4:$G$13,MATCH($F1098,'CAT_CENTROS_COSTO'!$A$4:$A$13,0)),"(sin catálogo)"))</f>
        <v/>
      </c>
      <c r="Y1098" s="3">
        <f>IF($G1098="","",IFERROR(INDEX('CAT_PUESTOS'!$B$4:$B$8,MATCH($G1098,'CAT_PUESTOS'!$A$4:$A$8,0)),"(sin catálogo)"))</f>
        <v/>
      </c>
      <c r="Z1098" s="3">
        <f>IF($H1098="","",IFERROR(INDEX('CAT_ACTIVIDADES'!$B$4:$B$8,MATCH($H1098,'CAT_ACTIVIDADES'!$A$4:$A$8,0)),"(sin catálogo)"))</f>
        <v/>
      </c>
      <c r="AA1098" s="12">
        <f>IF($J1098="","",TODAY()-$J1098)</f>
        <v/>
      </c>
      <c r="AB1098" s="12">
        <f>IF($J1098="","",IF($J1098&lt;=TODAY(),COUNTIFS(cal_fechas,"&gt;="&amp;$J1098,cal_fechas,"&lt;"&amp;TODAY(),cal_habil,"sí"),-COUNTIFS(cal_fechas,"&gt;="&amp;TODAY(),cal_fechas,"&lt;"&amp;$J1098,cal_habil,"sí")))</f>
        <v/>
      </c>
      <c r="AC1098" s="3">
        <f>IF($AB1098="","",IF($AB1098&lt;0,"FUTURO",IF($AB1098&gt;p_dias_backlog_max,"BACKLOG","MES CORRIENTE")))</f>
        <v/>
      </c>
      <c r="AD1098" s="3">
        <f>IF($AB1098="",FALSE,AND($AB1098&gt;p_dias_backlog_min,$AB1098&lt;=p_dias_backlog_max))</f>
        <v/>
      </c>
      <c r="AE1098" s="6" t="n"/>
      <c r="AF1098" s="3">
        <f>IF($AE1098="","",IF((IFERROR(INDEX('ASIGNACIONES'!$F$4:$F$339,MATCH($O1098&amp;"|"&amp;$R1098&amp;"|"&amp;$AE1098,'ASIGNACIONES'!$J$4:$J$339,0)),""))=0,"",IFERROR(INDEX('ASIGNACIONES'!$F$4:$F$339,MATCH($O1098&amp;"|"&amp;$R1098&amp;"|"&amp;$AE1098,'ASIGNACIONES'!$J$4:$J$339,0)),"")))</f>
        <v/>
      </c>
      <c r="AG1098" s="13">
        <f>IF($AE1098="","",SUMIFS('ORDENES'!$M$4:$M$1203,'ORDENES'!$AE$4:$AE$1203,$AE1098,'ORDENES'!$O$4:$O$1203,$O1098,'ORDENES'!$R$4:$R$1203,$R1098))</f>
        <v/>
      </c>
      <c r="AH1098" s="13">
        <f>IF($AG1098="","",p_factor_productividad*IFERROR(INDEX('ASIGNACIONES'!$I$4:$I$339,MATCH($O1098&amp;"|"&amp;$R1098&amp;"|"&amp;$AE1098,'ASIGNACIONES'!$J$4:$J$339,0)),0)-$AG1098)</f>
        <v/>
      </c>
      <c r="AI1098" s="10">
        <f>IF($A1098="","",IFERROR(INDEX('2_IMPORTAR_EJECUCION'!$F$9:$F$1208,MATCH($AQ1098,'2_IMPORTAR_EJECUCION'!$J$9:$J$1208,0)),0))</f>
        <v/>
      </c>
      <c r="AJ1098" s="10">
        <f>IF($A1098="","",MAX(0,IFERROR(INDEX('2_IMPORTAR_EJECUCION'!$H$9:$H$1208,MATCH($AQ1098,'2_IMPORTAR_EJECUCION'!$J$9:$J$1208,0)),0)-$AI1098))</f>
        <v/>
      </c>
      <c r="AK1098" s="10">
        <f>IF($A1098="","",$AI1098+$AJ1098)</f>
        <v/>
      </c>
      <c r="AL1098" s="6" t="n"/>
      <c r="AM1098" s="6" t="n"/>
      <c r="AN1098" s="6" t="n"/>
      <c r="AO1098" s="3">
        <f>IF($AN1098="","",HYPERLINK(p_ruta_base_checklists&amp;$AN1098,"abrir"))</f>
        <v/>
      </c>
      <c r="AP1098" s="6" t="n"/>
      <c r="AQ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IF($A1099="","",IFERROR(INDEX('AJUSTES'!$B$4:$B$303,MATCH($AQ1099,'AJUSTES'!$A$4:$A$303,0)),IF($K1099="","",$K1099)))</f>
        <v/>
      </c>
      <c r="N1099" s="3">
        <f>IF($A1099="","",IFERROR(INDEX('CAT_ESTADOS_ERP'!$B$4:$B$7,MATCH(IFERROR(INDEX('2_IMPORTAR_EJECUCION'!$C$9:$C$1208,MATCH($AQ1099,'2_IMPORTAR_EJECUCION'!$J$9:$J$1208,0)),""),'CAT_ESTADOS_ERP'!$A$4:$A$7,0)),"Pendiente"))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J1099="","",IFERROR(INDEX('CALENDARIO'!$C$15:$C$214,MATCH(TEXT($J1099,"yyyy-mm-dd")&amp;"|"&amp;$V1099&amp;"|"&amp;$W1099,'CALENDARIO'!$G$15:$G$214,0)),IFERROR(INDEX('CALENDARIO'!$C$15:$C$214,MATCH(TEXT($J1099,"yyyy-mm-dd")&amp;"|"&amp;$V1099&amp;"|",'CALENDARIO'!$G$15:$G$214,0)),IFERROR(INDEX('CALENDARIO'!$C$15:$C$214,MATCH(TEXT($J1099,"yyyy-mm-dd")&amp;"||",'CALENDARIO'!$G$15:$G$214,0)),INDEX(patronHabil,WEEKDAY($J1099,2))))))</f>
        <v/>
      </c>
      <c r="T1099" s="3">
        <f>IF($I1099="","",IFERROR(INDEX('CAT_TIPOS_OT'!$C$4:$C$7,MATCH($I1099,'CAT_TIPOS_OT'!$A$4:$A$7,0)),"sin_clasificar"))</f>
        <v/>
      </c>
      <c r="U1099" s="3">
        <f>IF($F1099="","",IFERROR(INDEX('CAT_CENTROS_COSTO'!$F$4:$F$13,MATCH($F1099,'CAT_CENTROS_COSTO'!$A$4:$A$13,0)),"(sin catálogo)"))</f>
        <v/>
      </c>
      <c r="V1099" s="3">
        <f>IF($F1099="","",IFERROR(INDEX('CAT_CENTROS_COSTO'!$D$4:$D$13,MATCH($F1099,'CAT_CENTROS_COSTO'!$A$4:$A$13,0)),"(sin catálogo)"))</f>
        <v/>
      </c>
      <c r="W1099" s="3">
        <f>IF($F1099="","",IF((IFERROR(INDEX('CAT_CENTROS_COSTO'!$E$4:$E$13,MATCH($F1099,'CAT_CENTROS_COSTO'!$A$4:$A$13,0)),""))&lt;&gt;"",IFERROR(INDEX('CAT_CENTROS_COSTO'!$E$4:$E$13,MATCH($F1099,'CAT_CENTROS_COSTO'!$A$4:$A$13,0)),""),$V1099))</f>
        <v/>
      </c>
      <c r="X1099" s="3">
        <f>IF($F1099="","",IFERROR(INDEX('CAT_CENTROS_COSTO'!$G$4:$G$13,MATCH($F1099,'CAT_CENTROS_COSTO'!$A$4:$A$13,0)),"(sin catálogo)"))</f>
        <v/>
      </c>
      <c r="Y1099" s="3">
        <f>IF($G1099="","",IFERROR(INDEX('CAT_PUESTOS'!$B$4:$B$8,MATCH($G1099,'CAT_PUESTOS'!$A$4:$A$8,0)),"(sin catálogo)"))</f>
        <v/>
      </c>
      <c r="Z1099" s="3">
        <f>IF($H1099="","",IFERROR(INDEX('CAT_ACTIVIDADES'!$B$4:$B$8,MATCH($H1099,'CAT_ACTIVIDADES'!$A$4:$A$8,0)),"(sin catálogo)"))</f>
        <v/>
      </c>
      <c r="AA1099" s="12">
        <f>IF($J1099="","",TODAY()-$J1099)</f>
        <v/>
      </c>
      <c r="AB1099" s="12">
        <f>IF($J1099="","",IF($J1099&lt;=TODAY(),COUNTIFS(cal_fechas,"&gt;="&amp;$J1099,cal_fechas,"&lt;"&amp;TODAY(),cal_habil,"sí"),-COUNTIFS(cal_fechas,"&gt;="&amp;TODAY(),cal_fechas,"&lt;"&amp;$J1099,cal_habil,"sí")))</f>
        <v/>
      </c>
      <c r="AC1099" s="3">
        <f>IF($AB1099="","",IF($AB1099&lt;0,"FUTURO",IF($AB1099&gt;p_dias_backlog_max,"BACKLOG","MES CORRIENTE")))</f>
        <v/>
      </c>
      <c r="AD1099" s="3">
        <f>IF($AB1099="",FALSE,AND($AB1099&gt;p_dias_backlog_min,$AB1099&lt;=p_dias_backlog_max))</f>
        <v/>
      </c>
      <c r="AE1099" s="6" t="n"/>
      <c r="AF1099" s="3">
        <f>IF($AE1099="","",IF((IFERROR(INDEX('ASIGNACIONES'!$F$4:$F$339,MATCH($O1099&amp;"|"&amp;$R1099&amp;"|"&amp;$AE1099,'ASIGNACIONES'!$J$4:$J$339,0)),""))=0,"",IFERROR(INDEX('ASIGNACIONES'!$F$4:$F$339,MATCH($O1099&amp;"|"&amp;$R1099&amp;"|"&amp;$AE1099,'ASIGNACIONES'!$J$4:$J$339,0)),"")))</f>
        <v/>
      </c>
      <c r="AG1099" s="13">
        <f>IF($AE1099="","",SUMIFS('ORDENES'!$M$4:$M$1203,'ORDENES'!$AE$4:$AE$1203,$AE1099,'ORDENES'!$O$4:$O$1203,$O1099,'ORDENES'!$R$4:$R$1203,$R1099))</f>
        <v/>
      </c>
      <c r="AH1099" s="13">
        <f>IF($AG1099="","",p_factor_productividad*IFERROR(INDEX('ASIGNACIONES'!$I$4:$I$339,MATCH($O1099&amp;"|"&amp;$R1099&amp;"|"&amp;$AE1099,'ASIGNACIONES'!$J$4:$J$339,0)),0)-$AG1099)</f>
        <v/>
      </c>
      <c r="AI1099" s="10">
        <f>IF($A1099="","",IFERROR(INDEX('2_IMPORTAR_EJECUCION'!$F$9:$F$1208,MATCH($AQ1099,'2_IMPORTAR_EJECUCION'!$J$9:$J$1208,0)),0))</f>
        <v/>
      </c>
      <c r="AJ1099" s="10">
        <f>IF($A1099="","",MAX(0,IFERROR(INDEX('2_IMPORTAR_EJECUCION'!$H$9:$H$1208,MATCH($AQ1099,'2_IMPORTAR_EJECUCION'!$J$9:$J$1208,0)),0)-$AI1099))</f>
        <v/>
      </c>
      <c r="AK1099" s="10">
        <f>IF($A1099="","",$AI1099+$AJ1099)</f>
        <v/>
      </c>
      <c r="AL1099" s="6" t="n"/>
      <c r="AM1099" s="6" t="n"/>
      <c r="AN1099" s="6" t="n"/>
      <c r="AO1099" s="3">
        <f>IF($AN1099="","",HYPERLINK(p_ruta_base_checklists&amp;$AN1099,"abrir"))</f>
        <v/>
      </c>
      <c r="AP1099" s="6" t="n"/>
      <c r="AQ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IF($A1100="","",IFERROR(INDEX('AJUSTES'!$B$4:$B$303,MATCH($AQ1100,'AJUSTES'!$A$4:$A$303,0)),IF($K1100="","",$K1100)))</f>
        <v/>
      </c>
      <c r="N1100" s="3">
        <f>IF($A1100="","",IFERROR(INDEX('CAT_ESTADOS_ERP'!$B$4:$B$7,MATCH(IFERROR(INDEX('2_IMPORTAR_EJECUCION'!$C$9:$C$1208,MATCH($AQ1100,'2_IMPORTAR_EJECUCION'!$J$9:$J$1208,0)),""),'CAT_ESTADOS_ERP'!$A$4:$A$7,0)),"Pendiente"))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J1100="","",IFERROR(INDEX('CALENDARIO'!$C$15:$C$214,MATCH(TEXT($J1100,"yyyy-mm-dd")&amp;"|"&amp;$V1100&amp;"|"&amp;$W1100,'CALENDARIO'!$G$15:$G$214,0)),IFERROR(INDEX('CALENDARIO'!$C$15:$C$214,MATCH(TEXT($J1100,"yyyy-mm-dd")&amp;"|"&amp;$V1100&amp;"|",'CALENDARIO'!$G$15:$G$214,0)),IFERROR(INDEX('CALENDARIO'!$C$15:$C$214,MATCH(TEXT($J1100,"yyyy-mm-dd")&amp;"||",'CALENDARIO'!$G$15:$G$214,0)),INDEX(patronHabil,WEEKDAY($J1100,2))))))</f>
        <v/>
      </c>
      <c r="T1100" s="3">
        <f>IF($I1100="","",IFERROR(INDEX('CAT_TIPOS_OT'!$C$4:$C$7,MATCH($I1100,'CAT_TIPOS_OT'!$A$4:$A$7,0)),"sin_clasificar"))</f>
        <v/>
      </c>
      <c r="U1100" s="3">
        <f>IF($F1100="","",IFERROR(INDEX('CAT_CENTROS_COSTO'!$F$4:$F$13,MATCH($F1100,'CAT_CENTROS_COSTO'!$A$4:$A$13,0)),"(sin catálogo)"))</f>
        <v/>
      </c>
      <c r="V1100" s="3">
        <f>IF($F1100="","",IFERROR(INDEX('CAT_CENTROS_COSTO'!$D$4:$D$13,MATCH($F1100,'CAT_CENTROS_COSTO'!$A$4:$A$13,0)),"(sin catálogo)"))</f>
        <v/>
      </c>
      <c r="W1100" s="3">
        <f>IF($F1100="","",IF((IFERROR(INDEX('CAT_CENTROS_COSTO'!$E$4:$E$13,MATCH($F1100,'CAT_CENTROS_COSTO'!$A$4:$A$13,0)),""))&lt;&gt;"",IFERROR(INDEX('CAT_CENTROS_COSTO'!$E$4:$E$13,MATCH($F1100,'CAT_CENTROS_COSTO'!$A$4:$A$13,0)),""),$V1100))</f>
        <v/>
      </c>
      <c r="X1100" s="3">
        <f>IF($F1100="","",IFERROR(INDEX('CAT_CENTROS_COSTO'!$G$4:$G$13,MATCH($F1100,'CAT_CENTROS_COSTO'!$A$4:$A$13,0)),"(sin catálogo)"))</f>
        <v/>
      </c>
      <c r="Y1100" s="3">
        <f>IF($G1100="","",IFERROR(INDEX('CAT_PUESTOS'!$B$4:$B$8,MATCH($G1100,'CAT_PUESTOS'!$A$4:$A$8,0)),"(sin catálogo)"))</f>
        <v/>
      </c>
      <c r="Z1100" s="3">
        <f>IF($H1100="","",IFERROR(INDEX('CAT_ACTIVIDADES'!$B$4:$B$8,MATCH($H1100,'CAT_ACTIVIDADES'!$A$4:$A$8,0)),"(sin catálogo)"))</f>
        <v/>
      </c>
      <c r="AA1100" s="12">
        <f>IF($J1100="","",TODAY()-$J1100)</f>
        <v/>
      </c>
      <c r="AB1100" s="12">
        <f>IF($J1100="","",IF($J1100&lt;=TODAY(),COUNTIFS(cal_fechas,"&gt;="&amp;$J1100,cal_fechas,"&lt;"&amp;TODAY(),cal_habil,"sí"),-COUNTIFS(cal_fechas,"&gt;="&amp;TODAY(),cal_fechas,"&lt;"&amp;$J1100,cal_habil,"sí")))</f>
        <v/>
      </c>
      <c r="AC1100" s="3">
        <f>IF($AB1100="","",IF($AB1100&lt;0,"FUTURO",IF($AB1100&gt;p_dias_backlog_max,"BACKLOG","MES CORRIENTE")))</f>
        <v/>
      </c>
      <c r="AD1100" s="3">
        <f>IF($AB1100="",FALSE,AND($AB1100&gt;p_dias_backlog_min,$AB1100&lt;=p_dias_backlog_max))</f>
        <v/>
      </c>
      <c r="AE1100" s="6" t="n"/>
      <c r="AF1100" s="3">
        <f>IF($AE1100="","",IF((IFERROR(INDEX('ASIGNACIONES'!$F$4:$F$339,MATCH($O1100&amp;"|"&amp;$R1100&amp;"|"&amp;$AE1100,'ASIGNACIONES'!$J$4:$J$339,0)),""))=0,"",IFERROR(INDEX('ASIGNACIONES'!$F$4:$F$339,MATCH($O1100&amp;"|"&amp;$R1100&amp;"|"&amp;$AE1100,'ASIGNACIONES'!$J$4:$J$339,0)),"")))</f>
        <v/>
      </c>
      <c r="AG1100" s="13">
        <f>IF($AE1100="","",SUMIFS('ORDENES'!$M$4:$M$1203,'ORDENES'!$AE$4:$AE$1203,$AE1100,'ORDENES'!$O$4:$O$1203,$O1100,'ORDENES'!$R$4:$R$1203,$R1100))</f>
        <v/>
      </c>
      <c r="AH1100" s="13">
        <f>IF($AG1100="","",p_factor_productividad*IFERROR(INDEX('ASIGNACIONES'!$I$4:$I$339,MATCH($O1100&amp;"|"&amp;$R1100&amp;"|"&amp;$AE1100,'ASIGNACIONES'!$J$4:$J$339,0)),0)-$AG1100)</f>
        <v/>
      </c>
      <c r="AI1100" s="10">
        <f>IF($A1100="","",IFERROR(INDEX('2_IMPORTAR_EJECUCION'!$F$9:$F$1208,MATCH($AQ1100,'2_IMPORTAR_EJECUCION'!$J$9:$J$1208,0)),0))</f>
        <v/>
      </c>
      <c r="AJ1100" s="10">
        <f>IF($A1100="","",MAX(0,IFERROR(INDEX('2_IMPORTAR_EJECUCION'!$H$9:$H$1208,MATCH($AQ1100,'2_IMPORTAR_EJECUCION'!$J$9:$J$1208,0)),0)-$AI1100))</f>
        <v/>
      </c>
      <c r="AK1100" s="10">
        <f>IF($A1100="","",$AI1100+$AJ1100)</f>
        <v/>
      </c>
      <c r="AL1100" s="6" t="n"/>
      <c r="AM1100" s="6" t="n"/>
      <c r="AN1100" s="6" t="n"/>
      <c r="AO1100" s="3">
        <f>IF($AN1100="","",HYPERLINK(p_ruta_base_checklists&amp;$AN1100,"abrir"))</f>
        <v/>
      </c>
      <c r="AP1100" s="6" t="n"/>
      <c r="AQ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IF($A1101="","",IFERROR(INDEX('AJUSTES'!$B$4:$B$303,MATCH($AQ1101,'AJUSTES'!$A$4:$A$303,0)),IF($K1101="","",$K1101)))</f>
        <v/>
      </c>
      <c r="N1101" s="3">
        <f>IF($A1101="","",IFERROR(INDEX('CAT_ESTADOS_ERP'!$B$4:$B$7,MATCH(IFERROR(INDEX('2_IMPORTAR_EJECUCION'!$C$9:$C$1208,MATCH($AQ1101,'2_IMPORTAR_EJECUCION'!$J$9:$J$1208,0)),""),'CAT_ESTADOS_ERP'!$A$4:$A$7,0)),"Pendiente"))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J1101="","",IFERROR(INDEX('CALENDARIO'!$C$15:$C$214,MATCH(TEXT($J1101,"yyyy-mm-dd")&amp;"|"&amp;$V1101&amp;"|"&amp;$W1101,'CALENDARIO'!$G$15:$G$214,0)),IFERROR(INDEX('CALENDARIO'!$C$15:$C$214,MATCH(TEXT($J1101,"yyyy-mm-dd")&amp;"|"&amp;$V1101&amp;"|",'CALENDARIO'!$G$15:$G$214,0)),IFERROR(INDEX('CALENDARIO'!$C$15:$C$214,MATCH(TEXT($J1101,"yyyy-mm-dd")&amp;"||",'CALENDARIO'!$G$15:$G$214,0)),INDEX(patronHabil,WEEKDAY($J1101,2))))))</f>
        <v/>
      </c>
      <c r="T1101" s="3">
        <f>IF($I1101="","",IFERROR(INDEX('CAT_TIPOS_OT'!$C$4:$C$7,MATCH($I1101,'CAT_TIPOS_OT'!$A$4:$A$7,0)),"sin_clasificar"))</f>
        <v/>
      </c>
      <c r="U1101" s="3">
        <f>IF($F1101="","",IFERROR(INDEX('CAT_CENTROS_COSTO'!$F$4:$F$13,MATCH($F1101,'CAT_CENTROS_COSTO'!$A$4:$A$13,0)),"(sin catálogo)"))</f>
        <v/>
      </c>
      <c r="V1101" s="3">
        <f>IF($F1101="","",IFERROR(INDEX('CAT_CENTROS_COSTO'!$D$4:$D$13,MATCH($F1101,'CAT_CENTROS_COSTO'!$A$4:$A$13,0)),"(sin catálogo)"))</f>
        <v/>
      </c>
      <c r="W1101" s="3">
        <f>IF($F1101="","",IF((IFERROR(INDEX('CAT_CENTROS_COSTO'!$E$4:$E$13,MATCH($F1101,'CAT_CENTROS_COSTO'!$A$4:$A$13,0)),""))&lt;&gt;"",IFERROR(INDEX('CAT_CENTROS_COSTO'!$E$4:$E$13,MATCH($F1101,'CAT_CENTROS_COSTO'!$A$4:$A$13,0)),""),$V1101))</f>
        <v/>
      </c>
      <c r="X1101" s="3">
        <f>IF($F1101="","",IFERROR(INDEX('CAT_CENTROS_COSTO'!$G$4:$G$13,MATCH($F1101,'CAT_CENTROS_COSTO'!$A$4:$A$13,0)),"(sin catálogo)"))</f>
        <v/>
      </c>
      <c r="Y1101" s="3">
        <f>IF($G1101="","",IFERROR(INDEX('CAT_PUESTOS'!$B$4:$B$8,MATCH($G1101,'CAT_PUESTOS'!$A$4:$A$8,0)),"(sin catálogo)"))</f>
        <v/>
      </c>
      <c r="Z1101" s="3">
        <f>IF($H1101="","",IFERROR(INDEX('CAT_ACTIVIDADES'!$B$4:$B$8,MATCH($H1101,'CAT_ACTIVIDADES'!$A$4:$A$8,0)),"(sin catálogo)"))</f>
        <v/>
      </c>
      <c r="AA1101" s="12">
        <f>IF($J1101="","",TODAY()-$J1101)</f>
        <v/>
      </c>
      <c r="AB1101" s="12">
        <f>IF($J1101="","",IF($J1101&lt;=TODAY(),COUNTIFS(cal_fechas,"&gt;="&amp;$J1101,cal_fechas,"&lt;"&amp;TODAY(),cal_habil,"sí"),-COUNTIFS(cal_fechas,"&gt;="&amp;TODAY(),cal_fechas,"&lt;"&amp;$J1101,cal_habil,"sí")))</f>
        <v/>
      </c>
      <c r="AC1101" s="3">
        <f>IF($AB1101="","",IF($AB1101&lt;0,"FUTURO",IF($AB1101&gt;p_dias_backlog_max,"BACKLOG","MES CORRIENTE")))</f>
        <v/>
      </c>
      <c r="AD1101" s="3">
        <f>IF($AB1101="",FALSE,AND($AB1101&gt;p_dias_backlog_min,$AB1101&lt;=p_dias_backlog_max))</f>
        <v/>
      </c>
      <c r="AE1101" s="6" t="n"/>
      <c r="AF1101" s="3">
        <f>IF($AE1101="","",IF((IFERROR(INDEX('ASIGNACIONES'!$F$4:$F$339,MATCH($O1101&amp;"|"&amp;$R1101&amp;"|"&amp;$AE1101,'ASIGNACIONES'!$J$4:$J$339,0)),""))=0,"",IFERROR(INDEX('ASIGNACIONES'!$F$4:$F$339,MATCH($O1101&amp;"|"&amp;$R1101&amp;"|"&amp;$AE1101,'ASIGNACIONES'!$J$4:$J$339,0)),"")))</f>
        <v/>
      </c>
      <c r="AG1101" s="13">
        <f>IF($AE1101="","",SUMIFS('ORDENES'!$M$4:$M$1203,'ORDENES'!$AE$4:$AE$1203,$AE1101,'ORDENES'!$O$4:$O$1203,$O1101,'ORDENES'!$R$4:$R$1203,$R1101))</f>
        <v/>
      </c>
      <c r="AH1101" s="13">
        <f>IF($AG1101="","",p_factor_productividad*IFERROR(INDEX('ASIGNACIONES'!$I$4:$I$339,MATCH($O1101&amp;"|"&amp;$R1101&amp;"|"&amp;$AE1101,'ASIGNACIONES'!$J$4:$J$339,0)),0)-$AG1101)</f>
        <v/>
      </c>
      <c r="AI1101" s="10">
        <f>IF($A1101="","",IFERROR(INDEX('2_IMPORTAR_EJECUCION'!$F$9:$F$1208,MATCH($AQ1101,'2_IMPORTAR_EJECUCION'!$J$9:$J$1208,0)),0))</f>
        <v/>
      </c>
      <c r="AJ1101" s="10">
        <f>IF($A1101="","",MAX(0,IFERROR(INDEX('2_IMPORTAR_EJECUCION'!$H$9:$H$1208,MATCH($AQ1101,'2_IMPORTAR_EJECUCION'!$J$9:$J$1208,0)),0)-$AI1101))</f>
        <v/>
      </c>
      <c r="AK1101" s="10">
        <f>IF($A1101="","",$AI1101+$AJ1101)</f>
        <v/>
      </c>
      <c r="AL1101" s="6" t="n"/>
      <c r="AM1101" s="6" t="n"/>
      <c r="AN1101" s="6" t="n"/>
      <c r="AO1101" s="3">
        <f>IF($AN1101="","",HYPERLINK(p_ruta_base_checklists&amp;$AN1101,"abrir"))</f>
        <v/>
      </c>
      <c r="AP1101" s="6" t="n"/>
      <c r="AQ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IF($A1102="","",IFERROR(INDEX('AJUSTES'!$B$4:$B$303,MATCH($AQ1102,'AJUSTES'!$A$4:$A$303,0)),IF($K1102="","",$K1102)))</f>
        <v/>
      </c>
      <c r="N1102" s="3">
        <f>IF($A1102="","",IFERROR(INDEX('CAT_ESTADOS_ERP'!$B$4:$B$7,MATCH(IFERROR(INDEX('2_IMPORTAR_EJECUCION'!$C$9:$C$1208,MATCH($AQ1102,'2_IMPORTAR_EJECUCION'!$J$9:$J$1208,0)),""),'CAT_ESTADOS_ERP'!$A$4:$A$7,0)),"Pendiente"))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J1102="","",IFERROR(INDEX('CALENDARIO'!$C$15:$C$214,MATCH(TEXT($J1102,"yyyy-mm-dd")&amp;"|"&amp;$V1102&amp;"|"&amp;$W1102,'CALENDARIO'!$G$15:$G$214,0)),IFERROR(INDEX('CALENDARIO'!$C$15:$C$214,MATCH(TEXT($J1102,"yyyy-mm-dd")&amp;"|"&amp;$V1102&amp;"|",'CALENDARIO'!$G$15:$G$214,0)),IFERROR(INDEX('CALENDARIO'!$C$15:$C$214,MATCH(TEXT($J1102,"yyyy-mm-dd")&amp;"||",'CALENDARIO'!$G$15:$G$214,0)),INDEX(patronHabil,WEEKDAY($J1102,2))))))</f>
        <v/>
      </c>
      <c r="T1102" s="3">
        <f>IF($I1102="","",IFERROR(INDEX('CAT_TIPOS_OT'!$C$4:$C$7,MATCH($I1102,'CAT_TIPOS_OT'!$A$4:$A$7,0)),"sin_clasificar"))</f>
        <v/>
      </c>
      <c r="U1102" s="3">
        <f>IF($F1102="","",IFERROR(INDEX('CAT_CENTROS_COSTO'!$F$4:$F$13,MATCH($F1102,'CAT_CENTROS_COSTO'!$A$4:$A$13,0)),"(sin catálogo)"))</f>
        <v/>
      </c>
      <c r="V1102" s="3">
        <f>IF($F1102="","",IFERROR(INDEX('CAT_CENTROS_COSTO'!$D$4:$D$13,MATCH($F1102,'CAT_CENTROS_COSTO'!$A$4:$A$13,0)),"(sin catálogo)"))</f>
        <v/>
      </c>
      <c r="W1102" s="3">
        <f>IF($F1102="","",IF((IFERROR(INDEX('CAT_CENTROS_COSTO'!$E$4:$E$13,MATCH($F1102,'CAT_CENTROS_COSTO'!$A$4:$A$13,0)),""))&lt;&gt;"",IFERROR(INDEX('CAT_CENTROS_COSTO'!$E$4:$E$13,MATCH($F1102,'CAT_CENTROS_COSTO'!$A$4:$A$13,0)),""),$V1102))</f>
        <v/>
      </c>
      <c r="X1102" s="3">
        <f>IF($F1102="","",IFERROR(INDEX('CAT_CENTROS_COSTO'!$G$4:$G$13,MATCH($F1102,'CAT_CENTROS_COSTO'!$A$4:$A$13,0)),"(sin catálogo)"))</f>
        <v/>
      </c>
      <c r="Y1102" s="3">
        <f>IF($G1102="","",IFERROR(INDEX('CAT_PUESTOS'!$B$4:$B$8,MATCH($G1102,'CAT_PUESTOS'!$A$4:$A$8,0)),"(sin catálogo)"))</f>
        <v/>
      </c>
      <c r="Z1102" s="3">
        <f>IF($H1102="","",IFERROR(INDEX('CAT_ACTIVIDADES'!$B$4:$B$8,MATCH($H1102,'CAT_ACTIVIDADES'!$A$4:$A$8,0)),"(sin catálogo)"))</f>
        <v/>
      </c>
      <c r="AA1102" s="12">
        <f>IF($J1102="","",TODAY()-$J1102)</f>
        <v/>
      </c>
      <c r="AB1102" s="12">
        <f>IF($J1102="","",IF($J1102&lt;=TODAY(),COUNTIFS(cal_fechas,"&gt;="&amp;$J1102,cal_fechas,"&lt;"&amp;TODAY(),cal_habil,"sí"),-COUNTIFS(cal_fechas,"&gt;="&amp;TODAY(),cal_fechas,"&lt;"&amp;$J1102,cal_habil,"sí")))</f>
        <v/>
      </c>
      <c r="AC1102" s="3">
        <f>IF($AB1102="","",IF($AB1102&lt;0,"FUTURO",IF($AB1102&gt;p_dias_backlog_max,"BACKLOG","MES CORRIENTE")))</f>
        <v/>
      </c>
      <c r="AD1102" s="3">
        <f>IF($AB1102="",FALSE,AND($AB1102&gt;p_dias_backlog_min,$AB1102&lt;=p_dias_backlog_max))</f>
        <v/>
      </c>
      <c r="AE1102" s="6" t="n"/>
      <c r="AF1102" s="3">
        <f>IF($AE1102="","",IF((IFERROR(INDEX('ASIGNACIONES'!$F$4:$F$339,MATCH($O1102&amp;"|"&amp;$R1102&amp;"|"&amp;$AE1102,'ASIGNACIONES'!$J$4:$J$339,0)),""))=0,"",IFERROR(INDEX('ASIGNACIONES'!$F$4:$F$339,MATCH($O1102&amp;"|"&amp;$R1102&amp;"|"&amp;$AE1102,'ASIGNACIONES'!$J$4:$J$339,0)),"")))</f>
        <v/>
      </c>
      <c r="AG1102" s="13">
        <f>IF($AE1102="","",SUMIFS('ORDENES'!$M$4:$M$1203,'ORDENES'!$AE$4:$AE$1203,$AE1102,'ORDENES'!$O$4:$O$1203,$O1102,'ORDENES'!$R$4:$R$1203,$R1102))</f>
        <v/>
      </c>
      <c r="AH1102" s="13">
        <f>IF($AG1102="","",p_factor_productividad*IFERROR(INDEX('ASIGNACIONES'!$I$4:$I$339,MATCH($O1102&amp;"|"&amp;$R1102&amp;"|"&amp;$AE1102,'ASIGNACIONES'!$J$4:$J$339,0)),0)-$AG1102)</f>
        <v/>
      </c>
      <c r="AI1102" s="10">
        <f>IF($A1102="","",IFERROR(INDEX('2_IMPORTAR_EJECUCION'!$F$9:$F$1208,MATCH($AQ1102,'2_IMPORTAR_EJECUCION'!$J$9:$J$1208,0)),0))</f>
        <v/>
      </c>
      <c r="AJ1102" s="10">
        <f>IF($A1102="","",MAX(0,IFERROR(INDEX('2_IMPORTAR_EJECUCION'!$H$9:$H$1208,MATCH($AQ1102,'2_IMPORTAR_EJECUCION'!$J$9:$J$1208,0)),0)-$AI1102))</f>
        <v/>
      </c>
      <c r="AK1102" s="10">
        <f>IF($A1102="","",$AI1102+$AJ1102)</f>
        <v/>
      </c>
      <c r="AL1102" s="6" t="n"/>
      <c r="AM1102" s="6" t="n"/>
      <c r="AN1102" s="6" t="n"/>
      <c r="AO1102" s="3">
        <f>IF($AN1102="","",HYPERLINK(p_ruta_base_checklists&amp;$AN1102,"abrir"))</f>
        <v/>
      </c>
      <c r="AP1102" s="6" t="n"/>
      <c r="AQ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IF($A1103="","",IFERROR(INDEX('AJUSTES'!$B$4:$B$303,MATCH($AQ1103,'AJUSTES'!$A$4:$A$303,0)),IF($K1103="","",$K1103)))</f>
        <v/>
      </c>
      <c r="N1103" s="3">
        <f>IF($A1103="","",IFERROR(INDEX('CAT_ESTADOS_ERP'!$B$4:$B$7,MATCH(IFERROR(INDEX('2_IMPORTAR_EJECUCION'!$C$9:$C$1208,MATCH($AQ1103,'2_IMPORTAR_EJECUCION'!$J$9:$J$1208,0)),""),'CAT_ESTADOS_ERP'!$A$4:$A$7,0)),"Pendiente"))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J1103="","",IFERROR(INDEX('CALENDARIO'!$C$15:$C$214,MATCH(TEXT($J1103,"yyyy-mm-dd")&amp;"|"&amp;$V1103&amp;"|"&amp;$W1103,'CALENDARIO'!$G$15:$G$214,0)),IFERROR(INDEX('CALENDARIO'!$C$15:$C$214,MATCH(TEXT($J1103,"yyyy-mm-dd")&amp;"|"&amp;$V1103&amp;"|",'CALENDARIO'!$G$15:$G$214,0)),IFERROR(INDEX('CALENDARIO'!$C$15:$C$214,MATCH(TEXT($J1103,"yyyy-mm-dd")&amp;"||",'CALENDARIO'!$G$15:$G$214,0)),INDEX(patronHabil,WEEKDAY($J1103,2))))))</f>
        <v/>
      </c>
      <c r="T1103" s="3">
        <f>IF($I1103="","",IFERROR(INDEX('CAT_TIPOS_OT'!$C$4:$C$7,MATCH($I1103,'CAT_TIPOS_OT'!$A$4:$A$7,0)),"sin_clasificar"))</f>
        <v/>
      </c>
      <c r="U1103" s="3">
        <f>IF($F1103="","",IFERROR(INDEX('CAT_CENTROS_COSTO'!$F$4:$F$13,MATCH($F1103,'CAT_CENTROS_COSTO'!$A$4:$A$13,0)),"(sin catálogo)"))</f>
        <v/>
      </c>
      <c r="V1103" s="3">
        <f>IF($F1103="","",IFERROR(INDEX('CAT_CENTROS_COSTO'!$D$4:$D$13,MATCH($F1103,'CAT_CENTROS_COSTO'!$A$4:$A$13,0)),"(sin catálogo)"))</f>
        <v/>
      </c>
      <c r="W1103" s="3">
        <f>IF($F1103="","",IF((IFERROR(INDEX('CAT_CENTROS_COSTO'!$E$4:$E$13,MATCH($F1103,'CAT_CENTROS_COSTO'!$A$4:$A$13,0)),""))&lt;&gt;"",IFERROR(INDEX('CAT_CENTROS_COSTO'!$E$4:$E$13,MATCH($F1103,'CAT_CENTROS_COSTO'!$A$4:$A$13,0)),""),$V1103))</f>
        <v/>
      </c>
      <c r="X1103" s="3">
        <f>IF($F1103="","",IFERROR(INDEX('CAT_CENTROS_COSTO'!$G$4:$G$13,MATCH($F1103,'CAT_CENTROS_COSTO'!$A$4:$A$13,0)),"(sin catálogo)"))</f>
        <v/>
      </c>
      <c r="Y1103" s="3">
        <f>IF($G1103="","",IFERROR(INDEX('CAT_PUESTOS'!$B$4:$B$8,MATCH($G1103,'CAT_PUESTOS'!$A$4:$A$8,0)),"(sin catálogo)"))</f>
        <v/>
      </c>
      <c r="Z1103" s="3">
        <f>IF($H1103="","",IFERROR(INDEX('CAT_ACTIVIDADES'!$B$4:$B$8,MATCH($H1103,'CAT_ACTIVIDADES'!$A$4:$A$8,0)),"(sin catálogo)"))</f>
        <v/>
      </c>
      <c r="AA1103" s="12">
        <f>IF($J1103="","",TODAY()-$J1103)</f>
        <v/>
      </c>
      <c r="AB1103" s="12">
        <f>IF($J1103="","",IF($J1103&lt;=TODAY(),COUNTIFS(cal_fechas,"&gt;="&amp;$J1103,cal_fechas,"&lt;"&amp;TODAY(),cal_habil,"sí"),-COUNTIFS(cal_fechas,"&gt;="&amp;TODAY(),cal_fechas,"&lt;"&amp;$J1103,cal_habil,"sí")))</f>
        <v/>
      </c>
      <c r="AC1103" s="3">
        <f>IF($AB1103="","",IF($AB1103&lt;0,"FUTURO",IF($AB1103&gt;p_dias_backlog_max,"BACKLOG","MES CORRIENTE")))</f>
        <v/>
      </c>
      <c r="AD1103" s="3">
        <f>IF($AB1103="",FALSE,AND($AB1103&gt;p_dias_backlog_min,$AB1103&lt;=p_dias_backlog_max))</f>
        <v/>
      </c>
      <c r="AE1103" s="6" t="n"/>
      <c r="AF1103" s="3">
        <f>IF($AE1103="","",IF((IFERROR(INDEX('ASIGNACIONES'!$F$4:$F$339,MATCH($O1103&amp;"|"&amp;$R1103&amp;"|"&amp;$AE1103,'ASIGNACIONES'!$J$4:$J$339,0)),""))=0,"",IFERROR(INDEX('ASIGNACIONES'!$F$4:$F$339,MATCH($O1103&amp;"|"&amp;$R1103&amp;"|"&amp;$AE1103,'ASIGNACIONES'!$J$4:$J$339,0)),"")))</f>
        <v/>
      </c>
      <c r="AG1103" s="13">
        <f>IF($AE1103="","",SUMIFS('ORDENES'!$M$4:$M$1203,'ORDENES'!$AE$4:$AE$1203,$AE1103,'ORDENES'!$O$4:$O$1203,$O1103,'ORDENES'!$R$4:$R$1203,$R1103))</f>
        <v/>
      </c>
      <c r="AH1103" s="13">
        <f>IF($AG1103="","",p_factor_productividad*IFERROR(INDEX('ASIGNACIONES'!$I$4:$I$339,MATCH($O1103&amp;"|"&amp;$R1103&amp;"|"&amp;$AE1103,'ASIGNACIONES'!$J$4:$J$339,0)),0)-$AG1103)</f>
        <v/>
      </c>
      <c r="AI1103" s="10">
        <f>IF($A1103="","",IFERROR(INDEX('2_IMPORTAR_EJECUCION'!$F$9:$F$1208,MATCH($AQ1103,'2_IMPORTAR_EJECUCION'!$J$9:$J$1208,0)),0))</f>
        <v/>
      </c>
      <c r="AJ1103" s="10">
        <f>IF($A1103="","",MAX(0,IFERROR(INDEX('2_IMPORTAR_EJECUCION'!$H$9:$H$1208,MATCH($AQ1103,'2_IMPORTAR_EJECUCION'!$J$9:$J$1208,0)),0)-$AI1103))</f>
        <v/>
      </c>
      <c r="AK1103" s="10">
        <f>IF($A1103="","",$AI1103+$AJ1103)</f>
        <v/>
      </c>
      <c r="AL1103" s="6" t="n"/>
      <c r="AM1103" s="6" t="n"/>
      <c r="AN1103" s="6" t="n"/>
      <c r="AO1103" s="3">
        <f>IF($AN1103="","",HYPERLINK(p_ruta_base_checklists&amp;$AN1103,"abrir"))</f>
        <v/>
      </c>
      <c r="AP1103" s="6" t="n"/>
      <c r="AQ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IF($A1104="","",IFERROR(INDEX('AJUSTES'!$B$4:$B$303,MATCH($AQ1104,'AJUSTES'!$A$4:$A$303,0)),IF($K1104="","",$K1104)))</f>
        <v/>
      </c>
      <c r="N1104" s="3">
        <f>IF($A1104="","",IFERROR(INDEX('CAT_ESTADOS_ERP'!$B$4:$B$7,MATCH(IFERROR(INDEX('2_IMPORTAR_EJECUCION'!$C$9:$C$1208,MATCH($AQ1104,'2_IMPORTAR_EJECUCION'!$J$9:$J$1208,0)),""),'CAT_ESTADOS_ERP'!$A$4:$A$7,0)),"Pendiente"))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J1104="","",IFERROR(INDEX('CALENDARIO'!$C$15:$C$214,MATCH(TEXT($J1104,"yyyy-mm-dd")&amp;"|"&amp;$V1104&amp;"|"&amp;$W1104,'CALENDARIO'!$G$15:$G$214,0)),IFERROR(INDEX('CALENDARIO'!$C$15:$C$214,MATCH(TEXT($J1104,"yyyy-mm-dd")&amp;"|"&amp;$V1104&amp;"|",'CALENDARIO'!$G$15:$G$214,0)),IFERROR(INDEX('CALENDARIO'!$C$15:$C$214,MATCH(TEXT($J1104,"yyyy-mm-dd")&amp;"||",'CALENDARIO'!$G$15:$G$214,0)),INDEX(patronHabil,WEEKDAY($J1104,2))))))</f>
        <v/>
      </c>
      <c r="T1104" s="3">
        <f>IF($I1104="","",IFERROR(INDEX('CAT_TIPOS_OT'!$C$4:$C$7,MATCH($I1104,'CAT_TIPOS_OT'!$A$4:$A$7,0)),"sin_clasificar"))</f>
        <v/>
      </c>
      <c r="U1104" s="3">
        <f>IF($F1104="","",IFERROR(INDEX('CAT_CENTROS_COSTO'!$F$4:$F$13,MATCH($F1104,'CAT_CENTROS_COSTO'!$A$4:$A$13,0)),"(sin catálogo)"))</f>
        <v/>
      </c>
      <c r="V1104" s="3">
        <f>IF($F1104="","",IFERROR(INDEX('CAT_CENTROS_COSTO'!$D$4:$D$13,MATCH($F1104,'CAT_CENTROS_COSTO'!$A$4:$A$13,0)),"(sin catálogo)"))</f>
        <v/>
      </c>
      <c r="W1104" s="3">
        <f>IF($F1104="","",IF((IFERROR(INDEX('CAT_CENTROS_COSTO'!$E$4:$E$13,MATCH($F1104,'CAT_CENTROS_COSTO'!$A$4:$A$13,0)),""))&lt;&gt;"",IFERROR(INDEX('CAT_CENTROS_COSTO'!$E$4:$E$13,MATCH($F1104,'CAT_CENTROS_COSTO'!$A$4:$A$13,0)),""),$V1104))</f>
        <v/>
      </c>
      <c r="X1104" s="3">
        <f>IF($F1104="","",IFERROR(INDEX('CAT_CENTROS_COSTO'!$G$4:$G$13,MATCH($F1104,'CAT_CENTROS_COSTO'!$A$4:$A$13,0)),"(sin catálogo)"))</f>
        <v/>
      </c>
      <c r="Y1104" s="3">
        <f>IF($G1104="","",IFERROR(INDEX('CAT_PUESTOS'!$B$4:$B$8,MATCH($G1104,'CAT_PUESTOS'!$A$4:$A$8,0)),"(sin catálogo)"))</f>
        <v/>
      </c>
      <c r="Z1104" s="3">
        <f>IF($H1104="","",IFERROR(INDEX('CAT_ACTIVIDADES'!$B$4:$B$8,MATCH($H1104,'CAT_ACTIVIDADES'!$A$4:$A$8,0)),"(sin catálogo)"))</f>
        <v/>
      </c>
      <c r="AA1104" s="12">
        <f>IF($J1104="","",TODAY()-$J1104)</f>
        <v/>
      </c>
      <c r="AB1104" s="12">
        <f>IF($J1104="","",IF($J1104&lt;=TODAY(),COUNTIFS(cal_fechas,"&gt;="&amp;$J1104,cal_fechas,"&lt;"&amp;TODAY(),cal_habil,"sí"),-COUNTIFS(cal_fechas,"&gt;="&amp;TODAY(),cal_fechas,"&lt;"&amp;$J1104,cal_habil,"sí")))</f>
        <v/>
      </c>
      <c r="AC1104" s="3">
        <f>IF($AB1104="","",IF($AB1104&lt;0,"FUTURO",IF($AB1104&gt;p_dias_backlog_max,"BACKLOG","MES CORRIENTE")))</f>
        <v/>
      </c>
      <c r="AD1104" s="3">
        <f>IF($AB1104="",FALSE,AND($AB1104&gt;p_dias_backlog_min,$AB1104&lt;=p_dias_backlog_max))</f>
        <v/>
      </c>
      <c r="AE1104" s="6" t="n"/>
      <c r="AF1104" s="3">
        <f>IF($AE1104="","",IF((IFERROR(INDEX('ASIGNACIONES'!$F$4:$F$339,MATCH($O1104&amp;"|"&amp;$R1104&amp;"|"&amp;$AE1104,'ASIGNACIONES'!$J$4:$J$339,0)),""))=0,"",IFERROR(INDEX('ASIGNACIONES'!$F$4:$F$339,MATCH($O1104&amp;"|"&amp;$R1104&amp;"|"&amp;$AE1104,'ASIGNACIONES'!$J$4:$J$339,0)),"")))</f>
        <v/>
      </c>
      <c r="AG1104" s="13">
        <f>IF($AE1104="","",SUMIFS('ORDENES'!$M$4:$M$1203,'ORDENES'!$AE$4:$AE$1203,$AE1104,'ORDENES'!$O$4:$O$1203,$O1104,'ORDENES'!$R$4:$R$1203,$R1104))</f>
        <v/>
      </c>
      <c r="AH1104" s="13">
        <f>IF($AG1104="","",p_factor_productividad*IFERROR(INDEX('ASIGNACIONES'!$I$4:$I$339,MATCH($O1104&amp;"|"&amp;$R1104&amp;"|"&amp;$AE1104,'ASIGNACIONES'!$J$4:$J$339,0)),0)-$AG1104)</f>
        <v/>
      </c>
      <c r="AI1104" s="10">
        <f>IF($A1104="","",IFERROR(INDEX('2_IMPORTAR_EJECUCION'!$F$9:$F$1208,MATCH($AQ1104,'2_IMPORTAR_EJECUCION'!$J$9:$J$1208,0)),0))</f>
        <v/>
      </c>
      <c r="AJ1104" s="10">
        <f>IF($A1104="","",MAX(0,IFERROR(INDEX('2_IMPORTAR_EJECUCION'!$H$9:$H$1208,MATCH($AQ1104,'2_IMPORTAR_EJECUCION'!$J$9:$J$1208,0)),0)-$AI1104))</f>
        <v/>
      </c>
      <c r="AK1104" s="10">
        <f>IF($A1104="","",$AI1104+$AJ1104)</f>
        <v/>
      </c>
      <c r="AL1104" s="6" t="n"/>
      <c r="AM1104" s="6" t="n"/>
      <c r="AN1104" s="6" t="n"/>
      <c r="AO1104" s="3">
        <f>IF($AN1104="","",HYPERLINK(p_ruta_base_checklists&amp;$AN1104,"abrir"))</f>
        <v/>
      </c>
      <c r="AP1104" s="6" t="n"/>
      <c r="AQ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IF($A1105="","",IFERROR(INDEX('AJUSTES'!$B$4:$B$303,MATCH($AQ1105,'AJUSTES'!$A$4:$A$303,0)),IF($K1105="","",$K1105)))</f>
        <v/>
      </c>
      <c r="N1105" s="3">
        <f>IF($A1105="","",IFERROR(INDEX('CAT_ESTADOS_ERP'!$B$4:$B$7,MATCH(IFERROR(INDEX('2_IMPORTAR_EJECUCION'!$C$9:$C$1208,MATCH($AQ1105,'2_IMPORTAR_EJECUCION'!$J$9:$J$1208,0)),""),'CAT_ESTADOS_ERP'!$A$4:$A$7,0)),"Pendiente"))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J1105="","",IFERROR(INDEX('CALENDARIO'!$C$15:$C$214,MATCH(TEXT($J1105,"yyyy-mm-dd")&amp;"|"&amp;$V1105&amp;"|"&amp;$W1105,'CALENDARIO'!$G$15:$G$214,0)),IFERROR(INDEX('CALENDARIO'!$C$15:$C$214,MATCH(TEXT($J1105,"yyyy-mm-dd")&amp;"|"&amp;$V1105&amp;"|",'CALENDARIO'!$G$15:$G$214,0)),IFERROR(INDEX('CALENDARIO'!$C$15:$C$214,MATCH(TEXT($J1105,"yyyy-mm-dd")&amp;"||",'CALENDARIO'!$G$15:$G$214,0)),INDEX(patronHabil,WEEKDAY($J1105,2))))))</f>
        <v/>
      </c>
      <c r="T1105" s="3">
        <f>IF($I1105="","",IFERROR(INDEX('CAT_TIPOS_OT'!$C$4:$C$7,MATCH($I1105,'CAT_TIPOS_OT'!$A$4:$A$7,0)),"sin_clasificar"))</f>
        <v/>
      </c>
      <c r="U1105" s="3">
        <f>IF($F1105="","",IFERROR(INDEX('CAT_CENTROS_COSTO'!$F$4:$F$13,MATCH($F1105,'CAT_CENTROS_COSTO'!$A$4:$A$13,0)),"(sin catálogo)"))</f>
        <v/>
      </c>
      <c r="V1105" s="3">
        <f>IF($F1105="","",IFERROR(INDEX('CAT_CENTROS_COSTO'!$D$4:$D$13,MATCH($F1105,'CAT_CENTROS_COSTO'!$A$4:$A$13,0)),"(sin catálogo)"))</f>
        <v/>
      </c>
      <c r="W1105" s="3">
        <f>IF($F1105="","",IF((IFERROR(INDEX('CAT_CENTROS_COSTO'!$E$4:$E$13,MATCH($F1105,'CAT_CENTROS_COSTO'!$A$4:$A$13,0)),""))&lt;&gt;"",IFERROR(INDEX('CAT_CENTROS_COSTO'!$E$4:$E$13,MATCH($F1105,'CAT_CENTROS_COSTO'!$A$4:$A$13,0)),""),$V1105))</f>
        <v/>
      </c>
      <c r="X1105" s="3">
        <f>IF($F1105="","",IFERROR(INDEX('CAT_CENTROS_COSTO'!$G$4:$G$13,MATCH($F1105,'CAT_CENTROS_COSTO'!$A$4:$A$13,0)),"(sin catálogo)"))</f>
        <v/>
      </c>
      <c r="Y1105" s="3">
        <f>IF($G1105="","",IFERROR(INDEX('CAT_PUESTOS'!$B$4:$B$8,MATCH($G1105,'CAT_PUESTOS'!$A$4:$A$8,0)),"(sin catálogo)"))</f>
        <v/>
      </c>
      <c r="Z1105" s="3">
        <f>IF($H1105="","",IFERROR(INDEX('CAT_ACTIVIDADES'!$B$4:$B$8,MATCH($H1105,'CAT_ACTIVIDADES'!$A$4:$A$8,0)),"(sin catálogo)"))</f>
        <v/>
      </c>
      <c r="AA1105" s="12">
        <f>IF($J1105="","",TODAY()-$J1105)</f>
        <v/>
      </c>
      <c r="AB1105" s="12">
        <f>IF($J1105="","",IF($J1105&lt;=TODAY(),COUNTIFS(cal_fechas,"&gt;="&amp;$J1105,cal_fechas,"&lt;"&amp;TODAY(),cal_habil,"sí"),-COUNTIFS(cal_fechas,"&gt;="&amp;TODAY(),cal_fechas,"&lt;"&amp;$J1105,cal_habil,"sí")))</f>
        <v/>
      </c>
      <c r="AC1105" s="3">
        <f>IF($AB1105="","",IF($AB1105&lt;0,"FUTURO",IF($AB1105&gt;p_dias_backlog_max,"BACKLOG","MES CORRIENTE")))</f>
        <v/>
      </c>
      <c r="AD1105" s="3">
        <f>IF($AB1105="",FALSE,AND($AB1105&gt;p_dias_backlog_min,$AB1105&lt;=p_dias_backlog_max))</f>
        <v/>
      </c>
      <c r="AE1105" s="6" t="n"/>
      <c r="AF1105" s="3">
        <f>IF($AE1105="","",IF((IFERROR(INDEX('ASIGNACIONES'!$F$4:$F$339,MATCH($O1105&amp;"|"&amp;$R1105&amp;"|"&amp;$AE1105,'ASIGNACIONES'!$J$4:$J$339,0)),""))=0,"",IFERROR(INDEX('ASIGNACIONES'!$F$4:$F$339,MATCH($O1105&amp;"|"&amp;$R1105&amp;"|"&amp;$AE1105,'ASIGNACIONES'!$J$4:$J$339,0)),"")))</f>
        <v/>
      </c>
      <c r="AG1105" s="13">
        <f>IF($AE1105="","",SUMIFS('ORDENES'!$M$4:$M$1203,'ORDENES'!$AE$4:$AE$1203,$AE1105,'ORDENES'!$O$4:$O$1203,$O1105,'ORDENES'!$R$4:$R$1203,$R1105))</f>
        <v/>
      </c>
      <c r="AH1105" s="13">
        <f>IF($AG1105="","",p_factor_productividad*IFERROR(INDEX('ASIGNACIONES'!$I$4:$I$339,MATCH($O1105&amp;"|"&amp;$R1105&amp;"|"&amp;$AE1105,'ASIGNACIONES'!$J$4:$J$339,0)),0)-$AG1105)</f>
        <v/>
      </c>
      <c r="AI1105" s="10">
        <f>IF($A1105="","",IFERROR(INDEX('2_IMPORTAR_EJECUCION'!$F$9:$F$1208,MATCH($AQ1105,'2_IMPORTAR_EJECUCION'!$J$9:$J$1208,0)),0))</f>
        <v/>
      </c>
      <c r="AJ1105" s="10">
        <f>IF($A1105="","",MAX(0,IFERROR(INDEX('2_IMPORTAR_EJECUCION'!$H$9:$H$1208,MATCH($AQ1105,'2_IMPORTAR_EJECUCION'!$J$9:$J$1208,0)),0)-$AI1105))</f>
        <v/>
      </c>
      <c r="AK1105" s="10">
        <f>IF($A1105="","",$AI1105+$AJ1105)</f>
        <v/>
      </c>
      <c r="AL1105" s="6" t="n"/>
      <c r="AM1105" s="6" t="n"/>
      <c r="AN1105" s="6" t="n"/>
      <c r="AO1105" s="3">
        <f>IF($AN1105="","",HYPERLINK(p_ruta_base_checklists&amp;$AN1105,"abrir"))</f>
        <v/>
      </c>
      <c r="AP1105" s="6" t="n"/>
      <c r="AQ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IF($A1106="","",IFERROR(INDEX('AJUSTES'!$B$4:$B$303,MATCH($AQ1106,'AJUSTES'!$A$4:$A$303,0)),IF($K1106="","",$K1106)))</f>
        <v/>
      </c>
      <c r="N1106" s="3">
        <f>IF($A1106="","",IFERROR(INDEX('CAT_ESTADOS_ERP'!$B$4:$B$7,MATCH(IFERROR(INDEX('2_IMPORTAR_EJECUCION'!$C$9:$C$1208,MATCH($AQ1106,'2_IMPORTAR_EJECUCION'!$J$9:$J$1208,0)),""),'CAT_ESTADOS_ERP'!$A$4:$A$7,0)),"Pendiente"))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J1106="","",IFERROR(INDEX('CALENDARIO'!$C$15:$C$214,MATCH(TEXT($J1106,"yyyy-mm-dd")&amp;"|"&amp;$V1106&amp;"|"&amp;$W1106,'CALENDARIO'!$G$15:$G$214,0)),IFERROR(INDEX('CALENDARIO'!$C$15:$C$214,MATCH(TEXT($J1106,"yyyy-mm-dd")&amp;"|"&amp;$V1106&amp;"|",'CALENDARIO'!$G$15:$G$214,0)),IFERROR(INDEX('CALENDARIO'!$C$15:$C$214,MATCH(TEXT($J1106,"yyyy-mm-dd")&amp;"||",'CALENDARIO'!$G$15:$G$214,0)),INDEX(patronHabil,WEEKDAY($J1106,2))))))</f>
        <v/>
      </c>
      <c r="T1106" s="3">
        <f>IF($I1106="","",IFERROR(INDEX('CAT_TIPOS_OT'!$C$4:$C$7,MATCH($I1106,'CAT_TIPOS_OT'!$A$4:$A$7,0)),"sin_clasificar"))</f>
        <v/>
      </c>
      <c r="U1106" s="3">
        <f>IF($F1106="","",IFERROR(INDEX('CAT_CENTROS_COSTO'!$F$4:$F$13,MATCH($F1106,'CAT_CENTROS_COSTO'!$A$4:$A$13,0)),"(sin catálogo)"))</f>
        <v/>
      </c>
      <c r="V1106" s="3">
        <f>IF($F1106="","",IFERROR(INDEX('CAT_CENTROS_COSTO'!$D$4:$D$13,MATCH($F1106,'CAT_CENTROS_COSTO'!$A$4:$A$13,0)),"(sin catálogo)"))</f>
        <v/>
      </c>
      <c r="W1106" s="3">
        <f>IF($F1106="","",IF((IFERROR(INDEX('CAT_CENTROS_COSTO'!$E$4:$E$13,MATCH($F1106,'CAT_CENTROS_COSTO'!$A$4:$A$13,0)),""))&lt;&gt;"",IFERROR(INDEX('CAT_CENTROS_COSTO'!$E$4:$E$13,MATCH($F1106,'CAT_CENTROS_COSTO'!$A$4:$A$13,0)),""),$V1106))</f>
        <v/>
      </c>
      <c r="X1106" s="3">
        <f>IF($F1106="","",IFERROR(INDEX('CAT_CENTROS_COSTO'!$G$4:$G$13,MATCH($F1106,'CAT_CENTROS_COSTO'!$A$4:$A$13,0)),"(sin catálogo)"))</f>
        <v/>
      </c>
      <c r="Y1106" s="3">
        <f>IF($G1106="","",IFERROR(INDEX('CAT_PUESTOS'!$B$4:$B$8,MATCH($G1106,'CAT_PUESTOS'!$A$4:$A$8,0)),"(sin catálogo)"))</f>
        <v/>
      </c>
      <c r="Z1106" s="3">
        <f>IF($H1106="","",IFERROR(INDEX('CAT_ACTIVIDADES'!$B$4:$B$8,MATCH($H1106,'CAT_ACTIVIDADES'!$A$4:$A$8,0)),"(sin catálogo)"))</f>
        <v/>
      </c>
      <c r="AA1106" s="12">
        <f>IF($J1106="","",TODAY()-$J1106)</f>
        <v/>
      </c>
      <c r="AB1106" s="12">
        <f>IF($J1106="","",IF($J1106&lt;=TODAY(),COUNTIFS(cal_fechas,"&gt;="&amp;$J1106,cal_fechas,"&lt;"&amp;TODAY(),cal_habil,"sí"),-COUNTIFS(cal_fechas,"&gt;="&amp;TODAY(),cal_fechas,"&lt;"&amp;$J1106,cal_habil,"sí")))</f>
        <v/>
      </c>
      <c r="AC1106" s="3">
        <f>IF($AB1106="","",IF($AB1106&lt;0,"FUTURO",IF($AB1106&gt;p_dias_backlog_max,"BACKLOG","MES CORRIENTE")))</f>
        <v/>
      </c>
      <c r="AD1106" s="3">
        <f>IF($AB1106="",FALSE,AND($AB1106&gt;p_dias_backlog_min,$AB1106&lt;=p_dias_backlog_max))</f>
        <v/>
      </c>
      <c r="AE1106" s="6" t="n"/>
      <c r="AF1106" s="3">
        <f>IF($AE1106="","",IF((IFERROR(INDEX('ASIGNACIONES'!$F$4:$F$339,MATCH($O1106&amp;"|"&amp;$R1106&amp;"|"&amp;$AE1106,'ASIGNACIONES'!$J$4:$J$339,0)),""))=0,"",IFERROR(INDEX('ASIGNACIONES'!$F$4:$F$339,MATCH($O1106&amp;"|"&amp;$R1106&amp;"|"&amp;$AE1106,'ASIGNACIONES'!$J$4:$J$339,0)),"")))</f>
        <v/>
      </c>
      <c r="AG1106" s="13">
        <f>IF($AE1106="","",SUMIFS('ORDENES'!$M$4:$M$1203,'ORDENES'!$AE$4:$AE$1203,$AE1106,'ORDENES'!$O$4:$O$1203,$O1106,'ORDENES'!$R$4:$R$1203,$R1106))</f>
        <v/>
      </c>
      <c r="AH1106" s="13">
        <f>IF($AG1106="","",p_factor_productividad*IFERROR(INDEX('ASIGNACIONES'!$I$4:$I$339,MATCH($O1106&amp;"|"&amp;$R1106&amp;"|"&amp;$AE1106,'ASIGNACIONES'!$J$4:$J$339,0)),0)-$AG1106)</f>
        <v/>
      </c>
      <c r="AI1106" s="10">
        <f>IF($A1106="","",IFERROR(INDEX('2_IMPORTAR_EJECUCION'!$F$9:$F$1208,MATCH($AQ1106,'2_IMPORTAR_EJECUCION'!$J$9:$J$1208,0)),0))</f>
        <v/>
      </c>
      <c r="AJ1106" s="10">
        <f>IF($A1106="","",MAX(0,IFERROR(INDEX('2_IMPORTAR_EJECUCION'!$H$9:$H$1208,MATCH($AQ1106,'2_IMPORTAR_EJECUCION'!$J$9:$J$1208,0)),0)-$AI1106))</f>
        <v/>
      </c>
      <c r="AK1106" s="10">
        <f>IF($A1106="","",$AI1106+$AJ1106)</f>
        <v/>
      </c>
      <c r="AL1106" s="6" t="n"/>
      <c r="AM1106" s="6" t="n"/>
      <c r="AN1106" s="6" t="n"/>
      <c r="AO1106" s="3">
        <f>IF($AN1106="","",HYPERLINK(p_ruta_base_checklists&amp;$AN1106,"abrir"))</f>
        <v/>
      </c>
      <c r="AP1106" s="6" t="n"/>
      <c r="AQ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IF($A1107="","",IFERROR(INDEX('AJUSTES'!$B$4:$B$303,MATCH($AQ1107,'AJUSTES'!$A$4:$A$303,0)),IF($K1107="","",$K1107)))</f>
        <v/>
      </c>
      <c r="N1107" s="3">
        <f>IF($A1107="","",IFERROR(INDEX('CAT_ESTADOS_ERP'!$B$4:$B$7,MATCH(IFERROR(INDEX('2_IMPORTAR_EJECUCION'!$C$9:$C$1208,MATCH($AQ1107,'2_IMPORTAR_EJECUCION'!$J$9:$J$1208,0)),""),'CAT_ESTADOS_ERP'!$A$4:$A$7,0)),"Pendiente"))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J1107="","",IFERROR(INDEX('CALENDARIO'!$C$15:$C$214,MATCH(TEXT($J1107,"yyyy-mm-dd")&amp;"|"&amp;$V1107&amp;"|"&amp;$W1107,'CALENDARIO'!$G$15:$G$214,0)),IFERROR(INDEX('CALENDARIO'!$C$15:$C$214,MATCH(TEXT($J1107,"yyyy-mm-dd")&amp;"|"&amp;$V1107&amp;"|",'CALENDARIO'!$G$15:$G$214,0)),IFERROR(INDEX('CALENDARIO'!$C$15:$C$214,MATCH(TEXT($J1107,"yyyy-mm-dd")&amp;"||",'CALENDARIO'!$G$15:$G$214,0)),INDEX(patronHabil,WEEKDAY($J1107,2))))))</f>
        <v/>
      </c>
      <c r="T1107" s="3">
        <f>IF($I1107="","",IFERROR(INDEX('CAT_TIPOS_OT'!$C$4:$C$7,MATCH($I1107,'CAT_TIPOS_OT'!$A$4:$A$7,0)),"sin_clasificar"))</f>
        <v/>
      </c>
      <c r="U1107" s="3">
        <f>IF($F1107="","",IFERROR(INDEX('CAT_CENTROS_COSTO'!$F$4:$F$13,MATCH($F1107,'CAT_CENTROS_COSTO'!$A$4:$A$13,0)),"(sin catálogo)"))</f>
        <v/>
      </c>
      <c r="V1107" s="3">
        <f>IF($F1107="","",IFERROR(INDEX('CAT_CENTROS_COSTO'!$D$4:$D$13,MATCH($F1107,'CAT_CENTROS_COSTO'!$A$4:$A$13,0)),"(sin catálogo)"))</f>
        <v/>
      </c>
      <c r="W1107" s="3">
        <f>IF($F1107="","",IF((IFERROR(INDEX('CAT_CENTROS_COSTO'!$E$4:$E$13,MATCH($F1107,'CAT_CENTROS_COSTO'!$A$4:$A$13,0)),""))&lt;&gt;"",IFERROR(INDEX('CAT_CENTROS_COSTO'!$E$4:$E$13,MATCH($F1107,'CAT_CENTROS_COSTO'!$A$4:$A$13,0)),""),$V1107))</f>
        <v/>
      </c>
      <c r="X1107" s="3">
        <f>IF($F1107="","",IFERROR(INDEX('CAT_CENTROS_COSTO'!$G$4:$G$13,MATCH($F1107,'CAT_CENTROS_COSTO'!$A$4:$A$13,0)),"(sin catálogo)"))</f>
        <v/>
      </c>
      <c r="Y1107" s="3">
        <f>IF($G1107="","",IFERROR(INDEX('CAT_PUESTOS'!$B$4:$B$8,MATCH($G1107,'CAT_PUESTOS'!$A$4:$A$8,0)),"(sin catálogo)"))</f>
        <v/>
      </c>
      <c r="Z1107" s="3">
        <f>IF($H1107="","",IFERROR(INDEX('CAT_ACTIVIDADES'!$B$4:$B$8,MATCH($H1107,'CAT_ACTIVIDADES'!$A$4:$A$8,0)),"(sin catálogo)"))</f>
        <v/>
      </c>
      <c r="AA1107" s="12">
        <f>IF($J1107="","",TODAY()-$J1107)</f>
        <v/>
      </c>
      <c r="AB1107" s="12">
        <f>IF($J1107="","",IF($J1107&lt;=TODAY(),COUNTIFS(cal_fechas,"&gt;="&amp;$J1107,cal_fechas,"&lt;"&amp;TODAY(),cal_habil,"sí"),-COUNTIFS(cal_fechas,"&gt;="&amp;TODAY(),cal_fechas,"&lt;"&amp;$J1107,cal_habil,"sí")))</f>
        <v/>
      </c>
      <c r="AC1107" s="3">
        <f>IF($AB1107="","",IF($AB1107&lt;0,"FUTURO",IF($AB1107&gt;p_dias_backlog_max,"BACKLOG","MES CORRIENTE")))</f>
        <v/>
      </c>
      <c r="AD1107" s="3">
        <f>IF($AB1107="",FALSE,AND($AB1107&gt;p_dias_backlog_min,$AB1107&lt;=p_dias_backlog_max))</f>
        <v/>
      </c>
      <c r="AE1107" s="6" t="n"/>
      <c r="AF1107" s="3">
        <f>IF($AE1107="","",IF((IFERROR(INDEX('ASIGNACIONES'!$F$4:$F$339,MATCH($O1107&amp;"|"&amp;$R1107&amp;"|"&amp;$AE1107,'ASIGNACIONES'!$J$4:$J$339,0)),""))=0,"",IFERROR(INDEX('ASIGNACIONES'!$F$4:$F$339,MATCH($O1107&amp;"|"&amp;$R1107&amp;"|"&amp;$AE1107,'ASIGNACIONES'!$J$4:$J$339,0)),"")))</f>
        <v/>
      </c>
      <c r="AG1107" s="13">
        <f>IF($AE1107="","",SUMIFS('ORDENES'!$M$4:$M$1203,'ORDENES'!$AE$4:$AE$1203,$AE1107,'ORDENES'!$O$4:$O$1203,$O1107,'ORDENES'!$R$4:$R$1203,$R1107))</f>
        <v/>
      </c>
      <c r="AH1107" s="13">
        <f>IF($AG1107="","",p_factor_productividad*IFERROR(INDEX('ASIGNACIONES'!$I$4:$I$339,MATCH($O1107&amp;"|"&amp;$R1107&amp;"|"&amp;$AE1107,'ASIGNACIONES'!$J$4:$J$339,0)),0)-$AG1107)</f>
        <v/>
      </c>
      <c r="AI1107" s="10">
        <f>IF($A1107="","",IFERROR(INDEX('2_IMPORTAR_EJECUCION'!$F$9:$F$1208,MATCH($AQ1107,'2_IMPORTAR_EJECUCION'!$J$9:$J$1208,0)),0))</f>
        <v/>
      </c>
      <c r="AJ1107" s="10">
        <f>IF($A1107="","",MAX(0,IFERROR(INDEX('2_IMPORTAR_EJECUCION'!$H$9:$H$1208,MATCH($AQ1107,'2_IMPORTAR_EJECUCION'!$J$9:$J$1208,0)),0)-$AI1107))</f>
        <v/>
      </c>
      <c r="AK1107" s="10">
        <f>IF($A1107="","",$AI1107+$AJ1107)</f>
        <v/>
      </c>
      <c r="AL1107" s="6" t="n"/>
      <c r="AM1107" s="6" t="n"/>
      <c r="AN1107" s="6" t="n"/>
      <c r="AO1107" s="3">
        <f>IF($AN1107="","",HYPERLINK(p_ruta_base_checklists&amp;$AN1107,"abrir"))</f>
        <v/>
      </c>
      <c r="AP1107" s="6" t="n"/>
      <c r="AQ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IF($A1108="","",IFERROR(INDEX('AJUSTES'!$B$4:$B$303,MATCH($AQ1108,'AJUSTES'!$A$4:$A$303,0)),IF($K1108="","",$K1108)))</f>
        <v/>
      </c>
      <c r="N1108" s="3">
        <f>IF($A1108="","",IFERROR(INDEX('CAT_ESTADOS_ERP'!$B$4:$B$7,MATCH(IFERROR(INDEX('2_IMPORTAR_EJECUCION'!$C$9:$C$1208,MATCH($AQ1108,'2_IMPORTAR_EJECUCION'!$J$9:$J$1208,0)),""),'CAT_ESTADOS_ERP'!$A$4:$A$7,0)),"Pendiente"))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J1108="","",IFERROR(INDEX('CALENDARIO'!$C$15:$C$214,MATCH(TEXT($J1108,"yyyy-mm-dd")&amp;"|"&amp;$V1108&amp;"|"&amp;$W1108,'CALENDARIO'!$G$15:$G$214,0)),IFERROR(INDEX('CALENDARIO'!$C$15:$C$214,MATCH(TEXT($J1108,"yyyy-mm-dd")&amp;"|"&amp;$V1108&amp;"|",'CALENDARIO'!$G$15:$G$214,0)),IFERROR(INDEX('CALENDARIO'!$C$15:$C$214,MATCH(TEXT($J1108,"yyyy-mm-dd")&amp;"||",'CALENDARIO'!$G$15:$G$214,0)),INDEX(patronHabil,WEEKDAY($J1108,2))))))</f>
        <v/>
      </c>
      <c r="T1108" s="3">
        <f>IF($I1108="","",IFERROR(INDEX('CAT_TIPOS_OT'!$C$4:$C$7,MATCH($I1108,'CAT_TIPOS_OT'!$A$4:$A$7,0)),"sin_clasificar"))</f>
        <v/>
      </c>
      <c r="U1108" s="3">
        <f>IF($F1108="","",IFERROR(INDEX('CAT_CENTROS_COSTO'!$F$4:$F$13,MATCH($F1108,'CAT_CENTROS_COSTO'!$A$4:$A$13,0)),"(sin catálogo)"))</f>
        <v/>
      </c>
      <c r="V1108" s="3">
        <f>IF($F1108="","",IFERROR(INDEX('CAT_CENTROS_COSTO'!$D$4:$D$13,MATCH($F1108,'CAT_CENTROS_COSTO'!$A$4:$A$13,0)),"(sin catálogo)"))</f>
        <v/>
      </c>
      <c r="W1108" s="3">
        <f>IF($F1108="","",IF((IFERROR(INDEX('CAT_CENTROS_COSTO'!$E$4:$E$13,MATCH($F1108,'CAT_CENTROS_COSTO'!$A$4:$A$13,0)),""))&lt;&gt;"",IFERROR(INDEX('CAT_CENTROS_COSTO'!$E$4:$E$13,MATCH($F1108,'CAT_CENTROS_COSTO'!$A$4:$A$13,0)),""),$V1108))</f>
        <v/>
      </c>
      <c r="X1108" s="3">
        <f>IF($F1108="","",IFERROR(INDEX('CAT_CENTROS_COSTO'!$G$4:$G$13,MATCH($F1108,'CAT_CENTROS_COSTO'!$A$4:$A$13,0)),"(sin catálogo)"))</f>
        <v/>
      </c>
      <c r="Y1108" s="3">
        <f>IF($G1108="","",IFERROR(INDEX('CAT_PUESTOS'!$B$4:$B$8,MATCH($G1108,'CAT_PUESTOS'!$A$4:$A$8,0)),"(sin catálogo)"))</f>
        <v/>
      </c>
      <c r="Z1108" s="3">
        <f>IF($H1108="","",IFERROR(INDEX('CAT_ACTIVIDADES'!$B$4:$B$8,MATCH($H1108,'CAT_ACTIVIDADES'!$A$4:$A$8,0)),"(sin catálogo)"))</f>
        <v/>
      </c>
      <c r="AA1108" s="12">
        <f>IF($J1108="","",TODAY()-$J1108)</f>
        <v/>
      </c>
      <c r="AB1108" s="12">
        <f>IF($J1108="","",IF($J1108&lt;=TODAY(),COUNTIFS(cal_fechas,"&gt;="&amp;$J1108,cal_fechas,"&lt;"&amp;TODAY(),cal_habil,"sí"),-COUNTIFS(cal_fechas,"&gt;="&amp;TODAY(),cal_fechas,"&lt;"&amp;$J1108,cal_habil,"sí")))</f>
        <v/>
      </c>
      <c r="AC1108" s="3">
        <f>IF($AB1108="","",IF($AB1108&lt;0,"FUTURO",IF($AB1108&gt;p_dias_backlog_max,"BACKLOG","MES CORRIENTE")))</f>
        <v/>
      </c>
      <c r="AD1108" s="3">
        <f>IF($AB1108="",FALSE,AND($AB1108&gt;p_dias_backlog_min,$AB1108&lt;=p_dias_backlog_max))</f>
        <v/>
      </c>
      <c r="AE1108" s="6" t="n"/>
      <c r="AF1108" s="3">
        <f>IF($AE1108="","",IF((IFERROR(INDEX('ASIGNACIONES'!$F$4:$F$339,MATCH($O1108&amp;"|"&amp;$R1108&amp;"|"&amp;$AE1108,'ASIGNACIONES'!$J$4:$J$339,0)),""))=0,"",IFERROR(INDEX('ASIGNACIONES'!$F$4:$F$339,MATCH($O1108&amp;"|"&amp;$R1108&amp;"|"&amp;$AE1108,'ASIGNACIONES'!$J$4:$J$339,0)),"")))</f>
        <v/>
      </c>
      <c r="AG1108" s="13">
        <f>IF($AE1108="","",SUMIFS('ORDENES'!$M$4:$M$1203,'ORDENES'!$AE$4:$AE$1203,$AE1108,'ORDENES'!$O$4:$O$1203,$O1108,'ORDENES'!$R$4:$R$1203,$R1108))</f>
        <v/>
      </c>
      <c r="AH1108" s="13">
        <f>IF($AG1108="","",p_factor_productividad*IFERROR(INDEX('ASIGNACIONES'!$I$4:$I$339,MATCH($O1108&amp;"|"&amp;$R1108&amp;"|"&amp;$AE1108,'ASIGNACIONES'!$J$4:$J$339,0)),0)-$AG1108)</f>
        <v/>
      </c>
      <c r="AI1108" s="10">
        <f>IF($A1108="","",IFERROR(INDEX('2_IMPORTAR_EJECUCION'!$F$9:$F$1208,MATCH($AQ1108,'2_IMPORTAR_EJECUCION'!$J$9:$J$1208,0)),0))</f>
        <v/>
      </c>
      <c r="AJ1108" s="10">
        <f>IF($A1108="","",MAX(0,IFERROR(INDEX('2_IMPORTAR_EJECUCION'!$H$9:$H$1208,MATCH($AQ1108,'2_IMPORTAR_EJECUCION'!$J$9:$J$1208,0)),0)-$AI1108))</f>
        <v/>
      </c>
      <c r="AK1108" s="10">
        <f>IF($A1108="","",$AI1108+$AJ1108)</f>
        <v/>
      </c>
      <c r="AL1108" s="6" t="n"/>
      <c r="AM1108" s="6" t="n"/>
      <c r="AN1108" s="6" t="n"/>
      <c r="AO1108" s="3">
        <f>IF($AN1108="","",HYPERLINK(p_ruta_base_checklists&amp;$AN1108,"abrir"))</f>
        <v/>
      </c>
      <c r="AP1108" s="6" t="n"/>
      <c r="AQ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IF($A1109="","",IFERROR(INDEX('AJUSTES'!$B$4:$B$303,MATCH($AQ1109,'AJUSTES'!$A$4:$A$303,0)),IF($K1109="","",$K1109)))</f>
        <v/>
      </c>
      <c r="N1109" s="3">
        <f>IF($A1109="","",IFERROR(INDEX('CAT_ESTADOS_ERP'!$B$4:$B$7,MATCH(IFERROR(INDEX('2_IMPORTAR_EJECUCION'!$C$9:$C$1208,MATCH($AQ1109,'2_IMPORTAR_EJECUCION'!$J$9:$J$1208,0)),""),'CAT_ESTADOS_ERP'!$A$4:$A$7,0)),"Pendiente"))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J1109="","",IFERROR(INDEX('CALENDARIO'!$C$15:$C$214,MATCH(TEXT($J1109,"yyyy-mm-dd")&amp;"|"&amp;$V1109&amp;"|"&amp;$W1109,'CALENDARIO'!$G$15:$G$214,0)),IFERROR(INDEX('CALENDARIO'!$C$15:$C$214,MATCH(TEXT($J1109,"yyyy-mm-dd")&amp;"|"&amp;$V1109&amp;"|",'CALENDARIO'!$G$15:$G$214,0)),IFERROR(INDEX('CALENDARIO'!$C$15:$C$214,MATCH(TEXT($J1109,"yyyy-mm-dd")&amp;"||",'CALENDARIO'!$G$15:$G$214,0)),INDEX(patronHabil,WEEKDAY($J1109,2))))))</f>
        <v/>
      </c>
      <c r="T1109" s="3">
        <f>IF($I1109="","",IFERROR(INDEX('CAT_TIPOS_OT'!$C$4:$C$7,MATCH($I1109,'CAT_TIPOS_OT'!$A$4:$A$7,0)),"sin_clasificar"))</f>
        <v/>
      </c>
      <c r="U1109" s="3">
        <f>IF($F1109="","",IFERROR(INDEX('CAT_CENTROS_COSTO'!$F$4:$F$13,MATCH($F1109,'CAT_CENTROS_COSTO'!$A$4:$A$13,0)),"(sin catálogo)"))</f>
        <v/>
      </c>
      <c r="V1109" s="3">
        <f>IF($F1109="","",IFERROR(INDEX('CAT_CENTROS_COSTO'!$D$4:$D$13,MATCH($F1109,'CAT_CENTROS_COSTO'!$A$4:$A$13,0)),"(sin catálogo)"))</f>
        <v/>
      </c>
      <c r="W1109" s="3">
        <f>IF($F1109="","",IF((IFERROR(INDEX('CAT_CENTROS_COSTO'!$E$4:$E$13,MATCH($F1109,'CAT_CENTROS_COSTO'!$A$4:$A$13,0)),""))&lt;&gt;"",IFERROR(INDEX('CAT_CENTROS_COSTO'!$E$4:$E$13,MATCH($F1109,'CAT_CENTROS_COSTO'!$A$4:$A$13,0)),""),$V1109))</f>
        <v/>
      </c>
      <c r="X1109" s="3">
        <f>IF($F1109="","",IFERROR(INDEX('CAT_CENTROS_COSTO'!$G$4:$G$13,MATCH($F1109,'CAT_CENTROS_COSTO'!$A$4:$A$13,0)),"(sin catálogo)"))</f>
        <v/>
      </c>
      <c r="Y1109" s="3">
        <f>IF($G1109="","",IFERROR(INDEX('CAT_PUESTOS'!$B$4:$B$8,MATCH($G1109,'CAT_PUESTOS'!$A$4:$A$8,0)),"(sin catálogo)"))</f>
        <v/>
      </c>
      <c r="Z1109" s="3">
        <f>IF($H1109="","",IFERROR(INDEX('CAT_ACTIVIDADES'!$B$4:$B$8,MATCH($H1109,'CAT_ACTIVIDADES'!$A$4:$A$8,0)),"(sin catálogo)"))</f>
        <v/>
      </c>
      <c r="AA1109" s="12">
        <f>IF($J1109="","",TODAY()-$J1109)</f>
        <v/>
      </c>
      <c r="AB1109" s="12">
        <f>IF($J1109="","",IF($J1109&lt;=TODAY(),COUNTIFS(cal_fechas,"&gt;="&amp;$J1109,cal_fechas,"&lt;"&amp;TODAY(),cal_habil,"sí"),-COUNTIFS(cal_fechas,"&gt;="&amp;TODAY(),cal_fechas,"&lt;"&amp;$J1109,cal_habil,"sí")))</f>
        <v/>
      </c>
      <c r="AC1109" s="3">
        <f>IF($AB1109="","",IF($AB1109&lt;0,"FUTURO",IF($AB1109&gt;p_dias_backlog_max,"BACKLOG","MES CORRIENTE")))</f>
        <v/>
      </c>
      <c r="AD1109" s="3">
        <f>IF($AB1109="",FALSE,AND($AB1109&gt;p_dias_backlog_min,$AB1109&lt;=p_dias_backlog_max))</f>
        <v/>
      </c>
      <c r="AE1109" s="6" t="n"/>
      <c r="AF1109" s="3">
        <f>IF($AE1109="","",IF((IFERROR(INDEX('ASIGNACIONES'!$F$4:$F$339,MATCH($O1109&amp;"|"&amp;$R1109&amp;"|"&amp;$AE1109,'ASIGNACIONES'!$J$4:$J$339,0)),""))=0,"",IFERROR(INDEX('ASIGNACIONES'!$F$4:$F$339,MATCH($O1109&amp;"|"&amp;$R1109&amp;"|"&amp;$AE1109,'ASIGNACIONES'!$J$4:$J$339,0)),"")))</f>
        <v/>
      </c>
      <c r="AG1109" s="13">
        <f>IF($AE1109="","",SUMIFS('ORDENES'!$M$4:$M$1203,'ORDENES'!$AE$4:$AE$1203,$AE1109,'ORDENES'!$O$4:$O$1203,$O1109,'ORDENES'!$R$4:$R$1203,$R1109))</f>
        <v/>
      </c>
      <c r="AH1109" s="13">
        <f>IF($AG1109="","",p_factor_productividad*IFERROR(INDEX('ASIGNACIONES'!$I$4:$I$339,MATCH($O1109&amp;"|"&amp;$R1109&amp;"|"&amp;$AE1109,'ASIGNACIONES'!$J$4:$J$339,0)),0)-$AG1109)</f>
        <v/>
      </c>
      <c r="AI1109" s="10">
        <f>IF($A1109="","",IFERROR(INDEX('2_IMPORTAR_EJECUCION'!$F$9:$F$1208,MATCH($AQ1109,'2_IMPORTAR_EJECUCION'!$J$9:$J$1208,0)),0))</f>
        <v/>
      </c>
      <c r="AJ1109" s="10">
        <f>IF($A1109="","",MAX(0,IFERROR(INDEX('2_IMPORTAR_EJECUCION'!$H$9:$H$1208,MATCH($AQ1109,'2_IMPORTAR_EJECUCION'!$J$9:$J$1208,0)),0)-$AI1109))</f>
        <v/>
      </c>
      <c r="AK1109" s="10">
        <f>IF($A1109="","",$AI1109+$AJ1109)</f>
        <v/>
      </c>
      <c r="AL1109" s="6" t="n"/>
      <c r="AM1109" s="6" t="n"/>
      <c r="AN1109" s="6" t="n"/>
      <c r="AO1109" s="3">
        <f>IF($AN1109="","",HYPERLINK(p_ruta_base_checklists&amp;$AN1109,"abrir"))</f>
        <v/>
      </c>
      <c r="AP1109" s="6" t="n"/>
      <c r="AQ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IF($A1110="","",IFERROR(INDEX('AJUSTES'!$B$4:$B$303,MATCH($AQ1110,'AJUSTES'!$A$4:$A$303,0)),IF($K1110="","",$K1110)))</f>
        <v/>
      </c>
      <c r="N1110" s="3">
        <f>IF($A1110="","",IFERROR(INDEX('CAT_ESTADOS_ERP'!$B$4:$B$7,MATCH(IFERROR(INDEX('2_IMPORTAR_EJECUCION'!$C$9:$C$1208,MATCH($AQ1110,'2_IMPORTAR_EJECUCION'!$J$9:$J$1208,0)),""),'CAT_ESTADOS_ERP'!$A$4:$A$7,0)),"Pendiente"))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J1110="","",IFERROR(INDEX('CALENDARIO'!$C$15:$C$214,MATCH(TEXT($J1110,"yyyy-mm-dd")&amp;"|"&amp;$V1110&amp;"|"&amp;$W1110,'CALENDARIO'!$G$15:$G$214,0)),IFERROR(INDEX('CALENDARIO'!$C$15:$C$214,MATCH(TEXT($J1110,"yyyy-mm-dd")&amp;"|"&amp;$V1110&amp;"|",'CALENDARIO'!$G$15:$G$214,0)),IFERROR(INDEX('CALENDARIO'!$C$15:$C$214,MATCH(TEXT($J1110,"yyyy-mm-dd")&amp;"||",'CALENDARIO'!$G$15:$G$214,0)),INDEX(patronHabil,WEEKDAY($J1110,2))))))</f>
        <v/>
      </c>
      <c r="T1110" s="3">
        <f>IF($I1110="","",IFERROR(INDEX('CAT_TIPOS_OT'!$C$4:$C$7,MATCH($I1110,'CAT_TIPOS_OT'!$A$4:$A$7,0)),"sin_clasificar"))</f>
        <v/>
      </c>
      <c r="U1110" s="3">
        <f>IF($F1110="","",IFERROR(INDEX('CAT_CENTROS_COSTO'!$F$4:$F$13,MATCH($F1110,'CAT_CENTROS_COSTO'!$A$4:$A$13,0)),"(sin catálogo)"))</f>
        <v/>
      </c>
      <c r="V1110" s="3">
        <f>IF($F1110="","",IFERROR(INDEX('CAT_CENTROS_COSTO'!$D$4:$D$13,MATCH($F1110,'CAT_CENTROS_COSTO'!$A$4:$A$13,0)),"(sin catálogo)"))</f>
        <v/>
      </c>
      <c r="W1110" s="3">
        <f>IF($F1110="","",IF((IFERROR(INDEX('CAT_CENTROS_COSTO'!$E$4:$E$13,MATCH($F1110,'CAT_CENTROS_COSTO'!$A$4:$A$13,0)),""))&lt;&gt;"",IFERROR(INDEX('CAT_CENTROS_COSTO'!$E$4:$E$13,MATCH($F1110,'CAT_CENTROS_COSTO'!$A$4:$A$13,0)),""),$V1110))</f>
        <v/>
      </c>
      <c r="X1110" s="3">
        <f>IF($F1110="","",IFERROR(INDEX('CAT_CENTROS_COSTO'!$G$4:$G$13,MATCH($F1110,'CAT_CENTROS_COSTO'!$A$4:$A$13,0)),"(sin catálogo)"))</f>
        <v/>
      </c>
      <c r="Y1110" s="3">
        <f>IF($G1110="","",IFERROR(INDEX('CAT_PUESTOS'!$B$4:$B$8,MATCH($G1110,'CAT_PUESTOS'!$A$4:$A$8,0)),"(sin catálogo)"))</f>
        <v/>
      </c>
      <c r="Z1110" s="3">
        <f>IF($H1110="","",IFERROR(INDEX('CAT_ACTIVIDADES'!$B$4:$B$8,MATCH($H1110,'CAT_ACTIVIDADES'!$A$4:$A$8,0)),"(sin catálogo)"))</f>
        <v/>
      </c>
      <c r="AA1110" s="12">
        <f>IF($J1110="","",TODAY()-$J1110)</f>
        <v/>
      </c>
      <c r="AB1110" s="12">
        <f>IF($J1110="","",IF($J1110&lt;=TODAY(),COUNTIFS(cal_fechas,"&gt;="&amp;$J1110,cal_fechas,"&lt;"&amp;TODAY(),cal_habil,"sí"),-COUNTIFS(cal_fechas,"&gt;="&amp;TODAY(),cal_fechas,"&lt;"&amp;$J1110,cal_habil,"sí")))</f>
        <v/>
      </c>
      <c r="AC1110" s="3">
        <f>IF($AB1110="","",IF($AB1110&lt;0,"FUTURO",IF($AB1110&gt;p_dias_backlog_max,"BACKLOG","MES CORRIENTE")))</f>
        <v/>
      </c>
      <c r="AD1110" s="3">
        <f>IF($AB1110="",FALSE,AND($AB1110&gt;p_dias_backlog_min,$AB1110&lt;=p_dias_backlog_max))</f>
        <v/>
      </c>
      <c r="AE1110" s="6" t="n"/>
      <c r="AF1110" s="3">
        <f>IF($AE1110="","",IF((IFERROR(INDEX('ASIGNACIONES'!$F$4:$F$339,MATCH($O1110&amp;"|"&amp;$R1110&amp;"|"&amp;$AE1110,'ASIGNACIONES'!$J$4:$J$339,0)),""))=0,"",IFERROR(INDEX('ASIGNACIONES'!$F$4:$F$339,MATCH($O1110&amp;"|"&amp;$R1110&amp;"|"&amp;$AE1110,'ASIGNACIONES'!$J$4:$J$339,0)),"")))</f>
        <v/>
      </c>
      <c r="AG1110" s="13">
        <f>IF($AE1110="","",SUMIFS('ORDENES'!$M$4:$M$1203,'ORDENES'!$AE$4:$AE$1203,$AE1110,'ORDENES'!$O$4:$O$1203,$O1110,'ORDENES'!$R$4:$R$1203,$R1110))</f>
        <v/>
      </c>
      <c r="AH1110" s="13">
        <f>IF($AG1110="","",p_factor_productividad*IFERROR(INDEX('ASIGNACIONES'!$I$4:$I$339,MATCH($O1110&amp;"|"&amp;$R1110&amp;"|"&amp;$AE1110,'ASIGNACIONES'!$J$4:$J$339,0)),0)-$AG1110)</f>
        <v/>
      </c>
      <c r="AI1110" s="10">
        <f>IF($A1110="","",IFERROR(INDEX('2_IMPORTAR_EJECUCION'!$F$9:$F$1208,MATCH($AQ1110,'2_IMPORTAR_EJECUCION'!$J$9:$J$1208,0)),0))</f>
        <v/>
      </c>
      <c r="AJ1110" s="10">
        <f>IF($A1110="","",MAX(0,IFERROR(INDEX('2_IMPORTAR_EJECUCION'!$H$9:$H$1208,MATCH($AQ1110,'2_IMPORTAR_EJECUCION'!$J$9:$J$1208,0)),0)-$AI1110))</f>
        <v/>
      </c>
      <c r="AK1110" s="10">
        <f>IF($A1110="","",$AI1110+$AJ1110)</f>
        <v/>
      </c>
      <c r="AL1110" s="6" t="n"/>
      <c r="AM1110" s="6" t="n"/>
      <c r="AN1110" s="6" t="n"/>
      <c r="AO1110" s="3">
        <f>IF($AN1110="","",HYPERLINK(p_ruta_base_checklists&amp;$AN1110,"abrir"))</f>
        <v/>
      </c>
      <c r="AP1110" s="6" t="n"/>
      <c r="AQ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IF($A1111="","",IFERROR(INDEX('AJUSTES'!$B$4:$B$303,MATCH($AQ1111,'AJUSTES'!$A$4:$A$303,0)),IF($K1111="","",$K1111)))</f>
        <v/>
      </c>
      <c r="N1111" s="3">
        <f>IF($A1111="","",IFERROR(INDEX('CAT_ESTADOS_ERP'!$B$4:$B$7,MATCH(IFERROR(INDEX('2_IMPORTAR_EJECUCION'!$C$9:$C$1208,MATCH($AQ1111,'2_IMPORTAR_EJECUCION'!$J$9:$J$1208,0)),""),'CAT_ESTADOS_ERP'!$A$4:$A$7,0)),"Pendiente"))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J1111="","",IFERROR(INDEX('CALENDARIO'!$C$15:$C$214,MATCH(TEXT($J1111,"yyyy-mm-dd")&amp;"|"&amp;$V1111&amp;"|"&amp;$W1111,'CALENDARIO'!$G$15:$G$214,0)),IFERROR(INDEX('CALENDARIO'!$C$15:$C$214,MATCH(TEXT($J1111,"yyyy-mm-dd")&amp;"|"&amp;$V1111&amp;"|",'CALENDARIO'!$G$15:$G$214,0)),IFERROR(INDEX('CALENDARIO'!$C$15:$C$214,MATCH(TEXT($J1111,"yyyy-mm-dd")&amp;"||",'CALENDARIO'!$G$15:$G$214,0)),INDEX(patronHabil,WEEKDAY($J1111,2))))))</f>
        <v/>
      </c>
      <c r="T1111" s="3">
        <f>IF($I1111="","",IFERROR(INDEX('CAT_TIPOS_OT'!$C$4:$C$7,MATCH($I1111,'CAT_TIPOS_OT'!$A$4:$A$7,0)),"sin_clasificar"))</f>
        <v/>
      </c>
      <c r="U1111" s="3">
        <f>IF($F1111="","",IFERROR(INDEX('CAT_CENTROS_COSTO'!$F$4:$F$13,MATCH($F1111,'CAT_CENTROS_COSTO'!$A$4:$A$13,0)),"(sin catálogo)"))</f>
        <v/>
      </c>
      <c r="V1111" s="3">
        <f>IF($F1111="","",IFERROR(INDEX('CAT_CENTROS_COSTO'!$D$4:$D$13,MATCH($F1111,'CAT_CENTROS_COSTO'!$A$4:$A$13,0)),"(sin catálogo)"))</f>
        <v/>
      </c>
      <c r="W1111" s="3">
        <f>IF($F1111="","",IF((IFERROR(INDEX('CAT_CENTROS_COSTO'!$E$4:$E$13,MATCH($F1111,'CAT_CENTROS_COSTO'!$A$4:$A$13,0)),""))&lt;&gt;"",IFERROR(INDEX('CAT_CENTROS_COSTO'!$E$4:$E$13,MATCH($F1111,'CAT_CENTROS_COSTO'!$A$4:$A$13,0)),""),$V1111))</f>
        <v/>
      </c>
      <c r="X1111" s="3">
        <f>IF($F1111="","",IFERROR(INDEX('CAT_CENTROS_COSTO'!$G$4:$G$13,MATCH($F1111,'CAT_CENTROS_COSTO'!$A$4:$A$13,0)),"(sin catálogo)"))</f>
        <v/>
      </c>
      <c r="Y1111" s="3">
        <f>IF($G1111="","",IFERROR(INDEX('CAT_PUESTOS'!$B$4:$B$8,MATCH($G1111,'CAT_PUESTOS'!$A$4:$A$8,0)),"(sin catálogo)"))</f>
        <v/>
      </c>
      <c r="Z1111" s="3">
        <f>IF($H1111="","",IFERROR(INDEX('CAT_ACTIVIDADES'!$B$4:$B$8,MATCH($H1111,'CAT_ACTIVIDADES'!$A$4:$A$8,0)),"(sin catálogo)"))</f>
        <v/>
      </c>
      <c r="AA1111" s="12">
        <f>IF($J1111="","",TODAY()-$J1111)</f>
        <v/>
      </c>
      <c r="AB1111" s="12">
        <f>IF($J1111="","",IF($J1111&lt;=TODAY(),COUNTIFS(cal_fechas,"&gt;="&amp;$J1111,cal_fechas,"&lt;"&amp;TODAY(),cal_habil,"sí"),-COUNTIFS(cal_fechas,"&gt;="&amp;TODAY(),cal_fechas,"&lt;"&amp;$J1111,cal_habil,"sí")))</f>
        <v/>
      </c>
      <c r="AC1111" s="3">
        <f>IF($AB1111="","",IF($AB1111&lt;0,"FUTURO",IF($AB1111&gt;p_dias_backlog_max,"BACKLOG","MES CORRIENTE")))</f>
        <v/>
      </c>
      <c r="AD1111" s="3">
        <f>IF($AB1111="",FALSE,AND($AB1111&gt;p_dias_backlog_min,$AB1111&lt;=p_dias_backlog_max))</f>
        <v/>
      </c>
      <c r="AE1111" s="6" t="n"/>
      <c r="AF1111" s="3">
        <f>IF($AE1111="","",IF((IFERROR(INDEX('ASIGNACIONES'!$F$4:$F$339,MATCH($O1111&amp;"|"&amp;$R1111&amp;"|"&amp;$AE1111,'ASIGNACIONES'!$J$4:$J$339,0)),""))=0,"",IFERROR(INDEX('ASIGNACIONES'!$F$4:$F$339,MATCH($O1111&amp;"|"&amp;$R1111&amp;"|"&amp;$AE1111,'ASIGNACIONES'!$J$4:$J$339,0)),"")))</f>
        <v/>
      </c>
      <c r="AG1111" s="13">
        <f>IF($AE1111="","",SUMIFS('ORDENES'!$M$4:$M$1203,'ORDENES'!$AE$4:$AE$1203,$AE1111,'ORDENES'!$O$4:$O$1203,$O1111,'ORDENES'!$R$4:$R$1203,$R1111))</f>
        <v/>
      </c>
      <c r="AH1111" s="13">
        <f>IF($AG1111="","",p_factor_productividad*IFERROR(INDEX('ASIGNACIONES'!$I$4:$I$339,MATCH($O1111&amp;"|"&amp;$R1111&amp;"|"&amp;$AE1111,'ASIGNACIONES'!$J$4:$J$339,0)),0)-$AG1111)</f>
        <v/>
      </c>
      <c r="AI1111" s="10">
        <f>IF($A1111="","",IFERROR(INDEX('2_IMPORTAR_EJECUCION'!$F$9:$F$1208,MATCH($AQ1111,'2_IMPORTAR_EJECUCION'!$J$9:$J$1208,0)),0))</f>
        <v/>
      </c>
      <c r="AJ1111" s="10">
        <f>IF($A1111="","",MAX(0,IFERROR(INDEX('2_IMPORTAR_EJECUCION'!$H$9:$H$1208,MATCH($AQ1111,'2_IMPORTAR_EJECUCION'!$J$9:$J$1208,0)),0)-$AI1111))</f>
        <v/>
      </c>
      <c r="AK1111" s="10">
        <f>IF($A1111="","",$AI1111+$AJ1111)</f>
        <v/>
      </c>
      <c r="AL1111" s="6" t="n"/>
      <c r="AM1111" s="6" t="n"/>
      <c r="AN1111" s="6" t="n"/>
      <c r="AO1111" s="3">
        <f>IF($AN1111="","",HYPERLINK(p_ruta_base_checklists&amp;$AN1111,"abrir"))</f>
        <v/>
      </c>
      <c r="AP1111" s="6" t="n"/>
      <c r="AQ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IF($A1112="","",IFERROR(INDEX('AJUSTES'!$B$4:$B$303,MATCH($AQ1112,'AJUSTES'!$A$4:$A$303,0)),IF($K1112="","",$K1112)))</f>
        <v/>
      </c>
      <c r="N1112" s="3">
        <f>IF($A1112="","",IFERROR(INDEX('CAT_ESTADOS_ERP'!$B$4:$B$7,MATCH(IFERROR(INDEX('2_IMPORTAR_EJECUCION'!$C$9:$C$1208,MATCH($AQ1112,'2_IMPORTAR_EJECUCION'!$J$9:$J$1208,0)),""),'CAT_ESTADOS_ERP'!$A$4:$A$7,0)),"Pendiente"))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J1112="","",IFERROR(INDEX('CALENDARIO'!$C$15:$C$214,MATCH(TEXT($J1112,"yyyy-mm-dd")&amp;"|"&amp;$V1112&amp;"|"&amp;$W1112,'CALENDARIO'!$G$15:$G$214,0)),IFERROR(INDEX('CALENDARIO'!$C$15:$C$214,MATCH(TEXT($J1112,"yyyy-mm-dd")&amp;"|"&amp;$V1112&amp;"|",'CALENDARIO'!$G$15:$G$214,0)),IFERROR(INDEX('CALENDARIO'!$C$15:$C$214,MATCH(TEXT($J1112,"yyyy-mm-dd")&amp;"||",'CALENDARIO'!$G$15:$G$214,0)),INDEX(patronHabil,WEEKDAY($J1112,2))))))</f>
        <v/>
      </c>
      <c r="T1112" s="3">
        <f>IF($I1112="","",IFERROR(INDEX('CAT_TIPOS_OT'!$C$4:$C$7,MATCH($I1112,'CAT_TIPOS_OT'!$A$4:$A$7,0)),"sin_clasificar"))</f>
        <v/>
      </c>
      <c r="U1112" s="3">
        <f>IF($F1112="","",IFERROR(INDEX('CAT_CENTROS_COSTO'!$F$4:$F$13,MATCH($F1112,'CAT_CENTROS_COSTO'!$A$4:$A$13,0)),"(sin catálogo)"))</f>
        <v/>
      </c>
      <c r="V1112" s="3">
        <f>IF($F1112="","",IFERROR(INDEX('CAT_CENTROS_COSTO'!$D$4:$D$13,MATCH($F1112,'CAT_CENTROS_COSTO'!$A$4:$A$13,0)),"(sin catálogo)"))</f>
        <v/>
      </c>
      <c r="W1112" s="3">
        <f>IF($F1112="","",IF((IFERROR(INDEX('CAT_CENTROS_COSTO'!$E$4:$E$13,MATCH($F1112,'CAT_CENTROS_COSTO'!$A$4:$A$13,0)),""))&lt;&gt;"",IFERROR(INDEX('CAT_CENTROS_COSTO'!$E$4:$E$13,MATCH($F1112,'CAT_CENTROS_COSTO'!$A$4:$A$13,0)),""),$V1112))</f>
        <v/>
      </c>
      <c r="X1112" s="3">
        <f>IF($F1112="","",IFERROR(INDEX('CAT_CENTROS_COSTO'!$G$4:$G$13,MATCH($F1112,'CAT_CENTROS_COSTO'!$A$4:$A$13,0)),"(sin catálogo)"))</f>
        <v/>
      </c>
      <c r="Y1112" s="3">
        <f>IF($G1112="","",IFERROR(INDEX('CAT_PUESTOS'!$B$4:$B$8,MATCH($G1112,'CAT_PUESTOS'!$A$4:$A$8,0)),"(sin catálogo)"))</f>
        <v/>
      </c>
      <c r="Z1112" s="3">
        <f>IF($H1112="","",IFERROR(INDEX('CAT_ACTIVIDADES'!$B$4:$B$8,MATCH($H1112,'CAT_ACTIVIDADES'!$A$4:$A$8,0)),"(sin catálogo)"))</f>
        <v/>
      </c>
      <c r="AA1112" s="12">
        <f>IF($J1112="","",TODAY()-$J1112)</f>
        <v/>
      </c>
      <c r="AB1112" s="12">
        <f>IF($J1112="","",IF($J1112&lt;=TODAY(),COUNTIFS(cal_fechas,"&gt;="&amp;$J1112,cal_fechas,"&lt;"&amp;TODAY(),cal_habil,"sí"),-COUNTIFS(cal_fechas,"&gt;="&amp;TODAY(),cal_fechas,"&lt;"&amp;$J1112,cal_habil,"sí")))</f>
        <v/>
      </c>
      <c r="AC1112" s="3">
        <f>IF($AB1112="","",IF($AB1112&lt;0,"FUTURO",IF($AB1112&gt;p_dias_backlog_max,"BACKLOG","MES CORRIENTE")))</f>
        <v/>
      </c>
      <c r="AD1112" s="3">
        <f>IF($AB1112="",FALSE,AND($AB1112&gt;p_dias_backlog_min,$AB1112&lt;=p_dias_backlog_max))</f>
        <v/>
      </c>
      <c r="AE1112" s="6" t="n"/>
      <c r="AF1112" s="3">
        <f>IF($AE1112="","",IF((IFERROR(INDEX('ASIGNACIONES'!$F$4:$F$339,MATCH($O1112&amp;"|"&amp;$R1112&amp;"|"&amp;$AE1112,'ASIGNACIONES'!$J$4:$J$339,0)),""))=0,"",IFERROR(INDEX('ASIGNACIONES'!$F$4:$F$339,MATCH($O1112&amp;"|"&amp;$R1112&amp;"|"&amp;$AE1112,'ASIGNACIONES'!$J$4:$J$339,0)),"")))</f>
        <v/>
      </c>
      <c r="AG1112" s="13">
        <f>IF($AE1112="","",SUMIFS('ORDENES'!$M$4:$M$1203,'ORDENES'!$AE$4:$AE$1203,$AE1112,'ORDENES'!$O$4:$O$1203,$O1112,'ORDENES'!$R$4:$R$1203,$R1112))</f>
        <v/>
      </c>
      <c r="AH1112" s="13">
        <f>IF($AG1112="","",p_factor_productividad*IFERROR(INDEX('ASIGNACIONES'!$I$4:$I$339,MATCH($O1112&amp;"|"&amp;$R1112&amp;"|"&amp;$AE1112,'ASIGNACIONES'!$J$4:$J$339,0)),0)-$AG1112)</f>
        <v/>
      </c>
      <c r="AI1112" s="10">
        <f>IF($A1112="","",IFERROR(INDEX('2_IMPORTAR_EJECUCION'!$F$9:$F$1208,MATCH($AQ1112,'2_IMPORTAR_EJECUCION'!$J$9:$J$1208,0)),0))</f>
        <v/>
      </c>
      <c r="AJ1112" s="10">
        <f>IF($A1112="","",MAX(0,IFERROR(INDEX('2_IMPORTAR_EJECUCION'!$H$9:$H$1208,MATCH($AQ1112,'2_IMPORTAR_EJECUCION'!$J$9:$J$1208,0)),0)-$AI1112))</f>
        <v/>
      </c>
      <c r="AK1112" s="10">
        <f>IF($A1112="","",$AI1112+$AJ1112)</f>
        <v/>
      </c>
      <c r="AL1112" s="6" t="n"/>
      <c r="AM1112" s="6" t="n"/>
      <c r="AN1112" s="6" t="n"/>
      <c r="AO1112" s="3">
        <f>IF($AN1112="","",HYPERLINK(p_ruta_base_checklists&amp;$AN1112,"abrir"))</f>
        <v/>
      </c>
      <c r="AP1112" s="6" t="n"/>
      <c r="AQ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IF($A1113="","",IFERROR(INDEX('AJUSTES'!$B$4:$B$303,MATCH($AQ1113,'AJUSTES'!$A$4:$A$303,0)),IF($K1113="","",$K1113)))</f>
        <v/>
      </c>
      <c r="N1113" s="3">
        <f>IF($A1113="","",IFERROR(INDEX('CAT_ESTADOS_ERP'!$B$4:$B$7,MATCH(IFERROR(INDEX('2_IMPORTAR_EJECUCION'!$C$9:$C$1208,MATCH($AQ1113,'2_IMPORTAR_EJECUCION'!$J$9:$J$1208,0)),""),'CAT_ESTADOS_ERP'!$A$4:$A$7,0)),"Pendiente"))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J1113="","",IFERROR(INDEX('CALENDARIO'!$C$15:$C$214,MATCH(TEXT($J1113,"yyyy-mm-dd")&amp;"|"&amp;$V1113&amp;"|"&amp;$W1113,'CALENDARIO'!$G$15:$G$214,0)),IFERROR(INDEX('CALENDARIO'!$C$15:$C$214,MATCH(TEXT($J1113,"yyyy-mm-dd")&amp;"|"&amp;$V1113&amp;"|",'CALENDARIO'!$G$15:$G$214,0)),IFERROR(INDEX('CALENDARIO'!$C$15:$C$214,MATCH(TEXT($J1113,"yyyy-mm-dd")&amp;"||",'CALENDARIO'!$G$15:$G$214,0)),INDEX(patronHabil,WEEKDAY($J1113,2))))))</f>
        <v/>
      </c>
      <c r="T1113" s="3">
        <f>IF($I1113="","",IFERROR(INDEX('CAT_TIPOS_OT'!$C$4:$C$7,MATCH($I1113,'CAT_TIPOS_OT'!$A$4:$A$7,0)),"sin_clasificar"))</f>
        <v/>
      </c>
      <c r="U1113" s="3">
        <f>IF($F1113="","",IFERROR(INDEX('CAT_CENTROS_COSTO'!$F$4:$F$13,MATCH($F1113,'CAT_CENTROS_COSTO'!$A$4:$A$13,0)),"(sin catálogo)"))</f>
        <v/>
      </c>
      <c r="V1113" s="3">
        <f>IF($F1113="","",IFERROR(INDEX('CAT_CENTROS_COSTO'!$D$4:$D$13,MATCH($F1113,'CAT_CENTROS_COSTO'!$A$4:$A$13,0)),"(sin catálogo)"))</f>
        <v/>
      </c>
      <c r="W1113" s="3">
        <f>IF($F1113="","",IF((IFERROR(INDEX('CAT_CENTROS_COSTO'!$E$4:$E$13,MATCH($F1113,'CAT_CENTROS_COSTO'!$A$4:$A$13,0)),""))&lt;&gt;"",IFERROR(INDEX('CAT_CENTROS_COSTO'!$E$4:$E$13,MATCH($F1113,'CAT_CENTROS_COSTO'!$A$4:$A$13,0)),""),$V1113))</f>
        <v/>
      </c>
      <c r="X1113" s="3">
        <f>IF($F1113="","",IFERROR(INDEX('CAT_CENTROS_COSTO'!$G$4:$G$13,MATCH($F1113,'CAT_CENTROS_COSTO'!$A$4:$A$13,0)),"(sin catálogo)"))</f>
        <v/>
      </c>
      <c r="Y1113" s="3">
        <f>IF($G1113="","",IFERROR(INDEX('CAT_PUESTOS'!$B$4:$B$8,MATCH($G1113,'CAT_PUESTOS'!$A$4:$A$8,0)),"(sin catálogo)"))</f>
        <v/>
      </c>
      <c r="Z1113" s="3">
        <f>IF($H1113="","",IFERROR(INDEX('CAT_ACTIVIDADES'!$B$4:$B$8,MATCH($H1113,'CAT_ACTIVIDADES'!$A$4:$A$8,0)),"(sin catálogo)"))</f>
        <v/>
      </c>
      <c r="AA1113" s="12">
        <f>IF($J1113="","",TODAY()-$J1113)</f>
        <v/>
      </c>
      <c r="AB1113" s="12">
        <f>IF($J1113="","",IF($J1113&lt;=TODAY(),COUNTIFS(cal_fechas,"&gt;="&amp;$J1113,cal_fechas,"&lt;"&amp;TODAY(),cal_habil,"sí"),-COUNTIFS(cal_fechas,"&gt;="&amp;TODAY(),cal_fechas,"&lt;"&amp;$J1113,cal_habil,"sí")))</f>
        <v/>
      </c>
      <c r="AC1113" s="3">
        <f>IF($AB1113="","",IF($AB1113&lt;0,"FUTURO",IF($AB1113&gt;p_dias_backlog_max,"BACKLOG","MES CORRIENTE")))</f>
        <v/>
      </c>
      <c r="AD1113" s="3">
        <f>IF($AB1113="",FALSE,AND($AB1113&gt;p_dias_backlog_min,$AB1113&lt;=p_dias_backlog_max))</f>
        <v/>
      </c>
      <c r="AE1113" s="6" t="n"/>
      <c r="AF1113" s="3">
        <f>IF($AE1113="","",IF((IFERROR(INDEX('ASIGNACIONES'!$F$4:$F$339,MATCH($O1113&amp;"|"&amp;$R1113&amp;"|"&amp;$AE1113,'ASIGNACIONES'!$J$4:$J$339,0)),""))=0,"",IFERROR(INDEX('ASIGNACIONES'!$F$4:$F$339,MATCH($O1113&amp;"|"&amp;$R1113&amp;"|"&amp;$AE1113,'ASIGNACIONES'!$J$4:$J$339,0)),"")))</f>
        <v/>
      </c>
      <c r="AG1113" s="13">
        <f>IF($AE1113="","",SUMIFS('ORDENES'!$M$4:$M$1203,'ORDENES'!$AE$4:$AE$1203,$AE1113,'ORDENES'!$O$4:$O$1203,$O1113,'ORDENES'!$R$4:$R$1203,$R1113))</f>
        <v/>
      </c>
      <c r="AH1113" s="13">
        <f>IF($AG1113="","",p_factor_productividad*IFERROR(INDEX('ASIGNACIONES'!$I$4:$I$339,MATCH($O1113&amp;"|"&amp;$R1113&amp;"|"&amp;$AE1113,'ASIGNACIONES'!$J$4:$J$339,0)),0)-$AG1113)</f>
        <v/>
      </c>
      <c r="AI1113" s="10">
        <f>IF($A1113="","",IFERROR(INDEX('2_IMPORTAR_EJECUCION'!$F$9:$F$1208,MATCH($AQ1113,'2_IMPORTAR_EJECUCION'!$J$9:$J$1208,0)),0))</f>
        <v/>
      </c>
      <c r="AJ1113" s="10">
        <f>IF($A1113="","",MAX(0,IFERROR(INDEX('2_IMPORTAR_EJECUCION'!$H$9:$H$1208,MATCH($AQ1113,'2_IMPORTAR_EJECUCION'!$J$9:$J$1208,0)),0)-$AI1113))</f>
        <v/>
      </c>
      <c r="AK1113" s="10">
        <f>IF($A1113="","",$AI1113+$AJ1113)</f>
        <v/>
      </c>
      <c r="AL1113" s="6" t="n"/>
      <c r="AM1113" s="6" t="n"/>
      <c r="AN1113" s="6" t="n"/>
      <c r="AO1113" s="3">
        <f>IF($AN1113="","",HYPERLINK(p_ruta_base_checklists&amp;$AN1113,"abrir"))</f>
        <v/>
      </c>
      <c r="AP1113" s="6" t="n"/>
      <c r="AQ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IF($A1114="","",IFERROR(INDEX('AJUSTES'!$B$4:$B$303,MATCH($AQ1114,'AJUSTES'!$A$4:$A$303,0)),IF($K1114="","",$K1114)))</f>
        <v/>
      </c>
      <c r="N1114" s="3">
        <f>IF($A1114="","",IFERROR(INDEX('CAT_ESTADOS_ERP'!$B$4:$B$7,MATCH(IFERROR(INDEX('2_IMPORTAR_EJECUCION'!$C$9:$C$1208,MATCH($AQ1114,'2_IMPORTAR_EJECUCION'!$J$9:$J$1208,0)),""),'CAT_ESTADOS_ERP'!$A$4:$A$7,0)),"Pendiente"))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J1114="","",IFERROR(INDEX('CALENDARIO'!$C$15:$C$214,MATCH(TEXT($J1114,"yyyy-mm-dd")&amp;"|"&amp;$V1114&amp;"|"&amp;$W1114,'CALENDARIO'!$G$15:$G$214,0)),IFERROR(INDEX('CALENDARIO'!$C$15:$C$214,MATCH(TEXT($J1114,"yyyy-mm-dd")&amp;"|"&amp;$V1114&amp;"|",'CALENDARIO'!$G$15:$G$214,0)),IFERROR(INDEX('CALENDARIO'!$C$15:$C$214,MATCH(TEXT($J1114,"yyyy-mm-dd")&amp;"||",'CALENDARIO'!$G$15:$G$214,0)),INDEX(patronHabil,WEEKDAY($J1114,2))))))</f>
        <v/>
      </c>
      <c r="T1114" s="3">
        <f>IF($I1114="","",IFERROR(INDEX('CAT_TIPOS_OT'!$C$4:$C$7,MATCH($I1114,'CAT_TIPOS_OT'!$A$4:$A$7,0)),"sin_clasificar"))</f>
        <v/>
      </c>
      <c r="U1114" s="3">
        <f>IF($F1114="","",IFERROR(INDEX('CAT_CENTROS_COSTO'!$F$4:$F$13,MATCH($F1114,'CAT_CENTROS_COSTO'!$A$4:$A$13,0)),"(sin catálogo)"))</f>
        <v/>
      </c>
      <c r="V1114" s="3">
        <f>IF($F1114="","",IFERROR(INDEX('CAT_CENTROS_COSTO'!$D$4:$D$13,MATCH($F1114,'CAT_CENTROS_COSTO'!$A$4:$A$13,0)),"(sin catálogo)"))</f>
        <v/>
      </c>
      <c r="W1114" s="3">
        <f>IF($F1114="","",IF((IFERROR(INDEX('CAT_CENTROS_COSTO'!$E$4:$E$13,MATCH($F1114,'CAT_CENTROS_COSTO'!$A$4:$A$13,0)),""))&lt;&gt;"",IFERROR(INDEX('CAT_CENTROS_COSTO'!$E$4:$E$13,MATCH($F1114,'CAT_CENTROS_COSTO'!$A$4:$A$13,0)),""),$V1114))</f>
        <v/>
      </c>
      <c r="X1114" s="3">
        <f>IF($F1114="","",IFERROR(INDEX('CAT_CENTROS_COSTO'!$G$4:$G$13,MATCH($F1114,'CAT_CENTROS_COSTO'!$A$4:$A$13,0)),"(sin catálogo)"))</f>
        <v/>
      </c>
      <c r="Y1114" s="3">
        <f>IF($G1114="","",IFERROR(INDEX('CAT_PUESTOS'!$B$4:$B$8,MATCH($G1114,'CAT_PUESTOS'!$A$4:$A$8,0)),"(sin catálogo)"))</f>
        <v/>
      </c>
      <c r="Z1114" s="3">
        <f>IF($H1114="","",IFERROR(INDEX('CAT_ACTIVIDADES'!$B$4:$B$8,MATCH($H1114,'CAT_ACTIVIDADES'!$A$4:$A$8,0)),"(sin catálogo)"))</f>
        <v/>
      </c>
      <c r="AA1114" s="12">
        <f>IF($J1114="","",TODAY()-$J1114)</f>
        <v/>
      </c>
      <c r="AB1114" s="12">
        <f>IF($J1114="","",IF($J1114&lt;=TODAY(),COUNTIFS(cal_fechas,"&gt;="&amp;$J1114,cal_fechas,"&lt;"&amp;TODAY(),cal_habil,"sí"),-COUNTIFS(cal_fechas,"&gt;="&amp;TODAY(),cal_fechas,"&lt;"&amp;$J1114,cal_habil,"sí")))</f>
        <v/>
      </c>
      <c r="AC1114" s="3">
        <f>IF($AB1114="","",IF($AB1114&lt;0,"FUTURO",IF($AB1114&gt;p_dias_backlog_max,"BACKLOG","MES CORRIENTE")))</f>
        <v/>
      </c>
      <c r="AD1114" s="3">
        <f>IF($AB1114="",FALSE,AND($AB1114&gt;p_dias_backlog_min,$AB1114&lt;=p_dias_backlog_max))</f>
        <v/>
      </c>
      <c r="AE1114" s="6" t="n"/>
      <c r="AF1114" s="3">
        <f>IF($AE1114="","",IF((IFERROR(INDEX('ASIGNACIONES'!$F$4:$F$339,MATCH($O1114&amp;"|"&amp;$R1114&amp;"|"&amp;$AE1114,'ASIGNACIONES'!$J$4:$J$339,0)),""))=0,"",IFERROR(INDEX('ASIGNACIONES'!$F$4:$F$339,MATCH($O1114&amp;"|"&amp;$R1114&amp;"|"&amp;$AE1114,'ASIGNACIONES'!$J$4:$J$339,0)),"")))</f>
        <v/>
      </c>
      <c r="AG1114" s="13">
        <f>IF($AE1114="","",SUMIFS('ORDENES'!$M$4:$M$1203,'ORDENES'!$AE$4:$AE$1203,$AE1114,'ORDENES'!$O$4:$O$1203,$O1114,'ORDENES'!$R$4:$R$1203,$R1114))</f>
        <v/>
      </c>
      <c r="AH1114" s="13">
        <f>IF($AG1114="","",p_factor_productividad*IFERROR(INDEX('ASIGNACIONES'!$I$4:$I$339,MATCH($O1114&amp;"|"&amp;$R1114&amp;"|"&amp;$AE1114,'ASIGNACIONES'!$J$4:$J$339,0)),0)-$AG1114)</f>
        <v/>
      </c>
      <c r="AI1114" s="10">
        <f>IF($A1114="","",IFERROR(INDEX('2_IMPORTAR_EJECUCION'!$F$9:$F$1208,MATCH($AQ1114,'2_IMPORTAR_EJECUCION'!$J$9:$J$1208,0)),0))</f>
        <v/>
      </c>
      <c r="AJ1114" s="10">
        <f>IF($A1114="","",MAX(0,IFERROR(INDEX('2_IMPORTAR_EJECUCION'!$H$9:$H$1208,MATCH($AQ1114,'2_IMPORTAR_EJECUCION'!$J$9:$J$1208,0)),0)-$AI1114))</f>
        <v/>
      </c>
      <c r="AK1114" s="10">
        <f>IF($A1114="","",$AI1114+$AJ1114)</f>
        <v/>
      </c>
      <c r="AL1114" s="6" t="n"/>
      <c r="AM1114" s="6" t="n"/>
      <c r="AN1114" s="6" t="n"/>
      <c r="AO1114" s="3">
        <f>IF($AN1114="","",HYPERLINK(p_ruta_base_checklists&amp;$AN1114,"abrir"))</f>
        <v/>
      </c>
      <c r="AP1114" s="6" t="n"/>
      <c r="AQ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IF($A1115="","",IFERROR(INDEX('AJUSTES'!$B$4:$B$303,MATCH($AQ1115,'AJUSTES'!$A$4:$A$303,0)),IF($K1115="","",$K1115)))</f>
        <v/>
      </c>
      <c r="N1115" s="3">
        <f>IF($A1115="","",IFERROR(INDEX('CAT_ESTADOS_ERP'!$B$4:$B$7,MATCH(IFERROR(INDEX('2_IMPORTAR_EJECUCION'!$C$9:$C$1208,MATCH($AQ1115,'2_IMPORTAR_EJECUCION'!$J$9:$J$1208,0)),""),'CAT_ESTADOS_ERP'!$A$4:$A$7,0)),"Pendiente"))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J1115="","",IFERROR(INDEX('CALENDARIO'!$C$15:$C$214,MATCH(TEXT($J1115,"yyyy-mm-dd")&amp;"|"&amp;$V1115&amp;"|"&amp;$W1115,'CALENDARIO'!$G$15:$G$214,0)),IFERROR(INDEX('CALENDARIO'!$C$15:$C$214,MATCH(TEXT($J1115,"yyyy-mm-dd")&amp;"|"&amp;$V1115&amp;"|",'CALENDARIO'!$G$15:$G$214,0)),IFERROR(INDEX('CALENDARIO'!$C$15:$C$214,MATCH(TEXT($J1115,"yyyy-mm-dd")&amp;"||",'CALENDARIO'!$G$15:$G$214,0)),INDEX(patronHabil,WEEKDAY($J1115,2))))))</f>
        <v/>
      </c>
      <c r="T1115" s="3">
        <f>IF($I1115="","",IFERROR(INDEX('CAT_TIPOS_OT'!$C$4:$C$7,MATCH($I1115,'CAT_TIPOS_OT'!$A$4:$A$7,0)),"sin_clasificar"))</f>
        <v/>
      </c>
      <c r="U1115" s="3">
        <f>IF($F1115="","",IFERROR(INDEX('CAT_CENTROS_COSTO'!$F$4:$F$13,MATCH($F1115,'CAT_CENTROS_COSTO'!$A$4:$A$13,0)),"(sin catálogo)"))</f>
        <v/>
      </c>
      <c r="V1115" s="3">
        <f>IF($F1115="","",IFERROR(INDEX('CAT_CENTROS_COSTO'!$D$4:$D$13,MATCH($F1115,'CAT_CENTROS_COSTO'!$A$4:$A$13,0)),"(sin catálogo)"))</f>
        <v/>
      </c>
      <c r="W1115" s="3">
        <f>IF($F1115="","",IF((IFERROR(INDEX('CAT_CENTROS_COSTO'!$E$4:$E$13,MATCH($F1115,'CAT_CENTROS_COSTO'!$A$4:$A$13,0)),""))&lt;&gt;"",IFERROR(INDEX('CAT_CENTROS_COSTO'!$E$4:$E$13,MATCH($F1115,'CAT_CENTROS_COSTO'!$A$4:$A$13,0)),""),$V1115))</f>
        <v/>
      </c>
      <c r="X1115" s="3">
        <f>IF($F1115="","",IFERROR(INDEX('CAT_CENTROS_COSTO'!$G$4:$G$13,MATCH($F1115,'CAT_CENTROS_COSTO'!$A$4:$A$13,0)),"(sin catálogo)"))</f>
        <v/>
      </c>
      <c r="Y1115" s="3">
        <f>IF($G1115="","",IFERROR(INDEX('CAT_PUESTOS'!$B$4:$B$8,MATCH($G1115,'CAT_PUESTOS'!$A$4:$A$8,0)),"(sin catálogo)"))</f>
        <v/>
      </c>
      <c r="Z1115" s="3">
        <f>IF($H1115="","",IFERROR(INDEX('CAT_ACTIVIDADES'!$B$4:$B$8,MATCH($H1115,'CAT_ACTIVIDADES'!$A$4:$A$8,0)),"(sin catálogo)"))</f>
        <v/>
      </c>
      <c r="AA1115" s="12">
        <f>IF($J1115="","",TODAY()-$J1115)</f>
        <v/>
      </c>
      <c r="AB1115" s="12">
        <f>IF($J1115="","",IF($J1115&lt;=TODAY(),COUNTIFS(cal_fechas,"&gt;="&amp;$J1115,cal_fechas,"&lt;"&amp;TODAY(),cal_habil,"sí"),-COUNTIFS(cal_fechas,"&gt;="&amp;TODAY(),cal_fechas,"&lt;"&amp;$J1115,cal_habil,"sí")))</f>
        <v/>
      </c>
      <c r="AC1115" s="3">
        <f>IF($AB1115="","",IF($AB1115&lt;0,"FUTURO",IF($AB1115&gt;p_dias_backlog_max,"BACKLOG","MES CORRIENTE")))</f>
        <v/>
      </c>
      <c r="AD1115" s="3">
        <f>IF($AB1115="",FALSE,AND($AB1115&gt;p_dias_backlog_min,$AB1115&lt;=p_dias_backlog_max))</f>
        <v/>
      </c>
      <c r="AE1115" s="6" t="n"/>
      <c r="AF1115" s="3">
        <f>IF($AE1115="","",IF((IFERROR(INDEX('ASIGNACIONES'!$F$4:$F$339,MATCH($O1115&amp;"|"&amp;$R1115&amp;"|"&amp;$AE1115,'ASIGNACIONES'!$J$4:$J$339,0)),""))=0,"",IFERROR(INDEX('ASIGNACIONES'!$F$4:$F$339,MATCH($O1115&amp;"|"&amp;$R1115&amp;"|"&amp;$AE1115,'ASIGNACIONES'!$J$4:$J$339,0)),"")))</f>
        <v/>
      </c>
      <c r="AG1115" s="13">
        <f>IF($AE1115="","",SUMIFS('ORDENES'!$M$4:$M$1203,'ORDENES'!$AE$4:$AE$1203,$AE1115,'ORDENES'!$O$4:$O$1203,$O1115,'ORDENES'!$R$4:$R$1203,$R1115))</f>
        <v/>
      </c>
      <c r="AH1115" s="13">
        <f>IF($AG1115="","",p_factor_productividad*IFERROR(INDEX('ASIGNACIONES'!$I$4:$I$339,MATCH($O1115&amp;"|"&amp;$R1115&amp;"|"&amp;$AE1115,'ASIGNACIONES'!$J$4:$J$339,0)),0)-$AG1115)</f>
        <v/>
      </c>
      <c r="AI1115" s="10">
        <f>IF($A1115="","",IFERROR(INDEX('2_IMPORTAR_EJECUCION'!$F$9:$F$1208,MATCH($AQ1115,'2_IMPORTAR_EJECUCION'!$J$9:$J$1208,0)),0))</f>
        <v/>
      </c>
      <c r="AJ1115" s="10">
        <f>IF($A1115="","",MAX(0,IFERROR(INDEX('2_IMPORTAR_EJECUCION'!$H$9:$H$1208,MATCH($AQ1115,'2_IMPORTAR_EJECUCION'!$J$9:$J$1208,0)),0)-$AI1115))</f>
        <v/>
      </c>
      <c r="AK1115" s="10">
        <f>IF($A1115="","",$AI1115+$AJ1115)</f>
        <v/>
      </c>
      <c r="AL1115" s="6" t="n"/>
      <c r="AM1115" s="6" t="n"/>
      <c r="AN1115" s="6" t="n"/>
      <c r="AO1115" s="3">
        <f>IF($AN1115="","",HYPERLINK(p_ruta_base_checklists&amp;$AN1115,"abrir"))</f>
        <v/>
      </c>
      <c r="AP1115" s="6" t="n"/>
      <c r="AQ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IF($A1116="","",IFERROR(INDEX('AJUSTES'!$B$4:$B$303,MATCH($AQ1116,'AJUSTES'!$A$4:$A$303,0)),IF($K1116="","",$K1116)))</f>
        <v/>
      </c>
      <c r="N1116" s="3">
        <f>IF($A1116="","",IFERROR(INDEX('CAT_ESTADOS_ERP'!$B$4:$B$7,MATCH(IFERROR(INDEX('2_IMPORTAR_EJECUCION'!$C$9:$C$1208,MATCH($AQ1116,'2_IMPORTAR_EJECUCION'!$J$9:$J$1208,0)),""),'CAT_ESTADOS_ERP'!$A$4:$A$7,0)),"Pendiente"))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J1116="","",IFERROR(INDEX('CALENDARIO'!$C$15:$C$214,MATCH(TEXT($J1116,"yyyy-mm-dd")&amp;"|"&amp;$V1116&amp;"|"&amp;$W1116,'CALENDARIO'!$G$15:$G$214,0)),IFERROR(INDEX('CALENDARIO'!$C$15:$C$214,MATCH(TEXT($J1116,"yyyy-mm-dd")&amp;"|"&amp;$V1116&amp;"|",'CALENDARIO'!$G$15:$G$214,0)),IFERROR(INDEX('CALENDARIO'!$C$15:$C$214,MATCH(TEXT($J1116,"yyyy-mm-dd")&amp;"||",'CALENDARIO'!$G$15:$G$214,0)),INDEX(patronHabil,WEEKDAY($J1116,2))))))</f>
        <v/>
      </c>
      <c r="T1116" s="3">
        <f>IF($I1116="","",IFERROR(INDEX('CAT_TIPOS_OT'!$C$4:$C$7,MATCH($I1116,'CAT_TIPOS_OT'!$A$4:$A$7,0)),"sin_clasificar"))</f>
        <v/>
      </c>
      <c r="U1116" s="3">
        <f>IF($F1116="","",IFERROR(INDEX('CAT_CENTROS_COSTO'!$F$4:$F$13,MATCH($F1116,'CAT_CENTROS_COSTO'!$A$4:$A$13,0)),"(sin catálogo)"))</f>
        <v/>
      </c>
      <c r="V1116" s="3">
        <f>IF($F1116="","",IFERROR(INDEX('CAT_CENTROS_COSTO'!$D$4:$D$13,MATCH($F1116,'CAT_CENTROS_COSTO'!$A$4:$A$13,0)),"(sin catálogo)"))</f>
        <v/>
      </c>
      <c r="W1116" s="3">
        <f>IF($F1116="","",IF((IFERROR(INDEX('CAT_CENTROS_COSTO'!$E$4:$E$13,MATCH($F1116,'CAT_CENTROS_COSTO'!$A$4:$A$13,0)),""))&lt;&gt;"",IFERROR(INDEX('CAT_CENTROS_COSTO'!$E$4:$E$13,MATCH($F1116,'CAT_CENTROS_COSTO'!$A$4:$A$13,0)),""),$V1116))</f>
        <v/>
      </c>
      <c r="X1116" s="3">
        <f>IF($F1116="","",IFERROR(INDEX('CAT_CENTROS_COSTO'!$G$4:$G$13,MATCH($F1116,'CAT_CENTROS_COSTO'!$A$4:$A$13,0)),"(sin catálogo)"))</f>
        <v/>
      </c>
      <c r="Y1116" s="3">
        <f>IF($G1116="","",IFERROR(INDEX('CAT_PUESTOS'!$B$4:$B$8,MATCH($G1116,'CAT_PUESTOS'!$A$4:$A$8,0)),"(sin catálogo)"))</f>
        <v/>
      </c>
      <c r="Z1116" s="3">
        <f>IF($H1116="","",IFERROR(INDEX('CAT_ACTIVIDADES'!$B$4:$B$8,MATCH($H1116,'CAT_ACTIVIDADES'!$A$4:$A$8,0)),"(sin catálogo)"))</f>
        <v/>
      </c>
      <c r="AA1116" s="12">
        <f>IF($J1116="","",TODAY()-$J1116)</f>
        <v/>
      </c>
      <c r="AB1116" s="12">
        <f>IF($J1116="","",IF($J1116&lt;=TODAY(),COUNTIFS(cal_fechas,"&gt;="&amp;$J1116,cal_fechas,"&lt;"&amp;TODAY(),cal_habil,"sí"),-COUNTIFS(cal_fechas,"&gt;="&amp;TODAY(),cal_fechas,"&lt;"&amp;$J1116,cal_habil,"sí")))</f>
        <v/>
      </c>
      <c r="AC1116" s="3">
        <f>IF($AB1116="","",IF($AB1116&lt;0,"FUTURO",IF($AB1116&gt;p_dias_backlog_max,"BACKLOG","MES CORRIENTE")))</f>
        <v/>
      </c>
      <c r="AD1116" s="3">
        <f>IF($AB1116="",FALSE,AND($AB1116&gt;p_dias_backlog_min,$AB1116&lt;=p_dias_backlog_max))</f>
        <v/>
      </c>
      <c r="AE1116" s="6" t="n"/>
      <c r="AF1116" s="3">
        <f>IF($AE1116="","",IF((IFERROR(INDEX('ASIGNACIONES'!$F$4:$F$339,MATCH($O1116&amp;"|"&amp;$R1116&amp;"|"&amp;$AE1116,'ASIGNACIONES'!$J$4:$J$339,0)),""))=0,"",IFERROR(INDEX('ASIGNACIONES'!$F$4:$F$339,MATCH($O1116&amp;"|"&amp;$R1116&amp;"|"&amp;$AE1116,'ASIGNACIONES'!$J$4:$J$339,0)),"")))</f>
        <v/>
      </c>
      <c r="AG1116" s="13">
        <f>IF($AE1116="","",SUMIFS('ORDENES'!$M$4:$M$1203,'ORDENES'!$AE$4:$AE$1203,$AE1116,'ORDENES'!$O$4:$O$1203,$O1116,'ORDENES'!$R$4:$R$1203,$R1116))</f>
        <v/>
      </c>
      <c r="AH1116" s="13">
        <f>IF($AG1116="","",p_factor_productividad*IFERROR(INDEX('ASIGNACIONES'!$I$4:$I$339,MATCH($O1116&amp;"|"&amp;$R1116&amp;"|"&amp;$AE1116,'ASIGNACIONES'!$J$4:$J$339,0)),0)-$AG1116)</f>
        <v/>
      </c>
      <c r="AI1116" s="10">
        <f>IF($A1116="","",IFERROR(INDEX('2_IMPORTAR_EJECUCION'!$F$9:$F$1208,MATCH($AQ1116,'2_IMPORTAR_EJECUCION'!$J$9:$J$1208,0)),0))</f>
        <v/>
      </c>
      <c r="AJ1116" s="10">
        <f>IF($A1116="","",MAX(0,IFERROR(INDEX('2_IMPORTAR_EJECUCION'!$H$9:$H$1208,MATCH($AQ1116,'2_IMPORTAR_EJECUCION'!$J$9:$J$1208,0)),0)-$AI1116))</f>
        <v/>
      </c>
      <c r="AK1116" s="10">
        <f>IF($A1116="","",$AI1116+$AJ1116)</f>
        <v/>
      </c>
      <c r="AL1116" s="6" t="n"/>
      <c r="AM1116" s="6" t="n"/>
      <c r="AN1116" s="6" t="n"/>
      <c r="AO1116" s="3">
        <f>IF($AN1116="","",HYPERLINK(p_ruta_base_checklists&amp;$AN1116,"abrir"))</f>
        <v/>
      </c>
      <c r="AP1116" s="6" t="n"/>
      <c r="AQ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IF($A1117="","",IFERROR(INDEX('AJUSTES'!$B$4:$B$303,MATCH($AQ1117,'AJUSTES'!$A$4:$A$303,0)),IF($K1117="","",$K1117)))</f>
        <v/>
      </c>
      <c r="N1117" s="3">
        <f>IF($A1117="","",IFERROR(INDEX('CAT_ESTADOS_ERP'!$B$4:$B$7,MATCH(IFERROR(INDEX('2_IMPORTAR_EJECUCION'!$C$9:$C$1208,MATCH($AQ1117,'2_IMPORTAR_EJECUCION'!$J$9:$J$1208,0)),""),'CAT_ESTADOS_ERP'!$A$4:$A$7,0)),"Pendiente"))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J1117="","",IFERROR(INDEX('CALENDARIO'!$C$15:$C$214,MATCH(TEXT($J1117,"yyyy-mm-dd")&amp;"|"&amp;$V1117&amp;"|"&amp;$W1117,'CALENDARIO'!$G$15:$G$214,0)),IFERROR(INDEX('CALENDARIO'!$C$15:$C$214,MATCH(TEXT($J1117,"yyyy-mm-dd")&amp;"|"&amp;$V1117&amp;"|",'CALENDARIO'!$G$15:$G$214,0)),IFERROR(INDEX('CALENDARIO'!$C$15:$C$214,MATCH(TEXT($J1117,"yyyy-mm-dd")&amp;"||",'CALENDARIO'!$G$15:$G$214,0)),INDEX(patronHabil,WEEKDAY($J1117,2))))))</f>
        <v/>
      </c>
      <c r="T1117" s="3">
        <f>IF($I1117="","",IFERROR(INDEX('CAT_TIPOS_OT'!$C$4:$C$7,MATCH($I1117,'CAT_TIPOS_OT'!$A$4:$A$7,0)),"sin_clasificar"))</f>
        <v/>
      </c>
      <c r="U1117" s="3">
        <f>IF($F1117="","",IFERROR(INDEX('CAT_CENTROS_COSTO'!$F$4:$F$13,MATCH($F1117,'CAT_CENTROS_COSTO'!$A$4:$A$13,0)),"(sin catálogo)"))</f>
        <v/>
      </c>
      <c r="V1117" s="3">
        <f>IF($F1117="","",IFERROR(INDEX('CAT_CENTROS_COSTO'!$D$4:$D$13,MATCH($F1117,'CAT_CENTROS_COSTO'!$A$4:$A$13,0)),"(sin catálogo)"))</f>
        <v/>
      </c>
      <c r="W1117" s="3">
        <f>IF($F1117="","",IF((IFERROR(INDEX('CAT_CENTROS_COSTO'!$E$4:$E$13,MATCH($F1117,'CAT_CENTROS_COSTO'!$A$4:$A$13,0)),""))&lt;&gt;"",IFERROR(INDEX('CAT_CENTROS_COSTO'!$E$4:$E$13,MATCH($F1117,'CAT_CENTROS_COSTO'!$A$4:$A$13,0)),""),$V1117))</f>
        <v/>
      </c>
      <c r="X1117" s="3">
        <f>IF($F1117="","",IFERROR(INDEX('CAT_CENTROS_COSTO'!$G$4:$G$13,MATCH($F1117,'CAT_CENTROS_COSTO'!$A$4:$A$13,0)),"(sin catálogo)"))</f>
        <v/>
      </c>
      <c r="Y1117" s="3">
        <f>IF($G1117="","",IFERROR(INDEX('CAT_PUESTOS'!$B$4:$B$8,MATCH($G1117,'CAT_PUESTOS'!$A$4:$A$8,0)),"(sin catálogo)"))</f>
        <v/>
      </c>
      <c r="Z1117" s="3">
        <f>IF($H1117="","",IFERROR(INDEX('CAT_ACTIVIDADES'!$B$4:$B$8,MATCH($H1117,'CAT_ACTIVIDADES'!$A$4:$A$8,0)),"(sin catálogo)"))</f>
        <v/>
      </c>
      <c r="AA1117" s="12">
        <f>IF($J1117="","",TODAY()-$J1117)</f>
        <v/>
      </c>
      <c r="AB1117" s="12">
        <f>IF($J1117="","",IF($J1117&lt;=TODAY(),COUNTIFS(cal_fechas,"&gt;="&amp;$J1117,cal_fechas,"&lt;"&amp;TODAY(),cal_habil,"sí"),-COUNTIFS(cal_fechas,"&gt;="&amp;TODAY(),cal_fechas,"&lt;"&amp;$J1117,cal_habil,"sí")))</f>
        <v/>
      </c>
      <c r="AC1117" s="3">
        <f>IF($AB1117="","",IF($AB1117&lt;0,"FUTURO",IF($AB1117&gt;p_dias_backlog_max,"BACKLOG","MES CORRIENTE")))</f>
        <v/>
      </c>
      <c r="AD1117" s="3">
        <f>IF($AB1117="",FALSE,AND($AB1117&gt;p_dias_backlog_min,$AB1117&lt;=p_dias_backlog_max))</f>
        <v/>
      </c>
      <c r="AE1117" s="6" t="n"/>
      <c r="AF1117" s="3">
        <f>IF($AE1117="","",IF((IFERROR(INDEX('ASIGNACIONES'!$F$4:$F$339,MATCH($O1117&amp;"|"&amp;$R1117&amp;"|"&amp;$AE1117,'ASIGNACIONES'!$J$4:$J$339,0)),""))=0,"",IFERROR(INDEX('ASIGNACIONES'!$F$4:$F$339,MATCH($O1117&amp;"|"&amp;$R1117&amp;"|"&amp;$AE1117,'ASIGNACIONES'!$J$4:$J$339,0)),"")))</f>
        <v/>
      </c>
      <c r="AG1117" s="13">
        <f>IF($AE1117="","",SUMIFS('ORDENES'!$M$4:$M$1203,'ORDENES'!$AE$4:$AE$1203,$AE1117,'ORDENES'!$O$4:$O$1203,$O1117,'ORDENES'!$R$4:$R$1203,$R1117))</f>
        <v/>
      </c>
      <c r="AH1117" s="13">
        <f>IF($AG1117="","",p_factor_productividad*IFERROR(INDEX('ASIGNACIONES'!$I$4:$I$339,MATCH($O1117&amp;"|"&amp;$R1117&amp;"|"&amp;$AE1117,'ASIGNACIONES'!$J$4:$J$339,0)),0)-$AG1117)</f>
        <v/>
      </c>
      <c r="AI1117" s="10">
        <f>IF($A1117="","",IFERROR(INDEX('2_IMPORTAR_EJECUCION'!$F$9:$F$1208,MATCH($AQ1117,'2_IMPORTAR_EJECUCION'!$J$9:$J$1208,0)),0))</f>
        <v/>
      </c>
      <c r="AJ1117" s="10">
        <f>IF($A1117="","",MAX(0,IFERROR(INDEX('2_IMPORTAR_EJECUCION'!$H$9:$H$1208,MATCH($AQ1117,'2_IMPORTAR_EJECUCION'!$J$9:$J$1208,0)),0)-$AI1117))</f>
        <v/>
      </c>
      <c r="AK1117" s="10">
        <f>IF($A1117="","",$AI1117+$AJ1117)</f>
        <v/>
      </c>
      <c r="AL1117" s="6" t="n"/>
      <c r="AM1117" s="6" t="n"/>
      <c r="AN1117" s="6" t="n"/>
      <c r="AO1117" s="3">
        <f>IF($AN1117="","",HYPERLINK(p_ruta_base_checklists&amp;$AN1117,"abrir"))</f>
        <v/>
      </c>
      <c r="AP1117" s="6" t="n"/>
      <c r="AQ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IF($A1118="","",IFERROR(INDEX('AJUSTES'!$B$4:$B$303,MATCH($AQ1118,'AJUSTES'!$A$4:$A$303,0)),IF($K1118="","",$K1118)))</f>
        <v/>
      </c>
      <c r="N1118" s="3">
        <f>IF($A1118="","",IFERROR(INDEX('CAT_ESTADOS_ERP'!$B$4:$B$7,MATCH(IFERROR(INDEX('2_IMPORTAR_EJECUCION'!$C$9:$C$1208,MATCH($AQ1118,'2_IMPORTAR_EJECUCION'!$J$9:$J$1208,0)),""),'CAT_ESTADOS_ERP'!$A$4:$A$7,0)),"Pendiente"))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J1118="","",IFERROR(INDEX('CALENDARIO'!$C$15:$C$214,MATCH(TEXT($J1118,"yyyy-mm-dd")&amp;"|"&amp;$V1118&amp;"|"&amp;$W1118,'CALENDARIO'!$G$15:$G$214,0)),IFERROR(INDEX('CALENDARIO'!$C$15:$C$214,MATCH(TEXT($J1118,"yyyy-mm-dd")&amp;"|"&amp;$V1118&amp;"|",'CALENDARIO'!$G$15:$G$214,0)),IFERROR(INDEX('CALENDARIO'!$C$15:$C$214,MATCH(TEXT($J1118,"yyyy-mm-dd")&amp;"||",'CALENDARIO'!$G$15:$G$214,0)),INDEX(patronHabil,WEEKDAY($J1118,2))))))</f>
        <v/>
      </c>
      <c r="T1118" s="3">
        <f>IF($I1118="","",IFERROR(INDEX('CAT_TIPOS_OT'!$C$4:$C$7,MATCH($I1118,'CAT_TIPOS_OT'!$A$4:$A$7,0)),"sin_clasificar"))</f>
        <v/>
      </c>
      <c r="U1118" s="3">
        <f>IF($F1118="","",IFERROR(INDEX('CAT_CENTROS_COSTO'!$F$4:$F$13,MATCH($F1118,'CAT_CENTROS_COSTO'!$A$4:$A$13,0)),"(sin catálogo)"))</f>
        <v/>
      </c>
      <c r="V1118" s="3">
        <f>IF($F1118="","",IFERROR(INDEX('CAT_CENTROS_COSTO'!$D$4:$D$13,MATCH($F1118,'CAT_CENTROS_COSTO'!$A$4:$A$13,0)),"(sin catálogo)"))</f>
        <v/>
      </c>
      <c r="W1118" s="3">
        <f>IF($F1118="","",IF((IFERROR(INDEX('CAT_CENTROS_COSTO'!$E$4:$E$13,MATCH($F1118,'CAT_CENTROS_COSTO'!$A$4:$A$13,0)),""))&lt;&gt;"",IFERROR(INDEX('CAT_CENTROS_COSTO'!$E$4:$E$13,MATCH($F1118,'CAT_CENTROS_COSTO'!$A$4:$A$13,0)),""),$V1118))</f>
        <v/>
      </c>
      <c r="X1118" s="3">
        <f>IF($F1118="","",IFERROR(INDEX('CAT_CENTROS_COSTO'!$G$4:$G$13,MATCH($F1118,'CAT_CENTROS_COSTO'!$A$4:$A$13,0)),"(sin catálogo)"))</f>
        <v/>
      </c>
      <c r="Y1118" s="3">
        <f>IF($G1118="","",IFERROR(INDEX('CAT_PUESTOS'!$B$4:$B$8,MATCH($G1118,'CAT_PUESTOS'!$A$4:$A$8,0)),"(sin catálogo)"))</f>
        <v/>
      </c>
      <c r="Z1118" s="3">
        <f>IF($H1118="","",IFERROR(INDEX('CAT_ACTIVIDADES'!$B$4:$B$8,MATCH($H1118,'CAT_ACTIVIDADES'!$A$4:$A$8,0)),"(sin catálogo)"))</f>
        <v/>
      </c>
      <c r="AA1118" s="12">
        <f>IF($J1118="","",TODAY()-$J1118)</f>
        <v/>
      </c>
      <c r="AB1118" s="12">
        <f>IF($J1118="","",IF($J1118&lt;=TODAY(),COUNTIFS(cal_fechas,"&gt;="&amp;$J1118,cal_fechas,"&lt;"&amp;TODAY(),cal_habil,"sí"),-COUNTIFS(cal_fechas,"&gt;="&amp;TODAY(),cal_fechas,"&lt;"&amp;$J1118,cal_habil,"sí")))</f>
        <v/>
      </c>
      <c r="AC1118" s="3">
        <f>IF($AB1118="","",IF($AB1118&lt;0,"FUTURO",IF($AB1118&gt;p_dias_backlog_max,"BACKLOG","MES CORRIENTE")))</f>
        <v/>
      </c>
      <c r="AD1118" s="3">
        <f>IF($AB1118="",FALSE,AND($AB1118&gt;p_dias_backlog_min,$AB1118&lt;=p_dias_backlog_max))</f>
        <v/>
      </c>
      <c r="AE1118" s="6" t="n"/>
      <c r="AF1118" s="3">
        <f>IF($AE1118="","",IF((IFERROR(INDEX('ASIGNACIONES'!$F$4:$F$339,MATCH($O1118&amp;"|"&amp;$R1118&amp;"|"&amp;$AE1118,'ASIGNACIONES'!$J$4:$J$339,0)),""))=0,"",IFERROR(INDEX('ASIGNACIONES'!$F$4:$F$339,MATCH($O1118&amp;"|"&amp;$R1118&amp;"|"&amp;$AE1118,'ASIGNACIONES'!$J$4:$J$339,0)),"")))</f>
        <v/>
      </c>
      <c r="AG1118" s="13">
        <f>IF($AE1118="","",SUMIFS('ORDENES'!$M$4:$M$1203,'ORDENES'!$AE$4:$AE$1203,$AE1118,'ORDENES'!$O$4:$O$1203,$O1118,'ORDENES'!$R$4:$R$1203,$R1118))</f>
        <v/>
      </c>
      <c r="AH1118" s="13">
        <f>IF($AG1118="","",p_factor_productividad*IFERROR(INDEX('ASIGNACIONES'!$I$4:$I$339,MATCH($O1118&amp;"|"&amp;$R1118&amp;"|"&amp;$AE1118,'ASIGNACIONES'!$J$4:$J$339,0)),0)-$AG1118)</f>
        <v/>
      </c>
      <c r="AI1118" s="10">
        <f>IF($A1118="","",IFERROR(INDEX('2_IMPORTAR_EJECUCION'!$F$9:$F$1208,MATCH($AQ1118,'2_IMPORTAR_EJECUCION'!$J$9:$J$1208,0)),0))</f>
        <v/>
      </c>
      <c r="AJ1118" s="10">
        <f>IF($A1118="","",MAX(0,IFERROR(INDEX('2_IMPORTAR_EJECUCION'!$H$9:$H$1208,MATCH($AQ1118,'2_IMPORTAR_EJECUCION'!$J$9:$J$1208,0)),0)-$AI1118))</f>
        <v/>
      </c>
      <c r="AK1118" s="10">
        <f>IF($A1118="","",$AI1118+$AJ1118)</f>
        <v/>
      </c>
      <c r="AL1118" s="6" t="n"/>
      <c r="AM1118" s="6" t="n"/>
      <c r="AN1118" s="6" t="n"/>
      <c r="AO1118" s="3">
        <f>IF($AN1118="","",HYPERLINK(p_ruta_base_checklists&amp;$AN1118,"abrir"))</f>
        <v/>
      </c>
      <c r="AP1118" s="6" t="n"/>
      <c r="AQ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IF($A1119="","",IFERROR(INDEX('AJUSTES'!$B$4:$B$303,MATCH($AQ1119,'AJUSTES'!$A$4:$A$303,0)),IF($K1119="","",$K1119)))</f>
        <v/>
      </c>
      <c r="N1119" s="3">
        <f>IF($A1119="","",IFERROR(INDEX('CAT_ESTADOS_ERP'!$B$4:$B$7,MATCH(IFERROR(INDEX('2_IMPORTAR_EJECUCION'!$C$9:$C$1208,MATCH($AQ1119,'2_IMPORTAR_EJECUCION'!$J$9:$J$1208,0)),""),'CAT_ESTADOS_ERP'!$A$4:$A$7,0)),"Pendiente"))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J1119="","",IFERROR(INDEX('CALENDARIO'!$C$15:$C$214,MATCH(TEXT($J1119,"yyyy-mm-dd")&amp;"|"&amp;$V1119&amp;"|"&amp;$W1119,'CALENDARIO'!$G$15:$G$214,0)),IFERROR(INDEX('CALENDARIO'!$C$15:$C$214,MATCH(TEXT($J1119,"yyyy-mm-dd")&amp;"|"&amp;$V1119&amp;"|",'CALENDARIO'!$G$15:$G$214,0)),IFERROR(INDEX('CALENDARIO'!$C$15:$C$214,MATCH(TEXT($J1119,"yyyy-mm-dd")&amp;"||",'CALENDARIO'!$G$15:$G$214,0)),INDEX(patronHabil,WEEKDAY($J1119,2))))))</f>
        <v/>
      </c>
      <c r="T1119" s="3">
        <f>IF($I1119="","",IFERROR(INDEX('CAT_TIPOS_OT'!$C$4:$C$7,MATCH($I1119,'CAT_TIPOS_OT'!$A$4:$A$7,0)),"sin_clasificar"))</f>
        <v/>
      </c>
      <c r="U1119" s="3">
        <f>IF($F1119="","",IFERROR(INDEX('CAT_CENTROS_COSTO'!$F$4:$F$13,MATCH($F1119,'CAT_CENTROS_COSTO'!$A$4:$A$13,0)),"(sin catálogo)"))</f>
        <v/>
      </c>
      <c r="V1119" s="3">
        <f>IF($F1119="","",IFERROR(INDEX('CAT_CENTROS_COSTO'!$D$4:$D$13,MATCH($F1119,'CAT_CENTROS_COSTO'!$A$4:$A$13,0)),"(sin catálogo)"))</f>
        <v/>
      </c>
      <c r="W1119" s="3">
        <f>IF($F1119="","",IF((IFERROR(INDEX('CAT_CENTROS_COSTO'!$E$4:$E$13,MATCH($F1119,'CAT_CENTROS_COSTO'!$A$4:$A$13,0)),""))&lt;&gt;"",IFERROR(INDEX('CAT_CENTROS_COSTO'!$E$4:$E$13,MATCH($F1119,'CAT_CENTROS_COSTO'!$A$4:$A$13,0)),""),$V1119))</f>
        <v/>
      </c>
      <c r="X1119" s="3">
        <f>IF($F1119="","",IFERROR(INDEX('CAT_CENTROS_COSTO'!$G$4:$G$13,MATCH($F1119,'CAT_CENTROS_COSTO'!$A$4:$A$13,0)),"(sin catálogo)"))</f>
        <v/>
      </c>
      <c r="Y1119" s="3">
        <f>IF($G1119="","",IFERROR(INDEX('CAT_PUESTOS'!$B$4:$B$8,MATCH($G1119,'CAT_PUESTOS'!$A$4:$A$8,0)),"(sin catálogo)"))</f>
        <v/>
      </c>
      <c r="Z1119" s="3">
        <f>IF($H1119="","",IFERROR(INDEX('CAT_ACTIVIDADES'!$B$4:$B$8,MATCH($H1119,'CAT_ACTIVIDADES'!$A$4:$A$8,0)),"(sin catálogo)"))</f>
        <v/>
      </c>
      <c r="AA1119" s="12">
        <f>IF($J1119="","",TODAY()-$J1119)</f>
        <v/>
      </c>
      <c r="AB1119" s="12">
        <f>IF($J1119="","",IF($J1119&lt;=TODAY(),COUNTIFS(cal_fechas,"&gt;="&amp;$J1119,cal_fechas,"&lt;"&amp;TODAY(),cal_habil,"sí"),-COUNTIFS(cal_fechas,"&gt;="&amp;TODAY(),cal_fechas,"&lt;"&amp;$J1119,cal_habil,"sí")))</f>
        <v/>
      </c>
      <c r="AC1119" s="3">
        <f>IF($AB1119="","",IF($AB1119&lt;0,"FUTURO",IF($AB1119&gt;p_dias_backlog_max,"BACKLOG","MES CORRIENTE")))</f>
        <v/>
      </c>
      <c r="AD1119" s="3">
        <f>IF($AB1119="",FALSE,AND($AB1119&gt;p_dias_backlog_min,$AB1119&lt;=p_dias_backlog_max))</f>
        <v/>
      </c>
      <c r="AE1119" s="6" t="n"/>
      <c r="AF1119" s="3">
        <f>IF($AE1119="","",IF((IFERROR(INDEX('ASIGNACIONES'!$F$4:$F$339,MATCH($O1119&amp;"|"&amp;$R1119&amp;"|"&amp;$AE1119,'ASIGNACIONES'!$J$4:$J$339,0)),""))=0,"",IFERROR(INDEX('ASIGNACIONES'!$F$4:$F$339,MATCH($O1119&amp;"|"&amp;$R1119&amp;"|"&amp;$AE1119,'ASIGNACIONES'!$J$4:$J$339,0)),"")))</f>
        <v/>
      </c>
      <c r="AG1119" s="13">
        <f>IF($AE1119="","",SUMIFS('ORDENES'!$M$4:$M$1203,'ORDENES'!$AE$4:$AE$1203,$AE1119,'ORDENES'!$O$4:$O$1203,$O1119,'ORDENES'!$R$4:$R$1203,$R1119))</f>
        <v/>
      </c>
      <c r="AH1119" s="13">
        <f>IF($AG1119="","",p_factor_productividad*IFERROR(INDEX('ASIGNACIONES'!$I$4:$I$339,MATCH($O1119&amp;"|"&amp;$R1119&amp;"|"&amp;$AE1119,'ASIGNACIONES'!$J$4:$J$339,0)),0)-$AG1119)</f>
        <v/>
      </c>
      <c r="AI1119" s="10">
        <f>IF($A1119="","",IFERROR(INDEX('2_IMPORTAR_EJECUCION'!$F$9:$F$1208,MATCH($AQ1119,'2_IMPORTAR_EJECUCION'!$J$9:$J$1208,0)),0))</f>
        <v/>
      </c>
      <c r="AJ1119" s="10">
        <f>IF($A1119="","",MAX(0,IFERROR(INDEX('2_IMPORTAR_EJECUCION'!$H$9:$H$1208,MATCH($AQ1119,'2_IMPORTAR_EJECUCION'!$J$9:$J$1208,0)),0)-$AI1119))</f>
        <v/>
      </c>
      <c r="AK1119" s="10">
        <f>IF($A1119="","",$AI1119+$AJ1119)</f>
        <v/>
      </c>
      <c r="AL1119" s="6" t="n"/>
      <c r="AM1119" s="6" t="n"/>
      <c r="AN1119" s="6" t="n"/>
      <c r="AO1119" s="3">
        <f>IF($AN1119="","",HYPERLINK(p_ruta_base_checklists&amp;$AN1119,"abrir"))</f>
        <v/>
      </c>
      <c r="AP1119" s="6" t="n"/>
      <c r="AQ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IF($A1120="","",IFERROR(INDEX('AJUSTES'!$B$4:$B$303,MATCH($AQ1120,'AJUSTES'!$A$4:$A$303,0)),IF($K1120="","",$K1120)))</f>
        <v/>
      </c>
      <c r="N1120" s="3">
        <f>IF($A1120="","",IFERROR(INDEX('CAT_ESTADOS_ERP'!$B$4:$B$7,MATCH(IFERROR(INDEX('2_IMPORTAR_EJECUCION'!$C$9:$C$1208,MATCH($AQ1120,'2_IMPORTAR_EJECUCION'!$J$9:$J$1208,0)),""),'CAT_ESTADOS_ERP'!$A$4:$A$7,0)),"Pendiente"))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J1120="","",IFERROR(INDEX('CALENDARIO'!$C$15:$C$214,MATCH(TEXT($J1120,"yyyy-mm-dd")&amp;"|"&amp;$V1120&amp;"|"&amp;$W1120,'CALENDARIO'!$G$15:$G$214,0)),IFERROR(INDEX('CALENDARIO'!$C$15:$C$214,MATCH(TEXT($J1120,"yyyy-mm-dd")&amp;"|"&amp;$V1120&amp;"|",'CALENDARIO'!$G$15:$G$214,0)),IFERROR(INDEX('CALENDARIO'!$C$15:$C$214,MATCH(TEXT($J1120,"yyyy-mm-dd")&amp;"||",'CALENDARIO'!$G$15:$G$214,0)),INDEX(patronHabil,WEEKDAY($J1120,2))))))</f>
        <v/>
      </c>
      <c r="T1120" s="3">
        <f>IF($I1120="","",IFERROR(INDEX('CAT_TIPOS_OT'!$C$4:$C$7,MATCH($I1120,'CAT_TIPOS_OT'!$A$4:$A$7,0)),"sin_clasificar"))</f>
        <v/>
      </c>
      <c r="U1120" s="3">
        <f>IF($F1120="","",IFERROR(INDEX('CAT_CENTROS_COSTO'!$F$4:$F$13,MATCH($F1120,'CAT_CENTROS_COSTO'!$A$4:$A$13,0)),"(sin catálogo)"))</f>
        <v/>
      </c>
      <c r="V1120" s="3">
        <f>IF($F1120="","",IFERROR(INDEX('CAT_CENTROS_COSTO'!$D$4:$D$13,MATCH($F1120,'CAT_CENTROS_COSTO'!$A$4:$A$13,0)),"(sin catálogo)"))</f>
        <v/>
      </c>
      <c r="W1120" s="3">
        <f>IF($F1120="","",IF((IFERROR(INDEX('CAT_CENTROS_COSTO'!$E$4:$E$13,MATCH($F1120,'CAT_CENTROS_COSTO'!$A$4:$A$13,0)),""))&lt;&gt;"",IFERROR(INDEX('CAT_CENTROS_COSTO'!$E$4:$E$13,MATCH($F1120,'CAT_CENTROS_COSTO'!$A$4:$A$13,0)),""),$V1120))</f>
        <v/>
      </c>
      <c r="X1120" s="3">
        <f>IF($F1120="","",IFERROR(INDEX('CAT_CENTROS_COSTO'!$G$4:$G$13,MATCH($F1120,'CAT_CENTROS_COSTO'!$A$4:$A$13,0)),"(sin catálogo)"))</f>
        <v/>
      </c>
      <c r="Y1120" s="3">
        <f>IF($G1120="","",IFERROR(INDEX('CAT_PUESTOS'!$B$4:$B$8,MATCH($G1120,'CAT_PUESTOS'!$A$4:$A$8,0)),"(sin catálogo)"))</f>
        <v/>
      </c>
      <c r="Z1120" s="3">
        <f>IF($H1120="","",IFERROR(INDEX('CAT_ACTIVIDADES'!$B$4:$B$8,MATCH($H1120,'CAT_ACTIVIDADES'!$A$4:$A$8,0)),"(sin catálogo)"))</f>
        <v/>
      </c>
      <c r="AA1120" s="12">
        <f>IF($J1120="","",TODAY()-$J1120)</f>
        <v/>
      </c>
      <c r="AB1120" s="12">
        <f>IF($J1120="","",IF($J1120&lt;=TODAY(),COUNTIFS(cal_fechas,"&gt;="&amp;$J1120,cal_fechas,"&lt;"&amp;TODAY(),cal_habil,"sí"),-COUNTIFS(cal_fechas,"&gt;="&amp;TODAY(),cal_fechas,"&lt;"&amp;$J1120,cal_habil,"sí")))</f>
        <v/>
      </c>
      <c r="AC1120" s="3">
        <f>IF($AB1120="","",IF($AB1120&lt;0,"FUTURO",IF($AB1120&gt;p_dias_backlog_max,"BACKLOG","MES CORRIENTE")))</f>
        <v/>
      </c>
      <c r="AD1120" s="3">
        <f>IF($AB1120="",FALSE,AND($AB1120&gt;p_dias_backlog_min,$AB1120&lt;=p_dias_backlog_max))</f>
        <v/>
      </c>
      <c r="AE1120" s="6" t="n"/>
      <c r="AF1120" s="3">
        <f>IF($AE1120="","",IF((IFERROR(INDEX('ASIGNACIONES'!$F$4:$F$339,MATCH($O1120&amp;"|"&amp;$R1120&amp;"|"&amp;$AE1120,'ASIGNACIONES'!$J$4:$J$339,0)),""))=0,"",IFERROR(INDEX('ASIGNACIONES'!$F$4:$F$339,MATCH($O1120&amp;"|"&amp;$R1120&amp;"|"&amp;$AE1120,'ASIGNACIONES'!$J$4:$J$339,0)),"")))</f>
        <v/>
      </c>
      <c r="AG1120" s="13">
        <f>IF($AE1120="","",SUMIFS('ORDENES'!$M$4:$M$1203,'ORDENES'!$AE$4:$AE$1203,$AE1120,'ORDENES'!$O$4:$O$1203,$O1120,'ORDENES'!$R$4:$R$1203,$R1120))</f>
        <v/>
      </c>
      <c r="AH1120" s="13">
        <f>IF($AG1120="","",p_factor_productividad*IFERROR(INDEX('ASIGNACIONES'!$I$4:$I$339,MATCH($O1120&amp;"|"&amp;$R1120&amp;"|"&amp;$AE1120,'ASIGNACIONES'!$J$4:$J$339,0)),0)-$AG1120)</f>
        <v/>
      </c>
      <c r="AI1120" s="10">
        <f>IF($A1120="","",IFERROR(INDEX('2_IMPORTAR_EJECUCION'!$F$9:$F$1208,MATCH($AQ1120,'2_IMPORTAR_EJECUCION'!$J$9:$J$1208,0)),0))</f>
        <v/>
      </c>
      <c r="AJ1120" s="10">
        <f>IF($A1120="","",MAX(0,IFERROR(INDEX('2_IMPORTAR_EJECUCION'!$H$9:$H$1208,MATCH($AQ1120,'2_IMPORTAR_EJECUCION'!$J$9:$J$1208,0)),0)-$AI1120))</f>
        <v/>
      </c>
      <c r="AK1120" s="10">
        <f>IF($A1120="","",$AI1120+$AJ1120)</f>
        <v/>
      </c>
      <c r="AL1120" s="6" t="n"/>
      <c r="AM1120" s="6" t="n"/>
      <c r="AN1120" s="6" t="n"/>
      <c r="AO1120" s="3">
        <f>IF($AN1120="","",HYPERLINK(p_ruta_base_checklists&amp;$AN1120,"abrir"))</f>
        <v/>
      </c>
      <c r="AP1120" s="6" t="n"/>
      <c r="AQ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IF($A1121="","",IFERROR(INDEX('AJUSTES'!$B$4:$B$303,MATCH($AQ1121,'AJUSTES'!$A$4:$A$303,0)),IF($K1121="","",$K1121)))</f>
        <v/>
      </c>
      <c r="N1121" s="3">
        <f>IF($A1121="","",IFERROR(INDEX('CAT_ESTADOS_ERP'!$B$4:$B$7,MATCH(IFERROR(INDEX('2_IMPORTAR_EJECUCION'!$C$9:$C$1208,MATCH($AQ1121,'2_IMPORTAR_EJECUCION'!$J$9:$J$1208,0)),""),'CAT_ESTADOS_ERP'!$A$4:$A$7,0)),"Pendiente"))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J1121="","",IFERROR(INDEX('CALENDARIO'!$C$15:$C$214,MATCH(TEXT($J1121,"yyyy-mm-dd")&amp;"|"&amp;$V1121&amp;"|"&amp;$W1121,'CALENDARIO'!$G$15:$G$214,0)),IFERROR(INDEX('CALENDARIO'!$C$15:$C$214,MATCH(TEXT($J1121,"yyyy-mm-dd")&amp;"|"&amp;$V1121&amp;"|",'CALENDARIO'!$G$15:$G$214,0)),IFERROR(INDEX('CALENDARIO'!$C$15:$C$214,MATCH(TEXT($J1121,"yyyy-mm-dd")&amp;"||",'CALENDARIO'!$G$15:$G$214,0)),INDEX(patronHabil,WEEKDAY($J1121,2))))))</f>
        <v/>
      </c>
      <c r="T1121" s="3">
        <f>IF($I1121="","",IFERROR(INDEX('CAT_TIPOS_OT'!$C$4:$C$7,MATCH($I1121,'CAT_TIPOS_OT'!$A$4:$A$7,0)),"sin_clasificar"))</f>
        <v/>
      </c>
      <c r="U1121" s="3">
        <f>IF($F1121="","",IFERROR(INDEX('CAT_CENTROS_COSTO'!$F$4:$F$13,MATCH($F1121,'CAT_CENTROS_COSTO'!$A$4:$A$13,0)),"(sin catálogo)"))</f>
        <v/>
      </c>
      <c r="V1121" s="3">
        <f>IF($F1121="","",IFERROR(INDEX('CAT_CENTROS_COSTO'!$D$4:$D$13,MATCH($F1121,'CAT_CENTROS_COSTO'!$A$4:$A$13,0)),"(sin catálogo)"))</f>
        <v/>
      </c>
      <c r="W1121" s="3">
        <f>IF($F1121="","",IF((IFERROR(INDEX('CAT_CENTROS_COSTO'!$E$4:$E$13,MATCH($F1121,'CAT_CENTROS_COSTO'!$A$4:$A$13,0)),""))&lt;&gt;"",IFERROR(INDEX('CAT_CENTROS_COSTO'!$E$4:$E$13,MATCH($F1121,'CAT_CENTROS_COSTO'!$A$4:$A$13,0)),""),$V1121))</f>
        <v/>
      </c>
      <c r="X1121" s="3">
        <f>IF($F1121="","",IFERROR(INDEX('CAT_CENTROS_COSTO'!$G$4:$G$13,MATCH($F1121,'CAT_CENTROS_COSTO'!$A$4:$A$13,0)),"(sin catálogo)"))</f>
        <v/>
      </c>
      <c r="Y1121" s="3">
        <f>IF($G1121="","",IFERROR(INDEX('CAT_PUESTOS'!$B$4:$B$8,MATCH($G1121,'CAT_PUESTOS'!$A$4:$A$8,0)),"(sin catálogo)"))</f>
        <v/>
      </c>
      <c r="Z1121" s="3">
        <f>IF($H1121="","",IFERROR(INDEX('CAT_ACTIVIDADES'!$B$4:$B$8,MATCH($H1121,'CAT_ACTIVIDADES'!$A$4:$A$8,0)),"(sin catálogo)"))</f>
        <v/>
      </c>
      <c r="AA1121" s="12">
        <f>IF($J1121="","",TODAY()-$J1121)</f>
        <v/>
      </c>
      <c r="AB1121" s="12">
        <f>IF($J1121="","",IF($J1121&lt;=TODAY(),COUNTIFS(cal_fechas,"&gt;="&amp;$J1121,cal_fechas,"&lt;"&amp;TODAY(),cal_habil,"sí"),-COUNTIFS(cal_fechas,"&gt;="&amp;TODAY(),cal_fechas,"&lt;"&amp;$J1121,cal_habil,"sí")))</f>
        <v/>
      </c>
      <c r="AC1121" s="3">
        <f>IF($AB1121="","",IF($AB1121&lt;0,"FUTURO",IF($AB1121&gt;p_dias_backlog_max,"BACKLOG","MES CORRIENTE")))</f>
        <v/>
      </c>
      <c r="AD1121" s="3">
        <f>IF($AB1121="",FALSE,AND($AB1121&gt;p_dias_backlog_min,$AB1121&lt;=p_dias_backlog_max))</f>
        <v/>
      </c>
      <c r="AE1121" s="6" t="n"/>
      <c r="AF1121" s="3">
        <f>IF($AE1121="","",IF((IFERROR(INDEX('ASIGNACIONES'!$F$4:$F$339,MATCH($O1121&amp;"|"&amp;$R1121&amp;"|"&amp;$AE1121,'ASIGNACIONES'!$J$4:$J$339,0)),""))=0,"",IFERROR(INDEX('ASIGNACIONES'!$F$4:$F$339,MATCH($O1121&amp;"|"&amp;$R1121&amp;"|"&amp;$AE1121,'ASIGNACIONES'!$J$4:$J$339,0)),"")))</f>
        <v/>
      </c>
      <c r="AG1121" s="13">
        <f>IF($AE1121="","",SUMIFS('ORDENES'!$M$4:$M$1203,'ORDENES'!$AE$4:$AE$1203,$AE1121,'ORDENES'!$O$4:$O$1203,$O1121,'ORDENES'!$R$4:$R$1203,$R1121))</f>
        <v/>
      </c>
      <c r="AH1121" s="13">
        <f>IF($AG1121="","",p_factor_productividad*IFERROR(INDEX('ASIGNACIONES'!$I$4:$I$339,MATCH($O1121&amp;"|"&amp;$R1121&amp;"|"&amp;$AE1121,'ASIGNACIONES'!$J$4:$J$339,0)),0)-$AG1121)</f>
        <v/>
      </c>
      <c r="AI1121" s="10">
        <f>IF($A1121="","",IFERROR(INDEX('2_IMPORTAR_EJECUCION'!$F$9:$F$1208,MATCH($AQ1121,'2_IMPORTAR_EJECUCION'!$J$9:$J$1208,0)),0))</f>
        <v/>
      </c>
      <c r="AJ1121" s="10">
        <f>IF($A1121="","",MAX(0,IFERROR(INDEX('2_IMPORTAR_EJECUCION'!$H$9:$H$1208,MATCH($AQ1121,'2_IMPORTAR_EJECUCION'!$J$9:$J$1208,0)),0)-$AI1121))</f>
        <v/>
      </c>
      <c r="AK1121" s="10">
        <f>IF($A1121="","",$AI1121+$AJ1121)</f>
        <v/>
      </c>
      <c r="AL1121" s="6" t="n"/>
      <c r="AM1121" s="6" t="n"/>
      <c r="AN1121" s="6" t="n"/>
      <c r="AO1121" s="3">
        <f>IF($AN1121="","",HYPERLINK(p_ruta_base_checklists&amp;$AN1121,"abrir"))</f>
        <v/>
      </c>
      <c r="AP1121" s="6" t="n"/>
      <c r="AQ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IF($A1122="","",IFERROR(INDEX('AJUSTES'!$B$4:$B$303,MATCH($AQ1122,'AJUSTES'!$A$4:$A$303,0)),IF($K1122="","",$K1122)))</f>
        <v/>
      </c>
      <c r="N1122" s="3">
        <f>IF($A1122="","",IFERROR(INDEX('CAT_ESTADOS_ERP'!$B$4:$B$7,MATCH(IFERROR(INDEX('2_IMPORTAR_EJECUCION'!$C$9:$C$1208,MATCH($AQ1122,'2_IMPORTAR_EJECUCION'!$J$9:$J$1208,0)),""),'CAT_ESTADOS_ERP'!$A$4:$A$7,0)),"Pendiente"))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J1122="","",IFERROR(INDEX('CALENDARIO'!$C$15:$C$214,MATCH(TEXT($J1122,"yyyy-mm-dd")&amp;"|"&amp;$V1122&amp;"|"&amp;$W1122,'CALENDARIO'!$G$15:$G$214,0)),IFERROR(INDEX('CALENDARIO'!$C$15:$C$214,MATCH(TEXT($J1122,"yyyy-mm-dd")&amp;"|"&amp;$V1122&amp;"|",'CALENDARIO'!$G$15:$G$214,0)),IFERROR(INDEX('CALENDARIO'!$C$15:$C$214,MATCH(TEXT($J1122,"yyyy-mm-dd")&amp;"||",'CALENDARIO'!$G$15:$G$214,0)),INDEX(patronHabil,WEEKDAY($J1122,2))))))</f>
        <v/>
      </c>
      <c r="T1122" s="3">
        <f>IF($I1122="","",IFERROR(INDEX('CAT_TIPOS_OT'!$C$4:$C$7,MATCH($I1122,'CAT_TIPOS_OT'!$A$4:$A$7,0)),"sin_clasificar"))</f>
        <v/>
      </c>
      <c r="U1122" s="3">
        <f>IF($F1122="","",IFERROR(INDEX('CAT_CENTROS_COSTO'!$F$4:$F$13,MATCH($F1122,'CAT_CENTROS_COSTO'!$A$4:$A$13,0)),"(sin catálogo)"))</f>
        <v/>
      </c>
      <c r="V1122" s="3">
        <f>IF($F1122="","",IFERROR(INDEX('CAT_CENTROS_COSTO'!$D$4:$D$13,MATCH($F1122,'CAT_CENTROS_COSTO'!$A$4:$A$13,0)),"(sin catálogo)"))</f>
        <v/>
      </c>
      <c r="W1122" s="3">
        <f>IF($F1122="","",IF((IFERROR(INDEX('CAT_CENTROS_COSTO'!$E$4:$E$13,MATCH($F1122,'CAT_CENTROS_COSTO'!$A$4:$A$13,0)),""))&lt;&gt;"",IFERROR(INDEX('CAT_CENTROS_COSTO'!$E$4:$E$13,MATCH($F1122,'CAT_CENTROS_COSTO'!$A$4:$A$13,0)),""),$V1122))</f>
        <v/>
      </c>
      <c r="X1122" s="3">
        <f>IF($F1122="","",IFERROR(INDEX('CAT_CENTROS_COSTO'!$G$4:$G$13,MATCH($F1122,'CAT_CENTROS_COSTO'!$A$4:$A$13,0)),"(sin catálogo)"))</f>
        <v/>
      </c>
      <c r="Y1122" s="3">
        <f>IF($G1122="","",IFERROR(INDEX('CAT_PUESTOS'!$B$4:$B$8,MATCH($G1122,'CAT_PUESTOS'!$A$4:$A$8,0)),"(sin catálogo)"))</f>
        <v/>
      </c>
      <c r="Z1122" s="3">
        <f>IF($H1122="","",IFERROR(INDEX('CAT_ACTIVIDADES'!$B$4:$B$8,MATCH($H1122,'CAT_ACTIVIDADES'!$A$4:$A$8,0)),"(sin catálogo)"))</f>
        <v/>
      </c>
      <c r="AA1122" s="12">
        <f>IF($J1122="","",TODAY()-$J1122)</f>
        <v/>
      </c>
      <c r="AB1122" s="12">
        <f>IF($J1122="","",IF($J1122&lt;=TODAY(),COUNTIFS(cal_fechas,"&gt;="&amp;$J1122,cal_fechas,"&lt;"&amp;TODAY(),cal_habil,"sí"),-COUNTIFS(cal_fechas,"&gt;="&amp;TODAY(),cal_fechas,"&lt;"&amp;$J1122,cal_habil,"sí")))</f>
        <v/>
      </c>
      <c r="AC1122" s="3">
        <f>IF($AB1122="","",IF($AB1122&lt;0,"FUTURO",IF($AB1122&gt;p_dias_backlog_max,"BACKLOG","MES CORRIENTE")))</f>
        <v/>
      </c>
      <c r="AD1122" s="3">
        <f>IF($AB1122="",FALSE,AND($AB1122&gt;p_dias_backlog_min,$AB1122&lt;=p_dias_backlog_max))</f>
        <v/>
      </c>
      <c r="AE1122" s="6" t="n"/>
      <c r="AF1122" s="3">
        <f>IF($AE1122="","",IF((IFERROR(INDEX('ASIGNACIONES'!$F$4:$F$339,MATCH($O1122&amp;"|"&amp;$R1122&amp;"|"&amp;$AE1122,'ASIGNACIONES'!$J$4:$J$339,0)),""))=0,"",IFERROR(INDEX('ASIGNACIONES'!$F$4:$F$339,MATCH($O1122&amp;"|"&amp;$R1122&amp;"|"&amp;$AE1122,'ASIGNACIONES'!$J$4:$J$339,0)),"")))</f>
        <v/>
      </c>
      <c r="AG1122" s="13">
        <f>IF($AE1122="","",SUMIFS('ORDENES'!$M$4:$M$1203,'ORDENES'!$AE$4:$AE$1203,$AE1122,'ORDENES'!$O$4:$O$1203,$O1122,'ORDENES'!$R$4:$R$1203,$R1122))</f>
        <v/>
      </c>
      <c r="AH1122" s="13">
        <f>IF($AG1122="","",p_factor_productividad*IFERROR(INDEX('ASIGNACIONES'!$I$4:$I$339,MATCH($O1122&amp;"|"&amp;$R1122&amp;"|"&amp;$AE1122,'ASIGNACIONES'!$J$4:$J$339,0)),0)-$AG1122)</f>
        <v/>
      </c>
      <c r="AI1122" s="10">
        <f>IF($A1122="","",IFERROR(INDEX('2_IMPORTAR_EJECUCION'!$F$9:$F$1208,MATCH($AQ1122,'2_IMPORTAR_EJECUCION'!$J$9:$J$1208,0)),0))</f>
        <v/>
      </c>
      <c r="AJ1122" s="10">
        <f>IF($A1122="","",MAX(0,IFERROR(INDEX('2_IMPORTAR_EJECUCION'!$H$9:$H$1208,MATCH($AQ1122,'2_IMPORTAR_EJECUCION'!$J$9:$J$1208,0)),0)-$AI1122))</f>
        <v/>
      </c>
      <c r="AK1122" s="10">
        <f>IF($A1122="","",$AI1122+$AJ1122)</f>
        <v/>
      </c>
      <c r="AL1122" s="6" t="n"/>
      <c r="AM1122" s="6" t="n"/>
      <c r="AN1122" s="6" t="n"/>
      <c r="AO1122" s="3">
        <f>IF($AN1122="","",HYPERLINK(p_ruta_base_checklists&amp;$AN1122,"abrir"))</f>
        <v/>
      </c>
      <c r="AP1122" s="6" t="n"/>
      <c r="AQ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IF($A1123="","",IFERROR(INDEX('AJUSTES'!$B$4:$B$303,MATCH($AQ1123,'AJUSTES'!$A$4:$A$303,0)),IF($K1123="","",$K1123)))</f>
        <v/>
      </c>
      <c r="N1123" s="3">
        <f>IF($A1123="","",IFERROR(INDEX('CAT_ESTADOS_ERP'!$B$4:$B$7,MATCH(IFERROR(INDEX('2_IMPORTAR_EJECUCION'!$C$9:$C$1208,MATCH($AQ1123,'2_IMPORTAR_EJECUCION'!$J$9:$J$1208,0)),""),'CAT_ESTADOS_ERP'!$A$4:$A$7,0)),"Pendiente"))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J1123="","",IFERROR(INDEX('CALENDARIO'!$C$15:$C$214,MATCH(TEXT($J1123,"yyyy-mm-dd")&amp;"|"&amp;$V1123&amp;"|"&amp;$W1123,'CALENDARIO'!$G$15:$G$214,0)),IFERROR(INDEX('CALENDARIO'!$C$15:$C$214,MATCH(TEXT($J1123,"yyyy-mm-dd")&amp;"|"&amp;$V1123&amp;"|",'CALENDARIO'!$G$15:$G$214,0)),IFERROR(INDEX('CALENDARIO'!$C$15:$C$214,MATCH(TEXT($J1123,"yyyy-mm-dd")&amp;"||",'CALENDARIO'!$G$15:$G$214,0)),INDEX(patronHabil,WEEKDAY($J1123,2))))))</f>
        <v/>
      </c>
      <c r="T1123" s="3">
        <f>IF($I1123="","",IFERROR(INDEX('CAT_TIPOS_OT'!$C$4:$C$7,MATCH($I1123,'CAT_TIPOS_OT'!$A$4:$A$7,0)),"sin_clasificar"))</f>
        <v/>
      </c>
      <c r="U1123" s="3">
        <f>IF($F1123="","",IFERROR(INDEX('CAT_CENTROS_COSTO'!$F$4:$F$13,MATCH($F1123,'CAT_CENTROS_COSTO'!$A$4:$A$13,0)),"(sin catálogo)"))</f>
        <v/>
      </c>
      <c r="V1123" s="3">
        <f>IF($F1123="","",IFERROR(INDEX('CAT_CENTROS_COSTO'!$D$4:$D$13,MATCH($F1123,'CAT_CENTROS_COSTO'!$A$4:$A$13,0)),"(sin catálogo)"))</f>
        <v/>
      </c>
      <c r="W1123" s="3">
        <f>IF($F1123="","",IF((IFERROR(INDEX('CAT_CENTROS_COSTO'!$E$4:$E$13,MATCH($F1123,'CAT_CENTROS_COSTO'!$A$4:$A$13,0)),""))&lt;&gt;"",IFERROR(INDEX('CAT_CENTROS_COSTO'!$E$4:$E$13,MATCH($F1123,'CAT_CENTROS_COSTO'!$A$4:$A$13,0)),""),$V1123))</f>
        <v/>
      </c>
      <c r="X1123" s="3">
        <f>IF($F1123="","",IFERROR(INDEX('CAT_CENTROS_COSTO'!$G$4:$G$13,MATCH($F1123,'CAT_CENTROS_COSTO'!$A$4:$A$13,0)),"(sin catálogo)"))</f>
        <v/>
      </c>
      <c r="Y1123" s="3">
        <f>IF($G1123="","",IFERROR(INDEX('CAT_PUESTOS'!$B$4:$B$8,MATCH($G1123,'CAT_PUESTOS'!$A$4:$A$8,0)),"(sin catálogo)"))</f>
        <v/>
      </c>
      <c r="Z1123" s="3">
        <f>IF($H1123="","",IFERROR(INDEX('CAT_ACTIVIDADES'!$B$4:$B$8,MATCH($H1123,'CAT_ACTIVIDADES'!$A$4:$A$8,0)),"(sin catálogo)"))</f>
        <v/>
      </c>
      <c r="AA1123" s="12">
        <f>IF($J1123="","",TODAY()-$J1123)</f>
        <v/>
      </c>
      <c r="AB1123" s="12">
        <f>IF($J1123="","",IF($J1123&lt;=TODAY(),COUNTIFS(cal_fechas,"&gt;="&amp;$J1123,cal_fechas,"&lt;"&amp;TODAY(),cal_habil,"sí"),-COUNTIFS(cal_fechas,"&gt;="&amp;TODAY(),cal_fechas,"&lt;"&amp;$J1123,cal_habil,"sí")))</f>
        <v/>
      </c>
      <c r="AC1123" s="3">
        <f>IF($AB1123="","",IF($AB1123&lt;0,"FUTURO",IF($AB1123&gt;p_dias_backlog_max,"BACKLOG","MES CORRIENTE")))</f>
        <v/>
      </c>
      <c r="AD1123" s="3">
        <f>IF($AB1123="",FALSE,AND($AB1123&gt;p_dias_backlog_min,$AB1123&lt;=p_dias_backlog_max))</f>
        <v/>
      </c>
      <c r="AE1123" s="6" t="n"/>
      <c r="AF1123" s="3">
        <f>IF($AE1123="","",IF((IFERROR(INDEX('ASIGNACIONES'!$F$4:$F$339,MATCH($O1123&amp;"|"&amp;$R1123&amp;"|"&amp;$AE1123,'ASIGNACIONES'!$J$4:$J$339,0)),""))=0,"",IFERROR(INDEX('ASIGNACIONES'!$F$4:$F$339,MATCH($O1123&amp;"|"&amp;$R1123&amp;"|"&amp;$AE1123,'ASIGNACIONES'!$J$4:$J$339,0)),"")))</f>
        <v/>
      </c>
      <c r="AG1123" s="13">
        <f>IF($AE1123="","",SUMIFS('ORDENES'!$M$4:$M$1203,'ORDENES'!$AE$4:$AE$1203,$AE1123,'ORDENES'!$O$4:$O$1203,$O1123,'ORDENES'!$R$4:$R$1203,$R1123))</f>
        <v/>
      </c>
      <c r="AH1123" s="13">
        <f>IF($AG1123="","",p_factor_productividad*IFERROR(INDEX('ASIGNACIONES'!$I$4:$I$339,MATCH($O1123&amp;"|"&amp;$R1123&amp;"|"&amp;$AE1123,'ASIGNACIONES'!$J$4:$J$339,0)),0)-$AG1123)</f>
        <v/>
      </c>
      <c r="AI1123" s="10">
        <f>IF($A1123="","",IFERROR(INDEX('2_IMPORTAR_EJECUCION'!$F$9:$F$1208,MATCH($AQ1123,'2_IMPORTAR_EJECUCION'!$J$9:$J$1208,0)),0))</f>
        <v/>
      </c>
      <c r="AJ1123" s="10">
        <f>IF($A1123="","",MAX(0,IFERROR(INDEX('2_IMPORTAR_EJECUCION'!$H$9:$H$1208,MATCH($AQ1123,'2_IMPORTAR_EJECUCION'!$J$9:$J$1208,0)),0)-$AI1123))</f>
        <v/>
      </c>
      <c r="AK1123" s="10">
        <f>IF($A1123="","",$AI1123+$AJ1123)</f>
        <v/>
      </c>
      <c r="AL1123" s="6" t="n"/>
      <c r="AM1123" s="6" t="n"/>
      <c r="AN1123" s="6" t="n"/>
      <c r="AO1123" s="3">
        <f>IF($AN1123="","",HYPERLINK(p_ruta_base_checklists&amp;$AN1123,"abrir"))</f>
        <v/>
      </c>
      <c r="AP1123" s="6" t="n"/>
      <c r="AQ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IF($A1124="","",IFERROR(INDEX('AJUSTES'!$B$4:$B$303,MATCH($AQ1124,'AJUSTES'!$A$4:$A$303,0)),IF($K1124="","",$K1124)))</f>
        <v/>
      </c>
      <c r="N1124" s="3">
        <f>IF($A1124="","",IFERROR(INDEX('CAT_ESTADOS_ERP'!$B$4:$B$7,MATCH(IFERROR(INDEX('2_IMPORTAR_EJECUCION'!$C$9:$C$1208,MATCH($AQ1124,'2_IMPORTAR_EJECUCION'!$J$9:$J$1208,0)),""),'CAT_ESTADOS_ERP'!$A$4:$A$7,0)),"Pendiente"))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J1124="","",IFERROR(INDEX('CALENDARIO'!$C$15:$C$214,MATCH(TEXT($J1124,"yyyy-mm-dd")&amp;"|"&amp;$V1124&amp;"|"&amp;$W1124,'CALENDARIO'!$G$15:$G$214,0)),IFERROR(INDEX('CALENDARIO'!$C$15:$C$214,MATCH(TEXT($J1124,"yyyy-mm-dd")&amp;"|"&amp;$V1124&amp;"|",'CALENDARIO'!$G$15:$G$214,0)),IFERROR(INDEX('CALENDARIO'!$C$15:$C$214,MATCH(TEXT($J1124,"yyyy-mm-dd")&amp;"||",'CALENDARIO'!$G$15:$G$214,0)),INDEX(patronHabil,WEEKDAY($J1124,2))))))</f>
        <v/>
      </c>
      <c r="T1124" s="3">
        <f>IF($I1124="","",IFERROR(INDEX('CAT_TIPOS_OT'!$C$4:$C$7,MATCH($I1124,'CAT_TIPOS_OT'!$A$4:$A$7,0)),"sin_clasificar"))</f>
        <v/>
      </c>
      <c r="U1124" s="3">
        <f>IF($F1124="","",IFERROR(INDEX('CAT_CENTROS_COSTO'!$F$4:$F$13,MATCH($F1124,'CAT_CENTROS_COSTO'!$A$4:$A$13,0)),"(sin catálogo)"))</f>
        <v/>
      </c>
      <c r="V1124" s="3">
        <f>IF($F1124="","",IFERROR(INDEX('CAT_CENTROS_COSTO'!$D$4:$D$13,MATCH($F1124,'CAT_CENTROS_COSTO'!$A$4:$A$13,0)),"(sin catálogo)"))</f>
        <v/>
      </c>
      <c r="W1124" s="3">
        <f>IF($F1124="","",IF((IFERROR(INDEX('CAT_CENTROS_COSTO'!$E$4:$E$13,MATCH($F1124,'CAT_CENTROS_COSTO'!$A$4:$A$13,0)),""))&lt;&gt;"",IFERROR(INDEX('CAT_CENTROS_COSTO'!$E$4:$E$13,MATCH($F1124,'CAT_CENTROS_COSTO'!$A$4:$A$13,0)),""),$V1124))</f>
        <v/>
      </c>
      <c r="X1124" s="3">
        <f>IF($F1124="","",IFERROR(INDEX('CAT_CENTROS_COSTO'!$G$4:$G$13,MATCH($F1124,'CAT_CENTROS_COSTO'!$A$4:$A$13,0)),"(sin catálogo)"))</f>
        <v/>
      </c>
      <c r="Y1124" s="3">
        <f>IF($G1124="","",IFERROR(INDEX('CAT_PUESTOS'!$B$4:$B$8,MATCH($G1124,'CAT_PUESTOS'!$A$4:$A$8,0)),"(sin catálogo)"))</f>
        <v/>
      </c>
      <c r="Z1124" s="3">
        <f>IF($H1124="","",IFERROR(INDEX('CAT_ACTIVIDADES'!$B$4:$B$8,MATCH($H1124,'CAT_ACTIVIDADES'!$A$4:$A$8,0)),"(sin catálogo)"))</f>
        <v/>
      </c>
      <c r="AA1124" s="12">
        <f>IF($J1124="","",TODAY()-$J1124)</f>
        <v/>
      </c>
      <c r="AB1124" s="12">
        <f>IF($J1124="","",IF($J1124&lt;=TODAY(),COUNTIFS(cal_fechas,"&gt;="&amp;$J1124,cal_fechas,"&lt;"&amp;TODAY(),cal_habil,"sí"),-COUNTIFS(cal_fechas,"&gt;="&amp;TODAY(),cal_fechas,"&lt;"&amp;$J1124,cal_habil,"sí")))</f>
        <v/>
      </c>
      <c r="AC1124" s="3">
        <f>IF($AB1124="","",IF($AB1124&lt;0,"FUTURO",IF($AB1124&gt;p_dias_backlog_max,"BACKLOG","MES CORRIENTE")))</f>
        <v/>
      </c>
      <c r="AD1124" s="3">
        <f>IF($AB1124="",FALSE,AND($AB1124&gt;p_dias_backlog_min,$AB1124&lt;=p_dias_backlog_max))</f>
        <v/>
      </c>
      <c r="AE1124" s="6" t="n"/>
      <c r="AF1124" s="3">
        <f>IF($AE1124="","",IF((IFERROR(INDEX('ASIGNACIONES'!$F$4:$F$339,MATCH($O1124&amp;"|"&amp;$R1124&amp;"|"&amp;$AE1124,'ASIGNACIONES'!$J$4:$J$339,0)),""))=0,"",IFERROR(INDEX('ASIGNACIONES'!$F$4:$F$339,MATCH($O1124&amp;"|"&amp;$R1124&amp;"|"&amp;$AE1124,'ASIGNACIONES'!$J$4:$J$339,0)),"")))</f>
        <v/>
      </c>
      <c r="AG1124" s="13">
        <f>IF($AE1124="","",SUMIFS('ORDENES'!$M$4:$M$1203,'ORDENES'!$AE$4:$AE$1203,$AE1124,'ORDENES'!$O$4:$O$1203,$O1124,'ORDENES'!$R$4:$R$1203,$R1124))</f>
        <v/>
      </c>
      <c r="AH1124" s="13">
        <f>IF($AG1124="","",p_factor_productividad*IFERROR(INDEX('ASIGNACIONES'!$I$4:$I$339,MATCH($O1124&amp;"|"&amp;$R1124&amp;"|"&amp;$AE1124,'ASIGNACIONES'!$J$4:$J$339,0)),0)-$AG1124)</f>
        <v/>
      </c>
      <c r="AI1124" s="10">
        <f>IF($A1124="","",IFERROR(INDEX('2_IMPORTAR_EJECUCION'!$F$9:$F$1208,MATCH($AQ1124,'2_IMPORTAR_EJECUCION'!$J$9:$J$1208,0)),0))</f>
        <v/>
      </c>
      <c r="AJ1124" s="10">
        <f>IF($A1124="","",MAX(0,IFERROR(INDEX('2_IMPORTAR_EJECUCION'!$H$9:$H$1208,MATCH($AQ1124,'2_IMPORTAR_EJECUCION'!$J$9:$J$1208,0)),0)-$AI1124))</f>
        <v/>
      </c>
      <c r="AK1124" s="10">
        <f>IF($A1124="","",$AI1124+$AJ1124)</f>
        <v/>
      </c>
      <c r="AL1124" s="6" t="n"/>
      <c r="AM1124" s="6" t="n"/>
      <c r="AN1124" s="6" t="n"/>
      <c r="AO1124" s="3">
        <f>IF($AN1124="","",HYPERLINK(p_ruta_base_checklists&amp;$AN1124,"abrir"))</f>
        <v/>
      </c>
      <c r="AP1124" s="6" t="n"/>
      <c r="AQ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IF($A1125="","",IFERROR(INDEX('AJUSTES'!$B$4:$B$303,MATCH($AQ1125,'AJUSTES'!$A$4:$A$303,0)),IF($K1125="","",$K1125)))</f>
        <v/>
      </c>
      <c r="N1125" s="3">
        <f>IF($A1125="","",IFERROR(INDEX('CAT_ESTADOS_ERP'!$B$4:$B$7,MATCH(IFERROR(INDEX('2_IMPORTAR_EJECUCION'!$C$9:$C$1208,MATCH($AQ1125,'2_IMPORTAR_EJECUCION'!$J$9:$J$1208,0)),""),'CAT_ESTADOS_ERP'!$A$4:$A$7,0)),"Pendiente"))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J1125="","",IFERROR(INDEX('CALENDARIO'!$C$15:$C$214,MATCH(TEXT($J1125,"yyyy-mm-dd")&amp;"|"&amp;$V1125&amp;"|"&amp;$W1125,'CALENDARIO'!$G$15:$G$214,0)),IFERROR(INDEX('CALENDARIO'!$C$15:$C$214,MATCH(TEXT($J1125,"yyyy-mm-dd")&amp;"|"&amp;$V1125&amp;"|",'CALENDARIO'!$G$15:$G$214,0)),IFERROR(INDEX('CALENDARIO'!$C$15:$C$214,MATCH(TEXT($J1125,"yyyy-mm-dd")&amp;"||",'CALENDARIO'!$G$15:$G$214,0)),INDEX(patronHabil,WEEKDAY($J1125,2))))))</f>
        <v/>
      </c>
      <c r="T1125" s="3">
        <f>IF($I1125="","",IFERROR(INDEX('CAT_TIPOS_OT'!$C$4:$C$7,MATCH($I1125,'CAT_TIPOS_OT'!$A$4:$A$7,0)),"sin_clasificar"))</f>
        <v/>
      </c>
      <c r="U1125" s="3">
        <f>IF($F1125="","",IFERROR(INDEX('CAT_CENTROS_COSTO'!$F$4:$F$13,MATCH($F1125,'CAT_CENTROS_COSTO'!$A$4:$A$13,0)),"(sin catálogo)"))</f>
        <v/>
      </c>
      <c r="V1125" s="3">
        <f>IF($F1125="","",IFERROR(INDEX('CAT_CENTROS_COSTO'!$D$4:$D$13,MATCH($F1125,'CAT_CENTROS_COSTO'!$A$4:$A$13,0)),"(sin catálogo)"))</f>
        <v/>
      </c>
      <c r="W1125" s="3">
        <f>IF($F1125="","",IF((IFERROR(INDEX('CAT_CENTROS_COSTO'!$E$4:$E$13,MATCH($F1125,'CAT_CENTROS_COSTO'!$A$4:$A$13,0)),""))&lt;&gt;"",IFERROR(INDEX('CAT_CENTROS_COSTO'!$E$4:$E$13,MATCH($F1125,'CAT_CENTROS_COSTO'!$A$4:$A$13,0)),""),$V1125))</f>
        <v/>
      </c>
      <c r="X1125" s="3">
        <f>IF($F1125="","",IFERROR(INDEX('CAT_CENTROS_COSTO'!$G$4:$G$13,MATCH($F1125,'CAT_CENTROS_COSTO'!$A$4:$A$13,0)),"(sin catálogo)"))</f>
        <v/>
      </c>
      <c r="Y1125" s="3">
        <f>IF($G1125="","",IFERROR(INDEX('CAT_PUESTOS'!$B$4:$B$8,MATCH($G1125,'CAT_PUESTOS'!$A$4:$A$8,0)),"(sin catálogo)"))</f>
        <v/>
      </c>
      <c r="Z1125" s="3">
        <f>IF($H1125="","",IFERROR(INDEX('CAT_ACTIVIDADES'!$B$4:$B$8,MATCH($H1125,'CAT_ACTIVIDADES'!$A$4:$A$8,0)),"(sin catálogo)"))</f>
        <v/>
      </c>
      <c r="AA1125" s="12">
        <f>IF($J1125="","",TODAY()-$J1125)</f>
        <v/>
      </c>
      <c r="AB1125" s="12">
        <f>IF($J1125="","",IF($J1125&lt;=TODAY(),COUNTIFS(cal_fechas,"&gt;="&amp;$J1125,cal_fechas,"&lt;"&amp;TODAY(),cal_habil,"sí"),-COUNTIFS(cal_fechas,"&gt;="&amp;TODAY(),cal_fechas,"&lt;"&amp;$J1125,cal_habil,"sí")))</f>
        <v/>
      </c>
      <c r="AC1125" s="3">
        <f>IF($AB1125="","",IF($AB1125&lt;0,"FUTURO",IF($AB1125&gt;p_dias_backlog_max,"BACKLOG","MES CORRIENTE")))</f>
        <v/>
      </c>
      <c r="AD1125" s="3">
        <f>IF($AB1125="",FALSE,AND($AB1125&gt;p_dias_backlog_min,$AB1125&lt;=p_dias_backlog_max))</f>
        <v/>
      </c>
      <c r="AE1125" s="6" t="n"/>
      <c r="AF1125" s="3">
        <f>IF($AE1125="","",IF((IFERROR(INDEX('ASIGNACIONES'!$F$4:$F$339,MATCH($O1125&amp;"|"&amp;$R1125&amp;"|"&amp;$AE1125,'ASIGNACIONES'!$J$4:$J$339,0)),""))=0,"",IFERROR(INDEX('ASIGNACIONES'!$F$4:$F$339,MATCH($O1125&amp;"|"&amp;$R1125&amp;"|"&amp;$AE1125,'ASIGNACIONES'!$J$4:$J$339,0)),"")))</f>
        <v/>
      </c>
      <c r="AG1125" s="13">
        <f>IF($AE1125="","",SUMIFS('ORDENES'!$M$4:$M$1203,'ORDENES'!$AE$4:$AE$1203,$AE1125,'ORDENES'!$O$4:$O$1203,$O1125,'ORDENES'!$R$4:$R$1203,$R1125))</f>
        <v/>
      </c>
      <c r="AH1125" s="13">
        <f>IF($AG1125="","",p_factor_productividad*IFERROR(INDEX('ASIGNACIONES'!$I$4:$I$339,MATCH($O1125&amp;"|"&amp;$R1125&amp;"|"&amp;$AE1125,'ASIGNACIONES'!$J$4:$J$339,0)),0)-$AG1125)</f>
        <v/>
      </c>
      <c r="AI1125" s="10">
        <f>IF($A1125="","",IFERROR(INDEX('2_IMPORTAR_EJECUCION'!$F$9:$F$1208,MATCH($AQ1125,'2_IMPORTAR_EJECUCION'!$J$9:$J$1208,0)),0))</f>
        <v/>
      </c>
      <c r="AJ1125" s="10">
        <f>IF($A1125="","",MAX(0,IFERROR(INDEX('2_IMPORTAR_EJECUCION'!$H$9:$H$1208,MATCH($AQ1125,'2_IMPORTAR_EJECUCION'!$J$9:$J$1208,0)),0)-$AI1125))</f>
        <v/>
      </c>
      <c r="AK1125" s="10">
        <f>IF($A1125="","",$AI1125+$AJ1125)</f>
        <v/>
      </c>
      <c r="AL1125" s="6" t="n"/>
      <c r="AM1125" s="6" t="n"/>
      <c r="AN1125" s="6" t="n"/>
      <c r="AO1125" s="3">
        <f>IF($AN1125="","",HYPERLINK(p_ruta_base_checklists&amp;$AN1125,"abrir"))</f>
        <v/>
      </c>
      <c r="AP1125" s="6" t="n"/>
      <c r="AQ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IF($A1126="","",IFERROR(INDEX('AJUSTES'!$B$4:$B$303,MATCH($AQ1126,'AJUSTES'!$A$4:$A$303,0)),IF($K1126="","",$K1126)))</f>
        <v/>
      </c>
      <c r="N1126" s="3">
        <f>IF($A1126="","",IFERROR(INDEX('CAT_ESTADOS_ERP'!$B$4:$B$7,MATCH(IFERROR(INDEX('2_IMPORTAR_EJECUCION'!$C$9:$C$1208,MATCH($AQ1126,'2_IMPORTAR_EJECUCION'!$J$9:$J$1208,0)),""),'CAT_ESTADOS_ERP'!$A$4:$A$7,0)),"Pendiente"))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J1126="","",IFERROR(INDEX('CALENDARIO'!$C$15:$C$214,MATCH(TEXT($J1126,"yyyy-mm-dd")&amp;"|"&amp;$V1126&amp;"|"&amp;$W1126,'CALENDARIO'!$G$15:$G$214,0)),IFERROR(INDEX('CALENDARIO'!$C$15:$C$214,MATCH(TEXT($J1126,"yyyy-mm-dd")&amp;"|"&amp;$V1126&amp;"|",'CALENDARIO'!$G$15:$G$214,0)),IFERROR(INDEX('CALENDARIO'!$C$15:$C$214,MATCH(TEXT($J1126,"yyyy-mm-dd")&amp;"||",'CALENDARIO'!$G$15:$G$214,0)),INDEX(patronHabil,WEEKDAY($J1126,2))))))</f>
        <v/>
      </c>
      <c r="T1126" s="3">
        <f>IF($I1126="","",IFERROR(INDEX('CAT_TIPOS_OT'!$C$4:$C$7,MATCH($I1126,'CAT_TIPOS_OT'!$A$4:$A$7,0)),"sin_clasificar"))</f>
        <v/>
      </c>
      <c r="U1126" s="3">
        <f>IF($F1126="","",IFERROR(INDEX('CAT_CENTROS_COSTO'!$F$4:$F$13,MATCH($F1126,'CAT_CENTROS_COSTO'!$A$4:$A$13,0)),"(sin catálogo)"))</f>
        <v/>
      </c>
      <c r="V1126" s="3">
        <f>IF($F1126="","",IFERROR(INDEX('CAT_CENTROS_COSTO'!$D$4:$D$13,MATCH($F1126,'CAT_CENTROS_COSTO'!$A$4:$A$13,0)),"(sin catálogo)"))</f>
        <v/>
      </c>
      <c r="W1126" s="3">
        <f>IF($F1126="","",IF((IFERROR(INDEX('CAT_CENTROS_COSTO'!$E$4:$E$13,MATCH($F1126,'CAT_CENTROS_COSTO'!$A$4:$A$13,0)),""))&lt;&gt;"",IFERROR(INDEX('CAT_CENTROS_COSTO'!$E$4:$E$13,MATCH($F1126,'CAT_CENTROS_COSTO'!$A$4:$A$13,0)),""),$V1126))</f>
        <v/>
      </c>
      <c r="X1126" s="3">
        <f>IF($F1126="","",IFERROR(INDEX('CAT_CENTROS_COSTO'!$G$4:$G$13,MATCH($F1126,'CAT_CENTROS_COSTO'!$A$4:$A$13,0)),"(sin catálogo)"))</f>
        <v/>
      </c>
      <c r="Y1126" s="3">
        <f>IF($G1126="","",IFERROR(INDEX('CAT_PUESTOS'!$B$4:$B$8,MATCH($G1126,'CAT_PUESTOS'!$A$4:$A$8,0)),"(sin catálogo)"))</f>
        <v/>
      </c>
      <c r="Z1126" s="3">
        <f>IF($H1126="","",IFERROR(INDEX('CAT_ACTIVIDADES'!$B$4:$B$8,MATCH($H1126,'CAT_ACTIVIDADES'!$A$4:$A$8,0)),"(sin catálogo)"))</f>
        <v/>
      </c>
      <c r="AA1126" s="12">
        <f>IF($J1126="","",TODAY()-$J1126)</f>
        <v/>
      </c>
      <c r="AB1126" s="12">
        <f>IF($J1126="","",IF($J1126&lt;=TODAY(),COUNTIFS(cal_fechas,"&gt;="&amp;$J1126,cal_fechas,"&lt;"&amp;TODAY(),cal_habil,"sí"),-COUNTIFS(cal_fechas,"&gt;="&amp;TODAY(),cal_fechas,"&lt;"&amp;$J1126,cal_habil,"sí")))</f>
        <v/>
      </c>
      <c r="AC1126" s="3">
        <f>IF($AB1126="","",IF($AB1126&lt;0,"FUTURO",IF($AB1126&gt;p_dias_backlog_max,"BACKLOG","MES CORRIENTE")))</f>
        <v/>
      </c>
      <c r="AD1126" s="3">
        <f>IF($AB1126="",FALSE,AND($AB1126&gt;p_dias_backlog_min,$AB1126&lt;=p_dias_backlog_max))</f>
        <v/>
      </c>
      <c r="AE1126" s="6" t="n"/>
      <c r="AF1126" s="3">
        <f>IF($AE1126="","",IF((IFERROR(INDEX('ASIGNACIONES'!$F$4:$F$339,MATCH($O1126&amp;"|"&amp;$R1126&amp;"|"&amp;$AE1126,'ASIGNACIONES'!$J$4:$J$339,0)),""))=0,"",IFERROR(INDEX('ASIGNACIONES'!$F$4:$F$339,MATCH($O1126&amp;"|"&amp;$R1126&amp;"|"&amp;$AE1126,'ASIGNACIONES'!$J$4:$J$339,0)),"")))</f>
        <v/>
      </c>
      <c r="AG1126" s="13">
        <f>IF($AE1126="","",SUMIFS('ORDENES'!$M$4:$M$1203,'ORDENES'!$AE$4:$AE$1203,$AE1126,'ORDENES'!$O$4:$O$1203,$O1126,'ORDENES'!$R$4:$R$1203,$R1126))</f>
        <v/>
      </c>
      <c r="AH1126" s="13">
        <f>IF($AG1126="","",p_factor_productividad*IFERROR(INDEX('ASIGNACIONES'!$I$4:$I$339,MATCH($O1126&amp;"|"&amp;$R1126&amp;"|"&amp;$AE1126,'ASIGNACIONES'!$J$4:$J$339,0)),0)-$AG1126)</f>
        <v/>
      </c>
      <c r="AI1126" s="10">
        <f>IF($A1126="","",IFERROR(INDEX('2_IMPORTAR_EJECUCION'!$F$9:$F$1208,MATCH($AQ1126,'2_IMPORTAR_EJECUCION'!$J$9:$J$1208,0)),0))</f>
        <v/>
      </c>
      <c r="AJ1126" s="10">
        <f>IF($A1126="","",MAX(0,IFERROR(INDEX('2_IMPORTAR_EJECUCION'!$H$9:$H$1208,MATCH($AQ1126,'2_IMPORTAR_EJECUCION'!$J$9:$J$1208,0)),0)-$AI1126))</f>
        <v/>
      </c>
      <c r="AK1126" s="10">
        <f>IF($A1126="","",$AI1126+$AJ1126)</f>
        <v/>
      </c>
      <c r="AL1126" s="6" t="n"/>
      <c r="AM1126" s="6" t="n"/>
      <c r="AN1126" s="6" t="n"/>
      <c r="AO1126" s="3">
        <f>IF($AN1126="","",HYPERLINK(p_ruta_base_checklists&amp;$AN1126,"abrir"))</f>
        <v/>
      </c>
      <c r="AP1126" s="6" t="n"/>
      <c r="AQ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IF($A1127="","",IFERROR(INDEX('AJUSTES'!$B$4:$B$303,MATCH($AQ1127,'AJUSTES'!$A$4:$A$303,0)),IF($K1127="","",$K1127)))</f>
        <v/>
      </c>
      <c r="N1127" s="3">
        <f>IF($A1127="","",IFERROR(INDEX('CAT_ESTADOS_ERP'!$B$4:$B$7,MATCH(IFERROR(INDEX('2_IMPORTAR_EJECUCION'!$C$9:$C$1208,MATCH($AQ1127,'2_IMPORTAR_EJECUCION'!$J$9:$J$1208,0)),""),'CAT_ESTADOS_ERP'!$A$4:$A$7,0)),"Pendiente"))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J1127="","",IFERROR(INDEX('CALENDARIO'!$C$15:$C$214,MATCH(TEXT($J1127,"yyyy-mm-dd")&amp;"|"&amp;$V1127&amp;"|"&amp;$W1127,'CALENDARIO'!$G$15:$G$214,0)),IFERROR(INDEX('CALENDARIO'!$C$15:$C$214,MATCH(TEXT($J1127,"yyyy-mm-dd")&amp;"|"&amp;$V1127&amp;"|",'CALENDARIO'!$G$15:$G$214,0)),IFERROR(INDEX('CALENDARIO'!$C$15:$C$214,MATCH(TEXT($J1127,"yyyy-mm-dd")&amp;"||",'CALENDARIO'!$G$15:$G$214,0)),INDEX(patronHabil,WEEKDAY($J1127,2))))))</f>
        <v/>
      </c>
      <c r="T1127" s="3">
        <f>IF($I1127="","",IFERROR(INDEX('CAT_TIPOS_OT'!$C$4:$C$7,MATCH($I1127,'CAT_TIPOS_OT'!$A$4:$A$7,0)),"sin_clasificar"))</f>
        <v/>
      </c>
      <c r="U1127" s="3">
        <f>IF($F1127="","",IFERROR(INDEX('CAT_CENTROS_COSTO'!$F$4:$F$13,MATCH($F1127,'CAT_CENTROS_COSTO'!$A$4:$A$13,0)),"(sin catálogo)"))</f>
        <v/>
      </c>
      <c r="V1127" s="3">
        <f>IF($F1127="","",IFERROR(INDEX('CAT_CENTROS_COSTO'!$D$4:$D$13,MATCH($F1127,'CAT_CENTROS_COSTO'!$A$4:$A$13,0)),"(sin catálogo)"))</f>
        <v/>
      </c>
      <c r="W1127" s="3">
        <f>IF($F1127="","",IF((IFERROR(INDEX('CAT_CENTROS_COSTO'!$E$4:$E$13,MATCH($F1127,'CAT_CENTROS_COSTO'!$A$4:$A$13,0)),""))&lt;&gt;"",IFERROR(INDEX('CAT_CENTROS_COSTO'!$E$4:$E$13,MATCH($F1127,'CAT_CENTROS_COSTO'!$A$4:$A$13,0)),""),$V1127))</f>
        <v/>
      </c>
      <c r="X1127" s="3">
        <f>IF($F1127="","",IFERROR(INDEX('CAT_CENTROS_COSTO'!$G$4:$G$13,MATCH($F1127,'CAT_CENTROS_COSTO'!$A$4:$A$13,0)),"(sin catálogo)"))</f>
        <v/>
      </c>
      <c r="Y1127" s="3">
        <f>IF($G1127="","",IFERROR(INDEX('CAT_PUESTOS'!$B$4:$B$8,MATCH($G1127,'CAT_PUESTOS'!$A$4:$A$8,0)),"(sin catálogo)"))</f>
        <v/>
      </c>
      <c r="Z1127" s="3">
        <f>IF($H1127="","",IFERROR(INDEX('CAT_ACTIVIDADES'!$B$4:$B$8,MATCH($H1127,'CAT_ACTIVIDADES'!$A$4:$A$8,0)),"(sin catálogo)"))</f>
        <v/>
      </c>
      <c r="AA1127" s="12">
        <f>IF($J1127="","",TODAY()-$J1127)</f>
        <v/>
      </c>
      <c r="AB1127" s="12">
        <f>IF($J1127="","",IF($J1127&lt;=TODAY(),COUNTIFS(cal_fechas,"&gt;="&amp;$J1127,cal_fechas,"&lt;"&amp;TODAY(),cal_habil,"sí"),-COUNTIFS(cal_fechas,"&gt;="&amp;TODAY(),cal_fechas,"&lt;"&amp;$J1127,cal_habil,"sí")))</f>
        <v/>
      </c>
      <c r="AC1127" s="3">
        <f>IF($AB1127="","",IF($AB1127&lt;0,"FUTURO",IF($AB1127&gt;p_dias_backlog_max,"BACKLOG","MES CORRIENTE")))</f>
        <v/>
      </c>
      <c r="AD1127" s="3">
        <f>IF($AB1127="",FALSE,AND($AB1127&gt;p_dias_backlog_min,$AB1127&lt;=p_dias_backlog_max))</f>
        <v/>
      </c>
      <c r="AE1127" s="6" t="n"/>
      <c r="AF1127" s="3">
        <f>IF($AE1127="","",IF((IFERROR(INDEX('ASIGNACIONES'!$F$4:$F$339,MATCH($O1127&amp;"|"&amp;$R1127&amp;"|"&amp;$AE1127,'ASIGNACIONES'!$J$4:$J$339,0)),""))=0,"",IFERROR(INDEX('ASIGNACIONES'!$F$4:$F$339,MATCH($O1127&amp;"|"&amp;$R1127&amp;"|"&amp;$AE1127,'ASIGNACIONES'!$J$4:$J$339,0)),"")))</f>
        <v/>
      </c>
      <c r="AG1127" s="13">
        <f>IF($AE1127="","",SUMIFS('ORDENES'!$M$4:$M$1203,'ORDENES'!$AE$4:$AE$1203,$AE1127,'ORDENES'!$O$4:$O$1203,$O1127,'ORDENES'!$R$4:$R$1203,$R1127))</f>
        <v/>
      </c>
      <c r="AH1127" s="13">
        <f>IF($AG1127="","",p_factor_productividad*IFERROR(INDEX('ASIGNACIONES'!$I$4:$I$339,MATCH($O1127&amp;"|"&amp;$R1127&amp;"|"&amp;$AE1127,'ASIGNACIONES'!$J$4:$J$339,0)),0)-$AG1127)</f>
        <v/>
      </c>
      <c r="AI1127" s="10">
        <f>IF($A1127="","",IFERROR(INDEX('2_IMPORTAR_EJECUCION'!$F$9:$F$1208,MATCH($AQ1127,'2_IMPORTAR_EJECUCION'!$J$9:$J$1208,0)),0))</f>
        <v/>
      </c>
      <c r="AJ1127" s="10">
        <f>IF($A1127="","",MAX(0,IFERROR(INDEX('2_IMPORTAR_EJECUCION'!$H$9:$H$1208,MATCH($AQ1127,'2_IMPORTAR_EJECUCION'!$J$9:$J$1208,0)),0)-$AI1127))</f>
        <v/>
      </c>
      <c r="AK1127" s="10">
        <f>IF($A1127="","",$AI1127+$AJ1127)</f>
        <v/>
      </c>
      <c r="AL1127" s="6" t="n"/>
      <c r="AM1127" s="6" t="n"/>
      <c r="AN1127" s="6" t="n"/>
      <c r="AO1127" s="3">
        <f>IF($AN1127="","",HYPERLINK(p_ruta_base_checklists&amp;$AN1127,"abrir"))</f>
        <v/>
      </c>
      <c r="AP1127" s="6" t="n"/>
      <c r="AQ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IF($A1128="","",IFERROR(INDEX('AJUSTES'!$B$4:$B$303,MATCH($AQ1128,'AJUSTES'!$A$4:$A$303,0)),IF($K1128="","",$K1128)))</f>
        <v/>
      </c>
      <c r="N1128" s="3">
        <f>IF($A1128="","",IFERROR(INDEX('CAT_ESTADOS_ERP'!$B$4:$B$7,MATCH(IFERROR(INDEX('2_IMPORTAR_EJECUCION'!$C$9:$C$1208,MATCH($AQ1128,'2_IMPORTAR_EJECUCION'!$J$9:$J$1208,0)),""),'CAT_ESTADOS_ERP'!$A$4:$A$7,0)),"Pendiente"))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J1128="","",IFERROR(INDEX('CALENDARIO'!$C$15:$C$214,MATCH(TEXT($J1128,"yyyy-mm-dd")&amp;"|"&amp;$V1128&amp;"|"&amp;$W1128,'CALENDARIO'!$G$15:$G$214,0)),IFERROR(INDEX('CALENDARIO'!$C$15:$C$214,MATCH(TEXT($J1128,"yyyy-mm-dd")&amp;"|"&amp;$V1128&amp;"|",'CALENDARIO'!$G$15:$G$214,0)),IFERROR(INDEX('CALENDARIO'!$C$15:$C$214,MATCH(TEXT($J1128,"yyyy-mm-dd")&amp;"||",'CALENDARIO'!$G$15:$G$214,0)),INDEX(patronHabil,WEEKDAY($J1128,2))))))</f>
        <v/>
      </c>
      <c r="T1128" s="3">
        <f>IF($I1128="","",IFERROR(INDEX('CAT_TIPOS_OT'!$C$4:$C$7,MATCH($I1128,'CAT_TIPOS_OT'!$A$4:$A$7,0)),"sin_clasificar"))</f>
        <v/>
      </c>
      <c r="U1128" s="3">
        <f>IF($F1128="","",IFERROR(INDEX('CAT_CENTROS_COSTO'!$F$4:$F$13,MATCH($F1128,'CAT_CENTROS_COSTO'!$A$4:$A$13,0)),"(sin catálogo)"))</f>
        <v/>
      </c>
      <c r="V1128" s="3">
        <f>IF($F1128="","",IFERROR(INDEX('CAT_CENTROS_COSTO'!$D$4:$D$13,MATCH($F1128,'CAT_CENTROS_COSTO'!$A$4:$A$13,0)),"(sin catálogo)"))</f>
        <v/>
      </c>
      <c r="W1128" s="3">
        <f>IF($F1128="","",IF((IFERROR(INDEX('CAT_CENTROS_COSTO'!$E$4:$E$13,MATCH($F1128,'CAT_CENTROS_COSTO'!$A$4:$A$13,0)),""))&lt;&gt;"",IFERROR(INDEX('CAT_CENTROS_COSTO'!$E$4:$E$13,MATCH($F1128,'CAT_CENTROS_COSTO'!$A$4:$A$13,0)),""),$V1128))</f>
        <v/>
      </c>
      <c r="X1128" s="3">
        <f>IF($F1128="","",IFERROR(INDEX('CAT_CENTROS_COSTO'!$G$4:$G$13,MATCH($F1128,'CAT_CENTROS_COSTO'!$A$4:$A$13,0)),"(sin catálogo)"))</f>
        <v/>
      </c>
      <c r="Y1128" s="3">
        <f>IF($G1128="","",IFERROR(INDEX('CAT_PUESTOS'!$B$4:$B$8,MATCH($G1128,'CAT_PUESTOS'!$A$4:$A$8,0)),"(sin catálogo)"))</f>
        <v/>
      </c>
      <c r="Z1128" s="3">
        <f>IF($H1128="","",IFERROR(INDEX('CAT_ACTIVIDADES'!$B$4:$B$8,MATCH($H1128,'CAT_ACTIVIDADES'!$A$4:$A$8,0)),"(sin catálogo)"))</f>
        <v/>
      </c>
      <c r="AA1128" s="12">
        <f>IF($J1128="","",TODAY()-$J1128)</f>
        <v/>
      </c>
      <c r="AB1128" s="12">
        <f>IF($J1128="","",IF($J1128&lt;=TODAY(),COUNTIFS(cal_fechas,"&gt;="&amp;$J1128,cal_fechas,"&lt;"&amp;TODAY(),cal_habil,"sí"),-COUNTIFS(cal_fechas,"&gt;="&amp;TODAY(),cal_fechas,"&lt;"&amp;$J1128,cal_habil,"sí")))</f>
        <v/>
      </c>
      <c r="AC1128" s="3">
        <f>IF($AB1128="","",IF($AB1128&lt;0,"FUTURO",IF($AB1128&gt;p_dias_backlog_max,"BACKLOG","MES CORRIENTE")))</f>
        <v/>
      </c>
      <c r="AD1128" s="3">
        <f>IF($AB1128="",FALSE,AND($AB1128&gt;p_dias_backlog_min,$AB1128&lt;=p_dias_backlog_max))</f>
        <v/>
      </c>
      <c r="AE1128" s="6" t="n"/>
      <c r="AF1128" s="3">
        <f>IF($AE1128="","",IF((IFERROR(INDEX('ASIGNACIONES'!$F$4:$F$339,MATCH($O1128&amp;"|"&amp;$R1128&amp;"|"&amp;$AE1128,'ASIGNACIONES'!$J$4:$J$339,0)),""))=0,"",IFERROR(INDEX('ASIGNACIONES'!$F$4:$F$339,MATCH($O1128&amp;"|"&amp;$R1128&amp;"|"&amp;$AE1128,'ASIGNACIONES'!$J$4:$J$339,0)),"")))</f>
        <v/>
      </c>
      <c r="AG1128" s="13">
        <f>IF($AE1128="","",SUMIFS('ORDENES'!$M$4:$M$1203,'ORDENES'!$AE$4:$AE$1203,$AE1128,'ORDENES'!$O$4:$O$1203,$O1128,'ORDENES'!$R$4:$R$1203,$R1128))</f>
        <v/>
      </c>
      <c r="AH1128" s="13">
        <f>IF($AG1128="","",p_factor_productividad*IFERROR(INDEX('ASIGNACIONES'!$I$4:$I$339,MATCH($O1128&amp;"|"&amp;$R1128&amp;"|"&amp;$AE1128,'ASIGNACIONES'!$J$4:$J$339,0)),0)-$AG1128)</f>
        <v/>
      </c>
      <c r="AI1128" s="10">
        <f>IF($A1128="","",IFERROR(INDEX('2_IMPORTAR_EJECUCION'!$F$9:$F$1208,MATCH($AQ1128,'2_IMPORTAR_EJECUCION'!$J$9:$J$1208,0)),0))</f>
        <v/>
      </c>
      <c r="AJ1128" s="10">
        <f>IF($A1128="","",MAX(0,IFERROR(INDEX('2_IMPORTAR_EJECUCION'!$H$9:$H$1208,MATCH($AQ1128,'2_IMPORTAR_EJECUCION'!$J$9:$J$1208,0)),0)-$AI1128))</f>
        <v/>
      </c>
      <c r="AK1128" s="10">
        <f>IF($A1128="","",$AI1128+$AJ1128)</f>
        <v/>
      </c>
      <c r="AL1128" s="6" t="n"/>
      <c r="AM1128" s="6" t="n"/>
      <c r="AN1128" s="6" t="n"/>
      <c r="AO1128" s="3">
        <f>IF($AN1128="","",HYPERLINK(p_ruta_base_checklists&amp;$AN1128,"abrir"))</f>
        <v/>
      </c>
      <c r="AP1128" s="6" t="n"/>
      <c r="AQ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IF($A1129="","",IFERROR(INDEX('AJUSTES'!$B$4:$B$303,MATCH($AQ1129,'AJUSTES'!$A$4:$A$303,0)),IF($K1129="","",$K1129)))</f>
        <v/>
      </c>
      <c r="N1129" s="3">
        <f>IF($A1129="","",IFERROR(INDEX('CAT_ESTADOS_ERP'!$B$4:$B$7,MATCH(IFERROR(INDEX('2_IMPORTAR_EJECUCION'!$C$9:$C$1208,MATCH($AQ1129,'2_IMPORTAR_EJECUCION'!$J$9:$J$1208,0)),""),'CAT_ESTADOS_ERP'!$A$4:$A$7,0)),"Pendiente"))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J1129="","",IFERROR(INDEX('CALENDARIO'!$C$15:$C$214,MATCH(TEXT($J1129,"yyyy-mm-dd")&amp;"|"&amp;$V1129&amp;"|"&amp;$W1129,'CALENDARIO'!$G$15:$G$214,0)),IFERROR(INDEX('CALENDARIO'!$C$15:$C$214,MATCH(TEXT($J1129,"yyyy-mm-dd")&amp;"|"&amp;$V1129&amp;"|",'CALENDARIO'!$G$15:$G$214,0)),IFERROR(INDEX('CALENDARIO'!$C$15:$C$214,MATCH(TEXT($J1129,"yyyy-mm-dd")&amp;"||",'CALENDARIO'!$G$15:$G$214,0)),INDEX(patronHabil,WEEKDAY($J1129,2))))))</f>
        <v/>
      </c>
      <c r="T1129" s="3">
        <f>IF($I1129="","",IFERROR(INDEX('CAT_TIPOS_OT'!$C$4:$C$7,MATCH($I1129,'CAT_TIPOS_OT'!$A$4:$A$7,0)),"sin_clasificar"))</f>
        <v/>
      </c>
      <c r="U1129" s="3">
        <f>IF($F1129="","",IFERROR(INDEX('CAT_CENTROS_COSTO'!$F$4:$F$13,MATCH($F1129,'CAT_CENTROS_COSTO'!$A$4:$A$13,0)),"(sin catálogo)"))</f>
        <v/>
      </c>
      <c r="V1129" s="3">
        <f>IF($F1129="","",IFERROR(INDEX('CAT_CENTROS_COSTO'!$D$4:$D$13,MATCH($F1129,'CAT_CENTROS_COSTO'!$A$4:$A$13,0)),"(sin catálogo)"))</f>
        <v/>
      </c>
      <c r="W1129" s="3">
        <f>IF($F1129="","",IF((IFERROR(INDEX('CAT_CENTROS_COSTO'!$E$4:$E$13,MATCH($F1129,'CAT_CENTROS_COSTO'!$A$4:$A$13,0)),""))&lt;&gt;"",IFERROR(INDEX('CAT_CENTROS_COSTO'!$E$4:$E$13,MATCH($F1129,'CAT_CENTROS_COSTO'!$A$4:$A$13,0)),""),$V1129))</f>
        <v/>
      </c>
      <c r="X1129" s="3">
        <f>IF($F1129="","",IFERROR(INDEX('CAT_CENTROS_COSTO'!$G$4:$G$13,MATCH($F1129,'CAT_CENTROS_COSTO'!$A$4:$A$13,0)),"(sin catálogo)"))</f>
        <v/>
      </c>
      <c r="Y1129" s="3">
        <f>IF($G1129="","",IFERROR(INDEX('CAT_PUESTOS'!$B$4:$B$8,MATCH($G1129,'CAT_PUESTOS'!$A$4:$A$8,0)),"(sin catálogo)"))</f>
        <v/>
      </c>
      <c r="Z1129" s="3">
        <f>IF($H1129="","",IFERROR(INDEX('CAT_ACTIVIDADES'!$B$4:$B$8,MATCH($H1129,'CAT_ACTIVIDADES'!$A$4:$A$8,0)),"(sin catálogo)"))</f>
        <v/>
      </c>
      <c r="AA1129" s="12">
        <f>IF($J1129="","",TODAY()-$J1129)</f>
        <v/>
      </c>
      <c r="AB1129" s="12">
        <f>IF($J1129="","",IF($J1129&lt;=TODAY(),COUNTIFS(cal_fechas,"&gt;="&amp;$J1129,cal_fechas,"&lt;"&amp;TODAY(),cal_habil,"sí"),-COUNTIFS(cal_fechas,"&gt;="&amp;TODAY(),cal_fechas,"&lt;"&amp;$J1129,cal_habil,"sí")))</f>
        <v/>
      </c>
      <c r="AC1129" s="3">
        <f>IF($AB1129="","",IF($AB1129&lt;0,"FUTURO",IF($AB1129&gt;p_dias_backlog_max,"BACKLOG","MES CORRIENTE")))</f>
        <v/>
      </c>
      <c r="AD1129" s="3">
        <f>IF($AB1129="",FALSE,AND($AB1129&gt;p_dias_backlog_min,$AB1129&lt;=p_dias_backlog_max))</f>
        <v/>
      </c>
      <c r="AE1129" s="6" t="n"/>
      <c r="AF1129" s="3">
        <f>IF($AE1129="","",IF((IFERROR(INDEX('ASIGNACIONES'!$F$4:$F$339,MATCH($O1129&amp;"|"&amp;$R1129&amp;"|"&amp;$AE1129,'ASIGNACIONES'!$J$4:$J$339,0)),""))=0,"",IFERROR(INDEX('ASIGNACIONES'!$F$4:$F$339,MATCH($O1129&amp;"|"&amp;$R1129&amp;"|"&amp;$AE1129,'ASIGNACIONES'!$J$4:$J$339,0)),"")))</f>
        <v/>
      </c>
      <c r="AG1129" s="13">
        <f>IF($AE1129="","",SUMIFS('ORDENES'!$M$4:$M$1203,'ORDENES'!$AE$4:$AE$1203,$AE1129,'ORDENES'!$O$4:$O$1203,$O1129,'ORDENES'!$R$4:$R$1203,$R1129))</f>
        <v/>
      </c>
      <c r="AH1129" s="13">
        <f>IF($AG1129="","",p_factor_productividad*IFERROR(INDEX('ASIGNACIONES'!$I$4:$I$339,MATCH($O1129&amp;"|"&amp;$R1129&amp;"|"&amp;$AE1129,'ASIGNACIONES'!$J$4:$J$339,0)),0)-$AG1129)</f>
        <v/>
      </c>
      <c r="AI1129" s="10">
        <f>IF($A1129="","",IFERROR(INDEX('2_IMPORTAR_EJECUCION'!$F$9:$F$1208,MATCH($AQ1129,'2_IMPORTAR_EJECUCION'!$J$9:$J$1208,0)),0))</f>
        <v/>
      </c>
      <c r="AJ1129" s="10">
        <f>IF($A1129="","",MAX(0,IFERROR(INDEX('2_IMPORTAR_EJECUCION'!$H$9:$H$1208,MATCH($AQ1129,'2_IMPORTAR_EJECUCION'!$J$9:$J$1208,0)),0)-$AI1129))</f>
        <v/>
      </c>
      <c r="AK1129" s="10">
        <f>IF($A1129="","",$AI1129+$AJ1129)</f>
        <v/>
      </c>
      <c r="AL1129" s="6" t="n"/>
      <c r="AM1129" s="6" t="n"/>
      <c r="AN1129" s="6" t="n"/>
      <c r="AO1129" s="3">
        <f>IF($AN1129="","",HYPERLINK(p_ruta_base_checklists&amp;$AN1129,"abrir"))</f>
        <v/>
      </c>
      <c r="AP1129" s="6" t="n"/>
      <c r="AQ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IF($A1130="","",IFERROR(INDEX('AJUSTES'!$B$4:$B$303,MATCH($AQ1130,'AJUSTES'!$A$4:$A$303,0)),IF($K1130="","",$K1130)))</f>
        <v/>
      </c>
      <c r="N1130" s="3">
        <f>IF($A1130="","",IFERROR(INDEX('CAT_ESTADOS_ERP'!$B$4:$B$7,MATCH(IFERROR(INDEX('2_IMPORTAR_EJECUCION'!$C$9:$C$1208,MATCH($AQ1130,'2_IMPORTAR_EJECUCION'!$J$9:$J$1208,0)),""),'CAT_ESTADOS_ERP'!$A$4:$A$7,0)),"Pendiente"))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J1130="","",IFERROR(INDEX('CALENDARIO'!$C$15:$C$214,MATCH(TEXT($J1130,"yyyy-mm-dd")&amp;"|"&amp;$V1130&amp;"|"&amp;$W1130,'CALENDARIO'!$G$15:$G$214,0)),IFERROR(INDEX('CALENDARIO'!$C$15:$C$214,MATCH(TEXT($J1130,"yyyy-mm-dd")&amp;"|"&amp;$V1130&amp;"|",'CALENDARIO'!$G$15:$G$214,0)),IFERROR(INDEX('CALENDARIO'!$C$15:$C$214,MATCH(TEXT($J1130,"yyyy-mm-dd")&amp;"||",'CALENDARIO'!$G$15:$G$214,0)),INDEX(patronHabil,WEEKDAY($J1130,2))))))</f>
        <v/>
      </c>
      <c r="T1130" s="3">
        <f>IF($I1130="","",IFERROR(INDEX('CAT_TIPOS_OT'!$C$4:$C$7,MATCH($I1130,'CAT_TIPOS_OT'!$A$4:$A$7,0)),"sin_clasificar"))</f>
        <v/>
      </c>
      <c r="U1130" s="3">
        <f>IF($F1130="","",IFERROR(INDEX('CAT_CENTROS_COSTO'!$F$4:$F$13,MATCH($F1130,'CAT_CENTROS_COSTO'!$A$4:$A$13,0)),"(sin catálogo)"))</f>
        <v/>
      </c>
      <c r="V1130" s="3">
        <f>IF($F1130="","",IFERROR(INDEX('CAT_CENTROS_COSTO'!$D$4:$D$13,MATCH($F1130,'CAT_CENTROS_COSTO'!$A$4:$A$13,0)),"(sin catálogo)"))</f>
        <v/>
      </c>
      <c r="W1130" s="3">
        <f>IF($F1130="","",IF((IFERROR(INDEX('CAT_CENTROS_COSTO'!$E$4:$E$13,MATCH($F1130,'CAT_CENTROS_COSTO'!$A$4:$A$13,0)),""))&lt;&gt;"",IFERROR(INDEX('CAT_CENTROS_COSTO'!$E$4:$E$13,MATCH($F1130,'CAT_CENTROS_COSTO'!$A$4:$A$13,0)),""),$V1130))</f>
        <v/>
      </c>
      <c r="X1130" s="3">
        <f>IF($F1130="","",IFERROR(INDEX('CAT_CENTROS_COSTO'!$G$4:$G$13,MATCH($F1130,'CAT_CENTROS_COSTO'!$A$4:$A$13,0)),"(sin catálogo)"))</f>
        <v/>
      </c>
      <c r="Y1130" s="3">
        <f>IF($G1130="","",IFERROR(INDEX('CAT_PUESTOS'!$B$4:$B$8,MATCH($G1130,'CAT_PUESTOS'!$A$4:$A$8,0)),"(sin catálogo)"))</f>
        <v/>
      </c>
      <c r="Z1130" s="3">
        <f>IF($H1130="","",IFERROR(INDEX('CAT_ACTIVIDADES'!$B$4:$B$8,MATCH($H1130,'CAT_ACTIVIDADES'!$A$4:$A$8,0)),"(sin catálogo)"))</f>
        <v/>
      </c>
      <c r="AA1130" s="12">
        <f>IF($J1130="","",TODAY()-$J1130)</f>
        <v/>
      </c>
      <c r="AB1130" s="12">
        <f>IF($J1130="","",IF($J1130&lt;=TODAY(),COUNTIFS(cal_fechas,"&gt;="&amp;$J1130,cal_fechas,"&lt;"&amp;TODAY(),cal_habil,"sí"),-COUNTIFS(cal_fechas,"&gt;="&amp;TODAY(),cal_fechas,"&lt;"&amp;$J1130,cal_habil,"sí")))</f>
        <v/>
      </c>
      <c r="AC1130" s="3">
        <f>IF($AB1130="","",IF($AB1130&lt;0,"FUTURO",IF($AB1130&gt;p_dias_backlog_max,"BACKLOG","MES CORRIENTE")))</f>
        <v/>
      </c>
      <c r="AD1130" s="3">
        <f>IF($AB1130="",FALSE,AND($AB1130&gt;p_dias_backlog_min,$AB1130&lt;=p_dias_backlog_max))</f>
        <v/>
      </c>
      <c r="AE1130" s="6" t="n"/>
      <c r="AF1130" s="3">
        <f>IF($AE1130="","",IF((IFERROR(INDEX('ASIGNACIONES'!$F$4:$F$339,MATCH($O1130&amp;"|"&amp;$R1130&amp;"|"&amp;$AE1130,'ASIGNACIONES'!$J$4:$J$339,0)),""))=0,"",IFERROR(INDEX('ASIGNACIONES'!$F$4:$F$339,MATCH($O1130&amp;"|"&amp;$R1130&amp;"|"&amp;$AE1130,'ASIGNACIONES'!$J$4:$J$339,0)),"")))</f>
        <v/>
      </c>
      <c r="AG1130" s="13">
        <f>IF($AE1130="","",SUMIFS('ORDENES'!$M$4:$M$1203,'ORDENES'!$AE$4:$AE$1203,$AE1130,'ORDENES'!$O$4:$O$1203,$O1130,'ORDENES'!$R$4:$R$1203,$R1130))</f>
        <v/>
      </c>
      <c r="AH1130" s="13">
        <f>IF($AG1130="","",p_factor_productividad*IFERROR(INDEX('ASIGNACIONES'!$I$4:$I$339,MATCH($O1130&amp;"|"&amp;$R1130&amp;"|"&amp;$AE1130,'ASIGNACIONES'!$J$4:$J$339,0)),0)-$AG1130)</f>
        <v/>
      </c>
      <c r="AI1130" s="10">
        <f>IF($A1130="","",IFERROR(INDEX('2_IMPORTAR_EJECUCION'!$F$9:$F$1208,MATCH($AQ1130,'2_IMPORTAR_EJECUCION'!$J$9:$J$1208,0)),0))</f>
        <v/>
      </c>
      <c r="AJ1130" s="10">
        <f>IF($A1130="","",MAX(0,IFERROR(INDEX('2_IMPORTAR_EJECUCION'!$H$9:$H$1208,MATCH($AQ1130,'2_IMPORTAR_EJECUCION'!$J$9:$J$1208,0)),0)-$AI1130))</f>
        <v/>
      </c>
      <c r="AK1130" s="10">
        <f>IF($A1130="","",$AI1130+$AJ1130)</f>
        <v/>
      </c>
      <c r="AL1130" s="6" t="n"/>
      <c r="AM1130" s="6" t="n"/>
      <c r="AN1130" s="6" t="n"/>
      <c r="AO1130" s="3">
        <f>IF($AN1130="","",HYPERLINK(p_ruta_base_checklists&amp;$AN1130,"abrir"))</f>
        <v/>
      </c>
      <c r="AP1130" s="6" t="n"/>
      <c r="AQ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IF($A1131="","",IFERROR(INDEX('AJUSTES'!$B$4:$B$303,MATCH($AQ1131,'AJUSTES'!$A$4:$A$303,0)),IF($K1131="","",$K1131)))</f>
        <v/>
      </c>
      <c r="N1131" s="3">
        <f>IF($A1131="","",IFERROR(INDEX('CAT_ESTADOS_ERP'!$B$4:$B$7,MATCH(IFERROR(INDEX('2_IMPORTAR_EJECUCION'!$C$9:$C$1208,MATCH($AQ1131,'2_IMPORTAR_EJECUCION'!$J$9:$J$1208,0)),""),'CAT_ESTADOS_ERP'!$A$4:$A$7,0)),"Pendiente"))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J1131="","",IFERROR(INDEX('CALENDARIO'!$C$15:$C$214,MATCH(TEXT($J1131,"yyyy-mm-dd")&amp;"|"&amp;$V1131&amp;"|"&amp;$W1131,'CALENDARIO'!$G$15:$G$214,0)),IFERROR(INDEX('CALENDARIO'!$C$15:$C$214,MATCH(TEXT($J1131,"yyyy-mm-dd")&amp;"|"&amp;$V1131&amp;"|",'CALENDARIO'!$G$15:$G$214,0)),IFERROR(INDEX('CALENDARIO'!$C$15:$C$214,MATCH(TEXT($J1131,"yyyy-mm-dd")&amp;"||",'CALENDARIO'!$G$15:$G$214,0)),INDEX(patronHabil,WEEKDAY($J1131,2))))))</f>
        <v/>
      </c>
      <c r="T1131" s="3">
        <f>IF($I1131="","",IFERROR(INDEX('CAT_TIPOS_OT'!$C$4:$C$7,MATCH($I1131,'CAT_TIPOS_OT'!$A$4:$A$7,0)),"sin_clasificar"))</f>
        <v/>
      </c>
      <c r="U1131" s="3">
        <f>IF($F1131="","",IFERROR(INDEX('CAT_CENTROS_COSTO'!$F$4:$F$13,MATCH($F1131,'CAT_CENTROS_COSTO'!$A$4:$A$13,0)),"(sin catálogo)"))</f>
        <v/>
      </c>
      <c r="V1131" s="3">
        <f>IF($F1131="","",IFERROR(INDEX('CAT_CENTROS_COSTO'!$D$4:$D$13,MATCH($F1131,'CAT_CENTROS_COSTO'!$A$4:$A$13,0)),"(sin catálogo)"))</f>
        <v/>
      </c>
      <c r="W1131" s="3">
        <f>IF($F1131="","",IF((IFERROR(INDEX('CAT_CENTROS_COSTO'!$E$4:$E$13,MATCH($F1131,'CAT_CENTROS_COSTO'!$A$4:$A$13,0)),""))&lt;&gt;"",IFERROR(INDEX('CAT_CENTROS_COSTO'!$E$4:$E$13,MATCH($F1131,'CAT_CENTROS_COSTO'!$A$4:$A$13,0)),""),$V1131))</f>
        <v/>
      </c>
      <c r="X1131" s="3">
        <f>IF($F1131="","",IFERROR(INDEX('CAT_CENTROS_COSTO'!$G$4:$G$13,MATCH($F1131,'CAT_CENTROS_COSTO'!$A$4:$A$13,0)),"(sin catálogo)"))</f>
        <v/>
      </c>
      <c r="Y1131" s="3">
        <f>IF($G1131="","",IFERROR(INDEX('CAT_PUESTOS'!$B$4:$B$8,MATCH($G1131,'CAT_PUESTOS'!$A$4:$A$8,0)),"(sin catálogo)"))</f>
        <v/>
      </c>
      <c r="Z1131" s="3">
        <f>IF($H1131="","",IFERROR(INDEX('CAT_ACTIVIDADES'!$B$4:$B$8,MATCH($H1131,'CAT_ACTIVIDADES'!$A$4:$A$8,0)),"(sin catálogo)"))</f>
        <v/>
      </c>
      <c r="AA1131" s="12">
        <f>IF($J1131="","",TODAY()-$J1131)</f>
        <v/>
      </c>
      <c r="AB1131" s="12">
        <f>IF($J1131="","",IF($J1131&lt;=TODAY(),COUNTIFS(cal_fechas,"&gt;="&amp;$J1131,cal_fechas,"&lt;"&amp;TODAY(),cal_habil,"sí"),-COUNTIFS(cal_fechas,"&gt;="&amp;TODAY(),cal_fechas,"&lt;"&amp;$J1131,cal_habil,"sí")))</f>
        <v/>
      </c>
      <c r="AC1131" s="3">
        <f>IF($AB1131="","",IF($AB1131&lt;0,"FUTURO",IF($AB1131&gt;p_dias_backlog_max,"BACKLOG","MES CORRIENTE")))</f>
        <v/>
      </c>
      <c r="AD1131" s="3">
        <f>IF($AB1131="",FALSE,AND($AB1131&gt;p_dias_backlog_min,$AB1131&lt;=p_dias_backlog_max))</f>
        <v/>
      </c>
      <c r="AE1131" s="6" t="n"/>
      <c r="AF1131" s="3">
        <f>IF($AE1131="","",IF((IFERROR(INDEX('ASIGNACIONES'!$F$4:$F$339,MATCH($O1131&amp;"|"&amp;$R1131&amp;"|"&amp;$AE1131,'ASIGNACIONES'!$J$4:$J$339,0)),""))=0,"",IFERROR(INDEX('ASIGNACIONES'!$F$4:$F$339,MATCH($O1131&amp;"|"&amp;$R1131&amp;"|"&amp;$AE1131,'ASIGNACIONES'!$J$4:$J$339,0)),"")))</f>
        <v/>
      </c>
      <c r="AG1131" s="13">
        <f>IF($AE1131="","",SUMIFS('ORDENES'!$M$4:$M$1203,'ORDENES'!$AE$4:$AE$1203,$AE1131,'ORDENES'!$O$4:$O$1203,$O1131,'ORDENES'!$R$4:$R$1203,$R1131))</f>
        <v/>
      </c>
      <c r="AH1131" s="13">
        <f>IF($AG1131="","",p_factor_productividad*IFERROR(INDEX('ASIGNACIONES'!$I$4:$I$339,MATCH($O1131&amp;"|"&amp;$R1131&amp;"|"&amp;$AE1131,'ASIGNACIONES'!$J$4:$J$339,0)),0)-$AG1131)</f>
        <v/>
      </c>
      <c r="AI1131" s="10">
        <f>IF($A1131="","",IFERROR(INDEX('2_IMPORTAR_EJECUCION'!$F$9:$F$1208,MATCH($AQ1131,'2_IMPORTAR_EJECUCION'!$J$9:$J$1208,0)),0))</f>
        <v/>
      </c>
      <c r="AJ1131" s="10">
        <f>IF($A1131="","",MAX(0,IFERROR(INDEX('2_IMPORTAR_EJECUCION'!$H$9:$H$1208,MATCH($AQ1131,'2_IMPORTAR_EJECUCION'!$J$9:$J$1208,0)),0)-$AI1131))</f>
        <v/>
      </c>
      <c r="AK1131" s="10">
        <f>IF($A1131="","",$AI1131+$AJ1131)</f>
        <v/>
      </c>
      <c r="AL1131" s="6" t="n"/>
      <c r="AM1131" s="6" t="n"/>
      <c r="AN1131" s="6" t="n"/>
      <c r="AO1131" s="3">
        <f>IF($AN1131="","",HYPERLINK(p_ruta_base_checklists&amp;$AN1131,"abrir"))</f>
        <v/>
      </c>
      <c r="AP1131" s="6" t="n"/>
      <c r="AQ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IF($A1132="","",IFERROR(INDEX('AJUSTES'!$B$4:$B$303,MATCH($AQ1132,'AJUSTES'!$A$4:$A$303,0)),IF($K1132="","",$K1132)))</f>
        <v/>
      </c>
      <c r="N1132" s="3">
        <f>IF($A1132="","",IFERROR(INDEX('CAT_ESTADOS_ERP'!$B$4:$B$7,MATCH(IFERROR(INDEX('2_IMPORTAR_EJECUCION'!$C$9:$C$1208,MATCH($AQ1132,'2_IMPORTAR_EJECUCION'!$J$9:$J$1208,0)),""),'CAT_ESTADOS_ERP'!$A$4:$A$7,0)),"Pendiente"))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J1132="","",IFERROR(INDEX('CALENDARIO'!$C$15:$C$214,MATCH(TEXT($J1132,"yyyy-mm-dd")&amp;"|"&amp;$V1132&amp;"|"&amp;$W1132,'CALENDARIO'!$G$15:$G$214,0)),IFERROR(INDEX('CALENDARIO'!$C$15:$C$214,MATCH(TEXT($J1132,"yyyy-mm-dd")&amp;"|"&amp;$V1132&amp;"|",'CALENDARIO'!$G$15:$G$214,0)),IFERROR(INDEX('CALENDARIO'!$C$15:$C$214,MATCH(TEXT($J1132,"yyyy-mm-dd")&amp;"||",'CALENDARIO'!$G$15:$G$214,0)),INDEX(patronHabil,WEEKDAY($J1132,2))))))</f>
        <v/>
      </c>
      <c r="T1132" s="3">
        <f>IF($I1132="","",IFERROR(INDEX('CAT_TIPOS_OT'!$C$4:$C$7,MATCH($I1132,'CAT_TIPOS_OT'!$A$4:$A$7,0)),"sin_clasificar"))</f>
        <v/>
      </c>
      <c r="U1132" s="3">
        <f>IF($F1132="","",IFERROR(INDEX('CAT_CENTROS_COSTO'!$F$4:$F$13,MATCH($F1132,'CAT_CENTROS_COSTO'!$A$4:$A$13,0)),"(sin catálogo)"))</f>
        <v/>
      </c>
      <c r="V1132" s="3">
        <f>IF($F1132="","",IFERROR(INDEX('CAT_CENTROS_COSTO'!$D$4:$D$13,MATCH($F1132,'CAT_CENTROS_COSTO'!$A$4:$A$13,0)),"(sin catálogo)"))</f>
        <v/>
      </c>
      <c r="W1132" s="3">
        <f>IF($F1132="","",IF((IFERROR(INDEX('CAT_CENTROS_COSTO'!$E$4:$E$13,MATCH($F1132,'CAT_CENTROS_COSTO'!$A$4:$A$13,0)),""))&lt;&gt;"",IFERROR(INDEX('CAT_CENTROS_COSTO'!$E$4:$E$13,MATCH($F1132,'CAT_CENTROS_COSTO'!$A$4:$A$13,0)),""),$V1132))</f>
        <v/>
      </c>
      <c r="X1132" s="3">
        <f>IF($F1132="","",IFERROR(INDEX('CAT_CENTROS_COSTO'!$G$4:$G$13,MATCH($F1132,'CAT_CENTROS_COSTO'!$A$4:$A$13,0)),"(sin catálogo)"))</f>
        <v/>
      </c>
      <c r="Y1132" s="3">
        <f>IF($G1132="","",IFERROR(INDEX('CAT_PUESTOS'!$B$4:$B$8,MATCH($G1132,'CAT_PUESTOS'!$A$4:$A$8,0)),"(sin catálogo)"))</f>
        <v/>
      </c>
      <c r="Z1132" s="3">
        <f>IF($H1132="","",IFERROR(INDEX('CAT_ACTIVIDADES'!$B$4:$B$8,MATCH($H1132,'CAT_ACTIVIDADES'!$A$4:$A$8,0)),"(sin catálogo)"))</f>
        <v/>
      </c>
      <c r="AA1132" s="12">
        <f>IF($J1132="","",TODAY()-$J1132)</f>
        <v/>
      </c>
      <c r="AB1132" s="12">
        <f>IF($J1132="","",IF($J1132&lt;=TODAY(),COUNTIFS(cal_fechas,"&gt;="&amp;$J1132,cal_fechas,"&lt;"&amp;TODAY(),cal_habil,"sí"),-COUNTIFS(cal_fechas,"&gt;="&amp;TODAY(),cal_fechas,"&lt;"&amp;$J1132,cal_habil,"sí")))</f>
        <v/>
      </c>
      <c r="AC1132" s="3">
        <f>IF($AB1132="","",IF($AB1132&lt;0,"FUTURO",IF($AB1132&gt;p_dias_backlog_max,"BACKLOG","MES CORRIENTE")))</f>
        <v/>
      </c>
      <c r="AD1132" s="3">
        <f>IF($AB1132="",FALSE,AND($AB1132&gt;p_dias_backlog_min,$AB1132&lt;=p_dias_backlog_max))</f>
        <v/>
      </c>
      <c r="AE1132" s="6" t="n"/>
      <c r="AF1132" s="3">
        <f>IF($AE1132="","",IF((IFERROR(INDEX('ASIGNACIONES'!$F$4:$F$339,MATCH($O1132&amp;"|"&amp;$R1132&amp;"|"&amp;$AE1132,'ASIGNACIONES'!$J$4:$J$339,0)),""))=0,"",IFERROR(INDEX('ASIGNACIONES'!$F$4:$F$339,MATCH($O1132&amp;"|"&amp;$R1132&amp;"|"&amp;$AE1132,'ASIGNACIONES'!$J$4:$J$339,0)),"")))</f>
        <v/>
      </c>
      <c r="AG1132" s="13">
        <f>IF($AE1132="","",SUMIFS('ORDENES'!$M$4:$M$1203,'ORDENES'!$AE$4:$AE$1203,$AE1132,'ORDENES'!$O$4:$O$1203,$O1132,'ORDENES'!$R$4:$R$1203,$R1132))</f>
        <v/>
      </c>
      <c r="AH1132" s="13">
        <f>IF($AG1132="","",p_factor_productividad*IFERROR(INDEX('ASIGNACIONES'!$I$4:$I$339,MATCH($O1132&amp;"|"&amp;$R1132&amp;"|"&amp;$AE1132,'ASIGNACIONES'!$J$4:$J$339,0)),0)-$AG1132)</f>
        <v/>
      </c>
      <c r="AI1132" s="10">
        <f>IF($A1132="","",IFERROR(INDEX('2_IMPORTAR_EJECUCION'!$F$9:$F$1208,MATCH($AQ1132,'2_IMPORTAR_EJECUCION'!$J$9:$J$1208,0)),0))</f>
        <v/>
      </c>
      <c r="AJ1132" s="10">
        <f>IF($A1132="","",MAX(0,IFERROR(INDEX('2_IMPORTAR_EJECUCION'!$H$9:$H$1208,MATCH($AQ1132,'2_IMPORTAR_EJECUCION'!$J$9:$J$1208,0)),0)-$AI1132))</f>
        <v/>
      </c>
      <c r="AK1132" s="10">
        <f>IF($A1132="","",$AI1132+$AJ1132)</f>
        <v/>
      </c>
      <c r="AL1132" s="6" t="n"/>
      <c r="AM1132" s="6" t="n"/>
      <c r="AN1132" s="6" t="n"/>
      <c r="AO1132" s="3">
        <f>IF($AN1132="","",HYPERLINK(p_ruta_base_checklists&amp;$AN1132,"abrir"))</f>
        <v/>
      </c>
      <c r="AP1132" s="6" t="n"/>
      <c r="AQ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IF($A1133="","",IFERROR(INDEX('AJUSTES'!$B$4:$B$303,MATCH($AQ1133,'AJUSTES'!$A$4:$A$303,0)),IF($K1133="","",$K1133)))</f>
        <v/>
      </c>
      <c r="N1133" s="3">
        <f>IF($A1133="","",IFERROR(INDEX('CAT_ESTADOS_ERP'!$B$4:$B$7,MATCH(IFERROR(INDEX('2_IMPORTAR_EJECUCION'!$C$9:$C$1208,MATCH($AQ1133,'2_IMPORTAR_EJECUCION'!$J$9:$J$1208,0)),""),'CAT_ESTADOS_ERP'!$A$4:$A$7,0)),"Pendiente"))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J1133="","",IFERROR(INDEX('CALENDARIO'!$C$15:$C$214,MATCH(TEXT($J1133,"yyyy-mm-dd")&amp;"|"&amp;$V1133&amp;"|"&amp;$W1133,'CALENDARIO'!$G$15:$G$214,0)),IFERROR(INDEX('CALENDARIO'!$C$15:$C$214,MATCH(TEXT($J1133,"yyyy-mm-dd")&amp;"|"&amp;$V1133&amp;"|",'CALENDARIO'!$G$15:$G$214,0)),IFERROR(INDEX('CALENDARIO'!$C$15:$C$214,MATCH(TEXT($J1133,"yyyy-mm-dd")&amp;"||",'CALENDARIO'!$G$15:$G$214,0)),INDEX(patronHabil,WEEKDAY($J1133,2))))))</f>
        <v/>
      </c>
      <c r="T1133" s="3">
        <f>IF($I1133="","",IFERROR(INDEX('CAT_TIPOS_OT'!$C$4:$C$7,MATCH($I1133,'CAT_TIPOS_OT'!$A$4:$A$7,0)),"sin_clasificar"))</f>
        <v/>
      </c>
      <c r="U1133" s="3">
        <f>IF($F1133="","",IFERROR(INDEX('CAT_CENTROS_COSTO'!$F$4:$F$13,MATCH($F1133,'CAT_CENTROS_COSTO'!$A$4:$A$13,0)),"(sin catálogo)"))</f>
        <v/>
      </c>
      <c r="V1133" s="3">
        <f>IF($F1133="","",IFERROR(INDEX('CAT_CENTROS_COSTO'!$D$4:$D$13,MATCH($F1133,'CAT_CENTROS_COSTO'!$A$4:$A$13,0)),"(sin catálogo)"))</f>
        <v/>
      </c>
      <c r="W1133" s="3">
        <f>IF($F1133="","",IF((IFERROR(INDEX('CAT_CENTROS_COSTO'!$E$4:$E$13,MATCH($F1133,'CAT_CENTROS_COSTO'!$A$4:$A$13,0)),""))&lt;&gt;"",IFERROR(INDEX('CAT_CENTROS_COSTO'!$E$4:$E$13,MATCH($F1133,'CAT_CENTROS_COSTO'!$A$4:$A$13,0)),""),$V1133))</f>
        <v/>
      </c>
      <c r="X1133" s="3">
        <f>IF($F1133="","",IFERROR(INDEX('CAT_CENTROS_COSTO'!$G$4:$G$13,MATCH($F1133,'CAT_CENTROS_COSTO'!$A$4:$A$13,0)),"(sin catálogo)"))</f>
        <v/>
      </c>
      <c r="Y1133" s="3">
        <f>IF($G1133="","",IFERROR(INDEX('CAT_PUESTOS'!$B$4:$B$8,MATCH($G1133,'CAT_PUESTOS'!$A$4:$A$8,0)),"(sin catálogo)"))</f>
        <v/>
      </c>
      <c r="Z1133" s="3">
        <f>IF($H1133="","",IFERROR(INDEX('CAT_ACTIVIDADES'!$B$4:$B$8,MATCH($H1133,'CAT_ACTIVIDADES'!$A$4:$A$8,0)),"(sin catálogo)"))</f>
        <v/>
      </c>
      <c r="AA1133" s="12">
        <f>IF($J1133="","",TODAY()-$J1133)</f>
        <v/>
      </c>
      <c r="AB1133" s="12">
        <f>IF($J1133="","",IF($J1133&lt;=TODAY(),COUNTIFS(cal_fechas,"&gt;="&amp;$J1133,cal_fechas,"&lt;"&amp;TODAY(),cal_habil,"sí"),-COUNTIFS(cal_fechas,"&gt;="&amp;TODAY(),cal_fechas,"&lt;"&amp;$J1133,cal_habil,"sí")))</f>
        <v/>
      </c>
      <c r="AC1133" s="3">
        <f>IF($AB1133="","",IF($AB1133&lt;0,"FUTURO",IF($AB1133&gt;p_dias_backlog_max,"BACKLOG","MES CORRIENTE")))</f>
        <v/>
      </c>
      <c r="AD1133" s="3">
        <f>IF($AB1133="",FALSE,AND($AB1133&gt;p_dias_backlog_min,$AB1133&lt;=p_dias_backlog_max))</f>
        <v/>
      </c>
      <c r="AE1133" s="6" t="n"/>
      <c r="AF1133" s="3">
        <f>IF($AE1133="","",IF((IFERROR(INDEX('ASIGNACIONES'!$F$4:$F$339,MATCH($O1133&amp;"|"&amp;$R1133&amp;"|"&amp;$AE1133,'ASIGNACIONES'!$J$4:$J$339,0)),""))=0,"",IFERROR(INDEX('ASIGNACIONES'!$F$4:$F$339,MATCH($O1133&amp;"|"&amp;$R1133&amp;"|"&amp;$AE1133,'ASIGNACIONES'!$J$4:$J$339,0)),"")))</f>
        <v/>
      </c>
      <c r="AG1133" s="13">
        <f>IF($AE1133="","",SUMIFS('ORDENES'!$M$4:$M$1203,'ORDENES'!$AE$4:$AE$1203,$AE1133,'ORDENES'!$O$4:$O$1203,$O1133,'ORDENES'!$R$4:$R$1203,$R1133))</f>
        <v/>
      </c>
      <c r="AH1133" s="13">
        <f>IF($AG1133="","",p_factor_productividad*IFERROR(INDEX('ASIGNACIONES'!$I$4:$I$339,MATCH($O1133&amp;"|"&amp;$R1133&amp;"|"&amp;$AE1133,'ASIGNACIONES'!$J$4:$J$339,0)),0)-$AG1133)</f>
        <v/>
      </c>
      <c r="AI1133" s="10">
        <f>IF($A1133="","",IFERROR(INDEX('2_IMPORTAR_EJECUCION'!$F$9:$F$1208,MATCH($AQ1133,'2_IMPORTAR_EJECUCION'!$J$9:$J$1208,0)),0))</f>
        <v/>
      </c>
      <c r="AJ1133" s="10">
        <f>IF($A1133="","",MAX(0,IFERROR(INDEX('2_IMPORTAR_EJECUCION'!$H$9:$H$1208,MATCH($AQ1133,'2_IMPORTAR_EJECUCION'!$J$9:$J$1208,0)),0)-$AI1133))</f>
        <v/>
      </c>
      <c r="AK1133" s="10">
        <f>IF($A1133="","",$AI1133+$AJ1133)</f>
        <v/>
      </c>
      <c r="AL1133" s="6" t="n"/>
      <c r="AM1133" s="6" t="n"/>
      <c r="AN1133" s="6" t="n"/>
      <c r="AO1133" s="3">
        <f>IF($AN1133="","",HYPERLINK(p_ruta_base_checklists&amp;$AN1133,"abrir"))</f>
        <v/>
      </c>
      <c r="AP1133" s="6" t="n"/>
      <c r="AQ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IF($A1134="","",IFERROR(INDEX('AJUSTES'!$B$4:$B$303,MATCH($AQ1134,'AJUSTES'!$A$4:$A$303,0)),IF($K1134="","",$K1134)))</f>
        <v/>
      </c>
      <c r="N1134" s="3">
        <f>IF($A1134="","",IFERROR(INDEX('CAT_ESTADOS_ERP'!$B$4:$B$7,MATCH(IFERROR(INDEX('2_IMPORTAR_EJECUCION'!$C$9:$C$1208,MATCH($AQ1134,'2_IMPORTAR_EJECUCION'!$J$9:$J$1208,0)),""),'CAT_ESTADOS_ERP'!$A$4:$A$7,0)),"Pendiente"))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J1134="","",IFERROR(INDEX('CALENDARIO'!$C$15:$C$214,MATCH(TEXT($J1134,"yyyy-mm-dd")&amp;"|"&amp;$V1134&amp;"|"&amp;$W1134,'CALENDARIO'!$G$15:$G$214,0)),IFERROR(INDEX('CALENDARIO'!$C$15:$C$214,MATCH(TEXT($J1134,"yyyy-mm-dd")&amp;"|"&amp;$V1134&amp;"|",'CALENDARIO'!$G$15:$G$214,0)),IFERROR(INDEX('CALENDARIO'!$C$15:$C$214,MATCH(TEXT($J1134,"yyyy-mm-dd")&amp;"||",'CALENDARIO'!$G$15:$G$214,0)),INDEX(patronHabil,WEEKDAY($J1134,2))))))</f>
        <v/>
      </c>
      <c r="T1134" s="3">
        <f>IF($I1134="","",IFERROR(INDEX('CAT_TIPOS_OT'!$C$4:$C$7,MATCH($I1134,'CAT_TIPOS_OT'!$A$4:$A$7,0)),"sin_clasificar"))</f>
        <v/>
      </c>
      <c r="U1134" s="3">
        <f>IF($F1134="","",IFERROR(INDEX('CAT_CENTROS_COSTO'!$F$4:$F$13,MATCH($F1134,'CAT_CENTROS_COSTO'!$A$4:$A$13,0)),"(sin catálogo)"))</f>
        <v/>
      </c>
      <c r="V1134" s="3">
        <f>IF($F1134="","",IFERROR(INDEX('CAT_CENTROS_COSTO'!$D$4:$D$13,MATCH($F1134,'CAT_CENTROS_COSTO'!$A$4:$A$13,0)),"(sin catálogo)"))</f>
        <v/>
      </c>
      <c r="W1134" s="3">
        <f>IF($F1134="","",IF((IFERROR(INDEX('CAT_CENTROS_COSTO'!$E$4:$E$13,MATCH($F1134,'CAT_CENTROS_COSTO'!$A$4:$A$13,0)),""))&lt;&gt;"",IFERROR(INDEX('CAT_CENTROS_COSTO'!$E$4:$E$13,MATCH($F1134,'CAT_CENTROS_COSTO'!$A$4:$A$13,0)),""),$V1134))</f>
        <v/>
      </c>
      <c r="X1134" s="3">
        <f>IF($F1134="","",IFERROR(INDEX('CAT_CENTROS_COSTO'!$G$4:$G$13,MATCH($F1134,'CAT_CENTROS_COSTO'!$A$4:$A$13,0)),"(sin catálogo)"))</f>
        <v/>
      </c>
      <c r="Y1134" s="3">
        <f>IF($G1134="","",IFERROR(INDEX('CAT_PUESTOS'!$B$4:$B$8,MATCH($G1134,'CAT_PUESTOS'!$A$4:$A$8,0)),"(sin catálogo)"))</f>
        <v/>
      </c>
      <c r="Z1134" s="3">
        <f>IF($H1134="","",IFERROR(INDEX('CAT_ACTIVIDADES'!$B$4:$B$8,MATCH($H1134,'CAT_ACTIVIDADES'!$A$4:$A$8,0)),"(sin catálogo)"))</f>
        <v/>
      </c>
      <c r="AA1134" s="12">
        <f>IF($J1134="","",TODAY()-$J1134)</f>
        <v/>
      </c>
      <c r="AB1134" s="12">
        <f>IF($J1134="","",IF($J1134&lt;=TODAY(),COUNTIFS(cal_fechas,"&gt;="&amp;$J1134,cal_fechas,"&lt;"&amp;TODAY(),cal_habil,"sí"),-COUNTIFS(cal_fechas,"&gt;="&amp;TODAY(),cal_fechas,"&lt;"&amp;$J1134,cal_habil,"sí")))</f>
        <v/>
      </c>
      <c r="AC1134" s="3">
        <f>IF($AB1134="","",IF($AB1134&lt;0,"FUTURO",IF($AB1134&gt;p_dias_backlog_max,"BACKLOG","MES CORRIENTE")))</f>
        <v/>
      </c>
      <c r="AD1134" s="3">
        <f>IF($AB1134="",FALSE,AND($AB1134&gt;p_dias_backlog_min,$AB1134&lt;=p_dias_backlog_max))</f>
        <v/>
      </c>
      <c r="AE1134" s="6" t="n"/>
      <c r="AF1134" s="3">
        <f>IF($AE1134="","",IF((IFERROR(INDEX('ASIGNACIONES'!$F$4:$F$339,MATCH($O1134&amp;"|"&amp;$R1134&amp;"|"&amp;$AE1134,'ASIGNACIONES'!$J$4:$J$339,0)),""))=0,"",IFERROR(INDEX('ASIGNACIONES'!$F$4:$F$339,MATCH($O1134&amp;"|"&amp;$R1134&amp;"|"&amp;$AE1134,'ASIGNACIONES'!$J$4:$J$339,0)),"")))</f>
        <v/>
      </c>
      <c r="AG1134" s="13">
        <f>IF($AE1134="","",SUMIFS('ORDENES'!$M$4:$M$1203,'ORDENES'!$AE$4:$AE$1203,$AE1134,'ORDENES'!$O$4:$O$1203,$O1134,'ORDENES'!$R$4:$R$1203,$R1134))</f>
        <v/>
      </c>
      <c r="AH1134" s="13">
        <f>IF($AG1134="","",p_factor_productividad*IFERROR(INDEX('ASIGNACIONES'!$I$4:$I$339,MATCH($O1134&amp;"|"&amp;$R1134&amp;"|"&amp;$AE1134,'ASIGNACIONES'!$J$4:$J$339,0)),0)-$AG1134)</f>
        <v/>
      </c>
      <c r="AI1134" s="10">
        <f>IF($A1134="","",IFERROR(INDEX('2_IMPORTAR_EJECUCION'!$F$9:$F$1208,MATCH($AQ1134,'2_IMPORTAR_EJECUCION'!$J$9:$J$1208,0)),0))</f>
        <v/>
      </c>
      <c r="AJ1134" s="10">
        <f>IF($A1134="","",MAX(0,IFERROR(INDEX('2_IMPORTAR_EJECUCION'!$H$9:$H$1208,MATCH($AQ1134,'2_IMPORTAR_EJECUCION'!$J$9:$J$1208,0)),0)-$AI1134))</f>
        <v/>
      </c>
      <c r="AK1134" s="10">
        <f>IF($A1134="","",$AI1134+$AJ1134)</f>
        <v/>
      </c>
      <c r="AL1134" s="6" t="n"/>
      <c r="AM1134" s="6" t="n"/>
      <c r="AN1134" s="6" t="n"/>
      <c r="AO1134" s="3">
        <f>IF($AN1134="","",HYPERLINK(p_ruta_base_checklists&amp;$AN1134,"abrir"))</f>
        <v/>
      </c>
      <c r="AP1134" s="6" t="n"/>
      <c r="AQ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IF($A1135="","",IFERROR(INDEX('AJUSTES'!$B$4:$B$303,MATCH($AQ1135,'AJUSTES'!$A$4:$A$303,0)),IF($K1135="","",$K1135)))</f>
        <v/>
      </c>
      <c r="N1135" s="3">
        <f>IF($A1135="","",IFERROR(INDEX('CAT_ESTADOS_ERP'!$B$4:$B$7,MATCH(IFERROR(INDEX('2_IMPORTAR_EJECUCION'!$C$9:$C$1208,MATCH($AQ1135,'2_IMPORTAR_EJECUCION'!$J$9:$J$1208,0)),""),'CAT_ESTADOS_ERP'!$A$4:$A$7,0)),"Pendiente"))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J1135="","",IFERROR(INDEX('CALENDARIO'!$C$15:$C$214,MATCH(TEXT($J1135,"yyyy-mm-dd")&amp;"|"&amp;$V1135&amp;"|"&amp;$W1135,'CALENDARIO'!$G$15:$G$214,0)),IFERROR(INDEX('CALENDARIO'!$C$15:$C$214,MATCH(TEXT($J1135,"yyyy-mm-dd")&amp;"|"&amp;$V1135&amp;"|",'CALENDARIO'!$G$15:$G$214,0)),IFERROR(INDEX('CALENDARIO'!$C$15:$C$214,MATCH(TEXT($J1135,"yyyy-mm-dd")&amp;"||",'CALENDARIO'!$G$15:$G$214,0)),INDEX(patronHabil,WEEKDAY($J1135,2))))))</f>
        <v/>
      </c>
      <c r="T1135" s="3">
        <f>IF($I1135="","",IFERROR(INDEX('CAT_TIPOS_OT'!$C$4:$C$7,MATCH($I1135,'CAT_TIPOS_OT'!$A$4:$A$7,0)),"sin_clasificar"))</f>
        <v/>
      </c>
      <c r="U1135" s="3">
        <f>IF($F1135="","",IFERROR(INDEX('CAT_CENTROS_COSTO'!$F$4:$F$13,MATCH($F1135,'CAT_CENTROS_COSTO'!$A$4:$A$13,0)),"(sin catálogo)"))</f>
        <v/>
      </c>
      <c r="V1135" s="3">
        <f>IF($F1135="","",IFERROR(INDEX('CAT_CENTROS_COSTO'!$D$4:$D$13,MATCH($F1135,'CAT_CENTROS_COSTO'!$A$4:$A$13,0)),"(sin catálogo)"))</f>
        <v/>
      </c>
      <c r="W1135" s="3">
        <f>IF($F1135="","",IF((IFERROR(INDEX('CAT_CENTROS_COSTO'!$E$4:$E$13,MATCH($F1135,'CAT_CENTROS_COSTO'!$A$4:$A$13,0)),""))&lt;&gt;"",IFERROR(INDEX('CAT_CENTROS_COSTO'!$E$4:$E$13,MATCH($F1135,'CAT_CENTROS_COSTO'!$A$4:$A$13,0)),""),$V1135))</f>
        <v/>
      </c>
      <c r="X1135" s="3">
        <f>IF($F1135="","",IFERROR(INDEX('CAT_CENTROS_COSTO'!$G$4:$G$13,MATCH($F1135,'CAT_CENTROS_COSTO'!$A$4:$A$13,0)),"(sin catálogo)"))</f>
        <v/>
      </c>
      <c r="Y1135" s="3">
        <f>IF($G1135="","",IFERROR(INDEX('CAT_PUESTOS'!$B$4:$B$8,MATCH($G1135,'CAT_PUESTOS'!$A$4:$A$8,0)),"(sin catálogo)"))</f>
        <v/>
      </c>
      <c r="Z1135" s="3">
        <f>IF($H1135="","",IFERROR(INDEX('CAT_ACTIVIDADES'!$B$4:$B$8,MATCH($H1135,'CAT_ACTIVIDADES'!$A$4:$A$8,0)),"(sin catálogo)"))</f>
        <v/>
      </c>
      <c r="AA1135" s="12">
        <f>IF($J1135="","",TODAY()-$J1135)</f>
        <v/>
      </c>
      <c r="AB1135" s="12">
        <f>IF($J1135="","",IF($J1135&lt;=TODAY(),COUNTIFS(cal_fechas,"&gt;="&amp;$J1135,cal_fechas,"&lt;"&amp;TODAY(),cal_habil,"sí"),-COUNTIFS(cal_fechas,"&gt;="&amp;TODAY(),cal_fechas,"&lt;"&amp;$J1135,cal_habil,"sí")))</f>
        <v/>
      </c>
      <c r="AC1135" s="3">
        <f>IF($AB1135="","",IF($AB1135&lt;0,"FUTURO",IF($AB1135&gt;p_dias_backlog_max,"BACKLOG","MES CORRIENTE")))</f>
        <v/>
      </c>
      <c r="AD1135" s="3">
        <f>IF($AB1135="",FALSE,AND($AB1135&gt;p_dias_backlog_min,$AB1135&lt;=p_dias_backlog_max))</f>
        <v/>
      </c>
      <c r="AE1135" s="6" t="n"/>
      <c r="AF1135" s="3">
        <f>IF($AE1135="","",IF((IFERROR(INDEX('ASIGNACIONES'!$F$4:$F$339,MATCH($O1135&amp;"|"&amp;$R1135&amp;"|"&amp;$AE1135,'ASIGNACIONES'!$J$4:$J$339,0)),""))=0,"",IFERROR(INDEX('ASIGNACIONES'!$F$4:$F$339,MATCH($O1135&amp;"|"&amp;$R1135&amp;"|"&amp;$AE1135,'ASIGNACIONES'!$J$4:$J$339,0)),"")))</f>
        <v/>
      </c>
      <c r="AG1135" s="13">
        <f>IF($AE1135="","",SUMIFS('ORDENES'!$M$4:$M$1203,'ORDENES'!$AE$4:$AE$1203,$AE1135,'ORDENES'!$O$4:$O$1203,$O1135,'ORDENES'!$R$4:$R$1203,$R1135))</f>
        <v/>
      </c>
      <c r="AH1135" s="13">
        <f>IF($AG1135="","",p_factor_productividad*IFERROR(INDEX('ASIGNACIONES'!$I$4:$I$339,MATCH($O1135&amp;"|"&amp;$R1135&amp;"|"&amp;$AE1135,'ASIGNACIONES'!$J$4:$J$339,0)),0)-$AG1135)</f>
        <v/>
      </c>
      <c r="AI1135" s="10">
        <f>IF($A1135="","",IFERROR(INDEX('2_IMPORTAR_EJECUCION'!$F$9:$F$1208,MATCH($AQ1135,'2_IMPORTAR_EJECUCION'!$J$9:$J$1208,0)),0))</f>
        <v/>
      </c>
      <c r="AJ1135" s="10">
        <f>IF($A1135="","",MAX(0,IFERROR(INDEX('2_IMPORTAR_EJECUCION'!$H$9:$H$1208,MATCH($AQ1135,'2_IMPORTAR_EJECUCION'!$J$9:$J$1208,0)),0)-$AI1135))</f>
        <v/>
      </c>
      <c r="AK1135" s="10">
        <f>IF($A1135="","",$AI1135+$AJ1135)</f>
        <v/>
      </c>
      <c r="AL1135" s="6" t="n"/>
      <c r="AM1135" s="6" t="n"/>
      <c r="AN1135" s="6" t="n"/>
      <c r="AO1135" s="3">
        <f>IF($AN1135="","",HYPERLINK(p_ruta_base_checklists&amp;$AN1135,"abrir"))</f>
        <v/>
      </c>
      <c r="AP1135" s="6" t="n"/>
      <c r="AQ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IF($A1136="","",IFERROR(INDEX('AJUSTES'!$B$4:$B$303,MATCH($AQ1136,'AJUSTES'!$A$4:$A$303,0)),IF($K1136="","",$K1136)))</f>
        <v/>
      </c>
      <c r="N1136" s="3">
        <f>IF($A1136="","",IFERROR(INDEX('CAT_ESTADOS_ERP'!$B$4:$B$7,MATCH(IFERROR(INDEX('2_IMPORTAR_EJECUCION'!$C$9:$C$1208,MATCH($AQ1136,'2_IMPORTAR_EJECUCION'!$J$9:$J$1208,0)),""),'CAT_ESTADOS_ERP'!$A$4:$A$7,0)),"Pendiente"))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J1136="","",IFERROR(INDEX('CALENDARIO'!$C$15:$C$214,MATCH(TEXT($J1136,"yyyy-mm-dd")&amp;"|"&amp;$V1136&amp;"|"&amp;$W1136,'CALENDARIO'!$G$15:$G$214,0)),IFERROR(INDEX('CALENDARIO'!$C$15:$C$214,MATCH(TEXT($J1136,"yyyy-mm-dd")&amp;"|"&amp;$V1136&amp;"|",'CALENDARIO'!$G$15:$G$214,0)),IFERROR(INDEX('CALENDARIO'!$C$15:$C$214,MATCH(TEXT($J1136,"yyyy-mm-dd")&amp;"||",'CALENDARIO'!$G$15:$G$214,0)),INDEX(patronHabil,WEEKDAY($J1136,2))))))</f>
        <v/>
      </c>
      <c r="T1136" s="3">
        <f>IF($I1136="","",IFERROR(INDEX('CAT_TIPOS_OT'!$C$4:$C$7,MATCH($I1136,'CAT_TIPOS_OT'!$A$4:$A$7,0)),"sin_clasificar"))</f>
        <v/>
      </c>
      <c r="U1136" s="3">
        <f>IF($F1136="","",IFERROR(INDEX('CAT_CENTROS_COSTO'!$F$4:$F$13,MATCH($F1136,'CAT_CENTROS_COSTO'!$A$4:$A$13,0)),"(sin catálogo)"))</f>
        <v/>
      </c>
      <c r="V1136" s="3">
        <f>IF($F1136="","",IFERROR(INDEX('CAT_CENTROS_COSTO'!$D$4:$D$13,MATCH($F1136,'CAT_CENTROS_COSTO'!$A$4:$A$13,0)),"(sin catálogo)"))</f>
        <v/>
      </c>
      <c r="W1136" s="3">
        <f>IF($F1136="","",IF((IFERROR(INDEX('CAT_CENTROS_COSTO'!$E$4:$E$13,MATCH($F1136,'CAT_CENTROS_COSTO'!$A$4:$A$13,0)),""))&lt;&gt;"",IFERROR(INDEX('CAT_CENTROS_COSTO'!$E$4:$E$13,MATCH($F1136,'CAT_CENTROS_COSTO'!$A$4:$A$13,0)),""),$V1136))</f>
        <v/>
      </c>
      <c r="X1136" s="3">
        <f>IF($F1136="","",IFERROR(INDEX('CAT_CENTROS_COSTO'!$G$4:$G$13,MATCH($F1136,'CAT_CENTROS_COSTO'!$A$4:$A$13,0)),"(sin catálogo)"))</f>
        <v/>
      </c>
      <c r="Y1136" s="3">
        <f>IF($G1136="","",IFERROR(INDEX('CAT_PUESTOS'!$B$4:$B$8,MATCH($G1136,'CAT_PUESTOS'!$A$4:$A$8,0)),"(sin catálogo)"))</f>
        <v/>
      </c>
      <c r="Z1136" s="3">
        <f>IF($H1136="","",IFERROR(INDEX('CAT_ACTIVIDADES'!$B$4:$B$8,MATCH($H1136,'CAT_ACTIVIDADES'!$A$4:$A$8,0)),"(sin catálogo)"))</f>
        <v/>
      </c>
      <c r="AA1136" s="12">
        <f>IF($J1136="","",TODAY()-$J1136)</f>
        <v/>
      </c>
      <c r="AB1136" s="12">
        <f>IF($J1136="","",IF($J1136&lt;=TODAY(),COUNTIFS(cal_fechas,"&gt;="&amp;$J1136,cal_fechas,"&lt;"&amp;TODAY(),cal_habil,"sí"),-COUNTIFS(cal_fechas,"&gt;="&amp;TODAY(),cal_fechas,"&lt;"&amp;$J1136,cal_habil,"sí")))</f>
        <v/>
      </c>
      <c r="AC1136" s="3">
        <f>IF($AB1136="","",IF($AB1136&lt;0,"FUTURO",IF($AB1136&gt;p_dias_backlog_max,"BACKLOG","MES CORRIENTE")))</f>
        <v/>
      </c>
      <c r="AD1136" s="3">
        <f>IF($AB1136="",FALSE,AND($AB1136&gt;p_dias_backlog_min,$AB1136&lt;=p_dias_backlog_max))</f>
        <v/>
      </c>
      <c r="AE1136" s="6" t="n"/>
      <c r="AF1136" s="3">
        <f>IF($AE1136="","",IF((IFERROR(INDEX('ASIGNACIONES'!$F$4:$F$339,MATCH($O1136&amp;"|"&amp;$R1136&amp;"|"&amp;$AE1136,'ASIGNACIONES'!$J$4:$J$339,0)),""))=0,"",IFERROR(INDEX('ASIGNACIONES'!$F$4:$F$339,MATCH($O1136&amp;"|"&amp;$R1136&amp;"|"&amp;$AE1136,'ASIGNACIONES'!$J$4:$J$339,0)),"")))</f>
        <v/>
      </c>
      <c r="AG1136" s="13">
        <f>IF($AE1136="","",SUMIFS('ORDENES'!$M$4:$M$1203,'ORDENES'!$AE$4:$AE$1203,$AE1136,'ORDENES'!$O$4:$O$1203,$O1136,'ORDENES'!$R$4:$R$1203,$R1136))</f>
        <v/>
      </c>
      <c r="AH1136" s="13">
        <f>IF($AG1136="","",p_factor_productividad*IFERROR(INDEX('ASIGNACIONES'!$I$4:$I$339,MATCH($O1136&amp;"|"&amp;$R1136&amp;"|"&amp;$AE1136,'ASIGNACIONES'!$J$4:$J$339,0)),0)-$AG1136)</f>
        <v/>
      </c>
      <c r="AI1136" s="10">
        <f>IF($A1136="","",IFERROR(INDEX('2_IMPORTAR_EJECUCION'!$F$9:$F$1208,MATCH($AQ1136,'2_IMPORTAR_EJECUCION'!$J$9:$J$1208,0)),0))</f>
        <v/>
      </c>
      <c r="AJ1136" s="10">
        <f>IF($A1136="","",MAX(0,IFERROR(INDEX('2_IMPORTAR_EJECUCION'!$H$9:$H$1208,MATCH($AQ1136,'2_IMPORTAR_EJECUCION'!$J$9:$J$1208,0)),0)-$AI1136))</f>
        <v/>
      </c>
      <c r="AK1136" s="10">
        <f>IF($A1136="","",$AI1136+$AJ1136)</f>
        <v/>
      </c>
      <c r="AL1136" s="6" t="n"/>
      <c r="AM1136" s="6" t="n"/>
      <c r="AN1136" s="6" t="n"/>
      <c r="AO1136" s="3">
        <f>IF($AN1136="","",HYPERLINK(p_ruta_base_checklists&amp;$AN1136,"abrir"))</f>
        <v/>
      </c>
      <c r="AP1136" s="6" t="n"/>
      <c r="AQ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IF($A1137="","",IFERROR(INDEX('AJUSTES'!$B$4:$B$303,MATCH($AQ1137,'AJUSTES'!$A$4:$A$303,0)),IF($K1137="","",$K1137)))</f>
        <v/>
      </c>
      <c r="N1137" s="3">
        <f>IF($A1137="","",IFERROR(INDEX('CAT_ESTADOS_ERP'!$B$4:$B$7,MATCH(IFERROR(INDEX('2_IMPORTAR_EJECUCION'!$C$9:$C$1208,MATCH($AQ1137,'2_IMPORTAR_EJECUCION'!$J$9:$J$1208,0)),""),'CAT_ESTADOS_ERP'!$A$4:$A$7,0)),"Pendiente"))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J1137="","",IFERROR(INDEX('CALENDARIO'!$C$15:$C$214,MATCH(TEXT($J1137,"yyyy-mm-dd")&amp;"|"&amp;$V1137&amp;"|"&amp;$W1137,'CALENDARIO'!$G$15:$G$214,0)),IFERROR(INDEX('CALENDARIO'!$C$15:$C$214,MATCH(TEXT($J1137,"yyyy-mm-dd")&amp;"|"&amp;$V1137&amp;"|",'CALENDARIO'!$G$15:$G$214,0)),IFERROR(INDEX('CALENDARIO'!$C$15:$C$214,MATCH(TEXT($J1137,"yyyy-mm-dd")&amp;"||",'CALENDARIO'!$G$15:$G$214,0)),INDEX(patronHabil,WEEKDAY($J1137,2))))))</f>
        <v/>
      </c>
      <c r="T1137" s="3">
        <f>IF($I1137="","",IFERROR(INDEX('CAT_TIPOS_OT'!$C$4:$C$7,MATCH($I1137,'CAT_TIPOS_OT'!$A$4:$A$7,0)),"sin_clasificar"))</f>
        <v/>
      </c>
      <c r="U1137" s="3">
        <f>IF($F1137="","",IFERROR(INDEX('CAT_CENTROS_COSTO'!$F$4:$F$13,MATCH($F1137,'CAT_CENTROS_COSTO'!$A$4:$A$13,0)),"(sin catálogo)"))</f>
        <v/>
      </c>
      <c r="V1137" s="3">
        <f>IF($F1137="","",IFERROR(INDEX('CAT_CENTROS_COSTO'!$D$4:$D$13,MATCH($F1137,'CAT_CENTROS_COSTO'!$A$4:$A$13,0)),"(sin catálogo)"))</f>
        <v/>
      </c>
      <c r="W1137" s="3">
        <f>IF($F1137="","",IF((IFERROR(INDEX('CAT_CENTROS_COSTO'!$E$4:$E$13,MATCH($F1137,'CAT_CENTROS_COSTO'!$A$4:$A$13,0)),""))&lt;&gt;"",IFERROR(INDEX('CAT_CENTROS_COSTO'!$E$4:$E$13,MATCH($F1137,'CAT_CENTROS_COSTO'!$A$4:$A$13,0)),""),$V1137))</f>
        <v/>
      </c>
      <c r="X1137" s="3">
        <f>IF($F1137="","",IFERROR(INDEX('CAT_CENTROS_COSTO'!$G$4:$G$13,MATCH($F1137,'CAT_CENTROS_COSTO'!$A$4:$A$13,0)),"(sin catálogo)"))</f>
        <v/>
      </c>
      <c r="Y1137" s="3">
        <f>IF($G1137="","",IFERROR(INDEX('CAT_PUESTOS'!$B$4:$B$8,MATCH($G1137,'CAT_PUESTOS'!$A$4:$A$8,0)),"(sin catálogo)"))</f>
        <v/>
      </c>
      <c r="Z1137" s="3">
        <f>IF($H1137="","",IFERROR(INDEX('CAT_ACTIVIDADES'!$B$4:$B$8,MATCH($H1137,'CAT_ACTIVIDADES'!$A$4:$A$8,0)),"(sin catálogo)"))</f>
        <v/>
      </c>
      <c r="AA1137" s="12">
        <f>IF($J1137="","",TODAY()-$J1137)</f>
        <v/>
      </c>
      <c r="AB1137" s="12">
        <f>IF($J1137="","",IF($J1137&lt;=TODAY(),COUNTIFS(cal_fechas,"&gt;="&amp;$J1137,cal_fechas,"&lt;"&amp;TODAY(),cal_habil,"sí"),-COUNTIFS(cal_fechas,"&gt;="&amp;TODAY(),cal_fechas,"&lt;"&amp;$J1137,cal_habil,"sí")))</f>
        <v/>
      </c>
      <c r="AC1137" s="3">
        <f>IF($AB1137="","",IF($AB1137&lt;0,"FUTURO",IF($AB1137&gt;p_dias_backlog_max,"BACKLOG","MES CORRIENTE")))</f>
        <v/>
      </c>
      <c r="AD1137" s="3">
        <f>IF($AB1137="",FALSE,AND($AB1137&gt;p_dias_backlog_min,$AB1137&lt;=p_dias_backlog_max))</f>
        <v/>
      </c>
      <c r="AE1137" s="6" t="n"/>
      <c r="AF1137" s="3">
        <f>IF($AE1137="","",IF((IFERROR(INDEX('ASIGNACIONES'!$F$4:$F$339,MATCH($O1137&amp;"|"&amp;$R1137&amp;"|"&amp;$AE1137,'ASIGNACIONES'!$J$4:$J$339,0)),""))=0,"",IFERROR(INDEX('ASIGNACIONES'!$F$4:$F$339,MATCH($O1137&amp;"|"&amp;$R1137&amp;"|"&amp;$AE1137,'ASIGNACIONES'!$J$4:$J$339,0)),"")))</f>
        <v/>
      </c>
      <c r="AG1137" s="13">
        <f>IF($AE1137="","",SUMIFS('ORDENES'!$M$4:$M$1203,'ORDENES'!$AE$4:$AE$1203,$AE1137,'ORDENES'!$O$4:$O$1203,$O1137,'ORDENES'!$R$4:$R$1203,$R1137))</f>
        <v/>
      </c>
      <c r="AH1137" s="13">
        <f>IF($AG1137="","",p_factor_productividad*IFERROR(INDEX('ASIGNACIONES'!$I$4:$I$339,MATCH($O1137&amp;"|"&amp;$R1137&amp;"|"&amp;$AE1137,'ASIGNACIONES'!$J$4:$J$339,0)),0)-$AG1137)</f>
        <v/>
      </c>
      <c r="AI1137" s="10">
        <f>IF($A1137="","",IFERROR(INDEX('2_IMPORTAR_EJECUCION'!$F$9:$F$1208,MATCH($AQ1137,'2_IMPORTAR_EJECUCION'!$J$9:$J$1208,0)),0))</f>
        <v/>
      </c>
      <c r="AJ1137" s="10">
        <f>IF($A1137="","",MAX(0,IFERROR(INDEX('2_IMPORTAR_EJECUCION'!$H$9:$H$1208,MATCH($AQ1137,'2_IMPORTAR_EJECUCION'!$J$9:$J$1208,0)),0)-$AI1137))</f>
        <v/>
      </c>
      <c r="AK1137" s="10">
        <f>IF($A1137="","",$AI1137+$AJ1137)</f>
        <v/>
      </c>
      <c r="AL1137" s="6" t="n"/>
      <c r="AM1137" s="6" t="n"/>
      <c r="AN1137" s="6" t="n"/>
      <c r="AO1137" s="3">
        <f>IF($AN1137="","",HYPERLINK(p_ruta_base_checklists&amp;$AN1137,"abrir"))</f>
        <v/>
      </c>
      <c r="AP1137" s="6" t="n"/>
      <c r="AQ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IF($A1138="","",IFERROR(INDEX('AJUSTES'!$B$4:$B$303,MATCH($AQ1138,'AJUSTES'!$A$4:$A$303,0)),IF($K1138="","",$K1138)))</f>
        <v/>
      </c>
      <c r="N1138" s="3">
        <f>IF($A1138="","",IFERROR(INDEX('CAT_ESTADOS_ERP'!$B$4:$B$7,MATCH(IFERROR(INDEX('2_IMPORTAR_EJECUCION'!$C$9:$C$1208,MATCH($AQ1138,'2_IMPORTAR_EJECUCION'!$J$9:$J$1208,0)),""),'CAT_ESTADOS_ERP'!$A$4:$A$7,0)),"Pendiente"))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J1138="","",IFERROR(INDEX('CALENDARIO'!$C$15:$C$214,MATCH(TEXT($J1138,"yyyy-mm-dd")&amp;"|"&amp;$V1138&amp;"|"&amp;$W1138,'CALENDARIO'!$G$15:$G$214,0)),IFERROR(INDEX('CALENDARIO'!$C$15:$C$214,MATCH(TEXT($J1138,"yyyy-mm-dd")&amp;"|"&amp;$V1138&amp;"|",'CALENDARIO'!$G$15:$G$214,0)),IFERROR(INDEX('CALENDARIO'!$C$15:$C$214,MATCH(TEXT($J1138,"yyyy-mm-dd")&amp;"||",'CALENDARIO'!$G$15:$G$214,0)),INDEX(patronHabil,WEEKDAY($J1138,2))))))</f>
        <v/>
      </c>
      <c r="T1138" s="3">
        <f>IF($I1138="","",IFERROR(INDEX('CAT_TIPOS_OT'!$C$4:$C$7,MATCH($I1138,'CAT_TIPOS_OT'!$A$4:$A$7,0)),"sin_clasificar"))</f>
        <v/>
      </c>
      <c r="U1138" s="3">
        <f>IF($F1138="","",IFERROR(INDEX('CAT_CENTROS_COSTO'!$F$4:$F$13,MATCH($F1138,'CAT_CENTROS_COSTO'!$A$4:$A$13,0)),"(sin catálogo)"))</f>
        <v/>
      </c>
      <c r="V1138" s="3">
        <f>IF($F1138="","",IFERROR(INDEX('CAT_CENTROS_COSTO'!$D$4:$D$13,MATCH($F1138,'CAT_CENTROS_COSTO'!$A$4:$A$13,0)),"(sin catálogo)"))</f>
        <v/>
      </c>
      <c r="W1138" s="3">
        <f>IF($F1138="","",IF((IFERROR(INDEX('CAT_CENTROS_COSTO'!$E$4:$E$13,MATCH($F1138,'CAT_CENTROS_COSTO'!$A$4:$A$13,0)),""))&lt;&gt;"",IFERROR(INDEX('CAT_CENTROS_COSTO'!$E$4:$E$13,MATCH($F1138,'CAT_CENTROS_COSTO'!$A$4:$A$13,0)),""),$V1138))</f>
        <v/>
      </c>
      <c r="X1138" s="3">
        <f>IF($F1138="","",IFERROR(INDEX('CAT_CENTROS_COSTO'!$G$4:$G$13,MATCH($F1138,'CAT_CENTROS_COSTO'!$A$4:$A$13,0)),"(sin catálogo)"))</f>
        <v/>
      </c>
      <c r="Y1138" s="3">
        <f>IF($G1138="","",IFERROR(INDEX('CAT_PUESTOS'!$B$4:$B$8,MATCH($G1138,'CAT_PUESTOS'!$A$4:$A$8,0)),"(sin catálogo)"))</f>
        <v/>
      </c>
      <c r="Z1138" s="3">
        <f>IF($H1138="","",IFERROR(INDEX('CAT_ACTIVIDADES'!$B$4:$B$8,MATCH($H1138,'CAT_ACTIVIDADES'!$A$4:$A$8,0)),"(sin catálogo)"))</f>
        <v/>
      </c>
      <c r="AA1138" s="12">
        <f>IF($J1138="","",TODAY()-$J1138)</f>
        <v/>
      </c>
      <c r="AB1138" s="12">
        <f>IF($J1138="","",IF($J1138&lt;=TODAY(),COUNTIFS(cal_fechas,"&gt;="&amp;$J1138,cal_fechas,"&lt;"&amp;TODAY(),cal_habil,"sí"),-COUNTIFS(cal_fechas,"&gt;="&amp;TODAY(),cal_fechas,"&lt;"&amp;$J1138,cal_habil,"sí")))</f>
        <v/>
      </c>
      <c r="AC1138" s="3">
        <f>IF($AB1138="","",IF($AB1138&lt;0,"FUTURO",IF($AB1138&gt;p_dias_backlog_max,"BACKLOG","MES CORRIENTE")))</f>
        <v/>
      </c>
      <c r="AD1138" s="3">
        <f>IF($AB1138="",FALSE,AND($AB1138&gt;p_dias_backlog_min,$AB1138&lt;=p_dias_backlog_max))</f>
        <v/>
      </c>
      <c r="AE1138" s="6" t="n"/>
      <c r="AF1138" s="3">
        <f>IF($AE1138="","",IF((IFERROR(INDEX('ASIGNACIONES'!$F$4:$F$339,MATCH($O1138&amp;"|"&amp;$R1138&amp;"|"&amp;$AE1138,'ASIGNACIONES'!$J$4:$J$339,0)),""))=0,"",IFERROR(INDEX('ASIGNACIONES'!$F$4:$F$339,MATCH($O1138&amp;"|"&amp;$R1138&amp;"|"&amp;$AE1138,'ASIGNACIONES'!$J$4:$J$339,0)),"")))</f>
        <v/>
      </c>
      <c r="AG1138" s="13">
        <f>IF($AE1138="","",SUMIFS('ORDENES'!$M$4:$M$1203,'ORDENES'!$AE$4:$AE$1203,$AE1138,'ORDENES'!$O$4:$O$1203,$O1138,'ORDENES'!$R$4:$R$1203,$R1138))</f>
        <v/>
      </c>
      <c r="AH1138" s="13">
        <f>IF($AG1138="","",p_factor_productividad*IFERROR(INDEX('ASIGNACIONES'!$I$4:$I$339,MATCH($O1138&amp;"|"&amp;$R1138&amp;"|"&amp;$AE1138,'ASIGNACIONES'!$J$4:$J$339,0)),0)-$AG1138)</f>
        <v/>
      </c>
      <c r="AI1138" s="10">
        <f>IF($A1138="","",IFERROR(INDEX('2_IMPORTAR_EJECUCION'!$F$9:$F$1208,MATCH($AQ1138,'2_IMPORTAR_EJECUCION'!$J$9:$J$1208,0)),0))</f>
        <v/>
      </c>
      <c r="AJ1138" s="10">
        <f>IF($A1138="","",MAX(0,IFERROR(INDEX('2_IMPORTAR_EJECUCION'!$H$9:$H$1208,MATCH($AQ1138,'2_IMPORTAR_EJECUCION'!$J$9:$J$1208,0)),0)-$AI1138))</f>
        <v/>
      </c>
      <c r="AK1138" s="10">
        <f>IF($A1138="","",$AI1138+$AJ1138)</f>
        <v/>
      </c>
      <c r="AL1138" s="6" t="n"/>
      <c r="AM1138" s="6" t="n"/>
      <c r="AN1138" s="6" t="n"/>
      <c r="AO1138" s="3">
        <f>IF($AN1138="","",HYPERLINK(p_ruta_base_checklists&amp;$AN1138,"abrir"))</f>
        <v/>
      </c>
      <c r="AP1138" s="6" t="n"/>
      <c r="AQ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IF($A1139="","",IFERROR(INDEX('AJUSTES'!$B$4:$B$303,MATCH($AQ1139,'AJUSTES'!$A$4:$A$303,0)),IF($K1139="","",$K1139)))</f>
        <v/>
      </c>
      <c r="N1139" s="3">
        <f>IF($A1139="","",IFERROR(INDEX('CAT_ESTADOS_ERP'!$B$4:$B$7,MATCH(IFERROR(INDEX('2_IMPORTAR_EJECUCION'!$C$9:$C$1208,MATCH($AQ1139,'2_IMPORTAR_EJECUCION'!$J$9:$J$1208,0)),""),'CAT_ESTADOS_ERP'!$A$4:$A$7,0)),"Pendiente"))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J1139="","",IFERROR(INDEX('CALENDARIO'!$C$15:$C$214,MATCH(TEXT($J1139,"yyyy-mm-dd")&amp;"|"&amp;$V1139&amp;"|"&amp;$W1139,'CALENDARIO'!$G$15:$G$214,0)),IFERROR(INDEX('CALENDARIO'!$C$15:$C$214,MATCH(TEXT($J1139,"yyyy-mm-dd")&amp;"|"&amp;$V1139&amp;"|",'CALENDARIO'!$G$15:$G$214,0)),IFERROR(INDEX('CALENDARIO'!$C$15:$C$214,MATCH(TEXT($J1139,"yyyy-mm-dd")&amp;"||",'CALENDARIO'!$G$15:$G$214,0)),INDEX(patronHabil,WEEKDAY($J1139,2))))))</f>
        <v/>
      </c>
      <c r="T1139" s="3">
        <f>IF($I1139="","",IFERROR(INDEX('CAT_TIPOS_OT'!$C$4:$C$7,MATCH($I1139,'CAT_TIPOS_OT'!$A$4:$A$7,0)),"sin_clasificar"))</f>
        <v/>
      </c>
      <c r="U1139" s="3">
        <f>IF($F1139="","",IFERROR(INDEX('CAT_CENTROS_COSTO'!$F$4:$F$13,MATCH($F1139,'CAT_CENTROS_COSTO'!$A$4:$A$13,0)),"(sin catálogo)"))</f>
        <v/>
      </c>
      <c r="V1139" s="3">
        <f>IF($F1139="","",IFERROR(INDEX('CAT_CENTROS_COSTO'!$D$4:$D$13,MATCH($F1139,'CAT_CENTROS_COSTO'!$A$4:$A$13,0)),"(sin catálogo)"))</f>
        <v/>
      </c>
      <c r="W1139" s="3">
        <f>IF($F1139="","",IF((IFERROR(INDEX('CAT_CENTROS_COSTO'!$E$4:$E$13,MATCH($F1139,'CAT_CENTROS_COSTO'!$A$4:$A$13,0)),""))&lt;&gt;"",IFERROR(INDEX('CAT_CENTROS_COSTO'!$E$4:$E$13,MATCH($F1139,'CAT_CENTROS_COSTO'!$A$4:$A$13,0)),""),$V1139))</f>
        <v/>
      </c>
      <c r="X1139" s="3">
        <f>IF($F1139="","",IFERROR(INDEX('CAT_CENTROS_COSTO'!$G$4:$G$13,MATCH($F1139,'CAT_CENTROS_COSTO'!$A$4:$A$13,0)),"(sin catálogo)"))</f>
        <v/>
      </c>
      <c r="Y1139" s="3">
        <f>IF($G1139="","",IFERROR(INDEX('CAT_PUESTOS'!$B$4:$B$8,MATCH($G1139,'CAT_PUESTOS'!$A$4:$A$8,0)),"(sin catálogo)"))</f>
        <v/>
      </c>
      <c r="Z1139" s="3">
        <f>IF($H1139="","",IFERROR(INDEX('CAT_ACTIVIDADES'!$B$4:$B$8,MATCH($H1139,'CAT_ACTIVIDADES'!$A$4:$A$8,0)),"(sin catálogo)"))</f>
        <v/>
      </c>
      <c r="AA1139" s="12">
        <f>IF($J1139="","",TODAY()-$J1139)</f>
        <v/>
      </c>
      <c r="AB1139" s="12">
        <f>IF($J1139="","",IF($J1139&lt;=TODAY(),COUNTIFS(cal_fechas,"&gt;="&amp;$J1139,cal_fechas,"&lt;"&amp;TODAY(),cal_habil,"sí"),-COUNTIFS(cal_fechas,"&gt;="&amp;TODAY(),cal_fechas,"&lt;"&amp;$J1139,cal_habil,"sí")))</f>
        <v/>
      </c>
      <c r="AC1139" s="3">
        <f>IF($AB1139="","",IF($AB1139&lt;0,"FUTURO",IF($AB1139&gt;p_dias_backlog_max,"BACKLOG","MES CORRIENTE")))</f>
        <v/>
      </c>
      <c r="AD1139" s="3">
        <f>IF($AB1139="",FALSE,AND($AB1139&gt;p_dias_backlog_min,$AB1139&lt;=p_dias_backlog_max))</f>
        <v/>
      </c>
      <c r="AE1139" s="6" t="n"/>
      <c r="AF1139" s="3">
        <f>IF($AE1139="","",IF((IFERROR(INDEX('ASIGNACIONES'!$F$4:$F$339,MATCH($O1139&amp;"|"&amp;$R1139&amp;"|"&amp;$AE1139,'ASIGNACIONES'!$J$4:$J$339,0)),""))=0,"",IFERROR(INDEX('ASIGNACIONES'!$F$4:$F$339,MATCH($O1139&amp;"|"&amp;$R1139&amp;"|"&amp;$AE1139,'ASIGNACIONES'!$J$4:$J$339,0)),"")))</f>
        <v/>
      </c>
      <c r="AG1139" s="13">
        <f>IF($AE1139="","",SUMIFS('ORDENES'!$M$4:$M$1203,'ORDENES'!$AE$4:$AE$1203,$AE1139,'ORDENES'!$O$4:$O$1203,$O1139,'ORDENES'!$R$4:$R$1203,$R1139))</f>
        <v/>
      </c>
      <c r="AH1139" s="13">
        <f>IF($AG1139="","",p_factor_productividad*IFERROR(INDEX('ASIGNACIONES'!$I$4:$I$339,MATCH($O1139&amp;"|"&amp;$R1139&amp;"|"&amp;$AE1139,'ASIGNACIONES'!$J$4:$J$339,0)),0)-$AG1139)</f>
        <v/>
      </c>
      <c r="AI1139" s="10">
        <f>IF($A1139="","",IFERROR(INDEX('2_IMPORTAR_EJECUCION'!$F$9:$F$1208,MATCH($AQ1139,'2_IMPORTAR_EJECUCION'!$J$9:$J$1208,0)),0))</f>
        <v/>
      </c>
      <c r="AJ1139" s="10">
        <f>IF($A1139="","",MAX(0,IFERROR(INDEX('2_IMPORTAR_EJECUCION'!$H$9:$H$1208,MATCH($AQ1139,'2_IMPORTAR_EJECUCION'!$J$9:$J$1208,0)),0)-$AI1139))</f>
        <v/>
      </c>
      <c r="AK1139" s="10">
        <f>IF($A1139="","",$AI1139+$AJ1139)</f>
        <v/>
      </c>
      <c r="AL1139" s="6" t="n"/>
      <c r="AM1139" s="6" t="n"/>
      <c r="AN1139" s="6" t="n"/>
      <c r="AO1139" s="3">
        <f>IF($AN1139="","",HYPERLINK(p_ruta_base_checklists&amp;$AN1139,"abrir"))</f>
        <v/>
      </c>
      <c r="AP1139" s="6" t="n"/>
      <c r="AQ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IF($A1140="","",IFERROR(INDEX('AJUSTES'!$B$4:$B$303,MATCH($AQ1140,'AJUSTES'!$A$4:$A$303,0)),IF($K1140="","",$K1140)))</f>
        <v/>
      </c>
      <c r="N1140" s="3">
        <f>IF($A1140="","",IFERROR(INDEX('CAT_ESTADOS_ERP'!$B$4:$B$7,MATCH(IFERROR(INDEX('2_IMPORTAR_EJECUCION'!$C$9:$C$1208,MATCH($AQ1140,'2_IMPORTAR_EJECUCION'!$J$9:$J$1208,0)),""),'CAT_ESTADOS_ERP'!$A$4:$A$7,0)),"Pendiente"))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J1140="","",IFERROR(INDEX('CALENDARIO'!$C$15:$C$214,MATCH(TEXT($J1140,"yyyy-mm-dd")&amp;"|"&amp;$V1140&amp;"|"&amp;$W1140,'CALENDARIO'!$G$15:$G$214,0)),IFERROR(INDEX('CALENDARIO'!$C$15:$C$214,MATCH(TEXT($J1140,"yyyy-mm-dd")&amp;"|"&amp;$V1140&amp;"|",'CALENDARIO'!$G$15:$G$214,0)),IFERROR(INDEX('CALENDARIO'!$C$15:$C$214,MATCH(TEXT($J1140,"yyyy-mm-dd")&amp;"||",'CALENDARIO'!$G$15:$G$214,0)),INDEX(patronHabil,WEEKDAY($J1140,2))))))</f>
        <v/>
      </c>
      <c r="T1140" s="3">
        <f>IF($I1140="","",IFERROR(INDEX('CAT_TIPOS_OT'!$C$4:$C$7,MATCH($I1140,'CAT_TIPOS_OT'!$A$4:$A$7,0)),"sin_clasificar"))</f>
        <v/>
      </c>
      <c r="U1140" s="3">
        <f>IF($F1140="","",IFERROR(INDEX('CAT_CENTROS_COSTO'!$F$4:$F$13,MATCH($F1140,'CAT_CENTROS_COSTO'!$A$4:$A$13,0)),"(sin catálogo)"))</f>
        <v/>
      </c>
      <c r="V1140" s="3">
        <f>IF($F1140="","",IFERROR(INDEX('CAT_CENTROS_COSTO'!$D$4:$D$13,MATCH($F1140,'CAT_CENTROS_COSTO'!$A$4:$A$13,0)),"(sin catálogo)"))</f>
        <v/>
      </c>
      <c r="W1140" s="3">
        <f>IF($F1140="","",IF((IFERROR(INDEX('CAT_CENTROS_COSTO'!$E$4:$E$13,MATCH($F1140,'CAT_CENTROS_COSTO'!$A$4:$A$13,0)),""))&lt;&gt;"",IFERROR(INDEX('CAT_CENTROS_COSTO'!$E$4:$E$13,MATCH($F1140,'CAT_CENTROS_COSTO'!$A$4:$A$13,0)),""),$V1140))</f>
        <v/>
      </c>
      <c r="X1140" s="3">
        <f>IF($F1140="","",IFERROR(INDEX('CAT_CENTROS_COSTO'!$G$4:$G$13,MATCH($F1140,'CAT_CENTROS_COSTO'!$A$4:$A$13,0)),"(sin catálogo)"))</f>
        <v/>
      </c>
      <c r="Y1140" s="3">
        <f>IF($G1140="","",IFERROR(INDEX('CAT_PUESTOS'!$B$4:$B$8,MATCH($G1140,'CAT_PUESTOS'!$A$4:$A$8,0)),"(sin catálogo)"))</f>
        <v/>
      </c>
      <c r="Z1140" s="3">
        <f>IF($H1140="","",IFERROR(INDEX('CAT_ACTIVIDADES'!$B$4:$B$8,MATCH($H1140,'CAT_ACTIVIDADES'!$A$4:$A$8,0)),"(sin catálogo)"))</f>
        <v/>
      </c>
      <c r="AA1140" s="12">
        <f>IF($J1140="","",TODAY()-$J1140)</f>
        <v/>
      </c>
      <c r="AB1140" s="12">
        <f>IF($J1140="","",IF($J1140&lt;=TODAY(),COUNTIFS(cal_fechas,"&gt;="&amp;$J1140,cal_fechas,"&lt;"&amp;TODAY(),cal_habil,"sí"),-COUNTIFS(cal_fechas,"&gt;="&amp;TODAY(),cal_fechas,"&lt;"&amp;$J1140,cal_habil,"sí")))</f>
        <v/>
      </c>
      <c r="AC1140" s="3">
        <f>IF($AB1140="","",IF($AB1140&lt;0,"FUTURO",IF($AB1140&gt;p_dias_backlog_max,"BACKLOG","MES CORRIENTE")))</f>
        <v/>
      </c>
      <c r="AD1140" s="3">
        <f>IF($AB1140="",FALSE,AND($AB1140&gt;p_dias_backlog_min,$AB1140&lt;=p_dias_backlog_max))</f>
        <v/>
      </c>
      <c r="AE1140" s="6" t="n"/>
      <c r="AF1140" s="3">
        <f>IF($AE1140="","",IF((IFERROR(INDEX('ASIGNACIONES'!$F$4:$F$339,MATCH($O1140&amp;"|"&amp;$R1140&amp;"|"&amp;$AE1140,'ASIGNACIONES'!$J$4:$J$339,0)),""))=0,"",IFERROR(INDEX('ASIGNACIONES'!$F$4:$F$339,MATCH($O1140&amp;"|"&amp;$R1140&amp;"|"&amp;$AE1140,'ASIGNACIONES'!$J$4:$J$339,0)),"")))</f>
        <v/>
      </c>
      <c r="AG1140" s="13">
        <f>IF($AE1140="","",SUMIFS('ORDENES'!$M$4:$M$1203,'ORDENES'!$AE$4:$AE$1203,$AE1140,'ORDENES'!$O$4:$O$1203,$O1140,'ORDENES'!$R$4:$R$1203,$R1140))</f>
        <v/>
      </c>
      <c r="AH1140" s="13">
        <f>IF($AG1140="","",p_factor_productividad*IFERROR(INDEX('ASIGNACIONES'!$I$4:$I$339,MATCH($O1140&amp;"|"&amp;$R1140&amp;"|"&amp;$AE1140,'ASIGNACIONES'!$J$4:$J$339,0)),0)-$AG1140)</f>
        <v/>
      </c>
      <c r="AI1140" s="10">
        <f>IF($A1140="","",IFERROR(INDEX('2_IMPORTAR_EJECUCION'!$F$9:$F$1208,MATCH($AQ1140,'2_IMPORTAR_EJECUCION'!$J$9:$J$1208,0)),0))</f>
        <v/>
      </c>
      <c r="AJ1140" s="10">
        <f>IF($A1140="","",MAX(0,IFERROR(INDEX('2_IMPORTAR_EJECUCION'!$H$9:$H$1208,MATCH($AQ1140,'2_IMPORTAR_EJECUCION'!$J$9:$J$1208,0)),0)-$AI1140))</f>
        <v/>
      </c>
      <c r="AK1140" s="10">
        <f>IF($A1140="","",$AI1140+$AJ1140)</f>
        <v/>
      </c>
      <c r="AL1140" s="6" t="n"/>
      <c r="AM1140" s="6" t="n"/>
      <c r="AN1140" s="6" t="n"/>
      <c r="AO1140" s="3">
        <f>IF($AN1140="","",HYPERLINK(p_ruta_base_checklists&amp;$AN1140,"abrir"))</f>
        <v/>
      </c>
      <c r="AP1140" s="6" t="n"/>
      <c r="AQ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IF($A1141="","",IFERROR(INDEX('AJUSTES'!$B$4:$B$303,MATCH($AQ1141,'AJUSTES'!$A$4:$A$303,0)),IF($K1141="","",$K1141)))</f>
        <v/>
      </c>
      <c r="N1141" s="3">
        <f>IF($A1141="","",IFERROR(INDEX('CAT_ESTADOS_ERP'!$B$4:$B$7,MATCH(IFERROR(INDEX('2_IMPORTAR_EJECUCION'!$C$9:$C$1208,MATCH($AQ1141,'2_IMPORTAR_EJECUCION'!$J$9:$J$1208,0)),""),'CAT_ESTADOS_ERP'!$A$4:$A$7,0)),"Pendiente"))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J1141="","",IFERROR(INDEX('CALENDARIO'!$C$15:$C$214,MATCH(TEXT($J1141,"yyyy-mm-dd")&amp;"|"&amp;$V1141&amp;"|"&amp;$W1141,'CALENDARIO'!$G$15:$G$214,0)),IFERROR(INDEX('CALENDARIO'!$C$15:$C$214,MATCH(TEXT($J1141,"yyyy-mm-dd")&amp;"|"&amp;$V1141&amp;"|",'CALENDARIO'!$G$15:$G$214,0)),IFERROR(INDEX('CALENDARIO'!$C$15:$C$214,MATCH(TEXT($J1141,"yyyy-mm-dd")&amp;"||",'CALENDARIO'!$G$15:$G$214,0)),INDEX(patronHabil,WEEKDAY($J1141,2))))))</f>
        <v/>
      </c>
      <c r="T1141" s="3">
        <f>IF($I1141="","",IFERROR(INDEX('CAT_TIPOS_OT'!$C$4:$C$7,MATCH($I1141,'CAT_TIPOS_OT'!$A$4:$A$7,0)),"sin_clasificar"))</f>
        <v/>
      </c>
      <c r="U1141" s="3">
        <f>IF($F1141="","",IFERROR(INDEX('CAT_CENTROS_COSTO'!$F$4:$F$13,MATCH($F1141,'CAT_CENTROS_COSTO'!$A$4:$A$13,0)),"(sin catálogo)"))</f>
        <v/>
      </c>
      <c r="V1141" s="3">
        <f>IF($F1141="","",IFERROR(INDEX('CAT_CENTROS_COSTO'!$D$4:$D$13,MATCH($F1141,'CAT_CENTROS_COSTO'!$A$4:$A$13,0)),"(sin catálogo)"))</f>
        <v/>
      </c>
      <c r="W1141" s="3">
        <f>IF($F1141="","",IF((IFERROR(INDEX('CAT_CENTROS_COSTO'!$E$4:$E$13,MATCH($F1141,'CAT_CENTROS_COSTO'!$A$4:$A$13,0)),""))&lt;&gt;"",IFERROR(INDEX('CAT_CENTROS_COSTO'!$E$4:$E$13,MATCH($F1141,'CAT_CENTROS_COSTO'!$A$4:$A$13,0)),""),$V1141))</f>
        <v/>
      </c>
      <c r="X1141" s="3">
        <f>IF($F1141="","",IFERROR(INDEX('CAT_CENTROS_COSTO'!$G$4:$G$13,MATCH($F1141,'CAT_CENTROS_COSTO'!$A$4:$A$13,0)),"(sin catálogo)"))</f>
        <v/>
      </c>
      <c r="Y1141" s="3">
        <f>IF($G1141="","",IFERROR(INDEX('CAT_PUESTOS'!$B$4:$B$8,MATCH($G1141,'CAT_PUESTOS'!$A$4:$A$8,0)),"(sin catálogo)"))</f>
        <v/>
      </c>
      <c r="Z1141" s="3">
        <f>IF($H1141="","",IFERROR(INDEX('CAT_ACTIVIDADES'!$B$4:$B$8,MATCH($H1141,'CAT_ACTIVIDADES'!$A$4:$A$8,0)),"(sin catálogo)"))</f>
        <v/>
      </c>
      <c r="AA1141" s="12">
        <f>IF($J1141="","",TODAY()-$J1141)</f>
        <v/>
      </c>
      <c r="AB1141" s="12">
        <f>IF($J1141="","",IF($J1141&lt;=TODAY(),COUNTIFS(cal_fechas,"&gt;="&amp;$J1141,cal_fechas,"&lt;"&amp;TODAY(),cal_habil,"sí"),-COUNTIFS(cal_fechas,"&gt;="&amp;TODAY(),cal_fechas,"&lt;"&amp;$J1141,cal_habil,"sí")))</f>
        <v/>
      </c>
      <c r="AC1141" s="3">
        <f>IF($AB1141="","",IF($AB1141&lt;0,"FUTURO",IF($AB1141&gt;p_dias_backlog_max,"BACKLOG","MES CORRIENTE")))</f>
        <v/>
      </c>
      <c r="AD1141" s="3">
        <f>IF($AB1141="",FALSE,AND($AB1141&gt;p_dias_backlog_min,$AB1141&lt;=p_dias_backlog_max))</f>
        <v/>
      </c>
      <c r="AE1141" s="6" t="n"/>
      <c r="AF1141" s="3">
        <f>IF($AE1141="","",IF((IFERROR(INDEX('ASIGNACIONES'!$F$4:$F$339,MATCH($O1141&amp;"|"&amp;$R1141&amp;"|"&amp;$AE1141,'ASIGNACIONES'!$J$4:$J$339,0)),""))=0,"",IFERROR(INDEX('ASIGNACIONES'!$F$4:$F$339,MATCH($O1141&amp;"|"&amp;$R1141&amp;"|"&amp;$AE1141,'ASIGNACIONES'!$J$4:$J$339,0)),"")))</f>
        <v/>
      </c>
      <c r="AG1141" s="13">
        <f>IF($AE1141="","",SUMIFS('ORDENES'!$M$4:$M$1203,'ORDENES'!$AE$4:$AE$1203,$AE1141,'ORDENES'!$O$4:$O$1203,$O1141,'ORDENES'!$R$4:$R$1203,$R1141))</f>
        <v/>
      </c>
      <c r="AH1141" s="13">
        <f>IF($AG1141="","",p_factor_productividad*IFERROR(INDEX('ASIGNACIONES'!$I$4:$I$339,MATCH($O1141&amp;"|"&amp;$R1141&amp;"|"&amp;$AE1141,'ASIGNACIONES'!$J$4:$J$339,0)),0)-$AG1141)</f>
        <v/>
      </c>
      <c r="AI1141" s="10">
        <f>IF($A1141="","",IFERROR(INDEX('2_IMPORTAR_EJECUCION'!$F$9:$F$1208,MATCH($AQ1141,'2_IMPORTAR_EJECUCION'!$J$9:$J$1208,0)),0))</f>
        <v/>
      </c>
      <c r="AJ1141" s="10">
        <f>IF($A1141="","",MAX(0,IFERROR(INDEX('2_IMPORTAR_EJECUCION'!$H$9:$H$1208,MATCH($AQ1141,'2_IMPORTAR_EJECUCION'!$J$9:$J$1208,0)),0)-$AI1141))</f>
        <v/>
      </c>
      <c r="AK1141" s="10">
        <f>IF($A1141="","",$AI1141+$AJ1141)</f>
        <v/>
      </c>
      <c r="AL1141" s="6" t="n"/>
      <c r="AM1141" s="6" t="n"/>
      <c r="AN1141" s="6" t="n"/>
      <c r="AO1141" s="3">
        <f>IF($AN1141="","",HYPERLINK(p_ruta_base_checklists&amp;$AN1141,"abrir"))</f>
        <v/>
      </c>
      <c r="AP1141" s="6" t="n"/>
      <c r="AQ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IF($A1142="","",IFERROR(INDEX('AJUSTES'!$B$4:$B$303,MATCH($AQ1142,'AJUSTES'!$A$4:$A$303,0)),IF($K1142="","",$K1142)))</f>
        <v/>
      </c>
      <c r="N1142" s="3">
        <f>IF($A1142="","",IFERROR(INDEX('CAT_ESTADOS_ERP'!$B$4:$B$7,MATCH(IFERROR(INDEX('2_IMPORTAR_EJECUCION'!$C$9:$C$1208,MATCH($AQ1142,'2_IMPORTAR_EJECUCION'!$J$9:$J$1208,0)),""),'CAT_ESTADOS_ERP'!$A$4:$A$7,0)),"Pendiente"))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J1142="","",IFERROR(INDEX('CALENDARIO'!$C$15:$C$214,MATCH(TEXT($J1142,"yyyy-mm-dd")&amp;"|"&amp;$V1142&amp;"|"&amp;$W1142,'CALENDARIO'!$G$15:$G$214,0)),IFERROR(INDEX('CALENDARIO'!$C$15:$C$214,MATCH(TEXT($J1142,"yyyy-mm-dd")&amp;"|"&amp;$V1142&amp;"|",'CALENDARIO'!$G$15:$G$214,0)),IFERROR(INDEX('CALENDARIO'!$C$15:$C$214,MATCH(TEXT($J1142,"yyyy-mm-dd")&amp;"||",'CALENDARIO'!$G$15:$G$214,0)),INDEX(patronHabil,WEEKDAY($J1142,2))))))</f>
        <v/>
      </c>
      <c r="T1142" s="3">
        <f>IF($I1142="","",IFERROR(INDEX('CAT_TIPOS_OT'!$C$4:$C$7,MATCH($I1142,'CAT_TIPOS_OT'!$A$4:$A$7,0)),"sin_clasificar"))</f>
        <v/>
      </c>
      <c r="U1142" s="3">
        <f>IF($F1142="","",IFERROR(INDEX('CAT_CENTROS_COSTO'!$F$4:$F$13,MATCH($F1142,'CAT_CENTROS_COSTO'!$A$4:$A$13,0)),"(sin catálogo)"))</f>
        <v/>
      </c>
      <c r="V1142" s="3">
        <f>IF($F1142="","",IFERROR(INDEX('CAT_CENTROS_COSTO'!$D$4:$D$13,MATCH($F1142,'CAT_CENTROS_COSTO'!$A$4:$A$13,0)),"(sin catálogo)"))</f>
        <v/>
      </c>
      <c r="W1142" s="3">
        <f>IF($F1142="","",IF((IFERROR(INDEX('CAT_CENTROS_COSTO'!$E$4:$E$13,MATCH($F1142,'CAT_CENTROS_COSTO'!$A$4:$A$13,0)),""))&lt;&gt;"",IFERROR(INDEX('CAT_CENTROS_COSTO'!$E$4:$E$13,MATCH($F1142,'CAT_CENTROS_COSTO'!$A$4:$A$13,0)),""),$V1142))</f>
        <v/>
      </c>
      <c r="X1142" s="3">
        <f>IF($F1142="","",IFERROR(INDEX('CAT_CENTROS_COSTO'!$G$4:$G$13,MATCH($F1142,'CAT_CENTROS_COSTO'!$A$4:$A$13,0)),"(sin catálogo)"))</f>
        <v/>
      </c>
      <c r="Y1142" s="3">
        <f>IF($G1142="","",IFERROR(INDEX('CAT_PUESTOS'!$B$4:$B$8,MATCH($G1142,'CAT_PUESTOS'!$A$4:$A$8,0)),"(sin catálogo)"))</f>
        <v/>
      </c>
      <c r="Z1142" s="3">
        <f>IF($H1142="","",IFERROR(INDEX('CAT_ACTIVIDADES'!$B$4:$B$8,MATCH($H1142,'CAT_ACTIVIDADES'!$A$4:$A$8,0)),"(sin catálogo)"))</f>
        <v/>
      </c>
      <c r="AA1142" s="12">
        <f>IF($J1142="","",TODAY()-$J1142)</f>
        <v/>
      </c>
      <c r="AB1142" s="12">
        <f>IF($J1142="","",IF($J1142&lt;=TODAY(),COUNTIFS(cal_fechas,"&gt;="&amp;$J1142,cal_fechas,"&lt;"&amp;TODAY(),cal_habil,"sí"),-COUNTIFS(cal_fechas,"&gt;="&amp;TODAY(),cal_fechas,"&lt;"&amp;$J1142,cal_habil,"sí")))</f>
        <v/>
      </c>
      <c r="AC1142" s="3">
        <f>IF($AB1142="","",IF($AB1142&lt;0,"FUTURO",IF($AB1142&gt;p_dias_backlog_max,"BACKLOG","MES CORRIENTE")))</f>
        <v/>
      </c>
      <c r="AD1142" s="3">
        <f>IF($AB1142="",FALSE,AND($AB1142&gt;p_dias_backlog_min,$AB1142&lt;=p_dias_backlog_max))</f>
        <v/>
      </c>
      <c r="AE1142" s="6" t="n"/>
      <c r="AF1142" s="3">
        <f>IF($AE1142="","",IF((IFERROR(INDEX('ASIGNACIONES'!$F$4:$F$339,MATCH($O1142&amp;"|"&amp;$R1142&amp;"|"&amp;$AE1142,'ASIGNACIONES'!$J$4:$J$339,0)),""))=0,"",IFERROR(INDEX('ASIGNACIONES'!$F$4:$F$339,MATCH($O1142&amp;"|"&amp;$R1142&amp;"|"&amp;$AE1142,'ASIGNACIONES'!$J$4:$J$339,0)),"")))</f>
        <v/>
      </c>
      <c r="AG1142" s="13">
        <f>IF($AE1142="","",SUMIFS('ORDENES'!$M$4:$M$1203,'ORDENES'!$AE$4:$AE$1203,$AE1142,'ORDENES'!$O$4:$O$1203,$O1142,'ORDENES'!$R$4:$R$1203,$R1142))</f>
        <v/>
      </c>
      <c r="AH1142" s="13">
        <f>IF($AG1142="","",p_factor_productividad*IFERROR(INDEX('ASIGNACIONES'!$I$4:$I$339,MATCH($O1142&amp;"|"&amp;$R1142&amp;"|"&amp;$AE1142,'ASIGNACIONES'!$J$4:$J$339,0)),0)-$AG1142)</f>
        <v/>
      </c>
      <c r="AI1142" s="10">
        <f>IF($A1142="","",IFERROR(INDEX('2_IMPORTAR_EJECUCION'!$F$9:$F$1208,MATCH($AQ1142,'2_IMPORTAR_EJECUCION'!$J$9:$J$1208,0)),0))</f>
        <v/>
      </c>
      <c r="AJ1142" s="10">
        <f>IF($A1142="","",MAX(0,IFERROR(INDEX('2_IMPORTAR_EJECUCION'!$H$9:$H$1208,MATCH($AQ1142,'2_IMPORTAR_EJECUCION'!$J$9:$J$1208,0)),0)-$AI1142))</f>
        <v/>
      </c>
      <c r="AK1142" s="10">
        <f>IF($A1142="","",$AI1142+$AJ1142)</f>
        <v/>
      </c>
      <c r="AL1142" s="6" t="n"/>
      <c r="AM1142" s="6" t="n"/>
      <c r="AN1142" s="6" t="n"/>
      <c r="AO1142" s="3">
        <f>IF($AN1142="","",HYPERLINK(p_ruta_base_checklists&amp;$AN1142,"abrir"))</f>
        <v/>
      </c>
      <c r="AP1142" s="6" t="n"/>
      <c r="AQ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IF($A1143="","",IFERROR(INDEX('AJUSTES'!$B$4:$B$303,MATCH($AQ1143,'AJUSTES'!$A$4:$A$303,0)),IF($K1143="","",$K1143)))</f>
        <v/>
      </c>
      <c r="N1143" s="3">
        <f>IF($A1143="","",IFERROR(INDEX('CAT_ESTADOS_ERP'!$B$4:$B$7,MATCH(IFERROR(INDEX('2_IMPORTAR_EJECUCION'!$C$9:$C$1208,MATCH($AQ1143,'2_IMPORTAR_EJECUCION'!$J$9:$J$1208,0)),""),'CAT_ESTADOS_ERP'!$A$4:$A$7,0)),"Pendiente"))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J1143="","",IFERROR(INDEX('CALENDARIO'!$C$15:$C$214,MATCH(TEXT($J1143,"yyyy-mm-dd")&amp;"|"&amp;$V1143&amp;"|"&amp;$W1143,'CALENDARIO'!$G$15:$G$214,0)),IFERROR(INDEX('CALENDARIO'!$C$15:$C$214,MATCH(TEXT($J1143,"yyyy-mm-dd")&amp;"|"&amp;$V1143&amp;"|",'CALENDARIO'!$G$15:$G$214,0)),IFERROR(INDEX('CALENDARIO'!$C$15:$C$214,MATCH(TEXT($J1143,"yyyy-mm-dd")&amp;"||",'CALENDARIO'!$G$15:$G$214,0)),INDEX(patronHabil,WEEKDAY($J1143,2))))))</f>
        <v/>
      </c>
      <c r="T1143" s="3">
        <f>IF($I1143="","",IFERROR(INDEX('CAT_TIPOS_OT'!$C$4:$C$7,MATCH($I1143,'CAT_TIPOS_OT'!$A$4:$A$7,0)),"sin_clasificar"))</f>
        <v/>
      </c>
      <c r="U1143" s="3">
        <f>IF($F1143="","",IFERROR(INDEX('CAT_CENTROS_COSTO'!$F$4:$F$13,MATCH($F1143,'CAT_CENTROS_COSTO'!$A$4:$A$13,0)),"(sin catálogo)"))</f>
        <v/>
      </c>
      <c r="V1143" s="3">
        <f>IF($F1143="","",IFERROR(INDEX('CAT_CENTROS_COSTO'!$D$4:$D$13,MATCH($F1143,'CAT_CENTROS_COSTO'!$A$4:$A$13,0)),"(sin catálogo)"))</f>
        <v/>
      </c>
      <c r="W1143" s="3">
        <f>IF($F1143="","",IF((IFERROR(INDEX('CAT_CENTROS_COSTO'!$E$4:$E$13,MATCH($F1143,'CAT_CENTROS_COSTO'!$A$4:$A$13,0)),""))&lt;&gt;"",IFERROR(INDEX('CAT_CENTROS_COSTO'!$E$4:$E$13,MATCH($F1143,'CAT_CENTROS_COSTO'!$A$4:$A$13,0)),""),$V1143))</f>
        <v/>
      </c>
      <c r="X1143" s="3">
        <f>IF($F1143="","",IFERROR(INDEX('CAT_CENTROS_COSTO'!$G$4:$G$13,MATCH($F1143,'CAT_CENTROS_COSTO'!$A$4:$A$13,0)),"(sin catálogo)"))</f>
        <v/>
      </c>
      <c r="Y1143" s="3">
        <f>IF($G1143="","",IFERROR(INDEX('CAT_PUESTOS'!$B$4:$B$8,MATCH($G1143,'CAT_PUESTOS'!$A$4:$A$8,0)),"(sin catálogo)"))</f>
        <v/>
      </c>
      <c r="Z1143" s="3">
        <f>IF($H1143="","",IFERROR(INDEX('CAT_ACTIVIDADES'!$B$4:$B$8,MATCH($H1143,'CAT_ACTIVIDADES'!$A$4:$A$8,0)),"(sin catálogo)"))</f>
        <v/>
      </c>
      <c r="AA1143" s="12">
        <f>IF($J1143="","",TODAY()-$J1143)</f>
        <v/>
      </c>
      <c r="AB1143" s="12">
        <f>IF($J1143="","",IF($J1143&lt;=TODAY(),COUNTIFS(cal_fechas,"&gt;="&amp;$J1143,cal_fechas,"&lt;"&amp;TODAY(),cal_habil,"sí"),-COUNTIFS(cal_fechas,"&gt;="&amp;TODAY(),cal_fechas,"&lt;"&amp;$J1143,cal_habil,"sí")))</f>
        <v/>
      </c>
      <c r="AC1143" s="3">
        <f>IF($AB1143="","",IF($AB1143&lt;0,"FUTURO",IF($AB1143&gt;p_dias_backlog_max,"BACKLOG","MES CORRIENTE")))</f>
        <v/>
      </c>
      <c r="AD1143" s="3">
        <f>IF($AB1143="",FALSE,AND($AB1143&gt;p_dias_backlog_min,$AB1143&lt;=p_dias_backlog_max))</f>
        <v/>
      </c>
      <c r="AE1143" s="6" t="n"/>
      <c r="AF1143" s="3">
        <f>IF($AE1143="","",IF((IFERROR(INDEX('ASIGNACIONES'!$F$4:$F$339,MATCH($O1143&amp;"|"&amp;$R1143&amp;"|"&amp;$AE1143,'ASIGNACIONES'!$J$4:$J$339,0)),""))=0,"",IFERROR(INDEX('ASIGNACIONES'!$F$4:$F$339,MATCH($O1143&amp;"|"&amp;$R1143&amp;"|"&amp;$AE1143,'ASIGNACIONES'!$J$4:$J$339,0)),"")))</f>
        <v/>
      </c>
      <c r="AG1143" s="13">
        <f>IF($AE1143="","",SUMIFS('ORDENES'!$M$4:$M$1203,'ORDENES'!$AE$4:$AE$1203,$AE1143,'ORDENES'!$O$4:$O$1203,$O1143,'ORDENES'!$R$4:$R$1203,$R1143))</f>
        <v/>
      </c>
      <c r="AH1143" s="13">
        <f>IF($AG1143="","",p_factor_productividad*IFERROR(INDEX('ASIGNACIONES'!$I$4:$I$339,MATCH($O1143&amp;"|"&amp;$R1143&amp;"|"&amp;$AE1143,'ASIGNACIONES'!$J$4:$J$339,0)),0)-$AG1143)</f>
        <v/>
      </c>
      <c r="AI1143" s="10">
        <f>IF($A1143="","",IFERROR(INDEX('2_IMPORTAR_EJECUCION'!$F$9:$F$1208,MATCH($AQ1143,'2_IMPORTAR_EJECUCION'!$J$9:$J$1208,0)),0))</f>
        <v/>
      </c>
      <c r="AJ1143" s="10">
        <f>IF($A1143="","",MAX(0,IFERROR(INDEX('2_IMPORTAR_EJECUCION'!$H$9:$H$1208,MATCH($AQ1143,'2_IMPORTAR_EJECUCION'!$J$9:$J$1208,0)),0)-$AI1143))</f>
        <v/>
      </c>
      <c r="AK1143" s="10">
        <f>IF($A1143="","",$AI1143+$AJ1143)</f>
        <v/>
      </c>
      <c r="AL1143" s="6" t="n"/>
      <c r="AM1143" s="6" t="n"/>
      <c r="AN1143" s="6" t="n"/>
      <c r="AO1143" s="3">
        <f>IF($AN1143="","",HYPERLINK(p_ruta_base_checklists&amp;$AN1143,"abrir"))</f>
        <v/>
      </c>
      <c r="AP1143" s="6" t="n"/>
      <c r="AQ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IF($A1144="","",IFERROR(INDEX('AJUSTES'!$B$4:$B$303,MATCH($AQ1144,'AJUSTES'!$A$4:$A$303,0)),IF($K1144="","",$K1144)))</f>
        <v/>
      </c>
      <c r="N1144" s="3">
        <f>IF($A1144="","",IFERROR(INDEX('CAT_ESTADOS_ERP'!$B$4:$B$7,MATCH(IFERROR(INDEX('2_IMPORTAR_EJECUCION'!$C$9:$C$1208,MATCH($AQ1144,'2_IMPORTAR_EJECUCION'!$J$9:$J$1208,0)),""),'CAT_ESTADOS_ERP'!$A$4:$A$7,0)),"Pendiente"))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J1144="","",IFERROR(INDEX('CALENDARIO'!$C$15:$C$214,MATCH(TEXT($J1144,"yyyy-mm-dd")&amp;"|"&amp;$V1144&amp;"|"&amp;$W1144,'CALENDARIO'!$G$15:$G$214,0)),IFERROR(INDEX('CALENDARIO'!$C$15:$C$214,MATCH(TEXT($J1144,"yyyy-mm-dd")&amp;"|"&amp;$V1144&amp;"|",'CALENDARIO'!$G$15:$G$214,0)),IFERROR(INDEX('CALENDARIO'!$C$15:$C$214,MATCH(TEXT($J1144,"yyyy-mm-dd")&amp;"||",'CALENDARIO'!$G$15:$G$214,0)),INDEX(patronHabil,WEEKDAY($J1144,2))))))</f>
        <v/>
      </c>
      <c r="T1144" s="3">
        <f>IF($I1144="","",IFERROR(INDEX('CAT_TIPOS_OT'!$C$4:$C$7,MATCH($I1144,'CAT_TIPOS_OT'!$A$4:$A$7,0)),"sin_clasificar"))</f>
        <v/>
      </c>
      <c r="U1144" s="3">
        <f>IF($F1144="","",IFERROR(INDEX('CAT_CENTROS_COSTO'!$F$4:$F$13,MATCH($F1144,'CAT_CENTROS_COSTO'!$A$4:$A$13,0)),"(sin catálogo)"))</f>
        <v/>
      </c>
      <c r="V1144" s="3">
        <f>IF($F1144="","",IFERROR(INDEX('CAT_CENTROS_COSTO'!$D$4:$D$13,MATCH($F1144,'CAT_CENTROS_COSTO'!$A$4:$A$13,0)),"(sin catálogo)"))</f>
        <v/>
      </c>
      <c r="W1144" s="3">
        <f>IF($F1144="","",IF((IFERROR(INDEX('CAT_CENTROS_COSTO'!$E$4:$E$13,MATCH($F1144,'CAT_CENTROS_COSTO'!$A$4:$A$13,0)),""))&lt;&gt;"",IFERROR(INDEX('CAT_CENTROS_COSTO'!$E$4:$E$13,MATCH($F1144,'CAT_CENTROS_COSTO'!$A$4:$A$13,0)),""),$V1144))</f>
        <v/>
      </c>
      <c r="X1144" s="3">
        <f>IF($F1144="","",IFERROR(INDEX('CAT_CENTROS_COSTO'!$G$4:$G$13,MATCH($F1144,'CAT_CENTROS_COSTO'!$A$4:$A$13,0)),"(sin catálogo)"))</f>
        <v/>
      </c>
      <c r="Y1144" s="3">
        <f>IF($G1144="","",IFERROR(INDEX('CAT_PUESTOS'!$B$4:$B$8,MATCH($G1144,'CAT_PUESTOS'!$A$4:$A$8,0)),"(sin catálogo)"))</f>
        <v/>
      </c>
      <c r="Z1144" s="3">
        <f>IF($H1144="","",IFERROR(INDEX('CAT_ACTIVIDADES'!$B$4:$B$8,MATCH($H1144,'CAT_ACTIVIDADES'!$A$4:$A$8,0)),"(sin catálogo)"))</f>
        <v/>
      </c>
      <c r="AA1144" s="12">
        <f>IF($J1144="","",TODAY()-$J1144)</f>
        <v/>
      </c>
      <c r="AB1144" s="12">
        <f>IF($J1144="","",IF($J1144&lt;=TODAY(),COUNTIFS(cal_fechas,"&gt;="&amp;$J1144,cal_fechas,"&lt;"&amp;TODAY(),cal_habil,"sí"),-COUNTIFS(cal_fechas,"&gt;="&amp;TODAY(),cal_fechas,"&lt;"&amp;$J1144,cal_habil,"sí")))</f>
        <v/>
      </c>
      <c r="AC1144" s="3">
        <f>IF($AB1144="","",IF($AB1144&lt;0,"FUTURO",IF($AB1144&gt;p_dias_backlog_max,"BACKLOG","MES CORRIENTE")))</f>
        <v/>
      </c>
      <c r="AD1144" s="3">
        <f>IF($AB1144="",FALSE,AND($AB1144&gt;p_dias_backlog_min,$AB1144&lt;=p_dias_backlog_max))</f>
        <v/>
      </c>
      <c r="AE1144" s="6" t="n"/>
      <c r="AF1144" s="3">
        <f>IF($AE1144="","",IF((IFERROR(INDEX('ASIGNACIONES'!$F$4:$F$339,MATCH($O1144&amp;"|"&amp;$R1144&amp;"|"&amp;$AE1144,'ASIGNACIONES'!$J$4:$J$339,0)),""))=0,"",IFERROR(INDEX('ASIGNACIONES'!$F$4:$F$339,MATCH($O1144&amp;"|"&amp;$R1144&amp;"|"&amp;$AE1144,'ASIGNACIONES'!$J$4:$J$339,0)),"")))</f>
        <v/>
      </c>
      <c r="AG1144" s="13">
        <f>IF($AE1144="","",SUMIFS('ORDENES'!$M$4:$M$1203,'ORDENES'!$AE$4:$AE$1203,$AE1144,'ORDENES'!$O$4:$O$1203,$O1144,'ORDENES'!$R$4:$R$1203,$R1144))</f>
        <v/>
      </c>
      <c r="AH1144" s="13">
        <f>IF($AG1144="","",p_factor_productividad*IFERROR(INDEX('ASIGNACIONES'!$I$4:$I$339,MATCH($O1144&amp;"|"&amp;$R1144&amp;"|"&amp;$AE1144,'ASIGNACIONES'!$J$4:$J$339,0)),0)-$AG1144)</f>
        <v/>
      </c>
      <c r="AI1144" s="10">
        <f>IF($A1144="","",IFERROR(INDEX('2_IMPORTAR_EJECUCION'!$F$9:$F$1208,MATCH($AQ1144,'2_IMPORTAR_EJECUCION'!$J$9:$J$1208,0)),0))</f>
        <v/>
      </c>
      <c r="AJ1144" s="10">
        <f>IF($A1144="","",MAX(0,IFERROR(INDEX('2_IMPORTAR_EJECUCION'!$H$9:$H$1208,MATCH($AQ1144,'2_IMPORTAR_EJECUCION'!$J$9:$J$1208,0)),0)-$AI1144))</f>
        <v/>
      </c>
      <c r="AK1144" s="10">
        <f>IF($A1144="","",$AI1144+$AJ1144)</f>
        <v/>
      </c>
      <c r="AL1144" s="6" t="n"/>
      <c r="AM1144" s="6" t="n"/>
      <c r="AN1144" s="6" t="n"/>
      <c r="AO1144" s="3">
        <f>IF($AN1144="","",HYPERLINK(p_ruta_base_checklists&amp;$AN1144,"abrir"))</f>
        <v/>
      </c>
      <c r="AP1144" s="6" t="n"/>
      <c r="AQ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IF($A1145="","",IFERROR(INDEX('AJUSTES'!$B$4:$B$303,MATCH($AQ1145,'AJUSTES'!$A$4:$A$303,0)),IF($K1145="","",$K1145)))</f>
        <v/>
      </c>
      <c r="N1145" s="3">
        <f>IF($A1145="","",IFERROR(INDEX('CAT_ESTADOS_ERP'!$B$4:$B$7,MATCH(IFERROR(INDEX('2_IMPORTAR_EJECUCION'!$C$9:$C$1208,MATCH($AQ1145,'2_IMPORTAR_EJECUCION'!$J$9:$J$1208,0)),""),'CAT_ESTADOS_ERP'!$A$4:$A$7,0)),"Pendiente"))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J1145="","",IFERROR(INDEX('CALENDARIO'!$C$15:$C$214,MATCH(TEXT($J1145,"yyyy-mm-dd")&amp;"|"&amp;$V1145&amp;"|"&amp;$W1145,'CALENDARIO'!$G$15:$G$214,0)),IFERROR(INDEX('CALENDARIO'!$C$15:$C$214,MATCH(TEXT($J1145,"yyyy-mm-dd")&amp;"|"&amp;$V1145&amp;"|",'CALENDARIO'!$G$15:$G$214,0)),IFERROR(INDEX('CALENDARIO'!$C$15:$C$214,MATCH(TEXT($J1145,"yyyy-mm-dd")&amp;"||",'CALENDARIO'!$G$15:$G$214,0)),INDEX(patronHabil,WEEKDAY($J1145,2))))))</f>
        <v/>
      </c>
      <c r="T1145" s="3">
        <f>IF($I1145="","",IFERROR(INDEX('CAT_TIPOS_OT'!$C$4:$C$7,MATCH($I1145,'CAT_TIPOS_OT'!$A$4:$A$7,0)),"sin_clasificar"))</f>
        <v/>
      </c>
      <c r="U1145" s="3">
        <f>IF($F1145="","",IFERROR(INDEX('CAT_CENTROS_COSTO'!$F$4:$F$13,MATCH($F1145,'CAT_CENTROS_COSTO'!$A$4:$A$13,0)),"(sin catálogo)"))</f>
        <v/>
      </c>
      <c r="V1145" s="3">
        <f>IF($F1145="","",IFERROR(INDEX('CAT_CENTROS_COSTO'!$D$4:$D$13,MATCH($F1145,'CAT_CENTROS_COSTO'!$A$4:$A$13,0)),"(sin catálogo)"))</f>
        <v/>
      </c>
      <c r="W1145" s="3">
        <f>IF($F1145="","",IF((IFERROR(INDEX('CAT_CENTROS_COSTO'!$E$4:$E$13,MATCH($F1145,'CAT_CENTROS_COSTO'!$A$4:$A$13,0)),""))&lt;&gt;"",IFERROR(INDEX('CAT_CENTROS_COSTO'!$E$4:$E$13,MATCH($F1145,'CAT_CENTROS_COSTO'!$A$4:$A$13,0)),""),$V1145))</f>
        <v/>
      </c>
      <c r="X1145" s="3">
        <f>IF($F1145="","",IFERROR(INDEX('CAT_CENTROS_COSTO'!$G$4:$G$13,MATCH($F1145,'CAT_CENTROS_COSTO'!$A$4:$A$13,0)),"(sin catálogo)"))</f>
        <v/>
      </c>
      <c r="Y1145" s="3">
        <f>IF($G1145="","",IFERROR(INDEX('CAT_PUESTOS'!$B$4:$B$8,MATCH($G1145,'CAT_PUESTOS'!$A$4:$A$8,0)),"(sin catálogo)"))</f>
        <v/>
      </c>
      <c r="Z1145" s="3">
        <f>IF($H1145="","",IFERROR(INDEX('CAT_ACTIVIDADES'!$B$4:$B$8,MATCH($H1145,'CAT_ACTIVIDADES'!$A$4:$A$8,0)),"(sin catálogo)"))</f>
        <v/>
      </c>
      <c r="AA1145" s="12">
        <f>IF($J1145="","",TODAY()-$J1145)</f>
        <v/>
      </c>
      <c r="AB1145" s="12">
        <f>IF($J1145="","",IF($J1145&lt;=TODAY(),COUNTIFS(cal_fechas,"&gt;="&amp;$J1145,cal_fechas,"&lt;"&amp;TODAY(),cal_habil,"sí"),-COUNTIFS(cal_fechas,"&gt;="&amp;TODAY(),cal_fechas,"&lt;"&amp;$J1145,cal_habil,"sí")))</f>
        <v/>
      </c>
      <c r="AC1145" s="3">
        <f>IF($AB1145="","",IF($AB1145&lt;0,"FUTURO",IF($AB1145&gt;p_dias_backlog_max,"BACKLOG","MES CORRIENTE")))</f>
        <v/>
      </c>
      <c r="AD1145" s="3">
        <f>IF($AB1145="",FALSE,AND($AB1145&gt;p_dias_backlog_min,$AB1145&lt;=p_dias_backlog_max))</f>
        <v/>
      </c>
      <c r="AE1145" s="6" t="n"/>
      <c r="AF1145" s="3">
        <f>IF($AE1145="","",IF((IFERROR(INDEX('ASIGNACIONES'!$F$4:$F$339,MATCH($O1145&amp;"|"&amp;$R1145&amp;"|"&amp;$AE1145,'ASIGNACIONES'!$J$4:$J$339,0)),""))=0,"",IFERROR(INDEX('ASIGNACIONES'!$F$4:$F$339,MATCH($O1145&amp;"|"&amp;$R1145&amp;"|"&amp;$AE1145,'ASIGNACIONES'!$J$4:$J$339,0)),"")))</f>
        <v/>
      </c>
      <c r="AG1145" s="13">
        <f>IF($AE1145="","",SUMIFS('ORDENES'!$M$4:$M$1203,'ORDENES'!$AE$4:$AE$1203,$AE1145,'ORDENES'!$O$4:$O$1203,$O1145,'ORDENES'!$R$4:$R$1203,$R1145))</f>
        <v/>
      </c>
      <c r="AH1145" s="13">
        <f>IF($AG1145="","",p_factor_productividad*IFERROR(INDEX('ASIGNACIONES'!$I$4:$I$339,MATCH($O1145&amp;"|"&amp;$R1145&amp;"|"&amp;$AE1145,'ASIGNACIONES'!$J$4:$J$339,0)),0)-$AG1145)</f>
        <v/>
      </c>
      <c r="AI1145" s="10">
        <f>IF($A1145="","",IFERROR(INDEX('2_IMPORTAR_EJECUCION'!$F$9:$F$1208,MATCH($AQ1145,'2_IMPORTAR_EJECUCION'!$J$9:$J$1208,0)),0))</f>
        <v/>
      </c>
      <c r="AJ1145" s="10">
        <f>IF($A1145="","",MAX(0,IFERROR(INDEX('2_IMPORTAR_EJECUCION'!$H$9:$H$1208,MATCH($AQ1145,'2_IMPORTAR_EJECUCION'!$J$9:$J$1208,0)),0)-$AI1145))</f>
        <v/>
      </c>
      <c r="AK1145" s="10">
        <f>IF($A1145="","",$AI1145+$AJ1145)</f>
        <v/>
      </c>
      <c r="AL1145" s="6" t="n"/>
      <c r="AM1145" s="6" t="n"/>
      <c r="AN1145" s="6" t="n"/>
      <c r="AO1145" s="3">
        <f>IF($AN1145="","",HYPERLINK(p_ruta_base_checklists&amp;$AN1145,"abrir"))</f>
        <v/>
      </c>
      <c r="AP1145" s="6" t="n"/>
      <c r="AQ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IF($A1146="","",IFERROR(INDEX('AJUSTES'!$B$4:$B$303,MATCH($AQ1146,'AJUSTES'!$A$4:$A$303,0)),IF($K1146="","",$K1146)))</f>
        <v/>
      </c>
      <c r="N1146" s="3">
        <f>IF($A1146="","",IFERROR(INDEX('CAT_ESTADOS_ERP'!$B$4:$B$7,MATCH(IFERROR(INDEX('2_IMPORTAR_EJECUCION'!$C$9:$C$1208,MATCH($AQ1146,'2_IMPORTAR_EJECUCION'!$J$9:$J$1208,0)),""),'CAT_ESTADOS_ERP'!$A$4:$A$7,0)),"Pendiente"))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J1146="","",IFERROR(INDEX('CALENDARIO'!$C$15:$C$214,MATCH(TEXT($J1146,"yyyy-mm-dd")&amp;"|"&amp;$V1146&amp;"|"&amp;$W1146,'CALENDARIO'!$G$15:$G$214,0)),IFERROR(INDEX('CALENDARIO'!$C$15:$C$214,MATCH(TEXT($J1146,"yyyy-mm-dd")&amp;"|"&amp;$V1146&amp;"|",'CALENDARIO'!$G$15:$G$214,0)),IFERROR(INDEX('CALENDARIO'!$C$15:$C$214,MATCH(TEXT($J1146,"yyyy-mm-dd")&amp;"||",'CALENDARIO'!$G$15:$G$214,0)),INDEX(patronHabil,WEEKDAY($J1146,2))))))</f>
        <v/>
      </c>
      <c r="T1146" s="3">
        <f>IF($I1146="","",IFERROR(INDEX('CAT_TIPOS_OT'!$C$4:$C$7,MATCH($I1146,'CAT_TIPOS_OT'!$A$4:$A$7,0)),"sin_clasificar"))</f>
        <v/>
      </c>
      <c r="U1146" s="3">
        <f>IF($F1146="","",IFERROR(INDEX('CAT_CENTROS_COSTO'!$F$4:$F$13,MATCH($F1146,'CAT_CENTROS_COSTO'!$A$4:$A$13,0)),"(sin catálogo)"))</f>
        <v/>
      </c>
      <c r="V1146" s="3">
        <f>IF($F1146="","",IFERROR(INDEX('CAT_CENTROS_COSTO'!$D$4:$D$13,MATCH($F1146,'CAT_CENTROS_COSTO'!$A$4:$A$13,0)),"(sin catálogo)"))</f>
        <v/>
      </c>
      <c r="W1146" s="3">
        <f>IF($F1146="","",IF((IFERROR(INDEX('CAT_CENTROS_COSTO'!$E$4:$E$13,MATCH($F1146,'CAT_CENTROS_COSTO'!$A$4:$A$13,0)),""))&lt;&gt;"",IFERROR(INDEX('CAT_CENTROS_COSTO'!$E$4:$E$13,MATCH($F1146,'CAT_CENTROS_COSTO'!$A$4:$A$13,0)),""),$V1146))</f>
        <v/>
      </c>
      <c r="X1146" s="3">
        <f>IF($F1146="","",IFERROR(INDEX('CAT_CENTROS_COSTO'!$G$4:$G$13,MATCH($F1146,'CAT_CENTROS_COSTO'!$A$4:$A$13,0)),"(sin catálogo)"))</f>
        <v/>
      </c>
      <c r="Y1146" s="3">
        <f>IF($G1146="","",IFERROR(INDEX('CAT_PUESTOS'!$B$4:$B$8,MATCH($G1146,'CAT_PUESTOS'!$A$4:$A$8,0)),"(sin catálogo)"))</f>
        <v/>
      </c>
      <c r="Z1146" s="3">
        <f>IF($H1146="","",IFERROR(INDEX('CAT_ACTIVIDADES'!$B$4:$B$8,MATCH($H1146,'CAT_ACTIVIDADES'!$A$4:$A$8,0)),"(sin catálogo)"))</f>
        <v/>
      </c>
      <c r="AA1146" s="12">
        <f>IF($J1146="","",TODAY()-$J1146)</f>
        <v/>
      </c>
      <c r="AB1146" s="12">
        <f>IF($J1146="","",IF($J1146&lt;=TODAY(),COUNTIFS(cal_fechas,"&gt;="&amp;$J1146,cal_fechas,"&lt;"&amp;TODAY(),cal_habil,"sí"),-COUNTIFS(cal_fechas,"&gt;="&amp;TODAY(),cal_fechas,"&lt;"&amp;$J1146,cal_habil,"sí")))</f>
        <v/>
      </c>
      <c r="AC1146" s="3">
        <f>IF($AB1146="","",IF($AB1146&lt;0,"FUTURO",IF($AB1146&gt;p_dias_backlog_max,"BACKLOG","MES CORRIENTE")))</f>
        <v/>
      </c>
      <c r="AD1146" s="3">
        <f>IF($AB1146="",FALSE,AND($AB1146&gt;p_dias_backlog_min,$AB1146&lt;=p_dias_backlog_max))</f>
        <v/>
      </c>
      <c r="AE1146" s="6" t="n"/>
      <c r="AF1146" s="3">
        <f>IF($AE1146="","",IF((IFERROR(INDEX('ASIGNACIONES'!$F$4:$F$339,MATCH($O1146&amp;"|"&amp;$R1146&amp;"|"&amp;$AE1146,'ASIGNACIONES'!$J$4:$J$339,0)),""))=0,"",IFERROR(INDEX('ASIGNACIONES'!$F$4:$F$339,MATCH($O1146&amp;"|"&amp;$R1146&amp;"|"&amp;$AE1146,'ASIGNACIONES'!$J$4:$J$339,0)),"")))</f>
        <v/>
      </c>
      <c r="AG1146" s="13">
        <f>IF($AE1146="","",SUMIFS('ORDENES'!$M$4:$M$1203,'ORDENES'!$AE$4:$AE$1203,$AE1146,'ORDENES'!$O$4:$O$1203,$O1146,'ORDENES'!$R$4:$R$1203,$R1146))</f>
        <v/>
      </c>
      <c r="AH1146" s="13">
        <f>IF($AG1146="","",p_factor_productividad*IFERROR(INDEX('ASIGNACIONES'!$I$4:$I$339,MATCH($O1146&amp;"|"&amp;$R1146&amp;"|"&amp;$AE1146,'ASIGNACIONES'!$J$4:$J$339,0)),0)-$AG1146)</f>
        <v/>
      </c>
      <c r="AI1146" s="10">
        <f>IF($A1146="","",IFERROR(INDEX('2_IMPORTAR_EJECUCION'!$F$9:$F$1208,MATCH($AQ1146,'2_IMPORTAR_EJECUCION'!$J$9:$J$1208,0)),0))</f>
        <v/>
      </c>
      <c r="AJ1146" s="10">
        <f>IF($A1146="","",MAX(0,IFERROR(INDEX('2_IMPORTAR_EJECUCION'!$H$9:$H$1208,MATCH($AQ1146,'2_IMPORTAR_EJECUCION'!$J$9:$J$1208,0)),0)-$AI1146))</f>
        <v/>
      </c>
      <c r="AK1146" s="10">
        <f>IF($A1146="","",$AI1146+$AJ1146)</f>
        <v/>
      </c>
      <c r="AL1146" s="6" t="n"/>
      <c r="AM1146" s="6" t="n"/>
      <c r="AN1146" s="6" t="n"/>
      <c r="AO1146" s="3">
        <f>IF($AN1146="","",HYPERLINK(p_ruta_base_checklists&amp;$AN1146,"abrir"))</f>
        <v/>
      </c>
      <c r="AP1146" s="6" t="n"/>
      <c r="AQ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IF($A1147="","",IFERROR(INDEX('AJUSTES'!$B$4:$B$303,MATCH($AQ1147,'AJUSTES'!$A$4:$A$303,0)),IF($K1147="","",$K1147)))</f>
        <v/>
      </c>
      <c r="N1147" s="3">
        <f>IF($A1147="","",IFERROR(INDEX('CAT_ESTADOS_ERP'!$B$4:$B$7,MATCH(IFERROR(INDEX('2_IMPORTAR_EJECUCION'!$C$9:$C$1208,MATCH($AQ1147,'2_IMPORTAR_EJECUCION'!$J$9:$J$1208,0)),""),'CAT_ESTADOS_ERP'!$A$4:$A$7,0)),"Pendiente"))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J1147="","",IFERROR(INDEX('CALENDARIO'!$C$15:$C$214,MATCH(TEXT($J1147,"yyyy-mm-dd")&amp;"|"&amp;$V1147&amp;"|"&amp;$W1147,'CALENDARIO'!$G$15:$G$214,0)),IFERROR(INDEX('CALENDARIO'!$C$15:$C$214,MATCH(TEXT($J1147,"yyyy-mm-dd")&amp;"|"&amp;$V1147&amp;"|",'CALENDARIO'!$G$15:$G$214,0)),IFERROR(INDEX('CALENDARIO'!$C$15:$C$214,MATCH(TEXT($J1147,"yyyy-mm-dd")&amp;"||",'CALENDARIO'!$G$15:$G$214,0)),INDEX(patronHabil,WEEKDAY($J1147,2))))))</f>
        <v/>
      </c>
      <c r="T1147" s="3">
        <f>IF($I1147="","",IFERROR(INDEX('CAT_TIPOS_OT'!$C$4:$C$7,MATCH($I1147,'CAT_TIPOS_OT'!$A$4:$A$7,0)),"sin_clasificar"))</f>
        <v/>
      </c>
      <c r="U1147" s="3">
        <f>IF($F1147="","",IFERROR(INDEX('CAT_CENTROS_COSTO'!$F$4:$F$13,MATCH($F1147,'CAT_CENTROS_COSTO'!$A$4:$A$13,0)),"(sin catálogo)"))</f>
        <v/>
      </c>
      <c r="V1147" s="3">
        <f>IF($F1147="","",IFERROR(INDEX('CAT_CENTROS_COSTO'!$D$4:$D$13,MATCH($F1147,'CAT_CENTROS_COSTO'!$A$4:$A$13,0)),"(sin catálogo)"))</f>
        <v/>
      </c>
      <c r="W1147" s="3">
        <f>IF($F1147="","",IF((IFERROR(INDEX('CAT_CENTROS_COSTO'!$E$4:$E$13,MATCH($F1147,'CAT_CENTROS_COSTO'!$A$4:$A$13,0)),""))&lt;&gt;"",IFERROR(INDEX('CAT_CENTROS_COSTO'!$E$4:$E$13,MATCH($F1147,'CAT_CENTROS_COSTO'!$A$4:$A$13,0)),""),$V1147))</f>
        <v/>
      </c>
      <c r="X1147" s="3">
        <f>IF($F1147="","",IFERROR(INDEX('CAT_CENTROS_COSTO'!$G$4:$G$13,MATCH($F1147,'CAT_CENTROS_COSTO'!$A$4:$A$13,0)),"(sin catálogo)"))</f>
        <v/>
      </c>
      <c r="Y1147" s="3">
        <f>IF($G1147="","",IFERROR(INDEX('CAT_PUESTOS'!$B$4:$B$8,MATCH($G1147,'CAT_PUESTOS'!$A$4:$A$8,0)),"(sin catálogo)"))</f>
        <v/>
      </c>
      <c r="Z1147" s="3">
        <f>IF($H1147="","",IFERROR(INDEX('CAT_ACTIVIDADES'!$B$4:$B$8,MATCH($H1147,'CAT_ACTIVIDADES'!$A$4:$A$8,0)),"(sin catálogo)"))</f>
        <v/>
      </c>
      <c r="AA1147" s="12">
        <f>IF($J1147="","",TODAY()-$J1147)</f>
        <v/>
      </c>
      <c r="AB1147" s="12">
        <f>IF($J1147="","",IF($J1147&lt;=TODAY(),COUNTIFS(cal_fechas,"&gt;="&amp;$J1147,cal_fechas,"&lt;"&amp;TODAY(),cal_habil,"sí"),-COUNTIFS(cal_fechas,"&gt;="&amp;TODAY(),cal_fechas,"&lt;"&amp;$J1147,cal_habil,"sí")))</f>
        <v/>
      </c>
      <c r="AC1147" s="3">
        <f>IF($AB1147="","",IF($AB1147&lt;0,"FUTURO",IF($AB1147&gt;p_dias_backlog_max,"BACKLOG","MES CORRIENTE")))</f>
        <v/>
      </c>
      <c r="AD1147" s="3">
        <f>IF($AB1147="",FALSE,AND($AB1147&gt;p_dias_backlog_min,$AB1147&lt;=p_dias_backlog_max))</f>
        <v/>
      </c>
      <c r="AE1147" s="6" t="n"/>
      <c r="AF1147" s="3">
        <f>IF($AE1147="","",IF((IFERROR(INDEX('ASIGNACIONES'!$F$4:$F$339,MATCH($O1147&amp;"|"&amp;$R1147&amp;"|"&amp;$AE1147,'ASIGNACIONES'!$J$4:$J$339,0)),""))=0,"",IFERROR(INDEX('ASIGNACIONES'!$F$4:$F$339,MATCH($O1147&amp;"|"&amp;$R1147&amp;"|"&amp;$AE1147,'ASIGNACIONES'!$J$4:$J$339,0)),"")))</f>
        <v/>
      </c>
      <c r="AG1147" s="13">
        <f>IF($AE1147="","",SUMIFS('ORDENES'!$M$4:$M$1203,'ORDENES'!$AE$4:$AE$1203,$AE1147,'ORDENES'!$O$4:$O$1203,$O1147,'ORDENES'!$R$4:$R$1203,$R1147))</f>
        <v/>
      </c>
      <c r="AH1147" s="13">
        <f>IF($AG1147="","",p_factor_productividad*IFERROR(INDEX('ASIGNACIONES'!$I$4:$I$339,MATCH($O1147&amp;"|"&amp;$R1147&amp;"|"&amp;$AE1147,'ASIGNACIONES'!$J$4:$J$339,0)),0)-$AG1147)</f>
        <v/>
      </c>
      <c r="AI1147" s="10">
        <f>IF($A1147="","",IFERROR(INDEX('2_IMPORTAR_EJECUCION'!$F$9:$F$1208,MATCH($AQ1147,'2_IMPORTAR_EJECUCION'!$J$9:$J$1208,0)),0))</f>
        <v/>
      </c>
      <c r="AJ1147" s="10">
        <f>IF($A1147="","",MAX(0,IFERROR(INDEX('2_IMPORTAR_EJECUCION'!$H$9:$H$1208,MATCH($AQ1147,'2_IMPORTAR_EJECUCION'!$J$9:$J$1208,0)),0)-$AI1147))</f>
        <v/>
      </c>
      <c r="AK1147" s="10">
        <f>IF($A1147="","",$AI1147+$AJ1147)</f>
        <v/>
      </c>
      <c r="AL1147" s="6" t="n"/>
      <c r="AM1147" s="6" t="n"/>
      <c r="AN1147" s="6" t="n"/>
      <c r="AO1147" s="3">
        <f>IF($AN1147="","",HYPERLINK(p_ruta_base_checklists&amp;$AN1147,"abrir"))</f>
        <v/>
      </c>
      <c r="AP1147" s="6" t="n"/>
      <c r="AQ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IF($A1148="","",IFERROR(INDEX('AJUSTES'!$B$4:$B$303,MATCH($AQ1148,'AJUSTES'!$A$4:$A$303,0)),IF($K1148="","",$K1148)))</f>
        <v/>
      </c>
      <c r="N1148" s="3">
        <f>IF($A1148="","",IFERROR(INDEX('CAT_ESTADOS_ERP'!$B$4:$B$7,MATCH(IFERROR(INDEX('2_IMPORTAR_EJECUCION'!$C$9:$C$1208,MATCH($AQ1148,'2_IMPORTAR_EJECUCION'!$J$9:$J$1208,0)),""),'CAT_ESTADOS_ERP'!$A$4:$A$7,0)),"Pendiente"))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J1148="","",IFERROR(INDEX('CALENDARIO'!$C$15:$C$214,MATCH(TEXT($J1148,"yyyy-mm-dd")&amp;"|"&amp;$V1148&amp;"|"&amp;$W1148,'CALENDARIO'!$G$15:$G$214,0)),IFERROR(INDEX('CALENDARIO'!$C$15:$C$214,MATCH(TEXT($J1148,"yyyy-mm-dd")&amp;"|"&amp;$V1148&amp;"|",'CALENDARIO'!$G$15:$G$214,0)),IFERROR(INDEX('CALENDARIO'!$C$15:$C$214,MATCH(TEXT($J1148,"yyyy-mm-dd")&amp;"||",'CALENDARIO'!$G$15:$G$214,0)),INDEX(patronHabil,WEEKDAY($J1148,2))))))</f>
        <v/>
      </c>
      <c r="T1148" s="3">
        <f>IF($I1148="","",IFERROR(INDEX('CAT_TIPOS_OT'!$C$4:$C$7,MATCH($I1148,'CAT_TIPOS_OT'!$A$4:$A$7,0)),"sin_clasificar"))</f>
        <v/>
      </c>
      <c r="U1148" s="3">
        <f>IF($F1148="","",IFERROR(INDEX('CAT_CENTROS_COSTO'!$F$4:$F$13,MATCH($F1148,'CAT_CENTROS_COSTO'!$A$4:$A$13,0)),"(sin catálogo)"))</f>
        <v/>
      </c>
      <c r="V1148" s="3">
        <f>IF($F1148="","",IFERROR(INDEX('CAT_CENTROS_COSTO'!$D$4:$D$13,MATCH($F1148,'CAT_CENTROS_COSTO'!$A$4:$A$13,0)),"(sin catálogo)"))</f>
        <v/>
      </c>
      <c r="W1148" s="3">
        <f>IF($F1148="","",IF((IFERROR(INDEX('CAT_CENTROS_COSTO'!$E$4:$E$13,MATCH($F1148,'CAT_CENTROS_COSTO'!$A$4:$A$13,0)),""))&lt;&gt;"",IFERROR(INDEX('CAT_CENTROS_COSTO'!$E$4:$E$13,MATCH($F1148,'CAT_CENTROS_COSTO'!$A$4:$A$13,0)),""),$V1148))</f>
        <v/>
      </c>
      <c r="X1148" s="3">
        <f>IF($F1148="","",IFERROR(INDEX('CAT_CENTROS_COSTO'!$G$4:$G$13,MATCH($F1148,'CAT_CENTROS_COSTO'!$A$4:$A$13,0)),"(sin catálogo)"))</f>
        <v/>
      </c>
      <c r="Y1148" s="3">
        <f>IF($G1148="","",IFERROR(INDEX('CAT_PUESTOS'!$B$4:$B$8,MATCH($G1148,'CAT_PUESTOS'!$A$4:$A$8,0)),"(sin catálogo)"))</f>
        <v/>
      </c>
      <c r="Z1148" s="3">
        <f>IF($H1148="","",IFERROR(INDEX('CAT_ACTIVIDADES'!$B$4:$B$8,MATCH($H1148,'CAT_ACTIVIDADES'!$A$4:$A$8,0)),"(sin catálogo)"))</f>
        <v/>
      </c>
      <c r="AA1148" s="12">
        <f>IF($J1148="","",TODAY()-$J1148)</f>
        <v/>
      </c>
      <c r="AB1148" s="12">
        <f>IF($J1148="","",IF($J1148&lt;=TODAY(),COUNTIFS(cal_fechas,"&gt;="&amp;$J1148,cal_fechas,"&lt;"&amp;TODAY(),cal_habil,"sí"),-COUNTIFS(cal_fechas,"&gt;="&amp;TODAY(),cal_fechas,"&lt;"&amp;$J1148,cal_habil,"sí")))</f>
        <v/>
      </c>
      <c r="AC1148" s="3">
        <f>IF($AB1148="","",IF($AB1148&lt;0,"FUTURO",IF($AB1148&gt;p_dias_backlog_max,"BACKLOG","MES CORRIENTE")))</f>
        <v/>
      </c>
      <c r="AD1148" s="3">
        <f>IF($AB1148="",FALSE,AND($AB1148&gt;p_dias_backlog_min,$AB1148&lt;=p_dias_backlog_max))</f>
        <v/>
      </c>
      <c r="AE1148" s="6" t="n"/>
      <c r="AF1148" s="3">
        <f>IF($AE1148="","",IF((IFERROR(INDEX('ASIGNACIONES'!$F$4:$F$339,MATCH($O1148&amp;"|"&amp;$R1148&amp;"|"&amp;$AE1148,'ASIGNACIONES'!$J$4:$J$339,0)),""))=0,"",IFERROR(INDEX('ASIGNACIONES'!$F$4:$F$339,MATCH($O1148&amp;"|"&amp;$R1148&amp;"|"&amp;$AE1148,'ASIGNACIONES'!$J$4:$J$339,0)),"")))</f>
        <v/>
      </c>
      <c r="AG1148" s="13">
        <f>IF($AE1148="","",SUMIFS('ORDENES'!$M$4:$M$1203,'ORDENES'!$AE$4:$AE$1203,$AE1148,'ORDENES'!$O$4:$O$1203,$O1148,'ORDENES'!$R$4:$R$1203,$R1148))</f>
        <v/>
      </c>
      <c r="AH1148" s="13">
        <f>IF($AG1148="","",p_factor_productividad*IFERROR(INDEX('ASIGNACIONES'!$I$4:$I$339,MATCH($O1148&amp;"|"&amp;$R1148&amp;"|"&amp;$AE1148,'ASIGNACIONES'!$J$4:$J$339,0)),0)-$AG1148)</f>
        <v/>
      </c>
      <c r="AI1148" s="10">
        <f>IF($A1148="","",IFERROR(INDEX('2_IMPORTAR_EJECUCION'!$F$9:$F$1208,MATCH($AQ1148,'2_IMPORTAR_EJECUCION'!$J$9:$J$1208,0)),0))</f>
        <v/>
      </c>
      <c r="AJ1148" s="10">
        <f>IF($A1148="","",MAX(0,IFERROR(INDEX('2_IMPORTAR_EJECUCION'!$H$9:$H$1208,MATCH($AQ1148,'2_IMPORTAR_EJECUCION'!$J$9:$J$1208,0)),0)-$AI1148))</f>
        <v/>
      </c>
      <c r="AK1148" s="10">
        <f>IF($A1148="","",$AI1148+$AJ1148)</f>
        <v/>
      </c>
      <c r="AL1148" s="6" t="n"/>
      <c r="AM1148" s="6" t="n"/>
      <c r="AN1148" s="6" t="n"/>
      <c r="AO1148" s="3">
        <f>IF($AN1148="","",HYPERLINK(p_ruta_base_checklists&amp;$AN1148,"abrir"))</f>
        <v/>
      </c>
      <c r="AP1148" s="6" t="n"/>
      <c r="AQ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IF($A1149="","",IFERROR(INDEX('AJUSTES'!$B$4:$B$303,MATCH($AQ1149,'AJUSTES'!$A$4:$A$303,0)),IF($K1149="","",$K1149)))</f>
        <v/>
      </c>
      <c r="N1149" s="3">
        <f>IF($A1149="","",IFERROR(INDEX('CAT_ESTADOS_ERP'!$B$4:$B$7,MATCH(IFERROR(INDEX('2_IMPORTAR_EJECUCION'!$C$9:$C$1208,MATCH($AQ1149,'2_IMPORTAR_EJECUCION'!$J$9:$J$1208,0)),""),'CAT_ESTADOS_ERP'!$A$4:$A$7,0)),"Pendiente"))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J1149="","",IFERROR(INDEX('CALENDARIO'!$C$15:$C$214,MATCH(TEXT($J1149,"yyyy-mm-dd")&amp;"|"&amp;$V1149&amp;"|"&amp;$W1149,'CALENDARIO'!$G$15:$G$214,0)),IFERROR(INDEX('CALENDARIO'!$C$15:$C$214,MATCH(TEXT($J1149,"yyyy-mm-dd")&amp;"|"&amp;$V1149&amp;"|",'CALENDARIO'!$G$15:$G$214,0)),IFERROR(INDEX('CALENDARIO'!$C$15:$C$214,MATCH(TEXT($J1149,"yyyy-mm-dd")&amp;"||",'CALENDARIO'!$G$15:$G$214,0)),INDEX(patronHabil,WEEKDAY($J1149,2))))))</f>
        <v/>
      </c>
      <c r="T1149" s="3">
        <f>IF($I1149="","",IFERROR(INDEX('CAT_TIPOS_OT'!$C$4:$C$7,MATCH($I1149,'CAT_TIPOS_OT'!$A$4:$A$7,0)),"sin_clasificar"))</f>
        <v/>
      </c>
      <c r="U1149" s="3">
        <f>IF($F1149="","",IFERROR(INDEX('CAT_CENTROS_COSTO'!$F$4:$F$13,MATCH($F1149,'CAT_CENTROS_COSTO'!$A$4:$A$13,0)),"(sin catálogo)"))</f>
        <v/>
      </c>
      <c r="V1149" s="3">
        <f>IF($F1149="","",IFERROR(INDEX('CAT_CENTROS_COSTO'!$D$4:$D$13,MATCH($F1149,'CAT_CENTROS_COSTO'!$A$4:$A$13,0)),"(sin catálogo)"))</f>
        <v/>
      </c>
      <c r="W1149" s="3">
        <f>IF($F1149="","",IF((IFERROR(INDEX('CAT_CENTROS_COSTO'!$E$4:$E$13,MATCH($F1149,'CAT_CENTROS_COSTO'!$A$4:$A$13,0)),""))&lt;&gt;"",IFERROR(INDEX('CAT_CENTROS_COSTO'!$E$4:$E$13,MATCH($F1149,'CAT_CENTROS_COSTO'!$A$4:$A$13,0)),""),$V1149))</f>
        <v/>
      </c>
      <c r="X1149" s="3">
        <f>IF($F1149="","",IFERROR(INDEX('CAT_CENTROS_COSTO'!$G$4:$G$13,MATCH($F1149,'CAT_CENTROS_COSTO'!$A$4:$A$13,0)),"(sin catálogo)"))</f>
        <v/>
      </c>
      <c r="Y1149" s="3">
        <f>IF($G1149="","",IFERROR(INDEX('CAT_PUESTOS'!$B$4:$B$8,MATCH($G1149,'CAT_PUESTOS'!$A$4:$A$8,0)),"(sin catálogo)"))</f>
        <v/>
      </c>
      <c r="Z1149" s="3">
        <f>IF($H1149="","",IFERROR(INDEX('CAT_ACTIVIDADES'!$B$4:$B$8,MATCH($H1149,'CAT_ACTIVIDADES'!$A$4:$A$8,0)),"(sin catálogo)"))</f>
        <v/>
      </c>
      <c r="AA1149" s="12">
        <f>IF($J1149="","",TODAY()-$J1149)</f>
        <v/>
      </c>
      <c r="AB1149" s="12">
        <f>IF($J1149="","",IF($J1149&lt;=TODAY(),COUNTIFS(cal_fechas,"&gt;="&amp;$J1149,cal_fechas,"&lt;"&amp;TODAY(),cal_habil,"sí"),-COUNTIFS(cal_fechas,"&gt;="&amp;TODAY(),cal_fechas,"&lt;"&amp;$J1149,cal_habil,"sí")))</f>
        <v/>
      </c>
      <c r="AC1149" s="3">
        <f>IF($AB1149="","",IF($AB1149&lt;0,"FUTURO",IF($AB1149&gt;p_dias_backlog_max,"BACKLOG","MES CORRIENTE")))</f>
        <v/>
      </c>
      <c r="AD1149" s="3">
        <f>IF($AB1149="",FALSE,AND($AB1149&gt;p_dias_backlog_min,$AB1149&lt;=p_dias_backlog_max))</f>
        <v/>
      </c>
      <c r="AE1149" s="6" t="n"/>
      <c r="AF1149" s="3">
        <f>IF($AE1149="","",IF((IFERROR(INDEX('ASIGNACIONES'!$F$4:$F$339,MATCH($O1149&amp;"|"&amp;$R1149&amp;"|"&amp;$AE1149,'ASIGNACIONES'!$J$4:$J$339,0)),""))=0,"",IFERROR(INDEX('ASIGNACIONES'!$F$4:$F$339,MATCH($O1149&amp;"|"&amp;$R1149&amp;"|"&amp;$AE1149,'ASIGNACIONES'!$J$4:$J$339,0)),"")))</f>
        <v/>
      </c>
      <c r="AG1149" s="13">
        <f>IF($AE1149="","",SUMIFS('ORDENES'!$M$4:$M$1203,'ORDENES'!$AE$4:$AE$1203,$AE1149,'ORDENES'!$O$4:$O$1203,$O1149,'ORDENES'!$R$4:$R$1203,$R1149))</f>
        <v/>
      </c>
      <c r="AH1149" s="13">
        <f>IF($AG1149="","",p_factor_productividad*IFERROR(INDEX('ASIGNACIONES'!$I$4:$I$339,MATCH($O1149&amp;"|"&amp;$R1149&amp;"|"&amp;$AE1149,'ASIGNACIONES'!$J$4:$J$339,0)),0)-$AG1149)</f>
        <v/>
      </c>
      <c r="AI1149" s="10">
        <f>IF($A1149="","",IFERROR(INDEX('2_IMPORTAR_EJECUCION'!$F$9:$F$1208,MATCH($AQ1149,'2_IMPORTAR_EJECUCION'!$J$9:$J$1208,0)),0))</f>
        <v/>
      </c>
      <c r="AJ1149" s="10">
        <f>IF($A1149="","",MAX(0,IFERROR(INDEX('2_IMPORTAR_EJECUCION'!$H$9:$H$1208,MATCH($AQ1149,'2_IMPORTAR_EJECUCION'!$J$9:$J$1208,0)),0)-$AI1149))</f>
        <v/>
      </c>
      <c r="AK1149" s="10">
        <f>IF($A1149="","",$AI1149+$AJ1149)</f>
        <v/>
      </c>
      <c r="AL1149" s="6" t="n"/>
      <c r="AM1149" s="6" t="n"/>
      <c r="AN1149" s="6" t="n"/>
      <c r="AO1149" s="3">
        <f>IF($AN1149="","",HYPERLINK(p_ruta_base_checklists&amp;$AN1149,"abrir"))</f>
        <v/>
      </c>
      <c r="AP1149" s="6" t="n"/>
      <c r="AQ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IF($A1150="","",IFERROR(INDEX('AJUSTES'!$B$4:$B$303,MATCH($AQ1150,'AJUSTES'!$A$4:$A$303,0)),IF($K1150="","",$K1150)))</f>
        <v/>
      </c>
      <c r="N1150" s="3">
        <f>IF($A1150="","",IFERROR(INDEX('CAT_ESTADOS_ERP'!$B$4:$B$7,MATCH(IFERROR(INDEX('2_IMPORTAR_EJECUCION'!$C$9:$C$1208,MATCH($AQ1150,'2_IMPORTAR_EJECUCION'!$J$9:$J$1208,0)),""),'CAT_ESTADOS_ERP'!$A$4:$A$7,0)),"Pendiente"))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J1150="","",IFERROR(INDEX('CALENDARIO'!$C$15:$C$214,MATCH(TEXT($J1150,"yyyy-mm-dd")&amp;"|"&amp;$V1150&amp;"|"&amp;$W1150,'CALENDARIO'!$G$15:$G$214,0)),IFERROR(INDEX('CALENDARIO'!$C$15:$C$214,MATCH(TEXT($J1150,"yyyy-mm-dd")&amp;"|"&amp;$V1150&amp;"|",'CALENDARIO'!$G$15:$G$214,0)),IFERROR(INDEX('CALENDARIO'!$C$15:$C$214,MATCH(TEXT($J1150,"yyyy-mm-dd")&amp;"||",'CALENDARIO'!$G$15:$G$214,0)),INDEX(patronHabil,WEEKDAY($J1150,2))))))</f>
        <v/>
      </c>
      <c r="T1150" s="3">
        <f>IF($I1150="","",IFERROR(INDEX('CAT_TIPOS_OT'!$C$4:$C$7,MATCH($I1150,'CAT_TIPOS_OT'!$A$4:$A$7,0)),"sin_clasificar"))</f>
        <v/>
      </c>
      <c r="U1150" s="3">
        <f>IF($F1150="","",IFERROR(INDEX('CAT_CENTROS_COSTO'!$F$4:$F$13,MATCH($F1150,'CAT_CENTROS_COSTO'!$A$4:$A$13,0)),"(sin catálogo)"))</f>
        <v/>
      </c>
      <c r="V1150" s="3">
        <f>IF($F1150="","",IFERROR(INDEX('CAT_CENTROS_COSTO'!$D$4:$D$13,MATCH($F1150,'CAT_CENTROS_COSTO'!$A$4:$A$13,0)),"(sin catálogo)"))</f>
        <v/>
      </c>
      <c r="W1150" s="3">
        <f>IF($F1150="","",IF((IFERROR(INDEX('CAT_CENTROS_COSTO'!$E$4:$E$13,MATCH($F1150,'CAT_CENTROS_COSTO'!$A$4:$A$13,0)),""))&lt;&gt;"",IFERROR(INDEX('CAT_CENTROS_COSTO'!$E$4:$E$13,MATCH($F1150,'CAT_CENTROS_COSTO'!$A$4:$A$13,0)),""),$V1150))</f>
        <v/>
      </c>
      <c r="X1150" s="3">
        <f>IF($F1150="","",IFERROR(INDEX('CAT_CENTROS_COSTO'!$G$4:$G$13,MATCH($F1150,'CAT_CENTROS_COSTO'!$A$4:$A$13,0)),"(sin catálogo)"))</f>
        <v/>
      </c>
      <c r="Y1150" s="3">
        <f>IF($G1150="","",IFERROR(INDEX('CAT_PUESTOS'!$B$4:$B$8,MATCH($G1150,'CAT_PUESTOS'!$A$4:$A$8,0)),"(sin catálogo)"))</f>
        <v/>
      </c>
      <c r="Z1150" s="3">
        <f>IF($H1150="","",IFERROR(INDEX('CAT_ACTIVIDADES'!$B$4:$B$8,MATCH($H1150,'CAT_ACTIVIDADES'!$A$4:$A$8,0)),"(sin catálogo)"))</f>
        <v/>
      </c>
      <c r="AA1150" s="12">
        <f>IF($J1150="","",TODAY()-$J1150)</f>
        <v/>
      </c>
      <c r="AB1150" s="12">
        <f>IF($J1150="","",IF($J1150&lt;=TODAY(),COUNTIFS(cal_fechas,"&gt;="&amp;$J1150,cal_fechas,"&lt;"&amp;TODAY(),cal_habil,"sí"),-COUNTIFS(cal_fechas,"&gt;="&amp;TODAY(),cal_fechas,"&lt;"&amp;$J1150,cal_habil,"sí")))</f>
        <v/>
      </c>
      <c r="AC1150" s="3">
        <f>IF($AB1150="","",IF($AB1150&lt;0,"FUTURO",IF($AB1150&gt;p_dias_backlog_max,"BACKLOG","MES CORRIENTE")))</f>
        <v/>
      </c>
      <c r="AD1150" s="3">
        <f>IF($AB1150="",FALSE,AND($AB1150&gt;p_dias_backlog_min,$AB1150&lt;=p_dias_backlog_max))</f>
        <v/>
      </c>
      <c r="AE1150" s="6" t="n"/>
      <c r="AF1150" s="3">
        <f>IF($AE1150="","",IF((IFERROR(INDEX('ASIGNACIONES'!$F$4:$F$339,MATCH($O1150&amp;"|"&amp;$R1150&amp;"|"&amp;$AE1150,'ASIGNACIONES'!$J$4:$J$339,0)),""))=0,"",IFERROR(INDEX('ASIGNACIONES'!$F$4:$F$339,MATCH($O1150&amp;"|"&amp;$R1150&amp;"|"&amp;$AE1150,'ASIGNACIONES'!$J$4:$J$339,0)),"")))</f>
        <v/>
      </c>
      <c r="AG1150" s="13">
        <f>IF($AE1150="","",SUMIFS('ORDENES'!$M$4:$M$1203,'ORDENES'!$AE$4:$AE$1203,$AE1150,'ORDENES'!$O$4:$O$1203,$O1150,'ORDENES'!$R$4:$R$1203,$R1150))</f>
        <v/>
      </c>
      <c r="AH1150" s="13">
        <f>IF($AG1150="","",p_factor_productividad*IFERROR(INDEX('ASIGNACIONES'!$I$4:$I$339,MATCH($O1150&amp;"|"&amp;$R1150&amp;"|"&amp;$AE1150,'ASIGNACIONES'!$J$4:$J$339,0)),0)-$AG1150)</f>
        <v/>
      </c>
      <c r="AI1150" s="10">
        <f>IF($A1150="","",IFERROR(INDEX('2_IMPORTAR_EJECUCION'!$F$9:$F$1208,MATCH($AQ1150,'2_IMPORTAR_EJECUCION'!$J$9:$J$1208,0)),0))</f>
        <v/>
      </c>
      <c r="AJ1150" s="10">
        <f>IF($A1150="","",MAX(0,IFERROR(INDEX('2_IMPORTAR_EJECUCION'!$H$9:$H$1208,MATCH($AQ1150,'2_IMPORTAR_EJECUCION'!$J$9:$J$1208,0)),0)-$AI1150))</f>
        <v/>
      </c>
      <c r="AK1150" s="10">
        <f>IF($A1150="","",$AI1150+$AJ1150)</f>
        <v/>
      </c>
      <c r="AL1150" s="6" t="n"/>
      <c r="AM1150" s="6" t="n"/>
      <c r="AN1150" s="6" t="n"/>
      <c r="AO1150" s="3">
        <f>IF($AN1150="","",HYPERLINK(p_ruta_base_checklists&amp;$AN1150,"abrir"))</f>
        <v/>
      </c>
      <c r="AP1150" s="6" t="n"/>
      <c r="AQ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IF($A1151="","",IFERROR(INDEX('AJUSTES'!$B$4:$B$303,MATCH($AQ1151,'AJUSTES'!$A$4:$A$303,0)),IF($K1151="","",$K1151)))</f>
        <v/>
      </c>
      <c r="N1151" s="3">
        <f>IF($A1151="","",IFERROR(INDEX('CAT_ESTADOS_ERP'!$B$4:$B$7,MATCH(IFERROR(INDEX('2_IMPORTAR_EJECUCION'!$C$9:$C$1208,MATCH($AQ1151,'2_IMPORTAR_EJECUCION'!$J$9:$J$1208,0)),""),'CAT_ESTADOS_ERP'!$A$4:$A$7,0)),"Pendiente"))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J1151="","",IFERROR(INDEX('CALENDARIO'!$C$15:$C$214,MATCH(TEXT($J1151,"yyyy-mm-dd")&amp;"|"&amp;$V1151&amp;"|"&amp;$W1151,'CALENDARIO'!$G$15:$G$214,0)),IFERROR(INDEX('CALENDARIO'!$C$15:$C$214,MATCH(TEXT($J1151,"yyyy-mm-dd")&amp;"|"&amp;$V1151&amp;"|",'CALENDARIO'!$G$15:$G$214,0)),IFERROR(INDEX('CALENDARIO'!$C$15:$C$214,MATCH(TEXT($J1151,"yyyy-mm-dd")&amp;"||",'CALENDARIO'!$G$15:$G$214,0)),INDEX(patronHabil,WEEKDAY($J1151,2))))))</f>
        <v/>
      </c>
      <c r="T1151" s="3">
        <f>IF($I1151="","",IFERROR(INDEX('CAT_TIPOS_OT'!$C$4:$C$7,MATCH($I1151,'CAT_TIPOS_OT'!$A$4:$A$7,0)),"sin_clasificar"))</f>
        <v/>
      </c>
      <c r="U1151" s="3">
        <f>IF($F1151="","",IFERROR(INDEX('CAT_CENTROS_COSTO'!$F$4:$F$13,MATCH($F1151,'CAT_CENTROS_COSTO'!$A$4:$A$13,0)),"(sin catálogo)"))</f>
        <v/>
      </c>
      <c r="V1151" s="3">
        <f>IF($F1151="","",IFERROR(INDEX('CAT_CENTROS_COSTO'!$D$4:$D$13,MATCH($F1151,'CAT_CENTROS_COSTO'!$A$4:$A$13,0)),"(sin catálogo)"))</f>
        <v/>
      </c>
      <c r="W1151" s="3">
        <f>IF($F1151="","",IF((IFERROR(INDEX('CAT_CENTROS_COSTO'!$E$4:$E$13,MATCH($F1151,'CAT_CENTROS_COSTO'!$A$4:$A$13,0)),""))&lt;&gt;"",IFERROR(INDEX('CAT_CENTROS_COSTO'!$E$4:$E$13,MATCH($F1151,'CAT_CENTROS_COSTO'!$A$4:$A$13,0)),""),$V1151))</f>
        <v/>
      </c>
      <c r="X1151" s="3">
        <f>IF($F1151="","",IFERROR(INDEX('CAT_CENTROS_COSTO'!$G$4:$G$13,MATCH($F1151,'CAT_CENTROS_COSTO'!$A$4:$A$13,0)),"(sin catálogo)"))</f>
        <v/>
      </c>
      <c r="Y1151" s="3">
        <f>IF($G1151="","",IFERROR(INDEX('CAT_PUESTOS'!$B$4:$B$8,MATCH($G1151,'CAT_PUESTOS'!$A$4:$A$8,0)),"(sin catálogo)"))</f>
        <v/>
      </c>
      <c r="Z1151" s="3">
        <f>IF($H1151="","",IFERROR(INDEX('CAT_ACTIVIDADES'!$B$4:$B$8,MATCH($H1151,'CAT_ACTIVIDADES'!$A$4:$A$8,0)),"(sin catálogo)"))</f>
        <v/>
      </c>
      <c r="AA1151" s="12">
        <f>IF($J1151="","",TODAY()-$J1151)</f>
        <v/>
      </c>
      <c r="AB1151" s="12">
        <f>IF($J1151="","",IF($J1151&lt;=TODAY(),COUNTIFS(cal_fechas,"&gt;="&amp;$J1151,cal_fechas,"&lt;"&amp;TODAY(),cal_habil,"sí"),-COUNTIFS(cal_fechas,"&gt;="&amp;TODAY(),cal_fechas,"&lt;"&amp;$J1151,cal_habil,"sí")))</f>
        <v/>
      </c>
      <c r="AC1151" s="3">
        <f>IF($AB1151="","",IF($AB1151&lt;0,"FUTURO",IF($AB1151&gt;p_dias_backlog_max,"BACKLOG","MES CORRIENTE")))</f>
        <v/>
      </c>
      <c r="AD1151" s="3">
        <f>IF($AB1151="",FALSE,AND($AB1151&gt;p_dias_backlog_min,$AB1151&lt;=p_dias_backlog_max))</f>
        <v/>
      </c>
      <c r="AE1151" s="6" t="n"/>
      <c r="AF1151" s="3">
        <f>IF($AE1151="","",IF((IFERROR(INDEX('ASIGNACIONES'!$F$4:$F$339,MATCH($O1151&amp;"|"&amp;$R1151&amp;"|"&amp;$AE1151,'ASIGNACIONES'!$J$4:$J$339,0)),""))=0,"",IFERROR(INDEX('ASIGNACIONES'!$F$4:$F$339,MATCH($O1151&amp;"|"&amp;$R1151&amp;"|"&amp;$AE1151,'ASIGNACIONES'!$J$4:$J$339,0)),"")))</f>
        <v/>
      </c>
      <c r="AG1151" s="13">
        <f>IF($AE1151="","",SUMIFS('ORDENES'!$M$4:$M$1203,'ORDENES'!$AE$4:$AE$1203,$AE1151,'ORDENES'!$O$4:$O$1203,$O1151,'ORDENES'!$R$4:$R$1203,$R1151))</f>
        <v/>
      </c>
      <c r="AH1151" s="13">
        <f>IF($AG1151="","",p_factor_productividad*IFERROR(INDEX('ASIGNACIONES'!$I$4:$I$339,MATCH($O1151&amp;"|"&amp;$R1151&amp;"|"&amp;$AE1151,'ASIGNACIONES'!$J$4:$J$339,0)),0)-$AG1151)</f>
        <v/>
      </c>
      <c r="AI1151" s="10">
        <f>IF($A1151="","",IFERROR(INDEX('2_IMPORTAR_EJECUCION'!$F$9:$F$1208,MATCH($AQ1151,'2_IMPORTAR_EJECUCION'!$J$9:$J$1208,0)),0))</f>
        <v/>
      </c>
      <c r="AJ1151" s="10">
        <f>IF($A1151="","",MAX(0,IFERROR(INDEX('2_IMPORTAR_EJECUCION'!$H$9:$H$1208,MATCH($AQ1151,'2_IMPORTAR_EJECUCION'!$J$9:$J$1208,0)),0)-$AI1151))</f>
        <v/>
      </c>
      <c r="AK1151" s="10">
        <f>IF($A1151="","",$AI1151+$AJ1151)</f>
        <v/>
      </c>
      <c r="AL1151" s="6" t="n"/>
      <c r="AM1151" s="6" t="n"/>
      <c r="AN1151" s="6" t="n"/>
      <c r="AO1151" s="3">
        <f>IF($AN1151="","",HYPERLINK(p_ruta_base_checklists&amp;$AN1151,"abrir"))</f>
        <v/>
      </c>
      <c r="AP1151" s="6" t="n"/>
      <c r="AQ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IF($A1152="","",IFERROR(INDEX('AJUSTES'!$B$4:$B$303,MATCH($AQ1152,'AJUSTES'!$A$4:$A$303,0)),IF($K1152="","",$K1152)))</f>
        <v/>
      </c>
      <c r="N1152" s="3">
        <f>IF($A1152="","",IFERROR(INDEX('CAT_ESTADOS_ERP'!$B$4:$B$7,MATCH(IFERROR(INDEX('2_IMPORTAR_EJECUCION'!$C$9:$C$1208,MATCH($AQ1152,'2_IMPORTAR_EJECUCION'!$J$9:$J$1208,0)),""),'CAT_ESTADOS_ERP'!$A$4:$A$7,0)),"Pendiente"))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J1152="","",IFERROR(INDEX('CALENDARIO'!$C$15:$C$214,MATCH(TEXT($J1152,"yyyy-mm-dd")&amp;"|"&amp;$V1152&amp;"|"&amp;$W1152,'CALENDARIO'!$G$15:$G$214,0)),IFERROR(INDEX('CALENDARIO'!$C$15:$C$214,MATCH(TEXT($J1152,"yyyy-mm-dd")&amp;"|"&amp;$V1152&amp;"|",'CALENDARIO'!$G$15:$G$214,0)),IFERROR(INDEX('CALENDARIO'!$C$15:$C$214,MATCH(TEXT($J1152,"yyyy-mm-dd")&amp;"||",'CALENDARIO'!$G$15:$G$214,0)),INDEX(patronHabil,WEEKDAY($J1152,2))))))</f>
        <v/>
      </c>
      <c r="T1152" s="3">
        <f>IF($I1152="","",IFERROR(INDEX('CAT_TIPOS_OT'!$C$4:$C$7,MATCH($I1152,'CAT_TIPOS_OT'!$A$4:$A$7,0)),"sin_clasificar"))</f>
        <v/>
      </c>
      <c r="U1152" s="3">
        <f>IF($F1152="","",IFERROR(INDEX('CAT_CENTROS_COSTO'!$F$4:$F$13,MATCH($F1152,'CAT_CENTROS_COSTO'!$A$4:$A$13,0)),"(sin catálogo)"))</f>
        <v/>
      </c>
      <c r="V1152" s="3">
        <f>IF($F1152="","",IFERROR(INDEX('CAT_CENTROS_COSTO'!$D$4:$D$13,MATCH($F1152,'CAT_CENTROS_COSTO'!$A$4:$A$13,0)),"(sin catálogo)"))</f>
        <v/>
      </c>
      <c r="W1152" s="3">
        <f>IF($F1152="","",IF((IFERROR(INDEX('CAT_CENTROS_COSTO'!$E$4:$E$13,MATCH($F1152,'CAT_CENTROS_COSTO'!$A$4:$A$13,0)),""))&lt;&gt;"",IFERROR(INDEX('CAT_CENTROS_COSTO'!$E$4:$E$13,MATCH($F1152,'CAT_CENTROS_COSTO'!$A$4:$A$13,0)),""),$V1152))</f>
        <v/>
      </c>
      <c r="X1152" s="3">
        <f>IF($F1152="","",IFERROR(INDEX('CAT_CENTROS_COSTO'!$G$4:$G$13,MATCH($F1152,'CAT_CENTROS_COSTO'!$A$4:$A$13,0)),"(sin catálogo)"))</f>
        <v/>
      </c>
      <c r="Y1152" s="3">
        <f>IF($G1152="","",IFERROR(INDEX('CAT_PUESTOS'!$B$4:$B$8,MATCH($G1152,'CAT_PUESTOS'!$A$4:$A$8,0)),"(sin catálogo)"))</f>
        <v/>
      </c>
      <c r="Z1152" s="3">
        <f>IF($H1152="","",IFERROR(INDEX('CAT_ACTIVIDADES'!$B$4:$B$8,MATCH($H1152,'CAT_ACTIVIDADES'!$A$4:$A$8,0)),"(sin catálogo)"))</f>
        <v/>
      </c>
      <c r="AA1152" s="12">
        <f>IF($J1152="","",TODAY()-$J1152)</f>
        <v/>
      </c>
      <c r="AB1152" s="12">
        <f>IF($J1152="","",IF($J1152&lt;=TODAY(),COUNTIFS(cal_fechas,"&gt;="&amp;$J1152,cal_fechas,"&lt;"&amp;TODAY(),cal_habil,"sí"),-COUNTIFS(cal_fechas,"&gt;="&amp;TODAY(),cal_fechas,"&lt;"&amp;$J1152,cal_habil,"sí")))</f>
        <v/>
      </c>
      <c r="AC1152" s="3">
        <f>IF($AB1152="","",IF($AB1152&lt;0,"FUTURO",IF($AB1152&gt;p_dias_backlog_max,"BACKLOG","MES CORRIENTE")))</f>
        <v/>
      </c>
      <c r="AD1152" s="3">
        <f>IF($AB1152="",FALSE,AND($AB1152&gt;p_dias_backlog_min,$AB1152&lt;=p_dias_backlog_max))</f>
        <v/>
      </c>
      <c r="AE1152" s="6" t="n"/>
      <c r="AF1152" s="3">
        <f>IF($AE1152="","",IF((IFERROR(INDEX('ASIGNACIONES'!$F$4:$F$339,MATCH($O1152&amp;"|"&amp;$R1152&amp;"|"&amp;$AE1152,'ASIGNACIONES'!$J$4:$J$339,0)),""))=0,"",IFERROR(INDEX('ASIGNACIONES'!$F$4:$F$339,MATCH($O1152&amp;"|"&amp;$R1152&amp;"|"&amp;$AE1152,'ASIGNACIONES'!$J$4:$J$339,0)),"")))</f>
        <v/>
      </c>
      <c r="AG1152" s="13">
        <f>IF($AE1152="","",SUMIFS('ORDENES'!$M$4:$M$1203,'ORDENES'!$AE$4:$AE$1203,$AE1152,'ORDENES'!$O$4:$O$1203,$O1152,'ORDENES'!$R$4:$R$1203,$R1152))</f>
        <v/>
      </c>
      <c r="AH1152" s="13">
        <f>IF($AG1152="","",p_factor_productividad*IFERROR(INDEX('ASIGNACIONES'!$I$4:$I$339,MATCH($O1152&amp;"|"&amp;$R1152&amp;"|"&amp;$AE1152,'ASIGNACIONES'!$J$4:$J$339,0)),0)-$AG1152)</f>
        <v/>
      </c>
      <c r="AI1152" s="10">
        <f>IF($A1152="","",IFERROR(INDEX('2_IMPORTAR_EJECUCION'!$F$9:$F$1208,MATCH($AQ1152,'2_IMPORTAR_EJECUCION'!$J$9:$J$1208,0)),0))</f>
        <v/>
      </c>
      <c r="AJ1152" s="10">
        <f>IF($A1152="","",MAX(0,IFERROR(INDEX('2_IMPORTAR_EJECUCION'!$H$9:$H$1208,MATCH($AQ1152,'2_IMPORTAR_EJECUCION'!$J$9:$J$1208,0)),0)-$AI1152))</f>
        <v/>
      </c>
      <c r="AK1152" s="10">
        <f>IF($A1152="","",$AI1152+$AJ1152)</f>
        <v/>
      </c>
      <c r="AL1152" s="6" t="n"/>
      <c r="AM1152" s="6" t="n"/>
      <c r="AN1152" s="6" t="n"/>
      <c r="AO1152" s="3">
        <f>IF($AN1152="","",HYPERLINK(p_ruta_base_checklists&amp;$AN1152,"abrir"))</f>
        <v/>
      </c>
      <c r="AP1152" s="6" t="n"/>
      <c r="AQ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IF($A1153="","",IFERROR(INDEX('AJUSTES'!$B$4:$B$303,MATCH($AQ1153,'AJUSTES'!$A$4:$A$303,0)),IF($K1153="","",$K1153)))</f>
        <v/>
      </c>
      <c r="N1153" s="3">
        <f>IF($A1153="","",IFERROR(INDEX('CAT_ESTADOS_ERP'!$B$4:$B$7,MATCH(IFERROR(INDEX('2_IMPORTAR_EJECUCION'!$C$9:$C$1208,MATCH($AQ1153,'2_IMPORTAR_EJECUCION'!$J$9:$J$1208,0)),""),'CAT_ESTADOS_ERP'!$A$4:$A$7,0)),"Pendiente"))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J1153="","",IFERROR(INDEX('CALENDARIO'!$C$15:$C$214,MATCH(TEXT($J1153,"yyyy-mm-dd")&amp;"|"&amp;$V1153&amp;"|"&amp;$W1153,'CALENDARIO'!$G$15:$G$214,0)),IFERROR(INDEX('CALENDARIO'!$C$15:$C$214,MATCH(TEXT($J1153,"yyyy-mm-dd")&amp;"|"&amp;$V1153&amp;"|",'CALENDARIO'!$G$15:$G$214,0)),IFERROR(INDEX('CALENDARIO'!$C$15:$C$214,MATCH(TEXT($J1153,"yyyy-mm-dd")&amp;"||",'CALENDARIO'!$G$15:$G$214,0)),INDEX(patronHabil,WEEKDAY($J1153,2))))))</f>
        <v/>
      </c>
      <c r="T1153" s="3">
        <f>IF($I1153="","",IFERROR(INDEX('CAT_TIPOS_OT'!$C$4:$C$7,MATCH($I1153,'CAT_TIPOS_OT'!$A$4:$A$7,0)),"sin_clasificar"))</f>
        <v/>
      </c>
      <c r="U1153" s="3">
        <f>IF($F1153="","",IFERROR(INDEX('CAT_CENTROS_COSTO'!$F$4:$F$13,MATCH($F1153,'CAT_CENTROS_COSTO'!$A$4:$A$13,0)),"(sin catálogo)"))</f>
        <v/>
      </c>
      <c r="V1153" s="3">
        <f>IF($F1153="","",IFERROR(INDEX('CAT_CENTROS_COSTO'!$D$4:$D$13,MATCH($F1153,'CAT_CENTROS_COSTO'!$A$4:$A$13,0)),"(sin catálogo)"))</f>
        <v/>
      </c>
      <c r="W1153" s="3">
        <f>IF($F1153="","",IF((IFERROR(INDEX('CAT_CENTROS_COSTO'!$E$4:$E$13,MATCH($F1153,'CAT_CENTROS_COSTO'!$A$4:$A$13,0)),""))&lt;&gt;"",IFERROR(INDEX('CAT_CENTROS_COSTO'!$E$4:$E$13,MATCH($F1153,'CAT_CENTROS_COSTO'!$A$4:$A$13,0)),""),$V1153))</f>
        <v/>
      </c>
      <c r="X1153" s="3">
        <f>IF($F1153="","",IFERROR(INDEX('CAT_CENTROS_COSTO'!$G$4:$G$13,MATCH($F1153,'CAT_CENTROS_COSTO'!$A$4:$A$13,0)),"(sin catálogo)"))</f>
        <v/>
      </c>
      <c r="Y1153" s="3">
        <f>IF($G1153="","",IFERROR(INDEX('CAT_PUESTOS'!$B$4:$B$8,MATCH($G1153,'CAT_PUESTOS'!$A$4:$A$8,0)),"(sin catálogo)"))</f>
        <v/>
      </c>
      <c r="Z1153" s="3">
        <f>IF($H1153="","",IFERROR(INDEX('CAT_ACTIVIDADES'!$B$4:$B$8,MATCH($H1153,'CAT_ACTIVIDADES'!$A$4:$A$8,0)),"(sin catálogo)"))</f>
        <v/>
      </c>
      <c r="AA1153" s="12">
        <f>IF($J1153="","",TODAY()-$J1153)</f>
        <v/>
      </c>
      <c r="AB1153" s="12">
        <f>IF($J1153="","",IF($J1153&lt;=TODAY(),COUNTIFS(cal_fechas,"&gt;="&amp;$J1153,cal_fechas,"&lt;"&amp;TODAY(),cal_habil,"sí"),-COUNTIFS(cal_fechas,"&gt;="&amp;TODAY(),cal_fechas,"&lt;"&amp;$J1153,cal_habil,"sí")))</f>
        <v/>
      </c>
      <c r="AC1153" s="3">
        <f>IF($AB1153="","",IF($AB1153&lt;0,"FUTURO",IF($AB1153&gt;p_dias_backlog_max,"BACKLOG","MES CORRIENTE")))</f>
        <v/>
      </c>
      <c r="AD1153" s="3">
        <f>IF($AB1153="",FALSE,AND($AB1153&gt;p_dias_backlog_min,$AB1153&lt;=p_dias_backlog_max))</f>
        <v/>
      </c>
      <c r="AE1153" s="6" t="n"/>
      <c r="AF1153" s="3">
        <f>IF($AE1153="","",IF((IFERROR(INDEX('ASIGNACIONES'!$F$4:$F$339,MATCH($O1153&amp;"|"&amp;$R1153&amp;"|"&amp;$AE1153,'ASIGNACIONES'!$J$4:$J$339,0)),""))=0,"",IFERROR(INDEX('ASIGNACIONES'!$F$4:$F$339,MATCH($O1153&amp;"|"&amp;$R1153&amp;"|"&amp;$AE1153,'ASIGNACIONES'!$J$4:$J$339,0)),"")))</f>
        <v/>
      </c>
      <c r="AG1153" s="13">
        <f>IF($AE1153="","",SUMIFS('ORDENES'!$M$4:$M$1203,'ORDENES'!$AE$4:$AE$1203,$AE1153,'ORDENES'!$O$4:$O$1203,$O1153,'ORDENES'!$R$4:$R$1203,$R1153))</f>
        <v/>
      </c>
      <c r="AH1153" s="13">
        <f>IF($AG1153="","",p_factor_productividad*IFERROR(INDEX('ASIGNACIONES'!$I$4:$I$339,MATCH($O1153&amp;"|"&amp;$R1153&amp;"|"&amp;$AE1153,'ASIGNACIONES'!$J$4:$J$339,0)),0)-$AG1153)</f>
        <v/>
      </c>
      <c r="AI1153" s="10">
        <f>IF($A1153="","",IFERROR(INDEX('2_IMPORTAR_EJECUCION'!$F$9:$F$1208,MATCH($AQ1153,'2_IMPORTAR_EJECUCION'!$J$9:$J$1208,0)),0))</f>
        <v/>
      </c>
      <c r="AJ1153" s="10">
        <f>IF($A1153="","",MAX(0,IFERROR(INDEX('2_IMPORTAR_EJECUCION'!$H$9:$H$1208,MATCH($AQ1153,'2_IMPORTAR_EJECUCION'!$J$9:$J$1208,0)),0)-$AI1153))</f>
        <v/>
      </c>
      <c r="AK1153" s="10">
        <f>IF($A1153="","",$AI1153+$AJ1153)</f>
        <v/>
      </c>
      <c r="AL1153" s="6" t="n"/>
      <c r="AM1153" s="6" t="n"/>
      <c r="AN1153" s="6" t="n"/>
      <c r="AO1153" s="3">
        <f>IF($AN1153="","",HYPERLINK(p_ruta_base_checklists&amp;$AN1153,"abrir"))</f>
        <v/>
      </c>
      <c r="AP1153" s="6" t="n"/>
      <c r="AQ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IF($A1154="","",IFERROR(INDEX('AJUSTES'!$B$4:$B$303,MATCH($AQ1154,'AJUSTES'!$A$4:$A$303,0)),IF($K1154="","",$K1154)))</f>
        <v/>
      </c>
      <c r="N1154" s="3">
        <f>IF($A1154="","",IFERROR(INDEX('CAT_ESTADOS_ERP'!$B$4:$B$7,MATCH(IFERROR(INDEX('2_IMPORTAR_EJECUCION'!$C$9:$C$1208,MATCH($AQ1154,'2_IMPORTAR_EJECUCION'!$J$9:$J$1208,0)),""),'CAT_ESTADOS_ERP'!$A$4:$A$7,0)),"Pendiente"))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J1154="","",IFERROR(INDEX('CALENDARIO'!$C$15:$C$214,MATCH(TEXT($J1154,"yyyy-mm-dd")&amp;"|"&amp;$V1154&amp;"|"&amp;$W1154,'CALENDARIO'!$G$15:$G$214,0)),IFERROR(INDEX('CALENDARIO'!$C$15:$C$214,MATCH(TEXT($J1154,"yyyy-mm-dd")&amp;"|"&amp;$V1154&amp;"|",'CALENDARIO'!$G$15:$G$214,0)),IFERROR(INDEX('CALENDARIO'!$C$15:$C$214,MATCH(TEXT($J1154,"yyyy-mm-dd")&amp;"||",'CALENDARIO'!$G$15:$G$214,0)),INDEX(patronHabil,WEEKDAY($J1154,2))))))</f>
        <v/>
      </c>
      <c r="T1154" s="3">
        <f>IF($I1154="","",IFERROR(INDEX('CAT_TIPOS_OT'!$C$4:$C$7,MATCH($I1154,'CAT_TIPOS_OT'!$A$4:$A$7,0)),"sin_clasificar"))</f>
        <v/>
      </c>
      <c r="U1154" s="3">
        <f>IF($F1154="","",IFERROR(INDEX('CAT_CENTROS_COSTO'!$F$4:$F$13,MATCH($F1154,'CAT_CENTROS_COSTO'!$A$4:$A$13,0)),"(sin catálogo)"))</f>
        <v/>
      </c>
      <c r="V1154" s="3">
        <f>IF($F1154="","",IFERROR(INDEX('CAT_CENTROS_COSTO'!$D$4:$D$13,MATCH($F1154,'CAT_CENTROS_COSTO'!$A$4:$A$13,0)),"(sin catálogo)"))</f>
        <v/>
      </c>
      <c r="W1154" s="3">
        <f>IF($F1154="","",IF((IFERROR(INDEX('CAT_CENTROS_COSTO'!$E$4:$E$13,MATCH($F1154,'CAT_CENTROS_COSTO'!$A$4:$A$13,0)),""))&lt;&gt;"",IFERROR(INDEX('CAT_CENTROS_COSTO'!$E$4:$E$13,MATCH($F1154,'CAT_CENTROS_COSTO'!$A$4:$A$13,0)),""),$V1154))</f>
        <v/>
      </c>
      <c r="X1154" s="3">
        <f>IF($F1154="","",IFERROR(INDEX('CAT_CENTROS_COSTO'!$G$4:$G$13,MATCH($F1154,'CAT_CENTROS_COSTO'!$A$4:$A$13,0)),"(sin catálogo)"))</f>
        <v/>
      </c>
      <c r="Y1154" s="3">
        <f>IF($G1154="","",IFERROR(INDEX('CAT_PUESTOS'!$B$4:$B$8,MATCH($G1154,'CAT_PUESTOS'!$A$4:$A$8,0)),"(sin catálogo)"))</f>
        <v/>
      </c>
      <c r="Z1154" s="3">
        <f>IF($H1154="","",IFERROR(INDEX('CAT_ACTIVIDADES'!$B$4:$B$8,MATCH($H1154,'CAT_ACTIVIDADES'!$A$4:$A$8,0)),"(sin catálogo)"))</f>
        <v/>
      </c>
      <c r="AA1154" s="12">
        <f>IF($J1154="","",TODAY()-$J1154)</f>
        <v/>
      </c>
      <c r="AB1154" s="12">
        <f>IF($J1154="","",IF($J1154&lt;=TODAY(),COUNTIFS(cal_fechas,"&gt;="&amp;$J1154,cal_fechas,"&lt;"&amp;TODAY(),cal_habil,"sí"),-COUNTIFS(cal_fechas,"&gt;="&amp;TODAY(),cal_fechas,"&lt;"&amp;$J1154,cal_habil,"sí")))</f>
        <v/>
      </c>
      <c r="AC1154" s="3">
        <f>IF($AB1154="","",IF($AB1154&lt;0,"FUTURO",IF($AB1154&gt;p_dias_backlog_max,"BACKLOG","MES CORRIENTE")))</f>
        <v/>
      </c>
      <c r="AD1154" s="3">
        <f>IF($AB1154="",FALSE,AND($AB1154&gt;p_dias_backlog_min,$AB1154&lt;=p_dias_backlog_max))</f>
        <v/>
      </c>
      <c r="AE1154" s="6" t="n"/>
      <c r="AF1154" s="3">
        <f>IF($AE1154="","",IF((IFERROR(INDEX('ASIGNACIONES'!$F$4:$F$339,MATCH($O1154&amp;"|"&amp;$R1154&amp;"|"&amp;$AE1154,'ASIGNACIONES'!$J$4:$J$339,0)),""))=0,"",IFERROR(INDEX('ASIGNACIONES'!$F$4:$F$339,MATCH($O1154&amp;"|"&amp;$R1154&amp;"|"&amp;$AE1154,'ASIGNACIONES'!$J$4:$J$339,0)),"")))</f>
        <v/>
      </c>
      <c r="AG1154" s="13">
        <f>IF($AE1154="","",SUMIFS('ORDENES'!$M$4:$M$1203,'ORDENES'!$AE$4:$AE$1203,$AE1154,'ORDENES'!$O$4:$O$1203,$O1154,'ORDENES'!$R$4:$R$1203,$R1154))</f>
        <v/>
      </c>
      <c r="AH1154" s="13">
        <f>IF($AG1154="","",p_factor_productividad*IFERROR(INDEX('ASIGNACIONES'!$I$4:$I$339,MATCH($O1154&amp;"|"&amp;$R1154&amp;"|"&amp;$AE1154,'ASIGNACIONES'!$J$4:$J$339,0)),0)-$AG1154)</f>
        <v/>
      </c>
      <c r="AI1154" s="10">
        <f>IF($A1154="","",IFERROR(INDEX('2_IMPORTAR_EJECUCION'!$F$9:$F$1208,MATCH($AQ1154,'2_IMPORTAR_EJECUCION'!$J$9:$J$1208,0)),0))</f>
        <v/>
      </c>
      <c r="AJ1154" s="10">
        <f>IF($A1154="","",MAX(0,IFERROR(INDEX('2_IMPORTAR_EJECUCION'!$H$9:$H$1208,MATCH($AQ1154,'2_IMPORTAR_EJECUCION'!$J$9:$J$1208,0)),0)-$AI1154))</f>
        <v/>
      </c>
      <c r="AK1154" s="10">
        <f>IF($A1154="","",$AI1154+$AJ1154)</f>
        <v/>
      </c>
      <c r="AL1154" s="6" t="n"/>
      <c r="AM1154" s="6" t="n"/>
      <c r="AN1154" s="6" t="n"/>
      <c r="AO1154" s="3">
        <f>IF($AN1154="","",HYPERLINK(p_ruta_base_checklists&amp;$AN1154,"abrir"))</f>
        <v/>
      </c>
      <c r="AP1154" s="6" t="n"/>
      <c r="AQ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IF($A1155="","",IFERROR(INDEX('AJUSTES'!$B$4:$B$303,MATCH($AQ1155,'AJUSTES'!$A$4:$A$303,0)),IF($K1155="","",$K1155)))</f>
        <v/>
      </c>
      <c r="N1155" s="3">
        <f>IF($A1155="","",IFERROR(INDEX('CAT_ESTADOS_ERP'!$B$4:$B$7,MATCH(IFERROR(INDEX('2_IMPORTAR_EJECUCION'!$C$9:$C$1208,MATCH($AQ1155,'2_IMPORTAR_EJECUCION'!$J$9:$J$1208,0)),""),'CAT_ESTADOS_ERP'!$A$4:$A$7,0)),"Pendiente"))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J1155="","",IFERROR(INDEX('CALENDARIO'!$C$15:$C$214,MATCH(TEXT($J1155,"yyyy-mm-dd")&amp;"|"&amp;$V1155&amp;"|"&amp;$W1155,'CALENDARIO'!$G$15:$G$214,0)),IFERROR(INDEX('CALENDARIO'!$C$15:$C$214,MATCH(TEXT($J1155,"yyyy-mm-dd")&amp;"|"&amp;$V1155&amp;"|",'CALENDARIO'!$G$15:$G$214,0)),IFERROR(INDEX('CALENDARIO'!$C$15:$C$214,MATCH(TEXT($J1155,"yyyy-mm-dd")&amp;"||",'CALENDARIO'!$G$15:$G$214,0)),INDEX(patronHabil,WEEKDAY($J1155,2))))))</f>
        <v/>
      </c>
      <c r="T1155" s="3">
        <f>IF($I1155="","",IFERROR(INDEX('CAT_TIPOS_OT'!$C$4:$C$7,MATCH($I1155,'CAT_TIPOS_OT'!$A$4:$A$7,0)),"sin_clasificar"))</f>
        <v/>
      </c>
      <c r="U1155" s="3">
        <f>IF($F1155="","",IFERROR(INDEX('CAT_CENTROS_COSTO'!$F$4:$F$13,MATCH($F1155,'CAT_CENTROS_COSTO'!$A$4:$A$13,0)),"(sin catálogo)"))</f>
        <v/>
      </c>
      <c r="V1155" s="3">
        <f>IF($F1155="","",IFERROR(INDEX('CAT_CENTROS_COSTO'!$D$4:$D$13,MATCH($F1155,'CAT_CENTROS_COSTO'!$A$4:$A$13,0)),"(sin catálogo)"))</f>
        <v/>
      </c>
      <c r="W1155" s="3">
        <f>IF($F1155="","",IF((IFERROR(INDEX('CAT_CENTROS_COSTO'!$E$4:$E$13,MATCH($F1155,'CAT_CENTROS_COSTO'!$A$4:$A$13,0)),""))&lt;&gt;"",IFERROR(INDEX('CAT_CENTROS_COSTO'!$E$4:$E$13,MATCH($F1155,'CAT_CENTROS_COSTO'!$A$4:$A$13,0)),""),$V1155))</f>
        <v/>
      </c>
      <c r="X1155" s="3">
        <f>IF($F1155="","",IFERROR(INDEX('CAT_CENTROS_COSTO'!$G$4:$G$13,MATCH($F1155,'CAT_CENTROS_COSTO'!$A$4:$A$13,0)),"(sin catálogo)"))</f>
        <v/>
      </c>
      <c r="Y1155" s="3">
        <f>IF($G1155="","",IFERROR(INDEX('CAT_PUESTOS'!$B$4:$B$8,MATCH($G1155,'CAT_PUESTOS'!$A$4:$A$8,0)),"(sin catálogo)"))</f>
        <v/>
      </c>
      <c r="Z1155" s="3">
        <f>IF($H1155="","",IFERROR(INDEX('CAT_ACTIVIDADES'!$B$4:$B$8,MATCH($H1155,'CAT_ACTIVIDADES'!$A$4:$A$8,0)),"(sin catálogo)"))</f>
        <v/>
      </c>
      <c r="AA1155" s="12">
        <f>IF($J1155="","",TODAY()-$J1155)</f>
        <v/>
      </c>
      <c r="AB1155" s="12">
        <f>IF($J1155="","",IF($J1155&lt;=TODAY(),COUNTIFS(cal_fechas,"&gt;="&amp;$J1155,cal_fechas,"&lt;"&amp;TODAY(),cal_habil,"sí"),-COUNTIFS(cal_fechas,"&gt;="&amp;TODAY(),cal_fechas,"&lt;"&amp;$J1155,cal_habil,"sí")))</f>
        <v/>
      </c>
      <c r="AC1155" s="3">
        <f>IF($AB1155="","",IF($AB1155&lt;0,"FUTURO",IF($AB1155&gt;p_dias_backlog_max,"BACKLOG","MES CORRIENTE")))</f>
        <v/>
      </c>
      <c r="AD1155" s="3">
        <f>IF($AB1155="",FALSE,AND($AB1155&gt;p_dias_backlog_min,$AB1155&lt;=p_dias_backlog_max))</f>
        <v/>
      </c>
      <c r="AE1155" s="6" t="n"/>
      <c r="AF1155" s="3">
        <f>IF($AE1155="","",IF((IFERROR(INDEX('ASIGNACIONES'!$F$4:$F$339,MATCH($O1155&amp;"|"&amp;$R1155&amp;"|"&amp;$AE1155,'ASIGNACIONES'!$J$4:$J$339,0)),""))=0,"",IFERROR(INDEX('ASIGNACIONES'!$F$4:$F$339,MATCH($O1155&amp;"|"&amp;$R1155&amp;"|"&amp;$AE1155,'ASIGNACIONES'!$J$4:$J$339,0)),"")))</f>
        <v/>
      </c>
      <c r="AG1155" s="13">
        <f>IF($AE1155="","",SUMIFS('ORDENES'!$M$4:$M$1203,'ORDENES'!$AE$4:$AE$1203,$AE1155,'ORDENES'!$O$4:$O$1203,$O1155,'ORDENES'!$R$4:$R$1203,$R1155))</f>
        <v/>
      </c>
      <c r="AH1155" s="13">
        <f>IF($AG1155="","",p_factor_productividad*IFERROR(INDEX('ASIGNACIONES'!$I$4:$I$339,MATCH($O1155&amp;"|"&amp;$R1155&amp;"|"&amp;$AE1155,'ASIGNACIONES'!$J$4:$J$339,0)),0)-$AG1155)</f>
        <v/>
      </c>
      <c r="AI1155" s="10">
        <f>IF($A1155="","",IFERROR(INDEX('2_IMPORTAR_EJECUCION'!$F$9:$F$1208,MATCH($AQ1155,'2_IMPORTAR_EJECUCION'!$J$9:$J$1208,0)),0))</f>
        <v/>
      </c>
      <c r="AJ1155" s="10">
        <f>IF($A1155="","",MAX(0,IFERROR(INDEX('2_IMPORTAR_EJECUCION'!$H$9:$H$1208,MATCH($AQ1155,'2_IMPORTAR_EJECUCION'!$J$9:$J$1208,0)),0)-$AI1155))</f>
        <v/>
      </c>
      <c r="AK1155" s="10">
        <f>IF($A1155="","",$AI1155+$AJ1155)</f>
        <v/>
      </c>
      <c r="AL1155" s="6" t="n"/>
      <c r="AM1155" s="6" t="n"/>
      <c r="AN1155" s="6" t="n"/>
      <c r="AO1155" s="3">
        <f>IF($AN1155="","",HYPERLINK(p_ruta_base_checklists&amp;$AN1155,"abrir"))</f>
        <v/>
      </c>
      <c r="AP1155" s="6" t="n"/>
      <c r="AQ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IF($A1156="","",IFERROR(INDEX('AJUSTES'!$B$4:$B$303,MATCH($AQ1156,'AJUSTES'!$A$4:$A$303,0)),IF($K1156="","",$K1156)))</f>
        <v/>
      </c>
      <c r="N1156" s="3">
        <f>IF($A1156="","",IFERROR(INDEX('CAT_ESTADOS_ERP'!$B$4:$B$7,MATCH(IFERROR(INDEX('2_IMPORTAR_EJECUCION'!$C$9:$C$1208,MATCH($AQ1156,'2_IMPORTAR_EJECUCION'!$J$9:$J$1208,0)),""),'CAT_ESTADOS_ERP'!$A$4:$A$7,0)),"Pendiente"))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J1156="","",IFERROR(INDEX('CALENDARIO'!$C$15:$C$214,MATCH(TEXT($J1156,"yyyy-mm-dd")&amp;"|"&amp;$V1156&amp;"|"&amp;$W1156,'CALENDARIO'!$G$15:$G$214,0)),IFERROR(INDEX('CALENDARIO'!$C$15:$C$214,MATCH(TEXT($J1156,"yyyy-mm-dd")&amp;"|"&amp;$V1156&amp;"|",'CALENDARIO'!$G$15:$G$214,0)),IFERROR(INDEX('CALENDARIO'!$C$15:$C$214,MATCH(TEXT($J1156,"yyyy-mm-dd")&amp;"||",'CALENDARIO'!$G$15:$G$214,0)),INDEX(patronHabil,WEEKDAY($J1156,2))))))</f>
        <v/>
      </c>
      <c r="T1156" s="3">
        <f>IF($I1156="","",IFERROR(INDEX('CAT_TIPOS_OT'!$C$4:$C$7,MATCH($I1156,'CAT_TIPOS_OT'!$A$4:$A$7,0)),"sin_clasificar"))</f>
        <v/>
      </c>
      <c r="U1156" s="3">
        <f>IF($F1156="","",IFERROR(INDEX('CAT_CENTROS_COSTO'!$F$4:$F$13,MATCH($F1156,'CAT_CENTROS_COSTO'!$A$4:$A$13,0)),"(sin catálogo)"))</f>
        <v/>
      </c>
      <c r="V1156" s="3">
        <f>IF($F1156="","",IFERROR(INDEX('CAT_CENTROS_COSTO'!$D$4:$D$13,MATCH($F1156,'CAT_CENTROS_COSTO'!$A$4:$A$13,0)),"(sin catálogo)"))</f>
        <v/>
      </c>
      <c r="W1156" s="3">
        <f>IF($F1156="","",IF((IFERROR(INDEX('CAT_CENTROS_COSTO'!$E$4:$E$13,MATCH($F1156,'CAT_CENTROS_COSTO'!$A$4:$A$13,0)),""))&lt;&gt;"",IFERROR(INDEX('CAT_CENTROS_COSTO'!$E$4:$E$13,MATCH($F1156,'CAT_CENTROS_COSTO'!$A$4:$A$13,0)),""),$V1156))</f>
        <v/>
      </c>
      <c r="X1156" s="3">
        <f>IF($F1156="","",IFERROR(INDEX('CAT_CENTROS_COSTO'!$G$4:$G$13,MATCH($F1156,'CAT_CENTROS_COSTO'!$A$4:$A$13,0)),"(sin catálogo)"))</f>
        <v/>
      </c>
      <c r="Y1156" s="3">
        <f>IF($G1156="","",IFERROR(INDEX('CAT_PUESTOS'!$B$4:$B$8,MATCH($G1156,'CAT_PUESTOS'!$A$4:$A$8,0)),"(sin catálogo)"))</f>
        <v/>
      </c>
      <c r="Z1156" s="3">
        <f>IF($H1156="","",IFERROR(INDEX('CAT_ACTIVIDADES'!$B$4:$B$8,MATCH($H1156,'CAT_ACTIVIDADES'!$A$4:$A$8,0)),"(sin catálogo)"))</f>
        <v/>
      </c>
      <c r="AA1156" s="12">
        <f>IF($J1156="","",TODAY()-$J1156)</f>
        <v/>
      </c>
      <c r="AB1156" s="12">
        <f>IF($J1156="","",IF($J1156&lt;=TODAY(),COUNTIFS(cal_fechas,"&gt;="&amp;$J1156,cal_fechas,"&lt;"&amp;TODAY(),cal_habil,"sí"),-COUNTIFS(cal_fechas,"&gt;="&amp;TODAY(),cal_fechas,"&lt;"&amp;$J1156,cal_habil,"sí")))</f>
        <v/>
      </c>
      <c r="AC1156" s="3">
        <f>IF($AB1156="","",IF($AB1156&lt;0,"FUTURO",IF($AB1156&gt;p_dias_backlog_max,"BACKLOG","MES CORRIENTE")))</f>
        <v/>
      </c>
      <c r="AD1156" s="3">
        <f>IF($AB1156="",FALSE,AND($AB1156&gt;p_dias_backlog_min,$AB1156&lt;=p_dias_backlog_max))</f>
        <v/>
      </c>
      <c r="AE1156" s="6" t="n"/>
      <c r="AF1156" s="3">
        <f>IF($AE1156="","",IF((IFERROR(INDEX('ASIGNACIONES'!$F$4:$F$339,MATCH($O1156&amp;"|"&amp;$R1156&amp;"|"&amp;$AE1156,'ASIGNACIONES'!$J$4:$J$339,0)),""))=0,"",IFERROR(INDEX('ASIGNACIONES'!$F$4:$F$339,MATCH($O1156&amp;"|"&amp;$R1156&amp;"|"&amp;$AE1156,'ASIGNACIONES'!$J$4:$J$339,0)),"")))</f>
        <v/>
      </c>
      <c r="AG1156" s="13">
        <f>IF($AE1156="","",SUMIFS('ORDENES'!$M$4:$M$1203,'ORDENES'!$AE$4:$AE$1203,$AE1156,'ORDENES'!$O$4:$O$1203,$O1156,'ORDENES'!$R$4:$R$1203,$R1156))</f>
        <v/>
      </c>
      <c r="AH1156" s="13">
        <f>IF($AG1156="","",p_factor_productividad*IFERROR(INDEX('ASIGNACIONES'!$I$4:$I$339,MATCH($O1156&amp;"|"&amp;$R1156&amp;"|"&amp;$AE1156,'ASIGNACIONES'!$J$4:$J$339,0)),0)-$AG1156)</f>
        <v/>
      </c>
      <c r="AI1156" s="10">
        <f>IF($A1156="","",IFERROR(INDEX('2_IMPORTAR_EJECUCION'!$F$9:$F$1208,MATCH($AQ1156,'2_IMPORTAR_EJECUCION'!$J$9:$J$1208,0)),0))</f>
        <v/>
      </c>
      <c r="AJ1156" s="10">
        <f>IF($A1156="","",MAX(0,IFERROR(INDEX('2_IMPORTAR_EJECUCION'!$H$9:$H$1208,MATCH($AQ1156,'2_IMPORTAR_EJECUCION'!$J$9:$J$1208,0)),0)-$AI1156))</f>
        <v/>
      </c>
      <c r="AK1156" s="10">
        <f>IF($A1156="","",$AI1156+$AJ1156)</f>
        <v/>
      </c>
      <c r="AL1156" s="6" t="n"/>
      <c r="AM1156" s="6" t="n"/>
      <c r="AN1156" s="6" t="n"/>
      <c r="AO1156" s="3">
        <f>IF($AN1156="","",HYPERLINK(p_ruta_base_checklists&amp;$AN1156,"abrir"))</f>
        <v/>
      </c>
      <c r="AP1156" s="6" t="n"/>
      <c r="AQ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IF($A1157="","",IFERROR(INDEX('AJUSTES'!$B$4:$B$303,MATCH($AQ1157,'AJUSTES'!$A$4:$A$303,0)),IF($K1157="","",$K1157)))</f>
        <v/>
      </c>
      <c r="N1157" s="3">
        <f>IF($A1157="","",IFERROR(INDEX('CAT_ESTADOS_ERP'!$B$4:$B$7,MATCH(IFERROR(INDEX('2_IMPORTAR_EJECUCION'!$C$9:$C$1208,MATCH($AQ1157,'2_IMPORTAR_EJECUCION'!$J$9:$J$1208,0)),""),'CAT_ESTADOS_ERP'!$A$4:$A$7,0)),"Pendiente"))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J1157="","",IFERROR(INDEX('CALENDARIO'!$C$15:$C$214,MATCH(TEXT($J1157,"yyyy-mm-dd")&amp;"|"&amp;$V1157&amp;"|"&amp;$W1157,'CALENDARIO'!$G$15:$G$214,0)),IFERROR(INDEX('CALENDARIO'!$C$15:$C$214,MATCH(TEXT($J1157,"yyyy-mm-dd")&amp;"|"&amp;$V1157&amp;"|",'CALENDARIO'!$G$15:$G$214,0)),IFERROR(INDEX('CALENDARIO'!$C$15:$C$214,MATCH(TEXT($J1157,"yyyy-mm-dd")&amp;"||",'CALENDARIO'!$G$15:$G$214,0)),INDEX(patronHabil,WEEKDAY($J1157,2))))))</f>
        <v/>
      </c>
      <c r="T1157" s="3">
        <f>IF($I1157="","",IFERROR(INDEX('CAT_TIPOS_OT'!$C$4:$C$7,MATCH($I1157,'CAT_TIPOS_OT'!$A$4:$A$7,0)),"sin_clasificar"))</f>
        <v/>
      </c>
      <c r="U1157" s="3">
        <f>IF($F1157="","",IFERROR(INDEX('CAT_CENTROS_COSTO'!$F$4:$F$13,MATCH($F1157,'CAT_CENTROS_COSTO'!$A$4:$A$13,0)),"(sin catálogo)"))</f>
        <v/>
      </c>
      <c r="V1157" s="3">
        <f>IF($F1157="","",IFERROR(INDEX('CAT_CENTROS_COSTO'!$D$4:$D$13,MATCH($F1157,'CAT_CENTROS_COSTO'!$A$4:$A$13,0)),"(sin catálogo)"))</f>
        <v/>
      </c>
      <c r="W1157" s="3">
        <f>IF($F1157="","",IF((IFERROR(INDEX('CAT_CENTROS_COSTO'!$E$4:$E$13,MATCH($F1157,'CAT_CENTROS_COSTO'!$A$4:$A$13,0)),""))&lt;&gt;"",IFERROR(INDEX('CAT_CENTROS_COSTO'!$E$4:$E$13,MATCH($F1157,'CAT_CENTROS_COSTO'!$A$4:$A$13,0)),""),$V1157))</f>
        <v/>
      </c>
      <c r="X1157" s="3">
        <f>IF($F1157="","",IFERROR(INDEX('CAT_CENTROS_COSTO'!$G$4:$G$13,MATCH($F1157,'CAT_CENTROS_COSTO'!$A$4:$A$13,0)),"(sin catálogo)"))</f>
        <v/>
      </c>
      <c r="Y1157" s="3">
        <f>IF($G1157="","",IFERROR(INDEX('CAT_PUESTOS'!$B$4:$B$8,MATCH($G1157,'CAT_PUESTOS'!$A$4:$A$8,0)),"(sin catálogo)"))</f>
        <v/>
      </c>
      <c r="Z1157" s="3">
        <f>IF($H1157="","",IFERROR(INDEX('CAT_ACTIVIDADES'!$B$4:$B$8,MATCH($H1157,'CAT_ACTIVIDADES'!$A$4:$A$8,0)),"(sin catálogo)"))</f>
        <v/>
      </c>
      <c r="AA1157" s="12">
        <f>IF($J1157="","",TODAY()-$J1157)</f>
        <v/>
      </c>
      <c r="AB1157" s="12">
        <f>IF($J1157="","",IF($J1157&lt;=TODAY(),COUNTIFS(cal_fechas,"&gt;="&amp;$J1157,cal_fechas,"&lt;"&amp;TODAY(),cal_habil,"sí"),-COUNTIFS(cal_fechas,"&gt;="&amp;TODAY(),cal_fechas,"&lt;"&amp;$J1157,cal_habil,"sí")))</f>
        <v/>
      </c>
      <c r="AC1157" s="3">
        <f>IF($AB1157="","",IF($AB1157&lt;0,"FUTURO",IF($AB1157&gt;p_dias_backlog_max,"BACKLOG","MES CORRIENTE")))</f>
        <v/>
      </c>
      <c r="AD1157" s="3">
        <f>IF($AB1157="",FALSE,AND($AB1157&gt;p_dias_backlog_min,$AB1157&lt;=p_dias_backlog_max))</f>
        <v/>
      </c>
      <c r="AE1157" s="6" t="n"/>
      <c r="AF1157" s="3">
        <f>IF($AE1157="","",IF((IFERROR(INDEX('ASIGNACIONES'!$F$4:$F$339,MATCH($O1157&amp;"|"&amp;$R1157&amp;"|"&amp;$AE1157,'ASIGNACIONES'!$J$4:$J$339,0)),""))=0,"",IFERROR(INDEX('ASIGNACIONES'!$F$4:$F$339,MATCH($O1157&amp;"|"&amp;$R1157&amp;"|"&amp;$AE1157,'ASIGNACIONES'!$J$4:$J$339,0)),"")))</f>
        <v/>
      </c>
      <c r="AG1157" s="13">
        <f>IF($AE1157="","",SUMIFS('ORDENES'!$M$4:$M$1203,'ORDENES'!$AE$4:$AE$1203,$AE1157,'ORDENES'!$O$4:$O$1203,$O1157,'ORDENES'!$R$4:$R$1203,$R1157))</f>
        <v/>
      </c>
      <c r="AH1157" s="13">
        <f>IF($AG1157="","",p_factor_productividad*IFERROR(INDEX('ASIGNACIONES'!$I$4:$I$339,MATCH($O1157&amp;"|"&amp;$R1157&amp;"|"&amp;$AE1157,'ASIGNACIONES'!$J$4:$J$339,0)),0)-$AG1157)</f>
        <v/>
      </c>
      <c r="AI1157" s="10">
        <f>IF($A1157="","",IFERROR(INDEX('2_IMPORTAR_EJECUCION'!$F$9:$F$1208,MATCH($AQ1157,'2_IMPORTAR_EJECUCION'!$J$9:$J$1208,0)),0))</f>
        <v/>
      </c>
      <c r="AJ1157" s="10">
        <f>IF($A1157="","",MAX(0,IFERROR(INDEX('2_IMPORTAR_EJECUCION'!$H$9:$H$1208,MATCH($AQ1157,'2_IMPORTAR_EJECUCION'!$J$9:$J$1208,0)),0)-$AI1157))</f>
        <v/>
      </c>
      <c r="AK1157" s="10">
        <f>IF($A1157="","",$AI1157+$AJ1157)</f>
        <v/>
      </c>
      <c r="AL1157" s="6" t="n"/>
      <c r="AM1157" s="6" t="n"/>
      <c r="AN1157" s="6" t="n"/>
      <c r="AO1157" s="3">
        <f>IF($AN1157="","",HYPERLINK(p_ruta_base_checklists&amp;$AN1157,"abrir"))</f>
        <v/>
      </c>
      <c r="AP1157" s="6" t="n"/>
      <c r="AQ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IF($A1158="","",IFERROR(INDEX('AJUSTES'!$B$4:$B$303,MATCH($AQ1158,'AJUSTES'!$A$4:$A$303,0)),IF($K1158="","",$K1158)))</f>
        <v/>
      </c>
      <c r="N1158" s="3">
        <f>IF($A1158="","",IFERROR(INDEX('CAT_ESTADOS_ERP'!$B$4:$B$7,MATCH(IFERROR(INDEX('2_IMPORTAR_EJECUCION'!$C$9:$C$1208,MATCH($AQ1158,'2_IMPORTAR_EJECUCION'!$J$9:$J$1208,0)),""),'CAT_ESTADOS_ERP'!$A$4:$A$7,0)),"Pendiente"))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J1158="","",IFERROR(INDEX('CALENDARIO'!$C$15:$C$214,MATCH(TEXT($J1158,"yyyy-mm-dd")&amp;"|"&amp;$V1158&amp;"|"&amp;$W1158,'CALENDARIO'!$G$15:$G$214,0)),IFERROR(INDEX('CALENDARIO'!$C$15:$C$214,MATCH(TEXT($J1158,"yyyy-mm-dd")&amp;"|"&amp;$V1158&amp;"|",'CALENDARIO'!$G$15:$G$214,0)),IFERROR(INDEX('CALENDARIO'!$C$15:$C$214,MATCH(TEXT($J1158,"yyyy-mm-dd")&amp;"||",'CALENDARIO'!$G$15:$G$214,0)),INDEX(patronHabil,WEEKDAY($J1158,2))))))</f>
        <v/>
      </c>
      <c r="T1158" s="3">
        <f>IF($I1158="","",IFERROR(INDEX('CAT_TIPOS_OT'!$C$4:$C$7,MATCH($I1158,'CAT_TIPOS_OT'!$A$4:$A$7,0)),"sin_clasificar"))</f>
        <v/>
      </c>
      <c r="U1158" s="3">
        <f>IF($F1158="","",IFERROR(INDEX('CAT_CENTROS_COSTO'!$F$4:$F$13,MATCH($F1158,'CAT_CENTROS_COSTO'!$A$4:$A$13,0)),"(sin catálogo)"))</f>
        <v/>
      </c>
      <c r="V1158" s="3">
        <f>IF($F1158="","",IFERROR(INDEX('CAT_CENTROS_COSTO'!$D$4:$D$13,MATCH($F1158,'CAT_CENTROS_COSTO'!$A$4:$A$13,0)),"(sin catálogo)"))</f>
        <v/>
      </c>
      <c r="W1158" s="3">
        <f>IF($F1158="","",IF((IFERROR(INDEX('CAT_CENTROS_COSTO'!$E$4:$E$13,MATCH($F1158,'CAT_CENTROS_COSTO'!$A$4:$A$13,0)),""))&lt;&gt;"",IFERROR(INDEX('CAT_CENTROS_COSTO'!$E$4:$E$13,MATCH($F1158,'CAT_CENTROS_COSTO'!$A$4:$A$13,0)),""),$V1158))</f>
        <v/>
      </c>
      <c r="X1158" s="3">
        <f>IF($F1158="","",IFERROR(INDEX('CAT_CENTROS_COSTO'!$G$4:$G$13,MATCH($F1158,'CAT_CENTROS_COSTO'!$A$4:$A$13,0)),"(sin catálogo)"))</f>
        <v/>
      </c>
      <c r="Y1158" s="3">
        <f>IF($G1158="","",IFERROR(INDEX('CAT_PUESTOS'!$B$4:$B$8,MATCH($G1158,'CAT_PUESTOS'!$A$4:$A$8,0)),"(sin catálogo)"))</f>
        <v/>
      </c>
      <c r="Z1158" s="3">
        <f>IF($H1158="","",IFERROR(INDEX('CAT_ACTIVIDADES'!$B$4:$B$8,MATCH($H1158,'CAT_ACTIVIDADES'!$A$4:$A$8,0)),"(sin catálogo)"))</f>
        <v/>
      </c>
      <c r="AA1158" s="12">
        <f>IF($J1158="","",TODAY()-$J1158)</f>
        <v/>
      </c>
      <c r="AB1158" s="12">
        <f>IF($J1158="","",IF($J1158&lt;=TODAY(),COUNTIFS(cal_fechas,"&gt;="&amp;$J1158,cal_fechas,"&lt;"&amp;TODAY(),cal_habil,"sí"),-COUNTIFS(cal_fechas,"&gt;="&amp;TODAY(),cal_fechas,"&lt;"&amp;$J1158,cal_habil,"sí")))</f>
        <v/>
      </c>
      <c r="AC1158" s="3">
        <f>IF($AB1158="","",IF($AB1158&lt;0,"FUTURO",IF($AB1158&gt;p_dias_backlog_max,"BACKLOG","MES CORRIENTE")))</f>
        <v/>
      </c>
      <c r="AD1158" s="3">
        <f>IF($AB1158="",FALSE,AND($AB1158&gt;p_dias_backlog_min,$AB1158&lt;=p_dias_backlog_max))</f>
        <v/>
      </c>
      <c r="AE1158" s="6" t="n"/>
      <c r="AF1158" s="3">
        <f>IF($AE1158="","",IF((IFERROR(INDEX('ASIGNACIONES'!$F$4:$F$339,MATCH($O1158&amp;"|"&amp;$R1158&amp;"|"&amp;$AE1158,'ASIGNACIONES'!$J$4:$J$339,0)),""))=0,"",IFERROR(INDEX('ASIGNACIONES'!$F$4:$F$339,MATCH($O1158&amp;"|"&amp;$R1158&amp;"|"&amp;$AE1158,'ASIGNACIONES'!$J$4:$J$339,0)),"")))</f>
        <v/>
      </c>
      <c r="AG1158" s="13">
        <f>IF($AE1158="","",SUMIFS('ORDENES'!$M$4:$M$1203,'ORDENES'!$AE$4:$AE$1203,$AE1158,'ORDENES'!$O$4:$O$1203,$O1158,'ORDENES'!$R$4:$R$1203,$R1158))</f>
        <v/>
      </c>
      <c r="AH1158" s="13">
        <f>IF($AG1158="","",p_factor_productividad*IFERROR(INDEX('ASIGNACIONES'!$I$4:$I$339,MATCH($O1158&amp;"|"&amp;$R1158&amp;"|"&amp;$AE1158,'ASIGNACIONES'!$J$4:$J$339,0)),0)-$AG1158)</f>
        <v/>
      </c>
      <c r="AI1158" s="10">
        <f>IF($A1158="","",IFERROR(INDEX('2_IMPORTAR_EJECUCION'!$F$9:$F$1208,MATCH($AQ1158,'2_IMPORTAR_EJECUCION'!$J$9:$J$1208,0)),0))</f>
        <v/>
      </c>
      <c r="AJ1158" s="10">
        <f>IF($A1158="","",MAX(0,IFERROR(INDEX('2_IMPORTAR_EJECUCION'!$H$9:$H$1208,MATCH($AQ1158,'2_IMPORTAR_EJECUCION'!$J$9:$J$1208,0)),0)-$AI1158))</f>
        <v/>
      </c>
      <c r="AK1158" s="10">
        <f>IF($A1158="","",$AI1158+$AJ1158)</f>
        <v/>
      </c>
      <c r="AL1158" s="6" t="n"/>
      <c r="AM1158" s="6" t="n"/>
      <c r="AN1158" s="6" t="n"/>
      <c r="AO1158" s="3">
        <f>IF($AN1158="","",HYPERLINK(p_ruta_base_checklists&amp;$AN1158,"abrir"))</f>
        <v/>
      </c>
      <c r="AP1158" s="6" t="n"/>
      <c r="AQ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IF($A1159="","",IFERROR(INDEX('AJUSTES'!$B$4:$B$303,MATCH($AQ1159,'AJUSTES'!$A$4:$A$303,0)),IF($K1159="","",$K1159)))</f>
        <v/>
      </c>
      <c r="N1159" s="3">
        <f>IF($A1159="","",IFERROR(INDEX('CAT_ESTADOS_ERP'!$B$4:$B$7,MATCH(IFERROR(INDEX('2_IMPORTAR_EJECUCION'!$C$9:$C$1208,MATCH($AQ1159,'2_IMPORTAR_EJECUCION'!$J$9:$J$1208,0)),""),'CAT_ESTADOS_ERP'!$A$4:$A$7,0)),"Pendiente"))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J1159="","",IFERROR(INDEX('CALENDARIO'!$C$15:$C$214,MATCH(TEXT($J1159,"yyyy-mm-dd")&amp;"|"&amp;$V1159&amp;"|"&amp;$W1159,'CALENDARIO'!$G$15:$G$214,0)),IFERROR(INDEX('CALENDARIO'!$C$15:$C$214,MATCH(TEXT($J1159,"yyyy-mm-dd")&amp;"|"&amp;$V1159&amp;"|",'CALENDARIO'!$G$15:$G$214,0)),IFERROR(INDEX('CALENDARIO'!$C$15:$C$214,MATCH(TEXT($J1159,"yyyy-mm-dd")&amp;"||",'CALENDARIO'!$G$15:$G$214,0)),INDEX(patronHabil,WEEKDAY($J1159,2))))))</f>
        <v/>
      </c>
      <c r="T1159" s="3">
        <f>IF($I1159="","",IFERROR(INDEX('CAT_TIPOS_OT'!$C$4:$C$7,MATCH($I1159,'CAT_TIPOS_OT'!$A$4:$A$7,0)),"sin_clasificar"))</f>
        <v/>
      </c>
      <c r="U1159" s="3">
        <f>IF($F1159="","",IFERROR(INDEX('CAT_CENTROS_COSTO'!$F$4:$F$13,MATCH($F1159,'CAT_CENTROS_COSTO'!$A$4:$A$13,0)),"(sin catálogo)"))</f>
        <v/>
      </c>
      <c r="V1159" s="3">
        <f>IF($F1159="","",IFERROR(INDEX('CAT_CENTROS_COSTO'!$D$4:$D$13,MATCH($F1159,'CAT_CENTROS_COSTO'!$A$4:$A$13,0)),"(sin catálogo)"))</f>
        <v/>
      </c>
      <c r="W1159" s="3">
        <f>IF($F1159="","",IF((IFERROR(INDEX('CAT_CENTROS_COSTO'!$E$4:$E$13,MATCH($F1159,'CAT_CENTROS_COSTO'!$A$4:$A$13,0)),""))&lt;&gt;"",IFERROR(INDEX('CAT_CENTROS_COSTO'!$E$4:$E$13,MATCH($F1159,'CAT_CENTROS_COSTO'!$A$4:$A$13,0)),""),$V1159))</f>
        <v/>
      </c>
      <c r="X1159" s="3">
        <f>IF($F1159="","",IFERROR(INDEX('CAT_CENTROS_COSTO'!$G$4:$G$13,MATCH($F1159,'CAT_CENTROS_COSTO'!$A$4:$A$13,0)),"(sin catálogo)"))</f>
        <v/>
      </c>
      <c r="Y1159" s="3">
        <f>IF($G1159="","",IFERROR(INDEX('CAT_PUESTOS'!$B$4:$B$8,MATCH($G1159,'CAT_PUESTOS'!$A$4:$A$8,0)),"(sin catálogo)"))</f>
        <v/>
      </c>
      <c r="Z1159" s="3">
        <f>IF($H1159="","",IFERROR(INDEX('CAT_ACTIVIDADES'!$B$4:$B$8,MATCH($H1159,'CAT_ACTIVIDADES'!$A$4:$A$8,0)),"(sin catálogo)"))</f>
        <v/>
      </c>
      <c r="AA1159" s="12">
        <f>IF($J1159="","",TODAY()-$J1159)</f>
        <v/>
      </c>
      <c r="AB1159" s="12">
        <f>IF($J1159="","",IF($J1159&lt;=TODAY(),COUNTIFS(cal_fechas,"&gt;="&amp;$J1159,cal_fechas,"&lt;"&amp;TODAY(),cal_habil,"sí"),-COUNTIFS(cal_fechas,"&gt;="&amp;TODAY(),cal_fechas,"&lt;"&amp;$J1159,cal_habil,"sí")))</f>
        <v/>
      </c>
      <c r="AC1159" s="3">
        <f>IF($AB1159="","",IF($AB1159&lt;0,"FUTURO",IF($AB1159&gt;p_dias_backlog_max,"BACKLOG","MES CORRIENTE")))</f>
        <v/>
      </c>
      <c r="AD1159" s="3">
        <f>IF($AB1159="",FALSE,AND($AB1159&gt;p_dias_backlog_min,$AB1159&lt;=p_dias_backlog_max))</f>
        <v/>
      </c>
      <c r="AE1159" s="6" t="n"/>
      <c r="AF1159" s="3">
        <f>IF($AE1159="","",IF((IFERROR(INDEX('ASIGNACIONES'!$F$4:$F$339,MATCH($O1159&amp;"|"&amp;$R1159&amp;"|"&amp;$AE1159,'ASIGNACIONES'!$J$4:$J$339,0)),""))=0,"",IFERROR(INDEX('ASIGNACIONES'!$F$4:$F$339,MATCH($O1159&amp;"|"&amp;$R1159&amp;"|"&amp;$AE1159,'ASIGNACIONES'!$J$4:$J$339,0)),"")))</f>
        <v/>
      </c>
      <c r="AG1159" s="13">
        <f>IF($AE1159="","",SUMIFS('ORDENES'!$M$4:$M$1203,'ORDENES'!$AE$4:$AE$1203,$AE1159,'ORDENES'!$O$4:$O$1203,$O1159,'ORDENES'!$R$4:$R$1203,$R1159))</f>
        <v/>
      </c>
      <c r="AH1159" s="13">
        <f>IF($AG1159="","",p_factor_productividad*IFERROR(INDEX('ASIGNACIONES'!$I$4:$I$339,MATCH($O1159&amp;"|"&amp;$R1159&amp;"|"&amp;$AE1159,'ASIGNACIONES'!$J$4:$J$339,0)),0)-$AG1159)</f>
        <v/>
      </c>
      <c r="AI1159" s="10">
        <f>IF($A1159="","",IFERROR(INDEX('2_IMPORTAR_EJECUCION'!$F$9:$F$1208,MATCH($AQ1159,'2_IMPORTAR_EJECUCION'!$J$9:$J$1208,0)),0))</f>
        <v/>
      </c>
      <c r="AJ1159" s="10">
        <f>IF($A1159="","",MAX(0,IFERROR(INDEX('2_IMPORTAR_EJECUCION'!$H$9:$H$1208,MATCH($AQ1159,'2_IMPORTAR_EJECUCION'!$J$9:$J$1208,0)),0)-$AI1159))</f>
        <v/>
      </c>
      <c r="AK1159" s="10">
        <f>IF($A1159="","",$AI1159+$AJ1159)</f>
        <v/>
      </c>
      <c r="AL1159" s="6" t="n"/>
      <c r="AM1159" s="6" t="n"/>
      <c r="AN1159" s="6" t="n"/>
      <c r="AO1159" s="3">
        <f>IF($AN1159="","",HYPERLINK(p_ruta_base_checklists&amp;$AN1159,"abrir"))</f>
        <v/>
      </c>
      <c r="AP1159" s="6" t="n"/>
      <c r="AQ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IF($A1160="","",IFERROR(INDEX('AJUSTES'!$B$4:$B$303,MATCH($AQ1160,'AJUSTES'!$A$4:$A$303,0)),IF($K1160="","",$K1160)))</f>
        <v/>
      </c>
      <c r="N1160" s="3">
        <f>IF($A1160="","",IFERROR(INDEX('CAT_ESTADOS_ERP'!$B$4:$B$7,MATCH(IFERROR(INDEX('2_IMPORTAR_EJECUCION'!$C$9:$C$1208,MATCH($AQ1160,'2_IMPORTAR_EJECUCION'!$J$9:$J$1208,0)),""),'CAT_ESTADOS_ERP'!$A$4:$A$7,0)),"Pendiente"))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J1160="","",IFERROR(INDEX('CALENDARIO'!$C$15:$C$214,MATCH(TEXT($J1160,"yyyy-mm-dd")&amp;"|"&amp;$V1160&amp;"|"&amp;$W1160,'CALENDARIO'!$G$15:$G$214,0)),IFERROR(INDEX('CALENDARIO'!$C$15:$C$214,MATCH(TEXT($J1160,"yyyy-mm-dd")&amp;"|"&amp;$V1160&amp;"|",'CALENDARIO'!$G$15:$G$214,0)),IFERROR(INDEX('CALENDARIO'!$C$15:$C$214,MATCH(TEXT($J1160,"yyyy-mm-dd")&amp;"||",'CALENDARIO'!$G$15:$G$214,0)),INDEX(patronHabil,WEEKDAY($J1160,2))))))</f>
        <v/>
      </c>
      <c r="T1160" s="3">
        <f>IF($I1160="","",IFERROR(INDEX('CAT_TIPOS_OT'!$C$4:$C$7,MATCH($I1160,'CAT_TIPOS_OT'!$A$4:$A$7,0)),"sin_clasificar"))</f>
        <v/>
      </c>
      <c r="U1160" s="3">
        <f>IF($F1160="","",IFERROR(INDEX('CAT_CENTROS_COSTO'!$F$4:$F$13,MATCH($F1160,'CAT_CENTROS_COSTO'!$A$4:$A$13,0)),"(sin catálogo)"))</f>
        <v/>
      </c>
      <c r="V1160" s="3">
        <f>IF($F1160="","",IFERROR(INDEX('CAT_CENTROS_COSTO'!$D$4:$D$13,MATCH($F1160,'CAT_CENTROS_COSTO'!$A$4:$A$13,0)),"(sin catálogo)"))</f>
        <v/>
      </c>
      <c r="W1160" s="3">
        <f>IF($F1160="","",IF((IFERROR(INDEX('CAT_CENTROS_COSTO'!$E$4:$E$13,MATCH($F1160,'CAT_CENTROS_COSTO'!$A$4:$A$13,0)),""))&lt;&gt;"",IFERROR(INDEX('CAT_CENTROS_COSTO'!$E$4:$E$13,MATCH($F1160,'CAT_CENTROS_COSTO'!$A$4:$A$13,0)),""),$V1160))</f>
        <v/>
      </c>
      <c r="X1160" s="3">
        <f>IF($F1160="","",IFERROR(INDEX('CAT_CENTROS_COSTO'!$G$4:$G$13,MATCH($F1160,'CAT_CENTROS_COSTO'!$A$4:$A$13,0)),"(sin catálogo)"))</f>
        <v/>
      </c>
      <c r="Y1160" s="3">
        <f>IF($G1160="","",IFERROR(INDEX('CAT_PUESTOS'!$B$4:$B$8,MATCH($G1160,'CAT_PUESTOS'!$A$4:$A$8,0)),"(sin catálogo)"))</f>
        <v/>
      </c>
      <c r="Z1160" s="3">
        <f>IF($H1160="","",IFERROR(INDEX('CAT_ACTIVIDADES'!$B$4:$B$8,MATCH($H1160,'CAT_ACTIVIDADES'!$A$4:$A$8,0)),"(sin catálogo)"))</f>
        <v/>
      </c>
      <c r="AA1160" s="12">
        <f>IF($J1160="","",TODAY()-$J1160)</f>
        <v/>
      </c>
      <c r="AB1160" s="12">
        <f>IF($J1160="","",IF($J1160&lt;=TODAY(),COUNTIFS(cal_fechas,"&gt;="&amp;$J1160,cal_fechas,"&lt;"&amp;TODAY(),cal_habil,"sí"),-COUNTIFS(cal_fechas,"&gt;="&amp;TODAY(),cal_fechas,"&lt;"&amp;$J1160,cal_habil,"sí")))</f>
        <v/>
      </c>
      <c r="AC1160" s="3">
        <f>IF($AB1160="","",IF($AB1160&lt;0,"FUTURO",IF($AB1160&gt;p_dias_backlog_max,"BACKLOG","MES CORRIENTE")))</f>
        <v/>
      </c>
      <c r="AD1160" s="3">
        <f>IF($AB1160="",FALSE,AND($AB1160&gt;p_dias_backlog_min,$AB1160&lt;=p_dias_backlog_max))</f>
        <v/>
      </c>
      <c r="AE1160" s="6" t="n"/>
      <c r="AF1160" s="3">
        <f>IF($AE1160="","",IF((IFERROR(INDEX('ASIGNACIONES'!$F$4:$F$339,MATCH($O1160&amp;"|"&amp;$R1160&amp;"|"&amp;$AE1160,'ASIGNACIONES'!$J$4:$J$339,0)),""))=0,"",IFERROR(INDEX('ASIGNACIONES'!$F$4:$F$339,MATCH($O1160&amp;"|"&amp;$R1160&amp;"|"&amp;$AE1160,'ASIGNACIONES'!$J$4:$J$339,0)),"")))</f>
        <v/>
      </c>
      <c r="AG1160" s="13">
        <f>IF($AE1160="","",SUMIFS('ORDENES'!$M$4:$M$1203,'ORDENES'!$AE$4:$AE$1203,$AE1160,'ORDENES'!$O$4:$O$1203,$O1160,'ORDENES'!$R$4:$R$1203,$R1160))</f>
        <v/>
      </c>
      <c r="AH1160" s="13">
        <f>IF($AG1160="","",p_factor_productividad*IFERROR(INDEX('ASIGNACIONES'!$I$4:$I$339,MATCH($O1160&amp;"|"&amp;$R1160&amp;"|"&amp;$AE1160,'ASIGNACIONES'!$J$4:$J$339,0)),0)-$AG1160)</f>
        <v/>
      </c>
      <c r="AI1160" s="10">
        <f>IF($A1160="","",IFERROR(INDEX('2_IMPORTAR_EJECUCION'!$F$9:$F$1208,MATCH($AQ1160,'2_IMPORTAR_EJECUCION'!$J$9:$J$1208,0)),0))</f>
        <v/>
      </c>
      <c r="AJ1160" s="10">
        <f>IF($A1160="","",MAX(0,IFERROR(INDEX('2_IMPORTAR_EJECUCION'!$H$9:$H$1208,MATCH($AQ1160,'2_IMPORTAR_EJECUCION'!$J$9:$J$1208,0)),0)-$AI1160))</f>
        <v/>
      </c>
      <c r="AK1160" s="10">
        <f>IF($A1160="","",$AI1160+$AJ1160)</f>
        <v/>
      </c>
      <c r="AL1160" s="6" t="n"/>
      <c r="AM1160" s="6" t="n"/>
      <c r="AN1160" s="6" t="n"/>
      <c r="AO1160" s="3">
        <f>IF($AN1160="","",HYPERLINK(p_ruta_base_checklists&amp;$AN1160,"abrir"))</f>
        <v/>
      </c>
      <c r="AP1160" s="6" t="n"/>
      <c r="AQ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IF($A1161="","",IFERROR(INDEX('AJUSTES'!$B$4:$B$303,MATCH($AQ1161,'AJUSTES'!$A$4:$A$303,0)),IF($K1161="","",$K1161)))</f>
        <v/>
      </c>
      <c r="N1161" s="3">
        <f>IF($A1161="","",IFERROR(INDEX('CAT_ESTADOS_ERP'!$B$4:$B$7,MATCH(IFERROR(INDEX('2_IMPORTAR_EJECUCION'!$C$9:$C$1208,MATCH($AQ1161,'2_IMPORTAR_EJECUCION'!$J$9:$J$1208,0)),""),'CAT_ESTADOS_ERP'!$A$4:$A$7,0)),"Pendiente"))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J1161="","",IFERROR(INDEX('CALENDARIO'!$C$15:$C$214,MATCH(TEXT($J1161,"yyyy-mm-dd")&amp;"|"&amp;$V1161&amp;"|"&amp;$W1161,'CALENDARIO'!$G$15:$G$214,0)),IFERROR(INDEX('CALENDARIO'!$C$15:$C$214,MATCH(TEXT($J1161,"yyyy-mm-dd")&amp;"|"&amp;$V1161&amp;"|",'CALENDARIO'!$G$15:$G$214,0)),IFERROR(INDEX('CALENDARIO'!$C$15:$C$214,MATCH(TEXT($J1161,"yyyy-mm-dd")&amp;"||",'CALENDARIO'!$G$15:$G$214,0)),INDEX(patronHabil,WEEKDAY($J1161,2))))))</f>
        <v/>
      </c>
      <c r="T1161" s="3">
        <f>IF($I1161="","",IFERROR(INDEX('CAT_TIPOS_OT'!$C$4:$C$7,MATCH($I1161,'CAT_TIPOS_OT'!$A$4:$A$7,0)),"sin_clasificar"))</f>
        <v/>
      </c>
      <c r="U1161" s="3">
        <f>IF($F1161="","",IFERROR(INDEX('CAT_CENTROS_COSTO'!$F$4:$F$13,MATCH($F1161,'CAT_CENTROS_COSTO'!$A$4:$A$13,0)),"(sin catálogo)"))</f>
        <v/>
      </c>
      <c r="V1161" s="3">
        <f>IF($F1161="","",IFERROR(INDEX('CAT_CENTROS_COSTO'!$D$4:$D$13,MATCH($F1161,'CAT_CENTROS_COSTO'!$A$4:$A$13,0)),"(sin catálogo)"))</f>
        <v/>
      </c>
      <c r="W1161" s="3">
        <f>IF($F1161="","",IF((IFERROR(INDEX('CAT_CENTROS_COSTO'!$E$4:$E$13,MATCH($F1161,'CAT_CENTROS_COSTO'!$A$4:$A$13,0)),""))&lt;&gt;"",IFERROR(INDEX('CAT_CENTROS_COSTO'!$E$4:$E$13,MATCH($F1161,'CAT_CENTROS_COSTO'!$A$4:$A$13,0)),""),$V1161))</f>
        <v/>
      </c>
      <c r="X1161" s="3">
        <f>IF($F1161="","",IFERROR(INDEX('CAT_CENTROS_COSTO'!$G$4:$G$13,MATCH($F1161,'CAT_CENTROS_COSTO'!$A$4:$A$13,0)),"(sin catálogo)"))</f>
        <v/>
      </c>
      <c r="Y1161" s="3">
        <f>IF($G1161="","",IFERROR(INDEX('CAT_PUESTOS'!$B$4:$B$8,MATCH($G1161,'CAT_PUESTOS'!$A$4:$A$8,0)),"(sin catálogo)"))</f>
        <v/>
      </c>
      <c r="Z1161" s="3">
        <f>IF($H1161="","",IFERROR(INDEX('CAT_ACTIVIDADES'!$B$4:$B$8,MATCH($H1161,'CAT_ACTIVIDADES'!$A$4:$A$8,0)),"(sin catálogo)"))</f>
        <v/>
      </c>
      <c r="AA1161" s="12">
        <f>IF($J1161="","",TODAY()-$J1161)</f>
        <v/>
      </c>
      <c r="AB1161" s="12">
        <f>IF($J1161="","",IF($J1161&lt;=TODAY(),COUNTIFS(cal_fechas,"&gt;="&amp;$J1161,cal_fechas,"&lt;"&amp;TODAY(),cal_habil,"sí"),-COUNTIFS(cal_fechas,"&gt;="&amp;TODAY(),cal_fechas,"&lt;"&amp;$J1161,cal_habil,"sí")))</f>
        <v/>
      </c>
      <c r="AC1161" s="3">
        <f>IF($AB1161="","",IF($AB1161&lt;0,"FUTURO",IF($AB1161&gt;p_dias_backlog_max,"BACKLOG","MES CORRIENTE")))</f>
        <v/>
      </c>
      <c r="AD1161" s="3">
        <f>IF($AB1161="",FALSE,AND($AB1161&gt;p_dias_backlog_min,$AB1161&lt;=p_dias_backlog_max))</f>
        <v/>
      </c>
      <c r="AE1161" s="6" t="n"/>
      <c r="AF1161" s="3">
        <f>IF($AE1161="","",IF((IFERROR(INDEX('ASIGNACIONES'!$F$4:$F$339,MATCH($O1161&amp;"|"&amp;$R1161&amp;"|"&amp;$AE1161,'ASIGNACIONES'!$J$4:$J$339,0)),""))=0,"",IFERROR(INDEX('ASIGNACIONES'!$F$4:$F$339,MATCH($O1161&amp;"|"&amp;$R1161&amp;"|"&amp;$AE1161,'ASIGNACIONES'!$J$4:$J$339,0)),"")))</f>
        <v/>
      </c>
      <c r="AG1161" s="13">
        <f>IF($AE1161="","",SUMIFS('ORDENES'!$M$4:$M$1203,'ORDENES'!$AE$4:$AE$1203,$AE1161,'ORDENES'!$O$4:$O$1203,$O1161,'ORDENES'!$R$4:$R$1203,$R1161))</f>
        <v/>
      </c>
      <c r="AH1161" s="13">
        <f>IF($AG1161="","",p_factor_productividad*IFERROR(INDEX('ASIGNACIONES'!$I$4:$I$339,MATCH($O1161&amp;"|"&amp;$R1161&amp;"|"&amp;$AE1161,'ASIGNACIONES'!$J$4:$J$339,0)),0)-$AG1161)</f>
        <v/>
      </c>
      <c r="AI1161" s="10">
        <f>IF($A1161="","",IFERROR(INDEX('2_IMPORTAR_EJECUCION'!$F$9:$F$1208,MATCH($AQ1161,'2_IMPORTAR_EJECUCION'!$J$9:$J$1208,0)),0))</f>
        <v/>
      </c>
      <c r="AJ1161" s="10">
        <f>IF($A1161="","",MAX(0,IFERROR(INDEX('2_IMPORTAR_EJECUCION'!$H$9:$H$1208,MATCH($AQ1161,'2_IMPORTAR_EJECUCION'!$J$9:$J$1208,0)),0)-$AI1161))</f>
        <v/>
      </c>
      <c r="AK1161" s="10">
        <f>IF($A1161="","",$AI1161+$AJ1161)</f>
        <v/>
      </c>
      <c r="AL1161" s="6" t="n"/>
      <c r="AM1161" s="6" t="n"/>
      <c r="AN1161" s="6" t="n"/>
      <c r="AO1161" s="3">
        <f>IF($AN1161="","",HYPERLINK(p_ruta_base_checklists&amp;$AN1161,"abrir"))</f>
        <v/>
      </c>
      <c r="AP1161" s="6" t="n"/>
      <c r="AQ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IF($A1162="","",IFERROR(INDEX('AJUSTES'!$B$4:$B$303,MATCH($AQ1162,'AJUSTES'!$A$4:$A$303,0)),IF($K1162="","",$K1162)))</f>
        <v/>
      </c>
      <c r="N1162" s="3">
        <f>IF($A1162="","",IFERROR(INDEX('CAT_ESTADOS_ERP'!$B$4:$B$7,MATCH(IFERROR(INDEX('2_IMPORTAR_EJECUCION'!$C$9:$C$1208,MATCH($AQ1162,'2_IMPORTAR_EJECUCION'!$J$9:$J$1208,0)),""),'CAT_ESTADOS_ERP'!$A$4:$A$7,0)),"Pendiente"))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J1162="","",IFERROR(INDEX('CALENDARIO'!$C$15:$C$214,MATCH(TEXT($J1162,"yyyy-mm-dd")&amp;"|"&amp;$V1162&amp;"|"&amp;$W1162,'CALENDARIO'!$G$15:$G$214,0)),IFERROR(INDEX('CALENDARIO'!$C$15:$C$214,MATCH(TEXT($J1162,"yyyy-mm-dd")&amp;"|"&amp;$V1162&amp;"|",'CALENDARIO'!$G$15:$G$214,0)),IFERROR(INDEX('CALENDARIO'!$C$15:$C$214,MATCH(TEXT($J1162,"yyyy-mm-dd")&amp;"||",'CALENDARIO'!$G$15:$G$214,0)),INDEX(patronHabil,WEEKDAY($J1162,2))))))</f>
        <v/>
      </c>
      <c r="T1162" s="3">
        <f>IF($I1162="","",IFERROR(INDEX('CAT_TIPOS_OT'!$C$4:$C$7,MATCH($I1162,'CAT_TIPOS_OT'!$A$4:$A$7,0)),"sin_clasificar"))</f>
        <v/>
      </c>
      <c r="U1162" s="3">
        <f>IF($F1162="","",IFERROR(INDEX('CAT_CENTROS_COSTO'!$F$4:$F$13,MATCH($F1162,'CAT_CENTROS_COSTO'!$A$4:$A$13,0)),"(sin catálogo)"))</f>
        <v/>
      </c>
      <c r="V1162" s="3">
        <f>IF($F1162="","",IFERROR(INDEX('CAT_CENTROS_COSTO'!$D$4:$D$13,MATCH($F1162,'CAT_CENTROS_COSTO'!$A$4:$A$13,0)),"(sin catálogo)"))</f>
        <v/>
      </c>
      <c r="W1162" s="3">
        <f>IF($F1162="","",IF((IFERROR(INDEX('CAT_CENTROS_COSTO'!$E$4:$E$13,MATCH($F1162,'CAT_CENTROS_COSTO'!$A$4:$A$13,0)),""))&lt;&gt;"",IFERROR(INDEX('CAT_CENTROS_COSTO'!$E$4:$E$13,MATCH($F1162,'CAT_CENTROS_COSTO'!$A$4:$A$13,0)),""),$V1162))</f>
        <v/>
      </c>
      <c r="X1162" s="3">
        <f>IF($F1162="","",IFERROR(INDEX('CAT_CENTROS_COSTO'!$G$4:$G$13,MATCH($F1162,'CAT_CENTROS_COSTO'!$A$4:$A$13,0)),"(sin catálogo)"))</f>
        <v/>
      </c>
      <c r="Y1162" s="3">
        <f>IF($G1162="","",IFERROR(INDEX('CAT_PUESTOS'!$B$4:$B$8,MATCH($G1162,'CAT_PUESTOS'!$A$4:$A$8,0)),"(sin catálogo)"))</f>
        <v/>
      </c>
      <c r="Z1162" s="3">
        <f>IF($H1162="","",IFERROR(INDEX('CAT_ACTIVIDADES'!$B$4:$B$8,MATCH($H1162,'CAT_ACTIVIDADES'!$A$4:$A$8,0)),"(sin catálogo)"))</f>
        <v/>
      </c>
      <c r="AA1162" s="12">
        <f>IF($J1162="","",TODAY()-$J1162)</f>
        <v/>
      </c>
      <c r="AB1162" s="12">
        <f>IF($J1162="","",IF($J1162&lt;=TODAY(),COUNTIFS(cal_fechas,"&gt;="&amp;$J1162,cal_fechas,"&lt;"&amp;TODAY(),cal_habil,"sí"),-COUNTIFS(cal_fechas,"&gt;="&amp;TODAY(),cal_fechas,"&lt;"&amp;$J1162,cal_habil,"sí")))</f>
        <v/>
      </c>
      <c r="AC1162" s="3">
        <f>IF($AB1162="","",IF($AB1162&lt;0,"FUTURO",IF($AB1162&gt;p_dias_backlog_max,"BACKLOG","MES CORRIENTE")))</f>
        <v/>
      </c>
      <c r="AD1162" s="3">
        <f>IF($AB1162="",FALSE,AND($AB1162&gt;p_dias_backlog_min,$AB1162&lt;=p_dias_backlog_max))</f>
        <v/>
      </c>
      <c r="AE1162" s="6" t="n"/>
      <c r="AF1162" s="3">
        <f>IF($AE1162="","",IF((IFERROR(INDEX('ASIGNACIONES'!$F$4:$F$339,MATCH($O1162&amp;"|"&amp;$R1162&amp;"|"&amp;$AE1162,'ASIGNACIONES'!$J$4:$J$339,0)),""))=0,"",IFERROR(INDEX('ASIGNACIONES'!$F$4:$F$339,MATCH($O1162&amp;"|"&amp;$R1162&amp;"|"&amp;$AE1162,'ASIGNACIONES'!$J$4:$J$339,0)),"")))</f>
        <v/>
      </c>
      <c r="AG1162" s="13">
        <f>IF($AE1162="","",SUMIFS('ORDENES'!$M$4:$M$1203,'ORDENES'!$AE$4:$AE$1203,$AE1162,'ORDENES'!$O$4:$O$1203,$O1162,'ORDENES'!$R$4:$R$1203,$R1162))</f>
        <v/>
      </c>
      <c r="AH1162" s="13">
        <f>IF($AG1162="","",p_factor_productividad*IFERROR(INDEX('ASIGNACIONES'!$I$4:$I$339,MATCH($O1162&amp;"|"&amp;$R1162&amp;"|"&amp;$AE1162,'ASIGNACIONES'!$J$4:$J$339,0)),0)-$AG1162)</f>
        <v/>
      </c>
      <c r="AI1162" s="10">
        <f>IF($A1162="","",IFERROR(INDEX('2_IMPORTAR_EJECUCION'!$F$9:$F$1208,MATCH($AQ1162,'2_IMPORTAR_EJECUCION'!$J$9:$J$1208,0)),0))</f>
        <v/>
      </c>
      <c r="AJ1162" s="10">
        <f>IF($A1162="","",MAX(0,IFERROR(INDEX('2_IMPORTAR_EJECUCION'!$H$9:$H$1208,MATCH($AQ1162,'2_IMPORTAR_EJECUCION'!$J$9:$J$1208,0)),0)-$AI1162))</f>
        <v/>
      </c>
      <c r="AK1162" s="10">
        <f>IF($A1162="","",$AI1162+$AJ1162)</f>
        <v/>
      </c>
      <c r="AL1162" s="6" t="n"/>
      <c r="AM1162" s="6" t="n"/>
      <c r="AN1162" s="6" t="n"/>
      <c r="AO1162" s="3">
        <f>IF($AN1162="","",HYPERLINK(p_ruta_base_checklists&amp;$AN1162,"abrir"))</f>
        <v/>
      </c>
      <c r="AP1162" s="6" t="n"/>
      <c r="AQ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IF($A1163="","",IFERROR(INDEX('AJUSTES'!$B$4:$B$303,MATCH($AQ1163,'AJUSTES'!$A$4:$A$303,0)),IF($K1163="","",$K1163)))</f>
        <v/>
      </c>
      <c r="N1163" s="3">
        <f>IF($A1163="","",IFERROR(INDEX('CAT_ESTADOS_ERP'!$B$4:$B$7,MATCH(IFERROR(INDEX('2_IMPORTAR_EJECUCION'!$C$9:$C$1208,MATCH($AQ1163,'2_IMPORTAR_EJECUCION'!$J$9:$J$1208,0)),""),'CAT_ESTADOS_ERP'!$A$4:$A$7,0)),"Pendiente"))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J1163="","",IFERROR(INDEX('CALENDARIO'!$C$15:$C$214,MATCH(TEXT($J1163,"yyyy-mm-dd")&amp;"|"&amp;$V1163&amp;"|"&amp;$W1163,'CALENDARIO'!$G$15:$G$214,0)),IFERROR(INDEX('CALENDARIO'!$C$15:$C$214,MATCH(TEXT($J1163,"yyyy-mm-dd")&amp;"|"&amp;$V1163&amp;"|",'CALENDARIO'!$G$15:$G$214,0)),IFERROR(INDEX('CALENDARIO'!$C$15:$C$214,MATCH(TEXT($J1163,"yyyy-mm-dd")&amp;"||",'CALENDARIO'!$G$15:$G$214,0)),INDEX(patronHabil,WEEKDAY($J1163,2))))))</f>
        <v/>
      </c>
      <c r="T1163" s="3">
        <f>IF($I1163="","",IFERROR(INDEX('CAT_TIPOS_OT'!$C$4:$C$7,MATCH($I1163,'CAT_TIPOS_OT'!$A$4:$A$7,0)),"sin_clasificar"))</f>
        <v/>
      </c>
      <c r="U1163" s="3">
        <f>IF($F1163="","",IFERROR(INDEX('CAT_CENTROS_COSTO'!$F$4:$F$13,MATCH($F1163,'CAT_CENTROS_COSTO'!$A$4:$A$13,0)),"(sin catálogo)"))</f>
        <v/>
      </c>
      <c r="V1163" s="3">
        <f>IF($F1163="","",IFERROR(INDEX('CAT_CENTROS_COSTO'!$D$4:$D$13,MATCH($F1163,'CAT_CENTROS_COSTO'!$A$4:$A$13,0)),"(sin catálogo)"))</f>
        <v/>
      </c>
      <c r="W1163" s="3">
        <f>IF($F1163="","",IF((IFERROR(INDEX('CAT_CENTROS_COSTO'!$E$4:$E$13,MATCH($F1163,'CAT_CENTROS_COSTO'!$A$4:$A$13,0)),""))&lt;&gt;"",IFERROR(INDEX('CAT_CENTROS_COSTO'!$E$4:$E$13,MATCH($F1163,'CAT_CENTROS_COSTO'!$A$4:$A$13,0)),""),$V1163))</f>
        <v/>
      </c>
      <c r="X1163" s="3">
        <f>IF($F1163="","",IFERROR(INDEX('CAT_CENTROS_COSTO'!$G$4:$G$13,MATCH($F1163,'CAT_CENTROS_COSTO'!$A$4:$A$13,0)),"(sin catálogo)"))</f>
        <v/>
      </c>
      <c r="Y1163" s="3">
        <f>IF($G1163="","",IFERROR(INDEX('CAT_PUESTOS'!$B$4:$B$8,MATCH($G1163,'CAT_PUESTOS'!$A$4:$A$8,0)),"(sin catálogo)"))</f>
        <v/>
      </c>
      <c r="Z1163" s="3">
        <f>IF($H1163="","",IFERROR(INDEX('CAT_ACTIVIDADES'!$B$4:$B$8,MATCH($H1163,'CAT_ACTIVIDADES'!$A$4:$A$8,0)),"(sin catálogo)"))</f>
        <v/>
      </c>
      <c r="AA1163" s="12">
        <f>IF($J1163="","",TODAY()-$J1163)</f>
        <v/>
      </c>
      <c r="AB1163" s="12">
        <f>IF($J1163="","",IF($J1163&lt;=TODAY(),COUNTIFS(cal_fechas,"&gt;="&amp;$J1163,cal_fechas,"&lt;"&amp;TODAY(),cal_habil,"sí"),-COUNTIFS(cal_fechas,"&gt;="&amp;TODAY(),cal_fechas,"&lt;"&amp;$J1163,cal_habil,"sí")))</f>
        <v/>
      </c>
      <c r="AC1163" s="3">
        <f>IF($AB1163="","",IF($AB1163&lt;0,"FUTURO",IF($AB1163&gt;p_dias_backlog_max,"BACKLOG","MES CORRIENTE")))</f>
        <v/>
      </c>
      <c r="AD1163" s="3">
        <f>IF($AB1163="",FALSE,AND($AB1163&gt;p_dias_backlog_min,$AB1163&lt;=p_dias_backlog_max))</f>
        <v/>
      </c>
      <c r="AE1163" s="6" t="n"/>
      <c r="AF1163" s="3">
        <f>IF($AE1163="","",IF((IFERROR(INDEX('ASIGNACIONES'!$F$4:$F$339,MATCH($O1163&amp;"|"&amp;$R1163&amp;"|"&amp;$AE1163,'ASIGNACIONES'!$J$4:$J$339,0)),""))=0,"",IFERROR(INDEX('ASIGNACIONES'!$F$4:$F$339,MATCH($O1163&amp;"|"&amp;$R1163&amp;"|"&amp;$AE1163,'ASIGNACIONES'!$J$4:$J$339,0)),"")))</f>
        <v/>
      </c>
      <c r="AG1163" s="13">
        <f>IF($AE1163="","",SUMIFS('ORDENES'!$M$4:$M$1203,'ORDENES'!$AE$4:$AE$1203,$AE1163,'ORDENES'!$O$4:$O$1203,$O1163,'ORDENES'!$R$4:$R$1203,$R1163))</f>
        <v/>
      </c>
      <c r="AH1163" s="13">
        <f>IF($AG1163="","",p_factor_productividad*IFERROR(INDEX('ASIGNACIONES'!$I$4:$I$339,MATCH($O1163&amp;"|"&amp;$R1163&amp;"|"&amp;$AE1163,'ASIGNACIONES'!$J$4:$J$339,0)),0)-$AG1163)</f>
        <v/>
      </c>
      <c r="AI1163" s="10">
        <f>IF($A1163="","",IFERROR(INDEX('2_IMPORTAR_EJECUCION'!$F$9:$F$1208,MATCH($AQ1163,'2_IMPORTAR_EJECUCION'!$J$9:$J$1208,0)),0))</f>
        <v/>
      </c>
      <c r="AJ1163" s="10">
        <f>IF($A1163="","",MAX(0,IFERROR(INDEX('2_IMPORTAR_EJECUCION'!$H$9:$H$1208,MATCH($AQ1163,'2_IMPORTAR_EJECUCION'!$J$9:$J$1208,0)),0)-$AI1163))</f>
        <v/>
      </c>
      <c r="AK1163" s="10">
        <f>IF($A1163="","",$AI1163+$AJ1163)</f>
        <v/>
      </c>
      <c r="AL1163" s="6" t="n"/>
      <c r="AM1163" s="6" t="n"/>
      <c r="AN1163" s="6" t="n"/>
      <c r="AO1163" s="3">
        <f>IF($AN1163="","",HYPERLINK(p_ruta_base_checklists&amp;$AN1163,"abrir"))</f>
        <v/>
      </c>
      <c r="AP1163" s="6" t="n"/>
      <c r="AQ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IF($A1164="","",IFERROR(INDEX('AJUSTES'!$B$4:$B$303,MATCH($AQ1164,'AJUSTES'!$A$4:$A$303,0)),IF($K1164="","",$K1164)))</f>
        <v/>
      </c>
      <c r="N1164" s="3">
        <f>IF($A1164="","",IFERROR(INDEX('CAT_ESTADOS_ERP'!$B$4:$B$7,MATCH(IFERROR(INDEX('2_IMPORTAR_EJECUCION'!$C$9:$C$1208,MATCH($AQ1164,'2_IMPORTAR_EJECUCION'!$J$9:$J$1208,0)),""),'CAT_ESTADOS_ERP'!$A$4:$A$7,0)),"Pendiente"))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J1164="","",IFERROR(INDEX('CALENDARIO'!$C$15:$C$214,MATCH(TEXT($J1164,"yyyy-mm-dd")&amp;"|"&amp;$V1164&amp;"|"&amp;$W1164,'CALENDARIO'!$G$15:$G$214,0)),IFERROR(INDEX('CALENDARIO'!$C$15:$C$214,MATCH(TEXT($J1164,"yyyy-mm-dd")&amp;"|"&amp;$V1164&amp;"|",'CALENDARIO'!$G$15:$G$214,0)),IFERROR(INDEX('CALENDARIO'!$C$15:$C$214,MATCH(TEXT($J1164,"yyyy-mm-dd")&amp;"||",'CALENDARIO'!$G$15:$G$214,0)),INDEX(patronHabil,WEEKDAY($J1164,2))))))</f>
        <v/>
      </c>
      <c r="T1164" s="3">
        <f>IF($I1164="","",IFERROR(INDEX('CAT_TIPOS_OT'!$C$4:$C$7,MATCH($I1164,'CAT_TIPOS_OT'!$A$4:$A$7,0)),"sin_clasificar"))</f>
        <v/>
      </c>
      <c r="U1164" s="3">
        <f>IF($F1164="","",IFERROR(INDEX('CAT_CENTROS_COSTO'!$F$4:$F$13,MATCH($F1164,'CAT_CENTROS_COSTO'!$A$4:$A$13,0)),"(sin catálogo)"))</f>
        <v/>
      </c>
      <c r="V1164" s="3">
        <f>IF($F1164="","",IFERROR(INDEX('CAT_CENTROS_COSTO'!$D$4:$D$13,MATCH($F1164,'CAT_CENTROS_COSTO'!$A$4:$A$13,0)),"(sin catálogo)"))</f>
        <v/>
      </c>
      <c r="W1164" s="3">
        <f>IF($F1164="","",IF((IFERROR(INDEX('CAT_CENTROS_COSTO'!$E$4:$E$13,MATCH($F1164,'CAT_CENTROS_COSTO'!$A$4:$A$13,0)),""))&lt;&gt;"",IFERROR(INDEX('CAT_CENTROS_COSTO'!$E$4:$E$13,MATCH($F1164,'CAT_CENTROS_COSTO'!$A$4:$A$13,0)),""),$V1164))</f>
        <v/>
      </c>
      <c r="X1164" s="3">
        <f>IF($F1164="","",IFERROR(INDEX('CAT_CENTROS_COSTO'!$G$4:$G$13,MATCH($F1164,'CAT_CENTROS_COSTO'!$A$4:$A$13,0)),"(sin catálogo)"))</f>
        <v/>
      </c>
      <c r="Y1164" s="3">
        <f>IF($G1164="","",IFERROR(INDEX('CAT_PUESTOS'!$B$4:$B$8,MATCH($G1164,'CAT_PUESTOS'!$A$4:$A$8,0)),"(sin catálogo)"))</f>
        <v/>
      </c>
      <c r="Z1164" s="3">
        <f>IF($H1164="","",IFERROR(INDEX('CAT_ACTIVIDADES'!$B$4:$B$8,MATCH($H1164,'CAT_ACTIVIDADES'!$A$4:$A$8,0)),"(sin catálogo)"))</f>
        <v/>
      </c>
      <c r="AA1164" s="12">
        <f>IF($J1164="","",TODAY()-$J1164)</f>
        <v/>
      </c>
      <c r="AB1164" s="12">
        <f>IF($J1164="","",IF($J1164&lt;=TODAY(),COUNTIFS(cal_fechas,"&gt;="&amp;$J1164,cal_fechas,"&lt;"&amp;TODAY(),cal_habil,"sí"),-COUNTIFS(cal_fechas,"&gt;="&amp;TODAY(),cal_fechas,"&lt;"&amp;$J1164,cal_habil,"sí")))</f>
        <v/>
      </c>
      <c r="AC1164" s="3">
        <f>IF($AB1164="","",IF($AB1164&lt;0,"FUTURO",IF($AB1164&gt;p_dias_backlog_max,"BACKLOG","MES CORRIENTE")))</f>
        <v/>
      </c>
      <c r="AD1164" s="3">
        <f>IF($AB1164="",FALSE,AND($AB1164&gt;p_dias_backlog_min,$AB1164&lt;=p_dias_backlog_max))</f>
        <v/>
      </c>
      <c r="AE1164" s="6" t="n"/>
      <c r="AF1164" s="3">
        <f>IF($AE1164="","",IF((IFERROR(INDEX('ASIGNACIONES'!$F$4:$F$339,MATCH($O1164&amp;"|"&amp;$R1164&amp;"|"&amp;$AE1164,'ASIGNACIONES'!$J$4:$J$339,0)),""))=0,"",IFERROR(INDEX('ASIGNACIONES'!$F$4:$F$339,MATCH($O1164&amp;"|"&amp;$R1164&amp;"|"&amp;$AE1164,'ASIGNACIONES'!$J$4:$J$339,0)),"")))</f>
        <v/>
      </c>
      <c r="AG1164" s="13">
        <f>IF($AE1164="","",SUMIFS('ORDENES'!$M$4:$M$1203,'ORDENES'!$AE$4:$AE$1203,$AE1164,'ORDENES'!$O$4:$O$1203,$O1164,'ORDENES'!$R$4:$R$1203,$R1164))</f>
        <v/>
      </c>
      <c r="AH1164" s="13">
        <f>IF($AG1164="","",p_factor_productividad*IFERROR(INDEX('ASIGNACIONES'!$I$4:$I$339,MATCH($O1164&amp;"|"&amp;$R1164&amp;"|"&amp;$AE1164,'ASIGNACIONES'!$J$4:$J$339,0)),0)-$AG1164)</f>
        <v/>
      </c>
      <c r="AI1164" s="10">
        <f>IF($A1164="","",IFERROR(INDEX('2_IMPORTAR_EJECUCION'!$F$9:$F$1208,MATCH($AQ1164,'2_IMPORTAR_EJECUCION'!$J$9:$J$1208,0)),0))</f>
        <v/>
      </c>
      <c r="AJ1164" s="10">
        <f>IF($A1164="","",MAX(0,IFERROR(INDEX('2_IMPORTAR_EJECUCION'!$H$9:$H$1208,MATCH($AQ1164,'2_IMPORTAR_EJECUCION'!$J$9:$J$1208,0)),0)-$AI1164))</f>
        <v/>
      </c>
      <c r="AK1164" s="10">
        <f>IF($A1164="","",$AI1164+$AJ1164)</f>
        <v/>
      </c>
      <c r="AL1164" s="6" t="n"/>
      <c r="AM1164" s="6" t="n"/>
      <c r="AN1164" s="6" t="n"/>
      <c r="AO1164" s="3">
        <f>IF($AN1164="","",HYPERLINK(p_ruta_base_checklists&amp;$AN1164,"abrir"))</f>
        <v/>
      </c>
      <c r="AP1164" s="6" t="n"/>
      <c r="AQ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IF($A1165="","",IFERROR(INDEX('AJUSTES'!$B$4:$B$303,MATCH($AQ1165,'AJUSTES'!$A$4:$A$303,0)),IF($K1165="","",$K1165)))</f>
        <v/>
      </c>
      <c r="N1165" s="3">
        <f>IF($A1165="","",IFERROR(INDEX('CAT_ESTADOS_ERP'!$B$4:$B$7,MATCH(IFERROR(INDEX('2_IMPORTAR_EJECUCION'!$C$9:$C$1208,MATCH($AQ1165,'2_IMPORTAR_EJECUCION'!$J$9:$J$1208,0)),""),'CAT_ESTADOS_ERP'!$A$4:$A$7,0)),"Pendiente"))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J1165="","",IFERROR(INDEX('CALENDARIO'!$C$15:$C$214,MATCH(TEXT($J1165,"yyyy-mm-dd")&amp;"|"&amp;$V1165&amp;"|"&amp;$W1165,'CALENDARIO'!$G$15:$G$214,0)),IFERROR(INDEX('CALENDARIO'!$C$15:$C$214,MATCH(TEXT($J1165,"yyyy-mm-dd")&amp;"|"&amp;$V1165&amp;"|",'CALENDARIO'!$G$15:$G$214,0)),IFERROR(INDEX('CALENDARIO'!$C$15:$C$214,MATCH(TEXT($J1165,"yyyy-mm-dd")&amp;"||",'CALENDARIO'!$G$15:$G$214,0)),INDEX(patronHabil,WEEKDAY($J1165,2))))))</f>
        <v/>
      </c>
      <c r="T1165" s="3">
        <f>IF($I1165="","",IFERROR(INDEX('CAT_TIPOS_OT'!$C$4:$C$7,MATCH($I1165,'CAT_TIPOS_OT'!$A$4:$A$7,0)),"sin_clasificar"))</f>
        <v/>
      </c>
      <c r="U1165" s="3">
        <f>IF($F1165="","",IFERROR(INDEX('CAT_CENTROS_COSTO'!$F$4:$F$13,MATCH($F1165,'CAT_CENTROS_COSTO'!$A$4:$A$13,0)),"(sin catálogo)"))</f>
        <v/>
      </c>
      <c r="V1165" s="3">
        <f>IF($F1165="","",IFERROR(INDEX('CAT_CENTROS_COSTO'!$D$4:$D$13,MATCH($F1165,'CAT_CENTROS_COSTO'!$A$4:$A$13,0)),"(sin catálogo)"))</f>
        <v/>
      </c>
      <c r="W1165" s="3">
        <f>IF($F1165="","",IF((IFERROR(INDEX('CAT_CENTROS_COSTO'!$E$4:$E$13,MATCH($F1165,'CAT_CENTROS_COSTO'!$A$4:$A$13,0)),""))&lt;&gt;"",IFERROR(INDEX('CAT_CENTROS_COSTO'!$E$4:$E$13,MATCH($F1165,'CAT_CENTROS_COSTO'!$A$4:$A$13,0)),""),$V1165))</f>
        <v/>
      </c>
      <c r="X1165" s="3">
        <f>IF($F1165="","",IFERROR(INDEX('CAT_CENTROS_COSTO'!$G$4:$G$13,MATCH($F1165,'CAT_CENTROS_COSTO'!$A$4:$A$13,0)),"(sin catálogo)"))</f>
        <v/>
      </c>
      <c r="Y1165" s="3">
        <f>IF($G1165="","",IFERROR(INDEX('CAT_PUESTOS'!$B$4:$B$8,MATCH($G1165,'CAT_PUESTOS'!$A$4:$A$8,0)),"(sin catálogo)"))</f>
        <v/>
      </c>
      <c r="Z1165" s="3">
        <f>IF($H1165="","",IFERROR(INDEX('CAT_ACTIVIDADES'!$B$4:$B$8,MATCH($H1165,'CAT_ACTIVIDADES'!$A$4:$A$8,0)),"(sin catálogo)"))</f>
        <v/>
      </c>
      <c r="AA1165" s="12">
        <f>IF($J1165="","",TODAY()-$J1165)</f>
        <v/>
      </c>
      <c r="AB1165" s="12">
        <f>IF($J1165="","",IF($J1165&lt;=TODAY(),COUNTIFS(cal_fechas,"&gt;="&amp;$J1165,cal_fechas,"&lt;"&amp;TODAY(),cal_habil,"sí"),-COUNTIFS(cal_fechas,"&gt;="&amp;TODAY(),cal_fechas,"&lt;"&amp;$J1165,cal_habil,"sí")))</f>
        <v/>
      </c>
      <c r="AC1165" s="3">
        <f>IF($AB1165="","",IF($AB1165&lt;0,"FUTURO",IF($AB1165&gt;p_dias_backlog_max,"BACKLOG","MES CORRIENTE")))</f>
        <v/>
      </c>
      <c r="AD1165" s="3">
        <f>IF($AB1165="",FALSE,AND($AB1165&gt;p_dias_backlog_min,$AB1165&lt;=p_dias_backlog_max))</f>
        <v/>
      </c>
      <c r="AE1165" s="6" t="n"/>
      <c r="AF1165" s="3">
        <f>IF($AE1165="","",IF((IFERROR(INDEX('ASIGNACIONES'!$F$4:$F$339,MATCH($O1165&amp;"|"&amp;$R1165&amp;"|"&amp;$AE1165,'ASIGNACIONES'!$J$4:$J$339,0)),""))=0,"",IFERROR(INDEX('ASIGNACIONES'!$F$4:$F$339,MATCH($O1165&amp;"|"&amp;$R1165&amp;"|"&amp;$AE1165,'ASIGNACIONES'!$J$4:$J$339,0)),"")))</f>
        <v/>
      </c>
      <c r="AG1165" s="13">
        <f>IF($AE1165="","",SUMIFS('ORDENES'!$M$4:$M$1203,'ORDENES'!$AE$4:$AE$1203,$AE1165,'ORDENES'!$O$4:$O$1203,$O1165,'ORDENES'!$R$4:$R$1203,$R1165))</f>
        <v/>
      </c>
      <c r="AH1165" s="13">
        <f>IF($AG1165="","",p_factor_productividad*IFERROR(INDEX('ASIGNACIONES'!$I$4:$I$339,MATCH($O1165&amp;"|"&amp;$R1165&amp;"|"&amp;$AE1165,'ASIGNACIONES'!$J$4:$J$339,0)),0)-$AG1165)</f>
        <v/>
      </c>
      <c r="AI1165" s="10">
        <f>IF($A1165="","",IFERROR(INDEX('2_IMPORTAR_EJECUCION'!$F$9:$F$1208,MATCH($AQ1165,'2_IMPORTAR_EJECUCION'!$J$9:$J$1208,0)),0))</f>
        <v/>
      </c>
      <c r="AJ1165" s="10">
        <f>IF($A1165="","",MAX(0,IFERROR(INDEX('2_IMPORTAR_EJECUCION'!$H$9:$H$1208,MATCH($AQ1165,'2_IMPORTAR_EJECUCION'!$J$9:$J$1208,0)),0)-$AI1165))</f>
        <v/>
      </c>
      <c r="AK1165" s="10">
        <f>IF($A1165="","",$AI1165+$AJ1165)</f>
        <v/>
      </c>
      <c r="AL1165" s="6" t="n"/>
      <c r="AM1165" s="6" t="n"/>
      <c r="AN1165" s="6" t="n"/>
      <c r="AO1165" s="3">
        <f>IF($AN1165="","",HYPERLINK(p_ruta_base_checklists&amp;$AN1165,"abrir"))</f>
        <v/>
      </c>
      <c r="AP1165" s="6" t="n"/>
      <c r="AQ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IF($A1166="","",IFERROR(INDEX('AJUSTES'!$B$4:$B$303,MATCH($AQ1166,'AJUSTES'!$A$4:$A$303,0)),IF($K1166="","",$K1166)))</f>
        <v/>
      </c>
      <c r="N1166" s="3">
        <f>IF($A1166="","",IFERROR(INDEX('CAT_ESTADOS_ERP'!$B$4:$B$7,MATCH(IFERROR(INDEX('2_IMPORTAR_EJECUCION'!$C$9:$C$1208,MATCH($AQ1166,'2_IMPORTAR_EJECUCION'!$J$9:$J$1208,0)),""),'CAT_ESTADOS_ERP'!$A$4:$A$7,0)),"Pendiente"))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J1166="","",IFERROR(INDEX('CALENDARIO'!$C$15:$C$214,MATCH(TEXT($J1166,"yyyy-mm-dd")&amp;"|"&amp;$V1166&amp;"|"&amp;$W1166,'CALENDARIO'!$G$15:$G$214,0)),IFERROR(INDEX('CALENDARIO'!$C$15:$C$214,MATCH(TEXT($J1166,"yyyy-mm-dd")&amp;"|"&amp;$V1166&amp;"|",'CALENDARIO'!$G$15:$G$214,0)),IFERROR(INDEX('CALENDARIO'!$C$15:$C$214,MATCH(TEXT($J1166,"yyyy-mm-dd")&amp;"||",'CALENDARIO'!$G$15:$G$214,0)),INDEX(patronHabil,WEEKDAY($J1166,2))))))</f>
        <v/>
      </c>
      <c r="T1166" s="3">
        <f>IF($I1166="","",IFERROR(INDEX('CAT_TIPOS_OT'!$C$4:$C$7,MATCH($I1166,'CAT_TIPOS_OT'!$A$4:$A$7,0)),"sin_clasificar"))</f>
        <v/>
      </c>
      <c r="U1166" s="3">
        <f>IF($F1166="","",IFERROR(INDEX('CAT_CENTROS_COSTO'!$F$4:$F$13,MATCH($F1166,'CAT_CENTROS_COSTO'!$A$4:$A$13,0)),"(sin catálogo)"))</f>
        <v/>
      </c>
      <c r="V1166" s="3">
        <f>IF($F1166="","",IFERROR(INDEX('CAT_CENTROS_COSTO'!$D$4:$D$13,MATCH($F1166,'CAT_CENTROS_COSTO'!$A$4:$A$13,0)),"(sin catálogo)"))</f>
        <v/>
      </c>
      <c r="W1166" s="3">
        <f>IF($F1166="","",IF((IFERROR(INDEX('CAT_CENTROS_COSTO'!$E$4:$E$13,MATCH($F1166,'CAT_CENTROS_COSTO'!$A$4:$A$13,0)),""))&lt;&gt;"",IFERROR(INDEX('CAT_CENTROS_COSTO'!$E$4:$E$13,MATCH($F1166,'CAT_CENTROS_COSTO'!$A$4:$A$13,0)),""),$V1166))</f>
        <v/>
      </c>
      <c r="X1166" s="3">
        <f>IF($F1166="","",IFERROR(INDEX('CAT_CENTROS_COSTO'!$G$4:$G$13,MATCH($F1166,'CAT_CENTROS_COSTO'!$A$4:$A$13,0)),"(sin catálogo)"))</f>
        <v/>
      </c>
      <c r="Y1166" s="3">
        <f>IF($G1166="","",IFERROR(INDEX('CAT_PUESTOS'!$B$4:$B$8,MATCH($G1166,'CAT_PUESTOS'!$A$4:$A$8,0)),"(sin catálogo)"))</f>
        <v/>
      </c>
      <c r="Z1166" s="3">
        <f>IF($H1166="","",IFERROR(INDEX('CAT_ACTIVIDADES'!$B$4:$B$8,MATCH($H1166,'CAT_ACTIVIDADES'!$A$4:$A$8,0)),"(sin catálogo)"))</f>
        <v/>
      </c>
      <c r="AA1166" s="12">
        <f>IF($J1166="","",TODAY()-$J1166)</f>
        <v/>
      </c>
      <c r="AB1166" s="12">
        <f>IF($J1166="","",IF($J1166&lt;=TODAY(),COUNTIFS(cal_fechas,"&gt;="&amp;$J1166,cal_fechas,"&lt;"&amp;TODAY(),cal_habil,"sí"),-COUNTIFS(cal_fechas,"&gt;="&amp;TODAY(),cal_fechas,"&lt;"&amp;$J1166,cal_habil,"sí")))</f>
        <v/>
      </c>
      <c r="AC1166" s="3">
        <f>IF($AB1166="","",IF($AB1166&lt;0,"FUTURO",IF($AB1166&gt;p_dias_backlog_max,"BACKLOG","MES CORRIENTE")))</f>
        <v/>
      </c>
      <c r="AD1166" s="3">
        <f>IF($AB1166="",FALSE,AND($AB1166&gt;p_dias_backlog_min,$AB1166&lt;=p_dias_backlog_max))</f>
        <v/>
      </c>
      <c r="AE1166" s="6" t="n"/>
      <c r="AF1166" s="3">
        <f>IF($AE1166="","",IF((IFERROR(INDEX('ASIGNACIONES'!$F$4:$F$339,MATCH($O1166&amp;"|"&amp;$R1166&amp;"|"&amp;$AE1166,'ASIGNACIONES'!$J$4:$J$339,0)),""))=0,"",IFERROR(INDEX('ASIGNACIONES'!$F$4:$F$339,MATCH($O1166&amp;"|"&amp;$R1166&amp;"|"&amp;$AE1166,'ASIGNACIONES'!$J$4:$J$339,0)),"")))</f>
        <v/>
      </c>
      <c r="AG1166" s="13">
        <f>IF($AE1166="","",SUMIFS('ORDENES'!$M$4:$M$1203,'ORDENES'!$AE$4:$AE$1203,$AE1166,'ORDENES'!$O$4:$O$1203,$O1166,'ORDENES'!$R$4:$R$1203,$R1166))</f>
        <v/>
      </c>
      <c r="AH1166" s="13">
        <f>IF($AG1166="","",p_factor_productividad*IFERROR(INDEX('ASIGNACIONES'!$I$4:$I$339,MATCH($O1166&amp;"|"&amp;$R1166&amp;"|"&amp;$AE1166,'ASIGNACIONES'!$J$4:$J$339,0)),0)-$AG1166)</f>
        <v/>
      </c>
      <c r="AI1166" s="10">
        <f>IF($A1166="","",IFERROR(INDEX('2_IMPORTAR_EJECUCION'!$F$9:$F$1208,MATCH($AQ1166,'2_IMPORTAR_EJECUCION'!$J$9:$J$1208,0)),0))</f>
        <v/>
      </c>
      <c r="AJ1166" s="10">
        <f>IF($A1166="","",MAX(0,IFERROR(INDEX('2_IMPORTAR_EJECUCION'!$H$9:$H$1208,MATCH($AQ1166,'2_IMPORTAR_EJECUCION'!$J$9:$J$1208,0)),0)-$AI1166))</f>
        <v/>
      </c>
      <c r="AK1166" s="10">
        <f>IF($A1166="","",$AI1166+$AJ1166)</f>
        <v/>
      </c>
      <c r="AL1166" s="6" t="n"/>
      <c r="AM1166" s="6" t="n"/>
      <c r="AN1166" s="6" t="n"/>
      <c r="AO1166" s="3">
        <f>IF($AN1166="","",HYPERLINK(p_ruta_base_checklists&amp;$AN1166,"abrir"))</f>
        <v/>
      </c>
      <c r="AP1166" s="6" t="n"/>
      <c r="AQ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IF($A1167="","",IFERROR(INDEX('AJUSTES'!$B$4:$B$303,MATCH($AQ1167,'AJUSTES'!$A$4:$A$303,0)),IF($K1167="","",$K1167)))</f>
        <v/>
      </c>
      <c r="N1167" s="3">
        <f>IF($A1167="","",IFERROR(INDEX('CAT_ESTADOS_ERP'!$B$4:$B$7,MATCH(IFERROR(INDEX('2_IMPORTAR_EJECUCION'!$C$9:$C$1208,MATCH($AQ1167,'2_IMPORTAR_EJECUCION'!$J$9:$J$1208,0)),""),'CAT_ESTADOS_ERP'!$A$4:$A$7,0)),"Pendiente"))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J1167="","",IFERROR(INDEX('CALENDARIO'!$C$15:$C$214,MATCH(TEXT($J1167,"yyyy-mm-dd")&amp;"|"&amp;$V1167&amp;"|"&amp;$W1167,'CALENDARIO'!$G$15:$G$214,0)),IFERROR(INDEX('CALENDARIO'!$C$15:$C$214,MATCH(TEXT($J1167,"yyyy-mm-dd")&amp;"|"&amp;$V1167&amp;"|",'CALENDARIO'!$G$15:$G$214,0)),IFERROR(INDEX('CALENDARIO'!$C$15:$C$214,MATCH(TEXT($J1167,"yyyy-mm-dd")&amp;"||",'CALENDARIO'!$G$15:$G$214,0)),INDEX(patronHabil,WEEKDAY($J1167,2))))))</f>
        <v/>
      </c>
      <c r="T1167" s="3">
        <f>IF($I1167="","",IFERROR(INDEX('CAT_TIPOS_OT'!$C$4:$C$7,MATCH($I1167,'CAT_TIPOS_OT'!$A$4:$A$7,0)),"sin_clasificar"))</f>
        <v/>
      </c>
      <c r="U1167" s="3">
        <f>IF($F1167="","",IFERROR(INDEX('CAT_CENTROS_COSTO'!$F$4:$F$13,MATCH($F1167,'CAT_CENTROS_COSTO'!$A$4:$A$13,0)),"(sin catálogo)"))</f>
        <v/>
      </c>
      <c r="V1167" s="3">
        <f>IF($F1167="","",IFERROR(INDEX('CAT_CENTROS_COSTO'!$D$4:$D$13,MATCH($F1167,'CAT_CENTROS_COSTO'!$A$4:$A$13,0)),"(sin catálogo)"))</f>
        <v/>
      </c>
      <c r="W1167" s="3">
        <f>IF($F1167="","",IF((IFERROR(INDEX('CAT_CENTROS_COSTO'!$E$4:$E$13,MATCH($F1167,'CAT_CENTROS_COSTO'!$A$4:$A$13,0)),""))&lt;&gt;"",IFERROR(INDEX('CAT_CENTROS_COSTO'!$E$4:$E$13,MATCH($F1167,'CAT_CENTROS_COSTO'!$A$4:$A$13,0)),""),$V1167))</f>
        <v/>
      </c>
      <c r="X1167" s="3">
        <f>IF($F1167="","",IFERROR(INDEX('CAT_CENTROS_COSTO'!$G$4:$G$13,MATCH($F1167,'CAT_CENTROS_COSTO'!$A$4:$A$13,0)),"(sin catálogo)"))</f>
        <v/>
      </c>
      <c r="Y1167" s="3">
        <f>IF($G1167="","",IFERROR(INDEX('CAT_PUESTOS'!$B$4:$B$8,MATCH($G1167,'CAT_PUESTOS'!$A$4:$A$8,0)),"(sin catálogo)"))</f>
        <v/>
      </c>
      <c r="Z1167" s="3">
        <f>IF($H1167="","",IFERROR(INDEX('CAT_ACTIVIDADES'!$B$4:$B$8,MATCH($H1167,'CAT_ACTIVIDADES'!$A$4:$A$8,0)),"(sin catálogo)"))</f>
        <v/>
      </c>
      <c r="AA1167" s="12">
        <f>IF($J1167="","",TODAY()-$J1167)</f>
        <v/>
      </c>
      <c r="AB1167" s="12">
        <f>IF($J1167="","",IF($J1167&lt;=TODAY(),COUNTIFS(cal_fechas,"&gt;="&amp;$J1167,cal_fechas,"&lt;"&amp;TODAY(),cal_habil,"sí"),-COUNTIFS(cal_fechas,"&gt;="&amp;TODAY(),cal_fechas,"&lt;"&amp;$J1167,cal_habil,"sí")))</f>
        <v/>
      </c>
      <c r="AC1167" s="3">
        <f>IF($AB1167="","",IF($AB1167&lt;0,"FUTURO",IF($AB1167&gt;p_dias_backlog_max,"BACKLOG","MES CORRIENTE")))</f>
        <v/>
      </c>
      <c r="AD1167" s="3">
        <f>IF($AB1167="",FALSE,AND($AB1167&gt;p_dias_backlog_min,$AB1167&lt;=p_dias_backlog_max))</f>
        <v/>
      </c>
      <c r="AE1167" s="6" t="n"/>
      <c r="AF1167" s="3">
        <f>IF($AE1167="","",IF((IFERROR(INDEX('ASIGNACIONES'!$F$4:$F$339,MATCH($O1167&amp;"|"&amp;$R1167&amp;"|"&amp;$AE1167,'ASIGNACIONES'!$J$4:$J$339,0)),""))=0,"",IFERROR(INDEX('ASIGNACIONES'!$F$4:$F$339,MATCH($O1167&amp;"|"&amp;$R1167&amp;"|"&amp;$AE1167,'ASIGNACIONES'!$J$4:$J$339,0)),"")))</f>
        <v/>
      </c>
      <c r="AG1167" s="13">
        <f>IF($AE1167="","",SUMIFS('ORDENES'!$M$4:$M$1203,'ORDENES'!$AE$4:$AE$1203,$AE1167,'ORDENES'!$O$4:$O$1203,$O1167,'ORDENES'!$R$4:$R$1203,$R1167))</f>
        <v/>
      </c>
      <c r="AH1167" s="13">
        <f>IF($AG1167="","",p_factor_productividad*IFERROR(INDEX('ASIGNACIONES'!$I$4:$I$339,MATCH($O1167&amp;"|"&amp;$R1167&amp;"|"&amp;$AE1167,'ASIGNACIONES'!$J$4:$J$339,0)),0)-$AG1167)</f>
        <v/>
      </c>
      <c r="AI1167" s="10">
        <f>IF($A1167="","",IFERROR(INDEX('2_IMPORTAR_EJECUCION'!$F$9:$F$1208,MATCH($AQ1167,'2_IMPORTAR_EJECUCION'!$J$9:$J$1208,0)),0))</f>
        <v/>
      </c>
      <c r="AJ1167" s="10">
        <f>IF($A1167="","",MAX(0,IFERROR(INDEX('2_IMPORTAR_EJECUCION'!$H$9:$H$1208,MATCH($AQ1167,'2_IMPORTAR_EJECUCION'!$J$9:$J$1208,0)),0)-$AI1167))</f>
        <v/>
      </c>
      <c r="AK1167" s="10">
        <f>IF($A1167="","",$AI1167+$AJ1167)</f>
        <v/>
      </c>
      <c r="AL1167" s="6" t="n"/>
      <c r="AM1167" s="6" t="n"/>
      <c r="AN1167" s="6" t="n"/>
      <c r="AO1167" s="3">
        <f>IF($AN1167="","",HYPERLINK(p_ruta_base_checklists&amp;$AN1167,"abrir"))</f>
        <v/>
      </c>
      <c r="AP1167" s="6" t="n"/>
      <c r="AQ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IF($A1168="","",IFERROR(INDEX('AJUSTES'!$B$4:$B$303,MATCH($AQ1168,'AJUSTES'!$A$4:$A$303,0)),IF($K1168="","",$K1168)))</f>
        <v/>
      </c>
      <c r="N1168" s="3">
        <f>IF($A1168="","",IFERROR(INDEX('CAT_ESTADOS_ERP'!$B$4:$B$7,MATCH(IFERROR(INDEX('2_IMPORTAR_EJECUCION'!$C$9:$C$1208,MATCH($AQ1168,'2_IMPORTAR_EJECUCION'!$J$9:$J$1208,0)),""),'CAT_ESTADOS_ERP'!$A$4:$A$7,0)),"Pendiente"))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J1168="","",IFERROR(INDEX('CALENDARIO'!$C$15:$C$214,MATCH(TEXT($J1168,"yyyy-mm-dd")&amp;"|"&amp;$V1168&amp;"|"&amp;$W1168,'CALENDARIO'!$G$15:$G$214,0)),IFERROR(INDEX('CALENDARIO'!$C$15:$C$214,MATCH(TEXT($J1168,"yyyy-mm-dd")&amp;"|"&amp;$V1168&amp;"|",'CALENDARIO'!$G$15:$G$214,0)),IFERROR(INDEX('CALENDARIO'!$C$15:$C$214,MATCH(TEXT($J1168,"yyyy-mm-dd")&amp;"||",'CALENDARIO'!$G$15:$G$214,0)),INDEX(patronHabil,WEEKDAY($J1168,2))))))</f>
        <v/>
      </c>
      <c r="T1168" s="3">
        <f>IF($I1168="","",IFERROR(INDEX('CAT_TIPOS_OT'!$C$4:$C$7,MATCH($I1168,'CAT_TIPOS_OT'!$A$4:$A$7,0)),"sin_clasificar"))</f>
        <v/>
      </c>
      <c r="U1168" s="3">
        <f>IF($F1168="","",IFERROR(INDEX('CAT_CENTROS_COSTO'!$F$4:$F$13,MATCH($F1168,'CAT_CENTROS_COSTO'!$A$4:$A$13,0)),"(sin catálogo)"))</f>
        <v/>
      </c>
      <c r="V1168" s="3">
        <f>IF($F1168="","",IFERROR(INDEX('CAT_CENTROS_COSTO'!$D$4:$D$13,MATCH($F1168,'CAT_CENTROS_COSTO'!$A$4:$A$13,0)),"(sin catálogo)"))</f>
        <v/>
      </c>
      <c r="W1168" s="3">
        <f>IF($F1168="","",IF((IFERROR(INDEX('CAT_CENTROS_COSTO'!$E$4:$E$13,MATCH($F1168,'CAT_CENTROS_COSTO'!$A$4:$A$13,0)),""))&lt;&gt;"",IFERROR(INDEX('CAT_CENTROS_COSTO'!$E$4:$E$13,MATCH($F1168,'CAT_CENTROS_COSTO'!$A$4:$A$13,0)),""),$V1168))</f>
        <v/>
      </c>
      <c r="X1168" s="3">
        <f>IF($F1168="","",IFERROR(INDEX('CAT_CENTROS_COSTO'!$G$4:$G$13,MATCH($F1168,'CAT_CENTROS_COSTO'!$A$4:$A$13,0)),"(sin catálogo)"))</f>
        <v/>
      </c>
      <c r="Y1168" s="3">
        <f>IF($G1168="","",IFERROR(INDEX('CAT_PUESTOS'!$B$4:$B$8,MATCH($G1168,'CAT_PUESTOS'!$A$4:$A$8,0)),"(sin catálogo)"))</f>
        <v/>
      </c>
      <c r="Z1168" s="3">
        <f>IF($H1168="","",IFERROR(INDEX('CAT_ACTIVIDADES'!$B$4:$B$8,MATCH($H1168,'CAT_ACTIVIDADES'!$A$4:$A$8,0)),"(sin catálogo)"))</f>
        <v/>
      </c>
      <c r="AA1168" s="12">
        <f>IF($J1168="","",TODAY()-$J1168)</f>
        <v/>
      </c>
      <c r="AB1168" s="12">
        <f>IF($J1168="","",IF($J1168&lt;=TODAY(),COUNTIFS(cal_fechas,"&gt;="&amp;$J1168,cal_fechas,"&lt;"&amp;TODAY(),cal_habil,"sí"),-COUNTIFS(cal_fechas,"&gt;="&amp;TODAY(),cal_fechas,"&lt;"&amp;$J1168,cal_habil,"sí")))</f>
        <v/>
      </c>
      <c r="AC1168" s="3">
        <f>IF($AB1168="","",IF($AB1168&lt;0,"FUTURO",IF($AB1168&gt;p_dias_backlog_max,"BACKLOG","MES CORRIENTE")))</f>
        <v/>
      </c>
      <c r="AD1168" s="3">
        <f>IF($AB1168="",FALSE,AND($AB1168&gt;p_dias_backlog_min,$AB1168&lt;=p_dias_backlog_max))</f>
        <v/>
      </c>
      <c r="AE1168" s="6" t="n"/>
      <c r="AF1168" s="3">
        <f>IF($AE1168="","",IF((IFERROR(INDEX('ASIGNACIONES'!$F$4:$F$339,MATCH($O1168&amp;"|"&amp;$R1168&amp;"|"&amp;$AE1168,'ASIGNACIONES'!$J$4:$J$339,0)),""))=0,"",IFERROR(INDEX('ASIGNACIONES'!$F$4:$F$339,MATCH($O1168&amp;"|"&amp;$R1168&amp;"|"&amp;$AE1168,'ASIGNACIONES'!$J$4:$J$339,0)),"")))</f>
        <v/>
      </c>
      <c r="AG1168" s="13">
        <f>IF($AE1168="","",SUMIFS('ORDENES'!$M$4:$M$1203,'ORDENES'!$AE$4:$AE$1203,$AE1168,'ORDENES'!$O$4:$O$1203,$O1168,'ORDENES'!$R$4:$R$1203,$R1168))</f>
        <v/>
      </c>
      <c r="AH1168" s="13">
        <f>IF($AG1168="","",p_factor_productividad*IFERROR(INDEX('ASIGNACIONES'!$I$4:$I$339,MATCH($O1168&amp;"|"&amp;$R1168&amp;"|"&amp;$AE1168,'ASIGNACIONES'!$J$4:$J$339,0)),0)-$AG1168)</f>
        <v/>
      </c>
      <c r="AI1168" s="10">
        <f>IF($A1168="","",IFERROR(INDEX('2_IMPORTAR_EJECUCION'!$F$9:$F$1208,MATCH($AQ1168,'2_IMPORTAR_EJECUCION'!$J$9:$J$1208,0)),0))</f>
        <v/>
      </c>
      <c r="AJ1168" s="10">
        <f>IF($A1168="","",MAX(0,IFERROR(INDEX('2_IMPORTAR_EJECUCION'!$H$9:$H$1208,MATCH($AQ1168,'2_IMPORTAR_EJECUCION'!$J$9:$J$1208,0)),0)-$AI1168))</f>
        <v/>
      </c>
      <c r="AK1168" s="10">
        <f>IF($A1168="","",$AI1168+$AJ1168)</f>
        <v/>
      </c>
      <c r="AL1168" s="6" t="n"/>
      <c r="AM1168" s="6" t="n"/>
      <c r="AN1168" s="6" t="n"/>
      <c r="AO1168" s="3">
        <f>IF($AN1168="","",HYPERLINK(p_ruta_base_checklists&amp;$AN1168,"abrir"))</f>
        <v/>
      </c>
      <c r="AP1168" s="6" t="n"/>
      <c r="AQ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IF($A1169="","",IFERROR(INDEX('AJUSTES'!$B$4:$B$303,MATCH($AQ1169,'AJUSTES'!$A$4:$A$303,0)),IF($K1169="","",$K1169)))</f>
        <v/>
      </c>
      <c r="N1169" s="3">
        <f>IF($A1169="","",IFERROR(INDEX('CAT_ESTADOS_ERP'!$B$4:$B$7,MATCH(IFERROR(INDEX('2_IMPORTAR_EJECUCION'!$C$9:$C$1208,MATCH($AQ1169,'2_IMPORTAR_EJECUCION'!$J$9:$J$1208,0)),""),'CAT_ESTADOS_ERP'!$A$4:$A$7,0)),"Pendiente"))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J1169="","",IFERROR(INDEX('CALENDARIO'!$C$15:$C$214,MATCH(TEXT($J1169,"yyyy-mm-dd")&amp;"|"&amp;$V1169&amp;"|"&amp;$W1169,'CALENDARIO'!$G$15:$G$214,0)),IFERROR(INDEX('CALENDARIO'!$C$15:$C$214,MATCH(TEXT($J1169,"yyyy-mm-dd")&amp;"|"&amp;$V1169&amp;"|",'CALENDARIO'!$G$15:$G$214,0)),IFERROR(INDEX('CALENDARIO'!$C$15:$C$214,MATCH(TEXT($J1169,"yyyy-mm-dd")&amp;"||",'CALENDARIO'!$G$15:$G$214,0)),INDEX(patronHabil,WEEKDAY($J1169,2))))))</f>
        <v/>
      </c>
      <c r="T1169" s="3">
        <f>IF($I1169="","",IFERROR(INDEX('CAT_TIPOS_OT'!$C$4:$C$7,MATCH($I1169,'CAT_TIPOS_OT'!$A$4:$A$7,0)),"sin_clasificar"))</f>
        <v/>
      </c>
      <c r="U1169" s="3">
        <f>IF($F1169="","",IFERROR(INDEX('CAT_CENTROS_COSTO'!$F$4:$F$13,MATCH($F1169,'CAT_CENTROS_COSTO'!$A$4:$A$13,0)),"(sin catálogo)"))</f>
        <v/>
      </c>
      <c r="V1169" s="3">
        <f>IF($F1169="","",IFERROR(INDEX('CAT_CENTROS_COSTO'!$D$4:$D$13,MATCH($F1169,'CAT_CENTROS_COSTO'!$A$4:$A$13,0)),"(sin catálogo)"))</f>
        <v/>
      </c>
      <c r="W1169" s="3">
        <f>IF($F1169="","",IF((IFERROR(INDEX('CAT_CENTROS_COSTO'!$E$4:$E$13,MATCH($F1169,'CAT_CENTROS_COSTO'!$A$4:$A$13,0)),""))&lt;&gt;"",IFERROR(INDEX('CAT_CENTROS_COSTO'!$E$4:$E$13,MATCH($F1169,'CAT_CENTROS_COSTO'!$A$4:$A$13,0)),""),$V1169))</f>
        <v/>
      </c>
      <c r="X1169" s="3">
        <f>IF($F1169="","",IFERROR(INDEX('CAT_CENTROS_COSTO'!$G$4:$G$13,MATCH($F1169,'CAT_CENTROS_COSTO'!$A$4:$A$13,0)),"(sin catálogo)"))</f>
        <v/>
      </c>
      <c r="Y1169" s="3">
        <f>IF($G1169="","",IFERROR(INDEX('CAT_PUESTOS'!$B$4:$B$8,MATCH($G1169,'CAT_PUESTOS'!$A$4:$A$8,0)),"(sin catálogo)"))</f>
        <v/>
      </c>
      <c r="Z1169" s="3">
        <f>IF($H1169="","",IFERROR(INDEX('CAT_ACTIVIDADES'!$B$4:$B$8,MATCH($H1169,'CAT_ACTIVIDADES'!$A$4:$A$8,0)),"(sin catálogo)"))</f>
        <v/>
      </c>
      <c r="AA1169" s="12">
        <f>IF($J1169="","",TODAY()-$J1169)</f>
        <v/>
      </c>
      <c r="AB1169" s="12">
        <f>IF($J1169="","",IF($J1169&lt;=TODAY(),COUNTIFS(cal_fechas,"&gt;="&amp;$J1169,cal_fechas,"&lt;"&amp;TODAY(),cal_habil,"sí"),-COUNTIFS(cal_fechas,"&gt;="&amp;TODAY(),cal_fechas,"&lt;"&amp;$J1169,cal_habil,"sí")))</f>
        <v/>
      </c>
      <c r="AC1169" s="3">
        <f>IF($AB1169="","",IF($AB1169&lt;0,"FUTURO",IF($AB1169&gt;p_dias_backlog_max,"BACKLOG","MES CORRIENTE")))</f>
        <v/>
      </c>
      <c r="AD1169" s="3">
        <f>IF($AB1169="",FALSE,AND($AB1169&gt;p_dias_backlog_min,$AB1169&lt;=p_dias_backlog_max))</f>
        <v/>
      </c>
      <c r="AE1169" s="6" t="n"/>
      <c r="AF1169" s="3">
        <f>IF($AE1169="","",IF((IFERROR(INDEX('ASIGNACIONES'!$F$4:$F$339,MATCH($O1169&amp;"|"&amp;$R1169&amp;"|"&amp;$AE1169,'ASIGNACIONES'!$J$4:$J$339,0)),""))=0,"",IFERROR(INDEX('ASIGNACIONES'!$F$4:$F$339,MATCH($O1169&amp;"|"&amp;$R1169&amp;"|"&amp;$AE1169,'ASIGNACIONES'!$J$4:$J$339,0)),"")))</f>
        <v/>
      </c>
      <c r="AG1169" s="13">
        <f>IF($AE1169="","",SUMIFS('ORDENES'!$M$4:$M$1203,'ORDENES'!$AE$4:$AE$1203,$AE1169,'ORDENES'!$O$4:$O$1203,$O1169,'ORDENES'!$R$4:$R$1203,$R1169))</f>
        <v/>
      </c>
      <c r="AH1169" s="13">
        <f>IF($AG1169="","",p_factor_productividad*IFERROR(INDEX('ASIGNACIONES'!$I$4:$I$339,MATCH($O1169&amp;"|"&amp;$R1169&amp;"|"&amp;$AE1169,'ASIGNACIONES'!$J$4:$J$339,0)),0)-$AG1169)</f>
        <v/>
      </c>
      <c r="AI1169" s="10">
        <f>IF($A1169="","",IFERROR(INDEX('2_IMPORTAR_EJECUCION'!$F$9:$F$1208,MATCH($AQ1169,'2_IMPORTAR_EJECUCION'!$J$9:$J$1208,0)),0))</f>
        <v/>
      </c>
      <c r="AJ1169" s="10">
        <f>IF($A1169="","",MAX(0,IFERROR(INDEX('2_IMPORTAR_EJECUCION'!$H$9:$H$1208,MATCH($AQ1169,'2_IMPORTAR_EJECUCION'!$J$9:$J$1208,0)),0)-$AI1169))</f>
        <v/>
      </c>
      <c r="AK1169" s="10">
        <f>IF($A1169="","",$AI1169+$AJ1169)</f>
        <v/>
      </c>
      <c r="AL1169" s="6" t="n"/>
      <c r="AM1169" s="6" t="n"/>
      <c r="AN1169" s="6" t="n"/>
      <c r="AO1169" s="3">
        <f>IF($AN1169="","",HYPERLINK(p_ruta_base_checklists&amp;$AN1169,"abrir"))</f>
        <v/>
      </c>
      <c r="AP1169" s="6" t="n"/>
      <c r="AQ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IF($A1170="","",IFERROR(INDEX('AJUSTES'!$B$4:$B$303,MATCH($AQ1170,'AJUSTES'!$A$4:$A$303,0)),IF($K1170="","",$K1170)))</f>
        <v/>
      </c>
      <c r="N1170" s="3">
        <f>IF($A1170="","",IFERROR(INDEX('CAT_ESTADOS_ERP'!$B$4:$B$7,MATCH(IFERROR(INDEX('2_IMPORTAR_EJECUCION'!$C$9:$C$1208,MATCH($AQ1170,'2_IMPORTAR_EJECUCION'!$J$9:$J$1208,0)),""),'CAT_ESTADOS_ERP'!$A$4:$A$7,0)),"Pendiente"))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J1170="","",IFERROR(INDEX('CALENDARIO'!$C$15:$C$214,MATCH(TEXT($J1170,"yyyy-mm-dd")&amp;"|"&amp;$V1170&amp;"|"&amp;$W1170,'CALENDARIO'!$G$15:$G$214,0)),IFERROR(INDEX('CALENDARIO'!$C$15:$C$214,MATCH(TEXT($J1170,"yyyy-mm-dd")&amp;"|"&amp;$V1170&amp;"|",'CALENDARIO'!$G$15:$G$214,0)),IFERROR(INDEX('CALENDARIO'!$C$15:$C$214,MATCH(TEXT($J1170,"yyyy-mm-dd")&amp;"||",'CALENDARIO'!$G$15:$G$214,0)),INDEX(patronHabil,WEEKDAY($J1170,2))))))</f>
        <v/>
      </c>
      <c r="T1170" s="3">
        <f>IF($I1170="","",IFERROR(INDEX('CAT_TIPOS_OT'!$C$4:$C$7,MATCH($I1170,'CAT_TIPOS_OT'!$A$4:$A$7,0)),"sin_clasificar"))</f>
        <v/>
      </c>
      <c r="U1170" s="3">
        <f>IF($F1170="","",IFERROR(INDEX('CAT_CENTROS_COSTO'!$F$4:$F$13,MATCH($F1170,'CAT_CENTROS_COSTO'!$A$4:$A$13,0)),"(sin catálogo)"))</f>
        <v/>
      </c>
      <c r="V1170" s="3">
        <f>IF($F1170="","",IFERROR(INDEX('CAT_CENTROS_COSTO'!$D$4:$D$13,MATCH($F1170,'CAT_CENTROS_COSTO'!$A$4:$A$13,0)),"(sin catálogo)"))</f>
        <v/>
      </c>
      <c r="W1170" s="3">
        <f>IF($F1170="","",IF((IFERROR(INDEX('CAT_CENTROS_COSTO'!$E$4:$E$13,MATCH($F1170,'CAT_CENTROS_COSTO'!$A$4:$A$13,0)),""))&lt;&gt;"",IFERROR(INDEX('CAT_CENTROS_COSTO'!$E$4:$E$13,MATCH($F1170,'CAT_CENTROS_COSTO'!$A$4:$A$13,0)),""),$V1170))</f>
        <v/>
      </c>
      <c r="X1170" s="3">
        <f>IF($F1170="","",IFERROR(INDEX('CAT_CENTROS_COSTO'!$G$4:$G$13,MATCH($F1170,'CAT_CENTROS_COSTO'!$A$4:$A$13,0)),"(sin catálogo)"))</f>
        <v/>
      </c>
      <c r="Y1170" s="3">
        <f>IF($G1170="","",IFERROR(INDEX('CAT_PUESTOS'!$B$4:$B$8,MATCH($G1170,'CAT_PUESTOS'!$A$4:$A$8,0)),"(sin catálogo)"))</f>
        <v/>
      </c>
      <c r="Z1170" s="3">
        <f>IF($H1170="","",IFERROR(INDEX('CAT_ACTIVIDADES'!$B$4:$B$8,MATCH($H1170,'CAT_ACTIVIDADES'!$A$4:$A$8,0)),"(sin catálogo)"))</f>
        <v/>
      </c>
      <c r="AA1170" s="12">
        <f>IF($J1170="","",TODAY()-$J1170)</f>
        <v/>
      </c>
      <c r="AB1170" s="12">
        <f>IF($J1170="","",IF($J1170&lt;=TODAY(),COUNTIFS(cal_fechas,"&gt;="&amp;$J1170,cal_fechas,"&lt;"&amp;TODAY(),cal_habil,"sí"),-COUNTIFS(cal_fechas,"&gt;="&amp;TODAY(),cal_fechas,"&lt;"&amp;$J1170,cal_habil,"sí")))</f>
        <v/>
      </c>
      <c r="AC1170" s="3">
        <f>IF($AB1170="","",IF($AB1170&lt;0,"FUTURO",IF($AB1170&gt;p_dias_backlog_max,"BACKLOG","MES CORRIENTE")))</f>
        <v/>
      </c>
      <c r="AD1170" s="3">
        <f>IF($AB1170="",FALSE,AND($AB1170&gt;p_dias_backlog_min,$AB1170&lt;=p_dias_backlog_max))</f>
        <v/>
      </c>
      <c r="AE1170" s="6" t="n"/>
      <c r="AF1170" s="3">
        <f>IF($AE1170="","",IF((IFERROR(INDEX('ASIGNACIONES'!$F$4:$F$339,MATCH($O1170&amp;"|"&amp;$R1170&amp;"|"&amp;$AE1170,'ASIGNACIONES'!$J$4:$J$339,0)),""))=0,"",IFERROR(INDEX('ASIGNACIONES'!$F$4:$F$339,MATCH($O1170&amp;"|"&amp;$R1170&amp;"|"&amp;$AE1170,'ASIGNACIONES'!$J$4:$J$339,0)),"")))</f>
        <v/>
      </c>
      <c r="AG1170" s="13">
        <f>IF($AE1170="","",SUMIFS('ORDENES'!$M$4:$M$1203,'ORDENES'!$AE$4:$AE$1203,$AE1170,'ORDENES'!$O$4:$O$1203,$O1170,'ORDENES'!$R$4:$R$1203,$R1170))</f>
        <v/>
      </c>
      <c r="AH1170" s="13">
        <f>IF($AG1170="","",p_factor_productividad*IFERROR(INDEX('ASIGNACIONES'!$I$4:$I$339,MATCH($O1170&amp;"|"&amp;$R1170&amp;"|"&amp;$AE1170,'ASIGNACIONES'!$J$4:$J$339,0)),0)-$AG1170)</f>
        <v/>
      </c>
      <c r="AI1170" s="10">
        <f>IF($A1170="","",IFERROR(INDEX('2_IMPORTAR_EJECUCION'!$F$9:$F$1208,MATCH($AQ1170,'2_IMPORTAR_EJECUCION'!$J$9:$J$1208,0)),0))</f>
        <v/>
      </c>
      <c r="AJ1170" s="10">
        <f>IF($A1170="","",MAX(0,IFERROR(INDEX('2_IMPORTAR_EJECUCION'!$H$9:$H$1208,MATCH($AQ1170,'2_IMPORTAR_EJECUCION'!$J$9:$J$1208,0)),0)-$AI1170))</f>
        <v/>
      </c>
      <c r="AK1170" s="10">
        <f>IF($A1170="","",$AI1170+$AJ1170)</f>
        <v/>
      </c>
      <c r="AL1170" s="6" t="n"/>
      <c r="AM1170" s="6" t="n"/>
      <c r="AN1170" s="6" t="n"/>
      <c r="AO1170" s="3">
        <f>IF($AN1170="","",HYPERLINK(p_ruta_base_checklists&amp;$AN1170,"abrir"))</f>
        <v/>
      </c>
      <c r="AP1170" s="6" t="n"/>
      <c r="AQ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IF($A1171="","",IFERROR(INDEX('AJUSTES'!$B$4:$B$303,MATCH($AQ1171,'AJUSTES'!$A$4:$A$303,0)),IF($K1171="","",$K1171)))</f>
        <v/>
      </c>
      <c r="N1171" s="3">
        <f>IF($A1171="","",IFERROR(INDEX('CAT_ESTADOS_ERP'!$B$4:$B$7,MATCH(IFERROR(INDEX('2_IMPORTAR_EJECUCION'!$C$9:$C$1208,MATCH($AQ1171,'2_IMPORTAR_EJECUCION'!$J$9:$J$1208,0)),""),'CAT_ESTADOS_ERP'!$A$4:$A$7,0)),"Pendiente"))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J1171="","",IFERROR(INDEX('CALENDARIO'!$C$15:$C$214,MATCH(TEXT($J1171,"yyyy-mm-dd")&amp;"|"&amp;$V1171&amp;"|"&amp;$W1171,'CALENDARIO'!$G$15:$G$214,0)),IFERROR(INDEX('CALENDARIO'!$C$15:$C$214,MATCH(TEXT($J1171,"yyyy-mm-dd")&amp;"|"&amp;$V1171&amp;"|",'CALENDARIO'!$G$15:$G$214,0)),IFERROR(INDEX('CALENDARIO'!$C$15:$C$214,MATCH(TEXT($J1171,"yyyy-mm-dd")&amp;"||",'CALENDARIO'!$G$15:$G$214,0)),INDEX(patronHabil,WEEKDAY($J1171,2))))))</f>
        <v/>
      </c>
      <c r="T1171" s="3">
        <f>IF($I1171="","",IFERROR(INDEX('CAT_TIPOS_OT'!$C$4:$C$7,MATCH($I1171,'CAT_TIPOS_OT'!$A$4:$A$7,0)),"sin_clasificar"))</f>
        <v/>
      </c>
      <c r="U1171" s="3">
        <f>IF($F1171="","",IFERROR(INDEX('CAT_CENTROS_COSTO'!$F$4:$F$13,MATCH($F1171,'CAT_CENTROS_COSTO'!$A$4:$A$13,0)),"(sin catálogo)"))</f>
        <v/>
      </c>
      <c r="V1171" s="3">
        <f>IF($F1171="","",IFERROR(INDEX('CAT_CENTROS_COSTO'!$D$4:$D$13,MATCH($F1171,'CAT_CENTROS_COSTO'!$A$4:$A$13,0)),"(sin catálogo)"))</f>
        <v/>
      </c>
      <c r="W1171" s="3">
        <f>IF($F1171="","",IF((IFERROR(INDEX('CAT_CENTROS_COSTO'!$E$4:$E$13,MATCH($F1171,'CAT_CENTROS_COSTO'!$A$4:$A$13,0)),""))&lt;&gt;"",IFERROR(INDEX('CAT_CENTROS_COSTO'!$E$4:$E$13,MATCH($F1171,'CAT_CENTROS_COSTO'!$A$4:$A$13,0)),""),$V1171))</f>
        <v/>
      </c>
      <c r="X1171" s="3">
        <f>IF($F1171="","",IFERROR(INDEX('CAT_CENTROS_COSTO'!$G$4:$G$13,MATCH($F1171,'CAT_CENTROS_COSTO'!$A$4:$A$13,0)),"(sin catálogo)"))</f>
        <v/>
      </c>
      <c r="Y1171" s="3">
        <f>IF($G1171="","",IFERROR(INDEX('CAT_PUESTOS'!$B$4:$B$8,MATCH($G1171,'CAT_PUESTOS'!$A$4:$A$8,0)),"(sin catálogo)"))</f>
        <v/>
      </c>
      <c r="Z1171" s="3">
        <f>IF($H1171="","",IFERROR(INDEX('CAT_ACTIVIDADES'!$B$4:$B$8,MATCH($H1171,'CAT_ACTIVIDADES'!$A$4:$A$8,0)),"(sin catálogo)"))</f>
        <v/>
      </c>
      <c r="AA1171" s="12">
        <f>IF($J1171="","",TODAY()-$J1171)</f>
        <v/>
      </c>
      <c r="AB1171" s="12">
        <f>IF($J1171="","",IF($J1171&lt;=TODAY(),COUNTIFS(cal_fechas,"&gt;="&amp;$J1171,cal_fechas,"&lt;"&amp;TODAY(),cal_habil,"sí"),-COUNTIFS(cal_fechas,"&gt;="&amp;TODAY(),cal_fechas,"&lt;"&amp;$J1171,cal_habil,"sí")))</f>
        <v/>
      </c>
      <c r="AC1171" s="3">
        <f>IF($AB1171="","",IF($AB1171&lt;0,"FUTURO",IF($AB1171&gt;p_dias_backlog_max,"BACKLOG","MES CORRIENTE")))</f>
        <v/>
      </c>
      <c r="AD1171" s="3">
        <f>IF($AB1171="",FALSE,AND($AB1171&gt;p_dias_backlog_min,$AB1171&lt;=p_dias_backlog_max))</f>
        <v/>
      </c>
      <c r="AE1171" s="6" t="n"/>
      <c r="AF1171" s="3">
        <f>IF($AE1171="","",IF((IFERROR(INDEX('ASIGNACIONES'!$F$4:$F$339,MATCH($O1171&amp;"|"&amp;$R1171&amp;"|"&amp;$AE1171,'ASIGNACIONES'!$J$4:$J$339,0)),""))=0,"",IFERROR(INDEX('ASIGNACIONES'!$F$4:$F$339,MATCH($O1171&amp;"|"&amp;$R1171&amp;"|"&amp;$AE1171,'ASIGNACIONES'!$J$4:$J$339,0)),"")))</f>
        <v/>
      </c>
      <c r="AG1171" s="13">
        <f>IF($AE1171="","",SUMIFS('ORDENES'!$M$4:$M$1203,'ORDENES'!$AE$4:$AE$1203,$AE1171,'ORDENES'!$O$4:$O$1203,$O1171,'ORDENES'!$R$4:$R$1203,$R1171))</f>
        <v/>
      </c>
      <c r="AH1171" s="13">
        <f>IF($AG1171="","",p_factor_productividad*IFERROR(INDEX('ASIGNACIONES'!$I$4:$I$339,MATCH($O1171&amp;"|"&amp;$R1171&amp;"|"&amp;$AE1171,'ASIGNACIONES'!$J$4:$J$339,0)),0)-$AG1171)</f>
        <v/>
      </c>
      <c r="AI1171" s="10">
        <f>IF($A1171="","",IFERROR(INDEX('2_IMPORTAR_EJECUCION'!$F$9:$F$1208,MATCH($AQ1171,'2_IMPORTAR_EJECUCION'!$J$9:$J$1208,0)),0))</f>
        <v/>
      </c>
      <c r="AJ1171" s="10">
        <f>IF($A1171="","",MAX(0,IFERROR(INDEX('2_IMPORTAR_EJECUCION'!$H$9:$H$1208,MATCH($AQ1171,'2_IMPORTAR_EJECUCION'!$J$9:$J$1208,0)),0)-$AI1171))</f>
        <v/>
      </c>
      <c r="AK1171" s="10">
        <f>IF($A1171="","",$AI1171+$AJ1171)</f>
        <v/>
      </c>
      <c r="AL1171" s="6" t="n"/>
      <c r="AM1171" s="6" t="n"/>
      <c r="AN1171" s="6" t="n"/>
      <c r="AO1171" s="3">
        <f>IF($AN1171="","",HYPERLINK(p_ruta_base_checklists&amp;$AN1171,"abrir"))</f>
        <v/>
      </c>
      <c r="AP1171" s="6" t="n"/>
      <c r="AQ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IF($A1172="","",IFERROR(INDEX('AJUSTES'!$B$4:$B$303,MATCH($AQ1172,'AJUSTES'!$A$4:$A$303,0)),IF($K1172="","",$K1172)))</f>
        <v/>
      </c>
      <c r="N1172" s="3">
        <f>IF($A1172="","",IFERROR(INDEX('CAT_ESTADOS_ERP'!$B$4:$B$7,MATCH(IFERROR(INDEX('2_IMPORTAR_EJECUCION'!$C$9:$C$1208,MATCH($AQ1172,'2_IMPORTAR_EJECUCION'!$J$9:$J$1208,0)),""),'CAT_ESTADOS_ERP'!$A$4:$A$7,0)),"Pendiente"))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J1172="","",IFERROR(INDEX('CALENDARIO'!$C$15:$C$214,MATCH(TEXT($J1172,"yyyy-mm-dd")&amp;"|"&amp;$V1172&amp;"|"&amp;$W1172,'CALENDARIO'!$G$15:$G$214,0)),IFERROR(INDEX('CALENDARIO'!$C$15:$C$214,MATCH(TEXT($J1172,"yyyy-mm-dd")&amp;"|"&amp;$V1172&amp;"|",'CALENDARIO'!$G$15:$G$214,0)),IFERROR(INDEX('CALENDARIO'!$C$15:$C$214,MATCH(TEXT($J1172,"yyyy-mm-dd")&amp;"||",'CALENDARIO'!$G$15:$G$214,0)),INDEX(patronHabil,WEEKDAY($J1172,2))))))</f>
        <v/>
      </c>
      <c r="T1172" s="3">
        <f>IF($I1172="","",IFERROR(INDEX('CAT_TIPOS_OT'!$C$4:$C$7,MATCH($I1172,'CAT_TIPOS_OT'!$A$4:$A$7,0)),"sin_clasificar"))</f>
        <v/>
      </c>
      <c r="U1172" s="3">
        <f>IF($F1172="","",IFERROR(INDEX('CAT_CENTROS_COSTO'!$F$4:$F$13,MATCH($F1172,'CAT_CENTROS_COSTO'!$A$4:$A$13,0)),"(sin catálogo)"))</f>
        <v/>
      </c>
      <c r="V1172" s="3">
        <f>IF($F1172="","",IFERROR(INDEX('CAT_CENTROS_COSTO'!$D$4:$D$13,MATCH($F1172,'CAT_CENTROS_COSTO'!$A$4:$A$13,0)),"(sin catálogo)"))</f>
        <v/>
      </c>
      <c r="W1172" s="3">
        <f>IF($F1172="","",IF((IFERROR(INDEX('CAT_CENTROS_COSTO'!$E$4:$E$13,MATCH($F1172,'CAT_CENTROS_COSTO'!$A$4:$A$13,0)),""))&lt;&gt;"",IFERROR(INDEX('CAT_CENTROS_COSTO'!$E$4:$E$13,MATCH($F1172,'CAT_CENTROS_COSTO'!$A$4:$A$13,0)),""),$V1172))</f>
        <v/>
      </c>
      <c r="X1172" s="3">
        <f>IF($F1172="","",IFERROR(INDEX('CAT_CENTROS_COSTO'!$G$4:$G$13,MATCH($F1172,'CAT_CENTROS_COSTO'!$A$4:$A$13,0)),"(sin catálogo)"))</f>
        <v/>
      </c>
      <c r="Y1172" s="3">
        <f>IF($G1172="","",IFERROR(INDEX('CAT_PUESTOS'!$B$4:$B$8,MATCH($G1172,'CAT_PUESTOS'!$A$4:$A$8,0)),"(sin catálogo)"))</f>
        <v/>
      </c>
      <c r="Z1172" s="3">
        <f>IF($H1172="","",IFERROR(INDEX('CAT_ACTIVIDADES'!$B$4:$B$8,MATCH($H1172,'CAT_ACTIVIDADES'!$A$4:$A$8,0)),"(sin catálogo)"))</f>
        <v/>
      </c>
      <c r="AA1172" s="12">
        <f>IF($J1172="","",TODAY()-$J1172)</f>
        <v/>
      </c>
      <c r="AB1172" s="12">
        <f>IF($J1172="","",IF($J1172&lt;=TODAY(),COUNTIFS(cal_fechas,"&gt;="&amp;$J1172,cal_fechas,"&lt;"&amp;TODAY(),cal_habil,"sí"),-COUNTIFS(cal_fechas,"&gt;="&amp;TODAY(),cal_fechas,"&lt;"&amp;$J1172,cal_habil,"sí")))</f>
        <v/>
      </c>
      <c r="AC1172" s="3">
        <f>IF($AB1172="","",IF($AB1172&lt;0,"FUTURO",IF($AB1172&gt;p_dias_backlog_max,"BACKLOG","MES CORRIENTE")))</f>
        <v/>
      </c>
      <c r="AD1172" s="3">
        <f>IF($AB1172="",FALSE,AND($AB1172&gt;p_dias_backlog_min,$AB1172&lt;=p_dias_backlog_max))</f>
        <v/>
      </c>
      <c r="AE1172" s="6" t="n"/>
      <c r="AF1172" s="3">
        <f>IF($AE1172="","",IF((IFERROR(INDEX('ASIGNACIONES'!$F$4:$F$339,MATCH($O1172&amp;"|"&amp;$R1172&amp;"|"&amp;$AE1172,'ASIGNACIONES'!$J$4:$J$339,0)),""))=0,"",IFERROR(INDEX('ASIGNACIONES'!$F$4:$F$339,MATCH($O1172&amp;"|"&amp;$R1172&amp;"|"&amp;$AE1172,'ASIGNACIONES'!$J$4:$J$339,0)),"")))</f>
        <v/>
      </c>
      <c r="AG1172" s="13">
        <f>IF($AE1172="","",SUMIFS('ORDENES'!$M$4:$M$1203,'ORDENES'!$AE$4:$AE$1203,$AE1172,'ORDENES'!$O$4:$O$1203,$O1172,'ORDENES'!$R$4:$R$1203,$R1172))</f>
        <v/>
      </c>
      <c r="AH1172" s="13">
        <f>IF($AG1172="","",p_factor_productividad*IFERROR(INDEX('ASIGNACIONES'!$I$4:$I$339,MATCH($O1172&amp;"|"&amp;$R1172&amp;"|"&amp;$AE1172,'ASIGNACIONES'!$J$4:$J$339,0)),0)-$AG1172)</f>
        <v/>
      </c>
      <c r="AI1172" s="10">
        <f>IF($A1172="","",IFERROR(INDEX('2_IMPORTAR_EJECUCION'!$F$9:$F$1208,MATCH($AQ1172,'2_IMPORTAR_EJECUCION'!$J$9:$J$1208,0)),0))</f>
        <v/>
      </c>
      <c r="AJ1172" s="10">
        <f>IF($A1172="","",MAX(0,IFERROR(INDEX('2_IMPORTAR_EJECUCION'!$H$9:$H$1208,MATCH($AQ1172,'2_IMPORTAR_EJECUCION'!$J$9:$J$1208,0)),0)-$AI1172))</f>
        <v/>
      </c>
      <c r="AK1172" s="10">
        <f>IF($A1172="","",$AI1172+$AJ1172)</f>
        <v/>
      </c>
      <c r="AL1172" s="6" t="n"/>
      <c r="AM1172" s="6" t="n"/>
      <c r="AN1172" s="6" t="n"/>
      <c r="AO1172" s="3">
        <f>IF($AN1172="","",HYPERLINK(p_ruta_base_checklists&amp;$AN1172,"abrir"))</f>
        <v/>
      </c>
      <c r="AP1172" s="6" t="n"/>
      <c r="AQ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IF($A1173="","",IFERROR(INDEX('AJUSTES'!$B$4:$B$303,MATCH($AQ1173,'AJUSTES'!$A$4:$A$303,0)),IF($K1173="","",$K1173)))</f>
        <v/>
      </c>
      <c r="N1173" s="3">
        <f>IF($A1173="","",IFERROR(INDEX('CAT_ESTADOS_ERP'!$B$4:$B$7,MATCH(IFERROR(INDEX('2_IMPORTAR_EJECUCION'!$C$9:$C$1208,MATCH($AQ1173,'2_IMPORTAR_EJECUCION'!$J$9:$J$1208,0)),""),'CAT_ESTADOS_ERP'!$A$4:$A$7,0)),"Pendiente"))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J1173="","",IFERROR(INDEX('CALENDARIO'!$C$15:$C$214,MATCH(TEXT($J1173,"yyyy-mm-dd")&amp;"|"&amp;$V1173&amp;"|"&amp;$W1173,'CALENDARIO'!$G$15:$G$214,0)),IFERROR(INDEX('CALENDARIO'!$C$15:$C$214,MATCH(TEXT($J1173,"yyyy-mm-dd")&amp;"|"&amp;$V1173&amp;"|",'CALENDARIO'!$G$15:$G$214,0)),IFERROR(INDEX('CALENDARIO'!$C$15:$C$214,MATCH(TEXT($J1173,"yyyy-mm-dd")&amp;"||",'CALENDARIO'!$G$15:$G$214,0)),INDEX(patronHabil,WEEKDAY($J1173,2))))))</f>
        <v/>
      </c>
      <c r="T1173" s="3">
        <f>IF($I1173="","",IFERROR(INDEX('CAT_TIPOS_OT'!$C$4:$C$7,MATCH($I1173,'CAT_TIPOS_OT'!$A$4:$A$7,0)),"sin_clasificar"))</f>
        <v/>
      </c>
      <c r="U1173" s="3">
        <f>IF($F1173="","",IFERROR(INDEX('CAT_CENTROS_COSTO'!$F$4:$F$13,MATCH($F1173,'CAT_CENTROS_COSTO'!$A$4:$A$13,0)),"(sin catálogo)"))</f>
        <v/>
      </c>
      <c r="V1173" s="3">
        <f>IF($F1173="","",IFERROR(INDEX('CAT_CENTROS_COSTO'!$D$4:$D$13,MATCH($F1173,'CAT_CENTROS_COSTO'!$A$4:$A$13,0)),"(sin catálogo)"))</f>
        <v/>
      </c>
      <c r="W1173" s="3">
        <f>IF($F1173="","",IF((IFERROR(INDEX('CAT_CENTROS_COSTO'!$E$4:$E$13,MATCH($F1173,'CAT_CENTROS_COSTO'!$A$4:$A$13,0)),""))&lt;&gt;"",IFERROR(INDEX('CAT_CENTROS_COSTO'!$E$4:$E$13,MATCH($F1173,'CAT_CENTROS_COSTO'!$A$4:$A$13,0)),""),$V1173))</f>
        <v/>
      </c>
      <c r="X1173" s="3">
        <f>IF($F1173="","",IFERROR(INDEX('CAT_CENTROS_COSTO'!$G$4:$G$13,MATCH($F1173,'CAT_CENTROS_COSTO'!$A$4:$A$13,0)),"(sin catálogo)"))</f>
        <v/>
      </c>
      <c r="Y1173" s="3">
        <f>IF($G1173="","",IFERROR(INDEX('CAT_PUESTOS'!$B$4:$B$8,MATCH($G1173,'CAT_PUESTOS'!$A$4:$A$8,0)),"(sin catálogo)"))</f>
        <v/>
      </c>
      <c r="Z1173" s="3">
        <f>IF($H1173="","",IFERROR(INDEX('CAT_ACTIVIDADES'!$B$4:$B$8,MATCH($H1173,'CAT_ACTIVIDADES'!$A$4:$A$8,0)),"(sin catálogo)"))</f>
        <v/>
      </c>
      <c r="AA1173" s="12">
        <f>IF($J1173="","",TODAY()-$J1173)</f>
        <v/>
      </c>
      <c r="AB1173" s="12">
        <f>IF($J1173="","",IF($J1173&lt;=TODAY(),COUNTIFS(cal_fechas,"&gt;="&amp;$J1173,cal_fechas,"&lt;"&amp;TODAY(),cal_habil,"sí"),-COUNTIFS(cal_fechas,"&gt;="&amp;TODAY(),cal_fechas,"&lt;"&amp;$J1173,cal_habil,"sí")))</f>
        <v/>
      </c>
      <c r="AC1173" s="3">
        <f>IF($AB1173="","",IF($AB1173&lt;0,"FUTURO",IF($AB1173&gt;p_dias_backlog_max,"BACKLOG","MES CORRIENTE")))</f>
        <v/>
      </c>
      <c r="AD1173" s="3">
        <f>IF($AB1173="",FALSE,AND($AB1173&gt;p_dias_backlog_min,$AB1173&lt;=p_dias_backlog_max))</f>
        <v/>
      </c>
      <c r="AE1173" s="6" t="n"/>
      <c r="AF1173" s="3">
        <f>IF($AE1173="","",IF((IFERROR(INDEX('ASIGNACIONES'!$F$4:$F$339,MATCH($O1173&amp;"|"&amp;$R1173&amp;"|"&amp;$AE1173,'ASIGNACIONES'!$J$4:$J$339,0)),""))=0,"",IFERROR(INDEX('ASIGNACIONES'!$F$4:$F$339,MATCH($O1173&amp;"|"&amp;$R1173&amp;"|"&amp;$AE1173,'ASIGNACIONES'!$J$4:$J$339,0)),"")))</f>
        <v/>
      </c>
      <c r="AG1173" s="13">
        <f>IF($AE1173="","",SUMIFS('ORDENES'!$M$4:$M$1203,'ORDENES'!$AE$4:$AE$1203,$AE1173,'ORDENES'!$O$4:$O$1203,$O1173,'ORDENES'!$R$4:$R$1203,$R1173))</f>
        <v/>
      </c>
      <c r="AH1173" s="13">
        <f>IF($AG1173="","",p_factor_productividad*IFERROR(INDEX('ASIGNACIONES'!$I$4:$I$339,MATCH($O1173&amp;"|"&amp;$R1173&amp;"|"&amp;$AE1173,'ASIGNACIONES'!$J$4:$J$339,0)),0)-$AG1173)</f>
        <v/>
      </c>
      <c r="AI1173" s="10">
        <f>IF($A1173="","",IFERROR(INDEX('2_IMPORTAR_EJECUCION'!$F$9:$F$1208,MATCH($AQ1173,'2_IMPORTAR_EJECUCION'!$J$9:$J$1208,0)),0))</f>
        <v/>
      </c>
      <c r="AJ1173" s="10">
        <f>IF($A1173="","",MAX(0,IFERROR(INDEX('2_IMPORTAR_EJECUCION'!$H$9:$H$1208,MATCH($AQ1173,'2_IMPORTAR_EJECUCION'!$J$9:$J$1208,0)),0)-$AI1173))</f>
        <v/>
      </c>
      <c r="AK1173" s="10">
        <f>IF($A1173="","",$AI1173+$AJ1173)</f>
        <v/>
      </c>
      <c r="AL1173" s="6" t="n"/>
      <c r="AM1173" s="6" t="n"/>
      <c r="AN1173" s="6" t="n"/>
      <c r="AO1173" s="3">
        <f>IF($AN1173="","",HYPERLINK(p_ruta_base_checklists&amp;$AN1173,"abrir"))</f>
        <v/>
      </c>
      <c r="AP1173" s="6" t="n"/>
      <c r="AQ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IF($A1174="","",IFERROR(INDEX('AJUSTES'!$B$4:$B$303,MATCH($AQ1174,'AJUSTES'!$A$4:$A$303,0)),IF($K1174="","",$K1174)))</f>
        <v/>
      </c>
      <c r="N1174" s="3">
        <f>IF($A1174="","",IFERROR(INDEX('CAT_ESTADOS_ERP'!$B$4:$B$7,MATCH(IFERROR(INDEX('2_IMPORTAR_EJECUCION'!$C$9:$C$1208,MATCH($AQ1174,'2_IMPORTAR_EJECUCION'!$J$9:$J$1208,0)),""),'CAT_ESTADOS_ERP'!$A$4:$A$7,0)),"Pendiente"))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J1174="","",IFERROR(INDEX('CALENDARIO'!$C$15:$C$214,MATCH(TEXT($J1174,"yyyy-mm-dd")&amp;"|"&amp;$V1174&amp;"|"&amp;$W1174,'CALENDARIO'!$G$15:$G$214,0)),IFERROR(INDEX('CALENDARIO'!$C$15:$C$214,MATCH(TEXT($J1174,"yyyy-mm-dd")&amp;"|"&amp;$V1174&amp;"|",'CALENDARIO'!$G$15:$G$214,0)),IFERROR(INDEX('CALENDARIO'!$C$15:$C$214,MATCH(TEXT($J1174,"yyyy-mm-dd")&amp;"||",'CALENDARIO'!$G$15:$G$214,0)),INDEX(patronHabil,WEEKDAY($J1174,2))))))</f>
        <v/>
      </c>
      <c r="T1174" s="3">
        <f>IF($I1174="","",IFERROR(INDEX('CAT_TIPOS_OT'!$C$4:$C$7,MATCH($I1174,'CAT_TIPOS_OT'!$A$4:$A$7,0)),"sin_clasificar"))</f>
        <v/>
      </c>
      <c r="U1174" s="3">
        <f>IF($F1174="","",IFERROR(INDEX('CAT_CENTROS_COSTO'!$F$4:$F$13,MATCH($F1174,'CAT_CENTROS_COSTO'!$A$4:$A$13,0)),"(sin catálogo)"))</f>
        <v/>
      </c>
      <c r="V1174" s="3">
        <f>IF($F1174="","",IFERROR(INDEX('CAT_CENTROS_COSTO'!$D$4:$D$13,MATCH($F1174,'CAT_CENTROS_COSTO'!$A$4:$A$13,0)),"(sin catálogo)"))</f>
        <v/>
      </c>
      <c r="W1174" s="3">
        <f>IF($F1174="","",IF((IFERROR(INDEX('CAT_CENTROS_COSTO'!$E$4:$E$13,MATCH($F1174,'CAT_CENTROS_COSTO'!$A$4:$A$13,0)),""))&lt;&gt;"",IFERROR(INDEX('CAT_CENTROS_COSTO'!$E$4:$E$13,MATCH($F1174,'CAT_CENTROS_COSTO'!$A$4:$A$13,0)),""),$V1174))</f>
        <v/>
      </c>
      <c r="X1174" s="3">
        <f>IF($F1174="","",IFERROR(INDEX('CAT_CENTROS_COSTO'!$G$4:$G$13,MATCH($F1174,'CAT_CENTROS_COSTO'!$A$4:$A$13,0)),"(sin catálogo)"))</f>
        <v/>
      </c>
      <c r="Y1174" s="3">
        <f>IF($G1174="","",IFERROR(INDEX('CAT_PUESTOS'!$B$4:$B$8,MATCH($G1174,'CAT_PUESTOS'!$A$4:$A$8,0)),"(sin catálogo)"))</f>
        <v/>
      </c>
      <c r="Z1174" s="3">
        <f>IF($H1174="","",IFERROR(INDEX('CAT_ACTIVIDADES'!$B$4:$B$8,MATCH($H1174,'CAT_ACTIVIDADES'!$A$4:$A$8,0)),"(sin catálogo)"))</f>
        <v/>
      </c>
      <c r="AA1174" s="12">
        <f>IF($J1174="","",TODAY()-$J1174)</f>
        <v/>
      </c>
      <c r="AB1174" s="12">
        <f>IF($J1174="","",IF($J1174&lt;=TODAY(),COUNTIFS(cal_fechas,"&gt;="&amp;$J1174,cal_fechas,"&lt;"&amp;TODAY(),cal_habil,"sí"),-COUNTIFS(cal_fechas,"&gt;="&amp;TODAY(),cal_fechas,"&lt;"&amp;$J1174,cal_habil,"sí")))</f>
        <v/>
      </c>
      <c r="AC1174" s="3">
        <f>IF($AB1174="","",IF($AB1174&lt;0,"FUTURO",IF($AB1174&gt;p_dias_backlog_max,"BACKLOG","MES CORRIENTE")))</f>
        <v/>
      </c>
      <c r="AD1174" s="3">
        <f>IF($AB1174="",FALSE,AND($AB1174&gt;p_dias_backlog_min,$AB1174&lt;=p_dias_backlog_max))</f>
        <v/>
      </c>
      <c r="AE1174" s="6" t="n"/>
      <c r="AF1174" s="3">
        <f>IF($AE1174="","",IF((IFERROR(INDEX('ASIGNACIONES'!$F$4:$F$339,MATCH($O1174&amp;"|"&amp;$R1174&amp;"|"&amp;$AE1174,'ASIGNACIONES'!$J$4:$J$339,0)),""))=0,"",IFERROR(INDEX('ASIGNACIONES'!$F$4:$F$339,MATCH($O1174&amp;"|"&amp;$R1174&amp;"|"&amp;$AE1174,'ASIGNACIONES'!$J$4:$J$339,0)),"")))</f>
        <v/>
      </c>
      <c r="AG1174" s="13">
        <f>IF($AE1174="","",SUMIFS('ORDENES'!$M$4:$M$1203,'ORDENES'!$AE$4:$AE$1203,$AE1174,'ORDENES'!$O$4:$O$1203,$O1174,'ORDENES'!$R$4:$R$1203,$R1174))</f>
        <v/>
      </c>
      <c r="AH1174" s="13">
        <f>IF($AG1174="","",p_factor_productividad*IFERROR(INDEX('ASIGNACIONES'!$I$4:$I$339,MATCH($O1174&amp;"|"&amp;$R1174&amp;"|"&amp;$AE1174,'ASIGNACIONES'!$J$4:$J$339,0)),0)-$AG1174)</f>
        <v/>
      </c>
      <c r="AI1174" s="10">
        <f>IF($A1174="","",IFERROR(INDEX('2_IMPORTAR_EJECUCION'!$F$9:$F$1208,MATCH($AQ1174,'2_IMPORTAR_EJECUCION'!$J$9:$J$1208,0)),0))</f>
        <v/>
      </c>
      <c r="AJ1174" s="10">
        <f>IF($A1174="","",MAX(0,IFERROR(INDEX('2_IMPORTAR_EJECUCION'!$H$9:$H$1208,MATCH($AQ1174,'2_IMPORTAR_EJECUCION'!$J$9:$J$1208,0)),0)-$AI1174))</f>
        <v/>
      </c>
      <c r="AK1174" s="10">
        <f>IF($A1174="","",$AI1174+$AJ1174)</f>
        <v/>
      </c>
      <c r="AL1174" s="6" t="n"/>
      <c r="AM1174" s="6" t="n"/>
      <c r="AN1174" s="6" t="n"/>
      <c r="AO1174" s="3">
        <f>IF($AN1174="","",HYPERLINK(p_ruta_base_checklists&amp;$AN1174,"abrir"))</f>
        <v/>
      </c>
      <c r="AP1174" s="6" t="n"/>
      <c r="AQ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IF($A1175="","",IFERROR(INDEX('AJUSTES'!$B$4:$B$303,MATCH($AQ1175,'AJUSTES'!$A$4:$A$303,0)),IF($K1175="","",$K1175)))</f>
        <v/>
      </c>
      <c r="N1175" s="3">
        <f>IF($A1175="","",IFERROR(INDEX('CAT_ESTADOS_ERP'!$B$4:$B$7,MATCH(IFERROR(INDEX('2_IMPORTAR_EJECUCION'!$C$9:$C$1208,MATCH($AQ1175,'2_IMPORTAR_EJECUCION'!$J$9:$J$1208,0)),""),'CAT_ESTADOS_ERP'!$A$4:$A$7,0)),"Pendiente"))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J1175="","",IFERROR(INDEX('CALENDARIO'!$C$15:$C$214,MATCH(TEXT($J1175,"yyyy-mm-dd")&amp;"|"&amp;$V1175&amp;"|"&amp;$W1175,'CALENDARIO'!$G$15:$G$214,0)),IFERROR(INDEX('CALENDARIO'!$C$15:$C$214,MATCH(TEXT($J1175,"yyyy-mm-dd")&amp;"|"&amp;$V1175&amp;"|",'CALENDARIO'!$G$15:$G$214,0)),IFERROR(INDEX('CALENDARIO'!$C$15:$C$214,MATCH(TEXT($J1175,"yyyy-mm-dd")&amp;"||",'CALENDARIO'!$G$15:$G$214,0)),INDEX(patronHabil,WEEKDAY($J1175,2))))))</f>
        <v/>
      </c>
      <c r="T1175" s="3">
        <f>IF($I1175="","",IFERROR(INDEX('CAT_TIPOS_OT'!$C$4:$C$7,MATCH($I1175,'CAT_TIPOS_OT'!$A$4:$A$7,0)),"sin_clasificar"))</f>
        <v/>
      </c>
      <c r="U1175" s="3">
        <f>IF($F1175="","",IFERROR(INDEX('CAT_CENTROS_COSTO'!$F$4:$F$13,MATCH($F1175,'CAT_CENTROS_COSTO'!$A$4:$A$13,0)),"(sin catálogo)"))</f>
        <v/>
      </c>
      <c r="V1175" s="3">
        <f>IF($F1175="","",IFERROR(INDEX('CAT_CENTROS_COSTO'!$D$4:$D$13,MATCH($F1175,'CAT_CENTROS_COSTO'!$A$4:$A$13,0)),"(sin catálogo)"))</f>
        <v/>
      </c>
      <c r="W1175" s="3">
        <f>IF($F1175="","",IF((IFERROR(INDEX('CAT_CENTROS_COSTO'!$E$4:$E$13,MATCH($F1175,'CAT_CENTROS_COSTO'!$A$4:$A$13,0)),""))&lt;&gt;"",IFERROR(INDEX('CAT_CENTROS_COSTO'!$E$4:$E$13,MATCH($F1175,'CAT_CENTROS_COSTO'!$A$4:$A$13,0)),""),$V1175))</f>
        <v/>
      </c>
      <c r="X1175" s="3">
        <f>IF($F1175="","",IFERROR(INDEX('CAT_CENTROS_COSTO'!$G$4:$G$13,MATCH($F1175,'CAT_CENTROS_COSTO'!$A$4:$A$13,0)),"(sin catálogo)"))</f>
        <v/>
      </c>
      <c r="Y1175" s="3">
        <f>IF($G1175="","",IFERROR(INDEX('CAT_PUESTOS'!$B$4:$B$8,MATCH($G1175,'CAT_PUESTOS'!$A$4:$A$8,0)),"(sin catálogo)"))</f>
        <v/>
      </c>
      <c r="Z1175" s="3">
        <f>IF($H1175="","",IFERROR(INDEX('CAT_ACTIVIDADES'!$B$4:$B$8,MATCH($H1175,'CAT_ACTIVIDADES'!$A$4:$A$8,0)),"(sin catálogo)"))</f>
        <v/>
      </c>
      <c r="AA1175" s="12">
        <f>IF($J1175="","",TODAY()-$J1175)</f>
        <v/>
      </c>
      <c r="AB1175" s="12">
        <f>IF($J1175="","",IF($J1175&lt;=TODAY(),COUNTIFS(cal_fechas,"&gt;="&amp;$J1175,cal_fechas,"&lt;"&amp;TODAY(),cal_habil,"sí"),-COUNTIFS(cal_fechas,"&gt;="&amp;TODAY(),cal_fechas,"&lt;"&amp;$J1175,cal_habil,"sí")))</f>
        <v/>
      </c>
      <c r="AC1175" s="3">
        <f>IF($AB1175="","",IF($AB1175&lt;0,"FUTURO",IF($AB1175&gt;p_dias_backlog_max,"BACKLOG","MES CORRIENTE")))</f>
        <v/>
      </c>
      <c r="AD1175" s="3">
        <f>IF($AB1175="",FALSE,AND($AB1175&gt;p_dias_backlog_min,$AB1175&lt;=p_dias_backlog_max))</f>
        <v/>
      </c>
      <c r="AE1175" s="6" t="n"/>
      <c r="AF1175" s="3">
        <f>IF($AE1175="","",IF((IFERROR(INDEX('ASIGNACIONES'!$F$4:$F$339,MATCH($O1175&amp;"|"&amp;$R1175&amp;"|"&amp;$AE1175,'ASIGNACIONES'!$J$4:$J$339,0)),""))=0,"",IFERROR(INDEX('ASIGNACIONES'!$F$4:$F$339,MATCH($O1175&amp;"|"&amp;$R1175&amp;"|"&amp;$AE1175,'ASIGNACIONES'!$J$4:$J$339,0)),"")))</f>
        <v/>
      </c>
      <c r="AG1175" s="13">
        <f>IF($AE1175="","",SUMIFS('ORDENES'!$M$4:$M$1203,'ORDENES'!$AE$4:$AE$1203,$AE1175,'ORDENES'!$O$4:$O$1203,$O1175,'ORDENES'!$R$4:$R$1203,$R1175))</f>
        <v/>
      </c>
      <c r="AH1175" s="13">
        <f>IF($AG1175="","",p_factor_productividad*IFERROR(INDEX('ASIGNACIONES'!$I$4:$I$339,MATCH($O1175&amp;"|"&amp;$R1175&amp;"|"&amp;$AE1175,'ASIGNACIONES'!$J$4:$J$339,0)),0)-$AG1175)</f>
        <v/>
      </c>
      <c r="AI1175" s="10">
        <f>IF($A1175="","",IFERROR(INDEX('2_IMPORTAR_EJECUCION'!$F$9:$F$1208,MATCH($AQ1175,'2_IMPORTAR_EJECUCION'!$J$9:$J$1208,0)),0))</f>
        <v/>
      </c>
      <c r="AJ1175" s="10">
        <f>IF($A1175="","",MAX(0,IFERROR(INDEX('2_IMPORTAR_EJECUCION'!$H$9:$H$1208,MATCH($AQ1175,'2_IMPORTAR_EJECUCION'!$J$9:$J$1208,0)),0)-$AI1175))</f>
        <v/>
      </c>
      <c r="AK1175" s="10">
        <f>IF($A1175="","",$AI1175+$AJ1175)</f>
        <v/>
      </c>
      <c r="AL1175" s="6" t="n"/>
      <c r="AM1175" s="6" t="n"/>
      <c r="AN1175" s="6" t="n"/>
      <c r="AO1175" s="3">
        <f>IF($AN1175="","",HYPERLINK(p_ruta_base_checklists&amp;$AN1175,"abrir"))</f>
        <v/>
      </c>
      <c r="AP1175" s="6" t="n"/>
      <c r="AQ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IF($A1176="","",IFERROR(INDEX('AJUSTES'!$B$4:$B$303,MATCH($AQ1176,'AJUSTES'!$A$4:$A$303,0)),IF($K1176="","",$K1176)))</f>
        <v/>
      </c>
      <c r="N1176" s="3">
        <f>IF($A1176="","",IFERROR(INDEX('CAT_ESTADOS_ERP'!$B$4:$B$7,MATCH(IFERROR(INDEX('2_IMPORTAR_EJECUCION'!$C$9:$C$1208,MATCH($AQ1176,'2_IMPORTAR_EJECUCION'!$J$9:$J$1208,0)),""),'CAT_ESTADOS_ERP'!$A$4:$A$7,0)),"Pendiente"))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J1176="","",IFERROR(INDEX('CALENDARIO'!$C$15:$C$214,MATCH(TEXT($J1176,"yyyy-mm-dd")&amp;"|"&amp;$V1176&amp;"|"&amp;$W1176,'CALENDARIO'!$G$15:$G$214,0)),IFERROR(INDEX('CALENDARIO'!$C$15:$C$214,MATCH(TEXT($J1176,"yyyy-mm-dd")&amp;"|"&amp;$V1176&amp;"|",'CALENDARIO'!$G$15:$G$214,0)),IFERROR(INDEX('CALENDARIO'!$C$15:$C$214,MATCH(TEXT($J1176,"yyyy-mm-dd")&amp;"||",'CALENDARIO'!$G$15:$G$214,0)),INDEX(patronHabil,WEEKDAY($J1176,2))))))</f>
        <v/>
      </c>
      <c r="T1176" s="3">
        <f>IF($I1176="","",IFERROR(INDEX('CAT_TIPOS_OT'!$C$4:$C$7,MATCH($I1176,'CAT_TIPOS_OT'!$A$4:$A$7,0)),"sin_clasificar"))</f>
        <v/>
      </c>
      <c r="U1176" s="3">
        <f>IF($F1176="","",IFERROR(INDEX('CAT_CENTROS_COSTO'!$F$4:$F$13,MATCH($F1176,'CAT_CENTROS_COSTO'!$A$4:$A$13,0)),"(sin catálogo)"))</f>
        <v/>
      </c>
      <c r="V1176" s="3">
        <f>IF($F1176="","",IFERROR(INDEX('CAT_CENTROS_COSTO'!$D$4:$D$13,MATCH($F1176,'CAT_CENTROS_COSTO'!$A$4:$A$13,0)),"(sin catálogo)"))</f>
        <v/>
      </c>
      <c r="W1176" s="3">
        <f>IF($F1176="","",IF((IFERROR(INDEX('CAT_CENTROS_COSTO'!$E$4:$E$13,MATCH($F1176,'CAT_CENTROS_COSTO'!$A$4:$A$13,0)),""))&lt;&gt;"",IFERROR(INDEX('CAT_CENTROS_COSTO'!$E$4:$E$13,MATCH($F1176,'CAT_CENTROS_COSTO'!$A$4:$A$13,0)),""),$V1176))</f>
        <v/>
      </c>
      <c r="X1176" s="3">
        <f>IF($F1176="","",IFERROR(INDEX('CAT_CENTROS_COSTO'!$G$4:$G$13,MATCH($F1176,'CAT_CENTROS_COSTO'!$A$4:$A$13,0)),"(sin catálogo)"))</f>
        <v/>
      </c>
      <c r="Y1176" s="3">
        <f>IF($G1176="","",IFERROR(INDEX('CAT_PUESTOS'!$B$4:$B$8,MATCH($G1176,'CAT_PUESTOS'!$A$4:$A$8,0)),"(sin catálogo)"))</f>
        <v/>
      </c>
      <c r="Z1176" s="3">
        <f>IF($H1176="","",IFERROR(INDEX('CAT_ACTIVIDADES'!$B$4:$B$8,MATCH($H1176,'CAT_ACTIVIDADES'!$A$4:$A$8,0)),"(sin catálogo)"))</f>
        <v/>
      </c>
      <c r="AA1176" s="12">
        <f>IF($J1176="","",TODAY()-$J1176)</f>
        <v/>
      </c>
      <c r="AB1176" s="12">
        <f>IF($J1176="","",IF($J1176&lt;=TODAY(),COUNTIFS(cal_fechas,"&gt;="&amp;$J1176,cal_fechas,"&lt;"&amp;TODAY(),cal_habil,"sí"),-COUNTIFS(cal_fechas,"&gt;="&amp;TODAY(),cal_fechas,"&lt;"&amp;$J1176,cal_habil,"sí")))</f>
        <v/>
      </c>
      <c r="AC1176" s="3">
        <f>IF($AB1176="","",IF($AB1176&lt;0,"FUTURO",IF($AB1176&gt;p_dias_backlog_max,"BACKLOG","MES CORRIENTE")))</f>
        <v/>
      </c>
      <c r="AD1176" s="3">
        <f>IF($AB1176="",FALSE,AND($AB1176&gt;p_dias_backlog_min,$AB1176&lt;=p_dias_backlog_max))</f>
        <v/>
      </c>
      <c r="AE1176" s="6" t="n"/>
      <c r="AF1176" s="3">
        <f>IF($AE1176="","",IF((IFERROR(INDEX('ASIGNACIONES'!$F$4:$F$339,MATCH($O1176&amp;"|"&amp;$R1176&amp;"|"&amp;$AE1176,'ASIGNACIONES'!$J$4:$J$339,0)),""))=0,"",IFERROR(INDEX('ASIGNACIONES'!$F$4:$F$339,MATCH($O1176&amp;"|"&amp;$R1176&amp;"|"&amp;$AE1176,'ASIGNACIONES'!$J$4:$J$339,0)),"")))</f>
        <v/>
      </c>
      <c r="AG1176" s="13">
        <f>IF($AE1176="","",SUMIFS('ORDENES'!$M$4:$M$1203,'ORDENES'!$AE$4:$AE$1203,$AE1176,'ORDENES'!$O$4:$O$1203,$O1176,'ORDENES'!$R$4:$R$1203,$R1176))</f>
        <v/>
      </c>
      <c r="AH1176" s="13">
        <f>IF($AG1176="","",p_factor_productividad*IFERROR(INDEX('ASIGNACIONES'!$I$4:$I$339,MATCH($O1176&amp;"|"&amp;$R1176&amp;"|"&amp;$AE1176,'ASIGNACIONES'!$J$4:$J$339,0)),0)-$AG1176)</f>
        <v/>
      </c>
      <c r="AI1176" s="10">
        <f>IF($A1176="","",IFERROR(INDEX('2_IMPORTAR_EJECUCION'!$F$9:$F$1208,MATCH($AQ1176,'2_IMPORTAR_EJECUCION'!$J$9:$J$1208,0)),0))</f>
        <v/>
      </c>
      <c r="AJ1176" s="10">
        <f>IF($A1176="","",MAX(0,IFERROR(INDEX('2_IMPORTAR_EJECUCION'!$H$9:$H$1208,MATCH($AQ1176,'2_IMPORTAR_EJECUCION'!$J$9:$J$1208,0)),0)-$AI1176))</f>
        <v/>
      </c>
      <c r="AK1176" s="10">
        <f>IF($A1176="","",$AI1176+$AJ1176)</f>
        <v/>
      </c>
      <c r="AL1176" s="6" t="n"/>
      <c r="AM1176" s="6" t="n"/>
      <c r="AN1176" s="6" t="n"/>
      <c r="AO1176" s="3">
        <f>IF($AN1176="","",HYPERLINK(p_ruta_base_checklists&amp;$AN1176,"abrir"))</f>
        <v/>
      </c>
      <c r="AP1176" s="6" t="n"/>
      <c r="AQ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IF($A1177="","",IFERROR(INDEX('AJUSTES'!$B$4:$B$303,MATCH($AQ1177,'AJUSTES'!$A$4:$A$303,0)),IF($K1177="","",$K1177)))</f>
        <v/>
      </c>
      <c r="N1177" s="3">
        <f>IF($A1177="","",IFERROR(INDEX('CAT_ESTADOS_ERP'!$B$4:$B$7,MATCH(IFERROR(INDEX('2_IMPORTAR_EJECUCION'!$C$9:$C$1208,MATCH($AQ1177,'2_IMPORTAR_EJECUCION'!$J$9:$J$1208,0)),""),'CAT_ESTADOS_ERP'!$A$4:$A$7,0)),"Pendiente"))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J1177="","",IFERROR(INDEX('CALENDARIO'!$C$15:$C$214,MATCH(TEXT($J1177,"yyyy-mm-dd")&amp;"|"&amp;$V1177&amp;"|"&amp;$W1177,'CALENDARIO'!$G$15:$G$214,0)),IFERROR(INDEX('CALENDARIO'!$C$15:$C$214,MATCH(TEXT($J1177,"yyyy-mm-dd")&amp;"|"&amp;$V1177&amp;"|",'CALENDARIO'!$G$15:$G$214,0)),IFERROR(INDEX('CALENDARIO'!$C$15:$C$214,MATCH(TEXT($J1177,"yyyy-mm-dd")&amp;"||",'CALENDARIO'!$G$15:$G$214,0)),INDEX(patronHabil,WEEKDAY($J1177,2))))))</f>
        <v/>
      </c>
      <c r="T1177" s="3">
        <f>IF($I1177="","",IFERROR(INDEX('CAT_TIPOS_OT'!$C$4:$C$7,MATCH($I1177,'CAT_TIPOS_OT'!$A$4:$A$7,0)),"sin_clasificar"))</f>
        <v/>
      </c>
      <c r="U1177" s="3">
        <f>IF($F1177="","",IFERROR(INDEX('CAT_CENTROS_COSTO'!$F$4:$F$13,MATCH($F1177,'CAT_CENTROS_COSTO'!$A$4:$A$13,0)),"(sin catálogo)"))</f>
        <v/>
      </c>
      <c r="V1177" s="3">
        <f>IF($F1177="","",IFERROR(INDEX('CAT_CENTROS_COSTO'!$D$4:$D$13,MATCH($F1177,'CAT_CENTROS_COSTO'!$A$4:$A$13,0)),"(sin catálogo)"))</f>
        <v/>
      </c>
      <c r="W1177" s="3">
        <f>IF($F1177="","",IF((IFERROR(INDEX('CAT_CENTROS_COSTO'!$E$4:$E$13,MATCH($F1177,'CAT_CENTROS_COSTO'!$A$4:$A$13,0)),""))&lt;&gt;"",IFERROR(INDEX('CAT_CENTROS_COSTO'!$E$4:$E$13,MATCH($F1177,'CAT_CENTROS_COSTO'!$A$4:$A$13,0)),""),$V1177))</f>
        <v/>
      </c>
      <c r="X1177" s="3">
        <f>IF($F1177="","",IFERROR(INDEX('CAT_CENTROS_COSTO'!$G$4:$G$13,MATCH($F1177,'CAT_CENTROS_COSTO'!$A$4:$A$13,0)),"(sin catálogo)"))</f>
        <v/>
      </c>
      <c r="Y1177" s="3">
        <f>IF($G1177="","",IFERROR(INDEX('CAT_PUESTOS'!$B$4:$B$8,MATCH($G1177,'CAT_PUESTOS'!$A$4:$A$8,0)),"(sin catálogo)"))</f>
        <v/>
      </c>
      <c r="Z1177" s="3">
        <f>IF($H1177="","",IFERROR(INDEX('CAT_ACTIVIDADES'!$B$4:$B$8,MATCH($H1177,'CAT_ACTIVIDADES'!$A$4:$A$8,0)),"(sin catálogo)"))</f>
        <v/>
      </c>
      <c r="AA1177" s="12">
        <f>IF($J1177="","",TODAY()-$J1177)</f>
        <v/>
      </c>
      <c r="AB1177" s="12">
        <f>IF($J1177="","",IF($J1177&lt;=TODAY(),COUNTIFS(cal_fechas,"&gt;="&amp;$J1177,cal_fechas,"&lt;"&amp;TODAY(),cal_habil,"sí"),-COUNTIFS(cal_fechas,"&gt;="&amp;TODAY(),cal_fechas,"&lt;"&amp;$J1177,cal_habil,"sí")))</f>
        <v/>
      </c>
      <c r="AC1177" s="3">
        <f>IF($AB1177="","",IF($AB1177&lt;0,"FUTURO",IF($AB1177&gt;p_dias_backlog_max,"BACKLOG","MES CORRIENTE")))</f>
        <v/>
      </c>
      <c r="AD1177" s="3">
        <f>IF($AB1177="",FALSE,AND($AB1177&gt;p_dias_backlog_min,$AB1177&lt;=p_dias_backlog_max))</f>
        <v/>
      </c>
      <c r="AE1177" s="6" t="n"/>
      <c r="AF1177" s="3">
        <f>IF($AE1177="","",IF((IFERROR(INDEX('ASIGNACIONES'!$F$4:$F$339,MATCH($O1177&amp;"|"&amp;$R1177&amp;"|"&amp;$AE1177,'ASIGNACIONES'!$J$4:$J$339,0)),""))=0,"",IFERROR(INDEX('ASIGNACIONES'!$F$4:$F$339,MATCH($O1177&amp;"|"&amp;$R1177&amp;"|"&amp;$AE1177,'ASIGNACIONES'!$J$4:$J$339,0)),"")))</f>
        <v/>
      </c>
      <c r="AG1177" s="13">
        <f>IF($AE1177="","",SUMIFS('ORDENES'!$M$4:$M$1203,'ORDENES'!$AE$4:$AE$1203,$AE1177,'ORDENES'!$O$4:$O$1203,$O1177,'ORDENES'!$R$4:$R$1203,$R1177))</f>
        <v/>
      </c>
      <c r="AH1177" s="13">
        <f>IF($AG1177="","",p_factor_productividad*IFERROR(INDEX('ASIGNACIONES'!$I$4:$I$339,MATCH($O1177&amp;"|"&amp;$R1177&amp;"|"&amp;$AE1177,'ASIGNACIONES'!$J$4:$J$339,0)),0)-$AG1177)</f>
        <v/>
      </c>
      <c r="AI1177" s="10">
        <f>IF($A1177="","",IFERROR(INDEX('2_IMPORTAR_EJECUCION'!$F$9:$F$1208,MATCH($AQ1177,'2_IMPORTAR_EJECUCION'!$J$9:$J$1208,0)),0))</f>
        <v/>
      </c>
      <c r="AJ1177" s="10">
        <f>IF($A1177="","",MAX(0,IFERROR(INDEX('2_IMPORTAR_EJECUCION'!$H$9:$H$1208,MATCH($AQ1177,'2_IMPORTAR_EJECUCION'!$J$9:$J$1208,0)),0)-$AI1177))</f>
        <v/>
      </c>
      <c r="AK1177" s="10">
        <f>IF($A1177="","",$AI1177+$AJ1177)</f>
        <v/>
      </c>
      <c r="AL1177" s="6" t="n"/>
      <c r="AM1177" s="6" t="n"/>
      <c r="AN1177" s="6" t="n"/>
      <c r="AO1177" s="3">
        <f>IF($AN1177="","",HYPERLINK(p_ruta_base_checklists&amp;$AN1177,"abrir"))</f>
        <v/>
      </c>
      <c r="AP1177" s="6" t="n"/>
      <c r="AQ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IF($A1178="","",IFERROR(INDEX('AJUSTES'!$B$4:$B$303,MATCH($AQ1178,'AJUSTES'!$A$4:$A$303,0)),IF($K1178="","",$K1178)))</f>
        <v/>
      </c>
      <c r="N1178" s="3">
        <f>IF($A1178="","",IFERROR(INDEX('CAT_ESTADOS_ERP'!$B$4:$B$7,MATCH(IFERROR(INDEX('2_IMPORTAR_EJECUCION'!$C$9:$C$1208,MATCH($AQ1178,'2_IMPORTAR_EJECUCION'!$J$9:$J$1208,0)),""),'CAT_ESTADOS_ERP'!$A$4:$A$7,0)),"Pendiente"))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J1178="","",IFERROR(INDEX('CALENDARIO'!$C$15:$C$214,MATCH(TEXT($J1178,"yyyy-mm-dd")&amp;"|"&amp;$V1178&amp;"|"&amp;$W1178,'CALENDARIO'!$G$15:$G$214,0)),IFERROR(INDEX('CALENDARIO'!$C$15:$C$214,MATCH(TEXT($J1178,"yyyy-mm-dd")&amp;"|"&amp;$V1178&amp;"|",'CALENDARIO'!$G$15:$G$214,0)),IFERROR(INDEX('CALENDARIO'!$C$15:$C$214,MATCH(TEXT($J1178,"yyyy-mm-dd")&amp;"||",'CALENDARIO'!$G$15:$G$214,0)),INDEX(patronHabil,WEEKDAY($J1178,2))))))</f>
        <v/>
      </c>
      <c r="T1178" s="3">
        <f>IF($I1178="","",IFERROR(INDEX('CAT_TIPOS_OT'!$C$4:$C$7,MATCH($I1178,'CAT_TIPOS_OT'!$A$4:$A$7,0)),"sin_clasificar"))</f>
        <v/>
      </c>
      <c r="U1178" s="3">
        <f>IF($F1178="","",IFERROR(INDEX('CAT_CENTROS_COSTO'!$F$4:$F$13,MATCH($F1178,'CAT_CENTROS_COSTO'!$A$4:$A$13,0)),"(sin catálogo)"))</f>
        <v/>
      </c>
      <c r="V1178" s="3">
        <f>IF($F1178="","",IFERROR(INDEX('CAT_CENTROS_COSTO'!$D$4:$D$13,MATCH($F1178,'CAT_CENTROS_COSTO'!$A$4:$A$13,0)),"(sin catálogo)"))</f>
        <v/>
      </c>
      <c r="W1178" s="3">
        <f>IF($F1178="","",IF((IFERROR(INDEX('CAT_CENTROS_COSTO'!$E$4:$E$13,MATCH($F1178,'CAT_CENTROS_COSTO'!$A$4:$A$13,0)),""))&lt;&gt;"",IFERROR(INDEX('CAT_CENTROS_COSTO'!$E$4:$E$13,MATCH($F1178,'CAT_CENTROS_COSTO'!$A$4:$A$13,0)),""),$V1178))</f>
        <v/>
      </c>
      <c r="X1178" s="3">
        <f>IF($F1178="","",IFERROR(INDEX('CAT_CENTROS_COSTO'!$G$4:$G$13,MATCH($F1178,'CAT_CENTROS_COSTO'!$A$4:$A$13,0)),"(sin catálogo)"))</f>
        <v/>
      </c>
      <c r="Y1178" s="3">
        <f>IF($G1178="","",IFERROR(INDEX('CAT_PUESTOS'!$B$4:$B$8,MATCH($G1178,'CAT_PUESTOS'!$A$4:$A$8,0)),"(sin catálogo)"))</f>
        <v/>
      </c>
      <c r="Z1178" s="3">
        <f>IF($H1178="","",IFERROR(INDEX('CAT_ACTIVIDADES'!$B$4:$B$8,MATCH($H1178,'CAT_ACTIVIDADES'!$A$4:$A$8,0)),"(sin catálogo)"))</f>
        <v/>
      </c>
      <c r="AA1178" s="12">
        <f>IF($J1178="","",TODAY()-$J1178)</f>
        <v/>
      </c>
      <c r="AB1178" s="12">
        <f>IF($J1178="","",IF($J1178&lt;=TODAY(),COUNTIFS(cal_fechas,"&gt;="&amp;$J1178,cal_fechas,"&lt;"&amp;TODAY(),cal_habil,"sí"),-COUNTIFS(cal_fechas,"&gt;="&amp;TODAY(),cal_fechas,"&lt;"&amp;$J1178,cal_habil,"sí")))</f>
        <v/>
      </c>
      <c r="AC1178" s="3">
        <f>IF($AB1178="","",IF($AB1178&lt;0,"FUTURO",IF($AB1178&gt;p_dias_backlog_max,"BACKLOG","MES CORRIENTE")))</f>
        <v/>
      </c>
      <c r="AD1178" s="3">
        <f>IF($AB1178="",FALSE,AND($AB1178&gt;p_dias_backlog_min,$AB1178&lt;=p_dias_backlog_max))</f>
        <v/>
      </c>
      <c r="AE1178" s="6" t="n"/>
      <c r="AF1178" s="3">
        <f>IF($AE1178="","",IF((IFERROR(INDEX('ASIGNACIONES'!$F$4:$F$339,MATCH($O1178&amp;"|"&amp;$R1178&amp;"|"&amp;$AE1178,'ASIGNACIONES'!$J$4:$J$339,0)),""))=0,"",IFERROR(INDEX('ASIGNACIONES'!$F$4:$F$339,MATCH($O1178&amp;"|"&amp;$R1178&amp;"|"&amp;$AE1178,'ASIGNACIONES'!$J$4:$J$339,0)),"")))</f>
        <v/>
      </c>
      <c r="AG1178" s="13">
        <f>IF($AE1178="","",SUMIFS('ORDENES'!$M$4:$M$1203,'ORDENES'!$AE$4:$AE$1203,$AE1178,'ORDENES'!$O$4:$O$1203,$O1178,'ORDENES'!$R$4:$R$1203,$R1178))</f>
        <v/>
      </c>
      <c r="AH1178" s="13">
        <f>IF($AG1178="","",p_factor_productividad*IFERROR(INDEX('ASIGNACIONES'!$I$4:$I$339,MATCH($O1178&amp;"|"&amp;$R1178&amp;"|"&amp;$AE1178,'ASIGNACIONES'!$J$4:$J$339,0)),0)-$AG1178)</f>
        <v/>
      </c>
      <c r="AI1178" s="10">
        <f>IF($A1178="","",IFERROR(INDEX('2_IMPORTAR_EJECUCION'!$F$9:$F$1208,MATCH($AQ1178,'2_IMPORTAR_EJECUCION'!$J$9:$J$1208,0)),0))</f>
        <v/>
      </c>
      <c r="AJ1178" s="10">
        <f>IF($A1178="","",MAX(0,IFERROR(INDEX('2_IMPORTAR_EJECUCION'!$H$9:$H$1208,MATCH($AQ1178,'2_IMPORTAR_EJECUCION'!$J$9:$J$1208,0)),0)-$AI1178))</f>
        <v/>
      </c>
      <c r="AK1178" s="10">
        <f>IF($A1178="","",$AI1178+$AJ1178)</f>
        <v/>
      </c>
      <c r="AL1178" s="6" t="n"/>
      <c r="AM1178" s="6" t="n"/>
      <c r="AN1178" s="6" t="n"/>
      <c r="AO1178" s="3">
        <f>IF($AN1178="","",HYPERLINK(p_ruta_base_checklists&amp;$AN1178,"abrir"))</f>
        <v/>
      </c>
      <c r="AP1178" s="6" t="n"/>
      <c r="AQ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IF($A1179="","",IFERROR(INDEX('AJUSTES'!$B$4:$B$303,MATCH($AQ1179,'AJUSTES'!$A$4:$A$303,0)),IF($K1179="","",$K1179)))</f>
        <v/>
      </c>
      <c r="N1179" s="3">
        <f>IF($A1179="","",IFERROR(INDEX('CAT_ESTADOS_ERP'!$B$4:$B$7,MATCH(IFERROR(INDEX('2_IMPORTAR_EJECUCION'!$C$9:$C$1208,MATCH($AQ1179,'2_IMPORTAR_EJECUCION'!$J$9:$J$1208,0)),""),'CAT_ESTADOS_ERP'!$A$4:$A$7,0)),"Pendiente"))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J1179="","",IFERROR(INDEX('CALENDARIO'!$C$15:$C$214,MATCH(TEXT($J1179,"yyyy-mm-dd")&amp;"|"&amp;$V1179&amp;"|"&amp;$W1179,'CALENDARIO'!$G$15:$G$214,0)),IFERROR(INDEX('CALENDARIO'!$C$15:$C$214,MATCH(TEXT($J1179,"yyyy-mm-dd")&amp;"|"&amp;$V1179&amp;"|",'CALENDARIO'!$G$15:$G$214,0)),IFERROR(INDEX('CALENDARIO'!$C$15:$C$214,MATCH(TEXT($J1179,"yyyy-mm-dd")&amp;"||",'CALENDARIO'!$G$15:$G$214,0)),INDEX(patronHabil,WEEKDAY($J1179,2))))))</f>
        <v/>
      </c>
      <c r="T1179" s="3">
        <f>IF($I1179="","",IFERROR(INDEX('CAT_TIPOS_OT'!$C$4:$C$7,MATCH($I1179,'CAT_TIPOS_OT'!$A$4:$A$7,0)),"sin_clasificar"))</f>
        <v/>
      </c>
      <c r="U1179" s="3">
        <f>IF($F1179="","",IFERROR(INDEX('CAT_CENTROS_COSTO'!$F$4:$F$13,MATCH($F1179,'CAT_CENTROS_COSTO'!$A$4:$A$13,0)),"(sin catálogo)"))</f>
        <v/>
      </c>
      <c r="V1179" s="3">
        <f>IF($F1179="","",IFERROR(INDEX('CAT_CENTROS_COSTO'!$D$4:$D$13,MATCH($F1179,'CAT_CENTROS_COSTO'!$A$4:$A$13,0)),"(sin catálogo)"))</f>
        <v/>
      </c>
      <c r="W1179" s="3">
        <f>IF($F1179="","",IF((IFERROR(INDEX('CAT_CENTROS_COSTO'!$E$4:$E$13,MATCH($F1179,'CAT_CENTROS_COSTO'!$A$4:$A$13,0)),""))&lt;&gt;"",IFERROR(INDEX('CAT_CENTROS_COSTO'!$E$4:$E$13,MATCH($F1179,'CAT_CENTROS_COSTO'!$A$4:$A$13,0)),""),$V1179))</f>
        <v/>
      </c>
      <c r="X1179" s="3">
        <f>IF($F1179="","",IFERROR(INDEX('CAT_CENTROS_COSTO'!$G$4:$G$13,MATCH($F1179,'CAT_CENTROS_COSTO'!$A$4:$A$13,0)),"(sin catálogo)"))</f>
        <v/>
      </c>
      <c r="Y1179" s="3">
        <f>IF($G1179="","",IFERROR(INDEX('CAT_PUESTOS'!$B$4:$B$8,MATCH($G1179,'CAT_PUESTOS'!$A$4:$A$8,0)),"(sin catálogo)"))</f>
        <v/>
      </c>
      <c r="Z1179" s="3">
        <f>IF($H1179="","",IFERROR(INDEX('CAT_ACTIVIDADES'!$B$4:$B$8,MATCH($H1179,'CAT_ACTIVIDADES'!$A$4:$A$8,0)),"(sin catálogo)"))</f>
        <v/>
      </c>
      <c r="AA1179" s="12">
        <f>IF($J1179="","",TODAY()-$J1179)</f>
        <v/>
      </c>
      <c r="AB1179" s="12">
        <f>IF($J1179="","",IF($J1179&lt;=TODAY(),COUNTIFS(cal_fechas,"&gt;="&amp;$J1179,cal_fechas,"&lt;"&amp;TODAY(),cal_habil,"sí"),-COUNTIFS(cal_fechas,"&gt;="&amp;TODAY(),cal_fechas,"&lt;"&amp;$J1179,cal_habil,"sí")))</f>
        <v/>
      </c>
      <c r="AC1179" s="3">
        <f>IF($AB1179="","",IF($AB1179&lt;0,"FUTURO",IF($AB1179&gt;p_dias_backlog_max,"BACKLOG","MES CORRIENTE")))</f>
        <v/>
      </c>
      <c r="AD1179" s="3">
        <f>IF($AB1179="",FALSE,AND($AB1179&gt;p_dias_backlog_min,$AB1179&lt;=p_dias_backlog_max))</f>
        <v/>
      </c>
      <c r="AE1179" s="6" t="n"/>
      <c r="AF1179" s="3">
        <f>IF($AE1179="","",IF((IFERROR(INDEX('ASIGNACIONES'!$F$4:$F$339,MATCH($O1179&amp;"|"&amp;$R1179&amp;"|"&amp;$AE1179,'ASIGNACIONES'!$J$4:$J$339,0)),""))=0,"",IFERROR(INDEX('ASIGNACIONES'!$F$4:$F$339,MATCH($O1179&amp;"|"&amp;$R1179&amp;"|"&amp;$AE1179,'ASIGNACIONES'!$J$4:$J$339,0)),"")))</f>
        <v/>
      </c>
      <c r="AG1179" s="13">
        <f>IF($AE1179="","",SUMIFS('ORDENES'!$M$4:$M$1203,'ORDENES'!$AE$4:$AE$1203,$AE1179,'ORDENES'!$O$4:$O$1203,$O1179,'ORDENES'!$R$4:$R$1203,$R1179))</f>
        <v/>
      </c>
      <c r="AH1179" s="13">
        <f>IF($AG1179="","",p_factor_productividad*IFERROR(INDEX('ASIGNACIONES'!$I$4:$I$339,MATCH($O1179&amp;"|"&amp;$R1179&amp;"|"&amp;$AE1179,'ASIGNACIONES'!$J$4:$J$339,0)),0)-$AG1179)</f>
        <v/>
      </c>
      <c r="AI1179" s="10">
        <f>IF($A1179="","",IFERROR(INDEX('2_IMPORTAR_EJECUCION'!$F$9:$F$1208,MATCH($AQ1179,'2_IMPORTAR_EJECUCION'!$J$9:$J$1208,0)),0))</f>
        <v/>
      </c>
      <c r="AJ1179" s="10">
        <f>IF($A1179="","",MAX(0,IFERROR(INDEX('2_IMPORTAR_EJECUCION'!$H$9:$H$1208,MATCH($AQ1179,'2_IMPORTAR_EJECUCION'!$J$9:$J$1208,0)),0)-$AI1179))</f>
        <v/>
      </c>
      <c r="AK1179" s="10">
        <f>IF($A1179="","",$AI1179+$AJ1179)</f>
        <v/>
      </c>
      <c r="AL1179" s="6" t="n"/>
      <c r="AM1179" s="6" t="n"/>
      <c r="AN1179" s="6" t="n"/>
      <c r="AO1179" s="3">
        <f>IF($AN1179="","",HYPERLINK(p_ruta_base_checklists&amp;$AN1179,"abrir"))</f>
        <v/>
      </c>
      <c r="AP1179" s="6" t="n"/>
      <c r="AQ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IF($A1180="","",IFERROR(INDEX('AJUSTES'!$B$4:$B$303,MATCH($AQ1180,'AJUSTES'!$A$4:$A$303,0)),IF($K1180="","",$K1180)))</f>
        <v/>
      </c>
      <c r="N1180" s="3">
        <f>IF($A1180="","",IFERROR(INDEX('CAT_ESTADOS_ERP'!$B$4:$B$7,MATCH(IFERROR(INDEX('2_IMPORTAR_EJECUCION'!$C$9:$C$1208,MATCH($AQ1180,'2_IMPORTAR_EJECUCION'!$J$9:$J$1208,0)),""),'CAT_ESTADOS_ERP'!$A$4:$A$7,0)),"Pendiente"))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J1180="","",IFERROR(INDEX('CALENDARIO'!$C$15:$C$214,MATCH(TEXT($J1180,"yyyy-mm-dd")&amp;"|"&amp;$V1180&amp;"|"&amp;$W1180,'CALENDARIO'!$G$15:$G$214,0)),IFERROR(INDEX('CALENDARIO'!$C$15:$C$214,MATCH(TEXT($J1180,"yyyy-mm-dd")&amp;"|"&amp;$V1180&amp;"|",'CALENDARIO'!$G$15:$G$214,0)),IFERROR(INDEX('CALENDARIO'!$C$15:$C$214,MATCH(TEXT($J1180,"yyyy-mm-dd")&amp;"||",'CALENDARIO'!$G$15:$G$214,0)),INDEX(patronHabil,WEEKDAY($J1180,2))))))</f>
        <v/>
      </c>
      <c r="T1180" s="3">
        <f>IF($I1180="","",IFERROR(INDEX('CAT_TIPOS_OT'!$C$4:$C$7,MATCH($I1180,'CAT_TIPOS_OT'!$A$4:$A$7,0)),"sin_clasificar"))</f>
        <v/>
      </c>
      <c r="U1180" s="3">
        <f>IF($F1180="","",IFERROR(INDEX('CAT_CENTROS_COSTO'!$F$4:$F$13,MATCH($F1180,'CAT_CENTROS_COSTO'!$A$4:$A$13,0)),"(sin catálogo)"))</f>
        <v/>
      </c>
      <c r="V1180" s="3">
        <f>IF($F1180="","",IFERROR(INDEX('CAT_CENTROS_COSTO'!$D$4:$D$13,MATCH($F1180,'CAT_CENTROS_COSTO'!$A$4:$A$13,0)),"(sin catálogo)"))</f>
        <v/>
      </c>
      <c r="W1180" s="3">
        <f>IF($F1180="","",IF((IFERROR(INDEX('CAT_CENTROS_COSTO'!$E$4:$E$13,MATCH($F1180,'CAT_CENTROS_COSTO'!$A$4:$A$13,0)),""))&lt;&gt;"",IFERROR(INDEX('CAT_CENTROS_COSTO'!$E$4:$E$13,MATCH($F1180,'CAT_CENTROS_COSTO'!$A$4:$A$13,0)),""),$V1180))</f>
        <v/>
      </c>
      <c r="X1180" s="3">
        <f>IF($F1180="","",IFERROR(INDEX('CAT_CENTROS_COSTO'!$G$4:$G$13,MATCH($F1180,'CAT_CENTROS_COSTO'!$A$4:$A$13,0)),"(sin catálogo)"))</f>
        <v/>
      </c>
      <c r="Y1180" s="3">
        <f>IF($G1180="","",IFERROR(INDEX('CAT_PUESTOS'!$B$4:$B$8,MATCH($G1180,'CAT_PUESTOS'!$A$4:$A$8,0)),"(sin catálogo)"))</f>
        <v/>
      </c>
      <c r="Z1180" s="3">
        <f>IF($H1180="","",IFERROR(INDEX('CAT_ACTIVIDADES'!$B$4:$B$8,MATCH($H1180,'CAT_ACTIVIDADES'!$A$4:$A$8,0)),"(sin catálogo)"))</f>
        <v/>
      </c>
      <c r="AA1180" s="12">
        <f>IF($J1180="","",TODAY()-$J1180)</f>
        <v/>
      </c>
      <c r="AB1180" s="12">
        <f>IF($J1180="","",IF($J1180&lt;=TODAY(),COUNTIFS(cal_fechas,"&gt;="&amp;$J1180,cal_fechas,"&lt;"&amp;TODAY(),cal_habil,"sí"),-COUNTIFS(cal_fechas,"&gt;="&amp;TODAY(),cal_fechas,"&lt;"&amp;$J1180,cal_habil,"sí")))</f>
        <v/>
      </c>
      <c r="AC1180" s="3">
        <f>IF($AB1180="","",IF($AB1180&lt;0,"FUTURO",IF($AB1180&gt;p_dias_backlog_max,"BACKLOG","MES CORRIENTE")))</f>
        <v/>
      </c>
      <c r="AD1180" s="3">
        <f>IF($AB1180="",FALSE,AND($AB1180&gt;p_dias_backlog_min,$AB1180&lt;=p_dias_backlog_max))</f>
        <v/>
      </c>
      <c r="AE1180" s="6" t="n"/>
      <c r="AF1180" s="3">
        <f>IF($AE1180="","",IF((IFERROR(INDEX('ASIGNACIONES'!$F$4:$F$339,MATCH($O1180&amp;"|"&amp;$R1180&amp;"|"&amp;$AE1180,'ASIGNACIONES'!$J$4:$J$339,0)),""))=0,"",IFERROR(INDEX('ASIGNACIONES'!$F$4:$F$339,MATCH($O1180&amp;"|"&amp;$R1180&amp;"|"&amp;$AE1180,'ASIGNACIONES'!$J$4:$J$339,0)),"")))</f>
        <v/>
      </c>
      <c r="AG1180" s="13">
        <f>IF($AE1180="","",SUMIFS('ORDENES'!$M$4:$M$1203,'ORDENES'!$AE$4:$AE$1203,$AE1180,'ORDENES'!$O$4:$O$1203,$O1180,'ORDENES'!$R$4:$R$1203,$R1180))</f>
        <v/>
      </c>
      <c r="AH1180" s="13">
        <f>IF($AG1180="","",p_factor_productividad*IFERROR(INDEX('ASIGNACIONES'!$I$4:$I$339,MATCH($O1180&amp;"|"&amp;$R1180&amp;"|"&amp;$AE1180,'ASIGNACIONES'!$J$4:$J$339,0)),0)-$AG1180)</f>
        <v/>
      </c>
      <c r="AI1180" s="10">
        <f>IF($A1180="","",IFERROR(INDEX('2_IMPORTAR_EJECUCION'!$F$9:$F$1208,MATCH($AQ1180,'2_IMPORTAR_EJECUCION'!$J$9:$J$1208,0)),0))</f>
        <v/>
      </c>
      <c r="AJ1180" s="10">
        <f>IF($A1180="","",MAX(0,IFERROR(INDEX('2_IMPORTAR_EJECUCION'!$H$9:$H$1208,MATCH($AQ1180,'2_IMPORTAR_EJECUCION'!$J$9:$J$1208,0)),0)-$AI1180))</f>
        <v/>
      </c>
      <c r="AK1180" s="10">
        <f>IF($A1180="","",$AI1180+$AJ1180)</f>
        <v/>
      </c>
      <c r="AL1180" s="6" t="n"/>
      <c r="AM1180" s="6" t="n"/>
      <c r="AN1180" s="6" t="n"/>
      <c r="AO1180" s="3">
        <f>IF($AN1180="","",HYPERLINK(p_ruta_base_checklists&amp;$AN1180,"abrir"))</f>
        <v/>
      </c>
      <c r="AP1180" s="6" t="n"/>
      <c r="AQ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IF($A1181="","",IFERROR(INDEX('AJUSTES'!$B$4:$B$303,MATCH($AQ1181,'AJUSTES'!$A$4:$A$303,0)),IF($K1181="","",$K1181)))</f>
        <v/>
      </c>
      <c r="N1181" s="3">
        <f>IF($A1181="","",IFERROR(INDEX('CAT_ESTADOS_ERP'!$B$4:$B$7,MATCH(IFERROR(INDEX('2_IMPORTAR_EJECUCION'!$C$9:$C$1208,MATCH($AQ1181,'2_IMPORTAR_EJECUCION'!$J$9:$J$1208,0)),""),'CAT_ESTADOS_ERP'!$A$4:$A$7,0)),"Pendiente"))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J1181="","",IFERROR(INDEX('CALENDARIO'!$C$15:$C$214,MATCH(TEXT($J1181,"yyyy-mm-dd")&amp;"|"&amp;$V1181&amp;"|"&amp;$W1181,'CALENDARIO'!$G$15:$G$214,0)),IFERROR(INDEX('CALENDARIO'!$C$15:$C$214,MATCH(TEXT($J1181,"yyyy-mm-dd")&amp;"|"&amp;$V1181&amp;"|",'CALENDARIO'!$G$15:$G$214,0)),IFERROR(INDEX('CALENDARIO'!$C$15:$C$214,MATCH(TEXT($J1181,"yyyy-mm-dd")&amp;"||",'CALENDARIO'!$G$15:$G$214,0)),INDEX(patronHabil,WEEKDAY($J1181,2))))))</f>
        <v/>
      </c>
      <c r="T1181" s="3">
        <f>IF($I1181="","",IFERROR(INDEX('CAT_TIPOS_OT'!$C$4:$C$7,MATCH($I1181,'CAT_TIPOS_OT'!$A$4:$A$7,0)),"sin_clasificar"))</f>
        <v/>
      </c>
      <c r="U1181" s="3">
        <f>IF($F1181="","",IFERROR(INDEX('CAT_CENTROS_COSTO'!$F$4:$F$13,MATCH($F1181,'CAT_CENTROS_COSTO'!$A$4:$A$13,0)),"(sin catálogo)"))</f>
        <v/>
      </c>
      <c r="V1181" s="3">
        <f>IF($F1181="","",IFERROR(INDEX('CAT_CENTROS_COSTO'!$D$4:$D$13,MATCH($F1181,'CAT_CENTROS_COSTO'!$A$4:$A$13,0)),"(sin catálogo)"))</f>
        <v/>
      </c>
      <c r="W1181" s="3">
        <f>IF($F1181="","",IF((IFERROR(INDEX('CAT_CENTROS_COSTO'!$E$4:$E$13,MATCH($F1181,'CAT_CENTROS_COSTO'!$A$4:$A$13,0)),""))&lt;&gt;"",IFERROR(INDEX('CAT_CENTROS_COSTO'!$E$4:$E$13,MATCH($F1181,'CAT_CENTROS_COSTO'!$A$4:$A$13,0)),""),$V1181))</f>
        <v/>
      </c>
      <c r="X1181" s="3">
        <f>IF($F1181="","",IFERROR(INDEX('CAT_CENTROS_COSTO'!$G$4:$G$13,MATCH($F1181,'CAT_CENTROS_COSTO'!$A$4:$A$13,0)),"(sin catálogo)"))</f>
        <v/>
      </c>
      <c r="Y1181" s="3">
        <f>IF($G1181="","",IFERROR(INDEX('CAT_PUESTOS'!$B$4:$B$8,MATCH($G1181,'CAT_PUESTOS'!$A$4:$A$8,0)),"(sin catálogo)"))</f>
        <v/>
      </c>
      <c r="Z1181" s="3">
        <f>IF($H1181="","",IFERROR(INDEX('CAT_ACTIVIDADES'!$B$4:$B$8,MATCH($H1181,'CAT_ACTIVIDADES'!$A$4:$A$8,0)),"(sin catálogo)"))</f>
        <v/>
      </c>
      <c r="AA1181" s="12">
        <f>IF($J1181="","",TODAY()-$J1181)</f>
        <v/>
      </c>
      <c r="AB1181" s="12">
        <f>IF($J1181="","",IF($J1181&lt;=TODAY(),COUNTIFS(cal_fechas,"&gt;="&amp;$J1181,cal_fechas,"&lt;"&amp;TODAY(),cal_habil,"sí"),-COUNTIFS(cal_fechas,"&gt;="&amp;TODAY(),cal_fechas,"&lt;"&amp;$J1181,cal_habil,"sí")))</f>
        <v/>
      </c>
      <c r="AC1181" s="3">
        <f>IF($AB1181="","",IF($AB1181&lt;0,"FUTURO",IF($AB1181&gt;p_dias_backlog_max,"BACKLOG","MES CORRIENTE")))</f>
        <v/>
      </c>
      <c r="AD1181" s="3">
        <f>IF($AB1181="",FALSE,AND($AB1181&gt;p_dias_backlog_min,$AB1181&lt;=p_dias_backlog_max))</f>
        <v/>
      </c>
      <c r="AE1181" s="6" t="n"/>
      <c r="AF1181" s="3">
        <f>IF($AE1181="","",IF((IFERROR(INDEX('ASIGNACIONES'!$F$4:$F$339,MATCH($O1181&amp;"|"&amp;$R1181&amp;"|"&amp;$AE1181,'ASIGNACIONES'!$J$4:$J$339,0)),""))=0,"",IFERROR(INDEX('ASIGNACIONES'!$F$4:$F$339,MATCH($O1181&amp;"|"&amp;$R1181&amp;"|"&amp;$AE1181,'ASIGNACIONES'!$J$4:$J$339,0)),"")))</f>
        <v/>
      </c>
      <c r="AG1181" s="13">
        <f>IF($AE1181="","",SUMIFS('ORDENES'!$M$4:$M$1203,'ORDENES'!$AE$4:$AE$1203,$AE1181,'ORDENES'!$O$4:$O$1203,$O1181,'ORDENES'!$R$4:$R$1203,$R1181))</f>
        <v/>
      </c>
      <c r="AH1181" s="13">
        <f>IF($AG1181="","",p_factor_productividad*IFERROR(INDEX('ASIGNACIONES'!$I$4:$I$339,MATCH($O1181&amp;"|"&amp;$R1181&amp;"|"&amp;$AE1181,'ASIGNACIONES'!$J$4:$J$339,0)),0)-$AG1181)</f>
        <v/>
      </c>
      <c r="AI1181" s="10">
        <f>IF($A1181="","",IFERROR(INDEX('2_IMPORTAR_EJECUCION'!$F$9:$F$1208,MATCH($AQ1181,'2_IMPORTAR_EJECUCION'!$J$9:$J$1208,0)),0))</f>
        <v/>
      </c>
      <c r="AJ1181" s="10">
        <f>IF($A1181="","",MAX(0,IFERROR(INDEX('2_IMPORTAR_EJECUCION'!$H$9:$H$1208,MATCH($AQ1181,'2_IMPORTAR_EJECUCION'!$J$9:$J$1208,0)),0)-$AI1181))</f>
        <v/>
      </c>
      <c r="AK1181" s="10">
        <f>IF($A1181="","",$AI1181+$AJ1181)</f>
        <v/>
      </c>
      <c r="AL1181" s="6" t="n"/>
      <c r="AM1181" s="6" t="n"/>
      <c r="AN1181" s="6" t="n"/>
      <c r="AO1181" s="3">
        <f>IF($AN1181="","",HYPERLINK(p_ruta_base_checklists&amp;$AN1181,"abrir"))</f>
        <v/>
      </c>
      <c r="AP1181" s="6" t="n"/>
      <c r="AQ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IF($A1182="","",IFERROR(INDEX('AJUSTES'!$B$4:$B$303,MATCH($AQ1182,'AJUSTES'!$A$4:$A$303,0)),IF($K1182="","",$K1182)))</f>
        <v/>
      </c>
      <c r="N1182" s="3">
        <f>IF($A1182="","",IFERROR(INDEX('CAT_ESTADOS_ERP'!$B$4:$B$7,MATCH(IFERROR(INDEX('2_IMPORTAR_EJECUCION'!$C$9:$C$1208,MATCH($AQ1182,'2_IMPORTAR_EJECUCION'!$J$9:$J$1208,0)),""),'CAT_ESTADOS_ERP'!$A$4:$A$7,0)),"Pendiente"))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J1182="","",IFERROR(INDEX('CALENDARIO'!$C$15:$C$214,MATCH(TEXT($J1182,"yyyy-mm-dd")&amp;"|"&amp;$V1182&amp;"|"&amp;$W1182,'CALENDARIO'!$G$15:$G$214,0)),IFERROR(INDEX('CALENDARIO'!$C$15:$C$214,MATCH(TEXT($J1182,"yyyy-mm-dd")&amp;"|"&amp;$V1182&amp;"|",'CALENDARIO'!$G$15:$G$214,0)),IFERROR(INDEX('CALENDARIO'!$C$15:$C$214,MATCH(TEXT($J1182,"yyyy-mm-dd")&amp;"||",'CALENDARIO'!$G$15:$G$214,0)),INDEX(patronHabil,WEEKDAY($J1182,2))))))</f>
        <v/>
      </c>
      <c r="T1182" s="3">
        <f>IF($I1182="","",IFERROR(INDEX('CAT_TIPOS_OT'!$C$4:$C$7,MATCH($I1182,'CAT_TIPOS_OT'!$A$4:$A$7,0)),"sin_clasificar"))</f>
        <v/>
      </c>
      <c r="U1182" s="3">
        <f>IF($F1182="","",IFERROR(INDEX('CAT_CENTROS_COSTO'!$F$4:$F$13,MATCH($F1182,'CAT_CENTROS_COSTO'!$A$4:$A$13,0)),"(sin catálogo)"))</f>
        <v/>
      </c>
      <c r="V1182" s="3">
        <f>IF($F1182="","",IFERROR(INDEX('CAT_CENTROS_COSTO'!$D$4:$D$13,MATCH($F1182,'CAT_CENTROS_COSTO'!$A$4:$A$13,0)),"(sin catálogo)"))</f>
        <v/>
      </c>
      <c r="W1182" s="3">
        <f>IF($F1182="","",IF((IFERROR(INDEX('CAT_CENTROS_COSTO'!$E$4:$E$13,MATCH($F1182,'CAT_CENTROS_COSTO'!$A$4:$A$13,0)),""))&lt;&gt;"",IFERROR(INDEX('CAT_CENTROS_COSTO'!$E$4:$E$13,MATCH($F1182,'CAT_CENTROS_COSTO'!$A$4:$A$13,0)),""),$V1182))</f>
        <v/>
      </c>
      <c r="X1182" s="3">
        <f>IF($F1182="","",IFERROR(INDEX('CAT_CENTROS_COSTO'!$G$4:$G$13,MATCH($F1182,'CAT_CENTROS_COSTO'!$A$4:$A$13,0)),"(sin catálogo)"))</f>
        <v/>
      </c>
      <c r="Y1182" s="3">
        <f>IF($G1182="","",IFERROR(INDEX('CAT_PUESTOS'!$B$4:$B$8,MATCH($G1182,'CAT_PUESTOS'!$A$4:$A$8,0)),"(sin catálogo)"))</f>
        <v/>
      </c>
      <c r="Z1182" s="3">
        <f>IF($H1182="","",IFERROR(INDEX('CAT_ACTIVIDADES'!$B$4:$B$8,MATCH($H1182,'CAT_ACTIVIDADES'!$A$4:$A$8,0)),"(sin catálogo)"))</f>
        <v/>
      </c>
      <c r="AA1182" s="12">
        <f>IF($J1182="","",TODAY()-$J1182)</f>
        <v/>
      </c>
      <c r="AB1182" s="12">
        <f>IF($J1182="","",IF($J1182&lt;=TODAY(),COUNTIFS(cal_fechas,"&gt;="&amp;$J1182,cal_fechas,"&lt;"&amp;TODAY(),cal_habil,"sí"),-COUNTIFS(cal_fechas,"&gt;="&amp;TODAY(),cal_fechas,"&lt;"&amp;$J1182,cal_habil,"sí")))</f>
        <v/>
      </c>
      <c r="AC1182" s="3">
        <f>IF($AB1182="","",IF($AB1182&lt;0,"FUTURO",IF($AB1182&gt;p_dias_backlog_max,"BACKLOG","MES CORRIENTE")))</f>
        <v/>
      </c>
      <c r="AD1182" s="3">
        <f>IF($AB1182="",FALSE,AND($AB1182&gt;p_dias_backlog_min,$AB1182&lt;=p_dias_backlog_max))</f>
        <v/>
      </c>
      <c r="AE1182" s="6" t="n"/>
      <c r="AF1182" s="3">
        <f>IF($AE1182="","",IF((IFERROR(INDEX('ASIGNACIONES'!$F$4:$F$339,MATCH($O1182&amp;"|"&amp;$R1182&amp;"|"&amp;$AE1182,'ASIGNACIONES'!$J$4:$J$339,0)),""))=0,"",IFERROR(INDEX('ASIGNACIONES'!$F$4:$F$339,MATCH($O1182&amp;"|"&amp;$R1182&amp;"|"&amp;$AE1182,'ASIGNACIONES'!$J$4:$J$339,0)),"")))</f>
        <v/>
      </c>
      <c r="AG1182" s="13">
        <f>IF($AE1182="","",SUMIFS('ORDENES'!$M$4:$M$1203,'ORDENES'!$AE$4:$AE$1203,$AE1182,'ORDENES'!$O$4:$O$1203,$O1182,'ORDENES'!$R$4:$R$1203,$R1182))</f>
        <v/>
      </c>
      <c r="AH1182" s="13">
        <f>IF($AG1182="","",p_factor_productividad*IFERROR(INDEX('ASIGNACIONES'!$I$4:$I$339,MATCH($O1182&amp;"|"&amp;$R1182&amp;"|"&amp;$AE1182,'ASIGNACIONES'!$J$4:$J$339,0)),0)-$AG1182)</f>
        <v/>
      </c>
      <c r="AI1182" s="10">
        <f>IF($A1182="","",IFERROR(INDEX('2_IMPORTAR_EJECUCION'!$F$9:$F$1208,MATCH($AQ1182,'2_IMPORTAR_EJECUCION'!$J$9:$J$1208,0)),0))</f>
        <v/>
      </c>
      <c r="AJ1182" s="10">
        <f>IF($A1182="","",MAX(0,IFERROR(INDEX('2_IMPORTAR_EJECUCION'!$H$9:$H$1208,MATCH($AQ1182,'2_IMPORTAR_EJECUCION'!$J$9:$J$1208,0)),0)-$AI1182))</f>
        <v/>
      </c>
      <c r="AK1182" s="10">
        <f>IF($A1182="","",$AI1182+$AJ1182)</f>
        <v/>
      </c>
      <c r="AL1182" s="6" t="n"/>
      <c r="AM1182" s="6" t="n"/>
      <c r="AN1182" s="6" t="n"/>
      <c r="AO1182" s="3">
        <f>IF($AN1182="","",HYPERLINK(p_ruta_base_checklists&amp;$AN1182,"abrir"))</f>
        <v/>
      </c>
      <c r="AP1182" s="6" t="n"/>
      <c r="AQ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IF($A1183="","",IFERROR(INDEX('AJUSTES'!$B$4:$B$303,MATCH($AQ1183,'AJUSTES'!$A$4:$A$303,0)),IF($K1183="","",$K1183)))</f>
        <v/>
      </c>
      <c r="N1183" s="3">
        <f>IF($A1183="","",IFERROR(INDEX('CAT_ESTADOS_ERP'!$B$4:$B$7,MATCH(IFERROR(INDEX('2_IMPORTAR_EJECUCION'!$C$9:$C$1208,MATCH($AQ1183,'2_IMPORTAR_EJECUCION'!$J$9:$J$1208,0)),""),'CAT_ESTADOS_ERP'!$A$4:$A$7,0)),"Pendiente"))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J1183="","",IFERROR(INDEX('CALENDARIO'!$C$15:$C$214,MATCH(TEXT($J1183,"yyyy-mm-dd")&amp;"|"&amp;$V1183&amp;"|"&amp;$W1183,'CALENDARIO'!$G$15:$G$214,0)),IFERROR(INDEX('CALENDARIO'!$C$15:$C$214,MATCH(TEXT($J1183,"yyyy-mm-dd")&amp;"|"&amp;$V1183&amp;"|",'CALENDARIO'!$G$15:$G$214,0)),IFERROR(INDEX('CALENDARIO'!$C$15:$C$214,MATCH(TEXT($J1183,"yyyy-mm-dd")&amp;"||",'CALENDARIO'!$G$15:$G$214,0)),INDEX(patronHabil,WEEKDAY($J1183,2))))))</f>
        <v/>
      </c>
      <c r="T1183" s="3">
        <f>IF($I1183="","",IFERROR(INDEX('CAT_TIPOS_OT'!$C$4:$C$7,MATCH($I1183,'CAT_TIPOS_OT'!$A$4:$A$7,0)),"sin_clasificar"))</f>
        <v/>
      </c>
      <c r="U1183" s="3">
        <f>IF($F1183="","",IFERROR(INDEX('CAT_CENTROS_COSTO'!$F$4:$F$13,MATCH($F1183,'CAT_CENTROS_COSTO'!$A$4:$A$13,0)),"(sin catálogo)"))</f>
        <v/>
      </c>
      <c r="V1183" s="3">
        <f>IF($F1183="","",IFERROR(INDEX('CAT_CENTROS_COSTO'!$D$4:$D$13,MATCH($F1183,'CAT_CENTROS_COSTO'!$A$4:$A$13,0)),"(sin catálogo)"))</f>
        <v/>
      </c>
      <c r="W1183" s="3">
        <f>IF($F1183="","",IF((IFERROR(INDEX('CAT_CENTROS_COSTO'!$E$4:$E$13,MATCH($F1183,'CAT_CENTROS_COSTO'!$A$4:$A$13,0)),""))&lt;&gt;"",IFERROR(INDEX('CAT_CENTROS_COSTO'!$E$4:$E$13,MATCH($F1183,'CAT_CENTROS_COSTO'!$A$4:$A$13,0)),""),$V1183))</f>
        <v/>
      </c>
      <c r="X1183" s="3">
        <f>IF($F1183="","",IFERROR(INDEX('CAT_CENTROS_COSTO'!$G$4:$G$13,MATCH($F1183,'CAT_CENTROS_COSTO'!$A$4:$A$13,0)),"(sin catálogo)"))</f>
        <v/>
      </c>
      <c r="Y1183" s="3">
        <f>IF($G1183="","",IFERROR(INDEX('CAT_PUESTOS'!$B$4:$B$8,MATCH($G1183,'CAT_PUESTOS'!$A$4:$A$8,0)),"(sin catálogo)"))</f>
        <v/>
      </c>
      <c r="Z1183" s="3">
        <f>IF($H1183="","",IFERROR(INDEX('CAT_ACTIVIDADES'!$B$4:$B$8,MATCH($H1183,'CAT_ACTIVIDADES'!$A$4:$A$8,0)),"(sin catálogo)"))</f>
        <v/>
      </c>
      <c r="AA1183" s="12">
        <f>IF($J1183="","",TODAY()-$J1183)</f>
        <v/>
      </c>
      <c r="AB1183" s="12">
        <f>IF($J1183="","",IF($J1183&lt;=TODAY(),COUNTIFS(cal_fechas,"&gt;="&amp;$J1183,cal_fechas,"&lt;"&amp;TODAY(),cal_habil,"sí"),-COUNTIFS(cal_fechas,"&gt;="&amp;TODAY(),cal_fechas,"&lt;"&amp;$J1183,cal_habil,"sí")))</f>
        <v/>
      </c>
      <c r="AC1183" s="3">
        <f>IF($AB1183="","",IF($AB1183&lt;0,"FUTURO",IF($AB1183&gt;p_dias_backlog_max,"BACKLOG","MES CORRIENTE")))</f>
        <v/>
      </c>
      <c r="AD1183" s="3">
        <f>IF($AB1183="",FALSE,AND($AB1183&gt;p_dias_backlog_min,$AB1183&lt;=p_dias_backlog_max))</f>
        <v/>
      </c>
      <c r="AE1183" s="6" t="n"/>
      <c r="AF1183" s="3">
        <f>IF($AE1183="","",IF((IFERROR(INDEX('ASIGNACIONES'!$F$4:$F$339,MATCH($O1183&amp;"|"&amp;$R1183&amp;"|"&amp;$AE1183,'ASIGNACIONES'!$J$4:$J$339,0)),""))=0,"",IFERROR(INDEX('ASIGNACIONES'!$F$4:$F$339,MATCH($O1183&amp;"|"&amp;$R1183&amp;"|"&amp;$AE1183,'ASIGNACIONES'!$J$4:$J$339,0)),"")))</f>
        <v/>
      </c>
      <c r="AG1183" s="13">
        <f>IF($AE1183="","",SUMIFS('ORDENES'!$M$4:$M$1203,'ORDENES'!$AE$4:$AE$1203,$AE1183,'ORDENES'!$O$4:$O$1203,$O1183,'ORDENES'!$R$4:$R$1203,$R1183))</f>
        <v/>
      </c>
      <c r="AH1183" s="13">
        <f>IF($AG1183="","",p_factor_productividad*IFERROR(INDEX('ASIGNACIONES'!$I$4:$I$339,MATCH($O1183&amp;"|"&amp;$R1183&amp;"|"&amp;$AE1183,'ASIGNACIONES'!$J$4:$J$339,0)),0)-$AG1183)</f>
        <v/>
      </c>
      <c r="AI1183" s="10">
        <f>IF($A1183="","",IFERROR(INDEX('2_IMPORTAR_EJECUCION'!$F$9:$F$1208,MATCH($AQ1183,'2_IMPORTAR_EJECUCION'!$J$9:$J$1208,0)),0))</f>
        <v/>
      </c>
      <c r="AJ1183" s="10">
        <f>IF($A1183="","",MAX(0,IFERROR(INDEX('2_IMPORTAR_EJECUCION'!$H$9:$H$1208,MATCH($AQ1183,'2_IMPORTAR_EJECUCION'!$J$9:$J$1208,0)),0)-$AI1183))</f>
        <v/>
      </c>
      <c r="AK1183" s="10">
        <f>IF($A1183="","",$AI1183+$AJ1183)</f>
        <v/>
      </c>
      <c r="AL1183" s="6" t="n"/>
      <c r="AM1183" s="6" t="n"/>
      <c r="AN1183" s="6" t="n"/>
      <c r="AO1183" s="3">
        <f>IF($AN1183="","",HYPERLINK(p_ruta_base_checklists&amp;$AN1183,"abrir"))</f>
        <v/>
      </c>
      <c r="AP1183" s="6" t="n"/>
      <c r="AQ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IF($A1184="","",IFERROR(INDEX('AJUSTES'!$B$4:$B$303,MATCH($AQ1184,'AJUSTES'!$A$4:$A$303,0)),IF($K1184="","",$K1184)))</f>
        <v/>
      </c>
      <c r="N1184" s="3">
        <f>IF($A1184="","",IFERROR(INDEX('CAT_ESTADOS_ERP'!$B$4:$B$7,MATCH(IFERROR(INDEX('2_IMPORTAR_EJECUCION'!$C$9:$C$1208,MATCH($AQ1184,'2_IMPORTAR_EJECUCION'!$J$9:$J$1208,0)),""),'CAT_ESTADOS_ERP'!$A$4:$A$7,0)),"Pendiente"))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J1184="","",IFERROR(INDEX('CALENDARIO'!$C$15:$C$214,MATCH(TEXT($J1184,"yyyy-mm-dd")&amp;"|"&amp;$V1184&amp;"|"&amp;$W1184,'CALENDARIO'!$G$15:$G$214,0)),IFERROR(INDEX('CALENDARIO'!$C$15:$C$214,MATCH(TEXT($J1184,"yyyy-mm-dd")&amp;"|"&amp;$V1184&amp;"|",'CALENDARIO'!$G$15:$G$214,0)),IFERROR(INDEX('CALENDARIO'!$C$15:$C$214,MATCH(TEXT($J1184,"yyyy-mm-dd")&amp;"||",'CALENDARIO'!$G$15:$G$214,0)),INDEX(patronHabil,WEEKDAY($J1184,2))))))</f>
        <v/>
      </c>
      <c r="T1184" s="3">
        <f>IF($I1184="","",IFERROR(INDEX('CAT_TIPOS_OT'!$C$4:$C$7,MATCH($I1184,'CAT_TIPOS_OT'!$A$4:$A$7,0)),"sin_clasificar"))</f>
        <v/>
      </c>
      <c r="U1184" s="3">
        <f>IF($F1184="","",IFERROR(INDEX('CAT_CENTROS_COSTO'!$F$4:$F$13,MATCH($F1184,'CAT_CENTROS_COSTO'!$A$4:$A$13,0)),"(sin catálogo)"))</f>
        <v/>
      </c>
      <c r="V1184" s="3">
        <f>IF($F1184="","",IFERROR(INDEX('CAT_CENTROS_COSTO'!$D$4:$D$13,MATCH($F1184,'CAT_CENTROS_COSTO'!$A$4:$A$13,0)),"(sin catálogo)"))</f>
        <v/>
      </c>
      <c r="W1184" s="3">
        <f>IF($F1184="","",IF((IFERROR(INDEX('CAT_CENTROS_COSTO'!$E$4:$E$13,MATCH($F1184,'CAT_CENTROS_COSTO'!$A$4:$A$13,0)),""))&lt;&gt;"",IFERROR(INDEX('CAT_CENTROS_COSTO'!$E$4:$E$13,MATCH($F1184,'CAT_CENTROS_COSTO'!$A$4:$A$13,0)),""),$V1184))</f>
        <v/>
      </c>
      <c r="X1184" s="3">
        <f>IF($F1184="","",IFERROR(INDEX('CAT_CENTROS_COSTO'!$G$4:$G$13,MATCH($F1184,'CAT_CENTROS_COSTO'!$A$4:$A$13,0)),"(sin catálogo)"))</f>
        <v/>
      </c>
      <c r="Y1184" s="3">
        <f>IF($G1184="","",IFERROR(INDEX('CAT_PUESTOS'!$B$4:$B$8,MATCH($G1184,'CAT_PUESTOS'!$A$4:$A$8,0)),"(sin catálogo)"))</f>
        <v/>
      </c>
      <c r="Z1184" s="3">
        <f>IF($H1184="","",IFERROR(INDEX('CAT_ACTIVIDADES'!$B$4:$B$8,MATCH($H1184,'CAT_ACTIVIDADES'!$A$4:$A$8,0)),"(sin catálogo)"))</f>
        <v/>
      </c>
      <c r="AA1184" s="12">
        <f>IF($J1184="","",TODAY()-$J1184)</f>
        <v/>
      </c>
      <c r="AB1184" s="12">
        <f>IF($J1184="","",IF($J1184&lt;=TODAY(),COUNTIFS(cal_fechas,"&gt;="&amp;$J1184,cal_fechas,"&lt;"&amp;TODAY(),cal_habil,"sí"),-COUNTIFS(cal_fechas,"&gt;="&amp;TODAY(),cal_fechas,"&lt;"&amp;$J1184,cal_habil,"sí")))</f>
        <v/>
      </c>
      <c r="AC1184" s="3">
        <f>IF($AB1184="","",IF($AB1184&lt;0,"FUTURO",IF($AB1184&gt;p_dias_backlog_max,"BACKLOG","MES CORRIENTE")))</f>
        <v/>
      </c>
      <c r="AD1184" s="3">
        <f>IF($AB1184="",FALSE,AND($AB1184&gt;p_dias_backlog_min,$AB1184&lt;=p_dias_backlog_max))</f>
        <v/>
      </c>
      <c r="AE1184" s="6" t="n"/>
      <c r="AF1184" s="3">
        <f>IF($AE1184="","",IF((IFERROR(INDEX('ASIGNACIONES'!$F$4:$F$339,MATCH($O1184&amp;"|"&amp;$R1184&amp;"|"&amp;$AE1184,'ASIGNACIONES'!$J$4:$J$339,0)),""))=0,"",IFERROR(INDEX('ASIGNACIONES'!$F$4:$F$339,MATCH($O1184&amp;"|"&amp;$R1184&amp;"|"&amp;$AE1184,'ASIGNACIONES'!$J$4:$J$339,0)),"")))</f>
        <v/>
      </c>
      <c r="AG1184" s="13">
        <f>IF($AE1184="","",SUMIFS('ORDENES'!$M$4:$M$1203,'ORDENES'!$AE$4:$AE$1203,$AE1184,'ORDENES'!$O$4:$O$1203,$O1184,'ORDENES'!$R$4:$R$1203,$R1184))</f>
        <v/>
      </c>
      <c r="AH1184" s="13">
        <f>IF($AG1184="","",p_factor_productividad*IFERROR(INDEX('ASIGNACIONES'!$I$4:$I$339,MATCH($O1184&amp;"|"&amp;$R1184&amp;"|"&amp;$AE1184,'ASIGNACIONES'!$J$4:$J$339,0)),0)-$AG1184)</f>
        <v/>
      </c>
      <c r="AI1184" s="10">
        <f>IF($A1184="","",IFERROR(INDEX('2_IMPORTAR_EJECUCION'!$F$9:$F$1208,MATCH($AQ1184,'2_IMPORTAR_EJECUCION'!$J$9:$J$1208,0)),0))</f>
        <v/>
      </c>
      <c r="AJ1184" s="10">
        <f>IF($A1184="","",MAX(0,IFERROR(INDEX('2_IMPORTAR_EJECUCION'!$H$9:$H$1208,MATCH($AQ1184,'2_IMPORTAR_EJECUCION'!$J$9:$J$1208,0)),0)-$AI1184))</f>
        <v/>
      </c>
      <c r="AK1184" s="10">
        <f>IF($A1184="","",$AI1184+$AJ1184)</f>
        <v/>
      </c>
      <c r="AL1184" s="6" t="n"/>
      <c r="AM1184" s="6" t="n"/>
      <c r="AN1184" s="6" t="n"/>
      <c r="AO1184" s="3">
        <f>IF($AN1184="","",HYPERLINK(p_ruta_base_checklists&amp;$AN1184,"abrir"))</f>
        <v/>
      </c>
      <c r="AP1184" s="6" t="n"/>
      <c r="AQ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IF($A1185="","",IFERROR(INDEX('AJUSTES'!$B$4:$B$303,MATCH($AQ1185,'AJUSTES'!$A$4:$A$303,0)),IF($K1185="","",$K1185)))</f>
        <v/>
      </c>
      <c r="N1185" s="3">
        <f>IF($A1185="","",IFERROR(INDEX('CAT_ESTADOS_ERP'!$B$4:$B$7,MATCH(IFERROR(INDEX('2_IMPORTAR_EJECUCION'!$C$9:$C$1208,MATCH($AQ1185,'2_IMPORTAR_EJECUCION'!$J$9:$J$1208,0)),""),'CAT_ESTADOS_ERP'!$A$4:$A$7,0)),"Pendiente"))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J1185="","",IFERROR(INDEX('CALENDARIO'!$C$15:$C$214,MATCH(TEXT($J1185,"yyyy-mm-dd")&amp;"|"&amp;$V1185&amp;"|"&amp;$W1185,'CALENDARIO'!$G$15:$G$214,0)),IFERROR(INDEX('CALENDARIO'!$C$15:$C$214,MATCH(TEXT($J1185,"yyyy-mm-dd")&amp;"|"&amp;$V1185&amp;"|",'CALENDARIO'!$G$15:$G$214,0)),IFERROR(INDEX('CALENDARIO'!$C$15:$C$214,MATCH(TEXT($J1185,"yyyy-mm-dd")&amp;"||",'CALENDARIO'!$G$15:$G$214,0)),INDEX(patronHabil,WEEKDAY($J1185,2))))))</f>
        <v/>
      </c>
      <c r="T1185" s="3">
        <f>IF($I1185="","",IFERROR(INDEX('CAT_TIPOS_OT'!$C$4:$C$7,MATCH($I1185,'CAT_TIPOS_OT'!$A$4:$A$7,0)),"sin_clasificar"))</f>
        <v/>
      </c>
      <c r="U1185" s="3">
        <f>IF($F1185="","",IFERROR(INDEX('CAT_CENTROS_COSTO'!$F$4:$F$13,MATCH($F1185,'CAT_CENTROS_COSTO'!$A$4:$A$13,0)),"(sin catálogo)"))</f>
        <v/>
      </c>
      <c r="V1185" s="3">
        <f>IF($F1185="","",IFERROR(INDEX('CAT_CENTROS_COSTO'!$D$4:$D$13,MATCH($F1185,'CAT_CENTROS_COSTO'!$A$4:$A$13,0)),"(sin catálogo)"))</f>
        <v/>
      </c>
      <c r="W1185" s="3">
        <f>IF($F1185="","",IF((IFERROR(INDEX('CAT_CENTROS_COSTO'!$E$4:$E$13,MATCH($F1185,'CAT_CENTROS_COSTO'!$A$4:$A$13,0)),""))&lt;&gt;"",IFERROR(INDEX('CAT_CENTROS_COSTO'!$E$4:$E$13,MATCH($F1185,'CAT_CENTROS_COSTO'!$A$4:$A$13,0)),""),$V1185))</f>
        <v/>
      </c>
      <c r="X1185" s="3">
        <f>IF($F1185="","",IFERROR(INDEX('CAT_CENTROS_COSTO'!$G$4:$G$13,MATCH($F1185,'CAT_CENTROS_COSTO'!$A$4:$A$13,0)),"(sin catálogo)"))</f>
        <v/>
      </c>
      <c r="Y1185" s="3">
        <f>IF($G1185="","",IFERROR(INDEX('CAT_PUESTOS'!$B$4:$B$8,MATCH($G1185,'CAT_PUESTOS'!$A$4:$A$8,0)),"(sin catálogo)"))</f>
        <v/>
      </c>
      <c r="Z1185" s="3">
        <f>IF($H1185="","",IFERROR(INDEX('CAT_ACTIVIDADES'!$B$4:$B$8,MATCH($H1185,'CAT_ACTIVIDADES'!$A$4:$A$8,0)),"(sin catálogo)"))</f>
        <v/>
      </c>
      <c r="AA1185" s="12">
        <f>IF($J1185="","",TODAY()-$J1185)</f>
        <v/>
      </c>
      <c r="AB1185" s="12">
        <f>IF($J1185="","",IF($J1185&lt;=TODAY(),COUNTIFS(cal_fechas,"&gt;="&amp;$J1185,cal_fechas,"&lt;"&amp;TODAY(),cal_habil,"sí"),-COUNTIFS(cal_fechas,"&gt;="&amp;TODAY(),cal_fechas,"&lt;"&amp;$J1185,cal_habil,"sí")))</f>
        <v/>
      </c>
      <c r="AC1185" s="3">
        <f>IF($AB1185="","",IF($AB1185&lt;0,"FUTURO",IF($AB1185&gt;p_dias_backlog_max,"BACKLOG","MES CORRIENTE")))</f>
        <v/>
      </c>
      <c r="AD1185" s="3">
        <f>IF($AB1185="",FALSE,AND($AB1185&gt;p_dias_backlog_min,$AB1185&lt;=p_dias_backlog_max))</f>
        <v/>
      </c>
      <c r="AE1185" s="6" t="n"/>
      <c r="AF1185" s="3">
        <f>IF($AE1185="","",IF((IFERROR(INDEX('ASIGNACIONES'!$F$4:$F$339,MATCH($O1185&amp;"|"&amp;$R1185&amp;"|"&amp;$AE1185,'ASIGNACIONES'!$J$4:$J$339,0)),""))=0,"",IFERROR(INDEX('ASIGNACIONES'!$F$4:$F$339,MATCH($O1185&amp;"|"&amp;$R1185&amp;"|"&amp;$AE1185,'ASIGNACIONES'!$J$4:$J$339,0)),"")))</f>
        <v/>
      </c>
      <c r="AG1185" s="13">
        <f>IF($AE1185="","",SUMIFS('ORDENES'!$M$4:$M$1203,'ORDENES'!$AE$4:$AE$1203,$AE1185,'ORDENES'!$O$4:$O$1203,$O1185,'ORDENES'!$R$4:$R$1203,$R1185))</f>
        <v/>
      </c>
      <c r="AH1185" s="13">
        <f>IF($AG1185="","",p_factor_productividad*IFERROR(INDEX('ASIGNACIONES'!$I$4:$I$339,MATCH($O1185&amp;"|"&amp;$R1185&amp;"|"&amp;$AE1185,'ASIGNACIONES'!$J$4:$J$339,0)),0)-$AG1185)</f>
        <v/>
      </c>
      <c r="AI1185" s="10">
        <f>IF($A1185="","",IFERROR(INDEX('2_IMPORTAR_EJECUCION'!$F$9:$F$1208,MATCH($AQ1185,'2_IMPORTAR_EJECUCION'!$J$9:$J$1208,0)),0))</f>
        <v/>
      </c>
      <c r="AJ1185" s="10">
        <f>IF($A1185="","",MAX(0,IFERROR(INDEX('2_IMPORTAR_EJECUCION'!$H$9:$H$1208,MATCH($AQ1185,'2_IMPORTAR_EJECUCION'!$J$9:$J$1208,0)),0)-$AI1185))</f>
        <v/>
      </c>
      <c r="AK1185" s="10">
        <f>IF($A1185="","",$AI1185+$AJ1185)</f>
        <v/>
      </c>
      <c r="AL1185" s="6" t="n"/>
      <c r="AM1185" s="6" t="n"/>
      <c r="AN1185" s="6" t="n"/>
      <c r="AO1185" s="3">
        <f>IF($AN1185="","",HYPERLINK(p_ruta_base_checklists&amp;$AN1185,"abrir"))</f>
        <v/>
      </c>
      <c r="AP1185" s="6" t="n"/>
      <c r="AQ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IF($A1186="","",IFERROR(INDEX('AJUSTES'!$B$4:$B$303,MATCH($AQ1186,'AJUSTES'!$A$4:$A$303,0)),IF($K1186="","",$K1186)))</f>
        <v/>
      </c>
      <c r="N1186" s="3">
        <f>IF($A1186="","",IFERROR(INDEX('CAT_ESTADOS_ERP'!$B$4:$B$7,MATCH(IFERROR(INDEX('2_IMPORTAR_EJECUCION'!$C$9:$C$1208,MATCH($AQ1186,'2_IMPORTAR_EJECUCION'!$J$9:$J$1208,0)),""),'CAT_ESTADOS_ERP'!$A$4:$A$7,0)),"Pendiente"))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J1186="","",IFERROR(INDEX('CALENDARIO'!$C$15:$C$214,MATCH(TEXT($J1186,"yyyy-mm-dd")&amp;"|"&amp;$V1186&amp;"|"&amp;$W1186,'CALENDARIO'!$G$15:$G$214,0)),IFERROR(INDEX('CALENDARIO'!$C$15:$C$214,MATCH(TEXT($J1186,"yyyy-mm-dd")&amp;"|"&amp;$V1186&amp;"|",'CALENDARIO'!$G$15:$G$214,0)),IFERROR(INDEX('CALENDARIO'!$C$15:$C$214,MATCH(TEXT($J1186,"yyyy-mm-dd")&amp;"||",'CALENDARIO'!$G$15:$G$214,0)),INDEX(patronHabil,WEEKDAY($J1186,2))))))</f>
        <v/>
      </c>
      <c r="T1186" s="3">
        <f>IF($I1186="","",IFERROR(INDEX('CAT_TIPOS_OT'!$C$4:$C$7,MATCH($I1186,'CAT_TIPOS_OT'!$A$4:$A$7,0)),"sin_clasificar"))</f>
        <v/>
      </c>
      <c r="U1186" s="3">
        <f>IF($F1186="","",IFERROR(INDEX('CAT_CENTROS_COSTO'!$F$4:$F$13,MATCH($F1186,'CAT_CENTROS_COSTO'!$A$4:$A$13,0)),"(sin catálogo)"))</f>
        <v/>
      </c>
      <c r="V1186" s="3">
        <f>IF($F1186="","",IFERROR(INDEX('CAT_CENTROS_COSTO'!$D$4:$D$13,MATCH($F1186,'CAT_CENTROS_COSTO'!$A$4:$A$13,0)),"(sin catálogo)"))</f>
        <v/>
      </c>
      <c r="W1186" s="3">
        <f>IF($F1186="","",IF((IFERROR(INDEX('CAT_CENTROS_COSTO'!$E$4:$E$13,MATCH($F1186,'CAT_CENTROS_COSTO'!$A$4:$A$13,0)),""))&lt;&gt;"",IFERROR(INDEX('CAT_CENTROS_COSTO'!$E$4:$E$13,MATCH($F1186,'CAT_CENTROS_COSTO'!$A$4:$A$13,0)),""),$V1186))</f>
        <v/>
      </c>
      <c r="X1186" s="3">
        <f>IF($F1186="","",IFERROR(INDEX('CAT_CENTROS_COSTO'!$G$4:$G$13,MATCH($F1186,'CAT_CENTROS_COSTO'!$A$4:$A$13,0)),"(sin catálogo)"))</f>
        <v/>
      </c>
      <c r="Y1186" s="3">
        <f>IF($G1186="","",IFERROR(INDEX('CAT_PUESTOS'!$B$4:$B$8,MATCH($G1186,'CAT_PUESTOS'!$A$4:$A$8,0)),"(sin catálogo)"))</f>
        <v/>
      </c>
      <c r="Z1186" s="3">
        <f>IF($H1186="","",IFERROR(INDEX('CAT_ACTIVIDADES'!$B$4:$B$8,MATCH($H1186,'CAT_ACTIVIDADES'!$A$4:$A$8,0)),"(sin catálogo)"))</f>
        <v/>
      </c>
      <c r="AA1186" s="12">
        <f>IF($J1186="","",TODAY()-$J1186)</f>
        <v/>
      </c>
      <c r="AB1186" s="12">
        <f>IF($J1186="","",IF($J1186&lt;=TODAY(),COUNTIFS(cal_fechas,"&gt;="&amp;$J1186,cal_fechas,"&lt;"&amp;TODAY(),cal_habil,"sí"),-COUNTIFS(cal_fechas,"&gt;="&amp;TODAY(),cal_fechas,"&lt;"&amp;$J1186,cal_habil,"sí")))</f>
        <v/>
      </c>
      <c r="AC1186" s="3">
        <f>IF($AB1186="","",IF($AB1186&lt;0,"FUTURO",IF($AB1186&gt;p_dias_backlog_max,"BACKLOG","MES CORRIENTE")))</f>
        <v/>
      </c>
      <c r="AD1186" s="3">
        <f>IF($AB1186="",FALSE,AND($AB1186&gt;p_dias_backlog_min,$AB1186&lt;=p_dias_backlog_max))</f>
        <v/>
      </c>
      <c r="AE1186" s="6" t="n"/>
      <c r="AF1186" s="3">
        <f>IF($AE1186="","",IF((IFERROR(INDEX('ASIGNACIONES'!$F$4:$F$339,MATCH($O1186&amp;"|"&amp;$R1186&amp;"|"&amp;$AE1186,'ASIGNACIONES'!$J$4:$J$339,0)),""))=0,"",IFERROR(INDEX('ASIGNACIONES'!$F$4:$F$339,MATCH($O1186&amp;"|"&amp;$R1186&amp;"|"&amp;$AE1186,'ASIGNACIONES'!$J$4:$J$339,0)),"")))</f>
        <v/>
      </c>
      <c r="AG1186" s="13">
        <f>IF($AE1186="","",SUMIFS('ORDENES'!$M$4:$M$1203,'ORDENES'!$AE$4:$AE$1203,$AE1186,'ORDENES'!$O$4:$O$1203,$O1186,'ORDENES'!$R$4:$R$1203,$R1186))</f>
        <v/>
      </c>
      <c r="AH1186" s="13">
        <f>IF($AG1186="","",p_factor_productividad*IFERROR(INDEX('ASIGNACIONES'!$I$4:$I$339,MATCH($O1186&amp;"|"&amp;$R1186&amp;"|"&amp;$AE1186,'ASIGNACIONES'!$J$4:$J$339,0)),0)-$AG1186)</f>
        <v/>
      </c>
      <c r="AI1186" s="10">
        <f>IF($A1186="","",IFERROR(INDEX('2_IMPORTAR_EJECUCION'!$F$9:$F$1208,MATCH($AQ1186,'2_IMPORTAR_EJECUCION'!$J$9:$J$1208,0)),0))</f>
        <v/>
      </c>
      <c r="AJ1186" s="10">
        <f>IF($A1186="","",MAX(0,IFERROR(INDEX('2_IMPORTAR_EJECUCION'!$H$9:$H$1208,MATCH($AQ1186,'2_IMPORTAR_EJECUCION'!$J$9:$J$1208,0)),0)-$AI1186))</f>
        <v/>
      </c>
      <c r="AK1186" s="10">
        <f>IF($A1186="","",$AI1186+$AJ1186)</f>
        <v/>
      </c>
      <c r="AL1186" s="6" t="n"/>
      <c r="AM1186" s="6" t="n"/>
      <c r="AN1186" s="6" t="n"/>
      <c r="AO1186" s="3">
        <f>IF($AN1186="","",HYPERLINK(p_ruta_base_checklists&amp;$AN1186,"abrir"))</f>
        <v/>
      </c>
      <c r="AP1186" s="6" t="n"/>
      <c r="AQ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IF($A1187="","",IFERROR(INDEX('AJUSTES'!$B$4:$B$303,MATCH($AQ1187,'AJUSTES'!$A$4:$A$303,0)),IF($K1187="","",$K1187)))</f>
        <v/>
      </c>
      <c r="N1187" s="3">
        <f>IF($A1187="","",IFERROR(INDEX('CAT_ESTADOS_ERP'!$B$4:$B$7,MATCH(IFERROR(INDEX('2_IMPORTAR_EJECUCION'!$C$9:$C$1208,MATCH($AQ1187,'2_IMPORTAR_EJECUCION'!$J$9:$J$1208,0)),""),'CAT_ESTADOS_ERP'!$A$4:$A$7,0)),"Pendiente"))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J1187="","",IFERROR(INDEX('CALENDARIO'!$C$15:$C$214,MATCH(TEXT($J1187,"yyyy-mm-dd")&amp;"|"&amp;$V1187&amp;"|"&amp;$W1187,'CALENDARIO'!$G$15:$G$214,0)),IFERROR(INDEX('CALENDARIO'!$C$15:$C$214,MATCH(TEXT($J1187,"yyyy-mm-dd")&amp;"|"&amp;$V1187&amp;"|",'CALENDARIO'!$G$15:$G$214,0)),IFERROR(INDEX('CALENDARIO'!$C$15:$C$214,MATCH(TEXT($J1187,"yyyy-mm-dd")&amp;"||",'CALENDARIO'!$G$15:$G$214,0)),INDEX(patronHabil,WEEKDAY($J1187,2))))))</f>
        <v/>
      </c>
      <c r="T1187" s="3">
        <f>IF($I1187="","",IFERROR(INDEX('CAT_TIPOS_OT'!$C$4:$C$7,MATCH($I1187,'CAT_TIPOS_OT'!$A$4:$A$7,0)),"sin_clasificar"))</f>
        <v/>
      </c>
      <c r="U1187" s="3">
        <f>IF($F1187="","",IFERROR(INDEX('CAT_CENTROS_COSTO'!$F$4:$F$13,MATCH($F1187,'CAT_CENTROS_COSTO'!$A$4:$A$13,0)),"(sin catálogo)"))</f>
        <v/>
      </c>
      <c r="V1187" s="3">
        <f>IF($F1187="","",IFERROR(INDEX('CAT_CENTROS_COSTO'!$D$4:$D$13,MATCH($F1187,'CAT_CENTROS_COSTO'!$A$4:$A$13,0)),"(sin catálogo)"))</f>
        <v/>
      </c>
      <c r="W1187" s="3">
        <f>IF($F1187="","",IF((IFERROR(INDEX('CAT_CENTROS_COSTO'!$E$4:$E$13,MATCH($F1187,'CAT_CENTROS_COSTO'!$A$4:$A$13,0)),""))&lt;&gt;"",IFERROR(INDEX('CAT_CENTROS_COSTO'!$E$4:$E$13,MATCH($F1187,'CAT_CENTROS_COSTO'!$A$4:$A$13,0)),""),$V1187))</f>
        <v/>
      </c>
      <c r="X1187" s="3">
        <f>IF($F1187="","",IFERROR(INDEX('CAT_CENTROS_COSTO'!$G$4:$G$13,MATCH($F1187,'CAT_CENTROS_COSTO'!$A$4:$A$13,0)),"(sin catálogo)"))</f>
        <v/>
      </c>
      <c r="Y1187" s="3">
        <f>IF($G1187="","",IFERROR(INDEX('CAT_PUESTOS'!$B$4:$B$8,MATCH($G1187,'CAT_PUESTOS'!$A$4:$A$8,0)),"(sin catálogo)"))</f>
        <v/>
      </c>
      <c r="Z1187" s="3">
        <f>IF($H1187="","",IFERROR(INDEX('CAT_ACTIVIDADES'!$B$4:$B$8,MATCH($H1187,'CAT_ACTIVIDADES'!$A$4:$A$8,0)),"(sin catálogo)"))</f>
        <v/>
      </c>
      <c r="AA1187" s="12">
        <f>IF($J1187="","",TODAY()-$J1187)</f>
        <v/>
      </c>
      <c r="AB1187" s="12">
        <f>IF($J1187="","",IF($J1187&lt;=TODAY(),COUNTIFS(cal_fechas,"&gt;="&amp;$J1187,cal_fechas,"&lt;"&amp;TODAY(),cal_habil,"sí"),-COUNTIFS(cal_fechas,"&gt;="&amp;TODAY(),cal_fechas,"&lt;"&amp;$J1187,cal_habil,"sí")))</f>
        <v/>
      </c>
      <c r="AC1187" s="3">
        <f>IF($AB1187="","",IF($AB1187&lt;0,"FUTURO",IF($AB1187&gt;p_dias_backlog_max,"BACKLOG","MES CORRIENTE")))</f>
        <v/>
      </c>
      <c r="AD1187" s="3">
        <f>IF($AB1187="",FALSE,AND($AB1187&gt;p_dias_backlog_min,$AB1187&lt;=p_dias_backlog_max))</f>
        <v/>
      </c>
      <c r="AE1187" s="6" t="n"/>
      <c r="AF1187" s="3">
        <f>IF($AE1187="","",IF((IFERROR(INDEX('ASIGNACIONES'!$F$4:$F$339,MATCH($O1187&amp;"|"&amp;$R1187&amp;"|"&amp;$AE1187,'ASIGNACIONES'!$J$4:$J$339,0)),""))=0,"",IFERROR(INDEX('ASIGNACIONES'!$F$4:$F$339,MATCH($O1187&amp;"|"&amp;$R1187&amp;"|"&amp;$AE1187,'ASIGNACIONES'!$J$4:$J$339,0)),"")))</f>
        <v/>
      </c>
      <c r="AG1187" s="13">
        <f>IF($AE1187="","",SUMIFS('ORDENES'!$M$4:$M$1203,'ORDENES'!$AE$4:$AE$1203,$AE1187,'ORDENES'!$O$4:$O$1203,$O1187,'ORDENES'!$R$4:$R$1203,$R1187))</f>
        <v/>
      </c>
      <c r="AH1187" s="13">
        <f>IF($AG1187="","",p_factor_productividad*IFERROR(INDEX('ASIGNACIONES'!$I$4:$I$339,MATCH($O1187&amp;"|"&amp;$R1187&amp;"|"&amp;$AE1187,'ASIGNACIONES'!$J$4:$J$339,0)),0)-$AG1187)</f>
        <v/>
      </c>
      <c r="AI1187" s="10">
        <f>IF($A1187="","",IFERROR(INDEX('2_IMPORTAR_EJECUCION'!$F$9:$F$1208,MATCH($AQ1187,'2_IMPORTAR_EJECUCION'!$J$9:$J$1208,0)),0))</f>
        <v/>
      </c>
      <c r="AJ1187" s="10">
        <f>IF($A1187="","",MAX(0,IFERROR(INDEX('2_IMPORTAR_EJECUCION'!$H$9:$H$1208,MATCH($AQ1187,'2_IMPORTAR_EJECUCION'!$J$9:$J$1208,0)),0)-$AI1187))</f>
        <v/>
      </c>
      <c r="AK1187" s="10">
        <f>IF($A1187="","",$AI1187+$AJ1187)</f>
        <v/>
      </c>
      <c r="AL1187" s="6" t="n"/>
      <c r="AM1187" s="6" t="n"/>
      <c r="AN1187" s="6" t="n"/>
      <c r="AO1187" s="3">
        <f>IF($AN1187="","",HYPERLINK(p_ruta_base_checklists&amp;$AN1187,"abrir"))</f>
        <v/>
      </c>
      <c r="AP1187" s="6" t="n"/>
      <c r="AQ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IF($A1188="","",IFERROR(INDEX('AJUSTES'!$B$4:$B$303,MATCH($AQ1188,'AJUSTES'!$A$4:$A$303,0)),IF($K1188="","",$K1188)))</f>
        <v/>
      </c>
      <c r="N1188" s="3">
        <f>IF($A1188="","",IFERROR(INDEX('CAT_ESTADOS_ERP'!$B$4:$B$7,MATCH(IFERROR(INDEX('2_IMPORTAR_EJECUCION'!$C$9:$C$1208,MATCH($AQ1188,'2_IMPORTAR_EJECUCION'!$J$9:$J$1208,0)),""),'CAT_ESTADOS_ERP'!$A$4:$A$7,0)),"Pendiente"))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J1188="","",IFERROR(INDEX('CALENDARIO'!$C$15:$C$214,MATCH(TEXT($J1188,"yyyy-mm-dd")&amp;"|"&amp;$V1188&amp;"|"&amp;$W1188,'CALENDARIO'!$G$15:$G$214,0)),IFERROR(INDEX('CALENDARIO'!$C$15:$C$214,MATCH(TEXT($J1188,"yyyy-mm-dd")&amp;"|"&amp;$V1188&amp;"|",'CALENDARIO'!$G$15:$G$214,0)),IFERROR(INDEX('CALENDARIO'!$C$15:$C$214,MATCH(TEXT($J1188,"yyyy-mm-dd")&amp;"||",'CALENDARIO'!$G$15:$G$214,0)),INDEX(patronHabil,WEEKDAY($J1188,2))))))</f>
        <v/>
      </c>
      <c r="T1188" s="3">
        <f>IF($I1188="","",IFERROR(INDEX('CAT_TIPOS_OT'!$C$4:$C$7,MATCH($I1188,'CAT_TIPOS_OT'!$A$4:$A$7,0)),"sin_clasificar"))</f>
        <v/>
      </c>
      <c r="U1188" s="3">
        <f>IF($F1188="","",IFERROR(INDEX('CAT_CENTROS_COSTO'!$F$4:$F$13,MATCH($F1188,'CAT_CENTROS_COSTO'!$A$4:$A$13,0)),"(sin catálogo)"))</f>
        <v/>
      </c>
      <c r="V1188" s="3">
        <f>IF($F1188="","",IFERROR(INDEX('CAT_CENTROS_COSTO'!$D$4:$D$13,MATCH($F1188,'CAT_CENTROS_COSTO'!$A$4:$A$13,0)),"(sin catálogo)"))</f>
        <v/>
      </c>
      <c r="W1188" s="3">
        <f>IF($F1188="","",IF((IFERROR(INDEX('CAT_CENTROS_COSTO'!$E$4:$E$13,MATCH($F1188,'CAT_CENTROS_COSTO'!$A$4:$A$13,0)),""))&lt;&gt;"",IFERROR(INDEX('CAT_CENTROS_COSTO'!$E$4:$E$13,MATCH($F1188,'CAT_CENTROS_COSTO'!$A$4:$A$13,0)),""),$V1188))</f>
        <v/>
      </c>
      <c r="X1188" s="3">
        <f>IF($F1188="","",IFERROR(INDEX('CAT_CENTROS_COSTO'!$G$4:$G$13,MATCH($F1188,'CAT_CENTROS_COSTO'!$A$4:$A$13,0)),"(sin catálogo)"))</f>
        <v/>
      </c>
      <c r="Y1188" s="3">
        <f>IF($G1188="","",IFERROR(INDEX('CAT_PUESTOS'!$B$4:$B$8,MATCH($G1188,'CAT_PUESTOS'!$A$4:$A$8,0)),"(sin catálogo)"))</f>
        <v/>
      </c>
      <c r="Z1188" s="3">
        <f>IF($H1188="","",IFERROR(INDEX('CAT_ACTIVIDADES'!$B$4:$B$8,MATCH($H1188,'CAT_ACTIVIDADES'!$A$4:$A$8,0)),"(sin catálogo)"))</f>
        <v/>
      </c>
      <c r="AA1188" s="12">
        <f>IF($J1188="","",TODAY()-$J1188)</f>
        <v/>
      </c>
      <c r="AB1188" s="12">
        <f>IF($J1188="","",IF($J1188&lt;=TODAY(),COUNTIFS(cal_fechas,"&gt;="&amp;$J1188,cal_fechas,"&lt;"&amp;TODAY(),cal_habil,"sí"),-COUNTIFS(cal_fechas,"&gt;="&amp;TODAY(),cal_fechas,"&lt;"&amp;$J1188,cal_habil,"sí")))</f>
        <v/>
      </c>
      <c r="AC1188" s="3">
        <f>IF($AB1188="","",IF($AB1188&lt;0,"FUTURO",IF($AB1188&gt;p_dias_backlog_max,"BACKLOG","MES CORRIENTE")))</f>
        <v/>
      </c>
      <c r="AD1188" s="3">
        <f>IF($AB1188="",FALSE,AND($AB1188&gt;p_dias_backlog_min,$AB1188&lt;=p_dias_backlog_max))</f>
        <v/>
      </c>
      <c r="AE1188" s="6" t="n"/>
      <c r="AF1188" s="3">
        <f>IF($AE1188="","",IF((IFERROR(INDEX('ASIGNACIONES'!$F$4:$F$339,MATCH($O1188&amp;"|"&amp;$R1188&amp;"|"&amp;$AE1188,'ASIGNACIONES'!$J$4:$J$339,0)),""))=0,"",IFERROR(INDEX('ASIGNACIONES'!$F$4:$F$339,MATCH($O1188&amp;"|"&amp;$R1188&amp;"|"&amp;$AE1188,'ASIGNACIONES'!$J$4:$J$339,0)),"")))</f>
        <v/>
      </c>
      <c r="AG1188" s="13">
        <f>IF($AE1188="","",SUMIFS('ORDENES'!$M$4:$M$1203,'ORDENES'!$AE$4:$AE$1203,$AE1188,'ORDENES'!$O$4:$O$1203,$O1188,'ORDENES'!$R$4:$R$1203,$R1188))</f>
        <v/>
      </c>
      <c r="AH1188" s="13">
        <f>IF($AG1188="","",p_factor_productividad*IFERROR(INDEX('ASIGNACIONES'!$I$4:$I$339,MATCH($O1188&amp;"|"&amp;$R1188&amp;"|"&amp;$AE1188,'ASIGNACIONES'!$J$4:$J$339,0)),0)-$AG1188)</f>
        <v/>
      </c>
      <c r="AI1188" s="10">
        <f>IF($A1188="","",IFERROR(INDEX('2_IMPORTAR_EJECUCION'!$F$9:$F$1208,MATCH($AQ1188,'2_IMPORTAR_EJECUCION'!$J$9:$J$1208,0)),0))</f>
        <v/>
      </c>
      <c r="AJ1188" s="10">
        <f>IF($A1188="","",MAX(0,IFERROR(INDEX('2_IMPORTAR_EJECUCION'!$H$9:$H$1208,MATCH($AQ1188,'2_IMPORTAR_EJECUCION'!$J$9:$J$1208,0)),0)-$AI1188))</f>
        <v/>
      </c>
      <c r="AK1188" s="10">
        <f>IF($A1188="","",$AI1188+$AJ1188)</f>
        <v/>
      </c>
      <c r="AL1188" s="6" t="n"/>
      <c r="AM1188" s="6" t="n"/>
      <c r="AN1188" s="6" t="n"/>
      <c r="AO1188" s="3">
        <f>IF($AN1188="","",HYPERLINK(p_ruta_base_checklists&amp;$AN1188,"abrir"))</f>
        <v/>
      </c>
      <c r="AP1188" s="6" t="n"/>
      <c r="AQ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IF($A1189="","",IFERROR(INDEX('AJUSTES'!$B$4:$B$303,MATCH($AQ1189,'AJUSTES'!$A$4:$A$303,0)),IF($K1189="","",$K1189)))</f>
        <v/>
      </c>
      <c r="N1189" s="3">
        <f>IF($A1189="","",IFERROR(INDEX('CAT_ESTADOS_ERP'!$B$4:$B$7,MATCH(IFERROR(INDEX('2_IMPORTAR_EJECUCION'!$C$9:$C$1208,MATCH($AQ1189,'2_IMPORTAR_EJECUCION'!$J$9:$J$1208,0)),""),'CAT_ESTADOS_ERP'!$A$4:$A$7,0)),"Pendiente"))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J1189="","",IFERROR(INDEX('CALENDARIO'!$C$15:$C$214,MATCH(TEXT($J1189,"yyyy-mm-dd")&amp;"|"&amp;$V1189&amp;"|"&amp;$W1189,'CALENDARIO'!$G$15:$G$214,0)),IFERROR(INDEX('CALENDARIO'!$C$15:$C$214,MATCH(TEXT($J1189,"yyyy-mm-dd")&amp;"|"&amp;$V1189&amp;"|",'CALENDARIO'!$G$15:$G$214,0)),IFERROR(INDEX('CALENDARIO'!$C$15:$C$214,MATCH(TEXT($J1189,"yyyy-mm-dd")&amp;"||",'CALENDARIO'!$G$15:$G$214,0)),INDEX(patronHabil,WEEKDAY($J1189,2))))))</f>
        <v/>
      </c>
      <c r="T1189" s="3">
        <f>IF($I1189="","",IFERROR(INDEX('CAT_TIPOS_OT'!$C$4:$C$7,MATCH($I1189,'CAT_TIPOS_OT'!$A$4:$A$7,0)),"sin_clasificar"))</f>
        <v/>
      </c>
      <c r="U1189" s="3">
        <f>IF($F1189="","",IFERROR(INDEX('CAT_CENTROS_COSTO'!$F$4:$F$13,MATCH($F1189,'CAT_CENTROS_COSTO'!$A$4:$A$13,0)),"(sin catálogo)"))</f>
        <v/>
      </c>
      <c r="V1189" s="3">
        <f>IF($F1189="","",IFERROR(INDEX('CAT_CENTROS_COSTO'!$D$4:$D$13,MATCH($F1189,'CAT_CENTROS_COSTO'!$A$4:$A$13,0)),"(sin catálogo)"))</f>
        <v/>
      </c>
      <c r="W1189" s="3">
        <f>IF($F1189="","",IF((IFERROR(INDEX('CAT_CENTROS_COSTO'!$E$4:$E$13,MATCH($F1189,'CAT_CENTROS_COSTO'!$A$4:$A$13,0)),""))&lt;&gt;"",IFERROR(INDEX('CAT_CENTROS_COSTO'!$E$4:$E$13,MATCH($F1189,'CAT_CENTROS_COSTO'!$A$4:$A$13,0)),""),$V1189))</f>
        <v/>
      </c>
      <c r="X1189" s="3">
        <f>IF($F1189="","",IFERROR(INDEX('CAT_CENTROS_COSTO'!$G$4:$G$13,MATCH($F1189,'CAT_CENTROS_COSTO'!$A$4:$A$13,0)),"(sin catálogo)"))</f>
        <v/>
      </c>
      <c r="Y1189" s="3">
        <f>IF($G1189="","",IFERROR(INDEX('CAT_PUESTOS'!$B$4:$B$8,MATCH($G1189,'CAT_PUESTOS'!$A$4:$A$8,0)),"(sin catálogo)"))</f>
        <v/>
      </c>
      <c r="Z1189" s="3">
        <f>IF($H1189="","",IFERROR(INDEX('CAT_ACTIVIDADES'!$B$4:$B$8,MATCH($H1189,'CAT_ACTIVIDADES'!$A$4:$A$8,0)),"(sin catálogo)"))</f>
        <v/>
      </c>
      <c r="AA1189" s="12">
        <f>IF($J1189="","",TODAY()-$J1189)</f>
        <v/>
      </c>
      <c r="AB1189" s="12">
        <f>IF($J1189="","",IF($J1189&lt;=TODAY(),COUNTIFS(cal_fechas,"&gt;="&amp;$J1189,cal_fechas,"&lt;"&amp;TODAY(),cal_habil,"sí"),-COUNTIFS(cal_fechas,"&gt;="&amp;TODAY(),cal_fechas,"&lt;"&amp;$J1189,cal_habil,"sí")))</f>
        <v/>
      </c>
      <c r="AC1189" s="3">
        <f>IF($AB1189="","",IF($AB1189&lt;0,"FUTURO",IF($AB1189&gt;p_dias_backlog_max,"BACKLOG","MES CORRIENTE")))</f>
        <v/>
      </c>
      <c r="AD1189" s="3">
        <f>IF($AB1189="",FALSE,AND($AB1189&gt;p_dias_backlog_min,$AB1189&lt;=p_dias_backlog_max))</f>
        <v/>
      </c>
      <c r="AE1189" s="6" t="n"/>
      <c r="AF1189" s="3">
        <f>IF($AE1189="","",IF((IFERROR(INDEX('ASIGNACIONES'!$F$4:$F$339,MATCH($O1189&amp;"|"&amp;$R1189&amp;"|"&amp;$AE1189,'ASIGNACIONES'!$J$4:$J$339,0)),""))=0,"",IFERROR(INDEX('ASIGNACIONES'!$F$4:$F$339,MATCH($O1189&amp;"|"&amp;$R1189&amp;"|"&amp;$AE1189,'ASIGNACIONES'!$J$4:$J$339,0)),"")))</f>
        <v/>
      </c>
      <c r="AG1189" s="13">
        <f>IF($AE1189="","",SUMIFS('ORDENES'!$M$4:$M$1203,'ORDENES'!$AE$4:$AE$1203,$AE1189,'ORDENES'!$O$4:$O$1203,$O1189,'ORDENES'!$R$4:$R$1203,$R1189))</f>
        <v/>
      </c>
      <c r="AH1189" s="13">
        <f>IF($AG1189="","",p_factor_productividad*IFERROR(INDEX('ASIGNACIONES'!$I$4:$I$339,MATCH($O1189&amp;"|"&amp;$R1189&amp;"|"&amp;$AE1189,'ASIGNACIONES'!$J$4:$J$339,0)),0)-$AG1189)</f>
        <v/>
      </c>
      <c r="AI1189" s="10">
        <f>IF($A1189="","",IFERROR(INDEX('2_IMPORTAR_EJECUCION'!$F$9:$F$1208,MATCH($AQ1189,'2_IMPORTAR_EJECUCION'!$J$9:$J$1208,0)),0))</f>
        <v/>
      </c>
      <c r="AJ1189" s="10">
        <f>IF($A1189="","",MAX(0,IFERROR(INDEX('2_IMPORTAR_EJECUCION'!$H$9:$H$1208,MATCH($AQ1189,'2_IMPORTAR_EJECUCION'!$J$9:$J$1208,0)),0)-$AI1189))</f>
        <v/>
      </c>
      <c r="AK1189" s="10">
        <f>IF($A1189="","",$AI1189+$AJ1189)</f>
        <v/>
      </c>
      <c r="AL1189" s="6" t="n"/>
      <c r="AM1189" s="6" t="n"/>
      <c r="AN1189" s="6" t="n"/>
      <c r="AO1189" s="3">
        <f>IF($AN1189="","",HYPERLINK(p_ruta_base_checklists&amp;$AN1189,"abrir"))</f>
        <v/>
      </c>
      <c r="AP1189" s="6" t="n"/>
      <c r="AQ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IF($A1190="","",IFERROR(INDEX('AJUSTES'!$B$4:$B$303,MATCH($AQ1190,'AJUSTES'!$A$4:$A$303,0)),IF($K1190="","",$K1190)))</f>
        <v/>
      </c>
      <c r="N1190" s="3">
        <f>IF($A1190="","",IFERROR(INDEX('CAT_ESTADOS_ERP'!$B$4:$B$7,MATCH(IFERROR(INDEX('2_IMPORTAR_EJECUCION'!$C$9:$C$1208,MATCH($AQ1190,'2_IMPORTAR_EJECUCION'!$J$9:$J$1208,0)),""),'CAT_ESTADOS_ERP'!$A$4:$A$7,0)),"Pendiente"))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J1190="","",IFERROR(INDEX('CALENDARIO'!$C$15:$C$214,MATCH(TEXT($J1190,"yyyy-mm-dd")&amp;"|"&amp;$V1190&amp;"|"&amp;$W1190,'CALENDARIO'!$G$15:$G$214,0)),IFERROR(INDEX('CALENDARIO'!$C$15:$C$214,MATCH(TEXT($J1190,"yyyy-mm-dd")&amp;"|"&amp;$V1190&amp;"|",'CALENDARIO'!$G$15:$G$214,0)),IFERROR(INDEX('CALENDARIO'!$C$15:$C$214,MATCH(TEXT($J1190,"yyyy-mm-dd")&amp;"||",'CALENDARIO'!$G$15:$G$214,0)),INDEX(patronHabil,WEEKDAY($J1190,2))))))</f>
        <v/>
      </c>
      <c r="T1190" s="3">
        <f>IF($I1190="","",IFERROR(INDEX('CAT_TIPOS_OT'!$C$4:$C$7,MATCH($I1190,'CAT_TIPOS_OT'!$A$4:$A$7,0)),"sin_clasificar"))</f>
        <v/>
      </c>
      <c r="U1190" s="3">
        <f>IF($F1190="","",IFERROR(INDEX('CAT_CENTROS_COSTO'!$F$4:$F$13,MATCH($F1190,'CAT_CENTROS_COSTO'!$A$4:$A$13,0)),"(sin catálogo)"))</f>
        <v/>
      </c>
      <c r="V1190" s="3">
        <f>IF($F1190="","",IFERROR(INDEX('CAT_CENTROS_COSTO'!$D$4:$D$13,MATCH($F1190,'CAT_CENTROS_COSTO'!$A$4:$A$13,0)),"(sin catálogo)"))</f>
        <v/>
      </c>
      <c r="W1190" s="3">
        <f>IF($F1190="","",IF((IFERROR(INDEX('CAT_CENTROS_COSTO'!$E$4:$E$13,MATCH($F1190,'CAT_CENTROS_COSTO'!$A$4:$A$13,0)),""))&lt;&gt;"",IFERROR(INDEX('CAT_CENTROS_COSTO'!$E$4:$E$13,MATCH($F1190,'CAT_CENTROS_COSTO'!$A$4:$A$13,0)),""),$V1190))</f>
        <v/>
      </c>
      <c r="X1190" s="3">
        <f>IF($F1190="","",IFERROR(INDEX('CAT_CENTROS_COSTO'!$G$4:$G$13,MATCH($F1190,'CAT_CENTROS_COSTO'!$A$4:$A$13,0)),"(sin catálogo)"))</f>
        <v/>
      </c>
      <c r="Y1190" s="3">
        <f>IF($G1190="","",IFERROR(INDEX('CAT_PUESTOS'!$B$4:$B$8,MATCH($G1190,'CAT_PUESTOS'!$A$4:$A$8,0)),"(sin catálogo)"))</f>
        <v/>
      </c>
      <c r="Z1190" s="3">
        <f>IF($H1190="","",IFERROR(INDEX('CAT_ACTIVIDADES'!$B$4:$B$8,MATCH($H1190,'CAT_ACTIVIDADES'!$A$4:$A$8,0)),"(sin catálogo)"))</f>
        <v/>
      </c>
      <c r="AA1190" s="12">
        <f>IF($J1190="","",TODAY()-$J1190)</f>
        <v/>
      </c>
      <c r="AB1190" s="12">
        <f>IF($J1190="","",IF($J1190&lt;=TODAY(),COUNTIFS(cal_fechas,"&gt;="&amp;$J1190,cal_fechas,"&lt;"&amp;TODAY(),cal_habil,"sí"),-COUNTIFS(cal_fechas,"&gt;="&amp;TODAY(),cal_fechas,"&lt;"&amp;$J1190,cal_habil,"sí")))</f>
        <v/>
      </c>
      <c r="AC1190" s="3">
        <f>IF($AB1190="","",IF($AB1190&lt;0,"FUTURO",IF($AB1190&gt;p_dias_backlog_max,"BACKLOG","MES CORRIENTE")))</f>
        <v/>
      </c>
      <c r="AD1190" s="3">
        <f>IF($AB1190="",FALSE,AND($AB1190&gt;p_dias_backlog_min,$AB1190&lt;=p_dias_backlog_max))</f>
        <v/>
      </c>
      <c r="AE1190" s="6" t="n"/>
      <c r="AF1190" s="3">
        <f>IF($AE1190="","",IF((IFERROR(INDEX('ASIGNACIONES'!$F$4:$F$339,MATCH($O1190&amp;"|"&amp;$R1190&amp;"|"&amp;$AE1190,'ASIGNACIONES'!$J$4:$J$339,0)),""))=0,"",IFERROR(INDEX('ASIGNACIONES'!$F$4:$F$339,MATCH($O1190&amp;"|"&amp;$R1190&amp;"|"&amp;$AE1190,'ASIGNACIONES'!$J$4:$J$339,0)),"")))</f>
        <v/>
      </c>
      <c r="AG1190" s="13">
        <f>IF($AE1190="","",SUMIFS('ORDENES'!$M$4:$M$1203,'ORDENES'!$AE$4:$AE$1203,$AE1190,'ORDENES'!$O$4:$O$1203,$O1190,'ORDENES'!$R$4:$R$1203,$R1190))</f>
        <v/>
      </c>
      <c r="AH1190" s="13">
        <f>IF($AG1190="","",p_factor_productividad*IFERROR(INDEX('ASIGNACIONES'!$I$4:$I$339,MATCH($O1190&amp;"|"&amp;$R1190&amp;"|"&amp;$AE1190,'ASIGNACIONES'!$J$4:$J$339,0)),0)-$AG1190)</f>
        <v/>
      </c>
      <c r="AI1190" s="10">
        <f>IF($A1190="","",IFERROR(INDEX('2_IMPORTAR_EJECUCION'!$F$9:$F$1208,MATCH($AQ1190,'2_IMPORTAR_EJECUCION'!$J$9:$J$1208,0)),0))</f>
        <v/>
      </c>
      <c r="AJ1190" s="10">
        <f>IF($A1190="","",MAX(0,IFERROR(INDEX('2_IMPORTAR_EJECUCION'!$H$9:$H$1208,MATCH($AQ1190,'2_IMPORTAR_EJECUCION'!$J$9:$J$1208,0)),0)-$AI1190))</f>
        <v/>
      </c>
      <c r="AK1190" s="10">
        <f>IF($A1190="","",$AI1190+$AJ1190)</f>
        <v/>
      </c>
      <c r="AL1190" s="6" t="n"/>
      <c r="AM1190" s="6" t="n"/>
      <c r="AN1190" s="6" t="n"/>
      <c r="AO1190" s="3">
        <f>IF($AN1190="","",HYPERLINK(p_ruta_base_checklists&amp;$AN1190,"abrir"))</f>
        <v/>
      </c>
      <c r="AP1190" s="6" t="n"/>
      <c r="AQ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IF($A1191="","",IFERROR(INDEX('AJUSTES'!$B$4:$B$303,MATCH($AQ1191,'AJUSTES'!$A$4:$A$303,0)),IF($K1191="","",$K1191)))</f>
        <v/>
      </c>
      <c r="N1191" s="3">
        <f>IF($A1191="","",IFERROR(INDEX('CAT_ESTADOS_ERP'!$B$4:$B$7,MATCH(IFERROR(INDEX('2_IMPORTAR_EJECUCION'!$C$9:$C$1208,MATCH($AQ1191,'2_IMPORTAR_EJECUCION'!$J$9:$J$1208,0)),""),'CAT_ESTADOS_ERP'!$A$4:$A$7,0)),"Pendiente"))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J1191="","",IFERROR(INDEX('CALENDARIO'!$C$15:$C$214,MATCH(TEXT($J1191,"yyyy-mm-dd")&amp;"|"&amp;$V1191&amp;"|"&amp;$W1191,'CALENDARIO'!$G$15:$G$214,0)),IFERROR(INDEX('CALENDARIO'!$C$15:$C$214,MATCH(TEXT($J1191,"yyyy-mm-dd")&amp;"|"&amp;$V1191&amp;"|",'CALENDARIO'!$G$15:$G$214,0)),IFERROR(INDEX('CALENDARIO'!$C$15:$C$214,MATCH(TEXT($J1191,"yyyy-mm-dd")&amp;"||",'CALENDARIO'!$G$15:$G$214,0)),INDEX(patronHabil,WEEKDAY($J1191,2))))))</f>
        <v/>
      </c>
      <c r="T1191" s="3">
        <f>IF($I1191="","",IFERROR(INDEX('CAT_TIPOS_OT'!$C$4:$C$7,MATCH($I1191,'CAT_TIPOS_OT'!$A$4:$A$7,0)),"sin_clasificar"))</f>
        <v/>
      </c>
      <c r="U1191" s="3">
        <f>IF($F1191="","",IFERROR(INDEX('CAT_CENTROS_COSTO'!$F$4:$F$13,MATCH($F1191,'CAT_CENTROS_COSTO'!$A$4:$A$13,0)),"(sin catálogo)"))</f>
        <v/>
      </c>
      <c r="V1191" s="3">
        <f>IF($F1191="","",IFERROR(INDEX('CAT_CENTROS_COSTO'!$D$4:$D$13,MATCH($F1191,'CAT_CENTROS_COSTO'!$A$4:$A$13,0)),"(sin catálogo)"))</f>
        <v/>
      </c>
      <c r="W1191" s="3">
        <f>IF($F1191="","",IF((IFERROR(INDEX('CAT_CENTROS_COSTO'!$E$4:$E$13,MATCH($F1191,'CAT_CENTROS_COSTO'!$A$4:$A$13,0)),""))&lt;&gt;"",IFERROR(INDEX('CAT_CENTROS_COSTO'!$E$4:$E$13,MATCH($F1191,'CAT_CENTROS_COSTO'!$A$4:$A$13,0)),""),$V1191))</f>
        <v/>
      </c>
      <c r="X1191" s="3">
        <f>IF($F1191="","",IFERROR(INDEX('CAT_CENTROS_COSTO'!$G$4:$G$13,MATCH($F1191,'CAT_CENTROS_COSTO'!$A$4:$A$13,0)),"(sin catálogo)"))</f>
        <v/>
      </c>
      <c r="Y1191" s="3">
        <f>IF($G1191="","",IFERROR(INDEX('CAT_PUESTOS'!$B$4:$B$8,MATCH($G1191,'CAT_PUESTOS'!$A$4:$A$8,0)),"(sin catálogo)"))</f>
        <v/>
      </c>
      <c r="Z1191" s="3">
        <f>IF($H1191="","",IFERROR(INDEX('CAT_ACTIVIDADES'!$B$4:$B$8,MATCH($H1191,'CAT_ACTIVIDADES'!$A$4:$A$8,0)),"(sin catálogo)"))</f>
        <v/>
      </c>
      <c r="AA1191" s="12">
        <f>IF($J1191="","",TODAY()-$J1191)</f>
        <v/>
      </c>
      <c r="AB1191" s="12">
        <f>IF($J1191="","",IF($J1191&lt;=TODAY(),COUNTIFS(cal_fechas,"&gt;="&amp;$J1191,cal_fechas,"&lt;"&amp;TODAY(),cal_habil,"sí"),-COUNTIFS(cal_fechas,"&gt;="&amp;TODAY(),cal_fechas,"&lt;"&amp;$J1191,cal_habil,"sí")))</f>
        <v/>
      </c>
      <c r="AC1191" s="3">
        <f>IF($AB1191="","",IF($AB1191&lt;0,"FUTURO",IF($AB1191&gt;p_dias_backlog_max,"BACKLOG","MES CORRIENTE")))</f>
        <v/>
      </c>
      <c r="AD1191" s="3">
        <f>IF($AB1191="",FALSE,AND($AB1191&gt;p_dias_backlog_min,$AB1191&lt;=p_dias_backlog_max))</f>
        <v/>
      </c>
      <c r="AE1191" s="6" t="n"/>
      <c r="AF1191" s="3">
        <f>IF($AE1191="","",IF((IFERROR(INDEX('ASIGNACIONES'!$F$4:$F$339,MATCH($O1191&amp;"|"&amp;$R1191&amp;"|"&amp;$AE1191,'ASIGNACIONES'!$J$4:$J$339,0)),""))=0,"",IFERROR(INDEX('ASIGNACIONES'!$F$4:$F$339,MATCH($O1191&amp;"|"&amp;$R1191&amp;"|"&amp;$AE1191,'ASIGNACIONES'!$J$4:$J$339,0)),"")))</f>
        <v/>
      </c>
      <c r="AG1191" s="13">
        <f>IF($AE1191="","",SUMIFS('ORDENES'!$M$4:$M$1203,'ORDENES'!$AE$4:$AE$1203,$AE1191,'ORDENES'!$O$4:$O$1203,$O1191,'ORDENES'!$R$4:$R$1203,$R1191))</f>
        <v/>
      </c>
      <c r="AH1191" s="13">
        <f>IF($AG1191="","",p_factor_productividad*IFERROR(INDEX('ASIGNACIONES'!$I$4:$I$339,MATCH($O1191&amp;"|"&amp;$R1191&amp;"|"&amp;$AE1191,'ASIGNACIONES'!$J$4:$J$339,0)),0)-$AG1191)</f>
        <v/>
      </c>
      <c r="AI1191" s="10">
        <f>IF($A1191="","",IFERROR(INDEX('2_IMPORTAR_EJECUCION'!$F$9:$F$1208,MATCH($AQ1191,'2_IMPORTAR_EJECUCION'!$J$9:$J$1208,0)),0))</f>
        <v/>
      </c>
      <c r="AJ1191" s="10">
        <f>IF($A1191="","",MAX(0,IFERROR(INDEX('2_IMPORTAR_EJECUCION'!$H$9:$H$1208,MATCH($AQ1191,'2_IMPORTAR_EJECUCION'!$J$9:$J$1208,0)),0)-$AI1191))</f>
        <v/>
      </c>
      <c r="AK1191" s="10">
        <f>IF($A1191="","",$AI1191+$AJ1191)</f>
        <v/>
      </c>
      <c r="AL1191" s="6" t="n"/>
      <c r="AM1191" s="6" t="n"/>
      <c r="AN1191" s="6" t="n"/>
      <c r="AO1191" s="3">
        <f>IF($AN1191="","",HYPERLINK(p_ruta_base_checklists&amp;$AN1191,"abrir"))</f>
        <v/>
      </c>
      <c r="AP1191" s="6" t="n"/>
      <c r="AQ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IF($A1192="","",IFERROR(INDEX('AJUSTES'!$B$4:$B$303,MATCH($AQ1192,'AJUSTES'!$A$4:$A$303,0)),IF($K1192="","",$K1192)))</f>
        <v/>
      </c>
      <c r="N1192" s="3">
        <f>IF($A1192="","",IFERROR(INDEX('CAT_ESTADOS_ERP'!$B$4:$B$7,MATCH(IFERROR(INDEX('2_IMPORTAR_EJECUCION'!$C$9:$C$1208,MATCH($AQ1192,'2_IMPORTAR_EJECUCION'!$J$9:$J$1208,0)),""),'CAT_ESTADOS_ERP'!$A$4:$A$7,0)),"Pendiente"))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J1192="","",IFERROR(INDEX('CALENDARIO'!$C$15:$C$214,MATCH(TEXT($J1192,"yyyy-mm-dd")&amp;"|"&amp;$V1192&amp;"|"&amp;$W1192,'CALENDARIO'!$G$15:$G$214,0)),IFERROR(INDEX('CALENDARIO'!$C$15:$C$214,MATCH(TEXT($J1192,"yyyy-mm-dd")&amp;"|"&amp;$V1192&amp;"|",'CALENDARIO'!$G$15:$G$214,0)),IFERROR(INDEX('CALENDARIO'!$C$15:$C$214,MATCH(TEXT($J1192,"yyyy-mm-dd")&amp;"||",'CALENDARIO'!$G$15:$G$214,0)),INDEX(patronHabil,WEEKDAY($J1192,2))))))</f>
        <v/>
      </c>
      <c r="T1192" s="3">
        <f>IF($I1192="","",IFERROR(INDEX('CAT_TIPOS_OT'!$C$4:$C$7,MATCH($I1192,'CAT_TIPOS_OT'!$A$4:$A$7,0)),"sin_clasificar"))</f>
        <v/>
      </c>
      <c r="U1192" s="3">
        <f>IF($F1192="","",IFERROR(INDEX('CAT_CENTROS_COSTO'!$F$4:$F$13,MATCH($F1192,'CAT_CENTROS_COSTO'!$A$4:$A$13,0)),"(sin catálogo)"))</f>
        <v/>
      </c>
      <c r="V1192" s="3">
        <f>IF($F1192="","",IFERROR(INDEX('CAT_CENTROS_COSTO'!$D$4:$D$13,MATCH($F1192,'CAT_CENTROS_COSTO'!$A$4:$A$13,0)),"(sin catálogo)"))</f>
        <v/>
      </c>
      <c r="W1192" s="3">
        <f>IF($F1192="","",IF((IFERROR(INDEX('CAT_CENTROS_COSTO'!$E$4:$E$13,MATCH($F1192,'CAT_CENTROS_COSTO'!$A$4:$A$13,0)),""))&lt;&gt;"",IFERROR(INDEX('CAT_CENTROS_COSTO'!$E$4:$E$13,MATCH($F1192,'CAT_CENTROS_COSTO'!$A$4:$A$13,0)),""),$V1192))</f>
        <v/>
      </c>
      <c r="X1192" s="3">
        <f>IF($F1192="","",IFERROR(INDEX('CAT_CENTROS_COSTO'!$G$4:$G$13,MATCH($F1192,'CAT_CENTROS_COSTO'!$A$4:$A$13,0)),"(sin catálogo)"))</f>
        <v/>
      </c>
      <c r="Y1192" s="3">
        <f>IF($G1192="","",IFERROR(INDEX('CAT_PUESTOS'!$B$4:$B$8,MATCH($G1192,'CAT_PUESTOS'!$A$4:$A$8,0)),"(sin catálogo)"))</f>
        <v/>
      </c>
      <c r="Z1192" s="3">
        <f>IF($H1192="","",IFERROR(INDEX('CAT_ACTIVIDADES'!$B$4:$B$8,MATCH($H1192,'CAT_ACTIVIDADES'!$A$4:$A$8,0)),"(sin catálogo)"))</f>
        <v/>
      </c>
      <c r="AA1192" s="12">
        <f>IF($J1192="","",TODAY()-$J1192)</f>
        <v/>
      </c>
      <c r="AB1192" s="12">
        <f>IF($J1192="","",IF($J1192&lt;=TODAY(),COUNTIFS(cal_fechas,"&gt;="&amp;$J1192,cal_fechas,"&lt;"&amp;TODAY(),cal_habil,"sí"),-COUNTIFS(cal_fechas,"&gt;="&amp;TODAY(),cal_fechas,"&lt;"&amp;$J1192,cal_habil,"sí")))</f>
        <v/>
      </c>
      <c r="AC1192" s="3">
        <f>IF($AB1192="","",IF($AB1192&lt;0,"FUTURO",IF($AB1192&gt;p_dias_backlog_max,"BACKLOG","MES CORRIENTE")))</f>
        <v/>
      </c>
      <c r="AD1192" s="3">
        <f>IF($AB1192="",FALSE,AND($AB1192&gt;p_dias_backlog_min,$AB1192&lt;=p_dias_backlog_max))</f>
        <v/>
      </c>
      <c r="AE1192" s="6" t="n"/>
      <c r="AF1192" s="3">
        <f>IF($AE1192="","",IF((IFERROR(INDEX('ASIGNACIONES'!$F$4:$F$339,MATCH($O1192&amp;"|"&amp;$R1192&amp;"|"&amp;$AE1192,'ASIGNACIONES'!$J$4:$J$339,0)),""))=0,"",IFERROR(INDEX('ASIGNACIONES'!$F$4:$F$339,MATCH($O1192&amp;"|"&amp;$R1192&amp;"|"&amp;$AE1192,'ASIGNACIONES'!$J$4:$J$339,0)),"")))</f>
        <v/>
      </c>
      <c r="AG1192" s="13">
        <f>IF($AE1192="","",SUMIFS('ORDENES'!$M$4:$M$1203,'ORDENES'!$AE$4:$AE$1203,$AE1192,'ORDENES'!$O$4:$O$1203,$O1192,'ORDENES'!$R$4:$R$1203,$R1192))</f>
        <v/>
      </c>
      <c r="AH1192" s="13">
        <f>IF($AG1192="","",p_factor_productividad*IFERROR(INDEX('ASIGNACIONES'!$I$4:$I$339,MATCH($O1192&amp;"|"&amp;$R1192&amp;"|"&amp;$AE1192,'ASIGNACIONES'!$J$4:$J$339,0)),0)-$AG1192)</f>
        <v/>
      </c>
      <c r="AI1192" s="10">
        <f>IF($A1192="","",IFERROR(INDEX('2_IMPORTAR_EJECUCION'!$F$9:$F$1208,MATCH($AQ1192,'2_IMPORTAR_EJECUCION'!$J$9:$J$1208,0)),0))</f>
        <v/>
      </c>
      <c r="AJ1192" s="10">
        <f>IF($A1192="","",MAX(0,IFERROR(INDEX('2_IMPORTAR_EJECUCION'!$H$9:$H$1208,MATCH($AQ1192,'2_IMPORTAR_EJECUCION'!$J$9:$J$1208,0)),0)-$AI1192))</f>
        <v/>
      </c>
      <c r="AK1192" s="10">
        <f>IF($A1192="","",$AI1192+$AJ1192)</f>
        <v/>
      </c>
      <c r="AL1192" s="6" t="n"/>
      <c r="AM1192" s="6" t="n"/>
      <c r="AN1192" s="6" t="n"/>
      <c r="AO1192" s="3">
        <f>IF($AN1192="","",HYPERLINK(p_ruta_base_checklists&amp;$AN1192,"abrir"))</f>
        <v/>
      </c>
      <c r="AP1192" s="6" t="n"/>
      <c r="AQ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IF($A1193="","",IFERROR(INDEX('AJUSTES'!$B$4:$B$303,MATCH($AQ1193,'AJUSTES'!$A$4:$A$303,0)),IF($K1193="","",$K1193)))</f>
        <v/>
      </c>
      <c r="N1193" s="3">
        <f>IF($A1193="","",IFERROR(INDEX('CAT_ESTADOS_ERP'!$B$4:$B$7,MATCH(IFERROR(INDEX('2_IMPORTAR_EJECUCION'!$C$9:$C$1208,MATCH($AQ1193,'2_IMPORTAR_EJECUCION'!$J$9:$J$1208,0)),""),'CAT_ESTADOS_ERP'!$A$4:$A$7,0)),"Pendiente"))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J1193="","",IFERROR(INDEX('CALENDARIO'!$C$15:$C$214,MATCH(TEXT($J1193,"yyyy-mm-dd")&amp;"|"&amp;$V1193&amp;"|"&amp;$W1193,'CALENDARIO'!$G$15:$G$214,0)),IFERROR(INDEX('CALENDARIO'!$C$15:$C$214,MATCH(TEXT($J1193,"yyyy-mm-dd")&amp;"|"&amp;$V1193&amp;"|",'CALENDARIO'!$G$15:$G$214,0)),IFERROR(INDEX('CALENDARIO'!$C$15:$C$214,MATCH(TEXT($J1193,"yyyy-mm-dd")&amp;"||",'CALENDARIO'!$G$15:$G$214,0)),INDEX(patronHabil,WEEKDAY($J1193,2))))))</f>
        <v/>
      </c>
      <c r="T1193" s="3">
        <f>IF($I1193="","",IFERROR(INDEX('CAT_TIPOS_OT'!$C$4:$C$7,MATCH($I1193,'CAT_TIPOS_OT'!$A$4:$A$7,0)),"sin_clasificar"))</f>
        <v/>
      </c>
      <c r="U1193" s="3">
        <f>IF($F1193="","",IFERROR(INDEX('CAT_CENTROS_COSTO'!$F$4:$F$13,MATCH($F1193,'CAT_CENTROS_COSTO'!$A$4:$A$13,0)),"(sin catálogo)"))</f>
        <v/>
      </c>
      <c r="V1193" s="3">
        <f>IF($F1193="","",IFERROR(INDEX('CAT_CENTROS_COSTO'!$D$4:$D$13,MATCH($F1193,'CAT_CENTROS_COSTO'!$A$4:$A$13,0)),"(sin catálogo)"))</f>
        <v/>
      </c>
      <c r="W1193" s="3">
        <f>IF($F1193="","",IF((IFERROR(INDEX('CAT_CENTROS_COSTO'!$E$4:$E$13,MATCH($F1193,'CAT_CENTROS_COSTO'!$A$4:$A$13,0)),""))&lt;&gt;"",IFERROR(INDEX('CAT_CENTROS_COSTO'!$E$4:$E$13,MATCH($F1193,'CAT_CENTROS_COSTO'!$A$4:$A$13,0)),""),$V1193))</f>
        <v/>
      </c>
      <c r="X1193" s="3">
        <f>IF($F1193="","",IFERROR(INDEX('CAT_CENTROS_COSTO'!$G$4:$G$13,MATCH($F1193,'CAT_CENTROS_COSTO'!$A$4:$A$13,0)),"(sin catálogo)"))</f>
        <v/>
      </c>
      <c r="Y1193" s="3">
        <f>IF($G1193="","",IFERROR(INDEX('CAT_PUESTOS'!$B$4:$B$8,MATCH($G1193,'CAT_PUESTOS'!$A$4:$A$8,0)),"(sin catálogo)"))</f>
        <v/>
      </c>
      <c r="Z1193" s="3">
        <f>IF($H1193="","",IFERROR(INDEX('CAT_ACTIVIDADES'!$B$4:$B$8,MATCH($H1193,'CAT_ACTIVIDADES'!$A$4:$A$8,0)),"(sin catálogo)"))</f>
        <v/>
      </c>
      <c r="AA1193" s="12">
        <f>IF($J1193="","",TODAY()-$J1193)</f>
        <v/>
      </c>
      <c r="AB1193" s="12">
        <f>IF($J1193="","",IF($J1193&lt;=TODAY(),COUNTIFS(cal_fechas,"&gt;="&amp;$J1193,cal_fechas,"&lt;"&amp;TODAY(),cal_habil,"sí"),-COUNTIFS(cal_fechas,"&gt;="&amp;TODAY(),cal_fechas,"&lt;"&amp;$J1193,cal_habil,"sí")))</f>
        <v/>
      </c>
      <c r="AC1193" s="3">
        <f>IF($AB1193="","",IF($AB1193&lt;0,"FUTURO",IF($AB1193&gt;p_dias_backlog_max,"BACKLOG","MES CORRIENTE")))</f>
        <v/>
      </c>
      <c r="AD1193" s="3">
        <f>IF($AB1193="",FALSE,AND($AB1193&gt;p_dias_backlog_min,$AB1193&lt;=p_dias_backlog_max))</f>
        <v/>
      </c>
      <c r="AE1193" s="6" t="n"/>
      <c r="AF1193" s="3">
        <f>IF($AE1193="","",IF((IFERROR(INDEX('ASIGNACIONES'!$F$4:$F$339,MATCH($O1193&amp;"|"&amp;$R1193&amp;"|"&amp;$AE1193,'ASIGNACIONES'!$J$4:$J$339,0)),""))=0,"",IFERROR(INDEX('ASIGNACIONES'!$F$4:$F$339,MATCH($O1193&amp;"|"&amp;$R1193&amp;"|"&amp;$AE1193,'ASIGNACIONES'!$J$4:$J$339,0)),"")))</f>
        <v/>
      </c>
      <c r="AG1193" s="13">
        <f>IF($AE1193="","",SUMIFS('ORDENES'!$M$4:$M$1203,'ORDENES'!$AE$4:$AE$1203,$AE1193,'ORDENES'!$O$4:$O$1203,$O1193,'ORDENES'!$R$4:$R$1203,$R1193))</f>
        <v/>
      </c>
      <c r="AH1193" s="13">
        <f>IF($AG1193="","",p_factor_productividad*IFERROR(INDEX('ASIGNACIONES'!$I$4:$I$339,MATCH($O1193&amp;"|"&amp;$R1193&amp;"|"&amp;$AE1193,'ASIGNACIONES'!$J$4:$J$339,0)),0)-$AG1193)</f>
        <v/>
      </c>
      <c r="AI1193" s="10">
        <f>IF($A1193="","",IFERROR(INDEX('2_IMPORTAR_EJECUCION'!$F$9:$F$1208,MATCH($AQ1193,'2_IMPORTAR_EJECUCION'!$J$9:$J$1208,0)),0))</f>
        <v/>
      </c>
      <c r="AJ1193" s="10">
        <f>IF($A1193="","",MAX(0,IFERROR(INDEX('2_IMPORTAR_EJECUCION'!$H$9:$H$1208,MATCH($AQ1193,'2_IMPORTAR_EJECUCION'!$J$9:$J$1208,0)),0)-$AI1193))</f>
        <v/>
      </c>
      <c r="AK1193" s="10">
        <f>IF($A1193="","",$AI1193+$AJ1193)</f>
        <v/>
      </c>
      <c r="AL1193" s="6" t="n"/>
      <c r="AM1193" s="6" t="n"/>
      <c r="AN1193" s="6" t="n"/>
      <c r="AO1193" s="3">
        <f>IF($AN1193="","",HYPERLINK(p_ruta_base_checklists&amp;$AN1193,"abrir"))</f>
        <v/>
      </c>
      <c r="AP1193" s="6" t="n"/>
      <c r="AQ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IF($A1194="","",IFERROR(INDEX('AJUSTES'!$B$4:$B$303,MATCH($AQ1194,'AJUSTES'!$A$4:$A$303,0)),IF($K1194="","",$K1194)))</f>
        <v/>
      </c>
      <c r="N1194" s="3">
        <f>IF($A1194="","",IFERROR(INDEX('CAT_ESTADOS_ERP'!$B$4:$B$7,MATCH(IFERROR(INDEX('2_IMPORTAR_EJECUCION'!$C$9:$C$1208,MATCH($AQ1194,'2_IMPORTAR_EJECUCION'!$J$9:$J$1208,0)),""),'CAT_ESTADOS_ERP'!$A$4:$A$7,0)),"Pendiente"))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J1194="","",IFERROR(INDEX('CALENDARIO'!$C$15:$C$214,MATCH(TEXT($J1194,"yyyy-mm-dd")&amp;"|"&amp;$V1194&amp;"|"&amp;$W1194,'CALENDARIO'!$G$15:$G$214,0)),IFERROR(INDEX('CALENDARIO'!$C$15:$C$214,MATCH(TEXT($J1194,"yyyy-mm-dd")&amp;"|"&amp;$V1194&amp;"|",'CALENDARIO'!$G$15:$G$214,0)),IFERROR(INDEX('CALENDARIO'!$C$15:$C$214,MATCH(TEXT($J1194,"yyyy-mm-dd")&amp;"||",'CALENDARIO'!$G$15:$G$214,0)),INDEX(patronHabil,WEEKDAY($J1194,2))))))</f>
        <v/>
      </c>
      <c r="T1194" s="3">
        <f>IF($I1194="","",IFERROR(INDEX('CAT_TIPOS_OT'!$C$4:$C$7,MATCH($I1194,'CAT_TIPOS_OT'!$A$4:$A$7,0)),"sin_clasificar"))</f>
        <v/>
      </c>
      <c r="U1194" s="3">
        <f>IF($F1194="","",IFERROR(INDEX('CAT_CENTROS_COSTO'!$F$4:$F$13,MATCH($F1194,'CAT_CENTROS_COSTO'!$A$4:$A$13,0)),"(sin catálogo)"))</f>
        <v/>
      </c>
      <c r="V1194" s="3">
        <f>IF($F1194="","",IFERROR(INDEX('CAT_CENTROS_COSTO'!$D$4:$D$13,MATCH($F1194,'CAT_CENTROS_COSTO'!$A$4:$A$13,0)),"(sin catálogo)"))</f>
        <v/>
      </c>
      <c r="W1194" s="3">
        <f>IF($F1194="","",IF((IFERROR(INDEX('CAT_CENTROS_COSTO'!$E$4:$E$13,MATCH($F1194,'CAT_CENTROS_COSTO'!$A$4:$A$13,0)),""))&lt;&gt;"",IFERROR(INDEX('CAT_CENTROS_COSTO'!$E$4:$E$13,MATCH($F1194,'CAT_CENTROS_COSTO'!$A$4:$A$13,0)),""),$V1194))</f>
        <v/>
      </c>
      <c r="X1194" s="3">
        <f>IF($F1194="","",IFERROR(INDEX('CAT_CENTROS_COSTO'!$G$4:$G$13,MATCH($F1194,'CAT_CENTROS_COSTO'!$A$4:$A$13,0)),"(sin catálogo)"))</f>
        <v/>
      </c>
      <c r="Y1194" s="3">
        <f>IF($G1194="","",IFERROR(INDEX('CAT_PUESTOS'!$B$4:$B$8,MATCH($G1194,'CAT_PUESTOS'!$A$4:$A$8,0)),"(sin catálogo)"))</f>
        <v/>
      </c>
      <c r="Z1194" s="3">
        <f>IF($H1194="","",IFERROR(INDEX('CAT_ACTIVIDADES'!$B$4:$B$8,MATCH($H1194,'CAT_ACTIVIDADES'!$A$4:$A$8,0)),"(sin catálogo)"))</f>
        <v/>
      </c>
      <c r="AA1194" s="12">
        <f>IF($J1194="","",TODAY()-$J1194)</f>
        <v/>
      </c>
      <c r="AB1194" s="12">
        <f>IF($J1194="","",IF($J1194&lt;=TODAY(),COUNTIFS(cal_fechas,"&gt;="&amp;$J1194,cal_fechas,"&lt;"&amp;TODAY(),cal_habil,"sí"),-COUNTIFS(cal_fechas,"&gt;="&amp;TODAY(),cal_fechas,"&lt;"&amp;$J1194,cal_habil,"sí")))</f>
        <v/>
      </c>
      <c r="AC1194" s="3">
        <f>IF($AB1194="","",IF($AB1194&lt;0,"FUTURO",IF($AB1194&gt;p_dias_backlog_max,"BACKLOG","MES CORRIENTE")))</f>
        <v/>
      </c>
      <c r="AD1194" s="3">
        <f>IF($AB1194="",FALSE,AND($AB1194&gt;p_dias_backlog_min,$AB1194&lt;=p_dias_backlog_max))</f>
        <v/>
      </c>
      <c r="AE1194" s="6" t="n"/>
      <c r="AF1194" s="3">
        <f>IF($AE1194="","",IF((IFERROR(INDEX('ASIGNACIONES'!$F$4:$F$339,MATCH($O1194&amp;"|"&amp;$R1194&amp;"|"&amp;$AE1194,'ASIGNACIONES'!$J$4:$J$339,0)),""))=0,"",IFERROR(INDEX('ASIGNACIONES'!$F$4:$F$339,MATCH($O1194&amp;"|"&amp;$R1194&amp;"|"&amp;$AE1194,'ASIGNACIONES'!$J$4:$J$339,0)),"")))</f>
        <v/>
      </c>
      <c r="AG1194" s="13">
        <f>IF($AE1194="","",SUMIFS('ORDENES'!$M$4:$M$1203,'ORDENES'!$AE$4:$AE$1203,$AE1194,'ORDENES'!$O$4:$O$1203,$O1194,'ORDENES'!$R$4:$R$1203,$R1194))</f>
        <v/>
      </c>
      <c r="AH1194" s="13">
        <f>IF($AG1194="","",p_factor_productividad*IFERROR(INDEX('ASIGNACIONES'!$I$4:$I$339,MATCH($O1194&amp;"|"&amp;$R1194&amp;"|"&amp;$AE1194,'ASIGNACIONES'!$J$4:$J$339,0)),0)-$AG1194)</f>
        <v/>
      </c>
      <c r="AI1194" s="10">
        <f>IF($A1194="","",IFERROR(INDEX('2_IMPORTAR_EJECUCION'!$F$9:$F$1208,MATCH($AQ1194,'2_IMPORTAR_EJECUCION'!$J$9:$J$1208,0)),0))</f>
        <v/>
      </c>
      <c r="AJ1194" s="10">
        <f>IF($A1194="","",MAX(0,IFERROR(INDEX('2_IMPORTAR_EJECUCION'!$H$9:$H$1208,MATCH($AQ1194,'2_IMPORTAR_EJECUCION'!$J$9:$J$1208,0)),0)-$AI1194))</f>
        <v/>
      </c>
      <c r="AK1194" s="10">
        <f>IF($A1194="","",$AI1194+$AJ1194)</f>
        <v/>
      </c>
      <c r="AL1194" s="6" t="n"/>
      <c r="AM1194" s="6" t="n"/>
      <c r="AN1194" s="6" t="n"/>
      <c r="AO1194" s="3">
        <f>IF($AN1194="","",HYPERLINK(p_ruta_base_checklists&amp;$AN1194,"abrir"))</f>
        <v/>
      </c>
      <c r="AP1194" s="6" t="n"/>
      <c r="AQ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IF($A1195="","",IFERROR(INDEX('AJUSTES'!$B$4:$B$303,MATCH($AQ1195,'AJUSTES'!$A$4:$A$303,0)),IF($K1195="","",$K1195)))</f>
        <v/>
      </c>
      <c r="N1195" s="3">
        <f>IF($A1195="","",IFERROR(INDEX('CAT_ESTADOS_ERP'!$B$4:$B$7,MATCH(IFERROR(INDEX('2_IMPORTAR_EJECUCION'!$C$9:$C$1208,MATCH($AQ1195,'2_IMPORTAR_EJECUCION'!$J$9:$J$1208,0)),""),'CAT_ESTADOS_ERP'!$A$4:$A$7,0)),"Pendiente"))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J1195="","",IFERROR(INDEX('CALENDARIO'!$C$15:$C$214,MATCH(TEXT($J1195,"yyyy-mm-dd")&amp;"|"&amp;$V1195&amp;"|"&amp;$W1195,'CALENDARIO'!$G$15:$G$214,0)),IFERROR(INDEX('CALENDARIO'!$C$15:$C$214,MATCH(TEXT($J1195,"yyyy-mm-dd")&amp;"|"&amp;$V1195&amp;"|",'CALENDARIO'!$G$15:$G$214,0)),IFERROR(INDEX('CALENDARIO'!$C$15:$C$214,MATCH(TEXT($J1195,"yyyy-mm-dd")&amp;"||",'CALENDARIO'!$G$15:$G$214,0)),INDEX(patronHabil,WEEKDAY($J1195,2))))))</f>
        <v/>
      </c>
      <c r="T1195" s="3">
        <f>IF($I1195="","",IFERROR(INDEX('CAT_TIPOS_OT'!$C$4:$C$7,MATCH($I1195,'CAT_TIPOS_OT'!$A$4:$A$7,0)),"sin_clasificar"))</f>
        <v/>
      </c>
      <c r="U1195" s="3">
        <f>IF($F1195="","",IFERROR(INDEX('CAT_CENTROS_COSTO'!$F$4:$F$13,MATCH($F1195,'CAT_CENTROS_COSTO'!$A$4:$A$13,0)),"(sin catálogo)"))</f>
        <v/>
      </c>
      <c r="V1195" s="3">
        <f>IF($F1195="","",IFERROR(INDEX('CAT_CENTROS_COSTO'!$D$4:$D$13,MATCH($F1195,'CAT_CENTROS_COSTO'!$A$4:$A$13,0)),"(sin catálogo)"))</f>
        <v/>
      </c>
      <c r="W1195" s="3">
        <f>IF($F1195="","",IF((IFERROR(INDEX('CAT_CENTROS_COSTO'!$E$4:$E$13,MATCH($F1195,'CAT_CENTROS_COSTO'!$A$4:$A$13,0)),""))&lt;&gt;"",IFERROR(INDEX('CAT_CENTROS_COSTO'!$E$4:$E$13,MATCH($F1195,'CAT_CENTROS_COSTO'!$A$4:$A$13,0)),""),$V1195))</f>
        <v/>
      </c>
      <c r="X1195" s="3">
        <f>IF($F1195="","",IFERROR(INDEX('CAT_CENTROS_COSTO'!$G$4:$G$13,MATCH($F1195,'CAT_CENTROS_COSTO'!$A$4:$A$13,0)),"(sin catálogo)"))</f>
        <v/>
      </c>
      <c r="Y1195" s="3">
        <f>IF($G1195="","",IFERROR(INDEX('CAT_PUESTOS'!$B$4:$B$8,MATCH($G1195,'CAT_PUESTOS'!$A$4:$A$8,0)),"(sin catálogo)"))</f>
        <v/>
      </c>
      <c r="Z1195" s="3">
        <f>IF($H1195="","",IFERROR(INDEX('CAT_ACTIVIDADES'!$B$4:$B$8,MATCH($H1195,'CAT_ACTIVIDADES'!$A$4:$A$8,0)),"(sin catálogo)"))</f>
        <v/>
      </c>
      <c r="AA1195" s="12">
        <f>IF($J1195="","",TODAY()-$J1195)</f>
        <v/>
      </c>
      <c r="AB1195" s="12">
        <f>IF($J1195="","",IF($J1195&lt;=TODAY(),COUNTIFS(cal_fechas,"&gt;="&amp;$J1195,cal_fechas,"&lt;"&amp;TODAY(),cal_habil,"sí"),-COUNTIFS(cal_fechas,"&gt;="&amp;TODAY(),cal_fechas,"&lt;"&amp;$J1195,cal_habil,"sí")))</f>
        <v/>
      </c>
      <c r="AC1195" s="3">
        <f>IF($AB1195="","",IF($AB1195&lt;0,"FUTURO",IF($AB1195&gt;p_dias_backlog_max,"BACKLOG","MES CORRIENTE")))</f>
        <v/>
      </c>
      <c r="AD1195" s="3">
        <f>IF($AB1195="",FALSE,AND($AB1195&gt;p_dias_backlog_min,$AB1195&lt;=p_dias_backlog_max))</f>
        <v/>
      </c>
      <c r="AE1195" s="6" t="n"/>
      <c r="AF1195" s="3">
        <f>IF($AE1195="","",IF((IFERROR(INDEX('ASIGNACIONES'!$F$4:$F$339,MATCH($O1195&amp;"|"&amp;$R1195&amp;"|"&amp;$AE1195,'ASIGNACIONES'!$J$4:$J$339,0)),""))=0,"",IFERROR(INDEX('ASIGNACIONES'!$F$4:$F$339,MATCH($O1195&amp;"|"&amp;$R1195&amp;"|"&amp;$AE1195,'ASIGNACIONES'!$J$4:$J$339,0)),"")))</f>
        <v/>
      </c>
      <c r="AG1195" s="13">
        <f>IF($AE1195="","",SUMIFS('ORDENES'!$M$4:$M$1203,'ORDENES'!$AE$4:$AE$1203,$AE1195,'ORDENES'!$O$4:$O$1203,$O1195,'ORDENES'!$R$4:$R$1203,$R1195))</f>
        <v/>
      </c>
      <c r="AH1195" s="13">
        <f>IF($AG1195="","",p_factor_productividad*IFERROR(INDEX('ASIGNACIONES'!$I$4:$I$339,MATCH($O1195&amp;"|"&amp;$R1195&amp;"|"&amp;$AE1195,'ASIGNACIONES'!$J$4:$J$339,0)),0)-$AG1195)</f>
        <v/>
      </c>
      <c r="AI1195" s="10">
        <f>IF($A1195="","",IFERROR(INDEX('2_IMPORTAR_EJECUCION'!$F$9:$F$1208,MATCH($AQ1195,'2_IMPORTAR_EJECUCION'!$J$9:$J$1208,0)),0))</f>
        <v/>
      </c>
      <c r="AJ1195" s="10">
        <f>IF($A1195="","",MAX(0,IFERROR(INDEX('2_IMPORTAR_EJECUCION'!$H$9:$H$1208,MATCH($AQ1195,'2_IMPORTAR_EJECUCION'!$J$9:$J$1208,0)),0)-$AI1195))</f>
        <v/>
      </c>
      <c r="AK1195" s="10">
        <f>IF($A1195="","",$AI1195+$AJ1195)</f>
        <v/>
      </c>
      <c r="AL1195" s="6" t="n"/>
      <c r="AM1195" s="6" t="n"/>
      <c r="AN1195" s="6" t="n"/>
      <c r="AO1195" s="3">
        <f>IF($AN1195="","",HYPERLINK(p_ruta_base_checklists&amp;$AN1195,"abrir"))</f>
        <v/>
      </c>
      <c r="AP1195" s="6" t="n"/>
      <c r="AQ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IF($A1196="","",IFERROR(INDEX('AJUSTES'!$B$4:$B$303,MATCH($AQ1196,'AJUSTES'!$A$4:$A$303,0)),IF($K1196="","",$K1196)))</f>
        <v/>
      </c>
      <c r="N1196" s="3">
        <f>IF($A1196="","",IFERROR(INDEX('CAT_ESTADOS_ERP'!$B$4:$B$7,MATCH(IFERROR(INDEX('2_IMPORTAR_EJECUCION'!$C$9:$C$1208,MATCH($AQ1196,'2_IMPORTAR_EJECUCION'!$J$9:$J$1208,0)),""),'CAT_ESTADOS_ERP'!$A$4:$A$7,0)),"Pendiente"))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J1196="","",IFERROR(INDEX('CALENDARIO'!$C$15:$C$214,MATCH(TEXT($J1196,"yyyy-mm-dd")&amp;"|"&amp;$V1196&amp;"|"&amp;$W1196,'CALENDARIO'!$G$15:$G$214,0)),IFERROR(INDEX('CALENDARIO'!$C$15:$C$214,MATCH(TEXT($J1196,"yyyy-mm-dd")&amp;"|"&amp;$V1196&amp;"|",'CALENDARIO'!$G$15:$G$214,0)),IFERROR(INDEX('CALENDARIO'!$C$15:$C$214,MATCH(TEXT($J1196,"yyyy-mm-dd")&amp;"||",'CALENDARIO'!$G$15:$G$214,0)),INDEX(patronHabil,WEEKDAY($J1196,2))))))</f>
        <v/>
      </c>
      <c r="T1196" s="3">
        <f>IF($I1196="","",IFERROR(INDEX('CAT_TIPOS_OT'!$C$4:$C$7,MATCH($I1196,'CAT_TIPOS_OT'!$A$4:$A$7,0)),"sin_clasificar"))</f>
        <v/>
      </c>
      <c r="U1196" s="3">
        <f>IF($F1196="","",IFERROR(INDEX('CAT_CENTROS_COSTO'!$F$4:$F$13,MATCH($F1196,'CAT_CENTROS_COSTO'!$A$4:$A$13,0)),"(sin catálogo)"))</f>
        <v/>
      </c>
      <c r="V1196" s="3">
        <f>IF($F1196="","",IFERROR(INDEX('CAT_CENTROS_COSTO'!$D$4:$D$13,MATCH($F1196,'CAT_CENTROS_COSTO'!$A$4:$A$13,0)),"(sin catálogo)"))</f>
        <v/>
      </c>
      <c r="W1196" s="3">
        <f>IF($F1196="","",IF((IFERROR(INDEX('CAT_CENTROS_COSTO'!$E$4:$E$13,MATCH($F1196,'CAT_CENTROS_COSTO'!$A$4:$A$13,0)),""))&lt;&gt;"",IFERROR(INDEX('CAT_CENTROS_COSTO'!$E$4:$E$13,MATCH($F1196,'CAT_CENTROS_COSTO'!$A$4:$A$13,0)),""),$V1196))</f>
        <v/>
      </c>
      <c r="X1196" s="3">
        <f>IF($F1196="","",IFERROR(INDEX('CAT_CENTROS_COSTO'!$G$4:$G$13,MATCH($F1196,'CAT_CENTROS_COSTO'!$A$4:$A$13,0)),"(sin catálogo)"))</f>
        <v/>
      </c>
      <c r="Y1196" s="3">
        <f>IF($G1196="","",IFERROR(INDEX('CAT_PUESTOS'!$B$4:$B$8,MATCH($G1196,'CAT_PUESTOS'!$A$4:$A$8,0)),"(sin catálogo)"))</f>
        <v/>
      </c>
      <c r="Z1196" s="3">
        <f>IF($H1196="","",IFERROR(INDEX('CAT_ACTIVIDADES'!$B$4:$B$8,MATCH($H1196,'CAT_ACTIVIDADES'!$A$4:$A$8,0)),"(sin catálogo)"))</f>
        <v/>
      </c>
      <c r="AA1196" s="12">
        <f>IF($J1196="","",TODAY()-$J1196)</f>
        <v/>
      </c>
      <c r="AB1196" s="12">
        <f>IF($J1196="","",IF($J1196&lt;=TODAY(),COUNTIFS(cal_fechas,"&gt;="&amp;$J1196,cal_fechas,"&lt;"&amp;TODAY(),cal_habil,"sí"),-COUNTIFS(cal_fechas,"&gt;="&amp;TODAY(),cal_fechas,"&lt;"&amp;$J1196,cal_habil,"sí")))</f>
        <v/>
      </c>
      <c r="AC1196" s="3">
        <f>IF($AB1196="","",IF($AB1196&lt;0,"FUTURO",IF($AB1196&gt;p_dias_backlog_max,"BACKLOG","MES CORRIENTE")))</f>
        <v/>
      </c>
      <c r="AD1196" s="3">
        <f>IF($AB1196="",FALSE,AND($AB1196&gt;p_dias_backlog_min,$AB1196&lt;=p_dias_backlog_max))</f>
        <v/>
      </c>
      <c r="AE1196" s="6" t="n"/>
      <c r="AF1196" s="3">
        <f>IF($AE1196="","",IF((IFERROR(INDEX('ASIGNACIONES'!$F$4:$F$339,MATCH($O1196&amp;"|"&amp;$R1196&amp;"|"&amp;$AE1196,'ASIGNACIONES'!$J$4:$J$339,0)),""))=0,"",IFERROR(INDEX('ASIGNACIONES'!$F$4:$F$339,MATCH($O1196&amp;"|"&amp;$R1196&amp;"|"&amp;$AE1196,'ASIGNACIONES'!$J$4:$J$339,0)),"")))</f>
        <v/>
      </c>
      <c r="AG1196" s="13">
        <f>IF($AE1196="","",SUMIFS('ORDENES'!$M$4:$M$1203,'ORDENES'!$AE$4:$AE$1203,$AE1196,'ORDENES'!$O$4:$O$1203,$O1196,'ORDENES'!$R$4:$R$1203,$R1196))</f>
        <v/>
      </c>
      <c r="AH1196" s="13">
        <f>IF($AG1196="","",p_factor_productividad*IFERROR(INDEX('ASIGNACIONES'!$I$4:$I$339,MATCH($O1196&amp;"|"&amp;$R1196&amp;"|"&amp;$AE1196,'ASIGNACIONES'!$J$4:$J$339,0)),0)-$AG1196)</f>
        <v/>
      </c>
      <c r="AI1196" s="10">
        <f>IF($A1196="","",IFERROR(INDEX('2_IMPORTAR_EJECUCION'!$F$9:$F$1208,MATCH($AQ1196,'2_IMPORTAR_EJECUCION'!$J$9:$J$1208,0)),0))</f>
        <v/>
      </c>
      <c r="AJ1196" s="10">
        <f>IF($A1196="","",MAX(0,IFERROR(INDEX('2_IMPORTAR_EJECUCION'!$H$9:$H$1208,MATCH($AQ1196,'2_IMPORTAR_EJECUCION'!$J$9:$J$1208,0)),0)-$AI1196))</f>
        <v/>
      </c>
      <c r="AK1196" s="10">
        <f>IF($A1196="","",$AI1196+$AJ1196)</f>
        <v/>
      </c>
      <c r="AL1196" s="6" t="n"/>
      <c r="AM1196" s="6" t="n"/>
      <c r="AN1196" s="6" t="n"/>
      <c r="AO1196" s="3">
        <f>IF($AN1196="","",HYPERLINK(p_ruta_base_checklists&amp;$AN1196,"abrir"))</f>
        <v/>
      </c>
      <c r="AP1196" s="6" t="n"/>
      <c r="AQ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IF($A1197="","",IFERROR(INDEX('AJUSTES'!$B$4:$B$303,MATCH($AQ1197,'AJUSTES'!$A$4:$A$303,0)),IF($K1197="","",$K1197)))</f>
        <v/>
      </c>
      <c r="N1197" s="3">
        <f>IF($A1197="","",IFERROR(INDEX('CAT_ESTADOS_ERP'!$B$4:$B$7,MATCH(IFERROR(INDEX('2_IMPORTAR_EJECUCION'!$C$9:$C$1208,MATCH($AQ1197,'2_IMPORTAR_EJECUCION'!$J$9:$J$1208,0)),""),'CAT_ESTADOS_ERP'!$A$4:$A$7,0)),"Pendiente"))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J1197="","",IFERROR(INDEX('CALENDARIO'!$C$15:$C$214,MATCH(TEXT($J1197,"yyyy-mm-dd")&amp;"|"&amp;$V1197&amp;"|"&amp;$W1197,'CALENDARIO'!$G$15:$G$214,0)),IFERROR(INDEX('CALENDARIO'!$C$15:$C$214,MATCH(TEXT($J1197,"yyyy-mm-dd")&amp;"|"&amp;$V1197&amp;"|",'CALENDARIO'!$G$15:$G$214,0)),IFERROR(INDEX('CALENDARIO'!$C$15:$C$214,MATCH(TEXT($J1197,"yyyy-mm-dd")&amp;"||",'CALENDARIO'!$G$15:$G$214,0)),INDEX(patronHabil,WEEKDAY($J1197,2))))))</f>
        <v/>
      </c>
      <c r="T1197" s="3">
        <f>IF($I1197="","",IFERROR(INDEX('CAT_TIPOS_OT'!$C$4:$C$7,MATCH($I1197,'CAT_TIPOS_OT'!$A$4:$A$7,0)),"sin_clasificar"))</f>
        <v/>
      </c>
      <c r="U1197" s="3">
        <f>IF($F1197="","",IFERROR(INDEX('CAT_CENTROS_COSTO'!$F$4:$F$13,MATCH($F1197,'CAT_CENTROS_COSTO'!$A$4:$A$13,0)),"(sin catálogo)"))</f>
        <v/>
      </c>
      <c r="V1197" s="3">
        <f>IF($F1197="","",IFERROR(INDEX('CAT_CENTROS_COSTO'!$D$4:$D$13,MATCH($F1197,'CAT_CENTROS_COSTO'!$A$4:$A$13,0)),"(sin catálogo)"))</f>
        <v/>
      </c>
      <c r="W1197" s="3">
        <f>IF($F1197="","",IF((IFERROR(INDEX('CAT_CENTROS_COSTO'!$E$4:$E$13,MATCH($F1197,'CAT_CENTROS_COSTO'!$A$4:$A$13,0)),""))&lt;&gt;"",IFERROR(INDEX('CAT_CENTROS_COSTO'!$E$4:$E$13,MATCH($F1197,'CAT_CENTROS_COSTO'!$A$4:$A$13,0)),""),$V1197))</f>
        <v/>
      </c>
      <c r="X1197" s="3">
        <f>IF($F1197="","",IFERROR(INDEX('CAT_CENTROS_COSTO'!$G$4:$G$13,MATCH($F1197,'CAT_CENTROS_COSTO'!$A$4:$A$13,0)),"(sin catálogo)"))</f>
        <v/>
      </c>
      <c r="Y1197" s="3">
        <f>IF($G1197="","",IFERROR(INDEX('CAT_PUESTOS'!$B$4:$B$8,MATCH($G1197,'CAT_PUESTOS'!$A$4:$A$8,0)),"(sin catálogo)"))</f>
        <v/>
      </c>
      <c r="Z1197" s="3">
        <f>IF($H1197="","",IFERROR(INDEX('CAT_ACTIVIDADES'!$B$4:$B$8,MATCH($H1197,'CAT_ACTIVIDADES'!$A$4:$A$8,0)),"(sin catálogo)"))</f>
        <v/>
      </c>
      <c r="AA1197" s="12">
        <f>IF($J1197="","",TODAY()-$J1197)</f>
        <v/>
      </c>
      <c r="AB1197" s="12">
        <f>IF($J1197="","",IF($J1197&lt;=TODAY(),COUNTIFS(cal_fechas,"&gt;="&amp;$J1197,cal_fechas,"&lt;"&amp;TODAY(),cal_habil,"sí"),-COUNTIFS(cal_fechas,"&gt;="&amp;TODAY(),cal_fechas,"&lt;"&amp;$J1197,cal_habil,"sí")))</f>
        <v/>
      </c>
      <c r="AC1197" s="3">
        <f>IF($AB1197="","",IF($AB1197&lt;0,"FUTURO",IF($AB1197&gt;p_dias_backlog_max,"BACKLOG","MES CORRIENTE")))</f>
        <v/>
      </c>
      <c r="AD1197" s="3">
        <f>IF($AB1197="",FALSE,AND($AB1197&gt;p_dias_backlog_min,$AB1197&lt;=p_dias_backlog_max))</f>
        <v/>
      </c>
      <c r="AE1197" s="6" t="n"/>
      <c r="AF1197" s="3">
        <f>IF($AE1197="","",IF((IFERROR(INDEX('ASIGNACIONES'!$F$4:$F$339,MATCH($O1197&amp;"|"&amp;$R1197&amp;"|"&amp;$AE1197,'ASIGNACIONES'!$J$4:$J$339,0)),""))=0,"",IFERROR(INDEX('ASIGNACIONES'!$F$4:$F$339,MATCH($O1197&amp;"|"&amp;$R1197&amp;"|"&amp;$AE1197,'ASIGNACIONES'!$J$4:$J$339,0)),"")))</f>
        <v/>
      </c>
      <c r="AG1197" s="13">
        <f>IF($AE1197="","",SUMIFS('ORDENES'!$M$4:$M$1203,'ORDENES'!$AE$4:$AE$1203,$AE1197,'ORDENES'!$O$4:$O$1203,$O1197,'ORDENES'!$R$4:$R$1203,$R1197))</f>
        <v/>
      </c>
      <c r="AH1197" s="13">
        <f>IF($AG1197="","",p_factor_productividad*IFERROR(INDEX('ASIGNACIONES'!$I$4:$I$339,MATCH($O1197&amp;"|"&amp;$R1197&amp;"|"&amp;$AE1197,'ASIGNACIONES'!$J$4:$J$339,0)),0)-$AG1197)</f>
        <v/>
      </c>
      <c r="AI1197" s="10">
        <f>IF($A1197="","",IFERROR(INDEX('2_IMPORTAR_EJECUCION'!$F$9:$F$1208,MATCH($AQ1197,'2_IMPORTAR_EJECUCION'!$J$9:$J$1208,0)),0))</f>
        <v/>
      </c>
      <c r="AJ1197" s="10">
        <f>IF($A1197="","",MAX(0,IFERROR(INDEX('2_IMPORTAR_EJECUCION'!$H$9:$H$1208,MATCH($AQ1197,'2_IMPORTAR_EJECUCION'!$J$9:$J$1208,0)),0)-$AI1197))</f>
        <v/>
      </c>
      <c r="AK1197" s="10">
        <f>IF($A1197="","",$AI1197+$AJ1197)</f>
        <v/>
      </c>
      <c r="AL1197" s="6" t="n"/>
      <c r="AM1197" s="6" t="n"/>
      <c r="AN1197" s="6" t="n"/>
      <c r="AO1197" s="3">
        <f>IF($AN1197="","",HYPERLINK(p_ruta_base_checklists&amp;$AN1197,"abrir"))</f>
        <v/>
      </c>
      <c r="AP1197" s="6" t="n"/>
      <c r="AQ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IF($A1198="","",IFERROR(INDEX('AJUSTES'!$B$4:$B$303,MATCH($AQ1198,'AJUSTES'!$A$4:$A$303,0)),IF($K1198="","",$K1198)))</f>
        <v/>
      </c>
      <c r="N1198" s="3">
        <f>IF($A1198="","",IFERROR(INDEX('CAT_ESTADOS_ERP'!$B$4:$B$7,MATCH(IFERROR(INDEX('2_IMPORTAR_EJECUCION'!$C$9:$C$1208,MATCH($AQ1198,'2_IMPORTAR_EJECUCION'!$J$9:$J$1208,0)),""),'CAT_ESTADOS_ERP'!$A$4:$A$7,0)),"Pendiente"))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J1198="","",IFERROR(INDEX('CALENDARIO'!$C$15:$C$214,MATCH(TEXT($J1198,"yyyy-mm-dd")&amp;"|"&amp;$V1198&amp;"|"&amp;$W1198,'CALENDARIO'!$G$15:$G$214,0)),IFERROR(INDEX('CALENDARIO'!$C$15:$C$214,MATCH(TEXT($J1198,"yyyy-mm-dd")&amp;"|"&amp;$V1198&amp;"|",'CALENDARIO'!$G$15:$G$214,0)),IFERROR(INDEX('CALENDARIO'!$C$15:$C$214,MATCH(TEXT($J1198,"yyyy-mm-dd")&amp;"||",'CALENDARIO'!$G$15:$G$214,0)),INDEX(patronHabil,WEEKDAY($J1198,2))))))</f>
        <v/>
      </c>
      <c r="T1198" s="3">
        <f>IF($I1198="","",IFERROR(INDEX('CAT_TIPOS_OT'!$C$4:$C$7,MATCH($I1198,'CAT_TIPOS_OT'!$A$4:$A$7,0)),"sin_clasificar"))</f>
        <v/>
      </c>
      <c r="U1198" s="3">
        <f>IF($F1198="","",IFERROR(INDEX('CAT_CENTROS_COSTO'!$F$4:$F$13,MATCH($F1198,'CAT_CENTROS_COSTO'!$A$4:$A$13,0)),"(sin catálogo)"))</f>
        <v/>
      </c>
      <c r="V1198" s="3">
        <f>IF($F1198="","",IFERROR(INDEX('CAT_CENTROS_COSTO'!$D$4:$D$13,MATCH($F1198,'CAT_CENTROS_COSTO'!$A$4:$A$13,0)),"(sin catálogo)"))</f>
        <v/>
      </c>
      <c r="W1198" s="3">
        <f>IF($F1198="","",IF((IFERROR(INDEX('CAT_CENTROS_COSTO'!$E$4:$E$13,MATCH($F1198,'CAT_CENTROS_COSTO'!$A$4:$A$13,0)),""))&lt;&gt;"",IFERROR(INDEX('CAT_CENTROS_COSTO'!$E$4:$E$13,MATCH($F1198,'CAT_CENTROS_COSTO'!$A$4:$A$13,0)),""),$V1198))</f>
        <v/>
      </c>
      <c r="X1198" s="3">
        <f>IF($F1198="","",IFERROR(INDEX('CAT_CENTROS_COSTO'!$G$4:$G$13,MATCH($F1198,'CAT_CENTROS_COSTO'!$A$4:$A$13,0)),"(sin catálogo)"))</f>
        <v/>
      </c>
      <c r="Y1198" s="3">
        <f>IF($G1198="","",IFERROR(INDEX('CAT_PUESTOS'!$B$4:$B$8,MATCH($G1198,'CAT_PUESTOS'!$A$4:$A$8,0)),"(sin catálogo)"))</f>
        <v/>
      </c>
      <c r="Z1198" s="3">
        <f>IF($H1198="","",IFERROR(INDEX('CAT_ACTIVIDADES'!$B$4:$B$8,MATCH($H1198,'CAT_ACTIVIDADES'!$A$4:$A$8,0)),"(sin catálogo)"))</f>
        <v/>
      </c>
      <c r="AA1198" s="12">
        <f>IF($J1198="","",TODAY()-$J1198)</f>
        <v/>
      </c>
      <c r="AB1198" s="12">
        <f>IF($J1198="","",IF($J1198&lt;=TODAY(),COUNTIFS(cal_fechas,"&gt;="&amp;$J1198,cal_fechas,"&lt;"&amp;TODAY(),cal_habil,"sí"),-COUNTIFS(cal_fechas,"&gt;="&amp;TODAY(),cal_fechas,"&lt;"&amp;$J1198,cal_habil,"sí")))</f>
        <v/>
      </c>
      <c r="AC1198" s="3">
        <f>IF($AB1198="","",IF($AB1198&lt;0,"FUTURO",IF($AB1198&gt;p_dias_backlog_max,"BACKLOG","MES CORRIENTE")))</f>
        <v/>
      </c>
      <c r="AD1198" s="3">
        <f>IF($AB1198="",FALSE,AND($AB1198&gt;p_dias_backlog_min,$AB1198&lt;=p_dias_backlog_max))</f>
        <v/>
      </c>
      <c r="AE1198" s="6" t="n"/>
      <c r="AF1198" s="3">
        <f>IF($AE1198="","",IF((IFERROR(INDEX('ASIGNACIONES'!$F$4:$F$339,MATCH($O1198&amp;"|"&amp;$R1198&amp;"|"&amp;$AE1198,'ASIGNACIONES'!$J$4:$J$339,0)),""))=0,"",IFERROR(INDEX('ASIGNACIONES'!$F$4:$F$339,MATCH($O1198&amp;"|"&amp;$R1198&amp;"|"&amp;$AE1198,'ASIGNACIONES'!$J$4:$J$339,0)),"")))</f>
        <v/>
      </c>
      <c r="AG1198" s="13">
        <f>IF($AE1198="","",SUMIFS('ORDENES'!$M$4:$M$1203,'ORDENES'!$AE$4:$AE$1203,$AE1198,'ORDENES'!$O$4:$O$1203,$O1198,'ORDENES'!$R$4:$R$1203,$R1198))</f>
        <v/>
      </c>
      <c r="AH1198" s="13">
        <f>IF($AG1198="","",p_factor_productividad*IFERROR(INDEX('ASIGNACIONES'!$I$4:$I$339,MATCH($O1198&amp;"|"&amp;$R1198&amp;"|"&amp;$AE1198,'ASIGNACIONES'!$J$4:$J$339,0)),0)-$AG1198)</f>
        <v/>
      </c>
      <c r="AI1198" s="10">
        <f>IF($A1198="","",IFERROR(INDEX('2_IMPORTAR_EJECUCION'!$F$9:$F$1208,MATCH($AQ1198,'2_IMPORTAR_EJECUCION'!$J$9:$J$1208,0)),0))</f>
        <v/>
      </c>
      <c r="AJ1198" s="10">
        <f>IF($A1198="","",MAX(0,IFERROR(INDEX('2_IMPORTAR_EJECUCION'!$H$9:$H$1208,MATCH($AQ1198,'2_IMPORTAR_EJECUCION'!$J$9:$J$1208,0)),0)-$AI1198))</f>
        <v/>
      </c>
      <c r="AK1198" s="10">
        <f>IF($A1198="","",$AI1198+$AJ1198)</f>
        <v/>
      </c>
      <c r="AL1198" s="6" t="n"/>
      <c r="AM1198" s="6" t="n"/>
      <c r="AN1198" s="6" t="n"/>
      <c r="AO1198" s="3">
        <f>IF($AN1198="","",HYPERLINK(p_ruta_base_checklists&amp;$AN1198,"abrir"))</f>
        <v/>
      </c>
      <c r="AP1198" s="6" t="n"/>
      <c r="AQ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IF($A1199="","",IFERROR(INDEX('AJUSTES'!$B$4:$B$303,MATCH($AQ1199,'AJUSTES'!$A$4:$A$303,0)),IF($K1199="","",$K1199)))</f>
        <v/>
      </c>
      <c r="N1199" s="3">
        <f>IF($A1199="","",IFERROR(INDEX('CAT_ESTADOS_ERP'!$B$4:$B$7,MATCH(IFERROR(INDEX('2_IMPORTAR_EJECUCION'!$C$9:$C$1208,MATCH($AQ1199,'2_IMPORTAR_EJECUCION'!$J$9:$J$1208,0)),""),'CAT_ESTADOS_ERP'!$A$4:$A$7,0)),"Pendiente"))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J1199="","",IFERROR(INDEX('CALENDARIO'!$C$15:$C$214,MATCH(TEXT($J1199,"yyyy-mm-dd")&amp;"|"&amp;$V1199&amp;"|"&amp;$W1199,'CALENDARIO'!$G$15:$G$214,0)),IFERROR(INDEX('CALENDARIO'!$C$15:$C$214,MATCH(TEXT($J1199,"yyyy-mm-dd")&amp;"|"&amp;$V1199&amp;"|",'CALENDARIO'!$G$15:$G$214,0)),IFERROR(INDEX('CALENDARIO'!$C$15:$C$214,MATCH(TEXT($J1199,"yyyy-mm-dd")&amp;"||",'CALENDARIO'!$G$15:$G$214,0)),INDEX(patronHabil,WEEKDAY($J1199,2))))))</f>
        <v/>
      </c>
      <c r="T1199" s="3">
        <f>IF($I1199="","",IFERROR(INDEX('CAT_TIPOS_OT'!$C$4:$C$7,MATCH($I1199,'CAT_TIPOS_OT'!$A$4:$A$7,0)),"sin_clasificar"))</f>
        <v/>
      </c>
      <c r="U1199" s="3">
        <f>IF($F1199="","",IFERROR(INDEX('CAT_CENTROS_COSTO'!$F$4:$F$13,MATCH($F1199,'CAT_CENTROS_COSTO'!$A$4:$A$13,0)),"(sin catálogo)"))</f>
        <v/>
      </c>
      <c r="V1199" s="3">
        <f>IF($F1199="","",IFERROR(INDEX('CAT_CENTROS_COSTO'!$D$4:$D$13,MATCH($F1199,'CAT_CENTROS_COSTO'!$A$4:$A$13,0)),"(sin catálogo)"))</f>
        <v/>
      </c>
      <c r="W1199" s="3">
        <f>IF($F1199="","",IF((IFERROR(INDEX('CAT_CENTROS_COSTO'!$E$4:$E$13,MATCH($F1199,'CAT_CENTROS_COSTO'!$A$4:$A$13,0)),""))&lt;&gt;"",IFERROR(INDEX('CAT_CENTROS_COSTO'!$E$4:$E$13,MATCH($F1199,'CAT_CENTROS_COSTO'!$A$4:$A$13,0)),""),$V1199))</f>
        <v/>
      </c>
      <c r="X1199" s="3">
        <f>IF($F1199="","",IFERROR(INDEX('CAT_CENTROS_COSTO'!$G$4:$G$13,MATCH($F1199,'CAT_CENTROS_COSTO'!$A$4:$A$13,0)),"(sin catálogo)"))</f>
        <v/>
      </c>
      <c r="Y1199" s="3">
        <f>IF($G1199="","",IFERROR(INDEX('CAT_PUESTOS'!$B$4:$B$8,MATCH($G1199,'CAT_PUESTOS'!$A$4:$A$8,0)),"(sin catálogo)"))</f>
        <v/>
      </c>
      <c r="Z1199" s="3">
        <f>IF($H1199="","",IFERROR(INDEX('CAT_ACTIVIDADES'!$B$4:$B$8,MATCH($H1199,'CAT_ACTIVIDADES'!$A$4:$A$8,0)),"(sin catálogo)"))</f>
        <v/>
      </c>
      <c r="AA1199" s="12">
        <f>IF($J1199="","",TODAY()-$J1199)</f>
        <v/>
      </c>
      <c r="AB1199" s="12">
        <f>IF($J1199="","",IF($J1199&lt;=TODAY(),COUNTIFS(cal_fechas,"&gt;="&amp;$J1199,cal_fechas,"&lt;"&amp;TODAY(),cal_habil,"sí"),-COUNTIFS(cal_fechas,"&gt;="&amp;TODAY(),cal_fechas,"&lt;"&amp;$J1199,cal_habil,"sí")))</f>
        <v/>
      </c>
      <c r="AC1199" s="3">
        <f>IF($AB1199="","",IF($AB1199&lt;0,"FUTURO",IF($AB1199&gt;p_dias_backlog_max,"BACKLOG","MES CORRIENTE")))</f>
        <v/>
      </c>
      <c r="AD1199" s="3">
        <f>IF($AB1199="",FALSE,AND($AB1199&gt;p_dias_backlog_min,$AB1199&lt;=p_dias_backlog_max))</f>
        <v/>
      </c>
      <c r="AE1199" s="6" t="n"/>
      <c r="AF1199" s="3">
        <f>IF($AE1199="","",IF((IFERROR(INDEX('ASIGNACIONES'!$F$4:$F$339,MATCH($O1199&amp;"|"&amp;$R1199&amp;"|"&amp;$AE1199,'ASIGNACIONES'!$J$4:$J$339,0)),""))=0,"",IFERROR(INDEX('ASIGNACIONES'!$F$4:$F$339,MATCH($O1199&amp;"|"&amp;$R1199&amp;"|"&amp;$AE1199,'ASIGNACIONES'!$J$4:$J$339,0)),"")))</f>
        <v/>
      </c>
      <c r="AG1199" s="13">
        <f>IF($AE1199="","",SUMIFS('ORDENES'!$M$4:$M$1203,'ORDENES'!$AE$4:$AE$1203,$AE1199,'ORDENES'!$O$4:$O$1203,$O1199,'ORDENES'!$R$4:$R$1203,$R1199))</f>
        <v/>
      </c>
      <c r="AH1199" s="13">
        <f>IF($AG1199="","",p_factor_productividad*IFERROR(INDEX('ASIGNACIONES'!$I$4:$I$339,MATCH($O1199&amp;"|"&amp;$R1199&amp;"|"&amp;$AE1199,'ASIGNACIONES'!$J$4:$J$339,0)),0)-$AG1199)</f>
        <v/>
      </c>
      <c r="AI1199" s="10">
        <f>IF($A1199="","",IFERROR(INDEX('2_IMPORTAR_EJECUCION'!$F$9:$F$1208,MATCH($AQ1199,'2_IMPORTAR_EJECUCION'!$J$9:$J$1208,0)),0))</f>
        <v/>
      </c>
      <c r="AJ1199" s="10">
        <f>IF($A1199="","",MAX(0,IFERROR(INDEX('2_IMPORTAR_EJECUCION'!$H$9:$H$1208,MATCH($AQ1199,'2_IMPORTAR_EJECUCION'!$J$9:$J$1208,0)),0)-$AI1199))</f>
        <v/>
      </c>
      <c r="AK1199" s="10">
        <f>IF($A1199="","",$AI1199+$AJ1199)</f>
        <v/>
      </c>
      <c r="AL1199" s="6" t="n"/>
      <c r="AM1199" s="6" t="n"/>
      <c r="AN1199" s="6" t="n"/>
      <c r="AO1199" s="3">
        <f>IF($AN1199="","",HYPERLINK(p_ruta_base_checklists&amp;$AN1199,"abrir"))</f>
        <v/>
      </c>
      <c r="AP1199" s="6" t="n"/>
      <c r="AQ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IF($A1200="","",IFERROR(INDEX('AJUSTES'!$B$4:$B$303,MATCH($AQ1200,'AJUSTES'!$A$4:$A$303,0)),IF($K1200="","",$K1200)))</f>
        <v/>
      </c>
      <c r="N1200" s="3">
        <f>IF($A1200="","",IFERROR(INDEX('CAT_ESTADOS_ERP'!$B$4:$B$7,MATCH(IFERROR(INDEX('2_IMPORTAR_EJECUCION'!$C$9:$C$1208,MATCH($AQ1200,'2_IMPORTAR_EJECUCION'!$J$9:$J$1208,0)),""),'CAT_ESTADOS_ERP'!$A$4:$A$7,0)),"Pendiente"))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J1200="","",IFERROR(INDEX('CALENDARIO'!$C$15:$C$214,MATCH(TEXT($J1200,"yyyy-mm-dd")&amp;"|"&amp;$V1200&amp;"|"&amp;$W1200,'CALENDARIO'!$G$15:$G$214,0)),IFERROR(INDEX('CALENDARIO'!$C$15:$C$214,MATCH(TEXT($J1200,"yyyy-mm-dd")&amp;"|"&amp;$V1200&amp;"|",'CALENDARIO'!$G$15:$G$214,0)),IFERROR(INDEX('CALENDARIO'!$C$15:$C$214,MATCH(TEXT($J1200,"yyyy-mm-dd")&amp;"||",'CALENDARIO'!$G$15:$G$214,0)),INDEX(patronHabil,WEEKDAY($J1200,2))))))</f>
        <v/>
      </c>
      <c r="T1200" s="3">
        <f>IF($I1200="","",IFERROR(INDEX('CAT_TIPOS_OT'!$C$4:$C$7,MATCH($I1200,'CAT_TIPOS_OT'!$A$4:$A$7,0)),"sin_clasificar"))</f>
        <v/>
      </c>
      <c r="U1200" s="3">
        <f>IF($F1200="","",IFERROR(INDEX('CAT_CENTROS_COSTO'!$F$4:$F$13,MATCH($F1200,'CAT_CENTROS_COSTO'!$A$4:$A$13,0)),"(sin catálogo)"))</f>
        <v/>
      </c>
      <c r="V1200" s="3">
        <f>IF($F1200="","",IFERROR(INDEX('CAT_CENTROS_COSTO'!$D$4:$D$13,MATCH($F1200,'CAT_CENTROS_COSTO'!$A$4:$A$13,0)),"(sin catálogo)"))</f>
        <v/>
      </c>
      <c r="W1200" s="3">
        <f>IF($F1200="","",IF((IFERROR(INDEX('CAT_CENTROS_COSTO'!$E$4:$E$13,MATCH($F1200,'CAT_CENTROS_COSTO'!$A$4:$A$13,0)),""))&lt;&gt;"",IFERROR(INDEX('CAT_CENTROS_COSTO'!$E$4:$E$13,MATCH($F1200,'CAT_CENTROS_COSTO'!$A$4:$A$13,0)),""),$V1200))</f>
        <v/>
      </c>
      <c r="X1200" s="3">
        <f>IF($F1200="","",IFERROR(INDEX('CAT_CENTROS_COSTO'!$G$4:$G$13,MATCH($F1200,'CAT_CENTROS_COSTO'!$A$4:$A$13,0)),"(sin catálogo)"))</f>
        <v/>
      </c>
      <c r="Y1200" s="3">
        <f>IF($G1200="","",IFERROR(INDEX('CAT_PUESTOS'!$B$4:$B$8,MATCH($G1200,'CAT_PUESTOS'!$A$4:$A$8,0)),"(sin catálogo)"))</f>
        <v/>
      </c>
      <c r="Z1200" s="3">
        <f>IF($H1200="","",IFERROR(INDEX('CAT_ACTIVIDADES'!$B$4:$B$8,MATCH($H1200,'CAT_ACTIVIDADES'!$A$4:$A$8,0)),"(sin catálogo)"))</f>
        <v/>
      </c>
      <c r="AA1200" s="12">
        <f>IF($J1200="","",TODAY()-$J1200)</f>
        <v/>
      </c>
      <c r="AB1200" s="12">
        <f>IF($J1200="","",IF($J1200&lt;=TODAY(),COUNTIFS(cal_fechas,"&gt;="&amp;$J1200,cal_fechas,"&lt;"&amp;TODAY(),cal_habil,"sí"),-COUNTIFS(cal_fechas,"&gt;="&amp;TODAY(),cal_fechas,"&lt;"&amp;$J1200,cal_habil,"sí")))</f>
        <v/>
      </c>
      <c r="AC1200" s="3">
        <f>IF($AB1200="","",IF($AB1200&lt;0,"FUTURO",IF($AB1200&gt;p_dias_backlog_max,"BACKLOG","MES CORRIENTE")))</f>
        <v/>
      </c>
      <c r="AD1200" s="3">
        <f>IF($AB1200="",FALSE,AND($AB1200&gt;p_dias_backlog_min,$AB1200&lt;=p_dias_backlog_max))</f>
        <v/>
      </c>
      <c r="AE1200" s="6" t="n"/>
      <c r="AF1200" s="3">
        <f>IF($AE1200="","",IF((IFERROR(INDEX('ASIGNACIONES'!$F$4:$F$339,MATCH($O1200&amp;"|"&amp;$R1200&amp;"|"&amp;$AE1200,'ASIGNACIONES'!$J$4:$J$339,0)),""))=0,"",IFERROR(INDEX('ASIGNACIONES'!$F$4:$F$339,MATCH($O1200&amp;"|"&amp;$R1200&amp;"|"&amp;$AE1200,'ASIGNACIONES'!$J$4:$J$339,0)),"")))</f>
        <v/>
      </c>
      <c r="AG1200" s="13">
        <f>IF($AE1200="","",SUMIFS('ORDENES'!$M$4:$M$1203,'ORDENES'!$AE$4:$AE$1203,$AE1200,'ORDENES'!$O$4:$O$1203,$O1200,'ORDENES'!$R$4:$R$1203,$R1200))</f>
        <v/>
      </c>
      <c r="AH1200" s="13">
        <f>IF($AG1200="","",p_factor_productividad*IFERROR(INDEX('ASIGNACIONES'!$I$4:$I$339,MATCH($O1200&amp;"|"&amp;$R1200&amp;"|"&amp;$AE1200,'ASIGNACIONES'!$J$4:$J$339,0)),0)-$AG1200)</f>
        <v/>
      </c>
      <c r="AI1200" s="10">
        <f>IF($A1200="","",IFERROR(INDEX('2_IMPORTAR_EJECUCION'!$F$9:$F$1208,MATCH($AQ1200,'2_IMPORTAR_EJECUCION'!$J$9:$J$1208,0)),0))</f>
        <v/>
      </c>
      <c r="AJ1200" s="10">
        <f>IF($A1200="","",MAX(0,IFERROR(INDEX('2_IMPORTAR_EJECUCION'!$H$9:$H$1208,MATCH($AQ1200,'2_IMPORTAR_EJECUCION'!$J$9:$J$1208,0)),0)-$AI1200))</f>
        <v/>
      </c>
      <c r="AK1200" s="10">
        <f>IF($A1200="","",$AI1200+$AJ1200)</f>
        <v/>
      </c>
      <c r="AL1200" s="6" t="n"/>
      <c r="AM1200" s="6" t="n"/>
      <c r="AN1200" s="6" t="n"/>
      <c r="AO1200" s="3">
        <f>IF($AN1200="","",HYPERLINK(p_ruta_base_checklists&amp;$AN1200,"abrir"))</f>
        <v/>
      </c>
      <c r="AP1200" s="6" t="n"/>
      <c r="AQ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IF($A1201="","",IFERROR(INDEX('AJUSTES'!$B$4:$B$303,MATCH($AQ1201,'AJUSTES'!$A$4:$A$303,0)),IF($K1201="","",$K1201)))</f>
        <v/>
      </c>
      <c r="N1201" s="3">
        <f>IF($A1201="","",IFERROR(INDEX('CAT_ESTADOS_ERP'!$B$4:$B$7,MATCH(IFERROR(INDEX('2_IMPORTAR_EJECUCION'!$C$9:$C$1208,MATCH($AQ1201,'2_IMPORTAR_EJECUCION'!$J$9:$J$1208,0)),""),'CAT_ESTADOS_ERP'!$A$4:$A$7,0)),"Pendiente"))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J1201="","",IFERROR(INDEX('CALENDARIO'!$C$15:$C$214,MATCH(TEXT($J1201,"yyyy-mm-dd")&amp;"|"&amp;$V1201&amp;"|"&amp;$W1201,'CALENDARIO'!$G$15:$G$214,0)),IFERROR(INDEX('CALENDARIO'!$C$15:$C$214,MATCH(TEXT($J1201,"yyyy-mm-dd")&amp;"|"&amp;$V1201&amp;"|",'CALENDARIO'!$G$15:$G$214,0)),IFERROR(INDEX('CALENDARIO'!$C$15:$C$214,MATCH(TEXT($J1201,"yyyy-mm-dd")&amp;"||",'CALENDARIO'!$G$15:$G$214,0)),INDEX(patronHabil,WEEKDAY($J1201,2))))))</f>
        <v/>
      </c>
      <c r="T1201" s="3">
        <f>IF($I1201="","",IFERROR(INDEX('CAT_TIPOS_OT'!$C$4:$C$7,MATCH($I1201,'CAT_TIPOS_OT'!$A$4:$A$7,0)),"sin_clasificar"))</f>
        <v/>
      </c>
      <c r="U1201" s="3">
        <f>IF($F1201="","",IFERROR(INDEX('CAT_CENTROS_COSTO'!$F$4:$F$13,MATCH($F1201,'CAT_CENTROS_COSTO'!$A$4:$A$13,0)),"(sin catálogo)"))</f>
        <v/>
      </c>
      <c r="V1201" s="3">
        <f>IF($F1201="","",IFERROR(INDEX('CAT_CENTROS_COSTO'!$D$4:$D$13,MATCH($F1201,'CAT_CENTROS_COSTO'!$A$4:$A$13,0)),"(sin catálogo)"))</f>
        <v/>
      </c>
      <c r="W1201" s="3">
        <f>IF($F1201="","",IF((IFERROR(INDEX('CAT_CENTROS_COSTO'!$E$4:$E$13,MATCH($F1201,'CAT_CENTROS_COSTO'!$A$4:$A$13,0)),""))&lt;&gt;"",IFERROR(INDEX('CAT_CENTROS_COSTO'!$E$4:$E$13,MATCH($F1201,'CAT_CENTROS_COSTO'!$A$4:$A$13,0)),""),$V1201))</f>
        <v/>
      </c>
      <c r="X1201" s="3">
        <f>IF($F1201="","",IFERROR(INDEX('CAT_CENTROS_COSTO'!$G$4:$G$13,MATCH($F1201,'CAT_CENTROS_COSTO'!$A$4:$A$13,0)),"(sin catálogo)"))</f>
        <v/>
      </c>
      <c r="Y1201" s="3">
        <f>IF($G1201="","",IFERROR(INDEX('CAT_PUESTOS'!$B$4:$B$8,MATCH($G1201,'CAT_PUESTOS'!$A$4:$A$8,0)),"(sin catálogo)"))</f>
        <v/>
      </c>
      <c r="Z1201" s="3">
        <f>IF($H1201="","",IFERROR(INDEX('CAT_ACTIVIDADES'!$B$4:$B$8,MATCH($H1201,'CAT_ACTIVIDADES'!$A$4:$A$8,0)),"(sin catálogo)"))</f>
        <v/>
      </c>
      <c r="AA1201" s="12">
        <f>IF($J1201="","",TODAY()-$J1201)</f>
        <v/>
      </c>
      <c r="AB1201" s="12">
        <f>IF($J1201="","",IF($J1201&lt;=TODAY(),COUNTIFS(cal_fechas,"&gt;="&amp;$J1201,cal_fechas,"&lt;"&amp;TODAY(),cal_habil,"sí"),-COUNTIFS(cal_fechas,"&gt;="&amp;TODAY(),cal_fechas,"&lt;"&amp;$J1201,cal_habil,"sí")))</f>
        <v/>
      </c>
      <c r="AC1201" s="3">
        <f>IF($AB1201="","",IF($AB1201&lt;0,"FUTURO",IF($AB1201&gt;p_dias_backlog_max,"BACKLOG","MES CORRIENTE")))</f>
        <v/>
      </c>
      <c r="AD1201" s="3">
        <f>IF($AB1201="",FALSE,AND($AB1201&gt;p_dias_backlog_min,$AB1201&lt;=p_dias_backlog_max))</f>
        <v/>
      </c>
      <c r="AE1201" s="6" t="n"/>
      <c r="AF1201" s="3">
        <f>IF($AE1201="","",IF((IFERROR(INDEX('ASIGNACIONES'!$F$4:$F$339,MATCH($O1201&amp;"|"&amp;$R1201&amp;"|"&amp;$AE1201,'ASIGNACIONES'!$J$4:$J$339,0)),""))=0,"",IFERROR(INDEX('ASIGNACIONES'!$F$4:$F$339,MATCH($O1201&amp;"|"&amp;$R1201&amp;"|"&amp;$AE1201,'ASIGNACIONES'!$J$4:$J$339,0)),"")))</f>
        <v/>
      </c>
      <c r="AG1201" s="13">
        <f>IF($AE1201="","",SUMIFS('ORDENES'!$M$4:$M$1203,'ORDENES'!$AE$4:$AE$1203,$AE1201,'ORDENES'!$O$4:$O$1203,$O1201,'ORDENES'!$R$4:$R$1203,$R1201))</f>
        <v/>
      </c>
      <c r="AH1201" s="13">
        <f>IF($AG1201="","",p_factor_productividad*IFERROR(INDEX('ASIGNACIONES'!$I$4:$I$339,MATCH($O1201&amp;"|"&amp;$R1201&amp;"|"&amp;$AE1201,'ASIGNACIONES'!$J$4:$J$339,0)),0)-$AG1201)</f>
        <v/>
      </c>
      <c r="AI1201" s="10">
        <f>IF($A1201="","",IFERROR(INDEX('2_IMPORTAR_EJECUCION'!$F$9:$F$1208,MATCH($AQ1201,'2_IMPORTAR_EJECUCION'!$J$9:$J$1208,0)),0))</f>
        <v/>
      </c>
      <c r="AJ1201" s="10">
        <f>IF($A1201="","",MAX(0,IFERROR(INDEX('2_IMPORTAR_EJECUCION'!$H$9:$H$1208,MATCH($AQ1201,'2_IMPORTAR_EJECUCION'!$J$9:$J$1208,0)),0)-$AI1201))</f>
        <v/>
      </c>
      <c r="AK1201" s="10">
        <f>IF($A1201="","",$AI1201+$AJ1201)</f>
        <v/>
      </c>
      <c r="AL1201" s="6" t="n"/>
      <c r="AM1201" s="6" t="n"/>
      <c r="AN1201" s="6" t="n"/>
      <c r="AO1201" s="3">
        <f>IF($AN1201="","",HYPERLINK(p_ruta_base_checklists&amp;$AN1201,"abrir"))</f>
        <v/>
      </c>
      <c r="AP1201" s="6" t="n"/>
      <c r="AQ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IF($A1202="","",IFERROR(INDEX('AJUSTES'!$B$4:$B$303,MATCH($AQ1202,'AJUSTES'!$A$4:$A$303,0)),IF($K1202="","",$K1202)))</f>
        <v/>
      </c>
      <c r="N1202" s="3">
        <f>IF($A1202="","",IFERROR(INDEX('CAT_ESTADOS_ERP'!$B$4:$B$7,MATCH(IFERROR(INDEX('2_IMPORTAR_EJECUCION'!$C$9:$C$1208,MATCH($AQ1202,'2_IMPORTAR_EJECUCION'!$J$9:$J$1208,0)),""),'CAT_ESTADOS_ERP'!$A$4:$A$7,0)),"Pendiente"))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J1202="","",IFERROR(INDEX('CALENDARIO'!$C$15:$C$214,MATCH(TEXT($J1202,"yyyy-mm-dd")&amp;"|"&amp;$V1202&amp;"|"&amp;$W1202,'CALENDARIO'!$G$15:$G$214,0)),IFERROR(INDEX('CALENDARIO'!$C$15:$C$214,MATCH(TEXT($J1202,"yyyy-mm-dd")&amp;"|"&amp;$V1202&amp;"|",'CALENDARIO'!$G$15:$G$214,0)),IFERROR(INDEX('CALENDARIO'!$C$15:$C$214,MATCH(TEXT($J1202,"yyyy-mm-dd")&amp;"||",'CALENDARIO'!$G$15:$G$214,0)),INDEX(patronHabil,WEEKDAY($J1202,2))))))</f>
        <v/>
      </c>
      <c r="T1202" s="3">
        <f>IF($I1202="","",IFERROR(INDEX('CAT_TIPOS_OT'!$C$4:$C$7,MATCH($I1202,'CAT_TIPOS_OT'!$A$4:$A$7,0)),"sin_clasificar"))</f>
        <v/>
      </c>
      <c r="U1202" s="3">
        <f>IF($F1202="","",IFERROR(INDEX('CAT_CENTROS_COSTO'!$F$4:$F$13,MATCH($F1202,'CAT_CENTROS_COSTO'!$A$4:$A$13,0)),"(sin catálogo)"))</f>
        <v/>
      </c>
      <c r="V1202" s="3">
        <f>IF($F1202="","",IFERROR(INDEX('CAT_CENTROS_COSTO'!$D$4:$D$13,MATCH($F1202,'CAT_CENTROS_COSTO'!$A$4:$A$13,0)),"(sin catálogo)"))</f>
        <v/>
      </c>
      <c r="W1202" s="3">
        <f>IF($F1202="","",IF((IFERROR(INDEX('CAT_CENTROS_COSTO'!$E$4:$E$13,MATCH($F1202,'CAT_CENTROS_COSTO'!$A$4:$A$13,0)),""))&lt;&gt;"",IFERROR(INDEX('CAT_CENTROS_COSTO'!$E$4:$E$13,MATCH($F1202,'CAT_CENTROS_COSTO'!$A$4:$A$13,0)),""),$V1202))</f>
        <v/>
      </c>
      <c r="X1202" s="3">
        <f>IF($F1202="","",IFERROR(INDEX('CAT_CENTROS_COSTO'!$G$4:$G$13,MATCH($F1202,'CAT_CENTROS_COSTO'!$A$4:$A$13,0)),"(sin catálogo)"))</f>
        <v/>
      </c>
      <c r="Y1202" s="3">
        <f>IF($G1202="","",IFERROR(INDEX('CAT_PUESTOS'!$B$4:$B$8,MATCH($G1202,'CAT_PUESTOS'!$A$4:$A$8,0)),"(sin catálogo)"))</f>
        <v/>
      </c>
      <c r="Z1202" s="3">
        <f>IF($H1202="","",IFERROR(INDEX('CAT_ACTIVIDADES'!$B$4:$B$8,MATCH($H1202,'CAT_ACTIVIDADES'!$A$4:$A$8,0)),"(sin catálogo)"))</f>
        <v/>
      </c>
      <c r="AA1202" s="12">
        <f>IF($J1202="","",TODAY()-$J1202)</f>
        <v/>
      </c>
      <c r="AB1202" s="12">
        <f>IF($J1202="","",IF($J1202&lt;=TODAY(),COUNTIFS(cal_fechas,"&gt;="&amp;$J1202,cal_fechas,"&lt;"&amp;TODAY(),cal_habil,"sí"),-COUNTIFS(cal_fechas,"&gt;="&amp;TODAY(),cal_fechas,"&lt;"&amp;$J1202,cal_habil,"sí")))</f>
        <v/>
      </c>
      <c r="AC1202" s="3">
        <f>IF($AB1202="","",IF($AB1202&lt;0,"FUTURO",IF($AB1202&gt;p_dias_backlog_max,"BACKLOG","MES CORRIENTE")))</f>
        <v/>
      </c>
      <c r="AD1202" s="3">
        <f>IF($AB1202="",FALSE,AND($AB1202&gt;p_dias_backlog_min,$AB1202&lt;=p_dias_backlog_max))</f>
        <v/>
      </c>
      <c r="AE1202" s="6" t="n"/>
      <c r="AF1202" s="3">
        <f>IF($AE1202="","",IF((IFERROR(INDEX('ASIGNACIONES'!$F$4:$F$339,MATCH($O1202&amp;"|"&amp;$R1202&amp;"|"&amp;$AE1202,'ASIGNACIONES'!$J$4:$J$339,0)),""))=0,"",IFERROR(INDEX('ASIGNACIONES'!$F$4:$F$339,MATCH($O1202&amp;"|"&amp;$R1202&amp;"|"&amp;$AE1202,'ASIGNACIONES'!$J$4:$J$339,0)),"")))</f>
        <v/>
      </c>
      <c r="AG1202" s="13">
        <f>IF($AE1202="","",SUMIFS('ORDENES'!$M$4:$M$1203,'ORDENES'!$AE$4:$AE$1203,$AE1202,'ORDENES'!$O$4:$O$1203,$O1202,'ORDENES'!$R$4:$R$1203,$R1202))</f>
        <v/>
      </c>
      <c r="AH1202" s="13">
        <f>IF($AG1202="","",p_factor_productividad*IFERROR(INDEX('ASIGNACIONES'!$I$4:$I$339,MATCH($O1202&amp;"|"&amp;$R1202&amp;"|"&amp;$AE1202,'ASIGNACIONES'!$J$4:$J$339,0)),0)-$AG1202)</f>
        <v/>
      </c>
      <c r="AI1202" s="10">
        <f>IF($A1202="","",IFERROR(INDEX('2_IMPORTAR_EJECUCION'!$F$9:$F$1208,MATCH($AQ1202,'2_IMPORTAR_EJECUCION'!$J$9:$J$1208,0)),0))</f>
        <v/>
      </c>
      <c r="AJ1202" s="10">
        <f>IF($A1202="","",MAX(0,IFERROR(INDEX('2_IMPORTAR_EJECUCION'!$H$9:$H$1208,MATCH($AQ1202,'2_IMPORTAR_EJECUCION'!$J$9:$J$1208,0)),0)-$AI1202))</f>
        <v/>
      </c>
      <c r="AK1202" s="10">
        <f>IF($A1202="","",$AI1202+$AJ1202)</f>
        <v/>
      </c>
      <c r="AL1202" s="6" t="n"/>
      <c r="AM1202" s="6" t="n"/>
      <c r="AN1202" s="6" t="n"/>
      <c r="AO1202" s="3">
        <f>IF($AN1202="","",HYPERLINK(p_ruta_base_checklists&amp;$AN1202,"abrir"))</f>
        <v/>
      </c>
      <c r="AP1202" s="6" t="n"/>
      <c r="AQ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IF($A1203="","",IFERROR(INDEX('AJUSTES'!$B$4:$B$303,MATCH($AQ1203,'AJUSTES'!$A$4:$A$303,0)),IF($K1203="","",$K1203)))</f>
        <v/>
      </c>
      <c r="N1203" s="3">
        <f>IF($A1203="","",IFERROR(INDEX('CAT_ESTADOS_ERP'!$B$4:$B$7,MATCH(IFERROR(INDEX('2_IMPORTAR_EJECUCION'!$C$9:$C$1208,MATCH($AQ1203,'2_IMPORTAR_EJECUCION'!$J$9:$J$1208,0)),""),'CAT_ESTADOS_ERP'!$A$4:$A$7,0)),"Pendiente"))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J1203="","",IFERROR(INDEX('CALENDARIO'!$C$15:$C$214,MATCH(TEXT($J1203,"yyyy-mm-dd")&amp;"|"&amp;$V1203&amp;"|"&amp;$W1203,'CALENDARIO'!$G$15:$G$214,0)),IFERROR(INDEX('CALENDARIO'!$C$15:$C$214,MATCH(TEXT($J1203,"yyyy-mm-dd")&amp;"|"&amp;$V1203&amp;"|",'CALENDARIO'!$G$15:$G$214,0)),IFERROR(INDEX('CALENDARIO'!$C$15:$C$214,MATCH(TEXT($J1203,"yyyy-mm-dd")&amp;"||",'CALENDARIO'!$G$15:$G$214,0)),INDEX(patronHabil,WEEKDAY($J1203,2))))))</f>
        <v/>
      </c>
      <c r="T1203" s="3">
        <f>IF($I1203="","",IFERROR(INDEX('CAT_TIPOS_OT'!$C$4:$C$7,MATCH($I1203,'CAT_TIPOS_OT'!$A$4:$A$7,0)),"sin_clasificar"))</f>
        <v/>
      </c>
      <c r="U1203" s="3">
        <f>IF($F1203="","",IFERROR(INDEX('CAT_CENTROS_COSTO'!$F$4:$F$13,MATCH($F1203,'CAT_CENTROS_COSTO'!$A$4:$A$13,0)),"(sin catálogo)"))</f>
        <v/>
      </c>
      <c r="V1203" s="3">
        <f>IF($F1203="","",IFERROR(INDEX('CAT_CENTROS_COSTO'!$D$4:$D$13,MATCH($F1203,'CAT_CENTROS_COSTO'!$A$4:$A$13,0)),"(sin catálogo)"))</f>
        <v/>
      </c>
      <c r="W1203" s="3">
        <f>IF($F1203="","",IF((IFERROR(INDEX('CAT_CENTROS_COSTO'!$E$4:$E$13,MATCH($F1203,'CAT_CENTROS_COSTO'!$A$4:$A$13,0)),""))&lt;&gt;"",IFERROR(INDEX('CAT_CENTROS_COSTO'!$E$4:$E$13,MATCH($F1203,'CAT_CENTROS_COSTO'!$A$4:$A$13,0)),""),$V1203))</f>
        <v/>
      </c>
      <c r="X1203" s="3">
        <f>IF($F1203="","",IFERROR(INDEX('CAT_CENTROS_COSTO'!$G$4:$G$13,MATCH($F1203,'CAT_CENTROS_COSTO'!$A$4:$A$13,0)),"(sin catálogo)"))</f>
        <v/>
      </c>
      <c r="Y1203" s="3">
        <f>IF($G1203="","",IFERROR(INDEX('CAT_PUESTOS'!$B$4:$B$8,MATCH($G1203,'CAT_PUESTOS'!$A$4:$A$8,0)),"(sin catálogo)"))</f>
        <v/>
      </c>
      <c r="Z1203" s="3">
        <f>IF($H1203="","",IFERROR(INDEX('CAT_ACTIVIDADES'!$B$4:$B$8,MATCH($H1203,'CAT_ACTIVIDADES'!$A$4:$A$8,0)),"(sin catálogo)"))</f>
        <v/>
      </c>
      <c r="AA1203" s="12">
        <f>IF($J1203="","",TODAY()-$J1203)</f>
        <v/>
      </c>
      <c r="AB1203" s="12">
        <f>IF($J1203="","",IF($J1203&lt;=TODAY(),COUNTIFS(cal_fechas,"&gt;="&amp;$J1203,cal_fechas,"&lt;"&amp;TODAY(),cal_habil,"sí"),-COUNTIFS(cal_fechas,"&gt;="&amp;TODAY(),cal_fechas,"&lt;"&amp;$J1203,cal_habil,"sí")))</f>
        <v/>
      </c>
      <c r="AC1203" s="3">
        <f>IF($AB1203="","",IF($AB1203&lt;0,"FUTURO",IF($AB1203&gt;p_dias_backlog_max,"BACKLOG","MES CORRIENTE")))</f>
        <v/>
      </c>
      <c r="AD1203" s="3">
        <f>IF($AB1203="",FALSE,AND($AB1203&gt;p_dias_backlog_min,$AB1203&lt;=p_dias_backlog_max))</f>
        <v/>
      </c>
      <c r="AE1203" s="6" t="n"/>
      <c r="AF1203" s="3">
        <f>IF($AE1203="","",IF((IFERROR(INDEX('ASIGNACIONES'!$F$4:$F$339,MATCH($O1203&amp;"|"&amp;$R1203&amp;"|"&amp;$AE1203,'ASIGNACIONES'!$J$4:$J$339,0)),""))=0,"",IFERROR(INDEX('ASIGNACIONES'!$F$4:$F$339,MATCH($O1203&amp;"|"&amp;$R1203&amp;"|"&amp;$AE1203,'ASIGNACIONES'!$J$4:$J$339,0)),"")))</f>
        <v/>
      </c>
      <c r="AG1203" s="13">
        <f>IF($AE1203="","",SUMIFS('ORDENES'!$M$4:$M$1203,'ORDENES'!$AE$4:$AE$1203,$AE1203,'ORDENES'!$O$4:$O$1203,$O1203,'ORDENES'!$R$4:$R$1203,$R1203))</f>
        <v/>
      </c>
      <c r="AH1203" s="13">
        <f>IF($AG1203="","",p_factor_productividad*IFERROR(INDEX('ASIGNACIONES'!$I$4:$I$339,MATCH($O1203&amp;"|"&amp;$R1203&amp;"|"&amp;$AE1203,'ASIGNACIONES'!$J$4:$J$339,0)),0)-$AG1203)</f>
        <v/>
      </c>
      <c r="AI1203" s="10">
        <f>IF($A1203="","",IFERROR(INDEX('2_IMPORTAR_EJECUCION'!$F$9:$F$1208,MATCH($AQ1203,'2_IMPORTAR_EJECUCION'!$J$9:$J$1208,0)),0))</f>
        <v/>
      </c>
      <c r="AJ1203" s="10">
        <f>IF($A1203="","",MAX(0,IFERROR(INDEX('2_IMPORTAR_EJECUCION'!$H$9:$H$1208,MATCH($AQ1203,'2_IMPORTAR_EJECUCION'!$J$9:$J$1208,0)),0)-$AI1203))</f>
        <v/>
      </c>
      <c r="AK1203" s="10">
        <f>IF($A1203="","",$AI1203+$AJ1203)</f>
        <v/>
      </c>
      <c r="AL1203" s="6" t="n"/>
      <c r="AM1203" s="6" t="n"/>
      <c r="AN1203" s="6" t="n"/>
      <c r="AO1203" s="3">
        <f>IF($AN1203="","",HYPERLINK(p_ruta_base_checklists&amp;$AN1203,"abrir"))</f>
        <v/>
      </c>
      <c r="AP1203" s="6" t="n"/>
      <c r="AQ1203" s="3">
        <f>IF($A1203="","",$A1203&amp;IF($B1203="","0010",$B1203))</f>
        <v/>
      </c>
    </row>
  </sheetData>
  <conditionalFormatting sqref="AA4:AA1203">
    <cfRule type="cellIs" priority="1" operator="greaterThan" dxfId="0">
      <formula>90</formula>
    </cfRule>
  </conditionalFormatting>
  <conditionalFormatting sqref="AE4:AE1203">
    <cfRule type="expression" priority="2" dxfId="1">
      <formula>AND($AD4=TRUE,$AE4="")</formula>
    </cfRule>
  </conditionalFormatting>
  <conditionalFormatting sqref="AH4:AH1203">
    <cfRule type="cellIs" priority="3" operator="lessThan" dxfId="0">
      <formula>0</formula>
    </cfRule>
  </conditionalFormatting>
  <dataValidations count="1">
    <dataValidation sqref="AE4:AE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L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2" customWidth="1" min="8" max="8"/>
    <col width="16" customWidth="1" min="9" max="9"/>
    <col width="26" customWidth="1" min="10" max="10"/>
    <col width="11" customWidth="1" min="11" max="11"/>
    <col width="11" customWidth="1" min="12" max="12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fecha</t>
        </is>
      </c>
      <c r="I3" s="5" t="inlineStr">
        <is>
          <t>horas_disponibles</t>
        </is>
      </c>
      <c r="J3" s="5" t="inlineStr">
        <is>
          <t>clave</t>
        </is>
      </c>
      <c r="K3" s="5" t="inlineStr">
        <is>
          <t>hora_inicio</t>
        </is>
      </c>
      <c r="L3" s="5" t="inlineStr">
        <is>
          <t>hora_fin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11">
        <f>IF($A4="","",DATE(VALUE(LEFT($A4,4)),1,4)-WEEKDAY(DATE(VALUE(LEFT($A4,4)),1,4),2)+1+(VALUE(MID($A4,7,2))-1)*7+MATCH($B4,lista_dias,0)-1)</f>
        <v/>
      </c>
      <c r="I4" s="3">
        <f>IF(OR($F4="",ISNUMBER(MATCH($F4,lista_no_disponible,0)),(IFERROR(INDEX('CALENDARIO'!$C$15:$C$214,MATCH(TEXT($H4,"yyyy-mm-dd")&amp;"|"&amp;$D4&amp;"|"&amp;"",'CALENDARIO'!$G$15:$G$214,0)),IFERROR(INDEX('CALENDARIO'!$C$15:$C$214,MATCH(TEXT($H4,"yyyy-mm-dd")&amp;"|"&amp;$D4&amp;"|",'CALENDARIO'!$G$15:$G$214,0)),IFERROR(INDEX('CALENDARIO'!$C$15:$C$214,MATCH(TEXT($H4,"yyyy-mm-dd")&amp;"||",'CALENDARIO'!$G$15:$G$214,0)),INDEX(patronHabil,WEEKDAY($H4,2))))))&lt;&gt;"sí"),0,p_horas_jornada)</f>
        <v/>
      </c>
      <c r="J4" s="3">
        <f>$A4&amp;"|"&amp;$B4&amp;"|"&amp;$C4</f>
        <v/>
      </c>
      <c r="K4" s="3">
        <f>IFERROR(INDEX('CAT_TURNOS'!$C$4:$C$7,MATCH($F4,'CAT_TURNOS'!$A$4:$A$7,0)),"")</f>
        <v/>
      </c>
      <c r="L4" s="3">
        <f>IFERROR(INDEX('CAT_TURNOS'!$D$4:$D$7,MATCH($F4,'CAT_TURNOS'!$A$4:$A$7,0)),"")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11">
        <f>IF($A5="","",DATE(VALUE(LEFT($A5,4)),1,4)-WEEKDAY(DATE(VALUE(LEFT($A5,4)),1,4),2)+1+(VALUE(MID($A5,7,2))-1)*7+MATCH($B5,lista_dias,0)-1)</f>
        <v/>
      </c>
      <c r="I5" s="3">
        <f>IF(OR($F5="",ISNUMBER(MATCH($F5,lista_no_disponible,0)),(IFERROR(INDEX('CALENDARIO'!$C$15:$C$214,MATCH(TEXT($H5,"yyyy-mm-dd")&amp;"|"&amp;$D5&amp;"|"&amp;"",'CALENDARIO'!$G$15:$G$214,0)),IFERROR(INDEX('CALENDARIO'!$C$15:$C$214,MATCH(TEXT($H5,"yyyy-mm-dd")&amp;"|"&amp;$D5&amp;"|",'CALENDARIO'!$G$15:$G$214,0)),IFERROR(INDEX('CALENDARIO'!$C$15:$C$214,MATCH(TEXT($H5,"yyyy-mm-dd")&amp;"||",'CALENDARIO'!$G$15:$G$214,0)),INDEX(patronHabil,WEEKDAY($H5,2))))))&lt;&gt;"sí"),0,p_horas_jornada)</f>
        <v/>
      </c>
      <c r="J5" s="3">
        <f>$A5&amp;"|"&amp;$B5&amp;"|"&amp;$C5</f>
        <v/>
      </c>
      <c r="K5" s="3">
        <f>IFERROR(INDEX('CAT_TURNOS'!$C$4:$C$7,MATCH($F5,'CAT_TURNOS'!$A$4:$A$7,0)),"")</f>
        <v/>
      </c>
      <c r="L5" s="3">
        <f>IFERROR(INDEX('CAT_TURNOS'!$D$4:$D$7,MATCH($F5,'CAT_TURNOS'!$A$4:$A$7,0)),"")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11">
        <f>IF($A6="","",DATE(VALUE(LEFT($A6,4)),1,4)-WEEKDAY(DATE(VALUE(LEFT($A6,4)),1,4),2)+1+(VALUE(MID($A6,7,2))-1)*7+MATCH($B6,lista_dias,0)-1)</f>
        <v/>
      </c>
      <c r="I6" s="3">
        <f>IF(OR($F6="",ISNUMBER(MATCH($F6,lista_no_disponible,0)),(IFERROR(INDEX('CALENDARIO'!$C$15:$C$214,MATCH(TEXT($H6,"yyyy-mm-dd")&amp;"|"&amp;$D6&amp;"|"&amp;"",'CALENDARIO'!$G$15:$G$214,0)),IFERROR(INDEX('CALENDARIO'!$C$15:$C$214,MATCH(TEXT($H6,"yyyy-mm-dd")&amp;"|"&amp;$D6&amp;"|",'CALENDARIO'!$G$15:$G$214,0)),IFERROR(INDEX('CALENDARIO'!$C$15:$C$214,MATCH(TEXT($H6,"yyyy-mm-dd")&amp;"||",'CALENDARIO'!$G$15:$G$214,0)),INDEX(patronHabil,WEEKDAY($H6,2))))))&lt;&gt;"sí"),0,p_horas_jornada)</f>
        <v/>
      </c>
      <c r="J6" s="3">
        <f>$A6&amp;"|"&amp;$B6&amp;"|"&amp;$C6</f>
        <v/>
      </c>
      <c r="K6" s="3">
        <f>IFERROR(INDEX('CAT_TURNOS'!$C$4:$C$7,MATCH($F6,'CAT_TURNOS'!$A$4:$A$7,0)),"")</f>
        <v/>
      </c>
      <c r="L6" s="3">
        <f>IFERROR(INDEX('CAT_TURNOS'!$D$4:$D$7,MATCH($F6,'CAT_TURNOS'!$A$4:$A$7,0)),"")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11">
        <f>IF($A7="","",DATE(VALUE(LEFT($A7,4)),1,4)-WEEKDAY(DATE(VALUE(LEFT($A7,4)),1,4),2)+1+(VALUE(MID($A7,7,2))-1)*7+MATCH($B7,lista_dias,0)-1)</f>
        <v/>
      </c>
      <c r="I7" s="3">
        <f>IF(OR($F7="",ISNUMBER(MATCH($F7,lista_no_disponible,0)),(IFERROR(INDEX('CALENDARIO'!$C$15:$C$214,MATCH(TEXT($H7,"yyyy-mm-dd")&amp;"|"&amp;$D7&amp;"|"&amp;"",'CALENDARIO'!$G$15:$G$214,0)),IFERROR(INDEX('CALENDARIO'!$C$15:$C$214,MATCH(TEXT($H7,"yyyy-mm-dd")&amp;"|"&amp;$D7&amp;"|",'CALENDARIO'!$G$15:$G$214,0)),IFERROR(INDEX('CALENDARIO'!$C$15:$C$214,MATCH(TEXT($H7,"yyyy-mm-dd")&amp;"||",'CALENDARIO'!$G$15:$G$214,0)),INDEX(patronHabil,WEEKDAY($H7,2))))))&lt;&gt;"sí"),0,p_horas_jornada)</f>
        <v/>
      </c>
      <c r="J7" s="3">
        <f>$A7&amp;"|"&amp;$B7&amp;"|"&amp;$C7</f>
        <v/>
      </c>
      <c r="K7" s="3">
        <f>IFERROR(INDEX('CAT_TURNOS'!$C$4:$C$7,MATCH($F7,'CAT_TURNOS'!$A$4:$A$7,0)),"")</f>
        <v/>
      </c>
      <c r="L7" s="3">
        <f>IFERROR(INDEX('CAT_TURNOS'!$D$4:$D$7,MATCH($F7,'CAT_TURNOS'!$A$4:$A$7,0)),"")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11">
        <f>IF($A8="","",DATE(VALUE(LEFT($A8,4)),1,4)-WEEKDAY(DATE(VALUE(LEFT($A8,4)),1,4),2)+1+(VALUE(MID($A8,7,2))-1)*7+MATCH($B8,lista_dias,0)-1)</f>
        <v/>
      </c>
      <c r="I8" s="3">
        <f>IF(OR($F8="",ISNUMBER(MATCH($F8,lista_no_disponible,0)),(IFERROR(INDEX('CALENDARIO'!$C$15:$C$214,MATCH(TEXT($H8,"yyyy-mm-dd")&amp;"|"&amp;$D8&amp;"|"&amp;"",'CALENDARIO'!$G$15:$G$214,0)),IFERROR(INDEX('CALENDARIO'!$C$15:$C$214,MATCH(TEXT($H8,"yyyy-mm-dd")&amp;"|"&amp;$D8&amp;"|",'CALENDARIO'!$G$15:$G$214,0)),IFERROR(INDEX('CALENDARIO'!$C$15:$C$214,MATCH(TEXT($H8,"yyyy-mm-dd")&amp;"||",'CALENDARIO'!$G$15:$G$214,0)),INDEX(patronHabil,WEEKDAY($H8,2))))))&lt;&gt;"sí"),0,p_horas_jornada)</f>
        <v/>
      </c>
      <c r="J8" s="3">
        <f>$A8&amp;"|"&amp;$B8&amp;"|"&amp;$C8</f>
        <v/>
      </c>
      <c r="K8" s="3">
        <f>IFERROR(INDEX('CAT_TURNOS'!$C$4:$C$7,MATCH($F8,'CAT_TURNOS'!$A$4:$A$7,0)),"")</f>
        <v/>
      </c>
      <c r="L8" s="3">
        <f>IFERROR(INDEX('CAT_TURNOS'!$D$4:$D$7,MATCH($F8,'CAT_TURNOS'!$A$4:$A$7,0)),"")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>
        <is>
          <t>T1</t>
        </is>
      </c>
      <c r="G9" s="3">
        <f>IFERROR(INDEX('TECNICOS'!$E$4:$E$15,MATCH($C9,'TECNICOS'!$B$4:$B$15,0)),"")</f>
        <v/>
      </c>
      <c r="H9" s="11">
        <f>IF($A9="","",DATE(VALUE(LEFT($A9,4)),1,4)-WEEKDAY(DATE(VALUE(LEFT($A9,4)),1,4),2)+1+(VALUE(MID($A9,7,2))-1)*7+MATCH($B9,lista_dias,0)-1)</f>
        <v/>
      </c>
      <c r="I9" s="3">
        <f>IF(OR($F9="",ISNUMBER(MATCH($F9,lista_no_disponible,0)),(IFERROR(INDEX('CALENDARIO'!$C$15:$C$214,MATCH(TEXT($H9,"yyyy-mm-dd")&amp;"|"&amp;$D9&amp;"|"&amp;"",'CALENDARIO'!$G$15:$G$214,0)),IFERROR(INDEX('CALENDARIO'!$C$15:$C$214,MATCH(TEXT($H9,"yyyy-mm-dd")&amp;"|"&amp;$D9&amp;"|",'CALENDARIO'!$G$15:$G$214,0)),IFERROR(INDEX('CALENDARIO'!$C$15:$C$214,MATCH(TEXT($H9,"yyyy-mm-dd")&amp;"||",'CALENDARIO'!$G$15:$G$214,0)),INDEX(patronHabil,WEEKDAY($H9,2))))))&lt;&gt;"sí"),0,p_horas_jornada)</f>
        <v/>
      </c>
      <c r="J9" s="3">
        <f>$A9&amp;"|"&amp;$B9&amp;"|"&amp;$C9</f>
        <v/>
      </c>
      <c r="K9" s="3">
        <f>IFERROR(INDEX('CAT_TURNOS'!$C$4:$C$7,MATCH($F9,'CAT_TURNOS'!$A$4:$A$7,0)),"")</f>
        <v/>
      </c>
      <c r="L9" s="3">
        <f>IFERROR(INDEX('CAT_TURNOS'!$D$4:$D$7,MATCH($F9,'CAT_TURNOS'!$A$4:$A$7,0)),"")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11">
        <f>IF($A10="","",DATE(VALUE(LEFT($A10,4)),1,4)-WEEKDAY(DATE(VALUE(LEFT($A10,4)),1,4),2)+1+(VALUE(MID($A10,7,2))-1)*7+MATCH($B10,lista_dias,0)-1)</f>
        <v/>
      </c>
      <c r="I10" s="3">
        <f>IF(OR($F10="",ISNUMBER(MATCH($F10,lista_no_disponible,0)),(IFERROR(INDEX('CALENDARIO'!$C$15:$C$214,MATCH(TEXT($H10,"yyyy-mm-dd")&amp;"|"&amp;$D10&amp;"|"&amp;"",'CALENDARIO'!$G$15:$G$214,0)),IFERROR(INDEX('CALENDARIO'!$C$15:$C$214,MATCH(TEXT($H10,"yyyy-mm-dd")&amp;"|"&amp;$D10&amp;"|",'CALENDARIO'!$G$15:$G$214,0)),IFERROR(INDEX('CALENDARIO'!$C$15:$C$214,MATCH(TEXT($H10,"yyyy-mm-dd")&amp;"||",'CALENDARIO'!$G$15:$G$214,0)),INDEX(patronHabil,WEEKDAY($H10,2))))))&lt;&gt;"sí"),0,p_horas_jornada)</f>
        <v/>
      </c>
      <c r="J10" s="3">
        <f>$A10&amp;"|"&amp;$B10&amp;"|"&amp;$C10</f>
        <v/>
      </c>
      <c r="K10" s="3">
        <f>IFERROR(INDEX('CAT_TURNOS'!$C$4:$C$7,MATCH($F10,'CAT_TURNOS'!$A$4:$A$7,0)),"")</f>
        <v/>
      </c>
      <c r="L10" s="3">
        <f>IFERROR(INDEX('CAT_TURNOS'!$D$4:$D$7,MATCH($F10,'CAT_TURNOS'!$A$4:$A$7,0)),"")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11">
        <f>IF($A11="","",DATE(VALUE(LEFT($A11,4)),1,4)-WEEKDAY(DATE(VALUE(LEFT($A11,4)),1,4),2)+1+(VALUE(MID($A11,7,2))-1)*7+MATCH($B11,lista_dias,0)-1)</f>
        <v/>
      </c>
      <c r="I11" s="3">
        <f>IF(OR($F11="",ISNUMBER(MATCH($F11,lista_no_disponible,0)),(IFERROR(INDEX('CALENDARIO'!$C$15:$C$214,MATCH(TEXT($H11,"yyyy-mm-dd")&amp;"|"&amp;$D11&amp;"|"&amp;"",'CALENDARIO'!$G$15:$G$214,0)),IFERROR(INDEX('CALENDARIO'!$C$15:$C$214,MATCH(TEXT($H11,"yyyy-mm-dd")&amp;"|"&amp;$D11&amp;"|",'CALENDARIO'!$G$15:$G$214,0)),IFERROR(INDEX('CALENDARIO'!$C$15:$C$214,MATCH(TEXT($H11,"yyyy-mm-dd")&amp;"||",'CALENDARIO'!$G$15:$G$214,0)),INDEX(patronHabil,WEEKDAY($H11,2))))))&lt;&gt;"sí"),0,p_horas_jornada)</f>
        <v/>
      </c>
      <c r="J11" s="3">
        <f>$A11&amp;"|"&amp;$B11&amp;"|"&amp;$C11</f>
        <v/>
      </c>
      <c r="K11" s="3">
        <f>IFERROR(INDEX('CAT_TURNOS'!$C$4:$C$7,MATCH($F11,'CAT_TURNOS'!$A$4:$A$7,0)),"")</f>
        <v/>
      </c>
      <c r="L11" s="3">
        <f>IFERROR(INDEX('CAT_TURNOS'!$D$4:$D$7,MATCH($F11,'CAT_TURNOS'!$A$4:$A$7,0)),"")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11">
        <f>IF($A12="","",DATE(VALUE(LEFT($A12,4)),1,4)-WEEKDAY(DATE(VALUE(LEFT($A12,4)),1,4),2)+1+(VALUE(MID($A12,7,2))-1)*7+MATCH($B12,lista_dias,0)-1)</f>
        <v/>
      </c>
      <c r="I12" s="3">
        <f>IF(OR($F12="",ISNUMBER(MATCH($F12,lista_no_disponible,0)),(IFERROR(INDEX('CALENDARIO'!$C$15:$C$214,MATCH(TEXT($H12,"yyyy-mm-dd")&amp;"|"&amp;$D12&amp;"|"&amp;"",'CALENDARIO'!$G$15:$G$214,0)),IFERROR(INDEX('CALENDARIO'!$C$15:$C$214,MATCH(TEXT($H12,"yyyy-mm-dd")&amp;"|"&amp;$D12&amp;"|",'CALENDARIO'!$G$15:$G$214,0)),IFERROR(INDEX('CALENDARIO'!$C$15:$C$214,MATCH(TEXT($H12,"yyyy-mm-dd")&amp;"||",'CALENDARIO'!$G$15:$G$214,0)),INDEX(patronHabil,WEEKDAY($H12,2))))))&lt;&gt;"sí"),0,p_horas_jornada)</f>
        <v/>
      </c>
      <c r="J12" s="3">
        <f>$A12&amp;"|"&amp;$B12&amp;"|"&amp;$C12</f>
        <v/>
      </c>
      <c r="K12" s="3">
        <f>IFERROR(INDEX('CAT_TURNOS'!$C$4:$C$7,MATCH($F12,'CAT_TURNOS'!$A$4:$A$7,0)),"")</f>
        <v/>
      </c>
      <c r="L12" s="3">
        <f>IFERROR(INDEX('CAT_TURNOS'!$D$4:$D$7,MATCH($F12,'CAT_TURNOS'!$A$4:$A$7,0)),"")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11">
        <f>IF($A13="","",DATE(VALUE(LEFT($A13,4)),1,4)-WEEKDAY(DATE(VALUE(LEFT($A13,4)),1,4),2)+1+(VALUE(MID($A13,7,2))-1)*7+MATCH($B13,lista_dias,0)-1)</f>
        <v/>
      </c>
      <c r="I13" s="3">
        <f>IF(OR($F13="",ISNUMBER(MATCH($F13,lista_no_disponible,0)),(IFERROR(INDEX('CALENDARIO'!$C$15:$C$214,MATCH(TEXT($H13,"yyyy-mm-dd")&amp;"|"&amp;$D13&amp;"|"&amp;"",'CALENDARIO'!$G$15:$G$214,0)),IFERROR(INDEX('CALENDARIO'!$C$15:$C$214,MATCH(TEXT($H13,"yyyy-mm-dd")&amp;"|"&amp;$D13&amp;"|",'CALENDARIO'!$G$15:$G$214,0)),IFERROR(INDEX('CALENDARIO'!$C$15:$C$214,MATCH(TEXT($H13,"yyyy-mm-dd")&amp;"||",'CALENDARIO'!$G$15:$G$214,0)),INDEX(patronHabil,WEEKDAY($H13,2))))))&lt;&gt;"sí"),0,p_horas_jornada)</f>
        <v/>
      </c>
      <c r="J13" s="3">
        <f>$A13&amp;"|"&amp;$B13&amp;"|"&amp;$C13</f>
        <v/>
      </c>
      <c r="K13" s="3">
        <f>IFERROR(INDEX('CAT_TURNOS'!$C$4:$C$7,MATCH($F13,'CAT_TURNOS'!$A$4:$A$7,0)),"")</f>
        <v/>
      </c>
      <c r="L13" s="3">
        <f>IFERROR(INDEX('CAT_TURNOS'!$D$4:$D$7,MATCH($F13,'CAT_TURNOS'!$A$4:$A$7,0)),"")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11">
        <f>IF($A14="","",DATE(VALUE(LEFT($A14,4)),1,4)-WEEKDAY(DATE(VALUE(LEFT($A14,4)),1,4),2)+1+(VALUE(MID($A14,7,2))-1)*7+MATCH($B14,lista_dias,0)-1)</f>
        <v/>
      </c>
      <c r="I14" s="3">
        <f>IF(OR($F14="",ISNUMBER(MATCH($F14,lista_no_disponible,0)),(IFERROR(INDEX('CALENDARIO'!$C$15:$C$214,MATCH(TEXT($H14,"yyyy-mm-dd")&amp;"|"&amp;$D14&amp;"|"&amp;"",'CALENDARIO'!$G$15:$G$214,0)),IFERROR(INDEX('CALENDARIO'!$C$15:$C$214,MATCH(TEXT($H14,"yyyy-mm-dd")&amp;"|"&amp;$D14&amp;"|",'CALENDARIO'!$G$15:$G$214,0)),IFERROR(INDEX('CALENDARIO'!$C$15:$C$214,MATCH(TEXT($H14,"yyyy-mm-dd")&amp;"||",'CALENDARIO'!$G$15:$G$214,0)),INDEX(patronHabil,WEEKDAY($H14,2))))))&lt;&gt;"sí"),0,p_horas_jornada)</f>
        <v/>
      </c>
      <c r="J14" s="3">
        <f>$A14&amp;"|"&amp;$B14&amp;"|"&amp;$C14</f>
        <v/>
      </c>
      <c r="K14" s="3">
        <f>IFERROR(INDEX('CAT_TURNOS'!$C$4:$C$7,MATCH($F14,'CAT_TURNOS'!$A$4:$A$7,0)),"")</f>
        <v/>
      </c>
      <c r="L14" s="3">
        <f>IFERROR(INDEX('CAT_TURNOS'!$D$4:$D$7,MATCH($F14,'CAT_TURNOS'!$A$4:$A$7,0)),"")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11">
        <f>IF($A15="","",DATE(VALUE(LEFT($A15,4)),1,4)-WEEKDAY(DATE(VALUE(LEFT($A15,4)),1,4),2)+1+(VALUE(MID($A15,7,2))-1)*7+MATCH($B15,lista_dias,0)-1)</f>
        <v/>
      </c>
      <c r="I15" s="3">
        <f>IF(OR($F15="",ISNUMBER(MATCH($F15,lista_no_disponible,0)),(IFERROR(INDEX('CALENDARIO'!$C$15:$C$214,MATCH(TEXT($H15,"yyyy-mm-dd")&amp;"|"&amp;$D15&amp;"|"&amp;"",'CALENDARIO'!$G$15:$G$214,0)),IFERROR(INDEX('CALENDARIO'!$C$15:$C$214,MATCH(TEXT($H15,"yyyy-mm-dd")&amp;"|"&amp;$D15&amp;"|",'CALENDARIO'!$G$15:$G$214,0)),IFERROR(INDEX('CALENDARIO'!$C$15:$C$214,MATCH(TEXT($H15,"yyyy-mm-dd")&amp;"||",'CALENDARIO'!$G$15:$G$214,0)),INDEX(patronHabil,WEEKDAY($H15,2))))))&lt;&gt;"sí"),0,p_horas_jornada)</f>
        <v/>
      </c>
      <c r="J15" s="3">
        <f>$A15&amp;"|"&amp;$B15&amp;"|"&amp;$C15</f>
        <v/>
      </c>
      <c r="K15" s="3">
        <f>IFERROR(INDEX('CAT_TURNOS'!$C$4:$C$7,MATCH($F15,'CAT_TURNOS'!$A$4:$A$7,0)),"")</f>
        <v/>
      </c>
      <c r="L15" s="3">
        <f>IFERROR(INDEX('CAT_TURNOS'!$D$4:$D$7,MATCH($F15,'CAT_TURNOS'!$A$4:$A$7,0)),"")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>
        <is>
          <t>T2</t>
        </is>
      </c>
      <c r="G16" s="3">
        <f>IFERROR(INDEX('TECNICOS'!$E$4:$E$15,MATCH($C16,'TECNICOS'!$B$4:$B$15,0)),"")</f>
        <v/>
      </c>
      <c r="H16" s="11">
        <f>IF($A16="","",DATE(VALUE(LEFT($A16,4)),1,4)-WEEKDAY(DATE(VALUE(LEFT($A16,4)),1,4),2)+1+(VALUE(MID($A16,7,2))-1)*7+MATCH($B16,lista_dias,0)-1)</f>
        <v/>
      </c>
      <c r="I16" s="3">
        <f>IF(OR($F16="",ISNUMBER(MATCH($F16,lista_no_disponible,0)),(IFERROR(INDEX('CALENDARIO'!$C$15:$C$214,MATCH(TEXT($H16,"yyyy-mm-dd")&amp;"|"&amp;$D16&amp;"|"&amp;"",'CALENDARIO'!$G$15:$G$214,0)),IFERROR(INDEX('CALENDARIO'!$C$15:$C$214,MATCH(TEXT($H16,"yyyy-mm-dd")&amp;"|"&amp;$D16&amp;"|",'CALENDARIO'!$G$15:$G$214,0)),IFERROR(INDEX('CALENDARIO'!$C$15:$C$214,MATCH(TEXT($H16,"yyyy-mm-dd")&amp;"||",'CALENDARIO'!$G$15:$G$214,0)),INDEX(patronHabil,WEEKDAY($H16,2))))))&lt;&gt;"sí"),0,p_horas_jornada)</f>
        <v/>
      </c>
      <c r="J16" s="3">
        <f>$A16&amp;"|"&amp;$B16&amp;"|"&amp;$C16</f>
        <v/>
      </c>
      <c r="K16" s="3">
        <f>IFERROR(INDEX('CAT_TURNOS'!$C$4:$C$7,MATCH($F16,'CAT_TURNOS'!$A$4:$A$7,0)),"")</f>
        <v/>
      </c>
      <c r="L16" s="3">
        <f>IFERROR(INDEX('CAT_TURNOS'!$D$4:$D$7,MATCH($F16,'CAT_TURNOS'!$A$4:$A$7,0)),"")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11">
        <f>IF($A17="","",DATE(VALUE(LEFT($A17,4)),1,4)-WEEKDAY(DATE(VALUE(LEFT($A17,4)),1,4),2)+1+(VALUE(MID($A17,7,2))-1)*7+MATCH($B17,lista_dias,0)-1)</f>
        <v/>
      </c>
      <c r="I17" s="3">
        <f>IF(OR($F17="",ISNUMBER(MATCH($F17,lista_no_disponible,0)),(IFERROR(INDEX('CALENDARIO'!$C$15:$C$214,MATCH(TEXT($H17,"yyyy-mm-dd")&amp;"|"&amp;$D17&amp;"|"&amp;"",'CALENDARIO'!$G$15:$G$214,0)),IFERROR(INDEX('CALENDARIO'!$C$15:$C$214,MATCH(TEXT($H17,"yyyy-mm-dd")&amp;"|"&amp;$D17&amp;"|",'CALENDARIO'!$G$15:$G$214,0)),IFERROR(INDEX('CALENDARIO'!$C$15:$C$214,MATCH(TEXT($H17,"yyyy-mm-dd")&amp;"||",'CALENDARIO'!$G$15:$G$214,0)),INDEX(patronHabil,WEEKDAY($H17,2))))))&lt;&gt;"sí"),0,p_horas_jornada)</f>
        <v/>
      </c>
      <c r="J17" s="3">
        <f>$A17&amp;"|"&amp;$B17&amp;"|"&amp;$C17</f>
        <v/>
      </c>
      <c r="K17" s="3">
        <f>IFERROR(INDEX('CAT_TURNOS'!$C$4:$C$7,MATCH($F17,'CAT_TURNOS'!$A$4:$A$7,0)),"")</f>
        <v/>
      </c>
      <c r="L17" s="3">
        <f>IFERROR(INDEX('CAT_TURNOS'!$D$4:$D$7,MATCH($F17,'CAT_TURNOS'!$A$4:$A$7,0)),"")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11">
        <f>IF($A18="","",DATE(VALUE(LEFT($A18,4)),1,4)-WEEKDAY(DATE(VALUE(LEFT($A18,4)),1,4),2)+1+(VALUE(MID($A18,7,2))-1)*7+MATCH($B18,lista_dias,0)-1)</f>
        <v/>
      </c>
      <c r="I18" s="3">
        <f>IF(OR($F18="",ISNUMBER(MATCH($F18,lista_no_disponible,0)),(IFERROR(INDEX('CALENDARIO'!$C$15:$C$214,MATCH(TEXT($H18,"yyyy-mm-dd")&amp;"|"&amp;$D18&amp;"|"&amp;"",'CALENDARIO'!$G$15:$G$214,0)),IFERROR(INDEX('CALENDARIO'!$C$15:$C$214,MATCH(TEXT($H18,"yyyy-mm-dd")&amp;"|"&amp;$D18&amp;"|",'CALENDARIO'!$G$15:$G$214,0)),IFERROR(INDEX('CALENDARIO'!$C$15:$C$214,MATCH(TEXT($H18,"yyyy-mm-dd")&amp;"||",'CALENDARIO'!$G$15:$G$214,0)),INDEX(patronHabil,WEEKDAY($H18,2))))))&lt;&gt;"sí"),0,p_horas_jornada)</f>
        <v/>
      </c>
      <c r="J18" s="3">
        <f>$A18&amp;"|"&amp;$B18&amp;"|"&amp;$C18</f>
        <v/>
      </c>
      <c r="K18" s="3">
        <f>IFERROR(INDEX('CAT_TURNOS'!$C$4:$C$7,MATCH($F18,'CAT_TURNOS'!$A$4:$A$7,0)),"")</f>
        <v/>
      </c>
      <c r="L18" s="3">
        <f>IFERROR(INDEX('CAT_TURNOS'!$D$4:$D$7,MATCH($F18,'CAT_TURNOS'!$A$4:$A$7,0)),"")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11">
        <f>IF($A19="","",DATE(VALUE(LEFT($A19,4)),1,4)-WEEKDAY(DATE(VALUE(LEFT($A19,4)),1,4),2)+1+(VALUE(MID($A19,7,2))-1)*7+MATCH($B19,lista_dias,0)-1)</f>
        <v/>
      </c>
      <c r="I19" s="3">
        <f>IF(OR($F19="",ISNUMBER(MATCH($F19,lista_no_disponible,0)),(IFERROR(INDEX('CALENDARIO'!$C$15:$C$214,MATCH(TEXT($H19,"yyyy-mm-dd")&amp;"|"&amp;$D19&amp;"|"&amp;"",'CALENDARIO'!$G$15:$G$214,0)),IFERROR(INDEX('CALENDARIO'!$C$15:$C$214,MATCH(TEXT($H19,"yyyy-mm-dd")&amp;"|"&amp;$D19&amp;"|",'CALENDARIO'!$G$15:$G$214,0)),IFERROR(INDEX('CALENDARIO'!$C$15:$C$214,MATCH(TEXT($H19,"yyyy-mm-dd")&amp;"||",'CALENDARIO'!$G$15:$G$214,0)),INDEX(patronHabil,WEEKDAY($H19,2))))))&lt;&gt;"sí"),0,p_horas_jornada)</f>
        <v/>
      </c>
      <c r="J19" s="3">
        <f>$A19&amp;"|"&amp;$B19&amp;"|"&amp;$C19</f>
        <v/>
      </c>
      <c r="K19" s="3">
        <f>IFERROR(INDEX('CAT_TURNOS'!$C$4:$C$7,MATCH($F19,'CAT_TURNOS'!$A$4:$A$7,0)),"")</f>
        <v/>
      </c>
      <c r="L19" s="3">
        <f>IFERROR(INDEX('CAT_TURNOS'!$D$4:$D$7,MATCH($F19,'CAT_TURNOS'!$A$4:$A$7,0)),"")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11">
        <f>IF($A20="","",DATE(VALUE(LEFT($A20,4)),1,4)-WEEKDAY(DATE(VALUE(LEFT($A20,4)),1,4),2)+1+(VALUE(MID($A20,7,2))-1)*7+MATCH($B20,lista_dias,0)-1)</f>
        <v/>
      </c>
      <c r="I20" s="3">
        <f>IF(OR($F20="",ISNUMBER(MATCH($F20,lista_no_disponible,0)),(IFERROR(INDEX('CALENDARIO'!$C$15:$C$214,MATCH(TEXT($H20,"yyyy-mm-dd")&amp;"|"&amp;$D20&amp;"|"&amp;"",'CALENDARIO'!$G$15:$G$214,0)),IFERROR(INDEX('CALENDARIO'!$C$15:$C$214,MATCH(TEXT($H20,"yyyy-mm-dd")&amp;"|"&amp;$D20&amp;"|",'CALENDARIO'!$G$15:$G$214,0)),IFERROR(INDEX('CALENDARIO'!$C$15:$C$214,MATCH(TEXT($H20,"yyyy-mm-dd")&amp;"||",'CALENDARIO'!$G$15:$G$214,0)),INDEX(patronHabil,WEEKDAY($H20,2))))))&lt;&gt;"sí"),0,p_horas_jornada)</f>
        <v/>
      </c>
      <c r="J20" s="3">
        <f>$A20&amp;"|"&amp;$B20&amp;"|"&amp;$C20</f>
        <v/>
      </c>
      <c r="K20" s="3">
        <f>IFERROR(INDEX('CAT_TURNOS'!$C$4:$C$7,MATCH($F20,'CAT_TURNOS'!$A$4:$A$7,0)),"")</f>
        <v/>
      </c>
      <c r="L20" s="3">
        <f>IFERROR(INDEX('CAT_TURNOS'!$D$4:$D$7,MATCH($F20,'CAT_TURNOS'!$A$4:$A$7,0)),"")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11">
        <f>IF($A21="","",DATE(VALUE(LEFT($A21,4)),1,4)-WEEKDAY(DATE(VALUE(LEFT($A21,4)),1,4),2)+1+(VALUE(MID($A21,7,2))-1)*7+MATCH($B21,lista_dias,0)-1)</f>
        <v/>
      </c>
      <c r="I21" s="3">
        <f>IF(OR($F21="",ISNUMBER(MATCH($F21,lista_no_disponible,0)),(IFERROR(INDEX('CALENDARIO'!$C$15:$C$214,MATCH(TEXT($H21,"yyyy-mm-dd")&amp;"|"&amp;$D21&amp;"|"&amp;"",'CALENDARIO'!$G$15:$G$214,0)),IFERROR(INDEX('CALENDARIO'!$C$15:$C$214,MATCH(TEXT($H21,"yyyy-mm-dd")&amp;"|"&amp;$D21&amp;"|",'CALENDARIO'!$G$15:$G$214,0)),IFERROR(INDEX('CALENDARIO'!$C$15:$C$214,MATCH(TEXT($H21,"yyyy-mm-dd")&amp;"||",'CALENDARIO'!$G$15:$G$214,0)),INDEX(patronHabil,WEEKDAY($H21,2))))))&lt;&gt;"sí"),0,p_horas_jornada)</f>
        <v/>
      </c>
      <c r="J21" s="3">
        <f>$A21&amp;"|"&amp;$B21&amp;"|"&amp;$C21</f>
        <v/>
      </c>
      <c r="K21" s="3">
        <f>IFERROR(INDEX('CAT_TURNOS'!$C$4:$C$7,MATCH($F21,'CAT_TURNOS'!$A$4:$A$7,0)),"")</f>
        <v/>
      </c>
      <c r="L21" s="3">
        <f>IFERROR(INDEX('CAT_TURNOS'!$D$4:$D$7,MATCH($F21,'CAT_TURNOS'!$A$4:$A$7,0)),"")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11">
        <f>IF($A22="","",DATE(VALUE(LEFT($A22,4)),1,4)-WEEKDAY(DATE(VALUE(LEFT($A22,4)),1,4),2)+1+(VALUE(MID($A22,7,2))-1)*7+MATCH($B22,lista_dias,0)-1)</f>
        <v/>
      </c>
      <c r="I22" s="3">
        <f>IF(OR($F22="",ISNUMBER(MATCH($F22,lista_no_disponible,0)),(IFERROR(INDEX('CALENDARIO'!$C$15:$C$214,MATCH(TEXT($H22,"yyyy-mm-dd")&amp;"|"&amp;$D22&amp;"|"&amp;"",'CALENDARIO'!$G$15:$G$214,0)),IFERROR(INDEX('CALENDARIO'!$C$15:$C$214,MATCH(TEXT($H22,"yyyy-mm-dd")&amp;"|"&amp;$D22&amp;"|",'CALENDARIO'!$G$15:$G$214,0)),IFERROR(INDEX('CALENDARIO'!$C$15:$C$214,MATCH(TEXT($H22,"yyyy-mm-dd")&amp;"||",'CALENDARIO'!$G$15:$G$214,0)),INDEX(patronHabil,WEEKDAY($H22,2))))))&lt;&gt;"sí"),0,p_horas_jornada)</f>
        <v/>
      </c>
      <c r="J22" s="3">
        <f>$A22&amp;"|"&amp;$B22&amp;"|"&amp;$C22</f>
        <v/>
      </c>
      <c r="K22" s="3">
        <f>IFERROR(INDEX('CAT_TURNOS'!$C$4:$C$7,MATCH($F22,'CAT_TURNOS'!$A$4:$A$7,0)),"")</f>
        <v/>
      </c>
      <c r="L22" s="3">
        <f>IFERROR(INDEX('CAT_TURNOS'!$D$4:$D$7,MATCH($F22,'CAT_TURNOS'!$A$4:$A$7,0)),"")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>
        <is>
          <t>T1</t>
        </is>
      </c>
      <c r="G23" s="3">
        <f>IFERROR(INDEX('TECNICOS'!$E$4:$E$15,MATCH($C23,'TECNICOS'!$B$4:$B$15,0)),"")</f>
        <v/>
      </c>
      <c r="H23" s="11">
        <f>IF($A23="","",DATE(VALUE(LEFT($A23,4)),1,4)-WEEKDAY(DATE(VALUE(LEFT($A23,4)),1,4),2)+1+(VALUE(MID($A23,7,2))-1)*7+MATCH($B23,lista_dias,0)-1)</f>
        <v/>
      </c>
      <c r="I23" s="3">
        <f>IF(OR($F23="",ISNUMBER(MATCH($F23,lista_no_disponible,0)),(IFERROR(INDEX('CALENDARIO'!$C$15:$C$214,MATCH(TEXT($H23,"yyyy-mm-dd")&amp;"|"&amp;$D23&amp;"|"&amp;"",'CALENDARIO'!$G$15:$G$214,0)),IFERROR(INDEX('CALENDARIO'!$C$15:$C$214,MATCH(TEXT($H23,"yyyy-mm-dd")&amp;"|"&amp;$D23&amp;"|",'CALENDARIO'!$G$15:$G$214,0)),IFERROR(INDEX('CALENDARIO'!$C$15:$C$214,MATCH(TEXT($H23,"yyyy-mm-dd")&amp;"||",'CALENDARIO'!$G$15:$G$214,0)),INDEX(patronHabil,WEEKDAY($H23,2))))))&lt;&gt;"sí"),0,p_horas_jornada)</f>
        <v/>
      </c>
      <c r="J23" s="3">
        <f>$A23&amp;"|"&amp;$B23&amp;"|"&amp;$C23</f>
        <v/>
      </c>
      <c r="K23" s="3">
        <f>IFERROR(INDEX('CAT_TURNOS'!$C$4:$C$7,MATCH($F23,'CAT_TURNOS'!$A$4:$A$7,0)),"")</f>
        <v/>
      </c>
      <c r="L23" s="3">
        <f>IFERROR(INDEX('CAT_TURNOS'!$D$4:$D$7,MATCH($F23,'CAT_TURNOS'!$A$4:$A$7,0)),"")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11">
        <f>IF($A24="","",DATE(VALUE(LEFT($A24,4)),1,4)-WEEKDAY(DATE(VALUE(LEFT($A24,4)),1,4),2)+1+(VALUE(MID($A24,7,2))-1)*7+MATCH($B24,lista_dias,0)-1)</f>
        <v/>
      </c>
      <c r="I24" s="3">
        <f>IF(OR($F24="",ISNUMBER(MATCH($F24,lista_no_disponible,0)),(IFERROR(INDEX('CALENDARIO'!$C$15:$C$214,MATCH(TEXT($H24,"yyyy-mm-dd")&amp;"|"&amp;$D24&amp;"|"&amp;"",'CALENDARIO'!$G$15:$G$214,0)),IFERROR(INDEX('CALENDARIO'!$C$15:$C$214,MATCH(TEXT($H24,"yyyy-mm-dd")&amp;"|"&amp;$D24&amp;"|",'CALENDARIO'!$G$15:$G$214,0)),IFERROR(INDEX('CALENDARIO'!$C$15:$C$214,MATCH(TEXT($H24,"yyyy-mm-dd")&amp;"||",'CALENDARIO'!$G$15:$G$214,0)),INDEX(patronHabil,WEEKDAY($H24,2))))))&lt;&gt;"sí"),0,p_horas_jornada)</f>
        <v/>
      </c>
      <c r="J24" s="3">
        <f>$A24&amp;"|"&amp;$B24&amp;"|"&amp;$C24</f>
        <v/>
      </c>
      <c r="K24" s="3">
        <f>IFERROR(INDEX('CAT_TURNOS'!$C$4:$C$7,MATCH($F24,'CAT_TURNOS'!$A$4:$A$7,0)),"")</f>
        <v/>
      </c>
      <c r="L24" s="3">
        <f>IFERROR(INDEX('CAT_TURNOS'!$D$4:$D$7,MATCH($F24,'CAT_TURNOS'!$A$4:$A$7,0)),"")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11">
        <f>IF($A25="","",DATE(VALUE(LEFT($A25,4)),1,4)-WEEKDAY(DATE(VALUE(LEFT($A25,4)),1,4),2)+1+(VALUE(MID($A25,7,2))-1)*7+MATCH($B25,lista_dias,0)-1)</f>
        <v/>
      </c>
      <c r="I25" s="3">
        <f>IF(OR($F25="",ISNUMBER(MATCH($F25,lista_no_disponible,0)),(IFERROR(INDEX('CALENDARIO'!$C$15:$C$214,MATCH(TEXT($H25,"yyyy-mm-dd")&amp;"|"&amp;$D25&amp;"|"&amp;"",'CALENDARIO'!$G$15:$G$214,0)),IFERROR(INDEX('CALENDARIO'!$C$15:$C$214,MATCH(TEXT($H25,"yyyy-mm-dd")&amp;"|"&amp;$D25&amp;"|",'CALENDARIO'!$G$15:$G$214,0)),IFERROR(INDEX('CALENDARIO'!$C$15:$C$214,MATCH(TEXT($H25,"yyyy-mm-dd")&amp;"||",'CALENDARIO'!$G$15:$G$214,0)),INDEX(patronHabil,WEEKDAY($H25,2))))))&lt;&gt;"sí"),0,p_horas_jornada)</f>
        <v/>
      </c>
      <c r="J25" s="3">
        <f>$A25&amp;"|"&amp;$B25&amp;"|"&amp;$C25</f>
        <v/>
      </c>
      <c r="K25" s="3">
        <f>IFERROR(INDEX('CAT_TURNOS'!$C$4:$C$7,MATCH($F25,'CAT_TURNOS'!$A$4:$A$7,0)),"")</f>
        <v/>
      </c>
      <c r="L25" s="3">
        <f>IFERROR(INDEX('CAT_TURNOS'!$D$4:$D$7,MATCH($F25,'CAT_TURNOS'!$A$4:$A$7,0)),"")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11">
        <f>IF($A26="","",DATE(VALUE(LEFT($A26,4)),1,4)-WEEKDAY(DATE(VALUE(LEFT($A26,4)),1,4),2)+1+(VALUE(MID($A26,7,2))-1)*7+MATCH($B26,lista_dias,0)-1)</f>
        <v/>
      </c>
      <c r="I26" s="3">
        <f>IF(OR($F26="",ISNUMBER(MATCH($F26,lista_no_disponible,0)),(IFERROR(INDEX('CALENDARIO'!$C$15:$C$214,MATCH(TEXT($H26,"yyyy-mm-dd")&amp;"|"&amp;$D26&amp;"|"&amp;"",'CALENDARIO'!$G$15:$G$214,0)),IFERROR(INDEX('CALENDARIO'!$C$15:$C$214,MATCH(TEXT($H26,"yyyy-mm-dd")&amp;"|"&amp;$D26&amp;"|",'CALENDARIO'!$G$15:$G$214,0)),IFERROR(INDEX('CALENDARIO'!$C$15:$C$214,MATCH(TEXT($H26,"yyyy-mm-dd")&amp;"||",'CALENDARIO'!$G$15:$G$214,0)),INDEX(patronHabil,WEEKDAY($H26,2))))))&lt;&gt;"sí"),0,p_horas_jornada)</f>
        <v/>
      </c>
      <c r="J26" s="3">
        <f>$A26&amp;"|"&amp;$B26&amp;"|"&amp;$C26</f>
        <v/>
      </c>
      <c r="K26" s="3">
        <f>IFERROR(INDEX('CAT_TURNOS'!$C$4:$C$7,MATCH($F26,'CAT_TURNOS'!$A$4:$A$7,0)),"")</f>
        <v/>
      </c>
      <c r="L26" s="3">
        <f>IFERROR(INDEX('CAT_TURNOS'!$D$4:$D$7,MATCH($F26,'CAT_TURNOS'!$A$4:$A$7,0)),"")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11">
        <f>IF($A27="","",DATE(VALUE(LEFT($A27,4)),1,4)-WEEKDAY(DATE(VALUE(LEFT($A27,4)),1,4),2)+1+(VALUE(MID($A27,7,2))-1)*7+MATCH($B27,lista_dias,0)-1)</f>
        <v/>
      </c>
      <c r="I27" s="3">
        <f>IF(OR($F27="",ISNUMBER(MATCH($F27,lista_no_disponible,0)),(IFERROR(INDEX('CALENDARIO'!$C$15:$C$214,MATCH(TEXT($H27,"yyyy-mm-dd")&amp;"|"&amp;$D27&amp;"|"&amp;"",'CALENDARIO'!$G$15:$G$214,0)),IFERROR(INDEX('CALENDARIO'!$C$15:$C$214,MATCH(TEXT($H27,"yyyy-mm-dd")&amp;"|"&amp;$D27&amp;"|",'CALENDARIO'!$G$15:$G$214,0)),IFERROR(INDEX('CALENDARIO'!$C$15:$C$214,MATCH(TEXT($H27,"yyyy-mm-dd")&amp;"||",'CALENDARIO'!$G$15:$G$214,0)),INDEX(patronHabil,WEEKDAY($H27,2))))))&lt;&gt;"sí"),0,p_horas_jornada)</f>
        <v/>
      </c>
      <c r="J27" s="3">
        <f>$A27&amp;"|"&amp;$B27&amp;"|"&amp;$C27</f>
        <v/>
      </c>
      <c r="K27" s="3">
        <f>IFERROR(INDEX('CAT_TURNOS'!$C$4:$C$7,MATCH($F27,'CAT_TURNOS'!$A$4:$A$7,0)),"")</f>
        <v/>
      </c>
      <c r="L27" s="3">
        <f>IFERROR(INDEX('CAT_TURNOS'!$D$4:$D$7,MATCH($F27,'CAT_TURNOS'!$A$4:$A$7,0)),"")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11">
        <f>IF($A28="","",DATE(VALUE(LEFT($A28,4)),1,4)-WEEKDAY(DATE(VALUE(LEFT($A28,4)),1,4),2)+1+(VALUE(MID($A28,7,2))-1)*7+MATCH($B28,lista_dias,0)-1)</f>
        <v/>
      </c>
      <c r="I28" s="3">
        <f>IF(OR($F28="",ISNUMBER(MATCH($F28,lista_no_disponible,0)),(IFERROR(INDEX('CALENDARIO'!$C$15:$C$214,MATCH(TEXT($H28,"yyyy-mm-dd")&amp;"|"&amp;$D28&amp;"|"&amp;"",'CALENDARIO'!$G$15:$G$214,0)),IFERROR(INDEX('CALENDARIO'!$C$15:$C$214,MATCH(TEXT($H28,"yyyy-mm-dd")&amp;"|"&amp;$D28&amp;"|",'CALENDARIO'!$G$15:$G$214,0)),IFERROR(INDEX('CALENDARIO'!$C$15:$C$214,MATCH(TEXT($H28,"yyyy-mm-dd")&amp;"||",'CALENDARIO'!$G$15:$G$214,0)),INDEX(patronHabil,WEEKDAY($H28,2))))))&lt;&gt;"sí"),0,p_horas_jornada)</f>
        <v/>
      </c>
      <c r="J28" s="3">
        <f>$A28&amp;"|"&amp;$B28&amp;"|"&amp;$C28</f>
        <v/>
      </c>
      <c r="K28" s="3">
        <f>IFERROR(INDEX('CAT_TURNOS'!$C$4:$C$7,MATCH($F28,'CAT_TURNOS'!$A$4:$A$7,0)),"")</f>
        <v/>
      </c>
      <c r="L28" s="3">
        <f>IFERROR(INDEX('CAT_TURNOS'!$D$4:$D$7,MATCH($F28,'CAT_TURNOS'!$A$4:$A$7,0)),"")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11">
        <f>IF($A29="","",DATE(VALUE(LEFT($A29,4)),1,4)-WEEKDAY(DATE(VALUE(LEFT($A29,4)),1,4),2)+1+(VALUE(MID($A29,7,2))-1)*7+MATCH($B29,lista_dias,0)-1)</f>
        <v/>
      </c>
      <c r="I29" s="3">
        <f>IF(OR($F29="",ISNUMBER(MATCH($F29,lista_no_disponible,0)),(IFERROR(INDEX('CALENDARIO'!$C$15:$C$214,MATCH(TEXT($H29,"yyyy-mm-dd")&amp;"|"&amp;$D29&amp;"|"&amp;"",'CALENDARIO'!$G$15:$G$214,0)),IFERROR(INDEX('CALENDARIO'!$C$15:$C$214,MATCH(TEXT($H29,"yyyy-mm-dd")&amp;"|"&amp;$D29&amp;"|",'CALENDARIO'!$G$15:$G$214,0)),IFERROR(INDEX('CALENDARIO'!$C$15:$C$214,MATCH(TEXT($H29,"yyyy-mm-dd")&amp;"||",'CALENDARIO'!$G$15:$G$214,0)),INDEX(patronHabil,WEEKDAY($H29,2))))))&lt;&gt;"sí"),0,p_horas_jornada)</f>
        <v/>
      </c>
      <c r="J29" s="3">
        <f>$A29&amp;"|"&amp;$B29&amp;"|"&amp;$C29</f>
        <v/>
      </c>
      <c r="K29" s="3">
        <f>IFERROR(INDEX('CAT_TURNOS'!$C$4:$C$7,MATCH($F29,'CAT_TURNOS'!$A$4:$A$7,0)),"")</f>
        <v/>
      </c>
      <c r="L29" s="3">
        <f>IFERROR(INDEX('CAT_TURNOS'!$D$4:$D$7,MATCH($F29,'CAT_TURNOS'!$A$4:$A$7,0)),"")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>
        <is>
          <t>T1</t>
        </is>
      </c>
      <c r="G30" s="3">
        <f>IFERROR(INDEX('TECNICOS'!$E$4:$E$15,MATCH($C30,'TECNICOS'!$B$4:$B$15,0)),"")</f>
        <v/>
      </c>
      <c r="H30" s="11">
        <f>IF($A30="","",DATE(VALUE(LEFT($A30,4)),1,4)-WEEKDAY(DATE(VALUE(LEFT($A30,4)),1,4),2)+1+(VALUE(MID($A30,7,2))-1)*7+MATCH($B30,lista_dias,0)-1)</f>
        <v/>
      </c>
      <c r="I30" s="3">
        <f>IF(OR($F30="",ISNUMBER(MATCH($F30,lista_no_disponible,0)),(IFERROR(INDEX('CALENDARIO'!$C$15:$C$214,MATCH(TEXT($H30,"yyyy-mm-dd")&amp;"|"&amp;$D30&amp;"|"&amp;"",'CALENDARIO'!$G$15:$G$214,0)),IFERROR(INDEX('CALENDARIO'!$C$15:$C$214,MATCH(TEXT($H30,"yyyy-mm-dd")&amp;"|"&amp;$D30&amp;"|",'CALENDARIO'!$G$15:$G$214,0)),IFERROR(INDEX('CALENDARIO'!$C$15:$C$214,MATCH(TEXT($H30,"yyyy-mm-dd")&amp;"||",'CALENDARIO'!$G$15:$G$214,0)),INDEX(patronHabil,WEEKDAY($H30,2))))))&lt;&gt;"sí"),0,p_horas_jornada)</f>
        <v/>
      </c>
      <c r="J30" s="3">
        <f>$A30&amp;"|"&amp;$B30&amp;"|"&amp;$C30</f>
        <v/>
      </c>
      <c r="K30" s="3">
        <f>IFERROR(INDEX('CAT_TURNOS'!$C$4:$C$7,MATCH($F30,'CAT_TURNOS'!$A$4:$A$7,0)),"")</f>
        <v/>
      </c>
      <c r="L30" s="3">
        <f>IFERROR(INDEX('CAT_TURNOS'!$D$4:$D$7,MATCH($F30,'CAT_TURNOS'!$A$4:$A$7,0)),"")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11">
        <f>IF($A31="","",DATE(VALUE(LEFT($A31,4)),1,4)-WEEKDAY(DATE(VALUE(LEFT($A31,4)),1,4),2)+1+(VALUE(MID($A31,7,2))-1)*7+MATCH($B31,lista_dias,0)-1)</f>
        <v/>
      </c>
      <c r="I31" s="3">
        <f>IF(OR($F31="",ISNUMBER(MATCH($F31,lista_no_disponible,0)),(IFERROR(INDEX('CALENDARIO'!$C$15:$C$214,MATCH(TEXT($H31,"yyyy-mm-dd")&amp;"|"&amp;$D31&amp;"|"&amp;"",'CALENDARIO'!$G$15:$G$214,0)),IFERROR(INDEX('CALENDARIO'!$C$15:$C$214,MATCH(TEXT($H31,"yyyy-mm-dd")&amp;"|"&amp;$D31&amp;"|",'CALENDARIO'!$G$15:$G$214,0)),IFERROR(INDEX('CALENDARIO'!$C$15:$C$214,MATCH(TEXT($H31,"yyyy-mm-dd")&amp;"||",'CALENDARIO'!$G$15:$G$214,0)),INDEX(patronHabil,WEEKDAY($H31,2))))))&lt;&gt;"sí"),0,p_horas_jornada)</f>
        <v/>
      </c>
      <c r="J31" s="3">
        <f>$A31&amp;"|"&amp;$B31&amp;"|"&amp;$C31</f>
        <v/>
      </c>
      <c r="K31" s="3">
        <f>IFERROR(INDEX('CAT_TURNOS'!$C$4:$C$7,MATCH($F31,'CAT_TURNOS'!$A$4:$A$7,0)),"")</f>
        <v/>
      </c>
      <c r="L31" s="3">
        <f>IFERROR(INDEX('CAT_TURNOS'!$D$4:$D$7,MATCH($F31,'CAT_TURNOS'!$A$4:$A$7,0)),"")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11">
        <f>IF($A32="","",DATE(VALUE(LEFT($A32,4)),1,4)-WEEKDAY(DATE(VALUE(LEFT($A32,4)),1,4),2)+1+(VALUE(MID($A32,7,2))-1)*7+MATCH($B32,lista_dias,0)-1)</f>
        <v/>
      </c>
      <c r="I32" s="3">
        <f>IF(OR($F32="",ISNUMBER(MATCH($F32,lista_no_disponible,0)),(IFERROR(INDEX('CALENDARIO'!$C$15:$C$214,MATCH(TEXT($H32,"yyyy-mm-dd")&amp;"|"&amp;$D32&amp;"|"&amp;"",'CALENDARIO'!$G$15:$G$214,0)),IFERROR(INDEX('CALENDARIO'!$C$15:$C$214,MATCH(TEXT($H32,"yyyy-mm-dd")&amp;"|"&amp;$D32&amp;"|",'CALENDARIO'!$G$15:$G$214,0)),IFERROR(INDEX('CALENDARIO'!$C$15:$C$214,MATCH(TEXT($H32,"yyyy-mm-dd")&amp;"||",'CALENDARIO'!$G$15:$G$214,0)),INDEX(patronHabil,WEEKDAY($H32,2))))))&lt;&gt;"sí"),0,p_horas_jornada)</f>
        <v/>
      </c>
      <c r="J32" s="3">
        <f>$A32&amp;"|"&amp;$B32&amp;"|"&amp;$C32</f>
        <v/>
      </c>
      <c r="K32" s="3">
        <f>IFERROR(INDEX('CAT_TURNOS'!$C$4:$C$7,MATCH($F32,'CAT_TURNOS'!$A$4:$A$7,0)),"")</f>
        <v/>
      </c>
      <c r="L32" s="3">
        <f>IFERROR(INDEX('CAT_TURNOS'!$D$4:$D$7,MATCH($F32,'CAT_TURNOS'!$A$4:$A$7,0)),"")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11">
        <f>IF($A33="","",DATE(VALUE(LEFT($A33,4)),1,4)-WEEKDAY(DATE(VALUE(LEFT($A33,4)),1,4),2)+1+(VALUE(MID($A33,7,2))-1)*7+MATCH($B33,lista_dias,0)-1)</f>
        <v/>
      </c>
      <c r="I33" s="3">
        <f>IF(OR($F33="",ISNUMBER(MATCH($F33,lista_no_disponible,0)),(IFERROR(INDEX('CALENDARIO'!$C$15:$C$214,MATCH(TEXT($H33,"yyyy-mm-dd")&amp;"|"&amp;$D33&amp;"|"&amp;"",'CALENDARIO'!$G$15:$G$214,0)),IFERROR(INDEX('CALENDARIO'!$C$15:$C$214,MATCH(TEXT($H33,"yyyy-mm-dd")&amp;"|"&amp;$D33&amp;"|",'CALENDARIO'!$G$15:$G$214,0)),IFERROR(INDEX('CALENDARIO'!$C$15:$C$214,MATCH(TEXT($H33,"yyyy-mm-dd")&amp;"||",'CALENDARIO'!$G$15:$G$214,0)),INDEX(patronHabil,WEEKDAY($H33,2))))))&lt;&gt;"sí"),0,p_horas_jornada)</f>
        <v/>
      </c>
      <c r="J33" s="3">
        <f>$A33&amp;"|"&amp;$B33&amp;"|"&amp;$C33</f>
        <v/>
      </c>
      <c r="K33" s="3">
        <f>IFERROR(INDEX('CAT_TURNOS'!$C$4:$C$7,MATCH($F33,'CAT_TURNOS'!$A$4:$A$7,0)),"")</f>
        <v/>
      </c>
      <c r="L33" s="3">
        <f>IFERROR(INDEX('CAT_TURNOS'!$D$4:$D$7,MATCH($F33,'CAT_TURNOS'!$A$4:$A$7,0)),"")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11">
        <f>IF($A34="","",DATE(VALUE(LEFT($A34,4)),1,4)-WEEKDAY(DATE(VALUE(LEFT($A34,4)),1,4),2)+1+(VALUE(MID($A34,7,2))-1)*7+MATCH($B34,lista_dias,0)-1)</f>
        <v/>
      </c>
      <c r="I34" s="3">
        <f>IF(OR($F34="",ISNUMBER(MATCH($F34,lista_no_disponible,0)),(IFERROR(INDEX('CALENDARIO'!$C$15:$C$214,MATCH(TEXT($H34,"yyyy-mm-dd")&amp;"|"&amp;$D34&amp;"|"&amp;"",'CALENDARIO'!$G$15:$G$214,0)),IFERROR(INDEX('CALENDARIO'!$C$15:$C$214,MATCH(TEXT($H34,"yyyy-mm-dd")&amp;"|"&amp;$D34&amp;"|",'CALENDARIO'!$G$15:$G$214,0)),IFERROR(INDEX('CALENDARIO'!$C$15:$C$214,MATCH(TEXT($H34,"yyyy-mm-dd")&amp;"||",'CALENDARIO'!$G$15:$G$214,0)),INDEX(patronHabil,WEEKDAY($H34,2))))))&lt;&gt;"sí"),0,p_horas_jornada)</f>
        <v/>
      </c>
      <c r="J34" s="3">
        <f>$A34&amp;"|"&amp;$B34&amp;"|"&amp;$C34</f>
        <v/>
      </c>
      <c r="K34" s="3">
        <f>IFERROR(INDEX('CAT_TURNOS'!$C$4:$C$7,MATCH($F34,'CAT_TURNOS'!$A$4:$A$7,0)),"")</f>
        <v/>
      </c>
      <c r="L34" s="3">
        <f>IFERROR(INDEX('CAT_TURNOS'!$D$4:$D$7,MATCH($F34,'CAT_TURNOS'!$A$4:$A$7,0)),"")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11">
        <f>IF($A35="","",DATE(VALUE(LEFT($A35,4)),1,4)-WEEKDAY(DATE(VALUE(LEFT($A35,4)),1,4),2)+1+(VALUE(MID($A35,7,2))-1)*7+MATCH($B35,lista_dias,0)-1)</f>
        <v/>
      </c>
      <c r="I35" s="3">
        <f>IF(OR($F35="",ISNUMBER(MATCH($F35,lista_no_disponible,0)),(IFERROR(INDEX('CALENDARIO'!$C$15:$C$214,MATCH(TEXT($H35,"yyyy-mm-dd")&amp;"|"&amp;$D35&amp;"|"&amp;"",'CALENDARIO'!$G$15:$G$214,0)),IFERROR(INDEX('CALENDARIO'!$C$15:$C$214,MATCH(TEXT($H35,"yyyy-mm-dd")&amp;"|"&amp;$D35&amp;"|",'CALENDARIO'!$G$15:$G$214,0)),IFERROR(INDEX('CALENDARIO'!$C$15:$C$214,MATCH(TEXT($H35,"yyyy-mm-dd")&amp;"||",'CALENDARIO'!$G$15:$G$214,0)),INDEX(patronHabil,WEEKDAY($H35,2))))))&lt;&gt;"sí"),0,p_horas_jornada)</f>
        <v/>
      </c>
      <c r="J35" s="3">
        <f>$A35&amp;"|"&amp;$B35&amp;"|"&amp;$C35</f>
        <v/>
      </c>
      <c r="K35" s="3">
        <f>IFERROR(INDEX('CAT_TURNOS'!$C$4:$C$7,MATCH($F35,'CAT_TURNOS'!$A$4:$A$7,0)),"")</f>
        <v/>
      </c>
      <c r="L35" s="3">
        <f>IFERROR(INDEX('CAT_TURNOS'!$D$4:$D$7,MATCH($F35,'CAT_TURNOS'!$A$4:$A$7,0)),"")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11">
        <f>IF($A36="","",DATE(VALUE(LEFT($A36,4)),1,4)-WEEKDAY(DATE(VALUE(LEFT($A36,4)),1,4),2)+1+(VALUE(MID($A36,7,2))-1)*7+MATCH($B36,lista_dias,0)-1)</f>
        <v/>
      </c>
      <c r="I36" s="3">
        <f>IF(OR($F36="",ISNUMBER(MATCH($F36,lista_no_disponible,0)),(IFERROR(INDEX('CALENDARIO'!$C$15:$C$214,MATCH(TEXT($H36,"yyyy-mm-dd")&amp;"|"&amp;$D36&amp;"|"&amp;"",'CALENDARIO'!$G$15:$G$214,0)),IFERROR(INDEX('CALENDARIO'!$C$15:$C$214,MATCH(TEXT($H36,"yyyy-mm-dd")&amp;"|"&amp;$D36&amp;"|",'CALENDARIO'!$G$15:$G$214,0)),IFERROR(INDEX('CALENDARIO'!$C$15:$C$214,MATCH(TEXT($H36,"yyyy-mm-dd")&amp;"||",'CALENDARIO'!$G$15:$G$214,0)),INDEX(patronHabil,WEEKDAY($H36,2))))))&lt;&gt;"sí"),0,p_horas_jornada)</f>
        <v/>
      </c>
      <c r="J36" s="3">
        <f>$A36&amp;"|"&amp;$B36&amp;"|"&amp;$C36</f>
        <v/>
      </c>
      <c r="K36" s="3">
        <f>IFERROR(INDEX('CAT_TURNOS'!$C$4:$C$7,MATCH($F36,'CAT_TURNOS'!$A$4:$A$7,0)),"")</f>
        <v/>
      </c>
      <c r="L36" s="3">
        <f>IFERROR(INDEX('CAT_TURNOS'!$D$4:$D$7,MATCH($F36,'CAT_TURNOS'!$A$4:$A$7,0)),"")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>
        <is>
          <t>T1</t>
        </is>
      </c>
      <c r="G37" s="3">
        <f>IFERROR(INDEX('TECNICOS'!$E$4:$E$15,MATCH($C37,'TECNICOS'!$B$4:$B$15,0)),"")</f>
        <v/>
      </c>
      <c r="H37" s="11">
        <f>IF($A37="","",DATE(VALUE(LEFT($A37,4)),1,4)-WEEKDAY(DATE(VALUE(LEFT($A37,4)),1,4),2)+1+(VALUE(MID($A37,7,2))-1)*7+MATCH($B37,lista_dias,0)-1)</f>
        <v/>
      </c>
      <c r="I37" s="3">
        <f>IF(OR($F37="",ISNUMBER(MATCH($F37,lista_no_disponible,0)),(IFERROR(INDEX('CALENDARIO'!$C$15:$C$214,MATCH(TEXT($H37,"yyyy-mm-dd")&amp;"|"&amp;$D37&amp;"|"&amp;"",'CALENDARIO'!$G$15:$G$214,0)),IFERROR(INDEX('CALENDARIO'!$C$15:$C$214,MATCH(TEXT($H37,"yyyy-mm-dd")&amp;"|"&amp;$D37&amp;"|",'CALENDARIO'!$G$15:$G$214,0)),IFERROR(INDEX('CALENDARIO'!$C$15:$C$214,MATCH(TEXT($H37,"yyyy-mm-dd")&amp;"||",'CALENDARIO'!$G$15:$G$214,0)),INDEX(patronHabil,WEEKDAY($H37,2))))))&lt;&gt;"sí"),0,p_horas_jornada)</f>
        <v/>
      </c>
      <c r="J37" s="3">
        <f>$A37&amp;"|"&amp;$B37&amp;"|"&amp;$C37</f>
        <v/>
      </c>
      <c r="K37" s="3">
        <f>IFERROR(INDEX('CAT_TURNOS'!$C$4:$C$7,MATCH($F37,'CAT_TURNOS'!$A$4:$A$7,0)),"")</f>
        <v/>
      </c>
      <c r="L37" s="3">
        <f>IFERROR(INDEX('CAT_TURNOS'!$D$4:$D$7,MATCH($F37,'CAT_TURNOS'!$A$4:$A$7,0)),"")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11">
        <f>IF($A38="","",DATE(VALUE(LEFT($A38,4)),1,4)-WEEKDAY(DATE(VALUE(LEFT($A38,4)),1,4),2)+1+(VALUE(MID($A38,7,2))-1)*7+MATCH($B38,lista_dias,0)-1)</f>
        <v/>
      </c>
      <c r="I38" s="3">
        <f>IF(OR($F38="",ISNUMBER(MATCH($F38,lista_no_disponible,0)),(IFERROR(INDEX('CALENDARIO'!$C$15:$C$214,MATCH(TEXT($H38,"yyyy-mm-dd")&amp;"|"&amp;$D38&amp;"|"&amp;"",'CALENDARIO'!$G$15:$G$214,0)),IFERROR(INDEX('CALENDARIO'!$C$15:$C$214,MATCH(TEXT($H38,"yyyy-mm-dd")&amp;"|"&amp;$D38&amp;"|",'CALENDARIO'!$G$15:$G$214,0)),IFERROR(INDEX('CALENDARIO'!$C$15:$C$214,MATCH(TEXT($H38,"yyyy-mm-dd")&amp;"||",'CALENDARIO'!$G$15:$G$214,0)),INDEX(patronHabil,WEEKDAY($H38,2))))))&lt;&gt;"sí"),0,p_horas_jornada)</f>
        <v/>
      </c>
      <c r="J38" s="3">
        <f>$A38&amp;"|"&amp;$B38&amp;"|"&amp;$C38</f>
        <v/>
      </c>
      <c r="K38" s="3">
        <f>IFERROR(INDEX('CAT_TURNOS'!$C$4:$C$7,MATCH($F38,'CAT_TURNOS'!$A$4:$A$7,0)),"")</f>
        <v/>
      </c>
      <c r="L38" s="3">
        <f>IFERROR(INDEX('CAT_TURNOS'!$D$4:$D$7,MATCH($F38,'CAT_TURNOS'!$A$4:$A$7,0)),"")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11">
        <f>IF($A39="","",DATE(VALUE(LEFT($A39,4)),1,4)-WEEKDAY(DATE(VALUE(LEFT($A39,4)),1,4),2)+1+(VALUE(MID($A39,7,2))-1)*7+MATCH($B39,lista_dias,0)-1)</f>
        <v/>
      </c>
      <c r="I39" s="3">
        <f>IF(OR($F39="",ISNUMBER(MATCH($F39,lista_no_disponible,0)),(IFERROR(INDEX('CALENDARIO'!$C$15:$C$214,MATCH(TEXT($H39,"yyyy-mm-dd")&amp;"|"&amp;$D39&amp;"|"&amp;"",'CALENDARIO'!$G$15:$G$214,0)),IFERROR(INDEX('CALENDARIO'!$C$15:$C$214,MATCH(TEXT($H39,"yyyy-mm-dd")&amp;"|"&amp;$D39&amp;"|",'CALENDARIO'!$G$15:$G$214,0)),IFERROR(INDEX('CALENDARIO'!$C$15:$C$214,MATCH(TEXT($H39,"yyyy-mm-dd")&amp;"||",'CALENDARIO'!$G$15:$G$214,0)),INDEX(patronHabil,WEEKDAY($H39,2))))))&lt;&gt;"sí"),0,p_horas_jornada)</f>
        <v/>
      </c>
      <c r="J39" s="3">
        <f>$A39&amp;"|"&amp;$B39&amp;"|"&amp;$C39</f>
        <v/>
      </c>
      <c r="K39" s="3">
        <f>IFERROR(INDEX('CAT_TURNOS'!$C$4:$C$7,MATCH($F39,'CAT_TURNOS'!$A$4:$A$7,0)),"")</f>
        <v/>
      </c>
      <c r="L39" s="3">
        <f>IFERROR(INDEX('CAT_TURNOS'!$D$4:$D$7,MATCH($F39,'CAT_TURNOS'!$A$4:$A$7,0)),"")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11">
        <f>IF($A40="","",DATE(VALUE(LEFT($A40,4)),1,4)-WEEKDAY(DATE(VALUE(LEFT($A40,4)),1,4),2)+1+(VALUE(MID($A40,7,2))-1)*7+MATCH($B40,lista_dias,0)-1)</f>
        <v/>
      </c>
      <c r="I40" s="3">
        <f>IF(OR($F40="",ISNUMBER(MATCH($F40,lista_no_disponible,0)),(IFERROR(INDEX('CALENDARIO'!$C$15:$C$214,MATCH(TEXT($H40,"yyyy-mm-dd")&amp;"|"&amp;$D40&amp;"|"&amp;"",'CALENDARIO'!$G$15:$G$214,0)),IFERROR(INDEX('CALENDARIO'!$C$15:$C$214,MATCH(TEXT($H40,"yyyy-mm-dd")&amp;"|"&amp;$D40&amp;"|",'CALENDARIO'!$G$15:$G$214,0)),IFERROR(INDEX('CALENDARIO'!$C$15:$C$214,MATCH(TEXT($H40,"yyyy-mm-dd")&amp;"||",'CALENDARIO'!$G$15:$G$214,0)),INDEX(patronHabil,WEEKDAY($H40,2))))))&lt;&gt;"sí"),0,p_horas_jornada)</f>
        <v/>
      </c>
      <c r="J40" s="3">
        <f>$A40&amp;"|"&amp;$B40&amp;"|"&amp;$C40</f>
        <v/>
      </c>
      <c r="K40" s="3">
        <f>IFERROR(INDEX('CAT_TURNOS'!$C$4:$C$7,MATCH($F40,'CAT_TURNOS'!$A$4:$A$7,0)),"")</f>
        <v/>
      </c>
      <c r="L40" s="3">
        <f>IFERROR(INDEX('CAT_TURNOS'!$D$4:$D$7,MATCH($F40,'CAT_TURNOS'!$A$4:$A$7,0)),"")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11">
        <f>IF($A41="","",DATE(VALUE(LEFT($A41,4)),1,4)-WEEKDAY(DATE(VALUE(LEFT($A41,4)),1,4),2)+1+(VALUE(MID($A41,7,2))-1)*7+MATCH($B41,lista_dias,0)-1)</f>
        <v/>
      </c>
      <c r="I41" s="3">
        <f>IF(OR($F41="",ISNUMBER(MATCH($F41,lista_no_disponible,0)),(IFERROR(INDEX('CALENDARIO'!$C$15:$C$214,MATCH(TEXT($H41,"yyyy-mm-dd")&amp;"|"&amp;$D41&amp;"|"&amp;"",'CALENDARIO'!$G$15:$G$214,0)),IFERROR(INDEX('CALENDARIO'!$C$15:$C$214,MATCH(TEXT($H41,"yyyy-mm-dd")&amp;"|"&amp;$D41&amp;"|",'CALENDARIO'!$G$15:$G$214,0)),IFERROR(INDEX('CALENDARIO'!$C$15:$C$214,MATCH(TEXT($H41,"yyyy-mm-dd")&amp;"||",'CALENDARIO'!$G$15:$G$214,0)),INDEX(patronHabil,WEEKDAY($H41,2))))))&lt;&gt;"sí"),0,p_horas_jornada)</f>
        <v/>
      </c>
      <c r="J41" s="3">
        <f>$A41&amp;"|"&amp;$B41&amp;"|"&amp;$C41</f>
        <v/>
      </c>
      <c r="K41" s="3">
        <f>IFERROR(INDEX('CAT_TURNOS'!$C$4:$C$7,MATCH($F41,'CAT_TURNOS'!$A$4:$A$7,0)),"")</f>
        <v/>
      </c>
      <c r="L41" s="3">
        <f>IFERROR(INDEX('CAT_TURNOS'!$D$4:$D$7,MATCH($F41,'CAT_TURNOS'!$A$4:$A$7,0)),"")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11">
        <f>IF($A42="","",DATE(VALUE(LEFT($A42,4)),1,4)-WEEKDAY(DATE(VALUE(LEFT($A42,4)),1,4),2)+1+(VALUE(MID($A42,7,2))-1)*7+MATCH($B42,lista_dias,0)-1)</f>
        <v/>
      </c>
      <c r="I42" s="3">
        <f>IF(OR($F42="",ISNUMBER(MATCH($F42,lista_no_disponible,0)),(IFERROR(INDEX('CALENDARIO'!$C$15:$C$214,MATCH(TEXT($H42,"yyyy-mm-dd")&amp;"|"&amp;$D42&amp;"|"&amp;"",'CALENDARIO'!$G$15:$G$214,0)),IFERROR(INDEX('CALENDARIO'!$C$15:$C$214,MATCH(TEXT($H42,"yyyy-mm-dd")&amp;"|"&amp;$D42&amp;"|",'CALENDARIO'!$G$15:$G$214,0)),IFERROR(INDEX('CALENDARIO'!$C$15:$C$214,MATCH(TEXT($H42,"yyyy-mm-dd")&amp;"||",'CALENDARIO'!$G$15:$G$214,0)),INDEX(patronHabil,WEEKDAY($H42,2))))))&lt;&gt;"sí"),0,p_horas_jornada)</f>
        <v/>
      </c>
      <c r="J42" s="3">
        <f>$A42&amp;"|"&amp;$B42&amp;"|"&amp;$C42</f>
        <v/>
      </c>
      <c r="K42" s="3">
        <f>IFERROR(INDEX('CAT_TURNOS'!$C$4:$C$7,MATCH($F42,'CAT_TURNOS'!$A$4:$A$7,0)),"")</f>
        <v/>
      </c>
      <c r="L42" s="3">
        <f>IFERROR(INDEX('CAT_TURNOS'!$D$4:$D$7,MATCH($F42,'CAT_TURNOS'!$A$4:$A$7,0)),"")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11">
        <f>IF($A43="","",DATE(VALUE(LEFT($A43,4)),1,4)-WEEKDAY(DATE(VALUE(LEFT($A43,4)),1,4),2)+1+(VALUE(MID($A43,7,2))-1)*7+MATCH($B43,lista_dias,0)-1)</f>
        <v/>
      </c>
      <c r="I43" s="3">
        <f>IF(OR($F43="",ISNUMBER(MATCH($F43,lista_no_disponible,0)),(IFERROR(INDEX('CALENDARIO'!$C$15:$C$214,MATCH(TEXT($H43,"yyyy-mm-dd")&amp;"|"&amp;$D43&amp;"|"&amp;"",'CALENDARIO'!$G$15:$G$214,0)),IFERROR(INDEX('CALENDARIO'!$C$15:$C$214,MATCH(TEXT($H43,"yyyy-mm-dd")&amp;"|"&amp;$D43&amp;"|",'CALENDARIO'!$G$15:$G$214,0)),IFERROR(INDEX('CALENDARIO'!$C$15:$C$214,MATCH(TEXT($H43,"yyyy-mm-dd")&amp;"||",'CALENDARIO'!$G$15:$G$214,0)),INDEX(patronHabil,WEEKDAY($H43,2))))))&lt;&gt;"sí"),0,p_horas_jornada)</f>
        <v/>
      </c>
      <c r="J43" s="3">
        <f>$A43&amp;"|"&amp;$B43&amp;"|"&amp;$C43</f>
        <v/>
      </c>
      <c r="K43" s="3">
        <f>IFERROR(INDEX('CAT_TURNOS'!$C$4:$C$7,MATCH($F43,'CAT_TURNOS'!$A$4:$A$7,0)),"")</f>
        <v/>
      </c>
      <c r="L43" s="3">
        <f>IFERROR(INDEX('CAT_TURNOS'!$D$4:$D$7,MATCH($F43,'CAT_TURNOS'!$A$4:$A$7,0)),"")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>
        <is>
          <t>T1</t>
        </is>
      </c>
      <c r="G44" s="3">
        <f>IFERROR(INDEX('TECNICOS'!$E$4:$E$15,MATCH($C44,'TECNICOS'!$B$4:$B$15,0)),"")</f>
        <v/>
      </c>
      <c r="H44" s="11">
        <f>IF($A44="","",DATE(VALUE(LEFT($A44,4)),1,4)-WEEKDAY(DATE(VALUE(LEFT($A44,4)),1,4),2)+1+(VALUE(MID($A44,7,2))-1)*7+MATCH($B44,lista_dias,0)-1)</f>
        <v/>
      </c>
      <c r="I44" s="3">
        <f>IF(OR($F44="",ISNUMBER(MATCH($F44,lista_no_disponible,0)),(IFERROR(INDEX('CALENDARIO'!$C$15:$C$214,MATCH(TEXT($H44,"yyyy-mm-dd")&amp;"|"&amp;$D44&amp;"|"&amp;"",'CALENDARIO'!$G$15:$G$214,0)),IFERROR(INDEX('CALENDARIO'!$C$15:$C$214,MATCH(TEXT($H44,"yyyy-mm-dd")&amp;"|"&amp;$D44&amp;"|",'CALENDARIO'!$G$15:$G$214,0)),IFERROR(INDEX('CALENDARIO'!$C$15:$C$214,MATCH(TEXT($H44,"yyyy-mm-dd")&amp;"||",'CALENDARIO'!$G$15:$G$214,0)),INDEX(patronHabil,WEEKDAY($H44,2))))))&lt;&gt;"sí"),0,p_horas_jornada)</f>
        <v/>
      </c>
      <c r="J44" s="3">
        <f>$A44&amp;"|"&amp;$B44&amp;"|"&amp;$C44</f>
        <v/>
      </c>
      <c r="K44" s="3">
        <f>IFERROR(INDEX('CAT_TURNOS'!$C$4:$C$7,MATCH($F44,'CAT_TURNOS'!$A$4:$A$7,0)),"")</f>
        <v/>
      </c>
      <c r="L44" s="3">
        <f>IFERROR(INDEX('CAT_TURNOS'!$D$4:$D$7,MATCH($F44,'CAT_TURNOS'!$A$4:$A$7,0)),"")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11">
        <f>IF($A45="","",DATE(VALUE(LEFT($A45,4)),1,4)-WEEKDAY(DATE(VALUE(LEFT($A45,4)),1,4),2)+1+(VALUE(MID($A45,7,2))-1)*7+MATCH($B45,lista_dias,0)-1)</f>
        <v/>
      </c>
      <c r="I45" s="3">
        <f>IF(OR($F45="",ISNUMBER(MATCH($F45,lista_no_disponible,0)),(IFERROR(INDEX('CALENDARIO'!$C$15:$C$214,MATCH(TEXT($H45,"yyyy-mm-dd")&amp;"|"&amp;$D45&amp;"|"&amp;"",'CALENDARIO'!$G$15:$G$214,0)),IFERROR(INDEX('CALENDARIO'!$C$15:$C$214,MATCH(TEXT($H45,"yyyy-mm-dd")&amp;"|"&amp;$D45&amp;"|",'CALENDARIO'!$G$15:$G$214,0)),IFERROR(INDEX('CALENDARIO'!$C$15:$C$214,MATCH(TEXT($H45,"yyyy-mm-dd")&amp;"||",'CALENDARIO'!$G$15:$G$214,0)),INDEX(patronHabil,WEEKDAY($H45,2))))))&lt;&gt;"sí"),0,p_horas_jornada)</f>
        <v/>
      </c>
      <c r="J45" s="3">
        <f>$A45&amp;"|"&amp;$B45&amp;"|"&amp;$C45</f>
        <v/>
      </c>
      <c r="K45" s="3">
        <f>IFERROR(INDEX('CAT_TURNOS'!$C$4:$C$7,MATCH($F45,'CAT_TURNOS'!$A$4:$A$7,0)),"")</f>
        <v/>
      </c>
      <c r="L45" s="3">
        <f>IFERROR(INDEX('CAT_TURNOS'!$D$4:$D$7,MATCH($F45,'CAT_TURNOS'!$A$4:$A$7,0)),"")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11">
        <f>IF($A46="","",DATE(VALUE(LEFT($A46,4)),1,4)-WEEKDAY(DATE(VALUE(LEFT($A46,4)),1,4),2)+1+(VALUE(MID($A46,7,2))-1)*7+MATCH($B46,lista_dias,0)-1)</f>
        <v/>
      </c>
      <c r="I46" s="3">
        <f>IF(OR($F46="",ISNUMBER(MATCH($F46,lista_no_disponible,0)),(IFERROR(INDEX('CALENDARIO'!$C$15:$C$214,MATCH(TEXT($H46,"yyyy-mm-dd")&amp;"|"&amp;$D46&amp;"|"&amp;"",'CALENDARIO'!$G$15:$G$214,0)),IFERROR(INDEX('CALENDARIO'!$C$15:$C$214,MATCH(TEXT($H46,"yyyy-mm-dd")&amp;"|"&amp;$D46&amp;"|",'CALENDARIO'!$G$15:$G$214,0)),IFERROR(INDEX('CALENDARIO'!$C$15:$C$214,MATCH(TEXT($H46,"yyyy-mm-dd")&amp;"||",'CALENDARIO'!$G$15:$G$214,0)),INDEX(patronHabil,WEEKDAY($H46,2))))))&lt;&gt;"sí"),0,p_horas_jornada)</f>
        <v/>
      </c>
      <c r="J46" s="3">
        <f>$A46&amp;"|"&amp;$B46&amp;"|"&amp;$C46</f>
        <v/>
      </c>
      <c r="K46" s="3">
        <f>IFERROR(INDEX('CAT_TURNOS'!$C$4:$C$7,MATCH($F46,'CAT_TURNOS'!$A$4:$A$7,0)),"")</f>
        <v/>
      </c>
      <c r="L46" s="3">
        <f>IFERROR(INDEX('CAT_TURNOS'!$D$4:$D$7,MATCH($F46,'CAT_TURNOS'!$A$4:$A$7,0)),"")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11">
        <f>IF($A47="","",DATE(VALUE(LEFT($A47,4)),1,4)-WEEKDAY(DATE(VALUE(LEFT($A47,4)),1,4),2)+1+(VALUE(MID($A47,7,2))-1)*7+MATCH($B47,lista_dias,0)-1)</f>
        <v/>
      </c>
      <c r="I47" s="3">
        <f>IF(OR($F47="",ISNUMBER(MATCH($F47,lista_no_disponible,0)),(IFERROR(INDEX('CALENDARIO'!$C$15:$C$214,MATCH(TEXT($H47,"yyyy-mm-dd")&amp;"|"&amp;$D47&amp;"|"&amp;"",'CALENDARIO'!$G$15:$G$214,0)),IFERROR(INDEX('CALENDARIO'!$C$15:$C$214,MATCH(TEXT($H47,"yyyy-mm-dd")&amp;"|"&amp;$D47&amp;"|",'CALENDARIO'!$G$15:$G$214,0)),IFERROR(INDEX('CALENDARIO'!$C$15:$C$214,MATCH(TEXT($H47,"yyyy-mm-dd")&amp;"||",'CALENDARIO'!$G$15:$G$214,0)),INDEX(patronHabil,WEEKDAY($H47,2))))))&lt;&gt;"sí"),0,p_horas_jornada)</f>
        <v/>
      </c>
      <c r="J47" s="3">
        <f>$A47&amp;"|"&amp;$B47&amp;"|"&amp;$C47</f>
        <v/>
      </c>
      <c r="K47" s="3">
        <f>IFERROR(INDEX('CAT_TURNOS'!$C$4:$C$7,MATCH($F47,'CAT_TURNOS'!$A$4:$A$7,0)),"")</f>
        <v/>
      </c>
      <c r="L47" s="3">
        <f>IFERROR(INDEX('CAT_TURNOS'!$D$4:$D$7,MATCH($F47,'CAT_TURNOS'!$A$4:$A$7,0)),"")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11">
        <f>IF($A48="","",DATE(VALUE(LEFT($A48,4)),1,4)-WEEKDAY(DATE(VALUE(LEFT($A48,4)),1,4),2)+1+(VALUE(MID($A48,7,2))-1)*7+MATCH($B48,lista_dias,0)-1)</f>
        <v/>
      </c>
      <c r="I48" s="3">
        <f>IF(OR($F48="",ISNUMBER(MATCH($F48,lista_no_disponible,0)),(IFERROR(INDEX('CALENDARIO'!$C$15:$C$214,MATCH(TEXT($H48,"yyyy-mm-dd")&amp;"|"&amp;$D48&amp;"|"&amp;"",'CALENDARIO'!$G$15:$G$214,0)),IFERROR(INDEX('CALENDARIO'!$C$15:$C$214,MATCH(TEXT($H48,"yyyy-mm-dd")&amp;"|"&amp;$D48&amp;"|",'CALENDARIO'!$G$15:$G$214,0)),IFERROR(INDEX('CALENDARIO'!$C$15:$C$214,MATCH(TEXT($H48,"yyyy-mm-dd")&amp;"||",'CALENDARIO'!$G$15:$G$214,0)),INDEX(patronHabil,WEEKDAY($H48,2))))))&lt;&gt;"sí"),0,p_horas_jornada)</f>
        <v/>
      </c>
      <c r="J48" s="3">
        <f>$A48&amp;"|"&amp;$B48&amp;"|"&amp;$C48</f>
        <v/>
      </c>
      <c r="K48" s="3">
        <f>IFERROR(INDEX('CAT_TURNOS'!$C$4:$C$7,MATCH($F48,'CAT_TURNOS'!$A$4:$A$7,0)),"")</f>
        <v/>
      </c>
      <c r="L48" s="3">
        <f>IFERROR(INDEX('CAT_TURNOS'!$D$4:$D$7,MATCH($F48,'CAT_TURNOS'!$A$4:$A$7,0)),"")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11">
        <f>IF($A49="","",DATE(VALUE(LEFT($A49,4)),1,4)-WEEKDAY(DATE(VALUE(LEFT($A49,4)),1,4),2)+1+(VALUE(MID($A49,7,2))-1)*7+MATCH($B49,lista_dias,0)-1)</f>
        <v/>
      </c>
      <c r="I49" s="3">
        <f>IF(OR($F49="",ISNUMBER(MATCH($F49,lista_no_disponible,0)),(IFERROR(INDEX('CALENDARIO'!$C$15:$C$214,MATCH(TEXT($H49,"yyyy-mm-dd")&amp;"|"&amp;$D49&amp;"|"&amp;"",'CALENDARIO'!$G$15:$G$214,0)),IFERROR(INDEX('CALENDARIO'!$C$15:$C$214,MATCH(TEXT($H49,"yyyy-mm-dd")&amp;"|"&amp;$D49&amp;"|",'CALENDARIO'!$G$15:$G$214,0)),IFERROR(INDEX('CALENDARIO'!$C$15:$C$214,MATCH(TEXT($H49,"yyyy-mm-dd")&amp;"||",'CALENDARIO'!$G$15:$G$214,0)),INDEX(patronHabil,WEEKDAY($H49,2))))))&lt;&gt;"sí"),0,p_horas_jornada)</f>
        <v/>
      </c>
      <c r="J49" s="3">
        <f>$A49&amp;"|"&amp;$B49&amp;"|"&amp;$C49</f>
        <v/>
      </c>
      <c r="K49" s="3">
        <f>IFERROR(INDEX('CAT_TURNOS'!$C$4:$C$7,MATCH($F49,'CAT_TURNOS'!$A$4:$A$7,0)),"")</f>
        <v/>
      </c>
      <c r="L49" s="3">
        <f>IFERROR(INDEX('CAT_TURNOS'!$D$4:$D$7,MATCH($F49,'CAT_TURNOS'!$A$4:$A$7,0)),"")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11">
        <f>IF($A50="","",DATE(VALUE(LEFT($A50,4)),1,4)-WEEKDAY(DATE(VALUE(LEFT($A50,4)),1,4),2)+1+(VALUE(MID($A50,7,2))-1)*7+MATCH($B50,lista_dias,0)-1)</f>
        <v/>
      </c>
      <c r="I50" s="3">
        <f>IF(OR($F50="",ISNUMBER(MATCH($F50,lista_no_disponible,0)),(IFERROR(INDEX('CALENDARIO'!$C$15:$C$214,MATCH(TEXT($H50,"yyyy-mm-dd")&amp;"|"&amp;$D50&amp;"|"&amp;"",'CALENDARIO'!$G$15:$G$214,0)),IFERROR(INDEX('CALENDARIO'!$C$15:$C$214,MATCH(TEXT($H50,"yyyy-mm-dd")&amp;"|"&amp;$D50&amp;"|",'CALENDARIO'!$G$15:$G$214,0)),IFERROR(INDEX('CALENDARIO'!$C$15:$C$214,MATCH(TEXT($H50,"yyyy-mm-dd")&amp;"||",'CALENDARIO'!$G$15:$G$214,0)),INDEX(patronHabil,WEEKDAY($H50,2))))))&lt;&gt;"sí"),0,p_horas_jornada)</f>
        <v/>
      </c>
      <c r="J50" s="3">
        <f>$A50&amp;"|"&amp;$B50&amp;"|"&amp;$C50</f>
        <v/>
      </c>
      <c r="K50" s="3">
        <f>IFERROR(INDEX('CAT_TURNOS'!$C$4:$C$7,MATCH($F50,'CAT_TURNOS'!$A$4:$A$7,0)),"")</f>
        <v/>
      </c>
      <c r="L50" s="3">
        <f>IFERROR(INDEX('CAT_TURNOS'!$D$4:$D$7,MATCH($F50,'CAT_TURNOS'!$A$4:$A$7,0)),"")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>
        <is>
          <t>T1</t>
        </is>
      </c>
      <c r="G51" s="3">
        <f>IFERROR(INDEX('TECNICOS'!$E$4:$E$15,MATCH($C51,'TECNICOS'!$B$4:$B$15,0)),"")</f>
        <v/>
      </c>
      <c r="H51" s="11">
        <f>IF($A51="","",DATE(VALUE(LEFT($A51,4)),1,4)-WEEKDAY(DATE(VALUE(LEFT($A51,4)),1,4),2)+1+(VALUE(MID($A51,7,2))-1)*7+MATCH($B51,lista_dias,0)-1)</f>
        <v/>
      </c>
      <c r="I51" s="3">
        <f>IF(OR($F51="",ISNUMBER(MATCH($F51,lista_no_disponible,0)),(IFERROR(INDEX('CALENDARIO'!$C$15:$C$214,MATCH(TEXT($H51,"yyyy-mm-dd")&amp;"|"&amp;$D51&amp;"|"&amp;"",'CALENDARIO'!$G$15:$G$214,0)),IFERROR(INDEX('CALENDARIO'!$C$15:$C$214,MATCH(TEXT($H51,"yyyy-mm-dd")&amp;"|"&amp;$D51&amp;"|",'CALENDARIO'!$G$15:$G$214,0)),IFERROR(INDEX('CALENDARIO'!$C$15:$C$214,MATCH(TEXT($H51,"yyyy-mm-dd")&amp;"||",'CALENDARIO'!$G$15:$G$214,0)),INDEX(patronHabil,WEEKDAY($H51,2))))))&lt;&gt;"sí"),0,p_horas_jornada)</f>
        <v/>
      </c>
      <c r="J51" s="3">
        <f>$A51&amp;"|"&amp;$B51&amp;"|"&amp;$C51</f>
        <v/>
      </c>
      <c r="K51" s="3">
        <f>IFERROR(INDEX('CAT_TURNOS'!$C$4:$C$7,MATCH($F51,'CAT_TURNOS'!$A$4:$A$7,0)),"")</f>
        <v/>
      </c>
      <c r="L51" s="3">
        <f>IFERROR(INDEX('CAT_TURNOS'!$D$4:$D$7,MATCH($F51,'CAT_TURNOS'!$A$4:$A$7,0)),"")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11">
        <f>IF($A52="","",DATE(VALUE(LEFT($A52,4)),1,4)-WEEKDAY(DATE(VALUE(LEFT($A52,4)),1,4),2)+1+(VALUE(MID($A52,7,2))-1)*7+MATCH($B52,lista_dias,0)-1)</f>
        <v/>
      </c>
      <c r="I52" s="3">
        <f>IF(OR($F52="",ISNUMBER(MATCH($F52,lista_no_disponible,0)),(IFERROR(INDEX('CALENDARIO'!$C$15:$C$214,MATCH(TEXT($H52,"yyyy-mm-dd")&amp;"|"&amp;$D52&amp;"|"&amp;"",'CALENDARIO'!$G$15:$G$214,0)),IFERROR(INDEX('CALENDARIO'!$C$15:$C$214,MATCH(TEXT($H52,"yyyy-mm-dd")&amp;"|"&amp;$D52&amp;"|",'CALENDARIO'!$G$15:$G$214,0)),IFERROR(INDEX('CALENDARIO'!$C$15:$C$214,MATCH(TEXT($H52,"yyyy-mm-dd")&amp;"||",'CALENDARIO'!$G$15:$G$214,0)),INDEX(patronHabil,WEEKDAY($H52,2))))))&lt;&gt;"sí"),0,p_horas_jornada)</f>
        <v/>
      </c>
      <c r="J52" s="3">
        <f>$A52&amp;"|"&amp;$B52&amp;"|"&amp;$C52</f>
        <v/>
      </c>
      <c r="K52" s="3">
        <f>IFERROR(INDEX('CAT_TURNOS'!$C$4:$C$7,MATCH($F52,'CAT_TURNOS'!$A$4:$A$7,0)),"")</f>
        <v/>
      </c>
      <c r="L52" s="3">
        <f>IFERROR(INDEX('CAT_TURNOS'!$D$4:$D$7,MATCH($F52,'CAT_TURNOS'!$A$4:$A$7,0)),"")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B</t>
        </is>
      </c>
      <c r="G53" s="3">
        <f>IFERROR(INDEX('TECNICOS'!$E$4:$E$15,MATCH($C53,'TECNICOS'!$B$4:$B$15,0)),"")</f>
        <v/>
      </c>
      <c r="H53" s="11">
        <f>IF($A53="","",DATE(VALUE(LEFT($A53,4)),1,4)-WEEKDAY(DATE(VALUE(LEFT($A53,4)),1,4),2)+1+(VALUE(MID($A53,7,2))-1)*7+MATCH($B53,lista_dias,0)-1)</f>
        <v/>
      </c>
      <c r="I53" s="3">
        <f>IF(OR($F53="",ISNUMBER(MATCH($F53,lista_no_disponible,0)),(IFERROR(INDEX('CALENDARIO'!$C$15:$C$214,MATCH(TEXT($H53,"yyyy-mm-dd")&amp;"|"&amp;$D53&amp;"|"&amp;"",'CALENDARIO'!$G$15:$G$214,0)),IFERROR(INDEX('CALENDARIO'!$C$15:$C$214,MATCH(TEXT($H53,"yyyy-mm-dd")&amp;"|"&amp;$D53&amp;"|",'CALENDARIO'!$G$15:$G$214,0)),IFERROR(INDEX('CALENDARIO'!$C$15:$C$214,MATCH(TEXT($H53,"yyyy-mm-dd")&amp;"||",'CALENDARIO'!$G$15:$G$214,0)),INDEX(patronHabil,WEEKDAY($H53,2))))))&lt;&gt;"sí"),0,p_horas_jornada)</f>
        <v/>
      </c>
      <c r="J53" s="3">
        <f>$A53&amp;"|"&amp;$B53&amp;"|"&amp;$C53</f>
        <v/>
      </c>
      <c r="K53" s="3">
        <f>IFERROR(INDEX('CAT_TURNOS'!$C$4:$C$7,MATCH($F53,'CAT_TURNOS'!$A$4:$A$7,0)),"")</f>
        <v/>
      </c>
      <c r="L53" s="3">
        <f>IFERROR(INDEX('CAT_TURNOS'!$D$4:$D$7,MATCH($F53,'CAT_TURNOS'!$A$4:$A$7,0)),"")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B</t>
        </is>
      </c>
      <c r="G54" s="3">
        <f>IFERROR(INDEX('TECNICOS'!$E$4:$E$15,MATCH($C54,'TECNICOS'!$B$4:$B$15,0)),"")</f>
        <v/>
      </c>
      <c r="H54" s="11">
        <f>IF($A54="","",DATE(VALUE(LEFT($A54,4)),1,4)-WEEKDAY(DATE(VALUE(LEFT($A54,4)),1,4),2)+1+(VALUE(MID($A54,7,2))-1)*7+MATCH($B54,lista_dias,0)-1)</f>
        <v/>
      </c>
      <c r="I54" s="3">
        <f>IF(OR($F54="",ISNUMBER(MATCH($F54,lista_no_disponible,0)),(IFERROR(INDEX('CALENDARIO'!$C$15:$C$214,MATCH(TEXT($H54,"yyyy-mm-dd")&amp;"|"&amp;$D54&amp;"|"&amp;"",'CALENDARIO'!$G$15:$G$214,0)),IFERROR(INDEX('CALENDARIO'!$C$15:$C$214,MATCH(TEXT($H54,"yyyy-mm-dd")&amp;"|"&amp;$D54&amp;"|",'CALENDARIO'!$G$15:$G$214,0)),IFERROR(INDEX('CALENDARIO'!$C$15:$C$214,MATCH(TEXT($H54,"yyyy-mm-dd")&amp;"||",'CALENDARIO'!$G$15:$G$214,0)),INDEX(patronHabil,WEEKDAY($H54,2))))))&lt;&gt;"sí"),0,p_horas_jornada)</f>
        <v/>
      </c>
      <c r="J54" s="3">
        <f>$A54&amp;"|"&amp;$B54&amp;"|"&amp;$C54</f>
        <v/>
      </c>
      <c r="K54" s="3">
        <f>IFERROR(INDEX('CAT_TURNOS'!$C$4:$C$7,MATCH($F54,'CAT_TURNOS'!$A$4:$A$7,0)),"")</f>
        <v/>
      </c>
      <c r="L54" s="3">
        <f>IFERROR(INDEX('CAT_TURNOS'!$D$4:$D$7,MATCH($F54,'CAT_TURNOS'!$A$4:$A$7,0)),"")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B</t>
        </is>
      </c>
      <c r="G55" s="3">
        <f>IFERROR(INDEX('TECNICOS'!$E$4:$E$15,MATCH($C55,'TECNICOS'!$B$4:$B$15,0)),"")</f>
        <v/>
      </c>
      <c r="H55" s="11">
        <f>IF($A55="","",DATE(VALUE(LEFT($A55,4)),1,4)-WEEKDAY(DATE(VALUE(LEFT($A55,4)),1,4),2)+1+(VALUE(MID($A55,7,2))-1)*7+MATCH($B55,lista_dias,0)-1)</f>
        <v/>
      </c>
      <c r="I55" s="3">
        <f>IF(OR($F55="",ISNUMBER(MATCH($F55,lista_no_disponible,0)),(IFERROR(INDEX('CALENDARIO'!$C$15:$C$214,MATCH(TEXT($H55,"yyyy-mm-dd")&amp;"|"&amp;$D55&amp;"|"&amp;"",'CALENDARIO'!$G$15:$G$214,0)),IFERROR(INDEX('CALENDARIO'!$C$15:$C$214,MATCH(TEXT($H55,"yyyy-mm-dd")&amp;"|"&amp;$D55&amp;"|",'CALENDARIO'!$G$15:$G$214,0)),IFERROR(INDEX('CALENDARIO'!$C$15:$C$214,MATCH(TEXT($H55,"yyyy-mm-dd")&amp;"||",'CALENDARIO'!$G$15:$G$214,0)),INDEX(patronHabil,WEEKDAY($H55,2))))))&lt;&gt;"sí"),0,p_horas_jornada)</f>
        <v/>
      </c>
      <c r="J55" s="3">
        <f>$A55&amp;"|"&amp;$B55&amp;"|"&amp;$C55</f>
        <v/>
      </c>
      <c r="K55" s="3">
        <f>IFERROR(INDEX('CAT_TURNOS'!$C$4:$C$7,MATCH($F55,'CAT_TURNOS'!$A$4:$A$7,0)),"")</f>
        <v/>
      </c>
      <c r="L55" s="3">
        <f>IFERROR(INDEX('CAT_TURNOS'!$D$4:$D$7,MATCH($F55,'CAT_TURNOS'!$A$4:$A$7,0)),"")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B</t>
        </is>
      </c>
      <c r="G56" s="3">
        <f>IFERROR(INDEX('TECNICOS'!$E$4:$E$15,MATCH($C56,'TECNICOS'!$B$4:$B$15,0)),"")</f>
        <v/>
      </c>
      <c r="H56" s="11">
        <f>IF($A56="","",DATE(VALUE(LEFT($A56,4)),1,4)-WEEKDAY(DATE(VALUE(LEFT($A56,4)),1,4),2)+1+(VALUE(MID($A56,7,2))-1)*7+MATCH($B56,lista_dias,0)-1)</f>
        <v/>
      </c>
      <c r="I56" s="3">
        <f>IF(OR($F56="",ISNUMBER(MATCH($F56,lista_no_disponible,0)),(IFERROR(INDEX('CALENDARIO'!$C$15:$C$214,MATCH(TEXT($H56,"yyyy-mm-dd")&amp;"|"&amp;$D56&amp;"|"&amp;"",'CALENDARIO'!$G$15:$G$214,0)),IFERROR(INDEX('CALENDARIO'!$C$15:$C$214,MATCH(TEXT($H56,"yyyy-mm-dd")&amp;"|"&amp;$D56&amp;"|",'CALENDARIO'!$G$15:$G$214,0)),IFERROR(INDEX('CALENDARIO'!$C$15:$C$214,MATCH(TEXT($H56,"yyyy-mm-dd")&amp;"||",'CALENDARIO'!$G$15:$G$214,0)),INDEX(patronHabil,WEEKDAY($H56,2))))))&lt;&gt;"sí"),0,p_horas_jornada)</f>
        <v/>
      </c>
      <c r="J56" s="3">
        <f>$A56&amp;"|"&amp;$B56&amp;"|"&amp;$C56</f>
        <v/>
      </c>
      <c r="K56" s="3">
        <f>IFERROR(INDEX('CAT_TURNOS'!$C$4:$C$7,MATCH($F56,'CAT_TURNOS'!$A$4:$A$7,0)),"")</f>
        <v/>
      </c>
      <c r="L56" s="3">
        <f>IFERROR(INDEX('CAT_TURNOS'!$D$4:$D$7,MATCH($F56,'CAT_TURNOS'!$A$4:$A$7,0)),"")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B</t>
        </is>
      </c>
      <c r="G57" s="3">
        <f>IFERROR(INDEX('TECNICOS'!$E$4:$E$15,MATCH($C57,'TECNICOS'!$B$4:$B$15,0)),"")</f>
        <v/>
      </c>
      <c r="H57" s="11">
        <f>IF($A57="","",DATE(VALUE(LEFT($A57,4)),1,4)-WEEKDAY(DATE(VALUE(LEFT($A57,4)),1,4),2)+1+(VALUE(MID($A57,7,2))-1)*7+MATCH($B57,lista_dias,0)-1)</f>
        <v/>
      </c>
      <c r="I57" s="3">
        <f>IF(OR($F57="",ISNUMBER(MATCH($F57,lista_no_disponible,0)),(IFERROR(INDEX('CALENDARIO'!$C$15:$C$214,MATCH(TEXT($H57,"yyyy-mm-dd")&amp;"|"&amp;$D57&amp;"|"&amp;"",'CALENDARIO'!$G$15:$G$214,0)),IFERROR(INDEX('CALENDARIO'!$C$15:$C$214,MATCH(TEXT($H57,"yyyy-mm-dd")&amp;"|"&amp;$D57&amp;"|",'CALENDARIO'!$G$15:$G$214,0)),IFERROR(INDEX('CALENDARIO'!$C$15:$C$214,MATCH(TEXT($H57,"yyyy-mm-dd")&amp;"||",'CALENDARIO'!$G$15:$G$214,0)),INDEX(patronHabil,WEEKDAY($H57,2))))))&lt;&gt;"sí"),0,p_horas_jornada)</f>
        <v/>
      </c>
      <c r="J57" s="3">
        <f>$A57&amp;"|"&amp;$B57&amp;"|"&amp;$C57</f>
        <v/>
      </c>
      <c r="K57" s="3">
        <f>IFERROR(INDEX('CAT_TURNOS'!$C$4:$C$7,MATCH($F57,'CAT_TURNOS'!$A$4:$A$7,0)),"")</f>
        <v/>
      </c>
      <c r="L57" s="3">
        <f>IFERROR(INDEX('CAT_TURNOS'!$D$4:$D$7,MATCH($F57,'CAT_TURNOS'!$A$4:$A$7,0)),"")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>
        <is>
          <t>B</t>
        </is>
      </c>
      <c r="G58" s="3">
        <f>IFERROR(INDEX('TECNICOS'!$E$4:$E$15,MATCH($C58,'TECNICOS'!$B$4:$B$15,0)),"")</f>
        <v/>
      </c>
      <c r="H58" s="11">
        <f>IF($A58="","",DATE(VALUE(LEFT($A58,4)),1,4)-WEEKDAY(DATE(VALUE(LEFT($A58,4)),1,4),2)+1+(VALUE(MID($A58,7,2))-1)*7+MATCH($B58,lista_dias,0)-1)</f>
        <v/>
      </c>
      <c r="I58" s="3">
        <f>IF(OR($F58="",ISNUMBER(MATCH($F58,lista_no_disponible,0)),(IFERROR(INDEX('CALENDARIO'!$C$15:$C$214,MATCH(TEXT($H58,"yyyy-mm-dd")&amp;"|"&amp;$D58&amp;"|"&amp;"",'CALENDARIO'!$G$15:$G$214,0)),IFERROR(INDEX('CALENDARIO'!$C$15:$C$214,MATCH(TEXT($H58,"yyyy-mm-dd")&amp;"|"&amp;$D58&amp;"|",'CALENDARIO'!$G$15:$G$214,0)),IFERROR(INDEX('CALENDARIO'!$C$15:$C$214,MATCH(TEXT($H58,"yyyy-mm-dd")&amp;"||",'CALENDARIO'!$G$15:$G$214,0)),INDEX(patronHabil,WEEKDAY($H58,2))))))&lt;&gt;"sí"),0,p_horas_jornada)</f>
        <v/>
      </c>
      <c r="J58" s="3">
        <f>$A58&amp;"|"&amp;$B58&amp;"|"&amp;$C58</f>
        <v/>
      </c>
      <c r="K58" s="3">
        <f>IFERROR(INDEX('CAT_TURNOS'!$C$4:$C$7,MATCH($F58,'CAT_TURNOS'!$A$4:$A$7,0)),"")</f>
        <v/>
      </c>
      <c r="L58" s="3">
        <f>IFERROR(INDEX('CAT_TURNOS'!$D$4:$D$7,MATCH($F58,'CAT_TURNOS'!$A$4:$A$7,0)),"")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11">
        <f>IF($A59="","",DATE(VALUE(LEFT($A59,4)),1,4)-WEEKDAY(DATE(VALUE(LEFT($A59,4)),1,4),2)+1+(VALUE(MID($A59,7,2))-1)*7+MATCH($B59,lista_dias,0)-1)</f>
        <v/>
      </c>
      <c r="I59" s="3">
        <f>IF(OR($F59="",ISNUMBER(MATCH($F59,lista_no_disponible,0)),(IFERROR(INDEX('CALENDARIO'!$C$15:$C$214,MATCH(TEXT($H59,"yyyy-mm-dd")&amp;"|"&amp;$D59&amp;"|"&amp;"",'CALENDARIO'!$G$15:$G$214,0)),IFERROR(INDEX('CALENDARIO'!$C$15:$C$214,MATCH(TEXT($H59,"yyyy-mm-dd")&amp;"|"&amp;$D59&amp;"|",'CALENDARIO'!$G$15:$G$214,0)),IFERROR(INDEX('CALENDARIO'!$C$15:$C$214,MATCH(TEXT($H59,"yyyy-mm-dd")&amp;"||",'CALENDARIO'!$G$15:$G$214,0)),INDEX(patronHabil,WEEKDAY($H59,2))))))&lt;&gt;"sí"),0,p_horas_jornada)</f>
        <v/>
      </c>
      <c r="J59" s="3">
        <f>$A59&amp;"|"&amp;$B59&amp;"|"&amp;$C59</f>
        <v/>
      </c>
      <c r="K59" s="3">
        <f>IFERROR(INDEX('CAT_TURNOS'!$C$4:$C$7,MATCH($F59,'CAT_TURNOS'!$A$4:$A$7,0)),"")</f>
        <v/>
      </c>
      <c r="L59" s="3">
        <f>IFERROR(INDEX('CAT_TURNOS'!$D$4:$D$7,MATCH($F59,'CAT_TURNOS'!$A$4:$A$7,0)),"")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B</t>
        </is>
      </c>
      <c r="G60" s="3">
        <f>IFERROR(INDEX('TECNICOS'!$E$4:$E$15,MATCH($C60,'TECNICOS'!$B$4:$B$15,0)),"")</f>
        <v/>
      </c>
      <c r="H60" s="11">
        <f>IF($A60="","",DATE(VALUE(LEFT($A60,4)),1,4)-WEEKDAY(DATE(VALUE(LEFT($A60,4)),1,4),2)+1+(VALUE(MID($A60,7,2))-1)*7+MATCH($B60,lista_dias,0)-1)</f>
        <v/>
      </c>
      <c r="I60" s="3">
        <f>IF(OR($F60="",ISNUMBER(MATCH($F60,lista_no_disponible,0)),(IFERROR(INDEX('CALENDARIO'!$C$15:$C$214,MATCH(TEXT($H60,"yyyy-mm-dd")&amp;"|"&amp;$D60&amp;"|"&amp;"",'CALENDARIO'!$G$15:$G$214,0)),IFERROR(INDEX('CALENDARIO'!$C$15:$C$214,MATCH(TEXT($H60,"yyyy-mm-dd")&amp;"|"&amp;$D60&amp;"|",'CALENDARIO'!$G$15:$G$214,0)),IFERROR(INDEX('CALENDARIO'!$C$15:$C$214,MATCH(TEXT($H60,"yyyy-mm-dd")&amp;"||",'CALENDARIO'!$G$15:$G$214,0)),INDEX(patronHabil,WEEKDAY($H60,2))))))&lt;&gt;"sí"),0,p_horas_jornada)</f>
        <v/>
      </c>
      <c r="J60" s="3">
        <f>$A60&amp;"|"&amp;$B60&amp;"|"&amp;$C60</f>
        <v/>
      </c>
      <c r="K60" s="3">
        <f>IFERROR(INDEX('CAT_TURNOS'!$C$4:$C$7,MATCH($F60,'CAT_TURNOS'!$A$4:$A$7,0)),"")</f>
        <v/>
      </c>
      <c r="L60" s="3">
        <f>IFERROR(INDEX('CAT_TURNOS'!$D$4:$D$7,MATCH($F60,'CAT_TURNOS'!$A$4:$A$7,0)),"")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B</t>
        </is>
      </c>
      <c r="G61" s="3">
        <f>IFERROR(INDEX('TECNICOS'!$E$4:$E$15,MATCH($C61,'TECNICOS'!$B$4:$B$15,0)),"")</f>
        <v/>
      </c>
      <c r="H61" s="11">
        <f>IF($A61="","",DATE(VALUE(LEFT($A61,4)),1,4)-WEEKDAY(DATE(VALUE(LEFT($A61,4)),1,4),2)+1+(VALUE(MID($A61,7,2))-1)*7+MATCH($B61,lista_dias,0)-1)</f>
        <v/>
      </c>
      <c r="I61" s="3">
        <f>IF(OR($F61="",ISNUMBER(MATCH($F61,lista_no_disponible,0)),(IFERROR(INDEX('CALENDARIO'!$C$15:$C$214,MATCH(TEXT($H61,"yyyy-mm-dd")&amp;"|"&amp;$D61&amp;"|"&amp;"",'CALENDARIO'!$G$15:$G$214,0)),IFERROR(INDEX('CALENDARIO'!$C$15:$C$214,MATCH(TEXT($H61,"yyyy-mm-dd")&amp;"|"&amp;$D61&amp;"|",'CALENDARIO'!$G$15:$G$214,0)),IFERROR(INDEX('CALENDARIO'!$C$15:$C$214,MATCH(TEXT($H61,"yyyy-mm-dd")&amp;"||",'CALENDARIO'!$G$15:$G$214,0)),INDEX(patronHabil,WEEKDAY($H61,2))))))&lt;&gt;"sí"),0,p_horas_jornada)</f>
        <v/>
      </c>
      <c r="J61" s="3">
        <f>$A61&amp;"|"&amp;$B61&amp;"|"&amp;$C61</f>
        <v/>
      </c>
      <c r="K61" s="3">
        <f>IFERROR(INDEX('CAT_TURNOS'!$C$4:$C$7,MATCH($F61,'CAT_TURNOS'!$A$4:$A$7,0)),"")</f>
        <v/>
      </c>
      <c r="L61" s="3">
        <f>IFERROR(INDEX('CAT_TURNOS'!$D$4:$D$7,MATCH($F61,'CAT_TURNOS'!$A$4:$A$7,0)),"")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B</t>
        </is>
      </c>
      <c r="G62" s="3">
        <f>IFERROR(INDEX('TECNICOS'!$E$4:$E$15,MATCH($C62,'TECNICOS'!$B$4:$B$15,0)),"")</f>
        <v/>
      </c>
      <c r="H62" s="11">
        <f>IF($A62="","",DATE(VALUE(LEFT($A62,4)),1,4)-WEEKDAY(DATE(VALUE(LEFT($A62,4)),1,4),2)+1+(VALUE(MID($A62,7,2))-1)*7+MATCH($B62,lista_dias,0)-1)</f>
        <v/>
      </c>
      <c r="I62" s="3">
        <f>IF(OR($F62="",ISNUMBER(MATCH($F62,lista_no_disponible,0)),(IFERROR(INDEX('CALENDARIO'!$C$15:$C$214,MATCH(TEXT($H62,"yyyy-mm-dd")&amp;"|"&amp;$D62&amp;"|"&amp;"",'CALENDARIO'!$G$15:$G$214,0)),IFERROR(INDEX('CALENDARIO'!$C$15:$C$214,MATCH(TEXT($H62,"yyyy-mm-dd")&amp;"|"&amp;$D62&amp;"|",'CALENDARIO'!$G$15:$G$214,0)),IFERROR(INDEX('CALENDARIO'!$C$15:$C$214,MATCH(TEXT($H62,"yyyy-mm-dd")&amp;"||",'CALENDARIO'!$G$15:$G$214,0)),INDEX(patronHabil,WEEKDAY($H62,2))))))&lt;&gt;"sí"),0,p_horas_jornada)</f>
        <v/>
      </c>
      <c r="J62" s="3">
        <f>$A62&amp;"|"&amp;$B62&amp;"|"&amp;$C62</f>
        <v/>
      </c>
      <c r="K62" s="3">
        <f>IFERROR(INDEX('CAT_TURNOS'!$C$4:$C$7,MATCH($F62,'CAT_TURNOS'!$A$4:$A$7,0)),"")</f>
        <v/>
      </c>
      <c r="L62" s="3">
        <f>IFERROR(INDEX('CAT_TURNOS'!$D$4:$D$7,MATCH($F62,'CAT_TURNOS'!$A$4:$A$7,0)),"")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B</t>
        </is>
      </c>
      <c r="G63" s="3">
        <f>IFERROR(INDEX('TECNICOS'!$E$4:$E$15,MATCH($C63,'TECNICOS'!$B$4:$B$15,0)),"")</f>
        <v/>
      </c>
      <c r="H63" s="11">
        <f>IF($A63="","",DATE(VALUE(LEFT($A63,4)),1,4)-WEEKDAY(DATE(VALUE(LEFT($A63,4)),1,4),2)+1+(VALUE(MID($A63,7,2))-1)*7+MATCH($B63,lista_dias,0)-1)</f>
        <v/>
      </c>
      <c r="I63" s="3">
        <f>IF(OR($F63="",ISNUMBER(MATCH($F63,lista_no_disponible,0)),(IFERROR(INDEX('CALENDARIO'!$C$15:$C$214,MATCH(TEXT($H63,"yyyy-mm-dd")&amp;"|"&amp;$D63&amp;"|"&amp;"",'CALENDARIO'!$G$15:$G$214,0)),IFERROR(INDEX('CALENDARIO'!$C$15:$C$214,MATCH(TEXT($H63,"yyyy-mm-dd")&amp;"|"&amp;$D63&amp;"|",'CALENDARIO'!$G$15:$G$214,0)),IFERROR(INDEX('CALENDARIO'!$C$15:$C$214,MATCH(TEXT($H63,"yyyy-mm-dd")&amp;"||",'CALENDARIO'!$G$15:$G$214,0)),INDEX(patronHabil,WEEKDAY($H63,2))))))&lt;&gt;"sí"),0,p_horas_jornada)</f>
        <v/>
      </c>
      <c r="J63" s="3">
        <f>$A63&amp;"|"&amp;$B63&amp;"|"&amp;$C63</f>
        <v/>
      </c>
      <c r="K63" s="3">
        <f>IFERROR(INDEX('CAT_TURNOS'!$C$4:$C$7,MATCH($F63,'CAT_TURNOS'!$A$4:$A$7,0)),"")</f>
        <v/>
      </c>
      <c r="L63" s="3">
        <f>IFERROR(INDEX('CAT_TURNOS'!$D$4:$D$7,MATCH($F63,'CAT_TURNOS'!$A$4:$A$7,0)),"")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B</t>
        </is>
      </c>
      <c r="G64" s="3">
        <f>IFERROR(INDEX('TECNICOS'!$E$4:$E$15,MATCH($C64,'TECNICOS'!$B$4:$B$15,0)),"")</f>
        <v/>
      </c>
      <c r="H64" s="11">
        <f>IF($A64="","",DATE(VALUE(LEFT($A64,4)),1,4)-WEEKDAY(DATE(VALUE(LEFT($A64,4)),1,4),2)+1+(VALUE(MID($A64,7,2))-1)*7+MATCH($B64,lista_dias,0)-1)</f>
        <v/>
      </c>
      <c r="I64" s="3">
        <f>IF(OR($F64="",ISNUMBER(MATCH($F64,lista_no_disponible,0)),(IFERROR(INDEX('CALENDARIO'!$C$15:$C$214,MATCH(TEXT($H64,"yyyy-mm-dd")&amp;"|"&amp;$D64&amp;"|"&amp;"",'CALENDARIO'!$G$15:$G$214,0)),IFERROR(INDEX('CALENDARIO'!$C$15:$C$214,MATCH(TEXT($H64,"yyyy-mm-dd")&amp;"|"&amp;$D64&amp;"|",'CALENDARIO'!$G$15:$G$214,0)),IFERROR(INDEX('CALENDARIO'!$C$15:$C$214,MATCH(TEXT($H64,"yyyy-mm-dd")&amp;"||",'CALENDARIO'!$G$15:$G$214,0)),INDEX(patronHabil,WEEKDAY($H64,2))))))&lt;&gt;"sí"),0,p_horas_jornada)</f>
        <v/>
      </c>
      <c r="J64" s="3">
        <f>$A64&amp;"|"&amp;$B64&amp;"|"&amp;$C64</f>
        <v/>
      </c>
      <c r="K64" s="3">
        <f>IFERROR(INDEX('CAT_TURNOS'!$C$4:$C$7,MATCH($F64,'CAT_TURNOS'!$A$4:$A$7,0)),"")</f>
        <v/>
      </c>
      <c r="L64" s="3">
        <f>IFERROR(INDEX('CAT_TURNOS'!$D$4:$D$7,MATCH($F64,'CAT_TURNOS'!$A$4:$A$7,0)),"")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>
        <is>
          <t>B</t>
        </is>
      </c>
      <c r="G65" s="3">
        <f>IFERROR(INDEX('TECNICOS'!$E$4:$E$15,MATCH($C65,'TECNICOS'!$B$4:$B$15,0)),"")</f>
        <v/>
      </c>
      <c r="H65" s="11">
        <f>IF($A65="","",DATE(VALUE(LEFT($A65,4)),1,4)-WEEKDAY(DATE(VALUE(LEFT($A65,4)),1,4),2)+1+(VALUE(MID($A65,7,2))-1)*7+MATCH($B65,lista_dias,0)-1)</f>
        <v/>
      </c>
      <c r="I65" s="3">
        <f>IF(OR($F65="",ISNUMBER(MATCH($F65,lista_no_disponible,0)),(IFERROR(INDEX('CALENDARIO'!$C$15:$C$214,MATCH(TEXT($H65,"yyyy-mm-dd")&amp;"|"&amp;$D65&amp;"|"&amp;"",'CALENDARIO'!$G$15:$G$214,0)),IFERROR(INDEX('CALENDARIO'!$C$15:$C$214,MATCH(TEXT($H65,"yyyy-mm-dd")&amp;"|"&amp;$D65&amp;"|",'CALENDARIO'!$G$15:$G$214,0)),IFERROR(INDEX('CALENDARIO'!$C$15:$C$214,MATCH(TEXT($H65,"yyyy-mm-dd")&amp;"||",'CALENDARIO'!$G$15:$G$214,0)),INDEX(patronHabil,WEEKDAY($H65,2))))))&lt;&gt;"sí"),0,p_horas_jornada)</f>
        <v/>
      </c>
      <c r="J65" s="3">
        <f>$A65&amp;"|"&amp;$B65&amp;"|"&amp;$C65</f>
        <v/>
      </c>
      <c r="K65" s="3">
        <f>IFERROR(INDEX('CAT_TURNOS'!$C$4:$C$7,MATCH($F65,'CAT_TURNOS'!$A$4:$A$7,0)),"")</f>
        <v/>
      </c>
      <c r="L65" s="3">
        <f>IFERROR(INDEX('CAT_TURNOS'!$D$4:$D$7,MATCH($F65,'CAT_TURNOS'!$A$4:$A$7,0)),"")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11">
        <f>IF($A66="","",DATE(VALUE(LEFT($A66,4)),1,4)-WEEKDAY(DATE(VALUE(LEFT($A66,4)),1,4),2)+1+(VALUE(MID($A66,7,2))-1)*7+MATCH($B66,lista_dias,0)-1)</f>
        <v/>
      </c>
      <c r="I66" s="3">
        <f>IF(OR($F66="",ISNUMBER(MATCH($F66,lista_no_disponible,0)),(IFERROR(INDEX('CALENDARIO'!$C$15:$C$214,MATCH(TEXT($H66,"yyyy-mm-dd")&amp;"|"&amp;$D66&amp;"|"&amp;"",'CALENDARIO'!$G$15:$G$214,0)),IFERROR(INDEX('CALENDARIO'!$C$15:$C$214,MATCH(TEXT($H66,"yyyy-mm-dd")&amp;"|"&amp;$D66&amp;"|",'CALENDARIO'!$G$15:$G$214,0)),IFERROR(INDEX('CALENDARIO'!$C$15:$C$214,MATCH(TEXT($H66,"yyyy-mm-dd")&amp;"||",'CALENDARIO'!$G$15:$G$214,0)),INDEX(patronHabil,WEEKDAY($H66,2))))))&lt;&gt;"sí"),0,p_horas_jornada)</f>
        <v/>
      </c>
      <c r="J66" s="3">
        <f>$A66&amp;"|"&amp;$B66&amp;"|"&amp;$C66</f>
        <v/>
      </c>
      <c r="K66" s="3">
        <f>IFERROR(INDEX('CAT_TURNOS'!$C$4:$C$7,MATCH($F66,'CAT_TURNOS'!$A$4:$A$7,0)),"")</f>
        <v/>
      </c>
      <c r="L66" s="3">
        <f>IFERROR(INDEX('CAT_TURNOS'!$D$4:$D$7,MATCH($F66,'CAT_TURNOS'!$A$4:$A$7,0)),"")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</t>
        </is>
      </c>
      <c r="G67" s="3">
        <f>IFERROR(INDEX('TECNICOS'!$E$4:$E$15,MATCH($C67,'TECNICOS'!$B$4:$B$15,0)),"")</f>
        <v/>
      </c>
      <c r="H67" s="11">
        <f>IF($A67="","",DATE(VALUE(LEFT($A67,4)),1,4)-WEEKDAY(DATE(VALUE(LEFT($A67,4)),1,4),2)+1+(VALUE(MID($A67,7,2))-1)*7+MATCH($B67,lista_dias,0)-1)</f>
        <v/>
      </c>
      <c r="I67" s="3">
        <f>IF(OR($F67="",ISNUMBER(MATCH($F67,lista_no_disponible,0)),(IFERROR(INDEX('CALENDARIO'!$C$15:$C$214,MATCH(TEXT($H67,"yyyy-mm-dd")&amp;"|"&amp;$D67&amp;"|"&amp;"",'CALENDARIO'!$G$15:$G$214,0)),IFERROR(INDEX('CALENDARIO'!$C$15:$C$214,MATCH(TEXT($H67,"yyyy-mm-dd")&amp;"|"&amp;$D67&amp;"|",'CALENDARIO'!$G$15:$G$214,0)),IFERROR(INDEX('CALENDARIO'!$C$15:$C$214,MATCH(TEXT($H67,"yyyy-mm-dd")&amp;"||",'CALENDARIO'!$G$15:$G$214,0)),INDEX(patronHabil,WEEKDAY($H67,2))))))&lt;&gt;"sí"),0,p_horas_jornada)</f>
        <v/>
      </c>
      <c r="J67" s="3">
        <f>$A67&amp;"|"&amp;$B67&amp;"|"&amp;$C67</f>
        <v/>
      </c>
      <c r="K67" s="3">
        <f>IFERROR(INDEX('CAT_TURNOS'!$C$4:$C$7,MATCH($F67,'CAT_TURNOS'!$A$4:$A$7,0)),"")</f>
        <v/>
      </c>
      <c r="L67" s="3">
        <f>IFERROR(INDEX('CAT_TURNOS'!$D$4:$D$7,MATCH($F67,'CAT_TURNOS'!$A$4:$A$7,0)),"")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</t>
        </is>
      </c>
      <c r="G68" s="3">
        <f>IFERROR(INDEX('TECNICOS'!$E$4:$E$15,MATCH($C68,'TECNICOS'!$B$4:$B$15,0)),"")</f>
        <v/>
      </c>
      <c r="H68" s="11">
        <f>IF($A68="","",DATE(VALUE(LEFT($A68,4)),1,4)-WEEKDAY(DATE(VALUE(LEFT($A68,4)),1,4),2)+1+(VALUE(MID($A68,7,2))-1)*7+MATCH($B68,lista_dias,0)-1)</f>
        <v/>
      </c>
      <c r="I68" s="3">
        <f>IF(OR($F68="",ISNUMBER(MATCH($F68,lista_no_disponible,0)),(IFERROR(INDEX('CALENDARIO'!$C$15:$C$214,MATCH(TEXT($H68,"yyyy-mm-dd")&amp;"|"&amp;$D68&amp;"|"&amp;"",'CALENDARIO'!$G$15:$G$214,0)),IFERROR(INDEX('CALENDARIO'!$C$15:$C$214,MATCH(TEXT($H68,"yyyy-mm-dd")&amp;"|"&amp;$D68&amp;"|",'CALENDARIO'!$G$15:$G$214,0)),IFERROR(INDEX('CALENDARIO'!$C$15:$C$214,MATCH(TEXT($H68,"yyyy-mm-dd")&amp;"||",'CALENDARIO'!$G$15:$G$214,0)),INDEX(patronHabil,WEEKDAY($H68,2))))))&lt;&gt;"sí"),0,p_horas_jornada)</f>
        <v/>
      </c>
      <c r="J68" s="3">
        <f>$A68&amp;"|"&amp;$B68&amp;"|"&amp;$C68</f>
        <v/>
      </c>
      <c r="K68" s="3">
        <f>IFERROR(INDEX('CAT_TURNOS'!$C$4:$C$7,MATCH($F68,'CAT_TURNOS'!$A$4:$A$7,0)),"")</f>
        <v/>
      </c>
      <c r="L68" s="3">
        <f>IFERROR(INDEX('CAT_TURNOS'!$D$4:$D$7,MATCH($F68,'CAT_TURNOS'!$A$4:$A$7,0)),"")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</t>
        </is>
      </c>
      <c r="G69" s="3">
        <f>IFERROR(INDEX('TECNICOS'!$E$4:$E$15,MATCH($C69,'TECNICOS'!$B$4:$B$15,0)),"")</f>
        <v/>
      </c>
      <c r="H69" s="11">
        <f>IF($A69="","",DATE(VALUE(LEFT($A69,4)),1,4)-WEEKDAY(DATE(VALUE(LEFT($A69,4)),1,4),2)+1+(VALUE(MID($A69,7,2))-1)*7+MATCH($B69,lista_dias,0)-1)</f>
        <v/>
      </c>
      <c r="I69" s="3">
        <f>IF(OR($F69="",ISNUMBER(MATCH($F69,lista_no_disponible,0)),(IFERROR(INDEX('CALENDARIO'!$C$15:$C$214,MATCH(TEXT($H69,"yyyy-mm-dd")&amp;"|"&amp;$D69&amp;"|"&amp;"",'CALENDARIO'!$G$15:$G$214,0)),IFERROR(INDEX('CALENDARIO'!$C$15:$C$214,MATCH(TEXT($H69,"yyyy-mm-dd")&amp;"|"&amp;$D69&amp;"|",'CALENDARIO'!$G$15:$G$214,0)),IFERROR(INDEX('CALENDARIO'!$C$15:$C$214,MATCH(TEXT($H69,"yyyy-mm-dd")&amp;"||",'CALENDARIO'!$G$15:$G$214,0)),INDEX(patronHabil,WEEKDAY($H69,2))))))&lt;&gt;"sí"),0,p_horas_jornada)</f>
        <v/>
      </c>
      <c r="J69" s="3">
        <f>$A69&amp;"|"&amp;$B69&amp;"|"&amp;$C69</f>
        <v/>
      </c>
      <c r="K69" s="3">
        <f>IFERROR(INDEX('CAT_TURNOS'!$C$4:$C$7,MATCH($F69,'CAT_TURNOS'!$A$4:$A$7,0)),"")</f>
        <v/>
      </c>
      <c r="L69" s="3">
        <f>IFERROR(INDEX('CAT_TURNOS'!$D$4:$D$7,MATCH($F69,'CAT_TURNOS'!$A$4:$A$7,0)),"")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</t>
        </is>
      </c>
      <c r="G70" s="3">
        <f>IFERROR(INDEX('TECNICOS'!$E$4:$E$15,MATCH($C70,'TECNICOS'!$B$4:$B$15,0)),"")</f>
        <v/>
      </c>
      <c r="H70" s="11">
        <f>IF($A70="","",DATE(VALUE(LEFT($A70,4)),1,4)-WEEKDAY(DATE(VALUE(LEFT($A70,4)),1,4),2)+1+(VALUE(MID($A70,7,2))-1)*7+MATCH($B70,lista_dias,0)-1)</f>
        <v/>
      </c>
      <c r="I70" s="3">
        <f>IF(OR($F70="",ISNUMBER(MATCH($F70,lista_no_disponible,0)),(IFERROR(INDEX('CALENDARIO'!$C$15:$C$214,MATCH(TEXT($H70,"yyyy-mm-dd")&amp;"|"&amp;$D70&amp;"|"&amp;"",'CALENDARIO'!$G$15:$G$214,0)),IFERROR(INDEX('CALENDARIO'!$C$15:$C$214,MATCH(TEXT($H70,"yyyy-mm-dd")&amp;"|"&amp;$D70&amp;"|",'CALENDARIO'!$G$15:$G$214,0)),IFERROR(INDEX('CALENDARIO'!$C$15:$C$214,MATCH(TEXT($H70,"yyyy-mm-dd")&amp;"||",'CALENDARIO'!$G$15:$G$214,0)),INDEX(patronHabil,WEEKDAY($H70,2))))))&lt;&gt;"sí"),0,p_horas_jornada)</f>
        <v/>
      </c>
      <c r="J70" s="3">
        <f>$A70&amp;"|"&amp;$B70&amp;"|"&amp;$C70</f>
        <v/>
      </c>
      <c r="K70" s="3">
        <f>IFERROR(INDEX('CAT_TURNOS'!$C$4:$C$7,MATCH($F70,'CAT_TURNOS'!$A$4:$A$7,0)),"")</f>
        <v/>
      </c>
      <c r="L70" s="3">
        <f>IFERROR(INDEX('CAT_TURNOS'!$D$4:$D$7,MATCH($F70,'CAT_TURNOS'!$A$4:$A$7,0)),"")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</t>
        </is>
      </c>
      <c r="G71" s="3">
        <f>IFERROR(INDEX('TECNICOS'!$E$4:$E$15,MATCH($C71,'TECNICOS'!$B$4:$B$15,0)),"")</f>
        <v/>
      </c>
      <c r="H71" s="11">
        <f>IF($A71="","",DATE(VALUE(LEFT($A71,4)),1,4)-WEEKDAY(DATE(VALUE(LEFT($A71,4)),1,4),2)+1+(VALUE(MID($A71,7,2))-1)*7+MATCH($B71,lista_dias,0)-1)</f>
        <v/>
      </c>
      <c r="I71" s="3">
        <f>IF(OR($F71="",ISNUMBER(MATCH($F71,lista_no_disponible,0)),(IFERROR(INDEX('CALENDARIO'!$C$15:$C$214,MATCH(TEXT($H71,"yyyy-mm-dd")&amp;"|"&amp;$D71&amp;"|"&amp;"",'CALENDARIO'!$G$15:$G$214,0)),IFERROR(INDEX('CALENDARIO'!$C$15:$C$214,MATCH(TEXT($H71,"yyyy-mm-dd")&amp;"|"&amp;$D71&amp;"|",'CALENDARIO'!$G$15:$G$214,0)),IFERROR(INDEX('CALENDARIO'!$C$15:$C$214,MATCH(TEXT($H71,"yyyy-mm-dd")&amp;"||",'CALENDARIO'!$G$15:$G$214,0)),INDEX(patronHabil,WEEKDAY($H71,2))))))&lt;&gt;"sí"),0,p_horas_jornada)</f>
        <v/>
      </c>
      <c r="J71" s="3">
        <f>$A71&amp;"|"&amp;$B71&amp;"|"&amp;$C71</f>
        <v/>
      </c>
      <c r="K71" s="3">
        <f>IFERROR(INDEX('CAT_TURNOS'!$C$4:$C$7,MATCH($F71,'CAT_TURNOS'!$A$4:$A$7,0)),"")</f>
        <v/>
      </c>
      <c r="L71" s="3">
        <f>IFERROR(INDEX('CAT_TURNOS'!$D$4:$D$7,MATCH($F71,'CAT_TURNOS'!$A$4:$A$7,0)),"")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>
        <is>
          <t>B</t>
        </is>
      </c>
      <c r="G72" s="3">
        <f>IFERROR(INDEX('TECNICOS'!$E$4:$E$15,MATCH($C72,'TECNICOS'!$B$4:$B$15,0)),"")</f>
        <v/>
      </c>
      <c r="H72" s="11">
        <f>IF($A72="","",DATE(VALUE(LEFT($A72,4)),1,4)-WEEKDAY(DATE(VALUE(LEFT($A72,4)),1,4),2)+1+(VALUE(MID($A72,7,2))-1)*7+MATCH($B72,lista_dias,0)-1)</f>
        <v/>
      </c>
      <c r="I72" s="3">
        <f>IF(OR($F72="",ISNUMBER(MATCH($F72,lista_no_disponible,0)),(IFERROR(INDEX('CALENDARIO'!$C$15:$C$214,MATCH(TEXT($H72,"yyyy-mm-dd")&amp;"|"&amp;$D72&amp;"|"&amp;"",'CALENDARIO'!$G$15:$G$214,0)),IFERROR(INDEX('CALENDARIO'!$C$15:$C$214,MATCH(TEXT($H72,"yyyy-mm-dd")&amp;"|"&amp;$D72&amp;"|",'CALENDARIO'!$G$15:$G$214,0)),IFERROR(INDEX('CALENDARIO'!$C$15:$C$214,MATCH(TEXT($H72,"yyyy-mm-dd")&amp;"||",'CALENDARIO'!$G$15:$G$214,0)),INDEX(patronHabil,WEEKDAY($H72,2))))))&lt;&gt;"sí"),0,p_horas_jornada)</f>
        <v/>
      </c>
      <c r="J72" s="3">
        <f>$A72&amp;"|"&amp;$B72&amp;"|"&amp;$C72</f>
        <v/>
      </c>
      <c r="K72" s="3">
        <f>IFERROR(INDEX('CAT_TURNOS'!$C$4:$C$7,MATCH($F72,'CAT_TURNOS'!$A$4:$A$7,0)),"")</f>
        <v/>
      </c>
      <c r="L72" s="3">
        <f>IFERROR(INDEX('CAT_TURNOS'!$D$4:$D$7,MATCH($F72,'CAT_TURNOS'!$A$4:$A$7,0)),"")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11">
        <f>IF($A73="","",DATE(VALUE(LEFT($A73,4)),1,4)-WEEKDAY(DATE(VALUE(LEFT($A73,4)),1,4),2)+1+(VALUE(MID($A73,7,2))-1)*7+MATCH($B73,lista_dias,0)-1)</f>
        <v/>
      </c>
      <c r="I73" s="3">
        <f>IF(OR($F73="",ISNUMBER(MATCH($F73,lista_no_disponible,0)),(IFERROR(INDEX('CALENDARIO'!$C$15:$C$214,MATCH(TEXT($H73,"yyyy-mm-dd")&amp;"|"&amp;$D73&amp;"|"&amp;"",'CALENDARIO'!$G$15:$G$214,0)),IFERROR(INDEX('CALENDARIO'!$C$15:$C$214,MATCH(TEXT($H73,"yyyy-mm-dd")&amp;"|"&amp;$D73&amp;"|",'CALENDARIO'!$G$15:$G$214,0)),IFERROR(INDEX('CALENDARIO'!$C$15:$C$214,MATCH(TEXT($H73,"yyyy-mm-dd")&amp;"||",'CALENDARIO'!$G$15:$G$214,0)),INDEX(patronHabil,WEEKDAY($H73,2))))))&lt;&gt;"sí"),0,p_horas_jornada)</f>
        <v/>
      </c>
      <c r="J73" s="3">
        <f>$A73&amp;"|"&amp;$B73&amp;"|"&amp;$C73</f>
        <v/>
      </c>
      <c r="K73" s="3">
        <f>IFERROR(INDEX('CAT_TURNOS'!$C$4:$C$7,MATCH($F73,'CAT_TURNOS'!$A$4:$A$7,0)),"")</f>
        <v/>
      </c>
      <c r="L73" s="3">
        <f>IFERROR(INDEX('CAT_TURNOS'!$D$4:$D$7,MATCH($F73,'CAT_TURNOS'!$A$4:$A$7,0)),"")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11">
        <f>IF($A74="","",DATE(VALUE(LEFT($A74,4)),1,4)-WEEKDAY(DATE(VALUE(LEFT($A74,4)),1,4),2)+1+(VALUE(MID($A74,7,2))-1)*7+MATCH($B74,lista_dias,0)-1)</f>
        <v/>
      </c>
      <c r="I74" s="3">
        <f>IF(OR($F74="",ISNUMBER(MATCH($F74,lista_no_disponible,0)),(IFERROR(INDEX('CALENDARIO'!$C$15:$C$214,MATCH(TEXT($H74,"yyyy-mm-dd")&amp;"|"&amp;$D74&amp;"|"&amp;"",'CALENDARIO'!$G$15:$G$214,0)),IFERROR(INDEX('CALENDARIO'!$C$15:$C$214,MATCH(TEXT($H74,"yyyy-mm-dd")&amp;"|"&amp;$D74&amp;"|",'CALENDARIO'!$G$15:$G$214,0)),IFERROR(INDEX('CALENDARIO'!$C$15:$C$214,MATCH(TEXT($H74,"yyyy-mm-dd")&amp;"||",'CALENDARIO'!$G$15:$G$214,0)),INDEX(patronHabil,WEEKDAY($H74,2))))))&lt;&gt;"sí"),0,p_horas_jornada)</f>
        <v/>
      </c>
      <c r="J74" s="3">
        <f>$A74&amp;"|"&amp;$B74&amp;"|"&amp;$C74</f>
        <v/>
      </c>
      <c r="K74" s="3">
        <f>IFERROR(INDEX('CAT_TURNOS'!$C$4:$C$7,MATCH($F74,'CAT_TURNOS'!$A$4:$A$7,0)),"")</f>
        <v/>
      </c>
      <c r="L74" s="3">
        <f>IFERROR(INDEX('CAT_TURNOS'!$D$4:$D$7,MATCH($F74,'CAT_TURNOS'!$A$4:$A$7,0)),"")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11">
        <f>IF($A75="","",DATE(VALUE(LEFT($A75,4)),1,4)-WEEKDAY(DATE(VALUE(LEFT($A75,4)),1,4),2)+1+(VALUE(MID($A75,7,2))-1)*7+MATCH($B75,lista_dias,0)-1)</f>
        <v/>
      </c>
      <c r="I75" s="3">
        <f>IF(OR($F75="",ISNUMBER(MATCH($F75,lista_no_disponible,0)),(IFERROR(INDEX('CALENDARIO'!$C$15:$C$214,MATCH(TEXT($H75,"yyyy-mm-dd")&amp;"|"&amp;$D75&amp;"|"&amp;"",'CALENDARIO'!$G$15:$G$214,0)),IFERROR(INDEX('CALENDARIO'!$C$15:$C$214,MATCH(TEXT($H75,"yyyy-mm-dd")&amp;"|"&amp;$D75&amp;"|",'CALENDARIO'!$G$15:$G$214,0)),IFERROR(INDEX('CALENDARIO'!$C$15:$C$214,MATCH(TEXT($H75,"yyyy-mm-dd")&amp;"||",'CALENDARIO'!$G$15:$G$214,0)),INDEX(patronHabil,WEEKDAY($H75,2))))))&lt;&gt;"sí"),0,p_horas_jornada)</f>
        <v/>
      </c>
      <c r="J75" s="3">
        <f>$A75&amp;"|"&amp;$B75&amp;"|"&amp;$C75</f>
        <v/>
      </c>
      <c r="K75" s="3">
        <f>IFERROR(INDEX('CAT_TURNOS'!$C$4:$C$7,MATCH($F75,'CAT_TURNOS'!$A$4:$A$7,0)),"")</f>
        <v/>
      </c>
      <c r="L75" s="3">
        <f>IFERROR(INDEX('CAT_TURNOS'!$D$4:$D$7,MATCH($F75,'CAT_TURNOS'!$A$4:$A$7,0)),"")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11">
        <f>IF($A76="","",DATE(VALUE(LEFT($A76,4)),1,4)-WEEKDAY(DATE(VALUE(LEFT($A76,4)),1,4),2)+1+(VALUE(MID($A76,7,2))-1)*7+MATCH($B76,lista_dias,0)-1)</f>
        <v/>
      </c>
      <c r="I76" s="3">
        <f>IF(OR($F76="",ISNUMBER(MATCH($F76,lista_no_disponible,0)),(IFERROR(INDEX('CALENDARIO'!$C$15:$C$214,MATCH(TEXT($H76,"yyyy-mm-dd")&amp;"|"&amp;$D76&amp;"|"&amp;"",'CALENDARIO'!$G$15:$G$214,0)),IFERROR(INDEX('CALENDARIO'!$C$15:$C$214,MATCH(TEXT($H76,"yyyy-mm-dd")&amp;"|"&amp;$D76&amp;"|",'CALENDARIO'!$G$15:$G$214,0)),IFERROR(INDEX('CALENDARIO'!$C$15:$C$214,MATCH(TEXT($H76,"yyyy-mm-dd")&amp;"||",'CALENDARIO'!$G$15:$G$214,0)),INDEX(patronHabil,WEEKDAY($H76,2))))))&lt;&gt;"sí"),0,p_horas_jornada)</f>
        <v/>
      </c>
      <c r="J76" s="3">
        <f>$A76&amp;"|"&amp;$B76&amp;"|"&amp;$C76</f>
        <v/>
      </c>
      <c r="K76" s="3">
        <f>IFERROR(INDEX('CAT_TURNOS'!$C$4:$C$7,MATCH($F76,'CAT_TURNOS'!$A$4:$A$7,0)),"")</f>
        <v/>
      </c>
      <c r="L76" s="3">
        <f>IFERROR(INDEX('CAT_TURNOS'!$D$4:$D$7,MATCH($F76,'CAT_TURNOS'!$A$4:$A$7,0)),"")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11">
        <f>IF($A77="","",DATE(VALUE(LEFT($A77,4)),1,4)-WEEKDAY(DATE(VALUE(LEFT($A77,4)),1,4),2)+1+(VALUE(MID($A77,7,2))-1)*7+MATCH($B77,lista_dias,0)-1)</f>
        <v/>
      </c>
      <c r="I77" s="3">
        <f>IF(OR($F77="",ISNUMBER(MATCH($F77,lista_no_disponible,0)),(IFERROR(INDEX('CALENDARIO'!$C$15:$C$214,MATCH(TEXT($H77,"yyyy-mm-dd")&amp;"|"&amp;$D77&amp;"|"&amp;"",'CALENDARIO'!$G$15:$G$214,0)),IFERROR(INDEX('CALENDARIO'!$C$15:$C$214,MATCH(TEXT($H77,"yyyy-mm-dd")&amp;"|"&amp;$D77&amp;"|",'CALENDARIO'!$G$15:$G$214,0)),IFERROR(INDEX('CALENDARIO'!$C$15:$C$214,MATCH(TEXT($H77,"yyyy-mm-dd")&amp;"||",'CALENDARIO'!$G$15:$G$214,0)),INDEX(patronHabil,WEEKDAY($H77,2))))))&lt;&gt;"sí"),0,p_horas_jornada)</f>
        <v/>
      </c>
      <c r="J77" s="3">
        <f>$A77&amp;"|"&amp;$B77&amp;"|"&amp;$C77</f>
        <v/>
      </c>
      <c r="K77" s="3">
        <f>IFERROR(INDEX('CAT_TURNOS'!$C$4:$C$7,MATCH($F77,'CAT_TURNOS'!$A$4:$A$7,0)),"")</f>
        <v/>
      </c>
      <c r="L77" s="3">
        <f>IFERROR(INDEX('CAT_TURNOS'!$D$4:$D$7,MATCH($F77,'CAT_TURNOS'!$A$4:$A$7,0)),"")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11">
        <f>IF($A78="","",DATE(VALUE(LEFT($A78,4)),1,4)-WEEKDAY(DATE(VALUE(LEFT($A78,4)),1,4),2)+1+(VALUE(MID($A78,7,2))-1)*7+MATCH($B78,lista_dias,0)-1)</f>
        <v/>
      </c>
      <c r="I78" s="3">
        <f>IF(OR($F78="",ISNUMBER(MATCH($F78,lista_no_disponible,0)),(IFERROR(INDEX('CALENDARIO'!$C$15:$C$214,MATCH(TEXT($H78,"yyyy-mm-dd")&amp;"|"&amp;$D78&amp;"|"&amp;"",'CALENDARIO'!$G$15:$G$214,0)),IFERROR(INDEX('CALENDARIO'!$C$15:$C$214,MATCH(TEXT($H78,"yyyy-mm-dd")&amp;"|"&amp;$D78&amp;"|",'CALENDARIO'!$G$15:$G$214,0)),IFERROR(INDEX('CALENDARIO'!$C$15:$C$214,MATCH(TEXT($H78,"yyyy-mm-dd")&amp;"||",'CALENDARIO'!$G$15:$G$214,0)),INDEX(patronHabil,WEEKDAY($H78,2))))))&lt;&gt;"sí"),0,p_horas_jornada)</f>
        <v/>
      </c>
      <c r="J78" s="3">
        <f>$A78&amp;"|"&amp;$B78&amp;"|"&amp;$C78</f>
        <v/>
      </c>
      <c r="K78" s="3">
        <f>IFERROR(INDEX('CAT_TURNOS'!$C$4:$C$7,MATCH($F78,'CAT_TURNOS'!$A$4:$A$7,0)),"")</f>
        <v/>
      </c>
      <c r="L78" s="3">
        <f>IFERROR(INDEX('CAT_TURNOS'!$D$4:$D$7,MATCH($F78,'CAT_TURNOS'!$A$4:$A$7,0)),"")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>
        <is>
          <t>T1</t>
        </is>
      </c>
      <c r="G79" s="3">
        <f>IFERROR(INDEX('TECNICOS'!$E$4:$E$15,MATCH($C79,'TECNICOS'!$B$4:$B$15,0)),"")</f>
        <v/>
      </c>
      <c r="H79" s="11">
        <f>IF($A79="","",DATE(VALUE(LEFT($A79,4)),1,4)-WEEKDAY(DATE(VALUE(LEFT($A79,4)),1,4),2)+1+(VALUE(MID($A79,7,2))-1)*7+MATCH($B79,lista_dias,0)-1)</f>
        <v/>
      </c>
      <c r="I79" s="3">
        <f>IF(OR($F79="",ISNUMBER(MATCH($F79,lista_no_disponible,0)),(IFERROR(INDEX('CALENDARIO'!$C$15:$C$214,MATCH(TEXT($H79,"yyyy-mm-dd")&amp;"|"&amp;$D79&amp;"|"&amp;"",'CALENDARIO'!$G$15:$G$214,0)),IFERROR(INDEX('CALENDARIO'!$C$15:$C$214,MATCH(TEXT($H79,"yyyy-mm-dd")&amp;"|"&amp;$D79&amp;"|",'CALENDARIO'!$G$15:$G$214,0)),IFERROR(INDEX('CALENDARIO'!$C$15:$C$214,MATCH(TEXT($H79,"yyyy-mm-dd")&amp;"||",'CALENDARIO'!$G$15:$G$214,0)),INDEX(patronHabil,WEEKDAY($H79,2))))))&lt;&gt;"sí"),0,p_horas_jornada)</f>
        <v/>
      </c>
      <c r="J79" s="3">
        <f>$A79&amp;"|"&amp;$B79&amp;"|"&amp;$C79</f>
        <v/>
      </c>
      <c r="K79" s="3">
        <f>IFERROR(INDEX('CAT_TURNOS'!$C$4:$C$7,MATCH($F79,'CAT_TURNOS'!$A$4:$A$7,0)),"")</f>
        <v/>
      </c>
      <c r="L79" s="3">
        <f>IFERROR(INDEX('CAT_TURNOS'!$D$4:$D$7,MATCH($F79,'CAT_TURNOS'!$A$4:$A$7,0)),"")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11">
        <f>IF($A80="","",DATE(VALUE(LEFT($A80,4)),1,4)-WEEKDAY(DATE(VALUE(LEFT($A80,4)),1,4),2)+1+(VALUE(MID($A80,7,2))-1)*7+MATCH($B80,lista_dias,0)-1)</f>
        <v/>
      </c>
      <c r="I80" s="3">
        <f>IF(OR($F80="",ISNUMBER(MATCH($F80,lista_no_disponible,0)),(IFERROR(INDEX('CALENDARIO'!$C$15:$C$214,MATCH(TEXT($H80,"yyyy-mm-dd")&amp;"|"&amp;$D80&amp;"|"&amp;"",'CALENDARIO'!$G$15:$G$214,0)),IFERROR(INDEX('CALENDARIO'!$C$15:$C$214,MATCH(TEXT($H80,"yyyy-mm-dd")&amp;"|"&amp;$D80&amp;"|",'CALENDARIO'!$G$15:$G$214,0)),IFERROR(INDEX('CALENDARIO'!$C$15:$C$214,MATCH(TEXT($H80,"yyyy-mm-dd")&amp;"||",'CALENDARIO'!$G$15:$G$214,0)),INDEX(patronHabil,WEEKDAY($H80,2))))))&lt;&gt;"sí"),0,p_horas_jornada)</f>
        <v/>
      </c>
      <c r="J80" s="3">
        <f>$A80&amp;"|"&amp;$B80&amp;"|"&amp;$C80</f>
        <v/>
      </c>
      <c r="K80" s="3">
        <f>IFERROR(INDEX('CAT_TURNOS'!$C$4:$C$7,MATCH($F80,'CAT_TURNOS'!$A$4:$A$7,0)),"")</f>
        <v/>
      </c>
      <c r="L80" s="3">
        <f>IFERROR(INDEX('CAT_TURNOS'!$D$4:$D$7,MATCH($F80,'CAT_TURNOS'!$A$4:$A$7,0)),"")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11">
        <f>IF($A81="","",DATE(VALUE(LEFT($A81,4)),1,4)-WEEKDAY(DATE(VALUE(LEFT($A81,4)),1,4),2)+1+(VALUE(MID($A81,7,2))-1)*7+MATCH($B81,lista_dias,0)-1)</f>
        <v/>
      </c>
      <c r="I81" s="3">
        <f>IF(OR($F81="",ISNUMBER(MATCH($F81,lista_no_disponible,0)),(IFERROR(INDEX('CALENDARIO'!$C$15:$C$214,MATCH(TEXT($H81,"yyyy-mm-dd")&amp;"|"&amp;$D81&amp;"|"&amp;"",'CALENDARIO'!$G$15:$G$214,0)),IFERROR(INDEX('CALENDARIO'!$C$15:$C$214,MATCH(TEXT($H81,"yyyy-mm-dd")&amp;"|"&amp;$D81&amp;"|",'CALENDARIO'!$G$15:$G$214,0)),IFERROR(INDEX('CALENDARIO'!$C$15:$C$214,MATCH(TEXT($H81,"yyyy-mm-dd")&amp;"||",'CALENDARIO'!$G$15:$G$214,0)),INDEX(patronHabil,WEEKDAY($H81,2))))))&lt;&gt;"sí"),0,p_horas_jornada)</f>
        <v/>
      </c>
      <c r="J81" s="3">
        <f>$A81&amp;"|"&amp;$B81&amp;"|"&amp;$C81</f>
        <v/>
      </c>
      <c r="K81" s="3">
        <f>IFERROR(INDEX('CAT_TURNOS'!$C$4:$C$7,MATCH($F81,'CAT_TURNOS'!$A$4:$A$7,0)),"")</f>
        <v/>
      </c>
      <c r="L81" s="3">
        <f>IFERROR(INDEX('CAT_TURNOS'!$D$4:$D$7,MATCH($F81,'CAT_TURNOS'!$A$4:$A$7,0)),"")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11">
        <f>IF($A82="","",DATE(VALUE(LEFT($A82,4)),1,4)-WEEKDAY(DATE(VALUE(LEFT($A82,4)),1,4),2)+1+(VALUE(MID($A82,7,2))-1)*7+MATCH($B82,lista_dias,0)-1)</f>
        <v/>
      </c>
      <c r="I82" s="3">
        <f>IF(OR($F82="",ISNUMBER(MATCH($F82,lista_no_disponible,0)),(IFERROR(INDEX('CALENDARIO'!$C$15:$C$214,MATCH(TEXT($H82,"yyyy-mm-dd")&amp;"|"&amp;$D82&amp;"|"&amp;"",'CALENDARIO'!$G$15:$G$214,0)),IFERROR(INDEX('CALENDARIO'!$C$15:$C$214,MATCH(TEXT($H82,"yyyy-mm-dd")&amp;"|"&amp;$D82&amp;"|",'CALENDARIO'!$G$15:$G$214,0)),IFERROR(INDEX('CALENDARIO'!$C$15:$C$214,MATCH(TEXT($H82,"yyyy-mm-dd")&amp;"||",'CALENDARIO'!$G$15:$G$214,0)),INDEX(patronHabil,WEEKDAY($H82,2))))))&lt;&gt;"sí"),0,p_horas_jornada)</f>
        <v/>
      </c>
      <c r="J82" s="3">
        <f>$A82&amp;"|"&amp;$B82&amp;"|"&amp;$C82</f>
        <v/>
      </c>
      <c r="K82" s="3">
        <f>IFERROR(INDEX('CAT_TURNOS'!$C$4:$C$7,MATCH($F82,'CAT_TURNOS'!$A$4:$A$7,0)),"")</f>
        <v/>
      </c>
      <c r="L82" s="3">
        <f>IFERROR(INDEX('CAT_TURNOS'!$D$4:$D$7,MATCH($F82,'CAT_TURNOS'!$A$4:$A$7,0)),"")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11">
        <f>IF($A83="","",DATE(VALUE(LEFT($A83,4)),1,4)-WEEKDAY(DATE(VALUE(LEFT($A83,4)),1,4),2)+1+(VALUE(MID($A83,7,2))-1)*7+MATCH($B83,lista_dias,0)-1)</f>
        <v/>
      </c>
      <c r="I83" s="3">
        <f>IF(OR($F83="",ISNUMBER(MATCH($F83,lista_no_disponible,0)),(IFERROR(INDEX('CALENDARIO'!$C$15:$C$214,MATCH(TEXT($H83,"yyyy-mm-dd")&amp;"|"&amp;$D83&amp;"|"&amp;"",'CALENDARIO'!$G$15:$G$214,0)),IFERROR(INDEX('CALENDARIO'!$C$15:$C$214,MATCH(TEXT($H83,"yyyy-mm-dd")&amp;"|"&amp;$D83&amp;"|",'CALENDARIO'!$G$15:$G$214,0)),IFERROR(INDEX('CALENDARIO'!$C$15:$C$214,MATCH(TEXT($H83,"yyyy-mm-dd")&amp;"||",'CALENDARIO'!$G$15:$G$214,0)),INDEX(patronHabil,WEEKDAY($H83,2))))))&lt;&gt;"sí"),0,p_horas_jornada)</f>
        <v/>
      </c>
      <c r="J83" s="3">
        <f>$A83&amp;"|"&amp;$B83&amp;"|"&amp;$C83</f>
        <v/>
      </c>
      <c r="K83" s="3">
        <f>IFERROR(INDEX('CAT_TURNOS'!$C$4:$C$7,MATCH($F83,'CAT_TURNOS'!$A$4:$A$7,0)),"")</f>
        <v/>
      </c>
      <c r="L83" s="3">
        <f>IFERROR(INDEX('CAT_TURNOS'!$D$4:$D$7,MATCH($F83,'CAT_TURNOS'!$A$4:$A$7,0)),"")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11">
        <f>IF($A84="","",DATE(VALUE(LEFT($A84,4)),1,4)-WEEKDAY(DATE(VALUE(LEFT($A84,4)),1,4),2)+1+(VALUE(MID($A84,7,2))-1)*7+MATCH($B84,lista_dias,0)-1)</f>
        <v/>
      </c>
      <c r="I84" s="3">
        <f>IF(OR($F84="",ISNUMBER(MATCH($F84,lista_no_disponible,0)),(IFERROR(INDEX('CALENDARIO'!$C$15:$C$214,MATCH(TEXT($H84,"yyyy-mm-dd")&amp;"|"&amp;$D84&amp;"|"&amp;"",'CALENDARIO'!$G$15:$G$214,0)),IFERROR(INDEX('CALENDARIO'!$C$15:$C$214,MATCH(TEXT($H84,"yyyy-mm-dd")&amp;"|"&amp;$D84&amp;"|",'CALENDARIO'!$G$15:$G$214,0)),IFERROR(INDEX('CALENDARIO'!$C$15:$C$214,MATCH(TEXT($H84,"yyyy-mm-dd")&amp;"||",'CALENDARIO'!$G$15:$G$214,0)),INDEX(patronHabil,WEEKDAY($H84,2))))))&lt;&gt;"sí"),0,p_horas_jornada)</f>
        <v/>
      </c>
      <c r="J84" s="3">
        <f>$A84&amp;"|"&amp;$B84&amp;"|"&amp;$C84</f>
        <v/>
      </c>
      <c r="K84" s="3">
        <f>IFERROR(INDEX('CAT_TURNOS'!$C$4:$C$7,MATCH($F84,'CAT_TURNOS'!$A$4:$A$7,0)),"")</f>
        <v/>
      </c>
      <c r="L84" s="3">
        <f>IFERROR(INDEX('CAT_TURNOS'!$D$4:$D$7,MATCH($F84,'CAT_TURNOS'!$A$4:$A$7,0)),"")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11">
        <f>IF($A85="","",DATE(VALUE(LEFT($A85,4)),1,4)-WEEKDAY(DATE(VALUE(LEFT($A85,4)),1,4),2)+1+(VALUE(MID($A85,7,2))-1)*7+MATCH($B85,lista_dias,0)-1)</f>
        <v/>
      </c>
      <c r="I85" s="3">
        <f>IF(OR($F85="",ISNUMBER(MATCH($F85,lista_no_disponible,0)),(IFERROR(INDEX('CALENDARIO'!$C$15:$C$214,MATCH(TEXT($H85,"yyyy-mm-dd")&amp;"|"&amp;$D85&amp;"|"&amp;"",'CALENDARIO'!$G$15:$G$214,0)),IFERROR(INDEX('CALENDARIO'!$C$15:$C$214,MATCH(TEXT($H85,"yyyy-mm-dd")&amp;"|"&amp;$D85&amp;"|",'CALENDARIO'!$G$15:$G$214,0)),IFERROR(INDEX('CALENDARIO'!$C$15:$C$214,MATCH(TEXT($H85,"yyyy-mm-dd")&amp;"||",'CALENDARIO'!$G$15:$G$214,0)),INDEX(patronHabil,WEEKDAY($H85,2))))))&lt;&gt;"sí"),0,p_horas_jornada)</f>
        <v/>
      </c>
      <c r="J85" s="3">
        <f>$A85&amp;"|"&amp;$B85&amp;"|"&amp;$C85</f>
        <v/>
      </c>
      <c r="K85" s="3">
        <f>IFERROR(INDEX('CAT_TURNOS'!$C$4:$C$7,MATCH($F85,'CAT_TURNOS'!$A$4:$A$7,0)),"")</f>
        <v/>
      </c>
      <c r="L85" s="3">
        <f>IFERROR(INDEX('CAT_TURNOS'!$D$4:$D$7,MATCH($F85,'CAT_TURNOS'!$A$4:$A$7,0)),"")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>
        <is>
          <t>T1</t>
        </is>
      </c>
      <c r="G86" s="3">
        <f>IFERROR(INDEX('TECNICOS'!$E$4:$E$15,MATCH($C86,'TECNICOS'!$B$4:$B$15,0)),"")</f>
        <v/>
      </c>
      <c r="H86" s="11">
        <f>IF($A86="","",DATE(VALUE(LEFT($A86,4)),1,4)-WEEKDAY(DATE(VALUE(LEFT($A86,4)),1,4),2)+1+(VALUE(MID($A86,7,2))-1)*7+MATCH($B86,lista_dias,0)-1)</f>
        <v/>
      </c>
      <c r="I86" s="3">
        <f>IF(OR($F86="",ISNUMBER(MATCH($F86,lista_no_disponible,0)),(IFERROR(INDEX('CALENDARIO'!$C$15:$C$214,MATCH(TEXT($H86,"yyyy-mm-dd")&amp;"|"&amp;$D86&amp;"|"&amp;"",'CALENDARIO'!$G$15:$G$214,0)),IFERROR(INDEX('CALENDARIO'!$C$15:$C$214,MATCH(TEXT($H86,"yyyy-mm-dd")&amp;"|"&amp;$D86&amp;"|",'CALENDARIO'!$G$15:$G$214,0)),IFERROR(INDEX('CALENDARIO'!$C$15:$C$214,MATCH(TEXT($H86,"yyyy-mm-dd")&amp;"||",'CALENDARIO'!$G$15:$G$214,0)),INDEX(patronHabil,WEEKDAY($H86,2))))))&lt;&gt;"sí"),0,p_horas_jornada)</f>
        <v/>
      </c>
      <c r="J86" s="3">
        <f>$A86&amp;"|"&amp;$B86&amp;"|"&amp;$C86</f>
        <v/>
      </c>
      <c r="K86" s="3">
        <f>IFERROR(INDEX('CAT_TURNOS'!$C$4:$C$7,MATCH($F86,'CAT_TURNOS'!$A$4:$A$7,0)),"")</f>
        <v/>
      </c>
      <c r="L86" s="3">
        <f>IFERROR(INDEX('CAT_TURNOS'!$D$4:$D$7,MATCH($F86,'CAT_TURNOS'!$A$4:$A$7,0)),"")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11">
        <f>IF($A87="","",DATE(VALUE(LEFT($A87,4)),1,4)-WEEKDAY(DATE(VALUE(LEFT($A87,4)),1,4),2)+1+(VALUE(MID($A87,7,2))-1)*7+MATCH($B87,lista_dias,0)-1)</f>
        <v/>
      </c>
      <c r="I87" s="3">
        <f>IF(OR($F87="",ISNUMBER(MATCH($F87,lista_no_disponible,0)),(IFERROR(INDEX('CALENDARIO'!$C$15:$C$214,MATCH(TEXT($H87,"yyyy-mm-dd")&amp;"|"&amp;$D87&amp;"|"&amp;"",'CALENDARIO'!$G$15:$G$214,0)),IFERROR(INDEX('CALENDARIO'!$C$15:$C$214,MATCH(TEXT($H87,"yyyy-mm-dd")&amp;"|"&amp;$D87&amp;"|",'CALENDARIO'!$G$15:$G$214,0)),IFERROR(INDEX('CALENDARIO'!$C$15:$C$214,MATCH(TEXT($H87,"yyyy-mm-dd")&amp;"||",'CALENDARIO'!$G$15:$G$214,0)),INDEX(patronHabil,WEEKDAY($H87,2))))))&lt;&gt;"sí"),0,p_horas_jornada)</f>
        <v/>
      </c>
      <c r="J87" s="3">
        <f>$A87&amp;"|"&amp;$B87&amp;"|"&amp;$C87</f>
        <v/>
      </c>
      <c r="K87" s="3">
        <f>IFERROR(INDEX('CAT_TURNOS'!$C$4:$C$7,MATCH($F87,'CAT_TURNOS'!$A$4:$A$7,0)),"")</f>
        <v/>
      </c>
      <c r="L87" s="3">
        <f>IFERROR(INDEX('CAT_TURNOS'!$D$4:$D$7,MATCH($F87,'CAT_TURNOS'!$A$4:$A$7,0)),"")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11">
        <f>IF($A88="","",DATE(VALUE(LEFT($A88,4)),1,4)-WEEKDAY(DATE(VALUE(LEFT($A88,4)),1,4),2)+1+(VALUE(MID($A88,7,2))-1)*7+MATCH($B88,lista_dias,0)-1)</f>
        <v/>
      </c>
      <c r="I88" s="3">
        <f>IF(OR($F88="",ISNUMBER(MATCH($F88,lista_no_disponible,0)),(IFERROR(INDEX('CALENDARIO'!$C$15:$C$214,MATCH(TEXT($H88,"yyyy-mm-dd")&amp;"|"&amp;$D88&amp;"|"&amp;"",'CALENDARIO'!$G$15:$G$214,0)),IFERROR(INDEX('CALENDARIO'!$C$15:$C$214,MATCH(TEXT($H88,"yyyy-mm-dd")&amp;"|"&amp;$D88&amp;"|",'CALENDARIO'!$G$15:$G$214,0)),IFERROR(INDEX('CALENDARIO'!$C$15:$C$214,MATCH(TEXT($H88,"yyyy-mm-dd")&amp;"||",'CALENDARIO'!$G$15:$G$214,0)),INDEX(patronHabil,WEEKDAY($H88,2))))))&lt;&gt;"sí"),0,p_horas_jornada)</f>
        <v/>
      </c>
      <c r="J88" s="3">
        <f>$A88&amp;"|"&amp;$B88&amp;"|"&amp;$C88</f>
        <v/>
      </c>
      <c r="K88" s="3">
        <f>IFERROR(INDEX('CAT_TURNOS'!$C$4:$C$7,MATCH($F88,'CAT_TURNOS'!$A$4:$A$7,0)),"")</f>
        <v/>
      </c>
      <c r="L88" s="3">
        <f>IFERROR(INDEX('CAT_TURNOS'!$D$4:$D$7,MATCH($F88,'CAT_TURNOS'!$A$4:$A$7,0)),"")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11">
        <f>IF($A89="","",DATE(VALUE(LEFT($A89,4)),1,4)-WEEKDAY(DATE(VALUE(LEFT($A89,4)),1,4),2)+1+(VALUE(MID($A89,7,2))-1)*7+MATCH($B89,lista_dias,0)-1)</f>
        <v/>
      </c>
      <c r="I89" s="3">
        <f>IF(OR($F89="",ISNUMBER(MATCH($F89,lista_no_disponible,0)),(IFERROR(INDEX('CALENDARIO'!$C$15:$C$214,MATCH(TEXT($H89,"yyyy-mm-dd")&amp;"|"&amp;$D89&amp;"|"&amp;"",'CALENDARIO'!$G$15:$G$214,0)),IFERROR(INDEX('CALENDARIO'!$C$15:$C$214,MATCH(TEXT($H89,"yyyy-mm-dd")&amp;"|"&amp;$D89&amp;"|",'CALENDARIO'!$G$15:$G$214,0)),IFERROR(INDEX('CALENDARIO'!$C$15:$C$214,MATCH(TEXT($H89,"yyyy-mm-dd")&amp;"||",'CALENDARIO'!$G$15:$G$214,0)),INDEX(patronHabil,WEEKDAY($H89,2))))))&lt;&gt;"sí"),0,p_horas_jornada)</f>
        <v/>
      </c>
      <c r="J89" s="3">
        <f>$A89&amp;"|"&amp;$B89&amp;"|"&amp;$C89</f>
        <v/>
      </c>
      <c r="K89" s="3">
        <f>IFERROR(INDEX('CAT_TURNOS'!$C$4:$C$7,MATCH($F89,'CAT_TURNOS'!$A$4:$A$7,0)),"")</f>
        <v/>
      </c>
      <c r="L89" s="3">
        <f>IFERROR(INDEX('CAT_TURNOS'!$D$4:$D$7,MATCH($F89,'CAT_TURNOS'!$A$4:$A$7,0)),"")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11">
        <f>IF($A90="","",DATE(VALUE(LEFT($A90,4)),1,4)-WEEKDAY(DATE(VALUE(LEFT($A90,4)),1,4),2)+1+(VALUE(MID($A90,7,2))-1)*7+MATCH($B90,lista_dias,0)-1)</f>
        <v/>
      </c>
      <c r="I90" s="3">
        <f>IF(OR($F90="",ISNUMBER(MATCH($F90,lista_no_disponible,0)),(IFERROR(INDEX('CALENDARIO'!$C$15:$C$214,MATCH(TEXT($H90,"yyyy-mm-dd")&amp;"|"&amp;$D90&amp;"|"&amp;"",'CALENDARIO'!$G$15:$G$214,0)),IFERROR(INDEX('CALENDARIO'!$C$15:$C$214,MATCH(TEXT($H90,"yyyy-mm-dd")&amp;"|"&amp;$D90&amp;"|",'CALENDARIO'!$G$15:$G$214,0)),IFERROR(INDEX('CALENDARIO'!$C$15:$C$214,MATCH(TEXT($H90,"yyyy-mm-dd")&amp;"||",'CALENDARIO'!$G$15:$G$214,0)),INDEX(patronHabil,WEEKDAY($H90,2))))))&lt;&gt;"sí"),0,p_horas_jornada)</f>
        <v/>
      </c>
      <c r="J90" s="3">
        <f>$A90&amp;"|"&amp;$B90&amp;"|"&amp;$C90</f>
        <v/>
      </c>
      <c r="K90" s="3">
        <f>IFERROR(INDEX('CAT_TURNOS'!$C$4:$C$7,MATCH($F90,'CAT_TURNOS'!$A$4:$A$7,0)),"")</f>
        <v/>
      </c>
      <c r="L90" s="3">
        <f>IFERROR(INDEX('CAT_TURNOS'!$D$4:$D$7,MATCH($F90,'CAT_TURNOS'!$A$4:$A$7,0)),"")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11">
        <f>IF($A91="","",DATE(VALUE(LEFT($A91,4)),1,4)-WEEKDAY(DATE(VALUE(LEFT($A91,4)),1,4),2)+1+(VALUE(MID($A91,7,2))-1)*7+MATCH($B91,lista_dias,0)-1)</f>
        <v/>
      </c>
      <c r="I91" s="3">
        <f>IF(OR($F91="",ISNUMBER(MATCH($F91,lista_no_disponible,0)),(IFERROR(INDEX('CALENDARIO'!$C$15:$C$214,MATCH(TEXT($H91,"yyyy-mm-dd")&amp;"|"&amp;$D91&amp;"|"&amp;"",'CALENDARIO'!$G$15:$G$214,0)),IFERROR(INDEX('CALENDARIO'!$C$15:$C$214,MATCH(TEXT($H91,"yyyy-mm-dd")&amp;"|"&amp;$D91&amp;"|",'CALENDARIO'!$G$15:$G$214,0)),IFERROR(INDEX('CALENDARIO'!$C$15:$C$214,MATCH(TEXT($H91,"yyyy-mm-dd")&amp;"||",'CALENDARIO'!$G$15:$G$214,0)),INDEX(patronHabil,WEEKDAY($H91,2))))))&lt;&gt;"sí"),0,p_horas_jornada)</f>
        <v/>
      </c>
      <c r="J91" s="3">
        <f>$A91&amp;"|"&amp;$B91&amp;"|"&amp;$C91</f>
        <v/>
      </c>
      <c r="K91" s="3">
        <f>IFERROR(INDEX('CAT_TURNOS'!$C$4:$C$7,MATCH($F91,'CAT_TURNOS'!$A$4:$A$7,0)),"")</f>
        <v/>
      </c>
      <c r="L91" s="3">
        <f>IFERROR(INDEX('CAT_TURNOS'!$D$4:$D$7,MATCH($F91,'CAT_TURNOS'!$A$4:$A$7,0)),"")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11">
        <f>IF($A92="","",DATE(VALUE(LEFT($A92,4)),1,4)-WEEKDAY(DATE(VALUE(LEFT($A92,4)),1,4),2)+1+(VALUE(MID($A92,7,2))-1)*7+MATCH($B92,lista_dias,0)-1)</f>
        <v/>
      </c>
      <c r="I92" s="3">
        <f>IF(OR($F92="",ISNUMBER(MATCH($F92,lista_no_disponible,0)),(IFERROR(INDEX('CALENDARIO'!$C$15:$C$214,MATCH(TEXT($H92,"yyyy-mm-dd")&amp;"|"&amp;$D92&amp;"|"&amp;"",'CALENDARIO'!$G$15:$G$214,0)),IFERROR(INDEX('CALENDARIO'!$C$15:$C$214,MATCH(TEXT($H92,"yyyy-mm-dd")&amp;"|"&amp;$D92&amp;"|",'CALENDARIO'!$G$15:$G$214,0)),IFERROR(INDEX('CALENDARIO'!$C$15:$C$214,MATCH(TEXT($H92,"yyyy-mm-dd")&amp;"||",'CALENDARIO'!$G$15:$G$214,0)),INDEX(patronHabil,WEEKDAY($H92,2))))))&lt;&gt;"sí"),0,p_horas_jornada)</f>
        <v/>
      </c>
      <c r="J92" s="3">
        <f>$A92&amp;"|"&amp;$B92&amp;"|"&amp;$C92</f>
        <v/>
      </c>
      <c r="K92" s="3">
        <f>IFERROR(INDEX('CAT_TURNOS'!$C$4:$C$7,MATCH($F92,'CAT_TURNOS'!$A$4:$A$7,0)),"")</f>
        <v/>
      </c>
      <c r="L92" s="3">
        <f>IFERROR(INDEX('CAT_TURNOS'!$D$4:$D$7,MATCH($F92,'CAT_TURNOS'!$A$4:$A$7,0)),"")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>
        <is>
          <t>T1</t>
        </is>
      </c>
      <c r="G93" s="3">
        <f>IFERROR(INDEX('TECNICOS'!$E$4:$E$15,MATCH($C93,'TECNICOS'!$B$4:$B$15,0)),"")</f>
        <v/>
      </c>
      <c r="H93" s="11">
        <f>IF($A93="","",DATE(VALUE(LEFT($A93,4)),1,4)-WEEKDAY(DATE(VALUE(LEFT($A93,4)),1,4),2)+1+(VALUE(MID($A93,7,2))-1)*7+MATCH($B93,lista_dias,0)-1)</f>
        <v/>
      </c>
      <c r="I93" s="3">
        <f>IF(OR($F93="",ISNUMBER(MATCH($F93,lista_no_disponible,0)),(IFERROR(INDEX('CALENDARIO'!$C$15:$C$214,MATCH(TEXT($H93,"yyyy-mm-dd")&amp;"|"&amp;$D93&amp;"|"&amp;"",'CALENDARIO'!$G$15:$G$214,0)),IFERROR(INDEX('CALENDARIO'!$C$15:$C$214,MATCH(TEXT($H93,"yyyy-mm-dd")&amp;"|"&amp;$D93&amp;"|",'CALENDARIO'!$G$15:$G$214,0)),IFERROR(INDEX('CALENDARIO'!$C$15:$C$214,MATCH(TEXT($H93,"yyyy-mm-dd")&amp;"||",'CALENDARIO'!$G$15:$G$214,0)),INDEX(patronHabil,WEEKDAY($H93,2))))))&lt;&gt;"sí"),0,p_horas_jornada)</f>
        <v/>
      </c>
      <c r="J93" s="3">
        <f>$A93&amp;"|"&amp;$B93&amp;"|"&amp;$C93</f>
        <v/>
      </c>
      <c r="K93" s="3">
        <f>IFERROR(INDEX('CAT_TURNOS'!$C$4:$C$7,MATCH($F93,'CAT_TURNOS'!$A$4:$A$7,0)),"")</f>
        <v/>
      </c>
      <c r="L93" s="3">
        <f>IFERROR(INDEX('CAT_TURNOS'!$D$4:$D$7,MATCH($F93,'CAT_TURNOS'!$A$4:$A$7,0)),"")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11">
        <f>IF($A94="","",DATE(VALUE(LEFT($A94,4)),1,4)-WEEKDAY(DATE(VALUE(LEFT($A94,4)),1,4),2)+1+(VALUE(MID($A94,7,2))-1)*7+MATCH($B94,lista_dias,0)-1)</f>
        <v/>
      </c>
      <c r="I94" s="3">
        <f>IF(OR($F94="",ISNUMBER(MATCH($F94,lista_no_disponible,0)),(IFERROR(INDEX('CALENDARIO'!$C$15:$C$214,MATCH(TEXT($H94,"yyyy-mm-dd")&amp;"|"&amp;$D94&amp;"|"&amp;"",'CALENDARIO'!$G$15:$G$214,0)),IFERROR(INDEX('CALENDARIO'!$C$15:$C$214,MATCH(TEXT($H94,"yyyy-mm-dd")&amp;"|"&amp;$D94&amp;"|",'CALENDARIO'!$G$15:$G$214,0)),IFERROR(INDEX('CALENDARIO'!$C$15:$C$214,MATCH(TEXT($H94,"yyyy-mm-dd")&amp;"||",'CALENDARIO'!$G$15:$G$214,0)),INDEX(patronHabil,WEEKDAY($H94,2))))))&lt;&gt;"sí"),0,p_horas_jornada)</f>
        <v/>
      </c>
      <c r="J94" s="3">
        <f>$A94&amp;"|"&amp;$B94&amp;"|"&amp;$C94</f>
        <v/>
      </c>
      <c r="K94" s="3">
        <f>IFERROR(INDEX('CAT_TURNOS'!$C$4:$C$7,MATCH($F94,'CAT_TURNOS'!$A$4:$A$7,0)),"")</f>
        <v/>
      </c>
      <c r="L94" s="3">
        <f>IFERROR(INDEX('CAT_TURNOS'!$D$4:$D$7,MATCH($F94,'CAT_TURNOS'!$A$4:$A$7,0)),"")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11">
        <f>IF($A95="","",DATE(VALUE(LEFT($A95,4)),1,4)-WEEKDAY(DATE(VALUE(LEFT($A95,4)),1,4),2)+1+(VALUE(MID($A95,7,2))-1)*7+MATCH($B95,lista_dias,0)-1)</f>
        <v/>
      </c>
      <c r="I95" s="3">
        <f>IF(OR($F95="",ISNUMBER(MATCH($F95,lista_no_disponible,0)),(IFERROR(INDEX('CALENDARIO'!$C$15:$C$214,MATCH(TEXT($H95,"yyyy-mm-dd")&amp;"|"&amp;$D95&amp;"|"&amp;"",'CALENDARIO'!$G$15:$G$214,0)),IFERROR(INDEX('CALENDARIO'!$C$15:$C$214,MATCH(TEXT($H95,"yyyy-mm-dd")&amp;"|"&amp;$D95&amp;"|",'CALENDARIO'!$G$15:$G$214,0)),IFERROR(INDEX('CALENDARIO'!$C$15:$C$214,MATCH(TEXT($H95,"yyyy-mm-dd")&amp;"||",'CALENDARIO'!$G$15:$G$214,0)),INDEX(patronHabil,WEEKDAY($H95,2))))))&lt;&gt;"sí"),0,p_horas_jornada)</f>
        <v/>
      </c>
      <c r="J95" s="3">
        <f>$A95&amp;"|"&amp;$B95&amp;"|"&amp;$C95</f>
        <v/>
      </c>
      <c r="K95" s="3">
        <f>IFERROR(INDEX('CAT_TURNOS'!$C$4:$C$7,MATCH($F95,'CAT_TURNOS'!$A$4:$A$7,0)),"")</f>
        <v/>
      </c>
      <c r="L95" s="3">
        <f>IFERROR(INDEX('CAT_TURNOS'!$D$4:$D$7,MATCH($F95,'CAT_TURNOS'!$A$4:$A$7,0)),"")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11">
        <f>IF($A96="","",DATE(VALUE(LEFT($A96,4)),1,4)-WEEKDAY(DATE(VALUE(LEFT($A96,4)),1,4),2)+1+(VALUE(MID($A96,7,2))-1)*7+MATCH($B96,lista_dias,0)-1)</f>
        <v/>
      </c>
      <c r="I96" s="3">
        <f>IF(OR($F96="",ISNUMBER(MATCH($F96,lista_no_disponible,0)),(IFERROR(INDEX('CALENDARIO'!$C$15:$C$214,MATCH(TEXT($H96,"yyyy-mm-dd")&amp;"|"&amp;$D96&amp;"|"&amp;"",'CALENDARIO'!$G$15:$G$214,0)),IFERROR(INDEX('CALENDARIO'!$C$15:$C$214,MATCH(TEXT($H96,"yyyy-mm-dd")&amp;"|"&amp;$D96&amp;"|",'CALENDARIO'!$G$15:$G$214,0)),IFERROR(INDEX('CALENDARIO'!$C$15:$C$214,MATCH(TEXT($H96,"yyyy-mm-dd")&amp;"||",'CALENDARIO'!$G$15:$G$214,0)),INDEX(patronHabil,WEEKDAY($H96,2))))))&lt;&gt;"sí"),0,p_horas_jornada)</f>
        <v/>
      </c>
      <c r="J96" s="3">
        <f>$A96&amp;"|"&amp;$B96&amp;"|"&amp;$C96</f>
        <v/>
      </c>
      <c r="K96" s="3">
        <f>IFERROR(INDEX('CAT_TURNOS'!$C$4:$C$7,MATCH($F96,'CAT_TURNOS'!$A$4:$A$7,0)),"")</f>
        <v/>
      </c>
      <c r="L96" s="3">
        <f>IFERROR(INDEX('CAT_TURNOS'!$D$4:$D$7,MATCH($F96,'CAT_TURNOS'!$A$4:$A$7,0)),"")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11">
        <f>IF($A97="","",DATE(VALUE(LEFT($A97,4)),1,4)-WEEKDAY(DATE(VALUE(LEFT($A97,4)),1,4),2)+1+(VALUE(MID($A97,7,2))-1)*7+MATCH($B97,lista_dias,0)-1)</f>
        <v/>
      </c>
      <c r="I97" s="3">
        <f>IF(OR($F97="",ISNUMBER(MATCH($F97,lista_no_disponible,0)),(IFERROR(INDEX('CALENDARIO'!$C$15:$C$214,MATCH(TEXT($H97,"yyyy-mm-dd")&amp;"|"&amp;$D97&amp;"|"&amp;"",'CALENDARIO'!$G$15:$G$214,0)),IFERROR(INDEX('CALENDARIO'!$C$15:$C$214,MATCH(TEXT($H97,"yyyy-mm-dd")&amp;"|"&amp;$D97&amp;"|",'CALENDARIO'!$G$15:$G$214,0)),IFERROR(INDEX('CALENDARIO'!$C$15:$C$214,MATCH(TEXT($H97,"yyyy-mm-dd")&amp;"||",'CALENDARIO'!$G$15:$G$214,0)),INDEX(patronHabil,WEEKDAY($H97,2))))))&lt;&gt;"sí"),0,p_horas_jornada)</f>
        <v/>
      </c>
      <c r="J97" s="3">
        <f>$A97&amp;"|"&amp;$B97&amp;"|"&amp;$C97</f>
        <v/>
      </c>
      <c r="K97" s="3">
        <f>IFERROR(INDEX('CAT_TURNOS'!$C$4:$C$7,MATCH($F97,'CAT_TURNOS'!$A$4:$A$7,0)),"")</f>
        <v/>
      </c>
      <c r="L97" s="3">
        <f>IFERROR(INDEX('CAT_TURNOS'!$D$4:$D$7,MATCH($F97,'CAT_TURNOS'!$A$4:$A$7,0)),"")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11">
        <f>IF($A98="","",DATE(VALUE(LEFT($A98,4)),1,4)-WEEKDAY(DATE(VALUE(LEFT($A98,4)),1,4),2)+1+(VALUE(MID($A98,7,2))-1)*7+MATCH($B98,lista_dias,0)-1)</f>
        <v/>
      </c>
      <c r="I98" s="3">
        <f>IF(OR($F98="",ISNUMBER(MATCH($F98,lista_no_disponible,0)),(IFERROR(INDEX('CALENDARIO'!$C$15:$C$214,MATCH(TEXT($H98,"yyyy-mm-dd")&amp;"|"&amp;$D98&amp;"|"&amp;"",'CALENDARIO'!$G$15:$G$214,0)),IFERROR(INDEX('CALENDARIO'!$C$15:$C$214,MATCH(TEXT($H98,"yyyy-mm-dd")&amp;"|"&amp;$D98&amp;"|",'CALENDARIO'!$G$15:$G$214,0)),IFERROR(INDEX('CALENDARIO'!$C$15:$C$214,MATCH(TEXT($H98,"yyyy-mm-dd")&amp;"||",'CALENDARIO'!$G$15:$G$214,0)),INDEX(patronHabil,WEEKDAY($H98,2))))))&lt;&gt;"sí"),0,p_horas_jornada)</f>
        <v/>
      </c>
      <c r="J98" s="3">
        <f>$A98&amp;"|"&amp;$B98&amp;"|"&amp;$C98</f>
        <v/>
      </c>
      <c r="K98" s="3">
        <f>IFERROR(INDEX('CAT_TURNOS'!$C$4:$C$7,MATCH($F98,'CAT_TURNOS'!$A$4:$A$7,0)),"")</f>
        <v/>
      </c>
      <c r="L98" s="3">
        <f>IFERROR(INDEX('CAT_TURNOS'!$D$4:$D$7,MATCH($F98,'CAT_TURNOS'!$A$4:$A$7,0)),"")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11">
        <f>IF($A99="","",DATE(VALUE(LEFT($A99,4)),1,4)-WEEKDAY(DATE(VALUE(LEFT($A99,4)),1,4),2)+1+(VALUE(MID($A99,7,2))-1)*7+MATCH($B99,lista_dias,0)-1)</f>
        <v/>
      </c>
      <c r="I99" s="3">
        <f>IF(OR($F99="",ISNUMBER(MATCH($F99,lista_no_disponible,0)),(IFERROR(INDEX('CALENDARIO'!$C$15:$C$214,MATCH(TEXT($H99,"yyyy-mm-dd")&amp;"|"&amp;$D99&amp;"|"&amp;"",'CALENDARIO'!$G$15:$G$214,0)),IFERROR(INDEX('CALENDARIO'!$C$15:$C$214,MATCH(TEXT($H99,"yyyy-mm-dd")&amp;"|"&amp;$D99&amp;"|",'CALENDARIO'!$G$15:$G$214,0)),IFERROR(INDEX('CALENDARIO'!$C$15:$C$214,MATCH(TEXT($H99,"yyyy-mm-dd")&amp;"||",'CALENDARIO'!$G$15:$G$214,0)),INDEX(patronHabil,WEEKDAY($H99,2))))))&lt;&gt;"sí"),0,p_horas_jornada)</f>
        <v/>
      </c>
      <c r="J99" s="3">
        <f>$A99&amp;"|"&amp;$B99&amp;"|"&amp;$C99</f>
        <v/>
      </c>
      <c r="K99" s="3">
        <f>IFERROR(INDEX('CAT_TURNOS'!$C$4:$C$7,MATCH($F99,'CAT_TURNOS'!$A$4:$A$7,0)),"")</f>
        <v/>
      </c>
      <c r="L99" s="3">
        <f>IFERROR(INDEX('CAT_TURNOS'!$D$4:$D$7,MATCH($F99,'CAT_TURNOS'!$A$4:$A$7,0)),"")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>
        <is>
          <t>T2</t>
        </is>
      </c>
      <c r="G100" s="3">
        <f>IFERROR(INDEX('TECNICOS'!$E$4:$E$15,MATCH($C100,'TECNICOS'!$B$4:$B$15,0)),"")</f>
        <v/>
      </c>
      <c r="H100" s="11">
        <f>IF($A100="","",DATE(VALUE(LEFT($A100,4)),1,4)-WEEKDAY(DATE(VALUE(LEFT($A100,4)),1,4),2)+1+(VALUE(MID($A100,7,2))-1)*7+MATCH($B100,lista_dias,0)-1)</f>
        <v/>
      </c>
      <c r="I100" s="3">
        <f>IF(OR($F100="",ISNUMBER(MATCH($F100,lista_no_disponible,0)),(IFERROR(INDEX('CALENDARIO'!$C$15:$C$214,MATCH(TEXT($H100,"yyyy-mm-dd")&amp;"|"&amp;$D100&amp;"|"&amp;"",'CALENDARIO'!$G$15:$G$214,0)),IFERROR(INDEX('CALENDARIO'!$C$15:$C$214,MATCH(TEXT($H100,"yyyy-mm-dd")&amp;"|"&amp;$D100&amp;"|",'CALENDARIO'!$G$15:$G$214,0)),IFERROR(INDEX('CALENDARIO'!$C$15:$C$214,MATCH(TEXT($H100,"yyyy-mm-dd")&amp;"||",'CALENDARIO'!$G$15:$G$214,0)),INDEX(patronHabil,WEEKDAY($H100,2))))))&lt;&gt;"sí"),0,p_horas_jornada)</f>
        <v/>
      </c>
      <c r="J100" s="3">
        <f>$A100&amp;"|"&amp;$B100&amp;"|"&amp;$C100</f>
        <v/>
      </c>
      <c r="K100" s="3">
        <f>IFERROR(INDEX('CAT_TURNOS'!$C$4:$C$7,MATCH($F100,'CAT_TURNOS'!$A$4:$A$7,0)),"")</f>
        <v/>
      </c>
      <c r="L100" s="3">
        <f>IFERROR(INDEX('CAT_TURNOS'!$D$4:$D$7,MATCH($F100,'CAT_TURNOS'!$A$4:$A$7,0)),"")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11">
        <f>IF($A101="","",DATE(VALUE(LEFT($A101,4)),1,4)-WEEKDAY(DATE(VALUE(LEFT($A101,4)),1,4),2)+1+(VALUE(MID($A101,7,2))-1)*7+MATCH($B101,lista_dias,0)-1)</f>
        <v/>
      </c>
      <c r="I101" s="3">
        <f>IF(OR($F101="",ISNUMBER(MATCH($F101,lista_no_disponible,0)),(IFERROR(INDEX('CALENDARIO'!$C$15:$C$214,MATCH(TEXT($H101,"yyyy-mm-dd")&amp;"|"&amp;$D101&amp;"|"&amp;"",'CALENDARIO'!$G$15:$G$214,0)),IFERROR(INDEX('CALENDARIO'!$C$15:$C$214,MATCH(TEXT($H101,"yyyy-mm-dd")&amp;"|"&amp;$D101&amp;"|",'CALENDARIO'!$G$15:$G$214,0)),IFERROR(INDEX('CALENDARIO'!$C$15:$C$214,MATCH(TEXT($H101,"yyyy-mm-dd")&amp;"||",'CALENDARIO'!$G$15:$G$214,0)),INDEX(patronHabil,WEEKDAY($H101,2))))))&lt;&gt;"sí"),0,p_horas_jornada)</f>
        <v/>
      </c>
      <c r="J101" s="3">
        <f>$A101&amp;"|"&amp;$B101&amp;"|"&amp;$C101</f>
        <v/>
      </c>
      <c r="K101" s="3">
        <f>IFERROR(INDEX('CAT_TURNOS'!$C$4:$C$7,MATCH($F101,'CAT_TURNOS'!$A$4:$A$7,0)),"")</f>
        <v/>
      </c>
      <c r="L101" s="3">
        <f>IFERROR(INDEX('CAT_TURNOS'!$D$4:$D$7,MATCH($F101,'CAT_TURNOS'!$A$4:$A$7,0)),"")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11">
        <f>IF($A102="","",DATE(VALUE(LEFT($A102,4)),1,4)-WEEKDAY(DATE(VALUE(LEFT($A102,4)),1,4),2)+1+(VALUE(MID($A102,7,2))-1)*7+MATCH($B102,lista_dias,0)-1)</f>
        <v/>
      </c>
      <c r="I102" s="3">
        <f>IF(OR($F102="",ISNUMBER(MATCH($F102,lista_no_disponible,0)),(IFERROR(INDEX('CALENDARIO'!$C$15:$C$214,MATCH(TEXT($H102,"yyyy-mm-dd")&amp;"|"&amp;$D102&amp;"|"&amp;"",'CALENDARIO'!$G$15:$G$214,0)),IFERROR(INDEX('CALENDARIO'!$C$15:$C$214,MATCH(TEXT($H102,"yyyy-mm-dd")&amp;"|"&amp;$D102&amp;"|",'CALENDARIO'!$G$15:$G$214,0)),IFERROR(INDEX('CALENDARIO'!$C$15:$C$214,MATCH(TEXT($H102,"yyyy-mm-dd")&amp;"||",'CALENDARIO'!$G$15:$G$214,0)),INDEX(patronHabil,WEEKDAY($H102,2))))))&lt;&gt;"sí"),0,p_horas_jornada)</f>
        <v/>
      </c>
      <c r="J102" s="3">
        <f>$A102&amp;"|"&amp;$B102&amp;"|"&amp;$C102</f>
        <v/>
      </c>
      <c r="K102" s="3">
        <f>IFERROR(INDEX('CAT_TURNOS'!$C$4:$C$7,MATCH($F102,'CAT_TURNOS'!$A$4:$A$7,0)),"")</f>
        <v/>
      </c>
      <c r="L102" s="3">
        <f>IFERROR(INDEX('CAT_TURNOS'!$D$4:$D$7,MATCH($F102,'CAT_TURNOS'!$A$4:$A$7,0)),"")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11">
        <f>IF($A103="","",DATE(VALUE(LEFT($A103,4)),1,4)-WEEKDAY(DATE(VALUE(LEFT($A103,4)),1,4),2)+1+(VALUE(MID($A103,7,2))-1)*7+MATCH($B103,lista_dias,0)-1)</f>
        <v/>
      </c>
      <c r="I103" s="3">
        <f>IF(OR($F103="",ISNUMBER(MATCH($F103,lista_no_disponible,0)),(IFERROR(INDEX('CALENDARIO'!$C$15:$C$214,MATCH(TEXT($H103,"yyyy-mm-dd")&amp;"|"&amp;$D103&amp;"|"&amp;"",'CALENDARIO'!$G$15:$G$214,0)),IFERROR(INDEX('CALENDARIO'!$C$15:$C$214,MATCH(TEXT($H103,"yyyy-mm-dd")&amp;"|"&amp;$D103&amp;"|",'CALENDARIO'!$G$15:$G$214,0)),IFERROR(INDEX('CALENDARIO'!$C$15:$C$214,MATCH(TEXT($H103,"yyyy-mm-dd")&amp;"||",'CALENDARIO'!$G$15:$G$214,0)),INDEX(patronHabil,WEEKDAY($H103,2))))))&lt;&gt;"sí"),0,p_horas_jornada)</f>
        <v/>
      </c>
      <c r="J103" s="3">
        <f>$A103&amp;"|"&amp;$B103&amp;"|"&amp;$C103</f>
        <v/>
      </c>
      <c r="K103" s="3">
        <f>IFERROR(INDEX('CAT_TURNOS'!$C$4:$C$7,MATCH($F103,'CAT_TURNOS'!$A$4:$A$7,0)),"")</f>
        <v/>
      </c>
      <c r="L103" s="3">
        <f>IFERROR(INDEX('CAT_TURNOS'!$D$4:$D$7,MATCH($F103,'CAT_TURNOS'!$A$4:$A$7,0)),"")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11">
        <f>IF($A104="","",DATE(VALUE(LEFT($A104,4)),1,4)-WEEKDAY(DATE(VALUE(LEFT($A104,4)),1,4),2)+1+(VALUE(MID($A104,7,2))-1)*7+MATCH($B104,lista_dias,0)-1)</f>
        <v/>
      </c>
      <c r="I104" s="3">
        <f>IF(OR($F104="",ISNUMBER(MATCH($F104,lista_no_disponible,0)),(IFERROR(INDEX('CALENDARIO'!$C$15:$C$214,MATCH(TEXT($H104,"yyyy-mm-dd")&amp;"|"&amp;$D104&amp;"|"&amp;"",'CALENDARIO'!$G$15:$G$214,0)),IFERROR(INDEX('CALENDARIO'!$C$15:$C$214,MATCH(TEXT($H104,"yyyy-mm-dd")&amp;"|"&amp;$D104&amp;"|",'CALENDARIO'!$G$15:$G$214,0)),IFERROR(INDEX('CALENDARIO'!$C$15:$C$214,MATCH(TEXT($H104,"yyyy-mm-dd")&amp;"||",'CALENDARIO'!$G$15:$G$214,0)),INDEX(patronHabil,WEEKDAY($H104,2))))))&lt;&gt;"sí"),0,p_horas_jornada)</f>
        <v/>
      </c>
      <c r="J104" s="3">
        <f>$A104&amp;"|"&amp;$B104&amp;"|"&amp;$C104</f>
        <v/>
      </c>
      <c r="K104" s="3">
        <f>IFERROR(INDEX('CAT_TURNOS'!$C$4:$C$7,MATCH($F104,'CAT_TURNOS'!$A$4:$A$7,0)),"")</f>
        <v/>
      </c>
      <c r="L104" s="3">
        <f>IFERROR(INDEX('CAT_TURNOS'!$D$4:$D$7,MATCH($F104,'CAT_TURNOS'!$A$4:$A$7,0)),"")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11">
        <f>IF($A105="","",DATE(VALUE(LEFT($A105,4)),1,4)-WEEKDAY(DATE(VALUE(LEFT($A105,4)),1,4),2)+1+(VALUE(MID($A105,7,2))-1)*7+MATCH($B105,lista_dias,0)-1)</f>
        <v/>
      </c>
      <c r="I105" s="3">
        <f>IF(OR($F105="",ISNUMBER(MATCH($F105,lista_no_disponible,0)),(IFERROR(INDEX('CALENDARIO'!$C$15:$C$214,MATCH(TEXT($H105,"yyyy-mm-dd")&amp;"|"&amp;$D105&amp;"|"&amp;"",'CALENDARIO'!$G$15:$G$214,0)),IFERROR(INDEX('CALENDARIO'!$C$15:$C$214,MATCH(TEXT($H105,"yyyy-mm-dd")&amp;"|"&amp;$D105&amp;"|",'CALENDARIO'!$G$15:$G$214,0)),IFERROR(INDEX('CALENDARIO'!$C$15:$C$214,MATCH(TEXT($H105,"yyyy-mm-dd")&amp;"||",'CALENDARIO'!$G$15:$G$214,0)),INDEX(patronHabil,WEEKDAY($H105,2))))))&lt;&gt;"sí"),0,p_horas_jornada)</f>
        <v/>
      </c>
      <c r="J105" s="3">
        <f>$A105&amp;"|"&amp;$B105&amp;"|"&amp;$C105</f>
        <v/>
      </c>
      <c r="K105" s="3">
        <f>IFERROR(INDEX('CAT_TURNOS'!$C$4:$C$7,MATCH($F105,'CAT_TURNOS'!$A$4:$A$7,0)),"")</f>
        <v/>
      </c>
      <c r="L105" s="3">
        <f>IFERROR(INDEX('CAT_TURNOS'!$D$4:$D$7,MATCH($F105,'CAT_TURNOS'!$A$4:$A$7,0)),"")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11">
        <f>IF($A106="","",DATE(VALUE(LEFT($A106,4)),1,4)-WEEKDAY(DATE(VALUE(LEFT($A106,4)),1,4),2)+1+(VALUE(MID($A106,7,2))-1)*7+MATCH($B106,lista_dias,0)-1)</f>
        <v/>
      </c>
      <c r="I106" s="3">
        <f>IF(OR($F106="",ISNUMBER(MATCH($F106,lista_no_disponible,0)),(IFERROR(INDEX('CALENDARIO'!$C$15:$C$214,MATCH(TEXT($H106,"yyyy-mm-dd")&amp;"|"&amp;$D106&amp;"|"&amp;"",'CALENDARIO'!$G$15:$G$214,0)),IFERROR(INDEX('CALENDARIO'!$C$15:$C$214,MATCH(TEXT($H106,"yyyy-mm-dd")&amp;"|"&amp;$D106&amp;"|",'CALENDARIO'!$G$15:$G$214,0)),IFERROR(INDEX('CALENDARIO'!$C$15:$C$214,MATCH(TEXT($H106,"yyyy-mm-dd")&amp;"||",'CALENDARIO'!$G$15:$G$214,0)),INDEX(patronHabil,WEEKDAY($H106,2))))))&lt;&gt;"sí"),0,p_horas_jornada)</f>
        <v/>
      </c>
      <c r="J106" s="3">
        <f>$A106&amp;"|"&amp;$B106&amp;"|"&amp;$C106</f>
        <v/>
      </c>
      <c r="K106" s="3">
        <f>IFERROR(INDEX('CAT_TURNOS'!$C$4:$C$7,MATCH($F106,'CAT_TURNOS'!$A$4:$A$7,0)),"")</f>
        <v/>
      </c>
      <c r="L106" s="3">
        <f>IFERROR(INDEX('CAT_TURNOS'!$D$4:$D$7,MATCH($F106,'CAT_TURNOS'!$A$4:$A$7,0)),"")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>
        <is>
          <t>T1</t>
        </is>
      </c>
      <c r="G107" s="3">
        <f>IFERROR(INDEX('TECNICOS'!$E$4:$E$15,MATCH($C107,'TECNICOS'!$B$4:$B$15,0)),"")</f>
        <v/>
      </c>
      <c r="H107" s="11">
        <f>IF($A107="","",DATE(VALUE(LEFT($A107,4)),1,4)-WEEKDAY(DATE(VALUE(LEFT($A107,4)),1,4),2)+1+(VALUE(MID($A107,7,2))-1)*7+MATCH($B107,lista_dias,0)-1)</f>
        <v/>
      </c>
      <c r="I107" s="3">
        <f>IF(OR($F107="",ISNUMBER(MATCH($F107,lista_no_disponible,0)),(IFERROR(INDEX('CALENDARIO'!$C$15:$C$214,MATCH(TEXT($H107,"yyyy-mm-dd")&amp;"|"&amp;$D107&amp;"|"&amp;"",'CALENDARIO'!$G$15:$G$214,0)),IFERROR(INDEX('CALENDARIO'!$C$15:$C$214,MATCH(TEXT($H107,"yyyy-mm-dd")&amp;"|"&amp;$D107&amp;"|",'CALENDARIO'!$G$15:$G$214,0)),IFERROR(INDEX('CALENDARIO'!$C$15:$C$214,MATCH(TEXT($H107,"yyyy-mm-dd")&amp;"||",'CALENDARIO'!$G$15:$G$214,0)),INDEX(patronHabil,WEEKDAY($H107,2))))))&lt;&gt;"sí"),0,p_horas_jornada)</f>
        <v/>
      </c>
      <c r="J107" s="3">
        <f>$A107&amp;"|"&amp;$B107&amp;"|"&amp;$C107</f>
        <v/>
      </c>
      <c r="K107" s="3">
        <f>IFERROR(INDEX('CAT_TURNOS'!$C$4:$C$7,MATCH($F107,'CAT_TURNOS'!$A$4:$A$7,0)),"")</f>
        <v/>
      </c>
      <c r="L107" s="3">
        <f>IFERROR(INDEX('CAT_TURNOS'!$D$4:$D$7,MATCH($F107,'CAT_TURNOS'!$A$4:$A$7,0)),"")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11">
        <f>IF($A108="","",DATE(VALUE(LEFT($A108,4)),1,4)-WEEKDAY(DATE(VALUE(LEFT($A108,4)),1,4),2)+1+(VALUE(MID($A108,7,2))-1)*7+MATCH($B108,lista_dias,0)-1)</f>
        <v/>
      </c>
      <c r="I108" s="3">
        <f>IF(OR($F108="",ISNUMBER(MATCH($F108,lista_no_disponible,0)),(IFERROR(INDEX('CALENDARIO'!$C$15:$C$214,MATCH(TEXT($H108,"yyyy-mm-dd")&amp;"|"&amp;$D108&amp;"|"&amp;"",'CALENDARIO'!$G$15:$G$214,0)),IFERROR(INDEX('CALENDARIO'!$C$15:$C$214,MATCH(TEXT($H108,"yyyy-mm-dd")&amp;"|"&amp;$D108&amp;"|",'CALENDARIO'!$G$15:$G$214,0)),IFERROR(INDEX('CALENDARIO'!$C$15:$C$214,MATCH(TEXT($H108,"yyyy-mm-dd")&amp;"||",'CALENDARIO'!$G$15:$G$214,0)),INDEX(patronHabil,WEEKDAY($H108,2))))))&lt;&gt;"sí"),0,p_horas_jornada)</f>
        <v/>
      </c>
      <c r="J108" s="3">
        <f>$A108&amp;"|"&amp;$B108&amp;"|"&amp;$C108</f>
        <v/>
      </c>
      <c r="K108" s="3">
        <f>IFERROR(INDEX('CAT_TURNOS'!$C$4:$C$7,MATCH($F108,'CAT_TURNOS'!$A$4:$A$7,0)),"")</f>
        <v/>
      </c>
      <c r="L108" s="3">
        <f>IFERROR(INDEX('CAT_TURNOS'!$D$4:$D$7,MATCH($F108,'CAT_TURNOS'!$A$4:$A$7,0)),"")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11">
        <f>IF($A109="","",DATE(VALUE(LEFT($A109,4)),1,4)-WEEKDAY(DATE(VALUE(LEFT($A109,4)),1,4),2)+1+(VALUE(MID($A109,7,2))-1)*7+MATCH($B109,lista_dias,0)-1)</f>
        <v/>
      </c>
      <c r="I109" s="3">
        <f>IF(OR($F109="",ISNUMBER(MATCH($F109,lista_no_disponible,0)),(IFERROR(INDEX('CALENDARIO'!$C$15:$C$214,MATCH(TEXT($H109,"yyyy-mm-dd")&amp;"|"&amp;$D109&amp;"|"&amp;"",'CALENDARIO'!$G$15:$G$214,0)),IFERROR(INDEX('CALENDARIO'!$C$15:$C$214,MATCH(TEXT($H109,"yyyy-mm-dd")&amp;"|"&amp;$D109&amp;"|",'CALENDARIO'!$G$15:$G$214,0)),IFERROR(INDEX('CALENDARIO'!$C$15:$C$214,MATCH(TEXT($H109,"yyyy-mm-dd")&amp;"||",'CALENDARIO'!$G$15:$G$214,0)),INDEX(patronHabil,WEEKDAY($H109,2))))))&lt;&gt;"sí"),0,p_horas_jornada)</f>
        <v/>
      </c>
      <c r="J109" s="3">
        <f>$A109&amp;"|"&amp;$B109&amp;"|"&amp;$C109</f>
        <v/>
      </c>
      <c r="K109" s="3">
        <f>IFERROR(INDEX('CAT_TURNOS'!$C$4:$C$7,MATCH($F109,'CAT_TURNOS'!$A$4:$A$7,0)),"")</f>
        <v/>
      </c>
      <c r="L109" s="3">
        <f>IFERROR(INDEX('CAT_TURNOS'!$D$4:$D$7,MATCH($F109,'CAT_TURNOS'!$A$4:$A$7,0)),"")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11">
        <f>IF($A110="","",DATE(VALUE(LEFT($A110,4)),1,4)-WEEKDAY(DATE(VALUE(LEFT($A110,4)),1,4),2)+1+(VALUE(MID($A110,7,2))-1)*7+MATCH($B110,lista_dias,0)-1)</f>
        <v/>
      </c>
      <c r="I110" s="3">
        <f>IF(OR($F110="",ISNUMBER(MATCH($F110,lista_no_disponible,0)),(IFERROR(INDEX('CALENDARIO'!$C$15:$C$214,MATCH(TEXT($H110,"yyyy-mm-dd")&amp;"|"&amp;$D110&amp;"|"&amp;"",'CALENDARIO'!$G$15:$G$214,0)),IFERROR(INDEX('CALENDARIO'!$C$15:$C$214,MATCH(TEXT($H110,"yyyy-mm-dd")&amp;"|"&amp;$D110&amp;"|",'CALENDARIO'!$G$15:$G$214,0)),IFERROR(INDEX('CALENDARIO'!$C$15:$C$214,MATCH(TEXT($H110,"yyyy-mm-dd")&amp;"||",'CALENDARIO'!$G$15:$G$214,0)),INDEX(patronHabil,WEEKDAY($H110,2))))))&lt;&gt;"sí"),0,p_horas_jornada)</f>
        <v/>
      </c>
      <c r="J110" s="3">
        <f>$A110&amp;"|"&amp;$B110&amp;"|"&amp;$C110</f>
        <v/>
      </c>
      <c r="K110" s="3">
        <f>IFERROR(INDEX('CAT_TURNOS'!$C$4:$C$7,MATCH($F110,'CAT_TURNOS'!$A$4:$A$7,0)),"")</f>
        <v/>
      </c>
      <c r="L110" s="3">
        <f>IFERROR(INDEX('CAT_TURNOS'!$D$4:$D$7,MATCH($F110,'CAT_TURNOS'!$A$4:$A$7,0)),"")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11">
        <f>IF($A111="","",DATE(VALUE(LEFT($A111,4)),1,4)-WEEKDAY(DATE(VALUE(LEFT($A111,4)),1,4),2)+1+(VALUE(MID($A111,7,2))-1)*7+MATCH($B111,lista_dias,0)-1)</f>
        <v/>
      </c>
      <c r="I111" s="3">
        <f>IF(OR($F111="",ISNUMBER(MATCH($F111,lista_no_disponible,0)),(IFERROR(INDEX('CALENDARIO'!$C$15:$C$214,MATCH(TEXT($H111,"yyyy-mm-dd")&amp;"|"&amp;$D111&amp;"|"&amp;"",'CALENDARIO'!$G$15:$G$214,0)),IFERROR(INDEX('CALENDARIO'!$C$15:$C$214,MATCH(TEXT($H111,"yyyy-mm-dd")&amp;"|"&amp;$D111&amp;"|",'CALENDARIO'!$G$15:$G$214,0)),IFERROR(INDEX('CALENDARIO'!$C$15:$C$214,MATCH(TEXT($H111,"yyyy-mm-dd")&amp;"||",'CALENDARIO'!$G$15:$G$214,0)),INDEX(patronHabil,WEEKDAY($H111,2))))))&lt;&gt;"sí"),0,p_horas_jornada)</f>
        <v/>
      </c>
      <c r="J111" s="3">
        <f>$A111&amp;"|"&amp;$B111&amp;"|"&amp;$C111</f>
        <v/>
      </c>
      <c r="K111" s="3">
        <f>IFERROR(INDEX('CAT_TURNOS'!$C$4:$C$7,MATCH($F111,'CAT_TURNOS'!$A$4:$A$7,0)),"")</f>
        <v/>
      </c>
      <c r="L111" s="3">
        <f>IFERROR(INDEX('CAT_TURNOS'!$D$4:$D$7,MATCH($F111,'CAT_TURNOS'!$A$4:$A$7,0)),"")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11">
        <f>IF($A112="","",DATE(VALUE(LEFT($A112,4)),1,4)-WEEKDAY(DATE(VALUE(LEFT($A112,4)),1,4),2)+1+(VALUE(MID($A112,7,2))-1)*7+MATCH($B112,lista_dias,0)-1)</f>
        <v/>
      </c>
      <c r="I112" s="3">
        <f>IF(OR($F112="",ISNUMBER(MATCH($F112,lista_no_disponible,0)),(IFERROR(INDEX('CALENDARIO'!$C$15:$C$214,MATCH(TEXT($H112,"yyyy-mm-dd")&amp;"|"&amp;$D112&amp;"|"&amp;"",'CALENDARIO'!$G$15:$G$214,0)),IFERROR(INDEX('CALENDARIO'!$C$15:$C$214,MATCH(TEXT($H112,"yyyy-mm-dd")&amp;"|"&amp;$D112&amp;"|",'CALENDARIO'!$G$15:$G$214,0)),IFERROR(INDEX('CALENDARIO'!$C$15:$C$214,MATCH(TEXT($H112,"yyyy-mm-dd")&amp;"||",'CALENDARIO'!$G$15:$G$214,0)),INDEX(patronHabil,WEEKDAY($H112,2))))))&lt;&gt;"sí"),0,p_horas_jornada)</f>
        <v/>
      </c>
      <c r="J112" s="3">
        <f>$A112&amp;"|"&amp;$B112&amp;"|"&amp;$C112</f>
        <v/>
      </c>
      <c r="K112" s="3">
        <f>IFERROR(INDEX('CAT_TURNOS'!$C$4:$C$7,MATCH($F112,'CAT_TURNOS'!$A$4:$A$7,0)),"")</f>
        <v/>
      </c>
      <c r="L112" s="3">
        <f>IFERROR(INDEX('CAT_TURNOS'!$D$4:$D$7,MATCH($F112,'CAT_TURNOS'!$A$4:$A$7,0)),"")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11">
        <f>IF($A113="","",DATE(VALUE(LEFT($A113,4)),1,4)-WEEKDAY(DATE(VALUE(LEFT($A113,4)),1,4),2)+1+(VALUE(MID($A113,7,2))-1)*7+MATCH($B113,lista_dias,0)-1)</f>
        <v/>
      </c>
      <c r="I113" s="3">
        <f>IF(OR($F113="",ISNUMBER(MATCH($F113,lista_no_disponible,0)),(IFERROR(INDEX('CALENDARIO'!$C$15:$C$214,MATCH(TEXT($H113,"yyyy-mm-dd")&amp;"|"&amp;$D113&amp;"|"&amp;"",'CALENDARIO'!$G$15:$G$214,0)),IFERROR(INDEX('CALENDARIO'!$C$15:$C$214,MATCH(TEXT($H113,"yyyy-mm-dd")&amp;"|"&amp;$D113&amp;"|",'CALENDARIO'!$G$15:$G$214,0)),IFERROR(INDEX('CALENDARIO'!$C$15:$C$214,MATCH(TEXT($H113,"yyyy-mm-dd")&amp;"||",'CALENDARIO'!$G$15:$G$214,0)),INDEX(patronHabil,WEEKDAY($H113,2))))))&lt;&gt;"sí"),0,p_horas_jornada)</f>
        <v/>
      </c>
      <c r="J113" s="3">
        <f>$A113&amp;"|"&amp;$B113&amp;"|"&amp;$C113</f>
        <v/>
      </c>
      <c r="K113" s="3">
        <f>IFERROR(INDEX('CAT_TURNOS'!$C$4:$C$7,MATCH($F113,'CAT_TURNOS'!$A$4:$A$7,0)),"")</f>
        <v/>
      </c>
      <c r="L113" s="3">
        <f>IFERROR(INDEX('CAT_TURNOS'!$D$4:$D$7,MATCH($F113,'CAT_TURNOS'!$A$4:$A$7,0)),"")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>
        <is>
          <t>T1</t>
        </is>
      </c>
      <c r="G114" s="3">
        <f>IFERROR(INDEX('TECNICOS'!$E$4:$E$15,MATCH($C114,'TECNICOS'!$B$4:$B$15,0)),"")</f>
        <v/>
      </c>
      <c r="H114" s="11">
        <f>IF($A114="","",DATE(VALUE(LEFT($A114,4)),1,4)-WEEKDAY(DATE(VALUE(LEFT($A114,4)),1,4),2)+1+(VALUE(MID($A114,7,2))-1)*7+MATCH($B114,lista_dias,0)-1)</f>
        <v/>
      </c>
      <c r="I114" s="3">
        <f>IF(OR($F114="",ISNUMBER(MATCH($F114,lista_no_disponible,0)),(IFERROR(INDEX('CALENDARIO'!$C$15:$C$214,MATCH(TEXT($H114,"yyyy-mm-dd")&amp;"|"&amp;$D114&amp;"|"&amp;"",'CALENDARIO'!$G$15:$G$214,0)),IFERROR(INDEX('CALENDARIO'!$C$15:$C$214,MATCH(TEXT($H114,"yyyy-mm-dd")&amp;"|"&amp;$D114&amp;"|",'CALENDARIO'!$G$15:$G$214,0)),IFERROR(INDEX('CALENDARIO'!$C$15:$C$214,MATCH(TEXT($H114,"yyyy-mm-dd")&amp;"||",'CALENDARIO'!$G$15:$G$214,0)),INDEX(patronHabil,WEEKDAY($H114,2))))))&lt;&gt;"sí"),0,p_horas_jornada)</f>
        <v/>
      </c>
      <c r="J114" s="3">
        <f>$A114&amp;"|"&amp;$B114&amp;"|"&amp;$C114</f>
        <v/>
      </c>
      <c r="K114" s="3">
        <f>IFERROR(INDEX('CAT_TURNOS'!$C$4:$C$7,MATCH($F114,'CAT_TURNOS'!$A$4:$A$7,0)),"")</f>
        <v/>
      </c>
      <c r="L114" s="3">
        <f>IFERROR(INDEX('CAT_TURNOS'!$D$4:$D$7,MATCH($F114,'CAT_TURNOS'!$A$4:$A$7,0)),"")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11">
        <f>IF($A115="","",DATE(VALUE(LEFT($A115,4)),1,4)-WEEKDAY(DATE(VALUE(LEFT($A115,4)),1,4),2)+1+(VALUE(MID($A115,7,2))-1)*7+MATCH($B115,lista_dias,0)-1)</f>
        <v/>
      </c>
      <c r="I115" s="3">
        <f>IF(OR($F115="",ISNUMBER(MATCH($F115,lista_no_disponible,0)),(IFERROR(INDEX('CALENDARIO'!$C$15:$C$214,MATCH(TEXT($H115,"yyyy-mm-dd")&amp;"|"&amp;$D115&amp;"|"&amp;"",'CALENDARIO'!$G$15:$G$214,0)),IFERROR(INDEX('CALENDARIO'!$C$15:$C$214,MATCH(TEXT($H115,"yyyy-mm-dd")&amp;"|"&amp;$D115&amp;"|",'CALENDARIO'!$G$15:$G$214,0)),IFERROR(INDEX('CALENDARIO'!$C$15:$C$214,MATCH(TEXT($H115,"yyyy-mm-dd")&amp;"||",'CALENDARIO'!$G$15:$G$214,0)),INDEX(patronHabil,WEEKDAY($H115,2))))))&lt;&gt;"sí"),0,p_horas_jornada)</f>
        <v/>
      </c>
      <c r="J115" s="3">
        <f>$A115&amp;"|"&amp;$B115&amp;"|"&amp;$C115</f>
        <v/>
      </c>
      <c r="K115" s="3">
        <f>IFERROR(INDEX('CAT_TURNOS'!$C$4:$C$7,MATCH($F115,'CAT_TURNOS'!$A$4:$A$7,0)),"")</f>
        <v/>
      </c>
      <c r="L115" s="3">
        <f>IFERROR(INDEX('CAT_TURNOS'!$D$4:$D$7,MATCH($F115,'CAT_TURNOS'!$A$4:$A$7,0)),"")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11">
        <f>IF($A116="","",DATE(VALUE(LEFT($A116,4)),1,4)-WEEKDAY(DATE(VALUE(LEFT($A116,4)),1,4),2)+1+(VALUE(MID($A116,7,2))-1)*7+MATCH($B116,lista_dias,0)-1)</f>
        <v/>
      </c>
      <c r="I116" s="3">
        <f>IF(OR($F116="",ISNUMBER(MATCH($F116,lista_no_disponible,0)),(IFERROR(INDEX('CALENDARIO'!$C$15:$C$214,MATCH(TEXT($H116,"yyyy-mm-dd")&amp;"|"&amp;$D116&amp;"|"&amp;"",'CALENDARIO'!$G$15:$G$214,0)),IFERROR(INDEX('CALENDARIO'!$C$15:$C$214,MATCH(TEXT($H116,"yyyy-mm-dd")&amp;"|"&amp;$D116&amp;"|",'CALENDARIO'!$G$15:$G$214,0)),IFERROR(INDEX('CALENDARIO'!$C$15:$C$214,MATCH(TEXT($H116,"yyyy-mm-dd")&amp;"||",'CALENDARIO'!$G$15:$G$214,0)),INDEX(patronHabil,WEEKDAY($H116,2))))))&lt;&gt;"sí"),0,p_horas_jornada)</f>
        <v/>
      </c>
      <c r="J116" s="3">
        <f>$A116&amp;"|"&amp;$B116&amp;"|"&amp;$C116</f>
        <v/>
      </c>
      <c r="K116" s="3">
        <f>IFERROR(INDEX('CAT_TURNOS'!$C$4:$C$7,MATCH($F116,'CAT_TURNOS'!$A$4:$A$7,0)),"")</f>
        <v/>
      </c>
      <c r="L116" s="3">
        <f>IFERROR(INDEX('CAT_TURNOS'!$D$4:$D$7,MATCH($F116,'CAT_TURNOS'!$A$4:$A$7,0)),"")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11">
        <f>IF($A117="","",DATE(VALUE(LEFT($A117,4)),1,4)-WEEKDAY(DATE(VALUE(LEFT($A117,4)),1,4),2)+1+(VALUE(MID($A117,7,2))-1)*7+MATCH($B117,lista_dias,0)-1)</f>
        <v/>
      </c>
      <c r="I117" s="3">
        <f>IF(OR($F117="",ISNUMBER(MATCH($F117,lista_no_disponible,0)),(IFERROR(INDEX('CALENDARIO'!$C$15:$C$214,MATCH(TEXT($H117,"yyyy-mm-dd")&amp;"|"&amp;$D117&amp;"|"&amp;"",'CALENDARIO'!$G$15:$G$214,0)),IFERROR(INDEX('CALENDARIO'!$C$15:$C$214,MATCH(TEXT($H117,"yyyy-mm-dd")&amp;"|"&amp;$D117&amp;"|",'CALENDARIO'!$G$15:$G$214,0)),IFERROR(INDEX('CALENDARIO'!$C$15:$C$214,MATCH(TEXT($H117,"yyyy-mm-dd")&amp;"||",'CALENDARIO'!$G$15:$G$214,0)),INDEX(patronHabil,WEEKDAY($H117,2))))))&lt;&gt;"sí"),0,p_horas_jornada)</f>
        <v/>
      </c>
      <c r="J117" s="3">
        <f>$A117&amp;"|"&amp;$B117&amp;"|"&amp;$C117</f>
        <v/>
      </c>
      <c r="K117" s="3">
        <f>IFERROR(INDEX('CAT_TURNOS'!$C$4:$C$7,MATCH($F117,'CAT_TURNOS'!$A$4:$A$7,0)),"")</f>
        <v/>
      </c>
      <c r="L117" s="3">
        <f>IFERROR(INDEX('CAT_TURNOS'!$D$4:$D$7,MATCH($F117,'CAT_TURNOS'!$A$4:$A$7,0)),"")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11">
        <f>IF($A118="","",DATE(VALUE(LEFT($A118,4)),1,4)-WEEKDAY(DATE(VALUE(LEFT($A118,4)),1,4),2)+1+(VALUE(MID($A118,7,2))-1)*7+MATCH($B118,lista_dias,0)-1)</f>
        <v/>
      </c>
      <c r="I118" s="3">
        <f>IF(OR($F118="",ISNUMBER(MATCH($F118,lista_no_disponible,0)),(IFERROR(INDEX('CALENDARIO'!$C$15:$C$214,MATCH(TEXT($H118,"yyyy-mm-dd")&amp;"|"&amp;$D118&amp;"|"&amp;"",'CALENDARIO'!$G$15:$G$214,0)),IFERROR(INDEX('CALENDARIO'!$C$15:$C$214,MATCH(TEXT($H118,"yyyy-mm-dd")&amp;"|"&amp;$D118&amp;"|",'CALENDARIO'!$G$15:$G$214,0)),IFERROR(INDEX('CALENDARIO'!$C$15:$C$214,MATCH(TEXT($H118,"yyyy-mm-dd")&amp;"||",'CALENDARIO'!$G$15:$G$214,0)),INDEX(patronHabil,WEEKDAY($H118,2))))))&lt;&gt;"sí"),0,p_horas_jornada)</f>
        <v/>
      </c>
      <c r="J118" s="3">
        <f>$A118&amp;"|"&amp;$B118&amp;"|"&amp;$C118</f>
        <v/>
      </c>
      <c r="K118" s="3">
        <f>IFERROR(INDEX('CAT_TURNOS'!$C$4:$C$7,MATCH($F118,'CAT_TURNOS'!$A$4:$A$7,0)),"")</f>
        <v/>
      </c>
      <c r="L118" s="3">
        <f>IFERROR(INDEX('CAT_TURNOS'!$D$4:$D$7,MATCH($F118,'CAT_TURNOS'!$A$4:$A$7,0)),"")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11">
        <f>IF($A119="","",DATE(VALUE(LEFT($A119,4)),1,4)-WEEKDAY(DATE(VALUE(LEFT($A119,4)),1,4),2)+1+(VALUE(MID($A119,7,2))-1)*7+MATCH($B119,lista_dias,0)-1)</f>
        <v/>
      </c>
      <c r="I119" s="3">
        <f>IF(OR($F119="",ISNUMBER(MATCH($F119,lista_no_disponible,0)),(IFERROR(INDEX('CALENDARIO'!$C$15:$C$214,MATCH(TEXT($H119,"yyyy-mm-dd")&amp;"|"&amp;$D119&amp;"|"&amp;"",'CALENDARIO'!$G$15:$G$214,0)),IFERROR(INDEX('CALENDARIO'!$C$15:$C$214,MATCH(TEXT($H119,"yyyy-mm-dd")&amp;"|"&amp;$D119&amp;"|",'CALENDARIO'!$G$15:$G$214,0)),IFERROR(INDEX('CALENDARIO'!$C$15:$C$214,MATCH(TEXT($H119,"yyyy-mm-dd")&amp;"||",'CALENDARIO'!$G$15:$G$214,0)),INDEX(patronHabil,WEEKDAY($H119,2))))))&lt;&gt;"sí"),0,p_horas_jornada)</f>
        <v/>
      </c>
      <c r="J119" s="3">
        <f>$A119&amp;"|"&amp;$B119&amp;"|"&amp;$C119</f>
        <v/>
      </c>
      <c r="K119" s="3">
        <f>IFERROR(INDEX('CAT_TURNOS'!$C$4:$C$7,MATCH($F119,'CAT_TURNOS'!$A$4:$A$7,0)),"")</f>
        <v/>
      </c>
      <c r="L119" s="3">
        <f>IFERROR(INDEX('CAT_TURNOS'!$D$4:$D$7,MATCH($F119,'CAT_TURNOS'!$A$4:$A$7,0)),"")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11">
        <f>IF($A120="","",DATE(VALUE(LEFT($A120,4)),1,4)-WEEKDAY(DATE(VALUE(LEFT($A120,4)),1,4),2)+1+(VALUE(MID($A120,7,2))-1)*7+MATCH($B120,lista_dias,0)-1)</f>
        <v/>
      </c>
      <c r="I120" s="3">
        <f>IF(OR($F120="",ISNUMBER(MATCH($F120,lista_no_disponible,0)),(IFERROR(INDEX('CALENDARIO'!$C$15:$C$214,MATCH(TEXT($H120,"yyyy-mm-dd")&amp;"|"&amp;$D120&amp;"|"&amp;"",'CALENDARIO'!$G$15:$G$214,0)),IFERROR(INDEX('CALENDARIO'!$C$15:$C$214,MATCH(TEXT($H120,"yyyy-mm-dd")&amp;"|"&amp;$D120&amp;"|",'CALENDARIO'!$G$15:$G$214,0)),IFERROR(INDEX('CALENDARIO'!$C$15:$C$214,MATCH(TEXT($H120,"yyyy-mm-dd")&amp;"||",'CALENDARIO'!$G$15:$G$214,0)),INDEX(patronHabil,WEEKDAY($H120,2))))))&lt;&gt;"sí"),0,p_horas_jornada)</f>
        <v/>
      </c>
      <c r="J120" s="3">
        <f>$A120&amp;"|"&amp;$B120&amp;"|"&amp;$C120</f>
        <v/>
      </c>
      <c r="K120" s="3">
        <f>IFERROR(INDEX('CAT_TURNOS'!$C$4:$C$7,MATCH($F120,'CAT_TURNOS'!$A$4:$A$7,0)),"")</f>
        <v/>
      </c>
      <c r="L120" s="3">
        <f>IFERROR(INDEX('CAT_TURNOS'!$D$4:$D$7,MATCH($F120,'CAT_TURNOS'!$A$4:$A$7,0)),"")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>
        <is>
          <t>T1</t>
        </is>
      </c>
      <c r="G121" s="3">
        <f>IFERROR(INDEX('TECNICOS'!$E$4:$E$15,MATCH($C121,'TECNICOS'!$B$4:$B$15,0)),"")</f>
        <v/>
      </c>
      <c r="H121" s="11">
        <f>IF($A121="","",DATE(VALUE(LEFT($A121,4)),1,4)-WEEKDAY(DATE(VALUE(LEFT($A121,4)),1,4),2)+1+(VALUE(MID($A121,7,2))-1)*7+MATCH($B121,lista_dias,0)-1)</f>
        <v/>
      </c>
      <c r="I121" s="3">
        <f>IF(OR($F121="",ISNUMBER(MATCH($F121,lista_no_disponible,0)),(IFERROR(INDEX('CALENDARIO'!$C$15:$C$214,MATCH(TEXT($H121,"yyyy-mm-dd")&amp;"|"&amp;$D121&amp;"|"&amp;"",'CALENDARIO'!$G$15:$G$214,0)),IFERROR(INDEX('CALENDARIO'!$C$15:$C$214,MATCH(TEXT($H121,"yyyy-mm-dd")&amp;"|"&amp;$D121&amp;"|",'CALENDARIO'!$G$15:$G$214,0)),IFERROR(INDEX('CALENDARIO'!$C$15:$C$214,MATCH(TEXT($H121,"yyyy-mm-dd")&amp;"||",'CALENDARIO'!$G$15:$G$214,0)),INDEX(patronHabil,WEEKDAY($H121,2))))))&lt;&gt;"sí"),0,p_horas_jornada)</f>
        <v/>
      </c>
      <c r="J121" s="3">
        <f>$A121&amp;"|"&amp;$B121&amp;"|"&amp;$C121</f>
        <v/>
      </c>
      <c r="K121" s="3">
        <f>IFERROR(INDEX('CAT_TURNOS'!$C$4:$C$7,MATCH($F121,'CAT_TURNOS'!$A$4:$A$7,0)),"")</f>
        <v/>
      </c>
      <c r="L121" s="3">
        <f>IFERROR(INDEX('CAT_TURNOS'!$D$4:$D$7,MATCH($F121,'CAT_TURNOS'!$A$4:$A$7,0)),"")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11">
        <f>IF($A122="","",DATE(VALUE(LEFT($A122,4)),1,4)-WEEKDAY(DATE(VALUE(LEFT($A122,4)),1,4),2)+1+(VALUE(MID($A122,7,2))-1)*7+MATCH($B122,lista_dias,0)-1)</f>
        <v/>
      </c>
      <c r="I122" s="3">
        <f>IF(OR($F122="",ISNUMBER(MATCH($F122,lista_no_disponible,0)),(IFERROR(INDEX('CALENDARIO'!$C$15:$C$214,MATCH(TEXT($H122,"yyyy-mm-dd")&amp;"|"&amp;$D122&amp;"|"&amp;"",'CALENDARIO'!$G$15:$G$214,0)),IFERROR(INDEX('CALENDARIO'!$C$15:$C$214,MATCH(TEXT($H122,"yyyy-mm-dd")&amp;"|"&amp;$D122&amp;"|",'CALENDARIO'!$G$15:$G$214,0)),IFERROR(INDEX('CALENDARIO'!$C$15:$C$214,MATCH(TEXT($H122,"yyyy-mm-dd")&amp;"||",'CALENDARIO'!$G$15:$G$214,0)),INDEX(patronHabil,WEEKDAY($H122,2))))))&lt;&gt;"sí"),0,p_horas_jornada)</f>
        <v/>
      </c>
      <c r="J122" s="3">
        <f>$A122&amp;"|"&amp;$B122&amp;"|"&amp;$C122</f>
        <v/>
      </c>
      <c r="K122" s="3">
        <f>IFERROR(INDEX('CAT_TURNOS'!$C$4:$C$7,MATCH($F122,'CAT_TURNOS'!$A$4:$A$7,0)),"")</f>
        <v/>
      </c>
      <c r="L122" s="3">
        <f>IFERROR(INDEX('CAT_TURNOS'!$D$4:$D$7,MATCH($F122,'CAT_TURNOS'!$A$4:$A$7,0)),"")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11">
        <f>IF($A123="","",DATE(VALUE(LEFT($A123,4)),1,4)-WEEKDAY(DATE(VALUE(LEFT($A123,4)),1,4),2)+1+(VALUE(MID($A123,7,2))-1)*7+MATCH($B123,lista_dias,0)-1)</f>
        <v/>
      </c>
      <c r="I123" s="3">
        <f>IF(OR($F123="",ISNUMBER(MATCH($F123,lista_no_disponible,0)),(IFERROR(INDEX('CALENDARIO'!$C$15:$C$214,MATCH(TEXT($H123,"yyyy-mm-dd")&amp;"|"&amp;$D123&amp;"|"&amp;"",'CALENDARIO'!$G$15:$G$214,0)),IFERROR(INDEX('CALENDARIO'!$C$15:$C$214,MATCH(TEXT($H123,"yyyy-mm-dd")&amp;"|"&amp;$D123&amp;"|",'CALENDARIO'!$G$15:$G$214,0)),IFERROR(INDEX('CALENDARIO'!$C$15:$C$214,MATCH(TEXT($H123,"yyyy-mm-dd")&amp;"||",'CALENDARIO'!$G$15:$G$214,0)),INDEX(patronHabil,WEEKDAY($H123,2))))))&lt;&gt;"sí"),0,p_horas_jornada)</f>
        <v/>
      </c>
      <c r="J123" s="3">
        <f>$A123&amp;"|"&amp;$B123&amp;"|"&amp;$C123</f>
        <v/>
      </c>
      <c r="K123" s="3">
        <f>IFERROR(INDEX('CAT_TURNOS'!$C$4:$C$7,MATCH($F123,'CAT_TURNOS'!$A$4:$A$7,0)),"")</f>
        <v/>
      </c>
      <c r="L123" s="3">
        <f>IFERROR(INDEX('CAT_TURNOS'!$D$4:$D$7,MATCH($F123,'CAT_TURNOS'!$A$4:$A$7,0)),"")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11">
        <f>IF($A124="","",DATE(VALUE(LEFT($A124,4)),1,4)-WEEKDAY(DATE(VALUE(LEFT($A124,4)),1,4),2)+1+(VALUE(MID($A124,7,2))-1)*7+MATCH($B124,lista_dias,0)-1)</f>
        <v/>
      </c>
      <c r="I124" s="3">
        <f>IF(OR($F124="",ISNUMBER(MATCH($F124,lista_no_disponible,0)),(IFERROR(INDEX('CALENDARIO'!$C$15:$C$214,MATCH(TEXT($H124,"yyyy-mm-dd")&amp;"|"&amp;$D124&amp;"|"&amp;"",'CALENDARIO'!$G$15:$G$214,0)),IFERROR(INDEX('CALENDARIO'!$C$15:$C$214,MATCH(TEXT($H124,"yyyy-mm-dd")&amp;"|"&amp;$D124&amp;"|",'CALENDARIO'!$G$15:$G$214,0)),IFERROR(INDEX('CALENDARIO'!$C$15:$C$214,MATCH(TEXT($H124,"yyyy-mm-dd")&amp;"||",'CALENDARIO'!$G$15:$G$214,0)),INDEX(patronHabil,WEEKDAY($H124,2))))))&lt;&gt;"sí"),0,p_horas_jornada)</f>
        <v/>
      </c>
      <c r="J124" s="3">
        <f>$A124&amp;"|"&amp;$B124&amp;"|"&amp;$C124</f>
        <v/>
      </c>
      <c r="K124" s="3">
        <f>IFERROR(INDEX('CAT_TURNOS'!$C$4:$C$7,MATCH($F124,'CAT_TURNOS'!$A$4:$A$7,0)),"")</f>
        <v/>
      </c>
      <c r="L124" s="3">
        <f>IFERROR(INDEX('CAT_TURNOS'!$D$4:$D$7,MATCH($F124,'CAT_TURNOS'!$A$4:$A$7,0)),"")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11">
        <f>IF($A125="","",DATE(VALUE(LEFT($A125,4)),1,4)-WEEKDAY(DATE(VALUE(LEFT($A125,4)),1,4),2)+1+(VALUE(MID($A125,7,2))-1)*7+MATCH($B125,lista_dias,0)-1)</f>
        <v/>
      </c>
      <c r="I125" s="3">
        <f>IF(OR($F125="",ISNUMBER(MATCH($F125,lista_no_disponible,0)),(IFERROR(INDEX('CALENDARIO'!$C$15:$C$214,MATCH(TEXT($H125,"yyyy-mm-dd")&amp;"|"&amp;$D125&amp;"|"&amp;"",'CALENDARIO'!$G$15:$G$214,0)),IFERROR(INDEX('CALENDARIO'!$C$15:$C$214,MATCH(TEXT($H125,"yyyy-mm-dd")&amp;"|"&amp;$D125&amp;"|",'CALENDARIO'!$G$15:$G$214,0)),IFERROR(INDEX('CALENDARIO'!$C$15:$C$214,MATCH(TEXT($H125,"yyyy-mm-dd")&amp;"||",'CALENDARIO'!$G$15:$G$214,0)),INDEX(patronHabil,WEEKDAY($H125,2))))))&lt;&gt;"sí"),0,p_horas_jornada)</f>
        <v/>
      </c>
      <c r="J125" s="3">
        <f>$A125&amp;"|"&amp;$B125&amp;"|"&amp;$C125</f>
        <v/>
      </c>
      <c r="K125" s="3">
        <f>IFERROR(INDEX('CAT_TURNOS'!$C$4:$C$7,MATCH($F125,'CAT_TURNOS'!$A$4:$A$7,0)),"")</f>
        <v/>
      </c>
      <c r="L125" s="3">
        <f>IFERROR(INDEX('CAT_TURNOS'!$D$4:$D$7,MATCH($F125,'CAT_TURNOS'!$A$4:$A$7,0)),"")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11">
        <f>IF($A126="","",DATE(VALUE(LEFT($A126,4)),1,4)-WEEKDAY(DATE(VALUE(LEFT($A126,4)),1,4),2)+1+(VALUE(MID($A126,7,2))-1)*7+MATCH($B126,lista_dias,0)-1)</f>
        <v/>
      </c>
      <c r="I126" s="3">
        <f>IF(OR($F126="",ISNUMBER(MATCH($F126,lista_no_disponible,0)),(IFERROR(INDEX('CALENDARIO'!$C$15:$C$214,MATCH(TEXT($H126,"yyyy-mm-dd")&amp;"|"&amp;$D126&amp;"|"&amp;"",'CALENDARIO'!$G$15:$G$214,0)),IFERROR(INDEX('CALENDARIO'!$C$15:$C$214,MATCH(TEXT($H126,"yyyy-mm-dd")&amp;"|"&amp;$D126&amp;"|",'CALENDARIO'!$G$15:$G$214,0)),IFERROR(INDEX('CALENDARIO'!$C$15:$C$214,MATCH(TEXT($H126,"yyyy-mm-dd")&amp;"||",'CALENDARIO'!$G$15:$G$214,0)),INDEX(patronHabil,WEEKDAY($H126,2))))))&lt;&gt;"sí"),0,p_horas_jornada)</f>
        <v/>
      </c>
      <c r="J126" s="3">
        <f>$A126&amp;"|"&amp;$B126&amp;"|"&amp;$C126</f>
        <v/>
      </c>
      <c r="K126" s="3">
        <f>IFERROR(INDEX('CAT_TURNOS'!$C$4:$C$7,MATCH($F126,'CAT_TURNOS'!$A$4:$A$7,0)),"")</f>
        <v/>
      </c>
      <c r="L126" s="3">
        <f>IFERROR(INDEX('CAT_TURNOS'!$D$4:$D$7,MATCH($F126,'CAT_TURNOS'!$A$4:$A$7,0)),"")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11">
        <f>IF($A127="","",DATE(VALUE(LEFT($A127,4)),1,4)-WEEKDAY(DATE(VALUE(LEFT($A127,4)),1,4),2)+1+(VALUE(MID($A127,7,2))-1)*7+MATCH($B127,lista_dias,0)-1)</f>
        <v/>
      </c>
      <c r="I127" s="3">
        <f>IF(OR($F127="",ISNUMBER(MATCH($F127,lista_no_disponible,0)),(IFERROR(INDEX('CALENDARIO'!$C$15:$C$214,MATCH(TEXT($H127,"yyyy-mm-dd")&amp;"|"&amp;$D127&amp;"|"&amp;"",'CALENDARIO'!$G$15:$G$214,0)),IFERROR(INDEX('CALENDARIO'!$C$15:$C$214,MATCH(TEXT($H127,"yyyy-mm-dd")&amp;"|"&amp;$D127&amp;"|",'CALENDARIO'!$G$15:$G$214,0)),IFERROR(INDEX('CALENDARIO'!$C$15:$C$214,MATCH(TEXT($H127,"yyyy-mm-dd")&amp;"||",'CALENDARIO'!$G$15:$G$214,0)),INDEX(patronHabil,WEEKDAY($H127,2))))))&lt;&gt;"sí"),0,p_horas_jornada)</f>
        <v/>
      </c>
      <c r="J127" s="3">
        <f>$A127&amp;"|"&amp;$B127&amp;"|"&amp;$C127</f>
        <v/>
      </c>
      <c r="K127" s="3">
        <f>IFERROR(INDEX('CAT_TURNOS'!$C$4:$C$7,MATCH($F127,'CAT_TURNOS'!$A$4:$A$7,0)),"")</f>
        <v/>
      </c>
      <c r="L127" s="3">
        <f>IFERROR(INDEX('CAT_TURNOS'!$D$4:$D$7,MATCH($F127,'CAT_TURNOS'!$A$4:$A$7,0)),"")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>
        <is>
          <t>T1</t>
        </is>
      </c>
      <c r="G128" s="3">
        <f>IFERROR(INDEX('TECNICOS'!$E$4:$E$15,MATCH($C128,'TECNICOS'!$B$4:$B$15,0)),"")</f>
        <v/>
      </c>
      <c r="H128" s="11">
        <f>IF($A128="","",DATE(VALUE(LEFT($A128,4)),1,4)-WEEKDAY(DATE(VALUE(LEFT($A128,4)),1,4),2)+1+(VALUE(MID($A128,7,2))-1)*7+MATCH($B128,lista_dias,0)-1)</f>
        <v/>
      </c>
      <c r="I128" s="3">
        <f>IF(OR($F128="",ISNUMBER(MATCH($F128,lista_no_disponible,0)),(IFERROR(INDEX('CALENDARIO'!$C$15:$C$214,MATCH(TEXT($H128,"yyyy-mm-dd")&amp;"|"&amp;$D128&amp;"|"&amp;"",'CALENDARIO'!$G$15:$G$214,0)),IFERROR(INDEX('CALENDARIO'!$C$15:$C$214,MATCH(TEXT($H128,"yyyy-mm-dd")&amp;"|"&amp;$D128&amp;"|",'CALENDARIO'!$G$15:$G$214,0)),IFERROR(INDEX('CALENDARIO'!$C$15:$C$214,MATCH(TEXT($H128,"yyyy-mm-dd")&amp;"||",'CALENDARIO'!$G$15:$G$214,0)),INDEX(patronHabil,WEEKDAY($H128,2))))))&lt;&gt;"sí"),0,p_horas_jornada)</f>
        <v/>
      </c>
      <c r="J128" s="3">
        <f>$A128&amp;"|"&amp;$B128&amp;"|"&amp;$C128</f>
        <v/>
      </c>
      <c r="K128" s="3">
        <f>IFERROR(INDEX('CAT_TURNOS'!$C$4:$C$7,MATCH($F128,'CAT_TURNOS'!$A$4:$A$7,0)),"")</f>
        <v/>
      </c>
      <c r="L128" s="3">
        <f>IFERROR(INDEX('CAT_TURNOS'!$D$4:$D$7,MATCH($F128,'CAT_TURNOS'!$A$4:$A$7,0)),"")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11">
        <f>IF($A129="","",DATE(VALUE(LEFT($A129,4)),1,4)-WEEKDAY(DATE(VALUE(LEFT($A129,4)),1,4),2)+1+(VALUE(MID($A129,7,2))-1)*7+MATCH($B129,lista_dias,0)-1)</f>
        <v/>
      </c>
      <c r="I129" s="3">
        <f>IF(OR($F129="",ISNUMBER(MATCH($F129,lista_no_disponible,0)),(IFERROR(INDEX('CALENDARIO'!$C$15:$C$214,MATCH(TEXT($H129,"yyyy-mm-dd")&amp;"|"&amp;$D129&amp;"|"&amp;"",'CALENDARIO'!$G$15:$G$214,0)),IFERROR(INDEX('CALENDARIO'!$C$15:$C$214,MATCH(TEXT($H129,"yyyy-mm-dd")&amp;"|"&amp;$D129&amp;"|",'CALENDARIO'!$G$15:$G$214,0)),IFERROR(INDEX('CALENDARIO'!$C$15:$C$214,MATCH(TEXT($H129,"yyyy-mm-dd")&amp;"||",'CALENDARIO'!$G$15:$G$214,0)),INDEX(patronHabil,WEEKDAY($H129,2))))))&lt;&gt;"sí"),0,p_horas_jornada)</f>
        <v/>
      </c>
      <c r="J129" s="3">
        <f>$A129&amp;"|"&amp;$B129&amp;"|"&amp;$C129</f>
        <v/>
      </c>
      <c r="K129" s="3">
        <f>IFERROR(INDEX('CAT_TURNOS'!$C$4:$C$7,MATCH($F129,'CAT_TURNOS'!$A$4:$A$7,0)),"")</f>
        <v/>
      </c>
      <c r="L129" s="3">
        <f>IFERROR(INDEX('CAT_TURNOS'!$D$4:$D$7,MATCH($F129,'CAT_TURNOS'!$A$4:$A$7,0)),"")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11">
        <f>IF($A130="","",DATE(VALUE(LEFT($A130,4)),1,4)-WEEKDAY(DATE(VALUE(LEFT($A130,4)),1,4),2)+1+(VALUE(MID($A130,7,2))-1)*7+MATCH($B130,lista_dias,0)-1)</f>
        <v/>
      </c>
      <c r="I130" s="3">
        <f>IF(OR($F130="",ISNUMBER(MATCH($F130,lista_no_disponible,0)),(IFERROR(INDEX('CALENDARIO'!$C$15:$C$214,MATCH(TEXT($H130,"yyyy-mm-dd")&amp;"|"&amp;$D130&amp;"|"&amp;"",'CALENDARIO'!$G$15:$G$214,0)),IFERROR(INDEX('CALENDARIO'!$C$15:$C$214,MATCH(TEXT($H130,"yyyy-mm-dd")&amp;"|"&amp;$D130&amp;"|",'CALENDARIO'!$G$15:$G$214,0)),IFERROR(INDEX('CALENDARIO'!$C$15:$C$214,MATCH(TEXT($H130,"yyyy-mm-dd")&amp;"||",'CALENDARIO'!$G$15:$G$214,0)),INDEX(patronHabil,WEEKDAY($H130,2))))))&lt;&gt;"sí"),0,p_horas_jornada)</f>
        <v/>
      </c>
      <c r="J130" s="3">
        <f>$A130&amp;"|"&amp;$B130&amp;"|"&amp;$C130</f>
        <v/>
      </c>
      <c r="K130" s="3">
        <f>IFERROR(INDEX('CAT_TURNOS'!$C$4:$C$7,MATCH($F130,'CAT_TURNOS'!$A$4:$A$7,0)),"")</f>
        <v/>
      </c>
      <c r="L130" s="3">
        <f>IFERROR(INDEX('CAT_TURNOS'!$D$4:$D$7,MATCH($F130,'CAT_TURNOS'!$A$4:$A$7,0)),"")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11">
        <f>IF($A131="","",DATE(VALUE(LEFT($A131,4)),1,4)-WEEKDAY(DATE(VALUE(LEFT($A131,4)),1,4),2)+1+(VALUE(MID($A131,7,2))-1)*7+MATCH($B131,lista_dias,0)-1)</f>
        <v/>
      </c>
      <c r="I131" s="3">
        <f>IF(OR($F131="",ISNUMBER(MATCH($F131,lista_no_disponible,0)),(IFERROR(INDEX('CALENDARIO'!$C$15:$C$214,MATCH(TEXT($H131,"yyyy-mm-dd")&amp;"|"&amp;$D131&amp;"|"&amp;"",'CALENDARIO'!$G$15:$G$214,0)),IFERROR(INDEX('CALENDARIO'!$C$15:$C$214,MATCH(TEXT($H131,"yyyy-mm-dd")&amp;"|"&amp;$D131&amp;"|",'CALENDARIO'!$G$15:$G$214,0)),IFERROR(INDEX('CALENDARIO'!$C$15:$C$214,MATCH(TEXT($H131,"yyyy-mm-dd")&amp;"||",'CALENDARIO'!$G$15:$G$214,0)),INDEX(patronHabil,WEEKDAY($H131,2))))))&lt;&gt;"sí"),0,p_horas_jornada)</f>
        <v/>
      </c>
      <c r="J131" s="3">
        <f>$A131&amp;"|"&amp;$B131&amp;"|"&amp;$C131</f>
        <v/>
      </c>
      <c r="K131" s="3">
        <f>IFERROR(INDEX('CAT_TURNOS'!$C$4:$C$7,MATCH($F131,'CAT_TURNOS'!$A$4:$A$7,0)),"")</f>
        <v/>
      </c>
      <c r="L131" s="3">
        <f>IFERROR(INDEX('CAT_TURNOS'!$D$4:$D$7,MATCH($F131,'CAT_TURNOS'!$A$4:$A$7,0)),"")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11">
        <f>IF($A132="","",DATE(VALUE(LEFT($A132,4)),1,4)-WEEKDAY(DATE(VALUE(LEFT($A132,4)),1,4),2)+1+(VALUE(MID($A132,7,2))-1)*7+MATCH($B132,lista_dias,0)-1)</f>
        <v/>
      </c>
      <c r="I132" s="3">
        <f>IF(OR($F132="",ISNUMBER(MATCH($F132,lista_no_disponible,0)),(IFERROR(INDEX('CALENDARIO'!$C$15:$C$214,MATCH(TEXT($H132,"yyyy-mm-dd")&amp;"|"&amp;$D132&amp;"|"&amp;"",'CALENDARIO'!$G$15:$G$214,0)),IFERROR(INDEX('CALENDARIO'!$C$15:$C$214,MATCH(TEXT($H132,"yyyy-mm-dd")&amp;"|"&amp;$D132&amp;"|",'CALENDARIO'!$G$15:$G$214,0)),IFERROR(INDEX('CALENDARIO'!$C$15:$C$214,MATCH(TEXT($H132,"yyyy-mm-dd")&amp;"||",'CALENDARIO'!$G$15:$G$214,0)),INDEX(patronHabil,WEEKDAY($H132,2))))))&lt;&gt;"sí"),0,p_horas_jornada)</f>
        <v/>
      </c>
      <c r="J132" s="3">
        <f>$A132&amp;"|"&amp;$B132&amp;"|"&amp;$C132</f>
        <v/>
      </c>
      <c r="K132" s="3">
        <f>IFERROR(INDEX('CAT_TURNOS'!$C$4:$C$7,MATCH($F132,'CAT_TURNOS'!$A$4:$A$7,0)),"")</f>
        <v/>
      </c>
      <c r="L132" s="3">
        <f>IFERROR(INDEX('CAT_TURNOS'!$D$4:$D$7,MATCH($F132,'CAT_TURNOS'!$A$4:$A$7,0)),"")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11">
        <f>IF($A133="","",DATE(VALUE(LEFT($A133,4)),1,4)-WEEKDAY(DATE(VALUE(LEFT($A133,4)),1,4),2)+1+(VALUE(MID($A133,7,2))-1)*7+MATCH($B133,lista_dias,0)-1)</f>
        <v/>
      </c>
      <c r="I133" s="3">
        <f>IF(OR($F133="",ISNUMBER(MATCH($F133,lista_no_disponible,0)),(IFERROR(INDEX('CALENDARIO'!$C$15:$C$214,MATCH(TEXT($H133,"yyyy-mm-dd")&amp;"|"&amp;$D133&amp;"|"&amp;"",'CALENDARIO'!$G$15:$G$214,0)),IFERROR(INDEX('CALENDARIO'!$C$15:$C$214,MATCH(TEXT($H133,"yyyy-mm-dd")&amp;"|"&amp;$D133&amp;"|",'CALENDARIO'!$G$15:$G$214,0)),IFERROR(INDEX('CALENDARIO'!$C$15:$C$214,MATCH(TEXT($H133,"yyyy-mm-dd")&amp;"||",'CALENDARIO'!$G$15:$G$214,0)),INDEX(patronHabil,WEEKDAY($H133,2))))))&lt;&gt;"sí"),0,p_horas_jornada)</f>
        <v/>
      </c>
      <c r="J133" s="3">
        <f>$A133&amp;"|"&amp;$B133&amp;"|"&amp;$C133</f>
        <v/>
      </c>
      <c r="K133" s="3">
        <f>IFERROR(INDEX('CAT_TURNOS'!$C$4:$C$7,MATCH($F133,'CAT_TURNOS'!$A$4:$A$7,0)),"")</f>
        <v/>
      </c>
      <c r="L133" s="3">
        <f>IFERROR(INDEX('CAT_TURNOS'!$D$4:$D$7,MATCH($F133,'CAT_TURNOS'!$A$4:$A$7,0)),"")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11">
        <f>IF($A134="","",DATE(VALUE(LEFT($A134,4)),1,4)-WEEKDAY(DATE(VALUE(LEFT($A134,4)),1,4),2)+1+(VALUE(MID($A134,7,2))-1)*7+MATCH($B134,lista_dias,0)-1)</f>
        <v/>
      </c>
      <c r="I134" s="3">
        <f>IF(OR($F134="",ISNUMBER(MATCH($F134,lista_no_disponible,0)),(IFERROR(INDEX('CALENDARIO'!$C$15:$C$214,MATCH(TEXT($H134,"yyyy-mm-dd")&amp;"|"&amp;$D134&amp;"|"&amp;"",'CALENDARIO'!$G$15:$G$214,0)),IFERROR(INDEX('CALENDARIO'!$C$15:$C$214,MATCH(TEXT($H134,"yyyy-mm-dd")&amp;"|"&amp;$D134&amp;"|",'CALENDARIO'!$G$15:$G$214,0)),IFERROR(INDEX('CALENDARIO'!$C$15:$C$214,MATCH(TEXT($H134,"yyyy-mm-dd")&amp;"||",'CALENDARIO'!$G$15:$G$214,0)),INDEX(patronHabil,WEEKDAY($H134,2))))))&lt;&gt;"sí"),0,p_horas_jornada)</f>
        <v/>
      </c>
      <c r="J134" s="3">
        <f>$A134&amp;"|"&amp;$B134&amp;"|"&amp;$C134</f>
        <v/>
      </c>
      <c r="K134" s="3">
        <f>IFERROR(INDEX('CAT_TURNOS'!$C$4:$C$7,MATCH($F134,'CAT_TURNOS'!$A$4:$A$7,0)),"")</f>
        <v/>
      </c>
      <c r="L134" s="3">
        <f>IFERROR(INDEX('CAT_TURNOS'!$D$4:$D$7,MATCH($F134,'CAT_TURNOS'!$A$4:$A$7,0)),"")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>
        <is>
          <t>T1</t>
        </is>
      </c>
      <c r="G135" s="3">
        <f>IFERROR(INDEX('TECNICOS'!$E$4:$E$15,MATCH($C135,'TECNICOS'!$B$4:$B$15,0)),"")</f>
        <v/>
      </c>
      <c r="H135" s="11">
        <f>IF($A135="","",DATE(VALUE(LEFT($A135,4)),1,4)-WEEKDAY(DATE(VALUE(LEFT($A135,4)),1,4),2)+1+(VALUE(MID($A135,7,2))-1)*7+MATCH($B135,lista_dias,0)-1)</f>
        <v/>
      </c>
      <c r="I135" s="3">
        <f>IF(OR($F135="",ISNUMBER(MATCH($F135,lista_no_disponible,0)),(IFERROR(INDEX('CALENDARIO'!$C$15:$C$214,MATCH(TEXT($H135,"yyyy-mm-dd")&amp;"|"&amp;$D135&amp;"|"&amp;"",'CALENDARIO'!$G$15:$G$214,0)),IFERROR(INDEX('CALENDARIO'!$C$15:$C$214,MATCH(TEXT($H135,"yyyy-mm-dd")&amp;"|"&amp;$D135&amp;"|",'CALENDARIO'!$G$15:$G$214,0)),IFERROR(INDEX('CALENDARIO'!$C$15:$C$214,MATCH(TEXT($H135,"yyyy-mm-dd")&amp;"||",'CALENDARIO'!$G$15:$G$214,0)),INDEX(patronHabil,WEEKDAY($H135,2))))))&lt;&gt;"sí"),0,p_horas_jornada)</f>
        <v/>
      </c>
      <c r="J135" s="3">
        <f>$A135&amp;"|"&amp;$B135&amp;"|"&amp;$C135</f>
        <v/>
      </c>
      <c r="K135" s="3">
        <f>IFERROR(INDEX('CAT_TURNOS'!$C$4:$C$7,MATCH($F135,'CAT_TURNOS'!$A$4:$A$7,0)),"")</f>
        <v/>
      </c>
      <c r="L135" s="3">
        <f>IFERROR(INDEX('CAT_TURNOS'!$D$4:$D$7,MATCH($F135,'CAT_TURNOS'!$A$4:$A$7,0)),"")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11">
        <f>IF($A136="","",DATE(VALUE(LEFT($A136,4)),1,4)-WEEKDAY(DATE(VALUE(LEFT($A136,4)),1,4),2)+1+(VALUE(MID($A136,7,2))-1)*7+MATCH($B136,lista_dias,0)-1)</f>
        <v/>
      </c>
      <c r="I136" s="3">
        <f>IF(OR($F136="",ISNUMBER(MATCH($F136,lista_no_disponible,0)),(IFERROR(INDEX('CALENDARIO'!$C$15:$C$214,MATCH(TEXT($H136,"yyyy-mm-dd")&amp;"|"&amp;$D136&amp;"|"&amp;"",'CALENDARIO'!$G$15:$G$214,0)),IFERROR(INDEX('CALENDARIO'!$C$15:$C$214,MATCH(TEXT($H136,"yyyy-mm-dd")&amp;"|"&amp;$D136&amp;"|",'CALENDARIO'!$G$15:$G$214,0)),IFERROR(INDEX('CALENDARIO'!$C$15:$C$214,MATCH(TEXT($H136,"yyyy-mm-dd")&amp;"||",'CALENDARIO'!$G$15:$G$214,0)),INDEX(patronHabil,WEEKDAY($H136,2))))))&lt;&gt;"sí"),0,p_horas_jornada)</f>
        <v/>
      </c>
      <c r="J136" s="3">
        <f>$A136&amp;"|"&amp;$B136&amp;"|"&amp;$C136</f>
        <v/>
      </c>
      <c r="K136" s="3">
        <f>IFERROR(INDEX('CAT_TURNOS'!$C$4:$C$7,MATCH($F136,'CAT_TURNOS'!$A$4:$A$7,0)),"")</f>
        <v/>
      </c>
      <c r="L136" s="3">
        <f>IFERROR(INDEX('CAT_TURNOS'!$D$4:$D$7,MATCH($F136,'CAT_TURNOS'!$A$4:$A$7,0)),"")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B</t>
        </is>
      </c>
      <c r="G137" s="3">
        <f>IFERROR(INDEX('TECNICOS'!$E$4:$E$15,MATCH($C137,'TECNICOS'!$B$4:$B$15,0)),"")</f>
        <v/>
      </c>
      <c r="H137" s="11">
        <f>IF($A137="","",DATE(VALUE(LEFT($A137,4)),1,4)-WEEKDAY(DATE(VALUE(LEFT($A137,4)),1,4),2)+1+(VALUE(MID($A137,7,2))-1)*7+MATCH($B137,lista_dias,0)-1)</f>
        <v/>
      </c>
      <c r="I137" s="3">
        <f>IF(OR($F137="",ISNUMBER(MATCH($F137,lista_no_disponible,0)),(IFERROR(INDEX('CALENDARIO'!$C$15:$C$214,MATCH(TEXT($H137,"yyyy-mm-dd")&amp;"|"&amp;$D137&amp;"|"&amp;"",'CALENDARIO'!$G$15:$G$214,0)),IFERROR(INDEX('CALENDARIO'!$C$15:$C$214,MATCH(TEXT($H137,"yyyy-mm-dd")&amp;"|"&amp;$D137&amp;"|",'CALENDARIO'!$G$15:$G$214,0)),IFERROR(INDEX('CALENDARIO'!$C$15:$C$214,MATCH(TEXT($H137,"yyyy-mm-dd")&amp;"||",'CALENDARIO'!$G$15:$G$214,0)),INDEX(patronHabil,WEEKDAY($H137,2))))))&lt;&gt;"sí"),0,p_horas_jornada)</f>
        <v/>
      </c>
      <c r="J137" s="3">
        <f>$A137&amp;"|"&amp;$B137&amp;"|"&amp;$C137</f>
        <v/>
      </c>
      <c r="K137" s="3">
        <f>IFERROR(INDEX('CAT_TURNOS'!$C$4:$C$7,MATCH($F137,'CAT_TURNOS'!$A$4:$A$7,0)),"")</f>
        <v/>
      </c>
      <c r="L137" s="3">
        <f>IFERROR(INDEX('CAT_TURNOS'!$D$4:$D$7,MATCH($F137,'CAT_TURNOS'!$A$4:$A$7,0)),"")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B</t>
        </is>
      </c>
      <c r="G138" s="3">
        <f>IFERROR(INDEX('TECNICOS'!$E$4:$E$15,MATCH($C138,'TECNICOS'!$B$4:$B$15,0)),"")</f>
        <v/>
      </c>
      <c r="H138" s="11">
        <f>IF($A138="","",DATE(VALUE(LEFT($A138,4)),1,4)-WEEKDAY(DATE(VALUE(LEFT($A138,4)),1,4),2)+1+(VALUE(MID($A138,7,2))-1)*7+MATCH($B138,lista_dias,0)-1)</f>
        <v/>
      </c>
      <c r="I138" s="3">
        <f>IF(OR($F138="",ISNUMBER(MATCH($F138,lista_no_disponible,0)),(IFERROR(INDEX('CALENDARIO'!$C$15:$C$214,MATCH(TEXT($H138,"yyyy-mm-dd")&amp;"|"&amp;$D138&amp;"|"&amp;"",'CALENDARIO'!$G$15:$G$214,0)),IFERROR(INDEX('CALENDARIO'!$C$15:$C$214,MATCH(TEXT($H138,"yyyy-mm-dd")&amp;"|"&amp;$D138&amp;"|",'CALENDARIO'!$G$15:$G$214,0)),IFERROR(INDEX('CALENDARIO'!$C$15:$C$214,MATCH(TEXT($H138,"yyyy-mm-dd")&amp;"||",'CALENDARIO'!$G$15:$G$214,0)),INDEX(patronHabil,WEEKDAY($H138,2))))))&lt;&gt;"sí"),0,p_horas_jornada)</f>
        <v/>
      </c>
      <c r="J138" s="3">
        <f>$A138&amp;"|"&amp;$B138&amp;"|"&amp;$C138</f>
        <v/>
      </c>
      <c r="K138" s="3">
        <f>IFERROR(INDEX('CAT_TURNOS'!$C$4:$C$7,MATCH($F138,'CAT_TURNOS'!$A$4:$A$7,0)),"")</f>
        <v/>
      </c>
      <c r="L138" s="3">
        <f>IFERROR(INDEX('CAT_TURNOS'!$D$4:$D$7,MATCH($F138,'CAT_TURNOS'!$A$4:$A$7,0)),"")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B</t>
        </is>
      </c>
      <c r="G139" s="3">
        <f>IFERROR(INDEX('TECNICOS'!$E$4:$E$15,MATCH($C139,'TECNICOS'!$B$4:$B$15,0)),"")</f>
        <v/>
      </c>
      <c r="H139" s="11">
        <f>IF($A139="","",DATE(VALUE(LEFT($A139,4)),1,4)-WEEKDAY(DATE(VALUE(LEFT($A139,4)),1,4),2)+1+(VALUE(MID($A139,7,2))-1)*7+MATCH($B139,lista_dias,0)-1)</f>
        <v/>
      </c>
      <c r="I139" s="3">
        <f>IF(OR($F139="",ISNUMBER(MATCH($F139,lista_no_disponible,0)),(IFERROR(INDEX('CALENDARIO'!$C$15:$C$214,MATCH(TEXT($H139,"yyyy-mm-dd")&amp;"|"&amp;$D139&amp;"|"&amp;"",'CALENDARIO'!$G$15:$G$214,0)),IFERROR(INDEX('CALENDARIO'!$C$15:$C$214,MATCH(TEXT($H139,"yyyy-mm-dd")&amp;"|"&amp;$D139&amp;"|",'CALENDARIO'!$G$15:$G$214,0)),IFERROR(INDEX('CALENDARIO'!$C$15:$C$214,MATCH(TEXT($H139,"yyyy-mm-dd")&amp;"||",'CALENDARIO'!$G$15:$G$214,0)),INDEX(patronHabil,WEEKDAY($H139,2))))))&lt;&gt;"sí"),0,p_horas_jornada)</f>
        <v/>
      </c>
      <c r="J139" s="3">
        <f>$A139&amp;"|"&amp;$B139&amp;"|"&amp;$C139</f>
        <v/>
      </c>
      <c r="K139" s="3">
        <f>IFERROR(INDEX('CAT_TURNOS'!$C$4:$C$7,MATCH($F139,'CAT_TURNOS'!$A$4:$A$7,0)),"")</f>
        <v/>
      </c>
      <c r="L139" s="3">
        <f>IFERROR(INDEX('CAT_TURNOS'!$D$4:$D$7,MATCH($F139,'CAT_TURNOS'!$A$4:$A$7,0)),"")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B</t>
        </is>
      </c>
      <c r="G140" s="3">
        <f>IFERROR(INDEX('TECNICOS'!$E$4:$E$15,MATCH($C140,'TECNICOS'!$B$4:$B$15,0)),"")</f>
        <v/>
      </c>
      <c r="H140" s="11">
        <f>IF($A140="","",DATE(VALUE(LEFT($A140,4)),1,4)-WEEKDAY(DATE(VALUE(LEFT($A140,4)),1,4),2)+1+(VALUE(MID($A140,7,2))-1)*7+MATCH($B140,lista_dias,0)-1)</f>
        <v/>
      </c>
      <c r="I140" s="3">
        <f>IF(OR($F140="",ISNUMBER(MATCH($F140,lista_no_disponible,0)),(IFERROR(INDEX('CALENDARIO'!$C$15:$C$214,MATCH(TEXT($H140,"yyyy-mm-dd")&amp;"|"&amp;$D140&amp;"|"&amp;"",'CALENDARIO'!$G$15:$G$214,0)),IFERROR(INDEX('CALENDARIO'!$C$15:$C$214,MATCH(TEXT($H140,"yyyy-mm-dd")&amp;"|"&amp;$D140&amp;"|",'CALENDARIO'!$G$15:$G$214,0)),IFERROR(INDEX('CALENDARIO'!$C$15:$C$214,MATCH(TEXT($H140,"yyyy-mm-dd")&amp;"||",'CALENDARIO'!$G$15:$G$214,0)),INDEX(patronHabil,WEEKDAY($H140,2))))))&lt;&gt;"sí"),0,p_horas_jornada)</f>
        <v/>
      </c>
      <c r="J140" s="3">
        <f>$A140&amp;"|"&amp;$B140&amp;"|"&amp;$C140</f>
        <v/>
      </c>
      <c r="K140" s="3">
        <f>IFERROR(INDEX('CAT_TURNOS'!$C$4:$C$7,MATCH($F140,'CAT_TURNOS'!$A$4:$A$7,0)),"")</f>
        <v/>
      </c>
      <c r="L140" s="3">
        <f>IFERROR(INDEX('CAT_TURNOS'!$D$4:$D$7,MATCH($F140,'CAT_TURNOS'!$A$4:$A$7,0)),"")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B</t>
        </is>
      </c>
      <c r="G141" s="3">
        <f>IFERROR(INDEX('TECNICOS'!$E$4:$E$15,MATCH($C141,'TECNICOS'!$B$4:$B$15,0)),"")</f>
        <v/>
      </c>
      <c r="H141" s="11">
        <f>IF($A141="","",DATE(VALUE(LEFT($A141,4)),1,4)-WEEKDAY(DATE(VALUE(LEFT($A141,4)),1,4),2)+1+(VALUE(MID($A141,7,2))-1)*7+MATCH($B141,lista_dias,0)-1)</f>
        <v/>
      </c>
      <c r="I141" s="3">
        <f>IF(OR($F141="",ISNUMBER(MATCH($F141,lista_no_disponible,0)),(IFERROR(INDEX('CALENDARIO'!$C$15:$C$214,MATCH(TEXT($H141,"yyyy-mm-dd")&amp;"|"&amp;$D141&amp;"|"&amp;"",'CALENDARIO'!$G$15:$G$214,0)),IFERROR(INDEX('CALENDARIO'!$C$15:$C$214,MATCH(TEXT($H141,"yyyy-mm-dd")&amp;"|"&amp;$D141&amp;"|",'CALENDARIO'!$G$15:$G$214,0)),IFERROR(INDEX('CALENDARIO'!$C$15:$C$214,MATCH(TEXT($H141,"yyyy-mm-dd")&amp;"||",'CALENDARIO'!$G$15:$G$214,0)),INDEX(patronHabil,WEEKDAY($H141,2))))))&lt;&gt;"sí"),0,p_horas_jornada)</f>
        <v/>
      </c>
      <c r="J141" s="3">
        <f>$A141&amp;"|"&amp;$B141&amp;"|"&amp;$C141</f>
        <v/>
      </c>
      <c r="K141" s="3">
        <f>IFERROR(INDEX('CAT_TURNOS'!$C$4:$C$7,MATCH($F141,'CAT_TURNOS'!$A$4:$A$7,0)),"")</f>
        <v/>
      </c>
      <c r="L141" s="3">
        <f>IFERROR(INDEX('CAT_TURNOS'!$D$4:$D$7,MATCH($F141,'CAT_TURNOS'!$A$4:$A$7,0)),"")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>
        <is>
          <t>B</t>
        </is>
      </c>
      <c r="G142" s="3">
        <f>IFERROR(INDEX('TECNICOS'!$E$4:$E$15,MATCH($C142,'TECNICOS'!$B$4:$B$15,0)),"")</f>
        <v/>
      </c>
      <c r="H142" s="11">
        <f>IF($A142="","",DATE(VALUE(LEFT($A142,4)),1,4)-WEEKDAY(DATE(VALUE(LEFT($A142,4)),1,4),2)+1+(VALUE(MID($A142,7,2))-1)*7+MATCH($B142,lista_dias,0)-1)</f>
        <v/>
      </c>
      <c r="I142" s="3">
        <f>IF(OR($F142="",ISNUMBER(MATCH($F142,lista_no_disponible,0)),(IFERROR(INDEX('CALENDARIO'!$C$15:$C$214,MATCH(TEXT($H142,"yyyy-mm-dd")&amp;"|"&amp;$D142&amp;"|"&amp;"",'CALENDARIO'!$G$15:$G$214,0)),IFERROR(INDEX('CALENDARIO'!$C$15:$C$214,MATCH(TEXT($H142,"yyyy-mm-dd")&amp;"|"&amp;$D142&amp;"|",'CALENDARIO'!$G$15:$G$214,0)),IFERROR(INDEX('CALENDARIO'!$C$15:$C$214,MATCH(TEXT($H142,"yyyy-mm-dd")&amp;"||",'CALENDARIO'!$G$15:$G$214,0)),INDEX(patronHabil,WEEKDAY($H142,2))))))&lt;&gt;"sí"),0,p_horas_jornada)</f>
        <v/>
      </c>
      <c r="J142" s="3">
        <f>$A142&amp;"|"&amp;$B142&amp;"|"&amp;$C142</f>
        <v/>
      </c>
      <c r="K142" s="3">
        <f>IFERROR(INDEX('CAT_TURNOS'!$C$4:$C$7,MATCH($F142,'CAT_TURNOS'!$A$4:$A$7,0)),"")</f>
        <v/>
      </c>
      <c r="L142" s="3">
        <f>IFERROR(INDEX('CAT_TURNOS'!$D$4:$D$7,MATCH($F142,'CAT_TURNOS'!$A$4:$A$7,0)),"")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11">
        <f>IF($A143="","",DATE(VALUE(LEFT($A143,4)),1,4)-WEEKDAY(DATE(VALUE(LEFT($A143,4)),1,4),2)+1+(VALUE(MID($A143,7,2))-1)*7+MATCH($B143,lista_dias,0)-1)</f>
        <v/>
      </c>
      <c r="I143" s="3">
        <f>IF(OR($F143="",ISNUMBER(MATCH($F143,lista_no_disponible,0)),(IFERROR(INDEX('CALENDARIO'!$C$15:$C$214,MATCH(TEXT($H143,"yyyy-mm-dd")&amp;"|"&amp;$D143&amp;"|"&amp;"",'CALENDARIO'!$G$15:$G$214,0)),IFERROR(INDEX('CALENDARIO'!$C$15:$C$214,MATCH(TEXT($H143,"yyyy-mm-dd")&amp;"|"&amp;$D143&amp;"|",'CALENDARIO'!$G$15:$G$214,0)),IFERROR(INDEX('CALENDARIO'!$C$15:$C$214,MATCH(TEXT($H143,"yyyy-mm-dd")&amp;"||",'CALENDARIO'!$G$15:$G$214,0)),INDEX(patronHabil,WEEKDAY($H143,2))))))&lt;&gt;"sí"),0,p_horas_jornada)</f>
        <v/>
      </c>
      <c r="J143" s="3">
        <f>$A143&amp;"|"&amp;$B143&amp;"|"&amp;$C143</f>
        <v/>
      </c>
      <c r="K143" s="3">
        <f>IFERROR(INDEX('CAT_TURNOS'!$C$4:$C$7,MATCH($F143,'CAT_TURNOS'!$A$4:$A$7,0)),"")</f>
        <v/>
      </c>
      <c r="L143" s="3">
        <f>IFERROR(INDEX('CAT_TURNOS'!$D$4:$D$7,MATCH($F143,'CAT_TURNOS'!$A$4:$A$7,0)),"")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B</t>
        </is>
      </c>
      <c r="G144" s="3">
        <f>IFERROR(INDEX('TECNICOS'!$E$4:$E$15,MATCH($C144,'TECNICOS'!$B$4:$B$15,0)),"")</f>
        <v/>
      </c>
      <c r="H144" s="11">
        <f>IF($A144="","",DATE(VALUE(LEFT($A144,4)),1,4)-WEEKDAY(DATE(VALUE(LEFT($A144,4)),1,4),2)+1+(VALUE(MID($A144,7,2))-1)*7+MATCH($B144,lista_dias,0)-1)</f>
        <v/>
      </c>
      <c r="I144" s="3">
        <f>IF(OR($F144="",ISNUMBER(MATCH($F144,lista_no_disponible,0)),(IFERROR(INDEX('CALENDARIO'!$C$15:$C$214,MATCH(TEXT($H144,"yyyy-mm-dd")&amp;"|"&amp;$D144&amp;"|"&amp;"",'CALENDARIO'!$G$15:$G$214,0)),IFERROR(INDEX('CALENDARIO'!$C$15:$C$214,MATCH(TEXT($H144,"yyyy-mm-dd")&amp;"|"&amp;$D144&amp;"|",'CALENDARIO'!$G$15:$G$214,0)),IFERROR(INDEX('CALENDARIO'!$C$15:$C$214,MATCH(TEXT($H144,"yyyy-mm-dd")&amp;"||",'CALENDARIO'!$G$15:$G$214,0)),INDEX(patronHabil,WEEKDAY($H144,2))))))&lt;&gt;"sí"),0,p_horas_jornada)</f>
        <v/>
      </c>
      <c r="J144" s="3">
        <f>$A144&amp;"|"&amp;$B144&amp;"|"&amp;$C144</f>
        <v/>
      </c>
      <c r="K144" s="3">
        <f>IFERROR(INDEX('CAT_TURNOS'!$C$4:$C$7,MATCH($F144,'CAT_TURNOS'!$A$4:$A$7,0)),"")</f>
        <v/>
      </c>
      <c r="L144" s="3">
        <f>IFERROR(INDEX('CAT_TURNOS'!$D$4:$D$7,MATCH($F144,'CAT_TURNOS'!$A$4:$A$7,0)),"")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B</t>
        </is>
      </c>
      <c r="G145" s="3">
        <f>IFERROR(INDEX('TECNICOS'!$E$4:$E$15,MATCH($C145,'TECNICOS'!$B$4:$B$15,0)),"")</f>
        <v/>
      </c>
      <c r="H145" s="11">
        <f>IF($A145="","",DATE(VALUE(LEFT($A145,4)),1,4)-WEEKDAY(DATE(VALUE(LEFT($A145,4)),1,4),2)+1+(VALUE(MID($A145,7,2))-1)*7+MATCH($B145,lista_dias,0)-1)</f>
        <v/>
      </c>
      <c r="I145" s="3">
        <f>IF(OR($F145="",ISNUMBER(MATCH($F145,lista_no_disponible,0)),(IFERROR(INDEX('CALENDARIO'!$C$15:$C$214,MATCH(TEXT($H145,"yyyy-mm-dd")&amp;"|"&amp;$D145&amp;"|"&amp;"",'CALENDARIO'!$G$15:$G$214,0)),IFERROR(INDEX('CALENDARIO'!$C$15:$C$214,MATCH(TEXT($H145,"yyyy-mm-dd")&amp;"|"&amp;$D145&amp;"|",'CALENDARIO'!$G$15:$G$214,0)),IFERROR(INDEX('CALENDARIO'!$C$15:$C$214,MATCH(TEXT($H145,"yyyy-mm-dd")&amp;"||",'CALENDARIO'!$G$15:$G$214,0)),INDEX(patronHabil,WEEKDAY($H145,2))))))&lt;&gt;"sí"),0,p_horas_jornada)</f>
        <v/>
      </c>
      <c r="J145" s="3">
        <f>$A145&amp;"|"&amp;$B145&amp;"|"&amp;$C145</f>
        <v/>
      </c>
      <c r="K145" s="3">
        <f>IFERROR(INDEX('CAT_TURNOS'!$C$4:$C$7,MATCH($F145,'CAT_TURNOS'!$A$4:$A$7,0)),"")</f>
        <v/>
      </c>
      <c r="L145" s="3">
        <f>IFERROR(INDEX('CAT_TURNOS'!$D$4:$D$7,MATCH($F145,'CAT_TURNOS'!$A$4:$A$7,0)),"")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B</t>
        </is>
      </c>
      <c r="G146" s="3">
        <f>IFERROR(INDEX('TECNICOS'!$E$4:$E$15,MATCH($C146,'TECNICOS'!$B$4:$B$15,0)),"")</f>
        <v/>
      </c>
      <c r="H146" s="11">
        <f>IF($A146="","",DATE(VALUE(LEFT($A146,4)),1,4)-WEEKDAY(DATE(VALUE(LEFT($A146,4)),1,4),2)+1+(VALUE(MID($A146,7,2))-1)*7+MATCH($B146,lista_dias,0)-1)</f>
        <v/>
      </c>
      <c r="I146" s="3">
        <f>IF(OR($F146="",ISNUMBER(MATCH($F146,lista_no_disponible,0)),(IFERROR(INDEX('CALENDARIO'!$C$15:$C$214,MATCH(TEXT($H146,"yyyy-mm-dd")&amp;"|"&amp;$D146&amp;"|"&amp;"",'CALENDARIO'!$G$15:$G$214,0)),IFERROR(INDEX('CALENDARIO'!$C$15:$C$214,MATCH(TEXT($H146,"yyyy-mm-dd")&amp;"|"&amp;$D146&amp;"|",'CALENDARIO'!$G$15:$G$214,0)),IFERROR(INDEX('CALENDARIO'!$C$15:$C$214,MATCH(TEXT($H146,"yyyy-mm-dd")&amp;"||",'CALENDARIO'!$G$15:$G$214,0)),INDEX(patronHabil,WEEKDAY($H146,2))))))&lt;&gt;"sí"),0,p_horas_jornada)</f>
        <v/>
      </c>
      <c r="J146" s="3">
        <f>$A146&amp;"|"&amp;$B146&amp;"|"&amp;$C146</f>
        <v/>
      </c>
      <c r="K146" s="3">
        <f>IFERROR(INDEX('CAT_TURNOS'!$C$4:$C$7,MATCH($F146,'CAT_TURNOS'!$A$4:$A$7,0)),"")</f>
        <v/>
      </c>
      <c r="L146" s="3">
        <f>IFERROR(INDEX('CAT_TURNOS'!$D$4:$D$7,MATCH($F146,'CAT_TURNOS'!$A$4:$A$7,0)),"")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B</t>
        </is>
      </c>
      <c r="G147" s="3">
        <f>IFERROR(INDEX('TECNICOS'!$E$4:$E$15,MATCH($C147,'TECNICOS'!$B$4:$B$15,0)),"")</f>
        <v/>
      </c>
      <c r="H147" s="11">
        <f>IF($A147="","",DATE(VALUE(LEFT($A147,4)),1,4)-WEEKDAY(DATE(VALUE(LEFT($A147,4)),1,4),2)+1+(VALUE(MID($A147,7,2))-1)*7+MATCH($B147,lista_dias,0)-1)</f>
        <v/>
      </c>
      <c r="I147" s="3">
        <f>IF(OR($F147="",ISNUMBER(MATCH($F147,lista_no_disponible,0)),(IFERROR(INDEX('CALENDARIO'!$C$15:$C$214,MATCH(TEXT($H147,"yyyy-mm-dd")&amp;"|"&amp;$D147&amp;"|"&amp;"",'CALENDARIO'!$G$15:$G$214,0)),IFERROR(INDEX('CALENDARIO'!$C$15:$C$214,MATCH(TEXT($H147,"yyyy-mm-dd")&amp;"|"&amp;$D147&amp;"|",'CALENDARIO'!$G$15:$G$214,0)),IFERROR(INDEX('CALENDARIO'!$C$15:$C$214,MATCH(TEXT($H147,"yyyy-mm-dd")&amp;"||",'CALENDARIO'!$G$15:$G$214,0)),INDEX(patronHabil,WEEKDAY($H147,2))))))&lt;&gt;"sí"),0,p_horas_jornada)</f>
        <v/>
      </c>
      <c r="J147" s="3">
        <f>$A147&amp;"|"&amp;$B147&amp;"|"&amp;$C147</f>
        <v/>
      </c>
      <c r="K147" s="3">
        <f>IFERROR(INDEX('CAT_TURNOS'!$C$4:$C$7,MATCH($F147,'CAT_TURNOS'!$A$4:$A$7,0)),"")</f>
        <v/>
      </c>
      <c r="L147" s="3">
        <f>IFERROR(INDEX('CAT_TURNOS'!$D$4:$D$7,MATCH($F147,'CAT_TURNOS'!$A$4:$A$7,0)),"")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B</t>
        </is>
      </c>
      <c r="G148" s="3">
        <f>IFERROR(INDEX('TECNICOS'!$E$4:$E$15,MATCH($C148,'TECNICOS'!$B$4:$B$15,0)),"")</f>
        <v/>
      </c>
      <c r="H148" s="11">
        <f>IF($A148="","",DATE(VALUE(LEFT($A148,4)),1,4)-WEEKDAY(DATE(VALUE(LEFT($A148,4)),1,4),2)+1+(VALUE(MID($A148,7,2))-1)*7+MATCH($B148,lista_dias,0)-1)</f>
        <v/>
      </c>
      <c r="I148" s="3">
        <f>IF(OR($F148="",ISNUMBER(MATCH($F148,lista_no_disponible,0)),(IFERROR(INDEX('CALENDARIO'!$C$15:$C$214,MATCH(TEXT($H148,"yyyy-mm-dd")&amp;"|"&amp;$D148&amp;"|"&amp;"",'CALENDARIO'!$G$15:$G$214,0)),IFERROR(INDEX('CALENDARIO'!$C$15:$C$214,MATCH(TEXT($H148,"yyyy-mm-dd")&amp;"|"&amp;$D148&amp;"|",'CALENDARIO'!$G$15:$G$214,0)),IFERROR(INDEX('CALENDARIO'!$C$15:$C$214,MATCH(TEXT($H148,"yyyy-mm-dd")&amp;"||",'CALENDARIO'!$G$15:$G$214,0)),INDEX(patronHabil,WEEKDAY($H148,2))))))&lt;&gt;"sí"),0,p_horas_jornada)</f>
        <v/>
      </c>
      <c r="J148" s="3">
        <f>$A148&amp;"|"&amp;$B148&amp;"|"&amp;$C148</f>
        <v/>
      </c>
      <c r="K148" s="3">
        <f>IFERROR(INDEX('CAT_TURNOS'!$C$4:$C$7,MATCH($F148,'CAT_TURNOS'!$A$4:$A$7,0)),"")</f>
        <v/>
      </c>
      <c r="L148" s="3">
        <f>IFERROR(INDEX('CAT_TURNOS'!$D$4:$D$7,MATCH($F148,'CAT_TURNOS'!$A$4:$A$7,0)),"")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>
        <is>
          <t>B</t>
        </is>
      </c>
      <c r="G149" s="3">
        <f>IFERROR(INDEX('TECNICOS'!$E$4:$E$15,MATCH($C149,'TECNICOS'!$B$4:$B$15,0)),"")</f>
        <v/>
      </c>
      <c r="H149" s="11">
        <f>IF($A149="","",DATE(VALUE(LEFT($A149,4)),1,4)-WEEKDAY(DATE(VALUE(LEFT($A149,4)),1,4),2)+1+(VALUE(MID($A149,7,2))-1)*7+MATCH($B149,lista_dias,0)-1)</f>
        <v/>
      </c>
      <c r="I149" s="3">
        <f>IF(OR($F149="",ISNUMBER(MATCH($F149,lista_no_disponible,0)),(IFERROR(INDEX('CALENDARIO'!$C$15:$C$214,MATCH(TEXT($H149,"yyyy-mm-dd")&amp;"|"&amp;$D149&amp;"|"&amp;"",'CALENDARIO'!$G$15:$G$214,0)),IFERROR(INDEX('CALENDARIO'!$C$15:$C$214,MATCH(TEXT($H149,"yyyy-mm-dd")&amp;"|"&amp;$D149&amp;"|",'CALENDARIO'!$G$15:$G$214,0)),IFERROR(INDEX('CALENDARIO'!$C$15:$C$214,MATCH(TEXT($H149,"yyyy-mm-dd")&amp;"||",'CALENDARIO'!$G$15:$G$214,0)),INDEX(patronHabil,WEEKDAY($H149,2))))))&lt;&gt;"sí"),0,p_horas_jornada)</f>
        <v/>
      </c>
      <c r="J149" s="3">
        <f>$A149&amp;"|"&amp;$B149&amp;"|"&amp;$C149</f>
        <v/>
      </c>
      <c r="K149" s="3">
        <f>IFERROR(INDEX('CAT_TURNOS'!$C$4:$C$7,MATCH($F149,'CAT_TURNOS'!$A$4:$A$7,0)),"")</f>
        <v/>
      </c>
      <c r="L149" s="3">
        <f>IFERROR(INDEX('CAT_TURNOS'!$D$4:$D$7,MATCH($F149,'CAT_TURNOS'!$A$4:$A$7,0)),"")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11">
        <f>IF($A150="","",DATE(VALUE(LEFT($A150,4)),1,4)-WEEKDAY(DATE(VALUE(LEFT($A150,4)),1,4),2)+1+(VALUE(MID($A150,7,2))-1)*7+MATCH($B150,lista_dias,0)-1)</f>
        <v/>
      </c>
      <c r="I150" s="3">
        <f>IF(OR($F150="",ISNUMBER(MATCH($F150,lista_no_disponible,0)),(IFERROR(INDEX('CALENDARIO'!$C$15:$C$214,MATCH(TEXT($H150,"yyyy-mm-dd")&amp;"|"&amp;$D150&amp;"|"&amp;"",'CALENDARIO'!$G$15:$G$214,0)),IFERROR(INDEX('CALENDARIO'!$C$15:$C$214,MATCH(TEXT($H150,"yyyy-mm-dd")&amp;"|"&amp;$D150&amp;"|",'CALENDARIO'!$G$15:$G$214,0)),IFERROR(INDEX('CALENDARIO'!$C$15:$C$214,MATCH(TEXT($H150,"yyyy-mm-dd")&amp;"||",'CALENDARIO'!$G$15:$G$214,0)),INDEX(patronHabil,WEEKDAY($H150,2))))))&lt;&gt;"sí"),0,p_horas_jornada)</f>
        <v/>
      </c>
      <c r="J150" s="3">
        <f>$A150&amp;"|"&amp;$B150&amp;"|"&amp;$C150</f>
        <v/>
      </c>
      <c r="K150" s="3">
        <f>IFERROR(INDEX('CAT_TURNOS'!$C$4:$C$7,MATCH($F150,'CAT_TURNOS'!$A$4:$A$7,0)),"")</f>
        <v/>
      </c>
      <c r="L150" s="3">
        <f>IFERROR(INDEX('CAT_TURNOS'!$D$4:$D$7,MATCH($F150,'CAT_TURNOS'!$A$4:$A$7,0)),"")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</t>
        </is>
      </c>
      <c r="G151" s="3">
        <f>IFERROR(INDEX('TECNICOS'!$E$4:$E$15,MATCH($C151,'TECNICOS'!$B$4:$B$15,0)),"")</f>
        <v/>
      </c>
      <c r="H151" s="11">
        <f>IF($A151="","",DATE(VALUE(LEFT($A151,4)),1,4)-WEEKDAY(DATE(VALUE(LEFT($A151,4)),1,4),2)+1+(VALUE(MID($A151,7,2))-1)*7+MATCH($B151,lista_dias,0)-1)</f>
        <v/>
      </c>
      <c r="I151" s="3">
        <f>IF(OR($F151="",ISNUMBER(MATCH($F151,lista_no_disponible,0)),(IFERROR(INDEX('CALENDARIO'!$C$15:$C$214,MATCH(TEXT($H151,"yyyy-mm-dd")&amp;"|"&amp;$D151&amp;"|"&amp;"",'CALENDARIO'!$G$15:$G$214,0)),IFERROR(INDEX('CALENDARIO'!$C$15:$C$214,MATCH(TEXT($H151,"yyyy-mm-dd")&amp;"|"&amp;$D151&amp;"|",'CALENDARIO'!$G$15:$G$214,0)),IFERROR(INDEX('CALENDARIO'!$C$15:$C$214,MATCH(TEXT($H151,"yyyy-mm-dd")&amp;"||",'CALENDARIO'!$G$15:$G$214,0)),INDEX(patronHabil,WEEKDAY($H151,2))))))&lt;&gt;"sí"),0,p_horas_jornada)</f>
        <v/>
      </c>
      <c r="J151" s="3">
        <f>$A151&amp;"|"&amp;$B151&amp;"|"&amp;$C151</f>
        <v/>
      </c>
      <c r="K151" s="3">
        <f>IFERROR(INDEX('CAT_TURNOS'!$C$4:$C$7,MATCH($F151,'CAT_TURNOS'!$A$4:$A$7,0)),"")</f>
        <v/>
      </c>
      <c r="L151" s="3">
        <f>IFERROR(INDEX('CAT_TURNOS'!$D$4:$D$7,MATCH($F151,'CAT_TURNOS'!$A$4:$A$7,0)),"")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</t>
        </is>
      </c>
      <c r="G152" s="3">
        <f>IFERROR(INDEX('TECNICOS'!$E$4:$E$15,MATCH($C152,'TECNICOS'!$B$4:$B$15,0)),"")</f>
        <v/>
      </c>
      <c r="H152" s="11">
        <f>IF($A152="","",DATE(VALUE(LEFT($A152,4)),1,4)-WEEKDAY(DATE(VALUE(LEFT($A152,4)),1,4),2)+1+(VALUE(MID($A152,7,2))-1)*7+MATCH($B152,lista_dias,0)-1)</f>
        <v/>
      </c>
      <c r="I152" s="3">
        <f>IF(OR($F152="",ISNUMBER(MATCH($F152,lista_no_disponible,0)),(IFERROR(INDEX('CALENDARIO'!$C$15:$C$214,MATCH(TEXT($H152,"yyyy-mm-dd")&amp;"|"&amp;$D152&amp;"|"&amp;"",'CALENDARIO'!$G$15:$G$214,0)),IFERROR(INDEX('CALENDARIO'!$C$15:$C$214,MATCH(TEXT($H152,"yyyy-mm-dd")&amp;"|"&amp;$D152&amp;"|",'CALENDARIO'!$G$15:$G$214,0)),IFERROR(INDEX('CALENDARIO'!$C$15:$C$214,MATCH(TEXT($H152,"yyyy-mm-dd")&amp;"||",'CALENDARIO'!$G$15:$G$214,0)),INDEX(patronHabil,WEEKDAY($H152,2))))))&lt;&gt;"sí"),0,p_horas_jornada)</f>
        <v/>
      </c>
      <c r="J152" s="3">
        <f>$A152&amp;"|"&amp;$B152&amp;"|"&amp;$C152</f>
        <v/>
      </c>
      <c r="K152" s="3">
        <f>IFERROR(INDEX('CAT_TURNOS'!$C$4:$C$7,MATCH($F152,'CAT_TURNOS'!$A$4:$A$7,0)),"")</f>
        <v/>
      </c>
      <c r="L152" s="3">
        <f>IFERROR(INDEX('CAT_TURNOS'!$D$4:$D$7,MATCH($F152,'CAT_TURNOS'!$A$4:$A$7,0)),"")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</t>
        </is>
      </c>
      <c r="G153" s="3">
        <f>IFERROR(INDEX('TECNICOS'!$E$4:$E$15,MATCH($C153,'TECNICOS'!$B$4:$B$15,0)),"")</f>
        <v/>
      </c>
      <c r="H153" s="11">
        <f>IF($A153="","",DATE(VALUE(LEFT($A153,4)),1,4)-WEEKDAY(DATE(VALUE(LEFT($A153,4)),1,4),2)+1+(VALUE(MID($A153,7,2))-1)*7+MATCH($B153,lista_dias,0)-1)</f>
        <v/>
      </c>
      <c r="I153" s="3">
        <f>IF(OR($F153="",ISNUMBER(MATCH($F153,lista_no_disponible,0)),(IFERROR(INDEX('CALENDARIO'!$C$15:$C$214,MATCH(TEXT($H153,"yyyy-mm-dd")&amp;"|"&amp;$D153&amp;"|"&amp;"",'CALENDARIO'!$G$15:$G$214,0)),IFERROR(INDEX('CALENDARIO'!$C$15:$C$214,MATCH(TEXT($H153,"yyyy-mm-dd")&amp;"|"&amp;$D153&amp;"|",'CALENDARIO'!$G$15:$G$214,0)),IFERROR(INDEX('CALENDARIO'!$C$15:$C$214,MATCH(TEXT($H153,"yyyy-mm-dd")&amp;"||",'CALENDARIO'!$G$15:$G$214,0)),INDEX(patronHabil,WEEKDAY($H153,2))))))&lt;&gt;"sí"),0,p_horas_jornada)</f>
        <v/>
      </c>
      <c r="J153" s="3">
        <f>$A153&amp;"|"&amp;$B153&amp;"|"&amp;$C153</f>
        <v/>
      </c>
      <c r="K153" s="3">
        <f>IFERROR(INDEX('CAT_TURNOS'!$C$4:$C$7,MATCH($F153,'CAT_TURNOS'!$A$4:$A$7,0)),"")</f>
        <v/>
      </c>
      <c r="L153" s="3">
        <f>IFERROR(INDEX('CAT_TURNOS'!$D$4:$D$7,MATCH($F153,'CAT_TURNOS'!$A$4:$A$7,0)),"")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</t>
        </is>
      </c>
      <c r="G154" s="3">
        <f>IFERROR(INDEX('TECNICOS'!$E$4:$E$15,MATCH($C154,'TECNICOS'!$B$4:$B$15,0)),"")</f>
        <v/>
      </c>
      <c r="H154" s="11">
        <f>IF($A154="","",DATE(VALUE(LEFT($A154,4)),1,4)-WEEKDAY(DATE(VALUE(LEFT($A154,4)),1,4),2)+1+(VALUE(MID($A154,7,2))-1)*7+MATCH($B154,lista_dias,0)-1)</f>
        <v/>
      </c>
      <c r="I154" s="3">
        <f>IF(OR($F154="",ISNUMBER(MATCH($F154,lista_no_disponible,0)),(IFERROR(INDEX('CALENDARIO'!$C$15:$C$214,MATCH(TEXT($H154,"yyyy-mm-dd")&amp;"|"&amp;$D154&amp;"|"&amp;"",'CALENDARIO'!$G$15:$G$214,0)),IFERROR(INDEX('CALENDARIO'!$C$15:$C$214,MATCH(TEXT($H154,"yyyy-mm-dd")&amp;"|"&amp;$D154&amp;"|",'CALENDARIO'!$G$15:$G$214,0)),IFERROR(INDEX('CALENDARIO'!$C$15:$C$214,MATCH(TEXT($H154,"yyyy-mm-dd")&amp;"||",'CALENDARIO'!$G$15:$G$214,0)),INDEX(patronHabil,WEEKDAY($H154,2))))))&lt;&gt;"sí"),0,p_horas_jornada)</f>
        <v/>
      </c>
      <c r="J154" s="3">
        <f>$A154&amp;"|"&amp;$B154&amp;"|"&amp;$C154</f>
        <v/>
      </c>
      <c r="K154" s="3">
        <f>IFERROR(INDEX('CAT_TURNOS'!$C$4:$C$7,MATCH($F154,'CAT_TURNOS'!$A$4:$A$7,0)),"")</f>
        <v/>
      </c>
      <c r="L154" s="3">
        <f>IFERROR(INDEX('CAT_TURNOS'!$D$4:$D$7,MATCH($F154,'CAT_TURNOS'!$A$4:$A$7,0)),"")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</t>
        </is>
      </c>
      <c r="G155" s="3">
        <f>IFERROR(INDEX('TECNICOS'!$E$4:$E$15,MATCH($C155,'TECNICOS'!$B$4:$B$15,0)),"")</f>
        <v/>
      </c>
      <c r="H155" s="11">
        <f>IF($A155="","",DATE(VALUE(LEFT($A155,4)),1,4)-WEEKDAY(DATE(VALUE(LEFT($A155,4)),1,4),2)+1+(VALUE(MID($A155,7,2))-1)*7+MATCH($B155,lista_dias,0)-1)</f>
        <v/>
      </c>
      <c r="I155" s="3">
        <f>IF(OR($F155="",ISNUMBER(MATCH($F155,lista_no_disponible,0)),(IFERROR(INDEX('CALENDARIO'!$C$15:$C$214,MATCH(TEXT($H155,"yyyy-mm-dd")&amp;"|"&amp;$D155&amp;"|"&amp;"",'CALENDARIO'!$G$15:$G$214,0)),IFERROR(INDEX('CALENDARIO'!$C$15:$C$214,MATCH(TEXT($H155,"yyyy-mm-dd")&amp;"|"&amp;$D155&amp;"|",'CALENDARIO'!$G$15:$G$214,0)),IFERROR(INDEX('CALENDARIO'!$C$15:$C$214,MATCH(TEXT($H155,"yyyy-mm-dd")&amp;"||",'CALENDARIO'!$G$15:$G$214,0)),INDEX(patronHabil,WEEKDAY($H155,2))))))&lt;&gt;"sí"),0,p_horas_jornada)</f>
        <v/>
      </c>
      <c r="J155" s="3">
        <f>$A155&amp;"|"&amp;$B155&amp;"|"&amp;$C155</f>
        <v/>
      </c>
      <c r="K155" s="3">
        <f>IFERROR(INDEX('CAT_TURNOS'!$C$4:$C$7,MATCH($F155,'CAT_TURNOS'!$A$4:$A$7,0)),"")</f>
        <v/>
      </c>
      <c r="L155" s="3">
        <f>IFERROR(INDEX('CAT_TURNOS'!$D$4:$D$7,MATCH($F155,'CAT_TURNOS'!$A$4:$A$7,0)),"")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>
        <is>
          <t>B</t>
        </is>
      </c>
      <c r="G156" s="3">
        <f>IFERROR(INDEX('TECNICOS'!$E$4:$E$15,MATCH($C156,'TECNICOS'!$B$4:$B$15,0)),"")</f>
        <v/>
      </c>
      <c r="H156" s="11">
        <f>IF($A156="","",DATE(VALUE(LEFT($A156,4)),1,4)-WEEKDAY(DATE(VALUE(LEFT($A156,4)),1,4),2)+1+(VALUE(MID($A156,7,2))-1)*7+MATCH($B156,lista_dias,0)-1)</f>
        <v/>
      </c>
      <c r="I156" s="3">
        <f>IF(OR($F156="",ISNUMBER(MATCH($F156,lista_no_disponible,0)),(IFERROR(INDEX('CALENDARIO'!$C$15:$C$214,MATCH(TEXT($H156,"yyyy-mm-dd")&amp;"|"&amp;$D156&amp;"|"&amp;"",'CALENDARIO'!$G$15:$G$214,0)),IFERROR(INDEX('CALENDARIO'!$C$15:$C$214,MATCH(TEXT($H156,"yyyy-mm-dd")&amp;"|"&amp;$D156&amp;"|",'CALENDARIO'!$G$15:$G$214,0)),IFERROR(INDEX('CALENDARIO'!$C$15:$C$214,MATCH(TEXT($H156,"yyyy-mm-dd")&amp;"||",'CALENDARIO'!$G$15:$G$214,0)),INDEX(patronHabil,WEEKDAY($H156,2))))))&lt;&gt;"sí"),0,p_horas_jornada)</f>
        <v/>
      </c>
      <c r="J156" s="3">
        <f>$A156&amp;"|"&amp;$B156&amp;"|"&amp;$C156</f>
        <v/>
      </c>
      <c r="K156" s="3">
        <f>IFERROR(INDEX('CAT_TURNOS'!$C$4:$C$7,MATCH($F156,'CAT_TURNOS'!$A$4:$A$7,0)),"")</f>
        <v/>
      </c>
      <c r="L156" s="3">
        <f>IFERROR(INDEX('CAT_TURNOS'!$D$4:$D$7,MATCH($F156,'CAT_TURNOS'!$A$4:$A$7,0)),"")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11">
        <f>IF($A157="","",DATE(VALUE(LEFT($A157,4)),1,4)-WEEKDAY(DATE(VALUE(LEFT($A157,4)),1,4),2)+1+(VALUE(MID($A157,7,2))-1)*7+MATCH($B157,lista_dias,0)-1)</f>
        <v/>
      </c>
      <c r="I157" s="3">
        <f>IF(OR($F157="",ISNUMBER(MATCH($F157,lista_no_disponible,0)),(IFERROR(INDEX('CALENDARIO'!$C$15:$C$214,MATCH(TEXT($H157,"yyyy-mm-dd")&amp;"|"&amp;$D157&amp;"|"&amp;"",'CALENDARIO'!$G$15:$G$214,0)),IFERROR(INDEX('CALENDARIO'!$C$15:$C$214,MATCH(TEXT($H157,"yyyy-mm-dd")&amp;"|"&amp;$D157&amp;"|",'CALENDARIO'!$G$15:$G$214,0)),IFERROR(INDEX('CALENDARIO'!$C$15:$C$214,MATCH(TEXT($H157,"yyyy-mm-dd")&amp;"||",'CALENDARIO'!$G$15:$G$214,0)),INDEX(patronHabil,WEEKDAY($H157,2))))))&lt;&gt;"sí"),0,p_horas_jornada)</f>
        <v/>
      </c>
      <c r="J157" s="3">
        <f>$A157&amp;"|"&amp;$B157&amp;"|"&amp;$C157</f>
        <v/>
      </c>
      <c r="K157" s="3">
        <f>IFERROR(INDEX('CAT_TURNOS'!$C$4:$C$7,MATCH($F157,'CAT_TURNOS'!$A$4:$A$7,0)),"")</f>
        <v/>
      </c>
      <c r="L157" s="3">
        <f>IFERROR(INDEX('CAT_TURNOS'!$D$4:$D$7,MATCH($F157,'CAT_TURNOS'!$A$4:$A$7,0)),"")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11">
        <f>IF($A158="","",DATE(VALUE(LEFT($A158,4)),1,4)-WEEKDAY(DATE(VALUE(LEFT($A158,4)),1,4),2)+1+(VALUE(MID($A158,7,2))-1)*7+MATCH($B158,lista_dias,0)-1)</f>
        <v/>
      </c>
      <c r="I158" s="3">
        <f>IF(OR($F158="",ISNUMBER(MATCH($F158,lista_no_disponible,0)),(IFERROR(INDEX('CALENDARIO'!$C$15:$C$214,MATCH(TEXT($H158,"yyyy-mm-dd")&amp;"|"&amp;$D158&amp;"|"&amp;"",'CALENDARIO'!$G$15:$G$214,0)),IFERROR(INDEX('CALENDARIO'!$C$15:$C$214,MATCH(TEXT($H158,"yyyy-mm-dd")&amp;"|"&amp;$D158&amp;"|",'CALENDARIO'!$G$15:$G$214,0)),IFERROR(INDEX('CALENDARIO'!$C$15:$C$214,MATCH(TEXT($H158,"yyyy-mm-dd")&amp;"||",'CALENDARIO'!$G$15:$G$214,0)),INDEX(patronHabil,WEEKDAY($H158,2))))))&lt;&gt;"sí"),0,p_horas_jornada)</f>
        <v/>
      </c>
      <c r="J158" s="3">
        <f>$A158&amp;"|"&amp;$B158&amp;"|"&amp;$C158</f>
        <v/>
      </c>
      <c r="K158" s="3">
        <f>IFERROR(INDEX('CAT_TURNOS'!$C$4:$C$7,MATCH($F158,'CAT_TURNOS'!$A$4:$A$7,0)),"")</f>
        <v/>
      </c>
      <c r="L158" s="3">
        <f>IFERROR(INDEX('CAT_TURNOS'!$D$4:$D$7,MATCH($F158,'CAT_TURNOS'!$A$4:$A$7,0)),"")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11">
        <f>IF($A159="","",DATE(VALUE(LEFT($A159,4)),1,4)-WEEKDAY(DATE(VALUE(LEFT($A159,4)),1,4),2)+1+(VALUE(MID($A159,7,2))-1)*7+MATCH($B159,lista_dias,0)-1)</f>
        <v/>
      </c>
      <c r="I159" s="3">
        <f>IF(OR($F159="",ISNUMBER(MATCH($F159,lista_no_disponible,0)),(IFERROR(INDEX('CALENDARIO'!$C$15:$C$214,MATCH(TEXT($H159,"yyyy-mm-dd")&amp;"|"&amp;$D159&amp;"|"&amp;"",'CALENDARIO'!$G$15:$G$214,0)),IFERROR(INDEX('CALENDARIO'!$C$15:$C$214,MATCH(TEXT($H159,"yyyy-mm-dd")&amp;"|"&amp;$D159&amp;"|",'CALENDARIO'!$G$15:$G$214,0)),IFERROR(INDEX('CALENDARIO'!$C$15:$C$214,MATCH(TEXT($H159,"yyyy-mm-dd")&amp;"||",'CALENDARIO'!$G$15:$G$214,0)),INDEX(patronHabil,WEEKDAY($H159,2))))))&lt;&gt;"sí"),0,p_horas_jornada)</f>
        <v/>
      </c>
      <c r="J159" s="3">
        <f>$A159&amp;"|"&amp;$B159&amp;"|"&amp;$C159</f>
        <v/>
      </c>
      <c r="K159" s="3">
        <f>IFERROR(INDEX('CAT_TURNOS'!$C$4:$C$7,MATCH($F159,'CAT_TURNOS'!$A$4:$A$7,0)),"")</f>
        <v/>
      </c>
      <c r="L159" s="3">
        <f>IFERROR(INDEX('CAT_TURNOS'!$D$4:$D$7,MATCH($F159,'CAT_TURNOS'!$A$4:$A$7,0)),"")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11">
        <f>IF($A160="","",DATE(VALUE(LEFT($A160,4)),1,4)-WEEKDAY(DATE(VALUE(LEFT($A160,4)),1,4),2)+1+(VALUE(MID($A160,7,2))-1)*7+MATCH($B160,lista_dias,0)-1)</f>
        <v/>
      </c>
      <c r="I160" s="3">
        <f>IF(OR($F160="",ISNUMBER(MATCH($F160,lista_no_disponible,0)),(IFERROR(INDEX('CALENDARIO'!$C$15:$C$214,MATCH(TEXT($H160,"yyyy-mm-dd")&amp;"|"&amp;$D160&amp;"|"&amp;"",'CALENDARIO'!$G$15:$G$214,0)),IFERROR(INDEX('CALENDARIO'!$C$15:$C$214,MATCH(TEXT($H160,"yyyy-mm-dd")&amp;"|"&amp;$D160&amp;"|",'CALENDARIO'!$G$15:$G$214,0)),IFERROR(INDEX('CALENDARIO'!$C$15:$C$214,MATCH(TEXT($H160,"yyyy-mm-dd")&amp;"||",'CALENDARIO'!$G$15:$G$214,0)),INDEX(patronHabil,WEEKDAY($H160,2))))))&lt;&gt;"sí"),0,p_horas_jornada)</f>
        <v/>
      </c>
      <c r="J160" s="3">
        <f>$A160&amp;"|"&amp;$B160&amp;"|"&amp;$C160</f>
        <v/>
      </c>
      <c r="K160" s="3">
        <f>IFERROR(INDEX('CAT_TURNOS'!$C$4:$C$7,MATCH($F160,'CAT_TURNOS'!$A$4:$A$7,0)),"")</f>
        <v/>
      </c>
      <c r="L160" s="3">
        <f>IFERROR(INDEX('CAT_TURNOS'!$D$4:$D$7,MATCH($F160,'CAT_TURNOS'!$A$4:$A$7,0)),"")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11">
        <f>IF($A161="","",DATE(VALUE(LEFT($A161,4)),1,4)-WEEKDAY(DATE(VALUE(LEFT($A161,4)),1,4),2)+1+(VALUE(MID($A161,7,2))-1)*7+MATCH($B161,lista_dias,0)-1)</f>
        <v/>
      </c>
      <c r="I161" s="3">
        <f>IF(OR($F161="",ISNUMBER(MATCH($F161,lista_no_disponible,0)),(IFERROR(INDEX('CALENDARIO'!$C$15:$C$214,MATCH(TEXT($H161,"yyyy-mm-dd")&amp;"|"&amp;$D161&amp;"|"&amp;"",'CALENDARIO'!$G$15:$G$214,0)),IFERROR(INDEX('CALENDARIO'!$C$15:$C$214,MATCH(TEXT($H161,"yyyy-mm-dd")&amp;"|"&amp;$D161&amp;"|",'CALENDARIO'!$G$15:$G$214,0)),IFERROR(INDEX('CALENDARIO'!$C$15:$C$214,MATCH(TEXT($H161,"yyyy-mm-dd")&amp;"||",'CALENDARIO'!$G$15:$G$214,0)),INDEX(patronHabil,WEEKDAY($H161,2))))))&lt;&gt;"sí"),0,p_horas_jornada)</f>
        <v/>
      </c>
      <c r="J161" s="3">
        <f>$A161&amp;"|"&amp;$B161&amp;"|"&amp;$C161</f>
        <v/>
      </c>
      <c r="K161" s="3">
        <f>IFERROR(INDEX('CAT_TURNOS'!$C$4:$C$7,MATCH($F161,'CAT_TURNOS'!$A$4:$A$7,0)),"")</f>
        <v/>
      </c>
      <c r="L161" s="3">
        <f>IFERROR(INDEX('CAT_TURNOS'!$D$4:$D$7,MATCH($F161,'CAT_TURNOS'!$A$4:$A$7,0)),"")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11">
        <f>IF($A162="","",DATE(VALUE(LEFT($A162,4)),1,4)-WEEKDAY(DATE(VALUE(LEFT($A162,4)),1,4),2)+1+(VALUE(MID($A162,7,2))-1)*7+MATCH($B162,lista_dias,0)-1)</f>
        <v/>
      </c>
      <c r="I162" s="3">
        <f>IF(OR($F162="",ISNUMBER(MATCH($F162,lista_no_disponible,0)),(IFERROR(INDEX('CALENDARIO'!$C$15:$C$214,MATCH(TEXT($H162,"yyyy-mm-dd")&amp;"|"&amp;$D162&amp;"|"&amp;"",'CALENDARIO'!$G$15:$G$214,0)),IFERROR(INDEX('CALENDARIO'!$C$15:$C$214,MATCH(TEXT($H162,"yyyy-mm-dd")&amp;"|"&amp;$D162&amp;"|",'CALENDARIO'!$G$15:$G$214,0)),IFERROR(INDEX('CALENDARIO'!$C$15:$C$214,MATCH(TEXT($H162,"yyyy-mm-dd")&amp;"||",'CALENDARIO'!$G$15:$G$214,0)),INDEX(patronHabil,WEEKDAY($H162,2))))))&lt;&gt;"sí"),0,p_horas_jornada)</f>
        <v/>
      </c>
      <c r="J162" s="3">
        <f>$A162&amp;"|"&amp;$B162&amp;"|"&amp;$C162</f>
        <v/>
      </c>
      <c r="K162" s="3">
        <f>IFERROR(INDEX('CAT_TURNOS'!$C$4:$C$7,MATCH($F162,'CAT_TURNOS'!$A$4:$A$7,0)),"")</f>
        <v/>
      </c>
      <c r="L162" s="3">
        <f>IFERROR(INDEX('CAT_TURNOS'!$D$4:$D$7,MATCH($F162,'CAT_TURNOS'!$A$4:$A$7,0)),"")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>
        <is>
          <t>T1</t>
        </is>
      </c>
      <c r="G163" s="3">
        <f>IFERROR(INDEX('TECNICOS'!$E$4:$E$15,MATCH($C163,'TECNICOS'!$B$4:$B$15,0)),"")</f>
        <v/>
      </c>
      <c r="H163" s="11">
        <f>IF($A163="","",DATE(VALUE(LEFT($A163,4)),1,4)-WEEKDAY(DATE(VALUE(LEFT($A163,4)),1,4),2)+1+(VALUE(MID($A163,7,2))-1)*7+MATCH($B163,lista_dias,0)-1)</f>
        <v/>
      </c>
      <c r="I163" s="3">
        <f>IF(OR($F163="",ISNUMBER(MATCH($F163,lista_no_disponible,0)),(IFERROR(INDEX('CALENDARIO'!$C$15:$C$214,MATCH(TEXT($H163,"yyyy-mm-dd")&amp;"|"&amp;$D163&amp;"|"&amp;"",'CALENDARIO'!$G$15:$G$214,0)),IFERROR(INDEX('CALENDARIO'!$C$15:$C$214,MATCH(TEXT($H163,"yyyy-mm-dd")&amp;"|"&amp;$D163&amp;"|",'CALENDARIO'!$G$15:$G$214,0)),IFERROR(INDEX('CALENDARIO'!$C$15:$C$214,MATCH(TEXT($H163,"yyyy-mm-dd")&amp;"||",'CALENDARIO'!$G$15:$G$214,0)),INDEX(patronHabil,WEEKDAY($H163,2))))))&lt;&gt;"sí"),0,p_horas_jornada)</f>
        <v/>
      </c>
      <c r="J163" s="3">
        <f>$A163&amp;"|"&amp;$B163&amp;"|"&amp;$C163</f>
        <v/>
      </c>
      <c r="K163" s="3">
        <f>IFERROR(INDEX('CAT_TURNOS'!$C$4:$C$7,MATCH($F163,'CAT_TURNOS'!$A$4:$A$7,0)),"")</f>
        <v/>
      </c>
      <c r="L163" s="3">
        <f>IFERROR(INDEX('CAT_TURNOS'!$D$4:$D$7,MATCH($F163,'CAT_TURNOS'!$A$4:$A$7,0)),"")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11">
        <f>IF($A164="","",DATE(VALUE(LEFT($A164,4)),1,4)-WEEKDAY(DATE(VALUE(LEFT($A164,4)),1,4),2)+1+(VALUE(MID($A164,7,2))-1)*7+MATCH($B164,lista_dias,0)-1)</f>
        <v/>
      </c>
      <c r="I164" s="3">
        <f>IF(OR($F164="",ISNUMBER(MATCH($F164,lista_no_disponible,0)),(IFERROR(INDEX('CALENDARIO'!$C$15:$C$214,MATCH(TEXT($H164,"yyyy-mm-dd")&amp;"|"&amp;$D164&amp;"|"&amp;"",'CALENDARIO'!$G$15:$G$214,0)),IFERROR(INDEX('CALENDARIO'!$C$15:$C$214,MATCH(TEXT($H164,"yyyy-mm-dd")&amp;"|"&amp;$D164&amp;"|",'CALENDARIO'!$G$15:$G$214,0)),IFERROR(INDEX('CALENDARIO'!$C$15:$C$214,MATCH(TEXT($H164,"yyyy-mm-dd")&amp;"||",'CALENDARIO'!$G$15:$G$214,0)),INDEX(patronHabil,WEEKDAY($H164,2))))))&lt;&gt;"sí"),0,p_horas_jornada)</f>
        <v/>
      </c>
      <c r="J164" s="3">
        <f>$A164&amp;"|"&amp;$B164&amp;"|"&amp;$C164</f>
        <v/>
      </c>
      <c r="K164" s="3">
        <f>IFERROR(INDEX('CAT_TURNOS'!$C$4:$C$7,MATCH($F164,'CAT_TURNOS'!$A$4:$A$7,0)),"")</f>
        <v/>
      </c>
      <c r="L164" s="3">
        <f>IFERROR(INDEX('CAT_TURNOS'!$D$4:$D$7,MATCH($F164,'CAT_TURNOS'!$A$4:$A$7,0)),"")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11">
        <f>IF($A165="","",DATE(VALUE(LEFT($A165,4)),1,4)-WEEKDAY(DATE(VALUE(LEFT($A165,4)),1,4),2)+1+(VALUE(MID($A165,7,2))-1)*7+MATCH($B165,lista_dias,0)-1)</f>
        <v/>
      </c>
      <c r="I165" s="3">
        <f>IF(OR($F165="",ISNUMBER(MATCH($F165,lista_no_disponible,0)),(IFERROR(INDEX('CALENDARIO'!$C$15:$C$214,MATCH(TEXT($H165,"yyyy-mm-dd")&amp;"|"&amp;$D165&amp;"|"&amp;"",'CALENDARIO'!$G$15:$G$214,0)),IFERROR(INDEX('CALENDARIO'!$C$15:$C$214,MATCH(TEXT($H165,"yyyy-mm-dd")&amp;"|"&amp;$D165&amp;"|",'CALENDARIO'!$G$15:$G$214,0)),IFERROR(INDEX('CALENDARIO'!$C$15:$C$214,MATCH(TEXT($H165,"yyyy-mm-dd")&amp;"||",'CALENDARIO'!$G$15:$G$214,0)),INDEX(patronHabil,WEEKDAY($H165,2))))))&lt;&gt;"sí"),0,p_horas_jornada)</f>
        <v/>
      </c>
      <c r="J165" s="3">
        <f>$A165&amp;"|"&amp;$B165&amp;"|"&amp;$C165</f>
        <v/>
      </c>
      <c r="K165" s="3">
        <f>IFERROR(INDEX('CAT_TURNOS'!$C$4:$C$7,MATCH($F165,'CAT_TURNOS'!$A$4:$A$7,0)),"")</f>
        <v/>
      </c>
      <c r="L165" s="3">
        <f>IFERROR(INDEX('CAT_TURNOS'!$D$4:$D$7,MATCH($F165,'CAT_TURNOS'!$A$4:$A$7,0)),"")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11">
        <f>IF($A166="","",DATE(VALUE(LEFT($A166,4)),1,4)-WEEKDAY(DATE(VALUE(LEFT($A166,4)),1,4),2)+1+(VALUE(MID($A166,7,2))-1)*7+MATCH($B166,lista_dias,0)-1)</f>
        <v/>
      </c>
      <c r="I166" s="3">
        <f>IF(OR($F166="",ISNUMBER(MATCH($F166,lista_no_disponible,0)),(IFERROR(INDEX('CALENDARIO'!$C$15:$C$214,MATCH(TEXT($H166,"yyyy-mm-dd")&amp;"|"&amp;$D166&amp;"|"&amp;"",'CALENDARIO'!$G$15:$G$214,0)),IFERROR(INDEX('CALENDARIO'!$C$15:$C$214,MATCH(TEXT($H166,"yyyy-mm-dd")&amp;"|"&amp;$D166&amp;"|",'CALENDARIO'!$G$15:$G$214,0)),IFERROR(INDEX('CALENDARIO'!$C$15:$C$214,MATCH(TEXT($H166,"yyyy-mm-dd")&amp;"||",'CALENDARIO'!$G$15:$G$214,0)),INDEX(patronHabil,WEEKDAY($H166,2))))))&lt;&gt;"sí"),0,p_horas_jornada)</f>
        <v/>
      </c>
      <c r="J166" s="3">
        <f>$A166&amp;"|"&amp;$B166&amp;"|"&amp;$C166</f>
        <v/>
      </c>
      <c r="K166" s="3">
        <f>IFERROR(INDEX('CAT_TURNOS'!$C$4:$C$7,MATCH($F166,'CAT_TURNOS'!$A$4:$A$7,0)),"")</f>
        <v/>
      </c>
      <c r="L166" s="3">
        <f>IFERROR(INDEX('CAT_TURNOS'!$D$4:$D$7,MATCH($F166,'CAT_TURNOS'!$A$4:$A$7,0)),"")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11">
        <f>IF($A167="","",DATE(VALUE(LEFT($A167,4)),1,4)-WEEKDAY(DATE(VALUE(LEFT($A167,4)),1,4),2)+1+(VALUE(MID($A167,7,2))-1)*7+MATCH($B167,lista_dias,0)-1)</f>
        <v/>
      </c>
      <c r="I167" s="3">
        <f>IF(OR($F167="",ISNUMBER(MATCH($F167,lista_no_disponible,0)),(IFERROR(INDEX('CALENDARIO'!$C$15:$C$214,MATCH(TEXT($H167,"yyyy-mm-dd")&amp;"|"&amp;$D167&amp;"|"&amp;"",'CALENDARIO'!$G$15:$G$214,0)),IFERROR(INDEX('CALENDARIO'!$C$15:$C$214,MATCH(TEXT($H167,"yyyy-mm-dd")&amp;"|"&amp;$D167&amp;"|",'CALENDARIO'!$G$15:$G$214,0)),IFERROR(INDEX('CALENDARIO'!$C$15:$C$214,MATCH(TEXT($H167,"yyyy-mm-dd")&amp;"||",'CALENDARIO'!$G$15:$G$214,0)),INDEX(patronHabil,WEEKDAY($H167,2))))))&lt;&gt;"sí"),0,p_horas_jornada)</f>
        <v/>
      </c>
      <c r="J167" s="3">
        <f>$A167&amp;"|"&amp;$B167&amp;"|"&amp;$C167</f>
        <v/>
      </c>
      <c r="K167" s="3">
        <f>IFERROR(INDEX('CAT_TURNOS'!$C$4:$C$7,MATCH($F167,'CAT_TURNOS'!$A$4:$A$7,0)),"")</f>
        <v/>
      </c>
      <c r="L167" s="3">
        <f>IFERROR(INDEX('CAT_TURNOS'!$D$4:$D$7,MATCH($F167,'CAT_TURNOS'!$A$4:$A$7,0)),"")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11">
        <f>IF($A168="","",DATE(VALUE(LEFT($A168,4)),1,4)-WEEKDAY(DATE(VALUE(LEFT($A168,4)),1,4),2)+1+(VALUE(MID($A168,7,2))-1)*7+MATCH($B168,lista_dias,0)-1)</f>
        <v/>
      </c>
      <c r="I168" s="3">
        <f>IF(OR($F168="",ISNUMBER(MATCH($F168,lista_no_disponible,0)),(IFERROR(INDEX('CALENDARIO'!$C$15:$C$214,MATCH(TEXT($H168,"yyyy-mm-dd")&amp;"|"&amp;$D168&amp;"|"&amp;"",'CALENDARIO'!$G$15:$G$214,0)),IFERROR(INDEX('CALENDARIO'!$C$15:$C$214,MATCH(TEXT($H168,"yyyy-mm-dd")&amp;"|"&amp;$D168&amp;"|",'CALENDARIO'!$G$15:$G$214,0)),IFERROR(INDEX('CALENDARIO'!$C$15:$C$214,MATCH(TEXT($H168,"yyyy-mm-dd")&amp;"||",'CALENDARIO'!$G$15:$G$214,0)),INDEX(patronHabil,WEEKDAY($H168,2))))))&lt;&gt;"sí"),0,p_horas_jornada)</f>
        <v/>
      </c>
      <c r="J168" s="3">
        <f>$A168&amp;"|"&amp;$B168&amp;"|"&amp;$C168</f>
        <v/>
      </c>
      <c r="K168" s="3">
        <f>IFERROR(INDEX('CAT_TURNOS'!$C$4:$C$7,MATCH($F168,'CAT_TURNOS'!$A$4:$A$7,0)),"")</f>
        <v/>
      </c>
      <c r="L168" s="3">
        <f>IFERROR(INDEX('CAT_TURNOS'!$D$4:$D$7,MATCH($F168,'CAT_TURNOS'!$A$4:$A$7,0)),"")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11">
        <f>IF($A169="","",DATE(VALUE(LEFT($A169,4)),1,4)-WEEKDAY(DATE(VALUE(LEFT($A169,4)),1,4),2)+1+(VALUE(MID($A169,7,2))-1)*7+MATCH($B169,lista_dias,0)-1)</f>
        <v/>
      </c>
      <c r="I169" s="3">
        <f>IF(OR($F169="",ISNUMBER(MATCH($F169,lista_no_disponible,0)),(IFERROR(INDEX('CALENDARIO'!$C$15:$C$214,MATCH(TEXT($H169,"yyyy-mm-dd")&amp;"|"&amp;$D169&amp;"|"&amp;"",'CALENDARIO'!$G$15:$G$214,0)),IFERROR(INDEX('CALENDARIO'!$C$15:$C$214,MATCH(TEXT($H169,"yyyy-mm-dd")&amp;"|"&amp;$D169&amp;"|",'CALENDARIO'!$G$15:$G$214,0)),IFERROR(INDEX('CALENDARIO'!$C$15:$C$214,MATCH(TEXT($H169,"yyyy-mm-dd")&amp;"||",'CALENDARIO'!$G$15:$G$214,0)),INDEX(patronHabil,WEEKDAY($H169,2))))))&lt;&gt;"sí"),0,p_horas_jornada)</f>
        <v/>
      </c>
      <c r="J169" s="3">
        <f>$A169&amp;"|"&amp;$B169&amp;"|"&amp;$C169</f>
        <v/>
      </c>
      <c r="K169" s="3">
        <f>IFERROR(INDEX('CAT_TURNOS'!$C$4:$C$7,MATCH($F169,'CAT_TURNOS'!$A$4:$A$7,0)),"")</f>
        <v/>
      </c>
      <c r="L169" s="3">
        <f>IFERROR(INDEX('CAT_TURNOS'!$D$4:$D$7,MATCH($F169,'CAT_TURNOS'!$A$4:$A$7,0)),"")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>
        <is>
          <t>T1</t>
        </is>
      </c>
      <c r="G170" s="3">
        <f>IFERROR(INDEX('TECNICOS'!$E$4:$E$15,MATCH($C170,'TECNICOS'!$B$4:$B$15,0)),"")</f>
        <v/>
      </c>
      <c r="H170" s="11">
        <f>IF($A170="","",DATE(VALUE(LEFT($A170,4)),1,4)-WEEKDAY(DATE(VALUE(LEFT($A170,4)),1,4),2)+1+(VALUE(MID($A170,7,2))-1)*7+MATCH($B170,lista_dias,0)-1)</f>
        <v/>
      </c>
      <c r="I170" s="3">
        <f>IF(OR($F170="",ISNUMBER(MATCH($F170,lista_no_disponible,0)),(IFERROR(INDEX('CALENDARIO'!$C$15:$C$214,MATCH(TEXT($H170,"yyyy-mm-dd")&amp;"|"&amp;$D170&amp;"|"&amp;"",'CALENDARIO'!$G$15:$G$214,0)),IFERROR(INDEX('CALENDARIO'!$C$15:$C$214,MATCH(TEXT($H170,"yyyy-mm-dd")&amp;"|"&amp;$D170&amp;"|",'CALENDARIO'!$G$15:$G$214,0)),IFERROR(INDEX('CALENDARIO'!$C$15:$C$214,MATCH(TEXT($H170,"yyyy-mm-dd")&amp;"||",'CALENDARIO'!$G$15:$G$214,0)),INDEX(patronHabil,WEEKDAY($H170,2))))))&lt;&gt;"sí"),0,p_horas_jornada)</f>
        <v/>
      </c>
      <c r="J170" s="3">
        <f>$A170&amp;"|"&amp;$B170&amp;"|"&amp;$C170</f>
        <v/>
      </c>
      <c r="K170" s="3">
        <f>IFERROR(INDEX('CAT_TURNOS'!$C$4:$C$7,MATCH($F170,'CAT_TURNOS'!$A$4:$A$7,0)),"")</f>
        <v/>
      </c>
      <c r="L170" s="3">
        <f>IFERROR(INDEX('CAT_TURNOS'!$D$4:$D$7,MATCH($F170,'CAT_TURNOS'!$A$4:$A$7,0)),"")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11">
        <f>IF($A171="","",DATE(VALUE(LEFT($A171,4)),1,4)-WEEKDAY(DATE(VALUE(LEFT($A171,4)),1,4),2)+1+(VALUE(MID($A171,7,2))-1)*7+MATCH($B171,lista_dias,0)-1)</f>
        <v/>
      </c>
      <c r="I171" s="3">
        <f>IF(OR($F171="",ISNUMBER(MATCH($F171,lista_no_disponible,0)),(IFERROR(INDEX('CALENDARIO'!$C$15:$C$214,MATCH(TEXT($H171,"yyyy-mm-dd")&amp;"|"&amp;$D171&amp;"|"&amp;"",'CALENDARIO'!$G$15:$G$214,0)),IFERROR(INDEX('CALENDARIO'!$C$15:$C$214,MATCH(TEXT($H171,"yyyy-mm-dd")&amp;"|"&amp;$D171&amp;"|",'CALENDARIO'!$G$15:$G$214,0)),IFERROR(INDEX('CALENDARIO'!$C$15:$C$214,MATCH(TEXT($H171,"yyyy-mm-dd")&amp;"||",'CALENDARIO'!$G$15:$G$214,0)),INDEX(patronHabil,WEEKDAY($H171,2))))))&lt;&gt;"sí"),0,p_horas_jornada)</f>
        <v/>
      </c>
      <c r="J171" s="3">
        <f>$A171&amp;"|"&amp;$B171&amp;"|"&amp;$C171</f>
        <v/>
      </c>
      <c r="K171" s="3">
        <f>IFERROR(INDEX('CAT_TURNOS'!$C$4:$C$7,MATCH($F171,'CAT_TURNOS'!$A$4:$A$7,0)),"")</f>
        <v/>
      </c>
      <c r="L171" s="3">
        <f>IFERROR(INDEX('CAT_TURNOS'!$D$4:$D$7,MATCH($F171,'CAT_TURNOS'!$A$4:$A$7,0)),"")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11">
        <f>IF($A172="","",DATE(VALUE(LEFT($A172,4)),1,4)-WEEKDAY(DATE(VALUE(LEFT($A172,4)),1,4),2)+1+(VALUE(MID($A172,7,2))-1)*7+MATCH($B172,lista_dias,0)-1)</f>
        <v/>
      </c>
      <c r="I172" s="3">
        <f>IF(OR($F172="",ISNUMBER(MATCH($F172,lista_no_disponible,0)),(IFERROR(INDEX('CALENDARIO'!$C$15:$C$214,MATCH(TEXT($H172,"yyyy-mm-dd")&amp;"|"&amp;$D172&amp;"|"&amp;"",'CALENDARIO'!$G$15:$G$214,0)),IFERROR(INDEX('CALENDARIO'!$C$15:$C$214,MATCH(TEXT($H172,"yyyy-mm-dd")&amp;"|"&amp;$D172&amp;"|",'CALENDARIO'!$G$15:$G$214,0)),IFERROR(INDEX('CALENDARIO'!$C$15:$C$214,MATCH(TEXT($H172,"yyyy-mm-dd")&amp;"||",'CALENDARIO'!$G$15:$G$214,0)),INDEX(patronHabil,WEEKDAY($H172,2))))))&lt;&gt;"sí"),0,p_horas_jornada)</f>
        <v/>
      </c>
      <c r="J172" s="3">
        <f>$A172&amp;"|"&amp;$B172&amp;"|"&amp;$C172</f>
        <v/>
      </c>
      <c r="K172" s="3">
        <f>IFERROR(INDEX('CAT_TURNOS'!$C$4:$C$7,MATCH($F172,'CAT_TURNOS'!$A$4:$A$7,0)),"")</f>
        <v/>
      </c>
      <c r="L172" s="3">
        <f>IFERROR(INDEX('CAT_TURNOS'!$D$4:$D$7,MATCH($F172,'CAT_TURNOS'!$A$4:$A$7,0)),"")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11">
        <f>IF($A173="","",DATE(VALUE(LEFT($A173,4)),1,4)-WEEKDAY(DATE(VALUE(LEFT($A173,4)),1,4),2)+1+(VALUE(MID($A173,7,2))-1)*7+MATCH($B173,lista_dias,0)-1)</f>
        <v/>
      </c>
      <c r="I173" s="3">
        <f>IF(OR($F173="",ISNUMBER(MATCH($F173,lista_no_disponible,0)),(IFERROR(INDEX('CALENDARIO'!$C$15:$C$214,MATCH(TEXT($H173,"yyyy-mm-dd")&amp;"|"&amp;$D173&amp;"|"&amp;"",'CALENDARIO'!$G$15:$G$214,0)),IFERROR(INDEX('CALENDARIO'!$C$15:$C$214,MATCH(TEXT($H173,"yyyy-mm-dd")&amp;"|"&amp;$D173&amp;"|",'CALENDARIO'!$G$15:$G$214,0)),IFERROR(INDEX('CALENDARIO'!$C$15:$C$214,MATCH(TEXT($H173,"yyyy-mm-dd")&amp;"||",'CALENDARIO'!$G$15:$G$214,0)),INDEX(patronHabil,WEEKDAY($H173,2))))))&lt;&gt;"sí"),0,p_horas_jornada)</f>
        <v/>
      </c>
      <c r="J173" s="3">
        <f>$A173&amp;"|"&amp;$B173&amp;"|"&amp;$C173</f>
        <v/>
      </c>
      <c r="K173" s="3">
        <f>IFERROR(INDEX('CAT_TURNOS'!$C$4:$C$7,MATCH($F173,'CAT_TURNOS'!$A$4:$A$7,0)),"")</f>
        <v/>
      </c>
      <c r="L173" s="3">
        <f>IFERROR(INDEX('CAT_TURNOS'!$D$4:$D$7,MATCH($F173,'CAT_TURNOS'!$A$4:$A$7,0)),"")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11">
        <f>IF($A174="","",DATE(VALUE(LEFT($A174,4)),1,4)-WEEKDAY(DATE(VALUE(LEFT($A174,4)),1,4),2)+1+(VALUE(MID($A174,7,2))-1)*7+MATCH($B174,lista_dias,0)-1)</f>
        <v/>
      </c>
      <c r="I174" s="3">
        <f>IF(OR($F174="",ISNUMBER(MATCH($F174,lista_no_disponible,0)),(IFERROR(INDEX('CALENDARIO'!$C$15:$C$214,MATCH(TEXT($H174,"yyyy-mm-dd")&amp;"|"&amp;$D174&amp;"|"&amp;"",'CALENDARIO'!$G$15:$G$214,0)),IFERROR(INDEX('CALENDARIO'!$C$15:$C$214,MATCH(TEXT($H174,"yyyy-mm-dd")&amp;"|"&amp;$D174&amp;"|",'CALENDARIO'!$G$15:$G$214,0)),IFERROR(INDEX('CALENDARIO'!$C$15:$C$214,MATCH(TEXT($H174,"yyyy-mm-dd")&amp;"||",'CALENDARIO'!$G$15:$G$214,0)),INDEX(patronHabil,WEEKDAY($H174,2))))))&lt;&gt;"sí"),0,p_horas_jornada)</f>
        <v/>
      </c>
      <c r="J174" s="3">
        <f>$A174&amp;"|"&amp;$B174&amp;"|"&amp;$C174</f>
        <v/>
      </c>
      <c r="K174" s="3">
        <f>IFERROR(INDEX('CAT_TURNOS'!$C$4:$C$7,MATCH($F174,'CAT_TURNOS'!$A$4:$A$7,0)),"")</f>
        <v/>
      </c>
      <c r="L174" s="3">
        <f>IFERROR(INDEX('CAT_TURNOS'!$D$4:$D$7,MATCH($F174,'CAT_TURNOS'!$A$4:$A$7,0)),"")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11">
        <f>IF($A175="","",DATE(VALUE(LEFT($A175,4)),1,4)-WEEKDAY(DATE(VALUE(LEFT($A175,4)),1,4),2)+1+(VALUE(MID($A175,7,2))-1)*7+MATCH($B175,lista_dias,0)-1)</f>
        <v/>
      </c>
      <c r="I175" s="3">
        <f>IF(OR($F175="",ISNUMBER(MATCH($F175,lista_no_disponible,0)),(IFERROR(INDEX('CALENDARIO'!$C$15:$C$214,MATCH(TEXT($H175,"yyyy-mm-dd")&amp;"|"&amp;$D175&amp;"|"&amp;"",'CALENDARIO'!$G$15:$G$214,0)),IFERROR(INDEX('CALENDARIO'!$C$15:$C$214,MATCH(TEXT($H175,"yyyy-mm-dd")&amp;"|"&amp;$D175&amp;"|",'CALENDARIO'!$G$15:$G$214,0)),IFERROR(INDEX('CALENDARIO'!$C$15:$C$214,MATCH(TEXT($H175,"yyyy-mm-dd")&amp;"||",'CALENDARIO'!$G$15:$G$214,0)),INDEX(patronHabil,WEEKDAY($H175,2))))))&lt;&gt;"sí"),0,p_horas_jornada)</f>
        <v/>
      </c>
      <c r="J175" s="3">
        <f>$A175&amp;"|"&amp;$B175&amp;"|"&amp;$C175</f>
        <v/>
      </c>
      <c r="K175" s="3">
        <f>IFERROR(INDEX('CAT_TURNOS'!$C$4:$C$7,MATCH($F175,'CAT_TURNOS'!$A$4:$A$7,0)),"")</f>
        <v/>
      </c>
      <c r="L175" s="3">
        <f>IFERROR(INDEX('CAT_TURNOS'!$D$4:$D$7,MATCH($F175,'CAT_TURNOS'!$A$4:$A$7,0)),"")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11">
        <f>IF($A176="","",DATE(VALUE(LEFT($A176,4)),1,4)-WEEKDAY(DATE(VALUE(LEFT($A176,4)),1,4),2)+1+(VALUE(MID($A176,7,2))-1)*7+MATCH($B176,lista_dias,0)-1)</f>
        <v/>
      </c>
      <c r="I176" s="3">
        <f>IF(OR($F176="",ISNUMBER(MATCH($F176,lista_no_disponible,0)),(IFERROR(INDEX('CALENDARIO'!$C$15:$C$214,MATCH(TEXT($H176,"yyyy-mm-dd")&amp;"|"&amp;$D176&amp;"|"&amp;"",'CALENDARIO'!$G$15:$G$214,0)),IFERROR(INDEX('CALENDARIO'!$C$15:$C$214,MATCH(TEXT($H176,"yyyy-mm-dd")&amp;"|"&amp;$D176&amp;"|",'CALENDARIO'!$G$15:$G$214,0)),IFERROR(INDEX('CALENDARIO'!$C$15:$C$214,MATCH(TEXT($H176,"yyyy-mm-dd")&amp;"||",'CALENDARIO'!$G$15:$G$214,0)),INDEX(patronHabil,WEEKDAY($H176,2))))))&lt;&gt;"sí"),0,p_horas_jornada)</f>
        <v/>
      </c>
      <c r="J176" s="3">
        <f>$A176&amp;"|"&amp;$B176&amp;"|"&amp;$C176</f>
        <v/>
      </c>
      <c r="K176" s="3">
        <f>IFERROR(INDEX('CAT_TURNOS'!$C$4:$C$7,MATCH($F176,'CAT_TURNOS'!$A$4:$A$7,0)),"")</f>
        <v/>
      </c>
      <c r="L176" s="3">
        <f>IFERROR(INDEX('CAT_TURNOS'!$D$4:$D$7,MATCH($F176,'CAT_TURNOS'!$A$4:$A$7,0)),"")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>
        <is>
          <t>T1</t>
        </is>
      </c>
      <c r="G177" s="3">
        <f>IFERROR(INDEX('TECNICOS'!$E$4:$E$15,MATCH($C177,'TECNICOS'!$B$4:$B$15,0)),"")</f>
        <v/>
      </c>
      <c r="H177" s="11">
        <f>IF($A177="","",DATE(VALUE(LEFT($A177,4)),1,4)-WEEKDAY(DATE(VALUE(LEFT($A177,4)),1,4),2)+1+(VALUE(MID($A177,7,2))-1)*7+MATCH($B177,lista_dias,0)-1)</f>
        <v/>
      </c>
      <c r="I177" s="3">
        <f>IF(OR($F177="",ISNUMBER(MATCH($F177,lista_no_disponible,0)),(IFERROR(INDEX('CALENDARIO'!$C$15:$C$214,MATCH(TEXT($H177,"yyyy-mm-dd")&amp;"|"&amp;$D177&amp;"|"&amp;"",'CALENDARIO'!$G$15:$G$214,0)),IFERROR(INDEX('CALENDARIO'!$C$15:$C$214,MATCH(TEXT($H177,"yyyy-mm-dd")&amp;"|"&amp;$D177&amp;"|",'CALENDARIO'!$G$15:$G$214,0)),IFERROR(INDEX('CALENDARIO'!$C$15:$C$214,MATCH(TEXT($H177,"yyyy-mm-dd")&amp;"||",'CALENDARIO'!$G$15:$G$214,0)),INDEX(patronHabil,WEEKDAY($H177,2))))))&lt;&gt;"sí"),0,p_horas_jornada)</f>
        <v/>
      </c>
      <c r="J177" s="3">
        <f>$A177&amp;"|"&amp;$B177&amp;"|"&amp;$C177</f>
        <v/>
      </c>
      <c r="K177" s="3">
        <f>IFERROR(INDEX('CAT_TURNOS'!$C$4:$C$7,MATCH($F177,'CAT_TURNOS'!$A$4:$A$7,0)),"")</f>
        <v/>
      </c>
      <c r="L177" s="3">
        <f>IFERROR(INDEX('CAT_TURNOS'!$D$4:$D$7,MATCH($F177,'CAT_TURNOS'!$A$4:$A$7,0)),"")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11">
        <f>IF($A178="","",DATE(VALUE(LEFT($A178,4)),1,4)-WEEKDAY(DATE(VALUE(LEFT($A178,4)),1,4),2)+1+(VALUE(MID($A178,7,2))-1)*7+MATCH($B178,lista_dias,0)-1)</f>
        <v/>
      </c>
      <c r="I178" s="3">
        <f>IF(OR($F178="",ISNUMBER(MATCH($F178,lista_no_disponible,0)),(IFERROR(INDEX('CALENDARIO'!$C$15:$C$214,MATCH(TEXT($H178,"yyyy-mm-dd")&amp;"|"&amp;$D178&amp;"|"&amp;"",'CALENDARIO'!$G$15:$G$214,0)),IFERROR(INDEX('CALENDARIO'!$C$15:$C$214,MATCH(TEXT($H178,"yyyy-mm-dd")&amp;"|"&amp;$D178&amp;"|",'CALENDARIO'!$G$15:$G$214,0)),IFERROR(INDEX('CALENDARIO'!$C$15:$C$214,MATCH(TEXT($H178,"yyyy-mm-dd")&amp;"||",'CALENDARIO'!$G$15:$G$214,0)),INDEX(patronHabil,WEEKDAY($H178,2))))))&lt;&gt;"sí"),0,p_horas_jornada)</f>
        <v/>
      </c>
      <c r="J178" s="3">
        <f>$A178&amp;"|"&amp;$B178&amp;"|"&amp;$C178</f>
        <v/>
      </c>
      <c r="K178" s="3">
        <f>IFERROR(INDEX('CAT_TURNOS'!$C$4:$C$7,MATCH($F178,'CAT_TURNOS'!$A$4:$A$7,0)),"")</f>
        <v/>
      </c>
      <c r="L178" s="3">
        <f>IFERROR(INDEX('CAT_TURNOS'!$D$4:$D$7,MATCH($F178,'CAT_TURNOS'!$A$4:$A$7,0)),"")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11">
        <f>IF($A179="","",DATE(VALUE(LEFT($A179,4)),1,4)-WEEKDAY(DATE(VALUE(LEFT($A179,4)),1,4),2)+1+(VALUE(MID($A179,7,2))-1)*7+MATCH($B179,lista_dias,0)-1)</f>
        <v/>
      </c>
      <c r="I179" s="3">
        <f>IF(OR($F179="",ISNUMBER(MATCH($F179,lista_no_disponible,0)),(IFERROR(INDEX('CALENDARIO'!$C$15:$C$214,MATCH(TEXT($H179,"yyyy-mm-dd")&amp;"|"&amp;$D179&amp;"|"&amp;"",'CALENDARIO'!$G$15:$G$214,0)),IFERROR(INDEX('CALENDARIO'!$C$15:$C$214,MATCH(TEXT($H179,"yyyy-mm-dd")&amp;"|"&amp;$D179&amp;"|",'CALENDARIO'!$G$15:$G$214,0)),IFERROR(INDEX('CALENDARIO'!$C$15:$C$214,MATCH(TEXT($H179,"yyyy-mm-dd")&amp;"||",'CALENDARIO'!$G$15:$G$214,0)),INDEX(patronHabil,WEEKDAY($H179,2))))))&lt;&gt;"sí"),0,p_horas_jornada)</f>
        <v/>
      </c>
      <c r="J179" s="3">
        <f>$A179&amp;"|"&amp;$B179&amp;"|"&amp;$C179</f>
        <v/>
      </c>
      <c r="K179" s="3">
        <f>IFERROR(INDEX('CAT_TURNOS'!$C$4:$C$7,MATCH($F179,'CAT_TURNOS'!$A$4:$A$7,0)),"")</f>
        <v/>
      </c>
      <c r="L179" s="3">
        <f>IFERROR(INDEX('CAT_TURNOS'!$D$4:$D$7,MATCH($F179,'CAT_TURNOS'!$A$4:$A$7,0)),"")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11">
        <f>IF($A180="","",DATE(VALUE(LEFT($A180,4)),1,4)-WEEKDAY(DATE(VALUE(LEFT($A180,4)),1,4),2)+1+(VALUE(MID($A180,7,2))-1)*7+MATCH($B180,lista_dias,0)-1)</f>
        <v/>
      </c>
      <c r="I180" s="3">
        <f>IF(OR($F180="",ISNUMBER(MATCH($F180,lista_no_disponible,0)),(IFERROR(INDEX('CALENDARIO'!$C$15:$C$214,MATCH(TEXT($H180,"yyyy-mm-dd")&amp;"|"&amp;$D180&amp;"|"&amp;"",'CALENDARIO'!$G$15:$G$214,0)),IFERROR(INDEX('CALENDARIO'!$C$15:$C$214,MATCH(TEXT($H180,"yyyy-mm-dd")&amp;"|"&amp;$D180&amp;"|",'CALENDARIO'!$G$15:$G$214,0)),IFERROR(INDEX('CALENDARIO'!$C$15:$C$214,MATCH(TEXT($H180,"yyyy-mm-dd")&amp;"||",'CALENDARIO'!$G$15:$G$214,0)),INDEX(patronHabil,WEEKDAY($H180,2))))))&lt;&gt;"sí"),0,p_horas_jornada)</f>
        <v/>
      </c>
      <c r="J180" s="3">
        <f>$A180&amp;"|"&amp;$B180&amp;"|"&amp;$C180</f>
        <v/>
      </c>
      <c r="K180" s="3">
        <f>IFERROR(INDEX('CAT_TURNOS'!$C$4:$C$7,MATCH($F180,'CAT_TURNOS'!$A$4:$A$7,0)),"")</f>
        <v/>
      </c>
      <c r="L180" s="3">
        <f>IFERROR(INDEX('CAT_TURNOS'!$D$4:$D$7,MATCH($F180,'CAT_TURNOS'!$A$4:$A$7,0)),"")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11">
        <f>IF($A181="","",DATE(VALUE(LEFT($A181,4)),1,4)-WEEKDAY(DATE(VALUE(LEFT($A181,4)),1,4),2)+1+(VALUE(MID($A181,7,2))-1)*7+MATCH($B181,lista_dias,0)-1)</f>
        <v/>
      </c>
      <c r="I181" s="3">
        <f>IF(OR($F181="",ISNUMBER(MATCH($F181,lista_no_disponible,0)),(IFERROR(INDEX('CALENDARIO'!$C$15:$C$214,MATCH(TEXT($H181,"yyyy-mm-dd")&amp;"|"&amp;$D181&amp;"|"&amp;"",'CALENDARIO'!$G$15:$G$214,0)),IFERROR(INDEX('CALENDARIO'!$C$15:$C$214,MATCH(TEXT($H181,"yyyy-mm-dd")&amp;"|"&amp;$D181&amp;"|",'CALENDARIO'!$G$15:$G$214,0)),IFERROR(INDEX('CALENDARIO'!$C$15:$C$214,MATCH(TEXT($H181,"yyyy-mm-dd")&amp;"||",'CALENDARIO'!$G$15:$G$214,0)),INDEX(patronHabil,WEEKDAY($H181,2))))))&lt;&gt;"sí"),0,p_horas_jornada)</f>
        <v/>
      </c>
      <c r="J181" s="3">
        <f>$A181&amp;"|"&amp;$B181&amp;"|"&amp;$C181</f>
        <v/>
      </c>
      <c r="K181" s="3">
        <f>IFERROR(INDEX('CAT_TURNOS'!$C$4:$C$7,MATCH($F181,'CAT_TURNOS'!$A$4:$A$7,0)),"")</f>
        <v/>
      </c>
      <c r="L181" s="3">
        <f>IFERROR(INDEX('CAT_TURNOS'!$D$4:$D$7,MATCH($F181,'CAT_TURNOS'!$A$4:$A$7,0)),"")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11">
        <f>IF($A182="","",DATE(VALUE(LEFT($A182,4)),1,4)-WEEKDAY(DATE(VALUE(LEFT($A182,4)),1,4),2)+1+(VALUE(MID($A182,7,2))-1)*7+MATCH($B182,lista_dias,0)-1)</f>
        <v/>
      </c>
      <c r="I182" s="3">
        <f>IF(OR($F182="",ISNUMBER(MATCH($F182,lista_no_disponible,0)),(IFERROR(INDEX('CALENDARIO'!$C$15:$C$214,MATCH(TEXT($H182,"yyyy-mm-dd")&amp;"|"&amp;$D182&amp;"|"&amp;"",'CALENDARIO'!$G$15:$G$214,0)),IFERROR(INDEX('CALENDARIO'!$C$15:$C$214,MATCH(TEXT($H182,"yyyy-mm-dd")&amp;"|"&amp;$D182&amp;"|",'CALENDARIO'!$G$15:$G$214,0)),IFERROR(INDEX('CALENDARIO'!$C$15:$C$214,MATCH(TEXT($H182,"yyyy-mm-dd")&amp;"||",'CALENDARIO'!$G$15:$G$214,0)),INDEX(patronHabil,WEEKDAY($H182,2))))))&lt;&gt;"sí"),0,p_horas_jornada)</f>
        <v/>
      </c>
      <c r="J182" s="3">
        <f>$A182&amp;"|"&amp;$B182&amp;"|"&amp;$C182</f>
        <v/>
      </c>
      <c r="K182" s="3">
        <f>IFERROR(INDEX('CAT_TURNOS'!$C$4:$C$7,MATCH($F182,'CAT_TURNOS'!$A$4:$A$7,0)),"")</f>
        <v/>
      </c>
      <c r="L182" s="3">
        <f>IFERROR(INDEX('CAT_TURNOS'!$D$4:$D$7,MATCH($F182,'CAT_TURNOS'!$A$4:$A$7,0)),"")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11">
        <f>IF($A183="","",DATE(VALUE(LEFT($A183,4)),1,4)-WEEKDAY(DATE(VALUE(LEFT($A183,4)),1,4),2)+1+(VALUE(MID($A183,7,2))-1)*7+MATCH($B183,lista_dias,0)-1)</f>
        <v/>
      </c>
      <c r="I183" s="3">
        <f>IF(OR($F183="",ISNUMBER(MATCH($F183,lista_no_disponible,0)),(IFERROR(INDEX('CALENDARIO'!$C$15:$C$214,MATCH(TEXT($H183,"yyyy-mm-dd")&amp;"|"&amp;$D183&amp;"|"&amp;"",'CALENDARIO'!$G$15:$G$214,0)),IFERROR(INDEX('CALENDARIO'!$C$15:$C$214,MATCH(TEXT($H183,"yyyy-mm-dd")&amp;"|"&amp;$D183&amp;"|",'CALENDARIO'!$G$15:$G$214,0)),IFERROR(INDEX('CALENDARIO'!$C$15:$C$214,MATCH(TEXT($H183,"yyyy-mm-dd")&amp;"||",'CALENDARIO'!$G$15:$G$214,0)),INDEX(patronHabil,WEEKDAY($H183,2))))))&lt;&gt;"sí"),0,p_horas_jornada)</f>
        <v/>
      </c>
      <c r="J183" s="3">
        <f>$A183&amp;"|"&amp;$B183&amp;"|"&amp;$C183</f>
        <v/>
      </c>
      <c r="K183" s="3">
        <f>IFERROR(INDEX('CAT_TURNOS'!$C$4:$C$7,MATCH($F183,'CAT_TURNOS'!$A$4:$A$7,0)),"")</f>
        <v/>
      </c>
      <c r="L183" s="3">
        <f>IFERROR(INDEX('CAT_TURNOS'!$D$4:$D$7,MATCH($F183,'CAT_TURNOS'!$A$4:$A$7,0)),"")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>
        <is>
          <t>T2</t>
        </is>
      </c>
      <c r="G184" s="3">
        <f>IFERROR(INDEX('TECNICOS'!$E$4:$E$15,MATCH($C184,'TECNICOS'!$B$4:$B$15,0)),"")</f>
        <v/>
      </c>
      <c r="H184" s="11">
        <f>IF($A184="","",DATE(VALUE(LEFT($A184,4)),1,4)-WEEKDAY(DATE(VALUE(LEFT($A184,4)),1,4),2)+1+(VALUE(MID($A184,7,2))-1)*7+MATCH($B184,lista_dias,0)-1)</f>
        <v/>
      </c>
      <c r="I184" s="3">
        <f>IF(OR($F184="",ISNUMBER(MATCH($F184,lista_no_disponible,0)),(IFERROR(INDEX('CALENDARIO'!$C$15:$C$214,MATCH(TEXT($H184,"yyyy-mm-dd")&amp;"|"&amp;$D184&amp;"|"&amp;"",'CALENDARIO'!$G$15:$G$214,0)),IFERROR(INDEX('CALENDARIO'!$C$15:$C$214,MATCH(TEXT($H184,"yyyy-mm-dd")&amp;"|"&amp;$D184&amp;"|",'CALENDARIO'!$G$15:$G$214,0)),IFERROR(INDEX('CALENDARIO'!$C$15:$C$214,MATCH(TEXT($H184,"yyyy-mm-dd")&amp;"||",'CALENDARIO'!$G$15:$G$214,0)),INDEX(patronHabil,WEEKDAY($H184,2))))))&lt;&gt;"sí"),0,p_horas_jornada)</f>
        <v/>
      </c>
      <c r="J184" s="3">
        <f>$A184&amp;"|"&amp;$B184&amp;"|"&amp;$C184</f>
        <v/>
      </c>
      <c r="K184" s="3">
        <f>IFERROR(INDEX('CAT_TURNOS'!$C$4:$C$7,MATCH($F184,'CAT_TURNOS'!$A$4:$A$7,0)),"")</f>
        <v/>
      </c>
      <c r="L184" s="3">
        <f>IFERROR(INDEX('CAT_TURNOS'!$D$4:$D$7,MATCH($F184,'CAT_TURNOS'!$A$4:$A$7,0)),"")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11">
        <f>IF($A185="","",DATE(VALUE(LEFT($A185,4)),1,4)-WEEKDAY(DATE(VALUE(LEFT($A185,4)),1,4),2)+1+(VALUE(MID($A185,7,2))-1)*7+MATCH($B185,lista_dias,0)-1)</f>
        <v/>
      </c>
      <c r="I185" s="3">
        <f>IF(OR($F185="",ISNUMBER(MATCH($F185,lista_no_disponible,0)),(IFERROR(INDEX('CALENDARIO'!$C$15:$C$214,MATCH(TEXT($H185,"yyyy-mm-dd")&amp;"|"&amp;$D185&amp;"|"&amp;"",'CALENDARIO'!$G$15:$G$214,0)),IFERROR(INDEX('CALENDARIO'!$C$15:$C$214,MATCH(TEXT($H185,"yyyy-mm-dd")&amp;"|"&amp;$D185&amp;"|",'CALENDARIO'!$G$15:$G$214,0)),IFERROR(INDEX('CALENDARIO'!$C$15:$C$214,MATCH(TEXT($H185,"yyyy-mm-dd")&amp;"||",'CALENDARIO'!$G$15:$G$214,0)),INDEX(patronHabil,WEEKDAY($H185,2))))))&lt;&gt;"sí"),0,p_horas_jornada)</f>
        <v/>
      </c>
      <c r="J185" s="3">
        <f>$A185&amp;"|"&amp;$B185&amp;"|"&amp;$C185</f>
        <v/>
      </c>
      <c r="K185" s="3">
        <f>IFERROR(INDEX('CAT_TURNOS'!$C$4:$C$7,MATCH($F185,'CAT_TURNOS'!$A$4:$A$7,0)),"")</f>
        <v/>
      </c>
      <c r="L185" s="3">
        <f>IFERROR(INDEX('CAT_TURNOS'!$D$4:$D$7,MATCH($F185,'CAT_TURNOS'!$A$4:$A$7,0)),"")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11">
        <f>IF($A186="","",DATE(VALUE(LEFT($A186,4)),1,4)-WEEKDAY(DATE(VALUE(LEFT($A186,4)),1,4),2)+1+(VALUE(MID($A186,7,2))-1)*7+MATCH($B186,lista_dias,0)-1)</f>
        <v/>
      </c>
      <c r="I186" s="3">
        <f>IF(OR($F186="",ISNUMBER(MATCH($F186,lista_no_disponible,0)),(IFERROR(INDEX('CALENDARIO'!$C$15:$C$214,MATCH(TEXT($H186,"yyyy-mm-dd")&amp;"|"&amp;$D186&amp;"|"&amp;"",'CALENDARIO'!$G$15:$G$214,0)),IFERROR(INDEX('CALENDARIO'!$C$15:$C$214,MATCH(TEXT($H186,"yyyy-mm-dd")&amp;"|"&amp;$D186&amp;"|",'CALENDARIO'!$G$15:$G$214,0)),IFERROR(INDEX('CALENDARIO'!$C$15:$C$214,MATCH(TEXT($H186,"yyyy-mm-dd")&amp;"||",'CALENDARIO'!$G$15:$G$214,0)),INDEX(patronHabil,WEEKDAY($H186,2))))))&lt;&gt;"sí"),0,p_horas_jornada)</f>
        <v/>
      </c>
      <c r="J186" s="3">
        <f>$A186&amp;"|"&amp;$B186&amp;"|"&amp;$C186</f>
        <v/>
      </c>
      <c r="K186" s="3">
        <f>IFERROR(INDEX('CAT_TURNOS'!$C$4:$C$7,MATCH($F186,'CAT_TURNOS'!$A$4:$A$7,0)),"")</f>
        <v/>
      </c>
      <c r="L186" s="3">
        <f>IFERROR(INDEX('CAT_TURNOS'!$D$4:$D$7,MATCH($F186,'CAT_TURNOS'!$A$4:$A$7,0)),"")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11">
        <f>IF($A187="","",DATE(VALUE(LEFT($A187,4)),1,4)-WEEKDAY(DATE(VALUE(LEFT($A187,4)),1,4),2)+1+(VALUE(MID($A187,7,2))-1)*7+MATCH($B187,lista_dias,0)-1)</f>
        <v/>
      </c>
      <c r="I187" s="3">
        <f>IF(OR($F187="",ISNUMBER(MATCH($F187,lista_no_disponible,0)),(IFERROR(INDEX('CALENDARIO'!$C$15:$C$214,MATCH(TEXT($H187,"yyyy-mm-dd")&amp;"|"&amp;$D187&amp;"|"&amp;"",'CALENDARIO'!$G$15:$G$214,0)),IFERROR(INDEX('CALENDARIO'!$C$15:$C$214,MATCH(TEXT($H187,"yyyy-mm-dd")&amp;"|"&amp;$D187&amp;"|",'CALENDARIO'!$G$15:$G$214,0)),IFERROR(INDEX('CALENDARIO'!$C$15:$C$214,MATCH(TEXT($H187,"yyyy-mm-dd")&amp;"||",'CALENDARIO'!$G$15:$G$214,0)),INDEX(patronHabil,WEEKDAY($H187,2))))))&lt;&gt;"sí"),0,p_horas_jornada)</f>
        <v/>
      </c>
      <c r="J187" s="3">
        <f>$A187&amp;"|"&amp;$B187&amp;"|"&amp;$C187</f>
        <v/>
      </c>
      <c r="K187" s="3">
        <f>IFERROR(INDEX('CAT_TURNOS'!$C$4:$C$7,MATCH($F187,'CAT_TURNOS'!$A$4:$A$7,0)),"")</f>
        <v/>
      </c>
      <c r="L187" s="3">
        <f>IFERROR(INDEX('CAT_TURNOS'!$D$4:$D$7,MATCH($F187,'CAT_TURNOS'!$A$4:$A$7,0)),"")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11">
        <f>IF($A188="","",DATE(VALUE(LEFT($A188,4)),1,4)-WEEKDAY(DATE(VALUE(LEFT($A188,4)),1,4),2)+1+(VALUE(MID($A188,7,2))-1)*7+MATCH($B188,lista_dias,0)-1)</f>
        <v/>
      </c>
      <c r="I188" s="3">
        <f>IF(OR($F188="",ISNUMBER(MATCH($F188,lista_no_disponible,0)),(IFERROR(INDEX('CALENDARIO'!$C$15:$C$214,MATCH(TEXT($H188,"yyyy-mm-dd")&amp;"|"&amp;$D188&amp;"|"&amp;"",'CALENDARIO'!$G$15:$G$214,0)),IFERROR(INDEX('CALENDARIO'!$C$15:$C$214,MATCH(TEXT($H188,"yyyy-mm-dd")&amp;"|"&amp;$D188&amp;"|",'CALENDARIO'!$G$15:$G$214,0)),IFERROR(INDEX('CALENDARIO'!$C$15:$C$214,MATCH(TEXT($H188,"yyyy-mm-dd")&amp;"||",'CALENDARIO'!$G$15:$G$214,0)),INDEX(patronHabil,WEEKDAY($H188,2))))))&lt;&gt;"sí"),0,p_horas_jornada)</f>
        <v/>
      </c>
      <c r="J188" s="3">
        <f>$A188&amp;"|"&amp;$B188&amp;"|"&amp;$C188</f>
        <v/>
      </c>
      <c r="K188" s="3">
        <f>IFERROR(INDEX('CAT_TURNOS'!$C$4:$C$7,MATCH($F188,'CAT_TURNOS'!$A$4:$A$7,0)),"")</f>
        <v/>
      </c>
      <c r="L188" s="3">
        <f>IFERROR(INDEX('CAT_TURNOS'!$D$4:$D$7,MATCH($F188,'CAT_TURNOS'!$A$4:$A$7,0)),"")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11">
        <f>IF($A189="","",DATE(VALUE(LEFT($A189,4)),1,4)-WEEKDAY(DATE(VALUE(LEFT($A189,4)),1,4),2)+1+(VALUE(MID($A189,7,2))-1)*7+MATCH($B189,lista_dias,0)-1)</f>
        <v/>
      </c>
      <c r="I189" s="3">
        <f>IF(OR($F189="",ISNUMBER(MATCH($F189,lista_no_disponible,0)),(IFERROR(INDEX('CALENDARIO'!$C$15:$C$214,MATCH(TEXT($H189,"yyyy-mm-dd")&amp;"|"&amp;$D189&amp;"|"&amp;"",'CALENDARIO'!$G$15:$G$214,0)),IFERROR(INDEX('CALENDARIO'!$C$15:$C$214,MATCH(TEXT($H189,"yyyy-mm-dd")&amp;"|"&amp;$D189&amp;"|",'CALENDARIO'!$G$15:$G$214,0)),IFERROR(INDEX('CALENDARIO'!$C$15:$C$214,MATCH(TEXT($H189,"yyyy-mm-dd")&amp;"||",'CALENDARIO'!$G$15:$G$214,0)),INDEX(patronHabil,WEEKDAY($H189,2))))))&lt;&gt;"sí"),0,p_horas_jornada)</f>
        <v/>
      </c>
      <c r="J189" s="3">
        <f>$A189&amp;"|"&amp;$B189&amp;"|"&amp;$C189</f>
        <v/>
      </c>
      <c r="K189" s="3">
        <f>IFERROR(INDEX('CAT_TURNOS'!$C$4:$C$7,MATCH($F189,'CAT_TURNOS'!$A$4:$A$7,0)),"")</f>
        <v/>
      </c>
      <c r="L189" s="3">
        <f>IFERROR(INDEX('CAT_TURNOS'!$D$4:$D$7,MATCH($F189,'CAT_TURNOS'!$A$4:$A$7,0)),"")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11">
        <f>IF($A190="","",DATE(VALUE(LEFT($A190,4)),1,4)-WEEKDAY(DATE(VALUE(LEFT($A190,4)),1,4),2)+1+(VALUE(MID($A190,7,2))-1)*7+MATCH($B190,lista_dias,0)-1)</f>
        <v/>
      </c>
      <c r="I190" s="3">
        <f>IF(OR($F190="",ISNUMBER(MATCH($F190,lista_no_disponible,0)),(IFERROR(INDEX('CALENDARIO'!$C$15:$C$214,MATCH(TEXT($H190,"yyyy-mm-dd")&amp;"|"&amp;$D190&amp;"|"&amp;"",'CALENDARIO'!$G$15:$G$214,0)),IFERROR(INDEX('CALENDARIO'!$C$15:$C$214,MATCH(TEXT($H190,"yyyy-mm-dd")&amp;"|"&amp;$D190&amp;"|",'CALENDARIO'!$G$15:$G$214,0)),IFERROR(INDEX('CALENDARIO'!$C$15:$C$214,MATCH(TEXT($H190,"yyyy-mm-dd")&amp;"||",'CALENDARIO'!$G$15:$G$214,0)),INDEX(patronHabil,WEEKDAY($H190,2))))))&lt;&gt;"sí"),0,p_horas_jornada)</f>
        <v/>
      </c>
      <c r="J190" s="3">
        <f>$A190&amp;"|"&amp;$B190&amp;"|"&amp;$C190</f>
        <v/>
      </c>
      <c r="K190" s="3">
        <f>IFERROR(INDEX('CAT_TURNOS'!$C$4:$C$7,MATCH($F190,'CAT_TURNOS'!$A$4:$A$7,0)),"")</f>
        <v/>
      </c>
      <c r="L190" s="3">
        <f>IFERROR(INDEX('CAT_TURNOS'!$D$4:$D$7,MATCH($F190,'CAT_TURNOS'!$A$4:$A$7,0)),"")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>
        <is>
          <t>T1</t>
        </is>
      </c>
      <c r="G191" s="3">
        <f>IFERROR(INDEX('TECNICOS'!$E$4:$E$15,MATCH($C191,'TECNICOS'!$B$4:$B$15,0)),"")</f>
        <v/>
      </c>
      <c r="H191" s="11">
        <f>IF($A191="","",DATE(VALUE(LEFT($A191,4)),1,4)-WEEKDAY(DATE(VALUE(LEFT($A191,4)),1,4),2)+1+(VALUE(MID($A191,7,2))-1)*7+MATCH($B191,lista_dias,0)-1)</f>
        <v/>
      </c>
      <c r="I191" s="3">
        <f>IF(OR($F191="",ISNUMBER(MATCH($F191,lista_no_disponible,0)),(IFERROR(INDEX('CALENDARIO'!$C$15:$C$214,MATCH(TEXT($H191,"yyyy-mm-dd")&amp;"|"&amp;$D191&amp;"|"&amp;"",'CALENDARIO'!$G$15:$G$214,0)),IFERROR(INDEX('CALENDARIO'!$C$15:$C$214,MATCH(TEXT($H191,"yyyy-mm-dd")&amp;"|"&amp;$D191&amp;"|",'CALENDARIO'!$G$15:$G$214,0)),IFERROR(INDEX('CALENDARIO'!$C$15:$C$214,MATCH(TEXT($H191,"yyyy-mm-dd")&amp;"||",'CALENDARIO'!$G$15:$G$214,0)),INDEX(patronHabil,WEEKDAY($H191,2))))))&lt;&gt;"sí"),0,p_horas_jornada)</f>
        <v/>
      </c>
      <c r="J191" s="3">
        <f>$A191&amp;"|"&amp;$B191&amp;"|"&amp;$C191</f>
        <v/>
      </c>
      <c r="K191" s="3">
        <f>IFERROR(INDEX('CAT_TURNOS'!$C$4:$C$7,MATCH($F191,'CAT_TURNOS'!$A$4:$A$7,0)),"")</f>
        <v/>
      </c>
      <c r="L191" s="3">
        <f>IFERROR(INDEX('CAT_TURNOS'!$D$4:$D$7,MATCH($F191,'CAT_TURNOS'!$A$4:$A$7,0)),"")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11">
        <f>IF($A192="","",DATE(VALUE(LEFT($A192,4)),1,4)-WEEKDAY(DATE(VALUE(LEFT($A192,4)),1,4),2)+1+(VALUE(MID($A192,7,2))-1)*7+MATCH($B192,lista_dias,0)-1)</f>
        <v/>
      </c>
      <c r="I192" s="3">
        <f>IF(OR($F192="",ISNUMBER(MATCH($F192,lista_no_disponible,0)),(IFERROR(INDEX('CALENDARIO'!$C$15:$C$214,MATCH(TEXT($H192,"yyyy-mm-dd")&amp;"|"&amp;$D192&amp;"|"&amp;"",'CALENDARIO'!$G$15:$G$214,0)),IFERROR(INDEX('CALENDARIO'!$C$15:$C$214,MATCH(TEXT($H192,"yyyy-mm-dd")&amp;"|"&amp;$D192&amp;"|",'CALENDARIO'!$G$15:$G$214,0)),IFERROR(INDEX('CALENDARIO'!$C$15:$C$214,MATCH(TEXT($H192,"yyyy-mm-dd")&amp;"||",'CALENDARIO'!$G$15:$G$214,0)),INDEX(patronHabil,WEEKDAY($H192,2))))))&lt;&gt;"sí"),0,p_horas_jornada)</f>
        <v/>
      </c>
      <c r="J192" s="3">
        <f>$A192&amp;"|"&amp;$B192&amp;"|"&amp;$C192</f>
        <v/>
      </c>
      <c r="K192" s="3">
        <f>IFERROR(INDEX('CAT_TURNOS'!$C$4:$C$7,MATCH($F192,'CAT_TURNOS'!$A$4:$A$7,0)),"")</f>
        <v/>
      </c>
      <c r="L192" s="3">
        <f>IFERROR(INDEX('CAT_TURNOS'!$D$4:$D$7,MATCH($F192,'CAT_TURNOS'!$A$4:$A$7,0)),"")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11">
        <f>IF($A193="","",DATE(VALUE(LEFT($A193,4)),1,4)-WEEKDAY(DATE(VALUE(LEFT($A193,4)),1,4),2)+1+(VALUE(MID($A193,7,2))-1)*7+MATCH($B193,lista_dias,0)-1)</f>
        <v/>
      </c>
      <c r="I193" s="3">
        <f>IF(OR($F193="",ISNUMBER(MATCH($F193,lista_no_disponible,0)),(IFERROR(INDEX('CALENDARIO'!$C$15:$C$214,MATCH(TEXT($H193,"yyyy-mm-dd")&amp;"|"&amp;$D193&amp;"|"&amp;"",'CALENDARIO'!$G$15:$G$214,0)),IFERROR(INDEX('CALENDARIO'!$C$15:$C$214,MATCH(TEXT($H193,"yyyy-mm-dd")&amp;"|"&amp;$D193&amp;"|",'CALENDARIO'!$G$15:$G$214,0)),IFERROR(INDEX('CALENDARIO'!$C$15:$C$214,MATCH(TEXT($H193,"yyyy-mm-dd")&amp;"||",'CALENDARIO'!$G$15:$G$214,0)),INDEX(patronHabil,WEEKDAY($H193,2))))))&lt;&gt;"sí"),0,p_horas_jornada)</f>
        <v/>
      </c>
      <c r="J193" s="3">
        <f>$A193&amp;"|"&amp;$B193&amp;"|"&amp;$C193</f>
        <v/>
      </c>
      <c r="K193" s="3">
        <f>IFERROR(INDEX('CAT_TURNOS'!$C$4:$C$7,MATCH($F193,'CAT_TURNOS'!$A$4:$A$7,0)),"")</f>
        <v/>
      </c>
      <c r="L193" s="3">
        <f>IFERROR(INDEX('CAT_TURNOS'!$D$4:$D$7,MATCH($F193,'CAT_TURNOS'!$A$4:$A$7,0)),"")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11">
        <f>IF($A194="","",DATE(VALUE(LEFT($A194,4)),1,4)-WEEKDAY(DATE(VALUE(LEFT($A194,4)),1,4),2)+1+(VALUE(MID($A194,7,2))-1)*7+MATCH($B194,lista_dias,0)-1)</f>
        <v/>
      </c>
      <c r="I194" s="3">
        <f>IF(OR($F194="",ISNUMBER(MATCH($F194,lista_no_disponible,0)),(IFERROR(INDEX('CALENDARIO'!$C$15:$C$214,MATCH(TEXT($H194,"yyyy-mm-dd")&amp;"|"&amp;$D194&amp;"|"&amp;"",'CALENDARIO'!$G$15:$G$214,0)),IFERROR(INDEX('CALENDARIO'!$C$15:$C$214,MATCH(TEXT($H194,"yyyy-mm-dd")&amp;"|"&amp;$D194&amp;"|",'CALENDARIO'!$G$15:$G$214,0)),IFERROR(INDEX('CALENDARIO'!$C$15:$C$214,MATCH(TEXT($H194,"yyyy-mm-dd")&amp;"||",'CALENDARIO'!$G$15:$G$214,0)),INDEX(patronHabil,WEEKDAY($H194,2))))))&lt;&gt;"sí"),0,p_horas_jornada)</f>
        <v/>
      </c>
      <c r="J194" s="3">
        <f>$A194&amp;"|"&amp;$B194&amp;"|"&amp;$C194</f>
        <v/>
      </c>
      <c r="K194" s="3">
        <f>IFERROR(INDEX('CAT_TURNOS'!$C$4:$C$7,MATCH($F194,'CAT_TURNOS'!$A$4:$A$7,0)),"")</f>
        <v/>
      </c>
      <c r="L194" s="3">
        <f>IFERROR(INDEX('CAT_TURNOS'!$D$4:$D$7,MATCH($F194,'CAT_TURNOS'!$A$4:$A$7,0)),"")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11">
        <f>IF($A195="","",DATE(VALUE(LEFT($A195,4)),1,4)-WEEKDAY(DATE(VALUE(LEFT($A195,4)),1,4),2)+1+(VALUE(MID($A195,7,2))-1)*7+MATCH($B195,lista_dias,0)-1)</f>
        <v/>
      </c>
      <c r="I195" s="3">
        <f>IF(OR($F195="",ISNUMBER(MATCH($F195,lista_no_disponible,0)),(IFERROR(INDEX('CALENDARIO'!$C$15:$C$214,MATCH(TEXT($H195,"yyyy-mm-dd")&amp;"|"&amp;$D195&amp;"|"&amp;"",'CALENDARIO'!$G$15:$G$214,0)),IFERROR(INDEX('CALENDARIO'!$C$15:$C$214,MATCH(TEXT($H195,"yyyy-mm-dd")&amp;"|"&amp;$D195&amp;"|",'CALENDARIO'!$G$15:$G$214,0)),IFERROR(INDEX('CALENDARIO'!$C$15:$C$214,MATCH(TEXT($H195,"yyyy-mm-dd")&amp;"||",'CALENDARIO'!$G$15:$G$214,0)),INDEX(patronHabil,WEEKDAY($H195,2))))))&lt;&gt;"sí"),0,p_horas_jornada)</f>
        <v/>
      </c>
      <c r="J195" s="3">
        <f>$A195&amp;"|"&amp;$B195&amp;"|"&amp;$C195</f>
        <v/>
      </c>
      <c r="K195" s="3">
        <f>IFERROR(INDEX('CAT_TURNOS'!$C$4:$C$7,MATCH($F195,'CAT_TURNOS'!$A$4:$A$7,0)),"")</f>
        <v/>
      </c>
      <c r="L195" s="3">
        <f>IFERROR(INDEX('CAT_TURNOS'!$D$4:$D$7,MATCH($F195,'CAT_TURNOS'!$A$4:$A$7,0)),"")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11">
        <f>IF($A196="","",DATE(VALUE(LEFT($A196,4)),1,4)-WEEKDAY(DATE(VALUE(LEFT($A196,4)),1,4),2)+1+(VALUE(MID($A196,7,2))-1)*7+MATCH($B196,lista_dias,0)-1)</f>
        <v/>
      </c>
      <c r="I196" s="3">
        <f>IF(OR($F196="",ISNUMBER(MATCH($F196,lista_no_disponible,0)),(IFERROR(INDEX('CALENDARIO'!$C$15:$C$214,MATCH(TEXT($H196,"yyyy-mm-dd")&amp;"|"&amp;$D196&amp;"|"&amp;"",'CALENDARIO'!$G$15:$G$214,0)),IFERROR(INDEX('CALENDARIO'!$C$15:$C$214,MATCH(TEXT($H196,"yyyy-mm-dd")&amp;"|"&amp;$D196&amp;"|",'CALENDARIO'!$G$15:$G$214,0)),IFERROR(INDEX('CALENDARIO'!$C$15:$C$214,MATCH(TEXT($H196,"yyyy-mm-dd")&amp;"||",'CALENDARIO'!$G$15:$G$214,0)),INDEX(patronHabil,WEEKDAY($H196,2))))))&lt;&gt;"sí"),0,p_horas_jornada)</f>
        <v/>
      </c>
      <c r="J196" s="3">
        <f>$A196&amp;"|"&amp;$B196&amp;"|"&amp;$C196</f>
        <v/>
      </c>
      <c r="K196" s="3">
        <f>IFERROR(INDEX('CAT_TURNOS'!$C$4:$C$7,MATCH($F196,'CAT_TURNOS'!$A$4:$A$7,0)),"")</f>
        <v/>
      </c>
      <c r="L196" s="3">
        <f>IFERROR(INDEX('CAT_TURNOS'!$D$4:$D$7,MATCH($F196,'CAT_TURNOS'!$A$4:$A$7,0)),"")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11">
        <f>IF($A197="","",DATE(VALUE(LEFT($A197,4)),1,4)-WEEKDAY(DATE(VALUE(LEFT($A197,4)),1,4),2)+1+(VALUE(MID($A197,7,2))-1)*7+MATCH($B197,lista_dias,0)-1)</f>
        <v/>
      </c>
      <c r="I197" s="3">
        <f>IF(OR($F197="",ISNUMBER(MATCH($F197,lista_no_disponible,0)),(IFERROR(INDEX('CALENDARIO'!$C$15:$C$214,MATCH(TEXT($H197,"yyyy-mm-dd")&amp;"|"&amp;$D197&amp;"|"&amp;"",'CALENDARIO'!$G$15:$G$214,0)),IFERROR(INDEX('CALENDARIO'!$C$15:$C$214,MATCH(TEXT($H197,"yyyy-mm-dd")&amp;"|"&amp;$D197&amp;"|",'CALENDARIO'!$G$15:$G$214,0)),IFERROR(INDEX('CALENDARIO'!$C$15:$C$214,MATCH(TEXT($H197,"yyyy-mm-dd")&amp;"||",'CALENDARIO'!$G$15:$G$214,0)),INDEX(patronHabil,WEEKDAY($H197,2))))))&lt;&gt;"sí"),0,p_horas_jornada)</f>
        <v/>
      </c>
      <c r="J197" s="3">
        <f>$A197&amp;"|"&amp;$B197&amp;"|"&amp;$C197</f>
        <v/>
      </c>
      <c r="K197" s="3">
        <f>IFERROR(INDEX('CAT_TURNOS'!$C$4:$C$7,MATCH($F197,'CAT_TURNOS'!$A$4:$A$7,0)),"")</f>
        <v/>
      </c>
      <c r="L197" s="3">
        <f>IFERROR(INDEX('CAT_TURNOS'!$D$4:$D$7,MATCH($F197,'CAT_TURNOS'!$A$4:$A$7,0)),"")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>
        <is>
          <t>VAC</t>
        </is>
      </c>
      <c r="G198" s="3">
        <f>IFERROR(INDEX('TECNICOS'!$E$4:$E$15,MATCH($C198,'TECNICOS'!$B$4:$B$15,0)),"")</f>
        <v/>
      </c>
      <c r="H198" s="11">
        <f>IF($A198="","",DATE(VALUE(LEFT($A198,4)),1,4)-WEEKDAY(DATE(VALUE(LEFT($A198,4)),1,4),2)+1+(VALUE(MID($A198,7,2))-1)*7+MATCH($B198,lista_dias,0)-1)</f>
        <v/>
      </c>
      <c r="I198" s="3">
        <f>IF(OR($F198="",ISNUMBER(MATCH($F198,lista_no_disponible,0)),(IFERROR(INDEX('CALENDARIO'!$C$15:$C$214,MATCH(TEXT($H198,"yyyy-mm-dd")&amp;"|"&amp;$D198&amp;"|"&amp;"",'CALENDARIO'!$G$15:$G$214,0)),IFERROR(INDEX('CALENDARIO'!$C$15:$C$214,MATCH(TEXT($H198,"yyyy-mm-dd")&amp;"|"&amp;$D198&amp;"|",'CALENDARIO'!$G$15:$G$214,0)),IFERROR(INDEX('CALENDARIO'!$C$15:$C$214,MATCH(TEXT($H198,"yyyy-mm-dd")&amp;"||",'CALENDARIO'!$G$15:$G$214,0)),INDEX(patronHabil,WEEKDAY($H198,2))))))&lt;&gt;"sí"),0,p_horas_jornada)</f>
        <v/>
      </c>
      <c r="J198" s="3">
        <f>$A198&amp;"|"&amp;$B198&amp;"|"&amp;$C198</f>
        <v/>
      </c>
      <c r="K198" s="3">
        <f>IFERROR(INDEX('CAT_TURNOS'!$C$4:$C$7,MATCH($F198,'CAT_TURNOS'!$A$4:$A$7,0)),"")</f>
        <v/>
      </c>
      <c r="L198" s="3">
        <f>IFERROR(INDEX('CAT_TURNOS'!$D$4:$D$7,MATCH($F198,'CAT_TURNOS'!$A$4:$A$7,0)),"")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11">
        <f>IF($A199="","",DATE(VALUE(LEFT($A199,4)),1,4)-WEEKDAY(DATE(VALUE(LEFT($A199,4)),1,4),2)+1+(VALUE(MID($A199,7,2))-1)*7+MATCH($B199,lista_dias,0)-1)</f>
        <v/>
      </c>
      <c r="I199" s="3">
        <f>IF(OR($F199="",ISNUMBER(MATCH($F199,lista_no_disponible,0)),(IFERROR(INDEX('CALENDARIO'!$C$15:$C$214,MATCH(TEXT($H199,"yyyy-mm-dd")&amp;"|"&amp;$D199&amp;"|"&amp;"",'CALENDARIO'!$G$15:$G$214,0)),IFERROR(INDEX('CALENDARIO'!$C$15:$C$214,MATCH(TEXT($H199,"yyyy-mm-dd")&amp;"|"&amp;$D199&amp;"|",'CALENDARIO'!$G$15:$G$214,0)),IFERROR(INDEX('CALENDARIO'!$C$15:$C$214,MATCH(TEXT($H199,"yyyy-mm-dd")&amp;"||",'CALENDARIO'!$G$15:$G$214,0)),INDEX(patronHabil,WEEKDAY($H199,2))))))&lt;&gt;"sí"),0,p_horas_jornada)</f>
        <v/>
      </c>
      <c r="J199" s="3">
        <f>$A199&amp;"|"&amp;$B199&amp;"|"&amp;$C199</f>
        <v/>
      </c>
      <c r="K199" s="3">
        <f>IFERROR(INDEX('CAT_TURNOS'!$C$4:$C$7,MATCH($F199,'CAT_TURNOS'!$A$4:$A$7,0)),"")</f>
        <v/>
      </c>
      <c r="L199" s="3">
        <f>IFERROR(INDEX('CAT_TURNOS'!$D$4:$D$7,MATCH($F199,'CAT_TURNOS'!$A$4:$A$7,0)),"")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11">
        <f>IF($A200="","",DATE(VALUE(LEFT($A200,4)),1,4)-WEEKDAY(DATE(VALUE(LEFT($A200,4)),1,4),2)+1+(VALUE(MID($A200,7,2))-1)*7+MATCH($B200,lista_dias,0)-1)</f>
        <v/>
      </c>
      <c r="I200" s="3">
        <f>IF(OR($F200="",ISNUMBER(MATCH($F200,lista_no_disponible,0)),(IFERROR(INDEX('CALENDARIO'!$C$15:$C$214,MATCH(TEXT($H200,"yyyy-mm-dd")&amp;"|"&amp;$D200&amp;"|"&amp;"",'CALENDARIO'!$G$15:$G$214,0)),IFERROR(INDEX('CALENDARIO'!$C$15:$C$214,MATCH(TEXT($H200,"yyyy-mm-dd")&amp;"|"&amp;$D200&amp;"|",'CALENDARIO'!$G$15:$G$214,0)),IFERROR(INDEX('CALENDARIO'!$C$15:$C$214,MATCH(TEXT($H200,"yyyy-mm-dd")&amp;"||",'CALENDARIO'!$G$15:$G$214,0)),INDEX(patronHabil,WEEKDAY($H200,2))))))&lt;&gt;"sí"),0,p_horas_jornada)</f>
        <v/>
      </c>
      <c r="J200" s="3">
        <f>$A200&amp;"|"&amp;$B200&amp;"|"&amp;$C200</f>
        <v/>
      </c>
      <c r="K200" s="3">
        <f>IFERROR(INDEX('CAT_TURNOS'!$C$4:$C$7,MATCH($F200,'CAT_TURNOS'!$A$4:$A$7,0)),"")</f>
        <v/>
      </c>
      <c r="L200" s="3">
        <f>IFERROR(INDEX('CAT_TURNOS'!$D$4:$D$7,MATCH($F200,'CAT_TURNOS'!$A$4:$A$7,0)),"")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11">
        <f>IF($A201="","",DATE(VALUE(LEFT($A201,4)),1,4)-WEEKDAY(DATE(VALUE(LEFT($A201,4)),1,4),2)+1+(VALUE(MID($A201,7,2))-1)*7+MATCH($B201,lista_dias,0)-1)</f>
        <v/>
      </c>
      <c r="I201" s="3">
        <f>IF(OR($F201="",ISNUMBER(MATCH($F201,lista_no_disponible,0)),(IFERROR(INDEX('CALENDARIO'!$C$15:$C$214,MATCH(TEXT($H201,"yyyy-mm-dd")&amp;"|"&amp;$D201&amp;"|"&amp;"",'CALENDARIO'!$G$15:$G$214,0)),IFERROR(INDEX('CALENDARIO'!$C$15:$C$214,MATCH(TEXT($H201,"yyyy-mm-dd")&amp;"|"&amp;$D201&amp;"|",'CALENDARIO'!$G$15:$G$214,0)),IFERROR(INDEX('CALENDARIO'!$C$15:$C$214,MATCH(TEXT($H201,"yyyy-mm-dd")&amp;"||",'CALENDARIO'!$G$15:$G$214,0)),INDEX(patronHabil,WEEKDAY($H201,2))))))&lt;&gt;"sí"),0,p_horas_jornada)</f>
        <v/>
      </c>
      <c r="J201" s="3">
        <f>$A201&amp;"|"&amp;$B201&amp;"|"&amp;$C201</f>
        <v/>
      </c>
      <c r="K201" s="3">
        <f>IFERROR(INDEX('CAT_TURNOS'!$C$4:$C$7,MATCH($F201,'CAT_TURNOS'!$A$4:$A$7,0)),"")</f>
        <v/>
      </c>
      <c r="L201" s="3">
        <f>IFERROR(INDEX('CAT_TURNOS'!$D$4:$D$7,MATCH($F201,'CAT_TURNOS'!$A$4:$A$7,0)),"")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11">
        <f>IF($A202="","",DATE(VALUE(LEFT($A202,4)),1,4)-WEEKDAY(DATE(VALUE(LEFT($A202,4)),1,4),2)+1+(VALUE(MID($A202,7,2))-1)*7+MATCH($B202,lista_dias,0)-1)</f>
        <v/>
      </c>
      <c r="I202" s="3">
        <f>IF(OR($F202="",ISNUMBER(MATCH($F202,lista_no_disponible,0)),(IFERROR(INDEX('CALENDARIO'!$C$15:$C$214,MATCH(TEXT($H202,"yyyy-mm-dd")&amp;"|"&amp;$D202&amp;"|"&amp;"",'CALENDARIO'!$G$15:$G$214,0)),IFERROR(INDEX('CALENDARIO'!$C$15:$C$214,MATCH(TEXT($H202,"yyyy-mm-dd")&amp;"|"&amp;$D202&amp;"|",'CALENDARIO'!$G$15:$G$214,0)),IFERROR(INDEX('CALENDARIO'!$C$15:$C$214,MATCH(TEXT($H202,"yyyy-mm-dd")&amp;"||",'CALENDARIO'!$G$15:$G$214,0)),INDEX(patronHabil,WEEKDAY($H202,2))))))&lt;&gt;"sí"),0,p_horas_jornada)</f>
        <v/>
      </c>
      <c r="J202" s="3">
        <f>$A202&amp;"|"&amp;$B202&amp;"|"&amp;$C202</f>
        <v/>
      </c>
      <c r="K202" s="3">
        <f>IFERROR(INDEX('CAT_TURNOS'!$C$4:$C$7,MATCH($F202,'CAT_TURNOS'!$A$4:$A$7,0)),"")</f>
        <v/>
      </c>
      <c r="L202" s="3">
        <f>IFERROR(INDEX('CAT_TURNOS'!$D$4:$D$7,MATCH($F202,'CAT_TURNOS'!$A$4:$A$7,0)),"")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11">
        <f>IF($A203="","",DATE(VALUE(LEFT($A203,4)),1,4)-WEEKDAY(DATE(VALUE(LEFT($A203,4)),1,4),2)+1+(VALUE(MID($A203,7,2))-1)*7+MATCH($B203,lista_dias,0)-1)</f>
        <v/>
      </c>
      <c r="I203" s="3">
        <f>IF(OR($F203="",ISNUMBER(MATCH($F203,lista_no_disponible,0)),(IFERROR(INDEX('CALENDARIO'!$C$15:$C$214,MATCH(TEXT($H203,"yyyy-mm-dd")&amp;"|"&amp;$D203&amp;"|"&amp;"",'CALENDARIO'!$G$15:$G$214,0)),IFERROR(INDEX('CALENDARIO'!$C$15:$C$214,MATCH(TEXT($H203,"yyyy-mm-dd")&amp;"|"&amp;$D203&amp;"|",'CALENDARIO'!$G$15:$G$214,0)),IFERROR(INDEX('CALENDARIO'!$C$15:$C$214,MATCH(TEXT($H203,"yyyy-mm-dd")&amp;"||",'CALENDARIO'!$G$15:$G$214,0)),INDEX(patronHabil,WEEKDAY($H203,2))))))&lt;&gt;"sí"),0,p_horas_jornada)</f>
        <v/>
      </c>
      <c r="J203" s="3">
        <f>$A203&amp;"|"&amp;$B203&amp;"|"&amp;$C203</f>
        <v/>
      </c>
      <c r="K203" s="3">
        <f>IFERROR(INDEX('CAT_TURNOS'!$C$4:$C$7,MATCH($F203,'CAT_TURNOS'!$A$4:$A$7,0)),"")</f>
        <v/>
      </c>
      <c r="L203" s="3">
        <f>IFERROR(INDEX('CAT_TURNOS'!$D$4:$D$7,MATCH($F203,'CAT_TURNOS'!$A$4:$A$7,0)),"")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11">
        <f>IF($A204="","",DATE(VALUE(LEFT($A204,4)),1,4)-WEEKDAY(DATE(VALUE(LEFT($A204,4)),1,4),2)+1+(VALUE(MID($A204,7,2))-1)*7+MATCH($B204,lista_dias,0)-1)</f>
        <v/>
      </c>
      <c r="I204" s="3">
        <f>IF(OR($F204="",ISNUMBER(MATCH($F204,lista_no_disponible,0)),(IFERROR(INDEX('CALENDARIO'!$C$15:$C$214,MATCH(TEXT($H204,"yyyy-mm-dd")&amp;"|"&amp;$D204&amp;"|"&amp;"",'CALENDARIO'!$G$15:$G$214,0)),IFERROR(INDEX('CALENDARIO'!$C$15:$C$214,MATCH(TEXT($H204,"yyyy-mm-dd")&amp;"|"&amp;$D204&amp;"|",'CALENDARIO'!$G$15:$G$214,0)),IFERROR(INDEX('CALENDARIO'!$C$15:$C$214,MATCH(TEXT($H204,"yyyy-mm-dd")&amp;"||",'CALENDARIO'!$G$15:$G$214,0)),INDEX(patronHabil,WEEKDAY($H204,2))))))&lt;&gt;"sí"),0,p_horas_jornada)</f>
        <v/>
      </c>
      <c r="J204" s="3">
        <f>$A204&amp;"|"&amp;$B204&amp;"|"&amp;$C204</f>
        <v/>
      </c>
      <c r="K204" s="3">
        <f>IFERROR(INDEX('CAT_TURNOS'!$C$4:$C$7,MATCH($F204,'CAT_TURNOS'!$A$4:$A$7,0)),"")</f>
        <v/>
      </c>
      <c r="L204" s="3">
        <f>IFERROR(INDEX('CAT_TURNOS'!$D$4:$D$7,MATCH($F204,'CAT_TURNOS'!$A$4:$A$7,0)),"")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>
        <is>
          <t>T1</t>
        </is>
      </c>
      <c r="G205" s="3">
        <f>IFERROR(INDEX('TECNICOS'!$E$4:$E$15,MATCH($C205,'TECNICOS'!$B$4:$B$15,0)),"")</f>
        <v/>
      </c>
      <c r="H205" s="11">
        <f>IF($A205="","",DATE(VALUE(LEFT($A205,4)),1,4)-WEEKDAY(DATE(VALUE(LEFT($A205,4)),1,4),2)+1+(VALUE(MID($A205,7,2))-1)*7+MATCH($B205,lista_dias,0)-1)</f>
        <v/>
      </c>
      <c r="I205" s="3">
        <f>IF(OR($F205="",ISNUMBER(MATCH($F205,lista_no_disponible,0)),(IFERROR(INDEX('CALENDARIO'!$C$15:$C$214,MATCH(TEXT($H205,"yyyy-mm-dd")&amp;"|"&amp;$D205&amp;"|"&amp;"",'CALENDARIO'!$G$15:$G$214,0)),IFERROR(INDEX('CALENDARIO'!$C$15:$C$214,MATCH(TEXT($H205,"yyyy-mm-dd")&amp;"|"&amp;$D205&amp;"|",'CALENDARIO'!$G$15:$G$214,0)),IFERROR(INDEX('CALENDARIO'!$C$15:$C$214,MATCH(TEXT($H205,"yyyy-mm-dd")&amp;"||",'CALENDARIO'!$G$15:$G$214,0)),INDEX(patronHabil,WEEKDAY($H205,2))))))&lt;&gt;"sí"),0,p_horas_jornada)</f>
        <v/>
      </c>
      <c r="J205" s="3">
        <f>$A205&amp;"|"&amp;$B205&amp;"|"&amp;$C205</f>
        <v/>
      </c>
      <c r="K205" s="3">
        <f>IFERROR(INDEX('CAT_TURNOS'!$C$4:$C$7,MATCH($F205,'CAT_TURNOS'!$A$4:$A$7,0)),"")</f>
        <v/>
      </c>
      <c r="L205" s="3">
        <f>IFERROR(INDEX('CAT_TURNOS'!$D$4:$D$7,MATCH($F205,'CAT_TURNOS'!$A$4:$A$7,0)),"")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11">
        <f>IF($A206="","",DATE(VALUE(LEFT($A206,4)),1,4)-WEEKDAY(DATE(VALUE(LEFT($A206,4)),1,4),2)+1+(VALUE(MID($A206,7,2))-1)*7+MATCH($B206,lista_dias,0)-1)</f>
        <v/>
      </c>
      <c r="I206" s="3">
        <f>IF(OR($F206="",ISNUMBER(MATCH($F206,lista_no_disponible,0)),(IFERROR(INDEX('CALENDARIO'!$C$15:$C$214,MATCH(TEXT($H206,"yyyy-mm-dd")&amp;"|"&amp;$D206&amp;"|"&amp;"",'CALENDARIO'!$G$15:$G$214,0)),IFERROR(INDEX('CALENDARIO'!$C$15:$C$214,MATCH(TEXT($H206,"yyyy-mm-dd")&amp;"|"&amp;$D206&amp;"|",'CALENDARIO'!$G$15:$G$214,0)),IFERROR(INDEX('CALENDARIO'!$C$15:$C$214,MATCH(TEXT($H206,"yyyy-mm-dd")&amp;"||",'CALENDARIO'!$G$15:$G$214,0)),INDEX(patronHabil,WEEKDAY($H206,2))))))&lt;&gt;"sí"),0,p_horas_jornada)</f>
        <v/>
      </c>
      <c r="J206" s="3">
        <f>$A206&amp;"|"&amp;$B206&amp;"|"&amp;$C206</f>
        <v/>
      </c>
      <c r="K206" s="3">
        <f>IFERROR(INDEX('CAT_TURNOS'!$C$4:$C$7,MATCH($F206,'CAT_TURNOS'!$A$4:$A$7,0)),"")</f>
        <v/>
      </c>
      <c r="L206" s="3">
        <f>IFERROR(INDEX('CAT_TURNOS'!$D$4:$D$7,MATCH($F206,'CAT_TURNOS'!$A$4:$A$7,0)),"")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11">
        <f>IF($A207="","",DATE(VALUE(LEFT($A207,4)),1,4)-WEEKDAY(DATE(VALUE(LEFT($A207,4)),1,4),2)+1+(VALUE(MID($A207,7,2))-1)*7+MATCH($B207,lista_dias,0)-1)</f>
        <v/>
      </c>
      <c r="I207" s="3">
        <f>IF(OR($F207="",ISNUMBER(MATCH($F207,lista_no_disponible,0)),(IFERROR(INDEX('CALENDARIO'!$C$15:$C$214,MATCH(TEXT($H207,"yyyy-mm-dd")&amp;"|"&amp;$D207&amp;"|"&amp;"",'CALENDARIO'!$G$15:$G$214,0)),IFERROR(INDEX('CALENDARIO'!$C$15:$C$214,MATCH(TEXT($H207,"yyyy-mm-dd")&amp;"|"&amp;$D207&amp;"|",'CALENDARIO'!$G$15:$G$214,0)),IFERROR(INDEX('CALENDARIO'!$C$15:$C$214,MATCH(TEXT($H207,"yyyy-mm-dd")&amp;"||",'CALENDARIO'!$G$15:$G$214,0)),INDEX(patronHabil,WEEKDAY($H207,2))))))&lt;&gt;"sí"),0,p_horas_jornada)</f>
        <v/>
      </c>
      <c r="J207" s="3">
        <f>$A207&amp;"|"&amp;$B207&amp;"|"&amp;$C207</f>
        <v/>
      </c>
      <c r="K207" s="3">
        <f>IFERROR(INDEX('CAT_TURNOS'!$C$4:$C$7,MATCH($F207,'CAT_TURNOS'!$A$4:$A$7,0)),"")</f>
        <v/>
      </c>
      <c r="L207" s="3">
        <f>IFERROR(INDEX('CAT_TURNOS'!$D$4:$D$7,MATCH($F207,'CAT_TURNOS'!$A$4:$A$7,0)),"")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11">
        <f>IF($A208="","",DATE(VALUE(LEFT($A208,4)),1,4)-WEEKDAY(DATE(VALUE(LEFT($A208,4)),1,4),2)+1+(VALUE(MID($A208,7,2))-1)*7+MATCH($B208,lista_dias,0)-1)</f>
        <v/>
      </c>
      <c r="I208" s="3">
        <f>IF(OR($F208="",ISNUMBER(MATCH($F208,lista_no_disponible,0)),(IFERROR(INDEX('CALENDARIO'!$C$15:$C$214,MATCH(TEXT($H208,"yyyy-mm-dd")&amp;"|"&amp;$D208&amp;"|"&amp;"",'CALENDARIO'!$G$15:$G$214,0)),IFERROR(INDEX('CALENDARIO'!$C$15:$C$214,MATCH(TEXT($H208,"yyyy-mm-dd")&amp;"|"&amp;$D208&amp;"|",'CALENDARIO'!$G$15:$G$214,0)),IFERROR(INDEX('CALENDARIO'!$C$15:$C$214,MATCH(TEXT($H208,"yyyy-mm-dd")&amp;"||",'CALENDARIO'!$G$15:$G$214,0)),INDEX(patronHabil,WEEKDAY($H208,2))))))&lt;&gt;"sí"),0,p_horas_jornada)</f>
        <v/>
      </c>
      <c r="J208" s="3">
        <f>$A208&amp;"|"&amp;$B208&amp;"|"&amp;$C208</f>
        <v/>
      </c>
      <c r="K208" s="3">
        <f>IFERROR(INDEX('CAT_TURNOS'!$C$4:$C$7,MATCH($F208,'CAT_TURNOS'!$A$4:$A$7,0)),"")</f>
        <v/>
      </c>
      <c r="L208" s="3">
        <f>IFERROR(INDEX('CAT_TURNOS'!$D$4:$D$7,MATCH($F208,'CAT_TURNOS'!$A$4:$A$7,0)),"")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11">
        <f>IF($A209="","",DATE(VALUE(LEFT($A209,4)),1,4)-WEEKDAY(DATE(VALUE(LEFT($A209,4)),1,4),2)+1+(VALUE(MID($A209,7,2))-1)*7+MATCH($B209,lista_dias,0)-1)</f>
        <v/>
      </c>
      <c r="I209" s="3">
        <f>IF(OR($F209="",ISNUMBER(MATCH($F209,lista_no_disponible,0)),(IFERROR(INDEX('CALENDARIO'!$C$15:$C$214,MATCH(TEXT($H209,"yyyy-mm-dd")&amp;"|"&amp;$D209&amp;"|"&amp;"",'CALENDARIO'!$G$15:$G$214,0)),IFERROR(INDEX('CALENDARIO'!$C$15:$C$214,MATCH(TEXT($H209,"yyyy-mm-dd")&amp;"|"&amp;$D209&amp;"|",'CALENDARIO'!$G$15:$G$214,0)),IFERROR(INDEX('CALENDARIO'!$C$15:$C$214,MATCH(TEXT($H209,"yyyy-mm-dd")&amp;"||",'CALENDARIO'!$G$15:$G$214,0)),INDEX(patronHabil,WEEKDAY($H209,2))))))&lt;&gt;"sí"),0,p_horas_jornada)</f>
        <v/>
      </c>
      <c r="J209" s="3">
        <f>$A209&amp;"|"&amp;$B209&amp;"|"&amp;$C209</f>
        <v/>
      </c>
      <c r="K209" s="3">
        <f>IFERROR(INDEX('CAT_TURNOS'!$C$4:$C$7,MATCH($F209,'CAT_TURNOS'!$A$4:$A$7,0)),"")</f>
        <v/>
      </c>
      <c r="L209" s="3">
        <f>IFERROR(INDEX('CAT_TURNOS'!$D$4:$D$7,MATCH($F209,'CAT_TURNOS'!$A$4:$A$7,0)),"")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11">
        <f>IF($A210="","",DATE(VALUE(LEFT($A210,4)),1,4)-WEEKDAY(DATE(VALUE(LEFT($A210,4)),1,4),2)+1+(VALUE(MID($A210,7,2))-1)*7+MATCH($B210,lista_dias,0)-1)</f>
        <v/>
      </c>
      <c r="I210" s="3">
        <f>IF(OR($F210="",ISNUMBER(MATCH($F210,lista_no_disponible,0)),(IFERROR(INDEX('CALENDARIO'!$C$15:$C$214,MATCH(TEXT($H210,"yyyy-mm-dd")&amp;"|"&amp;$D210&amp;"|"&amp;"",'CALENDARIO'!$G$15:$G$214,0)),IFERROR(INDEX('CALENDARIO'!$C$15:$C$214,MATCH(TEXT($H210,"yyyy-mm-dd")&amp;"|"&amp;$D210&amp;"|",'CALENDARIO'!$G$15:$G$214,0)),IFERROR(INDEX('CALENDARIO'!$C$15:$C$214,MATCH(TEXT($H210,"yyyy-mm-dd")&amp;"||",'CALENDARIO'!$G$15:$G$214,0)),INDEX(patronHabil,WEEKDAY($H210,2))))))&lt;&gt;"sí"),0,p_horas_jornada)</f>
        <v/>
      </c>
      <c r="J210" s="3">
        <f>$A210&amp;"|"&amp;$B210&amp;"|"&amp;$C210</f>
        <v/>
      </c>
      <c r="K210" s="3">
        <f>IFERROR(INDEX('CAT_TURNOS'!$C$4:$C$7,MATCH($F210,'CAT_TURNOS'!$A$4:$A$7,0)),"")</f>
        <v/>
      </c>
      <c r="L210" s="3">
        <f>IFERROR(INDEX('CAT_TURNOS'!$D$4:$D$7,MATCH($F210,'CAT_TURNOS'!$A$4:$A$7,0)),"")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11">
        <f>IF($A211="","",DATE(VALUE(LEFT($A211,4)),1,4)-WEEKDAY(DATE(VALUE(LEFT($A211,4)),1,4),2)+1+(VALUE(MID($A211,7,2))-1)*7+MATCH($B211,lista_dias,0)-1)</f>
        <v/>
      </c>
      <c r="I211" s="3">
        <f>IF(OR($F211="",ISNUMBER(MATCH($F211,lista_no_disponible,0)),(IFERROR(INDEX('CALENDARIO'!$C$15:$C$214,MATCH(TEXT($H211,"yyyy-mm-dd")&amp;"|"&amp;$D211&amp;"|"&amp;"",'CALENDARIO'!$G$15:$G$214,0)),IFERROR(INDEX('CALENDARIO'!$C$15:$C$214,MATCH(TEXT($H211,"yyyy-mm-dd")&amp;"|"&amp;$D211&amp;"|",'CALENDARIO'!$G$15:$G$214,0)),IFERROR(INDEX('CALENDARIO'!$C$15:$C$214,MATCH(TEXT($H211,"yyyy-mm-dd")&amp;"||",'CALENDARIO'!$G$15:$G$214,0)),INDEX(patronHabil,WEEKDAY($H211,2))))))&lt;&gt;"sí"),0,p_horas_jornada)</f>
        <v/>
      </c>
      <c r="J211" s="3">
        <f>$A211&amp;"|"&amp;$B211&amp;"|"&amp;$C211</f>
        <v/>
      </c>
      <c r="K211" s="3">
        <f>IFERROR(INDEX('CAT_TURNOS'!$C$4:$C$7,MATCH($F211,'CAT_TURNOS'!$A$4:$A$7,0)),"")</f>
        <v/>
      </c>
      <c r="L211" s="3">
        <f>IFERROR(INDEX('CAT_TURNOS'!$D$4:$D$7,MATCH($F211,'CAT_TURNOS'!$A$4:$A$7,0)),"")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>
        <is>
          <t>T1</t>
        </is>
      </c>
      <c r="G212" s="3">
        <f>IFERROR(INDEX('TECNICOS'!$E$4:$E$15,MATCH($C212,'TECNICOS'!$B$4:$B$15,0)),"")</f>
        <v/>
      </c>
      <c r="H212" s="11">
        <f>IF($A212="","",DATE(VALUE(LEFT($A212,4)),1,4)-WEEKDAY(DATE(VALUE(LEFT($A212,4)),1,4),2)+1+(VALUE(MID($A212,7,2))-1)*7+MATCH($B212,lista_dias,0)-1)</f>
        <v/>
      </c>
      <c r="I212" s="3">
        <f>IF(OR($F212="",ISNUMBER(MATCH($F212,lista_no_disponible,0)),(IFERROR(INDEX('CALENDARIO'!$C$15:$C$214,MATCH(TEXT($H212,"yyyy-mm-dd")&amp;"|"&amp;$D212&amp;"|"&amp;"",'CALENDARIO'!$G$15:$G$214,0)),IFERROR(INDEX('CALENDARIO'!$C$15:$C$214,MATCH(TEXT($H212,"yyyy-mm-dd")&amp;"|"&amp;$D212&amp;"|",'CALENDARIO'!$G$15:$G$214,0)),IFERROR(INDEX('CALENDARIO'!$C$15:$C$214,MATCH(TEXT($H212,"yyyy-mm-dd")&amp;"||",'CALENDARIO'!$G$15:$G$214,0)),INDEX(patronHabil,WEEKDAY($H212,2))))))&lt;&gt;"sí"),0,p_horas_jornada)</f>
        <v/>
      </c>
      <c r="J212" s="3">
        <f>$A212&amp;"|"&amp;$B212&amp;"|"&amp;$C212</f>
        <v/>
      </c>
      <c r="K212" s="3">
        <f>IFERROR(INDEX('CAT_TURNOS'!$C$4:$C$7,MATCH($F212,'CAT_TURNOS'!$A$4:$A$7,0)),"")</f>
        <v/>
      </c>
      <c r="L212" s="3">
        <f>IFERROR(INDEX('CAT_TURNOS'!$D$4:$D$7,MATCH($F212,'CAT_TURNOS'!$A$4:$A$7,0)),"")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11">
        <f>IF($A213="","",DATE(VALUE(LEFT($A213,4)),1,4)-WEEKDAY(DATE(VALUE(LEFT($A213,4)),1,4),2)+1+(VALUE(MID($A213,7,2))-1)*7+MATCH($B213,lista_dias,0)-1)</f>
        <v/>
      </c>
      <c r="I213" s="3">
        <f>IF(OR($F213="",ISNUMBER(MATCH($F213,lista_no_disponible,0)),(IFERROR(INDEX('CALENDARIO'!$C$15:$C$214,MATCH(TEXT($H213,"yyyy-mm-dd")&amp;"|"&amp;$D213&amp;"|"&amp;"",'CALENDARIO'!$G$15:$G$214,0)),IFERROR(INDEX('CALENDARIO'!$C$15:$C$214,MATCH(TEXT($H213,"yyyy-mm-dd")&amp;"|"&amp;$D213&amp;"|",'CALENDARIO'!$G$15:$G$214,0)),IFERROR(INDEX('CALENDARIO'!$C$15:$C$214,MATCH(TEXT($H213,"yyyy-mm-dd")&amp;"||",'CALENDARIO'!$G$15:$G$214,0)),INDEX(patronHabil,WEEKDAY($H213,2))))))&lt;&gt;"sí"),0,p_horas_jornada)</f>
        <v/>
      </c>
      <c r="J213" s="3">
        <f>$A213&amp;"|"&amp;$B213&amp;"|"&amp;$C213</f>
        <v/>
      </c>
      <c r="K213" s="3">
        <f>IFERROR(INDEX('CAT_TURNOS'!$C$4:$C$7,MATCH($F213,'CAT_TURNOS'!$A$4:$A$7,0)),"")</f>
        <v/>
      </c>
      <c r="L213" s="3">
        <f>IFERROR(INDEX('CAT_TURNOS'!$D$4:$D$7,MATCH($F213,'CAT_TURNOS'!$A$4:$A$7,0)),"")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11">
        <f>IF($A214="","",DATE(VALUE(LEFT($A214,4)),1,4)-WEEKDAY(DATE(VALUE(LEFT($A214,4)),1,4),2)+1+(VALUE(MID($A214,7,2))-1)*7+MATCH($B214,lista_dias,0)-1)</f>
        <v/>
      </c>
      <c r="I214" s="3">
        <f>IF(OR($F214="",ISNUMBER(MATCH($F214,lista_no_disponible,0)),(IFERROR(INDEX('CALENDARIO'!$C$15:$C$214,MATCH(TEXT($H214,"yyyy-mm-dd")&amp;"|"&amp;$D214&amp;"|"&amp;"",'CALENDARIO'!$G$15:$G$214,0)),IFERROR(INDEX('CALENDARIO'!$C$15:$C$214,MATCH(TEXT($H214,"yyyy-mm-dd")&amp;"|"&amp;$D214&amp;"|",'CALENDARIO'!$G$15:$G$214,0)),IFERROR(INDEX('CALENDARIO'!$C$15:$C$214,MATCH(TEXT($H214,"yyyy-mm-dd")&amp;"||",'CALENDARIO'!$G$15:$G$214,0)),INDEX(patronHabil,WEEKDAY($H214,2))))))&lt;&gt;"sí"),0,p_horas_jornada)</f>
        <v/>
      </c>
      <c r="J214" s="3">
        <f>$A214&amp;"|"&amp;$B214&amp;"|"&amp;$C214</f>
        <v/>
      </c>
      <c r="K214" s="3">
        <f>IFERROR(INDEX('CAT_TURNOS'!$C$4:$C$7,MATCH($F214,'CAT_TURNOS'!$A$4:$A$7,0)),"")</f>
        <v/>
      </c>
      <c r="L214" s="3">
        <f>IFERROR(INDEX('CAT_TURNOS'!$D$4:$D$7,MATCH($F214,'CAT_TURNOS'!$A$4:$A$7,0)),"")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11">
        <f>IF($A215="","",DATE(VALUE(LEFT($A215,4)),1,4)-WEEKDAY(DATE(VALUE(LEFT($A215,4)),1,4),2)+1+(VALUE(MID($A215,7,2))-1)*7+MATCH($B215,lista_dias,0)-1)</f>
        <v/>
      </c>
      <c r="I215" s="3">
        <f>IF(OR($F215="",ISNUMBER(MATCH($F215,lista_no_disponible,0)),(IFERROR(INDEX('CALENDARIO'!$C$15:$C$214,MATCH(TEXT($H215,"yyyy-mm-dd")&amp;"|"&amp;$D215&amp;"|"&amp;"",'CALENDARIO'!$G$15:$G$214,0)),IFERROR(INDEX('CALENDARIO'!$C$15:$C$214,MATCH(TEXT($H215,"yyyy-mm-dd")&amp;"|"&amp;$D215&amp;"|",'CALENDARIO'!$G$15:$G$214,0)),IFERROR(INDEX('CALENDARIO'!$C$15:$C$214,MATCH(TEXT($H215,"yyyy-mm-dd")&amp;"||",'CALENDARIO'!$G$15:$G$214,0)),INDEX(patronHabil,WEEKDAY($H215,2))))))&lt;&gt;"sí"),0,p_horas_jornada)</f>
        <v/>
      </c>
      <c r="J215" s="3">
        <f>$A215&amp;"|"&amp;$B215&amp;"|"&amp;$C215</f>
        <v/>
      </c>
      <c r="K215" s="3">
        <f>IFERROR(INDEX('CAT_TURNOS'!$C$4:$C$7,MATCH($F215,'CAT_TURNOS'!$A$4:$A$7,0)),"")</f>
        <v/>
      </c>
      <c r="L215" s="3">
        <f>IFERROR(INDEX('CAT_TURNOS'!$D$4:$D$7,MATCH($F215,'CAT_TURNOS'!$A$4:$A$7,0)),"")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11">
        <f>IF($A216="","",DATE(VALUE(LEFT($A216,4)),1,4)-WEEKDAY(DATE(VALUE(LEFT($A216,4)),1,4),2)+1+(VALUE(MID($A216,7,2))-1)*7+MATCH($B216,lista_dias,0)-1)</f>
        <v/>
      </c>
      <c r="I216" s="3">
        <f>IF(OR($F216="",ISNUMBER(MATCH($F216,lista_no_disponible,0)),(IFERROR(INDEX('CALENDARIO'!$C$15:$C$214,MATCH(TEXT($H216,"yyyy-mm-dd")&amp;"|"&amp;$D216&amp;"|"&amp;"",'CALENDARIO'!$G$15:$G$214,0)),IFERROR(INDEX('CALENDARIO'!$C$15:$C$214,MATCH(TEXT($H216,"yyyy-mm-dd")&amp;"|"&amp;$D216&amp;"|",'CALENDARIO'!$G$15:$G$214,0)),IFERROR(INDEX('CALENDARIO'!$C$15:$C$214,MATCH(TEXT($H216,"yyyy-mm-dd")&amp;"||",'CALENDARIO'!$G$15:$G$214,0)),INDEX(patronHabil,WEEKDAY($H216,2))))))&lt;&gt;"sí"),0,p_horas_jornada)</f>
        <v/>
      </c>
      <c r="J216" s="3">
        <f>$A216&amp;"|"&amp;$B216&amp;"|"&amp;$C216</f>
        <v/>
      </c>
      <c r="K216" s="3">
        <f>IFERROR(INDEX('CAT_TURNOS'!$C$4:$C$7,MATCH($F216,'CAT_TURNOS'!$A$4:$A$7,0)),"")</f>
        <v/>
      </c>
      <c r="L216" s="3">
        <f>IFERROR(INDEX('CAT_TURNOS'!$D$4:$D$7,MATCH($F216,'CAT_TURNOS'!$A$4:$A$7,0)),"")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11">
        <f>IF($A217="","",DATE(VALUE(LEFT($A217,4)),1,4)-WEEKDAY(DATE(VALUE(LEFT($A217,4)),1,4),2)+1+(VALUE(MID($A217,7,2))-1)*7+MATCH($B217,lista_dias,0)-1)</f>
        <v/>
      </c>
      <c r="I217" s="3">
        <f>IF(OR($F217="",ISNUMBER(MATCH($F217,lista_no_disponible,0)),(IFERROR(INDEX('CALENDARIO'!$C$15:$C$214,MATCH(TEXT($H217,"yyyy-mm-dd")&amp;"|"&amp;$D217&amp;"|"&amp;"",'CALENDARIO'!$G$15:$G$214,0)),IFERROR(INDEX('CALENDARIO'!$C$15:$C$214,MATCH(TEXT($H217,"yyyy-mm-dd")&amp;"|"&amp;$D217&amp;"|",'CALENDARIO'!$G$15:$G$214,0)),IFERROR(INDEX('CALENDARIO'!$C$15:$C$214,MATCH(TEXT($H217,"yyyy-mm-dd")&amp;"||",'CALENDARIO'!$G$15:$G$214,0)),INDEX(patronHabil,WEEKDAY($H217,2))))))&lt;&gt;"sí"),0,p_horas_jornada)</f>
        <v/>
      </c>
      <c r="J217" s="3">
        <f>$A217&amp;"|"&amp;$B217&amp;"|"&amp;$C217</f>
        <v/>
      </c>
      <c r="K217" s="3">
        <f>IFERROR(INDEX('CAT_TURNOS'!$C$4:$C$7,MATCH($F217,'CAT_TURNOS'!$A$4:$A$7,0)),"")</f>
        <v/>
      </c>
      <c r="L217" s="3">
        <f>IFERROR(INDEX('CAT_TURNOS'!$D$4:$D$7,MATCH($F217,'CAT_TURNOS'!$A$4:$A$7,0)),"")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11">
        <f>IF($A218="","",DATE(VALUE(LEFT($A218,4)),1,4)-WEEKDAY(DATE(VALUE(LEFT($A218,4)),1,4),2)+1+(VALUE(MID($A218,7,2))-1)*7+MATCH($B218,lista_dias,0)-1)</f>
        <v/>
      </c>
      <c r="I218" s="3">
        <f>IF(OR($F218="",ISNUMBER(MATCH($F218,lista_no_disponible,0)),(IFERROR(INDEX('CALENDARIO'!$C$15:$C$214,MATCH(TEXT($H218,"yyyy-mm-dd")&amp;"|"&amp;$D218&amp;"|"&amp;"",'CALENDARIO'!$G$15:$G$214,0)),IFERROR(INDEX('CALENDARIO'!$C$15:$C$214,MATCH(TEXT($H218,"yyyy-mm-dd")&amp;"|"&amp;$D218&amp;"|",'CALENDARIO'!$G$15:$G$214,0)),IFERROR(INDEX('CALENDARIO'!$C$15:$C$214,MATCH(TEXT($H218,"yyyy-mm-dd")&amp;"||",'CALENDARIO'!$G$15:$G$214,0)),INDEX(patronHabil,WEEKDAY($H218,2))))))&lt;&gt;"sí"),0,p_horas_jornada)</f>
        <v/>
      </c>
      <c r="J218" s="3">
        <f>$A218&amp;"|"&amp;$B218&amp;"|"&amp;$C218</f>
        <v/>
      </c>
      <c r="K218" s="3">
        <f>IFERROR(INDEX('CAT_TURNOS'!$C$4:$C$7,MATCH($F218,'CAT_TURNOS'!$A$4:$A$7,0)),"")</f>
        <v/>
      </c>
      <c r="L218" s="3">
        <f>IFERROR(INDEX('CAT_TURNOS'!$D$4:$D$7,MATCH($F218,'CAT_TURNOS'!$A$4:$A$7,0)),"")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>
        <is>
          <t>T1</t>
        </is>
      </c>
      <c r="G219" s="3">
        <f>IFERROR(INDEX('TECNICOS'!$E$4:$E$15,MATCH($C219,'TECNICOS'!$B$4:$B$15,0)),"")</f>
        <v/>
      </c>
      <c r="H219" s="11">
        <f>IF($A219="","",DATE(VALUE(LEFT($A219,4)),1,4)-WEEKDAY(DATE(VALUE(LEFT($A219,4)),1,4),2)+1+(VALUE(MID($A219,7,2))-1)*7+MATCH($B219,lista_dias,0)-1)</f>
        <v/>
      </c>
      <c r="I219" s="3">
        <f>IF(OR($F219="",ISNUMBER(MATCH($F219,lista_no_disponible,0)),(IFERROR(INDEX('CALENDARIO'!$C$15:$C$214,MATCH(TEXT($H219,"yyyy-mm-dd")&amp;"|"&amp;$D219&amp;"|"&amp;"",'CALENDARIO'!$G$15:$G$214,0)),IFERROR(INDEX('CALENDARIO'!$C$15:$C$214,MATCH(TEXT($H219,"yyyy-mm-dd")&amp;"|"&amp;$D219&amp;"|",'CALENDARIO'!$G$15:$G$214,0)),IFERROR(INDEX('CALENDARIO'!$C$15:$C$214,MATCH(TEXT($H219,"yyyy-mm-dd")&amp;"||",'CALENDARIO'!$G$15:$G$214,0)),INDEX(patronHabil,WEEKDAY($H219,2))))))&lt;&gt;"sí"),0,p_horas_jornada)</f>
        <v/>
      </c>
      <c r="J219" s="3">
        <f>$A219&amp;"|"&amp;$B219&amp;"|"&amp;$C219</f>
        <v/>
      </c>
      <c r="K219" s="3">
        <f>IFERROR(INDEX('CAT_TURNOS'!$C$4:$C$7,MATCH($F219,'CAT_TURNOS'!$A$4:$A$7,0)),"")</f>
        <v/>
      </c>
      <c r="L219" s="3">
        <f>IFERROR(INDEX('CAT_TURNOS'!$D$4:$D$7,MATCH($F219,'CAT_TURNOS'!$A$4:$A$7,0)),"")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11">
        <f>IF($A220="","",DATE(VALUE(LEFT($A220,4)),1,4)-WEEKDAY(DATE(VALUE(LEFT($A220,4)),1,4),2)+1+(VALUE(MID($A220,7,2))-1)*7+MATCH($B220,lista_dias,0)-1)</f>
        <v/>
      </c>
      <c r="I220" s="3">
        <f>IF(OR($F220="",ISNUMBER(MATCH($F220,lista_no_disponible,0)),(IFERROR(INDEX('CALENDARIO'!$C$15:$C$214,MATCH(TEXT($H220,"yyyy-mm-dd")&amp;"|"&amp;$D220&amp;"|"&amp;"",'CALENDARIO'!$G$15:$G$214,0)),IFERROR(INDEX('CALENDARIO'!$C$15:$C$214,MATCH(TEXT($H220,"yyyy-mm-dd")&amp;"|"&amp;$D220&amp;"|",'CALENDARIO'!$G$15:$G$214,0)),IFERROR(INDEX('CALENDARIO'!$C$15:$C$214,MATCH(TEXT($H220,"yyyy-mm-dd")&amp;"||",'CALENDARIO'!$G$15:$G$214,0)),INDEX(patronHabil,WEEKDAY($H220,2))))))&lt;&gt;"sí"),0,p_horas_jornada)</f>
        <v/>
      </c>
      <c r="J220" s="3">
        <f>$A220&amp;"|"&amp;$B220&amp;"|"&amp;$C220</f>
        <v/>
      </c>
      <c r="K220" s="3">
        <f>IFERROR(INDEX('CAT_TURNOS'!$C$4:$C$7,MATCH($F220,'CAT_TURNOS'!$A$4:$A$7,0)),"")</f>
        <v/>
      </c>
      <c r="L220" s="3">
        <f>IFERROR(INDEX('CAT_TURNOS'!$D$4:$D$7,MATCH($F220,'CAT_TURNOS'!$A$4:$A$7,0)),"")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B</t>
        </is>
      </c>
      <c r="G221" s="3">
        <f>IFERROR(INDEX('TECNICOS'!$E$4:$E$15,MATCH($C221,'TECNICOS'!$B$4:$B$15,0)),"")</f>
        <v/>
      </c>
      <c r="H221" s="11">
        <f>IF($A221="","",DATE(VALUE(LEFT($A221,4)),1,4)-WEEKDAY(DATE(VALUE(LEFT($A221,4)),1,4),2)+1+(VALUE(MID($A221,7,2))-1)*7+MATCH($B221,lista_dias,0)-1)</f>
        <v/>
      </c>
      <c r="I221" s="3">
        <f>IF(OR($F221="",ISNUMBER(MATCH($F221,lista_no_disponible,0)),(IFERROR(INDEX('CALENDARIO'!$C$15:$C$214,MATCH(TEXT($H221,"yyyy-mm-dd")&amp;"|"&amp;$D221&amp;"|"&amp;"",'CALENDARIO'!$G$15:$G$214,0)),IFERROR(INDEX('CALENDARIO'!$C$15:$C$214,MATCH(TEXT($H221,"yyyy-mm-dd")&amp;"|"&amp;$D221&amp;"|",'CALENDARIO'!$G$15:$G$214,0)),IFERROR(INDEX('CALENDARIO'!$C$15:$C$214,MATCH(TEXT($H221,"yyyy-mm-dd")&amp;"||",'CALENDARIO'!$G$15:$G$214,0)),INDEX(patronHabil,WEEKDAY($H221,2))))))&lt;&gt;"sí"),0,p_horas_jornada)</f>
        <v/>
      </c>
      <c r="J221" s="3">
        <f>$A221&amp;"|"&amp;$B221&amp;"|"&amp;$C221</f>
        <v/>
      </c>
      <c r="K221" s="3">
        <f>IFERROR(INDEX('CAT_TURNOS'!$C$4:$C$7,MATCH($F221,'CAT_TURNOS'!$A$4:$A$7,0)),"")</f>
        <v/>
      </c>
      <c r="L221" s="3">
        <f>IFERROR(INDEX('CAT_TURNOS'!$D$4:$D$7,MATCH($F221,'CAT_TURNOS'!$A$4:$A$7,0)),"")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B</t>
        </is>
      </c>
      <c r="G222" s="3">
        <f>IFERROR(INDEX('TECNICOS'!$E$4:$E$15,MATCH($C222,'TECNICOS'!$B$4:$B$15,0)),"")</f>
        <v/>
      </c>
      <c r="H222" s="11">
        <f>IF($A222="","",DATE(VALUE(LEFT($A222,4)),1,4)-WEEKDAY(DATE(VALUE(LEFT($A222,4)),1,4),2)+1+(VALUE(MID($A222,7,2))-1)*7+MATCH($B222,lista_dias,0)-1)</f>
        <v/>
      </c>
      <c r="I222" s="3">
        <f>IF(OR($F222="",ISNUMBER(MATCH($F222,lista_no_disponible,0)),(IFERROR(INDEX('CALENDARIO'!$C$15:$C$214,MATCH(TEXT($H222,"yyyy-mm-dd")&amp;"|"&amp;$D222&amp;"|"&amp;"",'CALENDARIO'!$G$15:$G$214,0)),IFERROR(INDEX('CALENDARIO'!$C$15:$C$214,MATCH(TEXT($H222,"yyyy-mm-dd")&amp;"|"&amp;$D222&amp;"|",'CALENDARIO'!$G$15:$G$214,0)),IFERROR(INDEX('CALENDARIO'!$C$15:$C$214,MATCH(TEXT($H222,"yyyy-mm-dd")&amp;"||",'CALENDARIO'!$G$15:$G$214,0)),INDEX(patronHabil,WEEKDAY($H222,2))))))&lt;&gt;"sí"),0,p_horas_jornada)</f>
        <v/>
      </c>
      <c r="J222" s="3">
        <f>$A222&amp;"|"&amp;$B222&amp;"|"&amp;$C222</f>
        <v/>
      </c>
      <c r="K222" s="3">
        <f>IFERROR(INDEX('CAT_TURNOS'!$C$4:$C$7,MATCH($F222,'CAT_TURNOS'!$A$4:$A$7,0)),"")</f>
        <v/>
      </c>
      <c r="L222" s="3">
        <f>IFERROR(INDEX('CAT_TURNOS'!$D$4:$D$7,MATCH($F222,'CAT_TURNOS'!$A$4:$A$7,0)),"")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B</t>
        </is>
      </c>
      <c r="G223" s="3">
        <f>IFERROR(INDEX('TECNICOS'!$E$4:$E$15,MATCH($C223,'TECNICOS'!$B$4:$B$15,0)),"")</f>
        <v/>
      </c>
      <c r="H223" s="11">
        <f>IF($A223="","",DATE(VALUE(LEFT($A223,4)),1,4)-WEEKDAY(DATE(VALUE(LEFT($A223,4)),1,4),2)+1+(VALUE(MID($A223,7,2))-1)*7+MATCH($B223,lista_dias,0)-1)</f>
        <v/>
      </c>
      <c r="I223" s="3">
        <f>IF(OR($F223="",ISNUMBER(MATCH($F223,lista_no_disponible,0)),(IFERROR(INDEX('CALENDARIO'!$C$15:$C$214,MATCH(TEXT($H223,"yyyy-mm-dd")&amp;"|"&amp;$D223&amp;"|"&amp;"",'CALENDARIO'!$G$15:$G$214,0)),IFERROR(INDEX('CALENDARIO'!$C$15:$C$214,MATCH(TEXT($H223,"yyyy-mm-dd")&amp;"|"&amp;$D223&amp;"|",'CALENDARIO'!$G$15:$G$214,0)),IFERROR(INDEX('CALENDARIO'!$C$15:$C$214,MATCH(TEXT($H223,"yyyy-mm-dd")&amp;"||",'CALENDARIO'!$G$15:$G$214,0)),INDEX(patronHabil,WEEKDAY($H223,2))))))&lt;&gt;"sí"),0,p_horas_jornada)</f>
        <v/>
      </c>
      <c r="J223" s="3">
        <f>$A223&amp;"|"&amp;$B223&amp;"|"&amp;$C223</f>
        <v/>
      </c>
      <c r="K223" s="3">
        <f>IFERROR(INDEX('CAT_TURNOS'!$C$4:$C$7,MATCH($F223,'CAT_TURNOS'!$A$4:$A$7,0)),"")</f>
        <v/>
      </c>
      <c r="L223" s="3">
        <f>IFERROR(INDEX('CAT_TURNOS'!$D$4:$D$7,MATCH($F223,'CAT_TURNOS'!$A$4:$A$7,0)),"")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B</t>
        </is>
      </c>
      <c r="G224" s="3">
        <f>IFERROR(INDEX('TECNICOS'!$E$4:$E$15,MATCH($C224,'TECNICOS'!$B$4:$B$15,0)),"")</f>
        <v/>
      </c>
      <c r="H224" s="11">
        <f>IF($A224="","",DATE(VALUE(LEFT($A224,4)),1,4)-WEEKDAY(DATE(VALUE(LEFT($A224,4)),1,4),2)+1+(VALUE(MID($A224,7,2))-1)*7+MATCH($B224,lista_dias,0)-1)</f>
        <v/>
      </c>
      <c r="I224" s="3">
        <f>IF(OR($F224="",ISNUMBER(MATCH($F224,lista_no_disponible,0)),(IFERROR(INDEX('CALENDARIO'!$C$15:$C$214,MATCH(TEXT($H224,"yyyy-mm-dd")&amp;"|"&amp;$D224&amp;"|"&amp;"",'CALENDARIO'!$G$15:$G$214,0)),IFERROR(INDEX('CALENDARIO'!$C$15:$C$214,MATCH(TEXT($H224,"yyyy-mm-dd")&amp;"|"&amp;$D224&amp;"|",'CALENDARIO'!$G$15:$G$214,0)),IFERROR(INDEX('CALENDARIO'!$C$15:$C$214,MATCH(TEXT($H224,"yyyy-mm-dd")&amp;"||",'CALENDARIO'!$G$15:$G$214,0)),INDEX(patronHabil,WEEKDAY($H224,2))))))&lt;&gt;"sí"),0,p_horas_jornada)</f>
        <v/>
      </c>
      <c r="J224" s="3">
        <f>$A224&amp;"|"&amp;$B224&amp;"|"&amp;$C224</f>
        <v/>
      </c>
      <c r="K224" s="3">
        <f>IFERROR(INDEX('CAT_TURNOS'!$C$4:$C$7,MATCH($F224,'CAT_TURNOS'!$A$4:$A$7,0)),"")</f>
        <v/>
      </c>
      <c r="L224" s="3">
        <f>IFERROR(INDEX('CAT_TURNOS'!$D$4:$D$7,MATCH($F224,'CAT_TURNOS'!$A$4:$A$7,0)),"")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B</t>
        </is>
      </c>
      <c r="G225" s="3">
        <f>IFERROR(INDEX('TECNICOS'!$E$4:$E$15,MATCH($C225,'TECNICOS'!$B$4:$B$15,0)),"")</f>
        <v/>
      </c>
      <c r="H225" s="11">
        <f>IF($A225="","",DATE(VALUE(LEFT($A225,4)),1,4)-WEEKDAY(DATE(VALUE(LEFT($A225,4)),1,4),2)+1+(VALUE(MID($A225,7,2))-1)*7+MATCH($B225,lista_dias,0)-1)</f>
        <v/>
      </c>
      <c r="I225" s="3">
        <f>IF(OR($F225="",ISNUMBER(MATCH($F225,lista_no_disponible,0)),(IFERROR(INDEX('CALENDARIO'!$C$15:$C$214,MATCH(TEXT($H225,"yyyy-mm-dd")&amp;"|"&amp;$D225&amp;"|"&amp;"",'CALENDARIO'!$G$15:$G$214,0)),IFERROR(INDEX('CALENDARIO'!$C$15:$C$214,MATCH(TEXT($H225,"yyyy-mm-dd")&amp;"|"&amp;$D225&amp;"|",'CALENDARIO'!$G$15:$G$214,0)),IFERROR(INDEX('CALENDARIO'!$C$15:$C$214,MATCH(TEXT($H225,"yyyy-mm-dd")&amp;"||",'CALENDARIO'!$G$15:$G$214,0)),INDEX(patronHabil,WEEKDAY($H225,2))))))&lt;&gt;"sí"),0,p_horas_jornada)</f>
        <v/>
      </c>
      <c r="J225" s="3">
        <f>$A225&amp;"|"&amp;$B225&amp;"|"&amp;$C225</f>
        <v/>
      </c>
      <c r="K225" s="3">
        <f>IFERROR(INDEX('CAT_TURNOS'!$C$4:$C$7,MATCH($F225,'CAT_TURNOS'!$A$4:$A$7,0)),"")</f>
        <v/>
      </c>
      <c r="L225" s="3">
        <f>IFERROR(INDEX('CAT_TURNOS'!$D$4:$D$7,MATCH($F225,'CAT_TURNOS'!$A$4:$A$7,0)),"")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>
        <is>
          <t>B</t>
        </is>
      </c>
      <c r="G226" s="3">
        <f>IFERROR(INDEX('TECNICOS'!$E$4:$E$15,MATCH($C226,'TECNICOS'!$B$4:$B$15,0)),"")</f>
        <v/>
      </c>
      <c r="H226" s="11">
        <f>IF($A226="","",DATE(VALUE(LEFT($A226,4)),1,4)-WEEKDAY(DATE(VALUE(LEFT($A226,4)),1,4),2)+1+(VALUE(MID($A226,7,2))-1)*7+MATCH($B226,lista_dias,0)-1)</f>
        <v/>
      </c>
      <c r="I226" s="3">
        <f>IF(OR($F226="",ISNUMBER(MATCH($F226,lista_no_disponible,0)),(IFERROR(INDEX('CALENDARIO'!$C$15:$C$214,MATCH(TEXT($H226,"yyyy-mm-dd")&amp;"|"&amp;$D226&amp;"|"&amp;"",'CALENDARIO'!$G$15:$G$214,0)),IFERROR(INDEX('CALENDARIO'!$C$15:$C$214,MATCH(TEXT($H226,"yyyy-mm-dd")&amp;"|"&amp;$D226&amp;"|",'CALENDARIO'!$G$15:$G$214,0)),IFERROR(INDEX('CALENDARIO'!$C$15:$C$214,MATCH(TEXT($H226,"yyyy-mm-dd")&amp;"||",'CALENDARIO'!$G$15:$G$214,0)),INDEX(patronHabil,WEEKDAY($H226,2))))))&lt;&gt;"sí"),0,p_horas_jornada)</f>
        <v/>
      </c>
      <c r="J226" s="3">
        <f>$A226&amp;"|"&amp;$B226&amp;"|"&amp;$C226</f>
        <v/>
      </c>
      <c r="K226" s="3">
        <f>IFERROR(INDEX('CAT_TURNOS'!$C$4:$C$7,MATCH($F226,'CAT_TURNOS'!$A$4:$A$7,0)),"")</f>
        <v/>
      </c>
      <c r="L226" s="3">
        <f>IFERROR(INDEX('CAT_TURNOS'!$D$4:$D$7,MATCH($F226,'CAT_TURNOS'!$A$4:$A$7,0)),"")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11">
        <f>IF($A227="","",DATE(VALUE(LEFT($A227,4)),1,4)-WEEKDAY(DATE(VALUE(LEFT($A227,4)),1,4),2)+1+(VALUE(MID($A227,7,2))-1)*7+MATCH($B227,lista_dias,0)-1)</f>
        <v/>
      </c>
      <c r="I227" s="3">
        <f>IF(OR($F227="",ISNUMBER(MATCH($F227,lista_no_disponible,0)),(IFERROR(INDEX('CALENDARIO'!$C$15:$C$214,MATCH(TEXT($H227,"yyyy-mm-dd")&amp;"|"&amp;$D227&amp;"|"&amp;"",'CALENDARIO'!$G$15:$G$214,0)),IFERROR(INDEX('CALENDARIO'!$C$15:$C$214,MATCH(TEXT($H227,"yyyy-mm-dd")&amp;"|"&amp;$D227&amp;"|",'CALENDARIO'!$G$15:$G$214,0)),IFERROR(INDEX('CALENDARIO'!$C$15:$C$214,MATCH(TEXT($H227,"yyyy-mm-dd")&amp;"||",'CALENDARIO'!$G$15:$G$214,0)),INDEX(patronHabil,WEEKDAY($H227,2))))))&lt;&gt;"sí"),0,p_horas_jornada)</f>
        <v/>
      </c>
      <c r="J227" s="3">
        <f>$A227&amp;"|"&amp;$B227&amp;"|"&amp;$C227</f>
        <v/>
      </c>
      <c r="K227" s="3">
        <f>IFERROR(INDEX('CAT_TURNOS'!$C$4:$C$7,MATCH($F227,'CAT_TURNOS'!$A$4:$A$7,0)),"")</f>
        <v/>
      </c>
      <c r="L227" s="3">
        <f>IFERROR(INDEX('CAT_TURNOS'!$D$4:$D$7,MATCH($F227,'CAT_TURNOS'!$A$4:$A$7,0)),"")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B</t>
        </is>
      </c>
      <c r="G228" s="3">
        <f>IFERROR(INDEX('TECNICOS'!$E$4:$E$15,MATCH($C228,'TECNICOS'!$B$4:$B$15,0)),"")</f>
        <v/>
      </c>
      <c r="H228" s="11">
        <f>IF($A228="","",DATE(VALUE(LEFT($A228,4)),1,4)-WEEKDAY(DATE(VALUE(LEFT($A228,4)),1,4),2)+1+(VALUE(MID($A228,7,2))-1)*7+MATCH($B228,lista_dias,0)-1)</f>
        <v/>
      </c>
      <c r="I228" s="3">
        <f>IF(OR($F228="",ISNUMBER(MATCH($F228,lista_no_disponible,0)),(IFERROR(INDEX('CALENDARIO'!$C$15:$C$214,MATCH(TEXT($H228,"yyyy-mm-dd")&amp;"|"&amp;$D228&amp;"|"&amp;"",'CALENDARIO'!$G$15:$G$214,0)),IFERROR(INDEX('CALENDARIO'!$C$15:$C$214,MATCH(TEXT($H228,"yyyy-mm-dd")&amp;"|"&amp;$D228&amp;"|",'CALENDARIO'!$G$15:$G$214,0)),IFERROR(INDEX('CALENDARIO'!$C$15:$C$214,MATCH(TEXT($H228,"yyyy-mm-dd")&amp;"||",'CALENDARIO'!$G$15:$G$214,0)),INDEX(patronHabil,WEEKDAY($H228,2))))))&lt;&gt;"sí"),0,p_horas_jornada)</f>
        <v/>
      </c>
      <c r="J228" s="3">
        <f>$A228&amp;"|"&amp;$B228&amp;"|"&amp;$C228</f>
        <v/>
      </c>
      <c r="K228" s="3">
        <f>IFERROR(INDEX('CAT_TURNOS'!$C$4:$C$7,MATCH($F228,'CAT_TURNOS'!$A$4:$A$7,0)),"")</f>
        <v/>
      </c>
      <c r="L228" s="3">
        <f>IFERROR(INDEX('CAT_TURNOS'!$D$4:$D$7,MATCH($F228,'CAT_TURNOS'!$A$4:$A$7,0)),"")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B</t>
        </is>
      </c>
      <c r="G229" s="3">
        <f>IFERROR(INDEX('TECNICOS'!$E$4:$E$15,MATCH($C229,'TECNICOS'!$B$4:$B$15,0)),"")</f>
        <v/>
      </c>
      <c r="H229" s="11">
        <f>IF($A229="","",DATE(VALUE(LEFT($A229,4)),1,4)-WEEKDAY(DATE(VALUE(LEFT($A229,4)),1,4),2)+1+(VALUE(MID($A229,7,2))-1)*7+MATCH($B229,lista_dias,0)-1)</f>
        <v/>
      </c>
      <c r="I229" s="3">
        <f>IF(OR($F229="",ISNUMBER(MATCH($F229,lista_no_disponible,0)),(IFERROR(INDEX('CALENDARIO'!$C$15:$C$214,MATCH(TEXT($H229,"yyyy-mm-dd")&amp;"|"&amp;$D229&amp;"|"&amp;"",'CALENDARIO'!$G$15:$G$214,0)),IFERROR(INDEX('CALENDARIO'!$C$15:$C$214,MATCH(TEXT($H229,"yyyy-mm-dd")&amp;"|"&amp;$D229&amp;"|",'CALENDARIO'!$G$15:$G$214,0)),IFERROR(INDEX('CALENDARIO'!$C$15:$C$214,MATCH(TEXT($H229,"yyyy-mm-dd")&amp;"||",'CALENDARIO'!$G$15:$G$214,0)),INDEX(patronHabil,WEEKDAY($H229,2))))))&lt;&gt;"sí"),0,p_horas_jornada)</f>
        <v/>
      </c>
      <c r="J229" s="3">
        <f>$A229&amp;"|"&amp;$B229&amp;"|"&amp;$C229</f>
        <v/>
      </c>
      <c r="K229" s="3">
        <f>IFERROR(INDEX('CAT_TURNOS'!$C$4:$C$7,MATCH($F229,'CAT_TURNOS'!$A$4:$A$7,0)),"")</f>
        <v/>
      </c>
      <c r="L229" s="3">
        <f>IFERROR(INDEX('CAT_TURNOS'!$D$4:$D$7,MATCH($F229,'CAT_TURNOS'!$A$4:$A$7,0)),"")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B</t>
        </is>
      </c>
      <c r="G230" s="3">
        <f>IFERROR(INDEX('TECNICOS'!$E$4:$E$15,MATCH($C230,'TECNICOS'!$B$4:$B$15,0)),"")</f>
        <v/>
      </c>
      <c r="H230" s="11">
        <f>IF($A230="","",DATE(VALUE(LEFT($A230,4)),1,4)-WEEKDAY(DATE(VALUE(LEFT($A230,4)),1,4),2)+1+(VALUE(MID($A230,7,2))-1)*7+MATCH($B230,lista_dias,0)-1)</f>
        <v/>
      </c>
      <c r="I230" s="3">
        <f>IF(OR($F230="",ISNUMBER(MATCH($F230,lista_no_disponible,0)),(IFERROR(INDEX('CALENDARIO'!$C$15:$C$214,MATCH(TEXT($H230,"yyyy-mm-dd")&amp;"|"&amp;$D230&amp;"|"&amp;"",'CALENDARIO'!$G$15:$G$214,0)),IFERROR(INDEX('CALENDARIO'!$C$15:$C$214,MATCH(TEXT($H230,"yyyy-mm-dd")&amp;"|"&amp;$D230&amp;"|",'CALENDARIO'!$G$15:$G$214,0)),IFERROR(INDEX('CALENDARIO'!$C$15:$C$214,MATCH(TEXT($H230,"yyyy-mm-dd")&amp;"||",'CALENDARIO'!$G$15:$G$214,0)),INDEX(patronHabil,WEEKDAY($H230,2))))))&lt;&gt;"sí"),0,p_horas_jornada)</f>
        <v/>
      </c>
      <c r="J230" s="3">
        <f>$A230&amp;"|"&amp;$B230&amp;"|"&amp;$C230</f>
        <v/>
      </c>
      <c r="K230" s="3">
        <f>IFERROR(INDEX('CAT_TURNOS'!$C$4:$C$7,MATCH($F230,'CAT_TURNOS'!$A$4:$A$7,0)),"")</f>
        <v/>
      </c>
      <c r="L230" s="3">
        <f>IFERROR(INDEX('CAT_TURNOS'!$D$4:$D$7,MATCH($F230,'CAT_TURNOS'!$A$4:$A$7,0)),"")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B</t>
        </is>
      </c>
      <c r="G231" s="3">
        <f>IFERROR(INDEX('TECNICOS'!$E$4:$E$15,MATCH($C231,'TECNICOS'!$B$4:$B$15,0)),"")</f>
        <v/>
      </c>
      <c r="H231" s="11">
        <f>IF($A231="","",DATE(VALUE(LEFT($A231,4)),1,4)-WEEKDAY(DATE(VALUE(LEFT($A231,4)),1,4),2)+1+(VALUE(MID($A231,7,2))-1)*7+MATCH($B231,lista_dias,0)-1)</f>
        <v/>
      </c>
      <c r="I231" s="3">
        <f>IF(OR($F231="",ISNUMBER(MATCH($F231,lista_no_disponible,0)),(IFERROR(INDEX('CALENDARIO'!$C$15:$C$214,MATCH(TEXT($H231,"yyyy-mm-dd")&amp;"|"&amp;$D231&amp;"|"&amp;"",'CALENDARIO'!$G$15:$G$214,0)),IFERROR(INDEX('CALENDARIO'!$C$15:$C$214,MATCH(TEXT($H231,"yyyy-mm-dd")&amp;"|"&amp;$D231&amp;"|",'CALENDARIO'!$G$15:$G$214,0)),IFERROR(INDEX('CALENDARIO'!$C$15:$C$214,MATCH(TEXT($H231,"yyyy-mm-dd")&amp;"||",'CALENDARIO'!$G$15:$G$214,0)),INDEX(patronHabil,WEEKDAY($H231,2))))))&lt;&gt;"sí"),0,p_horas_jornada)</f>
        <v/>
      </c>
      <c r="J231" s="3">
        <f>$A231&amp;"|"&amp;$B231&amp;"|"&amp;$C231</f>
        <v/>
      </c>
      <c r="K231" s="3">
        <f>IFERROR(INDEX('CAT_TURNOS'!$C$4:$C$7,MATCH($F231,'CAT_TURNOS'!$A$4:$A$7,0)),"")</f>
        <v/>
      </c>
      <c r="L231" s="3">
        <f>IFERROR(INDEX('CAT_TURNOS'!$D$4:$D$7,MATCH($F231,'CAT_TURNOS'!$A$4:$A$7,0)),"")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B</t>
        </is>
      </c>
      <c r="G232" s="3">
        <f>IFERROR(INDEX('TECNICOS'!$E$4:$E$15,MATCH($C232,'TECNICOS'!$B$4:$B$15,0)),"")</f>
        <v/>
      </c>
      <c r="H232" s="11">
        <f>IF($A232="","",DATE(VALUE(LEFT($A232,4)),1,4)-WEEKDAY(DATE(VALUE(LEFT($A232,4)),1,4),2)+1+(VALUE(MID($A232,7,2))-1)*7+MATCH($B232,lista_dias,0)-1)</f>
        <v/>
      </c>
      <c r="I232" s="3">
        <f>IF(OR($F232="",ISNUMBER(MATCH($F232,lista_no_disponible,0)),(IFERROR(INDEX('CALENDARIO'!$C$15:$C$214,MATCH(TEXT($H232,"yyyy-mm-dd")&amp;"|"&amp;$D232&amp;"|"&amp;"",'CALENDARIO'!$G$15:$G$214,0)),IFERROR(INDEX('CALENDARIO'!$C$15:$C$214,MATCH(TEXT($H232,"yyyy-mm-dd")&amp;"|"&amp;$D232&amp;"|",'CALENDARIO'!$G$15:$G$214,0)),IFERROR(INDEX('CALENDARIO'!$C$15:$C$214,MATCH(TEXT($H232,"yyyy-mm-dd")&amp;"||",'CALENDARIO'!$G$15:$G$214,0)),INDEX(patronHabil,WEEKDAY($H232,2))))))&lt;&gt;"sí"),0,p_horas_jornada)</f>
        <v/>
      </c>
      <c r="J232" s="3">
        <f>$A232&amp;"|"&amp;$B232&amp;"|"&amp;$C232</f>
        <v/>
      </c>
      <c r="K232" s="3">
        <f>IFERROR(INDEX('CAT_TURNOS'!$C$4:$C$7,MATCH($F232,'CAT_TURNOS'!$A$4:$A$7,0)),"")</f>
        <v/>
      </c>
      <c r="L232" s="3">
        <f>IFERROR(INDEX('CAT_TURNOS'!$D$4:$D$7,MATCH($F232,'CAT_TURNOS'!$A$4:$A$7,0)),"")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>
        <is>
          <t>B</t>
        </is>
      </c>
      <c r="G233" s="3">
        <f>IFERROR(INDEX('TECNICOS'!$E$4:$E$15,MATCH($C233,'TECNICOS'!$B$4:$B$15,0)),"")</f>
        <v/>
      </c>
      <c r="H233" s="11">
        <f>IF($A233="","",DATE(VALUE(LEFT($A233,4)),1,4)-WEEKDAY(DATE(VALUE(LEFT($A233,4)),1,4),2)+1+(VALUE(MID($A233,7,2))-1)*7+MATCH($B233,lista_dias,0)-1)</f>
        <v/>
      </c>
      <c r="I233" s="3">
        <f>IF(OR($F233="",ISNUMBER(MATCH($F233,lista_no_disponible,0)),(IFERROR(INDEX('CALENDARIO'!$C$15:$C$214,MATCH(TEXT($H233,"yyyy-mm-dd")&amp;"|"&amp;$D233&amp;"|"&amp;"",'CALENDARIO'!$G$15:$G$214,0)),IFERROR(INDEX('CALENDARIO'!$C$15:$C$214,MATCH(TEXT($H233,"yyyy-mm-dd")&amp;"|"&amp;$D233&amp;"|",'CALENDARIO'!$G$15:$G$214,0)),IFERROR(INDEX('CALENDARIO'!$C$15:$C$214,MATCH(TEXT($H233,"yyyy-mm-dd")&amp;"||",'CALENDARIO'!$G$15:$G$214,0)),INDEX(patronHabil,WEEKDAY($H233,2))))))&lt;&gt;"sí"),0,p_horas_jornada)</f>
        <v/>
      </c>
      <c r="J233" s="3">
        <f>$A233&amp;"|"&amp;$B233&amp;"|"&amp;$C233</f>
        <v/>
      </c>
      <c r="K233" s="3">
        <f>IFERROR(INDEX('CAT_TURNOS'!$C$4:$C$7,MATCH($F233,'CAT_TURNOS'!$A$4:$A$7,0)),"")</f>
        <v/>
      </c>
      <c r="L233" s="3">
        <f>IFERROR(INDEX('CAT_TURNOS'!$D$4:$D$7,MATCH($F233,'CAT_TURNOS'!$A$4:$A$7,0)),"")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11">
        <f>IF($A234="","",DATE(VALUE(LEFT($A234,4)),1,4)-WEEKDAY(DATE(VALUE(LEFT($A234,4)),1,4),2)+1+(VALUE(MID($A234,7,2))-1)*7+MATCH($B234,lista_dias,0)-1)</f>
        <v/>
      </c>
      <c r="I234" s="3">
        <f>IF(OR($F234="",ISNUMBER(MATCH($F234,lista_no_disponible,0)),(IFERROR(INDEX('CALENDARIO'!$C$15:$C$214,MATCH(TEXT($H234,"yyyy-mm-dd")&amp;"|"&amp;$D234&amp;"|"&amp;"",'CALENDARIO'!$G$15:$G$214,0)),IFERROR(INDEX('CALENDARIO'!$C$15:$C$214,MATCH(TEXT($H234,"yyyy-mm-dd")&amp;"|"&amp;$D234&amp;"|",'CALENDARIO'!$G$15:$G$214,0)),IFERROR(INDEX('CALENDARIO'!$C$15:$C$214,MATCH(TEXT($H234,"yyyy-mm-dd")&amp;"||",'CALENDARIO'!$G$15:$G$214,0)),INDEX(patronHabil,WEEKDAY($H234,2))))))&lt;&gt;"sí"),0,p_horas_jornada)</f>
        <v/>
      </c>
      <c r="J234" s="3">
        <f>$A234&amp;"|"&amp;$B234&amp;"|"&amp;$C234</f>
        <v/>
      </c>
      <c r="K234" s="3">
        <f>IFERROR(INDEX('CAT_TURNOS'!$C$4:$C$7,MATCH($F234,'CAT_TURNOS'!$A$4:$A$7,0)),"")</f>
        <v/>
      </c>
      <c r="L234" s="3">
        <f>IFERROR(INDEX('CAT_TURNOS'!$D$4:$D$7,MATCH($F234,'CAT_TURNOS'!$A$4:$A$7,0)),"")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</t>
        </is>
      </c>
      <c r="G235" s="3">
        <f>IFERROR(INDEX('TECNICOS'!$E$4:$E$15,MATCH($C235,'TECNICOS'!$B$4:$B$15,0)),"")</f>
        <v/>
      </c>
      <c r="H235" s="11">
        <f>IF($A235="","",DATE(VALUE(LEFT($A235,4)),1,4)-WEEKDAY(DATE(VALUE(LEFT($A235,4)),1,4),2)+1+(VALUE(MID($A235,7,2))-1)*7+MATCH($B235,lista_dias,0)-1)</f>
        <v/>
      </c>
      <c r="I235" s="3">
        <f>IF(OR($F235="",ISNUMBER(MATCH($F235,lista_no_disponible,0)),(IFERROR(INDEX('CALENDARIO'!$C$15:$C$214,MATCH(TEXT($H235,"yyyy-mm-dd")&amp;"|"&amp;$D235&amp;"|"&amp;"",'CALENDARIO'!$G$15:$G$214,0)),IFERROR(INDEX('CALENDARIO'!$C$15:$C$214,MATCH(TEXT($H235,"yyyy-mm-dd")&amp;"|"&amp;$D235&amp;"|",'CALENDARIO'!$G$15:$G$214,0)),IFERROR(INDEX('CALENDARIO'!$C$15:$C$214,MATCH(TEXT($H235,"yyyy-mm-dd")&amp;"||",'CALENDARIO'!$G$15:$G$214,0)),INDEX(patronHabil,WEEKDAY($H235,2))))))&lt;&gt;"sí"),0,p_horas_jornada)</f>
        <v/>
      </c>
      <c r="J235" s="3">
        <f>$A235&amp;"|"&amp;$B235&amp;"|"&amp;$C235</f>
        <v/>
      </c>
      <c r="K235" s="3">
        <f>IFERROR(INDEX('CAT_TURNOS'!$C$4:$C$7,MATCH($F235,'CAT_TURNOS'!$A$4:$A$7,0)),"")</f>
        <v/>
      </c>
      <c r="L235" s="3">
        <f>IFERROR(INDEX('CAT_TURNOS'!$D$4:$D$7,MATCH($F235,'CAT_TURNOS'!$A$4:$A$7,0)),"")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</t>
        </is>
      </c>
      <c r="G236" s="3">
        <f>IFERROR(INDEX('TECNICOS'!$E$4:$E$15,MATCH($C236,'TECNICOS'!$B$4:$B$15,0)),"")</f>
        <v/>
      </c>
      <c r="H236" s="11">
        <f>IF($A236="","",DATE(VALUE(LEFT($A236,4)),1,4)-WEEKDAY(DATE(VALUE(LEFT($A236,4)),1,4),2)+1+(VALUE(MID($A236,7,2))-1)*7+MATCH($B236,lista_dias,0)-1)</f>
        <v/>
      </c>
      <c r="I236" s="3">
        <f>IF(OR($F236="",ISNUMBER(MATCH($F236,lista_no_disponible,0)),(IFERROR(INDEX('CALENDARIO'!$C$15:$C$214,MATCH(TEXT($H236,"yyyy-mm-dd")&amp;"|"&amp;$D236&amp;"|"&amp;"",'CALENDARIO'!$G$15:$G$214,0)),IFERROR(INDEX('CALENDARIO'!$C$15:$C$214,MATCH(TEXT($H236,"yyyy-mm-dd")&amp;"|"&amp;$D236&amp;"|",'CALENDARIO'!$G$15:$G$214,0)),IFERROR(INDEX('CALENDARIO'!$C$15:$C$214,MATCH(TEXT($H236,"yyyy-mm-dd")&amp;"||",'CALENDARIO'!$G$15:$G$214,0)),INDEX(patronHabil,WEEKDAY($H236,2))))))&lt;&gt;"sí"),0,p_horas_jornada)</f>
        <v/>
      </c>
      <c r="J236" s="3">
        <f>$A236&amp;"|"&amp;$B236&amp;"|"&amp;$C236</f>
        <v/>
      </c>
      <c r="K236" s="3">
        <f>IFERROR(INDEX('CAT_TURNOS'!$C$4:$C$7,MATCH($F236,'CAT_TURNOS'!$A$4:$A$7,0)),"")</f>
        <v/>
      </c>
      <c r="L236" s="3">
        <f>IFERROR(INDEX('CAT_TURNOS'!$D$4:$D$7,MATCH($F236,'CAT_TURNOS'!$A$4:$A$7,0)),"")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</t>
        </is>
      </c>
      <c r="G237" s="3">
        <f>IFERROR(INDEX('TECNICOS'!$E$4:$E$15,MATCH($C237,'TECNICOS'!$B$4:$B$15,0)),"")</f>
        <v/>
      </c>
      <c r="H237" s="11">
        <f>IF($A237="","",DATE(VALUE(LEFT($A237,4)),1,4)-WEEKDAY(DATE(VALUE(LEFT($A237,4)),1,4),2)+1+(VALUE(MID($A237,7,2))-1)*7+MATCH($B237,lista_dias,0)-1)</f>
        <v/>
      </c>
      <c r="I237" s="3">
        <f>IF(OR($F237="",ISNUMBER(MATCH($F237,lista_no_disponible,0)),(IFERROR(INDEX('CALENDARIO'!$C$15:$C$214,MATCH(TEXT($H237,"yyyy-mm-dd")&amp;"|"&amp;$D237&amp;"|"&amp;"",'CALENDARIO'!$G$15:$G$214,0)),IFERROR(INDEX('CALENDARIO'!$C$15:$C$214,MATCH(TEXT($H237,"yyyy-mm-dd")&amp;"|"&amp;$D237&amp;"|",'CALENDARIO'!$G$15:$G$214,0)),IFERROR(INDEX('CALENDARIO'!$C$15:$C$214,MATCH(TEXT($H237,"yyyy-mm-dd")&amp;"||",'CALENDARIO'!$G$15:$G$214,0)),INDEX(patronHabil,WEEKDAY($H237,2))))))&lt;&gt;"sí"),0,p_horas_jornada)</f>
        <v/>
      </c>
      <c r="J237" s="3">
        <f>$A237&amp;"|"&amp;$B237&amp;"|"&amp;$C237</f>
        <v/>
      </c>
      <c r="K237" s="3">
        <f>IFERROR(INDEX('CAT_TURNOS'!$C$4:$C$7,MATCH($F237,'CAT_TURNOS'!$A$4:$A$7,0)),"")</f>
        <v/>
      </c>
      <c r="L237" s="3">
        <f>IFERROR(INDEX('CAT_TURNOS'!$D$4:$D$7,MATCH($F237,'CAT_TURNOS'!$A$4:$A$7,0)),"")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</t>
        </is>
      </c>
      <c r="G238" s="3">
        <f>IFERROR(INDEX('TECNICOS'!$E$4:$E$15,MATCH($C238,'TECNICOS'!$B$4:$B$15,0)),"")</f>
        <v/>
      </c>
      <c r="H238" s="11">
        <f>IF($A238="","",DATE(VALUE(LEFT($A238,4)),1,4)-WEEKDAY(DATE(VALUE(LEFT($A238,4)),1,4),2)+1+(VALUE(MID($A238,7,2))-1)*7+MATCH($B238,lista_dias,0)-1)</f>
        <v/>
      </c>
      <c r="I238" s="3">
        <f>IF(OR($F238="",ISNUMBER(MATCH($F238,lista_no_disponible,0)),(IFERROR(INDEX('CALENDARIO'!$C$15:$C$214,MATCH(TEXT($H238,"yyyy-mm-dd")&amp;"|"&amp;$D238&amp;"|"&amp;"",'CALENDARIO'!$G$15:$G$214,0)),IFERROR(INDEX('CALENDARIO'!$C$15:$C$214,MATCH(TEXT($H238,"yyyy-mm-dd")&amp;"|"&amp;$D238&amp;"|",'CALENDARIO'!$G$15:$G$214,0)),IFERROR(INDEX('CALENDARIO'!$C$15:$C$214,MATCH(TEXT($H238,"yyyy-mm-dd")&amp;"||",'CALENDARIO'!$G$15:$G$214,0)),INDEX(patronHabil,WEEKDAY($H238,2))))))&lt;&gt;"sí"),0,p_horas_jornada)</f>
        <v/>
      </c>
      <c r="J238" s="3">
        <f>$A238&amp;"|"&amp;$B238&amp;"|"&amp;$C238</f>
        <v/>
      </c>
      <c r="K238" s="3">
        <f>IFERROR(INDEX('CAT_TURNOS'!$C$4:$C$7,MATCH($F238,'CAT_TURNOS'!$A$4:$A$7,0)),"")</f>
        <v/>
      </c>
      <c r="L238" s="3">
        <f>IFERROR(INDEX('CAT_TURNOS'!$D$4:$D$7,MATCH($F238,'CAT_TURNOS'!$A$4:$A$7,0)),"")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</t>
        </is>
      </c>
      <c r="G239" s="3">
        <f>IFERROR(INDEX('TECNICOS'!$E$4:$E$15,MATCH($C239,'TECNICOS'!$B$4:$B$15,0)),"")</f>
        <v/>
      </c>
      <c r="H239" s="11">
        <f>IF($A239="","",DATE(VALUE(LEFT($A239,4)),1,4)-WEEKDAY(DATE(VALUE(LEFT($A239,4)),1,4),2)+1+(VALUE(MID($A239,7,2))-1)*7+MATCH($B239,lista_dias,0)-1)</f>
        <v/>
      </c>
      <c r="I239" s="3">
        <f>IF(OR($F239="",ISNUMBER(MATCH($F239,lista_no_disponible,0)),(IFERROR(INDEX('CALENDARIO'!$C$15:$C$214,MATCH(TEXT($H239,"yyyy-mm-dd")&amp;"|"&amp;$D239&amp;"|"&amp;"",'CALENDARIO'!$G$15:$G$214,0)),IFERROR(INDEX('CALENDARIO'!$C$15:$C$214,MATCH(TEXT($H239,"yyyy-mm-dd")&amp;"|"&amp;$D239&amp;"|",'CALENDARIO'!$G$15:$G$214,0)),IFERROR(INDEX('CALENDARIO'!$C$15:$C$214,MATCH(TEXT($H239,"yyyy-mm-dd")&amp;"||",'CALENDARIO'!$G$15:$G$214,0)),INDEX(patronHabil,WEEKDAY($H239,2))))))&lt;&gt;"sí"),0,p_horas_jornada)</f>
        <v/>
      </c>
      <c r="J239" s="3">
        <f>$A239&amp;"|"&amp;$B239&amp;"|"&amp;$C239</f>
        <v/>
      </c>
      <c r="K239" s="3">
        <f>IFERROR(INDEX('CAT_TURNOS'!$C$4:$C$7,MATCH($F239,'CAT_TURNOS'!$A$4:$A$7,0)),"")</f>
        <v/>
      </c>
      <c r="L239" s="3">
        <f>IFERROR(INDEX('CAT_TURNOS'!$D$4:$D$7,MATCH($F239,'CAT_TURNOS'!$A$4:$A$7,0)),"")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>
        <is>
          <t>B</t>
        </is>
      </c>
      <c r="G240" s="3">
        <f>IFERROR(INDEX('TECNICOS'!$E$4:$E$15,MATCH($C240,'TECNICOS'!$B$4:$B$15,0)),"")</f>
        <v/>
      </c>
      <c r="H240" s="11">
        <f>IF($A240="","",DATE(VALUE(LEFT($A240,4)),1,4)-WEEKDAY(DATE(VALUE(LEFT($A240,4)),1,4),2)+1+(VALUE(MID($A240,7,2))-1)*7+MATCH($B240,lista_dias,0)-1)</f>
        <v/>
      </c>
      <c r="I240" s="3">
        <f>IF(OR($F240="",ISNUMBER(MATCH($F240,lista_no_disponible,0)),(IFERROR(INDEX('CALENDARIO'!$C$15:$C$214,MATCH(TEXT($H240,"yyyy-mm-dd")&amp;"|"&amp;$D240&amp;"|"&amp;"",'CALENDARIO'!$G$15:$G$214,0)),IFERROR(INDEX('CALENDARIO'!$C$15:$C$214,MATCH(TEXT($H240,"yyyy-mm-dd")&amp;"|"&amp;$D240&amp;"|",'CALENDARIO'!$G$15:$G$214,0)),IFERROR(INDEX('CALENDARIO'!$C$15:$C$214,MATCH(TEXT($H240,"yyyy-mm-dd")&amp;"||",'CALENDARIO'!$G$15:$G$214,0)),INDEX(patronHabil,WEEKDAY($H240,2))))))&lt;&gt;"sí"),0,p_horas_jornada)</f>
        <v/>
      </c>
      <c r="J240" s="3">
        <f>$A240&amp;"|"&amp;$B240&amp;"|"&amp;$C240</f>
        <v/>
      </c>
      <c r="K240" s="3">
        <f>IFERROR(INDEX('CAT_TURNOS'!$C$4:$C$7,MATCH($F240,'CAT_TURNOS'!$A$4:$A$7,0)),"")</f>
        <v/>
      </c>
      <c r="L240" s="3">
        <f>IFERROR(INDEX('CAT_TURNOS'!$D$4:$D$7,MATCH($F240,'CAT_TURNOS'!$A$4:$A$7,0)),"")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11">
        <f>IF($A241="","",DATE(VALUE(LEFT($A241,4)),1,4)-WEEKDAY(DATE(VALUE(LEFT($A241,4)),1,4),2)+1+(VALUE(MID($A241,7,2))-1)*7+MATCH($B241,lista_dias,0)-1)</f>
        <v/>
      </c>
      <c r="I241" s="3">
        <f>IF(OR($F241="",ISNUMBER(MATCH($F241,lista_no_disponible,0)),(IFERROR(INDEX('CALENDARIO'!$C$15:$C$214,MATCH(TEXT($H241,"yyyy-mm-dd")&amp;"|"&amp;$D241&amp;"|"&amp;"",'CALENDARIO'!$G$15:$G$214,0)),IFERROR(INDEX('CALENDARIO'!$C$15:$C$214,MATCH(TEXT($H241,"yyyy-mm-dd")&amp;"|"&amp;$D241&amp;"|",'CALENDARIO'!$G$15:$G$214,0)),IFERROR(INDEX('CALENDARIO'!$C$15:$C$214,MATCH(TEXT($H241,"yyyy-mm-dd")&amp;"||",'CALENDARIO'!$G$15:$G$214,0)),INDEX(patronHabil,WEEKDAY($H241,2))))))&lt;&gt;"sí"),0,p_horas_jornada)</f>
        <v/>
      </c>
      <c r="J241" s="3">
        <f>$A241&amp;"|"&amp;$B241&amp;"|"&amp;$C241</f>
        <v/>
      </c>
      <c r="K241" s="3">
        <f>IFERROR(INDEX('CAT_TURNOS'!$C$4:$C$7,MATCH($F241,'CAT_TURNOS'!$A$4:$A$7,0)),"")</f>
        <v/>
      </c>
      <c r="L241" s="3">
        <f>IFERROR(INDEX('CAT_TURNOS'!$D$4:$D$7,MATCH($F241,'CAT_TURNOS'!$A$4:$A$7,0)),"")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11">
        <f>IF($A242="","",DATE(VALUE(LEFT($A242,4)),1,4)-WEEKDAY(DATE(VALUE(LEFT($A242,4)),1,4),2)+1+(VALUE(MID($A242,7,2))-1)*7+MATCH($B242,lista_dias,0)-1)</f>
        <v/>
      </c>
      <c r="I242" s="3">
        <f>IF(OR($F242="",ISNUMBER(MATCH($F242,lista_no_disponible,0)),(IFERROR(INDEX('CALENDARIO'!$C$15:$C$214,MATCH(TEXT($H242,"yyyy-mm-dd")&amp;"|"&amp;$D242&amp;"|"&amp;"",'CALENDARIO'!$G$15:$G$214,0)),IFERROR(INDEX('CALENDARIO'!$C$15:$C$214,MATCH(TEXT($H242,"yyyy-mm-dd")&amp;"|"&amp;$D242&amp;"|",'CALENDARIO'!$G$15:$G$214,0)),IFERROR(INDEX('CALENDARIO'!$C$15:$C$214,MATCH(TEXT($H242,"yyyy-mm-dd")&amp;"||",'CALENDARIO'!$G$15:$G$214,0)),INDEX(patronHabil,WEEKDAY($H242,2))))))&lt;&gt;"sí"),0,p_horas_jornada)</f>
        <v/>
      </c>
      <c r="J242" s="3">
        <f>$A242&amp;"|"&amp;$B242&amp;"|"&amp;$C242</f>
        <v/>
      </c>
      <c r="K242" s="3">
        <f>IFERROR(INDEX('CAT_TURNOS'!$C$4:$C$7,MATCH($F242,'CAT_TURNOS'!$A$4:$A$7,0)),"")</f>
        <v/>
      </c>
      <c r="L242" s="3">
        <f>IFERROR(INDEX('CAT_TURNOS'!$D$4:$D$7,MATCH($F242,'CAT_TURNOS'!$A$4:$A$7,0)),"")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11">
        <f>IF($A243="","",DATE(VALUE(LEFT($A243,4)),1,4)-WEEKDAY(DATE(VALUE(LEFT($A243,4)),1,4),2)+1+(VALUE(MID($A243,7,2))-1)*7+MATCH($B243,lista_dias,0)-1)</f>
        <v/>
      </c>
      <c r="I243" s="3">
        <f>IF(OR($F243="",ISNUMBER(MATCH($F243,lista_no_disponible,0)),(IFERROR(INDEX('CALENDARIO'!$C$15:$C$214,MATCH(TEXT($H243,"yyyy-mm-dd")&amp;"|"&amp;$D243&amp;"|"&amp;"",'CALENDARIO'!$G$15:$G$214,0)),IFERROR(INDEX('CALENDARIO'!$C$15:$C$214,MATCH(TEXT($H243,"yyyy-mm-dd")&amp;"|"&amp;$D243&amp;"|",'CALENDARIO'!$G$15:$G$214,0)),IFERROR(INDEX('CALENDARIO'!$C$15:$C$214,MATCH(TEXT($H243,"yyyy-mm-dd")&amp;"||",'CALENDARIO'!$G$15:$G$214,0)),INDEX(patronHabil,WEEKDAY($H243,2))))))&lt;&gt;"sí"),0,p_horas_jornada)</f>
        <v/>
      </c>
      <c r="J243" s="3">
        <f>$A243&amp;"|"&amp;$B243&amp;"|"&amp;$C243</f>
        <v/>
      </c>
      <c r="K243" s="3">
        <f>IFERROR(INDEX('CAT_TURNOS'!$C$4:$C$7,MATCH($F243,'CAT_TURNOS'!$A$4:$A$7,0)),"")</f>
        <v/>
      </c>
      <c r="L243" s="3">
        <f>IFERROR(INDEX('CAT_TURNOS'!$D$4:$D$7,MATCH($F243,'CAT_TURNOS'!$A$4:$A$7,0)),"")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11">
        <f>IF($A244="","",DATE(VALUE(LEFT($A244,4)),1,4)-WEEKDAY(DATE(VALUE(LEFT($A244,4)),1,4),2)+1+(VALUE(MID($A244,7,2))-1)*7+MATCH($B244,lista_dias,0)-1)</f>
        <v/>
      </c>
      <c r="I244" s="3">
        <f>IF(OR($F244="",ISNUMBER(MATCH($F244,lista_no_disponible,0)),(IFERROR(INDEX('CALENDARIO'!$C$15:$C$214,MATCH(TEXT($H244,"yyyy-mm-dd")&amp;"|"&amp;$D244&amp;"|"&amp;"",'CALENDARIO'!$G$15:$G$214,0)),IFERROR(INDEX('CALENDARIO'!$C$15:$C$214,MATCH(TEXT($H244,"yyyy-mm-dd")&amp;"|"&amp;$D244&amp;"|",'CALENDARIO'!$G$15:$G$214,0)),IFERROR(INDEX('CALENDARIO'!$C$15:$C$214,MATCH(TEXT($H244,"yyyy-mm-dd")&amp;"||",'CALENDARIO'!$G$15:$G$214,0)),INDEX(patronHabil,WEEKDAY($H244,2))))))&lt;&gt;"sí"),0,p_horas_jornada)</f>
        <v/>
      </c>
      <c r="J244" s="3">
        <f>$A244&amp;"|"&amp;$B244&amp;"|"&amp;$C244</f>
        <v/>
      </c>
      <c r="K244" s="3">
        <f>IFERROR(INDEX('CAT_TURNOS'!$C$4:$C$7,MATCH($F244,'CAT_TURNOS'!$A$4:$A$7,0)),"")</f>
        <v/>
      </c>
      <c r="L244" s="3">
        <f>IFERROR(INDEX('CAT_TURNOS'!$D$4:$D$7,MATCH($F244,'CAT_TURNOS'!$A$4:$A$7,0)),"")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11">
        <f>IF($A245="","",DATE(VALUE(LEFT($A245,4)),1,4)-WEEKDAY(DATE(VALUE(LEFT($A245,4)),1,4),2)+1+(VALUE(MID($A245,7,2))-1)*7+MATCH($B245,lista_dias,0)-1)</f>
        <v/>
      </c>
      <c r="I245" s="3">
        <f>IF(OR($F245="",ISNUMBER(MATCH($F245,lista_no_disponible,0)),(IFERROR(INDEX('CALENDARIO'!$C$15:$C$214,MATCH(TEXT($H245,"yyyy-mm-dd")&amp;"|"&amp;$D245&amp;"|"&amp;"",'CALENDARIO'!$G$15:$G$214,0)),IFERROR(INDEX('CALENDARIO'!$C$15:$C$214,MATCH(TEXT($H245,"yyyy-mm-dd")&amp;"|"&amp;$D245&amp;"|",'CALENDARIO'!$G$15:$G$214,0)),IFERROR(INDEX('CALENDARIO'!$C$15:$C$214,MATCH(TEXT($H245,"yyyy-mm-dd")&amp;"||",'CALENDARIO'!$G$15:$G$214,0)),INDEX(patronHabil,WEEKDAY($H245,2))))))&lt;&gt;"sí"),0,p_horas_jornada)</f>
        <v/>
      </c>
      <c r="J245" s="3">
        <f>$A245&amp;"|"&amp;$B245&amp;"|"&amp;$C245</f>
        <v/>
      </c>
      <c r="K245" s="3">
        <f>IFERROR(INDEX('CAT_TURNOS'!$C$4:$C$7,MATCH($F245,'CAT_TURNOS'!$A$4:$A$7,0)),"")</f>
        <v/>
      </c>
      <c r="L245" s="3">
        <f>IFERROR(INDEX('CAT_TURNOS'!$D$4:$D$7,MATCH($F245,'CAT_TURNOS'!$A$4:$A$7,0)),"")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11">
        <f>IF($A246="","",DATE(VALUE(LEFT($A246,4)),1,4)-WEEKDAY(DATE(VALUE(LEFT($A246,4)),1,4),2)+1+(VALUE(MID($A246,7,2))-1)*7+MATCH($B246,lista_dias,0)-1)</f>
        <v/>
      </c>
      <c r="I246" s="3">
        <f>IF(OR($F246="",ISNUMBER(MATCH($F246,lista_no_disponible,0)),(IFERROR(INDEX('CALENDARIO'!$C$15:$C$214,MATCH(TEXT($H246,"yyyy-mm-dd")&amp;"|"&amp;$D246&amp;"|"&amp;"",'CALENDARIO'!$G$15:$G$214,0)),IFERROR(INDEX('CALENDARIO'!$C$15:$C$214,MATCH(TEXT($H246,"yyyy-mm-dd")&amp;"|"&amp;$D246&amp;"|",'CALENDARIO'!$G$15:$G$214,0)),IFERROR(INDEX('CALENDARIO'!$C$15:$C$214,MATCH(TEXT($H246,"yyyy-mm-dd")&amp;"||",'CALENDARIO'!$G$15:$G$214,0)),INDEX(patronHabil,WEEKDAY($H246,2))))))&lt;&gt;"sí"),0,p_horas_jornada)</f>
        <v/>
      </c>
      <c r="J246" s="3">
        <f>$A246&amp;"|"&amp;$B246&amp;"|"&amp;$C246</f>
        <v/>
      </c>
      <c r="K246" s="3">
        <f>IFERROR(INDEX('CAT_TURNOS'!$C$4:$C$7,MATCH($F246,'CAT_TURNOS'!$A$4:$A$7,0)),"")</f>
        <v/>
      </c>
      <c r="L246" s="3">
        <f>IFERROR(INDEX('CAT_TURNOS'!$D$4:$D$7,MATCH($F246,'CAT_TURNOS'!$A$4:$A$7,0)),"")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>
        <is>
          <t>T1</t>
        </is>
      </c>
      <c r="G247" s="3">
        <f>IFERROR(INDEX('TECNICOS'!$E$4:$E$15,MATCH($C247,'TECNICOS'!$B$4:$B$15,0)),"")</f>
        <v/>
      </c>
      <c r="H247" s="11">
        <f>IF($A247="","",DATE(VALUE(LEFT($A247,4)),1,4)-WEEKDAY(DATE(VALUE(LEFT($A247,4)),1,4),2)+1+(VALUE(MID($A247,7,2))-1)*7+MATCH($B247,lista_dias,0)-1)</f>
        <v/>
      </c>
      <c r="I247" s="3">
        <f>IF(OR($F247="",ISNUMBER(MATCH($F247,lista_no_disponible,0)),(IFERROR(INDEX('CALENDARIO'!$C$15:$C$214,MATCH(TEXT($H247,"yyyy-mm-dd")&amp;"|"&amp;$D247&amp;"|"&amp;"",'CALENDARIO'!$G$15:$G$214,0)),IFERROR(INDEX('CALENDARIO'!$C$15:$C$214,MATCH(TEXT($H247,"yyyy-mm-dd")&amp;"|"&amp;$D247&amp;"|",'CALENDARIO'!$G$15:$G$214,0)),IFERROR(INDEX('CALENDARIO'!$C$15:$C$214,MATCH(TEXT($H247,"yyyy-mm-dd")&amp;"||",'CALENDARIO'!$G$15:$G$214,0)),INDEX(patronHabil,WEEKDAY($H247,2))))))&lt;&gt;"sí"),0,p_horas_jornada)</f>
        <v/>
      </c>
      <c r="J247" s="3">
        <f>$A247&amp;"|"&amp;$B247&amp;"|"&amp;$C247</f>
        <v/>
      </c>
      <c r="K247" s="3">
        <f>IFERROR(INDEX('CAT_TURNOS'!$C$4:$C$7,MATCH($F247,'CAT_TURNOS'!$A$4:$A$7,0)),"")</f>
        <v/>
      </c>
      <c r="L247" s="3">
        <f>IFERROR(INDEX('CAT_TURNOS'!$D$4:$D$7,MATCH($F247,'CAT_TURNOS'!$A$4:$A$7,0)),"")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11">
        <f>IF($A248="","",DATE(VALUE(LEFT($A248,4)),1,4)-WEEKDAY(DATE(VALUE(LEFT($A248,4)),1,4),2)+1+(VALUE(MID($A248,7,2))-1)*7+MATCH($B248,lista_dias,0)-1)</f>
        <v/>
      </c>
      <c r="I248" s="3">
        <f>IF(OR($F248="",ISNUMBER(MATCH($F248,lista_no_disponible,0)),(IFERROR(INDEX('CALENDARIO'!$C$15:$C$214,MATCH(TEXT($H248,"yyyy-mm-dd")&amp;"|"&amp;$D248&amp;"|"&amp;"",'CALENDARIO'!$G$15:$G$214,0)),IFERROR(INDEX('CALENDARIO'!$C$15:$C$214,MATCH(TEXT($H248,"yyyy-mm-dd")&amp;"|"&amp;$D248&amp;"|",'CALENDARIO'!$G$15:$G$214,0)),IFERROR(INDEX('CALENDARIO'!$C$15:$C$214,MATCH(TEXT($H248,"yyyy-mm-dd")&amp;"||",'CALENDARIO'!$G$15:$G$214,0)),INDEX(patronHabil,WEEKDAY($H248,2))))))&lt;&gt;"sí"),0,p_horas_jornada)</f>
        <v/>
      </c>
      <c r="J248" s="3">
        <f>$A248&amp;"|"&amp;$B248&amp;"|"&amp;$C248</f>
        <v/>
      </c>
      <c r="K248" s="3">
        <f>IFERROR(INDEX('CAT_TURNOS'!$C$4:$C$7,MATCH($F248,'CAT_TURNOS'!$A$4:$A$7,0)),"")</f>
        <v/>
      </c>
      <c r="L248" s="3">
        <f>IFERROR(INDEX('CAT_TURNOS'!$D$4:$D$7,MATCH($F248,'CAT_TURNOS'!$A$4:$A$7,0)),"")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11">
        <f>IF($A249="","",DATE(VALUE(LEFT($A249,4)),1,4)-WEEKDAY(DATE(VALUE(LEFT($A249,4)),1,4),2)+1+(VALUE(MID($A249,7,2))-1)*7+MATCH($B249,lista_dias,0)-1)</f>
        <v/>
      </c>
      <c r="I249" s="3">
        <f>IF(OR($F249="",ISNUMBER(MATCH($F249,lista_no_disponible,0)),(IFERROR(INDEX('CALENDARIO'!$C$15:$C$214,MATCH(TEXT($H249,"yyyy-mm-dd")&amp;"|"&amp;$D249&amp;"|"&amp;"",'CALENDARIO'!$G$15:$G$214,0)),IFERROR(INDEX('CALENDARIO'!$C$15:$C$214,MATCH(TEXT($H249,"yyyy-mm-dd")&amp;"|"&amp;$D249&amp;"|",'CALENDARIO'!$G$15:$G$214,0)),IFERROR(INDEX('CALENDARIO'!$C$15:$C$214,MATCH(TEXT($H249,"yyyy-mm-dd")&amp;"||",'CALENDARIO'!$G$15:$G$214,0)),INDEX(patronHabil,WEEKDAY($H249,2))))))&lt;&gt;"sí"),0,p_horas_jornada)</f>
        <v/>
      </c>
      <c r="J249" s="3">
        <f>$A249&amp;"|"&amp;$B249&amp;"|"&amp;$C249</f>
        <v/>
      </c>
      <c r="K249" s="3">
        <f>IFERROR(INDEX('CAT_TURNOS'!$C$4:$C$7,MATCH($F249,'CAT_TURNOS'!$A$4:$A$7,0)),"")</f>
        <v/>
      </c>
      <c r="L249" s="3">
        <f>IFERROR(INDEX('CAT_TURNOS'!$D$4:$D$7,MATCH($F249,'CAT_TURNOS'!$A$4:$A$7,0)),"")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11">
        <f>IF($A250="","",DATE(VALUE(LEFT($A250,4)),1,4)-WEEKDAY(DATE(VALUE(LEFT($A250,4)),1,4),2)+1+(VALUE(MID($A250,7,2))-1)*7+MATCH($B250,lista_dias,0)-1)</f>
        <v/>
      </c>
      <c r="I250" s="3">
        <f>IF(OR($F250="",ISNUMBER(MATCH($F250,lista_no_disponible,0)),(IFERROR(INDEX('CALENDARIO'!$C$15:$C$214,MATCH(TEXT($H250,"yyyy-mm-dd")&amp;"|"&amp;$D250&amp;"|"&amp;"",'CALENDARIO'!$G$15:$G$214,0)),IFERROR(INDEX('CALENDARIO'!$C$15:$C$214,MATCH(TEXT($H250,"yyyy-mm-dd")&amp;"|"&amp;$D250&amp;"|",'CALENDARIO'!$G$15:$G$214,0)),IFERROR(INDEX('CALENDARIO'!$C$15:$C$214,MATCH(TEXT($H250,"yyyy-mm-dd")&amp;"||",'CALENDARIO'!$G$15:$G$214,0)),INDEX(patronHabil,WEEKDAY($H250,2))))))&lt;&gt;"sí"),0,p_horas_jornada)</f>
        <v/>
      </c>
      <c r="J250" s="3">
        <f>$A250&amp;"|"&amp;$B250&amp;"|"&amp;$C250</f>
        <v/>
      </c>
      <c r="K250" s="3">
        <f>IFERROR(INDEX('CAT_TURNOS'!$C$4:$C$7,MATCH($F250,'CAT_TURNOS'!$A$4:$A$7,0)),"")</f>
        <v/>
      </c>
      <c r="L250" s="3">
        <f>IFERROR(INDEX('CAT_TURNOS'!$D$4:$D$7,MATCH($F250,'CAT_TURNOS'!$A$4:$A$7,0)),"")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11">
        <f>IF($A251="","",DATE(VALUE(LEFT($A251,4)),1,4)-WEEKDAY(DATE(VALUE(LEFT($A251,4)),1,4),2)+1+(VALUE(MID($A251,7,2))-1)*7+MATCH($B251,lista_dias,0)-1)</f>
        <v/>
      </c>
      <c r="I251" s="3">
        <f>IF(OR($F251="",ISNUMBER(MATCH($F251,lista_no_disponible,0)),(IFERROR(INDEX('CALENDARIO'!$C$15:$C$214,MATCH(TEXT($H251,"yyyy-mm-dd")&amp;"|"&amp;$D251&amp;"|"&amp;"",'CALENDARIO'!$G$15:$G$214,0)),IFERROR(INDEX('CALENDARIO'!$C$15:$C$214,MATCH(TEXT($H251,"yyyy-mm-dd")&amp;"|"&amp;$D251&amp;"|",'CALENDARIO'!$G$15:$G$214,0)),IFERROR(INDEX('CALENDARIO'!$C$15:$C$214,MATCH(TEXT($H251,"yyyy-mm-dd")&amp;"||",'CALENDARIO'!$G$15:$G$214,0)),INDEX(patronHabil,WEEKDAY($H251,2))))))&lt;&gt;"sí"),0,p_horas_jornada)</f>
        <v/>
      </c>
      <c r="J251" s="3">
        <f>$A251&amp;"|"&amp;$B251&amp;"|"&amp;$C251</f>
        <v/>
      </c>
      <c r="K251" s="3">
        <f>IFERROR(INDEX('CAT_TURNOS'!$C$4:$C$7,MATCH($F251,'CAT_TURNOS'!$A$4:$A$7,0)),"")</f>
        <v/>
      </c>
      <c r="L251" s="3">
        <f>IFERROR(INDEX('CAT_TURNOS'!$D$4:$D$7,MATCH($F251,'CAT_TURNOS'!$A$4:$A$7,0)),"")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11">
        <f>IF($A252="","",DATE(VALUE(LEFT($A252,4)),1,4)-WEEKDAY(DATE(VALUE(LEFT($A252,4)),1,4),2)+1+(VALUE(MID($A252,7,2))-1)*7+MATCH($B252,lista_dias,0)-1)</f>
        <v/>
      </c>
      <c r="I252" s="3">
        <f>IF(OR($F252="",ISNUMBER(MATCH($F252,lista_no_disponible,0)),(IFERROR(INDEX('CALENDARIO'!$C$15:$C$214,MATCH(TEXT($H252,"yyyy-mm-dd")&amp;"|"&amp;$D252&amp;"|"&amp;"",'CALENDARIO'!$G$15:$G$214,0)),IFERROR(INDEX('CALENDARIO'!$C$15:$C$214,MATCH(TEXT($H252,"yyyy-mm-dd")&amp;"|"&amp;$D252&amp;"|",'CALENDARIO'!$G$15:$G$214,0)),IFERROR(INDEX('CALENDARIO'!$C$15:$C$214,MATCH(TEXT($H252,"yyyy-mm-dd")&amp;"||",'CALENDARIO'!$G$15:$G$214,0)),INDEX(patronHabil,WEEKDAY($H252,2))))))&lt;&gt;"sí"),0,p_horas_jornada)</f>
        <v/>
      </c>
      <c r="J252" s="3">
        <f>$A252&amp;"|"&amp;$B252&amp;"|"&amp;$C252</f>
        <v/>
      </c>
      <c r="K252" s="3">
        <f>IFERROR(INDEX('CAT_TURNOS'!$C$4:$C$7,MATCH($F252,'CAT_TURNOS'!$A$4:$A$7,0)),"")</f>
        <v/>
      </c>
      <c r="L252" s="3">
        <f>IFERROR(INDEX('CAT_TURNOS'!$D$4:$D$7,MATCH($F252,'CAT_TURNOS'!$A$4:$A$7,0)),"")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11">
        <f>IF($A253="","",DATE(VALUE(LEFT($A253,4)),1,4)-WEEKDAY(DATE(VALUE(LEFT($A253,4)),1,4),2)+1+(VALUE(MID($A253,7,2))-1)*7+MATCH($B253,lista_dias,0)-1)</f>
        <v/>
      </c>
      <c r="I253" s="3">
        <f>IF(OR($F253="",ISNUMBER(MATCH($F253,lista_no_disponible,0)),(IFERROR(INDEX('CALENDARIO'!$C$15:$C$214,MATCH(TEXT($H253,"yyyy-mm-dd")&amp;"|"&amp;$D253&amp;"|"&amp;"",'CALENDARIO'!$G$15:$G$214,0)),IFERROR(INDEX('CALENDARIO'!$C$15:$C$214,MATCH(TEXT($H253,"yyyy-mm-dd")&amp;"|"&amp;$D253&amp;"|",'CALENDARIO'!$G$15:$G$214,0)),IFERROR(INDEX('CALENDARIO'!$C$15:$C$214,MATCH(TEXT($H253,"yyyy-mm-dd")&amp;"||",'CALENDARIO'!$G$15:$G$214,0)),INDEX(patronHabil,WEEKDAY($H253,2))))))&lt;&gt;"sí"),0,p_horas_jornada)</f>
        <v/>
      </c>
      <c r="J253" s="3">
        <f>$A253&amp;"|"&amp;$B253&amp;"|"&amp;$C253</f>
        <v/>
      </c>
      <c r="K253" s="3">
        <f>IFERROR(INDEX('CAT_TURNOS'!$C$4:$C$7,MATCH($F253,'CAT_TURNOS'!$A$4:$A$7,0)),"")</f>
        <v/>
      </c>
      <c r="L253" s="3">
        <f>IFERROR(INDEX('CAT_TURNOS'!$D$4:$D$7,MATCH($F253,'CAT_TURNOS'!$A$4:$A$7,0)),"")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>
        <is>
          <t>T1</t>
        </is>
      </c>
      <c r="G254" s="3">
        <f>IFERROR(INDEX('TECNICOS'!$E$4:$E$15,MATCH($C254,'TECNICOS'!$B$4:$B$15,0)),"")</f>
        <v/>
      </c>
      <c r="H254" s="11">
        <f>IF($A254="","",DATE(VALUE(LEFT($A254,4)),1,4)-WEEKDAY(DATE(VALUE(LEFT($A254,4)),1,4),2)+1+(VALUE(MID($A254,7,2))-1)*7+MATCH($B254,lista_dias,0)-1)</f>
        <v/>
      </c>
      <c r="I254" s="3">
        <f>IF(OR($F254="",ISNUMBER(MATCH($F254,lista_no_disponible,0)),(IFERROR(INDEX('CALENDARIO'!$C$15:$C$214,MATCH(TEXT($H254,"yyyy-mm-dd")&amp;"|"&amp;$D254&amp;"|"&amp;"",'CALENDARIO'!$G$15:$G$214,0)),IFERROR(INDEX('CALENDARIO'!$C$15:$C$214,MATCH(TEXT($H254,"yyyy-mm-dd")&amp;"|"&amp;$D254&amp;"|",'CALENDARIO'!$G$15:$G$214,0)),IFERROR(INDEX('CALENDARIO'!$C$15:$C$214,MATCH(TEXT($H254,"yyyy-mm-dd")&amp;"||",'CALENDARIO'!$G$15:$G$214,0)),INDEX(patronHabil,WEEKDAY($H254,2))))))&lt;&gt;"sí"),0,p_horas_jornada)</f>
        <v/>
      </c>
      <c r="J254" s="3">
        <f>$A254&amp;"|"&amp;$B254&amp;"|"&amp;$C254</f>
        <v/>
      </c>
      <c r="K254" s="3">
        <f>IFERROR(INDEX('CAT_TURNOS'!$C$4:$C$7,MATCH($F254,'CAT_TURNOS'!$A$4:$A$7,0)),"")</f>
        <v/>
      </c>
      <c r="L254" s="3">
        <f>IFERROR(INDEX('CAT_TURNOS'!$D$4:$D$7,MATCH($F254,'CAT_TURNOS'!$A$4:$A$7,0)),"")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>
        <is>
          <t>T1</t>
        </is>
      </c>
      <c r="G255" s="3">
        <f>IFERROR(INDEX('TECNICOS'!$E$4:$E$15,MATCH($C255,'TECNICOS'!$B$4:$B$15,0)),"")</f>
        <v/>
      </c>
      <c r="H255" s="11">
        <f>IF($A255="","",DATE(VALUE(LEFT($A255,4)),1,4)-WEEKDAY(DATE(VALUE(LEFT($A255,4)),1,4),2)+1+(VALUE(MID($A255,7,2))-1)*7+MATCH($B255,lista_dias,0)-1)</f>
        <v/>
      </c>
      <c r="I255" s="3">
        <f>IF(OR($F255="",ISNUMBER(MATCH($F255,lista_no_disponible,0)),(IFERROR(INDEX('CALENDARIO'!$C$15:$C$214,MATCH(TEXT($H255,"yyyy-mm-dd")&amp;"|"&amp;$D255&amp;"|"&amp;"",'CALENDARIO'!$G$15:$G$214,0)),IFERROR(INDEX('CALENDARIO'!$C$15:$C$214,MATCH(TEXT($H255,"yyyy-mm-dd")&amp;"|"&amp;$D255&amp;"|",'CALENDARIO'!$G$15:$G$214,0)),IFERROR(INDEX('CALENDARIO'!$C$15:$C$214,MATCH(TEXT($H255,"yyyy-mm-dd")&amp;"||",'CALENDARIO'!$G$15:$G$214,0)),INDEX(patronHabil,WEEKDAY($H255,2))))))&lt;&gt;"sí"),0,p_horas_jornada)</f>
        <v/>
      </c>
      <c r="J255" s="3">
        <f>$A255&amp;"|"&amp;$B255&amp;"|"&amp;$C255</f>
        <v/>
      </c>
      <c r="K255" s="3">
        <f>IFERROR(INDEX('CAT_TURNOS'!$C$4:$C$7,MATCH($F255,'CAT_TURNOS'!$A$4:$A$7,0)),"")</f>
        <v/>
      </c>
      <c r="L255" s="3">
        <f>IFERROR(INDEX('CAT_TURNOS'!$D$4:$D$7,MATCH($F255,'CAT_TURNOS'!$A$4:$A$7,0)),"")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11">
        <f>IF($A256="","",DATE(VALUE(LEFT($A256,4)),1,4)-WEEKDAY(DATE(VALUE(LEFT($A256,4)),1,4),2)+1+(VALUE(MID($A256,7,2))-1)*7+MATCH($B256,lista_dias,0)-1)</f>
        <v/>
      </c>
      <c r="I256" s="3">
        <f>IF(OR($F256="",ISNUMBER(MATCH($F256,lista_no_disponible,0)),(IFERROR(INDEX('CALENDARIO'!$C$15:$C$214,MATCH(TEXT($H256,"yyyy-mm-dd")&amp;"|"&amp;$D256&amp;"|"&amp;"",'CALENDARIO'!$G$15:$G$214,0)),IFERROR(INDEX('CALENDARIO'!$C$15:$C$214,MATCH(TEXT($H256,"yyyy-mm-dd")&amp;"|"&amp;$D256&amp;"|",'CALENDARIO'!$G$15:$G$214,0)),IFERROR(INDEX('CALENDARIO'!$C$15:$C$214,MATCH(TEXT($H256,"yyyy-mm-dd")&amp;"||",'CALENDARIO'!$G$15:$G$214,0)),INDEX(patronHabil,WEEKDAY($H256,2))))))&lt;&gt;"sí"),0,p_horas_jornada)</f>
        <v/>
      </c>
      <c r="J256" s="3">
        <f>$A256&amp;"|"&amp;$B256&amp;"|"&amp;$C256</f>
        <v/>
      </c>
      <c r="K256" s="3">
        <f>IFERROR(INDEX('CAT_TURNOS'!$C$4:$C$7,MATCH($F256,'CAT_TURNOS'!$A$4:$A$7,0)),"")</f>
        <v/>
      </c>
      <c r="L256" s="3">
        <f>IFERROR(INDEX('CAT_TURNOS'!$D$4:$D$7,MATCH($F256,'CAT_TURNOS'!$A$4:$A$7,0)),"")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11">
        <f>IF($A257="","",DATE(VALUE(LEFT($A257,4)),1,4)-WEEKDAY(DATE(VALUE(LEFT($A257,4)),1,4),2)+1+(VALUE(MID($A257,7,2))-1)*7+MATCH($B257,lista_dias,0)-1)</f>
        <v/>
      </c>
      <c r="I257" s="3">
        <f>IF(OR($F257="",ISNUMBER(MATCH($F257,lista_no_disponible,0)),(IFERROR(INDEX('CALENDARIO'!$C$15:$C$214,MATCH(TEXT($H257,"yyyy-mm-dd")&amp;"|"&amp;$D257&amp;"|"&amp;"",'CALENDARIO'!$G$15:$G$214,0)),IFERROR(INDEX('CALENDARIO'!$C$15:$C$214,MATCH(TEXT($H257,"yyyy-mm-dd")&amp;"|"&amp;$D257&amp;"|",'CALENDARIO'!$G$15:$G$214,0)),IFERROR(INDEX('CALENDARIO'!$C$15:$C$214,MATCH(TEXT($H257,"yyyy-mm-dd")&amp;"||",'CALENDARIO'!$G$15:$G$214,0)),INDEX(patronHabil,WEEKDAY($H257,2))))))&lt;&gt;"sí"),0,p_horas_jornada)</f>
        <v/>
      </c>
      <c r="J257" s="3">
        <f>$A257&amp;"|"&amp;$B257&amp;"|"&amp;$C257</f>
        <v/>
      </c>
      <c r="K257" s="3">
        <f>IFERROR(INDEX('CAT_TURNOS'!$C$4:$C$7,MATCH($F257,'CAT_TURNOS'!$A$4:$A$7,0)),"")</f>
        <v/>
      </c>
      <c r="L257" s="3">
        <f>IFERROR(INDEX('CAT_TURNOS'!$D$4:$D$7,MATCH($F257,'CAT_TURNOS'!$A$4:$A$7,0)),"")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11">
        <f>IF($A258="","",DATE(VALUE(LEFT($A258,4)),1,4)-WEEKDAY(DATE(VALUE(LEFT($A258,4)),1,4),2)+1+(VALUE(MID($A258,7,2))-1)*7+MATCH($B258,lista_dias,0)-1)</f>
        <v/>
      </c>
      <c r="I258" s="3">
        <f>IF(OR($F258="",ISNUMBER(MATCH($F258,lista_no_disponible,0)),(IFERROR(INDEX('CALENDARIO'!$C$15:$C$214,MATCH(TEXT($H258,"yyyy-mm-dd")&amp;"|"&amp;$D258&amp;"|"&amp;"",'CALENDARIO'!$G$15:$G$214,0)),IFERROR(INDEX('CALENDARIO'!$C$15:$C$214,MATCH(TEXT($H258,"yyyy-mm-dd")&amp;"|"&amp;$D258&amp;"|",'CALENDARIO'!$G$15:$G$214,0)),IFERROR(INDEX('CALENDARIO'!$C$15:$C$214,MATCH(TEXT($H258,"yyyy-mm-dd")&amp;"||",'CALENDARIO'!$G$15:$G$214,0)),INDEX(patronHabil,WEEKDAY($H258,2))))))&lt;&gt;"sí"),0,p_horas_jornada)</f>
        <v/>
      </c>
      <c r="J258" s="3">
        <f>$A258&amp;"|"&amp;$B258&amp;"|"&amp;$C258</f>
        <v/>
      </c>
      <c r="K258" s="3">
        <f>IFERROR(INDEX('CAT_TURNOS'!$C$4:$C$7,MATCH($F258,'CAT_TURNOS'!$A$4:$A$7,0)),"")</f>
        <v/>
      </c>
      <c r="L258" s="3">
        <f>IFERROR(INDEX('CAT_TURNOS'!$D$4:$D$7,MATCH($F258,'CAT_TURNOS'!$A$4:$A$7,0)),"")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11">
        <f>IF($A259="","",DATE(VALUE(LEFT($A259,4)),1,4)-WEEKDAY(DATE(VALUE(LEFT($A259,4)),1,4),2)+1+(VALUE(MID($A259,7,2))-1)*7+MATCH($B259,lista_dias,0)-1)</f>
        <v/>
      </c>
      <c r="I259" s="3">
        <f>IF(OR($F259="",ISNUMBER(MATCH($F259,lista_no_disponible,0)),(IFERROR(INDEX('CALENDARIO'!$C$15:$C$214,MATCH(TEXT($H259,"yyyy-mm-dd")&amp;"|"&amp;$D259&amp;"|"&amp;"",'CALENDARIO'!$G$15:$G$214,0)),IFERROR(INDEX('CALENDARIO'!$C$15:$C$214,MATCH(TEXT($H259,"yyyy-mm-dd")&amp;"|"&amp;$D259&amp;"|",'CALENDARIO'!$G$15:$G$214,0)),IFERROR(INDEX('CALENDARIO'!$C$15:$C$214,MATCH(TEXT($H259,"yyyy-mm-dd")&amp;"||",'CALENDARIO'!$G$15:$G$214,0)),INDEX(patronHabil,WEEKDAY($H259,2))))))&lt;&gt;"sí"),0,p_horas_jornada)</f>
        <v/>
      </c>
      <c r="J259" s="3">
        <f>$A259&amp;"|"&amp;$B259&amp;"|"&amp;$C259</f>
        <v/>
      </c>
      <c r="K259" s="3">
        <f>IFERROR(INDEX('CAT_TURNOS'!$C$4:$C$7,MATCH($F259,'CAT_TURNOS'!$A$4:$A$7,0)),"")</f>
        <v/>
      </c>
      <c r="L259" s="3">
        <f>IFERROR(INDEX('CAT_TURNOS'!$D$4:$D$7,MATCH($F259,'CAT_TURNOS'!$A$4:$A$7,0)),"")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11">
        <f>IF($A260="","",DATE(VALUE(LEFT($A260,4)),1,4)-WEEKDAY(DATE(VALUE(LEFT($A260,4)),1,4),2)+1+(VALUE(MID($A260,7,2))-1)*7+MATCH($B260,lista_dias,0)-1)</f>
        <v/>
      </c>
      <c r="I260" s="3">
        <f>IF(OR($F260="",ISNUMBER(MATCH($F260,lista_no_disponible,0)),(IFERROR(INDEX('CALENDARIO'!$C$15:$C$214,MATCH(TEXT($H260,"yyyy-mm-dd")&amp;"|"&amp;$D260&amp;"|"&amp;"",'CALENDARIO'!$G$15:$G$214,0)),IFERROR(INDEX('CALENDARIO'!$C$15:$C$214,MATCH(TEXT($H260,"yyyy-mm-dd")&amp;"|"&amp;$D260&amp;"|",'CALENDARIO'!$G$15:$G$214,0)),IFERROR(INDEX('CALENDARIO'!$C$15:$C$214,MATCH(TEXT($H260,"yyyy-mm-dd")&amp;"||",'CALENDARIO'!$G$15:$G$214,0)),INDEX(patronHabil,WEEKDAY($H260,2))))))&lt;&gt;"sí"),0,p_horas_jornada)</f>
        <v/>
      </c>
      <c r="J260" s="3">
        <f>$A260&amp;"|"&amp;$B260&amp;"|"&amp;$C260</f>
        <v/>
      </c>
      <c r="K260" s="3">
        <f>IFERROR(INDEX('CAT_TURNOS'!$C$4:$C$7,MATCH($F260,'CAT_TURNOS'!$A$4:$A$7,0)),"")</f>
        <v/>
      </c>
      <c r="L260" s="3">
        <f>IFERROR(INDEX('CAT_TURNOS'!$D$4:$D$7,MATCH($F260,'CAT_TURNOS'!$A$4:$A$7,0)),"")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>
        <is>
          <t>T1</t>
        </is>
      </c>
      <c r="G261" s="3">
        <f>IFERROR(INDEX('TECNICOS'!$E$4:$E$15,MATCH($C261,'TECNICOS'!$B$4:$B$15,0)),"")</f>
        <v/>
      </c>
      <c r="H261" s="11">
        <f>IF($A261="","",DATE(VALUE(LEFT($A261,4)),1,4)-WEEKDAY(DATE(VALUE(LEFT($A261,4)),1,4),2)+1+(VALUE(MID($A261,7,2))-1)*7+MATCH($B261,lista_dias,0)-1)</f>
        <v/>
      </c>
      <c r="I261" s="3">
        <f>IF(OR($F261="",ISNUMBER(MATCH($F261,lista_no_disponible,0)),(IFERROR(INDEX('CALENDARIO'!$C$15:$C$214,MATCH(TEXT($H261,"yyyy-mm-dd")&amp;"|"&amp;$D261&amp;"|"&amp;"",'CALENDARIO'!$G$15:$G$214,0)),IFERROR(INDEX('CALENDARIO'!$C$15:$C$214,MATCH(TEXT($H261,"yyyy-mm-dd")&amp;"|"&amp;$D261&amp;"|",'CALENDARIO'!$G$15:$G$214,0)),IFERROR(INDEX('CALENDARIO'!$C$15:$C$214,MATCH(TEXT($H261,"yyyy-mm-dd")&amp;"||",'CALENDARIO'!$G$15:$G$214,0)),INDEX(patronHabil,WEEKDAY($H261,2))))))&lt;&gt;"sí"),0,p_horas_jornada)</f>
        <v/>
      </c>
      <c r="J261" s="3">
        <f>$A261&amp;"|"&amp;$B261&amp;"|"&amp;$C261</f>
        <v/>
      </c>
      <c r="K261" s="3">
        <f>IFERROR(INDEX('CAT_TURNOS'!$C$4:$C$7,MATCH($F261,'CAT_TURNOS'!$A$4:$A$7,0)),"")</f>
        <v/>
      </c>
      <c r="L261" s="3">
        <f>IFERROR(INDEX('CAT_TURNOS'!$D$4:$D$7,MATCH($F261,'CAT_TURNOS'!$A$4:$A$7,0)),"")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11">
        <f>IF($A262="","",DATE(VALUE(LEFT($A262,4)),1,4)-WEEKDAY(DATE(VALUE(LEFT($A262,4)),1,4),2)+1+(VALUE(MID($A262,7,2))-1)*7+MATCH($B262,lista_dias,0)-1)</f>
        <v/>
      </c>
      <c r="I262" s="3">
        <f>IF(OR($F262="",ISNUMBER(MATCH($F262,lista_no_disponible,0)),(IFERROR(INDEX('CALENDARIO'!$C$15:$C$214,MATCH(TEXT($H262,"yyyy-mm-dd")&amp;"|"&amp;$D262&amp;"|"&amp;"",'CALENDARIO'!$G$15:$G$214,0)),IFERROR(INDEX('CALENDARIO'!$C$15:$C$214,MATCH(TEXT($H262,"yyyy-mm-dd")&amp;"|"&amp;$D262&amp;"|",'CALENDARIO'!$G$15:$G$214,0)),IFERROR(INDEX('CALENDARIO'!$C$15:$C$214,MATCH(TEXT($H262,"yyyy-mm-dd")&amp;"||",'CALENDARIO'!$G$15:$G$214,0)),INDEX(patronHabil,WEEKDAY($H262,2))))))&lt;&gt;"sí"),0,p_horas_jornada)</f>
        <v/>
      </c>
      <c r="J262" s="3">
        <f>$A262&amp;"|"&amp;$B262&amp;"|"&amp;$C262</f>
        <v/>
      </c>
      <c r="K262" s="3">
        <f>IFERROR(INDEX('CAT_TURNOS'!$C$4:$C$7,MATCH($F262,'CAT_TURNOS'!$A$4:$A$7,0)),"")</f>
        <v/>
      </c>
      <c r="L262" s="3">
        <f>IFERROR(INDEX('CAT_TURNOS'!$D$4:$D$7,MATCH($F262,'CAT_TURNOS'!$A$4:$A$7,0)),"")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11">
        <f>IF($A263="","",DATE(VALUE(LEFT($A263,4)),1,4)-WEEKDAY(DATE(VALUE(LEFT($A263,4)),1,4),2)+1+(VALUE(MID($A263,7,2))-1)*7+MATCH($B263,lista_dias,0)-1)</f>
        <v/>
      </c>
      <c r="I263" s="3">
        <f>IF(OR($F263="",ISNUMBER(MATCH($F263,lista_no_disponible,0)),(IFERROR(INDEX('CALENDARIO'!$C$15:$C$214,MATCH(TEXT($H263,"yyyy-mm-dd")&amp;"|"&amp;$D263&amp;"|"&amp;"",'CALENDARIO'!$G$15:$G$214,0)),IFERROR(INDEX('CALENDARIO'!$C$15:$C$214,MATCH(TEXT($H263,"yyyy-mm-dd")&amp;"|"&amp;$D263&amp;"|",'CALENDARIO'!$G$15:$G$214,0)),IFERROR(INDEX('CALENDARIO'!$C$15:$C$214,MATCH(TEXT($H263,"yyyy-mm-dd")&amp;"||",'CALENDARIO'!$G$15:$G$214,0)),INDEX(patronHabil,WEEKDAY($H263,2))))))&lt;&gt;"sí"),0,p_horas_jornada)</f>
        <v/>
      </c>
      <c r="J263" s="3">
        <f>$A263&amp;"|"&amp;$B263&amp;"|"&amp;$C263</f>
        <v/>
      </c>
      <c r="K263" s="3">
        <f>IFERROR(INDEX('CAT_TURNOS'!$C$4:$C$7,MATCH($F263,'CAT_TURNOS'!$A$4:$A$7,0)),"")</f>
        <v/>
      </c>
      <c r="L263" s="3">
        <f>IFERROR(INDEX('CAT_TURNOS'!$D$4:$D$7,MATCH($F263,'CAT_TURNOS'!$A$4:$A$7,0)),"")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11">
        <f>IF($A264="","",DATE(VALUE(LEFT($A264,4)),1,4)-WEEKDAY(DATE(VALUE(LEFT($A264,4)),1,4),2)+1+(VALUE(MID($A264,7,2))-1)*7+MATCH($B264,lista_dias,0)-1)</f>
        <v/>
      </c>
      <c r="I264" s="3">
        <f>IF(OR($F264="",ISNUMBER(MATCH($F264,lista_no_disponible,0)),(IFERROR(INDEX('CALENDARIO'!$C$15:$C$214,MATCH(TEXT($H264,"yyyy-mm-dd")&amp;"|"&amp;$D264&amp;"|"&amp;"",'CALENDARIO'!$G$15:$G$214,0)),IFERROR(INDEX('CALENDARIO'!$C$15:$C$214,MATCH(TEXT($H264,"yyyy-mm-dd")&amp;"|"&amp;$D264&amp;"|",'CALENDARIO'!$G$15:$G$214,0)),IFERROR(INDEX('CALENDARIO'!$C$15:$C$214,MATCH(TEXT($H264,"yyyy-mm-dd")&amp;"||",'CALENDARIO'!$G$15:$G$214,0)),INDEX(patronHabil,WEEKDAY($H264,2))))))&lt;&gt;"sí"),0,p_horas_jornada)</f>
        <v/>
      </c>
      <c r="J264" s="3">
        <f>$A264&amp;"|"&amp;$B264&amp;"|"&amp;$C264</f>
        <v/>
      </c>
      <c r="K264" s="3">
        <f>IFERROR(INDEX('CAT_TURNOS'!$C$4:$C$7,MATCH($F264,'CAT_TURNOS'!$A$4:$A$7,0)),"")</f>
        <v/>
      </c>
      <c r="L264" s="3">
        <f>IFERROR(INDEX('CAT_TURNOS'!$D$4:$D$7,MATCH($F264,'CAT_TURNOS'!$A$4:$A$7,0)),"")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11">
        <f>IF($A265="","",DATE(VALUE(LEFT($A265,4)),1,4)-WEEKDAY(DATE(VALUE(LEFT($A265,4)),1,4),2)+1+(VALUE(MID($A265,7,2))-1)*7+MATCH($B265,lista_dias,0)-1)</f>
        <v/>
      </c>
      <c r="I265" s="3">
        <f>IF(OR($F265="",ISNUMBER(MATCH($F265,lista_no_disponible,0)),(IFERROR(INDEX('CALENDARIO'!$C$15:$C$214,MATCH(TEXT($H265,"yyyy-mm-dd")&amp;"|"&amp;$D265&amp;"|"&amp;"",'CALENDARIO'!$G$15:$G$214,0)),IFERROR(INDEX('CALENDARIO'!$C$15:$C$214,MATCH(TEXT($H265,"yyyy-mm-dd")&amp;"|"&amp;$D265&amp;"|",'CALENDARIO'!$G$15:$G$214,0)),IFERROR(INDEX('CALENDARIO'!$C$15:$C$214,MATCH(TEXT($H265,"yyyy-mm-dd")&amp;"||",'CALENDARIO'!$G$15:$G$214,0)),INDEX(patronHabil,WEEKDAY($H265,2))))))&lt;&gt;"sí"),0,p_horas_jornada)</f>
        <v/>
      </c>
      <c r="J265" s="3">
        <f>$A265&amp;"|"&amp;$B265&amp;"|"&amp;$C265</f>
        <v/>
      </c>
      <c r="K265" s="3">
        <f>IFERROR(INDEX('CAT_TURNOS'!$C$4:$C$7,MATCH($F265,'CAT_TURNOS'!$A$4:$A$7,0)),"")</f>
        <v/>
      </c>
      <c r="L265" s="3">
        <f>IFERROR(INDEX('CAT_TURNOS'!$D$4:$D$7,MATCH($F265,'CAT_TURNOS'!$A$4:$A$7,0)),"")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11">
        <f>IF($A266="","",DATE(VALUE(LEFT($A266,4)),1,4)-WEEKDAY(DATE(VALUE(LEFT($A266,4)),1,4),2)+1+(VALUE(MID($A266,7,2))-1)*7+MATCH($B266,lista_dias,0)-1)</f>
        <v/>
      </c>
      <c r="I266" s="3">
        <f>IF(OR($F266="",ISNUMBER(MATCH($F266,lista_no_disponible,0)),(IFERROR(INDEX('CALENDARIO'!$C$15:$C$214,MATCH(TEXT($H266,"yyyy-mm-dd")&amp;"|"&amp;$D266&amp;"|"&amp;"",'CALENDARIO'!$G$15:$G$214,0)),IFERROR(INDEX('CALENDARIO'!$C$15:$C$214,MATCH(TEXT($H266,"yyyy-mm-dd")&amp;"|"&amp;$D266&amp;"|",'CALENDARIO'!$G$15:$G$214,0)),IFERROR(INDEX('CALENDARIO'!$C$15:$C$214,MATCH(TEXT($H266,"yyyy-mm-dd")&amp;"||",'CALENDARIO'!$G$15:$G$214,0)),INDEX(patronHabil,WEEKDAY($H266,2))))))&lt;&gt;"sí"),0,p_horas_jornada)</f>
        <v/>
      </c>
      <c r="J266" s="3">
        <f>$A266&amp;"|"&amp;$B266&amp;"|"&amp;$C266</f>
        <v/>
      </c>
      <c r="K266" s="3">
        <f>IFERROR(INDEX('CAT_TURNOS'!$C$4:$C$7,MATCH($F266,'CAT_TURNOS'!$A$4:$A$7,0)),"")</f>
        <v/>
      </c>
      <c r="L266" s="3">
        <f>IFERROR(INDEX('CAT_TURNOS'!$D$4:$D$7,MATCH($F266,'CAT_TURNOS'!$A$4:$A$7,0)),"")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11">
        <f>IF($A267="","",DATE(VALUE(LEFT($A267,4)),1,4)-WEEKDAY(DATE(VALUE(LEFT($A267,4)),1,4),2)+1+(VALUE(MID($A267,7,2))-1)*7+MATCH($B267,lista_dias,0)-1)</f>
        <v/>
      </c>
      <c r="I267" s="3">
        <f>IF(OR($F267="",ISNUMBER(MATCH($F267,lista_no_disponible,0)),(IFERROR(INDEX('CALENDARIO'!$C$15:$C$214,MATCH(TEXT($H267,"yyyy-mm-dd")&amp;"|"&amp;$D267&amp;"|"&amp;"",'CALENDARIO'!$G$15:$G$214,0)),IFERROR(INDEX('CALENDARIO'!$C$15:$C$214,MATCH(TEXT($H267,"yyyy-mm-dd")&amp;"|"&amp;$D267&amp;"|",'CALENDARIO'!$G$15:$G$214,0)),IFERROR(INDEX('CALENDARIO'!$C$15:$C$214,MATCH(TEXT($H267,"yyyy-mm-dd")&amp;"||",'CALENDARIO'!$G$15:$G$214,0)),INDEX(patronHabil,WEEKDAY($H267,2))))))&lt;&gt;"sí"),0,p_horas_jornada)</f>
        <v/>
      </c>
      <c r="J267" s="3">
        <f>$A267&amp;"|"&amp;$B267&amp;"|"&amp;$C267</f>
        <v/>
      </c>
      <c r="K267" s="3">
        <f>IFERROR(INDEX('CAT_TURNOS'!$C$4:$C$7,MATCH($F267,'CAT_TURNOS'!$A$4:$A$7,0)),"")</f>
        <v/>
      </c>
      <c r="L267" s="3">
        <f>IFERROR(INDEX('CAT_TURNOS'!$D$4:$D$7,MATCH($F267,'CAT_TURNOS'!$A$4:$A$7,0)),"")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>
        <is>
          <t>T2</t>
        </is>
      </c>
      <c r="G268" s="3">
        <f>IFERROR(INDEX('TECNICOS'!$E$4:$E$15,MATCH($C268,'TECNICOS'!$B$4:$B$15,0)),"")</f>
        <v/>
      </c>
      <c r="H268" s="11">
        <f>IF($A268="","",DATE(VALUE(LEFT($A268,4)),1,4)-WEEKDAY(DATE(VALUE(LEFT($A268,4)),1,4),2)+1+(VALUE(MID($A268,7,2))-1)*7+MATCH($B268,lista_dias,0)-1)</f>
        <v/>
      </c>
      <c r="I268" s="3">
        <f>IF(OR($F268="",ISNUMBER(MATCH($F268,lista_no_disponible,0)),(IFERROR(INDEX('CALENDARIO'!$C$15:$C$214,MATCH(TEXT($H268,"yyyy-mm-dd")&amp;"|"&amp;$D268&amp;"|"&amp;"",'CALENDARIO'!$G$15:$G$214,0)),IFERROR(INDEX('CALENDARIO'!$C$15:$C$214,MATCH(TEXT($H268,"yyyy-mm-dd")&amp;"|"&amp;$D268&amp;"|",'CALENDARIO'!$G$15:$G$214,0)),IFERROR(INDEX('CALENDARIO'!$C$15:$C$214,MATCH(TEXT($H268,"yyyy-mm-dd")&amp;"||",'CALENDARIO'!$G$15:$G$214,0)),INDEX(patronHabil,WEEKDAY($H268,2))))))&lt;&gt;"sí"),0,p_horas_jornada)</f>
        <v/>
      </c>
      <c r="J268" s="3">
        <f>$A268&amp;"|"&amp;$B268&amp;"|"&amp;$C268</f>
        <v/>
      </c>
      <c r="K268" s="3">
        <f>IFERROR(INDEX('CAT_TURNOS'!$C$4:$C$7,MATCH($F268,'CAT_TURNOS'!$A$4:$A$7,0)),"")</f>
        <v/>
      </c>
      <c r="L268" s="3">
        <f>IFERROR(INDEX('CAT_TURNOS'!$D$4:$D$7,MATCH($F268,'CAT_TURNOS'!$A$4:$A$7,0)),"")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11">
        <f>IF($A269="","",DATE(VALUE(LEFT($A269,4)),1,4)-WEEKDAY(DATE(VALUE(LEFT($A269,4)),1,4),2)+1+(VALUE(MID($A269,7,2))-1)*7+MATCH($B269,lista_dias,0)-1)</f>
        <v/>
      </c>
      <c r="I269" s="3">
        <f>IF(OR($F269="",ISNUMBER(MATCH($F269,lista_no_disponible,0)),(IFERROR(INDEX('CALENDARIO'!$C$15:$C$214,MATCH(TEXT($H269,"yyyy-mm-dd")&amp;"|"&amp;$D269&amp;"|"&amp;"",'CALENDARIO'!$G$15:$G$214,0)),IFERROR(INDEX('CALENDARIO'!$C$15:$C$214,MATCH(TEXT($H269,"yyyy-mm-dd")&amp;"|"&amp;$D269&amp;"|",'CALENDARIO'!$G$15:$G$214,0)),IFERROR(INDEX('CALENDARIO'!$C$15:$C$214,MATCH(TEXT($H269,"yyyy-mm-dd")&amp;"||",'CALENDARIO'!$G$15:$G$214,0)),INDEX(patronHabil,WEEKDAY($H269,2))))))&lt;&gt;"sí"),0,p_horas_jornada)</f>
        <v/>
      </c>
      <c r="J269" s="3">
        <f>$A269&amp;"|"&amp;$B269&amp;"|"&amp;$C269</f>
        <v/>
      </c>
      <c r="K269" s="3">
        <f>IFERROR(INDEX('CAT_TURNOS'!$C$4:$C$7,MATCH($F269,'CAT_TURNOS'!$A$4:$A$7,0)),"")</f>
        <v/>
      </c>
      <c r="L269" s="3">
        <f>IFERROR(INDEX('CAT_TURNOS'!$D$4:$D$7,MATCH($F269,'CAT_TURNOS'!$A$4:$A$7,0)),"")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11">
        <f>IF($A270="","",DATE(VALUE(LEFT($A270,4)),1,4)-WEEKDAY(DATE(VALUE(LEFT($A270,4)),1,4),2)+1+(VALUE(MID($A270,7,2))-1)*7+MATCH($B270,lista_dias,0)-1)</f>
        <v/>
      </c>
      <c r="I270" s="3">
        <f>IF(OR($F270="",ISNUMBER(MATCH($F270,lista_no_disponible,0)),(IFERROR(INDEX('CALENDARIO'!$C$15:$C$214,MATCH(TEXT($H270,"yyyy-mm-dd")&amp;"|"&amp;$D270&amp;"|"&amp;"",'CALENDARIO'!$G$15:$G$214,0)),IFERROR(INDEX('CALENDARIO'!$C$15:$C$214,MATCH(TEXT($H270,"yyyy-mm-dd")&amp;"|"&amp;$D270&amp;"|",'CALENDARIO'!$G$15:$G$214,0)),IFERROR(INDEX('CALENDARIO'!$C$15:$C$214,MATCH(TEXT($H270,"yyyy-mm-dd")&amp;"||",'CALENDARIO'!$G$15:$G$214,0)),INDEX(patronHabil,WEEKDAY($H270,2))))))&lt;&gt;"sí"),0,p_horas_jornada)</f>
        <v/>
      </c>
      <c r="J270" s="3">
        <f>$A270&amp;"|"&amp;$B270&amp;"|"&amp;$C270</f>
        <v/>
      </c>
      <c r="K270" s="3">
        <f>IFERROR(INDEX('CAT_TURNOS'!$C$4:$C$7,MATCH($F270,'CAT_TURNOS'!$A$4:$A$7,0)),"")</f>
        <v/>
      </c>
      <c r="L270" s="3">
        <f>IFERROR(INDEX('CAT_TURNOS'!$D$4:$D$7,MATCH($F270,'CAT_TURNOS'!$A$4:$A$7,0)),"")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11">
        <f>IF($A271="","",DATE(VALUE(LEFT($A271,4)),1,4)-WEEKDAY(DATE(VALUE(LEFT($A271,4)),1,4),2)+1+(VALUE(MID($A271,7,2))-1)*7+MATCH($B271,lista_dias,0)-1)</f>
        <v/>
      </c>
      <c r="I271" s="3">
        <f>IF(OR($F271="",ISNUMBER(MATCH($F271,lista_no_disponible,0)),(IFERROR(INDEX('CALENDARIO'!$C$15:$C$214,MATCH(TEXT($H271,"yyyy-mm-dd")&amp;"|"&amp;$D271&amp;"|"&amp;"",'CALENDARIO'!$G$15:$G$214,0)),IFERROR(INDEX('CALENDARIO'!$C$15:$C$214,MATCH(TEXT($H271,"yyyy-mm-dd")&amp;"|"&amp;$D271&amp;"|",'CALENDARIO'!$G$15:$G$214,0)),IFERROR(INDEX('CALENDARIO'!$C$15:$C$214,MATCH(TEXT($H271,"yyyy-mm-dd")&amp;"||",'CALENDARIO'!$G$15:$G$214,0)),INDEX(patronHabil,WEEKDAY($H271,2))))))&lt;&gt;"sí"),0,p_horas_jornada)</f>
        <v/>
      </c>
      <c r="J271" s="3">
        <f>$A271&amp;"|"&amp;$B271&amp;"|"&amp;$C271</f>
        <v/>
      </c>
      <c r="K271" s="3">
        <f>IFERROR(INDEX('CAT_TURNOS'!$C$4:$C$7,MATCH($F271,'CAT_TURNOS'!$A$4:$A$7,0)),"")</f>
        <v/>
      </c>
      <c r="L271" s="3">
        <f>IFERROR(INDEX('CAT_TURNOS'!$D$4:$D$7,MATCH($F271,'CAT_TURNOS'!$A$4:$A$7,0)),"")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11">
        <f>IF($A272="","",DATE(VALUE(LEFT($A272,4)),1,4)-WEEKDAY(DATE(VALUE(LEFT($A272,4)),1,4),2)+1+(VALUE(MID($A272,7,2))-1)*7+MATCH($B272,lista_dias,0)-1)</f>
        <v/>
      </c>
      <c r="I272" s="3">
        <f>IF(OR($F272="",ISNUMBER(MATCH($F272,lista_no_disponible,0)),(IFERROR(INDEX('CALENDARIO'!$C$15:$C$214,MATCH(TEXT($H272,"yyyy-mm-dd")&amp;"|"&amp;$D272&amp;"|"&amp;"",'CALENDARIO'!$G$15:$G$214,0)),IFERROR(INDEX('CALENDARIO'!$C$15:$C$214,MATCH(TEXT($H272,"yyyy-mm-dd")&amp;"|"&amp;$D272&amp;"|",'CALENDARIO'!$G$15:$G$214,0)),IFERROR(INDEX('CALENDARIO'!$C$15:$C$214,MATCH(TEXT($H272,"yyyy-mm-dd")&amp;"||",'CALENDARIO'!$G$15:$G$214,0)),INDEX(patronHabil,WEEKDAY($H272,2))))))&lt;&gt;"sí"),0,p_horas_jornada)</f>
        <v/>
      </c>
      <c r="J272" s="3">
        <f>$A272&amp;"|"&amp;$B272&amp;"|"&amp;$C272</f>
        <v/>
      </c>
      <c r="K272" s="3">
        <f>IFERROR(INDEX('CAT_TURNOS'!$C$4:$C$7,MATCH($F272,'CAT_TURNOS'!$A$4:$A$7,0)),"")</f>
        <v/>
      </c>
      <c r="L272" s="3">
        <f>IFERROR(INDEX('CAT_TURNOS'!$D$4:$D$7,MATCH($F272,'CAT_TURNOS'!$A$4:$A$7,0)),"")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11">
        <f>IF($A273="","",DATE(VALUE(LEFT($A273,4)),1,4)-WEEKDAY(DATE(VALUE(LEFT($A273,4)),1,4),2)+1+(VALUE(MID($A273,7,2))-1)*7+MATCH($B273,lista_dias,0)-1)</f>
        <v/>
      </c>
      <c r="I273" s="3">
        <f>IF(OR($F273="",ISNUMBER(MATCH($F273,lista_no_disponible,0)),(IFERROR(INDEX('CALENDARIO'!$C$15:$C$214,MATCH(TEXT($H273,"yyyy-mm-dd")&amp;"|"&amp;$D273&amp;"|"&amp;"",'CALENDARIO'!$G$15:$G$214,0)),IFERROR(INDEX('CALENDARIO'!$C$15:$C$214,MATCH(TEXT($H273,"yyyy-mm-dd")&amp;"|"&amp;$D273&amp;"|",'CALENDARIO'!$G$15:$G$214,0)),IFERROR(INDEX('CALENDARIO'!$C$15:$C$214,MATCH(TEXT($H273,"yyyy-mm-dd")&amp;"||",'CALENDARIO'!$G$15:$G$214,0)),INDEX(patronHabil,WEEKDAY($H273,2))))))&lt;&gt;"sí"),0,p_horas_jornada)</f>
        <v/>
      </c>
      <c r="J273" s="3">
        <f>$A273&amp;"|"&amp;$B273&amp;"|"&amp;$C273</f>
        <v/>
      </c>
      <c r="K273" s="3">
        <f>IFERROR(INDEX('CAT_TURNOS'!$C$4:$C$7,MATCH($F273,'CAT_TURNOS'!$A$4:$A$7,0)),"")</f>
        <v/>
      </c>
      <c r="L273" s="3">
        <f>IFERROR(INDEX('CAT_TURNOS'!$D$4:$D$7,MATCH($F273,'CAT_TURNOS'!$A$4:$A$7,0)),"")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11">
        <f>IF($A274="","",DATE(VALUE(LEFT($A274,4)),1,4)-WEEKDAY(DATE(VALUE(LEFT($A274,4)),1,4),2)+1+(VALUE(MID($A274,7,2))-1)*7+MATCH($B274,lista_dias,0)-1)</f>
        <v/>
      </c>
      <c r="I274" s="3">
        <f>IF(OR($F274="",ISNUMBER(MATCH($F274,lista_no_disponible,0)),(IFERROR(INDEX('CALENDARIO'!$C$15:$C$214,MATCH(TEXT($H274,"yyyy-mm-dd")&amp;"|"&amp;$D274&amp;"|"&amp;"",'CALENDARIO'!$G$15:$G$214,0)),IFERROR(INDEX('CALENDARIO'!$C$15:$C$214,MATCH(TEXT($H274,"yyyy-mm-dd")&amp;"|"&amp;$D274&amp;"|",'CALENDARIO'!$G$15:$G$214,0)),IFERROR(INDEX('CALENDARIO'!$C$15:$C$214,MATCH(TEXT($H274,"yyyy-mm-dd")&amp;"||",'CALENDARIO'!$G$15:$G$214,0)),INDEX(patronHabil,WEEKDAY($H274,2))))))&lt;&gt;"sí"),0,p_horas_jornada)</f>
        <v/>
      </c>
      <c r="J274" s="3">
        <f>$A274&amp;"|"&amp;$B274&amp;"|"&amp;$C274</f>
        <v/>
      </c>
      <c r="K274" s="3">
        <f>IFERROR(INDEX('CAT_TURNOS'!$C$4:$C$7,MATCH($F274,'CAT_TURNOS'!$A$4:$A$7,0)),"")</f>
        <v/>
      </c>
      <c r="L274" s="3">
        <f>IFERROR(INDEX('CAT_TURNOS'!$D$4:$D$7,MATCH($F274,'CAT_TURNOS'!$A$4:$A$7,0)),"")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>
        <is>
          <t>T1</t>
        </is>
      </c>
      <c r="G275" s="3">
        <f>IFERROR(INDEX('TECNICOS'!$E$4:$E$15,MATCH($C275,'TECNICOS'!$B$4:$B$15,0)),"")</f>
        <v/>
      </c>
      <c r="H275" s="11">
        <f>IF($A275="","",DATE(VALUE(LEFT($A275,4)),1,4)-WEEKDAY(DATE(VALUE(LEFT($A275,4)),1,4),2)+1+(VALUE(MID($A275,7,2))-1)*7+MATCH($B275,lista_dias,0)-1)</f>
        <v/>
      </c>
      <c r="I275" s="3">
        <f>IF(OR($F275="",ISNUMBER(MATCH($F275,lista_no_disponible,0)),(IFERROR(INDEX('CALENDARIO'!$C$15:$C$214,MATCH(TEXT($H275,"yyyy-mm-dd")&amp;"|"&amp;$D275&amp;"|"&amp;"",'CALENDARIO'!$G$15:$G$214,0)),IFERROR(INDEX('CALENDARIO'!$C$15:$C$214,MATCH(TEXT($H275,"yyyy-mm-dd")&amp;"|"&amp;$D275&amp;"|",'CALENDARIO'!$G$15:$G$214,0)),IFERROR(INDEX('CALENDARIO'!$C$15:$C$214,MATCH(TEXT($H275,"yyyy-mm-dd")&amp;"||",'CALENDARIO'!$G$15:$G$214,0)),INDEX(patronHabil,WEEKDAY($H275,2))))))&lt;&gt;"sí"),0,p_horas_jornada)</f>
        <v/>
      </c>
      <c r="J275" s="3">
        <f>$A275&amp;"|"&amp;$B275&amp;"|"&amp;$C275</f>
        <v/>
      </c>
      <c r="K275" s="3">
        <f>IFERROR(INDEX('CAT_TURNOS'!$C$4:$C$7,MATCH($F275,'CAT_TURNOS'!$A$4:$A$7,0)),"")</f>
        <v/>
      </c>
      <c r="L275" s="3">
        <f>IFERROR(INDEX('CAT_TURNOS'!$D$4:$D$7,MATCH($F275,'CAT_TURNOS'!$A$4:$A$7,0)),"")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11">
        <f>IF($A276="","",DATE(VALUE(LEFT($A276,4)),1,4)-WEEKDAY(DATE(VALUE(LEFT($A276,4)),1,4),2)+1+(VALUE(MID($A276,7,2))-1)*7+MATCH($B276,lista_dias,0)-1)</f>
        <v/>
      </c>
      <c r="I276" s="3">
        <f>IF(OR($F276="",ISNUMBER(MATCH($F276,lista_no_disponible,0)),(IFERROR(INDEX('CALENDARIO'!$C$15:$C$214,MATCH(TEXT($H276,"yyyy-mm-dd")&amp;"|"&amp;$D276&amp;"|"&amp;"",'CALENDARIO'!$G$15:$G$214,0)),IFERROR(INDEX('CALENDARIO'!$C$15:$C$214,MATCH(TEXT($H276,"yyyy-mm-dd")&amp;"|"&amp;$D276&amp;"|",'CALENDARIO'!$G$15:$G$214,0)),IFERROR(INDEX('CALENDARIO'!$C$15:$C$214,MATCH(TEXT($H276,"yyyy-mm-dd")&amp;"||",'CALENDARIO'!$G$15:$G$214,0)),INDEX(patronHabil,WEEKDAY($H276,2))))))&lt;&gt;"sí"),0,p_horas_jornada)</f>
        <v/>
      </c>
      <c r="J276" s="3">
        <f>$A276&amp;"|"&amp;$B276&amp;"|"&amp;$C276</f>
        <v/>
      </c>
      <c r="K276" s="3">
        <f>IFERROR(INDEX('CAT_TURNOS'!$C$4:$C$7,MATCH($F276,'CAT_TURNOS'!$A$4:$A$7,0)),"")</f>
        <v/>
      </c>
      <c r="L276" s="3">
        <f>IFERROR(INDEX('CAT_TURNOS'!$D$4:$D$7,MATCH($F276,'CAT_TURNOS'!$A$4:$A$7,0)),"")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11">
        <f>IF($A277="","",DATE(VALUE(LEFT($A277,4)),1,4)-WEEKDAY(DATE(VALUE(LEFT($A277,4)),1,4),2)+1+(VALUE(MID($A277,7,2))-1)*7+MATCH($B277,lista_dias,0)-1)</f>
        <v/>
      </c>
      <c r="I277" s="3">
        <f>IF(OR($F277="",ISNUMBER(MATCH($F277,lista_no_disponible,0)),(IFERROR(INDEX('CALENDARIO'!$C$15:$C$214,MATCH(TEXT($H277,"yyyy-mm-dd")&amp;"|"&amp;$D277&amp;"|"&amp;"",'CALENDARIO'!$G$15:$G$214,0)),IFERROR(INDEX('CALENDARIO'!$C$15:$C$214,MATCH(TEXT($H277,"yyyy-mm-dd")&amp;"|"&amp;$D277&amp;"|",'CALENDARIO'!$G$15:$G$214,0)),IFERROR(INDEX('CALENDARIO'!$C$15:$C$214,MATCH(TEXT($H277,"yyyy-mm-dd")&amp;"||",'CALENDARIO'!$G$15:$G$214,0)),INDEX(patronHabil,WEEKDAY($H277,2))))))&lt;&gt;"sí"),0,p_horas_jornada)</f>
        <v/>
      </c>
      <c r="J277" s="3">
        <f>$A277&amp;"|"&amp;$B277&amp;"|"&amp;$C277</f>
        <v/>
      </c>
      <c r="K277" s="3">
        <f>IFERROR(INDEX('CAT_TURNOS'!$C$4:$C$7,MATCH($F277,'CAT_TURNOS'!$A$4:$A$7,0)),"")</f>
        <v/>
      </c>
      <c r="L277" s="3">
        <f>IFERROR(INDEX('CAT_TURNOS'!$D$4:$D$7,MATCH($F277,'CAT_TURNOS'!$A$4:$A$7,0)),"")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11">
        <f>IF($A278="","",DATE(VALUE(LEFT($A278,4)),1,4)-WEEKDAY(DATE(VALUE(LEFT($A278,4)),1,4),2)+1+(VALUE(MID($A278,7,2))-1)*7+MATCH($B278,lista_dias,0)-1)</f>
        <v/>
      </c>
      <c r="I278" s="3">
        <f>IF(OR($F278="",ISNUMBER(MATCH($F278,lista_no_disponible,0)),(IFERROR(INDEX('CALENDARIO'!$C$15:$C$214,MATCH(TEXT($H278,"yyyy-mm-dd")&amp;"|"&amp;$D278&amp;"|"&amp;"",'CALENDARIO'!$G$15:$G$214,0)),IFERROR(INDEX('CALENDARIO'!$C$15:$C$214,MATCH(TEXT($H278,"yyyy-mm-dd")&amp;"|"&amp;$D278&amp;"|",'CALENDARIO'!$G$15:$G$214,0)),IFERROR(INDEX('CALENDARIO'!$C$15:$C$214,MATCH(TEXT($H278,"yyyy-mm-dd")&amp;"||",'CALENDARIO'!$G$15:$G$214,0)),INDEX(patronHabil,WEEKDAY($H278,2))))))&lt;&gt;"sí"),0,p_horas_jornada)</f>
        <v/>
      </c>
      <c r="J278" s="3">
        <f>$A278&amp;"|"&amp;$B278&amp;"|"&amp;$C278</f>
        <v/>
      </c>
      <c r="K278" s="3">
        <f>IFERROR(INDEX('CAT_TURNOS'!$C$4:$C$7,MATCH($F278,'CAT_TURNOS'!$A$4:$A$7,0)),"")</f>
        <v/>
      </c>
      <c r="L278" s="3">
        <f>IFERROR(INDEX('CAT_TURNOS'!$D$4:$D$7,MATCH($F278,'CAT_TURNOS'!$A$4:$A$7,0)),"")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11">
        <f>IF($A279="","",DATE(VALUE(LEFT($A279,4)),1,4)-WEEKDAY(DATE(VALUE(LEFT($A279,4)),1,4),2)+1+(VALUE(MID($A279,7,2))-1)*7+MATCH($B279,lista_dias,0)-1)</f>
        <v/>
      </c>
      <c r="I279" s="3">
        <f>IF(OR($F279="",ISNUMBER(MATCH($F279,lista_no_disponible,0)),(IFERROR(INDEX('CALENDARIO'!$C$15:$C$214,MATCH(TEXT($H279,"yyyy-mm-dd")&amp;"|"&amp;$D279&amp;"|"&amp;"",'CALENDARIO'!$G$15:$G$214,0)),IFERROR(INDEX('CALENDARIO'!$C$15:$C$214,MATCH(TEXT($H279,"yyyy-mm-dd")&amp;"|"&amp;$D279&amp;"|",'CALENDARIO'!$G$15:$G$214,0)),IFERROR(INDEX('CALENDARIO'!$C$15:$C$214,MATCH(TEXT($H279,"yyyy-mm-dd")&amp;"||",'CALENDARIO'!$G$15:$G$214,0)),INDEX(patronHabil,WEEKDAY($H279,2))))))&lt;&gt;"sí"),0,p_horas_jornada)</f>
        <v/>
      </c>
      <c r="J279" s="3">
        <f>$A279&amp;"|"&amp;$B279&amp;"|"&amp;$C279</f>
        <v/>
      </c>
      <c r="K279" s="3">
        <f>IFERROR(INDEX('CAT_TURNOS'!$C$4:$C$7,MATCH($F279,'CAT_TURNOS'!$A$4:$A$7,0)),"")</f>
        <v/>
      </c>
      <c r="L279" s="3">
        <f>IFERROR(INDEX('CAT_TURNOS'!$D$4:$D$7,MATCH($F279,'CAT_TURNOS'!$A$4:$A$7,0)),"")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11">
        <f>IF($A280="","",DATE(VALUE(LEFT($A280,4)),1,4)-WEEKDAY(DATE(VALUE(LEFT($A280,4)),1,4),2)+1+(VALUE(MID($A280,7,2))-1)*7+MATCH($B280,lista_dias,0)-1)</f>
        <v/>
      </c>
      <c r="I280" s="3">
        <f>IF(OR($F280="",ISNUMBER(MATCH($F280,lista_no_disponible,0)),(IFERROR(INDEX('CALENDARIO'!$C$15:$C$214,MATCH(TEXT($H280,"yyyy-mm-dd")&amp;"|"&amp;$D280&amp;"|"&amp;"",'CALENDARIO'!$G$15:$G$214,0)),IFERROR(INDEX('CALENDARIO'!$C$15:$C$214,MATCH(TEXT($H280,"yyyy-mm-dd")&amp;"|"&amp;$D280&amp;"|",'CALENDARIO'!$G$15:$G$214,0)),IFERROR(INDEX('CALENDARIO'!$C$15:$C$214,MATCH(TEXT($H280,"yyyy-mm-dd")&amp;"||",'CALENDARIO'!$G$15:$G$214,0)),INDEX(patronHabil,WEEKDAY($H280,2))))))&lt;&gt;"sí"),0,p_horas_jornada)</f>
        <v/>
      </c>
      <c r="J280" s="3">
        <f>$A280&amp;"|"&amp;$B280&amp;"|"&amp;$C280</f>
        <v/>
      </c>
      <c r="K280" s="3">
        <f>IFERROR(INDEX('CAT_TURNOS'!$C$4:$C$7,MATCH($F280,'CAT_TURNOS'!$A$4:$A$7,0)),"")</f>
        <v/>
      </c>
      <c r="L280" s="3">
        <f>IFERROR(INDEX('CAT_TURNOS'!$D$4:$D$7,MATCH($F280,'CAT_TURNOS'!$A$4:$A$7,0)),"")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11">
        <f>IF($A281="","",DATE(VALUE(LEFT($A281,4)),1,4)-WEEKDAY(DATE(VALUE(LEFT($A281,4)),1,4),2)+1+(VALUE(MID($A281,7,2))-1)*7+MATCH($B281,lista_dias,0)-1)</f>
        <v/>
      </c>
      <c r="I281" s="3">
        <f>IF(OR($F281="",ISNUMBER(MATCH($F281,lista_no_disponible,0)),(IFERROR(INDEX('CALENDARIO'!$C$15:$C$214,MATCH(TEXT($H281,"yyyy-mm-dd")&amp;"|"&amp;$D281&amp;"|"&amp;"",'CALENDARIO'!$G$15:$G$214,0)),IFERROR(INDEX('CALENDARIO'!$C$15:$C$214,MATCH(TEXT($H281,"yyyy-mm-dd")&amp;"|"&amp;$D281&amp;"|",'CALENDARIO'!$G$15:$G$214,0)),IFERROR(INDEX('CALENDARIO'!$C$15:$C$214,MATCH(TEXT($H281,"yyyy-mm-dd")&amp;"||",'CALENDARIO'!$G$15:$G$214,0)),INDEX(patronHabil,WEEKDAY($H281,2))))))&lt;&gt;"sí"),0,p_horas_jornada)</f>
        <v/>
      </c>
      <c r="J281" s="3">
        <f>$A281&amp;"|"&amp;$B281&amp;"|"&amp;$C281</f>
        <v/>
      </c>
      <c r="K281" s="3">
        <f>IFERROR(INDEX('CAT_TURNOS'!$C$4:$C$7,MATCH($F281,'CAT_TURNOS'!$A$4:$A$7,0)),"")</f>
        <v/>
      </c>
      <c r="L281" s="3">
        <f>IFERROR(INDEX('CAT_TURNOS'!$D$4:$D$7,MATCH($F281,'CAT_TURNOS'!$A$4:$A$7,0)),"")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>
        <is>
          <t>T1</t>
        </is>
      </c>
      <c r="G282" s="3">
        <f>IFERROR(INDEX('TECNICOS'!$E$4:$E$15,MATCH($C282,'TECNICOS'!$B$4:$B$15,0)),"")</f>
        <v/>
      </c>
      <c r="H282" s="11">
        <f>IF($A282="","",DATE(VALUE(LEFT($A282,4)),1,4)-WEEKDAY(DATE(VALUE(LEFT($A282,4)),1,4),2)+1+(VALUE(MID($A282,7,2))-1)*7+MATCH($B282,lista_dias,0)-1)</f>
        <v/>
      </c>
      <c r="I282" s="3">
        <f>IF(OR($F282="",ISNUMBER(MATCH($F282,lista_no_disponible,0)),(IFERROR(INDEX('CALENDARIO'!$C$15:$C$214,MATCH(TEXT($H282,"yyyy-mm-dd")&amp;"|"&amp;$D282&amp;"|"&amp;"",'CALENDARIO'!$G$15:$G$214,0)),IFERROR(INDEX('CALENDARIO'!$C$15:$C$214,MATCH(TEXT($H282,"yyyy-mm-dd")&amp;"|"&amp;$D282&amp;"|",'CALENDARIO'!$G$15:$G$214,0)),IFERROR(INDEX('CALENDARIO'!$C$15:$C$214,MATCH(TEXT($H282,"yyyy-mm-dd")&amp;"||",'CALENDARIO'!$G$15:$G$214,0)),INDEX(patronHabil,WEEKDAY($H282,2))))))&lt;&gt;"sí"),0,p_horas_jornada)</f>
        <v/>
      </c>
      <c r="J282" s="3">
        <f>$A282&amp;"|"&amp;$B282&amp;"|"&amp;$C282</f>
        <v/>
      </c>
      <c r="K282" s="3">
        <f>IFERROR(INDEX('CAT_TURNOS'!$C$4:$C$7,MATCH($F282,'CAT_TURNOS'!$A$4:$A$7,0)),"")</f>
        <v/>
      </c>
      <c r="L282" s="3">
        <f>IFERROR(INDEX('CAT_TURNOS'!$D$4:$D$7,MATCH($F282,'CAT_TURNOS'!$A$4:$A$7,0)),"")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11">
        <f>IF($A283="","",DATE(VALUE(LEFT($A283,4)),1,4)-WEEKDAY(DATE(VALUE(LEFT($A283,4)),1,4),2)+1+(VALUE(MID($A283,7,2))-1)*7+MATCH($B283,lista_dias,0)-1)</f>
        <v/>
      </c>
      <c r="I283" s="3">
        <f>IF(OR($F283="",ISNUMBER(MATCH($F283,lista_no_disponible,0)),(IFERROR(INDEX('CALENDARIO'!$C$15:$C$214,MATCH(TEXT($H283,"yyyy-mm-dd")&amp;"|"&amp;$D283&amp;"|"&amp;"",'CALENDARIO'!$G$15:$G$214,0)),IFERROR(INDEX('CALENDARIO'!$C$15:$C$214,MATCH(TEXT($H283,"yyyy-mm-dd")&amp;"|"&amp;$D283&amp;"|",'CALENDARIO'!$G$15:$G$214,0)),IFERROR(INDEX('CALENDARIO'!$C$15:$C$214,MATCH(TEXT($H283,"yyyy-mm-dd")&amp;"||",'CALENDARIO'!$G$15:$G$214,0)),INDEX(patronHabil,WEEKDAY($H283,2))))))&lt;&gt;"sí"),0,p_horas_jornada)</f>
        <v/>
      </c>
      <c r="J283" s="3">
        <f>$A283&amp;"|"&amp;$B283&amp;"|"&amp;$C283</f>
        <v/>
      </c>
      <c r="K283" s="3">
        <f>IFERROR(INDEX('CAT_TURNOS'!$C$4:$C$7,MATCH($F283,'CAT_TURNOS'!$A$4:$A$7,0)),"")</f>
        <v/>
      </c>
      <c r="L283" s="3">
        <f>IFERROR(INDEX('CAT_TURNOS'!$D$4:$D$7,MATCH($F283,'CAT_TURNOS'!$A$4:$A$7,0)),"")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11">
        <f>IF($A284="","",DATE(VALUE(LEFT($A284,4)),1,4)-WEEKDAY(DATE(VALUE(LEFT($A284,4)),1,4),2)+1+(VALUE(MID($A284,7,2))-1)*7+MATCH($B284,lista_dias,0)-1)</f>
        <v/>
      </c>
      <c r="I284" s="3">
        <f>IF(OR($F284="",ISNUMBER(MATCH($F284,lista_no_disponible,0)),(IFERROR(INDEX('CALENDARIO'!$C$15:$C$214,MATCH(TEXT($H284,"yyyy-mm-dd")&amp;"|"&amp;$D284&amp;"|"&amp;"",'CALENDARIO'!$G$15:$G$214,0)),IFERROR(INDEX('CALENDARIO'!$C$15:$C$214,MATCH(TEXT($H284,"yyyy-mm-dd")&amp;"|"&amp;$D284&amp;"|",'CALENDARIO'!$G$15:$G$214,0)),IFERROR(INDEX('CALENDARIO'!$C$15:$C$214,MATCH(TEXT($H284,"yyyy-mm-dd")&amp;"||",'CALENDARIO'!$G$15:$G$214,0)),INDEX(patronHabil,WEEKDAY($H284,2))))))&lt;&gt;"sí"),0,p_horas_jornada)</f>
        <v/>
      </c>
      <c r="J284" s="3">
        <f>$A284&amp;"|"&amp;$B284&amp;"|"&amp;$C284</f>
        <v/>
      </c>
      <c r="K284" s="3">
        <f>IFERROR(INDEX('CAT_TURNOS'!$C$4:$C$7,MATCH($F284,'CAT_TURNOS'!$A$4:$A$7,0)),"")</f>
        <v/>
      </c>
      <c r="L284" s="3">
        <f>IFERROR(INDEX('CAT_TURNOS'!$D$4:$D$7,MATCH($F284,'CAT_TURNOS'!$A$4:$A$7,0)),"")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11">
        <f>IF($A285="","",DATE(VALUE(LEFT($A285,4)),1,4)-WEEKDAY(DATE(VALUE(LEFT($A285,4)),1,4),2)+1+(VALUE(MID($A285,7,2))-1)*7+MATCH($B285,lista_dias,0)-1)</f>
        <v/>
      </c>
      <c r="I285" s="3">
        <f>IF(OR($F285="",ISNUMBER(MATCH($F285,lista_no_disponible,0)),(IFERROR(INDEX('CALENDARIO'!$C$15:$C$214,MATCH(TEXT($H285,"yyyy-mm-dd")&amp;"|"&amp;$D285&amp;"|"&amp;"",'CALENDARIO'!$G$15:$G$214,0)),IFERROR(INDEX('CALENDARIO'!$C$15:$C$214,MATCH(TEXT($H285,"yyyy-mm-dd")&amp;"|"&amp;$D285&amp;"|",'CALENDARIO'!$G$15:$G$214,0)),IFERROR(INDEX('CALENDARIO'!$C$15:$C$214,MATCH(TEXT($H285,"yyyy-mm-dd")&amp;"||",'CALENDARIO'!$G$15:$G$214,0)),INDEX(patronHabil,WEEKDAY($H285,2))))))&lt;&gt;"sí"),0,p_horas_jornada)</f>
        <v/>
      </c>
      <c r="J285" s="3">
        <f>$A285&amp;"|"&amp;$B285&amp;"|"&amp;$C285</f>
        <v/>
      </c>
      <c r="K285" s="3">
        <f>IFERROR(INDEX('CAT_TURNOS'!$C$4:$C$7,MATCH($F285,'CAT_TURNOS'!$A$4:$A$7,0)),"")</f>
        <v/>
      </c>
      <c r="L285" s="3">
        <f>IFERROR(INDEX('CAT_TURNOS'!$D$4:$D$7,MATCH($F285,'CAT_TURNOS'!$A$4:$A$7,0)),"")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11">
        <f>IF($A286="","",DATE(VALUE(LEFT($A286,4)),1,4)-WEEKDAY(DATE(VALUE(LEFT($A286,4)),1,4),2)+1+(VALUE(MID($A286,7,2))-1)*7+MATCH($B286,lista_dias,0)-1)</f>
        <v/>
      </c>
      <c r="I286" s="3">
        <f>IF(OR($F286="",ISNUMBER(MATCH($F286,lista_no_disponible,0)),(IFERROR(INDEX('CALENDARIO'!$C$15:$C$214,MATCH(TEXT($H286,"yyyy-mm-dd")&amp;"|"&amp;$D286&amp;"|"&amp;"",'CALENDARIO'!$G$15:$G$214,0)),IFERROR(INDEX('CALENDARIO'!$C$15:$C$214,MATCH(TEXT($H286,"yyyy-mm-dd")&amp;"|"&amp;$D286&amp;"|",'CALENDARIO'!$G$15:$G$214,0)),IFERROR(INDEX('CALENDARIO'!$C$15:$C$214,MATCH(TEXT($H286,"yyyy-mm-dd")&amp;"||",'CALENDARIO'!$G$15:$G$214,0)),INDEX(patronHabil,WEEKDAY($H286,2))))))&lt;&gt;"sí"),0,p_horas_jornada)</f>
        <v/>
      </c>
      <c r="J286" s="3">
        <f>$A286&amp;"|"&amp;$B286&amp;"|"&amp;$C286</f>
        <v/>
      </c>
      <c r="K286" s="3">
        <f>IFERROR(INDEX('CAT_TURNOS'!$C$4:$C$7,MATCH($F286,'CAT_TURNOS'!$A$4:$A$7,0)),"")</f>
        <v/>
      </c>
      <c r="L286" s="3">
        <f>IFERROR(INDEX('CAT_TURNOS'!$D$4:$D$7,MATCH($F286,'CAT_TURNOS'!$A$4:$A$7,0)),"")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11">
        <f>IF($A287="","",DATE(VALUE(LEFT($A287,4)),1,4)-WEEKDAY(DATE(VALUE(LEFT($A287,4)),1,4),2)+1+(VALUE(MID($A287,7,2))-1)*7+MATCH($B287,lista_dias,0)-1)</f>
        <v/>
      </c>
      <c r="I287" s="3">
        <f>IF(OR($F287="",ISNUMBER(MATCH($F287,lista_no_disponible,0)),(IFERROR(INDEX('CALENDARIO'!$C$15:$C$214,MATCH(TEXT($H287,"yyyy-mm-dd")&amp;"|"&amp;$D287&amp;"|"&amp;"",'CALENDARIO'!$G$15:$G$214,0)),IFERROR(INDEX('CALENDARIO'!$C$15:$C$214,MATCH(TEXT($H287,"yyyy-mm-dd")&amp;"|"&amp;$D287&amp;"|",'CALENDARIO'!$G$15:$G$214,0)),IFERROR(INDEX('CALENDARIO'!$C$15:$C$214,MATCH(TEXT($H287,"yyyy-mm-dd")&amp;"||",'CALENDARIO'!$G$15:$G$214,0)),INDEX(patronHabil,WEEKDAY($H287,2))))))&lt;&gt;"sí"),0,p_horas_jornada)</f>
        <v/>
      </c>
      <c r="J287" s="3">
        <f>$A287&amp;"|"&amp;$B287&amp;"|"&amp;$C287</f>
        <v/>
      </c>
      <c r="K287" s="3">
        <f>IFERROR(INDEX('CAT_TURNOS'!$C$4:$C$7,MATCH($F287,'CAT_TURNOS'!$A$4:$A$7,0)),"")</f>
        <v/>
      </c>
      <c r="L287" s="3">
        <f>IFERROR(INDEX('CAT_TURNOS'!$D$4:$D$7,MATCH($F287,'CAT_TURNOS'!$A$4:$A$7,0)),"")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11">
        <f>IF($A288="","",DATE(VALUE(LEFT($A288,4)),1,4)-WEEKDAY(DATE(VALUE(LEFT($A288,4)),1,4),2)+1+(VALUE(MID($A288,7,2))-1)*7+MATCH($B288,lista_dias,0)-1)</f>
        <v/>
      </c>
      <c r="I288" s="3">
        <f>IF(OR($F288="",ISNUMBER(MATCH($F288,lista_no_disponible,0)),(IFERROR(INDEX('CALENDARIO'!$C$15:$C$214,MATCH(TEXT($H288,"yyyy-mm-dd")&amp;"|"&amp;$D288&amp;"|"&amp;"",'CALENDARIO'!$G$15:$G$214,0)),IFERROR(INDEX('CALENDARIO'!$C$15:$C$214,MATCH(TEXT($H288,"yyyy-mm-dd")&amp;"|"&amp;$D288&amp;"|",'CALENDARIO'!$G$15:$G$214,0)),IFERROR(INDEX('CALENDARIO'!$C$15:$C$214,MATCH(TEXT($H288,"yyyy-mm-dd")&amp;"||",'CALENDARIO'!$G$15:$G$214,0)),INDEX(patronHabil,WEEKDAY($H288,2))))))&lt;&gt;"sí"),0,p_horas_jornada)</f>
        <v/>
      </c>
      <c r="J288" s="3">
        <f>$A288&amp;"|"&amp;$B288&amp;"|"&amp;$C288</f>
        <v/>
      </c>
      <c r="K288" s="3">
        <f>IFERROR(INDEX('CAT_TURNOS'!$C$4:$C$7,MATCH($F288,'CAT_TURNOS'!$A$4:$A$7,0)),"")</f>
        <v/>
      </c>
      <c r="L288" s="3">
        <f>IFERROR(INDEX('CAT_TURNOS'!$D$4:$D$7,MATCH($F288,'CAT_TURNOS'!$A$4:$A$7,0)),"")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>
        <is>
          <t>T1</t>
        </is>
      </c>
      <c r="G289" s="3">
        <f>IFERROR(INDEX('TECNICOS'!$E$4:$E$15,MATCH($C289,'TECNICOS'!$B$4:$B$15,0)),"")</f>
        <v/>
      </c>
      <c r="H289" s="11">
        <f>IF($A289="","",DATE(VALUE(LEFT($A289,4)),1,4)-WEEKDAY(DATE(VALUE(LEFT($A289,4)),1,4),2)+1+(VALUE(MID($A289,7,2))-1)*7+MATCH($B289,lista_dias,0)-1)</f>
        <v/>
      </c>
      <c r="I289" s="3">
        <f>IF(OR($F289="",ISNUMBER(MATCH($F289,lista_no_disponible,0)),(IFERROR(INDEX('CALENDARIO'!$C$15:$C$214,MATCH(TEXT($H289,"yyyy-mm-dd")&amp;"|"&amp;$D289&amp;"|"&amp;"",'CALENDARIO'!$G$15:$G$214,0)),IFERROR(INDEX('CALENDARIO'!$C$15:$C$214,MATCH(TEXT($H289,"yyyy-mm-dd")&amp;"|"&amp;$D289&amp;"|",'CALENDARIO'!$G$15:$G$214,0)),IFERROR(INDEX('CALENDARIO'!$C$15:$C$214,MATCH(TEXT($H289,"yyyy-mm-dd")&amp;"||",'CALENDARIO'!$G$15:$G$214,0)),INDEX(patronHabil,WEEKDAY($H289,2))))))&lt;&gt;"sí"),0,p_horas_jornada)</f>
        <v/>
      </c>
      <c r="J289" s="3">
        <f>$A289&amp;"|"&amp;$B289&amp;"|"&amp;$C289</f>
        <v/>
      </c>
      <c r="K289" s="3">
        <f>IFERROR(INDEX('CAT_TURNOS'!$C$4:$C$7,MATCH($F289,'CAT_TURNOS'!$A$4:$A$7,0)),"")</f>
        <v/>
      </c>
      <c r="L289" s="3">
        <f>IFERROR(INDEX('CAT_TURNOS'!$D$4:$D$7,MATCH($F289,'CAT_TURNOS'!$A$4:$A$7,0)),"")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11">
        <f>IF($A290="","",DATE(VALUE(LEFT($A290,4)),1,4)-WEEKDAY(DATE(VALUE(LEFT($A290,4)),1,4),2)+1+(VALUE(MID($A290,7,2))-1)*7+MATCH($B290,lista_dias,0)-1)</f>
        <v/>
      </c>
      <c r="I290" s="3">
        <f>IF(OR($F290="",ISNUMBER(MATCH($F290,lista_no_disponible,0)),(IFERROR(INDEX('CALENDARIO'!$C$15:$C$214,MATCH(TEXT($H290,"yyyy-mm-dd")&amp;"|"&amp;$D290&amp;"|"&amp;"",'CALENDARIO'!$G$15:$G$214,0)),IFERROR(INDEX('CALENDARIO'!$C$15:$C$214,MATCH(TEXT($H290,"yyyy-mm-dd")&amp;"|"&amp;$D290&amp;"|",'CALENDARIO'!$G$15:$G$214,0)),IFERROR(INDEX('CALENDARIO'!$C$15:$C$214,MATCH(TEXT($H290,"yyyy-mm-dd")&amp;"||",'CALENDARIO'!$G$15:$G$214,0)),INDEX(patronHabil,WEEKDAY($H290,2))))))&lt;&gt;"sí"),0,p_horas_jornada)</f>
        <v/>
      </c>
      <c r="J290" s="3">
        <f>$A290&amp;"|"&amp;$B290&amp;"|"&amp;$C290</f>
        <v/>
      </c>
      <c r="K290" s="3">
        <f>IFERROR(INDEX('CAT_TURNOS'!$C$4:$C$7,MATCH($F290,'CAT_TURNOS'!$A$4:$A$7,0)),"")</f>
        <v/>
      </c>
      <c r="L290" s="3">
        <f>IFERROR(INDEX('CAT_TURNOS'!$D$4:$D$7,MATCH($F290,'CAT_TURNOS'!$A$4:$A$7,0)),"")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11">
        <f>IF($A291="","",DATE(VALUE(LEFT($A291,4)),1,4)-WEEKDAY(DATE(VALUE(LEFT($A291,4)),1,4),2)+1+(VALUE(MID($A291,7,2))-1)*7+MATCH($B291,lista_dias,0)-1)</f>
        <v/>
      </c>
      <c r="I291" s="3">
        <f>IF(OR($F291="",ISNUMBER(MATCH($F291,lista_no_disponible,0)),(IFERROR(INDEX('CALENDARIO'!$C$15:$C$214,MATCH(TEXT($H291,"yyyy-mm-dd")&amp;"|"&amp;$D291&amp;"|"&amp;"",'CALENDARIO'!$G$15:$G$214,0)),IFERROR(INDEX('CALENDARIO'!$C$15:$C$214,MATCH(TEXT($H291,"yyyy-mm-dd")&amp;"|"&amp;$D291&amp;"|",'CALENDARIO'!$G$15:$G$214,0)),IFERROR(INDEX('CALENDARIO'!$C$15:$C$214,MATCH(TEXT($H291,"yyyy-mm-dd")&amp;"||",'CALENDARIO'!$G$15:$G$214,0)),INDEX(patronHabil,WEEKDAY($H291,2))))))&lt;&gt;"sí"),0,p_horas_jornada)</f>
        <v/>
      </c>
      <c r="J291" s="3">
        <f>$A291&amp;"|"&amp;$B291&amp;"|"&amp;$C291</f>
        <v/>
      </c>
      <c r="K291" s="3">
        <f>IFERROR(INDEX('CAT_TURNOS'!$C$4:$C$7,MATCH($F291,'CAT_TURNOS'!$A$4:$A$7,0)),"")</f>
        <v/>
      </c>
      <c r="L291" s="3">
        <f>IFERROR(INDEX('CAT_TURNOS'!$D$4:$D$7,MATCH($F291,'CAT_TURNOS'!$A$4:$A$7,0)),"")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11">
        <f>IF($A292="","",DATE(VALUE(LEFT($A292,4)),1,4)-WEEKDAY(DATE(VALUE(LEFT($A292,4)),1,4),2)+1+(VALUE(MID($A292,7,2))-1)*7+MATCH($B292,lista_dias,0)-1)</f>
        <v/>
      </c>
      <c r="I292" s="3">
        <f>IF(OR($F292="",ISNUMBER(MATCH($F292,lista_no_disponible,0)),(IFERROR(INDEX('CALENDARIO'!$C$15:$C$214,MATCH(TEXT($H292,"yyyy-mm-dd")&amp;"|"&amp;$D292&amp;"|"&amp;"",'CALENDARIO'!$G$15:$G$214,0)),IFERROR(INDEX('CALENDARIO'!$C$15:$C$214,MATCH(TEXT($H292,"yyyy-mm-dd")&amp;"|"&amp;$D292&amp;"|",'CALENDARIO'!$G$15:$G$214,0)),IFERROR(INDEX('CALENDARIO'!$C$15:$C$214,MATCH(TEXT($H292,"yyyy-mm-dd")&amp;"||",'CALENDARIO'!$G$15:$G$214,0)),INDEX(patronHabil,WEEKDAY($H292,2))))))&lt;&gt;"sí"),0,p_horas_jornada)</f>
        <v/>
      </c>
      <c r="J292" s="3">
        <f>$A292&amp;"|"&amp;$B292&amp;"|"&amp;$C292</f>
        <v/>
      </c>
      <c r="K292" s="3">
        <f>IFERROR(INDEX('CAT_TURNOS'!$C$4:$C$7,MATCH($F292,'CAT_TURNOS'!$A$4:$A$7,0)),"")</f>
        <v/>
      </c>
      <c r="L292" s="3">
        <f>IFERROR(INDEX('CAT_TURNOS'!$D$4:$D$7,MATCH($F292,'CAT_TURNOS'!$A$4:$A$7,0)),"")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11">
        <f>IF($A293="","",DATE(VALUE(LEFT($A293,4)),1,4)-WEEKDAY(DATE(VALUE(LEFT($A293,4)),1,4),2)+1+(VALUE(MID($A293,7,2))-1)*7+MATCH($B293,lista_dias,0)-1)</f>
        <v/>
      </c>
      <c r="I293" s="3">
        <f>IF(OR($F293="",ISNUMBER(MATCH($F293,lista_no_disponible,0)),(IFERROR(INDEX('CALENDARIO'!$C$15:$C$214,MATCH(TEXT($H293,"yyyy-mm-dd")&amp;"|"&amp;$D293&amp;"|"&amp;"",'CALENDARIO'!$G$15:$G$214,0)),IFERROR(INDEX('CALENDARIO'!$C$15:$C$214,MATCH(TEXT($H293,"yyyy-mm-dd")&amp;"|"&amp;$D293&amp;"|",'CALENDARIO'!$G$15:$G$214,0)),IFERROR(INDEX('CALENDARIO'!$C$15:$C$214,MATCH(TEXT($H293,"yyyy-mm-dd")&amp;"||",'CALENDARIO'!$G$15:$G$214,0)),INDEX(patronHabil,WEEKDAY($H293,2))))))&lt;&gt;"sí"),0,p_horas_jornada)</f>
        <v/>
      </c>
      <c r="J293" s="3">
        <f>$A293&amp;"|"&amp;$B293&amp;"|"&amp;$C293</f>
        <v/>
      </c>
      <c r="K293" s="3">
        <f>IFERROR(INDEX('CAT_TURNOS'!$C$4:$C$7,MATCH($F293,'CAT_TURNOS'!$A$4:$A$7,0)),"")</f>
        <v/>
      </c>
      <c r="L293" s="3">
        <f>IFERROR(INDEX('CAT_TURNOS'!$D$4:$D$7,MATCH($F293,'CAT_TURNOS'!$A$4:$A$7,0)),"")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11">
        <f>IF($A294="","",DATE(VALUE(LEFT($A294,4)),1,4)-WEEKDAY(DATE(VALUE(LEFT($A294,4)),1,4),2)+1+(VALUE(MID($A294,7,2))-1)*7+MATCH($B294,lista_dias,0)-1)</f>
        <v/>
      </c>
      <c r="I294" s="3">
        <f>IF(OR($F294="",ISNUMBER(MATCH($F294,lista_no_disponible,0)),(IFERROR(INDEX('CALENDARIO'!$C$15:$C$214,MATCH(TEXT($H294,"yyyy-mm-dd")&amp;"|"&amp;$D294&amp;"|"&amp;"",'CALENDARIO'!$G$15:$G$214,0)),IFERROR(INDEX('CALENDARIO'!$C$15:$C$214,MATCH(TEXT($H294,"yyyy-mm-dd")&amp;"|"&amp;$D294&amp;"|",'CALENDARIO'!$G$15:$G$214,0)),IFERROR(INDEX('CALENDARIO'!$C$15:$C$214,MATCH(TEXT($H294,"yyyy-mm-dd")&amp;"||",'CALENDARIO'!$G$15:$G$214,0)),INDEX(patronHabil,WEEKDAY($H294,2))))))&lt;&gt;"sí"),0,p_horas_jornada)</f>
        <v/>
      </c>
      <c r="J294" s="3">
        <f>$A294&amp;"|"&amp;$B294&amp;"|"&amp;$C294</f>
        <v/>
      </c>
      <c r="K294" s="3">
        <f>IFERROR(INDEX('CAT_TURNOS'!$C$4:$C$7,MATCH($F294,'CAT_TURNOS'!$A$4:$A$7,0)),"")</f>
        <v/>
      </c>
      <c r="L294" s="3">
        <f>IFERROR(INDEX('CAT_TURNOS'!$D$4:$D$7,MATCH($F294,'CAT_TURNOS'!$A$4:$A$7,0)),"")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11">
        <f>IF($A295="","",DATE(VALUE(LEFT($A295,4)),1,4)-WEEKDAY(DATE(VALUE(LEFT($A295,4)),1,4),2)+1+(VALUE(MID($A295,7,2))-1)*7+MATCH($B295,lista_dias,0)-1)</f>
        <v/>
      </c>
      <c r="I295" s="3">
        <f>IF(OR($F295="",ISNUMBER(MATCH($F295,lista_no_disponible,0)),(IFERROR(INDEX('CALENDARIO'!$C$15:$C$214,MATCH(TEXT($H295,"yyyy-mm-dd")&amp;"|"&amp;$D295&amp;"|"&amp;"",'CALENDARIO'!$G$15:$G$214,0)),IFERROR(INDEX('CALENDARIO'!$C$15:$C$214,MATCH(TEXT($H295,"yyyy-mm-dd")&amp;"|"&amp;$D295&amp;"|",'CALENDARIO'!$G$15:$G$214,0)),IFERROR(INDEX('CALENDARIO'!$C$15:$C$214,MATCH(TEXT($H295,"yyyy-mm-dd")&amp;"||",'CALENDARIO'!$G$15:$G$214,0)),INDEX(patronHabil,WEEKDAY($H295,2))))))&lt;&gt;"sí"),0,p_horas_jornada)</f>
        <v/>
      </c>
      <c r="J295" s="3">
        <f>$A295&amp;"|"&amp;$B295&amp;"|"&amp;$C295</f>
        <v/>
      </c>
      <c r="K295" s="3">
        <f>IFERROR(INDEX('CAT_TURNOS'!$C$4:$C$7,MATCH($F295,'CAT_TURNOS'!$A$4:$A$7,0)),"")</f>
        <v/>
      </c>
      <c r="L295" s="3">
        <f>IFERROR(INDEX('CAT_TURNOS'!$D$4:$D$7,MATCH($F295,'CAT_TURNOS'!$A$4:$A$7,0)),"")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>
        <is>
          <t>T1</t>
        </is>
      </c>
      <c r="G296" s="3">
        <f>IFERROR(INDEX('TECNICOS'!$E$4:$E$15,MATCH($C296,'TECNICOS'!$B$4:$B$15,0)),"")</f>
        <v/>
      </c>
      <c r="H296" s="11">
        <f>IF($A296="","",DATE(VALUE(LEFT($A296,4)),1,4)-WEEKDAY(DATE(VALUE(LEFT($A296,4)),1,4),2)+1+(VALUE(MID($A296,7,2))-1)*7+MATCH($B296,lista_dias,0)-1)</f>
        <v/>
      </c>
      <c r="I296" s="3">
        <f>IF(OR($F296="",ISNUMBER(MATCH($F296,lista_no_disponible,0)),(IFERROR(INDEX('CALENDARIO'!$C$15:$C$214,MATCH(TEXT($H296,"yyyy-mm-dd")&amp;"|"&amp;$D296&amp;"|"&amp;"",'CALENDARIO'!$G$15:$G$214,0)),IFERROR(INDEX('CALENDARIO'!$C$15:$C$214,MATCH(TEXT($H296,"yyyy-mm-dd")&amp;"|"&amp;$D296&amp;"|",'CALENDARIO'!$G$15:$G$214,0)),IFERROR(INDEX('CALENDARIO'!$C$15:$C$214,MATCH(TEXT($H296,"yyyy-mm-dd")&amp;"||",'CALENDARIO'!$G$15:$G$214,0)),INDEX(patronHabil,WEEKDAY($H296,2))))))&lt;&gt;"sí"),0,p_horas_jornada)</f>
        <v/>
      </c>
      <c r="J296" s="3">
        <f>$A296&amp;"|"&amp;$B296&amp;"|"&amp;$C296</f>
        <v/>
      </c>
      <c r="K296" s="3">
        <f>IFERROR(INDEX('CAT_TURNOS'!$C$4:$C$7,MATCH($F296,'CAT_TURNOS'!$A$4:$A$7,0)),"")</f>
        <v/>
      </c>
      <c r="L296" s="3">
        <f>IFERROR(INDEX('CAT_TURNOS'!$D$4:$D$7,MATCH($F296,'CAT_TURNOS'!$A$4:$A$7,0)),"")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11">
        <f>IF($A297="","",DATE(VALUE(LEFT($A297,4)),1,4)-WEEKDAY(DATE(VALUE(LEFT($A297,4)),1,4),2)+1+(VALUE(MID($A297,7,2))-1)*7+MATCH($B297,lista_dias,0)-1)</f>
        <v/>
      </c>
      <c r="I297" s="3">
        <f>IF(OR($F297="",ISNUMBER(MATCH($F297,lista_no_disponible,0)),(IFERROR(INDEX('CALENDARIO'!$C$15:$C$214,MATCH(TEXT($H297,"yyyy-mm-dd")&amp;"|"&amp;$D297&amp;"|"&amp;"",'CALENDARIO'!$G$15:$G$214,0)),IFERROR(INDEX('CALENDARIO'!$C$15:$C$214,MATCH(TEXT($H297,"yyyy-mm-dd")&amp;"|"&amp;$D297&amp;"|",'CALENDARIO'!$G$15:$G$214,0)),IFERROR(INDEX('CALENDARIO'!$C$15:$C$214,MATCH(TEXT($H297,"yyyy-mm-dd")&amp;"||",'CALENDARIO'!$G$15:$G$214,0)),INDEX(patronHabil,WEEKDAY($H297,2))))))&lt;&gt;"sí"),0,p_horas_jornada)</f>
        <v/>
      </c>
      <c r="J297" s="3">
        <f>$A297&amp;"|"&amp;$B297&amp;"|"&amp;$C297</f>
        <v/>
      </c>
      <c r="K297" s="3">
        <f>IFERROR(INDEX('CAT_TURNOS'!$C$4:$C$7,MATCH($F297,'CAT_TURNOS'!$A$4:$A$7,0)),"")</f>
        <v/>
      </c>
      <c r="L297" s="3">
        <f>IFERROR(INDEX('CAT_TURNOS'!$D$4:$D$7,MATCH($F297,'CAT_TURNOS'!$A$4:$A$7,0)),"")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11">
        <f>IF($A298="","",DATE(VALUE(LEFT($A298,4)),1,4)-WEEKDAY(DATE(VALUE(LEFT($A298,4)),1,4),2)+1+(VALUE(MID($A298,7,2))-1)*7+MATCH($B298,lista_dias,0)-1)</f>
        <v/>
      </c>
      <c r="I298" s="3">
        <f>IF(OR($F298="",ISNUMBER(MATCH($F298,lista_no_disponible,0)),(IFERROR(INDEX('CALENDARIO'!$C$15:$C$214,MATCH(TEXT($H298,"yyyy-mm-dd")&amp;"|"&amp;$D298&amp;"|"&amp;"",'CALENDARIO'!$G$15:$G$214,0)),IFERROR(INDEX('CALENDARIO'!$C$15:$C$214,MATCH(TEXT($H298,"yyyy-mm-dd")&amp;"|"&amp;$D298&amp;"|",'CALENDARIO'!$G$15:$G$214,0)),IFERROR(INDEX('CALENDARIO'!$C$15:$C$214,MATCH(TEXT($H298,"yyyy-mm-dd")&amp;"||",'CALENDARIO'!$G$15:$G$214,0)),INDEX(patronHabil,WEEKDAY($H298,2))))))&lt;&gt;"sí"),0,p_horas_jornada)</f>
        <v/>
      </c>
      <c r="J298" s="3">
        <f>$A298&amp;"|"&amp;$B298&amp;"|"&amp;$C298</f>
        <v/>
      </c>
      <c r="K298" s="3">
        <f>IFERROR(INDEX('CAT_TURNOS'!$C$4:$C$7,MATCH($F298,'CAT_TURNOS'!$A$4:$A$7,0)),"")</f>
        <v/>
      </c>
      <c r="L298" s="3">
        <f>IFERROR(INDEX('CAT_TURNOS'!$D$4:$D$7,MATCH($F298,'CAT_TURNOS'!$A$4:$A$7,0)),"")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11">
        <f>IF($A299="","",DATE(VALUE(LEFT($A299,4)),1,4)-WEEKDAY(DATE(VALUE(LEFT($A299,4)),1,4),2)+1+(VALUE(MID($A299,7,2))-1)*7+MATCH($B299,lista_dias,0)-1)</f>
        <v/>
      </c>
      <c r="I299" s="3">
        <f>IF(OR($F299="",ISNUMBER(MATCH($F299,lista_no_disponible,0)),(IFERROR(INDEX('CALENDARIO'!$C$15:$C$214,MATCH(TEXT($H299,"yyyy-mm-dd")&amp;"|"&amp;$D299&amp;"|"&amp;"",'CALENDARIO'!$G$15:$G$214,0)),IFERROR(INDEX('CALENDARIO'!$C$15:$C$214,MATCH(TEXT($H299,"yyyy-mm-dd")&amp;"|"&amp;$D299&amp;"|",'CALENDARIO'!$G$15:$G$214,0)),IFERROR(INDEX('CALENDARIO'!$C$15:$C$214,MATCH(TEXT($H299,"yyyy-mm-dd")&amp;"||",'CALENDARIO'!$G$15:$G$214,0)),INDEX(patronHabil,WEEKDAY($H299,2))))))&lt;&gt;"sí"),0,p_horas_jornada)</f>
        <v/>
      </c>
      <c r="J299" s="3">
        <f>$A299&amp;"|"&amp;$B299&amp;"|"&amp;$C299</f>
        <v/>
      </c>
      <c r="K299" s="3">
        <f>IFERROR(INDEX('CAT_TURNOS'!$C$4:$C$7,MATCH($F299,'CAT_TURNOS'!$A$4:$A$7,0)),"")</f>
        <v/>
      </c>
      <c r="L299" s="3">
        <f>IFERROR(INDEX('CAT_TURNOS'!$D$4:$D$7,MATCH($F299,'CAT_TURNOS'!$A$4:$A$7,0)),"")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11">
        <f>IF($A300="","",DATE(VALUE(LEFT($A300,4)),1,4)-WEEKDAY(DATE(VALUE(LEFT($A300,4)),1,4),2)+1+(VALUE(MID($A300,7,2))-1)*7+MATCH($B300,lista_dias,0)-1)</f>
        <v/>
      </c>
      <c r="I300" s="3">
        <f>IF(OR($F300="",ISNUMBER(MATCH($F300,lista_no_disponible,0)),(IFERROR(INDEX('CALENDARIO'!$C$15:$C$214,MATCH(TEXT($H300,"yyyy-mm-dd")&amp;"|"&amp;$D300&amp;"|"&amp;"",'CALENDARIO'!$G$15:$G$214,0)),IFERROR(INDEX('CALENDARIO'!$C$15:$C$214,MATCH(TEXT($H300,"yyyy-mm-dd")&amp;"|"&amp;$D300&amp;"|",'CALENDARIO'!$G$15:$G$214,0)),IFERROR(INDEX('CALENDARIO'!$C$15:$C$214,MATCH(TEXT($H300,"yyyy-mm-dd")&amp;"||",'CALENDARIO'!$G$15:$G$214,0)),INDEX(patronHabil,WEEKDAY($H300,2))))))&lt;&gt;"sí"),0,p_horas_jornada)</f>
        <v/>
      </c>
      <c r="J300" s="3">
        <f>$A300&amp;"|"&amp;$B300&amp;"|"&amp;$C300</f>
        <v/>
      </c>
      <c r="K300" s="3">
        <f>IFERROR(INDEX('CAT_TURNOS'!$C$4:$C$7,MATCH($F300,'CAT_TURNOS'!$A$4:$A$7,0)),"")</f>
        <v/>
      </c>
      <c r="L300" s="3">
        <f>IFERROR(INDEX('CAT_TURNOS'!$D$4:$D$7,MATCH($F300,'CAT_TURNOS'!$A$4:$A$7,0)),"")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11">
        <f>IF($A301="","",DATE(VALUE(LEFT($A301,4)),1,4)-WEEKDAY(DATE(VALUE(LEFT($A301,4)),1,4),2)+1+(VALUE(MID($A301,7,2))-1)*7+MATCH($B301,lista_dias,0)-1)</f>
        <v/>
      </c>
      <c r="I301" s="3">
        <f>IF(OR($F301="",ISNUMBER(MATCH($F301,lista_no_disponible,0)),(IFERROR(INDEX('CALENDARIO'!$C$15:$C$214,MATCH(TEXT($H301,"yyyy-mm-dd")&amp;"|"&amp;$D301&amp;"|"&amp;"",'CALENDARIO'!$G$15:$G$214,0)),IFERROR(INDEX('CALENDARIO'!$C$15:$C$214,MATCH(TEXT($H301,"yyyy-mm-dd")&amp;"|"&amp;$D301&amp;"|",'CALENDARIO'!$G$15:$G$214,0)),IFERROR(INDEX('CALENDARIO'!$C$15:$C$214,MATCH(TEXT($H301,"yyyy-mm-dd")&amp;"||",'CALENDARIO'!$G$15:$G$214,0)),INDEX(patronHabil,WEEKDAY($H301,2))))))&lt;&gt;"sí"),0,p_horas_jornada)</f>
        <v/>
      </c>
      <c r="J301" s="3">
        <f>$A301&amp;"|"&amp;$B301&amp;"|"&amp;$C301</f>
        <v/>
      </c>
      <c r="K301" s="3">
        <f>IFERROR(INDEX('CAT_TURNOS'!$C$4:$C$7,MATCH($F301,'CAT_TURNOS'!$A$4:$A$7,0)),"")</f>
        <v/>
      </c>
      <c r="L301" s="3">
        <f>IFERROR(INDEX('CAT_TURNOS'!$D$4:$D$7,MATCH($F301,'CAT_TURNOS'!$A$4:$A$7,0)),"")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11">
        <f>IF($A302="","",DATE(VALUE(LEFT($A302,4)),1,4)-WEEKDAY(DATE(VALUE(LEFT($A302,4)),1,4),2)+1+(VALUE(MID($A302,7,2))-1)*7+MATCH($B302,lista_dias,0)-1)</f>
        <v/>
      </c>
      <c r="I302" s="3">
        <f>IF(OR($F302="",ISNUMBER(MATCH($F302,lista_no_disponible,0)),(IFERROR(INDEX('CALENDARIO'!$C$15:$C$214,MATCH(TEXT($H302,"yyyy-mm-dd")&amp;"|"&amp;$D302&amp;"|"&amp;"",'CALENDARIO'!$G$15:$G$214,0)),IFERROR(INDEX('CALENDARIO'!$C$15:$C$214,MATCH(TEXT($H302,"yyyy-mm-dd")&amp;"|"&amp;$D302&amp;"|",'CALENDARIO'!$G$15:$G$214,0)),IFERROR(INDEX('CALENDARIO'!$C$15:$C$214,MATCH(TEXT($H302,"yyyy-mm-dd")&amp;"||",'CALENDARIO'!$G$15:$G$214,0)),INDEX(patronHabil,WEEKDAY($H302,2))))))&lt;&gt;"sí"),0,p_horas_jornada)</f>
        <v/>
      </c>
      <c r="J302" s="3">
        <f>$A302&amp;"|"&amp;$B302&amp;"|"&amp;$C302</f>
        <v/>
      </c>
      <c r="K302" s="3">
        <f>IFERROR(INDEX('CAT_TURNOS'!$C$4:$C$7,MATCH($F302,'CAT_TURNOS'!$A$4:$A$7,0)),"")</f>
        <v/>
      </c>
      <c r="L302" s="3">
        <f>IFERROR(INDEX('CAT_TURNOS'!$D$4:$D$7,MATCH($F302,'CAT_TURNOS'!$A$4:$A$7,0)),"")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>
        <is>
          <t>T1</t>
        </is>
      </c>
      <c r="G303" s="3">
        <f>IFERROR(INDEX('TECNICOS'!$E$4:$E$15,MATCH($C303,'TECNICOS'!$B$4:$B$15,0)),"")</f>
        <v/>
      </c>
      <c r="H303" s="11">
        <f>IF($A303="","",DATE(VALUE(LEFT($A303,4)),1,4)-WEEKDAY(DATE(VALUE(LEFT($A303,4)),1,4),2)+1+(VALUE(MID($A303,7,2))-1)*7+MATCH($B303,lista_dias,0)-1)</f>
        <v/>
      </c>
      <c r="I303" s="3">
        <f>IF(OR($F303="",ISNUMBER(MATCH($F303,lista_no_disponible,0)),(IFERROR(INDEX('CALENDARIO'!$C$15:$C$214,MATCH(TEXT($H303,"yyyy-mm-dd")&amp;"|"&amp;$D303&amp;"|"&amp;"",'CALENDARIO'!$G$15:$G$214,0)),IFERROR(INDEX('CALENDARIO'!$C$15:$C$214,MATCH(TEXT($H303,"yyyy-mm-dd")&amp;"|"&amp;$D303&amp;"|",'CALENDARIO'!$G$15:$G$214,0)),IFERROR(INDEX('CALENDARIO'!$C$15:$C$214,MATCH(TEXT($H303,"yyyy-mm-dd")&amp;"||",'CALENDARIO'!$G$15:$G$214,0)),INDEX(patronHabil,WEEKDAY($H303,2))))))&lt;&gt;"sí"),0,p_horas_jornada)</f>
        <v/>
      </c>
      <c r="J303" s="3">
        <f>$A303&amp;"|"&amp;$B303&amp;"|"&amp;$C303</f>
        <v/>
      </c>
      <c r="K303" s="3">
        <f>IFERROR(INDEX('CAT_TURNOS'!$C$4:$C$7,MATCH($F303,'CAT_TURNOS'!$A$4:$A$7,0)),"")</f>
        <v/>
      </c>
      <c r="L303" s="3">
        <f>IFERROR(INDEX('CAT_TURNOS'!$D$4:$D$7,MATCH($F303,'CAT_TURNOS'!$A$4:$A$7,0)),"")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11">
        <f>IF($A304="","",DATE(VALUE(LEFT($A304,4)),1,4)-WEEKDAY(DATE(VALUE(LEFT($A304,4)),1,4),2)+1+(VALUE(MID($A304,7,2))-1)*7+MATCH($B304,lista_dias,0)-1)</f>
        <v/>
      </c>
      <c r="I304" s="3">
        <f>IF(OR($F304="",ISNUMBER(MATCH($F304,lista_no_disponible,0)),(IFERROR(INDEX('CALENDARIO'!$C$15:$C$214,MATCH(TEXT($H304,"yyyy-mm-dd")&amp;"|"&amp;$D304&amp;"|"&amp;"",'CALENDARIO'!$G$15:$G$214,0)),IFERROR(INDEX('CALENDARIO'!$C$15:$C$214,MATCH(TEXT($H304,"yyyy-mm-dd")&amp;"|"&amp;$D304&amp;"|",'CALENDARIO'!$G$15:$G$214,0)),IFERROR(INDEX('CALENDARIO'!$C$15:$C$214,MATCH(TEXT($H304,"yyyy-mm-dd")&amp;"||",'CALENDARIO'!$G$15:$G$214,0)),INDEX(patronHabil,WEEKDAY($H304,2))))))&lt;&gt;"sí"),0,p_horas_jornada)</f>
        <v/>
      </c>
      <c r="J304" s="3">
        <f>$A304&amp;"|"&amp;$B304&amp;"|"&amp;$C304</f>
        <v/>
      </c>
      <c r="K304" s="3">
        <f>IFERROR(INDEX('CAT_TURNOS'!$C$4:$C$7,MATCH($F304,'CAT_TURNOS'!$A$4:$A$7,0)),"")</f>
        <v/>
      </c>
      <c r="L304" s="3">
        <f>IFERROR(INDEX('CAT_TURNOS'!$D$4:$D$7,MATCH($F304,'CAT_TURNOS'!$A$4:$A$7,0)),"")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B</t>
        </is>
      </c>
      <c r="G305" s="3">
        <f>IFERROR(INDEX('TECNICOS'!$E$4:$E$15,MATCH($C305,'TECNICOS'!$B$4:$B$15,0)),"")</f>
        <v/>
      </c>
      <c r="H305" s="11">
        <f>IF($A305="","",DATE(VALUE(LEFT($A305,4)),1,4)-WEEKDAY(DATE(VALUE(LEFT($A305,4)),1,4),2)+1+(VALUE(MID($A305,7,2))-1)*7+MATCH($B305,lista_dias,0)-1)</f>
        <v/>
      </c>
      <c r="I305" s="3">
        <f>IF(OR($F305="",ISNUMBER(MATCH($F305,lista_no_disponible,0)),(IFERROR(INDEX('CALENDARIO'!$C$15:$C$214,MATCH(TEXT($H305,"yyyy-mm-dd")&amp;"|"&amp;$D305&amp;"|"&amp;"",'CALENDARIO'!$G$15:$G$214,0)),IFERROR(INDEX('CALENDARIO'!$C$15:$C$214,MATCH(TEXT($H305,"yyyy-mm-dd")&amp;"|"&amp;$D305&amp;"|",'CALENDARIO'!$G$15:$G$214,0)),IFERROR(INDEX('CALENDARIO'!$C$15:$C$214,MATCH(TEXT($H305,"yyyy-mm-dd")&amp;"||",'CALENDARIO'!$G$15:$G$214,0)),INDEX(patronHabil,WEEKDAY($H305,2))))))&lt;&gt;"sí"),0,p_horas_jornada)</f>
        <v/>
      </c>
      <c r="J305" s="3">
        <f>$A305&amp;"|"&amp;$B305&amp;"|"&amp;$C305</f>
        <v/>
      </c>
      <c r="K305" s="3">
        <f>IFERROR(INDEX('CAT_TURNOS'!$C$4:$C$7,MATCH($F305,'CAT_TURNOS'!$A$4:$A$7,0)),"")</f>
        <v/>
      </c>
      <c r="L305" s="3">
        <f>IFERROR(INDEX('CAT_TURNOS'!$D$4:$D$7,MATCH($F305,'CAT_TURNOS'!$A$4:$A$7,0)),"")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B</t>
        </is>
      </c>
      <c r="G306" s="3">
        <f>IFERROR(INDEX('TECNICOS'!$E$4:$E$15,MATCH($C306,'TECNICOS'!$B$4:$B$15,0)),"")</f>
        <v/>
      </c>
      <c r="H306" s="11">
        <f>IF($A306="","",DATE(VALUE(LEFT($A306,4)),1,4)-WEEKDAY(DATE(VALUE(LEFT($A306,4)),1,4),2)+1+(VALUE(MID($A306,7,2))-1)*7+MATCH($B306,lista_dias,0)-1)</f>
        <v/>
      </c>
      <c r="I306" s="3">
        <f>IF(OR($F306="",ISNUMBER(MATCH($F306,lista_no_disponible,0)),(IFERROR(INDEX('CALENDARIO'!$C$15:$C$214,MATCH(TEXT($H306,"yyyy-mm-dd")&amp;"|"&amp;$D306&amp;"|"&amp;"",'CALENDARIO'!$G$15:$G$214,0)),IFERROR(INDEX('CALENDARIO'!$C$15:$C$214,MATCH(TEXT($H306,"yyyy-mm-dd")&amp;"|"&amp;$D306&amp;"|",'CALENDARIO'!$G$15:$G$214,0)),IFERROR(INDEX('CALENDARIO'!$C$15:$C$214,MATCH(TEXT($H306,"yyyy-mm-dd")&amp;"||",'CALENDARIO'!$G$15:$G$214,0)),INDEX(patronHabil,WEEKDAY($H306,2))))))&lt;&gt;"sí"),0,p_horas_jornada)</f>
        <v/>
      </c>
      <c r="J306" s="3">
        <f>$A306&amp;"|"&amp;$B306&amp;"|"&amp;$C306</f>
        <v/>
      </c>
      <c r="K306" s="3">
        <f>IFERROR(INDEX('CAT_TURNOS'!$C$4:$C$7,MATCH($F306,'CAT_TURNOS'!$A$4:$A$7,0)),"")</f>
        <v/>
      </c>
      <c r="L306" s="3">
        <f>IFERROR(INDEX('CAT_TURNOS'!$D$4:$D$7,MATCH($F306,'CAT_TURNOS'!$A$4:$A$7,0)),"")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B</t>
        </is>
      </c>
      <c r="G307" s="3">
        <f>IFERROR(INDEX('TECNICOS'!$E$4:$E$15,MATCH($C307,'TECNICOS'!$B$4:$B$15,0)),"")</f>
        <v/>
      </c>
      <c r="H307" s="11">
        <f>IF($A307="","",DATE(VALUE(LEFT($A307,4)),1,4)-WEEKDAY(DATE(VALUE(LEFT($A307,4)),1,4),2)+1+(VALUE(MID($A307,7,2))-1)*7+MATCH($B307,lista_dias,0)-1)</f>
        <v/>
      </c>
      <c r="I307" s="3">
        <f>IF(OR($F307="",ISNUMBER(MATCH($F307,lista_no_disponible,0)),(IFERROR(INDEX('CALENDARIO'!$C$15:$C$214,MATCH(TEXT($H307,"yyyy-mm-dd")&amp;"|"&amp;$D307&amp;"|"&amp;"",'CALENDARIO'!$G$15:$G$214,0)),IFERROR(INDEX('CALENDARIO'!$C$15:$C$214,MATCH(TEXT($H307,"yyyy-mm-dd")&amp;"|"&amp;$D307&amp;"|",'CALENDARIO'!$G$15:$G$214,0)),IFERROR(INDEX('CALENDARIO'!$C$15:$C$214,MATCH(TEXT($H307,"yyyy-mm-dd")&amp;"||",'CALENDARIO'!$G$15:$G$214,0)),INDEX(patronHabil,WEEKDAY($H307,2))))))&lt;&gt;"sí"),0,p_horas_jornada)</f>
        <v/>
      </c>
      <c r="J307" s="3">
        <f>$A307&amp;"|"&amp;$B307&amp;"|"&amp;$C307</f>
        <v/>
      </c>
      <c r="K307" s="3">
        <f>IFERROR(INDEX('CAT_TURNOS'!$C$4:$C$7,MATCH($F307,'CAT_TURNOS'!$A$4:$A$7,0)),"")</f>
        <v/>
      </c>
      <c r="L307" s="3">
        <f>IFERROR(INDEX('CAT_TURNOS'!$D$4:$D$7,MATCH($F307,'CAT_TURNOS'!$A$4:$A$7,0)),"")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B</t>
        </is>
      </c>
      <c r="G308" s="3">
        <f>IFERROR(INDEX('TECNICOS'!$E$4:$E$15,MATCH($C308,'TECNICOS'!$B$4:$B$15,0)),"")</f>
        <v/>
      </c>
      <c r="H308" s="11">
        <f>IF($A308="","",DATE(VALUE(LEFT($A308,4)),1,4)-WEEKDAY(DATE(VALUE(LEFT($A308,4)),1,4),2)+1+(VALUE(MID($A308,7,2))-1)*7+MATCH($B308,lista_dias,0)-1)</f>
        <v/>
      </c>
      <c r="I308" s="3">
        <f>IF(OR($F308="",ISNUMBER(MATCH($F308,lista_no_disponible,0)),(IFERROR(INDEX('CALENDARIO'!$C$15:$C$214,MATCH(TEXT($H308,"yyyy-mm-dd")&amp;"|"&amp;$D308&amp;"|"&amp;"",'CALENDARIO'!$G$15:$G$214,0)),IFERROR(INDEX('CALENDARIO'!$C$15:$C$214,MATCH(TEXT($H308,"yyyy-mm-dd")&amp;"|"&amp;$D308&amp;"|",'CALENDARIO'!$G$15:$G$214,0)),IFERROR(INDEX('CALENDARIO'!$C$15:$C$214,MATCH(TEXT($H308,"yyyy-mm-dd")&amp;"||",'CALENDARIO'!$G$15:$G$214,0)),INDEX(patronHabil,WEEKDAY($H308,2))))))&lt;&gt;"sí"),0,p_horas_jornada)</f>
        <v/>
      </c>
      <c r="J308" s="3">
        <f>$A308&amp;"|"&amp;$B308&amp;"|"&amp;$C308</f>
        <v/>
      </c>
      <c r="K308" s="3">
        <f>IFERROR(INDEX('CAT_TURNOS'!$C$4:$C$7,MATCH($F308,'CAT_TURNOS'!$A$4:$A$7,0)),"")</f>
        <v/>
      </c>
      <c r="L308" s="3">
        <f>IFERROR(INDEX('CAT_TURNOS'!$D$4:$D$7,MATCH($F308,'CAT_TURNOS'!$A$4:$A$7,0)),"")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B</t>
        </is>
      </c>
      <c r="G309" s="3">
        <f>IFERROR(INDEX('TECNICOS'!$E$4:$E$15,MATCH($C309,'TECNICOS'!$B$4:$B$15,0)),"")</f>
        <v/>
      </c>
      <c r="H309" s="11">
        <f>IF($A309="","",DATE(VALUE(LEFT($A309,4)),1,4)-WEEKDAY(DATE(VALUE(LEFT($A309,4)),1,4),2)+1+(VALUE(MID($A309,7,2))-1)*7+MATCH($B309,lista_dias,0)-1)</f>
        <v/>
      </c>
      <c r="I309" s="3">
        <f>IF(OR($F309="",ISNUMBER(MATCH($F309,lista_no_disponible,0)),(IFERROR(INDEX('CALENDARIO'!$C$15:$C$214,MATCH(TEXT($H309,"yyyy-mm-dd")&amp;"|"&amp;$D309&amp;"|"&amp;"",'CALENDARIO'!$G$15:$G$214,0)),IFERROR(INDEX('CALENDARIO'!$C$15:$C$214,MATCH(TEXT($H309,"yyyy-mm-dd")&amp;"|"&amp;$D309&amp;"|",'CALENDARIO'!$G$15:$G$214,0)),IFERROR(INDEX('CALENDARIO'!$C$15:$C$214,MATCH(TEXT($H309,"yyyy-mm-dd")&amp;"||",'CALENDARIO'!$G$15:$G$214,0)),INDEX(patronHabil,WEEKDAY($H309,2))))))&lt;&gt;"sí"),0,p_horas_jornada)</f>
        <v/>
      </c>
      <c r="J309" s="3">
        <f>$A309&amp;"|"&amp;$B309&amp;"|"&amp;$C309</f>
        <v/>
      </c>
      <c r="K309" s="3">
        <f>IFERROR(INDEX('CAT_TURNOS'!$C$4:$C$7,MATCH($F309,'CAT_TURNOS'!$A$4:$A$7,0)),"")</f>
        <v/>
      </c>
      <c r="L309" s="3">
        <f>IFERROR(INDEX('CAT_TURNOS'!$D$4:$D$7,MATCH($F309,'CAT_TURNOS'!$A$4:$A$7,0)),"")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>
        <is>
          <t>B</t>
        </is>
      </c>
      <c r="G310" s="3">
        <f>IFERROR(INDEX('TECNICOS'!$E$4:$E$15,MATCH($C310,'TECNICOS'!$B$4:$B$15,0)),"")</f>
        <v/>
      </c>
      <c r="H310" s="11">
        <f>IF($A310="","",DATE(VALUE(LEFT($A310,4)),1,4)-WEEKDAY(DATE(VALUE(LEFT($A310,4)),1,4),2)+1+(VALUE(MID($A310,7,2))-1)*7+MATCH($B310,lista_dias,0)-1)</f>
        <v/>
      </c>
      <c r="I310" s="3">
        <f>IF(OR($F310="",ISNUMBER(MATCH($F310,lista_no_disponible,0)),(IFERROR(INDEX('CALENDARIO'!$C$15:$C$214,MATCH(TEXT($H310,"yyyy-mm-dd")&amp;"|"&amp;$D310&amp;"|"&amp;"",'CALENDARIO'!$G$15:$G$214,0)),IFERROR(INDEX('CALENDARIO'!$C$15:$C$214,MATCH(TEXT($H310,"yyyy-mm-dd")&amp;"|"&amp;$D310&amp;"|",'CALENDARIO'!$G$15:$G$214,0)),IFERROR(INDEX('CALENDARIO'!$C$15:$C$214,MATCH(TEXT($H310,"yyyy-mm-dd")&amp;"||",'CALENDARIO'!$G$15:$G$214,0)),INDEX(patronHabil,WEEKDAY($H310,2))))))&lt;&gt;"sí"),0,p_horas_jornada)</f>
        <v/>
      </c>
      <c r="J310" s="3">
        <f>$A310&amp;"|"&amp;$B310&amp;"|"&amp;$C310</f>
        <v/>
      </c>
      <c r="K310" s="3">
        <f>IFERROR(INDEX('CAT_TURNOS'!$C$4:$C$7,MATCH($F310,'CAT_TURNOS'!$A$4:$A$7,0)),"")</f>
        <v/>
      </c>
      <c r="L310" s="3">
        <f>IFERROR(INDEX('CAT_TURNOS'!$D$4:$D$7,MATCH($F310,'CAT_TURNOS'!$A$4:$A$7,0)),"")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11">
        <f>IF($A311="","",DATE(VALUE(LEFT($A311,4)),1,4)-WEEKDAY(DATE(VALUE(LEFT($A311,4)),1,4),2)+1+(VALUE(MID($A311,7,2))-1)*7+MATCH($B311,lista_dias,0)-1)</f>
        <v/>
      </c>
      <c r="I311" s="3">
        <f>IF(OR($F311="",ISNUMBER(MATCH($F311,lista_no_disponible,0)),(IFERROR(INDEX('CALENDARIO'!$C$15:$C$214,MATCH(TEXT($H311,"yyyy-mm-dd")&amp;"|"&amp;$D311&amp;"|"&amp;"",'CALENDARIO'!$G$15:$G$214,0)),IFERROR(INDEX('CALENDARIO'!$C$15:$C$214,MATCH(TEXT($H311,"yyyy-mm-dd")&amp;"|"&amp;$D311&amp;"|",'CALENDARIO'!$G$15:$G$214,0)),IFERROR(INDEX('CALENDARIO'!$C$15:$C$214,MATCH(TEXT($H311,"yyyy-mm-dd")&amp;"||",'CALENDARIO'!$G$15:$G$214,0)),INDEX(patronHabil,WEEKDAY($H311,2))))))&lt;&gt;"sí"),0,p_horas_jornada)</f>
        <v/>
      </c>
      <c r="J311" s="3">
        <f>$A311&amp;"|"&amp;$B311&amp;"|"&amp;$C311</f>
        <v/>
      </c>
      <c r="K311" s="3">
        <f>IFERROR(INDEX('CAT_TURNOS'!$C$4:$C$7,MATCH($F311,'CAT_TURNOS'!$A$4:$A$7,0)),"")</f>
        <v/>
      </c>
      <c r="L311" s="3">
        <f>IFERROR(INDEX('CAT_TURNOS'!$D$4:$D$7,MATCH($F311,'CAT_TURNOS'!$A$4:$A$7,0)),"")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B</t>
        </is>
      </c>
      <c r="G312" s="3">
        <f>IFERROR(INDEX('TECNICOS'!$E$4:$E$15,MATCH($C312,'TECNICOS'!$B$4:$B$15,0)),"")</f>
        <v/>
      </c>
      <c r="H312" s="11">
        <f>IF($A312="","",DATE(VALUE(LEFT($A312,4)),1,4)-WEEKDAY(DATE(VALUE(LEFT($A312,4)),1,4),2)+1+(VALUE(MID($A312,7,2))-1)*7+MATCH($B312,lista_dias,0)-1)</f>
        <v/>
      </c>
      <c r="I312" s="3">
        <f>IF(OR($F312="",ISNUMBER(MATCH($F312,lista_no_disponible,0)),(IFERROR(INDEX('CALENDARIO'!$C$15:$C$214,MATCH(TEXT($H312,"yyyy-mm-dd")&amp;"|"&amp;$D312&amp;"|"&amp;"",'CALENDARIO'!$G$15:$G$214,0)),IFERROR(INDEX('CALENDARIO'!$C$15:$C$214,MATCH(TEXT($H312,"yyyy-mm-dd")&amp;"|"&amp;$D312&amp;"|",'CALENDARIO'!$G$15:$G$214,0)),IFERROR(INDEX('CALENDARIO'!$C$15:$C$214,MATCH(TEXT($H312,"yyyy-mm-dd")&amp;"||",'CALENDARIO'!$G$15:$G$214,0)),INDEX(patronHabil,WEEKDAY($H312,2))))))&lt;&gt;"sí"),0,p_horas_jornada)</f>
        <v/>
      </c>
      <c r="J312" s="3">
        <f>$A312&amp;"|"&amp;$B312&amp;"|"&amp;$C312</f>
        <v/>
      </c>
      <c r="K312" s="3">
        <f>IFERROR(INDEX('CAT_TURNOS'!$C$4:$C$7,MATCH($F312,'CAT_TURNOS'!$A$4:$A$7,0)),"")</f>
        <v/>
      </c>
      <c r="L312" s="3">
        <f>IFERROR(INDEX('CAT_TURNOS'!$D$4:$D$7,MATCH($F312,'CAT_TURNOS'!$A$4:$A$7,0)),"")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B</t>
        </is>
      </c>
      <c r="G313" s="3">
        <f>IFERROR(INDEX('TECNICOS'!$E$4:$E$15,MATCH($C313,'TECNICOS'!$B$4:$B$15,0)),"")</f>
        <v/>
      </c>
      <c r="H313" s="11">
        <f>IF($A313="","",DATE(VALUE(LEFT($A313,4)),1,4)-WEEKDAY(DATE(VALUE(LEFT($A313,4)),1,4),2)+1+(VALUE(MID($A313,7,2))-1)*7+MATCH($B313,lista_dias,0)-1)</f>
        <v/>
      </c>
      <c r="I313" s="3">
        <f>IF(OR($F313="",ISNUMBER(MATCH($F313,lista_no_disponible,0)),(IFERROR(INDEX('CALENDARIO'!$C$15:$C$214,MATCH(TEXT($H313,"yyyy-mm-dd")&amp;"|"&amp;$D313&amp;"|"&amp;"",'CALENDARIO'!$G$15:$G$214,0)),IFERROR(INDEX('CALENDARIO'!$C$15:$C$214,MATCH(TEXT($H313,"yyyy-mm-dd")&amp;"|"&amp;$D313&amp;"|",'CALENDARIO'!$G$15:$G$214,0)),IFERROR(INDEX('CALENDARIO'!$C$15:$C$214,MATCH(TEXT($H313,"yyyy-mm-dd")&amp;"||",'CALENDARIO'!$G$15:$G$214,0)),INDEX(patronHabil,WEEKDAY($H313,2))))))&lt;&gt;"sí"),0,p_horas_jornada)</f>
        <v/>
      </c>
      <c r="J313" s="3">
        <f>$A313&amp;"|"&amp;$B313&amp;"|"&amp;$C313</f>
        <v/>
      </c>
      <c r="K313" s="3">
        <f>IFERROR(INDEX('CAT_TURNOS'!$C$4:$C$7,MATCH($F313,'CAT_TURNOS'!$A$4:$A$7,0)),"")</f>
        <v/>
      </c>
      <c r="L313" s="3">
        <f>IFERROR(INDEX('CAT_TURNOS'!$D$4:$D$7,MATCH($F313,'CAT_TURNOS'!$A$4:$A$7,0)),"")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B</t>
        </is>
      </c>
      <c r="G314" s="3">
        <f>IFERROR(INDEX('TECNICOS'!$E$4:$E$15,MATCH($C314,'TECNICOS'!$B$4:$B$15,0)),"")</f>
        <v/>
      </c>
      <c r="H314" s="11">
        <f>IF($A314="","",DATE(VALUE(LEFT($A314,4)),1,4)-WEEKDAY(DATE(VALUE(LEFT($A314,4)),1,4),2)+1+(VALUE(MID($A314,7,2))-1)*7+MATCH($B314,lista_dias,0)-1)</f>
        <v/>
      </c>
      <c r="I314" s="3">
        <f>IF(OR($F314="",ISNUMBER(MATCH($F314,lista_no_disponible,0)),(IFERROR(INDEX('CALENDARIO'!$C$15:$C$214,MATCH(TEXT($H314,"yyyy-mm-dd")&amp;"|"&amp;$D314&amp;"|"&amp;"",'CALENDARIO'!$G$15:$G$214,0)),IFERROR(INDEX('CALENDARIO'!$C$15:$C$214,MATCH(TEXT($H314,"yyyy-mm-dd")&amp;"|"&amp;$D314&amp;"|",'CALENDARIO'!$G$15:$G$214,0)),IFERROR(INDEX('CALENDARIO'!$C$15:$C$214,MATCH(TEXT($H314,"yyyy-mm-dd")&amp;"||",'CALENDARIO'!$G$15:$G$214,0)),INDEX(patronHabil,WEEKDAY($H314,2))))))&lt;&gt;"sí"),0,p_horas_jornada)</f>
        <v/>
      </c>
      <c r="J314" s="3">
        <f>$A314&amp;"|"&amp;$B314&amp;"|"&amp;$C314</f>
        <v/>
      </c>
      <c r="K314" s="3">
        <f>IFERROR(INDEX('CAT_TURNOS'!$C$4:$C$7,MATCH($F314,'CAT_TURNOS'!$A$4:$A$7,0)),"")</f>
        <v/>
      </c>
      <c r="L314" s="3">
        <f>IFERROR(INDEX('CAT_TURNOS'!$D$4:$D$7,MATCH($F314,'CAT_TURNOS'!$A$4:$A$7,0)),"")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B</t>
        </is>
      </c>
      <c r="G315" s="3">
        <f>IFERROR(INDEX('TECNICOS'!$E$4:$E$15,MATCH($C315,'TECNICOS'!$B$4:$B$15,0)),"")</f>
        <v/>
      </c>
      <c r="H315" s="11">
        <f>IF($A315="","",DATE(VALUE(LEFT($A315,4)),1,4)-WEEKDAY(DATE(VALUE(LEFT($A315,4)),1,4),2)+1+(VALUE(MID($A315,7,2))-1)*7+MATCH($B315,lista_dias,0)-1)</f>
        <v/>
      </c>
      <c r="I315" s="3">
        <f>IF(OR($F315="",ISNUMBER(MATCH($F315,lista_no_disponible,0)),(IFERROR(INDEX('CALENDARIO'!$C$15:$C$214,MATCH(TEXT($H315,"yyyy-mm-dd")&amp;"|"&amp;$D315&amp;"|"&amp;"",'CALENDARIO'!$G$15:$G$214,0)),IFERROR(INDEX('CALENDARIO'!$C$15:$C$214,MATCH(TEXT($H315,"yyyy-mm-dd")&amp;"|"&amp;$D315&amp;"|",'CALENDARIO'!$G$15:$G$214,0)),IFERROR(INDEX('CALENDARIO'!$C$15:$C$214,MATCH(TEXT($H315,"yyyy-mm-dd")&amp;"||",'CALENDARIO'!$G$15:$G$214,0)),INDEX(patronHabil,WEEKDAY($H315,2))))))&lt;&gt;"sí"),0,p_horas_jornada)</f>
        <v/>
      </c>
      <c r="J315" s="3">
        <f>$A315&amp;"|"&amp;$B315&amp;"|"&amp;$C315</f>
        <v/>
      </c>
      <c r="K315" s="3">
        <f>IFERROR(INDEX('CAT_TURNOS'!$C$4:$C$7,MATCH($F315,'CAT_TURNOS'!$A$4:$A$7,0)),"")</f>
        <v/>
      </c>
      <c r="L315" s="3">
        <f>IFERROR(INDEX('CAT_TURNOS'!$D$4:$D$7,MATCH($F315,'CAT_TURNOS'!$A$4:$A$7,0)),"")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B</t>
        </is>
      </c>
      <c r="G316" s="3">
        <f>IFERROR(INDEX('TECNICOS'!$E$4:$E$15,MATCH($C316,'TECNICOS'!$B$4:$B$15,0)),"")</f>
        <v/>
      </c>
      <c r="H316" s="11">
        <f>IF($A316="","",DATE(VALUE(LEFT($A316,4)),1,4)-WEEKDAY(DATE(VALUE(LEFT($A316,4)),1,4),2)+1+(VALUE(MID($A316,7,2))-1)*7+MATCH($B316,lista_dias,0)-1)</f>
        <v/>
      </c>
      <c r="I316" s="3">
        <f>IF(OR($F316="",ISNUMBER(MATCH($F316,lista_no_disponible,0)),(IFERROR(INDEX('CALENDARIO'!$C$15:$C$214,MATCH(TEXT($H316,"yyyy-mm-dd")&amp;"|"&amp;$D316&amp;"|"&amp;"",'CALENDARIO'!$G$15:$G$214,0)),IFERROR(INDEX('CALENDARIO'!$C$15:$C$214,MATCH(TEXT($H316,"yyyy-mm-dd")&amp;"|"&amp;$D316&amp;"|",'CALENDARIO'!$G$15:$G$214,0)),IFERROR(INDEX('CALENDARIO'!$C$15:$C$214,MATCH(TEXT($H316,"yyyy-mm-dd")&amp;"||",'CALENDARIO'!$G$15:$G$214,0)),INDEX(patronHabil,WEEKDAY($H316,2))))))&lt;&gt;"sí"),0,p_horas_jornada)</f>
        <v/>
      </c>
      <c r="J316" s="3">
        <f>$A316&amp;"|"&amp;$B316&amp;"|"&amp;$C316</f>
        <v/>
      </c>
      <c r="K316" s="3">
        <f>IFERROR(INDEX('CAT_TURNOS'!$C$4:$C$7,MATCH($F316,'CAT_TURNOS'!$A$4:$A$7,0)),"")</f>
        <v/>
      </c>
      <c r="L316" s="3">
        <f>IFERROR(INDEX('CAT_TURNOS'!$D$4:$D$7,MATCH($F316,'CAT_TURNOS'!$A$4:$A$7,0)),"")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>
        <is>
          <t>B</t>
        </is>
      </c>
      <c r="G317" s="3">
        <f>IFERROR(INDEX('TECNICOS'!$E$4:$E$15,MATCH($C317,'TECNICOS'!$B$4:$B$15,0)),"")</f>
        <v/>
      </c>
      <c r="H317" s="11">
        <f>IF($A317="","",DATE(VALUE(LEFT($A317,4)),1,4)-WEEKDAY(DATE(VALUE(LEFT($A317,4)),1,4),2)+1+(VALUE(MID($A317,7,2))-1)*7+MATCH($B317,lista_dias,0)-1)</f>
        <v/>
      </c>
      <c r="I317" s="3">
        <f>IF(OR($F317="",ISNUMBER(MATCH($F317,lista_no_disponible,0)),(IFERROR(INDEX('CALENDARIO'!$C$15:$C$214,MATCH(TEXT($H317,"yyyy-mm-dd")&amp;"|"&amp;$D317&amp;"|"&amp;"",'CALENDARIO'!$G$15:$G$214,0)),IFERROR(INDEX('CALENDARIO'!$C$15:$C$214,MATCH(TEXT($H317,"yyyy-mm-dd")&amp;"|"&amp;$D317&amp;"|",'CALENDARIO'!$G$15:$G$214,0)),IFERROR(INDEX('CALENDARIO'!$C$15:$C$214,MATCH(TEXT($H317,"yyyy-mm-dd")&amp;"||",'CALENDARIO'!$G$15:$G$214,0)),INDEX(patronHabil,WEEKDAY($H317,2))))))&lt;&gt;"sí"),0,p_horas_jornada)</f>
        <v/>
      </c>
      <c r="J317" s="3">
        <f>$A317&amp;"|"&amp;$B317&amp;"|"&amp;$C317</f>
        <v/>
      </c>
      <c r="K317" s="3">
        <f>IFERROR(INDEX('CAT_TURNOS'!$C$4:$C$7,MATCH($F317,'CAT_TURNOS'!$A$4:$A$7,0)),"")</f>
        <v/>
      </c>
      <c r="L317" s="3">
        <f>IFERROR(INDEX('CAT_TURNOS'!$D$4:$D$7,MATCH($F317,'CAT_TURNOS'!$A$4:$A$7,0)),"")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11">
        <f>IF($A318="","",DATE(VALUE(LEFT($A318,4)),1,4)-WEEKDAY(DATE(VALUE(LEFT($A318,4)),1,4),2)+1+(VALUE(MID($A318,7,2))-1)*7+MATCH($B318,lista_dias,0)-1)</f>
        <v/>
      </c>
      <c r="I318" s="3">
        <f>IF(OR($F318="",ISNUMBER(MATCH($F318,lista_no_disponible,0)),(IFERROR(INDEX('CALENDARIO'!$C$15:$C$214,MATCH(TEXT($H318,"yyyy-mm-dd")&amp;"|"&amp;$D318&amp;"|"&amp;"",'CALENDARIO'!$G$15:$G$214,0)),IFERROR(INDEX('CALENDARIO'!$C$15:$C$214,MATCH(TEXT($H318,"yyyy-mm-dd")&amp;"|"&amp;$D318&amp;"|",'CALENDARIO'!$G$15:$G$214,0)),IFERROR(INDEX('CALENDARIO'!$C$15:$C$214,MATCH(TEXT($H318,"yyyy-mm-dd")&amp;"||",'CALENDARIO'!$G$15:$G$214,0)),INDEX(patronHabil,WEEKDAY($H318,2))))))&lt;&gt;"sí"),0,p_horas_jornada)</f>
        <v/>
      </c>
      <c r="J318" s="3">
        <f>$A318&amp;"|"&amp;$B318&amp;"|"&amp;$C318</f>
        <v/>
      </c>
      <c r="K318" s="3">
        <f>IFERROR(INDEX('CAT_TURNOS'!$C$4:$C$7,MATCH($F318,'CAT_TURNOS'!$A$4:$A$7,0)),"")</f>
        <v/>
      </c>
      <c r="L318" s="3">
        <f>IFERROR(INDEX('CAT_TURNOS'!$D$4:$D$7,MATCH($F318,'CAT_TURNOS'!$A$4:$A$7,0)),"")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</t>
        </is>
      </c>
      <c r="G319" s="3">
        <f>IFERROR(INDEX('TECNICOS'!$E$4:$E$15,MATCH($C319,'TECNICOS'!$B$4:$B$15,0)),"")</f>
        <v/>
      </c>
      <c r="H319" s="11">
        <f>IF($A319="","",DATE(VALUE(LEFT($A319,4)),1,4)-WEEKDAY(DATE(VALUE(LEFT($A319,4)),1,4),2)+1+(VALUE(MID($A319,7,2))-1)*7+MATCH($B319,lista_dias,0)-1)</f>
        <v/>
      </c>
      <c r="I319" s="3">
        <f>IF(OR($F319="",ISNUMBER(MATCH($F319,lista_no_disponible,0)),(IFERROR(INDEX('CALENDARIO'!$C$15:$C$214,MATCH(TEXT($H319,"yyyy-mm-dd")&amp;"|"&amp;$D319&amp;"|"&amp;"",'CALENDARIO'!$G$15:$G$214,0)),IFERROR(INDEX('CALENDARIO'!$C$15:$C$214,MATCH(TEXT($H319,"yyyy-mm-dd")&amp;"|"&amp;$D319&amp;"|",'CALENDARIO'!$G$15:$G$214,0)),IFERROR(INDEX('CALENDARIO'!$C$15:$C$214,MATCH(TEXT($H319,"yyyy-mm-dd")&amp;"||",'CALENDARIO'!$G$15:$G$214,0)),INDEX(patronHabil,WEEKDAY($H319,2))))))&lt;&gt;"sí"),0,p_horas_jornada)</f>
        <v/>
      </c>
      <c r="J319" s="3">
        <f>$A319&amp;"|"&amp;$B319&amp;"|"&amp;$C319</f>
        <v/>
      </c>
      <c r="K319" s="3">
        <f>IFERROR(INDEX('CAT_TURNOS'!$C$4:$C$7,MATCH($F319,'CAT_TURNOS'!$A$4:$A$7,0)),"")</f>
        <v/>
      </c>
      <c r="L319" s="3">
        <f>IFERROR(INDEX('CAT_TURNOS'!$D$4:$D$7,MATCH($F319,'CAT_TURNOS'!$A$4:$A$7,0)),"")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</t>
        </is>
      </c>
      <c r="G320" s="3">
        <f>IFERROR(INDEX('TECNICOS'!$E$4:$E$15,MATCH($C320,'TECNICOS'!$B$4:$B$15,0)),"")</f>
        <v/>
      </c>
      <c r="H320" s="11">
        <f>IF($A320="","",DATE(VALUE(LEFT($A320,4)),1,4)-WEEKDAY(DATE(VALUE(LEFT($A320,4)),1,4),2)+1+(VALUE(MID($A320,7,2))-1)*7+MATCH($B320,lista_dias,0)-1)</f>
        <v/>
      </c>
      <c r="I320" s="3">
        <f>IF(OR($F320="",ISNUMBER(MATCH($F320,lista_no_disponible,0)),(IFERROR(INDEX('CALENDARIO'!$C$15:$C$214,MATCH(TEXT($H320,"yyyy-mm-dd")&amp;"|"&amp;$D320&amp;"|"&amp;"",'CALENDARIO'!$G$15:$G$214,0)),IFERROR(INDEX('CALENDARIO'!$C$15:$C$214,MATCH(TEXT($H320,"yyyy-mm-dd")&amp;"|"&amp;$D320&amp;"|",'CALENDARIO'!$G$15:$G$214,0)),IFERROR(INDEX('CALENDARIO'!$C$15:$C$214,MATCH(TEXT($H320,"yyyy-mm-dd")&amp;"||",'CALENDARIO'!$G$15:$G$214,0)),INDEX(patronHabil,WEEKDAY($H320,2))))))&lt;&gt;"sí"),0,p_horas_jornada)</f>
        <v/>
      </c>
      <c r="J320" s="3">
        <f>$A320&amp;"|"&amp;$B320&amp;"|"&amp;$C320</f>
        <v/>
      </c>
      <c r="K320" s="3">
        <f>IFERROR(INDEX('CAT_TURNOS'!$C$4:$C$7,MATCH($F320,'CAT_TURNOS'!$A$4:$A$7,0)),"")</f>
        <v/>
      </c>
      <c r="L320" s="3">
        <f>IFERROR(INDEX('CAT_TURNOS'!$D$4:$D$7,MATCH($F320,'CAT_TURNOS'!$A$4:$A$7,0)),"")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</t>
        </is>
      </c>
      <c r="G321" s="3">
        <f>IFERROR(INDEX('TECNICOS'!$E$4:$E$15,MATCH($C321,'TECNICOS'!$B$4:$B$15,0)),"")</f>
        <v/>
      </c>
      <c r="H321" s="11">
        <f>IF($A321="","",DATE(VALUE(LEFT($A321,4)),1,4)-WEEKDAY(DATE(VALUE(LEFT($A321,4)),1,4),2)+1+(VALUE(MID($A321,7,2))-1)*7+MATCH($B321,lista_dias,0)-1)</f>
        <v/>
      </c>
      <c r="I321" s="3">
        <f>IF(OR($F321="",ISNUMBER(MATCH($F321,lista_no_disponible,0)),(IFERROR(INDEX('CALENDARIO'!$C$15:$C$214,MATCH(TEXT($H321,"yyyy-mm-dd")&amp;"|"&amp;$D321&amp;"|"&amp;"",'CALENDARIO'!$G$15:$G$214,0)),IFERROR(INDEX('CALENDARIO'!$C$15:$C$214,MATCH(TEXT($H321,"yyyy-mm-dd")&amp;"|"&amp;$D321&amp;"|",'CALENDARIO'!$G$15:$G$214,0)),IFERROR(INDEX('CALENDARIO'!$C$15:$C$214,MATCH(TEXT($H321,"yyyy-mm-dd")&amp;"||",'CALENDARIO'!$G$15:$G$214,0)),INDEX(patronHabil,WEEKDAY($H321,2))))))&lt;&gt;"sí"),0,p_horas_jornada)</f>
        <v/>
      </c>
      <c r="J321" s="3">
        <f>$A321&amp;"|"&amp;$B321&amp;"|"&amp;$C321</f>
        <v/>
      </c>
      <c r="K321" s="3">
        <f>IFERROR(INDEX('CAT_TURNOS'!$C$4:$C$7,MATCH($F321,'CAT_TURNOS'!$A$4:$A$7,0)),"")</f>
        <v/>
      </c>
      <c r="L321" s="3">
        <f>IFERROR(INDEX('CAT_TURNOS'!$D$4:$D$7,MATCH($F321,'CAT_TURNOS'!$A$4:$A$7,0)),"")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</t>
        </is>
      </c>
      <c r="G322" s="3">
        <f>IFERROR(INDEX('TECNICOS'!$E$4:$E$15,MATCH($C322,'TECNICOS'!$B$4:$B$15,0)),"")</f>
        <v/>
      </c>
      <c r="H322" s="11">
        <f>IF($A322="","",DATE(VALUE(LEFT($A322,4)),1,4)-WEEKDAY(DATE(VALUE(LEFT($A322,4)),1,4),2)+1+(VALUE(MID($A322,7,2))-1)*7+MATCH($B322,lista_dias,0)-1)</f>
        <v/>
      </c>
      <c r="I322" s="3">
        <f>IF(OR($F322="",ISNUMBER(MATCH($F322,lista_no_disponible,0)),(IFERROR(INDEX('CALENDARIO'!$C$15:$C$214,MATCH(TEXT($H322,"yyyy-mm-dd")&amp;"|"&amp;$D322&amp;"|"&amp;"",'CALENDARIO'!$G$15:$G$214,0)),IFERROR(INDEX('CALENDARIO'!$C$15:$C$214,MATCH(TEXT($H322,"yyyy-mm-dd")&amp;"|"&amp;$D322&amp;"|",'CALENDARIO'!$G$15:$G$214,0)),IFERROR(INDEX('CALENDARIO'!$C$15:$C$214,MATCH(TEXT($H322,"yyyy-mm-dd")&amp;"||",'CALENDARIO'!$G$15:$G$214,0)),INDEX(patronHabil,WEEKDAY($H322,2))))))&lt;&gt;"sí"),0,p_horas_jornada)</f>
        <v/>
      </c>
      <c r="J322" s="3">
        <f>$A322&amp;"|"&amp;$B322&amp;"|"&amp;$C322</f>
        <v/>
      </c>
      <c r="K322" s="3">
        <f>IFERROR(INDEX('CAT_TURNOS'!$C$4:$C$7,MATCH($F322,'CAT_TURNOS'!$A$4:$A$7,0)),"")</f>
        <v/>
      </c>
      <c r="L322" s="3">
        <f>IFERROR(INDEX('CAT_TURNOS'!$D$4:$D$7,MATCH($F322,'CAT_TURNOS'!$A$4:$A$7,0)),"")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</t>
        </is>
      </c>
      <c r="G323" s="3">
        <f>IFERROR(INDEX('TECNICOS'!$E$4:$E$15,MATCH($C323,'TECNICOS'!$B$4:$B$15,0)),"")</f>
        <v/>
      </c>
      <c r="H323" s="11">
        <f>IF($A323="","",DATE(VALUE(LEFT($A323,4)),1,4)-WEEKDAY(DATE(VALUE(LEFT($A323,4)),1,4),2)+1+(VALUE(MID($A323,7,2))-1)*7+MATCH($B323,lista_dias,0)-1)</f>
        <v/>
      </c>
      <c r="I323" s="3">
        <f>IF(OR($F323="",ISNUMBER(MATCH($F323,lista_no_disponible,0)),(IFERROR(INDEX('CALENDARIO'!$C$15:$C$214,MATCH(TEXT($H323,"yyyy-mm-dd")&amp;"|"&amp;$D323&amp;"|"&amp;"",'CALENDARIO'!$G$15:$G$214,0)),IFERROR(INDEX('CALENDARIO'!$C$15:$C$214,MATCH(TEXT($H323,"yyyy-mm-dd")&amp;"|"&amp;$D323&amp;"|",'CALENDARIO'!$G$15:$G$214,0)),IFERROR(INDEX('CALENDARIO'!$C$15:$C$214,MATCH(TEXT($H323,"yyyy-mm-dd")&amp;"||",'CALENDARIO'!$G$15:$G$214,0)),INDEX(patronHabil,WEEKDAY($H323,2))))))&lt;&gt;"sí"),0,p_horas_jornada)</f>
        <v/>
      </c>
      <c r="J323" s="3">
        <f>$A323&amp;"|"&amp;$B323&amp;"|"&amp;$C323</f>
        <v/>
      </c>
      <c r="K323" s="3">
        <f>IFERROR(INDEX('CAT_TURNOS'!$C$4:$C$7,MATCH($F323,'CAT_TURNOS'!$A$4:$A$7,0)),"")</f>
        <v/>
      </c>
      <c r="L323" s="3">
        <f>IFERROR(INDEX('CAT_TURNOS'!$D$4:$D$7,MATCH($F323,'CAT_TURNOS'!$A$4:$A$7,0)),"")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>
        <is>
          <t>B</t>
        </is>
      </c>
      <c r="G324" s="3">
        <f>IFERROR(INDEX('TECNICOS'!$E$4:$E$15,MATCH($C324,'TECNICOS'!$B$4:$B$15,0)),"")</f>
        <v/>
      </c>
      <c r="H324" s="11">
        <f>IF($A324="","",DATE(VALUE(LEFT($A324,4)),1,4)-WEEKDAY(DATE(VALUE(LEFT($A324,4)),1,4),2)+1+(VALUE(MID($A324,7,2))-1)*7+MATCH($B324,lista_dias,0)-1)</f>
        <v/>
      </c>
      <c r="I324" s="3">
        <f>IF(OR($F324="",ISNUMBER(MATCH($F324,lista_no_disponible,0)),(IFERROR(INDEX('CALENDARIO'!$C$15:$C$214,MATCH(TEXT($H324,"yyyy-mm-dd")&amp;"|"&amp;$D324&amp;"|"&amp;"",'CALENDARIO'!$G$15:$G$214,0)),IFERROR(INDEX('CALENDARIO'!$C$15:$C$214,MATCH(TEXT($H324,"yyyy-mm-dd")&amp;"|"&amp;$D324&amp;"|",'CALENDARIO'!$G$15:$G$214,0)),IFERROR(INDEX('CALENDARIO'!$C$15:$C$214,MATCH(TEXT($H324,"yyyy-mm-dd")&amp;"||",'CALENDARIO'!$G$15:$G$214,0)),INDEX(patronHabil,WEEKDAY($H324,2))))))&lt;&gt;"sí"),0,p_horas_jornada)</f>
        <v/>
      </c>
      <c r="J324" s="3">
        <f>$A324&amp;"|"&amp;$B324&amp;"|"&amp;$C324</f>
        <v/>
      </c>
      <c r="K324" s="3">
        <f>IFERROR(INDEX('CAT_TURNOS'!$C$4:$C$7,MATCH($F324,'CAT_TURNOS'!$A$4:$A$7,0)),"")</f>
        <v/>
      </c>
      <c r="L324" s="3">
        <f>IFERROR(INDEX('CAT_TURNOS'!$D$4:$D$7,MATCH($F324,'CAT_TURNOS'!$A$4:$A$7,0)),"")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11">
        <f>IF($A325="","",DATE(VALUE(LEFT($A325,4)),1,4)-WEEKDAY(DATE(VALUE(LEFT($A325,4)),1,4),2)+1+(VALUE(MID($A325,7,2))-1)*7+MATCH($B325,lista_dias,0)-1)</f>
        <v/>
      </c>
      <c r="I325" s="3">
        <f>IF(OR($F325="",ISNUMBER(MATCH($F325,lista_no_disponible,0)),(IFERROR(INDEX('CALENDARIO'!$C$15:$C$214,MATCH(TEXT($H325,"yyyy-mm-dd")&amp;"|"&amp;$D325&amp;"|"&amp;"",'CALENDARIO'!$G$15:$G$214,0)),IFERROR(INDEX('CALENDARIO'!$C$15:$C$214,MATCH(TEXT($H325,"yyyy-mm-dd")&amp;"|"&amp;$D325&amp;"|",'CALENDARIO'!$G$15:$G$214,0)),IFERROR(INDEX('CALENDARIO'!$C$15:$C$214,MATCH(TEXT($H325,"yyyy-mm-dd")&amp;"||",'CALENDARIO'!$G$15:$G$214,0)),INDEX(patronHabil,WEEKDAY($H325,2))))))&lt;&gt;"sí"),0,p_horas_jornada)</f>
        <v/>
      </c>
      <c r="J325" s="3">
        <f>$A325&amp;"|"&amp;$B325&amp;"|"&amp;$C325</f>
        <v/>
      </c>
      <c r="K325" s="3">
        <f>IFERROR(INDEX('CAT_TURNOS'!$C$4:$C$7,MATCH($F325,'CAT_TURNOS'!$A$4:$A$7,0)),"")</f>
        <v/>
      </c>
      <c r="L325" s="3">
        <f>IFERROR(INDEX('CAT_TURNOS'!$D$4:$D$7,MATCH($F325,'CAT_TURNOS'!$A$4:$A$7,0)),"")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11">
        <f>IF($A326="","",DATE(VALUE(LEFT($A326,4)),1,4)-WEEKDAY(DATE(VALUE(LEFT($A326,4)),1,4),2)+1+(VALUE(MID($A326,7,2))-1)*7+MATCH($B326,lista_dias,0)-1)</f>
        <v/>
      </c>
      <c r="I326" s="3">
        <f>IF(OR($F326="",ISNUMBER(MATCH($F326,lista_no_disponible,0)),(IFERROR(INDEX('CALENDARIO'!$C$15:$C$214,MATCH(TEXT($H326,"yyyy-mm-dd")&amp;"|"&amp;$D326&amp;"|"&amp;"",'CALENDARIO'!$G$15:$G$214,0)),IFERROR(INDEX('CALENDARIO'!$C$15:$C$214,MATCH(TEXT($H326,"yyyy-mm-dd")&amp;"|"&amp;$D326&amp;"|",'CALENDARIO'!$G$15:$G$214,0)),IFERROR(INDEX('CALENDARIO'!$C$15:$C$214,MATCH(TEXT($H326,"yyyy-mm-dd")&amp;"||",'CALENDARIO'!$G$15:$G$214,0)),INDEX(patronHabil,WEEKDAY($H326,2))))))&lt;&gt;"sí"),0,p_horas_jornada)</f>
        <v/>
      </c>
      <c r="J326" s="3">
        <f>$A326&amp;"|"&amp;$B326&amp;"|"&amp;$C326</f>
        <v/>
      </c>
      <c r="K326" s="3">
        <f>IFERROR(INDEX('CAT_TURNOS'!$C$4:$C$7,MATCH($F326,'CAT_TURNOS'!$A$4:$A$7,0)),"")</f>
        <v/>
      </c>
      <c r="L326" s="3">
        <f>IFERROR(INDEX('CAT_TURNOS'!$D$4:$D$7,MATCH($F326,'CAT_TURNOS'!$A$4:$A$7,0)),"")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11">
        <f>IF($A327="","",DATE(VALUE(LEFT($A327,4)),1,4)-WEEKDAY(DATE(VALUE(LEFT($A327,4)),1,4),2)+1+(VALUE(MID($A327,7,2))-1)*7+MATCH($B327,lista_dias,0)-1)</f>
        <v/>
      </c>
      <c r="I327" s="3">
        <f>IF(OR($F327="",ISNUMBER(MATCH($F327,lista_no_disponible,0)),(IFERROR(INDEX('CALENDARIO'!$C$15:$C$214,MATCH(TEXT($H327,"yyyy-mm-dd")&amp;"|"&amp;$D327&amp;"|"&amp;"",'CALENDARIO'!$G$15:$G$214,0)),IFERROR(INDEX('CALENDARIO'!$C$15:$C$214,MATCH(TEXT($H327,"yyyy-mm-dd")&amp;"|"&amp;$D327&amp;"|",'CALENDARIO'!$G$15:$G$214,0)),IFERROR(INDEX('CALENDARIO'!$C$15:$C$214,MATCH(TEXT($H327,"yyyy-mm-dd")&amp;"||",'CALENDARIO'!$G$15:$G$214,0)),INDEX(patronHabil,WEEKDAY($H327,2))))))&lt;&gt;"sí"),0,p_horas_jornada)</f>
        <v/>
      </c>
      <c r="J327" s="3">
        <f>$A327&amp;"|"&amp;$B327&amp;"|"&amp;$C327</f>
        <v/>
      </c>
      <c r="K327" s="3">
        <f>IFERROR(INDEX('CAT_TURNOS'!$C$4:$C$7,MATCH($F327,'CAT_TURNOS'!$A$4:$A$7,0)),"")</f>
        <v/>
      </c>
      <c r="L327" s="3">
        <f>IFERROR(INDEX('CAT_TURNOS'!$D$4:$D$7,MATCH($F327,'CAT_TURNOS'!$A$4:$A$7,0)),"")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11">
        <f>IF($A328="","",DATE(VALUE(LEFT($A328,4)),1,4)-WEEKDAY(DATE(VALUE(LEFT($A328,4)),1,4),2)+1+(VALUE(MID($A328,7,2))-1)*7+MATCH($B328,lista_dias,0)-1)</f>
        <v/>
      </c>
      <c r="I328" s="3">
        <f>IF(OR($F328="",ISNUMBER(MATCH($F328,lista_no_disponible,0)),(IFERROR(INDEX('CALENDARIO'!$C$15:$C$214,MATCH(TEXT($H328,"yyyy-mm-dd")&amp;"|"&amp;$D328&amp;"|"&amp;"",'CALENDARIO'!$G$15:$G$214,0)),IFERROR(INDEX('CALENDARIO'!$C$15:$C$214,MATCH(TEXT($H328,"yyyy-mm-dd")&amp;"|"&amp;$D328&amp;"|",'CALENDARIO'!$G$15:$G$214,0)),IFERROR(INDEX('CALENDARIO'!$C$15:$C$214,MATCH(TEXT($H328,"yyyy-mm-dd")&amp;"||",'CALENDARIO'!$G$15:$G$214,0)),INDEX(patronHabil,WEEKDAY($H328,2))))))&lt;&gt;"sí"),0,p_horas_jornada)</f>
        <v/>
      </c>
      <c r="J328" s="3">
        <f>$A328&amp;"|"&amp;$B328&amp;"|"&amp;$C328</f>
        <v/>
      </c>
      <c r="K328" s="3">
        <f>IFERROR(INDEX('CAT_TURNOS'!$C$4:$C$7,MATCH($F328,'CAT_TURNOS'!$A$4:$A$7,0)),"")</f>
        <v/>
      </c>
      <c r="L328" s="3">
        <f>IFERROR(INDEX('CAT_TURNOS'!$D$4:$D$7,MATCH($F328,'CAT_TURNOS'!$A$4:$A$7,0)),"")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11">
        <f>IF($A329="","",DATE(VALUE(LEFT($A329,4)),1,4)-WEEKDAY(DATE(VALUE(LEFT($A329,4)),1,4),2)+1+(VALUE(MID($A329,7,2))-1)*7+MATCH($B329,lista_dias,0)-1)</f>
        <v/>
      </c>
      <c r="I329" s="3">
        <f>IF(OR($F329="",ISNUMBER(MATCH($F329,lista_no_disponible,0)),(IFERROR(INDEX('CALENDARIO'!$C$15:$C$214,MATCH(TEXT($H329,"yyyy-mm-dd")&amp;"|"&amp;$D329&amp;"|"&amp;"",'CALENDARIO'!$G$15:$G$214,0)),IFERROR(INDEX('CALENDARIO'!$C$15:$C$214,MATCH(TEXT($H329,"yyyy-mm-dd")&amp;"|"&amp;$D329&amp;"|",'CALENDARIO'!$G$15:$G$214,0)),IFERROR(INDEX('CALENDARIO'!$C$15:$C$214,MATCH(TEXT($H329,"yyyy-mm-dd")&amp;"||",'CALENDARIO'!$G$15:$G$214,0)),INDEX(patronHabil,WEEKDAY($H329,2))))))&lt;&gt;"sí"),0,p_horas_jornada)</f>
        <v/>
      </c>
      <c r="J329" s="3">
        <f>$A329&amp;"|"&amp;$B329&amp;"|"&amp;$C329</f>
        <v/>
      </c>
      <c r="K329" s="3">
        <f>IFERROR(INDEX('CAT_TURNOS'!$C$4:$C$7,MATCH($F329,'CAT_TURNOS'!$A$4:$A$7,0)),"")</f>
        <v/>
      </c>
      <c r="L329" s="3">
        <f>IFERROR(INDEX('CAT_TURNOS'!$D$4:$D$7,MATCH($F329,'CAT_TURNOS'!$A$4:$A$7,0)),"")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11">
        <f>IF($A330="","",DATE(VALUE(LEFT($A330,4)),1,4)-WEEKDAY(DATE(VALUE(LEFT($A330,4)),1,4),2)+1+(VALUE(MID($A330,7,2))-1)*7+MATCH($B330,lista_dias,0)-1)</f>
        <v/>
      </c>
      <c r="I330" s="3">
        <f>IF(OR($F330="",ISNUMBER(MATCH($F330,lista_no_disponible,0)),(IFERROR(INDEX('CALENDARIO'!$C$15:$C$214,MATCH(TEXT($H330,"yyyy-mm-dd")&amp;"|"&amp;$D330&amp;"|"&amp;"",'CALENDARIO'!$G$15:$G$214,0)),IFERROR(INDEX('CALENDARIO'!$C$15:$C$214,MATCH(TEXT($H330,"yyyy-mm-dd")&amp;"|"&amp;$D330&amp;"|",'CALENDARIO'!$G$15:$G$214,0)),IFERROR(INDEX('CALENDARIO'!$C$15:$C$214,MATCH(TEXT($H330,"yyyy-mm-dd")&amp;"||",'CALENDARIO'!$G$15:$G$214,0)),INDEX(patronHabil,WEEKDAY($H330,2))))))&lt;&gt;"sí"),0,p_horas_jornada)</f>
        <v/>
      </c>
      <c r="J330" s="3">
        <f>$A330&amp;"|"&amp;$B330&amp;"|"&amp;$C330</f>
        <v/>
      </c>
      <c r="K330" s="3">
        <f>IFERROR(INDEX('CAT_TURNOS'!$C$4:$C$7,MATCH($F330,'CAT_TURNOS'!$A$4:$A$7,0)),"")</f>
        <v/>
      </c>
      <c r="L330" s="3">
        <f>IFERROR(INDEX('CAT_TURNOS'!$D$4:$D$7,MATCH($F330,'CAT_TURNOS'!$A$4:$A$7,0)),"")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>
        <is>
          <t>T1</t>
        </is>
      </c>
      <c r="G331" s="3">
        <f>IFERROR(INDEX('TECNICOS'!$E$4:$E$15,MATCH($C331,'TECNICOS'!$B$4:$B$15,0)),"")</f>
        <v/>
      </c>
      <c r="H331" s="11">
        <f>IF($A331="","",DATE(VALUE(LEFT($A331,4)),1,4)-WEEKDAY(DATE(VALUE(LEFT($A331,4)),1,4),2)+1+(VALUE(MID($A331,7,2))-1)*7+MATCH($B331,lista_dias,0)-1)</f>
        <v/>
      </c>
      <c r="I331" s="3">
        <f>IF(OR($F331="",ISNUMBER(MATCH($F331,lista_no_disponible,0)),(IFERROR(INDEX('CALENDARIO'!$C$15:$C$214,MATCH(TEXT($H331,"yyyy-mm-dd")&amp;"|"&amp;$D331&amp;"|"&amp;"",'CALENDARIO'!$G$15:$G$214,0)),IFERROR(INDEX('CALENDARIO'!$C$15:$C$214,MATCH(TEXT($H331,"yyyy-mm-dd")&amp;"|"&amp;$D331&amp;"|",'CALENDARIO'!$G$15:$G$214,0)),IFERROR(INDEX('CALENDARIO'!$C$15:$C$214,MATCH(TEXT($H331,"yyyy-mm-dd")&amp;"||",'CALENDARIO'!$G$15:$G$214,0)),INDEX(patronHabil,WEEKDAY($H331,2))))))&lt;&gt;"sí"),0,p_horas_jornada)</f>
        <v/>
      </c>
      <c r="J331" s="3">
        <f>$A331&amp;"|"&amp;$B331&amp;"|"&amp;$C331</f>
        <v/>
      </c>
      <c r="K331" s="3">
        <f>IFERROR(INDEX('CAT_TURNOS'!$C$4:$C$7,MATCH($F331,'CAT_TURNOS'!$A$4:$A$7,0)),"")</f>
        <v/>
      </c>
      <c r="L331" s="3">
        <f>IFERROR(INDEX('CAT_TURNOS'!$D$4:$D$7,MATCH($F331,'CAT_TURNOS'!$A$4:$A$7,0)),"")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11">
        <f>IF($A332="","",DATE(VALUE(LEFT($A332,4)),1,4)-WEEKDAY(DATE(VALUE(LEFT($A332,4)),1,4),2)+1+(VALUE(MID($A332,7,2))-1)*7+MATCH($B332,lista_dias,0)-1)</f>
        <v/>
      </c>
      <c r="I332" s="3">
        <f>IF(OR($F332="",ISNUMBER(MATCH($F332,lista_no_disponible,0)),(IFERROR(INDEX('CALENDARIO'!$C$15:$C$214,MATCH(TEXT($H332,"yyyy-mm-dd")&amp;"|"&amp;$D332&amp;"|"&amp;"",'CALENDARIO'!$G$15:$G$214,0)),IFERROR(INDEX('CALENDARIO'!$C$15:$C$214,MATCH(TEXT($H332,"yyyy-mm-dd")&amp;"|"&amp;$D332&amp;"|",'CALENDARIO'!$G$15:$G$214,0)),IFERROR(INDEX('CALENDARIO'!$C$15:$C$214,MATCH(TEXT($H332,"yyyy-mm-dd")&amp;"||",'CALENDARIO'!$G$15:$G$214,0)),INDEX(patronHabil,WEEKDAY($H332,2))))))&lt;&gt;"sí"),0,p_horas_jornada)</f>
        <v/>
      </c>
      <c r="J332" s="3">
        <f>$A332&amp;"|"&amp;$B332&amp;"|"&amp;$C332</f>
        <v/>
      </c>
      <c r="K332" s="3">
        <f>IFERROR(INDEX('CAT_TURNOS'!$C$4:$C$7,MATCH($F332,'CAT_TURNOS'!$A$4:$A$7,0)),"")</f>
        <v/>
      </c>
      <c r="L332" s="3">
        <f>IFERROR(INDEX('CAT_TURNOS'!$D$4:$D$7,MATCH($F332,'CAT_TURNOS'!$A$4:$A$7,0)),"")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11">
        <f>IF($A333="","",DATE(VALUE(LEFT($A333,4)),1,4)-WEEKDAY(DATE(VALUE(LEFT($A333,4)),1,4),2)+1+(VALUE(MID($A333,7,2))-1)*7+MATCH($B333,lista_dias,0)-1)</f>
        <v/>
      </c>
      <c r="I333" s="3">
        <f>IF(OR($F333="",ISNUMBER(MATCH($F333,lista_no_disponible,0)),(IFERROR(INDEX('CALENDARIO'!$C$15:$C$214,MATCH(TEXT($H333,"yyyy-mm-dd")&amp;"|"&amp;$D333&amp;"|"&amp;"",'CALENDARIO'!$G$15:$G$214,0)),IFERROR(INDEX('CALENDARIO'!$C$15:$C$214,MATCH(TEXT($H333,"yyyy-mm-dd")&amp;"|"&amp;$D333&amp;"|",'CALENDARIO'!$G$15:$G$214,0)),IFERROR(INDEX('CALENDARIO'!$C$15:$C$214,MATCH(TEXT($H333,"yyyy-mm-dd")&amp;"||",'CALENDARIO'!$G$15:$G$214,0)),INDEX(patronHabil,WEEKDAY($H333,2))))))&lt;&gt;"sí"),0,p_horas_jornada)</f>
        <v/>
      </c>
      <c r="J333" s="3">
        <f>$A333&amp;"|"&amp;$B333&amp;"|"&amp;$C333</f>
        <v/>
      </c>
      <c r="K333" s="3">
        <f>IFERROR(INDEX('CAT_TURNOS'!$C$4:$C$7,MATCH($F333,'CAT_TURNOS'!$A$4:$A$7,0)),"")</f>
        <v/>
      </c>
      <c r="L333" s="3">
        <f>IFERROR(INDEX('CAT_TURNOS'!$D$4:$D$7,MATCH($F333,'CAT_TURNOS'!$A$4:$A$7,0)),"")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11">
        <f>IF($A334="","",DATE(VALUE(LEFT($A334,4)),1,4)-WEEKDAY(DATE(VALUE(LEFT($A334,4)),1,4),2)+1+(VALUE(MID($A334,7,2))-1)*7+MATCH($B334,lista_dias,0)-1)</f>
        <v/>
      </c>
      <c r="I334" s="3">
        <f>IF(OR($F334="",ISNUMBER(MATCH($F334,lista_no_disponible,0)),(IFERROR(INDEX('CALENDARIO'!$C$15:$C$214,MATCH(TEXT($H334,"yyyy-mm-dd")&amp;"|"&amp;$D334&amp;"|"&amp;"",'CALENDARIO'!$G$15:$G$214,0)),IFERROR(INDEX('CALENDARIO'!$C$15:$C$214,MATCH(TEXT($H334,"yyyy-mm-dd")&amp;"|"&amp;$D334&amp;"|",'CALENDARIO'!$G$15:$G$214,0)),IFERROR(INDEX('CALENDARIO'!$C$15:$C$214,MATCH(TEXT($H334,"yyyy-mm-dd")&amp;"||",'CALENDARIO'!$G$15:$G$214,0)),INDEX(patronHabil,WEEKDAY($H334,2))))))&lt;&gt;"sí"),0,p_horas_jornada)</f>
        <v/>
      </c>
      <c r="J334" s="3">
        <f>$A334&amp;"|"&amp;$B334&amp;"|"&amp;$C334</f>
        <v/>
      </c>
      <c r="K334" s="3">
        <f>IFERROR(INDEX('CAT_TURNOS'!$C$4:$C$7,MATCH($F334,'CAT_TURNOS'!$A$4:$A$7,0)),"")</f>
        <v/>
      </c>
      <c r="L334" s="3">
        <f>IFERROR(INDEX('CAT_TURNOS'!$D$4:$D$7,MATCH($F334,'CAT_TURNOS'!$A$4:$A$7,0)),"")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11">
        <f>IF($A335="","",DATE(VALUE(LEFT($A335,4)),1,4)-WEEKDAY(DATE(VALUE(LEFT($A335,4)),1,4),2)+1+(VALUE(MID($A335,7,2))-1)*7+MATCH($B335,lista_dias,0)-1)</f>
        <v/>
      </c>
      <c r="I335" s="3">
        <f>IF(OR($F335="",ISNUMBER(MATCH($F335,lista_no_disponible,0)),(IFERROR(INDEX('CALENDARIO'!$C$15:$C$214,MATCH(TEXT($H335,"yyyy-mm-dd")&amp;"|"&amp;$D335&amp;"|"&amp;"",'CALENDARIO'!$G$15:$G$214,0)),IFERROR(INDEX('CALENDARIO'!$C$15:$C$214,MATCH(TEXT($H335,"yyyy-mm-dd")&amp;"|"&amp;$D335&amp;"|",'CALENDARIO'!$G$15:$G$214,0)),IFERROR(INDEX('CALENDARIO'!$C$15:$C$214,MATCH(TEXT($H335,"yyyy-mm-dd")&amp;"||",'CALENDARIO'!$G$15:$G$214,0)),INDEX(patronHabil,WEEKDAY($H335,2))))))&lt;&gt;"sí"),0,p_horas_jornada)</f>
        <v/>
      </c>
      <c r="J335" s="3">
        <f>$A335&amp;"|"&amp;$B335&amp;"|"&amp;$C335</f>
        <v/>
      </c>
      <c r="K335" s="3">
        <f>IFERROR(INDEX('CAT_TURNOS'!$C$4:$C$7,MATCH($F335,'CAT_TURNOS'!$A$4:$A$7,0)),"")</f>
        <v/>
      </c>
      <c r="L335" s="3">
        <f>IFERROR(INDEX('CAT_TURNOS'!$D$4:$D$7,MATCH($F335,'CAT_TURNOS'!$A$4:$A$7,0)),"")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11">
        <f>IF($A336="","",DATE(VALUE(LEFT($A336,4)),1,4)-WEEKDAY(DATE(VALUE(LEFT($A336,4)),1,4),2)+1+(VALUE(MID($A336,7,2))-1)*7+MATCH($B336,lista_dias,0)-1)</f>
        <v/>
      </c>
      <c r="I336" s="3">
        <f>IF(OR($F336="",ISNUMBER(MATCH($F336,lista_no_disponible,0)),(IFERROR(INDEX('CALENDARIO'!$C$15:$C$214,MATCH(TEXT($H336,"yyyy-mm-dd")&amp;"|"&amp;$D336&amp;"|"&amp;"",'CALENDARIO'!$G$15:$G$214,0)),IFERROR(INDEX('CALENDARIO'!$C$15:$C$214,MATCH(TEXT($H336,"yyyy-mm-dd")&amp;"|"&amp;$D336&amp;"|",'CALENDARIO'!$G$15:$G$214,0)),IFERROR(INDEX('CALENDARIO'!$C$15:$C$214,MATCH(TEXT($H336,"yyyy-mm-dd")&amp;"||",'CALENDARIO'!$G$15:$G$214,0)),INDEX(patronHabil,WEEKDAY($H336,2))))))&lt;&gt;"sí"),0,p_horas_jornada)</f>
        <v/>
      </c>
      <c r="J336" s="3">
        <f>$A336&amp;"|"&amp;$B336&amp;"|"&amp;$C336</f>
        <v/>
      </c>
      <c r="K336" s="3">
        <f>IFERROR(INDEX('CAT_TURNOS'!$C$4:$C$7,MATCH($F336,'CAT_TURNOS'!$A$4:$A$7,0)),"")</f>
        <v/>
      </c>
      <c r="L336" s="3">
        <f>IFERROR(INDEX('CAT_TURNOS'!$D$4:$D$7,MATCH($F336,'CAT_TURNOS'!$A$4:$A$7,0)),"")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11">
        <f>IF($A337="","",DATE(VALUE(LEFT($A337,4)),1,4)-WEEKDAY(DATE(VALUE(LEFT($A337,4)),1,4),2)+1+(VALUE(MID($A337,7,2))-1)*7+MATCH($B337,lista_dias,0)-1)</f>
        <v/>
      </c>
      <c r="I337" s="3">
        <f>IF(OR($F337="",ISNUMBER(MATCH($F337,lista_no_disponible,0)),(IFERROR(INDEX('CALENDARIO'!$C$15:$C$214,MATCH(TEXT($H337,"yyyy-mm-dd")&amp;"|"&amp;$D337&amp;"|"&amp;"",'CALENDARIO'!$G$15:$G$214,0)),IFERROR(INDEX('CALENDARIO'!$C$15:$C$214,MATCH(TEXT($H337,"yyyy-mm-dd")&amp;"|"&amp;$D337&amp;"|",'CALENDARIO'!$G$15:$G$214,0)),IFERROR(INDEX('CALENDARIO'!$C$15:$C$214,MATCH(TEXT($H337,"yyyy-mm-dd")&amp;"||",'CALENDARIO'!$G$15:$G$214,0)),INDEX(patronHabil,WEEKDAY($H337,2))))))&lt;&gt;"sí"),0,p_horas_jornada)</f>
        <v/>
      </c>
      <c r="J337" s="3">
        <f>$A337&amp;"|"&amp;$B337&amp;"|"&amp;$C337</f>
        <v/>
      </c>
      <c r="K337" s="3">
        <f>IFERROR(INDEX('CAT_TURNOS'!$C$4:$C$7,MATCH($F337,'CAT_TURNOS'!$A$4:$A$7,0)),"")</f>
        <v/>
      </c>
      <c r="L337" s="3">
        <f>IFERROR(INDEX('CAT_TURNOS'!$D$4:$D$7,MATCH($F337,'CAT_TURNOS'!$A$4:$A$7,0)),"")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>
        <is>
          <t>T1</t>
        </is>
      </c>
      <c r="G338" s="3">
        <f>IFERROR(INDEX('TECNICOS'!$E$4:$E$15,MATCH($C338,'TECNICOS'!$B$4:$B$15,0)),"")</f>
        <v/>
      </c>
      <c r="H338" s="11">
        <f>IF($A338="","",DATE(VALUE(LEFT($A338,4)),1,4)-WEEKDAY(DATE(VALUE(LEFT($A338,4)),1,4),2)+1+(VALUE(MID($A338,7,2))-1)*7+MATCH($B338,lista_dias,0)-1)</f>
        <v/>
      </c>
      <c r="I338" s="3">
        <f>IF(OR($F338="",ISNUMBER(MATCH($F338,lista_no_disponible,0)),(IFERROR(INDEX('CALENDARIO'!$C$15:$C$214,MATCH(TEXT($H338,"yyyy-mm-dd")&amp;"|"&amp;$D338&amp;"|"&amp;"",'CALENDARIO'!$G$15:$G$214,0)),IFERROR(INDEX('CALENDARIO'!$C$15:$C$214,MATCH(TEXT($H338,"yyyy-mm-dd")&amp;"|"&amp;$D338&amp;"|",'CALENDARIO'!$G$15:$G$214,0)),IFERROR(INDEX('CALENDARIO'!$C$15:$C$214,MATCH(TEXT($H338,"yyyy-mm-dd")&amp;"||",'CALENDARIO'!$G$15:$G$214,0)),INDEX(patronHabil,WEEKDAY($H338,2))))))&lt;&gt;"sí"),0,p_horas_jornada)</f>
        <v/>
      </c>
      <c r="J338" s="3">
        <f>$A338&amp;"|"&amp;$B338&amp;"|"&amp;$C338</f>
        <v/>
      </c>
      <c r="K338" s="3">
        <f>IFERROR(INDEX('CAT_TURNOS'!$C$4:$C$7,MATCH($F338,'CAT_TURNOS'!$A$4:$A$7,0)),"")</f>
        <v/>
      </c>
      <c r="L338" s="3">
        <f>IFERROR(INDEX('CAT_TURNOS'!$D$4:$D$7,MATCH($F338,'CAT_TURNOS'!$A$4:$A$7,0)),"")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11">
        <f>IF($A339="","",DATE(VALUE(LEFT($A339,4)),1,4)-WEEKDAY(DATE(VALUE(LEFT($A339,4)),1,4),2)+1+(VALUE(MID($A339,7,2))-1)*7+MATCH($B339,lista_dias,0)-1)</f>
        <v/>
      </c>
      <c r="I339" s="3">
        <f>IF(OR($F339="",ISNUMBER(MATCH($F339,lista_no_disponible,0)),(IFERROR(INDEX('CALENDARIO'!$C$15:$C$214,MATCH(TEXT($H339,"yyyy-mm-dd")&amp;"|"&amp;$D339&amp;"|"&amp;"",'CALENDARIO'!$G$15:$G$214,0)),IFERROR(INDEX('CALENDARIO'!$C$15:$C$214,MATCH(TEXT($H339,"yyyy-mm-dd")&amp;"|"&amp;$D339&amp;"|",'CALENDARIO'!$G$15:$G$214,0)),IFERROR(INDEX('CALENDARIO'!$C$15:$C$214,MATCH(TEXT($H339,"yyyy-mm-dd")&amp;"||",'CALENDARIO'!$G$15:$G$214,0)),INDEX(patronHabil,WEEKDAY($H339,2))))))&lt;&gt;"sí"),0,p_horas_jornada)</f>
        <v/>
      </c>
      <c r="J339" s="3">
        <f>$A339&amp;"|"&amp;$B339&amp;"|"&amp;$C339</f>
        <v/>
      </c>
      <c r="K339" s="3">
        <f>IFERROR(INDEX('CAT_TURNOS'!$C$4:$C$7,MATCH($F339,'CAT_TURNOS'!$A$4:$A$7,0)),"")</f>
        <v/>
      </c>
      <c r="L339" s="3">
        <f>IFERROR(INDEX('CAT_TURNOS'!$D$4:$D$7,MATCH($F339,'CAT_TURNOS'!$A$4:$A$7,0)),"")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46225</v>
      </c>
      <c r="E4" s="3">
        <f>IF($A4="","",IFERROR(INDEX('ORDENES'!$D$4:$D$1203,MATCH($A4,'ORDENES'!$AQ$4:$AQ$1203,0)),"(no encontrada)"))</f>
        <v/>
      </c>
      <c r="F4" s="3">
        <f>IF($A4="","",IF(ISNA(MATCH($A4,'ORDENES'!$AQ$4:$AQ$1203,0)),"huérfano",IF(COUNTIF($A$4:$A4,$A4)&gt;1,"duplicado (se ignora)","aplicado")))</f>
        <v/>
      </c>
      <c r="G4" s="16">
        <f>IF($F4&lt;&gt;"aplicado","",IF(IFERROR(INDEX('ORDENES'!$K$4:$K$1203,MATCH($A4,'ORDENES'!$AQ$4:$AQ$1203,0)),"")="","",$B4-IFERROR(INDEX('ORDENES'!$K$4:$K$1203,MATCH($A4,'ORDENES'!$AQ$4:$AQ$1203,0)),"")))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46225</v>
      </c>
      <c r="E5" s="3">
        <f>IF($A5="","",IFERROR(INDEX('ORDENES'!$D$4:$D$1203,MATCH($A5,'ORDENES'!$AQ$4:$AQ$1203,0)),"(no encontrada)"))</f>
        <v/>
      </c>
      <c r="F5" s="3">
        <f>IF($A5="","",IF(ISNA(MATCH($A5,'ORDENES'!$AQ$4:$AQ$1203,0)),"huérfano",IF(COUNTIF($A$4:$A5,$A5)&gt;1,"duplicado (se ignora)","aplicado")))</f>
        <v/>
      </c>
      <c r="G5" s="16">
        <f>IF($F5&lt;&gt;"aplicado","",IF(IFERROR(INDEX('ORDENES'!$K$4:$K$1203,MATCH($A5,'ORDENES'!$AQ$4:$AQ$1203,0)),"")="","",$B5-IFERROR(INDEX('ORDENES'!$K$4:$K$1203,MATCH($A5,'ORDENES'!$AQ$4:$AQ$1203,0)),"")))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46225</v>
      </c>
      <c r="E6" s="3">
        <f>IF($A6="","",IFERROR(INDEX('ORDENES'!$D$4:$D$1203,MATCH($A6,'ORDENES'!$AQ$4:$AQ$1203,0)),"(no encontrada)"))</f>
        <v/>
      </c>
      <c r="F6" s="3">
        <f>IF($A6="","",IF(ISNA(MATCH($A6,'ORDENES'!$AQ$4:$AQ$1203,0)),"huérfano",IF(COUNTIF($A$4:$A6,$A6)&gt;1,"duplicado (se ignora)","aplicado")))</f>
        <v/>
      </c>
      <c r="G6" s="16">
        <f>IF($F6&lt;&gt;"aplicado","",IF(IFERROR(INDEX('ORDENES'!$K$4:$K$1203,MATCH($A6,'ORDENES'!$AQ$4:$AQ$1203,0)),"")="","",$B6-IFERROR(INDEX('ORDENES'!$K$4:$K$1203,MATCH($A6,'ORDENES'!$AQ$4:$AQ$1203,0)),"")))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46225</v>
      </c>
      <c r="E7" s="3">
        <f>IF($A7="","",IFERROR(INDEX('ORDENES'!$D$4:$D$1203,MATCH($A7,'ORDENES'!$AQ$4:$AQ$1203,0)),"(no encontrada)"))</f>
        <v/>
      </c>
      <c r="F7" s="3">
        <f>IF($A7="","",IF(ISNA(MATCH($A7,'ORDENES'!$AQ$4:$AQ$1203,0)),"huérfano",IF(COUNTIF($A$4:$A7,$A7)&gt;1,"duplicado (se ignora)","aplicado")))</f>
        <v/>
      </c>
      <c r="G7" s="16">
        <f>IF($F7&lt;&gt;"aplicado","",IF(IFERROR(INDEX('ORDENES'!$K$4:$K$1203,MATCH($A7,'ORDENES'!$AQ$4:$AQ$1203,0)),"")="","",$B7-IFERROR(INDEX('ORDENES'!$K$4:$K$1203,MATCH($A7,'ORDENES'!$AQ$4:$AQ$1203,0)),"")))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IF($A8="","",IFERROR(INDEX('ORDENES'!$D$4:$D$1203,MATCH($A8,'ORDENES'!$AQ$4:$AQ$1203,0)),"(no encontrada)"))</f>
        <v/>
      </c>
      <c r="F8" s="3">
        <f>IF($A8="","",IF(ISNA(MATCH($A8,'ORDENES'!$AQ$4:$AQ$1203,0)),"huérfano",IF(COUNTIF($A$4:$A8,$A8)&gt;1,"duplicado (se ignora)","aplicado")))</f>
        <v/>
      </c>
      <c r="G8" s="16">
        <f>IF($F8&lt;&gt;"aplicado","",IF(IFERROR(INDEX('ORDENES'!$K$4:$K$1203,MATCH($A8,'ORDENES'!$AQ$4:$AQ$1203,0)),"")="","",$B8-IFERROR(INDEX('ORDENES'!$K$4:$K$1203,MATCH($A8,'ORDENES'!$AQ$4:$AQ$1203,0)),"")))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IF($A9="","",IFERROR(INDEX('ORDENES'!$D$4:$D$1203,MATCH($A9,'ORDENES'!$AQ$4:$AQ$1203,0)),"(no encontrada)"))</f>
        <v/>
      </c>
      <c r="F9" s="3">
        <f>IF($A9="","",IF(ISNA(MATCH($A9,'ORDENES'!$AQ$4:$AQ$1203,0)),"huérfano",IF(COUNTIF($A$4:$A9,$A9)&gt;1,"duplicado (se ignora)","aplicado")))</f>
        <v/>
      </c>
      <c r="G9" s="16">
        <f>IF($F9&lt;&gt;"aplicado","",IF(IFERROR(INDEX('ORDENES'!$K$4:$K$1203,MATCH($A9,'ORDENES'!$AQ$4:$AQ$1203,0)),"")="","",$B9-IFERROR(INDEX('ORDENES'!$K$4:$K$1203,MATCH($A9,'ORDENES'!$AQ$4:$AQ$1203,0)),"")))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IF($A10="","",IFERROR(INDEX('ORDENES'!$D$4:$D$1203,MATCH($A10,'ORDENES'!$AQ$4:$AQ$1203,0)),"(no encontrada)"))</f>
        <v/>
      </c>
      <c r="F10" s="3">
        <f>IF($A10="","",IF(ISNA(MATCH($A10,'ORDENES'!$AQ$4:$AQ$1203,0)),"huérfano",IF(COUNTIF($A$4:$A10,$A10)&gt;1,"duplicado (se ignora)","aplicado")))</f>
        <v/>
      </c>
      <c r="G10" s="16">
        <f>IF($F10&lt;&gt;"aplicado","",IF(IFERROR(INDEX('ORDENES'!$K$4:$K$1203,MATCH($A10,'ORDENES'!$AQ$4:$AQ$1203,0)),"")="","",$B10-IFERROR(INDEX('ORDENES'!$K$4:$K$1203,MATCH($A10,'ORDENES'!$AQ$4:$AQ$1203,0)),"")))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IF($A11="","",IFERROR(INDEX('ORDENES'!$D$4:$D$1203,MATCH($A11,'ORDENES'!$AQ$4:$AQ$1203,0)),"(no encontrada)"))</f>
        <v/>
      </c>
      <c r="F11" s="3">
        <f>IF($A11="","",IF(ISNA(MATCH($A11,'ORDENES'!$AQ$4:$AQ$1203,0)),"huérfano",IF(COUNTIF($A$4:$A11,$A11)&gt;1,"duplicado (se ignora)","aplicado")))</f>
        <v/>
      </c>
      <c r="G11" s="16">
        <f>IF($F11&lt;&gt;"aplicado","",IF(IFERROR(INDEX('ORDENES'!$K$4:$K$1203,MATCH($A11,'ORDENES'!$AQ$4:$AQ$1203,0)),"")="","",$B11-IFERROR(INDEX('ORDENES'!$K$4:$K$1203,MATCH($A11,'ORDENES'!$AQ$4:$AQ$1203,0)),"")))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IF($A12="","",IFERROR(INDEX('ORDENES'!$D$4:$D$1203,MATCH($A12,'ORDENES'!$AQ$4:$AQ$1203,0)),"(no encontrada)"))</f>
        <v/>
      </c>
      <c r="F12" s="3">
        <f>IF($A12="","",IF(ISNA(MATCH($A12,'ORDENES'!$AQ$4:$AQ$1203,0)),"huérfano",IF(COUNTIF($A$4:$A12,$A12)&gt;1,"duplicado (se ignora)","aplicado")))</f>
        <v/>
      </c>
      <c r="G12" s="16">
        <f>IF($F12&lt;&gt;"aplicado","",IF(IFERROR(INDEX('ORDENES'!$K$4:$K$1203,MATCH($A12,'ORDENES'!$AQ$4:$AQ$1203,0)),"")="","",$B12-IFERROR(INDEX('ORDENES'!$K$4:$K$1203,MATCH($A12,'ORDENES'!$AQ$4:$AQ$1203,0)),"")))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IF($A13="","",IFERROR(INDEX('ORDENES'!$D$4:$D$1203,MATCH($A13,'ORDENES'!$AQ$4:$AQ$1203,0)),"(no encontrada)"))</f>
        <v/>
      </c>
      <c r="F13" s="3">
        <f>IF($A13="","",IF(ISNA(MATCH($A13,'ORDENES'!$AQ$4:$AQ$1203,0)),"huérfano",IF(COUNTIF($A$4:$A13,$A13)&gt;1,"duplicado (se ignora)","aplicado")))</f>
        <v/>
      </c>
      <c r="G13" s="16">
        <f>IF($F13&lt;&gt;"aplicado","",IF(IFERROR(INDEX('ORDENES'!$K$4:$K$1203,MATCH($A13,'ORDENES'!$AQ$4:$AQ$1203,0)),"")="","",$B13-IFERROR(INDEX('ORDENES'!$K$4:$K$1203,MATCH($A13,'ORDENES'!$AQ$4:$AQ$1203,0)),"")))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IF($A14="","",IFERROR(INDEX('ORDENES'!$D$4:$D$1203,MATCH($A14,'ORDENES'!$AQ$4:$AQ$1203,0)),"(no encontrada)"))</f>
        <v/>
      </c>
      <c r="F14" s="3">
        <f>IF($A14="","",IF(ISNA(MATCH($A14,'ORDENES'!$AQ$4:$AQ$1203,0)),"huérfano",IF(COUNTIF($A$4:$A14,$A14)&gt;1,"duplicado (se ignora)","aplicado")))</f>
        <v/>
      </c>
      <c r="G14" s="16">
        <f>IF($F14&lt;&gt;"aplicado","",IF(IFERROR(INDEX('ORDENES'!$K$4:$K$1203,MATCH($A14,'ORDENES'!$AQ$4:$AQ$1203,0)),"")="","",$B14-IFERROR(INDEX('ORDENES'!$K$4:$K$1203,MATCH($A14,'ORDENES'!$AQ$4:$AQ$1203,0)),"")))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IF($A15="","",IFERROR(INDEX('ORDENES'!$D$4:$D$1203,MATCH($A15,'ORDENES'!$AQ$4:$AQ$1203,0)),"(no encontrada)"))</f>
        <v/>
      </c>
      <c r="F15" s="3">
        <f>IF($A15="","",IF(ISNA(MATCH($A15,'ORDENES'!$AQ$4:$AQ$1203,0)),"huérfano",IF(COUNTIF($A$4:$A15,$A15)&gt;1,"duplicado (se ignora)","aplicado")))</f>
        <v/>
      </c>
      <c r="G15" s="16">
        <f>IF($F15&lt;&gt;"aplicado","",IF(IFERROR(INDEX('ORDENES'!$K$4:$K$1203,MATCH($A15,'ORDENES'!$AQ$4:$AQ$1203,0)),"")="","",$B15-IFERROR(INDEX('ORDENES'!$K$4:$K$1203,MATCH($A15,'ORDENES'!$AQ$4:$AQ$1203,0)),"")))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IF($A16="","",IFERROR(INDEX('ORDENES'!$D$4:$D$1203,MATCH($A16,'ORDENES'!$AQ$4:$AQ$1203,0)),"(no encontrada)"))</f>
        <v/>
      </c>
      <c r="F16" s="3">
        <f>IF($A16="","",IF(ISNA(MATCH($A16,'ORDENES'!$AQ$4:$AQ$1203,0)),"huérfano",IF(COUNTIF($A$4:$A16,$A16)&gt;1,"duplicado (se ignora)","aplicado")))</f>
        <v/>
      </c>
      <c r="G16" s="16">
        <f>IF($F16&lt;&gt;"aplicado","",IF(IFERROR(INDEX('ORDENES'!$K$4:$K$1203,MATCH($A16,'ORDENES'!$AQ$4:$AQ$1203,0)),"")="","",$B16-IFERROR(INDEX('ORDENES'!$K$4:$K$1203,MATCH($A16,'ORDENES'!$AQ$4:$AQ$1203,0)),"")))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IF($A17="","",IFERROR(INDEX('ORDENES'!$D$4:$D$1203,MATCH($A17,'ORDENES'!$AQ$4:$AQ$1203,0)),"(no encontrada)"))</f>
        <v/>
      </c>
      <c r="F17" s="3">
        <f>IF($A17="","",IF(ISNA(MATCH($A17,'ORDENES'!$AQ$4:$AQ$1203,0)),"huérfano",IF(COUNTIF($A$4:$A17,$A17)&gt;1,"duplicado (se ignora)","aplicado")))</f>
        <v/>
      </c>
      <c r="G17" s="16">
        <f>IF($F17&lt;&gt;"aplicado","",IF(IFERROR(INDEX('ORDENES'!$K$4:$K$1203,MATCH($A17,'ORDENES'!$AQ$4:$AQ$1203,0)),"")="","",$B17-IFERROR(INDEX('ORDENES'!$K$4:$K$1203,MATCH($A17,'ORDENES'!$AQ$4:$AQ$1203,0)),"")))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IF($A18="","",IFERROR(INDEX('ORDENES'!$D$4:$D$1203,MATCH($A18,'ORDENES'!$AQ$4:$AQ$1203,0)),"(no encontrada)"))</f>
        <v/>
      </c>
      <c r="F18" s="3">
        <f>IF($A18="","",IF(ISNA(MATCH($A18,'ORDENES'!$AQ$4:$AQ$1203,0)),"huérfano",IF(COUNTIF($A$4:$A18,$A18)&gt;1,"duplicado (se ignora)","aplicado")))</f>
        <v/>
      </c>
      <c r="G18" s="16">
        <f>IF($F18&lt;&gt;"aplicado","",IF(IFERROR(INDEX('ORDENES'!$K$4:$K$1203,MATCH($A18,'ORDENES'!$AQ$4:$AQ$1203,0)),"")="","",$B18-IFERROR(INDEX('ORDENES'!$K$4:$K$1203,MATCH($A18,'ORDENES'!$AQ$4:$AQ$1203,0)),"")))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IF($A19="","",IFERROR(INDEX('ORDENES'!$D$4:$D$1203,MATCH($A19,'ORDENES'!$AQ$4:$AQ$1203,0)),"(no encontrada)"))</f>
        <v/>
      </c>
      <c r="F19" s="3">
        <f>IF($A19="","",IF(ISNA(MATCH($A19,'ORDENES'!$AQ$4:$AQ$1203,0)),"huérfano",IF(COUNTIF($A$4:$A19,$A19)&gt;1,"duplicado (se ignora)","aplicado")))</f>
        <v/>
      </c>
      <c r="G19" s="16">
        <f>IF($F19&lt;&gt;"aplicado","",IF(IFERROR(INDEX('ORDENES'!$K$4:$K$1203,MATCH($A19,'ORDENES'!$AQ$4:$AQ$1203,0)),"")="","",$B19-IFERROR(INDEX('ORDENES'!$K$4:$K$1203,MATCH($A19,'ORDENES'!$AQ$4:$AQ$1203,0)),"")))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IF($A20="","",IFERROR(INDEX('ORDENES'!$D$4:$D$1203,MATCH($A20,'ORDENES'!$AQ$4:$AQ$1203,0)),"(no encontrada)"))</f>
        <v/>
      </c>
      <c r="F20" s="3">
        <f>IF($A20="","",IF(ISNA(MATCH($A20,'ORDENES'!$AQ$4:$AQ$1203,0)),"huérfano",IF(COUNTIF($A$4:$A20,$A20)&gt;1,"duplicado (se ignora)","aplicado")))</f>
        <v/>
      </c>
      <c r="G20" s="16">
        <f>IF($F20&lt;&gt;"aplicado","",IF(IFERROR(INDEX('ORDENES'!$K$4:$K$1203,MATCH($A20,'ORDENES'!$AQ$4:$AQ$1203,0)),"")="","",$B20-IFERROR(INDEX('ORDENES'!$K$4:$K$1203,MATCH($A20,'ORDENES'!$AQ$4:$AQ$1203,0)),"")))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IF($A21="","",IFERROR(INDEX('ORDENES'!$D$4:$D$1203,MATCH($A21,'ORDENES'!$AQ$4:$AQ$1203,0)),"(no encontrada)"))</f>
        <v/>
      </c>
      <c r="F21" s="3">
        <f>IF($A21="","",IF(ISNA(MATCH($A21,'ORDENES'!$AQ$4:$AQ$1203,0)),"huérfano",IF(COUNTIF($A$4:$A21,$A21)&gt;1,"duplicado (se ignora)","aplicado")))</f>
        <v/>
      </c>
      <c r="G21" s="16">
        <f>IF($F21&lt;&gt;"aplicado","",IF(IFERROR(INDEX('ORDENES'!$K$4:$K$1203,MATCH($A21,'ORDENES'!$AQ$4:$AQ$1203,0)),"")="","",$B21-IFERROR(INDEX('ORDENES'!$K$4:$K$1203,MATCH($A21,'ORDENES'!$AQ$4:$AQ$1203,0)),"")))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IF($A22="","",IFERROR(INDEX('ORDENES'!$D$4:$D$1203,MATCH($A22,'ORDENES'!$AQ$4:$AQ$1203,0)),"(no encontrada)"))</f>
        <v/>
      </c>
      <c r="F22" s="3">
        <f>IF($A22="","",IF(ISNA(MATCH($A22,'ORDENES'!$AQ$4:$AQ$1203,0)),"huérfano",IF(COUNTIF($A$4:$A22,$A22)&gt;1,"duplicado (se ignora)","aplicado")))</f>
        <v/>
      </c>
      <c r="G22" s="16">
        <f>IF($F22&lt;&gt;"aplicado","",IF(IFERROR(INDEX('ORDENES'!$K$4:$K$1203,MATCH($A22,'ORDENES'!$AQ$4:$AQ$1203,0)),"")="","",$B22-IFERROR(INDEX('ORDENES'!$K$4:$K$1203,MATCH($A22,'ORDENES'!$AQ$4:$AQ$1203,0)),"")))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IF($A23="","",IFERROR(INDEX('ORDENES'!$D$4:$D$1203,MATCH($A23,'ORDENES'!$AQ$4:$AQ$1203,0)),"(no encontrada)"))</f>
        <v/>
      </c>
      <c r="F23" s="3">
        <f>IF($A23="","",IF(ISNA(MATCH($A23,'ORDENES'!$AQ$4:$AQ$1203,0)),"huérfano",IF(COUNTIF($A$4:$A23,$A23)&gt;1,"duplicado (se ignora)","aplicado")))</f>
        <v/>
      </c>
      <c r="G23" s="16">
        <f>IF($F23&lt;&gt;"aplicado","",IF(IFERROR(INDEX('ORDENES'!$K$4:$K$1203,MATCH($A23,'ORDENES'!$AQ$4:$AQ$1203,0)),"")="","",$B23-IFERROR(INDEX('ORDENES'!$K$4:$K$1203,MATCH($A23,'ORDENES'!$AQ$4:$AQ$1203,0)),"")))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IF($A24="","",IFERROR(INDEX('ORDENES'!$D$4:$D$1203,MATCH($A24,'ORDENES'!$AQ$4:$AQ$1203,0)),"(no encontrada)"))</f>
        <v/>
      </c>
      <c r="F24" s="3">
        <f>IF($A24="","",IF(ISNA(MATCH($A24,'ORDENES'!$AQ$4:$AQ$1203,0)),"huérfano",IF(COUNTIF($A$4:$A24,$A24)&gt;1,"duplicado (se ignora)","aplicado")))</f>
        <v/>
      </c>
      <c r="G24" s="16">
        <f>IF($F24&lt;&gt;"aplicado","",IF(IFERROR(INDEX('ORDENES'!$K$4:$K$1203,MATCH($A24,'ORDENES'!$AQ$4:$AQ$1203,0)),"")="","",$B24-IFERROR(INDEX('ORDENES'!$K$4:$K$1203,MATCH($A24,'ORDENES'!$AQ$4:$AQ$1203,0)),"")))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IF($A25="","",IFERROR(INDEX('ORDENES'!$D$4:$D$1203,MATCH($A25,'ORDENES'!$AQ$4:$AQ$1203,0)),"(no encontrada)"))</f>
        <v/>
      </c>
      <c r="F25" s="3">
        <f>IF($A25="","",IF(ISNA(MATCH($A25,'ORDENES'!$AQ$4:$AQ$1203,0)),"huérfano",IF(COUNTIF($A$4:$A25,$A25)&gt;1,"duplicado (se ignora)","aplicado")))</f>
        <v/>
      </c>
      <c r="G25" s="16">
        <f>IF($F25&lt;&gt;"aplicado","",IF(IFERROR(INDEX('ORDENES'!$K$4:$K$1203,MATCH($A25,'ORDENES'!$AQ$4:$AQ$1203,0)),"")="","",$B25-IFERROR(INDEX('ORDENES'!$K$4:$K$1203,MATCH($A25,'ORDENES'!$AQ$4:$AQ$1203,0)),"")))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IF($A26="","",IFERROR(INDEX('ORDENES'!$D$4:$D$1203,MATCH($A26,'ORDENES'!$AQ$4:$AQ$1203,0)),"(no encontrada)"))</f>
        <v/>
      </c>
      <c r="F26" s="3">
        <f>IF($A26="","",IF(ISNA(MATCH($A26,'ORDENES'!$AQ$4:$AQ$1203,0)),"huérfano",IF(COUNTIF($A$4:$A26,$A26)&gt;1,"duplicado (se ignora)","aplicado")))</f>
        <v/>
      </c>
      <c r="G26" s="16">
        <f>IF($F26&lt;&gt;"aplicado","",IF(IFERROR(INDEX('ORDENES'!$K$4:$K$1203,MATCH($A26,'ORDENES'!$AQ$4:$AQ$1203,0)),"")="","",$B26-IFERROR(INDEX('ORDENES'!$K$4:$K$1203,MATCH($A26,'ORDENES'!$AQ$4:$AQ$1203,0)),"")))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IF($A27="","",IFERROR(INDEX('ORDENES'!$D$4:$D$1203,MATCH($A27,'ORDENES'!$AQ$4:$AQ$1203,0)),"(no encontrada)"))</f>
        <v/>
      </c>
      <c r="F27" s="3">
        <f>IF($A27="","",IF(ISNA(MATCH($A27,'ORDENES'!$AQ$4:$AQ$1203,0)),"huérfano",IF(COUNTIF($A$4:$A27,$A27)&gt;1,"duplicado (se ignora)","aplicado")))</f>
        <v/>
      </c>
      <c r="G27" s="16">
        <f>IF($F27&lt;&gt;"aplicado","",IF(IFERROR(INDEX('ORDENES'!$K$4:$K$1203,MATCH($A27,'ORDENES'!$AQ$4:$AQ$1203,0)),"")="","",$B27-IFERROR(INDEX('ORDENES'!$K$4:$K$1203,MATCH($A27,'ORDENES'!$AQ$4:$AQ$1203,0)),"")))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IF($A28="","",IFERROR(INDEX('ORDENES'!$D$4:$D$1203,MATCH($A28,'ORDENES'!$AQ$4:$AQ$1203,0)),"(no encontrada)"))</f>
        <v/>
      </c>
      <c r="F28" s="3">
        <f>IF($A28="","",IF(ISNA(MATCH($A28,'ORDENES'!$AQ$4:$AQ$1203,0)),"huérfano",IF(COUNTIF($A$4:$A28,$A28)&gt;1,"duplicado (se ignora)","aplicado")))</f>
        <v/>
      </c>
      <c r="G28" s="16">
        <f>IF($F28&lt;&gt;"aplicado","",IF(IFERROR(INDEX('ORDENES'!$K$4:$K$1203,MATCH($A28,'ORDENES'!$AQ$4:$AQ$1203,0)),"")="","",$B28-IFERROR(INDEX('ORDENES'!$K$4:$K$1203,MATCH($A28,'ORDENES'!$AQ$4:$AQ$1203,0)),"")))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IF($A29="","",IFERROR(INDEX('ORDENES'!$D$4:$D$1203,MATCH($A29,'ORDENES'!$AQ$4:$AQ$1203,0)),"(no encontrada)"))</f>
        <v/>
      </c>
      <c r="F29" s="3">
        <f>IF($A29="","",IF(ISNA(MATCH($A29,'ORDENES'!$AQ$4:$AQ$1203,0)),"huérfano",IF(COUNTIF($A$4:$A29,$A29)&gt;1,"duplicado (se ignora)","aplicado")))</f>
        <v/>
      </c>
      <c r="G29" s="16">
        <f>IF($F29&lt;&gt;"aplicado","",IF(IFERROR(INDEX('ORDENES'!$K$4:$K$1203,MATCH($A29,'ORDENES'!$AQ$4:$AQ$1203,0)),"")="","",$B29-IFERROR(INDEX('ORDENES'!$K$4:$K$1203,MATCH($A29,'ORDENES'!$AQ$4:$AQ$1203,0)),"")))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IF($A30="","",IFERROR(INDEX('ORDENES'!$D$4:$D$1203,MATCH($A30,'ORDENES'!$AQ$4:$AQ$1203,0)),"(no encontrada)"))</f>
        <v/>
      </c>
      <c r="F30" s="3">
        <f>IF($A30="","",IF(ISNA(MATCH($A30,'ORDENES'!$AQ$4:$AQ$1203,0)),"huérfano",IF(COUNTIF($A$4:$A30,$A30)&gt;1,"duplicado (se ignora)","aplicado")))</f>
        <v/>
      </c>
      <c r="G30" s="16">
        <f>IF($F30&lt;&gt;"aplicado","",IF(IFERROR(INDEX('ORDENES'!$K$4:$K$1203,MATCH($A30,'ORDENES'!$AQ$4:$AQ$1203,0)),"")="","",$B30-IFERROR(INDEX('ORDENES'!$K$4:$K$1203,MATCH($A30,'ORDENES'!$AQ$4:$AQ$1203,0)),"")))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IF($A31="","",IFERROR(INDEX('ORDENES'!$D$4:$D$1203,MATCH($A31,'ORDENES'!$AQ$4:$AQ$1203,0)),"(no encontrada)"))</f>
        <v/>
      </c>
      <c r="F31" s="3">
        <f>IF($A31="","",IF(ISNA(MATCH($A31,'ORDENES'!$AQ$4:$AQ$1203,0)),"huérfano",IF(COUNTIF($A$4:$A31,$A31)&gt;1,"duplicado (se ignora)","aplicado")))</f>
        <v/>
      </c>
      <c r="G31" s="16">
        <f>IF($F31&lt;&gt;"aplicado","",IF(IFERROR(INDEX('ORDENES'!$K$4:$K$1203,MATCH($A31,'ORDENES'!$AQ$4:$AQ$1203,0)),"")="","",$B31-IFERROR(INDEX('ORDENES'!$K$4:$K$1203,MATCH($A31,'ORDENES'!$AQ$4:$AQ$1203,0)),"")))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IF($A32="","",IFERROR(INDEX('ORDENES'!$D$4:$D$1203,MATCH($A32,'ORDENES'!$AQ$4:$AQ$1203,0)),"(no encontrada)"))</f>
        <v/>
      </c>
      <c r="F32" s="3">
        <f>IF($A32="","",IF(ISNA(MATCH($A32,'ORDENES'!$AQ$4:$AQ$1203,0)),"huérfano",IF(COUNTIF($A$4:$A32,$A32)&gt;1,"duplicado (se ignora)","aplicado")))</f>
        <v/>
      </c>
      <c r="G32" s="16">
        <f>IF($F32&lt;&gt;"aplicado","",IF(IFERROR(INDEX('ORDENES'!$K$4:$K$1203,MATCH($A32,'ORDENES'!$AQ$4:$AQ$1203,0)),"")="","",$B32-IFERROR(INDEX('ORDENES'!$K$4:$K$1203,MATCH($A32,'ORDENES'!$AQ$4:$AQ$1203,0)),"")))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IF($A33="","",IFERROR(INDEX('ORDENES'!$D$4:$D$1203,MATCH($A33,'ORDENES'!$AQ$4:$AQ$1203,0)),"(no encontrada)"))</f>
        <v/>
      </c>
      <c r="F33" s="3">
        <f>IF($A33="","",IF(ISNA(MATCH($A33,'ORDENES'!$AQ$4:$AQ$1203,0)),"huérfano",IF(COUNTIF($A$4:$A33,$A33)&gt;1,"duplicado (se ignora)","aplicado")))</f>
        <v/>
      </c>
      <c r="G33" s="16">
        <f>IF($F33&lt;&gt;"aplicado","",IF(IFERROR(INDEX('ORDENES'!$K$4:$K$1203,MATCH($A33,'ORDENES'!$AQ$4:$AQ$1203,0)),"")="","",$B33-IFERROR(INDEX('ORDENES'!$K$4:$K$1203,MATCH($A33,'ORDENES'!$AQ$4:$AQ$1203,0)),"")))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IF($A34="","",IFERROR(INDEX('ORDENES'!$D$4:$D$1203,MATCH($A34,'ORDENES'!$AQ$4:$AQ$1203,0)),"(no encontrada)"))</f>
        <v/>
      </c>
      <c r="F34" s="3">
        <f>IF($A34="","",IF(ISNA(MATCH($A34,'ORDENES'!$AQ$4:$AQ$1203,0)),"huérfano",IF(COUNTIF($A$4:$A34,$A34)&gt;1,"duplicado (se ignora)","aplicado")))</f>
        <v/>
      </c>
      <c r="G34" s="16">
        <f>IF($F34&lt;&gt;"aplicado","",IF(IFERROR(INDEX('ORDENES'!$K$4:$K$1203,MATCH($A34,'ORDENES'!$AQ$4:$AQ$1203,0)),"")="","",$B34-IFERROR(INDEX('ORDENES'!$K$4:$K$1203,MATCH($A34,'ORDENES'!$AQ$4:$AQ$1203,0)),"")))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IF($A35="","",IFERROR(INDEX('ORDENES'!$D$4:$D$1203,MATCH($A35,'ORDENES'!$AQ$4:$AQ$1203,0)),"(no encontrada)"))</f>
        <v/>
      </c>
      <c r="F35" s="3">
        <f>IF($A35="","",IF(ISNA(MATCH($A35,'ORDENES'!$AQ$4:$AQ$1203,0)),"huérfano",IF(COUNTIF($A$4:$A35,$A35)&gt;1,"duplicado (se ignora)","aplicado")))</f>
        <v/>
      </c>
      <c r="G35" s="16">
        <f>IF($F35&lt;&gt;"aplicado","",IF(IFERROR(INDEX('ORDENES'!$K$4:$K$1203,MATCH($A35,'ORDENES'!$AQ$4:$AQ$1203,0)),"")="","",$B35-IFERROR(INDEX('ORDENES'!$K$4:$K$1203,MATCH($A35,'ORDENES'!$AQ$4:$AQ$1203,0)),"")))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IF($A36="","",IFERROR(INDEX('ORDENES'!$D$4:$D$1203,MATCH($A36,'ORDENES'!$AQ$4:$AQ$1203,0)),"(no encontrada)"))</f>
        <v/>
      </c>
      <c r="F36" s="3">
        <f>IF($A36="","",IF(ISNA(MATCH($A36,'ORDENES'!$AQ$4:$AQ$1203,0)),"huérfano",IF(COUNTIF($A$4:$A36,$A36)&gt;1,"duplicado (se ignora)","aplicado")))</f>
        <v/>
      </c>
      <c r="G36" s="16">
        <f>IF($F36&lt;&gt;"aplicado","",IF(IFERROR(INDEX('ORDENES'!$K$4:$K$1203,MATCH($A36,'ORDENES'!$AQ$4:$AQ$1203,0)),"")="","",$B36-IFERROR(INDEX('ORDENES'!$K$4:$K$1203,MATCH($A36,'ORDENES'!$AQ$4:$AQ$1203,0)),"")))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IF($A37="","",IFERROR(INDEX('ORDENES'!$D$4:$D$1203,MATCH($A37,'ORDENES'!$AQ$4:$AQ$1203,0)),"(no encontrada)"))</f>
        <v/>
      </c>
      <c r="F37" s="3">
        <f>IF($A37="","",IF(ISNA(MATCH($A37,'ORDENES'!$AQ$4:$AQ$1203,0)),"huérfano",IF(COUNTIF($A$4:$A37,$A37)&gt;1,"duplicado (se ignora)","aplicado")))</f>
        <v/>
      </c>
      <c r="G37" s="16">
        <f>IF($F37&lt;&gt;"aplicado","",IF(IFERROR(INDEX('ORDENES'!$K$4:$K$1203,MATCH($A37,'ORDENES'!$AQ$4:$AQ$1203,0)),"")="","",$B37-IFERROR(INDEX('ORDENES'!$K$4:$K$1203,MATCH($A37,'ORDENES'!$AQ$4:$AQ$1203,0)),"")))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IF($A38="","",IFERROR(INDEX('ORDENES'!$D$4:$D$1203,MATCH($A38,'ORDENES'!$AQ$4:$AQ$1203,0)),"(no encontrada)"))</f>
        <v/>
      </c>
      <c r="F38" s="3">
        <f>IF($A38="","",IF(ISNA(MATCH($A38,'ORDENES'!$AQ$4:$AQ$1203,0)),"huérfano",IF(COUNTIF($A$4:$A38,$A38)&gt;1,"duplicado (se ignora)","aplicado")))</f>
        <v/>
      </c>
      <c r="G38" s="16">
        <f>IF($F38&lt;&gt;"aplicado","",IF(IFERROR(INDEX('ORDENES'!$K$4:$K$1203,MATCH($A38,'ORDENES'!$AQ$4:$AQ$1203,0)),"")="","",$B38-IFERROR(INDEX('ORDENES'!$K$4:$K$1203,MATCH($A38,'ORDENES'!$AQ$4:$AQ$1203,0)),"")))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IF($A39="","",IFERROR(INDEX('ORDENES'!$D$4:$D$1203,MATCH($A39,'ORDENES'!$AQ$4:$AQ$1203,0)),"(no encontrada)"))</f>
        <v/>
      </c>
      <c r="F39" s="3">
        <f>IF($A39="","",IF(ISNA(MATCH($A39,'ORDENES'!$AQ$4:$AQ$1203,0)),"huérfano",IF(COUNTIF($A$4:$A39,$A39)&gt;1,"duplicado (se ignora)","aplicado")))</f>
        <v/>
      </c>
      <c r="G39" s="16">
        <f>IF($F39&lt;&gt;"aplicado","",IF(IFERROR(INDEX('ORDENES'!$K$4:$K$1203,MATCH($A39,'ORDENES'!$AQ$4:$AQ$1203,0)),"")="","",$B39-IFERROR(INDEX('ORDENES'!$K$4:$K$1203,MATCH($A39,'ORDENES'!$AQ$4:$AQ$1203,0)),"")))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IF($A40="","",IFERROR(INDEX('ORDENES'!$D$4:$D$1203,MATCH($A40,'ORDENES'!$AQ$4:$AQ$1203,0)),"(no encontrada)"))</f>
        <v/>
      </c>
      <c r="F40" s="3">
        <f>IF($A40="","",IF(ISNA(MATCH($A40,'ORDENES'!$AQ$4:$AQ$1203,0)),"huérfano",IF(COUNTIF($A$4:$A40,$A40)&gt;1,"duplicado (se ignora)","aplicado")))</f>
        <v/>
      </c>
      <c r="G40" s="16">
        <f>IF($F40&lt;&gt;"aplicado","",IF(IFERROR(INDEX('ORDENES'!$K$4:$K$1203,MATCH($A40,'ORDENES'!$AQ$4:$AQ$1203,0)),"")="","",$B40-IFERROR(INDEX('ORDENES'!$K$4:$K$1203,MATCH($A40,'ORDENES'!$AQ$4:$AQ$1203,0)),"")))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IF($A41="","",IFERROR(INDEX('ORDENES'!$D$4:$D$1203,MATCH($A41,'ORDENES'!$AQ$4:$AQ$1203,0)),"(no encontrada)"))</f>
        <v/>
      </c>
      <c r="F41" s="3">
        <f>IF($A41="","",IF(ISNA(MATCH($A41,'ORDENES'!$AQ$4:$AQ$1203,0)),"huérfano",IF(COUNTIF($A$4:$A41,$A41)&gt;1,"duplicado (se ignora)","aplicado")))</f>
        <v/>
      </c>
      <c r="G41" s="16">
        <f>IF($F41&lt;&gt;"aplicado","",IF(IFERROR(INDEX('ORDENES'!$K$4:$K$1203,MATCH($A41,'ORDENES'!$AQ$4:$AQ$1203,0)),"")="","",$B41-IFERROR(INDEX('ORDENES'!$K$4:$K$1203,MATCH($A41,'ORDENES'!$AQ$4:$AQ$1203,0)),"")))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IF($A42="","",IFERROR(INDEX('ORDENES'!$D$4:$D$1203,MATCH($A42,'ORDENES'!$AQ$4:$AQ$1203,0)),"(no encontrada)"))</f>
        <v/>
      </c>
      <c r="F42" s="3">
        <f>IF($A42="","",IF(ISNA(MATCH($A42,'ORDENES'!$AQ$4:$AQ$1203,0)),"huérfano",IF(COUNTIF($A$4:$A42,$A42)&gt;1,"duplicado (se ignora)","aplicado")))</f>
        <v/>
      </c>
      <c r="G42" s="16">
        <f>IF($F42&lt;&gt;"aplicado","",IF(IFERROR(INDEX('ORDENES'!$K$4:$K$1203,MATCH($A42,'ORDENES'!$AQ$4:$AQ$1203,0)),"")="","",$B42-IFERROR(INDEX('ORDENES'!$K$4:$K$1203,MATCH($A42,'ORDENES'!$AQ$4:$AQ$1203,0)),"")))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IF($A43="","",IFERROR(INDEX('ORDENES'!$D$4:$D$1203,MATCH($A43,'ORDENES'!$AQ$4:$AQ$1203,0)),"(no encontrada)"))</f>
        <v/>
      </c>
      <c r="F43" s="3">
        <f>IF($A43="","",IF(ISNA(MATCH($A43,'ORDENES'!$AQ$4:$AQ$1203,0)),"huérfano",IF(COUNTIF($A$4:$A43,$A43)&gt;1,"duplicado (se ignora)","aplicado")))</f>
        <v/>
      </c>
      <c r="G43" s="16">
        <f>IF($F43&lt;&gt;"aplicado","",IF(IFERROR(INDEX('ORDENES'!$K$4:$K$1203,MATCH($A43,'ORDENES'!$AQ$4:$AQ$1203,0)),"")="","",$B43-IFERROR(INDEX('ORDENES'!$K$4:$K$1203,MATCH($A43,'ORDENES'!$AQ$4:$AQ$1203,0)),"")))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IF($A44="","",IFERROR(INDEX('ORDENES'!$D$4:$D$1203,MATCH($A44,'ORDENES'!$AQ$4:$AQ$1203,0)),"(no encontrada)"))</f>
        <v/>
      </c>
      <c r="F44" s="3">
        <f>IF($A44="","",IF(ISNA(MATCH($A44,'ORDENES'!$AQ$4:$AQ$1203,0)),"huérfano",IF(COUNTIF($A$4:$A44,$A44)&gt;1,"duplicado (se ignora)","aplicado")))</f>
        <v/>
      </c>
      <c r="G44" s="16">
        <f>IF($F44&lt;&gt;"aplicado","",IF(IFERROR(INDEX('ORDENES'!$K$4:$K$1203,MATCH($A44,'ORDENES'!$AQ$4:$AQ$1203,0)),"")="","",$B44-IFERROR(INDEX('ORDENES'!$K$4:$K$1203,MATCH($A44,'ORDENES'!$AQ$4:$AQ$1203,0)),"")))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IF($A45="","",IFERROR(INDEX('ORDENES'!$D$4:$D$1203,MATCH($A45,'ORDENES'!$AQ$4:$AQ$1203,0)),"(no encontrada)"))</f>
        <v/>
      </c>
      <c r="F45" s="3">
        <f>IF($A45="","",IF(ISNA(MATCH($A45,'ORDENES'!$AQ$4:$AQ$1203,0)),"huérfano",IF(COUNTIF($A$4:$A45,$A45)&gt;1,"duplicado (se ignora)","aplicado")))</f>
        <v/>
      </c>
      <c r="G45" s="16">
        <f>IF($F45&lt;&gt;"aplicado","",IF(IFERROR(INDEX('ORDENES'!$K$4:$K$1203,MATCH($A45,'ORDENES'!$AQ$4:$AQ$1203,0)),"")="","",$B45-IFERROR(INDEX('ORDENES'!$K$4:$K$1203,MATCH($A45,'ORDENES'!$AQ$4:$AQ$1203,0)),"")))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IF($A46="","",IFERROR(INDEX('ORDENES'!$D$4:$D$1203,MATCH($A46,'ORDENES'!$AQ$4:$AQ$1203,0)),"(no encontrada)"))</f>
        <v/>
      </c>
      <c r="F46" s="3">
        <f>IF($A46="","",IF(ISNA(MATCH($A46,'ORDENES'!$AQ$4:$AQ$1203,0)),"huérfano",IF(COUNTIF($A$4:$A46,$A46)&gt;1,"duplicado (se ignora)","aplicado")))</f>
        <v/>
      </c>
      <c r="G46" s="16">
        <f>IF($F46&lt;&gt;"aplicado","",IF(IFERROR(INDEX('ORDENES'!$K$4:$K$1203,MATCH($A46,'ORDENES'!$AQ$4:$AQ$1203,0)),"")="","",$B46-IFERROR(INDEX('ORDENES'!$K$4:$K$1203,MATCH($A46,'ORDENES'!$AQ$4:$AQ$1203,0)),"")))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IF($A47="","",IFERROR(INDEX('ORDENES'!$D$4:$D$1203,MATCH($A47,'ORDENES'!$AQ$4:$AQ$1203,0)),"(no encontrada)"))</f>
        <v/>
      </c>
      <c r="F47" s="3">
        <f>IF($A47="","",IF(ISNA(MATCH($A47,'ORDENES'!$AQ$4:$AQ$1203,0)),"huérfano",IF(COUNTIF($A$4:$A47,$A47)&gt;1,"duplicado (se ignora)","aplicado")))</f>
        <v/>
      </c>
      <c r="G47" s="16">
        <f>IF($F47&lt;&gt;"aplicado","",IF(IFERROR(INDEX('ORDENES'!$K$4:$K$1203,MATCH($A47,'ORDENES'!$AQ$4:$AQ$1203,0)),"")="","",$B47-IFERROR(INDEX('ORDENES'!$K$4:$K$1203,MATCH($A47,'ORDENES'!$AQ$4:$AQ$1203,0)),"")))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IF($A48="","",IFERROR(INDEX('ORDENES'!$D$4:$D$1203,MATCH($A48,'ORDENES'!$AQ$4:$AQ$1203,0)),"(no encontrada)"))</f>
        <v/>
      </c>
      <c r="F48" s="3">
        <f>IF($A48="","",IF(ISNA(MATCH($A48,'ORDENES'!$AQ$4:$AQ$1203,0)),"huérfano",IF(COUNTIF($A$4:$A48,$A48)&gt;1,"duplicado (se ignora)","aplicado")))</f>
        <v/>
      </c>
      <c r="G48" s="16">
        <f>IF($F48&lt;&gt;"aplicado","",IF(IFERROR(INDEX('ORDENES'!$K$4:$K$1203,MATCH($A48,'ORDENES'!$AQ$4:$AQ$1203,0)),"")="","",$B48-IFERROR(INDEX('ORDENES'!$K$4:$K$1203,MATCH($A48,'ORDENES'!$AQ$4:$AQ$1203,0)),"")))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IF($A49="","",IFERROR(INDEX('ORDENES'!$D$4:$D$1203,MATCH($A49,'ORDENES'!$AQ$4:$AQ$1203,0)),"(no encontrada)"))</f>
        <v/>
      </c>
      <c r="F49" s="3">
        <f>IF($A49="","",IF(ISNA(MATCH($A49,'ORDENES'!$AQ$4:$AQ$1203,0)),"huérfano",IF(COUNTIF($A$4:$A49,$A49)&gt;1,"duplicado (se ignora)","aplicado")))</f>
        <v/>
      </c>
      <c r="G49" s="16">
        <f>IF($F49&lt;&gt;"aplicado","",IF(IFERROR(INDEX('ORDENES'!$K$4:$K$1203,MATCH($A49,'ORDENES'!$AQ$4:$AQ$1203,0)),"")="","",$B49-IFERROR(INDEX('ORDENES'!$K$4:$K$1203,MATCH($A49,'ORDENES'!$AQ$4:$AQ$1203,0)),"")))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IF($A50="","",IFERROR(INDEX('ORDENES'!$D$4:$D$1203,MATCH($A50,'ORDENES'!$AQ$4:$AQ$1203,0)),"(no encontrada)"))</f>
        <v/>
      </c>
      <c r="F50" s="3">
        <f>IF($A50="","",IF(ISNA(MATCH($A50,'ORDENES'!$AQ$4:$AQ$1203,0)),"huérfano",IF(COUNTIF($A$4:$A50,$A50)&gt;1,"duplicado (se ignora)","aplicado")))</f>
        <v/>
      </c>
      <c r="G50" s="16">
        <f>IF($F50&lt;&gt;"aplicado","",IF(IFERROR(INDEX('ORDENES'!$K$4:$K$1203,MATCH($A50,'ORDENES'!$AQ$4:$AQ$1203,0)),"")="","",$B50-IFERROR(INDEX('ORDENES'!$K$4:$K$1203,MATCH($A50,'ORDENES'!$AQ$4:$AQ$1203,0)),"")))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IF($A51="","",IFERROR(INDEX('ORDENES'!$D$4:$D$1203,MATCH($A51,'ORDENES'!$AQ$4:$AQ$1203,0)),"(no encontrada)"))</f>
        <v/>
      </c>
      <c r="F51" s="3">
        <f>IF($A51="","",IF(ISNA(MATCH($A51,'ORDENES'!$AQ$4:$AQ$1203,0)),"huérfano",IF(COUNTIF($A$4:$A51,$A51)&gt;1,"duplicado (se ignora)","aplicado")))</f>
        <v/>
      </c>
      <c r="G51" s="16">
        <f>IF($F51&lt;&gt;"aplicado","",IF(IFERROR(INDEX('ORDENES'!$K$4:$K$1203,MATCH($A51,'ORDENES'!$AQ$4:$AQ$1203,0)),"")="","",$B51-IFERROR(INDEX('ORDENES'!$K$4:$K$1203,MATCH($A51,'ORDENES'!$AQ$4:$AQ$1203,0)),"")))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IF($A52="","",IFERROR(INDEX('ORDENES'!$D$4:$D$1203,MATCH($A52,'ORDENES'!$AQ$4:$AQ$1203,0)),"(no encontrada)"))</f>
        <v/>
      </c>
      <c r="F52" s="3">
        <f>IF($A52="","",IF(ISNA(MATCH($A52,'ORDENES'!$AQ$4:$AQ$1203,0)),"huérfano",IF(COUNTIF($A$4:$A52,$A52)&gt;1,"duplicado (se ignora)","aplicado")))</f>
        <v/>
      </c>
      <c r="G52" s="16">
        <f>IF($F52&lt;&gt;"aplicado","",IF(IFERROR(INDEX('ORDENES'!$K$4:$K$1203,MATCH($A52,'ORDENES'!$AQ$4:$AQ$1203,0)),"")="","",$B52-IFERROR(INDEX('ORDENES'!$K$4:$K$1203,MATCH($A52,'ORDENES'!$AQ$4:$AQ$1203,0)),"")))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IF($A53="","",IFERROR(INDEX('ORDENES'!$D$4:$D$1203,MATCH($A53,'ORDENES'!$AQ$4:$AQ$1203,0)),"(no encontrada)"))</f>
        <v/>
      </c>
      <c r="F53" s="3">
        <f>IF($A53="","",IF(ISNA(MATCH($A53,'ORDENES'!$AQ$4:$AQ$1203,0)),"huérfano",IF(COUNTIF($A$4:$A53,$A53)&gt;1,"duplicado (se ignora)","aplicado")))</f>
        <v/>
      </c>
      <c r="G53" s="16">
        <f>IF($F53&lt;&gt;"aplicado","",IF(IFERROR(INDEX('ORDENES'!$K$4:$K$1203,MATCH($A53,'ORDENES'!$AQ$4:$AQ$1203,0)),"")="","",$B53-IFERROR(INDEX('ORDENES'!$K$4:$K$1203,MATCH($A53,'ORDENES'!$AQ$4:$AQ$1203,0)),"")))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IF($A54="","",IFERROR(INDEX('ORDENES'!$D$4:$D$1203,MATCH($A54,'ORDENES'!$AQ$4:$AQ$1203,0)),"(no encontrada)"))</f>
        <v/>
      </c>
      <c r="F54" s="3">
        <f>IF($A54="","",IF(ISNA(MATCH($A54,'ORDENES'!$AQ$4:$AQ$1203,0)),"huérfano",IF(COUNTIF($A$4:$A54,$A54)&gt;1,"duplicado (se ignora)","aplicado")))</f>
        <v/>
      </c>
      <c r="G54" s="16">
        <f>IF($F54&lt;&gt;"aplicado","",IF(IFERROR(INDEX('ORDENES'!$K$4:$K$1203,MATCH($A54,'ORDENES'!$AQ$4:$AQ$1203,0)),"")="","",$B54-IFERROR(INDEX('ORDENES'!$K$4:$K$1203,MATCH($A54,'ORDENES'!$AQ$4:$AQ$1203,0)),"")))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IF($A55="","",IFERROR(INDEX('ORDENES'!$D$4:$D$1203,MATCH($A55,'ORDENES'!$AQ$4:$AQ$1203,0)),"(no encontrada)"))</f>
        <v/>
      </c>
      <c r="F55" s="3">
        <f>IF($A55="","",IF(ISNA(MATCH($A55,'ORDENES'!$AQ$4:$AQ$1203,0)),"huérfano",IF(COUNTIF($A$4:$A55,$A55)&gt;1,"duplicado (se ignora)","aplicado")))</f>
        <v/>
      </c>
      <c r="G55" s="16">
        <f>IF($F55&lt;&gt;"aplicado","",IF(IFERROR(INDEX('ORDENES'!$K$4:$K$1203,MATCH($A55,'ORDENES'!$AQ$4:$AQ$1203,0)),"")="","",$B55-IFERROR(INDEX('ORDENES'!$K$4:$K$1203,MATCH($A55,'ORDENES'!$AQ$4:$AQ$1203,0)),"")))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IF($A56="","",IFERROR(INDEX('ORDENES'!$D$4:$D$1203,MATCH($A56,'ORDENES'!$AQ$4:$AQ$1203,0)),"(no encontrada)"))</f>
        <v/>
      </c>
      <c r="F56" s="3">
        <f>IF($A56="","",IF(ISNA(MATCH($A56,'ORDENES'!$AQ$4:$AQ$1203,0)),"huérfano",IF(COUNTIF($A$4:$A56,$A56)&gt;1,"duplicado (se ignora)","aplicado")))</f>
        <v/>
      </c>
      <c r="G56" s="16">
        <f>IF($F56&lt;&gt;"aplicado","",IF(IFERROR(INDEX('ORDENES'!$K$4:$K$1203,MATCH($A56,'ORDENES'!$AQ$4:$AQ$1203,0)),"")="","",$B56-IFERROR(INDEX('ORDENES'!$K$4:$K$1203,MATCH($A56,'ORDENES'!$AQ$4:$AQ$1203,0)),"")))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IF($A57="","",IFERROR(INDEX('ORDENES'!$D$4:$D$1203,MATCH($A57,'ORDENES'!$AQ$4:$AQ$1203,0)),"(no encontrada)"))</f>
        <v/>
      </c>
      <c r="F57" s="3">
        <f>IF($A57="","",IF(ISNA(MATCH($A57,'ORDENES'!$AQ$4:$AQ$1203,0)),"huérfano",IF(COUNTIF($A$4:$A57,$A57)&gt;1,"duplicado (se ignora)","aplicado")))</f>
        <v/>
      </c>
      <c r="G57" s="16">
        <f>IF($F57&lt;&gt;"aplicado","",IF(IFERROR(INDEX('ORDENES'!$K$4:$K$1203,MATCH($A57,'ORDENES'!$AQ$4:$AQ$1203,0)),"")="","",$B57-IFERROR(INDEX('ORDENES'!$K$4:$K$1203,MATCH($A57,'ORDENES'!$AQ$4:$AQ$1203,0)),"")))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IF($A58="","",IFERROR(INDEX('ORDENES'!$D$4:$D$1203,MATCH($A58,'ORDENES'!$AQ$4:$AQ$1203,0)),"(no encontrada)"))</f>
        <v/>
      </c>
      <c r="F58" s="3">
        <f>IF($A58="","",IF(ISNA(MATCH($A58,'ORDENES'!$AQ$4:$AQ$1203,0)),"huérfano",IF(COUNTIF($A$4:$A58,$A58)&gt;1,"duplicado (se ignora)","aplicado")))</f>
        <v/>
      </c>
      <c r="G58" s="16">
        <f>IF($F58&lt;&gt;"aplicado","",IF(IFERROR(INDEX('ORDENES'!$K$4:$K$1203,MATCH($A58,'ORDENES'!$AQ$4:$AQ$1203,0)),"")="","",$B58-IFERROR(INDEX('ORDENES'!$K$4:$K$1203,MATCH($A58,'ORDENES'!$AQ$4:$AQ$1203,0)),"")))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IF($A59="","",IFERROR(INDEX('ORDENES'!$D$4:$D$1203,MATCH($A59,'ORDENES'!$AQ$4:$AQ$1203,0)),"(no encontrada)"))</f>
        <v/>
      </c>
      <c r="F59" s="3">
        <f>IF($A59="","",IF(ISNA(MATCH($A59,'ORDENES'!$AQ$4:$AQ$1203,0)),"huérfano",IF(COUNTIF($A$4:$A59,$A59)&gt;1,"duplicado (se ignora)","aplicado")))</f>
        <v/>
      </c>
      <c r="G59" s="16">
        <f>IF($F59&lt;&gt;"aplicado","",IF(IFERROR(INDEX('ORDENES'!$K$4:$K$1203,MATCH($A59,'ORDENES'!$AQ$4:$AQ$1203,0)),"")="","",$B59-IFERROR(INDEX('ORDENES'!$K$4:$K$1203,MATCH($A59,'ORDENES'!$AQ$4:$AQ$1203,0)),"")))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IF($A60="","",IFERROR(INDEX('ORDENES'!$D$4:$D$1203,MATCH($A60,'ORDENES'!$AQ$4:$AQ$1203,0)),"(no encontrada)"))</f>
        <v/>
      </c>
      <c r="F60" s="3">
        <f>IF($A60="","",IF(ISNA(MATCH($A60,'ORDENES'!$AQ$4:$AQ$1203,0)),"huérfano",IF(COUNTIF($A$4:$A60,$A60)&gt;1,"duplicado (se ignora)","aplicado")))</f>
        <v/>
      </c>
      <c r="G60" s="16">
        <f>IF($F60&lt;&gt;"aplicado","",IF(IFERROR(INDEX('ORDENES'!$K$4:$K$1203,MATCH($A60,'ORDENES'!$AQ$4:$AQ$1203,0)),"")="","",$B60-IFERROR(INDEX('ORDENES'!$K$4:$K$1203,MATCH($A60,'ORDENES'!$AQ$4:$AQ$1203,0)),"")))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IF($A61="","",IFERROR(INDEX('ORDENES'!$D$4:$D$1203,MATCH($A61,'ORDENES'!$AQ$4:$AQ$1203,0)),"(no encontrada)"))</f>
        <v/>
      </c>
      <c r="F61" s="3">
        <f>IF($A61="","",IF(ISNA(MATCH($A61,'ORDENES'!$AQ$4:$AQ$1203,0)),"huérfano",IF(COUNTIF($A$4:$A61,$A61)&gt;1,"duplicado (se ignora)","aplicado")))</f>
        <v/>
      </c>
      <c r="G61" s="16">
        <f>IF($F61&lt;&gt;"aplicado","",IF(IFERROR(INDEX('ORDENES'!$K$4:$K$1203,MATCH($A61,'ORDENES'!$AQ$4:$AQ$1203,0)),"")="","",$B61-IFERROR(INDEX('ORDENES'!$K$4:$K$1203,MATCH($A61,'ORDENES'!$AQ$4:$AQ$1203,0)),"")))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IF($A62="","",IFERROR(INDEX('ORDENES'!$D$4:$D$1203,MATCH($A62,'ORDENES'!$AQ$4:$AQ$1203,0)),"(no encontrada)"))</f>
        <v/>
      </c>
      <c r="F62" s="3">
        <f>IF($A62="","",IF(ISNA(MATCH($A62,'ORDENES'!$AQ$4:$AQ$1203,0)),"huérfano",IF(COUNTIF($A$4:$A62,$A62)&gt;1,"duplicado (se ignora)","aplicado")))</f>
        <v/>
      </c>
      <c r="G62" s="16">
        <f>IF($F62&lt;&gt;"aplicado","",IF(IFERROR(INDEX('ORDENES'!$K$4:$K$1203,MATCH($A62,'ORDENES'!$AQ$4:$AQ$1203,0)),"")="","",$B62-IFERROR(INDEX('ORDENES'!$K$4:$K$1203,MATCH($A62,'ORDENES'!$AQ$4:$AQ$1203,0)),"")))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IF($A63="","",IFERROR(INDEX('ORDENES'!$D$4:$D$1203,MATCH($A63,'ORDENES'!$AQ$4:$AQ$1203,0)),"(no encontrada)"))</f>
        <v/>
      </c>
      <c r="F63" s="3">
        <f>IF($A63="","",IF(ISNA(MATCH($A63,'ORDENES'!$AQ$4:$AQ$1203,0)),"huérfano",IF(COUNTIF($A$4:$A63,$A63)&gt;1,"duplicado (se ignora)","aplicado")))</f>
        <v/>
      </c>
      <c r="G63" s="16">
        <f>IF($F63&lt;&gt;"aplicado","",IF(IFERROR(INDEX('ORDENES'!$K$4:$K$1203,MATCH($A63,'ORDENES'!$AQ$4:$AQ$1203,0)),"")="","",$B63-IFERROR(INDEX('ORDENES'!$K$4:$K$1203,MATCH($A63,'ORDENES'!$AQ$4:$AQ$1203,0)),"")))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IF($A64="","",IFERROR(INDEX('ORDENES'!$D$4:$D$1203,MATCH($A64,'ORDENES'!$AQ$4:$AQ$1203,0)),"(no encontrada)"))</f>
        <v/>
      </c>
      <c r="F64" s="3">
        <f>IF($A64="","",IF(ISNA(MATCH($A64,'ORDENES'!$AQ$4:$AQ$1203,0)),"huérfano",IF(COUNTIF($A$4:$A64,$A64)&gt;1,"duplicado (se ignora)","aplicado")))</f>
        <v/>
      </c>
      <c r="G64" s="16">
        <f>IF($F64&lt;&gt;"aplicado","",IF(IFERROR(INDEX('ORDENES'!$K$4:$K$1203,MATCH($A64,'ORDENES'!$AQ$4:$AQ$1203,0)),"")="","",$B64-IFERROR(INDEX('ORDENES'!$K$4:$K$1203,MATCH($A64,'ORDENES'!$AQ$4:$AQ$1203,0)),"")))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IF($A65="","",IFERROR(INDEX('ORDENES'!$D$4:$D$1203,MATCH($A65,'ORDENES'!$AQ$4:$AQ$1203,0)),"(no encontrada)"))</f>
        <v/>
      </c>
      <c r="F65" s="3">
        <f>IF($A65="","",IF(ISNA(MATCH($A65,'ORDENES'!$AQ$4:$AQ$1203,0)),"huérfano",IF(COUNTIF($A$4:$A65,$A65)&gt;1,"duplicado (se ignora)","aplicado")))</f>
        <v/>
      </c>
      <c r="G65" s="16">
        <f>IF($F65&lt;&gt;"aplicado","",IF(IFERROR(INDEX('ORDENES'!$K$4:$K$1203,MATCH($A65,'ORDENES'!$AQ$4:$AQ$1203,0)),"")="","",$B65-IFERROR(INDEX('ORDENES'!$K$4:$K$1203,MATCH($A65,'ORDENES'!$AQ$4:$AQ$1203,0)),"")))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IF($A66="","",IFERROR(INDEX('ORDENES'!$D$4:$D$1203,MATCH($A66,'ORDENES'!$AQ$4:$AQ$1203,0)),"(no encontrada)"))</f>
        <v/>
      </c>
      <c r="F66" s="3">
        <f>IF($A66="","",IF(ISNA(MATCH($A66,'ORDENES'!$AQ$4:$AQ$1203,0)),"huérfano",IF(COUNTIF($A$4:$A66,$A66)&gt;1,"duplicado (se ignora)","aplicado")))</f>
        <v/>
      </c>
      <c r="G66" s="16">
        <f>IF($F66&lt;&gt;"aplicado","",IF(IFERROR(INDEX('ORDENES'!$K$4:$K$1203,MATCH($A66,'ORDENES'!$AQ$4:$AQ$1203,0)),"")="","",$B66-IFERROR(INDEX('ORDENES'!$K$4:$K$1203,MATCH($A66,'ORDENES'!$AQ$4:$AQ$1203,0)),"")))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IF($A67="","",IFERROR(INDEX('ORDENES'!$D$4:$D$1203,MATCH($A67,'ORDENES'!$AQ$4:$AQ$1203,0)),"(no encontrada)"))</f>
        <v/>
      </c>
      <c r="F67" s="3">
        <f>IF($A67="","",IF(ISNA(MATCH($A67,'ORDENES'!$AQ$4:$AQ$1203,0)),"huérfano",IF(COUNTIF($A$4:$A67,$A67)&gt;1,"duplicado (se ignora)","aplicado")))</f>
        <v/>
      </c>
      <c r="G67" s="16">
        <f>IF($F67&lt;&gt;"aplicado","",IF(IFERROR(INDEX('ORDENES'!$K$4:$K$1203,MATCH($A67,'ORDENES'!$AQ$4:$AQ$1203,0)),"")="","",$B67-IFERROR(INDEX('ORDENES'!$K$4:$K$1203,MATCH($A67,'ORDENES'!$AQ$4:$AQ$1203,0)),"")))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IF($A68="","",IFERROR(INDEX('ORDENES'!$D$4:$D$1203,MATCH($A68,'ORDENES'!$AQ$4:$AQ$1203,0)),"(no encontrada)"))</f>
        <v/>
      </c>
      <c r="F68" s="3">
        <f>IF($A68="","",IF(ISNA(MATCH($A68,'ORDENES'!$AQ$4:$AQ$1203,0)),"huérfano",IF(COUNTIF($A$4:$A68,$A68)&gt;1,"duplicado (se ignora)","aplicado")))</f>
        <v/>
      </c>
      <c r="G68" s="16">
        <f>IF($F68&lt;&gt;"aplicado","",IF(IFERROR(INDEX('ORDENES'!$K$4:$K$1203,MATCH($A68,'ORDENES'!$AQ$4:$AQ$1203,0)),"")="","",$B68-IFERROR(INDEX('ORDENES'!$K$4:$K$1203,MATCH($A68,'ORDENES'!$AQ$4:$AQ$1203,0)),"")))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IF($A69="","",IFERROR(INDEX('ORDENES'!$D$4:$D$1203,MATCH($A69,'ORDENES'!$AQ$4:$AQ$1203,0)),"(no encontrada)"))</f>
        <v/>
      </c>
      <c r="F69" s="3">
        <f>IF($A69="","",IF(ISNA(MATCH($A69,'ORDENES'!$AQ$4:$AQ$1203,0)),"huérfano",IF(COUNTIF($A$4:$A69,$A69)&gt;1,"duplicado (se ignora)","aplicado")))</f>
        <v/>
      </c>
      <c r="G69" s="16">
        <f>IF($F69&lt;&gt;"aplicado","",IF(IFERROR(INDEX('ORDENES'!$K$4:$K$1203,MATCH($A69,'ORDENES'!$AQ$4:$AQ$1203,0)),"")="","",$B69-IFERROR(INDEX('ORDENES'!$K$4:$K$1203,MATCH($A69,'ORDENES'!$AQ$4:$AQ$1203,0)),"")))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IF($A70="","",IFERROR(INDEX('ORDENES'!$D$4:$D$1203,MATCH($A70,'ORDENES'!$AQ$4:$AQ$1203,0)),"(no encontrada)"))</f>
        <v/>
      </c>
      <c r="F70" s="3">
        <f>IF($A70="","",IF(ISNA(MATCH($A70,'ORDENES'!$AQ$4:$AQ$1203,0)),"huérfano",IF(COUNTIF($A$4:$A70,$A70)&gt;1,"duplicado (se ignora)","aplicado")))</f>
        <v/>
      </c>
      <c r="G70" s="16">
        <f>IF($F70&lt;&gt;"aplicado","",IF(IFERROR(INDEX('ORDENES'!$K$4:$K$1203,MATCH($A70,'ORDENES'!$AQ$4:$AQ$1203,0)),"")="","",$B70-IFERROR(INDEX('ORDENES'!$K$4:$K$1203,MATCH($A70,'ORDENES'!$AQ$4:$AQ$1203,0)),"")))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IF($A71="","",IFERROR(INDEX('ORDENES'!$D$4:$D$1203,MATCH($A71,'ORDENES'!$AQ$4:$AQ$1203,0)),"(no encontrada)"))</f>
        <v/>
      </c>
      <c r="F71" s="3">
        <f>IF($A71="","",IF(ISNA(MATCH($A71,'ORDENES'!$AQ$4:$AQ$1203,0)),"huérfano",IF(COUNTIF($A$4:$A71,$A71)&gt;1,"duplicado (se ignora)","aplicado")))</f>
        <v/>
      </c>
      <c r="G71" s="16">
        <f>IF($F71&lt;&gt;"aplicado","",IF(IFERROR(INDEX('ORDENES'!$K$4:$K$1203,MATCH($A71,'ORDENES'!$AQ$4:$AQ$1203,0)),"")="","",$B71-IFERROR(INDEX('ORDENES'!$K$4:$K$1203,MATCH($A71,'ORDENES'!$AQ$4:$AQ$1203,0)),"")))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IF($A72="","",IFERROR(INDEX('ORDENES'!$D$4:$D$1203,MATCH($A72,'ORDENES'!$AQ$4:$AQ$1203,0)),"(no encontrada)"))</f>
        <v/>
      </c>
      <c r="F72" s="3">
        <f>IF($A72="","",IF(ISNA(MATCH($A72,'ORDENES'!$AQ$4:$AQ$1203,0)),"huérfano",IF(COUNTIF($A$4:$A72,$A72)&gt;1,"duplicado (se ignora)","aplicado")))</f>
        <v/>
      </c>
      <c r="G72" s="16">
        <f>IF($F72&lt;&gt;"aplicado","",IF(IFERROR(INDEX('ORDENES'!$K$4:$K$1203,MATCH($A72,'ORDENES'!$AQ$4:$AQ$1203,0)),"")="","",$B72-IFERROR(INDEX('ORDENES'!$K$4:$K$1203,MATCH($A72,'ORDENES'!$AQ$4:$AQ$1203,0)),"")))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IF($A73="","",IFERROR(INDEX('ORDENES'!$D$4:$D$1203,MATCH($A73,'ORDENES'!$AQ$4:$AQ$1203,0)),"(no encontrada)"))</f>
        <v/>
      </c>
      <c r="F73" s="3">
        <f>IF($A73="","",IF(ISNA(MATCH($A73,'ORDENES'!$AQ$4:$AQ$1203,0)),"huérfano",IF(COUNTIF($A$4:$A73,$A73)&gt;1,"duplicado (se ignora)","aplicado")))</f>
        <v/>
      </c>
      <c r="G73" s="16">
        <f>IF($F73&lt;&gt;"aplicado","",IF(IFERROR(INDEX('ORDENES'!$K$4:$K$1203,MATCH($A73,'ORDENES'!$AQ$4:$AQ$1203,0)),"")="","",$B73-IFERROR(INDEX('ORDENES'!$K$4:$K$1203,MATCH($A73,'ORDENES'!$AQ$4:$AQ$1203,0)),"")))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IF($A74="","",IFERROR(INDEX('ORDENES'!$D$4:$D$1203,MATCH($A74,'ORDENES'!$AQ$4:$AQ$1203,0)),"(no encontrada)"))</f>
        <v/>
      </c>
      <c r="F74" s="3">
        <f>IF($A74="","",IF(ISNA(MATCH($A74,'ORDENES'!$AQ$4:$AQ$1203,0)),"huérfano",IF(COUNTIF($A$4:$A74,$A74)&gt;1,"duplicado (se ignora)","aplicado")))</f>
        <v/>
      </c>
      <c r="G74" s="16">
        <f>IF($F74&lt;&gt;"aplicado","",IF(IFERROR(INDEX('ORDENES'!$K$4:$K$1203,MATCH($A74,'ORDENES'!$AQ$4:$AQ$1203,0)),"")="","",$B74-IFERROR(INDEX('ORDENES'!$K$4:$K$1203,MATCH($A74,'ORDENES'!$AQ$4:$AQ$1203,0)),"")))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IF($A75="","",IFERROR(INDEX('ORDENES'!$D$4:$D$1203,MATCH($A75,'ORDENES'!$AQ$4:$AQ$1203,0)),"(no encontrada)"))</f>
        <v/>
      </c>
      <c r="F75" s="3">
        <f>IF($A75="","",IF(ISNA(MATCH($A75,'ORDENES'!$AQ$4:$AQ$1203,0)),"huérfano",IF(COUNTIF($A$4:$A75,$A75)&gt;1,"duplicado (se ignora)","aplicado")))</f>
        <v/>
      </c>
      <c r="G75" s="16">
        <f>IF($F75&lt;&gt;"aplicado","",IF(IFERROR(INDEX('ORDENES'!$K$4:$K$1203,MATCH($A75,'ORDENES'!$AQ$4:$AQ$1203,0)),"")="","",$B75-IFERROR(INDEX('ORDENES'!$K$4:$K$1203,MATCH($A75,'ORDENES'!$AQ$4:$AQ$1203,0)),"")))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IF($A76="","",IFERROR(INDEX('ORDENES'!$D$4:$D$1203,MATCH($A76,'ORDENES'!$AQ$4:$AQ$1203,0)),"(no encontrada)"))</f>
        <v/>
      </c>
      <c r="F76" s="3">
        <f>IF($A76="","",IF(ISNA(MATCH($A76,'ORDENES'!$AQ$4:$AQ$1203,0)),"huérfano",IF(COUNTIF($A$4:$A76,$A76)&gt;1,"duplicado (se ignora)","aplicado")))</f>
        <v/>
      </c>
      <c r="G76" s="16">
        <f>IF($F76&lt;&gt;"aplicado","",IF(IFERROR(INDEX('ORDENES'!$K$4:$K$1203,MATCH($A76,'ORDENES'!$AQ$4:$AQ$1203,0)),"")="","",$B76-IFERROR(INDEX('ORDENES'!$K$4:$K$1203,MATCH($A76,'ORDENES'!$AQ$4:$AQ$1203,0)),"")))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IF($A77="","",IFERROR(INDEX('ORDENES'!$D$4:$D$1203,MATCH($A77,'ORDENES'!$AQ$4:$AQ$1203,0)),"(no encontrada)"))</f>
        <v/>
      </c>
      <c r="F77" s="3">
        <f>IF($A77="","",IF(ISNA(MATCH($A77,'ORDENES'!$AQ$4:$AQ$1203,0)),"huérfano",IF(COUNTIF($A$4:$A77,$A77)&gt;1,"duplicado (se ignora)","aplicado")))</f>
        <v/>
      </c>
      <c r="G77" s="16">
        <f>IF($F77&lt;&gt;"aplicado","",IF(IFERROR(INDEX('ORDENES'!$K$4:$K$1203,MATCH($A77,'ORDENES'!$AQ$4:$AQ$1203,0)),"")="","",$B77-IFERROR(INDEX('ORDENES'!$K$4:$K$1203,MATCH($A77,'ORDENES'!$AQ$4:$AQ$1203,0)),"")))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IF($A78="","",IFERROR(INDEX('ORDENES'!$D$4:$D$1203,MATCH($A78,'ORDENES'!$AQ$4:$AQ$1203,0)),"(no encontrada)"))</f>
        <v/>
      </c>
      <c r="F78" s="3">
        <f>IF($A78="","",IF(ISNA(MATCH($A78,'ORDENES'!$AQ$4:$AQ$1203,0)),"huérfano",IF(COUNTIF($A$4:$A78,$A78)&gt;1,"duplicado (se ignora)","aplicado")))</f>
        <v/>
      </c>
      <c r="G78" s="16">
        <f>IF($F78&lt;&gt;"aplicado","",IF(IFERROR(INDEX('ORDENES'!$K$4:$K$1203,MATCH($A78,'ORDENES'!$AQ$4:$AQ$1203,0)),"")="","",$B78-IFERROR(INDEX('ORDENES'!$K$4:$K$1203,MATCH($A78,'ORDENES'!$AQ$4:$AQ$1203,0)),"")))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IF($A79="","",IFERROR(INDEX('ORDENES'!$D$4:$D$1203,MATCH($A79,'ORDENES'!$AQ$4:$AQ$1203,0)),"(no encontrada)"))</f>
        <v/>
      </c>
      <c r="F79" s="3">
        <f>IF($A79="","",IF(ISNA(MATCH($A79,'ORDENES'!$AQ$4:$AQ$1203,0)),"huérfano",IF(COUNTIF($A$4:$A79,$A79)&gt;1,"duplicado (se ignora)","aplicado")))</f>
        <v/>
      </c>
      <c r="G79" s="16">
        <f>IF($F79&lt;&gt;"aplicado","",IF(IFERROR(INDEX('ORDENES'!$K$4:$K$1203,MATCH($A79,'ORDENES'!$AQ$4:$AQ$1203,0)),"")="","",$B79-IFERROR(INDEX('ORDENES'!$K$4:$K$1203,MATCH($A79,'ORDENES'!$AQ$4:$AQ$1203,0)),"")))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IF($A80="","",IFERROR(INDEX('ORDENES'!$D$4:$D$1203,MATCH($A80,'ORDENES'!$AQ$4:$AQ$1203,0)),"(no encontrada)"))</f>
        <v/>
      </c>
      <c r="F80" s="3">
        <f>IF($A80="","",IF(ISNA(MATCH($A80,'ORDENES'!$AQ$4:$AQ$1203,0)),"huérfano",IF(COUNTIF($A$4:$A80,$A80)&gt;1,"duplicado (se ignora)","aplicado")))</f>
        <v/>
      </c>
      <c r="G80" s="16">
        <f>IF($F80&lt;&gt;"aplicado","",IF(IFERROR(INDEX('ORDENES'!$K$4:$K$1203,MATCH($A80,'ORDENES'!$AQ$4:$AQ$1203,0)),"")="","",$B80-IFERROR(INDEX('ORDENES'!$K$4:$K$1203,MATCH($A80,'ORDENES'!$AQ$4:$AQ$1203,0)),"")))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IF($A81="","",IFERROR(INDEX('ORDENES'!$D$4:$D$1203,MATCH($A81,'ORDENES'!$AQ$4:$AQ$1203,0)),"(no encontrada)"))</f>
        <v/>
      </c>
      <c r="F81" s="3">
        <f>IF($A81="","",IF(ISNA(MATCH($A81,'ORDENES'!$AQ$4:$AQ$1203,0)),"huérfano",IF(COUNTIF($A$4:$A81,$A81)&gt;1,"duplicado (se ignora)","aplicado")))</f>
        <v/>
      </c>
      <c r="G81" s="16">
        <f>IF($F81&lt;&gt;"aplicado","",IF(IFERROR(INDEX('ORDENES'!$K$4:$K$1203,MATCH($A81,'ORDENES'!$AQ$4:$AQ$1203,0)),"")="","",$B81-IFERROR(INDEX('ORDENES'!$K$4:$K$1203,MATCH($A81,'ORDENES'!$AQ$4:$AQ$1203,0)),"")))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IF($A82="","",IFERROR(INDEX('ORDENES'!$D$4:$D$1203,MATCH($A82,'ORDENES'!$AQ$4:$AQ$1203,0)),"(no encontrada)"))</f>
        <v/>
      </c>
      <c r="F82" s="3">
        <f>IF($A82="","",IF(ISNA(MATCH($A82,'ORDENES'!$AQ$4:$AQ$1203,0)),"huérfano",IF(COUNTIF($A$4:$A82,$A82)&gt;1,"duplicado (se ignora)","aplicado")))</f>
        <v/>
      </c>
      <c r="G82" s="16">
        <f>IF($F82&lt;&gt;"aplicado","",IF(IFERROR(INDEX('ORDENES'!$K$4:$K$1203,MATCH($A82,'ORDENES'!$AQ$4:$AQ$1203,0)),"")="","",$B82-IFERROR(INDEX('ORDENES'!$K$4:$K$1203,MATCH($A82,'ORDENES'!$AQ$4:$AQ$1203,0)),"")))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IF($A83="","",IFERROR(INDEX('ORDENES'!$D$4:$D$1203,MATCH($A83,'ORDENES'!$AQ$4:$AQ$1203,0)),"(no encontrada)"))</f>
        <v/>
      </c>
      <c r="F83" s="3">
        <f>IF($A83="","",IF(ISNA(MATCH($A83,'ORDENES'!$AQ$4:$AQ$1203,0)),"huérfano",IF(COUNTIF($A$4:$A83,$A83)&gt;1,"duplicado (se ignora)","aplicado")))</f>
        <v/>
      </c>
      <c r="G83" s="16">
        <f>IF($F83&lt;&gt;"aplicado","",IF(IFERROR(INDEX('ORDENES'!$K$4:$K$1203,MATCH($A83,'ORDENES'!$AQ$4:$AQ$1203,0)),"")="","",$B83-IFERROR(INDEX('ORDENES'!$K$4:$K$1203,MATCH($A83,'ORDENES'!$AQ$4:$AQ$1203,0)),"")))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IF($A84="","",IFERROR(INDEX('ORDENES'!$D$4:$D$1203,MATCH($A84,'ORDENES'!$AQ$4:$AQ$1203,0)),"(no encontrada)"))</f>
        <v/>
      </c>
      <c r="F84" s="3">
        <f>IF($A84="","",IF(ISNA(MATCH($A84,'ORDENES'!$AQ$4:$AQ$1203,0)),"huérfano",IF(COUNTIF($A$4:$A84,$A84)&gt;1,"duplicado (se ignora)","aplicado")))</f>
        <v/>
      </c>
      <c r="G84" s="16">
        <f>IF($F84&lt;&gt;"aplicado","",IF(IFERROR(INDEX('ORDENES'!$K$4:$K$1203,MATCH($A84,'ORDENES'!$AQ$4:$AQ$1203,0)),"")="","",$B84-IFERROR(INDEX('ORDENES'!$K$4:$K$1203,MATCH($A84,'ORDENES'!$AQ$4:$AQ$1203,0)),"")))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IF($A85="","",IFERROR(INDEX('ORDENES'!$D$4:$D$1203,MATCH($A85,'ORDENES'!$AQ$4:$AQ$1203,0)),"(no encontrada)"))</f>
        <v/>
      </c>
      <c r="F85" s="3">
        <f>IF($A85="","",IF(ISNA(MATCH($A85,'ORDENES'!$AQ$4:$AQ$1203,0)),"huérfano",IF(COUNTIF($A$4:$A85,$A85)&gt;1,"duplicado (se ignora)","aplicado")))</f>
        <v/>
      </c>
      <c r="G85" s="16">
        <f>IF($F85&lt;&gt;"aplicado","",IF(IFERROR(INDEX('ORDENES'!$K$4:$K$1203,MATCH($A85,'ORDENES'!$AQ$4:$AQ$1203,0)),"")="","",$B85-IFERROR(INDEX('ORDENES'!$K$4:$K$1203,MATCH($A85,'ORDENES'!$AQ$4:$AQ$1203,0)),"")))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IF($A86="","",IFERROR(INDEX('ORDENES'!$D$4:$D$1203,MATCH($A86,'ORDENES'!$AQ$4:$AQ$1203,0)),"(no encontrada)"))</f>
        <v/>
      </c>
      <c r="F86" s="3">
        <f>IF($A86="","",IF(ISNA(MATCH($A86,'ORDENES'!$AQ$4:$AQ$1203,0)),"huérfano",IF(COUNTIF($A$4:$A86,$A86)&gt;1,"duplicado (se ignora)","aplicado")))</f>
        <v/>
      </c>
      <c r="G86" s="16">
        <f>IF($F86&lt;&gt;"aplicado","",IF(IFERROR(INDEX('ORDENES'!$K$4:$K$1203,MATCH($A86,'ORDENES'!$AQ$4:$AQ$1203,0)),"")="","",$B86-IFERROR(INDEX('ORDENES'!$K$4:$K$1203,MATCH($A86,'ORDENES'!$AQ$4:$AQ$1203,0)),"")))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IF($A87="","",IFERROR(INDEX('ORDENES'!$D$4:$D$1203,MATCH($A87,'ORDENES'!$AQ$4:$AQ$1203,0)),"(no encontrada)"))</f>
        <v/>
      </c>
      <c r="F87" s="3">
        <f>IF($A87="","",IF(ISNA(MATCH($A87,'ORDENES'!$AQ$4:$AQ$1203,0)),"huérfano",IF(COUNTIF($A$4:$A87,$A87)&gt;1,"duplicado (se ignora)","aplicado")))</f>
        <v/>
      </c>
      <c r="G87" s="16">
        <f>IF($F87&lt;&gt;"aplicado","",IF(IFERROR(INDEX('ORDENES'!$K$4:$K$1203,MATCH($A87,'ORDENES'!$AQ$4:$AQ$1203,0)),"")="","",$B87-IFERROR(INDEX('ORDENES'!$K$4:$K$1203,MATCH($A87,'ORDENES'!$AQ$4:$AQ$1203,0)),"")))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IF($A88="","",IFERROR(INDEX('ORDENES'!$D$4:$D$1203,MATCH($A88,'ORDENES'!$AQ$4:$AQ$1203,0)),"(no encontrada)"))</f>
        <v/>
      </c>
      <c r="F88" s="3">
        <f>IF($A88="","",IF(ISNA(MATCH($A88,'ORDENES'!$AQ$4:$AQ$1203,0)),"huérfano",IF(COUNTIF($A$4:$A88,$A88)&gt;1,"duplicado (se ignora)","aplicado")))</f>
        <v/>
      </c>
      <c r="G88" s="16">
        <f>IF($F88&lt;&gt;"aplicado","",IF(IFERROR(INDEX('ORDENES'!$K$4:$K$1203,MATCH($A88,'ORDENES'!$AQ$4:$AQ$1203,0)),"")="","",$B88-IFERROR(INDEX('ORDENES'!$K$4:$K$1203,MATCH($A88,'ORDENES'!$AQ$4:$AQ$1203,0)),"")))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IF($A89="","",IFERROR(INDEX('ORDENES'!$D$4:$D$1203,MATCH($A89,'ORDENES'!$AQ$4:$AQ$1203,0)),"(no encontrada)"))</f>
        <v/>
      </c>
      <c r="F89" s="3">
        <f>IF($A89="","",IF(ISNA(MATCH($A89,'ORDENES'!$AQ$4:$AQ$1203,0)),"huérfano",IF(COUNTIF($A$4:$A89,$A89)&gt;1,"duplicado (se ignora)","aplicado")))</f>
        <v/>
      </c>
      <c r="G89" s="16">
        <f>IF($F89&lt;&gt;"aplicado","",IF(IFERROR(INDEX('ORDENES'!$K$4:$K$1203,MATCH($A89,'ORDENES'!$AQ$4:$AQ$1203,0)),"")="","",$B89-IFERROR(INDEX('ORDENES'!$K$4:$K$1203,MATCH($A89,'ORDENES'!$AQ$4:$AQ$1203,0)),"")))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IF($A90="","",IFERROR(INDEX('ORDENES'!$D$4:$D$1203,MATCH($A90,'ORDENES'!$AQ$4:$AQ$1203,0)),"(no encontrada)"))</f>
        <v/>
      </c>
      <c r="F90" s="3">
        <f>IF($A90="","",IF(ISNA(MATCH($A90,'ORDENES'!$AQ$4:$AQ$1203,0)),"huérfano",IF(COUNTIF($A$4:$A90,$A90)&gt;1,"duplicado (se ignora)","aplicado")))</f>
        <v/>
      </c>
      <c r="G90" s="16">
        <f>IF($F90&lt;&gt;"aplicado","",IF(IFERROR(INDEX('ORDENES'!$K$4:$K$1203,MATCH($A90,'ORDENES'!$AQ$4:$AQ$1203,0)),"")="","",$B90-IFERROR(INDEX('ORDENES'!$K$4:$K$1203,MATCH($A90,'ORDENES'!$AQ$4:$AQ$1203,0)),"")))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IF($A91="","",IFERROR(INDEX('ORDENES'!$D$4:$D$1203,MATCH($A91,'ORDENES'!$AQ$4:$AQ$1203,0)),"(no encontrada)"))</f>
        <v/>
      </c>
      <c r="F91" s="3">
        <f>IF($A91="","",IF(ISNA(MATCH($A91,'ORDENES'!$AQ$4:$AQ$1203,0)),"huérfano",IF(COUNTIF($A$4:$A91,$A91)&gt;1,"duplicado (se ignora)","aplicado")))</f>
        <v/>
      </c>
      <c r="G91" s="16">
        <f>IF($F91&lt;&gt;"aplicado","",IF(IFERROR(INDEX('ORDENES'!$K$4:$K$1203,MATCH($A91,'ORDENES'!$AQ$4:$AQ$1203,0)),"")="","",$B91-IFERROR(INDEX('ORDENES'!$K$4:$K$1203,MATCH($A91,'ORDENES'!$AQ$4:$AQ$1203,0)),"")))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IF($A92="","",IFERROR(INDEX('ORDENES'!$D$4:$D$1203,MATCH($A92,'ORDENES'!$AQ$4:$AQ$1203,0)),"(no encontrada)"))</f>
        <v/>
      </c>
      <c r="F92" s="3">
        <f>IF($A92="","",IF(ISNA(MATCH($A92,'ORDENES'!$AQ$4:$AQ$1203,0)),"huérfano",IF(COUNTIF($A$4:$A92,$A92)&gt;1,"duplicado (se ignora)","aplicado")))</f>
        <v/>
      </c>
      <c r="G92" s="16">
        <f>IF($F92&lt;&gt;"aplicado","",IF(IFERROR(INDEX('ORDENES'!$K$4:$K$1203,MATCH($A92,'ORDENES'!$AQ$4:$AQ$1203,0)),"")="","",$B92-IFERROR(INDEX('ORDENES'!$K$4:$K$1203,MATCH($A92,'ORDENES'!$AQ$4:$AQ$1203,0)),"")))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IF($A93="","",IFERROR(INDEX('ORDENES'!$D$4:$D$1203,MATCH($A93,'ORDENES'!$AQ$4:$AQ$1203,0)),"(no encontrada)"))</f>
        <v/>
      </c>
      <c r="F93" s="3">
        <f>IF($A93="","",IF(ISNA(MATCH($A93,'ORDENES'!$AQ$4:$AQ$1203,0)),"huérfano",IF(COUNTIF($A$4:$A93,$A93)&gt;1,"duplicado (se ignora)","aplicado")))</f>
        <v/>
      </c>
      <c r="G93" s="16">
        <f>IF($F93&lt;&gt;"aplicado","",IF(IFERROR(INDEX('ORDENES'!$K$4:$K$1203,MATCH($A93,'ORDENES'!$AQ$4:$AQ$1203,0)),"")="","",$B93-IFERROR(INDEX('ORDENES'!$K$4:$K$1203,MATCH($A93,'ORDENES'!$AQ$4:$AQ$1203,0)),"")))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IF($A94="","",IFERROR(INDEX('ORDENES'!$D$4:$D$1203,MATCH($A94,'ORDENES'!$AQ$4:$AQ$1203,0)),"(no encontrada)"))</f>
        <v/>
      </c>
      <c r="F94" s="3">
        <f>IF($A94="","",IF(ISNA(MATCH($A94,'ORDENES'!$AQ$4:$AQ$1203,0)),"huérfano",IF(COUNTIF($A$4:$A94,$A94)&gt;1,"duplicado (se ignora)","aplicado")))</f>
        <v/>
      </c>
      <c r="G94" s="16">
        <f>IF($F94&lt;&gt;"aplicado","",IF(IFERROR(INDEX('ORDENES'!$K$4:$K$1203,MATCH($A94,'ORDENES'!$AQ$4:$AQ$1203,0)),"")="","",$B94-IFERROR(INDEX('ORDENES'!$K$4:$K$1203,MATCH($A94,'ORDENES'!$AQ$4:$AQ$1203,0)),"")))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IF($A95="","",IFERROR(INDEX('ORDENES'!$D$4:$D$1203,MATCH($A95,'ORDENES'!$AQ$4:$AQ$1203,0)),"(no encontrada)"))</f>
        <v/>
      </c>
      <c r="F95" s="3">
        <f>IF($A95="","",IF(ISNA(MATCH($A95,'ORDENES'!$AQ$4:$AQ$1203,0)),"huérfano",IF(COUNTIF($A$4:$A95,$A95)&gt;1,"duplicado (se ignora)","aplicado")))</f>
        <v/>
      </c>
      <c r="G95" s="16">
        <f>IF($F95&lt;&gt;"aplicado","",IF(IFERROR(INDEX('ORDENES'!$K$4:$K$1203,MATCH($A95,'ORDENES'!$AQ$4:$AQ$1203,0)),"")="","",$B95-IFERROR(INDEX('ORDENES'!$K$4:$K$1203,MATCH($A95,'ORDENES'!$AQ$4:$AQ$1203,0)),"")))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IF($A96="","",IFERROR(INDEX('ORDENES'!$D$4:$D$1203,MATCH($A96,'ORDENES'!$AQ$4:$AQ$1203,0)),"(no encontrada)"))</f>
        <v/>
      </c>
      <c r="F96" s="3">
        <f>IF($A96="","",IF(ISNA(MATCH($A96,'ORDENES'!$AQ$4:$AQ$1203,0)),"huérfano",IF(COUNTIF($A$4:$A96,$A96)&gt;1,"duplicado (se ignora)","aplicado")))</f>
        <v/>
      </c>
      <c r="G96" s="16">
        <f>IF($F96&lt;&gt;"aplicado","",IF(IFERROR(INDEX('ORDENES'!$K$4:$K$1203,MATCH($A96,'ORDENES'!$AQ$4:$AQ$1203,0)),"")="","",$B96-IFERROR(INDEX('ORDENES'!$K$4:$K$1203,MATCH($A96,'ORDENES'!$AQ$4:$AQ$1203,0)),"")))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IF($A97="","",IFERROR(INDEX('ORDENES'!$D$4:$D$1203,MATCH($A97,'ORDENES'!$AQ$4:$AQ$1203,0)),"(no encontrada)"))</f>
        <v/>
      </c>
      <c r="F97" s="3">
        <f>IF($A97="","",IF(ISNA(MATCH($A97,'ORDENES'!$AQ$4:$AQ$1203,0)),"huérfano",IF(COUNTIF($A$4:$A97,$A97)&gt;1,"duplicado (se ignora)","aplicado")))</f>
        <v/>
      </c>
      <c r="G97" s="16">
        <f>IF($F97&lt;&gt;"aplicado","",IF(IFERROR(INDEX('ORDENES'!$K$4:$K$1203,MATCH($A97,'ORDENES'!$AQ$4:$AQ$1203,0)),"")="","",$B97-IFERROR(INDEX('ORDENES'!$K$4:$K$1203,MATCH($A97,'ORDENES'!$AQ$4:$AQ$1203,0)),"")))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IF($A98="","",IFERROR(INDEX('ORDENES'!$D$4:$D$1203,MATCH($A98,'ORDENES'!$AQ$4:$AQ$1203,0)),"(no encontrada)"))</f>
        <v/>
      </c>
      <c r="F98" s="3">
        <f>IF($A98="","",IF(ISNA(MATCH($A98,'ORDENES'!$AQ$4:$AQ$1203,0)),"huérfano",IF(COUNTIF($A$4:$A98,$A98)&gt;1,"duplicado (se ignora)","aplicado")))</f>
        <v/>
      </c>
      <c r="G98" s="16">
        <f>IF($F98&lt;&gt;"aplicado","",IF(IFERROR(INDEX('ORDENES'!$K$4:$K$1203,MATCH($A98,'ORDENES'!$AQ$4:$AQ$1203,0)),"")="","",$B98-IFERROR(INDEX('ORDENES'!$K$4:$K$1203,MATCH($A98,'ORDENES'!$AQ$4:$AQ$1203,0)),"")))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IF($A99="","",IFERROR(INDEX('ORDENES'!$D$4:$D$1203,MATCH($A99,'ORDENES'!$AQ$4:$AQ$1203,0)),"(no encontrada)"))</f>
        <v/>
      </c>
      <c r="F99" s="3">
        <f>IF($A99="","",IF(ISNA(MATCH($A99,'ORDENES'!$AQ$4:$AQ$1203,0)),"huérfano",IF(COUNTIF($A$4:$A99,$A99)&gt;1,"duplicado (se ignora)","aplicado")))</f>
        <v/>
      </c>
      <c r="G99" s="16">
        <f>IF($F99&lt;&gt;"aplicado","",IF(IFERROR(INDEX('ORDENES'!$K$4:$K$1203,MATCH($A99,'ORDENES'!$AQ$4:$AQ$1203,0)),"")="","",$B99-IFERROR(INDEX('ORDENES'!$K$4:$K$1203,MATCH($A99,'ORDENES'!$AQ$4:$AQ$1203,0)),"")))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IF($A100="","",IFERROR(INDEX('ORDENES'!$D$4:$D$1203,MATCH($A100,'ORDENES'!$AQ$4:$AQ$1203,0)),"(no encontrada)"))</f>
        <v/>
      </c>
      <c r="F100" s="3">
        <f>IF($A100="","",IF(ISNA(MATCH($A100,'ORDENES'!$AQ$4:$AQ$1203,0)),"huérfano",IF(COUNTIF($A$4:$A100,$A100)&gt;1,"duplicado (se ignora)","aplicado")))</f>
        <v/>
      </c>
      <c r="G100" s="16">
        <f>IF($F100&lt;&gt;"aplicado","",IF(IFERROR(INDEX('ORDENES'!$K$4:$K$1203,MATCH($A100,'ORDENES'!$AQ$4:$AQ$1203,0)),"")="","",$B100-IFERROR(INDEX('ORDENES'!$K$4:$K$1203,MATCH($A100,'ORDENES'!$AQ$4:$AQ$1203,0)),"")))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IF($A101="","",IFERROR(INDEX('ORDENES'!$D$4:$D$1203,MATCH($A101,'ORDENES'!$AQ$4:$AQ$1203,0)),"(no encontrada)"))</f>
        <v/>
      </c>
      <c r="F101" s="3">
        <f>IF($A101="","",IF(ISNA(MATCH($A101,'ORDENES'!$AQ$4:$AQ$1203,0)),"huérfano",IF(COUNTIF($A$4:$A101,$A101)&gt;1,"duplicado (se ignora)","aplicado")))</f>
        <v/>
      </c>
      <c r="G101" s="16">
        <f>IF($F101&lt;&gt;"aplicado","",IF(IFERROR(INDEX('ORDENES'!$K$4:$K$1203,MATCH($A101,'ORDENES'!$AQ$4:$AQ$1203,0)),"")="","",$B101-IFERROR(INDEX('ORDENES'!$K$4:$K$1203,MATCH($A101,'ORDENES'!$AQ$4:$AQ$1203,0)),"")))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IF($A102="","",IFERROR(INDEX('ORDENES'!$D$4:$D$1203,MATCH($A102,'ORDENES'!$AQ$4:$AQ$1203,0)),"(no encontrada)"))</f>
        <v/>
      </c>
      <c r="F102" s="3">
        <f>IF($A102="","",IF(ISNA(MATCH($A102,'ORDENES'!$AQ$4:$AQ$1203,0)),"huérfano",IF(COUNTIF($A$4:$A102,$A102)&gt;1,"duplicado (se ignora)","aplicado")))</f>
        <v/>
      </c>
      <c r="G102" s="16">
        <f>IF($F102&lt;&gt;"aplicado","",IF(IFERROR(INDEX('ORDENES'!$K$4:$K$1203,MATCH($A102,'ORDENES'!$AQ$4:$AQ$1203,0)),"")="","",$B102-IFERROR(INDEX('ORDENES'!$K$4:$K$1203,MATCH($A102,'ORDENES'!$AQ$4:$AQ$1203,0)),"")))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IF($A103="","",IFERROR(INDEX('ORDENES'!$D$4:$D$1203,MATCH($A103,'ORDENES'!$AQ$4:$AQ$1203,0)),"(no encontrada)"))</f>
        <v/>
      </c>
      <c r="F103" s="3">
        <f>IF($A103="","",IF(ISNA(MATCH($A103,'ORDENES'!$AQ$4:$AQ$1203,0)),"huérfano",IF(COUNTIF($A$4:$A103,$A103)&gt;1,"duplicado (se ignora)","aplicado")))</f>
        <v/>
      </c>
      <c r="G103" s="16">
        <f>IF($F103&lt;&gt;"aplicado","",IF(IFERROR(INDEX('ORDENES'!$K$4:$K$1203,MATCH($A103,'ORDENES'!$AQ$4:$AQ$1203,0)),"")="","",$B103-IFERROR(INDEX('ORDENES'!$K$4:$K$1203,MATCH($A103,'ORDENES'!$AQ$4:$AQ$1203,0)),"")))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IF($A104="","",IFERROR(INDEX('ORDENES'!$D$4:$D$1203,MATCH($A104,'ORDENES'!$AQ$4:$AQ$1203,0)),"(no encontrada)"))</f>
        <v/>
      </c>
      <c r="F104" s="3">
        <f>IF($A104="","",IF(ISNA(MATCH($A104,'ORDENES'!$AQ$4:$AQ$1203,0)),"huérfano",IF(COUNTIF($A$4:$A104,$A104)&gt;1,"duplicado (se ignora)","aplicado")))</f>
        <v/>
      </c>
      <c r="G104" s="16">
        <f>IF($F104&lt;&gt;"aplicado","",IF(IFERROR(INDEX('ORDENES'!$K$4:$K$1203,MATCH($A104,'ORDENES'!$AQ$4:$AQ$1203,0)),"")="","",$B104-IFERROR(INDEX('ORDENES'!$K$4:$K$1203,MATCH($A104,'ORDENES'!$AQ$4:$AQ$1203,0)),"")))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IF($A105="","",IFERROR(INDEX('ORDENES'!$D$4:$D$1203,MATCH($A105,'ORDENES'!$AQ$4:$AQ$1203,0)),"(no encontrada)"))</f>
        <v/>
      </c>
      <c r="F105" s="3">
        <f>IF($A105="","",IF(ISNA(MATCH($A105,'ORDENES'!$AQ$4:$AQ$1203,0)),"huérfano",IF(COUNTIF($A$4:$A105,$A105)&gt;1,"duplicado (se ignora)","aplicado")))</f>
        <v/>
      </c>
      <c r="G105" s="16">
        <f>IF($F105&lt;&gt;"aplicado","",IF(IFERROR(INDEX('ORDENES'!$K$4:$K$1203,MATCH($A105,'ORDENES'!$AQ$4:$AQ$1203,0)),"")="","",$B105-IFERROR(INDEX('ORDENES'!$K$4:$K$1203,MATCH($A105,'ORDENES'!$AQ$4:$AQ$1203,0)),"")))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IF($A106="","",IFERROR(INDEX('ORDENES'!$D$4:$D$1203,MATCH($A106,'ORDENES'!$AQ$4:$AQ$1203,0)),"(no encontrada)"))</f>
        <v/>
      </c>
      <c r="F106" s="3">
        <f>IF($A106="","",IF(ISNA(MATCH($A106,'ORDENES'!$AQ$4:$AQ$1203,0)),"huérfano",IF(COUNTIF($A$4:$A106,$A106)&gt;1,"duplicado (se ignora)","aplicado")))</f>
        <v/>
      </c>
      <c r="G106" s="16">
        <f>IF($F106&lt;&gt;"aplicado","",IF(IFERROR(INDEX('ORDENES'!$K$4:$K$1203,MATCH($A106,'ORDENES'!$AQ$4:$AQ$1203,0)),"")="","",$B106-IFERROR(INDEX('ORDENES'!$K$4:$K$1203,MATCH($A106,'ORDENES'!$AQ$4:$AQ$1203,0)),"")))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IF($A107="","",IFERROR(INDEX('ORDENES'!$D$4:$D$1203,MATCH($A107,'ORDENES'!$AQ$4:$AQ$1203,0)),"(no encontrada)"))</f>
        <v/>
      </c>
      <c r="F107" s="3">
        <f>IF($A107="","",IF(ISNA(MATCH($A107,'ORDENES'!$AQ$4:$AQ$1203,0)),"huérfano",IF(COUNTIF($A$4:$A107,$A107)&gt;1,"duplicado (se ignora)","aplicado")))</f>
        <v/>
      </c>
      <c r="G107" s="16">
        <f>IF($F107&lt;&gt;"aplicado","",IF(IFERROR(INDEX('ORDENES'!$K$4:$K$1203,MATCH($A107,'ORDENES'!$AQ$4:$AQ$1203,0)),"")="","",$B107-IFERROR(INDEX('ORDENES'!$K$4:$K$1203,MATCH($A107,'ORDENES'!$AQ$4:$AQ$1203,0)),"")))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IF($A108="","",IFERROR(INDEX('ORDENES'!$D$4:$D$1203,MATCH($A108,'ORDENES'!$AQ$4:$AQ$1203,0)),"(no encontrada)"))</f>
        <v/>
      </c>
      <c r="F108" s="3">
        <f>IF($A108="","",IF(ISNA(MATCH($A108,'ORDENES'!$AQ$4:$AQ$1203,0)),"huérfano",IF(COUNTIF($A$4:$A108,$A108)&gt;1,"duplicado (se ignora)","aplicado")))</f>
        <v/>
      </c>
      <c r="G108" s="16">
        <f>IF($F108&lt;&gt;"aplicado","",IF(IFERROR(INDEX('ORDENES'!$K$4:$K$1203,MATCH($A108,'ORDENES'!$AQ$4:$AQ$1203,0)),"")="","",$B108-IFERROR(INDEX('ORDENES'!$K$4:$K$1203,MATCH($A108,'ORDENES'!$AQ$4:$AQ$1203,0)),"")))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IF($A109="","",IFERROR(INDEX('ORDENES'!$D$4:$D$1203,MATCH($A109,'ORDENES'!$AQ$4:$AQ$1203,0)),"(no encontrada)"))</f>
        <v/>
      </c>
      <c r="F109" s="3">
        <f>IF($A109="","",IF(ISNA(MATCH($A109,'ORDENES'!$AQ$4:$AQ$1203,0)),"huérfano",IF(COUNTIF($A$4:$A109,$A109)&gt;1,"duplicado (se ignora)","aplicado")))</f>
        <v/>
      </c>
      <c r="G109" s="16">
        <f>IF($F109&lt;&gt;"aplicado","",IF(IFERROR(INDEX('ORDENES'!$K$4:$K$1203,MATCH($A109,'ORDENES'!$AQ$4:$AQ$1203,0)),"")="","",$B109-IFERROR(INDEX('ORDENES'!$K$4:$K$1203,MATCH($A109,'ORDENES'!$AQ$4:$AQ$1203,0)),"")))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IF($A110="","",IFERROR(INDEX('ORDENES'!$D$4:$D$1203,MATCH($A110,'ORDENES'!$AQ$4:$AQ$1203,0)),"(no encontrada)"))</f>
        <v/>
      </c>
      <c r="F110" s="3">
        <f>IF($A110="","",IF(ISNA(MATCH($A110,'ORDENES'!$AQ$4:$AQ$1203,0)),"huérfano",IF(COUNTIF($A$4:$A110,$A110)&gt;1,"duplicado (se ignora)","aplicado")))</f>
        <v/>
      </c>
      <c r="G110" s="16">
        <f>IF($F110&lt;&gt;"aplicado","",IF(IFERROR(INDEX('ORDENES'!$K$4:$K$1203,MATCH($A110,'ORDENES'!$AQ$4:$AQ$1203,0)),"")="","",$B110-IFERROR(INDEX('ORDENES'!$K$4:$K$1203,MATCH($A110,'ORDENES'!$AQ$4:$AQ$1203,0)),"")))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IF($A111="","",IFERROR(INDEX('ORDENES'!$D$4:$D$1203,MATCH($A111,'ORDENES'!$AQ$4:$AQ$1203,0)),"(no encontrada)"))</f>
        <v/>
      </c>
      <c r="F111" s="3">
        <f>IF($A111="","",IF(ISNA(MATCH($A111,'ORDENES'!$AQ$4:$AQ$1203,0)),"huérfano",IF(COUNTIF($A$4:$A111,$A111)&gt;1,"duplicado (se ignora)","aplicado")))</f>
        <v/>
      </c>
      <c r="G111" s="16">
        <f>IF($F111&lt;&gt;"aplicado","",IF(IFERROR(INDEX('ORDENES'!$K$4:$K$1203,MATCH($A111,'ORDENES'!$AQ$4:$AQ$1203,0)),"")="","",$B111-IFERROR(INDEX('ORDENES'!$K$4:$K$1203,MATCH($A111,'ORDENES'!$AQ$4:$AQ$1203,0)),"")))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IF($A112="","",IFERROR(INDEX('ORDENES'!$D$4:$D$1203,MATCH($A112,'ORDENES'!$AQ$4:$AQ$1203,0)),"(no encontrada)"))</f>
        <v/>
      </c>
      <c r="F112" s="3">
        <f>IF($A112="","",IF(ISNA(MATCH($A112,'ORDENES'!$AQ$4:$AQ$1203,0)),"huérfano",IF(COUNTIF($A$4:$A112,$A112)&gt;1,"duplicado (se ignora)","aplicado")))</f>
        <v/>
      </c>
      <c r="G112" s="16">
        <f>IF($F112&lt;&gt;"aplicado","",IF(IFERROR(INDEX('ORDENES'!$K$4:$K$1203,MATCH($A112,'ORDENES'!$AQ$4:$AQ$1203,0)),"")="","",$B112-IFERROR(INDEX('ORDENES'!$K$4:$K$1203,MATCH($A112,'ORDENES'!$AQ$4:$AQ$1203,0)),"")))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IF($A113="","",IFERROR(INDEX('ORDENES'!$D$4:$D$1203,MATCH($A113,'ORDENES'!$AQ$4:$AQ$1203,0)),"(no encontrada)"))</f>
        <v/>
      </c>
      <c r="F113" s="3">
        <f>IF($A113="","",IF(ISNA(MATCH($A113,'ORDENES'!$AQ$4:$AQ$1203,0)),"huérfano",IF(COUNTIF($A$4:$A113,$A113)&gt;1,"duplicado (se ignora)","aplicado")))</f>
        <v/>
      </c>
      <c r="G113" s="16">
        <f>IF($F113&lt;&gt;"aplicado","",IF(IFERROR(INDEX('ORDENES'!$K$4:$K$1203,MATCH($A113,'ORDENES'!$AQ$4:$AQ$1203,0)),"")="","",$B113-IFERROR(INDEX('ORDENES'!$K$4:$K$1203,MATCH($A113,'ORDENES'!$AQ$4:$AQ$1203,0)),"")))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IF($A114="","",IFERROR(INDEX('ORDENES'!$D$4:$D$1203,MATCH($A114,'ORDENES'!$AQ$4:$AQ$1203,0)),"(no encontrada)"))</f>
        <v/>
      </c>
      <c r="F114" s="3">
        <f>IF($A114="","",IF(ISNA(MATCH($A114,'ORDENES'!$AQ$4:$AQ$1203,0)),"huérfano",IF(COUNTIF($A$4:$A114,$A114)&gt;1,"duplicado (se ignora)","aplicado")))</f>
        <v/>
      </c>
      <c r="G114" s="16">
        <f>IF($F114&lt;&gt;"aplicado","",IF(IFERROR(INDEX('ORDENES'!$K$4:$K$1203,MATCH($A114,'ORDENES'!$AQ$4:$AQ$1203,0)),"")="","",$B114-IFERROR(INDEX('ORDENES'!$K$4:$K$1203,MATCH($A114,'ORDENES'!$AQ$4:$AQ$1203,0)),"")))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IF($A115="","",IFERROR(INDEX('ORDENES'!$D$4:$D$1203,MATCH($A115,'ORDENES'!$AQ$4:$AQ$1203,0)),"(no encontrada)"))</f>
        <v/>
      </c>
      <c r="F115" s="3">
        <f>IF($A115="","",IF(ISNA(MATCH($A115,'ORDENES'!$AQ$4:$AQ$1203,0)),"huérfano",IF(COUNTIF($A$4:$A115,$A115)&gt;1,"duplicado (se ignora)","aplicado")))</f>
        <v/>
      </c>
      <c r="G115" s="16">
        <f>IF($F115&lt;&gt;"aplicado","",IF(IFERROR(INDEX('ORDENES'!$K$4:$K$1203,MATCH($A115,'ORDENES'!$AQ$4:$AQ$1203,0)),"")="","",$B115-IFERROR(INDEX('ORDENES'!$K$4:$K$1203,MATCH($A115,'ORDENES'!$AQ$4:$AQ$1203,0)),"")))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IF($A116="","",IFERROR(INDEX('ORDENES'!$D$4:$D$1203,MATCH($A116,'ORDENES'!$AQ$4:$AQ$1203,0)),"(no encontrada)"))</f>
        <v/>
      </c>
      <c r="F116" s="3">
        <f>IF($A116="","",IF(ISNA(MATCH($A116,'ORDENES'!$AQ$4:$AQ$1203,0)),"huérfano",IF(COUNTIF($A$4:$A116,$A116)&gt;1,"duplicado (se ignora)","aplicado")))</f>
        <v/>
      </c>
      <c r="G116" s="16">
        <f>IF($F116&lt;&gt;"aplicado","",IF(IFERROR(INDEX('ORDENES'!$K$4:$K$1203,MATCH($A116,'ORDENES'!$AQ$4:$AQ$1203,0)),"")="","",$B116-IFERROR(INDEX('ORDENES'!$K$4:$K$1203,MATCH($A116,'ORDENES'!$AQ$4:$AQ$1203,0)),"")))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IF($A117="","",IFERROR(INDEX('ORDENES'!$D$4:$D$1203,MATCH($A117,'ORDENES'!$AQ$4:$AQ$1203,0)),"(no encontrada)"))</f>
        <v/>
      </c>
      <c r="F117" s="3">
        <f>IF($A117="","",IF(ISNA(MATCH($A117,'ORDENES'!$AQ$4:$AQ$1203,0)),"huérfano",IF(COUNTIF($A$4:$A117,$A117)&gt;1,"duplicado (se ignora)","aplicado")))</f>
        <v/>
      </c>
      <c r="G117" s="16">
        <f>IF($F117&lt;&gt;"aplicado","",IF(IFERROR(INDEX('ORDENES'!$K$4:$K$1203,MATCH($A117,'ORDENES'!$AQ$4:$AQ$1203,0)),"")="","",$B117-IFERROR(INDEX('ORDENES'!$K$4:$K$1203,MATCH($A117,'ORDENES'!$AQ$4:$AQ$1203,0)),"")))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IF($A118="","",IFERROR(INDEX('ORDENES'!$D$4:$D$1203,MATCH($A118,'ORDENES'!$AQ$4:$AQ$1203,0)),"(no encontrada)"))</f>
        <v/>
      </c>
      <c r="F118" s="3">
        <f>IF($A118="","",IF(ISNA(MATCH($A118,'ORDENES'!$AQ$4:$AQ$1203,0)),"huérfano",IF(COUNTIF($A$4:$A118,$A118)&gt;1,"duplicado (se ignora)","aplicado")))</f>
        <v/>
      </c>
      <c r="G118" s="16">
        <f>IF($F118&lt;&gt;"aplicado","",IF(IFERROR(INDEX('ORDENES'!$K$4:$K$1203,MATCH($A118,'ORDENES'!$AQ$4:$AQ$1203,0)),"")="","",$B118-IFERROR(INDEX('ORDENES'!$K$4:$K$1203,MATCH($A118,'ORDENES'!$AQ$4:$AQ$1203,0)),"")))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IF($A119="","",IFERROR(INDEX('ORDENES'!$D$4:$D$1203,MATCH($A119,'ORDENES'!$AQ$4:$AQ$1203,0)),"(no encontrada)"))</f>
        <v/>
      </c>
      <c r="F119" s="3">
        <f>IF($A119="","",IF(ISNA(MATCH($A119,'ORDENES'!$AQ$4:$AQ$1203,0)),"huérfano",IF(COUNTIF($A$4:$A119,$A119)&gt;1,"duplicado (se ignora)","aplicado")))</f>
        <v/>
      </c>
      <c r="G119" s="16">
        <f>IF($F119&lt;&gt;"aplicado","",IF(IFERROR(INDEX('ORDENES'!$K$4:$K$1203,MATCH($A119,'ORDENES'!$AQ$4:$AQ$1203,0)),"")="","",$B119-IFERROR(INDEX('ORDENES'!$K$4:$K$1203,MATCH($A119,'ORDENES'!$AQ$4:$AQ$1203,0)),"")))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IF($A120="","",IFERROR(INDEX('ORDENES'!$D$4:$D$1203,MATCH($A120,'ORDENES'!$AQ$4:$AQ$1203,0)),"(no encontrada)"))</f>
        <v/>
      </c>
      <c r="F120" s="3">
        <f>IF($A120="","",IF(ISNA(MATCH($A120,'ORDENES'!$AQ$4:$AQ$1203,0)),"huérfano",IF(COUNTIF($A$4:$A120,$A120)&gt;1,"duplicado (se ignora)","aplicado")))</f>
        <v/>
      </c>
      <c r="G120" s="16">
        <f>IF($F120&lt;&gt;"aplicado","",IF(IFERROR(INDEX('ORDENES'!$K$4:$K$1203,MATCH($A120,'ORDENES'!$AQ$4:$AQ$1203,0)),"")="","",$B120-IFERROR(INDEX('ORDENES'!$K$4:$K$1203,MATCH($A120,'ORDENES'!$AQ$4:$AQ$1203,0)),"")))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IF($A121="","",IFERROR(INDEX('ORDENES'!$D$4:$D$1203,MATCH($A121,'ORDENES'!$AQ$4:$AQ$1203,0)),"(no encontrada)"))</f>
        <v/>
      </c>
      <c r="F121" s="3">
        <f>IF($A121="","",IF(ISNA(MATCH($A121,'ORDENES'!$AQ$4:$AQ$1203,0)),"huérfano",IF(COUNTIF($A$4:$A121,$A121)&gt;1,"duplicado (se ignora)","aplicado")))</f>
        <v/>
      </c>
      <c r="G121" s="16">
        <f>IF($F121&lt;&gt;"aplicado","",IF(IFERROR(INDEX('ORDENES'!$K$4:$K$1203,MATCH($A121,'ORDENES'!$AQ$4:$AQ$1203,0)),"")="","",$B121-IFERROR(INDEX('ORDENES'!$K$4:$K$1203,MATCH($A121,'ORDENES'!$AQ$4:$AQ$1203,0)),"")))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IF($A122="","",IFERROR(INDEX('ORDENES'!$D$4:$D$1203,MATCH($A122,'ORDENES'!$AQ$4:$AQ$1203,0)),"(no encontrada)"))</f>
        <v/>
      </c>
      <c r="F122" s="3">
        <f>IF($A122="","",IF(ISNA(MATCH($A122,'ORDENES'!$AQ$4:$AQ$1203,0)),"huérfano",IF(COUNTIF($A$4:$A122,$A122)&gt;1,"duplicado (se ignora)","aplicado")))</f>
        <v/>
      </c>
      <c r="G122" s="16">
        <f>IF($F122&lt;&gt;"aplicado","",IF(IFERROR(INDEX('ORDENES'!$K$4:$K$1203,MATCH($A122,'ORDENES'!$AQ$4:$AQ$1203,0)),"")="","",$B122-IFERROR(INDEX('ORDENES'!$K$4:$K$1203,MATCH($A122,'ORDENES'!$AQ$4:$AQ$1203,0)),"")))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IF($A123="","",IFERROR(INDEX('ORDENES'!$D$4:$D$1203,MATCH($A123,'ORDENES'!$AQ$4:$AQ$1203,0)),"(no encontrada)"))</f>
        <v/>
      </c>
      <c r="F123" s="3">
        <f>IF($A123="","",IF(ISNA(MATCH($A123,'ORDENES'!$AQ$4:$AQ$1203,0)),"huérfano",IF(COUNTIF($A$4:$A123,$A123)&gt;1,"duplicado (se ignora)","aplicado")))</f>
        <v/>
      </c>
      <c r="G123" s="16">
        <f>IF($F123&lt;&gt;"aplicado","",IF(IFERROR(INDEX('ORDENES'!$K$4:$K$1203,MATCH($A123,'ORDENES'!$AQ$4:$AQ$1203,0)),"")="","",$B123-IFERROR(INDEX('ORDENES'!$K$4:$K$1203,MATCH($A123,'ORDENES'!$AQ$4:$AQ$1203,0)),"")))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IF($A124="","",IFERROR(INDEX('ORDENES'!$D$4:$D$1203,MATCH($A124,'ORDENES'!$AQ$4:$AQ$1203,0)),"(no encontrada)"))</f>
        <v/>
      </c>
      <c r="F124" s="3">
        <f>IF($A124="","",IF(ISNA(MATCH($A124,'ORDENES'!$AQ$4:$AQ$1203,0)),"huérfano",IF(COUNTIF($A$4:$A124,$A124)&gt;1,"duplicado (se ignora)","aplicado")))</f>
        <v/>
      </c>
      <c r="G124" s="16">
        <f>IF($F124&lt;&gt;"aplicado","",IF(IFERROR(INDEX('ORDENES'!$K$4:$K$1203,MATCH($A124,'ORDENES'!$AQ$4:$AQ$1203,0)),"")="","",$B124-IFERROR(INDEX('ORDENES'!$K$4:$K$1203,MATCH($A124,'ORDENES'!$AQ$4:$AQ$1203,0)),"")))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IF($A125="","",IFERROR(INDEX('ORDENES'!$D$4:$D$1203,MATCH($A125,'ORDENES'!$AQ$4:$AQ$1203,0)),"(no encontrada)"))</f>
        <v/>
      </c>
      <c r="F125" s="3">
        <f>IF($A125="","",IF(ISNA(MATCH($A125,'ORDENES'!$AQ$4:$AQ$1203,0)),"huérfano",IF(COUNTIF($A$4:$A125,$A125)&gt;1,"duplicado (se ignora)","aplicado")))</f>
        <v/>
      </c>
      <c r="G125" s="16">
        <f>IF($F125&lt;&gt;"aplicado","",IF(IFERROR(INDEX('ORDENES'!$K$4:$K$1203,MATCH($A125,'ORDENES'!$AQ$4:$AQ$1203,0)),"")="","",$B125-IFERROR(INDEX('ORDENES'!$K$4:$K$1203,MATCH($A125,'ORDENES'!$AQ$4:$AQ$1203,0)),"")))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IF($A126="","",IFERROR(INDEX('ORDENES'!$D$4:$D$1203,MATCH($A126,'ORDENES'!$AQ$4:$AQ$1203,0)),"(no encontrada)"))</f>
        <v/>
      </c>
      <c r="F126" s="3">
        <f>IF($A126="","",IF(ISNA(MATCH($A126,'ORDENES'!$AQ$4:$AQ$1203,0)),"huérfano",IF(COUNTIF($A$4:$A126,$A126)&gt;1,"duplicado (se ignora)","aplicado")))</f>
        <v/>
      </c>
      <c r="G126" s="16">
        <f>IF($F126&lt;&gt;"aplicado","",IF(IFERROR(INDEX('ORDENES'!$K$4:$K$1203,MATCH($A126,'ORDENES'!$AQ$4:$AQ$1203,0)),"")="","",$B126-IFERROR(INDEX('ORDENES'!$K$4:$K$1203,MATCH($A126,'ORDENES'!$AQ$4:$AQ$1203,0)),"")))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IF($A127="","",IFERROR(INDEX('ORDENES'!$D$4:$D$1203,MATCH($A127,'ORDENES'!$AQ$4:$AQ$1203,0)),"(no encontrada)"))</f>
        <v/>
      </c>
      <c r="F127" s="3">
        <f>IF($A127="","",IF(ISNA(MATCH($A127,'ORDENES'!$AQ$4:$AQ$1203,0)),"huérfano",IF(COUNTIF($A$4:$A127,$A127)&gt;1,"duplicado (se ignora)","aplicado")))</f>
        <v/>
      </c>
      <c r="G127" s="16">
        <f>IF($F127&lt;&gt;"aplicado","",IF(IFERROR(INDEX('ORDENES'!$K$4:$K$1203,MATCH($A127,'ORDENES'!$AQ$4:$AQ$1203,0)),"")="","",$B127-IFERROR(INDEX('ORDENES'!$K$4:$K$1203,MATCH($A127,'ORDENES'!$AQ$4:$AQ$1203,0)),"")))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IF($A128="","",IFERROR(INDEX('ORDENES'!$D$4:$D$1203,MATCH($A128,'ORDENES'!$AQ$4:$AQ$1203,0)),"(no encontrada)"))</f>
        <v/>
      </c>
      <c r="F128" s="3">
        <f>IF($A128="","",IF(ISNA(MATCH($A128,'ORDENES'!$AQ$4:$AQ$1203,0)),"huérfano",IF(COUNTIF($A$4:$A128,$A128)&gt;1,"duplicado (se ignora)","aplicado")))</f>
        <v/>
      </c>
      <c r="G128" s="16">
        <f>IF($F128&lt;&gt;"aplicado","",IF(IFERROR(INDEX('ORDENES'!$K$4:$K$1203,MATCH($A128,'ORDENES'!$AQ$4:$AQ$1203,0)),"")="","",$B128-IFERROR(INDEX('ORDENES'!$K$4:$K$1203,MATCH($A128,'ORDENES'!$AQ$4:$AQ$1203,0)),"")))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IF($A129="","",IFERROR(INDEX('ORDENES'!$D$4:$D$1203,MATCH($A129,'ORDENES'!$AQ$4:$AQ$1203,0)),"(no encontrada)"))</f>
        <v/>
      </c>
      <c r="F129" s="3">
        <f>IF($A129="","",IF(ISNA(MATCH($A129,'ORDENES'!$AQ$4:$AQ$1203,0)),"huérfano",IF(COUNTIF($A$4:$A129,$A129)&gt;1,"duplicado (se ignora)","aplicado")))</f>
        <v/>
      </c>
      <c r="G129" s="16">
        <f>IF($F129&lt;&gt;"aplicado","",IF(IFERROR(INDEX('ORDENES'!$K$4:$K$1203,MATCH($A129,'ORDENES'!$AQ$4:$AQ$1203,0)),"")="","",$B129-IFERROR(INDEX('ORDENES'!$K$4:$K$1203,MATCH($A129,'ORDENES'!$AQ$4:$AQ$1203,0)),"")))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IF($A130="","",IFERROR(INDEX('ORDENES'!$D$4:$D$1203,MATCH($A130,'ORDENES'!$AQ$4:$AQ$1203,0)),"(no encontrada)"))</f>
        <v/>
      </c>
      <c r="F130" s="3">
        <f>IF($A130="","",IF(ISNA(MATCH($A130,'ORDENES'!$AQ$4:$AQ$1203,0)),"huérfano",IF(COUNTIF($A$4:$A130,$A130)&gt;1,"duplicado (se ignora)","aplicado")))</f>
        <v/>
      </c>
      <c r="G130" s="16">
        <f>IF($F130&lt;&gt;"aplicado","",IF(IFERROR(INDEX('ORDENES'!$K$4:$K$1203,MATCH($A130,'ORDENES'!$AQ$4:$AQ$1203,0)),"")="","",$B130-IFERROR(INDEX('ORDENES'!$K$4:$K$1203,MATCH($A130,'ORDENES'!$AQ$4:$AQ$1203,0)),"")))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IF($A131="","",IFERROR(INDEX('ORDENES'!$D$4:$D$1203,MATCH($A131,'ORDENES'!$AQ$4:$AQ$1203,0)),"(no encontrada)"))</f>
        <v/>
      </c>
      <c r="F131" s="3">
        <f>IF($A131="","",IF(ISNA(MATCH($A131,'ORDENES'!$AQ$4:$AQ$1203,0)),"huérfano",IF(COUNTIF($A$4:$A131,$A131)&gt;1,"duplicado (se ignora)","aplicado")))</f>
        <v/>
      </c>
      <c r="G131" s="16">
        <f>IF($F131&lt;&gt;"aplicado","",IF(IFERROR(INDEX('ORDENES'!$K$4:$K$1203,MATCH($A131,'ORDENES'!$AQ$4:$AQ$1203,0)),"")="","",$B131-IFERROR(INDEX('ORDENES'!$K$4:$K$1203,MATCH($A131,'ORDENES'!$AQ$4:$AQ$1203,0)),"")))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IF($A132="","",IFERROR(INDEX('ORDENES'!$D$4:$D$1203,MATCH($A132,'ORDENES'!$AQ$4:$AQ$1203,0)),"(no encontrada)"))</f>
        <v/>
      </c>
      <c r="F132" s="3">
        <f>IF($A132="","",IF(ISNA(MATCH($A132,'ORDENES'!$AQ$4:$AQ$1203,0)),"huérfano",IF(COUNTIF($A$4:$A132,$A132)&gt;1,"duplicado (se ignora)","aplicado")))</f>
        <v/>
      </c>
      <c r="G132" s="16">
        <f>IF($F132&lt;&gt;"aplicado","",IF(IFERROR(INDEX('ORDENES'!$K$4:$K$1203,MATCH($A132,'ORDENES'!$AQ$4:$AQ$1203,0)),"")="","",$B132-IFERROR(INDEX('ORDENES'!$K$4:$K$1203,MATCH($A132,'ORDENES'!$AQ$4:$AQ$1203,0)),"")))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IF($A133="","",IFERROR(INDEX('ORDENES'!$D$4:$D$1203,MATCH($A133,'ORDENES'!$AQ$4:$AQ$1203,0)),"(no encontrada)"))</f>
        <v/>
      </c>
      <c r="F133" s="3">
        <f>IF($A133="","",IF(ISNA(MATCH($A133,'ORDENES'!$AQ$4:$AQ$1203,0)),"huérfano",IF(COUNTIF($A$4:$A133,$A133)&gt;1,"duplicado (se ignora)","aplicado")))</f>
        <v/>
      </c>
      <c r="G133" s="16">
        <f>IF($F133&lt;&gt;"aplicado","",IF(IFERROR(INDEX('ORDENES'!$K$4:$K$1203,MATCH($A133,'ORDENES'!$AQ$4:$AQ$1203,0)),"")="","",$B133-IFERROR(INDEX('ORDENES'!$K$4:$K$1203,MATCH($A133,'ORDENES'!$AQ$4:$AQ$1203,0)),"")))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IF($A134="","",IFERROR(INDEX('ORDENES'!$D$4:$D$1203,MATCH($A134,'ORDENES'!$AQ$4:$AQ$1203,0)),"(no encontrada)"))</f>
        <v/>
      </c>
      <c r="F134" s="3">
        <f>IF($A134="","",IF(ISNA(MATCH($A134,'ORDENES'!$AQ$4:$AQ$1203,0)),"huérfano",IF(COUNTIF($A$4:$A134,$A134)&gt;1,"duplicado (se ignora)","aplicado")))</f>
        <v/>
      </c>
      <c r="G134" s="16">
        <f>IF($F134&lt;&gt;"aplicado","",IF(IFERROR(INDEX('ORDENES'!$K$4:$K$1203,MATCH($A134,'ORDENES'!$AQ$4:$AQ$1203,0)),"")="","",$B134-IFERROR(INDEX('ORDENES'!$K$4:$K$1203,MATCH($A134,'ORDENES'!$AQ$4:$AQ$1203,0)),"")))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IF($A135="","",IFERROR(INDEX('ORDENES'!$D$4:$D$1203,MATCH($A135,'ORDENES'!$AQ$4:$AQ$1203,0)),"(no encontrada)"))</f>
        <v/>
      </c>
      <c r="F135" s="3">
        <f>IF($A135="","",IF(ISNA(MATCH($A135,'ORDENES'!$AQ$4:$AQ$1203,0)),"huérfano",IF(COUNTIF($A$4:$A135,$A135)&gt;1,"duplicado (se ignora)","aplicado")))</f>
        <v/>
      </c>
      <c r="G135" s="16">
        <f>IF($F135&lt;&gt;"aplicado","",IF(IFERROR(INDEX('ORDENES'!$K$4:$K$1203,MATCH($A135,'ORDENES'!$AQ$4:$AQ$1203,0)),"")="","",$B135-IFERROR(INDEX('ORDENES'!$K$4:$K$1203,MATCH($A135,'ORDENES'!$AQ$4:$AQ$1203,0)),"")))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IF($A136="","",IFERROR(INDEX('ORDENES'!$D$4:$D$1203,MATCH($A136,'ORDENES'!$AQ$4:$AQ$1203,0)),"(no encontrada)"))</f>
        <v/>
      </c>
      <c r="F136" s="3">
        <f>IF($A136="","",IF(ISNA(MATCH($A136,'ORDENES'!$AQ$4:$AQ$1203,0)),"huérfano",IF(COUNTIF($A$4:$A136,$A136)&gt;1,"duplicado (se ignora)","aplicado")))</f>
        <v/>
      </c>
      <c r="G136" s="16">
        <f>IF($F136&lt;&gt;"aplicado","",IF(IFERROR(INDEX('ORDENES'!$K$4:$K$1203,MATCH($A136,'ORDENES'!$AQ$4:$AQ$1203,0)),"")="","",$B136-IFERROR(INDEX('ORDENES'!$K$4:$K$1203,MATCH($A136,'ORDENES'!$AQ$4:$AQ$1203,0)),"")))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IF($A137="","",IFERROR(INDEX('ORDENES'!$D$4:$D$1203,MATCH($A137,'ORDENES'!$AQ$4:$AQ$1203,0)),"(no encontrada)"))</f>
        <v/>
      </c>
      <c r="F137" s="3">
        <f>IF($A137="","",IF(ISNA(MATCH($A137,'ORDENES'!$AQ$4:$AQ$1203,0)),"huérfano",IF(COUNTIF($A$4:$A137,$A137)&gt;1,"duplicado (se ignora)","aplicado")))</f>
        <v/>
      </c>
      <c r="G137" s="16">
        <f>IF($F137&lt;&gt;"aplicado","",IF(IFERROR(INDEX('ORDENES'!$K$4:$K$1203,MATCH($A137,'ORDENES'!$AQ$4:$AQ$1203,0)),"")="","",$B137-IFERROR(INDEX('ORDENES'!$K$4:$K$1203,MATCH($A137,'ORDENES'!$AQ$4:$AQ$1203,0)),"")))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IF($A138="","",IFERROR(INDEX('ORDENES'!$D$4:$D$1203,MATCH($A138,'ORDENES'!$AQ$4:$AQ$1203,0)),"(no encontrada)"))</f>
        <v/>
      </c>
      <c r="F138" s="3">
        <f>IF($A138="","",IF(ISNA(MATCH($A138,'ORDENES'!$AQ$4:$AQ$1203,0)),"huérfano",IF(COUNTIF($A$4:$A138,$A138)&gt;1,"duplicado (se ignora)","aplicado")))</f>
        <v/>
      </c>
      <c r="G138" s="16">
        <f>IF($F138&lt;&gt;"aplicado","",IF(IFERROR(INDEX('ORDENES'!$K$4:$K$1203,MATCH($A138,'ORDENES'!$AQ$4:$AQ$1203,0)),"")="","",$B138-IFERROR(INDEX('ORDENES'!$K$4:$K$1203,MATCH($A138,'ORDENES'!$AQ$4:$AQ$1203,0)),"")))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IF($A139="","",IFERROR(INDEX('ORDENES'!$D$4:$D$1203,MATCH($A139,'ORDENES'!$AQ$4:$AQ$1203,0)),"(no encontrada)"))</f>
        <v/>
      </c>
      <c r="F139" s="3">
        <f>IF($A139="","",IF(ISNA(MATCH($A139,'ORDENES'!$AQ$4:$AQ$1203,0)),"huérfano",IF(COUNTIF($A$4:$A139,$A139)&gt;1,"duplicado (se ignora)","aplicado")))</f>
        <v/>
      </c>
      <c r="G139" s="16">
        <f>IF($F139&lt;&gt;"aplicado","",IF(IFERROR(INDEX('ORDENES'!$K$4:$K$1203,MATCH($A139,'ORDENES'!$AQ$4:$AQ$1203,0)),"")="","",$B139-IFERROR(INDEX('ORDENES'!$K$4:$K$1203,MATCH($A139,'ORDENES'!$AQ$4:$AQ$1203,0)),"")))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IF($A140="","",IFERROR(INDEX('ORDENES'!$D$4:$D$1203,MATCH($A140,'ORDENES'!$AQ$4:$AQ$1203,0)),"(no encontrada)"))</f>
        <v/>
      </c>
      <c r="F140" s="3">
        <f>IF($A140="","",IF(ISNA(MATCH($A140,'ORDENES'!$AQ$4:$AQ$1203,0)),"huérfano",IF(COUNTIF($A$4:$A140,$A140)&gt;1,"duplicado (se ignora)","aplicado")))</f>
        <v/>
      </c>
      <c r="G140" s="16">
        <f>IF($F140&lt;&gt;"aplicado","",IF(IFERROR(INDEX('ORDENES'!$K$4:$K$1203,MATCH($A140,'ORDENES'!$AQ$4:$AQ$1203,0)),"")="","",$B140-IFERROR(INDEX('ORDENES'!$K$4:$K$1203,MATCH($A140,'ORDENES'!$AQ$4:$AQ$1203,0)),"")))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IF($A141="","",IFERROR(INDEX('ORDENES'!$D$4:$D$1203,MATCH($A141,'ORDENES'!$AQ$4:$AQ$1203,0)),"(no encontrada)"))</f>
        <v/>
      </c>
      <c r="F141" s="3">
        <f>IF($A141="","",IF(ISNA(MATCH($A141,'ORDENES'!$AQ$4:$AQ$1203,0)),"huérfano",IF(COUNTIF($A$4:$A141,$A141)&gt;1,"duplicado (se ignora)","aplicado")))</f>
        <v/>
      </c>
      <c r="G141" s="16">
        <f>IF($F141&lt;&gt;"aplicado","",IF(IFERROR(INDEX('ORDENES'!$K$4:$K$1203,MATCH($A141,'ORDENES'!$AQ$4:$AQ$1203,0)),"")="","",$B141-IFERROR(INDEX('ORDENES'!$K$4:$K$1203,MATCH($A141,'ORDENES'!$AQ$4:$AQ$1203,0)),"")))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IF($A142="","",IFERROR(INDEX('ORDENES'!$D$4:$D$1203,MATCH($A142,'ORDENES'!$AQ$4:$AQ$1203,0)),"(no encontrada)"))</f>
        <v/>
      </c>
      <c r="F142" s="3">
        <f>IF($A142="","",IF(ISNA(MATCH($A142,'ORDENES'!$AQ$4:$AQ$1203,0)),"huérfano",IF(COUNTIF($A$4:$A142,$A142)&gt;1,"duplicado (se ignora)","aplicado")))</f>
        <v/>
      </c>
      <c r="G142" s="16">
        <f>IF($F142&lt;&gt;"aplicado","",IF(IFERROR(INDEX('ORDENES'!$K$4:$K$1203,MATCH($A142,'ORDENES'!$AQ$4:$AQ$1203,0)),"")="","",$B142-IFERROR(INDEX('ORDENES'!$K$4:$K$1203,MATCH($A142,'ORDENES'!$AQ$4:$AQ$1203,0)),"")))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IF($A143="","",IFERROR(INDEX('ORDENES'!$D$4:$D$1203,MATCH($A143,'ORDENES'!$AQ$4:$AQ$1203,0)),"(no encontrada)"))</f>
        <v/>
      </c>
      <c r="F143" s="3">
        <f>IF($A143="","",IF(ISNA(MATCH($A143,'ORDENES'!$AQ$4:$AQ$1203,0)),"huérfano",IF(COUNTIF($A$4:$A143,$A143)&gt;1,"duplicado (se ignora)","aplicado")))</f>
        <v/>
      </c>
      <c r="G143" s="16">
        <f>IF($F143&lt;&gt;"aplicado","",IF(IFERROR(INDEX('ORDENES'!$K$4:$K$1203,MATCH($A143,'ORDENES'!$AQ$4:$AQ$1203,0)),"")="","",$B143-IFERROR(INDEX('ORDENES'!$K$4:$K$1203,MATCH($A143,'ORDENES'!$AQ$4:$AQ$1203,0)),"")))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IF($A144="","",IFERROR(INDEX('ORDENES'!$D$4:$D$1203,MATCH($A144,'ORDENES'!$AQ$4:$AQ$1203,0)),"(no encontrada)"))</f>
        <v/>
      </c>
      <c r="F144" s="3">
        <f>IF($A144="","",IF(ISNA(MATCH($A144,'ORDENES'!$AQ$4:$AQ$1203,0)),"huérfano",IF(COUNTIF($A$4:$A144,$A144)&gt;1,"duplicado (se ignora)","aplicado")))</f>
        <v/>
      </c>
      <c r="G144" s="16">
        <f>IF($F144&lt;&gt;"aplicado","",IF(IFERROR(INDEX('ORDENES'!$K$4:$K$1203,MATCH($A144,'ORDENES'!$AQ$4:$AQ$1203,0)),"")="","",$B144-IFERROR(INDEX('ORDENES'!$K$4:$K$1203,MATCH($A144,'ORDENES'!$AQ$4:$AQ$1203,0)),"")))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IF($A145="","",IFERROR(INDEX('ORDENES'!$D$4:$D$1203,MATCH($A145,'ORDENES'!$AQ$4:$AQ$1203,0)),"(no encontrada)"))</f>
        <v/>
      </c>
      <c r="F145" s="3">
        <f>IF($A145="","",IF(ISNA(MATCH($A145,'ORDENES'!$AQ$4:$AQ$1203,0)),"huérfano",IF(COUNTIF($A$4:$A145,$A145)&gt;1,"duplicado (se ignora)","aplicado")))</f>
        <v/>
      </c>
      <c r="G145" s="16">
        <f>IF($F145&lt;&gt;"aplicado","",IF(IFERROR(INDEX('ORDENES'!$K$4:$K$1203,MATCH($A145,'ORDENES'!$AQ$4:$AQ$1203,0)),"")="","",$B145-IFERROR(INDEX('ORDENES'!$K$4:$K$1203,MATCH($A145,'ORDENES'!$AQ$4:$AQ$1203,0)),"")))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IF($A146="","",IFERROR(INDEX('ORDENES'!$D$4:$D$1203,MATCH($A146,'ORDENES'!$AQ$4:$AQ$1203,0)),"(no encontrada)"))</f>
        <v/>
      </c>
      <c r="F146" s="3">
        <f>IF($A146="","",IF(ISNA(MATCH($A146,'ORDENES'!$AQ$4:$AQ$1203,0)),"huérfano",IF(COUNTIF($A$4:$A146,$A146)&gt;1,"duplicado (se ignora)","aplicado")))</f>
        <v/>
      </c>
      <c r="G146" s="16">
        <f>IF($F146&lt;&gt;"aplicado","",IF(IFERROR(INDEX('ORDENES'!$K$4:$K$1203,MATCH($A146,'ORDENES'!$AQ$4:$AQ$1203,0)),"")="","",$B146-IFERROR(INDEX('ORDENES'!$K$4:$K$1203,MATCH($A146,'ORDENES'!$AQ$4:$AQ$1203,0)),"")))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IF($A147="","",IFERROR(INDEX('ORDENES'!$D$4:$D$1203,MATCH($A147,'ORDENES'!$AQ$4:$AQ$1203,0)),"(no encontrada)"))</f>
        <v/>
      </c>
      <c r="F147" s="3">
        <f>IF($A147="","",IF(ISNA(MATCH($A147,'ORDENES'!$AQ$4:$AQ$1203,0)),"huérfano",IF(COUNTIF($A$4:$A147,$A147)&gt;1,"duplicado (se ignora)","aplicado")))</f>
        <v/>
      </c>
      <c r="G147" s="16">
        <f>IF($F147&lt;&gt;"aplicado","",IF(IFERROR(INDEX('ORDENES'!$K$4:$K$1203,MATCH($A147,'ORDENES'!$AQ$4:$AQ$1203,0)),"")="","",$B147-IFERROR(INDEX('ORDENES'!$K$4:$K$1203,MATCH($A147,'ORDENES'!$AQ$4:$AQ$1203,0)),"")))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IF($A148="","",IFERROR(INDEX('ORDENES'!$D$4:$D$1203,MATCH($A148,'ORDENES'!$AQ$4:$AQ$1203,0)),"(no encontrada)"))</f>
        <v/>
      </c>
      <c r="F148" s="3">
        <f>IF($A148="","",IF(ISNA(MATCH($A148,'ORDENES'!$AQ$4:$AQ$1203,0)),"huérfano",IF(COUNTIF($A$4:$A148,$A148)&gt;1,"duplicado (se ignora)","aplicado")))</f>
        <v/>
      </c>
      <c r="G148" s="16">
        <f>IF($F148&lt;&gt;"aplicado","",IF(IFERROR(INDEX('ORDENES'!$K$4:$K$1203,MATCH($A148,'ORDENES'!$AQ$4:$AQ$1203,0)),"")="","",$B148-IFERROR(INDEX('ORDENES'!$K$4:$K$1203,MATCH($A148,'ORDENES'!$AQ$4:$AQ$1203,0)),"")))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IF($A149="","",IFERROR(INDEX('ORDENES'!$D$4:$D$1203,MATCH($A149,'ORDENES'!$AQ$4:$AQ$1203,0)),"(no encontrada)"))</f>
        <v/>
      </c>
      <c r="F149" s="3">
        <f>IF($A149="","",IF(ISNA(MATCH($A149,'ORDENES'!$AQ$4:$AQ$1203,0)),"huérfano",IF(COUNTIF($A$4:$A149,$A149)&gt;1,"duplicado (se ignora)","aplicado")))</f>
        <v/>
      </c>
      <c r="G149" s="16">
        <f>IF($F149&lt;&gt;"aplicado","",IF(IFERROR(INDEX('ORDENES'!$K$4:$K$1203,MATCH($A149,'ORDENES'!$AQ$4:$AQ$1203,0)),"")="","",$B149-IFERROR(INDEX('ORDENES'!$K$4:$K$1203,MATCH($A149,'ORDENES'!$AQ$4:$AQ$1203,0)),"")))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IF($A150="","",IFERROR(INDEX('ORDENES'!$D$4:$D$1203,MATCH($A150,'ORDENES'!$AQ$4:$AQ$1203,0)),"(no encontrada)"))</f>
        <v/>
      </c>
      <c r="F150" s="3">
        <f>IF($A150="","",IF(ISNA(MATCH($A150,'ORDENES'!$AQ$4:$AQ$1203,0)),"huérfano",IF(COUNTIF($A$4:$A150,$A150)&gt;1,"duplicado (se ignora)","aplicado")))</f>
        <v/>
      </c>
      <c r="G150" s="16">
        <f>IF($F150&lt;&gt;"aplicado","",IF(IFERROR(INDEX('ORDENES'!$K$4:$K$1203,MATCH($A150,'ORDENES'!$AQ$4:$AQ$1203,0)),"")="","",$B150-IFERROR(INDEX('ORDENES'!$K$4:$K$1203,MATCH($A150,'ORDENES'!$AQ$4:$AQ$1203,0)),"")))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IF($A151="","",IFERROR(INDEX('ORDENES'!$D$4:$D$1203,MATCH($A151,'ORDENES'!$AQ$4:$AQ$1203,0)),"(no encontrada)"))</f>
        <v/>
      </c>
      <c r="F151" s="3">
        <f>IF($A151="","",IF(ISNA(MATCH($A151,'ORDENES'!$AQ$4:$AQ$1203,0)),"huérfano",IF(COUNTIF($A$4:$A151,$A151)&gt;1,"duplicado (se ignora)","aplicado")))</f>
        <v/>
      </c>
      <c r="G151" s="16">
        <f>IF($F151&lt;&gt;"aplicado","",IF(IFERROR(INDEX('ORDENES'!$K$4:$K$1203,MATCH($A151,'ORDENES'!$AQ$4:$AQ$1203,0)),"")="","",$B151-IFERROR(INDEX('ORDENES'!$K$4:$K$1203,MATCH($A151,'ORDENES'!$AQ$4:$AQ$1203,0)),"")))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IF($A152="","",IFERROR(INDEX('ORDENES'!$D$4:$D$1203,MATCH($A152,'ORDENES'!$AQ$4:$AQ$1203,0)),"(no encontrada)"))</f>
        <v/>
      </c>
      <c r="F152" s="3">
        <f>IF($A152="","",IF(ISNA(MATCH($A152,'ORDENES'!$AQ$4:$AQ$1203,0)),"huérfano",IF(COUNTIF($A$4:$A152,$A152)&gt;1,"duplicado (se ignora)","aplicado")))</f>
        <v/>
      </c>
      <c r="G152" s="16">
        <f>IF($F152&lt;&gt;"aplicado","",IF(IFERROR(INDEX('ORDENES'!$K$4:$K$1203,MATCH($A152,'ORDENES'!$AQ$4:$AQ$1203,0)),"")="","",$B152-IFERROR(INDEX('ORDENES'!$K$4:$K$1203,MATCH($A152,'ORDENES'!$AQ$4:$AQ$1203,0)),"")))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IF($A153="","",IFERROR(INDEX('ORDENES'!$D$4:$D$1203,MATCH($A153,'ORDENES'!$AQ$4:$AQ$1203,0)),"(no encontrada)"))</f>
        <v/>
      </c>
      <c r="F153" s="3">
        <f>IF($A153="","",IF(ISNA(MATCH($A153,'ORDENES'!$AQ$4:$AQ$1203,0)),"huérfano",IF(COUNTIF($A$4:$A153,$A153)&gt;1,"duplicado (se ignora)","aplicado")))</f>
        <v/>
      </c>
      <c r="G153" s="16">
        <f>IF($F153&lt;&gt;"aplicado","",IF(IFERROR(INDEX('ORDENES'!$K$4:$K$1203,MATCH($A153,'ORDENES'!$AQ$4:$AQ$1203,0)),"")="","",$B153-IFERROR(INDEX('ORDENES'!$K$4:$K$1203,MATCH($A153,'ORDENES'!$AQ$4:$AQ$1203,0)),"")))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IF($A154="","",IFERROR(INDEX('ORDENES'!$D$4:$D$1203,MATCH($A154,'ORDENES'!$AQ$4:$AQ$1203,0)),"(no encontrada)"))</f>
        <v/>
      </c>
      <c r="F154" s="3">
        <f>IF($A154="","",IF(ISNA(MATCH($A154,'ORDENES'!$AQ$4:$AQ$1203,0)),"huérfano",IF(COUNTIF($A$4:$A154,$A154)&gt;1,"duplicado (se ignora)","aplicado")))</f>
        <v/>
      </c>
      <c r="G154" s="16">
        <f>IF($F154&lt;&gt;"aplicado","",IF(IFERROR(INDEX('ORDENES'!$K$4:$K$1203,MATCH($A154,'ORDENES'!$AQ$4:$AQ$1203,0)),"")="","",$B154-IFERROR(INDEX('ORDENES'!$K$4:$K$1203,MATCH($A154,'ORDENES'!$AQ$4:$AQ$1203,0)),"")))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IF($A155="","",IFERROR(INDEX('ORDENES'!$D$4:$D$1203,MATCH($A155,'ORDENES'!$AQ$4:$AQ$1203,0)),"(no encontrada)"))</f>
        <v/>
      </c>
      <c r="F155" s="3">
        <f>IF($A155="","",IF(ISNA(MATCH($A155,'ORDENES'!$AQ$4:$AQ$1203,0)),"huérfano",IF(COUNTIF($A$4:$A155,$A155)&gt;1,"duplicado (se ignora)","aplicado")))</f>
        <v/>
      </c>
      <c r="G155" s="16">
        <f>IF($F155&lt;&gt;"aplicado","",IF(IFERROR(INDEX('ORDENES'!$K$4:$K$1203,MATCH($A155,'ORDENES'!$AQ$4:$AQ$1203,0)),"")="","",$B155-IFERROR(INDEX('ORDENES'!$K$4:$K$1203,MATCH($A155,'ORDENES'!$AQ$4:$AQ$1203,0)),"")))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IF($A156="","",IFERROR(INDEX('ORDENES'!$D$4:$D$1203,MATCH($A156,'ORDENES'!$AQ$4:$AQ$1203,0)),"(no encontrada)"))</f>
        <v/>
      </c>
      <c r="F156" s="3">
        <f>IF($A156="","",IF(ISNA(MATCH($A156,'ORDENES'!$AQ$4:$AQ$1203,0)),"huérfano",IF(COUNTIF($A$4:$A156,$A156)&gt;1,"duplicado (se ignora)","aplicado")))</f>
        <v/>
      </c>
      <c r="G156" s="16">
        <f>IF($F156&lt;&gt;"aplicado","",IF(IFERROR(INDEX('ORDENES'!$K$4:$K$1203,MATCH($A156,'ORDENES'!$AQ$4:$AQ$1203,0)),"")="","",$B156-IFERROR(INDEX('ORDENES'!$K$4:$K$1203,MATCH($A156,'ORDENES'!$AQ$4:$AQ$1203,0)),"")))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IF($A157="","",IFERROR(INDEX('ORDENES'!$D$4:$D$1203,MATCH($A157,'ORDENES'!$AQ$4:$AQ$1203,0)),"(no encontrada)"))</f>
        <v/>
      </c>
      <c r="F157" s="3">
        <f>IF($A157="","",IF(ISNA(MATCH($A157,'ORDENES'!$AQ$4:$AQ$1203,0)),"huérfano",IF(COUNTIF($A$4:$A157,$A157)&gt;1,"duplicado (se ignora)","aplicado")))</f>
        <v/>
      </c>
      <c r="G157" s="16">
        <f>IF($F157&lt;&gt;"aplicado","",IF(IFERROR(INDEX('ORDENES'!$K$4:$K$1203,MATCH($A157,'ORDENES'!$AQ$4:$AQ$1203,0)),"")="","",$B157-IFERROR(INDEX('ORDENES'!$K$4:$K$1203,MATCH($A157,'ORDENES'!$AQ$4:$AQ$1203,0)),"")))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IF($A158="","",IFERROR(INDEX('ORDENES'!$D$4:$D$1203,MATCH($A158,'ORDENES'!$AQ$4:$AQ$1203,0)),"(no encontrada)"))</f>
        <v/>
      </c>
      <c r="F158" s="3">
        <f>IF($A158="","",IF(ISNA(MATCH($A158,'ORDENES'!$AQ$4:$AQ$1203,0)),"huérfano",IF(COUNTIF($A$4:$A158,$A158)&gt;1,"duplicado (se ignora)","aplicado")))</f>
        <v/>
      </c>
      <c r="G158" s="16">
        <f>IF($F158&lt;&gt;"aplicado","",IF(IFERROR(INDEX('ORDENES'!$K$4:$K$1203,MATCH($A158,'ORDENES'!$AQ$4:$AQ$1203,0)),"")="","",$B158-IFERROR(INDEX('ORDENES'!$K$4:$K$1203,MATCH($A158,'ORDENES'!$AQ$4:$AQ$1203,0)),"")))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IF($A159="","",IFERROR(INDEX('ORDENES'!$D$4:$D$1203,MATCH($A159,'ORDENES'!$AQ$4:$AQ$1203,0)),"(no encontrada)"))</f>
        <v/>
      </c>
      <c r="F159" s="3">
        <f>IF($A159="","",IF(ISNA(MATCH($A159,'ORDENES'!$AQ$4:$AQ$1203,0)),"huérfano",IF(COUNTIF($A$4:$A159,$A159)&gt;1,"duplicado (se ignora)","aplicado")))</f>
        <v/>
      </c>
      <c r="G159" s="16">
        <f>IF($F159&lt;&gt;"aplicado","",IF(IFERROR(INDEX('ORDENES'!$K$4:$K$1203,MATCH($A159,'ORDENES'!$AQ$4:$AQ$1203,0)),"")="","",$B159-IFERROR(INDEX('ORDENES'!$K$4:$K$1203,MATCH($A159,'ORDENES'!$AQ$4:$AQ$1203,0)),"")))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IF($A160="","",IFERROR(INDEX('ORDENES'!$D$4:$D$1203,MATCH($A160,'ORDENES'!$AQ$4:$AQ$1203,0)),"(no encontrada)"))</f>
        <v/>
      </c>
      <c r="F160" s="3">
        <f>IF($A160="","",IF(ISNA(MATCH($A160,'ORDENES'!$AQ$4:$AQ$1203,0)),"huérfano",IF(COUNTIF($A$4:$A160,$A160)&gt;1,"duplicado (se ignora)","aplicado")))</f>
        <v/>
      </c>
      <c r="G160" s="16">
        <f>IF($F160&lt;&gt;"aplicado","",IF(IFERROR(INDEX('ORDENES'!$K$4:$K$1203,MATCH($A160,'ORDENES'!$AQ$4:$AQ$1203,0)),"")="","",$B160-IFERROR(INDEX('ORDENES'!$K$4:$K$1203,MATCH($A160,'ORDENES'!$AQ$4:$AQ$1203,0)),"")))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IF($A161="","",IFERROR(INDEX('ORDENES'!$D$4:$D$1203,MATCH($A161,'ORDENES'!$AQ$4:$AQ$1203,0)),"(no encontrada)"))</f>
        <v/>
      </c>
      <c r="F161" s="3">
        <f>IF($A161="","",IF(ISNA(MATCH($A161,'ORDENES'!$AQ$4:$AQ$1203,0)),"huérfano",IF(COUNTIF($A$4:$A161,$A161)&gt;1,"duplicado (se ignora)","aplicado")))</f>
        <v/>
      </c>
      <c r="G161" s="16">
        <f>IF($F161&lt;&gt;"aplicado","",IF(IFERROR(INDEX('ORDENES'!$K$4:$K$1203,MATCH($A161,'ORDENES'!$AQ$4:$AQ$1203,0)),"")="","",$B161-IFERROR(INDEX('ORDENES'!$K$4:$K$1203,MATCH($A161,'ORDENES'!$AQ$4:$AQ$1203,0)),"")))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IF($A162="","",IFERROR(INDEX('ORDENES'!$D$4:$D$1203,MATCH($A162,'ORDENES'!$AQ$4:$AQ$1203,0)),"(no encontrada)"))</f>
        <v/>
      </c>
      <c r="F162" s="3">
        <f>IF($A162="","",IF(ISNA(MATCH($A162,'ORDENES'!$AQ$4:$AQ$1203,0)),"huérfano",IF(COUNTIF($A$4:$A162,$A162)&gt;1,"duplicado (se ignora)","aplicado")))</f>
        <v/>
      </c>
      <c r="G162" s="16">
        <f>IF($F162&lt;&gt;"aplicado","",IF(IFERROR(INDEX('ORDENES'!$K$4:$K$1203,MATCH($A162,'ORDENES'!$AQ$4:$AQ$1203,0)),"")="","",$B162-IFERROR(INDEX('ORDENES'!$K$4:$K$1203,MATCH($A162,'ORDENES'!$AQ$4:$AQ$1203,0)),"")))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IF($A163="","",IFERROR(INDEX('ORDENES'!$D$4:$D$1203,MATCH($A163,'ORDENES'!$AQ$4:$AQ$1203,0)),"(no encontrada)"))</f>
        <v/>
      </c>
      <c r="F163" s="3">
        <f>IF($A163="","",IF(ISNA(MATCH($A163,'ORDENES'!$AQ$4:$AQ$1203,0)),"huérfano",IF(COUNTIF($A$4:$A163,$A163)&gt;1,"duplicado (se ignora)","aplicado")))</f>
        <v/>
      </c>
      <c r="G163" s="16">
        <f>IF($F163&lt;&gt;"aplicado","",IF(IFERROR(INDEX('ORDENES'!$K$4:$K$1203,MATCH($A163,'ORDENES'!$AQ$4:$AQ$1203,0)),"")="","",$B163-IFERROR(INDEX('ORDENES'!$K$4:$K$1203,MATCH($A163,'ORDENES'!$AQ$4:$AQ$1203,0)),"")))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IF($A164="","",IFERROR(INDEX('ORDENES'!$D$4:$D$1203,MATCH($A164,'ORDENES'!$AQ$4:$AQ$1203,0)),"(no encontrada)"))</f>
        <v/>
      </c>
      <c r="F164" s="3">
        <f>IF($A164="","",IF(ISNA(MATCH($A164,'ORDENES'!$AQ$4:$AQ$1203,0)),"huérfano",IF(COUNTIF($A$4:$A164,$A164)&gt;1,"duplicado (se ignora)","aplicado")))</f>
        <v/>
      </c>
      <c r="G164" s="16">
        <f>IF($F164&lt;&gt;"aplicado","",IF(IFERROR(INDEX('ORDENES'!$K$4:$K$1203,MATCH($A164,'ORDENES'!$AQ$4:$AQ$1203,0)),"")="","",$B164-IFERROR(INDEX('ORDENES'!$K$4:$K$1203,MATCH($A164,'ORDENES'!$AQ$4:$AQ$1203,0)),"")))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IF($A165="","",IFERROR(INDEX('ORDENES'!$D$4:$D$1203,MATCH($A165,'ORDENES'!$AQ$4:$AQ$1203,0)),"(no encontrada)"))</f>
        <v/>
      </c>
      <c r="F165" s="3">
        <f>IF($A165="","",IF(ISNA(MATCH($A165,'ORDENES'!$AQ$4:$AQ$1203,0)),"huérfano",IF(COUNTIF($A$4:$A165,$A165)&gt;1,"duplicado (se ignora)","aplicado")))</f>
        <v/>
      </c>
      <c r="G165" s="16">
        <f>IF($F165&lt;&gt;"aplicado","",IF(IFERROR(INDEX('ORDENES'!$K$4:$K$1203,MATCH($A165,'ORDENES'!$AQ$4:$AQ$1203,0)),"")="","",$B165-IFERROR(INDEX('ORDENES'!$K$4:$K$1203,MATCH($A165,'ORDENES'!$AQ$4:$AQ$1203,0)),"")))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IF($A166="","",IFERROR(INDEX('ORDENES'!$D$4:$D$1203,MATCH($A166,'ORDENES'!$AQ$4:$AQ$1203,0)),"(no encontrada)"))</f>
        <v/>
      </c>
      <c r="F166" s="3">
        <f>IF($A166="","",IF(ISNA(MATCH($A166,'ORDENES'!$AQ$4:$AQ$1203,0)),"huérfano",IF(COUNTIF($A$4:$A166,$A166)&gt;1,"duplicado (se ignora)","aplicado")))</f>
        <v/>
      </c>
      <c r="G166" s="16">
        <f>IF($F166&lt;&gt;"aplicado","",IF(IFERROR(INDEX('ORDENES'!$K$4:$K$1203,MATCH($A166,'ORDENES'!$AQ$4:$AQ$1203,0)),"")="","",$B166-IFERROR(INDEX('ORDENES'!$K$4:$K$1203,MATCH($A166,'ORDENES'!$AQ$4:$AQ$1203,0)),"")))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IF($A167="","",IFERROR(INDEX('ORDENES'!$D$4:$D$1203,MATCH($A167,'ORDENES'!$AQ$4:$AQ$1203,0)),"(no encontrada)"))</f>
        <v/>
      </c>
      <c r="F167" s="3">
        <f>IF($A167="","",IF(ISNA(MATCH($A167,'ORDENES'!$AQ$4:$AQ$1203,0)),"huérfano",IF(COUNTIF($A$4:$A167,$A167)&gt;1,"duplicado (se ignora)","aplicado")))</f>
        <v/>
      </c>
      <c r="G167" s="16">
        <f>IF($F167&lt;&gt;"aplicado","",IF(IFERROR(INDEX('ORDENES'!$K$4:$K$1203,MATCH($A167,'ORDENES'!$AQ$4:$AQ$1203,0)),"")="","",$B167-IFERROR(INDEX('ORDENES'!$K$4:$K$1203,MATCH($A167,'ORDENES'!$AQ$4:$AQ$1203,0)),"")))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IF($A168="","",IFERROR(INDEX('ORDENES'!$D$4:$D$1203,MATCH($A168,'ORDENES'!$AQ$4:$AQ$1203,0)),"(no encontrada)"))</f>
        <v/>
      </c>
      <c r="F168" s="3">
        <f>IF($A168="","",IF(ISNA(MATCH($A168,'ORDENES'!$AQ$4:$AQ$1203,0)),"huérfano",IF(COUNTIF($A$4:$A168,$A168)&gt;1,"duplicado (se ignora)","aplicado")))</f>
        <v/>
      </c>
      <c r="G168" s="16">
        <f>IF($F168&lt;&gt;"aplicado","",IF(IFERROR(INDEX('ORDENES'!$K$4:$K$1203,MATCH($A168,'ORDENES'!$AQ$4:$AQ$1203,0)),"")="","",$B168-IFERROR(INDEX('ORDENES'!$K$4:$K$1203,MATCH($A168,'ORDENES'!$AQ$4:$AQ$1203,0)),"")))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IF($A169="","",IFERROR(INDEX('ORDENES'!$D$4:$D$1203,MATCH($A169,'ORDENES'!$AQ$4:$AQ$1203,0)),"(no encontrada)"))</f>
        <v/>
      </c>
      <c r="F169" s="3">
        <f>IF($A169="","",IF(ISNA(MATCH($A169,'ORDENES'!$AQ$4:$AQ$1203,0)),"huérfano",IF(COUNTIF($A$4:$A169,$A169)&gt;1,"duplicado (se ignora)","aplicado")))</f>
        <v/>
      </c>
      <c r="G169" s="16">
        <f>IF($F169&lt;&gt;"aplicado","",IF(IFERROR(INDEX('ORDENES'!$K$4:$K$1203,MATCH($A169,'ORDENES'!$AQ$4:$AQ$1203,0)),"")="","",$B169-IFERROR(INDEX('ORDENES'!$K$4:$K$1203,MATCH($A169,'ORDENES'!$AQ$4:$AQ$1203,0)),"")))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IF($A170="","",IFERROR(INDEX('ORDENES'!$D$4:$D$1203,MATCH($A170,'ORDENES'!$AQ$4:$AQ$1203,0)),"(no encontrada)"))</f>
        <v/>
      </c>
      <c r="F170" s="3">
        <f>IF($A170="","",IF(ISNA(MATCH($A170,'ORDENES'!$AQ$4:$AQ$1203,0)),"huérfano",IF(COUNTIF($A$4:$A170,$A170)&gt;1,"duplicado (se ignora)","aplicado")))</f>
        <v/>
      </c>
      <c r="G170" s="16">
        <f>IF($F170&lt;&gt;"aplicado","",IF(IFERROR(INDEX('ORDENES'!$K$4:$K$1203,MATCH($A170,'ORDENES'!$AQ$4:$AQ$1203,0)),"")="","",$B170-IFERROR(INDEX('ORDENES'!$K$4:$K$1203,MATCH($A170,'ORDENES'!$AQ$4:$AQ$1203,0)),"")))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IF($A171="","",IFERROR(INDEX('ORDENES'!$D$4:$D$1203,MATCH($A171,'ORDENES'!$AQ$4:$AQ$1203,0)),"(no encontrada)"))</f>
        <v/>
      </c>
      <c r="F171" s="3">
        <f>IF($A171="","",IF(ISNA(MATCH($A171,'ORDENES'!$AQ$4:$AQ$1203,0)),"huérfano",IF(COUNTIF($A$4:$A171,$A171)&gt;1,"duplicado (se ignora)","aplicado")))</f>
        <v/>
      </c>
      <c r="G171" s="16">
        <f>IF($F171&lt;&gt;"aplicado","",IF(IFERROR(INDEX('ORDENES'!$K$4:$K$1203,MATCH($A171,'ORDENES'!$AQ$4:$AQ$1203,0)),"")="","",$B171-IFERROR(INDEX('ORDENES'!$K$4:$K$1203,MATCH($A171,'ORDENES'!$AQ$4:$AQ$1203,0)),"")))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IF($A172="","",IFERROR(INDEX('ORDENES'!$D$4:$D$1203,MATCH($A172,'ORDENES'!$AQ$4:$AQ$1203,0)),"(no encontrada)"))</f>
        <v/>
      </c>
      <c r="F172" s="3">
        <f>IF($A172="","",IF(ISNA(MATCH($A172,'ORDENES'!$AQ$4:$AQ$1203,0)),"huérfano",IF(COUNTIF($A$4:$A172,$A172)&gt;1,"duplicado (se ignora)","aplicado")))</f>
        <v/>
      </c>
      <c r="G172" s="16">
        <f>IF($F172&lt;&gt;"aplicado","",IF(IFERROR(INDEX('ORDENES'!$K$4:$K$1203,MATCH($A172,'ORDENES'!$AQ$4:$AQ$1203,0)),"")="","",$B172-IFERROR(INDEX('ORDENES'!$K$4:$K$1203,MATCH($A172,'ORDENES'!$AQ$4:$AQ$1203,0)),"")))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IF($A173="","",IFERROR(INDEX('ORDENES'!$D$4:$D$1203,MATCH($A173,'ORDENES'!$AQ$4:$AQ$1203,0)),"(no encontrada)"))</f>
        <v/>
      </c>
      <c r="F173" s="3">
        <f>IF($A173="","",IF(ISNA(MATCH($A173,'ORDENES'!$AQ$4:$AQ$1203,0)),"huérfano",IF(COUNTIF($A$4:$A173,$A173)&gt;1,"duplicado (se ignora)","aplicado")))</f>
        <v/>
      </c>
      <c r="G173" s="16">
        <f>IF($F173&lt;&gt;"aplicado","",IF(IFERROR(INDEX('ORDENES'!$K$4:$K$1203,MATCH($A173,'ORDENES'!$AQ$4:$AQ$1203,0)),"")="","",$B173-IFERROR(INDEX('ORDENES'!$K$4:$K$1203,MATCH($A173,'ORDENES'!$AQ$4:$AQ$1203,0)),"")))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IF($A174="","",IFERROR(INDEX('ORDENES'!$D$4:$D$1203,MATCH($A174,'ORDENES'!$AQ$4:$AQ$1203,0)),"(no encontrada)"))</f>
        <v/>
      </c>
      <c r="F174" s="3">
        <f>IF($A174="","",IF(ISNA(MATCH($A174,'ORDENES'!$AQ$4:$AQ$1203,0)),"huérfano",IF(COUNTIF($A$4:$A174,$A174)&gt;1,"duplicado (se ignora)","aplicado")))</f>
        <v/>
      </c>
      <c r="G174" s="16">
        <f>IF($F174&lt;&gt;"aplicado","",IF(IFERROR(INDEX('ORDENES'!$K$4:$K$1203,MATCH($A174,'ORDENES'!$AQ$4:$AQ$1203,0)),"")="","",$B174-IFERROR(INDEX('ORDENES'!$K$4:$K$1203,MATCH($A174,'ORDENES'!$AQ$4:$AQ$1203,0)),"")))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IF($A175="","",IFERROR(INDEX('ORDENES'!$D$4:$D$1203,MATCH($A175,'ORDENES'!$AQ$4:$AQ$1203,0)),"(no encontrada)"))</f>
        <v/>
      </c>
      <c r="F175" s="3">
        <f>IF($A175="","",IF(ISNA(MATCH($A175,'ORDENES'!$AQ$4:$AQ$1203,0)),"huérfano",IF(COUNTIF($A$4:$A175,$A175)&gt;1,"duplicado (se ignora)","aplicado")))</f>
        <v/>
      </c>
      <c r="G175" s="16">
        <f>IF($F175&lt;&gt;"aplicado","",IF(IFERROR(INDEX('ORDENES'!$K$4:$K$1203,MATCH($A175,'ORDENES'!$AQ$4:$AQ$1203,0)),"")="","",$B175-IFERROR(INDEX('ORDENES'!$K$4:$K$1203,MATCH($A175,'ORDENES'!$AQ$4:$AQ$1203,0)),"")))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IF($A176="","",IFERROR(INDEX('ORDENES'!$D$4:$D$1203,MATCH($A176,'ORDENES'!$AQ$4:$AQ$1203,0)),"(no encontrada)"))</f>
        <v/>
      </c>
      <c r="F176" s="3">
        <f>IF($A176="","",IF(ISNA(MATCH($A176,'ORDENES'!$AQ$4:$AQ$1203,0)),"huérfano",IF(COUNTIF($A$4:$A176,$A176)&gt;1,"duplicado (se ignora)","aplicado")))</f>
        <v/>
      </c>
      <c r="G176" s="16">
        <f>IF($F176&lt;&gt;"aplicado","",IF(IFERROR(INDEX('ORDENES'!$K$4:$K$1203,MATCH($A176,'ORDENES'!$AQ$4:$AQ$1203,0)),"")="","",$B176-IFERROR(INDEX('ORDENES'!$K$4:$K$1203,MATCH($A176,'ORDENES'!$AQ$4:$AQ$1203,0)),"")))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IF($A177="","",IFERROR(INDEX('ORDENES'!$D$4:$D$1203,MATCH($A177,'ORDENES'!$AQ$4:$AQ$1203,0)),"(no encontrada)"))</f>
        <v/>
      </c>
      <c r="F177" s="3">
        <f>IF($A177="","",IF(ISNA(MATCH($A177,'ORDENES'!$AQ$4:$AQ$1203,0)),"huérfano",IF(COUNTIF($A$4:$A177,$A177)&gt;1,"duplicado (se ignora)","aplicado")))</f>
        <v/>
      </c>
      <c r="G177" s="16">
        <f>IF($F177&lt;&gt;"aplicado","",IF(IFERROR(INDEX('ORDENES'!$K$4:$K$1203,MATCH($A177,'ORDENES'!$AQ$4:$AQ$1203,0)),"")="","",$B177-IFERROR(INDEX('ORDENES'!$K$4:$K$1203,MATCH($A177,'ORDENES'!$AQ$4:$AQ$1203,0)),"")))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IF($A178="","",IFERROR(INDEX('ORDENES'!$D$4:$D$1203,MATCH($A178,'ORDENES'!$AQ$4:$AQ$1203,0)),"(no encontrada)"))</f>
        <v/>
      </c>
      <c r="F178" s="3">
        <f>IF($A178="","",IF(ISNA(MATCH($A178,'ORDENES'!$AQ$4:$AQ$1203,0)),"huérfano",IF(COUNTIF($A$4:$A178,$A178)&gt;1,"duplicado (se ignora)","aplicado")))</f>
        <v/>
      </c>
      <c r="G178" s="16">
        <f>IF($F178&lt;&gt;"aplicado","",IF(IFERROR(INDEX('ORDENES'!$K$4:$K$1203,MATCH($A178,'ORDENES'!$AQ$4:$AQ$1203,0)),"")="","",$B178-IFERROR(INDEX('ORDENES'!$K$4:$K$1203,MATCH($A178,'ORDENES'!$AQ$4:$AQ$1203,0)),"")))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IF($A179="","",IFERROR(INDEX('ORDENES'!$D$4:$D$1203,MATCH($A179,'ORDENES'!$AQ$4:$AQ$1203,0)),"(no encontrada)"))</f>
        <v/>
      </c>
      <c r="F179" s="3">
        <f>IF($A179="","",IF(ISNA(MATCH($A179,'ORDENES'!$AQ$4:$AQ$1203,0)),"huérfano",IF(COUNTIF($A$4:$A179,$A179)&gt;1,"duplicado (se ignora)","aplicado")))</f>
        <v/>
      </c>
      <c r="G179" s="16">
        <f>IF($F179&lt;&gt;"aplicado","",IF(IFERROR(INDEX('ORDENES'!$K$4:$K$1203,MATCH($A179,'ORDENES'!$AQ$4:$AQ$1203,0)),"")="","",$B179-IFERROR(INDEX('ORDENES'!$K$4:$K$1203,MATCH($A179,'ORDENES'!$AQ$4:$AQ$1203,0)),"")))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IF($A180="","",IFERROR(INDEX('ORDENES'!$D$4:$D$1203,MATCH($A180,'ORDENES'!$AQ$4:$AQ$1203,0)),"(no encontrada)"))</f>
        <v/>
      </c>
      <c r="F180" s="3">
        <f>IF($A180="","",IF(ISNA(MATCH($A180,'ORDENES'!$AQ$4:$AQ$1203,0)),"huérfano",IF(COUNTIF($A$4:$A180,$A180)&gt;1,"duplicado (se ignora)","aplicado")))</f>
        <v/>
      </c>
      <c r="G180" s="16">
        <f>IF($F180&lt;&gt;"aplicado","",IF(IFERROR(INDEX('ORDENES'!$K$4:$K$1203,MATCH($A180,'ORDENES'!$AQ$4:$AQ$1203,0)),"")="","",$B180-IFERROR(INDEX('ORDENES'!$K$4:$K$1203,MATCH($A180,'ORDENES'!$AQ$4:$AQ$1203,0)),"")))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IF($A181="","",IFERROR(INDEX('ORDENES'!$D$4:$D$1203,MATCH($A181,'ORDENES'!$AQ$4:$AQ$1203,0)),"(no encontrada)"))</f>
        <v/>
      </c>
      <c r="F181" s="3">
        <f>IF($A181="","",IF(ISNA(MATCH($A181,'ORDENES'!$AQ$4:$AQ$1203,0)),"huérfano",IF(COUNTIF($A$4:$A181,$A181)&gt;1,"duplicado (se ignora)","aplicado")))</f>
        <v/>
      </c>
      <c r="G181" s="16">
        <f>IF($F181&lt;&gt;"aplicado","",IF(IFERROR(INDEX('ORDENES'!$K$4:$K$1203,MATCH($A181,'ORDENES'!$AQ$4:$AQ$1203,0)),"")="","",$B181-IFERROR(INDEX('ORDENES'!$K$4:$K$1203,MATCH($A181,'ORDENES'!$AQ$4:$AQ$1203,0)),"")))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IF($A182="","",IFERROR(INDEX('ORDENES'!$D$4:$D$1203,MATCH($A182,'ORDENES'!$AQ$4:$AQ$1203,0)),"(no encontrada)"))</f>
        <v/>
      </c>
      <c r="F182" s="3">
        <f>IF($A182="","",IF(ISNA(MATCH($A182,'ORDENES'!$AQ$4:$AQ$1203,0)),"huérfano",IF(COUNTIF($A$4:$A182,$A182)&gt;1,"duplicado (se ignora)","aplicado")))</f>
        <v/>
      </c>
      <c r="G182" s="16">
        <f>IF($F182&lt;&gt;"aplicado","",IF(IFERROR(INDEX('ORDENES'!$K$4:$K$1203,MATCH($A182,'ORDENES'!$AQ$4:$AQ$1203,0)),"")="","",$B182-IFERROR(INDEX('ORDENES'!$K$4:$K$1203,MATCH($A182,'ORDENES'!$AQ$4:$AQ$1203,0)),"")))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IF($A183="","",IFERROR(INDEX('ORDENES'!$D$4:$D$1203,MATCH($A183,'ORDENES'!$AQ$4:$AQ$1203,0)),"(no encontrada)"))</f>
        <v/>
      </c>
      <c r="F183" s="3">
        <f>IF($A183="","",IF(ISNA(MATCH($A183,'ORDENES'!$AQ$4:$AQ$1203,0)),"huérfano",IF(COUNTIF($A$4:$A183,$A183)&gt;1,"duplicado (se ignora)","aplicado")))</f>
        <v/>
      </c>
      <c r="G183" s="16">
        <f>IF($F183&lt;&gt;"aplicado","",IF(IFERROR(INDEX('ORDENES'!$K$4:$K$1203,MATCH($A183,'ORDENES'!$AQ$4:$AQ$1203,0)),"")="","",$B183-IFERROR(INDEX('ORDENES'!$K$4:$K$1203,MATCH($A183,'ORDENES'!$AQ$4:$AQ$1203,0)),"")))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IF($A184="","",IFERROR(INDEX('ORDENES'!$D$4:$D$1203,MATCH($A184,'ORDENES'!$AQ$4:$AQ$1203,0)),"(no encontrada)"))</f>
        <v/>
      </c>
      <c r="F184" s="3">
        <f>IF($A184="","",IF(ISNA(MATCH($A184,'ORDENES'!$AQ$4:$AQ$1203,0)),"huérfano",IF(COUNTIF($A$4:$A184,$A184)&gt;1,"duplicado (se ignora)","aplicado")))</f>
        <v/>
      </c>
      <c r="G184" s="16">
        <f>IF($F184&lt;&gt;"aplicado","",IF(IFERROR(INDEX('ORDENES'!$K$4:$K$1203,MATCH($A184,'ORDENES'!$AQ$4:$AQ$1203,0)),"")="","",$B184-IFERROR(INDEX('ORDENES'!$K$4:$K$1203,MATCH($A184,'ORDENES'!$AQ$4:$AQ$1203,0)),"")))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IF($A185="","",IFERROR(INDEX('ORDENES'!$D$4:$D$1203,MATCH($A185,'ORDENES'!$AQ$4:$AQ$1203,0)),"(no encontrada)"))</f>
        <v/>
      </c>
      <c r="F185" s="3">
        <f>IF($A185="","",IF(ISNA(MATCH($A185,'ORDENES'!$AQ$4:$AQ$1203,0)),"huérfano",IF(COUNTIF($A$4:$A185,$A185)&gt;1,"duplicado (se ignora)","aplicado")))</f>
        <v/>
      </c>
      <c r="G185" s="16">
        <f>IF($F185&lt;&gt;"aplicado","",IF(IFERROR(INDEX('ORDENES'!$K$4:$K$1203,MATCH($A185,'ORDENES'!$AQ$4:$AQ$1203,0)),"")="","",$B185-IFERROR(INDEX('ORDENES'!$K$4:$K$1203,MATCH($A185,'ORDENES'!$AQ$4:$AQ$1203,0)),"")))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IF($A186="","",IFERROR(INDEX('ORDENES'!$D$4:$D$1203,MATCH($A186,'ORDENES'!$AQ$4:$AQ$1203,0)),"(no encontrada)"))</f>
        <v/>
      </c>
      <c r="F186" s="3">
        <f>IF($A186="","",IF(ISNA(MATCH($A186,'ORDENES'!$AQ$4:$AQ$1203,0)),"huérfano",IF(COUNTIF($A$4:$A186,$A186)&gt;1,"duplicado (se ignora)","aplicado")))</f>
        <v/>
      </c>
      <c r="G186" s="16">
        <f>IF($F186&lt;&gt;"aplicado","",IF(IFERROR(INDEX('ORDENES'!$K$4:$K$1203,MATCH($A186,'ORDENES'!$AQ$4:$AQ$1203,0)),"")="","",$B186-IFERROR(INDEX('ORDENES'!$K$4:$K$1203,MATCH($A186,'ORDENES'!$AQ$4:$AQ$1203,0)),"")))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IF($A187="","",IFERROR(INDEX('ORDENES'!$D$4:$D$1203,MATCH($A187,'ORDENES'!$AQ$4:$AQ$1203,0)),"(no encontrada)"))</f>
        <v/>
      </c>
      <c r="F187" s="3">
        <f>IF($A187="","",IF(ISNA(MATCH($A187,'ORDENES'!$AQ$4:$AQ$1203,0)),"huérfano",IF(COUNTIF($A$4:$A187,$A187)&gt;1,"duplicado (se ignora)","aplicado")))</f>
        <v/>
      </c>
      <c r="G187" s="16">
        <f>IF($F187&lt;&gt;"aplicado","",IF(IFERROR(INDEX('ORDENES'!$K$4:$K$1203,MATCH($A187,'ORDENES'!$AQ$4:$AQ$1203,0)),"")="","",$B187-IFERROR(INDEX('ORDENES'!$K$4:$K$1203,MATCH($A187,'ORDENES'!$AQ$4:$AQ$1203,0)),"")))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IF($A188="","",IFERROR(INDEX('ORDENES'!$D$4:$D$1203,MATCH($A188,'ORDENES'!$AQ$4:$AQ$1203,0)),"(no encontrada)"))</f>
        <v/>
      </c>
      <c r="F188" s="3">
        <f>IF($A188="","",IF(ISNA(MATCH($A188,'ORDENES'!$AQ$4:$AQ$1203,0)),"huérfano",IF(COUNTIF($A$4:$A188,$A188)&gt;1,"duplicado (se ignora)","aplicado")))</f>
        <v/>
      </c>
      <c r="G188" s="16">
        <f>IF($F188&lt;&gt;"aplicado","",IF(IFERROR(INDEX('ORDENES'!$K$4:$K$1203,MATCH($A188,'ORDENES'!$AQ$4:$AQ$1203,0)),"")="","",$B188-IFERROR(INDEX('ORDENES'!$K$4:$K$1203,MATCH($A188,'ORDENES'!$AQ$4:$AQ$1203,0)),"")))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IF($A189="","",IFERROR(INDEX('ORDENES'!$D$4:$D$1203,MATCH($A189,'ORDENES'!$AQ$4:$AQ$1203,0)),"(no encontrada)"))</f>
        <v/>
      </c>
      <c r="F189" s="3">
        <f>IF($A189="","",IF(ISNA(MATCH($A189,'ORDENES'!$AQ$4:$AQ$1203,0)),"huérfano",IF(COUNTIF($A$4:$A189,$A189)&gt;1,"duplicado (se ignora)","aplicado")))</f>
        <v/>
      </c>
      <c r="G189" s="16">
        <f>IF($F189&lt;&gt;"aplicado","",IF(IFERROR(INDEX('ORDENES'!$K$4:$K$1203,MATCH($A189,'ORDENES'!$AQ$4:$AQ$1203,0)),"")="","",$B189-IFERROR(INDEX('ORDENES'!$K$4:$K$1203,MATCH($A189,'ORDENES'!$AQ$4:$AQ$1203,0)),"")))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IF($A190="","",IFERROR(INDEX('ORDENES'!$D$4:$D$1203,MATCH($A190,'ORDENES'!$AQ$4:$AQ$1203,0)),"(no encontrada)"))</f>
        <v/>
      </c>
      <c r="F190" s="3">
        <f>IF($A190="","",IF(ISNA(MATCH($A190,'ORDENES'!$AQ$4:$AQ$1203,0)),"huérfano",IF(COUNTIF($A$4:$A190,$A190)&gt;1,"duplicado (se ignora)","aplicado")))</f>
        <v/>
      </c>
      <c r="G190" s="16">
        <f>IF($F190&lt;&gt;"aplicado","",IF(IFERROR(INDEX('ORDENES'!$K$4:$K$1203,MATCH($A190,'ORDENES'!$AQ$4:$AQ$1203,0)),"")="","",$B190-IFERROR(INDEX('ORDENES'!$K$4:$K$1203,MATCH($A190,'ORDENES'!$AQ$4:$AQ$1203,0)),"")))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IF($A191="","",IFERROR(INDEX('ORDENES'!$D$4:$D$1203,MATCH($A191,'ORDENES'!$AQ$4:$AQ$1203,0)),"(no encontrada)"))</f>
        <v/>
      </c>
      <c r="F191" s="3">
        <f>IF($A191="","",IF(ISNA(MATCH($A191,'ORDENES'!$AQ$4:$AQ$1203,0)),"huérfano",IF(COUNTIF($A$4:$A191,$A191)&gt;1,"duplicado (se ignora)","aplicado")))</f>
        <v/>
      </c>
      <c r="G191" s="16">
        <f>IF($F191&lt;&gt;"aplicado","",IF(IFERROR(INDEX('ORDENES'!$K$4:$K$1203,MATCH($A191,'ORDENES'!$AQ$4:$AQ$1203,0)),"")="","",$B191-IFERROR(INDEX('ORDENES'!$K$4:$K$1203,MATCH($A191,'ORDENES'!$AQ$4:$AQ$1203,0)),"")))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IF($A192="","",IFERROR(INDEX('ORDENES'!$D$4:$D$1203,MATCH($A192,'ORDENES'!$AQ$4:$AQ$1203,0)),"(no encontrada)"))</f>
        <v/>
      </c>
      <c r="F192" s="3">
        <f>IF($A192="","",IF(ISNA(MATCH($A192,'ORDENES'!$AQ$4:$AQ$1203,0)),"huérfano",IF(COUNTIF($A$4:$A192,$A192)&gt;1,"duplicado (se ignora)","aplicado")))</f>
        <v/>
      </c>
      <c r="G192" s="16">
        <f>IF($F192&lt;&gt;"aplicado","",IF(IFERROR(INDEX('ORDENES'!$K$4:$K$1203,MATCH($A192,'ORDENES'!$AQ$4:$AQ$1203,0)),"")="","",$B192-IFERROR(INDEX('ORDENES'!$K$4:$K$1203,MATCH($A192,'ORDENES'!$AQ$4:$AQ$1203,0)),"")))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IF($A193="","",IFERROR(INDEX('ORDENES'!$D$4:$D$1203,MATCH($A193,'ORDENES'!$AQ$4:$AQ$1203,0)),"(no encontrada)"))</f>
        <v/>
      </c>
      <c r="F193" s="3">
        <f>IF($A193="","",IF(ISNA(MATCH($A193,'ORDENES'!$AQ$4:$AQ$1203,0)),"huérfano",IF(COUNTIF($A$4:$A193,$A193)&gt;1,"duplicado (se ignora)","aplicado")))</f>
        <v/>
      </c>
      <c r="G193" s="16">
        <f>IF($F193&lt;&gt;"aplicado","",IF(IFERROR(INDEX('ORDENES'!$K$4:$K$1203,MATCH($A193,'ORDENES'!$AQ$4:$AQ$1203,0)),"")="","",$B193-IFERROR(INDEX('ORDENES'!$K$4:$K$1203,MATCH($A193,'ORDENES'!$AQ$4:$AQ$1203,0)),"")))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IF($A194="","",IFERROR(INDEX('ORDENES'!$D$4:$D$1203,MATCH($A194,'ORDENES'!$AQ$4:$AQ$1203,0)),"(no encontrada)"))</f>
        <v/>
      </c>
      <c r="F194" s="3">
        <f>IF($A194="","",IF(ISNA(MATCH($A194,'ORDENES'!$AQ$4:$AQ$1203,0)),"huérfano",IF(COUNTIF($A$4:$A194,$A194)&gt;1,"duplicado (se ignora)","aplicado")))</f>
        <v/>
      </c>
      <c r="G194" s="16">
        <f>IF($F194&lt;&gt;"aplicado","",IF(IFERROR(INDEX('ORDENES'!$K$4:$K$1203,MATCH($A194,'ORDENES'!$AQ$4:$AQ$1203,0)),"")="","",$B194-IFERROR(INDEX('ORDENES'!$K$4:$K$1203,MATCH($A194,'ORDENES'!$AQ$4:$AQ$1203,0)),"")))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IF($A195="","",IFERROR(INDEX('ORDENES'!$D$4:$D$1203,MATCH($A195,'ORDENES'!$AQ$4:$AQ$1203,0)),"(no encontrada)"))</f>
        <v/>
      </c>
      <c r="F195" s="3">
        <f>IF($A195="","",IF(ISNA(MATCH($A195,'ORDENES'!$AQ$4:$AQ$1203,0)),"huérfano",IF(COUNTIF($A$4:$A195,$A195)&gt;1,"duplicado (se ignora)","aplicado")))</f>
        <v/>
      </c>
      <c r="G195" s="16">
        <f>IF($F195&lt;&gt;"aplicado","",IF(IFERROR(INDEX('ORDENES'!$K$4:$K$1203,MATCH($A195,'ORDENES'!$AQ$4:$AQ$1203,0)),"")="","",$B195-IFERROR(INDEX('ORDENES'!$K$4:$K$1203,MATCH($A195,'ORDENES'!$AQ$4:$AQ$1203,0)),"")))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IF($A196="","",IFERROR(INDEX('ORDENES'!$D$4:$D$1203,MATCH($A196,'ORDENES'!$AQ$4:$AQ$1203,0)),"(no encontrada)"))</f>
        <v/>
      </c>
      <c r="F196" s="3">
        <f>IF($A196="","",IF(ISNA(MATCH($A196,'ORDENES'!$AQ$4:$AQ$1203,0)),"huérfano",IF(COUNTIF($A$4:$A196,$A196)&gt;1,"duplicado (se ignora)","aplicado")))</f>
        <v/>
      </c>
      <c r="G196" s="16">
        <f>IF($F196&lt;&gt;"aplicado","",IF(IFERROR(INDEX('ORDENES'!$K$4:$K$1203,MATCH($A196,'ORDENES'!$AQ$4:$AQ$1203,0)),"")="","",$B196-IFERROR(INDEX('ORDENES'!$K$4:$K$1203,MATCH($A196,'ORDENES'!$AQ$4:$AQ$1203,0)),"")))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IF($A197="","",IFERROR(INDEX('ORDENES'!$D$4:$D$1203,MATCH($A197,'ORDENES'!$AQ$4:$AQ$1203,0)),"(no encontrada)"))</f>
        <v/>
      </c>
      <c r="F197" s="3">
        <f>IF($A197="","",IF(ISNA(MATCH($A197,'ORDENES'!$AQ$4:$AQ$1203,0)),"huérfano",IF(COUNTIF($A$4:$A197,$A197)&gt;1,"duplicado (se ignora)","aplicado")))</f>
        <v/>
      </c>
      <c r="G197" s="16">
        <f>IF($F197&lt;&gt;"aplicado","",IF(IFERROR(INDEX('ORDENES'!$K$4:$K$1203,MATCH($A197,'ORDENES'!$AQ$4:$AQ$1203,0)),"")="","",$B197-IFERROR(INDEX('ORDENES'!$K$4:$K$1203,MATCH($A197,'ORDENES'!$AQ$4:$AQ$1203,0)),"")))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IF($A198="","",IFERROR(INDEX('ORDENES'!$D$4:$D$1203,MATCH($A198,'ORDENES'!$AQ$4:$AQ$1203,0)),"(no encontrada)"))</f>
        <v/>
      </c>
      <c r="F198" s="3">
        <f>IF($A198="","",IF(ISNA(MATCH($A198,'ORDENES'!$AQ$4:$AQ$1203,0)),"huérfano",IF(COUNTIF($A$4:$A198,$A198)&gt;1,"duplicado (se ignora)","aplicado")))</f>
        <v/>
      </c>
      <c r="G198" s="16">
        <f>IF($F198&lt;&gt;"aplicado","",IF(IFERROR(INDEX('ORDENES'!$K$4:$K$1203,MATCH($A198,'ORDENES'!$AQ$4:$AQ$1203,0)),"")="","",$B198-IFERROR(INDEX('ORDENES'!$K$4:$K$1203,MATCH($A198,'ORDENES'!$AQ$4:$AQ$1203,0)),"")))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IF($A199="","",IFERROR(INDEX('ORDENES'!$D$4:$D$1203,MATCH($A199,'ORDENES'!$AQ$4:$AQ$1203,0)),"(no encontrada)"))</f>
        <v/>
      </c>
      <c r="F199" s="3">
        <f>IF($A199="","",IF(ISNA(MATCH($A199,'ORDENES'!$AQ$4:$AQ$1203,0)),"huérfano",IF(COUNTIF($A$4:$A199,$A199)&gt;1,"duplicado (se ignora)","aplicado")))</f>
        <v/>
      </c>
      <c r="G199" s="16">
        <f>IF($F199&lt;&gt;"aplicado","",IF(IFERROR(INDEX('ORDENES'!$K$4:$K$1203,MATCH($A199,'ORDENES'!$AQ$4:$AQ$1203,0)),"")="","",$B199-IFERROR(INDEX('ORDENES'!$K$4:$K$1203,MATCH($A199,'ORDENES'!$AQ$4:$AQ$1203,0)),"")))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IF($A200="","",IFERROR(INDEX('ORDENES'!$D$4:$D$1203,MATCH($A200,'ORDENES'!$AQ$4:$AQ$1203,0)),"(no encontrada)"))</f>
        <v/>
      </c>
      <c r="F200" s="3">
        <f>IF($A200="","",IF(ISNA(MATCH($A200,'ORDENES'!$AQ$4:$AQ$1203,0)),"huérfano",IF(COUNTIF($A$4:$A200,$A200)&gt;1,"duplicado (se ignora)","aplicado")))</f>
        <v/>
      </c>
      <c r="G200" s="16">
        <f>IF($F200&lt;&gt;"aplicado","",IF(IFERROR(INDEX('ORDENES'!$K$4:$K$1203,MATCH($A200,'ORDENES'!$AQ$4:$AQ$1203,0)),"")="","",$B200-IFERROR(INDEX('ORDENES'!$K$4:$K$1203,MATCH($A200,'ORDENES'!$AQ$4:$AQ$1203,0)),"")))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IF($A201="","",IFERROR(INDEX('ORDENES'!$D$4:$D$1203,MATCH($A201,'ORDENES'!$AQ$4:$AQ$1203,0)),"(no encontrada)"))</f>
        <v/>
      </c>
      <c r="F201" s="3">
        <f>IF($A201="","",IF(ISNA(MATCH($A201,'ORDENES'!$AQ$4:$AQ$1203,0)),"huérfano",IF(COUNTIF($A$4:$A201,$A201)&gt;1,"duplicado (se ignora)","aplicado")))</f>
        <v/>
      </c>
      <c r="G201" s="16">
        <f>IF($F201&lt;&gt;"aplicado","",IF(IFERROR(INDEX('ORDENES'!$K$4:$K$1203,MATCH($A201,'ORDENES'!$AQ$4:$AQ$1203,0)),"")="","",$B201-IFERROR(INDEX('ORDENES'!$K$4:$K$1203,MATCH($A201,'ORDENES'!$AQ$4:$AQ$1203,0)),"")))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IF($A202="","",IFERROR(INDEX('ORDENES'!$D$4:$D$1203,MATCH($A202,'ORDENES'!$AQ$4:$AQ$1203,0)),"(no encontrada)"))</f>
        <v/>
      </c>
      <c r="F202" s="3">
        <f>IF($A202="","",IF(ISNA(MATCH($A202,'ORDENES'!$AQ$4:$AQ$1203,0)),"huérfano",IF(COUNTIF($A$4:$A202,$A202)&gt;1,"duplicado (se ignora)","aplicado")))</f>
        <v/>
      </c>
      <c r="G202" s="16">
        <f>IF($F202&lt;&gt;"aplicado","",IF(IFERROR(INDEX('ORDENES'!$K$4:$K$1203,MATCH($A202,'ORDENES'!$AQ$4:$AQ$1203,0)),"")="","",$B202-IFERROR(INDEX('ORDENES'!$K$4:$K$1203,MATCH($A202,'ORDENES'!$AQ$4:$AQ$1203,0)),"")))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IF($A203="","",IFERROR(INDEX('ORDENES'!$D$4:$D$1203,MATCH($A203,'ORDENES'!$AQ$4:$AQ$1203,0)),"(no encontrada)"))</f>
        <v/>
      </c>
      <c r="F203" s="3">
        <f>IF($A203="","",IF(ISNA(MATCH($A203,'ORDENES'!$AQ$4:$AQ$1203,0)),"huérfano",IF(COUNTIF($A$4:$A203,$A203)&gt;1,"duplicado (se ignora)","aplicado")))</f>
        <v/>
      </c>
      <c r="G203" s="16">
        <f>IF($F203&lt;&gt;"aplicado","",IF(IFERROR(INDEX('ORDENES'!$K$4:$K$1203,MATCH($A203,'ORDENES'!$AQ$4:$AQ$1203,0)),"")="","",$B203-IFERROR(INDEX('ORDENES'!$K$4:$K$1203,MATCH($A203,'ORDENES'!$AQ$4:$AQ$1203,0)),"")))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IF($A204="","",IFERROR(INDEX('ORDENES'!$D$4:$D$1203,MATCH($A204,'ORDENES'!$AQ$4:$AQ$1203,0)),"(no encontrada)"))</f>
        <v/>
      </c>
      <c r="F204" s="3">
        <f>IF($A204="","",IF(ISNA(MATCH($A204,'ORDENES'!$AQ$4:$AQ$1203,0)),"huérfano",IF(COUNTIF($A$4:$A204,$A204)&gt;1,"duplicado (se ignora)","aplicado")))</f>
        <v/>
      </c>
      <c r="G204" s="16">
        <f>IF($F204&lt;&gt;"aplicado","",IF(IFERROR(INDEX('ORDENES'!$K$4:$K$1203,MATCH($A204,'ORDENES'!$AQ$4:$AQ$1203,0)),"")="","",$B204-IFERROR(INDEX('ORDENES'!$K$4:$K$1203,MATCH($A204,'ORDENES'!$AQ$4:$AQ$1203,0)),"")))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IF($A205="","",IFERROR(INDEX('ORDENES'!$D$4:$D$1203,MATCH($A205,'ORDENES'!$AQ$4:$AQ$1203,0)),"(no encontrada)"))</f>
        <v/>
      </c>
      <c r="F205" s="3">
        <f>IF($A205="","",IF(ISNA(MATCH($A205,'ORDENES'!$AQ$4:$AQ$1203,0)),"huérfano",IF(COUNTIF($A$4:$A205,$A205)&gt;1,"duplicado (se ignora)","aplicado")))</f>
        <v/>
      </c>
      <c r="G205" s="16">
        <f>IF($F205&lt;&gt;"aplicado","",IF(IFERROR(INDEX('ORDENES'!$K$4:$K$1203,MATCH($A205,'ORDENES'!$AQ$4:$AQ$1203,0)),"")="","",$B205-IFERROR(INDEX('ORDENES'!$K$4:$K$1203,MATCH($A205,'ORDENES'!$AQ$4:$AQ$1203,0)),"")))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IF($A206="","",IFERROR(INDEX('ORDENES'!$D$4:$D$1203,MATCH($A206,'ORDENES'!$AQ$4:$AQ$1203,0)),"(no encontrada)"))</f>
        <v/>
      </c>
      <c r="F206" s="3">
        <f>IF($A206="","",IF(ISNA(MATCH($A206,'ORDENES'!$AQ$4:$AQ$1203,0)),"huérfano",IF(COUNTIF($A$4:$A206,$A206)&gt;1,"duplicado (se ignora)","aplicado")))</f>
        <v/>
      </c>
      <c r="G206" s="16">
        <f>IF($F206&lt;&gt;"aplicado","",IF(IFERROR(INDEX('ORDENES'!$K$4:$K$1203,MATCH($A206,'ORDENES'!$AQ$4:$AQ$1203,0)),"")="","",$B206-IFERROR(INDEX('ORDENES'!$K$4:$K$1203,MATCH($A206,'ORDENES'!$AQ$4:$AQ$1203,0)),"")))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IF($A207="","",IFERROR(INDEX('ORDENES'!$D$4:$D$1203,MATCH($A207,'ORDENES'!$AQ$4:$AQ$1203,0)),"(no encontrada)"))</f>
        <v/>
      </c>
      <c r="F207" s="3">
        <f>IF($A207="","",IF(ISNA(MATCH($A207,'ORDENES'!$AQ$4:$AQ$1203,0)),"huérfano",IF(COUNTIF($A$4:$A207,$A207)&gt;1,"duplicado (se ignora)","aplicado")))</f>
        <v/>
      </c>
      <c r="G207" s="16">
        <f>IF($F207&lt;&gt;"aplicado","",IF(IFERROR(INDEX('ORDENES'!$K$4:$K$1203,MATCH($A207,'ORDENES'!$AQ$4:$AQ$1203,0)),"")="","",$B207-IFERROR(INDEX('ORDENES'!$K$4:$K$1203,MATCH($A207,'ORDENES'!$AQ$4:$AQ$1203,0)),"")))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IF($A208="","",IFERROR(INDEX('ORDENES'!$D$4:$D$1203,MATCH($A208,'ORDENES'!$AQ$4:$AQ$1203,0)),"(no encontrada)"))</f>
        <v/>
      </c>
      <c r="F208" s="3">
        <f>IF($A208="","",IF(ISNA(MATCH($A208,'ORDENES'!$AQ$4:$AQ$1203,0)),"huérfano",IF(COUNTIF($A$4:$A208,$A208)&gt;1,"duplicado (se ignora)","aplicado")))</f>
        <v/>
      </c>
      <c r="G208" s="16">
        <f>IF($F208&lt;&gt;"aplicado","",IF(IFERROR(INDEX('ORDENES'!$K$4:$K$1203,MATCH($A208,'ORDENES'!$AQ$4:$AQ$1203,0)),"")="","",$B208-IFERROR(INDEX('ORDENES'!$K$4:$K$1203,MATCH($A208,'ORDENES'!$AQ$4:$AQ$1203,0)),"")))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IF($A209="","",IFERROR(INDEX('ORDENES'!$D$4:$D$1203,MATCH($A209,'ORDENES'!$AQ$4:$AQ$1203,0)),"(no encontrada)"))</f>
        <v/>
      </c>
      <c r="F209" s="3">
        <f>IF($A209="","",IF(ISNA(MATCH($A209,'ORDENES'!$AQ$4:$AQ$1203,0)),"huérfano",IF(COUNTIF($A$4:$A209,$A209)&gt;1,"duplicado (se ignora)","aplicado")))</f>
        <v/>
      </c>
      <c r="G209" s="16">
        <f>IF($F209&lt;&gt;"aplicado","",IF(IFERROR(INDEX('ORDENES'!$K$4:$K$1203,MATCH($A209,'ORDENES'!$AQ$4:$AQ$1203,0)),"")="","",$B209-IFERROR(INDEX('ORDENES'!$K$4:$K$1203,MATCH($A209,'ORDENES'!$AQ$4:$AQ$1203,0)),"")))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IF($A210="","",IFERROR(INDEX('ORDENES'!$D$4:$D$1203,MATCH($A210,'ORDENES'!$AQ$4:$AQ$1203,0)),"(no encontrada)"))</f>
        <v/>
      </c>
      <c r="F210" s="3">
        <f>IF($A210="","",IF(ISNA(MATCH($A210,'ORDENES'!$AQ$4:$AQ$1203,0)),"huérfano",IF(COUNTIF($A$4:$A210,$A210)&gt;1,"duplicado (se ignora)","aplicado")))</f>
        <v/>
      </c>
      <c r="G210" s="16">
        <f>IF($F210&lt;&gt;"aplicado","",IF(IFERROR(INDEX('ORDENES'!$K$4:$K$1203,MATCH($A210,'ORDENES'!$AQ$4:$AQ$1203,0)),"")="","",$B210-IFERROR(INDEX('ORDENES'!$K$4:$K$1203,MATCH($A210,'ORDENES'!$AQ$4:$AQ$1203,0)),"")))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IF($A211="","",IFERROR(INDEX('ORDENES'!$D$4:$D$1203,MATCH($A211,'ORDENES'!$AQ$4:$AQ$1203,0)),"(no encontrada)"))</f>
        <v/>
      </c>
      <c r="F211" s="3">
        <f>IF($A211="","",IF(ISNA(MATCH($A211,'ORDENES'!$AQ$4:$AQ$1203,0)),"huérfano",IF(COUNTIF($A$4:$A211,$A211)&gt;1,"duplicado (se ignora)","aplicado")))</f>
        <v/>
      </c>
      <c r="G211" s="16">
        <f>IF($F211&lt;&gt;"aplicado","",IF(IFERROR(INDEX('ORDENES'!$K$4:$K$1203,MATCH($A211,'ORDENES'!$AQ$4:$AQ$1203,0)),"")="","",$B211-IFERROR(INDEX('ORDENES'!$K$4:$K$1203,MATCH($A211,'ORDENES'!$AQ$4:$AQ$1203,0)),"")))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IF($A212="","",IFERROR(INDEX('ORDENES'!$D$4:$D$1203,MATCH($A212,'ORDENES'!$AQ$4:$AQ$1203,0)),"(no encontrada)"))</f>
        <v/>
      </c>
      <c r="F212" s="3">
        <f>IF($A212="","",IF(ISNA(MATCH($A212,'ORDENES'!$AQ$4:$AQ$1203,0)),"huérfano",IF(COUNTIF($A$4:$A212,$A212)&gt;1,"duplicado (se ignora)","aplicado")))</f>
        <v/>
      </c>
      <c r="G212" s="16">
        <f>IF($F212&lt;&gt;"aplicado","",IF(IFERROR(INDEX('ORDENES'!$K$4:$K$1203,MATCH($A212,'ORDENES'!$AQ$4:$AQ$1203,0)),"")="","",$B212-IFERROR(INDEX('ORDENES'!$K$4:$K$1203,MATCH($A212,'ORDENES'!$AQ$4:$AQ$1203,0)),"")))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IF($A213="","",IFERROR(INDEX('ORDENES'!$D$4:$D$1203,MATCH($A213,'ORDENES'!$AQ$4:$AQ$1203,0)),"(no encontrada)"))</f>
        <v/>
      </c>
      <c r="F213" s="3">
        <f>IF($A213="","",IF(ISNA(MATCH($A213,'ORDENES'!$AQ$4:$AQ$1203,0)),"huérfano",IF(COUNTIF($A$4:$A213,$A213)&gt;1,"duplicado (se ignora)","aplicado")))</f>
        <v/>
      </c>
      <c r="G213" s="16">
        <f>IF($F213&lt;&gt;"aplicado","",IF(IFERROR(INDEX('ORDENES'!$K$4:$K$1203,MATCH($A213,'ORDENES'!$AQ$4:$AQ$1203,0)),"")="","",$B213-IFERROR(INDEX('ORDENES'!$K$4:$K$1203,MATCH($A213,'ORDENES'!$AQ$4:$AQ$1203,0)),"")))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IF($A214="","",IFERROR(INDEX('ORDENES'!$D$4:$D$1203,MATCH($A214,'ORDENES'!$AQ$4:$AQ$1203,0)),"(no encontrada)"))</f>
        <v/>
      </c>
      <c r="F214" s="3">
        <f>IF($A214="","",IF(ISNA(MATCH($A214,'ORDENES'!$AQ$4:$AQ$1203,0)),"huérfano",IF(COUNTIF($A$4:$A214,$A214)&gt;1,"duplicado (se ignora)","aplicado")))</f>
        <v/>
      </c>
      <c r="G214" s="16">
        <f>IF($F214&lt;&gt;"aplicado","",IF(IFERROR(INDEX('ORDENES'!$K$4:$K$1203,MATCH($A214,'ORDENES'!$AQ$4:$AQ$1203,0)),"")="","",$B214-IFERROR(INDEX('ORDENES'!$K$4:$K$1203,MATCH($A214,'ORDENES'!$AQ$4:$AQ$1203,0)),"")))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IF($A215="","",IFERROR(INDEX('ORDENES'!$D$4:$D$1203,MATCH($A215,'ORDENES'!$AQ$4:$AQ$1203,0)),"(no encontrada)"))</f>
        <v/>
      </c>
      <c r="F215" s="3">
        <f>IF($A215="","",IF(ISNA(MATCH($A215,'ORDENES'!$AQ$4:$AQ$1203,0)),"huérfano",IF(COUNTIF($A$4:$A215,$A215)&gt;1,"duplicado (se ignora)","aplicado")))</f>
        <v/>
      </c>
      <c r="G215" s="16">
        <f>IF($F215&lt;&gt;"aplicado","",IF(IFERROR(INDEX('ORDENES'!$K$4:$K$1203,MATCH($A215,'ORDENES'!$AQ$4:$AQ$1203,0)),"")="","",$B215-IFERROR(INDEX('ORDENES'!$K$4:$K$1203,MATCH($A215,'ORDENES'!$AQ$4:$AQ$1203,0)),"")))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IF($A216="","",IFERROR(INDEX('ORDENES'!$D$4:$D$1203,MATCH($A216,'ORDENES'!$AQ$4:$AQ$1203,0)),"(no encontrada)"))</f>
        <v/>
      </c>
      <c r="F216" s="3">
        <f>IF($A216="","",IF(ISNA(MATCH($A216,'ORDENES'!$AQ$4:$AQ$1203,0)),"huérfano",IF(COUNTIF($A$4:$A216,$A216)&gt;1,"duplicado (se ignora)","aplicado")))</f>
        <v/>
      </c>
      <c r="G216" s="16">
        <f>IF($F216&lt;&gt;"aplicado","",IF(IFERROR(INDEX('ORDENES'!$K$4:$K$1203,MATCH($A216,'ORDENES'!$AQ$4:$AQ$1203,0)),"")="","",$B216-IFERROR(INDEX('ORDENES'!$K$4:$K$1203,MATCH($A216,'ORDENES'!$AQ$4:$AQ$1203,0)),"")))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IF($A217="","",IFERROR(INDEX('ORDENES'!$D$4:$D$1203,MATCH($A217,'ORDENES'!$AQ$4:$AQ$1203,0)),"(no encontrada)"))</f>
        <v/>
      </c>
      <c r="F217" s="3">
        <f>IF($A217="","",IF(ISNA(MATCH($A217,'ORDENES'!$AQ$4:$AQ$1203,0)),"huérfano",IF(COUNTIF($A$4:$A217,$A217)&gt;1,"duplicado (se ignora)","aplicado")))</f>
        <v/>
      </c>
      <c r="G217" s="16">
        <f>IF($F217&lt;&gt;"aplicado","",IF(IFERROR(INDEX('ORDENES'!$K$4:$K$1203,MATCH($A217,'ORDENES'!$AQ$4:$AQ$1203,0)),"")="","",$B217-IFERROR(INDEX('ORDENES'!$K$4:$K$1203,MATCH($A217,'ORDENES'!$AQ$4:$AQ$1203,0)),"")))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IF($A218="","",IFERROR(INDEX('ORDENES'!$D$4:$D$1203,MATCH($A218,'ORDENES'!$AQ$4:$AQ$1203,0)),"(no encontrada)"))</f>
        <v/>
      </c>
      <c r="F218" s="3">
        <f>IF($A218="","",IF(ISNA(MATCH($A218,'ORDENES'!$AQ$4:$AQ$1203,0)),"huérfano",IF(COUNTIF($A$4:$A218,$A218)&gt;1,"duplicado (se ignora)","aplicado")))</f>
        <v/>
      </c>
      <c r="G218" s="16">
        <f>IF($F218&lt;&gt;"aplicado","",IF(IFERROR(INDEX('ORDENES'!$K$4:$K$1203,MATCH($A218,'ORDENES'!$AQ$4:$AQ$1203,0)),"")="","",$B218-IFERROR(INDEX('ORDENES'!$K$4:$K$1203,MATCH($A218,'ORDENES'!$AQ$4:$AQ$1203,0)),"")))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IF($A219="","",IFERROR(INDEX('ORDENES'!$D$4:$D$1203,MATCH($A219,'ORDENES'!$AQ$4:$AQ$1203,0)),"(no encontrada)"))</f>
        <v/>
      </c>
      <c r="F219" s="3">
        <f>IF($A219="","",IF(ISNA(MATCH($A219,'ORDENES'!$AQ$4:$AQ$1203,0)),"huérfano",IF(COUNTIF($A$4:$A219,$A219)&gt;1,"duplicado (se ignora)","aplicado")))</f>
        <v/>
      </c>
      <c r="G219" s="16">
        <f>IF($F219&lt;&gt;"aplicado","",IF(IFERROR(INDEX('ORDENES'!$K$4:$K$1203,MATCH($A219,'ORDENES'!$AQ$4:$AQ$1203,0)),"")="","",$B219-IFERROR(INDEX('ORDENES'!$K$4:$K$1203,MATCH($A219,'ORDENES'!$AQ$4:$AQ$1203,0)),"")))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IF($A220="","",IFERROR(INDEX('ORDENES'!$D$4:$D$1203,MATCH($A220,'ORDENES'!$AQ$4:$AQ$1203,0)),"(no encontrada)"))</f>
        <v/>
      </c>
      <c r="F220" s="3">
        <f>IF($A220="","",IF(ISNA(MATCH($A220,'ORDENES'!$AQ$4:$AQ$1203,0)),"huérfano",IF(COUNTIF($A$4:$A220,$A220)&gt;1,"duplicado (se ignora)","aplicado")))</f>
        <v/>
      </c>
      <c r="G220" s="16">
        <f>IF($F220&lt;&gt;"aplicado","",IF(IFERROR(INDEX('ORDENES'!$K$4:$K$1203,MATCH($A220,'ORDENES'!$AQ$4:$AQ$1203,0)),"")="","",$B220-IFERROR(INDEX('ORDENES'!$K$4:$K$1203,MATCH($A220,'ORDENES'!$AQ$4:$AQ$1203,0)),"")))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IF($A221="","",IFERROR(INDEX('ORDENES'!$D$4:$D$1203,MATCH($A221,'ORDENES'!$AQ$4:$AQ$1203,0)),"(no encontrada)"))</f>
        <v/>
      </c>
      <c r="F221" s="3">
        <f>IF($A221="","",IF(ISNA(MATCH($A221,'ORDENES'!$AQ$4:$AQ$1203,0)),"huérfano",IF(COUNTIF($A$4:$A221,$A221)&gt;1,"duplicado (se ignora)","aplicado")))</f>
        <v/>
      </c>
      <c r="G221" s="16">
        <f>IF($F221&lt;&gt;"aplicado","",IF(IFERROR(INDEX('ORDENES'!$K$4:$K$1203,MATCH($A221,'ORDENES'!$AQ$4:$AQ$1203,0)),"")="","",$B221-IFERROR(INDEX('ORDENES'!$K$4:$K$1203,MATCH($A221,'ORDENES'!$AQ$4:$AQ$1203,0)),"")))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IF($A222="","",IFERROR(INDEX('ORDENES'!$D$4:$D$1203,MATCH($A222,'ORDENES'!$AQ$4:$AQ$1203,0)),"(no encontrada)"))</f>
        <v/>
      </c>
      <c r="F222" s="3">
        <f>IF($A222="","",IF(ISNA(MATCH($A222,'ORDENES'!$AQ$4:$AQ$1203,0)),"huérfano",IF(COUNTIF($A$4:$A222,$A222)&gt;1,"duplicado (se ignora)","aplicado")))</f>
        <v/>
      </c>
      <c r="G222" s="16">
        <f>IF($F222&lt;&gt;"aplicado","",IF(IFERROR(INDEX('ORDENES'!$K$4:$K$1203,MATCH($A222,'ORDENES'!$AQ$4:$AQ$1203,0)),"")="","",$B222-IFERROR(INDEX('ORDENES'!$K$4:$K$1203,MATCH($A222,'ORDENES'!$AQ$4:$AQ$1203,0)),"")))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IF($A223="","",IFERROR(INDEX('ORDENES'!$D$4:$D$1203,MATCH($A223,'ORDENES'!$AQ$4:$AQ$1203,0)),"(no encontrada)"))</f>
        <v/>
      </c>
      <c r="F223" s="3">
        <f>IF($A223="","",IF(ISNA(MATCH($A223,'ORDENES'!$AQ$4:$AQ$1203,0)),"huérfano",IF(COUNTIF($A$4:$A223,$A223)&gt;1,"duplicado (se ignora)","aplicado")))</f>
        <v/>
      </c>
      <c r="G223" s="16">
        <f>IF($F223&lt;&gt;"aplicado","",IF(IFERROR(INDEX('ORDENES'!$K$4:$K$1203,MATCH($A223,'ORDENES'!$AQ$4:$AQ$1203,0)),"")="","",$B223-IFERROR(INDEX('ORDENES'!$K$4:$K$1203,MATCH($A223,'ORDENES'!$AQ$4:$AQ$1203,0)),"")))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IF($A224="","",IFERROR(INDEX('ORDENES'!$D$4:$D$1203,MATCH($A224,'ORDENES'!$AQ$4:$AQ$1203,0)),"(no encontrada)"))</f>
        <v/>
      </c>
      <c r="F224" s="3">
        <f>IF($A224="","",IF(ISNA(MATCH($A224,'ORDENES'!$AQ$4:$AQ$1203,0)),"huérfano",IF(COUNTIF($A$4:$A224,$A224)&gt;1,"duplicado (se ignora)","aplicado")))</f>
        <v/>
      </c>
      <c r="G224" s="16">
        <f>IF($F224&lt;&gt;"aplicado","",IF(IFERROR(INDEX('ORDENES'!$K$4:$K$1203,MATCH($A224,'ORDENES'!$AQ$4:$AQ$1203,0)),"")="","",$B224-IFERROR(INDEX('ORDENES'!$K$4:$K$1203,MATCH($A224,'ORDENES'!$AQ$4:$AQ$1203,0)),"")))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IF($A225="","",IFERROR(INDEX('ORDENES'!$D$4:$D$1203,MATCH($A225,'ORDENES'!$AQ$4:$AQ$1203,0)),"(no encontrada)"))</f>
        <v/>
      </c>
      <c r="F225" s="3">
        <f>IF($A225="","",IF(ISNA(MATCH($A225,'ORDENES'!$AQ$4:$AQ$1203,0)),"huérfano",IF(COUNTIF($A$4:$A225,$A225)&gt;1,"duplicado (se ignora)","aplicado")))</f>
        <v/>
      </c>
      <c r="G225" s="16">
        <f>IF($F225&lt;&gt;"aplicado","",IF(IFERROR(INDEX('ORDENES'!$K$4:$K$1203,MATCH($A225,'ORDENES'!$AQ$4:$AQ$1203,0)),"")="","",$B225-IFERROR(INDEX('ORDENES'!$K$4:$K$1203,MATCH($A225,'ORDENES'!$AQ$4:$AQ$1203,0)),"")))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IF($A226="","",IFERROR(INDEX('ORDENES'!$D$4:$D$1203,MATCH($A226,'ORDENES'!$AQ$4:$AQ$1203,0)),"(no encontrada)"))</f>
        <v/>
      </c>
      <c r="F226" s="3">
        <f>IF($A226="","",IF(ISNA(MATCH($A226,'ORDENES'!$AQ$4:$AQ$1203,0)),"huérfano",IF(COUNTIF($A$4:$A226,$A226)&gt;1,"duplicado (se ignora)","aplicado")))</f>
        <v/>
      </c>
      <c r="G226" s="16">
        <f>IF($F226&lt;&gt;"aplicado","",IF(IFERROR(INDEX('ORDENES'!$K$4:$K$1203,MATCH($A226,'ORDENES'!$AQ$4:$AQ$1203,0)),"")="","",$B226-IFERROR(INDEX('ORDENES'!$K$4:$K$1203,MATCH($A226,'ORDENES'!$AQ$4:$AQ$1203,0)),"")))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IF($A227="","",IFERROR(INDEX('ORDENES'!$D$4:$D$1203,MATCH($A227,'ORDENES'!$AQ$4:$AQ$1203,0)),"(no encontrada)"))</f>
        <v/>
      </c>
      <c r="F227" s="3">
        <f>IF($A227="","",IF(ISNA(MATCH($A227,'ORDENES'!$AQ$4:$AQ$1203,0)),"huérfano",IF(COUNTIF($A$4:$A227,$A227)&gt;1,"duplicado (se ignora)","aplicado")))</f>
        <v/>
      </c>
      <c r="G227" s="16">
        <f>IF($F227&lt;&gt;"aplicado","",IF(IFERROR(INDEX('ORDENES'!$K$4:$K$1203,MATCH($A227,'ORDENES'!$AQ$4:$AQ$1203,0)),"")="","",$B227-IFERROR(INDEX('ORDENES'!$K$4:$K$1203,MATCH($A227,'ORDENES'!$AQ$4:$AQ$1203,0)),"")))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IF($A228="","",IFERROR(INDEX('ORDENES'!$D$4:$D$1203,MATCH($A228,'ORDENES'!$AQ$4:$AQ$1203,0)),"(no encontrada)"))</f>
        <v/>
      </c>
      <c r="F228" s="3">
        <f>IF($A228="","",IF(ISNA(MATCH($A228,'ORDENES'!$AQ$4:$AQ$1203,0)),"huérfano",IF(COUNTIF($A$4:$A228,$A228)&gt;1,"duplicado (se ignora)","aplicado")))</f>
        <v/>
      </c>
      <c r="G228" s="16">
        <f>IF($F228&lt;&gt;"aplicado","",IF(IFERROR(INDEX('ORDENES'!$K$4:$K$1203,MATCH($A228,'ORDENES'!$AQ$4:$AQ$1203,0)),"")="","",$B228-IFERROR(INDEX('ORDENES'!$K$4:$K$1203,MATCH($A228,'ORDENES'!$AQ$4:$AQ$1203,0)),"")))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IF($A229="","",IFERROR(INDEX('ORDENES'!$D$4:$D$1203,MATCH($A229,'ORDENES'!$AQ$4:$AQ$1203,0)),"(no encontrada)"))</f>
        <v/>
      </c>
      <c r="F229" s="3">
        <f>IF($A229="","",IF(ISNA(MATCH($A229,'ORDENES'!$AQ$4:$AQ$1203,0)),"huérfano",IF(COUNTIF($A$4:$A229,$A229)&gt;1,"duplicado (se ignora)","aplicado")))</f>
        <v/>
      </c>
      <c r="G229" s="16">
        <f>IF($F229&lt;&gt;"aplicado","",IF(IFERROR(INDEX('ORDENES'!$K$4:$K$1203,MATCH($A229,'ORDENES'!$AQ$4:$AQ$1203,0)),"")="","",$B229-IFERROR(INDEX('ORDENES'!$K$4:$K$1203,MATCH($A229,'ORDENES'!$AQ$4:$AQ$1203,0)),"")))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IF($A230="","",IFERROR(INDEX('ORDENES'!$D$4:$D$1203,MATCH($A230,'ORDENES'!$AQ$4:$AQ$1203,0)),"(no encontrada)"))</f>
        <v/>
      </c>
      <c r="F230" s="3">
        <f>IF($A230="","",IF(ISNA(MATCH($A230,'ORDENES'!$AQ$4:$AQ$1203,0)),"huérfano",IF(COUNTIF($A$4:$A230,$A230)&gt;1,"duplicado (se ignora)","aplicado")))</f>
        <v/>
      </c>
      <c r="G230" s="16">
        <f>IF($F230&lt;&gt;"aplicado","",IF(IFERROR(INDEX('ORDENES'!$K$4:$K$1203,MATCH($A230,'ORDENES'!$AQ$4:$AQ$1203,0)),"")="","",$B230-IFERROR(INDEX('ORDENES'!$K$4:$K$1203,MATCH($A230,'ORDENES'!$AQ$4:$AQ$1203,0)),"")))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IF($A231="","",IFERROR(INDEX('ORDENES'!$D$4:$D$1203,MATCH($A231,'ORDENES'!$AQ$4:$AQ$1203,0)),"(no encontrada)"))</f>
        <v/>
      </c>
      <c r="F231" s="3">
        <f>IF($A231="","",IF(ISNA(MATCH($A231,'ORDENES'!$AQ$4:$AQ$1203,0)),"huérfano",IF(COUNTIF($A$4:$A231,$A231)&gt;1,"duplicado (se ignora)","aplicado")))</f>
        <v/>
      </c>
      <c r="G231" s="16">
        <f>IF($F231&lt;&gt;"aplicado","",IF(IFERROR(INDEX('ORDENES'!$K$4:$K$1203,MATCH($A231,'ORDENES'!$AQ$4:$AQ$1203,0)),"")="","",$B231-IFERROR(INDEX('ORDENES'!$K$4:$K$1203,MATCH($A231,'ORDENES'!$AQ$4:$AQ$1203,0)),"")))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IF($A232="","",IFERROR(INDEX('ORDENES'!$D$4:$D$1203,MATCH($A232,'ORDENES'!$AQ$4:$AQ$1203,0)),"(no encontrada)"))</f>
        <v/>
      </c>
      <c r="F232" s="3">
        <f>IF($A232="","",IF(ISNA(MATCH($A232,'ORDENES'!$AQ$4:$AQ$1203,0)),"huérfano",IF(COUNTIF($A$4:$A232,$A232)&gt;1,"duplicado (se ignora)","aplicado")))</f>
        <v/>
      </c>
      <c r="G232" s="16">
        <f>IF($F232&lt;&gt;"aplicado","",IF(IFERROR(INDEX('ORDENES'!$K$4:$K$1203,MATCH($A232,'ORDENES'!$AQ$4:$AQ$1203,0)),"")="","",$B232-IFERROR(INDEX('ORDENES'!$K$4:$K$1203,MATCH($A232,'ORDENES'!$AQ$4:$AQ$1203,0)),"")))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IF($A233="","",IFERROR(INDEX('ORDENES'!$D$4:$D$1203,MATCH($A233,'ORDENES'!$AQ$4:$AQ$1203,0)),"(no encontrada)"))</f>
        <v/>
      </c>
      <c r="F233" s="3">
        <f>IF($A233="","",IF(ISNA(MATCH($A233,'ORDENES'!$AQ$4:$AQ$1203,0)),"huérfano",IF(COUNTIF($A$4:$A233,$A233)&gt;1,"duplicado (se ignora)","aplicado")))</f>
        <v/>
      </c>
      <c r="G233" s="16">
        <f>IF($F233&lt;&gt;"aplicado","",IF(IFERROR(INDEX('ORDENES'!$K$4:$K$1203,MATCH($A233,'ORDENES'!$AQ$4:$AQ$1203,0)),"")="","",$B233-IFERROR(INDEX('ORDENES'!$K$4:$K$1203,MATCH($A233,'ORDENES'!$AQ$4:$AQ$1203,0)),"")))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IF($A234="","",IFERROR(INDEX('ORDENES'!$D$4:$D$1203,MATCH($A234,'ORDENES'!$AQ$4:$AQ$1203,0)),"(no encontrada)"))</f>
        <v/>
      </c>
      <c r="F234" s="3">
        <f>IF($A234="","",IF(ISNA(MATCH($A234,'ORDENES'!$AQ$4:$AQ$1203,0)),"huérfano",IF(COUNTIF($A$4:$A234,$A234)&gt;1,"duplicado (se ignora)","aplicado")))</f>
        <v/>
      </c>
      <c r="G234" s="16">
        <f>IF($F234&lt;&gt;"aplicado","",IF(IFERROR(INDEX('ORDENES'!$K$4:$K$1203,MATCH($A234,'ORDENES'!$AQ$4:$AQ$1203,0)),"")="","",$B234-IFERROR(INDEX('ORDENES'!$K$4:$K$1203,MATCH($A234,'ORDENES'!$AQ$4:$AQ$1203,0)),"")))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IF($A235="","",IFERROR(INDEX('ORDENES'!$D$4:$D$1203,MATCH($A235,'ORDENES'!$AQ$4:$AQ$1203,0)),"(no encontrada)"))</f>
        <v/>
      </c>
      <c r="F235" s="3">
        <f>IF($A235="","",IF(ISNA(MATCH($A235,'ORDENES'!$AQ$4:$AQ$1203,0)),"huérfano",IF(COUNTIF($A$4:$A235,$A235)&gt;1,"duplicado (se ignora)","aplicado")))</f>
        <v/>
      </c>
      <c r="G235" s="16">
        <f>IF($F235&lt;&gt;"aplicado","",IF(IFERROR(INDEX('ORDENES'!$K$4:$K$1203,MATCH($A235,'ORDENES'!$AQ$4:$AQ$1203,0)),"")="","",$B235-IFERROR(INDEX('ORDENES'!$K$4:$K$1203,MATCH($A235,'ORDENES'!$AQ$4:$AQ$1203,0)),"")))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IF($A236="","",IFERROR(INDEX('ORDENES'!$D$4:$D$1203,MATCH($A236,'ORDENES'!$AQ$4:$AQ$1203,0)),"(no encontrada)"))</f>
        <v/>
      </c>
      <c r="F236" s="3">
        <f>IF($A236="","",IF(ISNA(MATCH($A236,'ORDENES'!$AQ$4:$AQ$1203,0)),"huérfano",IF(COUNTIF($A$4:$A236,$A236)&gt;1,"duplicado (se ignora)","aplicado")))</f>
        <v/>
      </c>
      <c r="G236" s="16">
        <f>IF($F236&lt;&gt;"aplicado","",IF(IFERROR(INDEX('ORDENES'!$K$4:$K$1203,MATCH($A236,'ORDENES'!$AQ$4:$AQ$1203,0)),"")="","",$B236-IFERROR(INDEX('ORDENES'!$K$4:$K$1203,MATCH($A236,'ORDENES'!$AQ$4:$AQ$1203,0)),"")))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IF($A237="","",IFERROR(INDEX('ORDENES'!$D$4:$D$1203,MATCH($A237,'ORDENES'!$AQ$4:$AQ$1203,0)),"(no encontrada)"))</f>
        <v/>
      </c>
      <c r="F237" s="3">
        <f>IF($A237="","",IF(ISNA(MATCH($A237,'ORDENES'!$AQ$4:$AQ$1203,0)),"huérfano",IF(COUNTIF($A$4:$A237,$A237)&gt;1,"duplicado (se ignora)","aplicado")))</f>
        <v/>
      </c>
      <c r="G237" s="16">
        <f>IF($F237&lt;&gt;"aplicado","",IF(IFERROR(INDEX('ORDENES'!$K$4:$K$1203,MATCH($A237,'ORDENES'!$AQ$4:$AQ$1203,0)),"")="","",$B237-IFERROR(INDEX('ORDENES'!$K$4:$K$1203,MATCH($A237,'ORDENES'!$AQ$4:$AQ$1203,0)),"")))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IF($A238="","",IFERROR(INDEX('ORDENES'!$D$4:$D$1203,MATCH($A238,'ORDENES'!$AQ$4:$AQ$1203,0)),"(no encontrada)"))</f>
        <v/>
      </c>
      <c r="F238" s="3">
        <f>IF($A238="","",IF(ISNA(MATCH($A238,'ORDENES'!$AQ$4:$AQ$1203,0)),"huérfano",IF(COUNTIF($A$4:$A238,$A238)&gt;1,"duplicado (se ignora)","aplicado")))</f>
        <v/>
      </c>
      <c r="G238" s="16">
        <f>IF($F238&lt;&gt;"aplicado","",IF(IFERROR(INDEX('ORDENES'!$K$4:$K$1203,MATCH($A238,'ORDENES'!$AQ$4:$AQ$1203,0)),"")="","",$B238-IFERROR(INDEX('ORDENES'!$K$4:$K$1203,MATCH($A238,'ORDENES'!$AQ$4:$AQ$1203,0)),"")))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IF($A239="","",IFERROR(INDEX('ORDENES'!$D$4:$D$1203,MATCH($A239,'ORDENES'!$AQ$4:$AQ$1203,0)),"(no encontrada)"))</f>
        <v/>
      </c>
      <c r="F239" s="3">
        <f>IF($A239="","",IF(ISNA(MATCH($A239,'ORDENES'!$AQ$4:$AQ$1203,0)),"huérfano",IF(COUNTIF($A$4:$A239,$A239)&gt;1,"duplicado (se ignora)","aplicado")))</f>
        <v/>
      </c>
      <c r="G239" s="16">
        <f>IF($F239&lt;&gt;"aplicado","",IF(IFERROR(INDEX('ORDENES'!$K$4:$K$1203,MATCH($A239,'ORDENES'!$AQ$4:$AQ$1203,0)),"")="","",$B239-IFERROR(INDEX('ORDENES'!$K$4:$K$1203,MATCH($A239,'ORDENES'!$AQ$4:$AQ$1203,0)),"")))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IF($A240="","",IFERROR(INDEX('ORDENES'!$D$4:$D$1203,MATCH($A240,'ORDENES'!$AQ$4:$AQ$1203,0)),"(no encontrada)"))</f>
        <v/>
      </c>
      <c r="F240" s="3">
        <f>IF($A240="","",IF(ISNA(MATCH($A240,'ORDENES'!$AQ$4:$AQ$1203,0)),"huérfano",IF(COUNTIF($A$4:$A240,$A240)&gt;1,"duplicado (se ignora)","aplicado")))</f>
        <v/>
      </c>
      <c r="G240" s="16">
        <f>IF($F240&lt;&gt;"aplicado","",IF(IFERROR(INDEX('ORDENES'!$K$4:$K$1203,MATCH($A240,'ORDENES'!$AQ$4:$AQ$1203,0)),"")="","",$B240-IFERROR(INDEX('ORDENES'!$K$4:$K$1203,MATCH($A240,'ORDENES'!$AQ$4:$AQ$1203,0)),"")))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IF($A241="","",IFERROR(INDEX('ORDENES'!$D$4:$D$1203,MATCH($A241,'ORDENES'!$AQ$4:$AQ$1203,0)),"(no encontrada)"))</f>
        <v/>
      </c>
      <c r="F241" s="3">
        <f>IF($A241="","",IF(ISNA(MATCH($A241,'ORDENES'!$AQ$4:$AQ$1203,0)),"huérfano",IF(COUNTIF($A$4:$A241,$A241)&gt;1,"duplicado (se ignora)","aplicado")))</f>
        <v/>
      </c>
      <c r="G241" s="16">
        <f>IF($F241&lt;&gt;"aplicado","",IF(IFERROR(INDEX('ORDENES'!$K$4:$K$1203,MATCH($A241,'ORDENES'!$AQ$4:$AQ$1203,0)),"")="","",$B241-IFERROR(INDEX('ORDENES'!$K$4:$K$1203,MATCH($A241,'ORDENES'!$AQ$4:$AQ$1203,0)),"")))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IF($A242="","",IFERROR(INDEX('ORDENES'!$D$4:$D$1203,MATCH($A242,'ORDENES'!$AQ$4:$AQ$1203,0)),"(no encontrada)"))</f>
        <v/>
      </c>
      <c r="F242" s="3">
        <f>IF($A242="","",IF(ISNA(MATCH($A242,'ORDENES'!$AQ$4:$AQ$1203,0)),"huérfano",IF(COUNTIF($A$4:$A242,$A242)&gt;1,"duplicado (se ignora)","aplicado")))</f>
        <v/>
      </c>
      <c r="G242" s="16">
        <f>IF($F242&lt;&gt;"aplicado","",IF(IFERROR(INDEX('ORDENES'!$K$4:$K$1203,MATCH($A242,'ORDENES'!$AQ$4:$AQ$1203,0)),"")="","",$B242-IFERROR(INDEX('ORDENES'!$K$4:$K$1203,MATCH($A242,'ORDENES'!$AQ$4:$AQ$1203,0)),"")))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IF($A243="","",IFERROR(INDEX('ORDENES'!$D$4:$D$1203,MATCH($A243,'ORDENES'!$AQ$4:$AQ$1203,0)),"(no encontrada)"))</f>
        <v/>
      </c>
      <c r="F243" s="3">
        <f>IF($A243="","",IF(ISNA(MATCH($A243,'ORDENES'!$AQ$4:$AQ$1203,0)),"huérfano",IF(COUNTIF($A$4:$A243,$A243)&gt;1,"duplicado (se ignora)","aplicado")))</f>
        <v/>
      </c>
      <c r="G243" s="16">
        <f>IF($F243&lt;&gt;"aplicado","",IF(IFERROR(INDEX('ORDENES'!$K$4:$K$1203,MATCH($A243,'ORDENES'!$AQ$4:$AQ$1203,0)),"")="","",$B243-IFERROR(INDEX('ORDENES'!$K$4:$K$1203,MATCH($A243,'ORDENES'!$AQ$4:$AQ$1203,0)),"")))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IF($A244="","",IFERROR(INDEX('ORDENES'!$D$4:$D$1203,MATCH($A244,'ORDENES'!$AQ$4:$AQ$1203,0)),"(no encontrada)"))</f>
        <v/>
      </c>
      <c r="F244" s="3">
        <f>IF($A244="","",IF(ISNA(MATCH($A244,'ORDENES'!$AQ$4:$AQ$1203,0)),"huérfano",IF(COUNTIF($A$4:$A244,$A244)&gt;1,"duplicado (se ignora)","aplicado")))</f>
        <v/>
      </c>
      <c r="G244" s="16">
        <f>IF($F244&lt;&gt;"aplicado","",IF(IFERROR(INDEX('ORDENES'!$K$4:$K$1203,MATCH($A244,'ORDENES'!$AQ$4:$AQ$1203,0)),"")="","",$B244-IFERROR(INDEX('ORDENES'!$K$4:$K$1203,MATCH($A244,'ORDENES'!$AQ$4:$AQ$1203,0)),"")))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IF($A245="","",IFERROR(INDEX('ORDENES'!$D$4:$D$1203,MATCH($A245,'ORDENES'!$AQ$4:$AQ$1203,0)),"(no encontrada)"))</f>
        <v/>
      </c>
      <c r="F245" s="3">
        <f>IF($A245="","",IF(ISNA(MATCH($A245,'ORDENES'!$AQ$4:$AQ$1203,0)),"huérfano",IF(COUNTIF($A$4:$A245,$A245)&gt;1,"duplicado (se ignora)","aplicado")))</f>
        <v/>
      </c>
      <c r="G245" s="16">
        <f>IF($F245&lt;&gt;"aplicado","",IF(IFERROR(INDEX('ORDENES'!$K$4:$K$1203,MATCH($A245,'ORDENES'!$AQ$4:$AQ$1203,0)),"")="","",$B245-IFERROR(INDEX('ORDENES'!$K$4:$K$1203,MATCH($A245,'ORDENES'!$AQ$4:$AQ$1203,0)),"")))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IF($A246="","",IFERROR(INDEX('ORDENES'!$D$4:$D$1203,MATCH($A246,'ORDENES'!$AQ$4:$AQ$1203,0)),"(no encontrada)"))</f>
        <v/>
      </c>
      <c r="F246" s="3">
        <f>IF($A246="","",IF(ISNA(MATCH($A246,'ORDENES'!$AQ$4:$AQ$1203,0)),"huérfano",IF(COUNTIF($A$4:$A246,$A246)&gt;1,"duplicado (se ignora)","aplicado")))</f>
        <v/>
      </c>
      <c r="G246" s="16">
        <f>IF($F246&lt;&gt;"aplicado","",IF(IFERROR(INDEX('ORDENES'!$K$4:$K$1203,MATCH($A246,'ORDENES'!$AQ$4:$AQ$1203,0)),"")="","",$B246-IFERROR(INDEX('ORDENES'!$K$4:$K$1203,MATCH($A246,'ORDENES'!$AQ$4:$AQ$1203,0)),"")))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IF($A247="","",IFERROR(INDEX('ORDENES'!$D$4:$D$1203,MATCH($A247,'ORDENES'!$AQ$4:$AQ$1203,0)),"(no encontrada)"))</f>
        <v/>
      </c>
      <c r="F247" s="3">
        <f>IF($A247="","",IF(ISNA(MATCH($A247,'ORDENES'!$AQ$4:$AQ$1203,0)),"huérfano",IF(COUNTIF($A$4:$A247,$A247)&gt;1,"duplicado (se ignora)","aplicado")))</f>
        <v/>
      </c>
      <c r="G247" s="16">
        <f>IF($F247&lt;&gt;"aplicado","",IF(IFERROR(INDEX('ORDENES'!$K$4:$K$1203,MATCH($A247,'ORDENES'!$AQ$4:$AQ$1203,0)),"")="","",$B247-IFERROR(INDEX('ORDENES'!$K$4:$K$1203,MATCH($A247,'ORDENES'!$AQ$4:$AQ$1203,0)),"")))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IF($A248="","",IFERROR(INDEX('ORDENES'!$D$4:$D$1203,MATCH($A248,'ORDENES'!$AQ$4:$AQ$1203,0)),"(no encontrada)"))</f>
        <v/>
      </c>
      <c r="F248" s="3">
        <f>IF($A248="","",IF(ISNA(MATCH($A248,'ORDENES'!$AQ$4:$AQ$1203,0)),"huérfano",IF(COUNTIF($A$4:$A248,$A248)&gt;1,"duplicado (se ignora)","aplicado")))</f>
        <v/>
      </c>
      <c r="G248" s="16">
        <f>IF($F248&lt;&gt;"aplicado","",IF(IFERROR(INDEX('ORDENES'!$K$4:$K$1203,MATCH($A248,'ORDENES'!$AQ$4:$AQ$1203,0)),"")="","",$B248-IFERROR(INDEX('ORDENES'!$K$4:$K$1203,MATCH($A248,'ORDENES'!$AQ$4:$AQ$1203,0)),"")))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IF($A249="","",IFERROR(INDEX('ORDENES'!$D$4:$D$1203,MATCH($A249,'ORDENES'!$AQ$4:$AQ$1203,0)),"(no encontrada)"))</f>
        <v/>
      </c>
      <c r="F249" s="3">
        <f>IF($A249="","",IF(ISNA(MATCH($A249,'ORDENES'!$AQ$4:$AQ$1203,0)),"huérfano",IF(COUNTIF($A$4:$A249,$A249)&gt;1,"duplicado (se ignora)","aplicado")))</f>
        <v/>
      </c>
      <c r="G249" s="16">
        <f>IF($F249&lt;&gt;"aplicado","",IF(IFERROR(INDEX('ORDENES'!$K$4:$K$1203,MATCH($A249,'ORDENES'!$AQ$4:$AQ$1203,0)),"")="","",$B249-IFERROR(INDEX('ORDENES'!$K$4:$K$1203,MATCH($A249,'ORDENES'!$AQ$4:$AQ$1203,0)),"")))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IF($A250="","",IFERROR(INDEX('ORDENES'!$D$4:$D$1203,MATCH($A250,'ORDENES'!$AQ$4:$AQ$1203,0)),"(no encontrada)"))</f>
        <v/>
      </c>
      <c r="F250" s="3">
        <f>IF($A250="","",IF(ISNA(MATCH($A250,'ORDENES'!$AQ$4:$AQ$1203,0)),"huérfano",IF(COUNTIF($A$4:$A250,$A250)&gt;1,"duplicado (se ignora)","aplicado")))</f>
        <v/>
      </c>
      <c r="G250" s="16">
        <f>IF($F250&lt;&gt;"aplicado","",IF(IFERROR(INDEX('ORDENES'!$K$4:$K$1203,MATCH($A250,'ORDENES'!$AQ$4:$AQ$1203,0)),"")="","",$B250-IFERROR(INDEX('ORDENES'!$K$4:$K$1203,MATCH($A250,'ORDENES'!$AQ$4:$AQ$1203,0)),"")))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IF($A251="","",IFERROR(INDEX('ORDENES'!$D$4:$D$1203,MATCH($A251,'ORDENES'!$AQ$4:$AQ$1203,0)),"(no encontrada)"))</f>
        <v/>
      </c>
      <c r="F251" s="3">
        <f>IF($A251="","",IF(ISNA(MATCH($A251,'ORDENES'!$AQ$4:$AQ$1203,0)),"huérfano",IF(COUNTIF($A$4:$A251,$A251)&gt;1,"duplicado (se ignora)","aplicado")))</f>
        <v/>
      </c>
      <c r="G251" s="16">
        <f>IF($F251&lt;&gt;"aplicado","",IF(IFERROR(INDEX('ORDENES'!$K$4:$K$1203,MATCH($A251,'ORDENES'!$AQ$4:$AQ$1203,0)),"")="","",$B251-IFERROR(INDEX('ORDENES'!$K$4:$K$1203,MATCH($A251,'ORDENES'!$AQ$4:$AQ$1203,0)),"")))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IF($A252="","",IFERROR(INDEX('ORDENES'!$D$4:$D$1203,MATCH($A252,'ORDENES'!$AQ$4:$AQ$1203,0)),"(no encontrada)"))</f>
        <v/>
      </c>
      <c r="F252" s="3">
        <f>IF($A252="","",IF(ISNA(MATCH($A252,'ORDENES'!$AQ$4:$AQ$1203,0)),"huérfano",IF(COUNTIF($A$4:$A252,$A252)&gt;1,"duplicado (se ignora)","aplicado")))</f>
        <v/>
      </c>
      <c r="G252" s="16">
        <f>IF($F252&lt;&gt;"aplicado","",IF(IFERROR(INDEX('ORDENES'!$K$4:$K$1203,MATCH($A252,'ORDENES'!$AQ$4:$AQ$1203,0)),"")="","",$B252-IFERROR(INDEX('ORDENES'!$K$4:$K$1203,MATCH($A252,'ORDENES'!$AQ$4:$AQ$1203,0)),"")))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IF($A253="","",IFERROR(INDEX('ORDENES'!$D$4:$D$1203,MATCH($A253,'ORDENES'!$AQ$4:$AQ$1203,0)),"(no encontrada)"))</f>
        <v/>
      </c>
      <c r="F253" s="3">
        <f>IF($A253="","",IF(ISNA(MATCH($A253,'ORDENES'!$AQ$4:$AQ$1203,0)),"huérfano",IF(COUNTIF($A$4:$A253,$A253)&gt;1,"duplicado (se ignora)","aplicado")))</f>
        <v/>
      </c>
      <c r="G253" s="16">
        <f>IF($F253&lt;&gt;"aplicado","",IF(IFERROR(INDEX('ORDENES'!$K$4:$K$1203,MATCH($A253,'ORDENES'!$AQ$4:$AQ$1203,0)),"")="","",$B253-IFERROR(INDEX('ORDENES'!$K$4:$K$1203,MATCH($A253,'ORDENES'!$AQ$4:$AQ$1203,0)),"")))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IF($A254="","",IFERROR(INDEX('ORDENES'!$D$4:$D$1203,MATCH($A254,'ORDENES'!$AQ$4:$AQ$1203,0)),"(no encontrada)"))</f>
        <v/>
      </c>
      <c r="F254" s="3">
        <f>IF($A254="","",IF(ISNA(MATCH($A254,'ORDENES'!$AQ$4:$AQ$1203,0)),"huérfano",IF(COUNTIF($A$4:$A254,$A254)&gt;1,"duplicado (se ignora)","aplicado")))</f>
        <v/>
      </c>
      <c r="G254" s="16">
        <f>IF($F254&lt;&gt;"aplicado","",IF(IFERROR(INDEX('ORDENES'!$K$4:$K$1203,MATCH($A254,'ORDENES'!$AQ$4:$AQ$1203,0)),"")="","",$B254-IFERROR(INDEX('ORDENES'!$K$4:$K$1203,MATCH($A254,'ORDENES'!$AQ$4:$AQ$1203,0)),"")))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IF($A255="","",IFERROR(INDEX('ORDENES'!$D$4:$D$1203,MATCH($A255,'ORDENES'!$AQ$4:$AQ$1203,0)),"(no encontrada)"))</f>
        <v/>
      </c>
      <c r="F255" s="3">
        <f>IF($A255="","",IF(ISNA(MATCH($A255,'ORDENES'!$AQ$4:$AQ$1203,0)),"huérfano",IF(COUNTIF($A$4:$A255,$A255)&gt;1,"duplicado (se ignora)","aplicado")))</f>
        <v/>
      </c>
      <c r="G255" s="16">
        <f>IF($F255&lt;&gt;"aplicado","",IF(IFERROR(INDEX('ORDENES'!$K$4:$K$1203,MATCH($A255,'ORDENES'!$AQ$4:$AQ$1203,0)),"")="","",$B255-IFERROR(INDEX('ORDENES'!$K$4:$K$1203,MATCH($A255,'ORDENES'!$AQ$4:$AQ$1203,0)),"")))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IF($A256="","",IFERROR(INDEX('ORDENES'!$D$4:$D$1203,MATCH($A256,'ORDENES'!$AQ$4:$AQ$1203,0)),"(no encontrada)"))</f>
        <v/>
      </c>
      <c r="F256" s="3">
        <f>IF($A256="","",IF(ISNA(MATCH($A256,'ORDENES'!$AQ$4:$AQ$1203,0)),"huérfano",IF(COUNTIF($A$4:$A256,$A256)&gt;1,"duplicado (se ignora)","aplicado")))</f>
        <v/>
      </c>
      <c r="G256" s="16">
        <f>IF($F256&lt;&gt;"aplicado","",IF(IFERROR(INDEX('ORDENES'!$K$4:$K$1203,MATCH($A256,'ORDENES'!$AQ$4:$AQ$1203,0)),"")="","",$B256-IFERROR(INDEX('ORDENES'!$K$4:$K$1203,MATCH($A256,'ORDENES'!$AQ$4:$AQ$1203,0)),"")))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IF($A257="","",IFERROR(INDEX('ORDENES'!$D$4:$D$1203,MATCH($A257,'ORDENES'!$AQ$4:$AQ$1203,0)),"(no encontrada)"))</f>
        <v/>
      </c>
      <c r="F257" s="3">
        <f>IF($A257="","",IF(ISNA(MATCH($A257,'ORDENES'!$AQ$4:$AQ$1203,0)),"huérfano",IF(COUNTIF($A$4:$A257,$A257)&gt;1,"duplicado (se ignora)","aplicado")))</f>
        <v/>
      </c>
      <c r="G257" s="16">
        <f>IF($F257&lt;&gt;"aplicado","",IF(IFERROR(INDEX('ORDENES'!$K$4:$K$1203,MATCH($A257,'ORDENES'!$AQ$4:$AQ$1203,0)),"")="","",$B257-IFERROR(INDEX('ORDENES'!$K$4:$K$1203,MATCH($A257,'ORDENES'!$AQ$4:$AQ$1203,0)),"")))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IF($A258="","",IFERROR(INDEX('ORDENES'!$D$4:$D$1203,MATCH($A258,'ORDENES'!$AQ$4:$AQ$1203,0)),"(no encontrada)"))</f>
        <v/>
      </c>
      <c r="F258" s="3">
        <f>IF($A258="","",IF(ISNA(MATCH($A258,'ORDENES'!$AQ$4:$AQ$1203,0)),"huérfano",IF(COUNTIF($A$4:$A258,$A258)&gt;1,"duplicado (se ignora)","aplicado")))</f>
        <v/>
      </c>
      <c r="G258" s="16">
        <f>IF($F258&lt;&gt;"aplicado","",IF(IFERROR(INDEX('ORDENES'!$K$4:$K$1203,MATCH($A258,'ORDENES'!$AQ$4:$AQ$1203,0)),"")="","",$B258-IFERROR(INDEX('ORDENES'!$K$4:$K$1203,MATCH($A258,'ORDENES'!$AQ$4:$AQ$1203,0)),"")))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IF($A259="","",IFERROR(INDEX('ORDENES'!$D$4:$D$1203,MATCH($A259,'ORDENES'!$AQ$4:$AQ$1203,0)),"(no encontrada)"))</f>
        <v/>
      </c>
      <c r="F259" s="3">
        <f>IF($A259="","",IF(ISNA(MATCH($A259,'ORDENES'!$AQ$4:$AQ$1203,0)),"huérfano",IF(COUNTIF($A$4:$A259,$A259)&gt;1,"duplicado (se ignora)","aplicado")))</f>
        <v/>
      </c>
      <c r="G259" s="16">
        <f>IF($F259&lt;&gt;"aplicado","",IF(IFERROR(INDEX('ORDENES'!$K$4:$K$1203,MATCH($A259,'ORDENES'!$AQ$4:$AQ$1203,0)),"")="","",$B259-IFERROR(INDEX('ORDENES'!$K$4:$K$1203,MATCH($A259,'ORDENES'!$AQ$4:$AQ$1203,0)),"")))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IF($A260="","",IFERROR(INDEX('ORDENES'!$D$4:$D$1203,MATCH($A260,'ORDENES'!$AQ$4:$AQ$1203,0)),"(no encontrada)"))</f>
        <v/>
      </c>
      <c r="F260" s="3">
        <f>IF($A260="","",IF(ISNA(MATCH($A260,'ORDENES'!$AQ$4:$AQ$1203,0)),"huérfano",IF(COUNTIF($A$4:$A260,$A260)&gt;1,"duplicado (se ignora)","aplicado")))</f>
        <v/>
      </c>
      <c r="G260" s="16">
        <f>IF($F260&lt;&gt;"aplicado","",IF(IFERROR(INDEX('ORDENES'!$K$4:$K$1203,MATCH($A260,'ORDENES'!$AQ$4:$AQ$1203,0)),"")="","",$B260-IFERROR(INDEX('ORDENES'!$K$4:$K$1203,MATCH($A260,'ORDENES'!$AQ$4:$AQ$1203,0)),"")))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IF($A261="","",IFERROR(INDEX('ORDENES'!$D$4:$D$1203,MATCH($A261,'ORDENES'!$AQ$4:$AQ$1203,0)),"(no encontrada)"))</f>
        <v/>
      </c>
      <c r="F261" s="3">
        <f>IF($A261="","",IF(ISNA(MATCH($A261,'ORDENES'!$AQ$4:$AQ$1203,0)),"huérfano",IF(COUNTIF($A$4:$A261,$A261)&gt;1,"duplicado (se ignora)","aplicado")))</f>
        <v/>
      </c>
      <c r="G261" s="16">
        <f>IF($F261&lt;&gt;"aplicado","",IF(IFERROR(INDEX('ORDENES'!$K$4:$K$1203,MATCH($A261,'ORDENES'!$AQ$4:$AQ$1203,0)),"")="","",$B261-IFERROR(INDEX('ORDENES'!$K$4:$K$1203,MATCH($A261,'ORDENES'!$AQ$4:$AQ$1203,0)),"")))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IF($A262="","",IFERROR(INDEX('ORDENES'!$D$4:$D$1203,MATCH($A262,'ORDENES'!$AQ$4:$AQ$1203,0)),"(no encontrada)"))</f>
        <v/>
      </c>
      <c r="F262" s="3">
        <f>IF($A262="","",IF(ISNA(MATCH($A262,'ORDENES'!$AQ$4:$AQ$1203,0)),"huérfano",IF(COUNTIF($A$4:$A262,$A262)&gt;1,"duplicado (se ignora)","aplicado")))</f>
        <v/>
      </c>
      <c r="G262" s="16">
        <f>IF($F262&lt;&gt;"aplicado","",IF(IFERROR(INDEX('ORDENES'!$K$4:$K$1203,MATCH($A262,'ORDENES'!$AQ$4:$AQ$1203,0)),"")="","",$B262-IFERROR(INDEX('ORDENES'!$K$4:$K$1203,MATCH($A262,'ORDENES'!$AQ$4:$AQ$1203,0)),"")))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IF($A263="","",IFERROR(INDEX('ORDENES'!$D$4:$D$1203,MATCH($A263,'ORDENES'!$AQ$4:$AQ$1203,0)),"(no encontrada)"))</f>
        <v/>
      </c>
      <c r="F263" s="3">
        <f>IF($A263="","",IF(ISNA(MATCH($A263,'ORDENES'!$AQ$4:$AQ$1203,0)),"huérfano",IF(COUNTIF($A$4:$A263,$A263)&gt;1,"duplicado (se ignora)","aplicado")))</f>
        <v/>
      </c>
      <c r="G263" s="16">
        <f>IF($F263&lt;&gt;"aplicado","",IF(IFERROR(INDEX('ORDENES'!$K$4:$K$1203,MATCH($A263,'ORDENES'!$AQ$4:$AQ$1203,0)),"")="","",$B263-IFERROR(INDEX('ORDENES'!$K$4:$K$1203,MATCH($A263,'ORDENES'!$AQ$4:$AQ$1203,0)),"")))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IF($A264="","",IFERROR(INDEX('ORDENES'!$D$4:$D$1203,MATCH($A264,'ORDENES'!$AQ$4:$AQ$1203,0)),"(no encontrada)"))</f>
        <v/>
      </c>
      <c r="F264" s="3">
        <f>IF($A264="","",IF(ISNA(MATCH($A264,'ORDENES'!$AQ$4:$AQ$1203,0)),"huérfano",IF(COUNTIF($A$4:$A264,$A264)&gt;1,"duplicado (se ignora)","aplicado")))</f>
        <v/>
      </c>
      <c r="G264" s="16">
        <f>IF($F264&lt;&gt;"aplicado","",IF(IFERROR(INDEX('ORDENES'!$K$4:$K$1203,MATCH($A264,'ORDENES'!$AQ$4:$AQ$1203,0)),"")="","",$B264-IFERROR(INDEX('ORDENES'!$K$4:$K$1203,MATCH($A264,'ORDENES'!$AQ$4:$AQ$1203,0)),"")))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IF($A265="","",IFERROR(INDEX('ORDENES'!$D$4:$D$1203,MATCH($A265,'ORDENES'!$AQ$4:$AQ$1203,0)),"(no encontrada)"))</f>
        <v/>
      </c>
      <c r="F265" s="3">
        <f>IF($A265="","",IF(ISNA(MATCH($A265,'ORDENES'!$AQ$4:$AQ$1203,0)),"huérfano",IF(COUNTIF($A$4:$A265,$A265)&gt;1,"duplicado (se ignora)","aplicado")))</f>
        <v/>
      </c>
      <c r="G265" s="16">
        <f>IF($F265&lt;&gt;"aplicado","",IF(IFERROR(INDEX('ORDENES'!$K$4:$K$1203,MATCH($A265,'ORDENES'!$AQ$4:$AQ$1203,0)),"")="","",$B265-IFERROR(INDEX('ORDENES'!$K$4:$K$1203,MATCH($A265,'ORDENES'!$AQ$4:$AQ$1203,0)),"")))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IF($A266="","",IFERROR(INDEX('ORDENES'!$D$4:$D$1203,MATCH($A266,'ORDENES'!$AQ$4:$AQ$1203,0)),"(no encontrada)"))</f>
        <v/>
      </c>
      <c r="F266" s="3">
        <f>IF($A266="","",IF(ISNA(MATCH($A266,'ORDENES'!$AQ$4:$AQ$1203,0)),"huérfano",IF(COUNTIF($A$4:$A266,$A266)&gt;1,"duplicado (se ignora)","aplicado")))</f>
        <v/>
      </c>
      <c r="G266" s="16">
        <f>IF($F266&lt;&gt;"aplicado","",IF(IFERROR(INDEX('ORDENES'!$K$4:$K$1203,MATCH($A266,'ORDENES'!$AQ$4:$AQ$1203,0)),"")="","",$B266-IFERROR(INDEX('ORDENES'!$K$4:$K$1203,MATCH($A266,'ORDENES'!$AQ$4:$AQ$1203,0)),"")))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IF($A267="","",IFERROR(INDEX('ORDENES'!$D$4:$D$1203,MATCH($A267,'ORDENES'!$AQ$4:$AQ$1203,0)),"(no encontrada)"))</f>
        <v/>
      </c>
      <c r="F267" s="3">
        <f>IF($A267="","",IF(ISNA(MATCH($A267,'ORDENES'!$AQ$4:$AQ$1203,0)),"huérfano",IF(COUNTIF($A$4:$A267,$A267)&gt;1,"duplicado (se ignora)","aplicado")))</f>
        <v/>
      </c>
      <c r="G267" s="16">
        <f>IF($F267&lt;&gt;"aplicado","",IF(IFERROR(INDEX('ORDENES'!$K$4:$K$1203,MATCH($A267,'ORDENES'!$AQ$4:$AQ$1203,0)),"")="","",$B267-IFERROR(INDEX('ORDENES'!$K$4:$K$1203,MATCH($A267,'ORDENES'!$AQ$4:$AQ$1203,0)),"")))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IF($A268="","",IFERROR(INDEX('ORDENES'!$D$4:$D$1203,MATCH($A268,'ORDENES'!$AQ$4:$AQ$1203,0)),"(no encontrada)"))</f>
        <v/>
      </c>
      <c r="F268" s="3">
        <f>IF($A268="","",IF(ISNA(MATCH($A268,'ORDENES'!$AQ$4:$AQ$1203,0)),"huérfano",IF(COUNTIF($A$4:$A268,$A268)&gt;1,"duplicado (se ignora)","aplicado")))</f>
        <v/>
      </c>
      <c r="G268" s="16">
        <f>IF($F268&lt;&gt;"aplicado","",IF(IFERROR(INDEX('ORDENES'!$K$4:$K$1203,MATCH($A268,'ORDENES'!$AQ$4:$AQ$1203,0)),"")="","",$B268-IFERROR(INDEX('ORDENES'!$K$4:$K$1203,MATCH($A268,'ORDENES'!$AQ$4:$AQ$1203,0)),"")))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IF($A269="","",IFERROR(INDEX('ORDENES'!$D$4:$D$1203,MATCH($A269,'ORDENES'!$AQ$4:$AQ$1203,0)),"(no encontrada)"))</f>
        <v/>
      </c>
      <c r="F269" s="3">
        <f>IF($A269="","",IF(ISNA(MATCH($A269,'ORDENES'!$AQ$4:$AQ$1203,0)),"huérfano",IF(COUNTIF($A$4:$A269,$A269)&gt;1,"duplicado (se ignora)","aplicado")))</f>
        <v/>
      </c>
      <c r="G269" s="16">
        <f>IF($F269&lt;&gt;"aplicado","",IF(IFERROR(INDEX('ORDENES'!$K$4:$K$1203,MATCH($A269,'ORDENES'!$AQ$4:$AQ$1203,0)),"")="","",$B269-IFERROR(INDEX('ORDENES'!$K$4:$K$1203,MATCH($A269,'ORDENES'!$AQ$4:$AQ$1203,0)),"")))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IF($A270="","",IFERROR(INDEX('ORDENES'!$D$4:$D$1203,MATCH($A270,'ORDENES'!$AQ$4:$AQ$1203,0)),"(no encontrada)"))</f>
        <v/>
      </c>
      <c r="F270" s="3">
        <f>IF($A270="","",IF(ISNA(MATCH($A270,'ORDENES'!$AQ$4:$AQ$1203,0)),"huérfano",IF(COUNTIF($A$4:$A270,$A270)&gt;1,"duplicado (se ignora)","aplicado")))</f>
        <v/>
      </c>
      <c r="G270" s="16">
        <f>IF($F270&lt;&gt;"aplicado","",IF(IFERROR(INDEX('ORDENES'!$K$4:$K$1203,MATCH($A270,'ORDENES'!$AQ$4:$AQ$1203,0)),"")="","",$B270-IFERROR(INDEX('ORDENES'!$K$4:$K$1203,MATCH($A270,'ORDENES'!$AQ$4:$AQ$1203,0)),"")))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IF($A271="","",IFERROR(INDEX('ORDENES'!$D$4:$D$1203,MATCH($A271,'ORDENES'!$AQ$4:$AQ$1203,0)),"(no encontrada)"))</f>
        <v/>
      </c>
      <c r="F271" s="3">
        <f>IF($A271="","",IF(ISNA(MATCH($A271,'ORDENES'!$AQ$4:$AQ$1203,0)),"huérfano",IF(COUNTIF($A$4:$A271,$A271)&gt;1,"duplicado (se ignora)","aplicado")))</f>
        <v/>
      </c>
      <c r="G271" s="16">
        <f>IF($F271&lt;&gt;"aplicado","",IF(IFERROR(INDEX('ORDENES'!$K$4:$K$1203,MATCH($A271,'ORDENES'!$AQ$4:$AQ$1203,0)),"")="","",$B271-IFERROR(INDEX('ORDENES'!$K$4:$K$1203,MATCH($A271,'ORDENES'!$AQ$4:$AQ$1203,0)),"")))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IF($A272="","",IFERROR(INDEX('ORDENES'!$D$4:$D$1203,MATCH($A272,'ORDENES'!$AQ$4:$AQ$1203,0)),"(no encontrada)"))</f>
        <v/>
      </c>
      <c r="F272" s="3">
        <f>IF($A272="","",IF(ISNA(MATCH($A272,'ORDENES'!$AQ$4:$AQ$1203,0)),"huérfano",IF(COUNTIF($A$4:$A272,$A272)&gt;1,"duplicado (se ignora)","aplicado")))</f>
        <v/>
      </c>
      <c r="G272" s="16">
        <f>IF($F272&lt;&gt;"aplicado","",IF(IFERROR(INDEX('ORDENES'!$K$4:$K$1203,MATCH($A272,'ORDENES'!$AQ$4:$AQ$1203,0)),"")="","",$B272-IFERROR(INDEX('ORDENES'!$K$4:$K$1203,MATCH($A272,'ORDENES'!$AQ$4:$AQ$1203,0)),"")))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IF($A273="","",IFERROR(INDEX('ORDENES'!$D$4:$D$1203,MATCH($A273,'ORDENES'!$AQ$4:$AQ$1203,0)),"(no encontrada)"))</f>
        <v/>
      </c>
      <c r="F273" s="3">
        <f>IF($A273="","",IF(ISNA(MATCH($A273,'ORDENES'!$AQ$4:$AQ$1203,0)),"huérfano",IF(COUNTIF($A$4:$A273,$A273)&gt;1,"duplicado (se ignora)","aplicado")))</f>
        <v/>
      </c>
      <c r="G273" s="16">
        <f>IF($F273&lt;&gt;"aplicado","",IF(IFERROR(INDEX('ORDENES'!$K$4:$K$1203,MATCH($A273,'ORDENES'!$AQ$4:$AQ$1203,0)),"")="","",$B273-IFERROR(INDEX('ORDENES'!$K$4:$K$1203,MATCH($A273,'ORDENES'!$AQ$4:$AQ$1203,0)),"")))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IF($A274="","",IFERROR(INDEX('ORDENES'!$D$4:$D$1203,MATCH($A274,'ORDENES'!$AQ$4:$AQ$1203,0)),"(no encontrada)"))</f>
        <v/>
      </c>
      <c r="F274" s="3">
        <f>IF($A274="","",IF(ISNA(MATCH($A274,'ORDENES'!$AQ$4:$AQ$1203,0)),"huérfano",IF(COUNTIF($A$4:$A274,$A274)&gt;1,"duplicado (se ignora)","aplicado")))</f>
        <v/>
      </c>
      <c r="G274" s="16">
        <f>IF($F274&lt;&gt;"aplicado","",IF(IFERROR(INDEX('ORDENES'!$K$4:$K$1203,MATCH($A274,'ORDENES'!$AQ$4:$AQ$1203,0)),"")="","",$B274-IFERROR(INDEX('ORDENES'!$K$4:$K$1203,MATCH($A274,'ORDENES'!$AQ$4:$AQ$1203,0)),"")))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IF($A275="","",IFERROR(INDEX('ORDENES'!$D$4:$D$1203,MATCH($A275,'ORDENES'!$AQ$4:$AQ$1203,0)),"(no encontrada)"))</f>
        <v/>
      </c>
      <c r="F275" s="3">
        <f>IF($A275="","",IF(ISNA(MATCH($A275,'ORDENES'!$AQ$4:$AQ$1203,0)),"huérfano",IF(COUNTIF($A$4:$A275,$A275)&gt;1,"duplicado (se ignora)","aplicado")))</f>
        <v/>
      </c>
      <c r="G275" s="16">
        <f>IF($F275&lt;&gt;"aplicado","",IF(IFERROR(INDEX('ORDENES'!$K$4:$K$1203,MATCH($A275,'ORDENES'!$AQ$4:$AQ$1203,0)),"")="","",$B275-IFERROR(INDEX('ORDENES'!$K$4:$K$1203,MATCH($A275,'ORDENES'!$AQ$4:$AQ$1203,0)),"")))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IF($A276="","",IFERROR(INDEX('ORDENES'!$D$4:$D$1203,MATCH($A276,'ORDENES'!$AQ$4:$AQ$1203,0)),"(no encontrada)"))</f>
        <v/>
      </c>
      <c r="F276" s="3">
        <f>IF($A276="","",IF(ISNA(MATCH($A276,'ORDENES'!$AQ$4:$AQ$1203,0)),"huérfano",IF(COUNTIF($A$4:$A276,$A276)&gt;1,"duplicado (se ignora)","aplicado")))</f>
        <v/>
      </c>
      <c r="G276" s="16">
        <f>IF($F276&lt;&gt;"aplicado","",IF(IFERROR(INDEX('ORDENES'!$K$4:$K$1203,MATCH($A276,'ORDENES'!$AQ$4:$AQ$1203,0)),"")="","",$B276-IFERROR(INDEX('ORDENES'!$K$4:$K$1203,MATCH($A276,'ORDENES'!$AQ$4:$AQ$1203,0)),"")))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IF($A277="","",IFERROR(INDEX('ORDENES'!$D$4:$D$1203,MATCH($A277,'ORDENES'!$AQ$4:$AQ$1203,0)),"(no encontrada)"))</f>
        <v/>
      </c>
      <c r="F277" s="3">
        <f>IF($A277="","",IF(ISNA(MATCH($A277,'ORDENES'!$AQ$4:$AQ$1203,0)),"huérfano",IF(COUNTIF($A$4:$A277,$A277)&gt;1,"duplicado (se ignora)","aplicado")))</f>
        <v/>
      </c>
      <c r="G277" s="16">
        <f>IF($F277&lt;&gt;"aplicado","",IF(IFERROR(INDEX('ORDENES'!$K$4:$K$1203,MATCH($A277,'ORDENES'!$AQ$4:$AQ$1203,0)),"")="","",$B277-IFERROR(INDEX('ORDENES'!$K$4:$K$1203,MATCH($A277,'ORDENES'!$AQ$4:$AQ$1203,0)),"")))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IF($A278="","",IFERROR(INDEX('ORDENES'!$D$4:$D$1203,MATCH($A278,'ORDENES'!$AQ$4:$AQ$1203,0)),"(no encontrada)"))</f>
        <v/>
      </c>
      <c r="F278" s="3">
        <f>IF($A278="","",IF(ISNA(MATCH($A278,'ORDENES'!$AQ$4:$AQ$1203,0)),"huérfano",IF(COUNTIF($A$4:$A278,$A278)&gt;1,"duplicado (se ignora)","aplicado")))</f>
        <v/>
      </c>
      <c r="G278" s="16">
        <f>IF($F278&lt;&gt;"aplicado","",IF(IFERROR(INDEX('ORDENES'!$K$4:$K$1203,MATCH($A278,'ORDENES'!$AQ$4:$AQ$1203,0)),"")="","",$B278-IFERROR(INDEX('ORDENES'!$K$4:$K$1203,MATCH($A278,'ORDENES'!$AQ$4:$AQ$1203,0)),"")))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IF($A279="","",IFERROR(INDEX('ORDENES'!$D$4:$D$1203,MATCH($A279,'ORDENES'!$AQ$4:$AQ$1203,0)),"(no encontrada)"))</f>
        <v/>
      </c>
      <c r="F279" s="3">
        <f>IF($A279="","",IF(ISNA(MATCH($A279,'ORDENES'!$AQ$4:$AQ$1203,0)),"huérfano",IF(COUNTIF($A$4:$A279,$A279)&gt;1,"duplicado (se ignora)","aplicado")))</f>
        <v/>
      </c>
      <c r="G279" s="16">
        <f>IF($F279&lt;&gt;"aplicado","",IF(IFERROR(INDEX('ORDENES'!$K$4:$K$1203,MATCH($A279,'ORDENES'!$AQ$4:$AQ$1203,0)),"")="","",$B279-IFERROR(INDEX('ORDENES'!$K$4:$K$1203,MATCH($A279,'ORDENES'!$AQ$4:$AQ$1203,0)),"")))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IF($A280="","",IFERROR(INDEX('ORDENES'!$D$4:$D$1203,MATCH($A280,'ORDENES'!$AQ$4:$AQ$1203,0)),"(no encontrada)"))</f>
        <v/>
      </c>
      <c r="F280" s="3">
        <f>IF($A280="","",IF(ISNA(MATCH($A280,'ORDENES'!$AQ$4:$AQ$1203,0)),"huérfano",IF(COUNTIF($A$4:$A280,$A280)&gt;1,"duplicado (se ignora)","aplicado")))</f>
        <v/>
      </c>
      <c r="G280" s="16">
        <f>IF($F280&lt;&gt;"aplicado","",IF(IFERROR(INDEX('ORDENES'!$K$4:$K$1203,MATCH($A280,'ORDENES'!$AQ$4:$AQ$1203,0)),"")="","",$B280-IFERROR(INDEX('ORDENES'!$K$4:$K$1203,MATCH($A280,'ORDENES'!$AQ$4:$AQ$1203,0)),"")))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IF($A281="","",IFERROR(INDEX('ORDENES'!$D$4:$D$1203,MATCH($A281,'ORDENES'!$AQ$4:$AQ$1203,0)),"(no encontrada)"))</f>
        <v/>
      </c>
      <c r="F281" s="3">
        <f>IF($A281="","",IF(ISNA(MATCH($A281,'ORDENES'!$AQ$4:$AQ$1203,0)),"huérfano",IF(COUNTIF($A$4:$A281,$A281)&gt;1,"duplicado (se ignora)","aplicado")))</f>
        <v/>
      </c>
      <c r="G281" s="16">
        <f>IF($F281&lt;&gt;"aplicado","",IF(IFERROR(INDEX('ORDENES'!$K$4:$K$1203,MATCH($A281,'ORDENES'!$AQ$4:$AQ$1203,0)),"")="","",$B281-IFERROR(INDEX('ORDENES'!$K$4:$K$1203,MATCH($A281,'ORDENES'!$AQ$4:$AQ$1203,0)),"")))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IF($A282="","",IFERROR(INDEX('ORDENES'!$D$4:$D$1203,MATCH($A282,'ORDENES'!$AQ$4:$AQ$1203,0)),"(no encontrada)"))</f>
        <v/>
      </c>
      <c r="F282" s="3">
        <f>IF($A282="","",IF(ISNA(MATCH($A282,'ORDENES'!$AQ$4:$AQ$1203,0)),"huérfano",IF(COUNTIF($A$4:$A282,$A282)&gt;1,"duplicado (se ignora)","aplicado")))</f>
        <v/>
      </c>
      <c r="G282" s="16">
        <f>IF($F282&lt;&gt;"aplicado","",IF(IFERROR(INDEX('ORDENES'!$K$4:$K$1203,MATCH($A282,'ORDENES'!$AQ$4:$AQ$1203,0)),"")="","",$B282-IFERROR(INDEX('ORDENES'!$K$4:$K$1203,MATCH($A282,'ORDENES'!$AQ$4:$AQ$1203,0)),"")))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IF($A283="","",IFERROR(INDEX('ORDENES'!$D$4:$D$1203,MATCH($A283,'ORDENES'!$AQ$4:$AQ$1203,0)),"(no encontrada)"))</f>
        <v/>
      </c>
      <c r="F283" s="3">
        <f>IF($A283="","",IF(ISNA(MATCH($A283,'ORDENES'!$AQ$4:$AQ$1203,0)),"huérfano",IF(COUNTIF($A$4:$A283,$A283)&gt;1,"duplicado (se ignora)","aplicado")))</f>
        <v/>
      </c>
      <c r="G283" s="16">
        <f>IF($F283&lt;&gt;"aplicado","",IF(IFERROR(INDEX('ORDENES'!$K$4:$K$1203,MATCH($A283,'ORDENES'!$AQ$4:$AQ$1203,0)),"")="","",$B283-IFERROR(INDEX('ORDENES'!$K$4:$K$1203,MATCH($A283,'ORDENES'!$AQ$4:$AQ$1203,0)),"")))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IF($A284="","",IFERROR(INDEX('ORDENES'!$D$4:$D$1203,MATCH($A284,'ORDENES'!$AQ$4:$AQ$1203,0)),"(no encontrada)"))</f>
        <v/>
      </c>
      <c r="F284" s="3">
        <f>IF($A284="","",IF(ISNA(MATCH($A284,'ORDENES'!$AQ$4:$AQ$1203,0)),"huérfano",IF(COUNTIF($A$4:$A284,$A284)&gt;1,"duplicado (se ignora)","aplicado")))</f>
        <v/>
      </c>
      <c r="G284" s="16">
        <f>IF($F284&lt;&gt;"aplicado","",IF(IFERROR(INDEX('ORDENES'!$K$4:$K$1203,MATCH($A284,'ORDENES'!$AQ$4:$AQ$1203,0)),"")="","",$B284-IFERROR(INDEX('ORDENES'!$K$4:$K$1203,MATCH($A284,'ORDENES'!$AQ$4:$AQ$1203,0)),"")))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IF($A285="","",IFERROR(INDEX('ORDENES'!$D$4:$D$1203,MATCH($A285,'ORDENES'!$AQ$4:$AQ$1203,0)),"(no encontrada)"))</f>
        <v/>
      </c>
      <c r="F285" s="3">
        <f>IF($A285="","",IF(ISNA(MATCH($A285,'ORDENES'!$AQ$4:$AQ$1203,0)),"huérfano",IF(COUNTIF($A$4:$A285,$A285)&gt;1,"duplicado (se ignora)","aplicado")))</f>
        <v/>
      </c>
      <c r="G285" s="16">
        <f>IF($F285&lt;&gt;"aplicado","",IF(IFERROR(INDEX('ORDENES'!$K$4:$K$1203,MATCH($A285,'ORDENES'!$AQ$4:$AQ$1203,0)),"")="","",$B285-IFERROR(INDEX('ORDENES'!$K$4:$K$1203,MATCH($A285,'ORDENES'!$AQ$4:$AQ$1203,0)),"")))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IF($A286="","",IFERROR(INDEX('ORDENES'!$D$4:$D$1203,MATCH($A286,'ORDENES'!$AQ$4:$AQ$1203,0)),"(no encontrada)"))</f>
        <v/>
      </c>
      <c r="F286" s="3">
        <f>IF($A286="","",IF(ISNA(MATCH($A286,'ORDENES'!$AQ$4:$AQ$1203,0)),"huérfano",IF(COUNTIF($A$4:$A286,$A286)&gt;1,"duplicado (se ignora)","aplicado")))</f>
        <v/>
      </c>
      <c r="G286" s="16">
        <f>IF($F286&lt;&gt;"aplicado","",IF(IFERROR(INDEX('ORDENES'!$K$4:$K$1203,MATCH($A286,'ORDENES'!$AQ$4:$AQ$1203,0)),"")="","",$B286-IFERROR(INDEX('ORDENES'!$K$4:$K$1203,MATCH($A286,'ORDENES'!$AQ$4:$AQ$1203,0)),"")))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IF($A287="","",IFERROR(INDEX('ORDENES'!$D$4:$D$1203,MATCH($A287,'ORDENES'!$AQ$4:$AQ$1203,0)),"(no encontrada)"))</f>
        <v/>
      </c>
      <c r="F287" s="3">
        <f>IF($A287="","",IF(ISNA(MATCH($A287,'ORDENES'!$AQ$4:$AQ$1203,0)),"huérfano",IF(COUNTIF($A$4:$A287,$A287)&gt;1,"duplicado (se ignora)","aplicado")))</f>
        <v/>
      </c>
      <c r="G287" s="16">
        <f>IF($F287&lt;&gt;"aplicado","",IF(IFERROR(INDEX('ORDENES'!$K$4:$K$1203,MATCH($A287,'ORDENES'!$AQ$4:$AQ$1203,0)),"")="","",$B287-IFERROR(INDEX('ORDENES'!$K$4:$K$1203,MATCH($A287,'ORDENES'!$AQ$4:$AQ$1203,0)),"")))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IF($A288="","",IFERROR(INDEX('ORDENES'!$D$4:$D$1203,MATCH($A288,'ORDENES'!$AQ$4:$AQ$1203,0)),"(no encontrada)"))</f>
        <v/>
      </c>
      <c r="F288" s="3">
        <f>IF($A288="","",IF(ISNA(MATCH($A288,'ORDENES'!$AQ$4:$AQ$1203,0)),"huérfano",IF(COUNTIF($A$4:$A288,$A288)&gt;1,"duplicado (se ignora)","aplicado")))</f>
        <v/>
      </c>
      <c r="G288" s="16">
        <f>IF($F288&lt;&gt;"aplicado","",IF(IFERROR(INDEX('ORDENES'!$K$4:$K$1203,MATCH($A288,'ORDENES'!$AQ$4:$AQ$1203,0)),"")="","",$B288-IFERROR(INDEX('ORDENES'!$K$4:$K$1203,MATCH($A288,'ORDENES'!$AQ$4:$AQ$1203,0)),"")))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IF($A289="","",IFERROR(INDEX('ORDENES'!$D$4:$D$1203,MATCH($A289,'ORDENES'!$AQ$4:$AQ$1203,0)),"(no encontrada)"))</f>
        <v/>
      </c>
      <c r="F289" s="3">
        <f>IF($A289="","",IF(ISNA(MATCH($A289,'ORDENES'!$AQ$4:$AQ$1203,0)),"huérfano",IF(COUNTIF($A$4:$A289,$A289)&gt;1,"duplicado (se ignora)","aplicado")))</f>
        <v/>
      </c>
      <c r="G289" s="16">
        <f>IF($F289&lt;&gt;"aplicado","",IF(IFERROR(INDEX('ORDENES'!$K$4:$K$1203,MATCH($A289,'ORDENES'!$AQ$4:$AQ$1203,0)),"")="","",$B289-IFERROR(INDEX('ORDENES'!$K$4:$K$1203,MATCH($A289,'ORDENES'!$AQ$4:$AQ$1203,0)),"")))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IF($A290="","",IFERROR(INDEX('ORDENES'!$D$4:$D$1203,MATCH($A290,'ORDENES'!$AQ$4:$AQ$1203,0)),"(no encontrada)"))</f>
        <v/>
      </c>
      <c r="F290" s="3">
        <f>IF($A290="","",IF(ISNA(MATCH($A290,'ORDENES'!$AQ$4:$AQ$1203,0)),"huérfano",IF(COUNTIF($A$4:$A290,$A290)&gt;1,"duplicado (se ignora)","aplicado")))</f>
        <v/>
      </c>
      <c r="G290" s="16">
        <f>IF($F290&lt;&gt;"aplicado","",IF(IFERROR(INDEX('ORDENES'!$K$4:$K$1203,MATCH($A290,'ORDENES'!$AQ$4:$AQ$1203,0)),"")="","",$B290-IFERROR(INDEX('ORDENES'!$K$4:$K$1203,MATCH($A290,'ORDENES'!$AQ$4:$AQ$1203,0)),"")))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IF($A291="","",IFERROR(INDEX('ORDENES'!$D$4:$D$1203,MATCH($A291,'ORDENES'!$AQ$4:$AQ$1203,0)),"(no encontrada)"))</f>
        <v/>
      </c>
      <c r="F291" s="3">
        <f>IF($A291="","",IF(ISNA(MATCH($A291,'ORDENES'!$AQ$4:$AQ$1203,0)),"huérfano",IF(COUNTIF($A$4:$A291,$A291)&gt;1,"duplicado (se ignora)","aplicado")))</f>
        <v/>
      </c>
      <c r="G291" s="16">
        <f>IF($F291&lt;&gt;"aplicado","",IF(IFERROR(INDEX('ORDENES'!$K$4:$K$1203,MATCH($A291,'ORDENES'!$AQ$4:$AQ$1203,0)),"")="","",$B291-IFERROR(INDEX('ORDENES'!$K$4:$K$1203,MATCH($A291,'ORDENES'!$AQ$4:$AQ$1203,0)),"")))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IF($A292="","",IFERROR(INDEX('ORDENES'!$D$4:$D$1203,MATCH($A292,'ORDENES'!$AQ$4:$AQ$1203,0)),"(no encontrada)"))</f>
        <v/>
      </c>
      <c r="F292" s="3">
        <f>IF($A292="","",IF(ISNA(MATCH($A292,'ORDENES'!$AQ$4:$AQ$1203,0)),"huérfano",IF(COUNTIF($A$4:$A292,$A292)&gt;1,"duplicado (se ignora)","aplicado")))</f>
        <v/>
      </c>
      <c r="G292" s="16">
        <f>IF($F292&lt;&gt;"aplicado","",IF(IFERROR(INDEX('ORDENES'!$K$4:$K$1203,MATCH($A292,'ORDENES'!$AQ$4:$AQ$1203,0)),"")="","",$B292-IFERROR(INDEX('ORDENES'!$K$4:$K$1203,MATCH($A292,'ORDENES'!$AQ$4:$AQ$1203,0)),"")))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IF($A293="","",IFERROR(INDEX('ORDENES'!$D$4:$D$1203,MATCH($A293,'ORDENES'!$AQ$4:$AQ$1203,0)),"(no encontrada)"))</f>
        <v/>
      </c>
      <c r="F293" s="3">
        <f>IF($A293="","",IF(ISNA(MATCH($A293,'ORDENES'!$AQ$4:$AQ$1203,0)),"huérfano",IF(COUNTIF($A$4:$A293,$A293)&gt;1,"duplicado (se ignora)","aplicado")))</f>
        <v/>
      </c>
      <c r="G293" s="16">
        <f>IF($F293&lt;&gt;"aplicado","",IF(IFERROR(INDEX('ORDENES'!$K$4:$K$1203,MATCH($A293,'ORDENES'!$AQ$4:$AQ$1203,0)),"")="","",$B293-IFERROR(INDEX('ORDENES'!$K$4:$K$1203,MATCH($A293,'ORDENES'!$AQ$4:$AQ$1203,0)),"")))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IF($A294="","",IFERROR(INDEX('ORDENES'!$D$4:$D$1203,MATCH($A294,'ORDENES'!$AQ$4:$AQ$1203,0)),"(no encontrada)"))</f>
        <v/>
      </c>
      <c r="F294" s="3">
        <f>IF($A294="","",IF(ISNA(MATCH($A294,'ORDENES'!$AQ$4:$AQ$1203,0)),"huérfano",IF(COUNTIF($A$4:$A294,$A294)&gt;1,"duplicado (se ignora)","aplicado")))</f>
        <v/>
      </c>
      <c r="G294" s="16">
        <f>IF($F294&lt;&gt;"aplicado","",IF(IFERROR(INDEX('ORDENES'!$K$4:$K$1203,MATCH($A294,'ORDENES'!$AQ$4:$AQ$1203,0)),"")="","",$B294-IFERROR(INDEX('ORDENES'!$K$4:$K$1203,MATCH($A294,'ORDENES'!$AQ$4:$AQ$1203,0)),"")))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IF($A295="","",IFERROR(INDEX('ORDENES'!$D$4:$D$1203,MATCH($A295,'ORDENES'!$AQ$4:$AQ$1203,0)),"(no encontrada)"))</f>
        <v/>
      </c>
      <c r="F295" s="3">
        <f>IF($A295="","",IF(ISNA(MATCH($A295,'ORDENES'!$AQ$4:$AQ$1203,0)),"huérfano",IF(COUNTIF($A$4:$A295,$A295)&gt;1,"duplicado (se ignora)","aplicado")))</f>
        <v/>
      </c>
      <c r="G295" s="16">
        <f>IF($F295&lt;&gt;"aplicado","",IF(IFERROR(INDEX('ORDENES'!$K$4:$K$1203,MATCH($A295,'ORDENES'!$AQ$4:$AQ$1203,0)),"")="","",$B295-IFERROR(INDEX('ORDENES'!$K$4:$K$1203,MATCH($A295,'ORDENES'!$AQ$4:$AQ$1203,0)),"")))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IF($A296="","",IFERROR(INDEX('ORDENES'!$D$4:$D$1203,MATCH($A296,'ORDENES'!$AQ$4:$AQ$1203,0)),"(no encontrada)"))</f>
        <v/>
      </c>
      <c r="F296" s="3">
        <f>IF($A296="","",IF(ISNA(MATCH($A296,'ORDENES'!$AQ$4:$AQ$1203,0)),"huérfano",IF(COUNTIF($A$4:$A296,$A296)&gt;1,"duplicado (se ignora)","aplicado")))</f>
        <v/>
      </c>
      <c r="G296" s="16">
        <f>IF($F296&lt;&gt;"aplicado","",IF(IFERROR(INDEX('ORDENES'!$K$4:$K$1203,MATCH($A296,'ORDENES'!$AQ$4:$AQ$1203,0)),"")="","",$B296-IFERROR(INDEX('ORDENES'!$K$4:$K$1203,MATCH($A296,'ORDENES'!$AQ$4:$AQ$1203,0)),"")))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IF($A297="","",IFERROR(INDEX('ORDENES'!$D$4:$D$1203,MATCH($A297,'ORDENES'!$AQ$4:$AQ$1203,0)),"(no encontrada)"))</f>
        <v/>
      </c>
      <c r="F297" s="3">
        <f>IF($A297="","",IF(ISNA(MATCH($A297,'ORDENES'!$AQ$4:$AQ$1203,0)),"huérfano",IF(COUNTIF($A$4:$A297,$A297)&gt;1,"duplicado (se ignora)","aplicado")))</f>
        <v/>
      </c>
      <c r="G297" s="16">
        <f>IF($F297&lt;&gt;"aplicado","",IF(IFERROR(INDEX('ORDENES'!$K$4:$K$1203,MATCH($A297,'ORDENES'!$AQ$4:$AQ$1203,0)),"")="","",$B297-IFERROR(INDEX('ORDENES'!$K$4:$K$1203,MATCH($A297,'ORDENES'!$AQ$4:$AQ$1203,0)),"")))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IF($A298="","",IFERROR(INDEX('ORDENES'!$D$4:$D$1203,MATCH($A298,'ORDENES'!$AQ$4:$AQ$1203,0)),"(no encontrada)"))</f>
        <v/>
      </c>
      <c r="F298" s="3">
        <f>IF($A298="","",IF(ISNA(MATCH($A298,'ORDENES'!$AQ$4:$AQ$1203,0)),"huérfano",IF(COUNTIF($A$4:$A298,$A298)&gt;1,"duplicado (se ignora)","aplicado")))</f>
        <v/>
      </c>
      <c r="G298" s="16">
        <f>IF($F298&lt;&gt;"aplicado","",IF(IFERROR(INDEX('ORDENES'!$K$4:$K$1203,MATCH($A298,'ORDENES'!$AQ$4:$AQ$1203,0)),"")="","",$B298-IFERROR(INDEX('ORDENES'!$K$4:$K$1203,MATCH($A298,'ORDENES'!$AQ$4:$AQ$1203,0)),"")))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IF($A299="","",IFERROR(INDEX('ORDENES'!$D$4:$D$1203,MATCH($A299,'ORDENES'!$AQ$4:$AQ$1203,0)),"(no encontrada)"))</f>
        <v/>
      </c>
      <c r="F299" s="3">
        <f>IF($A299="","",IF(ISNA(MATCH($A299,'ORDENES'!$AQ$4:$AQ$1203,0)),"huérfano",IF(COUNTIF($A$4:$A299,$A299)&gt;1,"duplicado (se ignora)","aplicado")))</f>
        <v/>
      </c>
      <c r="G299" s="16">
        <f>IF($F299&lt;&gt;"aplicado","",IF(IFERROR(INDEX('ORDENES'!$K$4:$K$1203,MATCH($A299,'ORDENES'!$AQ$4:$AQ$1203,0)),"")="","",$B299-IFERROR(INDEX('ORDENES'!$K$4:$K$1203,MATCH($A299,'ORDENES'!$AQ$4:$AQ$1203,0)),"")))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IF($A300="","",IFERROR(INDEX('ORDENES'!$D$4:$D$1203,MATCH($A300,'ORDENES'!$AQ$4:$AQ$1203,0)),"(no encontrada)"))</f>
        <v/>
      </c>
      <c r="F300" s="3">
        <f>IF($A300="","",IF(ISNA(MATCH($A300,'ORDENES'!$AQ$4:$AQ$1203,0)),"huérfano",IF(COUNTIF($A$4:$A300,$A300)&gt;1,"duplicado (se ignora)","aplicado")))</f>
        <v/>
      </c>
      <c r="G300" s="16">
        <f>IF($F300&lt;&gt;"aplicado","",IF(IFERROR(INDEX('ORDENES'!$K$4:$K$1203,MATCH($A300,'ORDENES'!$AQ$4:$AQ$1203,0)),"")="","",$B300-IFERROR(INDEX('ORDENES'!$K$4:$K$1203,MATCH($A300,'ORDENES'!$AQ$4:$AQ$1203,0)),"")))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IF($A301="","",IFERROR(INDEX('ORDENES'!$D$4:$D$1203,MATCH($A301,'ORDENES'!$AQ$4:$AQ$1203,0)),"(no encontrada)"))</f>
        <v/>
      </c>
      <c r="F301" s="3">
        <f>IF($A301="","",IF(ISNA(MATCH($A301,'ORDENES'!$AQ$4:$AQ$1203,0)),"huérfano",IF(COUNTIF($A$4:$A301,$A301)&gt;1,"duplicado (se ignora)","aplicado")))</f>
        <v/>
      </c>
      <c r="G301" s="16">
        <f>IF($F301&lt;&gt;"aplicado","",IF(IFERROR(INDEX('ORDENES'!$K$4:$K$1203,MATCH($A301,'ORDENES'!$AQ$4:$AQ$1203,0)),"")="","",$B301-IFERROR(INDEX('ORDENES'!$K$4:$K$1203,MATCH($A301,'ORDENES'!$AQ$4:$AQ$1203,0)),"")))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IF($A302="","",IFERROR(INDEX('ORDENES'!$D$4:$D$1203,MATCH($A302,'ORDENES'!$AQ$4:$AQ$1203,0)),"(no encontrada)"))</f>
        <v/>
      </c>
      <c r="F302" s="3">
        <f>IF($A302="","",IF(ISNA(MATCH($A302,'ORDENES'!$AQ$4:$AQ$1203,0)),"huérfano",IF(COUNTIF($A$4:$A302,$A302)&gt;1,"duplicado (se ignora)","aplicado")))</f>
        <v/>
      </c>
      <c r="G302" s="16">
        <f>IF($F302&lt;&gt;"aplicado","",IF(IFERROR(INDEX('ORDENES'!$K$4:$K$1203,MATCH($A302,'ORDENES'!$AQ$4:$AQ$1203,0)),"")="","",$B302-IFERROR(INDEX('ORDENES'!$K$4:$K$1203,MATCH($A302,'ORDENES'!$AQ$4:$AQ$1203,0)),"")))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IF($A303="","",IFERROR(INDEX('ORDENES'!$D$4:$D$1203,MATCH($A303,'ORDENES'!$AQ$4:$AQ$1203,0)),"(no encontrada)"))</f>
        <v/>
      </c>
      <c r="F303" s="3">
        <f>IF($A303="","",IF(ISNA(MATCH($A303,'ORDENES'!$AQ$4:$AQ$1203,0)),"huérfano",IF(COUNTIF($A$4:$A303,$A303)&gt;1,"duplicado (se ignora)","aplicado")))</f>
        <v/>
      </c>
      <c r="G303" s="16">
        <f>IF($F303&lt;&gt;"aplicado","",IF(IFERROR(INDEX('ORDENES'!$K$4:$K$1203,MATCH($A303,'ORDENES'!$AQ$4:$AQ$1203,0)),"")="","",$B303-IFERROR(INDEX('ORDENES'!$K$4:$K$1203,MATCH($A303,'ORDENES'!$AQ$4:$AQ$1203,0)),"")))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AD47"/>
    <outlinePr summaryBelow="1" summaryRight="1"/>
    <pageSetUpPr/>
  </sheetPr>
  <dimension ref="A1:J764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8" customWidth="1" min="4" max="4"/>
    <col width="16" customWidth="1" min="5" max="5"/>
    <col width="40" customWidth="1" min="6" max="6"/>
    <col width="26" customWidth="1" min="7" max="7"/>
    <col width="12" customWidth="1" min="9" max="9"/>
    <col width="12" customWidth="1" min="10" max="10"/>
  </cols>
  <sheetData>
    <row r="1">
      <c r="A1" s="1" t="inlineStr">
        <is>
          <t>CALENDARIO LABORAL — un día no hábil no aporta capacidad ni penaliza los indicadores. es_habil resuelve por especificidad: excepción fecha+área+sub-área → fecha+área → fecha → patrón semanal.</t>
        </is>
      </c>
    </row>
    <row r="3">
      <c r="A3" s="4" t="inlineStr">
        <is>
          <t>Parte A — patrón semanal (marcar una sola vez, aplica todo el año)</t>
        </is>
      </c>
      <c r="I3" s="2" t="inlineStr">
        <is>
          <t>Parte C — grid del calendario (nivel planta) — no editar</t>
        </is>
      </c>
    </row>
    <row r="4">
      <c r="A4" s="5" t="inlineStr">
        <is>
          <t>dia</t>
        </is>
      </c>
      <c r="B4" s="5" t="inlineStr">
        <is>
          <t>habil</t>
        </is>
      </c>
      <c r="I4" s="5" t="inlineStr">
        <is>
          <t>fecha</t>
        </is>
      </c>
      <c r="J4" s="5" t="inlineStr">
        <is>
          <t>habil_planta</t>
        </is>
      </c>
    </row>
    <row r="5">
      <c r="A5" s="3" t="inlineStr">
        <is>
          <t>lunes</t>
        </is>
      </c>
      <c r="B5" s="6" t="inlineStr">
        <is>
          <t>sí</t>
        </is>
      </c>
      <c r="I5" s="11" t="n">
        <v>46023</v>
      </c>
      <c r="J5" s="3">
        <f>IFERROR(INDEX('CALENDARIO'!$C$15:$C$214,MATCH(TEXT($I5,"yyyy-mm-dd")&amp;"|"&amp;""&amp;"|"&amp;"",'CALENDARIO'!$G$15:$G$214,0)),IFERROR(INDEX('CALENDARIO'!$C$15:$C$214,MATCH(TEXT($I5,"yyyy-mm-dd")&amp;"|"&amp;""&amp;"|",'CALENDARIO'!$G$15:$G$214,0)),IFERROR(INDEX('CALENDARIO'!$C$15:$C$214,MATCH(TEXT($I5,"yyyy-mm-dd")&amp;"||",'CALENDARIO'!$G$15:$G$214,0)),INDEX(patronHabil,WEEKDAY($I5,2)))))</f>
        <v/>
      </c>
    </row>
    <row r="6">
      <c r="A6" s="3" t="inlineStr">
        <is>
          <t>martes</t>
        </is>
      </c>
      <c r="B6" s="6" t="inlineStr">
        <is>
          <t>sí</t>
        </is>
      </c>
      <c r="I6" s="11" t="n">
        <v>46024</v>
      </c>
      <c r="J6" s="3">
        <f>IFERROR(INDEX('CALENDARIO'!$C$15:$C$214,MATCH(TEXT($I6,"yyyy-mm-dd")&amp;"|"&amp;""&amp;"|"&amp;"",'CALENDARIO'!$G$15:$G$214,0)),IFERROR(INDEX('CALENDARIO'!$C$15:$C$214,MATCH(TEXT($I6,"yyyy-mm-dd")&amp;"|"&amp;""&amp;"|",'CALENDARIO'!$G$15:$G$214,0)),IFERROR(INDEX('CALENDARIO'!$C$15:$C$214,MATCH(TEXT($I6,"yyyy-mm-dd")&amp;"||",'CALENDARIO'!$G$15:$G$214,0)),INDEX(patronHabil,WEEKDAY($I6,2)))))</f>
        <v/>
      </c>
    </row>
    <row r="7">
      <c r="A7" s="3" t="inlineStr">
        <is>
          <t>miércoles</t>
        </is>
      </c>
      <c r="B7" s="6" t="inlineStr">
        <is>
          <t>sí</t>
        </is>
      </c>
      <c r="I7" s="11" t="n">
        <v>46025</v>
      </c>
      <c r="J7" s="3">
        <f>IFERROR(INDEX('CALENDARIO'!$C$15:$C$214,MATCH(TEXT($I7,"yyyy-mm-dd")&amp;"|"&amp;""&amp;"|"&amp;"",'CALENDARIO'!$G$15:$G$214,0)),IFERROR(INDEX('CALENDARIO'!$C$15:$C$214,MATCH(TEXT($I7,"yyyy-mm-dd")&amp;"|"&amp;""&amp;"|",'CALENDARIO'!$G$15:$G$214,0)),IFERROR(INDEX('CALENDARIO'!$C$15:$C$214,MATCH(TEXT($I7,"yyyy-mm-dd")&amp;"||",'CALENDARIO'!$G$15:$G$214,0)),INDEX(patronHabil,WEEKDAY($I7,2)))))</f>
        <v/>
      </c>
    </row>
    <row r="8">
      <c r="A8" s="3" t="inlineStr">
        <is>
          <t>jueves</t>
        </is>
      </c>
      <c r="B8" s="6" t="inlineStr">
        <is>
          <t>sí</t>
        </is>
      </c>
      <c r="I8" s="11" t="n">
        <v>46026</v>
      </c>
      <c r="J8" s="3">
        <f>IFERROR(INDEX('CALENDARIO'!$C$15:$C$214,MATCH(TEXT($I8,"yyyy-mm-dd")&amp;"|"&amp;""&amp;"|"&amp;"",'CALENDARIO'!$G$15:$G$214,0)),IFERROR(INDEX('CALENDARIO'!$C$15:$C$214,MATCH(TEXT($I8,"yyyy-mm-dd")&amp;"|"&amp;""&amp;"|",'CALENDARIO'!$G$15:$G$214,0)),IFERROR(INDEX('CALENDARIO'!$C$15:$C$214,MATCH(TEXT($I8,"yyyy-mm-dd")&amp;"||",'CALENDARIO'!$G$15:$G$214,0)),INDEX(patronHabil,WEEKDAY($I8,2)))))</f>
        <v/>
      </c>
    </row>
    <row r="9">
      <c r="A9" s="3" t="inlineStr">
        <is>
          <t>viernes</t>
        </is>
      </c>
      <c r="B9" s="6" t="inlineStr">
        <is>
          <t>sí</t>
        </is>
      </c>
      <c r="I9" s="11" t="n">
        <v>46027</v>
      </c>
      <c r="J9" s="3">
        <f>IFERROR(INDEX('CALENDARIO'!$C$15:$C$214,MATCH(TEXT($I9,"yyyy-mm-dd")&amp;"|"&amp;""&amp;"|"&amp;"",'CALENDARIO'!$G$15:$G$214,0)),IFERROR(INDEX('CALENDARIO'!$C$15:$C$214,MATCH(TEXT($I9,"yyyy-mm-dd")&amp;"|"&amp;""&amp;"|",'CALENDARIO'!$G$15:$G$214,0)),IFERROR(INDEX('CALENDARIO'!$C$15:$C$214,MATCH(TEXT($I9,"yyyy-mm-dd")&amp;"||",'CALENDARIO'!$G$15:$G$214,0)),INDEX(patronHabil,WEEKDAY($I9,2)))))</f>
        <v/>
      </c>
    </row>
    <row r="10">
      <c r="A10" s="3" t="inlineStr">
        <is>
          <t>sábado</t>
        </is>
      </c>
      <c r="B10" s="6" t="inlineStr">
        <is>
          <t>sí</t>
        </is>
      </c>
      <c r="I10" s="11" t="n">
        <v>46028</v>
      </c>
      <c r="J10" s="3">
        <f>IFERROR(INDEX('CALENDARIO'!$C$15:$C$214,MATCH(TEXT($I10,"yyyy-mm-dd")&amp;"|"&amp;""&amp;"|"&amp;"",'CALENDARIO'!$G$15:$G$214,0)),IFERROR(INDEX('CALENDARIO'!$C$15:$C$214,MATCH(TEXT($I10,"yyyy-mm-dd")&amp;"|"&amp;""&amp;"|",'CALENDARIO'!$G$15:$G$214,0)),IFERROR(INDEX('CALENDARIO'!$C$15:$C$214,MATCH(TEXT($I10,"yyyy-mm-dd")&amp;"||",'CALENDARIO'!$G$15:$G$214,0)),INDEX(patronHabil,WEEKDAY($I10,2)))))</f>
        <v/>
      </c>
    </row>
    <row r="11">
      <c r="A11" s="3" t="inlineStr">
        <is>
          <t>domingo</t>
        </is>
      </c>
      <c r="B11" s="6" t="inlineStr">
        <is>
          <t>no</t>
        </is>
      </c>
      <c r="I11" s="11" t="n">
        <v>46029</v>
      </c>
      <c r="J11" s="3">
        <f>IFERROR(INDEX('CALENDARIO'!$C$15:$C$214,MATCH(TEXT($I11,"yyyy-mm-dd")&amp;"|"&amp;""&amp;"|"&amp;"",'CALENDARIO'!$G$15:$G$214,0)),IFERROR(INDEX('CALENDARIO'!$C$15:$C$214,MATCH(TEXT($I11,"yyyy-mm-dd")&amp;"|"&amp;""&amp;"|",'CALENDARIO'!$G$15:$G$214,0)),IFERROR(INDEX('CALENDARIO'!$C$15:$C$214,MATCH(TEXT($I11,"yyyy-mm-dd")&amp;"||",'CALENDARIO'!$G$15:$G$214,0)),INDEX(patronHabil,WEEKDAY($I11,2)))))</f>
        <v/>
      </c>
    </row>
    <row r="12">
      <c r="I12" s="11" t="n">
        <v>46030</v>
      </c>
      <c r="J12" s="3">
        <f>IFERROR(INDEX('CALENDARIO'!$C$15:$C$214,MATCH(TEXT($I12,"yyyy-mm-dd")&amp;"|"&amp;""&amp;"|"&amp;"",'CALENDARIO'!$G$15:$G$214,0)),IFERROR(INDEX('CALENDARIO'!$C$15:$C$214,MATCH(TEXT($I12,"yyyy-mm-dd")&amp;"|"&amp;""&amp;"|",'CALENDARIO'!$G$15:$G$214,0)),IFERROR(INDEX('CALENDARIO'!$C$15:$C$214,MATCH(TEXT($I12,"yyyy-mm-dd")&amp;"||",'CALENDARIO'!$G$15:$G$214,0)),INDEX(patronHabil,WEEKDAY($I12,2)))))</f>
        <v/>
      </c>
    </row>
    <row r="13">
      <c r="A13" s="4" t="inlineStr">
        <is>
          <t>Parte B — excepciones que rompen el patrón (feriados, paros, días especiales). área vacía = toda la planta; sub-área vacía = toda el área.</t>
        </is>
      </c>
      <c r="I13" s="11" t="n">
        <v>46031</v>
      </c>
      <c r="J13" s="3">
        <f>IFERROR(INDEX('CALENDARIO'!$C$15:$C$214,MATCH(TEXT($I13,"yyyy-mm-dd")&amp;"|"&amp;""&amp;"|"&amp;"",'CALENDARIO'!$G$15:$G$214,0)),IFERROR(INDEX('CALENDARIO'!$C$15:$C$214,MATCH(TEXT($I13,"yyyy-mm-dd")&amp;"|"&amp;""&amp;"|",'CALENDARIO'!$G$15:$G$214,0)),IFERROR(INDEX('CALENDARIO'!$C$15:$C$214,MATCH(TEXT($I13,"yyyy-mm-dd")&amp;"||",'CALENDARIO'!$G$15:$G$214,0)),INDEX(patronHabil,WEEKDAY($I13,2)))))</f>
        <v/>
      </c>
    </row>
    <row r="14">
      <c r="A14" s="5" t="inlineStr">
        <is>
          <t>fecha</t>
        </is>
      </c>
      <c r="B14" s="5" t="inlineStr">
        <is>
          <t>tipo</t>
        </is>
      </c>
      <c r="C14" s="5" t="inlineStr">
        <is>
          <t>habil</t>
        </is>
      </c>
      <c r="D14" s="5" t="inlineStr">
        <is>
          <t>area</t>
        </is>
      </c>
      <c r="E14" s="5" t="inlineStr">
        <is>
          <t>sub_area</t>
        </is>
      </c>
      <c r="F14" s="5" t="inlineStr">
        <is>
          <t>motivo</t>
        </is>
      </c>
      <c r="G14" s="5" t="inlineStr">
        <is>
          <t>clave</t>
        </is>
      </c>
      <c r="I14" s="11" t="n">
        <v>46032</v>
      </c>
      <c r="J14" s="3">
        <f>IFERROR(INDEX('CALENDARIO'!$C$15:$C$214,MATCH(TEXT($I14,"yyyy-mm-dd")&amp;"|"&amp;""&amp;"|"&amp;"",'CALENDARIO'!$G$15:$G$214,0)),IFERROR(INDEX('CALENDARIO'!$C$15:$C$214,MATCH(TEXT($I14,"yyyy-mm-dd")&amp;"|"&amp;""&amp;"|",'CALENDARIO'!$G$15:$G$214,0)),IFERROR(INDEX('CALENDARIO'!$C$15:$C$214,MATCH(TEXT($I14,"yyyy-mm-dd")&amp;"||",'CALENDARIO'!$G$15:$G$214,0)),INDEX(patronHabil,WEEKDAY($I14,2)))))</f>
        <v/>
      </c>
    </row>
    <row r="15">
      <c r="A15" s="15" t="n">
        <v>46023</v>
      </c>
      <c r="B15" s="6" t="inlineStr">
        <is>
          <t>feriado</t>
        </is>
      </c>
      <c r="C15" s="6" t="inlineStr">
        <is>
          <t>no</t>
        </is>
      </c>
      <c r="D15" s="6" t="inlineStr"/>
      <c r="E15" s="6" t="inlineStr"/>
      <c r="F15" s="6" t="inlineStr">
        <is>
          <t>Año Nuevo</t>
        </is>
      </c>
      <c r="G15" s="3">
        <f>IF($A15="","",TEXT($A15,"yyyy-mm-dd")&amp;"|"&amp;$D15&amp;"|"&amp;$E15)</f>
        <v/>
      </c>
      <c r="I15" s="11" t="n">
        <v>46033</v>
      </c>
      <c r="J15" s="3">
        <f>IFERROR(INDEX('CALENDARIO'!$C$15:$C$214,MATCH(TEXT($I15,"yyyy-mm-dd")&amp;"|"&amp;""&amp;"|"&amp;"",'CALENDARIO'!$G$15:$G$214,0)),IFERROR(INDEX('CALENDARIO'!$C$15:$C$214,MATCH(TEXT($I15,"yyyy-mm-dd")&amp;"|"&amp;""&amp;"|",'CALENDARIO'!$G$15:$G$214,0)),IFERROR(INDEX('CALENDARIO'!$C$15:$C$214,MATCH(TEXT($I15,"yyyy-mm-dd")&amp;"||",'CALENDARIO'!$G$15:$G$214,0)),INDEX(patronHabil,WEEKDAY($I15,2)))))</f>
        <v/>
      </c>
    </row>
    <row r="16">
      <c r="A16" s="15" t="n">
        <v>46028</v>
      </c>
      <c r="B16" s="6" t="inlineStr">
        <is>
          <t>feriado</t>
        </is>
      </c>
      <c r="C16" s="6" t="inlineStr">
        <is>
          <t>no</t>
        </is>
      </c>
      <c r="D16" s="6" t="inlineStr"/>
      <c r="E16" s="6" t="inlineStr"/>
      <c r="F16" s="6" t="inlineStr">
        <is>
          <t>Día de Reyes</t>
        </is>
      </c>
      <c r="G16" s="3">
        <f>IF($A16="","",TEXT($A16,"yyyy-mm-dd")&amp;"|"&amp;$D16&amp;"|"&amp;$E16)</f>
        <v/>
      </c>
      <c r="I16" s="11" t="n">
        <v>46034</v>
      </c>
      <c r="J16" s="3">
        <f>IFERROR(INDEX('CALENDARIO'!$C$15:$C$214,MATCH(TEXT($I16,"yyyy-mm-dd")&amp;"|"&amp;""&amp;"|"&amp;"",'CALENDARIO'!$G$15:$G$214,0)),IFERROR(INDEX('CALENDARIO'!$C$15:$C$214,MATCH(TEXT($I16,"yyyy-mm-dd")&amp;"|"&amp;""&amp;"|",'CALENDARIO'!$G$15:$G$214,0)),IFERROR(INDEX('CALENDARIO'!$C$15:$C$214,MATCH(TEXT($I16,"yyyy-mm-dd")&amp;"||",'CALENDARIO'!$G$15:$G$214,0)),INDEX(patronHabil,WEEKDAY($I16,2)))))</f>
        <v/>
      </c>
    </row>
    <row r="17">
      <c r="A17" s="15" t="n">
        <v>46115</v>
      </c>
      <c r="B17" s="6" t="inlineStr">
        <is>
          <t>feriado</t>
        </is>
      </c>
      <c r="C17" s="6" t="inlineStr">
        <is>
          <t>no</t>
        </is>
      </c>
      <c r="D17" s="6" t="inlineStr"/>
      <c r="E17" s="6" t="inlineStr"/>
      <c r="F17" s="6" t="inlineStr">
        <is>
          <t>Viernes Santo</t>
        </is>
      </c>
      <c r="G17" s="3">
        <f>IF($A17="","",TEXT($A17,"yyyy-mm-dd")&amp;"|"&amp;$D17&amp;"|"&amp;$E17)</f>
        <v/>
      </c>
      <c r="I17" s="11" t="n">
        <v>46035</v>
      </c>
      <c r="J17" s="3">
        <f>IFERROR(INDEX('CALENDARIO'!$C$15:$C$214,MATCH(TEXT($I17,"yyyy-mm-dd")&amp;"|"&amp;""&amp;"|"&amp;"",'CALENDARIO'!$G$15:$G$214,0)),IFERROR(INDEX('CALENDARIO'!$C$15:$C$214,MATCH(TEXT($I17,"yyyy-mm-dd")&amp;"|"&amp;""&amp;"|",'CALENDARIO'!$G$15:$G$214,0)),IFERROR(INDEX('CALENDARIO'!$C$15:$C$214,MATCH(TEXT($I17,"yyyy-mm-dd")&amp;"||",'CALENDARIO'!$G$15:$G$214,0)),INDEX(patronHabil,WEEKDAY($I17,2)))))</f>
        <v/>
      </c>
    </row>
    <row r="18">
      <c r="A18" s="15" t="n">
        <v>46143</v>
      </c>
      <c r="B18" s="6" t="inlineStr">
        <is>
          <t>feriado</t>
        </is>
      </c>
      <c r="C18" s="6" t="inlineStr">
        <is>
          <t>no</t>
        </is>
      </c>
      <c r="D18" s="6" t="inlineStr"/>
      <c r="E18" s="6" t="inlineStr"/>
      <c r="F18" s="6" t="inlineStr">
        <is>
          <t>Día del Trabajo</t>
        </is>
      </c>
      <c r="G18" s="3">
        <f>IF($A18="","",TEXT($A18,"yyyy-mm-dd")&amp;"|"&amp;$D18&amp;"|"&amp;$E18)</f>
        <v/>
      </c>
      <c r="I18" s="11" t="n">
        <v>46036</v>
      </c>
      <c r="J18" s="3">
        <f>IFERROR(INDEX('CALENDARIO'!$C$15:$C$214,MATCH(TEXT($I18,"yyyy-mm-dd")&amp;"|"&amp;""&amp;"|"&amp;"",'CALENDARIO'!$G$15:$G$214,0)),IFERROR(INDEX('CALENDARIO'!$C$15:$C$214,MATCH(TEXT($I18,"yyyy-mm-dd")&amp;"|"&amp;""&amp;"|",'CALENDARIO'!$G$15:$G$214,0)),IFERROR(INDEX('CALENDARIO'!$C$15:$C$214,MATCH(TEXT($I18,"yyyy-mm-dd")&amp;"||",'CALENDARIO'!$G$15:$G$214,0)),INDEX(patronHabil,WEEKDAY($I18,2)))))</f>
        <v/>
      </c>
    </row>
    <row r="19">
      <c r="A19" s="15" t="n">
        <v>46167</v>
      </c>
      <c r="B19" s="6" t="inlineStr">
        <is>
          <t>feriado</t>
        </is>
      </c>
      <c r="C19" s="6" t="inlineStr">
        <is>
          <t>no</t>
        </is>
      </c>
      <c r="D19" s="6" t="inlineStr"/>
      <c r="E19" s="6" t="inlineStr"/>
      <c r="F19" s="6" t="inlineStr">
        <is>
          <t>Feriado nacional</t>
        </is>
      </c>
      <c r="G19" s="3">
        <f>IF($A19="","",TEXT($A19,"yyyy-mm-dd")&amp;"|"&amp;$D19&amp;"|"&amp;$E19)</f>
        <v/>
      </c>
      <c r="I19" s="11" t="n">
        <v>46037</v>
      </c>
      <c r="J19" s="3">
        <f>IFERROR(INDEX('CALENDARIO'!$C$15:$C$214,MATCH(TEXT($I19,"yyyy-mm-dd")&amp;"|"&amp;""&amp;"|"&amp;"",'CALENDARIO'!$G$15:$G$214,0)),IFERROR(INDEX('CALENDARIO'!$C$15:$C$214,MATCH(TEXT($I19,"yyyy-mm-dd")&amp;"|"&amp;""&amp;"|",'CALENDARIO'!$G$15:$G$214,0)),IFERROR(INDEX('CALENDARIO'!$C$15:$C$214,MATCH(TEXT($I19,"yyyy-mm-dd")&amp;"||",'CALENDARIO'!$G$15:$G$214,0)),INDEX(patronHabil,WEEKDAY($I19,2)))))</f>
        <v/>
      </c>
    </row>
    <row r="20">
      <c r="A20" s="15" t="n">
        <v>46202</v>
      </c>
      <c r="B20" s="6" t="inlineStr">
        <is>
          <t>feriado</t>
        </is>
      </c>
      <c r="C20" s="6" t="inlineStr">
        <is>
          <t>no</t>
        </is>
      </c>
      <c r="D20" s="6" t="inlineStr"/>
      <c r="E20" s="6" t="inlineStr"/>
      <c r="F20" s="6" t="inlineStr">
        <is>
          <t>San Pedro y San Pablo</t>
        </is>
      </c>
      <c r="G20" s="3">
        <f>IF($A20="","",TEXT($A20,"yyyy-mm-dd")&amp;"|"&amp;$D20&amp;"|"&amp;$E20)</f>
        <v/>
      </c>
      <c r="I20" s="11" t="n">
        <v>46038</v>
      </c>
      <c r="J20" s="3">
        <f>IFERROR(INDEX('CALENDARIO'!$C$15:$C$214,MATCH(TEXT($I20,"yyyy-mm-dd")&amp;"|"&amp;""&amp;"|"&amp;"",'CALENDARIO'!$G$15:$G$214,0)),IFERROR(INDEX('CALENDARIO'!$C$15:$C$214,MATCH(TEXT($I20,"yyyy-mm-dd")&amp;"|"&amp;""&amp;"|",'CALENDARIO'!$G$15:$G$214,0)),IFERROR(INDEX('CALENDARIO'!$C$15:$C$214,MATCH(TEXT($I20,"yyyy-mm-dd")&amp;"||",'CALENDARIO'!$G$15:$G$214,0)),INDEX(patronHabil,WEEKDAY($I20,2)))))</f>
        <v/>
      </c>
    </row>
    <row r="21">
      <c r="A21" s="15" t="n">
        <v>46249</v>
      </c>
      <c r="B21" s="6" t="inlineStr">
        <is>
          <t>feriado</t>
        </is>
      </c>
      <c r="C21" s="6" t="inlineStr">
        <is>
          <t>no</t>
        </is>
      </c>
      <c r="D21" s="6" t="inlineStr"/>
      <c r="E21" s="6" t="inlineStr"/>
      <c r="F21" s="6" t="inlineStr">
        <is>
          <t>Asunción</t>
        </is>
      </c>
      <c r="G21" s="3">
        <f>IF($A21="","",TEXT($A21,"yyyy-mm-dd")&amp;"|"&amp;$D21&amp;"|"&amp;$E21)</f>
        <v/>
      </c>
      <c r="I21" s="11" t="n">
        <v>46039</v>
      </c>
      <c r="J21" s="3">
        <f>IFERROR(INDEX('CALENDARIO'!$C$15:$C$214,MATCH(TEXT($I21,"yyyy-mm-dd")&amp;"|"&amp;""&amp;"|"&amp;"",'CALENDARIO'!$G$15:$G$214,0)),IFERROR(INDEX('CALENDARIO'!$C$15:$C$214,MATCH(TEXT($I21,"yyyy-mm-dd")&amp;"|"&amp;""&amp;"|",'CALENDARIO'!$G$15:$G$214,0)),IFERROR(INDEX('CALENDARIO'!$C$15:$C$214,MATCH(TEXT($I21,"yyyy-mm-dd")&amp;"||",'CALENDARIO'!$G$15:$G$214,0)),INDEX(patronHabil,WEEKDAY($I21,2)))))</f>
        <v/>
      </c>
    </row>
    <row r="22">
      <c r="A22" s="15" t="n">
        <v>46307</v>
      </c>
      <c r="B22" s="6" t="inlineStr">
        <is>
          <t>feriado</t>
        </is>
      </c>
      <c r="C22" s="6" t="inlineStr">
        <is>
          <t>no</t>
        </is>
      </c>
      <c r="D22" s="6" t="inlineStr"/>
      <c r="E22" s="6" t="inlineStr"/>
      <c r="F22" s="6" t="inlineStr">
        <is>
          <t>Día de la Raza</t>
        </is>
      </c>
      <c r="G22" s="3">
        <f>IF($A22="","",TEXT($A22,"yyyy-mm-dd")&amp;"|"&amp;$D22&amp;"|"&amp;$E22)</f>
        <v/>
      </c>
      <c r="I22" s="11" t="n">
        <v>46040</v>
      </c>
      <c r="J22" s="3">
        <f>IFERROR(INDEX('CALENDARIO'!$C$15:$C$214,MATCH(TEXT($I22,"yyyy-mm-dd")&amp;"|"&amp;""&amp;"|"&amp;"",'CALENDARIO'!$G$15:$G$214,0)),IFERROR(INDEX('CALENDARIO'!$C$15:$C$214,MATCH(TEXT($I22,"yyyy-mm-dd")&amp;"|"&amp;""&amp;"|",'CALENDARIO'!$G$15:$G$214,0)),IFERROR(INDEX('CALENDARIO'!$C$15:$C$214,MATCH(TEXT($I22,"yyyy-mm-dd")&amp;"||",'CALENDARIO'!$G$15:$G$214,0)),INDEX(patronHabil,WEEKDAY($I22,2)))))</f>
        <v/>
      </c>
    </row>
    <row r="23">
      <c r="A23" s="15" t="n">
        <v>46327</v>
      </c>
      <c r="B23" s="6" t="inlineStr">
        <is>
          <t>feriado</t>
        </is>
      </c>
      <c r="C23" s="6" t="inlineStr">
        <is>
          <t>no</t>
        </is>
      </c>
      <c r="D23" s="6" t="inlineStr"/>
      <c r="E23" s="6" t="inlineStr"/>
      <c r="F23" s="6" t="inlineStr">
        <is>
          <t>Todos los Santos</t>
        </is>
      </c>
      <c r="G23" s="3">
        <f>IF($A23="","",TEXT($A23,"yyyy-mm-dd")&amp;"|"&amp;$D23&amp;"|"&amp;$E23)</f>
        <v/>
      </c>
      <c r="I23" s="11" t="n">
        <v>46041</v>
      </c>
      <c r="J23" s="3">
        <f>IFERROR(INDEX('CALENDARIO'!$C$15:$C$214,MATCH(TEXT($I23,"yyyy-mm-dd")&amp;"|"&amp;""&amp;"|"&amp;"",'CALENDARIO'!$G$15:$G$214,0)),IFERROR(INDEX('CALENDARIO'!$C$15:$C$214,MATCH(TEXT($I23,"yyyy-mm-dd")&amp;"|"&amp;""&amp;"|",'CALENDARIO'!$G$15:$G$214,0)),IFERROR(INDEX('CALENDARIO'!$C$15:$C$214,MATCH(TEXT($I23,"yyyy-mm-dd")&amp;"||",'CALENDARIO'!$G$15:$G$214,0)),INDEX(patronHabil,WEEKDAY($I23,2)))))</f>
        <v/>
      </c>
    </row>
    <row r="24">
      <c r="A24" s="15" t="n">
        <v>46347</v>
      </c>
      <c r="B24" s="6" t="inlineStr">
        <is>
          <t>feriado</t>
        </is>
      </c>
      <c r="C24" s="6" t="inlineStr">
        <is>
          <t>no</t>
        </is>
      </c>
      <c r="D24" s="6" t="inlineStr"/>
      <c r="E24" s="6" t="inlineStr"/>
      <c r="F24" s="6" t="inlineStr">
        <is>
          <t>Feriado regional</t>
        </is>
      </c>
      <c r="G24" s="3">
        <f>IF($A24="","",TEXT($A24,"yyyy-mm-dd")&amp;"|"&amp;$D24&amp;"|"&amp;$E24)</f>
        <v/>
      </c>
      <c r="I24" s="11" t="n">
        <v>46042</v>
      </c>
      <c r="J24" s="3">
        <f>IFERROR(INDEX('CALENDARIO'!$C$15:$C$214,MATCH(TEXT($I24,"yyyy-mm-dd")&amp;"|"&amp;""&amp;"|"&amp;"",'CALENDARIO'!$G$15:$G$214,0)),IFERROR(INDEX('CALENDARIO'!$C$15:$C$214,MATCH(TEXT($I24,"yyyy-mm-dd")&amp;"|"&amp;""&amp;"|",'CALENDARIO'!$G$15:$G$214,0)),IFERROR(INDEX('CALENDARIO'!$C$15:$C$214,MATCH(TEXT($I24,"yyyy-mm-dd")&amp;"||",'CALENDARIO'!$G$15:$G$214,0)),INDEX(patronHabil,WEEKDAY($I24,2)))))</f>
        <v/>
      </c>
    </row>
    <row r="25">
      <c r="A25" s="15" t="n">
        <v>46364</v>
      </c>
      <c r="B25" s="6" t="inlineStr">
        <is>
          <t>feriado</t>
        </is>
      </c>
      <c r="C25" s="6" t="inlineStr">
        <is>
          <t>no</t>
        </is>
      </c>
      <c r="D25" s="6" t="inlineStr"/>
      <c r="E25" s="6" t="inlineStr"/>
      <c r="F25" s="6" t="inlineStr">
        <is>
          <t>Inmaculada Concepción</t>
        </is>
      </c>
      <c r="G25" s="3">
        <f>IF($A25="","",TEXT($A25,"yyyy-mm-dd")&amp;"|"&amp;$D25&amp;"|"&amp;$E25)</f>
        <v/>
      </c>
      <c r="I25" s="11" t="n">
        <v>46043</v>
      </c>
      <c r="J25" s="3">
        <f>IFERROR(INDEX('CALENDARIO'!$C$15:$C$214,MATCH(TEXT($I25,"yyyy-mm-dd")&amp;"|"&amp;""&amp;"|"&amp;"",'CALENDARIO'!$G$15:$G$214,0)),IFERROR(INDEX('CALENDARIO'!$C$15:$C$214,MATCH(TEXT($I25,"yyyy-mm-dd")&amp;"|"&amp;""&amp;"|",'CALENDARIO'!$G$15:$G$214,0)),IFERROR(INDEX('CALENDARIO'!$C$15:$C$214,MATCH(TEXT($I25,"yyyy-mm-dd")&amp;"||",'CALENDARIO'!$G$15:$G$214,0)),INDEX(patronHabil,WEEKDAY($I25,2)))))</f>
        <v/>
      </c>
    </row>
    <row r="26">
      <c r="A26" s="15" t="n">
        <v>46381</v>
      </c>
      <c r="B26" s="6" t="inlineStr">
        <is>
          <t>feriado</t>
        </is>
      </c>
      <c r="C26" s="6" t="inlineStr">
        <is>
          <t>no</t>
        </is>
      </c>
      <c r="D26" s="6" t="inlineStr"/>
      <c r="E26" s="6" t="inlineStr"/>
      <c r="F26" s="6" t="inlineStr">
        <is>
          <t>Navidad</t>
        </is>
      </c>
      <c r="G26" s="3">
        <f>IF($A26="","",TEXT($A26,"yyyy-mm-dd")&amp;"|"&amp;$D26&amp;"|"&amp;$E26)</f>
        <v/>
      </c>
      <c r="I26" s="11" t="n">
        <v>46044</v>
      </c>
      <c r="J26" s="3">
        <f>IFERROR(INDEX('CALENDARIO'!$C$15:$C$214,MATCH(TEXT($I26,"yyyy-mm-dd")&amp;"|"&amp;""&amp;"|"&amp;"",'CALENDARIO'!$G$15:$G$214,0)),IFERROR(INDEX('CALENDARIO'!$C$15:$C$214,MATCH(TEXT($I26,"yyyy-mm-dd")&amp;"|"&amp;""&amp;"|",'CALENDARIO'!$G$15:$G$214,0)),IFERROR(INDEX('CALENDARIO'!$C$15:$C$214,MATCH(TEXT($I26,"yyyy-mm-dd")&amp;"||",'CALENDARIO'!$G$15:$G$214,0)),INDEX(patronHabil,WEEKDAY($I26,2)))))</f>
        <v/>
      </c>
    </row>
    <row r="27">
      <c r="A27" s="15" t="n">
        <v>46232</v>
      </c>
      <c r="B27" s="6" t="inlineStr">
        <is>
          <t>feriado</t>
        </is>
      </c>
      <c r="C27" s="6" t="inlineStr">
        <is>
          <t>no</t>
        </is>
      </c>
      <c r="D27" s="6" t="inlineStr"/>
      <c r="E27" s="6" t="inlineStr"/>
      <c r="F27" s="6" t="inlineStr">
        <is>
          <t>Feriado de planta (demo capacidad)</t>
        </is>
      </c>
      <c r="G27" s="3">
        <f>IF($A27="","",TEXT($A27,"yyyy-mm-dd")&amp;"|"&amp;$D27&amp;"|"&amp;$E27)</f>
        <v/>
      </c>
      <c r="I27" s="11" t="n">
        <v>46045</v>
      </c>
      <c r="J27" s="3">
        <f>IFERROR(INDEX('CALENDARIO'!$C$15:$C$214,MATCH(TEXT($I27,"yyyy-mm-dd")&amp;"|"&amp;""&amp;"|"&amp;"",'CALENDARIO'!$G$15:$G$214,0)),IFERROR(INDEX('CALENDARIO'!$C$15:$C$214,MATCH(TEXT($I27,"yyyy-mm-dd")&amp;"|"&amp;""&amp;"|",'CALENDARIO'!$G$15:$G$214,0)),IFERROR(INDEX('CALENDARIO'!$C$15:$C$214,MATCH(TEXT($I27,"yyyy-mm-dd")&amp;"||",'CALENDARIO'!$G$15:$G$214,0)),INDEX(patronHabil,WEEKDAY($I27,2)))))</f>
        <v/>
      </c>
    </row>
    <row r="28">
      <c r="A28" s="15" t="n">
        <v>46236</v>
      </c>
      <c r="B28" s="6" t="inlineStr">
        <is>
          <t>día especial laborable</t>
        </is>
      </c>
      <c r="C28" s="6" t="inlineStr">
        <is>
          <t>sí</t>
        </is>
      </c>
      <c r="D28" s="6" t="inlineStr">
        <is>
          <t>SERVICIOS</t>
        </is>
      </c>
      <c r="E28" s="6" t="inlineStr"/>
      <c r="F28" s="6" t="inlineStr">
        <is>
          <t>Turno especial de mantenimiento (solo SERVICIOS)</t>
        </is>
      </c>
      <c r="G28" s="3">
        <f>IF($A28="","",TEXT($A28,"yyyy-mm-dd")&amp;"|"&amp;$D28&amp;"|"&amp;$E28)</f>
        <v/>
      </c>
      <c r="I28" s="11" t="n">
        <v>46046</v>
      </c>
      <c r="J28" s="3">
        <f>IFERROR(INDEX('CALENDARIO'!$C$15:$C$214,MATCH(TEXT($I28,"yyyy-mm-dd")&amp;"|"&amp;""&amp;"|"&amp;"",'CALENDARIO'!$G$15:$G$214,0)),IFERROR(INDEX('CALENDARIO'!$C$15:$C$214,MATCH(TEXT($I28,"yyyy-mm-dd")&amp;"|"&amp;""&amp;"|",'CALENDARIO'!$G$15:$G$214,0)),IFERROR(INDEX('CALENDARIO'!$C$15:$C$214,MATCH(TEXT($I28,"yyyy-mm-dd")&amp;"||",'CALENDARIO'!$G$15:$G$214,0)),INDEX(patronHabil,WEEKDAY($I28,2)))))</f>
        <v/>
      </c>
    </row>
    <row r="29">
      <c r="A29" s="15" t="n">
        <v>46226</v>
      </c>
      <c r="B29" s="6" t="inlineStr">
        <is>
          <t>paro</t>
        </is>
      </c>
      <c r="C29" s="6" t="inlineStr">
        <is>
          <t>no</t>
        </is>
      </c>
      <c r="D29" s="6" t="inlineStr">
        <is>
          <t>SERVICIOS</t>
        </is>
      </c>
      <c r="E29" s="6" t="inlineStr">
        <is>
          <t>Vapor</t>
        </is>
      </c>
      <c r="F29" s="6" t="inlineStr">
        <is>
          <t>Paro planta de vapor</t>
        </is>
      </c>
      <c r="G29" s="3">
        <f>IF($A29="","",TEXT($A29,"yyyy-mm-dd")&amp;"|"&amp;$D29&amp;"|"&amp;$E29)</f>
        <v/>
      </c>
      <c r="I29" s="11" t="n">
        <v>46047</v>
      </c>
      <c r="J29" s="3">
        <f>IFERROR(INDEX('CALENDARIO'!$C$15:$C$214,MATCH(TEXT($I29,"yyyy-mm-dd")&amp;"|"&amp;""&amp;"|"&amp;"",'CALENDARIO'!$G$15:$G$214,0)),IFERROR(INDEX('CALENDARIO'!$C$15:$C$214,MATCH(TEXT($I29,"yyyy-mm-dd")&amp;"|"&amp;""&amp;"|",'CALENDARIO'!$G$15:$G$214,0)),IFERROR(INDEX('CALENDARIO'!$C$15:$C$214,MATCH(TEXT($I29,"yyyy-mm-dd")&amp;"||",'CALENDARIO'!$G$15:$G$214,0)),INDEX(patronHabil,WEEKDAY($I29,2)))))</f>
        <v/>
      </c>
    </row>
    <row r="30">
      <c r="A30" s="15" t="n">
        <v>46280</v>
      </c>
      <c r="B30" s="6" t="inlineStr">
        <is>
          <t>feriado</t>
        </is>
      </c>
      <c r="C30" s="6" t="inlineStr">
        <is>
          <t>no</t>
        </is>
      </c>
      <c r="D30" s="6" t="inlineStr">
        <is>
          <t>ZONA-X</t>
        </is>
      </c>
      <c r="E30" s="6" t="inlineStr"/>
      <c r="F30" s="6" t="inlineStr">
        <is>
          <t>Área inexistente (demo validación)</t>
        </is>
      </c>
      <c r="G30" s="3">
        <f>IF($A30="","",TEXT($A30,"yyyy-mm-dd")&amp;"|"&amp;$D30&amp;"|"&amp;$E30)</f>
        <v/>
      </c>
      <c r="I30" s="11" t="n">
        <v>46048</v>
      </c>
      <c r="J30" s="3">
        <f>IFERROR(INDEX('CALENDARIO'!$C$15:$C$214,MATCH(TEXT($I30,"yyyy-mm-dd")&amp;"|"&amp;""&amp;"|"&amp;"",'CALENDARIO'!$G$15:$G$214,0)),IFERROR(INDEX('CALENDARIO'!$C$15:$C$214,MATCH(TEXT($I30,"yyyy-mm-dd")&amp;"|"&amp;""&amp;"|",'CALENDARIO'!$G$15:$G$214,0)),IFERROR(INDEX('CALENDARIO'!$C$15:$C$214,MATCH(TEXT($I30,"yyyy-mm-dd")&amp;"||",'CALENDARIO'!$G$15:$G$214,0)),INDEX(patronHabil,WEEKDAY($I30,2)))))</f>
        <v/>
      </c>
    </row>
    <row r="31">
      <c r="A31" s="15" t="n">
        <v>46281</v>
      </c>
      <c r="B31" s="6" t="inlineStr">
        <is>
          <t>paro</t>
        </is>
      </c>
      <c r="C31" s="6" t="inlineStr">
        <is>
          <t>no</t>
        </is>
      </c>
      <c r="D31" s="6" t="inlineStr">
        <is>
          <t>SERVICIOS</t>
        </is>
      </c>
      <c r="E31" s="6" t="inlineStr">
        <is>
          <t>Nitrógeno</t>
        </is>
      </c>
      <c r="F31" s="6" t="inlineStr">
        <is>
          <t>Sub-área inexistente (demo)</t>
        </is>
      </c>
      <c r="G31" s="3">
        <f>IF($A31="","",TEXT($A31,"yyyy-mm-dd")&amp;"|"&amp;$D31&amp;"|"&amp;$E31)</f>
        <v/>
      </c>
      <c r="I31" s="11" t="n">
        <v>46049</v>
      </c>
      <c r="J31" s="3">
        <f>IFERROR(INDEX('CALENDARIO'!$C$15:$C$214,MATCH(TEXT($I31,"yyyy-mm-dd")&amp;"|"&amp;""&amp;"|"&amp;"",'CALENDARIO'!$G$15:$G$214,0)),IFERROR(INDEX('CALENDARIO'!$C$15:$C$214,MATCH(TEXT($I31,"yyyy-mm-dd")&amp;"|"&amp;""&amp;"|",'CALENDARIO'!$G$15:$G$214,0)),IFERROR(INDEX('CALENDARIO'!$C$15:$C$214,MATCH(TEXT($I31,"yyyy-mm-dd")&amp;"||",'CALENDARIO'!$G$15:$G$214,0)),INDEX(patronHabil,WEEKDAY($I31,2)))))</f>
        <v/>
      </c>
    </row>
    <row r="32">
      <c r="A32" s="15" t="n"/>
      <c r="B32" s="6" t="n"/>
      <c r="C32" s="6" t="n"/>
      <c r="D32" s="6" t="n"/>
      <c r="E32" s="6" t="n"/>
      <c r="F32" s="6" t="n"/>
      <c r="G32" s="3">
        <f>IF($A32="","",TEXT($A32,"yyyy-mm-dd")&amp;"|"&amp;$D32&amp;"|"&amp;$E32)</f>
        <v/>
      </c>
      <c r="I32" s="11" t="n">
        <v>46050</v>
      </c>
      <c r="J32" s="3">
        <f>IFERROR(INDEX('CALENDARIO'!$C$15:$C$214,MATCH(TEXT($I32,"yyyy-mm-dd")&amp;"|"&amp;""&amp;"|"&amp;"",'CALENDARIO'!$G$15:$G$214,0)),IFERROR(INDEX('CALENDARIO'!$C$15:$C$214,MATCH(TEXT($I32,"yyyy-mm-dd")&amp;"|"&amp;""&amp;"|",'CALENDARIO'!$G$15:$G$214,0)),IFERROR(INDEX('CALENDARIO'!$C$15:$C$214,MATCH(TEXT($I32,"yyyy-mm-dd")&amp;"||",'CALENDARIO'!$G$15:$G$214,0)),INDEX(patronHabil,WEEKDAY($I32,2)))))</f>
        <v/>
      </c>
    </row>
    <row r="33">
      <c r="A33" s="15" t="n"/>
      <c r="B33" s="6" t="n"/>
      <c r="C33" s="6" t="n"/>
      <c r="D33" s="6" t="n"/>
      <c r="E33" s="6" t="n"/>
      <c r="F33" s="6" t="n"/>
      <c r="G33" s="3">
        <f>IF($A33="","",TEXT($A33,"yyyy-mm-dd")&amp;"|"&amp;$D33&amp;"|"&amp;$E33)</f>
        <v/>
      </c>
      <c r="I33" s="11" t="n">
        <v>46051</v>
      </c>
      <c r="J33" s="3">
        <f>IFERROR(INDEX('CALENDARIO'!$C$15:$C$214,MATCH(TEXT($I33,"yyyy-mm-dd")&amp;"|"&amp;""&amp;"|"&amp;"",'CALENDARIO'!$G$15:$G$214,0)),IFERROR(INDEX('CALENDARIO'!$C$15:$C$214,MATCH(TEXT($I33,"yyyy-mm-dd")&amp;"|"&amp;""&amp;"|",'CALENDARIO'!$G$15:$G$214,0)),IFERROR(INDEX('CALENDARIO'!$C$15:$C$214,MATCH(TEXT($I33,"yyyy-mm-dd")&amp;"||",'CALENDARIO'!$G$15:$G$214,0)),INDEX(patronHabil,WEEKDAY($I33,2)))))</f>
        <v/>
      </c>
    </row>
    <row r="34">
      <c r="A34" s="15" t="n"/>
      <c r="B34" s="6" t="n"/>
      <c r="C34" s="6" t="n"/>
      <c r="D34" s="6" t="n"/>
      <c r="E34" s="6" t="n"/>
      <c r="F34" s="6" t="n"/>
      <c r="G34" s="3">
        <f>IF($A34="","",TEXT($A34,"yyyy-mm-dd")&amp;"|"&amp;$D34&amp;"|"&amp;$E34)</f>
        <v/>
      </c>
      <c r="I34" s="11" t="n">
        <v>46052</v>
      </c>
      <c r="J34" s="3">
        <f>IFERROR(INDEX('CALENDARIO'!$C$15:$C$214,MATCH(TEXT($I34,"yyyy-mm-dd")&amp;"|"&amp;""&amp;"|"&amp;"",'CALENDARIO'!$G$15:$G$214,0)),IFERROR(INDEX('CALENDARIO'!$C$15:$C$214,MATCH(TEXT($I34,"yyyy-mm-dd")&amp;"|"&amp;""&amp;"|",'CALENDARIO'!$G$15:$G$214,0)),IFERROR(INDEX('CALENDARIO'!$C$15:$C$214,MATCH(TEXT($I34,"yyyy-mm-dd")&amp;"||",'CALENDARIO'!$G$15:$G$214,0)),INDEX(patronHabil,WEEKDAY($I34,2)))))</f>
        <v/>
      </c>
    </row>
    <row r="35">
      <c r="A35" s="15" t="n"/>
      <c r="B35" s="6" t="n"/>
      <c r="C35" s="6" t="n"/>
      <c r="D35" s="6" t="n"/>
      <c r="E35" s="6" t="n"/>
      <c r="F35" s="6" t="n"/>
      <c r="G35" s="3">
        <f>IF($A35="","",TEXT($A35,"yyyy-mm-dd")&amp;"|"&amp;$D35&amp;"|"&amp;$E35)</f>
        <v/>
      </c>
      <c r="I35" s="11" t="n">
        <v>46053</v>
      </c>
      <c r="J35" s="3">
        <f>IFERROR(INDEX('CALENDARIO'!$C$15:$C$214,MATCH(TEXT($I35,"yyyy-mm-dd")&amp;"|"&amp;""&amp;"|"&amp;"",'CALENDARIO'!$G$15:$G$214,0)),IFERROR(INDEX('CALENDARIO'!$C$15:$C$214,MATCH(TEXT($I35,"yyyy-mm-dd")&amp;"|"&amp;""&amp;"|",'CALENDARIO'!$G$15:$G$214,0)),IFERROR(INDEX('CALENDARIO'!$C$15:$C$214,MATCH(TEXT($I35,"yyyy-mm-dd")&amp;"||",'CALENDARIO'!$G$15:$G$214,0)),INDEX(patronHabil,WEEKDAY($I35,2)))))</f>
        <v/>
      </c>
    </row>
    <row r="36">
      <c r="A36" s="15" t="n"/>
      <c r="B36" s="6" t="n"/>
      <c r="C36" s="6" t="n"/>
      <c r="D36" s="6" t="n"/>
      <c r="E36" s="6" t="n"/>
      <c r="F36" s="6" t="n"/>
      <c r="G36" s="3">
        <f>IF($A36="","",TEXT($A36,"yyyy-mm-dd")&amp;"|"&amp;$D36&amp;"|"&amp;$E36)</f>
        <v/>
      </c>
      <c r="I36" s="11" t="n">
        <v>46054</v>
      </c>
      <c r="J36" s="3">
        <f>IFERROR(INDEX('CALENDARIO'!$C$15:$C$214,MATCH(TEXT($I36,"yyyy-mm-dd")&amp;"|"&amp;""&amp;"|"&amp;"",'CALENDARIO'!$G$15:$G$214,0)),IFERROR(INDEX('CALENDARIO'!$C$15:$C$214,MATCH(TEXT($I36,"yyyy-mm-dd")&amp;"|"&amp;""&amp;"|",'CALENDARIO'!$G$15:$G$214,0)),IFERROR(INDEX('CALENDARIO'!$C$15:$C$214,MATCH(TEXT($I36,"yyyy-mm-dd")&amp;"||",'CALENDARIO'!$G$15:$G$214,0)),INDEX(patronHabil,WEEKDAY($I36,2)))))</f>
        <v/>
      </c>
    </row>
    <row r="37">
      <c r="A37" s="15" t="n"/>
      <c r="B37" s="6" t="n"/>
      <c r="C37" s="6" t="n"/>
      <c r="D37" s="6" t="n"/>
      <c r="E37" s="6" t="n"/>
      <c r="F37" s="6" t="n"/>
      <c r="G37" s="3">
        <f>IF($A37="","",TEXT($A37,"yyyy-mm-dd")&amp;"|"&amp;$D37&amp;"|"&amp;$E37)</f>
        <v/>
      </c>
      <c r="I37" s="11" t="n">
        <v>46055</v>
      </c>
      <c r="J37" s="3">
        <f>IFERROR(INDEX('CALENDARIO'!$C$15:$C$214,MATCH(TEXT($I37,"yyyy-mm-dd")&amp;"|"&amp;""&amp;"|"&amp;"",'CALENDARIO'!$G$15:$G$214,0)),IFERROR(INDEX('CALENDARIO'!$C$15:$C$214,MATCH(TEXT($I37,"yyyy-mm-dd")&amp;"|"&amp;""&amp;"|",'CALENDARIO'!$G$15:$G$214,0)),IFERROR(INDEX('CALENDARIO'!$C$15:$C$214,MATCH(TEXT($I37,"yyyy-mm-dd")&amp;"||",'CALENDARIO'!$G$15:$G$214,0)),INDEX(patronHabil,WEEKDAY($I37,2)))))</f>
        <v/>
      </c>
    </row>
    <row r="38">
      <c r="A38" s="15" t="n"/>
      <c r="B38" s="6" t="n"/>
      <c r="C38" s="6" t="n"/>
      <c r="D38" s="6" t="n"/>
      <c r="E38" s="6" t="n"/>
      <c r="F38" s="6" t="n"/>
      <c r="G38" s="3">
        <f>IF($A38="","",TEXT($A38,"yyyy-mm-dd")&amp;"|"&amp;$D38&amp;"|"&amp;$E38)</f>
        <v/>
      </c>
      <c r="I38" s="11" t="n">
        <v>46056</v>
      </c>
      <c r="J38" s="3">
        <f>IFERROR(INDEX('CALENDARIO'!$C$15:$C$214,MATCH(TEXT($I38,"yyyy-mm-dd")&amp;"|"&amp;""&amp;"|"&amp;"",'CALENDARIO'!$G$15:$G$214,0)),IFERROR(INDEX('CALENDARIO'!$C$15:$C$214,MATCH(TEXT($I38,"yyyy-mm-dd")&amp;"|"&amp;""&amp;"|",'CALENDARIO'!$G$15:$G$214,0)),IFERROR(INDEX('CALENDARIO'!$C$15:$C$214,MATCH(TEXT($I38,"yyyy-mm-dd")&amp;"||",'CALENDARIO'!$G$15:$G$214,0)),INDEX(patronHabil,WEEKDAY($I38,2)))))</f>
        <v/>
      </c>
    </row>
    <row r="39">
      <c r="A39" s="15" t="n"/>
      <c r="B39" s="6" t="n"/>
      <c r="C39" s="6" t="n"/>
      <c r="D39" s="6" t="n"/>
      <c r="E39" s="6" t="n"/>
      <c r="F39" s="6" t="n"/>
      <c r="G39" s="3">
        <f>IF($A39="","",TEXT($A39,"yyyy-mm-dd")&amp;"|"&amp;$D39&amp;"|"&amp;$E39)</f>
        <v/>
      </c>
      <c r="I39" s="11" t="n">
        <v>46057</v>
      </c>
      <c r="J39" s="3">
        <f>IFERROR(INDEX('CALENDARIO'!$C$15:$C$214,MATCH(TEXT($I39,"yyyy-mm-dd")&amp;"|"&amp;""&amp;"|"&amp;"",'CALENDARIO'!$G$15:$G$214,0)),IFERROR(INDEX('CALENDARIO'!$C$15:$C$214,MATCH(TEXT($I39,"yyyy-mm-dd")&amp;"|"&amp;""&amp;"|",'CALENDARIO'!$G$15:$G$214,0)),IFERROR(INDEX('CALENDARIO'!$C$15:$C$214,MATCH(TEXT($I39,"yyyy-mm-dd")&amp;"||",'CALENDARIO'!$G$15:$G$214,0)),INDEX(patronHabil,WEEKDAY($I39,2)))))</f>
        <v/>
      </c>
    </row>
    <row r="40">
      <c r="A40" s="15" t="n"/>
      <c r="B40" s="6" t="n"/>
      <c r="C40" s="6" t="n"/>
      <c r="D40" s="6" t="n"/>
      <c r="E40" s="6" t="n"/>
      <c r="F40" s="6" t="n"/>
      <c r="G40" s="3">
        <f>IF($A40="","",TEXT($A40,"yyyy-mm-dd")&amp;"|"&amp;$D40&amp;"|"&amp;$E40)</f>
        <v/>
      </c>
      <c r="I40" s="11" t="n">
        <v>46058</v>
      </c>
      <c r="J40" s="3">
        <f>IFERROR(INDEX('CALENDARIO'!$C$15:$C$214,MATCH(TEXT($I40,"yyyy-mm-dd")&amp;"|"&amp;""&amp;"|"&amp;"",'CALENDARIO'!$G$15:$G$214,0)),IFERROR(INDEX('CALENDARIO'!$C$15:$C$214,MATCH(TEXT($I40,"yyyy-mm-dd")&amp;"|"&amp;""&amp;"|",'CALENDARIO'!$G$15:$G$214,0)),IFERROR(INDEX('CALENDARIO'!$C$15:$C$214,MATCH(TEXT($I40,"yyyy-mm-dd")&amp;"||",'CALENDARIO'!$G$15:$G$214,0)),INDEX(patronHabil,WEEKDAY($I40,2)))))</f>
        <v/>
      </c>
    </row>
    <row r="41">
      <c r="A41" s="15" t="n"/>
      <c r="B41" s="6" t="n"/>
      <c r="C41" s="6" t="n"/>
      <c r="D41" s="6" t="n"/>
      <c r="E41" s="6" t="n"/>
      <c r="F41" s="6" t="n"/>
      <c r="G41" s="3">
        <f>IF($A41="","",TEXT($A41,"yyyy-mm-dd")&amp;"|"&amp;$D41&amp;"|"&amp;$E41)</f>
        <v/>
      </c>
      <c r="I41" s="11" t="n">
        <v>46059</v>
      </c>
      <c r="J41" s="3">
        <f>IFERROR(INDEX('CALENDARIO'!$C$15:$C$214,MATCH(TEXT($I41,"yyyy-mm-dd")&amp;"|"&amp;""&amp;"|"&amp;"",'CALENDARIO'!$G$15:$G$214,0)),IFERROR(INDEX('CALENDARIO'!$C$15:$C$214,MATCH(TEXT($I41,"yyyy-mm-dd")&amp;"|"&amp;""&amp;"|",'CALENDARIO'!$G$15:$G$214,0)),IFERROR(INDEX('CALENDARIO'!$C$15:$C$214,MATCH(TEXT($I41,"yyyy-mm-dd")&amp;"||",'CALENDARIO'!$G$15:$G$214,0)),INDEX(patronHabil,WEEKDAY($I41,2)))))</f>
        <v/>
      </c>
    </row>
    <row r="42">
      <c r="A42" s="15" t="n"/>
      <c r="B42" s="6" t="n"/>
      <c r="C42" s="6" t="n"/>
      <c r="D42" s="6" t="n"/>
      <c r="E42" s="6" t="n"/>
      <c r="F42" s="6" t="n"/>
      <c r="G42" s="3">
        <f>IF($A42="","",TEXT($A42,"yyyy-mm-dd")&amp;"|"&amp;$D42&amp;"|"&amp;$E42)</f>
        <v/>
      </c>
      <c r="I42" s="11" t="n">
        <v>46060</v>
      </c>
      <c r="J42" s="3">
        <f>IFERROR(INDEX('CALENDARIO'!$C$15:$C$214,MATCH(TEXT($I42,"yyyy-mm-dd")&amp;"|"&amp;""&amp;"|"&amp;"",'CALENDARIO'!$G$15:$G$214,0)),IFERROR(INDEX('CALENDARIO'!$C$15:$C$214,MATCH(TEXT($I42,"yyyy-mm-dd")&amp;"|"&amp;""&amp;"|",'CALENDARIO'!$G$15:$G$214,0)),IFERROR(INDEX('CALENDARIO'!$C$15:$C$214,MATCH(TEXT($I42,"yyyy-mm-dd")&amp;"||",'CALENDARIO'!$G$15:$G$214,0)),INDEX(patronHabil,WEEKDAY($I42,2)))))</f>
        <v/>
      </c>
    </row>
    <row r="43">
      <c r="A43" s="15" t="n"/>
      <c r="B43" s="6" t="n"/>
      <c r="C43" s="6" t="n"/>
      <c r="D43" s="6" t="n"/>
      <c r="E43" s="6" t="n"/>
      <c r="F43" s="6" t="n"/>
      <c r="G43" s="3">
        <f>IF($A43="","",TEXT($A43,"yyyy-mm-dd")&amp;"|"&amp;$D43&amp;"|"&amp;$E43)</f>
        <v/>
      </c>
      <c r="I43" s="11" t="n">
        <v>46061</v>
      </c>
      <c r="J43" s="3">
        <f>IFERROR(INDEX('CALENDARIO'!$C$15:$C$214,MATCH(TEXT($I43,"yyyy-mm-dd")&amp;"|"&amp;""&amp;"|"&amp;"",'CALENDARIO'!$G$15:$G$214,0)),IFERROR(INDEX('CALENDARIO'!$C$15:$C$214,MATCH(TEXT($I43,"yyyy-mm-dd")&amp;"|"&amp;""&amp;"|",'CALENDARIO'!$G$15:$G$214,0)),IFERROR(INDEX('CALENDARIO'!$C$15:$C$214,MATCH(TEXT($I43,"yyyy-mm-dd")&amp;"||",'CALENDARIO'!$G$15:$G$214,0)),INDEX(patronHabil,WEEKDAY($I43,2)))))</f>
        <v/>
      </c>
    </row>
    <row r="44">
      <c r="A44" s="15" t="n"/>
      <c r="B44" s="6" t="n"/>
      <c r="C44" s="6" t="n"/>
      <c r="D44" s="6" t="n"/>
      <c r="E44" s="6" t="n"/>
      <c r="F44" s="6" t="n"/>
      <c r="G44" s="3">
        <f>IF($A44="","",TEXT($A44,"yyyy-mm-dd")&amp;"|"&amp;$D44&amp;"|"&amp;$E44)</f>
        <v/>
      </c>
      <c r="I44" s="11" t="n">
        <v>46062</v>
      </c>
      <c r="J44" s="3">
        <f>IFERROR(INDEX('CALENDARIO'!$C$15:$C$214,MATCH(TEXT($I44,"yyyy-mm-dd")&amp;"|"&amp;""&amp;"|"&amp;"",'CALENDARIO'!$G$15:$G$214,0)),IFERROR(INDEX('CALENDARIO'!$C$15:$C$214,MATCH(TEXT($I44,"yyyy-mm-dd")&amp;"|"&amp;""&amp;"|",'CALENDARIO'!$G$15:$G$214,0)),IFERROR(INDEX('CALENDARIO'!$C$15:$C$214,MATCH(TEXT($I44,"yyyy-mm-dd")&amp;"||",'CALENDARIO'!$G$15:$G$214,0)),INDEX(patronHabil,WEEKDAY($I44,2)))))</f>
        <v/>
      </c>
    </row>
    <row r="45">
      <c r="A45" s="15" t="n"/>
      <c r="B45" s="6" t="n"/>
      <c r="C45" s="6" t="n"/>
      <c r="D45" s="6" t="n"/>
      <c r="E45" s="6" t="n"/>
      <c r="F45" s="6" t="n"/>
      <c r="G45" s="3">
        <f>IF($A45="","",TEXT($A45,"yyyy-mm-dd")&amp;"|"&amp;$D45&amp;"|"&amp;$E45)</f>
        <v/>
      </c>
      <c r="I45" s="11" t="n">
        <v>46063</v>
      </c>
      <c r="J45" s="3">
        <f>IFERROR(INDEX('CALENDARIO'!$C$15:$C$214,MATCH(TEXT($I45,"yyyy-mm-dd")&amp;"|"&amp;""&amp;"|"&amp;"",'CALENDARIO'!$G$15:$G$214,0)),IFERROR(INDEX('CALENDARIO'!$C$15:$C$214,MATCH(TEXT($I45,"yyyy-mm-dd")&amp;"|"&amp;""&amp;"|",'CALENDARIO'!$G$15:$G$214,0)),IFERROR(INDEX('CALENDARIO'!$C$15:$C$214,MATCH(TEXT($I45,"yyyy-mm-dd")&amp;"||",'CALENDARIO'!$G$15:$G$214,0)),INDEX(patronHabil,WEEKDAY($I45,2)))))</f>
        <v/>
      </c>
    </row>
    <row r="46">
      <c r="A46" s="15" t="n"/>
      <c r="B46" s="6" t="n"/>
      <c r="C46" s="6" t="n"/>
      <c r="D46" s="6" t="n"/>
      <c r="E46" s="6" t="n"/>
      <c r="F46" s="6" t="n"/>
      <c r="G46" s="3">
        <f>IF($A46="","",TEXT($A46,"yyyy-mm-dd")&amp;"|"&amp;$D46&amp;"|"&amp;$E46)</f>
        <v/>
      </c>
      <c r="I46" s="11" t="n">
        <v>46064</v>
      </c>
      <c r="J46" s="3">
        <f>IFERROR(INDEX('CALENDARIO'!$C$15:$C$214,MATCH(TEXT($I46,"yyyy-mm-dd")&amp;"|"&amp;""&amp;"|"&amp;"",'CALENDARIO'!$G$15:$G$214,0)),IFERROR(INDEX('CALENDARIO'!$C$15:$C$214,MATCH(TEXT($I46,"yyyy-mm-dd")&amp;"|"&amp;""&amp;"|",'CALENDARIO'!$G$15:$G$214,0)),IFERROR(INDEX('CALENDARIO'!$C$15:$C$214,MATCH(TEXT($I46,"yyyy-mm-dd")&amp;"||",'CALENDARIO'!$G$15:$G$214,0)),INDEX(patronHabil,WEEKDAY($I46,2)))))</f>
        <v/>
      </c>
    </row>
    <row r="47">
      <c r="A47" s="15" t="n"/>
      <c r="B47" s="6" t="n"/>
      <c r="C47" s="6" t="n"/>
      <c r="D47" s="6" t="n"/>
      <c r="E47" s="6" t="n"/>
      <c r="F47" s="6" t="n"/>
      <c r="G47" s="3">
        <f>IF($A47="","",TEXT($A47,"yyyy-mm-dd")&amp;"|"&amp;$D47&amp;"|"&amp;$E47)</f>
        <v/>
      </c>
      <c r="I47" s="11" t="n">
        <v>46065</v>
      </c>
      <c r="J47" s="3">
        <f>IFERROR(INDEX('CALENDARIO'!$C$15:$C$214,MATCH(TEXT($I47,"yyyy-mm-dd")&amp;"|"&amp;""&amp;"|"&amp;"",'CALENDARIO'!$G$15:$G$214,0)),IFERROR(INDEX('CALENDARIO'!$C$15:$C$214,MATCH(TEXT($I47,"yyyy-mm-dd")&amp;"|"&amp;""&amp;"|",'CALENDARIO'!$G$15:$G$214,0)),IFERROR(INDEX('CALENDARIO'!$C$15:$C$214,MATCH(TEXT($I47,"yyyy-mm-dd")&amp;"||",'CALENDARIO'!$G$15:$G$214,0)),INDEX(patronHabil,WEEKDAY($I47,2)))))</f>
        <v/>
      </c>
    </row>
    <row r="48">
      <c r="A48" s="15" t="n"/>
      <c r="B48" s="6" t="n"/>
      <c r="C48" s="6" t="n"/>
      <c r="D48" s="6" t="n"/>
      <c r="E48" s="6" t="n"/>
      <c r="F48" s="6" t="n"/>
      <c r="G48" s="3">
        <f>IF($A48="","",TEXT($A48,"yyyy-mm-dd")&amp;"|"&amp;$D48&amp;"|"&amp;$E48)</f>
        <v/>
      </c>
      <c r="I48" s="11" t="n">
        <v>46066</v>
      </c>
      <c r="J48" s="3">
        <f>IFERROR(INDEX('CALENDARIO'!$C$15:$C$214,MATCH(TEXT($I48,"yyyy-mm-dd")&amp;"|"&amp;""&amp;"|"&amp;"",'CALENDARIO'!$G$15:$G$214,0)),IFERROR(INDEX('CALENDARIO'!$C$15:$C$214,MATCH(TEXT($I48,"yyyy-mm-dd")&amp;"|"&amp;""&amp;"|",'CALENDARIO'!$G$15:$G$214,0)),IFERROR(INDEX('CALENDARIO'!$C$15:$C$214,MATCH(TEXT($I48,"yyyy-mm-dd")&amp;"||",'CALENDARIO'!$G$15:$G$214,0)),INDEX(patronHabil,WEEKDAY($I48,2)))))</f>
        <v/>
      </c>
    </row>
    <row r="49">
      <c r="A49" s="15" t="n"/>
      <c r="B49" s="6" t="n"/>
      <c r="C49" s="6" t="n"/>
      <c r="D49" s="6" t="n"/>
      <c r="E49" s="6" t="n"/>
      <c r="F49" s="6" t="n"/>
      <c r="G49" s="3">
        <f>IF($A49="","",TEXT($A49,"yyyy-mm-dd")&amp;"|"&amp;$D49&amp;"|"&amp;$E49)</f>
        <v/>
      </c>
      <c r="I49" s="11" t="n">
        <v>46067</v>
      </c>
      <c r="J49" s="3">
        <f>IFERROR(INDEX('CALENDARIO'!$C$15:$C$214,MATCH(TEXT($I49,"yyyy-mm-dd")&amp;"|"&amp;""&amp;"|"&amp;"",'CALENDARIO'!$G$15:$G$214,0)),IFERROR(INDEX('CALENDARIO'!$C$15:$C$214,MATCH(TEXT($I49,"yyyy-mm-dd")&amp;"|"&amp;""&amp;"|",'CALENDARIO'!$G$15:$G$214,0)),IFERROR(INDEX('CALENDARIO'!$C$15:$C$214,MATCH(TEXT($I49,"yyyy-mm-dd")&amp;"||",'CALENDARIO'!$G$15:$G$214,0)),INDEX(patronHabil,WEEKDAY($I49,2)))))</f>
        <v/>
      </c>
    </row>
    <row r="50">
      <c r="A50" s="15" t="n"/>
      <c r="B50" s="6" t="n"/>
      <c r="C50" s="6" t="n"/>
      <c r="D50" s="6" t="n"/>
      <c r="E50" s="6" t="n"/>
      <c r="F50" s="6" t="n"/>
      <c r="G50" s="3">
        <f>IF($A50="","",TEXT($A50,"yyyy-mm-dd")&amp;"|"&amp;$D50&amp;"|"&amp;$E50)</f>
        <v/>
      </c>
      <c r="I50" s="11" t="n">
        <v>46068</v>
      </c>
      <c r="J50" s="3">
        <f>IFERROR(INDEX('CALENDARIO'!$C$15:$C$214,MATCH(TEXT($I50,"yyyy-mm-dd")&amp;"|"&amp;""&amp;"|"&amp;"",'CALENDARIO'!$G$15:$G$214,0)),IFERROR(INDEX('CALENDARIO'!$C$15:$C$214,MATCH(TEXT($I50,"yyyy-mm-dd")&amp;"|"&amp;""&amp;"|",'CALENDARIO'!$G$15:$G$214,0)),IFERROR(INDEX('CALENDARIO'!$C$15:$C$214,MATCH(TEXT($I50,"yyyy-mm-dd")&amp;"||",'CALENDARIO'!$G$15:$G$214,0)),INDEX(patronHabil,WEEKDAY($I50,2)))))</f>
        <v/>
      </c>
    </row>
    <row r="51">
      <c r="A51" s="15" t="n"/>
      <c r="B51" s="6" t="n"/>
      <c r="C51" s="6" t="n"/>
      <c r="D51" s="6" t="n"/>
      <c r="E51" s="6" t="n"/>
      <c r="F51" s="6" t="n"/>
      <c r="G51" s="3">
        <f>IF($A51="","",TEXT($A51,"yyyy-mm-dd")&amp;"|"&amp;$D51&amp;"|"&amp;$E51)</f>
        <v/>
      </c>
      <c r="I51" s="11" t="n">
        <v>46069</v>
      </c>
      <c r="J51" s="3">
        <f>IFERROR(INDEX('CALENDARIO'!$C$15:$C$214,MATCH(TEXT($I51,"yyyy-mm-dd")&amp;"|"&amp;""&amp;"|"&amp;"",'CALENDARIO'!$G$15:$G$214,0)),IFERROR(INDEX('CALENDARIO'!$C$15:$C$214,MATCH(TEXT($I51,"yyyy-mm-dd")&amp;"|"&amp;""&amp;"|",'CALENDARIO'!$G$15:$G$214,0)),IFERROR(INDEX('CALENDARIO'!$C$15:$C$214,MATCH(TEXT($I51,"yyyy-mm-dd")&amp;"||",'CALENDARIO'!$G$15:$G$214,0)),INDEX(patronHabil,WEEKDAY($I51,2)))))</f>
        <v/>
      </c>
    </row>
    <row r="52">
      <c r="A52" s="15" t="n"/>
      <c r="B52" s="6" t="n"/>
      <c r="C52" s="6" t="n"/>
      <c r="D52" s="6" t="n"/>
      <c r="E52" s="6" t="n"/>
      <c r="F52" s="6" t="n"/>
      <c r="G52" s="3">
        <f>IF($A52="","",TEXT($A52,"yyyy-mm-dd")&amp;"|"&amp;$D52&amp;"|"&amp;$E52)</f>
        <v/>
      </c>
      <c r="I52" s="11" t="n">
        <v>46070</v>
      </c>
      <c r="J52" s="3">
        <f>IFERROR(INDEX('CALENDARIO'!$C$15:$C$214,MATCH(TEXT($I52,"yyyy-mm-dd")&amp;"|"&amp;""&amp;"|"&amp;"",'CALENDARIO'!$G$15:$G$214,0)),IFERROR(INDEX('CALENDARIO'!$C$15:$C$214,MATCH(TEXT($I52,"yyyy-mm-dd")&amp;"|"&amp;""&amp;"|",'CALENDARIO'!$G$15:$G$214,0)),IFERROR(INDEX('CALENDARIO'!$C$15:$C$214,MATCH(TEXT($I52,"yyyy-mm-dd")&amp;"||",'CALENDARIO'!$G$15:$G$214,0)),INDEX(patronHabil,WEEKDAY($I52,2)))))</f>
        <v/>
      </c>
    </row>
    <row r="53">
      <c r="A53" s="15" t="n"/>
      <c r="B53" s="6" t="n"/>
      <c r="C53" s="6" t="n"/>
      <c r="D53" s="6" t="n"/>
      <c r="E53" s="6" t="n"/>
      <c r="F53" s="6" t="n"/>
      <c r="G53" s="3">
        <f>IF($A53="","",TEXT($A53,"yyyy-mm-dd")&amp;"|"&amp;$D53&amp;"|"&amp;$E53)</f>
        <v/>
      </c>
      <c r="I53" s="11" t="n">
        <v>46071</v>
      </c>
      <c r="J53" s="3">
        <f>IFERROR(INDEX('CALENDARIO'!$C$15:$C$214,MATCH(TEXT($I53,"yyyy-mm-dd")&amp;"|"&amp;""&amp;"|"&amp;"",'CALENDARIO'!$G$15:$G$214,0)),IFERROR(INDEX('CALENDARIO'!$C$15:$C$214,MATCH(TEXT($I53,"yyyy-mm-dd")&amp;"|"&amp;""&amp;"|",'CALENDARIO'!$G$15:$G$214,0)),IFERROR(INDEX('CALENDARIO'!$C$15:$C$214,MATCH(TEXT($I53,"yyyy-mm-dd")&amp;"||",'CALENDARIO'!$G$15:$G$214,0)),INDEX(patronHabil,WEEKDAY($I53,2)))))</f>
        <v/>
      </c>
    </row>
    <row r="54">
      <c r="A54" s="15" t="n"/>
      <c r="B54" s="6" t="n"/>
      <c r="C54" s="6" t="n"/>
      <c r="D54" s="6" t="n"/>
      <c r="E54" s="6" t="n"/>
      <c r="F54" s="6" t="n"/>
      <c r="G54" s="3">
        <f>IF($A54="","",TEXT($A54,"yyyy-mm-dd")&amp;"|"&amp;$D54&amp;"|"&amp;$E54)</f>
        <v/>
      </c>
      <c r="I54" s="11" t="n">
        <v>46072</v>
      </c>
      <c r="J54" s="3">
        <f>IFERROR(INDEX('CALENDARIO'!$C$15:$C$214,MATCH(TEXT($I54,"yyyy-mm-dd")&amp;"|"&amp;""&amp;"|"&amp;"",'CALENDARIO'!$G$15:$G$214,0)),IFERROR(INDEX('CALENDARIO'!$C$15:$C$214,MATCH(TEXT($I54,"yyyy-mm-dd")&amp;"|"&amp;""&amp;"|",'CALENDARIO'!$G$15:$G$214,0)),IFERROR(INDEX('CALENDARIO'!$C$15:$C$214,MATCH(TEXT($I54,"yyyy-mm-dd")&amp;"||",'CALENDARIO'!$G$15:$G$214,0)),INDEX(patronHabil,WEEKDAY($I54,2)))))</f>
        <v/>
      </c>
    </row>
    <row r="55">
      <c r="A55" s="15" t="n"/>
      <c r="B55" s="6" t="n"/>
      <c r="C55" s="6" t="n"/>
      <c r="D55" s="6" t="n"/>
      <c r="E55" s="6" t="n"/>
      <c r="F55" s="6" t="n"/>
      <c r="G55" s="3">
        <f>IF($A55="","",TEXT($A55,"yyyy-mm-dd")&amp;"|"&amp;$D55&amp;"|"&amp;$E55)</f>
        <v/>
      </c>
      <c r="I55" s="11" t="n">
        <v>46073</v>
      </c>
      <c r="J55" s="3">
        <f>IFERROR(INDEX('CALENDARIO'!$C$15:$C$214,MATCH(TEXT($I55,"yyyy-mm-dd")&amp;"|"&amp;""&amp;"|"&amp;"",'CALENDARIO'!$G$15:$G$214,0)),IFERROR(INDEX('CALENDARIO'!$C$15:$C$214,MATCH(TEXT($I55,"yyyy-mm-dd")&amp;"|"&amp;""&amp;"|",'CALENDARIO'!$G$15:$G$214,0)),IFERROR(INDEX('CALENDARIO'!$C$15:$C$214,MATCH(TEXT($I55,"yyyy-mm-dd")&amp;"||",'CALENDARIO'!$G$15:$G$214,0)),INDEX(patronHabil,WEEKDAY($I55,2)))))</f>
        <v/>
      </c>
    </row>
    <row r="56">
      <c r="A56" s="15" t="n"/>
      <c r="B56" s="6" t="n"/>
      <c r="C56" s="6" t="n"/>
      <c r="D56" s="6" t="n"/>
      <c r="E56" s="6" t="n"/>
      <c r="F56" s="6" t="n"/>
      <c r="G56" s="3">
        <f>IF($A56="","",TEXT($A56,"yyyy-mm-dd")&amp;"|"&amp;$D56&amp;"|"&amp;$E56)</f>
        <v/>
      </c>
      <c r="I56" s="11" t="n">
        <v>46074</v>
      </c>
      <c r="J56" s="3">
        <f>IFERROR(INDEX('CALENDARIO'!$C$15:$C$214,MATCH(TEXT($I56,"yyyy-mm-dd")&amp;"|"&amp;""&amp;"|"&amp;"",'CALENDARIO'!$G$15:$G$214,0)),IFERROR(INDEX('CALENDARIO'!$C$15:$C$214,MATCH(TEXT($I56,"yyyy-mm-dd")&amp;"|"&amp;""&amp;"|",'CALENDARIO'!$G$15:$G$214,0)),IFERROR(INDEX('CALENDARIO'!$C$15:$C$214,MATCH(TEXT($I56,"yyyy-mm-dd")&amp;"||",'CALENDARIO'!$G$15:$G$214,0)),INDEX(patronHabil,WEEKDAY($I56,2)))))</f>
        <v/>
      </c>
    </row>
    <row r="57">
      <c r="A57" s="15" t="n"/>
      <c r="B57" s="6" t="n"/>
      <c r="C57" s="6" t="n"/>
      <c r="D57" s="6" t="n"/>
      <c r="E57" s="6" t="n"/>
      <c r="F57" s="6" t="n"/>
      <c r="G57" s="3">
        <f>IF($A57="","",TEXT($A57,"yyyy-mm-dd")&amp;"|"&amp;$D57&amp;"|"&amp;$E57)</f>
        <v/>
      </c>
      <c r="I57" s="11" t="n">
        <v>46075</v>
      </c>
      <c r="J57" s="3">
        <f>IFERROR(INDEX('CALENDARIO'!$C$15:$C$214,MATCH(TEXT($I57,"yyyy-mm-dd")&amp;"|"&amp;""&amp;"|"&amp;"",'CALENDARIO'!$G$15:$G$214,0)),IFERROR(INDEX('CALENDARIO'!$C$15:$C$214,MATCH(TEXT($I57,"yyyy-mm-dd")&amp;"|"&amp;""&amp;"|",'CALENDARIO'!$G$15:$G$214,0)),IFERROR(INDEX('CALENDARIO'!$C$15:$C$214,MATCH(TEXT($I57,"yyyy-mm-dd")&amp;"||",'CALENDARIO'!$G$15:$G$214,0)),INDEX(patronHabil,WEEKDAY($I57,2)))))</f>
        <v/>
      </c>
    </row>
    <row r="58">
      <c r="A58" s="15" t="n"/>
      <c r="B58" s="6" t="n"/>
      <c r="C58" s="6" t="n"/>
      <c r="D58" s="6" t="n"/>
      <c r="E58" s="6" t="n"/>
      <c r="F58" s="6" t="n"/>
      <c r="G58" s="3">
        <f>IF($A58="","",TEXT($A58,"yyyy-mm-dd")&amp;"|"&amp;$D58&amp;"|"&amp;$E58)</f>
        <v/>
      </c>
      <c r="I58" s="11" t="n">
        <v>46076</v>
      </c>
      <c r="J58" s="3">
        <f>IFERROR(INDEX('CALENDARIO'!$C$15:$C$214,MATCH(TEXT($I58,"yyyy-mm-dd")&amp;"|"&amp;""&amp;"|"&amp;"",'CALENDARIO'!$G$15:$G$214,0)),IFERROR(INDEX('CALENDARIO'!$C$15:$C$214,MATCH(TEXT($I58,"yyyy-mm-dd")&amp;"|"&amp;""&amp;"|",'CALENDARIO'!$G$15:$G$214,0)),IFERROR(INDEX('CALENDARIO'!$C$15:$C$214,MATCH(TEXT($I58,"yyyy-mm-dd")&amp;"||",'CALENDARIO'!$G$15:$G$214,0)),INDEX(patronHabil,WEEKDAY($I58,2)))))</f>
        <v/>
      </c>
    </row>
    <row r="59">
      <c r="A59" s="15" t="n"/>
      <c r="B59" s="6" t="n"/>
      <c r="C59" s="6" t="n"/>
      <c r="D59" s="6" t="n"/>
      <c r="E59" s="6" t="n"/>
      <c r="F59" s="6" t="n"/>
      <c r="G59" s="3">
        <f>IF($A59="","",TEXT($A59,"yyyy-mm-dd")&amp;"|"&amp;$D59&amp;"|"&amp;$E59)</f>
        <v/>
      </c>
      <c r="I59" s="11" t="n">
        <v>46077</v>
      </c>
      <c r="J59" s="3">
        <f>IFERROR(INDEX('CALENDARIO'!$C$15:$C$214,MATCH(TEXT($I59,"yyyy-mm-dd")&amp;"|"&amp;""&amp;"|"&amp;"",'CALENDARIO'!$G$15:$G$214,0)),IFERROR(INDEX('CALENDARIO'!$C$15:$C$214,MATCH(TEXT($I59,"yyyy-mm-dd")&amp;"|"&amp;""&amp;"|",'CALENDARIO'!$G$15:$G$214,0)),IFERROR(INDEX('CALENDARIO'!$C$15:$C$214,MATCH(TEXT($I59,"yyyy-mm-dd")&amp;"||",'CALENDARIO'!$G$15:$G$214,0)),INDEX(patronHabil,WEEKDAY($I59,2)))))</f>
        <v/>
      </c>
    </row>
    <row r="60">
      <c r="A60" s="15" t="n"/>
      <c r="B60" s="6" t="n"/>
      <c r="C60" s="6" t="n"/>
      <c r="D60" s="6" t="n"/>
      <c r="E60" s="6" t="n"/>
      <c r="F60" s="6" t="n"/>
      <c r="G60" s="3">
        <f>IF($A60="","",TEXT($A60,"yyyy-mm-dd")&amp;"|"&amp;$D60&amp;"|"&amp;$E60)</f>
        <v/>
      </c>
      <c r="I60" s="11" t="n">
        <v>46078</v>
      </c>
      <c r="J60" s="3">
        <f>IFERROR(INDEX('CALENDARIO'!$C$15:$C$214,MATCH(TEXT($I60,"yyyy-mm-dd")&amp;"|"&amp;""&amp;"|"&amp;"",'CALENDARIO'!$G$15:$G$214,0)),IFERROR(INDEX('CALENDARIO'!$C$15:$C$214,MATCH(TEXT($I60,"yyyy-mm-dd")&amp;"|"&amp;""&amp;"|",'CALENDARIO'!$G$15:$G$214,0)),IFERROR(INDEX('CALENDARIO'!$C$15:$C$214,MATCH(TEXT($I60,"yyyy-mm-dd")&amp;"||",'CALENDARIO'!$G$15:$G$214,0)),INDEX(patronHabil,WEEKDAY($I60,2)))))</f>
        <v/>
      </c>
    </row>
    <row r="61">
      <c r="A61" s="15" t="n"/>
      <c r="B61" s="6" t="n"/>
      <c r="C61" s="6" t="n"/>
      <c r="D61" s="6" t="n"/>
      <c r="E61" s="6" t="n"/>
      <c r="F61" s="6" t="n"/>
      <c r="G61" s="3">
        <f>IF($A61="","",TEXT($A61,"yyyy-mm-dd")&amp;"|"&amp;$D61&amp;"|"&amp;$E61)</f>
        <v/>
      </c>
      <c r="I61" s="11" t="n">
        <v>46079</v>
      </c>
      <c r="J61" s="3">
        <f>IFERROR(INDEX('CALENDARIO'!$C$15:$C$214,MATCH(TEXT($I61,"yyyy-mm-dd")&amp;"|"&amp;""&amp;"|"&amp;"",'CALENDARIO'!$G$15:$G$214,0)),IFERROR(INDEX('CALENDARIO'!$C$15:$C$214,MATCH(TEXT($I61,"yyyy-mm-dd")&amp;"|"&amp;""&amp;"|",'CALENDARIO'!$G$15:$G$214,0)),IFERROR(INDEX('CALENDARIO'!$C$15:$C$214,MATCH(TEXT($I61,"yyyy-mm-dd")&amp;"||",'CALENDARIO'!$G$15:$G$214,0)),INDEX(patronHabil,WEEKDAY($I61,2)))))</f>
        <v/>
      </c>
    </row>
    <row r="62">
      <c r="A62" s="15" t="n"/>
      <c r="B62" s="6" t="n"/>
      <c r="C62" s="6" t="n"/>
      <c r="D62" s="6" t="n"/>
      <c r="E62" s="6" t="n"/>
      <c r="F62" s="6" t="n"/>
      <c r="G62" s="3">
        <f>IF($A62="","",TEXT($A62,"yyyy-mm-dd")&amp;"|"&amp;$D62&amp;"|"&amp;$E62)</f>
        <v/>
      </c>
      <c r="I62" s="11" t="n">
        <v>46080</v>
      </c>
      <c r="J62" s="3">
        <f>IFERROR(INDEX('CALENDARIO'!$C$15:$C$214,MATCH(TEXT($I62,"yyyy-mm-dd")&amp;"|"&amp;""&amp;"|"&amp;"",'CALENDARIO'!$G$15:$G$214,0)),IFERROR(INDEX('CALENDARIO'!$C$15:$C$214,MATCH(TEXT($I62,"yyyy-mm-dd")&amp;"|"&amp;""&amp;"|",'CALENDARIO'!$G$15:$G$214,0)),IFERROR(INDEX('CALENDARIO'!$C$15:$C$214,MATCH(TEXT($I62,"yyyy-mm-dd")&amp;"||",'CALENDARIO'!$G$15:$G$214,0)),INDEX(patronHabil,WEEKDAY($I62,2)))))</f>
        <v/>
      </c>
    </row>
    <row r="63">
      <c r="A63" s="15" t="n"/>
      <c r="B63" s="6" t="n"/>
      <c r="C63" s="6" t="n"/>
      <c r="D63" s="6" t="n"/>
      <c r="E63" s="6" t="n"/>
      <c r="F63" s="6" t="n"/>
      <c r="G63" s="3">
        <f>IF($A63="","",TEXT($A63,"yyyy-mm-dd")&amp;"|"&amp;$D63&amp;"|"&amp;$E63)</f>
        <v/>
      </c>
      <c r="I63" s="11" t="n">
        <v>46081</v>
      </c>
      <c r="J63" s="3">
        <f>IFERROR(INDEX('CALENDARIO'!$C$15:$C$214,MATCH(TEXT($I63,"yyyy-mm-dd")&amp;"|"&amp;""&amp;"|"&amp;"",'CALENDARIO'!$G$15:$G$214,0)),IFERROR(INDEX('CALENDARIO'!$C$15:$C$214,MATCH(TEXT($I63,"yyyy-mm-dd")&amp;"|"&amp;""&amp;"|",'CALENDARIO'!$G$15:$G$214,0)),IFERROR(INDEX('CALENDARIO'!$C$15:$C$214,MATCH(TEXT($I63,"yyyy-mm-dd")&amp;"||",'CALENDARIO'!$G$15:$G$214,0)),INDEX(patronHabil,WEEKDAY($I63,2)))))</f>
        <v/>
      </c>
    </row>
    <row r="64">
      <c r="A64" s="15" t="n"/>
      <c r="B64" s="6" t="n"/>
      <c r="C64" s="6" t="n"/>
      <c r="D64" s="6" t="n"/>
      <c r="E64" s="6" t="n"/>
      <c r="F64" s="6" t="n"/>
      <c r="G64" s="3">
        <f>IF($A64="","",TEXT($A64,"yyyy-mm-dd")&amp;"|"&amp;$D64&amp;"|"&amp;$E64)</f>
        <v/>
      </c>
      <c r="I64" s="11" t="n">
        <v>46082</v>
      </c>
      <c r="J64" s="3">
        <f>IFERROR(INDEX('CALENDARIO'!$C$15:$C$214,MATCH(TEXT($I64,"yyyy-mm-dd")&amp;"|"&amp;""&amp;"|"&amp;"",'CALENDARIO'!$G$15:$G$214,0)),IFERROR(INDEX('CALENDARIO'!$C$15:$C$214,MATCH(TEXT($I64,"yyyy-mm-dd")&amp;"|"&amp;""&amp;"|",'CALENDARIO'!$G$15:$G$214,0)),IFERROR(INDEX('CALENDARIO'!$C$15:$C$214,MATCH(TEXT($I64,"yyyy-mm-dd")&amp;"||",'CALENDARIO'!$G$15:$G$214,0)),INDEX(patronHabil,WEEKDAY($I64,2)))))</f>
        <v/>
      </c>
    </row>
    <row r="65">
      <c r="A65" s="15" t="n"/>
      <c r="B65" s="6" t="n"/>
      <c r="C65" s="6" t="n"/>
      <c r="D65" s="6" t="n"/>
      <c r="E65" s="6" t="n"/>
      <c r="F65" s="6" t="n"/>
      <c r="G65" s="3">
        <f>IF($A65="","",TEXT($A65,"yyyy-mm-dd")&amp;"|"&amp;$D65&amp;"|"&amp;$E65)</f>
        <v/>
      </c>
      <c r="I65" s="11" t="n">
        <v>46083</v>
      </c>
      <c r="J65" s="3">
        <f>IFERROR(INDEX('CALENDARIO'!$C$15:$C$214,MATCH(TEXT($I65,"yyyy-mm-dd")&amp;"|"&amp;""&amp;"|"&amp;"",'CALENDARIO'!$G$15:$G$214,0)),IFERROR(INDEX('CALENDARIO'!$C$15:$C$214,MATCH(TEXT($I65,"yyyy-mm-dd")&amp;"|"&amp;""&amp;"|",'CALENDARIO'!$G$15:$G$214,0)),IFERROR(INDEX('CALENDARIO'!$C$15:$C$214,MATCH(TEXT($I65,"yyyy-mm-dd")&amp;"||",'CALENDARIO'!$G$15:$G$214,0)),INDEX(patronHabil,WEEKDAY($I65,2)))))</f>
        <v/>
      </c>
    </row>
    <row r="66">
      <c r="A66" s="15" t="n"/>
      <c r="B66" s="6" t="n"/>
      <c r="C66" s="6" t="n"/>
      <c r="D66" s="6" t="n"/>
      <c r="E66" s="6" t="n"/>
      <c r="F66" s="6" t="n"/>
      <c r="G66" s="3">
        <f>IF($A66="","",TEXT($A66,"yyyy-mm-dd")&amp;"|"&amp;$D66&amp;"|"&amp;$E66)</f>
        <v/>
      </c>
      <c r="I66" s="11" t="n">
        <v>46084</v>
      </c>
      <c r="J66" s="3">
        <f>IFERROR(INDEX('CALENDARIO'!$C$15:$C$214,MATCH(TEXT($I66,"yyyy-mm-dd")&amp;"|"&amp;""&amp;"|"&amp;"",'CALENDARIO'!$G$15:$G$214,0)),IFERROR(INDEX('CALENDARIO'!$C$15:$C$214,MATCH(TEXT($I66,"yyyy-mm-dd")&amp;"|"&amp;""&amp;"|",'CALENDARIO'!$G$15:$G$214,0)),IFERROR(INDEX('CALENDARIO'!$C$15:$C$214,MATCH(TEXT($I66,"yyyy-mm-dd")&amp;"||",'CALENDARIO'!$G$15:$G$214,0)),INDEX(patronHabil,WEEKDAY($I66,2)))))</f>
        <v/>
      </c>
    </row>
    <row r="67">
      <c r="A67" s="15" t="n"/>
      <c r="B67" s="6" t="n"/>
      <c r="C67" s="6" t="n"/>
      <c r="D67" s="6" t="n"/>
      <c r="E67" s="6" t="n"/>
      <c r="F67" s="6" t="n"/>
      <c r="G67" s="3">
        <f>IF($A67="","",TEXT($A67,"yyyy-mm-dd")&amp;"|"&amp;$D67&amp;"|"&amp;$E67)</f>
        <v/>
      </c>
      <c r="I67" s="11" t="n">
        <v>46085</v>
      </c>
      <c r="J67" s="3">
        <f>IFERROR(INDEX('CALENDARIO'!$C$15:$C$214,MATCH(TEXT($I67,"yyyy-mm-dd")&amp;"|"&amp;""&amp;"|"&amp;"",'CALENDARIO'!$G$15:$G$214,0)),IFERROR(INDEX('CALENDARIO'!$C$15:$C$214,MATCH(TEXT($I67,"yyyy-mm-dd")&amp;"|"&amp;""&amp;"|",'CALENDARIO'!$G$15:$G$214,0)),IFERROR(INDEX('CALENDARIO'!$C$15:$C$214,MATCH(TEXT($I67,"yyyy-mm-dd")&amp;"||",'CALENDARIO'!$G$15:$G$214,0)),INDEX(patronHabil,WEEKDAY($I67,2)))))</f>
        <v/>
      </c>
    </row>
    <row r="68">
      <c r="A68" s="15" t="n"/>
      <c r="B68" s="6" t="n"/>
      <c r="C68" s="6" t="n"/>
      <c r="D68" s="6" t="n"/>
      <c r="E68" s="6" t="n"/>
      <c r="F68" s="6" t="n"/>
      <c r="G68" s="3">
        <f>IF($A68="","",TEXT($A68,"yyyy-mm-dd")&amp;"|"&amp;$D68&amp;"|"&amp;$E68)</f>
        <v/>
      </c>
      <c r="I68" s="11" t="n">
        <v>46086</v>
      </c>
      <c r="J68" s="3">
        <f>IFERROR(INDEX('CALENDARIO'!$C$15:$C$214,MATCH(TEXT($I68,"yyyy-mm-dd")&amp;"|"&amp;""&amp;"|"&amp;"",'CALENDARIO'!$G$15:$G$214,0)),IFERROR(INDEX('CALENDARIO'!$C$15:$C$214,MATCH(TEXT($I68,"yyyy-mm-dd")&amp;"|"&amp;""&amp;"|",'CALENDARIO'!$G$15:$G$214,0)),IFERROR(INDEX('CALENDARIO'!$C$15:$C$214,MATCH(TEXT($I68,"yyyy-mm-dd")&amp;"||",'CALENDARIO'!$G$15:$G$214,0)),INDEX(patronHabil,WEEKDAY($I68,2)))))</f>
        <v/>
      </c>
    </row>
    <row r="69">
      <c r="A69" s="15" t="n"/>
      <c r="B69" s="6" t="n"/>
      <c r="C69" s="6" t="n"/>
      <c r="D69" s="6" t="n"/>
      <c r="E69" s="6" t="n"/>
      <c r="F69" s="6" t="n"/>
      <c r="G69" s="3">
        <f>IF($A69="","",TEXT($A69,"yyyy-mm-dd")&amp;"|"&amp;$D69&amp;"|"&amp;$E69)</f>
        <v/>
      </c>
      <c r="I69" s="11" t="n">
        <v>46087</v>
      </c>
      <c r="J69" s="3">
        <f>IFERROR(INDEX('CALENDARIO'!$C$15:$C$214,MATCH(TEXT($I69,"yyyy-mm-dd")&amp;"|"&amp;""&amp;"|"&amp;"",'CALENDARIO'!$G$15:$G$214,0)),IFERROR(INDEX('CALENDARIO'!$C$15:$C$214,MATCH(TEXT($I69,"yyyy-mm-dd")&amp;"|"&amp;""&amp;"|",'CALENDARIO'!$G$15:$G$214,0)),IFERROR(INDEX('CALENDARIO'!$C$15:$C$214,MATCH(TEXT($I69,"yyyy-mm-dd")&amp;"||",'CALENDARIO'!$G$15:$G$214,0)),INDEX(patronHabil,WEEKDAY($I69,2)))))</f>
        <v/>
      </c>
    </row>
    <row r="70">
      <c r="A70" s="15" t="n"/>
      <c r="B70" s="6" t="n"/>
      <c r="C70" s="6" t="n"/>
      <c r="D70" s="6" t="n"/>
      <c r="E70" s="6" t="n"/>
      <c r="F70" s="6" t="n"/>
      <c r="G70" s="3">
        <f>IF($A70="","",TEXT($A70,"yyyy-mm-dd")&amp;"|"&amp;$D70&amp;"|"&amp;$E70)</f>
        <v/>
      </c>
      <c r="I70" s="11" t="n">
        <v>46088</v>
      </c>
      <c r="J70" s="3">
        <f>IFERROR(INDEX('CALENDARIO'!$C$15:$C$214,MATCH(TEXT($I70,"yyyy-mm-dd")&amp;"|"&amp;""&amp;"|"&amp;"",'CALENDARIO'!$G$15:$G$214,0)),IFERROR(INDEX('CALENDARIO'!$C$15:$C$214,MATCH(TEXT($I70,"yyyy-mm-dd")&amp;"|"&amp;""&amp;"|",'CALENDARIO'!$G$15:$G$214,0)),IFERROR(INDEX('CALENDARIO'!$C$15:$C$214,MATCH(TEXT($I70,"yyyy-mm-dd")&amp;"||",'CALENDARIO'!$G$15:$G$214,0)),INDEX(patronHabil,WEEKDAY($I70,2)))))</f>
        <v/>
      </c>
    </row>
    <row r="71">
      <c r="A71" s="15" t="n"/>
      <c r="B71" s="6" t="n"/>
      <c r="C71" s="6" t="n"/>
      <c r="D71" s="6" t="n"/>
      <c r="E71" s="6" t="n"/>
      <c r="F71" s="6" t="n"/>
      <c r="G71" s="3">
        <f>IF($A71="","",TEXT($A71,"yyyy-mm-dd")&amp;"|"&amp;$D71&amp;"|"&amp;$E71)</f>
        <v/>
      </c>
      <c r="I71" s="11" t="n">
        <v>46089</v>
      </c>
      <c r="J71" s="3">
        <f>IFERROR(INDEX('CALENDARIO'!$C$15:$C$214,MATCH(TEXT($I71,"yyyy-mm-dd")&amp;"|"&amp;""&amp;"|"&amp;"",'CALENDARIO'!$G$15:$G$214,0)),IFERROR(INDEX('CALENDARIO'!$C$15:$C$214,MATCH(TEXT($I71,"yyyy-mm-dd")&amp;"|"&amp;""&amp;"|",'CALENDARIO'!$G$15:$G$214,0)),IFERROR(INDEX('CALENDARIO'!$C$15:$C$214,MATCH(TEXT($I71,"yyyy-mm-dd")&amp;"||",'CALENDARIO'!$G$15:$G$214,0)),INDEX(patronHabil,WEEKDAY($I71,2)))))</f>
        <v/>
      </c>
    </row>
    <row r="72">
      <c r="A72" s="15" t="n"/>
      <c r="B72" s="6" t="n"/>
      <c r="C72" s="6" t="n"/>
      <c r="D72" s="6" t="n"/>
      <c r="E72" s="6" t="n"/>
      <c r="F72" s="6" t="n"/>
      <c r="G72" s="3">
        <f>IF($A72="","",TEXT($A72,"yyyy-mm-dd")&amp;"|"&amp;$D72&amp;"|"&amp;$E72)</f>
        <v/>
      </c>
      <c r="I72" s="11" t="n">
        <v>46090</v>
      </c>
      <c r="J72" s="3">
        <f>IFERROR(INDEX('CALENDARIO'!$C$15:$C$214,MATCH(TEXT($I72,"yyyy-mm-dd")&amp;"|"&amp;""&amp;"|"&amp;"",'CALENDARIO'!$G$15:$G$214,0)),IFERROR(INDEX('CALENDARIO'!$C$15:$C$214,MATCH(TEXT($I72,"yyyy-mm-dd")&amp;"|"&amp;""&amp;"|",'CALENDARIO'!$G$15:$G$214,0)),IFERROR(INDEX('CALENDARIO'!$C$15:$C$214,MATCH(TEXT($I72,"yyyy-mm-dd")&amp;"||",'CALENDARIO'!$G$15:$G$214,0)),INDEX(patronHabil,WEEKDAY($I72,2)))))</f>
        <v/>
      </c>
    </row>
    <row r="73">
      <c r="A73" s="15" t="n"/>
      <c r="B73" s="6" t="n"/>
      <c r="C73" s="6" t="n"/>
      <c r="D73" s="6" t="n"/>
      <c r="E73" s="6" t="n"/>
      <c r="F73" s="6" t="n"/>
      <c r="G73" s="3">
        <f>IF($A73="","",TEXT($A73,"yyyy-mm-dd")&amp;"|"&amp;$D73&amp;"|"&amp;$E73)</f>
        <v/>
      </c>
      <c r="I73" s="11" t="n">
        <v>46091</v>
      </c>
      <c r="J73" s="3">
        <f>IFERROR(INDEX('CALENDARIO'!$C$15:$C$214,MATCH(TEXT($I73,"yyyy-mm-dd")&amp;"|"&amp;""&amp;"|"&amp;"",'CALENDARIO'!$G$15:$G$214,0)),IFERROR(INDEX('CALENDARIO'!$C$15:$C$214,MATCH(TEXT($I73,"yyyy-mm-dd")&amp;"|"&amp;""&amp;"|",'CALENDARIO'!$G$15:$G$214,0)),IFERROR(INDEX('CALENDARIO'!$C$15:$C$214,MATCH(TEXT($I73,"yyyy-mm-dd")&amp;"||",'CALENDARIO'!$G$15:$G$214,0)),INDEX(patronHabil,WEEKDAY($I73,2)))))</f>
        <v/>
      </c>
    </row>
    <row r="74">
      <c r="A74" s="15" t="n"/>
      <c r="B74" s="6" t="n"/>
      <c r="C74" s="6" t="n"/>
      <c r="D74" s="6" t="n"/>
      <c r="E74" s="6" t="n"/>
      <c r="F74" s="6" t="n"/>
      <c r="G74" s="3">
        <f>IF($A74="","",TEXT($A74,"yyyy-mm-dd")&amp;"|"&amp;$D74&amp;"|"&amp;$E74)</f>
        <v/>
      </c>
      <c r="I74" s="11" t="n">
        <v>46092</v>
      </c>
      <c r="J74" s="3">
        <f>IFERROR(INDEX('CALENDARIO'!$C$15:$C$214,MATCH(TEXT($I74,"yyyy-mm-dd")&amp;"|"&amp;""&amp;"|"&amp;"",'CALENDARIO'!$G$15:$G$214,0)),IFERROR(INDEX('CALENDARIO'!$C$15:$C$214,MATCH(TEXT($I74,"yyyy-mm-dd")&amp;"|"&amp;""&amp;"|",'CALENDARIO'!$G$15:$G$214,0)),IFERROR(INDEX('CALENDARIO'!$C$15:$C$214,MATCH(TEXT($I74,"yyyy-mm-dd")&amp;"||",'CALENDARIO'!$G$15:$G$214,0)),INDEX(patronHabil,WEEKDAY($I74,2)))))</f>
        <v/>
      </c>
    </row>
    <row r="75">
      <c r="A75" s="15" t="n"/>
      <c r="B75" s="6" t="n"/>
      <c r="C75" s="6" t="n"/>
      <c r="D75" s="6" t="n"/>
      <c r="E75" s="6" t="n"/>
      <c r="F75" s="6" t="n"/>
      <c r="G75" s="3">
        <f>IF($A75="","",TEXT($A75,"yyyy-mm-dd")&amp;"|"&amp;$D75&amp;"|"&amp;$E75)</f>
        <v/>
      </c>
      <c r="I75" s="11" t="n">
        <v>46093</v>
      </c>
      <c r="J75" s="3">
        <f>IFERROR(INDEX('CALENDARIO'!$C$15:$C$214,MATCH(TEXT($I75,"yyyy-mm-dd")&amp;"|"&amp;""&amp;"|"&amp;"",'CALENDARIO'!$G$15:$G$214,0)),IFERROR(INDEX('CALENDARIO'!$C$15:$C$214,MATCH(TEXT($I75,"yyyy-mm-dd")&amp;"|"&amp;""&amp;"|",'CALENDARIO'!$G$15:$G$214,0)),IFERROR(INDEX('CALENDARIO'!$C$15:$C$214,MATCH(TEXT($I75,"yyyy-mm-dd")&amp;"||",'CALENDARIO'!$G$15:$G$214,0)),INDEX(patronHabil,WEEKDAY($I75,2)))))</f>
        <v/>
      </c>
    </row>
    <row r="76">
      <c r="A76" s="15" t="n"/>
      <c r="B76" s="6" t="n"/>
      <c r="C76" s="6" t="n"/>
      <c r="D76" s="6" t="n"/>
      <c r="E76" s="6" t="n"/>
      <c r="F76" s="6" t="n"/>
      <c r="G76" s="3">
        <f>IF($A76="","",TEXT($A76,"yyyy-mm-dd")&amp;"|"&amp;$D76&amp;"|"&amp;$E76)</f>
        <v/>
      </c>
      <c r="I76" s="11" t="n">
        <v>46094</v>
      </c>
      <c r="J76" s="3">
        <f>IFERROR(INDEX('CALENDARIO'!$C$15:$C$214,MATCH(TEXT($I76,"yyyy-mm-dd")&amp;"|"&amp;""&amp;"|"&amp;"",'CALENDARIO'!$G$15:$G$214,0)),IFERROR(INDEX('CALENDARIO'!$C$15:$C$214,MATCH(TEXT($I76,"yyyy-mm-dd")&amp;"|"&amp;""&amp;"|",'CALENDARIO'!$G$15:$G$214,0)),IFERROR(INDEX('CALENDARIO'!$C$15:$C$214,MATCH(TEXT($I76,"yyyy-mm-dd")&amp;"||",'CALENDARIO'!$G$15:$G$214,0)),INDEX(patronHabil,WEEKDAY($I76,2)))))</f>
        <v/>
      </c>
    </row>
    <row r="77">
      <c r="A77" s="15" t="n"/>
      <c r="B77" s="6" t="n"/>
      <c r="C77" s="6" t="n"/>
      <c r="D77" s="6" t="n"/>
      <c r="E77" s="6" t="n"/>
      <c r="F77" s="6" t="n"/>
      <c r="G77" s="3">
        <f>IF($A77="","",TEXT($A77,"yyyy-mm-dd")&amp;"|"&amp;$D77&amp;"|"&amp;$E77)</f>
        <v/>
      </c>
      <c r="I77" s="11" t="n">
        <v>46095</v>
      </c>
      <c r="J77" s="3">
        <f>IFERROR(INDEX('CALENDARIO'!$C$15:$C$214,MATCH(TEXT($I77,"yyyy-mm-dd")&amp;"|"&amp;""&amp;"|"&amp;"",'CALENDARIO'!$G$15:$G$214,0)),IFERROR(INDEX('CALENDARIO'!$C$15:$C$214,MATCH(TEXT($I77,"yyyy-mm-dd")&amp;"|"&amp;""&amp;"|",'CALENDARIO'!$G$15:$G$214,0)),IFERROR(INDEX('CALENDARIO'!$C$15:$C$214,MATCH(TEXT($I77,"yyyy-mm-dd")&amp;"||",'CALENDARIO'!$G$15:$G$214,0)),INDEX(patronHabil,WEEKDAY($I77,2)))))</f>
        <v/>
      </c>
    </row>
    <row r="78">
      <c r="A78" s="15" t="n"/>
      <c r="B78" s="6" t="n"/>
      <c r="C78" s="6" t="n"/>
      <c r="D78" s="6" t="n"/>
      <c r="E78" s="6" t="n"/>
      <c r="F78" s="6" t="n"/>
      <c r="G78" s="3">
        <f>IF($A78="","",TEXT($A78,"yyyy-mm-dd")&amp;"|"&amp;$D78&amp;"|"&amp;$E78)</f>
        <v/>
      </c>
      <c r="I78" s="11" t="n">
        <v>46096</v>
      </c>
      <c r="J78" s="3">
        <f>IFERROR(INDEX('CALENDARIO'!$C$15:$C$214,MATCH(TEXT($I78,"yyyy-mm-dd")&amp;"|"&amp;""&amp;"|"&amp;"",'CALENDARIO'!$G$15:$G$214,0)),IFERROR(INDEX('CALENDARIO'!$C$15:$C$214,MATCH(TEXT($I78,"yyyy-mm-dd")&amp;"|"&amp;""&amp;"|",'CALENDARIO'!$G$15:$G$214,0)),IFERROR(INDEX('CALENDARIO'!$C$15:$C$214,MATCH(TEXT($I78,"yyyy-mm-dd")&amp;"||",'CALENDARIO'!$G$15:$G$214,0)),INDEX(patronHabil,WEEKDAY($I78,2)))))</f>
        <v/>
      </c>
    </row>
    <row r="79">
      <c r="A79" s="15" t="n"/>
      <c r="B79" s="6" t="n"/>
      <c r="C79" s="6" t="n"/>
      <c r="D79" s="6" t="n"/>
      <c r="E79" s="6" t="n"/>
      <c r="F79" s="6" t="n"/>
      <c r="G79" s="3">
        <f>IF($A79="","",TEXT($A79,"yyyy-mm-dd")&amp;"|"&amp;$D79&amp;"|"&amp;$E79)</f>
        <v/>
      </c>
      <c r="I79" s="11" t="n">
        <v>46097</v>
      </c>
      <c r="J79" s="3">
        <f>IFERROR(INDEX('CALENDARIO'!$C$15:$C$214,MATCH(TEXT($I79,"yyyy-mm-dd")&amp;"|"&amp;""&amp;"|"&amp;"",'CALENDARIO'!$G$15:$G$214,0)),IFERROR(INDEX('CALENDARIO'!$C$15:$C$214,MATCH(TEXT($I79,"yyyy-mm-dd")&amp;"|"&amp;""&amp;"|",'CALENDARIO'!$G$15:$G$214,0)),IFERROR(INDEX('CALENDARIO'!$C$15:$C$214,MATCH(TEXT($I79,"yyyy-mm-dd")&amp;"||",'CALENDARIO'!$G$15:$G$214,0)),INDEX(patronHabil,WEEKDAY($I79,2)))))</f>
        <v/>
      </c>
    </row>
    <row r="80">
      <c r="A80" s="15" t="n"/>
      <c r="B80" s="6" t="n"/>
      <c r="C80" s="6" t="n"/>
      <c r="D80" s="6" t="n"/>
      <c r="E80" s="6" t="n"/>
      <c r="F80" s="6" t="n"/>
      <c r="G80" s="3">
        <f>IF($A80="","",TEXT($A80,"yyyy-mm-dd")&amp;"|"&amp;$D80&amp;"|"&amp;$E80)</f>
        <v/>
      </c>
      <c r="I80" s="11" t="n">
        <v>46098</v>
      </c>
      <c r="J80" s="3">
        <f>IFERROR(INDEX('CALENDARIO'!$C$15:$C$214,MATCH(TEXT($I80,"yyyy-mm-dd")&amp;"|"&amp;""&amp;"|"&amp;"",'CALENDARIO'!$G$15:$G$214,0)),IFERROR(INDEX('CALENDARIO'!$C$15:$C$214,MATCH(TEXT($I80,"yyyy-mm-dd")&amp;"|"&amp;""&amp;"|",'CALENDARIO'!$G$15:$G$214,0)),IFERROR(INDEX('CALENDARIO'!$C$15:$C$214,MATCH(TEXT($I80,"yyyy-mm-dd")&amp;"||",'CALENDARIO'!$G$15:$G$214,0)),INDEX(patronHabil,WEEKDAY($I80,2)))))</f>
        <v/>
      </c>
    </row>
    <row r="81">
      <c r="A81" s="15" t="n"/>
      <c r="B81" s="6" t="n"/>
      <c r="C81" s="6" t="n"/>
      <c r="D81" s="6" t="n"/>
      <c r="E81" s="6" t="n"/>
      <c r="F81" s="6" t="n"/>
      <c r="G81" s="3">
        <f>IF($A81="","",TEXT($A81,"yyyy-mm-dd")&amp;"|"&amp;$D81&amp;"|"&amp;$E81)</f>
        <v/>
      </c>
      <c r="I81" s="11" t="n">
        <v>46099</v>
      </c>
      <c r="J81" s="3">
        <f>IFERROR(INDEX('CALENDARIO'!$C$15:$C$214,MATCH(TEXT($I81,"yyyy-mm-dd")&amp;"|"&amp;""&amp;"|"&amp;"",'CALENDARIO'!$G$15:$G$214,0)),IFERROR(INDEX('CALENDARIO'!$C$15:$C$214,MATCH(TEXT($I81,"yyyy-mm-dd")&amp;"|"&amp;""&amp;"|",'CALENDARIO'!$G$15:$G$214,0)),IFERROR(INDEX('CALENDARIO'!$C$15:$C$214,MATCH(TEXT($I81,"yyyy-mm-dd")&amp;"||",'CALENDARIO'!$G$15:$G$214,0)),INDEX(patronHabil,WEEKDAY($I81,2)))))</f>
        <v/>
      </c>
    </row>
    <row r="82">
      <c r="A82" s="15" t="n"/>
      <c r="B82" s="6" t="n"/>
      <c r="C82" s="6" t="n"/>
      <c r="D82" s="6" t="n"/>
      <c r="E82" s="6" t="n"/>
      <c r="F82" s="6" t="n"/>
      <c r="G82" s="3">
        <f>IF($A82="","",TEXT($A82,"yyyy-mm-dd")&amp;"|"&amp;$D82&amp;"|"&amp;$E82)</f>
        <v/>
      </c>
      <c r="I82" s="11" t="n">
        <v>46100</v>
      </c>
      <c r="J82" s="3">
        <f>IFERROR(INDEX('CALENDARIO'!$C$15:$C$214,MATCH(TEXT($I82,"yyyy-mm-dd")&amp;"|"&amp;""&amp;"|"&amp;"",'CALENDARIO'!$G$15:$G$214,0)),IFERROR(INDEX('CALENDARIO'!$C$15:$C$214,MATCH(TEXT($I82,"yyyy-mm-dd")&amp;"|"&amp;""&amp;"|",'CALENDARIO'!$G$15:$G$214,0)),IFERROR(INDEX('CALENDARIO'!$C$15:$C$214,MATCH(TEXT($I82,"yyyy-mm-dd")&amp;"||",'CALENDARIO'!$G$15:$G$214,0)),INDEX(patronHabil,WEEKDAY($I82,2)))))</f>
        <v/>
      </c>
    </row>
    <row r="83">
      <c r="A83" s="15" t="n"/>
      <c r="B83" s="6" t="n"/>
      <c r="C83" s="6" t="n"/>
      <c r="D83" s="6" t="n"/>
      <c r="E83" s="6" t="n"/>
      <c r="F83" s="6" t="n"/>
      <c r="G83" s="3">
        <f>IF($A83="","",TEXT($A83,"yyyy-mm-dd")&amp;"|"&amp;$D83&amp;"|"&amp;$E83)</f>
        <v/>
      </c>
      <c r="I83" s="11" t="n">
        <v>46101</v>
      </c>
      <c r="J83" s="3">
        <f>IFERROR(INDEX('CALENDARIO'!$C$15:$C$214,MATCH(TEXT($I83,"yyyy-mm-dd")&amp;"|"&amp;""&amp;"|"&amp;"",'CALENDARIO'!$G$15:$G$214,0)),IFERROR(INDEX('CALENDARIO'!$C$15:$C$214,MATCH(TEXT($I83,"yyyy-mm-dd")&amp;"|"&amp;""&amp;"|",'CALENDARIO'!$G$15:$G$214,0)),IFERROR(INDEX('CALENDARIO'!$C$15:$C$214,MATCH(TEXT($I83,"yyyy-mm-dd")&amp;"||",'CALENDARIO'!$G$15:$G$214,0)),INDEX(patronHabil,WEEKDAY($I83,2)))))</f>
        <v/>
      </c>
    </row>
    <row r="84">
      <c r="A84" s="15" t="n"/>
      <c r="B84" s="6" t="n"/>
      <c r="C84" s="6" t="n"/>
      <c r="D84" s="6" t="n"/>
      <c r="E84" s="6" t="n"/>
      <c r="F84" s="6" t="n"/>
      <c r="G84" s="3">
        <f>IF($A84="","",TEXT($A84,"yyyy-mm-dd")&amp;"|"&amp;$D84&amp;"|"&amp;$E84)</f>
        <v/>
      </c>
      <c r="I84" s="11" t="n">
        <v>46102</v>
      </c>
      <c r="J84" s="3">
        <f>IFERROR(INDEX('CALENDARIO'!$C$15:$C$214,MATCH(TEXT($I84,"yyyy-mm-dd")&amp;"|"&amp;""&amp;"|"&amp;"",'CALENDARIO'!$G$15:$G$214,0)),IFERROR(INDEX('CALENDARIO'!$C$15:$C$214,MATCH(TEXT($I84,"yyyy-mm-dd")&amp;"|"&amp;""&amp;"|",'CALENDARIO'!$G$15:$G$214,0)),IFERROR(INDEX('CALENDARIO'!$C$15:$C$214,MATCH(TEXT($I84,"yyyy-mm-dd")&amp;"||",'CALENDARIO'!$G$15:$G$214,0)),INDEX(patronHabil,WEEKDAY($I84,2)))))</f>
        <v/>
      </c>
    </row>
    <row r="85">
      <c r="A85" s="15" t="n"/>
      <c r="B85" s="6" t="n"/>
      <c r="C85" s="6" t="n"/>
      <c r="D85" s="6" t="n"/>
      <c r="E85" s="6" t="n"/>
      <c r="F85" s="6" t="n"/>
      <c r="G85" s="3">
        <f>IF($A85="","",TEXT($A85,"yyyy-mm-dd")&amp;"|"&amp;$D85&amp;"|"&amp;$E85)</f>
        <v/>
      </c>
      <c r="I85" s="11" t="n">
        <v>46103</v>
      </c>
      <c r="J85" s="3">
        <f>IFERROR(INDEX('CALENDARIO'!$C$15:$C$214,MATCH(TEXT($I85,"yyyy-mm-dd")&amp;"|"&amp;""&amp;"|"&amp;"",'CALENDARIO'!$G$15:$G$214,0)),IFERROR(INDEX('CALENDARIO'!$C$15:$C$214,MATCH(TEXT($I85,"yyyy-mm-dd")&amp;"|"&amp;""&amp;"|",'CALENDARIO'!$G$15:$G$214,0)),IFERROR(INDEX('CALENDARIO'!$C$15:$C$214,MATCH(TEXT($I85,"yyyy-mm-dd")&amp;"||",'CALENDARIO'!$G$15:$G$214,0)),INDEX(patronHabil,WEEKDAY($I85,2)))))</f>
        <v/>
      </c>
    </row>
    <row r="86">
      <c r="A86" s="15" t="n"/>
      <c r="B86" s="6" t="n"/>
      <c r="C86" s="6" t="n"/>
      <c r="D86" s="6" t="n"/>
      <c r="E86" s="6" t="n"/>
      <c r="F86" s="6" t="n"/>
      <c r="G86" s="3">
        <f>IF($A86="","",TEXT($A86,"yyyy-mm-dd")&amp;"|"&amp;$D86&amp;"|"&amp;$E86)</f>
        <v/>
      </c>
      <c r="I86" s="11" t="n">
        <v>46104</v>
      </c>
      <c r="J86" s="3">
        <f>IFERROR(INDEX('CALENDARIO'!$C$15:$C$214,MATCH(TEXT($I86,"yyyy-mm-dd")&amp;"|"&amp;""&amp;"|"&amp;"",'CALENDARIO'!$G$15:$G$214,0)),IFERROR(INDEX('CALENDARIO'!$C$15:$C$214,MATCH(TEXT($I86,"yyyy-mm-dd")&amp;"|"&amp;""&amp;"|",'CALENDARIO'!$G$15:$G$214,0)),IFERROR(INDEX('CALENDARIO'!$C$15:$C$214,MATCH(TEXT($I86,"yyyy-mm-dd")&amp;"||",'CALENDARIO'!$G$15:$G$214,0)),INDEX(patronHabil,WEEKDAY($I86,2)))))</f>
        <v/>
      </c>
    </row>
    <row r="87">
      <c r="A87" s="15" t="n"/>
      <c r="B87" s="6" t="n"/>
      <c r="C87" s="6" t="n"/>
      <c r="D87" s="6" t="n"/>
      <c r="E87" s="6" t="n"/>
      <c r="F87" s="6" t="n"/>
      <c r="G87" s="3">
        <f>IF($A87="","",TEXT($A87,"yyyy-mm-dd")&amp;"|"&amp;$D87&amp;"|"&amp;$E87)</f>
        <v/>
      </c>
      <c r="I87" s="11" t="n">
        <v>46105</v>
      </c>
      <c r="J87" s="3">
        <f>IFERROR(INDEX('CALENDARIO'!$C$15:$C$214,MATCH(TEXT($I87,"yyyy-mm-dd")&amp;"|"&amp;""&amp;"|"&amp;"",'CALENDARIO'!$G$15:$G$214,0)),IFERROR(INDEX('CALENDARIO'!$C$15:$C$214,MATCH(TEXT($I87,"yyyy-mm-dd")&amp;"|"&amp;""&amp;"|",'CALENDARIO'!$G$15:$G$214,0)),IFERROR(INDEX('CALENDARIO'!$C$15:$C$214,MATCH(TEXT($I87,"yyyy-mm-dd")&amp;"||",'CALENDARIO'!$G$15:$G$214,0)),INDEX(patronHabil,WEEKDAY($I87,2)))))</f>
        <v/>
      </c>
    </row>
    <row r="88">
      <c r="A88" s="15" t="n"/>
      <c r="B88" s="6" t="n"/>
      <c r="C88" s="6" t="n"/>
      <c r="D88" s="6" t="n"/>
      <c r="E88" s="6" t="n"/>
      <c r="F88" s="6" t="n"/>
      <c r="G88" s="3">
        <f>IF($A88="","",TEXT($A88,"yyyy-mm-dd")&amp;"|"&amp;$D88&amp;"|"&amp;$E88)</f>
        <v/>
      </c>
      <c r="I88" s="11" t="n">
        <v>46106</v>
      </c>
      <c r="J88" s="3">
        <f>IFERROR(INDEX('CALENDARIO'!$C$15:$C$214,MATCH(TEXT($I88,"yyyy-mm-dd")&amp;"|"&amp;""&amp;"|"&amp;"",'CALENDARIO'!$G$15:$G$214,0)),IFERROR(INDEX('CALENDARIO'!$C$15:$C$214,MATCH(TEXT($I88,"yyyy-mm-dd")&amp;"|"&amp;""&amp;"|",'CALENDARIO'!$G$15:$G$214,0)),IFERROR(INDEX('CALENDARIO'!$C$15:$C$214,MATCH(TEXT($I88,"yyyy-mm-dd")&amp;"||",'CALENDARIO'!$G$15:$G$214,0)),INDEX(patronHabil,WEEKDAY($I88,2)))))</f>
        <v/>
      </c>
    </row>
    <row r="89">
      <c r="A89" s="15" t="n"/>
      <c r="B89" s="6" t="n"/>
      <c r="C89" s="6" t="n"/>
      <c r="D89" s="6" t="n"/>
      <c r="E89" s="6" t="n"/>
      <c r="F89" s="6" t="n"/>
      <c r="G89" s="3">
        <f>IF($A89="","",TEXT($A89,"yyyy-mm-dd")&amp;"|"&amp;$D89&amp;"|"&amp;$E89)</f>
        <v/>
      </c>
      <c r="I89" s="11" t="n">
        <v>46107</v>
      </c>
      <c r="J89" s="3">
        <f>IFERROR(INDEX('CALENDARIO'!$C$15:$C$214,MATCH(TEXT($I89,"yyyy-mm-dd")&amp;"|"&amp;""&amp;"|"&amp;"",'CALENDARIO'!$G$15:$G$214,0)),IFERROR(INDEX('CALENDARIO'!$C$15:$C$214,MATCH(TEXT($I89,"yyyy-mm-dd")&amp;"|"&amp;""&amp;"|",'CALENDARIO'!$G$15:$G$214,0)),IFERROR(INDEX('CALENDARIO'!$C$15:$C$214,MATCH(TEXT($I89,"yyyy-mm-dd")&amp;"||",'CALENDARIO'!$G$15:$G$214,0)),INDEX(patronHabil,WEEKDAY($I89,2)))))</f>
        <v/>
      </c>
    </row>
    <row r="90">
      <c r="A90" s="15" t="n"/>
      <c r="B90" s="6" t="n"/>
      <c r="C90" s="6" t="n"/>
      <c r="D90" s="6" t="n"/>
      <c r="E90" s="6" t="n"/>
      <c r="F90" s="6" t="n"/>
      <c r="G90" s="3">
        <f>IF($A90="","",TEXT($A90,"yyyy-mm-dd")&amp;"|"&amp;$D90&amp;"|"&amp;$E90)</f>
        <v/>
      </c>
      <c r="I90" s="11" t="n">
        <v>46108</v>
      </c>
      <c r="J90" s="3">
        <f>IFERROR(INDEX('CALENDARIO'!$C$15:$C$214,MATCH(TEXT($I90,"yyyy-mm-dd")&amp;"|"&amp;""&amp;"|"&amp;"",'CALENDARIO'!$G$15:$G$214,0)),IFERROR(INDEX('CALENDARIO'!$C$15:$C$214,MATCH(TEXT($I90,"yyyy-mm-dd")&amp;"|"&amp;""&amp;"|",'CALENDARIO'!$G$15:$G$214,0)),IFERROR(INDEX('CALENDARIO'!$C$15:$C$214,MATCH(TEXT($I90,"yyyy-mm-dd")&amp;"||",'CALENDARIO'!$G$15:$G$214,0)),INDEX(patronHabil,WEEKDAY($I90,2)))))</f>
        <v/>
      </c>
    </row>
    <row r="91">
      <c r="A91" s="15" t="n"/>
      <c r="B91" s="6" t="n"/>
      <c r="C91" s="6" t="n"/>
      <c r="D91" s="6" t="n"/>
      <c r="E91" s="6" t="n"/>
      <c r="F91" s="6" t="n"/>
      <c r="G91" s="3">
        <f>IF($A91="","",TEXT($A91,"yyyy-mm-dd")&amp;"|"&amp;$D91&amp;"|"&amp;$E91)</f>
        <v/>
      </c>
      <c r="I91" s="11" t="n">
        <v>46109</v>
      </c>
      <c r="J91" s="3">
        <f>IFERROR(INDEX('CALENDARIO'!$C$15:$C$214,MATCH(TEXT($I91,"yyyy-mm-dd")&amp;"|"&amp;""&amp;"|"&amp;"",'CALENDARIO'!$G$15:$G$214,0)),IFERROR(INDEX('CALENDARIO'!$C$15:$C$214,MATCH(TEXT($I91,"yyyy-mm-dd")&amp;"|"&amp;""&amp;"|",'CALENDARIO'!$G$15:$G$214,0)),IFERROR(INDEX('CALENDARIO'!$C$15:$C$214,MATCH(TEXT($I91,"yyyy-mm-dd")&amp;"||",'CALENDARIO'!$G$15:$G$214,0)),INDEX(patronHabil,WEEKDAY($I91,2)))))</f>
        <v/>
      </c>
    </row>
    <row r="92">
      <c r="A92" s="15" t="n"/>
      <c r="B92" s="6" t="n"/>
      <c r="C92" s="6" t="n"/>
      <c r="D92" s="6" t="n"/>
      <c r="E92" s="6" t="n"/>
      <c r="F92" s="6" t="n"/>
      <c r="G92" s="3">
        <f>IF($A92="","",TEXT($A92,"yyyy-mm-dd")&amp;"|"&amp;$D92&amp;"|"&amp;$E92)</f>
        <v/>
      </c>
      <c r="I92" s="11" t="n">
        <v>46110</v>
      </c>
      <c r="J92" s="3">
        <f>IFERROR(INDEX('CALENDARIO'!$C$15:$C$214,MATCH(TEXT($I92,"yyyy-mm-dd")&amp;"|"&amp;""&amp;"|"&amp;"",'CALENDARIO'!$G$15:$G$214,0)),IFERROR(INDEX('CALENDARIO'!$C$15:$C$214,MATCH(TEXT($I92,"yyyy-mm-dd")&amp;"|"&amp;""&amp;"|",'CALENDARIO'!$G$15:$G$214,0)),IFERROR(INDEX('CALENDARIO'!$C$15:$C$214,MATCH(TEXT($I92,"yyyy-mm-dd")&amp;"||",'CALENDARIO'!$G$15:$G$214,0)),INDEX(patronHabil,WEEKDAY($I92,2)))))</f>
        <v/>
      </c>
    </row>
    <row r="93">
      <c r="A93" s="15" t="n"/>
      <c r="B93" s="6" t="n"/>
      <c r="C93" s="6" t="n"/>
      <c r="D93" s="6" t="n"/>
      <c r="E93" s="6" t="n"/>
      <c r="F93" s="6" t="n"/>
      <c r="G93" s="3">
        <f>IF($A93="","",TEXT($A93,"yyyy-mm-dd")&amp;"|"&amp;$D93&amp;"|"&amp;$E93)</f>
        <v/>
      </c>
      <c r="I93" s="11" t="n">
        <v>46111</v>
      </c>
      <c r="J93" s="3">
        <f>IFERROR(INDEX('CALENDARIO'!$C$15:$C$214,MATCH(TEXT($I93,"yyyy-mm-dd")&amp;"|"&amp;""&amp;"|"&amp;"",'CALENDARIO'!$G$15:$G$214,0)),IFERROR(INDEX('CALENDARIO'!$C$15:$C$214,MATCH(TEXT($I93,"yyyy-mm-dd")&amp;"|"&amp;""&amp;"|",'CALENDARIO'!$G$15:$G$214,0)),IFERROR(INDEX('CALENDARIO'!$C$15:$C$214,MATCH(TEXT($I93,"yyyy-mm-dd")&amp;"||",'CALENDARIO'!$G$15:$G$214,0)),INDEX(patronHabil,WEEKDAY($I93,2)))))</f>
        <v/>
      </c>
    </row>
    <row r="94">
      <c r="A94" s="15" t="n"/>
      <c r="B94" s="6" t="n"/>
      <c r="C94" s="6" t="n"/>
      <c r="D94" s="6" t="n"/>
      <c r="E94" s="6" t="n"/>
      <c r="F94" s="6" t="n"/>
      <c r="G94" s="3">
        <f>IF($A94="","",TEXT($A94,"yyyy-mm-dd")&amp;"|"&amp;$D94&amp;"|"&amp;$E94)</f>
        <v/>
      </c>
      <c r="I94" s="11" t="n">
        <v>46112</v>
      </c>
      <c r="J94" s="3">
        <f>IFERROR(INDEX('CALENDARIO'!$C$15:$C$214,MATCH(TEXT($I94,"yyyy-mm-dd")&amp;"|"&amp;""&amp;"|"&amp;"",'CALENDARIO'!$G$15:$G$214,0)),IFERROR(INDEX('CALENDARIO'!$C$15:$C$214,MATCH(TEXT($I94,"yyyy-mm-dd")&amp;"|"&amp;""&amp;"|",'CALENDARIO'!$G$15:$G$214,0)),IFERROR(INDEX('CALENDARIO'!$C$15:$C$214,MATCH(TEXT($I94,"yyyy-mm-dd")&amp;"||",'CALENDARIO'!$G$15:$G$214,0)),INDEX(patronHabil,WEEKDAY($I94,2)))))</f>
        <v/>
      </c>
    </row>
    <row r="95">
      <c r="A95" s="15" t="n"/>
      <c r="B95" s="6" t="n"/>
      <c r="C95" s="6" t="n"/>
      <c r="D95" s="6" t="n"/>
      <c r="E95" s="6" t="n"/>
      <c r="F95" s="6" t="n"/>
      <c r="G95" s="3">
        <f>IF($A95="","",TEXT($A95,"yyyy-mm-dd")&amp;"|"&amp;$D95&amp;"|"&amp;$E95)</f>
        <v/>
      </c>
      <c r="I95" s="11" t="n">
        <v>46113</v>
      </c>
      <c r="J95" s="3">
        <f>IFERROR(INDEX('CALENDARIO'!$C$15:$C$214,MATCH(TEXT($I95,"yyyy-mm-dd")&amp;"|"&amp;""&amp;"|"&amp;"",'CALENDARIO'!$G$15:$G$214,0)),IFERROR(INDEX('CALENDARIO'!$C$15:$C$214,MATCH(TEXT($I95,"yyyy-mm-dd")&amp;"|"&amp;""&amp;"|",'CALENDARIO'!$G$15:$G$214,0)),IFERROR(INDEX('CALENDARIO'!$C$15:$C$214,MATCH(TEXT($I95,"yyyy-mm-dd")&amp;"||",'CALENDARIO'!$G$15:$G$214,0)),INDEX(patronHabil,WEEKDAY($I95,2)))))</f>
        <v/>
      </c>
    </row>
    <row r="96">
      <c r="A96" s="15" t="n"/>
      <c r="B96" s="6" t="n"/>
      <c r="C96" s="6" t="n"/>
      <c r="D96" s="6" t="n"/>
      <c r="E96" s="6" t="n"/>
      <c r="F96" s="6" t="n"/>
      <c r="G96" s="3">
        <f>IF($A96="","",TEXT($A96,"yyyy-mm-dd")&amp;"|"&amp;$D96&amp;"|"&amp;$E96)</f>
        <v/>
      </c>
      <c r="I96" s="11" t="n">
        <v>46114</v>
      </c>
      <c r="J96" s="3">
        <f>IFERROR(INDEX('CALENDARIO'!$C$15:$C$214,MATCH(TEXT($I96,"yyyy-mm-dd")&amp;"|"&amp;""&amp;"|"&amp;"",'CALENDARIO'!$G$15:$G$214,0)),IFERROR(INDEX('CALENDARIO'!$C$15:$C$214,MATCH(TEXT($I96,"yyyy-mm-dd")&amp;"|"&amp;""&amp;"|",'CALENDARIO'!$G$15:$G$214,0)),IFERROR(INDEX('CALENDARIO'!$C$15:$C$214,MATCH(TEXT($I96,"yyyy-mm-dd")&amp;"||",'CALENDARIO'!$G$15:$G$214,0)),INDEX(patronHabil,WEEKDAY($I96,2)))))</f>
        <v/>
      </c>
    </row>
    <row r="97">
      <c r="A97" s="15" t="n"/>
      <c r="B97" s="6" t="n"/>
      <c r="C97" s="6" t="n"/>
      <c r="D97" s="6" t="n"/>
      <c r="E97" s="6" t="n"/>
      <c r="F97" s="6" t="n"/>
      <c r="G97" s="3">
        <f>IF($A97="","",TEXT($A97,"yyyy-mm-dd")&amp;"|"&amp;$D97&amp;"|"&amp;$E97)</f>
        <v/>
      </c>
      <c r="I97" s="11" t="n">
        <v>46115</v>
      </c>
      <c r="J97" s="3">
        <f>IFERROR(INDEX('CALENDARIO'!$C$15:$C$214,MATCH(TEXT($I97,"yyyy-mm-dd")&amp;"|"&amp;""&amp;"|"&amp;"",'CALENDARIO'!$G$15:$G$214,0)),IFERROR(INDEX('CALENDARIO'!$C$15:$C$214,MATCH(TEXT($I97,"yyyy-mm-dd")&amp;"|"&amp;""&amp;"|",'CALENDARIO'!$G$15:$G$214,0)),IFERROR(INDEX('CALENDARIO'!$C$15:$C$214,MATCH(TEXT($I97,"yyyy-mm-dd")&amp;"||",'CALENDARIO'!$G$15:$G$214,0)),INDEX(patronHabil,WEEKDAY($I97,2)))))</f>
        <v/>
      </c>
    </row>
    <row r="98">
      <c r="A98" s="15" t="n"/>
      <c r="B98" s="6" t="n"/>
      <c r="C98" s="6" t="n"/>
      <c r="D98" s="6" t="n"/>
      <c r="E98" s="6" t="n"/>
      <c r="F98" s="6" t="n"/>
      <c r="G98" s="3">
        <f>IF($A98="","",TEXT($A98,"yyyy-mm-dd")&amp;"|"&amp;$D98&amp;"|"&amp;$E98)</f>
        <v/>
      </c>
      <c r="I98" s="11" t="n">
        <v>46116</v>
      </c>
      <c r="J98" s="3">
        <f>IFERROR(INDEX('CALENDARIO'!$C$15:$C$214,MATCH(TEXT($I98,"yyyy-mm-dd")&amp;"|"&amp;""&amp;"|"&amp;"",'CALENDARIO'!$G$15:$G$214,0)),IFERROR(INDEX('CALENDARIO'!$C$15:$C$214,MATCH(TEXT($I98,"yyyy-mm-dd")&amp;"|"&amp;""&amp;"|",'CALENDARIO'!$G$15:$G$214,0)),IFERROR(INDEX('CALENDARIO'!$C$15:$C$214,MATCH(TEXT($I98,"yyyy-mm-dd")&amp;"||",'CALENDARIO'!$G$15:$G$214,0)),INDEX(patronHabil,WEEKDAY($I98,2)))))</f>
        <v/>
      </c>
    </row>
    <row r="99">
      <c r="A99" s="15" t="n"/>
      <c r="B99" s="6" t="n"/>
      <c r="C99" s="6" t="n"/>
      <c r="D99" s="6" t="n"/>
      <c r="E99" s="6" t="n"/>
      <c r="F99" s="6" t="n"/>
      <c r="G99" s="3">
        <f>IF($A99="","",TEXT($A99,"yyyy-mm-dd")&amp;"|"&amp;$D99&amp;"|"&amp;$E99)</f>
        <v/>
      </c>
      <c r="I99" s="11" t="n">
        <v>46117</v>
      </c>
      <c r="J99" s="3">
        <f>IFERROR(INDEX('CALENDARIO'!$C$15:$C$214,MATCH(TEXT($I99,"yyyy-mm-dd")&amp;"|"&amp;""&amp;"|"&amp;"",'CALENDARIO'!$G$15:$G$214,0)),IFERROR(INDEX('CALENDARIO'!$C$15:$C$214,MATCH(TEXT($I99,"yyyy-mm-dd")&amp;"|"&amp;""&amp;"|",'CALENDARIO'!$G$15:$G$214,0)),IFERROR(INDEX('CALENDARIO'!$C$15:$C$214,MATCH(TEXT($I99,"yyyy-mm-dd")&amp;"||",'CALENDARIO'!$G$15:$G$214,0)),INDEX(patronHabil,WEEKDAY($I99,2)))))</f>
        <v/>
      </c>
    </row>
    <row r="100">
      <c r="A100" s="15" t="n"/>
      <c r="B100" s="6" t="n"/>
      <c r="C100" s="6" t="n"/>
      <c r="D100" s="6" t="n"/>
      <c r="E100" s="6" t="n"/>
      <c r="F100" s="6" t="n"/>
      <c r="G100" s="3">
        <f>IF($A100="","",TEXT($A100,"yyyy-mm-dd")&amp;"|"&amp;$D100&amp;"|"&amp;$E100)</f>
        <v/>
      </c>
      <c r="I100" s="11" t="n">
        <v>46118</v>
      </c>
      <c r="J100" s="3">
        <f>IFERROR(INDEX('CALENDARIO'!$C$15:$C$214,MATCH(TEXT($I100,"yyyy-mm-dd")&amp;"|"&amp;""&amp;"|"&amp;"",'CALENDARIO'!$G$15:$G$214,0)),IFERROR(INDEX('CALENDARIO'!$C$15:$C$214,MATCH(TEXT($I100,"yyyy-mm-dd")&amp;"|"&amp;""&amp;"|",'CALENDARIO'!$G$15:$G$214,0)),IFERROR(INDEX('CALENDARIO'!$C$15:$C$214,MATCH(TEXT($I100,"yyyy-mm-dd")&amp;"||",'CALENDARIO'!$G$15:$G$214,0)),INDEX(patronHabil,WEEKDAY($I100,2)))))</f>
        <v/>
      </c>
    </row>
    <row r="101">
      <c r="A101" s="15" t="n"/>
      <c r="B101" s="6" t="n"/>
      <c r="C101" s="6" t="n"/>
      <c r="D101" s="6" t="n"/>
      <c r="E101" s="6" t="n"/>
      <c r="F101" s="6" t="n"/>
      <c r="G101" s="3">
        <f>IF($A101="","",TEXT($A101,"yyyy-mm-dd")&amp;"|"&amp;$D101&amp;"|"&amp;$E101)</f>
        <v/>
      </c>
      <c r="I101" s="11" t="n">
        <v>46119</v>
      </c>
      <c r="J101" s="3">
        <f>IFERROR(INDEX('CALENDARIO'!$C$15:$C$214,MATCH(TEXT($I101,"yyyy-mm-dd")&amp;"|"&amp;""&amp;"|"&amp;"",'CALENDARIO'!$G$15:$G$214,0)),IFERROR(INDEX('CALENDARIO'!$C$15:$C$214,MATCH(TEXT($I101,"yyyy-mm-dd")&amp;"|"&amp;""&amp;"|",'CALENDARIO'!$G$15:$G$214,0)),IFERROR(INDEX('CALENDARIO'!$C$15:$C$214,MATCH(TEXT($I101,"yyyy-mm-dd")&amp;"||",'CALENDARIO'!$G$15:$G$214,0)),INDEX(patronHabil,WEEKDAY($I101,2)))))</f>
        <v/>
      </c>
    </row>
    <row r="102">
      <c r="A102" s="15" t="n"/>
      <c r="B102" s="6" t="n"/>
      <c r="C102" s="6" t="n"/>
      <c r="D102" s="6" t="n"/>
      <c r="E102" s="6" t="n"/>
      <c r="F102" s="6" t="n"/>
      <c r="G102" s="3">
        <f>IF($A102="","",TEXT($A102,"yyyy-mm-dd")&amp;"|"&amp;$D102&amp;"|"&amp;$E102)</f>
        <v/>
      </c>
      <c r="I102" s="11" t="n">
        <v>46120</v>
      </c>
      <c r="J102" s="3">
        <f>IFERROR(INDEX('CALENDARIO'!$C$15:$C$214,MATCH(TEXT($I102,"yyyy-mm-dd")&amp;"|"&amp;""&amp;"|"&amp;"",'CALENDARIO'!$G$15:$G$214,0)),IFERROR(INDEX('CALENDARIO'!$C$15:$C$214,MATCH(TEXT($I102,"yyyy-mm-dd")&amp;"|"&amp;""&amp;"|",'CALENDARIO'!$G$15:$G$214,0)),IFERROR(INDEX('CALENDARIO'!$C$15:$C$214,MATCH(TEXT($I102,"yyyy-mm-dd")&amp;"||",'CALENDARIO'!$G$15:$G$214,0)),INDEX(patronHabil,WEEKDAY($I102,2)))))</f>
        <v/>
      </c>
    </row>
    <row r="103">
      <c r="A103" s="15" t="n"/>
      <c r="B103" s="6" t="n"/>
      <c r="C103" s="6" t="n"/>
      <c r="D103" s="6" t="n"/>
      <c r="E103" s="6" t="n"/>
      <c r="F103" s="6" t="n"/>
      <c r="G103" s="3">
        <f>IF($A103="","",TEXT($A103,"yyyy-mm-dd")&amp;"|"&amp;$D103&amp;"|"&amp;$E103)</f>
        <v/>
      </c>
      <c r="I103" s="11" t="n">
        <v>46121</v>
      </c>
      <c r="J103" s="3">
        <f>IFERROR(INDEX('CALENDARIO'!$C$15:$C$214,MATCH(TEXT($I103,"yyyy-mm-dd")&amp;"|"&amp;""&amp;"|"&amp;"",'CALENDARIO'!$G$15:$G$214,0)),IFERROR(INDEX('CALENDARIO'!$C$15:$C$214,MATCH(TEXT($I103,"yyyy-mm-dd")&amp;"|"&amp;""&amp;"|",'CALENDARIO'!$G$15:$G$214,0)),IFERROR(INDEX('CALENDARIO'!$C$15:$C$214,MATCH(TEXT($I103,"yyyy-mm-dd")&amp;"||",'CALENDARIO'!$G$15:$G$214,0)),INDEX(patronHabil,WEEKDAY($I103,2)))))</f>
        <v/>
      </c>
    </row>
    <row r="104">
      <c r="A104" s="15" t="n"/>
      <c r="B104" s="6" t="n"/>
      <c r="C104" s="6" t="n"/>
      <c r="D104" s="6" t="n"/>
      <c r="E104" s="6" t="n"/>
      <c r="F104" s="6" t="n"/>
      <c r="G104" s="3">
        <f>IF($A104="","",TEXT($A104,"yyyy-mm-dd")&amp;"|"&amp;$D104&amp;"|"&amp;$E104)</f>
        <v/>
      </c>
      <c r="I104" s="11" t="n">
        <v>46122</v>
      </c>
      <c r="J104" s="3">
        <f>IFERROR(INDEX('CALENDARIO'!$C$15:$C$214,MATCH(TEXT($I104,"yyyy-mm-dd")&amp;"|"&amp;""&amp;"|"&amp;"",'CALENDARIO'!$G$15:$G$214,0)),IFERROR(INDEX('CALENDARIO'!$C$15:$C$214,MATCH(TEXT($I104,"yyyy-mm-dd")&amp;"|"&amp;""&amp;"|",'CALENDARIO'!$G$15:$G$214,0)),IFERROR(INDEX('CALENDARIO'!$C$15:$C$214,MATCH(TEXT($I104,"yyyy-mm-dd")&amp;"||",'CALENDARIO'!$G$15:$G$214,0)),INDEX(patronHabil,WEEKDAY($I104,2)))))</f>
        <v/>
      </c>
    </row>
    <row r="105">
      <c r="A105" s="15" t="n"/>
      <c r="B105" s="6" t="n"/>
      <c r="C105" s="6" t="n"/>
      <c r="D105" s="6" t="n"/>
      <c r="E105" s="6" t="n"/>
      <c r="F105" s="6" t="n"/>
      <c r="G105" s="3">
        <f>IF($A105="","",TEXT($A105,"yyyy-mm-dd")&amp;"|"&amp;$D105&amp;"|"&amp;$E105)</f>
        <v/>
      </c>
      <c r="I105" s="11" t="n">
        <v>46123</v>
      </c>
      <c r="J105" s="3">
        <f>IFERROR(INDEX('CALENDARIO'!$C$15:$C$214,MATCH(TEXT($I105,"yyyy-mm-dd")&amp;"|"&amp;""&amp;"|"&amp;"",'CALENDARIO'!$G$15:$G$214,0)),IFERROR(INDEX('CALENDARIO'!$C$15:$C$214,MATCH(TEXT($I105,"yyyy-mm-dd")&amp;"|"&amp;""&amp;"|",'CALENDARIO'!$G$15:$G$214,0)),IFERROR(INDEX('CALENDARIO'!$C$15:$C$214,MATCH(TEXT($I105,"yyyy-mm-dd")&amp;"||",'CALENDARIO'!$G$15:$G$214,0)),INDEX(patronHabil,WEEKDAY($I105,2)))))</f>
        <v/>
      </c>
    </row>
    <row r="106">
      <c r="A106" s="15" t="n"/>
      <c r="B106" s="6" t="n"/>
      <c r="C106" s="6" t="n"/>
      <c r="D106" s="6" t="n"/>
      <c r="E106" s="6" t="n"/>
      <c r="F106" s="6" t="n"/>
      <c r="G106" s="3">
        <f>IF($A106="","",TEXT($A106,"yyyy-mm-dd")&amp;"|"&amp;$D106&amp;"|"&amp;$E106)</f>
        <v/>
      </c>
      <c r="I106" s="11" t="n">
        <v>46124</v>
      </c>
      <c r="J106" s="3">
        <f>IFERROR(INDEX('CALENDARIO'!$C$15:$C$214,MATCH(TEXT($I106,"yyyy-mm-dd")&amp;"|"&amp;""&amp;"|"&amp;"",'CALENDARIO'!$G$15:$G$214,0)),IFERROR(INDEX('CALENDARIO'!$C$15:$C$214,MATCH(TEXT($I106,"yyyy-mm-dd")&amp;"|"&amp;""&amp;"|",'CALENDARIO'!$G$15:$G$214,0)),IFERROR(INDEX('CALENDARIO'!$C$15:$C$214,MATCH(TEXT($I106,"yyyy-mm-dd")&amp;"||",'CALENDARIO'!$G$15:$G$214,0)),INDEX(patronHabil,WEEKDAY($I106,2)))))</f>
        <v/>
      </c>
    </row>
    <row r="107">
      <c r="A107" s="15" t="n"/>
      <c r="B107" s="6" t="n"/>
      <c r="C107" s="6" t="n"/>
      <c r="D107" s="6" t="n"/>
      <c r="E107" s="6" t="n"/>
      <c r="F107" s="6" t="n"/>
      <c r="G107" s="3">
        <f>IF($A107="","",TEXT($A107,"yyyy-mm-dd")&amp;"|"&amp;$D107&amp;"|"&amp;$E107)</f>
        <v/>
      </c>
      <c r="I107" s="11" t="n">
        <v>46125</v>
      </c>
      <c r="J107" s="3">
        <f>IFERROR(INDEX('CALENDARIO'!$C$15:$C$214,MATCH(TEXT($I107,"yyyy-mm-dd")&amp;"|"&amp;""&amp;"|"&amp;"",'CALENDARIO'!$G$15:$G$214,0)),IFERROR(INDEX('CALENDARIO'!$C$15:$C$214,MATCH(TEXT($I107,"yyyy-mm-dd")&amp;"|"&amp;""&amp;"|",'CALENDARIO'!$G$15:$G$214,0)),IFERROR(INDEX('CALENDARIO'!$C$15:$C$214,MATCH(TEXT($I107,"yyyy-mm-dd")&amp;"||",'CALENDARIO'!$G$15:$G$214,0)),INDEX(patronHabil,WEEKDAY($I107,2)))))</f>
        <v/>
      </c>
    </row>
    <row r="108">
      <c r="A108" s="15" t="n"/>
      <c r="B108" s="6" t="n"/>
      <c r="C108" s="6" t="n"/>
      <c r="D108" s="6" t="n"/>
      <c r="E108" s="6" t="n"/>
      <c r="F108" s="6" t="n"/>
      <c r="G108" s="3">
        <f>IF($A108="","",TEXT($A108,"yyyy-mm-dd")&amp;"|"&amp;$D108&amp;"|"&amp;$E108)</f>
        <v/>
      </c>
      <c r="I108" s="11" t="n">
        <v>46126</v>
      </c>
      <c r="J108" s="3">
        <f>IFERROR(INDEX('CALENDARIO'!$C$15:$C$214,MATCH(TEXT($I108,"yyyy-mm-dd")&amp;"|"&amp;""&amp;"|"&amp;"",'CALENDARIO'!$G$15:$G$214,0)),IFERROR(INDEX('CALENDARIO'!$C$15:$C$214,MATCH(TEXT($I108,"yyyy-mm-dd")&amp;"|"&amp;""&amp;"|",'CALENDARIO'!$G$15:$G$214,0)),IFERROR(INDEX('CALENDARIO'!$C$15:$C$214,MATCH(TEXT($I108,"yyyy-mm-dd")&amp;"||",'CALENDARIO'!$G$15:$G$214,0)),INDEX(patronHabil,WEEKDAY($I108,2)))))</f>
        <v/>
      </c>
    </row>
    <row r="109">
      <c r="A109" s="15" t="n"/>
      <c r="B109" s="6" t="n"/>
      <c r="C109" s="6" t="n"/>
      <c r="D109" s="6" t="n"/>
      <c r="E109" s="6" t="n"/>
      <c r="F109" s="6" t="n"/>
      <c r="G109" s="3">
        <f>IF($A109="","",TEXT($A109,"yyyy-mm-dd")&amp;"|"&amp;$D109&amp;"|"&amp;$E109)</f>
        <v/>
      </c>
      <c r="I109" s="11" t="n">
        <v>46127</v>
      </c>
      <c r="J109" s="3">
        <f>IFERROR(INDEX('CALENDARIO'!$C$15:$C$214,MATCH(TEXT($I109,"yyyy-mm-dd")&amp;"|"&amp;""&amp;"|"&amp;"",'CALENDARIO'!$G$15:$G$214,0)),IFERROR(INDEX('CALENDARIO'!$C$15:$C$214,MATCH(TEXT($I109,"yyyy-mm-dd")&amp;"|"&amp;""&amp;"|",'CALENDARIO'!$G$15:$G$214,0)),IFERROR(INDEX('CALENDARIO'!$C$15:$C$214,MATCH(TEXT($I109,"yyyy-mm-dd")&amp;"||",'CALENDARIO'!$G$15:$G$214,0)),INDEX(patronHabil,WEEKDAY($I109,2)))))</f>
        <v/>
      </c>
    </row>
    <row r="110">
      <c r="A110" s="15" t="n"/>
      <c r="B110" s="6" t="n"/>
      <c r="C110" s="6" t="n"/>
      <c r="D110" s="6" t="n"/>
      <c r="E110" s="6" t="n"/>
      <c r="F110" s="6" t="n"/>
      <c r="G110" s="3">
        <f>IF($A110="","",TEXT($A110,"yyyy-mm-dd")&amp;"|"&amp;$D110&amp;"|"&amp;$E110)</f>
        <v/>
      </c>
      <c r="I110" s="11" t="n">
        <v>46128</v>
      </c>
      <c r="J110" s="3">
        <f>IFERROR(INDEX('CALENDARIO'!$C$15:$C$214,MATCH(TEXT($I110,"yyyy-mm-dd")&amp;"|"&amp;""&amp;"|"&amp;"",'CALENDARIO'!$G$15:$G$214,0)),IFERROR(INDEX('CALENDARIO'!$C$15:$C$214,MATCH(TEXT($I110,"yyyy-mm-dd")&amp;"|"&amp;""&amp;"|",'CALENDARIO'!$G$15:$G$214,0)),IFERROR(INDEX('CALENDARIO'!$C$15:$C$214,MATCH(TEXT($I110,"yyyy-mm-dd")&amp;"||",'CALENDARIO'!$G$15:$G$214,0)),INDEX(patronHabil,WEEKDAY($I110,2)))))</f>
        <v/>
      </c>
    </row>
    <row r="111">
      <c r="A111" s="15" t="n"/>
      <c r="B111" s="6" t="n"/>
      <c r="C111" s="6" t="n"/>
      <c r="D111" s="6" t="n"/>
      <c r="E111" s="6" t="n"/>
      <c r="F111" s="6" t="n"/>
      <c r="G111" s="3">
        <f>IF($A111="","",TEXT($A111,"yyyy-mm-dd")&amp;"|"&amp;$D111&amp;"|"&amp;$E111)</f>
        <v/>
      </c>
      <c r="I111" s="11" t="n">
        <v>46129</v>
      </c>
      <c r="J111" s="3">
        <f>IFERROR(INDEX('CALENDARIO'!$C$15:$C$214,MATCH(TEXT($I111,"yyyy-mm-dd")&amp;"|"&amp;""&amp;"|"&amp;"",'CALENDARIO'!$G$15:$G$214,0)),IFERROR(INDEX('CALENDARIO'!$C$15:$C$214,MATCH(TEXT($I111,"yyyy-mm-dd")&amp;"|"&amp;""&amp;"|",'CALENDARIO'!$G$15:$G$214,0)),IFERROR(INDEX('CALENDARIO'!$C$15:$C$214,MATCH(TEXT($I111,"yyyy-mm-dd")&amp;"||",'CALENDARIO'!$G$15:$G$214,0)),INDEX(patronHabil,WEEKDAY($I111,2)))))</f>
        <v/>
      </c>
    </row>
    <row r="112">
      <c r="A112" s="15" t="n"/>
      <c r="B112" s="6" t="n"/>
      <c r="C112" s="6" t="n"/>
      <c r="D112" s="6" t="n"/>
      <c r="E112" s="6" t="n"/>
      <c r="F112" s="6" t="n"/>
      <c r="G112" s="3">
        <f>IF($A112="","",TEXT($A112,"yyyy-mm-dd")&amp;"|"&amp;$D112&amp;"|"&amp;$E112)</f>
        <v/>
      </c>
      <c r="I112" s="11" t="n">
        <v>46130</v>
      </c>
      <c r="J112" s="3">
        <f>IFERROR(INDEX('CALENDARIO'!$C$15:$C$214,MATCH(TEXT($I112,"yyyy-mm-dd")&amp;"|"&amp;""&amp;"|"&amp;"",'CALENDARIO'!$G$15:$G$214,0)),IFERROR(INDEX('CALENDARIO'!$C$15:$C$214,MATCH(TEXT($I112,"yyyy-mm-dd")&amp;"|"&amp;""&amp;"|",'CALENDARIO'!$G$15:$G$214,0)),IFERROR(INDEX('CALENDARIO'!$C$15:$C$214,MATCH(TEXT($I112,"yyyy-mm-dd")&amp;"||",'CALENDARIO'!$G$15:$G$214,0)),INDEX(patronHabil,WEEKDAY($I112,2)))))</f>
        <v/>
      </c>
    </row>
    <row r="113">
      <c r="A113" s="15" t="n"/>
      <c r="B113" s="6" t="n"/>
      <c r="C113" s="6" t="n"/>
      <c r="D113" s="6" t="n"/>
      <c r="E113" s="6" t="n"/>
      <c r="F113" s="6" t="n"/>
      <c r="G113" s="3">
        <f>IF($A113="","",TEXT($A113,"yyyy-mm-dd")&amp;"|"&amp;$D113&amp;"|"&amp;$E113)</f>
        <v/>
      </c>
      <c r="I113" s="11" t="n">
        <v>46131</v>
      </c>
      <c r="J113" s="3">
        <f>IFERROR(INDEX('CALENDARIO'!$C$15:$C$214,MATCH(TEXT($I113,"yyyy-mm-dd")&amp;"|"&amp;""&amp;"|"&amp;"",'CALENDARIO'!$G$15:$G$214,0)),IFERROR(INDEX('CALENDARIO'!$C$15:$C$214,MATCH(TEXT($I113,"yyyy-mm-dd")&amp;"|"&amp;""&amp;"|",'CALENDARIO'!$G$15:$G$214,0)),IFERROR(INDEX('CALENDARIO'!$C$15:$C$214,MATCH(TEXT($I113,"yyyy-mm-dd")&amp;"||",'CALENDARIO'!$G$15:$G$214,0)),INDEX(patronHabil,WEEKDAY($I113,2)))))</f>
        <v/>
      </c>
    </row>
    <row r="114">
      <c r="A114" s="15" t="n"/>
      <c r="B114" s="6" t="n"/>
      <c r="C114" s="6" t="n"/>
      <c r="D114" s="6" t="n"/>
      <c r="E114" s="6" t="n"/>
      <c r="F114" s="6" t="n"/>
      <c r="G114" s="3">
        <f>IF($A114="","",TEXT($A114,"yyyy-mm-dd")&amp;"|"&amp;$D114&amp;"|"&amp;$E114)</f>
        <v/>
      </c>
      <c r="I114" s="11" t="n">
        <v>46132</v>
      </c>
      <c r="J114" s="3">
        <f>IFERROR(INDEX('CALENDARIO'!$C$15:$C$214,MATCH(TEXT($I114,"yyyy-mm-dd")&amp;"|"&amp;""&amp;"|"&amp;"",'CALENDARIO'!$G$15:$G$214,0)),IFERROR(INDEX('CALENDARIO'!$C$15:$C$214,MATCH(TEXT($I114,"yyyy-mm-dd")&amp;"|"&amp;""&amp;"|",'CALENDARIO'!$G$15:$G$214,0)),IFERROR(INDEX('CALENDARIO'!$C$15:$C$214,MATCH(TEXT($I114,"yyyy-mm-dd")&amp;"||",'CALENDARIO'!$G$15:$G$214,0)),INDEX(patronHabil,WEEKDAY($I114,2)))))</f>
        <v/>
      </c>
    </row>
    <row r="115">
      <c r="A115" s="15" t="n"/>
      <c r="B115" s="6" t="n"/>
      <c r="C115" s="6" t="n"/>
      <c r="D115" s="6" t="n"/>
      <c r="E115" s="6" t="n"/>
      <c r="F115" s="6" t="n"/>
      <c r="G115" s="3">
        <f>IF($A115="","",TEXT($A115,"yyyy-mm-dd")&amp;"|"&amp;$D115&amp;"|"&amp;$E115)</f>
        <v/>
      </c>
      <c r="I115" s="11" t="n">
        <v>46133</v>
      </c>
      <c r="J115" s="3">
        <f>IFERROR(INDEX('CALENDARIO'!$C$15:$C$214,MATCH(TEXT($I115,"yyyy-mm-dd")&amp;"|"&amp;""&amp;"|"&amp;"",'CALENDARIO'!$G$15:$G$214,0)),IFERROR(INDEX('CALENDARIO'!$C$15:$C$214,MATCH(TEXT($I115,"yyyy-mm-dd")&amp;"|"&amp;""&amp;"|",'CALENDARIO'!$G$15:$G$214,0)),IFERROR(INDEX('CALENDARIO'!$C$15:$C$214,MATCH(TEXT($I115,"yyyy-mm-dd")&amp;"||",'CALENDARIO'!$G$15:$G$214,0)),INDEX(patronHabil,WEEKDAY($I115,2)))))</f>
        <v/>
      </c>
    </row>
    <row r="116">
      <c r="A116" s="15" t="n"/>
      <c r="B116" s="6" t="n"/>
      <c r="C116" s="6" t="n"/>
      <c r="D116" s="6" t="n"/>
      <c r="E116" s="6" t="n"/>
      <c r="F116" s="6" t="n"/>
      <c r="G116" s="3">
        <f>IF($A116="","",TEXT($A116,"yyyy-mm-dd")&amp;"|"&amp;$D116&amp;"|"&amp;$E116)</f>
        <v/>
      </c>
      <c r="I116" s="11" t="n">
        <v>46134</v>
      </c>
      <c r="J116" s="3">
        <f>IFERROR(INDEX('CALENDARIO'!$C$15:$C$214,MATCH(TEXT($I116,"yyyy-mm-dd")&amp;"|"&amp;""&amp;"|"&amp;"",'CALENDARIO'!$G$15:$G$214,0)),IFERROR(INDEX('CALENDARIO'!$C$15:$C$214,MATCH(TEXT($I116,"yyyy-mm-dd")&amp;"|"&amp;""&amp;"|",'CALENDARIO'!$G$15:$G$214,0)),IFERROR(INDEX('CALENDARIO'!$C$15:$C$214,MATCH(TEXT($I116,"yyyy-mm-dd")&amp;"||",'CALENDARIO'!$G$15:$G$214,0)),INDEX(patronHabil,WEEKDAY($I116,2)))))</f>
        <v/>
      </c>
    </row>
    <row r="117">
      <c r="A117" s="15" t="n"/>
      <c r="B117" s="6" t="n"/>
      <c r="C117" s="6" t="n"/>
      <c r="D117" s="6" t="n"/>
      <c r="E117" s="6" t="n"/>
      <c r="F117" s="6" t="n"/>
      <c r="G117" s="3">
        <f>IF($A117="","",TEXT($A117,"yyyy-mm-dd")&amp;"|"&amp;$D117&amp;"|"&amp;$E117)</f>
        <v/>
      </c>
      <c r="I117" s="11" t="n">
        <v>46135</v>
      </c>
      <c r="J117" s="3">
        <f>IFERROR(INDEX('CALENDARIO'!$C$15:$C$214,MATCH(TEXT($I117,"yyyy-mm-dd")&amp;"|"&amp;""&amp;"|"&amp;"",'CALENDARIO'!$G$15:$G$214,0)),IFERROR(INDEX('CALENDARIO'!$C$15:$C$214,MATCH(TEXT($I117,"yyyy-mm-dd")&amp;"|"&amp;""&amp;"|",'CALENDARIO'!$G$15:$G$214,0)),IFERROR(INDEX('CALENDARIO'!$C$15:$C$214,MATCH(TEXT($I117,"yyyy-mm-dd")&amp;"||",'CALENDARIO'!$G$15:$G$214,0)),INDEX(patronHabil,WEEKDAY($I117,2)))))</f>
        <v/>
      </c>
    </row>
    <row r="118">
      <c r="A118" s="15" t="n"/>
      <c r="B118" s="6" t="n"/>
      <c r="C118" s="6" t="n"/>
      <c r="D118" s="6" t="n"/>
      <c r="E118" s="6" t="n"/>
      <c r="F118" s="6" t="n"/>
      <c r="G118" s="3">
        <f>IF($A118="","",TEXT($A118,"yyyy-mm-dd")&amp;"|"&amp;$D118&amp;"|"&amp;$E118)</f>
        <v/>
      </c>
      <c r="I118" s="11" t="n">
        <v>46136</v>
      </c>
      <c r="J118" s="3">
        <f>IFERROR(INDEX('CALENDARIO'!$C$15:$C$214,MATCH(TEXT($I118,"yyyy-mm-dd")&amp;"|"&amp;""&amp;"|"&amp;"",'CALENDARIO'!$G$15:$G$214,0)),IFERROR(INDEX('CALENDARIO'!$C$15:$C$214,MATCH(TEXT($I118,"yyyy-mm-dd")&amp;"|"&amp;""&amp;"|",'CALENDARIO'!$G$15:$G$214,0)),IFERROR(INDEX('CALENDARIO'!$C$15:$C$214,MATCH(TEXT($I118,"yyyy-mm-dd")&amp;"||",'CALENDARIO'!$G$15:$G$214,0)),INDEX(patronHabil,WEEKDAY($I118,2)))))</f>
        <v/>
      </c>
    </row>
    <row r="119">
      <c r="A119" s="15" t="n"/>
      <c r="B119" s="6" t="n"/>
      <c r="C119" s="6" t="n"/>
      <c r="D119" s="6" t="n"/>
      <c r="E119" s="6" t="n"/>
      <c r="F119" s="6" t="n"/>
      <c r="G119" s="3">
        <f>IF($A119="","",TEXT($A119,"yyyy-mm-dd")&amp;"|"&amp;$D119&amp;"|"&amp;$E119)</f>
        <v/>
      </c>
      <c r="I119" s="11" t="n">
        <v>46137</v>
      </c>
      <c r="J119" s="3">
        <f>IFERROR(INDEX('CALENDARIO'!$C$15:$C$214,MATCH(TEXT($I119,"yyyy-mm-dd")&amp;"|"&amp;""&amp;"|"&amp;"",'CALENDARIO'!$G$15:$G$214,0)),IFERROR(INDEX('CALENDARIO'!$C$15:$C$214,MATCH(TEXT($I119,"yyyy-mm-dd")&amp;"|"&amp;""&amp;"|",'CALENDARIO'!$G$15:$G$214,0)),IFERROR(INDEX('CALENDARIO'!$C$15:$C$214,MATCH(TEXT($I119,"yyyy-mm-dd")&amp;"||",'CALENDARIO'!$G$15:$G$214,0)),INDEX(patronHabil,WEEKDAY($I119,2)))))</f>
        <v/>
      </c>
    </row>
    <row r="120">
      <c r="A120" s="15" t="n"/>
      <c r="B120" s="6" t="n"/>
      <c r="C120" s="6" t="n"/>
      <c r="D120" s="6" t="n"/>
      <c r="E120" s="6" t="n"/>
      <c r="F120" s="6" t="n"/>
      <c r="G120" s="3">
        <f>IF($A120="","",TEXT($A120,"yyyy-mm-dd")&amp;"|"&amp;$D120&amp;"|"&amp;$E120)</f>
        <v/>
      </c>
      <c r="I120" s="11" t="n">
        <v>46138</v>
      </c>
      <c r="J120" s="3">
        <f>IFERROR(INDEX('CALENDARIO'!$C$15:$C$214,MATCH(TEXT($I120,"yyyy-mm-dd")&amp;"|"&amp;""&amp;"|"&amp;"",'CALENDARIO'!$G$15:$G$214,0)),IFERROR(INDEX('CALENDARIO'!$C$15:$C$214,MATCH(TEXT($I120,"yyyy-mm-dd")&amp;"|"&amp;""&amp;"|",'CALENDARIO'!$G$15:$G$214,0)),IFERROR(INDEX('CALENDARIO'!$C$15:$C$214,MATCH(TEXT($I120,"yyyy-mm-dd")&amp;"||",'CALENDARIO'!$G$15:$G$214,0)),INDEX(patronHabil,WEEKDAY($I120,2)))))</f>
        <v/>
      </c>
    </row>
    <row r="121">
      <c r="A121" s="15" t="n"/>
      <c r="B121" s="6" t="n"/>
      <c r="C121" s="6" t="n"/>
      <c r="D121" s="6" t="n"/>
      <c r="E121" s="6" t="n"/>
      <c r="F121" s="6" t="n"/>
      <c r="G121" s="3">
        <f>IF($A121="","",TEXT($A121,"yyyy-mm-dd")&amp;"|"&amp;$D121&amp;"|"&amp;$E121)</f>
        <v/>
      </c>
      <c r="I121" s="11" t="n">
        <v>46139</v>
      </c>
      <c r="J121" s="3">
        <f>IFERROR(INDEX('CALENDARIO'!$C$15:$C$214,MATCH(TEXT($I121,"yyyy-mm-dd")&amp;"|"&amp;""&amp;"|"&amp;"",'CALENDARIO'!$G$15:$G$214,0)),IFERROR(INDEX('CALENDARIO'!$C$15:$C$214,MATCH(TEXT($I121,"yyyy-mm-dd")&amp;"|"&amp;""&amp;"|",'CALENDARIO'!$G$15:$G$214,0)),IFERROR(INDEX('CALENDARIO'!$C$15:$C$214,MATCH(TEXT($I121,"yyyy-mm-dd")&amp;"||",'CALENDARIO'!$G$15:$G$214,0)),INDEX(patronHabil,WEEKDAY($I121,2)))))</f>
        <v/>
      </c>
    </row>
    <row r="122">
      <c r="A122" s="15" t="n"/>
      <c r="B122" s="6" t="n"/>
      <c r="C122" s="6" t="n"/>
      <c r="D122" s="6" t="n"/>
      <c r="E122" s="6" t="n"/>
      <c r="F122" s="6" t="n"/>
      <c r="G122" s="3">
        <f>IF($A122="","",TEXT($A122,"yyyy-mm-dd")&amp;"|"&amp;$D122&amp;"|"&amp;$E122)</f>
        <v/>
      </c>
      <c r="I122" s="11" t="n">
        <v>46140</v>
      </c>
      <c r="J122" s="3">
        <f>IFERROR(INDEX('CALENDARIO'!$C$15:$C$214,MATCH(TEXT($I122,"yyyy-mm-dd")&amp;"|"&amp;""&amp;"|"&amp;"",'CALENDARIO'!$G$15:$G$214,0)),IFERROR(INDEX('CALENDARIO'!$C$15:$C$214,MATCH(TEXT($I122,"yyyy-mm-dd")&amp;"|"&amp;""&amp;"|",'CALENDARIO'!$G$15:$G$214,0)),IFERROR(INDEX('CALENDARIO'!$C$15:$C$214,MATCH(TEXT($I122,"yyyy-mm-dd")&amp;"||",'CALENDARIO'!$G$15:$G$214,0)),INDEX(patronHabil,WEEKDAY($I122,2)))))</f>
        <v/>
      </c>
    </row>
    <row r="123">
      <c r="A123" s="15" t="n"/>
      <c r="B123" s="6" t="n"/>
      <c r="C123" s="6" t="n"/>
      <c r="D123" s="6" t="n"/>
      <c r="E123" s="6" t="n"/>
      <c r="F123" s="6" t="n"/>
      <c r="G123" s="3">
        <f>IF($A123="","",TEXT($A123,"yyyy-mm-dd")&amp;"|"&amp;$D123&amp;"|"&amp;$E123)</f>
        <v/>
      </c>
      <c r="I123" s="11" t="n">
        <v>46141</v>
      </c>
      <c r="J123" s="3">
        <f>IFERROR(INDEX('CALENDARIO'!$C$15:$C$214,MATCH(TEXT($I123,"yyyy-mm-dd")&amp;"|"&amp;""&amp;"|"&amp;"",'CALENDARIO'!$G$15:$G$214,0)),IFERROR(INDEX('CALENDARIO'!$C$15:$C$214,MATCH(TEXT($I123,"yyyy-mm-dd")&amp;"|"&amp;""&amp;"|",'CALENDARIO'!$G$15:$G$214,0)),IFERROR(INDEX('CALENDARIO'!$C$15:$C$214,MATCH(TEXT($I123,"yyyy-mm-dd")&amp;"||",'CALENDARIO'!$G$15:$G$214,0)),INDEX(patronHabil,WEEKDAY($I123,2)))))</f>
        <v/>
      </c>
    </row>
    <row r="124">
      <c r="A124" s="15" t="n"/>
      <c r="B124" s="6" t="n"/>
      <c r="C124" s="6" t="n"/>
      <c r="D124" s="6" t="n"/>
      <c r="E124" s="6" t="n"/>
      <c r="F124" s="6" t="n"/>
      <c r="G124" s="3">
        <f>IF($A124="","",TEXT($A124,"yyyy-mm-dd")&amp;"|"&amp;$D124&amp;"|"&amp;$E124)</f>
        <v/>
      </c>
      <c r="I124" s="11" t="n">
        <v>46142</v>
      </c>
      <c r="J124" s="3">
        <f>IFERROR(INDEX('CALENDARIO'!$C$15:$C$214,MATCH(TEXT($I124,"yyyy-mm-dd")&amp;"|"&amp;""&amp;"|"&amp;"",'CALENDARIO'!$G$15:$G$214,0)),IFERROR(INDEX('CALENDARIO'!$C$15:$C$214,MATCH(TEXT($I124,"yyyy-mm-dd")&amp;"|"&amp;""&amp;"|",'CALENDARIO'!$G$15:$G$214,0)),IFERROR(INDEX('CALENDARIO'!$C$15:$C$214,MATCH(TEXT($I124,"yyyy-mm-dd")&amp;"||",'CALENDARIO'!$G$15:$G$214,0)),INDEX(patronHabil,WEEKDAY($I124,2)))))</f>
        <v/>
      </c>
    </row>
    <row r="125">
      <c r="A125" s="15" t="n"/>
      <c r="B125" s="6" t="n"/>
      <c r="C125" s="6" t="n"/>
      <c r="D125" s="6" t="n"/>
      <c r="E125" s="6" t="n"/>
      <c r="F125" s="6" t="n"/>
      <c r="G125" s="3">
        <f>IF($A125="","",TEXT($A125,"yyyy-mm-dd")&amp;"|"&amp;$D125&amp;"|"&amp;$E125)</f>
        <v/>
      </c>
      <c r="I125" s="11" t="n">
        <v>46143</v>
      </c>
      <c r="J125" s="3">
        <f>IFERROR(INDEX('CALENDARIO'!$C$15:$C$214,MATCH(TEXT($I125,"yyyy-mm-dd")&amp;"|"&amp;""&amp;"|"&amp;"",'CALENDARIO'!$G$15:$G$214,0)),IFERROR(INDEX('CALENDARIO'!$C$15:$C$214,MATCH(TEXT($I125,"yyyy-mm-dd")&amp;"|"&amp;""&amp;"|",'CALENDARIO'!$G$15:$G$214,0)),IFERROR(INDEX('CALENDARIO'!$C$15:$C$214,MATCH(TEXT($I125,"yyyy-mm-dd")&amp;"||",'CALENDARIO'!$G$15:$G$214,0)),INDEX(patronHabil,WEEKDAY($I125,2)))))</f>
        <v/>
      </c>
    </row>
    <row r="126">
      <c r="A126" s="15" t="n"/>
      <c r="B126" s="6" t="n"/>
      <c r="C126" s="6" t="n"/>
      <c r="D126" s="6" t="n"/>
      <c r="E126" s="6" t="n"/>
      <c r="F126" s="6" t="n"/>
      <c r="G126" s="3">
        <f>IF($A126="","",TEXT($A126,"yyyy-mm-dd")&amp;"|"&amp;$D126&amp;"|"&amp;$E126)</f>
        <v/>
      </c>
      <c r="I126" s="11" t="n">
        <v>46144</v>
      </c>
      <c r="J126" s="3">
        <f>IFERROR(INDEX('CALENDARIO'!$C$15:$C$214,MATCH(TEXT($I126,"yyyy-mm-dd")&amp;"|"&amp;""&amp;"|"&amp;"",'CALENDARIO'!$G$15:$G$214,0)),IFERROR(INDEX('CALENDARIO'!$C$15:$C$214,MATCH(TEXT($I126,"yyyy-mm-dd")&amp;"|"&amp;""&amp;"|",'CALENDARIO'!$G$15:$G$214,0)),IFERROR(INDEX('CALENDARIO'!$C$15:$C$214,MATCH(TEXT($I126,"yyyy-mm-dd")&amp;"||",'CALENDARIO'!$G$15:$G$214,0)),INDEX(patronHabil,WEEKDAY($I126,2)))))</f>
        <v/>
      </c>
    </row>
    <row r="127">
      <c r="A127" s="15" t="n"/>
      <c r="B127" s="6" t="n"/>
      <c r="C127" s="6" t="n"/>
      <c r="D127" s="6" t="n"/>
      <c r="E127" s="6" t="n"/>
      <c r="F127" s="6" t="n"/>
      <c r="G127" s="3">
        <f>IF($A127="","",TEXT($A127,"yyyy-mm-dd")&amp;"|"&amp;$D127&amp;"|"&amp;$E127)</f>
        <v/>
      </c>
      <c r="I127" s="11" t="n">
        <v>46145</v>
      </c>
      <c r="J127" s="3">
        <f>IFERROR(INDEX('CALENDARIO'!$C$15:$C$214,MATCH(TEXT($I127,"yyyy-mm-dd")&amp;"|"&amp;""&amp;"|"&amp;"",'CALENDARIO'!$G$15:$G$214,0)),IFERROR(INDEX('CALENDARIO'!$C$15:$C$214,MATCH(TEXT($I127,"yyyy-mm-dd")&amp;"|"&amp;""&amp;"|",'CALENDARIO'!$G$15:$G$214,0)),IFERROR(INDEX('CALENDARIO'!$C$15:$C$214,MATCH(TEXT($I127,"yyyy-mm-dd")&amp;"||",'CALENDARIO'!$G$15:$G$214,0)),INDEX(patronHabil,WEEKDAY($I127,2)))))</f>
        <v/>
      </c>
    </row>
    <row r="128">
      <c r="A128" s="15" t="n"/>
      <c r="B128" s="6" t="n"/>
      <c r="C128" s="6" t="n"/>
      <c r="D128" s="6" t="n"/>
      <c r="E128" s="6" t="n"/>
      <c r="F128" s="6" t="n"/>
      <c r="G128" s="3">
        <f>IF($A128="","",TEXT($A128,"yyyy-mm-dd")&amp;"|"&amp;$D128&amp;"|"&amp;$E128)</f>
        <v/>
      </c>
      <c r="I128" s="11" t="n">
        <v>46146</v>
      </c>
      <c r="J128" s="3">
        <f>IFERROR(INDEX('CALENDARIO'!$C$15:$C$214,MATCH(TEXT($I128,"yyyy-mm-dd")&amp;"|"&amp;""&amp;"|"&amp;"",'CALENDARIO'!$G$15:$G$214,0)),IFERROR(INDEX('CALENDARIO'!$C$15:$C$214,MATCH(TEXT($I128,"yyyy-mm-dd")&amp;"|"&amp;""&amp;"|",'CALENDARIO'!$G$15:$G$214,0)),IFERROR(INDEX('CALENDARIO'!$C$15:$C$214,MATCH(TEXT($I128,"yyyy-mm-dd")&amp;"||",'CALENDARIO'!$G$15:$G$214,0)),INDEX(patronHabil,WEEKDAY($I128,2)))))</f>
        <v/>
      </c>
    </row>
    <row r="129">
      <c r="A129" s="15" t="n"/>
      <c r="B129" s="6" t="n"/>
      <c r="C129" s="6" t="n"/>
      <c r="D129" s="6" t="n"/>
      <c r="E129" s="6" t="n"/>
      <c r="F129" s="6" t="n"/>
      <c r="G129" s="3">
        <f>IF($A129="","",TEXT($A129,"yyyy-mm-dd")&amp;"|"&amp;$D129&amp;"|"&amp;$E129)</f>
        <v/>
      </c>
      <c r="I129" s="11" t="n">
        <v>46147</v>
      </c>
      <c r="J129" s="3">
        <f>IFERROR(INDEX('CALENDARIO'!$C$15:$C$214,MATCH(TEXT($I129,"yyyy-mm-dd")&amp;"|"&amp;""&amp;"|"&amp;"",'CALENDARIO'!$G$15:$G$214,0)),IFERROR(INDEX('CALENDARIO'!$C$15:$C$214,MATCH(TEXT($I129,"yyyy-mm-dd")&amp;"|"&amp;""&amp;"|",'CALENDARIO'!$G$15:$G$214,0)),IFERROR(INDEX('CALENDARIO'!$C$15:$C$214,MATCH(TEXT($I129,"yyyy-mm-dd")&amp;"||",'CALENDARIO'!$G$15:$G$214,0)),INDEX(patronHabil,WEEKDAY($I129,2)))))</f>
        <v/>
      </c>
    </row>
    <row r="130">
      <c r="A130" s="15" t="n"/>
      <c r="B130" s="6" t="n"/>
      <c r="C130" s="6" t="n"/>
      <c r="D130" s="6" t="n"/>
      <c r="E130" s="6" t="n"/>
      <c r="F130" s="6" t="n"/>
      <c r="G130" s="3">
        <f>IF($A130="","",TEXT($A130,"yyyy-mm-dd")&amp;"|"&amp;$D130&amp;"|"&amp;$E130)</f>
        <v/>
      </c>
      <c r="I130" s="11" t="n">
        <v>46148</v>
      </c>
      <c r="J130" s="3">
        <f>IFERROR(INDEX('CALENDARIO'!$C$15:$C$214,MATCH(TEXT($I130,"yyyy-mm-dd")&amp;"|"&amp;""&amp;"|"&amp;"",'CALENDARIO'!$G$15:$G$214,0)),IFERROR(INDEX('CALENDARIO'!$C$15:$C$214,MATCH(TEXT($I130,"yyyy-mm-dd")&amp;"|"&amp;""&amp;"|",'CALENDARIO'!$G$15:$G$214,0)),IFERROR(INDEX('CALENDARIO'!$C$15:$C$214,MATCH(TEXT($I130,"yyyy-mm-dd")&amp;"||",'CALENDARIO'!$G$15:$G$214,0)),INDEX(patronHabil,WEEKDAY($I130,2)))))</f>
        <v/>
      </c>
    </row>
    <row r="131">
      <c r="A131" s="15" t="n"/>
      <c r="B131" s="6" t="n"/>
      <c r="C131" s="6" t="n"/>
      <c r="D131" s="6" t="n"/>
      <c r="E131" s="6" t="n"/>
      <c r="F131" s="6" t="n"/>
      <c r="G131" s="3">
        <f>IF($A131="","",TEXT($A131,"yyyy-mm-dd")&amp;"|"&amp;$D131&amp;"|"&amp;$E131)</f>
        <v/>
      </c>
      <c r="I131" s="11" t="n">
        <v>46149</v>
      </c>
      <c r="J131" s="3">
        <f>IFERROR(INDEX('CALENDARIO'!$C$15:$C$214,MATCH(TEXT($I131,"yyyy-mm-dd")&amp;"|"&amp;""&amp;"|"&amp;"",'CALENDARIO'!$G$15:$G$214,0)),IFERROR(INDEX('CALENDARIO'!$C$15:$C$214,MATCH(TEXT($I131,"yyyy-mm-dd")&amp;"|"&amp;""&amp;"|",'CALENDARIO'!$G$15:$G$214,0)),IFERROR(INDEX('CALENDARIO'!$C$15:$C$214,MATCH(TEXT($I131,"yyyy-mm-dd")&amp;"||",'CALENDARIO'!$G$15:$G$214,0)),INDEX(patronHabil,WEEKDAY($I131,2)))))</f>
        <v/>
      </c>
    </row>
    <row r="132">
      <c r="A132" s="15" t="n"/>
      <c r="B132" s="6" t="n"/>
      <c r="C132" s="6" t="n"/>
      <c r="D132" s="6" t="n"/>
      <c r="E132" s="6" t="n"/>
      <c r="F132" s="6" t="n"/>
      <c r="G132" s="3">
        <f>IF($A132="","",TEXT($A132,"yyyy-mm-dd")&amp;"|"&amp;$D132&amp;"|"&amp;$E132)</f>
        <v/>
      </c>
      <c r="I132" s="11" t="n">
        <v>46150</v>
      </c>
      <c r="J132" s="3">
        <f>IFERROR(INDEX('CALENDARIO'!$C$15:$C$214,MATCH(TEXT($I132,"yyyy-mm-dd")&amp;"|"&amp;""&amp;"|"&amp;"",'CALENDARIO'!$G$15:$G$214,0)),IFERROR(INDEX('CALENDARIO'!$C$15:$C$214,MATCH(TEXT($I132,"yyyy-mm-dd")&amp;"|"&amp;""&amp;"|",'CALENDARIO'!$G$15:$G$214,0)),IFERROR(INDEX('CALENDARIO'!$C$15:$C$214,MATCH(TEXT($I132,"yyyy-mm-dd")&amp;"||",'CALENDARIO'!$G$15:$G$214,0)),INDEX(patronHabil,WEEKDAY($I132,2)))))</f>
        <v/>
      </c>
    </row>
    <row r="133">
      <c r="A133" s="15" t="n"/>
      <c r="B133" s="6" t="n"/>
      <c r="C133" s="6" t="n"/>
      <c r="D133" s="6" t="n"/>
      <c r="E133" s="6" t="n"/>
      <c r="F133" s="6" t="n"/>
      <c r="G133" s="3">
        <f>IF($A133="","",TEXT($A133,"yyyy-mm-dd")&amp;"|"&amp;$D133&amp;"|"&amp;$E133)</f>
        <v/>
      </c>
      <c r="I133" s="11" t="n">
        <v>46151</v>
      </c>
      <c r="J133" s="3">
        <f>IFERROR(INDEX('CALENDARIO'!$C$15:$C$214,MATCH(TEXT($I133,"yyyy-mm-dd")&amp;"|"&amp;""&amp;"|"&amp;"",'CALENDARIO'!$G$15:$G$214,0)),IFERROR(INDEX('CALENDARIO'!$C$15:$C$214,MATCH(TEXT($I133,"yyyy-mm-dd")&amp;"|"&amp;""&amp;"|",'CALENDARIO'!$G$15:$G$214,0)),IFERROR(INDEX('CALENDARIO'!$C$15:$C$214,MATCH(TEXT($I133,"yyyy-mm-dd")&amp;"||",'CALENDARIO'!$G$15:$G$214,0)),INDEX(patronHabil,WEEKDAY($I133,2)))))</f>
        <v/>
      </c>
    </row>
    <row r="134">
      <c r="A134" s="15" t="n"/>
      <c r="B134" s="6" t="n"/>
      <c r="C134" s="6" t="n"/>
      <c r="D134" s="6" t="n"/>
      <c r="E134" s="6" t="n"/>
      <c r="F134" s="6" t="n"/>
      <c r="G134" s="3">
        <f>IF($A134="","",TEXT($A134,"yyyy-mm-dd")&amp;"|"&amp;$D134&amp;"|"&amp;$E134)</f>
        <v/>
      </c>
      <c r="I134" s="11" t="n">
        <v>46152</v>
      </c>
      <c r="J134" s="3">
        <f>IFERROR(INDEX('CALENDARIO'!$C$15:$C$214,MATCH(TEXT($I134,"yyyy-mm-dd")&amp;"|"&amp;""&amp;"|"&amp;"",'CALENDARIO'!$G$15:$G$214,0)),IFERROR(INDEX('CALENDARIO'!$C$15:$C$214,MATCH(TEXT($I134,"yyyy-mm-dd")&amp;"|"&amp;""&amp;"|",'CALENDARIO'!$G$15:$G$214,0)),IFERROR(INDEX('CALENDARIO'!$C$15:$C$214,MATCH(TEXT($I134,"yyyy-mm-dd")&amp;"||",'CALENDARIO'!$G$15:$G$214,0)),INDEX(patronHabil,WEEKDAY($I134,2)))))</f>
        <v/>
      </c>
    </row>
    <row r="135">
      <c r="A135" s="15" t="n"/>
      <c r="B135" s="6" t="n"/>
      <c r="C135" s="6" t="n"/>
      <c r="D135" s="6" t="n"/>
      <c r="E135" s="6" t="n"/>
      <c r="F135" s="6" t="n"/>
      <c r="G135" s="3">
        <f>IF($A135="","",TEXT($A135,"yyyy-mm-dd")&amp;"|"&amp;$D135&amp;"|"&amp;$E135)</f>
        <v/>
      </c>
      <c r="I135" s="11" t="n">
        <v>46153</v>
      </c>
      <c r="J135" s="3">
        <f>IFERROR(INDEX('CALENDARIO'!$C$15:$C$214,MATCH(TEXT($I135,"yyyy-mm-dd")&amp;"|"&amp;""&amp;"|"&amp;"",'CALENDARIO'!$G$15:$G$214,0)),IFERROR(INDEX('CALENDARIO'!$C$15:$C$214,MATCH(TEXT($I135,"yyyy-mm-dd")&amp;"|"&amp;""&amp;"|",'CALENDARIO'!$G$15:$G$214,0)),IFERROR(INDEX('CALENDARIO'!$C$15:$C$214,MATCH(TEXT($I135,"yyyy-mm-dd")&amp;"||",'CALENDARIO'!$G$15:$G$214,0)),INDEX(patronHabil,WEEKDAY($I135,2)))))</f>
        <v/>
      </c>
    </row>
    <row r="136">
      <c r="A136" s="15" t="n"/>
      <c r="B136" s="6" t="n"/>
      <c r="C136" s="6" t="n"/>
      <c r="D136" s="6" t="n"/>
      <c r="E136" s="6" t="n"/>
      <c r="F136" s="6" t="n"/>
      <c r="G136" s="3">
        <f>IF($A136="","",TEXT($A136,"yyyy-mm-dd")&amp;"|"&amp;$D136&amp;"|"&amp;$E136)</f>
        <v/>
      </c>
      <c r="I136" s="11" t="n">
        <v>46154</v>
      </c>
      <c r="J136" s="3">
        <f>IFERROR(INDEX('CALENDARIO'!$C$15:$C$214,MATCH(TEXT($I136,"yyyy-mm-dd")&amp;"|"&amp;""&amp;"|"&amp;"",'CALENDARIO'!$G$15:$G$214,0)),IFERROR(INDEX('CALENDARIO'!$C$15:$C$214,MATCH(TEXT($I136,"yyyy-mm-dd")&amp;"|"&amp;""&amp;"|",'CALENDARIO'!$G$15:$G$214,0)),IFERROR(INDEX('CALENDARIO'!$C$15:$C$214,MATCH(TEXT($I136,"yyyy-mm-dd")&amp;"||",'CALENDARIO'!$G$15:$G$214,0)),INDEX(patronHabil,WEEKDAY($I136,2)))))</f>
        <v/>
      </c>
    </row>
    <row r="137">
      <c r="A137" s="15" t="n"/>
      <c r="B137" s="6" t="n"/>
      <c r="C137" s="6" t="n"/>
      <c r="D137" s="6" t="n"/>
      <c r="E137" s="6" t="n"/>
      <c r="F137" s="6" t="n"/>
      <c r="G137" s="3">
        <f>IF($A137="","",TEXT($A137,"yyyy-mm-dd")&amp;"|"&amp;$D137&amp;"|"&amp;$E137)</f>
        <v/>
      </c>
      <c r="I137" s="11" t="n">
        <v>46155</v>
      </c>
      <c r="J137" s="3">
        <f>IFERROR(INDEX('CALENDARIO'!$C$15:$C$214,MATCH(TEXT($I137,"yyyy-mm-dd")&amp;"|"&amp;""&amp;"|"&amp;"",'CALENDARIO'!$G$15:$G$214,0)),IFERROR(INDEX('CALENDARIO'!$C$15:$C$214,MATCH(TEXT($I137,"yyyy-mm-dd")&amp;"|"&amp;""&amp;"|",'CALENDARIO'!$G$15:$G$214,0)),IFERROR(INDEX('CALENDARIO'!$C$15:$C$214,MATCH(TEXT($I137,"yyyy-mm-dd")&amp;"||",'CALENDARIO'!$G$15:$G$214,0)),INDEX(patronHabil,WEEKDAY($I137,2)))))</f>
        <v/>
      </c>
    </row>
    <row r="138">
      <c r="A138" s="15" t="n"/>
      <c r="B138" s="6" t="n"/>
      <c r="C138" s="6" t="n"/>
      <c r="D138" s="6" t="n"/>
      <c r="E138" s="6" t="n"/>
      <c r="F138" s="6" t="n"/>
      <c r="G138" s="3">
        <f>IF($A138="","",TEXT($A138,"yyyy-mm-dd")&amp;"|"&amp;$D138&amp;"|"&amp;$E138)</f>
        <v/>
      </c>
      <c r="I138" s="11" t="n">
        <v>46156</v>
      </c>
      <c r="J138" s="3">
        <f>IFERROR(INDEX('CALENDARIO'!$C$15:$C$214,MATCH(TEXT($I138,"yyyy-mm-dd")&amp;"|"&amp;""&amp;"|"&amp;"",'CALENDARIO'!$G$15:$G$214,0)),IFERROR(INDEX('CALENDARIO'!$C$15:$C$214,MATCH(TEXT($I138,"yyyy-mm-dd")&amp;"|"&amp;""&amp;"|",'CALENDARIO'!$G$15:$G$214,0)),IFERROR(INDEX('CALENDARIO'!$C$15:$C$214,MATCH(TEXT($I138,"yyyy-mm-dd")&amp;"||",'CALENDARIO'!$G$15:$G$214,0)),INDEX(patronHabil,WEEKDAY($I138,2)))))</f>
        <v/>
      </c>
    </row>
    <row r="139">
      <c r="A139" s="15" t="n"/>
      <c r="B139" s="6" t="n"/>
      <c r="C139" s="6" t="n"/>
      <c r="D139" s="6" t="n"/>
      <c r="E139" s="6" t="n"/>
      <c r="F139" s="6" t="n"/>
      <c r="G139" s="3">
        <f>IF($A139="","",TEXT($A139,"yyyy-mm-dd")&amp;"|"&amp;$D139&amp;"|"&amp;$E139)</f>
        <v/>
      </c>
      <c r="I139" s="11" t="n">
        <v>46157</v>
      </c>
      <c r="J139" s="3">
        <f>IFERROR(INDEX('CALENDARIO'!$C$15:$C$214,MATCH(TEXT($I139,"yyyy-mm-dd")&amp;"|"&amp;""&amp;"|"&amp;"",'CALENDARIO'!$G$15:$G$214,0)),IFERROR(INDEX('CALENDARIO'!$C$15:$C$214,MATCH(TEXT($I139,"yyyy-mm-dd")&amp;"|"&amp;""&amp;"|",'CALENDARIO'!$G$15:$G$214,0)),IFERROR(INDEX('CALENDARIO'!$C$15:$C$214,MATCH(TEXT($I139,"yyyy-mm-dd")&amp;"||",'CALENDARIO'!$G$15:$G$214,0)),INDEX(patronHabil,WEEKDAY($I139,2)))))</f>
        <v/>
      </c>
    </row>
    <row r="140">
      <c r="A140" s="15" t="n"/>
      <c r="B140" s="6" t="n"/>
      <c r="C140" s="6" t="n"/>
      <c r="D140" s="6" t="n"/>
      <c r="E140" s="6" t="n"/>
      <c r="F140" s="6" t="n"/>
      <c r="G140" s="3">
        <f>IF($A140="","",TEXT($A140,"yyyy-mm-dd")&amp;"|"&amp;$D140&amp;"|"&amp;$E140)</f>
        <v/>
      </c>
      <c r="I140" s="11" t="n">
        <v>46158</v>
      </c>
      <c r="J140" s="3">
        <f>IFERROR(INDEX('CALENDARIO'!$C$15:$C$214,MATCH(TEXT($I140,"yyyy-mm-dd")&amp;"|"&amp;""&amp;"|"&amp;"",'CALENDARIO'!$G$15:$G$214,0)),IFERROR(INDEX('CALENDARIO'!$C$15:$C$214,MATCH(TEXT($I140,"yyyy-mm-dd")&amp;"|"&amp;""&amp;"|",'CALENDARIO'!$G$15:$G$214,0)),IFERROR(INDEX('CALENDARIO'!$C$15:$C$214,MATCH(TEXT($I140,"yyyy-mm-dd")&amp;"||",'CALENDARIO'!$G$15:$G$214,0)),INDEX(patronHabil,WEEKDAY($I140,2)))))</f>
        <v/>
      </c>
    </row>
    <row r="141">
      <c r="A141" s="15" t="n"/>
      <c r="B141" s="6" t="n"/>
      <c r="C141" s="6" t="n"/>
      <c r="D141" s="6" t="n"/>
      <c r="E141" s="6" t="n"/>
      <c r="F141" s="6" t="n"/>
      <c r="G141" s="3">
        <f>IF($A141="","",TEXT($A141,"yyyy-mm-dd")&amp;"|"&amp;$D141&amp;"|"&amp;$E141)</f>
        <v/>
      </c>
      <c r="I141" s="11" t="n">
        <v>46159</v>
      </c>
      <c r="J141" s="3">
        <f>IFERROR(INDEX('CALENDARIO'!$C$15:$C$214,MATCH(TEXT($I141,"yyyy-mm-dd")&amp;"|"&amp;""&amp;"|"&amp;"",'CALENDARIO'!$G$15:$G$214,0)),IFERROR(INDEX('CALENDARIO'!$C$15:$C$214,MATCH(TEXT($I141,"yyyy-mm-dd")&amp;"|"&amp;""&amp;"|",'CALENDARIO'!$G$15:$G$214,0)),IFERROR(INDEX('CALENDARIO'!$C$15:$C$214,MATCH(TEXT($I141,"yyyy-mm-dd")&amp;"||",'CALENDARIO'!$G$15:$G$214,0)),INDEX(patronHabil,WEEKDAY($I141,2)))))</f>
        <v/>
      </c>
    </row>
    <row r="142">
      <c r="A142" s="15" t="n"/>
      <c r="B142" s="6" t="n"/>
      <c r="C142" s="6" t="n"/>
      <c r="D142" s="6" t="n"/>
      <c r="E142" s="6" t="n"/>
      <c r="F142" s="6" t="n"/>
      <c r="G142" s="3">
        <f>IF($A142="","",TEXT($A142,"yyyy-mm-dd")&amp;"|"&amp;$D142&amp;"|"&amp;$E142)</f>
        <v/>
      </c>
      <c r="I142" s="11" t="n">
        <v>46160</v>
      </c>
      <c r="J142" s="3">
        <f>IFERROR(INDEX('CALENDARIO'!$C$15:$C$214,MATCH(TEXT($I142,"yyyy-mm-dd")&amp;"|"&amp;""&amp;"|"&amp;"",'CALENDARIO'!$G$15:$G$214,0)),IFERROR(INDEX('CALENDARIO'!$C$15:$C$214,MATCH(TEXT($I142,"yyyy-mm-dd")&amp;"|"&amp;""&amp;"|",'CALENDARIO'!$G$15:$G$214,0)),IFERROR(INDEX('CALENDARIO'!$C$15:$C$214,MATCH(TEXT($I142,"yyyy-mm-dd")&amp;"||",'CALENDARIO'!$G$15:$G$214,0)),INDEX(patronHabil,WEEKDAY($I142,2)))))</f>
        <v/>
      </c>
    </row>
    <row r="143">
      <c r="A143" s="15" t="n"/>
      <c r="B143" s="6" t="n"/>
      <c r="C143" s="6" t="n"/>
      <c r="D143" s="6" t="n"/>
      <c r="E143" s="6" t="n"/>
      <c r="F143" s="6" t="n"/>
      <c r="G143" s="3">
        <f>IF($A143="","",TEXT($A143,"yyyy-mm-dd")&amp;"|"&amp;$D143&amp;"|"&amp;$E143)</f>
        <v/>
      </c>
      <c r="I143" s="11" t="n">
        <v>46161</v>
      </c>
      <c r="J143" s="3">
        <f>IFERROR(INDEX('CALENDARIO'!$C$15:$C$214,MATCH(TEXT($I143,"yyyy-mm-dd")&amp;"|"&amp;""&amp;"|"&amp;"",'CALENDARIO'!$G$15:$G$214,0)),IFERROR(INDEX('CALENDARIO'!$C$15:$C$214,MATCH(TEXT($I143,"yyyy-mm-dd")&amp;"|"&amp;""&amp;"|",'CALENDARIO'!$G$15:$G$214,0)),IFERROR(INDEX('CALENDARIO'!$C$15:$C$214,MATCH(TEXT($I143,"yyyy-mm-dd")&amp;"||",'CALENDARIO'!$G$15:$G$214,0)),INDEX(patronHabil,WEEKDAY($I143,2)))))</f>
        <v/>
      </c>
    </row>
    <row r="144">
      <c r="A144" s="15" t="n"/>
      <c r="B144" s="6" t="n"/>
      <c r="C144" s="6" t="n"/>
      <c r="D144" s="6" t="n"/>
      <c r="E144" s="6" t="n"/>
      <c r="F144" s="6" t="n"/>
      <c r="G144" s="3">
        <f>IF($A144="","",TEXT($A144,"yyyy-mm-dd")&amp;"|"&amp;$D144&amp;"|"&amp;$E144)</f>
        <v/>
      </c>
      <c r="I144" s="11" t="n">
        <v>46162</v>
      </c>
      <c r="J144" s="3">
        <f>IFERROR(INDEX('CALENDARIO'!$C$15:$C$214,MATCH(TEXT($I144,"yyyy-mm-dd")&amp;"|"&amp;""&amp;"|"&amp;"",'CALENDARIO'!$G$15:$G$214,0)),IFERROR(INDEX('CALENDARIO'!$C$15:$C$214,MATCH(TEXT($I144,"yyyy-mm-dd")&amp;"|"&amp;""&amp;"|",'CALENDARIO'!$G$15:$G$214,0)),IFERROR(INDEX('CALENDARIO'!$C$15:$C$214,MATCH(TEXT($I144,"yyyy-mm-dd")&amp;"||",'CALENDARIO'!$G$15:$G$214,0)),INDEX(patronHabil,WEEKDAY($I144,2)))))</f>
        <v/>
      </c>
    </row>
    <row r="145">
      <c r="A145" s="15" t="n"/>
      <c r="B145" s="6" t="n"/>
      <c r="C145" s="6" t="n"/>
      <c r="D145" s="6" t="n"/>
      <c r="E145" s="6" t="n"/>
      <c r="F145" s="6" t="n"/>
      <c r="G145" s="3">
        <f>IF($A145="","",TEXT($A145,"yyyy-mm-dd")&amp;"|"&amp;$D145&amp;"|"&amp;$E145)</f>
        <v/>
      </c>
      <c r="I145" s="11" t="n">
        <v>46163</v>
      </c>
      <c r="J145" s="3">
        <f>IFERROR(INDEX('CALENDARIO'!$C$15:$C$214,MATCH(TEXT($I145,"yyyy-mm-dd")&amp;"|"&amp;""&amp;"|"&amp;"",'CALENDARIO'!$G$15:$G$214,0)),IFERROR(INDEX('CALENDARIO'!$C$15:$C$214,MATCH(TEXT($I145,"yyyy-mm-dd")&amp;"|"&amp;""&amp;"|",'CALENDARIO'!$G$15:$G$214,0)),IFERROR(INDEX('CALENDARIO'!$C$15:$C$214,MATCH(TEXT($I145,"yyyy-mm-dd")&amp;"||",'CALENDARIO'!$G$15:$G$214,0)),INDEX(patronHabil,WEEKDAY($I145,2)))))</f>
        <v/>
      </c>
    </row>
    <row r="146">
      <c r="A146" s="15" t="n"/>
      <c r="B146" s="6" t="n"/>
      <c r="C146" s="6" t="n"/>
      <c r="D146" s="6" t="n"/>
      <c r="E146" s="6" t="n"/>
      <c r="F146" s="6" t="n"/>
      <c r="G146" s="3">
        <f>IF($A146="","",TEXT($A146,"yyyy-mm-dd")&amp;"|"&amp;$D146&amp;"|"&amp;$E146)</f>
        <v/>
      </c>
      <c r="I146" s="11" t="n">
        <v>46164</v>
      </c>
      <c r="J146" s="3">
        <f>IFERROR(INDEX('CALENDARIO'!$C$15:$C$214,MATCH(TEXT($I146,"yyyy-mm-dd")&amp;"|"&amp;""&amp;"|"&amp;"",'CALENDARIO'!$G$15:$G$214,0)),IFERROR(INDEX('CALENDARIO'!$C$15:$C$214,MATCH(TEXT($I146,"yyyy-mm-dd")&amp;"|"&amp;""&amp;"|",'CALENDARIO'!$G$15:$G$214,0)),IFERROR(INDEX('CALENDARIO'!$C$15:$C$214,MATCH(TEXT($I146,"yyyy-mm-dd")&amp;"||",'CALENDARIO'!$G$15:$G$214,0)),INDEX(patronHabil,WEEKDAY($I146,2)))))</f>
        <v/>
      </c>
    </row>
    <row r="147">
      <c r="A147" s="15" t="n"/>
      <c r="B147" s="6" t="n"/>
      <c r="C147" s="6" t="n"/>
      <c r="D147" s="6" t="n"/>
      <c r="E147" s="6" t="n"/>
      <c r="F147" s="6" t="n"/>
      <c r="G147" s="3">
        <f>IF($A147="","",TEXT($A147,"yyyy-mm-dd")&amp;"|"&amp;$D147&amp;"|"&amp;$E147)</f>
        <v/>
      </c>
      <c r="I147" s="11" t="n">
        <v>46165</v>
      </c>
      <c r="J147" s="3">
        <f>IFERROR(INDEX('CALENDARIO'!$C$15:$C$214,MATCH(TEXT($I147,"yyyy-mm-dd")&amp;"|"&amp;""&amp;"|"&amp;"",'CALENDARIO'!$G$15:$G$214,0)),IFERROR(INDEX('CALENDARIO'!$C$15:$C$214,MATCH(TEXT($I147,"yyyy-mm-dd")&amp;"|"&amp;""&amp;"|",'CALENDARIO'!$G$15:$G$214,0)),IFERROR(INDEX('CALENDARIO'!$C$15:$C$214,MATCH(TEXT($I147,"yyyy-mm-dd")&amp;"||",'CALENDARIO'!$G$15:$G$214,0)),INDEX(patronHabil,WEEKDAY($I147,2)))))</f>
        <v/>
      </c>
    </row>
    <row r="148">
      <c r="A148" s="15" t="n"/>
      <c r="B148" s="6" t="n"/>
      <c r="C148" s="6" t="n"/>
      <c r="D148" s="6" t="n"/>
      <c r="E148" s="6" t="n"/>
      <c r="F148" s="6" t="n"/>
      <c r="G148" s="3">
        <f>IF($A148="","",TEXT($A148,"yyyy-mm-dd")&amp;"|"&amp;$D148&amp;"|"&amp;$E148)</f>
        <v/>
      </c>
      <c r="I148" s="11" t="n">
        <v>46166</v>
      </c>
      <c r="J148" s="3">
        <f>IFERROR(INDEX('CALENDARIO'!$C$15:$C$214,MATCH(TEXT($I148,"yyyy-mm-dd")&amp;"|"&amp;""&amp;"|"&amp;"",'CALENDARIO'!$G$15:$G$214,0)),IFERROR(INDEX('CALENDARIO'!$C$15:$C$214,MATCH(TEXT($I148,"yyyy-mm-dd")&amp;"|"&amp;""&amp;"|",'CALENDARIO'!$G$15:$G$214,0)),IFERROR(INDEX('CALENDARIO'!$C$15:$C$214,MATCH(TEXT($I148,"yyyy-mm-dd")&amp;"||",'CALENDARIO'!$G$15:$G$214,0)),INDEX(patronHabil,WEEKDAY($I148,2)))))</f>
        <v/>
      </c>
    </row>
    <row r="149">
      <c r="A149" s="15" t="n"/>
      <c r="B149" s="6" t="n"/>
      <c r="C149" s="6" t="n"/>
      <c r="D149" s="6" t="n"/>
      <c r="E149" s="6" t="n"/>
      <c r="F149" s="6" t="n"/>
      <c r="G149" s="3">
        <f>IF($A149="","",TEXT($A149,"yyyy-mm-dd")&amp;"|"&amp;$D149&amp;"|"&amp;$E149)</f>
        <v/>
      </c>
      <c r="I149" s="11" t="n">
        <v>46167</v>
      </c>
      <c r="J149" s="3">
        <f>IFERROR(INDEX('CALENDARIO'!$C$15:$C$214,MATCH(TEXT($I149,"yyyy-mm-dd")&amp;"|"&amp;""&amp;"|"&amp;"",'CALENDARIO'!$G$15:$G$214,0)),IFERROR(INDEX('CALENDARIO'!$C$15:$C$214,MATCH(TEXT($I149,"yyyy-mm-dd")&amp;"|"&amp;""&amp;"|",'CALENDARIO'!$G$15:$G$214,0)),IFERROR(INDEX('CALENDARIO'!$C$15:$C$214,MATCH(TEXT($I149,"yyyy-mm-dd")&amp;"||",'CALENDARIO'!$G$15:$G$214,0)),INDEX(patronHabil,WEEKDAY($I149,2)))))</f>
        <v/>
      </c>
    </row>
    <row r="150">
      <c r="A150" s="15" t="n"/>
      <c r="B150" s="6" t="n"/>
      <c r="C150" s="6" t="n"/>
      <c r="D150" s="6" t="n"/>
      <c r="E150" s="6" t="n"/>
      <c r="F150" s="6" t="n"/>
      <c r="G150" s="3">
        <f>IF($A150="","",TEXT($A150,"yyyy-mm-dd")&amp;"|"&amp;$D150&amp;"|"&amp;$E150)</f>
        <v/>
      </c>
      <c r="I150" s="11" t="n">
        <v>46168</v>
      </c>
      <c r="J150" s="3">
        <f>IFERROR(INDEX('CALENDARIO'!$C$15:$C$214,MATCH(TEXT($I150,"yyyy-mm-dd")&amp;"|"&amp;""&amp;"|"&amp;"",'CALENDARIO'!$G$15:$G$214,0)),IFERROR(INDEX('CALENDARIO'!$C$15:$C$214,MATCH(TEXT($I150,"yyyy-mm-dd")&amp;"|"&amp;""&amp;"|",'CALENDARIO'!$G$15:$G$214,0)),IFERROR(INDEX('CALENDARIO'!$C$15:$C$214,MATCH(TEXT($I150,"yyyy-mm-dd")&amp;"||",'CALENDARIO'!$G$15:$G$214,0)),INDEX(patronHabil,WEEKDAY($I150,2)))))</f>
        <v/>
      </c>
    </row>
    <row r="151">
      <c r="A151" s="15" t="n"/>
      <c r="B151" s="6" t="n"/>
      <c r="C151" s="6" t="n"/>
      <c r="D151" s="6" t="n"/>
      <c r="E151" s="6" t="n"/>
      <c r="F151" s="6" t="n"/>
      <c r="G151" s="3">
        <f>IF($A151="","",TEXT($A151,"yyyy-mm-dd")&amp;"|"&amp;$D151&amp;"|"&amp;$E151)</f>
        <v/>
      </c>
      <c r="I151" s="11" t="n">
        <v>46169</v>
      </c>
      <c r="J151" s="3">
        <f>IFERROR(INDEX('CALENDARIO'!$C$15:$C$214,MATCH(TEXT($I151,"yyyy-mm-dd")&amp;"|"&amp;""&amp;"|"&amp;"",'CALENDARIO'!$G$15:$G$214,0)),IFERROR(INDEX('CALENDARIO'!$C$15:$C$214,MATCH(TEXT($I151,"yyyy-mm-dd")&amp;"|"&amp;""&amp;"|",'CALENDARIO'!$G$15:$G$214,0)),IFERROR(INDEX('CALENDARIO'!$C$15:$C$214,MATCH(TEXT($I151,"yyyy-mm-dd")&amp;"||",'CALENDARIO'!$G$15:$G$214,0)),INDEX(patronHabil,WEEKDAY($I151,2)))))</f>
        <v/>
      </c>
    </row>
    <row r="152">
      <c r="A152" s="15" t="n"/>
      <c r="B152" s="6" t="n"/>
      <c r="C152" s="6" t="n"/>
      <c r="D152" s="6" t="n"/>
      <c r="E152" s="6" t="n"/>
      <c r="F152" s="6" t="n"/>
      <c r="G152" s="3">
        <f>IF($A152="","",TEXT($A152,"yyyy-mm-dd")&amp;"|"&amp;$D152&amp;"|"&amp;$E152)</f>
        <v/>
      </c>
      <c r="I152" s="11" t="n">
        <v>46170</v>
      </c>
      <c r="J152" s="3">
        <f>IFERROR(INDEX('CALENDARIO'!$C$15:$C$214,MATCH(TEXT($I152,"yyyy-mm-dd")&amp;"|"&amp;""&amp;"|"&amp;"",'CALENDARIO'!$G$15:$G$214,0)),IFERROR(INDEX('CALENDARIO'!$C$15:$C$214,MATCH(TEXT($I152,"yyyy-mm-dd")&amp;"|"&amp;""&amp;"|",'CALENDARIO'!$G$15:$G$214,0)),IFERROR(INDEX('CALENDARIO'!$C$15:$C$214,MATCH(TEXT($I152,"yyyy-mm-dd")&amp;"||",'CALENDARIO'!$G$15:$G$214,0)),INDEX(patronHabil,WEEKDAY($I152,2)))))</f>
        <v/>
      </c>
    </row>
    <row r="153">
      <c r="A153" s="15" t="n"/>
      <c r="B153" s="6" t="n"/>
      <c r="C153" s="6" t="n"/>
      <c r="D153" s="6" t="n"/>
      <c r="E153" s="6" t="n"/>
      <c r="F153" s="6" t="n"/>
      <c r="G153" s="3">
        <f>IF($A153="","",TEXT($A153,"yyyy-mm-dd")&amp;"|"&amp;$D153&amp;"|"&amp;$E153)</f>
        <v/>
      </c>
      <c r="I153" s="11" t="n">
        <v>46171</v>
      </c>
      <c r="J153" s="3">
        <f>IFERROR(INDEX('CALENDARIO'!$C$15:$C$214,MATCH(TEXT($I153,"yyyy-mm-dd")&amp;"|"&amp;""&amp;"|"&amp;"",'CALENDARIO'!$G$15:$G$214,0)),IFERROR(INDEX('CALENDARIO'!$C$15:$C$214,MATCH(TEXT($I153,"yyyy-mm-dd")&amp;"|"&amp;""&amp;"|",'CALENDARIO'!$G$15:$G$214,0)),IFERROR(INDEX('CALENDARIO'!$C$15:$C$214,MATCH(TEXT($I153,"yyyy-mm-dd")&amp;"||",'CALENDARIO'!$G$15:$G$214,0)),INDEX(patronHabil,WEEKDAY($I153,2)))))</f>
        <v/>
      </c>
    </row>
    <row r="154">
      <c r="A154" s="15" t="n"/>
      <c r="B154" s="6" t="n"/>
      <c r="C154" s="6" t="n"/>
      <c r="D154" s="6" t="n"/>
      <c r="E154" s="6" t="n"/>
      <c r="F154" s="6" t="n"/>
      <c r="G154" s="3">
        <f>IF($A154="","",TEXT($A154,"yyyy-mm-dd")&amp;"|"&amp;$D154&amp;"|"&amp;$E154)</f>
        <v/>
      </c>
      <c r="I154" s="11" t="n">
        <v>46172</v>
      </c>
      <c r="J154" s="3">
        <f>IFERROR(INDEX('CALENDARIO'!$C$15:$C$214,MATCH(TEXT($I154,"yyyy-mm-dd")&amp;"|"&amp;""&amp;"|"&amp;"",'CALENDARIO'!$G$15:$G$214,0)),IFERROR(INDEX('CALENDARIO'!$C$15:$C$214,MATCH(TEXT($I154,"yyyy-mm-dd")&amp;"|"&amp;""&amp;"|",'CALENDARIO'!$G$15:$G$214,0)),IFERROR(INDEX('CALENDARIO'!$C$15:$C$214,MATCH(TEXT($I154,"yyyy-mm-dd")&amp;"||",'CALENDARIO'!$G$15:$G$214,0)),INDEX(patronHabil,WEEKDAY($I154,2)))))</f>
        <v/>
      </c>
    </row>
    <row r="155">
      <c r="A155" s="15" t="n"/>
      <c r="B155" s="6" t="n"/>
      <c r="C155" s="6" t="n"/>
      <c r="D155" s="6" t="n"/>
      <c r="E155" s="6" t="n"/>
      <c r="F155" s="6" t="n"/>
      <c r="G155" s="3">
        <f>IF($A155="","",TEXT($A155,"yyyy-mm-dd")&amp;"|"&amp;$D155&amp;"|"&amp;$E155)</f>
        <v/>
      </c>
      <c r="I155" s="11" t="n">
        <v>46173</v>
      </c>
      <c r="J155" s="3">
        <f>IFERROR(INDEX('CALENDARIO'!$C$15:$C$214,MATCH(TEXT($I155,"yyyy-mm-dd")&amp;"|"&amp;""&amp;"|"&amp;"",'CALENDARIO'!$G$15:$G$214,0)),IFERROR(INDEX('CALENDARIO'!$C$15:$C$214,MATCH(TEXT($I155,"yyyy-mm-dd")&amp;"|"&amp;""&amp;"|",'CALENDARIO'!$G$15:$G$214,0)),IFERROR(INDEX('CALENDARIO'!$C$15:$C$214,MATCH(TEXT($I155,"yyyy-mm-dd")&amp;"||",'CALENDARIO'!$G$15:$G$214,0)),INDEX(patronHabil,WEEKDAY($I155,2)))))</f>
        <v/>
      </c>
    </row>
    <row r="156">
      <c r="A156" s="15" t="n"/>
      <c r="B156" s="6" t="n"/>
      <c r="C156" s="6" t="n"/>
      <c r="D156" s="6" t="n"/>
      <c r="E156" s="6" t="n"/>
      <c r="F156" s="6" t="n"/>
      <c r="G156" s="3">
        <f>IF($A156="","",TEXT($A156,"yyyy-mm-dd")&amp;"|"&amp;$D156&amp;"|"&amp;$E156)</f>
        <v/>
      </c>
      <c r="I156" s="11" t="n">
        <v>46174</v>
      </c>
      <c r="J156" s="3">
        <f>IFERROR(INDEX('CALENDARIO'!$C$15:$C$214,MATCH(TEXT($I156,"yyyy-mm-dd")&amp;"|"&amp;""&amp;"|"&amp;"",'CALENDARIO'!$G$15:$G$214,0)),IFERROR(INDEX('CALENDARIO'!$C$15:$C$214,MATCH(TEXT($I156,"yyyy-mm-dd")&amp;"|"&amp;""&amp;"|",'CALENDARIO'!$G$15:$G$214,0)),IFERROR(INDEX('CALENDARIO'!$C$15:$C$214,MATCH(TEXT($I156,"yyyy-mm-dd")&amp;"||",'CALENDARIO'!$G$15:$G$214,0)),INDEX(patronHabil,WEEKDAY($I156,2)))))</f>
        <v/>
      </c>
    </row>
    <row r="157">
      <c r="A157" s="15" t="n"/>
      <c r="B157" s="6" t="n"/>
      <c r="C157" s="6" t="n"/>
      <c r="D157" s="6" t="n"/>
      <c r="E157" s="6" t="n"/>
      <c r="F157" s="6" t="n"/>
      <c r="G157" s="3">
        <f>IF($A157="","",TEXT($A157,"yyyy-mm-dd")&amp;"|"&amp;$D157&amp;"|"&amp;$E157)</f>
        <v/>
      </c>
      <c r="I157" s="11" t="n">
        <v>46175</v>
      </c>
      <c r="J157" s="3">
        <f>IFERROR(INDEX('CALENDARIO'!$C$15:$C$214,MATCH(TEXT($I157,"yyyy-mm-dd")&amp;"|"&amp;""&amp;"|"&amp;"",'CALENDARIO'!$G$15:$G$214,0)),IFERROR(INDEX('CALENDARIO'!$C$15:$C$214,MATCH(TEXT($I157,"yyyy-mm-dd")&amp;"|"&amp;""&amp;"|",'CALENDARIO'!$G$15:$G$214,0)),IFERROR(INDEX('CALENDARIO'!$C$15:$C$214,MATCH(TEXT($I157,"yyyy-mm-dd")&amp;"||",'CALENDARIO'!$G$15:$G$214,0)),INDEX(patronHabil,WEEKDAY($I157,2)))))</f>
        <v/>
      </c>
    </row>
    <row r="158">
      <c r="A158" s="15" t="n"/>
      <c r="B158" s="6" t="n"/>
      <c r="C158" s="6" t="n"/>
      <c r="D158" s="6" t="n"/>
      <c r="E158" s="6" t="n"/>
      <c r="F158" s="6" t="n"/>
      <c r="G158" s="3">
        <f>IF($A158="","",TEXT($A158,"yyyy-mm-dd")&amp;"|"&amp;$D158&amp;"|"&amp;$E158)</f>
        <v/>
      </c>
      <c r="I158" s="11" t="n">
        <v>46176</v>
      </c>
      <c r="J158" s="3">
        <f>IFERROR(INDEX('CALENDARIO'!$C$15:$C$214,MATCH(TEXT($I158,"yyyy-mm-dd")&amp;"|"&amp;""&amp;"|"&amp;"",'CALENDARIO'!$G$15:$G$214,0)),IFERROR(INDEX('CALENDARIO'!$C$15:$C$214,MATCH(TEXT($I158,"yyyy-mm-dd")&amp;"|"&amp;""&amp;"|",'CALENDARIO'!$G$15:$G$214,0)),IFERROR(INDEX('CALENDARIO'!$C$15:$C$214,MATCH(TEXT($I158,"yyyy-mm-dd")&amp;"||",'CALENDARIO'!$G$15:$G$214,0)),INDEX(patronHabil,WEEKDAY($I158,2)))))</f>
        <v/>
      </c>
    </row>
    <row r="159">
      <c r="A159" s="15" t="n"/>
      <c r="B159" s="6" t="n"/>
      <c r="C159" s="6" t="n"/>
      <c r="D159" s="6" t="n"/>
      <c r="E159" s="6" t="n"/>
      <c r="F159" s="6" t="n"/>
      <c r="G159" s="3">
        <f>IF($A159="","",TEXT($A159,"yyyy-mm-dd")&amp;"|"&amp;$D159&amp;"|"&amp;$E159)</f>
        <v/>
      </c>
      <c r="I159" s="11" t="n">
        <v>46177</v>
      </c>
      <c r="J159" s="3">
        <f>IFERROR(INDEX('CALENDARIO'!$C$15:$C$214,MATCH(TEXT($I159,"yyyy-mm-dd")&amp;"|"&amp;""&amp;"|"&amp;"",'CALENDARIO'!$G$15:$G$214,0)),IFERROR(INDEX('CALENDARIO'!$C$15:$C$214,MATCH(TEXT($I159,"yyyy-mm-dd")&amp;"|"&amp;""&amp;"|",'CALENDARIO'!$G$15:$G$214,0)),IFERROR(INDEX('CALENDARIO'!$C$15:$C$214,MATCH(TEXT($I159,"yyyy-mm-dd")&amp;"||",'CALENDARIO'!$G$15:$G$214,0)),INDEX(patronHabil,WEEKDAY($I159,2)))))</f>
        <v/>
      </c>
    </row>
    <row r="160">
      <c r="A160" s="15" t="n"/>
      <c r="B160" s="6" t="n"/>
      <c r="C160" s="6" t="n"/>
      <c r="D160" s="6" t="n"/>
      <c r="E160" s="6" t="n"/>
      <c r="F160" s="6" t="n"/>
      <c r="G160" s="3">
        <f>IF($A160="","",TEXT($A160,"yyyy-mm-dd")&amp;"|"&amp;$D160&amp;"|"&amp;$E160)</f>
        <v/>
      </c>
      <c r="I160" s="11" t="n">
        <v>46178</v>
      </c>
      <c r="J160" s="3">
        <f>IFERROR(INDEX('CALENDARIO'!$C$15:$C$214,MATCH(TEXT($I160,"yyyy-mm-dd")&amp;"|"&amp;""&amp;"|"&amp;"",'CALENDARIO'!$G$15:$G$214,0)),IFERROR(INDEX('CALENDARIO'!$C$15:$C$214,MATCH(TEXT($I160,"yyyy-mm-dd")&amp;"|"&amp;""&amp;"|",'CALENDARIO'!$G$15:$G$214,0)),IFERROR(INDEX('CALENDARIO'!$C$15:$C$214,MATCH(TEXT($I160,"yyyy-mm-dd")&amp;"||",'CALENDARIO'!$G$15:$G$214,0)),INDEX(patronHabil,WEEKDAY($I160,2)))))</f>
        <v/>
      </c>
    </row>
    <row r="161">
      <c r="A161" s="15" t="n"/>
      <c r="B161" s="6" t="n"/>
      <c r="C161" s="6" t="n"/>
      <c r="D161" s="6" t="n"/>
      <c r="E161" s="6" t="n"/>
      <c r="F161" s="6" t="n"/>
      <c r="G161" s="3">
        <f>IF($A161="","",TEXT($A161,"yyyy-mm-dd")&amp;"|"&amp;$D161&amp;"|"&amp;$E161)</f>
        <v/>
      </c>
      <c r="I161" s="11" t="n">
        <v>46179</v>
      </c>
      <c r="J161" s="3">
        <f>IFERROR(INDEX('CALENDARIO'!$C$15:$C$214,MATCH(TEXT($I161,"yyyy-mm-dd")&amp;"|"&amp;""&amp;"|"&amp;"",'CALENDARIO'!$G$15:$G$214,0)),IFERROR(INDEX('CALENDARIO'!$C$15:$C$214,MATCH(TEXT($I161,"yyyy-mm-dd")&amp;"|"&amp;""&amp;"|",'CALENDARIO'!$G$15:$G$214,0)),IFERROR(INDEX('CALENDARIO'!$C$15:$C$214,MATCH(TEXT($I161,"yyyy-mm-dd")&amp;"||",'CALENDARIO'!$G$15:$G$214,0)),INDEX(patronHabil,WEEKDAY($I161,2)))))</f>
        <v/>
      </c>
    </row>
    <row r="162">
      <c r="A162" s="15" t="n"/>
      <c r="B162" s="6" t="n"/>
      <c r="C162" s="6" t="n"/>
      <c r="D162" s="6" t="n"/>
      <c r="E162" s="6" t="n"/>
      <c r="F162" s="6" t="n"/>
      <c r="G162" s="3">
        <f>IF($A162="","",TEXT($A162,"yyyy-mm-dd")&amp;"|"&amp;$D162&amp;"|"&amp;$E162)</f>
        <v/>
      </c>
      <c r="I162" s="11" t="n">
        <v>46180</v>
      </c>
      <c r="J162" s="3">
        <f>IFERROR(INDEX('CALENDARIO'!$C$15:$C$214,MATCH(TEXT($I162,"yyyy-mm-dd")&amp;"|"&amp;""&amp;"|"&amp;"",'CALENDARIO'!$G$15:$G$214,0)),IFERROR(INDEX('CALENDARIO'!$C$15:$C$214,MATCH(TEXT($I162,"yyyy-mm-dd")&amp;"|"&amp;""&amp;"|",'CALENDARIO'!$G$15:$G$214,0)),IFERROR(INDEX('CALENDARIO'!$C$15:$C$214,MATCH(TEXT($I162,"yyyy-mm-dd")&amp;"||",'CALENDARIO'!$G$15:$G$214,0)),INDEX(patronHabil,WEEKDAY($I162,2)))))</f>
        <v/>
      </c>
    </row>
    <row r="163">
      <c r="A163" s="15" t="n"/>
      <c r="B163" s="6" t="n"/>
      <c r="C163" s="6" t="n"/>
      <c r="D163" s="6" t="n"/>
      <c r="E163" s="6" t="n"/>
      <c r="F163" s="6" t="n"/>
      <c r="G163" s="3">
        <f>IF($A163="","",TEXT($A163,"yyyy-mm-dd")&amp;"|"&amp;$D163&amp;"|"&amp;$E163)</f>
        <v/>
      </c>
      <c r="I163" s="11" t="n">
        <v>46181</v>
      </c>
      <c r="J163" s="3">
        <f>IFERROR(INDEX('CALENDARIO'!$C$15:$C$214,MATCH(TEXT($I163,"yyyy-mm-dd")&amp;"|"&amp;""&amp;"|"&amp;"",'CALENDARIO'!$G$15:$G$214,0)),IFERROR(INDEX('CALENDARIO'!$C$15:$C$214,MATCH(TEXT($I163,"yyyy-mm-dd")&amp;"|"&amp;""&amp;"|",'CALENDARIO'!$G$15:$G$214,0)),IFERROR(INDEX('CALENDARIO'!$C$15:$C$214,MATCH(TEXT($I163,"yyyy-mm-dd")&amp;"||",'CALENDARIO'!$G$15:$G$214,0)),INDEX(patronHabil,WEEKDAY($I163,2)))))</f>
        <v/>
      </c>
    </row>
    <row r="164">
      <c r="A164" s="15" t="n"/>
      <c r="B164" s="6" t="n"/>
      <c r="C164" s="6" t="n"/>
      <c r="D164" s="6" t="n"/>
      <c r="E164" s="6" t="n"/>
      <c r="F164" s="6" t="n"/>
      <c r="G164" s="3">
        <f>IF($A164="","",TEXT($A164,"yyyy-mm-dd")&amp;"|"&amp;$D164&amp;"|"&amp;$E164)</f>
        <v/>
      </c>
      <c r="I164" s="11" t="n">
        <v>46182</v>
      </c>
      <c r="J164" s="3">
        <f>IFERROR(INDEX('CALENDARIO'!$C$15:$C$214,MATCH(TEXT($I164,"yyyy-mm-dd")&amp;"|"&amp;""&amp;"|"&amp;"",'CALENDARIO'!$G$15:$G$214,0)),IFERROR(INDEX('CALENDARIO'!$C$15:$C$214,MATCH(TEXT($I164,"yyyy-mm-dd")&amp;"|"&amp;""&amp;"|",'CALENDARIO'!$G$15:$G$214,0)),IFERROR(INDEX('CALENDARIO'!$C$15:$C$214,MATCH(TEXT($I164,"yyyy-mm-dd")&amp;"||",'CALENDARIO'!$G$15:$G$214,0)),INDEX(patronHabil,WEEKDAY($I164,2)))))</f>
        <v/>
      </c>
    </row>
    <row r="165">
      <c r="A165" s="15" t="n"/>
      <c r="B165" s="6" t="n"/>
      <c r="C165" s="6" t="n"/>
      <c r="D165" s="6" t="n"/>
      <c r="E165" s="6" t="n"/>
      <c r="F165" s="6" t="n"/>
      <c r="G165" s="3">
        <f>IF($A165="","",TEXT($A165,"yyyy-mm-dd")&amp;"|"&amp;$D165&amp;"|"&amp;$E165)</f>
        <v/>
      </c>
      <c r="I165" s="11" t="n">
        <v>46183</v>
      </c>
      <c r="J165" s="3">
        <f>IFERROR(INDEX('CALENDARIO'!$C$15:$C$214,MATCH(TEXT($I165,"yyyy-mm-dd")&amp;"|"&amp;""&amp;"|"&amp;"",'CALENDARIO'!$G$15:$G$214,0)),IFERROR(INDEX('CALENDARIO'!$C$15:$C$214,MATCH(TEXT($I165,"yyyy-mm-dd")&amp;"|"&amp;""&amp;"|",'CALENDARIO'!$G$15:$G$214,0)),IFERROR(INDEX('CALENDARIO'!$C$15:$C$214,MATCH(TEXT($I165,"yyyy-mm-dd")&amp;"||",'CALENDARIO'!$G$15:$G$214,0)),INDEX(patronHabil,WEEKDAY($I165,2)))))</f>
        <v/>
      </c>
    </row>
    <row r="166">
      <c r="A166" s="15" t="n"/>
      <c r="B166" s="6" t="n"/>
      <c r="C166" s="6" t="n"/>
      <c r="D166" s="6" t="n"/>
      <c r="E166" s="6" t="n"/>
      <c r="F166" s="6" t="n"/>
      <c r="G166" s="3">
        <f>IF($A166="","",TEXT($A166,"yyyy-mm-dd")&amp;"|"&amp;$D166&amp;"|"&amp;$E166)</f>
        <v/>
      </c>
      <c r="I166" s="11" t="n">
        <v>46184</v>
      </c>
      <c r="J166" s="3">
        <f>IFERROR(INDEX('CALENDARIO'!$C$15:$C$214,MATCH(TEXT($I166,"yyyy-mm-dd")&amp;"|"&amp;""&amp;"|"&amp;"",'CALENDARIO'!$G$15:$G$214,0)),IFERROR(INDEX('CALENDARIO'!$C$15:$C$214,MATCH(TEXT($I166,"yyyy-mm-dd")&amp;"|"&amp;""&amp;"|",'CALENDARIO'!$G$15:$G$214,0)),IFERROR(INDEX('CALENDARIO'!$C$15:$C$214,MATCH(TEXT($I166,"yyyy-mm-dd")&amp;"||",'CALENDARIO'!$G$15:$G$214,0)),INDEX(patronHabil,WEEKDAY($I166,2)))))</f>
        <v/>
      </c>
    </row>
    <row r="167">
      <c r="A167" s="15" t="n"/>
      <c r="B167" s="6" t="n"/>
      <c r="C167" s="6" t="n"/>
      <c r="D167" s="6" t="n"/>
      <c r="E167" s="6" t="n"/>
      <c r="F167" s="6" t="n"/>
      <c r="G167" s="3">
        <f>IF($A167="","",TEXT($A167,"yyyy-mm-dd")&amp;"|"&amp;$D167&amp;"|"&amp;$E167)</f>
        <v/>
      </c>
      <c r="I167" s="11" t="n">
        <v>46185</v>
      </c>
      <c r="J167" s="3">
        <f>IFERROR(INDEX('CALENDARIO'!$C$15:$C$214,MATCH(TEXT($I167,"yyyy-mm-dd")&amp;"|"&amp;""&amp;"|"&amp;"",'CALENDARIO'!$G$15:$G$214,0)),IFERROR(INDEX('CALENDARIO'!$C$15:$C$214,MATCH(TEXT($I167,"yyyy-mm-dd")&amp;"|"&amp;""&amp;"|",'CALENDARIO'!$G$15:$G$214,0)),IFERROR(INDEX('CALENDARIO'!$C$15:$C$214,MATCH(TEXT($I167,"yyyy-mm-dd")&amp;"||",'CALENDARIO'!$G$15:$G$214,0)),INDEX(patronHabil,WEEKDAY($I167,2)))))</f>
        <v/>
      </c>
    </row>
    <row r="168">
      <c r="A168" s="15" t="n"/>
      <c r="B168" s="6" t="n"/>
      <c r="C168" s="6" t="n"/>
      <c r="D168" s="6" t="n"/>
      <c r="E168" s="6" t="n"/>
      <c r="F168" s="6" t="n"/>
      <c r="G168" s="3">
        <f>IF($A168="","",TEXT($A168,"yyyy-mm-dd")&amp;"|"&amp;$D168&amp;"|"&amp;$E168)</f>
        <v/>
      </c>
      <c r="I168" s="11" t="n">
        <v>46186</v>
      </c>
      <c r="J168" s="3">
        <f>IFERROR(INDEX('CALENDARIO'!$C$15:$C$214,MATCH(TEXT($I168,"yyyy-mm-dd")&amp;"|"&amp;""&amp;"|"&amp;"",'CALENDARIO'!$G$15:$G$214,0)),IFERROR(INDEX('CALENDARIO'!$C$15:$C$214,MATCH(TEXT($I168,"yyyy-mm-dd")&amp;"|"&amp;""&amp;"|",'CALENDARIO'!$G$15:$G$214,0)),IFERROR(INDEX('CALENDARIO'!$C$15:$C$214,MATCH(TEXT($I168,"yyyy-mm-dd")&amp;"||",'CALENDARIO'!$G$15:$G$214,0)),INDEX(patronHabil,WEEKDAY($I168,2)))))</f>
        <v/>
      </c>
    </row>
    <row r="169">
      <c r="A169" s="15" t="n"/>
      <c r="B169" s="6" t="n"/>
      <c r="C169" s="6" t="n"/>
      <c r="D169" s="6" t="n"/>
      <c r="E169" s="6" t="n"/>
      <c r="F169" s="6" t="n"/>
      <c r="G169" s="3">
        <f>IF($A169="","",TEXT($A169,"yyyy-mm-dd")&amp;"|"&amp;$D169&amp;"|"&amp;$E169)</f>
        <v/>
      </c>
      <c r="I169" s="11" t="n">
        <v>46187</v>
      </c>
      <c r="J169" s="3">
        <f>IFERROR(INDEX('CALENDARIO'!$C$15:$C$214,MATCH(TEXT($I169,"yyyy-mm-dd")&amp;"|"&amp;""&amp;"|"&amp;"",'CALENDARIO'!$G$15:$G$214,0)),IFERROR(INDEX('CALENDARIO'!$C$15:$C$214,MATCH(TEXT($I169,"yyyy-mm-dd")&amp;"|"&amp;""&amp;"|",'CALENDARIO'!$G$15:$G$214,0)),IFERROR(INDEX('CALENDARIO'!$C$15:$C$214,MATCH(TEXT($I169,"yyyy-mm-dd")&amp;"||",'CALENDARIO'!$G$15:$G$214,0)),INDEX(patronHabil,WEEKDAY($I169,2)))))</f>
        <v/>
      </c>
    </row>
    <row r="170">
      <c r="A170" s="15" t="n"/>
      <c r="B170" s="6" t="n"/>
      <c r="C170" s="6" t="n"/>
      <c r="D170" s="6" t="n"/>
      <c r="E170" s="6" t="n"/>
      <c r="F170" s="6" t="n"/>
      <c r="G170" s="3">
        <f>IF($A170="","",TEXT($A170,"yyyy-mm-dd")&amp;"|"&amp;$D170&amp;"|"&amp;$E170)</f>
        <v/>
      </c>
      <c r="I170" s="11" t="n">
        <v>46188</v>
      </c>
      <c r="J170" s="3">
        <f>IFERROR(INDEX('CALENDARIO'!$C$15:$C$214,MATCH(TEXT($I170,"yyyy-mm-dd")&amp;"|"&amp;""&amp;"|"&amp;"",'CALENDARIO'!$G$15:$G$214,0)),IFERROR(INDEX('CALENDARIO'!$C$15:$C$214,MATCH(TEXT($I170,"yyyy-mm-dd")&amp;"|"&amp;""&amp;"|",'CALENDARIO'!$G$15:$G$214,0)),IFERROR(INDEX('CALENDARIO'!$C$15:$C$214,MATCH(TEXT($I170,"yyyy-mm-dd")&amp;"||",'CALENDARIO'!$G$15:$G$214,0)),INDEX(patronHabil,WEEKDAY($I170,2)))))</f>
        <v/>
      </c>
    </row>
    <row r="171">
      <c r="A171" s="15" t="n"/>
      <c r="B171" s="6" t="n"/>
      <c r="C171" s="6" t="n"/>
      <c r="D171" s="6" t="n"/>
      <c r="E171" s="6" t="n"/>
      <c r="F171" s="6" t="n"/>
      <c r="G171" s="3">
        <f>IF($A171="","",TEXT($A171,"yyyy-mm-dd")&amp;"|"&amp;$D171&amp;"|"&amp;$E171)</f>
        <v/>
      </c>
      <c r="I171" s="11" t="n">
        <v>46189</v>
      </c>
      <c r="J171" s="3">
        <f>IFERROR(INDEX('CALENDARIO'!$C$15:$C$214,MATCH(TEXT($I171,"yyyy-mm-dd")&amp;"|"&amp;""&amp;"|"&amp;"",'CALENDARIO'!$G$15:$G$214,0)),IFERROR(INDEX('CALENDARIO'!$C$15:$C$214,MATCH(TEXT($I171,"yyyy-mm-dd")&amp;"|"&amp;""&amp;"|",'CALENDARIO'!$G$15:$G$214,0)),IFERROR(INDEX('CALENDARIO'!$C$15:$C$214,MATCH(TEXT($I171,"yyyy-mm-dd")&amp;"||",'CALENDARIO'!$G$15:$G$214,0)),INDEX(patronHabil,WEEKDAY($I171,2)))))</f>
        <v/>
      </c>
    </row>
    <row r="172">
      <c r="A172" s="15" t="n"/>
      <c r="B172" s="6" t="n"/>
      <c r="C172" s="6" t="n"/>
      <c r="D172" s="6" t="n"/>
      <c r="E172" s="6" t="n"/>
      <c r="F172" s="6" t="n"/>
      <c r="G172" s="3">
        <f>IF($A172="","",TEXT($A172,"yyyy-mm-dd")&amp;"|"&amp;$D172&amp;"|"&amp;$E172)</f>
        <v/>
      </c>
      <c r="I172" s="11" t="n">
        <v>46190</v>
      </c>
      <c r="J172" s="3">
        <f>IFERROR(INDEX('CALENDARIO'!$C$15:$C$214,MATCH(TEXT($I172,"yyyy-mm-dd")&amp;"|"&amp;""&amp;"|"&amp;"",'CALENDARIO'!$G$15:$G$214,0)),IFERROR(INDEX('CALENDARIO'!$C$15:$C$214,MATCH(TEXT($I172,"yyyy-mm-dd")&amp;"|"&amp;""&amp;"|",'CALENDARIO'!$G$15:$G$214,0)),IFERROR(INDEX('CALENDARIO'!$C$15:$C$214,MATCH(TEXT($I172,"yyyy-mm-dd")&amp;"||",'CALENDARIO'!$G$15:$G$214,0)),INDEX(patronHabil,WEEKDAY($I172,2)))))</f>
        <v/>
      </c>
    </row>
    <row r="173">
      <c r="A173" s="15" t="n"/>
      <c r="B173" s="6" t="n"/>
      <c r="C173" s="6" t="n"/>
      <c r="D173" s="6" t="n"/>
      <c r="E173" s="6" t="n"/>
      <c r="F173" s="6" t="n"/>
      <c r="G173" s="3">
        <f>IF($A173="","",TEXT($A173,"yyyy-mm-dd")&amp;"|"&amp;$D173&amp;"|"&amp;$E173)</f>
        <v/>
      </c>
      <c r="I173" s="11" t="n">
        <v>46191</v>
      </c>
      <c r="J173" s="3">
        <f>IFERROR(INDEX('CALENDARIO'!$C$15:$C$214,MATCH(TEXT($I173,"yyyy-mm-dd")&amp;"|"&amp;""&amp;"|"&amp;"",'CALENDARIO'!$G$15:$G$214,0)),IFERROR(INDEX('CALENDARIO'!$C$15:$C$214,MATCH(TEXT($I173,"yyyy-mm-dd")&amp;"|"&amp;""&amp;"|",'CALENDARIO'!$G$15:$G$214,0)),IFERROR(INDEX('CALENDARIO'!$C$15:$C$214,MATCH(TEXT($I173,"yyyy-mm-dd")&amp;"||",'CALENDARIO'!$G$15:$G$214,0)),INDEX(patronHabil,WEEKDAY($I173,2)))))</f>
        <v/>
      </c>
    </row>
    <row r="174">
      <c r="A174" s="15" t="n"/>
      <c r="B174" s="6" t="n"/>
      <c r="C174" s="6" t="n"/>
      <c r="D174" s="6" t="n"/>
      <c r="E174" s="6" t="n"/>
      <c r="F174" s="6" t="n"/>
      <c r="G174" s="3">
        <f>IF($A174="","",TEXT($A174,"yyyy-mm-dd")&amp;"|"&amp;$D174&amp;"|"&amp;$E174)</f>
        <v/>
      </c>
      <c r="I174" s="11" t="n">
        <v>46192</v>
      </c>
      <c r="J174" s="3">
        <f>IFERROR(INDEX('CALENDARIO'!$C$15:$C$214,MATCH(TEXT($I174,"yyyy-mm-dd")&amp;"|"&amp;""&amp;"|"&amp;"",'CALENDARIO'!$G$15:$G$214,0)),IFERROR(INDEX('CALENDARIO'!$C$15:$C$214,MATCH(TEXT($I174,"yyyy-mm-dd")&amp;"|"&amp;""&amp;"|",'CALENDARIO'!$G$15:$G$214,0)),IFERROR(INDEX('CALENDARIO'!$C$15:$C$214,MATCH(TEXT($I174,"yyyy-mm-dd")&amp;"||",'CALENDARIO'!$G$15:$G$214,0)),INDEX(patronHabil,WEEKDAY($I174,2)))))</f>
        <v/>
      </c>
    </row>
    <row r="175">
      <c r="A175" s="15" t="n"/>
      <c r="B175" s="6" t="n"/>
      <c r="C175" s="6" t="n"/>
      <c r="D175" s="6" t="n"/>
      <c r="E175" s="6" t="n"/>
      <c r="F175" s="6" t="n"/>
      <c r="G175" s="3">
        <f>IF($A175="","",TEXT($A175,"yyyy-mm-dd")&amp;"|"&amp;$D175&amp;"|"&amp;$E175)</f>
        <v/>
      </c>
      <c r="I175" s="11" t="n">
        <v>46193</v>
      </c>
      <c r="J175" s="3">
        <f>IFERROR(INDEX('CALENDARIO'!$C$15:$C$214,MATCH(TEXT($I175,"yyyy-mm-dd")&amp;"|"&amp;""&amp;"|"&amp;"",'CALENDARIO'!$G$15:$G$214,0)),IFERROR(INDEX('CALENDARIO'!$C$15:$C$214,MATCH(TEXT($I175,"yyyy-mm-dd")&amp;"|"&amp;""&amp;"|",'CALENDARIO'!$G$15:$G$214,0)),IFERROR(INDEX('CALENDARIO'!$C$15:$C$214,MATCH(TEXT($I175,"yyyy-mm-dd")&amp;"||",'CALENDARIO'!$G$15:$G$214,0)),INDEX(patronHabil,WEEKDAY($I175,2)))))</f>
        <v/>
      </c>
    </row>
    <row r="176">
      <c r="A176" s="15" t="n"/>
      <c r="B176" s="6" t="n"/>
      <c r="C176" s="6" t="n"/>
      <c r="D176" s="6" t="n"/>
      <c r="E176" s="6" t="n"/>
      <c r="F176" s="6" t="n"/>
      <c r="G176" s="3">
        <f>IF($A176="","",TEXT($A176,"yyyy-mm-dd")&amp;"|"&amp;$D176&amp;"|"&amp;$E176)</f>
        <v/>
      </c>
      <c r="I176" s="11" t="n">
        <v>46194</v>
      </c>
      <c r="J176" s="3">
        <f>IFERROR(INDEX('CALENDARIO'!$C$15:$C$214,MATCH(TEXT($I176,"yyyy-mm-dd")&amp;"|"&amp;""&amp;"|"&amp;"",'CALENDARIO'!$G$15:$G$214,0)),IFERROR(INDEX('CALENDARIO'!$C$15:$C$214,MATCH(TEXT($I176,"yyyy-mm-dd")&amp;"|"&amp;""&amp;"|",'CALENDARIO'!$G$15:$G$214,0)),IFERROR(INDEX('CALENDARIO'!$C$15:$C$214,MATCH(TEXT($I176,"yyyy-mm-dd")&amp;"||",'CALENDARIO'!$G$15:$G$214,0)),INDEX(patronHabil,WEEKDAY($I176,2)))))</f>
        <v/>
      </c>
    </row>
    <row r="177">
      <c r="A177" s="15" t="n"/>
      <c r="B177" s="6" t="n"/>
      <c r="C177" s="6" t="n"/>
      <c r="D177" s="6" t="n"/>
      <c r="E177" s="6" t="n"/>
      <c r="F177" s="6" t="n"/>
      <c r="G177" s="3">
        <f>IF($A177="","",TEXT($A177,"yyyy-mm-dd")&amp;"|"&amp;$D177&amp;"|"&amp;$E177)</f>
        <v/>
      </c>
      <c r="I177" s="11" t="n">
        <v>46195</v>
      </c>
      <c r="J177" s="3">
        <f>IFERROR(INDEX('CALENDARIO'!$C$15:$C$214,MATCH(TEXT($I177,"yyyy-mm-dd")&amp;"|"&amp;""&amp;"|"&amp;"",'CALENDARIO'!$G$15:$G$214,0)),IFERROR(INDEX('CALENDARIO'!$C$15:$C$214,MATCH(TEXT($I177,"yyyy-mm-dd")&amp;"|"&amp;""&amp;"|",'CALENDARIO'!$G$15:$G$214,0)),IFERROR(INDEX('CALENDARIO'!$C$15:$C$214,MATCH(TEXT($I177,"yyyy-mm-dd")&amp;"||",'CALENDARIO'!$G$15:$G$214,0)),INDEX(patronHabil,WEEKDAY($I177,2)))))</f>
        <v/>
      </c>
    </row>
    <row r="178">
      <c r="A178" s="15" t="n"/>
      <c r="B178" s="6" t="n"/>
      <c r="C178" s="6" t="n"/>
      <c r="D178" s="6" t="n"/>
      <c r="E178" s="6" t="n"/>
      <c r="F178" s="6" t="n"/>
      <c r="G178" s="3">
        <f>IF($A178="","",TEXT($A178,"yyyy-mm-dd")&amp;"|"&amp;$D178&amp;"|"&amp;$E178)</f>
        <v/>
      </c>
      <c r="I178" s="11" t="n">
        <v>46196</v>
      </c>
      <c r="J178" s="3">
        <f>IFERROR(INDEX('CALENDARIO'!$C$15:$C$214,MATCH(TEXT($I178,"yyyy-mm-dd")&amp;"|"&amp;""&amp;"|"&amp;"",'CALENDARIO'!$G$15:$G$214,0)),IFERROR(INDEX('CALENDARIO'!$C$15:$C$214,MATCH(TEXT($I178,"yyyy-mm-dd")&amp;"|"&amp;""&amp;"|",'CALENDARIO'!$G$15:$G$214,0)),IFERROR(INDEX('CALENDARIO'!$C$15:$C$214,MATCH(TEXT($I178,"yyyy-mm-dd")&amp;"||",'CALENDARIO'!$G$15:$G$214,0)),INDEX(patronHabil,WEEKDAY($I178,2)))))</f>
        <v/>
      </c>
    </row>
    <row r="179">
      <c r="A179" s="15" t="n"/>
      <c r="B179" s="6" t="n"/>
      <c r="C179" s="6" t="n"/>
      <c r="D179" s="6" t="n"/>
      <c r="E179" s="6" t="n"/>
      <c r="F179" s="6" t="n"/>
      <c r="G179" s="3">
        <f>IF($A179="","",TEXT($A179,"yyyy-mm-dd")&amp;"|"&amp;$D179&amp;"|"&amp;$E179)</f>
        <v/>
      </c>
      <c r="I179" s="11" t="n">
        <v>46197</v>
      </c>
      <c r="J179" s="3">
        <f>IFERROR(INDEX('CALENDARIO'!$C$15:$C$214,MATCH(TEXT($I179,"yyyy-mm-dd")&amp;"|"&amp;""&amp;"|"&amp;"",'CALENDARIO'!$G$15:$G$214,0)),IFERROR(INDEX('CALENDARIO'!$C$15:$C$214,MATCH(TEXT($I179,"yyyy-mm-dd")&amp;"|"&amp;""&amp;"|",'CALENDARIO'!$G$15:$G$214,0)),IFERROR(INDEX('CALENDARIO'!$C$15:$C$214,MATCH(TEXT($I179,"yyyy-mm-dd")&amp;"||",'CALENDARIO'!$G$15:$G$214,0)),INDEX(patronHabil,WEEKDAY($I179,2)))))</f>
        <v/>
      </c>
    </row>
    <row r="180">
      <c r="A180" s="15" t="n"/>
      <c r="B180" s="6" t="n"/>
      <c r="C180" s="6" t="n"/>
      <c r="D180" s="6" t="n"/>
      <c r="E180" s="6" t="n"/>
      <c r="F180" s="6" t="n"/>
      <c r="G180" s="3">
        <f>IF($A180="","",TEXT($A180,"yyyy-mm-dd")&amp;"|"&amp;$D180&amp;"|"&amp;$E180)</f>
        <v/>
      </c>
      <c r="I180" s="11" t="n">
        <v>46198</v>
      </c>
      <c r="J180" s="3">
        <f>IFERROR(INDEX('CALENDARIO'!$C$15:$C$214,MATCH(TEXT($I180,"yyyy-mm-dd")&amp;"|"&amp;""&amp;"|"&amp;"",'CALENDARIO'!$G$15:$G$214,0)),IFERROR(INDEX('CALENDARIO'!$C$15:$C$214,MATCH(TEXT($I180,"yyyy-mm-dd")&amp;"|"&amp;""&amp;"|",'CALENDARIO'!$G$15:$G$214,0)),IFERROR(INDEX('CALENDARIO'!$C$15:$C$214,MATCH(TEXT($I180,"yyyy-mm-dd")&amp;"||",'CALENDARIO'!$G$15:$G$214,0)),INDEX(patronHabil,WEEKDAY($I180,2)))))</f>
        <v/>
      </c>
    </row>
    <row r="181">
      <c r="A181" s="15" t="n"/>
      <c r="B181" s="6" t="n"/>
      <c r="C181" s="6" t="n"/>
      <c r="D181" s="6" t="n"/>
      <c r="E181" s="6" t="n"/>
      <c r="F181" s="6" t="n"/>
      <c r="G181" s="3">
        <f>IF($A181="","",TEXT($A181,"yyyy-mm-dd")&amp;"|"&amp;$D181&amp;"|"&amp;$E181)</f>
        <v/>
      </c>
      <c r="I181" s="11" t="n">
        <v>46199</v>
      </c>
      <c r="J181" s="3">
        <f>IFERROR(INDEX('CALENDARIO'!$C$15:$C$214,MATCH(TEXT($I181,"yyyy-mm-dd")&amp;"|"&amp;""&amp;"|"&amp;"",'CALENDARIO'!$G$15:$G$214,0)),IFERROR(INDEX('CALENDARIO'!$C$15:$C$214,MATCH(TEXT($I181,"yyyy-mm-dd")&amp;"|"&amp;""&amp;"|",'CALENDARIO'!$G$15:$G$214,0)),IFERROR(INDEX('CALENDARIO'!$C$15:$C$214,MATCH(TEXT($I181,"yyyy-mm-dd")&amp;"||",'CALENDARIO'!$G$15:$G$214,0)),INDEX(patronHabil,WEEKDAY($I181,2)))))</f>
        <v/>
      </c>
    </row>
    <row r="182">
      <c r="A182" s="15" t="n"/>
      <c r="B182" s="6" t="n"/>
      <c r="C182" s="6" t="n"/>
      <c r="D182" s="6" t="n"/>
      <c r="E182" s="6" t="n"/>
      <c r="F182" s="6" t="n"/>
      <c r="G182" s="3">
        <f>IF($A182="","",TEXT($A182,"yyyy-mm-dd")&amp;"|"&amp;$D182&amp;"|"&amp;$E182)</f>
        <v/>
      </c>
      <c r="I182" s="11" t="n">
        <v>46200</v>
      </c>
      <c r="J182" s="3">
        <f>IFERROR(INDEX('CALENDARIO'!$C$15:$C$214,MATCH(TEXT($I182,"yyyy-mm-dd")&amp;"|"&amp;""&amp;"|"&amp;"",'CALENDARIO'!$G$15:$G$214,0)),IFERROR(INDEX('CALENDARIO'!$C$15:$C$214,MATCH(TEXT($I182,"yyyy-mm-dd")&amp;"|"&amp;""&amp;"|",'CALENDARIO'!$G$15:$G$214,0)),IFERROR(INDEX('CALENDARIO'!$C$15:$C$214,MATCH(TEXT($I182,"yyyy-mm-dd")&amp;"||",'CALENDARIO'!$G$15:$G$214,0)),INDEX(patronHabil,WEEKDAY($I182,2)))))</f>
        <v/>
      </c>
    </row>
    <row r="183">
      <c r="A183" s="15" t="n"/>
      <c r="B183" s="6" t="n"/>
      <c r="C183" s="6" t="n"/>
      <c r="D183" s="6" t="n"/>
      <c r="E183" s="6" t="n"/>
      <c r="F183" s="6" t="n"/>
      <c r="G183" s="3">
        <f>IF($A183="","",TEXT($A183,"yyyy-mm-dd")&amp;"|"&amp;$D183&amp;"|"&amp;$E183)</f>
        <v/>
      </c>
      <c r="I183" s="11" t="n">
        <v>46201</v>
      </c>
      <c r="J183" s="3">
        <f>IFERROR(INDEX('CALENDARIO'!$C$15:$C$214,MATCH(TEXT($I183,"yyyy-mm-dd")&amp;"|"&amp;""&amp;"|"&amp;"",'CALENDARIO'!$G$15:$G$214,0)),IFERROR(INDEX('CALENDARIO'!$C$15:$C$214,MATCH(TEXT($I183,"yyyy-mm-dd")&amp;"|"&amp;""&amp;"|",'CALENDARIO'!$G$15:$G$214,0)),IFERROR(INDEX('CALENDARIO'!$C$15:$C$214,MATCH(TEXT($I183,"yyyy-mm-dd")&amp;"||",'CALENDARIO'!$G$15:$G$214,0)),INDEX(patronHabil,WEEKDAY($I183,2)))))</f>
        <v/>
      </c>
    </row>
    <row r="184">
      <c r="A184" s="15" t="n"/>
      <c r="B184" s="6" t="n"/>
      <c r="C184" s="6" t="n"/>
      <c r="D184" s="6" t="n"/>
      <c r="E184" s="6" t="n"/>
      <c r="F184" s="6" t="n"/>
      <c r="G184" s="3">
        <f>IF($A184="","",TEXT($A184,"yyyy-mm-dd")&amp;"|"&amp;$D184&amp;"|"&amp;$E184)</f>
        <v/>
      </c>
      <c r="I184" s="11" t="n">
        <v>46202</v>
      </c>
      <c r="J184" s="3">
        <f>IFERROR(INDEX('CALENDARIO'!$C$15:$C$214,MATCH(TEXT($I184,"yyyy-mm-dd")&amp;"|"&amp;""&amp;"|"&amp;"",'CALENDARIO'!$G$15:$G$214,0)),IFERROR(INDEX('CALENDARIO'!$C$15:$C$214,MATCH(TEXT($I184,"yyyy-mm-dd")&amp;"|"&amp;""&amp;"|",'CALENDARIO'!$G$15:$G$214,0)),IFERROR(INDEX('CALENDARIO'!$C$15:$C$214,MATCH(TEXT($I184,"yyyy-mm-dd")&amp;"||",'CALENDARIO'!$G$15:$G$214,0)),INDEX(patronHabil,WEEKDAY($I184,2)))))</f>
        <v/>
      </c>
    </row>
    <row r="185">
      <c r="A185" s="15" t="n"/>
      <c r="B185" s="6" t="n"/>
      <c r="C185" s="6" t="n"/>
      <c r="D185" s="6" t="n"/>
      <c r="E185" s="6" t="n"/>
      <c r="F185" s="6" t="n"/>
      <c r="G185" s="3">
        <f>IF($A185="","",TEXT($A185,"yyyy-mm-dd")&amp;"|"&amp;$D185&amp;"|"&amp;$E185)</f>
        <v/>
      </c>
      <c r="I185" s="11" t="n">
        <v>46203</v>
      </c>
      <c r="J185" s="3">
        <f>IFERROR(INDEX('CALENDARIO'!$C$15:$C$214,MATCH(TEXT($I185,"yyyy-mm-dd")&amp;"|"&amp;""&amp;"|"&amp;"",'CALENDARIO'!$G$15:$G$214,0)),IFERROR(INDEX('CALENDARIO'!$C$15:$C$214,MATCH(TEXT($I185,"yyyy-mm-dd")&amp;"|"&amp;""&amp;"|",'CALENDARIO'!$G$15:$G$214,0)),IFERROR(INDEX('CALENDARIO'!$C$15:$C$214,MATCH(TEXT($I185,"yyyy-mm-dd")&amp;"||",'CALENDARIO'!$G$15:$G$214,0)),INDEX(patronHabil,WEEKDAY($I185,2)))))</f>
        <v/>
      </c>
    </row>
    <row r="186">
      <c r="A186" s="15" t="n"/>
      <c r="B186" s="6" t="n"/>
      <c r="C186" s="6" t="n"/>
      <c r="D186" s="6" t="n"/>
      <c r="E186" s="6" t="n"/>
      <c r="F186" s="6" t="n"/>
      <c r="G186" s="3">
        <f>IF($A186="","",TEXT($A186,"yyyy-mm-dd")&amp;"|"&amp;$D186&amp;"|"&amp;$E186)</f>
        <v/>
      </c>
      <c r="I186" s="11" t="n">
        <v>46204</v>
      </c>
      <c r="J186" s="3">
        <f>IFERROR(INDEX('CALENDARIO'!$C$15:$C$214,MATCH(TEXT($I186,"yyyy-mm-dd")&amp;"|"&amp;""&amp;"|"&amp;"",'CALENDARIO'!$G$15:$G$214,0)),IFERROR(INDEX('CALENDARIO'!$C$15:$C$214,MATCH(TEXT($I186,"yyyy-mm-dd")&amp;"|"&amp;""&amp;"|",'CALENDARIO'!$G$15:$G$214,0)),IFERROR(INDEX('CALENDARIO'!$C$15:$C$214,MATCH(TEXT($I186,"yyyy-mm-dd")&amp;"||",'CALENDARIO'!$G$15:$G$214,0)),INDEX(patronHabil,WEEKDAY($I186,2)))))</f>
        <v/>
      </c>
    </row>
    <row r="187">
      <c r="A187" s="15" t="n"/>
      <c r="B187" s="6" t="n"/>
      <c r="C187" s="6" t="n"/>
      <c r="D187" s="6" t="n"/>
      <c r="E187" s="6" t="n"/>
      <c r="F187" s="6" t="n"/>
      <c r="G187" s="3">
        <f>IF($A187="","",TEXT($A187,"yyyy-mm-dd")&amp;"|"&amp;$D187&amp;"|"&amp;$E187)</f>
        <v/>
      </c>
      <c r="I187" s="11" t="n">
        <v>46205</v>
      </c>
      <c r="J187" s="3">
        <f>IFERROR(INDEX('CALENDARIO'!$C$15:$C$214,MATCH(TEXT($I187,"yyyy-mm-dd")&amp;"|"&amp;""&amp;"|"&amp;"",'CALENDARIO'!$G$15:$G$214,0)),IFERROR(INDEX('CALENDARIO'!$C$15:$C$214,MATCH(TEXT($I187,"yyyy-mm-dd")&amp;"|"&amp;""&amp;"|",'CALENDARIO'!$G$15:$G$214,0)),IFERROR(INDEX('CALENDARIO'!$C$15:$C$214,MATCH(TEXT($I187,"yyyy-mm-dd")&amp;"||",'CALENDARIO'!$G$15:$G$214,0)),INDEX(patronHabil,WEEKDAY($I187,2)))))</f>
        <v/>
      </c>
    </row>
    <row r="188">
      <c r="A188" s="15" t="n"/>
      <c r="B188" s="6" t="n"/>
      <c r="C188" s="6" t="n"/>
      <c r="D188" s="6" t="n"/>
      <c r="E188" s="6" t="n"/>
      <c r="F188" s="6" t="n"/>
      <c r="G188" s="3">
        <f>IF($A188="","",TEXT($A188,"yyyy-mm-dd")&amp;"|"&amp;$D188&amp;"|"&amp;$E188)</f>
        <v/>
      </c>
      <c r="I188" s="11" t="n">
        <v>46206</v>
      </c>
      <c r="J188" s="3">
        <f>IFERROR(INDEX('CALENDARIO'!$C$15:$C$214,MATCH(TEXT($I188,"yyyy-mm-dd")&amp;"|"&amp;""&amp;"|"&amp;"",'CALENDARIO'!$G$15:$G$214,0)),IFERROR(INDEX('CALENDARIO'!$C$15:$C$214,MATCH(TEXT($I188,"yyyy-mm-dd")&amp;"|"&amp;""&amp;"|",'CALENDARIO'!$G$15:$G$214,0)),IFERROR(INDEX('CALENDARIO'!$C$15:$C$214,MATCH(TEXT($I188,"yyyy-mm-dd")&amp;"||",'CALENDARIO'!$G$15:$G$214,0)),INDEX(patronHabil,WEEKDAY($I188,2)))))</f>
        <v/>
      </c>
    </row>
    <row r="189">
      <c r="A189" s="15" t="n"/>
      <c r="B189" s="6" t="n"/>
      <c r="C189" s="6" t="n"/>
      <c r="D189" s="6" t="n"/>
      <c r="E189" s="6" t="n"/>
      <c r="F189" s="6" t="n"/>
      <c r="G189" s="3">
        <f>IF($A189="","",TEXT($A189,"yyyy-mm-dd")&amp;"|"&amp;$D189&amp;"|"&amp;$E189)</f>
        <v/>
      </c>
      <c r="I189" s="11" t="n">
        <v>46207</v>
      </c>
      <c r="J189" s="3">
        <f>IFERROR(INDEX('CALENDARIO'!$C$15:$C$214,MATCH(TEXT($I189,"yyyy-mm-dd")&amp;"|"&amp;""&amp;"|"&amp;"",'CALENDARIO'!$G$15:$G$214,0)),IFERROR(INDEX('CALENDARIO'!$C$15:$C$214,MATCH(TEXT($I189,"yyyy-mm-dd")&amp;"|"&amp;""&amp;"|",'CALENDARIO'!$G$15:$G$214,0)),IFERROR(INDEX('CALENDARIO'!$C$15:$C$214,MATCH(TEXT($I189,"yyyy-mm-dd")&amp;"||",'CALENDARIO'!$G$15:$G$214,0)),INDEX(patronHabil,WEEKDAY($I189,2)))))</f>
        <v/>
      </c>
    </row>
    <row r="190">
      <c r="A190" s="15" t="n"/>
      <c r="B190" s="6" t="n"/>
      <c r="C190" s="6" t="n"/>
      <c r="D190" s="6" t="n"/>
      <c r="E190" s="6" t="n"/>
      <c r="F190" s="6" t="n"/>
      <c r="G190" s="3">
        <f>IF($A190="","",TEXT($A190,"yyyy-mm-dd")&amp;"|"&amp;$D190&amp;"|"&amp;$E190)</f>
        <v/>
      </c>
      <c r="I190" s="11" t="n">
        <v>46208</v>
      </c>
      <c r="J190" s="3">
        <f>IFERROR(INDEX('CALENDARIO'!$C$15:$C$214,MATCH(TEXT($I190,"yyyy-mm-dd")&amp;"|"&amp;""&amp;"|"&amp;"",'CALENDARIO'!$G$15:$G$214,0)),IFERROR(INDEX('CALENDARIO'!$C$15:$C$214,MATCH(TEXT($I190,"yyyy-mm-dd")&amp;"|"&amp;""&amp;"|",'CALENDARIO'!$G$15:$G$214,0)),IFERROR(INDEX('CALENDARIO'!$C$15:$C$214,MATCH(TEXT($I190,"yyyy-mm-dd")&amp;"||",'CALENDARIO'!$G$15:$G$214,0)),INDEX(patronHabil,WEEKDAY($I190,2)))))</f>
        <v/>
      </c>
    </row>
    <row r="191">
      <c r="A191" s="15" t="n"/>
      <c r="B191" s="6" t="n"/>
      <c r="C191" s="6" t="n"/>
      <c r="D191" s="6" t="n"/>
      <c r="E191" s="6" t="n"/>
      <c r="F191" s="6" t="n"/>
      <c r="G191" s="3">
        <f>IF($A191="","",TEXT($A191,"yyyy-mm-dd")&amp;"|"&amp;$D191&amp;"|"&amp;$E191)</f>
        <v/>
      </c>
      <c r="I191" s="11" t="n">
        <v>46209</v>
      </c>
      <c r="J191" s="3">
        <f>IFERROR(INDEX('CALENDARIO'!$C$15:$C$214,MATCH(TEXT($I191,"yyyy-mm-dd")&amp;"|"&amp;""&amp;"|"&amp;"",'CALENDARIO'!$G$15:$G$214,0)),IFERROR(INDEX('CALENDARIO'!$C$15:$C$214,MATCH(TEXT($I191,"yyyy-mm-dd")&amp;"|"&amp;""&amp;"|",'CALENDARIO'!$G$15:$G$214,0)),IFERROR(INDEX('CALENDARIO'!$C$15:$C$214,MATCH(TEXT($I191,"yyyy-mm-dd")&amp;"||",'CALENDARIO'!$G$15:$G$214,0)),INDEX(patronHabil,WEEKDAY($I191,2)))))</f>
        <v/>
      </c>
    </row>
    <row r="192">
      <c r="A192" s="15" t="n"/>
      <c r="B192" s="6" t="n"/>
      <c r="C192" s="6" t="n"/>
      <c r="D192" s="6" t="n"/>
      <c r="E192" s="6" t="n"/>
      <c r="F192" s="6" t="n"/>
      <c r="G192" s="3">
        <f>IF($A192="","",TEXT($A192,"yyyy-mm-dd")&amp;"|"&amp;$D192&amp;"|"&amp;$E192)</f>
        <v/>
      </c>
      <c r="I192" s="11" t="n">
        <v>46210</v>
      </c>
      <c r="J192" s="3">
        <f>IFERROR(INDEX('CALENDARIO'!$C$15:$C$214,MATCH(TEXT($I192,"yyyy-mm-dd")&amp;"|"&amp;""&amp;"|"&amp;"",'CALENDARIO'!$G$15:$G$214,0)),IFERROR(INDEX('CALENDARIO'!$C$15:$C$214,MATCH(TEXT($I192,"yyyy-mm-dd")&amp;"|"&amp;""&amp;"|",'CALENDARIO'!$G$15:$G$214,0)),IFERROR(INDEX('CALENDARIO'!$C$15:$C$214,MATCH(TEXT($I192,"yyyy-mm-dd")&amp;"||",'CALENDARIO'!$G$15:$G$214,0)),INDEX(patronHabil,WEEKDAY($I192,2)))))</f>
        <v/>
      </c>
    </row>
    <row r="193">
      <c r="A193" s="15" t="n"/>
      <c r="B193" s="6" t="n"/>
      <c r="C193" s="6" t="n"/>
      <c r="D193" s="6" t="n"/>
      <c r="E193" s="6" t="n"/>
      <c r="F193" s="6" t="n"/>
      <c r="G193" s="3">
        <f>IF($A193="","",TEXT($A193,"yyyy-mm-dd")&amp;"|"&amp;$D193&amp;"|"&amp;$E193)</f>
        <v/>
      </c>
      <c r="I193" s="11" t="n">
        <v>46211</v>
      </c>
      <c r="J193" s="3">
        <f>IFERROR(INDEX('CALENDARIO'!$C$15:$C$214,MATCH(TEXT($I193,"yyyy-mm-dd")&amp;"|"&amp;""&amp;"|"&amp;"",'CALENDARIO'!$G$15:$G$214,0)),IFERROR(INDEX('CALENDARIO'!$C$15:$C$214,MATCH(TEXT($I193,"yyyy-mm-dd")&amp;"|"&amp;""&amp;"|",'CALENDARIO'!$G$15:$G$214,0)),IFERROR(INDEX('CALENDARIO'!$C$15:$C$214,MATCH(TEXT($I193,"yyyy-mm-dd")&amp;"||",'CALENDARIO'!$G$15:$G$214,0)),INDEX(patronHabil,WEEKDAY($I193,2)))))</f>
        <v/>
      </c>
    </row>
    <row r="194">
      <c r="A194" s="15" t="n"/>
      <c r="B194" s="6" t="n"/>
      <c r="C194" s="6" t="n"/>
      <c r="D194" s="6" t="n"/>
      <c r="E194" s="6" t="n"/>
      <c r="F194" s="6" t="n"/>
      <c r="G194" s="3">
        <f>IF($A194="","",TEXT($A194,"yyyy-mm-dd")&amp;"|"&amp;$D194&amp;"|"&amp;$E194)</f>
        <v/>
      </c>
      <c r="I194" s="11" t="n">
        <v>46212</v>
      </c>
      <c r="J194" s="3">
        <f>IFERROR(INDEX('CALENDARIO'!$C$15:$C$214,MATCH(TEXT($I194,"yyyy-mm-dd")&amp;"|"&amp;""&amp;"|"&amp;"",'CALENDARIO'!$G$15:$G$214,0)),IFERROR(INDEX('CALENDARIO'!$C$15:$C$214,MATCH(TEXT($I194,"yyyy-mm-dd")&amp;"|"&amp;""&amp;"|",'CALENDARIO'!$G$15:$G$214,0)),IFERROR(INDEX('CALENDARIO'!$C$15:$C$214,MATCH(TEXT($I194,"yyyy-mm-dd")&amp;"||",'CALENDARIO'!$G$15:$G$214,0)),INDEX(patronHabil,WEEKDAY($I194,2)))))</f>
        <v/>
      </c>
    </row>
    <row r="195">
      <c r="A195" s="15" t="n"/>
      <c r="B195" s="6" t="n"/>
      <c r="C195" s="6" t="n"/>
      <c r="D195" s="6" t="n"/>
      <c r="E195" s="6" t="n"/>
      <c r="F195" s="6" t="n"/>
      <c r="G195" s="3">
        <f>IF($A195="","",TEXT($A195,"yyyy-mm-dd")&amp;"|"&amp;$D195&amp;"|"&amp;$E195)</f>
        <v/>
      </c>
      <c r="I195" s="11" t="n">
        <v>46213</v>
      </c>
      <c r="J195" s="3">
        <f>IFERROR(INDEX('CALENDARIO'!$C$15:$C$214,MATCH(TEXT($I195,"yyyy-mm-dd")&amp;"|"&amp;""&amp;"|"&amp;"",'CALENDARIO'!$G$15:$G$214,0)),IFERROR(INDEX('CALENDARIO'!$C$15:$C$214,MATCH(TEXT($I195,"yyyy-mm-dd")&amp;"|"&amp;""&amp;"|",'CALENDARIO'!$G$15:$G$214,0)),IFERROR(INDEX('CALENDARIO'!$C$15:$C$214,MATCH(TEXT($I195,"yyyy-mm-dd")&amp;"||",'CALENDARIO'!$G$15:$G$214,0)),INDEX(patronHabil,WEEKDAY($I195,2)))))</f>
        <v/>
      </c>
    </row>
    <row r="196">
      <c r="A196" s="15" t="n"/>
      <c r="B196" s="6" t="n"/>
      <c r="C196" s="6" t="n"/>
      <c r="D196" s="6" t="n"/>
      <c r="E196" s="6" t="n"/>
      <c r="F196" s="6" t="n"/>
      <c r="G196" s="3">
        <f>IF($A196="","",TEXT($A196,"yyyy-mm-dd")&amp;"|"&amp;$D196&amp;"|"&amp;$E196)</f>
        <v/>
      </c>
      <c r="I196" s="11" t="n">
        <v>46214</v>
      </c>
      <c r="J196" s="3">
        <f>IFERROR(INDEX('CALENDARIO'!$C$15:$C$214,MATCH(TEXT($I196,"yyyy-mm-dd")&amp;"|"&amp;""&amp;"|"&amp;"",'CALENDARIO'!$G$15:$G$214,0)),IFERROR(INDEX('CALENDARIO'!$C$15:$C$214,MATCH(TEXT($I196,"yyyy-mm-dd")&amp;"|"&amp;""&amp;"|",'CALENDARIO'!$G$15:$G$214,0)),IFERROR(INDEX('CALENDARIO'!$C$15:$C$214,MATCH(TEXT($I196,"yyyy-mm-dd")&amp;"||",'CALENDARIO'!$G$15:$G$214,0)),INDEX(patronHabil,WEEKDAY($I196,2)))))</f>
        <v/>
      </c>
    </row>
    <row r="197">
      <c r="A197" s="15" t="n"/>
      <c r="B197" s="6" t="n"/>
      <c r="C197" s="6" t="n"/>
      <c r="D197" s="6" t="n"/>
      <c r="E197" s="6" t="n"/>
      <c r="F197" s="6" t="n"/>
      <c r="G197" s="3">
        <f>IF($A197="","",TEXT($A197,"yyyy-mm-dd")&amp;"|"&amp;$D197&amp;"|"&amp;$E197)</f>
        <v/>
      </c>
      <c r="I197" s="11" t="n">
        <v>46215</v>
      </c>
      <c r="J197" s="3">
        <f>IFERROR(INDEX('CALENDARIO'!$C$15:$C$214,MATCH(TEXT($I197,"yyyy-mm-dd")&amp;"|"&amp;""&amp;"|"&amp;"",'CALENDARIO'!$G$15:$G$214,0)),IFERROR(INDEX('CALENDARIO'!$C$15:$C$214,MATCH(TEXT($I197,"yyyy-mm-dd")&amp;"|"&amp;""&amp;"|",'CALENDARIO'!$G$15:$G$214,0)),IFERROR(INDEX('CALENDARIO'!$C$15:$C$214,MATCH(TEXT($I197,"yyyy-mm-dd")&amp;"||",'CALENDARIO'!$G$15:$G$214,0)),INDEX(patronHabil,WEEKDAY($I197,2)))))</f>
        <v/>
      </c>
    </row>
    <row r="198">
      <c r="A198" s="15" t="n"/>
      <c r="B198" s="6" t="n"/>
      <c r="C198" s="6" t="n"/>
      <c r="D198" s="6" t="n"/>
      <c r="E198" s="6" t="n"/>
      <c r="F198" s="6" t="n"/>
      <c r="G198" s="3">
        <f>IF($A198="","",TEXT($A198,"yyyy-mm-dd")&amp;"|"&amp;$D198&amp;"|"&amp;$E198)</f>
        <v/>
      </c>
      <c r="I198" s="11" t="n">
        <v>46216</v>
      </c>
      <c r="J198" s="3">
        <f>IFERROR(INDEX('CALENDARIO'!$C$15:$C$214,MATCH(TEXT($I198,"yyyy-mm-dd")&amp;"|"&amp;""&amp;"|"&amp;"",'CALENDARIO'!$G$15:$G$214,0)),IFERROR(INDEX('CALENDARIO'!$C$15:$C$214,MATCH(TEXT($I198,"yyyy-mm-dd")&amp;"|"&amp;""&amp;"|",'CALENDARIO'!$G$15:$G$214,0)),IFERROR(INDEX('CALENDARIO'!$C$15:$C$214,MATCH(TEXT($I198,"yyyy-mm-dd")&amp;"||",'CALENDARIO'!$G$15:$G$214,0)),INDEX(patronHabil,WEEKDAY($I198,2)))))</f>
        <v/>
      </c>
    </row>
    <row r="199">
      <c r="A199" s="15" t="n"/>
      <c r="B199" s="6" t="n"/>
      <c r="C199" s="6" t="n"/>
      <c r="D199" s="6" t="n"/>
      <c r="E199" s="6" t="n"/>
      <c r="F199" s="6" t="n"/>
      <c r="G199" s="3">
        <f>IF($A199="","",TEXT($A199,"yyyy-mm-dd")&amp;"|"&amp;$D199&amp;"|"&amp;$E199)</f>
        <v/>
      </c>
      <c r="I199" s="11" t="n">
        <v>46217</v>
      </c>
      <c r="J199" s="3">
        <f>IFERROR(INDEX('CALENDARIO'!$C$15:$C$214,MATCH(TEXT($I199,"yyyy-mm-dd")&amp;"|"&amp;""&amp;"|"&amp;"",'CALENDARIO'!$G$15:$G$214,0)),IFERROR(INDEX('CALENDARIO'!$C$15:$C$214,MATCH(TEXT($I199,"yyyy-mm-dd")&amp;"|"&amp;""&amp;"|",'CALENDARIO'!$G$15:$G$214,0)),IFERROR(INDEX('CALENDARIO'!$C$15:$C$214,MATCH(TEXT($I199,"yyyy-mm-dd")&amp;"||",'CALENDARIO'!$G$15:$G$214,0)),INDEX(patronHabil,WEEKDAY($I199,2)))))</f>
        <v/>
      </c>
    </row>
    <row r="200">
      <c r="A200" s="15" t="n"/>
      <c r="B200" s="6" t="n"/>
      <c r="C200" s="6" t="n"/>
      <c r="D200" s="6" t="n"/>
      <c r="E200" s="6" t="n"/>
      <c r="F200" s="6" t="n"/>
      <c r="G200" s="3">
        <f>IF($A200="","",TEXT($A200,"yyyy-mm-dd")&amp;"|"&amp;$D200&amp;"|"&amp;$E200)</f>
        <v/>
      </c>
      <c r="I200" s="11" t="n">
        <v>46218</v>
      </c>
      <c r="J200" s="3">
        <f>IFERROR(INDEX('CALENDARIO'!$C$15:$C$214,MATCH(TEXT($I200,"yyyy-mm-dd")&amp;"|"&amp;""&amp;"|"&amp;"",'CALENDARIO'!$G$15:$G$214,0)),IFERROR(INDEX('CALENDARIO'!$C$15:$C$214,MATCH(TEXT($I200,"yyyy-mm-dd")&amp;"|"&amp;""&amp;"|",'CALENDARIO'!$G$15:$G$214,0)),IFERROR(INDEX('CALENDARIO'!$C$15:$C$214,MATCH(TEXT($I200,"yyyy-mm-dd")&amp;"||",'CALENDARIO'!$G$15:$G$214,0)),INDEX(patronHabil,WEEKDAY($I200,2)))))</f>
        <v/>
      </c>
    </row>
    <row r="201">
      <c r="A201" s="15" t="n"/>
      <c r="B201" s="6" t="n"/>
      <c r="C201" s="6" t="n"/>
      <c r="D201" s="6" t="n"/>
      <c r="E201" s="6" t="n"/>
      <c r="F201" s="6" t="n"/>
      <c r="G201" s="3">
        <f>IF($A201="","",TEXT($A201,"yyyy-mm-dd")&amp;"|"&amp;$D201&amp;"|"&amp;$E201)</f>
        <v/>
      </c>
      <c r="I201" s="11" t="n">
        <v>46219</v>
      </c>
      <c r="J201" s="3">
        <f>IFERROR(INDEX('CALENDARIO'!$C$15:$C$214,MATCH(TEXT($I201,"yyyy-mm-dd")&amp;"|"&amp;""&amp;"|"&amp;"",'CALENDARIO'!$G$15:$G$214,0)),IFERROR(INDEX('CALENDARIO'!$C$15:$C$214,MATCH(TEXT($I201,"yyyy-mm-dd")&amp;"|"&amp;""&amp;"|",'CALENDARIO'!$G$15:$G$214,0)),IFERROR(INDEX('CALENDARIO'!$C$15:$C$214,MATCH(TEXT($I201,"yyyy-mm-dd")&amp;"||",'CALENDARIO'!$G$15:$G$214,0)),INDEX(patronHabil,WEEKDAY($I201,2)))))</f>
        <v/>
      </c>
    </row>
    <row r="202">
      <c r="A202" s="15" t="n"/>
      <c r="B202" s="6" t="n"/>
      <c r="C202" s="6" t="n"/>
      <c r="D202" s="6" t="n"/>
      <c r="E202" s="6" t="n"/>
      <c r="F202" s="6" t="n"/>
      <c r="G202" s="3">
        <f>IF($A202="","",TEXT($A202,"yyyy-mm-dd")&amp;"|"&amp;$D202&amp;"|"&amp;$E202)</f>
        <v/>
      </c>
      <c r="I202" s="11" t="n">
        <v>46220</v>
      </c>
      <c r="J202" s="3">
        <f>IFERROR(INDEX('CALENDARIO'!$C$15:$C$214,MATCH(TEXT($I202,"yyyy-mm-dd")&amp;"|"&amp;""&amp;"|"&amp;"",'CALENDARIO'!$G$15:$G$214,0)),IFERROR(INDEX('CALENDARIO'!$C$15:$C$214,MATCH(TEXT($I202,"yyyy-mm-dd")&amp;"|"&amp;""&amp;"|",'CALENDARIO'!$G$15:$G$214,0)),IFERROR(INDEX('CALENDARIO'!$C$15:$C$214,MATCH(TEXT($I202,"yyyy-mm-dd")&amp;"||",'CALENDARIO'!$G$15:$G$214,0)),INDEX(patronHabil,WEEKDAY($I202,2)))))</f>
        <v/>
      </c>
    </row>
    <row r="203">
      <c r="A203" s="15" t="n"/>
      <c r="B203" s="6" t="n"/>
      <c r="C203" s="6" t="n"/>
      <c r="D203" s="6" t="n"/>
      <c r="E203" s="6" t="n"/>
      <c r="F203" s="6" t="n"/>
      <c r="G203" s="3">
        <f>IF($A203="","",TEXT($A203,"yyyy-mm-dd")&amp;"|"&amp;$D203&amp;"|"&amp;$E203)</f>
        <v/>
      </c>
      <c r="I203" s="11" t="n">
        <v>46221</v>
      </c>
      <c r="J203" s="3">
        <f>IFERROR(INDEX('CALENDARIO'!$C$15:$C$214,MATCH(TEXT($I203,"yyyy-mm-dd")&amp;"|"&amp;""&amp;"|"&amp;"",'CALENDARIO'!$G$15:$G$214,0)),IFERROR(INDEX('CALENDARIO'!$C$15:$C$214,MATCH(TEXT($I203,"yyyy-mm-dd")&amp;"|"&amp;""&amp;"|",'CALENDARIO'!$G$15:$G$214,0)),IFERROR(INDEX('CALENDARIO'!$C$15:$C$214,MATCH(TEXT($I203,"yyyy-mm-dd")&amp;"||",'CALENDARIO'!$G$15:$G$214,0)),INDEX(patronHabil,WEEKDAY($I203,2)))))</f>
        <v/>
      </c>
    </row>
    <row r="204">
      <c r="A204" s="15" t="n"/>
      <c r="B204" s="6" t="n"/>
      <c r="C204" s="6" t="n"/>
      <c r="D204" s="6" t="n"/>
      <c r="E204" s="6" t="n"/>
      <c r="F204" s="6" t="n"/>
      <c r="G204" s="3">
        <f>IF($A204="","",TEXT($A204,"yyyy-mm-dd")&amp;"|"&amp;$D204&amp;"|"&amp;$E204)</f>
        <v/>
      </c>
      <c r="I204" s="11" t="n">
        <v>46222</v>
      </c>
      <c r="J204" s="3">
        <f>IFERROR(INDEX('CALENDARIO'!$C$15:$C$214,MATCH(TEXT($I204,"yyyy-mm-dd")&amp;"|"&amp;""&amp;"|"&amp;"",'CALENDARIO'!$G$15:$G$214,0)),IFERROR(INDEX('CALENDARIO'!$C$15:$C$214,MATCH(TEXT($I204,"yyyy-mm-dd")&amp;"|"&amp;""&amp;"|",'CALENDARIO'!$G$15:$G$214,0)),IFERROR(INDEX('CALENDARIO'!$C$15:$C$214,MATCH(TEXT($I204,"yyyy-mm-dd")&amp;"||",'CALENDARIO'!$G$15:$G$214,0)),INDEX(patronHabil,WEEKDAY($I204,2)))))</f>
        <v/>
      </c>
    </row>
    <row r="205">
      <c r="A205" s="15" t="n"/>
      <c r="B205" s="6" t="n"/>
      <c r="C205" s="6" t="n"/>
      <c r="D205" s="6" t="n"/>
      <c r="E205" s="6" t="n"/>
      <c r="F205" s="6" t="n"/>
      <c r="G205" s="3">
        <f>IF($A205="","",TEXT($A205,"yyyy-mm-dd")&amp;"|"&amp;$D205&amp;"|"&amp;$E205)</f>
        <v/>
      </c>
      <c r="I205" s="11" t="n">
        <v>46223</v>
      </c>
      <c r="J205" s="3">
        <f>IFERROR(INDEX('CALENDARIO'!$C$15:$C$214,MATCH(TEXT($I205,"yyyy-mm-dd")&amp;"|"&amp;""&amp;"|"&amp;"",'CALENDARIO'!$G$15:$G$214,0)),IFERROR(INDEX('CALENDARIO'!$C$15:$C$214,MATCH(TEXT($I205,"yyyy-mm-dd")&amp;"|"&amp;""&amp;"|",'CALENDARIO'!$G$15:$G$214,0)),IFERROR(INDEX('CALENDARIO'!$C$15:$C$214,MATCH(TEXT($I205,"yyyy-mm-dd")&amp;"||",'CALENDARIO'!$G$15:$G$214,0)),INDEX(patronHabil,WEEKDAY($I205,2)))))</f>
        <v/>
      </c>
    </row>
    <row r="206">
      <c r="A206" s="15" t="n"/>
      <c r="B206" s="6" t="n"/>
      <c r="C206" s="6" t="n"/>
      <c r="D206" s="6" t="n"/>
      <c r="E206" s="6" t="n"/>
      <c r="F206" s="6" t="n"/>
      <c r="G206" s="3">
        <f>IF($A206="","",TEXT($A206,"yyyy-mm-dd")&amp;"|"&amp;$D206&amp;"|"&amp;$E206)</f>
        <v/>
      </c>
      <c r="I206" s="11" t="n">
        <v>46224</v>
      </c>
      <c r="J206" s="3">
        <f>IFERROR(INDEX('CALENDARIO'!$C$15:$C$214,MATCH(TEXT($I206,"yyyy-mm-dd")&amp;"|"&amp;""&amp;"|"&amp;"",'CALENDARIO'!$G$15:$G$214,0)),IFERROR(INDEX('CALENDARIO'!$C$15:$C$214,MATCH(TEXT($I206,"yyyy-mm-dd")&amp;"|"&amp;""&amp;"|",'CALENDARIO'!$G$15:$G$214,0)),IFERROR(INDEX('CALENDARIO'!$C$15:$C$214,MATCH(TEXT($I206,"yyyy-mm-dd")&amp;"||",'CALENDARIO'!$G$15:$G$214,0)),INDEX(patronHabil,WEEKDAY($I206,2)))))</f>
        <v/>
      </c>
    </row>
    <row r="207">
      <c r="A207" s="15" t="n"/>
      <c r="B207" s="6" t="n"/>
      <c r="C207" s="6" t="n"/>
      <c r="D207" s="6" t="n"/>
      <c r="E207" s="6" t="n"/>
      <c r="F207" s="6" t="n"/>
      <c r="G207" s="3">
        <f>IF($A207="","",TEXT($A207,"yyyy-mm-dd")&amp;"|"&amp;$D207&amp;"|"&amp;$E207)</f>
        <v/>
      </c>
      <c r="I207" s="11" t="n">
        <v>46225</v>
      </c>
      <c r="J207" s="3">
        <f>IFERROR(INDEX('CALENDARIO'!$C$15:$C$214,MATCH(TEXT($I207,"yyyy-mm-dd")&amp;"|"&amp;""&amp;"|"&amp;"",'CALENDARIO'!$G$15:$G$214,0)),IFERROR(INDEX('CALENDARIO'!$C$15:$C$214,MATCH(TEXT($I207,"yyyy-mm-dd")&amp;"|"&amp;""&amp;"|",'CALENDARIO'!$G$15:$G$214,0)),IFERROR(INDEX('CALENDARIO'!$C$15:$C$214,MATCH(TEXT($I207,"yyyy-mm-dd")&amp;"||",'CALENDARIO'!$G$15:$G$214,0)),INDEX(patronHabil,WEEKDAY($I207,2)))))</f>
        <v/>
      </c>
    </row>
    <row r="208">
      <c r="A208" s="15" t="n"/>
      <c r="B208" s="6" t="n"/>
      <c r="C208" s="6" t="n"/>
      <c r="D208" s="6" t="n"/>
      <c r="E208" s="6" t="n"/>
      <c r="F208" s="6" t="n"/>
      <c r="G208" s="3">
        <f>IF($A208="","",TEXT($A208,"yyyy-mm-dd")&amp;"|"&amp;$D208&amp;"|"&amp;$E208)</f>
        <v/>
      </c>
      <c r="I208" s="11" t="n">
        <v>46226</v>
      </c>
      <c r="J208" s="3">
        <f>IFERROR(INDEX('CALENDARIO'!$C$15:$C$214,MATCH(TEXT($I208,"yyyy-mm-dd")&amp;"|"&amp;""&amp;"|"&amp;"",'CALENDARIO'!$G$15:$G$214,0)),IFERROR(INDEX('CALENDARIO'!$C$15:$C$214,MATCH(TEXT($I208,"yyyy-mm-dd")&amp;"|"&amp;""&amp;"|",'CALENDARIO'!$G$15:$G$214,0)),IFERROR(INDEX('CALENDARIO'!$C$15:$C$214,MATCH(TEXT($I208,"yyyy-mm-dd")&amp;"||",'CALENDARIO'!$G$15:$G$214,0)),INDEX(patronHabil,WEEKDAY($I208,2)))))</f>
        <v/>
      </c>
    </row>
    <row r="209">
      <c r="A209" s="15" t="n"/>
      <c r="B209" s="6" t="n"/>
      <c r="C209" s="6" t="n"/>
      <c r="D209" s="6" t="n"/>
      <c r="E209" s="6" t="n"/>
      <c r="F209" s="6" t="n"/>
      <c r="G209" s="3">
        <f>IF($A209="","",TEXT($A209,"yyyy-mm-dd")&amp;"|"&amp;$D209&amp;"|"&amp;$E209)</f>
        <v/>
      </c>
      <c r="I209" s="11" t="n">
        <v>46227</v>
      </c>
      <c r="J209" s="3">
        <f>IFERROR(INDEX('CALENDARIO'!$C$15:$C$214,MATCH(TEXT($I209,"yyyy-mm-dd")&amp;"|"&amp;""&amp;"|"&amp;"",'CALENDARIO'!$G$15:$G$214,0)),IFERROR(INDEX('CALENDARIO'!$C$15:$C$214,MATCH(TEXT($I209,"yyyy-mm-dd")&amp;"|"&amp;""&amp;"|",'CALENDARIO'!$G$15:$G$214,0)),IFERROR(INDEX('CALENDARIO'!$C$15:$C$214,MATCH(TEXT($I209,"yyyy-mm-dd")&amp;"||",'CALENDARIO'!$G$15:$G$214,0)),INDEX(patronHabil,WEEKDAY($I209,2)))))</f>
        <v/>
      </c>
    </row>
    <row r="210">
      <c r="A210" s="15" t="n"/>
      <c r="B210" s="6" t="n"/>
      <c r="C210" s="6" t="n"/>
      <c r="D210" s="6" t="n"/>
      <c r="E210" s="6" t="n"/>
      <c r="F210" s="6" t="n"/>
      <c r="G210" s="3">
        <f>IF($A210="","",TEXT($A210,"yyyy-mm-dd")&amp;"|"&amp;$D210&amp;"|"&amp;$E210)</f>
        <v/>
      </c>
      <c r="I210" s="11" t="n">
        <v>46228</v>
      </c>
      <c r="J210" s="3">
        <f>IFERROR(INDEX('CALENDARIO'!$C$15:$C$214,MATCH(TEXT($I210,"yyyy-mm-dd")&amp;"|"&amp;""&amp;"|"&amp;"",'CALENDARIO'!$G$15:$G$214,0)),IFERROR(INDEX('CALENDARIO'!$C$15:$C$214,MATCH(TEXT($I210,"yyyy-mm-dd")&amp;"|"&amp;""&amp;"|",'CALENDARIO'!$G$15:$G$214,0)),IFERROR(INDEX('CALENDARIO'!$C$15:$C$214,MATCH(TEXT($I210,"yyyy-mm-dd")&amp;"||",'CALENDARIO'!$G$15:$G$214,0)),INDEX(patronHabil,WEEKDAY($I210,2)))))</f>
        <v/>
      </c>
    </row>
    <row r="211">
      <c r="A211" s="15" t="n"/>
      <c r="B211" s="6" t="n"/>
      <c r="C211" s="6" t="n"/>
      <c r="D211" s="6" t="n"/>
      <c r="E211" s="6" t="n"/>
      <c r="F211" s="6" t="n"/>
      <c r="G211" s="3">
        <f>IF($A211="","",TEXT($A211,"yyyy-mm-dd")&amp;"|"&amp;$D211&amp;"|"&amp;$E211)</f>
        <v/>
      </c>
      <c r="I211" s="11" t="n">
        <v>46229</v>
      </c>
      <c r="J211" s="3">
        <f>IFERROR(INDEX('CALENDARIO'!$C$15:$C$214,MATCH(TEXT($I211,"yyyy-mm-dd")&amp;"|"&amp;""&amp;"|"&amp;"",'CALENDARIO'!$G$15:$G$214,0)),IFERROR(INDEX('CALENDARIO'!$C$15:$C$214,MATCH(TEXT($I211,"yyyy-mm-dd")&amp;"|"&amp;""&amp;"|",'CALENDARIO'!$G$15:$G$214,0)),IFERROR(INDEX('CALENDARIO'!$C$15:$C$214,MATCH(TEXT($I211,"yyyy-mm-dd")&amp;"||",'CALENDARIO'!$G$15:$G$214,0)),INDEX(patronHabil,WEEKDAY($I211,2)))))</f>
        <v/>
      </c>
    </row>
    <row r="212">
      <c r="A212" s="15" t="n"/>
      <c r="B212" s="6" t="n"/>
      <c r="C212" s="6" t="n"/>
      <c r="D212" s="6" t="n"/>
      <c r="E212" s="6" t="n"/>
      <c r="F212" s="6" t="n"/>
      <c r="G212" s="3">
        <f>IF($A212="","",TEXT($A212,"yyyy-mm-dd")&amp;"|"&amp;$D212&amp;"|"&amp;$E212)</f>
        <v/>
      </c>
      <c r="I212" s="11" t="n">
        <v>46230</v>
      </c>
      <c r="J212" s="3">
        <f>IFERROR(INDEX('CALENDARIO'!$C$15:$C$214,MATCH(TEXT($I212,"yyyy-mm-dd")&amp;"|"&amp;""&amp;"|"&amp;"",'CALENDARIO'!$G$15:$G$214,0)),IFERROR(INDEX('CALENDARIO'!$C$15:$C$214,MATCH(TEXT($I212,"yyyy-mm-dd")&amp;"|"&amp;""&amp;"|",'CALENDARIO'!$G$15:$G$214,0)),IFERROR(INDEX('CALENDARIO'!$C$15:$C$214,MATCH(TEXT($I212,"yyyy-mm-dd")&amp;"||",'CALENDARIO'!$G$15:$G$214,0)),INDEX(patronHabil,WEEKDAY($I212,2)))))</f>
        <v/>
      </c>
    </row>
    <row r="213">
      <c r="A213" s="15" t="n"/>
      <c r="B213" s="6" t="n"/>
      <c r="C213" s="6" t="n"/>
      <c r="D213" s="6" t="n"/>
      <c r="E213" s="6" t="n"/>
      <c r="F213" s="6" t="n"/>
      <c r="G213" s="3">
        <f>IF($A213="","",TEXT($A213,"yyyy-mm-dd")&amp;"|"&amp;$D213&amp;"|"&amp;$E213)</f>
        <v/>
      </c>
      <c r="I213" s="11" t="n">
        <v>46231</v>
      </c>
      <c r="J213" s="3">
        <f>IFERROR(INDEX('CALENDARIO'!$C$15:$C$214,MATCH(TEXT($I213,"yyyy-mm-dd")&amp;"|"&amp;""&amp;"|"&amp;"",'CALENDARIO'!$G$15:$G$214,0)),IFERROR(INDEX('CALENDARIO'!$C$15:$C$214,MATCH(TEXT($I213,"yyyy-mm-dd")&amp;"|"&amp;""&amp;"|",'CALENDARIO'!$G$15:$G$214,0)),IFERROR(INDEX('CALENDARIO'!$C$15:$C$214,MATCH(TEXT($I213,"yyyy-mm-dd")&amp;"||",'CALENDARIO'!$G$15:$G$214,0)),INDEX(patronHabil,WEEKDAY($I213,2)))))</f>
        <v/>
      </c>
    </row>
    <row r="214">
      <c r="A214" s="15" t="n"/>
      <c r="B214" s="6" t="n"/>
      <c r="C214" s="6" t="n"/>
      <c r="D214" s="6" t="n"/>
      <c r="E214" s="6" t="n"/>
      <c r="F214" s="6" t="n"/>
      <c r="G214" s="3">
        <f>IF($A214="","",TEXT($A214,"yyyy-mm-dd")&amp;"|"&amp;$D214&amp;"|"&amp;$E214)</f>
        <v/>
      </c>
      <c r="I214" s="11" t="n">
        <v>46232</v>
      </c>
      <c r="J214" s="3">
        <f>IFERROR(INDEX('CALENDARIO'!$C$15:$C$214,MATCH(TEXT($I214,"yyyy-mm-dd")&amp;"|"&amp;""&amp;"|"&amp;"",'CALENDARIO'!$G$15:$G$214,0)),IFERROR(INDEX('CALENDARIO'!$C$15:$C$214,MATCH(TEXT($I214,"yyyy-mm-dd")&amp;"|"&amp;""&amp;"|",'CALENDARIO'!$G$15:$G$214,0)),IFERROR(INDEX('CALENDARIO'!$C$15:$C$214,MATCH(TEXT($I214,"yyyy-mm-dd")&amp;"||",'CALENDARIO'!$G$15:$G$214,0)),INDEX(patronHabil,WEEKDAY($I214,2)))))</f>
        <v/>
      </c>
    </row>
    <row r="215">
      <c r="I215" s="11" t="n">
        <v>46233</v>
      </c>
      <c r="J215" s="3">
        <f>IFERROR(INDEX('CALENDARIO'!$C$15:$C$214,MATCH(TEXT($I215,"yyyy-mm-dd")&amp;"|"&amp;""&amp;"|"&amp;"",'CALENDARIO'!$G$15:$G$214,0)),IFERROR(INDEX('CALENDARIO'!$C$15:$C$214,MATCH(TEXT($I215,"yyyy-mm-dd")&amp;"|"&amp;""&amp;"|",'CALENDARIO'!$G$15:$G$214,0)),IFERROR(INDEX('CALENDARIO'!$C$15:$C$214,MATCH(TEXT($I215,"yyyy-mm-dd")&amp;"||",'CALENDARIO'!$G$15:$G$214,0)),INDEX(patronHabil,WEEKDAY($I215,2)))))</f>
        <v/>
      </c>
    </row>
    <row r="216">
      <c r="I216" s="11" t="n">
        <v>46234</v>
      </c>
      <c r="J216" s="3">
        <f>IFERROR(INDEX('CALENDARIO'!$C$15:$C$214,MATCH(TEXT($I216,"yyyy-mm-dd")&amp;"|"&amp;""&amp;"|"&amp;"",'CALENDARIO'!$G$15:$G$214,0)),IFERROR(INDEX('CALENDARIO'!$C$15:$C$214,MATCH(TEXT($I216,"yyyy-mm-dd")&amp;"|"&amp;""&amp;"|",'CALENDARIO'!$G$15:$G$214,0)),IFERROR(INDEX('CALENDARIO'!$C$15:$C$214,MATCH(TEXT($I216,"yyyy-mm-dd")&amp;"||",'CALENDARIO'!$G$15:$G$214,0)),INDEX(patronHabil,WEEKDAY($I216,2)))))</f>
        <v/>
      </c>
    </row>
    <row r="217">
      <c r="I217" s="11" t="n">
        <v>46235</v>
      </c>
      <c r="J217" s="3">
        <f>IFERROR(INDEX('CALENDARIO'!$C$15:$C$214,MATCH(TEXT($I217,"yyyy-mm-dd")&amp;"|"&amp;""&amp;"|"&amp;"",'CALENDARIO'!$G$15:$G$214,0)),IFERROR(INDEX('CALENDARIO'!$C$15:$C$214,MATCH(TEXT($I217,"yyyy-mm-dd")&amp;"|"&amp;""&amp;"|",'CALENDARIO'!$G$15:$G$214,0)),IFERROR(INDEX('CALENDARIO'!$C$15:$C$214,MATCH(TEXT($I217,"yyyy-mm-dd")&amp;"||",'CALENDARIO'!$G$15:$G$214,0)),INDEX(patronHabil,WEEKDAY($I217,2)))))</f>
        <v/>
      </c>
    </row>
    <row r="218">
      <c r="I218" s="11" t="n">
        <v>46236</v>
      </c>
      <c r="J218" s="3">
        <f>IFERROR(INDEX('CALENDARIO'!$C$15:$C$214,MATCH(TEXT($I218,"yyyy-mm-dd")&amp;"|"&amp;""&amp;"|"&amp;"",'CALENDARIO'!$G$15:$G$214,0)),IFERROR(INDEX('CALENDARIO'!$C$15:$C$214,MATCH(TEXT($I218,"yyyy-mm-dd")&amp;"|"&amp;""&amp;"|",'CALENDARIO'!$G$15:$G$214,0)),IFERROR(INDEX('CALENDARIO'!$C$15:$C$214,MATCH(TEXT($I218,"yyyy-mm-dd")&amp;"||",'CALENDARIO'!$G$15:$G$214,0)),INDEX(patronHabil,WEEKDAY($I218,2)))))</f>
        <v/>
      </c>
    </row>
    <row r="219">
      <c r="I219" s="11" t="n">
        <v>46237</v>
      </c>
      <c r="J219" s="3">
        <f>IFERROR(INDEX('CALENDARIO'!$C$15:$C$214,MATCH(TEXT($I219,"yyyy-mm-dd")&amp;"|"&amp;""&amp;"|"&amp;"",'CALENDARIO'!$G$15:$G$214,0)),IFERROR(INDEX('CALENDARIO'!$C$15:$C$214,MATCH(TEXT($I219,"yyyy-mm-dd")&amp;"|"&amp;""&amp;"|",'CALENDARIO'!$G$15:$G$214,0)),IFERROR(INDEX('CALENDARIO'!$C$15:$C$214,MATCH(TEXT($I219,"yyyy-mm-dd")&amp;"||",'CALENDARIO'!$G$15:$G$214,0)),INDEX(patronHabil,WEEKDAY($I219,2)))))</f>
        <v/>
      </c>
    </row>
    <row r="220">
      <c r="I220" s="11" t="n">
        <v>46238</v>
      </c>
      <c r="J220" s="3">
        <f>IFERROR(INDEX('CALENDARIO'!$C$15:$C$214,MATCH(TEXT($I220,"yyyy-mm-dd")&amp;"|"&amp;""&amp;"|"&amp;"",'CALENDARIO'!$G$15:$G$214,0)),IFERROR(INDEX('CALENDARIO'!$C$15:$C$214,MATCH(TEXT($I220,"yyyy-mm-dd")&amp;"|"&amp;""&amp;"|",'CALENDARIO'!$G$15:$G$214,0)),IFERROR(INDEX('CALENDARIO'!$C$15:$C$214,MATCH(TEXT($I220,"yyyy-mm-dd")&amp;"||",'CALENDARIO'!$G$15:$G$214,0)),INDEX(patronHabil,WEEKDAY($I220,2)))))</f>
        <v/>
      </c>
    </row>
    <row r="221">
      <c r="I221" s="11" t="n">
        <v>46239</v>
      </c>
      <c r="J221" s="3">
        <f>IFERROR(INDEX('CALENDARIO'!$C$15:$C$214,MATCH(TEXT($I221,"yyyy-mm-dd")&amp;"|"&amp;""&amp;"|"&amp;"",'CALENDARIO'!$G$15:$G$214,0)),IFERROR(INDEX('CALENDARIO'!$C$15:$C$214,MATCH(TEXT($I221,"yyyy-mm-dd")&amp;"|"&amp;""&amp;"|",'CALENDARIO'!$G$15:$G$214,0)),IFERROR(INDEX('CALENDARIO'!$C$15:$C$214,MATCH(TEXT($I221,"yyyy-mm-dd")&amp;"||",'CALENDARIO'!$G$15:$G$214,0)),INDEX(patronHabil,WEEKDAY($I221,2)))))</f>
        <v/>
      </c>
    </row>
    <row r="222">
      <c r="I222" s="11" t="n">
        <v>46240</v>
      </c>
      <c r="J222" s="3">
        <f>IFERROR(INDEX('CALENDARIO'!$C$15:$C$214,MATCH(TEXT($I222,"yyyy-mm-dd")&amp;"|"&amp;""&amp;"|"&amp;"",'CALENDARIO'!$G$15:$G$214,0)),IFERROR(INDEX('CALENDARIO'!$C$15:$C$214,MATCH(TEXT($I222,"yyyy-mm-dd")&amp;"|"&amp;""&amp;"|",'CALENDARIO'!$G$15:$G$214,0)),IFERROR(INDEX('CALENDARIO'!$C$15:$C$214,MATCH(TEXT($I222,"yyyy-mm-dd")&amp;"||",'CALENDARIO'!$G$15:$G$214,0)),INDEX(patronHabil,WEEKDAY($I222,2)))))</f>
        <v/>
      </c>
    </row>
    <row r="223">
      <c r="I223" s="11" t="n">
        <v>46241</v>
      </c>
      <c r="J223" s="3">
        <f>IFERROR(INDEX('CALENDARIO'!$C$15:$C$214,MATCH(TEXT($I223,"yyyy-mm-dd")&amp;"|"&amp;""&amp;"|"&amp;"",'CALENDARIO'!$G$15:$G$214,0)),IFERROR(INDEX('CALENDARIO'!$C$15:$C$214,MATCH(TEXT($I223,"yyyy-mm-dd")&amp;"|"&amp;""&amp;"|",'CALENDARIO'!$G$15:$G$214,0)),IFERROR(INDEX('CALENDARIO'!$C$15:$C$214,MATCH(TEXT($I223,"yyyy-mm-dd")&amp;"||",'CALENDARIO'!$G$15:$G$214,0)),INDEX(patronHabil,WEEKDAY($I223,2)))))</f>
        <v/>
      </c>
    </row>
    <row r="224">
      <c r="I224" s="11" t="n">
        <v>46242</v>
      </c>
      <c r="J224" s="3">
        <f>IFERROR(INDEX('CALENDARIO'!$C$15:$C$214,MATCH(TEXT($I224,"yyyy-mm-dd")&amp;"|"&amp;""&amp;"|"&amp;"",'CALENDARIO'!$G$15:$G$214,0)),IFERROR(INDEX('CALENDARIO'!$C$15:$C$214,MATCH(TEXT($I224,"yyyy-mm-dd")&amp;"|"&amp;""&amp;"|",'CALENDARIO'!$G$15:$G$214,0)),IFERROR(INDEX('CALENDARIO'!$C$15:$C$214,MATCH(TEXT($I224,"yyyy-mm-dd")&amp;"||",'CALENDARIO'!$G$15:$G$214,0)),INDEX(patronHabil,WEEKDAY($I224,2)))))</f>
        <v/>
      </c>
    </row>
    <row r="225">
      <c r="I225" s="11" t="n">
        <v>46243</v>
      </c>
      <c r="J225" s="3">
        <f>IFERROR(INDEX('CALENDARIO'!$C$15:$C$214,MATCH(TEXT($I225,"yyyy-mm-dd")&amp;"|"&amp;""&amp;"|"&amp;"",'CALENDARIO'!$G$15:$G$214,0)),IFERROR(INDEX('CALENDARIO'!$C$15:$C$214,MATCH(TEXT($I225,"yyyy-mm-dd")&amp;"|"&amp;""&amp;"|",'CALENDARIO'!$G$15:$G$214,0)),IFERROR(INDEX('CALENDARIO'!$C$15:$C$214,MATCH(TEXT($I225,"yyyy-mm-dd")&amp;"||",'CALENDARIO'!$G$15:$G$214,0)),INDEX(patronHabil,WEEKDAY($I225,2)))))</f>
        <v/>
      </c>
    </row>
    <row r="226">
      <c r="I226" s="11" t="n">
        <v>46244</v>
      </c>
      <c r="J226" s="3">
        <f>IFERROR(INDEX('CALENDARIO'!$C$15:$C$214,MATCH(TEXT($I226,"yyyy-mm-dd")&amp;"|"&amp;""&amp;"|"&amp;"",'CALENDARIO'!$G$15:$G$214,0)),IFERROR(INDEX('CALENDARIO'!$C$15:$C$214,MATCH(TEXT($I226,"yyyy-mm-dd")&amp;"|"&amp;""&amp;"|",'CALENDARIO'!$G$15:$G$214,0)),IFERROR(INDEX('CALENDARIO'!$C$15:$C$214,MATCH(TEXT($I226,"yyyy-mm-dd")&amp;"||",'CALENDARIO'!$G$15:$G$214,0)),INDEX(patronHabil,WEEKDAY($I226,2)))))</f>
        <v/>
      </c>
    </row>
    <row r="227">
      <c r="I227" s="11" t="n">
        <v>46245</v>
      </c>
      <c r="J227" s="3">
        <f>IFERROR(INDEX('CALENDARIO'!$C$15:$C$214,MATCH(TEXT($I227,"yyyy-mm-dd")&amp;"|"&amp;""&amp;"|"&amp;"",'CALENDARIO'!$G$15:$G$214,0)),IFERROR(INDEX('CALENDARIO'!$C$15:$C$214,MATCH(TEXT($I227,"yyyy-mm-dd")&amp;"|"&amp;""&amp;"|",'CALENDARIO'!$G$15:$G$214,0)),IFERROR(INDEX('CALENDARIO'!$C$15:$C$214,MATCH(TEXT($I227,"yyyy-mm-dd")&amp;"||",'CALENDARIO'!$G$15:$G$214,0)),INDEX(patronHabil,WEEKDAY($I227,2)))))</f>
        <v/>
      </c>
    </row>
    <row r="228">
      <c r="I228" s="11" t="n">
        <v>46246</v>
      </c>
      <c r="J228" s="3">
        <f>IFERROR(INDEX('CALENDARIO'!$C$15:$C$214,MATCH(TEXT($I228,"yyyy-mm-dd")&amp;"|"&amp;""&amp;"|"&amp;"",'CALENDARIO'!$G$15:$G$214,0)),IFERROR(INDEX('CALENDARIO'!$C$15:$C$214,MATCH(TEXT($I228,"yyyy-mm-dd")&amp;"|"&amp;""&amp;"|",'CALENDARIO'!$G$15:$G$214,0)),IFERROR(INDEX('CALENDARIO'!$C$15:$C$214,MATCH(TEXT($I228,"yyyy-mm-dd")&amp;"||",'CALENDARIO'!$G$15:$G$214,0)),INDEX(patronHabil,WEEKDAY($I228,2)))))</f>
        <v/>
      </c>
    </row>
    <row r="229">
      <c r="I229" s="11" t="n">
        <v>46247</v>
      </c>
      <c r="J229" s="3">
        <f>IFERROR(INDEX('CALENDARIO'!$C$15:$C$214,MATCH(TEXT($I229,"yyyy-mm-dd")&amp;"|"&amp;""&amp;"|"&amp;"",'CALENDARIO'!$G$15:$G$214,0)),IFERROR(INDEX('CALENDARIO'!$C$15:$C$214,MATCH(TEXT($I229,"yyyy-mm-dd")&amp;"|"&amp;""&amp;"|",'CALENDARIO'!$G$15:$G$214,0)),IFERROR(INDEX('CALENDARIO'!$C$15:$C$214,MATCH(TEXT($I229,"yyyy-mm-dd")&amp;"||",'CALENDARIO'!$G$15:$G$214,0)),INDEX(patronHabil,WEEKDAY($I229,2)))))</f>
        <v/>
      </c>
    </row>
    <row r="230">
      <c r="I230" s="11" t="n">
        <v>46248</v>
      </c>
      <c r="J230" s="3">
        <f>IFERROR(INDEX('CALENDARIO'!$C$15:$C$214,MATCH(TEXT($I230,"yyyy-mm-dd")&amp;"|"&amp;""&amp;"|"&amp;"",'CALENDARIO'!$G$15:$G$214,0)),IFERROR(INDEX('CALENDARIO'!$C$15:$C$214,MATCH(TEXT($I230,"yyyy-mm-dd")&amp;"|"&amp;""&amp;"|",'CALENDARIO'!$G$15:$G$214,0)),IFERROR(INDEX('CALENDARIO'!$C$15:$C$214,MATCH(TEXT($I230,"yyyy-mm-dd")&amp;"||",'CALENDARIO'!$G$15:$G$214,0)),INDEX(patronHabil,WEEKDAY($I230,2)))))</f>
        <v/>
      </c>
    </row>
    <row r="231">
      <c r="I231" s="11" t="n">
        <v>46249</v>
      </c>
      <c r="J231" s="3">
        <f>IFERROR(INDEX('CALENDARIO'!$C$15:$C$214,MATCH(TEXT($I231,"yyyy-mm-dd")&amp;"|"&amp;""&amp;"|"&amp;"",'CALENDARIO'!$G$15:$G$214,0)),IFERROR(INDEX('CALENDARIO'!$C$15:$C$214,MATCH(TEXT($I231,"yyyy-mm-dd")&amp;"|"&amp;""&amp;"|",'CALENDARIO'!$G$15:$G$214,0)),IFERROR(INDEX('CALENDARIO'!$C$15:$C$214,MATCH(TEXT($I231,"yyyy-mm-dd")&amp;"||",'CALENDARIO'!$G$15:$G$214,0)),INDEX(patronHabil,WEEKDAY($I231,2)))))</f>
        <v/>
      </c>
    </row>
    <row r="232">
      <c r="I232" s="11" t="n">
        <v>46250</v>
      </c>
      <c r="J232" s="3">
        <f>IFERROR(INDEX('CALENDARIO'!$C$15:$C$214,MATCH(TEXT($I232,"yyyy-mm-dd")&amp;"|"&amp;""&amp;"|"&amp;"",'CALENDARIO'!$G$15:$G$214,0)),IFERROR(INDEX('CALENDARIO'!$C$15:$C$214,MATCH(TEXT($I232,"yyyy-mm-dd")&amp;"|"&amp;""&amp;"|",'CALENDARIO'!$G$15:$G$214,0)),IFERROR(INDEX('CALENDARIO'!$C$15:$C$214,MATCH(TEXT($I232,"yyyy-mm-dd")&amp;"||",'CALENDARIO'!$G$15:$G$214,0)),INDEX(patronHabil,WEEKDAY($I232,2)))))</f>
        <v/>
      </c>
    </row>
    <row r="233">
      <c r="I233" s="11" t="n">
        <v>46251</v>
      </c>
      <c r="J233" s="3">
        <f>IFERROR(INDEX('CALENDARIO'!$C$15:$C$214,MATCH(TEXT($I233,"yyyy-mm-dd")&amp;"|"&amp;""&amp;"|"&amp;"",'CALENDARIO'!$G$15:$G$214,0)),IFERROR(INDEX('CALENDARIO'!$C$15:$C$214,MATCH(TEXT($I233,"yyyy-mm-dd")&amp;"|"&amp;""&amp;"|",'CALENDARIO'!$G$15:$G$214,0)),IFERROR(INDEX('CALENDARIO'!$C$15:$C$214,MATCH(TEXT($I233,"yyyy-mm-dd")&amp;"||",'CALENDARIO'!$G$15:$G$214,0)),INDEX(patronHabil,WEEKDAY($I233,2)))))</f>
        <v/>
      </c>
    </row>
    <row r="234">
      <c r="I234" s="11" t="n">
        <v>46252</v>
      </c>
      <c r="J234" s="3">
        <f>IFERROR(INDEX('CALENDARIO'!$C$15:$C$214,MATCH(TEXT($I234,"yyyy-mm-dd")&amp;"|"&amp;""&amp;"|"&amp;"",'CALENDARIO'!$G$15:$G$214,0)),IFERROR(INDEX('CALENDARIO'!$C$15:$C$214,MATCH(TEXT($I234,"yyyy-mm-dd")&amp;"|"&amp;""&amp;"|",'CALENDARIO'!$G$15:$G$214,0)),IFERROR(INDEX('CALENDARIO'!$C$15:$C$214,MATCH(TEXT($I234,"yyyy-mm-dd")&amp;"||",'CALENDARIO'!$G$15:$G$214,0)),INDEX(patronHabil,WEEKDAY($I234,2)))))</f>
        <v/>
      </c>
    </row>
    <row r="235">
      <c r="I235" s="11" t="n">
        <v>46253</v>
      </c>
      <c r="J235" s="3">
        <f>IFERROR(INDEX('CALENDARIO'!$C$15:$C$214,MATCH(TEXT($I235,"yyyy-mm-dd")&amp;"|"&amp;""&amp;"|"&amp;"",'CALENDARIO'!$G$15:$G$214,0)),IFERROR(INDEX('CALENDARIO'!$C$15:$C$214,MATCH(TEXT($I235,"yyyy-mm-dd")&amp;"|"&amp;""&amp;"|",'CALENDARIO'!$G$15:$G$214,0)),IFERROR(INDEX('CALENDARIO'!$C$15:$C$214,MATCH(TEXT($I235,"yyyy-mm-dd")&amp;"||",'CALENDARIO'!$G$15:$G$214,0)),INDEX(patronHabil,WEEKDAY($I235,2)))))</f>
        <v/>
      </c>
    </row>
    <row r="236">
      <c r="I236" s="11" t="n">
        <v>46254</v>
      </c>
      <c r="J236" s="3">
        <f>IFERROR(INDEX('CALENDARIO'!$C$15:$C$214,MATCH(TEXT($I236,"yyyy-mm-dd")&amp;"|"&amp;""&amp;"|"&amp;"",'CALENDARIO'!$G$15:$G$214,0)),IFERROR(INDEX('CALENDARIO'!$C$15:$C$214,MATCH(TEXT($I236,"yyyy-mm-dd")&amp;"|"&amp;""&amp;"|",'CALENDARIO'!$G$15:$G$214,0)),IFERROR(INDEX('CALENDARIO'!$C$15:$C$214,MATCH(TEXT($I236,"yyyy-mm-dd")&amp;"||",'CALENDARIO'!$G$15:$G$214,0)),INDEX(patronHabil,WEEKDAY($I236,2)))))</f>
        <v/>
      </c>
    </row>
    <row r="237">
      <c r="I237" s="11" t="n">
        <v>46255</v>
      </c>
      <c r="J237" s="3">
        <f>IFERROR(INDEX('CALENDARIO'!$C$15:$C$214,MATCH(TEXT($I237,"yyyy-mm-dd")&amp;"|"&amp;""&amp;"|"&amp;"",'CALENDARIO'!$G$15:$G$214,0)),IFERROR(INDEX('CALENDARIO'!$C$15:$C$214,MATCH(TEXT($I237,"yyyy-mm-dd")&amp;"|"&amp;""&amp;"|",'CALENDARIO'!$G$15:$G$214,0)),IFERROR(INDEX('CALENDARIO'!$C$15:$C$214,MATCH(TEXT($I237,"yyyy-mm-dd")&amp;"||",'CALENDARIO'!$G$15:$G$214,0)),INDEX(patronHabil,WEEKDAY($I237,2)))))</f>
        <v/>
      </c>
    </row>
    <row r="238">
      <c r="I238" s="11" t="n">
        <v>46256</v>
      </c>
      <c r="J238" s="3">
        <f>IFERROR(INDEX('CALENDARIO'!$C$15:$C$214,MATCH(TEXT($I238,"yyyy-mm-dd")&amp;"|"&amp;""&amp;"|"&amp;"",'CALENDARIO'!$G$15:$G$214,0)),IFERROR(INDEX('CALENDARIO'!$C$15:$C$214,MATCH(TEXT($I238,"yyyy-mm-dd")&amp;"|"&amp;""&amp;"|",'CALENDARIO'!$G$15:$G$214,0)),IFERROR(INDEX('CALENDARIO'!$C$15:$C$214,MATCH(TEXT($I238,"yyyy-mm-dd")&amp;"||",'CALENDARIO'!$G$15:$G$214,0)),INDEX(patronHabil,WEEKDAY($I238,2)))))</f>
        <v/>
      </c>
    </row>
    <row r="239">
      <c r="I239" s="11" t="n">
        <v>46257</v>
      </c>
      <c r="J239" s="3">
        <f>IFERROR(INDEX('CALENDARIO'!$C$15:$C$214,MATCH(TEXT($I239,"yyyy-mm-dd")&amp;"|"&amp;""&amp;"|"&amp;"",'CALENDARIO'!$G$15:$G$214,0)),IFERROR(INDEX('CALENDARIO'!$C$15:$C$214,MATCH(TEXT($I239,"yyyy-mm-dd")&amp;"|"&amp;""&amp;"|",'CALENDARIO'!$G$15:$G$214,0)),IFERROR(INDEX('CALENDARIO'!$C$15:$C$214,MATCH(TEXT($I239,"yyyy-mm-dd")&amp;"||",'CALENDARIO'!$G$15:$G$214,0)),INDEX(patronHabil,WEEKDAY($I239,2)))))</f>
        <v/>
      </c>
    </row>
    <row r="240">
      <c r="I240" s="11" t="n">
        <v>46258</v>
      </c>
      <c r="J240" s="3">
        <f>IFERROR(INDEX('CALENDARIO'!$C$15:$C$214,MATCH(TEXT($I240,"yyyy-mm-dd")&amp;"|"&amp;""&amp;"|"&amp;"",'CALENDARIO'!$G$15:$G$214,0)),IFERROR(INDEX('CALENDARIO'!$C$15:$C$214,MATCH(TEXT($I240,"yyyy-mm-dd")&amp;"|"&amp;""&amp;"|",'CALENDARIO'!$G$15:$G$214,0)),IFERROR(INDEX('CALENDARIO'!$C$15:$C$214,MATCH(TEXT($I240,"yyyy-mm-dd")&amp;"||",'CALENDARIO'!$G$15:$G$214,0)),INDEX(patronHabil,WEEKDAY($I240,2)))))</f>
        <v/>
      </c>
    </row>
    <row r="241">
      <c r="I241" s="11" t="n">
        <v>46259</v>
      </c>
      <c r="J241" s="3">
        <f>IFERROR(INDEX('CALENDARIO'!$C$15:$C$214,MATCH(TEXT($I241,"yyyy-mm-dd")&amp;"|"&amp;""&amp;"|"&amp;"",'CALENDARIO'!$G$15:$G$214,0)),IFERROR(INDEX('CALENDARIO'!$C$15:$C$214,MATCH(TEXT($I241,"yyyy-mm-dd")&amp;"|"&amp;""&amp;"|",'CALENDARIO'!$G$15:$G$214,0)),IFERROR(INDEX('CALENDARIO'!$C$15:$C$214,MATCH(TEXT($I241,"yyyy-mm-dd")&amp;"||",'CALENDARIO'!$G$15:$G$214,0)),INDEX(patronHabil,WEEKDAY($I241,2)))))</f>
        <v/>
      </c>
    </row>
    <row r="242">
      <c r="I242" s="11" t="n">
        <v>46260</v>
      </c>
      <c r="J242" s="3">
        <f>IFERROR(INDEX('CALENDARIO'!$C$15:$C$214,MATCH(TEXT($I242,"yyyy-mm-dd")&amp;"|"&amp;""&amp;"|"&amp;"",'CALENDARIO'!$G$15:$G$214,0)),IFERROR(INDEX('CALENDARIO'!$C$15:$C$214,MATCH(TEXT($I242,"yyyy-mm-dd")&amp;"|"&amp;""&amp;"|",'CALENDARIO'!$G$15:$G$214,0)),IFERROR(INDEX('CALENDARIO'!$C$15:$C$214,MATCH(TEXT($I242,"yyyy-mm-dd")&amp;"||",'CALENDARIO'!$G$15:$G$214,0)),INDEX(patronHabil,WEEKDAY($I242,2)))))</f>
        <v/>
      </c>
    </row>
    <row r="243">
      <c r="I243" s="11" t="n">
        <v>46261</v>
      </c>
      <c r="J243" s="3">
        <f>IFERROR(INDEX('CALENDARIO'!$C$15:$C$214,MATCH(TEXT($I243,"yyyy-mm-dd")&amp;"|"&amp;""&amp;"|"&amp;"",'CALENDARIO'!$G$15:$G$214,0)),IFERROR(INDEX('CALENDARIO'!$C$15:$C$214,MATCH(TEXT($I243,"yyyy-mm-dd")&amp;"|"&amp;""&amp;"|",'CALENDARIO'!$G$15:$G$214,0)),IFERROR(INDEX('CALENDARIO'!$C$15:$C$214,MATCH(TEXT($I243,"yyyy-mm-dd")&amp;"||",'CALENDARIO'!$G$15:$G$214,0)),INDEX(patronHabil,WEEKDAY($I243,2)))))</f>
        <v/>
      </c>
    </row>
    <row r="244">
      <c r="I244" s="11" t="n">
        <v>46262</v>
      </c>
      <c r="J244" s="3">
        <f>IFERROR(INDEX('CALENDARIO'!$C$15:$C$214,MATCH(TEXT($I244,"yyyy-mm-dd")&amp;"|"&amp;""&amp;"|"&amp;"",'CALENDARIO'!$G$15:$G$214,0)),IFERROR(INDEX('CALENDARIO'!$C$15:$C$214,MATCH(TEXT($I244,"yyyy-mm-dd")&amp;"|"&amp;""&amp;"|",'CALENDARIO'!$G$15:$G$214,0)),IFERROR(INDEX('CALENDARIO'!$C$15:$C$214,MATCH(TEXT($I244,"yyyy-mm-dd")&amp;"||",'CALENDARIO'!$G$15:$G$214,0)),INDEX(patronHabil,WEEKDAY($I244,2)))))</f>
        <v/>
      </c>
    </row>
    <row r="245">
      <c r="I245" s="11" t="n">
        <v>46263</v>
      </c>
      <c r="J245" s="3">
        <f>IFERROR(INDEX('CALENDARIO'!$C$15:$C$214,MATCH(TEXT($I245,"yyyy-mm-dd")&amp;"|"&amp;""&amp;"|"&amp;"",'CALENDARIO'!$G$15:$G$214,0)),IFERROR(INDEX('CALENDARIO'!$C$15:$C$214,MATCH(TEXT($I245,"yyyy-mm-dd")&amp;"|"&amp;""&amp;"|",'CALENDARIO'!$G$15:$G$214,0)),IFERROR(INDEX('CALENDARIO'!$C$15:$C$214,MATCH(TEXT($I245,"yyyy-mm-dd")&amp;"||",'CALENDARIO'!$G$15:$G$214,0)),INDEX(patronHabil,WEEKDAY($I245,2)))))</f>
        <v/>
      </c>
    </row>
    <row r="246">
      <c r="I246" s="11" t="n">
        <v>46264</v>
      </c>
      <c r="J246" s="3">
        <f>IFERROR(INDEX('CALENDARIO'!$C$15:$C$214,MATCH(TEXT($I246,"yyyy-mm-dd")&amp;"|"&amp;""&amp;"|"&amp;"",'CALENDARIO'!$G$15:$G$214,0)),IFERROR(INDEX('CALENDARIO'!$C$15:$C$214,MATCH(TEXT($I246,"yyyy-mm-dd")&amp;"|"&amp;""&amp;"|",'CALENDARIO'!$G$15:$G$214,0)),IFERROR(INDEX('CALENDARIO'!$C$15:$C$214,MATCH(TEXT($I246,"yyyy-mm-dd")&amp;"||",'CALENDARIO'!$G$15:$G$214,0)),INDEX(patronHabil,WEEKDAY($I246,2)))))</f>
        <v/>
      </c>
    </row>
    <row r="247">
      <c r="I247" s="11" t="n">
        <v>46265</v>
      </c>
      <c r="J247" s="3">
        <f>IFERROR(INDEX('CALENDARIO'!$C$15:$C$214,MATCH(TEXT($I247,"yyyy-mm-dd")&amp;"|"&amp;""&amp;"|"&amp;"",'CALENDARIO'!$G$15:$G$214,0)),IFERROR(INDEX('CALENDARIO'!$C$15:$C$214,MATCH(TEXT($I247,"yyyy-mm-dd")&amp;"|"&amp;""&amp;"|",'CALENDARIO'!$G$15:$G$214,0)),IFERROR(INDEX('CALENDARIO'!$C$15:$C$214,MATCH(TEXT($I247,"yyyy-mm-dd")&amp;"||",'CALENDARIO'!$G$15:$G$214,0)),INDEX(patronHabil,WEEKDAY($I247,2)))))</f>
        <v/>
      </c>
    </row>
    <row r="248">
      <c r="I248" s="11" t="n">
        <v>46266</v>
      </c>
      <c r="J248" s="3">
        <f>IFERROR(INDEX('CALENDARIO'!$C$15:$C$214,MATCH(TEXT($I248,"yyyy-mm-dd")&amp;"|"&amp;""&amp;"|"&amp;"",'CALENDARIO'!$G$15:$G$214,0)),IFERROR(INDEX('CALENDARIO'!$C$15:$C$214,MATCH(TEXT($I248,"yyyy-mm-dd")&amp;"|"&amp;""&amp;"|",'CALENDARIO'!$G$15:$G$214,0)),IFERROR(INDEX('CALENDARIO'!$C$15:$C$214,MATCH(TEXT($I248,"yyyy-mm-dd")&amp;"||",'CALENDARIO'!$G$15:$G$214,0)),INDEX(patronHabil,WEEKDAY($I248,2)))))</f>
        <v/>
      </c>
    </row>
    <row r="249">
      <c r="I249" s="11" t="n">
        <v>46267</v>
      </c>
      <c r="J249" s="3">
        <f>IFERROR(INDEX('CALENDARIO'!$C$15:$C$214,MATCH(TEXT($I249,"yyyy-mm-dd")&amp;"|"&amp;""&amp;"|"&amp;"",'CALENDARIO'!$G$15:$G$214,0)),IFERROR(INDEX('CALENDARIO'!$C$15:$C$214,MATCH(TEXT($I249,"yyyy-mm-dd")&amp;"|"&amp;""&amp;"|",'CALENDARIO'!$G$15:$G$214,0)),IFERROR(INDEX('CALENDARIO'!$C$15:$C$214,MATCH(TEXT($I249,"yyyy-mm-dd")&amp;"||",'CALENDARIO'!$G$15:$G$214,0)),INDEX(patronHabil,WEEKDAY($I249,2)))))</f>
        <v/>
      </c>
    </row>
    <row r="250">
      <c r="I250" s="11" t="n">
        <v>46268</v>
      </c>
      <c r="J250" s="3">
        <f>IFERROR(INDEX('CALENDARIO'!$C$15:$C$214,MATCH(TEXT($I250,"yyyy-mm-dd")&amp;"|"&amp;""&amp;"|"&amp;"",'CALENDARIO'!$G$15:$G$214,0)),IFERROR(INDEX('CALENDARIO'!$C$15:$C$214,MATCH(TEXT($I250,"yyyy-mm-dd")&amp;"|"&amp;""&amp;"|",'CALENDARIO'!$G$15:$G$214,0)),IFERROR(INDEX('CALENDARIO'!$C$15:$C$214,MATCH(TEXT($I250,"yyyy-mm-dd")&amp;"||",'CALENDARIO'!$G$15:$G$214,0)),INDEX(patronHabil,WEEKDAY($I250,2)))))</f>
        <v/>
      </c>
    </row>
    <row r="251">
      <c r="I251" s="11" t="n">
        <v>46269</v>
      </c>
      <c r="J251" s="3">
        <f>IFERROR(INDEX('CALENDARIO'!$C$15:$C$214,MATCH(TEXT($I251,"yyyy-mm-dd")&amp;"|"&amp;""&amp;"|"&amp;"",'CALENDARIO'!$G$15:$G$214,0)),IFERROR(INDEX('CALENDARIO'!$C$15:$C$214,MATCH(TEXT($I251,"yyyy-mm-dd")&amp;"|"&amp;""&amp;"|",'CALENDARIO'!$G$15:$G$214,0)),IFERROR(INDEX('CALENDARIO'!$C$15:$C$214,MATCH(TEXT($I251,"yyyy-mm-dd")&amp;"||",'CALENDARIO'!$G$15:$G$214,0)),INDEX(patronHabil,WEEKDAY($I251,2)))))</f>
        <v/>
      </c>
    </row>
    <row r="252">
      <c r="I252" s="11" t="n">
        <v>46270</v>
      </c>
      <c r="J252" s="3">
        <f>IFERROR(INDEX('CALENDARIO'!$C$15:$C$214,MATCH(TEXT($I252,"yyyy-mm-dd")&amp;"|"&amp;""&amp;"|"&amp;"",'CALENDARIO'!$G$15:$G$214,0)),IFERROR(INDEX('CALENDARIO'!$C$15:$C$214,MATCH(TEXT($I252,"yyyy-mm-dd")&amp;"|"&amp;""&amp;"|",'CALENDARIO'!$G$15:$G$214,0)),IFERROR(INDEX('CALENDARIO'!$C$15:$C$214,MATCH(TEXT($I252,"yyyy-mm-dd")&amp;"||",'CALENDARIO'!$G$15:$G$214,0)),INDEX(patronHabil,WEEKDAY($I252,2)))))</f>
        <v/>
      </c>
    </row>
    <row r="253">
      <c r="I253" s="11" t="n">
        <v>46271</v>
      </c>
      <c r="J253" s="3">
        <f>IFERROR(INDEX('CALENDARIO'!$C$15:$C$214,MATCH(TEXT($I253,"yyyy-mm-dd")&amp;"|"&amp;""&amp;"|"&amp;"",'CALENDARIO'!$G$15:$G$214,0)),IFERROR(INDEX('CALENDARIO'!$C$15:$C$214,MATCH(TEXT($I253,"yyyy-mm-dd")&amp;"|"&amp;""&amp;"|",'CALENDARIO'!$G$15:$G$214,0)),IFERROR(INDEX('CALENDARIO'!$C$15:$C$214,MATCH(TEXT($I253,"yyyy-mm-dd")&amp;"||",'CALENDARIO'!$G$15:$G$214,0)),INDEX(patronHabil,WEEKDAY($I253,2)))))</f>
        <v/>
      </c>
    </row>
    <row r="254">
      <c r="I254" s="11" t="n">
        <v>46272</v>
      </c>
      <c r="J254" s="3">
        <f>IFERROR(INDEX('CALENDARIO'!$C$15:$C$214,MATCH(TEXT($I254,"yyyy-mm-dd")&amp;"|"&amp;""&amp;"|"&amp;"",'CALENDARIO'!$G$15:$G$214,0)),IFERROR(INDEX('CALENDARIO'!$C$15:$C$214,MATCH(TEXT($I254,"yyyy-mm-dd")&amp;"|"&amp;""&amp;"|",'CALENDARIO'!$G$15:$G$214,0)),IFERROR(INDEX('CALENDARIO'!$C$15:$C$214,MATCH(TEXT($I254,"yyyy-mm-dd")&amp;"||",'CALENDARIO'!$G$15:$G$214,0)),INDEX(patronHabil,WEEKDAY($I254,2)))))</f>
        <v/>
      </c>
    </row>
    <row r="255">
      <c r="I255" s="11" t="n">
        <v>46273</v>
      </c>
      <c r="J255" s="3">
        <f>IFERROR(INDEX('CALENDARIO'!$C$15:$C$214,MATCH(TEXT($I255,"yyyy-mm-dd")&amp;"|"&amp;""&amp;"|"&amp;"",'CALENDARIO'!$G$15:$G$214,0)),IFERROR(INDEX('CALENDARIO'!$C$15:$C$214,MATCH(TEXT($I255,"yyyy-mm-dd")&amp;"|"&amp;""&amp;"|",'CALENDARIO'!$G$15:$G$214,0)),IFERROR(INDEX('CALENDARIO'!$C$15:$C$214,MATCH(TEXT($I255,"yyyy-mm-dd")&amp;"||",'CALENDARIO'!$G$15:$G$214,0)),INDEX(patronHabil,WEEKDAY($I255,2)))))</f>
        <v/>
      </c>
    </row>
    <row r="256">
      <c r="I256" s="11" t="n">
        <v>46274</v>
      </c>
      <c r="J256" s="3">
        <f>IFERROR(INDEX('CALENDARIO'!$C$15:$C$214,MATCH(TEXT($I256,"yyyy-mm-dd")&amp;"|"&amp;""&amp;"|"&amp;"",'CALENDARIO'!$G$15:$G$214,0)),IFERROR(INDEX('CALENDARIO'!$C$15:$C$214,MATCH(TEXT($I256,"yyyy-mm-dd")&amp;"|"&amp;""&amp;"|",'CALENDARIO'!$G$15:$G$214,0)),IFERROR(INDEX('CALENDARIO'!$C$15:$C$214,MATCH(TEXT($I256,"yyyy-mm-dd")&amp;"||",'CALENDARIO'!$G$15:$G$214,0)),INDEX(patronHabil,WEEKDAY($I256,2)))))</f>
        <v/>
      </c>
    </row>
    <row r="257">
      <c r="I257" s="11" t="n">
        <v>46275</v>
      </c>
      <c r="J257" s="3">
        <f>IFERROR(INDEX('CALENDARIO'!$C$15:$C$214,MATCH(TEXT($I257,"yyyy-mm-dd")&amp;"|"&amp;""&amp;"|"&amp;"",'CALENDARIO'!$G$15:$G$214,0)),IFERROR(INDEX('CALENDARIO'!$C$15:$C$214,MATCH(TEXT($I257,"yyyy-mm-dd")&amp;"|"&amp;""&amp;"|",'CALENDARIO'!$G$15:$G$214,0)),IFERROR(INDEX('CALENDARIO'!$C$15:$C$214,MATCH(TEXT($I257,"yyyy-mm-dd")&amp;"||",'CALENDARIO'!$G$15:$G$214,0)),INDEX(patronHabil,WEEKDAY($I257,2)))))</f>
        <v/>
      </c>
    </row>
    <row r="258">
      <c r="I258" s="11" t="n">
        <v>46276</v>
      </c>
      <c r="J258" s="3">
        <f>IFERROR(INDEX('CALENDARIO'!$C$15:$C$214,MATCH(TEXT($I258,"yyyy-mm-dd")&amp;"|"&amp;""&amp;"|"&amp;"",'CALENDARIO'!$G$15:$G$214,0)),IFERROR(INDEX('CALENDARIO'!$C$15:$C$214,MATCH(TEXT($I258,"yyyy-mm-dd")&amp;"|"&amp;""&amp;"|",'CALENDARIO'!$G$15:$G$214,0)),IFERROR(INDEX('CALENDARIO'!$C$15:$C$214,MATCH(TEXT($I258,"yyyy-mm-dd")&amp;"||",'CALENDARIO'!$G$15:$G$214,0)),INDEX(patronHabil,WEEKDAY($I258,2)))))</f>
        <v/>
      </c>
    </row>
    <row r="259">
      <c r="I259" s="11" t="n">
        <v>46277</v>
      </c>
      <c r="J259" s="3">
        <f>IFERROR(INDEX('CALENDARIO'!$C$15:$C$214,MATCH(TEXT($I259,"yyyy-mm-dd")&amp;"|"&amp;""&amp;"|"&amp;"",'CALENDARIO'!$G$15:$G$214,0)),IFERROR(INDEX('CALENDARIO'!$C$15:$C$214,MATCH(TEXT($I259,"yyyy-mm-dd")&amp;"|"&amp;""&amp;"|",'CALENDARIO'!$G$15:$G$214,0)),IFERROR(INDEX('CALENDARIO'!$C$15:$C$214,MATCH(TEXT($I259,"yyyy-mm-dd")&amp;"||",'CALENDARIO'!$G$15:$G$214,0)),INDEX(patronHabil,WEEKDAY($I259,2)))))</f>
        <v/>
      </c>
    </row>
    <row r="260">
      <c r="I260" s="11" t="n">
        <v>46278</v>
      </c>
      <c r="J260" s="3">
        <f>IFERROR(INDEX('CALENDARIO'!$C$15:$C$214,MATCH(TEXT($I260,"yyyy-mm-dd")&amp;"|"&amp;""&amp;"|"&amp;"",'CALENDARIO'!$G$15:$G$214,0)),IFERROR(INDEX('CALENDARIO'!$C$15:$C$214,MATCH(TEXT($I260,"yyyy-mm-dd")&amp;"|"&amp;""&amp;"|",'CALENDARIO'!$G$15:$G$214,0)),IFERROR(INDEX('CALENDARIO'!$C$15:$C$214,MATCH(TEXT($I260,"yyyy-mm-dd")&amp;"||",'CALENDARIO'!$G$15:$G$214,0)),INDEX(patronHabil,WEEKDAY($I260,2)))))</f>
        <v/>
      </c>
    </row>
    <row r="261">
      <c r="I261" s="11" t="n">
        <v>46279</v>
      </c>
      <c r="J261" s="3">
        <f>IFERROR(INDEX('CALENDARIO'!$C$15:$C$214,MATCH(TEXT($I261,"yyyy-mm-dd")&amp;"|"&amp;""&amp;"|"&amp;"",'CALENDARIO'!$G$15:$G$214,0)),IFERROR(INDEX('CALENDARIO'!$C$15:$C$214,MATCH(TEXT($I261,"yyyy-mm-dd")&amp;"|"&amp;""&amp;"|",'CALENDARIO'!$G$15:$G$214,0)),IFERROR(INDEX('CALENDARIO'!$C$15:$C$214,MATCH(TEXT($I261,"yyyy-mm-dd")&amp;"||",'CALENDARIO'!$G$15:$G$214,0)),INDEX(patronHabil,WEEKDAY($I261,2)))))</f>
        <v/>
      </c>
    </row>
    <row r="262">
      <c r="I262" s="11" t="n">
        <v>46280</v>
      </c>
      <c r="J262" s="3">
        <f>IFERROR(INDEX('CALENDARIO'!$C$15:$C$214,MATCH(TEXT($I262,"yyyy-mm-dd")&amp;"|"&amp;""&amp;"|"&amp;"",'CALENDARIO'!$G$15:$G$214,0)),IFERROR(INDEX('CALENDARIO'!$C$15:$C$214,MATCH(TEXT($I262,"yyyy-mm-dd")&amp;"|"&amp;""&amp;"|",'CALENDARIO'!$G$15:$G$214,0)),IFERROR(INDEX('CALENDARIO'!$C$15:$C$214,MATCH(TEXT($I262,"yyyy-mm-dd")&amp;"||",'CALENDARIO'!$G$15:$G$214,0)),INDEX(patronHabil,WEEKDAY($I262,2)))))</f>
        <v/>
      </c>
    </row>
    <row r="263">
      <c r="I263" s="11" t="n">
        <v>46281</v>
      </c>
      <c r="J263" s="3">
        <f>IFERROR(INDEX('CALENDARIO'!$C$15:$C$214,MATCH(TEXT($I263,"yyyy-mm-dd")&amp;"|"&amp;""&amp;"|"&amp;"",'CALENDARIO'!$G$15:$G$214,0)),IFERROR(INDEX('CALENDARIO'!$C$15:$C$214,MATCH(TEXT($I263,"yyyy-mm-dd")&amp;"|"&amp;""&amp;"|",'CALENDARIO'!$G$15:$G$214,0)),IFERROR(INDEX('CALENDARIO'!$C$15:$C$214,MATCH(TEXT($I263,"yyyy-mm-dd")&amp;"||",'CALENDARIO'!$G$15:$G$214,0)),INDEX(patronHabil,WEEKDAY($I263,2)))))</f>
        <v/>
      </c>
    </row>
    <row r="264">
      <c r="I264" s="11" t="n">
        <v>46282</v>
      </c>
      <c r="J264" s="3">
        <f>IFERROR(INDEX('CALENDARIO'!$C$15:$C$214,MATCH(TEXT($I264,"yyyy-mm-dd")&amp;"|"&amp;""&amp;"|"&amp;"",'CALENDARIO'!$G$15:$G$214,0)),IFERROR(INDEX('CALENDARIO'!$C$15:$C$214,MATCH(TEXT($I264,"yyyy-mm-dd")&amp;"|"&amp;""&amp;"|",'CALENDARIO'!$G$15:$G$214,0)),IFERROR(INDEX('CALENDARIO'!$C$15:$C$214,MATCH(TEXT($I264,"yyyy-mm-dd")&amp;"||",'CALENDARIO'!$G$15:$G$214,0)),INDEX(patronHabil,WEEKDAY($I264,2)))))</f>
        <v/>
      </c>
    </row>
    <row r="265">
      <c r="I265" s="11" t="n">
        <v>46283</v>
      </c>
      <c r="J265" s="3">
        <f>IFERROR(INDEX('CALENDARIO'!$C$15:$C$214,MATCH(TEXT($I265,"yyyy-mm-dd")&amp;"|"&amp;""&amp;"|"&amp;"",'CALENDARIO'!$G$15:$G$214,0)),IFERROR(INDEX('CALENDARIO'!$C$15:$C$214,MATCH(TEXT($I265,"yyyy-mm-dd")&amp;"|"&amp;""&amp;"|",'CALENDARIO'!$G$15:$G$214,0)),IFERROR(INDEX('CALENDARIO'!$C$15:$C$214,MATCH(TEXT($I265,"yyyy-mm-dd")&amp;"||",'CALENDARIO'!$G$15:$G$214,0)),INDEX(patronHabil,WEEKDAY($I265,2)))))</f>
        <v/>
      </c>
    </row>
    <row r="266">
      <c r="I266" s="11" t="n">
        <v>46284</v>
      </c>
      <c r="J266" s="3">
        <f>IFERROR(INDEX('CALENDARIO'!$C$15:$C$214,MATCH(TEXT($I266,"yyyy-mm-dd")&amp;"|"&amp;""&amp;"|"&amp;"",'CALENDARIO'!$G$15:$G$214,0)),IFERROR(INDEX('CALENDARIO'!$C$15:$C$214,MATCH(TEXT($I266,"yyyy-mm-dd")&amp;"|"&amp;""&amp;"|",'CALENDARIO'!$G$15:$G$214,0)),IFERROR(INDEX('CALENDARIO'!$C$15:$C$214,MATCH(TEXT($I266,"yyyy-mm-dd")&amp;"||",'CALENDARIO'!$G$15:$G$214,0)),INDEX(patronHabil,WEEKDAY($I266,2)))))</f>
        <v/>
      </c>
    </row>
    <row r="267">
      <c r="I267" s="11" t="n">
        <v>46285</v>
      </c>
      <c r="J267" s="3">
        <f>IFERROR(INDEX('CALENDARIO'!$C$15:$C$214,MATCH(TEXT($I267,"yyyy-mm-dd")&amp;"|"&amp;""&amp;"|"&amp;"",'CALENDARIO'!$G$15:$G$214,0)),IFERROR(INDEX('CALENDARIO'!$C$15:$C$214,MATCH(TEXT($I267,"yyyy-mm-dd")&amp;"|"&amp;""&amp;"|",'CALENDARIO'!$G$15:$G$214,0)),IFERROR(INDEX('CALENDARIO'!$C$15:$C$214,MATCH(TEXT($I267,"yyyy-mm-dd")&amp;"||",'CALENDARIO'!$G$15:$G$214,0)),INDEX(patronHabil,WEEKDAY($I267,2)))))</f>
        <v/>
      </c>
    </row>
    <row r="268">
      <c r="I268" s="11" t="n">
        <v>46286</v>
      </c>
      <c r="J268" s="3">
        <f>IFERROR(INDEX('CALENDARIO'!$C$15:$C$214,MATCH(TEXT($I268,"yyyy-mm-dd")&amp;"|"&amp;""&amp;"|"&amp;"",'CALENDARIO'!$G$15:$G$214,0)),IFERROR(INDEX('CALENDARIO'!$C$15:$C$214,MATCH(TEXT($I268,"yyyy-mm-dd")&amp;"|"&amp;""&amp;"|",'CALENDARIO'!$G$15:$G$214,0)),IFERROR(INDEX('CALENDARIO'!$C$15:$C$214,MATCH(TEXT($I268,"yyyy-mm-dd")&amp;"||",'CALENDARIO'!$G$15:$G$214,0)),INDEX(patronHabil,WEEKDAY($I268,2)))))</f>
        <v/>
      </c>
    </row>
    <row r="269">
      <c r="I269" s="11" t="n">
        <v>46287</v>
      </c>
      <c r="J269" s="3">
        <f>IFERROR(INDEX('CALENDARIO'!$C$15:$C$214,MATCH(TEXT($I269,"yyyy-mm-dd")&amp;"|"&amp;""&amp;"|"&amp;"",'CALENDARIO'!$G$15:$G$214,0)),IFERROR(INDEX('CALENDARIO'!$C$15:$C$214,MATCH(TEXT($I269,"yyyy-mm-dd")&amp;"|"&amp;""&amp;"|",'CALENDARIO'!$G$15:$G$214,0)),IFERROR(INDEX('CALENDARIO'!$C$15:$C$214,MATCH(TEXT($I269,"yyyy-mm-dd")&amp;"||",'CALENDARIO'!$G$15:$G$214,0)),INDEX(patronHabil,WEEKDAY($I269,2)))))</f>
        <v/>
      </c>
    </row>
    <row r="270">
      <c r="I270" s="11" t="n">
        <v>46288</v>
      </c>
      <c r="J270" s="3">
        <f>IFERROR(INDEX('CALENDARIO'!$C$15:$C$214,MATCH(TEXT($I270,"yyyy-mm-dd")&amp;"|"&amp;""&amp;"|"&amp;"",'CALENDARIO'!$G$15:$G$214,0)),IFERROR(INDEX('CALENDARIO'!$C$15:$C$214,MATCH(TEXT($I270,"yyyy-mm-dd")&amp;"|"&amp;""&amp;"|",'CALENDARIO'!$G$15:$G$214,0)),IFERROR(INDEX('CALENDARIO'!$C$15:$C$214,MATCH(TEXT($I270,"yyyy-mm-dd")&amp;"||",'CALENDARIO'!$G$15:$G$214,0)),INDEX(patronHabil,WEEKDAY($I270,2)))))</f>
        <v/>
      </c>
    </row>
    <row r="271">
      <c r="I271" s="11" t="n">
        <v>46289</v>
      </c>
      <c r="J271" s="3">
        <f>IFERROR(INDEX('CALENDARIO'!$C$15:$C$214,MATCH(TEXT($I271,"yyyy-mm-dd")&amp;"|"&amp;""&amp;"|"&amp;"",'CALENDARIO'!$G$15:$G$214,0)),IFERROR(INDEX('CALENDARIO'!$C$15:$C$214,MATCH(TEXT($I271,"yyyy-mm-dd")&amp;"|"&amp;""&amp;"|",'CALENDARIO'!$G$15:$G$214,0)),IFERROR(INDEX('CALENDARIO'!$C$15:$C$214,MATCH(TEXT($I271,"yyyy-mm-dd")&amp;"||",'CALENDARIO'!$G$15:$G$214,0)),INDEX(patronHabil,WEEKDAY($I271,2)))))</f>
        <v/>
      </c>
    </row>
    <row r="272">
      <c r="I272" s="11" t="n">
        <v>46290</v>
      </c>
      <c r="J272" s="3">
        <f>IFERROR(INDEX('CALENDARIO'!$C$15:$C$214,MATCH(TEXT($I272,"yyyy-mm-dd")&amp;"|"&amp;""&amp;"|"&amp;"",'CALENDARIO'!$G$15:$G$214,0)),IFERROR(INDEX('CALENDARIO'!$C$15:$C$214,MATCH(TEXT($I272,"yyyy-mm-dd")&amp;"|"&amp;""&amp;"|",'CALENDARIO'!$G$15:$G$214,0)),IFERROR(INDEX('CALENDARIO'!$C$15:$C$214,MATCH(TEXT($I272,"yyyy-mm-dd")&amp;"||",'CALENDARIO'!$G$15:$G$214,0)),INDEX(patronHabil,WEEKDAY($I272,2)))))</f>
        <v/>
      </c>
    </row>
    <row r="273">
      <c r="I273" s="11" t="n">
        <v>46291</v>
      </c>
      <c r="J273" s="3">
        <f>IFERROR(INDEX('CALENDARIO'!$C$15:$C$214,MATCH(TEXT($I273,"yyyy-mm-dd")&amp;"|"&amp;""&amp;"|"&amp;"",'CALENDARIO'!$G$15:$G$214,0)),IFERROR(INDEX('CALENDARIO'!$C$15:$C$214,MATCH(TEXT($I273,"yyyy-mm-dd")&amp;"|"&amp;""&amp;"|",'CALENDARIO'!$G$15:$G$214,0)),IFERROR(INDEX('CALENDARIO'!$C$15:$C$214,MATCH(TEXT($I273,"yyyy-mm-dd")&amp;"||",'CALENDARIO'!$G$15:$G$214,0)),INDEX(patronHabil,WEEKDAY($I273,2)))))</f>
        <v/>
      </c>
    </row>
    <row r="274">
      <c r="I274" s="11" t="n">
        <v>46292</v>
      </c>
      <c r="J274" s="3">
        <f>IFERROR(INDEX('CALENDARIO'!$C$15:$C$214,MATCH(TEXT($I274,"yyyy-mm-dd")&amp;"|"&amp;""&amp;"|"&amp;"",'CALENDARIO'!$G$15:$G$214,0)),IFERROR(INDEX('CALENDARIO'!$C$15:$C$214,MATCH(TEXT($I274,"yyyy-mm-dd")&amp;"|"&amp;""&amp;"|",'CALENDARIO'!$G$15:$G$214,0)),IFERROR(INDEX('CALENDARIO'!$C$15:$C$214,MATCH(TEXT($I274,"yyyy-mm-dd")&amp;"||",'CALENDARIO'!$G$15:$G$214,0)),INDEX(patronHabil,WEEKDAY($I274,2)))))</f>
        <v/>
      </c>
    </row>
    <row r="275">
      <c r="I275" s="11" t="n">
        <v>46293</v>
      </c>
      <c r="J275" s="3">
        <f>IFERROR(INDEX('CALENDARIO'!$C$15:$C$214,MATCH(TEXT($I275,"yyyy-mm-dd")&amp;"|"&amp;""&amp;"|"&amp;"",'CALENDARIO'!$G$15:$G$214,0)),IFERROR(INDEX('CALENDARIO'!$C$15:$C$214,MATCH(TEXT($I275,"yyyy-mm-dd")&amp;"|"&amp;""&amp;"|",'CALENDARIO'!$G$15:$G$214,0)),IFERROR(INDEX('CALENDARIO'!$C$15:$C$214,MATCH(TEXT($I275,"yyyy-mm-dd")&amp;"||",'CALENDARIO'!$G$15:$G$214,0)),INDEX(patronHabil,WEEKDAY($I275,2)))))</f>
        <v/>
      </c>
    </row>
    <row r="276">
      <c r="I276" s="11" t="n">
        <v>46294</v>
      </c>
      <c r="J276" s="3">
        <f>IFERROR(INDEX('CALENDARIO'!$C$15:$C$214,MATCH(TEXT($I276,"yyyy-mm-dd")&amp;"|"&amp;""&amp;"|"&amp;"",'CALENDARIO'!$G$15:$G$214,0)),IFERROR(INDEX('CALENDARIO'!$C$15:$C$214,MATCH(TEXT($I276,"yyyy-mm-dd")&amp;"|"&amp;""&amp;"|",'CALENDARIO'!$G$15:$G$214,0)),IFERROR(INDEX('CALENDARIO'!$C$15:$C$214,MATCH(TEXT($I276,"yyyy-mm-dd")&amp;"||",'CALENDARIO'!$G$15:$G$214,0)),INDEX(patronHabil,WEEKDAY($I276,2)))))</f>
        <v/>
      </c>
    </row>
    <row r="277">
      <c r="I277" s="11" t="n">
        <v>46295</v>
      </c>
      <c r="J277" s="3">
        <f>IFERROR(INDEX('CALENDARIO'!$C$15:$C$214,MATCH(TEXT($I277,"yyyy-mm-dd")&amp;"|"&amp;""&amp;"|"&amp;"",'CALENDARIO'!$G$15:$G$214,0)),IFERROR(INDEX('CALENDARIO'!$C$15:$C$214,MATCH(TEXT($I277,"yyyy-mm-dd")&amp;"|"&amp;""&amp;"|",'CALENDARIO'!$G$15:$G$214,0)),IFERROR(INDEX('CALENDARIO'!$C$15:$C$214,MATCH(TEXT($I277,"yyyy-mm-dd")&amp;"||",'CALENDARIO'!$G$15:$G$214,0)),INDEX(patronHabil,WEEKDAY($I277,2)))))</f>
        <v/>
      </c>
    </row>
    <row r="278">
      <c r="I278" s="11" t="n">
        <v>46296</v>
      </c>
      <c r="J278" s="3">
        <f>IFERROR(INDEX('CALENDARIO'!$C$15:$C$214,MATCH(TEXT($I278,"yyyy-mm-dd")&amp;"|"&amp;""&amp;"|"&amp;"",'CALENDARIO'!$G$15:$G$214,0)),IFERROR(INDEX('CALENDARIO'!$C$15:$C$214,MATCH(TEXT($I278,"yyyy-mm-dd")&amp;"|"&amp;""&amp;"|",'CALENDARIO'!$G$15:$G$214,0)),IFERROR(INDEX('CALENDARIO'!$C$15:$C$214,MATCH(TEXT($I278,"yyyy-mm-dd")&amp;"||",'CALENDARIO'!$G$15:$G$214,0)),INDEX(patronHabil,WEEKDAY($I278,2)))))</f>
        <v/>
      </c>
    </row>
    <row r="279">
      <c r="I279" s="11" t="n">
        <v>46297</v>
      </c>
      <c r="J279" s="3">
        <f>IFERROR(INDEX('CALENDARIO'!$C$15:$C$214,MATCH(TEXT($I279,"yyyy-mm-dd")&amp;"|"&amp;""&amp;"|"&amp;"",'CALENDARIO'!$G$15:$G$214,0)),IFERROR(INDEX('CALENDARIO'!$C$15:$C$214,MATCH(TEXT($I279,"yyyy-mm-dd")&amp;"|"&amp;""&amp;"|",'CALENDARIO'!$G$15:$G$214,0)),IFERROR(INDEX('CALENDARIO'!$C$15:$C$214,MATCH(TEXT($I279,"yyyy-mm-dd")&amp;"||",'CALENDARIO'!$G$15:$G$214,0)),INDEX(patronHabil,WEEKDAY($I279,2)))))</f>
        <v/>
      </c>
    </row>
    <row r="280">
      <c r="I280" s="11" t="n">
        <v>46298</v>
      </c>
      <c r="J280" s="3">
        <f>IFERROR(INDEX('CALENDARIO'!$C$15:$C$214,MATCH(TEXT($I280,"yyyy-mm-dd")&amp;"|"&amp;""&amp;"|"&amp;"",'CALENDARIO'!$G$15:$G$214,0)),IFERROR(INDEX('CALENDARIO'!$C$15:$C$214,MATCH(TEXT($I280,"yyyy-mm-dd")&amp;"|"&amp;""&amp;"|",'CALENDARIO'!$G$15:$G$214,0)),IFERROR(INDEX('CALENDARIO'!$C$15:$C$214,MATCH(TEXT($I280,"yyyy-mm-dd")&amp;"||",'CALENDARIO'!$G$15:$G$214,0)),INDEX(patronHabil,WEEKDAY($I280,2)))))</f>
        <v/>
      </c>
    </row>
    <row r="281">
      <c r="I281" s="11" t="n">
        <v>46299</v>
      </c>
      <c r="J281" s="3">
        <f>IFERROR(INDEX('CALENDARIO'!$C$15:$C$214,MATCH(TEXT($I281,"yyyy-mm-dd")&amp;"|"&amp;""&amp;"|"&amp;"",'CALENDARIO'!$G$15:$G$214,0)),IFERROR(INDEX('CALENDARIO'!$C$15:$C$214,MATCH(TEXT($I281,"yyyy-mm-dd")&amp;"|"&amp;""&amp;"|",'CALENDARIO'!$G$15:$G$214,0)),IFERROR(INDEX('CALENDARIO'!$C$15:$C$214,MATCH(TEXT($I281,"yyyy-mm-dd")&amp;"||",'CALENDARIO'!$G$15:$G$214,0)),INDEX(patronHabil,WEEKDAY($I281,2)))))</f>
        <v/>
      </c>
    </row>
    <row r="282">
      <c r="I282" s="11" t="n">
        <v>46300</v>
      </c>
      <c r="J282" s="3">
        <f>IFERROR(INDEX('CALENDARIO'!$C$15:$C$214,MATCH(TEXT($I282,"yyyy-mm-dd")&amp;"|"&amp;""&amp;"|"&amp;"",'CALENDARIO'!$G$15:$G$214,0)),IFERROR(INDEX('CALENDARIO'!$C$15:$C$214,MATCH(TEXT($I282,"yyyy-mm-dd")&amp;"|"&amp;""&amp;"|",'CALENDARIO'!$G$15:$G$214,0)),IFERROR(INDEX('CALENDARIO'!$C$15:$C$214,MATCH(TEXT($I282,"yyyy-mm-dd")&amp;"||",'CALENDARIO'!$G$15:$G$214,0)),INDEX(patronHabil,WEEKDAY($I282,2)))))</f>
        <v/>
      </c>
    </row>
    <row r="283">
      <c r="I283" s="11" t="n">
        <v>46301</v>
      </c>
      <c r="J283" s="3">
        <f>IFERROR(INDEX('CALENDARIO'!$C$15:$C$214,MATCH(TEXT($I283,"yyyy-mm-dd")&amp;"|"&amp;""&amp;"|"&amp;"",'CALENDARIO'!$G$15:$G$214,0)),IFERROR(INDEX('CALENDARIO'!$C$15:$C$214,MATCH(TEXT($I283,"yyyy-mm-dd")&amp;"|"&amp;""&amp;"|",'CALENDARIO'!$G$15:$G$214,0)),IFERROR(INDEX('CALENDARIO'!$C$15:$C$214,MATCH(TEXT($I283,"yyyy-mm-dd")&amp;"||",'CALENDARIO'!$G$15:$G$214,0)),INDEX(patronHabil,WEEKDAY($I283,2)))))</f>
        <v/>
      </c>
    </row>
    <row r="284">
      <c r="I284" s="11" t="n">
        <v>46302</v>
      </c>
      <c r="J284" s="3">
        <f>IFERROR(INDEX('CALENDARIO'!$C$15:$C$214,MATCH(TEXT($I284,"yyyy-mm-dd")&amp;"|"&amp;""&amp;"|"&amp;"",'CALENDARIO'!$G$15:$G$214,0)),IFERROR(INDEX('CALENDARIO'!$C$15:$C$214,MATCH(TEXT($I284,"yyyy-mm-dd")&amp;"|"&amp;""&amp;"|",'CALENDARIO'!$G$15:$G$214,0)),IFERROR(INDEX('CALENDARIO'!$C$15:$C$214,MATCH(TEXT($I284,"yyyy-mm-dd")&amp;"||",'CALENDARIO'!$G$15:$G$214,0)),INDEX(patronHabil,WEEKDAY($I284,2)))))</f>
        <v/>
      </c>
    </row>
    <row r="285">
      <c r="I285" s="11" t="n">
        <v>46303</v>
      </c>
      <c r="J285" s="3">
        <f>IFERROR(INDEX('CALENDARIO'!$C$15:$C$214,MATCH(TEXT($I285,"yyyy-mm-dd")&amp;"|"&amp;""&amp;"|"&amp;"",'CALENDARIO'!$G$15:$G$214,0)),IFERROR(INDEX('CALENDARIO'!$C$15:$C$214,MATCH(TEXT($I285,"yyyy-mm-dd")&amp;"|"&amp;""&amp;"|",'CALENDARIO'!$G$15:$G$214,0)),IFERROR(INDEX('CALENDARIO'!$C$15:$C$214,MATCH(TEXT($I285,"yyyy-mm-dd")&amp;"||",'CALENDARIO'!$G$15:$G$214,0)),INDEX(patronHabil,WEEKDAY($I285,2)))))</f>
        <v/>
      </c>
    </row>
    <row r="286">
      <c r="I286" s="11" t="n">
        <v>46304</v>
      </c>
      <c r="J286" s="3">
        <f>IFERROR(INDEX('CALENDARIO'!$C$15:$C$214,MATCH(TEXT($I286,"yyyy-mm-dd")&amp;"|"&amp;""&amp;"|"&amp;"",'CALENDARIO'!$G$15:$G$214,0)),IFERROR(INDEX('CALENDARIO'!$C$15:$C$214,MATCH(TEXT($I286,"yyyy-mm-dd")&amp;"|"&amp;""&amp;"|",'CALENDARIO'!$G$15:$G$214,0)),IFERROR(INDEX('CALENDARIO'!$C$15:$C$214,MATCH(TEXT($I286,"yyyy-mm-dd")&amp;"||",'CALENDARIO'!$G$15:$G$214,0)),INDEX(patronHabil,WEEKDAY($I286,2)))))</f>
        <v/>
      </c>
    </row>
    <row r="287">
      <c r="I287" s="11" t="n">
        <v>46305</v>
      </c>
      <c r="J287" s="3">
        <f>IFERROR(INDEX('CALENDARIO'!$C$15:$C$214,MATCH(TEXT($I287,"yyyy-mm-dd")&amp;"|"&amp;""&amp;"|"&amp;"",'CALENDARIO'!$G$15:$G$214,0)),IFERROR(INDEX('CALENDARIO'!$C$15:$C$214,MATCH(TEXT($I287,"yyyy-mm-dd")&amp;"|"&amp;""&amp;"|",'CALENDARIO'!$G$15:$G$214,0)),IFERROR(INDEX('CALENDARIO'!$C$15:$C$214,MATCH(TEXT($I287,"yyyy-mm-dd")&amp;"||",'CALENDARIO'!$G$15:$G$214,0)),INDEX(patronHabil,WEEKDAY($I287,2)))))</f>
        <v/>
      </c>
    </row>
    <row r="288">
      <c r="I288" s="11" t="n">
        <v>46306</v>
      </c>
      <c r="J288" s="3">
        <f>IFERROR(INDEX('CALENDARIO'!$C$15:$C$214,MATCH(TEXT($I288,"yyyy-mm-dd")&amp;"|"&amp;""&amp;"|"&amp;"",'CALENDARIO'!$G$15:$G$214,0)),IFERROR(INDEX('CALENDARIO'!$C$15:$C$214,MATCH(TEXT($I288,"yyyy-mm-dd")&amp;"|"&amp;""&amp;"|",'CALENDARIO'!$G$15:$G$214,0)),IFERROR(INDEX('CALENDARIO'!$C$15:$C$214,MATCH(TEXT($I288,"yyyy-mm-dd")&amp;"||",'CALENDARIO'!$G$15:$G$214,0)),INDEX(patronHabil,WEEKDAY($I288,2)))))</f>
        <v/>
      </c>
    </row>
    <row r="289">
      <c r="I289" s="11" t="n">
        <v>46307</v>
      </c>
      <c r="J289" s="3">
        <f>IFERROR(INDEX('CALENDARIO'!$C$15:$C$214,MATCH(TEXT($I289,"yyyy-mm-dd")&amp;"|"&amp;""&amp;"|"&amp;"",'CALENDARIO'!$G$15:$G$214,0)),IFERROR(INDEX('CALENDARIO'!$C$15:$C$214,MATCH(TEXT($I289,"yyyy-mm-dd")&amp;"|"&amp;""&amp;"|",'CALENDARIO'!$G$15:$G$214,0)),IFERROR(INDEX('CALENDARIO'!$C$15:$C$214,MATCH(TEXT($I289,"yyyy-mm-dd")&amp;"||",'CALENDARIO'!$G$15:$G$214,0)),INDEX(patronHabil,WEEKDAY($I289,2)))))</f>
        <v/>
      </c>
    </row>
    <row r="290">
      <c r="I290" s="11" t="n">
        <v>46308</v>
      </c>
      <c r="J290" s="3">
        <f>IFERROR(INDEX('CALENDARIO'!$C$15:$C$214,MATCH(TEXT($I290,"yyyy-mm-dd")&amp;"|"&amp;""&amp;"|"&amp;"",'CALENDARIO'!$G$15:$G$214,0)),IFERROR(INDEX('CALENDARIO'!$C$15:$C$214,MATCH(TEXT($I290,"yyyy-mm-dd")&amp;"|"&amp;""&amp;"|",'CALENDARIO'!$G$15:$G$214,0)),IFERROR(INDEX('CALENDARIO'!$C$15:$C$214,MATCH(TEXT($I290,"yyyy-mm-dd")&amp;"||",'CALENDARIO'!$G$15:$G$214,0)),INDEX(patronHabil,WEEKDAY($I290,2)))))</f>
        <v/>
      </c>
    </row>
    <row r="291">
      <c r="I291" s="11" t="n">
        <v>46309</v>
      </c>
      <c r="J291" s="3">
        <f>IFERROR(INDEX('CALENDARIO'!$C$15:$C$214,MATCH(TEXT($I291,"yyyy-mm-dd")&amp;"|"&amp;""&amp;"|"&amp;"",'CALENDARIO'!$G$15:$G$214,0)),IFERROR(INDEX('CALENDARIO'!$C$15:$C$214,MATCH(TEXT($I291,"yyyy-mm-dd")&amp;"|"&amp;""&amp;"|",'CALENDARIO'!$G$15:$G$214,0)),IFERROR(INDEX('CALENDARIO'!$C$15:$C$214,MATCH(TEXT($I291,"yyyy-mm-dd")&amp;"||",'CALENDARIO'!$G$15:$G$214,0)),INDEX(patronHabil,WEEKDAY($I291,2)))))</f>
        <v/>
      </c>
    </row>
    <row r="292">
      <c r="I292" s="11" t="n">
        <v>46310</v>
      </c>
      <c r="J292" s="3">
        <f>IFERROR(INDEX('CALENDARIO'!$C$15:$C$214,MATCH(TEXT($I292,"yyyy-mm-dd")&amp;"|"&amp;""&amp;"|"&amp;"",'CALENDARIO'!$G$15:$G$214,0)),IFERROR(INDEX('CALENDARIO'!$C$15:$C$214,MATCH(TEXT($I292,"yyyy-mm-dd")&amp;"|"&amp;""&amp;"|",'CALENDARIO'!$G$15:$G$214,0)),IFERROR(INDEX('CALENDARIO'!$C$15:$C$214,MATCH(TEXT($I292,"yyyy-mm-dd")&amp;"||",'CALENDARIO'!$G$15:$G$214,0)),INDEX(patronHabil,WEEKDAY($I292,2)))))</f>
        <v/>
      </c>
    </row>
    <row r="293">
      <c r="I293" s="11" t="n">
        <v>46311</v>
      </c>
      <c r="J293" s="3">
        <f>IFERROR(INDEX('CALENDARIO'!$C$15:$C$214,MATCH(TEXT($I293,"yyyy-mm-dd")&amp;"|"&amp;""&amp;"|"&amp;"",'CALENDARIO'!$G$15:$G$214,0)),IFERROR(INDEX('CALENDARIO'!$C$15:$C$214,MATCH(TEXT($I293,"yyyy-mm-dd")&amp;"|"&amp;""&amp;"|",'CALENDARIO'!$G$15:$G$214,0)),IFERROR(INDEX('CALENDARIO'!$C$15:$C$214,MATCH(TEXT($I293,"yyyy-mm-dd")&amp;"||",'CALENDARIO'!$G$15:$G$214,0)),INDEX(patronHabil,WEEKDAY($I293,2)))))</f>
        <v/>
      </c>
    </row>
    <row r="294">
      <c r="I294" s="11" t="n">
        <v>46312</v>
      </c>
      <c r="J294" s="3">
        <f>IFERROR(INDEX('CALENDARIO'!$C$15:$C$214,MATCH(TEXT($I294,"yyyy-mm-dd")&amp;"|"&amp;""&amp;"|"&amp;"",'CALENDARIO'!$G$15:$G$214,0)),IFERROR(INDEX('CALENDARIO'!$C$15:$C$214,MATCH(TEXT($I294,"yyyy-mm-dd")&amp;"|"&amp;""&amp;"|",'CALENDARIO'!$G$15:$G$214,0)),IFERROR(INDEX('CALENDARIO'!$C$15:$C$214,MATCH(TEXT($I294,"yyyy-mm-dd")&amp;"||",'CALENDARIO'!$G$15:$G$214,0)),INDEX(patronHabil,WEEKDAY($I294,2)))))</f>
        <v/>
      </c>
    </row>
    <row r="295">
      <c r="I295" s="11" t="n">
        <v>46313</v>
      </c>
      <c r="J295" s="3">
        <f>IFERROR(INDEX('CALENDARIO'!$C$15:$C$214,MATCH(TEXT($I295,"yyyy-mm-dd")&amp;"|"&amp;""&amp;"|"&amp;"",'CALENDARIO'!$G$15:$G$214,0)),IFERROR(INDEX('CALENDARIO'!$C$15:$C$214,MATCH(TEXT($I295,"yyyy-mm-dd")&amp;"|"&amp;""&amp;"|",'CALENDARIO'!$G$15:$G$214,0)),IFERROR(INDEX('CALENDARIO'!$C$15:$C$214,MATCH(TEXT($I295,"yyyy-mm-dd")&amp;"||",'CALENDARIO'!$G$15:$G$214,0)),INDEX(patronHabil,WEEKDAY($I295,2)))))</f>
        <v/>
      </c>
    </row>
    <row r="296">
      <c r="I296" s="11" t="n">
        <v>46314</v>
      </c>
      <c r="J296" s="3">
        <f>IFERROR(INDEX('CALENDARIO'!$C$15:$C$214,MATCH(TEXT($I296,"yyyy-mm-dd")&amp;"|"&amp;""&amp;"|"&amp;"",'CALENDARIO'!$G$15:$G$214,0)),IFERROR(INDEX('CALENDARIO'!$C$15:$C$214,MATCH(TEXT($I296,"yyyy-mm-dd")&amp;"|"&amp;""&amp;"|",'CALENDARIO'!$G$15:$G$214,0)),IFERROR(INDEX('CALENDARIO'!$C$15:$C$214,MATCH(TEXT($I296,"yyyy-mm-dd")&amp;"||",'CALENDARIO'!$G$15:$G$214,0)),INDEX(patronHabil,WEEKDAY($I296,2)))))</f>
        <v/>
      </c>
    </row>
    <row r="297">
      <c r="I297" s="11" t="n">
        <v>46315</v>
      </c>
      <c r="J297" s="3">
        <f>IFERROR(INDEX('CALENDARIO'!$C$15:$C$214,MATCH(TEXT($I297,"yyyy-mm-dd")&amp;"|"&amp;""&amp;"|"&amp;"",'CALENDARIO'!$G$15:$G$214,0)),IFERROR(INDEX('CALENDARIO'!$C$15:$C$214,MATCH(TEXT($I297,"yyyy-mm-dd")&amp;"|"&amp;""&amp;"|",'CALENDARIO'!$G$15:$G$214,0)),IFERROR(INDEX('CALENDARIO'!$C$15:$C$214,MATCH(TEXT($I297,"yyyy-mm-dd")&amp;"||",'CALENDARIO'!$G$15:$G$214,0)),INDEX(patronHabil,WEEKDAY($I297,2)))))</f>
        <v/>
      </c>
    </row>
    <row r="298">
      <c r="I298" s="11" t="n">
        <v>46316</v>
      </c>
      <c r="J298" s="3">
        <f>IFERROR(INDEX('CALENDARIO'!$C$15:$C$214,MATCH(TEXT($I298,"yyyy-mm-dd")&amp;"|"&amp;""&amp;"|"&amp;"",'CALENDARIO'!$G$15:$G$214,0)),IFERROR(INDEX('CALENDARIO'!$C$15:$C$214,MATCH(TEXT($I298,"yyyy-mm-dd")&amp;"|"&amp;""&amp;"|",'CALENDARIO'!$G$15:$G$214,0)),IFERROR(INDEX('CALENDARIO'!$C$15:$C$214,MATCH(TEXT($I298,"yyyy-mm-dd")&amp;"||",'CALENDARIO'!$G$15:$G$214,0)),INDEX(patronHabil,WEEKDAY($I298,2)))))</f>
        <v/>
      </c>
    </row>
    <row r="299">
      <c r="I299" s="11" t="n">
        <v>46317</v>
      </c>
      <c r="J299" s="3">
        <f>IFERROR(INDEX('CALENDARIO'!$C$15:$C$214,MATCH(TEXT($I299,"yyyy-mm-dd")&amp;"|"&amp;""&amp;"|"&amp;"",'CALENDARIO'!$G$15:$G$214,0)),IFERROR(INDEX('CALENDARIO'!$C$15:$C$214,MATCH(TEXT($I299,"yyyy-mm-dd")&amp;"|"&amp;""&amp;"|",'CALENDARIO'!$G$15:$G$214,0)),IFERROR(INDEX('CALENDARIO'!$C$15:$C$214,MATCH(TEXT($I299,"yyyy-mm-dd")&amp;"||",'CALENDARIO'!$G$15:$G$214,0)),INDEX(patronHabil,WEEKDAY($I299,2)))))</f>
        <v/>
      </c>
    </row>
    <row r="300">
      <c r="I300" s="11" t="n">
        <v>46318</v>
      </c>
      <c r="J300" s="3">
        <f>IFERROR(INDEX('CALENDARIO'!$C$15:$C$214,MATCH(TEXT($I300,"yyyy-mm-dd")&amp;"|"&amp;""&amp;"|"&amp;"",'CALENDARIO'!$G$15:$G$214,0)),IFERROR(INDEX('CALENDARIO'!$C$15:$C$214,MATCH(TEXT($I300,"yyyy-mm-dd")&amp;"|"&amp;""&amp;"|",'CALENDARIO'!$G$15:$G$214,0)),IFERROR(INDEX('CALENDARIO'!$C$15:$C$214,MATCH(TEXT($I300,"yyyy-mm-dd")&amp;"||",'CALENDARIO'!$G$15:$G$214,0)),INDEX(patronHabil,WEEKDAY($I300,2)))))</f>
        <v/>
      </c>
    </row>
    <row r="301">
      <c r="I301" s="11" t="n">
        <v>46319</v>
      </c>
      <c r="J301" s="3">
        <f>IFERROR(INDEX('CALENDARIO'!$C$15:$C$214,MATCH(TEXT($I301,"yyyy-mm-dd")&amp;"|"&amp;""&amp;"|"&amp;"",'CALENDARIO'!$G$15:$G$214,0)),IFERROR(INDEX('CALENDARIO'!$C$15:$C$214,MATCH(TEXT($I301,"yyyy-mm-dd")&amp;"|"&amp;""&amp;"|",'CALENDARIO'!$G$15:$G$214,0)),IFERROR(INDEX('CALENDARIO'!$C$15:$C$214,MATCH(TEXT($I301,"yyyy-mm-dd")&amp;"||",'CALENDARIO'!$G$15:$G$214,0)),INDEX(patronHabil,WEEKDAY($I301,2)))))</f>
        <v/>
      </c>
    </row>
    <row r="302">
      <c r="I302" s="11" t="n">
        <v>46320</v>
      </c>
      <c r="J302" s="3">
        <f>IFERROR(INDEX('CALENDARIO'!$C$15:$C$214,MATCH(TEXT($I302,"yyyy-mm-dd")&amp;"|"&amp;""&amp;"|"&amp;"",'CALENDARIO'!$G$15:$G$214,0)),IFERROR(INDEX('CALENDARIO'!$C$15:$C$214,MATCH(TEXT($I302,"yyyy-mm-dd")&amp;"|"&amp;""&amp;"|",'CALENDARIO'!$G$15:$G$214,0)),IFERROR(INDEX('CALENDARIO'!$C$15:$C$214,MATCH(TEXT($I302,"yyyy-mm-dd")&amp;"||",'CALENDARIO'!$G$15:$G$214,0)),INDEX(patronHabil,WEEKDAY($I302,2)))))</f>
        <v/>
      </c>
    </row>
    <row r="303">
      <c r="I303" s="11" t="n">
        <v>46321</v>
      </c>
      <c r="J303" s="3">
        <f>IFERROR(INDEX('CALENDARIO'!$C$15:$C$214,MATCH(TEXT($I303,"yyyy-mm-dd")&amp;"|"&amp;""&amp;"|"&amp;"",'CALENDARIO'!$G$15:$G$214,0)),IFERROR(INDEX('CALENDARIO'!$C$15:$C$214,MATCH(TEXT($I303,"yyyy-mm-dd")&amp;"|"&amp;""&amp;"|",'CALENDARIO'!$G$15:$G$214,0)),IFERROR(INDEX('CALENDARIO'!$C$15:$C$214,MATCH(TEXT($I303,"yyyy-mm-dd")&amp;"||",'CALENDARIO'!$G$15:$G$214,0)),INDEX(patronHabil,WEEKDAY($I303,2)))))</f>
        <v/>
      </c>
    </row>
    <row r="304">
      <c r="I304" s="11" t="n">
        <v>46322</v>
      </c>
      <c r="J304" s="3">
        <f>IFERROR(INDEX('CALENDARIO'!$C$15:$C$214,MATCH(TEXT($I304,"yyyy-mm-dd")&amp;"|"&amp;""&amp;"|"&amp;"",'CALENDARIO'!$G$15:$G$214,0)),IFERROR(INDEX('CALENDARIO'!$C$15:$C$214,MATCH(TEXT($I304,"yyyy-mm-dd")&amp;"|"&amp;""&amp;"|",'CALENDARIO'!$G$15:$G$214,0)),IFERROR(INDEX('CALENDARIO'!$C$15:$C$214,MATCH(TEXT($I304,"yyyy-mm-dd")&amp;"||",'CALENDARIO'!$G$15:$G$214,0)),INDEX(patronHabil,WEEKDAY($I304,2)))))</f>
        <v/>
      </c>
    </row>
    <row r="305">
      <c r="I305" s="11" t="n">
        <v>46323</v>
      </c>
      <c r="J305" s="3">
        <f>IFERROR(INDEX('CALENDARIO'!$C$15:$C$214,MATCH(TEXT($I305,"yyyy-mm-dd")&amp;"|"&amp;""&amp;"|"&amp;"",'CALENDARIO'!$G$15:$G$214,0)),IFERROR(INDEX('CALENDARIO'!$C$15:$C$214,MATCH(TEXT($I305,"yyyy-mm-dd")&amp;"|"&amp;""&amp;"|",'CALENDARIO'!$G$15:$G$214,0)),IFERROR(INDEX('CALENDARIO'!$C$15:$C$214,MATCH(TEXT($I305,"yyyy-mm-dd")&amp;"||",'CALENDARIO'!$G$15:$G$214,0)),INDEX(patronHabil,WEEKDAY($I305,2)))))</f>
        <v/>
      </c>
    </row>
    <row r="306">
      <c r="I306" s="11" t="n">
        <v>46324</v>
      </c>
      <c r="J306" s="3">
        <f>IFERROR(INDEX('CALENDARIO'!$C$15:$C$214,MATCH(TEXT($I306,"yyyy-mm-dd")&amp;"|"&amp;""&amp;"|"&amp;"",'CALENDARIO'!$G$15:$G$214,0)),IFERROR(INDEX('CALENDARIO'!$C$15:$C$214,MATCH(TEXT($I306,"yyyy-mm-dd")&amp;"|"&amp;""&amp;"|",'CALENDARIO'!$G$15:$G$214,0)),IFERROR(INDEX('CALENDARIO'!$C$15:$C$214,MATCH(TEXT($I306,"yyyy-mm-dd")&amp;"||",'CALENDARIO'!$G$15:$G$214,0)),INDEX(patronHabil,WEEKDAY($I306,2)))))</f>
        <v/>
      </c>
    </row>
    <row r="307">
      <c r="I307" s="11" t="n">
        <v>46325</v>
      </c>
      <c r="J307" s="3">
        <f>IFERROR(INDEX('CALENDARIO'!$C$15:$C$214,MATCH(TEXT($I307,"yyyy-mm-dd")&amp;"|"&amp;""&amp;"|"&amp;"",'CALENDARIO'!$G$15:$G$214,0)),IFERROR(INDEX('CALENDARIO'!$C$15:$C$214,MATCH(TEXT($I307,"yyyy-mm-dd")&amp;"|"&amp;""&amp;"|",'CALENDARIO'!$G$15:$G$214,0)),IFERROR(INDEX('CALENDARIO'!$C$15:$C$214,MATCH(TEXT($I307,"yyyy-mm-dd")&amp;"||",'CALENDARIO'!$G$15:$G$214,0)),INDEX(patronHabil,WEEKDAY($I307,2)))))</f>
        <v/>
      </c>
    </row>
    <row r="308">
      <c r="I308" s="11" t="n">
        <v>46326</v>
      </c>
      <c r="J308" s="3">
        <f>IFERROR(INDEX('CALENDARIO'!$C$15:$C$214,MATCH(TEXT($I308,"yyyy-mm-dd")&amp;"|"&amp;""&amp;"|"&amp;"",'CALENDARIO'!$G$15:$G$214,0)),IFERROR(INDEX('CALENDARIO'!$C$15:$C$214,MATCH(TEXT($I308,"yyyy-mm-dd")&amp;"|"&amp;""&amp;"|",'CALENDARIO'!$G$15:$G$214,0)),IFERROR(INDEX('CALENDARIO'!$C$15:$C$214,MATCH(TEXT($I308,"yyyy-mm-dd")&amp;"||",'CALENDARIO'!$G$15:$G$214,0)),INDEX(patronHabil,WEEKDAY($I308,2)))))</f>
        <v/>
      </c>
    </row>
    <row r="309">
      <c r="I309" s="11" t="n">
        <v>46327</v>
      </c>
      <c r="J309" s="3">
        <f>IFERROR(INDEX('CALENDARIO'!$C$15:$C$214,MATCH(TEXT($I309,"yyyy-mm-dd")&amp;"|"&amp;""&amp;"|"&amp;"",'CALENDARIO'!$G$15:$G$214,0)),IFERROR(INDEX('CALENDARIO'!$C$15:$C$214,MATCH(TEXT($I309,"yyyy-mm-dd")&amp;"|"&amp;""&amp;"|",'CALENDARIO'!$G$15:$G$214,0)),IFERROR(INDEX('CALENDARIO'!$C$15:$C$214,MATCH(TEXT($I309,"yyyy-mm-dd")&amp;"||",'CALENDARIO'!$G$15:$G$214,0)),INDEX(patronHabil,WEEKDAY($I309,2)))))</f>
        <v/>
      </c>
    </row>
    <row r="310">
      <c r="I310" s="11" t="n">
        <v>46328</v>
      </c>
      <c r="J310" s="3">
        <f>IFERROR(INDEX('CALENDARIO'!$C$15:$C$214,MATCH(TEXT($I310,"yyyy-mm-dd")&amp;"|"&amp;""&amp;"|"&amp;"",'CALENDARIO'!$G$15:$G$214,0)),IFERROR(INDEX('CALENDARIO'!$C$15:$C$214,MATCH(TEXT($I310,"yyyy-mm-dd")&amp;"|"&amp;""&amp;"|",'CALENDARIO'!$G$15:$G$214,0)),IFERROR(INDEX('CALENDARIO'!$C$15:$C$214,MATCH(TEXT($I310,"yyyy-mm-dd")&amp;"||",'CALENDARIO'!$G$15:$G$214,0)),INDEX(patronHabil,WEEKDAY($I310,2)))))</f>
        <v/>
      </c>
    </row>
    <row r="311">
      <c r="I311" s="11" t="n">
        <v>46329</v>
      </c>
      <c r="J311" s="3">
        <f>IFERROR(INDEX('CALENDARIO'!$C$15:$C$214,MATCH(TEXT($I311,"yyyy-mm-dd")&amp;"|"&amp;""&amp;"|"&amp;"",'CALENDARIO'!$G$15:$G$214,0)),IFERROR(INDEX('CALENDARIO'!$C$15:$C$214,MATCH(TEXT($I311,"yyyy-mm-dd")&amp;"|"&amp;""&amp;"|",'CALENDARIO'!$G$15:$G$214,0)),IFERROR(INDEX('CALENDARIO'!$C$15:$C$214,MATCH(TEXT($I311,"yyyy-mm-dd")&amp;"||",'CALENDARIO'!$G$15:$G$214,0)),INDEX(patronHabil,WEEKDAY($I311,2)))))</f>
        <v/>
      </c>
    </row>
    <row r="312">
      <c r="I312" s="11" t="n">
        <v>46330</v>
      </c>
      <c r="J312" s="3">
        <f>IFERROR(INDEX('CALENDARIO'!$C$15:$C$214,MATCH(TEXT($I312,"yyyy-mm-dd")&amp;"|"&amp;""&amp;"|"&amp;"",'CALENDARIO'!$G$15:$G$214,0)),IFERROR(INDEX('CALENDARIO'!$C$15:$C$214,MATCH(TEXT($I312,"yyyy-mm-dd")&amp;"|"&amp;""&amp;"|",'CALENDARIO'!$G$15:$G$214,0)),IFERROR(INDEX('CALENDARIO'!$C$15:$C$214,MATCH(TEXT($I312,"yyyy-mm-dd")&amp;"||",'CALENDARIO'!$G$15:$G$214,0)),INDEX(patronHabil,WEEKDAY($I312,2)))))</f>
        <v/>
      </c>
    </row>
    <row r="313">
      <c r="I313" s="11" t="n">
        <v>46331</v>
      </c>
      <c r="J313" s="3">
        <f>IFERROR(INDEX('CALENDARIO'!$C$15:$C$214,MATCH(TEXT($I313,"yyyy-mm-dd")&amp;"|"&amp;""&amp;"|"&amp;"",'CALENDARIO'!$G$15:$G$214,0)),IFERROR(INDEX('CALENDARIO'!$C$15:$C$214,MATCH(TEXT($I313,"yyyy-mm-dd")&amp;"|"&amp;""&amp;"|",'CALENDARIO'!$G$15:$G$214,0)),IFERROR(INDEX('CALENDARIO'!$C$15:$C$214,MATCH(TEXT($I313,"yyyy-mm-dd")&amp;"||",'CALENDARIO'!$G$15:$G$214,0)),INDEX(patronHabil,WEEKDAY($I313,2)))))</f>
        <v/>
      </c>
    </row>
    <row r="314">
      <c r="I314" s="11" t="n">
        <v>46332</v>
      </c>
      <c r="J314" s="3">
        <f>IFERROR(INDEX('CALENDARIO'!$C$15:$C$214,MATCH(TEXT($I314,"yyyy-mm-dd")&amp;"|"&amp;""&amp;"|"&amp;"",'CALENDARIO'!$G$15:$G$214,0)),IFERROR(INDEX('CALENDARIO'!$C$15:$C$214,MATCH(TEXT($I314,"yyyy-mm-dd")&amp;"|"&amp;""&amp;"|",'CALENDARIO'!$G$15:$G$214,0)),IFERROR(INDEX('CALENDARIO'!$C$15:$C$214,MATCH(TEXT($I314,"yyyy-mm-dd")&amp;"||",'CALENDARIO'!$G$15:$G$214,0)),INDEX(patronHabil,WEEKDAY($I314,2)))))</f>
        <v/>
      </c>
    </row>
    <row r="315">
      <c r="I315" s="11" t="n">
        <v>46333</v>
      </c>
      <c r="J315" s="3">
        <f>IFERROR(INDEX('CALENDARIO'!$C$15:$C$214,MATCH(TEXT($I315,"yyyy-mm-dd")&amp;"|"&amp;""&amp;"|"&amp;"",'CALENDARIO'!$G$15:$G$214,0)),IFERROR(INDEX('CALENDARIO'!$C$15:$C$214,MATCH(TEXT($I315,"yyyy-mm-dd")&amp;"|"&amp;""&amp;"|",'CALENDARIO'!$G$15:$G$214,0)),IFERROR(INDEX('CALENDARIO'!$C$15:$C$214,MATCH(TEXT($I315,"yyyy-mm-dd")&amp;"||",'CALENDARIO'!$G$15:$G$214,0)),INDEX(patronHabil,WEEKDAY($I315,2)))))</f>
        <v/>
      </c>
    </row>
    <row r="316">
      <c r="I316" s="11" t="n">
        <v>46334</v>
      </c>
      <c r="J316" s="3">
        <f>IFERROR(INDEX('CALENDARIO'!$C$15:$C$214,MATCH(TEXT($I316,"yyyy-mm-dd")&amp;"|"&amp;""&amp;"|"&amp;"",'CALENDARIO'!$G$15:$G$214,0)),IFERROR(INDEX('CALENDARIO'!$C$15:$C$214,MATCH(TEXT($I316,"yyyy-mm-dd")&amp;"|"&amp;""&amp;"|",'CALENDARIO'!$G$15:$G$214,0)),IFERROR(INDEX('CALENDARIO'!$C$15:$C$214,MATCH(TEXT($I316,"yyyy-mm-dd")&amp;"||",'CALENDARIO'!$G$15:$G$214,0)),INDEX(patronHabil,WEEKDAY($I316,2)))))</f>
        <v/>
      </c>
    </row>
    <row r="317">
      <c r="I317" s="11" t="n">
        <v>46335</v>
      </c>
      <c r="J317" s="3">
        <f>IFERROR(INDEX('CALENDARIO'!$C$15:$C$214,MATCH(TEXT($I317,"yyyy-mm-dd")&amp;"|"&amp;""&amp;"|"&amp;"",'CALENDARIO'!$G$15:$G$214,0)),IFERROR(INDEX('CALENDARIO'!$C$15:$C$214,MATCH(TEXT($I317,"yyyy-mm-dd")&amp;"|"&amp;""&amp;"|",'CALENDARIO'!$G$15:$G$214,0)),IFERROR(INDEX('CALENDARIO'!$C$15:$C$214,MATCH(TEXT($I317,"yyyy-mm-dd")&amp;"||",'CALENDARIO'!$G$15:$G$214,0)),INDEX(patronHabil,WEEKDAY($I317,2)))))</f>
        <v/>
      </c>
    </row>
    <row r="318">
      <c r="I318" s="11" t="n">
        <v>46336</v>
      </c>
      <c r="J318" s="3">
        <f>IFERROR(INDEX('CALENDARIO'!$C$15:$C$214,MATCH(TEXT($I318,"yyyy-mm-dd")&amp;"|"&amp;""&amp;"|"&amp;"",'CALENDARIO'!$G$15:$G$214,0)),IFERROR(INDEX('CALENDARIO'!$C$15:$C$214,MATCH(TEXT($I318,"yyyy-mm-dd")&amp;"|"&amp;""&amp;"|",'CALENDARIO'!$G$15:$G$214,0)),IFERROR(INDEX('CALENDARIO'!$C$15:$C$214,MATCH(TEXT($I318,"yyyy-mm-dd")&amp;"||",'CALENDARIO'!$G$15:$G$214,0)),INDEX(patronHabil,WEEKDAY($I318,2)))))</f>
        <v/>
      </c>
    </row>
    <row r="319">
      <c r="I319" s="11" t="n">
        <v>46337</v>
      </c>
      <c r="J319" s="3">
        <f>IFERROR(INDEX('CALENDARIO'!$C$15:$C$214,MATCH(TEXT($I319,"yyyy-mm-dd")&amp;"|"&amp;""&amp;"|"&amp;"",'CALENDARIO'!$G$15:$G$214,0)),IFERROR(INDEX('CALENDARIO'!$C$15:$C$214,MATCH(TEXT($I319,"yyyy-mm-dd")&amp;"|"&amp;""&amp;"|",'CALENDARIO'!$G$15:$G$214,0)),IFERROR(INDEX('CALENDARIO'!$C$15:$C$214,MATCH(TEXT($I319,"yyyy-mm-dd")&amp;"||",'CALENDARIO'!$G$15:$G$214,0)),INDEX(patronHabil,WEEKDAY($I319,2)))))</f>
        <v/>
      </c>
    </row>
    <row r="320">
      <c r="I320" s="11" t="n">
        <v>46338</v>
      </c>
      <c r="J320" s="3">
        <f>IFERROR(INDEX('CALENDARIO'!$C$15:$C$214,MATCH(TEXT($I320,"yyyy-mm-dd")&amp;"|"&amp;""&amp;"|"&amp;"",'CALENDARIO'!$G$15:$G$214,0)),IFERROR(INDEX('CALENDARIO'!$C$15:$C$214,MATCH(TEXT($I320,"yyyy-mm-dd")&amp;"|"&amp;""&amp;"|",'CALENDARIO'!$G$15:$G$214,0)),IFERROR(INDEX('CALENDARIO'!$C$15:$C$214,MATCH(TEXT($I320,"yyyy-mm-dd")&amp;"||",'CALENDARIO'!$G$15:$G$214,0)),INDEX(patronHabil,WEEKDAY($I320,2)))))</f>
        <v/>
      </c>
    </row>
    <row r="321">
      <c r="I321" s="11" t="n">
        <v>46339</v>
      </c>
      <c r="J321" s="3">
        <f>IFERROR(INDEX('CALENDARIO'!$C$15:$C$214,MATCH(TEXT($I321,"yyyy-mm-dd")&amp;"|"&amp;""&amp;"|"&amp;"",'CALENDARIO'!$G$15:$G$214,0)),IFERROR(INDEX('CALENDARIO'!$C$15:$C$214,MATCH(TEXT($I321,"yyyy-mm-dd")&amp;"|"&amp;""&amp;"|",'CALENDARIO'!$G$15:$G$214,0)),IFERROR(INDEX('CALENDARIO'!$C$15:$C$214,MATCH(TEXT($I321,"yyyy-mm-dd")&amp;"||",'CALENDARIO'!$G$15:$G$214,0)),INDEX(patronHabil,WEEKDAY($I321,2)))))</f>
        <v/>
      </c>
    </row>
    <row r="322">
      <c r="I322" s="11" t="n">
        <v>46340</v>
      </c>
      <c r="J322" s="3">
        <f>IFERROR(INDEX('CALENDARIO'!$C$15:$C$214,MATCH(TEXT($I322,"yyyy-mm-dd")&amp;"|"&amp;""&amp;"|"&amp;"",'CALENDARIO'!$G$15:$G$214,0)),IFERROR(INDEX('CALENDARIO'!$C$15:$C$214,MATCH(TEXT($I322,"yyyy-mm-dd")&amp;"|"&amp;""&amp;"|",'CALENDARIO'!$G$15:$G$214,0)),IFERROR(INDEX('CALENDARIO'!$C$15:$C$214,MATCH(TEXT($I322,"yyyy-mm-dd")&amp;"||",'CALENDARIO'!$G$15:$G$214,0)),INDEX(patronHabil,WEEKDAY($I322,2)))))</f>
        <v/>
      </c>
    </row>
    <row r="323">
      <c r="I323" s="11" t="n">
        <v>46341</v>
      </c>
      <c r="J323" s="3">
        <f>IFERROR(INDEX('CALENDARIO'!$C$15:$C$214,MATCH(TEXT($I323,"yyyy-mm-dd")&amp;"|"&amp;""&amp;"|"&amp;"",'CALENDARIO'!$G$15:$G$214,0)),IFERROR(INDEX('CALENDARIO'!$C$15:$C$214,MATCH(TEXT($I323,"yyyy-mm-dd")&amp;"|"&amp;""&amp;"|",'CALENDARIO'!$G$15:$G$214,0)),IFERROR(INDEX('CALENDARIO'!$C$15:$C$214,MATCH(TEXT($I323,"yyyy-mm-dd")&amp;"||",'CALENDARIO'!$G$15:$G$214,0)),INDEX(patronHabil,WEEKDAY($I323,2)))))</f>
        <v/>
      </c>
    </row>
    <row r="324">
      <c r="I324" s="11" t="n">
        <v>46342</v>
      </c>
      <c r="J324" s="3">
        <f>IFERROR(INDEX('CALENDARIO'!$C$15:$C$214,MATCH(TEXT($I324,"yyyy-mm-dd")&amp;"|"&amp;""&amp;"|"&amp;"",'CALENDARIO'!$G$15:$G$214,0)),IFERROR(INDEX('CALENDARIO'!$C$15:$C$214,MATCH(TEXT($I324,"yyyy-mm-dd")&amp;"|"&amp;""&amp;"|",'CALENDARIO'!$G$15:$G$214,0)),IFERROR(INDEX('CALENDARIO'!$C$15:$C$214,MATCH(TEXT($I324,"yyyy-mm-dd")&amp;"||",'CALENDARIO'!$G$15:$G$214,0)),INDEX(patronHabil,WEEKDAY($I324,2)))))</f>
        <v/>
      </c>
    </row>
    <row r="325">
      <c r="I325" s="11" t="n">
        <v>46343</v>
      </c>
      <c r="J325" s="3">
        <f>IFERROR(INDEX('CALENDARIO'!$C$15:$C$214,MATCH(TEXT($I325,"yyyy-mm-dd")&amp;"|"&amp;""&amp;"|"&amp;"",'CALENDARIO'!$G$15:$G$214,0)),IFERROR(INDEX('CALENDARIO'!$C$15:$C$214,MATCH(TEXT($I325,"yyyy-mm-dd")&amp;"|"&amp;""&amp;"|",'CALENDARIO'!$G$15:$G$214,0)),IFERROR(INDEX('CALENDARIO'!$C$15:$C$214,MATCH(TEXT($I325,"yyyy-mm-dd")&amp;"||",'CALENDARIO'!$G$15:$G$214,0)),INDEX(patronHabil,WEEKDAY($I325,2)))))</f>
        <v/>
      </c>
    </row>
    <row r="326">
      <c r="I326" s="11" t="n">
        <v>46344</v>
      </c>
      <c r="J326" s="3">
        <f>IFERROR(INDEX('CALENDARIO'!$C$15:$C$214,MATCH(TEXT($I326,"yyyy-mm-dd")&amp;"|"&amp;""&amp;"|"&amp;"",'CALENDARIO'!$G$15:$G$214,0)),IFERROR(INDEX('CALENDARIO'!$C$15:$C$214,MATCH(TEXT($I326,"yyyy-mm-dd")&amp;"|"&amp;""&amp;"|",'CALENDARIO'!$G$15:$G$214,0)),IFERROR(INDEX('CALENDARIO'!$C$15:$C$214,MATCH(TEXT($I326,"yyyy-mm-dd")&amp;"||",'CALENDARIO'!$G$15:$G$214,0)),INDEX(patronHabil,WEEKDAY($I326,2)))))</f>
        <v/>
      </c>
    </row>
    <row r="327">
      <c r="I327" s="11" t="n">
        <v>46345</v>
      </c>
      <c r="J327" s="3">
        <f>IFERROR(INDEX('CALENDARIO'!$C$15:$C$214,MATCH(TEXT($I327,"yyyy-mm-dd")&amp;"|"&amp;""&amp;"|"&amp;"",'CALENDARIO'!$G$15:$G$214,0)),IFERROR(INDEX('CALENDARIO'!$C$15:$C$214,MATCH(TEXT($I327,"yyyy-mm-dd")&amp;"|"&amp;""&amp;"|",'CALENDARIO'!$G$15:$G$214,0)),IFERROR(INDEX('CALENDARIO'!$C$15:$C$214,MATCH(TEXT($I327,"yyyy-mm-dd")&amp;"||",'CALENDARIO'!$G$15:$G$214,0)),INDEX(patronHabil,WEEKDAY($I327,2)))))</f>
        <v/>
      </c>
    </row>
    <row r="328">
      <c r="I328" s="11" t="n">
        <v>46346</v>
      </c>
      <c r="J328" s="3">
        <f>IFERROR(INDEX('CALENDARIO'!$C$15:$C$214,MATCH(TEXT($I328,"yyyy-mm-dd")&amp;"|"&amp;""&amp;"|"&amp;"",'CALENDARIO'!$G$15:$G$214,0)),IFERROR(INDEX('CALENDARIO'!$C$15:$C$214,MATCH(TEXT($I328,"yyyy-mm-dd")&amp;"|"&amp;""&amp;"|",'CALENDARIO'!$G$15:$G$214,0)),IFERROR(INDEX('CALENDARIO'!$C$15:$C$214,MATCH(TEXT($I328,"yyyy-mm-dd")&amp;"||",'CALENDARIO'!$G$15:$G$214,0)),INDEX(patronHabil,WEEKDAY($I328,2)))))</f>
        <v/>
      </c>
    </row>
    <row r="329">
      <c r="I329" s="11" t="n">
        <v>46347</v>
      </c>
      <c r="J329" s="3">
        <f>IFERROR(INDEX('CALENDARIO'!$C$15:$C$214,MATCH(TEXT($I329,"yyyy-mm-dd")&amp;"|"&amp;""&amp;"|"&amp;"",'CALENDARIO'!$G$15:$G$214,0)),IFERROR(INDEX('CALENDARIO'!$C$15:$C$214,MATCH(TEXT($I329,"yyyy-mm-dd")&amp;"|"&amp;""&amp;"|",'CALENDARIO'!$G$15:$G$214,0)),IFERROR(INDEX('CALENDARIO'!$C$15:$C$214,MATCH(TEXT($I329,"yyyy-mm-dd")&amp;"||",'CALENDARIO'!$G$15:$G$214,0)),INDEX(patronHabil,WEEKDAY($I329,2)))))</f>
        <v/>
      </c>
    </row>
    <row r="330">
      <c r="I330" s="11" t="n">
        <v>46348</v>
      </c>
      <c r="J330" s="3">
        <f>IFERROR(INDEX('CALENDARIO'!$C$15:$C$214,MATCH(TEXT($I330,"yyyy-mm-dd")&amp;"|"&amp;""&amp;"|"&amp;"",'CALENDARIO'!$G$15:$G$214,0)),IFERROR(INDEX('CALENDARIO'!$C$15:$C$214,MATCH(TEXT($I330,"yyyy-mm-dd")&amp;"|"&amp;""&amp;"|",'CALENDARIO'!$G$15:$G$214,0)),IFERROR(INDEX('CALENDARIO'!$C$15:$C$214,MATCH(TEXT($I330,"yyyy-mm-dd")&amp;"||",'CALENDARIO'!$G$15:$G$214,0)),INDEX(patronHabil,WEEKDAY($I330,2)))))</f>
        <v/>
      </c>
    </row>
    <row r="331">
      <c r="I331" s="11" t="n">
        <v>46349</v>
      </c>
      <c r="J331" s="3">
        <f>IFERROR(INDEX('CALENDARIO'!$C$15:$C$214,MATCH(TEXT($I331,"yyyy-mm-dd")&amp;"|"&amp;""&amp;"|"&amp;"",'CALENDARIO'!$G$15:$G$214,0)),IFERROR(INDEX('CALENDARIO'!$C$15:$C$214,MATCH(TEXT($I331,"yyyy-mm-dd")&amp;"|"&amp;""&amp;"|",'CALENDARIO'!$G$15:$G$214,0)),IFERROR(INDEX('CALENDARIO'!$C$15:$C$214,MATCH(TEXT($I331,"yyyy-mm-dd")&amp;"||",'CALENDARIO'!$G$15:$G$214,0)),INDEX(patronHabil,WEEKDAY($I331,2)))))</f>
        <v/>
      </c>
    </row>
    <row r="332">
      <c r="I332" s="11" t="n">
        <v>46350</v>
      </c>
      <c r="J332" s="3">
        <f>IFERROR(INDEX('CALENDARIO'!$C$15:$C$214,MATCH(TEXT($I332,"yyyy-mm-dd")&amp;"|"&amp;""&amp;"|"&amp;"",'CALENDARIO'!$G$15:$G$214,0)),IFERROR(INDEX('CALENDARIO'!$C$15:$C$214,MATCH(TEXT($I332,"yyyy-mm-dd")&amp;"|"&amp;""&amp;"|",'CALENDARIO'!$G$15:$G$214,0)),IFERROR(INDEX('CALENDARIO'!$C$15:$C$214,MATCH(TEXT($I332,"yyyy-mm-dd")&amp;"||",'CALENDARIO'!$G$15:$G$214,0)),INDEX(patronHabil,WEEKDAY($I332,2)))))</f>
        <v/>
      </c>
    </row>
    <row r="333">
      <c r="I333" s="11" t="n">
        <v>46351</v>
      </c>
      <c r="J333" s="3">
        <f>IFERROR(INDEX('CALENDARIO'!$C$15:$C$214,MATCH(TEXT($I333,"yyyy-mm-dd")&amp;"|"&amp;""&amp;"|"&amp;"",'CALENDARIO'!$G$15:$G$214,0)),IFERROR(INDEX('CALENDARIO'!$C$15:$C$214,MATCH(TEXT($I333,"yyyy-mm-dd")&amp;"|"&amp;""&amp;"|",'CALENDARIO'!$G$15:$G$214,0)),IFERROR(INDEX('CALENDARIO'!$C$15:$C$214,MATCH(TEXT($I333,"yyyy-mm-dd")&amp;"||",'CALENDARIO'!$G$15:$G$214,0)),INDEX(patronHabil,WEEKDAY($I333,2)))))</f>
        <v/>
      </c>
    </row>
    <row r="334">
      <c r="I334" s="11" t="n">
        <v>46352</v>
      </c>
      <c r="J334" s="3">
        <f>IFERROR(INDEX('CALENDARIO'!$C$15:$C$214,MATCH(TEXT($I334,"yyyy-mm-dd")&amp;"|"&amp;""&amp;"|"&amp;"",'CALENDARIO'!$G$15:$G$214,0)),IFERROR(INDEX('CALENDARIO'!$C$15:$C$214,MATCH(TEXT($I334,"yyyy-mm-dd")&amp;"|"&amp;""&amp;"|",'CALENDARIO'!$G$15:$G$214,0)),IFERROR(INDEX('CALENDARIO'!$C$15:$C$214,MATCH(TEXT($I334,"yyyy-mm-dd")&amp;"||",'CALENDARIO'!$G$15:$G$214,0)),INDEX(patronHabil,WEEKDAY($I334,2)))))</f>
        <v/>
      </c>
    </row>
    <row r="335">
      <c r="I335" s="11" t="n">
        <v>46353</v>
      </c>
      <c r="J335" s="3">
        <f>IFERROR(INDEX('CALENDARIO'!$C$15:$C$214,MATCH(TEXT($I335,"yyyy-mm-dd")&amp;"|"&amp;""&amp;"|"&amp;"",'CALENDARIO'!$G$15:$G$214,0)),IFERROR(INDEX('CALENDARIO'!$C$15:$C$214,MATCH(TEXT($I335,"yyyy-mm-dd")&amp;"|"&amp;""&amp;"|",'CALENDARIO'!$G$15:$G$214,0)),IFERROR(INDEX('CALENDARIO'!$C$15:$C$214,MATCH(TEXT($I335,"yyyy-mm-dd")&amp;"||",'CALENDARIO'!$G$15:$G$214,0)),INDEX(patronHabil,WEEKDAY($I335,2)))))</f>
        <v/>
      </c>
    </row>
    <row r="336">
      <c r="I336" s="11" t="n">
        <v>46354</v>
      </c>
      <c r="J336" s="3">
        <f>IFERROR(INDEX('CALENDARIO'!$C$15:$C$214,MATCH(TEXT($I336,"yyyy-mm-dd")&amp;"|"&amp;""&amp;"|"&amp;"",'CALENDARIO'!$G$15:$G$214,0)),IFERROR(INDEX('CALENDARIO'!$C$15:$C$214,MATCH(TEXT($I336,"yyyy-mm-dd")&amp;"|"&amp;""&amp;"|",'CALENDARIO'!$G$15:$G$214,0)),IFERROR(INDEX('CALENDARIO'!$C$15:$C$214,MATCH(TEXT($I336,"yyyy-mm-dd")&amp;"||",'CALENDARIO'!$G$15:$G$214,0)),INDEX(patronHabil,WEEKDAY($I336,2)))))</f>
        <v/>
      </c>
    </row>
    <row r="337">
      <c r="I337" s="11" t="n">
        <v>46355</v>
      </c>
      <c r="J337" s="3">
        <f>IFERROR(INDEX('CALENDARIO'!$C$15:$C$214,MATCH(TEXT($I337,"yyyy-mm-dd")&amp;"|"&amp;""&amp;"|"&amp;"",'CALENDARIO'!$G$15:$G$214,0)),IFERROR(INDEX('CALENDARIO'!$C$15:$C$214,MATCH(TEXT($I337,"yyyy-mm-dd")&amp;"|"&amp;""&amp;"|",'CALENDARIO'!$G$15:$G$214,0)),IFERROR(INDEX('CALENDARIO'!$C$15:$C$214,MATCH(TEXT($I337,"yyyy-mm-dd")&amp;"||",'CALENDARIO'!$G$15:$G$214,0)),INDEX(patronHabil,WEEKDAY($I337,2)))))</f>
        <v/>
      </c>
    </row>
    <row r="338">
      <c r="I338" s="11" t="n">
        <v>46356</v>
      </c>
      <c r="J338" s="3">
        <f>IFERROR(INDEX('CALENDARIO'!$C$15:$C$214,MATCH(TEXT($I338,"yyyy-mm-dd")&amp;"|"&amp;""&amp;"|"&amp;"",'CALENDARIO'!$G$15:$G$214,0)),IFERROR(INDEX('CALENDARIO'!$C$15:$C$214,MATCH(TEXT($I338,"yyyy-mm-dd")&amp;"|"&amp;""&amp;"|",'CALENDARIO'!$G$15:$G$214,0)),IFERROR(INDEX('CALENDARIO'!$C$15:$C$214,MATCH(TEXT($I338,"yyyy-mm-dd")&amp;"||",'CALENDARIO'!$G$15:$G$214,0)),INDEX(patronHabil,WEEKDAY($I338,2)))))</f>
        <v/>
      </c>
    </row>
    <row r="339">
      <c r="I339" s="11" t="n">
        <v>46357</v>
      </c>
      <c r="J339" s="3">
        <f>IFERROR(INDEX('CALENDARIO'!$C$15:$C$214,MATCH(TEXT($I339,"yyyy-mm-dd")&amp;"|"&amp;""&amp;"|"&amp;"",'CALENDARIO'!$G$15:$G$214,0)),IFERROR(INDEX('CALENDARIO'!$C$15:$C$214,MATCH(TEXT($I339,"yyyy-mm-dd")&amp;"|"&amp;""&amp;"|",'CALENDARIO'!$G$15:$G$214,0)),IFERROR(INDEX('CALENDARIO'!$C$15:$C$214,MATCH(TEXT($I339,"yyyy-mm-dd")&amp;"||",'CALENDARIO'!$G$15:$G$214,0)),INDEX(patronHabil,WEEKDAY($I339,2)))))</f>
        <v/>
      </c>
    </row>
    <row r="340">
      <c r="I340" s="11" t="n">
        <v>46358</v>
      </c>
      <c r="J340" s="3">
        <f>IFERROR(INDEX('CALENDARIO'!$C$15:$C$214,MATCH(TEXT($I340,"yyyy-mm-dd")&amp;"|"&amp;""&amp;"|"&amp;"",'CALENDARIO'!$G$15:$G$214,0)),IFERROR(INDEX('CALENDARIO'!$C$15:$C$214,MATCH(TEXT($I340,"yyyy-mm-dd")&amp;"|"&amp;""&amp;"|",'CALENDARIO'!$G$15:$G$214,0)),IFERROR(INDEX('CALENDARIO'!$C$15:$C$214,MATCH(TEXT($I340,"yyyy-mm-dd")&amp;"||",'CALENDARIO'!$G$15:$G$214,0)),INDEX(patronHabil,WEEKDAY($I340,2)))))</f>
        <v/>
      </c>
    </row>
    <row r="341">
      <c r="I341" s="11" t="n">
        <v>46359</v>
      </c>
      <c r="J341" s="3">
        <f>IFERROR(INDEX('CALENDARIO'!$C$15:$C$214,MATCH(TEXT($I341,"yyyy-mm-dd")&amp;"|"&amp;""&amp;"|"&amp;"",'CALENDARIO'!$G$15:$G$214,0)),IFERROR(INDEX('CALENDARIO'!$C$15:$C$214,MATCH(TEXT($I341,"yyyy-mm-dd")&amp;"|"&amp;""&amp;"|",'CALENDARIO'!$G$15:$G$214,0)),IFERROR(INDEX('CALENDARIO'!$C$15:$C$214,MATCH(TEXT($I341,"yyyy-mm-dd")&amp;"||",'CALENDARIO'!$G$15:$G$214,0)),INDEX(patronHabil,WEEKDAY($I341,2)))))</f>
        <v/>
      </c>
    </row>
    <row r="342">
      <c r="I342" s="11" t="n">
        <v>46360</v>
      </c>
      <c r="J342" s="3">
        <f>IFERROR(INDEX('CALENDARIO'!$C$15:$C$214,MATCH(TEXT($I342,"yyyy-mm-dd")&amp;"|"&amp;""&amp;"|"&amp;"",'CALENDARIO'!$G$15:$G$214,0)),IFERROR(INDEX('CALENDARIO'!$C$15:$C$214,MATCH(TEXT($I342,"yyyy-mm-dd")&amp;"|"&amp;""&amp;"|",'CALENDARIO'!$G$15:$G$214,0)),IFERROR(INDEX('CALENDARIO'!$C$15:$C$214,MATCH(TEXT($I342,"yyyy-mm-dd")&amp;"||",'CALENDARIO'!$G$15:$G$214,0)),INDEX(patronHabil,WEEKDAY($I342,2)))))</f>
        <v/>
      </c>
    </row>
    <row r="343">
      <c r="I343" s="11" t="n">
        <v>46361</v>
      </c>
      <c r="J343" s="3">
        <f>IFERROR(INDEX('CALENDARIO'!$C$15:$C$214,MATCH(TEXT($I343,"yyyy-mm-dd")&amp;"|"&amp;""&amp;"|"&amp;"",'CALENDARIO'!$G$15:$G$214,0)),IFERROR(INDEX('CALENDARIO'!$C$15:$C$214,MATCH(TEXT($I343,"yyyy-mm-dd")&amp;"|"&amp;""&amp;"|",'CALENDARIO'!$G$15:$G$214,0)),IFERROR(INDEX('CALENDARIO'!$C$15:$C$214,MATCH(TEXT($I343,"yyyy-mm-dd")&amp;"||",'CALENDARIO'!$G$15:$G$214,0)),INDEX(patronHabil,WEEKDAY($I343,2)))))</f>
        <v/>
      </c>
    </row>
    <row r="344">
      <c r="I344" s="11" t="n">
        <v>46362</v>
      </c>
      <c r="J344" s="3">
        <f>IFERROR(INDEX('CALENDARIO'!$C$15:$C$214,MATCH(TEXT($I344,"yyyy-mm-dd")&amp;"|"&amp;""&amp;"|"&amp;"",'CALENDARIO'!$G$15:$G$214,0)),IFERROR(INDEX('CALENDARIO'!$C$15:$C$214,MATCH(TEXT($I344,"yyyy-mm-dd")&amp;"|"&amp;""&amp;"|",'CALENDARIO'!$G$15:$G$214,0)),IFERROR(INDEX('CALENDARIO'!$C$15:$C$214,MATCH(TEXT($I344,"yyyy-mm-dd")&amp;"||",'CALENDARIO'!$G$15:$G$214,0)),INDEX(patronHabil,WEEKDAY($I344,2)))))</f>
        <v/>
      </c>
    </row>
    <row r="345">
      <c r="I345" s="11" t="n">
        <v>46363</v>
      </c>
      <c r="J345" s="3">
        <f>IFERROR(INDEX('CALENDARIO'!$C$15:$C$214,MATCH(TEXT($I345,"yyyy-mm-dd")&amp;"|"&amp;""&amp;"|"&amp;"",'CALENDARIO'!$G$15:$G$214,0)),IFERROR(INDEX('CALENDARIO'!$C$15:$C$214,MATCH(TEXT($I345,"yyyy-mm-dd")&amp;"|"&amp;""&amp;"|",'CALENDARIO'!$G$15:$G$214,0)),IFERROR(INDEX('CALENDARIO'!$C$15:$C$214,MATCH(TEXT($I345,"yyyy-mm-dd")&amp;"||",'CALENDARIO'!$G$15:$G$214,0)),INDEX(patronHabil,WEEKDAY($I345,2)))))</f>
        <v/>
      </c>
    </row>
    <row r="346">
      <c r="I346" s="11" t="n">
        <v>46364</v>
      </c>
      <c r="J346" s="3">
        <f>IFERROR(INDEX('CALENDARIO'!$C$15:$C$214,MATCH(TEXT($I346,"yyyy-mm-dd")&amp;"|"&amp;""&amp;"|"&amp;"",'CALENDARIO'!$G$15:$G$214,0)),IFERROR(INDEX('CALENDARIO'!$C$15:$C$214,MATCH(TEXT($I346,"yyyy-mm-dd")&amp;"|"&amp;""&amp;"|",'CALENDARIO'!$G$15:$G$214,0)),IFERROR(INDEX('CALENDARIO'!$C$15:$C$214,MATCH(TEXT($I346,"yyyy-mm-dd")&amp;"||",'CALENDARIO'!$G$15:$G$214,0)),INDEX(patronHabil,WEEKDAY($I346,2)))))</f>
        <v/>
      </c>
    </row>
    <row r="347">
      <c r="I347" s="11" t="n">
        <v>46365</v>
      </c>
      <c r="J347" s="3">
        <f>IFERROR(INDEX('CALENDARIO'!$C$15:$C$214,MATCH(TEXT($I347,"yyyy-mm-dd")&amp;"|"&amp;""&amp;"|"&amp;"",'CALENDARIO'!$G$15:$G$214,0)),IFERROR(INDEX('CALENDARIO'!$C$15:$C$214,MATCH(TEXT($I347,"yyyy-mm-dd")&amp;"|"&amp;""&amp;"|",'CALENDARIO'!$G$15:$G$214,0)),IFERROR(INDEX('CALENDARIO'!$C$15:$C$214,MATCH(TEXT($I347,"yyyy-mm-dd")&amp;"||",'CALENDARIO'!$G$15:$G$214,0)),INDEX(patronHabil,WEEKDAY($I347,2)))))</f>
        <v/>
      </c>
    </row>
    <row r="348">
      <c r="I348" s="11" t="n">
        <v>46366</v>
      </c>
      <c r="J348" s="3">
        <f>IFERROR(INDEX('CALENDARIO'!$C$15:$C$214,MATCH(TEXT($I348,"yyyy-mm-dd")&amp;"|"&amp;""&amp;"|"&amp;"",'CALENDARIO'!$G$15:$G$214,0)),IFERROR(INDEX('CALENDARIO'!$C$15:$C$214,MATCH(TEXT($I348,"yyyy-mm-dd")&amp;"|"&amp;""&amp;"|",'CALENDARIO'!$G$15:$G$214,0)),IFERROR(INDEX('CALENDARIO'!$C$15:$C$214,MATCH(TEXT($I348,"yyyy-mm-dd")&amp;"||",'CALENDARIO'!$G$15:$G$214,0)),INDEX(patronHabil,WEEKDAY($I348,2)))))</f>
        <v/>
      </c>
    </row>
    <row r="349">
      <c r="I349" s="11" t="n">
        <v>46367</v>
      </c>
      <c r="J349" s="3">
        <f>IFERROR(INDEX('CALENDARIO'!$C$15:$C$214,MATCH(TEXT($I349,"yyyy-mm-dd")&amp;"|"&amp;""&amp;"|"&amp;"",'CALENDARIO'!$G$15:$G$214,0)),IFERROR(INDEX('CALENDARIO'!$C$15:$C$214,MATCH(TEXT($I349,"yyyy-mm-dd")&amp;"|"&amp;""&amp;"|",'CALENDARIO'!$G$15:$G$214,0)),IFERROR(INDEX('CALENDARIO'!$C$15:$C$214,MATCH(TEXT($I349,"yyyy-mm-dd")&amp;"||",'CALENDARIO'!$G$15:$G$214,0)),INDEX(patronHabil,WEEKDAY($I349,2)))))</f>
        <v/>
      </c>
    </row>
    <row r="350">
      <c r="I350" s="11" t="n">
        <v>46368</v>
      </c>
      <c r="J350" s="3">
        <f>IFERROR(INDEX('CALENDARIO'!$C$15:$C$214,MATCH(TEXT($I350,"yyyy-mm-dd")&amp;"|"&amp;""&amp;"|"&amp;"",'CALENDARIO'!$G$15:$G$214,0)),IFERROR(INDEX('CALENDARIO'!$C$15:$C$214,MATCH(TEXT($I350,"yyyy-mm-dd")&amp;"|"&amp;""&amp;"|",'CALENDARIO'!$G$15:$G$214,0)),IFERROR(INDEX('CALENDARIO'!$C$15:$C$214,MATCH(TEXT($I350,"yyyy-mm-dd")&amp;"||",'CALENDARIO'!$G$15:$G$214,0)),INDEX(patronHabil,WEEKDAY($I350,2)))))</f>
        <v/>
      </c>
    </row>
    <row r="351">
      <c r="I351" s="11" t="n">
        <v>46369</v>
      </c>
      <c r="J351" s="3">
        <f>IFERROR(INDEX('CALENDARIO'!$C$15:$C$214,MATCH(TEXT($I351,"yyyy-mm-dd")&amp;"|"&amp;""&amp;"|"&amp;"",'CALENDARIO'!$G$15:$G$214,0)),IFERROR(INDEX('CALENDARIO'!$C$15:$C$214,MATCH(TEXT($I351,"yyyy-mm-dd")&amp;"|"&amp;""&amp;"|",'CALENDARIO'!$G$15:$G$214,0)),IFERROR(INDEX('CALENDARIO'!$C$15:$C$214,MATCH(TEXT($I351,"yyyy-mm-dd")&amp;"||",'CALENDARIO'!$G$15:$G$214,0)),INDEX(patronHabil,WEEKDAY($I351,2)))))</f>
        <v/>
      </c>
    </row>
    <row r="352">
      <c r="I352" s="11" t="n">
        <v>46370</v>
      </c>
      <c r="J352" s="3">
        <f>IFERROR(INDEX('CALENDARIO'!$C$15:$C$214,MATCH(TEXT($I352,"yyyy-mm-dd")&amp;"|"&amp;""&amp;"|"&amp;"",'CALENDARIO'!$G$15:$G$214,0)),IFERROR(INDEX('CALENDARIO'!$C$15:$C$214,MATCH(TEXT($I352,"yyyy-mm-dd")&amp;"|"&amp;""&amp;"|",'CALENDARIO'!$G$15:$G$214,0)),IFERROR(INDEX('CALENDARIO'!$C$15:$C$214,MATCH(TEXT($I352,"yyyy-mm-dd")&amp;"||",'CALENDARIO'!$G$15:$G$214,0)),INDEX(patronHabil,WEEKDAY($I352,2)))))</f>
        <v/>
      </c>
    </row>
    <row r="353">
      <c r="I353" s="11" t="n">
        <v>46371</v>
      </c>
      <c r="J353" s="3">
        <f>IFERROR(INDEX('CALENDARIO'!$C$15:$C$214,MATCH(TEXT($I353,"yyyy-mm-dd")&amp;"|"&amp;""&amp;"|"&amp;"",'CALENDARIO'!$G$15:$G$214,0)),IFERROR(INDEX('CALENDARIO'!$C$15:$C$214,MATCH(TEXT($I353,"yyyy-mm-dd")&amp;"|"&amp;""&amp;"|",'CALENDARIO'!$G$15:$G$214,0)),IFERROR(INDEX('CALENDARIO'!$C$15:$C$214,MATCH(TEXT($I353,"yyyy-mm-dd")&amp;"||",'CALENDARIO'!$G$15:$G$214,0)),INDEX(patronHabil,WEEKDAY($I353,2)))))</f>
        <v/>
      </c>
    </row>
    <row r="354">
      <c r="I354" s="11" t="n">
        <v>46372</v>
      </c>
      <c r="J354" s="3">
        <f>IFERROR(INDEX('CALENDARIO'!$C$15:$C$214,MATCH(TEXT($I354,"yyyy-mm-dd")&amp;"|"&amp;""&amp;"|"&amp;"",'CALENDARIO'!$G$15:$G$214,0)),IFERROR(INDEX('CALENDARIO'!$C$15:$C$214,MATCH(TEXT($I354,"yyyy-mm-dd")&amp;"|"&amp;""&amp;"|",'CALENDARIO'!$G$15:$G$214,0)),IFERROR(INDEX('CALENDARIO'!$C$15:$C$214,MATCH(TEXT($I354,"yyyy-mm-dd")&amp;"||",'CALENDARIO'!$G$15:$G$214,0)),INDEX(patronHabil,WEEKDAY($I354,2)))))</f>
        <v/>
      </c>
    </row>
    <row r="355">
      <c r="I355" s="11" t="n">
        <v>46373</v>
      </c>
      <c r="J355" s="3">
        <f>IFERROR(INDEX('CALENDARIO'!$C$15:$C$214,MATCH(TEXT($I355,"yyyy-mm-dd")&amp;"|"&amp;""&amp;"|"&amp;"",'CALENDARIO'!$G$15:$G$214,0)),IFERROR(INDEX('CALENDARIO'!$C$15:$C$214,MATCH(TEXT($I355,"yyyy-mm-dd")&amp;"|"&amp;""&amp;"|",'CALENDARIO'!$G$15:$G$214,0)),IFERROR(INDEX('CALENDARIO'!$C$15:$C$214,MATCH(TEXT($I355,"yyyy-mm-dd")&amp;"||",'CALENDARIO'!$G$15:$G$214,0)),INDEX(patronHabil,WEEKDAY($I355,2)))))</f>
        <v/>
      </c>
    </row>
    <row r="356">
      <c r="I356" s="11" t="n">
        <v>46374</v>
      </c>
      <c r="J356" s="3">
        <f>IFERROR(INDEX('CALENDARIO'!$C$15:$C$214,MATCH(TEXT($I356,"yyyy-mm-dd")&amp;"|"&amp;""&amp;"|"&amp;"",'CALENDARIO'!$G$15:$G$214,0)),IFERROR(INDEX('CALENDARIO'!$C$15:$C$214,MATCH(TEXT($I356,"yyyy-mm-dd")&amp;"|"&amp;""&amp;"|",'CALENDARIO'!$G$15:$G$214,0)),IFERROR(INDEX('CALENDARIO'!$C$15:$C$214,MATCH(TEXT($I356,"yyyy-mm-dd")&amp;"||",'CALENDARIO'!$G$15:$G$214,0)),INDEX(patronHabil,WEEKDAY($I356,2)))))</f>
        <v/>
      </c>
    </row>
    <row r="357">
      <c r="I357" s="11" t="n">
        <v>46375</v>
      </c>
      <c r="J357" s="3">
        <f>IFERROR(INDEX('CALENDARIO'!$C$15:$C$214,MATCH(TEXT($I357,"yyyy-mm-dd")&amp;"|"&amp;""&amp;"|"&amp;"",'CALENDARIO'!$G$15:$G$214,0)),IFERROR(INDEX('CALENDARIO'!$C$15:$C$214,MATCH(TEXT($I357,"yyyy-mm-dd")&amp;"|"&amp;""&amp;"|",'CALENDARIO'!$G$15:$G$214,0)),IFERROR(INDEX('CALENDARIO'!$C$15:$C$214,MATCH(TEXT($I357,"yyyy-mm-dd")&amp;"||",'CALENDARIO'!$G$15:$G$214,0)),INDEX(patronHabil,WEEKDAY($I357,2)))))</f>
        <v/>
      </c>
    </row>
    <row r="358">
      <c r="I358" s="11" t="n">
        <v>46376</v>
      </c>
      <c r="J358" s="3">
        <f>IFERROR(INDEX('CALENDARIO'!$C$15:$C$214,MATCH(TEXT($I358,"yyyy-mm-dd")&amp;"|"&amp;""&amp;"|"&amp;"",'CALENDARIO'!$G$15:$G$214,0)),IFERROR(INDEX('CALENDARIO'!$C$15:$C$214,MATCH(TEXT($I358,"yyyy-mm-dd")&amp;"|"&amp;""&amp;"|",'CALENDARIO'!$G$15:$G$214,0)),IFERROR(INDEX('CALENDARIO'!$C$15:$C$214,MATCH(TEXT($I358,"yyyy-mm-dd")&amp;"||",'CALENDARIO'!$G$15:$G$214,0)),INDEX(patronHabil,WEEKDAY($I358,2)))))</f>
        <v/>
      </c>
    </row>
    <row r="359">
      <c r="I359" s="11" t="n">
        <v>46377</v>
      </c>
      <c r="J359" s="3">
        <f>IFERROR(INDEX('CALENDARIO'!$C$15:$C$214,MATCH(TEXT($I359,"yyyy-mm-dd")&amp;"|"&amp;""&amp;"|"&amp;"",'CALENDARIO'!$G$15:$G$214,0)),IFERROR(INDEX('CALENDARIO'!$C$15:$C$214,MATCH(TEXT($I359,"yyyy-mm-dd")&amp;"|"&amp;""&amp;"|",'CALENDARIO'!$G$15:$G$214,0)),IFERROR(INDEX('CALENDARIO'!$C$15:$C$214,MATCH(TEXT($I359,"yyyy-mm-dd")&amp;"||",'CALENDARIO'!$G$15:$G$214,0)),INDEX(patronHabil,WEEKDAY($I359,2)))))</f>
        <v/>
      </c>
    </row>
    <row r="360">
      <c r="I360" s="11" t="n">
        <v>46378</v>
      </c>
      <c r="J360" s="3">
        <f>IFERROR(INDEX('CALENDARIO'!$C$15:$C$214,MATCH(TEXT($I360,"yyyy-mm-dd")&amp;"|"&amp;""&amp;"|"&amp;"",'CALENDARIO'!$G$15:$G$214,0)),IFERROR(INDEX('CALENDARIO'!$C$15:$C$214,MATCH(TEXT($I360,"yyyy-mm-dd")&amp;"|"&amp;""&amp;"|",'CALENDARIO'!$G$15:$G$214,0)),IFERROR(INDEX('CALENDARIO'!$C$15:$C$214,MATCH(TEXT($I360,"yyyy-mm-dd")&amp;"||",'CALENDARIO'!$G$15:$G$214,0)),INDEX(patronHabil,WEEKDAY($I360,2)))))</f>
        <v/>
      </c>
    </row>
    <row r="361">
      <c r="I361" s="11" t="n">
        <v>46379</v>
      </c>
      <c r="J361" s="3">
        <f>IFERROR(INDEX('CALENDARIO'!$C$15:$C$214,MATCH(TEXT($I361,"yyyy-mm-dd")&amp;"|"&amp;""&amp;"|"&amp;"",'CALENDARIO'!$G$15:$G$214,0)),IFERROR(INDEX('CALENDARIO'!$C$15:$C$214,MATCH(TEXT($I361,"yyyy-mm-dd")&amp;"|"&amp;""&amp;"|",'CALENDARIO'!$G$15:$G$214,0)),IFERROR(INDEX('CALENDARIO'!$C$15:$C$214,MATCH(TEXT($I361,"yyyy-mm-dd")&amp;"||",'CALENDARIO'!$G$15:$G$214,0)),INDEX(patronHabil,WEEKDAY($I361,2)))))</f>
        <v/>
      </c>
    </row>
    <row r="362">
      <c r="I362" s="11" t="n">
        <v>46380</v>
      </c>
      <c r="J362" s="3">
        <f>IFERROR(INDEX('CALENDARIO'!$C$15:$C$214,MATCH(TEXT($I362,"yyyy-mm-dd")&amp;"|"&amp;""&amp;"|"&amp;"",'CALENDARIO'!$G$15:$G$214,0)),IFERROR(INDEX('CALENDARIO'!$C$15:$C$214,MATCH(TEXT($I362,"yyyy-mm-dd")&amp;"|"&amp;""&amp;"|",'CALENDARIO'!$G$15:$G$214,0)),IFERROR(INDEX('CALENDARIO'!$C$15:$C$214,MATCH(TEXT($I362,"yyyy-mm-dd")&amp;"||",'CALENDARIO'!$G$15:$G$214,0)),INDEX(patronHabil,WEEKDAY($I362,2)))))</f>
        <v/>
      </c>
    </row>
    <row r="363">
      <c r="I363" s="11" t="n">
        <v>46381</v>
      </c>
      <c r="J363" s="3">
        <f>IFERROR(INDEX('CALENDARIO'!$C$15:$C$214,MATCH(TEXT($I363,"yyyy-mm-dd")&amp;"|"&amp;""&amp;"|"&amp;"",'CALENDARIO'!$G$15:$G$214,0)),IFERROR(INDEX('CALENDARIO'!$C$15:$C$214,MATCH(TEXT($I363,"yyyy-mm-dd")&amp;"|"&amp;""&amp;"|",'CALENDARIO'!$G$15:$G$214,0)),IFERROR(INDEX('CALENDARIO'!$C$15:$C$214,MATCH(TEXT($I363,"yyyy-mm-dd")&amp;"||",'CALENDARIO'!$G$15:$G$214,0)),INDEX(patronHabil,WEEKDAY($I363,2)))))</f>
        <v/>
      </c>
    </row>
    <row r="364">
      <c r="I364" s="11" t="n">
        <v>46382</v>
      </c>
      <c r="J364" s="3">
        <f>IFERROR(INDEX('CALENDARIO'!$C$15:$C$214,MATCH(TEXT($I364,"yyyy-mm-dd")&amp;"|"&amp;""&amp;"|"&amp;"",'CALENDARIO'!$G$15:$G$214,0)),IFERROR(INDEX('CALENDARIO'!$C$15:$C$214,MATCH(TEXT($I364,"yyyy-mm-dd")&amp;"|"&amp;""&amp;"|",'CALENDARIO'!$G$15:$G$214,0)),IFERROR(INDEX('CALENDARIO'!$C$15:$C$214,MATCH(TEXT($I364,"yyyy-mm-dd")&amp;"||",'CALENDARIO'!$G$15:$G$214,0)),INDEX(patronHabil,WEEKDAY($I364,2)))))</f>
        <v/>
      </c>
    </row>
    <row r="365">
      <c r="I365" s="11" t="n">
        <v>46383</v>
      </c>
      <c r="J365" s="3">
        <f>IFERROR(INDEX('CALENDARIO'!$C$15:$C$214,MATCH(TEXT($I365,"yyyy-mm-dd")&amp;"|"&amp;""&amp;"|"&amp;"",'CALENDARIO'!$G$15:$G$214,0)),IFERROR(INDEX('CALENDARIO'!$C$15:$C$214,MATCH(TEXT($I365,"yyyy-mm-dd")&amp;"|"&amp;""&amp;"|",'CALENDARIO'!$G$15:$G$214,0)),IFERROR(INDEX('CALENDARIO'!$C$15:$C$214,MATCH(TEXT($I365,"yyyy-mm-dd")&amp;"||",'CALENDARIO'!$G$15:$G$214,0)),INDEX(patronHabil,WEEKDAY($I365,2)))))</f>
        <v/>
      </c>
    </row>
    <row r="366">
      <c r="I366" s="11" t="n">
        <v>46384</v>
      </c>
      <c r="J366" s="3">
        <f>IFERROR(INDEX('CALENDARIO'!$C$15:$C$214,MATCH(TEXT($I366,"yyyy-mm-dd")&amp;"|"&amp;""&amp;"|"&amp;"",'CALENDARIO'!$G$15:$G$214,0)),IFERROR(INDEX('CALENDARIO'!$C$15:$C$214,MATCH(TEXT($I366,"yyyy-mm-dd")&amp;"|"&amp;""&amp;"|",'CALENDARIO'!$G$15:$G$214,0)),IFERROR(INDEX('CALENDARIO'!$C$15:$C$214,MATCH(TEXT($I366,"yyyy-mm-dd")&amp;"||",'CALENDARIO'!$G$15:$G$214,0)),INDEX(patronHabil,WEEKDAY($I366,2)))))</f>
        <v/>
      </c>
    </row>
    <row r="367">
      <c r="I367" s="11" t="n">
        <v>46385</v>
      </c>
      <c r="J367" s="3">
        <f>IFERROR(INDEX('CALENDARIO'!$C$15:$C$214,MATCH(TEXT($I367,"yyyy-mm-dd")&amp;"|"&amp;""&amp;"|"&amp;"",'CALENDARIO'!$G$15:$G$214,0)),IFERROR(INDEX('CALENDARIO'!$C$15:$C$214,MATCH(TEXT($I367,"yyyy-mm-dd")&amp;"|"&amp;""&amp;"|",'CALENDARIO'!$G$15:$G$214,0)),IFERROR(INDEX('CALENDARIO'!$C$15:$C$214,MATCH(TEXT($I367,"yyyy-mm-dd")&amp;"||",'CALENDARIO'!$G$15:$G$214,0)),INDEX(patronHabil,WEEKDAY($I367,2)))))</f>
        <v/>
      </c>
    </row>
    <row r="368">
      <c r="I368" s="11" t="n">
        <v>46386</v>
      </c>
      <c r="J368" s="3">
        <f>IFERROR(INDEX('CALENDARIO'!$C$15:$C$214,MATCH(TEXT($I368,"yyyy-mm-dd")&amp;"|"&amp;""&amp;"|"&amp;"",'CALENDARIO'!$G$15:$G$214,0)),IFERROR(INDEX('CALENDARIO'!$C$15:$C$214,MATCH(TEXT($I368,"yyyy-mm-dd")&amp;"|"&amp;""&amp;"|",'CALENDARIO'!$G$15:$G$214,0)),IFERROR(INDEX('CALENDARIO'!$C$15:$C$214,MATCH(TEXT($I368,"yyyy-mm-dd")&amp;"||",'CALENDARIO'!$G$15:$G$214,0)),INDEX(patronHabil,WEEKDAY($I368,2)))))</f>
        <v/>
      </c>
    </row>
    <row r="369">
      <c r="I369" s="11" t="n">
        <v>46387</v>
      </c>
      <c r="J369" s="3">
        <f>IFERROR(INDEX('CALENDARIO'!$C$15:$C$214,MATCH(TEXT($I369,"yyyy-mm-dd")&amp;"|"&amp;""&amp;"|"&amp;"",'CALENDARIO'!$G$15:$G$214,0)),IFERROR(INDEX('CALENDARIO'!$C$15:$C$214,MATCH(TEXT($I369,"yyyy-mm-dd")&amp;"|"&amp;""&amp;"|",'CALENDARIO'!$G$15:$G$214,0)),IFERROR(INDEX('CALENDARIO'!$C$15:$C$214,MATCH(TEXT($I369,"yyyy-mm-dd")&amp;"||",'CALENDARIO'!$G$15:$G$214,0)),INDEX(patronHabil,WEEKDAY($I369,2)))))</f>
        <v/>
      </c>
    </row>
    <row r="370">
      <c r="I370" s="11" t="n">
        <v>46388</v>
      </c>
      <c r="J370" s="3">
        <f>IFERROR(INDEX('CALENDARIO'!$C$15:$C$214,MATCH(TEXT($I370,"yyyy-mm-dd")&amp;"|"&amp;""&amp;"|"&amp;"",'CALENDARIO'!$G$15:$G$214,0)),IFERROR(INDEX('CALENDARIO'!$C$15:$C$214,MATCH(TEXT($I370,"yyyy-mm-dd")&amp;"|"&amp;""&amp;"|",'CALENDARIO'!$G$15:$G$214,0)),IFERROR(INDEX('CALENDARIO'!$C$15:$C$214,MATCH(TEXT($I370,"yyyy-mm-dd")&amp;"||",'CALENDARIO'!$G$15:$G$214,0)),INDEX(patronHabil,WEEKDAY($I370,2)))))</f>
        <v/>
      </c>
    </row>
    <row r="371">
      <c r="I371" s="11" t="n">
        <v>46389</v>
      </c>
      <c r="J371" s="3">
        <f>IFERROR(INDEX('CALENDARIO'!$C$15:$C$214,MATCH(TEXT($I371,"yyyy-mm-dd")&amp;"|"&amp;""&amp;"|"&amp;"",'CALENDARIO'!$G$15:$G$214,0)),IFERROR(INDEX('CALENDARIO'!$C$15:$C$214,MATCH(TEXT($I371,"yyyy-mm-dd")&amp;"|"&amp;""&amp;"|",'CALENDARIO'!$G$15:$G$214,0)),IFERROR(INDEX('CALENDARIO'!$C$15:$C$214,MATCH(TEXT($I371,"yyyy-mm-dd")&amp;"||",'CALENDARIO'!$G$15:$G$214,0)),INDEX(patronHabil,WEEKDAY($I371,2)))))</f>
        <v/>
      </c>
    </row>
    <row r="372">
      <c r="I372" s="11" t="n">
        <v>46390</v>
      </c>
      <c r="J372" s="3">
        <f>IFERROR(INDEX('CALENDARIO'!$C$15:$C$214,MATCH(TEXT($I372,"yyyy-mm-dd")&amp;"|"&amp;""&amp;"|"&amp;"",'CALENDARIO'!$G$15:$G$214,0)),IFERROR(INDEX('CALENDARIO'!$C$15:$C$214,MATCH(TEXT($I372,"yyyy-mm-dd")&amp;"|"&amp;""&amp;"|",'CALENDARIO'!$G$15:$G$214,0)),IFERROR(INDEX('CALENDARIO'!$C$15:$C$214,MATCH(TEXT($I372,"yyyy-mm-dd")&amp;"||",'CALENDARIO'!$G$15:$G$214,0)),INDEX(patronHabil,WEEKDAY($I372,2)))))</f>
        <v/>
      </c>
    </row>
    <row r="373">
      <c r="I373" s="11" t="n">
        <v>46391</v>
      </c>
      <c r="J373" s="3">
        <f>IFERROR(INDEX('CALENDARIO'!$C$15:$C$214,MATCH(TEXT($I373,"yyyy-mm-dd")&amp;"|"&amp;""&amp;"|"&amp;"",'CALENDARIO'!$G$15:$G$214,0)),IFERROR(INDEX('CALENDARIO'!$C$15:$C$214,MATCH(TEXT($I373,"yyyy-mm-dd")&amp;"|"&amp;""&amp;"|",'CALENDARIO'!$G$15:$G$214,0)),IFERROR(INDEX('CALENDARIO'!$C$15:$C$214,MATCH(TEXT($I373,"yyyy-mm-dd")&amp;"||",'CALENDARIO'!$G$15:$G$214,0)),INDEX(patronHabil,WEEKDAY($I373,2)))))</f>
        <v/>
      </c>
    </row>
    <row r="374">
      <c r="I374" s="11" t="n">
        <v>46392</v>
      </c>
      <c r="J374" s="3">
        <f>IFERROR(INDEX('CALENDARIO'!$C$15:$C$214,MATCH(TEXT($I374,"yyyy-mm-dd")&amp;"|"&amp;""&amp;"|"&amp;"",'CALENDARIO'!$G$15:$G$214,0)),IFERROR(INDEX('CALENDARIO'!$C$15:$C$214,MATCH(TEXT($I374,"yyyy-mm-dd")&amp;"|"&amp;""&amp;"|",'CALENDARIO'!$G$15:$G$214,0)),IFERROR(INDEX('CALENDARIO'!$C$15:$C$214,MATCH(TEXT($I374,"yyyy-mm-dd")&amp;"||",'CALENDARIO'!$G$15:$G$214,0)),INDEX(patronHabil,WEEKDAY($I374,2)))))</f>
        <v/>
      </c>
    </row>
    <row r="375">
      <c r="I375" s="11" t="n">
        <v>46393</v>
      </c>
      <c r="J375" s="3">
        <f>IFERROR(INDEX('CALENDARIO'!$C$15:$C$214,MATCH(TEXT($I375,"yyyy-mm-dd")&amp;"|"&amp;""&amp;"|"&amp;"",'CALENDARIO'!$G$15:$G$214,0)),IFERROR(INDEX('CALENDARIO'!$C$15:$C$214,MATCH(TEXT($I375,"yyyy-mm-dd")&amp;"|"&amp;""&amp;"|",'CALENDARIO'!$G$15:$G$214,0)),IFERROR(INDEX('CALENDARIO'!$C$15:$C$214,MATCH(TEXT($I375,"yyyy-mm-dd")&amp;"||",'CALENDARIO'!$G$15:$G$214,0)),INDEX(patronHabil,WEEKDAY($I375,2)))))</f>
        <v/>
      </c>
    </row>
    <row r="376">
      <c r="I376" s="11" t="n">
        <v>46394</v>
      </c>
      <c r="J376" s="3">
        <f>IFERROR(INDEX('CALENDARIO'!$C$15:$C$214,MATCH(TEXT($I376,"yyyy-mm-dd")&amp;"|"&amp;""&amp;"|"&amp;"",'CALENDARIO'!$G$15:$G$214,0)),IFERROR(INDEX('CALENDARIO'!$C$15:$C$214,MATCH(TEXT($I376,"yyyy-mm-dd")&amp;"|"&amp;""&amp;"|",'CALENDARIO'!$G$15:$G$214,0)),IFERROR(INDEX('CALENDARIO'!$C$15:$C$214,MATCH(TEXT($I376,"yyyy-mm-dd")&amp;"||",'CALENDARIO'!$G$15:$G$214,0)),INDEX(patronHabil,WEEKDAY($I376,2)))))</f>
        <v/>
      </c>
    </row>
    <row r="377">
      <c r="I377" s="11" t="n">
        <v>46395</v>
      </c>
      <c r="J377" s="3">
        <f>IFERROR(INDEX('CALENDARIO'!$C$15:$C$214,MATCH(TEXT($I377,"yyyy-mm-dd")&amp;"|"&amp;""&amp;"|"&amp;"",'CALENDARIO'!$G$15:$G$214,0)),IFERROR(INDEX('CALENDARIO'!$C$15:$C$214,MATCH(TEXT($I377,"yyyy-mm-dd")&amp;"|"&amp;""&amp;"|",'CALENDARIO'!$G$15:$G$214,0)),IFERROR(INDEX('CALENDARIO'!$C$15:$C$214,MATCH(TEXT($I377,"yyyy-mm-dd")&amp;"||",'CALENDARIO'!$G$15:$G$214,0)),INDEX(patronHabil,WEEKDAY($I377,2)))))</f>
        <v/>
      </c>
    </row>
    <row r="378">
      <c r="I378" s="11" t="n">
        <v>46396</v>
      </c>
      <c r="J378" s="3">
        <f>IFERROR(INDEX('CALENDARIO'!$C$15:$C$214,MATCH(TEXT($I378,"yyyy-mm-dd")&amp;"|"&amp;""&amp;"|"&amp;"",'CALENDARIO'!$G$15:$G$214,0)),IFERROR(INDEX('CALENDARIO'!$C$15:$C$214,MATCH(TEXT($I378,"yyyy-mm-dd")&amp;"|"&amp;""&amp;"|",'CALENDARIO'!$G$15:$G$214,0)),IFERROR(INDEX('CALENDARIO'!$C$15:$C$214,MATCH(TEXT($I378,"yyyy-mm-dd")&amp;"||",'CALENDARIO'!$G$15:$G$214,0)),INDEX(patronHabil,WEEKDAY($I378,2)))))</f>
        <v/>
      </c>
    </row>
    <row r="379">
      <c r="I379" s="11" t="n">
        <v>46397</v>
      </c>
      <c r="J379" s="3">
        <f>IFERROR(INDEX('CALENDARIO'!$C$15:$C$214,MATCH(TEXT($I379,"yyyy-mm-dd")&amp;"|"&amp;""&amp;"|"&amp;"",'CALENDARIO'!$G$15:$G$214,0)),IFERROR(INDEX('CALENDARIO'!$C$15:$C$214,MATCH(TEXT($I379,"yyyy-mm-dd")&amp;"|"&amp;""&amp;"|",'CALENDARIO'!$G$15:$G$214,0)),IFERROR(INDEX('CALENDARIO'!$C$15:$C$214,MATCH(TEXT($I379,"yyyy-mm-dd")&amp;"||",'CALENDARIO'!$G$15:$G$214,0)),INDEX(patronHabil,WEEKDAY($I379,2)))))</f>
        <v/>
      </c>
    </row>
    <row r="380">
      <c r="I380" s="11" t="n">
        <v>46398</v>
      </c>
      <c r="J380" s="3">
        <f>IFERROR(INDEX('CALENDARIO'!$C$15:$C$214,MATCH(TEXT($I380,"yyyy-mm-dd")&amp;"|"&amp;""&amp;"|"&amp;"",'CALENDARIO'!$G$15:$G$214,0)),IFERROR(INDEX('CALENDARIO'!$C$15:$C$214,MATCH(TEXT($I380,"yyyy-mm-dd")&amp;"|"&amp;""&amp;"|",'CALENDARIO'!$G$15:$G$214,0)),IFERROR(INDEX('CALENDARIO'!$C$15:$C$214,MATCH(TEXT($I380,"yyyy-mm-dd")&amp;"||",'CALENDARIO'!$G$15:$G$214,0)),INDEX(patronHabil,WEEKDAY($I380,2)))))</f>
        <v/>
      </c>
    </row>
    <row r="381">
      <c r="I381" s="11" t="n">
        <v>46399</v>
      </c>
      <c r="J381" s="3">
        <f>IFERROR(INDEX('CALENDARIO'!$C$15:$C$214,MATCH(TEXT($I381,"yyyy-mm-dd")&amp;"|"&amp;""&amp;"|"&amp;"",'CALENDARIO'!$G$15:$G$214,0)),IFERROR(INDEX('CALENDARIO'!$C$15:$C$214,MATCH(TEXT($I381,"yyyy-mm-dd")&amp;"|"&amp;""&amp;"|",'CALENDARIO'!$G$15:$G$214,0)),IFERROR(INDEX('CALENDARIO'!$C$15:$C$214,MATCH(TEXT($I381,"yyyy-mm-dd")&amp;"||",'CALENDARIO'!$G$15:$G$214,0)),INDEX(patronHabil,WEEKDAY($I381,2)))))</f>
        <v/>
      </c>
    </row>
    <row r="382">
      <c r="I382" s="11" t="n">
        <v>46400</v>
      </c>
      <c r="J382" s="3">
        <f>IFERROR(INDEX('CALENDARIO'!$C$15:$C$214,MATCH(TEXT($I382,"yyyy-mm-dd")&amp;"|"&amp;""&amp;"|"&amp;"",'CALENDARIO'!$G$15:$G$214,0)),IFERROR(INDEX('CALENDARIO'!$C$15:$C$214,MATCH(TEXT($I382,"yyyy-mm-dd")&amp;"|"&amp;""&amp;"|",'CALENDARIO'!$G$15:$G$214,0)),IFERROR(INDEX('CALENDARIO'!$C$15:$C$214,MATCH(TEXT($I382,"yyyy-mm-dd")&amp;"||",'CALENDARIO'!$G$15:$G$214,0)),INDEX(patronHabil,WEEKDAY($I382,2)))))</f>
        <v/>
      </c>
    </row>
    <row r="383">
      <c r="I383" s="11" t="n">
        <v>46401</v>
      </c>
      <c r="J383" s="3">
        <f>IFERROR(INDEX('CALENDARIO'!$C$15:$C$214,MATCH(TEXT($I383,"yyyy-mm-dd")&amp;"|"&amp;""&amp;"|"&amp;"",'CALENDARIO'!$G$15:$G$214,0)),IFERROR(INDEX('CALENDARIO'!$C$15:$C$214,MATCH(TEXT($I383,"yyyy-mm-dd")&amp;"|"&amp;""&amp;"|",'CALENDARIO'!$G$15:$G$214,0)),IFERROR(INDEX('CALENDARIO'!$C$15:$C$214,MATCH(TEXT($I383,"yyyy-mm-dd")&amp;"||",'CALENDARIO'!$G$15:$G$214,0)),INDEX(patronHabil,WEEKDAY($I383,2)))))</f>
        <v/>
      </c>
    </row>
    <row r="384">
      <c r="I384" s="11" t="n">
        <v>46402</v>
      </c>
      <c r="J384" s="3">
        <f>IFERROR(INDEX('CALENDARIO'!$C$15:$C$214,MATCH(TEXT($I384,"yyyy-mm-dd")&amp;"|"&amp;""&amp;"|"&amp;"",'CALENDARIO'!$G$15:$G$214,0)),IFERROR(INDEX('CALENDARIO'!$C$15:$C$214,MATCH(TEXT($I384,"yyyy-mm-dd")&amp;"|"&amp;""&amp;"|",'CALENDARIO'!$G$15:$G$214,0)),IFERROR(INDEX('CALENDARIO'!$C$15:$C$214,MATCH(TEXT($I384,"yyyy-mm-dd")&amp;"||",'CALENDARIO'!$G$15:$G$214,0)),INDEX(patronHabil,WEEKDAY($I384,2)))))</f>
        <v/>
      </c>
    </row>
    <row r="385">
      <c r="I385" s="11" t="n">
        <v>46403</v>
      </c>
      <c r="J385" s="3">
        <f>IFERROR(INDEX('CALENDARIO'!$C$15:$C$214,MATCH(TEXT($I385,"yyyy-mm-dd")&amp;"|"&amp;""&amp;"|"&amp;"",'CALENDARIO'!$G$15:$G$214,0)),IFERROR(INDEX('CALENDARIO'!$C$15:$C$214,MATCH(TEXT($I385,"yyyy-mm-dd")&amp;"|"&amp;""&amp;"|",'CALENDARIO'!$G$15:$G$214,0)),IFERROR(INDEX('CALENDARIO'!$C$15:$C$214,MATCH(TEXT($I385,"yyyy-mm-dd")&amp;"||",'CALENDARIO'!$G$15:$G$214,0)),INDEX(patronHabil,WEEKDAY($I385,2)))))</f>
        <v/>
      </c>
    </row>
    <row r="386">
      <c r="I386" s="11" t="n">
        <v>46404</v>
      </c>
      <c r="J386" s="3">
        <f>IFERROR(INDEX('CALENDARIO'!$C$15:$C$214,MATCH(TEXT($I386,"yyyy-mm-dd")&amp;"|"&amp;""&amp;"|"&amp;"",'CALENDARIO'!$G$15:$G$214,0)),IFERROR(INDEX('CALENDARIO'!$C$15:$C$214,MATCH(TEXT($I386,"yyyy-mm-dd")&amp;"|"&amp;""&amp;"|",'CALENDARIO'!$G$15:$G$214,0)),IFERROR(INDEX('CALENDARIO'!$C$15:$C$214,MATCH(TEXT($I386,"yyyy-mm-dd")&amp;"||",'CALENDARIO'!$G$15:$G$214,0)),INDEX(patronHabil,WEEKDAY($I386,2)))))</f>
        <v/>
      </c>
    </row>
    <row r="387">
      <c r="I387" s="11" t="n">
        <v>46405</v>
      </c>
      <c r="J387" s="3">
        <f>IFERROR(INDEX('CALENDARIO'!$C$15:$C$214,MATCH(TEXT($I387,"yyyy-mm-dd")&amp;"|"&amp;""&amp;"|"&amp;"",'CALENDARIO'!$G$15:$G$214,0)),IFERROR(INDEX('CALENDARIO'!$C$15:$C$214,MATCH(TEXT($I387,"yyyy-mm-dd")&amp;"|"&amp;""&amp;"|",'CALENDARIO'!$G$15:$G$214,0)),IFERROR(INDEX('CALENDARIO'!$C$15:$C$214,MATCH(TEXT($I387,"yyyy-mm-dd")&amp;"||",'CALENDARIO'!$G$15:$G$214,0)),INDEX(patronHabil,WEEKDAY($I387,2)))))</f>
        <v/>
      </c>
    </row>
    <row r="388">
      <c r="I388" s="11" t="n">
        <v>46406</v>
      </c>
      <c r="J388" s="3">
        <f>IFERROR(INDEX('CALENDARIO'!$C$15:$C$214,MATCH(TEXT($I388,"yyyy-mm-dd")&amp;"|"&amp;""&amp;"|"&amp;"",'CALENDARIO'!$G$15:$G$214,0)),IFERROR(INDEX('CALENDARIO'!$C$15:$C$214,MATCH(TEXT($I388,"yyyy-mm-dd")&amp;"|"&amp;""&amp;"|",'CALENDARIO'!$G$15:$G$214,0)),IFERROR(INDEX('CALENDARIO'!$C$15:$C$214,MATCH(TEXT($I388,"yyyy-mm-dd")&amp;"||",'CALENDARIO'!$G$15:$G$214,0)),INDEX(patronHabil,WEEKDAY($I388,2)))))</f>
        <v/>
      </c>
    </row>
    <row r="389">
      <c r="I389" s="11" t="n">
        <v>46407</v>
      </c>
      <c r="J389" s="3">
        <f>IFERROR(INDEX('CALENDARIO'!$C$15:$C$214,MATCH(TEXT($I389,"yyyy-mm-dd")&amp;"|"&amp;""&amp;"|"&amp;"",'CALENDARIO'!$G$15:$G$214,0)),IFERROR(INDEX('CALENDARIO'!$C$15:$C$214,MATCH(TEXT($I389,"yyyy-mm-dd")&amp;"|"&amp;""&amp;"|",'CALENDARIO'!$G$15:$G$214,0)),IFERROR(INDEX('CALENDARIO'!$C$15:$C$214,MATCH(TEXT($I389,"yyyy-mm-dd")&amp;"||",'CALENDARIO'!$G$15:$G$214,0)),INDEX(patronHabil,WEEKDAY($I389,2)))))</f>
        <v/>
      </c>
    </row>
    <row r="390">
      <c r="I390" s="11" t="n">
        <v>46408</v>
      </c>
      <c r="J390" s="3">
        <f>IFERROR(INDEX('CALENDARIO'!$C$15:$C$214,MATCH(TEXT($I390,"yyyy-mm-dd")&amp;"|"&amp;""&amp;"|"&amp;"",'CALENDARIO'!$G$15:$G$214,0)),IFERROR(INDEX('CALENDARIO'!$C$15:$C$214,MATCH(TEXT($I390,"yyyy-mm-dd")&amp;"|"&amp;""&amp;"|",'CALENDARIO'!$G$15:$G$214,0)),IFERROR(INDEX('CALENDARIO'!$C$15:$C$214,MATCH(TEXT($I390,"yyyy-mm-dd")&amp;"||",'CALENDARIO'!$G$15:$G$214,0)),INDEX(patronHabil,WEEKDAY($I390,2)))))</f>
        <v/>
      </c>
    </row>
    <row r="391">
      <c r="I391" s="11" t="n">
        <v>46409</v>
      </c>
      <c r="J391" s="3">
        <f>IFERROR(INDEX('CALENDARIO'!$C$15:$C$214,MATCH(TEXT($I391,"yyyy-mm-dd")&amp;"|"&amp;""&amp;"|"&amp;"",'CALENDARIO'!$G$15:$G$214,0)),IFERROR(INDEX('CALENDARIO'!$C$15:$C$214,MATCH(TEXT($I391,"yyyy-mm-dd")&amp;"|"&amp;""&amp;"|",'CALENDARIO'!$G$15:$G$214,0)),IFERROR(INDEX('CALENDARIO'!$C$15:$C$214,MATCH(TEXT($I391,"yyyy-mm-dd")&amp;"||",'CALENDARIO'!$G$15:$G$214,0)),INDEX(patronHabil,WEEKDAY($I391,2)))))</f>
        <v/>
      </c>
    </row>
    <row r="392">
      <c r="I392" s="11" t="n">
        <v>46410</v>
      </c>
      <c r="J392" s="3">
        <f>IFERROR(INDEX('CALENDARIO'!$C$15:$C$214,MATCH(TEXT($I392,"yyyy-mm-dd")&amp;"|"&amp;""&amp;"|"&amp;"",'CALENDARIO'!$G$15:$G$214,0)),IFERROR(INDEX('CALENDARIO'!$C$15:$C$214,MATCH(TEXT($I392,"yyyy-mm-dd")&amp;"|"&amp;""&amp;"|",'CALENDARIO'!$G$15:$G$214,0)),IFERROR(INDEX('CALENDARIO'!$C$15:$C$214,MATCH(TEXT($I392,"yyyy-mm-dd")&amp;"||",'CALENDARIO'!$G$15:$G$214,0)),INDEX(patronHabil,WEEKDAY($I392,2)))))</f>
        <v/>
      </c>
    </row>
    <row r="393">
      <c r="I393" s="11" t="n">
        <v>46411</v>
      </c>
      <c r="J393" s="3">
        <f>IFERROR(INDEX('CALENDARIO'!$C$15:$C$214,MATCH(TEXT($I393,"yyyy-mm-dd")&amp;"|"&amp;""&amp;"|"&amp;"",'CALENDARIO'!$G$15:$G$214,0)),IFERROR(INDEX('CALENDARIO'!$C$15:$C$214,MATCH(TEXT($I393,"yyyy-mm-dd")&amp;"|"&amp;""&amp;"|",'CALENDARIO'!$G$15:$G$214,0)),IFERROR(INDEX('CALENDARIO'!$C$15:$C$214,MATCH(TEXT($I393,"yyyy-mm-dd")&amp;"||",'CALENDARIO'!$G$15:$G$214,0)),INDEX(patronHabil,WEEKDAY($I393,2)))))</f>
        <v/>
      </c>
    </row>
    <row r="394">
      <c r="I394" s="11" t="n">
        <v>46412</v>
      </c>
      <c r="J394" s="3">
        <f>IFERROR(INDEX('CALENDARIO'!$C$15:$C$214,MATCH(TEXT($I394,"yyyy-mm-dd")&amp;"|"&amp;""&amp;"|"&amp;"",'CALENDARIO'!$G$15:$G$214,0)),IFERROR(INDEX('CALENDARIO'!$C$15:$C$214,MATCH(TEXT($I394,"yyyy-mm-dd")&amp;"|"&amp;""&amp;"|",'CALENDARIO'!$G$15:$G$214,0)),IFERROR(INDEX('CALENDARIO'!$C$15:$C$214,MATCH(TEXT($I394,"yyyy-mm-dd")&amp;"||",'CALENDARIO'!$G$15:$G$214,0)),INDEX(patronHabil,WEEKDAY($I394,2)))))</f>
        <v/>
      </c>
    </row>
    <row r="395">
      <c r="I395" s="11" t="n">
        <v>46413</v>
      </c>
      <c r="J395" s="3">
        <f>IFERROR(INDEX('CALENDARIO'!$C$15:$C$214,MATCH(TEXT($I395,"yyyy-mm-dd")&amp;"|"&amp;""&amp;"|"&amp;"",'CALENDARIO'!$G$15:$G$214,0)),IFERROR(INDEX('CALENDARIO'!$C$15:$C$214,MATCH(TEXT($I395,"yyyy-mm-dd")&amp;"|"&amp;""&amp;"|",'CALENDARIO'!$G$15:$G$214,0)),IFERROR(INDEX('CALENDARIO'!$C$15:$C$214,MATCH(TEXT($I395,"yyyy-mm-dd")&amp;"||",'CALENDARIO'!$G$15:$G$214,0)),INDEX(patronHabil,WEEKDAY($I395,2)))))</f>
        <v/>
      </c>
    </row>
    <row r="396">
      <c r="I396" s="11" t="n">
        <v>46414</v>
      </c>
      <c r="J396" s="3">
        <f>IFERROR(INDEX('CALENDARIO'!$C$15:$C$214,MATCH(TEXT($I396,"yyyy-mm-dd")&amp;"|"&amp;""&amp;"|"&amp;"",'CALENDARIO'!$G$15:$G$214,0)),IFERROR(INDEX('CALENDARIO'!$C$15:$C$214,MATCH(TEXT($I396,"yyyy-mm-dd")&amp;"|"&amp;""&amp;"|",'CALENDARIO'!$G$15:$G$214,0)),IFERROR(INDEX('CALENDARIO'!$C$15:$C$214,MATCH(TEXT($I396,"yyyy-mm-dd")&amp;"||",'CALENDARIO'!$G$15:$G$214,0)),INDEX(patronHabil,WEEKDAY($I396,2)))))</f>
        <v/>
      </c>
    </row>
    <row r="397">
      <c r="I397" s="11" t="n">
        <v>46415</v>
      </c>
      <c r="J397" s="3">
        <f>IFERROR(INDEX('CALENDARIO'!$C$15:$C$214,MATCH(TEXT($I397,"yyyy-mm-dd")&amp;"|"&amp;""&amp;"|"&amp;"",'CALENDARIO'!$G$15:$G$214,0)),IFERROR(INDEX('CALENDARIO'!$C$15:$C$214,MATCH(TEXT($I397,"yyyy-mm-dd")&amp;"|"&amp;""&amp;"|",'CALENDARIO'!$G$15:$G$214,0)),IFERROR(INDEX('CALENDARIO'!$C$15:$C$214,MATCH(TEXT($I397,"yyyy-mm-dd")&amp;"||",'CALENDARIO'!$G$15:$G$214,0)),INDEX(patronHabil,WEEKDAY($I397,2)))))</f>
        <v/>
      </c>
    </row>
    <row r="398">
      <c r="I398" s="11" t="n">
        <v>46416</v>
      </c>
      <c r="J398" s="3">
        <f>IFERROR(INDEX('CALENDARIO'!$C$15:$C$214,MATCH(TEXT($I398,"yyyy-mm-dd")&amp;"|"&amp;""&amp;"|"&amp;"",'CALENDARIO'!$G$15:$G$214,0)),IFERROR(INDEX('CALENDARIO'!$C$15:$C$214,MATCH(TEXT($I398,"yyyy-mm-dd")&amp;"|"&amp;""&amp;"|",'CALENDARIO'!$G$15:$G$214,0)),IFERROR(INDEX('CALENDARIO'!$C$15:$C$214,MATCH(TEXT($I398,"yyyy-mm-dd")&amp;"||",'CALENDARIO'!$G$15:$G$214,0)),INDEX(patronHabil,WEEKDAY($I398,2)))))</f>
        <v/>
      </c>
    </row>
    <row r="399">
      <c r="I399" s="11" t="n">
        <v>46417</v>
      </c>
      <c r="J399" s="3">
        <f>IFERROR(INDEX('CALENDARIO'!$C$15:$C$214,MATCH(TEXT($I399,"yyyy-mm-dd")&amp;"|"&amp;""&amp;"|"&amp;"",'CALENDARIO'!$G$15:$G$214,0)),IFERROR(INDEX('CALENDARIO'!$C$15:$C$214,MATCH(TEXT($I399,"yyyy-mm-dd")&amp;"|"&amp;""&amp;"|",'CALENDARIO'!$G$15:$G$214,0)),IFERROR(INDEX('CALENDARIO'!$C$15:$C$214,MATCH(TEXT($I399,"yyyy-mm-dd")&amp;"||",'CALENDARIO'!$G$15:$G$214,0)),INDEX(patronHabil,WEEKDAY($I399,2)))))</f>
        <v/>
      </c>
    </row>
    <row r="400">
      <c r="I400" s="11" t="n">
        <v>46418</v>
      </c>
      <c r="J400" s="3">
        <f>IFERROR(INDEX('CALENDARIO'!$C$15:$C$214,MATCH(TEXT($I400,"yyyy-mm-dd")&amp;"|"&amp;""&amp;"|"&amp;"",'CALENDARIO'!$G$15:$G$214,0)),IFERROR(INDEX('CALENDARIO'!$C$15:$C$214,MATCH(TEXT($I400,"yyyy-mm-dd")&amp;"|"&amp;""&amp;"|",'CALENDARIO'!$G$15:$G$214,0)),IFERROR(INDEX('CALENDARIO'!$C$15:$C$214,MATCH(TEXT($I400,"yyyy-mm-dd")&amp;"||",'CALENDARIO'!$G$15:$G$214,0)),INDEX(patronHabil,WEEKDAY($I400,2)))))</f>
        <v/>
      </c>
    </row>
    <row r="401">
      <c r="I401" s="11" t="n">
        <v>46419</v>
      </c>
      <c r="J401" s="3">
        <f>IFERROR(INDEX('CALENDARIO'!$C$15:$C$214,MATCH(TEXT($I401,"yyyy-mm-dd")&amp;"|"&amp;""&amp;"|"&amp;"",'CALENDARIO'!$G$15:$G$214,0)),IFERROR(INDEX('CALENDARIO'!$C$15:$C$214,MATCH(TEXT($I401,"yyyy-mm-dd")&amp;"|"&amp;""&amp;"|",'CALENDARIO'!$G$15:$G$214,0)),IFERROR(INDEX('CALENDARIO'!$C$15:$C$214,MATCH(TEXT($I401,"yyyy-mm-dd")&amp;"||",'CALENDARIO'!$G$15:$G$214,0)),INDEX(patronHabil,WEEKDAY($I401,2)))))</f>
        <v/>
      </c>
    </row>
    <row r="402">
      <c r="I402" s="11" t="n">
        <v>46420</v>
      </c>
      <c r="J402" s="3">
        <f>IFERROR(INDEX('CALENDARIO'!$C$15:$C$214,MATCH(TEXT($I402,"yyyy-mm-dd")&amp;"|"&amp;""&amp;"|"&amp;"",'CALENDARIO'!$G$15:$G$214,0)),IFERROR(INDEX('CALENDARIO'!$C$15:$C$214,MATCH(TEXT($I402,"yyyy-mm-dd")&amp;"|"&amp;""&amp;"|",'CALENDARIO'!$G$15:$G$214,0)),IFERROR(INDEX('CALENDARIO'!$C$15:$C$214,MATCH(TEXT($I402,"yyyy-mm-dd")&amp;"||",'CALENDARIO'!$G$15:$G$214,0)),INDEX(patronHabil,WEEKDAY($I402,2)))))</f>
        <v/>
      </c>
    </row>
    <row r="403">
      <c r="I403" s="11" t="n">
        <v>46421</v>
      </c>
      <c r="J403" s="3">
        <f>IFERROR(INDEX('CALENDARIO'!$C$15:$C$214,MATCH(TEXT($I403,"yyyy-mm-dd")&amp;"|"&amp;""&amp;"|"&amp;"",'CALENDARIO'!$G$15:$G$214,0)),IFERROR(INDEX('CALENDARIO'!$C$15:$C$214,MATCH(TEXT($I403,"yyyy-mm-dd")&amp;"|"&amp;""&amp;"|",'CALENDARIO'!$G$15:$G$214,0)),IFERROR(INDEX('CALENDARIO'!$C$15:$C$214,MATCH(TEXT($I403,"yyyy-mm-dd")&amp;"||",'CALENDARIO'!$G$15:$G$214,0)),INDEX(patronHabil,WEEKDAY($I403,2)))))</f>
        <v/>
      </c>
    </row>
    <row r="404">
      <c r="I404" s="11" t="n">
        <v>46422</v>
      </c>
      <c r="J404" s="3">
        <f>IFERROR(INDEX('CALENDARIO'!$C$15:$C$214,MATCH(TEXT($I404,"yyyy-mm-dd")&amp;"|"&amp;""&amp;"|"&amp;"",'CALENDARIO'!$G$15:$G$214,0)),IFERROR(INDEX('CALENDARIO'!$C$15:$C$214,MATCH(TEXT($I404,"yyyy-mm-dd")&amp;"|"&amp;""&amp;"|",'CALENDARIO'!$G$15:$G$214,0)),IFERROR(INDEX('CALENDARIO'!$C$15:$C$214,MATCH(TEXT($I404,"yyyy-mm-dd")&amp;"||",'CALENDARIO'!$G$15:$G$214,0)),INDEX(patronHabil,WEEKDAY($I404,2)))))</f>
        <v/>
      </c>
    </row>
    <row r="405">
      <c r="I405" s="11" t="n">
        <v>46423</v>
      </c>
      <c r="J405" s="3">
        <f>IFERROR(INDEX('CALENDARIO'!$C$15:$C$214,MATCH(TEXT($I405,"yyyy-mm-dd")&amp;"|"&amp;""&amp;"|"&amp;"",'CALENDARIO'!$G$15:$G$214,0)),IFERROR(INDEX('CALENDARIO'!$C$15:$C$214,MATCH(TEXT($I405,"yyyy-mm-dd")&amp;"|"&amp;""&amp;"|",'CALENDARIO'!$G$15:$G$214,0)),IFERROR(INDEX('CALENDARIO'!$C$15:$C$214,MATCH(TEXT($I405,"yyyy-mm-dd")&amp;"||",'CALENDARIO'!$G$15:$G$214,0)),INDEX(patronHabil,WEEKDAY($I405,2)))))</f>
        <v/>
      </c>
    </row>
    <row r="406">
      <c r="I406" s="11" t="n">
        <v>46424</v>
      </c>
      <c r="J406" s="3">
        <f>IFERROR(INDEX('CALENDARIO'!$C$15:$C$214,MATCH(TEXT($I406,"yyyy-mm-dd")&amp;"|"&amp;""&amp;"|"&amp;"",'CALENDARIO'!$G$15:$G$214,0)),IFERROR(INDEX('CALENDARIO'!$C$15:$C$214,MATCH(TEXT($I406,"yyyy-mm-dd")&amp;"|"&amp;""&amp;"|",'CALENDARIO'!$G$15:$G$214,0)),IFERROR(INDEX('CALENDARIO'!$C$15:$C$214,MATCH(TEXT($I406,"yyyy-mm-dd")&amp;"||",'CALENDARIO'!$G$15:$G$214,0)),INDEX(patronHabil,WEEKDAY($I406,2)))))</f>
        <v/>
      </c>
    </row>
    <row r="407">
      <c r="I407" s="11" t="n">
        <v>46425</v>
      </c>
      <c r="J407" s="3">
        <f>IFERROR(INDEX('CALENDARIO'!$C$15:$C$214,MATCH(TEXT($I407,"yyyy-mm-dd")&amp;"|"&amp;""&amp;"|"&amp;"",'CALENDARIO'!$G$15:$G$214,0)),IFERROR(INDEX('CALENDARIO'!$C$15:$C$214,MATCH(TEXT($I407,"yyyy-mm-dd")&amp;"|"&amp;""&amp;"|",'CALENDARIO'!$G$15:$G$214,0)),IFERROR(INDEX('CALENDARIO'!$C$15:$C$214,MATCH(TEXT($I407,"yyyy-mm-dd")&amp;"||",'CALENDARIO'!$G$15:$G$214,0)),INDEX(patronHabil,WEEKDAY($I407,2)))))</f>
        <v/>
      </c>
    </row>
    <row r="408">
      <c r="I408" s="11" t="n">
        <v>46426</v>
      </c>
      <c r="J408" s="3">
        <f>IFERROR(INDEX('CALENDARIO'!$C$15:$C$214,MATCH(TEXT($I408,"yyyy-mm-dd")&amp;"|"&amp;""&amp;"|"&amp;"",'CALENDARIO'!$G$15:$G$214,0)),IFERROR(INDEX('CALENDARIO'!$C$15:$C$214,MATCH(TEXT($I408,"yyyy-mm-dd")&amp;"|"&amp;""&amp;"|",'CALENDARIO'!$G$15:$G$214,0)),IFERROR(INDEX('CALENDARIO'!$C$15:$C$214,MATCH(TEXT($I408,"yyyy-mm-dd")&amp;"||",'CALENDARIO'!$G$15:$G$214,0)),INDEX(patronHabil,WEEKDAY($I408,2)))))</f>
        <v/>
      </c>
    </row>
    <row r="409">
      <c r="I409" s="11" t="n">
        <v>46427</v>
      </c>
      <c r="J409" s="3">
        <f>IFERROR(INDEX('CALENDARIO'!$C$15:$C$214,MATCH(TEXT($I409,"yyyy-mm-dd")&amp;"|"&amp;""&amp;"|"&amp;"",'CALENDARIO'!$G$15:$G$214,0)),IFERROR(INDEX('CALENDARIO'!$C$15:$C$214,MATCH(TEXT($I409,"yyyy-mm-dd")&amp;"|"&amp;""&amp;"|",'CALENDARIO'!$G$15:$G$214,0)),IFERROR(INDEX('CALENDARIO'!$C$15:$C$214,MATCH(TEXT($I409,"yyyy-mm-dd")&amp;"||",'CALENDARIO'!$G$15:$G$214,0)),INDEX(patronHabil,WEEKDAY($I409,2)))))</f>
        <v/>
      </c>
    </row>
    <row r="410">
      <c r="I410" s="11" t="n">
        <v>46428</v>
      </c>
      <c r="J410" s="3">
        <f>IFERROR(INDEX('CALENDARIO'!$C$15:$C$214,MATCH(TEXT($I410,"yyyy-mm-dd")&amp;"|"&amp;""&amp;"|"&amp;"",'CALENDARIO'!$G$15:$G$214,0)),IFERROR(INDEX('CALENDARIO'!$C$15:$C$214,MATCH(TEXT($I410,"yyyy-mm-dd")&amp;"|"&amp;""&amp;"|",'CALENDARIO'!$G$15:$G$214,0)),IFERROR(INDEX('CALENDARIO'!$C$15:$C$214,MATCH(TEXT($I410,"yyyy-mm-dd")&amp;"||",'CALENDARIO'!$G$15:$G$214,0)),INDEX(patronHabil,WEEKDAY($I410,2)))))</f>
        <v/>
      </c>
    </row>
    <row r="411">
      <c r="I411" s="11" t="n">
        <v>46429</v>
      </c>
      <c r="J411" s="3">
        <f>IFERROR(INDEX('CALENDARIO'!$C$15:$C$214,MATCH(TEXT($I411,"yyyy-mm-dd")&amp;"|"&amp;""&amp;"|"&amp;"",'CALENDARIO'!$G$15:$G$214,0)),IFERROR(INDEX('CALENDARIO'!$C$15:$C$214,MATCH(TEXT($I411,"yyyy-mm-dd")&amp;"|"&amp;""&amp;"|",'CALENDARIO'!$G$15:$G$214,0)),IFERROR(INDEX('CALENDARIO'!$C$15:$C$214,MATCH(TEXT($I411,"yyyy-mm-dd")&amp;"||",'CALENDARIO'!$G$15:$G$214,0)),INDEX(patronHabil,WEEKDAY($I411,2)))))</f>
        <v/>
      </c>
    </row>
    <row r="412">
      <c r="I412" s="11" t="n">
        <v>46430</v>
      </c>
      <c r="J412" s="3">
        <f>IFERROR(INDEX('CALENDARIO'!$C$15:$C$214,MATCH(TEXT($I412,"yyyy-mm-dd")&amp;"|"&amp;""&amp;"|"&amp;"",'CALENDARIO'!$G$15:$G$214,0)),IFERROR(INDEX('CALENDARIO'!$C$15:$C$214,MATCH(TEXT($I412,"yyyy-mm-dd")&amp;"|"&amp;""&amp;"|",'CALENDARIO'!$G$15:$G$214,0)),IFERROR(INDEX('CALENDARIO'!$C$15:$C$214,MATCH(TEXT($I412,"yyyy-mm-dd")&amp;"||",'CALENDARIO'!$G$15:$G$214,0)),INDEX(patronHabil,WEEKDAY($I412,2)))))</f>
        <v/>
      </c>
    </row>
    <row r="413">
      <c r="I413" s="11" t="n">
        <v>46431</v>
      </c>
      <c r="J413" s="3">
        <f>IFERROR(INDEX('CALENDARIO'!$C$15:$C$214,MATCH(TEXT($I413,"yyyy-mm-dd")&amp;"|"&amp;""&amp;"|"&amp;"",'CALENDARIO'!$G$15:$G$214,0)),IFERROR(INDEX('CALENDARIO'!$C$15:$C$214,MATCH(TEXT($I413,"yyyy-mm-dd")&amp;"|"&amp;""&amp;"|",'CALENDARIO'!$G$15:$G$214,0)),IFERROR(INDEX('CALENDARIO'!$C$15:$C$214,MATCH(TEXT($I413,"yyyy-mm-dd")&amp;"||",'CALENDARIO'!$G$15:$G$214,0)),INDEX(patronHabil,WEEKDAY($I413,2)))))</f>
        <v/>
      </c>
    </row>
    <row r="414">
      <c r="I414" s="11" t="n">
        <v>46432</v>
      </c>
      <c r="J414" s="3">
        <f>IFERROR(INDEX('CALENDARIO'!$C$15:$C$214,MATCH(TEXT($I414,"yyyy-mm-dd")&amp;"|"&amp;""&amp;"|"&amp;"",'CALENDARIO'!$G$15:$G$214,0)),IFERROR(INDEX('CALENDARIO'!$C$15:$C$214,MATCH(TEXT($I414,"yyyy-mm-dd")&amp;"|"&amp;""&amp;"|",'CALENDARIO'!$G$15:$G$214,0)),IFERROR(INDEX('CALENDARIO'!$C$15:$C$214,MATCH(TEXT($I414,"yyyy-mm-dd")&amp;"||",'CALENDARIO'!$G$15:$G$214,0)),INDEX(patronHabil,WEEKDAY($I414,2)))))</f>
        <v/>
      </c>
    </row>
    <row r="415">
      <c r="I415" s="11" t="n">
        <v>46433</v>
      </c>
      <c r="J415" s="3">
        <f>IFERROR(INDEX('CALENDARIO'!$C$15:$C$214,MATCH(TEXT($I415,"yyyy-mm-dd")&amp;"|"&amp;""&amp;"|"&amp;"",'CALENDARIO'!$G$15:$G$214,0)),IFERROR(INDEX('CALENDARIO'!$C$15:$C$214,MATCH(TEXT($I415,"yyyy-mm-dd")&amp;"|"&amp;""&amp;"|",'CALENDARIO'!$G$15:$G$214,0)),IFERROR(INDEX('CALENDARIO'!$C$15:$C$214,MATCH(TEXT($I415,"yyyy-mm-dd")&amp;"||",'CALENDARIO'!$G$15:$G$214,0)),INDEX(patronHabil,WEEKDAY($I415,2)))))</f>
        <v/>
      </c>
    </row>
    <row r="416">
      <c r="I416" s="11" t="n">
        <v>46434</v>
      </c>
      <c r="J416" s="3">
        <f>IFERROR(INDEX('CALENDARIO'!$C$15:$C$214,MATCH(TEXT($I416,"yyyy-mm-dd")&amp;"|"&amp;""&amp;"|"&amp;"",'CALENDARIO'!$G$15:$G$214,0)),IFERROR(INDEX('CALENDARIO'!$C$15:$C$214,MATCH(TEXT($I416,"yyyy-mm-dd")&amp;"|"&amp;""&amp;"|",'CALENDARIO'!$G$15:$G$214,0)),IFERROR(INDEX('CALENDARIO'!$C$15:$C$214,MATCH(TEXT($I416,"yyyy-mm-dd")&amp;"||",'CALENDARIO'!$G$15:$G$214,0)),INDEX(patronHabil,WEEKDAY($I416,2)))))</f>
        <v/>
      </c>
    </row>
    <row r="417">
      <c r="I417" s="11" t="n">
        <v>46435</v>
      </c>
      <c r="J417" s="3">
        <f>IFERROR(INDEX('CALENDARIO'!$C$15:$C$214,MATCH(TEXT($I417,"yyyy-mm-dd")&amp;"|"&amp;""&amp;"|"&amp;"",'CALENDARIO'!$G$15:$G$214,0)),IFERROR(INDEX('CALENDARIO'!$C$15:$C$214,MATCH(TEXT($I417,"yyyy-mm-dd")&amp;"|"&amp;""&amp;"|",'CALENDARIO'!$G$15:$G$214,0)),IFERROR(INDEX('CALENDARIO'!$C$15:$C$214,MATCH(TEXT($I417,"yyyy-mm-dd")&amp;"||",'CALENDARIO'!$G$15:$G$214,0)),INDEX(patronHabil,WEEKDAY($I417,2)))))</f>
        <v/>
      </c>
    </row>
    <row r="418">
      <c r="I418" s="11" t="n">
        <v>46436</v>
      </c>
      <c r="J418" s="3">
        <f>IFERROR(INDEX('CALENDARIO'!$C$15:$C$214,MATCH(TEXT($I418,"yyyy-mm-dd")&amp;"|"&amp;""&amp;"|"&amp;"",'CALENDARIO'!$G$15:$G$214,0)),IFERROR(INDEX('CALENDARIO'!$C$15:$C$214,MATCH(TEXT($I418,"yyyy-mm-dd")&amp;"|"&amp;""&amp;"|",'CALENDARIO'!$G$15:$G$214,0)),IFERROR(INDEX('CALENDARIO'!$C$15:$C$214,MATCH(TEXT($I418,"yyyy-mm-dd")&amp;"||",'CALENDARIO'!$G$15:$G$214,0)),INDEX(patronHabil,WEEKDAY($I418,2)))))</f>
        <v/>
      </c>
    </row>
    <row r="419">
      <c r="I419" s="11" t="n">
        <v>46437</v>
      </c>
      <c r="J419" s="3">
        <f>IFERROR(INDEX('CALENDARIO'!$C$15:$C$214,MATCH(TEXT($I419,"yyyy-mm-dd")&amp;"|"&amp;""&amp;"|"&amp;"",'CALENDARIO'!$G$15:$G$214,0)),IFERROR(INDEX('CALENDARIO'!$C$15:$C$214,MATCH(TEXT($I419,"yyyy-mm-dd")&amp;"|"&amp;""&amp;"|",'CALENDARIO'!$G$15:$G$214,0)),IFERROR(INDEX('CALENDARIO'!$C$15:$C$214,MATCH(TEXT($I419,"yyyy-mm-dd")&amp;"||",'CALENDARIO'!$G$15:$G$214,0)),INDEX(patronHabil,WEEKDAY($I419,2)))))</f>
        <v/>
      </c>
    </row>
    <row r="420">
      <c r="I420" s="11" t="n">
        <v>46438</v>
      </c>
      <c r="J420" s="3">
        <f>IFERROR(INDEX('CALENDARIO'!$C$15:$C$214,MATCH(TEXT($I420,"yyyy-mm-dd")&amp;"|"&amp;""&amp;"|"&amp;"",'CALENDARIO'!$G$15:$G$214,0)),IFERROR(INDEX('CALENDARIO'!$C$15:$C$214,MATCH(TEXT($I420,"yyyy-mm-dd")&amp;"|"&amp;""&amp;"|",'CALENDARIO'!$G$15:$G$214,0)),IFERROR(INDEX('CALENDARIO'!$C$15:$C$214,MATCH(TEXT($I420,"yyyy-mm-dd")&amp;"||",'CALENDARIO'!$G$15:$G$214,0)),INDEX(patronHabil,WEEKDAY($I420,2)))))</f>
        <v/>
      </c>
    </row>
    <row r="421">
      <c r="I421" s="11" t="n">
        <v>46439</v>
      </c>
      <c r="J421" s="3">
        <f>IFERROR(INDEX('CALENDARIO'!$C$15:$C$214,MATCH(TEXT($I421,"yyyy-mm-dd")&amp;"|"&amp;""&amp;"|"&amp;"",'CALENDARIO'!$G$15:$G$214,0)),IFERROR(INDEX('CALENDARIO'!$C$15:$C$214,MATCH(TEXT($I421,"yyyy-mm-dd")&amp;"|"&amp;""&amp;"|",'CALENDARIO'!$G$15:$G$214,0)),IFERROR(INDEX('CALENDARIO'!$C$15:$C$214,MATCH(TEXT($I421,"yyyy-mm-dd")&amp;"||",'CALENDARIO'!$G$15:$G$214,0)),INDEX(patronHabil,WEEKDAY($I421,2)))))</f>
        <v/>
      </c>
    </row>
    <row r="422">
      <c r="I422" s="11" t="n">
        <v>46440</v>
      </c>
      <c r="J422" s="3">
        <f>IFERROR(INDEX('CALENDARIO'!$C$15:$C$214,MATCH(TEXT($I422,"yyyy-mm-dd")&amp;"|"&amp;""&amp;"|"&amp;"",'CALENDARIO'!$G$15:$G$214,0)),IFERROR(INDEX('CALENDARIO'!$C$15:$C$214,MATCH(TEXT($I422,"yyyy-mm-dd")&amp;"|"&amp;""&amp;"|",'CALENDARIO'!$G$15:$G$214,0)),IFERROR(INDEX('CALENDARIO'!$C$15:$C$214,MATCH(TEXT($I422,"yyyy-mm-dd")&amp;"||",'CALENDARIO'!$G$15:$G$214,0)),INDEX(patronHabil,WEEKDAY($I422,2)))))</f>
        <v/>
      </c>
    </row>
    <row r="423">
      <c r="I423" s="11" t="n">
        <v>46441</v>
      </c>
      <c r="J423" s="3">
        <f>IFERROR(INDEX('CALENDARIO'!$C$15:$C$214,MATCH(TEXT($I423,"yyyy-mm-dd")&amp;"|"&amp;""&amp;"|"&amp;"",'CALENDARIO'!$G$15:$G$214,0)),IFERROR(INDEX('CALENDARIO'!$C$15:$C$214,MATCH(TEXT($I423,"yyyy-mm-dd")&amp;"|"&amp;""&amp;"|",'CALENDARIO'!$G$15:$G$214,0)),IFERROR(INDEX('CALENDARIO'!$C$15:$C$214,MATCH(TEXT($I423,"yyyy-mm-dd")&amp;"||",'CALENDARIO'!$G$15:$G$214,0)),INDEX(patronHabil,WEEKDAY($I423,2)))))</f>
        <v/>
      </c>
    </row>
    <row r="424">
      <c r="I424" s="11" t="n">
        <v>46442</v>
      </c>
      <c r="J424" s="3">
        <f>IFERROR(INDEX('CALENDARIO'!$C$15:$C$214,MATCH(TEXT($I424,"yyyy-mm-dd")&amp;"|"&amp;""&amp;"|"&amp;"",'CALENDARIO'!$G$15:$G$214,0)),IFERROR(INDEX('CALENDARIO'!$C$15:$C$214,MATCH(TEXT($I424,"yyyy-mm-dd")&amp;"|"&amp;""&amp;"|",'CALENDARIO'!$G$15:$G$214,0)),IFERROR(INDEX('CALENDARIO'!$C$15:$C$214,MATCH(TEXT($I424,"yyyy-mm-dd")&amp;"||",'CALENDARIO'!$G$15:$G$214,0)),INDEX(patronHabil,WEEKDAY($I424,2)))))</f>
        <v/>
      </c>
    </row>
    <row r="425">
      <c r="I425" s="11" t="n">
        <v>46443</v>
      </c>
      <c r="J425" s="3">
        <f>IFERROR(INDEX('CALENDARIO'!$C$15:$C$214,MATCH(TEXT($I425,"yyyy-mm-dd")&amp;"|"&amp;""&amp;"|"&amp;"",'CALENDARIO'!$G$15:$G$214,0)),IFERROR(INDEX('CALENDARIO'!$C$15:$C$214,MATCH(TEXT($I425,"yyyy-mm-dd")&amp;"|"&amp;""&amp;"|",'CALENDARIO'!$G$15:$G$214,0)),IFERROR(INDEX('CALENDARIO'!$C$15:$C$214,MATCH(TEXT($I425,"yyyy-mm-dd")&amp;"||",'CALENDARIO'!$G$15:$G$214,0)),INDEX(patronHabil,WEEKDAY($I425,2)))))</f>
        <v/>
      </c>
    </row>
    <row r="426">
      <c r="I426" s="11" t="n">
        <v>46444</v>
      </c>
      <c r="J426" s="3">
        <f>IFERROR(INDEX('CALENDARIO'!$C$15:$C$214,MATCH(TEXT($I426,"yyyy-mm-dd")&amp;"|"&amp;""&amp;"|"&amp;"",'CALENDARIO'!$G$15:$G$214,0)),IFERROR(INDEX('CALENDARIO'!$C$15:$C$214,MATCH(TEXT($I426,"yyyy-mm-dd")&amp;"|"&amp;""&amp;"|",'CALENDARIO'!$G$15:$G$214,0)),IFERROR(INDEX('CALENDARIO'!$C$15:$C$214,MATCH(TEXT($I426,"yyyy-mm-dd")&amp;"||",'CALENDARIO'!$G$15:$G$214,0)),INDEX(patronHabil,WEEKDAY($I426,2)))))</f>
        <v/>
      </c>
    </row>
    <row r="427">
      <c r="I427" s="11" t="n">
        <v>46445</v>
      </c>
      <c r="J427" s="3">
        <f>IFERROR(INDEX('CALENDARIO'!$C$15:$C$214,MATCH(TEXT($I427,"yyyy-mm-dd")&amp;"|"&amp;""&amp;"|"&amp;"",'CALENDARIO'!$G$15:$G$214,0)),IFERROR(INDEX('CALENDARIO'!$C$15:$C$214,MATCH(TEXT($I427,"yyyy-mm-dd")&amp;"|"&amp;""&amp;"|",'CALENDARIO'!$G$15:$G$214,0)),IFERROR(INDEX('CALENDARIO'!$C$15:$C$214,MATCH(TEXT($I427,"yyyy-mm-dd")&amp;"||",'CALENDARIO'!$G$15:$G$214,0)),INDEX(patronHabil,WEEKDAY($I427,2)))))</f>
        <v/>
      </c>
    </row>
    <row r="428">
      <c r="I428" s="11" t="n">
        <v>46446</v>
      </c>
      <c r="J428" s="3">
        <f>IFERROR(INDEX('CALENDARIO'!$C$15:$C$214,MATCH(TEXT($I428,"yyyy-mm-dd")&amp;"|"&amp;""&amp;"|"&amp;"",'CALENDARIO'!$G$15:$G$214,0)),IFERROR(INDEX('CALENDARIO'!$C$15:$C$214,MATCH(TEXT($I428,"yyyy-mm-dd")&amp;"|"&amp;""&amp;"|",'CALENDARIO'!$G$15:$G$214,0)),IFERROR(INDEX('CALENDARIO'!$C$15:$C$214,MATCH(TEXT($I428,"yyyy-mm-dd")&amp;"||",'CALENDARIO'!$G$15:$G$214,0)),INDEX(patronHabil,WEEKDAY($I428,2)))))</f>
        <v/>
      </c>
    </row>
    <row r="429">
      <c r="I429" s="11" t="n">
        <v>46447</v>
      </c>
      <c r="J429" s="3">
        <f>IFERROR(INDEX('CALENDARIO'!$C$15:$C$214,MATCH(TEXT($I429,"yyyy-mm-dd")&amp;"|"&amp;""&amp;"|"&amp;"",'CALENDARIO'!$G$15:$G$214,0)),IFERROR(INDEX('CALENDARIO'!$C$15:$C$214,MATCH(TEXT($I429,"yyyy-mm-dd")&amp;"|"&amp;""&amp;"|",'CALENDARIO'!$G$15:$G$214,0)),IFERROR(INDEX('CALENDARIO'!$C$15:$C$214,MATCH(TEXT($I429,"yyyy-mm-dd")&amp;"||",'CALENDARIO'!$G$15:$G$214,0)),INDEX(patronHabil,WEEKDAY($I429,2)))))</f>
        <v/>
      </c>
    </row>
    <row r="430">
      <c r="I430" s="11" t="n">
        <v>46448</v>
      </c>
      <c r="J430" s="3">
        <f>IFERROR(INDEX('CALENDARIO'!$C$15:$C$214,MATCH(TEXT($I430,"yyyy-mm-dd")&amp;"|"&amp;""&amp;"|"&amp;"",'CALENDARIO'!$G$15:$G$214,0)),IFERROR(INDEX('CALENDARIO'!$C$15:$C$214,MATCH(TEXT($I430,"yyyy-mm-dd")&amp;"|"&amp;""&amp;"|",'CALENDARIO'!$G$15:$G$214,0)),IFERROR(INDEX('CALENDARIO'!$C$15:$C$214,MATCH(TEXT($I430,"yyyy-mm-dd")&amp;"||",'CALENDARIO'!$G$15:$G$214,0)),INDEX(patronHabil,WEEKDAY($I430,2)))))</f>
        <v/>
      </c>
    </row>
    <row r="431">
      <c r="I431" s="11" t="n">
        <v>46449</v>
      </c>
      <c r="J431" s="3">
        <f>IFERROR(INDEX('CALENDARIO'!$C$15:$C$214,MATCH(TEXT($I431,"yyyy-mm-dd")&amp;"|"&amp;""&amp;"|"&amp;"",'CALENDARIO'!$G$15:$G$214,0)),IFERROR(INDEX('CALENDARIO'!$C$15:$C$214,MATCH(TEXT($I431,"yyyy-mm-dd")&amp;"|"&amp;""&amp;"|",'CALENDARIO'!$G$15:$G$214,0)),IFERROR(INDEX('CALENDARIO'!$C$15:$C$214,MATCH(TEXT($I431,"yyyy-mm-dd")&amp;"||",'CALENDARIO'!$G$15:$G$214,0)),INDEX(patronHabil,WEEKDAY($I431,2)))))</f>
        <v/>
      </c>
    </row>
    <row r="432">
      <c r="I432" s="11" t="n">
        <v>46450</v>
      </c>
      <c r="J432" s="3">
        <f>IFERROR(INDEX('CALENDARIO'!$C$15:$C$214,MATCH(TEXT($I432,"yyyy-mm-dd")&amp;"|"&amp;""&amp;"|"&amp;"",'CALENDARIO'!$G$15:$G$214,0)),IFERROR(INDEX('CALENDARIO'!$C$15:$C$214,MATCH(TEXT($I432,"yyyy-mm-dd")&amp;"|"&amp;""&amp;"|",'CALENDARIO'!$G$15:$G$214,0)),IFERROR(INDEX('CALENDARIO'!$C$15:$C$214,MATCH(TEXT($I432,"yyyy-mm-dd")&amp;"||",'CALENDARIO'!$G$15:$G$214,0)),INDEX(patronHabil,WEEKDAY($I432,2)))))</f>
        <v/>
      </c>
    </row>
    <row r="433">
      <c r="I433" s="11" t="n">
        <v>46451</v>
      </c>
      <c r="J433" s="3">
        <f>IFERROR(INDEX('CALENDARIO'!$C$15:$C$214,MATCH(TEXT($I433,"yyyy-mm-dd")&amp;"|"&amp;""&amp;"|"&amp;"",'CALENDARIO'!$G$15:$G$214,0)),IFERROR(INDEX('CALENDARIO'!$C$15:$C$214,MATCH(TEXT($I433,"yyyy-mm-dd")&amp;"|"&amp;""&amp;"|",'CALENDARIO'!$G$15:$G$214,0)),IFERROR(INDEX('CALENDARIO'!$C$15:$C$214,MATCH(TEXT($I433,"yyyy-mm-dd")&amp;"||",'CALENDARIO'!$G$15:$G$214,0)),INDEX(patronHabil,WEEKDAY($I433,2)))))</f>
        <v/>
      </c>
    </row>
    <row r="434">
      <c r="I434" s="11" t="n">
        <v>46452</v>
      </c>
      <c r="J434" s="3">
        <f>IFERROR(INDEX('CALENDARIO'!$C$15:$C$214,MATCH(TEXT($I434,"yyyy-mm-dd")&amp;"|"&amp;""&amp;"|"&amp;"",'CALENDARIO'!$G$15:$G$214,0)),IFERROR(INDEX('CALENDARIO'!$C$15:$C$214,MATCH(TEXT($I434,"yyyy-mm-dd")&amp;"|"&amp;""&amp;"|",'CALENDARIO'!$G$15:$G$214,0)),IFERROR(INDEX('CALENDARIO'!$C$15:$C$214,MATCH(TEXT($I434,"yyyy-mm-dd")&amp;"||",'CALENDARIO'!$G$15:$G$214,0)),INDEX(patronHabil,WEEKDAY($I434,2)))))</f>
        <v/>
      </c>
    </row>
    <row r="435">
      <c r="I435" s="11" t="n">
        <v>46453</v>
      </c>
      <c r="J435" s="3">
        <f>IFERROR(INDEX('CALENDARIO'!$C$15:$C$214,MATCH(TEXT($I435,"yyyy-mm-dd")&amp;"|"&amp;""&amp;"|"&amp;"",'CALENDARIO'!$G$15:$G$214,0)),IFERROR(INDEX('CALENDARIO'!$C$15:$C$214,MATCH(TEXT($I435,"yyyy-mm-dd")&amp;"|"&amp;""&amp;"|",'CALENDARIO'!$G$15:$G$214,0)),IFERROR(INDEX('CALENDARIO'!$C$15:$C$214,MATCH(TEXT($I435,"yyyy-mm-dd")&amp;"||",'CALENDARIO'!$G$15:$G$214,0)),INDEX(patronHabil,WEEKDAY($I435,2)))))</f>
        <v/>
      </c>
    </row>
    <row r="436">
      <c r="I436" s="11" t="n">
        <v>46454</v>
      </c>
      <c r="J436" s="3">
        <f>IFERROR(INDEX('CALENDARIO'!$C$15:$C$214,MATCH(TEXT($I436,"yyyy-mm-dd")&amp;"|"&amp;""&amp;"|"&amp;"",'CALENDARIO'!$G$15:$G$214,0)),IFERROR(INDEX('CALENDARIO'!$C$15:$C$214,MATCH(TEXT($I436,"yyyy-mm-dd")&amp;"|"&amp;""&amp;"|",'CALENDARIO'!$G$15:$G$214,0)),IFERROR(INDEX('CALENDARIO'!$C$15:$C$214,MATCH(TEXT($I436,"yyyy-mm-dd")&amp;"||",'CALENDARIO'!$G$15:$G$214,0)),INDEX(patronHabil,WEEKDAY($I436,2)))))</f>
        <v/>
      </c>
    </row>
    <row r="437">
      <c r="I437" s="11" t="n">
        <v>46455</v>
      </c>
      <c r="J437" s="3">
        <f>IFERROR(INDEX('CALENDARIO'!$C$15:$C$214,MATCH(TEXT($I437,"yyyy-mm-dd")&amp;"|"&amp;""&amp;"|"&amp;"",'CALENDARIO'!$G$15:$G$214,0)),IFERROR(INDEX('CALENDARIO'!$C$15:$C$214,MATCH(TEXT($I437,"yyyy-mm-dd")&amp;"|"&amp;""&amp;"|",'CALENDARIO'!$G$15:$G$214,0)),IFERROR(INDEX('CALENDARIO'!$C$15:$C$214,MATCH(TEXT($I437,"yyyy-mm-dd")&amp;"||",'CALENDARIO'!$G$15:$G$214,0)),INDEX(patronHabil,WEEKDAY($I437,2)))))</f>
        <v/>
      </c>
    </row>
    <row r="438">
      <c r="I438" s="11" t="n">
        <v>46456</v>
      </c>
      <c r="J438" s="3">
        <f>IFERROR(INDEX('CALENDARIO'!$C$15:$C$214,MATCH(TEXT($I438,"yyyy-mm-dd")&amp;"|"&amp;""&amp;"|"&amp;"",'CALENDARIO'!$G$15:$G$214,0)),IFERROR(INDEX('CALENDARIO'!$C$15:$C$214,MATCH(TEXT($I438,"yyyy-mm-dd")&amp;"|"&amp;""&amp;"|",'CALENDARIO'!$G$15:$G$214,0)),IFERROR(INDEX('CALENDARIO'!$C$15:$C$214,MATCH(TEXT($I438,"yyyy-mm-dd")&amp;"||",'CALENDARIO'!$G$15:$G$214,0)),INDEX(patronHabil,WEEKDAY($I438,2)))))</f>
        <v/>
      </c>
    </row>
    <row r="439">
      <c r="I439" s="11" t="n">
        <v>46457</v>
      </c>
      <c r="J439" s="3">
        <f>IFERROR(INDEX('CALENDARIO'!$C$15:$C$214,MATCH(TEXT($I439,"yyyy-mm-dd")&amp;"|"&amp;""&amp;"|"&amp;"",'CALENDARIO'!$G$15:$G$214,0)),IFERROR(INDEX('CALENDARIO'!$C$15:$C$214,MATCH(TEXT($I439,"yyyy-mm-dd")&amp;"|"&amp;""&amp;"|",'CALENDARIO'!$G$15:$G$214,0)),IFERROR(INDEX('CALENDARIO'!$C$15:$C$214,MATCH(TEXT($I439,"yyyy-mm-dd")&amp;"||",'CALENDARIO'!$G$15:$G$214,0)),INDEX(patronHabil,WEEKDAY($I439,2)))))</f>
        <v/>
      </c>
    </row>
    <row r="440">
      <c r="I440" s="11" t="n">
        <v>46458</v>
      </c>
      <c r="J440" s="3">
        <f>IFERROR(INDEX('CALENDARIO'!$C$15:$C$214,MATCH(TEXT($I440,"yyyy-mm-dd")&amp;"|"&amp;""&amp;"|"&amp;"",'CALENDARIO'!$G$15:$G$214,0)),IFERROR(INDEX('CALENDARIO'!$C$15:$C$214,MATCH(TEXT($I440,"yyyy-mm-dd")&amp;"|"&amp;""&amp;"|",'CALENDARIO'!$G$15:$G$214,0)),IFERROR(INDEX('CALENDARIO'!$C$15:$C$214,MATCH(TEXT($I440,"yyyy-mm-dd")&amp;"||",'CALENDARIO'!$G$15:$G$214,0)),INDEX(patronHabil,WEEKDAY($I440,2)))))</f>
        <v/>
      </c>
    </row>
    <row r="441">
      <c r="I441" s="11" t="n">
        <v>46459</v>
      </c>
      <c r="J441" s="3">
        <f>IFERROR(INDEX('CALENDARIO'!$C$15:$C$214,MATCH(TEXT($I441,"yyyy-mm-dd")&amp;"|"&amp;""&amp;"|"&amp;"",'CALENDARIO'!$G$15:$G$214,0)),IFERROR(INDEX('CALENDARIO'!$C$15:$C$214,MATCH(TEXT($I441,"yyyy-mm-dd")&amp;"|"&amp;""&amp;"|",'CALENDARIO'!$G$15:$G$214,0)),IFERROR(INDEX('CALENDARIO'!$C$15:$C$214,MATCH(TEXT($I441,"yyyy-mm-dd")&amp;"||",'CALENDARIO'!$G$15:$G$214,0)),INDEX(patronHabil,WEEKDAY($I441,2)))))</f>
        <v/>
      </c>
    </row>
    <row r="442">
      <c r="I442" s="11" t="n">
        <v>46460</v>
      </c>
      <c r="J442" s="3">
        <f>IFERROR(INDEX('CALENDARIO'!$C$15:$C$214,MATCH(TEXT($I442,"yyyy-mm-dd")&amp;"|"&amp;""&amp;"|"&amp;"",'CALENDARIO'!$G$15:$G$214,0)),IFERROR(INDEX('CALENDARIO'!$C$15:$C$214,MATCH(TEXT($I442,"yyyy-mm-dd")&amp;"|"&amp;""&amp;"|",'CALENDARIO'!$G$15:$G$214,0)),IFERROR(INDEX('CALENDARIO'!$C$15:$C$214,MATCH(TEXT($I442,"yyyy-mm-dd")&amp;"||",'CALENDARIO'!$G$15:$G$214,0)),INDEX(patronHabil,WEEKDAY($I442,2)))))</f>
        <v/>
      </c>
    </row>
    <row r="443">
      <c r="I443" s="11" t="n">
        <v>46461</v>
      </c>
      <c r="J443" s="3">
        <f>IFERROR(INDEX('CALENDARIO'!$C$15:$C$214,MATCH(TEXT($I443,"yyyy-mm-dd")&amp;"|"&amp;""&amp;"|"&amp;"",'CALENDARIO'!$G$15:$G$214,0)),IFERROR(INDEX('CALENDARIO'!$C$15:$C$214,MATCH(TEXT($I443,"yyyy-mm-dd")&amp;"|"&amp;""&amp;"|",'CALENDARIO'!$G$15:$G$214,0)),IFERROR(INDEX('CALENDARIO'!$C$15:$C$214,MATCH(TEXT($I443,"yyyy-mm-dd")&amp;"||",'CALENDARIO'!$G$15:$G$214,0)),INDEX(patronHabil,WEEKDAY($I443,2)))))</f>
        <v/>
      </c>
    </row>
    <row r="444">
      <c r="I444" s="11" t="n">
        <v>46462</v>
      </c>
      <c r="J444" s="3">
        <f>IFERROR(INDEX('CALENDARIO'!$C$15:$C$214,MATCH(TEXT($I444,"yyyy-mm-dd")&amp;"|"&amp;""&amp;"|"&amp;"",'CALENDARIO'!$G$15:$G$214,0)),IFERROR(INDEX('CALENDARIO'!$C$15:$C$214,MATCH(TEXT($I444,"yyyy-mm-dd")&amp;"|"&amp;""&amp;"|",'CALENDARIO'!$G$15:$G$214,0)),IFERROR(INDEX('CALENDARIO'!$C$15:$C$214,MATCH(TEXT($I444,"yyyy-mm-dd")&amp;"||",'CALENDARIO'!$G$15:$G$214,0)),INDEX(patronHabil,WEEKDAY($I444,2)))))</f>
        <v/>
      </c>
    </row>
    <row r="445">
      <c r="I445" s="11" t="n">
        <v>46463</v>
      </c>
      <c r="J445" s="3">
        <f>IFERROR(INDEX('CALENDARIO'!$C$15:$C$214,MATCH(TEXT($I445,"yyyy-mm-dd")&amp;"|"&amp;""&amp;"|"&amp;"",'CALENDARIO'!$G$15:$G$214,0)),IFERROR(INDEX('CALENDARIO'!$C$15:$C$214,MATCH(TEXT($I445,"yyyy-mm-dd")&amp;"|"&amp;""&amp;"|",'CALENDARIO'!$G$15:$G$214,0)),IFERROR(INDEX('CALENDARIO'!$C$15:$C$214,MATCH(TEXT($I445,"yyyy-mm-dd")&amp;"||",'CALENDARIO'!$G$15:$G$214,0)),INDEX(patronHabil,WEEKDAY($I445,2)))))</f>
        <v/>
      </c>
    </row>
    <row r="446">
      <c r="I446" s="11" t="n">
        <v>46464</v>
      </c>
      <c r="J446" s="3">
        <f>IFERROR(INDEX('CALENDARIO'!$C$15:$C$214,MATCH(TEXT($I446,"yyyy-mm-dd")&amp;"|"&amp;""&amp;"|"&amp;"",'CALENDARIO'!$G$15:$G$214,0)),IFERROR(INDEX('CALENDARIO'!$C$15:$C$214,MATCH(TEXT($I446,"yyyy-mm-dd")&amp;"|"&amp;""&amp;"|",'CALENDARIO'!$G$15:$G$214,0)),IFERROR(INDEX('CALENDARIO'!$C$15:$C$214,MATCH(TEXT($I446,"yyyy-mm-dd")&amp;"||",'CALENDARIO'!$G$15:$G$214,0)),INDEX(patronHabil,WEEKDAY($I446,2)))))</f>
        <v/>
      </c>
    </row>
    <row r="447">
      <c r="I447" s="11" t="n">
        <v>46465</v>
      </c>
      <c r="J447" s="3">
        <f>IFERROR(INDEX('CALENDARIO'!$C$15:$C$214,MATCH(TEXT($I447,"yyyy-mm-dd")&amp;"|"&amp;""&amp;"|"&amp;"",'CALENDARIO'!$G$15:$G$214,0)),IFERROR(INDEX('CALENDARIO'!$C$15:$C$214,MATCH(TEXT($I447,"yyyy-mm-dd")&amp;"|"&amp;""&amp;"|",'CALENDARIO'!$G$15:$G$214,0)),IFERROR(INDEX('CALENDARIO'!$C$15:$C$214,MATCH(TEXT($I447,"yyyy-mm-dd")&amp;"||",'CALENDARIO'!$G$15:$G$214,0)),INDEX(patronHabil,WEEKDAY($I447,2)))))</f>
        <v/>
      </c>
    </row>
    <row r="448">
      <c r="I448" s="11" t="n">
        <v>46466</v>
      </c>
      <c r="J448" s="3">
        <f>IFERROR(INDEX('CALENDARIO'!$C$15:$C$214,MATCH(TEXT($I448,"yyyy-mm-dd")&amp;"|"&amp;""&amp;"|"&amp;"",'CALENDARIO'!$G$15:$G$214,0)),IFERROR(INDEX('CALENDARIO'!$C$15:$C$214,MATCH(TEXT($I448,"yyyy-mm-dd")&amp;"|"&amp;""&amp;"|",'CALENDARIO'!$G$15:$G$214,0)),IFERROR(INDEX('CALENDARIO'!$C$15:$C$214,MATCH(TEXT($I448,"yyyy-mm-dd")&amp;"||",'CALENDARIO'!$G$15:$G$214,0)),INDEX(patronHabil,WEEKDAY($I448,2)))))</f>
        <v/>
      </c>
    </row>
    <row r="449">
      <c r="I449" s="11" t="n">
        <v>46467</v>
      </c>
      <c r="J449" s="3">
        <f>IFERROR(INDEX('CALENDARIO'!$C$15:$C$214,MATCH(TEXT($I449,"yyyy-mm-dd")&amp;"|"&amp;""&amp;"|"&amp;"",'CALENDARIO'!$G$15:$G$214,0)),IFERROR(INDEX('CALENDARIO'!$C$15:$C$214,MATCH(TEXT($I449,"yyyy-mm-dd")&amp;"|"&amp;""&amp;"|",'CALENDARIO'!$G$15:$G$214,0)),IFERROR(INDEX('CALENDARIO'!$C$15:$C$214,MATCH(TEXT($I449,"yyyy-mm-dd")&amp;"||",'CALENDARIO'!$G$15:$G$214,0)),INDEX(patronHabil,WEEKDAY($I449,2)))))</f>
        <v/>
      </c>
    </row>
    <row r="450">
      <c r="I450" s="11" t="n">
        <v>46468</v>
      </c>
      <c r="J450" s="3">
        <f>IFERROR(INDEX('CALENDARIO'!$C$15:$C$214,MATCH(TEXT($I450,"yyyy-mm-dd")&amp;"|"&amp;""&amp;"|"&amp;"",'CALENDARIO'!$G$15:$G$214,0)),IFERROR(INDEX('CALENDARIO'!$C$15:$C$214,MATCH(TEXT($I450,"yyyy-mm-dd")&amp;"|"&amp;""&amp;"|",'CALENDARIO'!$G$15:$G$214,0)),IFERROR(INDEX('CALENDARIO'!$C$15:$C$214,MATCH(TEXT($I450,"yyyy-mm-dd")&amp;"||",'CALENDARIO'!$G$15:$G$214,0)),INDEX(patronHabil,WEEKDAY($I450,2)))))</f>
        <v/>
      </c>
    </row>
    <row r="451">
      <c r="I451" s="11" t="n">
        <v>46469</v>
      </c>
      <c r="J451" s="3">
        <f>IFERROR(INDEX('CALENDARIO'!$C$15:$C$214,MATCH(TEXT($I451,"yyyy-mm-dd")&amp;"|"&amp;""&amp;"|"&amp;"",'CALENDARIO'!$G$15:$G$214,0)),IFERROR(INDEX('CALENDARIO'!$C$15:$C$214,MATCH(TEXT($I451,"yyyy-mm-dd")&amp;"|"&amp;""&amp;"|",'CALENDARIO'!$G$15:$G$214,0)),IFERROR(INDEX('CALENDARIO'!$C$15:$C$214,MATCH(TEXT($I451,"yyyy-mm-dd")&amp;"||",'CALENDARIO'!$G$15:$G$214,0)),INDEX(patronHabil,WEEKDAY($I451,2)))))</f>
        <v/>
      </c>
    </row>
    <row r="452">
      <c r="I452" s="11" t="n">
        <v>46470</v>
      </c>
      <c r="J452" s="3">
        <f>IFERROR(INDEX('CALENDARIO'!$C$15:$C$214,MATCH(TEXT($I452,"yyyy-mm-dd")&amp;"|"&amp;""&amp;"|"&amp;"",'CALENDARIO'!$G$15:$G$214,0)),IFERROR(INDEX('CALENDARIO'!$C$15:$C$214,MATCH(TEXT($I452,"yyyy-mm-dd")&amp;"|"&amp;""&amp;"|",'CALENDARIO'!$G$15:$G$214,0)),IFERROR(INDEX('CALENDARIO'!$C$15:$C$214,MATCH(TEXT($I452,"yyyy-mm-dd")&amp;"||",'CALENDARIO'!$G$15:$G$214,0)),INDEX(patronHabil,WEEKDAY($I452,2)))))</f>
        <v/>
      </c>
    </row>
    <row r="453">
      <c r="I453" s="11" t="n">
        <v>46471</v>
      </c>
      <c r="J453" s="3">
        <f>IFERROR(INDEX('CALENDARIO'!$C$15:$C$214,MATCH(TEXT($I453,"yyyy-mm-dd")&amp;"|"&amp;""&amp;"|"&amp;"",'CALENDARIO'!$G$15:$G$214,0)),IFERROR(INDEX('CALENDARIO'!$C$15:$C$214,MATCH(TEXT($I453,"yyyy-mm-dd")&amp;"|"&amp;""&amp;"|",'CALENDARIO'!$G$15:$G$214,0)),IFERROR(INDEX('CALENDARIO'!$C$15:$C$214,MATCH(TEXT($I453,"yyyy-mm-dd")&amp;"||",'CALENDARIO'!$G$15:$G$214,0)),INDEX(patronHabil,WEEKDAY($I453,2)))))</f>
        <v/>
      </c>
    </row>
    <row r="454">
      <c r="I454" s="11" t="n">
        <v>46472</v>
      </c>
      <c r="J454" s="3">
        <f>IFERROR(INDEX('CALENDARIO'!$C$15:$C$214,MATCH(TEXT($I454,"yyyy-mm-dd")&amp;"|"&amp;""&amp;"|"&amp;"",'CALENDARIO'!$G$15:$G$214,0)),IFERROR(INDEX('CALENDARIO'!$C$15:$C$214,MATCH(TEXT($I454,"yyyy-mm-dd")&amp;"|"&amp;""&amp;"|",'CALENDARIO'!$G$15:$G$214,0)),IFERROR(INDEX('CALENDARIO'!$C$15:$C$214,MATCH(TEXT($I454,"yyyy-mm-dd")&amp;"||",'CALENDARIO'!$G$15:$G$214,0)),INDEX(patronHabil,WEEKDAY($I454,2)))))</f>
        <v/>
      </c>
    </row>
    <row r="455">
      <c r="I455" s="11" t="n">
        <v>46473</v>
      </c>
      <c r="J455" s="3">
        <f>IFERROR(INDEX('CALENDARIO'!$C$15:$C$214,MATCH(TEXT($I455,"yyyy-mm-dd")&amp;"|"&amp;""&amp;"|"&amp;"",'CALENDARIO'!$G$15:$G$214,0)),IFERROR(INDEX('CALENDARIO'!$C$15:$C$214,MATCH(TEXT($I455,"yyyy-mm-dd")&amp;"|"&amp;""&amp;"|",'CALENDARIO'!$G$15:$G$214,0)),IFERROR(INDEX('CALENDARIO'!$C$15:$C$214,MATCH(TEXT($I455,"yyyy-mm-dd")&amp;"||",'CALENDARIO'!$G$15:$G$214,0)),INDEX(patronHabil,WEEKDAY($I455,2)))))</f>
        <v/>
      </c>
    </row>
    <row r="456">
      <c r="I456" s="11" t="n">
        <v>46474</v>
      </c>
      <c r="J456" s="3">
        <f>IFERROR(INDEX('CALENDARIO'!$C$15:$C$214,MATCH(TEXT($I456,"yyyy-mm-dd")&amp;"|"&amp;""&amp;"|"&amp;"",'CALENDARIO'!$G$15:$G$214,0)),IFERROR(INDEX('CALENDARIO'!$C$15:$C$214,MATCH(TEXT($I456,"yyyy-mm-dd")&amp;"|"&amp;""&amp;"|",'CALENDARIO'!$G$15:$G$214,0)),IFERROR(INDEX('CALENDARIO'!$C$15:$C$214,MATCH(TEXT($I456,"yyyy-mm-dd")&amp;"||",'CALENDARIO'!$G$15:$G$214,0)),INDEX(patronHabil,WEEKDAY($I456,2)))))</f>
        <v/>
      </c>
    </row>
    <row r="457">
      <c r="I457" s="11" t="n">
        <v>46475</v>
      </c>
      <c r="J457" s="3">
        <f>IFERROR(INDEX('CALENDARIO'!$C$15:$C$214,MATCH(TEXT($I457,"yyyy-mm-dd")&amp;"|"&amp;""&amp;"|"&amp;"",'CALENDARIO'!$G$15:$G$214,0)),IFERROR(INDEX('CALENDARIO'!$C$15:$C$214,MATCH(TEXT($I457,"yyyy-mm-dd")&amp;"|"&amp;""&amp;"|",'CALENDARIO'!$G$15:$G$214,0)),IFERROR(INDEX('CALENDARIO'!$C$15:$C$214,MATCH(TEXT($I457,"yyyy-mm-dd")&amp;"||",'CALENDARIO'!$G$15:$G$214,0)),INDEX(patronHabil,WEEKDAY($I457,2)))))</f>
        <v/>
      </c>
    </row>
    <row r="458">
      <c r="I458" s="11" t="n">
        <v>46476</v>
      </c>
      <c r="J458" s="3">
        <f>IFERROR(INDEX('CALENDARIO'!$C$15:$C$214,MATCH(TEXT($I458,"yyyy-mm-dd")&amp;"|"&amp;""&amp;"|"&amp;"",'CALENDARIO'!$G$15:$G$214,0)),IFERROR(INDEX('CALENDARIO'!$C$15:$C$214,MATCH(TEXT($I458,"yyyy-mm-dd")&amp;"|"&amp;""&amp;"|",'CALENDARIO'!$G$15:$G$214,0)),IFERROR(INDEX('CALENDARIO'!$C$15:$C$214,MATCH(TEXT($I458,"yyyy-mm-dd")&amp;"||",'CALENDARIO'!$G$15:$G$214,0)),INDEX(patronHabil,WEEKDAY($I458,2)))))</f>
        <v/>
      </c>
    </row>
    <row r="459">
      <c r="I459" s="11" t="n">
        <v>46477</v>
      </c>
      <c r="J459" s="3">
        <f>IFERROR(INDEX('CALENDARIO'!$C$15:$C$214,MATCH(TEXT($I459,"yyyy-mm-dd")&amp;"|"&amp;""&amp;"|"&amp;"",'CALENDARIO'!$G$15:$G$214,0)),IFERROR(INDEX('CALENDARIO'!$C$15:$C$214,MATCH(TEXT($I459,"yyyy-mm-dd")&amp;"|"&amp;""&amp;"|",'CALENDARIO'!$G$15:$G$214,0)),IFERROR(INDEX('CALENDARIO'!$C$15:$C$214,MATCH(TEXT($I459,"yyyy-mm-dd")&amp;"||",'CALENDARIO'!$G$15:$G$214,0)),INDEX(patronHabil,WEEKDAY($I459,2)))))</f>
        <v/>
      </c>
    </row>
    <row r="460">
      <c r="I460" s="11" t="n">
        <v>46478</v>
      </c>
      <c r="J460" s="3">
        <f>IFERROR(INDEX('CALENDARIO'!$C$15:$C$214,MATCH(TEXT($I460,"yyyy-mm-dd")&amp;"|"&amp;""&amp;"|"&amp;"",'CALENDARIO'!$G$15:$G$214,0)),IFERROR(INDEX('CALENDARIO'!$C$15:$C$214,MATCH(TEXT($I460,"yyyy-mm-dd")&amp;"|"&amp;""&amp;"|",'CALENDARIO'!$G$15:$G$214,0)),IFERROR(INDEX('CALENDARIO'!$C$15:$C$214,MATCH(TEXT($I460,"yyyy-mm-dd")&amp;"||",'CALENDARIO'!$G$15:$G$214,0)),INDEX(patronHabil,WEEKDAY($I460,2)))))</f>
        <v/>
      </c>
    </row>
    <row r="461">
      <c r="I461" s="11" t="n">
        <v>46479</v>
      </c>
      <c r="J461" s="3">
        <f>IFERROR(INDEX('CALENDARIO'!$C$15:$C$214,MATCH(TEXT($I461,"yyyy-mm-dd")&amp;"|"&amp;""&amp;"|"&amp;"",'CALENDARIO'!$G$15:$G$214,0)),IFERROR(INDEX('CALENDARIO'!$C$15:$C$214,MATCH(TEXT($I461,"yyyy-mm-dd")&amp;"|"&amp;""&amp;"|",'CALENDARIO'!$G$15:$G$214,0)),IFERROR(INDEX('CALENDARIO'!$C$15:$C$214,MATCH(TEXT($I461,"yyyy-mm-dd")&amp;"||",'CALENDARIO'!$G$15:$G$214,0)),INDEX(patronHabil,WEEKDAY($I461,2)))))</f>
        <v/>
      </c>
    </row>
    <row r="462">
      <c r="I462" s="11" t="n">
        <v>46480</v>
      </c>
      <c r="J462" s="3">
        <f>IFERROR(INDEX('CALENDARIO'!$C$15:$C$214,MATCH(TEXT($I462,"yyyy-mm-dd")&amp;"|"&amp;""&amp;"|"&amp;"",'CALENDARIO'!$G$15:$G$214,0)),IFERROR(INDEX('CALENDARIO'!$C$15:$C$214,MATCH(TEXT($I462,"yyyy-mm-dd")&amp;"|"&amp;""&amp;"|",'CALENDARIO'!$G$15:$G$214,0)),IFERROR(INDEX('CALENDARIO'!$C$15:$C$214,MATCH(TEXT($I462,"yyyy-mm-dd")&amp;"||",'CALENDARIO'!$G$15:$G$214,0)),INDEX(patronHabil,WEEKDAY($I462,2)))))</f>
        <v/>
      </c>
    </row>
    <row r="463">
      <c r="I463" s="11" t="n">
        <v>46481</v>
      </c>
      <c r="J463" s="3">
        <f>IFERROR(INDEX('CALENDARIO'!$C$15:$C$214,MATCH(TEXT($I463,"yyyy-mm-dd")&amp;"|"&amp;""&amp;"|"&amp;"",'CALENDARIO'!$G$15:$G$214,0)),IFERROR(INDEX('CALENDARIO'!$C$15:$C$214,MATCH(TEXT($I463,"yyyy-mm-dd")&amp;"|"&amp;""&amp;"|",'CALENDARIO'!$G$15:$G$214,0)),IFERROR(INDEX('CALENDARIO'!$C$15:$C$214,MATCH(TEXT($I463,"yyyy-mm-dd")&amp;"||",'CALENDARIO'!$G$15:$G$214,0)),INDEX(patronHabil,WEEKDAY($I463,2)))))</f>
        <v/>
      </c>
    </row>
    <row r="464">
      <c r="I464" s="11" t="n">
        <v>46482</v>
      </c>
      <c r="J464" s="3">
        <f>IFERROR(INDEX('CALENDARIO'!$C$15:$C$214,MATCH(TEXT($I464,"yyyy-mm-dd")&amp;"|"&amp;""&amp;"|"&amp;"",'CALENDARIO'!$G$15:$G$214,0)),IFERROR(INDEX('CALENDARIO'!$C$15:$C$214,MATCH(TEXT($I464,"yyyy-mm-dd")&amp;"|"&amp;""&amp;"|",'CALENDARIO'!$G$15:$G$214,0)),IFERROR(INDEX('CALENDARIO'!$C$15:$C$214,MATCH(TEXT($I464,"yyyy-mm-dd")&amp;"||",'CALENDARIO'!$G$15:$G$214,0)),INDEX(patronHabil,WEEKDAY($I464,2)))))</f>
        <v/>
      </c>
    </row>
    <row r="465">
      <c r="I465" s="11" t="n">
        <v>46483</v>
      </c>
      <c r="J465" s="3">
        <f>IFERROR(INDEX('CALENDARIO'!$C$15:$C$214,MATCH(TEXT($I465,"yyyy-mm-dd")&amp;"|"&amp;""&amp;"|"&amp;"",'CALENDARIO'!$G$15:$G$214,0)),IFERROR(INDEX('CALENDARIO'!$C$15:$C$214,MATCH(TEXT($I465,"yyyy-mm-dd")&amp;"|"&amp;""&amp;"|",'CALENDARIO'!$G$15:$G$214,0)),IFERROR(INDEX('CALENDARIO'!$C$15:$C$214,MATCH(TEXT($I465,"yyyy-mm-dd")&amp;"||",'CALENDARIO'!$G$15:$G$214,0)),INDEX(patronHabil,WEEKDAY($I465,2)))))</f>
        <v/>
      </c>
    </row>
    <row r="466">
      <c r="I466" s="11" t="n">
        <v>46484</v>
      </c>
      <c r="J466" s="3">
        <f>IFERROR(INDEX('CALENDARIO'!$C$15:$C$214,MATCH(TEXT($I466,"yyyy-mm-dd")&amp;"|"&amp;""&amp;"|"&amp;"",'CALENDARIO'!$G$15:$G$214,0)),IFERROR(INDEX('CALENDARIO'!$C$15:$C$214,MATCH(TEXT($I466,"yyyy-mm-dd")&amp;"|"&amp;""&amp;"|",'CALENDARIO'!$G$15:$G$214,0)),IFERROR(INDEX('CALENDARIO'!$C$15:$C$214,MATCH(TEXT($I466,"yyyy-mm-dd")&amp;"||",'CALENDARIO'!$G$15:$G$214,0)),INDEX(patronHabil,WEEKDAY($I466,2)))))</f>
        <v/>
      </c>
    </row>
    <row r="467">
      <c r="I467" s="11" t="n">
        <v>46485</v>
      </c>
      <c r="J467" s="3">
        <f>IFERROR(INDEX('CALENDARIO'!$C$15:$C$214,MATCH(TEXT($I467,"yyyy-mm-dd")&amp;"|"&amp;""&amp;"|"&amp;"",'CALENDARIO'!$G$15:$G$214,0)),IFERROR(INDEX('CALENDARIO'!$C$15:$C$214,MATCH(TEXT($I467,"yyyy-mm-dd")&amp;"|"&amp;""&amp;"|",'CALENDARIO'!$G$15:$G$214,0)),IFERROR(INDEX('CALENDARIO'!$C$15:$C$214,MATCH(TEXT($I467,"yyyy-mm-dd")&amp;"||",'CALENDARIO'!$G$15:$G$214,0)),INDEX(patronHabil,WEEKDAY($I467,2)))))</f>
        <v/>
      </c>
    </row>
    <row r="468">
      <c r="I468" s="11" t="n">
        <v>46486</v>
      </c>
      <c r="J468" s="3">
        <f>IFERROR(INDEX('CALENDARIO'!$C$15:$C$214,MATCH(TEXT($I468,"yyyy-mm-dd")&amp;"|"&amp;""&amp;"|"&amp;"",'CALENDARIO'!$G$15:$G$214,0)),IFERROR(INDEX('CALENDARIO'!$C$15:$C$214,MATCH(TEXT($I468,"yyyy-mm-dd")&amp;"|"&amp;""&amp;"|",'CALENDARIO'!$G$15:$G$214,0)),IFERROR(INDEX('CALENDARIO'!$C$15:$C$214,MATCH(TEXT($I468,"yyyy-mm-dd")&amp;"||",'CALENDARIO'!$G$15:$G$214,0)),INDEX(patronHabil,WEEKDAY($I468,2)))))</f>
        <v/>
      </c>
    </row>
    <row r="469">
      <c r="I469" s="11" t="n">
        <v>46487</v>
      </c>
      <c r="J469" s="3">
        <f>IFERROR(INDEX('CALENDARIO'!$C$15:$C$214,MATCH(TEXT($I469,"yyyy-mm-dd")&amp;"|"&amp;""&amp;"|"&amp;"",'CALENDARIO'!$G$15:$G$214,0)),IFERROR(INDEX('CALENDARIO'!$C$15:$C$214,MATCH(TEXT($I469,"yyyy-mm-dd")&amp;"|"&amp;""&amp;"|",'CALENDARIO'!$G$15:$G$214,0)),IFERROR(INDEX('CALENDARIO'!$C$15:$C$214,MATCH(TEXT($I469,"yyyy-mm-dd")&amp;"||",'CALENDARIO'!$G$15:$G$214,0)),INDEX(patronHabil,WEEKDAY($I469,2)))))</f>
        <v/>
      </c>
    </row>
    <row r="470">
      <c r="I470" s="11" t="n">
        <v>46488</v>
      </c>
      <c r="J470" s="3">
        <f>IFERROR(INDEX('CALENDARIO'!$C$15:$C$214,MATCH(TEXT($I470,"yyyy-mm-dd")&amp;"|"&amp;""&amp;"|"&amp;"",'CALENDARIO'!$G$15:$G$214,0)),IFERROR(INDEX('CALENDARIO'!$C$15:$C$214,MATCH(TEXT($I470,"yyyy-mm-dd")&amp;"|"&amp;""&amp;"|",'CALENDARIO'!$G$15:$G$214,0)),IFERROR(INDEX('CALENDARIO'!$C$15:$C$214,MATCH(TEXT($I470,"yyyy-mm-dd")&amp;"||",'CALENDARIO'!$G$15:$G$214,0)),INDEX(patronHabil,WEEKDAY($I470,2)))))</f>
        <v/>
      </c>
    </row>
    <row r="471">
      <c r="I471" s="11" t="n">
        <v>46489</v>
      </c>
      <c r="J471" s="3">
        <f>IFERROR(INDEX('CALENDARIO'!$C$15:$C$214,MATCH(TEXT($I471,"yyyy-mm-dd")&amp;"|"&amp;""&amp;"|"&amp;"",'CALENDARIO'!$G$15:$G$214,0)),IFERROR(INDEX('CALENDARIO'!$C$15:$C$214,MATCH(TEXT($I471,"yyyy-mm-dd")&amp;"|"&amp;""&amp;"|",'CALENDARIO'!$G$15:$G$214,0)),IFERROR(INDEX('CALENDARIO'!$C$15:$C$214,MATCH(TEXT($I471,"yyyy-mm-dd")&amp;"||",'CALENDARIO'!$G$15:$G$214,0)),INDEX(patronHabil,WEEKDAY($I471,2)))))</f>
        <v/>
      </c>
    </row>
    <row r="472">
      <c r="I472" s="11" t="n">
        <v>46490</v>
      </c>
      <c r="J472" s="3">
        <f>IFERROR(INDEX('CALENDARIO'!$C$15:$C$214,MATCH(TEXT($I472,"yyyy-mm-dd")&amp;"|"&amp;""&amp;"|"&amp;"",'CALENDARIO'!$G$15:$G$214,0)),IFERROR(INDEX('CALENDARIO'!$C$15:$C$214,MATCH(TEXT($I472,"yyyy-mm-dd")&amp;"|"&amp;""&amp;"|",'CALENDARIO'!$G$15:$G$214,0)),IFERROR(INDEX('CALENDARIO'!$C$15:$C$214,MATCH(TEXT($I472,"yyyy-mm-dd")&amp;"||",'CALENDARIO'!$G$15:$G$214,0)),INDEX(patronHabil,WEEKDAY($I472,2)))))</f>
        <v/>
      </c>
    </row>
    <row r="473">
      <c r="I473" s="11" t="n">
        <v>46491</v>
      </c>
      <c r="J473" s="3">
        <f>IFERROR(INDEX('CALENDARIO'!$C$15:$C$214,MATCH(TEXT($I473,"yyyy-mm-dd")&amp;"|"&amp;""&amp;"|"&amp;"",'CALENDARIO'!$G$15:$G$214,0)),IFERROR(INDEX('CALENDARIO'!$C$15:$C$214,MATCH(TEXT($I473,"yyyy-mm-dd")&amp;"|"&amp;""&amp;"|",'CALENDARIO'!$G$15:$G$214,0)),IFERROR(INDEX('CALENDARIO'!$C$15:$C$214,MATCH(TEXT($I473,"yyyy-mm-dd")&amp;"||",'CALENDARIO'!$G$15:$G$214,0)),INDEX(patronHabil,WEEKDAY($I473,2)))))</f>
        <v/>
      </c>
    </row>
    <row r="474">
      <c r="I474" s="11" t="n">
        <v>46492</v>
      </c>
      <c r="J474" s="3">
        <f>IFERROR(INDEX('CALENDARIO'!$C$15:$C$214,MATCH(TEXT($I474,"yyyy-mm-dd")&amp;"|"&amp;""&amp;"|"&amp;"",'CALENDARIO'!$G$15:$G$214,0)),IFERROR(INDEX('CALENDARIO'!$C$15:$C$214,MATCH(TEXT($I474,"yyyy-mm-dd")&amp;"|"&amp;""&amp;"|",'CALENDARIO'!$G$15:$G$214,0)),IFERROR(INDEX('CALENDARIO'!$C$15:$C$214,MATCH(TEXT($I474,"yyyy-mm-dd")&amp;"||",'CALENDARIO'!$G$15:$G$214,0)),INDEX(patronHabil,WEEKDAY($I474,2)))))</f>
        <v/>
      </c>
    </row>
    <row r="475">
      <c r="I475" s="11" t="n">
        <v>46493</v>
      </c>
      <c r="J475" s="3">
        <f>IFERROR(INDEX('CALENDARIO'!$C$15:$C$214,MATCH(TEXT($I475,"yyyy-mm-dd")&amp;"|"&amp;""&amp;"|"&amp;"",'CALENDARIO'!$G$15:$G$214,0)),IFERROR(INDEX('CALENDARIO'!$C$15:$C$214,MATCH(TEXT($I475,"yyyy-mm-dd")&amp;"|"&amp;""&amp;"|",'CALENDARIO'!$G$15:$G$214,0)),IFERROR(INDEX('CALENDARIO'!$C$15:$C$214,MATCH(TEXT($I475,"yyyy-mm-dd")&amp;"||",'CALENDARIO'!$G$15:$G$214,0)),INDEX(patronHabil,WEEKDAY($I475,2)))))</f>
        <v/>
      </c>
    </row>
    <row r="476">
      <c r="I476" s="11" t="n">
        <v>46494</v>
      </c>
      <c r="J476" s="3">
        <f>IFERROR(INDEX('CALENDARIO'!$C$15:$C$214,MATCH(TEXT($I476,"yyyy-mm-dd")&amp;"|"&amp;""&amp;"|"&amp;"",'CALENDARIO'!$G$15:$G$214,0)),IFERROR(INDEX('CALENDARIO'!$C$15:$C$214,MATCH(TEXT($I476,"yyyy-mm-dd")&amp;"|"&amp;""&amp;"|",'CALENDARIO'!$G$15:$G$214,0)),IFERROR(INDEX('CALENDARIO'!$C$15:$C$214,MATCH(TEXT($I476,"yyyy-mm-dd")&amp;"||",'CALENDARIO'!$G$15:$G$214,0)),INDEX(patronHabil,WEEKDAY($I476,2)))))</f>
        <v/>
      </c>
    </row>
    <row r="477">
      <c r="I477" s="11" t="n">
        <v>46495</v>
      </c>
      <c r="J477" s="3">
        <f>IFERROR(INDEX('CALENDARIO'!$C$15:$C$214,MATCH(TEXT($I477,"yyyy-mm-dd")&amp;"|"&amp;""&amp;"|"&amp;"",'CALENDARIO'!$G$15:$G$214,0)),IFERROR(INDEX('CALENDARIO'!$C$15:$C$214,MATCH(TEXT($I477,"yyyy-mm-dd")&amp;"|"&amp;""&amp;"|",'CALENDARIO'!$G$15:$G$214,0)),IFERROR(INDEX('CALENDARIO'!$C$15:$C$214,MATCH(TEXT($I477,"yyyy-mm-dd")&amp;"||",'CALENDARIO'!$G$15:$G$214,0)),INDEX(patronHabil,WEEKDAY($I477,2)))))</f>
        <v/>
      </c>
    </row>
    <row r="478">
      <c r="I478" s="11" t="n">
        <v>46496</v>
      </c>
      <c r="J478" s="3">
        <f>IFERROR(INDEX('CALENDARIO'!$C$15:$C$214,MATCH(TEXT($I478,"yyyy-mm-dd")&amp;"|"&amp;""&amp;"|"&amp;"",'CALENDARIO'!$G$15:$G$214,0)),IFERROR(INDEX('CALENDARIO'!$C$15:$C$214,MATCH(TEXT($I478,"yyyy-mm-dd")&amp;"|"&amp;""&amp;"|",'CALENDARIO'!$G$15:$G$214,0)),IFERROR(INDEX('CALENDARIO'!$C$15:$C$214,MATCH(TEXT($I478,"yyyy-mm-dd")&amp;"||",'CALENDARIO'!$G$15:$G$214,0)),INDEX(patronHabil,WEEKDAY($I478,2)))))</f>
        <v/>
      </c>
    </row>
    <row r="479">
      <c r="I479" s="11" t="n">
        <v>46497</v>
      </c>
      <c r="J479" s="3">
        <f>IFERROR(INDEX('CALENDARIO'!$C$15:$C$214,MATCH(TEXT($I479,"yyyy-mm-dd")&amp;"|"&amp;""&amp;"|"&amp;"",'CALENDARIO'!$G$15:$G$214,0)),IFERROR(INDEX('CALENDARIO'!$C$15:$C$214,MATCH(TEXT($I479,"yyyy-mm-dd")&amp;"|"&amp;""&amp;"|",'CALENDARIO'!$G$15:$G$214,0)),IFERROR(INDEX('CALENDARIO'!$C$15:$C$214,MATCH(TEXT($I479,"yyyy-mm-dd")&amp;"||",'CALENDARIO'!$G$15:$G$214,0)),INDEX(patronHabil,WEEKDAY($I479,2)))))</f>
        <v/>
      </c>
    </row>
    <row r="480">
      <c r="I480" s="11" t="n">
        <v>46498</v>
      </c>
      <c r="J480" s="3">
        <f>IFERROR(INDEX('CALENDARIO'!$C$15:$C$214,MATCH(TEXT($I480,"yyyy-mm-dd")&amp;"|"&amp;""&amp;"|"&amp;"",'CALENDARIO'!$G$15:$G$214,0)),IFERROR(INDEX('CALENDARIO'!$C$15:$C$214,MATCH(TEXT($I480,"yyyy-mm-dd")&amp;"|"&amp;""&amp;"|",'CALENDARIO'!$G$15:$G$214,0)),IFERROR(INDEX('CALENDARIO'!$C$15:$C$214,MATCH(TEXT($I480,"yyyy-mm-dd")&amp;"||",'CALENDARIO'!$G$15:$G$214,0)),INDEX(patronHabil,WEEKDAY($I480,2)))))</f>
        <v/>
      </c>
    </row>
    <row r="481">
      <c r="I481" s="11" t="n">
        <v>46499</v>
      </c>
      <c r="J481" s="3">
        <f>IFERROR(INDEX('CALENDARIO'!$C$15:$C$214,MATCH(TEXT($I481,"yyyy-mm-dd")&amp;"|"&amp;""&amp;"|"&amp;"",'CALENDARIO'!$G$15:$G$214,0)),IFERROR(INDEX('CALENDARIO'!$C$15:$C$214,MATCH(TEXT($I481,"yyyy-mm-dd")&amp;"|"&amp;""&amp;"|",'CALENDARIO'!$G$15:$G$214,0)),IFERROR(INDEX('CALENDARIO'!$C$15:$C$214,MATCH(TEXT($I481,"yyyy-mm-dd")&amp;"||",'CALENDARIO'!$G$15:$G$214,0)),INDEX(patronHabil,WEEKDAY($I481,2)))))</f>
        <v/>
      </c>
    </row>
    <row r="482">
      <c r="I482" s="11" t="n">
        <v>46500</v>
      </c>
      <c r="J482" s="3">
        <f>IFERROR(INDEX('CALENDARIO'!$C$15:$C$214,MATCH(TEXT($I482,"yyyy-mm-dd")&amp;"|"&amp;""&amp;"|"&amp;"",'CALENDARIO'!$G$15:$G$214,0)),IFERROR(INDEX('CALENDARIO'!$C$15:$C$214,MATCH(TEXT($I482,"yyyy-mm-dd")&amp;"|"&amp;""&amp;"|",'CALENDARIO'!$G$15:$G$214,0)),IFERROR(INDEX('CALENDARIO'!$C$15:$C$214,MATCH(TEXT($I482,"yyyy-mm-dd")&amp;"||",'CALENDARIO'!$G$15:$G$214,0)),INDEX(patronHabil,WEEKDAY($I482,2)))))</f>
        <v/>
      </c>
    </row>
    <row r="483">
      <c r="I483" s="11" t="n">
        <v>46501</v>
      </c>
      <c r="J483" s="3">
        <f>IFERROR(INDEX('CALENDARIO'!$C$15:$C$214,MATCH(TEXT($I483,"yyyy-mm-dd")&amp;"|"&amp;""&amp;"|"&amp;"",'CALENDARIO'!$G$15:$G$214,0)),IFERROR(INDEX('CALENDARIO'!$C$15:$C$214,MATCH(TEXT($I483,"yyyy-mm-dd")&amp;"|"&amp;""&amp;"|",'CALENDARIO'!$G$15:$G$214,0)),IFERROR(INDEX('CALENDARIO'!$C$15:$C$214,MATCH(TEXT($I483,"yyyy-mm-dd")&amp;"||",'CALENDARIO'!$G$15:$G$214,0)),INDEX(patronHabil,WEEKDAY($I483,2)))))</f>
        <v/>
      </c>
    </row>
    <row r="484">
      <c r="I484" s="11" t="n">
        <v>46502</v>
      </c>
      <c r="J484" s="3">
        <f>IFERROR(INDEX('CALENDARIO'!$C$15:$C$214,MATCH(TEXT($I484,"yyyy-mm-dd")&amp;"|"&amp;""&amp;"|"&amp;"",'CALENDARIO'!$G$15:$G$214,0)),IFERROR(INDEX('CALENDARIO'!$C$15:$C$214,MATCH(TEXT($I484,"yyyy-mm-dd")&amp;"|"&amp;""&amp;"|",'CALENDARIO'!$G$15:$G$214,0)),IFERROR(INDEX('CALENDARIO'!$C$15:$C$214,MATCH(TEXT($I484,"yyyy-mm-dd")&amp;"||",'CALENDARIO'!$G$15:$G$214,0)),INDEX(patronHabil,WEEKDAY($I484,2)))))</f>
        <v/>
      </c>
    </row>
    <row r="485">
      <c r="I485" s="11" t="n">
        <v>46503</v>
      </c>
      <c r="J485" s="3">
        <f>IFERROR(INDEX('CALENDARIO'!$C$15:$C$214,MATCH(TEXT($I485,"yyyy-mm-dd")&amp;"|"&amp;""&amp;"|"&amp;"",'CALENDARIO'!$G$15:$G$214,0)),IFERROR(INDEX('CALENDARIO'!$C$15:$C$214,MATCH(TEXT($I485,"yyyy-mm-dd")&amp;"|"&amp;""&amp;"|",'CALENDARIO'!$G$15:$G$214,0)),IFERROR(INDEX('CALENDARIO'!$C$15:$C$214,MATCH(TEXT($I485,"yyyy-mm-dd")&amp;"||",'CALENDARIO'!$G$15:$G$214,0)),INDEX(patronHabil,WEEKDAY($I485,2)))))</f>
        <v/>
      </c>
    </row>
    <row r="486">
      <c r="I486" s="11" t="n">
        <v>46504</v>
      </c>
      <c r="J486" s="3">
        <f>IFERROR(INDEX('CALENDARIO'!$C$15:$C$214,MATCH(TEXT($I486,"yyyy-mm-dd")&amp;"|"&amp;""&amp;"|"&amp;"",'CALENDARIO'!$G$15:$G$214,0)),IFERROR(INDEX('CALENDARIO'!$C$15:$C$214,MATCH(TEXT($I486,"yyyy-mm-dd")&amp;"|"&amp;""&amp;"|",'CALENDARIO'!$G$15:$G$214,0)),IFERROR(INDEX('CALENDARIO'!$C$15:$C$214,MATCH(TEXT($I486,"yyyy-mm-dd")&amp;"||",'CALENDARIO'!$G$15:$G$214,0)),INDEX(patronHabil,WEEKDAY($I486,2)))))</f>
        <v/>
      </c>
    </row>
    <row r="487">
      <c r="I487" s="11" t="n">
        <v>46505</v>
      </c>
      <c r="J487" s="3">
        <f>IFERROR(INDEX('CALENDARIO'!$C$15:$C$214,MATCH(TEXT($I487,"yyyy-mm-dd")&amp;"|"&amp;""&amp;"|"&amp;"",'CALENDARIO'!$G$15:$G$214,0)),IFERROR(INDEX('CALENDARIO'!$C$15:$C$214,MATCH(TEXT($I487,"yyyy-mm-dd")&amp;"|"&amp;""&amp;"|",'CALENDARIO'!$G$15:$G$214,0)),IFERROR(INDEX('CALENDARIO'!$C$15:$C$214,MATCH(TEXT($I487,"yyyy-mm-dd")&amp;"||",'CALENDARIO'!$G$15:$G$214,0)),INDEX(patronHabil,WEEKDAY($I487,2)))))</f>
        <v/>
      </c>
    </row>
    <row r="488">
      <c r="I488" s="11" t="n">
        <v>46506</v>
      </c>
      <c r="J488" s="3">
        <f>IFERROR(INDEX('CALENDARIO'!$C$15:$C$214,MATCH(TEXT($I488,"yyyy-mm-dd")&amp;"|"&amp;""&amp;"|"&amp;"",'CALENDARIO'!$G$15:$G$214,0)),IFERROR(INDEX('CALENDARIO'!$C$15:$C$214,MATCH(TEXT($I488,"yyyy-mm-dd")&amp;"|"&amp;""&amp;"|",'CALENDARIO'!$G$15:$G$214,0)),IFERROR(INDEX('CALENDARIO'!$C$15:$C$214,MATCH(TEXT($I488,"yyyy-mm-dd")&amp;"||",'CALENDARIO'!$G$15:$G$214,0)),INDEX(patronHabil,WEEKDAY($I488,2)))))</f>
        <v/>
      </c>
    </row>
    <row r="489">
      <c r="I489" s="11" t="n">
        <v>46507</v>
      </c>
      <c r="J489" s="3">
        <f>IFERROR(INDEX('CALENDARIO'!$C$15:$C$214,MATCH(TEXT($I489,"yyyy-mm-dd")&amp;"|"&amp;""&amp;"|"&amp;"",'CALENDARIO'!$G$15:$G$214,0)),IFERROR(INDEX('CALENDARIO'!$C$15:$C$214,MATCH(TEXT($I489,"yyyy-mm-dd")&amp;"|"&amp;""&amp;"|",'CALENDARIO'!$G$15:$G$214,0)),IFERROR(INDEX('CALENDARIO'!$C$15:$C$214,MATCH(TEXT($I489,"yyyy-mm-dd")&amp;"||",'CALENDARIO'!$G$15:$G$214,0)),INDEX(patronHabil,WEEKDAY($I489,2)))))</f>
        <v/>
      </c>
    </row>
    <row r="490">
      <c r="I490" s="11" t="n">
        <v>46508</v>
      </c>
      <c r="J490" s="3">
        <f>IFERROR(INDEX('CALENDARIO'!$C$15:$C$214,MATCH(TEXT($I490,"yyyy-mm-dd")&amp;"|"&amp;""&amp;"|"&amp;"",'CALENDARIO'!$G$15:$G$214,0)),IFERROR(INDEX('CALENDARIO'!$C$15:$C$214,MATCH(TEXT($I490,"yyyy-mm-dd")&amp;"|"&amp;""&amp;"|",'CALENDARIO'!$G$15:$G$214,0)),IFERROR(INDEX('CALENDARIO'!$C$15:$C$214,MATCH(TEXT($I490,"yyyy-mm-dd")&amp;"||",'CALENDARIO'!$G$15:$G$214,0)),INDEX(patronHabil,WEEKDAY($I490,2)))))</f>
        <v/>
      </c>
    </row>
    <row r="491">
      <c r="I491" s="11" t="n">
        <v>46509</v>
      </c>
      <c r="J491" s="3">
        <f>IFERROR(INDEX('CALENDARIO'!$C$15:$C$214,MATCH(TEXT($I491,"yyyy-mm-dd")&amp;"|"&amp;""&amp;"|"&amp;"",'CALENDARIO'!$G$15:$G$214,0)),IFERROR(INDEX('CALENDARIO'!$C$15:$C$214,MATCH(TEXT($I491,"yyyy-mm-dd")&amp;"|"&amp;""&amp;"|",'CALENDARIO'!$G$15:$G$214,0)),IFERROR(INDEX('CALENDARIO'!$C$15:$C$214,MATCH(TEXT($I491,"yyyy-mm-dd")&amp;"||",'CALENDARIO'!$G$15:$G$214,0)),INDEX(patronHabil,WEEKDAY($I491,2)))))</f>
        <v/>
      </c>
    </row>
    <row r="492">
      <c r="I492" s="11" t="n">
        <v>46510</v>
      </c>
      <c r="J492" s="3">
        <f>IFERROR(INDEX('CALENDARIO'!$C$15:$C$214,MATCH(TEXT($I492,"yyyy-mm-dd")&amp;"|"&amp;""&amp;"|"&amp;"",'CALENDARIO'!$G$15:$G$214,0)),IFERROR(INDEX('CALENDARIO'!$C$15:$C$214,MATCH(TEXT($I492,"yyyy-mm-dd")&amp;"|"&amp;""&amp;"|",'CALENDARIO'!$G$15:$G$214,0)),IFERROR(INDEX('CALENDARIO'!$C$15:$C$214,MATCH(TEXT($I492,"yyyy-mm-dd")&amp;"||",'CALENDARIO'!$G$15:$G$214,0)),INDEX(patronHabil,WEEKDAY($I492,2)))))</f>
        <v/>
      </c>
    </row>
    <row r="493">
      <c r="I493" s="11" t="n">
        <v>46511</v>
      </c>
      <c r="J493" s="3">
        <f>IFERROR(INDEX('CALENDARIO'!$C$15:$C$214,MATCH(TEXT($I493,"yyyy-mm-dd")&amp;"|"&amp;""&amp;"|"&amp;"",'CALENDARIO'!$G$15:$G$214,0)),IFERROR(INDEX('CALENDARIO'!$C$15:$C$214,MATCH(TEXT($I493,"yyyy-mm-dd")&amp;"|"&amp;""&amp;"|",'CALENDARIO'!$G$15:$G$214,0)),IFERROR(INDEX('CALENDARIO'!$C$15:$C$214,MATCH(TEXT($I493,"yyyy-mm-dd")&amp;"||",'CALENDARIO'!$G$15:$G$214,0)),INDEX(patronHabil,WEEKDAY($I493,2)))))</f>
        <v/>
      </c>
    </row>
    <row r="494">
      <c r="I494" s="11" t="n">
        <v>46512</v>
      </c>
      <c r="J494" s="3">
        <f>IFERROR(INDEX('CALENDARIO'!$C$15:$C$214,MATCH(TEXT($I494,"yyyy-mm-dd")&amp;"|"&amp;""&amp;"|"&amp;"",'CALENDARIO'!$G$15:$G$214,0)),IFERROR(INDEX('CALENDARIO'!$C$15:$C$214,MATCH(TEXT($I494,"yyyy-mm-dd")&amp;"|"&amp;""&amp;"|",'CALENDARIO'!$G$15:$G$214,0)),IFERROR(INDEX('CALENDARIO'!$C$15:$C$214,MATCH(TEXT($I494,"yyyy-mm-dd")&amp;"||",'CALENDARIO'!$G$15:$G$214,0)),INDEX(patronHabil,WEEKDAY($I494,2)))))</f>
        <v/>
      </c>
    </row>
    <row r="495">
      <c r="I495" s="11" t="n">
        <v>46513</v>
      </c>
      <c r="J495" s="3">
        <f>IFERROR(INDEX('CALENDARIO'!$C$15:$C$214,MATCH(TEXT($I495,"yyyy-mm-dd")&amp;"|"&amp;""&amp;"|"&amp;"",'CALENDARIO'!$G$15:$G$214,0)),IFERROR(INDEX('CALENDARIO'!$C$15:$C$214,MATCH(TEXT($I495,"yyyy-mm-dd")&amp;"|"&amp;""&amp;"|",'CALENDARIO'!$G$15:$G$214,0)),IFERROR(INDEX('CALENDARIO'!$C$15:$C$214,MATCH(TEXT($I495,"yyyy-mm-dd")&amp;"||",'CALENDARIO'!$G$15:$G$214,0)),INDEX(patronHabil,WEEKDAY($I495,2)))))</f>
        <v/>
      </c>
    </row>
    <row r="496">
      <c r="I496" s="11" t="n">
        <v>46514</v>
      </c>
      <c r="J496" s="3">
        <f>IFERROR(INDEX('CALENDARIO'!$C$15:$C$214,MATCH(TEXT($I496,"yyyy-mm-dd")&amp;"|"&amp;""&amp;"|"&amp;"",'CALENDARIO'!$G$15:$G$214,0)),IFERROR(INDEX('CALENDARIO'!$C$15:$C$214,MATCH(TEXT($I496,"yyyy-mm-dd")&amp;"|"&amp;""&amp;"|",'CALENDARIO'!$G$15:$G$214,0)),IFERROR(INDEX('CALENDARIO'!$C$15:$C$214,MATCH(TEXT($I496,"yyyy-mm-dd")&amp;"||",'CALENDARIO'!$G$15:$G$214,0)),INDEX(patronHabil,WEEKDAY($I496,2)))))</f>
        <v/>
      </c>
    </row>
    <row r="497">
      <c r="I497" s="11" t="n">
        <v>46515</v>
      </c>
      <c r="J497" s="3">
        <f>IFERROR(INDEX('CALENDARIO'!$C$15:$C$214,MATCH(TEXT($I497,"yyyy-mm-dd")&amp;"|"&amp;""&amp;"|"&amp;"",'CALENDARIO'!$G$15:$G$214,0)),IFERROR(INDEX('CALENDARIO'!$C$15:$C$214,MATCH(TEXT($I497,"yyyy-mm-dd")&amp;"|"&amp;""&amp;"|",'CALENDARIO'!$G$15:$G$214,0)),IFERROR(INDEX('CALENDARIO'!$C$15:$C$214,MATCH(TEXT($I497,"yyyy-mm-dd")&amp;"||",'CALENDARIO'!$G$15:$G$214,0)),INDEX(patronHabil,WEEKDAY($I497,2)))))</f>
        <v/>
      </c>
    </row>
    <row r="498">
      <c r="I498" s="11" t="n">
        <v>46516</v>
      </c>
      <c r="J498" s="3">
        <f>IFERROR(INDEX('CALENDARIO'!$C$15:$C$214,MATCH(TEXT($I498,"yyyy-mm-dd")&amp;"|"&amp;""&amp;"|"&amp;"",'CALENDARIO'!$G$15:$G$214,0)),IFERROR(INDEX('CALENDARIO'!$C$15:$C$214,MATCH(TEXT($I498,"yyyy-mm-dd")&amp;"|"&amp;""&amp;"|",'CALENDARIO'!$G$15:$G$214,0)),IFERROR(INDEX('CALENDARIO'!$C$15:$C$214,MATCH(TEXT($I498,"yyyy-mm-dd")&amp;"||",'CALENDARIO'!$G$15:$G$214,0)),INDEX(patronHabil,WEEKDAY($I498,2)))))</f>
        <v/>
      </c>
    </row>
    <row r="499">
      <c r="I499" s="11" t="n">
        <v>46517</v>
      </c>
      <c r="J499" s="3">
        <f>IFERROR(INDEX('CALENDARIO'!$C$15:$C$214,MATCH(TEXT($I499,"yyyy-mm-dd")&amp;"|"&amp;""&amp;"|"&amp;"",'CALENDARIO'!$G$15:$G$214,0)),IFERROR(INDEX('CALENDARIO'!$C$15:$C$214,MATCH(TEXT($I499,"yyyy-mm-dd")&amp;"|"&amp;""&amp;"|",'CALENDARIO'!$G$15:$G$214,0)),IFERROR(INDEX('CALENDARIO'!$C$15:$C$214,MATCH(TEXT($I499,"yyyy-mm-dd")&amp;"||",'CALENDARIO'!$G$15:$G$214,0)),INDEX(patronHabil,WEEKDAY($I499,2)))))</f>
        <v/>
      </c>
    </row>
    <row r="500">
      <c r="I500" s="11" t="n">
        <v>46518</v>
      </c>
      <c r="J500" s="3">
        <f>IFERROR(INDEX('CALENDARIO'!$C$15:$C$214,MATCH(TEXT($I500,"yyyy-mm-dd")&amp;"|"&amp;""&amp;"|"&amp;"",'CALENDARIO'!$G$15:$G$214,0)),IFERROR(INDEX('CALENDARIO'!$C$15:$C$214,MATCH(TEXT($I500,"yyyy-mm-dd")&amp;"|"&amp;""&amp;"|",'CALENDARIO'!$G$15:$G$214,0)),IFERROR(INDEX('CALENDARIO'!$C$15:$C$214,MATCH(TEXT($I500,"yyyy-mm-dd")&amp;"||",'CALENDARIO'!$G$15:$G$214,0)),INDEX(patronHabil,WEEKDAY($I500,2)))))</f>
        <v/>
      </c>
    </row>
    <row r="501">
      <c r="I501" s="11" t="n">
        <v>46519</v>
      </c>
      <c r="J501" s="3">
        <f>IFERROR(INDEX('CALENDARIO'!$C$15:$C$214,MATCH(TEXT($I501,"yyyy-mm-dd")&amp;"|"&amp;""&amp;"|"&amp;"",'CALENDARIO'!$G$15:$G$214,0)),IFERROR(INDEX('CALENDARIO'!$C$15:$C$214,MATCH(TEXT($I501,"yyyy-mm-dd")&amp;"|"&amp;""&amp;"|",'CALENDARIO'!$G$15:$G$214,0)),IFERROR(INDEX('CALENDARIO'!$C$15:$C$214,MATCH(TEXT($I501,"yyyy-mm-dd")&amp;"||",'CALENDARIO'!$G$15:$G$214,0)),INDEX(patronHabil,WEEKDAY($I501,2)))))</f>
        <v/>
      </c>
    </row>
    <row r="502">
      <c r="I502" s="11" t="n">
        <v>46520</v>
      </c>
      <c r="J502" s="3">
        <f>IFERROR(INDEX('CALENDARIO'!$C$15:$C$214,MATCH(TEXT($I502,"yyyy-mm-dd")&amp;"|"&amp;""&amp;"|"&amp;"",'CALENDARIO'!$G$15:$G$214,0)),IFERROR(INDEX('CALENDARIO'!$C$15:$C$214,MATCH(TEXT($I502,"yyyy-mm-dd")&amp;"|"&amp;""&amp;"|",'CALENDARIO'!$G$15:$G$214,0)),IFERROR(INDEX('CALENDARIO'!$C$15:$C$214,MATCH(TEXT($I502,"yyyy-mm-dd")&amp;"||",'CALENDARIO'!$G$15:$G$214,0)),INDEX(patronHabil,WEEKDAY($I502,2)))))</f>
        <v/>
      </c>
    </row>
    <row r="503">
      <c r="I503" s="11" t="n">
        <v>46521</v>
      </c>
      <c r="J503" s="3">
        <f>IFERROR(INDEX('CALENDARIO'!$C$15:$C$214,MATCH(TEXT($I503,"yyyy-mm-dd")&amp;"|"&amp;""&amp;"|"&amp;"",'CALENDARIO'!$G$15:$G$214,0)),IFERROR(INDEX('CALENDARIO'!$C$15:$C$214,MATCH(TEXT($I503,"yyyy-mm-dd")&amp;"|"&amp;""&amp;"|",'CALENDARIO'!$G$15:$G$214,0)),IFERROR(INDEX('CALENDARIO'!$C$15:$C$214,MATCH(TEXT($I503,"yyyy-mm-dd")&amp;"||",'CALENDARIO'!$G$15:$G$214,0)),INDEX(patronHabil,WEEKDAY($I503,2)))))</f>
        <v/>
      </c>
    </row>
    <row r="504">
      <c r="I504" s="11" t="n">
        <v>46522</v>
      </c>
      <c r="J504" s="3">
        <f>IFERROR(INDEX('CALENDARIO'!$C$15:$C$214,MATCH(TEXT($I504,"yyyy-mm-dd")&amp;"|"&amp;""&amp;"|"&amp;"",'CALENDARIO'!$G$15:$G$214,0)),IFERROR(INDEX('CALENDARIO'!$C$15:$C$214,MATCH(TEXT($I504,"yyyy-mm-dd")&amp;"|"&amp;""&amp;"|",'CALENDARIO'!$G$15:$G$214,0)),IFERROR(INDEX('CALENDARIO'!$C$15:$C$214,MATCH(TEXT($I504,"yyyy-mm-dd")&amp;"||",'CALENDARIO'!$G$15:$G$214,0)),INDEX(patronHabil,WEEKDAY($I504,2)))))</f>
        <v/>
      </c>
    </row>
    <row r="505">
      <c r="I505" s="11" t="n">
        <v>46523</v>
      </c>
      <c r="J505" s="3">
        <f>IFERROR(INDEX('CALENDARIO'!$C$15:$C$214,MATCH(TEXT($I505,"yyyy-mm-dd")&amp;"|"&amp;""&amp;"|"&amp;"",'CALENDARIO'!$G$15:$G$214,0)),IFERROR(INDEX('CALENDARIO'!$C$15:$C$214,MATCH(TEXT($I505,"yyyy-mm-dd")&amp;"|"&amp;""&amp;"|",'CALENDARIO'!$G$15:$G$214,0)),IFERROR(INDEX('CALENDARIO'!$C$15:$C$214,MATCH(TEXT($I505,"yyyy-mm-dd")&amp;"||",'CALENDARIO'!$G$15:$G$214,0)),INDEX(patronHabil,WEEKDAY($I505,2)))))</f>
        <v/>
      </c>
    </row>
    <row r="506">
      <c r="I506" s="11" t="n">
        <v>46524</v>
      </c>
      <c r="J506" s="3">
        <f>IFERROR(INDEX('CALENDARIO'!$C$15:$C$214,MATCH(TEXT($I506,"yyyy-mm-dd")&amp;"|"&amp;""&amp;"|"&amp;"",'CALENDARIO'!$G$15:$G$214,0)),IFERROR(INDEX('CALENDARIO'!$C$15:$C$214,MATCH(TEXT($I506,"yyyy-mm-dd")&amp;"|"&amp;""&amp;"|",'CALENDARIO'!$G$15:$G$214,0)),IFERROR(INDEX('CALENDARIO'!$C$15:$C$214,MATCH(TEXT($I506,"yyyy-mm-dd")&amp;"||",'CALENDARIO'!$G$15:$G$214,0)),INDEX(patronHabil,WEEKDAY($I506,2)))))</f>
        <v/>
      </c>
    </row>
    <row r="507">
      <c r="I507" s="11" t="n">
        <v>46525</v>
      </c>
      <c r="J507" s="3">
        <f>IFERROR(INDEX('CALENDARIO'!$C$15:$C$214,MATCH(TEXT($I507,"yyyy-mm-dd")&amp;"|"&amp;""&amp;"|"&amp;"",'CALENDARIO'!$G$15:$G$214,0)),IFERROR(INDEX('CALENDARIO'!$C$15:$C$214,MATCH(TEXT($I507,"yyyy-mm-dd")&amp;"|"&amp;""&amp;"|",'CALENDARIO'!$G$15:$G$214,0)),IFERROR(INDEX('CALENDARIO'!$C$15:$C$214,MATCH(TEXT($I507,"yyyy-mm-dd")&amp;"||",'CALENDARIO'!$G$15:$G$214,0)),INDEX(patronHabil,WEEKDAY($I507,2)))))</f>
        <v/>
      </c>
    </row>
    <row r="508">
      <c r="I508" s="11" t="n">
        <v>46526</v>
      </c>
      <c r="J508" s="3">
        <f>IFERROR(INDEX('CALENDARIO'!$C$15:$C$214,MATCH(TEXT($I508,"yyyy-mm-dd")&amp;"|"&amp;""&amp;"|"&amp;"",'CALENDARIO'!$G$15:$G$214,0)),IFERROR(INDEX('CALENDARIO'!$C$15:$C$214,MATCH(TEXT($I508,"yyyy-mm-dd")&amp;"|"&amp;""&amp;"|",'CALENDARIO'!$G$15:$G$214,0)),IFERROR(INDEX('CALENDARIO'!$C$15:$C$214,MATCH(TEXT($I508,"yyyy-mm-dd")&amp;"||",'CALENDARIO'!$G$15:$G$214,0)),INDEX(patronHabil,WEEKDAY($I508,2)))))</f>
        <v/>
      </c>
    </row>
    <row r="509">
      <c r="I509" s="11" t="n">
        <v>46527</v>
      </c>
      <c r="J509" s="3">
        <f>IFERROR(INDEX('CALENDARIO'!$C$15:$C$214,MATCH(TEXT($I509,"yyyy-mm-dd")&amp;"|"&amp;""&amp;"|"&amp;"",'CALENDARIO'!$G$15:$G$214,0)),IFERROR(INDEX('CALENDARIO'!$C$15:$C$214,MATCH(TEXT($I509,"yyyy-mm-dd")&amp;"|"&amp;""&amp;"|",'CALENDARIO'!$G$15:$G$214,0)),IFERROR(INDEX('CALENDARIO'!$C$15:$C$214,MATCH(TEXT($I509,"yyyy-mm-dd")&amp;"||",'CALENDARIO'!$G$15:$G$214,0)),INDEX(patronHabil,WEEKDAY($I509,2)))))</f>
        <v/>
      </c>
    </row>
    <row r="510">
      <c r="I510" s="11" t="n">
        <v>46528</v>
      </c>
      <c r="J510" s="3">
        <f>IFERROR(INDEX('CALENDARIO'!$C$15:$C$214,MATCH(TEXT($I510,"yyyy-mm-dd")&amp;"|"&amp;""&amp;"|"&amp;"",'CALENDARIO'!$G$15:$G$214,0)),IFERROR(INDEX('CALENDARIO'!$C$15:$C$214,MATCH(TEXT($I510,"yyyy-mm-dd")&amp;"|"&amp;""&amp;"|",'CALENDARIO'!$G$15:$G$214,0)),IFERROR(INDEX('CALENDARIO'!$C$15:$C$214,MATCH(TEXT($I510,"yyyy-mm-dd")&amp;"||",'CALENDARIO'!$G$15:$G$214,0)),INDEX(patronHabil,WEEKDAY($I510,2)))))</f>
        <v/>
      </c>
    </row>
    <row r="511">
      <c r="I511" s="11" t="n">
        <v>46529</v>
      </c>
      <c r="J511" s="3">
        <f>IFERROR(INDEX('CALENDARIO'!$C$15:$C$214,MATCH(TEXT($I511,"yyyy-mm-dd")&amp;"|"&amp;""&amp;"|"&amp;"",'CALENDARIO'!$G$15:$G$214,0)),IFERROR(INDEX('CALENDARIO'!$C$15:$C$214,MATCH(TEXT($I511,"yyyy-mm-dd")&amp;"|"&amp;""&amp;"|",'CALENDARIO'!$G$15:$G$214,0)),IFERROR(INDEX('CALENDARIO'!$C$15:$C$214,MATCH(TEXT($I511,"yyyy-mm-dd")&amp;"||",'CALENDARIO'!$G$15:$G$214,0)),INDEX(patronHabil,WEEKDAY($I511,2)))))</f>
        <v/>
      </c>
    </row>
    <row r="512">
      <c r="I512" s="11" t="n">
        <v>46530</v>
      </c>
      <c r="J512" s="3">
        <f>IFERROR(INDEX('CALENDARIO'!$C$15:$C$214,MATCH(TEXT($I512,"yyyy-mm-dd")&amp;"|"&amp;""&amp;"|"&amp;"",'CALENDARIO'!$G$15:$G$214,0)),IFERROR(INDEX('CALENDARIO'!$C$15:$C$214,MATCH(TEXT($I512,"yyyy-mm-dd")&amp;"|"&amp;""&amp;"|",'CALENDARIO'!$G$15:$G$214,0)),IFERROR(INDEX('CALENDARIO'!$C$15:$C$214,MATCH(TEXT($I512,"yyyy-mm-dd")&amp;"||",'CALENDARIO'!$G$15:$G$214,0)),INDEX(patronHabil,WEEKDAY($I512,2)))))</f>
        <v/>
      </c>
    </row>
    <row r="513">
      <c r="I513" s="11" t="n">
        <v>46531</v>
      </c>
      <c r="J513" s="3">
        <f>IFERROR(INDEX('CALENDARIO'!$C$15:$C$214,MATCH(TEXT($I513,"yyyy-mm-dd")&amp;"|"&amp;""&amp;"|"&amp;"",'CALENDARIO'!$G$15:$G$214,0)),IFERROR(INDEX('CALENDARIO'!$C$15:$C$214,MATCH(TEXT($I513,"yyyy-mm-dd")&amp;"|"&amp;""&amp;"|",'CALENDARIO'!$G$15:$G$214,0)),IFERROR(INDEX('CALENDARIO'!$C$15:$C$214,MATCH(TEXT($I513,"yyyy-mm-dd")&amp;"||",'CALENDARIO'!$G$15:$G$214,0)),INDEX(patronHabil,WEEKDAY($I513,2)))))</f>
        <v/>
      </c>
    </row>
    <row r="514">
      <c r="I514" s="11" t="n">
        <v>46532</v>
      </c>
      <c r="J514" s="3">
        <f>IFERROR(INDEX('CALENDARIO'!$C$15:$C$214,MATCH(TEXT($I514,"yyyy-mm-dd")&amp;"|"&amp;""&amp;"|"&amp;"",'CALENDARIO'!$G$15:$G$214,0)),IFERROR(INDEX('CALENDARIO'!$C$15:$C$214,MATCH(TEXT($I514,"yyyy-mm-dd")&amp;"|"&amp;""&amp;"|",'CALENDARIO'!$G$15:$G$214,0)),IFERROR(INDEX('CALENDARIO'!$C$15:$C$214,MATCH(TEXT($I514,"yyyy-mm-dd")&amp;"||",'CALENDARIO'!$G$15:$G$214,0)),INDEX(patronHabil,WEEKDAY($I514,2)))))</f>
        <v/>
      </c>
    </row>
    <row r="515">
      <c r="I515" s="11" t="n">
        <v>46533</v>
      </c>
      <c r="J515" s="3">
        <f>IFERROR(INDEX('CALENDARIO'!$C$15:$C$214,MATCH(TEXT($I515,"yyyy-mm-dd")&amp;"|"&amp;""&amp;"|"&amp;"",'CALENDARIO'!$G$15:$G$214,0)),IFERROR(INDEX('CALENDARIO'!$C$15:$C$214,MATCH(TEXT($I515,"yyyy-mm-dd")&amp;"|"&amp;""&amp;"|",'CALENDARIO'!$G$15:$G$214,0)),IFERROR(INDEX('CALENDARIO'!$C$15:$C$214,MATCH(TEXT($I515,"yyyy-mm-dd")&amp;"||",'CALENDARIO'!$G$15:$G$214,0)),INDEX(patronHabil,WEEKDAY($I515,2)))))</f>
        <v/>
      </c>
    </row>
    <row r="516">
      <c r="I516" s="11" t="n">
        <v>46534</v>
      </c>
      <c r="J516" s="3">
        <f>IFERROR(INDEX('CALENDARIO'!$C$15:$C$214,MATCH(TEXT($I516,"yyyy-mm-dd")&amp;"|"&amp;""&amp;"|"&amp;"",'CALENDARIO'!$G$15:$G$214,0)),IFERROR(INDEX('CALENDARIO'!$C$15:$C$214,MATCH(TEXT($I516,"yyyy-mm-dd")&amp;"|"&amp;""&amp;"|",'CALENDARIO'!$G$15:$G$214,0)),IFERROR(INDEX('CALENDARIO'!$C$15:$C$214,MATCH(TEXT($I516,"yyyy-mm-dd")&amp;"||",'CALENDARIO'!$G$15:$G$214,0)),INDEX(patronHabil,WEEKDAY($I516,2)))))</f>
        <v/>
      </c>
    </row>
    <row r="517">
      <c r="I517" s="11" t="n">
        <v>46535</v>
      </c>
      <c r="J517" s="3">
        <f>IFERROR(INDEX('CALENDARIO'!$C$15:$C$214,MATCH(TEXT($I517,"yyyy-mm-dd")&amp;"|"&amp;""&amp;"|"&amp;"",'CALENDARIO'!$G$15:$G$214,0)),IFERROR(INDEX('CALENDARIO'!$C$15:$C$214,MATCH(TEXT($I517,"yyyy-mm-dd")&amp;"|"&amp;""&amp;"|",'CALENDARIO'!$G$15:$G$214,0)),IFERROR(INDEX('CALENDARIO'!$C$15:$C$214,MATCH(TEXT($I517,"yyyy-mm-dd")&amp;"||",'CALENDARIO'!$G$15:$G$214,0)),INDEX(patronHabil,WEEKDAY($I517,2)))))</f>
        <v/>
      </c>
    </row>
    <row r="518">
      <c r="I518" s="11" t="n">
        <v>46536</v>
      </c>
      <c r="J518" s="3">
        <f>IFERROR(INDEX('CALENDARIO'!$C$15:$C$214,MATCH(TEXT($I518,"yyyy-mm-dd")&amp;"|"&amp;""&amp;"|"&amp;"",'CALENDARIO'!$G$15:$G$214,0)),IFERROR(INDEX('CALENDARIO'!$C$15:$C$214,MATCH(TEXT($I518,"yyyy-mm-dd")&amp;"|"&amp;""&amp;"|",'CALENDARIO'!$G$15:$G$214,0)),IFERROR(INDEX('CALENDARIO'!$C$15:$C$214,MATCH(TEXT($I518,"yyyy-mm-dd")&amp;"||",'CALENDARIO'!$G$15:$G$214,0)),INDEX(patronHabil,WEEKDAY($I518,2)))))</f>
        <v/>
      </c>
    </row>
    <row r="519">
      <c r="I519" s="11" t="n">
        <v>46537</v>
      </c>
      <c r="J519" s="3">
        <f>IFERROR(INDEX('CALENDARIO'!$C$15:$C$214,MATCH(TEXT($I519,"yyyy-mm-dd")&amp;"|"&amp;""&amp;"|"&amp;"",'CALENDARIO'!$G$15:$G$214,0)),IFERROR(INDEX('CALENDARIO'!$C$15:$C$214,MATCH(TEXT($I519,"yyyy-mm-dd")&amp;"|"&amp;""&amp;"|",'CALENDARIO'!$G$15:$G$214,0)),IFERROR(INDEX('CALENDARIO'!$C$15:$C$214,MATCH(TEXT($I519,"yyyy-mm-dd")&amp;"||",'CALENDARIO'!$G$15:$G$214,0)),INDEX(patronHabil,WEEKDAY($I519,2)))))</f>
        <v/>
      </c>
    </row>
    <row r="520">
      <c r="I520" s="11" t="n">
        <v>46538</v>
      </c>
      <c r="J520" s="3">
        <f>IFERROR(INDEX('CALENDARIO'!$C$15:$C$214,MATCH(TEXT($I520,"yyyy-mm-dd")&amp;"|"&amp;""&amp;"|"&amp;"",'CALENDARIO'!$G$15:$G$214,0)),IFERROR(INDEX('CALENDARIO'!$C$15:$C$214,MATCH(TEXT($I520,"yyyy-mm-dd")&amp;"|"&amp;""&amp;"|",'CALENDARIO'!$G$15:$G$214,0)),IFERROR(INDEX('CALENDARIO'!$C$15:$C$214,MATCH(TEXT($I520,"yyyy-mm-dd")&amp;"||",'CALENDARIO'!$G$15:$G$214,0)),INDEX(patronHabil,WEEKDAY($I520,2)))))</f>
        <v/>
      </c>
    </row>
    <row r="521">
      <c r="I521" s="11" t="n">
        <v>46539</v>
      </c>
      <c r="J521" s="3">
        <f>IFERROR(INDEX('CALENDARIO'!$C$15:$C$214,MATCH(TEXT($I521,"yyyy-mm-dd")&amp;"|"&amp;""&amp;"|"&amp;"",'CALENDARIO'!$G$15:$G$214,0)),IFERROR(INDEX('CALENDARIO'!$C$15:$C$214,MATCH(TEXT($I521,"yyyy-mm-dd")&amp;"|"&amp;""&amp;"|",'CALENDARIO'!$G$15:$G$214,0)),IFERROR(INDEX('CALENDARIO'!$C$15:$C$214,MATCH(TEXT($I521,"yyyy-mm-dd")&amp;"||",'CALENDARIO'!$G$15:$G$214,0)),INDEX(patronHabil,WEEKDAY($I521,2)))))</f>
        <v/>
      </c>
    </row>
    <row r="522">
      <c r="I522" s="11" t="n">
        <v>46540</v>
      </c>
      <c r="J522" s="3">
        <f>IFERROR(INDEX('CALENDARIO'!$C$15:$C$214,MATCH(TEXT($I522,"yyyy-mm-dd")&amp;"|"&amp;""&amp;"|"&amp;"",'CALENDARIO'!$G$15:$G$214,0)),IFERROR(INDEX('CALENDARIO'!$C$15:$C$214,MATCH(TEXT($I522,"yyyy-mm-dd")&amp;"|"&amp;""&amp;"|",'CALENDARIO'!$G$15:$G$214,0)),IFERROR(INDEX('CALENDARIO'!$C$15:$C$214,MATCH(TEXT($I522,"yyyy-mm-dd")&amp;"||",'CALENDARIO'!$G$15:$G$214,0)),INDEX(patronHabil,WEEKDAY($I522,2)))))</f>
        <v/>
      </c>
    </row>
    <row r="523">
      <c r="I523" s="11" t="n">
        <v>46541</v>
      </c>
      <c r="J523" s="3">
        <f>IFERROR(INDEX('CALENDARIO'!$C$15:$C$214,MATCH(TEXT($I523,"yyyy-mm-dd")&amp;"|"&amp;""&amp;"|"&amp;"",'CALENDARIO'!$G$15:$G$214,0)),IFERROR(INDEX('CALENDARIO'!$C$15:$C$214,MATCH(TEXT($I523,"yyyy-mm-dd")&amp;"|"&amp;""&amp;"|",'CALENDARIO'!$G$15:$G$214,0)),IFERROR(INDEX('CALENDARIO'!$C$15:$C$214,MATCH(TEXT($I523,"yyyy-mm-dd")&amp;"||",'CALENDARIO'!$G$15:$G$214,0)),INDEX(patronHabil,WEEKDAY($I523,2)))))</f>
        <v/>
      </c>
    </row>
    <row r="524">
      <c r="I524" s="11" t="n">
        <v>46542</v>
      </c>
      <c r="J524" s="3">
        <f>IFERROR(INDEX('CALENDARIO'!$C$15:$C$214,MATCH(TEXT($I524,"yyyy-mm-dd")&amp;"|"&amp;""&amp;"|"&amp;"",'CALENDARIO'!$G$15:$G$214,0)),IFERROR(INDEX('CALENDARIO'!$C$15:$C$214,MATCH(TEXT($I524,"yyyy-mm-dd")&amp;"|"&amp;""&amp;"|",'CALENDARIO'!$G$15:$G$214,0)),IFERROR(INDEX('CALENDARIO'!$C$15:$C$214,MATCH(TEXT($I524,"yyyy-mm-dd")&amp;"||",'CALENDARIO'!$G$15:$G$214,0)),INDEX(patronHabil,WEEKDAY($I524,2)))))</f>
        <v/>
      </c>
    </row>
    <row r="525">
      <c r="I525" s="11" t="n">
        <v>46543</v>
      </c>
      <c r="J525" s="3">
        <f>IFERROR(INDEX('CALENDARIO'!$C$15:$C$214,MATCH(TEXT($I525,"yyyy-mm-dd")&amp;"|"&amp;""&amp;"|"&amp;"",'CALENDARIO'!$G$15:$G$214,0)),IFERROR(INDEX('CALENDARIO'!$C$15:$C$214,MATCH(TEXT($I525,"yyyy-mm-dd")&amp;"|"&amp;""&amp;"|",'CALENDARIO'!$G$15:$G$214,0)),IFERROR(INDEX('CALENDARIO'!$C$15:$C$214,MATCH(TEXT($I525,"yyyy-mm-dd")&amp;"||",'CALENDARIO'!$G$15:$G$214,0)),INDEX(patronHabil,WEEKDAY($I525,2)))))</f>
        <v/>
      </c>
    </row>
    <row r="526">
      <c r="I526" s="11" t="n">
        <v>46544</v>
      </c>
      <c r="J526" s="3">
        <f>IFERROR(INDEX('CALENDARIO'!$C$15:$C$214,MATCH(TEXT($I526,"yyyy-mm-dd")&amp;"|"&amp;""&amp;"|"&amp;"",'CALENDARIO'!$G$15:$G$214,0)),IFERROR(INDEX('CALENDARIO'!$C$15:$C$214,MATCH(TEXT($I526,"yyyy-mm-dd")&amp;"|"&amp;""&amp;"|",'CALENDARIO'!$G$15:$G$214,0)),IFERROR(INDEX('CALENDARIO'!$C$15:$C$214,MATCH(TEXT($I526,"yyyy-mm-dd")&amp;"||",'CALENDARIO'!$G$15:$G$214,0)),INDEX(patronHabil,WEEKDAY($I526,2)))))</f>
        <v/>
      </c>
    </row>
    <row r="527">
      <c r="I527" s="11" t="n">
        <v>46545</v>
      </c>
      <c r="J527" s="3">
        <f>IFERROR(INDEX('CALENDARIO'!$C$15:$C$214,MATCH(TEXT($I527,"yyyy-mm-dd")&amp;"|"&amp;""&amp;"|"&amp;"",'CALENDARIO'!$G$15:$G$214,0)),IFERROR(INDEX('CALENDARIO'!$C$15:$C$214,MATCH(TEXT($I527,"yyyy-mm-dd")&amp;"|"&amp;""&amp;"|",'CALENDARIO'!$G$15:$G$214,0)),IFERROR(INDEX('CALENDARIO'!$C$15:$C$214,MATCH(TEXT($I527,"yyyy-mm-dd")&amp;"||",'CALENDARIO'!$G$15:$G$214,0)),INDEX(patronHabil,WEEKDAY($I527,2)))))</f>
        <v/>
      </c>
    </row>
    <row r="528">
      <c r="I528" s="11" t="n">
        <v>46546</v>
      </c>
      <c r="J528" s="3">
        <f>IFERROR(INDEX('CALENDARIO'!$C$15:$C$214,MATCH(TEXT($I528,"yyyy-mm-dd")&amp;"|"&amp;""&amp;"|"&amp;"",'CALENDARIO'!$G$15:$G$214,0)),IFERROR(INDEX('CALENDARIO'!$C$15:$C$214,MATCH(TEXT($I528,"yyyy-mm-dd")&amp;"|"&amp;""&amp;"|",'CALENDARIO'!$G$15:$G$214,0)),IFERROR(INDEX('CALENDARIO'!$C$15:$C$214,MATCH(TEXT($I528,"yyyy-mm-dd")&amp;"||",'CALENDARIO'!$G$15:$G$214,0)),INDEX(patronHabil,WEEKDAY($I528,2)))))</f>
        <v/>
      </c>
    </row>
    <row r="529">
      <c r="I529" s="11" t="n">
        <v>46547</v>
      </c>
      <c r="J529" s="3">
        <f>IFERROR(INDEX('CALENDARIO'!$C$15:$C$214,MATCH(TEXT($I529,"yyyy-mm-dd")&amp;"|"&amp;""&amp;"|"&amp;"",'CALENDARIO'!$G$15:$G$214,0)),IFERROR(INDEX('CALENDARIO'!$C$15:$C$214,MATCH(TEXT($I529,"yyyy-mm-dd")&amp;"|"&amp;""&amp;"|",'CALENDARIO'!$G$15:$G$214,0)),IFERROR(INDEX('CALENDARIO'!$C$15:$C$214,MATCH(TEXT($I529,"yyyy-mm-dd")&amp;"||",'CALENDARIO'!$G$15:$G$214,0)),INDEX(patronHabil,WEEKDAY($I529,2)))))</f>
        <v/>
      </c>
    </row>
    <row r="530">
      <c r="I530" s="11" t="n">
        <v>46548</v>
      </c>
      <c r="J530" s="3">
        <f>IFERROR(INDEX('CALENDARIO'!$C$15:$C$214,MATCH(TEXT($I530,"yyyy-mm-dd")&amp;"|"&amp;""&amp;"|"&amp;"",'CALENDARIO'!$G$15:$G$214,0)),IFERROR(INDEX('CALENDARIO'!$C$15:$C$214,MATCH(TEXT($I530,"yyyy-mm-dd")&amp;"|"&amp;""&amp;"|",'CALENDARIO'!$G$15:$G$214,0)),IFERROR(INDEX('CALENDARIO'!$C$15:$C$214,MATCH(TEXT($I530,"yyyy-mm-dd")&amp;"||",'CALENDARIO'!$G$15:$G$214,0)),INDEX(patronHabil,WEEKDAY($I530,2)))))</f>
        <v/>
      </c>
    </row>
    <row r="531">
      <c r="I531" s="11" t="n">
        <v>46549</v>
      </c>
      <c r="J531" s="3">
        <f>IFERROR(INDEX('CALENDARIO'!$C$15:$C$214,MATCH(TEXT($I531,"yyyy-mm-dd")&amp;"|"&amp;""&amp;"|"&amp;"",'CALENDARIO'!$G$15:$G$214,0)),IFERROR(INDEX('CALENDARIO'!$C$15:$C$214,MATCH(TEXT($I531,"yyyy-mm-dd")&amp;"|"&amp;""&amp;"|",'CALENDARIO'!$G$15:$G$214,0)),IFERROR(INDEX('CALENDARIO'!$C$15:$C$214,MATCH(TEXT($I531,"yyyy-mm-dd")&amp;"||",'CALENDARIO'!$G$15:$G$214,0)),INDEX(patronHabil,WEEKDAY($I531,2)))))</f>
        <v/>
      </c>
    </row>
    <row r="532">
      <c r="I532" s="11" t="n">
        <v>46550</v>
      </c>
      <c r="J532" s="3">
        <f>IFERROR(INDEX('CALENDARIO'!$C$15:$C$214,MATCH(TEXT($I532,"yyyy-mm-dd")&amp;"|"&amp;""&amp;"|"&amp;"",'CALENDARIO'!$G$15:$G$214,0)),IFERROR(INDEX('CALENDARIO'!$C$15:$C$214,MATCH(TEXT($I532,"yyyy-mm-dd")&amp;"|"&amp;""&amp;"|",'CALENDARIO'!$G$15:$G$214,0)),IFERROR(INDEX('CALENDARIO'!$C$15:$C$214,MATCH(TEXT($I532,"yyyy-mm-dd")&amp;"||",'CALENDARIO'!$G$15:$G$214,0)),INDEX(patronHabil,WEEKDAY($I532,2)))))</f>
        <v/>
      </c>
    </row>
    <row r="533">
      <c r="I533" s="11" t="n">
        <v>46551</v>
      </c>
      <c r="J533" s="3">
        <f>IFERROR(INDEX('CALENDARIO'!$C$15:$C$214,MATCH(TEXT($I533,"yyyy-mm-dd")&amp;"|"&amp;""&amp;"|"&amp;"",'CALENDARIO'!$G$15:$G$214,0)),IFERROR(INDEX('CALENDARIO'!$C$15:$C$214,MATCH(TEXT($I533,"yyyy-mm-dd")&amp;"|"&amp;""&amp;"|",'CALENDARIO'!$G$15:$G$214,0)),IFERROR(INDEX('CALENDARIO'!$C$15:$C$214,MATCH(TEXT($I533,"yyyy-mm-dd")&amp;"||",'CALENDARIO'!$G$15:$G$214,0)),INDEX(patronHabil,WEEKDAY($I533,2)))))</f>
        <v/>
      </c>
    </row>
    <row r="534">
      <c r="I534" s="11" t="n">
        <v>46552</v>
      </c>
      <c r="J534" s="3">
        <f>IFERROR(INDEX('CALENDARIO'!$C$15:$C$214,MATCH(TEXT($I534,"yyyy-mm-dd")&amp;"|"&amp;""&amp;"|"&amp;"",'CALENDARIO'!$G$15:$G$214,0)),IFERROR(INDEX('CALENDARIO'!$C$15:$C$214,MATCH(TEXT($I534,"yyyy-mm-dd")&amp;"|"&amp;""&amp;"|",'CALENDARIO'!$G$15:$G$214,0)),IFERROR(INDEX('CALENDARIO'!$C$15:$C$214,MATCH(TEXT($I534,"yyyy-mm-dd")&amp;"||",'CALENDARIO'!$G$15:$G$214,0)),INDEX(patronHabil,WEEKDAY($I534,2)))))</f>
        <v/>
      </c>
    </row>
    <row r="535">
      <c r="I535" s="11" t="n">
        <v>46553</v>
      </c>
      <c r="J535" s="3">
        <f>IFERROR(INDEX('CALENDARIO'!$C$15:$C$214,MATCH(TEXT($I535,"yyyy-mm-dd")&amp;"|"&amp;""&amp;"|"&amp;"",'CALENDARIO'!$G$15:$G$214,0)),IFERROR(INDEX('CALENDARIO'!$C$15:$C$214,MATCH(TEXT($I535,"yyyy-mm-dd")&amp;"|"&amp;""&amp;"|",'CALENDARIO'!$G$15:$G$214,0)),IFERROR(INDEX('CALENDARIO'!$C$15:$C$214,MATCH(TEXT($I535,"yyyy-mm-dd")&amp;"||",'CALENDARIO'!$G$15:$G$214,0)),INDEX(patronHabil,WEEKDAY($I535,2)))))</f>
        <v/>
      </c>
    </row>
    <row r="536">
      <c r="I536" s="11" t="n">
        <v>46554</v>
      </c>
      <c r="J536" s="3">
        <f>IFERROR(INDEX('CALENDARIO'!$C$15:$C$214,MATCH(TEXT($I536,"yyyy-mm-dd")&amp;"|"&amp;""&amp;"|"&amp;"",'CALENDARIO'!$G$15:$G$214,0)),IFERROR(INDEX('CALENDARIO'!$C$15:$C$214,MATCH(TEXT($I536,"yyyy-mm-dd")&amp;"|"&amp;""&amp;"|",'CALENDARIO'!$G$15:$G$214,0)),IFERROR(INDEX('CALENDARIO'!$C$15:$C$214,MATCH(TEXT($I536,"yyyy-mm-dd")&amp;"||",'CALENDARIO'!$G$15:$G$214,0)),INDEX(patronHabil,WEEKDAY($I536,2)))))</f>
        <v/>
      </c>
    </row>
    <row r="537">
      <c r="I537" s="11" t="n">
        <v>46555</v>
      </c>
      <c r="J537" s="3">
        <f>IFERROR(INDEX('CALENDARIO'!$C$15:$C$214,MATCH(TEXT($I537,"yyyy-mm-dd")&amp;"|"&amp;""&amp;"|"&amp;"",'CALENDARIO'!$G$15:$G$214,0)),IFERROR(INDEX('CALENDARIO'!$C$15:$C$214,MATCH(TEXT($I537,"yyyy-mm-dd")&amp;"|"&amp;""&amp;"|",'CALENDARIO'!$G$15:$G$214,0)),IFERROR(INDEX('CALENDARIO'!$C$15:$C$214,MATCH(TEXT($I537,"yyyy-mm-dd")&amp;"||",'CALENDARIO'!$G$15:$G$214,0)),INDEX(patronHabil,WEEKDAY($I537,2)))))</f>
        <v/>
      </c>
    </row>
    <row r="538">
      <c r="I538" s="11" t="n">
        <v>46556</v>
      </c>
      <c r="J538" s="3">
        <f>IFERROR(INDEX('CALENDARIO'!$C$15:$C$214,MATCH(TEXT($I538,"yyyy-mm-dd")&amp;"|"&amp;""&amp;"|"&amp;"",'CALENDARIO'!$G$15:$G$214,0)),IFERROR(INDEX('CALENDARIO'!$C$15:$C$214,MATCH(TEXT($I538,"yyyy-mm-dd")&amp;"|"&amp;""&amp;"|",'CALENDARIO'!$G$15:$G$214,0)),IFERROR(INDEX('CALENDARIO'!$C$15:$C$214,MATCH(TEXT($I538,"yyyy-mm-dd")&amp;"||",'CALENDARIO'!$G$15:$G$214,0)),INDEX(patronHabil,WEEKDAY($I538,2)))))</f>
        <v/>
      </c>
    </row>
    <row r="539">
      <c r="I539" s="11" t="n">
        <v>46557</v>
      </c>
      <c r="J539" s="3">
        <f>IFERROR(INDEX('CALENDARIO'!$C$15:$C$214,MATCH(TEXT($I539,"yyyy-mm-dd")&amp;"|"&amp;""&amp;"|"&amp;"",'CALENDARIO'!$G$15:$G$214,0)),IFERROR(INDEX('CALENDARIO'!$C$15:$C$214,MATCH(TEXT($I539,"yyyy-mm-dd")&amp;"|"&amp;""&amp;"|",'CALENDARIO'!$G$15:$G$214,0)),IFERROR(INDEX('CALENDARIO'!$C$15:$C$214,MATCH(TEXT($I539,"yyyy-mm-dd")&amp;"||",'CALENDARIO'!$G$15:$G$214,0)),INDEX(patronHabil,WEEKDAY($I539,2)))))</f>
        <v/>
      </c>
    </row>
    <row r="540">
      <c r="I540" s="11" t="n">
        <v>46558</v>
      </c>
      <c r="J540" s="3">
        <f>IFERROR(INDEX('CALENDARIO'!$C$15:$C$214,MATCH(TEXT($I540,"yyyy-mm-dd")&amp;"|"&amp;""&amp;"|"&amp;"",'CALENDARIO'!$G$15:$G$214,0)),IFERROR(INDEX('CALENDARIO'!$C$15:$C$214,MATCH(TEXT($I540,"yyyy-mm-dd")&amp;"|"&amp;""&amp;"|",'CALENDARIO'!$G$15:$G$214,0)),IFERROR(INDEX('CALENDARIO'!$C$15:$C$214,MATCH(TEXT($I540,"yyyy-mm-dd")&amp;"||",'CALENDARIO'!$G$15:$G$214,0)),INDEX(patronHabil,WEEKDAY($I540,2)))))</f>
        <v/>
      </c>
    </row>
    <row r="541">
      <c r="I541" s="11" t="n">
        <v>46559</v>
      </c>
      <c r="J541" s="3">
        <f>IFERROR(INDEX('CALENDARIO'!$C$15:$C$214,MATCH(TEXT($I541,"yyyy-mm-dd")&amp;"|"&amp;""&amp;"|"&amp;"",'CALENDARIO'!$G$15:$G$214,0)),IFERROR(INDEX('CALENDARIO'!$C$15:$C$214,MATCH(TEXT($I541,"yyyy-mm-dd")&amp;"|"&amp;""&amp;"|",'CALENDARIO'!$G$15:$G$214,0)),IFERROR(INDEX('CALENDARIO'!$C$15:$C$214,MATCH(TEXT($I541,"yyyy-mm-dd")&amp;"||",'CALENDARIO'!$G$15:$G$214,0)),INDEX(patronHabil,WEEKDAY($I541,2)))))</f>
        <v/>
      </c>
    </row>
    <row r="542">
      <c r="I542" s="11" t="n">
        <v>46560</v>
      </c>
      <c r="J542" s="3">
        <f>IFERROR(INDEX('CALENDARIO'!$C$15:$C$214,MATCH(TEXT($I542,"yyyy-mm-dd")&amp;"|"&amp;""&amp;"|"&amp;"",'CALENDARIO'!$G$15:$G$214,0)),IFERROR(INDEX('CALENDARIO'!$C$15:$C$214,MATCH(TEXT($I542,"yyyy-mm-dd")&amp;"|"&amp;""&amp;"|",'CALENDARIO'!$G$15:$G$214,0)),IFERROR(INDEX('CALENDARIO'!$C$15:$C$214,MATCH(TEXT($I542,"yyyy-mm-dd")&amp;"||",'CALENDARIO'!$G$15:$G$214,0)),INDEX(patronHabil,WEEKDAY($I542,2)))))</f>
        <v/>
      </c>
    </row>
    <row r="543">
      <c r="I543" s="11" t="n">
        <v>46561</v>
      </c>
      <c r="J543" s="3">
        <f>IFERROR(INDEX('CALENDARIO'!$C$15:$C$214,MATCH(TEXT($I543,"yyyy-mm-dd")&amp;"|"&amp;""&amp;"|"&amp;"",'CALENDARIO'!$G$15:$G$214,0)),IFERROR(INDEX('CALENDARIO'!$C$15:$C$214,MATCH(TEXT($I543,"yyyy-mm-dd")&amp;"|"&amp;""&amp;"|",'CALENDARIO'!$G$15:$G$214,0)),IFERROR(INDEX('CALENDARIO'!$C$15:$C$214,MATCH(TEXT($I543,"yyyy-mm-dd")&amp;"||",'CALENDARIO'!$G$15:$G$214,0)),INDEX(patronHabil,WEEKDAY($I543,2)))))</f>
        <v/>
      </c>
    </row>
    <row r="544">
      <c r="I544" s="11" t="n">
        <v>46562</v>
      </c>
      <c r="J544" s="3">
        <f>IFERROR(INDEX('CALENDARIO'!$C$15:$C$214,MATCH(TEXT($I544,"yyyy-mm-dd")&amp;"|"&amp;""&amp;"|"&amp;"",'CALENDARIO'!$G$15:$G$214,0)),IFERROR(INDEX('CALENDARIO'!$C$15:$C$214,MATCH(TEXT($I544,"yyyy-mm-dd")&amp;"|"&amp;""&amp;"|",'CALENDARIO'!$G$15:$G$214,0)),IFERROR(INDEX('CALENDARIO'!$C$15:$C$214,MATCH(TEXT($I544,"yyyy-mm-dd")&amp;"||",'CALENDARIO'!$G$15:$G$214,0)),INDEX(patronHabil,WEEKDAY($I544,2)))))</f>
        <v/>
      </c>
    </row>
    <row r="545">
      <c r="I545" s="11" t="n">
        <v>46563</v>
      </c>
      <c r="J545" s="3">
        <f>IFERROR(INDEX('CALENDARIO'!$C$15:$C$214,MATCH(TEXT($I545,"yyyy-mm-dd")&amp;"|"&amp;""&amp;"|"&amp;"",'CALENDARIO'!$G$15:$G$214,0)),IFERROR(INDEX('CALENDARIO'!$C$15:$C$214,MATCH(TEXT($I545,"yyyy-mm-dd")&amp;"|"&amp;""&amp;"|",'CALENDARIO'!$G$15:$G$214,0)),IFERROR(INDEX('CALENDARIO'!$C$15:$C$214,MATCH(TEXT($I545,"yyyy-mm-dd")&amp;"||",'CALENDARIO'!$G$15:$G$214,0)),INDEX(patronHabil,WEEKDAY($I545,2)))))</f>
        <v/>
      </c>
    </row>
    <row r="546">
      <c r="I546" s="11" t="n">
        <v>46564</v>
      </c>
      <c r="J546" s="3">
        <f>IFERROR(INDEX('CALENDARIO'!$C$15:$C$214,MATCH(TEXT($I546,"yyyy-mm-dd")&amp;"|"&amp;""&amp;"|"&amp;"",'CALENDARIO'!$G$15:$G$214,0)),IFERROR(INDEX('CALENDARIO'!$C$15:$C$214,MATCH(TEXT($I546,"yyyy-mm-dd")&amp;"|"&amp;""&amp;"|",'CALENDARIO'!$G$15:$G$214,0)),IFERROR(INDEX('CALENDARIO'!$C$15:$C$214,MATCH(TEXT($I546,"yyyy-mm-dd")&amp;"||",'CALENDARIO'!$G$15:$G$214,0)),INDEX(patronHabil,WEEKDAY($I546,2)))))</f>
        <v/>
      </c>
    </row>
    <row r="547">
      <c r="I547" s="11" t="n">
        <v>46565</v>
      </c>
      <c r="J547" s="3">
        <f>IFERROR(INDEX('CALENDARIO'!$C$15:$C$214,MATCH(TEXT($I547,"yyyy-mm-dd")&amp;"|"&amp;""&amp;"|"&amp;"",'CALENDARIO'!$G$15:$G$214,0)),IFERROR(INDEX('CALENDARIO'!$C$15:$C$214,MATCH(TEXT($I547,"yyyy-mm-dd")&amp;"|"&amp;""&amp;"|",'CALENDARIO'!$G$15:$G$214,0)),IFERROR(INDEX('CALENDARIO'!$C$15:$C$214,MATCH(TEXT($I547,"yyyy-mm-dd")&amp;"||",'CALENDARIO'!$G$15:$G$214,0)),INDEX(patronHabil,WEEKDAY($I547,2)))))</f>
        <v/>
      </c>
    </row>
    <row r="548">
      <c r="I548" s="11" t="n">
        <v>46566</v>
      </c>
      <c r="J548" s="3">
        <f>IFERROR(INDEX('CALENDARIO'!$C$15:$C$214,MATCH(TEXT($I548,"yyyy-mm-dd")&amp;"|"&amp;""&amp;"|"&amp;"",'CALENDARIO'!$G$15:$G$214,0)),IFERROR(INDEX('CALENDARIO'!$C$15:$C$214,MATCH(TEXT($I548,"yyyy-mm-dd")&amp;"|"&amp;""&amp;"|",'CALENDARIO'!$G$15:$G$214,0)),IFERROR(INDEX('CALENDARIO'!$C$15:$C$214,MATCH(TEXT($I548,"yyyy-mm-dd")&amp;"||",'CALENDARIO'!$G$15:$G$214,0)),INDEX(patronHabil,WEEKDAY($I548,2)))))</f>
        <v/>
      </c>
    </row>
    <row r="549">
      <c r="I549" s="11" t="n">
        <v>46567</v>
      </c>
      <c r="J549" s="3">
        <f>IFERROR(INDEX('CALENDARIO'!$C$15:$C$214,MATCH(TEXT($I549,"yyyy-mm-dd")&amp;"|"&amp;""&amp;"|"&amp;"",'CALENDARIO'!$G$15:$G$214,0)),IFERROR(INDEX('CALENDARIO'!$C$15:$C$214,MATCH(TEXT($I549,"yyyy-mm-dd")&amp;"|"&amp;""&amp;"|",'CALENDARIO'!$G$15:$G$214,0)),IFERROR(INDEX('CALENDARIO'!$C$15:$C$214,MATCH(TEXT($I549,"yyyy-mm-dd")&amp;"||",'CALENDARIO'!$G$15:$G$214,0)),INDEX(patronHabil,WEEKDAY($I549,2)))))</f>
        <v/>
      </c>
    </row>
    <row r="550">
      <c r="I550" s="11" t="n">
        <v>46568</v>
      </c>
      <c r="J550" s="3">
        <f>IFERROR(INDEX('CALENDARIO'!$C$15:$C$214,MATCH(TEXT($I550,"yyyy-mm-dd")&amp;"|"&amp;""&amp;"|"&amp;"",'CALENDARIO'!$G$15:$G$214,0)),IFERROR(INDEX('CALENDARIO'!$C$15:$C$214,MATCH(TEXT($I550,"yyyy-mm-dd")&amp;"|"&amp;""&amp;"|",'CALENDARIO'!$G$15:$G$214,0)),IFERROR(INDEX('CALENDARIO'!$C$15:$C$214,MATCH(TEXT($I550,"yyyy-mm-dd")&amp;"||",'CALENDARIO'!$G$15:$G$214,0)),INDEX(patronHabil,WEEKDAY($I550,2)))))</f>
        <v/>
      </c>
    </row>
    <row r="551">
      <c r="I551" s="11" t="n">
        <v>46569</v>
      </c>
      <c r="J551" s="3">
        <f>IFERROR(INDEX('CALENDARIO'!$C$15:$C$214,MATCH(TEXT($I551,"yyyy-mm-dd")&amp;"|"&amp;""&amp;"|"&amp;"",'CALENDARIO'!$G$15:$G$214,0)),IFERROR(INDEX('CALENDARIO'!$C$15:$C$214,MATCH(TEXT($I551,"yyyy-mm-dd")&amp;"|"&amp;""&amp;"|",'CALENDARIO'!$G$15:$G$214,0)),IFERROR(INDEX('CALENDARIO'!$C$15:$C$214,MATCH(TEXT($I551,"yyyy-mm-dd")&amp;"||",'CALENDARIO'!$G$15:$G$214,0)),INDEX(patronHabil,WEEKDAY($I551,2)))))</f>
        <v/>
      </c>
    </row>
    <row r="552">
      <c r="I552" s="11" t="n">
        <v>46570</v>
      </c>
      <c r="J552" s="3">
        <f>IFERROR(INDEX('CALENDARIO'!$C$15:$C$214,MATCH(TEXT($I552,"yyyy-mm-dd")&amp;"|"&amp;""&amp;"|"&amp;"",'CALENDARIO'!$G$15:$G$214,0)),IFERROR(INDEX('CALENDARIO'!$C$15:$C$214,MATCH(TEXT($I552,"yyyy-mm-dd")&amp;"|"&amp;""&amp;"|",'CALENDARIO'!$G$15:$G$214,0)),IFERROR(INDEX('CALENDARIO'!$C$15:$C$214,MATCH(TEXT($I552,"yyyy-mm-dd")&amp;"||",'CALENDARIO'!$G$15:$G$214,0)),INDEX(patronHabil,WEEKDAY($I552,2)))))</f>
        <v/>
      </c>
    </row>
    <row r="553">
      <c r="I553" s="11" t="n">
        <v>46571</v>
      </c>
      <c r="J553" s="3">
        <f>IFERROR(INDEX('CALENDARIO'!$C$15:$C$214,MATCH(TEXT($I553,"yyyy-mm-dd")&amp;"|"&amp;""&amp;"|"&amp;"",'CALENDARIO'!$G$15:$G$214,0)),IFERROR(INDEX('CALENDARIO'!$C$15:$C$214,MATCH(TEXT($I553,"yyyy-mm-dd")&amp;"|"&amp;""&amp;"|",'CALENDARIO'!$G$15:$G$214,0)),IFERROR(INDEX('CALENDARIO'!$C$15:$C$214,MATCH(TEXT($I553,"yyyy-mm-dd")&amp;"||",'CALENDARIO'!$G$15:$G$214,0)),INDEX(patronHabil,WEEKDAY($I553,2)))))</f>
        <v/>
      </c>
    </row>
    <row r="554">
      <c r="I554" s="11" t="n">
        <v>46572</v>
      </c>
      <c r="J554" s="3">
        <f>IFERROR(INDEX('CALENDARIO'!$C$15:$C$214,MATCH(TEXT($I554,"yyyy-mm-dd")&amp;"|"&amp;""&amp;"|"&amp;"",'CALENDARIO'!$G$15:$G$214,0)),IFERROR(INDEX('CALENDARIO'!$C$15:$C$214,MATCH(TEXT($I554,"yyyy-mm-dd")&amp;"|"&amp;""&amp;"|",'CALENDARIO'!$G$15:$G$214,0)),IFERROR(INDEX('CALENDARIO'!$C$15:$C$214,MATCH(TEXT($I554,"yyyy-mm-dd")&amp;"||",'CALENDARIO'!$G$15:$G$214,0)),INDEX(patronHabil,WEEKDAY($I554,2)))))</f>
        <v/>
      </c>
    </row>
    <row r="555">
      <c r="I555" s="11" t="n">
        <v>46573</v>
      </c>
      <c r="J555" s="3">
        <f>IFERROR(INDEX('CALENDARIO'!$C$15:$C$214,MATCH(TEXT($I555,"yyyy-mm-dd")&amp;"|"&amp;""&amp;"|"&amp;"",'CALENDARIO'!$G$15:$G$214,0)),IFERROR(INDEX('CALENDARIO'!$C$15:$C$214,MATCH(TEXT($I555,"yyyy-mm-dd")&amp;"|"&amp;""&amp;"|",'CALENDARIO'!$G$15:$G$214,0)),IFERROR(INDEX('CALENDARIO'!$C$15:$C$214,MATCH(TEXT($I555,"yyyy-mm-dd")&amp;"||",'CALENDARIO'!$G$15:$G$214,0)),INDEX(patronHabil,WEEKDAY($I555,2)))))</f>
        <v/>
      </c>
    </row>
    <row r="556">
      <c r="I556" s="11" t="n">
        <v>46574</v>
      </c>
      <c r="J556" s="3">
        <f>IFERROR(INDEX('CALENDARIO'!$C$15:$C$214,MATCH(TEXT($I556,"yyyy-mm-dd")&amp;"|"&amp;""&amp;"|"&amp;"",'CALENDARIO'!$G$15:$G$214,0)),IFERROR(INDEX('CALENDARIO'!$C$15:$C$214,MATCH(TEXT($I556,"yyyy-mm-dd")&amp;"|"&amp;""&amp;"|",'CALENDARIO'!$G$15:$G$214,0)),IFERROR(INDEX('CALENDARIO'!$C$15:$C$214,MATCH(TEXT($I556,"yyyy-mm-dd")&amp;"||",'CALENDARIO'!$G$15:$G$214,0)),INDEX(patronHabil,WEEKDAY($I556,2)))))</f>
        <v/>
      </c>
    </row>
    <row r="557">
      <c r="I557" s="11" t="n">
        <v>46575</v>
      </c>
      <c r="J557" s="3">
        <f>IFERROR(INDEX('CALENDARIO'!$C$15:$C$214,MATCH(TEXT($I557,"yyyy-mm-dd")&amp;"|"&amp;""&amp;"|"&amp;"",'CALENDARIO'!$G$15:$G$214,0)),IFERROR(INDEX('CALENDARIO'!$C$15:$C$214,MATCH(TEXT($I557,"yyyy-mm-dd")&amp;"|"&amp;""&amp;"|",'CALENDARIO'!$G$15:$G$214,0)),IFERROR(INDEX('CALENDARIO'!$C$15:$C$214,MATCH(TEXT($I557,"yyyy-mm-dd")&amp;"||",'CALENDARIO'!$G$15:$G$214,0)),INDEX(patronHabil,WEEKDAY($I557,2)))))</f>
        <v/>
      </c>
    </row>
    <row r="558">
      <c r="I558" s="11" t="n">
        <v>46576</v>
      </c>
      <c r="J558" s="3">
        <f>IFERROR(INDEX('CALENDARIO'!$C$15:$C$214,MATCH(TEXT($I558,"yyyy-mm-dd")&amp;"|"&amp;""&amp;"|"&amp;"",'CALENDARIO'!$G$15:$G$214,0)),IFERROR(INDEX('CALENDARIO'!$C$15:$C$214,MATCH(TEXT($I558,"yyyy-mm-dd")&amp;"|"&amp;""&amp;"|",'CALENDARIO'!$G$15:$G$214,0)),IFERROR(INDEX('CALENDARIO'!$C$15:$C$214,MATCH(TEXT($I558,"yyyy-mm-dd")&amp;"||",'CALENDARIO'!$G$15:$G$214,0)),INDEX(patronHabil,WEEKDAY($I558,2)))))</f>
        <v/>
      </c>
    </row>
    <row r="559">
      <c r="I559" s="11" t="n">
        <v>46577</v>
      </c>
      <c r="J559" s="3">
        <f>IFERROR(INDEX('CALENDARIO'!$C$15:$C$214,MATCH(TEXT($I559,"yyyy-mm-dd")&amp;"|"&amp;""&amp;"|"&amp;"",'CALENDARIO'!$G$15:$G$214,0)),IFERROR(INDEX('CALENDARIO'!$C$15:$C$214,MATCH(TEXT($I559,"yyyy-mm-dd")&amp;"|"&amp;""&amp;"|",'CALENDARIO'!$G$15:$G$214,0)),IFERROR(INDEX('CALENDARIO'!$C$15:$C$214,MATCH(TEXT($I559,"yyyy-mm-dd")&amp;"||",'CALENDARIO'!$G$15:$G$214,0)),INDEX(patronHabil,WEEKDAY($I559,2)))))</f>
        <v/>
      </c>
    </row>
    <row r="560">
      <c r="I560" s="11" t="n">
        <v>46578</v>
      </c>
      <c r="J560" s="3">
        <f>IFERROR(INDEX('CALENDARIO'!$C$15:$C$214,MATCH(TEXT($I560,"yyyy-mm-dd")&amp;"|"&amp;""&amp;"|"&amp;"",'CALENDARIO'!$G$15:$G$214,0)),IFERROR(INDEX('CALENDARIO'!$C$15:$C$214,MATCH(TEXT($I560,"yyyy-mm-dd")&amp;"|"&amp;""&amp;"|",'CALENDARIO'!$G$15:$G$214,0)),IFERROR(INDEX('CALENDARIO'!$C$15:$C$214,MATCH(TEXT($I560,"yyyy-mm-dd")&amp;"||",'CALENDARIO'!$G$15:$G$214,0)),INDEX(patronHabil,WEEKDAY($I560,2)))))</f>
        <v/>
      </c>
    </row>
    <row r="561">
      <c r="I561" s="11" t="n">
        <v>46579</v>
      </c>
      <c r="J561" s="3">
        <f>IFERROR(INDEX('CALENDARIO'!$C$15:$C$214,MATCH(TEXT($I561,"yyyy-mm-dd")&amp;"|"&amp;""&amp;"|"&amp;"",'CALENDARIO'!$G$15:$G$214,0)),IFERROR(INDEX('CALENDARIO'!$C$15:$C$214,MATCH(TEXT($I561,"yyyy-mm-dd")&amp;"|"&amp;""&amp;"|",'CALENDARIO'!$G$15:$G$214,0)),IFERROR(INDEX('CALENDARIO'!$C$15:$C$214,MATCH(TEXT($I561,"yyyy-mm-dd")&amp;"||",'CALENDARIO'!$G$15:$G$214,0)),INDEX(patronHabil,WEEKDAY($I561,2)))))</f>
        <v/>
      </c>
    </row>
    <row r="562">
      <c r="I562" s="11" t="n">
        <v>46580</v>
      </c>
      <c r="J562" s="3">
        <f>IFERROR(INDEX('CALENDARIO'!$C$15:$C$214,MATCH(TEXT($I562,"yyyy-mm-dd")&amp;"|"&amp;""&amp;"|"&amp;"",'CALENDARIO'!$G$15:$G$214,0)),IFERROR(INDEX('CALENDARIO'!$C$15:$C$214,MATCH(TEXT($I562,"yyyy-mm-dd")&amp;"|"&amp;""&amp;"|",'CALENDARIO'!$G$15:$G$214,0)),IFERROR(INDEX('CALENDARIO'!$C$15:$C$214,MATCH(TEXT($I562,"yyyy-mm-dd")&amp;"||",'CALENDARIO'!$G$15:$G$214,0)),INDEX(patronHabil,WEEKDAY($I562,2)))))</f>
        <v/>
      </c>
    </row>
    <row r="563">
      <c r="I563" s="11" t="n">
        <v>46581</v>
      </c>
      <c r="J563" s="3">
        <f>IFERROR(INDEX('CALENDARIO'!$C$15:$C$214,MATCH(TEXT($I563,"yyyy-mm-dd")&amp;"|"&amp;""&amp;"|"&amp;"",'CALENDARIO'!$G$15:$G$214,0)),IFERROR(INDEX('CALENDARIO'!$C$15:$C$214,MATCH(TEXT($I563,"yyyy-mm-dd")&amp;"|"&amp;""&amp;"|",'CALENDARIO'!$G$15:$G$214,0)),IFERROR(INDEX('CALENDARIO'!$C$15:$C$214,MATCH(TEXT($I563,"yyyy-mm-dd")&amp;"||",'CALENDARIO'!$G$15:$G$214,0)),INDEX(patronHabil,WEEKDAY($I563,2)))))</f>
        <v/>
      </c>
    </row>
    <row r="564">
      <c r="I564" s="11" t="n">
        <v>46582</v>
      </c>
      <c r="J564" s="3">
        <f>IFERROR(INDEX('CALENDARIO'!$C$15:$C$214,MATCH(TEXT($I564,"yyyy-mm-dd")&amp;"|"&amp;""&amp;"|"&amp;"",'CALENDARIO'!$G$15:$G$214,0)),IFERROR(INDEX('CALENDARIO'!$C$15:$C$214,MATCH(TEXT($I564,"yyyy-mm-dd")&amp;"|"&amp;""&amp;"|",'CALENDARIO'!$G$15:$G$214,0)),IFERROR(INDEX('CALENDARIO'!$C$15:$C$214,MATCH(TEXT($I564,"yyyy-mm-dd")&amp;"||",'CALENDARIO'!$G$15:$G$214,0)),INDEX(patronHabil,WEEKDAY($I564,2)))))</f>
        <v/>
      </c>
    </row>
    <row r="565">
      <c r="I565" s="11" t="n">
        <v>46583</v>
      </c>
      <c r="J565" s="3">
        <f>IFERROR(INDEX('CALENDARIO'!$C$15:$C$214,MATCH(TEXT($I565,"yyyy-mm-dd")&amp;"|"&amp;""&amp;"|"&amp;"",'CALENDARIO'!$G$15:$G$214,0)),IFERROR(INDEX('CALENDARIO'!$C$15:$C$214,MATCH(TEXT($I565,"yyyy-mm-dd")&amp;"|"&amp;""&amp;"|",'CALENDARIO'!$G$15:$G$214,0)),IFERROR(INDEX('CALENDARIO'!$C$15:$C$214,MATCH(TEXT($I565,"yyyy-mm-dd")&amp;"||",'CALENDARIO'!$G$15:$G$214,0)),INDEX(patronHabil,WEEKDAY($I565,2)))))</f>
        <v/>
      </c>
    </row>
    <row r="566">
      <c r="I566" s="11" t="n">
        <v>46584</v>
      </c>
      <c r="J566" s="3">
        <f>IFERROR(INDEX('CALENDARIO'!$C$15:$C$214,MATCH(TEXT($I566,"yyyy-mm-dd")&amp;"|"&amp;""&amp;"|"&amp;"",'CALENDARIO'!$G$15:$G$214,0)),IFERROR(INDEX('CALENDARIO'!$C$15:$C$214,MATCH(TEXT($I566,"yyyy-mm-dd")&amp;"|"&amp;""&amp;"|",'CALENDARIO'!$G$15:$G$214,0)),IFERROR(INDEX('CALENDARIO'!$C$15:$C$214,MATCH(TEXT($I566,"yyyy-mm-dd")&amp;"||",'CALENDARIO'!$G$15:$G$214,0)),INDEX(patronHabil,WEEKDAY($I566,2)))))</f>
        <v/>
      </c>
    </row>
    <row r="567">
      <c r="I567" s="11" t="n">
        <v>46585</v>
      </c>
      <c r="J567" s="3">
        <f>IFERROR(INDEX('CALENDARIO'!$C$15:$C$214,MATCH(TEXT($I567,"yyyy-mm-dd")&amp;"|"&amp;""&amp;"|"&amp;"",'CALENDARIO'!$G$15:$G$214,0)),IFERROR(INDEX('CALENDARIO'!$C$15:$C$214,MATCH(TEXT($I567,"yyyy-mm-dd")&amp;"|"&amp;""&amp;"|",'CALENDARIO'!$G$15:$G$214,0)),IFERROR(INDEX('CALENDARIO'!$C$15:$C$214,MATCH(TEXT($I567,"yyyy-mm-dd")&amp;"||",'CALENDARIO'!$G$15:$G$214,0)),INDEX(patronHabil,WEEKDAY($I567,2)))))</f>
        <v/>
      </c>
    </row>
    <row r="568">
      <c r="I568" s="11" t="n">
        <v>46586</v>
      </c>
      <c r="J568" s="3">
        <f>IFERROR(INDEX('CALENDARIO'!$C$15:$C$214,MATCH(TEXT($I568,"yyyy-mm-dd")&amp;"|"&amp;""&amp;"|"&amp;"",'CALENDARIO'!$G$15:$G$214,0)),IFERROR(INDEX('CALENDARIO'!$C$15:$C$214,MATCH(TEXT($I568,"yyyy-mm-dd")&amp;"|"&amp;""&amp;"|",'CALENDARIO'!$G$15:$G$214,0)),IFERROR(INDEX('CALENDARIO'!$C$15:$C$214,MATCH(TEXT($I568,"yyyy-mm-dd")&amp;"||",'CALENDARIO'!$G$15:$G$214,0)),INDEX(patronHabil,WEEKDAY($I568,2)))))</f>
        <v/>
      </c>
    </row>
    <row r="569">
      <c r="I569" s="11" t="n">
        <v>46587</v>
      </c>
      <c r="J569" s="3">
        <f>IFERROR(INDEX('CALENDARIO'!$C$15:$C$214,MATCH(TEXT($I569,"yyyy-mm-dd")&amp;"|"&amp;""&amp;"|"&amp;"",'CALENDARIO'!$G$15:$G$214,0)),IFERROR(INDEX('CALENDARIO'!$C$15:$C$214,MATCH(TEXT($I569,"yyyy-mm-dd")&amp;"|"&amp;""&amp;"|",'CALENDARIO'!$G$15:$G$214,0)),IFERROR(INDEX('CALENDARIO'!$C$15:$C$214,MATCH(TEXT($I569,"yyyy-mm-dd")&amp;"||",'CALENDARIO'!$G$15:$G$214,0)),INDEX(patronHabil,WEEKDAY($I569,2)))))</f>
        <v/>
      </c>
    </row>
    <row r="570">
      <c r="I570" s="11" t="n">
        <v>46588</v>
      </c>
      <c r="J570" s="3">
        <f>IFERROR(INDEX('CALENDARIO'!$C$15:$C$214,MATCH(TEXT($I570,"yyyy-mm-dd")&amp;"|"&amp;""&amp;"|"&amp;"",'CALENDARIO'!$G$15:$G$214,0)),IFERROR(INDEX('CALENDARIO'!$C$15:$C$214,MATCH(TEXT($I570,"yyyy-mm-dd")&amp;"|"&amp;""&amp;"|",'CALENDARIO'!$G$15:$G$214,0)),IFERROR(INDEX('CALENDARIO'!$C$15:$C$214,MATCH(TEXT($I570,"yyyy-mm-dd")&amp;"||",'CALENDARIO'!$G$15:$G$214,0)),INDEX(patronHabil,WEEKDAY($I570,2)))))</f>
        <v/>
      </c>
    </row>
    <row r="571">
      <c r="I571" s="11" t="n">
        <v>46589</v>
      </c>
      <c r="J571" s="3">
        <f>IFERROR(INDEX('CALENDARIO'!$C$15:$C$214,MATCH(TEXT($I571,"yyyy-mm-dd")&amp;"|"&amp;""&amp;"|"&amp;"",'CALENDARIO'!$G$15:$G$214,0)),IFERROR(INDEX('CALENDARIO'!$C$15:$C$214,MATCH(TEXT($I571,"yyyy-mm-dd")&amp;"|"&amp;""&amp;"|",'CALENDARIO'!$G$15:$G$214,0)),IFERROR(INDEX('CALENDARIO'!$C$15:$C$214,MATCH(TEXT($I571,"yyyy-mm-dd")&amp;"||",'CALENDARIO'!$G$15:$G$214,0)),INDEX(patronHabil,WEEKDAY($I571,2)))))</f>
        <v/>
      </c>
    </row>
    <row r="572">
      <c r="I572" s="11" t="n">
        <v>46590</v>
      </c>
      <c r="J572" s="3">
        <f>IFERROR(INDEX('CALENDARIO'!$C$15:$C$214,MATCH(TEXT($I572,"yyyy-mm-dd")&amp;"|"&amp;""&amp;"|"&amp;"",'CALENDARIO'!$G$15:$G$214,0)),IFERROR(INDEX('CALENDARIO'!$C$15:$C$214,MATCH(TEXT($I572,"yyyy-mm-dd")&amp;"|"&amp;""&amp;"|",'CALENDARIO'!$G$15:$G$214,0)),IFERROR(INDEX('CALENDARIO'!$C$15:$C$214,MATCH(TEXT($I572,"yyyy-mm-dd")&amp;"||",'CALENDARIO'!$G$15:$G$214,0)),INDEX(patronHabil,WEEKDAY($I572,2)))))</f>
        <v/>
      </c>
    </row>
    <row r="573">
      <c r="I573" s="11" t="n">
        <v>46591</v>
      </c>
      <c r="J573" s="3">
        <f>IFERROR(INDEX('CALENDARIO'!$C$15:$C$214,MATCH(TEXT($I573,"yyyy-mm-dd")&amp;"|"&amp;""&amp;"|"&amp;"",'CALENDARIO'!$G$15:$G$214,0)),IFERROR(INDEX('CALENDARIO'!$C$15:$C$214,MATCH(TEXT($I573,"yyyy-mm-dd")&amp;"|"&amp;""&amp;"|",'CALENDARIO'!$G$15:$G$214,0)),IFERROR(INDEX('CALENDARIO'!$C$15:$C$214,MATCH(TEXT($I573,"yyyy-mm-dd")&amp;"||",'CALENDARIO'!$G$15:$G$214,0)),INDEX(patronHabil,WEEKDAY($I573,2)))))</f>
        <v/>
      </c>
    </row>
    <row r="574">
      <c r="I574" s="11" t="n">
        <v>46592</v>
      </c>
      <c r="J574" s="3">
        <f>IFERROR(INDEX('CALENDARIO'!$C$15:$C$214,MATCH(TEXT($I574,"yyyy-mm-dd")&amp;"|"&amp;""&amp;"|"&amp;"",'CALENDARIO'!$G$15:$G$214,0)),IFERROR(INDEX('CALENDARIO'!$C$15:$C$214,MATCH(TEXT($I574,"yyyy-mm-dd")&amp;"|"&amp;""&amp;"|",'CALENDARIO'!$G$15:$G$214,0)),IFERROR(INDEX('CALENDARIO'!$C$15:$C$214,MATCH(TEXT($I574,"yyyy-mm-dd")&amp;"||",'CALENDARIO'!$G$15:$G$214,0)),INDEX(patronHabil,WEEKDAY($I574,2)))))</f>
        <v/>
      </c>
    </row>
    <row r="575">
      <c r="I575" s="11" t="n">
        <v>46593</v>
      </c>
      <c r="J575" s="3">
        <f>IFERROR(INDEX('CALENDARIO'!$C$15:$C$214,MATCH(TEXT($I575,"yyyy-mm-dd")&amp;"|"&amp;""&amp;"|"&amp;"",'CALENDARIO'!$G$15:$G$214,0)),IFERROR(INDEX('CALENDARIO'!$C$15:$C$214,MATCH(TEXT($I575,"yyyy-mm-dd")&amp;"|"&amp;""&amp;"|",'CALENDARIO'!$G$15:$G$214,0)),IFERROR(INDEX('CALENDARIO'!$C$15:$C$214,MATCH(TEXT($I575,"yyyy-mm-dd")&amp;"||",'CALENDARIO'!$G$15:$G$214,0)),INDEX(patronHabil,WEEKDAY($I575,2)))))</f>
        <v/>
      </c>
    </row>
    <row r="576">
      <c r="I576" s="11" t="n">
        <v>46594</v>
      </c>
      <c r="J576" s="3">
        <f>IFERROR(INDEX('CALENDARIO'!$C$15:$C$214,MATCH(TEXT($I576,"yyyy-mm-dd")&amp;"|"&amp;""&amp;"|"&amp;"",'CALENDARIO'!$G$15:$G$214,0)),IFERROR(INDEX('CALENDARIO'!$C$15:$C$214,MATCH(TEXT($I576,"yyyy-mm-dd")&amp;"|"&amp;""&amp;"|",'CALENDARIO'!$G$15:$G$214,0)),IFERROR(INDEX('CALENDARIO'!$C$15:$C$214,MATCH(TEXT($I576,"yyyy-mm-dd")&amp;"||",'CALENDARIO'!$G$15:$G$214,0)),INDEX(patronHabil,WEEKDAY($I576,2)))))</f>
        <v/>
      </c>
    </row>
    <row r="577">
      <c r="I577" s="11" t="n">
        <v>46595</v>
      </c>
      <c r="J577" s="3">
        <f>IFERROR(INDEX('CALENDARIO'!$C$15:$C$214,MATCH(TEXT($I577,"yyyy-mm-dd")&amp;"|"&amp;""&amp;"|"&amp;"",'CALENDARIO'!$G$15:$G$214,0)),IFERROR(INDEX('CALENDARIO'!$C$15:$C$214,MATCH(TEXT($I577,"yyyy-mm-dd")&amp;"|"&amp;""&amp;"|",'CALENDARIO'!$G$15:$G$214,0)),IFERROR(INDEX('CALENDARIO'!$C$15:$C$214,MATCH(TEXT($I577,"yyyy-mm-dd")&amp;"||",'CALENDARIO'!$G$15:$G$214,0)),INDEX(patronHabil,WEEKDAY($I577,2)))))</f>
        <v/>
      </c>
    </row>
    <row r="578">
      <c r="I578" s="11" t="n">
        <v>46596</v>
      </c>
      <c r="J578" s="3">
        <f>IFERROR(INDEX('CALENDARIO'!$C$15:$C$214,MATCH(TEXT($I578,"yyyy-mm-dd")&amp;"|"&amp;""&amp;"|"&amp;"",'CALENDARIO'!$G$15:$G$214,0)),IFERROR(INDEX('CALENDARIO'!$C$15:$C$214,MATCH(TEXT($I578,"yyyy-mm-dd")&amp;"|"&amp;""&amp;"|",'CALENDARIO'!$G$15:$G$214,0)),IFERROR(INDEX('CALENDARIO'!$C$15:$C$214,MATCH(TEXT($I578,"yyyy-mm-dd")&amp;"||",'CALENDARIO'!$G$15:$G$214,0)),INDEX(patronHabil,WEEKDAY($I578,2)))))</f>
        <v/>
      </c>
    </row>
    <row r="579">
      <c r="I579" s="11" t="n">
        <v>46597</v>
      </c>
      <c r="J579" s="3">
        <f>IFERROR(INDEX('CALENDARIO'!$C$15:$C$214,MATCH(TEXT($I579,"yyyy-mm-dd")&amp;"|"&amp;""&amp;"|"&amp;"",'CALENDARIO'!$G$15:$G$214,0)),IFERROR(INDEX('CALENDARIO'!$C$15:$C$214,MATCH(TEXT($I579,"yyyy-mm-dd")&amp;"|"&amp;""&amp;"|",'CALENDARIO'!$G$15:$G$214,0)),IFERROR(INDEX('CALENDARIO'!$C$15:$C$214,MATCH(TEXT($I579,"yyyy-mm-dd")&amp;"||",'CALENDARIO'!$G$15:$G$214,0)),INDEX(patronHabil,WEEKDAY($I579,2)))))</f>
        <v/>
      </c>
    </row>
    <row r="580">
      <c r="I580" s="11" t="n">
        <v>46598</v>
      </c>
      <c r="J580" s="3">
        <f>IFERROR(INDEX('CALENDARIO'!$C$15:$C$214,MATCH(TEXT($I580,"yyyy-mm-dd")&amp;"|"&amp;""&amp;"|"&amp;"",'CALENDARIO'!$G$15:$G$214,0)),IFERROR(INDEX('CALENDARIO'!$C$15:$C$214,MATCH(TEXT($I580,"yyyy-mm-dd")&amp;"|"&amp;""&amp;"|",'CALENDARIO'!$G$15:$G$214,0)),IFERROR(INDEX('CALENDARIO'!$C$15:$C$214,MATCH(TEXT($I580,"yyyy-mm-dd")&amp;"||",'CALENDARIO'!$G$15:$G$214,0)),INDEX(patronHabil,WEEKDAY($I580,2)))))</f>
        <v/>
      </c>
    </row>
    <row r="581">
      <c r="I581" s="11" t="n">
        <v>46599</v>
      </c>
      <c r="J581" s="3">
        <f>IFERROR(INDEX('CALENDARIO'!$C$15:$C$214,MATCH(TEXT($I581,"yyyy-mm-dd")&amp;"|"&amp;""&amp;"|"&amp;"",'CALENDARIO'!$G$15:$G$214,0)),IFERROR(INDEX('CALENDARIO'!$C$15:$C$214,MATCH(TEXT($I581,"yyyy-mm-dd")&amp;"|"&amp;""&amp;"|",'CALENDARIO'!$G$15:$G$214,0)),IFERROR(INDEX('CALENDARIO'!$C$15:$C$214,MATCH(TEXT($I581,"yyyy-mm-dd")&amp;"||",'CALENDARIO'!$G$15:$G$214,0)),INDEX(patronHabil,WEEKDAY($I581,2)))))</f>
        <v/>
      </c>
    </row>
    <row r="582">
      <c r="I582" s="11" t="n">
        <v>46600</v>
      </c>
      <c r="J582" s="3">
        <f>IFERROR(INDEX('CALENDARIO'!$C$15:$C$214,MATCH(TEXT($I582,"yyyy-mm-dd")&amp;"|"&amp;""&amp;"|"&amp;"",'CALENDARIO'!$G$15:$G$214,0)),IFERROR(INDEX('CALENDARIO'!$C$15:$C$214,MATCH(TEXT($I582,"yyyy-mm-dd")&amp;"|"&amp;""&amp;"|",'CALENDARIO'!$G$15:$G$214,0)),IFERROR(INDEX('CALENDARIO'!$C$15:$C$214,MATCH(TEXT($I582,"yyyy-mm-dd")&amp;"||",'CALENDARIO'!$G$15:$G$214,0)),INDEX(patronHabil,WEEKDAY($I582,2)))))</f>
        <v/>
      </c>
    </row>
    <row r="583">
      <c r="I583" s="11" t="n">
        <v>46601</v>
      </c>
      <c r="J583" s="3">
        <f>IFERROR(INDEX('CALENDARIO'!$C$15:$C$214,MATCH(TEXT($I583,"yyyy-mm-dd")&amp;"|"&amp;""&amp;"|"&amp;"",'CALENDARIO'!$G$15:$G$214,0)),IFERROR(INDEX('CALENDARIO'!$C$15:$C$214,MATCH(TEXT($I583,"yyyy-mm-dd")&amp;"|"&amp;""&amp;"|",'CALENDARIO'!$G$15:$G$214,0)),IFERROR(INDEX('CALENDARIO'!$C$15:$C$214,MATCH(TEXT($I583,"yyyy-mm-dd")&amp;"||",'CALENDARIO'!$G$15:$G$214,0)),INDEX(patronHabil,WEEKDAY($I583,2)))))</f>
        <v/>
      </c>
    </row>
    <row r="584">
      <c r="I584" s="11" t="n">
        <v>46602</v>
      </c>
      <c r="J584" s="3">
        <f>IFERROR(INDEX('CALENDARIO'!$C$15:$C$214,MATCH(TEXT($I584,"yyyy-mm-dd")&amp;"|"&amp;""&amp;"|"&amp;"",'CALENDARIO'!$G$15:$G$214,0)),IFERROR(INDEX('CALENDARIO'!$C$15:$C$214,MATCH(TEXT($I584,"yyyy-mm-dd")&amp;"|"&amp;""&amp;"|",'CALENDARIO'!$G$15:$G$214,0)),IFERROR(INDEX('CALENDARIO'!$C$15:$C$214,MATCH(TEXT($I584,"yyyy-mm-dd")&amp;"||",'CALENDARIO'!$G$15:$G$214,0)),INDEX(patronHabil,WEEKDAY($I584,2)))))</f>
        <v/>
      </c>
    </row>
    <row r="585">
      <c r="I585" s="11" t="n">
        <v>46603</v>
      </c>
      <c r="J585" s="3">
        <f>IFERROR(INDEX('CALENDARIO'!$C$15:$C$214,MATCH(TEXT($I585,"yyyy-mm-dd")&amp;"|"&amp;""&amp;"|"&amp;"",'CALENDARIO'!$G$15:$G$214,0)),IFERROR(INDEX('CALENDARIO'!$C$15:$C$214,MATCH(TEXT($I585,"yyyy-mm-dd")&amp;"|"&amp;""&amp;"|",'CALENDARIO'!$G$15:$G$214,0)),IFERROR(INDEX('CALENDARIO'!$C$15:$C$214,MATCH(TEXT($I585,"yyyy-mm-dd")&amp;"||",'CALENDARIO'!$G$15:$G$214,0)),INDEX(patronHabil,WEEKDAY($I585,2)))))</f>
        <v/>
      </c>
    </row>
    <row r="586">
      <c r="I586" s="11" t="n">
        <v>46604</v>
      </c>
      <c r="J586" s="3">
        <f>IFERROR(INDEX('CALENDARIO'!$C$15:$C$214,MATCH(TEXT($I586,"yyyy-mm-dd")&amp;"|"&amp;""&amp;"|"&amp;"",'CALENDARIO'!$G$15:$G$214,0)),IFERROR(INDEX('CALENDARIO'!$C$15:$C$214,MATCH(TEXT($I586,"yyyy-mm-dd")&amp;"|"&amp;""&amp;"|",'CALENDARIO'!$G$15:$G$214,0)),IFERROR(INDEX('CALENDARIO'!$C$15:$C$214,MATCH(TEXT($I586,"yyyy-mm-dd")&amp;"||",'CALENDARIO'!$G$15:$G$214,0)),INDEX(patronHabil,WEEKDAY($I586,2)))))</f>
        <v/>
      </c>
    </row>
    <row r="587">
      <c r="I587" s="11" t="n">
        <v>46605</v>
      </c>
      <c r="J587" s="3">
        <f>IFERROR(INDEX('CALENDARIO'!$C$15:$C$214,MATCH(TEXT($I587,"yyyy-mm-dd")&amp;"|"&amp;""&amp;"|"&amp;"",'CALENDARIO'!$G$15:$G$214,0)),IFERROR(INDEX('CALENDARIO'!$C$15:$C$214,MATCH(TEXT($I587,"yyyy-mm-dd")&amp;"|"&amp;""&amp;"|",'CALENDARIO'!$G$15:$G$214,0)),IFERROR(INDEX('CALENDARIO'!$C$15:$C$214,MATCH(TEXT($I587,"yyyy-mm-dd")&amp;"||",'CALENDARIO'!$G$15:$G$214,0)),INDEX(patronHabil,WEEKDAY($I587,2)))))</f>
        <v/>
      </c>
    </row>
    <row r="588">
      <c r="I588" s="11" t="n">
        <v>46606</v>
      </c>
      <c r="J588" s="3">
        <f>IFERROR(INDEX('CALENDARIO'!$C$15:$C$214,MATCH(TEXT($I588,"yyyy-mm-dd")&amp;"|"&amp;""&amp;"|"&amp;"",'CALENDARIO'!$G$15:$G$214,0)),IFERROR(INDEX('CALENDARIO'!$C$15:$C$214,MATCH(TEXT($I588,"yyyy-mm-dd")&amp;"|"&amp;""&amp;"|",'CALENDARIO'!$G$15:$G$214,0)),IFERROR(INDEX('CALENDARIO'!$C$15:$C$214,MATCH(TEXT($I588,"yyyy-mm-dd")&amp;"||",'CALENDARIO'!$G$15:$G$214,0)),INDEX(patronHabil,WEEKDAY($I588,2)))))</f>
        <v/>
      </c>
    </row>
    <row r="589">
      <c r="I589" s="11" t="n">
        <v>46607</v>
      </c>
      <c r="J589" s="3">
        <f>IFERROR(INDEX('CALENDARIO'!$C$15:$C$214,MATCH(TEXT($I589,"yyyy-mm-dd")&amp;"|"&amp;""&amp;"|"&amp;"",'CALENDARIO'!$G$15:$G$214,0)),IFERROR(INDEX('CALENDARIO'!$C$15:$C$214,MATCH(TEXT($I589,"yyyy-mm-dd")&amp;"|"&amp;""&amp;"|",'CALENDARIO'!$G$15:$G$214,0)),IFERROR(INDEX('CALENDARIO'!$C$15:$C$214,MATCH(TEXT($I589,"yyyy-mm-dd")&amp;"||",'CALENDARIO'!$G$15:$G$214,0)),INDEX(patronHabil,WEEKDAY($I589,2)))))</f>
        <v/>
      </c>
    </row>
    <row r="590">
      <c r="I590" s="11" t="n">
        <v>46608</v>
      </c>
      <c r="J590" s="3">
        <f>IFERROR(INDEX('CALENDARIO'!$C$15:$C$214,MATCH(TEXT($I590,"yyyy-mm-dd")&amp;"|"&amp;""&amp;"|"&amp;"",'CALENDARIO'!$G$15:$G$214,0)),IFERROR(INDEX('CALENDARIO'!$C$15:$C$214,MATCH(TEXT($I590,"yyyy-mm-dd")&amp;"|"&amp;""&amp;"|",'CALENDARIO'!$G$15:$G$214,0)),IFERROR(INDEX('CALENDARIO'!$C$15:$C$214,MATCH(TEXT($I590,"yyyy-mm-dd")&amp;"||",'CALENDARIO'!$G$15:$G$214,0)),INDEX(patronHabil,WEEKDAY($I590,2)))))</f>
        <v/>
      </c>
    </row>
    <row r="591">
      <c r="I591" s="11" t="n">
        <v>46609</v>
      </c>
      <c r="J591" s="3">
        <f>IFERROR(INDEX('CALENDARIO'!$C$15:$C$214,MATCH(TEXT($I591,"yyyy-mm-dd")&amp;"|"&amp;""&amp;"|"&amp;"",'CALENDARIO'!$G$15:$G$214,0)),IFERROR(INDEX('CALENDARIO'!$C$15:$C$214,MATCH(TEXT($I591,"yyyy-mm-dd")&amp;"|"&amp;""&amp;"|",'CALENDARIO'!$G$15:$G$214,0)),IFERROR(INDEX('CALENDARIO'!$C$15:$C$214,MATCH(TEXT($I591,"yyyy-mm-dd")&amp;"||",'CALENDARIO'!$G$15:$G$214,0)),INDEX(patronHabil,WEEKDAY($I591,2)))))</f>
        <v/>
      </c>
    </row>
    <row r="592">
      <c r="I592" s="11" t="n">
        <v>46610</v>
      </c>
      <c r="J592" s="3">
        <f>IFERROR(INDEX('CALENDARIO'!$C$15:$C$214,MATCH(TEXT($I592,"yyyy-mm-dd")&amp;"|"&amp;""&amp;"|"&amp;"",'CALENDARIO'!$G$15:$G$214,0)),IFERROR(INDEX('CALENDARIO'!$C$15:$C$214,MATCH(TEXT($I592,"yyyy-mm-dd")&amp;"|"&amp;""&amp;"|",'CALENDARIO'!$G$15:$G$214,0)),IFERROR(INDEX('CALENDARIO'!$C$15:$C$214,MATCH(TEXT($I592,"yyyy-mm-dd")&amp;"||",'CALENDARIO'!$G$15:$G$214,0)),INDEX(patronHabil,WEEKDAY($I592,2)))))</f>
        <v/>
      </c>
    </row>
    <row r="593">
      <c r="I593" s="11" t="n">
        <v>46611</v>
      </c>
      <c r="J593" s="3">
        <f>IFERROR(INDEX('CALENDARIO'!$C$15:$C$214,MATCH(TEXT($I593,"yyyy-mm-dd")&amp;"|"&amp;""&amp;"|"&amp;"",'CALENDARIO'!$G$15:$G$214,0)),IFERROR(INDEX('CALENDARIO'!$C$15:$C$214,MATCH(TEXT($I593,"yyyy-mm-dd")&amp;"|"&amp;""&amp;"|",'CALENDARIO'!$G$15:$G$214,0)),IFERROR(INDEX('CALENDARIO'!$C$15:$C$214,MATCH(TEXT($I593,"yyyy-mm-dd")&amp;"||",'CALENDARIO'!$G$15:$G$214,0)),INDEX(patronHabil,WEEKDAY($I593,2)))))</f>
        <v/>
      </c>
    </row>
    <row r="594">
      <c r="I594" s="11" t="n">
        <v>46612</v>
      </c>
      <c r="J594" s="3">
        <f>IFERROR(INDEX('CALENDARIO'!$C$15:$C$214,MATCH(TEXT($I594,"yyyy-mm-dd")&amp;"|"&amp;""&amp;"|"&amp;"",'CALENDARIO'!$G$15:$G$214,0)),IFERROR(INDEX('CALENDARIO'!$C$15:$C$214,MATCH(TEXT($I594,"yyyy-mm-dd")&amp;"|"&amp;""&amp;"|",'CALENDARIO'!$G$15:$G$214,0)),IFERROR(INDEX('CALENDARIO'!$C$15:$C$214,MATCH(TEXT($I594,"yyyy-mm-dd")&amp;"||",'CALENDARIO'!$G$15:$G$214,0)),INDEX(patronHabil,WEEKDAY($I594,2)))))</f>
        <v/>
      </c>
    </row>
    <row r="595">
      <c r="I595" s="11" t="n">
        <v>46613</v>
      </c>
      <c r="J595" s="3">
        <f>IFERROR(INDEX('CALENDARIO'!$C$15:$C$214,MATCH(TEXT($I595,"yyyy-mm-dd")&amp;"|"&amp;""&amp;"|"&amp;"",'CALENDARIO'!$G$15:$G$214,0)),IFERROR(INDEX('CALENDARIO'!$C$15:$C$214,MATCH(TEXT($I595,"yyyy-mm-dd")&amp;"|"&amp;""&amp;"|",'CALENDARIO'!$G$15:$G$214,0)),IFERROR(INDEX('CALENDARIO'!$C$15:$C$214,MATCH(TEXT($I595,"yyyy-mm-dd")&amp;"||",'CALENDARIO'!$G$15:$G$214,0)),INDEX(patronHabil,WEEKDAY($I595,2)))))</f>
        <v/>
      </c>
    </row>
    <row r="596">
      <c r="I596" s="11" t="n">
        <v>46614</v>
      </c>
      <c r="J596" s="3">
        <f>IFERROR(INDEX('CALENDARIO'!$C$15:$C$214,MATCH(TEXT($I596,"yyyy-mm-dd")&amp;"|"&amp;""&amp;"|"&amp;"",'CALENDARIO'!$G$15:$G$214,0)),IFERROR(INDEX('CALENDARIO'!$C$15:$C$214,MATCH(TEXT($I596,"yyyy-mm-dd")&amp;"|"&amp;""&amp;"|",'CALENDARIO'!$G$15:$G$214,0)),IFERROR(INDEX('CALENDARIO'!$C$15:$C$214,MATCH(TEXT($I596,"yyyy-mm-dd")&amp;"||",'CALENDARIO'!$G$15:$G$214,0)),INDEX(patronHabil,WEEKDAY($I596,2)))))</f>
        <v/>
      </c>
    </row>
    <row r="597">
      <c r="I597" s="11" t="n">
        <v>46615</v>
      </c>
      <c r="J597" s="3">
        <f>IFERROR(INDEX('CALENDARIO'!$C$15:$C$214,MATCH(TEXT($I597,"yyyy-mm-dd")&amp;"|"&amp;""&amp;"|"&amp;"",'CALENDARIO'!$G$15:$G$214,0)),IFERROR(INDEX('CALENDARIO'!$C$15:$C$214,MATCH(TEXT($I597,"yyyy-mm-dd")&amp;"|"&amp;""&amp;"|",'CALENDARIO'!$G$15:$G$214,0)),IFERROR(INDEX('CALENDARIO'!$C$15:$C$214,MATCH(TEXT($I597,"yyyy-mm-dd")&amp;"||",'CALENDARIO'!$G$15:$G$214,0)),INDEX(patronHabil,WEEKDAY($I597,2)))))</f>
        <v/>
      </c>
    </row>
    <row r="598">
      <c r="I598" s="11" t="n">
        <v>46616</v>
      </c>
      <c r="J598" s="3">
        <f>IFERROR(INDEX('CALENDARIO'!$C$15:$C$214,MATCH(TEXT($I598,"yyyy-mm-dd")&amp;"|"&amp;""&amp;"|"&amp;"",'CALENDARIO'!$G$15:$G$214,0)),IFERROR(INDEX('CALENDARIO'!$C$15:$C$214,MATCH(TEXT($I598,"yyyy-mm-dd")&amp;"|"&amp;""&amp;"|",'CALENDARIO'!$G$15:$G$214,0)),IFERROR(INDEX('CALENDARIO'!$C$15:$C$214,MATCH(TEXT($I598,"yyyy-mm-dd")&amp;"||",'CALENDARIO'!$G$15:$G$214,0)),INDEX(patronHabil,WEEKDAY($I598,2)))))</f>
        <v/>
      </c>
    </row>
    <row r="599">
      <c r="I599" s="11" t="n">
        <v>46617</v>
      </c>
      <c r="J599" s="3">
        <f>IFERROR(INDEX('CALENDARIO'!$C$15:$C$214,MATCH(TEXT($I599,"yyyy-mm-dd")&amp;"|"&amp;""&amp;"|"&amp;"",'CALENDARIO'!$G$15:$G$214,0)),IFERROR(INDEX('CALENDARIO'!$C$15:$C$214,MATCH(TEXT($I599,"yyyy-mm-dd")&amp;"|"&amp;""&amp;"|",'CALENDARIO'!$G$15:$G$214,0)),IFERROR(INDEX('CALENDARIO'!$C$15:$C$214,MATCH(TEXT($I599,"yyyy-mm-dd")&amp;"||",'CALENDARIO'!$G$15:$G$214,0)),INDEX(patronHabil,WEEKDAY($I599,2)))))</f>
        <v/>
      </c>
    </row>
    <row r="600">
      <c r="I600" s="11" t="n">
        <v>46618</v>
      </c>
      <c r="J600" s="3">
        <f>IFERROR(INDEX('CALENDARIO'!$C$15:$C$214,MATCH(TEXT($I600,"yyyy-mm-dd")&amp;"|"&amp;""&amp;"|"&amp;"",'CALENDARIO'!$G$15:$G$214,0)),IFERROR(INDEX('CALENDARIO'!$C$15:$C$214,MATCH(TEXT($I600,"yyyy-mm-dd")&amp;"|"&amp;""&amp;"|",'CALENDARIO'!$G$15:$G$214,0)),IFERROR(INDEX('CALENDARIO'!$C$15:$C$214,MATCH(TEXT($I600,"yyyy-mm-dd")&amp;"||",'CALENDARIO'!$G$15:$G$214,0)),INDEX(patronHabil,WEEKDAY($I600,2)))))</f>
        <v/>
      </c>
    </row>
    <row r="601">
      <c r="I601" s="11" t="n">
        <v>46619</v>
      </c>
      <c r="J601" s="3">
        <f>IFERROR(INDEX('CALENDARIO'!$C$15:$C$214,MATCH(TEXT($I601,"yyyy-mm-dd")&amp;"|"&amp;""&amp;"|"&amp;"",'CALENDARIO'!$G$15:$G$214,0)),IFERROR(INDEX('CALENDARIO'!$C$15:$C$214,MATCH(TEXT($I601,"yyyy-mm-dd")&amp;"|"&amp;""&amp;"|",'CALENDARIO'!$G$15:$G$214,0)),IFERROR(INDEX('CALENDARIO'!$C$15:$C$214,MATCH(TEXT($I601,"yyyy-mm-dd")&amp;"||",'CALENDARIO'!$G$15:$G$214,0)),INDEX(patronHabil,WEEKDAY($I601,2)))))</f>
        <v/>
      </c>
    </row>
    <row r="602">
      <c r="I602" s="11" t="n">
        <v>46620</v>
      </c>
      <c r="J602" s="3">
        <f>IFERROR(INDEX('CALENDARIO'!$C$15:$C$214,MATCH(TEXT($I602,"yyyy-mm-dd")&amp;"|"&amp;""&amp;"|"&amp;"",'CALENDARIO'!$G$15:$G$214,0)),IFERROR(INDEX('CALENDARIO'!$C$15:$C$214,MATCH(TEXT($I602,"yyyy-mm-dd")&amp;"|"&amp;""&amp;"|",'CALENDARIO'!$G$15:$G$214,0)),IFERROR(INDEX('CALENDARIO'!$C$15:$C$214,MATCH(TEXT($I602,"yyyy-mm-dd")&amp;"||",'CALENDARIO'!$G$15:$G$214,0)),INDEX(patronHabil,WEEKDAY($I602,2)))))</f>
        <v/>
      </c>
    </row>
    <row r="603">
      <c r="I603" s="11" t="n">
        <v>46621</v>
      </c>
      <c r="J603" s="3">
        <f>IFERROR(INDEX('CALENDARIO'!$C$15:$C$214,MATCH(TEXT($I603,"yyyy-mm-dd")&amp;"|"&amp;""&amp;"|"&amp;"",'CALENDARIO'!$G$15:$G$214,0)),IFERROR(INDEX('CALENDARIO'!$C$15:$C$214,MATCH(TEXT($I603,"yyyy-mm-dd")&amp;"|"&amp;""&amp;"|",'CALENDARIO'!$G$15:$G$214,0)),IFERROR(INDEX('CALENDARIO'!$C$15:$C$214,MATCH(TEXT($I603,"yyyy-mm-dd")&amp;"||",'CALENDARIO'!$G$15:$G$214,0)),INDEX(patronHabil,WEEKDAY($I603,2)))))</f>
        <v/>
      </c>
    </row>
    <row r="604">
      <c r="I604" s="11" t="n">
        <v>46622</v>
      </c>
      <c r="J604" s="3">
        <f>IFERROR(INDEX('CALENDARIO'!$C$15:$C$214,MATCH(TEXT($I604,"yyyy-mm-dd")&amp;"|"&amp;""&amp;"|"&amp;"",'CALENDARIO'!$G$15:$G$214,0)),IFERROR(INDEX('CALENDARIO'!$C$15:$C$214,MATCH(TEXT($I604,"yyyy-mm-dd")&amp;"|"&amp;""&amp;"|",'CALENDARIO'!$G$15:$G$214,0)),IFERROR(INDEX('CALENDARIO'!$C$15:$C$214,MATCH(TEXT($I604,"yyyy-mm-dd")&amp;"||",'CALENDARIO'!$G$15:$G$214,0)),INDEX(patronHabil,WEEKDAY($I604,2)))))</f>
        <v/>
      </c>
    </row>
    <row r="605">
      <c r="I605" s="11" t="n">
        <v>46623</v>
      </c>
      <c r="J605" s="3">
        <f>IFERROR(INDEX('CALENDARIO'!$C$15:$C$214,MATCH(TEXT($I605,"yyyy-mm-dd")&amp;"|"&amp;""&amp;"|"&amp;"",'CALENDARIO'!$G$15:$G$214,0)),IFERROR(INDEX('CALENDARIO'!$C$15:$C$214,MATCH(TEXT($I605,"yyyy-mm-dd")&amp;"|"&amp;""&amp;"|",'CALENDARIO'!$G$15:$G$214,0)),IFERROR(INDEX('CALENDARIO'!$C$15:$C$214,MATCH(TEXT($I605,"yyyy-mm-dd")&amp;"||",'CALENDARIO'!$G$15:$G$214,0)),INDEX(patronHabil,WEEKDAY($I605,2)))))</f>
        <v/>
      </c>
    </row>
    <row r="606">
      <c r="I606" s="11" t="n">
        <v>46624</v>
      </c>
      <c r="J606" s="3">
        <f>IFERROR(INDEX('CALENDARIO'!$C$15:$C$214,MATCH(TEXT($I606,"yyyy-mm-dd")&amp;"|"&amp;""&amp;"|"&amp;"",'CALENDARIO'!$G$15:$G$214,0)),IFERROR(INDEX('CALENDARIO'!$C$15:$C$214,MATCH(TEXT($I606,"yyyy-mm-dd")&amp;"|"&amp;""&amp;"|",'CALENDARIO'!$G$15:$G$214,0)),IFERROR(INDEX('CALENDARIO'!$C$15:$C$214,MATCH(TEXT($I606,"yyyy-mm-dd")&amp;"||",'CALENDARIO'!$G$15:$G$214,0)),INDEX(patronHabil,WEEKDAY($I606,2)))))</f>
        <v/>
      </c>
    </row>
    <row r="607">
      <c r="I607" s="11" t="n">
        <v>46625</v>
      </c>
      <c r="J607" s="3">
        <f>IFERROR(INDEX('CALENDARIO'!$C$15:$C$214,MATCH(TEXT($I607,"yyyy-mm-dd")&amp;"|"&amp;""&amp;"|"&amp;"",'CALENDARIO'!$G$15:$G$214,0)),IFERROR(INDEX('CALENDARIO'!$C$15:$C$214,MATCH(TEXT($I607,"yyyy-mm-dd")&amp;"|"&amp;""&amp;"|",'CALENDARIO'!$G$15:$G$214,0)),IFERROR(INDEX('CALENDARIO'!$C$15:$C$214,MATCH(TEXT($I607,"yyyy-mm-dd")&amp;"||",'CALENDARIO'!$G$15:$G$214,0)),INDEX(patronHabil,WEEKDAY($I607,2)))))</f>
        <v/>
      </c>
    </row>
    <row r="608">
      <c r="I608" s="11" t="n">
        <v>46626</v>
      </c>
      <c r="J608" s="3">
        <f>IFERROR(INDEX('CALENDARIO'!$C$15:$C$214,MATCH(TEXT($I608,"yyyy-mm-dd")&amp;"|"&amp;""&amp;"|"&amp;"",'CALENDARIO'!$G$15:$G$214,0)),IFERROR(INDEX('CALENDARIO'!$C$15:$C$214,MATCH(TEXT($I608,"yyyy-mm-dd")&amp;"|"&amp;""&amp;"|",'CALENDARIO'!$G$15:$G$214,0)),IFERROR(INDEX('CALENDARIO'!$C$15:$C$214,MATCH(TEXT($I608,"yyyy-mm-dd")&amp;"||",'CALENDARIO'!$G$15:$G$214,0)),INDEX(patronHabil,WEEKDAY($I608,2)))))</f>
        <v/>
      </c>
    </row>
    <row r="609">
      <c r="I609" s="11" t="n">
        <v>46627</v>
      </c>
      <c r="J609" s="3">
        <f>IFERROR(INDEX('CALENDARIO'!$C$15:$C$214,MATCH(TEXT($I609,"yyyy-mm-dd")&amp;"|"&amp;""&amp;"|"&amp;"",'CALENDARIO'!$G$15:$G$214,0)),IFERROR(INDEX('CALENDARIO'!$C$15:$C$214,MATCH(TEXT($I609,"yyyy-mm-dd")&amp;"|"&amp;""&amp;"|",'CALENDARIO'!$G$15:$G$214,0)),IFERROR(INDEX('CALENDARIO'!$C$15:$C$214,MATCH(TEXT($I609,"yyyy-mm-dd")&amp;"||",'CALENDARIO'!$G$15:$G$214,0)),INDEX(patronHabil,WEEKDAY($I609,2)))))</f>
        <v/>
      </c>
    </row>
    <row r="610">
      <c r="I610" s="11" t="n">
        <v>46628</v>
      </c>
      <c r="J610" s="3">
        <f>IFERROR(INDEX('CALENDARIO'!$C$15:$C$214,MATCH(TEXT($I610,"yyyy-mm-dd")&amp;"|"&amp;""&amp;"|"&amp;"",'CALENDARIO'!$G$15:$G$214,0)),IFERROR(INDEX('CALENDARIO'!$C$15:$C$214,MATCH(TEXT($I610,"yyyy-mm-dd")&amp;"|"&amp;""&amp;"|",'CALENDARIO'!$G$15:$G$214,0)),IFERROR(INDEX('CALENDARIO'!$C$15:$C$214,MATCH(TEXT($I610,"yyyy-mm-dd")&amp;"||",'CALENDARIO'!$G$15:$G$214,0)),INDEX(patronHabil,WEEKDAY($I610,2)))))</f>
        <v/>
      </c>
    </row>
    <row r="611">
      <c r="I611" s="11" t="n">
        <v>46629</v>
      </c>
      <c r="J611" s="3">
        <f>IFERROR(INDEX('CALENDARIO'!$C$15:$C$214,MATCH(TEXT($I611,"yyyy-mm-dd")&amp;"|"&amp;""&amp;"|"&amp;"",'CALENDARIO'!$G$15:$G$214,0)),IFERROR(INDEX('CALENDARIO'!$C$15:$C$214,MATCH(TEXT($I611,"yyyy-mm-dd")&amp;"|"&amp;""&amp;"|",'CALENDARIO'!$G$15:$G$214,0)),IFERROR(INDEX('CALENDARIO'!$C$15:$C$214,MATCH(TEXT($I611,"yyyy-mm-dd")&amp;"||",'CALENDARIO'!$G$15:$G$214,0)),INDEX(patronHabil,WEEKDAY($I611,2)))))</f>
        <v/>
      </c>
    </row>
    <row r="612">
      <c r="I612" s="11" t="n">
        <v>46630</v>
      </c>
      <c r="J612" s="3">
        <f>IFERROR(INDEX('CALENDARIO'!$C$15:$C$214,MATCH(TEXT($I612,"yyyy-mm-dd")&amp;"|"&amp;""&amp;"|"&amp;"",'CALENDARIO'!$G$15:$G$214,0)),IFERROR(INDEX('CALENDARIO'!$C$15:$C$214,MATCH(TEXT($I612,"yyyy-mm-dd")&amp;"|"&amp;""&amp;"|",'CALENDARIO'!$G$15:$G$214,0)),IFERROR(INDEX('CALENDARIO'!$C$15:$C$214,MATCH(TEXT($I612,"yyyy-mm-dd")&amp;"||",'CALENDARIO'!$G$15:$G$214,0)),INDEX(patronHabil,WEEKDAY($I612,2)))))</f>
        <v/>
      </c>
    </row>
    <row r="613">
      <c r="I613" s="11" t="n">
        <v>46631</v>
      </c>
      <c r="J613" s="3">
        <f>IFERROR(INDEX('CALENDARIO'!$C$15:$C$214,MATCH(TEXT($I613,"yyyy-mm-dd")&amp;"|"&amp;""&amp;"|"&amp;"",'CALENDARIO'!$G$15:$G$214,0)),IFERROR(INDEX('CALENDARIO'!$C$15:$C$214,MATCH(TEXT($I613,"yyyy-mm-dd")&amp;"|"&amp;""&amp;"|",'CALENDARIO'!$G$15:$G$214,0)),IFERROR(INDEX('CALENDARIO'!$C$15:$C$214,MATCH(TEXT($I613,"yyyy-mm-dd")&amp;"||",'CALENDARIO'!$G$15:$G$214,0)),INDEX(patronHabil,WEEKDAY($I613,2)))))</f>
        <v/>
      </c>
    </row>
    <row r="614">
      <c r="I614" s="11" t="n">
        <v>46632</v>
      </c>
      <c r="J614" s="3">
        <f>IFERROR(INDEX('CALENDARIO'!$C$15:$C$214,MATCH(TEXT($I614,"yyyy-mm-dd")&amp;"|"&amp;""&amp;"|"&amp;"",'CALENDARIO'!$G$15:$G$214,0)),IFERROR(INDEX('CALENDARIO'!$C$15:$C$214,MATCH(TEXT($I614,"yyyy-mm-dd")&amp;"|"&amp;""&amp;"|",'CALENDARIO'!$G$15:$G$214,0)),IFERROR(INDEX('CALENDARIO'!$C$15:$C$214,MATCH(TEXT($I614,"yyyy-mm-dd")&amp;"||",'CALENDARIO'!$G$15:$G$214,0)),INDEX(patronHabil,WEEKDAY($I614,2)))))</f>
        <v/>
      </c>
    </row>
    <row r="615">
      <c r="I615" s="11" t="n">
        <v>46633</v>
      </c>
      <c r="J615" s="3">
        <f>IFERROR(INDEX('CALENDARIO'!$C$15:$C$214,MATCH(TEXT($I615,"yyyy-mm-dd")&amp;"|"&amp;""&amp;"|"&amp;"",'CALENDARIO'!$G$15:$G$214,0)),IFERROR(INDEX('CALENDARIO'!$C$15:$C$214,MATCH(TEXT($I615,"yyyy-mm-dd")&amp;"|"&amp;""&amp;"|",'CALENDARIO'!$G$15:$G$214,0)),IFERROR(INDEX('CALENDARIO'!$C$15:$C$214,MATCH(TEXT($I615,"yyyy-mm-dd")&amp;"||",'CALENDARIO'!$G$15:$G$214,0)),INDEX(patronHabil,WEEKDAY($I615,2)))))</f>
        <v/>
      </c>
    </row>
    <row r="616">
      <c r="I616" s="11" t="n">
        <v>46634</v>
      </c>
      <c r="J616" s="3">
        <f>IFERROR(INDEX('CALENDARIO'!$C$15:$C$214,MATCH(TEXT($I616,"yyyy-mm-dd")&amp;"|"&amp;""&amp;"|"&amp;"",'CALENDARIO'!$G$15:$G$214,0)),IFERROR(INDEX('CALENDARIO'!$C$15:$C$214,MATCH(TEXT($I616,"yyyy-mm-dd")&amp;"|"&amp;""&amp;"|",'CALENDARIO'!$G$15:$G$214,0)),IFERROR(INDEX('CALENDARIO'!$C$15:$C$214,MATCH(TEXT($I616,"yyyy-mm-dd")&amp;"||",'CALENDARIO'!$G$15:$G$214,0)),INDEX(patronHabil,WEEKDAY($I616,2)))))</f>
        <v/>
      </c>
    </row>
    <row r="617">
      <c r="I617" s="11" t="n">
        <v>46635</v>
      </c>
      <c r="J617" s="3">
        <f>IFERROR(INDEX('CALENDARIO'!$C$15:$C$214,MATCH(TEXT($I617,"yyyy-mm-dd")&amp;"|"&amp;""&amp;"|"&amp;"",'CALENDARIO'!$G$15:$G$214,0)),IFERROR(INDEX('CALENDARIO'!$C$15:$C$214,MATCH(TEXT($I617,"yyyy-mm-dd")&amp;"|"&amp;""&amp;"|",'CALENDARIO'!$G$15:$G$214,0)),IFERROR(INDEX('CALENDARIO'!$C$15:$C$214,MATCH(TEXT($I617,"yyyy-mm-dd")&amp;"||",'CALENDARIO'!$G$15:$G$214,0)),INDEX(patronHabil,WEEKDAY($I617,2)))))</f>
        <v/>
      </c>
    </row>
    <row r="618">
      <c r="I618" s="11" t="n">
        <v>46636</v>
      </c>
      <c r="J618" s="3">
        <f>IFERROR(INDEX('CALENDARIO'!$C$15:$C$214,MATCH(TEXT($I618,"yyyy-mm-dd")&amp;"|"&amp;""&amp;"|"&amp;"",'CALENDARIO'!$G$15:$G$214,0)),IFERROR(INDEX('CALENDARIO'!$C$15:$C$214,MATCH(TEXT($I618,"yyyy-mm-dd")&amp;"|"&amp;""&amp;"|",'CALENDARIO'!$G$15:$G$214,0)),IFERROR(INDEX('CALENDARIO'!$C$15:$C$214,MATCH(TEXT($I618,"yyyy-mm-dd")&amp;"||",'CALENDARIO'!$G$15:$G$214,0)),INDEX(patronHabil,WEEKDAY($I618,2)))))</f>
        <v/>
      </c>
    </row>
    <row r="619">
      <c r="I619" s="11" t="n">
        <v>46637</v>
      </c>
      <c r="J619" s="3">
        <f>IFERROR(INDEX('CALENDARIO'!$C$15:$C$214,MATCH(TEXT($I619,"yyyy-mm-dd")&amp;"|"&amp;""&amp;"|"&amp;"",'CALENDARIO'!$G$15:$G$214,0)),IFERROR(INDEX('CALENDARIO'!$C$15:$C$214,MATCH(TEXT($I619,"yyyy-mm-dd")&amp;"|"&amp;""&amp;"|",'CALENDARIO'!$G$15:$G$214,0)),IFERROR(INDEX('CALENDARIO'!$C$15:$C$214,MATCH(TEXT($I619,"yyyy-mm-dd")&amp;"||",'CALENDARIO'!$G$15:$G$214,0)),INDEX(patronHabil,WEEKDAY($I619,2)))))</f>
        <v/>
      </c>
    </row>
    <row r="620">
      <c r="I620" s="11" t="n">
        <v>46638</v>
      </c>
      <c r="J620" s="3">
        <f>IFERROR(INDEX('CALENDARIO'!$C$15:$C$214,MATCH(TEXT($I620,"yyyy-mm-dd")&amp;"|"&amp;""&amp;"|"&amp;"",'CALENDARIO'!$G$15:$G$214,0)),IFERROR(INDEX('CALENDARIO'!$C$15:$C$214,MATCH(TEXT($I620,"yyyy-mm-dd")&amp;"|"&amp;""&amp;"|",'CALENDARIO'!$G$15:$G$214,0)),IFERROR(INDEX('CALENDARIO'!$C$15:$C$214,MATCH(TEXT($I620,"yyyy-mm-dd")&amp;"||",'CALENDARIO'!$G$15:$G$214,0)),INDEX(patronHabil,WEEKDAY($I620,2)))))</f>
        <v/>
      </c>
    </row>
    <row r="621">
      <c r="I621" s="11" t="n">
        <v>46639</v>
      </c>
      <c r="J621" s="3">
        <f>IFERROR(INDEX('CALENDARIO'!$C$15:$C$214,MATCH(TEXT($I621,"yyyy-mm-dd")&amp;"|"&amp;""&amp;"|"&amp;"",'CALENDARIO'!$G$15:$G$214,0)),IFERROR(INDEX('CALENDARIO'!$C$15:$C$214,MATCH(TEXT($I621,"yyyy-mm-dd")&amp;"|"&amp;""&amp;"|",'CALENDARIO'!$G$15:$G$214,0)),IFERROR(INDEX('CALENDARIO'!$C$15:$C$214,MATCH(TEXT($I621,"yyyy-mm-dd")&amp;"||",'CALENDARIO'!$G$15:$G$214,0)),INDEX(patronHabil,WEEKDAY($I621,2)))))</f>
        <v/>
      </c>
    </row>
    <row r="622">
      <c r="I622" s="11" t="n">
        <v>46640</v>
      </c>
      <c r="J622" s="3">
        <f>IFERROR(INDEX('CALENDARIO'!$C$15:$C$214,MATCH(TEXT($I622,"yyyy-mm-dd")&amp;"|"&amp;""&amp;"|"&amp;"",'CALENDARIO'!$G$15:$G$214,0)),IFERROR(INDEX('CALENDARIO'!$C$15:$C$214,MATCH(TEXT($I622,"yyyy-mm-dd")&amp;"|"&amp;""&amp;"|",'CALENDARIO'!$G$15:$G$214,0)),IFERROR(INDEX('CALENDARIO'!$C$15:$C$214,MATCH(TEXT($I622,"yyyy-mm-dd")&amp;"||",'CALENDARIO'!$G$15:$G$214,0)),INDEX(patronHabil,WEEKDAY($I622,2)))))</f>
        <v/>
      </c>
    </row>
    <row r="623">
      <c r="I623" s="11" t="n">
        <v>46641</v>
      </c>
      <c r="J623" s="3">
        <f>IFERROR(INDEX('CALENDARIO'!$C$15:$C$214,MATCH(TEXT($I623,"yyyy-mm-dd")&amp;"|"&amp;""&amp;"|"&amp;"",'CALENDARIO'!$G$15:$G$214,0)),IFERROR(INDEX('CALENDARIO'!$C$15:$C$214,MATCH(TEXT($I623,"yyyy-mm-dd")&amp;"|"&amp;""&amp;"|",'CALENDARIO'!$G$15:$G$214,0)),IFERROR(INDEX('CALENDARIO'!$C$15:$C$214,MATCH(TEXT($I623,"yyyy-mm-dd")&amp;"||",'CALENDARIO'!$G$15:$G$214,0)),INDEX(patronHabil,WEEKDAY($I623,2)))))</f>
        <v/>
      </c>
    </row>
    <row r="624">
      <c r="I624" s="11" t="n">
        <v>46642</v>
      </c>
      <c r="J624" s="3">
        <f>IFERROR(INDEX('CALENDARIO'!$C$15:$C$214,MATCH(TEXT($I624,"yyyy-mm-dd")&amp;"|"&amp;""&amp;"|"&amp;"",'CALENDARIO'!$G$15:$G$214,0)),IFERROR(INDEX('CALENDARIO'!$C$15:$C$214,MATCH(TEXT($I624,"yyyy-mm-dd")&amp;"|"&amp;""&amp;"|",'CALENDARIO'!$G$15:$G$214,0)),IFERROR(INDEX('CALENDARIO'!$C$15:$C$214,MATCH(TEXT($I624,"yyyy-mm-dd")&amp;"||",'CALENDARIO'!$G$15:$G$214,0)),INDEX(patronHabil,WEEKDAY($I624,2)))))</f>
        <v/>
      </c>
    </row>
    <row r="625">
      <c r="I625" s="11" t="n">
        <v>46643</v>
      </c>
      <c r="J625" s="3">
        <f>IFERROR(INDEX('CALENDARIO'!$C$15:$C$214,MATCH(TEXT($I625,"yyyy-mm-dd")&amp;"|"&amp;""&amp;"|"&amp;"",'CALENDARIO'!$G$15:$G$214,0)),IFERROR(INDEX('CALENDARIO'!$C$15:$C$214,MATCH(TEXT($I625,"yyyy-mm-dd")&amp;"|"&amp;""&amp;"|",'CALENDARIO'!$G$15:$G$214,0)),IFERROR(INDEX('CALENDARIO'!$C$15:$C$214,MATCH(TEXT($I625,"yyyy-mm-dd")&amp;"||",'CALENDARIO'!$G$15:$G$214,0)),INDEX(patronHabil,WEEKDAY($I625,2)))))</f>
        <v/>
      </c>
    </row>
    <row r="626">
      <c r="I626" s="11" t="n">
        <v>46644</v>
      </c>
      <c r="J626" s="3">
        <f>IFERROR(INDEX('CALENDARIO'!$C$15:$C$214,MATCH(TEXT($I626,"yyyy-mm-dd")&amp;"|"&amp;""&amp;"|"&amp;"",'CALENDARIO'!$G$15:$G$214,0)),IFERROR(INDEX('CALENDARIO'!$C$15:$C$214,MATCH(TEXT($I626,"yyyy-mm-dd")&amp;"|"&amp;""&amp;"|",'CALENDARIO'!$G$15:$G$214,0)),IFERROR(INDEX('CALENDARIO'!$C$15:$C$214,MATCH(TEXT($I626,"yyyy-mm-dd")&amp;"||",'CALENDARIO'!$G$15:$G$214,0)),INDEX(patronHabil,WEEKDAY($I626,2)))))</f>
        <v/>
      </c>
    </row>
    <row r="627">
      <c r="I627" s="11" t="n">
        <v>46645</v>
      </c>
      <c r="J627" s="3">
        <f>IFERROR(INDEX('CALENDARIO'!$C$15:$C$214,MATCH(TEXT($I627,"yyyy-mm-dd")&amp;"|"&amp;""&amp;"|"&amp;"",'CALENDARIO'!$G$15:$G$214,0)),IFERROR(INDEX('CALENDARIO'!$C$15:$C$214,MATCH(TEXT($I627,"yyyy-mm-dd")&amp;"|"&amp;""&amp;"|",'CALENDARIO'!$G$15:$G$214,0)),IFERROR(INDEX('CALENDARIO'!$C$15:$C$214,MATCH(TEXT($I627,"yyyy-mm-dd")&amp;"||",'CALENDARIO'!$G$15:$G$214,0)),INDEX(patronHabil,WEEKDAY($I627,2)))))</f>
        <v/>
      </c>
    </row>
    <row r="628">
      <c r="I628" s="11" t="n">
        <v>46646</v>
      </c>
      <c r="J628" s="3">
        <f>IFERROR(INDEX('CALENDARIO'!$C$15:$C$214,MATCH(TEXT($I628,"yyyy-mm-dd")&amp;"|"&amp;""&amp;"|"&amp;"",'CALENDARIO'!$G$15:$G$214,0)),IFERROR(INDEX('CALENDARIO'!$C$15:$C$214,MATCH(TEXT($I628,"yyyy-mm-dd")&amp;"|"&amp;""&amp;"|",'CALENDARIO'!$G$15:$G$214,0)),IFERROR(INDEX('CALENDARIO'!$C$15:$C$214,MATCH(TEXT($I628,"yyyy-mm-dd")&amp;"||",'CALENDARIO'!$G$15:$G$214,0)),INDEX(patronHabil,WEEKDAY($I628,2)))))</f>
        <v/>
      </c>
    </row>
    <row r="629">
      <c r="I629" s="11" t="n">
        <v>46647</v>
      </c>
      <c r="J629" s="3">
        <f>IFERROR(INDEX('CALENDARIO'!$C$15:$C$214,MATCH(TEXT($I629,"yyyy-mm-dd")&amp;"|"&amp;""&amp;"|"&amp;"",'CALENDARIO'!$G$15:$G$214,0)),IFERROR(INDEX('CALENDARIO'!$C$15:$C$214,MATCH(TEXT($I629,"yyyy-mm-dd")&amp;"|"&amp;""&amp;"|",'CALENDARIO'!$G$15:$G$214,0)),IFERROR(INDEX('CALENDARIO'!$C$15:$C$214,MATCH(TEXT($I629,"yyyy-mm-dd")&amp;"||",'CALENDARIO'!$G$15:$G$214,0)),INDEX(patronHabil,WEEKDAY($I629,2)))))</f>
        <v/>
      </c>
    </row>
    <row r="630">
      <c r="I630" s="11" t="n">
        <v>46648</v>
      </c>
      <c r="J630" s="3">
        <f>IFERROR(INDEX('CALENDARIO'!$C$15:$C$214,MATCH(TEXT($I630,"yyyy-mm-dd")&amp;"|"&amp;""&amp;"|"&amp;"",'CALENDARIO'!$G$15:$G$214,0)),IFERROR(INDEX('CALENDARIO'!$C$15:$C$214,MATCH(TEXT($I630,"yyyy-mm-dd")&amp;"|"&amp;""&amp;"|",'CALENDARIO'!$G$15:$G$214,0)),IFERROR(INDEX('CALENDARIO'!$C$15:$C$214,MATCH(TEXT($I630,"yyyy-mm-dd")&amp;"||",'CALENDARIO'!$G$15:$G$214,0)),INDEX(patronHabil,WEEKDAY($I630,2)))))</f>
        <v/>
      </c>
    </row>
    <row r="631">
      <c r="I631" s="11" t="n">
        <v>46649</v>
      </c>
      <c r="J631" s="3">
        <f>IFERROR(INDEX('CALENDARIO'!$C$15:$C$214,MATCH(TEXT($I631,"yyyy-mm-dd")&amp;"|"&amp;""&amp;"|"&amp;"",'CALENDARIO'!$G$15:$G$214,0)),IFERROR(INDEX('CALENDARIO'!$C$15:$C$214,MATCH(TEXT($I631,"yyyy-mm-dd")&amp;"|"&amp;""&amp;"|",'CALENDARIO'!$G$15:$G$214,0)),IFERROR(INDEX('CALENDARIO'!$C$15:$C$214,MATCH(TEXT($I631,"yyyy-mm-dd")&amp;"||",'CALENDARIO'!$G$15:$G$214,0)),INDEX(patronHabil,WEEKDAY($I631,2)))))</f>
        <v/>
      </c>
    </row>
    <row r="632">
      <c r="I632" s="11" t="n">
        <v>46650</v>
      </c>
      <c r="J632" s="3">
        <f>IFERROR(INDEX('CALENDARIO'!$C$15:$C$214,MATCH(TEXT($I632,"yyyy-mm-dd")&amp;"|"&amp;""&amp;"|"&amp;"",'CALENDARIO'!$G$15:$G$214,0)),IFERROR(INDEX('CALENDARIO'!$C$15:$C$214,MATCH(TEXT($I632,"yyyy-mm-dd")&amp;"|"&amp;""&amp;"|",'CALENDARIO'!$G$15:$G$214,0)),IFERROR(INDEX('CALENDARIO'!$C$15:$C$214,MATCH(TEXT($I632,"yyyy-mm-dd")&amp;"||",'CALENDARIO'!$G$15:$G$214,0)),INDEX(patronHabil,WEEKDAY($I632,2)))))</f>
        <v/>
      </c>
    </row>
    <row r="633">
      <c r="I633" s="11" t="n">
        <v>46651</v>
      </c>
      <c r="J633" s="3">
        <f>IFERROR(INDEX('CALENDARIO'!$C$15:$C$214,MATCH(TEXT($I633,"yyyy-mm-dd")&amp;"|"&amp;""&amp;"|"&amp;"",'CALENDARIO'!$G$15:$G$214,0)),IFERROR(INDEX('CALENDARIO'!$C$15:$C$214,MATCH(TEXT($I633,"yyyy-mm-dd")&amp;"|"&amp;""&amp;"|",'CALENDARIO'!$G$15:$G$214,0)),IFERROR(INDEX('CALENDARIO'!$C$15:$C$214,MATCH(TEXT($I633,"yyyy-mm-dd")&amp;"||",'CALENDARIO'!$G$15:$G$214,0)),INDEX(patronHabil,WEEKDAY($I633,2)))))</f>
        <v/>
      </c>
    </row>
    <row r="634">
      <c r="I634" s="11" t="n">
        <v>46652</v>
      </c>
      <c r="J634" s="3">
        <f>IFERROR(INDEX('CALENDARIO'!$C$15:$C$214,MATCH(TEXT($I634,"yyyy-mm-dd")&amp;"|"&amp;""&amp;"|"&amp;"",'CALENDARIO'!$G$15:$G$214,0)),IFERROR(INDEX('CALENDARIO'!$C$15:$C$214,MATCH(TEXT($I634,"yyyy-mm-dd")&amp;"|"&amp;""&amp;"|",'CALENDARIO'!$G$15:$G$214,0)),IFERROR(INDEX('CALENDARIO'!$C$15:$C$214,MATCH(TEXT($I634,"yyyy-mm-dd")&amp;"||",'CALENDARIO'!$G$15:$G$214,0)),INDEX(patronHabil,WEEKDAY($I634,2)))))</f>
        <v/>
      </c>
    </row>
    <row r="635">
      <c r="I635" s="11" t="n">
        <v>46653</v>
      </c>
      <c r="J635" s="3">
        <f>IFERROR(INDEX('CALENDARIO'!$C$15:$C$214,MATCH(TEXT($I635,"yyyy-mm-dd")&amp;"|"&amp;""&amp;"|"&amp;"",'CALENDARIO'!$G$15:$G$214,0)),IFERROR(INDEX('CALENDARIO'!$C$15:$C$214,MATCH(TEXT($I635,"yyyy-mm-dd")&amp;"|"&amp;""&amp;"|",'CALENDARIO'!$G$15:$G$214,0)),IFERROR(INDEX('CALENDARIO'!$C$15:$C$214,MATCH(TEXT($I635,"yyyy-mm-dd")&amp;"||",'CALENDARIO'!$G$15:$G$214,0)),INDEX(patronHabil,WEEKDAY($I635,2)))))</f>
        <v/>
      </c>
    </row>
    <row r="636">
      <c r="I636" s="11" t="n">
        <v>46654</v>
      </c>
      <c r="J636" s="3">
        <f>IFERROR(INDEX('CALENDARIO'!$C$15:$C$214,MATCH(TEXT($I636,"yyyy-mm-dd")&amp;"|"&amp;""&amp;"|"&amp;"",'CALENDARIO'!$G$15:$G$214,0)),IFERROR(INDEX('CALENDARIO'!$C$15:$C$214,MATCH(TEXT($I636,"yyyy-mm-dd")&amp;"|"&amp;""&amp;"|",'CALENDARIO'!$G$15:$G$214,0)),IFERROR(INDEX('CALENDARIO'!$C$15:$C$214,MATCH(TEXT($I636,"yyyy-mm-dd")&amp;"||",'CALENDARIO'!$G$15:$G$214,0)),INDEX(patronHabil,WEEKDAY($I636,2)))))</f>
        <v/>
      </c>
    </row>
    <row r="637">
      <c r="I637" s="11" t="n">
        <v>46655</v>
      </c>
      <c r="J637" s="3">
        <f>IFERROR(INDEX('CALENDARIO'!$C$15:$C$214,MATCH(TEXT($I637,"yyyy-mm-dd")&amp;"|"&amp;""&amp;"|"&amp;"",'CALENDARIO'!$G$15:$G$214,0)),IFERROR(INDEX('CALENDARIO'!$C$15:$C$214,MATCH(TEXT($I637,"yyyy-mm-dd")&amp;"|"&amp;""&amp;"|",'CALENDARIO'!$G$15:$G$214,0)),IFERROR(INDEX('CALENDARIO'!$C$15:$C$214,MATCH(TEXT($I637,"yyyy-mm-dd")&amp;"||",'CALENDARIO'!$G$15:$G$214,0)),INDEX(patronHabil,WEEKDAY($I637,2)))))</f>
        <v/>
      </c>
    </row>
    <row r="638">
      <c r="I638" s="11" t="n">
        <v>46656</v>
      </c>
      <c r="J638" s="3">
        <f>IFERROR(INDEX('CALENDARIO'!$C$15:$C$214,MATCH(TEXT($I638,"yyyy-mm-dd")&amp;"|"&amp;""&amp;"|"&amp;"",'CALENDARIO'!$G$15:$G$214,0)),IFERROR(INDEX('CALENDARIO'!$C$15:$C$214,MATCH(TEXT($I638,"yyyy-mm-dd")&amp;"|"&amp;""&amp;"|",'CALENDARIO'!$G$15:$G$214,0)),IFERROR(INDEX('CALENDARIO'!$C$15:$C$214,MATCH(TEXT($I638,"yyyy-mm-dd")&amp;"||",'CALENDARIO'!$G$15:$G$214,0)),INDEX(patronHabil,WEEKDAY($I638,2)))))</f>
        <v/>
      </c>
    </row>
    <row r="639">
      <c r="I639" s="11" t="n">
        <v>46657</v>
      </c>
      <c r="J639" s="3">
        <f>IFERROR(INDEX('CALENDARIO'!$C$15:$C$214,MATCH(TEXT($I639,"yyyy-mm-dd")&amp;"|"&amp;""&amp;"|"&amp;"",'CALENDARIO'!$G$15:$G$214,0)),IFERROR(INDEX('CALENDARIO'!$C$15:$C$214,MATCH(TEXT($I639,"yyyy-mm-dd")&amp;"|"&amp;""&amp;"|",'CALENDARIO'!$G$15:$G$214,0)),IFERROR(INDEX('CALENDARIO'!$C$15:$C$214,MATCH(TEXT($I639,"yyyy-mm-dd")&amp;"||",'CALENDARIO'!$G$15:$G$214,0)),INDEX(patronHabil,WEEKDAY($I639,2)))))</f>
        <v/>
      </c>
    </row>
    <row r="640">
      <c r="I640" s="11" t="n">
        <v>46658</v>
      </c>
      <c r="J640" s="3">
        <f>IFERROR(INDEX('CALENDARIO'!$C$15:$C$214,MATCH(TEXT($I640,"yyyy-mm-dd")&amp;"|"&amp;""&amp;"|"&amp;"",'CALENDARIO'!$G$15:$G$214,0)),IFERROR(INDEX('CALENDARIO'!$C$15:$C$214,MATCH(TEXT($I640,"yyyy-mm-dd")&amp;"|"&amp;""&amp;"|",'CALENDARIO'!$G$15:$G$214,0)),IFERROR(INDEX('CALENDARIO'!$C$15:$C$214,MATCH(TEXT($I640,"yyyy-mm-dd")&amp;"||",'CALENDARIO'!$G$15:$G$214,0)),INDEX(patronHabil,WEEKDAY($I640,2)))))</f>
        <v/>
      </c>
    </row>
    <row r="641">
      <c r="I641" s="11" t="n">
        <v>46659</v>
      </c>
      <c r="J641" s="3">
        <f>IFERROR(INDEX('CALENDARIO'!$C$15:$C$214,MATCH(TEXT($I641,"yyyy-mm-dd")&amp;"|"&amp;""&amp;"|"&amp;"",'CALENDARIO'!$G$15:$G$214,0)),IFERROR(INDEX('CALENDARIO'!$C$15:$C$214,MATCH(TEXT($I641,"yyyy-mm-dd")&amp;"|"&amp;""&amp;"|",'CALENDARIO'!$G$15:$G$214,0)),IFERROR(INDEX('CALENDARIO'!$C$15:$C$214,MATCH(TEXT($I641,"yyyy-mm-dd")&amp;"||",'CALENDARIO'!$G$15:$G$214,0)),INDEX(patronHabil,WEEKDAY($I641,2)))))</f>
        <v/>
      </c>
    </row>
    <row r="642">
      <c r="I642" s="11" t="n">
        <v>46660</v>
      </c>
      <c r="J642" s="3">
        <f>IFERROR(INDEX('CALENDARIO'!$C$15:$C$214,MATCH(TEXT($I642,"yyyy-mm-dd")&amp;"|"&amp;""&amp;"|"&amp;"",'CALENDARIO'!$G$15:$G$214,0)),IFERROR(INDEX('CALENDARIO'!$C$15:$C$214,MATCH(TEXT($I642,"yyyy-mm-dd")&amp;"|"&amp;""&amp;"|",'CALENDARIO'!$G$15:$G$214,0)),IFERROR(INDEX('CALENDARIO'!$C$15:$C$214,MATCH(TEXT($I642,"yyyy-mm-dd")&amp;"||",'CALENDARIO'!$G$15:$G$214,0)),INDEX(patronHabil,WEEKDAY($I642,2)))))</f>
        <v/>
      </c>
    </row>
    <row r="643">
      <c r="I643" s="11" t="n">
        <v>46661</v>
      </c>
      <c r="J643" s="3">
        <f>IFERROR(INDEX('CALENDARIO'!$C$15:$C$214,MATCH(TEXT($I643,"yyyy-mm-dd")&amp;"|"&amp;""&amp;"|"&amp;"",'CALENDARIO'!$G$15:$G$214,0)),IFERROR(INDEX('CALENDARIO'!$C$15:$C$214,MATCH(TEXT($I643,"yyyy-mm-dd")&amp;"|"&amp;""&amp;"|",'CALENDARIO'!$G$15:$G$214,0)),IFERROR(INDEX('CALENDARIO'!$C$15:$C$214,MATCH(TEXT($I643,"yyyy-mm-dd")&amp;"||",'CALENDARIO'!$G$15:$G$214,0)),INDEX(patronHabil,WEEKDAY($I643,2)))))</f>
        <v/>
      </c>
    </row>
    <row r="644">
      <c r="I644" s="11" t="n">
        <v>46662</v>
      </c>
      <c r="J644" s="3">
        <f>IFERROR(INDEX('CALENDARIO'!$C$15:$C$214,MATCH(TEXT($I644,"yyyy-mm-dd")&amp;"|"&amp;""&amp;"|"&amp;"",'CALENDARIO'!$G$15:$G$214,0)),IFERROR(INDEX('CALENDARIO'!$C$15:$C$214,MATCH(TEXT($I644,"yyyy-mm-dd")&amp;"|"&amp;""&amp;"|",'CALENDARIO'!$G$15:$G$214,0)),IFERROR(INDEX('CALENDARIO'!$C$15:$C$214,MATCH(TEXT($I644,"yyyy-mm-dd")&amp;"||",'CALENDARIO'!$G$15:$G$214,0)),INDEX(patronHabil,WEEKDAY($I644,2)))))</f>
        <v/>
      </c>
    </row>
    <row r="645">
      <c r="I645" s="11" t="n">
        <v>46663</v>
      </c>
      <c r="J645" s="3">
        <f>IFERROR(INDEX('CALENDARIO'!$C$15:$C$214,MATCH(TEXT($I645,"yyyy-mm-dd")&amp;"|"&amp;""&amp;"|"&amp;"",'CALENDARIO'!$G$15:$G$214,0)),IFERROR(INDEX('CALENDARIO'!$C$15:$C$214,MATCH(TEXT($I645,"yyyy-mm-dd")&amp;"|"&amp;""&amp;"|",'CALENDARIO'!$G$15:$G$214,0)),IFERROR(INDEX('CALENDARIO'!$C$15:$C$214,MATCH(TEXT($I645,"yyyy-mm-dd")&amp;"||",'CALENDARIO'!$G$15:$G$214,0)),INDEX(patronHabil,WEEKDAY($I645,2)))))</f>
        <v/>
      </c>
    </row>
    <row r="646">
      <c r="I646" s="11" t="n">
        <v>46664</v>
      </c>
      <c r="J646" s="3">
        <f>IFERROR(INDEX('CALENDARIO'!$C$15:$C$214,MATCH(TEXT($I646,"yyyy-mm-dd")&amp;"|"&amp;""&amp;"|"&amp;"",'CALENDARIO'!$G$15:$G$214,0)),IFERROR(INDEX('CALENDARIO'!$C$15:$C$214,MATCH(TEXT($I646,"yyyy-mm-dd")&amp;"|"&amp;""&amp;"|",'CALENDARIO'!$G$15:$G$214,0)),IFERROR(INDEX('CALENDARIO'!$C$15:$C$214,MATCH(TEXT($I646,"yyyy-mm-dd")&amp;"||",'CALENDARIO'!$G$15:$G$214,0)),INDEX(patronHabil,WEEKDAY($I646,2)))))</f>
        <v/>
      </c>
    </row>
    <row r="647">
      <c r="I647" s="11" t="n">
        <v>46665</v>
      </c>
      <c r="J647" s="3">
        <f>IFERROR(INDEX('CALENDARIO'!$C$15:$C$214,MATCH(TEXT($I647,"yyyy-mm-dd")&amp;"|"&amp;""&amp;"|"&amp;"",'CALENDARIO'!$G$15:$G$214,0)),IFERROR(INDEX('CALENDARIO'!$C$15:$C$214,MATCH(TEXT($I647,"yyyy-mm-dd")&amp;"|"&amp;""&amp;"|",'CALENDARIO'!$G$15:$G$214,0)),IFERROR(INDEX('CALENDARIO'!$C$15:$C$214,MATCH(TEXT($I647,"yyyy-mm-dd")&amp;"||",'CALENDARIO'!$G$15:$G$214,0)),INDEX(patronHabil,WEEKDAY($I647,2)))))</f>
        <v/>
      </c>
    </row>
    <row r="648">
      <c r="I648" s="11" t="n">
        <v>46666</v>
      </c>
      <c r="J648" s="3">
        <f>IFERROR(INDEX('CALENDARIO'!$C$15:$C$214,MATCH(TEXT($I648,"yyyy-mm-dd")&amp;"|"&amp;""&amp;"|"&amp;"",'CALENDARIO'!$G$15:$G$214,0)),IFERROR(INDEX('CALENDARIO'!$C$15:$C$214,MATCH(TEXT($I648,"yyyy-mm-dd")&amp;"|"&amp;""&amp;"|",'CALENDARIO'!$G$15:$G$214,0)),IFERROR(INDEX('CALENDARIO'!$C$15:$C$214,MATCH(TEXT($I648,"yyyy-mm-dd")&amp;"||",'CALENDARIO'!$G$15:$G$214,0)),INDEX(patronHabil,WEEKDAY($I648,2)))))</f>
        <v/>
      </c>
    </row>
    <row r="649">
      <c r="I649" s="11" t="n">
        <v>46667</v>
      </c>
      <c r="J649" s="3">
        <f>IFERROR(INDEX('CALENDARIO'!$C$15:$C$214,MATCH(TEXT($I649,"yyyy-mm-dd")&amp;"|"&amp;""&amp;"|"&amp;"",'CALENDARIO'!$G$15:$G$214,0)),IFERROR(INDEX('CALENDARIO'!$C$15:$C$214,MATCH(TEXT($I649,"yyyy-mm-dd")&amp;"|"&amp;""&amp;"|",'CALENDARIO'!$G$15:$G$214,0)),IFERROR(INDEX('CALENDARIO'!$C$15:$C$214,MATCH(TEXT($I649,"yyyy-mm-dd")&amp;"||",'CALENDARIO'!$G$15:$G$214,0)),INDEX(patronHabil,WEEKDAY($I649,2)))))</f>
        <v/>
      </c>
    </row>
    <row r="650">
      <c r="I650" s="11" t="n">
        <v>46668</v>
      </c>
      <c r="J650" s="3">
        <f>IFERROR(INDEX('CALENDARIO'!$C$15:$C$214,MATCH(TEXT($I650,"yyyy-mm-dd")&amp;"|"&amp;""&amp;"|"&amp;"",'CALENDARIO'!$G$15:$G$214,0)),IFERROR(INDEX('CALENDARIO'!$C$15:$C$214,MATCH(TEXT($I650,"yyyy-mm-dd")&amp;"|"&amp;""&amp;"|",'CALENDARIO'!$G$15:$G$214,0)),IFERROR(INDEX('CALENDARIO'!$C$15:$C$214,MATCH(TEXT($I650,"yyyy-mm-dd")&amp;"||",'CALENDARIO'!$G$15:$G$214,0)),INDEX(patronHabil,WEEKDAY($I650,2)))))</f>
        <v/>
      </c>
    </row>
    <row r="651">
      <c r="I651" s="11" t="n">
        <v>46669</v>
      </c>
      <c r="J651" s="3">
        <f>IFERROR(INDEX('CALENDARIO'!$C$15:$C$214,MATCH(TEXT($I651,"yyyy-mm-dd")&amp;"|"&amp;""&amp;"|"&amp;"",'CALENDARIO'!$G$15:$G$214,0)),IFERROR(INDEX('CALENDARIO'!$C$15:$C$214,MATCH(TEXT($I651,"yyyy-mm-dd")&amp;"|"&amp;""&amp;"|",'CALENDARIO'!$G$15:$G$214,0)),IFERROR(INDEX('CALENDARIO'!$C$15:$C$214,MATCH(TEXT($I651,"yyyy-mm-dd")&amp;"||",'CALENDARIO'!$G$15:$G$214,0)),INDEX(patronHabil,WEEKDAY($I651,2)))))</f>
        <v/>
      </c>
    </row>
    <row r="652">
      <c r="I652" s="11" t="n">
        <v>46670</v>
      </c>
      <c r="J652" s="3">
        <f>IFERROR(INDEX('CALENDARIO'!$C$15:$C$214,MATCH(TEXT($I652,"yyyy-mm-dd")&amp;"|"&amp;""&amp;"|"&amp;"",'CALENDARIO'!$G$15:$G$214,0)),IFERROR(INDEX('CALENDARIO'!$C$15:$C$214,MATCH(TEXT($I652,"yyyy-mm-dd")&amp;"|"&amp;""&amp;"|",'CALENDARIO'!$G$15:$G$214,0)),IFERROR(INDEX('CALENDARIO'!$C$15:$C$214,MATCH(TEXT($I652,"yyyy-mm-dd")&amp;"||",'CALENDARIO'!$G$15:$G$214,0)),INDEX(patronHabil,WEEKDAY($I652,2)))))</f>
        <v/>
      </c>
    </row>
    <row r="653">
      <c r="I653" s="11" t="n">
        <v>46671</v>
      </c>
      <c r="J653" s="3">
        <f>IFERROR(INDEX('CALENDARIO'!$C$15:$C$214,MATCH(TEXT($I653,"yyyy-mm-dd")&amp;"|"&amp;""&amp;"|"&amp;"",'CALENDARIO'!$G$15:$G$214,0)),IFERROR(INDEX('CALENDARIO'!$C$15:$C$214,MATCH(TEXT($I653,"yyyy-mm-dd")&amp;"|"&amp;""&amp;"|",'CALENDARIO'!$G$15:$G$214,0)),IFERROR(INDEX('CALENDARIO'!$C$15:$C$214,MATCH(TEXT($I653,"yyyy-mm-dd")&amp;"||",'CALENDARIO'!$G$15:$G$214,0)),INDEX(patronHabil,WEEKDAY($I653,2)))))</f>
        <v/>
      </c>
    </row>
    <row r="654">
      <c r="I654" s="11" t="n">
        <v>46672</v>
      </c>
      <c r="J654" s="3">
        <f>IFERROR(INDEX('CALENDARIO'!$C$15:$C$214,MATCH(TEXT($I654,"yyyy-mm-dd")&amp;"|"&amp;""&amp;"|"&amp;"",'CALENDARIO'!$G$15:$G$214,0)),IFERROR(INDEX('CALENDARIO'!$C$15:$C$214,MATCH(TEXT($I654,"yyyy-mm-dd")&amp;"|"&amp;""&amp;"|",'CALENDARIO'!$G$15:$G$214,0)),IFERROR(INDEX('CALENDARIO'!$C$15:$C$214,MATCH(TEXT($I654,"yyyy-mm-dd")&amp;"||",'CALENDARIO'!$G$15:$G$214,0)),INDEX(patronHabil,WEEKDAY($I654,2)))))</f>
        <v/>
      </c>
    </row>
    <row r="655">
      <c r="I655" s="11" t="n">
        <v>46673</v>
      </c>
      <c r="J655" s="3">
        <f>IFERROR(INDEX('CALENDARIO'!$C$15:$C$214,MATCH(TEXT($I655,"yyyy-mm-dd")&amp;"|"&amp;""&amp;"|"&amp;"",'CALENDARIO'!$G$15:$G$214,0)),IFERROR(INDEX('CALENDARIO'!$C$15:$C$214,MATCH(TEXT($I655,"yyyy-mm-dd")&amp;"|"&amp;""&amp;"|",'CALENDARIO'!$G$15:$G$214,0)),IFERROR(INDEX('CALENDARIO'!$C$15:$C$214,MATCH(TEXT($I655,"yyyy-mm-dd")&amp;"||",'CALENDARIO'!$G$15:$G$214,0)),INDEX(patronHabil,WEEKDAY($I655,2)))))</f>
        <v/>
      </c>
    </row>
    <row r="656">
      <c r="I656" s="11" t="n">
        <v>46674</v>
      </c>
      <c r="J656" s="3">
        <f>IFERROR(INDEX('CALENDARIO'!$C$15:$C$214,MATCH(TEXT($I656,"yyyy-mm-dd")&amp;"|"&amp;""&amp;"|"&amp;"",'CALENDARIO'!$G$15:$G$214,0)),IFERROR(INDEX('CALENDARIO'!$C$15:$C$214,MATCH(TEXT($I656,"yyyy-mm-dd")&amp;"|"&amp;""&amp;"|",'CALENDARIO'!$G$15:$G$214,0)),IFERROR(INDEX('CALENDARIO'!$C$15:$C$214,MATCH(TEXT($I656,"yyyy-mm-dd")&amp;"||",'CALENDARIO'!$G$15:$G$214,0)),INDEX(patronHabil,WEEKDAY($I656,2)))))</f>
        <v/>
      </c>
    </row>
    <row r="657">
      <c r="I657" s="11" t="n">
        <v>46675</v>
      </c>
      <c r="J657" s="3">
        <f>IFERROR(INDEX('CALENDARIO'!$C$15:$C$214,MATCH(TEXT($I657,"yyyy-mm-dd")&amp;"|"&amp;""&amp;"|"&amp;"",'CALENDARIO'!$G$15:$G$214,0)),IFERROR(INDEX('CALENDARIO'!$C$15:$C$214,MATCH(TEXT($I657,"yyyy-mm-dd")&amp;"|"&amp;""&amp;"|",'CALENDARIO'!$G$15:$G$214,0)),IFERROR(INDEX('CALENDARIO'!$C$15:$C$214,MATCH(TEXT($I657,"yyyy-mm-dd")&amp;"||",'CALENDARIO'!$G$15:$G$214,0)),INDEX(patronHabil,WEEKDAY($I657,2)))))</f>
        <v/>
      </c>
    </row>
    <row r="658">
      <c r="I658" s="11" t="n">
        <v>46676</v>
      </c>
      <c r="J658" s="3">
        <f>IFERROR(INDEX('CALENDARIO'!$C$15:$C$214,MATCH(TEXT($I658,"yyyy-mm-dd")&amp;"|"&amp;""&amp;"|"&amp;"",'CALENDARIO'!$G$15:$G$214,0)),IFERROR(INDEX('CALENDARIO'!$C$15:$C$214,MATCH(TEXT($I658,"yyyy-mm-dd")&amp;"|"&amp;""&amp;"|",'CALENDARIO'!$G$15:$G$214,0)),IFERROR(INDEX('CALENDARIO'!$C$15:$C$214,MATCH(TEXT($I658,"yyyy-mm-dd")&amp;"||",'CALENDARIO'!$G$15:$G$214,0)),INDEX(patronHabil,WEEKDAY($I658,2)))))</f>
        <v/>
      </c>
    </row>
    <row r="659">
      <c r="I659" s="11" t="n">
        <v>46677</v>
      </c>
      <c r="J659" s="3">
        <f>IFERROR(INDEX('CALENDARIO'!$C$15:$C$214,MATCH(TEXT($I659,"yyyy-mm-dd")&amp;"|"&amp;""&amp;"|"&amp;"",'CALENDARIO'!$G$15:$G$214,0)),IFERROR(INDEX('CALENDARIO'!$C$15:$C$214,MATCH(TEXT($I659,"yyyy-mm-dd")&amp;"|"&amp;""&amp;"|",'CALENDARIO'!$G$15:$G$214,0)),IFERROR(INDEX('CALENDARIO'!$C$15:$C$214,MATCH(TEXT($I659,"yyyy-mm-dd")&amp;"||",'CALENDARIO'!$G$15:$G$214,0)),INDEX(patronHabil,WEEKDAY($I659,2)))))</f>
        <v/>
      </c>
    </row>
    <row r="660">
      <c r="I660" s="11" t="n">
        <v>46678</v>
      </c>
      <c r="J660" s="3">
        <f>IFERROR(INDEX('CALENDARIO'!$C$15:$C$214,MATCH(TEXT($I660,"yyyy-mm-dd")&amp;"|"&amp;""&amp;"|"&amp;"",'CALENDARIO'!$G$15:$G$214,0)),IFERROR(INDEX('CALENDARIO'!$C$15:$C$214,MATCH(TEXT($I660,"yyyy-mm-dd")&amp;"|"&amp;""&amp;"|",'CALENDARIO'!$G$15:$G$214,0)),IFERROR(INDEX('CALENDARIO'!$C$15:$C$214,MATCH(TEXT($I660,"yyyy-mm-dd")&amp;"||",'CALENDARIO'!$G$15:$G$214,0)),INDEX(patronHabil,WEEKDAY($I660,2)))))</f>
        <v/>
      </c>
    </row>
    <row r="661">
      <c r="I661" s="11" t="n">
        <v>46679</v>
      </c>
      <c r="J661" s="3">
        <f>IFERROR(INDEX('CALENDARIO'!$C$15:$C$214,MATCH(TEXT($I661,"yyyy-mm-dd")&amp;"|"&amp;""&amp;"|"&amp;"",'CALENDARIO'!$G$15:$G$214,0)),IFERROR(INDEX('CALENDARIO'!$C$15:$C$214,MATCH(TEXT($I661,"yyyy-mm-dd")&amp;"|"&amp;""&amp;"|",'CALENDARIO'!$G$15:$G$214,0)),IFERROR(INDEX('CALENDARIO'!$C$15:$C$214,MATCH(TEXT($I661,"yyyy-mm-dd")&amp;"||",'CALENDARIO'!$G$15:$G$214,0)),INDEX(patronHabil,WEEKDAY($I661,2)))))</f>
        <v/>
      </c>
    </row>
    <row r="662">
      <c r="I662" s="11" t="n">
        <v>46680</v>
      </c>
      <c r="J662" s="3">
        <f>IFERROR(INDEX('CALENDARIO'!$C$15:$C$214,MATCH(TEXT($I662,"yyyy-mm-dd")&amp;"|"&amp;""&amp;"|"&amp;"",'CALENDARIO'!$G$15:$G$214,0)),IFERROR(INDEX('CALENDARIO'!$C$15:$C$214,MATCH(TEXT($I662,"yyyy-mm-dd")&amp;"|"&amp;""&amp;"|",'CALENDARIO'!$G$15:$G$214,0)),IFERROR(INDEX('CALENDARIO'!$C$15:$C$214,MATCH(TEXT($I662,"yyyy-mm-dd")&amp;"||",'CALENDARIO'!$G$15:$G$214,0)),INDEX(patronHabil,WEEKDAY($I662,2)))))</f>
        <v/>
      </c>
    </row>
    <row r="663">
      <c r="I663" s="11" t="n">
        <v>46681</v>
      </c>
      <c r="J663" s="3">
        <f>IFERROR(INDEX('CALENDARIO'!$C$15:$C$214,MATCH(TEXT($I663,"yyyy-mm-dd")&amp;"|"&amp;""&amp;"|"&amp;"",'CALENDARIO'!$G$15:$G$214,0)),IFERROR(INDEX('CALENDARIO'!$C$15:$C$214,MATCH(TEXT($I663,"yyyy-mm-dd")&amp;"|"&amp;""&amp;"|",'CALENDARIO'!$G$15:$G$214,0)),IFERROR(INDEX('CALENDARIO'!$C$15:$C$214,MATCH(TEXT($I663,"yyyy-mm-dd")&amp;"||",'CALENDARIO'!$G$15:$G$214,0)),INDEX(patronHabil,WEEKDAY($I663,2)))))</f>
        <v/>
      </c>
    </row>
    <row r="664">
      <c r="I664" s="11" t="n">
        <v>46682</v>
      </c>
      <c r="J664" s="3">
        <f>IFERROR(INDEX('CALENDARIO'!$C$15:$C$214,MATCH(TEXT($I664,"yyyy-mm-dd")&amp;"|"&amp;""&amp;"|"&amp;"",'CALENDARIO'!$G$15:$G$214,0)),IFERROR(INDEX('CALENDARIO'!$C$15:$C$214,MATCH(TEXT($I664,"yyyy-mm-dd")&amp;"|"&amp;""&amp;"|",'CALENDARIO'!$G$15:$G$214,0)),IFERROR(INDEX('CALENDARIO'!$C$15:$C$214,MATCH(TEXT($I664,"yyyy-mm-dd")&amp;"||",'CALENDARIO'!$G$15:$G$214,0)),INDEX(patronHabil,WEEKDAY($I664,2)))))</f>
        <v/>
      </c>
    </row>
    <row r="665">
      <c r="I665" s="11" t="n">
        <v>46683</v>
      </c>
      <c r="J665" s="3">
        <f>IFERROR(INDEX('CALENDARIO'!$C$15:$C$214,MATCH(TEXT($I665,"yyyy-mm-dd")&amp;"|"&amp;""&amp;"|"&amp;"",'CALENDARIO'!$G$15:$G$214,0)),IFERROR(INDEX('CALENDARIO'!$C$15:$C$214,MATCH(TEXT($I665,"yyyy-mm-dd")&amp;"|"&amp;""&amp;"|",'CALENDARIO'!$G$15:$G$214,0)),IFERROR(INDEX('CALENDARIO'!$C$15:$C$214,MATCH(TEXT($I665,"yyyy-mm-dd")&amp;"||",'CALENDARIO'!$G$15:$G$214,0)),INDEX(patronHabil,WEEKDAY($I665,2)))))</f>
        <v/>
      </c>
    </row>
    <row r="666">
      <c r="I666" s="11" t="n">
        <v>46684</v>
      </c>
      <c r="J666" s="3">
        <f>IFERROR(INDEX('CALENDARIO'!$C$15:$C$214,MATCH(TEXT($I666,"yyyy-mm-dd")&amp;"|"&amp;""&amp;"|"&amp;"",'CALENDARIO'!$G$15:$G$214,0)),IFERROR(INDEX('CALENDARIO'!$C$15:$C$214,MATCH(TEXT($I666,"yyyy-mm-dd")&amp;"|"&amp;""&amp;"|",'CALENDARIO'!$G$15:$G$214,0)),IFERROR(INDEX('CALENDARIO'!$C$15:$C$214,MATCH(TEXT($I666,"yyyy-mm-dd")&amp;"||",'CALENDARIO'!$G$15:$G$214,0)),INDEX(patronHabil,WEEKDAY($I666,2)))))</f>
        <v/>
      </c>
    </row>
    <row r="667">
      <c r="I667" s="11" t="n">
        <v>46685</v>
      </c>
      <c r="J667" s="3">
        <f>IFERROR(INDEX('CALENDARIO'!$C$15:$C$214,MATCH(TEXT($I667,"yyyy-mm-dd")&amp;"|"&amp;""&amp;"|"&amp;"",'CALENDARIO'!$G$15:$G$214,0)),IFERROR(INDEX('CALENDARIO'!$C$15:$C$214,MATCH(TEXT($I667,"yyyy-mm-dd")&amp;"|"&amp;""&amp;"|",'CALENDARIO'!$G$15:$G$214,0)),IFERROR(INDEX('CALENDARIO'!$C$15:$C$214,MATCH(TEXT($I667,"yyyy-mm-dd")&amp;"||",'CALENDARIO'!$G$15:$G$214,0)),INDEX(patronHabil,WEEKDAY($I667,2)))))</f>
        <v/>
      </c>
    </row>
    <row r="668">
      <c r="I668" s="11" t="n">
        <v>46686</v>
      </c>
      <c r="J668" s="3">
        <f>IFERROR(INDEX('CALENDARIO'!$C$15:$C$214,MATCH(TEXT($I668,"yyyy-mm-dd")&amp;"|"&amp;""&amp;"|"&amp;"",'CALENDARIO'!$G$15:$G$214,0)),IFERROR(INDEX('CALENDARIO'!$C$15:$C$214,MATCH(TEXT($I668,"yyyy-mm-dd")&amp;"|"&amp;""&amp;"|",'CALENDARIO'!$G$15:$G$214,0)),IFERROR(INDEX('CALENDARIO'!$C$15:$C$214,MATCH(TEXT($I668,"yyyy-mm-dd")&amp;"||",'CALENDARIO'!$G$15:$G$214,0)),INDEX(patronHabil,WEEKDAY($I668,2)))))</f>
        <v/>
      </c>
    </row>
    <row r="669">
      <c r="I669" s="11" t="n">
        <v>46687</v>
      </c>
      <c r="J669" s="3">
        <f>IFERROR(INDEX('CALENDARIO'!$C$15:$C$214,MATCH(TEXT($I669,"yyyy-mm-dd")&amp;"|"&amp;""&amp;"|"&amp;"",'CALENDARIO'!$G$15:$G$214,0)),IFERROR(INDEX('CALENDARIO'!$C$15:$C$214,MATCH(TEXT($I669,"yyyy-mm-dd")&amp;"|"&amp;""&amp;"|",'CALENDARIO'!$G$15:$G$214,0)),IFERROR(INDEX('CALENDARIO'!$C$15:$C$214,MATCH(TEXT($I669,"yyyy-mm-dd")&amp;"||",'CALENDARIO'!$G$15:$G$214,0)),INDEX(patronHabil,WEEKDAY($I669,2)))))</f>
        <v/>
      </c>
    </row>
    <row r="670">
      <c r="I670" s="11" t="n">
        <v>46688</v>
      </c>
      <c r="J670" s="3">
        <f>IFERROR(INDEX('CALENDARIO'!$C$15:$C$214,MATCH(TEXT($I670,"yyyy-mm-dd")&amp;"|"&amp;""&amp;"|"&amp;"",'CALENDARIO'!$G$15:$G$214,0)),IFERROR(INDEX('CALENDARIO'!$C$15:$C$214,MATCH(TEXT($I670,"yyyy-mm-dd")&amp;"|"&amp;""&amp;"|",'CALENDARIO'!$G$15:$G$214,0)),IFERROR(INDEX('CALENDARIO'!$C$15:$C$214,MATCH(TEXT($I670,"yyyy-mm-dd")&amp;"||",'CALENDARIO'!$G$15:$G$214,0)),INDEX(patronHabil,WEEKDAY($I670,2)))))</f>
        <v/>
      </c>
    </row>
    <row r="671">
      <c r="I671" s="11" t="n">
        <v>46689</v>
      </c>
      <c r="J671" s="3">
        <f>IFERROR(INDEX('CALENDARIO'!$C$15:$C$214,MATCH(TEXT($I671,"yyyy-mm-dd")&amp;"|"&amp;""&amp;"|"&amp;"",'CALENDARIO'!$G$15:$G$214,0)),IFERROR(INDEX('CALENDARIO'!$C$15:$C$214,MATCH(TEXT($I671,"yyyy-mm-dd")&amp;"|"&amp;""&amp;"|",'CALENDARIO'!$G$15:$G$214,0)),IFERROR(INDEX('CALENDARIO'!$C$15:$C$214,MATCH(TEXT($I671,"yyyy-mm-dd")&amp;"||",'CALENDARIO'!$G$15:$G$214,0)),INDEX(patronHabil,WEEKDAY($I671,2)))))</f>
        <v/>
      </c>
    </row>
    <row r="672">
      <c r="I672" s="11" t="n">
        <v>46690</v>
      </c>
      <c r="J672" s="3">
        <f>IFERROR(INDEX('CALENDARIO'!$C$15:$C$214,MATCH(TEXT($I672,"yyyy-mm-dd")&amp;"|"&amp;""&amp;"|"&amp;"",'CALENDARIO'!$G$15:$G$214,0)),IFERROR(INDEX('CALENDARIO'!$C$15:$C$214,MATCH(TEXT($I672,"yyyy-mm-dd")&amp;"|"&amp;""&amp;"|",'CALENDARIO'!$G$15:$G$214,0)),IFERROR(INDEX('CALENDARIO'!$C$15:$C$214,MATCH(TEXT($I672,"yyyy-mm-dd")&amp;"||",'CALENDARIO'!$G$15:$G$214,0)),INDEX(patronHabil,WEEKDAY($I672,2)))))</f>
        <v/>
      </c>
    </row>
    <row r="673">
      <c r="I673" s="11" t="n">
        <v>46691</v>
      </c>
      <c r="J673" s="3">
        <f>IFERROR(INDEX('CALENDARIO'!$C$15:$C$214,MATCH(TEXT($I673,"yyyy-mm-dd")&amp;"|"&amp;""&amp;"|"&amp;"",'CALENDARIO'!$G$15:$G$214,0)),IFERROR(INDEX('CALENDARIO'!$C$15:$C$214,MATCH(TEXT($I673,"yyyy-mm-dd")&amp;"|"&amp;""&amp;"|",'CALENDARIO'!$G$15:$G$214,0)),IFERROR(INDEX('CALENDARIO'!$C$15:$C$214,MATCH(TEXT($I673,"yyyy-mm-dd")&amp;"||",'CALENDARIO'!$G$15:$G$214,0)),INDEX(patronHabil,WEEKDAY($I673,2)))))</f>
        <v/>
      </c>
    </row>
    <row r="674">
      <c r="I674" s="11" t="n">
        <v>46692</v>
      </c>
      <c r="J674" s="3">
        <f>IFERROR(INDEX('CALENDARIO'!$C$15:$C$214,MATCH(TEXT($I674,"yyyy-mm-dd")&amp;"|"&amp;""&amp;"|"&amp;"",'CALENDARIO'!$G$15:$G$214,0)),IFERROR(INDEX('CALENDARIO'!$C$15:$C$214,MATCH(TEXT($I674,"yyyy-mm-dd")&amp;"|"&amp;""&amp;"|",'CALENDARIO'!$G$15:$G$214,0)),IFERROR(INDEX('CALENDARIO'!$C$15:$C$214,MATCH(TEXT($I674,"yyyy-mm-dd")&amp;"||",'CALENDARIO'!$G$15:$G$214,0)),INDEX(patronHabil,WEEKDAY($I674,2)))))</f>
        <v/>
      </c>
    </row>
    <row r="675">
      <c r="I675" s="11" t="n">
        <v>46693</v>
      </c>
      <c r="J675" s="3">
        <f>IFERROR(INDEX('CALENDARIO'!$C$15:$C$214,MATCH(TEXT($I675,"yyyy-mm-dd")&amp;"|"&amp;""&amp;"|"&amp;"",'CALENDARIO'!$G$15:$G$214,0)),IFERROR(INDEX('CALENDARIO'!$C$15:$C$214,MATCH(TEXT($I675,"yyyy-mm-dd")&amp;"|"&amp;""&amp;"|",'CALENDARIO'!$G$15:$G$214,0)),IFERROR(INDEX('CALENDARIO'!$C$15:$C$214,MATCH(TEXT($I675,"yyyy-mm-dd")&amp;"||",'CALENDARIO'!$G$15:$G$214,0)),INDEX(patronHabil,WEEKDAY($I675,2)))))</f>
        <v/>
      </c>
    </row>
    <row r="676">
      <c r="I676" s="11" t="n">
        <v>46694</v>
      </c>
      <c r="J676" s="3">
        <f>IFERROR(INDEX('CALENDARIO'!$C$15:$C$214,MATCH(TEXT($I676,"yyyy-mm-dd")&amp;"|"&amp;""&amp;"|"&amp;"",'CALENDARIO'!$G$15:$G$214,0)),IFERROR(INDEX('CALENDARIO'!$C$15:$C$214,MATCH(TEXT($I676,"yyyy-mm-dd")&amp;"|"&amp;""&amp;"|",'CALENDARIO'!$G$15:$G$214,0)),IFERROR(INDEX('CALENDARIO'!$C$15:$C$214,MATCH(TEXT($I676,"yyyy-mm-dd")&amp;"||",'CALENDARIO'!$G$15:$G$214,0)),INDEX(patronHabil,WEEKDAY($I676,2)))))</f>
        <v/>
      </c>
    </row>
    <row r="677">
      <c r="I677" s="11" t="n">
        <v>46695</v>
      </c>
      <c r="J677" s="3">
        <f>IFERROR(INDEX('CALENDARIO'!$C$15:$C$214,MATCH(TEXT($I677,"yyyy-mm-dd")&amp;"|"&amp;""&amp;"|"&amp;"",'CALENDARIO'!$G$15:$G$214,0)),IFERROR(INDEX('CALENDARIO'!$C$15:$C$214,MATCH(TEXT($I677,"yyyy-mm-dd")&amp;"|"&amp;""&amp;"|",'CALENDARIO'!$G$15:$G$214,0)),IFERROR(INDEX('CALENDARIO'!$C$15:$C$214,MATCH(TEXT($I677,"yyyy-mm-dd")&amp;"||",'CALENDARIO'!$G$15:$G$214,0)),INDEX(patronHabil,WEEKDAY($I677,2)))))</f>
        <v/>
      </c>
    </row>
    <row r="678">
      <c r="I678" s="11" t="n">
        <v>46696</v>
      </c>
      <c r="J678" s="3">
        <f>IFERROR(INDEX('CALENDARIO'!$C$15:$C$214,MATCH(TEXT($I678,"yyyy-mm-dd")&amp;"|"&amp;""&amp;"|"&amp;"",'CALENDARIO'!$G$15:$G$214,0)),IFERROR(INDEX('CALENDARIO'!$C$15:$C$214,MATCH(TEXT($I678,"yyyy-mm-dd")&amp;"|"&amp;""&amp;"|",'CALENDARIO'!$G$15:$G$214,0)),IFERROR(INDEX('CALENDARIO'!$C$15:$C$214,MATCH(TEXT($I678,"yyyy-mm-dd")&amp;"||",'CALENDARIO'!$G$15:$G$214,0)),INDEX(patronHabil,WEEKDAY($I678,2)))))</f>
        <v/>
      </c>
    </row>
    <row r="679">
      <c r="I679" s="11" t="n">
        <v>46697</v>
      </c>
      <c r="J679" s="3">
        <f>IFERROR(INDEX('CALENDARIO'!$C$15:$C$214,MATCH(TEXT($I679,"yyyy-mm-dd")&amp;"|"&amp;""&amp;"|"&amp;"",'CALENDARIO'!$G$15:$G$214,0)),IFERROR(INDEX('CALENDARIO'!$C$15:$C$214,MATCH(TEXT($I679,"yyyy-mm-dd")&amp;"|"&amp;""&amp;"|",'CALENDARIO'!$G$15:$G$214,0)),IFERROR(INDEX('CALENDARIO'!$C$15:$C$214,MATCH(TEXT($I679,"yyyy-mm-dd")&amp;"||",'CALENDARIO'!$G$15:$G$214,0)),INDEX(patronHabil,WEEKDAY($I679,2)))))</f>
        <v/>
      </c>
    </row>
    <row r="680">
      <c r="I680" s="11" t="n">
        <v>46698</v>
      </c>
      <c r="J680" s="3">
        <f>IFERROR(INDEX('CALENDARIO'!$C$15:$C$214,MATCH(TEXT($I680,"yyyy-mm-dd")&amp;"|"&amp;""&amp;"|"&amp;"",'CALENDARIO'!$G$15:$G$214,0)),IFERROR(INDEX('CALENDARIO'!$C$15:$C$214,MATCH(TEXT($I680,"yyyy-mm-dd")&amp;"|"&amp;""&amp;"|",'CALENDARIO'!$G$15:$G$214,0)),IFERROR(INDEX('CALENDARIO'!$C$15:$C$214,MATCH(TEXT($I680,"yyyy-mm-dd")&amp;"||",'CALENDARIO'!$G$15:$G$214,0)),INDEX(patronHabil,WEEKDAY($I680,2)))))</f>
        <v/>
      </c>
    </row>
    <row r="681">
      <c r="I681" s="11" t="n">
        <v>46699</v>
      </c>
      <c r="J681" s="3">
        <f>IFERROR(INDEX('CALENDARIO'!$C$15:$C$214,MATCH(TEXT($I681,"yyyy-mm-dd")&amp;"|"&amp;""&amp;"|"&amp;"",'CALENDARIO'!$G$15:$G$214,0)),IFERROR(INDEX('CALENDARIO'!$C$15:$C$214,MATCH(TEXT($I681,"yyyy-mm-dd")&amp;"|"&amp;""&amp;"|",'CALENDARIO'!$G$15:$G$214,0)),IFERROR(INDEX('CALENDARIO'!$C$15:$C$214,MATCH(TEXT($I681,"yyyy-mm-dd")&amp;"||",'CALENDARIO'!$G$15:$G$214,0)),INDEX(patronHabil,WEEKDAY($I681,2)))))</f>
        <v/>
      </c>
    </row>
    <row r="682">
      <c r="I682" s="11" t="n">
        <v>46700</v>
      </c>
      <c r="J682" s="3">
        <f>IFERROR(INDEX('CALENDARIO'!$C$15:$C$214,MATCH(TEXT($I682,"yyyy-mm-dd")&amp;"|"&amp;""&amp;"|"&amp;"",'CALENDARIO'!$G$15:$G$214,0)),IFERROR(INDEX('CALENDARIO'!$C$15:$C$214,MATCH(TEXT($I682,"yyyy-mm-dd")&amp;"|"&amp;""&amp;"|",'CALENDARIO'!$G$15:$G$214,0)),IFERROR(INDEX('CALENDARIO'!$C$15:$C$214,MATCH(TEXT($I682,"yyyy-mm-dd")&amp;"||",'CALENDARIO'!$G$15:$G$214,0)),INDEX(patronHabil,WEEKDAY($I682,2)))))</f>
        <v/>
      </c>
    </row>
    <row r="683">
      <c r="I683" s="11" t="n">
        <v>46701</v>
      </c>
      <c r="J683" s="3">
        <f>IFERROR(INDEX('CALENDARIO'!$C$15:$C$214,MATCH(TEXT($I683,"yyyy-mm-dd")&amp;"|"&amp;""&amp;"|"&amp;"",'CALENDARIO'!$G$15:$G$214,0)),IFERROR(INDEX('CALENDARIO'!$C$15:$C$214,MATCH(TEXT($I683,"yyyy-mm-dd")&amp;"|"&amp;""&amp;"|",'CALENDARIO'!$G$15:$G$214,0)),IFERROR(INDEX('CALENDARIO'!$C$15:$C$214,MATCH(TEXT($I683,"yyyy-mm-dd")&amp;"||",'CALENDARIO'!$G$15:$G$214,0)),INDEX(patronHabil,WEEKDAY($I683,2)))))</f>
        <v/>
      </c>
    </row>
    <row r="684">
      <c r="I684" s="11" t="n">
        <v>46702</v>
      </c>
      <c r="J684" s="3">
        <f>IFERROR(INDEX('CALENDARIO'!$C$15:$C$214,MATCH(TEXT($I684,"yyyy-mm-dd")&amp;"|"&amp;""&amp;"|"&amp;"",'CALENDARIO'!$G$15:$G$214,0)),IFERROR(INDEX('CALENDARIO'!$C$15:$C$214,MATCH(TEXT($I684,"yyyy-mm-dd")&amp;"|"&amp;""&amp;"|",'CALENDARIO'!$G$15:$G$214,0)),IFERROR(INDEX('CALENDARIO'!$C$15:$C$214,MATCH(TEXT($I684,"yyyy-mm-dd")&amp;"||",'CALENDARIO'!$G$15:$G$214,0)),INDEX(patronHabil,WEEKDAY($I684,2)))))</f>
        <v/>
      </c>
    </row>
    <row r="685">
      <c r="I685" s="11" t="n">
        <v>46703</v>
      </c>
      <c r="J685" s="3">
        <f>IFERROR(INDEX('CALENDARIO'!$C$15:$C$214,MATCH(TEXT($I685,"yyyy-mm-dd")&amp;"|"&amp;""&amp;"|"&amp;"",'CALENDARIO'!$G$15:$G$214,0)),IFERROR(INDEX('CALENDARIO'!$C$15:$C$214,MATCH(TEXT($I685,"yyyy-mm-dd")&amp;"|"&amp;""&amp;"|",'CALENDARIO'!$G$15:$G$214,0)),IFERROR(INDEX('CALENDARIO'!$C$15:$C$214,MATCH(TEXT($I685,"yyyy-mm-dd")&amp;"||",'CALENDARIO'!$G$15:$G$214,0)),INDEX(patronHabil,WEEKDAY($I685,2)))))</f>
        <v/>
      </c>
    </row>
    <row r="686">
      <c r="I686" s="11" t="n">
        <v>46704</v>
      </c>
      <c r="J686" s="3">
        <f>IFERROR(INDEX('CALENDARIO'!$C$15:$C$214,MATCH(TEXT($I686,"yyyy-mm-dd")&amp;"|"&amp;""&amp;"|"&amp;"",'CALENDARIO'!$G$15:$G$214,0)),IFERROR(INDEX('CALENDARIO'!$C$15:$C$214,MATCH(TEXT($I686,"yyyy-mm-dd")&amp;"|"&amp;""&amp;"|",'CALENDARIO'!$G$15:$G$214,0)),IFERROR(INDEX('CALENDARIO'!$C$15:$C$214,MATCH(TEXT($I686,"yyyy-mm-dd")&amp;"||",'CALENDARIO'!$G$15:$G$214,0)),INDEX(patronHabil,WEEKDAY($I686,2)))))</f>
        <v/>
      </c>
    </row>
    <row r="687">
      <c r="I687" s="11" t="n">
        <v>46705</v>
      </c>
      <c r="J687" s="3">
        <f>IFERROR(INDEX('CALENDARIO'!$C$15:$C$214,MATCH(TEXT($I687,"yyyy-mm-dd")&amp;"|"&amp;""&amp;"|"&amp;"",'CALENDARIO'!$G$15:$G$214,0)),IFERROR(INDEX('CALENDARIO'!$C$15:$C$214,MATCH(TEXT($I687,"yyyy-mm-dd")&amp;"|"&amp;""&amp;"|",'CALENDARIO'!$G$15:$G$214,0)),IFERROR(INDEX('CALENDARIO'!$C$15:$C$214,MATCH(TEXT($I687,"yyyy-mm-dd")&amp;"||",'CALENDARIO'!$G$15:$G$214,0)),INDEX(patronHabil,WEEKDAY($I687,2)))))</f>
        <v/>
      </c>
    </row>
    <row r="688">
      <c r="I688" s="11" t="n">
        <v>46706</v>
      </c>
      <c r="J688" s="3">
        <f>IFERROR(INDEX('CALENDARIO'!$C$15:$C$214,MATCH(TEXT($I688,"yyyy-mm-dd")&amp;"|"&amp;""&amp;"|"&amp;"",'CALENDARIO'!$G$15:$G$214,0)),IFERROR(INDEX('CALENDARIO'!$C$15:$C$214,MATCH(TEXT($I688,"yyyy-mm-dd")&amp;"|"&amp;""&amp;"|",'CALENDARIO'!$G$15:$G$214,0)),IFERROR(INDEX('CALENDARIO'!$C$15:$C$214,MATCH(TEXT($I688,"yyyy-mm-dd")&amp;"||",'CALENDARIO'!$G$15:$G$214,0)),INDEX(patronHabil,WEEKDAY($I688,2)))))</f>
        <v/>
      </c>
    </row>
    <row r="689">
      <c r="I689" s="11" t="n">
        <v>46707</v>
      </c>
      <c r="J689" s="3">
        <f>IFERROR(INDEX('CALENDARIO'!$C$15:$C$214,MATCH(TEXT($I689,"yyyy-mm-dd")&amp;"|"&amp;""&amp;"|"&amp;"",'CALENDARIO'!$G$15:$G$214,0)),IFERROR(INDEX('CALENDARIO'!$C$15:$C$214,MATCH(TEXT($I689,"yyyy-mm-dd")&amp;"|"&amp;""&amp;"|",'CALENDARIO'!$G$15:$G$214,0)),IFERROR(INDEX('CALENDARIO'!$C$15:$C$214,MATCH(TEXT($I689,"yyyy-mm-dd")&amp;"||",'CALENDARIO'!$G$15:$G$214,0)),INDEX(patronHabil,WEEKDAY($I689,2)))))</f>
        <v/>
      </c>
    </row>
    <row r="690">
      <c r="I690" s="11" t="n">
        <v>46708</v>
      </c>
      <c r="J690" s="3">
        <f>IFERROR(INDEX('CALENDARIO'!$C$15:$C$214,MATCH(TEXT($I690,"yyyy-mm-dd")&amp;"|"&amp;""&amp;"|"&amp;"",'CALENDARIO'!$G$15:$G$214,0)),IFERROR(INDEX('CALENDARIO'!$C$15:$C$214,MATCH(TEXT($I690,"yyyy-mm-dd")&amp;"|"&amp;""&amp;"|",'CALENDARIO'!$G$15:$G$214,0)),IFERROR(INDEX('CALENDARIO'!$C$15:$C$214,MATCH(TEXT($I690,"yyyy-mm-dd")&amp;"||",'CALENDARIO'!$G$15:$G$214,0)),INDEX(patronHabil,WEEKDAY($I690,2)))))</f>
        <v/>
      </c>
    </row>
    <row r="691">
      <c r="I691" s="11" t="n">
        <v>46709</v>
      </c>
      <c r="J691" s="3">
        <f>IFERROR(INDEX('CALENDARIO'!$C$15:$C$214,MATCH(TEXT($I691,"yyyy-mm-dd")&amp;"|"&amp;""&amp;"|"&amp;"",'CALENDARIO'!$G$15:$G$214,0)),IFERROR(INDEX('CALENDARIO'!$C$15:$C$214,MATCH(TEXT($I691,"yyyy-mm-dd")&amp;"|"&amp;""&amp;"|",'CALENDARIO'!$G$15:$G$214,0)),IFERROR(INDEX('CALENDARIO'!$C$15:$C$214,MATCH(TEXT($I691,"yyyy-mm-dd")&amp;"||",'CALENDARIO'!$G$15:$G$214,0)),INDEX(patronHabil,WEEKDAY($I691,2)))))</f>
        <v/>
      </c>
    </row>
    <row r="692">
      <c r="I692" s="11" t="n">
        <v>46710</v>
      </c>
      <c r="J692" s="3">
        <f>IFERROR(INDEX('CALENDARIO'!$C$15:$C$214,MATCH(TEXT($I692,"yyyy-mm-dd")&amp;"|"&amp;""&amp;"|"&amp;"",'CALENDARIO'!$G$15:$G$214,0)),IFERROR(INDEX('CALENDARIO'!$C$15:$C$214,MATCH(TEXT($I692,"yyyy-mm-dd")&amp;"|"&amp;""&amp;"|",'CALENDARIO'!$G$15:$G$214,0)),IFERROR(INDEX('CALENDARIO'!$C$15:$C$214,MATCH(TEXT($I692,"yyyy-mm-dd")&amp;"||",'CALENDARIO'!$G$15:$G$214,0)),INDEX(patronHabil,WEEKDAY($I692,2)))))</f>
        <v/>
      </c>
    </row>
    <row r="693">
      <c r="I693" s="11" t="n">
        <v>46711</v>
      </c>
      <c r="J693" s="3">
        <f>IFERROR(INDEX('CALENDARIO'!$C$15:$C$214,MATCH(TEXT($I693,"yyyy-mm-dd")&amp;"|"&amp;""&amp;"|"&amp;"",'CALENDARIO'!$G$15:$G$214,0)),IFERROR(INDEX('CALENDARIO'!$C$15:$C$214,MATCH(TEXT($I693,"yyyy-mm-dd")&amp;"|"&amp;""&amp;"|",'CALENDARIO'!$G$15:$G$214,0)),IFERROR(INDEX('CALENDARIO'!$C$15:$C$214,MATCH(TEXT($I693,"yyyy-mm-dd")&amp;"||",'CALENDARIO'!$G$15:$G$214,0)),INDEX(patronHabil,WEEKDAY($I693,2)))))</f>
        <v/>
      </c>
    </row>
    <row r="694">
      <c r="I694" s="11" t="n">
        <v>46712</v>
      </c>
      <c r="J694" s="3">
        <f>IFERROR(INDEX('CALENDARIO'!$C$15:$C$214,MATCH(TEXT($I694,"yyyy-mm-dd")&amp;"|"&amp;""&amp;"|"&amp;"",'CALENDARIO'!$G$15:$G$214,0)),IFERROR(INDEX('CALENDARIO'!$C$15:$C$214,MATCH(TEXT($I694,"yyyy-mm-dd")&amp;"|"&amp;""&amp;"|",'CALENDARIO'!$G$15:$G$214,0)),IFERROR(INDEX('CALENDARIO'!$C$15:$C$214,MATCH(TEXT($I694,"yyyy-mm-dd")&amp;"||",'CALENDARIO'!$G$15:$G$214,0)),INDEX(patronHabil,WEEKDAY($I694,2)))))</f>
        <v/>
      </c>
    </row>
    <row r="695">
      <c r="I695" s="11" t="n">
        <v>46713</v>
      </c>
      <c r="J695" s="3">
        <f>IFERROR(INDEX('CALENDARIO'!$C$15:$C$214,MATCH(TEXT($I695,"yyyy-mm-dd")&amp;"|"&amp;""&amp;"|"&amp;"",'CALENDARIO'!$G$15:$G$214,0)),IFERROR(INDEX('CALENDARIO'!$C$15:$C$214,MATCH(TEXT($I695,"yyyy-mm-dd")&amp;"|"&amp;""&amp;"|",'CALENDARIO'!$G$15:$G$214,0)),IFERROR(INDEX('CALENDARIO'!$C$15:$C$214,MATCH(TEXT($I695,"yyyy-mm-dd")&amp;"||",'CALENDARIO'!$G$15:$G$214,0)),INDEX(patronHabil,WEEKDAY($I695,2)))))</f>
        <v/>
      </c>
    </row>
    <row r="696">
      <c r="I696" s="11" t="n">
        <v>46714</v>
      </c>
      <c r="J696" s="3">
        <f>IFERROR(INDEX('CALENDARIO'!$C$15:$C$214,MATCH(TEXT($I696,"yyyy-mm-dd")&amp;"|"&amp;""&amp;"|"&amp;"",'CALENDARIO'!$G$15:$G$214,0)),IFERROR(INDEX('CALENDARIO'!$C$15:$C$214,MATCH(TEXT($I696,"yyyy-mm-dd")&amp;"|"&amp;""&amp;"|",'CALENDARIO'!$G$15:$G$214,0)),IFERROR(INDEX('CALENDARIO'!$C$15:$C$214,MATCH(TEXT($I696,"yyyy-mm-dd")&amp;"||",'CALENDARIO'!$G$15:$G$214,0)),INDEX(patronHabil,WEEKDAY($I696,2)))))</f>
        <v/>
      </c>
    </row>
    <row r="697">
      <c r="I697" s="11" t="n">
        <v>46715</v>
      </c>
      <c r="J697" s="3">
        <f>IFERROR(INDEX('CALENDARIO'!$C$15:$C$214,MATCH(TEXT($I697,"yyyy-mm-dd")&amp;"|"&amp;""&amp;"|"&amp;"",'CALENDARIO'!$G$15:$G$214,0)),IFERROR(INDEX('CALENDARIO'!$C$15:$C$214,MATCH(TEXT($I697,"yyyy-mm-dd")&amp;"|"&amp;""&amp;"|",'CALENDARIO'!$G$15:$G$214,0)),IFERROR(INDEX('CALENDARIO'!$C$15:$C$214,MATCH(TEXT($I697,"yyyy-mm-dd")&amp;"||",'CALENDARIO'!$G$15:$G$214,0)),INDEX(patronHabil,WEEKDAY($I697,2)))))</f>
        <v/>
      </c>
    </row>
    <row r="698">
      <c r="I698" s="11" t="n">
        <v>46716</v>
      </c>
      <c r="J698" s="3">
        <f>IFERROR(INDEX('CALENDARIO'!$C$15:$C$214,MATCH(TEXT($I698,"yyyy-mm-dd")&amp;"|"&amp;""&amp;"|"&amp;"",'CALENDARIO'!$G$15:$G$214,0)),IFERROR(INDEX('CALENDARIO'!$C$15:$C$214,MATCH(TEXT($I698,"yyyy-mm-dd")&amp;"|"&amp;""&amp;"|",'CALENDARIO'!$G$15:$G$214,0)),IFERROR(INDEX('CALENDARIO'!$C$15:$C$214,MATCH(TEXT($I698,"yyyy-mm-dd")&amp;"||",'CALENDARIO'!$G$15:$G$214,0)),INDEX(patronHabil,WEEKDAY($I698,2)))))</f>
        <v/>
      </c>
    </row>
    <row r="699">
      <c r="I699" s="11" t="n">
        <v>46717</v>
      </c>
      <c r="J699" s="3">
        <f>IFERROR(INDEX('CALENDARIO'!$C$15:$C$214,MATCH(TEXT($I699,"yyyy-mm-dd")&amp;"|"&amp;""&amp;"|"&amp;"",'CALENDARIO'!$G$15:$G$214,0)),IFERROR(INDEX('CALENDARIO'!$C$15:$C$214,MATCH(TEXT($I699,"yyyy-mm-dd")&amp;"|"&amp;""&amp;"|",'CALENDARIO'!$G$15:$G$214,0)),IFERROR(INDEX('CALENDARIO'!$C$15:$C$214,MATCH(TEXT($I699,"yyyy-mm-dd")&amp;"||",'CALENDARIO'!$G$15:$G$214,0)),INDEX(patronHabil,WEEKDAY($I699,2)))))</f>
        <v/>
      </c>
    </row>
    <row r="700">
      <c r="I700" s="11" t="n">
        <v>46718</v>
      </c>
      <c r="J700" s="3">
        <f>IFERROR(INDEX('CALENDARIO'!$C$15:$C$214,MATCH(TEXT($I700,"yyyy-mm-dd")&amp;"|"&amp;""&amp;"|"&amp;"",'CALENDARIO'!$G$15:$G$214,0)),IFERROR(INDEX('CALENDARIO'!$C$15:$C$214,MATCH(TEXT($I700,"yyyy-mm-dd")&amp;"|"&amp;""&amp;"|",'CALENDARIO'!$G$15:$G$214,0)),IFERROR(INDEX('CALENDARIO'!$C$15:$C$214,MATCH(TEXT($I700,"yyyy-mm-dd")&amp;"||",'CALENDARIO'!$G$15:$G$214,0)),INDEX(patronHabil,WEEKDAY($I700,2)))))</f>
        <v/>
      </c>
    </row>
    <row r="701">
      <c r="I701" s="11" t="n">
        <v>46719</v>
      </c>
      <c r="J701" s="3">
        <f>IFERROR(INDEX('CALENDARIO'!$C$15:$C$214,MATCH(TEXT($I701,"yyyy-mm-dd")&amp;"|"&amp;""&amp;"|"&amp;"",'CALENDARIO'!$G$15:$G$214,0)),IFERROR(INDEX('CALENDARIO'!$C$15:$C$214,MATCH(TEXT($I701,"yyyy-mm-dd")&amp;"|"&amp;""&amp;"|",'CALENDARIO'!$G$15:$G$214,0)),IFERROR(INDEX('CALENDARIO'!$C$15:$C$214,MATCH(TEXT($I701,"yyyy-mm-dd")&amp;"||",'CALENDARIO'!$G$15:$G$214,0)),INDEX(patronHabil,WEEKDAY($I701,2)))))</f>
        <v/>
      </c>
    </row>
    <row r="702">
      <c r="I702" s="11" t="n">
        <v>46720</v>
      </c>
      <c r="J702" s="3">
        <f>IFERROR(INDEX('CALENDARIO'!$C$15:$C$214,MATCH(TEXT($I702,"yyyy-mm-dd")&amp;"|"&amp;""&amp;"|"&amp;"",'CALENDARIO'!$G$15:$G$214,0)),IFERROR(INDEX('CALENDARIO'!$C$15:$C$214,MATCH(TEXT($I702,"yyyy-mm-dd")&amp;"|"&amp;""&amp;"|",'CALENDARIO'!$G$15:$G$214,0)),IFERROR(INDEX('CALENDARIO'!$C$15:$C$214,MATCH(TEXT($I702,"yyyy-mm-dd")&amp;"||",'CALENDARIO'!$G$15:$G$214,0)),INDEX(patronHabil,WEEKDAY($I702,2)))))</f>
        <v/>
      </c>
    </row>
    <row r="703">
      <c r="I703" s="11" t="n">
        <v>46721</v>
      </c>
      <c r="J703" s="3">
        <f>IFERROR(INDEX('CALENDARIO'!$C$15:$C$214,MATCH(TEXT($I703,"yyyy-mm-dd")&amp;"|"&amp;""&amp;"|"&amp;"",'CALENDARIO'!$G$15:$G$214,0)),IFERROR(INDEX('CALENDARIO'!$C$15:$C$214,MATCH(TEXT($I703,"yyyy-mm-dd")&amp;"|"&amp;""&amp;"|",'CALENDARIO'!$G$15:$G$214,0)),IFERROR(INDEX('CALENDARIO'!$C$15:$C$214,MATCH(TEXT($I703,"yyyy-mm-dd")&amp;"||",'CALENDARIO'!$G$15:$G$214,0)),INDEX(patronHabil,WEEKDAY($I703,2)))))</f>
        <v/>
      </c>
    </row>
    <row r="704">
      <c r="I704" s="11" t="n">
        <v>46722</v>
      </c>
      <c r="J704" s="3">
        <f>IFERROR(INDEX('CALENDARIO'!$C$15:$C$214,MATCH(TEXT($I704,"yyyy-mm-dd")&amp;"|"&amp;""&amp;"|"&amp;"",'CALENDARIO'!$G$15:$G$214,0)),IFERROR(INDEX('CALENDARIO'!$C$15:$C$214,MATCH(TEXT($I704,"yyyy-mm-dd")&amp;"|"&amp;""&amp;"|",'CALENDARIO'!$G$15:$G$214,0)),IFERROR(INDEX('CALENDARIO'!$C$15:$C$214,MATCH(TEXT($I704,"yyyy-mm-dd")&amp;"||",'CALENDARIO'!$G$15:$G$214,0)),INDEX(patronHabil,WEEKDAY($I704,2)))))</f>
        <v/>
      </c>
    </row>
    <row r="705">
      <c r="I705" s="11" t="n">
        <v>46723</v>
      </c>
      <c r="J705" s="3">
        <f>IFERROR(INDEX('CALENDARIO'!$C$15:$C$214,MATCH(TEXT($I705,"yyyy-mm-dd")&amp;"|"&amp;""&amp;"|"&amp;"",'CALENDARIO'!$G$15:$G$214,0)),IFERROR(INDEX('CALENDARIO'!$C$15:$C$214,MATCH(TEXT($I705,"yyyy-mm-dd")&amp;"|"&amp;""&amp;"|",'CALENDARIO'!$G$15:$G$214,0)),IFERROR(INDEX('CALENDARIO'!$C$15:$C$214,MATCH(TEXT($I705,"yyyy-mm-dd")&amp;"||",'CALENDARIO'!$G$15:$G$214,0)),INDEX(patronHabil,WEEKDAY($I705,2)))))</f>
        <v/>
      </c>
    </row>
    <row r="706">
      <c r="I706" s="11" t="n">
        <v>46724</v>
      </c>
      <c r="J706" s="3">
        <f>IFERROR(INDEX('CALENDARIO'!$C$15:$C$214,MATCH(TEXT($I706,"yyyy-mm-dd")&amp;"|"&amp;""&amp;"|"&amp;"",'CALENDARIO'!$G$15:$G$214,0)),IFERROR(INDEX('CALENDARIO'!$C$15:$C$214,MATCH(TEXT($I706,"yyyy-mm-dd")&amp;"|"&amp;""&amp;"|",'CALENDARIO'!$G$15:$G$214,0)),IFERROR(INDEX('CALENDARIO'!$C$15:$C$214,MATCH(TEXT($I706,"yyyy-mm-dd")&amp;"||",'CALENDARIO'!$G$15:$G$214,0)),INDEX(patronHabil,WEEKDAY($I706,2)))))</f>
        <v/>
      </c>
    </row>
    <row r="707">
      <c r="I707" s="11" t="n">
        <v>46725</v>
      </c>
      <c r="J707" s="3">
        <f>IFERROR(INDEX('CALENDARIO'!$C$15:$C$214,MATCH(TEXT($I707,"yyyy-mm-dd")&amp;"|"&amp;""&amp;"|"&amp;"",'CALENDARIO'!$G$15:$G$214,0)),IFERROR(INDEX('CALENDARIO'!$C$15:$C$214,MATCH(TEXT($I707,"yyyy-mm-dd")&amp;"|"&amp;""&amp;"|",'CALENDARIO'!$G$15:$G$214,0)),IFERROR(INDEX('CALENDARIO'!$C$15:$C$214,MATCH(TEXT($I707,"yyyy-mm-dd")&amp;"||",'CALENDARIO'!$G$15:$G$214,0)),INDEX(patronHabil,WEEKDAY($I707,2)))))</f>
        <v/>
      </c>
    </row>
    <row r="708">
      <c r="I708" s="11" t="n">
        <v>46726</v>
      </c>
      <c r="J708" s="3">
        <f>IFERROR(INDEX('CALENDARIO'!$C$15:$C$214,MATCH(TEXT($I708,"yyyy-mm-dd")&amp;"|"&amp;""&amp;"|"&amp;"",'CALENDARIO'!$G$15:$G$214,0)),IFERROR(INDEX('CALENDARIO'!$C$15:$C$214,MATCH(TEXT($I708,"yyyy-mm-dd")&amp;"|"&amp;""&amp;"|",'CALENDARIO'!$G$15:$G$214,0)),IFERROR(INDEX('CALENDARIO'!$C$15:$C$214,MATCH(TEXT($I708,"yyyy-mm-dd")&amp;"||",'CALENDARIO'!$G$15:$G$214,0)),INDEX(patronHabil,WEEKDAY($I708,2)))))</f>
        <v/>
      </c>
    </row>
    <row r="709">
      <c r="I709" s="11" t="n">
        <v>46727</v>
      </c>
      <c r="J709" s="3">
        <f>IFERROR(INDEX('CALENDARIO'!$C$15:$C$214,MATCH(TEXT($I709,"yyyy-mm-dd")&amp;"|"&amp;""&amp;"|"&amp;"",'CALENDARIO'!$G$15:$G$214,0)),IFERROR(INDEX('CALENDARIO'!$C$15:$C$214,MATCH(TEXT($I709,"yyyy-mm-dd")&amp;"|"&amp;""&amp;"|",'CALENDARIO'!$G$15:$G$214,0)),IFERROR(INDEX('CALENDARIO'!$C$15:$C$214,MATCH(TEXT($I709,"yyyy-mm-dd")&amp;"||",'CALENDARIO'!$G$15:$G$214,0)),INDEX(patronHabil,WEEKDAY($I709,2)))))</f>
        <v/>
      </c>
    </row>
    <row r="710">
      <c r="I710" s="11" t="n">
        <v>46728</v>
      </c>
      <c r="J710" s="3">
        <f>IFERROR(INDEX('CALENDARIO'!$C$15:$C$214,MATCH(TEXT($I710,"yyyy-mm-dd")&amp;"|"&amp;""&amp;"|"&amp;"",'CALENDARIO'!$G$15:$G$214,0)),IFERROR(INDEX('CALENDARIO'!$C$15:$C$214,MATCH(TEXT($I710,"yyyy-mm-dd")&amp;"|"&amp;""&amp;"|",'CALENDARIO'!$G$15:$G$214,0)),IFERROR(INDEX('CALENDARIO'!$C$15:$C$214,MATCH(TEXT($I710,"yyyy-mm-dd")&amp;"||",'CALENDARIO'!$G$15:$G$214,0)),INDEX(patronHabil,WEEKDAY($I710,2)))))</f>
        <v/>
      </c>
    </row>
    <row r="711">
      <c r="I711" s="11" t="n">
        <v>46729</v>
      </c>
      <c r="J711" s="3">
        <f>IFERROR(INDEX('CALENDARIO'!$C$15:$C$214,MATCH(TEXT($I711,"yyyy-mm-dd")&amp;"|"&amp;""&amp;"|"&amp;"",'CALENDARIO'!$G$15:$G$214,0)),IFERROR(INDEX('CALENDARIO'!$C$15:$C$214,MATCH(TEXT($I711,"yyyy-mm-dd")&amp;"|"&amp;""&amp;"|",'CALENDARIO'!$G$15:$G$214,0)),IFERROR(INDEX('CALENDARIO'!$C$15:$C$214,MATCH(TEXT($I711,"yyyy-mm-dd")&amp;"||",'CALENDARIO'!$G$15:$G$214,0)),INDEX(patronHabil,WEEKDAY($I711,2)))))</f>
        <v/>
      </c>
    </row>
    <row r="712">
      <c r="I712" s="11" t="n">
        <v>46730</v>
      </c>
      <c r="J712" s="3">
        <f>IFERROR(INDEX('CALENDARIO'!$C$15:$C$214,MATCH(TEXT($I712,"yyyy-mm-dd")&amp;"|"&amp;""&amp;"|"&amp;"",'CALENDARIO'!$G$15:$G$214,0)),IFERROR(INDEX('CALENDARIO'!$C$15:$C$214,MATCH(TEXT($I712,"yyyy-mm-dd")&amp;"|"&amp;""&amp;"|",'CALENDARIO'!$G$15:$G$214,0)),IFERROR(INDEX('CALENDARIO'!$C$15:$C$214,MATCH(TEXT($I712,"yyyy-mm-dd")&amp;"||",'CALENDARIO'!$G$15:$G$214,0)),INDEX(patronHabil,WEEKDAY($I712,2)))))</f>
        <v/>
      </c>
    </row>
    <row r="713">
      <c r="I713" s="11" t="n">
        <v>46731</v>
      </c>
      <c r="J713" s="3">
        <f>IFERROR(INDEX('CALENDARIO'!$C$15:$C$214,MATCH(TEXT($I713,"yyyy-mm-dd")&amp;"|"&amp;""&amp;"|"&amp;"",'CALENDARIO'!$G$15:$G$214,0)),IFERROR(INDEX('CALENDARIO'!$C$15:$C$214,MATCH(TEXT($I713,"yyyy-mm-dd")&amp;"|"&amp;""&amp;"|",'CALENDARIO'!$G$15:$G$214,0)),IFERROR(INDEX('CALENDARIO'!$C$15:$C$214,MATCH(TEXT($I713,"yyyy-mm-dd")&amp;"||",'CALENDARIO'!$G$15:$G$214,0)),INDEX(patronHabil,WEEKDAY($I713,2)))))</f>
        <v/>
      </c>
    </row>
    <row r="714">
      <c r="I714" s="11" t="n">
        <v>46732</v>
      </c>
      <c r="J714" s="3">
        <f>IFERROR(INDEX('CALENDARIO'!$C$15:$C$214,MATCH(TEXT($I714,"yyyy-mm-dd")&amp;"|"&amp;""&amp;"|"&amp;"",'CALENDARIO'!$G$15:$G$214,0)),IFERROR(INDEX('CALENDARIO'!$C$15:$C$214,MATCH(TEXT($I714,"yyyy-mm-dd")&amp;"|"&amp;""&amp;"|",'CALENDARIO'!$G$15:$G$214,0)),IFERROR(INDEX('CALENDARIO'!$C$15:$C$214,MATCH(TEXT($I714,"yyyy-mm-dd")&amp;"||",'CALENDARIO'!$G$15:$G$214,0)),INDEX(patronHabil,WEEKDAY($I714,2)))))</f>
        <v/>
      </c>
    </row>
    <row r="715">
      <c r="I715" s="11" t="n">
        <v>46733</v>
      </c>
      <c r="J715" s="3">
        <f>IFERROR(INDEX('CALENDARIO'!$C$15:$C$214,MATCH(TEXT($I715,"yyyy-mm-dd")&amp;"|"&amp;""&amp;"|"&amp;"",'CALENDARIO'!$G$15:$G$214,0)),IFERROR(INDEX('CALENDARIO'!$C$15:$C$214,MATCH(TEXT($I715,"yyyy-mm-dd")&amp;"|"&amp;""&amp;"|",'CALENDARIO'!$G$15:$G$214,0)),IFERROR(INDEX('CALENDARIO'!$C$15:$C$214,MATCH(TEXT($I715,"yyyy-mm-dd")&amp;"||",'CALENDARIO'!$G$15:$G$214,0)),INDEX(patronHabil,WEEKDAY($I715,2)))))</f>
        <v/>
      </c>
    </row>
    <row r="716">
      <c r="I716" s="11" t="n">
        <v>46734</v>
      </c>
      <c r="J716" s="3">
        <f>IFERROR(INDEX('CALENDARIO'!$C$15:$C$214,MATCH(TEXT($I716,"yyyy-mm-dd")&amp;"|"&amp;""&amp;"|"&amp;"",'CALENDARIO'!$G$15:$G$214,0)),IFERROR(INDEX('CALENDARIO'!$C$15:$C$214,MATCH(TEXT($I716,"yyyy-mm-dd")&amp;"|"&amp;""&amp;"|",'CALENDARIO'!$G$15:$G$214,0)),IFERROR(INDEX('CALENDARIO'!$C$15:$C$214,MATCH(TEXT($I716,"yyyy-mm-dd")&amp;"||",'CALENDARIO'!$G$15:$G$214,0)),INDEX(patronHabil,WEEKDAY($I716,2)))))</f>
        <v/>
      </c>
    </row>
    <row r="717">
      <c r="I717" s="11" t="n">
        <v>46735</v>
      </c>
      <c r="J717" s="3">
        <f>IFERROR(INDEX('CALENDARIO'!$C$15:$C$214,MATCH(TEXT($I717,"yyyy-mm-dd")&amp;"|"&amp;""&amp;"|"&amp;"",'CALENDARIO'!$G$15:$G$214,0)),IFERROR(INDEX('CALENDARIO'!$C$15:$C$214,MATCH(TEXT($I717,"yyyy-mm-dd")&amp;"|"&amp;""&amp;"|",'CALENDARIO'!$G$15:$G$214,0)),IFERROR(INDEX('CALENDARIO'!$C$15:$C$214,MATCH(TEXT($I717,"yyyy-mm-dd")&amp;"||",'CALENDARIO'!$G$15:$G$214,0)),INDEX(patronHabil,WEEKDAY($I717,2)))))</f>
        <v/>
      </c>
    </row>
    <row r="718">
      <c r="I718" s="11" t="n">
        <v>46736</v>
      </c>
      <c r="J718" s="3">
        <f>IFERROR(INDEX('CALENDARIO'!$C$15:$C$214,MATCH(TEXT($I718,"yyyy-mm-dd")&amp;"|"&amp;""&amp;"|"&amp;"",'CALENDARIO'!$G$15:$G$214,0)),IFERROR(INDEX('CALENDARIO'!$C$15:$C$214,MATCH(TEXT($I718,"yyyy-mm-dd")&amp;"|"&amp;""&amp;"|",'CALENDARIO'!$G$15:$G$214,0)),IFERROR(INDEX('CALENDARIO'!$C$15:$C$214,MATCH(TEXT($I718,"yyyy-mm-dd")&amp;"||",'CALENDARIO'!$G$15:$G$214,0)),INDEX(patronHabil,WEEKDAY($I718,2)))))</f>
        <v/>
      </c>
    </row>
    <row r="719">
      <c r="I719" s="11" t="n">
        <v>46737</v>
      </c>
      <c r="J719" s="3">
        <f>IFERROR(INDEX('CALENDARIO'!$C$15:$C$214,MATCH(TEXT($I719,"yyyy-mm-dd")&amp;"|"&amp;""&amp;"|"&amp;"",'CALENDARIO'!$G$15:$G$214,0)),IFERROR(INDEX('CALENDARIO'!$C$15:$C$214,MATCH(TEXT($I719,"yyyy-mm-dd")&amp;"|"&amp;""&amp;"|",'CALENDARIO'!$G$15:$G$214,0)),IFERROR(INDEX('CALENDARIO'!$C$15:$C$214,MATCH(TEXT($I719,"yyyy-mm-dd")&amp;"||",'CALENDARIO'!$G$15:$G$214,0)),INDEX(patronHabil,WEEKDAY($I719,2)))))</f>
        <v/>
      </c>
    </row>
    <row r="720">
      <c r="I720" s="11" t="n">
        <v>46738</v>
      </c>
      <c r="J720" s="3">
        <f>IFERROR(INDEX('CALENDARIO'!$C$15:$C$214,MATCH(TEXT($I720,"yyyy-mm-dd")&amp;"|"&amp;""&amp;"|"&amp;"",'CALENDARIO'!$G$15:$G$214,0)),IFERROR(INDEX('CALENDARIO'!$C$15:$C$214,MATCH(TEXT($I720,"yyyy-mm-dd")&amp;"|"&amp;""&amp;"|",'CALENDARIO'!$G$15:$G$214,0)),IFERROR(INDEX('CALENDARIO'!$C$15:$C$214,MATCH(TEXT($I720,"yyyy-mm-dd")&amp;"||",'CALENDARIO'!$G$15:$G$214,0)),INDEX(patronHabil,WEEKDAY($I720,2)))))</f>
        <v/>
      </c>
    </row>
    <row r="721">
      <c r="I721" s="11" t="n">
        <v>46739</v>
      </c>
      <c r="J721" s="3">
        <f>IFERROR(INDEX('CALENDARIO'!$C$15:$C$214,MATCH(TEXT($I721,"yyyy-mm-dd")&amp;"|"&amp;""&amp;"|"&amp;"",'CALENDARIO'!$G$15:$G$214,0)),IFERROR(INDEX('CALENDARIO'!$C$15:$C$214,MATCH(TEXT($I721,"yyyy-mm-dd")&amp;"|"&amp;""&amp;"|",'CALENDARIO'!$G$15:$G$214,0)),IFERROR(INDEX('CALENDARIO'!$C$15:$C$214,MATCH(TEXT($I721,"yyyy-mm-dd")&amp;"||",'CALENDARIO'!$G$15:$G$214,0)),INDEX(patronHabil,WEEKDAY($I721,2)))))</f>
        <v/>
      </c>
    </row>
    <row r="722">
      <c r="I722" s="11" t="n">
        <v>46740</v>
      </c>
      <c r="J722" s="3">
        <f>IFERROR(INDEX('CALENDARIO'!$C$15:$C$214,MATCH(TEXT($I722,"yyyy-mm-dd")&amp;"|"&amp;""&amp;"|"&amp;"",'CALENDARIO'!$G$15:$G$214,0)),IFERROR(INDEX('CALENDARIO'!$C$15:$C$214,MATCH(TEXT($I722,"yyyy-mm-dd")&amp;"|"&amp;""&amp;"|",'CALENDARIO'!$G$15:$G$214,0)),IFERROR(INDEX('CALENDARIO'!$C$15:$C$214,MATCH(TEXT($I722,"yyyy-mm-dd")&amp;"||",'CALENDARIO'!$G$15:$G$214,0)),INDEX(patronHabil,WEEKDAY($I722,2)))))</f>
        <v/>
      </c>
    </row>
    <row r="723">
      <c r="I723" s="11" t="n">
        <v>46741</v>
      </c>
      <c r="J723" s="3">
        <f>IFERROR(INDEX('CALENDARIO'!$C$15:$C$214,MATCH(TEXT($I723,"yyyy-mm-dd")&amp;"|"&amp;""&amp;"|"&amp;"",'CALENDARIO'!$G$15:$G$214,0)),IFERROR(INDEX('CALENDARIO'!$C$15:$C$214,MATCH(TEXT($I723,"yyyy-mm-dd")&amp;"|"&amp;""&amp;"|",'CALENDARIO'!$G$15:$G$214,0)),IFERROR(INDEX('CALENDARIO'!$C$15:$C$214,MATCH(TEXT($I723,"yyyy-mm-dd")&amp;"||",'CALENDARIO'!$G$15:$G$214,0)),INDEX(patronHabil,WEEKDAY($I723,2)))))</f>
        <v/>
      </c>
    </row>
    <row r="724">
      <c r="I724" s="11" t="n">
        <v>46742</v>
      </c>
      <c r="J724" s="3">
        <f>IFERROR(INDEX('CALENDARIO'!$C$15:$C$214,MATCH(TEXT($I724,"yyyy-mm-dd")&amp;"|"&amp;""&amp;"|"&amp;"",'CALENDARIO'!$G$15:$G$214,0)),IFERROR(INDEX('CALENDARIO'!$C$15:$C$214,MATCH(TEXT($I724,"yyyy-mm-dd")&amp;"|"&amp;""&amp;"|",'CALENDARIO'!$G$15:$G$214,0)),IFERROR(INDEX('CALENDARIO'!$C$15:$C$214,MATCH(TEXT($I724,"yyyy-mm-dd")&amp;"||",'CALENDARIO'!$G$15:$G$214,0)),INDEX(patronHabil,WEEKDAY($I724,2)))))</f>
        <v/>
      </c>
    </row>
    <row r="725">
      <c r="I725" s="11" t="n">
        <v>46743</v>
      </c>
      <c r="J725" s="3">
        <f>IFERROR(INDEX('CALENDARIO'!$C$15:$C$214,MATCH(TEXT($I725,"yyyy-mm-dd")&amp;"|"&amp;""&amp;"|"&amp;"",'CALENDARIO'!$G$15:$G$214,0)),IFERROR(INDEX('CALENDARIO'!$C$15:$C$214,MATCH(TEXT($I725,"yyyy-mm-dd")&amp;"|"&amp;""&amp;"|",'CALENDARIO'!$G$15:$G$214,0)),IFERROR(INDEX('CALENDARIO'!$C$15:$C$214,MATCH(TEXT($I725,"yyyy-mm-dd")&amp;"||",'CALENDARIO'!$G$15:$G$214,0)),INDEX(patronHabil,WEEKDAY($I725,2)))))</f>
        <v/>
      </c>
    </row>
    <row r="726">
      <c r="I726" s="11" t="n">
        <v>46744</v>
      </c>
      <c r="J726" s="3">
        <f>IFERROR(INDEX('CALENDARIO'!$C$15:$C$214,MATCH(TEXT($I726,"yyyy-mm-dd")&amp;"|"&amp;""&amp;"|"&amp;"",'CALENDARIO'!$G$15:$G$214,0)),IFERROR(INDEX('CALENDARIO'!$C$15:$C$214,MATCH(TEXT($I726,"yyyy-mm-dd")&amp;"|"&amp;""&amp;"|",'CALENDARIO'!$G$15:$G$214,0)),IFERROR(INDEX('CALENDARIO'!$C$15:$C$214,MATCH(TEXT($I726,"yyyy-mm-dd")&amp;"||",'CALENDARIO'!$G$15:$G$214,0)),INDEX(patronHabil,WEEKDAY($I726,2)))))</f>
        <v/>
      </c>
    </row>
    <row r="727">
      <c r="I727" s="11" t="n">
        <v>46745</v>
      </c>
      <c r="J727" s="3">
        <f>IFERROR(INDEX('CALENDARIO'!$C$15:$C$214,MATCH(TEXT($I727,"yyyy-mm-dd")&amp;"|"&amp;""&amp;"|"&amp;"",'CALENDARIO'!$G$15:$G$214,0)),IFERROR(INDEX('CALENDARIO'!$C$15:$C$214,MATCH(TEXT($I727,"yyyy-mm-dd")&amp;"|"&amp;""&amp;"|",'CALENDARIO'!$G$15:$G$214,0)),IFERROR(INDEX('CALENDARIO'!$C$15:$C$214,MATCH(TEXT($I727,"yyyy-mm-dd")&amp;"||",'CALENDARIO'!$G$15:$G$214,0)),INDEX(patronHabil,WEEKDAY($I727,2)))))</f>
        <v/>
      </c>
    </row>
    <row r="728">
      <c r="I728" s="11" t="n">
        <v>46746</v>
      </c>
      <c r="J728" s="3">
        <f>IFERROR(INDEX('CALENDARIO'!$C$15:$C$214,MATCH(TEXT($I728,"yyyy-mm-dd")&amp;"|"&amp;""&amp;"|"&amp;"",'CALENDARIO'!$G$15:$G$214,0)),IFERROR(INDEX('CALENDARIO'!$C$15:$C$214,MATCH(TEXT($I728,"yyyy-mm-dd")&amp;"|"&amp;""&amp;"|",'CALENDARIO'!$G$15:$G$214,0)),IFERROR(INDEX('CALENDARIO'!$C$15:$C$214,MATCH(TEXT($I728,"yyyy-mm-dd")&amp;"||",'CALENDARIO'!$G$15:$G$214,0)),INDEX(patronHabil,WEEKDAY($I728,2)))))</f>
        <v/>
      </c>
    </row>
    <row r="729">
      <c r="I729" s="11" t="n">
        <v>46747</v>
      </c>
      <c r="J729" s="3">
        <f>IFERROR(INDEX('CALENDARIO'!$C$15:$C$214,MATCH(TEXT($I729,"yyyy-mm-dd")&amp;"|"&amp;""&amp;"|"&amp;"",'CALENDARIO'!$G$15:$G$214,0)),IFERROR(INDEX('CALENDARIO'!$C$15:$C$214,MATCH(TEXT($I729,"yyyy-mm-dd")&amp;"|"&amp;""&amp;"|",'CALENDARIO'!$G$15:$G$214,0)),IFERROR(INDEX('CALENDARIO'!$C$15:$C$214,MATCH(TEXT($I729,"yyyy-mm-dd")&amp;"||",'CALENDARIO'!$G$15:$G$214,0)),INDEX(patronHabil,WEEKDAY($I729,2)))))</f>
        <v/>
      </c>
    </row>
    <row r="730">
      <c r="I730" s="11" t="n">
        <v>46748</v>
      </c>
      <c r="J730" s="3">
        <f>IFERROR(INDEX('CALENDARIO'!$C$15:$C$214,MATCH(TEXT($I730,"yyyy-mm-dd")&amp;"|"&amp;""&amp;"|"&amp;"",'CALENDARIO'!$G$15:$G$214,0)),IFERROR(INDEX('CALENDARIO'!$C$15:$C$214,MATCH(TEXT($I730,"yyyy-mm-dd")&amp;"|"&amp;""&amp;"|",'CALENDARIO'!$G$15:$G$214,0)),IFERROR(INDEX('CALENDARIO'!$C$15:$C$214,MATCH(TEXT($I730,"yyyy-mm-dd")&amp;"||",'CALENDARIO'!$G$15:$G$214,0)),INDEX(patronHabil,WEEKDAY($I730,2)))))</f>
        <v/>
      </c>
    </row>
    <row r="731">
      <c r="I731" s="11" t="n">
        <v>46749</v>
      </c>
      <c r="J731" s="3">
        <f>IFERROR(INDEX('CALENDARIO'!$C$15:$C$214,MATCH(TEXT($I731,"yyyy-mm-dd")&amp;"|"&amp;""&amp;"|"&amp;"",'CALENDARIO'!$G$15:$G$214,0)),IFERROR(INDEX('CALENDARIO'!$C$15:$C$214,MATCH(TEXT($I731,"yyyy-mm-dd")&amp;"|"&amp;""&amp;"|",'CALENDARIO'!$G$15:$G$214,0)),IFERROR(INDEX('CALENDARIO'!$C$15:$C$214,MATCH(TEXT($I731,"yyyy-mm-dd")&amp;"||",'CALENDARIO'!$G$15:$G$214,0)),INDEX(patronHabil,WEEKDAY($I731,2)))))</f>
        <v/>
      </c>
    </row>
    <row r="732">
      <c r="I732" s="11" t="n">
        <v>46750</v>
      </c>
      <c r="J732" s="3">
        <f>IFERROR(INDEX('CALENDARIO'!$C$15:$C$214,MATCH(TEXT($I732,"yyyy-mm-dd")&amp;"|"&amp;""&amp;"|"&amp;"",'CALENDARIO'!$G$15:$G$214,0)),IFERROR(INDEX('CALENDARIO'!$C$15:$C$214,MATCH(TEXT($I732,"yyyy-mm-dd")&amp;"|"&amp;""&amp;"|",'CALENDARIO'!$G$15:$G$214,0)),IFERROR(INDEX('CALENDARIO'!$C$15:$C$214,MATCH(TEXT($I732,"yyyy-mm-dd")&amp;"||",'CALENDARIO'!$G$15:$G$214,0)),INDEX(patronHabil,WEEKDAY($I732,2)))))</f>
        <v/>
      </c>
    </row>
    <row r="733">
      <c r="I733" s="11" t="n">
        <v>46751</v>
      </c>
      <c r="J733" s="3">
        <f>IFERROR(INDEX('CALENDARIO'!$C$15:$C$214,MATCH(TEXT($I733,"yyyy-mm-dd")&amp;"|"&amp;""&amp;"|"&amp;"",'CALENDARIO'!$G$15:$G$214,0)),IFERROR(INDEX('CALENDARIO'!$C$15:$C$214,MATCH(TEXT($I733,"yyyy-mm-dd")&amp;"|"&amp;""&amp;"|",'CALENDARIO'!$G$15:$G$214,0)),IFERROR(INDEX('CALENDARIO'!$C$15:$C$214,MATCH(TEXT($I733,"yyyy-mm-dd")&amp;"||",'CALENDARIO'!$G$15:$G$214,0)),INDEX(patronHabil,WEEKDAY($I733,2)))))</f>
        <v/>
      </c>
    </row>
    <row r="734">
      <c r="I734" s="11" t="n">
        <v>46752</v>
      </c>
      <c r="J734" s="3">
        <f>IFERROR(INDEX('CALENDARIO'!$C$15:$C$214,MATCH(TEXT($I734,"yyyy-mm-dd")&amp;"|"&amp;""&amp;"|"&amp;"",'CALENDARIO'!$G$15:$G$214,0)),IFERROR(INDEX('CALENDARIO'!$C$15:$C$214,MATCH(TEXT($I734,"yyyy-mm-dd")&amp;"|"&amp;""&amp;"|",'CALENDARIO'!$G$15:$G$214,0)),IFERROR(INDEX('CALENDARIO'!$C$15:$C$214,MATCH(TEXT($I734,"yyyy-mm-dd")&amp;"||",'CALENDARIO'!$G$15:$G$214,0)),INDEX(patronHabil,WEEKDAY($I734,2)))))</f>
        <v/>
      </c>
    </row>
    <row r="735">
      <c r="I735" s="11" t="n">
        <v>46753</v>
      </c>
      <c r="J735" s="3">
        <f>IFERROR(INDEX('CALENDARIO'!$C$15:$C$214,MATCH(TEXT($I735,"yyyy-mm-dd")&amp;"|"&amp;""&amp;"|"&amp;"",'CALENDARIO'!$G$15:$G$214,0)),IFERROR(INDEX('CALENDARIO'!$C$15:$C$214,MATCH(TEXT($I735,"yyyy-mm-dd")&amp;"|"&amp;""&amp;"|",'CALENDARIO'!$G$15:$G$214,0)),IFERROR(INDEX('CALENDARIO'!$C$15:$C$214,MATCH(TEXT($I735,"yyyy-mm-dd")&amp;"||",'CALENDARIO'!$G$15:$G$214,0)),INDEX(patronHabil,WEEKDAY($I735,2)))))</f>
        <v/>
      </c>
    </row>
    <row r="736">
      <c r="I736" s="11" t="n">
        <v>46754</v>
      </c>
      <c r="J736" s="3">
        <f>IFERROR(INDEX('CALENDARIO'!$C$15:$C$214,MATCH(TEXT($I736,"yyyy-mm-dd")&amp;"|"&amp;""&amp;"|"&amp;"",'CALENDARIO'!$G$15:$G$214,0)),IFERROR(INDEX('CALENDARIO'!$C$15:$C$214,MATCH(TEXT($I736,"yyyy-mm-dd")&amp;"|"&amp;""&amp;"|",'CALENDARIO'!$G$15:$G$214,0)),IFERROR(INDEX('CALENDARIO'!$C$15:$C$214,MATCH(TEXT($I736,"yyyy-mm-dd")&amp;"||",'CALENDARIO'!$G$15:$G$214,0)),INDEX(patronHabil,WEEKDAY($I736,2)))))</f>
        <v/>
      </c>
    </row>
    <row r="737">
      <c r="I737" s="11" t="n">
        <v>46755</v>
      </c>
      <c r="J737" s="3">
        <f>IFERROR(INDEX('CALENDARIO'!$C$15:$C$214,MATCH(TEXT($I737,"yyyy-mm-dd")&amp;"|"&amp;""&amp;"|"&amp;"",'CALENDARIO'!$G$15:$G$214,0)),IFERROR(INDEX('CALENDARIO'!$C$15:$C$214,MATCH(TEXT($I737,"yyyy-mm-dd")&amp;"|"&amp;""&amp;"|",'CALENDARIO'!$G$15:$G$214,0)),IFERROR(INDEX('CALENDARIO'!$C$15:$C$214,MATCH(TEXT($I737,"yyyy-mm-dd")&amp;"||",'CALENDARIO'!$G$15:$G$214,0)),INDEX(patronHabil,WEEKDAY($I737,2)))))</f>
        <v/>
      </c>
    </row>
    <row r="738">
      <c r="I738" s="11" t="n">
        <v>46756</v>
      </c>
      <c r="J738" s="3">
        <f>IFERROR(INDEX('CALENDARIO'!$C$15:$C$214,MATCH(TEXT($I738,"yyyy-mm-dd")&amp;"|"&amp;""&amp;"|"&amp;"",'CALENDARIO'!$G$15:$G$214,0)),IFERROR(INDEX('CALENDARIO'!$C$15:$C$214,MATCH(TEXT($I738,"yyyy-mm-dd")&amp;"|"&amp;""&amp;"|",'CALENDARIO'!$G$15:$G$214,0)),IFERROR(INDEX('CALENDARIO'!$C$15:$C$214,MATCH(TEXT($I738,"yyyy-mm-dd")&amp;"||",'CALENDARIO'!$G$15:$G$214,0)),INDEX(patronHabil,WEEKDAY($I738,2)))))</f>
        <v/>
      </c>
    </row>
    <row r="739">
      <c r="I739" s="11" t="n">
        <v>46757</v>
      </c>
      <c r="J739" s="3">
        <f>IFERROR(INDEX('CALENDARIO'!$C$15:$C$214,MATCH(TEXT($I739,"yyyy-mm-dd")&amp;"|"&amp;""&amp;"|"&amp;"",'CALENDARIO'!$G$15:$G$214,0)),IFERROR(INDEX('CALENDARIO'!$C$15:$C$214,MATCH(TEXT($I739,"yyyy-mm-dd")&amp;"|"&amp;""&amp;"|",'CALENDARIO'!$G$15:$G$214,0)),IFERROR(INDEX('CALENDARIO'!$C$15:$C$214,MATCH(TEXT($I739,"yyyy-mm-dd")&amp;"||",'CALENDARIO'!$G$15:$G$214,0)),INDEX(patronHabil,WEEKDAY($I739,2)))))</f>
        <v/>
      </c>
    </row>
    <row r="740">
      <c r="I740" s="11" t="n">
        <v>46758</v>
      </c>
      <c r="J740" s="3">
        <f>IFERROR(INDEX('CALENDARIO'!$C$15:$C$214,MATCH(TEXT($I740,"yyyy-mm-dd")&amp;"|"&amp;""&amp;"|"&amp;"",'CALENDARIO'!$G$15:$G$214,0)),IFERROR(INDEX('CALENDARIO'!$C$15:$C$214,MATCH(TEXT($I740,"yyyy-mm-dd")&amp;"|"&amp;""&amp;"|",'CALENDARIO'!$G$15:$G$214,0)),IFERROR(INDEX('CALENDARIO'!$C$15:$C$214,MATCH(TEXT($I740,"yyyy-mm-dd")&amp;"||",'CALENDARIO'!$G$15:$G$214,0)),INDEX(patronHabil,WEEKDAY($I740,2)))))</f>
        <v/>
      </c>
    </row>
    <row r="741">
      <c r="I741" s="11" t="n">
        <v>46759</v>
      </c>
      <c r="J741" s="3">
        <f>IFERROR(INDEX('CALENDARIO'!$C$15:$C$214,MATCH(TEXT($I741,"yyyy-mm-dd")&amp;"|"&amp;""&amp;"|"&amp;"",'CALENDARIO'!$G$15:$G$214,0)),IFERROR(INDEX('CALENDARIO'!$C$15:$C$214,MATCH(TEXT($I741,"yyyy-mm-dd")&amp;"|"&amp;""&amp;"|",'CALENDARIO'!$G$15:$G$214,0)),IFERROR(INDEX('CALENDARIO'!$C$15:$C$214,MATCH(TEXT($I741,"yyyy-mm-dd")&amp;"||",'CALENDARIO'!$G$15:$G$214,0)),INDEX(patronHabil,WEEKDAY($I741,2)))))</f>
        <v/>
      </c>
    </row>
    <row r="742">
      <c r="I742" s="11" t="n">
        <v>46760</v>
      </c>
      <c r="J742" s="3">
        <f>IFERROR(INDEX('CALENDARIO'!$C$15:$C$214,MATCH(TEXT($I742,"yyyy-mm-dd")&amp;"|"&amp;""&amp;"|"&amp;"",'CALENDARIO'!$G$15:$G$214,0)),IFERROR(INDEX('CALENDARIO'!$C$15:$C$214,MATCH(TEXT($I742,"yyyy-mm-dd")&amp;"|"&amp;""&amp;"|",'CALENDARIO'!$G$15:$G$214,0)),IFERROR(INDEX('CALENDARIO'!$C$15:$C$214,MATCH(TEXT($I742,"yyyy-mm-dd")&amp;"||",'CALENDARIO'!$G$15:$G$214,0)),INDEX(patronHabil,WEEKDAY($I742,2)))))</f>
        <v/>
      </c>
    </row>
    <row r="743">
      <c r="I743" s="11" t="n">
        <v>46761</v>
      </c>
      <c r="J743" s="3">
        <f>IFERROR(INDEX('CALENDARIO'!$C$15:$C$214,MATCH(TEXT($I743,"yyyy-mm-dd")&amp;"|"&amp;""&amp;"|"&amp;"",'CALENDARIO'!$G$15:$G$214,0)),IFERROR(INDEX('CALENDARIO'!$C$15:$C$214,MATCH(TEXT($I743,"yyyy-mm-dd")&amp;"|"&amp;""&amp;"|",'CALENDARIO'!$G$15:$G$214,0)),IFERROR(INDEX('CALENDARIO'!$C$15:$C$214,MATCH(TEXT($I743,"yyyy-mm-dd")&amp;"||",'CALENDARIO'!$G$15:$G$214,0)),INDEX(patronHabil,WEEKDAY($I743,2)))))</f>
        <v/>
      </c>
    </row>
    <row r="744">
      <c r="I744" s="11" t="n">
        <v>46762</v>
      </c>
      <c r="J744" s="3">
        <f>IFERROR(INDEX('CALENDARIO'!$C$15:$C$214,MATCH(TEXT($I744,"yyyy-mm-dd")&amp;"|"&amp;""&amp;"|"&amp;"",'CALENDARIO'!$G$15:$G$214,0)),IFERROR(INDEX('CALENDARIO'!$C$15:$C$214,MATCH(TEXT($I744,"yyyy-mm-dd")&amp;"|"&amp;""&amp;"|",'CALENDARIO'!$G$15:$G$214,0)),IFERROR(INDEX('CALENDARIO'!$C$15:$C$214,MATCH(TEXT($I744,"yyyy-mm-dd")&amp;"||",'CALENDARIO'!$G$15:$G$214,0)),INDEX(patronHabil,WEEKDAY($I744,2)))))</f>
        <v/>
      </c>
    </row>
    <row r="745">
      <c r="I745" s="11" t="n">
        <v>46763</v>
      </c>
      <c r="J745" s="3">
        <f>IFERROR(INDEX('CALENDARIO'!$C$15:$C$214,MATCH(TEXT($I745,"yyyy-mm-dd")&amp;"|"&amp;""&amp;"|"&amp;"",'CALENDARIO'!$G$15:$G$214,0)),IFERROR(INDEX('CALENDARIO'!$C$15:$C$214,MATCH(TEXT($I745,"yyyy-mm-dd")&amp;"|"&amp;""&amp;"|",'CALENDARIO'!$G$15:$G$214,0)),IFERROR(INDEX('CALENDARIO'!$C$15:$C$214,MATCH(TEXT($I745,"yyyy-mm-dd")&amp;"||",'CALENDARIO'!$G$15:$G$214,0)),INDEX(patronHabil,WEEKDAY($I745,2)))))</f>
        <v/>
      </c>
    </row>
    <row r="746">
      <c r="I746" s="11" t="n">
        <v>46764</v>
      </c>
      <c r="J746" s="3">
        <f>IFERROR(INDEX('CALENDARIO'!$C$15:$C$214,MATCH(TEXT($I746,"yyyy-mm-dd")&amp;"|"&amp;""&amp;"|"&amp;"",'CALENDARIO'!$G$15:$G$214,0)),IFERROR(INDEX('CALENDARIO'!$C$15:$C$214,MATCH(TEXT($I746,"yyyy-mm-dd")&amp;"|"&amp;""&amp;"|",'CALENDARIO'!$G$15:$G$214,0)),IFERROR(INDEX('CALENDARIO'!$C$15:$C$214,MATCH(TEXT($I746,"yyyy-mm-dd")&amp;"||",'CALENDARIO'!$G$15:$G$214,0)),INDEX(patronHabil,WEEKDAY($I746,2)))))</f>
        <v/>
      </c>
    </row>
    <row r="747">
      <c r="I747" s="11" t="n">
        <v>46765</v>
      </c>
      <c r="J747" s="3">
        <f>IFERROR(INDEX('CALENDARIO'!$C$15:$C$214,MATCH(TEXT($I747,"yyyy-mm-dd")&amp;"|"&amp;""&amp;"|"&amp;"",'CALENDARIO'!$G$15:$G$214,0)),IFERROR(INDEX('CALENDARIO'!$C$15:$C$214,MATCH(TEXT($I747,"yyyy-mm-dd")&amp;"|"&amp;""&amp;"|",'CALENDARIO'!$G$15:$G$214,0)),IFERROR(INDEX('CALENDARIO'!$C$15:$C$214,MATCH(TEXT($I747,"yyyy-mm-dd")&amp;"||",'CALENDARIO'!$G$15:$G$214,0)),INDEX(patronHabil,WEEKDAY($I747,2)))))</f>
        <v/>
      </c>
    </row>
    <row r="748">
      <c r="I748" s="11" t="n">
        <v>46766</v>
      </c>
      <c r="J748" s="3">
        <f>IFERROR(INDEX('CALENDARIO'!$C$15:$C$214,MATCH(TEXT($I748,"yyyy-mm-dd")&amp;"|"&amp;""&amp;"|"&amp;"",'CALENDARIO'!$G$15:$G$214,0)),IFERROR(INDEX('CALENDARIO'!$C$15:$C$214,MATCH(TEXT($I748,"yyyy-mm-dd")&amp;"|"&amp;""&amp;"|",'CALENDARIO'!$G$15:$G$214,0)),IFERROR(INDEX('CALENDARIO'!$C$15:$C$214,MATCH(TEXT($I748,"yyyy-mm-dd")&amp;"||",'CALENDARIO'!$G$15:$G$214,0)),INDEX(patronHabil,WEEKDAY($I748,2)))))</f>
        <v/>
      </c>
    </row>
    <row r="749">
      <c r="I749" s="11" t="n">
        <v>46767</v>
      </c>
      <c r="J749" s="3">
        <f>IFERROR(INDEX('CALENDARIO'!$C$15:$C$214,MATCH(TEXT($I749,"yyyy-mm-dd")&amp;"|"&amp;""&amp;"|"&amp;"",'CALENDARIO'!$G$15:$G$214,0)),IFERROR(INDEX('CALENDARIO'!$C$15:$C$214,MATCH(TEXT($I749,"yyyy-mm-dd")&amp;"|"&amp;""&amp;"|",'CALENDARIO'!$G$15:$G$214,0)),IFERROR(INDEX('CALENDARIO'!$C$15:$C$214,MATCH(TEXT($I749,"yyyy-mm-dd")&amp;"||",'CALENDARIO'!$G$15:$G$214,0)),INDEX(patronHabil,WEEKDAY($I749,2)))))</f>
        <v/>
      </c>
    </row>
    <row r="750">
      <c r="I750" s="11" t="n">
        <v>46768</v>
      </c>
      <c r="J750" s="3">
        <f>IFERROR(INDEX('CALENDARIO'!$C$15:$C$214,MATCH(TEXT($I750,"yyyy-mm-dd")&amp;"|"&amp;""&amp;"|"&amp;"",'CALENDARIO'!$G$15:$G$214,0)),IFERROR(INDEX('CALENDARIO'!$C$15:$C$214,MATCH(TEXT($I750,"yyyy-mm-dd")&amp;"|"&amp;""&amp;"|",'CALENDARIO'!$G$15:$G$214,0)),IFERROR(INDEX('CALENDARIO'!$C$15:$C$214,MATCH(TEXT($I750,"yyyy-mm-dd")&amp;"||",'CALENDARIO'!$G$15:$G$214,0)),INDEX(patronHabil,WEEKDAY($I750,2)))))</f>
        <v/>
      </c>
    </row>
    <row r="751">
      <c r="I751" s="11" t="n">
        <v>46769</v>
      </c>
      <c r="J751" s="3">
        <f>IFERROR(INDEX('CALENDARIO'!$C$15:$C$214,MATCH(TEXT($I751,"yyyy-mm-dd")&amp;"|"&amp;""&amp;"|"&amp;"",'CALENDARIO'!$G$15:$G$214,0)),IFERROR(INDEX('CALENDARIO'!$C$15:$C$214,MATCH(TEXT($I751,"yyyy-mm-dd")&amp;"|"&amp;""&amp;"|",'CALENDARIO'!$G$15:$G$214,0)),IFERROR(INDEX('CALENDARIO'!$C$15:$C$214,MATCH(TEXT($I751,"yyyy-mm-dd")&amp;"||",'CALENDARIO'!$G$15:$G$214,0)),INDEX(patronHabil,WEEKDAY($I751,2)))))</f>
        <v/>
      </c>
    </row>
    <row r="752">
      <c r="I752" s="11" t="n">
        <v>46770</v>
      </c>
      <c r="J752" s="3">
        <f>IFERROR(INDEX('CALENDARIO'!$C$15:$C$214,MATCH(TEXT($I752,"yyyy-mm-dd")&amp;"|"&amp;""&amp;"|"&amp;"",'CALENDARIO'!$G$15:$G$214,0)),IFERROR(INDEX('CALENDARIO'!$C$15:$C$214,MATCH(TEXT($I752,"yyyy-mm-dd")&amp;"|"&amp;""&amp;"|",'CALENDARIO'!$G$15:$G$214,0)),IFERROR(INDEX('CALENDARIO'!$C$15:$C$214,MATCH(TEXT($I752,"yyyy-mm-dd")&amp;"||",'CALENDARIO'!$G$15:$G$214,0)),INDEX(patronHabil,WEEKDAY($I752,2)))))</f>
        <v/>
      </c>
    </row>
    <row r="753">
      <c r="I753" s="11" t="n">
        <v>46771</v>
      </c>
      <c r="J753" s="3">
        <f>IFERROR(INDEX('CALENDARIO'!$C$15:$C$214,MATCH(TEXT($I753,"yyyy-mm-dd")&amp;"|"&amp;""&amp;"|"&amp;"",'CALENDARIO'!$G$15:$G$214,0)),IFERROR(INDEX('CALENDARIO'!$C$15:$C$214,MATCH(TEXT($I753,"yyyy-mm-dd")&amp;"|"&amp;""&amp;"|",'CALENDARIO'!$G$15:$G$214,0)),IFERROR(INDEX('CALENDARIO'!$C$15:$C$214,MATCH(TEXT($I753,"yyyy-mm-dd")&amp;"||",'CALENDARIO'!$G$15:$G$214,0)),INDEX(patronHabil,WEEKDAY($I753,2)))))</f>
        <v/>
      </c>
    </row>
    <row r="754">
      <c r="I754" s="11" t="n">
        <v>46772</v>
      </c>
      <c r="J754" s="3">
        <f>IFERROR(INDEX('CALENDARIO'!$C$15:$C$214,MATCH(TEXT($I754,"yyyy-mm-dd")&amp;"|"&amp;""&amp;"|"&amp;"",'CALENDARIO'!$G$15:$G$214,0)),IFERROR(INDEX('CALENDARIO'!$C$15:$C$214,MATCH(TEXT($I754,"yyyy-mm-dd")&amp;"|"&amp;""&amp;"|",'CALENDARIO'!$G$15:$G$214,0)),IFERROR(INDEX('CALENDARIO'!$C$15:$C$214,MATCH(TEXT($I754,"yyyy-mm-dd")&amp;"||",'CALENDARIO'!$G$15:$G$214,0)),INDEX(patronHabil,WEEKDAY($I754,2)))))</f>
        <v/>
      </c>
    </row>
    <row r="755">
      <c r="I755" s="11" t="n">
        <v>46773</v>
      </c>
      <c r="J755" s="3">
        <f>IFERROR(INDEX('CALENDARIO'!$C$15:$C$214,MATCH(TEXT($I755,"yyyy-mm-dd")&amp;"|"&amp;""&amp;"|"&amp;"",'CALENDARIO'!$G$15:$G$214,0)),IFERROR(INDEX('CALENDARIO'!$C$15:$C$214,MATCH(TEXT($I755,"yyyy-mm-dd")&amp;"|"&amp;""&amp;"|",'CALENDARIO'!$G$15:$G$214,0)),IFERROR(INDEX('CALENDARIO'!$C$15:$C$214,MATCH(TEXT($I755,"yyyy-mm-dd")&amp;"||",'CALENDARIO'!$G$15:$G$214,0)),INDEX(patronHabil,WEEKDAY($I755,2)))))</f>
        <v/>
      </c>
    </row>
    <row r="756">
      <c r="I756" s="11" t="n">
        <v>46774</v>
      </c>
      <c r="J756" s="3">
        <f>IFERROR(INDEX('CALENDARIO'!$C$15:$C$214,MATCH(TEXT($I756,"yyyy-mm-dd")&amp;"|"&amp;""&amp;"|"&amp;"",'CALENDARIO'!$G$15:$G$214,0)),IFERROR(INDEX('CALENDARIO'!$C$15:$C$214,MATCH(TEXT($I756,"yyyy-mm-dd")&amp;"|"&amp;""&amp;"|",'CALENDARIO'!$G$15:$G$214,0)),IFERROR(INDEX('CALENDARIO'!$C$15:$C$214,MATCH(TEXT($I756,"yyyy-mm-dd")&amp;"||",'CALENDARIO'!$G$15:$G$214,0)),INDEX(patronHabil,WEEKDAY($I756,2)))))</f>
        <v/>
      </c>
    </row>
    <row r="757">
      <c r="I757" s="11" t="n">
        <v>46775</v>
      </c>
      <c r="J757" s="3">
        <f>IFERROR(INDEX('CALENDARIO'!$C$15:$C$214,MATCH(TEXT($I757,"yyyy-mm-dd")&amp;"|"&amp;""&amp;"|"&amp;"",'CALENDARIO'!$G$15:$G$214,0)),IFERROR(INDEX('CALENDARIO'!$C$15:$C$214,MATCH(TEXT($I757,"yyyy-mm-dd")&amp;"|"&amp;""&amp;"|",'CALENDARIO'!$G$15:$G$214,0)),IFERROR(INDEX('CALENDARIO'!$C$15:$C$214,MATCH(TEXT($I757,"yyyy-mm-dd")&amp;"||",'CALENDARIO'!$G$15:$G$214,0)),INDEX(patronHabil,WEEKDAY($I757,2)))))</f>
        <v/>
      </c>
    </row>
    <row r="758">
      <c r="I758" s="11" t="n">
        <v>46776</v>
      </c>
      <c r="J758" s="3">
        <f>IFERROR(INDEX('CALENDARIO'!$C$15:$C$214,MATCH(TEXT($I758,"yyyy-mm-dd")&amp;"|"&amp;""&amp;"|"&amp;"",'CALENDARIO'!$G$15:$G$214,0)),IFERROR(INDEX('CALENDARIO'!$C$15:$C$214,MATCH(TEXT($I758,"yyyy-mm-dd")&amp;"|"&amp;""&amp;"|",'CALENDARIO'!$G$15:$G$214,0)),IFERROR(INDEX('CALENDARIO'!$C$15:$C$214,MATCH(TEXT($I758,"yyyy-mm-dd")&amp;"||",'CALENDARIO'!$G$15:$G$214,0)),INDEX(patronHabil,WEEKDAY($I758,2)))))</f>
        <v/>
      </c>
    </row>
    <row r="759">
      <c r="I759" s="11" t="n">
        <v>46777</v>
      </c>
      <c r="J759" s="3">
        <f>IFERROR(INDEX('CALENDARIO'!$C$15:$C$214,MATCH(TEXT($I759,"yyyy-mm-dd")&amp;"|"&amp;""&amp;"|"&amp;"",'CALENDARIO'!$G$15:$G$214,0)),IFERROR(INDEX('CALENDARIO'!$C$15:$C$214,MATCH(TEXT($I759,"yyyy-mm-dd")&amp;"|"&amp;""&amp;"|",'CALENDARIO'!$G$15:$G$214,0)),IFERROR(INDEX('CALENDARIO'!$C$15:$C$214,MATCH(TEXT($I759,"yyyy-mm-dd")&amp;"||",'CALENDARIO'!$G$15:$G$214,0)),INDEX(patronHabil,WEEKDAY($I759,2)))))</f>
        <v/>
      </c>
    </row>
    <row r="760">
      <c r="I760" s="11" t="n">
        <v>46778</v>
      </c>
      <c r="J760" s="3">
        <f>IFERROR(INDEX('CALENDARIO'!$C$15:$C$214,MATCH(TEXT($I760,"yyyy-mm-dd")&amp;"|"&amp;""&amp;"|"&amp;"",'CALENDARIO'!$G$15:$G$214,0)),IFERROR(INDEX('CALENDARIO'!$C$15:$C$214,MATCH(TEXT($I760,"yyyy-mm-dd")&amp;"|"&amp;""&amp;"|",'CALENDARIO'!$G$15:$G$214,0)),IFERROR(INDEX('CALENDARIO'!$C$15:$C$214,MATCH(TEXT($I760,"yyyy-mm-dd")&amp;"||",'CALENDARIO'!$G$15:$G$214,0)),INDEX(patronHabil,WEEKDAY($I760,2)))))</f>
        <v/>
      </c>
    </row>
    <row r="761">
      <c r="I761" s="11" t="n">
        <v>46779</v>
      </c>
      <c r="J761" s="3">
        <f>IFERROR(INDEX('CALENDARIO'!$C$15:$C$214,MATCH(TEXT($I761,"yyyy-mm-dd")&amp;"|"&amp;""&amp;"|"&amp;"",'CALENDARIO'!$G$15:$G$214,0)),IFERROR(INDEX('CALENDARIO'!$C$15:$C$214,MATCH(TEXT($I761,"yyyy-mm-dd")&amp;"|"&amp;""&amp;"|",'CALENDARIO'!$G$15:$G$214,0)),IFERROR(INDEX('CALENDARIO'!$C$15:$C$214,MATCH(TEXT($I761,"yyyy-mm-dd")&amp;"||",'CALENDARIO'!$G$15:$G$214,0)),INDEX(patronHabil,WEEKDAY($I761,2)))))</f>
        <v/>
      </c>
    </row>
    <row r="762">
      <c r="I762" s="11" t="n">
        <v>46780</v>
      </c>
      <c r="J762" s="3">
        <f>IFERROR(INDEX('CALENDARIO'!$C$15:$C$214,MATCH(TEXT($I762,"yyyy-mm-dd")&amp;"|"&amp;""&amp;"|"&amp;"",'CALENDARIO'!$G$15:$G$214,0)),IFERROR(INDEX('CALENDARIO'!$C$15:$C$214,MATCH(TEXT($I762,"yyyy-mm-dd")&amp;"|"&amp;""&amp;"|",'CALENDARIO'!$G$15:$G$214,0)),IFERROR(INDEX('CALENDARIO'!$C$15:$C$214,MATCH(TEXT($I762,"yyyy-mm-dd")&amp;"||",'CALENDARIO'!$G$15:$G$214,0)),INDEX(patronHabil,WEEKDAY($I762,2)))))</f>
        <v/>
      </c>
    </row>
    <row r="763">
      <c r="I763" s="11" t="n">
        <v>46781</v>
      </c>
      <c r="J763" s="3">
        <f>IFERROR(INDEX('CALENDARIO'!$C$15:$C$214,MATCH(TEXT($I763,"yyyy-mm-dd")&amp;"|"&amp;""&amp;"|"&amp;"",'CALENDARIO'!$G$15:$G$214,0)),IFERROR(INDEX('CALENDARIO'!$C$15:$C$214,MATCH(TEXT($I763,"yyyy-mm-dd")&amp;"|"&amp;""&amp;"|",'CALENDARIO'!$G$15:$G$214,0)),IFERROR(INDEX('CALENDARIO'!$C$15:$C$214,MATCH(TEXT($I763,"yyyy-mm-dd")&amp;"||",'CALENDARIO'!$G$15:$G$214,0)),INDEX(patronHabil,WEEKDAY($I763,2)))))</f>
        <v/>
      </c>
    </row>
    <row r="764">
      <c r="I764" s="11" t="n">
        <v>46782</v>
      </c>
      <c r="J764" s="3">
        <f>IFERROR(INDEX('CALENDARIO'!$C$15:$C$214,MATCH(TEXT($I764,"yyyy-mm-dd")&amp;"|"&amp;""&amp;"|"&amp;"",'CALENDARIO'!$G$15:$G$214,0)),IFERROR(INDEX('CALENDARIO'!$C$15:$C$214,MATCH(TEXT($I764,"yyyy-mm-dd")&amp;"|"&amp;""&amp;"|",'CALENDARIO'!$G$15:$G$214,0)),IFERROR(INDEX('CALENDARIO'!$C$15:$C$214,MATCH(TEXT($I764,"yyyy-mm-dd")&amp;"||",'CALENDARIO'!$G$15:$G$214,0)),INDEX(patronHabil,WEEKDAY($I764,2)))))</f>
        <v/>
      </c>
    </row>
  </sheetData>
  <conditionalFormatting sqref="C15:C214">
    <cfRule type="cellIs" priority="1" operator="equal" dxfId="0">
      <formula>"no"</formula>
    </cfRule>
  </conditionalFormatting>
  <dataValidations count="2">
    <dataValidation sqref="B5:B11" showDropDown="0" showInputMessage="0" showErrorMessage="0" allowBlank="0" type="list">
      <formula1>"sí,no"</formula1>
    </dataValidation>
    <dataValidation sqref="C15:C214" showDropDown="0" showInputMessage="0" showErrorMessage="0" allowBlank="0" type="list">
      <formula1>"sí,no"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SUMIFS('ASIGNACIONES'!$I$4:$I$339,'ASIGNACIONES'!$E$4:$E$339,$A4,'ASIGNACIONES'!$A$4:$A$339,$B4)</f>
        <v/>
      </c>
      <c r="D4" s="17">
        <f>C4*p_factor_productividad</f>
        <v/>
      </c>
      <c r="E4" s="17">
        <f>SUMIFS('ORDENES'!$M$4:$M$1203,'ORDENES'!$Y$4:$Y$1203,$A4,'ORDENES'!$O$4:$O$1203,$B4,'ORDENES'!$T$4:$T$1203,"preventiva")</f>
        <v/>
      </c>
      <c r="F4" s="17">
        <f>SUMIFS('ORDENES'!$M$4:$M$1203,'ORDENES'!$Y$4:$Y$1203,$A4,'ORDENES'!$O$4:$O$1203,$B4,'ORDENES'!$T$4:$T$1203,"correctiva")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SUMIFS('ASIGNACIONES'!$I$4:$I$339,'ASIGNACIONES'!$E$4:$E$339,$A5,'ASIGNACIONES'!$A$4:$A$339,$B5)</f>
        <v/>
      </c>
      <c r="D5" s="17">
        <f>C5*p_factor_productividad</f>
        <v/>
      </c>
      <c r="E5" s="17">
        <f>SUMIFS('ORDENES'!$M$4:$M$1203,'ORDENES'!$Y$4:$Y$1203,$A5,'ORDENES'!$O$4:$O$1203,$B5,'ORDENES'!$T$4:$T$1203,"preventiva")</f>
        <v/>
      </c>
      <c r="F5" s="17">
        <f>SUMIFS('ORDENES'!$M$4:$M$1203,'ORDENES'!$Y$4:$Y$1203,$A5,'ORDENES'!$O$4:$O$1203,$B5,'ORDENES'!$T$4:$T$1203,"correctiva")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SUMIFS('ASIGNACIONES'!$I$4:$I$339,'ASIGNACIONES'!$E$4:$E$339,$A6,'ASIGNACIONES'!$A$4:$A$339,$B6)</f>
        <v/>
      </c>
      <c r="D6" s="17">
        <f>C6*p_factor_productividad</f>
        <v/>
      </c>
      <c r="E6" s="17">
        <f>SUMIFS('ORDENES'!$M$4:$M$1203,'ORDENES'!$Y$4:$Y$1203,$A6,'ORDENES'!$O$4:$O$1203,$B6,'ORDENES'!$T$4:$T$1203,"preventiva")</f>
        <v/>
      </c>
      <c r="F6" s="17">
        <f>SUMIFS('ORDENES'!$M$4:$M$1203,'ORDENES'!$Y$4:$Y$1203,$A6,'ORDENES'!$O$4:$O$1203,$B6,'ORDENES'!$T$4:$T$1203,"correctiva")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SUMIFS('ASIGNACIONES'!$I$4:$I$339,'ASIGNACIONES'!$E$4:$E$339,$A7,'ASIGNACIONES'!$A$4:$A$339,$B7)</f>
        <v/>
      </c>
      <c r="D7" s="17">
        <f>C7*p_factor_productividad</f>
        <v/>
      </c>
      <c r="E7" s="17">
        <f>SUMIFS('ORDENES'!$M$4:$M$1203,'ORDENES'!$Y$4:$Y$1203,$A7,'ORDENES'!$O$4:$O$1203,$B7,'ORDENES'!$T$4:$T$1203,"preventiva")</f>
        <v/>
      </c>
      <c r="F7" s="17">
        <f>SUMIFS('ORDENES'!$M$4:$M$1203,'ORDENES'!$Y$4:$Y$1203,$A7,'ORDENES'!$O$4:$O$1203,$B7,'ORDENES'!$T$4:$T$1203,"correctiva")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SUMIFS('ASIGNACIONES'!$I$4:$I$339,'ASIGNACIONES'!$E$4:$E$339,$A8,'ASIGNACIONES'!$A$4:$A$339,$B8)</f>
        <v/>
      </c>
      <c r="D8" s="17">
        <f>C8*p_factor_productividad</f>
        <v/>
      </c>
      <c r="E8" s="17">
        <f>SUMIFS('ORDENES'!$M$4:$M$1203,'ORDENES'!$Y$4:$Y$1203,$A8,'ORDENES'!$O$4:$O$1203,$B8,'ORDENES'!$T$4:$T$1203,"preventiva")</f>
        <v/>
      </c>
      <c r="F8" s="17">
        <f>SUMIFS('ORDENES'!$M$4:$M$1203,'ORDENES'!$Y$4:$Y$1203,$A8,'ORDENES'!$O$4:$O$1203,$B8,'ORDENES'!$T$4:$T$1203,"correctiva")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SUMIFS('ASIGNACIONES'!$I$4:$I$339,'ASIGNACIONES'!$E$4:$E$339,$A9,'ASIGNACIONES'!$A$4:$A$339,$B9)</f>
        <v/>
      </c>
      <c r="D9" s="17">
        <f>C9*p_factor_productividad</f>
        <v/>
      </c>
      <c r="E9" s="17">
        <f>SUMIFS('ORDENES'!$M$4:$M$1203,'ORDENES'!$Y$4:$Y$1203,$A9,'ORDENES'!$O$4:$O$1203,$B9,'ORDENES'!$T$4:$T$1203,"preventiva")</f>
        <v/>
      </c>
      <c r="F9" s="17">
        <f>SUMIFS('ORDENES'!$M$4:$M$1203,'ORDENES'!$Y$4:$Y$1203,$A9,'ORDENES'!$O$4:$O$1203,$B9,'ORDENES'!$T$4:$T$1203,"correctiva")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SUMIFS('ASIGNACIONES'!$I$4:$I$339,'ASIGNACIONES'!$E$4:$E$339,$A10,'ASIGNACIONES'!$A$4:$A$339,$B10)</f>
        <v/>
      </c>
      <c r="D10" s="17">
        <f>C10*p_factor_productividad</f>
        <v/>
      </c>
      <c r="E10" s="17">
        <f>SUMIFS('ORDENES'!$M$4:$M$1203,'ORDENES'!$Y$4:$Y$1203,$A10,'ORDENES'!$O$4:$O$1203,$B10,'ORDENES'!$T$4:$T$1203,"preventiva")</f>
        <v/>
      </c>
      <c r="F10" s="17">
        <f>SUMIFS('ORDENES'!$M$4:$M$1203,'ORDENES'!$Y$4:$Y$1203,$A10,'ORDENES'!$O$4:$O$1203,$B10,'ORDENES'!$T$4:$T$1203,"correctiva")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SUMIFS('ASIGNACIONES'!$I$4:$I$339,'ASIGNACIONES'!$E$4:$E$339,$A11,'ASIGNACIONES'!$A$4:$A$339,$B11)</f>
        <v/>
      </c>
      <c r="D11" s="17">
        <f>C11*p_factor_productividad</f>
        <v/>
      </c>
      <c r="E11" s="17">
        <f>SUMIFS('ORDENES'!$M$4:$M$1203,'ORDENES'!$Y$4:$Y$1203,$A11,'ORDENES'!$O$4:$O$1203,$B11,'ORDENES'!$T$4:$T$1203,"preventiva")</f>
        <v/>
      </c>
      <c r="F11" s="17">
        <f>SUMIFS('ORDENES'!$M$4:$M$1203,'ORDENES'!$Y$4:$Y$1203,$A11,'ORDENES'!$O$4:$O$1203,$B11,'ORDENES'!$T$4:$T$1203,"correctiva")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SUMIFS('ASIGNACIONES'!$I$4:$I$339,'ASIGNACIONES'!$E$4:$E$339,$A12,'ASIGNACIONES'!$A$4:$A$339,$B12)</f>
        <v/>
      </c>
      <c r="D12" s="17">
        <f>C12*p_factor_productividad</f>
        <v/>
      </c>
      <c r="E12" s="17">
        <f>SUMIFS('ORDENES'!$M$4:$M$1203,'ORDENES'!$Y$4:$Y$1203,$A12,'ORDENES'!$O$4:$O$1203,$B12,'ORDENES'!$T$4:$T$1203,"preventiva")</f>
        <v/>
      </c>
      <c r="F12" s="17">
        <f>SUMIFS('ORDENES'!$M$4:$M$1203,'ORDENES'!$Y$4:$Y$1203,$A12,'ORDENES'!$O$4:$O$1203,$B12,'ORDENES'!$T$4:$T$1203,"correctiva")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SUMIFS('ASIGNACIONES'!$I$4:$I$339,'ASIGNACIONES'!$E$4:$E$339,$A13,'ASIGNACIONES'!$A$4:$A$339,$B13)</f>
        <v/>
      </c>
      <c r="D13" s="17">
        <f>C13*p_factor_productividad</f>
        <v/>
      </c>
      <c r="E13" s="17">
        <f>SUMIFS('ORDENES'!$M$4:$M$1203,'ORDENES'!$Y$4:$Y$1203,$A13,'ORDENES'!$O$4:$O$1203,$B13,'ORDENES'!$T$4:$T$1203,"preventiva")</f>
        <v/>
      </c>
      <c r="F13" s="17">
        <f>SUMIFS('ORDENES'!$M$4:$M$1203,'ORDENES'!$Y$4:$Y$1203,$A13,'ORDENES'!$O$4:$O$1203,$B13,'ORDENES'!$T$4:$T$1203,"correctiva")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SUMIFS('ASIGNACIONES'!$I$4:$I$339,'ASIGNACIONES'!$E$4:$E$339,$A14,'ASIGNACIONES'!$A$4:$A$339,$B14)</f>
        <v/>
      </c>
      <c r="D14" s="17">
        <f>C14*p_factor_productividad</f>
        <v/>
      </c>
      <c r="E14" s="17">
        <f>SUMIFS('ORDENES'!$M$4:$M$1203,'ORDENES'!$Y$4:$Y$1203,$A14,'ORDENES'!$O$4:$O$1203,$B14,'ORDENES'!$T$4:$T$1203,"preventiva")</f>
        <v/>
      </c>
      <c r="F14" s="17">
        <f>SUMIFS('ORDENES'!$M$4:$M$1203,'ORDENES'!$Y$4:$Y$1203,$A14,'ORDENES'!$O$4:$O$1203,$B14,'ORDENES'!$T$4:$T$1203,"correctiva")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SUMIFS('ASIGNACIONES'!$I$4:$I$339,'ASIGNACIONES'!$E$4:$E$339,$A15,'ASIGNACIONES'!$A$4:$A$339,$B15)</f>
        <v/>
      </c>
      <c r="D15" s="17">
        <f>C15*p_factor_productividad</f>
        <v/>
      </c>
      <c r="E15" s="17">
        <f>SUMIFS('ORDENES'!$M$4:$M$1203,'ORDENES'!$Y$4:$Y$1203,$A15,'ORDENES'!$O$4:$O$1203,$B15,'ORDENES'!$T$4:$T$1203,"preventiva")</f>
        <v/>
      </c>
      <c r="F15" s="17">
        <f>SUMIFS('ORDENES'!$M$4:$M$1203,'ORDENES'!$Y$4:$Y$1203,$A15,'ORDENES'!$O$4:$O$1203,$B15,'ORDENES'!$T$4:$T$1203,"correctiva")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SUMIFS('ASIGNACIONES'!$I$4:$I$339,'ASIGNACIONES'!$E$4:$E$339,$A16,'ASIGNACIONES'!$A$4:$A$339,$B16)</f>
        <v/>
      </c>
      <c r="D16" s="17">
        <f>C16*p_factor_productividad</f>
        <v/>
      </c>
      <c r="E16" s="17">
        <f>SUMIFS('ORDENES'!$M$4:$M$1203,'ORDENES'!$Y$4:$Y$1203,$A16,'ORDENES'!$O$4:$O$1203,$B16,'ORDENES'!$T$4:$T$1203,"preventiva")</f>
        <v/>
      </c>
      <c r="F16" s="17">
        <f>SUMIFS('ORDENES'!$M$4:$M$1203,'ORDENES'!$Y$4:$Y$1203,$A16,'ORDENES'!$O$4:$O$1203,$B16,'ORDENES'!$T$4:$T$1203,"correctiva")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SUMIFS('ASIGNACIONES'!$I$4:$I$339,'ASIGNACIONES'!$E$4:$E$339,$A17,'ASIGNACIONES'!$A$4:$A$339,$B17)</f>
        <v/>
      </c>
      <c r="D17" s="17">
        <f>C17*p_factor_productividad</f>
        <v/>
      </c>
      <c r="E17" s="17">
        <f>SUMIFS('ORDENES'!$M$4:$M$1203,'ORDENES'!$Y$4:$Y$1203,$A17,'ORDENES'!$O$4:$O$1203,$B17,'ORDENES'!$T$4:$T$1203,"preventiva")</f>
        <v/>
      </c>
      <c r="F17" s="17">
        <f>SUMIFS('ORDENES'!$M$4:$M$1203,'ORDENES'!$Y$4:$Y$1203,$A17,'ORDENES'!$O$4:$O$1203,$B17,'ORDENES'!$T$4:$T$1203,"correctiva")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SUMIFS('ASIGNACIONES'!$I$4:$I$339,'ASIGNACIONES'!$E$4:$E$339,$A18,'ASIGNACIONES'!$A$4:$A$339,$B18)</f>
        <v/>
      </c>
      <c r="D18" s="17">
        <f>C18*p_factor_productividad</f>
        <v/>
      </c>
      <c r="E18" s="17">
        <f>SUMIFS('ORDENES'!$M$4:$M$1203,'ORDENES'!$Y$4:$Y$1203,$A18,'ORDENES'!$O$4:$O$1203,$B18,'ORDENES'!$T$4:$T$1203,"preventiva")</f>
        <v/>
      </c>
      <c r="F18" s="17">
        <f>SUMIFS('ORDENES'!$M$4:$M$1203,'ORDENES'!$Y$4:$Y$1203,$A18,'ORDENES'!$O$4:$O$1203,$B18,'ORDENES'!$T$4:$T$1203,"correctiva")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SUMIFS('ASIGNACIONES'!$I$4:$I$339,'ASIGNACIONES'!$E$4:$E$339,$A19,'ASIGNACIONES'!$A$4:$A$339,$B19)</f>
        <v/>
      </c>
      <c r="D19" s="17">
        <f>C19*p_factor_productividad</f>
        <v/>
      </c>
      <c r="E19" s="17">
        <f>SUMIFS('ORDENES'!$M$4:$M$1203,'ORDENES'!$Y$4:$Y$1203,$A19,'ORDENES'!$O$4:$O$1203,$B19,'ORDENES'!$T$4:$T$1203,"preventiva")</f>
        <v/>
      </c>
      <c r="F19" s="17">
        <f>SUMIFS('ORDENES'!$M$4:$M$1203,'ORDENES'!$Y$4:$Y$1203,$A19,'ORDENES'!$O$4:$O$1203,$B19,'ORDENES'!$T$4:$T$1203,"correctiva")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SUMIFS('ASIGNACIONES'!$I$4:$I$339,'ASIGNACIONES'!$E$4:$E$339,$A20,'ASIGNACIONES'!$A$4:$A$339,$B20)</f>
        <v/>
      </c>
      <c r="D20" s="17">
        <f>C20*p_factor_productividad</f>
        <v/>
      </c>
      <c r="E20" s="17">
        <f>SUMIFS('ORDENES'!$M$4:$M$1203,'ORDENES'!$Y$4:$Y$1203,$A20,'ORDENES'!$O$4:$O$1203,$B20,'ORDENES'!$T$4:$T$1203,"preventiva")</f>
        <v/>
      </c>
      <c r="F20" s="17">
        <f>SUMIFS('ORDENES'!$M$4:$M$1203,'ORDENES'!$Y$4:$Y$1203,$A20,'ORDENES'!$O$4:$O$1203,$B20,'ORDENES'!$T$4:$T$1203,"correctiva")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SUMIFS('ASIGNACIONES'!$I$4:$I$339,'ASIGNACIONES'!$E$4:$E$339,$A21,'ASIGNACIONES'!$A$4:$A$339,$B21)</f>
        <v/>
      </c>
      <c r="D21" s="17">
        <f>C21*p_factor_productividad</f>
        <v/>
      </c>
      <c r="E21" s="17">
        <f>SUMIFS('ORDENES'!$M$4:$M$1203,'ORDENES'!$Y$4:$Y$1203,$A21,'ORDENES'!$O$4:$O$1203,$B21,'ORDENES'!$T$4:$T$1203,"preventiva")</f>
        <v/>
      </c>
      <c r="F21" s="17">
        <f>SUMIFS('ORDENES'!$M$4:$M$1203,'ORDENES'!$Y$4:$Y$1203,$A21,'ORDENES'!$O$4:$O$1203,$B21,'ORDENES'!$T$4:$T$1203,"correctiva")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SUMIFS('ASIGNACIONES'!$I$4:$I$339,'ASIGNACIONES'!$E$4:$E$339,$A22,'ASIGNACIONES'!$A$4:$A$339,$B22)</f>
        <v/>
      </c>
      <c r="D22" s="17">
        <f>C22*p_factor_productividad</f>
        <v/>
      </c>
      <c r="E22" s="17">
        <f>SUMIFS('ORDENES'!$M$4:$M$1203,'ORDENES'!$Y$4:$Y$1203,$A22,'ORDENES'!$O$4:$O$1203,$B22,'ORDENES'!$T$4:$T$1203,"preventiva")</f>
        <v/>
      </c>
      <c r="F22" s="17">
        <f>SUMIFS('ORDENES'!$M$4:$M$1203,'ORDENES'!$Y$4:$Y$1203,$A22,'ORDENES'!$O$4:$O$1203,$B22,'ORDENES'!$T$4:$T$1203,"correctiva")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SUMIFS('ASIGNACIONES'!$I$4:$I$339,'ASIGNACIONES'!$E$4:$E$339,$A23,'ASIGNACIONES'!$A$4:$A$339,$B23)</f>
        <v/>
      </c>
      <c r="D23" s="17">
        <f>C23*p_factor_productividad</f>
        <v/>
      </c>
      <c r="E23" s="17">
        <f>SUMIFS('ORDENES'!$M$4:$M$1203,'ORDENES'!$Y$4:$Y$1203,$A23,'ORDENES'!$O$4:$O$1203,$B23,'ORDENES'!$T$4:$T$1203,"preventiva")</f>
        <v/>
      </c>
      <c r="F23" s="17">
        <f>SUMIFS('ORDENES'!$M$4:$M$1203,'ORDENES'!$Y$4:$Y$1203,$A23,'ORDENES'!$O$4:$O$1203,$B23,'ORDENES'!$T$4:$T$1203,"correctiva")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SUMIFS('ASIGNACIONES'!$I$4:$I$339,'ASIGNACIONES'!$E$4:$E$339,$A24,'ASIGNACIONES'!$A$4:$A$339,$B24)</f>
        <v/>
      </c>
      <c r="D24" s="17">
        <f>C24*p_factor_productividad</f>
        <v/>
      </c>
      <c r="E24" s="17">
        <f>SUMIFS('ORDENES'!$M$4:$M$1203,'ORDENES'!$Y$4:$Y$1203,$A24,'ORDENES'!$O$4:$O$1203,$B24,'ORDENES'!$T$4:$T$1203,"preventiva")</f>
        <v/>
      </c>
      <c r="F24" s="17">
        <f>SUMIFS('ORDENES'!$M$4:$M$1203,'ORDENES'!$Y$4:$Y$1203,$A24,'ORDENES'!$O$4:$O$1203,$B24,'ORDENES'!$T$4:$T$1203,"correctiva")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SUMIFS('ASIGNACIONES'!$I$4:$I$339,'ASIGNACIONES'!$E$4:$E$339,$A25,'ASIGNACIONES'!$A$4:$A$339,$B25)</f>
        <v/>
      </c>
      <c r="D25" s="17">
        <f>C25*p_factor_productividad</f>
        <v/>
      </c>
      <c r="E25" s="17">
        <f>SUMIFS('ORDENES'!$M$4:$M$1203,'ORDENES'!$Y$4:$Y$1203,$A25,'ORDENES'!$O$4:$O$1203,$B25,'ORDENES'!$T$4:$T$1203,"preventiva")</f>
        <v/>
      </c>
      <c r="F25" s="17">
        <f>SUMIFS('ORDENES'!$M$4:$M$1203,'ORDENES'!$Y$4:$Y$1203,$A25,'ORDENES'!$O$4:$O$1203,$B25,'ORDENES'!$T$4:$T$1203,"correctiva")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SUMIFS('ASIGNACIONES'!$I$4:$I$339,'ASIGNACIONES'!$E$4:$E$339,$A26,'ASIGNACIONES'!$A$4:$A$339,$B26)</f>
        <v/>
      </c>
      <c r="D26" s="17">
        <f>C26*p_factor_productividad</f>
        <v/>
      </c>
      <c r="E26" s="17">
        <f>SUMIFS('ORDENES'!$M$4:$M$1203,'ORDENES'!$Y$4:$Y$1203,$A26,'ORDENES'!$O$4:$O$1203,$B26,'ORDENES'!$T$4:$T$1203,"preventiva")</f>
        <v/>
      </c>
      <c r="F26" s="17">
        <f>SUMIFS('ORDENES'!$M$4:$M$1203,'ORDENES'!$Y$4:$Y$1203,$A26,'ORDENES'!$O$4:$O$1203,$B26,'ORDENES'!$T$4:$T$1203,"correctiva")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SUMIFS('ASIGNACIONES'!$I$4:$I$339,'ASIGNACIONES'!$E$4:$E$339,$A27,'ASIGNACIONES'!$A$4:$A$339,$B27)</f>
        <v/>
      </c>
      <c r="D27" s="17">
        <f>C27*p_factor_productividad</f>
        <v/>
      </c>
      <c r="E27" s="17">
        <f>SUMIFS('ORDENES'!$M$4:$M$1203,'ORDENES'!$Y$4:$Y$1203,$A27,'ORDENES'!$O$4:$O$1203,$B27,'ORDENES'!$T$4:$T$1203,"preventiva")</f>
        <v/>
      </c>
      <c r="F27" s="17">
        <f>SUMIFS('ORDENES'!$M$4:$M$1203,'ORDENES'!$Y$4:$Y$1203,$A27,'ORDENES'!$O$4:$O$1203,$B27,'ORDENES'!$T$4:$T$1203,"correctiva")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SUMIFS('ASIGNACIONES'!$I$4:$I$339,'ASIGNACIONES'!$E$4:$E$339,$A28,'ASIGNACIONES'!$A$4:$A$339,$B28)</f>
        <v/>
      </c>
      <c r="D28" s="17">
        <f>C28*p_factor_productividad</f>
        <v/>
      </c>
      <c r="E28" s="17">
        <f>SUMIFS('ORDENES'!$M$4:$M$1203,'ORDENES'!$Y$4:$Y$1203,$A28,'ORDENES'!$O$4:$O$1203,$B28,'ORDENES'!$T$4:$T$1203,"preventiva")</f>
        <v/>
      </c>
      <c r="F28" s="17">
        <f>SUMIFS('ORDENES'!$M$4:$M$1203,'ORDENES'!$Y$4:$Y$1203,$A28,'ORDENES'!$O$4:$O$1203,$B28,'ORDENES'!$T$4:$T$1203,"correctiva")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SUMIFS('ASIGNACIONES'!$I$4:$I$339,'ASIGNACIONES'!$E$4:$E$339,$A29,'ASIGNACIONES'!$A$4:$A$339,$B29)</f>
        <v/>
      </c>
      <c r="D29" s="17">
        <f>C29*p_factor_productividad</f>
        <v/>
      </c>
      <c r="E29" s="17">
        <f>SUMIFS('ORDENES'!$M$4:$M$1203,'ORDENES'!$Y$4:$Y$1203,$A29,'ORDENES'!$O$4:$O$1203,$B29,'ORDENES'!$T$4:$T$1203,"preventiva")</f>
        <v/>
      </c>
      <c r="F29" s="17">
        <f>SUMIFS('ORDENES'!$M$4:$M$1203,'ORDENES'!$Y$4:$Y$1203,$A29,'ORDENES'!$O$4:$O$1203,$B29,'ORDENES'!$T$4:$T$1203,"correctiva")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SUMIFS('ASIGNACIONES'!$I$4:$I$339,'ASIGNACIONES'!$E$4:$E$339,$A30,'ASIGNACIONES'!$A$4:$A$339,$B30)</f>
        <v/>
      </c>
      <c r="D30" s="17">
        <f>C30*p_factor_productividad</f>
        <v/>
      </c>
      <c r="E30" s="17">
        <f>SUMIFS('ORDENES'!$M$4:$M$1203,'ORDENES'!$Y$4:$Y$1203,$A30,'ORDENES'!$O$4:$O$1203,$B30,'ORDENES'!$T$4:$T$1203,"preventiva")</f>
        <v/>
      </c>
      <c r="F30" s="17">
        <f>SUMIFS('ORDENES'!$M$4:$M$1203,'ORDENES'!$Y$4:$Y$1203,$A30,'ORDENES'!$O$4:$O$1203,$B30,'ORDENES'!$T$4:$T$1203,"correctiva")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SUMIFS('ASIGNACIONES'!$I$4:$I$339,'ASIGNACIONES'!$E$4:$E$339,$A31,'ASIGNACIONES'!$A$4:$A$339,$B31)</f>
        <v/>
      </c>
      <c r="D31" s="17">
        <f>C31*p_factor_productividad</f>
        <v/>
      </c>
      <c r="E31" s="17">
        <f>SUMIFS('ORDENES'!$M$4:$M$1203,'ORDENES'!$Y$4:$Y$1203,$A31,'ORDENES'!$O$4:$O$1203,$B31,'ORDENES'!$T$4:$T$1203,"preventiva")</f>
        <v/>
      </c>
      <c r="F31" s="17">
        <f>SUMIFS('ORDENES'!$M$4:$M$1203,'ORDENES'!$Y$4:$Y$1203,$A31,'ORDENES'!$O$4:$O$1203,$B31,'ORDENES'!$T$4:$T$1203,"correctiva")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SUMIFS('ASIGNACIONES'!$I$4:$I$339,'ASIGNACIONES'!$E$4:$E$339,$A32,'ASIGNACIONES'!$A$4:$A$339,$B32)</f>
        <v/>
      </c>
      <c r="D32" s="17">
        <f>C32*p_factor_productividad</f>
        <v/>
      </c>
      <c r="E32" s="17">
        <f>SUMIFS('ORDENES'!$M$4:$M$1203,'ORDENES'!$Y$4:$Y$1203,$A32,'ORDENES'!$O$4:$O$1203,$B32,'ORDENES'!$T$4:$T$1203,"preventiva")</f>
        <v/>
      </c>
      <c r="F32" s="17">
        <f>SUMIFS('ORDENES'!$M$4:$M$1203,'ORDENES'!$Y$4:$Y$1203,$A32,'ORDENES'!$O$4:$O$1203,$B32,'ORDENES'!$T$4:$T$1203,"correctiva")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SUMIFS('ASIGNACIONES'!$I$4:$I$339,'ASIGNACIONES'!$E$4:$E$339,$A33,'ASIGNACIONES'!$A$4:$A$339,$B33)</f>
        <v/>
      </c>
      <c r="D33" s="17">
        <f>C33*p_factor_productividad</f>
        <v/>
      </c>
      <c r="E33" s="17">
        <f>SUMIFS('ORDENES'!$M$4:$M$1203,'ORDENES'!$Y$4:$Y$1203,$A33,'ORDENES'!$O$4:$O$1203,$B33,'ORDENES'!$T$4:$T$1203,"preventiva")</f>
        <v/>
      </c>
      <c r="F33" s="17">
        <f>SUMIFS('ORDENES'!$M$4:$M$1203,'ORDENES'!$Y$4:$Y$1203,$A33,'ORDENES'!$O$4:$O$1203,$B33,'ORDENES'!$T$4:$T$1203,"correctiva")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SUMIFS('ASIGNACIONES'!$I$4:$I$339,'ASIGNACIONES'!$E$4:$E$339,$A34,'ASIGNACIONES'!$A$4:$A$339,$B34)</f>
        <v/>
      </c>
      <c r="D34" s="17">
        <f>C34*p_factor_productividad</f>
        <v/>
      </c>
      <c r="E34" s="17">
        <f>SUMIFS('ORDENES'!$M$4:$M$1203,'ORDENES'!$Y$4:$Y$1203,$A34,'ORDENES'!$O$4:$O$1203,$B34,'ORDENES'!$T$4:$T$1203,"preventiva")</f>
        <v/>
      </c>
      <c r="F34" s="17">
        <f>SUMIFS('ORDENES'!$M$4:$M$1203,'ORDENES'!$Y$4:$Y$1203,$A34,'ORDENES'!$O$4:$O$1203,$B34,'ORDENES'!$T$4:$T$1203,"correctiva")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SUMIFS('ASIGNACIONES'!$I$4:$I$339,'ASIGNACIONES'!$E$4:$E$339,$A35,'ASIGNACIONES'!$A$4:$A$339,$B35)</f>
        <v/>
      </c>
      <c r="D35" s="17">
        <f>C35*p_factor_productividad</f>
        <v/>
      </c>
      <c r="E35" s="17">
        <f>SUMIFS('ORDENES'!$M$4:$M$1203,'ORDENES'!$Y$4:$Y$1203,$A35,'ORDENES'!$O$4:$O$1203,$B35,'ORDENES'!$T$4:$T$1203,"preventiva")</f>
        <v/>
      </c>
      <c r="F35" s="17">
        <f>SUMIFS('ORDENES'!$M$4:$M$1203,'ORDENES'!$Y$4:$Y$1203,$A35,'ORDENES'!$O$4:$O$1203,$B35,'ORDENES'!$T$4:$T$1203,"correctiva")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SUMIFS('ASIGNACIONES'!$I$4:$I$339,'ASIGNACIONES'!$E$4:$E$339,$A36,'ASIGNACIONES'!$A$4:$A$339,$B36)</f>
        <v/>
      </c>
      <c r="D36" s="17">
        <f>C36*p_factor_productividad</f>
        <v/>
      </c>
      <c r="E36" s="17">
        <f>SUMIFS('ORDENES'!$M$4:$M$1203,'ORDENES'!$Y$4:$Y$1203,$A36,'ORDENES'!$O$4:$O$1203,$B36,'ORDENES'!$T$4:$T$1203,"preventiva")</f>
        <v/>
      </c>
      <c r="F36" s="17">
        <f>SUMIFS('ORDENES'!$M$4:$M$1203,'ORDENES'!$Y$4:$Y$1203,$A36,'ORDENES'!$O$4:$O$1203,$B36,'ORDENES'!$T$4:$T$1203,"correctiva")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SUMIFS('ASIGNACIONES'!$I$4:$I$339,'ASIGNACIONES'!$E$4:$E$339,$A37,'ASIGNACIONES'!$A$4:$A$339,$B37)</f>
        <v/>
      </c>
      <c r="D37" s="17">
        <f>C37*p_factor_productividad</f>
        <v/>
      </c>
      <c r="E37" s="17">
        <f>SUMIFS('ORDENES'!$M$4:$M$1203,'ORDENES'!$Y$4:$Y$1203,$A37,'ORDENES'!$O$4:$O$1203,$B37,'ORDENES'!$T$4:$T$1203,"preventiva")</f>
        <v/>
      </c>
      <c r="F37" s="17">
        <f>SUMIFS('ORDENES'!$M$4:$M$1203,'ORDENES'!$Y$4:$Y$1203,$A37,'ORDENES'!$O$4:$O$1203,$B37,'ORDENES'!$T$4:$T$1203,"correctiva")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SUMIFS('ASIGNACIONES'!$I$4:$I$339,'ASIGNACIONES'!$E$4:$E$339,$A38,'ASIGNACIONES'!$A$4:$A$339,$B38)</f>
        <v/>
      </c>
      <c r="D38" s="17">
        <f>C38*p_factor_productividad</f>
        <v/>
      </c>
      <c r="E38" s="17">
        <f>SUMIFS('ORDENES'!$M$4:$M$1203,'ORDENES'!$Y$4:$Y$1203,$A38,'ORDENES'!$O$4:$O$1203,$B38,'ORDENES'!$T$4:$T$1203,"preventiva")</f>
        <v/>
      </c>
      <c r="F38" s="17">
        <f>SUMIFS('ORDENES'!$M$4:$M$1203,'ORDENES'!$Y$4:$Y$1203,$A38,'ORDENES'!$O$4:$O$1203,$B38,'ORDENES'!$T$4:$T$1203,"correctiva")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SUMIFS('ASIGNACIONES'!$I$4:$I$339,'ASIGNACIONES'!$E$4:$E$339,$A39,'ASIGNACIONES'!$A$4:$A$339,$B39)</f>
        <v/>
      </c>
      <c r="D39" s="17">
        <f>C39*p_factor_productividad</f>
        <v/>
      </c>
      <c r="E39" s="17">
        <f>SUMIFS('ORDENES'!$M$4:$M$1203,'ORDENES'!$Y$4:$Y$1203,$A39,'ORDENES'!$O$4:$O$1203,$B39,'ORDENES'!$T$4:$T$1203,"preventiva")</f>
        <v/>
      </c>
      <c r="F39" s="17">
        <f>SUMIFS('ORDENES'!$M$4:$M$1203,'ORDENES'!$Y$4:$Y$1203,$A39,'ORDENES'!$O$4:$O$1203,$B39,'ORDENES'!$T$4:$T$1203,"correctiva")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SUMIFS('ASIGNACIONES'!$I$4:$I$339,'ASIGNACIONES'!$E$4:$E$339,$A40,'ASIGNACIONES'!$A$4:$A$339,$B40)</f>
        <v/>
      </c>
      <c r="D40" s="17">
        <f>C40*p_factor_productividad</f>
        <v/>
      </c>
      <c r="E40" s="17">
        <f>SUMIFS('ORDENES'!$M$4:$M$1203,'ORDENES'!$Y$4:$Y$1203,$A40,'ORDENES'!$O$4:$O$1203,$B40,'ORDENES'!$T$4:$T$1203,"preventiva")</f>
        <v/>
      </c>
      <c r="F40" s="17">
        <f>SUMIFS('ORDENES'!$M$4:$M$1203,'ORDENES'!$Y$4:$Y$1203,$A40,'ORDENES'!$O$4:$O$1203,$B40,'ORDENES'!$T$4:$T$1203,"correctiva")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SUMIFS('ASIGNACIONES'!$I$4:$I$339,'ASIGNACIONES'!$E$4:$E$339,$A41,'ASIGNACIONES'!$A$4:$A$339,$B41)</f>
        <v/>
      </c>
      <c r="D41" s="17">
        <f>C41*p_factor_productividad</f>
        <v/>
      </c>
      <c r="E41" s="17">
        <f>SUMIFS('ORDENES'!$M$4:$M$1203,'ORDENES'!$Y$4:$Y$1203,$A41,'ORDENES'!$O$4:$O$1203,$B41,'ORDENES'!$T$4:$T$1203,"preventiva")</f>
        <v/>
      </c>
      <c r="F41" s="17">
        <f>SUMIFS('ORDENES'!$M$4:$M$1203,'ORDENES'!$Y$4:$Y$1203,$A41,'ORDENES'!$O$4:$O$1203,$B41,'ORDENES'!$T$4:$T$1203,"correctiva")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SUMIFS('ASIGNACIONES'!$I$4:$I$339,'ASIGNACIONES'!$E$4:$E$339,$A42,'ASIGNACIONES'!$A$4:$A$339,$B42)</f>
        <v/>
      </c>
      <c r="D42" s="17">
        <f>C42*p_factor_productividad</f>
        <v/>
      </c>
      <c r="E42" s="17">
        <f>SUMIFS('ORDENES'!$M$4:$M$1203,'ORDENES'!$Y$4:$Y$1203,$A42,'ORDENES'!$O$4:$O$1203,$B42,'ORDENES'!$T$4:$T$1203,"preventiva")</f>
        <v/>
      </c>
      <c r="F42" s="17">
        <f>SUMIFS('ORDENES'!$M$4:$M$1203,'ORDENES'!$Y$4:$Y$1203,$A42,'ORDENES'!$O$4:$O$1203,$B42,'ORDENES'!$T$4:$T$1203,"correctiva")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SUMIFS('ASIGNACIONES'!$I$4:$I$339,'ASIGNACIONES'!$E$4:$E$339,$A43,'ASIGNACIONES'!$A$4:$A$339,$B43)</f>
        <v/>
      </c>
      <c r="D43" s="17">
        <f>C43*p_factor_productividad</f>
        <v/>
      </c>
      <c r="E43" s="17">
        <f>SUMIFS('ORDENES'!$M$4:$M$1203,'ORDENES'!$Y$4:$Y$1203,$A43,'ORDENES'!$O$4:$O$1203,$B43,'ORDENES'!$T$4:$T$1203,"preventiva")</f>
        <v/>
      </c>
      <c r="F43" s="17">
        <f>SUMIFS('ORDENES'!$M$4:$M$1203,'ORDENES'!$Y$4:$Y$1203,$A43,'ORDENES'!$O$4:$O$1203,$B43,'ORDENES'!$T$4:$T$1203,"correctiva")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SUMIFS('ASIGNACIONES'!$I$4:$I$339,'ASIGNACIONES'!$E$4:$E$339,$A44,'ASIGNACIONES'!$A$4:$A$339,$B44)</f>
        <v/>
      </c>
      <c r="D44" s="17">
        <f>C44*p_factor_productividad</f>
        <v/>
      </c>
      <c r="E44" s="17">
        <f>SUMIFS('ORDENES'!$M$4:$M$1203,'ORDENES'!$Y$4:$Y$1203,$A44,'ORDENES'!$O$4:$O$1203,$B44,'ORDENES'!$T$4:$T$1203,"preventiva")</f>
        <v/>
      </c>
      <c r="F44" s="17">
        <f>SUMIFS('ORDENES'!$M$4:$M$1203,'ORDENES'!$Y$4:$Y$1203,$A44,'ORDENES'!$O$4:$O$1203,$B44,'ORDENES'!$T$4:$T$1203,"correctiva")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SUMIFS('ASIGNACIONES'!$I$4:$I$339,'ASIGNACIONES'!$E$4:$E$339,$A45,'ASIGNACIONES'!$A$4:$A$339,$B45)</f>
        <v/>
      </c>
      <c r="D45" s="17">
        <f>C45*p_factor_productividad</f>
        <v/>
      </c>
      <c r="E45" s="17">
        <f>SUMIFS('ORDENES'!$M$4:$M$1203,'ORDENES'!$Y$4:$Y$1203,$A45,'ORDENES'!$O$4:$O$1203,$B45,'ORDENES'!$T$4:$T$1203,"preventiva")</f>
        <v/>
      </c>
      <c r="F45" s="17">
        <f>SUMIFS('ORDENES'!$M$4:$M$1203,'ORDENES'!$Y$4:$Y$1203,$A45,'ORDENES'!$O$4:$O$1203,$B45,'ORDENES'!$T$4:$T$1203,"correctiva")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SUMIFS('ASIGNACIONES'!$I$4:$I$339,'ASIGNACIONES'!$E$4:$E$339,$A46,'ASIGNACIONES'!$A$4:$A$339,$B46)</f>
        <v/>
      </c>
      <c r="D46" s="17">
        <f>C46*p_factor_productividad</f>
        <v/>
      </c>
      <c r="E46" s="17">
        <f>SUMIFS('ORDENES'!$M$4:$M$1203,'ORDENES'!$Y$4:$Y$1203,$A46,'ORDENES'!$O$4:$O$1203,$B46,'ORDENES'!$T$4:$T$1203,"preventiva")</f>
        <v/>
      </c>
      <c r="F46" s="17">
        <f>SUMIFS('ORDENES'!$M$4:$M$1203,'ORDENES'!$Y$4:$Y$1203,$A46,'ORDENES'!$O$4:$O$1203,$B46,'ORDENES'!$T$4:$T$1203,"correctiva")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SUMIFS('ASIGNACIONES'!$I$4:$I$339,'ASIGNACIONES'!$E$4:$E$339,$A47,'ASIGNACIONES'!$A$4:$A$339,$B47)</f>
        <v/>
      </c>
      <c r="D47" s="17">
        <f>C47*p_factor_productividad</f>
        <v/>
      </c>
      <c r="E47" s="17">
        <f>SUMIFS('ORDENES'!$M$4:$M$1203,'ORDENES'!$Y$4:$Y$1203,$A47,'ORDENES'!$O$4:$O$1203,$B47,'ORDENES'!$T$4:$T$1203,"preventiva")</f>
        <v/>
      </c>
      <c r="F47" s="17">
        <f>SUMIFS('ORDENES'!$M$4:$M$1203,'ORDENES'!$Y$4:$Y$1203,$A47,'ORDENES'!$O$4:$O$1203,$B47,'ORDENES'!$T$4:$T$1203,"correctiva")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SUMIFS('ASIGNACIONES'!$I$4:$I$339,'ASIGNACIONES'!$E$4:$E$339,$A48,'ASIGNACIONES'!$A$4:$A$339,$B48)</f>
        <v/>
      </c>
      <c r="D48" s="17">
        <f>C48*p_factor_productividad</f>
        <v/>
      </c>
      <c r="E48" s="17">
        <f>SUMIFS('ORDENES'!$M$4:$M$1203,'ORDENES'!$Y$4:$Y$1203,$A48,'ORDENES'!$O$4:$O$1203,$B48,'ORDENES'!$T$4:$T$1203,"preventiva")</f>
        <v/>
      </c>
      <c r="F48" s="17">
        <f>SUMIFS('ORDENES'!$M$4:$M$1203,'ORDENES'!$Y$4:$Y$1203,$A48,'ORDENES'!$O$4:$O$1203,$B48,'ORDENES'!$T$4:$T$1203,"correctiva")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SUMIFS('ASIGNACIONES'!$I$4:$I$339,'ASIGNACIONES'!$E$4:$E$339,$A49,'ASIGNACIONES'!$A$4:$A$339,$B49)</f>
        <v/>
      </c>
      <c r="D49" s="17">
        <f>C49*p_factor_productividad</f>
        <v/>
      </c>
      <c r="E49" s="17">
        <f>SUMIFS('ORDENES'!$M$4:$M$1203,'ORDENES'!$Y$4:$Y$1203,$A49,'ORDENES'!$O$4:$O$1203,$B49,'ORDENES'!$T$4:$T$1203,"preventiva")</f>
        <v/>
      </c>
      <c r="F49" s="17">
        <f>SUMIFS('ORDENES'!$M$4:$M$1203,'ORDENES'!$Y$4:$Y$1203,$A49,'ORDENES'!$O$4:$O$1203,$B49,'ORDENES'!$T$4:$T$1203,"correctiva")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SUMIFS('ASIGNACIONES'!$I$4:$I$339,'ASIGNACIONES'!$E$4:$E$339,$A50,'ASIGNACIONES'!$A$4:$A$339,$B50)</f>
        <v/>
      </c>
      <c r="D50" s="17">
        <f>C50*p_factor_productividad</f>
        <v/>
      </c>
      <c r="E50" s="17">
        <f>SUMIFS('ORDENES'!$M$4:$M$1203,'ORDENES'!$Y$4:$Y$1203,$A50,'ORDENES'!$O$4:$O$1203,$B50,'ORDENES'!$T$4:$T$1203,"preventiva")</f>
        <v/>
      </c>
      <c r="F50" s="17">
        <f>SUMIFS('ORDENES'!$M$4:$M$1203,'ORDENES'!$Y$4:$Y$1203,$A50,'ORDENES'!$O$4:$O$1203,$B50,'ORDENES'!$T$4:$T$1203,"correctiva")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SUMIFS('ASIGNACIONES'!$I$4:$I$339,'ASIGNACIONES'!$E$4:$E$339,$A51,'ASIGNACIONES'!$A$4:$A$339,$B51)</f>
        <v/>
      </c>
      <c r="D51" s="17">
        <f>C51*p_factor_productividad</f>
        <v/>
      </c>
      <c r="E51" s="17">
        <f>SUMIFS('ORDENES'!$M$4:$M$1203,'ORDENES'!$Y$4:$Y$1203,$A51,'ORDENES'!$O$4:$O$1203,$B51,'ORDENES'!$T$4:$T$1203,"preventiva")</f>
        <v/>
      </c>
      <c r="F51" s="17">
        <f>SUMIFS('ORDENES'!$M$4:$M$1203,'ORDENES'!$Y$4:$Y$1203,$A51,'ORDENES'!$O$4:$O$1203,$B51,'ORDENES'!$T$4:$T$1203,"correctiva")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SUMIFS('ASIGNACIONES'!$I$4:$I$339,'ASIGNACIONES'!$E$4:$E$339,$A52,'ASIGNACIONES'!$A$4:$A$339,$B52)</f>
        <v/>
      </c>
      <c r="D52" s="17">
        <f>C52*p_factor_productividad</f>
        <v/>
      </c>
      <c r="E52" s="17">
        <f>SUMIFS('ORDENES'!$M$4:$M$1203,'ORDENES'!$Y$4:$Y$1203,$A52,'ORDENES'!$O$4:$O$1203,$B52,'ORDENES'!$T$4:$T$1203,"preventiva")</f>
        <v/>
      </c>
      <c r="F52" s="17">
        <f>SUMIFS('ORDENES'!$M$4:$M$1203,'ORDENES'!$Y$4:$Y$1203,$A52,'ORDENES'!$O$4:$O$1203,$B52,'ORDENES'!$T$4:$T$1203,"correctiva")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SUMIFS('ASIGNACIONES'!$I$4:$I$339,'ASIGNACIONES'!$E$4:$E$339,$A53,'ASIGNACIONES'!$A$4:$A$339,$B53)</f>
        <v/>
      </c>
      <c r="D53" s="17">
        <f>C53*p_factor_productividad</f>
        <v/>
      </c>
      <c r="E53" s="17">
        <f>SUMIFS('ORDENES'!$M$4:$M$1203,'ORDENES'!$Y$4:$Y$1203,$A53,'ORDENES'!$O$4:$O$1203,$B53,'ORDENES'!$T$4:$T$1203,"preventiva")</f>
        <v/>
      </c>
      <c r="F53" s="17">
        <f>SUMIFS('ORDENES'!$M$4:$M$1203,'ORDENES'!$Y$4:$Y$1203,$A53,'ORDENES'!$O$4:$O$1203,$B53,'ORDENES'!$T$4:$T$1203,"correctiva")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SUMIFS('ASIGNACIONES'!$I$4:$I$339,'ASIGNACIONES'!$E$4:$E$339,$A54,'ASIGNACIONES'!$A$4:$A$339,$B54)</f>
        <v/>
      </c>
      <c r="D54" s="17">
        <f>C54*p_factor_productividad</f>
        <v/>
      </c>
      <c r="E54" s="17">
        <f>SUMIFS('ORDENES'!$M$4:$M$1203,'ORDENES'!$Y$4:$Y$1203,$A54,'ORDENES'!$O$4:$O$1203,$B54,'ORDENES'!$T$4:$T$1203,"preventiva")</f>
        <v/>
      </c>
      <c r="F54" s="17">
        <f>SUMIFS('ORDENES'!$M$4:$M$1203,'ORDENES'!$Y$4:$Y$1203,$A54,'ORDENES'!$O$4:$O$1203,$B54,'ORDENES'!$T$4:$T$1203,"correctiva")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SUMIFS('ASIGNACIONES'!$I$4:$I$339,'ASIGNACIONES'!$E$4:$E$339,$A55,'ASIGNACIONES'!$A$4:$A$339,$B55)</f>
        <v/>
      </c>
      <c r="D55" s="17">
        <f>C55*p_factor_productividad</f>
        <v/>
      </c>
      <c r="E55" s="17">
        <f>SUMIFS('ORDENES'!$M$4:$M$1203,'ORDENES'!$Y$4:$Y$1203,$A55,'ORDENES'!$O$4:$O$1203,$B55,'ORDENES'!$T$4:$T$1203,"preventiva")</f>
        <v/>
      </c>
      <c r="F55" s="17">
        <f>SUMIFS('ORDENES'!$M$4:$M$1203,'ORDENES'!$Y$4:$Y$1203,$A55,'ORDENES'!$O$4:$O$1203,$B55,'ORDENES'!$T$4:$T$1203,"correctiva")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SUMIFS('ASIGNACIONES'!$I$4:$I$339,'ASIGNACIONES'!$E$4:$E$339,$A56,'ASIGNACIONES'!$A$4:$A$339,$B56)</f>
        <v/>
      </c>
      <c r="D56" s="17">
        <f>C56*p_factor_productividad</f>
        <v/>
      </c>
      <c r="E56" s="17">
        <f>SUMIFS('ORDENES'!$M$4:$M$1203,'ORDENES'!$Y$4:$Y$1203,$A56,'ORDENES'!$O$4:$O$1203,$B56,'ORDENES'!$T$4:$T$1203,"preventiva")</f>
        <v/>
      </c>
      <c r="F56" s="17">
        <f>SUMIFS('ORDENES'!$M$4:$M$1203,'ORDENES'!$Y$4:$Y$1203,$A56,'ORDENES'!$O$4:$O$1203,$B56,'ORDENES'!$T$4:$T$1203,"correctiva")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SUMIFS('ASIGNACIONES'!$I$4:$I$339,'ASIGNACIONES'!$E$4:$E$339,$A57,'ASIGNACIONES'!$A$4:$A$339,$B57)</f>
        <v/>
      </c>
      <c r="D57" s="17">
        <f>C57*p_factor_productividad</f>
        <v/>
      </c>
      <c r="E57" s="17">
        <f>SUMIFS('ORDENES'!$M$4:$M$1203,'ORDENES'!$Y$4:$Y$1203,$A57,'ORDENES'!$O$4:$O$1203,$B57,'ORDENES'!$T$4:$T$1203,"preventiva")</f>
        <v/>
      </c>
      <c r="F57" s="17">
        <f>SUMIFS('ORDENES'!$M$4:$M$1203,'ORDENES'!$Y$4:$Y$1203,$A57,'ORDENES'!$O$4:$O$1203,$B57,'ORDENES'!$T$4:$T$1203,"correctiva")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SUMIFS('ASIGNACIONES'!$I$4:$I$339,'ASIGNACIONES'!$E$4:$E$339,$A58,'ASIGNACIONES'!$A$4:$A$339,$B58)</f>
        <v/>
      </c>
      <c r="D58" s="17">
        <f>C58*p_factor_productividad</f>
        <v/>
      </c>
      <c r="E58" s="17">
        <f>SUMIFS('ORDENES'!$M$4:$M$1203,'ORDENES'!$Y$4:$Y$1203,$A58,'ORDENES'!$O$4:$O$1203,$B58,'ORDENES'!$T$4:$T$1203,"preventiva")</f>
        <v/>
      </c>
      <c r="F58" s="17">
        <f>SUMIFS('ORDENES'!$M$4:$M$1203,'ORDENES'!$Y$4:$Y$1203,$A58,'ORDENES'!$O$4:$O$1203,$B58,'ORDENES'!$T$4:$T$1203,"correctiva")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SUMIFS('ASIGNACIONES'!$I$4:$I$339,'ASIGNACIONES'!$E$4:$E$339,$A59,'ASIGNACIONES'!$A$4:$A$339,$B59)</f>
        <v/>
      </c>
      <c r="D59" s="17">
        <f>C59*p_factor_productividad</f>
        <v/>
      </c>
      <c r="E59" s="17">
        <f>SUMIFS('ORDENES'!$M$4:$M$1203,'ORDENES'!$Y$4:$Y$1203,$A59,'ORDENES'!$O$4:$O$1203,$B59,'ORDENES'!$T$4:$T$1203,"preventiva")</f>
        <v/>
      </c>
      <c r="F59" s="17">
        <f>SUMIFS('ORDENES'!$M$4:$M$1203,'ORDENES'!$Y$4:$Y$1203,$A59,'ORDENES'!$O$4:$O$1203,$B59,'ORDENES'!$T$4:$T$1203,"correctiva")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SUMIFS('ASIGNACIONES'!$I$4:$I$339,'ASIGNACIONES'!$E$4:$E$339,$A60,'ASIGNACIONES'!$A$4:$A$339,$B60)</f>
        <v/>
      </c>
      <c r="D60" s="17">
        <f>C60*p_factor_productividad</f>
        <v/>
      </c>
      <c r="E60" s="17">
        <f>SUMIFS('ORDENES'!$M$4:$M$1203,'ORDENES'!$Y$4:$Y$1203,$A60,'ORDENES'!$O$4:$O$1203,$B60,'ORDENES'!$T$4:$T$1203,"preventiva")</f>
        <v/>
      </c>
      <c r="F60" s="17">
        <f>SUMIFS('ORDENES'!$M$4:$M$1203,'ORDENES'!$Y$4:$Y$1203,$A60,'ORDENES'!$O$4:$O$1203,$B60,'ORDENES'!$T$4:$T$1203,"correctiva")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SUMIFS('ASIGNACIONES'!$I$4:$I$339,'ASIGNACIONES'!$E$4:$E$339,$A61,'ASIGNACIONES'!$A$4:$A$339,$B61)</f>
        <v/>
      </c>
      <c r="D61" s="17">
        <f>C61*p_factor_productividad</f>
        <v/>
      </c>
      <c r="E61" s="17">
        <f>SUMIFS('ORDENES'!$M$4:$M$1203,'ORDENES'!$Y$4:$Y$1203,$A61,'ORDENES'!$O$4:$O$1203,$B61,'ORDENES'!$T$4:$T$1203,"preventiva")</f>
        <v/>
      </c>
      <c r="F61" s="17">
        <f>SUMIFS('ORDENES'!$M$4:$M$1203,'ORDENES'!$Y$4:$Y$1203,$A61,'ORDENES'!$O$4:$O$1203,$B61,'ORDENES'!$T$4:$T$1203,"correctiva")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SUMIFS('ASIGNACIONES'!$I$4:$I$339,'ASIGNACIONES'!$E$4:$E$339,$A62,'ASIGNACIONES'!$A$4:$A$339,$B62)</f>
        <v/>
      </c>
      <c r="D62" s="17">
        <f>C62*p_factor_productividad</f>
        <v/>
      </c>
      <c r="E62" s="17">
        <f>SUMIFS('ORDENES'!$M$4:$M$1203,'ORDENES'!$Y$4:$Y$1203,$A62,'ORDENES'!$O$4:$O$1203,$B62,'ORDENES'!$T$4:$T$1203,"preventiva")</f>
        <v/>
      </c>
      <c r="F62" s="17">
        <f>SUMIFS('ORDENES'!$M$4:$M$1203,'ORDENES'!$Y$4:$Y$1203,$A62,'ORDENES'!$O$4:$O$1203,$B62,'ORDENES'!$T$4:$T$1203,"correctiva")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SUMIFS('ASIGNACIONES'!$I$4:$I$339,'ASIGNACIONES'!$E$4:$E$339,$A63,'ASIGNACIONES'!$A$4:$A$339,$B63)</f>
        <v/>
      </c>
      <c r="D63" s="17">
        <f>C63*p_factor_productividad</f>
        <v/>
      </c>
      <c r="E63" s="17">
        <f>SUMIFS('ORDENES'!$M$4:$M$1203,'ORDENES'!$Y$4:$Y$1203,$A63,'ORDENES'!$O$4:$O$1203,$B63,'ORDENES'!$T$4:$T$1203,"preventiva")</f>
        <v/>
      </c>
      <c r="F63" s="17">
        <f>SUMIFS('ORDENES'!$M$4:$M$1203,'ORDENES'!$Y$4:$Y$1203,$A63,'ORDENES'!$O$4:$O$1203,$B63,'ORDENES'!$T$4:$T$1203,"correctiva")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SUMIFS('ASIGNACIONES'!$I$4:$I$339,'ASIGNACIONES'!$E$4:$E$339,$A64,'ASIGNACIONES'!$A$4:$A$339,$B64)</f>
        <v/>
      </c>
      <c r="D64" s="17">
        <f>C64*p_factor_productividad</f>
        <v/>
      </c>
      <c r="E64" s="17">
        <f>SUMIFS('ORDENES'!$M$4:$M$1203,'ORDENES'!$Y$4:$Y$1203,$A64,'ORDENES'!$O$4:$O$1203,$B64,'ORDENES'!$T$4:$T$1203,"preventiva")</f>
        <v/>
      </c>
      <c r="F64" s="17">
        <f>SUMIFS('ORDENES'!$M$4:$M$1203,'ORDENES'!$Y$4:$Y$1203,$A64,'ORDENES'!$O$4:$O$1203,$B64,'ORDENES'!$T$4:$T$1203,"correctiva")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SUMIFS('ASIGNACIONES'!$I$4:$I$339,'ASIGNACIONES'!$E$4:$E$339,$A65,'ASIGNACIONES'!$A$4:$A$339,$B65)</f>
        <v/>
      </c>
      <c r="D65" s="17">
        <f>C65*p_factor_productividad</f>
        <v/>
      </c>
      <c r="E65" s="17">
        <f>SUMIFS('ORDENES'!$M$4:$M$1203,'ORDENES'!$Y$4:$Y$1203,$A65,'ORDENES'!$O$4:$O$1203,$B65,'ORDENES'!$T$4:$T$1203,"preventiva")</f>
        <v/>
      </c>
      <c r="F65" s="17">
        <f>SUMIFS('ORDENES'!$M$4:$M$1203,'ORDENES'!$Y$4:$Y$1203,$A65,'ORDENES'!$O$4:$O$1203,$B65,'ORDENES'!$T$4:$T$1203,"correctiva")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SUMIFS('ASIGNACIONES'!$I$4:$I$339,'ASIGNACIONES'!$E$4:$E$339,$A66,'ASIGNACIONES'!$A$4:$A$339,$B66)</f>
        <v/>
      </c>
      <c r="D66" s="17">
        <f>C66*p_factor_productividad</f>
        <v/>
      </c>
      <c r="E66" s="17">
        <f>SUMIFS('ORDENES'!$M$4:$M$1203,'ORDENES'!$Y$4:$Y$1203,$A66,'ORDENES'!$O$4:$O$1203,$B66,'ORDENES'!$T$4:$T$1203,"preventiva")</f>
        <v/>
      </c>
      <c r="F66" s="17">
        <f>SUMIFS('ORDENES'!$M$4:$M$1203,'ORDENES'!$Y$4:$Y$1203,$A66,'ORDENES'!$O$4:$O$1203,$B66,'ORDENES'!$T$4:$T$1203,"correctiva")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SUMIFS('ASIGNACIONES'!$I$4:$I$339,'ASIGNACIONES'!$E$4:$E$339,$A67,'ASIGNACIONES'!$A$4:$A$339,$B67)</f>
        <v/>
      </c>
      <c r="D67" s="17">
        <f>C67*p_factor_productividad</f>
        <v/>
      </c>
      <c r="E67" s="17">
        <f>SUMIFS('ORDENES'!$M$4:$M$1203,'ORDENES'!$Y$4:$Y$1203,$A67,'ORDENES'!$O$4:$O$1203,$B67,'ORDENES'!$T$4:$T$1203,"preventiva")</f>
        <v/>
      </c>
      <c r="F67" s="17">
        <f>SUMIFS('ORDENES'!$M$4:$M$1203,'ORDENES'!$Y$4:$Y$1203,$A67,'ORDENES'!$O$4:$O$1203,$B67,'ORDENES'!$T$4:$T$1203,"correctiva")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SUMIFS('ASIGNACIONES'!$I$4:$I$339,'ASIGNACIONES'!$E$4:$E$339,$A68,'ASIGNACIONES'!$A$4:$A$339,$B68)</f>
        <v/>
      </c>
      <c r="D68" s="17">
        <f>C68*p_factor_productividad</f>
        <v/>
      </c>
      <c r="E68" s="17">
        <f>SUMIFS('ORDENES'!$M$4:$M$1203,'ORDENES'!$Y$4:$Y$1203,$A68,'ORDENES'!$O$4:$O$1203,$B68,'ORDENES'!$T$4:$T$1203,"preventiva")</f>
        <v/>
      </c>
      <c r="F68" s="17">
        <f>SUMIFS('ORDENES'!$M$4:$M$1203,'ORDENES'!$Y$4:$Y$1203,$A68,'ORDENES'!$O$4:$O$1203,$B68,'ORDENES'!$T$4:$T$1203,"correctiva")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SUMIFS('ASIGNACIONES'!$I$4:$I$339,'ASIGNACIONES'!$E$4:$E$339,$A69,'ASIGNACIONES'!$A$4:$A$339,$B69)</f>
        <v/>
      </c>
      <c r="D69" s="17">
        <f>C69*p_factor_productividad</f>
        <v/>
      </c>
      <c r="E69" s="17">
        <f>SUMIFS('ORDENES'!$M$4:$M$1203,'ORDENES'!$Y$4:$Y$1203,$A69,'ORDENES'!$O$4:$O$1203,$B69,'ORDENES'!$T$4:$T$1203,"preventiva")</f>
        <v/>
      </c>
      <c r="F69" s="17">
        <f>SUMIFS('ORDENES'!$M$4:$M$1203,'ORDENES'!$Y$4:$Y$1203,$A69,'ORDENES'!$O$4:$O$1203,$B69,'ORDENES'!$T$4:$T$1203,"correctiva")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SUMIFS('ASIGNACIONES'!$I$4:$I$339,'ASIGNACIONES'!$E$4:$E$339,$A70,'ASIGNACIONES'!$A$4:$A$339,$B70)</f>
        <v/>
      </c>
      <c r="D70" s="17">
        <f>C70*p_factor_productividad</f>
        <v/>
      </c>
      <c r="E70" s="17">
        <f>SUMIFS('ORDENES'!$M$4:$M$1203,'ORDENES'!$Y$4:$Y$1203,$A70,'ORDENES'!$O$4:$O$1203,$B70,'ORDENES'!$T$4:$T$1203,"preventiva")</f>
        <v/>
      </c>
      <c r="F70" s="17">
        <f>SUMIFS('ORDENES'!$M$4:$M$1203,'ORDENES'!$Y$4:$Y$1203,$A70,'ORDENES'!$O$4:$O$1203,$B70,'ORDENES'!$T$4:$T$1203,"correctiva")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SUMIFS('ASIGNACIONES'!$I$4:$I$339,'ASIGNACIONES'!$E$4:$E$339,$A71,'ASIGNACIONES'!$A$4:$A$339,$B71)</f>
        <v/>
      </c>
      <c r="D71" s="17">
        <f>C71*p_factor_productividad</f>
        <v/>
      </c>
      <c r="E71" s="17">
        <f>SUMIFS('ORDENES'!$M$4:$M$1203,'ORDENES'!$Y$4:$Y$1203,$A71,'ORDENES'!$O$4:$O$1203,$B71,'ORDENES'!$T$4:$T$1203,"preventiva")</f>
        <v/>
      </c>
      <c r="F71" s="17">
        <f>SUMIFS('ORDENES'!$M$4:$M$1203,'ORDENES'!$Y$4:$Y$1203,$A71,'ORDENES'!$O$4:$O$1203,$B71,'ORDENES'!$T$4:$T$1203,"correctiva")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SUMIFS('ASIGNACIONES'!$I$4:$I$339,'ASIGNACIONES'!$E$4:$E$339,$A72,'ASIGNACIONES'!$A$4:$A$339,$B72)</f>
        <v/>
      </c>
      <c r="D72" s="17">
        <f>C72*p_factor_productividad</f>
        <v/>
      </c>
      <c r="E72" s="17">
        <f>SUMIFS('ORDENES'!$M$4:$M$1203,'ORDENES'!$Y$4:$Y$1203,$A72,'ORDENES'!$O$4:$O$1203,$B72,'ORDENES'!$T$4:$T$1203,"preventiva")</f>
        <v/>
      </c>
      <c r="F72" s="17">
        <f>SUMIFS('ORDENES'!$M$4:$M$1203,'ORDENES'!$Y$4:$Y$1203,$A72,'ORDENES'!$O$4:$O$1203,$B72,'ORDENES'!$T$4:$T$1203,"correctiva")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SUMIFS('ASIGNACIONES'!$I$4:$I$339,'ASIGNACIONES'!$E$4:$E$339,$A73,'ASIGNACIONES'!$A$4:$A$339,$B73)</f>
        <v/>
      </c>
      <c r="D73" s="17">
        <f>C73*p_factor_productividad</f>
        <v/>
      </c>
      <c r="E73" s="17">
        <f>SUMIFS('ORDENES'!$M$4:$M$1203,'ORDENES'!$Y$4:$Y$1203,$A73,'ORDENES'!$O$4:$O$1203,$B73,'ORDENES'!$T$4:$T$1203,"preventiva")</f>
        <v/>
      </c>
      <c r="F73" s="17">
        <f>SUMIFS('ORDENES'!$M$4:$M$1203,'ORDENES'!$Y$4:$Y$1203,$A73,'ORDENES'!$O$4:$O$1203,$B73,'ORDENES'!$T$4:$T$1203,"correctiva")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SUMIFS('ASIGNACIONES'!$I$4:$I$339,'ASIGNACIONES'!$E$4:$E$339,$A74,'ASIGNACIONES'!$A$4:$A$339,$B74)</f>
        <v/>
      </c>
      <c r="D74" s="17">
        <f>C74*p_factor_productividad</f>
        <v/>
      </c>
      <c r="E74" s="17">
        <f>SUMIFS('ORDENES'!$M$4:$M$1203,'ORDENES'!$Y$4:$Y$1203,$A74,'ORDENES'!$O$4:$O$1203,$B74,'ORDENES'!$T$4:$T$1203,"preventiva")</f>
        <v/>
      </c>
      <c r="F74" s="17">
        <f>SUMIFS('ORDENES'!$M$4:$M$1203,'ORDENES'!$Y$4:$Y$1203,$A74,'ORDENES'!$O$4:$O$1203,$B74,'ORDENES'!$T$4:$T$1203,"correctiva")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SUMIFS('ASIGNACIONES'!$I$4:$I$339,'ASIGNACIONES'!$E$4:$E$339,$A75,'ASIGNACIONES'!$A$4:$A$339,$B75)</f>
        <v/>
      </c>
      <c r="D75" s="17">
        <f>C75*p_factor_productividad</f>
        <v/>
      </c>
      <c r="E75" s="17">
        <f>SUMIFS('ORDENES'!$M$4:$M$1203,'ORDENES'!$Y$4:$Y$1203,$A75,'ORDENES'!$O$4:$O$1203,$B75,'ORDENES'!$T$4:$T$1203,"preventiva")</f>
        <v/>
      </c>
      <c r="F75" s="17">
        <f>SUMIFS('ORDENES'!$M$4:$M$1203,'ORDENES'!$Y$4:$Y$1203,$A75,'ORDENES'!$O$4:$O$1203,$B75,'ORDENES'!$T$4:$T$1203,"correctiva")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SUMIFS('ASIGNACIONES'!$I$4:$I$339,'ASIGNACIONES'!$E$4:$E$339,$A76,'ASIGNACIONES'!$A$4:$A$339,$B76)</f>
        <v/>
      </c>
      <c r="D76" s="17">
        <f>C76*p_factor_productividad</f>
        <v/>
      </c>
      <c r="E76" s="17">
        <f>SUMIFS('ORDENES'!$M$4:$M$1203,'ORDENES'!$Y$4:$Y$1203,$A76,'ORDENES'!$O$4:$O$1203,$B76,'ORDENES'!$T$4:$T$1203,"preventiva")</f>
        <v/>
      </c>
      <c r="F76" s="17">
        <f>SUMIFS('ORDENES'!$M$4:$M$1203,'ORDENES'!$Y$4:$Y$1203,$A76,'ORDENES'!$O$4:$O$1203,$B76,'ORDENES'!$T$4:$T$1203,"correctiva")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SUMIFS('ASIGNACIONES'!$I$4:$I$339,'ASIGNACIONES'!$E$4:$E$339,$A77,'ASIGNACIONES'!$A$4:$A$339,$B77)</f>
        <v/>
      </c>
      <c r="D77" s="17">
        <f>C77*p_factor_productividad</f>
        <v/>
      </c>
      <c r="E77" s="17">
        <f>SUMIFS('ORDENES'!$M$4:$M$1203,'ORDENES'!$Y$4:$Y$1203,$A77,'ORDENES'!$O$4:$O$1203,$B77,'ORDENES'!$T$4:$T$1203,"preventiva")</f>
        <v/>
      </c>
      <c r="F77" s="17">
        <f>SUMIFS('ORDENES'!$M$4:$M$1203,'ORDENES'!$Y$4:$Y$1203,$A77,'ORDENES'!$O$4:$O$1203,$B77,'ORDENES'!$T$4:$T$1203,"correctiva")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SUMIFS('ASIGNACIONES'!$I$4:$I$339,'ASIGNACIONES'!$E$4:$E$339,$A78,'ASIGNACIONES'!$A$4:$A$339,$B78)</f>
        <v/>
      </c>
      <c r="D78" s="17">
        <f>C78*p_factor_productividad</f>
        <v/>
      </c>
      <c r="E78" s="17">
        <f>SUMIFS('ORDENES'!$M$4:$M$1203,'ORDENES'!$Y$4:$Y$1203,$A78,'ORDENES'!$O$4:$O$1203,$B78,'ORDENES'!$T$4:$T$1203,"preventiva")</f>
        <v/>
      </c>
      <c r="F78" s="17">
        <f>SUMIFS('ORDENES'!$M$4:$M$1203,'ORDENES'!$Y$4:$Y$1203,$A78,'ORDENES'!$O$4:$O$1203,$B78,'ORDENES'!$T$4:$T$1203,"correctiva")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SUMIFS('ASIGNACIONES'!$I$4:$I$339,'ASIGNACIONES'!$E$4:$E$339,$A79,'ASIGNACIONES'!$A$4:$A$339,$B79)</f>
        <v/>
      </c>
      <c r="D79" s="17">
        <f>C79*p_factor_productividad</f>
        <v/>
      </c>
      <c r="E79" s="17">
        <f>SUMIFS('ORDENES'!$M$4:$M$1203,'ORDENES'!$Y$4:$Y$1203,$A79,'ORDENES'!$O$4:$O$1203,$B79,'ORDENES'!$T$4:$T$1203,"preventiva")</f>
        <v/>
      </c>
      <c r="F79" s="17">
        <f>SUMIFS('ORDENES'!$M$4:$M$1203,'ORDENES'!$Y$4:$Y$1203,$A79,'ORDENES'!$O$4:$O$1203,$B79,'ORDENES'!$T$4:$T$1203,"correctiva")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SUMIFS('ASIGNACIONES'!$I$4:$I$339,'ASIGNACIONES'!$E$4:$E$339,$A80,'ASIGNACIONES'!$A$4:$A$339,$B80)</f>
        <v/>
      </c>
      <c r="D80" s="17">
        <f>C80*p_factor_productividad</f>
        <v/>
      </c>
      <c r="E80" s="17">
        <f>SUMIFS('ORDENES'!$M$4:$M$1203,'ORDENES'!$Y$4:$Y$1203,$A80,'ORDENES'!$O$4:$O$1203,$B80,'ORDENES'!$T$4:$T$1203,"preventiva")</f>
        <v/>
      </c>
      <c r="F80" s="17">
        <f>SUMIFS('ORDENES'!$M$4:$M$1203,'ORDENES'!$Y$4:$Y$1203,$A80,'ORDENES'!$O$4:$O$1203,$B80,'ORDENES'!$T$4:$T$1203,"correctiva")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SUMIFS('ASIGNACIONES'!$I$4:$I$339,'ASIGNACIONES'!$E$4:$E$339,$A81,'ASIGNACIONES'!$A$4:$A$339,$B81)</f>
        <v/>
      </c>
      <c r="D81" s="17">
        <f>C81*p_factor_productividad</f>
        <v/>
      </c>
      <c r="E81" s="17">
        <f>SUMIFS('ORDENES'!$M$4:$M$1203,'ORDENES'!$Y$4:$Y$1203,$A81,'ORDENES'!$O$4:$O$1203,$B81,'ORDENES'!$T$4:$T$1203,"preventiva")</f>
        <v/>
      </c>
      <c r="F81" s="17">
        <f>SUMIFS('ORDENES'!$M$4:$M$1203,'ORDENES'!$Y$4:$Y$1203,$A81,'ORDENES'!$O$4:$O$1203,$B81,'ORDENES'!$T$4:$T$1203,"correctiva")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SUMIFS('ASIGNACIONES'!$I$4:$I$339,'ASIGNACIONES'!$E$4:$E$339,$A82,'ASIGNACIONES'!$A$4:$A$339,$B82)</f>
        <v/>
      </c>
      <c r="D82" s="17">
        <f>C82*p_factor_productividad</f>
        <v/>
      </c>
      <c r="E82" s="17">
        <f>SUMIFS('ORDENES'!$M$4:$M$1203,'ORDENES'!$Y$4:$Y$1203,$A82,'ORDENES'!$O$4:$O$1203,$B82,'ORDENES'!$T$4:$T$1203,"preventiva")</f>
        <v/>
      </c>
      <c r="F82" s="17">
        <f>SUMIFS('ORDENES'!$M$4:$M$1203,'ORDENES'!$Y$4:$Y$1203,$A82,'ORDENES'!$O$4:$O$1203,$B82,'ORDENES'!$T$4:$T$1203,"correctiva")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SUMIFS('ASIGNACIONES'!$I$4:$I$339,'ASIGNACIONES'!$E$4:$E$339,$A83,'ASIGNACIONES'!$A$4:$A$339,$B83)</f>
        <v/>
      </c>
      <c r="D83" s="17">
        <f>C83*p_factor_productividad</f>
        <v/>
      </c>
      <c r="E83" s="17">
        <f>SUMIFS('ORDENES'!$M$4:$M$1203,'ORDENES'!$Y$4:$Y$1203,$A83,'ORDENES'!$O$4:$O$1203,$B83,'ORDENES'!$T$4:$T$1203,"preventiva")</f>
        <v/>
      </c>
      <c r="F83" s="17">
        <f>SUMIFS('ORDENES'!$M$4:$M$1203,'ORDENES'!$Y$4:$Y$1203,$A83,'ORDENES'!$O$4:$O$1203,$B83,'ORDENES'!$T$4:$T$1203,"correctiva")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SUMIFS('ASIGNACIONES'!$I$4:$I$339,'ASIGNACIONES'!$E$4:$E$339,$A84,'ASIGNACIONES'!$A$4:$A$339,$B84)</f>
        <v/>
      </c>
      <c r="D84" s="17">
        <f>C84*p_factor_productividad</f>
        <v/>
      </c>
      <c r="E84" s="17">
        <f>SUMIFS('ORDENES'!$M$4:$M$1203,'ORDENES'!$Y$4:$Y$1203,$A84,'ORDENES'!$O$4:$O$1203,$B84,'ORDENES'!$T$4:$T$1203,"preventiva")</f>
        <v/>
      </c>
      <c r="F84" s="17">
        <f>SUMIFS('ORDENES'!$M$4:$M$1203,'ORDENES'!$Y$4:$Y$1203,$A84,'ORDENES'!$O$4:$O$1203,$B84,'ORDENES'!$T$4:$T$1203,"correctiva")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SUMIFS('ASIGNACIONES'!$I$4:$I$339,'ASIGNACIONES'!$E$4:$E$339,$A85,'ASIGNACIONES'!$A$4:$A$339,$B85)</f>
        <v/>
      </c>
      <c r="D85" s="17">
        <f>C85*p_factor_productividad</f>
        <v/>
      </c>
      <c r="E85" s="17">
        <f>SUMIFS('ORDENES'!$M$4:$M$1203,'ORDENES'!$Y$4:$Y$1203,$A85,'ORDENES'!$O$4:$O$1203,$B85,'ORDENES'!$T$4:$T$1203,"preventiva")</f>
        <v/>
      </c>
      <c r="F85" s="17">
        <f>SUMIFS('ORDENES'!$M$4:$M$1203,'ORDENES'!$Y$4:$Y$1203,$A85,'ORDENES'!$O$4:$O$1203,$B85,'ORDENES'!$T$4:$T$1203,"correctiva")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SUMIFS('ASIGNACIONES'!$I$4:$I$339,'ASIGNACIONES'!$E$4:$E$339,$A86,'ASIGNACIONES'!$A$4:$A$339,$B86)</f>
        <v/>
      </c>
      <c r="D86" s="17">
        <f>C86*p_factor_productividad</f>
        <v/>
      </c>
      <c r="E86" s="17">
        <f>SUMIFS('ORDENES'!$M$4:$M$1203,'ORDENES'!$Y$4:$Y$1203,$A86,'ORDENES'!$O$4:$O$1203,$B86,'ORDENES'!$T$4:$T$1203,"preventiva")</f>
        <v/>
      </c>
      <c r="F86" s="17">
        <f>SUMIFS('ORDENES'!$M$4:$M$1203,'ORDENES'!$Y$4:$Y$1203,$A86,'ORDENES'!$O$4:$O$1203,$B86,'ORDENES'!$T$4:$T$1203,"correctiva")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SUMIFS('ASIGNACIONES'!$I$4:$I$339,'ASIGNACIONES'!$E$4:$E$339,$A87,'ASIGNACIONES'!$A$4:$A$339,$B87)</f>
        <v/>
      </c>
      <c r="D87" s="17">
        <f>C87*p_factor_productividad</f>
        <v/>
      </c>
      <c r="E87" s="17">
        <f>SUMIFS('ORDENES'!$M$4:$M$1203,'ORDENES'!$Y$4:$Y$1203,$A87,'ORDENES'!$O$4:$O$1203,$B87,'ORDENES'!$T$4:$T$1203,"preventiva")</f>
        <v/>
      </c>
      <c r="F87" s="17">
        <f>SUMIFS('ORDENES'!$M$4:$M$1203,'ORDENES'!$Y$4:$Y$1203,$A87,'ORDENES'!$O$4:$O$1203,$B87,'ORDENES'!$T$4:$T$1203,"correctiva")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SUMIFS('ASIGNACIONES'!$I$4:$I$339,'ASIGNACIONES'!$E$4:$E$339,$A88,'ASIGNACIONES'!$A$4:$A$339,$B88)</f>
        <v/>
      </c>
      <c r="D88" s="17">
        <f>C88*p_factor_productividad</f>
        <v/>
      </c>
      <c r="E88" s="17">
        <f>SUMIFS('ORDENES'!$M$4:$M$1203,'ORDENES'!$Y$4:$Y$1203,$A88,'ORDENES'!$O$4:$O$1203,$B88,'ORDENES'!$T$4:$T$1203,"preventiva")</f>
        <v/>
      </c>
      <c r="F88" s="17">
        <f>SUMIFS('ORDENES'!$M$4:$M$1203,'ORDENES'!$Y$4:$Y$1203,$A88,'ORDENES'!$O$4:$O$1203,$B88,'ORDENES'!$T$4:$T$1203,"correctiva")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SUMIFS('ASIGNACIONES'!$I$4:$I$339,'ASIGNACIONES'!$E$4:$E$339,$A89,'ASIGNACIONES'!$A$4:$A$339,$B89)</f>
        <v/>
      </c>
      <c r="D89" s="17">
        <f>C89*p_factor_productividad</f>
        <v/>
      </c>
      <c r="E89" s="17">
        <f>SUMIFS('ORDENES'!$M$4:$M$1203,'ORDENES'!$Y$4:$Y$1203,$A89,'ORDENES'!$O$4:$O$1203,$B89,'ORDENES'!$T$4:$T$1203,"preventiva")</f>
        <v/>
      </c>
      <c r="F89" s="17">
        <f>SUMIFS('ORDENES'!$M$4:$M$1203,'ORDENES'!$Y$4:$Y$1203,$A89,'ORDENES'!$O$4:$O$1203,$B89,'ORDENES'!$T$4:$T$1203,"correctiva")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SUMIFS('ASIGNACIONES'!$I$4:$I$339,'ASIGNACIONES'!$E$4:$E$339,$A90,'ASIGNACIONES'!$A$4:$A$339,$B90)</f>
        <v/>
      </c>
      <c r="D90" s="17">
        <f>C90*p_factor_productividad</f>
        <v/>
      </c>
      <c r="E90" s="17">
        <f>SUMIFS('ORDENES'!$M$4:$M$1203,'ORDENES'!$Y$4:$Y$1203,$A90,'ORDENES'!$O$4:$O$1203,$B90,'ORDENES'!$T$4:$T$1203,"preventiva")</f>
        <v/>
      </c>
      <c r="F90" s="17">
        <f>SUMIFS('ORDENES'!$M$4:$M$1203,'ORDENES'!$Y$4:$Y$1203,$A90,'ORDENES'!$O$4:$O$1203,$B90,'ORDENES'!$T$4:$T$1203,"correctiva")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SUMIFS('ASIGNACIONES'!$I$4:$I$339,'ASIGNACIONES'!$E$4:$E$339,$A91,'ASIGNACIONES'!$A$4:$A$339,$B91)</f>
        <v/>
      </c>
      <c r="D91" s="17">
        <f>C91*p_factor_productividad</f>
        <v/>
      </c>
      <c r="E91" s="17">
        <f>SUMIFS('ORDENES'!$M$4:$M$1203,'ORDENES'!$Y$4:$Y$1203,$A91,'ORDENES'!$O$4:$O$1203,$B91,'ORDENES'!$T$4:$T$1203,"preventiva")</f>
        <v/>
      </c>
      <c r="F91" s="17">
        <f>SUMIFS('ORDENES'!$M$4:$M$1203,'ORDENES'!$Y$4:$Y$1203,$A91,'ORDENES'!$O$4:$O$1203,$B91,'ORDENES'!$T$4:$T$1203,"correctiva")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SUMIFS('ASIGNACIONES'!$I$4:$I$339,'ASIGNACIONES'!$E$4:$E$339,$A92,'ASIGNACIONES'!$A$4:$A$339,$B92)</f>
        <v/>
      </c>
      <c r="D92" s="17">
        <f>C92*p_factor_productividad</f>
        <v/>
      </c>
      <c r="E92" s="17">
        <f>SUMIFS('ORDENES'!$M$4:$M$1203,'ORDENES'!$Y$4:$Y$1203,$A92,'ORDENES'!$O$4:$O$1203,$B92,'ORDENES'!$T$4:$T$1203,"preventiva")</f>
        <v/>
      </c>
      <c r="F92" s="17">
        <f>SUMIFS('ORDENES'!$M$4:$M$1203,'ORDENES'!$Y$4:$Y$1203,$A92,'ORDENES'!$O$4:$O$1203,$B92,'ORDENES'!$T$4:$T$1203,"correctiva")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SUMIFS('ASIGNACIONES'!$I$4:$I$339,'ASIGNACIONES'!$E$4:$E$339,$A93,'ASIGNACIONES'!$A$4:$A$339,$B93)</f>
        <v/>
      </c>
      <c r="D93" s="17">
        <f>C93*p_factor_productividad</f>
        <v/>
      </c>
      <c r="E93" s="17">
        <f>SUMIFS('ORDENES'!$M$4:$M$1203,'ORDENES'!$Y$4:$Y$1203,$A93,'ORDENES'!$O$4:$O$1203,$B93,'ORDENES'!$T$4:$T$1203,"preventiva")</f>
        <v/>
      </c>
      <c r="F93" s="17">
        <f>SUMIFS('ORDENES'!$M$4:$M$1203,'ORDENES'!$Y$4:$Y$1203,$A93,'ORDENES'!$O$4:$O$1203,$B93,'ORDENES'!$T$4:$T$1203,"correctiva")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SUMIFS('ASIGNACIONES'!$I$4:$I$339,'ASIGNACIONES'!$E$4:$E$339,$A94,'ASIGNACIONES'!$A$4:$A$339,$B94)</f>
        <v/>
      </c>
      <c r="D94" s="17">
        <f>C94*p_factor_productividad</f>
        <v/>
      </c>
      <c r="E94" s="17">
        <f>SUMIFS('ORDENES'!$M$4:$M$1203,'ORDENES'!$Y$4:$Y$1203,$A94,'ORDENES'!$O$4:$O$1203,$B94,'ORDENES'!$T$4:$T$1203,"preventiva")</f>
        <v/>
      </c>
      <c r="F94" s="17">
        <f>SUMIFS('ORDENES'!$M$4:$M$1203,'ORDENES'!$Y$4:$Y$1203,$A94,'ORDENES'!$O$4:$O$1203,$B94,'ORDENES'!$T$4:$T$1203,"correctiva")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SUMIFS('ASIGNACIONES'!$I$4:$I$339,'ASIGNACIONES'!$E$4:$E$339,$A95,'ASIGNACIONES'!$A$4:$A$339,$B95)</f>
        <v/>
      </c>
      <c r="D95" s="17">
        <f>C95*p_factor_productividad</f>
        <v/>
      </c>
      <c r="E95" s="17">
        <f>SUMIFS('ORDENES'!$M$4:$M$1203,'ORDENES'!$Y$4:$Y$1203,$A95,'ORDENES'!$O$4:$O$1203,$B95,'ORDENES'!$T$4:$T$1203,"preventiva")</f>
        <v/>
      </c>
      <c r="F95" s="17">
        <f>SUMIFS('ORDENES'!$M$4:$M$1203,'ORDENES'!$Y$4:$Y$1203,$A95,'ORDENES'!$O$4:$O$1203,$B95,'ORDENES'!$T$4:$T$1203,"correctiva")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SUMIFS('ASIGNACIONES'!$I$4:$I$339,'ASIGNACIONES'!$E$4:$E$339,$A96,'ASIGNACIONES'!$A$4:$A$339,$B96)</f>
        <v/>
      </c>
      <c r="D96" s="17">
        <f>C96*p_factor_productividad</f>
        <v/>
      </c>
      <c r="E96" s="17">
        <f>SUMIFS('ORDENES'!$M$4:$M$1203,'ORDENES'!$Y$4:$Y$1203,$A96,'ORDENES'!$O$4:$O$1203,$B96,'ORDENES'!$T$4:$T$1203,"preventiva")</f>
        <v/>
      </c>
      <c r="F96" s="17">
        <f>SUMIFS('ORDENES'!$M$4:$M$1203,'ORDENES'!$Y$4:$Y$1203,$A96,'ORDENES'!$O$4:$O$1203,$B96,'ORDENES'!$T$4:$T$1203,"correctiva")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SUMIFS('ASIGNACIONES'!$I$4:$I$339,'ASIGNACIONES'!$E$4:$E$339,$A97,'ASIGNACIONES'!$A$4:$A$339,$B97)</f>
        <v/>
      </c>
      <c r="D97" s="17">
        <f>C97*p_factor_productividad</f>
        <v/>
      </c>
      <c r="E97" s="17">
        <f>SUMIFS('ORDENES'!$M$4:$M$1203,'ORDENES'!$Y$4:$Y$1203,$A97,'ORDENES'!$O$4:$O$1203,$B97,'ORDENES'!$T$4:$T$1203,"preventiva")</f>
        <v/>
      </c>
      <c r="F97" s="17">
        <f>SUMIFS('ORDENES'!$M$4:$M$1203,'ORDENES'!$Y$4:$Y$1203,$A97,'ORDENES'!$O$4:$O$1203,$B97,'ORDENES'!$T$4:$T$1203,"correctiva")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SUMIFS('ASIGNACIONES'!$I$4:$I$339,'ASIGNACIONES'!$E$4:$E$339,$A98,'ASIGNACIONES'!$A$4:$A$339,$B98)</f>
        <v/>
      </c>
      <c r="D98" s="17">
        <f>C98*p_factor_productividad</f>
        <v/>
      </c>
      <c r="E98" s="17">
        <f>SUMIFS('ORDENES'!$M$4:$M$1203,'ORDENES'!$Y$4:$Y$1203,$A98,'ORDENES'!$O$4:$O$1203,$B98,'ORDENES'!$T$4:$T$1203,"preventiva")</f>
        <v/>
      </c>
      <c r="F98" s="17">
        <f>SUMIFS('ORDENES'!$M$4:$M$1203,'ORDENES'!$Y$4:$Y$1203,$A98,'ORDENES'!$O$4:$O$1203,$B98,'ORDENES'!$T$4:$T$1203,"correctiva")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SUMIFS('ASIGNACIONES'!$I$4:$I$339,'ASIGNACIONES'!$E$4:$E$339,$A99,'ASIGNACIONES'!$A$4:$A$339,$B99)</f>
        <v/>
      </c>
      <c r="D99" s="17">
        <f>C99*p_factor_productividad</f>
        <v/>
      </c>
      <c r="E99" s="17">
        <f>SUMIFS('ORDENES'!$M$4:$M$1203,'ORDENES'!$Y$4:$Y$1203,$A99,'ORDENES'!$O$4:$O$1203,$B99,'ORDENES'!$T$4:$T$1203,"preventiva")</f>
        <v/>
      </c>
      <c r="F99" s="17">
        <f>SUMIFS('ORDENES'!$M$4:$M$1203,'ORDENES'!$Y$4:$Y$1203,$A99,'ORDENES'!$O$4:$O$1203,$B99,'ORDENES'!$T$4:$T$1203,"correctiva")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SUMIFS('ASIGNACIONES'!$I$4:$I$339,'ASIGNACIONES'!$E$4:$E$339,$A100,'ASIGNACIONES'!$A$4:$A$339,$B100)</f>
        <v/>
      </c>
      <c r="D100" s="17">
        <f>C100*p_factor_productividad</f>
        <v/>
      </c>
      <c r="E100" s="17">
        <f>SUMIFS('ORDENES'!$M$4:$M$1203,'ORDENES'!$Y$4:$Y$1203,$A100,'ORDENES'!$O$4:$O$1203,$B100,'ORDENES'!$T$4:$T$1203,"preventiva")</f>
        <v/>
      </c>
      <c r="F100" s="17">
        <f>SUMIFS('ORDENES'!$M$4:$M$1203,'ORDENES'!$Y$4:$Y$1203,$A100,'ORDENES'!$O$4:$O$1203,$B100,'ORDENES'!$T$4:$T$1203,"correctiva")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SUMIFS('ASIGNACIONES'!$I$4:$I$339,'ASIGNACIONES'!$E$4:$E$339,$A101,'ASIGNACIONES'!$A$4:$A$339,$B101)</f>
        <v/>
      </c>
      <c r="D101" s="17">
        <f>C101*p_factor_productividad</f>
        <v/>
      </c>
      <c r="E101" s="17">
        <f>SUMIFS('ORDENES'!$M$4:$M$1203,'ORDENES'!$Y$4:$Y$1203,$A101,'ORDENES'!$O$4:$O$1203,$B101,'ORDENES'!$T$4:$T$1203,"preventiva")</f>
        <v/>
      </c>
      <c r="F101" s="17">
        <f>SUMIFS('ORDENES'!$M$4:$M$1203,'ORDENES'!$Y$4:$Y$1203,$A101,'ORDENES'!$O$4:$O$1203,$B101,'ORDENES'!$T$4:$T$1203,"correctiva")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SUMIFS('ASIGNACIONES'!$I$4:$I$339,'ASIGNACIONES'!$E$4:$E$339,$A102,'ASIGNACIONES'!$A$4:$A$339,$B102)</f>
        <v/>
      </c>
      <c r="D102" s="17">
        <f>C102*p_factor_productividad</f>
        <v/>
      </c>
      <c r="E102" s="17">
        <f>SUMIFS('ORDENES'!$M$4:$M$1203,'ORDENES'!$Y$4:$Y$1203,$A102,'ORDENES'!$O$4:$O$1203,$B102,'ORDENES'!$T$4:$T$1203,"preventiva")</f>
        <v/>
      </c>
      <c r="F102" s="17">
        <f>SUMIFS('ORDENES'!$M$4:$M$1203,'ORDENES'!$Y$4:$Y$1203,$A102,'ORDENES'!$O$4:$O$1203,$B102,'ORDENES'!$T$4:$T$1203,"correctiva")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SUMIFS('ASIGNACIONES'!$I$4:$I$339,'ASIGNACIONES'!$E$4:$E$339,$A103,'ASIGNACIONES'!$A$4:$A$339,$B103)</f>
        <v/>
      </c>
      <c r="D103" s="17">
        <f>C103*p_factor_productividad</f>
        <v/>
      </c>
      <c r="E103" s="17">
        <f>SUMIFS('ORDENES'!$M$4:$M$1203,'ORDENES'!$Y$4:$Y$1203,$A103,'ORDENES'!$O$4:$O$1203,$B103,'ORDENES'!$T$4:$T$1203,"preventiva")</f>
        <v/>
      </c>
      <c r="F103" s="17">
        <f>SUMIFS('ORDENES'!$M$4:$M$1203,'ORDENES'!$Y$4:$Y$1203,$A103,'ORDENES'!$O$4:$O$1203,$B103,'ORDENES'!$T$4:$T$1203,"correctiva")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SUMIFS('ASIGNACIONES'!$I$4:$I$339,'ASIGNACIONES'!$E$4:$E$339,$A104,'ASIGNACIONES'!$A$4:$A$339,$B104)</f>
        <v/>
      </c>
      <c r="D104" s="17">
        <f>C104*p_factor_productividad</f>
        <v/>
      </c>
      <c r="E104" s="17">
        <f>SUMIFS('ORDENES'!$M$4:$M$1203,'ORDENES'!$Y$4:$Y$1203,$A104,'ORDENES'!$O$4:$O$1203,$B104,'ORDENES'!$T$4:$T$1203,"preventiva")</f>
        <v/>
      </c>
      <c r="F104" s="17">
        <f>SUMIFS('ORDENES'!$M$4:$M$1203,'ORDENES'!$Y$4:$Y$1203,$A104,'ORDENES'!$O$4:$O$1203,$B104,'ORDENES'!$T$4:$T$1203,"correctiva")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SUMIFS('ASIGNACIONES'!$I$4:$I$339,'ASIGNACIONES'!$E$4:$E$339,$A105,'ASIGNACIONES'!$A$4:$A$339,$B105)</f>
        <v/>
      </c>
      <c r="D105" s="17">
        <f>C105*p_factor_productividad</f>
        <v/>
      </c>
      <c r="E105" s="17">
        <f>SUMIFS('ORDENES'!$M$4:$M$1203,'ORDENES'!$Y$4:$Y$1203,$A105,'ORDENES'!$O$4:$O$1203,$B105,'ORDENES'!$T$4:$T$1203,"preventiva")</f>
        <v/>
      </c>
      <c r="F105" s="17">
        <f>SUMIFS('ORDENES'!$M$4:$M$1203,'ORDENES'!$Y$4:$Y$1203,$A105,'ORDENES'!$O$4:$O$1203,$B105,'ORDENES'!$T$4:$T$1203,"correctiva")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SUMIFS('ASIGNACIONES'!$I$4:$I$339,'ASIGNACIONES'!$E$4:$E$339,$A106,'ASIGNACIONES'!$A$4:$A$339,$B106)</f>
        <v/>
      </c>
      <c r="D106" s="17">
        <f>C106*p_factor_productividad</f>
        <v/>
      </c>
      <c r="E106" s="17">
        <f>SUMIFS('ORDENES'!$M$4:$M$1203,'ORDENES'!$Y$4:$Y$1203,$A106,'ORDENES'!$O$4:$O$1203,$B106,'ORDENES'!$T$4:$T$1203,"preventiva")</f>
        <v/>
      </c>
      <c r="F106" s="17">
        <f>SUMIFS('ORDENES'!$M$4:$M$1203,'ORDENES'!$Y$4:$Y$1203,$A106,'ORDENES'!$O$4:$O$1203,$B106,'ORDENES'!$T$4:$T$1203,"correctiva")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SUMIFS('ASIGNACIONES'!$I$4:$I$339,'ASIGNACIONES'!$E$4:$E$339,$A107,'ASIGNACIONES'!$A$4:$A$339,$B107)</f>
        <v/>
      </c>
      <c r="D107" s="17">
        <f>C107*p_factor_productividad</f>
        <v/>
      </c>
      <c r="E107" s="17">
        <f>SUMIFS('ORDENES'!$M$4:$M$1203,'ORDENES'!$Y$4:$Y$1203,$A107,'ORDENES'!$O$4:$O$1203,$B107,'ORDENES'!$T$4:$T$1203,"preventiva")</f>
        <v/>
      </c>
      <c r="F107" s="17">
        <f>SUMIFS('ORDENES'!$M$4:$M$1203,'ORDENES'!$Y$4:$Y$1203,$A107,'ORDENES'!$O$4:$O$1203,$B107,'ORDENES'!$T$4:$T$1203,"correctiva")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SUMIFS('ASIGNACIONES'!$I$4:$I$339,'ASIGNACIONES'!$E$4:$E$339,$A108,'ASIGNACIONES'!$A$4:$A$339,$B108)</f>
        <v/>
      </c>
      <c r="D108" s="17">
        <f>C108*p_factor_productividad</f>
        <v/>
      </c>
      <c r="E108" s="17">
        <f>SUMIFS('ORDENES'!$M$4:$M$1203,'ORDENES'!$Y$4:$Y$1203,$A108,'ORDENES'!$O$4:$O$1203,$B108,'ORDENES'!$T$4:$T$1203,"preventiva")</f>
        <v/>
      </c>
      <c r="F108" s="17">
        <f>SUMIFS('ORDENES'!$M$4:$M$1203,'ORDENES'!$Y$4:$Y$1203,$A108,'ORDENES'!$O$4:$O$1203,$B108,'ORDENES'!$T$4:$T$1203,"correctiva")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SUMIFS('ASIGNACIONES'!$I$4:$I$339,'ASIGNACIONES'!$E$4:$E$339,$A109,'ASIGNACIONES'!$A$4:$A$339,$B109)</f>
        <v/>
      </c>
      <c r="D109" s="17">
        <f>C109*p_factor_productividad</f>
        <v/>
      </c>
      <c r="E109" s="17">
        <f>SUMIFS('ORDENES'!$M$4:$M$1203,'ORDENES'!$Y$4:$Y$1203,$A109,'ORDENES'!$O$4:$O$1203,$B109,'ORDENES'!$T$4:$T$1203,"preventiva")</f>
        <v/>
      </c>
      <c r="F109" s="17">
        <f>SUMIFS('ORDENES'!$M$4:$M$1203,'ORDENES'!$Y$4:$Y$1203,$A109,'ORDENES'!$O$4:$O$1203,$B109,'ORDENES'!$T$4:$T$1203,"correctiva")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SUMIFS('ASIGNACIONES'!$I$4:$I$339,'ASIGNACIONES'!$E$4:$E$339,$A110,'ASIGNACIONES'!$A$4:$A$339,$B110)</f>
        <v/>
      </c>
      <c r="D110" s="17">
        <f>C110*p_factor_productividad</f>
        <v/>
      </c>
      <c r="E110" s="17">
        <f>SUMIFS('ORDENES'!$M$4:$M$1203,'ORDENES'!$Y$4:$Y$1203,$A110,'ORDENES'!$O$4:$O$1203,$B110,'ORDENES'!$T$4:$T$1203,"preventiva")</f>
        <v/>
      </c>
      <c r="F110" s="17">
        <f>SUMIFS('ORDENES'!$M$4:$M$1203,'ORDENES'!$Y$4:$Y$1203,$A110,'ORDENES'!$O$4:$O$1203,$B110,'ORDENES'!$T$4:$T$1203,"correctiva")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SUMIFS('ASIGNACIONES'!$I$4:$I$339,'ASIGNACIONES'!$E$4:$E$339,$A111,'ASIGNACIONES'!$A$4:$A$339,$B111)</f>
        <v/>
      </c>
      <c r="D111" s="17">
        <f>C111*p_factor_productividad</f>
        <v/>
      </c>
      <c r="E111" s="17">
        <f>SUMIFS('ORDENES'!$M$4:$M$1203,'ORDENES'!$Y$4:$Y$1203,$A111,'ORDENES'!$O$4:$O$1203,$B111,'ORDENES'!$T$4:$T$1203,"preventiva")</f>
        <v/>
      </c>
      <c r="F111" s="17">
        <f>SUMIFS('ORDENES'!$M$4:$M$1203,'ORDENES'!$Y$4:$Y$1203,$A111,'ORDENES'!$O$4:$O$1203,$B111,'ORDENES'!$T$4:$T$1203,"correctiva")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SUMIFS('ASIGNACIONES'!$I$4:$I$339,'ASIGNACIONES'!$E$4:$E$339,$A112,'ASIGNACIONES'!$A$4:$A$339,$B112)</f>
        <v/>
      </c>
      <c r="D112" s="17">
        <f>C112*p_factor_productividad</f>
        <v/>
      </c>
      <c r="E112" s="17">
        <f>SUMIFS('ORDENES'!$M$4:$M$1203,'ORDENES'!$Y$4:$Y$1203,$A112,'ORDENES'!$O$4:$O$1203,$B112,'ORDENES'!$T$4:$T$1203,"preventiva")</f>
        <v/>
      </c>
      <c r="F112" s="17">
        <f>SUMIFS('ORDENES'!$M$4:$M$1203,'ORDENES'!$Y$4:$Y$1203,$A112,'ORDENES'!$O$4:$O$1203,$B112,'ORDENES'!$T$4:$T$1203,"correctiva")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SUMIFS('ASIGNACIONES'!$I$4:$I$339,'ASIGNACIONES'!$E$4:$E$339,$A113,'ASIGNACIONES'!$A$4:$A$339,$B113)</f>
        <v/>
      </c>
      <c r="D113" s="17">
        <f>C113*p_factor_productividad</f>
        <v/>
      </c>
      <c r="E113" s="17">
        <f>SUMIFS('ORDENES'!$M$4:$M$1203,'ORDENES'!$Y$4:$Y$1203,$A113,'ORDENES'!$O$4:$O$1203,$B113,'ORDENES'!$T$4:$T$1203,"preventiva")</f>
        <v/>
      </c>
      <c r="F113" s="17">
        <f>SUMIFS('ORDENES'!$M$4:$M$1203,'ORDENES'!$Y$4:$Y$1203,$A113,'ORDENES'!$O$4:$O$1203,$B113,'ORDENES'!$T$4:$T$1203,"correctiva")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SUMIFS('ASIGNACIONES'!$I$4:$I$339,'ASIGNACIONES'!$E$4:$E$339,$A114,'ASIGNACIONES'!$A$4:$A$339,$B114)</f>
        <v/>
      </c>
      <c r="D114" s="17">
        <f>C114*p_factor_productividad</f>
        <v/>
      </c>
      <c r="E114" s="17">
        <f>SUMIFS('ORDENES'!$M$4:$M$1203,'ORDENES'!$Y$4:$Y$1203,$A114,'ORDENES'!$O$4:$O$1203,$B114,'ORDENES'!$T$4:$T$1203,"preventiva")</f>
        <v/>
      </c>
      <c r="F114" s="17">
        <f>SUMIFS('ORDENES'!$M$4:$M$1203,'ORDENES'!$Y$4:$Y$1203,$A114,'ORDENES'!$O$4:$O$1203,$B114,'ORDENES'!$T$4:$T$1203,"correctiva")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SUMIFS('ASIGNACIONES'!$I$4:$I$339,'ASIGNACIONES'!$E$4:$E$339,$A115,'ASIGNACIONES'!$A$4:$A$339,$B115)</f>
        <v/>
      </c>
      <c r="D115" s="17">
        <f>C115*p_factor_productividad</f>
        <v/>
      </c>
      <c r="E115" s="17">
        <f>SUMIFS('ORDENES'!$M$4:$M$1203,'ORDENES'!$Y$4:$Y$1203,$A115,'ORDENES'!$O$4:$O$1203,$B115,'ORDENES'!$T$4:$T$1203,"preventiva")</f>
        <v/>
      </c>
      <c r="F115" s="17">
        <f>SUMIFS('ORDENES'!$M$4:$M$1203,'ORDENES'!$Y$4:$Y$1203,$A115,'ORDENES'!$O$4:$O$1203,$B115,'ORDENES'!$T$4:$T$1203,"correctiva")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SUMIFS('ASIGNACIONES'!$I$4:$I$339,'ASIGNACIONES'!$E$4:$E$339,$A116,'ASIGNACIONES'!$A$4:$A$339,$B116)</f>
        <v/>
      </c>
      <c r="D116" s="17">
        <f>C116*p_factor_productividad</f>
        <v/>
      </c>
      <c r="E116" s="17">
        <f>SUMIFS('ORDENES'!$M$4:$M$1203,'ORDENES'!$Y$4:$Y$1203,$A116,'ORDENES'!$O$4:$O$1203,$B116,'ORDENES'!$T$4:$T$1203,"preventiva")</f>
        <v/>
      </c>
      <c r="F116" s="17">
        <f>SUMIFS('ORDENES'!$M$4:$M$1203,'ORDENES'!$Y$4:$Y$1203,$A116,'ORDENES'!$O$4:$O$1203,$B116,'ORDENES'!$T$4:$T$1203,"correctiva")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SUMIFS('ASIGNACIONES'!$I$4:$I$339,'ASIGNACIONES'!$E$4:$E$339,$A117,'ASIGNACIONES'!$A$4:$A$339,$B117)</f>
        <v/>
      </c>
      <c r="D117" s="17">
        <f>C117*p_factor_productividad</f>
        <v/>
      </c>
      <c r="E117" s="17">
        <f>SUMIFS('ORDENES'!$M$4:$M$1203,'ORDENES'!$Y$4:$Y$1203,$A117,'ORDENES'!$O$4:$O$1203,$B117,'ORDENES'!$T$4:$T$1203,"preventiva")</f>
        <v/>
      </c>
      <c r="F117" s="17">
        <f>SUMIFS('ORDENES'!$M$4:$M$1203,'ORDENES'!$Y$4:$Y$1203,$A117,'ORDENES'!$O$4:$O$1203,$B117,'ORDENES'!$T$4:$T$1203,"correctiva")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SUMIFS('ASIGNACIONES'!$I$4:$I$339,'ASIGNACIONES'!$E$4:$E$339,$A118,'ASIGNACIONES'!$A$4:$A$339,$B118)</f>
        <v/>
      </c>
      <c r="D118" s="17">
        <f>C118*p_factor_productividad</f>
        <v/>
      </c>
      <c r="E118" s="17">
        <f>SUMIFS('ORDENES'!$M$4:$M$1203,'ORDENES'!$Y$4:$Y$1203,$A118,'ORDENES'!$O$4:$O$1203,$B118,'ORDENES'!$T$4:$T$1203,"preventiva")</f>
        <v/>
      </c>
      <c r="F118" s="17">
        <f>SUMIFS('ORDENES'!$M$4:$M$1203,'ORDENES'!$Y$4:$Y$1203,$A118,'ORDENES'!$O$4:$O$1203,$B118,'ORDENES'!$T$4:$T$1203,"correctiva")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SUMIFS('ASIGNACIONES'!$I$4:$I$339,'ASIGNACIONES'!$E$4:$E$339,$A119,'ASIGNACIONES'!$A$4:$A$339,$B119)</f>
        <v/>
      </c>
      <c r="D119" s="17">
        <f>C119*p_factor_productividad</f>
        <v/>
      </c>
      <c r="E119" s="17">
        <f>SUMIFS('ORDENES'!$M$4:$M$1203,'ORDENES'!$Y$4:$Y$1203,$A119,'ORDENES'!$O$4:$O$1203,$B119,'ORDENES'!$T$4:$T$1203,"preventiva")</f>
        <v/>
      </c>
      <c r="F119" s="17">
        <f>SUMIFS('ORDENES'!$M$4:$M$1203,'ORDENES'!$Y$4:$Y$1203,$A119,'ORDENES'!$O$4:$O$1203,$B119,'ORDENES'!$T$4:$T$1203,"correctiva")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SUMIFS('ASIGNACIONES'!$I$4:$I$339,'ASIGNACIONES'!$E$4:$E$339,$A120,'ASIGNACIONES'!$A$4:$A$339,$B120)</f>
        <v/>
      </c>
      <c r="D120" s="17">
        <f>C120*p_factor_productividad</f>
        <v/>
      </c>
      <c r="E120" s="17">
        <f>SUMIFS('ORDENES'!$M$4:$M$1203,'ORDENES'!$Y$4:$Y$1203,$A120,'ORDENES'!$O$4:$O$1203,$B120,'ORDENES'!$T$4:$T$1203,"preventiva")</f>
        <v/>
      </c>
      <c r="F120" s="17">
        <f>SUMIFS('ORDENES'!$M$4:$M$1203,'ORDENES'!$Y$4:$Y$1203,$A120,'ORDENES'!$O$4:$O$1203,$B120,'ORDENES'!$T$4:$T$1203,"correctiva")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SUMIFS('ASIGNACIONES'!$I$4:$I$339,'ASIGNACIONES'!$E$4:$E$339,$A121,'ASIGNACIONES'!$A$4:$A$339,$B121)</f>
        <v/>
      </c>
      <c r="D121" s="17">
        <f>C121*p_factor_productividad</f>
        <v/>
      </c>
      <c r="E121" s="17">
        <f>SUMIFS('ORDENES'!$M$4:$M$1203,'ORDENES'!$Y$4:$Y$1203,$A121,'ORDENES'!$O$4:$O$1203,$B121,'ORDENES'!$T$4:$T$1203,"preventiva")</f>
        <v/>
      </c>
      <c r="F121" s="17">
        <f>SUMIFS('ORDENES'!$M$4:$M$1203,'ORDENES'!$Y$4:$Y$1203,$A121,'ORDENES'!$O$4:$O$1203,$B121,'ORDENES'!$T$4:$T$1203,"correctiva")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SUMIFS('ASIGNACIONES'!$I$4:$I$339,'ASIGNACIONES'!$E$4:$E$339,$A122,'ASIGNACIONES'!$A$4:$A$339,$B122)</f>
        <v/>
      </c>
      <c r="D122" s="17">
        <f>C122*p_factor_productividad</f>
        <v/>
      </c>
      <c r="E122" s="17">
        <f>SUMIFS('ORDENES'!$M$4:$M$1203,'ORDENES'!$Y$4:$Y$1203,$A122,'ORDENES'!$O$4:$O$1203,$B122,'ORDENES'!$T$4:$T$1203,"preventiva")</f>
        <v/>
      </c>
      <c r="F122" s="17">
        <f>SUMIFS('ORDENES'!$M$4:$M$1203,'ORDENES'!$Y$4:$Y$1203,$A122,'ORDENES'!$O$4:$O$1203,$B122,'ORDENES'!$T$4:$T$1203,"correctiva")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SUMIFS('ASIGNACIONES'!$I$4:$I$339,'ASIGNACIONES'!$E$4:$E$339,$A123,'ASIGNACIONES'!$A$4:$A$339,$B123)</f>
        <v/>
      </c>
      <c r="D123" s="17">
        <f>C123*p_factor_productividad</f>
        <v/>
      </c>
      <c r="E123" s="17">
        <f>SUMIFS('ORDENES'!$M$4:$M$1203,'ORDENES'!$Y$4:$Y$1203,$A123,'ORDENES'!$O$4:$O$1203,$B123,'ORDENES'!$T$4:$T$1203,"preventiva")</f>
        <v/>
      </c>
      <c r="F123" s="17">
        <f>SUMIFS('ORDENES'!$M$4:$M$1203,'ORDENES'!$Y$4:$Y$1203,$A123,'ORDENES'!$O$4:$O$1203,$B123,'ORDENES'!$T$4:$T$1203,"correctiva")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SUMIFS('ASIGNACIONES'!$I$4:$I$339,'ASIGNACIONES'!$E$4:$E$339,$A124,'ASIGNACIONES'!$A$4:$A$339,$B124)</f>
        <v/>
      </c>
      <c r="D124" s="17">
        <f>C124*p_factor_productividad</f>
        <v/>
      </c>
      <c r="E124" s="17">
        <f>SUMIFS('ORDENES'!$M$4:$M$1203,'ORDENES'!$Y$4:$Y$1203,$A124,'ORDENES'!$O$4:$O$1203,$B124,'ORDENES'!$T$4:$T$1203,"preventiva")</f>
        <v/>
      </c>
      <c r="F124" s="17">
        <f>SUMIFS('ORDENES'!$M$4:$M$1203,'ORDENES'!$Y$4:$Y$1203,$A124,'ORDENES'!$O$4:$O$1203,$B124,'ORDENES'!$T$4:$T$1203,"correctiva")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SUMIFS('ASIGNACIONES'!$I$4:$I$339,'ASIGNACIONES'!$E$4:$E$339,$A125,'ASIGNACIONES'!$A$4:$A$339,$B125)</f>
        <v/>
      </c>
      <c r="D125" s="17">
        <f>C125*p_factor_productividad</f>
        <v/>
      </c>
      <c r="E125" s="17">
        <f>SUMIFS('ORDENES'!$M$4:$M$1203,'ORDENES'!$Y$4:$Y$1203,$A125,'ORDENES'!$O$4:$O$1203,$B125,'ORDENES'!$T$4:$T$1203,"preventiva")</f>
        <v/>
      </c>
      <c r="F125" s="17">
        <f>SUMIFS('ORDENES'!$M$4:$M$1203,'ORDENES'!$Y$4:$Y$1203,$A125,'ORDENES'!$O$4:$O$1203,$B125,'ORDENES'!$T$4:$T$1203,"correctiva")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SUMIFS('ASIGNACIONES'!$I$4:$I$339,'ASIGNACIONES'!$E$4:$E$339,$A126,'ASIGNACIONES'!$A$4:$A$339,$B126)</f>
        <v/>
      </c>
      <c r="D126" s="17">
        <f>C126*p_factor_productividad</f>
        <v/>
      </c>
      <c r="E126" s="17">
        <f>SUMIFS('ORDENES'!$M$4:$M$1203,'ORDENES'!$Y$4:$Y$1203,$A126,'ORDENES'!$O$4:$O$1203,$B126,'ORDENES'!$T$4:$T$1203,"preventiva")</f>
        <v/>
      </c>
      <c r="F126" s="17">
        <f>SUMIFS('ORDENES'!$M$4:$M$1203,'ORDENES'!$Y$4:$Y$1203,$A126,'ORDENES'!$O$4:$O$1203,$B126,'ORDENES'!$T$4:$T$1203,"correctiva")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SUMIFS('ASIGNACIONES'!$I$4:$I$339,'ASIGNACIONES'!$E$4:$E$339,$A127,'ASIGNACIONES'!$A$4:$A$339,$B127)</f>
        <v/>
      </c>
      <c r="D127" s="17">
        <f>C127*p_factor_productividad</f>
        <v/>
      </c>
      <c r="E127" s="17">
        <f>SUMIFS('ORDENES'!$M$4:$M$1203,'ORDENES'!$Y$4:$Y$1203,$A127,'ORDENES'!$O$4:$O$1203,$B127,'ORDENES'!$T$4:$T$1203,"preventiva")</f>
        <v/>
      </c>
      <c r="F127" s="17">
        <f>SUMIFS('ORDENES'!$M$4:$M$1203,'ORDENES'!$Y$4:$Y$1203,$A127,'ORDENES'!$O$4:$O$1203,$B127,'ORDENES'!$T$4:$T$1203,"correctiva")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SUMIFS('ASIGNACIONES'!$I$4:$I$339,'ASIGNACIONES'!$E$4:$E$339,$A128,'ASIGNACIONES'!$A$4:$A$339,$B128)</f>
        <v/>
      </c>
      <c r="D128" s="17">
        <f>C128*p_factor_productividad</f>
        <v/>
      </c>
      <c r="E128" s="17">
        <f>SUMIFS('ORDENES'!$M$4:$M$1203,'ORDENES'!$Y$4:$Y$1203,$A128,'ORDENES'!$O$4:$O$1203,$B128,'ORDENES'!$T$4:$T$1203,"preventiva")</f>
        <v/>
      </c>
      <c r="F128" s="17">
        <f>SUMIFS('ORDENES'!$M$4:$M$1203,'ORDENES'!$Y$4:$Y$1203,$A128,'ORDENES'!$O$4:$O$1203,$B128,'ORDENES'!$T$4:$T$1203,"correctiva")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SUMIFS('ASIGNACIONES'!$I$4:$I$339,'ASIGNACIONES'!$E$4:$E$339,$A129,'ASIGNACIONES'!$A$4:$A$339,$B129)</f>
        <v/>
      </c>
      <c r="D129" s="17">
        <f>C129*p_factor_productividad</f>
        <v/>
      </c>
      <c r="E129" s="17">
        <f>SUMIFS('ORDENES'!$M$4:$M$1203,'ORDENES'!$Y$4:$Y$1203,$A129,'ORDENES'!$O$4:$O$1203,$B129,'ORDENES'!$T$4:$T$1203,"preventiva")</f>
        <v/>
      </c>
      <c r="F129" s="17">
        <f>SUMIFS('ORDENES'!$M$4:$M$1203,'ORDENES'!$Y$4:$Y$1203,$A129,'ORDENES'!$O$4:$O$1203,$B129,'ORDENES'!$T$4:$T$1203,"correctiva")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SUMIFS('ASIGNACIONES'!$I$4:$I$339,'ASIGNACIONES'!$E$4:$E$339,$A130,'ASIGNACIONES'!$A$4:$A$339,$B130)</f>
        <v/>
      </c>
      <c r="D130" s="17">
        <f>C130*p_factor_productividad</f>
        <v/>
      </c>
      <c r="E130" s="17">
        <f>SUMIFS('ORDENES'!$M$4:$M$1203,'ORDENES'!$Y$4:$Y$1203,$A130,'ORDENES'!$O$4:$O$1203,$B130,'ORDENES'!$T$4:$T$1203,"preventiva")</f>
        <v/>
      </c>
      <c r="F130" s="17">
        <f>SUMIFS('ORDENES'!$M$4:$M$1203,'ORDENES'!$Y$4:$Y$1203,$A130,'ORDENES'!$O$4:$O$1203,$B130,'ORDENES'!$T$4:$T$1203,"correctiva")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SUMIFS('ASIGNACIONES'!$I$4:$I$339,'ASIGNACIONES'!$E$4:$E$339,$A131,'ASIGNACIONES'!$A$4:$A$339,$B131)</f>
        <v/>
      </c>
      <c r="D131" s="17">
        <f>C131*p_factor_productividad</f>
        <v/>
      </c>
      <c r="E131" s="17">
        <f>SUMIFS('ORDENES'!$M$4:$M$1203,'ORDENES'!$Y$4:$Y$1203,$A131,'ORDENES'!$O$4:$O$1203,$B131,'ORDENES'!$T$4:$T$1203,"preventiva")</f>
        <v/>
      </c>
      <c r="F131" s="17">
        <f>SUMIFS('ORDENES'!$M$4:$M$1203,'ORDENES'!$Y$4:$Y$1203,$A131,'ORDENES'!$O$4:$O$1203,$B131,'ORDENES'!$T$4:$T$1203,"correctiva")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SUMIFS('ASIGNACIONES'!$I$4:$I$339,'ASIGNACIONES'!$E$4:$E$339,$A132,'ASIGNACIONES'!$A$4:$A$339,$B132)</f>
        <v/>
      </c>
      <c r="D132" s="17">
        <f>C132*p_factor_productividad</f>
        <v/>
      </c>
      <c r="E132" s="17">
        <f>SUMIFS('ORDENES'!$M$4:$M$1203,'ORDENES'!$Y$4:$Y$1203,$A132,'ORDENES'!$O$4:$O$1203,$B132,'ORDENES'!$T$4:$T$1203,"preventiva")</f>
        <v/>
      </c>
      <c r="F132" s="17">
        <f>SUMIFS('ORDENES'!$M$4:$M$1203,'ORDENES'!$Y$4:$Y$1203,$A132,'ORDENES'!$O$4:$O$1203,$B132,'ORDENES'!$T$4:$T$1203,"correctiva")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SUMIFS('ASIGNACIONES'!$I$4:$I$339,'ASIGNACIONES'!$E$4:$E$339,$A133,'ASIGNACIONES'!$A$4:$A$339,$B133)</f>
        <v/>
      </c>
      <c r="D133" s="17">
        <f>C133*p_factor_productividad</f>
        <v/>
      </c>
      <c r="E133" s="17">
        <f>SUMIFS('ORDENES'!$M$4:$M$1203,'ORDENES'!$Y$4:$Y$1203,$A133,'ORDENES'!$O$4:$O$1203,$B133,'ORDENES'!$T$4:$T$1203,"preventiva")</f>
        <v/>
      </c>
      <c r="F133" s="17">
        <f>SUMIFS('ORDENES'!$M$4:$M$1203,'ORDENES'!$Y$4:$Y$1203,$A133,'ORDENES'!$O$4:$O$1203,$B133,'ORDENES'!$T$4:$T$1203,"correctiva")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SUMIFS('ASIGNACIONES'!$I$4:$I$339,'ASIGNACIONES'!$E$4:$E$339,$A134,'ASIGNACIONES'!$A$4:$A$339,$B134)</f>
        <v/>
      </c>
      <c r="D134" s="17">
        <f>C134*p_factor_productividad</f>
        <v/>
      </c>
      <c r="E134" s="17">
        <f>SUMIFS('ORDENES'!$M$4:$M$1203,'ORDENES'!$Y$4:$Y$1203,$A134,'ORDENES'!$O$4:$O$1203,$B134,'ORDENES'!$T$4:$T$1203,"preventiva")</f>
        <v/>
      </c>
      <c r="F134" s="17">
        <f>SUMIFS('ORDENES'!$M$4:$M$1203,'ORDENES'!$Y$4:$Y$1203,$A134,'ORDENES'!$O$4:$O$1203,$B134,'ORDENES'!$T$4:$T$1203,"correctiva")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SUMIFS('ASIGNACIONES'!$I$4:$I$339,'ASIGNACIONES'!$E$4:$E$339,$A135,'ASIGNACIONES'!$A$4:$A$339,$B135)</f>
        <v/>
      </c>
      <c r="D135" s="17">
        <f>C135*p_factor_productividad</f>
        <v/>
      </c>
      <c r="E135" s="17">
        <f>SUMIFS('ORDENES'!$M$4:$M$1203,'ORDENES'!$Y$4:$Y$1203,$A135,'ORDENES'!$O$4:$O$1203,$B135,'ORDENES'!$T$4:$T$1203,"preventiva")</f>
        <v/>
      </c>
      <c r="F135" s="17">
        <f>SUMIFS('ORDENES'!$M$4:$M$1203,'ORDENES'!$Y$4:$Y$1203,$A135,'ORDENES'!$O$4:$O$1203,$B135,'ORDENES'!$T$4:$T$1203,"correctiva")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SUMIFS('ASIGNACIONES'!$I$4:$I$339,'ASIGNACIONES'!$E$4:$E$339,$A136,'ASIGNACIONES'!$A$4:$A$339,$B136)</f>
        <v/>
      </c>
      <c r="D136" s="17">
        <f>C136*p_factor_productividad</f>
        <v/>
      </c>
      <c r="E136" s="17">
        <f>SUMIFS('ORDENES'!$M$4:$M$1203,'ORDENES'!$Y$4:$Y$1203,$A136,'ORDENES'!$O$4:$O$1203,$B136,'ORDENES'!$T$4:$T$1203,"preventiva")</f>
        <v/>
      </c>
      <c r="F136" s="17">
        <f>SUMIFS('ORDENES'!$M$4:$M$1203,'ORDENES'!$Y$4:$Y$1203,$A136,'ORDENES'!$O$4:$O$1203,$B136,'ORDENES'!$T$4:$T$1203,"correctiva")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SUMIFS('ASIGNACIONES'!$I$4:$I$339,'ASIGNACIONES'!$E$4:$E$339,$A137,'ASIGNACIONES'!$A$4:$A$339,$B137)</f>
        <v/>
      </c>
      <c r="D137" s="17">
        <f>C137*p_factor_productividad</f>
        <v/>
      </c>
      <c r="E137" s="17">
        <f>SUMIFS('ORDENES'!$M$4:$M$1203,'ORDENES'!$Y$4:$Y$1203,$A137,'ORDENES'!$O$4:$O$1203,$B137,'ORDENES'!$T$4:$T$1203,"preventiva")</f>
        <v/>
      </c>
      <c r="F137" s="17">
        <f>SUMIFS('ORDENES'!$M$4:$M$1203,'ORDENES'!$Y$4:$Y$1203,$A137,'ORDENES'!$O$4:$O$1203,$B137,'ORDENES'!$T$4:$T$1203,"correctiva")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SUMIFS('ASIGNACIONES'!$I$4:$I$339,'ASIGNACIONES'!$E$4:$E$339,$A138,'ASIGNACIONES'!$A$4:$A$339,$B138)</f>
        <v/>
      </c>
      <c r="D138" s="17">
        <f>C138*p_factor_productividad</f>
        <v/>
      </c>
      <c r="E138" s="17">
        <f>SUMIFS('ORDENES'!$M$4:$M$1203,'ORDENES'!$Y$4:$Y$1203,$A138,'ORDENES'!$O$4:$O$1203,$B138,'ORDENES'!$T$4:$T$1203,"preventiva")</f>
        <v/>
      </c>
      <c r="F138" s="17">
        <f>SUMIFS('ORDENES'!$M$4:$M$1203,'ORDENES'!$Y$4:$Y$1203,$A138,'ORDENES'!$O$4:$O$1203,$B138,'ORDENES'!$T$4:$T$1203,"correctiva")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 hidden="1">
      <c r="A139" s="3" t="inlineStr">
        <is>
          <t>MEC</t>
        </is>
      </c>
      <c r="B139" s="3">
        <f>$O$31</f>
        <v/>
      </c>
      <c r="C139" s="17">
        <f>SUMIFS('ASIGNACIONES'!$I$4:$I$339,'ASIGNACIONES'!$E$4:$E$339,$A139,'ASIGNACIONES'!$A$4:$A$339,$B139)</f>
        <v/>
      </c>
      <c r="D139" s="17">
        <f>C139*p_factor_productividad</f>
        <v/>
      </c>
      <c r="E139" s="17">
        <f>SUMIFS('ORDENES'!$M$4:$M$1203,'ORDENES'!$Y$4:$Y$1203,$A139,'ORDENES'!$O$4:$O$1203,$B139,'ORDENES'!$T$4:$T$1203,"preventiva")</f>
        <v/>
      </c>
      <c r="F139" s="17">
        <f>SUMIFS('ORDENES'!$M$4:$M$1203,'ORDENES'!$Y$4:$Y$1203,$A139,'ORDENES'!$O$4:$O$1203,$B139,'ORDENES'!$T$4:$T$1203,"correctiva")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 hidden="1">
      <c r="A140" s="3" t="inlineStr">
        <is>
          <t>ELE</t>
        </is>
      </c>
      <c r="B140" s="3">
        <f>$O$31</f>
        <v/>
      </c>
      <c r="C140" s="17">
        <f>SUMIFS('ASIGNACIONES'!$I$4:$I$339,'ASIGNACIONES'!$E$4:$E$339,$A140,'ASIGNACIONES'!$A$4:$A$339,$B140)</f>
        <v/>
      </c>
      <c r="D140" s="17">
        <f>C140*p_factor_productividad</f>
        <v/>
      </c>
      <c r="E140" s="17">
        <f>SUMIFS('ORDENES'!$M$4:$M$1203,'ORDENES'!$Y$4:$Y$1203,$A140,'ORDENES'!$O$4:$O$1203,$B140,'ORDENES'!$T$4:$T$1203,"preventiva")</f>
        <v/>
      </c>
      <c r="F140" s="17">
        <f>SUMIFS('ORDENES'!$M$4:$M$1203,'ORDENES'!$Y$4:$Y$1203,$A140,'ORDENES'!$O$4:$O$1203,$B140,'ORDENES'!$T$4:$T$1203,"correctiva")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 hidden="1">
      <c r="A141" s="3" t="inlineStr">
        <is>
          <t>AUT</t>
        </is>
      </c>
      <c r="B141" s="3">
        <f>$O$31</f>
        <v/>
      </c>
      <c r="C141" s="17">
        <f>SUMIFS('ASIGNACIONES'!$I$4:$I$339,'ASIGNACIONES'!$E$4:$E$339,$A141,'ASIGNACIONES'!$A$4:$A$339,$B141)</f>
        <v/>
      </c>
      <c r="D141" s="17">
        <f>C141*p_factor_productividad</f>
        <v/>
      </c>
      <c r="E141" s="17">
        <f>SUMIFS('ORDENES'!$M$4:$M$1203,'ORDENES'!$Y$4:$Y$1203,$A141,'ORDENES'!$O$4:$O$1203,$B141,'ORDENES'!$T$4:$T$1203,"preventiva")</f>
        <v/>
      </c>
      <c r="F141" s="17">
        <f>SUMIFS('ORDENES'!$M$4:$M$1203,'ORDENES'!$Y$4:$Y$1203,$A141,'ORDENES'!$O$4:$O$1203,$B141,'ORDENES'!$T$4:$T$1203,"correctiva")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 hidden="1">
      <c r="A142" s="3" t="inlineStr">
        <is>
          <t>OP</t>
        </is>
      </c>
      <c r="B142" s="3">
        <f>$O$31</f>
        <v/>
      </c>
      <c r="C142" s="17">
        <f>SUMIFS('ASIGNACIONES'!$I$4:$I$339,'ASIGNACIONES'!$E$4:$E$339,$A142,'ASIGNACIONES'!$A$4:$A$339,$B142)</f>
        <v/>
      </c>
      <c r="D142" s="17">
        <f>C142*p_factor_productividad</f>
        <v/>
      </c>
      <c r="E142" s="17">
        <f>SUMIFS('ORDENES'!$M$4:$M$1203,'ORDENES'!$Y$4:$Y$1203,$A142,'ORDENES'!$O$4:$O$1203,$B142,'ORDENES'!$T$4:$T$1203,"preventiva")</f>
        <v/>
      </c>
      <c r="F142" s="17">
        <f>SUMIFS('ORDENES'!$M$4:$M$1203,'ORDENES'!$Y$4:$Y$1203,$A142,'ORDENES'!$O$4:$O$1203,$B142,'ORDENES'!$T$4:$T$1203,"correctiva")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 hidden="1">
      <c r="A143" s="3" t="inlineStr">
        <is>
          <t>TERCERO</t>
        </is>
      </c>
      <c r="B143" s="3">
        <f>$O$31</f>
        <v/>
      </c>
      <c r="C143" s="17">
        <f>SUMIFS('ASIGNACIONES'!$I$4:$I$339,'ASIGNACIONES'!$E$4:$E$339,$A143,'ASIGNACIONES'!$A$4:$A$339,$B143)</f>
        <v/>
      </c>
      <c r="D143" s="17">
        <f>C143*p_factor_productividad</f>
        <v/>
      </c>
      <c r="E143" s="17">
        <f>SUMIFS('ORDENES'!$M$4:$M$1203,'ORDENES'!$Y$4:$Y$1203,$A143,'ORDENES'!$O$4:$O$1203,$B143,'ORDENES'!$T$4:$T$1203,"preventiva")</f>
        <v/>
      </c>
      <c r="F143" s="17">
        <f>SUMIFS('ORDENES'!$M$4:$M$1203,'ORDENES'!$Y$4:$Y$1203,$A143,'ORDENES'!$O$4:$O$1203,$B143,'ORDENES'!$T$4:$T$1203,"correctiva")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>
      <c r="A144" s="3" t="inlineStr">
        <is>
          <t>MEC</t>
        </is>
      </c>
      <c r="B144" s="3">
        <f>$O$32</f>
        <v/>
      </c>
      <c r="C144" s="17">
        <f>SUMIFS('ASIGNACIONES'!$I$4:$I$339,'ASIGNACIONES'!$E$4:$E$339,$A144,'ASIGNACIONES'!$A$4:$A$339,$B144)</f>
        <v/>
      </c>
      <c r="D144" s="17">
        <f>C144*p_factor_productividad</f>
        <v/>
      </c>
      <c r="E144" s="17">
        <f>SUMIFS('ORDENES'!$M$4:$M$1203,'ORDENES'!$Y$4:$Y$1203,$A144,'ORDENES'!$O$4:$O$1203,$B144,'ORDENES'!$T$4:$T$1203,"preventiva")</f>
        <v/>
      </c>
      <c r="F144" s="17">
        <f>SUMIFS('ORDENES'!$M$4:$M$1203,'ORDENES'!$Y$4:$Y$1203,$A144,'ORDENES'!$O$4:$O$1203,$B144,'ORDENES'!$T$4:$T$1203,"correctiva")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>
      <c r="A145" s="3" t="inlineStr">
        <is>
          <t>ELE</t>
        </is>
      </c>
      <c r="B145" s="3">
        <f>$O$32</f>
        <v/>
      </c>
      <c r="C145" s="17">
        <f>SUMIFS('ASIGNACIONES'!$I$4:$I$339,'ASIGNACIONES'!$E$4:$E$339,$A145,'ASIGNACIONES'!$A$4:$A$339,$B145)</f>
        <v/>
      </c>
      <c r="D145" s="17">
        <f>C145*p_factor_productividad</f>
        <v/>
      </c>
      <c r="E145" s="17">
        <f>SUMIFS('ORDENES'!$M$4:$M$1203,'ORDENES'!$Y$4:$Y$1203,$A145,'ORDENES'!$O$4:$O$1203,$B145,'ORDENES'!$T$4:$T$1203,"preventiva")</f>
        <v/>
      </c>
      <c r="F145" s="17">
        <f>SUMIFS('ORDENES'!$M$4:$M$1203,'ORDENES'!$Y$4:$Y$1203,$A145,'ORDENES'!$O$4:$O$1203,$B145,'ORDENES'!$T$4:$T$1203,"correctiva")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>
      <c r="A146" s="3" t="inlineStr">
        <is>
          <t>AUT</t>
        </is>
      </c>
      <c r="B146" s="3">
        <f>$O$32</f>
        <v/>
      </c>
      <c r="C146" s="17">
        <f>SUMIFS('ASIGNACIONES'!$I$4:$I$339,'ASIGNACIONES'!$E$4:$E$339,$A146,'ASIGNACIONES'!$A$4:$A$339,$B146)</f>
        <v/>
      </c>
      <c r="D146" s="17">
        <f>C146*p_factor_productividad</f>
        <v/>
      </c>
      <c r="E146" s="17">
        <f>SUMIFS('ORDENES'!$M$4:$M$1203,'ORDENES'!$Y$4:$Y$1203,$A146,'ORDENES'!$O$4:$O$1203,$B146,'ORDENES'!$T$4:$T$1203,"preventiva")</f>
        <v/>
      </c>
      <c r="F146" s="17">
        <f>SUMIFS('ORDENES'!$M$4:$M$1203,'ORDENES'!$Y$4:$Y$1203,$A146,'ORDENES'!$O$4:$O$1203,$B146,'ORDENES'!$T$4:$T$1203,"correctiva")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>
      <c r="A147" s="3" t="inlineStr">
        <is>
          <t>OP</t>
        </is>
      </c>
      <c r="B147" s="3">
        <f>$O$32</f>
        <v/>
      </c>
      <c r="C147" s="17">
        <f>SUMIFS('ASIGNACIONES'!$I$4:$I$339,'ASIGNACIONES'!$E$4:$E$339,$A147,'ASIGNACIONES'!$A$4:$A$339,$B147)</f>
        <v/>
      </c>
      <c r="D147" s="17">
        <f>C147*p_factor_productividad</f>
        <v/>
      </c>
      <c r="E147" s="17">
        <f>SUMIFS('ORDENES'!$M$4:$M$1203,'ORDENES'!$Y$4:$Y$1203,$A147,'ORDENES'!$O$4:$O$1203,$B147,'ORDENES'!$T$4:$T$1203,"preventiva")</f>
        <v/>
      </c>
      <c r="F147" s="17">
        <f>SUMIFS('ORDENES'!$M$4:$M$1203,'ORDENES'!$Y$4:$Y$1203,$A147,'ORDENES'!$O$4:$O$1203,$B147,'ORDENES'!$T$4:$T$1203,"correctiva")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>
      <c r="A148" s="3" t="inlineStr">
        <is>
          <t>TERCERO</t>
        </is>
      </c>
      <c r="B148" s="3">
        <f>$O$32</f>
        <v/>
      </c>
      <c r="C148" s="17">
        <f>SUMIFS('ASIGNACIONES'!$I$4:$I$339,'ASIGNACIONES'!$E$4:$E$339,$A148,'ASIGNACIONES'!$A$4:$A$339,$B148)</f>
        <v/>
      </c>
      <c r="D148" s="17">
        <f>C148*p_factor_productividad</f>
        <v/>
      </c>
      <c r="E148" s="17">
        <f>SUMIFS('ORDENES'!$M$4:$M$1203,'ORDENES'!$Y$4:$Y$1203,$A148,'ORDENES'!$O$4:$O$1203,$B148,'ORDENES'!$T$4:$T$1203,"preventiva")</f>
        <v/>
      </c>
      <c r="F148" s="17">
        <f>SUMIFS('ORDENES'!$M$4:$M$1203,'ORDENES'!$Y$4:$Y$1203,$A148,'ORDENES'!$O$4:$O$1203,$B148,'ORDENES'!$T$4:$T$1203,"correctiva")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SUMIFS('ASIGNACIONES'!$I$4:$I$339,'ASIGNACIONES'!$E$4:$E$339,$A149,'ASIGNACIONES'!$A$4:$A$339,$B149)</f>
        <v/>
      </c>
      <c r="D149" s="17">
        <f>C149*p_factor_productividad</f>
        <v/>
      </c>
      <c r="E149" s="17">
        <f>SUMIFS('ORDENES'!$M$4:$M$1203,'ORDENES'!$Y$4:$Y$1203,$A149,'ORDENES'!$O$4:$O$1203,$B149,'ORDENES'!$T$4:$T$1203,"preventiva")</f>
        <v/>
      </c>
      <c r="F149" s="17">
        <f>SUMIFS('ORDENES'!$M$4:$M$1203,'ORDENES'!$Y$4:$Y$1203,$A149,'ORDENES'!$O$4:$O$1203,$B149,'ORDENES'!$T$4:$T$1203,"correctiva")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SUMIFS('ASIGNACIONES'!$I$4:$I$339,'ASIGNACIONES'!$E$4:$E$339,$A150,'ASIGNACIONES'!$A$4:$A$339,$B150)</f>
        <v/>
      </c>
      <c r="D150" s="17">
        <f>C150*p_factor_productividad</f>
        <v/>
      </c>
      <c r="E150" s="17">
        <f>SUMIFS('ORDENES'!$M$4:$M$1203,'ORDENES'!$Y$4:$Y$1203,$A150,'ORDENES'!$O$4:$O$1203,$B150,'ORDENES'!$T$4:$T$1203,"preventiva")</f>
        <v/>
      </c>
      <c r="F150" s="17">
        <f>SUMIFS('ORDENES'!$M$4:$M$1203,'ORDENES'!$Y$4:$Y$1203,$A150,'ORDENES'!$O$4:$O$1203,$B150,'ORDENES'!$T$4:$T$1203,"correctiva")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SUMIFS('ASIGNACIONES'!$I$4:$I$339,'ASIGNACIONES'!$E$4:$E$339,$A151,'ASIGNACIONES'!$A$4:$A$339,$B151)</f>
        <v/>
      </c>
      <c r="D151" s="17">
        <f>C151*p_factor_productividad</f>
        <v/>
      </c>
      <c r="E151" s="17">
        <f>SUMIFS('ORDENES'!$M$4:$M$1203,'ORDENES'!$Y$4:$Y$1203,$A151,'ORDENES'!$O$4:$O$1203,$B151,'ORDENES'!$T$4:$T$1203,"preventiva")</f>
        <v/>
      </c>
      <c r="F151" s="17">
        <f>SUMIFS('ORDENES'!$M$4:$M$1203,'ORDENES'!$Y$4:$Y$1203,$A151,'ORDENES'!$O$4:$O$1203,$B151,'ORDENES'!$T$4:$T$1203,"correctiva")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SUMIFS('ASIGNACIONES'!$I$4:$I$339,'ASIGNACIONES'!$E$4:$E$339,$A152,'ASIGNACIONES'!$A$4:$A$339,$B152)</f>
        <v/>
      </c>
      <c r="D152" s="17">
        <f>C152*p_factor_productividad</f>
        <v/>
      </c>
      <c r="E152" s="17">
        <f>SUMIFS('ORDENES'!$M$4:$M$1203,'ORDENES'!$Y$4:$Y$1203,$A152,'ORDENES'!$O$4:$O$1203,$B152,'ORDENES'!$T$4:$T$1203,"preventiva")</f>
        <v/>
      </c>
      <c r="F152" s="17">
        <f>SUMIFS('ORDENES'!$M$4:$M$1203,'ORDENES'!$Y$4:$Y$1203,$A152,'ORDENES'!$O$4:$O$1203,$B152,'ORDENES'!$T$4:$T$1203,"correctiva")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SUMIFS('ASIGNACIONES'!$I$4:$I$339,'ASIGNACIONES'!$E$4:$E$339,$A153,'ASIGNACIONES'!$A$4:$A$339,$B153)</f>
        <v/>
      </c>
      <c r="D153" s="17">
        <f>C153*p_factor_productividad</f>
        <v/>
      </c>
      <c r="E153" s="17">
        <f>SUMIFS('ORDENES'!$M$4:$M$1203,'ORDENES'!$Y$4:$Y$1203,$A153,'ORDENES'!$O$4:$O$1203,$B153,'ORDENES'!$T$4:$T$1203,"preventiva")</f>
        <v/>
      </c>
      <c r="F153" s="17">
        <f>SUMIFS('ORDENES'!$M$4:$M$1203,'ORDENES'!$Y$4:$Y$1203,$A153,'ORDENES'!$O$4:$O$1203,$B153,'ORDENES'!$T$4:$T$1203,"correctiva")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SUMIFS('ASIGNACIONES'!$I$4:$I$339,'ASIGNACIONES'!$E$4:$E$339,$A154,'ASIGNACIONES'!$A$4:$A$339,$B154)</f>
        <v/>
      </c>
      <c r="D154" s="17">
        <f>C154*p_factor_productividad</f>
        <v/>
      </c>
      <c r="E154" s="17">
        <f>SUMIFS('ORDENES'!$M$4:$M$1203,'ORDENES'!$Y$4:$Y$1203,$A154,'ORDENES'!$O$4:$O$1203,$B154,'ORDENES'!$T$4:$T$1203,"preventiva")</f>
        <v/>
      </c>
      <c r="F154" s="17">
        <f>SUMIFS('ORDENES'!$M$4:$M$1203,'ORDENES'!$Y$4:$Y$1203,$A154,'ORDENES'!$O$4:$O$1203,$B154,'ORDENES'!$T$4:$T$1203,"correctiva")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SUMIFS('ASIGNACIONES'!$I$4:$I$339,'ASIGNACIONES'!$E$4:$E$339,$A155,'ASIGNACIONES'!$A$4:$A$339,$B155)</f>
        <v/>
      </c>
      <c r="D155" s="17">
        <f>C155*p_factor_productividad</f>
        <v/>
      </c>
      <c r="E155" s="17">
        <f>SUMIFS('ORDENES'!$M$4:$M$1203,'ORDENES'!$Y$4:$Y$1203,$A155,'ORDENES'!$O$4:$O$1203,$B155,'ORDENES'!$T$4:$T$1203,"preventiva")</f>
        <v/>
      </c>
      <c r="F155" s="17">
        <f>SUMIFS('ORDENES'!$M$4:$M$1203,'ORDENES'!$Y$4:$Y$1203,$A155,'ORDENES'!$O$4:$O$1203,$B155,'ORDENES'!$T$4:$T$1203,"correctiva")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SUMIFS('ASIGNACIONES'!$I$4:$I$339,'ASIGNACIONES'!$E$4:$E$339,$A156,'ASIGNACIONES'!$A$4:$A$339,$B156)</f>
        <v/>
      </c>
      <c r="D156" s="17">
        <f>C156*p_factor_productividad</f>
        <v/>
      </c>
      <c r="E156" s="17">
        <f>SUMIFS('ORDENES'!$M$4:$M$1203,'ORDENES'!$Y$4:$Y$1203,$A156,'ORDENES'!$O$4:$O$1203,$B156,'ORDENES'!$T$4:$T$1203,"preventiva")</f>
        <v/>
      </c>
      <c r="F156" s="17">
        <f>SUMIFS('ORDENES'!$M$4:$M$1203,'ORDENES'!$Y$4:$Y$1203,$A156,'ORDENES'!$O$4:$O$1203,$B156,'ORDENES'!$T$4:$T$1203,"correctiva")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SUMIFS('ASIGNACIONES'!$I$4:$I$339,'ASIGNACIONES'!$E$4:$E$339,$A157,'ASIGNACIONES'!$A$4:$A$339,$B157)</f>
        <v/>
      </c>
      <c r="D157" s="17">
        <f>C157*p_factor_productividad</f>
        <v/>
      </c>
      <c r="E157" s="17">
        <f>SUMIFS('ORDENES'!$M$4:$M$1203,'ORDENES'!$Y$4:$Y$1203,$A157,'ORDENES'!$O$4:$O$1203,$B157,'ORDENES'!$T$4:$T$1203,"preventiva")</f>
        <v/>
      </c>
      <c r="F157" s="17">
        <f>SUMIFS('ORDENES'!$M$4:$M$1203,'ORDENES'!$Y$4:$Y$1203,$A157,'ORDENES'!$O$4:$O$1203,$B157,'ORDENES'!$T$4:$T$1203,"correctiva")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SUMIFS('ASIGNACIONES'!$I$4:$I$339,'ASIGNACIONES'!$E$4:$E$339,$A158,'ASIGNACIONES'!$A$4:$A$339,$B158)</f>
        <v/>
      </c>
      <c r="D158" s="17">
        <f>C158*p_factor_productividad</f>
        <v/>
      </c>
      <c r="E158" s="17">
        <f>SUMIFS('ORDENES'!$M$4:$M$1203,'ORDENES'!$Y$4:$Y$1203,$A158,'ORDENES'!$O$4:$O$1203,$B158,'ORDENES'!$T$4:$T$1203,"preventiva")</f>
        <v/>
      </c>
      <c r="F158" s="17">
        <f>SUMIFS('ORDENES'!$M$4:$M$1203,'ORDENES'!$Y$4:$Y$1203,$A158,'ORDENES'!$O$4:$O$1203,$B158,'ORDENES'!$T$4:$T$1203,"correctiva")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SUMIFS('ASIGNACIONES'!$I$4:$I$339,'ASIGNACIONES'!$E$4:$E$339,$A159,'ASIGNACIONES'!$A$4:$A$339,$B159)</f>
        <v/>
      </c>
      <c r="D159" s="17">
        <f>C159*p_factor_productividad</f>
        <v/>
      </c>
      <c r="E159" s="17">
        <f>SUMIFS('ORDENES'!$M$4:$M$1203,'ORDENES'!$Y$4:$Y$1203,$A159,'ORDENES'!$O$4:$O$1203,$B159,'ORDENES'!$T$4:$T$1203,"preventiva")</f>
        <v/>
      </c>
      <c r="F159" s="17">
        <f>SUMIFS('ORDENES'!$M$4:$M$1203,'ORDENES'!$Y$4:$Y$1203,$A159,'ORDENES'!$O$4:$O$1203,$B159,'ORDENES'!$T$4:$T$1203,"correctiva")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SUMIFS('ASIGNACIONES'!$I$4:$I$339,'ASIGNACIONES'!$E$4:$E$339,$A160,'ASIGNACIONES'!$A$4:$A$339,$B160)</f>
        <v/>
      </c>
      <c r="D160" s="17">
        <f>C160*p_factor_productividad</f>
        <v/>
      </c>
      <c r="E160" s="17">
        <f>SUMIFS('ORDENES'!$M$4:$M$1203,'ORDENES'!$Y$4:$Y$1203,$A160,'ORDENES'!$O$4:$O$1203,$B160,'ORDENES'!$T$4:$T$1203,"preventiva")</f>
        <v/>
      </c>
      <c r="F160" s="17">
        <f>SUMIFS('ORDENES'!$M$4:$M$1203,'ORDENES'!$Y$4:$Y$1203,$A160,'ORDENES'!$O$4:$O$1203,$B160,'ORDENES'!$T$4:$T$1203,"correctiva")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SUMIFS('ASIGNACIONES'!$I$4:$I$339,'ASIGNACIONES'!$E$4:$E$339,$A161,'ASIGNACIONES'!$A$4:$A$339,$B161)</f>
        <v/>
      </c>
      <c r="D161" s="17">
        <f>C161*p_factor_productividad</f>
        <v/>
      </c>
      <c r="E161" s="17">
        <f>SUMIFS('ORDENES'!$M$4:$M$1203,'ORDENES'!$Y$4:$Y$1203,$A161,'ORDENES'!$O$4:$O$1203,$B161,'ORDENES'!$T$4:$T$1203,"preventiva")</f>
        <v/>
      </c>
      <c r="F161" s="17">
        <f>SUMIFS('ORDENES'!$M$4:$M$1203,'ORDENES'!$Y$4:$Y$1203,$A161,'ORDENES'!$O$4:$O$1203,$B161,'ORDENES'!$T$4:$T$1203,"correctiva")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SUMIFS('ASIGNACIONES'!$I$4:$I$339,'ASIGNACIONES'!$E$4:$E$339,$A162,'ASIGNACIONES'!$A$4:$A$339,$B162)</f>
        <v/>
      </c>
      <c r="D162" s="17">
        <f>C162*p_factor_productividad</f>
        <v/>
      </c>
      <c r="E162" s="17">
        <f>SUMIFS('ORDENES'!$M$4:$M$1203,'ORDENES'!$Y$4:$Y$1203,$A162,'ORDENES'!$O$4:$O$1203,$B162,'ORDENES'!$T$4:$T$1203,"preventiva")</f>
        <v/>
      </c>
      <c r="F162" s="17">
        <f>SUMIFS('ORDENES'!$M$4:$M$1203,'ORDENES'!$Y$4:$Y$1203,$A162,'ORDENES'!$O$4:$O$1203,$B162,'ORDENES'!$T$4:$T$1203,"correctiva")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SUMIFS('ASIGNACIONES'!$I$4:$I$339,'ASIGNACIONES'!$E$4:$E$339,$A163,'ASIGNACIONES'!$A$4:$A$339,$B163)</f>
        <v/>
      </c>
      <c r="D163" s="17">
        <f>C163*p_factor_productividad</f>
        <v/>
      </c>
      <c r="E163" s="17">
        <f>SUMIFS('ORDENES'!$M$4:$M$1203,'ORDENES'!$Y$4:$Y$1203,$A163,'ORDENES'!$O$4:$O$1203,$B163,'ORDENES'!$T$4:$T$1203,"preventiva")</f>
        <v/>
      </c>
      <c r="F163" s="17">
        <f>SUMIFS('ORDENES'!$M$4:$M$1203,'ORDENES'!$Y$4:$Y$1203,$A163,'ORDENES'!$O$4:$O$1203,$B163,'ORDENES'!$T$4:$T$1203,"correctiva")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SUMIFS('ASIGNACIONES'!$I$4:$I$339,'ASIGNACIONES'!$E$4:$E$339,$A164,'ASIGNACIONES'!$A$4:$A$339,$B164)</f>
        <v/>
      </c>
      <c r="D164" s="17">
        <f>C164*p_factor_productividad</f>
        <v/>
      </c>
      <c r="E164" s="17">
        <f>SUMIFS('ORDENES'!$M$4:$M$1203,'ORDENES'!$Y$4:$Y$1203,$A164,'ORDENES'!$O$4:$O$1203,$B164,'ORDENES'!$T$4:$T$1203,"preventiva")</f>
        <v/>
      </c>
      <c r="F164" s="17">
        <f>SUMIFS('ORDENES'!$M$4:$M$1203,'ORDENES'!$Y$4:$Y$1203,$A164,'ORDENES'!$O$4:$O$1203,$B164,'ORDENES'!$T$4:$T$1203,"correctiva")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SUMIFS('ASIGNACIONES'!$I$4:$I$339,'ASIGNACIONES'!$E$4:$E$339,$A165,'ASIGNACIONES'!$A$4:$A$339,$B165)</f>
        <v/>
      </c>
      <c r="D165" s="17">
        <f>C165*p_factor_productividad</f>
        <v/>
      </c>
      <c r="E165" s="17">
        <f>SUMIFS('ORDENES'!$M$4:$M$1203,'ORDENES'!$Y$4:$Y$1203,$A165,'ORDENES'!$O$4:$O$1203,$B165,'ORDENES'!$T$4:$T$1203,"preventiva")</f>
        <v/>
      </c>
      <c r="F165" s="17">
        <f>SUMIFS('ORDENES'!$M$4:$M$1203,'ORDENES'!$Y$4:$Y$1203,$A165,'ORDENES'!$O$4:$O$1203,$B165,'ORDENES'!$T$4:$T$1203,"correctiva")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SUMIFS('ASIGNACIONES'!$I$4:$I$339,'ASIGNACIONES'!$E$4:$E$339,$A166,'ASIGNACIONES'!$A$4:$A$339,$B166)</f>
        <v/>
      </c>
      <c r="D166" s="17">
        <f>C166*p_factor_productividad</f>
        <v/>
      </c>
      <c r="E166" s="17">
        <f>SUMIFS('ORDENES'!$M$4:$M$1203,'ORDENES'!$Y$4:$Y$1203,$A166,'ORDENES'!$O$4:$O$1203,$B166,'ORDENES'!$T$4:$T$1203,"preventiva")</f>
        <v/>
      </c>
      <c r="F166" s="17">
        <f>SUMIFS('ORDENES'!$M$4:$M$1203,'ORDENES'!$Y$4:$Y$1203,$A166,'ORDENES'!$O$4:$O$1203,$B166,'ORDENES'!$T$4:$T$1203,"correctiva")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SUMIFS('ASIGNACIONES'!$I$4:$I$339,'ASIGNACIONES'!$E$4:$E$339,$A167,'ASIGNACIONES'!$A$4:$A$339,$B167)</f>
        <v/>
      </c>
      <c r="D167" s="17">
        <f>C167*p_factor_productividad</f>
        <v/>
      </c>
      <c r="E167" s="17">
        <f>SUMIFS('ORDENES'!$M$4:$M$1203,'ORDENES'!$Y$4:$Y$1203,$A167,'ORDENES'!$O$4:$O$1203,$B167,'ORDENES'!$T$4:$T$1203,"preventiva")</f>
        <v/>
      </c>
      <c r="F167" s="17">
        <f>SUMIFS('ORDENES'!$M$4:$M$1203,'ORDENES'!$Y$4:$Y$1203,$A167,'ORDENES'!$O$4:$O$1203,$B167,'ORDENES'!$T$4:$T$1203,"correctiva")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SUMIFS('ASIGNACIONES'!$I$4:$I$339,'ASIGNACIONES'!$E$4:$E$339,$A168,'ASIGNACIONES'!$A$4:$A$339,$B168)</f>
        <v/>
      </c>
      <c r="D168" s="17">
        <f>C168*p_factor_productividad</f>
        <v/>
      </c>
      <c r="E168" s="17">
        <f>SUMIFS('ORDENES'!$M$4:$M$1203,'ORDENES'!$Y$4:$Y$1203,$A168,'ORDENES'!$O$4:$O$1203,$B168,'ORDENES'!$T$4:$T$1203,"preventiva")</f>
        <v/>
      </c>
      <c r="F168" s="17">
        <f>SUMIFS('ORDENES'!$M$4:$M$1203,'ORDENES'!$Y$4:$Y$1203,$A168,'ORDENES'!$O$4:$O$1203,$B168,'ORDENES'!$T$4:$T$1203,"correctiva")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SUMIFS('ASIGNACIONES'!$I$4:$I$339,'ASIGNACIONES'!$E$4:$E$339,$A169,'ASIGNACIONES'!$A$4:$A$339,$B169)</f>
        <v/>
      </c>
      <c r="D169" s="17">
        <f>C169*p_factor_productividad</f>
        <v/>
      </c>
      <c r="E169" s="17">
        <f>SUMIFS('ORDENES'!$M$4:$M$1203,'ORDENES'!$Y$4:$Y$1203,$A169,'ORDENES'!$O$4:$O$1203,$B169,'ORDENES'!$T$4:$T$1203,"preventiva")</f>
        <v/>
      </c>
      <c r="F169" s="17">
        <f>SUMIFS('ORDENES'!$M$4:$M$1203,'ORDENES'!$Y$4:$Y$1203,$A169,'ORDENES'!$O$4:$O$1203,$B169,'ORDENES'!$T$4:$T$1203,"correctiva")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SUMIFS('ASIGNACIONES'!$I$4:$I$339,'ASIGNACIONES'!$E$4:$E$339,$A170,'ASIGNACIONES'!$A$4:$A$339,$B170)</f>
        <v/>
      </c>
      <c r="D170" s="17">
        <f>C170*p_factor_productividad</f>
        <v/>
      </c>
      <c r="E170" s="17">
        <f>SUMIFS('ORDENES'!$M$4:$M$1203,'ORDENES'!$Y$4:$Y$1203,$A170,'ORDENES'!$O$4:$O$1203,$B170,'ORDENES'!$T$4:$T$1203,"preventiva")</f>
        <v/>
      </c>
      <c r="F170" s="17">
        <f>SUMIFS('ORDENES'!$M$4:$M$1203,'ORDENES'!$Y$4:$Y$1203,$A170,'ORDENES'!$O$4:$O$1203,$B170,'ORDENES'!$T$4:$T$1203,"correctiva")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SUMIFS('ASIGNACIONES'!$I$4:$I$339,'ASIGNACIONES'!$E$4:$E$339,$A171,'ASIGNACIONES'!$A$4:$A$339,$B171)</f>
        <v/>
      </c>
      <c r="D171" s="17">
        <f>C171*p_factor_productividad</f>
        <v/>
      </c>
      <c r="E171" s="17">
        <f>SUMIFS('ORDENES'!$M$4:$M$1203,'ORDENES'!$Y$4:$Y$1203,$A171,'ORDENES'!$O$4:$O$1203,$B171,'ORDENES'!$T$4:$T$1203,"preventiva")</f>
        <v/>
      </c>
      <c r="F171" s="17">
        <f>SUMIFS('ORDENES'!$M$4:$M$1203,'ORDENES'!$Y$4:$Y$1203,$A171,'ORDENES'!$O$4:$O$1203,$B171,'ORDENES'!$T$4:$T$1203,"correctiva")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SUMIFS('ASIGNACIONES'!$I$4:$I$339,'ASIGNACIONES'!$E$4:$E$339,$A172,'ASIGNACIONES'!$A$4:$A$339,$B172)</f>
        <v/>
      </c>
      <c r="D172" s="17">
        <f>C172*p_factor_productividad</f>
        <v/>
      </c>
      <c r="E172" s="17">
        <f>SUMIFS('ORDENES'!$M$4:$M$1203,'ORDENES'!$Y$4:$Y$1203,$A172,'ORDENES'!$O$4:$O$1203,$B172,'ORDENES'!$T$4:$T$1203,"preventiva")</f>
        <v/>
      </c>
      <c r="F172" s="17">
        <f>SUMIFS('ORDENES'!$M$4:$M$1203,'ORDENES'!$Y$4:$Y$1203,$A172,'ORDENES'!$O$4:$O$1203,$B172,'ORDENES'!$T$4:$T$1203,"correctiva")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SUMIFS('ASIGNACIONES'!$I$4:$I$339,'ASIGNACIONES'!$E$4:$E$339,$A173,'ASIGNACIONES'!$A$4:$A$339,$B173)</f>
        <v/>
      </c>
      <c r="D173" s="17">
        <f>C173*p_factor_productividad</f>
        <v/>
      </c>
      <c r="E173" s="17">
        <f>SUMIFS('ORDENES'!$M$4:$M$1203,'ORDENES'!$Y$4:$Y$1203,$A173,'ORDENES'!$O$4:$O$1203,$B173,'ORDENES'!$T$4:$T$1203,"preventiva")</f>
        <v/>
      </c>
      <c r="F173" s="17">
        <f>SUMIFS('ORDENES'!$M$4:$M$1203,'ORDENES'!$Y$4:$Y$1203,$A173,'ORDENES'!$O$4:$O$1203,$B173,'ORDENES'!$T$4:$T$1203,"correctiva")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SUMIFS('ASIGNACIONES'!$I$4:$I$339,'ASIGNACIONES'!$E$4:$E$339,$A174,'ASIGNACIONES'!$A$4:$A$339,$B174)</f>
        <v/>
      </c>
      <c r="D174" s="17">
        <f>C174*p_factor_productividad</f>
        <v/>
      </c>
      <c r="E174" s="17">
        <f>SUMIFS('ORDENES'!$M$4:$M$1203,'ORDENES'!$Y$4:$Y$1203,$A174,'ORDENES'!$O$4:$O$1203,$B174,'ORDENES'!$T$4:$T$1203,"preventiva")</f>
        <v/>
      </c>
      <c r="F174" s="17">
        <f>SUMIFS('ORDENES'!$M$4:$M$1203,'ORDENES'!$Y$4:$Y$1203,$A174,'ORDENES'!$O$4:$O$1203,$B174,'ORDENES'!$T$4:$T$1203,"correctiva")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SUMIFS('ASIGNACIONES'!$I$4:$I$339,'ASIGNACIONES'!$E$4:$E$339,$A175,'ASIGNACIONES'!$A$4:$A$339,$B175)</f>
        <v/>
      </c>
      <c r="D175" s="17">
        <f>C175*p_factor_productividad</f>
        <v/>
      </c>
      <c r="E175" s="17">
        <f>SUMIFS('ORDENES'!$M$4:$M$1203,'ORDENES'!$Y$4:$Y$1203,$A175,'ORDENES'!$O$4:$O$1203,$B175,'ORDENES'!$T$4:$T$1203,"preventiva")</f>
        <v/>
      </c>
      <c r="F175" s="17">
        <f>SUMIFS('ORDENES'!$M$4:$M$1203,'ORDENES'!$Y$4:$Y$1203,$A175,'ORDENES'!$O$4:$O$1203,$B175,'ORDENES'!$T$4:$T$1203,"correctiva")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SUMIFS('ASIGNACIONES'!$I$4:$I$339,'ASIGNACIONES'!$E$4:$E$339,$A176,'ASIGNACIONES'!$A$4:$A$339,$B176)</f>
        <v/>
      </c>
      <c r="D176" s="17">
        <f>C176*p_factor_productividad</f>
        <v/>
      </c>
      <c r="E176" s="17">
        <f>SUMIFS('ORDENES'!$M$4:$M$1203,'ORDENES'!$Y$4:$Y$1203,$A176,'ORDENES'!$O$4:$O$1203,$B176,'ORDENES'!$T$4:$T$1203,"preventiva")</f>
        <v/>
      </c>
      <c r="F176" s="17">
        <f>SUMIFS('ORDENES'!$M$4:$M$1203,'ORDENES'!$Y$4:$Y$1203,$A176,'ORDENES'!$O$4:$O$1203,$B176,'ORDENES'!$T$4:$T$1203,"correctiva")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SUMIFS('ASIGNACIONES'!$I$4:$I$339,'ASIGNACIONES'!$E$4:$E$339,$A177,'ASIGNACIONES'!$A$4:$A$339,$B177)</f>
        <v/>
      </c>
      <c r="D177" s="17">
        <f>C177*p_factor_productividad</f>
        <v/>
      </c>
      <c r="E177" s="17">
        <f>SUMIFS('ORDENES'!$M$4:$M$1203,'ORDENES'!$Y$4:$Y$1203,$A177,'ORDENES'!$O$4:$O$1203,$B177,'ORDENES'!$T$4:$T$1203,"preventiva")</f>
        <v/>
      </c>
      <c r="F177" s="17">
        <f>SUMIFS('ORDENES'!$M$4:$M$1203,'ORDENES'!$Y$4:$Y$1203,$A177,'ORDENES'!$O$4:$O$1203,$B177,'ORDENES'!$T$4:$T$1203,"correctiva")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SUMIFS('ASIGNACIONES'!$I$4:$I$339,'ASIGNACIONES'!$E$4:$E$339,$A178,'ASIGNACIONES'!$A$4:$A$339,$B178)</f>
        <v/>
      </c>
      <c r="D178" s="17">
        <f>C178*p_factor_productividad</f>
        <v/>
      </c>
      <c r="E178" s="17">
        <f>SUMIFS('ORDENES'!$M$4:$M$1203,'ORDENES'!$Y$4:$Y$1203,$A178,'ORDENES'!$O$4:$O$1203,$B178,'ORDENES'!$T$4:$T$1203,"preventiva")</f>
        <v/>
      </c>
      <c r="F178" s="17">
        <f>SUMIFS('ORDENES'!$M$4:$M$1203,'ORDENES'!$Y$4:$Y$1203,$A178,'ORDENES'!$O$4:$O$1203,$B178,'ORDENES'!$T$4:$T$1203,"correctiva")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SUMIFS('ASIGNACIONES'!$I$4:$I$339,'ASIGNACIONES'!$E$4:$E$339,$A179,'ASIGNACIONES'!$A$4:$A$339,$B179)</f>
        <v/>
      </c>
      <c r="D179" s="17">
        <f>C179*p_factor_productividad</f>
        <v/>
      </c>
      <c r="E179" s="17">
        <f>SUMIFS('ORDENES'!$M$4:$M$1203,'ORDENES'!$Y$4:$Y$1203,$A179,'ORDENES'!$O$4:$O$1203,$B179,'ORDENES'!$T$4:$T$1203,"preventiva")</f>
        <v/>
      </c>
      <c r="F179" s="17">
        <f>SUMIFS('ORDENES'!$M$4:$M$1203,'ORDENES'!$Y$4:$Y$1203,$A179,'ORDENES'!$O$4:$O$1203,$B179,'ORDENES'!$T$4:$T$1203,"correctiva")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SUMIFS('ASIGNACIONES'!$I$4:$I$339,'ASIGNACIONES'!$E$4:$E$339,$A180,'ASIGNACIONES'!$A$4:$A$339,$B180)</f>
        <v/>
      </c>
      <c r="D180" s="17">
        <f>C180*p_factor_productividad</f>
        <v/>
      </c>
      <c r="E180" s="17">
        <f>SUMIFS('ORDENES'!$M$4:$M$1203,'ORDENES'!$Y$4:$Y$1203,$A180,'ORDENES'!$O$4:$O$1203,$B180,'ORDENES'!$T$4:$T$1203,"preventiva")</f>
        <v/>
      </c>
      <c r="F180" s="17">
        <f>SUMIFS('ORDENES'!$M$4:$M$1203,'ORDENES'!$Y$4:$Y$1203,$A180,'ORDENES'!$O$4:$O$1203,$B180,'ORDENES'!$T$4:$T$1203,"correctiva")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SUMIFS('ASIGNACIONES'!$I$4:$I$339,'ASIGNACIONES'!$E$4:$E$339,$A181,'ASIGNACIONES'!$A$4:$A$339,$B181)</f>
        <v/>
      </c>
      <c r="D181" s="17">
        <f>C181*p_factor_productividad</f>
        <v/>
      </c>
      <c r="E181" s="17">
        <f>SUMIFS('ORDENES'!$M$4:$M$1203,'ORDENES'!$Y$4:$Y$1203,$A181,'ORDENES'!$O$4:$O$1203,$B181,'ORDENES'!$T$4:$T$1203,"preventiva")</f>
        <v/>
      </c>
      <c r="F181" s="17">
        <f>SUMIFS('ORDENES'!$M$4:$M$1203,'ORDENES'!$Y$4:$Y$1203,$A181,'ORDENES'!$O$4:$O$1203,$B181,'ORDENES'!$T$4:$T$1203,"correctiva")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SUMIFS('ASIGNACIONES'!$I$4:$I$339,'ASIGNACIONES'!$E$4:$E$339,$A182,'ASIGNACIONES'!$A$4:$A$339,$B182)</f>
        <v/>
      </c>
      <c r="D182" s="17">
        <f>C182*p_factor_productividad</f>
        <v/>
      </c>
      <c r="E182" s="17">
        <f>SUMIFS('ORDENES'!$M$4:$M$1203,'ORDENES'!$Y$4:$Y$1203,$A182,'ORDENES'!$O$4:$O$1203,$B182,'ORDENES'!$T$4:$T$1203,"preventiva")</f>
        <v/>
      </c>
      <c r="F182" s="17">
        <f>SUMIFS('ORDENES'!$M$4:$M$1203,'ORDENES'!$Y$4:$Y$1203,$A182,'ORDENES'!$O$4:$O$1203,$B182,'ORDENES'!$T$4:$T$1203,"correctiva")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SUMIFS('ASIGNACIONES'!$I$4:$I$339,'ASIGNACIONES'!$E$4:$E$339,$A183,'ASIGNACIONES'!$A$4:$A$339,$B183)</f>
        <v/>
      </c>
      <c r="D183" s="17">
        <f>C183*p_factor_productividad</f>
        <v/>
      </c>
      <c r="E183" s="17">
        <f>SUMIFS('ORDENES'!$M$4:$M$1203,'ORDENES'!$Y$4:$Y$1203,$A183,'ORDENES'!$O$4:$O$1203,$B183,'ORDENES'!$T$4:$T$1203,"preventiva")</f>
        <v/>
      </c>
      <c r="F183" s="17">
        <f>SUMIFS('ORDENES'!$M$4:$M$1203,'ORDENES'!$Y$4:$Y$1203,$A183,'ORDENES'!$O$4:$O$1203,$B183,'ORDENES'!$T$4:$T$1203,"correctiva")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SUMIFS('ASIGNACIONES'!$I$4:$I$339,'ASIGNACIONES'!$E$4:$E$339,$A184,'ASIGNACIONES'!$A$4:$A$339,$B184)</f>
        <v/>
      </c>
      <c r="D184" s="17">
        <f>C184*p_factor_productividad</f>
        <v/>
      </c>
      <c r="E184" s="17">
        <f>SUMIFS('ORDENES'!$M$4:$M$1203,'ORDENES'!$Y$4:$Y$1203,$A184,'ORDENES'!$O$4:$O$1203,$B184,'ORDENES'!$T$4:$T$1203,"preventiva")</f>
        <v/>
      </c>
      <c r="F184" s="17">
        <f>SUMIFS('ORDENES'!$M$4:$M$1203,'ORDENES'!$Y$4:$Y$1203,$A184,'ORDENES'!$O$4:$O$1203,$B184,'ORDENES'!$T$4:$T$1203,"correctiva")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SUMIFS('ASIGNACIONES'!$I$4:$I$339,'ASIGNACIONES'!$E$4:$E$339,$A185,'ASIGNACIONES'!$A$4:$A$339,$B185)</f>
        <v/>
      </c>
      <c r="D185" s="17">
        <f>C185*p_factor_productividad</f>
        <v/>
      </c>
      <c r="E185" s="17">
        <f>SUMIFS('ORDENES'!$M$4:$M$1203,'ORDENES'!$Y$4:$Y$1203,$A185,'ORDENES'!$O$4:$O$1203,$B185,'ORDENES'!$T$4:$T$1203,"preventiva")</f>
        <v/>
      </c>
      <c r="F185" s="17">
        <f>SUMIFS('ORDENES'!$M$4:$M$1203,'ORDENES'!$Y$4:$Y$1203,$A185,'ORDENES'!$O$4:$O$1203,$B185,'ORDENES'!$T$4:$T$1203,"correctiva")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SUMIFS('ASIGNACIONES'!$I$4:$I$339,'ASIGNACIONES'!$E$4:$E$339,$A186,'ASIGNACIONES'!$A$4:$A$339,$B186)</f>
        <v/>
      </c>
      <c r="D186" s="17">
        <f>C186*p_factor_productividad</f>
        <v/>
      </c>
      <c r="E186" s="17">
        <f>SUMIFS('ORDENES'!$M$4:$M$1203,'ORDENES'!$Y$4:$Y$1203,$A186,'ORDENES'!$O$4:$O$1203,$B186,'ORDENES'!$T$4:$T$1203,"preventiva")</f>
        <v/>
      </c>
      <c r="F186" s="17">
        <f>SUMIFS('ORDENES'!$M$4:$M$1203,'ORDENES'!$Y$4:$Y$1203,$A186,'ORDENES'!$O$4:$O$1203,$B186,'ORDENES'!$T$4:$T$1203,"correctiva")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SUMIFS('ASIGNACIONES'!$I$4:$I$339,'ASIGNACIONES'!$E$4:$E$339,$A187,'ASIGNACIONES'!$A$4:$A$339,$B187)</f>
        <v/>
      </c>
      <c r="D187" s="17">
        <f>C187*p_factor_productividad</f>
        <v/>
      </c>
      <c r="E187" s="17">
        <f>SUMIFS('ORDENES'!$M$4:$M$1203,'ORDENES'!$Y$4:$Y$1203,$A187,'ORDENES'!$O$4:$O$1203,$B187,'ORDENES'!$T$4:$T$1203,"preventiva")</f>
        <v/>
      </c>
      <c r="F187" s="17">
        <f>SUMIFS('ORDENES'!$M$4:$M$1203,'ORDENES'!$Y$4:$Y$1203,$A187,'ORDENES'!$O$4:$O$1203,$B187,'ORDENES'!$T$4:$T$1203,"correctiva")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SUMIFS('ASIGNACIONES'!$I$4:$I$339,'ASIGNACIONES'!$E$4:$E$339,$A188,'ASIGNACIONES'!$A$4:$A$339,$B188)</f>
        <v/>
      </c>
      <c r="D188" s="17">
        <f>C188*p_factor_productividad</f>
        <v/>
      </c>
      <c r="E188" s="17">
        <f>SUMIFS('ORDENES'!$M$4:$M$1203,'ORDENES'!$Y$4:$Y$1203,$A188,'ORDENES'!$O$4:$O$1203,$B188,'ORDENES'!$T$4:$T$1203,"preventiva")</f>
        <v/>
      </c>
      <c r="F188" s="17">
        <f>SUMIFS('ORDENES'!$M$4:$M$1203,'ORDENES'!$Y$4:$Y$1203,$A188,'ORDENES'!$O$4:$O$1203,$B188,'ORDENES'!$T$4:$T$1203,"correctiva")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SUMIFS('ASIGNACIONES'!$I$4:$I$339,'ASIGNACIONES'!$E$4:$E$339,$A189,'ASIGNACIONES'!$A$4:$A$339,$B189)</f>
        <v/>
      </c>
      <c r="D189" s="17">
        <f>C189*p_factor_productividad</f>
        <v/>
      </c>
      <c r="E189" s="17">
        <f>SUMIFS('ORDENES'!$M$4:$M$1203,'ORDENES'!$Y$4:$Y$1203,$A189,'ORDENES'!$O$4:$O$1203,$B189,'ORDENES'!$T$4:$T$1203,"preventiva")</f>
        <v/>
      </c>
      <c r="F189" s="17">
        <f>SUMIFS('ORDENES'!$M$4:$M$1203,'ORDENES'!$Y$4:$Y$1203,$A189,'ORDENES'!$O$4:$O$1203,$B189,'ORDENES'!$T$4:$T$1203,"correctiva")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SUMIFS('ASIGNACIONES'!$I$4:$I$339,'ASIGNACIONES'!$E$4:$E$339,$A190,'ASIGNACIONES'!$A$4:$A$339,$B190)</f>
        <v/>
      </c>
      <c r="D190" s="17">
        <f>C190*p_factor_productividad</f>
        <v/>
      </c>
      <c r="E190" s="17">
        <f>SUMIFS('ORDENES'!$M$4:$M$1203,'ORDENES'!$Y$4:$Y$1203,$A190,'ORDENES'!$O$4:$O$1203,$B190,'ORDENES'!$T$4:$T$1203,"preventiva")</f>
        <v/>
      </c>
      <c r="F190" s="17">
        <f>SUMIFS('ORDENES'!$M$4:$M$1203,'ORDENES'!$Y$4:$Y$1203,$A190,'ORDENES'!$O$4:$O$1203,$B190,'ORDENES'!$T$4:$T$1203,"correctiva")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SUMIFS('ASIGNACIONES'!$I$4:$I$339,'ASIGNACIONES'!$E$4:$E$339,$A191,'ASIGNACIONES'!$A$4:$A$339,$B191)</f>
        <v/>
      </c>
      <c r="D191" s="17">
        <f>C191*p_factor_productividad</f>
        <v/>
      </c>
      <c r="E191" s="17">
        <f>SUMIFS('ORDENES'!$M$4:$M$1203,'ORDENES'!$Y$4:$Y$1203,$A191,'ORDENES'!$O$4:$O$1203,$B191,'ORDENES'!$T$4:$T$1203,"preventiva")</f>
        <v/>
      </c>
      <c r="F191" s="17">
        <f>SUMIFS('ORDENES'!$M$4:$M$1203,'ORDENES'!$Y$4:$Y$1203,$A191,'ORDENES'!$O$4:$O$1203,$B191,'ORDENES'!$T$4:$T$1203,"correctiva")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SUMIFS('ASIGNACIONES'!$I$4:$I$339,'ASIGNACIONES'!$E$4:$E$339,$A192,'ASIGNACIONES'!$A$4:$A$339,$B192)</f>
        <v/>
      </c>
      <c r="D192" s="17">
        <f>C192*p_factor_productividad</f>
        <v/>
      </c>
      <c r="E192" s="17">
        <f>SUMIFS('ORDENES'!$M$4:$M$1203,'ORDENES'!$Y$4:$Y$1203,$A192,'ORDENES'!$O$4:$O$1203,$B192,'ORDENES'!$T$4:$T$1203,"preventiva")</f>
        <v/>
      </c>
      <c r="F192" s="17">
        <f>SUMIFS('ORDENES'!$M$4:$M$1203,'ORDENES'!$Y$4:$Y$1203,$A192,'ORDENES'!$O$4:$O$1203,$B192,'ORDENES'!$T$4:$T$1203,"correctiva")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SUMIFS('ASIGNACIONES'!$I$4:$I$339,'ASIGNACIONES'!$E$4:$E$339,$A193,'ASIGNACIONES'!$A$4:$A$339,$B193)</f>
        <v/>
      </c>
      <c r="D193" s="17">
        <f>C193*p_factor_productividad</f>
        <v/>
      </c>
      <c r="E193" s="17">
        <f>SUMIFS('ORDENES'!$M$4:$M$1203,'ORDENES'!$Y$4:$Y$1203,$A193,'ORDENES'!$O$4:$O$1203,$B193,'ORDENES'!$T$4:$T$1203,"preventiva")</f>
        <v/>
      </c>
      <c r="F193" s="17">
        <f>SUMIFS('ORDENES'!$M$4:$M$1203,'ORDENES'!$Y$4:$Y$1203,$A193,'ORDENES'!$O$4:$O$1203,$B193,'ORDENES'!$T$4:$T$1203,"correctiva")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SUMIFS('ASIGNACIONES'!$I$4:$I$339,'ASIGNACIONES'!$E$4:$E$339,$A194,'ASIGNACIONES'!$A$4:$A$339,$B194)</f>
        <v/>
      </c>
      <c r="D194" s="17">
        <f>C194*p_factor_productividad</f>
        <v/>
      </c>
      <c r="E194" s="17">
        <f>SUMIFS('ORDENES'!$M$4:$M$1203,'ORDENES'!$Y$4:$Y$1203,$A194,'ORDENES'!$O$4:$O$1203,$B194,'ORDENES'!$T$4:$T$1203,"preventiva")</f>
        <v/>
      </c>
      <c r="F194" s="17">
        <f>SUMIFS('ORDENES'!$M$4:$M$1203,'ORDENES'!$Y$4:$Y$1203,$A194,'ORDENES'!$O$4:$O$1203,$B194,'ORDENES'!$T$4:$T$1203,"correctiva")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SUMIFS('ASIGNACIONES'!$I$4:$I$339,'ASIGNACIONES'!$E$4:$E$339,$A195,'ASIGNACIONES'!$A$4:$A$339,$B195)</f>
        <v/>
      </c>
      <c r="D195" s="17">
        <f>C195*p_factor_productividad</f>
        <v/>
      </c>
      <c r="E195" s="17">
        <f>SUMIFS('ORDENES'!$M$4:$M$1203,'ORDENES'!$Y$4:$Y$1203,$A195,'ORDENES'!$O$4:$O$1203,$B195,'ORDENES'!$T$4:$T$1203,"preventiva")</f>
        <v/>
      </c>
      <c r="F195" s="17">
        <f>SUMIFS('ORDENES'!$M$4:$M$1203,'ORDENES'!$Y$4:$Y$1203,$A195,'ORDENES'!$O$4:$O$1203,$B195,'ORDENES'!$T$4:$T$1203,"correctiva")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SUMIFS('ASIGNACIONES'!$I$4:$I$339,'ASIGNACIONES'!$E$4:$E$339,$A196,'ASIGNACIONES'!$A$4:$A$339,$B196)</f>
        <v/>
      </c>
      <c r="D196" s="17">
        <f>C196*p_factor_productividad</f>
        <v/>
      </c>
      <c r="E196" s="17">
        <f>SUMIFS('ORDENES'!$M$4:$M$1203,'ORDENES'!$Y$4:$Y$1203,$A196,'ORDENES'!$O$4:$O$1203,$B196,'ORDENES'!$T$4:$T$1203,"preventiva")</f>
        <v/>
      </c>
      <c r="F196" s="17">
        <f>SUMIFS('ORDENES'!$M$4:$M$1203,'ORDENES'!$Y$4:$Y$1203,$A196,'ORDENES'!$O$4:$O$1203,$B196,'ORDENES'!$T$4:$T$1203,"correctiva")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SUMIFS('ASIGNACIONES'!$I$4:$I$339,'ASIGNACIONES'!$E$4:$E$339,$A197,'ASIGNACIONES'!$A$4:$A$339,$B197)</f>
        <v/>
      </c>
      <c r="D197" s="17">
        <f>C197*p_factor_productividad</f>
        <v/>
      </c>
      <c r="E197" s="17">
        <f>SUMIFS('ORDENES'!$M$4:$M$1203,'ORDENES'!$Y$4:$Y$1203,$A197,'ORDENES'!$O$4:$O$1203,$B197,'ORDENES'!$T$4:$T$1203,"preventiva")</f>
        <v/>
      </c>
      <c r="F197" s="17">
        <f>SUMIFS('ORDENES'!$M$4:$M$1203,'ORDENES'!$Y$4:$Y$1203,$A197,'ORDENES'!$O$4:$O$1203,$B197,'ORDENES'!$T$4:$T$1203,"correctiva")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SUMIFS('ASIGNACIONES'!$I$4:$I$339,'ASIGNACIONES'!$E$4:$E$339,$A198,'ASIGNACIONES'!$A$4:$A$339,$B198)</f>
        <v/>
      </c>
      <c r="D198" s="17">
        <f>C198*p_factor_productividad</f>
        <v/>
      </c>
      <c r="E198" s="17">
        <f>SUMIFS('ORDENES'!$M$4:$M$1203,'ORDENES'!$Y$4:$Y$1203,$A198,'ORDENES'!$O$4:$O$1203,$B198,'ORDENES'!$T$4:$T$1203,"preventiva")</f>
        <v/>
      </c>
      <c r="F198" s="17">
        <f>SUMIFS('ORDENES'!$M$4:$M$1203,'ORDENES'!$Y$4:$Y$1203,$A198,'ORDENES'!$O$4:$O$1203,$B198,'ORDENES'!$T$4:$T$1203,"correctiva")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SUMIFS('ASIGNACIONES'!$I$4:$I$339,'ASIGNACIONES'!$E$4:$E$339,$A199,'ASIGNACIONES'!$A$4:$A$339,$B199)</f>
        <v/>
      </c>
      <c r="D199" s="17">
        <f>C199*p_factor_productividad</f>
        <v/>
      </c>
      <c r="E199" s="17">
        <f>SUMIFS('ORDENES'!$M$4:$M$1203,'ORDENES'!$Y$4:$Y$1203,$A199,'ORDENES'!$O$4:$O$1203,$B199,'ORDENES'!$T$4:$T$1203,"preventiva")</f>
        <v/>
      </c>
      <c r="F199" s="17">
        <f>SUMIFS('ORDENES'!$M$4:$M$1203,'ORDENES'!$Y$4:$Y$1203,$A199,'ORDENES'!$O$4:$O$1203,$B199,'ORDENES'!$T$4:$T$1203,"correctiva")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SUMIFS('ASIGNACIONES'!$I$4:$I$339,'ASIGNACIONES'!$E$4:$E$339,$A200,'ASIGNACIONES'!$A$4:$A$339,$B200)</f>
        <v/>
      </c>
      <c r="D200" s="17">
        <f>C200*p_factor_productividad</f>
        <v/>
      </c>
      <c r="E200" s="17">
        <f>SUMIFS('ORDENES'!$M$4:$M$1203,'ORDENES'!$Y$4:$Y$1203,$A200,'ORDENES'!$O$4:$O$1203,$B200,'ORDENES'!$T$4:$T$1203,"preventiva")</f>
        <v/>
      </c>
      <c r="F200" s="17">
        <f>SUMIFS('ORDENES'!$M$4:$M$1203,'ORDENES'!$Y$4:$Y$1203,$A200,'ORDENES'!$O$4:$O$1203,$B200,'ORDENES'!$T$4:$T$1203,"correctiva")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SUMIFS('ASIGNACIONES'!$I$4:$I$339,'ASIGNACIONES'!$E$4:$E$339,$A201,'ASIGNACIONES'!$A$4:$A$339,$B201)</f>
        <v/>
      </c>
      <c r="D201" s="17">
        <f>C201*p_factor_productividad</f>
        <v/>
      </c>
      <c r="E201" s="17">
        <f>SUMIFS('ORDENES'!$M$4:$M$1203,'ORDENES'!$Y$4:$Y$1203,$A201,'ORDENES'!$O$4:$O$1203,$B201,'ORDENES'!$T$4:$T$1203,"preventiva")</f>
        <v/>
      </c>
      <c r="F201" s="17">
        <f>SUMIFS('ORDENES'!$M$4:$M$1203,'ORDENES'!$Y$4:$Y$1203,$A201,'ORDENES'!$O$4:$O$1203,$B201,'ORDENES'!$T$4:$T$1203,"correctiva")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SUMIFS('ASIGNACIONES'!$I$4:$I$339,'ASIGNACIONES'!$E$4:$E$339,$A202,'ASIGNACIONES'!$A$4:$A$339,$B202)</f>
        <v/>
      </c>
      <c r="D202" s="17">
        <f>C202*p_factor_productividad</f>
        <v/>
      </c>
      <c r="E202" s="17">
        <f>SUMIFS('ORDENES'!$M$4:$M$1203,'ORDENES'!$Y$4:$Y$1203,$A202,'ORDENES'!$O$4:$O$1203,$B202,'ORDENES'!$T$4:$T$1203,"preventiva")</f>
        <v/>
      </c>
      <c r="F202" s="17">
        <f>SUMIFS('ORDENES'!$M$4:$M$1203,'ORDENES'!$Y$4:$Y$1203,$A202,'ORDENES'!$O$4:$O$1203,$B202,'ORDENES'!$T$4:$T$1203,"correctiva")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SUMIFS('ASIGNACIONES'!$I$4:$I$339,'ASIGNACIONES'!$E$4:$E$339,$A203,'ASIGNACIONES'!$A$4:$A$339,$B203)</f>
        <v/>
      </c>
      <c r="D203" s="17">
        <f>C203*p_factor_productividad</f>
        <v/>
      </c>
      <c r="E203" s="17">
        <f>SUMIFS('ORDENES'!$M$4:$M$1203,'ORDENES'!$Y$4:$Y$1203,$A203,'ORDENES'!$O$4:$O$1203,$B203,'ORDENES'!$T$4:$T$1203,"preventiva")</f>
        <v/>
      </c>
      <c r="F203" s="17">
        <f>SUMIFS('ORDENES'!$M$4:$M$1203,'ORDENES'!$Y$4:$Y$1203,$A203,'ORDENES'!$O$4:$O$1203,$B203,'ORDENES'!$T$4:$T$1203,"correctiva")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SUMIFS('ASIGNACIONES'!$I$4:$I$339,'ASIGNACIONES'!$E$4:$E$339,$A204,'ASIGNACIONES'!$A$4:$A$339,$B204)</f>
        <v/>
      </c>
      <c r="D204" s="17">
        <f>C204*p_factor_productividad</f>
        <v/>
      </c>
      <c r="E204" s="17">
        <f>SUMIFS('ORDENES'!$M$4:$M$1203,'ORDENES'!$Y$4:$Y$1203,$A204,'ORDENES'!$O$4:$O$1203,$B204,'ORDENES'!$T$4:$T$1203,"preventiva")</f>
        <v/>
      </c>
      <c r="F204" s="17">
        <f>SUMIFS('ORDENES'!$M$4:$M$1203,'ORDENES'!$Y$4:$Y$1203,$A204,'ORDENES'!$O$4:$O$1203,$B204,'ORDENES'!$T$4:$T$1203,"correctiva")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SUMIFS('ASIGNACIONES'!$I$4:$I$339,'ASIGNACIONES'!$E$4:$E$339,$A205,'ASIGNACIONES'!$A$4:$A$339,$B205)</f>
        <v/>
      </c>
      <c r="D205" s="17">
        <f>C205*p_factor_productividad</f>
        <v/>
      </c>
      <c r="E205" s="17">
        <f>SUMIFS('ORDENES'!$M$4:$M$1203,'ORDENES'!$Y$4:$Y$1203,$A205,'ORDENES'!$O$4:$O$1203,$B205,'ORDENES'!$T$4:$T$1203,"preventiva")</f>
        <v/>
      </c>
      <c r="F205" s="17">
        <f>SUMIFS('ORDENES'!$M$4:$M$1203,'ORDENES'!$Y$4:$Y$1203,$A205,'ORDENES'!$O$4:$O$1203,$B205,'ORDENES'!$T$4:$T$1203,"correctiva")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SUMIFS('ASIGNACIONES'!$I$4:$I$339,'ASIGNACIONES'!$E$4:$E$339,$A206,'ASIGNACIONES'!$A$4:$A$339,$B206)</f>
        <v/>
      </c>
      <c r="D206" s="17">
        <f>C206*p_factor_productividad</f>
        <v/>
      </c>
      <c r="E206" s="17">
        <f>SUMIFS('ORDENES'!$M$4:$M$1203,'ORDENES'!$Y$4:$Y$1203,$A206,'ORDENES'!$O$4:$O$1203,$B206,'ORDENES'!$T$4:$T$1203,"preventiva")</f>
        <v/>
      </c>
      <c r="F206" s="17">
        <f>SUMIFS('ORDENES'!$M$4:$M$1203,'ORDENES'!$Y$4:$Y$1203,$A206,'ORDENES'!$O$4:$O$1203,$B206,'ORDENES'!$T$4:$T$1203,"correctiva")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SUMIFS('ASIGNACIONES'!$I$4:$I$339,'ASIGNACIONES'!$E$4:$E$339,$A207,'ASIGNACIONES'!$A$4:$A$339,$B207)</f>
        <v/>
      </c>
      <c r="D207" s="17">
        <f>C207*p_factor_productividad</f>
        <v/>
      </c>
      <c r="E207" s="17">
        <f>SUMIFS('ORDENES'!$M$4:$M$1203,'ORDENES'!$Y$4:$Y$1203,$A207,'ORDENES'!$O$4:$O$1203,$B207,'ORDENES'!$T$4:$T$1203,"preventiva")</f>
        <v/>
      </c>
      <c r="F207" s="17">
        <f>SUMIFS('ORDENES'!$M$4:$M$1203,'ORDENES'!$Y$4:$Y$1203,$A207,'ORDENES'!$O$4:$O$1203,$B207,'ORDENES'!$T$4:$T$1203,"correctiva")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SUMIFS('ASIGNACIONES'!$I$4:$I$339,'ASIGNACIONES'!$E$4:$E$339,$A208,'ASIGNACIONES'!$A$4:$A$339,$B208)</f>
        <v/>
      </c>
      <c r="D208" s="17">
        <f>C208*p_factor_productividad</f>
        <v/>
      </c>
      <c r="E208" s="17">
        <f>SUMIFS('ORDENES'!$M$4:$M$1203,'ORDENES'!$Y$4:$Y$1203,$A208,'ORDENES'!$O$4:$O$1203,$B208,'ORDENES'!$T$4:$T$1203,"preventiva")</f>
        <v/>
      </c>
      <c r="F208" s="17">
        <f>SUMIFS('ORDENES'!$M$4:$M$1203,'ORDENES'!$Y$4:$Y$1203,$A208,'ORDENES'!$O$4:$O$1203,$B208,'ORDENES'!$T$4:$T$1203,"correctiva")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SUMIFS('ASIGNACIONES'!$I$4:$I$339,'ASIGNACIONES'!$E$4:$E$339,$A209,'ASIGNACIONES'!$A$4:$A$339,$B209)</f>
        <v/>
      </c>
      <c r="D209" s="17">
        <f>C209*p_factor_productividad</f>
        <v/>
      </c>
      <c r="E209" s="17">
        <f>SUMIFS('ORDENES'!$M$4:$M$1203,'ORDENES'!$Y$4:$Y$1203,$A209,'ORDENES'!$O$4:$O$1203,$B209,'ORDENES'!$T$4:$T$1203,"preventiva")</f>
        <v/>
      </c>
      <c r="F209" s="17">
        <f>SUMIFS('ORDENES'!$M$4:$M$1203,'ORDENES'!$Y$4:$Y$1203,$A209,'ORDENES'!$O$4:$O$1203,$B209,'ORDENES'!$T$4:$T$1203,"correctiva")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SUMIFS('ASIGNACIONES'!$I$4:$I$339,'ASIGNACIONES'!$E$4:$E$339,$A210,'ASIGNACIONES'!$A$4:$A$339,$B210)</f>
        <v/>
      </c>
      <c r="D210" s="17">
        <f>C210*p_factor_productividad</f>
        <v/>
      </c>
      <c r="E210" s="17">
        <f>SUMIFS('ORDENES'!$M$4:$M$1203,'ORDENES'!$Y$4:$Y$1203,$A210,'ORDENES'!$O$4:$O$1203,$B210,'ORDENES'!$T$4:$T$1203,"preventiva")</f>
        <v/>
      </c>
      <c r="F210" s="17">
        <f>SUMIFS('ORDENES'!$M$4:$M$1203,'ORDENES'!$Y$4:$Y$1203,$A210,'ORDENES'!$O$4:$O$1203,$B210,'ORDENES'!$T$4:$T$1203,"correctiva")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SUMIFS('ASIGNACIONES'!$I$4:$I$339,'ASIGNACIONES'!$E$4:$E$339,$A211,'ASIGNACIONES'!$A$4:$A$339,$B211)</f>
        <v/>
      </c>
      <c r="D211" s="17">
        <f>C211*p_factor_productividad</f>
        <v/>
      </c>
      <c r="E211" s="17">
        <f>SUMIFS('ORDENES'!$M$4:$M$1203,'ORDENES'!$Y$4:$Y$1203,$A211,'ORDENES'!$O$4:$O$1203,$B211,'ORDENES'!$T$4:$T$1203,"preventiva")</f>
        <v/>
      </c>
      <c r="F211" s="17">
        <f>SUMIFS('ORDENES'!$M$4:$M$1203,'ORDENES'!$Y$4:$Y$1203,$A211,'ORDENES'!$O$4:$O$1203,$B211,'ORDENES'!$T$4:$T$1203,"correctiva")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SUMIFS('ASIGNACIONES'!$I$4:$I$339,'ASIGNACIONES'!$E$4:$E$339,$A212,'ASIGNACIONES'!$A$4:$A$339,$B212)</f>
        <v/>
      </c>
      <c r="D212" s="17">
        <f>C212*p_factor_productividad</f>
        <v/>
      </c>
      <c r="E212" s="17">
        <f>SUMIFS('ORDENES'!$M$4:$M$1203,'ORDENES'!$Y$4:$Y$1203,$A212,'ORDENES'!$O$4:$O$1203,$B212,'ORDENES'!$T$4:$T$1203,"preventiva")</f>
        <v/>
      </c>
      <c r="F212" s="17">
        <f>SUMIFS('ORDENES'!$M$4:$M$1203,'ORDENES'!$Y$4:$Y$1203,$A212,'ORDENES'!$O$4:$O$1203,$B212,'ORDENES'!$T$4:$T$1203,"correctiva")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SUMIFS('ASIGNACIONES'!$I$4:$I$339,'ASIGNACIONES'!$E$4:$E$339,$A213,'ASIGNACIONES'!$A$4:$A$339,$B213)</f>
        <v/>
      </c>
      <c r="D213" s="17">
        <f>C213*p_factor_productividad</f>
        <v/>
      </c>
      <c r="E213" s="17">
        <f>SUMIFS('ORDENES'!$M$4:$M$1203,'ORDENES'!$Y$4:$Y$1203,$A213,'ORDENES'!$O$4:$O$1203,$B213,'ORDENES'!$T$4:$T$1203,"preventiva")</f>
        <v/>
      </c>
      <c r="F213" s="17">
        <f>SUMIFS('ORDENES'!$M$4:$M$1203,'ORDENES'!$Y$4:$Y$1203,$A213,'ORDENES'!$O$4:$O$1203,$B213,'ORDENES'!$T$4:$T$1203,"correctiva")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SUMIFS('ASIGNACIONES'!$I$4:$I$339,'ASIGNACIONES'!$E$4:$E$339,$A214,'ASIGNACIONES'!$A$4:$A$339,$B214)</f>
        <v/>
      </c>
      <c r="D214" s="17">
        <f>C214*p_factor_productividad</f>
        <v/>
      </c>
      <c r="E214" s="17">
        <f>SUMIFS('ORDENES'!$M$4:$M$1203,'ORDENES'!$Y$4:$Y$1203,$A214,'ORDENES'!$O$4:$O$1203,$B214,'ORDENES'!$T$4:$T$1203,"preventiva")</f>
        <v/>
      </c>
      <c r="F214" s="17">
        <f>SUMIFS('ORDENES'!$M$4:$M$1203,'ORDENES'!$Y$4:$Y$1203,$A214,'ORDENES'!$O$4:$O$1203,$B214,'ORDENES'!$T$4:$T$1203,"correctiva")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SUMIFS('ASIGNACIONES'!$I$4:$I$339,'ASIGNACIONES'!$E$4:$E$339,$A215,'ASIGNACIONES'!$A$4:$A$339,$B215)</f>
        <v/>
      </c>
      <c r="D215" s="17">
        <f>C215*p_factor_productividad</f>
        <v/>
      </c>
      <c r="E215" s="17">
        <f>SUMIFS('ORDENES'!$M$4:$M$1203,'ORDENES'!$Y$4:$Y$1203,$A215,'ORDENES'!$O$4:$O$1203,$B215,'ORDENES'!$T$4:$T$1203,"preventiva")</f>
        <v/>
      </c>
      <c r="F215" s="17">
        <f>SUMIFS('ORDENES'!$M$4:$M$1203,'ORDENES'!$Y$4:$Y$1203,$A215,'ORDENES'!$O$4:$O$1203,$B215,'ORDENES'!$T$4:$T$1203,"correctiva")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SUMIFS('ASIGNACIONES'!$I$4:$I$339,'ASIGNACIONES'!$E$4:$E$339,$A216,'ASIGNACIONES'!$A$4:$A$339,$B216)</f>
        <v/>
      </c>
      <c r="D216" s="17">
        <f>C216*p_factor_productividad</f>
        <v/>
      </c>
      <c r="E216" s="17">
        <f>SUMIFS('ORDENES'!$M$4:$M$1203,'ORDENES'!$Y$4:$Y$1203,$A216,'ORDENES'!$O$4:$O$1203,$B216,'ORDENES'!$T$4:$T$1203,"preventiva")</f>
        <v/>
      </c>
      <c r="F216" s="17">
        <f>SUMIFS('ORDENES'!$M$4:$M$1203,'ORDENES'!$Y$4:$Y$1203,$A216,'ORDENES'!$O$4:$O$1203,$B216,'ORDENES'!$T$4:$T$1203,"correctiva")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SUMIFS('ASIGNACIONES'!$I$4:$I$339,'ASIGNACIONES'!$E$4:$E$339,$A217,'ASIGNACIONES'!$A$4:$A$339,$B217)</f>
        <v/>
      </c>
      <c r="D217" s="17">
        <f>C217*p_factor_productividad</f>
        <v/>
      </c>
      <c r="E217" s="17">
        <f>SUMIFS('ORDENES'!$M$4:$M$1203,'ORDENES'!$Y$4:$Y$1203,$A217,'ORDENES'!$O$4:$O$1203,$B217,'ORDENES'!$T$4:$T$1203,"preventiva")</f>
        <v/>
      </c>
      <c r="F217" s="17">
        <f>SUMIFS('ORDENES'!$M$4:$M$1203,'ORDENES'!$Y$4:$Y$1203,$A217,'ORDENES'!$O$4:$O$1203,$B217,'ORDENES'!$T$4:$T$1203,"correctiva")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SUMIFS('ASIGNACIONES'!$I$4:$I$339,'ASIGNACIONES'!$E$4:$E$339,$A218,'ASIGNACIONES'!$A$4:$A$339,$B218)</f>
        <v/>
      </c>
      <c r="D218" s="17">
        <f>C218*p_factor_productividad</f>
        <v/>
      </c>
      <c r="E218" s="17">
        <f>SUMIFS('ORDENES'!$M$4:$M$1203,'ORDENES'!$Y$4:$Y$1203,$A218,'ORDENES'!$O$4:$O$1203,$B218,'ORDENES'!$T$4:$T$1203,"preventiva")</f>
        <v/>
      </c>
      <c r="F218" s="17">
        <f>SUMIFS('ORDENES'!$M$4:$M$1203,'ORDENES'!$Y$4:$Y$1203,$A218,'ORDENES'!$O$4:$O$1203,$B218,'ORDENES'!$T$4:$T$1203,"correctiva")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SUMIFS('ASIGNACIONES'!$I$4:$I$339,'ASIGNACIONES'!$E$4:$E$339,$A219,'ASIGNACIONES'!$A$4:$A$339,$B219)</f>
        <v/>
      </c>
      <c r="D219" s="17">
        <f>C219*p_factor_productividad</f>
        <v/>
      </c>
      <c r="E219" s="17">
        <f>SUMIFS('ORDENES'!$M$4:$M$1203,'ORDENES'!$Y$4:$Y$1203,$A219,'ORDENES'!$O$4:$O$1203,$B219,'ORDENES'!$T$4:$T$1203,"preventiva")</f>
        <v/>
      </c>
      <c r="F219" s="17">
        <f>SUMIFS('ORDENES'!$M$4:$M$1203,'ORDENES'!$Y$4:$Y$1203,$A219,'ORDENES'!$O$4:$O$1203,$B219,'ORDENES'!$T$4:$T$1203,"correctiva")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SUMIFS('ASIGNACIONES'!$I$4:$I$339,'ASIGNACIONES'!$E$4:$E$339,$A220,'ASIGNACIONES'!$A$4:$A$339,$B220)</f>
        <v/>
      </c>
      <c r="D220" s="17">
        <f>C220*p_factor_productividad</f>
        <v/>
      </c>
      <c r="E220" s="17">
        <f>SUMIFS('ORDENES'!$M$4:$M$1203,'ORDENES'!$Y$4:$Y$1203,$A220,'ORDENES'!$O$4:$O$1203,$B220,'ORDENES'!$T$4:$T$1203,"preventiva")</f>
        <v/>
      </c>
      <c r="F220" s="17">
        <f>SUMIFS('ORDENES'!$M$4:$M$1203,'ORDENES'!$Y$4:$Y$1203,$A220,'ORDENES'!$O$4:$O$1203,$B220,'ORDENES'!$T$4:$T$1203,"correctiva")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SUMIFS('ASIGNACIONES'!$I$4:$I$339,'ASIGNACIONES'!$E$4:$E$339,$A221,'ASIGNACIONES'!$A$4:$A$339,$B221)</f>
        <v/>
      </c>
      <c r="D221" s="17">
        <f>C221*p_factor_productividad</f>
        <v/>
      </c>
      <c r="E221" s="17">
        <f>SUMIFS('ORDENES'!$M$4:$M$1203,'ORDENES'!$Y$4:$Y$1203,$A221,'ORDENES'!$O$4:$O$1203,$B221,'ORDENES'!$T$4:$T$1203,"preventiva")</f>
        <v/>
      </c>
      <c r="F221" s="17">
        <f>SUMIFS('ORDENES'!$M$4:$M$1203,'ORDENES'!$Y$4:$Y$1203,$A221,'ORDENES'!$O$4:$O$1203,$B221,'ORDENES'!$T$4:$T$1203,"correctiva")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SUMIFS('ASIGNACIONES'!$I$4:$I$339,'ASIGNACIONES'!$E$4:$E$339,$A222,'ASIGNACIONES'!$A$4:$A$339,$B222)</f>
        <v/>
      </c>
      <c r="D222" s="17">
        <f>C222*p_factor_productividad</f>
        <v/>
      </c>
      <c r="E222" s="17">
        <f>SUMIFS('ORDENES'!$M$4:$M$1203,'ORDENES'!$Y$4:$Y$1203,$A222,'ORDENES'!$O$4:$O$1203,$B222,'ORDENES'!$T$4:$T$1203,"preventiva")</f>
        <v/>
      </c>
      <c r="F222" s="17">
        <f>SUMIFS('ORDENES'!$M$4:$M$1203,'ORDENES'!$Y$4:$Y$1203,$A222,'ORDENES'!$O$4:$O$1203,$B222,'ORDENES'!$T$4:$T$1203,"correctiva")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SUMIFS('ASIGNACIONES'!$I$4:$I$339,'ASIGNACIONES'!$E$4:$E$339,$A223,'ASIGNACIONES'!$A$4:$A$339,$B223)</f>
        <v/>
      </c>
      <c r="D223" s="17">
        <f>C223*p_factor_productividad</f>
        <v/>
      </c>
      <c r="E223" s="17">
        <f>SUMIFS('ORDENES'!$M$4:$M$1203,'ORDENES'!$Y$4:$Y$1203,$A223,'ORDENES'!$O$4:$O$1203,$B223,'ORDENES'!$T$4:$T$1203,"preventiva")</f>
        <v/>
      </c>
      <c r="F223" s="17">
        <f>SUMIFS('ORDENES'!$M$4:$M$1203,'ORDENES'!$Y$4:$Y$1203,$A223,'ORDENES'!$O$4:$O$1203,$B223,'ORDENES'!$T$4:$T$1203,"correctiva")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SUMIFS('ASIGNACIONES'!$I$4:$I$339,'ASIGNACIONES'!$E$4:$E$339,$A224,'ASIGNACIONES'!$A$4:$A$339,$B224)</f>
        <v/>
      </c>
      <c r="D224" s="17">
        <f>C224*p_factor_productividad</f>
        <v/>
      </c>
      <c r="E224" s="17">
        <f>SUMIFS('ORDENES'!$M$4:$M$1203,'ORDENES'!$Y$4:$Y$1203,$A224,'ORDENES'!$O$4:$O$1203,$B224,'ORDENES'!$T$4:$T$1203,"preventiva")</f>
        <v/>
      </c>
      <c r="F224" s="17">
        <f>SUMIFS('ORDENES'!$M$4:$M$1203,'ORDENES'!$Y$4:$Y$1203,$A224,'ORDENES'!$O$4:$O$1203,$B224,'ORDENES'!$T$4:$T$1203,"correctiva")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SUMIFS('ASIGNACIONES'!$I$4:$I$339,'ASIGNACIONES'!$E$4:$E$339,$A225,'ASIGNACIONES'!$A$4:$A$339,$B225)</f>
        <v/>
      </c>
      <c r="D225" s="17">
        <f>C225*p_factor_productividad</f>
        <v/>
      </c>
      <c r="E225" s="17">
        <f>SUMIFS('ORDENES'!$M$4:$M$1203,'ORDENES'!$Y$4:$Y$1203,$A225,'ORDENES'!$O$4:$O$1203,$B225,'ORDENES'!$T$4:$T$1203,"preventiva")</f>
        <v/>
      </c>
      <c r="F225" s="17">
        <f>SUMIFS('ORDENES'!$M$4:$M$1203,'ORDENES'!$Y$4:$Y$1203,$A225,'ORDENES'!$O$4:$O$1203,$B225,'ORDENES'!$T$4:$T$1203,"correctiva")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SUMIFS('ASIGNACIONES'!$I$4:$I$339,'ASIGNACIONES'!$E$4:$E$339,$A226,'ASIGNACIONES'!$A$4:$A$339,$B226)</f>
        <v/>
      </c>
      <c r="D226" s="17">
        <f>C226*p_factor_productividad</f>
        <v/>
      </c>
      <c r="E226" s="17">
        <f>SUMIFS('ORDENES'!$M$4:$M$1203,'ORDENES'!$Y$4:$Y$1203,$A226,'ORDENES'!$O$4:$O$1203,$B226,'ORDENES'!$T$4:$T$1203,"preventiva")</f>
        <v/>
      </c>
      <c r="F226" s="17">
        <f>SUMIFS('ORDENES'!$M$4:$M$1203,'ORDENES'!$Y$4:$Y$1203,$A226,'ORDENES'!$O$4:$O$1203,$B226,'ORDENES'!$T$4:$T$1203,"correctiva")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SUMIFS('ASIGNACIONES'!$I$4:$I$339,'ASIGNACIONES'!$E$4:$E$339,$A227,'ASIGNACIONES'!$A$4:$A$339,$B227)</f>
        <v/>
      </c>
      <c r="D227" s="17">
        <f>C227*p_factor_productividad</f>
        <v/>
      </c>
      <c r="E227" s="17">
        <f>SUMIFS('ORDENES'!$M$4:$M$1203,'ORDENES'!$Y$4:$Y$1203,$A227,'ORDENES'!$O$4:$O$1203,$B227,'ORDENES'!$T$4:$T$1203,"preventiva")</f>
        <v/>
      </c>
      <c r="F227" s="17">
        <f>SUMIFS('ORDENES'!$M$4:$M$1203,'ORDENES'!$Y$4:$Y$1203,$A227,'ORDENES'!$O$4:$O$1203,$B227,'ORDENES'!$T$4:$T$1203,"correctiva")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SUMIFS('ASIGNACIONES'!$I$4:$I$339,'ASIGNACIONES'!$E$4:$E$339,$A228,'ASIGNACIONES'!$A$4:$A$339,$B228)</f>
        <v/>
      </c>
      <c r="D228" s="17">
        <f>C228*p_factor_productividad</f>
        <v/>
      </c>
      <c r="E228" s="17">
        <f>SUMIFS('ORDENES'!$M$4:$M$1203,'ORDENES'!$Y$4:$Y$1203,$A228,'ORDENES'!$O$4:$O$1203,$B228,'ORDENES'!$T$4:$T$1203,"preventiva")</f>
        <v/>
      </c>
      <c r="F228" s="17">
        <f>SUMIFS('ORDENES'!$M$4:$M$1203,'ORDENES'!$Y$4:$Y$1203,$A228,'ORDENES'!$O$4:$O$1203,$B228,'ORDENES'!$T$4:$T$1203,"correctiva")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SUMIFS('ASIGNACIONES'!$I$4:$I$339,'ASIGNACIONES'!$E$4:$E$339,$A229,'ASIGNACIONES'!$A$4:$A$339,$B229)</f>
        <v/>
      </c>
      <c r="D229" s="17">
        <f>C229*p_factor_productividad</f>
        <v/>
      </c>
      <c r="E229" s="17">
        <f>SUMIFS('ORDENES'!$M$4:$M$1203,'ORDENES'!$Y$4:$Y$1203,$A229,'ORDENES'!$O$4:$O$1203,$B229,'ORDENES'!$T$4:$T$1203,"preventiva")</f>
        <v/>
      </c>
      <c r="F229" s="17">
        <f>SUMIFS('ORDENES'!$M$4:$M$1203,'ORDENES'!$Y$4:$Y$1203,$A229,'ORDENES'!$O$4:$O$1203,$B229,'ORDENES'!$T$4:$T$1203,"correctiva")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SUMIFS('ASIGNACIONES'!$I$4:$I$339,'ASIGNACIONES'!$E$4:$E$339,$A230,'ASIGNACIONES'!$A$4:$A$339,$B230)</f>
        <v/>
      </c>
      <c r="D230" s="17">
        <f>C230*p_factor_productividad</f>
        <v/>
      </c>
      <c r="E230" s="17">
        <f>SUMIFS('ORDENES'!$M$4:$M$1203,'ORDENES'!$Y$4:$Y$1203,$A230,'ORDENES'!$O$4:$O$1203,$B230,'ORDENES'!$T$4:$T$1203,"preventiva")</f>
        <v/>
      </c>
      <c r="F230" s="17">
        <f>SUMIFS('ORDENES'!$M$4:$M$1203,'ORDENES'!$Y$4:$Y$1203,$A230,'ORDENES'!$O$4:$O$1203,$B230,'ORDENES'!$T$4:$T$1203,"correctiva")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SUMIFS('ASIGNACIONES'!$I$4:$I$339,'ASIGNACIONES'!$E$4:$E$339,$A231,'ASIGNACIONES'!$A$4:$A$339,$B231)</f>
        <v/>
      </c>
      <c r="D231" s="17">
        <f>C231*p_factor_productividad</f>
        <v/>
      </c>
      <c r="E231" s="17">
        <f>SUMIFS('ORDENES'!$M$4:$M$1203,'ORDENES'!$Y$4:$Y$1203,$A231,'ORDENES'!$O$4:$O$1203,$B231,'ORDENES'!$T$4:$T$1203,"preventiva")</f>
        <v/>
      </c>
      <c r="F231" s="17">
        <f>SUMIFS('ORDENES'!$M$4:$M$1203,'ORDENES'!$Y$4:$Y$1203,$A231,'ORDENES'!$O$4:$O$1203,$B231,'ORDENES'!$T$4:$T$1203,"correctiva")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SUMIFS('ASIGNACIONES'!$I$4:$I$339,'ASIGNACIONES'!$E$4:$E$339,$A232,'ASIGNACIONES'!$A$4:$A$339,$B232)</f>
        <v/>
      </c>
      <c r="D232" s="17">
        <f>C232*p_factor_productividad</f>
        <v/>
      </c>
      <c r="E232" s="17">
        <f>SUMIFS('ORDENES'!$M$4:$M$1203,'ORDENES'!$Y$4:$Y$1203,$A232,'ORDENES'!$O$4:$O$1203,$B232,'ORDENES'!$T$4:$T$1203,"preventiva")</f>
        <v/>
      </c>
      <c r="F232" s="17">
        <f>SUMIFS('ORDENES'!$M$4:$M$1203,'ORDENES'!$Y$4:$Y$1203,$A232,'ORDENES'!$O$4:$O$1203,$B232,'ORDENES'!$T$4:$T$1203,"correctiva")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SUMIFS('ASIGNACIONES'!$I$4:$I$339,'ASIGNACIONES'!$E$4:$E$339,$A233,'ASIGNACIONES'!$A$4:$A$339,$B233)</f>
        <v/>
      </c>
      <c r="D233" s="17">
        <f>C233*p_factor_productividad</f>
        <v/>
      </c>
      <c r="E233" s="17">
        <f>SUMIFS('ORDENES'!$M$4:$M$1203,'ORDENES'!$Y$4:$Y$1203,$A233,'ORDENES'!$O$4:$O$1203,$B233,'ORDENES'!$T$4:$T$1203,"preventiva")</f>
        <v/>
      </c>
      <c r="F233" s="17">
        <f>SUMIFS('ORDENES'!$M$4:$M$1203,'ORDENES'!$Y$4:$Y$1203,$A233,'ORDENES'!$O$4:$O$1203,$B233,'ORDENES'!$T$4:$T$1203,"correctiva")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SUMIFS('ASIGNACIONES'!$I$4:$I$339,'ASIGNACIONES'!$E$4:$E$339,$A234,'ASIGNACIONES'!$A$4:$A$339,$B234)</f>
        <v/>
      </c>
      <c r="D234" s="17">
        <f>C234*p_factor_productividad</f>
        <v/>
      </c>
      <c r="E234" s="17">
        <f>SUMIFS('ORDENES'!$M$4:$M$1203,'ORDENES'!$Y$4:$Y$1203,$A234,'ORDENES'!$O$4:$O$1203,$B234,'ORDENES'!$T$4:$T$1203,"preventiva")</f>
        <v/>
      </c>
      <c r="F234" s="17">
        <f>SUMIFS('ORDENES'!$M$4:$M$1203,'ORDENES'!$Y$4:$Y$1203,$A234,'ORDENES'!$O$4:$O$1203,$B234,'ORDENES'!$T$4:$T$1203,"correctiva")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SUMIFS('ASIGNACIONES'!$I$4:$I$339,'ASIGNACIONES'!$E$4:$E$339,$A235,'ASIGNACIONES'!$A$4:$A$339,$B235)</f>
        <v/>
      </c>
      <c r="D235" s="17">
        <f>C235*p_factor_productividad</f>
        <v/>
      </c>
      <c r="E235" s="17">
        <f>SUMIFS('ORDENES'!$M$4:$M$1203,'ORDENES'!$Y$4:$Y$1203,$A235,'ORDENES'!$O$4:$O$1203,$B235,'ORDENES'!$T$4:$T$1203,"preventiva")</f>
        <v/>
      </c>
      <c r="F235" s="17">
        <f>SUMIFS('ORDENES'!$M$4:$M$1203,'ORDENES'!$Y$4:$Y$1203,$A235,'ORDENES'!$O$4:$O$1203,$B235,'ORDENES'!$T$4:$T$1203,"correctiva")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SUMIFS('ASIGNACIONES'!$I$4:$I$339,'ASIGNACIONES'!$E$4:$E$339,$A236,'ASIGNACIONES'!$A$4:$A$339,$B236)</f>
        <v/>
      </c>
      <c r="D236" s="17">
        <f>C236*p_factor_productividad</f>
        <v/>
      </c>
      <c r="E236" s="17">
        <f>SUMIFS('ORDENES'!$M$4:$M$1203,'ORDENES'!$Y$4:$Y$1203,$A236,'ORDENES'!$O$4:$O$1203,$B236,'ORDENES'!$T$4:$T$1203,"preventiva")</f>
        <v/>
      </c>
      <c r="F236" s="17">
        <f>SUMIFS('ORDENES'!$M$4:$M$1203,'ORDENES'!$Y$4:$Y$1203,$A236,'ORDENES'!$O$4:$O$1203,$B236,'ORDENES'!$T$4:$T$1203,"correctiva")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SUMIFS('ASIGNACIONES'!$I$4:$I$339,'ASIGNACIONES'!$E$4:$E$339,$A237,'ASIGNACIONES'!$A$4:$A$339,$B237)</f>
        <v/>
      </c>
      <c r="D237" s="17">
        <f>C237*p_factor_productividad</f>
        <v/>
      </c>
      <c r="E237" s="17">
        <f>SUMIFS('ORDENES'!$M$4:$M$1203,'ORDENES'!$Y$4:$Y$1203,$A237,'ORDENES'!$O$4:$O$1203,$B237,'ORDENES'!$T$4:$T$1203,"preventiva")</f>
        <v/>
      </c>
      <c r="F237" s="17">
        <f>SUMIFS('ORDENES'!$M$4:$M$1203,'ORDENES'!$Y$4:$Y$1203,$A237,'ORDENES'!$O$4:$O$1203,$B237,'ORDENES'!$T$4:$T$1203,"correctiva")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SUMIFS('ASIGNACIONES'!$I$4:$I$339,'ASIGNACIONES'!$E$4:$E$339,$A238,'ASIGNACIONES'!$A$4:$A$339,$B238)</f>
        <v/>
      </c>
      <c r="D238" s="17">
        <f>C238*p_factor_productividad</f>
        <v/>
      </c>
      <c r="E238" s="17">
        <f>SUMIFS('ORDENES'!$M$4:$M$1203,'ORDENES'!$Y$4:$Y$1203,$A238,'ORDENES'!$O$4:$O$1203,$B238,'ORDENES'!$T$4:$T$1203,"preventiva")</f>
        <v/>
      </c>
      <c r="F238" s="17">
        <f>SUMIFS('ORDENES'!$M$4:$M$1203,'ORDENES'!$Y$4:$Y$1203,$A238,'ORDENES'!$O$4:$O$1203,$B238,'ORDENES'!$T$4:$T$1203,"correctiva")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SUMIFS('ASIGNACIONES'!$I$4:$I$339,'ASIGNACIONES'!$E$4:$E$339,$A239,'ASIGNACIONES'!$A$4:$A$339,$B239)</f>
        <v/>
      </c>
      <c r="D239" s="17">
        <f>C239*p_factor_productividad</f>
        <v/>
      </c>
      <c r="E239" s="17">
        <f>SUMIFS('ORDENES'!$M$4:$M$1203,'ORDENES'!$Y$4:$Y$1203,$A239,'ORDENES'!$O$4:$O$1203,$B239,'ORDENES'!$T$4:$T$1203,"preventiva")</f>
        <v/>
      </c>
      <c r="F239" s="17">
        <f>SUMIFS('ORDENES'!$M$4:$M$1203,'ORDENES'!$Y$4:$Y$1203,$A239,'ORDENES'!$O$4:$O$1203,$B239,'ORDENES'!$T$4:$T$1203,"correctiva")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SUMIFS('ASIGNACIONES'!$I$4:$I$339,'ASIGNACIONES'!$E$4:$E$339,$A240,'ASIGNACIONES'!$A$4:$A$339,$B240)</f>
        <v/>
      </c>
      <c r="D240" s="17">
        <f>C240*p_factor_productividad</f>
        <v/>
      </c>
      <c r="E240" s="17">
        <f>SUMIFS('ORDENES'!$M$4:$M$1203,'ORDENES'!$Y$4:$Y$1203,$A240,'ORDENES'!$O$4:$O$1203,$B240,'ORDENES'!$T$4:$T$1203,"preventiva")</f>
        <v/>
      </c>
      <c r="F240" s="17">
        <f>SUMIFS('ORDENES'!$M$4:$M$1203,'ORDENES'!$Y$4:$Y$1203,$A240,'ORDENES'!$O$4:$O$1203,$B240,'ORDENES'!$T$4:$T$1203,"correctiva")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SUMIFS('ASIGNACIONES'!$I$4:$I$339,'ASIGNACIONES'!$E$4:$E$339,$A241,'ASIGNACIONES'!$A$4:$A$339,$B241)</f>
        <v/>
      </c>
      <c r="D241" s="17">
        <f>C241*p_factor_productividad</f>
        <v/>
      </c>
      <c r="E241" s="17">
        <f>SUMIFS('ORDENES'!$M$4:$M$1203,'ORDENES'!$Y$4:$Y$1203,$A241,'ORDENES'!$O$4:$O$1203,$B241,'ORDENES'!$T$4:$T$1203,"preventiva")</f>
        <v/>
      </c>
      <c r="F241" s="17">
        <f>SUMIFS('ORDENES'!$M$4:$M$1203,'ORDENES'!$Y$4:$Y$1203,$A241,'ORDENES'!$O$4:$O$1203,$B241,'ORDENES'!$T$4:$T$1203,"correctiva")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SUMIFS('ASIGNACIONES'!$I$4:$I$339,'ASIGNACIONES'!$E$4:$E$339,$A242,'ASIGNACIONES'!$A$4:$A$339,$B242)</f>
        <v/>
      </c>
      <c r="D242" s="17">
        <f>C242*p_factor_productividad</f>
        <v/>
      </c>
      <c r="E242" s="17">
        <f>SUMIFS('ORDENES'!$M$4:$M$1203,'ORDENES'!$Y$4:$Y$1203,$A242,'ORDENES'!$O$4:$O$1203,$B242,'ORDENES'!$T$4:$T$1203,"preventiva")</f>
        <v/>
      </c>
      <c r="F242" s="17">
        <f>SUMIFS('ORDENES'!$M$4:$M$1203,'ORDENES'!$Y$4:$Y$1203,$A242,'ORDENES'!$O$4:$O$1203,$B242,'ORDENES'!$T$4:$T$1203,"correctiva")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SUMIFS('ASIGNACIONES'!$I$4:$I$339,'ASIGNACIONES'!$E$4:$E$339,$A243,'ASIGNACIONES'!$A$4:$A$339,$B243)</f>
        <v/>
      </c>
      <c r="D243" s="17">
        <f>C243*p_factor_productividad</f>
        <v/>
      </c>
      <c r="E243" s="17">
        <f>SUMIFS('ORDENES'!$M$4:$M$1203,'ORDENES'!$Y$4:$Y$1203,$A243,'ORDENES'!$O$4:$O$1203,$B243,'ORDENES'!$T$4:$T$1203,"preventiva")</f>
        <v/>
      </c>
      <c r="F243" s="17">
        <f>SUMIFS('ORDENES'!$M$4:$M$1203,'ORDENES'!$Y$4:$Y$1203,$A243,'ORDENES'!$O$4:$O$1203,$B243,'ORDENES'!$T$4:$T$1203,"correctiva")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SUMIFS('ASIGNACIONES'!$I$4:$I$339,'ASIGNACIONES'!$E$4:$E$339,$A244,'ASIGNACIONES'!$A$4:$A$339,$B244)</f>
        <v/>
      </c>
      <c r="D244" s="17">
        <f>C244*p_factor_productividad</f>
        <v/>
      </c>
      <c r="E244" s="17">
        <f>SUMIFS('ORDENES'!$M$4:$M$1203,'ORDENES'!$Y$4:$Y$1203,$A244,'ORDENES'!$O$4:$O$1203,$B244,'ORDENES'!$T$4:$T$1203,"preventiva")</f>
        <v/>
      </c>
      <c r="F244" s="17">
        <f>SUMIFS('ORDENES'!$M$4:$M$1203,'ORDENES'!$Y$4:$Y$1203,$A244,'ORDENES'!$O$4:$O$1203,$B244,'ORDENES'!$T$4:$T$1203,"correctiva")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SUMIFS('ASIGNACIONES'!$I$4:$I$339,'ASIGNACIONES'!$E$4:$E$339,$A245,'ASIGNACIONES'!$A$4:$A$339,$B245)</f>
        <v/>
      </c>
      <c r="D245" s="17">
        <f>C245*p_factor_productividad</f>
        <v/>
      </c>
      <c r="E245" s="17">
        <f>SUMIFS('ORDENES'!$M$4:$M$1203,'ORDENES'!$Y$4:$Y$1203,$A245,'ORDENES'!$O$4:$O$1203,$B245,'ORDENES'!$T$4:$T$1203,"preventiva")</f>
        <v/>
      </c>
      <c r="F245" s="17">
        <f>SUMIFS('ORDENES'!$M$4:$M$1203,'ORDENES'!$Y$4:$Y$1203,$A245,'ORDENES'!$O$4:$O$1203,$B245,'ORDENES'!$T$4:$T$1203,"correctiva")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SUMIFS('ASIGNACIONES'!$I$4:$I$339,'ASIGNACIONES'!$E$4:$E$339,$A246,'ASIGNACIONES'!$A$4:$A$339,$B246)</f>
        <v/>
      </c>
      <c r="D246" s="17">
        <f>C246*p_factor_productividad</f>
        <v/>
      </c>
      <c r="E246" s="17">
        <f>SUMIFS('ORDENES'!$M$4:$M$1203,'ORDENES'!$Y$4:$Y$1203,$A246,'ORDENES'!$O$4:$O$1203,$B246,'ORDENES'!$T$4:$T$1203,"preventiva")</f>
        <v/>
      </c>
      <c r="F246" s="17">
        <f>SUMIFS('ORDENES'!$M$4:$M$1203,'ORDENES'!$Y$4:$Y$1203,$A246,'ORDENES'!$O$4:$O$1203,$B246,'ORDENES'!$T$4:$T$1203,"correctiva")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SUMIFS('ASIGNACIONES'!$I$4:$I$339,'ASIGNACIONES'!$E$4:$E$339,$A247,'ASIGNACIONES'!$A$4:$A$339,$B247)</f>
        <v/>
      </c>
      <c r="D247" s="17">
        <f>C247*p_factor_productividad</f>
        <v/>
      </c>
      <c r="E247" s="17">
        <f>SUMIFS('ORDENES'!$M$4:$M$1203,'ORDENES'!$Y$4:$Y$1203,$A247,'ORDENES'!$O$4:$O$1203,$B247,'ORDENES'!$T$4:$T$1203,"preventiva")</f>
        <v/>
      </c>
      <c r="F247" s="17">
        <f>SUMIFS('ORDENES'!$M$4:$M$1203,'ORDENES'!$Y$4:$Y$1203,$A247,'ORDENES'!$O$4:$O$1203,$B247,'ORDENES'!$T$4:$T$1203,"correctiva")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SUMIFS('ASIGNACIONES'!$I$4:$I$339,'ASIGNACIONES'!$E$4:$E$339,$A248,'ASIGNACIONES'!$A$4:$A$339,$B248)</f>
        <v/>
      </c>
      <c r="D248" s="17">
        <f>C248*p_factor_productividad</f>
        <v/>
      </c>
      <c r="E248" s="17">
        <f>SUMIFS('ORDENES'!$M$4:$M$1203,'ORDENES'!$Y$4:$Y$1203,$A248,'ORDENES'!$O$4:$O$1203,$B248,'ORDENES'!$T$4:$T$1203,"preventiva")</f>
        <v/>
      </c>
      <c r="F248" s="17">
        <f>SUMIFS('ORDENES'!$M$4:$M$1203,'ORDENES'!$Y$4:$Y$1203,$A248,'ORDENES'!$O$4:$O$1203,$B248,'ORDENES'!$T$4:$T$1203,"correctiva")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SUMIFS('ASIGNACIONES'!$I$4:$I$339,'ASIGNACIONES'!$E$4:$E$339,$A249,'ASIGNACIONES'!$A$4:$A$339,$B249)</f>
        <v/>
      </c>
      <c r="D249" s="17">
        <f>C249*p_factor_productividad</f>
        <v/>
      </c>
      <c r="E249" s="17">
        <f>SUMIFS('ORDENES'!$M$4:$M$1203,'ORDENES'!$Y$4:$Y$1203,$A249,'ORDENES'!$O$4:$O$1203,$B249,'ORDENES'!$T$4:$T$1203,"preventiva")</f>
        <v/>
      </c>
      <c r="F249" s="17">
        <f>SUMIFS('ORDENES'!$M$4:$M$1203,'ORDENES'!$Y$4:$Y$1203,$A249,'ORDENES'!$O$4:$O$1203,$B249,'ORDENES'!$T$4:$T$1203,"correctiva")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SUMIFS('ASIGNACIONES'!$I$4:$I$339,'ASIGNACIONES'!$E$4:$E$339,$A250,'ASIGNACIONES'!$A$4:$A$339,$B250)</f>
        <v/>
      </c>
      <c r="D250" s="17">
        <f>C250*p_factor_productividad</f>
        <v/>
      </c>
      <c r="E250" s="17">
        <f>SUMIFS('ORDENES'!$M$4:$M$1203,'ORDENES'!$Y$4:$Y$1203,$A250,'ORDENES'!$O$4:$O$1203,$B250,'ORDENES'!$T$4:$T$1203,"preventiva")</f>
        <v/>
      </c>
      <c r="F250" s="17">
        <f>SUMIFS('ORDENES'!$M$4:$M$1203,'ORDENES'!$Y$4:$Y$1203,$A250,'ORDENES'!$O$4:$O$1203,$B250,'ORDENES'!$T$4:$T$1203,"correctiva")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SUMIFS('ASIGNACIONES'!$I$4:$I$339,'ASIGNACIONES'!$E$4:$E$339,$A251,'ASIGNACIONES'!$A$4:$A$339,$B251)</f>
        <v/>
      </c>
      <c r="D251" s="17">
        <f>C251*p_factor_productividad</f>
        <v/>
      </c>
      <c r="E251" s="17">
        <f>SUMIFS('ORDENES'!$M$4:$M$1203,'ORDENES'!$Y$4:$Y$1203,$A251,'ORDENES'!$O$4:$O$1203,$B251,'ORDENES'!$T$4:$T$1203,"preventiva")</f>
        <v/>
      </c>
      <c r="F251" s="17">
        <f>SUMIFS('ORDENES'!$M$4:$M$1203,'ORDENES'!$Y$4:$Y$1203,$A251,'ORDENES'!$O$4:$O$1203,$B251,'ORDENES'!$T$4:$T$1203,"correctiva")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SUMIFS('ASIGNACIONES'!$I$4:$I$339,'ASIGNACIONES'!$E$4:$E$339,$A252,'ASIGNACIONES'!$A$4:$A$339,$B252)</f>
        <v/>
      </c>
      <c r="D252" s="17">
        <f>C252*p_factor_productividad</f>
        <v/>
      </c>
      <c r="E252" s="17">
        <f>SUMIFS('ORDENES'!$M$4:$M$1203,'ORDENES'!$Y$4:$Y$1203,$A252,'ORDENES'!$O$4:$O$1203,$B252,'ORDENES'!$T$4:$T$1203,"preventiva")</f>
        <v/>
      </c>
      <c r="F252" s="17">
        <f>SUMIFS('ORDENES'!$M$4:$M$1203,'ORDENES'!$Y$4:$Y$1203,$A252,'ORDENES'!$O$4:$O$1203,$B252,'ORDENES'!$T$4:$T$1203,"correctiva")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SUMIFS('ASIGNACIONES'!$I$4:$I$339,'ASIGNACIONES'!$E$4:$E$339,$A253,'ASIGNACIONES'!$A$4:$A$339,$B253)</f>
        <v/>
      </c>
      <c r="D253" s="17">
        <f>C253*p_factor_productividad</f>
        <v/>
      </c>
      <c r="E253" s="17">
        <f>SUMIFS('ORDENES'!$M$4:$M$1203,'ORDENES'!$Y$4:$Y$1203,$A253,'ORDENES'!$O$4:$O$1203,$B253,'ORDENES'!$T$4:$T$1203,"preventiva")</f>
        <v/>
      </c>
      <c r="F253" s="17">
        <f>SUMIFS('ORDENES'!$M$4:$M$1203,'ORDENES'!$Y$4:$Y$1203,$A253,'ORDENES'!$O$4:$O$1203,$B253,'ORDENES'!$T$4:$T$1203,"correctiva")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SUMIFS('ASIGNACIONES'!$I$4:$I$339,'ASIGNACIONES'!$E$4:$E$339,$A254,'ASIGNACIONES'!$A$4:$A$339,$B254)</f>
        <v/>
      </c>
      <c r="D254" s="17">
        <f>C254*p_factor_productividad</f>
        <v/>
      </c>
      <c r="E254" s="17">
        <f>SUMIFS('ORDENES'!$M$4:$M$1203,'ORDENES'!$Y$4:$Y$1203,$A254,'ORDENES'!$O$4:$O$1203,$B254,'ORDENES'!$T$4:$T$1203,"preventiva")</f>
        <v/>
      </c>
      <c r="F254" s="17">
        <f>SUMIFS('ORDENES'!$M$4:$M$1203,'ORDENES'!$Y$4:$Y$1203,$A254,'ORDENES'!$O$4:$O$1203,$B254,'ORDENES'!$T$4:$T$1203,"correctiva")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SUMIFS('ASIGNACIONES'!$I$4:$I$339,'ASIGNACIONES'!$E$4:$E$339,$A255,'ASIGNACIONES'!$A$4:$A$339,$B255)</f>
        <v/>
      </c>
      <c r="D255" s="17">
        <f>C255*p_factor_productividad</f>
        <v/>
      </c>
      <c r="E255" s="17">
        <f>SUMIFS('ORDENES'!$M$4:$M$1203,'ORDENES'!$Y$4:$Y$1203,$A255,'ORDENES'!$O$4:$O$1203,$B255,'ORDENES'!$T$4:$T$1203,"preventiva")</f>
        <v/>
      </c>
      <c r="F255" s="17">
        <f>SUMIFS('ORDENES'!$M$4:$M$1203,'ORDENES'!$Y$4:$Y$1203,$A255,'ORDENES'!$O$4:$O$1203,$B255,'ORDENES'!$T$4:$T$1203,"correctiva")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SUMIFS('ASIGNACIONES'!$I$4:$I$339,'ASIGNACIONES'!$E$4:$E$339,$A256,'ASIGNACIONES'!$A$4:$A$339,$B256)</f>
        <v/>
      </c>
      <c r="D256" s="17">
        <f>C256*p_factor_productividad</f>
        <v/>
      </c>
      <c r="E256" s="17">
        <f>SUMIFS('ORDENES'!$M$4:$M$1203,'ORDENES'!$Y$4:$Y$1203,$A256,'ORDENES'!$O$4:$O$1203,$B256,'ORDENES'!$T$4:$T$1203,"preventiva")</f>
        <v/>
      </c>
      <c r="F256" s="17">
        <f>SUMIFS('ORDENES'!$M$4:$M$1203,'ORDENES'!$Y$4:$Y$1203,$A256,'ORDENES'!$O$4:$O$1203,$B256,'ORDENES'!$T$4:$T$1203,"correctiva")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SUMIFS('ASIGNACIONES'!$I$4:$I$339,'ASIGNACIONES'!$E$4:$E$339,$A257,'ASIGNACIONES'!$A$4:$A$339,$B257)</f>
        <v/>
      </c>
      <c r="D257" s="17">
        <f>C257*p_factor_productividad</f>
        <v/>
      </c>
      <c r="E257" s="17">
        <f>SUMIFS('ORDENES'!$M$4:$M$1203,'ORDENES'!$Y$4:$Y$1203,$A257,'ORDENES'!$O$4:$O$1203,$B257,'ORDENES'!$T$4:$T$1203,"preventiva")</f>
        <v/>
      </c>
      <c r="F257" s="17">
        <f>SUMIFS('ORDENES'!$M$4:$M$1203,'ORDENES'!$Y$4:$Y$1203,$A257,'ORDENES'!$O$4:$O$1203,$B257,'ORDENES'!$T$4:$T$1203,"correctiva")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SUMIFS('ASIGNACIONES'!$I$4:$I$339,'ASIGNACIONES'!$E$4:$E$339,$A258,'ASIGNACIONES'!$A$4:$A$339,$B258)</f>
        <v/>
      </c>
      <c r="D258" s="17">
        <f>C258*p_factor_productividad</f>
        <v/>
      </c>
      <c r="E258" s="17">
        <f>SUMIFS('ORDENES'!$M$4:$M$1203,'ORDENES'!$Y$4:$Y$1203,$A258,'ORDENES'!$O$4:$O$1203,$B258,'ORDENES'!$T$4:$T$1203,"preventiva")</f>
        <v/>
      </c>
      <c r="F258" s="17">
        <f>SUMIFS('ORDENES'!$M$4:$M$1203,'ORDENES'!$Y$4:$Y$1203,$A258,'ORDENES'!$O$4:$O$1203,$B258,'ORDENES'!$T$4:$T$1203,"correctiva")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SUMIFS('ASIGNACIONES'!$I$4:$I$339,'ASIGNACIONES'!$E$4:$E$339,$A259,'ASIGNACIONES'!$A$4:$A$339,$B259)</f>
        <v/>
      </c>
      <c r="D259" s="17">
        <f>C259*p_factor_productividad</f>
        <v/>
      </c>
      <c r="E259" s="17">
        <f>SUMIFS('ORDENES'!$M$4:$M$1203,'ORDENES'!$Y$4:$Y$1203,$A259,'ORDENES'!$O$4:$O$1203,$B259,'ORDENES'!$T$4:$T$1203,"preventiva")</f>
        <v/>
      </c>
      <c r="F259" s="17">
        <f>SUMIFS('ORDENES'!$M$4:$M$1203,'ORDENES'!$Y$4:$Y$1203,$A259,'ORDENES'!$O$4:$O$1203,$B259,'ORDENES'!$T$4:$T$1203,"correctiva")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SUMIFS('ASIGNACIONES'!$I$4:$I$339,'ASIGNACIONES'!$E$4:$E$339,$A260,'ASIGNACIONES'!$A$4:$A$339,$B260)</f>
        <v/>
      </c>
      <c r="D260" s="17">
        <f>C260*p_factor_productividad</f>
        <v/>
      </c>
      <c r="E260" s="17">
        <f>SUMIFS('ORDENES'!$M$4:$M$1203,'ORDENES'!$Y$4:$Y$1203,$A260,'ORDENES'!$O$4:$O$1203,$B260,'ORDENES'!$T$4:$T$1203,"preventiva")</f>
        <v/>
      </c>
      <c r="F260" s="17">
        <f>SUMIFS('ORDENES'!$M$4:$M$1203,'ORDENES'!$Y$4:$Y$1203,$A260,'ORDENES'!$O$4:$O$1203,$B260,'ORDENES'!$T$4:$T$1203,"correctiva")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SUMIFS('ASIGNACIONES'!$I$4:$I$339,'ASIGNACIONES'!$E$4:$E$339,$A261,'ASIGNACIONES'!$A$4:$A$339,$B261)</f>
        <v/>
      </c>
      <c r="D261" s="17">
        <f>C261*p_factor_productividad</f>
        <v/>
      </c>
      <c r="E261" s="17">
        <f>SUMIFS('ORDENES'!$M$4:$M$1203,'ORDENES'!$Y$4:$Y$1203,$A261,'ORDENES'!$O$4:$O$1203,$B261,'ORDENES'!$T$4:$T$1203,"preventiva")</f>
        <v/>
      </c>
      <c r="F261" s="17">
        <f>SUMIFS('ORDENES'!$M$4:$M$1203,'ORDENES'!$Y$4:$Y$1203,$A261,'ORDENES'!$O$4:$O$1203,$B261,'ORDENES'!$T$4:$T$1203,"correctiva")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SUMIFS('ASIGNACIONES'!$I$4:$I$339,'ASIGNACIONES'!$E$4:$E$339,$A262,'ASIGNACIONES'!$A$4:$A$339,$B262)</f>
        <v/>
      </c>
      <c r="D262" s="17">
        <f>C262*p_factor_productividad</f>
        <v/>
      </c>
      <c r="E262" s="17">
        <f>SUMIFS('ORDENES'!$M$4:$M$1203,'ORDENES'!$Y$4:$Y$1203,$A262,'ORDENES'!$O$4:$O$1203,$B262,'ORDENES'!$T$4:$T$1203,"preventiva")</f>
        <v/>
      </c>
      <c r="F262" s="17">
        <f>SUMIFS('ORDENES'!$M$4:$M$1203,'ORDENES'!$Y$4:$Y$1203,$A262,'ORDENES'!$O$4:$O$1203,$B262,'ORDENES'!$T$4:$T$1203,"correctiva")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SUMIFS('ASIGNACIONES'!$I$4:$I$339,'ASIGNACIONES'!$E$4:$E$339,$A263,'ASIGNACIONES'!$A$4:$A$339,$B263)</f>
        <v/>
      </c>
      <c r="D263" s="17">
        <f>C263*p_factor_productividad</f>
        <v/>
      </c>
      <c r="E263" s="17">
        <f>SUMIFS('ORDENES'!$M$4:$M$1203,'ORDENES'!$Y$4:$Y$1203,$A263,'ORDENES'!$O$4:$O$1203,$B263,'ORDENES'!$T$4:$T$1203,"preventiva")</f>
        <v/>
      </c>
      <c r="F263" s="17">
        <f>SUMIFS('ORDENES'!$M$4:$M$1203,'ORDENES'!$Y$4:$Y$1203,$A263,'ORDENES'!$O$4:$O$1203,$B263,'ORDENES'!$T$4:$T$1203,"correctiva")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SUMIFS('ASIGNACIONES'!$I$4:$I$339,'ASIGNACIONES'!$E$4:$E$339,$A264,'ASIGNACIONES'!$A$4:$A$339,$B264)</f>
        <v/>
      </c>
      <c r="D264" s="17">
        <f>C264*p_factor_productividad</f>
        <v/>
      </c>
      <c r="E264" s="17">
        <f>SUMIFS('ORDENES'!$M$4:$M$1203,'ORDENES'!$Y$4:$Y$1203,$A264,'ORDENES'!$O$4:$O$1203,$B264,'ORDENES'!$T$4:$T$1203,"preventiva")</f>
        <v/>
      </c>
      <c r="F264" s="17">
        <f>SUMIFS('ORDENES'!$M$4:$M$1203,'ORDENES'!$Y$4:$Y$1203,$A264,'ORDENES'!$O$4:$O$1203,$B264,'ORDENES'!$T$4:$T$1203,"correctiva")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SUMIFS('ASIGNACIONES'!$I$4:$I$339,'ASIGNACIONES'!$E$4:$E$339,$A265,'ASIGNACIONES'!$A$4:$A$339,$B265)</f>
        <v/>
      </c>
      <c r="D265" s="17">
        <f>C265*p_factor_productividad</f>
        <v/>
      </c>
      <c r="E265" s="17">
        <f>SUMIFS('ORDENES'!$M$4:$M$1203,'ORDENES'!$Y$4:$Y$1203,$A265,'ORDENES'!$O$4:$O$1203,$B265,'ORDENES'!$T$4:$T$1203,"preventiva")</f>
        <v/>
      </c>
      <c r="F265" s="17">
        <f>SUMIFS('ORDENES'!$M$4:$M$1203,'ORDENES'!$Y$4:$Y$1203,$A265,'ORDENES'!$O$4:$O$1203,$B265,'ORDENES'!$T$4:$T$1203,"correctiva")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SUMIFS('ASIGNACIONES'!$I$4:$I$339,'ASIGNACIONES'!$E$4:$E$339,$A266,'ASIGNACIONES'!$A$4:$A$339,$B266)</f>
        <v/>
      </c>
      <c r="D266" s="17">
        <f>C266*p_factor_productividad</f>
        <v/>
      </c>
      <c r="E266" s="17">
        <f>SUMIFS('ORDENES'!$M$4:$M$1203,'ORDENES'!$Y$4:$Y$1203,$A266,'ORDENES'!$O$4:$O$1203,$B266,'ORDENES'!$T$4:$T$1203,"preventiva")</f>
        <v/>
      </c>
      <c r="F266" s="17">
        <f>SUMIFS('ORDENES'!$M$4:$M$1203,'ORDENES'!$Y$4:$Y$1203,$A266,'ORDENES'!$O$4:$O$1203,$B266,'ORDENES'!$T$4:$T$1203,"correctiva")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SUMIFS('ASIGNACIONES'!$I$4:$I$339,'ASIGNACIONES'!$E$4:$E$339,$A267,'ASIGNACIONES'!$A$4:$A$339,$B267)</f>
        <v/>
      </c>
      <c r="D267" s="17">
        <f>C267*p_factor_productividad</f>
        <v/>
      </c>
      <c r="E267" s="17">
        <f>SUMIFS('ORDENES'!$M$4:$M$1203,'ORDENES'!$Y$4:$Y$1203,$A267,'ORDENES'!$O$4:$O$1203,$B267,'ORDENES'!$T$4:$T$1203,"preventiva")</f>
        <v/>
      </c>
      <c r="F267" s="17">
        <f>SUMIFS('ORDENES'!$M$4:$M$1203,'ORDENES'!$Y$4:$Y$1203,$A267,'ORDENES'!$O$4:$O$1203,$B267,'ORDENES'!$T$4:$T$1203,"correctiva")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SUMIFS('ASIGNACIONES'!$I$4:$I$339,'ASIGNACIONES'!$E$4:$E$339,$A268,'ASIGNACIONES'!$A$4:$A$339,$B268)</f>
        <v/>
      </c>
      <c r="D268" s="17">
        <f>C268*p_factor_productividad</f>
        <v/>
      </c>
      <c r="E268" s="17">
        <f>SUMIFS('ORDENES'!$M$4:$M$1203,'ORDENES'!$Y$4:$Y$1203,$A268,'ORDENES'!$O$4:$O$1203,$B268,'ORDENES'!$T$4:$T$1203,"preventiva")</f>
        <v/>
      </c>
      <c r="F268" s="17">
        <f>SUMIFS('ORDENES'!$M$4:$M$1203,'ORDENES'!$Y$4:$Y$1203,$A268,'ORDENES'!$O$4:$O$1203,$B268,'ORDENES'!$T$4:$T$1203,"correctiva")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SUMIFS('ASIGNACIONES'!$I$4:$I$339,'ASIGNACIONES'!$E$4:$E$339,$A269,'ASIGNACIONES'!$A$4:$A$339,$B269)</f>
        <v/>
      </c>
      <c r="D269" s="17">
        <f>C269*p_factor_productividad</f>
        <v/>
      </c>
      <c r="E269" s="17">
        <f>SUMIFS('ORDENES'!$M$4:$M$1203,'ORDENES'!$Y$4:$Y$1203,$A269,'ORDENES'!$O$4:$O$1203,$B269,'ORDENES'!$T$4:$T$1203,"preventiva")</f>
        <v/>
      </c>
      <c r="F269" s="17">
        <f>SUMIFS('ORDENES'!$M$4:$M$1203,'ORDENES'!$Y$4:$Y$1203,$A269,'ORDENES'!$O$4:$O$1203,$B269,'ORDENES'!$T$4:$T$1203,"correctiva")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SUMIFS('ASIGNACIONES'!$I$4:$I$339,'ASIGNACIONES'!$E$4:$E$339,$A270,'ASIGNACIONES'!$A$4:$A$339,$B270)</f>
        <v/>
      </c>
      <c r="D270" s="17">
        <f>C270*p_factor_productividad</f>
        <v/>
      </c>
      <c r="E270" s="17">
        <f>SUMIFS('ORDENES'!$M$4:$M$1203,'ORDENES'!$Y$4:$Y$1203,$A270,'ORDENES'!$O$4:$O$1203,$B270,'ORDENES'!$T$4:$T$1203,"preventiva")</f>
        <v/>
      </c>
      <c r="F270" s="17">
        <f>SUMIFS('ORDENES'!$M$4:$M$1203,'ORDENES'!$Y$4:$Y$1203,$A270,'ORDENES'!$O$4:$O$1203,$B270,'ORDENES'!$T$4:$T$1203,"correctiva")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SUMIFS('ASIGNACIONES'!$I$4:$I$339,'ASIGNACIONES'!$E$4:$E$339,$A271,'ASIGNACIONES'!$A$4:$A$339,$B271)</f>
        <v/>
      </c>
      <c r="D271" s="17">
        <f>C271*p_factor_productividad</f>
        <v/>
      </c>
      <c r="E271" s="17">
        <f>SUMIFS('ORDENES'!$M$4:$M$1203,'ORDENES'!$Y$4:$Y$1203,$A271,'ORDENES'!$O$4:$O$1203,$B271,'ORDENES'!$T$4:$T$1203,"preventiva")</f>
        <v/>
      </c>
      <c r="F271" s="17">
        <f>SUMIFS('ORDENES'!$M$4:$M$1203,'ORDENES'!$Y$4:$Y$1203,$A271,'ORDENES'!$O$4:$O$1203,$B271,'ORDENES'!$T$4:$T$1203,"correctiva")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SUMIFS('ASIGNACIONES'!$I$4:$I$339,'ASIGNACIONES'!$E$4:$E$339,$A272,'ASIGNACIONES'!$A$4:$A$339,$B272)</f>
        <v/>
      </c>
      <c r="D272" s="17">
        <f>C272*p_factor_productividad</f>
        <v/>
      </c>
      <c r="E272" s="17">
        <f>SUMIFS('ORDENES'!$M$4:$M$1203,'ORDENES'!$Y$4:$Y$1203,$A272,'ORDENES'!$O$4:$O$1203,$B272,'ORDENES'!$T$4:$T$1203,"preventiva")</f>
        <v/>
      </c>
      <c r="F272" s="17">
        <f>SUMIFS('ORDENES'!$M$4:$M$1203,'ORDENES'!$Y$4:$Y$1203,$A272,'ORDENES'!$O$4:$O$1203,$B272,'ORDENES'!$T$4:$T$1203,"correctiva")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SUMIFS('ASIGNACIONES'!$I$4:$I$339,'ASIGNACIONES'!$E$4:$E$339,$A273,'ASIGNACIONES'!$A$4:$A$339,$B273)</f>
        <v/>
      </c>
      <c r="D273" s="17">
        <f>C273*p_factor_productividad</f>
        <v/>
      </c>
      <c r="E273" s="17">
        <f>SUMIFS('ORDENES'!$M$4:$M$1203,'ORDENES'!$Y$4:$Y$1203,$A273,'ORDENES'!$O$4:$O$1203,$B273,'ORDENES'!$T$4:$T$1203,"preventiva")</f>
        <v/>
      </c>
      <c r="F273" s="17">
        <f>SUMIFS('ORDENES'!$M$4:$M$1203,'ORDENES'!$Y$4:$Y$1203,$A273,'ORDENES'!$O$4:$O$1203,$B273,'ORDENES'!$T$4:$T$1203,"correctiva")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SUMIFS('ASIGNACIONES'!$I$4:$I$339,'ASIGNACIONES'!$E$4:$E$339,$A274,'ASIGNACIONES'!$A$4:$A$339,$B274)</f>
        <v/>
      </c>
      <c r="D274" s="17">
        <f>C274*p_factor_productividad</f>
        <v/>
      </c>
      <c r="E274" s="17">
        <f>SUMIFS('ORDENES'!$M$4:$M$1203,'ORDENES'!$Y$4:$Y$1203,$A274,'ORDENES'!$O$4:$O$1203,$B274,'ORDENES'!$T$4:$T$1203,"preventiva")</f>
        <v/>
      </c>
      <c r="F274" s="17">
        <f>SUMIFS('ORDENES'!$M$4:$M$1203,'ORDENES'!$Y$4:$Y$1203,$A274,'ORDENES'!$O$4:$O$1203,$B274,'ORDENES'!$T$4:$T$1203,"correctiva")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SUMIFS('ASIGNACIONES'!$I$4:$I$339,'ASIGNACIONES'!$E$4:$E$339,$A275,'ASIGNACIONES'!$A$4:$A$339,$B275)</f>
        <v/>
      </c>
      <c r="D275" s="17">
        <f>C275*p_factor_productividad</f>
        <v/>
      </c>
      <c r="E275" s="17">
        <f>SUMIFS('ORDENES'!$M$4:$M$1203,'ORDENES'!$Y$4:$Y$1203,$A275,'ORDENES'!$O$4:$O$1203,$B275,'ORDENES'!$T$4:$T$1203,"preventiva")</f>
        <v/>
      </c>
      <c r="F275" s="17">
        <f>SUMIFS('ORDENES'!$M$4:$M$1203,'ORDENES'!$Y$4:$Y$1203,$A275,'ORDENES'!$O$4:$O$1203,$B275,'ORDENES'!$T$4:$T$1203,"correctiva")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SUMIFS('ASIGNACIONES'!$I$4:$I$339,'ASIGNACIONES'!$E$4:$E$339,$A276,'ASIGNACIONES'!$A$4:$A$339,$B276)</f>
        <v/>
      </c>
      <c r="D276" s="17">
        <f>C276*p_factor_productividad</f>
        <v/>
      </c>
      <c r="E276" s="17">
        <f>SUMIFS('ORDENES'!$M$4:$M$1203,'ORDENES'!$Y$4:$Y$1203,$A276,'ORDENES'!$O$4:$O$1203,$B276,'ORDENES'!$T$4:$T$1203,"preventiva")</f>
        <v/>
      </c>
      <c r="F276" s="17">
        <f>SUMIFS('ORDENES'!$M$4:$M$1203,'ORDENES'!$Y$4:$Y$1203,$A276,'ORDENES'!$O$4:$O$1203,$B276,'ORDENES'!$T$4:$T$1203,"correctiva")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SUMIFS('ASIGNACIONES'!$I$4:$I$339,'ASIGNACIONES'!$E$4:$E$339,$A277,'ASIGNACIONES'!$A$4:$A$339,$B277)</f>
        <v/>
      </c>
      <c r="D277" s="17">
        <f>C277*p_factor_productividad</f>
        <v/>
      </c>
      <c r="E277" s="17">
        <f>SUMIFS('ORDENES'!$M$4:$M$1203,'ORDENES'!$Y$4:$Y$1203,$A277,'ORDENES'!$O$4:$O$1203,$B277,'ORDENES'!$T$4:$T$1203,"preventiva")</f>
        <v/>
      </c>
      <c r="F277" s="17">
        <f>SUMIFS('ORDENES'!$M$4:$M$1203,'ORDENES'!$Y$4:$Y$1203,$A277,'ORDENES'!$O$4:$O$1203,$B277,'ORDENES'!$T$4:$T$1203,"correctiva")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SUMIFS('ASIGNACIONES'!$I$4:$I$339,'ASIGNACIONES'!$E$4:$E$339,$A278,'ASIGNACIONES'!$A$4:$A$339,$B278)</f>
        <v/>
      </c>
      <c r="D278" s="17">
        <f>C278*p_factor_productividad</f>
        <v/>
      </c>
      <c r="E278" s="17">
        <f>SUMIFS('ORDENES'!$M$4:$M$1203,'ORDENES'!$Y$4:$Y$1203,$A278,'ORDENES'!$O$4:$O$1203,$B278,'ORDENES'!$T$4:$T$1203,"preventiva")</f>
        <v/>
      </c>
      <c r="F278" s="17">
        <f>SUMIFS('ORDENES'!$M$4:$M$1203,'ORDENES'!$Y$4:$Y$1203,$A278,'ORDENES'!$O$4:$O$1203,$B278,'ORDENES'!$T$4:$T$1203,"correctiva")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SUMIFS('ASIGNACIONES'!$I$4:$I$339,'ASIGNACIONES'!$E$4:$E$339,$A279,'ASIGNACIONES'!$A$4:$A$339,$B279)</f>
        <v/>
      </c>
      <c r="D279" s="17">
        <f>C279*p_factor_productividad</f>
        <v/>
      </c>
      <c r="E279" s="17">
        <f>SUMIFS('ORDENES'!$M$4:$M$1203,'ORDENES'!$Y$4:$Y$1203,$A279,'ORDENES'!$O$4:$O$1203,$B279,'ORDENES'!$T$4:$T$1203,"preventiva")</f>
        <v/>
      </c>
      <c r="F279" s="17">
        <f>SUMIFS('ORDENES'!$M$4:$M$1203,'ORDENES'!$Y$4:$Y$1203,$A279,'ORDENES'!$O$4:$O$1203,$B279,'ORDENES'!$T$4:$T$1203,"correctiva")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SUMIFS('ASIGNACIONES'!$I$4:$I$339,'ASIGNACIONES'!$E$4:$E$339,$A280,'ASIGNACIONES'!$A$4:$A$339,$B280)</f>
        <v/>
      </c>
      <c r="D280" s="17">
        <f>C280*p_factor_productividad</f>
        <v/>
      </c>
      <c r="E280" s="17">
        <f>SUMIFS('ORDENES'!$M$4:$M$1203,'ORDENES'!$Y$4:$Y$1203,$A280,'ORDENES'!$O$4:$O$1203,$B280,'ORDENES'!$T$4:$T$1203,"preventiva")</f>
        <v/>
      </c>
      <c r="F280" s="17">
        <f>SUMIFS('ORDENES'!$M$4:$M$1203,'ORDENES'!$Y$4:$Y$1203,$A280,'ORDENES'!$O$4:$O$1203,$B280,'ORDENES'!$T$4:$T$1203,"correctiva")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SUMIFS('ASIGNACIONES'!$I$4:$I$339,'ASIGNACIONES'!$E$4:$E$339,$A281,'ASIGNACIONES'!$A$4:$A$339,$B281)</f>
        <v/>
      </c>
      <c r="D281" s="17">
        <f>C281*p_factor_productividad</f>
        <v/>
      </c>
      <c r="E281" s="17">
        <f>SUMIFS('ORDENES'!$M$4:$M$1203,'ORDENES'!$Y$4:$Y$1203,$A281,'ORDENES'!$O$4:$O$1203,$B281,'ORDENES'!$T$4:$T$1203,"preventiva")</f>
        <v/>
      </c>
      <c r="F281" s="17">
        <f>SUMIFS('ORDENES'!$M$4:$M$1203,'ORDENES'!$Y$4:$Y$1203,$A281,'ORDENES'!$O$4:$O$1203,$B281,'ORDENES'!$T$4:$T$1203,"correctiva")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SUMIFS('ASIGNACIONES'!$I$4:$I$339,'ASIGNACIONES'!$E$4:$E$339,$A282,'ASIGNACIONES'!$A$4:$A$339,$B282)</f>
        <v/>
      </c>
      <c r="D282" s="17">
        <f>C282*p_factor_productividad</f>
        <v/>
      </c>
      <c r="E282" s="17">
        <f>SUMIFS('ORDENES'!$M$4:$M$1203,'ORDENES'!$Y$4:$Y$1203,$A282,'ORDENES'!$O$4:$O$1203,$B282,'ORDENES'!$T$4:$T$1203,"preventiva")</f>
        <v/>
      </c>
      <c r="F282" s="17">
        <f>SUMIFS('ORDENES'!$M$4:$M$1203,'ORDENES'!$Y$4:$Y$1203,$A282,'ORDENES'!$O$4:$O$1203,$B282,'ORDENES'!$T$4:$T$1203,"correctiva")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SUMIFS('ASIGNACIONES'!$I$4:$I$339,'ASIGNACIONES'!$E$4:$E$339,$A283,'ASIGNACIONES'!$A$4:$A$339,$B283)</f>
        <v/>
      </c>
      <c r="D283" s="17">
        <f>C283*p_factor_productividad</f>
        <v/>
      </c>
      <c r="E283" s="17">
        <f>SUMIFS('ORDENES'!$M$4:$M$1203,'ORDENES'!$Y$4:$Y$1203,$A283,'ORDENES'!$O$4:$O$1203,$B283,'ORDENES'!$T$4:$T$1203,"preventiva")</f>
        <v/>
      </c>
      <c r="F283" s="17">
        <f>SUMIFS('ORDENES'!$M$4:$M$1203,'ORDENES'!$Y$4:$Y$1203,$A283,'ORDENES'!$O$4:$O$1203,$B283,'ORDENES'!$T$4:$T$1203,"correctiva")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SUMIFS('ASIGNACIONES'!$I$4:$I$339,'ASIGNACIONES'!$E$4:$E$339,$A284,'ASIGNACIONES'!$A$4:$A$339,$B284)</f>
        <v/>
      </c>
      <c r="D284" s="17">
        <f>C284*p_factor_productividad</f>
        <v/>
      </c>
      <c r="E284" s="17">
        <f>SUMIFS('ORDENES'!$M$4:$M$1203,'ORDENES'!$Y$4:$Y$1203,$A284,'ORDENES'!$O$4:$O$1203,$B284,'ORDENES'!$T$4:$T$1203,"preventiva")</f>
        <v/>
      </c>
      <c r="F284" s="17">
        <f>SUMIFS('ORDENES'!$M$4:$M$1203,'ORDENES'!$Y$4:$Y$1203,$A284,'ORDENES'!$O$4:$O$1203,$B284,'ORDENES'!$T$4:$T$1203,"correctiva")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SUMIFS('ASIGNACIONES'!$I$4:$I$339,'ASIGNACIONES'!$E$4:$E$339,$A285,'ASIGNACIONES'!$A$4:$A$339,$B285)</f>
        <v/>
      </c>
      <c r="D285" s="17">
        <f>C285*p_factor_productividad</f>
        <v/>
      </c>
      <c r="E285" s="17">
        <f>SUMIFS('ORDENES'!$M$4:$M$1203,'ORDENES'!$Y$4:$Y$1203,$A285,'ORDENES'!$O$4:$O$1203,$B285,'ORDENES'!$T$4:$T$1203,"preventiva")</f>
        <v/>
      </c>
      <c r="F285" s="17">
        <f>SUMIFS('ORDENES'!$M$4:$M$1203,'ORDENES'!$Y$4:$Y$1203,$A285,'ORDENES'!$O$4:$O$1203,$B285,'ORDENES'!$T$4:$T$1203,"correctiva")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SUMIFS('ASIGNACIONES'!$I$4:$I$339,'ASIGNACIONES'!$E$4:$E$339,$A286,'ASIGNACIONES'!$A$4:$A$339,$B286)</f>
        <v/>
      </c>
      <c r="D286" s="17">
        <f>C286*p_factor_productividad</f>
        <v/>
      </c>
      <c r="E286" s="17">
        <f>SUMIFS('ORDENES'!$M$4:$M$1203,'ORDENES'!$Y$4:$Y$1203,$A286,'ORDENES'!$O$4:$O$1203,$B286,'ORDENES'!$T$4:$T$1203,"preventiva")</f>
        <v/>
      </c>
      <c r="F286" s="17">
        <f>SUMIFS('ORDENES'!$M$4:$M$1203,'ORDENES'!$Y$4:$Y$1203,$A286,'ORDENES'!$O$4:$O$1203,$B286,'ORDENES'!$T$4:$T$1203,"correctiva")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SUMIFS('ASIGNACIONES'!$I$4:$I$339,'ASIGNACIONES'!$E$4:$E$339,$A287,'ASIGNACIONES'!$A$4:$A$339,$B287)</f>
        <v/>
      </c>
      <c r="D287" s="17">
        <f>C287*p_factor_productividad</f>
        <v/>
      </c>
      <c r="E287" s="17">
        <f>SUMIFS('ORDENES'!$M$4:$M$1203,'ORDENES'!$Y$4:$Y$1203,$A287,'ORDENES'!$O$4:$O$1203,$B287,'ORDENES'!$T$4:$T$1203,"preventiva")</f>
        <v/>
      </c>
      <c r="F287" s="17">
        <f>SUMIFS('ORDENES'!$M$4:$M$1203,'ORDENES'!$Y$4:$Y$1203,$A287,'ORDENES'!$O$4:$O$1203,$B287,'ORDENES'!$T$4:$T$1203,"correctiva")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SUMIFS('ASIGNACIONES'!$I$4:$I$339,'ASIGNACIONES'!$E$4:$E$339,$A288,'ASIGNACIONES'!$A$4:$A$339,$B288)</f>
        <v/>
      </c>
      <c r="D288" s="17">
        <f>C288*p_factor_productividad</f>
        <v/>
      </c>
      <c r="E288" s="17">
        <f>SUMIFS('ORDENES'!$M$4:$M$1203,'ORDENES'!$Y$4:$Y$1203,$A288,'ORDENES'!$O$4:$O$1203,$B288,'ORDENES'!$T$4:$T$1203,"preventiva")</f>
        <v/>
      </c>
      <c r="F288" s="17">
        <f>SUMIFS('ORDENES'!$M$4:$M$1203,'ORDENES'!$Y$4:$Y$1203,$A288,'ORDENES'!$O$4:$O$1203,$B288,'ORDENES'!$T$4:$T$1203,"correctiva")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SUMIFS('ASIGNACIONES'!$I$4:$I$339,'ASIGNACIONES'!$E$4:$E$339,$A289,'ASIGNACIONES'!$A$4:$A$339,$B289)</f>
        <v/>
      </c>
      <c r="D289" s="17">
        <f>C289*p_factor_productividad</f>
        <v/>
      </c>
      <c r="E289" s="17">
        <f>SUMIFS('ORDENES'!$M$4:$M$1203,'ORDENES'!$Y$4:$Y$1203,$A289,'ORDENES'!$O$4:$O$1203,$B289,'ORDENES'!$T$4:$T$1203,"preventiva")</f>
        <v/>
      </c>
      <c r="F289" s="17">
        <f>SUMIFS('ORDENES'!$M$4:$M$1203,'ORDENES'!$Y$4:$Y$1203,$A289,'ORDENES'!$O$4:$O$1203,$B289,'ORDENES'!$T$4:$T$1203,"correctiva")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SUMIFS('ASIGNACIONES'!$I$4:$I$339,'ASIGNACIONES'!$E$4:$E$339,$A290,'ASIGNACIONES'!$A$4:$A$339,$B290)</f>
        <v/>
      </c>
      <c r="D290" s="17">
        <f>C290*p_factor_productividad</f>
        <v/>
      </c>
      <c r="E290" s="17">
        <f>SUMIFS('ORDENES'!$M$4:$M$1203,'ORDENES'!$Y$4:$Y$1203,$A290,'ORDENES'!$O$4:$O$1203,$B290,'ORDENES'!$T$4:$T$1203,"preventiva")</f>
        <v/>
      </c>
      <c r="F290" s="17">
        <f>SUMIFS('ORDENES'!$M$4:$M$1203,'ORDENES'!$Y$4:$Y$1203,$A290,'ORDENES'!$O$4:$O$1203,$B290,'ORDENES'!$T$4:$T$1203,"correctiva")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SUMIFS('ASIGNACIONES'!$I$4:$I$339,'ASIGNACIONES'!$E$4:$E$339,$A291,'ASIGNACIONES'!$A$4:$A$339,$B291)</f>
        <v/>
      </c>
      <c r="D291" s="17">
        <f>C291*p_factor_productividad</f>
        <v/>
      </c>
      <c r="E291" s="17">
        <f>SUMIFS('ORDENES'!$M$4:$M$1203,'ORDENES'!$Y$4:$Y$1203,$A291,'ORDENES'!$O$4:$O$1203,$B291,'ORDENES'!$T$4:$T$1203,"preventiva")</f>
        <v/>
      </c>
      <c r="F291" s="17">
        <f>SUMIFS('ORDENES'!$M$4:$M$1203,'ORDENES'!$Y$4:$Y$1203,$A291,'ORDENES'!$O$4:$O$1203,$B291,'ORDENES'!$T$4:$T$1203,"correctiva")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SUMIFS('ASIGNACIONES'!$I$4:$I$339,'ASIGNACIONES'!$E$4:$E$339,$A292,'ASIGNACIONES'!$A$4:$A$339,$B292)</f>
        <v/>
      </c>
      <c r="D292" s="17">
        <f>C292*p_factor_productividad</f>
        <v/>
      </c>
      <c r="E292" s="17">
        <f>SUMIFS('ORDENES'!$M$4:$M$1203,'ORDENES'!$Y$4:$Y$1203,$A292,'ORDENES'!$O$4:$O$1203,$B292,'ORDENES'!$T$4:$T$1203,"preventiva")</f>
        <v/>
      </c>
      <c r="F292" s="17">
        <f>SUMIFS('ORDENES'!$M$4:$M$1203,'ORDENES'!$Y$4:$Y$1203,$A292,'ORDENES'!$O$4:$O$1203,$B292,'ORDENES'!$T$4:$T$1203,"correctiva")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SUMIFS('ASIGNACIONES'!$I$4:$I$339,'ASIGNACIONES'!$E$4:$E$339,$A293,'ASIGNACIONES'!$A$4:$A$339,$B293)</f>
        <v/>
      </c>
      <c r="D293" s="17">
        <f>C293*p_factor_productividad</f>
        <v/>
      </c>
      <c r="E293" s="17">
        <f>SUMIFS('ORDENES'!$M$4:$M$1203,'ORDENES'!$Y$4:$Y$1203,$A293,'ORDENES'!$O$4:$O$1203,$B293,'ORDENES'!$T$4:$T$1203,"preventiva")</f>
        <v/>
      </c>
      <c r="F293" s="17">
        <f>SUMIFS('ORDENES'!$M$4:$M$1203,'ORDENES'!$Y$4:$Y$1203,$A293,'ORDENES'!$O$4:$O$1203,$B293,'ORDENES'!$T$4:$T$1203,"correctiva")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SUMIFS('ASIGNACIONES'!$I$4:$I$339,'ASIGNACIONES'!$E$4:$E$339,$A294,'ASIGNACIONES'!$A$4:$A$339,$B294)</f>
        <v/>
      </c>
      <c r="D294" s="17">
        <f>C294*p_factor_productividad</f>
        <v/>
      </c>
      <c r="E294" s="17">
        <f>SUMIFS('ORDENES'!$M$4:$M$1203,'ORDENES'!$Y$4:$Y$1203,$A294,'ORDENES'!$O$4:$O$1203,$B294,'ORDENES'!$T$4:$T$1203,"preventiva")</f>
        <v/>
      </c>
      <c r="F294" s="17">
        <f>SUMIFS('ORDENES'!$M$4:$M$1203,'ORDENES'!$Y$4:$Y$1203,$A294,'ORDENES'!$O$4:$O$1203,$B294,'ORDENES'!$T$4:$T$1203,"correctiva")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SUMIFS('ASIGNACIONES'!$I$4:$I$339,'ASIGNACIONES'!$E$4:$E$339,$A295,'ASIGNACIONES'!$A$4:$A$339,$B295)</f>
        <v/>
      </c>
      <c r="D295" s="17">
        <f>C295*p_factor_productividad</f>
        <v/>
      </c>
      <c r="E295" s="17">
        <f>SUMIFS('ORDENES'!$M$4:$M$1203,'ORDENES'!$Y$4:$Y$1203,$A295,'ORDENES'!$O$4:$O$1203,$B295,'ORDENES'!$T$4:$T$1203,"preventiva")</f>
        <v/>
      </c>
      <c r="F295" s="17">
        <f>SUMIFS('ORDENES'!$M$4:$M$1203,'ORDENES'!$Y$4:$Y$1203,$A295,'ORDENES'!$O$4:$O$1203,$B295,'ORDENES'!$T$4:$T$1203,"correctiva")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SUMIFS('ASIGNACIONES'!$I$4:$I$339,'ASIGNACIONES'!$E$4:$E$339,$A296,'ASIGNACIONES'!$A$4:$A$339,$B296)</f>
        <v/>
      </c>
      <c r="D296" s="17">
        <f>C296*p_factor_productividad</f>
        <v/>
      </c>
      <c r="E296" s="17">
        <f>SUMIFS('ORDENES'!$M$4:$M$1203,'ORDENES'!$Y$4:$Y$1203,$A296,'ORDENES'!$O$4:$O$1203,$B296,'ORDENES'!$T$4:$T$1203,"preventiva")</f>
        <v/>
      </c>
      <c r="F296" s="17">
        <f>SUMIFS('ORDENES'!$M$4:$M$1203,'ORDENES'!$Y$4:$Y$1203,$A296,'ORDENES'!$O$4:$O$1203,$B296,'ORDENES'!$T$4:$T$1203,"correctiva")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SUMIFS('ASIGNACIONES'!$I$4:$I$339,'ASIGNACIONES'!$E$4:$E$339,$A297,'ASIGNACIONES'!$A$4:$A$339,$B297)</f>
        <v/>
      </c>
      <c r="D297" s="17">
        <f>C297*p_factor_productividad</f>
        <v/>
      </c>
      <c r="E297" s="17">
        <f>SUMIFS('ORDENES'!$M$4:$M$1203,'ORDENES'!$Y$4:$Y$1203,$A297,'ORDENES'!$O$4:$O$1203,$B297,'ORDENES'!$T$4:$T$1203,"preventiva")</f>
        <v/>
      </c>
      <c r="F297" s="17">
        <f>SUMIFS('ORDENES'!$M$4:$M$1203,'ORDENES'!$Y$4:$Y$1203,$A297,'ORDENES'!$O$4:$O$1203,$B297,'ORDENES'!$T$4:$T$1203,"correctiva")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SUMIFS('ASIGNACIONES'!$I$4:$I$339,'ASIGNACIONES'!$E$4:$E$339,$A298,'ASIGNACIONES'!$A$4:$A$339,$B298)</f>
        <v/>
      </c>
      <c r="D298" s="17">
        <f>C298*p_factor_productividad</f>
        <v/>
      </c>
      <c r="E298" s="17">
        <f>SUMIFS('ORDENES'!$M$4:$M$1203,'ORDENES'!$Y$4:$Y$1203,$A298,'ORDENES'!$O$4:$O$1203,$B298,'ORDENES'!$T$4:$T$1203,"preventiva")</f>
        <v/>
      </c>
      <c r="F298" s="17">
        <f>SUMIFS('ORDENES'!$M$4:$M$1203,'ORDENES'!$Y$4:$Y$1203,$A298,'ORDENES'!$O$4:$O$1203,$B298,'ORDENES'!$T$4:$T$1203,"correctiva")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SUMIFS('ASIGNACIONES'!$I$4:$I$339,'ASIGNACIONES'!$E$4:$E$339,$A299,'ASIGNACIONES'!$A$4:$A$339,$B299)</f>
        <v/>
      </c>
      <c r="D299" s="17">
        <f>C299*p_factor_productividad</f>
        <v/>
      </c>
      <c r="E299" s="17">
        <f>SUMIFS('ORDENES'!$M$4:$M$1203,'ORDENES'!$Y$4:$Y$1203,$A299,'ORDENES'!$O$4:$O$1203,$B299,'ORDENES'!$T$4:$T$1203,"preventiva")</f>
        <v/>
      </c>
      <c r="F299" s="17">
        <f>SUMIFS('ORDENES'!$M$4:$M$1203,'ORDENES'!$Y$4:$Y$1203,$A299,'ORDENES'!$O$4:$O$1203,$B299,'ORDENES'!$T$4:$T$1203,"correctiva")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SUMIFS('ASIGNACIONES'!$I$4:$I$339,'ASIGNACIONES'!$E$4:$E$339,$A300,'ASIGNACIONES'!$A$4:$A$339,$B300)</f>
        <v/>
      </c>
      <c r="D300" s="17">
        <f>C300*p_factor_productividad</f>
        <v/>
      </c>
      <c r="E300" s="17">
        <f>SUMIFS('ORDENES'!$M$4:$M$1203,'ORDENES'!$Y$4:$Y$1203,$A300,'ORDENES'!$O$4:$O$1203,$B300,'ORDENES'!$T$4:$T$1203,"preventiva")</f>
        <v/>
      </c>
      <c r="F300" s="17">
        <f>SUMIFS('ORDENES'!$M$4:$M$1203,'ORDENES'!$Y$4:$Y$1203,$A300,'ORDENES'!$O$4:$O$1203,$B300,'ORDENES'!$T$4:$T$1203,"correctiva")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SUMIFS('ASIGNACIONES'!$I$4:$I$339,'ASIGNACIONES'!$E$4:$E$339,$A301,'ASIGNACIONES'!$A$4:$A$339,$B301)</f>
        <v/>
      </c>
      <c r="D301" s="17">
        <f>C301*p_factor_productividad</f>
        <v/>
      </c>
      <c r="E301" s="17">
        <f>SUMIFS('ORDENES'!$M$4:$M$1203,'ORDENES'!$Y$4:$Y$1203,$A301,'ORDENES'!$O$4:$O$1203,$B301,'ORDENES'!$T$4:$T$1203,"preventiva")</f>
        <v/>
      </c>
      <c r="F301" s="17">
        <f>SUMIFS('ORDENES'!$M$4:$M$1203,'ORDENES'!$Y$4:$Y$1203,$A301,'ORDENES'!$O$4:$O$1203,$B301,'ORDENES'!$T$4:$T$1203,"correctiva")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SUMIFS('ASIGNACIONES'!$I$4:$I$339,'ASIGNACIONES'!$E$4:$E$339,$A302,'ASIGNACIONES'!$A$4:$A$339,$B302)</f>
        <v/>
      </c>
      <c r="D302" s="17">
        <f>C302*p_factor_productividad</f>
        <v/>
      </c>
      <c r="E302" s="17">
        <f>SUMIFS('ORDENES'!$M$4:$M$1203,'ORDENES'!$Y$4:$Y$1203,$A302,'ORDENES'!$O$4:$O$1203,$B302,'ORDENES'!$T$4:$T$1203,"preventiva")</f>
        <v/>
      </c>
      <c r="F302" s="17">
        <f>SUMIFS('ORDENES'!$M$4:$M$1203,'ORDENES'!$Y$4:$Y$1203,$A302,'ORDENES'!$O$4:$O$1203,$B302,'ORDENES'!$T$4:$T$1203,"correctiva")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SUMIFS('ASIGNACIONES'!$I$4:$I$339,'ASIGNACIONES'!$E$4:$E$339,$A303,'ASIGNACIONES'!$A$4:$A$339,$B303)</f>
        <v/>
      </c>
      <c r="D303" s="17">
        <f>C303*p_factor_productividad</f>
        <v/>
      </c>
      <c r="E303" s="17">
        <f>SUMIFS('ORDENES'!$M$4:$M$1203,'ORDENES'!$Y$4:$Y$1203,$A303,'ORDENES'!$O$4:$O$1203,$B303,'ORDENES'!$T$4:$T$1203,"preventiva")</f>
        <v/>
      </c>
      <c r="F303" s="17">
        <f>SUMIFS('ORDENES'!$M$4:$M$1203,'ORDENES'!$Y$4:$Y$1203,$A303,'ORDENES'!$O$4:$O$1203,$B303,'ORDENES'!$T$4:$T$1203,"correctiva")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 hidden="1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SUMIFS('ORDENES'!$M$4:$M$1203,'ORDENES'!$O$4:$O$1203,$A370,'ORDENES'!$T$4:$T$1203,"preventiva")</f>
        <v/>
      </c>
      <c r="C370" s="17">
        <f>SUMIFS('ORDENES'!$M$4:$M$1203,'ORDENES'!$O$4:$O$1203,$A370,'ORDENES'!$T$4:$T$1203,"correctiva")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SUMIFS('ORDENES'!$M$4:$M$1203,'ORDENES'!$O$4:$O$1203,$A371,'ORDENES'!$T$4:$T$1203,"preventiva")</f>
        <v/>
      </c>
      <c r="C371" s="17">
        <f>SUMIFS('ORDENES'!$M$4:$M$1203,'ORDENES'!$O$4:$O$1203,$A371,'ORDENES'!$T$4:$T$1203,"correctiva")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SUMIFS('ORDENES'!$M$4:$M$1203,'ORDENES'!$O$4:$O$1203,$A372,'ORDENES'!$T$4:$T$1203,"preventiva")</f>
        <v/>
      </c>
      <c r="C372" s="17">
        <f>SUMIFS('ORDENES'!$M$4:$M$1203,'ORDENES'!$O$4:$O$1203,$A372,'ORDENES'!$T$4:$T$1203,"correctiva")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SUMIFS('ORDENES'!$M$4:$M$1203,'ORDENES'!$O$4:$O$1203,$A373,'ORDENES'!$T$4:$T$1203,"preventiva")</f>
        <v/>
      </c>
      <c r="C373" s="17">
        <f>SUMIFS('ORDENES'!$M$4:$M$1203,'ORDENES'!$O$4:$O$1203,$A373,'ORDENES'!$T$4:$T$1203,"correctiva")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SUMIFS('ORDENES'!$M$4:$M$1203,'ORDENES'!$O$4:$O$1203,$A374,'ORDENES'!$T$4:$T$1203,"preventiva")</f>
        <v/>
      </c>
      <c r="C374" s="17">
        <f>SUMIFS('ORDENES'!$M$4:$M$1203,'ORDENES'!$O$4:$O$1203,$A374,'ORDENES'!$T$4:$T$1203,"correctiva")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SUMIFS('ORDENES'!$M$4:$M$1203,'ORDENES'!$O$4:$O$1203,$A375,'ORDENES'!$T$4:$T$1203,"preventiva")</f>
        <v/>
      </c>
      <c r="C375" s="17">
        <f>SUMIFS('ORDENES'!$M$4:$M$1203,'ORDENES'!$O$4:$O$1203,$A375,'ORDENES'!$T$4:$T$1203,"correctiva")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SUMIFS('ORDENES'!$M$4:$M$1203,'ORDENES'!$O$4:$O$1203,$A376,'ORDENES'!$T$4:$T$1203,"preventiva")</f>
        <v/>
      </c>
      <c r="C376" s="17">
        <f>SUMIFS('ORDENES'!$M$4:$M$1203,'ORDENES'!$O$4:$O$1203,$A376,'ORDENES'!$T$4:$T$1203,"correctiva")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SUMIFS('ORDENES'!$M$4:$M$1203,'ORDENES'!$O$4:$O$1203,$A377,'ORDENES'!$T$4:$T$1203,"preventiva")</f>
        <v/>
      </c>
      <c r="C377" s="17">
        <f>SUMIFS('ORDENES'!$M$4:$M$1203,'ORDENES'!$O$4:$O$1203,$A377,'ORDENES'!$T$4:$T$1203,"correctiva")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SUMIFS('ORDENES'!$M$4:$M$1203,'ORDENES'!$O$4:$O$1203,$A378,'ORDENES'!$T$4:$T$1203,"preventiva")</f>
        <v/>
      </c>
      <c r="C378" s="17">
        <f>SUMIFS('ORDENES'!$M$4:$M$1203,'ORDENES'!$O$4:$O$1203,$A378,'ORDENES'!$T$4:$T$1203,"correctiva")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SUMIFS('ORDENES'!$M$4:$M$1203,'ORDENES'!$O$4:$O$1203,$A379,'ORDENES'!$T$4:$T$1203,"preventiva")</f>
        <v/>
      </c>
      <c r="C379" s="17">
        <f>SUMIFS('ORDENES'!$M$4:$M$1203,'ORDENES'!$O$4:$O$1203,$A379,'ORDENES'!$T$4:$T$1203,"correctiva")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SUMIFS('ORDENES'!$M$4:$M$1203,'ORDENES'!$O$4:$O$1203,$A380,'ORDENES'!$T$4:$T$1203,"preventiva")</f>
        <v/>
      </c>
      <c r="C380" s="17">
        <f>SUMIFS('ORDENES'!$M$4:$M$1203,'ORDENES'!$O$4:$O$1203,$A380,'ORDENES'!$T$4:$T$1203,"correctiva")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SUMIFS('ORDENES'!$M$4:$M$1203,'ORDENES'!$O$4:$O$1203,$A381,'ORDENES'!$T$4:$T$1203,"preventiva")</f>
        <v/>
      </c>
      <c r="C381" s="17">
        <f>SUMIFS('ORDENES'!$M$4:$M$1203,'ORDENES'!$O$4:$O$1203,$A381,'ORDENES'!$T$4:$T$1203,"correctiva")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SUMIFS('ORDENES'!$M$4:$M$1203,'ORDENES'!$O$4:$O$1203,$A382,'ORDENES'!$T$4:$T$1203,"preventiva")</f>
        <v/>
      </c>
      <c r="C382" s="17">
        <f>SUMIFS('ORDENES'!$M$4:$M$1203,'ORDENES'!$O$4:$O$1203,$A382,'ORDENES'!$T$4:$T$1203,"correctiva")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SUMIFS('ORDENES'!$M$4:$M$1203,'ORDENES'!$O$4:$O$1203,$A383,'ORDENES'!$T$4:$T$1203,"preventiva")</f>
        <v/>
      </c>
      <c r="C383" s="17">
        <f>SUMIFS('ORDENES'!$M$4:$M$1203,'ORDENES'!$O$4:$O$1203,$A383,'ORDENES'!$T$4:$T$1203,"correctiva")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SUMIFS('ORDENES'!$M$4:$M$1203,'ORDENES'!$O$4:$O$1203,$A384,'ORDENES'!$T$4:$T$1203,"preventiva")</f>
        <v/>
      </c>
      <c r="C384" s="17">
        <f>SUMIFS('ORDENES'!$M$4:$M$1203,'ORDENES'!$O$4:$O$1203,$A384,'ORDENES'!$T$4:$T$1203,"correctiva")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SUMIFS('ORDENES'!$M$4:$M$1203,'ORDENES'!$O$4:$O$1203,$A385,'ORDENES'!$T$4:$T$1203,"preventiva")</f>
        <v/>
      </c>
      <c r="C385" s="17">
        <f>SUMIFS('ORDENES'!$M$4:$M$1203,'ORDENES'!$O$4:$O$1203,$A385,'ORDENES'!$T$4:$T$1203,"correctiva")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SUMIFS('ORDENES'!$M$4:$M$1203,'ORDENES'!$O$4:$O$1203,$A386,'ORDENES'!$T$4:$T$1203,"preventiva")</f>
        <v/>
      </c>
      <c r="C386" s="17">
        <f>SUMIFS('ORDENES'!$M$4:$M$1203,'ORDENES'!$O$4:$O$1203,$A386,'ORDENES'!$T$4:$T$1203,"correctiva")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SUMIFS('ORDENES'!$M$4:$M$1203,'ORDENES'!$O$4:$O$1203,$A387,'ORDENES'!$T$4:$T$1203,"preventiva")</f>
        <v/>
      </c>
      <c r="C387" s="17">
        <f>SUMIFS('ORDENES'!$M$4:$M$1203,'ORDENES'!$O$4:$O$1203,$A387,'ORDENES'!$T$4:$T$1203,"correctiva")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SUMIFS('ORDENES'!$M$4:$M$1203,'ORDENES'!$O$4:$O$1203,$A388,'ORDENES'!$T$4:$T$1203,"preventiva")</f>
        <v/>
      </c>
      <c r="C388" s="17">
        <f>SUMIFS('ORDENES'!$M$4:$M$1203,'ORDENES'!$O$4:$O$1203,$A388,'ORDENES'!$T$4:$T$1203,"correctiva")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SUMIFS('ORDENES'!$M$4:$M$1203,'ORDENES'!$O$4:$O$1203,$A389,'ORDENES'!$T$4:$T$1203,"preventiva")</f>
        <v/>
      </c>
      <c r="C389" s="17">
        <f>SUMIFS('ORDENES'!$M$4:$M$1203,'ORDENES'!$O$4:$O$1203,$A389,'ORDENES'!$T$4:$T$1203,"correctiva")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SUMIFS('ORDENES'!$M$4:$M$1203,'ORDENES'!$O$4:$O$1203,$A390,'ORDENES'!$T$4:$T$1203,"preventiva")</f>
        <v/>
      </c>
      <c r="C390" s="17">
        <f>SUMIFS('ORDENES'!$M$4:$M$1203,'ORDENES'!$O$4:$O$1203,$A390,'ORDENES'!$T$4:$T$1203,"correctiva")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SUMIFS('ORDENES'!$M$4:$M$1203,'ORDENES'!$O$4:$O$1203,$A391,'ORDENES'!$T$4:$T$1203,"preventiva")</f>
        <v/>
      </c>
      <c r="C391" s="17">
        <f>SUMIFS('ORDENES'!$M$4:$M$1203,'ORDENES'!$O$4:$O$1203,$A391,'ORDENES'!$T$4:$T$1203,"correctiva")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SUMIFS('ORDENES'!$M$4:$M$1203,'ORDENES'!$O$4:$O$1203,$A392,'ORDENES'!$T$4:$T$1203,"preventiva")</f>
        <v/>
      </c>
      <c r="C392" s="17">
        <f>SUMIFS('ORDENES'!$M$4:$M$1203,'ORDENES'!$O$4:$O$1203,$A392,'ORDENES'!$T$4:$T$1203,"correctiva")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SUMIFS('ORDENES'!$M$4:$M$1203,'ORDENES'!$O$4:$O$1203,$A393,'ORDENES'!$T$4:$T$1203,"preventiva")</f>
        <v/>
      </c>
      <c r="C393" s="17">
        <f>SUMIFS('ORDENES'!$M$4:$M$1203,'ORDENES'!$O$4:$O$1203,$A393,'ORDENES'!$T$4:$T$1203,"correctiva")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SUMIFS('ORDENES'!$M$4:$M$1203,'ORDENES'!$O$4:$O$1203,$A394,'ORDENES'!$T$4:$T$1203,"preventiva")</f>
        <v/>
      </c>
      <c r="C394" s="17">
        <f>SUMIFS('ORDENES'!$M$4:$M$1203,'ORDENES'!$O$4:$O$1203,$A394,'ORDENES'!$T$4:$T$1203,"correctiva")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SUMIFS('ORDENES'!$M$4:$M$1203,'ORDENES'!$O$4:$O$1203,$A395,'ORDENES'!$T$4:$T$1203,"preventiva")</f>
        <v/>
      </c>
      <c r="C395" s="17">
        <f>SUMIFS('ORDENES'!$M$4:$M$1203,'ORDENES'!$O$4:$O$1203,$A395,'ORDENES'!$T$4:$T$1203,"correctiva")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SUMIFS('ORDENES'!$M$4:$M$1203,'ORDENES'!$O$4:$O$1203,$A396,'ORDENES'!$T$4:$T$1203,"preventiva")</f>
        <v/>
      </c>
      <c r="C396" s="17">
        <f>SUMIFS('ORDENES'!$M$4:$M$1203,'ORDENES'!$O$4:$O$1203,$A396,'ORDENES'!$T$4:$T$1203,"correctiva")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 hidden="1">
      <c r="A397" s="3">
        <f>$O$31</f>
        <v/>
      </c>
      <c r="B397" s="17">
        <f>SUMIFS('ORDENES'!$M$4:$M$1203,'ORDENES'!$O$4:$O$1203,$A397,'ORDENES'!$T$4:$T$1203,"preventiva")</f>
        <v/>
      </c>
      <c r="C397" s="17">
        <f>SUMIFS('ORDENES'!$M$4:$M$1203,'ORDENES'!$O$4:$O$1203,$A397,'ORDENES'!$T$4:$T$1203,"correctiva")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>
      <c r="A398" s="3">
        <f>$O$32</f>
        <v/>
      </c>
      <c r="B398" s="17">
        <f>SUMIFS('ORDENES'!$M$4:$M$1203,'ORDENES'!$O$4:$O$1203,$A398,'ORDENES'!$T$4:$T$1203,"preventiva")</f>
        <v/>
      </c>
      <c r="C398" s="17">
        <f>SUMIFS('ORDENES'!$M$4:$M$1203,'ORDENES'!$O$4:$O$1203,$A398,'ORDENES'!$T$4:$T$1203,"correctiva")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SUMIFS('ORDENES'!$M$4:$M$1203,'ORDENES'!$O$4:$O$1203,$A399,'ORDENES'!$T$4:$T$1203,"preventiva")</f>
        <v/>
      </c>
      <c r="C399" s="17">
        <f>SUMIFS('ORDENES'!$M$4:$M$1203,'ORDENES'!$O$4:$O$1203,$A399,'ORDENES'!$T$4:$T$1203,"correctiva")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SUMIFS('ORDENES'!$M$4:$M$1203,'ORDENES'!$O$4:$O$1203,$A400,'ORDENES'!$T$4:$T$1203,"preventiva")</f>
        <v/>
      </c>
      <c r="C400" s="17">
        <f>SUMIFS('ORDENES'!$M$4:$M$1203,'ORDENES'!$O$4:$O$1203,$A400,'ORDENES'!$T$4:$T$1203,"correctiva")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SUMIFS('ORDENES'!$M$4:$M$1203,'ORDENES'!$O$4:$O$1203,$A401,'ORDENES'!$T$4:$T$1203,"preventiva")</f>
        <v/>
      </c>
      <c r="C401" s="17">
        <f>SUMIFS('ORDENES'!$M$4:$M$1203,'ORDENES'!$O$4:$O$1203,$A401,'ORDENES'!$T$4:$T$1203,"correctiva")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SUMIFS('ORDENES'!$M$4:$M$1203,'ORDENES'!$O$4:$O$1203,$A402,'ORDENES'!$T$4:$T$1203,"preventiva")</f>
        <v/>
      </c>
      <c r="C402" s="17">
        <f>SUMIFS('ORDENES'!$M$4:$M$1203,'ORDENES'!$O$4:$O$1203,$A402,'ORDENES'!$T$4:$T$1203,"correctiva")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SUMIFS('ORDENES'!$M$4:$M$1203,'ORDENES'!$O$4:$O$1203,$A403,'ORDENES'!$T$4:$T$1203,"preventiva")</f>
        <v/>
      </c>
      <c r="C403" s="17">
        <f>SUMIFS('ORDENES'!$M$4:$M$1203,'ORDENES'!$O$4:$O$1203,$A403,'ORDENES'!$T$4:$T$1203,"correctiva")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SUMIFS('ORDENES'!$M$4:$M$1203,'ORDENES'!$O$4:$O$1203,$A404,'ORDENES'!$T$4:$T$1203,"preventiva")</f>
        <v/>
      </c>
      <c r="C404" s="17">
        <f>SUMIFS('ORDENES'!$M$4:$M$1203,'ORDENES'!$O$4:$O$1203,$A404,'ORDENES'!$T$4:$T$1203,"correctiva")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SUMIFS('ORDENES'!$M$4:$M$1203,'ORDENES'!$O$4:$O$1203,$A405,'ORDENES'!$T$4:$T$1203,"preventiva")</f>
        <v/>
      </c>
      <c r="C405" s="17">
        <f>SUMIFS('ORDENES'!$M$4:$M$1203,'ORDENES'!$O$4:$O$1203,$A405,'ORDENES'!$T$4:$T$1203,"correctiva")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SUMIFS('ORDENES'!$M$4:$M$1203,'ORDENES'!$O$4:$O$1203,$A406,'ORDENES'!$T$4:$T$1203,"preventiva")</f>
        <v/>
      </c>
      <c r="C406" s="17">
        <f>SUMIFS('ORDENES'!$M$4:$M$1203,'ORDENES'!$O$4:$O$1203,$A406,'ORDENES'!$T$4:$T$1203,"correctiva")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SUMIFS('ORDENES'!$M$4:$M$1203,'ORDENES'!$O$4:$O$1203,$A407,'ORDENES'!$T$4:$T$1203,"preventiva")</f>
        <v/>
      </c>
      <c r="C407" s="17">
        <f>SUMIFS('ORDENES'!$M$4:$M$1203,'ORDENES'!$O$4:$O$1203,$A407,'ORDENES'!$T$4:$T$1203,"correctiva")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SUMIFS('ORDENES'!$M$4:$M$1203,'ORDENES'!$O$4:$O$1203,$A408,'ORDENES'!$T$4:$T$1203,"preventiva")</f>
        <v/>
      </c>
      <c r="C408" s="17">
        <f>SUMIFS('ORDENES'!$M$4:$M$1203,'ORDENES'!$O$4:$O$1203,$A408,'ORDENES'!$T$4:$T$1203,"correctiva")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SUMIFS('ORDENES'!$M$4:$M$1203,'ORDENES'!$O$4:$O$1203,$A409,'ORDENES'!$T$4:$T$1203,"preventiva")</f>
        <v/>
      </c>
      <c r="C409" s="17">
        <f>SUMIFS('ORDENES'!$M$4:$M$1203,'ORDENES'!$O$4:$O$1203,$A409,'ORDENES'!$T$4:$T$1203,"correctiva")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SUMIFS('ORDENES'!$M$4:$M$1203,'ORDENES'!$O$4:$O$1203,$A410,'ORDENES'!$T$4:$T$1203,"preventiva")</f>
        <v/>
      </c>
      <c r="C410" s="17">
        <f>SUMIFS('ORDENES'!$M$4:$M$1203,'ORDENES'!$O$4:$O$1203,$A410,'ORDENES'!$T$4:$T$1203,"correctiva")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SUMIFS('ORDENES'!$M$4:$M$1203,'ORDENES'!$O$4:$O$1203,$A411,'ORDENES'!$T$4:$T$1203,"preventiva")</f>
        <v/>
      </c>
      <c r="C411" s="17">
        <f>SUMIFS('ORDENES'!$M$4:$M$1203,'ORDENES'!$O$4:$O$1203,$A411,'ORDENES'!$T$4:$T$1203,"correctiva")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SUMIFS('ORDENES'!$M$4:$M$1203,'ORDENES'!$O$4:$O$1203,$A412,'ORDENES'!$T$4:$T$1203,"preventiva")</f>
        <v/>
      </c>
      <c r="C412" s="17">
        <f>SUMIFS('ORDENES'!$M$4:$M$1203,'ORDENES'!$O$4:$O$1203,$A412,'ORDENES'!$T$4:$T$1203,"correctiva")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SUMIFS('ORDENES'!$M$4:$M$1203,'ORDENES'!$O$4:$O$1203,$A413,'ORDENES'!$T$4:$T$1203,"preventiva")</f>
        <v/>
      </c>
      <c r="C413" s="17">
        <f>SUMIFS('ORDENES'!$M$4:$M$1203,'ORDENES'!$O$4:$O$1203,$A413,'ORDENES'!$T$4:$T$1203,"correctiva")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SUMIFS('ORDENES'!$M$4:$M$1203,'ORDENES'!$O$4:$O$1203,$A414,'ORDENES'!$T$4:$T$1203,"preventiva")</f>
        <v/>
      </c>
      <c r="C414" s="17">
        <f>SUMIFS('ORDENES'!$M$4:$M$1203,'ORDENES'!$O$4:$O$1203,$A414,'ORDENES'!$T$4:$T$1203,"correctiva")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SUMIFS('ORDENES'!$M$4:$M$1203,'ORDENES'!$O$4:$O$1203,$A415,'ORDENES'!$T$4:$T$1203,"preventiva")</f>
        <v/>
      </c>
      <c r="C415" s="17">
        <f>SUMIFS('ORDENES'!$M$4:$M$1203,'ORDENES'!$O$4:$O$1203,$A415,'ORDENES'!$T$4:$T$1203,"correctiva")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SUMIFS('ORDENES'!$M$4:$M$1203,'ORDENES'!$O$4:$O$1203,$A416,'ORDENES'!$T$4:$T$1203,"preventiva")</f>
        <v/>
      </c>
      <c r="C416" s="17">
        <f>SUMIFS('ORDENES'!$M$4:$M$1203,'ORDENES'!$O$4:$O$1203,$A416,'ORDENES'!$T$4:$T$1203,"correctiva")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SUMIFS('ORDENES'!$M$4:$M$1203,'ORDENES'!$O$4:$O$1203,$A417,'ORDENES'!$T$4:$T$1203,"preventiva")</f>
        <v/>
      </c>
      <c r="C417" s="17">
        <f>SUMIFS('ORDENES'!$M$4:$M$1203,'ORDENES'!$O$4:$O$1203,$A417,'ORDENES'!$T$4:$T$1203,"correctiva")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SUMIFS('ORDENES'!$M$4:$M$1203,'ORDENES'!$O$4:$O$1203,$A418,'ORDENES'!$T$4:$T$1203,"preventiva")</f>
        <v/>
      </c>
      <c r="C418" s="17">
        <f>SUMIFS('ORDENES'!$M$4:$M$1203,'ORDENES'!$O$4:$O$1203,$A418,'ORDENES'!$T$4:$T$1203,"correctiva")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SUMIFS('ORDENES'!$M$4:$M$1203,'ORDENES'!$O$4:$O$1203,$A419,'ORDENES'!$T$4:$T$1203,"preventiva")</f>
        <v/>
      </c>
      <c r="C419" s="17">
        <f>SUMIFS('ORDENES'!$M$4:$M$1203,'ORDENES'!$O$4:$O$1203,$A419,'ORDENES'!$T$4:$T$1203,"correctiva")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SUMIFS('ORDENES'!$M$4:$M$1203,'ORDENES'!$O$4:$O$1203,$A420,'ORDENES'!$T$4:$T$1203,"preventiva")</f>
        <v/>
      </c>
      <c r="C420" s="17">
        <f>SUMIFS('ORDENES'!$M$4:$M$1203,'ORDENES'!$O$4:$O$1203,$A420,'ORDENES'!$T$4:$T$1203,"correctiva")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SUMIFS('ORDENES'!$M$4:$M$1203,'ORDENES'!$O$4:$O$1203,$A421,'ORDENES'!$T$4:$T$1203,"preventiva")</f>
        <v/>
      </c>
      <c r="C421" s="17">
        <f>SUMIFS('ORDENES'!$M$4:$M$1203,'ORDENES'!$O$4:$O$1203,$A421,'ORDENES'!$T$4:$T$1203,"correctiva")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SUMIFS('ORDENES'!$M$4:$M$1203,'ORDENES'!$O$4:$O$1203,$A422,'ORDENES'!$T$4:$T$1203,"preventiva")</f>
        <v/>
      </c>
      <c r="C422" s="17">
        <f>SUMIFS('ORDENES'!$M$4:$M$1203,'ORDENES'!$O$4:$O$1203,$A422,'ORDENES'!$T$4:$T$1203,"correctiva")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SUMIFS('ORDENES'!$M$4:$M$1203,'ORDENES'!$O$4:$O$1203,$A423,'ORDENES'!$T$4:$T$1203,"preventiva")</f>
        <v/>
      </c>
      <c r="C423" s="17">
        <f>SUMIFS('ORDENES'!$M$4:$M$1203,'ORDENES'!$O$4:$O$1203,$A423,'ORDENES'!$T$4:$T$1203,"correctiva")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SUMIFS('ORDENES'!$M$4:$M$1203,'ORDENES'!$O$4:$O$1203,$A424,'ORDENES'!$T$4:$T$1203,"preventiva")</f>
        <v/>
      </c>
      <c r="C424" s="17">
        <f>SUMIFS('ORDENES'!$M$4:$M$1203,'ORDENES'!$O$4:$O$1203,$A424,'ORDENES'!$T$4:$T$1203,"correctiva")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SUMIFS('ORDENES'!$M$4:$M$1203,'ORDENES'!$O$4:$O$1203,$A425,'ORDENES'!$T$4:$T$1203,"preventiva")</f>
        <v/>
      </c>
      <c r="C425" s="17">
        <f>SUMIFS('ORDENES'!$M$4:$M$1203,'ORDENES'!$O$4:$O$1203,$A425,'ORDENES'!$T$4:$T$1203,"correctiva")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SUMIFS('ORDENES'!$M$4:$M$1203,'ORDENES'!$O$4:$O$1203,$A426,'ORDENES'!$T$4:$T$1203,"preventiva")</f>
        <v/>
      </c>
      <c r="C426" s="17">
        <f>SUMIFS('ORDENES'!$M$4:$M$1203,'ORDENES'!$O$4:$O$1203,$A426,'ORDENES'!$T$4:$T$1203,"correctiva")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SUMIFS('ORDENES'!$M$4:$M$1203,'ORDENES'!$O$4:$O$1203,$A427,'ORDENES'!$T$4:$T$1203,"preventiva")</f>
        <v/>
      </c>
      <c r="C427" s="17">
        <f>SUMIFS('ORDENES'!$M$4:$M$1203,'ORDENES'!$O$4:$O$1203,$A427,'ORDENES'!$T$4:$T$1203,"correctiva")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SUMIFS('ORDENES'!$M$4:$M$1203,'ORDENES'!$O$4:$O$1203,$A428,'ORDENES'!$T$4:$T$1203,"preventiva")</f>
        <v/>
      </c>
      <c r="C428" s="17">
        <f>SUMIFS('ORDENES'!$M$4:$M$1203,'ORDENES'!$O$4:$O$1203,$A428,'ORDENES'!$T$4:$T$1203,"correctiva")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SUMIFS('ORDENES'!$M$4:$M$1203,'ORDENES'!$O$4:$O$1203,$A429,'ORDENES'!$T$4:$T$1203,"preventiva")</f>
        <v/>
      </c>
      <c r="C429" s="17">
        <f>SUMIFS('ORDENES'!$M$4:$M$1203,'ORDENES'!$O$4:$O$1203,$A429,'ORDENES'!$T$4:$T$1203,"correctiva")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("&amp;IFERROR(INDEX('ASIGNACIONES'!$F$4:$F$339,MATCH($B$3&amp;"|"&amp;$D$3&amp;"|"&amp;$P4,'ASIGNACIONES'!$J$4:$J$339,0)),"")&amp;")")</f>
        <v/>
      </c>
      <c r="S4" s="17">
        <f>IF(AND($L$3&lt;&gt;"(todos)",$Q4&lt;&gt;$L$3),NA(),SUMIFS('ORDENES'!$M$4:$M$1203,'ORDENES'!$AE$4:$AE$1203,$P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IF(AND($L$3&lt;&gt;"(todos)",$Q4&lt;&gt;$L$3),NA(),p_factor_productividad*SUMIFS('ASIGNACIONES'!$I$4:$I$339,'ASIGNACIONES'!$C$4:$C$339,$P4,'ASIGNACIONES'!$A$4:$A$339,IF($B$3="(todos)","*",$B$3),'ASIGNACIONES'!$B$4:$B$339,IF($D$3="(todos)","*",$D$3)))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("&amp;IFERROR(INDEX('ASIGNACIONES'!$F$4:$F$339,MATCH($B$3&amp;"|"&amp;$D$3&amp;"|"&amp;$P5,'ASIGNACIONES'!$J$4:$J$339,0)),"")&amp;")")</f>
        <v/>
      </c>
      <c r="S5" s="17">
        <f>IF(AND($L$3&lt;&gt;"(todos)",$Q5&lt;&gt;$L$3),NA(),SUMIFS('ORDENES'!$M$4:$M$1203,'ORDENES'!$AE$4:$AE$1203,$P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IF(AND($L$3&lt;&gt;"(todos)",$Q5&lt;&gt;$L$3),NA(),p_factor_productividad*SUMIFS('ASIGNACIONES'!$I$4:$I$339,'ASIGNACIONES'!$C$4:$C$339,$P5,'ASIGNACIONES'!$A$4:$A$339,IF($B$3="(todos)","*",$B$3),'ASIGNACIONES'!$B$4:$B$339,IF($D$3="(todos)","*",$D$3)))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("&amp;IFERROR(INDEX('ASIGNACIONES'!$F$4:$F$339,MATCH($B$3&amp;"|"&amp;$D$3&amp;"|"&amp;$P6,'ASIGNACIONES'!$J$4:$J$339,0)),"")&amp;")")</f>
        <v/>
      </c>
      <c r="S6" s="17">
        <f>IF(AND($L$3&lt;&gt;"(todos)",$Q6&lt;&gt;$L$3),NA(),SUMIFS('ORDENES'!$M$4:$M$1203,'ORDENES'!$AE$4:$AE$1203,$P6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IF(AND($L$3&lt;&gt;"(todos)",$Q6&lt;&gt;$L$3),NA(),p_factor_productividad*SUMIFS('ASIGNACIONES'!$I$4:$I$339,'ASIGNACIONES'!$C$4:$C$339,$P6,'ASIGNACIONES'!$A$4:$A$339,IF($B$3="(todos)","*",$B$3),'ASIGNACIONES'!$B$4:$B$339,IF($D$3="(todos)","*",$D$3)))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("&amp;IFERROR(INDEX('ASIGNACIONES'!$F$4:$F$339,MATCH($B$3&amp;"|"&amp;$D$3&amp;"|"&amp;$P7,'ASIGNACIONES'!$J$4:$J$339,0)),"")&amp;")")</f>
        <v/>
      </c>
      <c r="S7" s="17">
        <f>IF(AND($L$3&lt;&gt;"(todos)",$Q7&lt;&gt;$L$3),NA(),SUMIFS('ORDENES'!$M$4:$M$1203,'ORDENES'!$AE$4:$AE$1203,$P7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IF(AND($L$3&lt;&gt;"(todos)",$Q7&lt;&gt;$L$3),NA(),p_factor_productividad*SUMIFS('ASIGNACIONES'!$I$4:$I$339,'ASIGNACIONES'!$C$4:$C$339,$P7,'ASIGNACIONES'!$A$4:$A$339,IF($B$3="(todos)","*",$B$3),'ASIGNACIONES'!$B$4:$B$339,IF($D$3="(todos)","*",$D$3)))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("&amp;IFERROR(INDEX('ASIGNACIONES'!$F$4:$F$339,MATCH($B$3&amp;"|"&amp;$D$3&amp;"|"&amp;$P8,'ASIGNACIONES'!$J$4:$J$339,0)),"")&amp;")")</f>
        <v/>
      </c>
      <c r="S8" s="17">
        <f>IF(AND($L$3&lt;&gt;"(todos)",$Q8&lt;&gt;$L$3),NA(),SUMIFS('ORDENES'!$M$4:$M$1203,'ORDENES'!$AE$4:$AE$1203,$P8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IF(AND($L$3&lt;&gt;"(todos)",$Q8&lt;&gt;$L$3),NA(),p_factor_productividad*SUMIFS('ASIGNACIONES'!$I$4:$I$339,'ASIGNACIONES'!$C$4:$C$339,$P8,'ASIGNACIONES'!$A$4:$A$339,IF($B$3="(todos)","*",$B$3),'ASIGNACIONES'!$B$4:$B$339,IF($D$3="(todos)","*",$D$3)))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("&amp;IFERROR(INDEX('ASIGNACIONES'!$F$4:$F$339,MATCH($B$3&amp;"|"&amp;$D$3&amp;"|"&amp;$P9,'ASIGNACIONES'!$J$4:$J$339,0)),"")&amp;")")</f>
        <v/>
      </c>
      <c r="S9" s="17">
        <f>IF(AND($L$3&lt;&gt;"(todos)",$Q9&lt;&gt;$L$3),NA(),SUMIFS('ORDENES'!$M$4:$M$1203,'ORDENES'!$AE$4:$AE$1203,$P9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IF(AND($L$3&lt;&gt;"(todos)",$Q9&lt;&gt;$L$3),NA(),p_factor_productividad*SUMIFS('ASIGNACIONES'!$I$4:$I$339,'ASIGNACIONES'!$C$4:$C$339,$P9,'ASIGNACIONES'!$A$4:$A$339,IF($B$3="(todos)","*",$B$3),'ASIGNACIONES'!$B$4:$B$339,IF($D$3="(todos)","*",$D$3)))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("&amp;IFERROR(INDEX('ASIGNACIONES'!$F$4:$F$339,MATCH($B$3&amp;"|"&amp;$D$3&amp;"|"&amp;$P10,'ASIGNACIONES'!$J$4:$J$339,0)),"")&amp;")")</f>
        <v/>
      </c>
      <c r="S10" s="17">
        <f>IF(AND($L$3&lt;&gt;"(todos)",$Q10&lt;&gt;$L$3),NA(),SUMIFS('ORDENES'!$M$4:$M$1203,'ORDENES'!$AE$4:$AE$1203,$P10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IF(AND($L$3&lt;&gt;"(todos)",$Q10&lt;&gt;$L$3),NA(),p_factor_productividad*SUMIFS('ASIGNACIONES'!$I$4:$I$339,'ASIGNACIONES'!$C$4:$C$339,$P10,'ASIGNACIONES'!$A$4:$A$339,IF($B$3="(todos)","*",$B$3),'ASIGNACIONES'!$B$4:$B$339,IF($D$3="(todos)","*",$D$3)))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("&amp;IFERROR(INDEX('ASIGNACIONES'!$F$4:$F$339,MATCH($B$3&amp;"|"&amp;$D$3&amp;"|"&amp;$P11,'ASIGNACIONES'!$J$4:$J$339,0)),"")&amp;")")</f>
        <v/>
      </c>
      <c r="S11" s="17">
        <f>IF(AND($L$3&lt;&gt;"(todos)",$Q11&lt;&gt;$L$3),NA(),SUMIFS('ORDENES'!$M$4:$M$1203,'ORDENES'!$AE$4:$AE$1203,$P11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IF(AND($L$3&lt;&gt;"(todos)",$Q11&lt;&gt;$L$3),NA(),p_factor_productividad*SUMIFS('ASIGNACIONES'!$I$4:$I$339,'ASIGNACIONES'!$C$4:$C$339,$P11,'ASIGNACIONES'!$A$4:$A$339,IF($B$3="(todos)","*",$B$3),'ASIGNACIONES'!$B$4:$B$339,IF($D$3="(todos)","*",$D$3)))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("&amp;IFERROR(INDEX('ASIGNACIONES'!$F$4:$F$339,MATCH($B$3&amp;"|"&amp;$D$3&amp;"|"&amp;$P12,'ASIGNACIONES'!$J$4:$J$339,0)),"")&amp;")")</f>
        <v/>
      </c>
      <c r="S12" s="17">
        <f>IF(AND($L$3&lt;&gt;"(todos)",$Q12&lt;&gt;$L$3),NA(),SUMIFS('ORDENES'!$M$4:$M$1203,'ORDENES'!$AE$4:$AE$1203,$P12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IF(AND($L$3&lt;&gt;"(todos)",$Q12&lt;&gt;$L$3),NA(),p_factor_productividad*SUMIFS('ASIGNACIONES'!$I$4:$I$339,'ASIGNACIONES'!$C$4:$C$339,$P12,'ASIGNACIONES'!$A$4:$A$339,IF($B$3="(todos)","*",$B$3),'ASIGNACIONES'!$B$4:$B$339,IF($D$3="(todos)","*",$D$3)))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("&amp;IFERROR(INDEX('ASIGNACIONES'!$F$4:$F$339,MATCH($B$3&amp;"|"&amp;$D$3&amp;"|"&amp;$P13,'ASIGNACIONES'!$J$4:$J$339,0)),"")&amp;")")</f>
        <v/>
      </c>
      <c r="S13" s="17">
        <f>IF(AND($L$3&lt;&gt;"(todos)",$Q13&lt;&gt;$L$3),NA(),SUMIFS('ORDENES'!$M$4:$M$1203,'ORDENES'!$AE$4:$AE$1203,$P13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IF(AND($L$3&lt;&gt;"(todos)",$Q13&lt;&gt;$L$3),NA(),p_factor_productividad*SUMIFS('ASIGNACIONES'!$I$4:$I$339,'ASIGNACIONES'!$C$4:$C$339,$P13,'ASIGNACIONES'!$A$4:$A$339,IF($B$3="(todos)","*",$B$3),'ASIGNACIONES'!$B$4:$B$339,IF($D$3="(todos)","*",$D$3)))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("&amp;IFERROR(INDEX('ASIGNACIONES'!$F$4:$F$339,MATCH($B$3&amp;"|"&amp;$D$3&amp;"|"&amp;$P14,'ASIGNACIONES'!$J$4:$J$339,0)),"")&amp;")")</f>
        <v/>
      </c>
      <c r="S14" s="17">
        <f>IF(AND($L$3&lt;&gt;"(todos)",$Q14&lt;&gt;$L$3),NA(),SUMIFS('ORDENES'!$M$4:$M$1203,'ORDENES'!$AE$4:$AE$1203,$P14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IF(AND($L$3&lt;&gt;"(todos)",$Q14&lt;&gt;$L$3),NA(),p_factor_productividad*SUMIFS('ASIGNACIONES'!$I$4:$I$339,'ASIGNACIONES'!$C$4:$C$339,$P14,'ASIGNACIONES'!$A$4:$A$339,IF($B$3="(todos)","*",$B$3),'ASIGNACIONES'!$B$4:$B$339,IF($D$3="(todos)","*",$D$3)))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("&amp;IFERROR(INDEX('ASIGNACIONES'!$F$4:$F$339,MATCH($B$3&amp;"|"&amp;$D$3&amp;"|"&amp;$P15,'ASIGNACIONES'!$J$4:$J$339,0)),"")&amp;")")</f>
        <v/>
      </c>
      <c r="S15" s="17">
        <f>IF(AND($L$3&lt;&gt;"(todos)",$Q15&lt;&gt;$L$3),NA(),SUMIFS('ORDENES'!$M$4:$M$1203,'ORDENES'!$AE$4:$AE$1203,$P15,'ORDENES'!$O$4:$O$1203,IF($B$3="(todos)","*",$B$3),'ORDENES'!$R$4:$R$1203,IF($D$3="(todos)","*",$D$3),'ORDENES'!$AF$4:$AF$1203,IF($F$3="(todos)","*",$F$3),'ORDENES'!$X$4:$X$1203,IF($H$3="(todos)","*",$H$3),'ORDENES'!$V$4:$V$1203,IF($J$3="(todos)","*",$J$3),'ORDENES'!$W$4:$W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IF(AND($L$3&lt;&gt;"(todos)",$Q15&lt;&gt;$L$3),NA(),p_factor_productividad*SUMIFS('ASIGNACIONES'!$I$4:$I$339,'ASIGNACIONES'!$C$4:$C$339,$P15,'ASIGNACIONES'!$A$4:$A$339,IF($B$3="(todos)","*",$B$3),'ASIGNACIONES'!$B$4:$B$339,IF($D$3="(todos)","*",$D$3)))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IF('ORDENES'!$A4="","",IF('ORDENES'!$AF4="","-",'ORDENES'!$AF4))</f>
        <v/>
      </c>
      <c r="D26" s="3">
        <f>IF('ORDENES'!$A4="","",IF('ORDENES'!$X4="","-",'ORDENES'!$X4))</f>
        <v/>
      </c>
      <c r="E26" s="3">
        <f>IF('ORDENES'!$A4="","",IF('ORDENES'!$V4="","-",'ORDENES'!$V4))</f>
        <v/>
      </c>
      <c r="F26" s="3">
        <f>IF('ORDENES'!$A4="","",IF('ORDENES'!$Y4="","-",'ORDENES'!$Y4))</f>
        <v/>
      </c>
      <c r="G26" s="3">
        <f>IF('ORDENES'!$A4="","",IF('ORDENES'!$W4="","-",'ORDENES'!$W4))</f>
        <v/>
      </c>
      <c r="H26" s="3">
        <f>IF('ORDENES'!$A4="","",IF('ORDENES'!$AE4="","-",'ORDENES'!$AE4))</f>
        <v/>
      </c>
      <c r="I26" s="3">
        <f>IF('ORDENES'!$A4="","",IF('ORDENES'!$AQ4="","-",'ORDENES'!$AQ4))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IF('ORDENES'!$A4="","",'ORDENES'!$AD4)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IF('ORDENES'!$A5="","",IF('ORDENES'!$AF5="","-",'ORDENES'!$AF5))</f>
        <v/>
      </c>
      <c r="D27" s="3">
        <f>IF('ORDENES'!$A5="","",IF('ORDENES'!$X5="","-",'ORDENES'!$X5))</f>
        <v/>
      </c>
      <c r="E27" s="3">
        <f>IF('ORDENES'!$A5="","",IF('ORDENES'!$V5="","-",'ORDENES'!$V5))</f>
        <v/>
      </c>
      <c r="F27" s="3">
        <f>IF('ORDENES'!$A5="","",IF('ORDENES'!$Y5="","-",'ORDENES'!$Y5))</f>
        <v/>
      </c>
      <c r="G27" s="3">
        <f>IF('ORDENES'!$A5="","",IF('ORDENES'!$W5="","-",'ORDENES'!$W5))</f>
        <v/>
      </c>
      <c r="H27" s="3">
        <f>IF('ORDENES'!$A5="","",IF('ORDENES'!$AE5="","-",'ORDENES'!$AE5))</f>
        <v/>
      </c>
      <c r="I27" s="3">
        <f>IF('ORDENES'!$A5="","",IF('ORDENES'!$AQ5="","-",'ORDENES'!$AQ5))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IF('ORDENES'!$A5="","",'ORDENES'!$AD5)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IF('ORDENES'!$A6="","",IF('ORDENES'!$AF6="","-",'ORDENES'!$AF6))</f>
        <v/>
      </c>
      <c r="D28" s="3">
        <f>IF('ORDENES'!$A6="","",IF('ORDENES'!$X6="","-",'ORDENES'!$X6))</f>
        <v/>
      </c>
      <c r="E28" s="3">
        <f>IF('ORDENES'!$A6="","",IF('ORDENES'!$V6="","-",'ORDENES'!$V6))</f>
        <v/>
      </c>
      <c r="F28" s="3">
        <f>IF('ORDENES'!$A6="","",IF('ORDENES'!$Y6="","-",'ORDENES'!$Y6))</f>
        <v/>
      </c>
      <c r="G28" s="3">
        <f>IF('ORDENES'!$A6="","",IF('ORDENES'!$W6="","-",'ORDENES'!$W6))</f>
        <v/>
      </c>
      <c r="H28" s="3">
        <f>IF('ORDENES'!$A6="","",IF('ORDENES'!$AE6="","-",'ORDENES'!$AE6))</f>
        <v/>
      </c>
      <c r="I28" s="3">
        <f>IF('ORDENES'!$A6="","",IF('ORDENES'!$AQ6="","-",'ORDENES'!$AQ6))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IF('ORDENES'!$A6="","",'ORDENES'!$AD6)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IF('ORDENES'!$A7="","",IF('ORDENES'!$AF7="","-",'ORDENES'!$AF7))</f>
        <v/>
      </c>
      <c r="D29" s="3">
        <f>IF('ORDENES'!$A7="","",IF('ORDENES'!$X7="","-",'ORDENES'!$X7))</f>
        <v/>
      </c>
      <c r="E29" s="3">
        <f>IF('ORDENES'!$A7="","",IF('ORDENES'!$V7="","-",'ORDENES'!$V7))</f>
        <v/>
      </c>
      <c r="F29" s="3">
        <f>IF('ORDENES'!$A7="","",IF('ORDENES'!$Y7="","-",'ORDENES'!$Y7))</f>
        <v/>
      </c>
      <c r="G29" s="3">
        <f>IF('ORDENES'!$A7="","",IF('ORDENES'!$W7="","-",'ORDENES'!$W7))</f>
        <v/>
      </c>
      <c r="H29" s="3">
        <f>IF('ORDENES'!$A7="","",IF('ORDENES'!$AE7="","-",'ORDENES'!$AE7))</f>
        <v/>
      </c>
      <c r="I29" s="3">
        <f>IF('ORDENES'!$A7="","",IF('ORDENES'!$AQ7="","-",'ORDENES'!$AQ7))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IF('ORDENES'!$A7="","",'ORDENES'!$AD7)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IF('ORDENES'!$A8="","",IF('ORDENES'!$AF8="","-",'ORDENES'!$AF8))</f>
        <v/>
      </c>
      <c r="D30" s="3">
        <f>IF('ORDENES'!$A8="","",IF('ORDENES'!$X8="","-",'ORDENES'!$X8))</f>
        <v/>
      </c>
      <c r="E30" s="3">
        <f>IF('ORDENES'!$A8="","",IF('ORDENES'!$V8="","-",'ORDENES'!$V8))</f>
        <v/>
      </c>
      <c r="F30" s="3">
        <f>IF('ORDENES'!$A8="","",IF('ORDENES'!$Y8="","-",'ORDENES'!$Y8))</f>
        <v/>
      </c>
      <c r="G30" s="3">
        <f>IF('ORDENES'!$A8="","",IF('ORDENES'!$W8="","-",'ORDENES'!$W8))</f>
        <v/>
      </c>
      <c r="H30" s="3">
        <f>IF('ORDENES'!$A8="","",IF('ORDENES'!$AE8="","-",'ORDENES'!$AE8))</f>
        <v/>
      </c>
      <c r="I30" s="3">
        <f>IF('ORDENES'!$A8="","",IF('ORDENES'!$AQ8="","-",'ORDENES'!$AQ8))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IF('ORDENES'!$A8="","",'ORDENES'!$AD8)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IF('ORDENES'!$A9="","",IF('ORDENES'!$AF9="","-",'ORDENES'!$AF9))</f>
        <v/>
      </c>
      <c r="D31" s="3">
        <f>IF('ORDENES'!$A9="","",IF('ORDENES'!$X9="","-",'ORDENES'!$X9))</f>
        <v/>
      </c>
      <c r="E31" s="3">
        <f>IF('ORDENES'!$A9="","",IF('ORDENES'!$V9="","-",'ORDENES'!$V9))</f>
        <v/>
      </c>
      <c r="F31" s="3">
        <f>IF('ORDENES'!$A9="","",IF('ORDENES'!$Y9="","-",'ORDENES'!$Y9))</f>
        <v/>
      </c>
      <c r="G31" s="3">
        <f>IF('ORDENES'!$A9="","",IF('ORDENES'!$W9="","-",'ORDENES'!$W9))</f>
        <v/>
      </c>
      <c r="H31" s="3">
        <f>IF('ORDENES'!$A9="","",IF('ORDENES'!$AE9="","-",'ORDENES'!$AE9))</f>
        <v/>
      </c>
      <c r="I31" s="3">
        <f>IF('ORDENES'!$A9="","",IF('ORDENES'!$AQ9="","-",'ORDENES'!$AQ9))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IF('ORDENES'!$A9="","",'ORDENES'!$AD9)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IF('ORDENES'!$A10="","",IF('ORDENES'!$AF10="","-",'ORDENES'!$AF10))</f>
        <v/>
      </c>
      <c r="D32" s="3">
        <f>IF('ORDENES'!$A10="","",IF('ORDENES'!$X10="","-",'ORDENES'!$X10))</f>
        <v/>
      </c>
      <c r="E32" s="3">
        <f>IF('ORDENES'!$A10="","",IF('ORDENES'!$V10="","-",'ORDENES'!$V10))</f>
        <v/>
      </c>
      <c r="F32" s="3">
        <f>IF('ORDENES'!$A10="","",IF('ORDENES'!$Y10="","-",'ORDENES'!$Y10))</f>
        <v/>
      </c>
      <c r="G32" s="3">
        <f>IF('ORDENES'!$A10="","",IF('ORDENES'!$W10="","-",'ORDENES'!$W10))</f>
        <v/>
      </c>
      <c r="H32" s="3">
        <f>IF('ORDENES'!$A10="","",IF('ORDENES'!$AE10="","-",'ORDENES'!$AE10))</f>
        <v/>
      </c>
      <c r="I32" s="3">
        <f>IF('ORDENES'!$A10="","",IF('ORDENES'!$AQ10="","-",'ORDENES'!$AQ10))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IF('ORDENES'!$A10="","",'ORDENES'!$AD10)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IF('ORDENES'!$A11="","",IF('ORDENES'!$AF11="","-",'ORDENES'!$AF11))</f>
        <v/>
      </c>
      <c r="D33" s="3">
        <f>IF('ORDENES'!$A11="","",IF('ORDENES'!$X11="","-",'ORDENES'!$X11))</f>
        <v/>
      </c>
      <c r="E33" s="3">
        <f>IF('ORDENES'!$A11="","",IF('ORDENES'!$V11="","-",'ORDENES'!$V11))</f>
        <v/>
      </c>
      <c r="F33" s="3">
        <f>IF('ORDENES'!$A11="","",IF('ORDENES'!$Y11="","-",'ORDENES'!$Y11))</f>
        <v/>
      </c>
      <c r="G33" s="3">
        <f>IF('ORDENES'!$A11="","",IF('ORDENES'!$W11="","-",'ORDENES'!$W11))</f>
        <v/>
      </c>
      <c r="H33" s="3">
        <f>IF('ORDENES'!$A11="","",IF('ORDENES'!$AE11="","-",'ORDENES'!$AE11))</f>
        <v/>
      </c>
      <c r="I33" s="3">
        <f>IF('ORDENES'!$A11="","",IF('ORDENES'!$AQ11="","-",'ORDENES'!$AQ11))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IF('ORDENES'!$A11="","",'ORDENES'!$AD11)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IF('ORDENES'!$A12="","",IF('ORDENES'!$AF12="","-",'ORDENES'!$AF12))</f>
        <v/>
      </c>
      <c r="D34" s="3">
        <f>IF('ORDENES'!$A12="","",IF('ORDENES'!$X12="","-",'ORDENES'!$X12))</f>
        <v/>
      </c>
      <c r="E34" s="3">
        <f>IF('ORDENES'!$A12="","",IF('ORDENES'!$V12="","-",'ORDENES'!$V12))</f>
        <v/>
      </c>
      <c r="F34" s="3">
        <f>IF('ORDENES'!$A12="","",IF('ORDENES'!$Y12="","-",'ORDENES'!$Y12))</f>
        <v/>
      </c>
      <c r="G34" s="3">
        <f>IF('ORDENES'!$A12="","",IF('ORDENES'!$W12="","-",'ORDENES'!$W12))</f>
        <v/>
      </c>
      <c r="H34" s="3">
        <f>IF('ORDENES'!$A12="","",IF('ORDENES'!$AE12="","-",'ORDENES'!$AE12))</f>
        <v/>
      </c>
      <c r="I34" s="3">
        <f>IF('ORDENES'!$A12="","",IF('ORDENES'!$AQ12="","-",'ORDENES'!$AQ12))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IF('ORDENES'!$A12="","",'ORDENES'!$AD12)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IF('ORDENES'!$A13="","",IF('ORDENES'!$AF13="","-",'ORDENES'!$AF13))</f>
        <v/>
      </c>
      <c r="D35" s="3">
        <f>IF('ORDENES'!$A13="","",IF('ORDENES'!$X13="","-",'ORDENES'!$X13))</f>
        <v/>
      </c>
      <c r="E35" s="3">
        <f>IF('ORDENES'!$A13="","",IF('ORDENES'!$V13="","-",'ORDENES'!$V13))</f>
        <v/>
      </c>
      <c r="F35" s="3">
        <f>IF('ORDENES'!$A13="","",IF('ORDENES'!$Y13="","-",'ORDENES'!$Y13))</f>
        <v/>
      </c>
      <c r="G35" s="3">
        <f>IF('ORDENES'!$A13="","",IF('ORDENES'!$W13="","-",'ORDENES'!$W13))</f>
        <v/>
      </c>
      <c r="H35" s="3">
        <f>IF('ORDENES'!$A13="","",IF('ORDENES'!$AE13="","-",'ORDENES'!$AE13))</f>
        <v/>
      </c>
      <c r="I35" s="3">
        <f>IF('ORDENES'!$A13="","",IF('ORDENES'!$AQ13="","-",'ORDENES'!$AQ13))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IF('ORDENES'!$A13="","",'ORDENES'!$AD13)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IF('ORDENES'!$A14="","",IF('ORDENES'!$AF14="","-",'ORDENES'!$AF14))</f>
        <v/>
      </c>
      <c r="D36" s="3">
        <f>IF('ORDENES'!$A14="","",IF('ORDENES'!$X14="","-",'ORDENES'!$X14))</f>
        <v/>
      </c>
      <c r="E36" s="3">
        <f>IF('ORDENES'!$A14="","",IF('ORDENES'!$V14="","-",'ORDENES'!$V14))</f>
        <v/>
      </c>
      <c r="F36" s="3">
        <f>IF('ORDENES'!$A14="","",IF('ORDENES'!$Y14="","-",'ORDENES'!$Y14))</f>
        <v/>
      </c>
      <c r="G36" s="3">
        <f>IF('ORDENES'!$A14="","",IF('ORDENES'!$W14="","-",'ORDENES'!$W14))</f>
        <v/>
      </c>
      <c r="H36" s="3">
        <f>IF('ORDENES'!$A14="","",IF('ORDENES'!$AE14="","-",'ORDENES'!$AE14))</f>
        <v/>
      </c>
      <c r="I36" s="3">
        <f>IF('ORDENES'!$A14="","",IF('ORDENES'!$AQ14="","-",'ORDENES'!$AQ14))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IF('ORDENES'!$A14="","",'ORDENES'!$AD14)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IF('ORDENES'!$A15="","",IF('ORDENES'!$AF15="","-",'ORDENES'!$AF15))</f>
        <v/>
      </c>
      <c r="D37" s="3">
        <f>IF('ORDENES'!$A15="","",IF('ORDENES'!$X15="","-",'ORDENES'!$X15))</f>
        <v/>
      </c>
      <c r="E37" s="3">
        <f>IF('ORDENES'!$A15="","",IF('ORDENES'!$V15="","-",'ORDENES'!$V15))</f>
        <v/>
      </c>
      <c r="F37" s="3">
        <f>IF('ORDENES'!$A15="","",IF('ORDENES'!$Y15="","-",'ORDENES'!$Y15))</f>
        <v/>
      </c>
      <c r="G37" s="3">
        <f>IF('ORDENES'!$A15="","",IF('ORDENES'!$W15="","-",'ORDENES'!$W15))</f>
        <v/>
      </c>
      <c r="H37" s="3">
        <f>IF('ORDENES'!$A15="","",IF('ORDENES'!$AE15="","-",'ORDENES'!$AE15))</f>
        <v/>
      </c>
      <c r="I37" s="3">
        <f>IF('ORDENES'!$A15="","",IF('ORDENES'!$AQ15="","-",'ORDENES'!$AQ15))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IF('ORDENES'!$A15="","",'ORDENES'!$AD15)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IF('ORDENES'!$A16="","",IF('ORDENES'!$AF16="","-",'ORDENES'!$AF16))</f>
        <v/>
      </c>
      <c r="D38" s="3">
        <f>IF('ORDENES'!$A16="","",IF('ORDENES'!$X16="","-",'ORDENES'!$X16))</f>
        <v/>
      </c>
      <c r="E38" s="3">
        <f>IF('ORDENES'!$A16="","",IF('ORDENES'!$V16="","-",'ORDENES'!$V16))</f>
        <v/>
      </c>
      <c r="F38" s="3">
        <f>IF('ORDENES'!$A16="","",IF('ORDENES'!$Y16="","-",'ORDENES'!$Y16))</f>
        <v/>
      </c>
      <c r="G38" s="3">
        <f>IF('ORDENES'!$A16="","",IF('ORDENES'!$W16="","-",'ORDENES'!$W16))</f>
        <v/>
      </c>
      <c r="H38" s="3">
        <f>IF('ORDENES'!$A16="","",IF('ORDENES'!$AE16="","-",'ORDENES'!$AE16))</f>
        <v/>
      </c>
      <c r="I38" s="3">
        <f>IF('ORDENES'!$A16="","",IF('ORDENES'!$AQ16="","-",'ORDENES'!$AQ16))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IF('ORDENES'!$A16="","",'ORDENES'!$AD16)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IF('ORDENES'!$A17="","",IF('ORDENES'!$AF17="","-",'ORDENES'!$AF17))</f>
        <v/>
      </c>
      <c r="D39" s="3">
        <f>IF('ORDENES'!$A17="","",IF('ORDENES'!$X17="","-",'ORDENES'!$X17))</f>
        <v/>
      </c>
      <c r="E39" s="3">
        <f>IF('ORDENES'!$A17="","",IF('ORDENES'!$V17="","-",'ORDENES'!$V17))</f>
        <v/>
      </c>
      <c r="F39" s="3">
        <f>IF('ORDENES'!$A17="","",IF('ORDENES'!$Y17="","-",'ORDENES'!$Y17))</f>
        <v/>
      </c>
      <c r="G39" s="3">
        <f>IF('ORDENES'!$A17="","",IF('ORDENES'!$W17="","-",'ORDENES'!$W17))</f>
        <v/>
      </c>
      <c r="H39" s="3">
        <f>IF('ORDENES'!$A17="","",IF('ORDENES'!$AE17="","-",'ORDENES'!$AE17))</f>
        <v/>
      </c>
      <c r="I39" s="3">
        <f>IF('ORDENES'!$A17="","",IF('ORDENES'!$AQ17="","-",'ORDENES'!$AQ17))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IF('ORDENES'!$A17="","",'ORDENES'!$AD17)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IF('ORDENES'!$A18="","",IF('ORDENES'!$AF18="","-",'ORDENES'!$AF18))</f>
        <v/>
      </c>
      <c r="D40" s="3">
        <f>IF('ORDENES'!$A18="","",IF('ORDENES'!$X18="","-",'ORDENES'!$X18))</f>
        <v/>
      </c>
      <c r="E40" s="3">
        <f>IF('ORDENES'!$A18="","",IF('ORDENES'!$V18="","-",'ORDENES'!$V18))</f>
        <v/>
      </c>
      <c r="F40" s="3">
        <f>IF('ORDENES'!$A18="","",IF('ORDENES'!$Y18="","-",'ORDENES'!$Y18))</f>
        <v/>
      </c>
      <c r="G40" s="3">
        <f>IF('ORDENES'!$A18="","",IF('ORDENES'!$W18="","-",'ORDENES'!$W18))</f>
        <v/>
      </c>
      <c r="H40" s="3">
        <f>IF('ORDENES'!$A18="","",IF('ORDENES'!$AE18="","-",'ORDENES'!$AE18))</f>
        <v/>
      </c>
      <c r="I40" s="3">
        <f>IF('ORDENES'!$A18="","",IF('ORDENES'!$AQ18="","-",'ORDENES'!$AQ18))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IF('ORDENES'!$A18="","",'ORDENES'!$AD18)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IF('ORDENES'!$A19="","",IF('ORDENES'!$AF19="","-",'ORDENES'!$AF19))</f>
        <v/>
      </c>
      <c r="D41" s="3">
        <f>IF('ORDENES'!$A19="","",IF('ORDENES'!$X19="","-",'ORDENES'!$X19))</f>
        <v/>
      </c>
      <c r="E41" s="3">
        <f>IF('ORDENES'!$A19="","",IF('ORDENES'!$V19="","-",'ORDENES'!$V19))</f>
        <v/>
      </c>
      <c r="F41" s="3">
        <f>IF('ORDENES'!$A19="","",IF('ORDENES'!$Y19="","-",'ORDENES'!$Y19))</f>
        <v/>
      </c>
      <c r="G41" s="3">
        <f>IF('ORDENES'!$A19="","",IF('ORDENES'!$W19="","-",'ORDENES'!$W19))</f>
        <v/>
      </c>
      <c r="H41" s="3">
        <f>IF('ORDENES'!$A19="","",IF('ORDENES'!$AE19="","-",'ORDENES'!$AE19))</f>
        <v/>
      </c>
      <c r="I41" s="3">
        <f>IF('ORDENES'!$A19="","",IF('ORDENES'!$AQ19="","-",'ORDENES'!$AQ19))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IF('ORDENES'!$A19="","",'ORDENES'!$AD19)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IF('ORDENES'!$A20="","",IF('ORDENES'!$AF20="","-",'ORDENES'!$AF20))</f>
        <v/>
      </c>
      <c r="D42" s="3">
        <f>IF('ORDENES'!$A20="","",IF('ORDENES'!$X20="","-",'ORDENES'!$X20))</f>
        <v/>
      </c>
      <c r="E42" s="3">
        <f>IF('ORDENES'!$A20="","",IF('ORDENES'!$V20="","-",'ORDENES'!$V20))</f>
        <v/>
      </c>
      <c r="F42" s="3">
        <f>IF('ORDENES'!$A20="","",IF('ORDENES'!$Y20="","-",'ORDENES'!$Y20))</f>
        <v/>
      </c>
      <c r="G42" s="3">
        <f>IF('ORDENES'!$A20="","",IF('ORDENES'!$W20="","-",'ORDENES'!$W20))</f>
        <v/>
      </c>
      <c r="H42" s="3">
        <f>IF('ORDENES'!$A20="","",IF('ORDENES'!$AE20="","-",'ORDENES'!$AE20))</f>
        <v/>
      </c>
      <c r="I42" s="3">
        <f>IF('ORDENES'!$A20="","",IF('ORDENES'!$AQ20="","-",'ORDENES'!$AQ20))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IF('ORDENES'!$A20="","",'ORDENES'!$AD20)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IF('ORDENES'!$A21="","",IF('ORDENES'!$AF21="","-",'ORDENES'!$AF21))</f>
        <v/>
      </c>
      <c r="D43" s="3">
        <f>IF('ORDENES'!$A21="","",IF('ORDENES'!$X21="","-",'ORDENES'!$X21))</f>
        <v/>
      </c>
      <c r="E43" s="3">
        <f>IF('ORDENES'!$A21="","",IF('ORDENES'!$V21="","-",'ORDENES'!$V21))</f>
        <v/>
      </c>
      <c r="F43" s="3">
        <f>IF('ORDENES'!$A21="","",IF('ORDENES'!$Y21="","-",'ORDENES'!$Y21))</f>
        <v/>
      </c>
      <c r="G43" s="3">
        <f>IF('ORDENES'!$A21="","",IF('ORDENES'!$W21="","-",'ORDENES'!$W21))</f>
        <v/>
      </c>
      <c r="H43" s="3">
        <f>IF('ORDENES'!$A21="","",IF('ORDENES'!$AE21="","-",'ORDENES'!$AE21))</f>
        <v/>
      </c>
      <c r="I43" s="3">
        <f>IF('ORDENES'!$A21="","",IF('ORDENES'!$AQ21="","-",'ORDENES'!$AQ21))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IF('ORDENES'!$A21="","",'ORDENES'!$AD21)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IF('ORDENES'!$A22="","",IF('ORDENES'!$AF22="","-",'ORDENES'!$AF22))</f>
        <v/>
      </c>
      <c r="D44" s="3">
        <f>IF('ORDENES'!$A22="","",IF('ORDENES'!$X22="","-",'ORDENES'!$X22))</f>
        <v/>
      </c>
      <c r="E44" s="3">
        <f>IF('ORDENES'!$A22="","",IF('ORDENES'!$V22="","-",'ORDENES'!$V22))</f>
        <v/>
      </c>
      <c r="F44" s="3">
        <f>IF('ORDENES'!$A22="","",IF('ORDENES'!$Y22="","-",'ORDENES'!$Y22))</f>
        <v/>
      </c>
      <c r="G44" s="3">
        <f>IF('ORDENES'!$A22="","",IF('ORDENES'!$W22="","-",'ORDENES'!$W22))</f>
        <v/>
      </c>
      <c r="H44" s="3">
        <f>IF('ORDENES'!$A22="","",IF('ORDENES'!$AE22="","-",'ORDENES'!$AE22))</f>
        <v/>
      </c>
      <c r="I44" s="3">
        <f>IF('ORDENES'!$A22="","",IF('ORDENES'!$AQ22="","-",'ORDENES'!$AQ22))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IF('ORDENES'!$A22="","",'ORDENES'!$AD22)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IF('ORDENES'!$A23="","",IF('ORDENES'!$AF23="","-",'ORDENES'!$AF23))</f>
        <v/>
      </c>
      <c r="D45" s="3">
        <f>IF('ORDENES'!$A23="","",IF('ORDENES'!$X23="","-",'ORDENES'!$X23))</f>
        <v/>
      </c>
      <c r="E45" s="3">
        <f>IF('ORDENES'!$A23="","",IF('ORDENES'!$V23="","-",'ORDENES'!$V23))</f>
        <v/>
      </c>
      <c r="F45" s="3">
        <f>IF('ORDENES'!$A23="","",IF('ORDENES'!$Y23="","-",'ORDENES'!$Y23))</f>
        <v/>
      </c>
      <c r="G45" s="3">
        <f>IF('ORDENES'!$A23="","",IF('ORDENES'!$W23="","-",'ORDENES'!$W23))</f>
        <v/>
      </c>
      <c r="H45" s="3">
        <f>IF('ORDENES'!$A23="","",IF('ORDENES'!$AE23="","-",'ORDENES'!$AE23))</f>
        <v/>
      </c>
      <c r="I45" s="3">
        <f>IF('ORDENES'!$A23="","",IF('ORDENES'!$AQ23="","-",'ORDENES'!$AQ23))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IF('ORDENES'!$A23="","",'ORDENES'!$AD23)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IF('ORDENES'!$A24="","",IF('ORDENES'!$AF24="","-",'ORDENES'!$AF24))</f>
        <v/>
      </c>
      <c r="D46" s="3">
        <f>IF('ORDENES'!$A24="","",IF('ORDENES'!$X24="","-",'ORDENES'!$X24))</f>
        <v/>
      </c>
      <c r="E46" s="3">
        <f>IF('ORDENES'!$A24="","",IF('ORDENES'!$V24="","-",'ORDENES'!$V24))</f>
        <v/>
      </c>
      <c r="F46" s="3">
        <f>IF('ORDENES'!$A24="","",IF('ORDENES'!$Y24="","-",'ORDENES'!$Y24))</f>
        <v/>
      </c>
      <c r="G46" s="3">
        <f>IF('ORDENES'!$A24="","",IF('ORDENES'!$W24="","-",'ORDENES'!$W24))</f>
        <v/>
      </c>
      <c r="H46" s="3">
        <f>IF('ORDENES'!$A24="","",IF('ORDENES'!$AE24="","-",'ORDENES'!$AE24))</f>
        <v/>
      </c>
      <c r="I46" s="3">
        <f>IF('ORDENES'!$A24="","",IF('ORDENES'!$AQ24="","-",'ORDENES'!$AQ24))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IF('ORDENES'!$A24="","",'ORDENES'!$AD24)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IF('ORDENES'!$A25="","",IF('ORDENES'!$AF25="","-",'ORDENES'!$AF25))</f>
        <v/>
      </c>
      <c r="D47" s="3">
        <f>IF('ORDENES'!$A25="","",IF('ORDENES'!$X25="","-",'ORDENES'!$X25))</f>
        <v/>
      </c>
      <c r="E47" s="3">
        <f>IF('ORDENES'!$A25="","",IF('ORDENES'!$V25="","-",'ORDENES'!$V25))</f>
        <v/>
      </c>
      <c r="F47" s="3">
        <f>IF('ORDENES'!$A25="","",IF('ORDENES'!$Y25="","-",'ORDENES'!$Y25))</f>
        <v/>
      </c>
      <c r="G47" s="3">
        <f>IF('ORDENES'!$A25="","",IF('ORDENES'!$W25="","-",'ORDENES'!$W25))</f>
        <v/>
      </c>
      <c r="H47" s="3">
        <f>IF('ORDENES'!$A25="","",IF('ORDENES'!$AE25="","-",'ORDENES'!$AE25))</f>
        <v/>
      </c>
      <c r="I47" s="3">
        <f>IF('ORDENES'!$A25="","",IF('ORDENES'!$AQ25="","-",'ORDENES'!$AQ25))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IF('ORDENES'!$A25="","",'ORDENES'!$AD25)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IF('ORDENES'!$A26="","",IF('ORDENES'!$AF26="","-",'ORDENES'!$AF26))</f>
        <v/>
      </c>
      <c r="D48" s="3">
        <f>IF('ORDENES'!$A26="","",IF('ORDENES'!$X26="","-",'ORDENES'!$X26))</f>
        <v/>
      </c>
      <c r="E48" s="3">
        <f>IF('ORDENES'!$A26="","",IF('ORDENES'!$V26="","-",'ORDENES'!$V26))</f>
        <v/>
      </c>
      <c r="F48" s="3">
        <f>IF('ORDENES'!$A26="","",IF('ORDENES'!$Y26="","-",'ORDENES'!$Y26))</f>
        <v/>
      </c>
      <c r="G48" s="3">
        <f>IF('ORDENES'!$A26="","",IF('ORDENES'!$W26="","-",'ORDENES'!$W26))</f>
        <v/>
      </c>
      <c r="H48" s="3">
        <f>IF('ORDENES'!$A26="","",IF('ORDENES'!$AE26="","-",'ORDENES'!$AE26))</f>
        <v/>
      </c>
      <c r="I48" s="3">
        <f>IF('ORDENES'!$A26="","",IF('ORDENES'!$AQ26="","-",'ORDENES'!$AQ26))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IF('ORDENES'!$A26="","",'ORDENES'!$AD26)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IF('ORDENES'!$A27="","",IF('ORDENES'!$AF27="","-",'ORDENES'!$AF27))</f>
        <v/>
      </c>
      <c r="D49" s="3">
        <f>IF('ORDENES'!$A27="","",IF('ORDENES'!$X27="","-",'ORDENES'!$X27))</f>
        <v/>
      </c>
      <c r="E49" s="3">
        <f>IF('ORDENES'!$A27="","",IF('ORDENES'!$V27="","-",'ORDENES'!$V27))</f>
        <v/>
      </c>
      <c r="F49" s="3">
        <f>IF('ORDENES'!$A27="","",IF('ORDENES'!$Y27="","-",'ORDENES'!$Y27))</f>
        <v/>
      </c>
      <c r="G49" s="3">
        <f>IF('ORDENES'!$A27="","",IF('ORDENES'!$W27="","-",'ORDENES'!$W27))</f>
        <v/>
      </c>
      <c r="H49" s="3">
        <f>IF('ORDENES'!$A27="","",IF('ORDENES'!$AE27="","-",'ORDENES'!$AE27))</f>
        <v/>
      </c>
      <c r="I49" s="3">
        <f>IF('ORDENES'!$A27="","",IF('ORDENES'!$AQ27="","-",'ORDENES'!$AQ27))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IF('ORDENES'!$A27="","",'ORDENES'!$AD27)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IF('ORDENES'!$A28="","",IF('ORDENES'!$AF28="","-",'ORDENES'!$AF28))</f>
        <v/>
      </c>
      <c r="D50" s="3">
        <f>IF('ORDENES'!$A28="","",IF('ORDENES'!$X28="","-",'ORDENES'!$X28))</f>
        <v/>
      </c>
      <c r="E50" s="3">
        <f>IF('ORDENES'!$A28="","",IF('ORDENES'!$V28="","-",'ORDENES'!$V28))</f>
        <v/>
      </c>
      <c r="F50" s="3">
        <f>IF('ORDENES'!$A28="","",IF('ORDENES'!$Y28="","-",'ORDENES'!$Y28))</f>
        <v/>
      </c>
      <c r="G50" s="3">
        <f>IF('ORDENES'!$A28="","",IF('ORDENES'!$W28="","-",'ORDENES'!$W28))</f>
        <v/>
      </c>
      <c r="H50" s="3">
        <f>IF('ORDENES'!$A28="","",IF('ORDENES'!$AE28="","-",'ORDENES'!$AE28))</f>
        <v/>
      </c>
      <c r="I50" s="3">
        <f>IF('ORDENES'!$A28="","",IF('ORDENES'!$AQ28="","-",'ORDENES'!$AQ28))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IF('ORDENES'!$A28="","",'ORDENES'!$AD28)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IF('ORDENES'!$A29="","",IF('ORDENES'!$AF29="","-",'ORDENES'!$AF29))</f>
        <v/>
      </c>
      <c r="D51" s="3">
        <f>IF('ORDENES'!$A29="","",IF('ORDENES'!$X29="","-",'ORDENES'!$X29))</f>
        <v/>
      </c>
      <c r="E51" s="3">
        <f>IF('ORDENES'!$A29="","",IF('ORDENES'!$V29="","-",'ORDENES'!$V29))</f>
        <v/>
      </c>
      <c r="F51" s="3">
        <f>IF('ORDENES'!$A29="","",IF('ORDENES'!$Y29="","-",'ORDENES'!$Y29))</f>
        <v/>
      </c>
      <c r="G51" s="3">
        <f>IF('ORDENES'!$A29="","",IF('ORDENES'!$W29="","-",'ORDENES'!$W29))</f>
        <v/>
      </c>
      <c r="H51" s="3">
        <f>IF('ORDENES'!$A29="","",IF('ORDENES'!$AE29="","-",'ORDENES'!$AE29))</f>
        <v/>
      </c>
      <c r="I51" s="3">
        <f>IF('ORDENES'!$A29="","",IF('ORDENES'!$AQ29="","-",'ORDENES'!$AQ29))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IF('ORDENES'!$A29="","",'ORDENES'!$AD29)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IF('ORDENES'!$A30="","",IF('ORDENES'!$AF30="","-",'ORDENES'!$AF30))</f>
        <v/>
      </c>
      <c r="D52" s="3">
        <f>IF('ORDENES'!$A30="","",IF('ORDENES'!$X30="","-",'ORDENES'!$X30))</f>
        <v/>
      </c>
      <c r="E52" s="3">
        <f>IF('ORDENES'!$A30="","",IF('ORDENES'!$V30="","-",'ORDENES'!$V30))</f>
        <v/>
      </c>
      <c r="F52" s="3">
        <f>IF('ORDENES'!$A30="","",IF('ORDENES'!$Y30="","-",'ORDENES'!$Y30))</f>
        <v/>
      </c>
      <c r="G52" s="3">
        <f>IF('ORDENES'!$A30="","",IF('ORDENES'!$W30="","-",'ORDENES'!$W30))</f>
        <v/>
      </c>
      <c r="H52" s="3">
        <f>IF('ORDENES'!$A30="","",IF('ORDENES'!$AE30="","-",'ORDENES'!$AE30))</f>
        <v/>
      </c>
      <c r="I52" s="3">
        <f>IF('ORDENES'!$A30="","",IF('ORDENES'!$AQ30="","-",'ORDENES'!$AQ30))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IF('ORDENES'!$A30="","",'ORDENES'!$AD30)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IF('ORDENES'!$A31="","",IF('ORDENES'!$AF31="","-",'ORDENES'!$AF31))</f>
        <v/>
      </c>
      <c r="D53" s="3">
        <f>IF('ORDENES'!$A31="","",IF('ORDENES'!$X31="","-",'ORDENES'!$X31))</f>
        <v/>
      </c>
      <c r="E53" s="3">
        <f>IF('ORDENES'!$A31="","",IF('ORDENES'!$V31="","-",'ORDENES'!$V31))</f>
        <v/>
      </c>
      <c r="F53" s="3">
        <f>IF('ORDENES'!$A31="","",IF('ORDENES'!$Y31="","-",'ORDENES'!$Y31))</f>
        <v/>
      </c>
      <c r="G53" s="3">
        <f>IF('ORDENES'!$A31="","",IF('ORDENES'!$W31="","-",'ORDENES'!$W31))</f>
        <v/>
      </c>
      <c r="H53" s="3">
        <f>IF('ORDENES'!$A31="","",IF('ORDENES'!$AE31="","-",'ORDENES'!$AE31))</f>
        <v/>
      </c>
      <c r="I53" s="3">
        <f>IF('ORDENES'!$A31="","",IF('ORDENES'!$AQ31="","-",'ORDENES'!$AQ31))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IF('ORDENES'!$A31="","",'ORDENES'!$AD31)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IF('ORDENES'!$A32="","",IF('ORDENES'!$AF32="","-",'ORDENES'!$AF32))</f>
        <v/>
      </c>
      <c r="D54" s="3">
        <f>IF('ORDENES'!$A32="","",IF('ORDENES'!$X32="","-",'ORDENES'!$X32))</f>
        <v/>
      </c>
      <c r="E54" s="3">
        <f>IF('ORDENES'!$A32="","",IF('ORDENES'!$V32="","-",'ORDENES'!$V32))</f>
        <v/>
      </c>
      <c r="F54" s="3">
        <f>IF('ORDENES'!$A32="","",IF('ORDENES'!$Y32="","-",'ORDENES'!$Y32))</f>
        <v/>
      </c>
      <c r="G54" s="3">
        <f>IF('ORDENES'!$A32="","",IF('ORDENES'!$W32="","-",'ORDENES'!$W32))</f>
        <v/>
      </c>
      <c r="H54" s="3">
        <f>IF('ORDENES'!$A32="","",IF('ORDENES'!$AE32="","-",'ORDENES'!$AE32))</f>
        <v/>
      </c>
      <c r="I54" s="3">
        <f>IF('ORDENES'!$A32="","",IF('ORDENES'!$AQ32="","-",'ORDENES'!$AQ32))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IF('ORDENES'!$A32="","",'ORDENES'!$AD32)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IF('ORDENES'!$A33="","",IF('ORDENES'!$AF33="","-",'ORDENES'!$AF33))</f>
        <v/>
      </c>
      <c r="D55" s="3">
        <f>IF('ORDENES'!$A33="","",IF('ORDENES'!$X33="","-",'ORDENES'!$X33))</f>
        <v/>
      </c>
      <c r="E55" s="3">
        <f>IF('ORDENES'!$A33="","",IF('ORDENES'!$V33="","-",'ORDENES'!$V33))</f>
        <v/>
      </c>
      <c r="F55" s="3">
        <f>IF('ORDENES'!$A33="","",IF('ORDENES'!$Y33="","-",'ORDENES'!$Y33))</f>
        <v/>
      </c>
      <c r="G55" s="3">
        <f>IF('ORDENES'!$A33="","",IF('ORDENES'!$W33="","-",'ORDENES'!$W33))</f>
        <v/>
      </c>
      <c r="H55" s="3">
        <f>IF('ORDENES'!$A33="","",IF('ORDENES'!$AE33="","-",'ORDENES'!$AE33))</f>
        <v/>
      </c>
      <c r="I55" s="3">
        <f>IF('ORDENES'!$A33="","",IF('ORDENES'!$AQ33="","-",'ORDENES'!$AQ33))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IF('ORDENES'!$A33="","",'ORDENES'!$AD33)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IF('ORDENES'!$A34="","",IF('ORDENES'!$AF34="","-",'ORDENES'!$AF34))</f>
        <v/>
      </c>
      <c r="D56" s="3">
        <f>IF('ORDENES'!$A34="","",IF('ORDENES'!$X34="","-",'ORDENES'!$X34))</f>
        <v/>
      </c>
      <c r="E56" s="3">
        <f>IF('ORDENES'!$A34="","",IF('ORDENES'!$V34="","-",'ORDENES'!$V34))</f>
        <v/>
      </c>
      <c r="F56" s="3">
        <f>IF('ORDENES'!$A34="","",IF('ORDENES'!$Y34="","-",'ORDENES'!$Y34))</f>
        <v/>
      </c>
      <c r="G56" s="3">
        <f>IF('ORDENES'!$A34="","",IF('ORDENES'!$W34="","-",'ORDENES'!$W34))</f>
        <v/>
      </c>
      <c r="H56" s="3">
        <f>IF('ORDENES'!$A34="","",IF('ORDENES'!$AE34="","-",'ORDENES'!$AE34))</f>
        <v/>
      </c>
      <c r="I56" s="3">
        <f>IF('ORDENES'!$A34="","",IF('ORDENES'!$AQ34="","-",'ORDENES'!$AQ34))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IF('ORDENES'!$A34="","",'ORDENES'!$AD34)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IF('ORDENES'!$A35="","",IF('ORDENES'!$AF35="","-",'ORDENES'!$AF35))</f>
        <v/>
      </c>
      <c r="D57" s="3">
        <f>IF('ORDENES'!$A35="","",IF('ORDENES'!$X35="","-",'ORDENES'!$X35))</f>
        <v/>
      </c>
      <c r="E57" s="3">
        <f>IF('ORDENES'!$A35="","",IF('ORDENES'!$V35="","-",'ORDENES'!$V35))</f>
        <v/>
      </c>
      <c r="F57" s="3">
        <f>IF('ORDENES'!$A35="","",IF('ORDENES'!$Y35="","-",'ORDENES'!$Y35))</f>
        <v/>
      </c>
      <c r="G57" s="3">
        <f>IF('ORDENES'!$A35="","",IF('ORDENES'!$W35="","-",'ORDENES'!$W35))</f>
        <v/>
      </c>
      <c r="H57" s="3">
        <f>IF('ORDENES'!$A35="","",IF('ORDENES'!$AE35="","-",'ORDENES'!$AE35))</f>
        <v/>
      </c>
      <c r="I57" s="3">
        <f>IF('ORDENES'!$A35="","",IF('ORDENES'!$AQ35="","-",'ORDENES'!$AQ35))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IF('ORDENES'!$A35="","",'ORDENES'!$AD35)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IF('ORDENES'!$A36="","",IF('ORDENES'!$AF36="","-",'ORDENES'!$AF36))</f>
        <v/>
      </c>
      <c r="D58" s="3">
        <f>IF('ORDENES'!$A36="","",IF('ORDENES'!$X36="","-",'ORDENES'!$X36))</f>
        <v/>
      </c>
      <c r="E58" s="3">
        <f>IF('ORDENES'!$A36="","",IF('ORDENES'!$V36="","-",'ORDENES'!$V36))</f>
        <v/>
      </c>
      <c r="F58" s="3">
        <f>IF('ORDENES'!$A36="","",IF('ORDENES'!$Y36="","-",'ORDENES'!$Y36))</f>
        <v/>
      </c>
      <c r="G58" s="3">
        <f>IF('ORDENES'!$A36="","",IF('ORDENES'!$W36="","-",'ORDENES'!$W36))</f>
        <v/>
      </c>
      <c r="H58" s="3">
        <f>IF('ORDENES'!$A36="","",IF('ORDENES'!$AE36="","-",'ORDENES'!$AE36))</f>
        <v/>
      </c>
      <c r="I58" s="3">
        <f>IF('ORDENES'!$A36="","",IF('ORDENES'!$AQ36="","-",'ORDENES'!$AQ36))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IF('ORDENES'!$A36="","",'ORDENES'!$AD36)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IF('ORDENES'!$A37="","",IF('ORDENES'!$AF37="","-",'ORDENES'!$AF37))</f>
        <v/>
      </c>
      <c r="D59" s="3">
        <f>IF('ORDENES'!$A37="","",IF('ORDENES'!$X37="","-",'ORDENES'!$X37))</f>
        <v/>
      </c>
      <c r="E59" s="3">
        <f>IF('ORDENES'!$A37="","",IF('ORDENES'!$V37="","-",'ORDENES'!$V37))</f>
        <v/>
      </c>
      <c r="F59" s="3">
        <f>IF('ORDENES'!$A37="","",IF('ORDENES'!$Y37="","-",'ORDENES'!$Y37))</f>
        <v/>
      </c>
      <c r="G59" s="3">
        <f>IF('ORDENES'!$A37="","",IF('ORDENES'!$W37="","-",'ORDENES'!$W37))</f>
        <v/>
      </c>
      <c r="H59" s="3">
        <f>IF('ORDENES'!$A37="","",IF('ORDENES'!$AE37="","-",'ORDENES'!$AE37))</f>
        <v/>
      </c>
      <c r="I59" s="3">
        <f>IF('ORDENES'!$A37="","",IF('ORDENES'!$AQ37="","-",'ORDENES'!$AQ37))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IF('ORDENES'!$A37="","",'ORDENES'!$AD37)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IF('ORDENES'!$A38="","",IF('ORDENES'!$AF38="","-",'ORDENES'!$AF38))</f>
        <v/>
      </c>
      <c r="D60" s="3">
        <f>IF('ORDENES'!$A38="","",IF('ORDENES'!$X38="","-",'ORDENES'!$X38))</f>
        <v/>
      </c>
      <c r="E60" s="3">
        <f>IF('ORDENES'!$A38="","",IF('ORDENES'!$V38="","-",'ORDENES'!$V38))</f>
        <v/>
      </c>
      <c r="F60" s="3">
        <f>IF('ORDENES'!$A38="","",IF('ORDENES'!$Y38="","-",'ORDENES'!$Y38))</f>
        <v/>
      </c>
      <c r="G60" s="3">
        <f>IF('ORDENES'!$A38="","",IF('ORDENES'!$W38="","-",'ORDENES'!$W38))</f>
        <v/>
      </c>
      <c r="H60" s="3">
        <f>IF('ORDENES'!$A38="","",IF('ORDENES'!$AE38="","-",'ORDENES'!$AE38))</f>
        <v/>
      </c>
      <c r="I60" s="3">
        <f>IF('ORDENES'!$A38="","",IF('ORDENES'!$AQ38="","-",'ORDENES'!$AQ38))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IF('ORDENES'!$A38="","",'ORDENES'!$AD38)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IF('ORDENES'!$A39="","",IF('ORDENES'!$AF39="","-",'ORDENES'!$AF39))</f>
        <v/>
      </c>
      <c r="D61" s="3">
        <f>IF('ORDENES'!$A39="","",IF('ORDENES'!$X39="","-",'ORDENES'!$X39))</f>
        <v/>
      </c>
      <c r="E61" s="3">
        <f>IF('ORDENES'!$A39="","",IF('ORDENES'!$V39="","-",'ORDENES'!$V39))</f>
        <v/>
      </c>
      <c r="F61" s="3">
        <f>IF('ORDENES'!$A39="","",IF('ORDENES'!$Y39="","-",'ORDENES'!$Y39))</f>
        <v/>
      </c>
      <c r="G61" s="3">
        <f>IF('ORDENES'!$A39="","",IF('ORDENES'!$W39="","-",'ORDENES'!$W39))</f>
        <v/>
      </c>
      <c r="H61" s="3">
        <f>IF('ORDENES'!$A39="","",IF('ORDENES'!$AE39="","-",'ORDENES'!$AE39))</f>
        <v/>
      </c>
      <c r="I61" s="3">
        <f>IF('ORDENES'!$A39="","",IF('ORDENES'!$AQ39="","-",'ORDENES'!$AQ39))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IF('ORDENES'!$A39="","",'ORDENES'!$AD39)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IF('ORDENES'!$A40="","",IF('ORDENES'!$AF40="","-",'ORDENES'!$AF40))</f>
        <v/>
      </c>
      <c r="D62" s="3">
        <f>IF('ORDENES'!$A40="","",IF('ORDENES'!$X40="","-",'ORDENES'!$X40))</f>
        <v/>
      </c>
      <c r="E62" s="3">
        <f>IF('ORDENES'!$A40="","",IF('ORDENES'!$V40="","-",'ORDENES'!$V40))</f>
        <v/>
      </c>
      <c r="F62" s="3">
        <f>IF('ORDENES'!$A40="","",IF('ORDENES'!$Y40="","-",'ORDENES'!$Y40))</f>
        <v/>
      </c>
      <c r="G62" s="3">
        <f>IF('ORDENES'!$A40="","",IF('ORDENES'!$W40="","-",'ORDENES'!$W40))</f>
        <v/>
      </c>
      <c r="H62" s="3">
        <f>IF('ORDENES'!$A40="","",IF('ORDENES'!$AE40="","-",'ORDENES'!$AE40))</f>
        <v/>
      </c>
      <c r="I62" s="3">
        <f>IF('ORDENES'!$A40="","",IF('ORDENES'!$AQ40="","-",'ORDENES'!$AQ40))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IF('ORDENES'!$A40="","",'ORDENES'!$AD40)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IF('ORDENES'!$A41="","",IF('ORDENES'!$AF41="","-",'ORDENES'!$AF41))</f>
        <v/>
      </c>
      <c r="D63" s="3">
        <f>IF('ORDENES'!$A41="","",IF('ORDENES'!$X41="","-",'ORDENES'!$X41))</f>
        <v/>
      </c>
      <c r="E63" s="3">
        <f>IF('ORDENES'!$A41="","",IF('ORDENES'!$V41="","-",'ORDENES'!$V41))</f>
        <v/>
      </c>
      <c r="F63" s="3">
        <f>IF('ORDENES'!$A41="","",IF('ORDENES'!$Y41="","-",'ORDENES'!$Y41))</f>
        <v/>
      </c>
      <c r="G63" s="3">
        <f>IF('ORDENES'!$A41="","",IF('ORDENES'!$W41="","-",'ORDENES'!$W41))</f>
        <v/>
      </c>
      <c r="H63" s="3">
        <f>IF('ORDENES'!$A41="","",IF('ORDENES'!$AE41="","-",'ORDENES'!$AE41))</f>
        <v/>
      </c>
      <c r="I63" s="3">
        <f>IF('ORDENES'!$A41="","",IF('ORDENES'!$AQ41="","-",'ORDENES'!$AQ41))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IF('ORDENES'!$A41="","",'ORDENES'!$AD41)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IF('ORDENES'!$A42="","",IF('ORDENES'!$AF42="","-",'ORDENES'!$AF42))</f>
        <v/>
      </c>
      <c r="D64" s="3">
        <f>IF('ORDENES'!$A42="","",IF('ORDENES'!$X42="","-",'ORDENES'!$X42))</f>
        <v/>
      </c>
      <c r="E64" s="3">
        <f>IF('ORDENES'!$A42="","",IF('ORDENES'!$V42="","-",'ORDENES'!$V42))</f>
        <v/>
      </c>
      <c r="F64" s="3">
        <f>IF('ORDENES'!$A42="","",IF('ORDENES'!$Y42="","-",'ORDENES'!$Y42))</f>
        <v/>
      </c>
      <c r="G64" s="3">
        <f>IF('ORDENES'!$A42="","",IF('ORDENES'!$W42="","-",'ORDENES'!$W42))</f>
        <v/>
      </c>
      <c r="H64" s="3">
        <f>IF('ORDENES'!$A42="","",IF('ORDENES'!$AE42="","-",'ORDENES'!$AE42))</f>
        <v/>
      </c>
      <c r="I64" s="3">
        <f>IF('ORDENES'!$A42="","",IF('ORDENES'!$AQ42="","-",'ORDENES'!$AQ42))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IF('ORDENES'!$A42="","",'ORDENES'!$AD42)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IF('ORDENES'!$A43="","",IF('ORDENES'!$AF43="","-",'ORDENES'!$AF43))</f>
        <v/>
      </c>
      <c r="D65" s="3">
        <f>IF('ORDENES'!$A43="","",IF('ORDENES'!$X43="","-",'ORDENES'!$X43))</f>
        <v/>
      </c>
      <c r="E65" s="3">
        <f>IF('ORDENES'!$A43="","",IF('ORDENES'!$V43="","-",'ORDENES'!$V43))</f>
        <v/>
      </c>
      <c r="F65" s="3">
        <f>IF('ORDENES'!$A43="","",IF('ORDENES'!$Y43="","-",'ORDENES'!$Y43))</f>
        <v/>
      </c>
      <c r="G65" s="3">
        <f>IF('ORDENES'!$A43="","",IF('ORDENES'!$W43="","-",'ORDENES'!$W43))</f>
        <v/>
      </c>
      <c r="H65" s="3">
        <f>IF('ORDENES'!$A43="","",IF('ORDENES'!$AE43="","-",'ORDENES'!$AE43))</f>
        <v/>
      </c>
      <c r="I65" s="3">
        <f>IF('ORDENES'!$A43="","",IF('ORDENES'!$AQ43="","-",'ORDENES'!$AQ43))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IF('ORDENES'!$A43="","",'ORDENES'!$AD43)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IF('ORDENES'!$A44="","",IF('ORDENES'!$AF44="","-",'ORDENES'!$AF44))</f>
        <v/>
      </c>
      <c r="D66" s="3">
        <f>IF('ORDENES'!$A44="","",IF('ORDENES'!$X44="","-",'ORDENES'!$X44))</f>
        <v/>
      </c>
      <c r="E66" s="3">
        <f>IF('ORDENES'!$A44="","",IF('ORDENES'!$V44="","-",'ORDENES'!$V44))</f>
        <v/>
      </c>
      <c r="F66" s="3">
        <f>IF('ORDENES'!$A44="","",IF('ORDENES'!$Y44="","-",'ORDENES'!$Y44))</f>
        <v/>
      </c>
      <c r="G66" s="3">
        <f>IF('ORDENES'!$A44="","",IF('ORDENES'!$W44="","-",'ORDENES'!$W44))</f>
        <v/>
      </c>
      <c r="H66" s="3">
        <f>IF('ORDENES'!$A44="","",IF('ORDENES'!$AE44="","-",'ORDENES'!$AE44))</f>
        <v/>
      </c>
      <c r="I66" s="3">
        <f>IF('ORDENES'!$A44="","",IF('ORDENES'!$AQ44="","-",'ORDENES'!$AQ44))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IF('ORDENES'!$A44="","",'ORDENES'!$AD44)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IF('ORDENES'!$A45="","",IF('ORDENES'!$AF45="","-",'ORDENES'!$AF45))</f>
        <v/>
      </c>
      <c r="D67" s="3">
        <f>IF('ORDENES'!$A45="","",IF('ORDENES'!$X45="","-",'ORDENES'!$X45))</f>
        <v/>
      </c>
      <c r="E67" s="3">
        <f>IF('ORDENES'!$A45="","",IF('ORDENES'!$V45="","-",'ORDENES'!$V45))</f>
        <v/>
      </c>
      <c r="F67" s="3">
        <f>IF('ORDENES'!$A45="","",IF('ORDENES'!$Y45="","-",'ORDENES'!$Y45))</f>
        <v/>
      </c>
      <c r="G67" s="3">
        <f>IF('ORDENES'!$A45="","",IF('ORDENES'!$W45="","-",'ORDENES'!$W45))</f>
        <v/>
      </c>
      <c r="H67" s="3">
        <f>IF('ORDENES'!$A45="","",IF('ORDENES'!$AE45="","-",'ORDENES'!$AE45))</f>
        <v/>
      </c>
      <c r="I67" s="3">
        <f>IF('ORDENES'!$A45="","",IF('ORDENES'!$AQ45="","-",'ORDENES'!$AQ45))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IF('ORDENES'!$A45="","",'ORDENES'!$AD45)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IF('ORDENES'!$A46="","",IF('ORDENES'!$AF46="","-",'ORDENES'!$AF46))</f>
        <v/>
      </c>
      <c r="D68" s="3">
        <f>IF('ORDENES'!$A46="","",IF('ORDENES'!$X46="","-",'ORDENES'!$X46))</f>
        <v/>
      </c>
      <c r="E68" s="3">
        <f>IF('ORDENES'!$A46="","",IF('ORDENES'!$V46="","-",'ORDENES'!$V46))</f>
        <v/>
      </c>
      <c r="F68" s="3">
        <f>IF('ORDENES'!$A46="","",IF('ORDENES'!$Y46="","-",'ORDENES'!$Y46))</f>
        <v/>
      </c>
      <c r="G68" s="3">
        <f>IF('ORDENES'!$A46="","",IF('ORDENES'!$W46="","-",'ORDENES'!$W46))</f>
        <v/>
      </c>
      <c r="H68" s="3">
        <f>IF('ORDENES'!$A46="","",IF('ORDENES'!$AE46="","-",'ORDENES'!$AE46))</f>
        <v/>
      </c>
      <c r="I68" s="3">
        <f>IF('ORDENES'!$A46="","",IF('ORDENES'!$AQ46="","-",'ORDENES'!$AQ46))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IF('ORDENES'!$A46="","",'ORDENES'!$AD46)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IF('ORDENES'!$A47="","",IF('ORDENES'!$AF47="","-",'ORDENES'!$AF47))</f>
        <v/>
      </c>
      <c r="D69" s="3">
        <f>IF('ORDENES'!$A47="","",IF('ORDENES'!$X47="","-",'ORDENES'!$X47))</f>
        <v/>
      </c>
      <c r="E69" s="3">
        <f>IF('ORDENES'!$A47="","",IF('ORDENES'!$V47="","-",'ORDENES'!$V47))</f>
        <v/>
      </c>
      <c r="F69" s="3">
        <f>IF('ORDENES'!$A47="","",IF('ORDENES'!$Y47="","-",'ORDENES'!$Y47))</f>
        <v/>
      </c>
      <c r="G69" s="3">
        <f>IF('ORDENES'!$A47="","",IF('ORDENES'!$W47="","-",'ORDENES'!$W47))</f>
        <v/>
      </c>
      <c r="H69" s="3">
        <f>IF('ORDENES'!$A47="","",IF('ORDENES'!$AE47="","-",'ORDENES'!$AE47))</f>
        <v/>
      </c>
      <c r="I69" s="3">
        <f>IF('ORDENES'!$A47="","",IF('ORDENES'!$AQ47="","-",'ORDENES'!$AQ47))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IF('ORDENES'!$A47="","",'ORDENES'!$AD47)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IF('ORDENES'!$A48="","",IF('ORDENES'!$AF48="","-",'ORDENES'!$AF48))</f>
        <v/>
      </c>
      <c r="D70" s="3">
        <f>IF('ORDENES'!$A48="","",IF('ORDENES'!$X48="","-",'ORDENES'!$X48))</f>
        <v/>
      </c>
      <c r="E70" s="3">
        <f>IF('ORDENES'!$A48="","",IF('ORDENES'!$V48="","-",'ORDENES'!$V48))</f>
        <v/>
      </c>
      <c r="F70" s="3">
        <f>IF('ORDENES'!$A48="","",IF('ORDENES'!$Y48="","-",'ORDENES'!$Y48))</f>
        <v/>
      </c>
      <c r="G70" s="3">
        <f>IF('ORDENES'!$A48="","",IF('ORDENES'!$W48="","-",'ORDENES'!$W48))</f>
        <v/>
      </c>
      <c r="H70" s="3">
        <f>IF('ORDENES'!$A48="","",IF('ORDENES'!$AE48="","-",'ORDENES'!$AE48))</f>
        <v/>
      </c>
      <c r="I70" s="3">
        <f>IF('ORDENES'!$A48="","",IF('ORDENES'!$AQ48="","-",'ORDENES'!$AQ48))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IF('ORDENES'!$A48="","",'ORDENES'!$AD48)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IF('ORDENES'!$A49="","",IF('ORDENES'!$AF49="","-",'ORDENES'!$AF49))</f>
        <v/>
      </c>
      <c r="D71" s="3">
        <f>IF('ORDENES'!$A49="","",IF('ORDENES'!$X49="","-",'ORDENES'!$X49))</f>
        <v/>
      </c>
      <c r="E71" s="3">
        <f>IF('ORDENES'!$A49="","",IF('ORDENES'!$V49="","-",'ORDENES'!$V49))</f>
        <v/>
      </c>
      <c r="F71" s="3">
        <f>IF('ORDENES'!$A49="","",IF('ORDENES'!$Y49="","-",'ORDENES'!$Y49))</f>
        <v/>
      </c>
      <c r="G71" s="3">
        <f>IF('ORDENES'!$A49="","",IF('ORDENES'!$W49="","-",'ORDENES'!$W49))</f>
        <v/>
      </c>
      <c r="H71" s="3">
        <f>IF('ORDENES'!$A49="","",IF('ORDENES'!$AE49="","-",'ORDENES'!$AE49))</f>
        <v/>
      </c>
      <c r="I71" s="3">
        <f>IF('ORDENES'!$A49="","",IF('ORDENES'!$AQ49="","-",'ORDENES'!$AQ49))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IF('ORDENES'!$A49="","",'ORDENES'!$AD49)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IF('ORDENES'!$A50="","",IF('ORDENES'!$AF50="","-",'ORDENES'!$AF50))</f>
        <v/>
      </c>
      <c r="D72" s="3">
        <f>IF('ORDENES'!$A50="","",IF('ORDENES'!$X50="","-",'ORDENES'!$X50))</f>
        <v/>
      </c>
      <c r="E72" s="3">
        <f>IF('ORDENES'!$A50="","",IF('ORDENES'!$V50="","-",'ORDENES'!$V50))</f>
        <v/>
      </c>
      <c r="F72" s="3">
        <f>IF('ORDENES'!$A50="","",IF('ORDENES'!$Y50="","-",'ORDENES'!$Y50))</f>
        <v/>
      </c>
      <c r="G72" s="3">
        <f>IF('ORDENES'!$A50="","",IF('ORDENES'!$W50="","-",'ORDENES'!$W50))</f>
        <v/>
      </c>
      <c r="H72" s="3">
        <f>IF('ORDENES'!$A50="","",IF('ORDENES'!$AE50="","-",'ORDENES'!$AE50))</f>
        <v/>
      </c>
      <c r="I72" s="3">
        <f>IF('ORDENES'!$A50="","",IF('ORDENES'!$AQ50="","-",'ORDENES'!$AQ50))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IF('ORDENES'!$A50="","",'ORDENES'!$AD50)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IF('ORDENES'!$A51="","",IF('ORDENES'!$AF51="","-",'ORDENES'!$AF51))</f>
        <v/>
      </c>
      <c r="D73" s="3">
        <f>IF('ORDENES'!$A51="","",IF('ORDENES'!$X51="","-",'ORDENES'!$X51))</f>
        <v/>
      </c>
      <c r="E73" s="3">
        <f>IF('ORDENES'!$A51="","",IF('ORDENES'!$V51="","-",'ORDENES'!$V51))</f>
        <v/>
      </c>
      <c r="F73" s="3">
        <f>IF('ORDENES'!$A51="","",IF('ORDENES'!$Y51="","-",'ORDENES'!$Y51))</f>
        <v/>
      </c>
      <c r="G73" s="3">
        <f>IF('ORDENES'!$A51="","",IF('ORDENES'!$W51="","-",'ORDENES'!$W51))</f>
        <v/>
      </c>
      <c r="H73" s="3">
        <f>IF('ORDENES'!$A51="","",IF('ORDENES'!$AE51="","-",'ORDENES'!$AE51))</f>
        <v/>
      </c>
      <c r="I73" s="3">
        <f>IF('ORDENES'!$A51="","",IF('ORDENES'!$AQ51="","-",'ORDENES'!$AQ51))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IF('ORDENES'!$A51="","",'ORDENES'!$AD51)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IF('ORDENES'!$A52="","",IF('ORDENES'!$AF52="","-",'ORDENES'!$AF52))</f>
        <v/>
      </c>
      <c r="D74" s="3">
        <f>IF('ORDENES'!$A52="","",IF('ORDENES'!$X52="","-",'ORDENES'!$X52))</f>
        <v/>
      </c>
      <c r="E74" s="3">
        <f>IF('ORDENES'!$A52="","",IF('ORDENES'!$V52="","-",'ORDENES'!$V52))</f>
        <v/>
      </c>
      <c r="F74" s="3">
        <f>IF('ORDENES'!$A52="","",IF('ORDENES'!$Y52="","-",'ORDENES'!$Y52))</f>
        <v/>
      </c>
      <c r="G74" s="3">
        <f>IF('ORDENES'!$A52="","",IF('ORDENES'!$W52="","-",'ORDENES'!$W52))</f>
        <v/>
      </c>
      <c r="H74" s="3">
        <f>IF('ORDENES'!$A52="","",IF('ORDENES'!$AE52="","-",'ORDENES'!$AE52))</f>
        <v/>
      </c>
      <c r="I74" s="3">
        <f>IF('ORDENES'!$A52="","",IF('ORDENES'!$AQ52="","-",'ORDENES'!$AQ52))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IF('ORDENES'!$A52="","",'ORDENES'!$AD52)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IF('ORDENES'!$A53="","",IF('ORDENES'!$AF53="","-",'ORDENES'!$AF53))</f>
        <v/>
      </c>
      <c r="D75" s="3">
        <f>IF('ORDENES'!$A53="","",IF('ORDENES'!$X53="","-",'ORDENES'!$X53))</f>
        <v/>
      </c>
      <c r="E75" s="3">
        <f>IF('ORDENES'!$A53="","",IF('ORDENES'!$V53="","-",'ORDENES'!$V53))</f>
        <v/>
      </c>
      <c r="F75" s="3">
        <f>IF('ORDENES'!$A53="","",IF('ORDENES'!$Y53="","-",'ORDENES'!$Y53))</f>
        <v/>
      </c>
      <c r="G75" s="3">
        <f>IF('ORDENES'!$A53="","",IF('ORDENES'!$W53="","-",'ORDENES'!$W53))</f>
        <v/>
      </c>
      <c r="H75" s="3">
        <f>IF('ORDENES'!$A53="","",IF('ORDENES'!$AE53="","-",'ORDENES'!$AE53))</f>
        <v/>
      </c>
      <c r="I75" s="3">
        <f>IF('ORDENES'!$A53="","",IF('ORDENES'!$AQ53="","-",'ORDENES'!$AQ53))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IF('ORDENES'!$A53="","",'ORDENES'!$AD53)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IF('ORDENES'!$A54="","",IF('ORDENES'!$AF54="","-",'ORDENES'!$AF54))</f>
        <v/>
      </c>
      <c r="D76" s="3">
        <f>IF('ORDENES'!$A54="","",IF('ORDENES'!$X54="","-",'ORDENES'!$X54))</f>
        <v/>
      </c>
      <c r="E76" s="3">
        <f>IF('ORDENES'!$A54="","",IF('ORDENES'!$V54="","-",'ORDENES'!$V54))</f>
        <v/>
      </c>
      <c r="F76" s="3">
        <f>IF('ORDENES'!$A54="","",IF('ORDENES'!$Y54="","-",'ORDENES'!$Y54))</f>
        <v/>
      </c>
      <c r="G76" s="3">
        <f>IF('ORDENES'!$A54="","",IF('ORDENES'!$W54="","-",'ORDENES'!$W54))</f>
        <v/>
      </c>
      <c r="H76" s="3">
        <f>IF('ORDENES'!$A54="","",IF('ORDENES'!$AE54="","-",'ORDENES'!$AE54))</f>
        <v/>
      </c>
      <c r="I76" s="3">
        <f>IF('ORDENES'!$A54="","",IF('ORDENES'!$AQ54="","-",'ORDENES'!$AQ54))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IF('ORDENES'!$A54="","",'ORDENES'!$AD54)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IF('ORDENES'!$A55="","",IF('ORDENES'!$AF55="","-",'ORDENES'!$AF55))</f>
        <v/>
      </c>
      <c r="D77" s="3">
        <f>IF('ORDENES'!$A55="","",IF('ORDENES'!$X55="","-",'ORDENES'!$X55))</f>
        <v/>
      </c>
      <c r="E77" s="3">
        <f>IF('ORDENES'!$A55="","",IF('ORDENES'!$V55="","-",'ORDENES'!$V55))</f>
        <v/>
      </c>
      <c r="F77" s="3">
        <f>IF('ORDENES'!$A55="","",IF('ORDENES'!$Y55="","-",'ORDENES'!$Y55))</f>
        <v/>
      </c>
      <c r="G77" s="3">
        <f>IF('ORDENES'!$A55="","",IF('ORDENES'!$W55="","-",'ORDENES'!$W55))</f>
        <v/>
      </c>
      <c r="H77" s="3">
        <f>IF('ORDENES'!$A55="","",IF('ORDENES'!$AE55="","-",'ORDENES'!$AE55))</f>
        <v/>
      </c>
      <c r="I77" s="3">
        <f>IF('ORDENES'!$A55="","",IF('ORDENES'!$AQ55="","-",'ORDENES'!$AQ55))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IF('ORDENES'!$A55="","",'ORDENES'!$AD55)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IF('ORDENES'!$A56="","",IF('ORDENES'!$AF56="","-",'ORDENES'!$AF56))</f>
        <v/>
      </c>
      <c r="D78" s="3">
        <f>IF('ORDENES'!$A56="","",IF('ORDENES'!$X56="","-",'ORDENES'!$X56))</f>
        <v/>
      </c>
      <c r="E78" s="3">
        <f>IF('ORDENES'!$A56="","",IF('ORDENES'!$V56="","-",'ORDENES'!$V56))</f>
        <v/>
      </c>
      <c r="F78" s="3">
        <f>IF('ORDENES'!$A56="","",IF('ORDENES'!$Y56="","-",'ORDENES'!$Y56))</f>
        <v/>
      </c>
      <c r="G78" s="3">
        <f>IF('ORDENES'!$A56="","",IF('ORDENES'!$W56="","-",'ORDENES'!$W56))</f>
        <v/>
      </c>
      <c r="H78" s="3">
        <f>IF('ORDENES'!$A56="","",IF('ORDENES'!$AE56="","-",'ORDENES'!$AE56))</f>
        <v/>
      </c>
      <c r="I78" s="3">
        <f>IF('ORDENES'!$A56="","",IF('ORDENES'!$AQ56="","-",'ORDENES'!$AQ56))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IF('ORDENES'!$A56="","",'ORDENES'!$AD56)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IF('ORDENES'!$A57="","",IF('ORDENES'!$AF57="","-",'ORDENES'!$AF57))</f>
        <v/>
      </c>
      <c r="D79" s="3">
        <f>IF('ORDENES'!$A57="","",IF('ORDENES'!$X57="","-",'ORDENES'!$X57))</f>
        <v/>
      </c>
      <c r="E79" s="3">
        <f>IF('ORDENES'!$A57="","",IF('ORDENES'!$V57="","-",'ORDENES'!$V57))</f>
        <v/>
      </c>
      <c r="F79" s="3">
        <f>IF('ORDENES'!$A57="","",IF('ORDENES'!$Y57="","-",'ORDENES'!$Y57))</f>
        <v/>
      </c>
      <c r="G79" s="3">
        <f>IF('ORDENES'!$A57="","",IF('ORDENES'!$W57="","-",'ORDENES'!$W57))</f>
        <v/>
      </c>
      <c r="H79" s="3">
        <f>IF('ORDENES'!$A57="","",IF('ORDENES'!$AE57="","-",'ORDENES'!$AE57))</f>
        <v/>
      </c>
      <c r="I79" s="3">
        <f>IF('ORDENES'!$A57="","",IF('ORDENES'!$AQ57="","-",'ORDENES'!$AQ57))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IF('ORDENES'!$A57="","",'ORDENES'!$AD57)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IF('ORDENES'!$A58="","",IF('ORDENES'!$AF58="","-",'ORDENES'!$AF58))</f>
        <v/>
      </c>
      <c r="D80" s="3">
        <f>IF('ORDENES'!$A58="","",IF('ORDENES'!$X58="","-",'ORDENES'!$X58))</f>
        <v/>
      </c>
      <c r="E80" s="3">
        <f>IF('ORDENES'!$A58="","",IF('ORDENES'!$V58="","-",'ORDENES'!$V58))</f>
        <v/>
      </c>
      <c r="F80" s="3">
        <f>IF('ORDENES'!$A58="","",IF('ORDENES'!$Y58="","-",'ORDENES'!$Y58))</f>
        <v/>
      </c>
      <c r="G80" s="3">
        <f>IF('ORDENES'!$A58="","",IF('ORDENES'!$W58="","-",'ORDENES'!$W58))</f>
        <v/>
      </c>
      <c r="H80" s="3">
        <f>IF('ORDENES'!$A58="","",IF('ORDENES'!$AE58="","-",'ORDENES'!$AE58))</f>
        <v/>
      </c>
      <c r="I80" s="3">
        <f>IF('ORDENES'!$A58="","",IF('ORDENES'!$AQ58="","-",'ORDENES'!$AQ58))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IF('ORDENES'!$A58="","",'ORDENES'!$AD58)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IF('ORDENES'!$A59="","",IF('ORDENES'!$AF59="","-",'ORDENES'!$AF59))</f>
        <v/>
      </c>
      <c r="D81" s="3">
        <f>IF('ORDENES'!$A59="","",IF('ORDENES'!$X59="","-",'ORDENES'!$X59))</f>
        <v/>
      </c>
      <c r="E81" s="3">
        <f>IF('ORDENES'!$A59="","",IF('ORDENES'!$V59="","-",'ORDENES'!$V59))</f>
        <v/>
      </c>
      <c r="F81" s="3">
        <f>IF('ORDENES'!$A59="","",IF('ORDENES'!$Y59="","-",'ORDENES'!$Y59))</f>
        <v/>
      </c>
      <c r="G81" s="3">
        <f>IF('ORDENES'!$A59="","",IF('ORDENES'!$W59="","-",'ORDENES'!$W59))</f>
        <v/>
      </c>
      <c r="H81" s="3">
        <f>IF('ORDENES'!$A59="","",IF('ORDENES'!$AE59="","-",'ORDENES'!$AE59))</f>
        <v/>
      </c>
      <c r="I81" s="3">
        <f>IF('ORDENES'!$A59="","",IF('ORDENES'!$AQ59="","-",'ORDENES'!$AQ59))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IF('ORDENES'!$A59="","",'ORDENES'!$AD59)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IF('ORDENES'!$A60="","",IF('ORDENES'!$AF60="","-",'ORDENES'!$AF60))</f>
        <v/>
      </c>
      <c r="D82" s="3">
        <f>IF('ORDENES'!$A60="","",IF('ORDENES'!$X60="","-",'ORDENES'!$X60))</f>
        <v/>
      </c>
      <c r="E82" s="3">
        <f>IF('ORDENES'!$A60="","",IF('ORDENES'!$V60="","-",'ORDENES'!$V60))</f>
        <v/>
      </c>
      <c r="F82" s="3">
        <f>IF('ORDENES'!$A60="","",IF('ORDENES'!$Y60="","-",'ORDENES'!$Y60))</f>
        <v/>
      </c>
      <c r="G82" s="3">
        <f>IF('ORDENES'!$A60="","",IF('ORDENES'!$W60="","-",'ORDENES'!$W60))</f>
        <v/>
      </c>
      <c r="H82" s="3">
        <f>IF('ORDENES'!$A60="","",IF('ORDENES'!$AE60="","-",'ORDENES'!$AE60))</f>
        <v/>
      </c>
      <c r="I82" s="3">
        <f>IF('ORDENES'!$A60="","",IF('ORDENES'!$AQ60="","-",'ORDENES'!$AQ60))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IF('ORDENES'!$A60="","",'ORDENES'!$AD60)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IF('ORDENES'!$A61="","",IF('ORDENES'!$AF61="","-",'ORDENES'!$AF61))</f>
        <v/>
      </c>
      <c r="D83" s="3">
        <f>IF('ORDENES'!$A61="","",IF('ORDENES'!$X61="","-",'ORDENES'!$X61))</f>
        <v/>
      </c>
      <c r="E83" s="3">
        <f>IF('ORDENES'!$A61="","",IF('ORDENES'!$V61="","-",'ORDENES'!$V61))</f>
        <v/>
      </c>
      <c r="F83" s="3">
        <f>IF('ORDENES'!$A61="","",IF('ORDENES'!$Y61="","-",'ORDENES'!$Y61))</f>
        <v/>
      </c>
      <c r="G83" s="3">
        <f>IF('ORDENES'!$A61="","",IF('ORDENES'!$W61="","-",'ORDENES'!$W61))</f>
        <v/>
      </c>
      <c r="H83" s="3">
        <f>IF('ORDENES'!$A61="","",IF('ORDENES'!$AE61="","-",'ORDENES'!$AE61))</f>
        <v/>
      </c>
      <c r="I83" s="3">
        <f>IF('ORDENES'!$A61="","",IF('ORDENES'!$AQ61="","-",'ORDENES'!$AQ61))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IF('ORDENES'!$A61="","",'ORDENES'!$AD61)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IF('ORDENES'!$A62="","",IF('ORDENES'!$AF62="","-",'ORDENES'!$AF62))</f>
        <v/>
      </c>
      <c r="D84" s="3">
        <f>IF('ORDENES'!$A62="","",IF('ORDENES'!$X62="","-",'ORDENES'!$X62))</f>
        <v/>
      </c>
      <c r="E84" s="3">
        <f>IF('ORDENES'!$A62="","",IF('ORDENES'!$V62="","-",'ORDENES'!$V62))</f>
        <v/>
      </c>
      <c r="F84" s="3">
        <f>IF('ORDENES'!$A62="","",IF('ORDENES'!$Y62="","-",'ORDENES'!$Y62))</f>
        <v/>
      </c>
      <c r="G84" s="3">
        <f>IF('ORDENES'!$A62="","",IF('ORDENES'!$W62="","-",'ORDENES'!$W62))</f>
        <v/>
      </c>
      <c r="H84" s="3">
        <f>IF('ORDENES'!$A62="","",IF('ORDENES'!$AE62="","-",'ORDENES'!$AE62))</f>
        <v/>
      </c>
      <c r="I84" s="3">
        <f>IF('ORDENES'!$A62="","",IF('ORDENES'!$AQ62="","-",'ORDENES'!$AQ62))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IF('ORDENES'!$A62="","",'ORDENES'!$AD62)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IF('ORDENES'!$A63="","",IF('ORDENES'!$AF63="","-",'ORDENES'!$AF63))</f>
        <v/>
      </c>
      <c r="D85" s="3">
        <f>IF('ORDENES'!$A63="","",IF('ORDENES'!$X63="","-",'ORDENES'!$X63))</f>
        <v/>
      </c>
      <c r="E85" s="3">
        <f>IF('ORDENES'!$A63="","",IF('ORDENES'!$V63="","-",'ORDENES'!$V63))</f>
        <v/>
      </c>
      <c r="F85" s="3">
        <f>IF('ORDENES'!$A63="","",IF('ORDENES'!$Y63="","-",'ORDENES'!$Y63))</f>
        <v/>
      </c>
      <c r="G85" s="3">
        <f>IF('ORDENES'!$A63="","",IF('ORDENES'!$W63="","-",'ORDENES'!$W63))</f>
        <v/>
      </c>
      <c r="H85" s="3">
        <f>IF('ORDENES'!$A63="","",IF('ORDENES'!$AE63="","-",'ORDENES'!$AE63))</f>
        <v/>
      </c>
      <c r="I85" s="3">
        <f>IF('ORDENES'!$A63="","",IF('ORDENES'!$AQ63="","-",'ORDENES'!$AQ63))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IF('ORDENES'!$A63="","",'ORDENES'!$AD63)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IF('ORDENES'!$A64="","",IF('ORDENES'!$AF64="","-",'ORDENES'!$AF64))</f>
        <v/>
      </c>
      <c r="D86" s="3">
        <f>IF('ORDENES'!$A64="","",IF('ORDENES'!$X64="","-",'ORDENES'!$X64))</f>
        <v/>
      </c>
      <c r="E86" s="3">
        <f>IF('ORDENES'!$A64="","",IF('ORDENES'!$V64="","-",'ORDENES'!$V64))</f>
        <v/>
      </c>
      <c r="F86" s="3">
        <f>IF('ORDENES'!$A64="","",IF('ORDENES'!$Y64="","-",'ORDENES'!$Y64))</f>
        <v/>
      </c>
      <c r="G86" s="3">
        <f>IF('ORDENES'!$A64="","",IF('ORDENES'!$W64="","-",'ORDENES'!$W64))</f>
        <v/>
      </c>
      <c r="H86" s="3">
        <f>IF('ORDENES'!$A64="","",IF('ORDENES'!$AE64="","-",'ORDENES'!$AE64))</f>
        <v/>
      </c>
      <c r="I86" s="3">
        <f>IF('ORDENES'!$A64="","",IF('ORDENES'!$AQ64="","-",'ORDENES'!$AQ64))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IF('ORDENES'!$A64="","",'ORDENES'!$AD64)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IF('ORDENES'!$A65="","",IF('ORDENES'!$AF65="","-",'ORDENES'!$AF65))</f>
        <v/>
      </c>
      <c r="D87" s="3">
        <f>IF('ORDENES'!$A65="","",IF('ORDENES'!$X65="","-",'ORDENES'!$X65))</f>
        <v/>
      </c>
      <c r="E87" s="3">
        <f>IF('ORDENES'!$A65="","",IF('ORDENES'!$V65="","-",'ORDENES'!$V65))</f>
        <v/>
      </c>
      <c r="F87" s="3">
        <f>IF('ORDENES'!$A65="","",IF('ORDENES'!$Y65="","-",'ORDENES'!$Y65))</f>
        <v/>
      </c>
      <c r="G87" s="3">
        <f>IF('ORDENES'!$A65="","",IF('ORDENES'!$W65="","-",'ORDENES'!$W65))</f>
        <v/>
      </c>
      <c r="H87" s="3">
        <f>IF('ORDENES'!$A65="","",IF('ORDENES'!$AE65="","-",'ORDENES'!$AE65))</f>
        <v/>
      </c>
      <c r="I87" s="3">
        <f>IF('ORDENES'!$A65="","",IF('ORDENES'!$AQ65="","-",'ORDENES'!$AQ65))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IF('ORDENES'!$A65="","",'ORDENES'!$AD65)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IF('ORDENES'!$A66="","",IF('ORDENES'!$AF66="","-",'ORDENES'!$AF66))</f>
        <v/>
      </c>
      <c r="D88" s="3">
        <f>IF('ORDENES'!$A66="","",IF('ORDENES'!$X66="","-",'ORDENES'!$X66))</f>
        <v/>
      </c>
      <c r="E88" s="3">
        <f>IF('ORDENES'!$A66="","",IF('ORDENES'!$V66="","-",'ORDENES'!$V66))</f>
        <v/>
      </c>
      <c r="F88" s="3">
        <f>IF('ORDENES'!$A66="","",IF('ORDENES'!$Y66="","-",'ORDENES'!$Y66))</f>
        <v/>
      </c>
      <c r="G88" s="3">
        <f>IF('ORDENES'!$A66="","",IF('ORDENES'!$W66="","-",'ORDENES'!$W66))</f>
        <v/>
      </c>
      <c r="H88" s="3">
        <f>IF('ORDENES'!$A66="","",IF('ORDENES'!$AE66="","-",'ORDENES'!$AE66))</f>
        <v/>
      </c>
      <c r="I88" s="3">
        <f>IF('ORDENES'!$A66="","",IF('ORDENES'!$AQ66="","-",'ORDENES'!$AQ66))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IF('ORDENES'!$A66="","",'ORDENES'!$AD66)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IF('ORDENES'!$A67="","",IF('ORDENES'!$AF67="","-",'ORDENES'!$AF67))</f>
        <v/>
      </c>
      <c r="D89" s="3">
        <f>IF('ORDENES'!$A67="","",IF('ORDENES'!$X67="","-",'ORDENES'!$X67))</f>
        <v/>
      </c>
      <c r="E89" s="3">
        <f>IF('ORDENES'!$A67="","",IF('ORDENES'!$V67="","-",'ORDENES'!$V67))</f>
        <v/>
      </c>
      <c r="F89" s="3">
        <f>IF('ORDENES'!$A67="","",IF('ORDENES'!$Y67="","-",'ORDENES'!$Y67))</f>
        <v/>
      </c>
      <c r="G89" s="3">
        <f>IF('ORDENES'!$A67="","",IF('ORDENES'!$W67="","-",'ORDENES'!$W67))</f>
        <v/>
      </c>
      <c r="H89" s="3">
        <f>IF('ORDENES'!$A67="","",IF('ORDENES'!$AE67="","-",'ORDENES'!$AE67))</f>
        <v/>
      </c>
      <c r="I89" s="3">
        <f>IF('ORDENES'!$A67="","",IF('ORDENES'!$AQ67="","-",'ORDENES'!$AQ67))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IF('ORDENES'!$A67="","",'ORDENES'!$AD67)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IF('ORDENES'!$A68="","",IF('ORDENES'!$AF68="","-",'ORDENES'!$AF68))</f>
        <v/>
      </c>
      <c r="D90" s="3">
        <f>IF('ORDENES'!$A68="","",IF('ORDENES'!$X68="","-",'ORDENES'!$X68))</f>
        <v/>
      </c>
      <c r="E90" s="3">
        <f>IF('ORDENES'!$A68="","",IF('ORDENES'!$V68="","-",'ORDENES'!$V68))</f>
        <v/>
      </c>
      <c r="F90" s="3">
        <f>IF('ORDENES'!$A68="","",IF('ORDENES'!$Y68="","-",'ORDENES'!$Y68))</f>
        <v/>
      </c>
      <c r="G90" s="3">
        <f>IF('ORDENES'!$A68="","",IF('ORDENES'!$W68="","-",'ORDENES'!$W68))</f>
        <v/>
      </c>
      <c r="H90" s="3">
        <f>IF('ORDENES'!$A68="","",IF('ORDENES'!$AE68="","-",'ORDENES'!$AE68))</f>
        <v/>
      </c>
      <c r="I90" s="3">
        <f>IF('ORDENES'!$A68="","",IF('ORDENES'!$AQ68="","-",'ORDENES'!$AQ68))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IF('ORDENES'!$A68="","",'ORDENES'!$AD68)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IF('ORDENES'!$A69="","",IF('ORDENES'!$AF69="","-",'ORDENES'!$AF69))</f>
        <v/>
      </c>
      <c r="D91" s="3">
        <f>IF('ORDENES'!$A69="","",IF('ORDENES'!$X69="","-",'ORDENES'!$X69))</f>
        <v/>
      </c>
      <c r="E91" s="3">
        <f>IF('ORDENES'!$A69="","",IF('ORDENES'!$V69="","-",'ORDENES'!$V69))</f>
        <v/>
      </c>
      <c r="F91" s="3">
        <f>IF('ORDENES'!$A69="","",IF('ORDENES'!$Y69="","-",'ORDENES'!$Y69))</f>
        <v/>
      </c>
      <c r="G91" s="3">
        <f>IF('ORDENES'!$A69="","",IF('ORDENES'!$W69="","-",'ORDENES'!$W69))</f>
        <v/>
      </c>
      <c r="H91" s="3">
        <f>IF('ORDENES'!$A69="","",IF('ORDENES'!$AE69="","-",'ORDENES'!$AE69))</f>
        <v/>
      </c>
      <c r="I91" s="3">
        <f>IF('ORDENES'!$A69="","",IF('ORDENES'!$AQ69="","-",'ORDENES'!$AQ69))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IF('ORDENES'!$A69="","",'ORDENES'!$AD69)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IF('ORDENES'!$A70="","",IF('ORDENES'!$AF70="","-",'ORDENES'!$AF70))</f>
        <v/>
      </c>
      <c r="D92" s="3">
        <f>IF('ORDENES'!$A70="","",IF('ORDENES'!$X70="","-",'ORDENES'!$X70))</f>
        <v/>
      </c>
      <c r="E92" s="3">
        <f>IF('ORDENES'!$A70="","",IF('ORDENES'!$V70="","-",'ORDENES'!$V70))</f>
        <v/>
      </c>
      <c r="F92" s="3">
        <f>IF('ORDENES'!$A70="","",IF('ORDENES'!$Y70="","-",'ORDENES'!$Y70))</f>
        <v/>
      </c>
      <c r="G92" s="3">
        <f>IF('ORDENES'!$A70="","",IF('ORDENES'!$W70="","-",'ORDENES'!$W70))</f>
        <v/>
      </c>
      <c r="H92" s="3">
        <f>IF('ORDENES'!$A70="","",IF('ORDENES'!$AE70="","-",'ORDENES'!$AE70))</f>
        <v/>
      </c>
      <c r="I92" s="3">
        <f>IF('ORDENES'!$A70="","",IF('ORDENES'!$AQ70="","-",'ORDENES'!$AQ70))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IF('ORDENES'!$A70="","",'ORDENES'!$AD70)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IF('ORDENES'!$A71="","",IF('ORDENES'!$AF71="","-",'ORDENES'!$AF71))</f>
        <v/>
      </c>
      <c r="D93" s="3">
        <f>IF('ORDENES'!$A71="","",IF('ORDENES'!$X71="","-",'ORDENES'!$X71))</f>
        <v/>
      </c>
      <c r="E93" s="3">
        <f>IF('ORDENES'!$A71="","",IF('ORDENES'!$V71="","-",'ORDENES'!$V71))</f>
        <v/>
      </c>
      <c r="F93" s="3">
        <f>IF('ORDENES'!$A71="","",IF('ORDENES'!$Y71="","-",'ORDENES'!$Y71))</f>
        <v/>
      </c>
      <c r="G93" s="3">
        <f>IF('ORDENES'!$A71="","",IF('ORDENES'!$W71="","-",'ORDENES'!$W71))</f>
        <v/>
      </c>
      <c r="H93" s="3">
        <f>IF('ORDENES'!$A71="","",IF('ORDENES'!$AE71="","-",'ORDENES'!$AE71))</f>
        <v/>
      </c>
      <c r="I93" s="3">
        <f>IF('ORDENES'!$A71="","",IF('ORDENES'!$AQ71="","-",'ORDENES'!$AQ71))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IF('ORDENES'!$A71="","",'ORDENES'!$AD71)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IF('ORDENES'!$A72="","",IF('ORDENES'!$AF72="","-",'ORDENES'!$AF72))</f>
        <v/>
      </c>
      <c r="D94" s="3">
        <f>IF('ORDENES'!$A72="","",IF('ORDENES'!$X72="","-",'ORDENES'!$X72))</f>
        <v/>
      </c>
      <c r="E94" s="3">
        <f>IF('ORDENES'!$A72="","",IF('ORDENES'!$V72="","-",'ORDENES'!$V72))</f>
        <v/>
      </c>
      <c r="F94" s="3">
        <f>IF('ORDENES'!$A72="","",IF('ORDENES'!$Y72="","-",'ORDENES'!$Y72))</f>
        <v/>
      </c>
      <c r="G94" s="3">
        <f>IF('ORDENES'!$A72="","",IF('ORDENES'!$W72="","-",'ORDENES'!$W72))</f>
        <v/>
      </c>
      <c r="H94" s="3">
        <f>IF('ORDENES'!$A72="","",IF('ORDENES'!$AE72="","-",'ORDENES'!$AE72))</f>
        <v/>
      </c>
      <c r="I94" s="3">
        <f>IF('ORDENES'!$A72="","",IF('ORDENES'!$AQ72="","-",'ORDENES'!$AQ72))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IF('ORDENES'!$A72="","",'ORDENES'!$AD72)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IF('ORDENES'!$A73="","",IF('ORDENES'!$AF73="","-",'ORDENES'!$AF73))</f>
        <v/>
      </c>
      <c r="D95" s="3">
        <f>IF('ORDENES'!$A73="","",IF('ORDENES'!$X73="","-",'ORDENES'!$X73))</f>
        <v/>
      </c>
      <c r="E95" s="3">
        <f>IF('ORDENES'!$A73="","",IF('ORDENES'!$V73="","-",'ORDENES'!$V73))</f>
        <v/>
      </c>
      <c r="F95" s="3">
        <f>IF('ORDENES'!$A73="","",IF('ORDENES'!$Y73="","-",'ORDENES'!$Y73))</f>
        <v/>
      </c>
      <c r="G95" s="3">
        <f>IF('ORDENES'!$A73="","",IF('ORDENES'!$W73="","-",'ORDENES'!$W73))</f>
        <v/>
      </c>
      <c r="H95" s="3">
        <f>IF('ORDENES'!$A73="","",IF('ORDENES'!$AE73="","-",'ORDENES'!$AE73))</f>
        <v/>
      </c>
      <c r="I95" s="3">
        <f>IF('ORDENES'!$A73="","",IF('ORDENES'!$AQ73="","-",'ORDENES'!$AQ73))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IF('ORDENES'!$A73="","",'ORDENES'!$AD73)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IF('ORDENES'!$A74="","",IF('ORDENES'!$AF74="","-",'ORDENES'!$AF74))</f>
        <v/>
      </c>
      <c r="D96" s="3">
        <f>IF('ORDENES'!$A74="","",IF('ORDENES'!$X74="","-",'ORDENES'!$X74))</f>
        <v/>
      </c>
      <c r="E96" s="3">
        <f>IF('ORDENES'!$A74="","",IF('ORDENES'!$V74="","-",'ORDENES'!$V74))</f>
        <v/>
      </c>
      <c r="F96" s="3">
        <f>IF('ORDENES'!$A74="","",IF('ORDENES'!$Y74="","-",'ORDENES'!$Y74))</f>
        <v/>
      </c>
      <c r="G96" s="3">
        <f>IF('ORDENES'!$A74="","",IF('ORDENES'!$W74="","-",'ORDENES'!$W74))</f>
        <v/>
      </c>
      <c r="H96" s="3">
        <f>IF('ORDENES'!$A74="","",IF('ORDENES'!$AE74="","-",'ORDENES'!$AE74))</f>
        <v/>
      </c>
      <c r="I96" s="3">
        <f>IF('ORDENES'!$A74="","",IF('ORDENES'!$AQ74="","-",'ORDENES'!$AQ74))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IF('ORDENES'!$A74="","",'ORDENES'!$AD74)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IF('ORDENES'!$A75="","",IF('ORDENES'!$AF75="","-",'ORDENES'!$AF75))</f>
        <v/>
      </c>
      <c r="D97" s="3">
        <f>IF('ORDENES'!$A75="","",IF('ORDENES'!$X75="","-",'ORDENES'!$X75))</f>
        <v/>
      </c>
      <c r="E97" s="3">
        <f>IF('ORDENES'!$A75="","",IF('ORDENES'!$V75="","-",'ORDENES'!$V75))</f>
        <v/>
      </c>
      <c r="F97" s="3">
        <f>IF('ORDENES'!$A75="","",IF('ORDENES'!$Y75="","-",'ORDENES'!$Y75))</f>
        <v/>
      </c>
      <c r="G97" s="3">
        <f>IF('ORDENES'!$A75="","",IF('ORDENES'!$W75="","-",'ORDENES'!$W75))</f>
        <v/>
      </c>
      <c r="H97" s="3">
        <f>IF('ORDENES'!$A75="","",IF('ORDENES'!$AE75="","-",'ORDENES'!$AE75))</f>
        <v/>
      </c>
      <c r="I97" s="3">
        <f>IF('ORDENES'!$A75="","",IF('ORDENES'!$AQ75="","-",'ORDENES'!$AQ75))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IF('ORDENES'!$A75="","",'ORDENES'!$AD75)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IF('ORDENES'!$A76="","",IF('ORDENES'!$AF76="","-",'ORDENES'!$AF76))</f>
        <v/>
      </c>
      <c r="D98" s="3">
        <f>IF('ORDENES'!$A76="","",IF('ORDENES'!$X76="","-",'ORDENES'!$X76))</f>
        <v/>
      </c>
      <c r="E98" s="3">
        <f>IF('ORDENES'!$A76="","",IF('ORDENES'!$V76="","-",'ORDENES'!$V76))</f>
        <v/>
      </c>
      <c r="F98" s="3">
        <f>IF('ORDENES'!$A76="","",IF('ORDENES'!$Y76="","-",'ORDENES'!$Y76))</f>
        <v/>
      </c>
      <c r="G98" s="3">
        <f>IF('ORDENES'!$A76="","",IF('ORDENES'!$W76="","-",'ORDENES'!$W76))</f>
        <v/>
      </c>
      <c r="H98" s="3">
        <f>IF('ORDENES'!$A76="","",IF('ORDENES'!$AE76="","-",'ORDENES'!$AE76))</f>
        <v/>
      </c>
      <c r="I98" s="3">
        <f>IF('ORDENES'!$A76="","",IF('ORDENES'!$AQ76="","-",'ORDENES'!$AQ76))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IF('ORDENES'!$A76="","",'ORDENES'!$AD76)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IF('ORDENES'!$A77="","",IF('ORDENES'!$AF77="","-",'ORDENES'!$AF77))</f>
        <v/>
      </c>
      <c r="D99" s="3">
        <f>IF('ORDENES'!$A77="","",IF('ORDENES'!$X77="","-",'ORDENES'!$X77))</f>
        <v/>
      </c>
      <c r="E99" s="3">
        <f>IF('ORDENES'!$A77="","",IF('ORDENES'!$V77="","-",'ORDENES'!$V77))</f>
        <v/>
      </c>
      <c r="F99" s="3">
        <f>IF('ORDENES'!$A77="","",IF('ORDENES'!$Y77="","-",'ORDENES'!$Y77))</f>
        <v/>
      </c>
      <c r="G99" s="3">
        <f>IF('ORDENES'!$A77="","",IF('ORDENES'!$W77="","-",'ORDENES'!$W77))</f>
        <v/>
      </c>
      <c r="H99" s="3">
        <f>IF('ORDENES'!$A77="","",IF('ORDENES'!$AE77="","-",'ORDENES'!$AE77))</f>
        <v/>
      </c>
      <c r="I99" s="3">
        <f>IF('ORDENES'!$A77="","",IF('ORDENES'!$AQ77="","-",'ORDENES'!$AQ77))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IF('ORDENES'!$A77="","",'ORDENES'!$AD77)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IF('ORDENES'!$A78="","",IF('ORDENES'!$AF78="","-",'ORDENES'!$AF78))</f>
        <v/>
      </c>
      <c r="D100" s="3">
        <f>IF('ORDENES'!$A78="","",IF('ORDENES'!$X78="","-",'ORDENES'!$X78))</f>
        <v/>
      </c>
      <c r="E100" s="3">
        <f>IF('ORDENES'!$A78="","",IF('ORDENES'!$V78="","-",'ORDENES'!$V78))</f>
        <v/>
      </c>
      <c r="F100" s="3">
        <f>IF('ORDENES'!$A78="","",IF('ORDENES'!$Y78="","-",'ORDENES'!$Y78))</f>
        <v/>
      </c>
      <c r="G100" s="3">
        <f>IF('ORDENES'!$A78="","",IF('ORDENES'!$W78="","-",'ORDENES'!$W78))</f>
        <v/>
      </c>
      <c r="H100" s="3">
        <f>IF('ORDENES'!$A78="","",IF('ORDENES'!$AE78="","-",'ORDENES'!$AE78))</f>
        <v/>
      </c>
      <c r="I100" s="3">
        <f>IF('ORDENES'!$A78="","",IF('ORDENES'!$AQ78="","-",'ORDENES'!$AQ78))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IF('ORDENES'!$A78="","",'ORDENES'!$AD78)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IF('ORDENES'!$A79="","",IF('ORDENES'!$AF79="","-",'ORDENES'!$AF79))</f>
        <v/>
      </c>
      <c r="D101" s="3">
        <f>IF('ORDENES'!$A79="","",IF('ORDENES'!$X79="","-",'ORDENES'!$X79))</f>
        <v/>
      </c>
      <c r="E101" s="3">
        <f>IF('ORDENES'!$A79="","",IF('ORDENES'!$V79="","-",'ORDENES'!$V79))</f>
        <v/>
      </c>
      <c r="F101" s="3">
        <f>IF('ORDENES'!$A79="","",IF('ORDENES'!$Y79="","-",'ORDENES'!$Y79))</f>
        <v/>
      </c>
      <c r="G101" s="3">
        <f>IF('ORDENES'!$A79="","",IF('ORDENES'!$W79="","-",'ORDENES'!$W79))</f>
        <v/>
      </c>
      <c r="H101" s="3">
        <f>IF('ORDENES'!$A79="","",IF('ORDENES'!$AE79="","-",'ORDENES'!$AE79))</f>
        <v/>
      </c>
      <c r="I101" s="3">
        <f>IF('ORDENES'!$A79="","",IF('ORDENES'!$AQ79="","-",'ORDENES'!$AQ79))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IF('ORDENES'!$A79="","",'ORDENES'!$AD79)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IF('ORDENES'!$A80="","",IF('ORDENES'!$AF80="","-",'ORDENES'!$AF80))</f>
        <v/>
      </c>
      <c r="D102" s="3">
        <f>IF('ORDENES'!$A80="","",IF('ORDENES'!$X80="","-",'ORDENES'!$X80))</f>
        <v/>
      </c>
      <c r="E102" s="3">
        <f>IF('ORDENES'!$A80="","",IF('ORDENES'!$V80="","-",'ORDENES'!$V80))</f>
        <v/>
      </c>
      <c r="F102" s="3">
        <f>IF('ORDENES'!$A80="","",IF('ORDENES'!$Y80="","-",'ORDENES'!$Y80))</f>
        <v/>
      </c>
      <c r="G102" s="3">
        <f>IF('ORDENES'!$A80="","",IF('ORDENES'!$W80="","-",'ORDENES'!$W80))</f>
        <v/>
      </c>
      <c r="H102" s="3">
        <f>IF('ORDENES'!$A80="","",IF('ORDENES'!$AE80="","-",'ORDENES'!$AE80))</f>
        <v/>
      </c>
      <c r="I102" s="3">
        <f>IF('ORDENES'!$A80="","",IF('ORDENES'!$AQ80="","-",'ORDENES'!$AQ80))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IF('ORDENES'!$A80="","",'ORDENES'!$AD80)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IF('ORDENES'!$A81="","",IF('ORDENES'!$AF81="","-",'ORDENES'!$AF81))</f>
        <v/>
      </c>
      <c r="D103" s="3">
        <f>IF('ORDENES'!$A81="","",IF('ORDENES'!$X81="","-",'ORDENES'!$X81))</f>
        <v/>
      </c>
      <c r="E103" s="3">
        <f>IF('ORDENES'!$A81="","",IF('ORDENES'!$V81="","-",'ORDENES'!$V81))</f>
        <v/>
      </c>
      <c r="F103" s="3">
        <f>IF('ORDENES'!$A81="","",IF('ORDENES'!$Y81="","-",'ORDENES'!$Y81))</f>
        <v/>
      </c>
      <c r="G103" s="3">
        <f>IF('ORDENES'!$A81="","",IF('ORDENES'!$W81="","-",'ORDENES'!$W81))</f>
        <v/>
      </c>
      <c r="H103" s="3">
        <f>IF('ORDENES'!$A81="","",IF('ORDENES'!$AE81="","-",'ORDENES'!$AE81))</f>
        <v/>
      </c>
      <c r="I103" s="3">
        <f>IF('ORDENES'!$A81="","",IF('ORDENES'!$AQ81="","-",'ORDENES'!$AQ81))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IF('ORDENES'!$A81="","",'ORDENES'!$AD81)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IF('ORDENES'!$A82="","",IF('ORDENES'!$AF82="","-",'ORDENES'!$AF82))</f>
        <v/>
      </c>
      <c r="D104" s="3">
        <f>IF('ORDENES'!$A82="","",IF('ORDENES'!$X82="","-",'ORDENES'!$X82))</f>
        <v/>
      </c>
      <c r="E104" s="3">
        <f>IF('ORDENES'!$A82="","",IF('ORDENES'!$V82="","-",'ORDENES'!$V82))</f>
        <v/>
      </c>
      <c r="F104" s="3">
        <f>IF('ORDENES'!$A82="","",IF('ORDENES'!$Y82="","-",'ORDENES'!$Y82))</f>
        <v/>
      </c>
      <c r="G104" s="3">
        <f>IF('ORDENES'!$A82="","",IF('ORDENES'!$W82="","-",'ORDENES'!$W82))</f>
        <v/>
      </c>
      <c r="H104" s="3">
        <f>IF('ORDENES'!$A82="","",IF('ORDENES'!$AE82="","-",'ORDENES'!$AE82))</f>
        <v/>
      </c>
      <c r="I104" s="3">
        <f>IF('ORDENES'!$A82="","",IF('ORDENES'!$AQ82="","-",'ORDENES'!$AQ82))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IF('ORDENES'!$A82="","",'ORDENES'!$AD82)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IF('ORDENES'!$A83="","",IF('ORDENES'!$AF83="","-",'ORDENES'!$AF83))</f>
        <v/>
      </c>
      <c r="D105" s="3">
        <f>IF('ORDENES'!$A83="","",IF('ORDENES'!$X83="","-",'ORDENES'!$X83))</f>
        <v/>
      </c>
      <c r="E105" s="3">
        <f>IF('ORDENES'!$A83="","",IF('ORDENES'!$V83="","-",'ORDENES'!$V83))</f>
        <v/>
      </c>
      <c r="F105" s="3">
        <f>IF('ORDENES'!$A83="","",IF('ORDENES'!$Y83="","-",'ORDENES'!$Y83))</f>
        <v/>
      </c>
      <c r="G105" s="3">
        <f>IF('ORDENES'!$A83="","",IF('ORDENES'!$W83="","-",'ORDENES'!$W83))</f>
        <v/>
      </c>
      <c r="H105" s="3">
        <f>IF('ORDENES'!$A83="","",IF('ORDENES'!$AE83="","-",'ORDENES'!$AE83))</f>
        <v/>
      </c>
      <c r="I105" s="3">
        <f>IF('ORDENES'!$A83="","",IF('ORDENES'!$AQ83="","-",'ORDENES'!$AQ83))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IF('ORDENES'!$A83="","",'ORDENES'!$AD83)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IF('ORDENES'!$A84="","",IF('ORDENES'!$AF84="","-",'ORDENES'!$AF84))</f>
        <v/>
      </c>
      <c r="D106" s="3">
        <f>IF('ORDENES'!$A84="","",IF('ORDENES'!$X84="","-",'ORDENES'!$X84))</f>
        <v/>
      </c>
      <c r="E106" s="3">
        <f>IF('ORDENES'!$A84="","",IF('ORDENES'!$V84="","-",'ORDENES'!$V84))</f>
        <v/>
      </c>
      <c r="F106" s="3">
        <f>IF('ORDENES'!$A84="","",IF('ORDENES'!$Y84="","-",'ORDENES'!$Y84))</f>
        <v/>
      </c>
      <c r="G106" s="3">
        <f>IF('ORDENES'!$A84="","",IF('ORDENES'!$W84="","-",'ORDENES'!$W84))</f>
        <v/>
      </c>
      <c r="H106" s="3">
        <f>IF('ORDENES'!$A84="","",IF('ORDENES'!$AE84="","-",'ORDENES'!$AE84))</f>
        <v/>
      </c>
      <c r="I106" s="3">
        <f>IF('ORDENES'!$A84="","",IF('ORDENES'!$AQ84="","-",'ORDENES'!$AQ84))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IF('ORDENES'!$A84="","",'ORDENES'!$AD84)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IF('ORDENES'!$A85="","",IF('ORDENES'!$AF85="","-",'ORDENES'!$AF85))</f>
        <v/>
      </c>
      <c r="D107" s="3">
        <f>IF('ORDENES'!$A85="","",IF('ORDENES'!$X85="","-",'ORDENES'!$X85))</f>
        <v/>
      </c>
      <c r="E107" s="3">
        <f>IF('ORDENES'!$A85="","",IF('ORDENES'!$V85="","-",'ORDENES'!$V85))</f>
        <v/>
      </c>
      <c r="F107" s="3">
        <f>IF('ORDENES'!$A85="","",IF('ORDENES'!$Y85="","-",'ORDENES'!$Y85))</f>
        <v/>
      </c>
      <c r="G107" s="3">
        <f>IF('ORDENES'!$A85="","",IF('ORDENES'!$W85="","-",'ORDENES'!$W85))</f>
        <v/>
      </c>
      <c r="H107" s="3">
        <f>IF('ORDENES'!$A85="","",IF('ORDENES'!$AE85="","-",'ORDENES'!$AE85))</f>
        <v/>
      </c>
      <c r="I107" s="3">
        <f>IF('ORDENES'!$A85="","",IF('ORDENES'!$AQ85="","-",'ORDENES'!$AQ85))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IF('ORDENES'!$A85="","",'ORDENES'!$AD85)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IF('ORDENES'!$A86="","",IF('ORDENES'!$AF86="","-",'ORDENES'!$AF86))</f>
        <v/>
      </c>
      <c r="D108" s="3">
        <f>IF('ORDENES'!$A86="","",IF('ORDENES'!$X86="","-",'ORDENES'!$X86))</f>
        <v/>
      </c>
      <c r="E108" s="3">
        <f>IF('ORDENES'!$A86="","",IF('ORDENES'!$V86="","-",'ORDENES'!$V86))</f>
        <v/>
      </c>
      <c r="F108" s="3">
        <f>IF('ORDENES'!$A86="","",IF('ORDENES'!$Y86="","-",'ORDENES'!$Y86))</f>
        <v/>
      </c>
      <c r="G108" s="3">
        <f>IF('ORDENES'!$A86="","",IF('ORDENES'!$W86="","-",'ORDENES'!$W86))</f>
        <v/>
      </c>
      <c r="H108" s="3">
        <f>IF('ORDENES'!$A86="","",IF('ORDENES'!$AE86="","-",'ORDENES'!$AE86))</f>
        <v/>
      </c>
      <c r="I108" s="3">
        <f>IF('ORDENES'!$A86="","",IF('ORDENES'!$AQ86="","-",'ORDENES'!$AQ86))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IF('ORDENES'!$A86="","",'ORDENES'!$AD86)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IF('ORDENES'!$A87="","",IF('ORDENES'!$AF87="","-",'ORDENES'!$AF87))</f>
        <v/>
      </c>
      <c r="D109" s="3">
        <f>IF('ORDENES'!$A87="","",IF('ORDENES'!$X87="","-",'ORDENES'!$X87))</f>
        <v/>
      </c>
      <c r="E109" s="3">
        <f>IF('ORDENES'!$A87="","",IF('ORDENES'!$V87="","-",'ORDENES'!$V87))</f>
        <v/>
      </c>
      <c r="F109" s="3">
        <f>IF('ORDENES'!$A87="","",IF('ORDENES'!$Y87="","-",'ORDENES'!$Y87))</f>
        <v/>
      </c>
      <c r="G109" s="3">
        <f>IF('ORDENES'!$A87="","",IF('ORDENES'!$W87="","-",'ORDENES'!$W87))</f>
        <v/>
      </c>
      <c r="H109" s="3">
        <f>IF('ORDENES'!$A87="","",IF('ORDENES'!$AE87="","-",'ORDENES'!$AE87))</f>
        <v/>
      </c>
      <c r="I109" s="3">
        <f>IF('ORDENES'!$A87="","",IF('ORDENES'!$AQ87="","-",'ORDENES'!$AQ87))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IF('ORDENES'!$A87="","",'ORDENES'!$AD87)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IF('ORDENES'!$A88="","",IF('ORDENES'!$AF88="","-",'ORDENES'!$AF88))</f>
        <v/>
      </c>
      <c r="D110" s="3">
        <f>IF('ORDENES'!$A88="","",IF('ORDENES'!$X88="","-",'ORDENES'!$X88))</f>
        <v/>
      </c>
      <c r="E110" s="3">
        <f>IF('ORDENES'!$A88="","",IF('ORDENES'!$V88="","-",'ORDENES'!$V88))</f>
        <v/>
      </c>
      <c r="F110" s="3">
        <f>IF('ORDENES'!$A88="","",IF('ORDENES'!$Y88="","-",'ORDENES'!$Y88))</f>
        <v/>
      </c>
      <c r="G110" s="3">
        <f>IF('ORDENES'!$A88="","",IF('ORDENES'!$W88="","-",'ORDENES'!$W88))</f>
        <v/>
      </c>
      <c r="H110" s="3">
        <f>IF('ORDENES'!$A88="","",IF('ORDENES'!$AE88="","-",'ORDENES'!$AE88))</f>
        <v/>
      </c>
      <c r="I110" s="3">
        <f>IF('ORDENES'!$A88="","",IF('ORDENES'!$AQ88="","-",'ORDENES'!$AQ88))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IF('ORDENES'!$A88="","",'ORDENES'!$AD88)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IF('ORDENES'!$A89="","",IF('ORDENES'!$AF89="","-",'ORDENES'!$AF89))</f>
        <v/>
      </c>
      <c r="D111" s="3">
        <f>IF('ORDENES'!$A89="","",IF('ORDENES'!$X89="","-",'ORDENES'!$X89))</f>
        <v/>
      </c>
      <c r="E111" s="3">
        <f>IF('ORDENES'!$A89="","",IF('ORDENES'!$V89="","-",'ORDENES'!$V89))</f>
        <v/>
      </c>
      <c r="F111" s="3">
        <f>IF('ORDENES'!$A89="","",IF('ORDENES'!$Y89="","-",'ORDENES'!$Y89))</f>
        <v/>
      </c>
      <c r="G111" s="3">
        <f>IF('ORDENES'!$A89="","",IF('ORDENES'!$W89="","-",'ORDENES'!$W89))</f>
        <v/>
      </c>
      <c r="H111" s="3">
        <f>IF('ORDENES'!$A89="","",IF('ORDENES'!$AE89="","-",'ORDENES'!$AE89))</f>
        <v/>
      </c>
      <c r="I111" s="3">
        <f>IF('ORDENES'!$A89="","",IF('ORDENES'!$AQ89="","-",'ORDENES'!$AQ89))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IF('ORDENES'!$A89="","",'ORDENES'!$AD89)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IF('ORDENES'!$A90="","",IF('ORDENES'!$AF90="","-",'ORDENES'!$AF90))</f>
        <v/>
      </c>
      <c r="D112" s="3">
        <f>IF('ORDENES'!$A90="","",IF('ORDENES'!$X90="","-",'ORDENES'!$X90))</f>
        <v/>
      </c>
      <c r="E112" s="3">
        <f>IF('ORDENES'!$A90="","",IF('ORDENES'!$V90="","-",'ORDENES'!$V90))</f>
        <v/>
      </c>
      <c r="F112" s="3">
        <f>IF('ORDENES'!$A90="","",IF('ORDENES'!$Y90="","-",'ORDENES'!$Y90))</f>
        <v/>
      </c>
      <c r="G112" s="3">
        <f>IF('ORDENES'!$A90="","",IF('ORDENES'!$W90="","-",'ORDENES'!$W90))</f>
        <v/>
      </c>
      <c r="H112" s="3">
        <f>IF('ORDENES'!$A90="","",IF('ORDENES'!$AE90="","-",'ORDENES'!$AE90))</f>
        <v/>
      </c>
      <c r="I112" s="3">
        <f>IF('ORDENES'!$A90="","",IF('ORDENES'!$AQ90="","-",'ORDENES'!$AQ90))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IF('ORDENES'!$A90="","",'ORDENES'!$AD90)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IF('ORDENES'!$A91="","",IF('ORDENES'!$AF91="","-",'ORDENES'!$AF91))</f>
        <v/>
      </c>
      <c r="D113" s="3">
        <f>IF('ORDENES'!$A91="","",IF('ORDENES'!$X91="","-",'ORDENES'!$X91))</f>
        <v/>
      </c>
      <c r="E113" s="3">
        <f>IF('ORDENES'!$A91="","",IF('ORDENES'!$V91="","-",'ORDENES'!$V91))</f>
        <v/>
      </c>
      <c r="F113" s="3">
        <f>IF('ORDENES'!$A91="","",IF('ORDENES'!$Y91="","-",'ORDENES'!$Y91))</f>
        <v/>
      </c>
      <c r="G113" s="3">
        <f>IF('ORDENES'!$A91="","",IF('ORDENES'!$W91="","-",'ORDENES'!$W91))</f>
        <v/>
      </c>
      <c r="H113" s="3">
        <f>IF('ORDENES'!$A91="","",IF('ORDENES'!$AE91="","-",'ORDENES'!$AE91))</f>
        <v/>
      </c>
      <c r="I113" s="3">
        <f>IF('ORDENES'!$A91="","",IF('ORDENES'!$AQ91="","-",'ORDENES'!$AQ91))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IF('ORDENES'!$A91="","",'ORDENES'!$AD91)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IF('ORDENES'!$A92="","",IF('ORDENES'!$AF92="","-",'ORDENES'!$AF92))</f>
        <v/>
      </c>
      <c r="D114" s="3">
        <f>IF('ORDENES'!$A92="","",IF('ORDENES'!$X92="","-",'ORDENES'!$X92))</f>
        <v/>
      </c>
      <c r="E114" s="3">
        <f>IF('ORDENES'!$A92="","",IF('ORDENES'!$V92="","-",'ORDENES'!$V92))</f>
        <v/>
      </c>
      <c r="F114" s="3">
        <f>IF('ORDENES'!$A92="","",IF('ORDENES'!$Y92="","-",'ORDENES'!$Y92))</f>
        <v/>
      </c>
      <c r="G114" s="3">
        <f>IF('ORDENES'!$A92="","",IF('ORDENES'!$W92="","-",'ORDENES'!$W92))</f>
        <v/>
      </c>
      <c r="H114" s="3">
        <f>IF('ORDENES'!$A92="","",IF('ORDENES'!$AE92="","-",'ORDENES'!$AE92))</f>
        <v/>
      </c>
      <c r="I114" s="3">
        <f>IF('ORDENES'!$A92="","",IF('ORDENES'!$AQ92="","-",'ORDENES'!$AQ92))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IF('ORDENES'!$A92="","",'ORDENES'!$AD92)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IF('ORDENES'!$A93="","",IF('ORDENES'!$AF93="","-",'ORDENES'!$AF93))</f>
        <v/>
      </c>
      <c r="D115" s="3">
        <f>IF('ORDENES'!$A93="","",IF('ORDENES'!$X93="","-",'ORDENES'!$X93))</f>
        <v/>
      </c>
      <c r="E115" s="3">
        <f>IF('ORDENES'!$A93="","",IF('ORDENES'!$V93="","-",'ORDENES'!$V93))</f>
        <v/>
      </c>
      <c r="F115" s="3">
        <f>IF('ORDENES'!$A93="","",IF('ORDENES'!$Y93="","-",'ORDENES'!$Y93))</f>
        <v/>
      </c>
      <c r="G115" s="3">
        <f>IF('ORDENES'!$A93="","",IF('ORDENES'!$W93="","-",'ORDENES'!$W93))</f>
        <v/>
      </c>
      <c r="H115" s="3">
        <f>IF('ORDENES'!$A93="","",IF('ORDENES'!$AE93="","-",'ORDENES'!$AE93))</f>
        <v/>
      </c>
      <c r="I115" s="3">
        <f>IF('ORDENES'!$A93="","",IF('ORDENES'!$AQ93="","-",'ORDENES'!$AQ93))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IF('ORDENES'!$A93="","",'ORDENES'!$AD93)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IF('ORDENES'!$A94="","",IF('ORDENES'!$AF94="","-",'ORDENES'!$AF94))</f>
        <v/>
      </c>
      <c r="D116" s="3">
        <f>IF('ORDENES'!$A94="","",IF('ORDENES'!$X94="","-",'ORDENES'!$X94))</f>
        <v/>
      </c>
      <c r="E116" s="3">
        <f>IF('ORDENES'!$A94="","",IF('ORDENES'!$V94="","-",'ORDENES'!$V94))</f>
        <v/>
      </c>
      <c r="F116" s="3">
        <f>IF('ORDENES'!$A94="","",IF('ORDENES'!$Y94="","-",'ORDENES'!$Y94))</f>
        <v/>
      </c>
      <c r="G116" s="3">
        <f>IF('ORDENES'!$A94="","",IF('ORDENES'!$W94="","-",'ORDENES'!$W94))</f>
        <v/>
      </c>
      <c r="H116" s="3">
        <f>IF('ORDENES'!$A94="","",IF('ORDENES'!$AE94="","-",'ORDENES'!$AE94))</f>
        <v/>
      </c>
      <c r="I116" s="3">
        <f>IF('ORDENES'!$A94="","",IF('ORDENES'!$AQ94="","-",'ORDENES'!$AQ94))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IF('ORDENES'!$A94="","",'ORDENES'!$AD94)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IF('ORDENES'!$A95="","",IF('ORDENES'!$AF95="","-",'ORDENES'!$AF95))</f>
        <v/>
      </c>
      <c r="D117" s="3">
        <f>IF('ORDENES'!$A95="","",IF('ORDENES'!$X95="","-",'ORDENES'!$X95))</f>
        <v/>
      </c>
      <c r="E117" s="3">
        <f>IF('ORDENES'!$A95="","",IF('ORDENES'!$V95="","-",'ORDENES'!$V95))</f>
        <v/>
      </c>
      <c r="F117" s="3">
        <f>IF('ORDENES'!$A95="","",IF('ORDENES'!$Y95="","-",'ORDENES'!$Y95))</f>
        <v/>
      </c>
      <c r="G117" s="3">
        <f>IF('ORDENES'!$A95="","",IF('ORDENES'!$W95="","-",'ORDENES'!$W95))</f>
        <v/>
      </c>
      <c r="H117" s="3">
        <f>IF('ORDENES'!$A95="","",IF('ORDENES'!$AE95="","-",'ORDENES'!$AE95))</f>
        <v/>
      </c>
      <c r="I117" s="3">
        <f>IF('ORDENES'!$A95="","",IF('ORDENES'!$AQ95="","-",'ORDENES'!$AQ95))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IF('ORDENES'!$A95="","",'ORDENES'!$AD95)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IF('ORDENES'!$A96="","",IF('ORDENES'!$AF96="","-",'ORDENES'!$AF96))</f>
        <v/>
      </c>
      <c r="D118" s="3">
        <f>IF('ORDENES'!$A96="","",IF('ORDENES'!$X96="","-",'ORDENES'!$X96))</f>
        <v/>
      </c>
      <c r="E118" s="3">
        <f>IF('ORDENES'!$A96="","",IF('ORDENES'!$V96="","-",'ORDENES'!$V96))</f>
        <v/>
      </c>
      <c r="F118" s="3">
        <f>IF('ORDENES'!$A96="","",IF('ORDENES'!$Y96="","-",'ORDENES'!$Y96))</f>
        <v/>
      </c>
      <c r="G118" s="3">
        <f>IF('ORDENES'!$A96="","",IF('ORDENES'!$W96="","-",'ORDENES'!$W96))</f>
        <v/>
      </c>
      <c r="H118" s="3">
        <f>IF('ORDENES'!$A96="","",IF('ORDENES'!$AE96="","-",'ORDENES'!$AE96))</f>
        <v/>
      </c>
      <c r="I118" s="3">
        <f>IF('ORDENES'!$A96="","",IF('ORDENES'!$AQ96="","-",'ORDENES'!$AQ96))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IF('ORDENES'!$A96="","",'ORDENES'!$AD96)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IF('ORDENES'!$A97="","",IF('ORDENES'!$AF97="","-",'ORDENES'!$AF97))</f>
        <v/>
      </c>
      <c r="D119" s="3">
        <f>IF('ORDENES'!$A97="","",IF('ORDENES'!$X97="","-",'ORDENES'!$X97))</f>
        <v/>
      </c>
      <c r="E119" s="3">
        <f>IF('ORDENES'!$A97="","",IF('ORDENES'!$V97="","-",'ORDENES'!$V97))</f>
        <v/>
      </c>
      <c r="F119" s="3">
        <f>IF('ORDENES'!$A97="","",IF('ORDENES'!$Y97="","-",'ORDENES'!$Y97))</f>
        <v/>
      </c>
      <c r="G119" s="3">
        <f>IF('ORDENES'!$A97="","",IF('ORDENES'!$W97="","-",'ORDENES'!$W97))</f>
        <v/>
      </c>
      <c r="H119" s="3">
        <f>IF('ORDENES'!$A97="","",IF('ORDENES'!$AE97="","-",'ORDENES'!$AE97))</f>
        <v/>
      </c>
      <c r="I119" s="3">
        <f>IF('ORDENES'!$A97="","",IF('ORDENES'!$AQ97="","-",'ORDENES'!$AQ97))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IF('ORDENES'!$A97="","",'ORDENES'!$AD97)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IF('ORDENES'!$A98="","",IF('ORDENES'!$AF98="","-",'ORDENES'!$AF98))</f>
        <v/>
      </c>
      <c r="D120" s="3">
        <f>IF('ORDENES'!$A98="","",IF('ORDENES'!$X98="","-",'ORDENES'!$X98))</f>
        <v/>
      </c>
      <c r="E120" s="3">
        <f>IF('ORDENES'!$A98="","",IF('ORDENES'!$V98="","-",'ORDENES'!$V98))</f>
        <v/>
      </c>
      <c r="F120" s="3">
        <f>IF('ORDENES'!$A98="","",IF('ORDENES'!$Y98="","-",'ORDENES'!$Y98))</f>
        <v/>
      </c>
      <c r="G120" s="3">
        <f>IF('ORDENES'!$A98="","",IF('ORDENES'!$W98="","-",'ORDENES'!$W98))</f>
        <v/>
      </c>
      <c r="H120" s="3">
        <f>IF('ORDENES'!$A98="","",IF('ORDENES'!$AE98="","-",'ORDENES'!$AE98))</f>
        <v/>
      </c>
      <c r="I120" s="3">
        <f>IF('ORDENES'!$A98="","",IF('ORDENES'!$AQ98="","-",'ORDENES'!$AQ98))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IF('ORDENES'!$A98="","",'ORDENES'!$AD98)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IF('ORDENES'!$A99="","",IF('ORDENES'!$AF99="","-",'ORDENES'!$AF99))</f>
        <v/>
      </c>
      <c r="D121" s="3">
        <f>IF('ORDENES'!$A99="","",IF('ORDENES'!$X99="","-",'ORDENES'!$X99))</f>
        <v/>
      </c>
      <c r="E121" s="3">
        <f>IF('ORDENES'!$A99="","",IF('ORDENES'!$V99="","-",'ORDENES'!$V99))</f>
        <v/>
      </c>
      <c r="F121" s="3">
        <f>IF('ORDENES'!$A99="","",IF('ORDENES'!$Y99="","-",'ORDENES'!$Y99))</f>
        <v/>
      </c>
      <c r="G121" s="3">
        <f>IF('ORDENES'!$A99="","",IF('ORDENES'!$W99="","-",'ORDENES'!$W99))</f>
        <v/>
      </c>
      <c r="H121" s="3">
        <f>IF('ORDENES'!$A99="","",IF('ORDENES'!$AE99="","-",'ORDENES'!$AE99))</f>
        <v/>
      </c>
      <c r="I121" s="3">
        <f>IF('ORDENES'!$A99="","",IF('ORDENES'!$AQ99="","-",'ORDENES'!$AQ99))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IF('ORDENES'!$A99="","",'ORDENES'!$AD99)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IF('ORDENES'!$A100="","",IF('ORDENES'!$AF100="","-",'ORDENES'!$AF100))</f>
        <v/>
      </c>
      <c r="D122" s="3">
        <f>IF('ORDENES'!$A100="","",IF('ORDENES'!$X100="","-",'ORDENES'!$X100))</f>
        <v/>
      </c>
      <c r="E122" s="3">
        <f>IF('ORDENES'!$A100="","",IF('ORDENES'!$V100="","-",'ORDENES'!$V100))</f>
        <v/>
      </c>
      <c r="F122" s="3">
        <f>IF('ORDENES'!$A100="","",IF('ORDENES'!$Y100="","-",'ORDENES'!$Y100))</f>
        <v/>
      </c>
      <c r="G122" s="3">
        <f>IF('ORDENES'!$A100="","",IF('ORDENES'!$W100="","-",'ORDENES'!$W100))</f>
        <v/>
      </c>
      <c r="H122" s="3">
        <f>IF('ORDENES'!$A100="","",IF('ORDENES'!$AE100="","-",'ORDENES'!$AE100))</f>
        <v/>
      </c>
      <c r="I122" s="3">
        <f>IF('ORDENES'!$A100="","",IF('ORDENES'!$AQ100="","-",'ORDENES'!$AQ100))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IF('ORDENES'!$A100="","",'ORDENES'!$AD100)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IF('ORDENES'!$A101="","",IF('ORDENES'!$AF101="","-",'ORDENES'!$AF101))</f>
        <v/>
      </c>
      <c r="D123" s="3">
        <f>IF('ORDENES'!$A101="","",IF('ORDENES'!$X101="","-",'ORDENES'!$X101))</f>
        <v/>
      </c>
      <c r="E123" s="3">
        <f>IF('ORDENES'!$A101="","",IF('ORDENES'!$V101="","-",'ORDENES'!$V101))</f>
        <v/>
      </c>
      <c r="F123" s="3">
        <f>IF('ORDENES'!$A101="","",IF('ORDENES'!$Y101="","-",'ORDENES'!$Y101))</f>
        <v/>
      </c>
      <c r="G123" s="3">
        <f>IF('ORDENES'!$A101="","",IF('ORDENES'!$W101="","-",'ORDENES'!$W101))</f>
        <v/>
      </c>
      <c r="H123" s="3">
        <f>IF('ORDENES'!$A101="","",IF('ORDENES'!$AE101="","-",'ORDENES'!$AE101))</f>
        <v/>
      </c>
      <c r="I123" s="3">
        <f>IF('ORDENES'!$A101="","",IF('ORDENES'!$AQ101="","-",'ORDENES'!$AQ101))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IF('ORDENES'!$A101="","",'ORDENES'!$AD101)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IF('ORDENES'!$A102="","",IF('ORDENES'!$AF102="","-",'ORDENES'!$AF102))</f>
        <v/>
      </c>
      <c r="D124" s="3">
        <f>IF('ORDENES'!$A102="","",IF('ORDENES'!$X102="","-",'ORDENES'!$X102))</f>
        <v/>
      </c>
      <c r="E124" s="3">
        <f>IF('ORDENES'!$A102="","",IF('ORDENES'!$V102="","-",'ORDENES'!$V102))</f>
        <v/>
      </c>
      <c r="F124" s="3">
        <f>IF('ORDENES'!$A102="","",IF('ORDENES'!$Y102="","-",'ORDENES'!$Y102))</f>
        <v/>
      </c>
      <c r="G124" s="3">
        <f>IF('ORDENES'!$A102="","",IF('ORDENES'!$W102="","-",'ORDENES'!$W102))</f>
        <v/>
      </c>
      <c r="H124" s="3">
        <f>IF('ORDENES'!$A102="","",IF('ORDENES'!$AE102="","-",'ORDENES'!$AE102))</f>
        <v/>
      </c>
      <c r="I124" s="3">
        <f>IF('ORDENES'!$A102="","",IF('ORDENES'!$AQ102="","-",'ORDENES'!$AQ102))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IF('ORDENES'!$A102="","",'ORDENES'!$AD102)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IF('ORDENES'!$A103="","",IF('ORDENES'!$AF103="","-",'ORDENES'!$AF103))</f>
        <v/>
      </c>
      <c r="D125" s="3">
        <f>IF('ORDENES'!$A103="","",IF('ORDENES'!$X103="","-",'ORDENES'!$X103))</f>
        <v/>
      </c>
      <c r="E125" s="3">
        <f>IF('ORDENES'!$A103="","",IF('ORDENES'!$V103="","-",'ORDENES'!$V103))</f>
        <v/>
      </c>
      <c r="F125" s="3">
        <f>IF('ORDENES'!$A103="","",IF('ORDENES'!$Y103="","-",'ORDENES'!$Y103))</f>
        <v/>
      </c>
      <c r="G125" s="3">
        <f>IF('ORDENES'!$A103="","",IF('ORDENES'!$W103="","-",'ORDENES'!$W103))</f>
        <v/>
      </c>
      <c r="H125" s="3">
        <f>IF('ORDENES'!$A103="","",IF('ORDENES'!$AE103="","-",'ORDENES'!$AE103))</f>
        <v/>
      </c>
      <c r="I125" s="3">
        <f>IF('ORDENES'!$A103="","",IF('ORDENES'!$AQ103="","-",'ORDENES'!$AQ103))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IF('ORDENES'!$A103="","",'ORDENES'!$AD103)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IF('ORDENES'!$A104="","",IF('ORDENES'!$AF104="","-",'ORDENES'!$AF104))</f>
        <v/>
      </c>
      <c r="D126" s="3">
        <f>IF('ORDENES'!$A104="","",IF('ORDENES'!$X104="","-",'ORDENES'!$X104))</f>
        <v/>
      </c>
      <c r="E126" s="3">
        <f>IF('ORDENES'!$A104="","",IF('ORDENES'!$V104="","-",'ORDENES'!$V104))</f>
        <v/>
      </c>
      <c r="F126" s="3">
        <f>IF('ORDENES'!$A104="","",IF('ORDENES'!$Y104="","-",'ORDENES'!$Y104))</f>
        <v/>
      </c>
      <c r="G126" s="3">
        <f>IF('ORDENES'!$A104="","",IF('ORDENES'!$W104="","-",'ORDENES'!$W104))</f>
        <v/>
      </c>
      <c r="H126" s="3">
        <f>IF('ORDENES'!$A104="","",IF('ORDENES'!$AE104="","-",'ORDENES'!$AE104))</f>
        <v/>
      </c>
      <c r="I126" s="3">
        <f>IF('ORDENES'!$A104="","",IF('ORDENES'!$AQ104="","-",'ORDENES'!$AQ104))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IF('ORDENES'!$A104="","",'ORDENES'!$AD104)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IF('ORDENES'!$A105="","",IF('ORDENES'!$AF105="","-",'ORDENES'!$AF105))</f>
        <v/>
      </c>
      <c r="D127" s="3">
        <f>IF('ORDENES'!$A105="","",IF('ORDENES'!$X105="","-",'ORDENES'!$X105))</f>
        <v/>
      </c>
      <c r="E127" s="3">
        <f>IF('ORDENES'!$A105="","",IF('ORDENES'!$V105="","-",'ORDENES'!$V105))</f>
        <v/>
      </c>
      <c r="F127" s="3">
        <f>IF('ORDENES'!$A105="","",IF('ORDENES'!$Y105="","-",'ORDENES'!$Y105))</f>
        <v/>
      </c>
      <c r="G127" s="3">
        <f>IF('ORDENES'!$A105="","",IF('ORDENES'!$W105="","-",'ORDENES'!$W105))</f>
        <v/>
      </c>
      <c r="H127" s="3">
        <f>IF('ORDENES'!$A105="","",IF('ORDENES'!$AE105="","-",'ORDENES'!$AE105))</f>
        <v/>
      </c>
      <c r="I127" s="3">
        <f>IF('ORDENES'!$A105="","",IF('ORDENES'!$AQ105="","-",'ORDENES'!$AQ105))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IF('ORDENES'!$A105="","",'ORDENES'!$AD105)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IF('ORDENES'!$A106="","",IF('ORDENES'!$AF106="","-",'ORDENES'!$AF106))</f>
        <v/>
      </c>
      <c r="D128" s="3">
        <f>IF('ORDENES'!$A106="","",IF('ORDENES'!$X106="","-",'ORDENES'!$X106))</f>
        <v/>
      </c>
      <c r="E128" s="3">
        <f>IF('ORDENES'!$A106="","",IF('ORDENES'!$V106="","-",'ORDENES'!$V106))</f>
        <v/>
      </c>
      <c r="F128" s="3">
        <f>IF('ORDENES'!$A106="","",IF('ORDENES'!$Y106="","-",'ORDENES'!$Y106))</f>
        <v/>
      </c>
      <c r="G128" s="3">
        <f>IF('ORDENES'!$A106="","",IF('ORDENES'!$W106="","-",'ORDENES'!$W106))</f>
        <v/>
      </c>
      <c r="H128" s="3">
        <f>IF('ORDENES'!$A106="","",IF('ORDENES'!$AE106="","-",'ORDENES'!$AE106))</f>
        <v/>
      </c>
      <c r="I128" s="3">
        <f>IF('ORDENES'!$A106="","",IF('ORDENES'!$AQ106="","-",'ORDENES'!$AQ106))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IF('ORDENES'!$A106="","",'ORDENES'!$AD106)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IF('ORDENES'!$A107="","",IF('ORDENES'!$AF107="","-",'ORDENES'!$AF107))</f>
        <v/>
      </c>
      <c r="D129" s="3">
        <f>IF('ORDENES'!$A107="","",IF('ORDENES'!$X107="","-",'ORDENES'!$X107))</f>
        <v/>
      </c>
      <c r="E129" s="3">
        <f>IF('ORDENES'!$A107="","",IF('ORDENES'!$V107="","-",'ORDENES'!$V107))</f>
        <v/>
      </c>
      <c r="F129" s="3">
        <f>IF('ORDENES'!$A107="","",IF('ORDENES'!$Y107="","-",'ORDENES'!$Y107))</f>
        <v/>
      </c>
      <c r="G129" s="3">
        <f>IF('ORDENES'!$A107="","",IF('ORDENES'!$W107="","-",'ORDENES'!$W107))</f>
        <v/>
      </c>
      <c r="H129" s="3">
        <f>IF('ORDENES'!$A107="","",IF('ORDENES'!$AE107="","-",'ORDENES'!$AE107))</f>
        <v/>
      </c>
      <c r="I129" s="3">
        <f>IF('ORDENES'!$A107="","",IF('ORDENES'!$AQ107="","-",'ORDENES'!$AQ107))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IF('ORDENES'!$A107="","",'ORDENES'!$AD107)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IF('ORDENES'!$A108="","",IF('ORDENES'!$AF108="","-",'ORDENES'!$AF108))</f>
        <v/>
      </c>
      <c r="D130" s="3">
        <f>IF('ORDENES'!$A108="","",IF('ORDENES'!$X108="","-",'ORDENES'!$X108))</f>
        <v/>
      </c>
      <c r="E130" s="3">
        <f>IF('ORDENES'!$A108="","",IF('ORDENES'!$V108="","-",'ORDENES'!$V108))</f>
        <v/>
      </c>
      <c r="F130" s="3">
        <f>IF('ORDENES'!$A108="","",IF('ORDENES'!$Y108="","-",'ORDENES'!$Y108))</f>
        <v/>
      </c>
      <c r="G130" s="3">
        <f>IF('ORDENES'!$A108="","",IF('ORDENES'!$W108="","-",'ORDENES'!$W108))</f>
        <v/>
      </c>
      <c r="H130" s="3">
        <f>IF('ORDENES'!$A108="","",IF('ORDENES'!$AE108="","-",'ORDENES'!$AE108))</f>
        <v/>
      </c>
      <c r="I130" s="3">
        <f>IF('ORDENES'!$A108="","",IF('ORDENES'!$AQ108="","-",'ORDENES'!$AQ108))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IF('ORDENES'!$A108="","",'ORDENES'!$AD108)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IF('ORDENES'!$A109="","",IF('ORDENES'!$AF109="","-",'ORDENES'!$AF109))</f>
        <v/>
      </c>
      <c r="D131" s="3">
        <f>IF('ORDENES'!$A109="","",IF('ORDENES'!$X109="","-",'ORDENES'!$X109))</f>
        <v/>
      </c>
      <c r="E131" s="3">
        <f>IF('ORDENES'!$A109="","",IF('ORDENES'!$V109="","-",'ORDENES'!$V109))</f>
        <v/>
      </c>
      <c r="F131" s="3">
        <f>IF('ORDENES'!$A109="","",IF('ORDENES'!$Y109="","-",'ORDENES'!$Y109))</f>
        <v/>
      </c>
      <c r="G131" s="3">
        <f>IF('ORDENES'!$A109="","",IF('ORDENES'!$W109="","-",'ORDENES'!$W109))</f>
        <v/>
      </c>
      <c r="H131" s="3">
        <f>IF('ORDENES'!$A109="","",IF('ORDENES'!$AE109="","-",'ORDENES'!$AE109))</f>
        <v/>
      </c>
      <c r="I131" s="3">
        <f>IF('ORDENES'!$A109="","",IF('ORDENES'!$AQ109="","-",'ORDENES'!$AQ109))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IF('ORDENES'!$A109="","",'ORDENES'!$AD109)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IF('ORDENES'!$A110="","",IF('ORDENES'!$AF110="","-",'ORDENES'!$AF110))</f>
        <v/>
      </c>
      <c r="D132" s="3">
        <f>IF('ORDENES'!$A110="","",IF('ORDENES'!$X110="","-",'ORDENES'!$X110))</f>
        <v/>
      </c>
      <c r="E132" s="3">
        <f>IF('ORDENES'!$A110="","",IF('ORDENES'!$V110="","-",'ORDENES'!$V110))</f>
        <v/>
      </c>
      <c r="F132" s="3">
        <f>IF('ORDENES'!$A110="","",IF('ORDENES'!$Y110="","-",'ORDENES'!$Y110))</f>
        <v/>
      </c>
      <c r="G132" s="3">
        <f>IF('ORDENES'!$A110="","",IF('ORDENES'!$W110="","-",'ORDENES'!$W110))</f>
        <v/>
      </c>
      <c r="H132" s="3">
        <f>IF('ORDENES'!$A110="","",IF('ORDENES'!$AE110="","-",'ORDENES'!$AE110))</f>
        <v/>
      </c>
      <c r="I132" s="3">
        <f>IF('ORDENES'!$A110="","",IF('ORDENES'!$AQ110="","-",'ORDENES'!$AQ110))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IF('ORDENES'!$A110="","",'ORDENES'!$AD110)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IF('ORDENES'!$A111="","",IF('ORDENES'!$AF111="","-",'ORDENES'!$AF111))</f>
        <v/>
      </c>
      <c r="D133" s="3">
        <f>IF('ORDENES'!$A111="","",IF('ORDENES'!$X111="","-",'ORDENES'!$X111))</f>
        <v/>
      </c>
      <c r="E133" s="3">
        <f>IF('ORDENES'!$A111="","",IF('ORDENES'!$V111="","-",'ORDENES'!$V111))</f>
        <v/>
      </c>
      <c r="F133" s="3">
        <f>IF('ORDENES'!$A111="","",IF('ORDENES'!$Y111="","-",'ORDENES'!$Y111))</f>
        <v/>
      </c>
      <c r="G133" s="3">
        <f>IF('ORDENES'!$A111="","",IF('ORDENES'!$W111="","-",'ORDENES'!$W111))</f>
        <v/>
      </c>
      <c r="H133" s="3">
        <f>IF('ORDENES'!$A111="","",IF('ORDENES'!$AE111="","-",'ORDENES'!$AE111))</f>
        <v/>
      </c>
      <c r="I133" s="3">
        <f>IF('ORDENES'!$A111="","",IF('ORDENES'!$AQ111="","-",'ORDENES'!$AQ111))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IF('ORDENES'!$A111="","",'ORDENES'!$AD111)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IF('ORDENES'!$A112="","",IF('ORDENES'!$AF112="","-",'ORDENES'!$AF112))</f>
        <v/>
      </c>
      <c r="D134" s="3">
        <f>IF('ORDENES'!$A112="","",IF('ORDENES'!$X112="","-",'ORDENES'!$X112))</f>
        <v/>
      </c>
      <c r="E134" s="3">
        <f>IF('ORDENES'!$A112="","",IF('ORDENES'!$V112="","-",'ORDENES'!$V112))</f>
        <v/>
      </c>
      <c r="F134" s="3">
        <f>IF('ORDENES'!$A112="","",IF('ORDENES'!$Y112="","-",'ORDENES'!$Y112))</f>
        <v/>
      </c>
      <c r="G134" s="3">
        <f>IF('ORDENES'!$A112="","",IF('ORDENES'!$W112="","-",'ORDENES'!$W112))</f>
        <v/>
      </c>
      <c r="H134" s="3">
        <f>IF('ORDENES'!$A112="","",IF('ORDENES'!$AE112="","-",'ORDENES'!$AE112))</f>
        <v/>
      </c>
      <c r="I134" s="3">
        <f>IF('ORDENES'!$A112="","",IF('ORDENES'!$AQ112="","-",'ORDENES'!$AQ112))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IF('ORDENES'!$A112="","",'ORDENES'!$AD112)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IF('ORDENES'!$A113="","",IF('ORDENES'!$AF113="","-",'ORDENES'!$AF113))</f>
        <v/>
      </c>
      <c r="D135" s="3">
        <f>IF('ORDENES'!$A113="","",IF('ORDENES'!$X113="","-",'ORDENES'!$X113))</f>
        <v/>
      </c>
      <c r="E135" s="3">
        <f>IF('ORDENES'!$A113="","",IF('ORDENES'!$V113="","-",'ORDENES'!$V113))</f>
        <v/>
      </c>
      <c r="F135" s="3">
        <f>IF('ORDENES'!$A113="","",IF('ORDENES'!$Y113="","-",'ORDENES'!$Y113))</f>
        <v/>
      </c>
      <c r="G135" s="3">
        <f>IF('ORDENES'!$A113="","",IF('ORDENES'!$W113="","-",'ORDENES'!$W113))</f>
        <v/>
      </c>
      <c r="H135" s="3">
        <f>IF('ORDENES'!$A113="","",IF('ORDENES'!$AE113="","-",'ORDENES'!$AE113))</f>
        <v/>
      </c>
      <c r="I135" s="3">
        <f>IF('ORDENES'!$A113="","",IF('ORDENES'!$AQ113="","-",'ORDENES'!$AQ113))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IF('ORDENES'!$A113="","",'ORDENES'!$AD113)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IF('ORDENES'!$A114="","",IF('ORDENES'!$AF114="","-",'ORDENES'!$AF114))</f>
        <v/>
      </c>
      <c r="D136" s="3">
        <f>IF('ORDENES'!$A114="","",IF('ORDENES'!$X114="","-",'ORDENES'!$X114))</f>
        <v/>
      </c>
      <c r="E136" s="3">
        <f>IF('ORDENES'!$A114="","",IF('ORDENES'!$V114="","-",'ORDENES'!$V114))</f>
        <v/>
      </c>
      <c r="F136" s="3">
        <f>IF('ORDENES'!$A114="","",IF('ORDENES'!$Y114="","-",'ORDENES'!$Y114))</f>
        <v/>
      </c>
      <c r="G136" s="3">
        <f>IF('ORDENES'!$A114="","",IF('ORDENES'!$W114="","-",'ORDENES'!$W114))</f>
        <v/>
      </c>
      <c r="H136" s="3">
        <f>IF('ORDENES'!$A114="","",IF('ORDENES'!$AE114="","-",'ORDENES'!$AE114))</f>
        <v/>
      </c>
      <c r="I136" s="3">
        <f>IF('ORDENES'!$A114="","",IF('ORDENES'!$AQ114="","-",'ORDENES'!$AQ114))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IF('ORDENES'!$A114="","",'ORDENES'!$AD114)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IF('ORDENES'!$A115="","",IF('ORDENES'!$AF115="","-",'ORDENES'!$AF115))</f>
        <v/>
      </c>
      <c r="D137" s="3">
        <f>IF('ORDENES'!$A115="","",IF('ORDENES'!$X115="","-",'ORDENES'!$X115))</f>
        <v/>
      </c>
      <c r="E137" s="3">
        <f>IF('ORDENES'!$A115="","",IF('ORDENES'!$V115="","-",'ORDENES'!$V115))</f>
        <v/>
      </c>
      <c r="F137" s="3">
        <f>IF('ORDENES'!$A115="","",IF('ORDENES'!$Y115="","-",'ORDENES'!$Y115))</f>
        <v/>
      </c>
      <c r="G137" s="3">
        <f>IF('ORDENES'!$A115="","",IF('ORDENES'!$W115="","-",'ORDENES'!$W115))</f>
        <v/>
      </c>
      <c r="H137" s="3">
        <f>IF('ORDENES'!$A115="","",IF('ORDENES'!$AE115="","-",'ORDENES'!$AE115))</f>
        <v/>
      </c>
      <c r="I137" s="3">
        <f>IF('ORDENES'!$A115="","",IF('ORDENES'!$AQ115="","-",'ORDENES'!$AQ115))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IF('ORDENES'!$A115="","",'ORDENES'!$AD115)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IF('ORDENES'!$A116="","",IF('ORDENES'!$AF116="","-",'ORDENES'!$AF116))</f>
        <v/>
      </c>
      <c r="D138" s="3">
        <f>IF('ORDENES'!$A116="","",IF('ORDENES'!$X116="","-",'ORDENES'!$X116))</f>
        <v/>
      </c>
      <c r="E138" s="3">
        <f>IF('ORDENES'!$A116="","",IF('ORDENES'!$V116="","-",'ORDENES'!$V116))</f>
        <v/>
      </c>
      <c r="F138" s="3">
        <f>IF('ORDENES'!$A116="","",IF('ORDENES'!$Y116="","-",'ORDENES'!$Y116))</f>
        <v/>
      </c>
      <c r="G138" s="3">
        <f>IF('ORDENES'!$A116="","",IF('ORDENES'!$W116="","-",'ORDENES'!$W116))</f>
        <v/>
      </c>
      <c r="H138" s="3">
        <f>IF('ORDENES'!$A116="","",IF('ORDENES'!$AE116="","-",'ORDENES'!$AE116))</f>
        <v/>
      </c>
      <c r="I138" s="3">
        <f>IF('ORDENES'!$A116="","",IF('ORDENES'!$AQ116="","-",'ORDENES'!$AQ116))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IF('ORDENES'!$A116="","",'ORDENES'!$AD116)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IF('ORDENES'!$A117="","",IF('ORDENES'!$AF117="","-",'ORDENES'!$AF117))</f>
        <v/>
      </c>
      <c r="D139" s="3">
        <f>IF('ORDENES'!$A117="","",IF('ORDENES'!$X117="","-",'ORDENES'!$X117))</f>
        <v/>
      </c>
      <c r="E139" s="3">
        <f>IF('ORDENES'!$A117="","",IF('ORDENES'!$V117="","-",'ORDENES'!$V117))</f>
        <v/>
      </c>
      <c r="F139" s="3">
        <f>IF('ORDENES'!$A117="","",IF('ORDENES'!$Y117="","-",'ORDENES'!$Y117))</f>
        <v/>
      </c>
      <c r="G139" s="3">
        <f>IF('ORDENES'!$A117="","",IF('ORDENES'!$W117="","-",'ORDENES'!$W117))</f>
        <v/>
      </c>
      <c r="H139" s="3">
        <f>IF('ORDENES'!$A117="","",IF('ORDENES'!$AE117="","-",'ORDENES'!$AE117))</f>
        <v/>
      </c>
      <c r="I139" s="3">
        <f>IF('ORDENES'!$A117="","",IF('ORDENES'!$AQ117="","-",'ORDENES'!$AQ117))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IF('ORDENES'!$A117="","",'ORDENES'!$AD117)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IF('ORDENES'!$A118="","",IF('ORDENES'!$AF118="","-",'ORDENES'!$AF118))</f>
        <v/>
      </c>
      <c r="D140" s="3">
        <f>IF('ORDENES'!$A118="","",IF('ORDENES'!$X118="","-",'ORDENES'!$X118))</f>
        <v/>
      </c>
      <c r="E140" s="3">
        <f>IF('ORDENES'!$A118="","",IF('ORDENES'!$V118="","-",'ORDENES'!$V118))</f>
        <v/>
      </c>
      <c r="F140" s="3">
        <f>IF('ORDENES'!$A118="","",IF('ORDENES'!$Y118="","-",'ORDENES'!$Y118))</f>
        <v/>
      </c>
      <c r="G140" s="3">
        <f>IF('ORDENES'!$A118="","",IF('ORDENES'!$W118="","-",'ORDENES'!$W118))</f>
        <v/>
      </c>
      <c r="H140" s="3">
        <f>IF('ORDENES'!$A118="","",IF('ORDENES'!$AE118="","-",'ORDENES'!$AE118))</f>
        <v/>
      </c>
      <c r="I140" s="3">
        <f>IF('ORDENES'!$A118="","",IF('ORDENES'!$AQ118="","-",'ORDENES'!$AQ118))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IF('ORDENES'!$A118="","",'ORDENES'!$AD118)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IF('ORDENES'!$A119="","",IF('ORDENES'!$AF119="","-",'ORDENES'!$AF119))</f>
        <v/>
      </c>
      <c r="D141" s="3">
        <f>IF('ORDENES'!$A119="","",IF('ORDENES'!$X119="","-",'ORDENES'!$X119))</f>
        <v/>
      </c>
      <c r="E141" s="3">
        <f>IF('ORDENES'!$A119="","",IF('ORDENES'!$V119="","-",'ORDENES'!$V119))</f>
        <v/>
      </c>
      <c r="F141" s="3">
        <f>IF('ORDENES'!$A119="","",IF('ORDENES'!$Y119="","-",'ORDENES'!$Y119))</f>
        <v/>
      </c>
      <c r="G141" s="3">
        <f>IF('ORDENES'!$A119="","",IF('ORDENES'!$W119="","-",'ORDENES'!$W119))</f>
        <v/>
      </c>
      <c r="H141" s="3">
        <f>IF('ORDENES'!$A119="","",IF('ORDENES'!$AE119="","-",'ORDENES'!$AE119))</f>
        <v/>
      </c>
      <c r="I141" s="3">
        <f>IF('ORDENES'!$A119="","",IF('ORDENES'!$AQ119="","-",'ORDENES'!$AQ119))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IF('ORDENES'!$A119="","",'ORDENES'!$AD119)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IF('ORDENES'!$A120="","",IF('ORDENES'!$AF120="","-",'ORDENES'!$AF120))</f>
        <v/>
      </c>
      <c r="D142" s="3">
        <f>IF('ORDENES'!$A120="","",IF('ORDENES'!$X120="","-",'ORDENES'!$X120))</f>
        <v/>
      </c>
      <c r="E142" s="3">
        <f>IF('ORDENES'!$A120="","",IF('ORDENES'!$V120="","-",'ORDENES'!$V120))</f>
        <v/>
      </c>
      <c r="F142" s="3">
        <f>IF('ORDENES'!$A120="","",IF('ORDENES'!$Y120="","-",'ORDENES'!$Y120))</f>
        <v/>
      </c>
      <c r="G142" s="3">
        <f>IF('ORDENES'!$A120="","",IF('ORDENES'!$W120="","-",'ORDENES'!$W120))</f>
        <v/>
      </c>
      <c r="H142" s="3">
        <f>IF('ORDENES'!$A120="","",IF('ORDENES'!$AE120="","-",'ORDENES'!$AE120))</f>
        <v/>
      </c>
      <c r="I142" s="3">
        <f>IF('ORDENES'!$A120="","",IF('ORDENES'!$AQ120="","-",'ORDENES'!$AQ120))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IF('ORDENES'!$A120="","",'ORDENES'!$AD120)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IF('ORDENES'!$A121="","",IF('ORDENES'!$AF121="","-",'ORDENES'!$AF121))</f>
        <v/>
      </c>
      <c r="D143" s="3">
        <f>IF('ORDENES'!$A121="","",IF('ORDENES'!$X121="","-",'ORDENES'!$X121))</f>
        <v/>
      </c>
      <c r="E143" s="3">
        <f>IF('ORDENES'!$A121="","",IF('ORDENES'!$V121="","-",'ORDENES'!$V121))</f>
        <v/>
      </c>
      <c r="F143" s="3">
        <f>IF('ORDENES'!$A121="","",IF('ORDENES'!$Y121="","-",'ORDENES'!$Y121))</f>
        <v/>
      </c>
      <c r="G143" s="3">
        <f>IF('ORDENES'!$A121="","",IF('ORDENES'!$W121="","-",'ORDENES'!$W121))</f>
        <v/>
      </c>
      <c r="H143" s="3">
        <f>IF('ORDENES'!$A121="","",IF('ORDENES'!$AE121="","-",'ORDENES'!$AE121))</f>
        <v/>
      </c>
      <c r="I143" s="3">
        <f>IF('ORDENES'!$A121="","",IF('ORDENES'!$AQ121="","-",'ORDENES'!$AQ121))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IF('ORDENES'!$A121="","",'ORDENES'!$AD121)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IF('ORDENES'!$A122="","",IF('ORDENES'!$AF122="","-",'ORDENES'!$AF122))</f>
        <v/>
      </c>
      <c r="D144" s="3">
        <f>IF('ORDENES'!$A122="","",IF('ORDENES'!$X122="","-",'ORDENES'!$X122))</f>
        <v/>
      </c>
      <c r="E144" s="3">
        <f>IF('ORDENES'!$A122="","",IF('ORDENES'!$V122="","-",'ORDENES'!$V122))</f>
        <v/>
      </c>
      <c r="F144" s="3">
        <f>IF('ORDENES'!$A122="","",IF('ORDENES'!$Y122="","-",'ORDENES'!$Y122))</f>
        <v/>
      </c>
      <c r="G144" s="3">
        <f>IF('ORDENES'!$A122="","",IF('ORDENES'!$W122="","-",'ORDENES'!$W122))</f>
        <v/>
      </c>
      <c r="H144" s="3">
        <f>IF('ORDENES'!$A122="","",IF('ORDENES'!$AE122="","-",'ORDENES'!$AE122))</f>
        <v/>
      </c>
      <c r="I144" s="3">
        <f>IF('ORDENES'!$A122="","",IF('ORDENES'!$AQ122="","-",'ORDENES'!$AQ122))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IF('ORDENES'!$A122="","",'ORDENES'!$AD122)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IF('ORDENES'!$A123="","",IF('ORDENES'!$AF123="","-",'ORDENES'!$AF123))</f>
        <v/>
      </c>
      <c r="D145" s="3">
        <f>IF('ORDENES'!$A123="","",IF('ORDENES'!$X123="","-",'ORDENES'!$X123))</f>
        <v/>
      </c>
      <c r="E145" s="3">
        <f>IF('ORDENES'!$A123="","",IF('ORDENES'!$V123="","-",'ORDENES'!$V123))</f>
        <v/>
      </c>
      <c r="F145" s="3">
        <f>IF('ORDENES'!$A123="","",IF('ORDENES'!$Y123="","-",'ORDENES'!$Y123))</f>
        <v/>
      </c>
      <c r="G145" s="3">
        <f>IF('ORDENES'!$A123="","",IF('ORDENES'!$W123="","-",'ORDENES'!$W123))</f>
        <v/>
      </c>
      <c r="H145" s="3">
        <f>IF('ORDENES'!$A123="","",IF('ORDENES'!$AE123="","-",'ORDENES'!$AE123))</f>
        <v/>
      </c>
      <c r="I145" s="3">
        <f>IF('ORDENES'!$A123="","",IF('ORDENES'!$AQ123="","-",'ORDENES'!$AQ123))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IF('ORDENES'!$A123="","",'ORDENES'!$AD123)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IF('ORDENES'!$A124="","",IF('ORDENES'!$AF124="","-",'ORDENES'!$AF124))</f>
        <v/>
      </c>
      <c r="D146" s="3">
        <f>IF('ORDENES'!$A124="","",IF('ORDENES'!$X124="","-",'ORDENES'!$X124))</f>
        <v/>
      </c>
      <c r="E146" s="3">
        <f>IF('ORDENES'!$A124="","",IF('ORDENES'!$V124="","-",'ORDENES'!$V124))</f>
        <v/>
      </c>
      <c r="F146" s="3">
        <f>IF('ORDENES'!$A124="","",IF('ORDENES'!$Y124="","-",'ORDENES'!$Y124))</f>
        <v/>
      </c>
      <c r="G146" s="3">
        <f>IF('ORDENES'!$A124="","",IF('ORDENES'!$W124="","-",'ORDENES'!$W124))</f>
        <v/>
      </c>
      <c r="H146" s="3">
        <f>IF('ORDENES'!$A124="","",IF('ORDENES'!$AE124="","-",'ORDENES'!$AE124))</f>
        <v/>
      </c>
      <c r="I146" s="3">
        <f>IF('ORDENES'!$A124="","",IF('ORDENES'!$AQ124="","-",'ORDENES'!$AQ124))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IF('ORDENES'!$A124="","",'ORDENES'!$AD124)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IF('ORDENES'!$A125="","",IF('ORDENES'!$AF125="","-",'ORDENES'!$AF125))</f>
        <v/>
      </c>
      <c r="D147" s="3">
        <f>IF('ORDENES'!$A125="","",IF('ORDENES'!$X125="","-",'ORDENES'!$X125))</f>
        <v/>
      </c>
      <c r="E147" s="3">
        <f>IF('ORDENES'!$A125="","",IF('ORDENES'!$V125="","-",'ORDENES'!$V125))</f>
        <v/>
      </c>
      <c r="F147" s="3">
        <f>IF('ORDENES'!$A125="","",IF('ORDENES'!$Y125="","-",'ORDENES'!$Y125))</f>
        <v/>
      </c>
      <c r="G147" s="3">
        <f>IF('ORDENES'!$A125="","",IF('ORDENES'!$W125="","-",'ORDENES'!$W125))</f>
        <v/>
      </c>
      <c r="H147" s="3">
        <f>IF('ORDENES'!$A125="","",IF('ORDENES'!$AE125="","-",'ORDENES'!$AE125))</f>
        <v/>
      </c>
      <c r="I147" s="3">
        <f>IF('ORDENES'!$A125="","",IF('ORDENES'!$AQ125="","-",'ORDENES'!$AQ125))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IF('ORDENES'!$A125="","",'ORDENES'!$AD125)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IF('ORDENES'!$A126="","",IF('ORDENES'!$AF126="","-",'ORDENES'!$AF126))</f>
        <v/>
      </c>
      <c r="D148" s="3">
        <f>IF('ORDENES'!$A126="","",IF('ORDENES'!$X126="","-",'ORDENES'!$X126))</f>
        <v/>
      </c>
      <c r="E148" s="3">
        <f>IF('ORDENES'!$A126="","",IF('ORDENES'!$V126="","-",'ORDENES'!$V126))</f>
        <v/>
      </c>
      <c r="F148" s="3">
        <f>IF('ORDENES'!$A126="","",IF('ORDENES'!$Y126="","-",'ORDENES'!$Y126))</f>
        <v/>
      </c>
      <c r="G148" s="3">
        <f>IF('ORDENES'!$A126="","",IF('ORDENES'!$W126="","-",'ORDENES'!$W126))</f>
        <v/>
      </c>
      <c r="H148" s="3">
        <f>IF('ORDENES'!$A126="","",IF('ORDENES'!$AE126="","-",'ORDENES'!$AE126))</f>
        <v/>
      </c>
      <c r="I148" s="3">
        <f>IF('ORDENES'!$A126="","",IF('ORDENES'!$AQ126="","-",'ORDENES'!$AQ126))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IF('ORDENES'!$A126="","",'ORDENES'!$AD126)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IF('ORDENES'!$A127="","",IF('ORDENES'!$AF127="","-",'ORDENES'!$AF127))</f>
        <v/>
      </c>
      <c r="D149" s="3">
        <f>IF('ORDENES'!$A127="","",IF('ORDENES'!$X127="","-",'ORDENES'!$X127))</f>
        <v/>
      </c>
      <c r="E149" s="3">
        <f>IF('ORDENES'!$A127="","",IF('ORDENES'!$V127="","-",'ORDENES'!$V127))</f>
        <v/>
      </c>
      <c r="F149" s="3">
        <f>IF('ORDENES'!$A127="","",IF('ORDENES'!$Y127="","-",'ORDENES'!$Y127))</f>
        <v/>
      </c>
      <c r="G149" s="3">
        <f>IF('ORDENES'!$A127="","",IF('ORDENES'!$W127="","-",'ORDENES'!$W127))</f>
        <v/>
      </c>
      <c r="H149" s="3">
        <f>IF('ORDENES'!$A127="","",IF('ORDENES'!$AE127="","-",'ORDENES'!$AE127))</f>
        <v/>
      </c>
      <c r="I149" s="3">
        <f>IF('ORDENES'!$A127="","",IF('ORDENES'!$AQ127="","-",'ORDENES'!$AQ127))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IF('ORDENES'!$A127="","",'ORDENES'!$AD127)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IF('ORDENES'!$A128="","",IF('ORDENES'!$AF128="","-",'ORDENES'!$AF128))</f>
        <v/>
      </c>
      <c r="D150" s="3">
        <f>IF('ORDENES'!$A128="","",IF('ORDENES'!$X128="","-",'ORDENES'!$X128))</f>
        <v/>
      </c>
      <c r="E150" s="3">
        <f>IF('ORDENES'!$A128="","",IF('ORDENES'!$V128="","-",'ORDENES'!$V128))</f>
        <v/>
      </c>
      <c r="F150" s="3">
        <f>IF('ORDENES'!$A128="","",IF('ORDENES'!$Y128="","-",'ORDENES'!$Y128))</f>
        <v/>
      </c>
      <c r="G150" s="3">
        <f>IF('ORDENES'!$A128="","",IF('ORDENES'!$W128="","-",'ORDENES'!$W128))</f>
        <v/>
      </c>
      <c r="H150" s="3">
        <f>IF('ORDENES'!$A128="","",IF('ORDENES'!$AE128="","-",'ORDENES'!$AE128))</f>
        <v/>
      </c>
      <c r="I150" s="3">
        <f>IF('ORDENES'!$A128="","",IF('ORDENES'!$AQ128="","-",'ORDENES'!$AQ128))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IF('ORDENES'!$A128="","",'ORDENES'!$AD128)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IF('ORDENES'!$A129="","",IF('ORDENES'!$AF129="","-",'ORDENES'!$AF129))</f>
        <v/>
      </c>
      <c r="D151" s="3">
        <f>IF('ORDENES'!$A129="","",IF('ORDENES'!$X129="","-",'ORDENES'!$X129))</f>
        <v/>
      </c>
      <c r="E151" s="3">
        <f>IF('ORDENES'!$A129="","",IF('ORDENES'!$V129="","-",'ORDENES'!$V129))</f>
        <v/>
      </c>
      <c r="F151" s="3">
        <f>IF('ORDENES'!$A129="","",IF('ORDENES'!$Y129="","-",'ORDENES'!$Y129))</f>
        <v/>
      </c>
      <c r="G151" s="3">
        <f>IF('ORDENES'!$A129="","",IF('ORDENES'!$W129="","-",'ORDENES'!$W129))</f>
        <v/>
      </c>
      <c r="H151" s="3">
        <f>IF('ORDENES'!$A129="","",IF('ORDENES'!$AE129="","-",'ORDENES'!$AE129))</f>
        <v/>
      </c>
      <c r="I151" s="3">
        <f>IF('ORDENES'!$A129="","",IF('ORDENES'!$AQ129="","-",'ORDENES'!$AQ129))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IF('ORDENES'!$A129="","",'ORDENES'!$AD129)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IF('ORDENES'!$A130="","",IF('ORDENES'!$AF130="","-",'ORDENES'!$AF130))</f>
        <v/>
      </c>
      <c r="D152" s="3">
        <f>IF('ORDENES'!$A130="","",IF('ORDENES'!$X130="","-",'ORDENES'!$X130))</f>
        <v/>
      </c>
      <c r="E152" s="3">
        <f>IF('ORDENES'!$A130="","",IF('ORDENES'!$V130="","-",'ORDENES'!$V130))</f>
        <v/>
      </c>
      <c r="F152" s="3">
        <f>IF('ORDENES'!$A130="","",IF('ORDENES'!$Y130="","-",'ORDENES'!$Y130))</f>
        <v/>
      </c>
      <c r="G152" s="3">
        <f>IF('ORDENES'!$A130="","",IF('ORDENES'!$W130="","-",'ORDENES'!$W130))</f>
        <v/>
      </c>
      <c r="H152" s="3">
        <f>IF('ORDENES'!$A130="","",IF('ORDENES'!$AE130="","-",'ORDENES'!$AE130))</f>
        <v/>
      </c>
      <c r="I152" s="3">
        <f>IF('ORDENES'!$A130="","",IF('ORDENES'!$AQ130="","-",'ORDENES'!$AQ130))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IF('ORDENES'!$A130="","",'ORDENES'!$AD130)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IF('ORDENES'!$A131="","",IF('ORDENES'!$AF131="","-",'ORDENES'!$AF131))</f>
        <v/>
      </c>
      <c r="D153" s="3">
        <f>IF('ORDENES'!$A131="","",IF('ORDENES'!$X131="","-",'ORDENES'!$X131))</f>
        <v/>
      </c>
      <c r="E153" s="3">
        <f>IF('ORDENES'!$A131="","",IF('ORDENES'!$V131="","-",'ORDENES'!$V131))</f>
        <v/>
      </c>
      <c r="F153" s="3">
        <f>IF('ORDENES'!$A131="","",IF('ORDENES'!$Y131="","-",'ORDENES'!$Y131))</f>
        <v/>
      </c>
      <c r="G153" s="3">
        <f>IF('ORDENES'!$A131="","",IF('ORDENES'!$W131="","-",'ORDENES'!$W131))</f>
        <v/>
      </c>
      <c r="H153" s="3">
        <f>IF('ORDENES'!$A131="","",IF('ORDENES'!$AE131="","-",'ORDENES'!$AE131))</f>
        <v/>
      </c>
      <c r="I153" s="3">
        <f>IF('ORDENES'!$A131="","",IF('ORDENES'!$AQ131="","-",'ORDENES'!$AQ131))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IF('ORDENES'!$A131="","",'ORDENES'!$AD131)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IF('ORDENES'!$A132="","",IF('ORDENES'!$AF132="","-",'ORDENES'!$AF132))</f>
        <v/>
      </c>
      <c r="D154" s="3">
        <f>IF('ORDENES'!$A132="","",IF('ORDENES'!$X132="","-",'ORDENES'!$X132))</f>
        <v/>
      </c>
      <c r="E154" s="3">
        <f>IF('ORDENES'!$A132="","",IF('ORDENES'!$V132="","-",'ORDENES'!$V132))</f>
        <v/>
      </c>
      <c r="F154" s="3">
        <f>IF('ORDENES'!$A132="","",IF('ORDENES'!$Y132="","-",'ORDENES'!$Y132))</f>
        <v/>
      </c>
      <c r="G154" s="3">
        <f>IF('ORDENES'!$A132="","",IF('ORDENES'!$W132="","-",'ORDENES'!$W132))</f>
        <v/>
      </c>
      <c r="H154" s="3">
        <f>IF('ORDENES'!$A132="","",IF('ORDENES'!$AE132="","-",'ORDENES'!$AE132))</f>
        <v/>
      </c>
      <c r="I154" s="3">
        <f>IF('ORDENES'!$A132="","",IF('ORDENES'!$AQ132="","-",'ORDENES'!$AQ132))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IF('ORDENES'!$A132="","",'ORDENES'!$AD132)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IF('ORDENES'!$A133="","",IF('ORDENES'!$AF133="","-",'ORDENES'!$AF133))</f>
        <v/>
      </c>
      <c r="D155" s="3">
        <f>IF('ORDENES'!$A133="","",IF('ORDENES'!$X133="","-",'ORDENES'!$X133))</f>
        <v/>
      </c>
      <c r="E155" s="3">
        <f>IF('ORDENES'!$A133="","",IF('ORDENES'!$V133="","-",'ORDENES'!$V133))</f>
        <v/>
      </c>
      <c r="F155" s="3">
        <f>IF('ORDENES'!$A133="","",IF('ORDENES'!$Y133="","-",'ORDENES'!$Y133))</f>
        <v/>
      </c>
      <c r="G155" s="3">
        <f>IF('ORDENES'!$A133="","",IF('ORDENES'!$W133="","-",'ORDENES'!$W133))</f>
        <v/>
      </c>
      <c r="H155" s="3">
        <f>IF('ORDENES'!$A133="","",IF('ORDENES'!$AE133="","-",'ORDENES'!$AE133))</f>
        <v/>
      </c>
      <c r="I155" s="3">
        <f>IF('ORDENES'!$A133="","",IF('ORDENES'!$AQ133="","-",'ORDENES'!$AQ133))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IF('ORDENES'!$A133="","",'ORDENES'!$AD133)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IF('ORDENES'!$A134="","",IF('ORDENES'!$AF134="","-",'ORDENES'!$AF134))</f>
        <v/>
      </c>
      <c r="D156" s="3">
        <f>IF('ORDENES'!$A134="","",IF('ORDENES'!$X134="","-",'ORDENES'!$X134))</f>
        <v/>
      </c>
      <c r="E156" s="3">
        <f>IF('ORDENES'!$A134="","",IF('ORDENES'!$V134="","-",'ORDENES'!$V134))</f>
        <v/>
      </c>
      <c r="F156" s="3">
        <f>IF('ORDENES'!$A134="","",IF('ORDENES'!$Y134="","-",'ORDENES'!$Y134))</f>
        <v/>
      </c>
      <c r="G156" s="3">
        <f>IF('ORDENES'!$A134="","",IF('ORDENES'!$W134="","-",'ORDENES'!$W134))</f>
        <v/>
      </c>
      <c r="H156" s="3">
        <f>IF('ORDENES'!$A134="","",IF('ORDENES'!$AE134="","-",'ORDENES'!$AE134))</f>
        <v/>
      </c>
      <c r="I156" s="3">
        <f>IF('ORDENES'!$A134="","",IF('ORDENES'!$AQ134="","-",'ORDENES'!$AQ134))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IF('ORDENES'!$A134="","",'ORDENES'!$AD134)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IF('ORDENES'!$A135="","",IF('ORDENES'!$AF135="","-",'ORDENES'!$AF135))</f>
        <v/>
      </c>
      <c r="D157" s="3">
        <f>IF('ORDENES'!$A135="","",IF('ORDENES'!$X135="","-",'ORDENES'!$X135))</f>
        <v/>
      </c>
      <c r="E157" s="3">
        <f>IF('ORDENES'!$A135="","",IF('ORDENES'!$V135="","-",'ORDENES'!$V135))</f>
        <v/>
      </c>
      <c r="F157" s="3">
        <f>IF('ORDENES'!$A135="","",IF('ORDENES'!$Y135="","-",'ORDENES'!$Y135))</f>
        <v/>
      </c>
      <c r="G157" s="3">
        <f>IF('ORDENES'!$A135="","",IF('ORDENES'!$W135="","-",'ORDENES'!$W135))</f>
        <v/>
      </c>
      <c r="H157" s="3">
        <f>IF('ORDENES'!$A135="","",IF('ORDENES'!$AE135="","-",'ORDENES'!$AE135))</f>
        <v/>
      </c>
      <c r="I157" s="3">
        <f>IF('ORDENES'!$A135="","",IF('ORDENES'!$AQ135="","-",'ORDENES'!$AQ135))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IF('ORDENES'!$A135="","",'ORDENES'!$AD135)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IF('ORDENES'!$A136="","",IF('ORDENES'!$AF136="","-",'ORDENES'!$AF136))</f>
        <v/>
      </c>
      <c r="D158" s="3">
        <f>IF('ORDENES'!$A136="","",IF('ORDENES'!$X136="","-",'ORDENES'!$X136))</f>
        <v/>
      </c>
      <c r="E158" s="3">
        <f>IF('ORDENES'!$A136="","",IF('ORDENES'!$V136="","-",'ORDENES'!$V136))</f>
        <v/>
      </c>
      <c r="F158" s="3">
        <f>IF('ORDENES'!$A136="","",IF('ORDENES'!$Y136="","-",'ORDENES'!$Y136))</f>
        <v/>
      </c>
      <c r="G158" s="3">
        <f>IF('ORDENES'!$A136="","",IF('ORDENES'!$W136="","-",'ORDENES'!$W136))</f>
        <v/>
      </c>
      <c r="H158" s="3">
        <f>IF('ORDENES'!$A136="","",IF('ORDENES'!$AE136="","-",'ORDENES'!$AE136))</f>
        <v/>
      </c>
      <c r="I158" s="3">
        <f>IF('ORDENES'!$A136="","",IF('ORDENES'!$AQ136="","-",'ORDENES'!$AQ136))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IF('ORDENES'!$A136="","",'ORDENES'!$AD136)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IF('ORDENES'!$A137="","",IF('ORDENES'!$AF137="","-",'ORDENES'!$AF137))</f>
        <v/>
      </c>
      <c r="D159" s="3">
        <f>IF('ORDENES'!$A137="","",IF('ORDENES'!$X137="","-",'ORDENES'!$X137))</f>
        <v/>
      </c>
      <c r="E159" s="3">
        <f>IF('ORDENES'!$A137="","",IF('ORDENES'!$V137="","-",'ORDENES'!$V137))</f>
        <v/>
      </c>
      <c r="F159" s="3">
        <f>IF('ORDENES'!$A137="","",IF('ORDENES'!$Y137="","-",'ORDENES'!$Y137))</f>
        <v/>
      </c>
      <c r="G159" s="3">
        <f>IF('ORDENES'!$A137="","",IF('ORDENES'!$W137="","-",'ORDENES'!$W137))</f>
        <v/>
      </c>
      <c r="H159" s="3">
        <f>IF('ORDENES'!$A137="","",IF('ORDENES'!$AE137="","-",'ORDENES'!$AE137))</f>
        <v/>
      </c>
      <c r="I159" s="3">
        <f>IF('ORDENES'!$A137="","",IF('ORDENES'!$AQ137="","-",'ORDENES'!$AQ137))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IF('ORDENES'!$A137="","",'ORDENES'!$AD137)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IF('ORDENES'!$A138="","",IF('ORDENES'!$AF138="","-",'ORDENES'!$AF138))</f>
        <v/>
      </c>
      <c r="D160" s="3">
        <f>IF('ORDENES'!$A138="","",IF('ORDENES'!$X138="","-",'ORDENES'!$X138))</f>
        <v/>
      </c>
      <c r="E160" s="3">
        <f>IF('ORDENES'!$A138="","",IF('ORDENES'!$V138="","-",'ORDENES'!$V138))</f>
        <v/>
      </c>
      <c r="F160" s="3">
        <f>IF('ORDENES'!$A138="","",IF('ORDENES'!$Y138="","-",'ORDENES'!$Y138))</f>
        <v/>
      </c>
      <c r="G160" s="3">
        <f>IF('ORDENES'!$A138="","",IF('ORDENES'!$W138="","-",'ORDENES'!$W138))</f>
        <v/>
      </c>
      <c r="H160" s="3">
        <f>IF('ORDENES'!$A138="","",IF('ORDENES'!$AE138="","-",'ORDENES'!$AE138))</f>
        <v/>
      </c>
      <c r="I160" s="3">
        <f>IF('ORDENES'!$A138="","",IF('ORDENES'!$AQ138="","-",'ORDENES'!$AQ138))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IF('ORDENES'!$A138="","",'ORDENES'!$AD138)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IF('ORDENES'!$A139="","",IF('ORDENES'!$AF139="","-",'ORDENES'!$AF139))</f>
        <v/>
      </c>
      <c r="D161" s="3">
        <f>IF('ORDENES'!$A139="","",IF('ORDENES'!$X139="","-",'ORDENES'!$X139))</f>
        <v/>
      </c>
      <c r="E161" s="3">
        <f>IF('ORDENES'!$A139="","",IF('ORDENES'!$V139="","-",'ORDENES'!$V139))</f>
        <v/>
      </c>
      <c r="F161" s="3">
        <f>IF('ORDENES'!$A139="","",IF('ORDENES'!$Y139="","-",'ORDENES'!$Y139))</f>
        <v/>
      </c>
      <c r="G161" s="3">
        <f>IF('ORDENES'!$A139="","",IF('ORDENES'!$W139="","-",'ORDENES'!$W139))</f>
        <v/>
      </c>
      <c r="H161" s="3">
        <f>IF('ORDENES'!$A139="","",IF('ORDENES'!$AE139="","-",'ORDENES'!$AE139))</f>
        <v/>
      </c>
      <c r="I161" s="3">
        <f>IF('ORDENES'!$A139="","",IF('ORDENES'!$AQ139="","-",'ORDENES'!$AQ139))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IF('ORDENES'!$A139="","",'ORDENES'!$AD139)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IF('ORDENES'!$A140="","",IF('ORDENES'!$AF140="","-",'ORDENES'!$AF140))</f>
        <v/>
      </c>
      <c r="D162" s="3">
        <f>IF('ORDENES'!$A140="","",IF('ORDENES'!$X140="","-",'ORDENES'!$X140))</f>
        <v/>
      </c>
      <c r="E162" s="3">
        <f>IF('ORDENES'!$A140="","",IF('ORDENES'!$V140="","-",'ORDENES'!$V140))</f>
        <v/>
      </c>
      <c r="F162" s="3">
        <f>IF('ORDENES'!$A140="","",IF('ORDENES'!$Y140="","-",'ORDENES'!$Y140))</f>
        <v/>
      </c>
      <c r="G162" s="3">
        <f>IF('ORDENES'!$A140="","",IF('ORDENES'!$W140="","-",'ORDENES'!$W140))</f>
        <v/>
      </c>
      <c r="H162" s="3">
        <f>IF('ORDENES'!$A140="","",IF('ORDENES'!$AE140="","-",'ORDENES'!$AE140))</f>
        <v/>
      </c>
      <c r="I162" s="3">
        <f>IF('ORDENES'!$A140="","",IF('ORDENES'!$AQ140="","-",'ORDENES'!$AQ140))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IF('ORDENES'!$A140="","",'ORDENES'!$AD140)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IF('ORDENES'!$A141="","",IF('ORDENES'!$AF141="","-",'ORDENES'!$AF141))</f>
        <v/>
      </c>
      <c r="D163" s="3">
        <f>IF('ORDENES'!$A141="","",IF('ORDENES'!$X141="","-",'ORDENES'!$X141))</f>
        <v/>
      </c>
      <c r="E163" s="3">
        <f>IF('ORDENES'!$A141="","",IF('ORDENES'!$V141="","-",'ORDENES'!$V141))</f>
        <v/>
      </c>
      <c r="F163" s="3">
        <f>IF('ORDENES'!$A141="","",IF('ORDENES'!$Y141="","-",'ORDENES'!$Y141))</f>
        <v/>
      </c>
      <c r="G163" s="3">
        <f>IF('ORDENES'!$A141="","",IF('ORDENES'!$W141="","-",'ORDENES'!$W141))</f>
        <v/>
      </c>
      <c r="H163" s="3">
        <f>IF('ORDENES'!$A141="","",IF('ORDENES'!$AE141="","-",'ORDENES'!$AE141))</f>
        <v/>
      </c>
      <c r="I163" s="3">
        <f>IF('ORDENES'!$A141="","",IF('ORDENES'!$AQ141="","-",'ORDENES'!$AQ141))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IF('ORDENES'!$A141="","",'ORDENES'!$AD141)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IF('ORDENES'!$A142="","",IF('ORDENES'!$AF142="","-",'ORDENES'!$AF142))</f>
        <v/>
      </c>
      <c r="D164" s="3">
        <f>IF('ORDENES'!$A142="","",IF('ORDENES'!$X142="","-",'ORDENES'!$X142))</f>
        <v/>
      </c>
      <c r="E164" s="3">
        <f>IF('ORDENES'!$A142="","",IF('ORDENES'!$V142="","-",'ORDENES'!$V142))</f>
        <v/>
      </c>
      <c r="F164" s="3">
        <f>IF('ORDENES'!$A142="","",IF('ORDENES'!$Y142="","-",'ORDENES'!$Y142))</f>
        <v/>
      </c>
      <c r="G164" s="3">
        <f>IF('ORDENES'!$A142="","",IF('ORDENES'!$W142="","-",'ORDENES'!$W142))</f>
        <v/>
      </c>
      <c r="H164" s="3">
        <f>IF('ORDENES'!$A142="","",IF('ORDENES'!$AE142="","-",'ORDENES'!$AE142))</f>
        <v/>
      </c>
      <c r="I164" s="3">
        <f>IF('ORDENES'!$A142="","",IF('ORDENES'!$AQ142="","-",'ORDENES'!$AQ142))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IF('ORDENES'!$A142="","",'ORDENES'!$AD142)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IF('ORDENES'!$A143="","",IF('ORDENES'!$AF143="","-",'ORDENES'!$AF143))</f>
        <v/>
      </c>
      <c r="D165" s="3">
        <f>IF('ORDENES'!$A143="","",IF('ORDENES'!$X143="","-",'ORDENES'!$X143))</f>
        <v/>
      </c>
      <c r="E165" s="3">
        <f>IF('ORDENES'!$A143="","",IF('ORDENES'!$V143="","-",'ORDENES'!$V143))</f>
        <v/>
      </c>
      <c r="F165" s="3">
        <f>IF('ORDENES'!$A143="","",IF('ORDENES'!$Y143="","-",'ORDENES'!$Y143))</f>
        <v/>
      </c>
      <c r="G165" s="3">
        <f>IF('ORDENES'!$A143="","",IF('ORDENES'!$W143="","-",'ORDENES'!$W143))</f>
        <v/>
      </c>
      <c r="H165" s="3">
        <f>IF('ORDENES'!$A143="","",IF('ORDENES'!$AE143="","-",'ORDENES'!$AE143))</f>
        <v/>
      </c>
      <c r="I165" s="3">
        <f>IF('ORDENES'!$A143="","",IF('ORDENES'!$AQ143="","-",'ORDENES'!$AQ143))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IF('ORDENES'!$A143="","",'ORDENES'!$AD143)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IF('ORDENES'!$A144="","",IF('ORDENES'!$AF144="","-",'ORDENES'!$AF144))</f>
        <v/>
      </c>
      <c r="D166" s="3">
        <f>IF('ORDENES'!$A144="","",IF('ORDENES'!$X144="","-",'ORDENES'!$X144))</f>
        <v/>
      </c>
      <c r="E166" s="3">
        <f>IF('ORDENES'!$A144="","",IF('ORDENES'!$V144="","-",'ORDENES'!$V144))</f>
        <v/>
      </c>
      <c r="F166" s="3">
        <f>IF('ORDENES'!$A144="","",IF('ORDENES'!$Y144="","-",'ORDENES'!$Y144))</f>
        <v/>
      </c>
      <c r="G166" s="3">
        <f>IF('ORDENES'!$A144="","",IF('ORDENES'!$W144="","-",'ORDENES'!$W144))</f>
        <v/>
      </c>
      <c r="H166" s="3">
        <f>IF('ORDENES'!$A144="","",IF('ORDENES'!$AE144="","-",'ORDENES'!$AE144))</f>
        <v/>
      </c>
      <c r="I166" s="3">
        <f>IF('ORDENES'!$A144="","",IF('ORDENES'!$AQ144="","-",'ORDENES'!$AQ144))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IF('ORDENES'!$A144="","",'ORDENES'!$AD144)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IF('ORDENES'!$A145="","",IF('ORDENES'!$AF145="","-",'ORDENES'!$AF145))</f>
        <v/>
      </c>
      <c r="D167" s="3">
        <f>IF('ORDENES'!$A145="","",IF('ORDENES'!$X145="","-",'ORDENES'!$X145))</f>
        <v/>
      </c>
      <c r="E167" s="3">
        <f>IF('ORDENES'!$A145="","",IF('ORDENES'!$V145="","-",'ORDENES'!$V145))</f>
        <v/>
      </c>
      <c r="F167" s="3">
        <f>IF('ORDENES'!$A145="","",IF('ORDENES'!$Y145="","-",'ORDENES'!$Y145))</f>
        <v/>
      </c>
      <c r="G167" s="3">
        <f>IF('ORDENES'!$A145="","",IF('ORDENES'!$W145="","-",'ORDENES'!$W145))</f>
        <v/>
      </c>
      <c r="H167" s="3">
        <f>IF('ORDENES'!$A145="","",IF('ORDENES'!$AE145="","-",'ORDENES'!$AE145))</f>
        <v/>
      </c>
      <c r="I167" s="3">
        <f>IF('ORDENES'!$A145="","",IF('ORDENES'!$AQ145="","-",'ORDENES'!$AQ145))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IF('ORDENES'!$A145="","",'ORDENES'!$AD145)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IF('ORDENES'!$A146="","",IF('ORDENES'!$AF146="","-",'ORDENES'!$AF146))</f>
        <v/>
      </c>
      <c r="D168" s="3">
        <f>IF('ORDENES'!$A146="","",IF('ORDENES'!$X146="","-",'ORDENES'!$X146))</f>
        <v/>
      </c>
      <c r="E168" s="3">
        <f>IF('ORDENES'!$A146="","",IF('ORDENES'!$V146="","-",'ORDENES'!$V146))</f>
        <v/>
      </c>
      <c r="F168" s="3">
        <f>IF('ORDENES'!$A146="","",IF('ORDENES'!$Y146="","-",'ORDENES'!$Y146))</f>
        <v/>
      </c>
      <c r="G168" s="3">
        <f>IF('ORDENES'!$A146="","",IF('ORDENES'!$W146="","-",'ORDENES'!$W146))</f>
        <v/>
      </c>
      <c r="H168" s="3">
        <f>IF('ORDENES'!$A146="","",IF('ORDENES'!$AE146="","-",'ORDENES'!$AE146))</f>
        <v/>
      </c>
      <c r="I168" s="3">
        <f>IF('ORDENES'!$A146="","",IF('ORDENES'!$AQ146="","-",'ORDENES'!$AQ146))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IF('ORDENES'!$A146="","",'ORDENES'!$AD146)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IF('ORDENES'!$A147="","",IF('ORDENES'!$AF147="","-",'ORDENES'!$AF147))</f>
        <v/>
      </c>
      <c r="D169" s="3">
        <f>IF('ORDENES'!$A147="","",IF('ORDENES'!$X147="","-",'ORDENES'!$X147))</f>
        <v/>
      </c>
      <c r="E169" s="3">
        <f>IF('ORDENES'!$A147="","",IF('ORDENES'!$V147="","-",'ORDENES'!$V147))</f>
        <v/>
      </c>
      <c r="F169" s="3">
        <f>IF('ORDENES'!$A147="","",IF('ORDENES'!$Y147="","-",'ORDENES'!$Y147))</f>
        <v/>
      </c>
      <c r="G169" s="3">
        <f>IF('ORDENES'!$A147="","",IF('ORDENES'!$W147="","-",'ORDENES'!$W147))</f>
        <v/>
      </c>
      <c r="H169" s="3">
        <f>IF('ORDENES'!$A147="","",IF('ORDENES'!$AE147="","-",'ORDENES'!$AE147))</f>
        <v/>
      </c>
      <c r="I169" s="3">
        <f>IF('ORDENES'!$A147="","",IF('ORDENES'!$AQ147="","-",'ORDENES'!$AQ147))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IF('ORDENES'!$A147="","",'ORDENES'!$AD147)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IF('ORDENES'!$A148="","",IF('ORDENES'!$AF148="","-",'ORDENES'!$AF148))</f>
        <v/>
      </c>
      <c r="D170" s="3">
        <f>IF('ORDENES'!$A148="","",IF('ORDENES'!$X148="","-",'ORDENES'!$X148))</f>
        <v/>
      </c>
      <c r="E170" s="3">
        <f>IF('ORDENES'!$A148="","",IF('ORDENES'!$V148="","-",'ORDENES'!$V148))</f>
        <v/>
      </c>
      <c r="F170" s="3">
        <f>IF('ORDENES'!$A148="","",IF('ORDENES'!$Y148="","-",'ORDENES'!$Y148))</f>
        <v/>
      </c>
      <c r="G170" s="3">
        <f>IF('ORDENES'!$A148="","",IF('ORDENES'!$W148="","-",'ORDENES'!$W148))</f>
        <v/>
      </c>
      <c r="H170" s="3">
        <f>IF('ORDENES'!$A148="","",IF('ORDENES'!$AE148="","-",'ORDENES'!$AE148))</f>
        <v/>
      </c>
      <c r="I170" s="3">
        <f>IF('ORDENES'!$A148="","",IF('ORDENES'!$AQ148="","-",'ORDENES'!$AQ148))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IF('ORDENES'!$A148="","",'ORDENES'!$AD148)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IF('ORDENES'!$A149="","",IF('ORDENES'!$AF149="","-",'ORDENES'!$AF149))</f>
        <v/>
      </c>
      <c r="D171" s="3">
        <f>IF('ORDENES'!$A149="","",IF('ORDENES'!$X149="","-",'ORDENES'!$X149))</f>
        <v/>
      </c>
      <c r="E171" s="3">
        <f>IF('ORDENES'!$A149="","",IF('ORDENES'!$V149="","-",'ORDENES'!$V149))</f>
        <v/>
      </c>
      <c r="F171" s="3">
        <f>IF('ORDENES'!$A149="","",IF('ORDENES'!$Y149="","-",'ORDENES'!$Y149))</f>
        <v/>
      </c>
      <c r="G171" s="3">
        <f>IF('ORDENES'!$A149="","",IF('ORDENES'!$W149="","-",'ORDENES'!$W149))</f>
        <v/>
      </c>
      <c r="H171" s="3">
        <f>IF('ORDENES'!$A149="","",IF('ORDENES'!$AE149="","-",'ORDENES'!$AE149))</f>
        <v/>
      </c>
      <c r="I171" s="3">
        <f>IF('ORDENES'!$A149="","",IF('ORDENES'!$AQ149="","-",'ORDENES'!$AQ149))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IF('ORDENES'!$A149="","",'ORDENES'!$AD149)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IF('ORDENES'!$A150="","",IF('ORDENES'!$AF150="","-",'ORDENES'!$AF150))</f>
        <v/>
      </c>
      <c r="D172" s="3">
        <f>IF('ORDENES'!$A150="","",IF('ORDENES'!$X150="","-",'ORDENES'!$X150))</f>
        <v/>
      </c>
      <c r="E172" s="3">
        <f>IF('ORDENES'!$A150="","",IF('ORDENES'!$V150="","-",'ORDENES'!$V150))</f>
        <v/>
      </c>
      <c r="F172" s="3">
        <f>IF('ORDENES'!$A150="","",IF('ORDENES'!$Y150="","-",'ORDENES'!$Y150))</f>
        <v/>
      </c>
      <c r="G172" s="3">
        <f>IF('ORDENES'!$A150="","",IF('ORDENES'!$W150="","-",'ORDENES'!$W150))</f>
        <v/>
      </c>
      <c r="H172" s="3">
        <f>IF('ORDENES'!$A150="","",IF('ORDENES'!$AE150="","-",'ORDENES'!$AE150))</f>
        <v/>
      </c>
      <c r="I172" s="3">
        <f>IF('ORDENES'!$A150="","",IF('ORDENES'!$AQ150="","-",'ORDENES'!$AQ150))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IF('ORDENES'!$A150="","",'ORDENES'!$AD150)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IF('ORDENES'!$A151="","",IF('ORDENES'!$AF151="","-",'ORDENES'!$AF151))</f>
        <v/>
      </c>
      <c r="D173" s="3">
        <f>IF('ORDENES'!$A151="","",IF('ORDENES'!$X151="","-",'ORDENES'!$X151))</f>
        <v/>
      </c>
      <c r="E173" s="3">
        <f>IF('ORDENES'!$A151="","",IF('ORDENES'!$V151="","-",'ORDENES'!$V151))</f>
        <v/>
      </c>
      <c r="F173" s="3">
        <f>IF('ORDENES'!$A151="","",IF('ORDENES'!$Y151="","-",'ORDENES'!$Y151))</f>
        <v/>
      </c>
      <c r="G173" s="3">
        <f>IF('ORDENES'!$A151="","",IF('ORDENES'!$W151="","-",'ORDENES'!$W151))</f>
        <v/>
      </c>
      <c r="H173" s="3">
        <f>IF('ORDENES'!$A151="","",IF('ORDENES'!$AE151="","-",'ORDENES'!$AE151))</f>
        <v/>
      </c>
      <c r="I173" s="3">
        <f>IF('ORDENES'!$A151="","",IF('ORDENES'!$AQ151="","-",'ORDENES'!$AQ151))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IF('ORDENES'!$A151="","",'ORDENES'!$AD151)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IF('ORDENES'!$A152="","",IF('ORDENES'!$AF152="","-",'ORDENES'!$AF152))</f>
        <v/>
      </c>
      <c r="D174" s="3">
        <f>IF('ORDENES'!$A152="","",IF('ORDENES'!$X152="","-",'ORDENES'!$X152))</f>
        <v/>
      </c>
      <c r="E174" s="3">
        <f>IF('ORDENES'!$A152="","",IF('ORDENES'!$V152="","-",'ORDENES'!$V152))</f>
        <v/>
      </c>
      <c r="F174" s="3">
        <f>IF('ORDENES'!$A152="","",IF('ORDENES'!$Y152="","-",'ORDENES'!$Y152))</f>
        <v/>
      </c>
      <c r="G174" s="3">
        <f>IF('ORDENES'!$A152="","",IF('ORDENES'!$W152="","-",'ORDENES'!$W152))</f>
        <v/>
      </c>
      <c r="H174" s="3">
        <f>IF('ORDENES'!$A152="","",IF('ORDENES'!$AE152="","-",'ORDENES'!$AE152))</f>
        <v/>
      </c>
      <c r="I174" s="3">
        <f>IF('ORDENES'!$A152="","",IF('ORDENES'!$AQ152="","-",'ORDENES'!$AQ152))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IF('ORDENES'!$A152="","",'ORDENES'!$AD152)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IF('ORDENES'!$A153="","",IF('ORDENES'!$AF153="","-",'ORDENES'!$AF153))</f>
        <v/>
      </c>
      <c r="D175" s="3">
        <f>IF('ORDENES'!$A153="","",IF('ORDENES'!$X153="","-",'ORDENES'!$X153))</f>
        <v/>
      </c>
      <c r="E175" s="3">
        <f>IF('ORDENES'!$A153="","",IF('ORDENES'!$V153="","-",'ORDENES'!$V153))</f>
        <v/>
      </c>
      <c r="F175" s="3">
        <f>IF('ORDENES'!$A153="","",IF('ORDENES'!$Y153="","-",'ORDENES'!$Y153))</f>
        <v/>
      </c>
      <c r="G175" s="3">
        <f>IF('ORDENES'!$A153="","",IF('ORDENES'!$W153="","-",'ORDENES'!$W153))</f>
        <v/>
      </c>
      <c r="H175" s="3">
        <f>IF('ORDENES'!$A153="","",IF('ORDENES'!$AE153="","-",'ORDENES'!$AE153))</f>
        <v/>
      </c>
      <c r="I175" s="3">
        <f>IF('ORDENES'!$A153="","",IF('ORDENES'!$AQ153="","-",'ORDENES'!$AQ153))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IF('ORDENES'!$A153="","",'ORDENES'!$AD153)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IF('ORDENES'!$A154="","",IF('ORDENES'!$AF154="","-",'ORDENES'!$AF154))</f>
        <v/>
      </c>
      <c r="D176" s="3">
        <f>IF('ORDENES'!$A154="","",IF('ORDENES'!$X154="","-",'ORDENES'!$X154))</f>
        <v/>
      </c>
      <c r="E176" s="3">
        <f>IF('ORDENES'!$A154="","",IF('ORDENES'!$V154="","-",'ORDENES'!$V154))</f>
        <v/>
      </c>
      <c r="F176" s="3">
        <f>IF('ORDENES'!$A154="","",IF('ORDENES'!$Y154="","-",'ORDENES'!$Y154))</f>
        <v/>
      </c>
      <c r="G176" s="3">
        <f>IF('ORDENES'!$A154="","",IF('ORDENES'!$W154="","-",'ORDENES'!$W154))</f>
        <v/>
      </c>
      <c r="H176" s="3">
        <f>IF('ORDENES'!$A154="","",IF('ORDENES'!$AE154="","-",'ORDENES'!$AE154))</f>
        <v/>
      </c>
      <c r="I176" s="3">
        <f>IF('ORDENES'!$A154="","",IF('ORDENES'!$AQ154="","-",'ORDENES'!$AQ154))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IF('ORDENES'!$A154="","",'ORDENES'!$AD154)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IF('ORDENES'!$A155="","",IF('ORDENES'!$AF155="","-",'ORDENES'!$AF155))</f>
        <v/>
      </c>
      <c r="D177" s="3">
        <f>IF('ORDENES'!$A155="","",IF('ORDENES'!$X155="","-",'ORDENES'!$X155))</f>
        <v/>
      </c>
      <c r="E177" s="3">
        <f>IF('ORDENES'!$A155="","",IF('ORDENES'!$V155="","-",'ORDENES'!$V155))</f>
        <v/>
      </c>
      <c r="F177" s="3">
        <f>IF('ORDENES'!$A155="","",IF('ORDENES'!$Y155="","-",'ORDENES'!$Y155))</f>
        <v/>
      </c>
      <c r="G177" s="3">
        <f>IF('ORDENES'!$A155="","",IF('ORDENES'!$W155="","-",'ORDENES'!$W155))</f>
        <v/>
      </c>
      <c r="H177" s="3">
        <f>IF('ORDENES'!$A155="","",IF('ORDENES'!$AE155="","-",'ORDENES'!$AE155))</f>
        <v/>
      </c>
      <c r="I177" s="3">
        <f>IF('ORDENES'!$A155="","",IF('ORDENES'!$AQ155="","-",'ORDENES'!$AQ155))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IF('ORDENES'!$A155="","",'ORDENES'!$AD155)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IF('ORDENES'!$A156="","",IF('ORDENES'!$AF156="","-",'ORDENES'!$AF156))</f>
        <v/>
      </c>
      <c r="D178" s="3">
        <f>IF('ORDENES'!$A156="","",IF('ORDENES'!$X156="","-",'ORDENES'!$X156))</f>
        <v/>
      </c>
      <c r="E178" s="3">
        <f>IF('ORDENES'!$A156="","",IF('ORDENES'!$V156="","-",'ORDENES'!$V156))</f>
        <v/>
      </c>
      <c r="F178" s="3">
        <f>IF('ORDENES'!$A156="","",IF('ORDENES'!$Y156="","-",'ORDENES'!$Y156))</f>
        <v/>
      </c>
      <c r="G178" s="3">
        <f>IF('ORDENES'!$A156="","",IF('ORDENES'!$W156="","-",'ORDENES'!$W156))</f>
        <v/>
      </c>
      <c r="H178" s="3">
        <f>IF('ORDENES'!$A156="","",IF('ORDENES'!$AE156="","-",'ORDENES'!$AE156))</f>
        <v/>
      </c>
      <c r="I178" s="3">
        <f>IF('ORDENES'!$A156="","",IF('ORDENES'!$AQ156="","-",'ORDENES'!$AQ156))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IF('ORDENES'!$A156="","",'ORDENES'!$AD156)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IF('ORDENES'!$A157="","",IF('ORDENES'!$AF157="","-",'ORDENES'!$AF157))</f>
        <v/>
      </c>
      <c r="D179" s="3">
        <f>IF('ORDENES'!$A157="","",IF('ORDENES'!$X157="","-",'ORDENES'!$X157))</f>
        <v/>
      </c>
      <c r="E179" s="3">
        <f>IF('ORDENES'!$A157="","",IF('ORDENES'!$V157="","-",'ORDENES'!$V157))</f>
        <v/>
      </c>
      <c r="F179" s="3">
        <f>IF('ORDENES'!$A157="","",IF('ORDENES'!$Y157="","-",'ORDENES'!$Y157))</f>
        <v/>
      </c>
      <c r="G179" s="3">
        <f>IF('ORDENES'!$A157="","",IF('ORDENES'!$W157="","-",'ORDENES'!$W157))</f>
        <v/>
      </c>
      <c r="H179" s="3">
        <f>IF('ORDENES'!$A157="","",IF('ORDENES'!$AE157="","-",'ORDENES'!$AE157))</f>
        <v/>
      </c>
      <c r="I179" s="3">
        <f>IF('ORDENES'!$A157="","",IF('ORDENES'!$AQ157="","-",'ORDENES'!$AQ157))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IF('ORDENES'!$A157="","",'ORDENES'!$AD157)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IF('ORDENES'!$A158="","",IF('ORDENES'!$AF158="","-",'ORDENES'!$AF158))</f>
        <v/>
      </c>
      <c r="D180" s="3">
        <f>IF('ORDENES'!$A158="","",IF('ORDENES'!$X158="","-",'ORDENES'!$X158))</f>
        <v/>
      </c>
      <c r="E180" s="3">
        <f>IF('ORDENES'!$A158="","",IF('ORDENES'!$V158="","-",'ORDENES'!$V158))</f>
        <v/>
      </c>
      <c r="F180" s="3">
        <f>IF('ORDENES'!$A158="","",IF('ORDENES'!$Y158="","-",'ORDENES'!$Y158))</f>
        <v/>
      </c>
      <c r="G180" s="3">
        <f>IF('ORDENES'!$A158="","",IF('ORDENES'!$W158="","-",'ORDENES'!$W158))</f>
        <v/>
      </c>
      <c r="H180" s="3">
        <f>IF('ORDENES'!$A158="","",IF('ORDENES'!$AE158="","-",'ORDENES'!$AE158))</f>
        <v/>
      </c>
      <c r="I180" s="3">
        <f>IF('ORDENES'!$A158="","",IF('ORDENES'!$AQ158="","-",'ORDENES'!$AQ158))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IF('ORDENES'!$A158="","",'ORDENES'!$AD158)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IF('ORDENES'!$A159="","",IF('ORDENES'!$AF159="","-",'ORDENES'!$AF159))</f>
        <v/>
      </c>
      <c r="D181" s="3">
        <f>IF('ORDENES'!$A159="","",IF('ORDENES'!$X159="","-",'ORDENES'!$X159))</f>
        <v/>
      </c>
      <c r="E181" s="3">
        <f>IF('ORDENES'!$A159="","",IF('ORDENES'!$V159="","-",'ORDENES'!$V159))</f>
        <v/>
      </c>
      <c r="F181" s="3">
        <f>IF('ORDENES'!$A159="","",IF('ORDENES'!$Y159="","-",'ORDENES'!$Y159))</f>
        <v/>
      </c>
      <c r="G181" s="3">
        <f>IF('ORDENES'!$A159="","",IF('ORDENES'!$W159="","-",'ORDENES'!$W159))</f>
        <v/>
      </c>
      <c r="H181" s="3">
        <f>IF('ORDENES'!$A159="","",IF('ORDENES'!$AE159="","-",'ORDENES'!$AE159))</f>
        <v/>
      </c>
      <c r="I181" s="3">
        <f>IF('ORDENES'!$A159="","",IF('ORDENES'!$AQ159="","-",'ORDENES'!$AQ159))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IF('ORDENES'!$A159="","",'ORDENES'!$AD159)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IF('ORDENES'!$A160="","",IF('ORDENES'!$AF160="","-",'ORDENES'!$AF160))</f>
        <v/>
      </c>
      <c r="D182" s="3">
        <f>IF('ORDENES'!$A160="","",IF('ORDENES'!$X160="","-",'ORDENES'!$X160))</f>
        <v/>
      </c>
      <c r="E182" s="3">
        <f>IF('ORDENES'!$A160="","",IF('ORDENES'!$V160="","-",'ORDENES'!$V160))</f>
        <v/>
      </c>
      <c r="F182" s="3">
        <f>IF('ORDENES'!$A160="","",IF('ORDENES'!$Y160="","-",'ORDENES'!$Y160))</f>
        <v/>
      </c>
      <c r="G182" s="3">
        <f>IF('ORDENES'!$A160="","",IF('ORDENES'!$W160="","-",'ORDENES'!$W160))</f>
        <v/>
      </c>
      <c r="H182" s="3">
        <f>IF('ORDENES'!$A160="","",IF('ORDENES'!$AE160="","-",'ORDENES'!$AE160))</f>
        <v/>
      </c>
      <c r="I182" s="3">
        <f>IF('ORDENES'!$A160="","",IF('ORDENES'!$AQ160="","-",'ORDENES'!$AQ160))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IF('ORDENES'!$A160="","",'ORDENES'!$AD160)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IF('ORDENES'!$A161="","",IF('ORDENES'!$AF161="","-",'ORDENES'!$AF161))</f>
        <v/>
      </c>
      <c r="D183" s="3">
        <f>IF('ORDENES'!$A161="","",IF('ORDENES'!$X161="","-",'ORDENES'!$X161))</f>
        <v/>
      </c>
      <c r="E183" s="3">
        <f>IF('ORDENES'!$A161="","",IF('ORDENES'!$V161="","-",'ORDENES'!$V161))</f>
        <v/>
      </c>
      <c r="F183" s="3">
        <f>IF('ORDENES'!$A161="","",IF('ORDENES'!$Y161="","-",'ORDENES'!$Y161))</f>
        <v/>
      </c>
      <c r="G183" s="3">
        <f>IF('ORDENES'!$A161="","",IF('ORDENES'!$W161="","-",'ORDENES'!$W161))</f>
        <v/>
      </c>
      <c r="H183" s="3">
        <f>IF('ORDENES'!$A161="","",IF('ORDENES'!$AE161="","-",'ORDENES'!$AE161))</f>
        <v/>
      </c>
      <c r="I183" s="3">
        <f>IF('ORDENES'!$A161="","",IF('ORDENES'!$AQ161="","-",'ORDENES'!$AQ161))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IF('ORDENES'!$A161="","",'ORDENES'!$AD161)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IF('ORDENES'!$A162="","",IF('ORDENES'!$AF162="","-",'ORDENES'!$AF162))</f>
        <v/>
      </c>
      <c r="D184" s="3">
        <f>IF('ORDENES'!$A162="","",IF('ORDENES'!$X162="","-",'ORDENES'!$X162))</f>
        <v/>
      </c>
      <c r="E184" s="3">
        <f>IF('ORDENES'!$A162="","",IF('ORDENES'!$V162="","-",'ORDENES'!$V162))</f>
        <v/>
      </c>
      <c r="F184" s="3">
        <f>IF('ORDENES'!$A162="","",IF('ORDENES'!$Y162="","-",'ORDENES'!$Y162))</f>
        <v/>
      </c>
      <c r="G184" s="3">
        <f>IF('ORDENES'!$A162="","",IF('ORDENES'!$W162="","-",'ORDENES'!$W162))</f>
        <v/>
      </c>
      <c r="H184" s="3">
        <f>IF('ORDENES'!$A162="","",IF('ORDENES'!$AE162="","-",'ORDENES'!$AE162))</f>
        <v/>
      </c>
      <c r="I184" s="3">
        <f>IF('ORDENES'!$A162="","",IF('ORDENES'!$AQ162="","-",'ORDENES'!$AQ162))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IF('ORDENES'!$A162="","",'ORDENES'!$AD162)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IF('ORDENES'!$A163="","",IF('ORDENES'!$AF163="","-",'ORDENES'!$AF163))</f>
        <v/>
      </c>
      <c r="D185" s="3">
        <f>IF('ORDENES'!$A163="","",IF('ORDENES'!$X163="","-",'ORDENES'!$X163))</f>
        <v/>
      </c>
      <c r="E185" s="3">
        <f>IF('ORDENES'!$A163="","",IF('ORDENES'!$V163="","-",'ORDENES'!$V163))</f>
        <v/>
      </c>
      <c r="F185" s="3">
        <f>IF('ORDENES'!$A163="","",IF('ORDENES'!$Y163="","-",'ORDENES'!$Y163))</f>
        <v/>
      </c>
      <c r="G185" s="3">
        <f>IF('ORDENES'!$A163="","",IF('ORDENES'!$W163="","-",'ORDENES'!$W163))</f>
        <v/>
      </c>
      <c r="H185" s="3">
        <f>IF('ORDENES'!$A163="","",IF('ORDENES'!$AE163="","-",'ORDENES'!$AE163))</f>
        <v/>
      </c>
      <c r="I185" s="3">
        <f>IF('ORDENES'!$A163="","",IF('ORDENES'!$AQ163="","-",'ORDENES'!$AQ163))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IF('ORDENES'!$A163="","",'ORDENES'!$AD163)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IF('ORDENES'!$A164="","",IF('ORDENES'!$AF164="","-",'ORDENES'!$AF164))</f>
        <v/>
      </c>
      <c r="D186" s="3">
        <f>IF('ORDENES'!$A164="","",IF('ORDENES'!$X164="","-",'ORDENES'!$X164))</f>
        <v/>
      </c>
      <c r="E186" s="3">
        <f>IF('ORDENES'!$A164="","",IF('ORDENES'!$V164="","-",'ORDENES'!$V164))</f>
        <v/>
      </c>
      <c r="F186" s="3">
        <f>IF('ORDENES'!$A164="","",IF('ORDENES'!$Y164="","-",'ORDENES'!$Y164))</f>
        <v/>
      </c>
      <c r="G186" s="3">
        <f>IF('ORDENES'!$A164="","",IF('ORDENES'!$W164="","-",'ORDENES'!$W164))</f>
        <v/>
      </c>
      <c r="H186" s="3">
        <f>IF('ORDENES'!$A164="","",IF('ORDENES'!$AE164="","-",'ORDENES'!$AE164))</f>
        <v/>
      </c>
      <c r="I186" s="3">
        <f>IF('ORDENES'!$A164="","",IF('ORDENES'!$AQ164="","-",'ORDENES'!$AQ164))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IF('ORDENES'!$A164="","",'ORDENES'!$AD164)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IF('ORDENES'!$A165="","",IF('ORDENES'!$AF165="","-",'ORDENES'!$AF165))</f>
        <v/>
      </c>
      <c r="D187" s="3">
        <f>IF('ORDENES'!$A165="","",IF('ORDENES'!$X165="","-",'ORDENES'!$X165))</f>
        <v/>
      </c>
      <c r="E187" s="3">
        <f>IF('ORDENES'!$A165="","",IF('ORDENES'!$V165="","-",'ORDENES'!$V165))</f>
        <v/>
      </c>
      <c r="F187" s="3">
        <f>IF('ORDENES'!$A165="","",IF('ORDENES'!$Y165="","-",'ORDENES'!$Y165))</f>
        <v/>
      </c>
      <c r="G187" s="3">
        <f>IF('ORDENES'!$A165="","",IF('ORDENES'!$W165="","-",'ORDENES'!$W165))</f>
        <v/>
      </c>
      <c r="H187" s="3">
        <f>IF('ORDENES'!$A165="","",IF('ORDENES'!$AE165="","-",'ORDENES'!$AE165))</f>
        <v/>
      </c>
      <c r="I187" s="3">
        <f>IF('ORDENES'!$A165="","",IF('ORDENES'!$AQ165="","-",'ORDENES'!$AQ165))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IF('ORDENES'!$A165="","",'ORDENES'!$AD165)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IF('ORDENES'!$A166="","",IF('ORDENES'!$AF166="","-",'ORDENES'!$AF166))</f>
        <v/>
      </c>
      <c r="D188" s="3">
        <f>IF('ORDENES'!$A166="","",IF('ORDENES'!$X166="","-",'ORDENES'!$X166))</f>
        <v/>
      </c>
      <c r="E188" s="3">
        <f>IF('ORDENES'!$A166="","",IF('ORDENES'!$V166="","-",'ORDENES'!$V166))</f>
        <v/>
      </c>
      <c r="F188" s="3">
        <f>IF('ORDENES'!$A166="","",IF('ORDENES'!$Y166="","-",'ORDENES'!$Y166))</f>
        <v/>
      </c>
      <c r="G188" s="3">
        <f>IF('ORDENES'!$A166="","",IF('ORDENES'!$W166="","-",'ORDENES'!$W166))</f>
        <v/>
      </c>
      <c r="H188" s="3">
        <f>IF('ORDENES'!$A166="","",IF('ORDENES'!$AE166="","-",'ORDENES'!$AE166))</f>
        <v/>
      </c>
      <c r="I188" s="3">
        <f>IF('ORDENES'!$A166="","",IF('ORDENES'!$AQ166="","-",'ORDENES'!$AQ166))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IF('ORDENES'!$A166="","",'ORDENES'!$AD166)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IF('ORDENES'!$A167="","",IF('ORDENES'!$AF167="","-",'ORDENES'!$AF167))</f>
        <v/>
      </c>
      <c r="D189" s="3">
        <f>IF('ORDENES'!$A167="","",IF('ORDENES'!$X167="","-",'ORDENES'!$X167))</f>
        <v/>
      </c>
      <c r="E189" s="3">
        <f>IF('ORDENES'!$A167="","",IF('ORDENES'!$V167="","-",'ORDENES'!$V167))</f>
        <v/>
      </c>
      <c r="F189" s="3">
        <f>IF('ORDENES'!$A167="","",IF('ORDENES'!$Y167="","-",'ORDENES'!$Y167))</f>
        <v/>
      </c>
      <c r="G189" s="3">
        <f>IF('ORDENES'!$A167="","",IF('ORDENES'!$W167="","-",'ORDENES'!$W167))</f>
        <v/>
      </c>
      <c r="H189" s="3">
        <f>IF('ORDENES'!$A167="","",IF('ORDENES'!$AE167="","-",'ORDENES'!$AE167))</f>
        <v/>
      </c>
      <c r="I189" s="3">
        <f>IF('ORDENES'!$A167="","",IF('ORDENES'!$AQ167="","-",'ORDENES'!$AQ167))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IF('ORDENES'!$A167="","",'ORDENES'!$AD167)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IF('ORDENES'!$A168="","",IF('ORDENES'!$AF168="","-",'ORDENES'!$AF168))</f>
        <v/>
      </c>
      <c r="D190" s="3">
        <f>IF('ORDENES'!$A168="","",IF('ORDENES'!$X168="","-",'ORDENES'!$X168))</f>
        <v/>
      </c>
      <c r="E190" s="3">
        <f>IF('ORDENES'!$A168="","",IF('ORDENES'!$V168="","-",'ORDENES'!$V168))</f>
        <v/>
      </c>
      <c r="F190" s="3">
        <f>IF('ORDENES'!$A168="","",IF('ORDENES'!$Y168="","-",'ORDENES'!$Y168))</f>
        <v/>
      </c>
      <c r="G190" s="3">
        <f>IF('ORDENES'!$A168="","",IF('ORDENES'!$W168="","-",'ORDENES'!$W168))</f>
        <v/>
      </c>
      <c r="H190" s="3">
        <f>IF('ORDENES'!$A168="","",IF('ORDENES'!$AE168="","-",'ORDENES'!$AE168))</f>
        <v/>
      </c>
      <c r="I190" s="3">
        <f>IF('ORDENES'!$A168="","",IF('ORDENES'!$AQ168="","-",'ORDENES'!$AQ168))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IF('ORDENES'!$A168="","",'ORDENES'!$AD168)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IF('ORDENES'!$A169="","",IF('ORDENES'!$AF169="","-",'ORDENES'!$AF169))</f>
        <v/>
      </c>
      <c r="D191" s="3">
        <f>IF('ORDENES'!$A169="","",IF('ORDENES'!$X169="","-",'ORDENES'!$X169))</f>
        <v/>
      </c>
      <c r="E191" s="3">
        <f>IF('ORDENES'!$A169="","",IF('ORDENES'!$V169="","-",'ORDENES'!$V169))</f>
        <v/>
      </c>
      <c r="F191" s="3">
        <f>IF('ORDENES'!$A169="","",IF('ORDENES'!$Y169="","-",'ORDENES'!$Y169))</f>
        <v/>
      </c>
      <c r="G191" s="3">
        <f>IF('ORDENES'!$A169="","",IF('ORDENES'!$W169="","-",'ORDENES'!$W169))</f>
        <v/>
      </c>
      <c r="H191" s="3">
        <f>IF('ORDENES'!$A169="","",IF('ORDENES'!$AE169="","-",'ORDENES'!$AE169))</f>
        <v/>
      </c>
      <c r="I191" s="3">
        <f>IF('ORDENES'!$A169="","",IF('ORDENES'!$AQ169="","-",'ORDENES'!$AQ169))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IF('ORDENES'!$A169="","",'ORDENES'!$AD169)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IF('ORDENES'!$A170="","",IF('ORDENES'!$AF170="","-",'ORDENES'!$AF170))</f>
        <v/>
      </c>
      <c r="D192" s="3">
        <f>IF('ORDENES'!$A170="","",IF('ORDENES'!$X170="","-",'ORDENES'!$X170))</f>
        <v/>
      </c>
      <c r="E192" s="3">
        <f>IF('ORDENES'!$A170="","",IF('ORDENES'!$V170="","-",'ORDENES'!$V170))</f>
        <v/>
      </c>
      <c r="F192" s="3">
        <f>IF('ORDENES'!$A170="","",IF('ORDENES'!$Y170="","-",'ORDENES'!$Y170))</f>
        <v/>
      </c>
      <c r="G192" s="3">
        <f>IF('ORDENES'!$A170="","",IF('ORDENES'!$W170="","-",'ORDENES'!$W170))</f>
        <v/>
      </c>
      <c r="H192" s="3">
        <f>IF('ORDENES'!$A170="","",IF('ORDENES'!$AE170="","-",'ORDENES'!$AE170))</f>
        <v/>
      </c>
      <c r="I192" s="3">
        <f>IF('ORDENES'!$A170="","",IF('ORDENES'!$AQ170="","-",'ORDENES'!$AQ170))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IF('ORDENES'!$A170="","",'ORDENES'!$AD170)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IF('ORDENES'!$A171="","",IF('ORDENES'!$AF171="","-",'ORDENES'!$AF171))</f>
        <v/>
      </c>
      <c r="D193" s="3">
        <f>IF('ORDENES'!$A171="","",IF('ORDENES'!$X171="","-",'ORDENES'!$X171))</f>
        <v/>
      </c>
      <c r="E193" s="3">
        <f>IF('ORDENES'!$A171="","",IF('ORDENES'!$V171="","-",'ORDENES'!$V171))</f>
        <v/>
      </c>
      <c r="F193" s="3">
        <f>IF('ORDENES'!$A171="","",IF('ORDENES'!$Y171="","-",'ORDENES'!$Y171))</f>
        <v/>
      </c>
      <c r="G193" s="3">
        <f>IF('ORDENES'!$A171="","",IF('ORDENES'!$W171="","-",'ORDENES'!$W171))</f>
        <v/>
      </c>
      <c r="H193" s="3">
        <f>IF('ORDENES'!$A171="","",IF('ORDENES'!$AE171="","-",'ORDENES'!$AE171))</f>
        <v/>
      </c>
      <c r="I193" s="3">
        <f>IF('ORDENES'!$A171="","",IF('ORDENES'!$AQ171="","-",'ORDENES'!$AQ171))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IF('ORDENES'!$A171="","",'ORDENES'!$AD171)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IF('ORDENES'!$A172="","",IF('ORDENES'!$AF172="","-",'ORDENES'!$AF172))</f>
        <v/>
      </c>
      <c r="D194" s="3">
        <f>IF('ORDENES'!$A172="","",IF('ORDENES'!$X172="","-",'ORDENES'!$X172))</f>
        <v/>
      </c>
      <c r="E194" s="3">
        <f>IF('ORDENES'!$A172="","",IF('ORDENES'!$V172="","-",'ORDENES'!$V172))</f>
        <v/>
      </c>
      <c r="F194" s="3">
        <f>IF('ORDENES'!$A172="","",IF('ORDENES'!$Y172="","-",'ORDENES'!$Y172))</f>
        <v/>
      </c>
      <c r="G194" s="3">
        <f>IF('ORDENES'!$A172="","",IF('ORDENES'!$W172="","-",'ORDENES'!$W172))</f>
        <v/>
      </c>
      <c r="H194" s="3">
        <f>IF('ORDENES'!$A172="","",IF('ORDENES'!$AE172="","-",'ORDENES'!$AE172))</f>
        <v/>
      </c>
      <c r="I194" s="3">
        <f>IF('ORDENES'!$A172="","",IF('ORDENES'!$AQ172="","-",'ORDENES'!$AQ172))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IF('ORDENES'!$A172="","",'ORDENES'!$AD172)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IF('ORDENES'!$A173="","",IF('ORDENES'!$AF173="","-",'ORDENES'!$AF173))</f>
        <v/>
      </c>
      <c r="D195" s="3">
        <f>IF('ORDENES'!$A173="","",IF('ORDENES'!$X173="","-",'ORDENES'!$X173))</f>
        <v/>
      </c>
      <c r="E195" s="3">
        <f>IF('ORDENES'!$A173="","",IF('ORDENES'!$V173="","-",'ORDENES'!$V173))</f>
        <v/>
      </c>
      <c r="F195" s="3">
        <f>IF('ORDENES'!$A173="","",IF('ORDENES'!$Y173="","-",'ORDENES'!$Y173))</f>
        <v/>
      </c>
      <c r="G195" s="3">
        <f>IF('ORDENES'!$A173="","",IF('ORDENES'!$W173="","-",'ORDENES'!$W173))</f>
        <v/>
      </c>
      <c r="H195" s="3">
        <f>IF('ORDENES'!$A173="","",IF('ORDENES'!$AE173="","-",'ORDENES'!$AE173))</f>
        <v/>
      </c>
      <c r="I195" s="3">
        <f>IF('ORDENES'!$A173="","",IF('ORDENES'!$AQ173="","-",'ORDENES'!$AQ173))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IF('ORDENES'!$A173="","",'ORDENES'!$AD173)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IF('ORDENES'!$A174="","",IF('ORDENES'!$AF174="","-",'ORDENES'!$AF174))</f>
        <v/>
      </c>
      <c r="D196" s="3">
        <f>IF('ORDENES'!$A174="","",IF('ORDENES'!$X174="","-",'ORDENES'!$X174))</f>
        <v/>
      </c>
      <c r="E196" s="3">
        <f>IF('ORDENES'!$A174="","",IF('ORDENES'!$V174="","-",'ORDENES'!$V174))</f>
        <v/>
      </c>
      <c r="F196" s="3">
        <f>IF('ORDENES'!$A174="","",IF('ORDENES'!$Y174="","-",'ORDENES'!$Y174))</f>
        <v/>
      </c>
      <c r="G196" s="3">
        <f>IF('ORDENES'!$A174="","",IF('ORDENES'!$W174="","-",'ORDENES'!$W174))</f>
        <v/>
      </c>
      <c r="H196" s="3">
        <f>IF('ORDENES'!$A174="","",IF('ORDENES'!$AE174="","-",'ORDENES'!$AE174))</f>
        <v/>
      </c>
      <c r="I196" s="3">
        <f>IF('ORDENES'!$A174="","",IF('ORDENES'!$AQ174="","-",'ORDENES'!$AQ174))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IF('ORDENES'!$A174="","",'ORDENES'!$AD174)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IF('ORDENES'!$A175="","",IF('ORDENES'!$AF175="","-",'ORDENES'!$AF175))</f>
        <v/>
      </c>
      <c r="D197" s="3">
        <f>IF('ORDENES'!$A175="","",IF('ORDENES'!$X175="","-",'ORDENES'!$X175))</f>
        <v/>
      </c>
      <c r="E197" s="3">
        <f>IF('ORDENES'!$A175="","",IF('ORDENES'!$V175="","-",'ORDENES'!$V175))</f>
        <v/>
      </c>
      <c r="F197" s="3">
        <f>IF('ORDENES'!$A175="","",IF('ORDENES'!$Y175="","-",'ORDENES'!$Y175))</f>
        <v/>
      </c>
      <c r="G197" s="3">
        <f>IF('ORDENES'!$A175="","",IF('ORDENES'!$W175="","-",'ORDENES'!$W175))</f>
        <v/>
      </c>
      <c r="H197" s="3">
        <f>IF('ORDENES'!$A175="","",IF('ORDENES'!$AE175="","-",'ORDENES'!$AE175))</f>
        <v/>
      </c>
      <c r="I197" s="3">
        <f>IF('ORDENES'!$A175="","",IF('ORDENES'!$AQ175="","-",'ORDENES'!$AQ175))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IF('ORDENES'!$A175="","",'ORDENES'!$AD175)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IF('ORDENES'!$A176="","",IF('ORDENES'!$AF176="","-",'ORDENES'!$AF176))</f>
        <v/>
      </c>
      <c r="D198" s="3">
        <f>IF('ORDENES'!$A176="","",IF('ORDENES'!$X176="","-",'ORDENES'!$X176))</f>
        <v/>
      </c>
      <c r="E198" s="3">
        <f>IF('ORDENES'!$A176="","",IF('ORDENES'!$V176="","-",'ORDENES'!$V176))</f>
        <v/>
      </c>
      <c r="F198" s="3">
        <f>IF('ORDENES'!$A176="","",IF('ORDENES'!$Y176="","-",'ORDENES'!$Y176))</f>
        <v/>
      </c>
      <c r="G198" s="3">
        <f>IF('ORDENES'!$A176="","",IF('ORDENES'!$W176="","-",'ORDENES'!$W176))</f>
        <v/>
      </c>
      <c r="H198" s="3">
        <f>IF('ORDENES'!$A176="","",IF('ORDENES'!$AE176="","-",'ORDENES'!$AE176))</f>
        <v/>
      </c>
      <c r="I198" s="3">
        <f>IF('ORDENES'!$A176="","",IF('ORDENES'!$AQ176="","-",'ORDENES'!$AQ176))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IF('ORDENES'!$A176="","",'ORDENES'!$AD176)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IF('ORDENES'!$A177="","",IF('ORDENES'!$AF177="","-",'ORDENES'!$AF177))</f>
        <v/>
      </c>
      <c r="D199" s="3">
        <f>IF('ORDENES'!$A177="","",IF('ORDENES'!$X177="","-",'ORDENES'!$X177))</f>
        <v/>
      </c>
      <c r="E199" s="3">
        <f>IF('ORDENES'!$A177="","",IF('ORDENES'!$V177="","-",'ORDENES'!$V177))</f>
        <v/>
      </c>
      <c r="F199" s="3">
        <f>IF('ORDENES'!$A177="","",IF('ORDENES'!$Y177="","-",'ORDENES'!$Y177))</f>
        <v/>
      </c>
      <c r="G199" s="3">
        <f>IF('ORDENES'!$A177="","",IF('ORDENES'!$W177="","-",'ORDENES'!$W177))</f>
        <v/>
      </c>
      <c r="H199" s="3">
        <f>IF('ORDENES'!$A177="","",IF('ORDENES'!$AE177="","-",'ORDENES'!$AE177))</f>
        <v/>
      </c>
      <c r="I199" s="3">
        <f>IF('ORDENES'!$A177="","",IF('ORDENES'!$AQ177="","-",'ORDENES'!$AQ177))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IF('ORDENES'!$A177="","",'ORDENES'!$AD177)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IF('ORDENES'!$A178="","",IF('ORDENES'!$AF178="","-",'ORDENES'!$AF178))</f>
        <v/>
      </c>
      <c r="D200" s="3">
        <f>IF('ORDENES'!$A178="","",IF('ORDENES'!$X178="","-",'ORDENES'!$X178))</f>
        <v/>
      </c>
      <c r="E200" s="3">
        <f>IF('ORDENES'!$A178="","",IF('ORDENES'!$V178="","-",'ORDENES'!$V178))</f>
        <v/>
      </c>
      <c r="F200" s="3">
        <f>IF('ORDENES'!$A178="","",IF('ORDENES'!$Y178="","-",'ORDENES'!$Y178))</f>
        <v/>
      </c>
      <c r="G200" s="3">
        <f>IF('ORDENES'!$A178="","",IF('ORDENES'!$W178="","-",'ORDENES'!$W178))</f>
        <v/>
      </c>
      <c r="H200" s="3">
        <f>IF('ORDENES'!$A178="","",IF('ORDENES'!$AE178="","-",'ORDENES'!$AE178))</f>
        <v/>
      </c>
      <c r="I200" s="3">
        <f>IF('ORDENES'!$A178="","",IF('ORDENES'!$AQ178="","-",'ORDENES'!$AQ178))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IF('ORDENES'!$A178="","",'ORDENES'!$AD178)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IF('ORDENES'!$A179="","",IF('ORDENES'!$AF179="","-",'ORDENES'!$AF179))</f>
        <v/>
      </c>
      <c r="D201" s="3">
        <f>IF('ORDENES'!$A179="","",IF('ORDENES'!$X179="","-",'ORDENES'!$X179))</f>
        <v/>
      </c>
      <c r="E201" s="3">
        <f>IF('ORDENES'!$A179="","",IF('ORDENES'!$V179="","-",'ORDENES'!$V179))</f>
        <v/>
      </c>
      <c r="F201" s="3">
        <f>IF('ORDENES'!$A179="","",IF('ORDENES'!$Y179="","-",'ORDENES'!$Y179))</f>
        <v/>
      </c>
      <c r="G201" s="3">
        <f>IF('ORDENES'!$A179="","",IF('ORDENES'!$W179="","-",'ORDENES'!$W179))</f>
        <v/>
      </c>
      <c r="H201" s="3">
        <f>IF('ORDENES'!$A179="","",IF('ORDENES'!$AE179="","-",'ORDENES'!$AE179))</f>
        <v/>
      </c>
      <c r="I201" s="3">
        <f>IF('ORDENES'!$A179="","",IF('ORDENES'!$AQ179="","-",'ORDENES'!$AQ179))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IF('ORDENES'!$A179="","",'ORDENES'!$AD179)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IF('ORDENES'!$A180="","",IF('ORDENES'!$AF180="","-",'ORDENES'!$AF180))</f>
        <v/>
      </c>
      <c r="D202" s="3">
        <f>IF('ORDENES'!$A180="","",IF('ORDENES'!$X180="","-",'ORDENES'!$X180))</f>
        <v/>
      </c>
      <c r="E202" s="3">
        <f>IF('ORDENES'!$A180="","",IF('ORDENES'!$V180="","-",'ORDENES'!$V180))</f>
        <v/>
      </c>
      <c r="F202" s="3">
        <f>IF('ORDENES'!$A180="","",IF('ORDENES'!$Y180="","-",'ORDENES'!$Y180))</f>
        <v/>
      </c>
      <c r="G202" s="3">
        <f>IF('ORDENES'!$A180="","",IF('ORDENES'!$W180="","-",'ORDENES'!$W180))</f>
        <v/>
      </c>
      <c r="H202" s="3">
        <f>IF('ORDENES'!$A180="","",IF('ORDENES'!$AE180="","-",'ORDENES'!$AE180))</f>
        <v/>
      </c>
      <c r="I202" s="3">
        <f>IF('ORDENES'!$A180="","",IF('ORDENES'!$AQ180="","-",'ORDENES'!$AQ180))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IF('ORDENES'!$A180="","",'ORDENES'!$AD180)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IF('ORDENES'!$A181="","",IF('ORDENES'!$AF181="","-",'ORDENES'!$AF181))</f>
        <v/>
      </c>
      <c r="D203" s="3">
        <f>IF('ORDENES'!$A181="","",IF('ORDENES'!$X181="","-",'ORDENES'!$X181))</f>
        <v/>
      </c>
      <c r="E203" s="3">
        <f>IF('ORDENES'!$A181="","",IF('ORDENES'!$V181="","-",'ORDENES'!$V181))</f>
        <v/>
      </c>
      <c r="F203" s="3">
        <f>IF('ORDENES'!$A181="","",IF('ORDENES'!$Y181="","-",'ORDENES'!$Y181))</f>
        <v/>
      </c>
      <c r="G203" s="3">
        <f>IF('ORDENES'!$A181="","",IF('ORDENES'!$W181="","-",'ORDENES'!$W181))</f>
        <v/>
      </c>
      <c r="H203" s="3">
        <f>IF('ORDENES'!$A181="","",IF('ORDENES'!$AE181="","-",'ORDENES'!$AE181))</f>
        <v/>
      </c>
      <c r="I203" s="3">
        <f>IF('ORDENES'!$A181="","",IF('ORDENES'!$AQ181="","-",'ORDENES'!$AQ181))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IF('ORDENES'!$A181="","",'ORDENES'!$AD181)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IF('ORDENES'!$A182="","",IF('ORDENES'!$AF182="","-",'ORDENES'!$AF182))</f>
        <v/>
      </c>
      <c r="D204" s="3">
        <f>IF('ORDENES'!$A182="","",IF('ORDENES'!$X182="","-",'ORDENES'!$X182))</f>
        <v/>
      </c>
      <c r="E204" s="3">
        <f>IF('ORDENES'!$A182="","",IF('ORDENES'!$V182="","-",'ORDENES'!$V182))</f>
        <v/>
      </c>
      <c r="F204" s="3">
        <f>IF('ORDENES'!$A182="","",IF('ORDENES'!$Y182="","-",'ORDENES'!$Y182))</f>
        <v/>
      </c>
      <c r="G204" s="3">
        <f>IF('ORDENES'!$A182="","",IF('ORDENES'!$W182="","-",'ORDENES'!$W182))</f>
        <v/>
      </c>
      <c r="H204" s="3">
        <f>IF('ORDENES'!$A182="","",IF('ORDENES'!$AE182="","-",'ORDENES'!$AE182))</f>
        <v/>
      </c>
      <c r="I204" s="3">
        <f>IF('ORDENES'!$A182="","",IF('ORDENES'!$AQ182="","-",'ORDENES'!$AQ182))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IF('ORDENES'!$A182="","",'ORDENES'!$AD182)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IF('ORDENES'!$A183="","",IF('ORDENES'!$AF183="","-",'ORDENES'!$AF183))</f>
        <v/>
      </c>
      <c r="D205" s="3">
        <f>IF('ORDENES'!$A183="","",IF('ORDENES'!$X183="","-",'ORDENES'!$X183))</f>
        <v/>
      </c>
      <c r="E205" s="3">
        <f>IF('ORDENES'!$A183="","",IF('ORDENES'!$V183="","-",'ORDENES'!$V183))</f>
        <v/>
      </c>
      <c r="F205" s="3">
        <f>IF('ORDENES'!$A183="","",IF('ORDENES'!$Y183="","-",'ORDENES'!$Y183))</f>
        <v/>
      </c>
      <c r="G205" s="3">
        <f>IF('ORDENES'!$A183="","",IF('ORDENES'!$W183="","-",'ORDENES'!$W183))</f>
        <v/>
      </c>
      <c r="H205" s="3">
        <f>IF('ORDENES'!$A183="","",IF('ORDENES'!$AE183="","-",'ORDENES'!$AE183))</f>
        <v/>
      </c>
      <c r="I205" s="3">
        <f>IF('ORDENES'!$A183="","",IF('ORDENES'!$AQ183="","-",'ORDENES'!$AQ183))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IF('ORDENES'!$A183="","",'ORDENES'!$AD183)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IF('ORDENES'!$A184="","",IF('ORDENES'!$AF184="","-",'ORDENES'!$AF184))</f>
        <v/>
      </c>
      <c r="D206" s="3">
        <f>IF('ORDENES'!$A184="","",IF('ORDENES'!$X184="","-",'ORDENES'!$X184))</f>
        <v/>
      </c>
      <c r="E206" s="3">
        <f>IF('ORDENES'!$A184="","",IF('ORDENES'!$V184="","-",'ORDENES'!$V184))</f>
        <v/>
      </c>
      <c r="F206" s="3">
        <f>IF('ORDENES'!$A184="","",IF('ORDENES'!$Y184="","-",'ORDENES'!$Y184))</f>
        <v/>
      </c>
      <c r="G206" s="3">
        <f>IF('ORDENES'!$A184="","",IF('ORDENES'!$W184="","-",'ORDENES'!$W184))</f>
        <v/>
      </c>
      <c r="H206" s="3">
        <f>IF('ORDENES'!$A184="","",IF('ORDENES'!$AE184="","-",'ORDENES'!$AE184))</f>
        <v/>
      </c>
      <c r="I206" s="3">
        <f>IF('ORDENES'!$A184="","",IF('ORDENES'!$AQ184="","-",'ORDENES'!$AQ184))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IF('ORDENES'!$A184="","",'ORDENES'!$AD184)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IF('ORDENES'!$A185="","",IF('ORDENES'!$AF185="","-",'ORDENES'!$AF185))</f>
        <v/>
      </c>
      <c r="D207" s="3">
        <f>IF('ORDENES'!$A185="","",IF('ORDENES'!$X185="","-",'ORDENES'!$X185))</f>
        <v/>
      </c>
      <c r="E207" s="3">
        <f>IF('ORDENES'!$A185="","",IF('ORDENES'!$V185="","-",'ORDENES'!$V185))</f>
        <v/>
      </c>
      <c r="F207" s="3">
        <f>IF('ORDENES'!$A185="","",IF('ORDENES'!$Y185="","-",'ORDENES'!$Y185))</f>
        <v/>
      </c>
      <c r="G207" s="3">
        <f>IF('ORDENES'!$A185="","",IF('ORDENES'!$W185="","-",'ORDENES'!$W185))</f>
        <v/>
      </c>
      <c r="H207" s="3">
        <f>IF('ORDENES'!$A185="","",IF('ORDENES'!$AE185="","-",'ORDENES'!$AE185))</f>
        <v/>
      </c>
      <c r="I207" s="3">
        <f>IF('ORDENES'!$A185="","",IF('ORDENES'!$AQ185="","-",'ORDENES'!$AQ185))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IF('ORDENES'!$A185="","",'ORDENES'!$AD185)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IF('ORDENES'!$A186="","",IF('ORDENES'!$AF186="","-",'ORDENES'!$AF186))</f>
        <v/>
      </c>
      <c r="D208" s="3">
        <f>IF('ORDENES'!$A186="","",IF('ORDENES'!$X186="","-",'ORDENES'!$X186))</f>
        <v/>
      </c>
      <c r="E208" s="3">
        <f>IF('ORDENES'!$A186="","",IF('ORDENES'!$V186="","-",'ORDENES'!$V186))</f>
        <v/>
      </c>
      <c r="F208" s="3">
        <f>IF('ORDENES'!$A186="","",IF('ORDENES'!$Y186="","-",'ORDENES'!$Y186))</f>
        <v/>
      </c>
      <c r="G208" s="3">
        <f>IF('ORDENES'!$A186="","",IF('ORDENES'!$W186="","-",'ORDENES'!$W186))</f>
        <v/>
      </c>
      <c r="H208" s="3">
        <f>IF('ORDENES'!$A186="","",IF('ORDENES'!$AE186="","-",'ORDENES'!$AE186))</f>
        <v/>
      </c>
      <c r="I208" s="3">
        <f>IF('ORDENES'!$A186="","",IF('ORDENES'!$AQ186="","-",'ORDENES'!$AQ186))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IF('ORDENES'!$A186="","",'ORDENES'!$AD186)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IF('ORDENES'!$A187="","",IF('ORDENES'!$AF187="","-",'ORDENES'!$AF187))</f>
        <v/>
      </c>
      <c r="D209" s="3">
        <f>IF('ORDENES'!$A187="","",IF('ORDENES'!$X187="","-",'ORDENES'!$X187))</f>
        <v/>
      </c>
      <c r="E209" s="3">
        <f>IF('ORDENES'!$A187="","",IF('ORDENES'!$V187="","-",'ORDENES'!$V187))</f>
        <v/>
      </c>
      <c r="F209" s="3">
        <f>IF('ORDENES'!$A187="","",IF('ORDENES'!$Y187="","-",'ORDENES'!$Y187))</f>
        <v/>
      </c>
      <c r="G209" s="3">
        <f>IF('ORDENES'!$A187="","",IF('ORDENES'!$W187="","-",'ORDENES'!$W187))</f>
        <v/>
      </c>
      <c r="H209" s="3">
        <f>IF('ORDENES'!$A187="","",IF('ORDENES'!$AE187="","-",'ORDENES'!$AE187))</f>
        <v/>
      </c>
      <c r="I209" s="3">
        <f>IF('ORDENES'!$A187="","",IF('ORDENES'!$AQ187="","-",'ORDENES'!$AQ187))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IF('ORDENES'!$A187="","",'ORDENES'!$AD187)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IF('ORDENES'!$A188="","",IF('ORDENES'!$AF188="","-",'ORDENES'!$AF188))</f>
        <v/>
      </c>
      <c r="D210" s="3">
        <f>IF('ORDENES'!$A188="","",IF('ORDENES'!$X188="","-",'ORDENES'!$X188))</f>
        <v/>
      </c>
      <c r="E210" s="3">
        <f>IF('ORDENES'!$A188="","",IF('ORDENES'!$V188="","-",'ORDENES'!$V188))</f>
        <v/>
      </c>
      <c r="F210" s="3">
        <f>IF('ORDENES'!$A188="","",IF('ORDENES'!$Y188="","-",'ORDENES'!$Y188))</f>
        <v/>
      </c>
      <c r="G210" s="3">
        <f>IF('ORDENES'!$A188="","",IF('ORDENES'!$W188="","-",'ORDENES'!$W188))</f>
        <v/>
      </c>
      <c r="H210" s="3">
        <f>IF('ORDENES'!$A188="","",IF('ORDENES'!$AE188="","-",'ORDENES'!$AE188))</f>
        <v/>
      </c>
      <c r="I210" s="3">
        <f>IF('ORDENES'!$A188="","",IF('ORDENES'!$AQ188="","-",'ORDENES'!$AQ188))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IF('ORDENES'!$A188="","",'ORDENES'!$AD188)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IF('ORDENES'!$A189="","",IF('ORDENES'!$AF189="","-",'ORDENES'!$AF189))</f>
        <v/>
      </c>
      <c r="D211" s="3">
        <f>IF('ORDENES'!$A189="","",IF('ORDENES'!$X189="","-",'ORDENES'!$X189))</f>
        <v/>
      </c>
      <c r="E211" s="3">
        <f>IF('ORDENES'!$A189="","",IF('ORDENES'!$V189="","-",'ORDENES'!$V189))</f>
        <v/>
      </c>
      <c r="F211" s="3">
        <f>IF('ORDENES'!$A189="","",IF('ORDENES'!$Y189="","-",'ORDENES'!$Y189))</f>
        <v/>
      </c>
      <c r="G211" s="3">
        <f>IF('ORDENES'!$A189="","",IF('ORDENES'!$W189="","-",'ORDENES'!$W189))</f>
        <v/>
      </c>
      <c r="H211" s="3">
        <f>IF('ORDENES'!$A189="","",IF('ORDENES'!$AE189="","-",'ORDENES'!$AE189))</f>
        <v/>
      </c>
      <c r="I211" s="3">
        <f>IF('ORDENES'!$A189="","",IF('ORDENES'!$AQ189="","-",'ORDENES'!$AQ189))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IF('ORDENES'!$A189="","",'ORDENES'!$AD189)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IF('ORDENES'!$A190="","",IF('ORDENES'!$AF190="","-",'ORDENES'!$AF190))</f>
        <v/>
      </c>
      <c r="D212" s="3">
        <f>IF('ORDENES'!$A190="","",IF('ORDENES'!$X190="","-",'ORDENES'!$X190))</f>
        <v/>
      </c>
      <c r="E212" s="3">
        <f>IF('ORDENES'!$A190="","",IF('ORDENES'!$V190="","-",'ORDENES'!$V190))</f>
        <v/>
      </c>
      <c r="F212" s="3">
        <f>IF('ORDENES'!$A190="","",IF('ORDENES'!$Y190="","-",'ORDENES'!$Y190))</f>
        <v/>
      </c>
      <c r="G212" s="3">
        <f>IF('ORDENES'!$A190="","",IF('ORDENES'!$W190="","-",'ORDENES'!$W190))</f>
        <v/>
      </c>
      <c r="H212" s="3">
        <f>IF('ORDENES'!$A190="","",IF('ORDENES'!$AE190="","-",'ORDENES'!$AE190))</f>
        <v/>
      </c>
      <c r="I212" s="3">
        <f>IF('ORDENES'!$A190="","",IF('ORDENES'!$AQ190="","-",'ORDENES'!$AQ190))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IF('ORDENES'!$A190="","",'ORDENES'!$AD190)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IF('ORDENES'!$A191="","",IF('ORDENES'!$AF191="","-",'ORDENES'!$AF191))</f>
        <v/>
      </c>
      <c r="D213" s="3">
        <f>IF('ORDENES'!$A191="","",IF('ORDENES'!$X191="","-",'ORDENES'!$X191))</f>
        <v/>
      </c>
      <c r="E213" s="3">
        <f>IF('ORDENES'!$A191="","",IF('ORDENES'!$V191="","-",'ORDENES'!$V191))</f>
        <v/>
      </c>
      <c r="F213" s="3">
        <f>IF('ORDENES'!$A191="","",IF('ORDENES'!$Y191="","-",'ORDENES'!$Y191))</f>
        <v/>
      </c>
      <c r="G213" s="3">
        <f>IF('ORDENES'!$A191="","",IF('ORDENES'!$W191="","-",'ORDENES'!$W191))</f>
        <v/>
      </c>
      <c r="H213" s="3">
        <f>IF('ORDENES'!$A191="","",IF('ORDENES'!$AE191="","-",'ORDENES'!$AE191))</f>
        <v/>
      </c>
      <c r="I213" s="3">
        <f>IF('ORDENES'!$A191="","",IF('ORDENES'!$AQ191="","-",'ORDENES'!$AQ191))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IF('ORDENES'!$A191="","",'ORDENES'!$AD191)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IF('ORDENES'!$A192="","",IF('ORDENES'!$AF192="","-",'ORDENES'!$AF192))</f>
        <v/>
      </c>
      <c r="D214" s="3">
        <f>IF('ORDENES'!$A192="","",IF('ORDENES'!$X192="","-",'ORDENES'!$X192))</f>
        <v/>
      </c>
      <c r="E214" s="3">
        <f>IF('ORDENES'!$A192="","",IF('ORDENES'!$V192="","-",'ORDENES'!$V192))</f>
        <v/>
      </c>
      <c r="F214" s="3">
        <f>IF('ORDENES'!$A192="","",IF('ORDENES'!$Y192="","-",'ORDENES'!$Y192))</f>
        <v/>
      </c>
      <c r="G214" s="3">
        <f>IF('ORDENES'!$A192="","",IF('ORDENES'!$W192="","-",'ORDENES'!$W192))</f>
        <v/>
      </c>
      <c r="H214" s="3">
        <f>IF('ORDENES'!$A192="","",IF('ORDENES'!$AE192="","-",'ORDENES'!$AE192))</f>
        <v/>
      </c>
      <c r="I214" s="3">
        <f>IF('ORDENES'!$A192="","",IF('ORDENES'!$AQ192="","-",'ORDENES'!$AQ192))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IF('ORDENES'!$A192="","",'ORDENES'!$AD192)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IF('ORDENES'!$A193="","",IF('ORDENES'!$AF193="","-",'ORDENES'!$AF193))</f>
        <v/>
      </c>
      <c r="D215" s="3">
        <f>IF('ORDENES'!$A193="","",IF('ORDENES'!$X193="","-",'ORDENES'!$X193))</f>
        <v/>
      </c>
      <c r="E215" s="3">
        <f>IF('ORDENES'!$A193="","",IF('ORDENES'!$V193="","-",'ORDENES'!$V193))</f>
        <v/>
      </c>
      <c r="F215" s="3">
        <f>IF('ORDENES'!$A193="","",IF('ORDENES'!$Y193="","-",'ORDENES'!$Y193))</f>
        <v/>
      </c>
      <c r="G215" s="3">
        <f>IF('ORDENES'!$A193="","",IF('ORDENES'!$W193="","-",'ORDENES'!$W193))</f>
        <v/>
      </c>
      <c r="H215" s="3">
        <f>IF('ORDENES'!$A193="","",IF('ORDENES'!$AE193="","-",'ORDENES'!$AE193))</f>
        <v/>
      </c>
      <c r="I215" s="3">
        <f>IF('ORDENES'!$A193="","",IF('ORDENES'!$AQ193="","-",'ORDENES'!$AQ193))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IF('ORDENES'!$A193="","",'ORDENES'!$AD193)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IF('ORDENES'!$A194="","",IF('ORDENES'!$AF194="","-",'ORDENES'!$AF194))</f>
        <v/>
      </c>
      <c r="D216" s="3">
        <f>IF('ORDENES'!$A194="","",IF('ORDENES'!$X194="","-",'ORDENES'!$X194))</f>
        <v/>
      </c>
      <c r="E216" s="3">
        <f>IF('ORDENES'!$A194="","",IF('ORDENES'!$V194="","-",'ORDENES'!$V194))</f>
        <v/>
      </c>
      <c r="F216" s="3">
        <f>IF('ORDENES'!$A194="","",IF('ORDENES'!$Y194="","-",'ORDENES'!$Y194))</f>
        <v/>
      </c>
      <c r="G216" s="3">
        <f>IF('ORDENES'!$A194="","",IF('ORDENES'!$W194="","-",'ORDENES'!$W194))</f>
        <v/>
      </c>
      <c r="H216" s="3">
        <f>IF('ORDENES'!$A194="","",IF('ORDENES'!$AE194="","-",'ORDENES'!$AE194))</f>
        <v/>
      </c>
      <c r="I216" s="3">
        <f>IF('ORDENES'!$A194="","",IF('ORDENES'!$AQ194="","-",'ORDENES'!$AQ194))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IF('ORDENES'!$A194="","",'ORDENES'!$AD194)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IF('ORDENES'!$A195="","",IF('ORDENES'!$AF195="","-",'ORDENES'!$AF195))</f>
        <v/>
      </c>
      <c r="D217" s="3">
        <f>IF('ORDENES'!$A195="","",IF('ORDENES'!$X195="","-",'ORDENES'!$X195))</f>
        <v/>
      </c>
      <c r="E217" s="3">
        <f>IF('ORDENES'!$A195="","",IF('ORDENES'!$V195="","-",'ORDENES'!$V195))</f>
        <v/>
      </c>
      <c r="F217" s="3">
        <f>IF('ORDENES'!$A195="","",IF('ORDENES'!$Y195="","-",'ORDENES'!$Y195))</f>
        <v/>
      </c>
      <c r="G217" s="3">
        <f>IF('ORDENES'!$A195="","",IF('ORDENES'!$W195="","-",'ORDENES'!$W195))</f>
        <v/>
      </c>
      <c r="H217" s="3">
        <f>IF('ORDENES'!$A195="","",IF('ORDENES'!$AE195="","-",'ORDENES'!$AE195))</f>
        <v/>
      </c>
      <c r="I217" s="3">
        <f>IF('ORDENES'!$A195="","",IF('ORDENES'!$AQ195="","-",'ORDENES'!$AQ195))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IF('ORDENES'!$A195="","",'ORDENES'!$AD195)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IF('ORDENES'!$A196="","",IF('ORDENES'!$AF196="","-",'ORDENES'!$AF196))</f>
        <v/>
      </c>
      <c r="D218" s="3">
        <f>IF('ORDENES'!$A196="","",IF('ORDENES'!$X196="","-",'ORDENES'!$X196))</f>
        <v/>
      </c>
      <c r="E218" s="3">
        <f>IF('ORDENES'!$A196="","",IF('ORDENES'!$V196="","-",'ORDENES'!$V196))</f>
        <v/>
      </c>
      <c r="F218" s="3">
        <f>IF('ORDENES'!$A196="","",IF('ORDENES'!$Y196="","-",'ORDENES'!$Y196))</f>
        <v/>
      </c>
      <c r="G218" s="3">
        <f>IF('ORDENES'!$A196="","",IF('ORDENES'!$W196="","-",'ORDENES'!$W196))</f>
        <v/>
      </c>
      <c r="H218" s="3">
        <f>IF('ORDENES'!$A196="","",IF('ORDENES'!$AE196="","-",'ORDENES'!$AE196))</f>
        <v/>
      </c>
      <c r="I218" s="3">
        <f>IF('ORDENES'!$A196="","",IF('ORDENES'!$AQ196="","-",'ORDENES'!$AQ196))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IF('ORDENES'!$A196="","",'ORDENES'!$AD196)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IF('ORDENES'!$A197="","",IF('ORDENES'!$AF197="","-",'ORDENES'!$AF197))</f>
        <v/>
      </c>
      <c r="D219" s="3">
        <f>IF('ORDENES'!$A197="","",IF('ORDENES'!$X197="","-",'ORDENES'!$X197))</f>
        <v/>
      </c>
      <c r="E219" s="3">
        <f>IF('ORDENES'!$A197="","",IF('ORDENES'!$V197="","-",'ORDENES'!$V197))</f>
        <v/>
      </c>
      <c r="F219" s="3">
        <f>IF('ORDENES'!$A197="","",IF('ORDENES'!$Y197="","-",'ORDENES'!$Y197))</f>
        <v/>
      </c>
      <c r="G219" s="3">
        <f>IF('ORDENES'!$A197="","",IF('ORDENES'!$W197="","-",'ORDENES'!$W197))</f>
        <v/>
      </c>
      <c r="H219" s="3">
        <f>IF('ORDENES'!$A197="","",IF('ORDENES'!$AE197="","-",'ORDENES'!$AE197))</f>
        <v/>
      </c>
      <c r="I219" s="3">
        <f>IF('ORDENES'!$A197="","",IF('ORDENES'!$AQ197="","-",'ORDENES'!$AQ197))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IF('ORDENES'!$A197="","",'ORDENES'!$AD197)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IF('ORDENES'!$A198="","",IF('ORDENES'!$AF198="","-",'ORDENES'!$AF198))</f>
        <v/>
      </c>
      <c r="D220" s="3">
        <f>IF('ORDENES'!$A198="","",IF('ORDENES'!$X198="","-",'ORDENES'!$X198))</f>
        <v/>
      </c>
      <c r="E220" s="3">
        <f>IF('ORDENES'!$A198="","",IF('ORDENES'!$V198="","-",'ORDENES'!$V198))</f>
        <v/>
      </c>
      <c r="F220" s="3">
        <f>IF('ORDENES'!$A198="","",IF('ORDENES'!$Y198="","-",'ORDENES'!$Y198))</f>
        <v/>
      </c>
      <c r="G220" s="3">
        <f>IF('ORDENES'!$A198="","",IF('ORDENES'!$W198="","-",'ORDENES'!$W198))</f>
        <v/>
      </c>
      <c r="H220" s="3">
        <f>IF('ORDENES'!$A198="","",IF('ORDENES'!$AE198="","-",'ORDENES'!$AE198))</f>
        <v/>
      </c>
      <c r="I220" s="3">
        <f>IF('ORDENES'!$A198="","",IF('ORDENES'!$AQ198="","-",'ORDENES'!$AQ198))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IF('ORDENES'!$A198="","",'ORDENES'!$AD198)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IF('ORDENES'!$A199="","",IF('ORDENES'!$AF199="","-",'ORDENES'!$AF199))</f>
        <v/>
      </c>
      <c r="D221" s="3">
        <f>IF('ORDENES'!$A199="","",IF('ORDENES'!$X199="","-",'ORDENES'!$X199))</f>
        <v/>
      </c>
      <c r="E221" s="3">
        <f>IF('ORDENES'!$A199="","",IF('ORDENES'!$V199="","-",'ORDENES'!$V199))</f>
        <v/>
      </c>
      <c r="F221" s="3">
        <f>IF('ORDENES'!$A199="","",IF('ORDENES'!$Y199="","-",'ORDENES'!$Y199))</f>
        <v/>
      </c>
      <c r="G221" s="3">
        <f>IF('ORDENES'!$A199="","",IF('ORDENES'!$W199="","-",'ORDENES'!$W199))</f>
        <v/>
      </c>
      <c r="H221" s="3">
        <f>IF('ORDENES'!$A199="","",IF('ORDENES'!$AE199="","-",'ORDENES'!$AE199))</f>
        <v/>
      </c>
      <c r="I221" s="3">
        <f>IF('ORDENES'!$A199="","",IF('ORDENES'!$AQ199="","-",'ORDENES'!$AQ199))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IF('ORDENES'!$A199="","",'ORDENES'!$AD199)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IF('ORDENES'!$A200="","",IF('ORDENES'!$AF200="","-",'ORDENES'!$AF200))</f>
        <v/>
      </c>
      <c r="D222" s="3">
        <f>IF('ORDENES'!$A200="","",IF('ORDENES'!$X200="","-",'ORDENES'!$X200))</f>
        <v/>
      </c>
      <c r="E222" s="3">
        <f>IF('ORDENES'!$A200="","",IF('ORDENES'!$V200="","-",'ORDENES'!$V200))</f>
        <v/>
      </c>
      <c r="F222" s="3">
        <f>IF('ORDENES'!$A200="","",IF('ORDENES'!$Y200="","-",'ORDENES'!$Y200))</f>
        <v/>
      </c>
      <c r="G222" s="3">
        <f>IF('ORDENES'!$A200="","",IF('ORDENES'!$W200="","-",'ORDENES'!$W200))</f>
        <v/>
      </c>
      <c r="H222" s="3">
        <f>IF('ORDENES'!$A200="","",IF('ORDENES'!$AE200="","-",'ORDENES'!$AE200))</f>
        <v/>
      </c>
      <c r="I222" s="3">
        <f>IF('ORDENES'!$A200="","",IF('ORDENES'!$AQ200="","-",'ORDENES'!$AQ200))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IF('ORDENES'!$A200="","",'ORDENES'!$AD200)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IF('ORDENES'!$A201="","",IF('ORDENES'!$AF201="","-",'ORDENES'!$AF201))</f>
        <v/>
      </c>
      <c r="D223" s="3">
        <f>IF('ORDENES'!$A201="","",IF('ORDENES'!$X201="","-",'ORDENES'!$X201))</f>
        <v/>
      </c>
      <c r="E223" s="3">
        <f>IF('ORDENES'!$A201="","",IF('ORDENES'!$V201="","-",'ORDENES'!$V201))</f>
        <v/>
      </c>
      <c r="F223" s="3">
        <f>IF('ORDENES'!$A201="","",IF('ORDENES'!$Y201="","-",'ORDENES'!$Y201))</f>
        <v/>
      </c>
      <c r="G223" s="3">
        <f>IF('ORDENES'!$A201="","",IF('ORDENES'!$W201="","-",'ORDENES'!$W201))</f>
        <v/>
      </c>
      <c r="H223" s="3">
        <f>IF('ORDENES'!$A201="","",IF('ORDENES'!$AE201="","-",'ORDENES'!$AE201))</f>
        <v/>
      </c>
      <c r="I223" s="3">
        <f>IF('ORDENES'!$A201="","",IF('ORDENES'!$AQ201="","-",'ORDENES'!$AQ201))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IF('ORDENES'!$A201="","",'ORDENES'!$AD201)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IF('ORDENES'!$A202="","",IF('ORDENES'!$AF202="","-",'ORDENES'!$AF202))</f>
        <v/>
      </c>
      <c r="D224" s="3">
        <f>IF('ORDENES'!$A202="","",IF('ORDENES'!$X202="","-",'ORDENES'!$X202))</f>
        <v/>
      </c>
      <c r="E224" s="3">
        <f>IF('ORDENES'!$A202="","",IF('ORDENES'!$V202="","-",'ORDENES'!$V202))</f>
        <v/>
      </c>
      <c r="F224" s="3">
        <f>IF('ORDENES'!$A202="","",IF('ORDENES'!$Y202="","-",'ORDENES'!$Y202))</f>
        <v/>
      </c>
      <c r="G224" s="3">
        <f>IF('ORDENES'!$A202="","",IF('ORDENES'!$W202="","-",'ORDENES'!$W202))</f>
        <v/>
      </c>
      <c r="H224" s="3">
        <f>IF('ORDENES'!$A202="","",IF('ORDENES'!$AE202="","-",'ORDENES'!$AE202))</f>
        <v/>
      </c>
      <c r="I224" s="3">
        <f>IF('ORDENES'!$A202="","",IF('ORDENES'!$AQ202="","-",'ORDENES'!$AQ202))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IF('ORDENES'!$A202="","",'ORDENES'!$AD202)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IF('ORDENES'!$A203="","",IF('ORDENES'!$AF203="","-",'ORDENES'!$AF203))</f>
        <v/>
      </c>
      <c r="D225" s="3">
        <f>IF('ORDENES'!$A203="","",IF('ORDENES'!$X203="","-",'ORDENES'!$X203))</f>
        <v/>
      </c>
      <c r="E225" s="3">
        <f>IF('ORDENES'!$A203="","",IF('ORDENES'!$V203="","-",'ORDENES'!$V203))</f>
        <v/>
      </c>
      <c r="F225" s="3">
        <f>IF('ORDENES'!$A203="","",IF('ORDENES'!$Y203="","-",'ORDENES'!$Y203))</f>
        <v/>
      </c>
      <c r="G225" s="3">
        <f>IF('ORDENES'!$A203="","",IF('ORDENES'!$W203="","-",'ORDENES'!$W203))</f>
        <v/>
      </c>
      <c r="H225" s="3">
        <f>IF('ORDENES'!$A203="","",IF('ORDENES'!$AE203="","-",'ORDENES'!$AE203))</f>
        <v/>
      </c>
      <c r="I225" s="3">
        <f>IF('ORDENES'!$A203="","",IF('ORDENES'!$AQ203="","-",'ORDENES'!$AQ203))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IF('ORDENES'!$A203="","",'ORDENES'!$AD203)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IF('ORDENES'!$A204="","",IF('ORDENES'!$AF204="","-",'ORDENES'!$AF204))</f>
        <v/>
      </c>
      <c r="D226" s="3">
        <f>IF('ORDENES'!$A204="","",IF('ORDENES'!$X204="","-",'ORDENES'!$X204))</f>
        <v/>
      </c>
      <c r="E226" s="3">
        <f>IF('ORDENES'!$A204="","",IF('ORDENES'!$V204="","-",'ORDENES'!$V204))</f>
        <v/>
      </c>
      <c r="F226" s="3">
        <f>IF('ORDENES'!$A204="","",IF('ORDENES'!$Y204="","-",'ORDENES'!$Y204))</f>
        <v/>
      </c>
      <c r="G226" s="3">
        <f>IF('ORDENES'!$A204="","",IF('ORDENES'!$W204="","-",'ORDENES'!$W204))</f>
        <v/>
      </c>
      <c r="H226" s="3">
        <f>IF('ORDENES'!$A204="","",IF('ORDENES'!$AE204="","-",'ORDENES'!$AE204))</f>
        <v/>
      </c>
      <c r="I226" s="3">
        <f>IF('ORDENES'!$A204="","",IF('ORDENES'!$AQ204="","-",'ORDENES'!$AQ204))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IF('ORDENES'!$A204="","",'ORDENES'!$AD204)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IF('ORDENES'!$A205="","",IF('ORDENES'!$AF205="","-",'ORDENES'!$AF205))</f>
        <v/>
      </c>
      <c r="D227" s="3">
        <f>IF('ORDENES'!$A205="","",IF('ORDENES'!$X205="","-",'ORDENES'!$X205))</f>
        <v/>
      </c>
      <c r="E227" s="3">
        <f>IF('ORDENES'!$A205="","",IF('ORDENES'!$V205="","-",'ORDENES'!$V205))</f>
        <v/>
      </c>
      <c r="F227" s="3">
        <f>IF('ORDENES'!$A205="","",IF('ORDENES'!$Y205="","-",'ORDENES'!$Y205))</f>
        <v/>
      </c>
      <c r="G227" s="3">
        <f>IF('ORDENES'!$A205="","",IF('ORDENES'!$W205="","-",'ORDENES'!$W205))</f>
        <v/>
      </c>
      <c r="H227" s="3">
        <f>IF('ORDENES'!$A205="","",IF('ORDENES'!$AE205="","-",'ORDENES'!$AE205))</f>
        <v/>
      </c>
      <c r="I227" s="3">
        <f>IF('ORDENES'!$A205="","",IF('ORDENES'!$AQ205="","-",'ORDENES'!$AQ205))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IF('ORDENES'!$A205="","",'ORDENES'!$AD205)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IF('ORDENES'!$A206="","",IF('ORDENES'!$AF206="","-",'ORDENES'!$AF206))</f>
        <v/>
      </c>
      <c r="D228" s="3">
        <f>IF('ORDENES'!$A206="","",IF('ORDENES'!$X206="","-",'ORDENES'!$X206))</f>
        <v/>
      </c>
      <c r="E228" s="3">
        <f>IF('ORDENES'!$A206="","",IF('ORDENES'!$V206="","-",'ORDENES'!$V206))</f>
        <v/>
      </c>
      <c r="F228" s="3">
        <f>IF('ORDENES'!$A206="","",IF('ORDENES'!$Y206="","-",'ORDENES'!$Y206))</f>
        <v/>
      </c>
      <c r="G228" s="3">
        <f>IF('ORDENES'!$A206="","",IF('ORDENES'!$W206="","-",'ORDENES'!$W206))</f>
        <v/>
      </c>
      <c r="H228" s="3">
        <f>IF('ORDENES'!$A206="","",IF('ORDENES'!$AE206="","-",'ORDENES'!$AE206))</f>
        <v/>
      </c>
      <c r="I228" s="3">
        <f>IF('ORDENES'!$A206="","",IF('ORDENES'!$AQ206="","-",'ORDENES'!$AQ206))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IF('ORDENES'!$A206="","",'ORDENES'!$AD206)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IF('ORDENES'!$A207="","",IF('ORDENES'!$AF207="","-",'ORDENES'!$AF207))</f>
        <v/>
      </c>
      <c r="D229" s="3">
        <f>IF('ORDENES'!$A207="","",IF('ORDENES'!$X207="","-",'ORDENES'!$X207))</f>
        <v/>
      </c>
      <c r="E229" s="3">
        <f>IF('ORDENES'!$A207="","",IF('ORDENES'!$V207="","-",'ORDENES'!$V207))</f>
        <v/>
      </c>
      <c r="F229" s="3">
        <f>IF('ORDENES'!$A207="","",IF('ORDENES'!$Y207="","-",'ORDENES'!$Y207))</f>
        <v/>
      </c>
      <c r="G229" s="3">
        <f>IF('ORDENES'!$A207="","",IF('ORDENES'!$W207="","-",'ORDENES'!$W207))</f>
        <v/>
      </c>
      <c r="H229" s="3">
        <f>IF('ORDENES'!$A207="","",IF('ORDENES'!$AE207="","-",'ORDENES'!$AE207))</f>
        <v/>
      </c>
      <c r="I229" s="3">
        <f>IF('ORDENES'!$A207="","",IF('ORDENES'!$AQ207="","-",'ORDENES'!$AQ207))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IF('ORDENES'!$A207="","",'ORDENES'!$AD207)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IF('ORDENES'!$A208="","",IF('ORDENES'!$AF208="","-",'ORDENES'!$AF208))</f>
        <v/>
      </c>
      <c r="D230" s="3">
        <f>IF('ORDENES'!$A208="","",IF('ORDENES'!$X208="","-",'ORDENES'!$X208))</f>
        <v/>
      </c>
      <c r="E230" s="3">
        <f>IF('ORDENES'!$A208="","",IF('ORDENES'!$V208="","-",'ORDENES'!$V208))</f>
        <v/>
      </c>
      <c r="F230" s="3">
        <f>IF('ORDENES'!$A208="","",IF('ORDENES'!$Y208="","-",'ORDENES'!$Y208))</f>
        <v/>
      </c>
      <c r="G230" s="3">
        <f>IF('ORDENES'!$A208="","",IF('ORDENES'!$W208="","-",'ORDENES'!$W208))</f>
        <v/>
      </c>
      <c r="H230" s="3">
        <f>IF('ORDENES'!$A208="","",IF('ORDENES'!$AE208="","-",'ORDENES'!$AE208))</f>
        <v/>
      </c>
      <c r="I230" s="3">
        <f>IF('ORDENES'!$A208="","",IF('ORDENES'!$AQ208="","-",'ORDENES'!$AQ208))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IF('ORDENES'!$A208="","",'ORDENES'!$AD208)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IF('ORDENES'!$A209="","",IF('ORDENES'!$AF209="","-",'ORDENES'!$AF209))</f>
        <v/>
      </c>
      <c r="D231" s="3">
        <f>IF('ORDENES'!$A209="","",IF('ORDENES'!$X209="","-",'ORDENES'!$X209))</f>
        <v/>
      </c>
      <c r="E231" s="3">
        <f>IF('ORDENES'!$A209="","",IF('ORDENES'!$V209="","-",'ORDENES'!$V209))</f>
        <v/>
      </c>
      <c r="F231" s="3">
        <f>IF('ORDENES'!$A209="","",IF('ORDENES'!$Y209="","-",'ORDENES'!$Y209))</f>
        <v/>
      </c>
      <c r="G231" s="3">
        <f>IF('ORDENES'!$A209="","",IF('ORDENES'!$W209="","-",'ORDENES'!$W209))</f>
        <v/>
      </c>
      <c r="H231" s="3">
        <f>IF('ORDENES'!$A209="","",IF('ORDENES'!$AE209="","-",'ORDENES'!$AE209))</f>
        <v/>
      </c>
      <c r="I231" s="3">
        <f>IF('ORDENES'!$A209="","",IF('ORDENES'!$AQ209="","-",'ORDENES'!$AQ209))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IF('ORDENES'!$A209="","",'ORDENES'!$AD209)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IF('ORDENES'!$A210="","",IF('ORDENES'!$AF210="","-",'ORDENES'!$AF210))</f>
        <v/>
      </c>
      <c r="D232" s="3">
        <f>IF('ORDENES'!$A210="","",IF('ORDENES'!$X210="","-",'ORDENES'!$X210))</f>
        <v/>
      </c>
      <c r="E232" s="3">
        <f>IF('ORDENES'!$A210="","",IF('ORDENES'!$V210="","-",'ORDENES'!$V210))</f>
        <v/>
      </c>
      <c r="F232" s="3">
        <f>IF('ORDENES'!$A210="","",IF('ORDENES'!$Y210="","-",'ORDENES'!$Y210))</f>
        <v/>
      </c>
      <c r="G232" s="3">
        <f>IF('ORDENES'!$A210="","",IF('ORDENES'!$W210="","-",'ORDENES'!$W210))</f>
        <v/>
      </c>
      <c r="H232" s="3">
        <f>IF('ORDENES'!$A210="","",IF('ORDENES'!$AE210="","-",'ORDENES'!$AE210))</f>
        <v/>
      </c>
      <c r="I232" s="3">
        <f>IF('ORDENES'!$A210="","",IF('ORDENES'!$AQ210="","-",'ORDENES'!$AQ210))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IF('ORDENES'!$A210="","",'ORDENES'!$AD210)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IF('ORDENES'!$A211="","",IF('ORDENES'!$AF211="","-",'ORDENES'!$AF211))</f>
        <v/>
      </c>
      <c r="D233" s="3">
        <f>IF('ORDENES'!$A211="","",IF('ORDENES'!$X211="","-",'ORDENES'!$X211))</f>
        <v/>
      </c>
      <c r="E233" s="3">
        <f>IF('ORDENES'!$A211="","",IF('ORDENES'!$V211="","-",'ORDENES'!$V211))</f>
        <v/>
      </c>
      <c r="F233" s="3">
        <f>IF('ORDENES'!$A211="","",IF('ORDENES'!$Y211="","-",'ORDENES'!$Y211))</f>
        <v/>
      </c>
      <c r="G233" s="3">
        <f>IF('ORDENES'!$A211="","",IF('ORDENES'!$W211="","-",'ORDENES'!$W211))</f>
        <v/>
      </c>
      <c r="H233" s="3">
        <f>IF('ORDENES'!$A211="","",IF('ORDENES'!$AE211="","-",'ORDENES'!$AE211))</f>
        <v/>
      </c>
      <c r="I233" s="3">
        <f>IF('ORDENES'!$A211="","",IF('ORDENES'!$AQ211="","-",'ORDENES'!$AQ211))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IF('ORDENES'!$A211="","",'ORDENES'!$AD211)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IF('ORDENES'!$A212="","",IF('ORDENES'!$AF212="","-",'ORDENES'!$AF212))</f>
        <v/>
      </c>
      <c r="D234" s="3">
        <f>IF('ORDENES'!$A212="","",IF('ORDENES'!$X212="","-",'ORDENES'!$X212))</f>
        <v/>
      </c>
      <c r="E234" s="3">
        <f>IF('ORDENES'!$A212="","",IF('ORDENES'!$V212="","-",'ORDENES'!$V212))</f>
        <v/>
      </c>
      <c r="F234" s="3">
        <f>IF('ORDENES'!$A212="","",IF('ORDENES'!$Y212="","-",'ORDENES'!$Y212))</f>
        <v/>
      </c>
      <c r="G234" s="3">
        <f>IF('ORDENES'!$A212="","",IF('ORDENES'!$W212="","-",'ORDENES'!$W212))</f>
        <v/>
      </c>
      <c r="H234" s="3">
        <f>IF('ORDENES'!$A212="","",IF('ORDENES'!$AE212="","-",'ORDENES'!$AE212))</f>
        <v/>
      </c>
      <c r="I234" s="3">
        <f>IF('ORDENES'!$A212="","",IF('ORDENES'!$AQ212="","-",'ORDENES'!$AQ212))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IF('ORDENES'!$A212="","",'ORDENES'!$AD212)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IF('ORDENES'!$A213="","",IF('ORDENES'!$AF213="","-",'ORDENES'!$AF213))</f>
        <v/>
      </c>
      <c r="D235" s="3">
        <f>IF('ORDENES'!$A213="","",IF('ORDENES'!$X213="","-",'ORDENES'!$X213))</f>
        <v/>
      </c>
      <c r="E235" s="3">
        <f>IF('ORDENES'!$A213="","",IF('ORDENES'!$V213="","-",'ORDENES'!$V213))</f>
        <v/>
      </c>
      <c r="F235" s="3">
        <f>IF('ORDENES'!$A213="","",IF('ORDENES'!$Y213="","-",'ORDENES'!$Y213))</f>
        <v/>
      </c>
      <c r="G235" s="3">
        <f>IF('ORDENES'!$A213="","",IF('ORDENES'!$W213="","-",'ORDENES'!$W213))</f>
        <v/>
      </c>
      <c r="H235" s="3">
        <f>IF('ORDENES'!$A213="","",IF('ORDENES'!$AE213="","-",'ORDENES'!$AE213))</f>
        <v/>
      </c>
      <c r="I235" s="3">
        <f>IF('ORDENES'!$A213="","",IF('ORDENES'!$AQ213="","-",'ORDENES'!$AQ213))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IF('ORDENES'!$A213="","",'ORDENES'!$AD213)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IF('ORDENES'!$A214="","",IF('ORDENES'!$AF214="","-",'ORDENES'!$AF214))</f>
        <v/>
      </c>
      <c r="D236" s="3">
        <f>IF('ORDENES'!$A214="","",IF('ORDENES'!$X214="","-",'ORDENES'!$X214))</f>
        <v/>
      </c>
      <c r="E236" s="3">
        <f>IF('ORDENES'!$A214="","",IF('ORDENES'!$V214="","-",'ORDENES'!$V214))</f>
        <v/>
      </c>
      <c r="F236" s="3">
        <f>IF('ORDENES'!$A214="","",IF('ORDENES'!$Y214="","-",'ORDENES'!$Y214))</f>
        <v/>
      </c>
      <c r="G236" s="3">
        <f>IF('ORDENES'!$A214="","",IF('ORDENES'!$W214="","-",'ORDENES'!$W214))</f>
        <v/>
      </c>
      <c r="H236" s="3">
        <f>IF('ORDENES'!$A214="","",IF('ORDENES'!$AE214="","-",'ORDENES'!$AE214))</f>
        <v/>
      </c>
      <c r="I236" s="3">
        <f>IF('ORDENES'!$A214="","",IF('ORDENES'!$AQ214="","-",'ORDENES'!$AQ214))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IF('ORDENES'!$A214="","",'ORDENES'!$AD214)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IF('ORDENES'!$A215="","",IF('ORDENES'!$AF215="","-",'ORDENES'!$AF215))</f>
        <v/>
      </c>
      <c r="D237" s="3">
        <f>IF('ORDENES'!$A215="","",IF('ORDENES'!$X215="","-",'ORDENES'!$X215))</f>
        <v/>
      </c>
      <c r="E237" s="3">
        <f>IF('ORDENES'!$A215="","",IF('ORDENES'!$V215="","-",'ORDENES'!$V215))</f>
        <v/>
      </c>
      <c r="F237" s="3">
        <f>IF('ORDENES'!$A215="","",IF('ORDENES'!$Y215="","-",'ORDENES'!$Y215))</f>
        <v/>
      </c>
      <c r="G237" s="3">
        <f>IF('ORDENES'!$A215="","",IF('ORDENES'!$W215="","-",'ORDENES'!$W215))</f>
        <v/>
      </c>
      <c r="H237" s="3">
        <f>IF('ORDENES'!$A215="","",IF('ORDENES'!$AE215="","-",'ORDENES'!$AE215))</f>
        <v/>
      </c>
      <c r="I237" s="3">
        <f>IF('ORDENES'!$A215="","",IF('ORDENES'!$AQ215="","-",'ORDENES'!$AQ215))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IF('ORDENES'!$A215="","",'ORDENES'!$AD215)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IF('ORDENES'!$A216="","",IF('ORDENES'!$AF216="","-",'ORDENES'!$AF216))</f>
        <v/>
      </c>
      <c r="D238" s="3">
        <f>IF('ORDENES'!$A216="","",IF('ORDENES'!$X216="","-",'ORDENES'!$X216))</f>
        <v/>
      </c>
      <c r="E238" s="3">
        <f>IF('ORDENES'!$A216="","",IF('ORDENES'!$V216="","-",'ORDENES'!$V216))</f>
        <v/>
      </c>
      <c r="F238" s="3">
        <f>IF('ORDENES'!$A216="","",IF('ORDENES'!$Y216="","-",'ORDENES'!$Y216))</f>
        <v/>
      </c>
      <c r="G238" s="3">
        <f>IF('ORDENES'!$A216="","",IF('ORDENES'!$W216="","-",'ORDENES'!$W216))</f>
        <v/>
      </c>
      <c r="H238" s="3">
        <f>IF('ORDENES'!$A216="","",IF('ORDENES'!$AE216="","-",'ORDENES'!$AE216))</f>
        <v/>
      </c>
      <c r="I238" s="3">
        <f>IF('ORDENES'!$A216="","",IF('ORDENES'!$AQ216="","-",'ORDENES'!$AQ216))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IF('ORDENES'!$A216="","",'ORDENES'!$AD216)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IF('ORDENES'!$A217="","",IF('ORDENES'!$AF217="","-",'ORDENES'!$AF217))</f>
        <v/>
      </c>
      <c r="D239" s="3">
        <f>IF('ORDENES'!$A217="","",IF('ORDENES'!$X217="","-",'ORDENES'!$X217))</f>
        <v/>
      </c>
      <c r="E239" s="3">
        <f>IF('ORDENES'!$A217="","",IF('ORDENES'!$V217="","-",'ORDENES'!$V217))</f>
        <v/>
      </c>
      <c r="F239" s="3">
        <f>IF('ORDENES'!$A217="","",IF('ORDENES'!$Y217="","-",'ORDENES'!$Y217))</f>
        <v/>
      </c>
      <c r="G239" s="3">
        <f>IF('ORDENES'!$A217="","",IF('ORDENES'!$W217="","-",'ORDENES'!$W217))</f>
        <v/>
      </c>
      <c r="H239" s="3">
        <f>IF('ORDENES'!$A217="","",IF('ORDENES'!$AE217="","-",'ORDENES'!$AE217))</f>
        <v/>
      </c>
      <c r="I239" s="3">
        <f>IF('ORDENES'!$A217="","",IF('ORDENES'!$AQ217="","-",'ORDENES'!$AQ217))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IF('ORDENES'!$A217="","",'ORDENES'!$AD217)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IF('ORDENES'!$A218="","",IF('ORDENES'!$AF218="","-",'ORDENES'!$AF218))</f>
        <v/>
      </c>
      <c r="D240" s="3">
        <f>IF('ORDENES'!$A218="","",IF('ORDENES'!$X218="","-",'ORDENES'!$X218))</f>
        <v/>
      </c>
      <c r="E240" s="3">
        <f>IF('ORDENES'!$A218="","",IF('ORDENES'!$V218="","-",'ORDENES'!$V218))</f>
        <v/>
      </c>
      <c r="F240" s="3">
        <f>IF('ORDENES'!$A218="","",IF('ORDENES'!$Y218="","-",'ORDENES'!$Y218))</f>
        <v/>
      </c>
      <c r="G240" s="3">
        <f>IF('ORDENES'!$A218="","",IF('ORDENES'!$W218="","-",'ORDENES'!$W218))</f>
        <v/>
      </c>
      <c r="H240" s="3">
        <f>IF('ORDENES'!$A218="","",IF('ORDENES'!$AE218="","-",'ORDENES'!$AE218))</f>
        <v/>
      </c>
      <c r="I240" s="3">
        <f>IF('ORDENES'!$A218="","",IF('ORDENES'!$AQ218="","-",'ORDENES'!$AQ218))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IF('ORDENES'!$A218="","",'ORDENES'!$AD218)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IF('ORDENES'!$A219="","",IF('ORDENES'!$AF219="","-",'ORDENES'!$AF219))</f>
        <v/>
      </c>
      <c r="D241" s="3">
        <f>IF('ORDENES'!$A219="","",IF('ORDENES'!$X219="","-",'ORDENES'!$X219))</f>
        <v/>
      </c>
      <c r="E241" s="3">
        <f>IF('ORDENES'!$A219="","",IF('ORDENES'!$V219="","-",'ORDENES'!$V219))</f>
        <v/>
      </c>
      <c r="F241" s="3">
        <f>IF('ORDENES'!$A219="","",IF('ORDENES'!$Y219="","-",'ORDENES'!$Y219))</f>
        <v/>
      </c>
      <c r="G241" s="3">
        <f>IF('ORDENES'!$A219="","",IF('ORDENES'!$W219="","-",'ORDENES'!$W219))</f>
        <v/>
      </c>
      <c r="H241" s="3">
        <f>IF('ORDENES'!$A219="","",IF('ORDENES'!$AE219="","-",'ORDENES'!$AE219))</f>
        <v/>
      </c>
      <c r="I241" s="3">
        <f>IF('ORDENES'!$A219="","",IF('ORDENES'!$AQ219="","-",'ORDENES'!$AQ219))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IF('ORDENES'!$A219="","",'ORDENES'!$AD219)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IF('ORDENES'!$A220="","",IF('ORDENES'!$AF220="","-",'ORDENES'!$AF220))</f>
        <v/>
      </c>
      <c r="D242" s="3">
        <f>IF('ORDENES'!$A220="","",IF('ORDENES'!$X220="","-",'ORDENES'!$X220))</f>
        <v/>
      </c>
      <c r="E242" s="3">
        <f>IF('ORDENES'!$A220="","",IF('ORDENES'!$V220="","-",'ORDENES'!$V220))</f>
        <v/>
      </c>
      <c r="F242" s="3">
        <f>IF('ORDENES'!$A220="","",IF('ORDENES'!$Y220="","-",'ORDENES'!$Y220))</f>
        <v/>
      </c>
      <c r="G242" s="3">
        <f>IF('ORDENES'!$A220="","",IF('ORDENES'!$W220="","-",'ORDENES'!$W220))</f>
        <v/>
      </c>
      <c r="H242" s="3">
        <f>IF('ORDENES'!$A220="","",IF('ORDENES'!$AE220="","-",'ORDENES'!$AE220))</f>
        <v/>
      </c>
      <c r="I242" s="3">
        <f>IF('ORDENES'!$A220="","",IF('ORDENES'!$AQ220="","-",'ORDENES'!$AQ220))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IF('ORDENES'!$A220="","",'ORDENES'!$AD220)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IF('ORDENES'!$A221="","",IF('ORDENES'!$AF221="","-",'ORDENES'!$AF221))</f>
        <v/>
      </c>
      <c r="D243" s="3">
        <f>IF('ORDENES'!$A221="","",IF('ORDENES'!$X221="","-",'ORDENES'!$X221))</f>
        <v/>
      </c>
      <c r="E243" s="3">
        <f>IF('ORDENES'!$A221="","",IF('ORDENES'!$V221="","-",'ORDENES'!$V221))</f>
        <v/>
      </c>
      <c r="F243" s="3">
        <f>IF('ORDENES'!$A221="","",IF('ORDENES'!$Y221="","-",'ORDENES'!$Y221))</f>
        <v/>
      </c>
      <c r="G243" s="3">
        <f>IF('ORDENES'!$A221="","",IF('ORDENES'!$W221="","-",'ORDENES'!$W221))</f>
        <v/>
      </c>
      <c r="H243" s="3">
        <f>IF('ORDENES'!$A221="","",IF('ORDENES'!$AE221="","-",'ORDENES'!$AE221))</f>
        <v/>
      </c>
      <c r="I243" s="3">
        <f>IF('ORDENES'!$A221="","",IF('ORDENES'!$AQ221="","-",'ORDENES'!$AQ221))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IF('ORDENES'!$A221="","",'ORDENES'!$AD221)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IF('ORDENES'!$A222="","",IF('ORDENES'!$AF222="","-",'ORDENES'!$AF222))</f>
        <v/>
      </c>
      <c r="D244" s="3">
        <f>IF('ORDENES'!$A222="","",IF('ORDENES'!$X222="","-",'ORDENES'!$X222))</f>
        <v/>
      </c>
      <c r="E244" s="3">
        <f>IF('ORDENES'!$A222="","",IF('ORDENES'!$V222="","-",'ORDENES'!$V222))</f>
        <v/>
      </c>
      <c r="F244" s="3">
        <f>IF('ORDENES'!$A222="","",IF('ORDENES'!$Y222="","-",'ORDENES'!$Y222))</f>
        <v/>
      </c>
      <c r="G244" s="3">
        <f>IF('ORDENES'!$A222="","",IF('ORDENES'!$W222="","-",'ORDENES'!$W222))</f>
        <v/>
      </c>
      <c r="H244" s="3">
        <f>IF('ORDENES'!$A222="","",IF('ORDENES'!$AE222="","-",'ORDENES'!$AE222))</f>
        <v/>
      </c>
      <c r="I244" s="3">
        <f>IF('ORDENES'!$A222="","",IF('ORDENES'!$AQ222="","-",'ORDENES'!$AQ222))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IF('ORDENES'!$A222="","",'ORDENES'!$AD222)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IF('ORDENES'!$A223="","",IF('ORDENES'!$AF223="","-",'ORDENES'!$AF223))</f>
        <v/>
      </c>
      <c r="D245" s="3">
        <f>IF('ORDENES'!$A223="","",IF('ORDENES'!$X223="","-",'ORDENES'!$X223))</f>
        <v/>
      </c>
      <c r="E245" s="3">
        <f>IF('ORDENES'!$A223="","",IF('ORDENES'!$V223="","-",'ORDENES'!$V223))</f>
        <v/>
      </c>
      <c r="F245" s="3">
        <f>IF('ORDENES'!$A223="","",IF('ORDENES'!$Y223="","-",'ORDENES'!$Y223))</f>
        <v/>
      </c>
      <c r="G245" s="3">
        <f>IF('ORDENES'!$A223="","",IF('ORDENES'!$W223="","-",'ORDENES'!$W223))</f>
        <v/>
      </c>
      <c r="H245" s="3">
        <f>IF('ORDENES'!$A223="","",IF('ORDENES'!$AE223="","-",'ORDENES'!$AE223))</f>
        <v/>
      </c>
      <c r="I245" s="3">
        <f>IF('ORDENES'!$A223="","",IF('ORDENES'!$AQ223="","-",'ORDENES'!$AQ223))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IF('ORDENES'!$A223="","",'ORDENES'!$AD223)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IF('ORDENES'!$A224="","",IF('ORDENES'!$AF224="","-",'ORDENES'!$AF224))</f>
        <v/>
      </c>
      <c r="D246" s="3">
        <f>IF('ORDENES'!$A224="","",IF('ORDENES'!$X224="","-",'ORDENES'!$X224))</f>
        <v/>
      </c>
      <c r="E246" s="3">
        <f>IF('ORDENES'!$A224="","",IF('ORDENES'!$V224="","-",'ORDENES'!$V224))</f>
        <v/>
      </c>
      <c r="F246" s="3">
        <f>IF('ORDENES'!$A224="","",IF('ORDENES'!$Y224="","-",'ORDENES'!$Y224))</f>
        <v/>
      </c>
      <c r="G246" s="3">
        <f>IF('ORDENES'!$A224="","",IF('ORDENES'!$W224="","-",'ORDENES'!$W224))</f>
        <v/>
      </c>
      <c r="H246" s="3">
        <f>IF('ORDENES'!$A224="","",IF('ORDENES'!$AE224="","-",'ORDENES'!$AE224))</f>
        <v/>
      </c>
      <c r="I246" s="3">
        <f>IF('ORDENES'!$A224="","",IF('ORDENES'!$AQ224="","-",'ORDENES'!$AQ224))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IF('ORDENES'!$A224="","",'ORDENES'!$AD224)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IF('ORDENES'!$A225="","",IF('ORDENES'!$AF225="","-",'ORDENES'!$AF225))</f>
        <v/>
      </c>
      <c r="D247" s="3">
        <f>IF('ORDENES'!$A225="","",IF('ORDENES'!$X225="","-",'ORDENES'!$X225))</f>
        <v/>
      </c>
      <c r="E247" s="3">
        <f>IF('ORDENES'!$A225="","",IF('ORDENES'!$V225="","-",'ORDENES'!$V225))</f>
        <v/>
      </c>
      <c r="F247" s="3">
        <f>IF('ORDENES'!$A225="","",IF('ORDENES'!$Y225="","-",'ORDENES'!$Y225))</f>
        <v/>
      </c>
      <c r="G247" s="3">
        <f>IF('ORDENES'!$A225="","",IF('ORDENES'!$W225="","-",'ORDENES'!$W225))</f>
        <v/>
      </c>
      <c r="H247" s="3">
        <f>IF('ORDENES'!$A225="","",IF('ORDENES'!$AE225="","-",'ORDENES'!$AE225))</f>
        <v/>
      </c>
      <c r="I247" s="3">
        <f>IF('ORDENES'!$A225="","",IF('ORDENES'!$AQ225="","-",'ORDENES'!$AQ225))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IF('ORDENES'!$A225="","",'ORDENES'!$AD225)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IF('ORDENES'!$A226="","",IF('ORDENES'!$AF226="","-",'ORDENES'!$AF226))</f>
        <v/>
      </c>
      <c r="D248" s="3">
        <f>IF('ORDENES'!$A226="","",IF('ORDENES'!$X226="","-",'ORDENES'!$X226))</f>
        <v/>
      </c>
      <c r="E248" s="3">
        <f>IF('ORDENES'!$A226="","",IF('ORDENES'!$V226="","-",'ORDENES'!$V226))</f>
        <v/>
      </c>
      <c r="F248" s="3">
        <f>IF('ORDENES'!$A226="","",IF('ORDENES'!$Y226="","-",'ORDENES'!$Y226))</f>
        <v/>
      </c>
      <c r="G248" s="3">
        <f>IF('ORDENES'!$A226="","",IF('ORDENES'!$W226="","-",'ORDENES'!$W226))</f>
        <v/>
      </c>
      <c r="H248" s="3">
        <f>IF('ORDENES'!$A226="","",IF('ORDENES'!$AE226="","-",'ORDENES'!$AE226))</f>
        <v/>
      </c>
      <c r="I248" s="3">
        <f>IF('ORDENES'!$A226="","",IF('ORDENES'!$AQ226="","-",'ORDENES'!$AQ226))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IF('ORDENES'!$A226="","",'ORDENES'!$AD226)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IF('ORDENES'!$A227="","",IF('ORDENES'!$AF227="","-",'ORDENES'!$AF227))</f>
        <v/>
      </c>
      <c r="D249" s="3">
        <f>IF('ORDENES'!$A227="","",IF('ORDENES'!$X227="","-",'ORDENES'!$X227))</f>
        <v/>
      </c>
      <c r="E249" s="3">
        <f>IF('ORDENES'!$A227="","",IF('ORDENES'!$V227="","-",'ORDENES'!$V227))</f>
        <v/>
      </c>
      <c r="F249" s="3">
        <f>IF('ORDENES'!$A227="","",IF('ORDENES'!$Y227="","-",'ORDENES'!$Y227))</f>
        <v/>
      </c>
      <c r="G249" s="3">
        <f>IF('ORDENES'!$A227="","",IF('ORDENES'!$W227="","-",'ORDENES'!$W227))</f>
        <v/>
      </c>
      <c r="H249" s="3">
        <f>IF('ORDENES'!$A227="","",IF('ORDENES'!$AE227="","-",'ORDENES'!$AE227))</f>
        <v/>
      </c>
      <c r="I249" s="3">
        <f>IF('ORDENES'!$A227="","",IF('ORDENES'!$AQ227="","-",'ORDENES'!$AQ227))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IF('ORDENES'!$A227="","",'ORDENES'!$AD227)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IF('ORDENES'!$A228="","",IF('ORDENES'!$AF228="","-",'ORDENES'!$AF228))</f>
        <v/>
      </c>
      <c r="D250" s="3">
        <f>IF('ORDENES'!$A228="","",IF('ORDENES'!$X228="","-",'ORDENES'!$X228))</f>
        <v/>
      </c>
      <c r="E250" s="3">
        <f>IF('ORDENES'!$A228="","",IF('ORDENES'!$V228="","-",'ORDENES'!$V228))</f>
        <v/>
      </c>
      <c r="F250" s="3">
        <f>IF('ORDENES'!$A228="","",IF('ORDENES'!$Y228="","-",'ORDENES'!$Y228))</f>
        <v/>
      </c>
      <c r="G250" s="3">
        <f>IF('ORDENES'!$A228="","",IF('ORDENES'!$W228="","-",'ORDENES'!$W228))</f>
        <v/>
      </c>
      <c r="H250" s="3">
        <f>IF('ORDENES'!$A228="","",IF('ORDENES'!$AE228="","-",'ORDENES'!$AE228))</f>
        <v/>
      </c>
      <c r="I250" s="3">
        <f>IF('ORDENES'!$A228="","",IF('ORDENES'!$AQ228="","-",'ORDENES'!$AQ228))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IF('ORDENES'!$A228="","",'ORDENES'!$AD228)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IF('ORDENES'!$A229="","",IF('ORDENES'!$AF229="","-",'ORDENES'!$AF229))</f>
        <v/>
      </c>
      <c r="D251" s="3">
        <f>IF('ORDENES'!$A229="","",IF('ORDENES'!$X229="","-",'ORDENES'!$X229))</f>
        <v/>
      </c>
      <c r="E251" s="3">
        <f>IF('ORDENES'!$A229="","",IF('ORDENES'!$V229="","-",'ORDENES'!$V229))</f>
        <v/>
      </c>
      <c r="F251" s="3">
        <f>IF('ORDENES'!$A229="","",IF('ORDENES'!$Y229="","-",'ORDENES'!$Y229))</f>
        <v/>
      </c>
      <c r="G251" s="3">
        <f>IF('ORDENES'!$A229="","",IF('ORDENES'!$W229="","-",'ORDENES'!$W229))</f>
        <v/>
      </c>
      <c r="H251" s="3">
        <f>IF('ORDENES'!$A229="","",IF('ORDENES'!$AE229="","-",'ORDENES'!$AE229))</f>
        <v/>
      </c>
      <c r="I251" s="3">
        <f>IF('ORDENES'!$A229="","",IF('ORDENES'!$AQ229="","-",'ORDENES'!$AQ229))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IF('ORDENES'!$A229="","",'ORDENES'!$AD229)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IF('ORDENES'!$A230="","",IF('ORDENES'!$AF230="","-",'ORDENES'!$AF230))</f>
        <v/>
      </c>
      <c r="D252" s="3">
        <f>IF('ORDENES'!$A230="","",IF('ORDENES'!$X230="","-",'ORDENES'!$X230))</f>
        <v/>
      </c>
      <c r="E252" s="3">
        <f>IF('ORDENES'!$A230="","",IF('ORDENES'!$V230="","-",'ORDENES'!$V230))</f>
        <v/>
      </c>
      <c r="F252" s="3">
        <f>IF('ORDENES'!$A230="","",IF('ORDENES'!$Y230="","-",'ORDENES'!$Y230))</f>
        <v/>
      </c>
      <c r="G252" s="3">
        <f>IF('ORDENES'!$A230="","",IF('ORDENES'!$W230="","-",'ORDENES'!$W230))</f>
        <v/>
      </c>
      <c r="H252" s="3">
        <f>IF('ORDENES'!$A230="","",IF('ORDENES'!$AE230="","-",'ORDENES'!$AE230))</f>
        <v/>
      </c>
      <c r="I252" s="3">
        <f>IF('ORDENES'!$A230="","",IF('ORDENES'!$AQ230="","-",'ORDENES'!$AQ230))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IF('ORDENES'!$A230="","",'ORDENES'!$AD230)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IF('ORDENES'!$A231="","",IF('ORDENES'!$AF231="","-",'ORDENES'!$AF231))</f>
        <v/>
      </c>
      <c r="D253" s="3">
        <f>IF('ORDENES'!$A231="","",IF('ORDENES'!$X231="","-",'ORDENES'!$X231))</f>
        <v/>
      </c>
      <c r="E253" s="3">
        <f>IF('ORDENES'!$A231="","",IF('ORDENES'!$V231="","-",'ORDENES'!$V231))</f>
        <v/>
      </c>
      <c r="F253" s="3">
        <f>IF('ORDENES'!$A231="","",IF('ORDENES'!$Y231="","-",'ORDENES'!$Y231))</f>
        <v/>
      </c>
      <c r="G253" s="3">
        <f>IF('ORDENES'!$A231="","",IF('ORDENES'!$W231="","-",'ORDENES'!$W231))</f>
        <v/>
      </c>
      <c r="H253" s="3">
        <f>IF('ORDENES'!$A231="","",IF('ORDENES'!$AE231="","-",'ORDENES'!$AE231))</f>
        <v/>
      </c>
      <c r="I253" s="3">
        <f>IF('ORDENES'!$A231="","",IF('ORDENES'!$AQ231="","-",'ORDENES'!$AQ231))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IF('ORDENES'!$A231="","",'ORDENES'!$AD231)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IF('ORDENES'!$A232="","",IF('ORDENES'!$AF232="","-",'ORDENES'!$AF232))</f>
        <v/>
      </c>
      <c r="D254" s="3">
        <f>IF('ORDENES'!$A232="","",IF('ORDENES'!$X232="","-",'ORDENES'!$X232))</f>
        <v/>
      </c>
      <c r="E254" s="3">
        <f>IF('ORDENES'!$A232="","",IF('ORDENES'!$V232="","-",'ORDENES'!$V232))</f>
        <v/>
      </c>
      <c r="F254" s="3">
        <f>IF('ORDENES'!$A232="","",IF('ORDENES'!$Y232="","-",'ORDENES'!$Y232))</f>
        <v/>
      </c>
      <c r="G254" s="3">
        <f>IF('ORDENES'!$A232="","",IF('ORDENES'!$W232="","-",'ORDENES'!$W232))</f>
        <v/>
      </c>
      <c r="H254" s="3">
        <f>IF('ORDENES'!$A232="","",IF('ORDENES'!$AE232="","-",'ORDENES'!$AE232))</f>
        <v/>
      </c>
      <c r="I254" s="3">
        <f>IF('ORDENES'!$A232="","",IF('ORDENES'!$AQ232="","-",'ORDENES'!$AQ232))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IF('ORDENES'!$A232="","",'ORDENES'!$AD232)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IF('ORDENES'!$A233="","",IF('ORDENES'!$AF233="","-",'ORDENES'!$AF233))</f>
        <v/>
      </c>
      <c r="D255" s="3">
        <f>IF('ORDENES'!$A233="","",IF('ORDENES'!$X233="","-",'ORDENES'!$X233))</f>
        <v/>
      </c>
      <c r="E255" s="3">
        <f>IF('ORDENES'!$A233="","",IF('ORDENES'!$V233="","-",'ORDENES'!$V233))</f>
        <v/>
      </c>
      <c r="F255" s="3">
        <f>IF('ORDENES'!$A233="","",IF('ORDENES'!$Y233="","-",'ORDENES'!$Y233))</f>
        <v/>
      </c>
      <c r="G255" s="3">
        <f>IF('ORDENES'!$A233="","",IF('ORDENES'!$W233="","-",'ORDENES'!$W233))</f>
        <v/>
      </c>
      <c r="H255" s="3">
        <f>IF('ORDENES'!$A233="","",IF('ORDENES'!$AE233="","-",'ORDENES'!$AE233))</f>
        <v/>
      </c>
      <c r="I255" s="3">
        <f>IF('ORDENES'!$A233="","",IF('ORDENES'!$AQ233="","-",'ORDENES'!$AQ233))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IF('ORDENES'!$A233="","",'ORDENES'!$AD233)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IF('ORDENES'!$A234="","",IF('ORDENES'!$AF234="","-",'ORDENES'!$AF234))</f>
        <v/>
      </c>
      <c r="D256" s="3">
        <f>IF('ORDENES'!$A234="","",IF('ORDENES'!$X234="","-",'ORDENES'!$X234))</f>
        <v/>
      </c>
      <c r="E256" s="3">
        <f>IF('ORDENES'!$A234="","",IF('ORDENES'!$V234="","-",'ORDENES'!$V234))</f>
        <v/>
      </c>
      <c r="F256" s="3">
        <f>IF('ORDENES'!$A234="","",IF('ORDENES'!$Y234="","-",'ORDENES'!$Y234))</f>
        <v/>
      </c>
      <c r="G256" s="3">
        <f>IF('ORDENES'!$A234="","",IF('ORDENES'!$W234="","-",'ORDENES'!$W234))</f>
        <v/>
      </c>
      <c r="H256" s="3">
        <f>IF('ORDENES'!$A234="","",IF('ORDENES'!$AE234="","-",'ORDENES'!$AE234))</f>
        <v/>
      </c>
      <c r="I256" s="3">
        <f>IF('ORDENES'!$A234="","",IF('ORDENES'!$AQ234="","-",'ORDENES'!$AQ234))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IF('ORDENES'!$A234="","",'ORDENES'!$AD234)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IF('ORDENES'!$A235="","",IF('ORDENES'!$AF235="","-",'ORDENES'!$AF235))</f>
        <v/>
      </c>
      <c r="D257" s="3">
        <f>IF('ORDENES'!$A235="","",IF('ORDENES'!$X235="","-",'ORDENES'!$X235))</f>
        <v/>
      </c>
      <c r="E257" s="3">
        <f>IF('ORDENES'!$A235="","",IF('ORDENES'!$V235="","-",'ORDENES'!$V235))</f>
        <v/>
      </c>
      <c r="F257" s="3">
        <f>IF('ORDENES'!$A235="","",IF('ORDENES'!$Y235="","-",'ORDENES'!$Y235))</f>
        <v/>
      </c>
      <c r="G257" s="3">
        <f>IF('ORDENES'!$A235="","",IF('ORDENES'!$W235="","-",'ORDENES'!$W235))</f>
        <v/>
      </c>
      <c r="H257" s="3">
        <f>IF('ORDENES'!$A235="","",IF('ORDENES'!$AE235="","-",'ORDENES'!$AE235))</f>
        <v/>
      </c>
      <c r="I257" s="3">
        <f>IF('ORDENES'!$A235="","",IF('ORDENES'!$AQ235="","-",'ORDENES'!$AQ235))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IF('ORDENES'!$A235="","",'ORDENES'!$AD235)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IF('ORDENES'!$A236="","",IF('ORDENES'!$AF236="","-",'ORDENES'!$AF236))</f>
        <v/>
      </c>
      <c r="D258" s="3">
        <f>IF('ORDENES'!$A236="","",IF('ORDENES'!$X236="","-",'ORDENES'!$X236))</f>
        <v/>
      </c>
      <c r="E258" s="3">
        <f>IF('ORDENES'!$A236="","",IF('ORDENES'!$V236="","-",'ORDENES'!$V236))</f>
        <v/>
      </c>
      <c r="F258" s="3">
        <f>IF('ORDENES'!$A236="","",IF('ORDENES'!$Y236="","-",'ORDENES'!$Y236))</f>
        <v/>
      </c>
      <c r="G258" s="3">
        <f>IF('ORDENES'!$A236="","",IF('ORDENES'!$W236="","-",'ORDENES'!$W236))</f>
        <v/>
      </c>
      <c r="H258" s="3">
        <f>IF('ORDENES'!$A236="","",IF('ORDENES'!$AE236="","-",'ORDENES'!$AE236))</f>
        <v/>
      </c>
      <c r="I258" s="3">
        <f>IF('ORDENES'!$A236="","",IF('ORDENES'!$AQ236="","-",'ORDENES'!$AQ236))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IF('ORDENES'!$A236="","",'ORDENES'!$AD236)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IF('ORDENES'!$A237="","",IF('ORDENES'!$AF237="","-",'ORDENES'!$AF237))</f>
        <v/>
      </c>
      <c r="D259" s="3">
        <f>IF('ORDENES'!$A237="","",IF('ORDENES'!$X237="","-",'ORDENES'!$X237))</f>
        <v/>
      </c>
      <c r="E259" s="3">
        <f>IF('ORDENES'!$A237="","",IF('ORDENES'!$V237="","-",'ORDENES'!$V237))</f>
        <v/>
      </c>
      <c r="F259" s="3">
        <f>IF('ORDENES'!$A237="","",IF('ORDENES'!$Y237="","-",'ORDENES'!$Y237))</f>
        <v/>
      </c>
      <c r="G259" s="3">
        <f>IF('ORDENES'!$A237="","",IF('ORDENES'!$W237="","-",'ORDENES'!$W237))</f>
        <v/>
      </c>
      <c r="H259" s="3">
        <f>IF('ORDENES'!$A237="","",IF('ORDENES'!$AE237="","-",'ORDENES'!$AE237))</f>
        <v/>
      </c>
      <c r="I259" s="3">
        <f>IF('ORDENES'!$A237="","",IF('ORDENES'!$AQ237="","-",'ORDENES'!$AQ237))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IF('ORDENES'!$A237="","",'ORDENES'!$AD237)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IF('ORDENES'!$A238="","",IF('ORDENES'!$AF238="","-",'ORDENES'!$AF238))</f>
        <v/>
      </c>
      <c r="D260" s="3">
        <f>IF('ORDENES'!$A238="","",IF('ORDENES'!$X238="","-",'ORDENES'!$X238))</f>
        <v/>
      </c>
      <c r="E260" s="3">
        <f>IF('ORDENES'!$A238="","",IF('ORDENES'!$V238="","-",'ORDENES'!$V238))</f>
        <v/>
      </c>
      <c r="F260" s="3">
        <f>IF('ORDENES'!$A238="","",IF('ORDENES'!$Y238="","-",'ORDENES'!$Y238))</f>
        <v/>
      </c>
      <c r="G260" s="3">
        <f>IF('ORDENES'!$A238="","",IF('ORDENES'!$W238="","-",'ORDENES'!$W238))</f>
        <v/>
      </c>
      <c r="H260" s="3">
        <f>IF('ORDENES'!$A238="","",IF('ORDENES'!$AE238="","-",'ORDENES'!$AE238))</f>
        <v/>
      </c>
      <c r="I260" s="3">
        <f>IF('ORDENES'!$A238="","",IF('ORDENES'!$AQ238="","-",'ORDENES'!$AQ238))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IF('ORDENES'!$A238="","",'ORDENES'!$AD238)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IF('ORDENES'!$A239="","",IF('ORDENES'!$AF239="","-",'ORDENES'!$AF239))</f>
        <v/>
      </c>
      <c r="D261" s="3">
        <f>IF('ORDENES'!$A239="","",IF('ORDENES'!$X239="","-",'ORDENES'!$X239))</f>
        <v/>
      </c>
      <c r="E261" s="3">
        <f>IF('ORDENES'!$A239="","",IF('ORDENES'!$V239="","-",'ORDENES'!$V239))</f>
        <v/>
      </c>
      <c r="F261" s="3">
        <f>IF('ORDENES'!$A239="","",IF('ORDENES'!$Y239="","-",'ORDENES'!$Y239))</f>
        <v/>
      </c>
      <c r="G261" s="3">
        <f>IF('ORDENES'!$A239="","",IF('ORDENES'!$W239="","-",'ORDENES'!$W239))</f>
        <v/>
      </c>
      <c r="H261" s="3">
        <f>IF('ORDENES'!$A239="","",IF('ORDENES'!$AE239="","-",'ORDENES'!$AE239))</f>
        <v/>
      </c>
      <c r="I261" s="3">
        <f>IF('ORDENES'!$A239="","",IF('ORDENES'!$AQ239="","-",'ORDENES'!$AQ239))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IF('ORDENES'!$A239="","",'ORDENES'!$AD239)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IF('ORDENES'!$A240="","",IF('ORDENES'!$AF240="","-",'ORDENES'!$AF240))</f>
        <v/>
      </c>
      <c r="D262" s="3">
        <f>IF('ORDENES'!$A240="","",IF('ORDENES'!$X240="","-",'ORDENES'!$X240))</f>
        <v/>
      </c>
      <c r="E262" s="3">
        <f>IF('ORDENES'!$A240="","",IF('ORDENES'!$V240="","-",'ORDENES'!$V240))</f>
        <v/>
      </c>
      <c r="F262" s="3">
        <f>IF('ORDENES'!$A240="","",IF('ORDENES'!$Y240="","-",'ORDENES'!$Y240))</f>
        <v/>
      </c>
      <c r="G262" s="3">
        <f>IF('ORDENES'!$A240="","",IF('ORDENES'!$W240="","-",'ORDENES'!$W240))</f>
        <v/>
      </c>
      <c r="H262" s="3">
        <f>IF('ORDENES'!$A240="","",IF('ORDENES'!$AE240="","-",'ORDENES'!$AE240))</f>
        <v/>
      </c>
      <c r="I262" s="3">
        <f>IF('ORDENES'!$A240="","",IF('ORDENES'!$AQ240="","-",'ORDENES'!$AQ240))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IF('ORDENES'!$A240="","",'ORDENES'!$AD240)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IF('ORDENES'!$A241="","",IF('ORDENES'!$AF241="","-",'ORDENES'!$AF241))</f>
        <v/>
      </c>
      <c r="D263" s="3">
        <f>IF('ORDENES'!$A241="","",IF('ORDENES'!$X241="","-",'ORDENES'!$X241))</f>
        <v/>
      </c>
      <c r="E263" s="3">
        <f>IF('ORDENES'!$A241="","",IF('ORDENES'!$V241="","-",'ORDENES'!$V241))</f>
        <v/>
      </c>
      <c r="F263" s="3">
        <f>IF('ORDENES'!$A241="","",IF('ORDENES'!$Y241="","-",'ORDENES'!$Y241))</f>
        <v/>
      </c>
      <c r="G263" s="3">
        <f>IF('ORDENES'!$A241="","",IF('ORDENES'!$W241="","-",'ORDENES'!$W241))</f>
        <v/>
      </c>
      <c r="H263" s="3">
        <f>IF('ORDENES'!$A241="","",IF('ORDENES'!$AE241="","-",'ORDENES'!$AE241))</f>
        <v/>
      </c>
      <c r="I263" s="3">
        <f>IF('ORDENES'!$A241="","",IF('ORDENES'!$AQ241="","-",'ORDENES'!$AQ241))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IF('ORDENES'!$A241="","",'ORDENES'!$AD241)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IF('ORDENES'!$A242="","",IF('ORDENES'!$AF242="","-",'ORDENES'!$AF242))</f>
        <v/>
      </c>
      <c r="D264" s="3">
        <f>IF('ORDENES'!$A242="","",IF('ORDENES'!$X242="","-",'ORDENES'!$X242))</f>
        <v/>
      </c>
      <c r="E264" s="3">
        <f>IF('ORDENES'!$A242="","",IF('ORDENES'!$V242="","-",'ORDENES'!$V242))</f>
        <v/>
      </c>
      <c r="F264" s="3">
        <f>IF('ORDENES'!$A242="","",IF('ORDENES'!$Y242="","-",'ORDENES'!$Y242))</f>
        <v/>
      </c>
      <c r="G264" s="3">
        <f>IF('ORDENES'!$A242="","",IF('ORDENES'!$W242="","-",'ORDENES'!$W242))</f>
        <v/>
      </c>
      <c r="H264" s="3">
        <f>IF('ORDENES'!$A242="","",IF('ORDENES'!$AE242="","-",'ORDENES'!$AE242))</f>
        <v/>
      </c>
      <c r="I264" s="3">
        <f>IF('ORDENES'!$A242="","",IF('ORDENES'!$AQ242="","-",'ORDENES'!$AQ242))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IF('ORDENES'!$A242="","",'ORDENES'!$AD242)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IF('ORDENES'!$A243="","",IF('ORDENES'!$AF243="","-",'ORDENES'!$AF243))</f>
        <v/>
      </c>
      <c r="D265" s="3">
        <f>IF('ORDENES'!$A243="","",IF('ORDENES'!$X243="","-",'ORDENES'!$X243))</f>
        <v/>
      </c>
      <c r="E265" s="3">
        <f>IF('ORDENES'!$A243="","",IF('ORDENES'!$V243="","-",'ORDENES'!$V243))</f>
        <v/>
      </c>
      <c r="F265" s="3">
        <f>IF('ORDENES'!$A243="","",IF('ORDENES'!$Y243="","-",'ORDENES'!$Y243))</f>
        <v/>
      </c>
      <c r="G265" s="3">
        <f>IF('ORDENES'!$A243="","",IF('ORDENES'!$W243="","-",'ORDENES'!$W243))</f>
        <v/>
      </c>
      <c r="H265" s="3">
        <f>IF('ORDENES'!$A243="","",IF('ORDENES'!$AE243="","-",'ORDENES'!$AE243))</f>
        <v/>
      </c>
      <c r="I265" s="3">
        <f>IF('ORDENES'!$A243="","",IF('ORDENES'!$AQ243="","-",'ORDENES'!$AQ243))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IF('ORDENES'!$A243="","",'ORDENES'!$AD243)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IF('ORDENES'!$A244="","",IF('ORDENES'!$AF244="","-",'ORDENES'!$AF244))</f>
        <v/>
      </c>
      <c r="D266" s="3">
        <f>IF('ORDENES'!$A244="","",IF('ORDENES'!$X244="","-",'ORDENES'!$X244))</f>
        <v/>
      </c>
      <c r="E266" s="3">
        <f>IF('ORDENES'!$A244="","",IF('ORDENES'!$V244="","-",'ORDENES'!$V244))</f>
        <v/>
      </c>
      <c r="F266" s="3">
        <f>IF('ORDENES'!$A244="","",IF('ORDENES'!$Y244="","-",'ORDENES'!$Y244))</f>
        <v/>
      </c>
      <c r="G266" s="3">
        <f>IF('ORDENES'!$A244="","",IF('ORDENES'!$W244="","-",'ORDENES'!$W244))</f>
        <v/>
      </c>
      <c r="H266" s="3">
        <f>IF('ORDENES'!$A244="","",IF('ORDENES'!$AE244="","-",'ORDENES'!$AE244))</f>
        <v/>
      </c>
      <c r="I266" s="3">
        <f>IF('ORDENES'!$A244="","",IF('ORDENES'!$AQ244="","-",'ORDENES'!$AQ244))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IF('ORDENES'!$A244="","",'ORDENES'!$AD244)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IF('ORDENES'!$A245="","",IF('ORDENES'!$AF245="","-",'ORDENES'!$AF245))</f>
        <v/>
      </c>
      <c r="D267" s="3">
        <f>IF('ORDENES'!$A245="","",IF('ORDENES'!$X245="","-",'ORDENES'!$X245))</f>
        <v/>
      </c>
      <c r="E267" s="3">
        <f>IF('ORDENES'!$A245="","",IF('ORDENES'!$V245="","-",'ORDENES'!$V245))</f>
        <v/>
      </c>
      <c r="F267" s="3">
        <f>IF('ORDENES'!$A245="","",IF('ORDENES'!$Y245="","-",'ORDENES'!$Y245))</f>
        <v/>
      </c>
      <c r="G267" s="3">
        <f>IF('ORDENES'!$A245="","",IF('ORDENES'!$W245="","-",'ORDENES'!$W245))</f>
        <v/>
      </c>
      <c r="H267" s="3">
        <f>IF('ORDENES'!$A245="","",IF('ORDENES'!$AE245="","-",'ORDENES'!$AE245))</f>
        <v/>
      </c>
      <c r="I267" s="3">
        <f>IF('ORDENES'!$A245="","",IF('ORDENES'!$AQ245="","-",'ORDENES'!$AQ245))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IF('ORDENES'!$A245="","",'ORDENES'!$AD245)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IF('ORDENES'!$A246="","",IF('ORDENES'!$AF246="","-",'ORDENES'!$AF246))</f>
        <v/>
      </c>
      <c r="D268" s="3">
        <f>IF('ORDENES'!$A246="","",IF('ORDENES'!$X246="","-",'ORDENES'!$X246))</f>
        <v/>
      </c>
      <c r="E268" s="3">
        <f>IF('ORDENES'!$A246="","",IF('ORDENES'!$V246="","-",'ORDENES'!$V246))</f>
        <v/>
      </c>
      <c r="F268" s="3">
        <f>IF('ORDENES'!$A246="","",IF('ORDENES'!$Y246="","-",'ORDENES'!$Y246))</f>
        <v/>
      </c>
      <c r="G268" s="3">
        <f>IF('ORDENES'!$A246="","",IF('ORDENES'!$W246="","-",'ORDENES'!$W246))</f>
        <v/>
      </c>
      <c r="H268" s="3">
        <f>IF('ORDENES'!$A246="","",IF('ORDENES'!$AE246="","-",'ORDENES'!$AE246))</f>
        <v/>
      </c>
      <c r="I268" s="3">
        <f>IF('ORDENES'!$A246="","",IF('ORDENES'!$AQ246="","-",'ORDENES'!$AQ246))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IF('ORDENES'!$A246="","",'ORDENES'!$AD246)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IF('ORDENES'!$A247="","",IF('ORDENES'!$AF247="","-",'ORDENES'!$AF247))</f>
        <v/>
      </c>
      <c r="D269" s="3">
        <f>IF('ORDENES'!$A247="","",IF('ORDENES'!$X247="","-",'ORDENES'!$X247))</f>
        <v/>
      </c>
      <c r="E269" s="3">
        <f>IF('ORDENES'!$A247="","",IF('ORDENES'!$V247="","-",'ORDENES'!$V247))</f>
        <v/>
      </c>
      <c r="F269" s="3">
        <f>IF('ORDENES'!$A247="","",IF('ORDENES'!$Y247="","-",'ORDENES'!$Y247))</f>
        <v/>
      </c>
      <c r="G269" s="3">
        <f>IF('ORDENES'!$A247="","",IF('ORDENES'!$W247="","-",'ORDENES'!$W247))</f>
        <v/>
      </c>
      <c r="H269" s="3">
        <f>IF('ORDENES'!$A247="","",IF('ORDENES'!$AE247="","-",'ORDENES'!$AE247))</f>
        <v/>
      </c>
      <c r="I269" s="3">
        <f>IF('ORDENES'!$A247="","",IF('ORDENES'!$AQ247="","-",'ORDENES'!$AQ247))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IF('ORDENES'!$A247="","",'ORDENES'!$AD247)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IF('ORDENES'!$A248="","",IF('ORDENES'!$AF248="","-",'ORDENES'!$AF248))</f>
        <v/>
      </c>
      <c r="D270" s="3">
        <f>IF('ORDENES'!$A248="","",IF('ORDENES'!$X248="","-",'ORDENES'!$X248))</f>
        <v/>
      </c>
      <c r="E270" s="3">
        <f>IF('ORDENES'!$A248="","",IF('ORDENES'!$V248="","-",'ORDENES'!$V248))</f>
        <v/>
      </c>
      <c r="F270" s="3">
        <f>IF('ORDENES'!$A248="","",IF('ORDENES'!$Y248="","-",'ORDENES'!$Y248))</f>
        <v/>
      </c>
      <c r="G270" s="3">
        <f>IF('ORDENES'!$A248="","",IF('ORDENES'!$W248="","-",'ORDENES'!$W248))</f>
        <v/>
      </c>
      <c r="H270" s="3">
        <f>IF('ORDENES'!$A248="","",IF('ORDENES'!$AE248="","-",'ORDENES'!$AE248))</f>
        <v/>
      </c>
      <c r="I270" s="3">
        <f>IF('ORDENES'!$A248="","",IF('ORDENES'!$AQ248="","-",'ORDENES'!$AQ248))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IF('ORDENES'!$A248="","",'ORDENES'!$AD248)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IF('ORDENES'!$A249="","",IF('ORDENES'!$AF249="","-",'ORDENES'!$AF249))</f>
        <v/>
      </c>
      <c r="D271" s="3">
        <f>IF('ORDENES'!$A249="","",IF('ORDENES'!$X249="","-",'ORDENES'!$X249))</f>
        <v/>
      </c>
      <c r="E271" s="3">
        <f>IF('ORDENES'!$A249="","",IF('ORDENES'!$V249="","-",'ORDENES'!$V249))</f>
        <v/>
      </c>
      <c r="F271" s="3">
        <f>IF('ORDENES'!$A249="","",IF('ORDENES'!$Y249="","-",'ORDENES'!$Y249))</f>
        <v/>
      </c>
      <c r="G271" s="3">
        <f>IF('ORDENES'!$A249="","",IF('ORDENES'!$W249="","-",'ORDENES'!$W249))</f>
        <v/>
      </c>
      <c r="H271" s="3">
        <f>IF('ORDENES'!$A249="","",IF('ORDENES'!$AE249="","-",'ORDENES'!$AE249))</f>
        <v/>
      </c>
      <c r="I271" s="3">
        <f>IF('ORDENES'!$A249="","",IF('ORDENES'!$AQ249="","-",'ORDENES'!$AQ249))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IF('ORDENES'!$A249="","",'ORDENES'!$AD249)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IF('ORDENES'!$A250="","",IF('ORDENES'!$AF250="","-",'ORDENES'!$AF250))</f>
        <v/>
      </c>
      <c r="D272" s="3">
        <f>IF('ORDENES'!$A250="","",IF('ORDENES'!$X250="","-",'ORDENES'!$X250))</f>
        <v/>
      </c>
      <c r="E272" s="3">
        <f>IF('ORDENES'!$A250="","",IF('ORDENES'!$V250="","-",'ORDENES'!$V250))</f>
        <v/>
      </c>
      <c r="F272" s="3">
        <f>IF('ORDENES'!$A250="","",IF('ORDENES'!$Y250="","-",'ORDENES'!$Y250))</f>
        <v/>
      </c>
      <c r="G272" s="3">
        <f>IF('ORDENES'!$A250="","",IF('ORDENES'!$W250="","-",'ORDENES'!$W250))</f>
        <v/>
      </c>
      <c r="H272" s="3">
        <f>IF('ORDENES'!$A250="","",IF('ORDENES'!$AE250="","-",'ORDENES'!$AE250))</f>
        <v/>
      </c>
      <c r="I272" s="3">
        <f>IF('ORDENES'!$A250="","",IF('ORDENES'!$AQ250="","-",'ORDENES'!$AQ250))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IF('ORDENES'!$A250="","",'ORDENES'!$AD250)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IF('ORDENES'!$A251="","",IF('ORDENES'!$AF251="","-",'ORDENES'!$AF251))</f>
        <v/>
      </c>
      <c r="D273" s="3">
        <f>IF('ORDENES'!$A251="","",IF('ORDENES'!$X251="","-",'ORDENES'!$X251))</f>
        <v/>
      </c>
      <c r="E273" s="3">
        <f>IF('ORDENES'!$A251="","",IF('ORDENES'!$V251="","-",'ORDENES'!$V251))</f>
        <v/>
      </c>
      <c r="F273" s="3">
        <f>IF('ORDENES'!$A251="","",IF('ORDENES'!$Y251="","-",'ORDENES'!$Y251))</f>
        <v/>
      </c>
      <c r="G273" s="3">
        <f>IF('ORDENES'!$A251="","",IF('ORDENES'!$W251="","-",'ORDENES'!$W251))</f>
        <v/>
      </c>
      <c r="H273" s="3">
        <f>IF('ORDENES'!$A251="","",IF('ORDENES'!$AE251="","-",'ORDENES'!$AE251))</f>
        <v/>
      </c>
      <c r="I273" s="3">
        <f>IF('ORDENES'!$A251="","",IF('ORDENES'!$AQ251="","-",'ORDENES'!$AQ251))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IF('ORDENES'!$A251="","",'ORDENES'!$AD251)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IF('ORDENES'!$A252="","",IF('ORDENES'!$AF252="","-",'ORDENES'!$AF252))</f>
        <v/>
      </c>
      <c r="D274" s="3">
        <f>IF('ORDENES'!$A252="","",IF('ORDENES'!$X252="","-",'ORDENES'!$X252))</f>
        <v/>
      </c>
      <c r="E274" s="3">
        <f>IF('ORDENES'!$A252="","",IF('ORDENES'!$V252="","-",'ORDENES'!$V252))</f>
        <v/>
      </c>
      <c r="F274" s="3">
        <f>IF('ORDENES'!$A252="","",IF('ORDENES'!$Y252="","-",'ORDENES'!$Y252))</f>
        <v/>
      </c>
      <c r="G274" s="3">
        <f>IF('ORDENES'!$A252="","",IF('ORDENES'!$W252="","-",'ORDENES'!$W252))</f>
        <v/>
      </c>
      <c r="H274" s="3">
        <f>IF('ORDENES'!$A252="","",IF('ORDENES'!$AE252="","-",'ORDENES'!$AE252))</f>
        <v/>
      </c>
      <c r="I274" s="3">
        <f>IF('ORDENES'!$A252="","",IF('ORDENES'!$AQ252="","-",'ORDENES'!$AQ252))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IF('ORDENES'!$A252="","",'ORDENES'!$AD252)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IF('ORDENES'!$A253="","",IF('ORDENES'!$AF253="","-",'ORDENES'!$AF253))</f>
        <v/>
      </c>
      <c r="D275" s="3">
        <f>IF('ORDENES'!$A253="","",IF('ORDENES'!$X253="","-",'ORDENES'!$X253))</f>
        <v/>
      </c>
      <c r="E275" s="3">
        <f>IF('ORDENES'!$A253="","",IF('ORDENES'!$V253="","-",'ORDENES'!$V253))</f>
        <v/>
      </c>
      <c r="F275" s="3">
        <f>IF('ORDENES'!$A253="","",IF('ORDENES'!$Y253="","-",'ORDENES'!$Y253))</f>
        <v/>
      </c>
      <c r="G275" s="3">
        <f>IF('ORDENES'!$A253="","",IF('ORDENES'!$W253="","-",'ORDENES'!$W253))</f>
        <v/>
      </c>
      <c r="H275" s="3">
        <f>IF('ORDENES'!$A253="","",IF('ORDENES'!$AE253="","-",'ORDENES'!$AE253))</f>
        <v/>
      </c>
      <c r="I275" s="3">
        <f>IF('ORDENES'!$A253="","",IF('ORDENES'!$AQ253="","-",'ORDENES'!$AQ253))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IF('ORDENES'!$A253="","",'ORDENES'!$AD253)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IF('ORDENES'!$A254="","",IF('ORDENES'!$AF254="","-",'ORDENES'!$AF254))</f>
        <v/>
      </c>
      <c r="D276" s="3">
        <f>IF('ORDENES'!$A254="","",IF('ORDENES'!$X254="","-",'ORDENES'!$X254))</f>
        <v/>
      </c>
      <c r="E276" s="3">
        <f>IF('ORDENES'!$A254="","",IF('ORDENES'!$V254="","-",'ORDENES'!$V254))</f>
        <v/>
      </c>
      <c r="F276" s="3">
        <f>IF('ORDENES'!$A254="","",IF('ORDENES'!$Y254="","-",'ORDENES'!$Y254))</f>
        <v/>
      </c>
      <c r="G276" s="3">
        <f>IF('ORDENES'!$A254="","",IF('ORDENES'!$W254="","-",'ORDENES'!$W254))</f>
        <v/>
      </c>
      <c r="H276" s="3">
        <f>IF('ORDENES'!$A254="","",IF('ORDENES'!$AE254="","-",'ORDENES'!$AE254))</f>
        <v/>
      </c>
      <c r="I276" s="3">
        <f>IF('ORDENES'!$A254="","",IF('ORDENES'!$AQ254="","-",'ORDENES'!$AQ254))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IF('ORDENES'!$A254="","",'ORDENES'!$AD254)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IF('ORDENES'!$A255="","",IF('ORDENES'!$AF255="","-",'ORDENES'!$AF255))</f>
        <v/>
      </c>
      <c r="D277" s="3">
        <f>IF('ORDENES'!$A255="","",IF('ORDENES'!$X255="","-",'ORDENES'!$X255))</f>
        <v/>
      </c>
      <c r="E277" s="3">
        <f>IF('ORDENES'!$A255="","",IF('ORDENES'!$V255="","-",'ORDENES'!$V255))</f>
        <v/>
      </c>
      <c r="F277" s="3">
        <f>IF('ORDENES'!$A255="","",IF('ORDENES'!$Y255="","-",'ORDENES'!$Y255))</f>
        <v/>
      </c>
      <c r="G277" s="3">
        <f>IF('ORDENES'!$A255="","",IF('ORDENES'!$W255="","-",'ORDENES'!$W255))</f>
        <v/>
      </c>
      <c r="H277" s="3">
        <f>IF('ORDENES'!$A255="","",IF('ORDENES'!$AE255="","-",'ORDENES'!$AE255))</f>
        <v/>
      </c>
      <c r="I277" s="3">
        <f>IF('ORDENES'!$A255="","",IF('ORDENES'!$AQ255="","-",'ORDENES'!$AQ255))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IF('ORDENES'!$A255="","",'ORDENES'!$AD255)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IF('ORDENES'!$A256="","",IF('ORDENES'!$AF256="","-",'ORDENES'!$AF256))</f>
        <v/>
      </c>
      <c r="D278" s="3">
        <f>IF('ORDENES'!$A256="","",IF('ORDENES'!$X256="","-",'ORDENES'!$X256))</f>
        <v/>
      </c>
      <c r="E278" s="3">
        <f>IF('ORDENES'!$A256="","",IF('ORDENES'!$V256="","-",'ORDENES'!$V256))</f>
        <v/>
      </c>
      <c r="F278" s="3">
        <f>IF('ORDENES'!$A256="","",IF('ORDENES'!$Y256="","-",'ORDENES'!$Y256))</f>
        <v/>
      </c>
      <c r="G278" s="3">
        <f>IF('ORDENES'!$A256="","",IF('ORDENES'!$W256="","-",'ORDENES'!$W256))</f>
        <v/>
      </c>
      <c r="H278" s="3">
        <f>IF('ORDENES'!$A256="","",IF('ORDENES'!$AE256="","-",'ORDENES'!$AE256))</f>
        <v/>
      </c>
      <c r="I278" s="3">
        <f>IF('ORDENES'!$A256="","",IF('ORDENES'!$AQ256="","-",'ORDENES'!$AQ256))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IF('ORDENES'!$A256="","",'ORDENES'!$AD256)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IF('ORDENES'!$A257="","",IF('ORDENES'!$AF257="","-",'ORDENES'!$AF257))</f>
        <v/>
      </c>
      <c r="D279" s="3">
        <f>IF('ORDENES'!$A257="","",IF('ORDENES'!$X257="","-",'ORDENES'!$X257))</f>
        <v/>
      </c>
      <c r="E279" s="3">
        <f>IF('ORDENES'!$A257="","",IF('ORDENES'!$V257="","-",'ORDENES'!$V257))</f>
        <v/>
      </c>
      <c r="F279" s="3">
        <f>IF('ORDENES'!$A257="","",IF('ORDENES'!$Y257="","-",'ORDENES'!$Y257))</f>
        <v/>
      </c>
      <c r="G279" s="3">
        <f>IF('ORDENES'!$A257="","",IF('ORDENES'!$W257="","-",'ORDENES'!$W257))</f>
        <v/>
      </c>
      <c r="H279" s="3">
        <f>IF('ORDENES'!$A257="","",IF('ORDENES'!$AE257="","-",'ORDENES'!$AE257))</f>
        <v/>
      </c>
      <c r="I279" s="3">
        <f>IF('ORDENES'!$A257="","",IF('ORDENES'!$AQ257="","-",'ORDENES'!$AQ257))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IF('ORDENES'!$A257="","",'ORDENES'!$AD257)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IF('ORDENES'!$A258="","",IF('ORDENES'!$AF258="","-",'ORDENES'!$AF258))</f>
        <v/>
      </c>
      <c r="D280" s="3">
        <f>IF('ORDENES'!$A258="","",IF('ORDENES'!$X258="","-",'ORDENES'!$X258))</f>
        <v/>
      </c>
      <c r="E280" s="3">
        <f>IF('ORDENES'!$A258="","",IF('ORDENES'!$V258="","-",'ORDENES'!$V258))</f>
        <v/>
      </c>
      <c r="F280" s="3">
        <f>IF('ORDENES'!$A258="","",IF('ORDENES'!$Y258="","-",'ORDENES'!$Y258))</f>
        <v/>
      </c>
      <c r="G280" s="3">
        <f>IF('ORDENES'!$A258="","",IF('ORDENES'!$W258="","-",'ORDENES'!$W258))</f>
        <v/>
      </c>
      <c r="H280" s="3">
        <f>IF('ORDENES'!$A258="","",IF('ORDENES'!$AE258="","-",'ORDENES'!$AE258))</f>
        <v/>
      </c>
      <c r="I280" s="3">
        <f>IF('ORDENES'!$A258="","",IF('ORDENES'!$AQ258="","-",'ORDENES'!$AQ258))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IF('ORDENES'!$A258="","",'ORDENES'!$AD258)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IF('ORDENES'!$A259="","",IF('ORDENES'!$AF259="","-",'ORDENES'!$AF259))</f>
        <v/>
      </c>
      <c r="D281" s="3">
        <f>IF('ORDENES'!$A259="","",IF('ORDENES'!$X259="","-",'ORDENES'!$X259))</f>
        <v/>
      </c>
      <c r="E281" s="3">
        <f>IF('ORDENES'!$A259="","",IF('ORDENES'!$V259="","-",'ORDENES'!$V259))</f>
        <v/>
      </c>
      <c r="F281" s="3">
        <f>IF('ORDENES'!$A259="","",IF('ORDENES'!$Y259="","-",'ORDENES'!$Y259))</f>
        <v/>
      </c>
      <c r="G281" s="3">
        <f>IF('ORDENES'!$A259="","",IF('ORDENES'!$W259="","-",'ORDENES'!$W259))</f>
        <v/>
      </c>
      <c r="H281" s="3">
        <f>IF('ORDENES'!$A259="","",IF('ORDENES'!$AE259="","-",'ORDENES'!$AE259))</f>
        <v/>
      </c>
      <c r="I281" s="3">
        <f>IF('ORDENES'!$A259="","",IF('ORDENES'!$AQ259="","-",'ORDENES'!$AQ259))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IF('ORDENES'!$A259="","",'ORDENES'!$AD259)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IF('ORDENES'!$A260="","",IF('ORDENES'!$AF260="","-",'ORDENES'!$AF260))</f>
        <v/>
      </c>
      <c r="D282" s="3">
        <f>IF('ORDENES'!$A260="","",IF('ORDENES'!$X260="","-",'ORDENES'!$X260))</f>
        <v/>
      </c>
      <c r="E282" s="3">
        <f>IF('ORDENES'!$A260="","",IF('ORDENES'!$V260="","-",'ORDENES'!$V260))</f>
        <v/>
      </c>
      <c r="F282" s="3">
        <f>IF('ORDENES'!$A260="","",IF('ORDENES'!$Y260="","-",'ORDENES'!$Y260))</f>
        <v/>
      </c>
      <c r="G282" s="3">
        <f>IF('ORDENES'!$A260="","",IF('ORDENES'!$W260="","-",'ORDENES'!$W260))</f>
        <v/>
      </c>
      <c r="H282" s="3">
        <f>IF('ORDENES'!$A260="","",IF('ORDENES'!$AE260="","-",'ORDENES'!$AE260))</f>
        <v/>
      </c>
      <c r="I282" s="3">
        <f>IF('ORDENES'!$A260="","",IF('ORDENES'!$AQ260="","-",'ORDENES'!$AQ260))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IF('ORDENES'!$A260="","",'ORDENES'!$AD260)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IF('ORDENES'!$A261="","",IF('ORDENES'!$AF261="","-",'ORDENES'!$AF261))</f>
        <v/>
      </c>
      <c r="D283" s="3">
        <f>IF('ORDENES'!$A261="","",IF('ORDENES'!$X261="","-",'ORDENES'!$X261))</f>
        <v/>
      </c>
      <c r="E283" s="3">
        <f>IF('ORDENES'!$A261="","",IF('ORDENES'!$V261="","-",'ORDENES'!$V261))</f>
        <v/>
      </c>
      <c r="F283" s="3">
        <f>IF('ORDENES'!$A261="","",IF('ORDENES'!$Y261="","-",'ORDENES'!$Y261))</f>
        <v/>
      </c>
      <c r="G283" s="3">
        <f>IF('ORDENES'!$A261="","",IF('ORDENES'!$W261="","-",'ORDENES'!$W261))</f>
        <v/>
      </c>
      <c r="H283" s="3">
        <f>IF('ORDENES'!$A261="","",IF('ORDENES'!$AE261="","-",'ORDENES'!$AE261))</f>
        <v/>
      </c>
      <c r="I283" s="3">
        <f>IF('ORDENES'!$A261="","",IF('ORDENES'!$AQ261="","-",'ORDENES'!$AQ261))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IF('ORDENES'!$A261="","",'ORDENES'!$AD261)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IF('ORDENES'!$A262="","",IF('ORDENES'!$AF262="","-",'ORDENES'!$AF262))</f>
        <v/>
      </c>
      <c r="D284" s="3">
        <f>IF('ORDENES'!$A262="","",IF('ORDENES'!$X262="","-",'ORDENES'!$X262))</f>
        <v/>
      </c>
      <c r="E284" s="3">
        <f>IF('ORDENES'!$A262="","",IF('ORDENES'!$V262="","-",'ORDENES'!$V262))</f>
        <v/>
      </c>
      <c r="F284" s="3">
        <f>IF('ORDENES'!$A262="","",IF('ORDENES'!$Y262="","-",'ORDENES'!$Y262))</f>
        <v/>
      </c>
      <c r="G284" s="3">
        <f>IF('ORDENES'!$A262="","",IF('ORDENES'!$W262="","-",'ORDENES'!$W262))</f>
        <v/>
      </c>
      <c r="H284" s="3">
        <f>IF('ORDENES'!$A262="","",IF('ORDENES'!$AE262="","-",'ORDENES'!$AE262))</f>
        <v/>
      </c>
      <c r="I284" s="3">
        <f>IF('ORDENES'!$A262="","",IF('ORDENES'!$AQ262="","-",'ORDENES'!$AQ262))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IF('ORDENES'!$A262="","",'ORDENES'!$AD262)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IF('ORDENES'!$A263="","",IF('ORDENES'!$AF263="","-",'ORDENES'!$AF263))</f>
        <v/>
      </c>
      <c r="D285" s="3">
        <f>IF('ORDENES'!$A263="","",IF('ORDENES'!$X263="","-",'ORDENES'!$X263))</f>
        <v/>
      </c>
      <c r="E285" s="3">
        <f>IF('ORDENES'!$A263="","",IF('ORDENES'!$V263="","-",'ORDENES'!$V263))</f>
        <v/>
      </c>
      <c r="F285" s="3">
        <f>IF('ORDENES'!$A263="","",IF('ORDENES'!$Y263="","-",'ORDENES'!$Y263))</f>
        <v/>
      </c>
      <c r="G285" s="3">
        <f>IF('ORDENES'!$A263="","",IF('ORDENES'!$W263="","-",'ORDENES'!$W263))</f>
        <v/>
      </c>
      <c r="H285" s="3">
        <f>IF('ORDENES'!$A263="","",IF('ORDENES'!$AE263="","-",'ORDENES'!$AE263))</f>
        <v/>
      </c>
      <c r="I285" s="3">
        <f>IF('ORDENES'!$A263="","",IF('ORDENES'!$AQ263="","-",'ORDENES'!$AQ263))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IF('ORDENES'!$A263="","",'ORDENES'!$AD263)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IF('ORDENES'!$A264="","",IF('ORDENES'!$AF264="","-",'ORDENES'!$AF264))</f>
        <v/>
      </c>
      <c r="D286" s="3">
        <f>IF('ORDENES'!$A264="","",IF('ORDENES'!$X264="","-",'ORDENES'!$X264))</f>
        <v/>
      </c>
      <c r="E286" s="3">
        <f>IF('ORDENES'!$A264="","",IF('ORDENES'!$V264="","-",'ORDENES'!$V264))</f>
        <v/>
      </c>
      <c r="F286" s="3">
        <f>IF('ORDENES'!$A264="","",IF('ORDENES'!$Y264="","-",'ORDENES'!$Y264))</f>
        <v/>
      </c>
      <c r="G286" s="3">
        <f>IF('ORDENES'!$A264="","",IF('ORDENES'!$W264="","-",'ORDENES'!$W264))</f>
        <v/>
      </c>
      <c r="H286" s="3">
        <f>IF('ORDENES'!$A264="","",IF('ORDENES'!$AE264="","-",'ORDENES'!$AE264))</f>
        <v/>
      </c>
      <c r="I286" s="3">
        <f>IF('ORDENES'!$A264="","",IF('ORDENES'!$AQ264="","-",'ORDENES'!$AQ264))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IF('ORDENES'!$A264="","",'ORDENES'!$AD264)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IF('ORDENES'!$A265="","",IF('ORDENES'!$AF265="","-",'ORDENES'!$AF265))</f>
        <v/>
      </c>
      <c r="D287" s="3">
        <f>IF('ORDENES'!$A265="","",IF('ORDENES'!$X265="","-",'ORDENES'!$X265))</f>
        <v/>
      </c>
      <c r="E287" s="3">
        <f>IF('ORDENES'!$A265="","",IF('ORDENES'!$V265="","-",'ORDENES'!$V265))</f>
        <v/>
      </c>
      <c r="F287" s="3">
        <f>IF('ORDENES'!$A265="","",IF('ORDENES'!$Y265="","-",'ORDENES'!$Y265))</f>
        <v/>
      </c>
      <c r="G287" s="3">
        <f>IF('ORDENES'!$A265="","",IF('ORDENES'!$W265="","-",'ORDENES'!$W265))</f>
        <v/>
      </c>
      <c r="H287" s="3">
        <f>IF('ORDENES'!$A265="","",IF('ORDENES'!$AE265="","-",'ORDENES'!$AE265))</f>
        <v/>
      </c>
      <c r="I287" s="3">
        <f>IF('ORDENES'!$A265="","",IF('ORDENES'!$AQ265="","-",'ORDENES'!$AQ265))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IF('ORDENES'!$A265="","",'ORDENES'!$AD265)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IF('ORDENES'!$A266="","",IF('ORDENES'!$AF266="","-",'ORDENES'!$AF266))</f>
        <v/>
      </c>
      <c r="D288" s="3">
        <f>IF('ORDENES'!$A266="","",IF('ORDENES'!$X266="","-",'ORDENES'!$X266))</f>
        <v/>
      </c>
      <c r="E288" s="3">
        <f>IF('ORDENES'!$A266="","",IF('ORDENES'!$V266="","-",'ORDENES'!$V266))</f>
        <v/>
      </c>
      <c r="F288" s="3">
        <f>IF('ORDENES'!$A266="","",IF('ORDENES'!$Y266="","-",'ORDENES'!$Y266))</f>
        <v/>
      </c>
      <c r="G288" s="3">
        <f>IF('ORDENES'!$A266="","",IF('ORDENES'!$W266="","-",'ORDENES'!$W266))</f>
        <v/>
      </c>
      <c r="H288" s="3">
        <f>IF('ORDENES'!$A266="","",IF('ORDENES'!$AE266="","-",'ORDENES'!$AE266))</f>
        <v/>
      </c>
      <c r="I288" s="3">
        <f>IF('ORDENES'!$A266="","",IF('ORDENES'!$AQ266="","-",'ORDENES'!$AQ266))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IF('ORDENES'!$A266="","",'ORDENES'!$AD266)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IF('ORDENES'!$A267="","",IF('ORDENES'!$AF267="","-",'ORDENES'!$AF267))</f>
        <v/>
      </c>
      <c r="D289" s="3">
        <f>IF('ORDENES'!$A267="","",IF('ORDENES'!$X267="","-",'ORDENES'!$X267))</f>
        <v/>
      </c>
      <c r="E289" s="3">
        <f>IF('ORDENES'!$A267="","",IF('ORDENES'!$V267="","-",'ORDENES'!$V267))</f>
        <v/>
      </c>
      <c r="F289" s="3">
        <f>IF('ORDENES'!$A267="","",IF('ORDENES'!$Y267="","-",'ORDENES'!$Y267))</f>
        <v/>
      </c>
      <c r="G289" s="3">
        <f>IF('ORDENES'!$A267="","",IF('ORDENES'!$W267="","-",'ORDENES'!$W267))</f>
        <v/>
      </c>
      <c r="H289" s="3">
        <f>IF('ORDENES'!$A267="","",IF('ORDENES'!$AE267="","-",'ORDENES'!$AE267))</f>
        <v/>
      </c>
      <c r="I289" s="3">
        <f>IF('ORDENES'!$A267="","",IF('ORDENES'!$AQ267="","-",'ORDENES'!$AQ267))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IF('ORDENES'!$A267="","",'ORDENES'!$AD267)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IF('ORDENES'!$A268="","",IF('ORDENES'!$AF268="","-",'ORDENES'!$AF268))</f>
        <v/>
      </c>
      <c r="D290" s="3">
        <f>IF('ORDENES'!$A268="","",IF('ORDENES'!$X268="","-",'ORDENES'!$X268))</f>
        <v/>
      </c>
      <c r="E290" s="3">
        <f>IF('ORDENES'!$A268="","",IF('ORDENES'!$V268="","-",'ORDENES'!$V268))</f>
        <v/>
      </c>
      <c r="F290" s="3">
        <f>IF('ORDENES'!$A268="","",IF('ORDENES'!$Y268="","-",'ORDENES'!$Y268))</f>
        <v/>
      </c>
      <c r="G290" s="3">
        <f>IF('ORDENES'!$A268="","",IF('ORDENES'!$W268="","-",'ORDENES'!$W268))</f>
        <v/>
      </c>
      <c r="H290" s="3">
        <f>IF('ORDENES'!$A268="","",IF('ORDENES'!$AE268="","-",'ORDENES'!$AE268))</f>
        <v/>
      </c>
      <c r="I290" s="3">
        <f>IF('ORDENES'!$A268="","",IF('ORDENES'!$AQ268="","-",'ORDENES'!$AQ268))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IF('ORDENES'!$A268="","",'ORDENES'!$AD268)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IF('ORDENES'!$A269="","",IF('ORDENES'!$AF269="","-",'ORDENES'!$AF269))</f>
        <v/>
      </c>
      <c r="D291" s="3">
        <f>IF('ORDENES'!$A269="","",IF('ORDENES'!$X269="","-",'ORDENES'!$X269))</f>
        <v/>
      </c>
      <c r="E291" s="3">
        <f>IF('ORDENES'!$A269="","",IF('ORDENES'!$V269="","-",'ORDENES'!$V269))</f>
        <v/>
      </c>
      <c r="F291" s="3">
        <f>IF('ORDENES'!$A269="","",IF('ORDENES'!$Y269="","-",'ORDENES'!$Y269))</f>
        <v/>
      </c>
      <c r="G291" s="3">
        <f>IF('ORDENES'!$A269="","",IF('ORDENES'!$W269="","-",'ORDENES'!$W269))</f>
        <v/>
      </c>
      <c r="H291" s="3">
        <f>IF('ORDENES'!$A269="","",IF('ORDENES'!$AE269="","-",'ORDENES'!$AE269))</f>
        <v/>
      </c>
      <c r="I291" s="3">
        <f>IF('ORDENES'!$A269="","",IF('ORDENES'!$AQ269="","-",'ORDENES'!$AQ269))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IF('ORDENES'!$A269="","",'ORDENES'!$AD269)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IF('ORDENES'!$A270="","",IF('ORDENES'!$AF270="","-",'ORDENES'!$AF270))</f>
        <v/>
      </c>
      <c r="D292" s="3">
        <f>IF('ORDENES'!$A270="","",IF('ORDENES'!$X270="","-",'ORDENES'!$X270))</f>
        <v/>
      </c>
      <c r="E292" s="3">
        <f>IF('ORDENES'!$A270="","",IF('ORDENES'!$V270="","-",'ORDENES'!$V270))</f>
        <v/>
      </c>
      <c r="F292" s="3">
        <f>IF('ORDENES'!$A270="","",IF('ORDENES'!$Y270="","-",'ORDENES'!$Y270))</f>
        <v/>
      </c>
      <c r="G292" s="3">
        <f>IF('ORDENES'!$A270="","",IF('ORDENES'!$W270="","-",'ORDENES'!$W270))</f>
        <v/>
      </c>
      <c r="H292" s="3">
        <f>IF('ORDENES'!$A270="","",IF('ORDENES'!$AE270="","-",'ORDENES'!$AE270))</f>
        <v/>
      </c>
      <c r="I292" s="3">
        <f>IF('ORDENES'!$A270="","",IF('ORDENES'!$AQ270="","-",'ORDENES'!$AQ270))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IF('ORDENES'!$A270="","",'ORDENES'!$AD270)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IF('ORDENES'!$A271="","",IF('ORDENES'!$AF271="","-",'ORDENES'!$AF271))</f>
        <v/>
      </c>
      <c r="D293" s="3">
        <f>IF('ORDENES'!$A271="","",IF('ORDENES'!$X271="","-",'ORDENES'!$X271))</f>
        <v/>
      </c>
      <c r="E293" s="3">
        <f>IF('ORDENES'!$A271="","",IF('ORDENES'!$V271="","-",'ORDENES'!$V271))</f>
        <v/>
      </c>
      <c r="F293" s="3">
        <f>IF('ORDENES'!$A271="","",IF('ORDENES'!$Y271="","-",'ORDENES'!$Y271))</f>
        <v/>
      </c>
      <c r="G293" s="3">
        <f>IF('ORDENES'!$A271="","",IF('ORDENES'!$W271="","-",'ORDENES'!$W271))</f>
        <v/>
      </c>
      <c r="H293" s="3">
        <f>IF('ORDENES'!$A271="","",IF('ORDENES'!$AE271="","-",'ORDENES'!$AE271))</f>
        <v/>
      </c>
      <c r="I293" s="3">
        <f>IF('ORDENES'!$A271="","",IF('ORDENES'!$AQ271="","-",'ORDENES'!$AQ271))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IF('ORDENES'!$A271="","",'ORDENES'!$AD271)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IF('ORDENES'!$A272="","",IF('ORDENES'!$AF272="","-",'ORDENES'!$AF272))</f>
        <v/>
      </c>
      <c r="D294" s="3">
        <f>IF('ORDENES'!$A272="","",IF('ORDENES'!$X272="","-",'ORDENES'!$X272))</f>
        <v/>
      </c>
      <c r="E294" s="3">
        <f>IF('ORDENES'!$A272="","",IF('ORDENES'!$V272="","-",'ORDENES'!$V272))</f>
        <v/>
      </c>
      <c r="F294" s="3">
        <f>IF('ORDENES'!$A272="","",IF('ORDENES'!$Y272="","-",'ORDENES'!$Y272))</f>
        <v/>
      </c>
      <c r="G294" s="3">
        <f>IF('ORDENES'!$A272="","",IF('ORDENES'!$W272="","-",'ORDENES'!$W272))</f>
        <v/>
      </c>
      <c r="H294" s="3">
        <f>IF('ORDENES'!$A272="","",IF('ORDENES'!$AE272="","-",'ORDENES'!$AE272))</f>
        <v/>
      </c>
      <c r="I294" s="3">
        <f>IF('ORDENES'!$A272="","",IF('ORDENES'!$AQ272="","-",'ORDENES'!$AQ272))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IF('ORDENES'!$A272="","",'ORDENES'!$AD272)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IF('ORDENES'!$A273="","",IF('ORDENES'!$AF273="","-",'ORDENES'!$AF273))</f>
        <v/>
      </c>
      <c r="D295" s="3">
        <f>IF('ORDENES'!$A273="","",IF('ORDENES'!$X273="","-",'ORDENES'!$X273))</f>
        <v/>
      </c>
      <c r="E295" s="3">
        <f>IF('ORDENES'!$A273="","",IF('ORDENES'!$V273="","-",'ORDENES'!$V273))</f>
        <v/>
      </c>
      <c r="F295" s="3">
        <f>IF('ORDENES'!$A273="","",IF('ORDENES'!$Y273="","-",'ORDENES'!$Y273))</f>
        <v/>
      </c>
      <c r="G295" s="3">
        <f>IF('ORDENES'!$A273="","",IF('ORDENES'!$W273="","-",'ORDENES'!$W273))</f>
        <v/>
      </c>
      <c r="H295" s="3">
        <f>IF('ORDENES'!$A273="","",IF('ORDENES'!$AE273="","-",'ORDENES'!$AE273))</f>
        <v/>
      </c>
      <c r="I295" s="3">
        <f>IF('ORDENES'!$A273="","",IF('ORDENES'!$AQ273="","-",'ORDENES'!$AQ273))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IF('ORDENES'!$A273="","",'ORDENES'!$AD273)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IF('ORDENES'!$A274="","",IF('ORDENES'!$AF274="","-",'ORDENES'!$AF274))</f>
        <v/>
      </c>
      <c r="D296" s="3">
        <f>IF('ORDENES'!$A274="","",IF('ORDENES'!$X274="","-",'ORDENES'!$X274))</f>
        <v/>
      </c>
      <c r="E296" s="3">
        <f>IF('ORDENES'!$A274="","",IF('ORDENES'!$V274="","-",'ORDENES'!$V274))</f>
        <v/>
      </c>
      <c r="F296" s="3">
        <f>IF('ORDENES'!$A274="","",IF('ORDENES'!$Y274="","-",'ORDENES'!$Y274))</f>
        <v/>
      </c>
      <c r="G296" s="3">
        <f>IF('ORDENES'!$A274="","",IF('ORDENES'!$W274="","-",'ORDENES'!$W274))</f>
        <v/>
      </c>
      <c r="H296" s="3">
        <f>IF('ORDENES'!$A274="","",IF('ORDENES'!$AE274="","-",'ORDENES'!$AE274))</f>
        <v/>
      </c>
      <c r="I296" s="3">
        <f>IF('ORDENES'!$A274="","",IF('ORDENES'!$AQ274="","-",'ORDENES'!$AQ274))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IF('ORDENES'!$A274="","",'ORDENES'!$AD274)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IF('ORDENES'!$A275="","",IF('ORDENES'!$AF275="","-",'ORDENES'!$AF275))</f>
        <v/>
      </c>
      <c r="D297" s="3">
        <f>IF('ORDENES'!$A275="","",IF('ORDENES'!$X275="","-",'ORDENES'!$X275))</f>
        <v/>
      </c>
      <c r="E297" s="3">
        <f>IF('ORDENES'!$A275="","",IF('ORDENES'!$V275="","-",'ORDENES'!$V275))</f>
        <v/>
      </c>
      <c r="F297" s="3">
        <f>IF('ORDENES'!$A275="","",IF('ORDENES'!$Y275="","-",'ORDENES'!$Y275))</f>
        <v/>
      </c>
      <c r="G297" s="3">
        <f>IF('ORDENES'!$A275="","",IF('ORDENES'!$W275="","-",'ORDENES'!$W275))</f>
        <v/>
      </c>
      <c r="H297" s="3">
        <f>IF('ORDENES'!$A275="","",IF('ORDENES'!$AE275="","-",'ORDENES'!$AE275))</f>
        <v/>
      </c>
      <c r="I297" s="3">
        <f>IF('ORDENES'!$A275="","",IF('ORDENES'!$AQ275="","-",'ORDENES'!$AQ275))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IF('ORDENES'!$A275="","",'ORDENES'!$AD275)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IF('ORDENES'!$A276="","",IF('ORDENES'!$AF276="","-",'ORDENES'!$AF276))</f>
        <v/>
      </c>
      <c r="D298" s="3">
        <f>IF('ORDENES'!$A276="","",IF('ORDENES'!$X276="","-",'ORDENES'!$X276))</f>
        <v/>
      </c>
      <c r="E298" s="3">
        <f>IF('ORDENES'!$A276="","",IF('ORDENES'!$V276="","-",'ORDENES'!$V276))</f>
        <v/>
      </c>
      <c r="F298" s="3">
        <f>IF('ORDENES'!$A276="","",IF('ORDENES'!$Y276="","-",'ORDENES'!$Y276))</f>
        <v/>
      </c>
      <c r="G298" s="3">
        <f>IF('ORDENES'!$A276="","",IF('ORDENES'!$W276="","-",'ORDENES'!$W276))</f>
        <v/>
      </c>
      <c r="H298" s="3">
        <f>IF('ORDENES'!$A276="","",IF('ORDENES'!$AE276="","-",'ORDENES'!$AE276))</f>
        <v/>
      </c>
      <c r="I298" s="3">
        <f>IF('ORDENES'!$A276="","",IF('ORDENES'!$AQ276="","-",'ORDENES'!$AQ276))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IF('ORDENES'!$A276="","",'ORDENES'!$AD276)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IF('ORDENES'!$A277="","",IF('ORDENES'!$AF277="","-",'ORDENES'!$AF277))</f>
        <v/>
      </c>
      <c r="D299" s="3">
        <f>IF('ORDENES'!$A277="","",IF('ORDENES'!$X277="","-",'ORDENES'!$X277))</f>
        <v/>
      </c>
      <c r="E299" s="3">
        <f>IF('ORDENES'!$A277="","",IF('ORDENES'!$V277="","-",'ORDENES'!$V277))</f>
        <v/>
      </c>
      <c r="F299" s="3">
        <f>IF('ORDENES'!$A277="","",IF('ORDENES'!$Y277="","-",'ORDENES'!$Y277))</f>
        <v/>
      </c>
      <c r="G299" s="3">
        <f>IF('ORDENES'!$A277="","",IF('ORDENES'!$W277="","-",'ORDENES'!$W277))</f>
        <v/>
      </c>
      <c r="H299" s="3">
        <f>IF('ORDENES'!$A277="","",IF('ORDENES'!$AE277="","-",'ORDENES'!$AE277))</f>
        <v/>
      </c>
      <c r="I299" s="3">
        <f>IF('ORDENES'!$A277="","",IF('ORDENES'!$AQ277="","-",'ORDENES'!$AQ277))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IF('ORDENES'!$A277="","",'ORDENES'!$AD277)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IF('ORDENES'!$A278="","",IF('ORDENES'!$AF278="","-",'ORDENES'!$AF278))</f>
        <v/>
      </c>
      <c r="D300" s="3">
        <f>IF('ORDENES'!$A278="","",IF('ORDENES'!$X278="","-",'ORDENES'!$X278))</f>
        <v/>
      </c>
      <c r="E300" s="3">
        <f>IF('ORDENES'!$A278="","",IF('ORDENES'!$V278="","-",'ORDENES'!$V278))</f>
        <v/>
      </c>
      <c r="F300" s="3">
        <f>IF('ORDENES'!$A278="","",IF('ORDENES'!$Y278="","-",'ORDENES'!$Y278))</f>
        <v/>
      </c>
      <c r="G300" s="3">
        <f>IF('ORDENES'!$A278="","",IF('ORDENES'!$W278="","-",'ORDENES'!$W278))</f>
        <v/>
      </c>
      <c r="H300" s="3">
        <f>IF('ORDENES'!$A278="","",IF('ORDENES'!$AE278="","-",'ORDENES'!$AE278))</f>
        <v/>
      </c>
      <c r="I300" s="3">
        <f>IF('ORDENES'!$A278="","",IF('ORDENES'!$AQ278="","-",'ORDENES'!$AQ278))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IF('ORDENES'!$A278="","",'ORDENES'!$AD278)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IF('ORDENES'!$A279="","",IF('ORDENES'!$AF279="","-",'ORDENES'!$AF279))</f>
        <v/>
      </c>
      <c r="D301" s="3">
        <f>IF('ORDENES'!$A279="","",IF('ORDENES'!$X279="","-",'ORDENES'!$X279))</f>
        <v/>
      </c>
      <c r="E301" s="3">
        <f>IF('ORDENES'!$A279="","",IF('ORDENES'!$V279="","-",'ORDENES'!$V279))</f>
        <v/>
      </c>
      <c r="F301" s="3">
        <f>IF('ORDENES'!$A279="","",IF('ORDENES'!$Y279="","-",'ORDENES'!$Y279))</f>
        <v/>
      </c>
      <c r="G301" s="3">
        <f>IF('ORDENES'!$A279="","",IF('ORDENES'!$W279="","-",'ORDENES'!$W279))</f>
        <v/>
      </c>
      <c r="H301" s="3">
        <f>IF('ORDENES'!$A279="","",IF('ORDENES'!$AE279="","-",'ORDENES'!$AE279))</f>
        <v/>
      </c>
      <c r="I301" s="3">
        <f>IF('ORDENES'!$A279="","",IF('ORDENES'!$AQ279="","-",'ORDENES'!$AQ279))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IF('ORDENES'!$A279="","",'ORDENES'!$AD279)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IF('ORDENES'!$A280="","",IF('ORDENES'!$AF280="","-",'ORDENES'!$AF280))</f>
        <v/>
      </c>
      <c r="D302" s="3">
        <f>IF('ORDENES'!$A280="","",IF('ORDENES'!$X280="","-",'ORDENES'!$X280))</f>
        <v/>
      </c>
      <c r="E302" s="3">
        <f>IF('ORDENES'!$A280="","",IF('ORDENES'!$V280="","-",'ORDENES'!$V280))</f>
        <v/>
      </c>
      <c r="F302" s="3">
        <f>IF('ORDENES'!$A280="","",IF('ORDENES'!$Y280="","-",'ORDENES'!$Y280))</f>
        <v/>
      </c>
      <c r="G302" s="3">
        <f>IF('ORDENES'!$A280="","",IF('ORDENES'!$W280="","-",'ORDENES'!$W280))</f>
        <v/>
      </c>
      <c r="H302" s="3">
        <f>IF('ORDENES'!$A280="","",IF('ORDENES'!$AE280="","-",'ORDENES'!$AE280))</f>
        <v/>
      </c>
      <c r="I302" s="3">
        <f>IF('ORDENES'!$A280="","",IF('ORDENES'!$AQ280="","-",'ORDENES'!$AQ280))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IF('ORDENES'!$A280="","",'ORDENES'!$AD280)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IF('ORDENES'!$A281="","",IF('ORDENES'!$AF281="","-",'ORDENES'!$AF281))</f>
        <v/>
      </c>
      <c r="D303" s="3">
        <f>IF('ORDENES'!$A281="","",IF('ORDENES'!$X281="","-",'ORDENES'!$X281))</f>
        <v/>
      </c>
      <c r="E303" s="3">
        <f>IF('ORDENES'!$A281="","",IF('ORDENES'!$V281="","-",'ORDENES'!$V281))</f>
        <v/>
      </c>
      <c r="F303" s="3">
        <f>IF('ORDENES'!$A281="","",IF('ORDENES'!$Y281="","-",'ORDENES'!$Y281))</f>
        <v/>
      </c>
      <c r="G303" s="3">
        <f>IF('ORDENES'!$A281="","",IF('ORDENES'!$W281="","-",'ORDENES'!$W281))</f>
        <v/>
      </c>
      <c r="H303" s="3">
        <f>IF('ORDENES'!$A281="","",IF('ORDENES'!$AE281="","-",'ORDENES'!$AE281))</f>
        <v/>
      </c>
      <c r="I303" s="3">
        <f>IF('ORDENES'!$A281="","",IF('ORDENES'!$AQ281="","-",'ORDENES'!$AQ281))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IF('ORDENES'!$A281="","",'ORDENES'!$AD281)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IF('ORDENES'!$A282="","",IF('ORDENES'!$AF282="","-",'ORDENES'!$AF282))</f>
        <v/>
      </c>
      <c r="D304" s="3">
        <f>IF('ORDENES'!$A282="","",IF('ORDENES'!$X282="","-",'ORDENES'!$X282))</f>
        <v/>
      </c>
      <c r="E304" s="3">
        <f>IF('ORDENES'!$A282="","",IF('ORDENES'!$V282="","-",'ORDENES'!$V282))</f>
        <v/>
      </c>
      <c r="F304" s="3">
        <f>IF('ORDENES'!$A282="","",IF('ORDENES'!$Y282="","-",'ORDENES'!$Y282))</f>
        <v/>
      </c>
      <c r="G304" s="3">
        <f>IF('ORDENES'!$A282="","",IF('ORDENES'!$W282="","-",'ORDENES'!$W282))</f>
        <v/>
      </c>
      <c r="H304" s="3">
        <f>IF('ORDENES'!$A282="","",IF('ORDENES'!$AE282="","-",'ORDENES'!$AE282))</f>
        <v/>
      </c>
      <c r="I304" s="3">
        <f>IF('ORDENES'!$A282="","",IF('ORDENES'!$AQ282="","-",'ORDENES'!$AQ282))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IF('ORDENES'!$A282="","",'ORDENES'!$AD282)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IF('ORDENES'!$A283="","",IF('ORDENES'!$AF283="","-",'ORDENES'!$AF283))</f>
        <v/>
      </c>
      <c r="D305" s="3">
        <f>IF('ORDENES'!$A283="","",IF('ORDENES'!$X283="","-",'ORDENES'!$X283))</f>
        <v/>
      </c>
      <c r="E305" s="3">
        <f>IF('ORDENES'!$A283="","",IF('ORDENES'!$V283="","-",'ORDENES'!$V283))</f>
        <v/>
      </c>
      <c r="F305" s="3">
        <f>IF('ORDENES'!$A283="","",IF('ORDENES'!$Y283="","-",'ORDENES'!$Y283))</f>
        <v/>
      </c>
      <c r="G305" s="3">
        <f>IF('ORDENES'!$A283="","",IF('ORDENES'!$W283="","-",'ORDENES'!$W283))</f>
        <v/>
      </c>
      <c r="H305" s="3">
        <f>IF('ORDENES'!$A283="","",IF('ORDENES'!$AE283="","-",'ORDENES'!$AE283))</f>
        <v/>
      </c>
      <c r="I305" s="3">
        <f>IF('ORDENES'!$A283="","",IF('ORDENES'!$AQ283="","-",'ORDENES'!$AQ283))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IF('ORDENES'!$A283="","",'ORDENES'!$AD283)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IF('ORDENES'!$A284="","",IF('ORDENES'!$AF284="","-",'ORDENES'!$AF284))</f>
        <v/>
      </c>
      <c r="D306" s="3">
        <f>IF('ORDENES'!$A284="","",IF('ORDENES'!$X284="","-",'ORDENES'!$X284))</f>
        <v/>
      </c>
      <c r="E306" s="3">
        <f>IF('ORDENES'!$A284="","",IF('ORDENES'!$V284="","-",'ORDENES'!$V284))</f>
        <v/>
      </c>
      <c r="F306" s="3">
        <f>IF('ORDENES'!$A284="","",IF('ORDENES'!$Y284="","-",'ORDENES'!$Y284))</f>
        <v/>
      </c>
      <c r="G306" s="3">
        <f>IF('ORDENES'!$A284="","",IF('ORDENES'!$W284="","-",'ORDENES'!$W284))</f>
        <v/>
      </c>
      <c r="H306" s="3">
        <f>IF('ORDENES'!$A284="","",IF('ORDENES'!$AE284="","-",'ORDENES'!$AE284))</f>
        <v/>
      </c>
      <c r="I306" s="3">
        <f>IF('ORDENES'!$A284="","",IF('ORDENES'!$AQ284="","-",'ORDENES'!$AQ284))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IF('ORDENES'!$A284="","",'ORDENES'!$AD284)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IF('ORDENES'!$A285="","",IF('ORDENES'!$AF285="","-",'ORDENES'!$AF285))</f>
        <v/>
      </c>
      <c r="D307" s="3">
        <f>IF('ORDENES'!$A285="","",IF('ORDENES'!$X285="","-",'ORDENES'!$X285))</f>
        <v/>
      </c>
      <c r="E307" s="3">
        <f>IF('ORDENES'!$A285="","",IF('ORDENES'!$V285="","-",'ORDENES'!$V285))</f>
        <v/>
      </c>
      <c r="F307" s="3">
        <f>IF('ORDENES'!$A285="","",IF('ORDENES'!$Y285="","-",'ORDENES'!$Y285))</f>
        <v/>
      </c>
      <c r="G307" s="3">
        <f>IF('ORDENES'!$A285="","",IF('ORDENES'!$W285="","-",'ORDENES'!$W285))</f>
        <v/>
      </c>
      <c r="H307" s="3">
        <f>IF('ORDENES'!$A285="","",IF('ORDENES'!$AE285="","-",'ORDENES'!$AE285))</f>
        <v/>
      </c>
      <c r="I307" s="3">
        <f>IF('ORDENES'!$A285="","",IF('ORDENES'!$AQ285="","-",'ORDENES'!$AQ285))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IF('ORDENES'!$A285="","",'ORDENES'!$AD285)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IF('ORDENES'!$A286="","",IF('ORDENES'!$AF286="","-",'ORDENES'!$AF286))</f>
        <v/>
      </c>
      <c r="D308" s="3">
        <f>IF('ORDENES'!$A286="","",IF('ORDENES'!$X286="","-",'ORDENES'!$X286))</f>
        <v/>
      </c>
      <c r="E308" s="3">
        <f>IF('ORDENES'!$A286="","",IF('ORDENES'!$V286="","-",'ORDENES'!$V286))</f>
        <v/>
      </c>
      <c r="F308" s="3">
        <f>IF('ORDENES'!$A286="","",IF('ORDENES'!$Y286="","-",'ORDENES'!$Y286))</f>
        <v/>
      </c>
      <c r="G308" s="3">
        <f>IF('ORDENES'!$A286="","",IF('ORDENES'!$W286="","-",'ORDENES'!$W286))</f>
        <v/>
      </c>
      <c r="H308" s="3">
        <f>IF('ORDENES'!$A286="","",IF('ORDENES'!$AE286="","-",'ORDENES'!$AE286))</f>
        <v/>
      </c>
      <c r="I308" s="3">
        <f>IF('ORDENES'!$A286="","",IF('ORDENES'!$AQ286="","-",'ORDENES'!$AQ286))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IF('ORDENES'!$A286="","",'ORDENES'!$AD286)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IF('ORDENES'!$A287="","",IF('ORDENES'!$AF287="","-",'ORDENES'!$AF287))</f>
        <v/>
      </c>
      <c r="D309" s="3">
        <f>IF('ORDENES'!$A287="","",IF('ORDENES'!$X287="","-",'ORDENES'!$X287))</f>
        <v/>
      </c>
      <c r="E309" s="3">
        <f>IF('ORDENES'!$A287="","",IF('ORDENES'!$V287="","-",'ORDENES'!$V287))</f>
        <v/>
      </c>
      <c r="F309" s="3">
        <f>IF('ORDENES'!$A287="","",IF('ORDENES'!$Y287="","-",'ORDENES'!$Y287))</f>
        <v/>
      </c>
      <c r="G309" s="3">
        <f>IF('ORDENES'!$A287="","",IF('ORDENES'!$W287="","-",'ORDENES'!$W287))</f>
        <v/>
      </c>
      <c r="H309" s="3">
        <f>IF('ORDENES'!$A287="","",IF('ORDENES'!$AE287="","-",'ORDENES'!$AE287))</f>
        <v/>
      </c>
      <c r="I309" s="3">
        <f>IF('ORDENES'!$A287="","",IF('ORDENES'!$AQ287="","-",'ORDENES'!$AQ287))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IF('ORDENES'!$A287="","",'ORDENES'!$AD287)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IF('ORDENES'!$A288="","",IF('ORDENES'!$AF288="","-",'ORDENES'!$AF288))</f>
        <v/>
      </c>
      <c r="D310" s="3">
        <f>IF('ORDENES'!$A288="","",IF('ORDENES'!$X288="","-",'ORDENES'!$X288))</f>
        <v/>
      </c>
      <c r="E310" s="3">
        <f>IF('ORDENES'!$A288="","",IF('ORDENES'!$V288="","-",'ORDENES'!$V288))</f>
        <v/>
      </c>
      <c r="F310" s="3">
        <f>IF('ORDENES'!$A288="","",IF('ORDENES'!$Y288="","-",'ORDENES'!$Y288))</f>
        <v/>
      </c>
      <c r="G310" s="3">
        <f>IF('ORDENES'!$A288="","",IF('ORDENES'!$W288="","-",'ORDENES'!$W288))</f>
        <v/>
      </c>
      <c r="H310" s="3">
        <f>IF('ORDENES'!$A288="","",IF('ORDENES'!$AE288="","-",'ORDENES'!$AE288))</f>
        <v/>
      </c>
      <c r="I310" s="3">
        <f>IF('ORDENES'!$A288="","",IF('ORDENES'!$AQ288="","-",'ORDENES'!$AQ288))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IF('ORDENES'!$A288="","",'ORDENES'!$AD288)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IF('ORDENES'!$A289="","",IF('ORDENES'!$AF289="","-",'ORDENES'!$AF289))</f>
        <v/>
      </c>
      <c r="D311" s="3">
        <f>IF('ORDENES'!$A289="","",IF('ORDENES'!$X289="","-",'ORDENES'!$X289))</f>
        <v/>
      </c>
      <c r="E311" s="3">
        <f>IF('ORDENES'!$A289="","",IF('ORDENES'!$V289="","-",'ORDENES'!$V289))</f>
        <v/>
      </c>
      <c r="F311" s="3">
        <f>IF('ORDENES'!$A289="","",IF('ORDENES'!$Y289="","-",'ORDENES'!$Y289))</f>
        <v/>
      </c>
      <c r="G311" s="3">
        <f>IF('ORDENES'!$A289="","",IF('ORDENES'!$W289="","-",'ORDENES'!$W289))</f>
        <v/>
      </c>
      <c r="H311" s="3">
        <f>IF('ORDENES'!$A289="","",IF('ORDENES'!$AE289="","-",'ORDENES'!$AE289))</f>
        <v/>
      </c>
      <c r="I311" s="3">
        <f>IF('ORDENES'!$A289="","",IF('ORDENES'!$AQ289="","-",'ORDENES'!$AQ289))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IF('ORDENES'!$A289="","",'ORDENES'!$AD289)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IF('ORDENES'!$A290="","",IF('ORDENES'!$AF290="","-",'ORDENES'!$AF290))</f>
        <v/>
      </c>
      <c r="D312" s="3">
        <f>IF('ORDENES'!$A290="","",IF('ORDENES'!$X290="","-",'ORDENES'!$X290))</f>
        <v/>
      </c>
      <c r="E312" s="3">
        <f>IF('ORDENES'!$A290="","",IF('ORDENES'!$V290="","-",'ORDENES'!$V290))</f>
        <v/>
      </c>
      <c r="F312" s="3">
        <f>IF('ORDENES'!$A290="","",IF('ORDENES'!$Y290="","-",'ORDENES'!$Y290))</f>
        <v/>
      </c>
      <c r="G312" s="3">
        <f>IF('ORDENES'!$A290="","",IF('ORDENES'!$W290="","-",'ORDENES'!$W290))</f>
        <v/>
      </c>
      <c r="H312" s="3">
        <f>IF('ORDENES'!$A290="","",IF('ORDENES'!$AE290="","-",'ORDENES'!$AE290))</f>
        <v/>
      </c>
      <c r="I312" s="3">
        <f>IF('ORDENES'!$A290="","",IF('ORDENES'!$AQ290="","-",'ORDENES'!$AQ290))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IF('ORDENES'!$A290="","",'ORDENES'!$AD290)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IF('ORDENES'!$A291="","",IF('ORDENES'!$AF291="","-",'ORDENES'!$AF291))</f>
        <v/>
      </c>
      <c r="D313" s="3">
        <f>IF('ORDENES'!$A291="","",IF('ORDENES'!$X291="","-",'ORDENES'!$X291))</f>
        <v/>
      </c>
      <c r="E313" s="3">
        <f>IF('ORDENES'!$A291="","",IF('ORDENES'!$V291="","-",'ORDENES'!$V291))</f>
        <v/>
      </c>
      <c r="F313" s="3">
        <f>IF('ORDENES'!$A291="","",IF('ORDENES'!$Y291="","-",'ORDENES'!$Y291))</f>
        <v/>
      </c>
      <c r="G313" s="3">
        <f>IF('ORDENES'!$A291="","",IF('ORDENES'!$W291="","-",'ORDENES'!$W291))</f>
        <v/>
      </c>
      <c r="H313" s="3">
        <f>IF('ORDENES'!$A291="","",IF('ORDENES'!$AE291="","-",'ORDENES'!$AE291))</f>
        <v/>
      </c>
      <c r="I313" s="3">
        <f>IF('ORDENES'!$A291="","",IF('ORDENES'!$AQ291="","-",'ORDENES'!$AQ291))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IF('ORDENES'!$A291="","",'ORDENES'!$AD291)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IF('ORDENES'!$A292="","",IF('ORDENES'!$AF292="","-",'ORDENES'!$AF292))</f>
        <v/>
      </c>
      <c r="D314" s="3">
        <f>IF('ORDENES'!$A292="","",IF('ORDENES'!$X292="","-",'ORDENES'!$X292))</f>
        <v/>
      </c>
      <c r="E314" s="3">
        <f>IF('ORDENES'!$A292="","",IF('ORDENES'!$V292="","-",'ORDENES'!$V292))</f>
        <v/>
      </c>
      <c r="F314" s="3">
        <f>IF('ORDENES'!$A292="","",IF('ORDENES'!$Y292="","-",'ORDENES'!$Y292))</f>
        <v/>
      </c>
      <c r="G314" s="3">
        <f>IF('ORDENES'!$A292="","",IF('ORDENES'!$W292="","-",'ORDENES'!$W292))</f>
        <v/>
      </c>
      <c r="H314" s="3">
        <f>IF('ORDENES'!$A292="","",IF('ORDENES'!$AE292="","-",'ORDENES'!$AE292))</f>
        <v/>
      </c>
      <c r="I314" s="3">
        <f>IF('ORDENES'!$A292="","",IF('ORDENES'!$AQ292="","-",'ORDENES'!$AQ292))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IF('ORDENES'!$A292="","",'ORDENES'!$AD292)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IF('ORDENES'!$A293="","",IF('ORDENES'!$AF293="","-",'ORDENES'!$AF293))</f>
        <v/>
      </c>
      <c r="D315" s="3">
        <f>IF('ORDENES'!$A293="","",IF('ORDENES'!$X293="","-",'ORDENES'!$X293))</f>
        <v/>
      </c>
      <c r="E315" s="3">
        <f>IF('ORDENES'!$A293="","",IF('ORDENES'!$V293="","-",'ORDENES'!$V293))</f>
        <v/>
      </c>
      <c r="F315" s="3">
        <f>IF('ORDENES'!$A293="","",IF('ORDENES'!$Y293="","-",'ORDENES'!$Y293))</f>
        <v/>
      </c>
      <c r="G315" s="3">
        <f>IF('ORDENES'!$A293="","",IF('ORDENES'!$W293="","-",'ORDENES'!$W293))</f>
        <v/>
      </c>
      <c r="H315" s="3">
        <f>IF('ORDENES'!$A293="","",IF('ORDENES'!$AE293="","-",'ORDENES'!$AE293))</f>
        <v/>
      </c>
      <c r="I315" s="3">
        <f>IF('ORDENES'!$A293="","",IF('ORDENES'!$AQ293="","-",'ORDENES'!$AQ293))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IF('ORDENES'!$A293="","",'ORDENES'!$AD293)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IF('ORDENES'!$A294="","",IF('ORDENES'!$AF294="","-",'ORDENES'!$AF294))</f>
        <v/>
      </c>
      <c r="D316" s="3">
        <f>IF('ORDENES'!$A294="","",IF('ORDENES'!$X294="","-",'ORDENES'!$X294))</f>
        <v/>
      </c>
      <c r="E316" s="3">
        <f>IF('ORDENES'!$A294="","",IF('ORDENES'!$V294="","-",'ORDENES'!$V294))</f>
        <v/>
      </c>
      <c r="F316" s="3">
        <f>IF('ORDENES'!$A294="","",IF('ORDENES'!$Y294="","-",'ORDENES'!$Y294))</f>
        <v/>
      </c>
      <c r="G316" s="3">
        <f>IF('ORDENES'!$A294="","",IF('ORDENES'!$W294="","-",'ORDENES'!$W294))</f>
        <v/>
      </c>
      <c r="H316" s="3">
        <f>IF('ORDENES'!$A294="","",IF('ORDENES'!$AE294="","-",'ORDENES'!$AE294))</f>
        <v/>
      </c>
      <c r="I316" s="3">
        <f>IF('ORDENES'!$A294="","",IF('ORDENES'!$AQ294="","-",'ORDENES'!$AQ294))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IF('ORDENES'!$A294="","",'ORDENES'!$AD294)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IF('ORDENES'!$A295="","",IF('ORDENES'!$AF295="","-",'ORDENES'!$AF295))</f>
        <v/>
      </c>
      <c r="D317" s="3">
        <f>IF('ORDENES'!$A295="","",IF('ORDENES'!$X295="","-",'ORDENES'!$X295))</f>
        <v/>
      </c>
      <c r="E317" s="3">
        <f>IF('ORDENES'!$A295="","",IF('ORDENES'!$V295="","-",'ORDENES'!$V295))</f>
        <v/>
      </c>
      <c r="F317" s="3">
        <f>IF('ORDENES'!$A295="","",IF('ORDENES'!$Y295="","-",'ORDENES'!$Y295))</f>
        <v/>
      </c>
      <c r="G317" s="3">
        <f>IF('ORDENES'!$A295="","",IF('ORDENES'!$W295="","-",'ORDENES'!$W295))</f>
        <v/>
      </c>
      <c r="H317" s="3">
        <f>IF('ORDENES'!$A295="","",IF('ORDENES'!$AE295="","-",'ORDENES'!$AE295))</f>
        <v/>
      </c>
      <c r="I317" s="3">
        <f>IF('ORDENES'!$A295="","",IF('ORDENES'!$AQ295="","-",'ORDENES'!$AQ295))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IF('ORDENES'!$A295="","",'ORDENES'!$AD295)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IF('ORDENES'!$A296="","",IF('ORDENES'!$AF296="","-",'ORDENES'!$AF296))</f>
        <v/>
      </c>
      <c r="D318" s="3">
        <f>IF('ORDENES'!$A296="","",IF('ORDENES'!$X296="","-",'ORDENES'!$X296))</f>
        <v/>
      </c>
      <c r="E318" s="3">
        <f>IF('ORDENES'!$A296="","",IF('ORDENES'!$V296="","-",'ORDENES'!$V296))</f>
        <v/>
      </c>
      <c r="F318" s="3">
        <f>IF('ORDENES'!$A296="","",IF('ORDENES'!$Y296="","-",'ORDENES'!$Y296))</f>
        <v/>
      </c>
      <c r="G318" s="3">
        <f>IF('ORDENES'!$A296="","",IF('ORDENES'!$W296="","-",'ORDENES'!$W296))</f>
        <v/>
      </c>
      <c r="H318" s="3">
        <f>IF('ORDENES'!$A296="","",IF('ORDENES'!$AE296="","-",'ORDENES'!$AE296))</f>
        <v/>
      </c>
      <c r="I318" s="3">
        <f>IF('ORDENES'!$A296="","",IF('ORDENES'!$AQ296="","-",'ORDENES'!$AQ296))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IF('ORDENES'!$A296="","",'ORDENES'!$AD296)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IF('ORDENES'!$A297="","",IF('ORDENES'!$AF297="","-",'ORDENES'!$AF297))</f>
        <v/>
      </c>
      <c r="D319" s="3">
        <f>IF('ORDENES'!$A297="","",IF('ORDENES'!$X297="","-",'ORDENES'!$X297))</f>
        <v/>
      </c>
      <c r="E319" s="3">
        <f>IF('ORDENES'!$A297="","",IF('ORDENES'!$V297="","-",'ORDENES'!$V297))</f>
        <v/>
      </c>
      <c r="F319" s="3">
        <f>IF('ORDENES'!$A297="","",IF('ORDENES'!$Y297="","-",'ORDENES'!$Y297))</f>
        <v/>
      </c>
      <c r="G319" s="3">
        <f>IF('ORDENES'!$A297="","",IF('ORDENES'!$W297="","-",'ORDENES'!$W297))</f>
        <v/>
      </c>
      <c r="H319" s="3">
        <f>IF('ORDENES'!$A297="","",IF('ORDENES'!$AE297="","-",'ORDENES'!$AE297))</f>
        <v/>
      </c>
      <c r="I319" s="3">
        <f>IF('ORDENES'!$A297="","",IF('ORDENES'!$AQ297="","-",'ORDENES'!$AQ297))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IF('ORDENES'!$A297="","",'ORDENES'!$AD297)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IF('ORDENES'!$A298="","",IF('ORDENES'!$AF298="","-",'ORDENES'!$AF298))</f>
        <v/>
      </c>
      <c r="D320" s="3">
        <f>IF('ORDENES'!$A298="","",IF('ORDENES'!$X298="","-",'ORDENES'!$X298))</f>
        <v/>
      </c>
      <c r="E320" s="3">
        <f>IF('ORDENES'!$A298="","",IF('ORDENES'!$V298="","-",'ORDENES'!$V298))</f>
        <v/>
      </c>
      <c r="F320" s="3">
        <f>IF('ORDENES'!$A298="","",IF('ORDENES'!$Y298="","-",'ORDENES'!$Y298))</f>
        <v/>
      </c>
      <c r="G320" s="3">
        <f>IF('ORDENES'!$A298="","",IF('ORDENES'!$W298="","-",'ORDENES'!$W298))</f>
        <v/>
      </c>
      <c r="H320" s="3">
        <f>IF('ORDENES'!$A298="","",IF('ORDENES'!$AE298="","-",'ORDENES'!$AE298))</f>
        <v/>
      </c>
      <c r="I320" s="3">
        <f>IF('ORDENES'!$A298="","",IF('ORDENES'!$AQ298="","-",'ORDENES'!$AQ298))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IF('ORDENES'!$A298="","",'ORDENES'!$AD298)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IF('ORDENES'!$A299="","",IF('ORDENES'!$AF299="","-",'ORDENES'!$AF299))</f>
        <v/>
      </c>
      <c r="D321" s="3">
        <f>IF('ORDENES'!$A299="","",IF('ORDENES'!$X299="","-",'ORDENES'!$X299))</f>
        <v/>
      </c>
      <c r="E321" s="3">
        <f>IF('ORDENES'!$A299="","",IF('ORDENES'!$V299="","-",'ORDENES'!$V299))</f>
        <v/>
      </c>
      <c r="F321" s="3">
        <f>IF('ORDENES'!$A299="","",IF('ORDENES'!$Y299="","-",'ORDENES'!$Y299))</f>
        <v/>
      </c>
      <c r="G321" s="3">
        <f>IF('ORDENES'!$A299="","",IF('ORDENES'!$W299="","-",'ORDENES'!$W299))</f>
        <v/>
      </c>
      <c r="H321" s="3">
        <f>IF('ORDENES'!$A299="","",IF('ORDENES'!$AE299="","-",'ORDENES'!$AE299))</f>
        <v/>
      </c>
      <c r="I321" s="3">
        <f>IF('ORDENES'!$A299="","",IF('ORDENES'!$AQ299="","-",'ORDENES'!$AQ299))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IF('ORDENES'!$A299="","",'ORDENES'!$AD299)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IF('ORDENES'!$A300="","",IF('ORDENES'!$AF300="","-",'ORDENES'!$AF300))</f>
        <v/>
      </c>
      <c r="D322" s="3">
        <f>IF('ORDENES'!$A300="","",IF('ORDENES'!$X300="","-",'ORDENES'!$X300))</f>
        <v/>
      </c>
      <c r="E322" s="3">
        <f>IF('ORDENES'!$A300="","",IF('ORDENES'!$V300="","-",'ORDENES'!$V300))</f>
        <v/>
      </c>
      <c r="F322" s="3">
        <f>IF('ORDENES'!$A300="","",IF('ORDENES'!$Y300="","-",'ORDENES'!$Y300))</f>
        <v/>
      </c>
      <c r="G322" s="3">
        <f>IF('ORDENES'!$A300="","",IF('ORDENES'!$W300="","-",'ORDENES'!$W300))</f>
        <v/>
      </c>
      <c r="H322" s="3">
        <f>IF('ORDENES'!$A300="","",IF('ORDENES'!$AE300="","-",'ORDENES'!$AE300))</f>
        <v/>
      </c>
      <c r="I322" s="3">
        <f>IF('ORDENES'!$A300="","",IF('ORDENES'!$AQ300="","-",'ORDENES'!$AQ300))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IF('ORDENES'!$A300="","",'ORDENES'!$AD300)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IF('ORDENES'!$A301="","",IF('ORDENES'!$AF301="","-",'ORDENES'!$AF301))</f>
        <v/>
      </c>
      <c r="D323" s="3">
        <f>IF('ORDENES'!$A301="","",IF('ORDENES'!$X301="","-",'ORDENES'!$X301))</f>
        <v/>
      </c>
      <c r="E323" s="3">
        <f>IF('ORDENES'!$A301="","",IF('ORDENES'!$V301="","-",'ORDENES'!$V301))</f>
        <v/>
      </c>
      <c r="F323" s="3">
        <f>IF('ORDENES'!$A301="","",IF('ORDENES'!$Y301="","-",'ORDENES'!$Y301))</f>
        <v/>
      </c>
      <c r="G323" s="3">
        <f>IF('ORDENES'!$A301="","",IF('ORDENES'!$W301="","-",'ORDENES'!$W301))</f>
        <v/>
      </c>
      <c r="H323" s="3">
        <f>IF('ORDENES'!$A301="","",IF('ORDENES'!$AE301="","-",'ORDENES'!$AE301))</f>
        <v/>
      </c>
      <c r="I323" s="3">
        <f>IF('ORDENES'!$A301="","",IF('ORDENES'!$AQ301="","-",'ORDENES'!$AQ301))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IF('ORDENES'!$A301="","",'ORDENES'!$AD301)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IF('ORDENES'!$A302="","",IF('ORDENES'!$AF302="","-",'ORDENES'!$AF302))</f>
        <v/>
      </c>
      <c r="D324" s="3">
        <f>IF('ORDENES'!$A302="","",IF('ORDENES'!$X302="","-",'ORDENES'!$X302))</f>
        <v/>
      </c>
      <c r="E324" s="3">
        <f>IF('ORDENES'!$A302="","",IF('ORDENES'!$V302="","-",'ORDENES'!$V302))</f>
        <v/>
      </c>
      <c r="F324" s="3">
        <f>IF('ORDENES'!$A302="","",IF('ORDENES'!$Y302="","-",'ORDENES'!$Y302))</f>
        <v/>
      </c>
      <c r="G324" s="3">
        <f>IF('ORDENES'!$A302="","",IF('ORDENES'!$W302="","-",'ORDENES'!$W302))</f>
        <v/>
      </c>
      <c r="H324" s="3">
        <f>IF('ORDENES'!$A302="","",IF('ORDENES'!$AE302="","-",'ORDENES'!$AE302))</f>
        <v/>
      </c>
      <c r="I324" s="3">
        <f>IF('ORDENES'!$A302="","",IF('ORDENES'!$AQ302="","-",'ORDENES'!$AQ302))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IF('ORDENES'!$A302="","",'ORDENES'!$AD302)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IF('ORDENES'!$A303="","",IF('ORDENES'!$AF303="","-",'ORDENES'!$AF303))</f>
        <v/>
      </c>
      <c r="D325" s="3">
        <f>IF('ORDENES'!$A303="","",IF('ORDENES'!$X303="","-",'ORDENES'!$X303))</f>
        <v/>
      </c>
      <c r="E325" s="3">
        <f>IF('ORDENES'!$A303="","",IF('ORDENES'!$V303="","-",'ORDENES'!$V303))</f>
        <v/>
      </c>
      <c r="F325" s="3">
        <f>IF('ORDENES'!$A303="","",IF('ORDENES'!$Y303="","-",'ORDENES'!$Y303))</f>
        <v/>
      </c>
      <c r="G325" s="3">
        <f>IF('ORDENES'!$A303="","",IF('ORDENES'!$W303="","-",'ORDENES'!$W303))</f>
        <v/>
      </c>
      <c r="H325" s="3">
        <f>IF('ORDENES'!$A303="","",IF('ORDENES'!$AE303="","-",'ORDENES'!$AE303))</f>
        <v/>
      </c>
      <c r="I325" s="3">
        <f>IF('ORDENES'!$A303="","",IF('ORDENES'!$AQ303="","-",'ORDENES'!$AQ303))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IF('ORDENES'!$A303="","",'ORDENES'!$AD303)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IF('ORDENES'!$A304="","",IF('ORDENES'!$AF304="","-",'ORDENES'!$AF304))</f>
        <v/>
      </c>
      <c r="D326" s="3">
        <f>IF('ORDENES'!$A304="","",IF('ORDENES'!$X304="","-",'ORDENES'!$X304))</f>
        <v/>
      </c>
      <c r="E326" s="3">
        <f>IF('ORDENES'!$A304="","",IF('ORDENES'!$V304="","-",'ORDENES'!$V304))</f>
        <v/>
      </c>
      <c r="F326" s="3">
        <f>IF('ORDENES'!$A304="","",IF('ORDENES'!$Y304="","-",'ORDENES'!$Y304))</f>
        <v/>
      </c>
      <c r="G326" s="3">
        <f>IF('ORDENES'!$A304="","",IF('ORDENES'!$W304="","-",'ORDENES'!$W304))</f>
        <v/>
      </c>
      <c r="H326" s="3">
        <f>IF('ORDENES'!$A304="","",IF('ORDENES'!$AE304="","-",'ORDENES'!$AE304))</f>
        <v/>
      </c>
      <c r="I326" s="3">
        <f>IF('ORDENES'!$A304="","",IF('ORDENES'!$AQ304="","-",'ORDENES'!$AQ304))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IF('ORDENES'!$A304="","",'ORDENES'!$AD304)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IF('ORDENES'!$A305="","",IF('ORDENES'!$AF305="","-",'ORDENES'!$AF305))</f>
        <v/>
      </c>
      <c r="D327" s="3">
        <f>IF('ORDENES'!$A305="","",IF('ORDENES'!$X305="","-",'ORDENES'!$X305))</f>
        <v/>
      </c>
      <c r="E327" s="3">
        <f>IF('ORDENES'!$A305="","",IF('ORDENES'!$V305="","-",'ORDENES'!$V305))</f>
        <v/>
      </c>
      <c r="F327" s="3">
        <f>IF('ORDENES'!$A305="","",IF('ORDENES'!$Y305="","-",'ORDENES'!$Y305))</f>
        <v/>
      </c>
      <c r="G327" s="3">
        <f>IF('ORDENES'!$A305="","",IF('ORDENES'!$W305="","-",'ORDENES'!$W305))</f>
        <v/>
      </c>
      <c r="H327" s="3">
        <f>IF('ORDENES'!$A305="","",IF('ORDENES'!$AE305="","-",'ORDENES'!$AE305))</f>
        <v/>
      </c>
      <c r="I327" s="3">
        <f>IF('ORDENES'!$A305="","",IF('ORDENES'!$AQ305="","-",'ORDENES'!$AQ305))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IF('ORDENES'!$A305="","",'ORDENES'!$AD305)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IF('ORDENES'!$A306="","",IF('ORDENES'!$AF306="","-",'ORDENES'!$AF306))</f>
        <v/>
      </c>
      <c r="D328" s="3">
        <f>IF('ORDENES'!$A306="","",IF('ORDENES'!$X306="","-",'ORDENES'!$X306))</f>
        <v/>
      </c>
      <c r="E328" s="3">
        <f>IF('ORDENES'!$A306="","",IF('ORDENES'!$V306="","-",'ORDENES'!$V306))</f>
        <v/>
      </c>
      <c r="F328" s="3">
        <f>IF('ORDENES'!$A306="","",IF('ORDENES'!$Y306="","-",'ORDENES'!$Y306))</f>
        <v/>
      </c>
      <c r="G328" s="3">
        <f>IF('ORDENES'!$A306="","",IF('ORDENES'!$W306="","-",'ORDENES'!$W306))</f>
        <v/>
      </c>
      <c r="H328" s="3">
        <f>IF('ORDENES'!$A306="","",IF('ORDENES'!$AE306="","-",'ORDENES'!$AE306))</f>
        <v/>
      </c>
      <c r="I328" s="3">
        <f>IF('ORDENES'!$A306="","",IF('ORDENES'!$AQ306="","-",'ORDENES'!$AQ306))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IF('ORDENES'!$A306="","",'ORDENES'!$AD306)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IF('ORDENES'!$A307="","",IF('ORDENES'!$AF307="","-",'ORDENES'!$AF307))</f>
        <v/>
      </c>
      <c r="D329" s="3">
        <f>IF('ORDENES'!$A307="","",IF('ORDENES'!$X307="","-",'ORDENES'!$X307))</f>
        <v/>
      </c>
      <c r="E329" s="3">
        <f>IF('ORDENES'!$A307="","",IF('ORDENES'!$V307="","-",'ORDENES'!$V307))</f>
        <v/>
      </c>
      <c r="F329" s="3">
        <f>IF('ORDENES'!$A307="","",IF('ORDENES'!$Y307="","-",'ORDENES'!$Y307))</f>
        <v/>
      </c>
      <c r="G329" s="3">
        <f>IF('ORDENES'!$A307="","",IF('ORDENES'!$W307="","-",'ORDENES'!$W307))</f>
        <v/>
      </c>
      <c r="H329" s="3">
        <f>IF('ORDENES'!$A307="","",IF('ORDENES'!$AE307="","-",'ORDENES'!$AE307))</f>
        <v/>
      </c>
      <c r="I329" s="3">
        <f>IF('ORDENES'!$A307="","",IF('ORDENES'!$AQ307="","-",'ORDENES'!$AQ307))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IF('ORDENES'!$A307="","",'ORDENES'!$AD307)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IF('ORDENES'!$A308="","",IF('ORDENES'!$AF308="","-",'ORDENES'!$AF308))</f>
        <v/>
      </c>
      <c r="D330" s="3">
        <f>IF('ORDENES'!$A308="","",IF('ORDENES'!$X308="","-",'ORDENES'!$X308))</f>
        <v/>
      </c>
      <c r="E330" s="3">
        <f>IF('ORDENES'!$A308="","",IF('ORDENES'!$V308="","-",'ORDENES'!$V308))</f>
        <v/>
      </c>
      <c r="F330" s="3">
        <f>IF('ORDENES'!$A308="","",IF('ORDENES'!$Y308="","-",'ORDENES'!$Y308))</f>
        <v/>
      </c>
      <c r="G330" s="3">
        <f>IF('ORDENES'!$A308="","",IF('ORDENES'!$W308="","-",'ORDENES'!$W308))</f>
        <v/>
      </c>
      <c r="H330" s="3">
        <f>IF('ORDENES'!$A308="","",IF('ORDENES'!$AE308="","-",'ORDENES'!$AE308))</f>
        <v/>
      </c>
      <c r="I330" s="3">
        <f>IF('ORDENES'!$A308="","",IF('ORDENES'!$AQ308="","-",'ORDENES'!$AQ308))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IF('ORDENES'!$A308="","",'ORDENES'!$AD308)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IF('ORDENES'!$A309="","",IF('ORDENES'!$AF309="","-",'ORDENES'!$AF309))</f>
        <v/>
      </c>
      <c r="D331" s="3">
        <f>IF('ORDENES'!$A309="","",IF('ORDENES'!$X309="","-",'ORDENES'!$X309))</f>
        <v/>
      </c>
      <c r="E331" s="3">
        <f>IF('ORDENES'!$A309="","",IF('ORDENES'!$V309="","-",'ORDENES'!$V309))</f>
        <v/>
      </c>
      <c r="F331" s="3">
        <f>IF('ORDENES'!$A309="","",IF('ORDENES'!$Y309="","-",'ORDENES'!$Y309))</f>
        <v/>
      </c>
      <c r="G331" s="3">
        <f>IF('ORDENES'!$A309="","",IF('ORDENES'!$W309="","-",'ORDENES'!$W309))</f>
        <v/>
      </c>
      <c r="H331" s="3">
        <f>IF('ORDENES'!$A309="","",IF('ORDENES'!$AE309="","-",'ORDENES'!$AE309))</f>
        <v/>
      </c>
      <c r="I331" s="3">
        <f>IF('ORDENES'!$A309="","",IF('ORDENES'!$AQ309="","-",'ORDENES'!$AQ309))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IF('ORDENES'!$A309="","",'ORDENES'!$AD309)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IF('ORDENES'!$A310="","",IF('ORDENES'!$AF310="","-",'ORDENES'!$AF310))</f>
        <v/>
      </c>
      <c r="D332" s="3">
        <f>IF('ORDENES'!$A310="","",IF('ORDENES'!$X310="","-",'ORDENES'!$X310))</f>
        <v/>
      </c>
      <c r="E332" s="3">
        <f>IF('ORDENES'!$A310="","",IF('ORDENES'!$V310="","-",'ORDENES'!$V310))</f>
        <v/>
      </c>
      <c r="F332" s="3">
        <f>IF('ORDENES'!$A310="","",IF('ORDENES'!$Y310="","-",'ORDENES'!$Y310))</f>
        <v/>
      </c>
      <c r="G332" s="3">
        <f>IF('ORDENES'!$A310="","",IF('ORDENES'!$W310="","-",'ORDENES'!$W310))</f>
        <v/>
      </c>
      <c r="H332" s="3">
        <f>IF('ORDENES'!$A310="","",IF('ORDENES'!$AE310="","-",'ORDENES'!$AE310))</f>
        <v/>
      </c>
      <c r="I332" s="3">
        <f>IF('ORDENES'!$A310="","",IF('ORDENES'!$AQ310="","-",'ORDENES'!$AQ310))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IF('ORDENES'!$A310="","",'ORDENES'!$AD310)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IF('ORDENES'!$A311="","",IF('ORDENES'!$AF311="","-",'ORDENES'!$AF311))</f>
        <v/>
      </c>
      <c r="D333" s="3">
        <f>IF('ORDENES'!$A311="","",IF('ORDENES'!$X311="","-",'ORDENES'!$X311))</f>
        <v/>
      </c>
      <c r="E333" s="3">
        <f>IF('ORDENES'!$A311="","",IF('ORDENES'!$V311="","-",'ORDENES'!$V311))</f>
        <v/>
      </c>
      <c r="F333" s="3">
        <f>IF('ORDENES'!$A311="","",IF('ORDENES'!$Y311="","-",'ORDENES'!$Y311))</f>
        <v/>
      </c>
      <c r="G333" s="3">
        <f>IF('ORDENES'!$A311="","",IF('ORDENES'!$W311="","-",'ORDENES'!$W311))</f>
        <v/>
      </c>
      <c r="H333" s="3">
        <f>IF('ORDENES'!$A311="","",IF('ORDENES'!$AE311="","-",'ORDENES'!$AE311))</f>
        <v/>
      </c>
      <c r="I333" s="3">
        <f>IF('ORDENES'!$A311="","",IF('ORDENES'!$AQ311="","-",'ORDENES'!$AQ311))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IF('ORDENES'!$A311="","",'ORDENES'!$AD311)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IF('ORDENES'!$A312="","",IF('ORDENES'!$AF312="","-",'ORDENES'!$AF312))</f>
        <v/>
      </c>
      <c r="D334" s="3">
        <f>IF('ORDENES'!$A312="","",IF('ORDENES'!$X312="","-",'ORDENES'!$X312))</f>
        <v/>
      </c>
      <c r="E334" s="3">
        <f>IF('ORDENES'!$A312="","",IF('ORDENES'!$V312="","-",'ORDENES'!$V312))</f>
        <v/>
      </c>
      <c r="F334" s="3">
        <f>IF('ORDENES'!$A312="","",IF('ORDENES'!$Y312="","-",'ORDENES'!$Y312))</f>
        <v/>
      </c>
      <c r="G334" s="3">
        <f>IF('ORDENES'!$A312="","",IF('ORDENES'!$W312="","-",'ORDENES'!$W312))</f>
        <v/>
      </c>
      <c r="H334" s="3">
        <f>IF('ORDENES'!$A312="","",IF('ORDENES'!$AE312="","-",'ORDENES'!$AE312))</f>
        <v/>
      </c>
      <c r="I334" s="3">
        <f>IF('ORDENES'!$A312="","",IF('ORDENES'!$AQ312="","-",'ORDENES'!$AQ312))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IF('ORDENES'!$A312="","",'ORDENES'!$AD312)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IF('ORDENES'!$A313="","",IF('ORDENES'!$AF313="","-",'ORDENES'!$AF313))</f>
        <v/>
      </c>
      <c r="D335" s="3">
        <f>IF('ORDENES'!$A313="","",IF('ORDENES'!$X313="","-",'ORDENES'!$X313))</f>
        <v/>
      </c>
      <c r="E335" s="3">
        <f>IF('ORDENES'!$A313="","",IF('ORDENES'!$V313="","-",'ORDENES'!$V313))</f>
        <v/>
      </c>
      <c r="F335" s="3">
        <f>IF('ORDENES'!$A313="","",IF('ORDENES'!$Y313="","-",'ORDENES'!$Y313))</f>
        <v/>
      </c>
      <c r="G335" s="3">
        <f>IF('ORDENES'!$A313="","",IF('ORDENES'!$W313="","-",'ORDENES'!$W313))</f>
        <v/>
      </c>
      <c r="H335" s="3">
        <f>IF('ORDENES'!$A313="","",IF('ORDENES'!$AE313="","-",'ORDENES'!$AE313))</f>
        <v/>
      </c>
      <c r="I335" s="3">
        <f>IF('ORDENES'!$A313="","",IF('ORDENES'!$AQ313="","-",'ORDENES'!$AQ313))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IF('ORDENES'!$A313="","",'ORDENES'!$AD313)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IF('ORDENES'!$A314="","",IF('ORDENES'!$AF314="","-",'ORDENES'!$AF314))</f>
        <v/>
      </c>
      <c r="D336" s="3">
        <f>IF('ORDENES'!$A314="","",IF('ORDENES'!$X314="","-",'ORDENES'!$X314))</f>
        <v/>
      </c>
      <c r="E336" s="3">
        <f>IF('ORDENES'!$A314="","",IF('ORDENES'!$V314="","-",'ORDENES'!$V314))</f>
        <v/>
      </c>
      <c r="F336" s="3">
        <f>IF('ORDENES'!$A314="","",IF('ORDENES'!$Y314="","-",'ORDENES'!$Y314))</f>
        <v/>
      </c>
      <c r="G336" s="3">
        <f>IF('ORDENES'!$A314="","",IF('ORDENES'!$W314="","-",'ORDENES'!$W314))</f>
        <v/>
      </c>
      <c r="H336" s="3">
        <f>IF('ORDENES'!$A314="","",IF('ORDENES'!$AE314="","-",'ORDENES'!$AE314))</f>
        <v/>
      </c>
      <c r="I336" s="3">
        <f>IF('ORDENES'!$A314="","",IF('ORDENES'!$AQ314="","-",'ORDENES'!$AQ314))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IF('ORDENES'!$A314="","",'ORDENES'!$AD314)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IF('ORDENES'!$A315="","",IF('ORDENES'!$AF315="","-",'ORDENES'!$AF315))</f>
        <v/>
      </c>
      <c r="D337" s="3">
        <f>IF('ORDENES'!$A315="","",IF('ORDENES'!$X315="","-",'ORDENES'!$X315))</f>
        <v/>
      </c>
      <c r="E337" s="3">
        <f>IF('ORDENES'!$A315="","",IF('ORDENES'!$V315="","-",'ORDENES'!$V315))</f>
        <v/>
      </c>
      <c r="F337" s="3">
        <f>IF('ORDENES'!$A315="","",IF('ORDENES'!$Y315="","-",'ORDENES'!$Y315))</f>
        <v/>
      </c>
      <c r="G337" s="3">
        <f>IF('ORDENES'!$A315="","",IF('ORDENES'!$W315="","-",'ORDENES'!$W315))</f>
        <v/>
      </c>
      <c r="H337" s="3">
        <f>IF('ORDENES'!$A315="","",IF('ORDENES'!$AE315="","-",'ORDENES'!$AE315))</f>
        <v/>
      </c>
      <c r="I337" s="3">
        <f>IF('ORDENES'!$A315="","",IF('ORDENES'!$AQ315="","-",'ORDENES'!$AQ315))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IF('ORDENES'!$A315="","",'ORDENES'!$AD315)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IF('ORDENES'!$A316="","",IF('ORDENES'!$AF316="","-",'ORDENES'!$AF316))</f>
        <v/>
      </c>
      <c r="D338" s="3">
        <f>IF('ORDENES'!$A316="","",IF('ORDENES'!$X316="","-",'ORDENES'!$X316))</f>
        <v/>
      </c>
      <c r="E338" s="3">
        <f>IF('ORDENES'!$A316="","",IF('ORDENES'!$V316="","-",'ORDENES'!$V316))</f>
        <v/>
      </c>
      <c r="F338" s="3">
        <f>IF('ORDENES'!$A316="","",IF('ORDENES'!$Y316="","-",'ORDENES'!$Y316))</f>
        <v/>
      </c>
      <c r="G338" s="3">
        <f>IF('ORDENES'!$A316="","",IF('ORDENES'!$W316="","-",'ORDENES'!$W316))</f>
        <v/>
      </c>
      <c r="H338" s="3">
        <f>IF('ORDENES'!$A316="","",IF('ORDENES'!$AE316="","-",'ORDENES'!$AE316))</f>
        <v/>
      </c>
      <c r="I338" s="3">
        <f>IF('ORDENES'!$A316="","",IF('ORDENES'!$AQ316="","-",'ORDENES'!$AQ316))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IF('ORDENES'!$A316="","",'ORDENES'!$AD316)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IF('ORDENES'!$A317="","",IF('ORDENES'!$AF317="","-",'ORDENES'!$AF317))</f>
        <v/>
      </c>
      <c r="D339" s="3">
        <f>IF('ORDENES'!$A317="","",IF('ORDENES'!$X317="","-",'ORDENES'!$X317))</f>
        <v/>
      </c>
      <c r="E339" s="3">
        <f>IF('ORDENES'!$A317="","",IF('ORDENES'!$V317="","-",'ORDENES'!$V317))</f>
        <v/>
      </c>
      <c r="F339" s="3">
        <f>IF('ORDENES'!$A317="","",IF('ORDENES'!$Y317="","-",'ORDENES'!$Y317))</f>
        <v/>
      </c>
      <c r="G339" s="3">
        <f>IF('ORDENES'!$A317="","",IF('ORDENES'!$W317="","-",'ORDENES'!$W317))</f>
        <v/>
      </c>
      <c r="H339" s="3">
        <f>IF('ORDENES'!$A317="","",IF('ORDENES'!$AE317="","-",'ORDENES'!$AE317))</f>
        <v/>
      </c>
      <c r="I339" s="3">
        <f>IF('ORDENES'!$A317="","",IF('ORDENES'!$AQ317="","-",'ORDENES'!$AQ317))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IF('ORDENES'!$A317="","",'ORDENES'!$AD317)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IF('ORDENES'!$A318="","",IF('ORDENES'!$AF318="","-",'ORDENES'!$AF318))</f>
        <v/>
      </c>
      <c r="D340" s="3">
        <f>IF('ORDENES'!$A318="","",IF('ORDENES'!$X318="","-",'ORDENES'!$X318))</f>
        <v/>
      </c>
      <c r="E340" s="3">
        <f>IF('ORDENES'!$A318="","",IF('ORDENES'!$V318="","-",'ORDENES'!$V318))</f>
        <v/>
      </c>
      <c r="F340" s="3">
        <f>IF('ORDENES'!$A318="","",IF('ORDENES'!$Y318="","-",'ORDENES'!$Y318))</f>
        <v/>
      </c>
      <c r="G340" s="3">
        <f>IF('ORDENES'!$A318="","",IF('ORDENES'!$W318="","-",'ORDENES'!$W318))</f>
        <v/>
      </c>
      <c r="H340" s="3">
        <f>IF('ORDENES'!$A318="","",IF('ORDENES'!$AE318="","-",'ORDENES'!$AE318))</f>
        <v/>
      </c>
      <c r="I340" s="3">
        <f>IF('ORDENES'!$A318="","",IF('ORDENES'!$AQ318="","-",'ORDENES'!$AQ318))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IF('ORDENES'!$A318="","",'ORDENES'!$AD318)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IF('ORDENES'!$A319="","",IF('ORDENES'!$AF319="","-",'ORDENES'!$AF319))</f>
        <v/>
      </c>
      <c r="D341" s="3">
        <f>IF('ORDENES'!$A319="","",IF('ORDENES'!$X319="","-",'ORDENES'!$X319))</f>
        <v/>
      </c>
      <c r="E341" s="3">
        <f>IF('ORDENES'!$A319="","",IF('ORDENES'!$V319="","-",'ORDENES'!$V319))</f>
        <v/>
      </c>
      <c r="F341" s="3">
        <f>IF('ORDENES'!$A319="","",IF('ORDENES'!$Y319="","-",'ORDENES'!$Y319))</f>
        <v/>
      </c>
      <c r="G341" s="3">
        <f>IF('ORDENES'!$A319="","",IF('ORDENES'!$W319="","-",'ORDENES'!$W319))</f>
        <v/>
      </c>
      <c r="H341" s="3">
        <f>IF('ORDENES'!$A319="","",IF('ORDENES'!$AE319="","-",'ORDENES'!$AE319))</f>
        <v/>
      </c>
      <c r="I341" s="3">
        <f>IF('ORDENES'!$A319="","",IF('ORDENES'!$AQ319="","-",'ORDENES'!$AQ319))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IF('ORDENES'!$A319="","",'ORDENES'!$AD319)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IF('ORDENES'!$A320="","",IF('ORDENES'!$AF320="","-",'ORDENES'!$AF320))</f>
        <v/>
      </c>
      <c r="D342" s="3">
        <f>IF('ORDENES'!$A320="","",IF('ORDENES'!$X320="","-",'ORDENES'!$X320))</f>
        <v/>
      </c>
      <c r="E342" s="3">
        <f>IF('ORDENES'!$A320="","",IF('ORDENES'!$V320="","-",'ORDENES'!$V320))</f>
        <v/>
      </c>
      <c r="F342" s="3">
        <f>IF('ORDENES'!$A320="","",IF('ORDENES'!$Y320="","-",'ORDENES'!$Y320))</f>
        <v/>
      </c>
      <c r="G342" s="3">
        <f>IF('ORDENES'!$A320="","",IF('ORDENES'!$W320="","-",'ORDENES'!$W320))</f>
        <v/>
      </c>
      <c r="H342" s="3">
        <f>IF('ORDENES'!$A320="","",IF('ORDENES'!$AE320="","-",'ORDENES'!$AE320))</f>
        <v/>
      </c>
      <c r="I342" s="3">
        <f>IF('ORDENES'!$A320="","",IF('ORDENES'!$AQ320="","-",'ORDENES'!$AQ320))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IF('ORDENES'!$A320="","",'ORDENES'!$AD320)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IF('ORDENES'!$A321="","",IF('ORDENES'!$AF321="","-",'ORDENES'!$AF321))</f>
        <v/>
      </c>
      <c r="D343" s="3">
        <f>IF('ORDENES'!$A321="","",IF('ORDENES'!$X321="","-",'ORDENES'!$X321))</f>
        <v/>
      </c>
      <c r="E343" s="3">
        <f>IF('ORDENES'!$A321="","",IF('ORDENES'!$V321="","-",'ORDENES'!$V321))</f>
        <v/>
      </c>
      <c r="F343" s="3">
        <f>IF('ORDENES'!$A321="","",IF('ORDENES'!$Y321="","-",'ORDENES'!$Y321))</f>
        <v/>
      </c>
      <c r="G343" s="3">
        <f>IF('ORDENES'!$A321="","",IF('ORDENES'!$W321="","-",'ORDENES'!$W321))</f>
        <v/>
      </c>
      <c r="H343" s="3">
        <f>IF('ORDENES'!$A321="","",IF('ORDENES'!$AE321="","-",'ORDENES'!$AE321))</f>
        <v/>
      </c>
      <c r="I343" s="3">
        <f>IF('ORDENES'!$A321="","",IF('ORDENES'!$AQ321="","-",'ORDENES'!$AQ321))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IF('ORDENES'!$A321="","",'ORDENES'!$AD321)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IF('ORDENES'!$A322="","",IF('ORDENES'!$AF322="","-",'ORDENES'!$AF322))</f>
        <v/>
      </c>
      <c r="D344" s="3">
        <f>IF('ORDENES'!$A322="","",IF('ORDENES'!$X322="","-",'ORDENES'!$X322))</f>
        <v/>
      </c>
      <c r="E344" s="3">
        <f>IF('ORDENES'!$A322="","",IF('ORDENES'!$V322="","-",'ORDENES'!$V322))</f>
        <v/>
      </c>
      <c r="F344" s="3">
        <f>IF('ORDENES'!$A322="","",IF('ORDENES'!$Y322="","-",'ORDENES'!$Y322))</f>
        <v/>
      </c>
      <c r="G344" s="3">
        <f>IF('ORDENES'!$A322="","",IF('ORDENES'!$W322="","-",'ORDENES'!$W322))</f>
        <v/>
      </c>
      <c r="H344" s="3">
        <f>IF('ORDENES'!$A322="","",IF('ORDENES'!$AE322="","-",'ORDENES'!$AE322))</f>
        <v/>
      </c>
      <c r="I344" s="3">
        <f>IF('ORDENES'!$A322="","",IF('ORDENES'!$AQ322="","-",'ORDENES'!$AQ322))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IF('ORDENES'!$A322="","",'ORDENES'!$AD322)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IF('ORDENES'!$A323="","",IF('ORDENES'!$AF323="","-",'ORDENES'!$AF323))</f>
        <v/>
      </c>
      <c r="D345" s="3">
        <f>IF('ORDENES'!$A323="","",IF('ORDENES'!$X323="","-",'ORDENES'!$X323))</f>
        <v/>
      </c>
      <c r="E345" s="3">
        <f>IF('ORDENES'!$A323="","",IF('ORDENES'!$V323="","-",'ORDENES'!$V323))</f>
        <v/>
      </c>
      <c r="F345" s="3">
        <f>IF('ORDENES'!$A323="","",IF('ORDENES'!$Y323="","-",'ORDENES'!$Y323))</f>
        <v/>
      </c>
      <c r="G345" s="3">
        <f>IF('ORDENES'!$A323="","",IF('ORDENES'!$W323="","-",'ORDENES'!$W323))</f>
        <v/>
      </c>
      <c r="H345" s="3">
        <f>IF('ORDENES'!$A323="","",IF('ORDENES'!$AE323="","-",'ORDENES'!$AE323))</f>
        <v/>
      </c>
      <c r="I345" s="3">
        <f>IF('ORDENES'!$A323="","",IF('ORDENES'!$AQ323="","-",'ORDENES'!$AQ323))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IF('ORDENES'!$A323="","",'ORDENES'!$AD323)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IF('ORDENES'!$A324="","",IF('ORDENES'!$AF324="","-",'ORDENES'!$AF324))</f>
        <v/>
      </c>
      <c r="D346" s="3">
        <f>IF('ORDENES'!$A324="","",IF('ORDENES'!$X324="","-",'ORDENES'!$X324))</f>
        <v/>
      </c>
      <c r="E346" s="3">
        <f>IF('ORDENES'!$A324="","",IF('ORDENES'!$V324="","-",'ORDENES'!$V324))</f>
        <v/>
      </c>
      <c r="F346" s="3">
        <f>IF('ORDENES'!$A324="","",IF('ORDENES'!$Y324="","-",'ORDENES'!$Y324))</f>
        <v/>
      </c>
      <c r="G346" s="3">
        <f>IF('ORDENES'!$A324="","",IF('ORDENES'!$W324="","-",'ORDENES'!$W324))</f>
        <v/>
      </c>
      <c r="H346" s="3">
        <f>IF('ORDENES'!$A324="","",IF('ORDENES'!$AE324="","-",'ORDENES'!$AE324))</f>
        <v/>
      </c>
      <c r="I346" s="3">
        <f>IF('ORDENES'!$A324="","",IF('ORDENES'!$AQ324="","-",'ORDENES'!$AQ324))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IF('ORDENES'!$A324="","",'ORDENES'!$AD324)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IF('ORDENES'!$A325="","",IF('ORDENES'!$AF325="","-",'ORDENES'!$AF325))</f>
        <v/>
      </c>
      <c r="D347" s="3">
        <f>IF('ORDENES'!$A325="","",IF('ORDENES'!$X325="","-",'ORDENES'!$X325))</f>
        <v/>
      </c>
      <c r="E347" s="3">
        <f>IF('ORDENES'!$A325="","",IF('ORDENES'!$V325="","-",'ORDENES'!$V325))</f>
        <v/>
      </c>
      <c r="F347" s="3">
        <f>IF('ORDENES'!$A325="","",IF('ORDENES'!$Y325="","-",'ORDENES'!$Y325))</f>
        <v/>
      </c>
      <c r="G347" s="3">
        <f>IF('ORDENES'!$A325="","",IF('ORDENES'!$W325="","-",'ORDENES'!$W325))</f>
        <v/>
      </c>
      <c r="H347" s="3">
        <f>IF('ORDENES'!$A325="","",IF('ORDENES'!$AE325="","-",'ORDENES'!$AE325))</f>
        <v/>
      </c>
      <c r="I347" s="3">
        <f>IF('ORDENES'!$A325="","",IF('ORDENES'!$AQ325="","-",'ORDENES'!$AQ325))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IF('ORDENES'!$A325="","",'ORDENES'!$AD325)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IF('ORDENES'!$A326="","",IF('ORDENES'!$AF326="","-",'ORDENES'!$AF326))</f>
        <v/>
      </c>
      <c r="D348" s="3">
        <f>IF('ORDENES'!$A326="","",IF('ORDENES'!$X326="","-",'ORDENES'!$X326))</f>
        <v/>
      </c>
      <c r="E348" s="3">
        <f>IF('ORDENES'!$A326="","",IF('ORDENES'!$V326="","-",'ORDENES'!$V326))</f>
        <v/>
      </c>
      <c r="F348" s="3">
        <f>IF('ORDENES'!$A326="","",IF('ORDENES'!$Y326="","-",'ORDENES'!$Y326))</f>
        <v/>
      </c>
      <c r="G348" s="3">
        <f>IF('ORDENES'!$A326="","",IF('ORDENES'!$W326="","-",'ORDENES'!$W326))</f>
        <v/>
      </c>
      <c r="H348" s="3">
        <f>IF('ORDENES'!$A326="","",IF('ORDENES'!$AE326="","-",'ORDENES'!$AE326))</f>
        <v/>
      </c>
      <c r="I348" s="3">
        <f>IF('ORDENES'!$A326="","",IF('ORDENES'!$AQ326="","-",'ORDENES'!$AQ326))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IF('ORDENES'!$A326="","",'ORDENES'!$AD326)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IF('ORDENES'!$A327="","",IF('ORDENES'!$AF327="","-",'ORDENES'!$AF327))</f>
        <v/>
      </c>
      <c r="D349" s="3">
        <f>IF('ORDENES'!$A327="","",IF('ORDENES'!$X327="","-",'ORDENES'!$X327))</f>
        <v/>
      </c>
      <c r="E349" s="3">
        <f>IF('ORDENES'!$A327="","",IF('ORDENES'!$V327="","-",'ORDENES'!$V327))</f>
        <v/>
      </c>
      <c r="F349" s="3">
        <f>IF('ORDENES'!$A327="","",IF('ORDENES'!$Y327="","-",'ORDENES'!$Y327))</f>
        <v/>
      </c>
      <c r="G349" s="3">
        <f>IF('ORDENES'!$A327="","",IF('ORDENES'!$W327="","-",'ORDENES'!$W327))</f>
        <v/>
      </c>
      <c r="H349" s="3">
        <f>IF('ORDENES'!$A327="","",IF('ORDENES'!$AE327="","-",'ORDENES'!$AE327))</f>
        <v/>
      </c>
      <c r="I349" s="3">
        <f>IF('ORDENES'!$A327="","",IF('ORDENES'!$AQ327="","-",'ORDENES'!$AQ327))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IF('ORDENES'!$A327="","",'ORDENES'!$AD327)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IF('ORDENES'!$A328="","",IF('ORDENES'!$AF328="","-",'ORDENES'!$AF328))</f>
        <v/>
      </c>
      <c r="D350" s="3">
        <f>IF('ORDENES'!$A328="","",IF('ORDENES'!$X328="","-",'ORDENES'!$X328))</f>
        <v/>
      </c>
      <c r="E350" s="3">
        <f>IF('ORDENES'!$A328="","",IF('ORDENES'!$V328="","-",'ORDENES'!$V328))</f>
        <v/>
      </c>
      <c r="F350" s="3">
        <f>IF('ORDENES'!$A328="","",IF('ORDENES'!$Y328="","-",'ORDENES'!$Y328))</f>
        <v/>
      </c>
      <c r="G350" s="3">
        <f>IF('ORDENES'!$A328="","",IF('ORDENES'!$W328="","-",'ORDENES'!$W328))</f>
        <v/>
      </c>
      <c r="H350" s="3">
        <f>IF('ORDENES'!$A328="","",IF('ORDENES'!$AE328="","-",'ORDENES'!$AE328))</f>
        <v/>
      </c>
      <c r="I350" s="3">
        <f>IF('ORDENES'!$A328="","",IF('ORDENES'!$AQ328="","-",'ORDENES'!$AQ328))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IF('ORDENES'!$A328="","",'ORDENES'!$AD328)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IF('ORDENES'!$A329="","",IF('ORDENES'!$AF329="","-",'ORDENES'!$AF329))</f>
        <v/>
      </c>
      <c r="D351" s="3">
        <f>IF('ORDENES'!$A329="","",IF('ORDENES'!$X329="","-",'ORDENES'!$X329))</f>
        <v/>
      </c>
      <c r="E351" s="3">
        <f>IF('ORDENES'!$A329="","",IF('ORDENES'!$V329="","-",'ORDENES'!$V329))</f>
        <v/>
      </c>
      <c r="F351" s="3">
        <f>IF('ORDENES'!$A329="","",IF('ORDENES'!$Y329="","-",'ORDENES'!$Y329))</f>
        <v/>
      </c>
      <c r="G351" s="3">
        <f>IF('ORDENES'!$A329="","",IF('ORDENES'!$W329="","-",'ORDENES'!$W329))</f>
        <v/>
      </c>
      <c r="H351" s="3">
        <f>IF('ORDENES'!$A329="","",IF('ORDENES'!$AE329="","-",'ORDENES'!$AE329))</f>
        <v/>
      </c>
      <c r="I351" s="3">
        <f>IF('ORDENES'!$A329="","",IF('ORDENES'!$AQ329="","-",'ORDENES'!$AQ329))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IF('ORDENES'!$A329="","",'ORDENES'!$AD329)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IF('ORDENES'!$A330="","",IF('ORDENES'!$AF330="","-",'ORDENES'!$AF330))</f>
        <v/>
      </c>
      <c r="D352" s="3">
        <f>IF('ORDENES'!$A330="","",IF('ORDENES'!$X330="","-",'ORDENES'!$X330))</f>
        <v/>
      </c>
      <c r="E352" s="3">
        <f>IF('ORDENES'!$A330="","",IF('ORDENES'!$V330="","-",'ORDENES'!$V330))</f>
        <v/>
      </c>
      <c r="F352" s="3">
        <f>IF('ORDENES'!$A330="","",IF('ORDENES'!$Y330="","-",'ORDENES'!$Y330))</f>
        <v/>
      </c>
      <c r="G352" s="3">
        <f>IF('ORDENES'!$A330="","",IF('ORDENES'!$W330="","-",'ORDENES'!$W330))</f>
        <v/>
      </c>
      <c r="H352" s="3">
        <f>IF('ORDENES'!$A330="","",IF('ORDENES'!$AE330="","-",'ORDENES'!$AE330))</f>
        <v/>
      </c>
      <c r="I352" s="3">
        <f>IF('ORDENES'!$A330="","",IF('ORDENES'!$AQ330="","-",'ORDENES'!$AQ330))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IF('ORDENES'!$A330="","",'ORDENES'!$AD330)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IF('ORDENES'!$A331="","",IF('ORDENES'!$AF331="","-",'ORDENES'!$AF331))</f>
        <v/>
      </c>
      <c r="D353" s="3">
        <f>IF('ORDENES'!$A331="","",IF('ORDENES'!$X331="","-",'ORDENES'!$X331))</f>
        <v/>
      </c>
      <c r="E353" s="3">
        <f>IF('ORDENES'!$A331="","",IF('ORDENES'!$V331="","-",'ORDENES'!$V331))</f>
        <v/>
      </c>
      <c r="F353" s="3">
        <f>IF('ORDENES'!$A331="","",IF('ORDENES'!$Y331="","-",'ORDENES'!$Y331))</f>
        <v/>
      </c>
      <c r="G353" s="3">
        <f>IF('ORDENES'!$A331="","",IF('ORDENES'!$W331="","-",'ORDENES'!$W331))</f>
        <v/>
      </c>
      <c r="H353" s="3">
        <f>IF('ORDENES'!$A331="","",IF('ORDENES'!$AE331="","-",'ORDENES'!$AE331))</f>
        <v/>
      </c>
      <c r="I353" s="3">
        <f>IF('ORDENES'!$A331="","",IF('ORDENES'!$AQ331="","-",'ORDENES'!$AQ331))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IF('ORDENES'!$A331="","",'ORDENES'!$AD331)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IF('ORDENES'!$A332="","",IF('ORDENES'!$AF332="","-",'ORDENES'!$AF332))</f>
        <v/>
      </c>
      <c r="D354" s="3">
        <f>IF('ORDENES'!$A332="","",IF('ORDENES'!$X332="","-",'ORDENES'!$X332))</f>
        <v/>
      </c>
      <c r="E354" s="3">
        <f>IF('ORDENES'!$A332="","",IF('ORDENES'!$V332="","-",'ORDENES'!$V332))</f>
        <v/>
      </c>
      <c r="F354" s="3">
        <f>IF('ORDENES'!$A332="","",IF('ORDENES'!$Y332="","-",'ORDENES'!$Y332))</f>
        <v/>
      </c>
      <c r="G354" s="3">
        <f>IF('ORDENES'!$A332="","",IF('ORDENES'!$W332="","-",'ORDENES'!$W332))</f>
        <v/>
      </c>
      <c r="H354" s="3">
        <f>IF('ORDENES'!$A332="","",IF('ORDENES'!$AE332="","-",'ORDENES'!$AE332))</f>
        <v/>
      </c>
      <c r="I354" s="3">
        <f>IF('ORDENES'!$A332="","",IF('ORDENES'!$AQ332="","-",'ORDENES'!$AQ332))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IF('ORDENES'!$A332="","",'ORDENES'!$AD332)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IF('ORDENES'!$A333="","",IF('ORDENES'!$AF333="","-",'ORDENES'!$AF333))</f>
        <v/>
      </c>
      <c r="D355" s="3">
        <f>IF('ORDENES'!$A333="","",IF('ORDENES'!$X333="","-",'ORDENES'!$X333))</f>
        <v/>
      </c>
      <c r="E355" s="3">
        <f>IF('ORDENES'!$A333="","",IF('ORDENES'!$V333="","-",'ORDENES'!$V333))</f>
        <v/>
      </c>
      <c r="F355" s="3">
        <f>IF('ORDENES'!$A333="","",IF('ORDENES'!$Y333="","-",'ORDENES'!$Y333))</f>
        <v/>
      </c>
      <c r="G355" s="3">
        <f>IF('ORDENES'!$A333="","",IF('ORDENES'!$W333="","-",'ORDENES'!$W333))</f>
        <v/>
      </c>
      <c r="H355" s="3">
        <f>IF('ORDENES'!$A333="","",IF('ORDENES'!$AE333="","-",'ORDENES'!$AE333))</f>
        <v/>
      </c>
      <c r="I355" s="3">
        <f>IF('ORDENES'!$A333="","",IF('ORDENES'!$AQ333="","-",'ORDENES'!$AQ333))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IF('ORDENES'!$A333="","",'ORDENES'!$AD333)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IF('ORDENES'!$A334="","",IF('ORDENES'!$AF334="","-",'ORDENES'!$AF334))</f>
        <v/>
      </c>
      <c r="D356" s="3">
        <f>IF('ORDENES'!$A334="","",IF('ORDENES'!$X334="","-",'ORDENES'!$X334))</f>
        <v/>
      </c>
      <c r="E356" s="3">
        <f>IF('ORDENES'!$A334="","",IF('ORDENES'!$V334="","-",'ORDENES'!$V334))</f>
        <v/>
      </c>
      <c r="F356" s="3">
        <f>IF('ORDENES'!$A334="","",IF('ORDENES'!$Y334="","-",'ORDENES'!$Y334))</f>
        <v/>
      </c>
      <c r="G356" s="3">
        <f>IF('ORDENES'!$A334="","",IF('ORDENES'!$W334="","-",'ORDENES'!$W334))</f>
        <v/>
      </c>
      <c r="H356" s="3">
        <f>IF('ORDENES'!$A334="","",IF('ORDENES'!$AE334="","-",'ORDENES'!$AE334))</f>
        <v/>
      </c>
      <c r="I356" s="3">
        <f>IF('ORDENES'!$A334="","",IF('ORDENES'!$AQ334="","-",'ORDENES'!$AQ334))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IF('ORDENES'!$A334="","",'ORDENES'!$AD334)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IF('ORDENES'!$A335="","",IF('ORDENES'!$AF335="","-",'ORDENES'!$AF335))</f>
        <v/>
      </c>
      <c r="D357" s="3">
        <f>IF('ORDENES'!$A335="","",IF('ORDENES'!$X335="","-",'ORDENES'!$X335))</f>
        <v/>
      </c>
      <c r="E357" s="3">
        <f>IF('ORDENES'!$A335="","",IF('ORDENES'!$V335="","-",'ORDENES'!$V335))</f>
        <v/>
      </c>
      <c r="F357" s="3">
        <f>IF('ORDENES'!$A335="","",IF('ORDENES'!$Y335="","-",'ORDENES'!$Y335))</f>
        <v/>
      </c>
      <c r="G357" s="3">
        <f>IF('ORDENES'!$A335="","",IF('ORDENES'!$W335="","-",'ORDENES'!$W335))</f>
        <v/>
      </c>
      <c r="H357" s="3">
        <f>IF('ORDENES'!$A335="","",IF('ORDENES'!$AE335="","-",'ORDENES'!$AE335))</f>
        <v/>
      </c>
      <c r="I357" s="3">
        <f>IF('ORDENES'!$A335="","",IF('ORDENES'!$AQ335="","-",'ORDENES'!$AQ335))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IF('ORDENES'!$A335="","",'ORDENES'!$AD335)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IF('ORDENES'!$A336="","",IF('ORDENES'!$AF336="","-",'ORDENES'!$AF336))</f>
        <v/>
      </c>
      <c r="D358" s="3">
        <f>IF('ORDENES'!$A336="","",IF('ORDENES'!$X336="","-",'ORDENES'!$X336))</f>
        <v/>
      </c>
      <c r="E358" s="3">
        <f>IF('ORDENES'!$A336="","",IF('ORDENES'!$V336="","-",'ORDENES'!$V336))</f>
        <v/>
      </c>
      <c r="F358" s="3">
        <f>IF('ORDENES'!$A336="","",IF('ORDENES'!$Y336="","-",'ORDENES'!$Y336))</f>
        <v/>
      </c>
      <c r="G358" s="3">
        <f>IF('ORDENES'!$A336="","",IF('ORDENES'!$W336="","-",'ORDENES'!$W336))</f>
        <v/>
      </c>
      <c r="H358" s="3">
        <f>IF('ORDENES'!$A336="","",IF('ORDENES'!$AE336="","-",'ORDENES'!$AE336))</f>
        <v/>
      </c>
      <c r="I358" s="3">
        <f>IF('ORDENES'!$A336="","",IF('ORDENES'!$AQ336="","-",'ORDENES'!$AQ336))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IF('ORDENES'!$A336="","",'ORDENES'!$AD336)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IF('ORDENES'!$A337="","",IF('ORDENES'!$AF337="","-",'ORDENES'!$AF337))</f>
        <v/>
      </c>
      <c r="D359" s="3">
        <f>IF('ORDENES'!$A337="","",IF('ORDENES'!$X337="","-",'ORDENES'!$X337))</f>
        <v/>
      </c>
      <c r="E359" s="3">
        <f>IF('ORDENES'!$A337="","",IF('ORDENES'!$V337="","-",'ORDENES'!$V337))</f>
        <v/>
      </c>
      <c r="F359" s="3">
        <f>IF('ORDENES'!$A337="","",IF('ORDENES'!$Y337="","-",'ORDENES'!$Y337))</f>
        <v/>
      </c>
      <c r="G359" s="3">
        <f>IF('ORDENES'!$A337="","",IF('ORDENES'!$W337="","-",'ORDENES'!$W337))</f>
        <v/>
      </c>
      <c r="H359" s="3">
        <f>IF('ORDENES'!$A337="","",IF('ORDENES'!$AE337="","-",'ORDENES'!$AE337))</f>
        <v/>
      </c>
      <c r="I359" s="3">
        <f>IF('ORDENES'!$A337="","",IF('ORDENES'!$AQ337="","-",'ORDENES'!$AQ337))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IF('ORDENES'!$A337="","",'ORDENES'!$AD337)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IF('ORDENES'!$A338="","",IF('ORDENES'!$AF338="","-",'ORDENES'!$AF338))</f>
        <v/>
      </c>
      <c r="D360" s="3">
        <f>IF('ORDENES'!$A338="","",IF('ORDENES'!$X338="","-",'ORDENES'!$X338))</f>
        <v/>
      </c>
      <c r="E360" s="3">
        <f>IF('ORDENES'!$A338="","",IF('ORDENES'!$V338="","-",'ORDENES'!$V338))</f>
        <v/>
      </c>
      <c r="F360" s="3">
        <f>IF('ORDENES'!$A338="","",IF('ORDENES'!$Y338="","-",'ORDENES'!$Y338))</f>
        <v/>
      </c>
      <c r="G360" s="3">
        <f>IF('ORDENES'!$A338="","",IF('ORDENES'!$W338="","-",'ORDENES'!$W338))</f>
        <v/>
      </c>
      <c r="H360" s="3">
        <f>IF('ORDENES'!$A338="","",IF('ORDENES'!$AE338="","-",'ORDENES'!$AE338))</f>
        <v/>
      </c>
      <c r="I360" s="3">
        <f>IF('ORDENES'!$A338="","",IF('ORDENES'!$AQ338="","-",'ORDENES'!$AQ338))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IF('ORDENES'!$A338="","",'ORDENES'!$AD338)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IF('ORDENES'!$A339="","",IF('ORDENES'!$AF339="","-",'ORDENES'!$AF339))</f>
        <v/>
      </c>
      <c r="D361" s="3">
        <f>IF('ORDENES'!$A339="","",IF('ORDENES'!$X339="","-",'ORDENES'!$X339))</f>
        <v/>
      </c>
      <c r="E361" s="3">
        <f>IF('ORDENES'!$A339="","",IF('ORDENES'!$V339="","-",'ORDENES'!$V339))</f>
        <v/>
      </c>
      <c r="F361" s="3">
        <f>IF('ORDENES'!$A339="","",IF('ORDENES'!$Y339="","-",'ORDENES'!$Y339))</f>
        <v/>
      </c>
      <c r="G361" s="3">
        <f>IF('ORDENES'!$A339="","",IF('ORDENES'!$W339="","-",'ORDENES'!$W339))</f>
        <v/>
      </c>
      <c r="H361" s="3">
        <f>IF('ORDENES'!$A339="","",IF('ORDENES'!$AE339="","-",'ORDENES'!$AE339))</f>
        <v/>
      </c>
      <c r="I361" s="3">
        <f>IF('ORDENES'!$A339="","",IF('ORDENES'!$AQ339="","-",'ORDENES'!$AQ339))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IF('ORDENES'!$A339="","",'ORDENES'!$AD339)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IF('ORDENES'!$A340="","",IF('ORDENES'!$AF340="","-",'ORDENES'!$AF340))</f>
        <v/>
      </c>
      <c r="D362" s="3">
        <f>IF('ORDENES'!$A340="","",IF('ORDENES'!$X340="","-",'ORDENES'!$X340))</f>
        <v/>
      </c>
      <c r="E362" s="3">
        <f>IF('ORDENES'!$A340="","",IF('ORDENES'!$V340="","-",'ORDENES'!$V340))</f>
        <v/>
      </c>
      <c r="F362" s="3">
        <f>IF('ORDENES'!$A340="","",IF('ORDENES'!$Y340="","-",'ORDENES'!$Y340))</f>
        <v/>
      </c>
      <c r="G362" s="3">
        <f>IF('ORDENES'!$A340="","",IF('ORDENES'!$W340="","-",'ORDENES'!$W340))</f>
        <v/>
      </c>
      <c r="H362" s="3">
        <f>IF('ORDENES'!$A340="","",IF('ORDENES'!$AE340="","-",'ORDENES'!$AE340))</f>
        <v/>
      </c>
      <c r="I362" s="3">
        <f>IF('ORDENES'!$A340="","",IF('ORDENES'!$AQ340="","-",'ORDENES'!$AQ340))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IF('ORDENES'!$A340="","",'ORDENES'!$AD340)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IF('ORDENES'!$A341="","",IF('ORDENES'!$AF341="","-",'ORDENES'!$AF341))</f>
        <v/>
      </c>
      <c r="D363" s="3">
        <f>IF('ORDENES'!$A341="","",IF('ORDENES'!$X341="","-",'ORDENES'!$X341))</f>
        <v/>
      </c>
      <c r="E363" s="3">
        <f>IF('ORDENES'!$A341="","",IF('ORDENES'!$V341="","-",'ORDENES'!$V341))</f>
        <v/>
      </c>
      <c r="F363" s="3">
        <f>IF('ORDENES'!$A341="","",IF('ORDENES'!$Y341="","-",'ORDENES'!$Y341))</f>
        <v/>
      </c>
      <c r="G363" s="3">
        <f>IF('ORDENES'!$A341="","",IF('ORDENES'!$W341="","-",'ORDENES'!$W341))</f>
        <v/>
      </c>
      <c r="H363" s="3">
        <f>IF('ORDENES'!$A341="","",IF('ORDENES'!$AE341="","-",'ORDENES'!$AE341))</f>
        <v/>
      </c>
      <c r="I363" s="3">
        <f>IF('ORDENES'!$A341="","",IF('ORDENES'!$AQ341="","-",'ORDENES'!$AQ341))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IF('ORDENES'!$A341="","",'ORDENES'!$AD341)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IF('ORDENES'!$A342="","",IF('ORDENES'!$AF342="","-",'ORDENES'!$AF342))</f>
        <v/>
      </c>
      <c r="D364" s="3">
        <f>IF('ORDENES'!$A342="","",IF('ORDENES'!$X342="","-",'ORDENES'!$X342))</f>
        <v/>
      </c>
      <c r="E364" s="3">
        <f>IF('ORDENES'!$A342="","",IF('ORDENES'!$V342="","-",'ORDENES'!$V342))</f>
        <v/>
      </c>
      <c r="F364" s="3">
        <f>IF('ORDENES'!$A342="","",IF('ORDENES'!$Y342="","-",'ORDENES'!$Y342))</f>
        <v/>
      </c>
      <c r="G364" s="3">
        <f>IF('ORDENES'!$A342="","",IF('ORDENES'!$W342="","-",'ORDENES'!$W342))</f>
        <v/>
      </c>
      <c r="H364" s="3">
        <f>IF('ORDENES'!$A342="","",IF('ORDENES'!$AE342="","-",'ORDENES'!$AE342))</f>
        <v/>
      </c>
      <c r="I364" s="3">
        <f>IF('ORDENES'!$A342="","",IF('ORDENES'!$AQ342="","-",'ORDENES'!$AQ342))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IF('ORDENES'!$A342="","",'ORDENES'!$AD342)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IF('ORDENES'!$A343="","",IF('ORDENES'!$AF343="","-",'ORDENES'!$AF343))</f>
        <v/>
      </c>
      <c r="D365" s="3">
        <f>IF('ORDENES'!$A343="","",IF('ORDENES'!$X343="","-",'ORDENES'!$X343))</f>
        <v/>
      </c>
      <c r="E365" s="3">
        <f>IF('ORDENES'!$A343="","",IF('ORDENES'!$V343="","-",'ORDENES'!$V343))</f>
        <v/>
      </c>
      <c r="F365" s="3">
        <f>IF('ORDENES'!$A343="","",IF('ORDENES'!$Y343="","-",'ORDENES'!$Y343))</f>
        <v/>
      </c>
      <c r="G365" s="3">
        <f>IF('ORDENES'!$A343="","",IF('ORDENES'!$W343="","-",'ORDENES'!$W343))</f>
        <v/>
      </c>
      <c r="H365" s="3">
        <f>IF('ORDENES'!$A343="","",IF('ORDENES'!$AE343="","-",'ORDENES'!$AE343))</f>
        <v/>
      </c>
      <c r="I365" s="3">
        <f>IF('ORDENES'!$A343="","",IF('ORDENES'!$AQ343="","-",'ORDENES'!$AQ343))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IF('ORDENES'!$A343="","",'ORDENES'!$AD343)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IF('ORDENES'!$A344="","",IF('ORDENES'!$AF344="","-",'ORDENES'!$AF344))</f>
        <v/>
      </c>
      <c r="D366" s="3">
        <f>IF('ORDENES'!$A344="","",IF('ORDENES'!$X344="","-",'ORDENES'!$X344))</f>
        <v/>
      </c>
      <c r="E366" s="3">
        <f>IF('ORDENES'!$A344="","",IF('ORDENES'!$V344="","-",'ORDENES'!$V344))</f>
        <v/>
      </c>
      <c r="F366" s="3">
        <f>IF('ORDENES'!$A344="","",IF('ORDENES'!$Y344="","-",'ORDENES'!$Y344))</f>
        <v/>
      </c>
      <c r="G366" s="3">
        <f>IF('ORDENES'!$A344="","",IF('ORDENES'!$W344="","-",'ORDENES'!$W344))</f>
        <v/>
      </c>
      <c r="H366" s="3">
        <f>IF('ORDENES'!$A344="","",IF('ORDENES'!$AE344="","-",'ORDENES'!$AE344))</f>
        <v/>
      </c>
      <c r="I366" s="3">
        <f>IF('ORDENES'!$A344="","",IF('ORDENES'!$AQ344="","-",'ORDENES'!$AQ344))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IF('ORDENES'!$A344="","",'ORDENES'!$AD344)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IF('ORDENES'!$A345="","",IF('ORDENES'!$AF345="","-",'ORDENES'!$AF345))</f>
        <v/>
      </c>
      <c r="D367" s="3">
        <f>IF('ORDENES'!$A345="","",IF('ORDENES'!$X345="","-",'ORDENES'!$X345))</f>
        <v/>
      </c>
      <c r="E367" s="3">
        <f>IF('ORDENES'!$A345="","",IF('ORDENES'!$V345="","-",'ORDENES'!$V345))</f>
        <v/>
      </c>
      <c r="F367" s="3">
        <f>IF('ORDENES'!$A345="","",IF('ORDENES'!$Y345="","-",'ORDENES'!$Y345))</f>
        <v/>
      </c>
      <c r="G367" s="3">
        <f>IF('ORDENES'!$A345="","",IF('ORDENES'!$W345="","-",'ORDENES'!$W345))</f>
        <v/>
      </c>
      <c r="H367" s="3">
        <f>IF('ORDENES'!$A345="","",IF('ORDENES'!$AE345="","-",'ORDENES'!$AE345))</f>
        <v/>
      </c>
      <c r="I367" s="3">
        <f>IF('ORDENES'!$A345="","",IF('ORDENES'!$AQ345="","-",'ORDENES'!$AQ345))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IF('ORDENES'!$A345="","",'ORDENES'!$AD345)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IF('ORDENES'!$A346="","",IF('ORDENES'!$AF346="","-",'ORDENES'!$AF346))</f>
        <v/>
      </c>
      <c r="D368" s="3">
        <f>IF('ORDENES'!$A346="","",IF('ORDENES'!$X346="","-",'ORDENES'!$X346))</f>
        <v/>
      </c>
      <c r="E368" s="3">
        <f>IF('ORDENES'!$A346="","",IF('ORDENES'!$V346="","-",'ORDENES'!$V346))</f>
        <v/>
      </c>
      <c r="F368" s="3">
        <f>IF('ORDENES'!$A346="","",IF('ORDENES'!$Y346="","-",'ORDENES'!$Y346))</f>
        <v/>
      </c>
      <c r="G368" s="3">
        <f>IF('ORDENES'!$A346="","",IF('ORDENES'!$W346="","-",'ORDENES'!$W346))</f>
        <v/>
      </c>
      <c r="H368" s="3">
        <f>IF('ORDENES'!$A346="","",IF('ORDENES'!$AE346="","-",'ORDENES'!$AE346))</f>
        <v/>
      </c>
      <c r="I368" s="3">
        <f>IF('ORDENES'!$A346="","",IF('ORDENES'!$AQ346="","-",'ORDENES'!$AQ346))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IF('ORDENES'!$A346="","",'ORDENES'!$AD346)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IF('ORDENES'!$A347="","",IF('ORDENES'!$AF347="","-",'ORDENES'!$AF347))</f>
        <v/>
      </c>
      <c r="D369" s="3">
        <f>IF('ORDENES'!$A347="","",IF('ORDENES'!$X347="","-",'ORDENES'!$X347))</f>
        <v/>
      </c>
      <c r="E369" s="3">
        <f>IF('ORDENES'!$A347="","",IF('ORDENES'!$V347="","-",'ORDENES'!$V347))</f>
        <v/>
      </c>
      <c r="F369" s="3">
        <f>IF('ORDENES'!$A347="","",IF('ORDENES'!$Y347="","-",'ORDENES'!$Y347))</f>
        <v/>
      </c>
      <c r="G369" s="3">
        <f>IF('ORDENES'!$A347="","",IF('ORDENES'!$W347="","-",'ORDENES'!$W347))</f>
        <v/>
      </c>
      <c r="H369" s="3">
        <f>IF('ORDENES'!$A347="","",IF('ORDENES'!$AE347="","-",'ORDENES'!$AE347))</f>
        <v/>
      </c>
      <c r="I369" s="3">
        <f>IF('ORDENES'!$A347="","",IF('ORDENES'!$AQ347="","-",'ORDENES'!$AQ347))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IF('ORDENES'!$A347="","",'ORDENES'!$AD347)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IF('ORDENES'!$A348="","",IF('ORDENES'!$AF348="","-",'ORDENES'!$AF348))</f>
        <v/>
      </c>
      <c r="D370" s="3">
        <f>IF('ORDENES'!$A348="","",IF('ORDENES'!$X348="","-",'ORDENES'!$X348))</f>
        <v/>
      </c>
      <c r="E370" s="3">
        <f>IF('ORDENES'!$A348="","",IF('ORDENES'!$V348="","-",'ORDENES'!$V348))</f>
        <v/>
      </c>
      <c r="F370" s="3">
        <f>IF('ORDENES'!$A348="","",IF('ORDENES'!$Y348="","-",'ORDENES'!$Y348))</f>
        <v/>
      </c>
      <c r="G370" s="3">
        <f>IF('ORDENES'!$A348="","",IF('ORDENES'!$W348="","-",'ORDENES'!$W348))</f>
        <v/>
      </c>
      <c r="H370" s="3">
        <f>IF('ORDENES'!$A348="","",IF('ORDENES'!$AE348="","-",'ORDENES'!$AE348))</f>
        <v/>
      </c>
      <c r="I370" s="3">
        <f>IF('ORDENES'!$A348="","",IF('ORDENES'!$AQ348="","-",'ORDENES'!$AQ348))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IF('ORDENES'!$A348="","",'ORDENES'!$AD348)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IF('ORDENES'!$A349="","",IF('ORDENES'!$AF349="","-",'ORDENES'!$AF349))</f>
        <v/>
      </c>
      <c r="D371" s="3">
        <f>IF('ORDENES'!$A349="","",IF('ORDENES'!$X349="","-",'ORDENES'!$X349))</f>
        <v/>
      </c>
      <c r="E371" s="3">
        <f>IF('ORDENES'!$A349="","",IF('ORDENES'!$V349="","-",'ORDENES'!$V349))</f>
        <v/>
      </c>
      <c r="F371" s="3">
        <f>IF('ORDENES'!$A349="","",IF('ORDENES'!$Y349="","-",'ORDENES'!$Y349))</f>
        <v/>
      </c>
      <c r="G371" s="3">
        <f>IF('ORDENES'!$A349="","",IF('ORDENES'!$W349="","-",'ORDENES'!$W349))</f>
        <v/>
      </c>
      <c r="H371" s="3">
        <f>IF('ORDENES'!$A349="","",IF('ORDENES'!$AE349="","-",'ORDENES'!$AE349))</f>
        <v/>
      </c>
      <c r="I371" s="3">
        <f>IF('ORDENES'!$A349="","",IF('ORDENES'!$AQ349="","-",'ORDENES'!$AQ349))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IF('ORDENES'!$A349="","",'ORDENES'!$AD349)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IF('ORDENES'!$A350="","",IF('ORDENES'!$AF350="","-",'ORDENES'!$AF350))</f>
        <v/>
      </c>
      <c r="D372" s="3">
        <f>IF('ORDENES'!$A350="","",IF('ORDENES'!$X350="","-",'ORDENES'!$X350))</f>
        <v/>
      </c>
      <c r="E372" s="3">
        <f>IF('ORDENES'!$A350="","",IF('ORDENES'!$V350="","-",'ORDENES'!$V350))</f>
        <v/>
      </c>
      <c r="F372" s="3">
        <f>IF('ORDENES'!$A350="","",IF('ORDENES'!$Y350="","-",'ORDENES'!$Y350))</f>
        <v/>
      </c>
      <c r="G372" s="3">
        <f>IF('ORDENES'!$A350="","",IF('ORDENES'!$W350="","-",'ORDENES'!$W350))</f>
        <v/>
      </c>
      <c r="H372" s="3">
        <f>IF('ORDENES'!$A350="","",IF('ORDENES'!$AE350="","-",'ORDENES'!$AE350))</f>
        <v/>
      </c>
      <c r="I372" s="3">
        <f>IF('ORDENES'!$A350="","",IF('ORDENES'!$AQ350="","-",'ORDENES'!$AQ350))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IF('ORDENES'!$A350="","",'ORDENES'!$AD350)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IF('ORDENES'!$A351="","",IF('ORDENES'!$AF351="","-",'ORDENES'!$AF351))</f>
        <v/>
      </c>
      <c r="D373" s="3">
        <f>IF('ORDENES'!$A351="","",IF('ORDENES'!$X351="","-",'ORDENES'!$X351))</f>
        <v/>
      </c>
      <c r="E373" s="3">
        <f>IF('ORDENES'!$A351="","",IF('ORDENES'!$V351="","-",'ORDENES'!$V351))</f>
        <v/>
      </c>
      <c r="F373" s="3">
        <f>IF('ORDENES'!$A351="","",IF('ORDENES'!$Y351="","-",'ORDENES'!$Y351))</f>
        <v/>
      </c>
      <c r="G373" s="3">
        <f>IF('ORDENES'!$A351="","",IF('ORDENES'!$W351="","-",'ORDENES'!$W351))</f>
        <v/>
      </c>
      <c r="H373" s="3">
        <f>IF('ORDENES'!$A351="","",IF('ORDENES'!$AE351="","-",'ORDENES'!$AE351))</f>
        <v/>
      </c>
      <c r="I373" s="3">
        <f>IF('ORDENES'!$A351="","",IF('ORDENES'!$AQ351="","-",'ORDENES'!$AQ351))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IF('ORDENES'!$A351="","",'ORDENES'!$AD351)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IF('ORDENES'!$A352="","",IF('ORDENES'!$AF352="","-",'ORDENES'!$AF352))</f>
        <v/>
      </c>
      <c r="D374" s="3">
        <f>IF('ORDENES'!$A352="","",IF('ORDENES'!$X352="","-",'ORDENES'!$X352))</f>
        <v/>
      </c>
      <c r="E374" s="3">
        <f>IF('ORDENES'!$A352="","",IF('ORDENES'!$V352="","-",'ORDENES'!$V352))</f>
        <v/>
      </c>
      <c r="F374" s="3">
        <f>IF('ORDENES'!$A352="","",IF('ORDENES'!$Y352="","-",'ORDENES'!$Y352))</f>
        <v/>
      </c>
      <c r="G374" s="3">
        <f>IF('ORDENES'!$A352="","",IF('ORDENES'!$W352="","-",'ORDENES'!$W352))</f>
        <v/>
      </c>
      <c r="H374" s="3">
        <f>IF('ORDENES'!$A352="","",IF('ORDENES'!$AE352="","-",'ORDENES'!$AE352))</f>
        <v/>
      </c>
      <c r="I374" s="3">
        <f>IF('ORDENES'!$A352="","",IF('ORDENES'!$AQ352="","-",'ORDENES'!$AQ352))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IF('ORDENES'!$A352="","",'ORDENES'!$AD352)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IF('ORDENES'!$A353="","",IF('ORDENES'!$AF353="","-",'ORDENES'!$AF353))</f>
        <v/>
      </c>
      <c r="D375" s="3">
        <f>IF('ORDENES'!$A353="","",IF('ORDENES'!$X353="","-",'ORDENES'!$X353))</f>
        <v/>
      </c>
      <c r="E375" s="3">
        <f>IF('ORDENES'!$A353="","",IF('ORDENES'!$V353="","-",'ORDENES'!$V353))</f>
        <v/>
      </c>
      <c r="F375" s="3">
        <f>IF('ORDENES'!$A353="","",IF('ORDENES'!$Y353="","-",'ORDENES'!$Y353))</f>
        <v/>
      </c>
      <c r="G375" s="3">
        <f>IF('ORDENES'!$A353="","",IF('ORDENES'!$W353="","-",'ORDENES'!$W353))</f>
        <v/>
      </c>
      <c r="H375" s="3">
        <f>IF('ORDENES'!$A353="","",IF('ORDENES'!$AE353="","-",'ORDENES'!$AE353))</f>
        <v/>
      </c>
      <c r="I375" s="3">
        <f>IF('ORDENES'!$A353="","",IF('ORDENES'!$AQ353="","-",'ORDENES'!$AQ353))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IF('ORDENES'!$A353="","",'ORDENES'!$AD353)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IF('ORDENES'!$A354="","",IF('ORDENES'!$AF354="","-",'ORDENES'!$AF354))</f>
        <v/>
      </c>
      <c r="D376" s="3">
        <f>IF('ORDENES'!$A354="","",IF('ORDENES'!$X354="","-",'ORDENES'!$X354))</f>
        <v/>
      </c>
      <c r="E376" s="3">
        <f>IF('ORDENES'!$A354="","",IF('ORDENES'!$V354="","-",'ORDENES'!$V354))</f>
        <v/>
      </c>
      <c r="F376" s="3">
        <f>IF('ORDENES'!$A354="","",IF('ORDENES'!$Y354="","-",'ORDENES'!$Y354))</f>
        <v/>
      </c>
      <c r="G376" s="3">
        <f>IF('ORDENES'!$A354="","",IF('ORDENES'!$W354="","-",'ORDENES'!$W354))</f>
        <v/>
      </c>
      <c r="H376" s="3">
        <f>IF('ORDENES'!$A354="","",IF('ORDENES'!$AE354="","-",'ORDENES'!$AE354))</f>
        <v/>
      </c>
      <c r="I376" s="3">
        <f>IF('ORDENES'!$A354="","",IF('ORDENES'!$AQ354="","-",'ORDENES'!$AQ354))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IF('ORDENES'!$A354="","",'ORDENES'!$AD354)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IF('ORDENES'!$A355="","",IF('ORDENES'!$AF355="","-",'ORDENES'!$AF355))</f>
        <v/>
      </c>
      <c r="D377" s="3">
        <f>IF('ORDENES'!$A355="","",IF('ORDENES'!$X355="","-",'ORDENES'!$X355))</f>
        <v/>
      </c>
      <c r="E377" s="3">
        <f>IF('ORDENES'!$A355="","",IF('ORDENES'!$V355="","-",'ORDENES'!$V355))</f>
        <v/>
      </c>
      <c r="F377" s="3">
        <f>IF('ORDENES'!$A355="","",IF('ORDENES'!$Y355="","-",'ORDENES'!$Y355))</f>
        <v/>
      </c>
      <c r="G377" s="3">
        <f>IF('ORDENES'!$A355="","",IF('ORDENES'!$W355="","-",'ORDENES'!$W355))</f>
        <v/>
      </c>
      <c r="H377" s="3">
        <f>IF('ORDENES'!$A355="","",IF('ORDENES'!$AE355="","-",'ORDENES'!$AE355))</f>
        <v/>
      </c>
      <c r="I377" s="3">
        <f>IF('ORDENES'!$A355="","",IF('ORDENES'!$AQ355="","-",'ORDENES'!$AQ355))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IF('ORDENES'!$A355="","",'ORDENES'!$AD355)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IF('ORDENES'!$A356="","",IF('ORDENES'!$AF356="","-",'ORDENES'!$AF356))</f>
        <v/>
      </c>
      <c r="D378" s="3">
        <f>IF('ORDENES'!$A356="","",IF('ORDENES'!$X356="","-",'ORDENES'!$X356))</f>
        <v/>
      </c>
      <c r="E378" s="3">
        <f>IF('ORDENES'!$A356="","",IF('ORDENES'!$V356="","-",'ORDENES'!$V356))</f>
        <v/>
      </c>
      <c r="F378" s="3">
        <f>IF('ORDENES'!$A356="","",IF('ORDENES'!$Y356="","-",'ORDENES'!$Y356))</f>
        <v/>
      </c>
      <c r="G378" s="3">
        <f>IF('ORDENES'!$A356="","",IF('ORDENES'!$W356="","-",'ORDENES'!$W356))</f>
        <v/>
      </c>
      <c r="H378" s="3">
        <f>IF('ORDENES'!$A356="","",IF('ORDENES'!$AE356="","-",'ORDENES'!$AE356))</f>
        <v/>
      </c>
      <c r="I378" s="3">
        <f>IF('ORDENES'!$A356="","",IF('ORDENES'!$AQ356="","-",'ORDENES'!$AQ356))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IF('ORDENES'!$A356="","",'ORDENES'!$AD356)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IF('ORDENES'!$A357="","",IF('ORDENES'!$AF357="","-",'ORDENES'!$AF357))</f>
        <v/>
      </c>
      <c r="D379" s="3">
        <f>IF('ORDENES'!$A357="","",IF('ORDENES'!$X357="","-",'ORDENES'!$X357))</f>
        <v/>
      </c>
      <c r="E379" s="3">
        <f>IF('ORDENES'!$A357="","",IF('ORDENES'!$V357="","-",'ORDENES'!$V357))</f>
        <v/>
      </c>
      <c r="F379" s="3">
        <f>IF('ORDENES'!$A357="","",IF('ORDENES'!$Y357="","-",'ORDENES'!$Y357))</f>
        <v/>
      </c>
      <c r="G379" s="3">
        <f>IF('ORDENES'!$A357="","",IF('ORDENES'!$W357="","-",'ORDENES'!$W357))</f>
        <v/>
      </c>
      <c r="H379" s="3">
        <f>IF('ORDENES'!$A357="","",IF('ORDENES'!$AE357="","-",'ORDENES'!$AE357))</f>
        <v/>
      </c>
      <c r="I379" s="3">
        <f>IF('ORDENES'!$A357="","",IF('ORDENES'!$AQ357="","-",'ORDENES'!$AQ357))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IF('ORDENES'!$A357="","",'ORDENES'!$AD357)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IF('ORDENES'!$A358="","",IF('ORDENES'!$AF358="","-",'ORDENES'!$AF358))</f>
        <v/>
      </c>
      <c r="D380" s="3">
        <f>IF('ORDENES'!$A358="","",IF('ORDENES'!$X358="","-",'ORDENES'!$X358))</f>
        <v/>
      </c>
      <c r="E380" s="3">
        <f>IF('ORDENES'!$A358="","",IF('ORDENES'!$V358="","-",'ORDENES'!$V358))</f>
        <v/>
      </c>
      <c r="F380" s="3">
        <f>IF('ORDENES'!$A358="","",IF('ORDENES'!$Y358="","-",'ORDENES'!$Y358))</f>
        <v/>
      </c>
      <c r="G380" s="3">
        <f>IF('ORDENES'!$A358="","",IF('ORDENES'!$W358="","-",'ORDENES'!$W358))</f>
        <v/>
      </c>
      <c r="H380" s="3">
        <f>IF('ORDENES'!$A358="","",IF('ORDENES'!$AE358="","-",'ORDENES'!$AE358))</f>
        <v/>
      </c>
      <c r="I380" s="3">
        <f>IF('ORDENES'!$A358="","",IF('ORDENES'!$AQ358="","-",'ORDENES'!$AQ358))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IF('ORDENES'!$A358="","",'ORDENES'!$AD358)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IF('ORDENES'!$A359="","",IF('ORDENES'!$AF359="","-",'ORDENES'!$AF359))</f>
        <v/>
      </c>
      <c r="D381" s="3">
        <f>IF('ORDENES'!$A359="","",IF('ORDENES'!$X359="","-",'ORDENES'!$X359))</f>
        <v/>
      </c>
      <c r="E381" s="3">
        <f>IF('ORDENES'!$A359="","",IF('ORDENES'!$V359="","-",'ORDENES'!$V359))</f>
        <v/>
      </c>
      <c r="F381" s="3">
        <f>IF('ORDENES'!$A359="","",IF('ORDENES'!$Y359="","-",'ORDENES'!$Y359))</f>
        <v/>
      </c>
      <c r="G381" s="3">
        <f>IF('ORDENES'!$A359="","",IF('ORDENES'!$W359="","-",'ORDENES'!$W359))</f>
        <v/>
      </c>
      <c r="H381" s="3">
        <f>IF('ORDENES'!$A359="","",IF('ORDENES'!$AE359="","-",'ORDENES'!$AE359))</f>
        <v/>
      </c>
      <c r="I381" s="3">
        <f>IF('ORDENES'!$A359="","",IF('ORDENES'!$AQ359="","-",'ORDENES'!$AQ359))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IF('ORDENES'!$A359="","",'ORDENES'!$AD359)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IF('ORDENES'!$A360="","",IF('ORDENES'!$AF360="","-",'ORDENES'!$AF360))</f>
        <v/>
      </c>
      <c r="D382" s="3">
        <f>IF('ORDENES'!$A360="","",IF('ORDENES'!$X360="","-",'ORDENES'!$X360))</f>
        <v/>
      </c>
      <c r="E382" s="3">
        <f>IF('ORDENES'!$A360="","",IF('ORDENES'!$V360="","-",'ORDENES'!$V360))</f>
        <v/>
      </c>
      <c r="F382" s="3">
        <f>IF('ORDENES'!$A360="","",IF('ORDENES'!$Y360="","-",'ORDENES'!$Y360))</f>
        <v/>
      </c>
      <c r="G382" s="3">
        <f>IF('ORDENES'!$A360="","",IF('ORDENES'!$W360="","-",'ORDENES'!$W360))</f>
        <v/>
      </c>
      <c r="H382" s="3">
        <f>IF('ORDENES'!$A360="","",IF('ORDENES'!$AE360="","-",'ORDENES'!$AE360))</f>
        <v/>
      </c>
      <c r="I382" s="3">
        <f>IF('ORDENES'!$A360="","",IF('ORDENES'!$AQ360="","-",'ORDENES'!$AQ360))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IF('ORDENES'!$A360="","",'ORDENES'!$AD360)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IF('ORDENES'!$A361="","",IF('ORDENES'!$AF361="","-",'ORDENES'!$AF361))</f>
        <v/>
      </c>
      <c r="D383" s="3">
        <f>IF('ORDENES'!$A361="","",IF('ORDENES'!$X361="","-",'ORDENES'!$X361))</f>
        <v/>
      </c>
      <c r="E383" s="3">
        <f>IF('ORDENES'!$A361="","",IF('ORDENES'!$V361="","-",'ORDENES'!$V361))</f>
        <v/>
      </c>
      <c r="F383" s="3">
        <f>IF('ORDENES'!$A361="","",IF('ORDENES'!$Y361="","-",'ORDENES'!$Y361))</f>
        <v/>
      </c>
      <c r="G383" s="3">
        <f>IF('ORDENES'!$A361="","",IF('ORDENES'!$W361="","-",'ORDENES'!$W361))</f>
        <v/>
      </c>
      <c r="H383" s="3">
        <f>IF('ORDENES'!$A361="","",IF('ORDENES'!$AE361="","-",'ORDENES'!$AE361))</f>
        <v/>
      </c>
      <c r="I383" s="3">
        <f>IF('ORDENES'!$A361="","",IF('ORDENES'!$AQ361="","-",'ORDENES'!$AQ361))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IF('ORDENES'!$A361="","",'ORDENES'!$AD361)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IF('ORDENES'!$A362="","",IF('ORDENES'!$AF362="","-",'ORDENES'!$AF362))</f>
        <v/>
      </c>
      <c r="D384" s="3">
        <f>IF('ORDENES'!$A362="","",IF('ORDENES'!$X362="","-",'ORDENES'!$X362))</f>
        <v/>
      </c>
      <c r="E384" s="3">
        <f>IF('ORDENES'!$A362="","",IF('ORDENES'!$V362="","-",'ORDENES'!$V362))</f>
        <v/>
      </c>
      <c r="F384" s="3">
        <f>IF('ORDENES'!$A362="","",IF('ORDENES'!$Y362="","-",'ORDENES'!$Y362))</f>
        <v/>
      </c>
      <c r="G384" s="3">
        <f>IF('ORDENES'!$A362="","",IF('ORDENES'!$W362="","-",'ORDENES'!$W362))</f>
        <v/>
      </c>
      <c r="H384" s="3">
        <f>IF('ORDENES'!$A362="","",IF('ORDENES'!$AE362="","-",'ORDENES'!$AE362))</f>
        <v/>
      </c>
      <c r="I384" s="3">
        <f>IF('ORDENES'!$A362="","",IF('ORDENES'!$AQ362="","-",'ORDENES'!$AQ362))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IF('ORDENES'!$A362="","",'ORDENES'!$AD362)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IF('ORDENES'!$A363="","",IF('ORDENES'!$AF363="","-",'ORDENES'!$AF363))</f>
        <v/>
      </c>
      <c r="D385" s="3">
        <f>IF('ORDENES'!$A363="","",IF('ORDENES'!$X363="","-",'ORDENES'!$X363))</f>
        <v/>
      </c>
      <c r="E385" s="3">
        <f>IF('ORDENES'!$A363="","",IF('ORDENES'!$V363="","-",'ORDENES'!$V363))</f>
        <v/>
      </c>
      <c r="F385" s="3">
        <f>IF('ORDENES'!$A363="","",IF('ORDENES'!$Y363="","-",'ORDENES'!$Y363))</f>
        <v/>
      </c>
      <c r="G385" s="3">
        <f>IF('ORDENES'!$A363="","",IF('ORDENES'!$W363="","-",'ORDENES'!$W363))</f>
        <v/>
      </c>
      <c r="H385" s="3">
        <f>IF('ORDENES'!$A363="","",IF('ORDENES'!$AE363="","-",'ORDENES'!$AE363))</f>
        <v/>
      </c>
      <c r="I385" s="3">
        <f>IF('ORDENES'!$A363="","",IF('ORDENES'!$AQ363="","-",'ORDENES'!$AQ363))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IF('ORDENES'!$A363="","",'ORDENES'!$AD363)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IF('ORDENES'!$A364="","",IF('ORDENES'!$AF364="","-",'ORDENES'!$AF364))</f>
        <v/>
      </c>
      <c r="D386" s="3">
        <f>IF('ORDENES'!$A364="","",IF('ORDENES'!$X364="","-",'ORDENES'!$X364))</f>
        <v/>
      </c>
      <c r="E386" s="3">
        <f>IF('ORDENES'!$A364="","",IF('ORDENES'!$V364="","-",'ORDENES'!$V364))</f>
        <v/>
      </c>
      <c r="F386" s="3">
        <f>IF('ORDENES'!$A364="","",IF('ORDENES'!$Y364="","-",'ORDENES'!$Y364))</f>
        <v/>
      </c>
      <c r="G386" s="3">
        <f>IF('ORDENES'!$A364="","",IF('ORDENES'!$W364="","-",'ORDENES'!$W364))</f>
        <v/>
      </c>
      <c r="H386" s="3">
        <f>IF('ORDENES'!$A364="","",IF('ORDENES'!$AE364="","-",'ORDENES'!$AE364))</f>
        <v/>
      </c>
      <c r="I386" s="3">
        <f>IF('ORDENES'!$A364="","",IF('ORDENES'!$AQ364="","-",'ORDENES'!$AQ364))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IF('ORDENES'!$A364="","",'ORDENES'!$AD364)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IF('ORDENES'!$A365="","",IF('ORDENES'!$AF365="","-",'ORDENES'!$AF365))</f>
        <v/>
      </c>
      <c r="D387" s="3">
        <f>IF('ORDENES'!$A365="","",IF('ORDENES'!$X365="","-",'ORDENES'!$X365))</f>
        <v/>
      </c>
      <c r="E387" s="3">
        <f>IF('ORDENES'!$A365="","",IF('ORDENES'!$V365="","-",'ORDENES'!$V365))</f>
        <v/>
      </c>
      <c r="F387" s="3">
        <f>IF('ORDENES'!$A365="","",IF('ORDENES'!$Y365="","-",'ORDENES'!$Y365))</f>
        <v/>
      </c>
      <c r="G387" s="3">
        <f>IF('ORDENES'!$A365="","",IF('ORDENES'!$W365="","-",'ORDENES'!$W365))</f>
        <v/>
      </c>
      <c r="H387" s="3">
        <f>IF('ORDENES'!$A365="","",IF('ORDENES'!$AE365="","-",'ORDENES'!$AE365))</f>
        <v/>
      </c>
      <c r="I387" s="3">
        <f>IF('ORDENES'!$A365="","",IF('ORDENES'!$AQ365="","-",'ORDENES'!$AQ365))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IF('ORDENES'!$A365="","",'ORDENES'!$AD365)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IF('ORDENES'!$A366="","",IF('ORDENES'!$AF366="","-",'ORDENES'!$AF366))</f>
        <v/>
      </c>
      <c r="D388" s="3">
        <f>IF('ORDENES'!$A366="","",IF('ORDENES'!$X366="","-",'ORDENES'!$X366))</f>
        <v/>
      </c>
      <c r="E388" s="3">
        <f>IF('ORDENES'!$A366="","",IF('ORDENES'!$V366="","-",'ORDENES'!$V366))</f>
        <v/>
      </c>
      <c r="F388" s="3">
        <f>IF('ORDENES'!$A366="","",IF('ORDENES'!$Y366="","-",'ORDENES'!$Y366))</f>
        <v/>
      </c>
      <c r="G388" s="3">
        <f>IF('ORDENES'!$A366="","",IF('ORDENES'!$W366="","-",'ORDENES'!$W366))</f>
        <v/>
      </c>
      <c r="H388" s="3">
        <f>IF('ORDENES'!$A366="","",IF('ORDENES'!$AE366="","-",'ORDENES'!$AE366))</f>
        <v/>
      </c>
      <c r="I388" s="3">
        <f>IF('ORDENES'!$A366="","",IF('ORDENES'!$AQ366="","-",'ORDENES'!$AQ366))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IF('ORDENES'!$A366="","",'ORDENES'!$AD366)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IF('ORDENES'!$A367="","",IF('ORDENES'!$AF367="","-",'ORDENES'!$AF367))</f>
        <v/>
      </c>
      <c r="D389" s="3">
        <f>IF('ORDENES'!$A367="","",IF('ORDENES'!$X367="","-",'ORDENES'!$X367))</f>
        <v/>
      </c>
      <c r="E389" s="3">
        <f>IF('ORDENES'!$A367="","",IF('ORDENES'!$V367="","-",'ORDENES'!$V367))</f>
        <v/>
      </c>
      <c r="F389" s="3">
        <f>IF('ORDENES'!$A367="","",IF('ORDENES'!$Y367="","-",'ORDENES'!$Y367))</f>
        <v/>
      </c>
      <c r="G389" s="3">
        <f>IF('ORDENES'!$A367="","",IF('ORDENES'!$W367="","-",'ORDENES'!$W367))</f>
        <v/>
      </c>
      <c r="H389" s="3">
        <f>IF('ORDENES'!$A367="","",IF('ORDENES'!$AE367="","-",'ORDENES'!$AE367))</f>
        <v/>
      </c>
      <c r="I389" s="3">
        <f>IF('ORDENES'!$A367="","",IF('ORDENES'!$AQ367="","-",'ORDENES'!$AQ367))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IF('ORDENES'!$A367="","",'ORDENES'!$AD367)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IF('ORDENES'!$A368="","",IF('ORDENES'!$AF368="","-",'ORDENES'!$AF368))</f>
        <v/>
      </c>
      <c r="D390" s="3">
        <f>IF('ORDENES'!$A368="","",IF('ORDENES'!$X368="","-",'ORDENES'!$X368))</f>
        <v/>
      </c>
      <c r="E390" s="3">
        <f>IF('ORDENES'!$A368="","",IF('ORDENES'!$V368="","-",'ORDENES'!$V368))</f>
        <v/>
      </c>
      <c r="F390" s="3">
        <f>IF('ORDENES'!$A368="","",IF('ORDENES'!$Y368="","-",'ORDENES'!$Y368))</f>
        <v/>
      </c>
      <c r="G390" s="3">
        <f>IF('ORDENES'!$A368="","",IF('ORDENES'!$W368="","-",'ORDENES'!$W368))</f>
        <v/>
      </c>
      <c r="H390" s="3">
        <f>IF('ORDENES'!$A368="","",IF('ORDENES'!$AE368="","-",'ORDENES'!$AE368))</f>
        <v/>
      </c>
      <c r="I390" s="3">
        <f>IF('ORDENES'!$A368="","",IF('ORDENES'!$AQ368="","-",'ORDENES'!$AQ368))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IF('ORDENES'!$A368="","",'ORDENES'!$AD368)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IF('ORDENES'!$A369="","",IF('ORDENES'!$AF369="","-",'ORDENES'!$AF369))</f>
        <v/>
      </c>
      <c r="D391" s="3">
        <f>IF('ORDENES'!$A369="","",IF('ORDENES'!$X369="","-",'ORDENES'!$X369))</f>
        <v/>
      </c>
      <c r="E391" s="3">
        <f>IF('ORDENES'!$A369="","",IF('ORDENES'!$V369="","-",'ORDENES'!$V369))</f>
        <v/>
      </c>
      <c r="F391" s="3">
        <f>IF('ORDENES'!$A369="","",IF('ORDENES'!$Y369="","-",'ORDENES'!$Y369))</f>
        <v/>
      </c>
      <c r="G391" s="3">
        <f>IF('ORDENES'!$A369="","",IF('ORDENES'!$W369="","-",'ORDENES'!$W369))</f>
        <v/>
      </c>
      <c r="H391" s="3">
        <f>IF('ORDENES'!$A369="","",IF('ORDENES'!$AE369="","-",'ORDENES'!$AE369))</f>
        <v/>
      </c>
      <c r="I391" s="3">
        <f>IF('ORDENES'!$A369="","",IF('ORDENES'!$AQ369="","-",'ORDENES'!$AQ369))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IF('ORDENES'!$A369="","",'ORDENES'!$AD369)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IF('ORDENES'!$A370="","",IF('ORDENES'!$AF370="","-",'ORDENES'!$AF370))</f>
        <v/>
      </c>
      <c r="D392" s="3">
        <f>IF('ORDENES'!$A370="","",IF('ORDENES'!$X370="","-",'ORDENES'!$X370))</f>
        <v/>
      </c>
      <c r="E392" s="3">
        <f>IF('ORDENES'!$A370="","",IF('ORDENES'!$V370="","-",'ORDENES'!$V370))</f>
        <v/>
      </c>
      <c r="F392" s="3">
        <f>IF('ORDENES'!$A370="","",IF('ORDENES'!$Y370="","-",'ORDENES'!$Y370))</f>
        <v/>
      </c>
      <c r="G392" s="3">
        <f>IF('ORDENES'!$A370="","",IF('ORDENES'!$W370="","-",'ORDENES'!$W370))</f>
        <v/>
      </c>
      <c r="H392" s="3">
        <f>IF('ORDENES'!$A370="","",IF('ORDENES'!$AE370="","-",'ORDENES'!$AE370))</f>
        <v/>
      </c>
      <c r="I392" s="3">
        <f>IF('ORDENES'!$A370="","",IF('ORDENES'!$AQ370="","-",'ORDENES'!$AQ370))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IF('ORDENES'!$A370="","",'ORDENES'!$AD370)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IF('ORDENES'!$A371="","",IF('ORDENES'!$AF371="","-",'ORDENES'!$AF371))</f>
        <v/>
      </c>
      <c r="D393" s="3">
        <f>IF('ORDENES'!$A371="","",IF('ORDENES'!$X371="","-",'ORDENES'!$X371))</f>
        <v/>
      </c>
      <c r="E393" s="3">
        <f>IF('ORDENES'!$A371="","",IF('ORDENES'!$V371="","-",'ORDENES'!$V371))</f>
        <v/>
      </c>
      <c r="F393" s="3">
        <f>IF('ORDENES'!$A371="","",IF('ORDENES'!$Y371="","-",'ORDENES'!$Y371))</f>
        <v/>
      </c>
      <c r="G393" s="3">
        <f>IF('ORDENES'!$A371="","",IF('ORDENES'!$W371="","-",'ORDENES'!$W371))</f>
        <v/>
      </c>
      <c r="H393" s="3">
        <f>IF('ORDENES'!$A371="","",IF('ORDENES'!$AE371="","-",'ORDENES'!$AE371))</f>
        <v/>
      </c>
      <c r="I393" s="3">
        <f>IF('ORDENES'!$A371="","",IF('ORDENES'!$AQ371="","-",'ORDENES'!$AQ371))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IF('ORDENES'!$A371="","",'ORDENES'!$AD371)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IF('ORDENES'!$A372="","",IF('ORDENES'!$AF372="","-",'ORDENES'!$AF372))</f>
        <v/>
      </c>
      <c r="D394" s="3">
        <f>IF('ORDENES'!$A372="","",IF('ORDENES'!$X372="","-",'ORDENES'!$X372))</f>
        <v/>
      </c>
      <c r="E394" s="3">
        <f>IF('ORDENES'!$A372="","",IF('ORDENES'!$V372="","-",'ORDENES'!$V372))</f>
        <v/>
      </c>
      <c r="F394" s="3">
        <f>IF('ORDENES'!$A372="","",IF('ORDENES'!$Y372="","-",'ORDENES'!$Y372))</f>
        <v/>
      </c>
      <c r="G394" s="3">
        <f>IF('ORDENES'!$A372="","",IF('ORDENES'!$W372="","-",'ORDENES'!$W372))</f>
        <v/>
      </c>
      <c r="H394" s="3">
        <f>IF('ORDENES'!$A372="","",IF('ORDENES'!$AE372="","-",'ORDENES'!$AE372))</f>
        <v/>
      </c>
      <c r="I394" s="3">
        <f>IF('ORDENES'!$A372="","",IF('ORDENES'!$AQ372="","-",'ORDENES'!$AQ372))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IF('ORDENES'!$A372="","",'ORDENES'!$AD372)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IF('ORDENES'!$A373="","",IF('ORDENES'!$AF373="","-",'ORDENES'!$AF373))</f>
        <v/>
      </c>
      <c r="D395" s="3">
        <f>IF('ORDENES'!$A373="","",IF('ORDENES'!$X373="","-",'ORDENES'!$X373))</f>
        <v/>
      </c>
      <c r="E395" s="3">
        <f>IF('ORDENES'!$A373="","",IF('ORDENES'!$V373="","-",'ORDENES'!$V373))</f>
        <v/>
      </c>
      <c r="F395" s="3">
        <f>IF('ORDENES'!$A373="","",IF('ORDENES'!$Y373="","-",'ORDENES'!$Y373))</f>
        <v/>
      </c>
      <c r="G395" s="3">
        <f>IF('ORDENES'!$A373="","",IF('ORDENES'!$W373="","-",'ORDENES'!$W373))</f>
        <v/>
      </c>
      <c r="H395" s="3">
        <f>IF('ORDENES'!$A373="","",IF('ORDENES'!$AE373="","-",'ORDENES'!$AE373))</f>
        <v/>
      </c>
      <c r="I395" s="3">
        <f>IF('ORDENES'!$A373="","",IF('ORDENES'!$AQ373="","-",'ORDENES'!$AQ373))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IF('ORDENES'!$A373="","",'ORDENES'!$AD373)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IF('ORDENES'!$A374="","",IF('ORDENES'!$AF374="","-",'ORDENES'!$AF374))</f>
        <v/>
      </c>
      <c r="D396" s="3">
        <f>IF('ORDENES'!$A374="","",IF('ORDENES'!$X374="","-",'ORDENES'!$X374))</f>
        <v/>
      </c>
      <c r="E396" s="3">
        <f>IF('ORDENES'!$A374="","",IF('ORDENES'!$V374="","-",'ORDENES'!$V374))</f>
        <v/>
      </c>
      <c r="F396" s="3">
        <f>IF('ORDENES'!$A374="","",IF('ORDENES'!$Y374="","-",'ORDENES'!$Y374))</f>
        <v/>
      </c>
      <c r="G396" s="3">
        <f>IF('ORDENES'!$A374="","",IF('ORDENES'!$W374="","-",'ORDENES'!$W374))</f>
        <v/>
      </c>
      <c r="H396" s="3">
        <f>IF('ORDENES'!$A374="","",IF('ORDENES'!$AE374="","-",'ORDENES'!$AE374))</f>
        <v/>
      </c>
      <c r="I396" s="3">
        <f>IF('ORDENES'!$A374="","",IF('ORDENES'!$AQ374="","-",'ORDENES'!$AQ374))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IF('ORDENES'!$A374="","",'ORDENES'!$AD374)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IF('ORDENES'!$A375="","",IF('ORDENES'!$AF375="","-",'ORDENES'!$AF375))</f>
        <v/>
      </c>
      <c r="D397" s="3">
        <f>IF('ORDENES'!$A375="","",IF('ORDENES'!$X375="","-",'ORDENES'!$X375))</f>
        <v/>
      </c>
      <c r="E397" s="3">
        <f>IF('ORDENES'!$A375="","",IF('ORDENES'!$V375="","-",'ORDENES'!$V375))</f>
        <v/>
      </c>
      <c r="F397" s="3">
        <f>IF('ORDENES'!$A375="","",IF('ORDENES'!$Y375="","-",'ORDENES'!$Y375))</f>
        <v/>
      </c>
      <c r="G397" s="3">
        <f>IF('ORDENES'!$A375="","",IF('ORDENES'!$W375="","-",'ORDENES'!$W375))</f>
        <v/>
      </c>
      <c r="H397" s="3">
        <f>IF('ORDENES'!$A375="","",IF('ORDENES'!$AE375="","-",'ORDENES'!$AE375))</f>
        <v/>
      </c>
      <c r="I397" s="3">
        <f>IF('ORDENES'!$A375="","",IF('ORDENES'!$AQ375="","-",'ORDENES'!$AQ375))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IF('ORDENES'!$A375="","",'ORDENES'!$AD375)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IF('ORDENES'!$A376="","",IF('ORDENES'!$AF376="","-",'ORDENES'!$AF376))</f>
        <v/>
      </c>
      <c r="D398" s="3">
        <f>IF('ORDENES'!$A376="","",IF('ORDENES'!$X376="","-",'ORDENES'!$X376))</f>
        <v/>
      </c>
      <c r="E398" s="3">
        <f>IF('ORDENES'!$A376="","",IF('ORDENES'!$V376="","-",'ORDENES'!$V376))</f>
        <v/>
      </c>
      <c r="F398" s="3">
        <f>IF('ORDENES'!$A376="","",IF('ORDENES'!$Y376="","-",'ORDENES'!$Y376))</f>
        <v/>
      </c>
      <c r="G398" s="3">
        <f>IF('ORDENES'!$A376="","",IF('ORDENES'!$W376="","-",'ORDENES'!$W376))</f>
        <v/>
      </c>
      <c r="H398" s="3">
        <f>IF('ORDENES'!$A376="","",IF('ORDENES'!$AE376="","-",'ORDENES'!$AE376))</f>
        <v/>
      </c>
      <c r="I398" s="3">
        <f>IF('ORDENES'!$A376="","",IF('ORDENES'!$AQ376="","-",'ORDENES'!$AQ376))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IF('ORDENES'!$A376="","",'ORDENES'!$AD376)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IF('ORDENES'!$A377="","",IF('ORDENES'!$AF377="","-",'ORDENES'!$AF377))</f>
        <v/>
      </c>
      <c r="D399" s="3">
        <f>IF('ORDENES'!$A377="","",IF('ORDENES'!$X377="","-",'ORDENES'!$X377))</f>
        <v/>
      </c>
      <c r="E399" s="3">
        <f>IF('ORDENES'!$A377="","",IF('ORDENES'!$V377="","-",'ORDENES'!$V377))</f>
        <v/>
      </c>
      <c r="F399" s="3">
        <f>IF('ORDENES'!$A377="","",IF('ORDENES'!$Y377="","-",'ORDENES'!$Y377))</f>
        <v/>
      </c>
      <c r="G399" s="3">
        <f>IF('ORDENES'!$A377="","",IF('ORDENES'!$W377="","-",'ORDENES'!$W377))</f>
        <v/>
      </c>
      <c r="H399" s="3">
        <f>IF('ORDENES'!$A377="","",IF('ORDENES'!$AE377="","-",'ORDENES'!$AE377))</f>
        <v/>
      </c>
      <c r="I399" s="3">
        <f>IF('ORDENES'!$A377="","",IF('ORDENES'!$AQ377="","-",'ORDENES'!$AQ377))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IF('ORDENES'!$A377="","",'ORDENES'!$AD377)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IF('ORDENES'!$A378="","",IF('ORDENES'!$AF378="","-",'ORDENES'!$AF378))</f>
        <v/>
      </c>
      <c r="D400" s="3">
        <f>IF('ORDENES'!$A378="","",IF('ORDENES'!$X378="","-",'ORDENES'!$X378))</f>
        <v/>
      </c>
      <c r="E400" s="3">
        <f>IF('ORDENES'!$A378="","",IF('ORDENES'!$V378="","-",'ORDENES'!$V378))</f>
        <v/>
      </c>
      <c r="F400" s="3">
        <f>IF('ORDENES'!$A378="","",IF('ORDENES'!$Y378="","-",'ORDENES'!$Y378))</f>
        <v/>
      </c>
      <c r="G400" s="3">
        <f>IF('ORDENES'!$A378="","",IF('ORDENES'!$W378="","-",'ORDENES'!$W378))</f>
        <v/>
      </c>
      <c r="H400" s="3">
        <f>IF('ORDENES'!$A378="","",IF('ORDENES'!$AE378="","-",'ORDENES'!$AE378))</f>
        <v/>
      </c>
      <c r="I400" s="3">
        <f>IF('ORDENES'!$A378="","",IF('ORDENES'!$AQ378="","-",'ORDENES'!$AQ378))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IF('ORDENES'!$A378="","",'ORDENES'!$AD378)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IF('ORDENES'!$A379="","",IF('ORDENES'!$AF379="","-",'ORDENES'!$AF379))</f>
        <v/>
      </c>
      <c r="D401" s="3">
        <f>IF('ORDENES'!$A379="","",IF('ORDENES'!$X379="","-",'ORDENES'!$X379))</f>
        <v/>
      </c>
      <c r="E401" s="3">
        <f>IF('ORDENES'!$A379="","",IF('ORDENES'!$V379="","-",'ORDENES'!$V379))</f>
        <v/>
      </c>
      <c r="F401" s="3">
        <f>IF('ORDENES'!$A379="","",IF('ORDENES'!$Y379="","-",'ORDENES'!$Y379))</f>
        <v/>
      </c>
      <c r="G401" s="3">
        <f>IF('ORDENES'!$A379="","",IF('ORDENES'!$W379="","-",'ORDENES'!$W379))</f>
        <v/>
      </c>
      <c r="H401" s="3">
        <f>IF('ORDENES'!$A379="","",IF('ORDENES'!$AE379="","-",'ORDENES'!$AE379))</f>
        <v/>
      </c>
      <c r="I401" s="3">
        <f>IF('ORDENES'!$A379="","",IF('ORDENES'!$AQ379="","-",'ORDENES'!$AQ379))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IF('ORDENES'!$A379="","",'ORDENES'!$AD379)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IF('ORDENES'!$A380="","",IF('ORDENES'!$AF380="","-",'ORDENES'!$AF380))</f>
        <v/>
      </c>
      <c r="D402" s="3">
        <f>IF('ORDENES'!$A380="","",IF('ORDENES'!$X380="","-",'ORDENES'!$X380))</f>
        <v/>
      </c>
      <c r="E402" s="3">
        <f>IF('ORDENES'!$A380="","",IF('ORDENES'!$V380="","-",'ORDENES'!$V380))</f>
        <v/>
      </c>
      <c r="F402" s="3">
        <f>IF('ORDENES'!$A380="","",IF('ORDENES'!$Y380="","-",'ORDENES'!$Y380))</f>
        <v/>
      </c>
      <c r="G402" s="3">
        <f>IF('ORDENES'!$A380="","",IF('ORDENES'!$W380="","-",'ORDENES'!$W380))</f>
        <v/>
      </c>
      <c r="H402" s="3">
        <f>IF('ORDENES'!$A380="","",IF('ORDENES'!$AE380="","-",'ORDENES'!$AE380))</f>
        <v/>
      </c>
      <c r="I402" s="3">
        <f>IF('ORDENES'!$A380="","",IF('ORDENES'!$AQ380="","-",'ORDENES'!$AQ380))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IF('ORDENES'!$A380="","",'ORDENES'!$AD380)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IF('ORDENES'!$A381="","",IF('ORDENES'!$AF381="","-",'ORDENES'!$AF381))</f>
        <v/>
      </c>
      <c r="D403" s="3">
        <f>IF('ORDENES'!$A381="","",IF('ORDENES'!$X381="","-",'ORDENES'!$X381))</f>
        <v/>
      </c>
      <c r="E403" s="3">
        <f>IF('ORDENES'!$A381="","",IF('ORDENES'!$V381="","-",'ORDENES'!$V381))</f>
        <v/>
      </c>
      <c r="F403" s="3">
        <f>IF('ORDENES'!$A381="","",IF('ORDENES'!$Y381="","-",'ORDENES'!$Y381))</f>
        <v/>
      </c>
      <c r="G403" s="3">
        <f>IF('ORDENES'!$A381="","",IF('ORDENES'!$W381="","-",'ORDENES'!$W381))</f>
        <v/>
      </c>
      <c r="H403" s="3">
        <f>IF('ORDENES'!$A381="","",IF('ORDENES'!$AE381="","-",'ORDENES'!$AE381))</f>
        <v/>
      </c>
      <c r="I403" s="3">
        <f>IF('ORDENES'!$A381="","",IF('ORDENES'!$AQ381="","-",'ORDENES'!$AQ381))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IF('ORDENES'!$A381="","",'ORDENES'!$AD381)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IF('ORDENES'!$A382="","",IF('ORDENES'!$AF382="","-",'ORDENES'!$AF382))</f>
        <v/>
      </c>
      <c r="D404" s="3">
        <f>IF('ORDENES'!$A382="","",IF('ORDENES'!$X382="","-",'ORDENES'!$X382))</f>
        <v/>
      </c>
      <c r="E404" s="3">
        <f>IF('ORDENES'!$A382="","",IF('ORDENES'!$V382="","-",'ORDENES'!$V382))</f>
        <v/>
      </c>
      <c r="F404" s="3">
        <f>IF('ORDENES'!$A382="","",IF('ORDENES'!$Y382="","-",'ORDENES'!$Y382))</f>
        <v/>
      </c>
      <c r="G404" s="3">
        <f>IF('ORDENES'!$A382="","",IF('ORDENES'!$W382="","-",'ORDENES'!$W382))</f>
        <v/>
      </c>
      <c r="H404" s="3">
        <f>IF('ORDENES'!$A382="","",IF('ORDENES'!$AE382="","-",'ORDENES'!$AE382))</f>
        <v/>
      </c>
      <c r="I404" s="3">
        <f>IF('ORDENES'!$A382="","",IF('ORDENES'!$AQ382="","-",'ORDENES'!$AQ382))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IF('ORDENES'!$A382="","",'ORDENES'!$AD382)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IF('ORDENES'!$A383="","",IF('ORDENES'!$AF383="","-",'ORDENES'!$AF383))</f>
        <v/>
      </c>
      <c r="D405" s="3">
        <f>IF('ORDENES'!$A383="","",IF('ORDENES'!$X383="","-",'ORDENES'!$X383))</f>
        <v/>
      </c>
      <c r="E405" s="3">
        <f>IF('ORDENES'!$A383="","",IF('ORDENES'!$V383="","-",'ORDENES'!$V383))</f>
        <v/>
      </c>
      <c r="F405" s="3">
        <f>IF('ORDENES'!$A383="","",IF('ORDENES'!$Y383="","-",'ORDENES'!$Y383))</f>
        <v/>
      </c>
      <c r="G405" s="3">
        <f>IF('ORDENES'!$A383="","",IF('ORDENES'!$W383="","-",'ORDENES'!$W383))</f>
        <v/>
      </c>
      <c r="H405" s="3">
        <f>IF('ORDENES'!$A383="","",IF('ORDENES'!$AE383="","-",'ORDENES'!$AE383))</f>
        <v/>
      </c>
      <c r="I405" s="3">
        <f>IF('ORDENES'!$A383="","",IF('ORDENES'!$AQ383="","-",'ORDENES'!$AQ383))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IF('ORDENES'!$A383="","",'ORDENES'!$AD383)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IF('ORDENES'!$A384="","",IF('ORDENES'!$AF384="","-",'ORDENES'!$AF384))</f>
        <v/>
      </c>
      <c r="D406" s="3">
        <f>IF('ORDENES'!$A384="","",IF('ORDENES'!$X384="","-",'ORDENES'!$X384))</f>
        <v/>
      </c>
      <c r="E406" s="3">
        <f>IF('ORDENES'!$A384="","",IF('ORDENES'!$V384="","-",'ORDENES'!$V384))</f>
        <v/>
      </c>
      <c r="F406" s="3">
        <f>IF('ORDENES'!$A384="","",IF('ORDENES'!$Y384="","-",'ORDENES'!$Y384))</f>
        <v/>
      </c>
      <c r="G406" s="3">
        <f>IF('ORDENES'!$A384="","",IF('ORDENES'!$W384="","-",'ORDENES'!$W384))</f>
        <v/>
      </c>
      <c r="H406" s="3">
        <f>IF('ORDENES'!$A384="","",IF('ORDENES'!$AE384="","-",'ORDENES'!$AE384))</f>
        <v/>
      </c>
      <c r="I406" s="3">
        <f>IF('ORDENES'!$A384="","",IF('ORDENES'!$AQ384="","-",'ORDENES'!$AQ384))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IF('ORDENES'!$A384="","",'ORDENES'!$AD384)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IF('ORDENES'!$A385="","",IF('ORDENES'!$AF385="","-",'ORDENES'!$AF385))</f>
        <v/>
      </c>
      <c r="D407" s="3">
        <f>IF('ORDENES'!$A385="","",IF('ORDENES'!$X385="","-",'ORDENES'!$X385))</f>
        <v/>
      </c>
      <c r="E407" s="3">
        <f>IF('ORDENES'!$A385="","",IF('ORDENES'!$V385="","-",'ORDENES'!$V385))</f>
        <v/>
      </c>
      <c r="F407" s="3">
        <f>IF('ORDENES'!$A385="","",IF('ORDENES'!$Y385="","-",'ORDENES'!$Y385))</f>
        <v/>
      </c>
      <c r="G407" s="3">
        <f>IF('ORDENES'!$A385="","",IF('ORDENES'!$W385="","-",'ORDENES'!$W385))</f>
        <v/>
      </c>
      <c r="H407" s="3">
        <f>IF('ORDENES'!$A385="","",IF('ORDENES'!$AE385="","-",'ORDENES'!$AE385))</f>
        <v/>
      </c>
      <c r="I407" s="3">
        <f>IF('ORDENES'!$A385="","",IF('ORDENES'!$AQ385="","-",'ORDENES'!$AQ385))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IF('ORDENES'!$A385="","",'ORDENES'!$AD385)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IF('ORDENES'!$A386="","",IF('ORDENES'!$AF386="","-",'ORDENES'!$AF386))</f>
        <v/>
      </c>
      <c r="D408" s="3">
        <f>IF('ORDENES'!$A386="","",IF('ORDENES'!$X386="","-",'ORDENES'!$X386))</f>
        <v/>
      </c>
      <c r="E408" s="3">
        <f>IF('ORDENES'!$A386="","",IF('ORDENES'!$V386="","-",'ORDENES'!$V386))</f>
        <v/>
      </c>
      <c r="F408" s="3">
        <f>IF('ORDENES'!$A386="","",IF('ORDENES'!$Y386="","-",'ORDENES'!$Y386))</f>
        <v/>
      </c>
      <c r="G408" s="3">
        <f>IF('ORDENES'!$A386="","",IF('ORDENES'!$W386="","-",'ORDENES'!$W386))</f>
        <v/>
      </c>
      <c r="H408" s="3">
        <f>IF('ORDENES'!$A386="","",IF('ORDENES'!$AE386="","-",'ORDENES'!$AE386))</f>
        <v/>
      </c>
      <c r="I408" s="3">
        <f>IF('ORDENES'!$A386="","",IF('ORDENES'!$AQ386="","-",'ORDENES'!$AQ386))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IF('ORDENES'!$A386="","",'ORDENES'!$AD386)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IF('ORDENES'!$A387="","",IF('ORDENES'!$AF387="","-",'ORDENES'!$AF387))</f>
        <v/>
      </c>
      <c r="D409" s="3">
        <f>IF('ORDENES'!$A387="","",IF('ORDENES'!$X387="","-",'ORDENES'!$X387))</f>
        <v/>
      </c>
      <c r="E409" s="3">
        <f>IF('ORDENES'!$A387="","",IF('ORDENES'!$V387="","-",'ORDENES'!$V387))</f>
        <v/>
      </c>
      <c r="F409" s="3">
        <f>IF('ORDENES'!$A387="","",IF('ORDENES'!$Y387="","-",'ORDENES'!$Y387))</f>
        <v/>
      </c>
      <c r="G409" s="3">
        <f>IF('ORDENES'!$A387="","",IF('ORDENES'!$W387="","-",'ORDENES'!$W387))</f>
        <v/>
      </c>
      <c r="H409" s="3">
        <f>IF('ORDENES'!$A387="","",IF('ORDENES'!$AE387="","-",'ORDENES'!$AE387))</f>
        <v/>
      </c>
      <c r="I409" s="3">
        <f>IF('ORDENES'!$A387="","",IF('ORDENES'!$AQ387="","-",'ORDENES'!$AQ387))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IF('ORDENES'!$A387="","",'ORDENES'!$AD387)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IF('ORDENES'!$A388="","",IF('ORDENES'!$AF388="","-",'ORDENES'!$AF388))</f>
        <v/>
      </c>
      <c r="D410" s="3">
        <f>IF('ORDENES'!$A388="","",IF('ORDENES'!$X388="","-",'ORDENES'!$X388))</f>
        <v/>
      </c>
      <c r="E410" s="3">
        <f>IF('ORDENES'!$A388="","",IF('ORDENES'!$V388="","-",'ORDENES'!$V388))</f>
        <v/>
      </c>
      <c r="F410" s="3">
        <f>IF('ORDENES'!$A388="","",IF('ORDENES'!$Y388="","-",'ORDENES'!$Y388))</f>
        <v/>
      </c>
      <c r="G410" s="3">
        <f>IF('ORDENES'!$A388="","",IF('ORDENES'!$W388="","-",'ORDENES'!$W388))</f>
        <v/>
      </c>
      <c r="H410" s="3">
        <f>IF('ORDENES'!$A388="","",IF('ORDENES'!$AE388="","-",'ORDENES'!$AE388))</f>
        <v/>
      </c>
      <c r="I410" s="3">
        <f>IF('ORDENES'!$A388="","",IF('ORDENES'!$AQ388="","-",'ORDENES'!$AQ388))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IF('ORDENES'!$A388="","",'ORDENES'!$AD388)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IF('ORDENES'!$A389="","",IF('ORDENES'!$AF389="","-",'ORDENES'!$AF389))</f>
        <v/>
      </c>
      <c r="D411" s="3">
        <f>IF('ORDENES'!$A389="","",IF('ORDENES'!$X389="","-",'ORDENES'!$X389))</f>
        <v/>
      </c>
      <c r="E411" s="3">
        <f>IF('ORDENES'!$A389="","",IF('ORDENES'!$V389="","-",'ORDENES'!$V389))</f>
        <v/>
      </c>
      <c r="F411" s="3">
        <f>IF('ORDENES'!$A389="","",IF('ORDENES'!$Y389="","-",'ORDENES'!$Y389))</f>
        <v/>
      </c>
      <c r="G411" s="3">
        <f>IF('ORDENES'!$A389="","",IF('ORDENES'!$W389="","-",'ORDENES'!$W389))</f>
        <v/>
      </c>
      <c r="H411" s="3">
        <f>IF('ORDENES'!$A389="","",IF('ORDENES'!$AE389="","-",'ORDENES'!$AE389))</f>
        <v/>
      </c>
      <c r="I411" s="3">
        <f>IF('ORDENES'!$A389="","",IF('ORDENES'!$AQ389="","-",'ORDENES'!$AQ389))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IF('ORDENES'!$A389="","",'ORDENES'!$AD389)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IF('ORDENES'!$A390="","",IF('ORDENES'!$AF390="","-",'ORDENES'!$AF390))</f>
        <v/>
      </c>
      <c r="D412" s="3">
        <f>IF('ORDENES'!$A390="","",IF('ORDENES'!$X390="","-",'ORDENES'!$X390))</f>
        <v/>
      </c>
      <c r="E412" s="3">
        <f>IF('ORDENES'!$A390="","",IF('ORDENES'!$V390="","-",'ORDENES'!$V390))</f>
        <v/>
      </c>
      <c r="F412" s="3">
        <f>IF('ORDENES'!$A390="","",IF('ORDENES'!$Y390="","-",'ORDENES'!$Y390))</f>
        <v/>
      </c>
      <c r="G412" s="3">
        <f>IF('ORDENES'!$A390="","",IF('ORDENES'!$W390="","-",'ORDENES'!$W390))</f>
        <v/>
      </c>
      <c r="H412" s="3">
        <f>IF('ORDENES'!$A390="","",IF('ORDENES'!$AE390="","-",'ORDENES'!$AE390))</f>
        <v/>
      </c>
      <c r="I412" s="3">
        <f>IF('ORDENES'!$A390="","",IF('ORDENES'!$AQ390="","-",'ORDENES'!$AQ390))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IF('ORDENES'!$A390="","",'ORDENES'!$AD390)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IF('ORDENES'!$A391="","",IF('ORDENES'!$AF391="","-",'ORDENES'!$AF391))</f>
        <v/>
      </c>
      <c r="D413" s="3">
        <f>IF('ORDENES'!$A391="","",IF('ORDENES'!$X391="","-",'ORDENES'!$X391))</f>
        <v/>
      </c>
      <c r="E413" s="3">
        <f>IF('ORDENES'!$A391="","",IF('ORDENES'!$V391="","-",'ORDENES'!$V391))</f>
        <v/>
      </c>
      <c r="F413" s="3">
        <f>IF('ORDENES'!$A391="","",IF('ORDENES'!$Y391="","-",'ORDENES'!$Y391))</f>
        <v/>
      </c>
      <c r="G413" s="3">
        <f>IF('ORDENES'!$A391="","",IF('ORDENES'!$W391="","-",'ORDENES'!$W391))</f>
        <v/>
      </c>
      <c r="H413" s="3">
        <f>IF('ORDENES'!$A391="","",IF('ORDENES'!$AE391="","-",'ORDENES'!$AE391))</f>
        <v/>
      </c>
      <c r="I413" s="3">
        <f>IF('ORDENES'!$A391="","",IF('ORDENES'!$AQ391="","-",'ORDENES'!$AQ391))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IF('ORDENES'!$A391="","",'ORDENES'!$AD391)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IF('ORDENES'!$A392="","",IF('ORDENES'!$AF392="","-",'ORDENES'!$AF392))</f>
        <v/>
      </c>
      <c r="D414" s="3">
        <f>IF('ORDENES'!$A392="","",IF('ORDENES'!$X392="","-",'ORDENES'!$X392))</f>
        <v/>
      </c>
      <c r="E414" s="3">
        <f>IF('ORDENES'!$A392="","",IF('ORDENES'!$V392="","-",'ORDENES'!$V392))</f>
        <v/>
      </c>
      <c r="F414" s="3">
        <f>IF('ORDENES'!$A392="","",IF('ORDENES'!$Y392="","-",'ORDENES'!$Y392))</f>
        <v/>
      </c>
      <c r="G414" s="3">
        <f>IF('ORDENES'!$A392="","",IF('ORDENES'!$W392="","-",'ORDENES'!$W392))</f>
        <v/>
      </c>
      <c r="H414" s="3">
        <f>IF('ORDENES'!$A392="","",IF('ORDENES'!$AE392="","-",'ORDENES'!$AE392))</f>
        <v/>
      </c>
      <c r="I414" s="3">
        <f>IF('ORDENES'!$A392="","",IF('ORDENES'!$AQ392="","-",'ORDENES'!$AQ392))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IF('ORDENES'!$A392="","",'ORDENES'!$AD392)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IF('ORDENES'!$A393="","",IF('ORDENES'!$AF393="","-",'ORDENES'!$AF393))</f>
        <v/>
      </c>
      <c r="D415" s="3">
        <f>IF('ORDENES'!$A393="","",IF('ORDENES'!$X393="","-",'ORDENES'!$X393))</f>
        <v/>
      </c>
      <c r="E415" s="3">
        <f>IF('ORDENES'!$A393="","",IF('ORDENES'!$V393="","-",'ORDENES'!$V393))</f>
        <v/>
      </c>
      <c r="F415" s="3">
        <f>IF('ORDENES'!$A393="","",IF('ORDENES'!$Y393="","-",'ORDENES'!$Y393))</f>
        <v/>
      </c>
      <c r="G415" s="3">
        <f>IF('ORDENES'!$A393="","",IF('ORDENES'!$W393="","-",'ORDENES'!$W393))</f>
        <v/>
      </c>
      <c r="H415" s="3">
        <f>IF('ORDENES'!$A393="","",IF('ORDENES'!$AE393="","-",'ORDENES'!$AE393))</f>
        <v/>
      </c>
      <c r="I415" s="3">
        <f>IF('ORDENES'!$A393="","",IF('ORDENES'!$AQ393="","-",'ORDENES'!$AQ393))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IF('ORDENES'!$A393="","",'ORDENES'!$AD393)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IF('ORDENES'!$A394="","",IF('ORDENES'!$AF394="","-",'ORDENES'!$AF394))</f>
        <v/>
      </c>
      <c r="D416" s="3">
        <f>IF('ORDENES'!$A394="","",IF('ORDENES'!$X394="","-",'ORDENES'!$X394))</f>
        <v/>
      </c>
      <c r="E416" s="3">
        <f>IF('ORDENES'!$A394="","",IF('ORDENES'!$V394="","-",'ORDENES'!$V394))</f>
        <v/>
      </c>
      <c r="F416" s="3">
        <f>IF('ORDENES'!$A394="","",IF('ORDENES'!$Y394="","-",'ORDENES'!$Y394))</f>
        <v/>
      </c>
      <c r="G416" s="3">
        <f>IF('ORDENES'!$A394="","",IF('ORDENES'!$W394="","-",'ORDENES'!$W394))</f>
        <v/>
      </c>
      <c r="H416" s="3">
        <f>IF('ORDENES'!$A394="","",IF('ORDENES'!$AE394="","-",'ORDENES'!$AE394))</f>
        <v/>
      </c>
      <c r="I416" s="3">
        <f>IF('ORDENES'!$A394="","",IF('ORDENES'!$AQ394="","-",'ORDENES'!$AQ394))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IF('ORDENES'!$A394="","",'ORDENES'!$AD394)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IF('ORDENES'!$A395="","",IF('ORDENES'!$AF395="","-",'ORDENES'!$AF395))</f>
        <v/>
      </c>
      <c r="D417" s="3">
        <f>IF('ORDENES'!$A395="","",IF('ORDENES'!$X395="","-",'ORDENES'!$X395))</f>
        <v/>
      </c>
      <c r="E417" s="3">
        <f>IF('ORDENES'!$A395="","",IF('ORDENES'!$V395="","-",'ORDENES'!$V395))</f>
        <v/>
      </c>
      <c r="F417" s="3">
        <f>IF('ORDENES'!$A395="","",IF('ORDENES'!$Y395="","-",'ORDENES'!$Y395))</f>
        <v/>
      </c>
      <c r="G417" s="3">
        <f>IF('ORDENES'!$A395="","",IF('ORDENES'!$W395="","-",'ORDENES'!$W395))</f>
        <v/>
      </c>
      <c r="H417" s="3">
        <f>IF('ORDENES'!$A395="","",IF('ORDENES'!$AE395="","-",'ORDENES'!$AE395))</f>
        <v/>
      </c>
      <c r="I417" s="3">
        <f>IF('ORDENES'!$A395="","",IF('ORDENES'!$AQ395="","-",'ORDENES'!$AQ395))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IF('ORDENES'!$A395="","",'ORDENES'!$AD395)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IF('ORDENES'!$A396="","",IF('ORDENES'!$AF396="","-",'ORDENES'!$AF396))</f>
        <v/>
      </c>
      <c r="D418" s="3">
        <f>IF('ORDENES'!$A396="","",IF('ORDENES'!$X396="","-",'ORDENES'!$X396))</f>
        <v/>
      </c>
      <c r="E418" s="3">
        <f>IF('ORDENES'!$A396="","",IF('ORDENES'!$V396="","-",'ORDENES'!$V396))</f>
        <v/>
      </c>
      <c r="F418" s="3">
        <f>IF('ORDENES'!$A396="","",IF('ORDENES'!$Y396="","-",'ORDENES'!$Y396))</f>
        <v/>
      </c>
      <c r="G418" s="3">
        <f>IF('ORDENES'!$A396="","",IF('ORDENES'!$W396="","-",'ORDENES'!$W396))</f>
        <v/>
      </c>
      <c r="H418" s="3">
        <f>IF('ORDENES'!$A396="","",IF('ORDENES'!$AE396="","-",'ORDENES'!$AE396))</f>
        <v/>
      </c>
      <c r="I418" s="3">
        <f>IF('ORDENES'!$A396="","",IF('ORDENES'!$AQ396="","-",'ORDENES'!$AQ396))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IF('ORDENES'!$A396="","",'ORDENES'!$AD396)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IF('ORDENES'!$A397="","",IF('ORDENES'!$AF397="","-",'ORDENES'!$AF397))</f>
        <v/>
      </c>
      <c r="D419" s="3">
        <f>IF('ORDENES'!$A397="","",IF('ORDENES'!$X397="","-",'ORDENES'!$X397))</f>
        <v/>
      </c>
      <c r="E419" s="3">
        <f>IF('ORDENES'!$A397="","",IF('ORDENES'!$V397="","-",'ORDENES'!$V397))</f>
        <v/>
      </c>
      <c r="F419" s="3">
        <f>IF('ORDENES'!$A397="","",IF('ORDENES'!$Y397="","-",'ORDENES'!$Y397))</f>
        <v/>
      </c>
      <c r="G419" s="3">
        <f>IF('ORDENES'!$A397="","",IF('ORDENES'!$W397="","-",'ORDENES'!$W397))</f>
        <v/>
      </c>
      <c r="H419" s="3">
        <f>IF('ORDENES'!$A397="","",IF('ORDENES'!$AE397="","-",'ORDENES'!$AE397))</f>
        <v/>
      </c>
      <c r="I419" s="3">
        <f>IF('ORDENES'!$A397="","",IF('ORDENES'!$AQ397="","-",'ORDENES'!$AQ397))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IF('ORDENES'!$A397="","",'ORDENES'!$AD397)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IF('ORDENES'!$A398="","",IF('ORDENES'!$AF398="","-",'ORDENES'!$AF398))</f>
        <v/>
      </c>
      <c r="D420" s="3">
        <f>IF('ORDENES'!$A398="","",IF('ORDENES'!$X398="","-",'ORDENES'!$X398))</f>
        <v/>
      </c>
      <c r="E420" s="3">
        <f>IF('ORDENES'!$A398="","",IF('ORDENES'!$V398="","-",'ORDENES'!$V398))</f>
        <v/>
      </c>
      <c r="F420" s="3">
        <f>IF('ORDENES'!$A398="","",IF('ORDENES'!$Y398="","-",'ORDENES'!$Y398))</f>
        <v/>
      </c>
      <c r="G420" s="3">
        <f>IF('ORDENES'!$A398="","",IF('ORDENES'!$W398="","-",'ORDENES'!$W398))</f>
        <v/>
      </c>
      <c r="H420" s="3">
        <f>IF('ORDENES'!$A398="","",IF('ORDENES'!$AE398="","-",'ORDENES'!$AE398))</f>
        <v/>
      </c>
      <c r="I420" s="3">
        <f>IF('ORDENES'!$A398="","",IF('ORDENES'!$AQ398="","-",'ORDENES'!$AQ398))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IF('ORDENES'!$A398="","",'ORDENES'!$AD398)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IF('ORDENES'!$A399="","",IF('ORDENES'!$AF399="","-",'ORDENES'!$AF399))</f>
        <v/>
      </c>
      <c r="D421" s="3">
        <f>IF('ORDENES'!$A399="","",IF('ORDENES'!$X399="","-",'ORDENES'!$X399))</f>
        <v/>
      </c>
      <c r="E421" s="3">
        <f>IF('ORDENES'!$A399="","",IF('ORDENES'!$V399="","-",'ORDENES'!$V399))</f>
        <v/>
      </c>
      <c r="F421" s="3">
        <f>IF('ORDENES'!$A399="","",IF('ORDENES'!$Y399="","-",'ORDENES'!$Y399))</f>
        <v/>
      </c>
      <c r="G421" s="3">
        <f>IF('ORDENES'!$A399="","",IF('ORDENES'!$W399="","-",'ORDENES'!$W399))</f>
        <v/>
      </c>
      <c r="H421" s="3">
        <f>IF('ORDENES'!$A399="","",IF('ORDENES'!$AE399="","-",'ORDENES'!$AE399))</f>
        <v/>
      </c>
      <c r="I421" s="3">
        <f>IF('ORDENES'!$A399="","",IF('ORDENES'!$AQ399="","-",'ORDENES'!$AQ399))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IF('ORDENES'!$A399="","",'ORDENES'!$AD399)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IF('ORDENES'!$A400="","",IF('ORDENES'!$AF400="","-",'ORDENES'!$AF400))</f>
        <v/>
      </c>
      <c r="D422" s="3">
        <f>IF('ORDENES'!$A400="","",IF('ORDENES'!$X400="","-",'ORDENES'!$X400))</f>
        <v/>
      </c>
      <c r="E422" s="3">
        <f>IF('ORDENES'!$A400="","",IF('ORDENES'!$V400="","-",'ORDENES'!$V400))</f>
        <v/>
      </c>
      <c r="F422" s="3">
        <f>IF('ORDENES'!$A400="","",IF('ORDENES'!$Y400="","-",'ORDENES'!$Y400))</f>
        <v/>
      </c>
      <c r="G422" s="3">
        <f>IF('ORDENES'!$A400="","",IF('ORDENES'!$W400="","-",'ORDENES'!$W400))</f>
        <v/>
      </c>
      <c r="H422" s="3">
        <f>IF('ORDENES'!$A400="","",IF('ORDENES'!$AE400="","-",'ORDENES'!$AE400))</f>
        <v/>
      </c>
      <c r="I422" s="3">
        <f>IF('ORDENES'!$A400="","",IF('ORDENES'!$AQ400="","-",'ORDENES'!$AQ400))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IF('ORDENES'!$A400="","",'ORDENES'!$AD400)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IF('ORDENES'!$A401="","",IF('ORDENES'!$AF401="","-",'ORDENES'!$AF401))</f>
        <v/>
      </c>
      <c r="D423" s="3">
        <f>IF('ORDENES'!$A401="","",IF('ORDENES'!$X401="","-",'ORDENES'!$X401))</f>
        <v/>
      </c>
      <c r="E423" s="3">
        <f>IF('ORDENES'!$A401="","",IF('ORDENES'!$V401="","-",'ORDENES'!$V401))</f>
        <v/>
      </c>
      <c r="F423" s="3">
        <f>IF('ORDENES'!$A401="","",IF('ORDENES'!$Y401="","-",'ORDENES'!$Y401))</f>
        <v/>
      </c>
      <c r="G423" s="3">
        <f>IF('ORDENES'!$A401="","",IF('ORDENES'!$W401="","-",'ORDENES'!$W401))</f>
        <v/>
      </c>
      <c r="H423" s="3">
        <f>IF('ORDENES'!$A401="","",IF('ORDENES'!$AE401="","-",'ORDENES'!$AE401))</f>
        <v/>
      </c>
      <c r="I423" s="3">
        <f>IF('ORDENES'!$A401="","",IF('ORDENES'!$AQ401="","-",'ORDENES'!$AQ401))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IF('ORDENES'!$A401="","",'ORDENES'!$AD401)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IF('ORDENES'!$A402="","",IF('ORDENES'!$AF402="","-",'ORDENES'!$AF402))</f>
        <v/>
      </c>
      <c r="D424" s="3">
        <f>IF('ORDENES'!$A402="","",IF('ORDENES'!$X402="","-",'ORDENES'!$X402))</f>
        <v/>
      </c>
      <c r="E424" s="3">
        <f>IF('ORDENES'!$A402="","",IF('ORDENES'!$V402="","-",'ORDENES'!$V402))</f>
        <v/>
      </c>
      <c r="F424" s="3">
        <f>IF('ORDENES'!$A402="","",IF('ORDENES'!$Y402="","-",'ORDENES'!$Y402))</f>
        <v/>
      </c>
      <c r="G424" s="3">
        <f>IF('ORDENES'!$A402="","",IF('ORDENES'!$W402="","-",'ORDENES'!$W402))</f>
        <v/>
      </c>
      <c r="H424" s="3">
        <f>IF('ORDENES'!$A402="","",IF('ORDENES'!$AE402="","-",'ORDENES'!$AE402))</f>
        <v/>
      </c>
      <c r="I424" s="3">
        <f>IF('ORDENES'!$A402="","",IF('ORDENES'!$AQ402="","-",'ORDENES'!$AQ402))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IF('ORDENES'!$A402="","",'ORDENES'!$AD402)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IF('ORDENES'!$A403="","",IF('ORDENES'!$AF403="","-",'ORDENES'!$AF403))</f>
        <v/>
      </c>
      <c r="D425" s="3">
        <f>IF('ORDENES'!$A403="","",IF('ORDENES'!$X403="","-",'ORDENES'!$X403))</f>
        <v/>
      </c>
      <c r="E425" s="3">
        <f>IF('ORDENES'!$A403="","",IF('ORDENES'!$V403="","-",'ORDENES'!$V403))</f>
        <v/>
      </c>
      <c r="F425" s="3">
        <f>IF('ORDENES'!$A403="","",IF('ORDENES'!$Y403="","-",'ORDENES'!$Y403))</f>
        <v/>
      </c>
      <c r="G425" s="3">
        <f>IF('ORDENES'!$A403="","",IF('ORDENES'!$W403="","-",'ORDENES'!$W403))</f>
        <v/>
      </c>
      <c r="H425" s="3">
        <f>IF('ORDENES'!$A403="","",IF('ORDENES'!$AE403="","-",'ORDENES'!$AE403))</f>
        <v/>
      </c>
      <c r="I425" s="3">
        <f>IF('ORDENES'!$A403="","",IF('ORDENES'!$AQ403="","-",'ORDENES'!$AQ403))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IF('ORDENES'!$A403="","",'ORDENES'!$AD403)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IF('ORDENES'!$A404="","",IF('ORDENES'!$AF404="","-",'ORDENES'!$AF404))</f>
        <v/>
      </c>
      <c r="D426" s="3">
        <f>IF('ORDENES'!$A404="","",IF('ORDENES'!$X404="","-",'ORDENES'!$X404))</f>
        <v/>
      </c>
      <c r="E426" s="3">
        <f>IF('ORDENES'!$A404="","",IF('ORDENES'!$V404="","-",'ORDENES'!$V404))</f>
        <v/>
      </c>
      <c r="F426" s="3">
        <f>IF('ORDENES'!$A404="","",IF('ORDENES'!$Y404="","-",'ORDENES'!$Y404))</f>
        <v/>
      </c>
      <c r="G426" s="3">
        <f>IF('ORDENES'!$A404="","",IF('ORDENES'!$W404="","-",'ORDENES'!$W404))</f>
        <v/>
      </c>
      <c r="H426" s="3">
        <f>IF('ORDENES'!$A404="","",IF('ORDENES'!$AE404="","-",'ORDENES'!$AE404))</f>
        <v/>
      </c>
      <c r="I426" s="3">
        <f>IF('ORDENES'!$A404="","",IF('ORDENES'!$AQ404="","-",'ORDENES'!$AQ404))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IF('ORDENES'!$A404="","",'ORDENES'!$AD404)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IF('ORDENES'!$A405="","",IF('ORDENES'!$AF405="","-",'ORDENES'!$AF405))</f>
        <v/>
      </c>
      <c r="D427" s="3">
        <f>IF('ORDENES'!$A405="","",IF('ORDENES'!$X405="","-",'ORDENES'!$X405))</f>
        <v/>
      </c>
      <c r="E427" s="3">
        <f>IF('ORDENES'!$A405="","",IF('ORDENES'!$V405="","-",'ORDENES'!$V405))</f>
        <v/>
      </c>
      <c r="F427" s="3">
        <f>IF('ORDENES'!$A405="","",IF('ORDENES'!$Y405="","-",'ORDENES'!$Y405))</f>
        <v/>
      </c>
      <c r="G427" s="3">
        <f>IF('ORDENES'!$A405="","",IF('ORDENES'!$W405="","-",'ORDENES'!$W405))</f>
        <v/>
      </c>
      <c r="H427" s="3">
        <f>IF('ORDENES'!$A405="","",IF('ORDENES'!$AE405="","-",'ORDENES'!$AE405))</f>
        <v/>
      </c>
      <c r="I427" s="3">
        <f>IF('ORDENES'!$A405="","",IF('ORDENES'!$AQ405="","-",'ORDENES'!$AQ405))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IF('ORDENES'!$A405="","",'ORDENES'!$AD405)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IF('ORDENES'!$A406="","",IF('ORDENES'!$AF406="","-",'ORDENES'!$AF406))</f>
        <v/>
      </c>
      <c r="D428" s="3">
        <f>IF('ORDENES'!$A406="","",IF('ORDENES'!$X406="","-",'ORDENES'!$X406))</f>
        <v/>
      </c>
      <c r="E428" s="3">
        <f>IF('ORDENES'!$A406="","",IF('ORDENES'!$V406="","-",'ORDENES'!$V406))</f>
        <v/>
      </c>
      <c r="F428" s="3">
        <f>IF('ORDENES'!$A406="","",IF('ORDENES'!$Y406="","-",'ORDENES'!$Y406))</f>
        <v/>
      </c>
      <c r="G428" s="3">
        <f>IF('ORDENES'!$A406="","",IF('ORDENES'!$W406="","-",'ORDENES'!$W406))</f>
        <v/>
      </c>
      <c r="H428" s="3">
        <f>IF('ORDENES'!$A406="","",IF('ORDENES'!$AE406="","-",'ORDENES'!$AE406))</f>
        <v/>
      </c>
      <c r="I428" s="3">
        <f>IF('ORDENES'!$A406="","",IF('ORDENES'!$AQ406="","-",'ORDENES'!$AQ406))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IF('ORDENES'!$A406="","",'ORDENES'!$AD406)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IF('ORDENES'!$A407="","",IF('ORDENES'!$AF407="","-",'ORDENES'!$AF407))</f>
        <v/>
      </c>
      <c r="D429" s="3">
        <f>IF('ORDENES'!$A407="","",IF('ORDENES'!$X407="","-",'ORDENES'!$X407))</f>
        <v/>
      </c>
      <c r="E429" s="3">
        <f>IF('ORDENES'!$A407="","",IF('ORDENES'!$V407="","-",'ORDENES'!$V407))</f>
        <v/>
      </c>
      <c r="F429" s="3">
        <f>IF('ORDENES'!$A407="","",IF('ORDENES'!$Y407="","-",'ORDENES'!$Y407))</f>
        <v/>
      </c>
      <c r="G429" s="3">
        <f>IF('ORDENES'!$A407="","",IF('ORDENES'!$W407="","-",'ORDENES'!$W407))</f>
        <v/>
      </c>
      <c r="H429" s="3">
        <f>IF('ORDENES'!$A407="","",IF('ORDENES'!$AE407="","-",'ORDENES'!$AE407))</f>
        <v/>
      </c>
      <c r="I429" s="3">
        <f>IF('ORDENES'!$A407="","",IF('ORDENES'!$AQ407="","-",'ORDENES'!$AQ407))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IF('ORDENES'!$A407="","",'ORDENES'!$AD407)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IF('ORDENES'!$A408="","",IF('ORDENES'!$AF408="","-",'ORDENES'!$AF408))</f>
        <v/>
      </c>
      <c r="D430" s="3">
        <f>IF('ORDENES'!$A408="","",IF('ORDENES'!$X408="","-",'ORDENES'!$X408))</f>
        <v/>
      </c>
      <c r="E430" s="3">
        <f>IF('ORDENES'!$A408="","",IF('ORDENES'!$V408="","-",'ORDENES'!$V408))</f>
        <v/>
      </c>
      <c r="F430" s="3">
        <f>IF('ORDENES'!$A408="","",IF('ORDENES'!$Y408="","-",'ORDENES'!$Y408))</f>
        <v/>
      </c>
      <c r="G430" s="3">
        <f>IF('ORDENES'!$A408="","",IF('ORDENES'!$W408="","-",'ORDENES'!$W408))</f>
        <v/>
      </c>
      <c r="H430" s="3">
        <f>IF('ORDENES'!$A408="","",IF('ORDENES'!$AE408="","-",'ORDENES'!$AE408))</f>
        <v/>
      </c>
      <c r="I430" s="3">
        <f>IF('ORDENES'!$A408="","",IF('ORDENES'!$AQ408="","-",'ORDENES'!$AQ408))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IF('ORDENES'!$A408="","",'ORDENES'!$AD408)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IF('ORDENES'!$A409="","",IF('ORDENES'!$AF409="","-",'ORDENES'!$AF409))</f>
        <v/>
      </c>
      <c r="D431" s="3">
        <f>IF('ORDENES'!$A409="","",IF('ORDENES'!$X409="","-",'ORDENES'!$X409))</f>
        <v/>
      </c>
      <c r="E431" s="3">
        <f>IF('ORDENES'!$A409="","",IF('ORDENES'!$V409="","-",'ORDENES'!$V409))</f>
        <v/>
      </c>
      <c r="F431" s="3">
        <f>IF('ORDENES'!$A409="","",IF('ORDENES'!$Y409="","-",'ORDENES'!$Y409))</f>
        <v/>
      </c>
      <c r="G431" s="3">
        <f>IF('ORDENES'!$A409="","",IF('ORDENES'!$W409="","-",'ORDENES'!$W409))</f>
        <v/>
      </c>
      <c r="H431" s="3">
        <f>IF('ORDENES'!$A409="","",IF('ORDENES'!$AE409="","-",'ORDENES'!$AE409))</f>
        <v/>
      </c>
      <c r="I431" s="3">
        <f>IF('ORDENES'!$A409="","",IF('ORDENES'!$AQ409="","-",'ORDENES'!$AQ409))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IF('ORDENES'!$A409="","",'ORDENES'!$AD409)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IF('ORDENES'!$A410="","",IF('ORDENES'!$AF410="","-",'ORDENES'!$AF410))</f>
        <v/>
      </c>
      <c r="D432" s="3">
        <f>IF('ORDENES'!$A410="","",IF('ORDENES'!$X410="","-",'ORDENES'!$X410))</f>
        <v/>
      </c>
      <c r="E432" s="3">
        <f>IF('ORDENES'!$A410="","",IF('ORDENES'!$V410="","-",'ORDENES'!$V410))</f>
        <v/>
      </c>
      <c r="F432" s="3">
        <f>IF('ORDENES'!$A410="","",IF('ORDENES'!$Y410="","-",'ORDENES'!$Y410))</f>
        <v/>
      </c>
      <c r="G432" s="3">
        <f>IF('ORDENES'!$A410="","",IF('ORDENES'!$W410="","-",'ORDENES'!$W410))</f>
        <v/>
      </c>
      <c r="H432" s="3">
        <f>IF('ORDENES'!$A410="","",IF('ORDENES'!$AE410="","-",'ORDENES'!$AE410))</f>
        <v/>
      </c>
      <c r="I432" s="3">
        <f>IF('ORDENES'!$A410="","",IF('ORDENES'!$AQ410="","-",'ORDENES'!$AQ410))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IF('ORDENES'!$A410="","",'ORDENES'!$AD410)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IF('ORDENES'!$A411="","",IF('ORDENES'!$AF411="","-",'ORDENES'!$AF411))</f>
        <v/>
      </c>
      <c r="D433" s="3">
        <f>IF('ORDENES'!$A411="","",IF('ORDENES'!$X411="","-",'ORDENES'!$X411))</f>
        <v/>
      </c>
      <c r="E433" s="3">
        <f>IF('ORDENES'!$A411="","",IF('ORDENES'!$V411="","-",'ORDENES'!$V411))</f>
        <v/>
      </c>
      <c r="F433" s="3">
        <f>IF('ORDENES'!$A411="","",IF('ORDENES'!$Y411="","-",'ORDENES'!$Y411))</f>
        <v/>
      </c>
      <c r="G433" s="3">
        <f>IF('ORDENES'!$A411="","",IF('ORDENES'!$W411="","-",'ORDENES'!$W411))</f>
        <v/>
      </c>
      <c r="H433" s="3">
        <f>IF('ORDENES'!$A411="","",IF('ORDENES'!$AE411="","-",'ORDENES'!$AE411))</f>
        <v/>
      </c>
      <c r="I433" s="3">
        <f>IF('ORDENES'!$A411="","",IF('ORDENES'!$AQ411="","-",'ORDENES'!$AQ411))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IF('ORDENES'!$A411="","",'ORDENES'!$AD411)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IF('ORDENES'!$A412="","",IF('ORDENES'!$AF412="","-",'ORDENES'!$AF412))</f>
        <v/>
      </c>
      <c r="D434" s="3">
        <f>IF('ORDENES'!$A412="","",IF('ORDENES'!$X412="","-",'ORDENES'!$X412))</f>
        <v/>
      </c>
      <c r="E434" s="3">
        <f>IF('ORDENES'!$A412="","",IF('ORDENES'!$V412="","-",'ORDENES'!$V412))</f>
        <v/>
      </c>
      <c r="F434" s="3">
        <f>IF('ORDENES'!$A412="","",IF('ORDENES'!$Y412="","-",'ORDENES'!$Y412))</f>
        <v/>
      </c>
      <c r="G434" s="3">
        <f>IF('ORDENES'!$A412="","",IF('ORDENES'!$W412="","-",'ORDENES'!$W412))</f>
        <v/>
      </c>
      <c r="H434" s="3">
        <f>IF('ORDENES'!$A412="","",IF('ORDENES'!$AE412="","-",'ORDENES'!$AE412))</f>
        <v/>
      </c>
      <c r="I434" s="3">
        <f>IF('ORDENES'!$A412="","",IF('ORDENES'!$AQ412="","-",'ORDENES'!$AQ412))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IF('ORDENES'!$A412="","",'ORDENES'!$AD412)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IF('ORDENES'!$A413="","",IF('ORDENES'!$AF413="","-",'ORDENES'!$AF413))</f>
        <v/>
      </c>
      <c r="D435" s="3">
        <f>IF('ORDENES'!$A413="","",IF('ORDENES'!$X413="","-",'ORDENES'!$X413))</f>
        <v/>
      </c>
      <c r="E435" s="3">
        <f>IF('ORDENES'!$A413="","",IF('ORDENES'!$V413="","-",'ORDENES'!$V413))</f>
        <v/>
      </c>
      <c r="F435" s="3">
        <f>IF('ORDENES'!$A413="","",IF('ORDENES'!$Y413="","-",'ORDENES'!$Y413))</f>
        <v/>
      </c>
      <c r="G435" s="3">
        <f>IF('ORDENES'!$A413="","",IF('ORDENES'!$W413="","-",'ORDENES'!$W413))</f>
        <v/>
      </c>
      <c r="H435" s="3">
        <f>IF('ORDENES'!$A413="","",IF('ORDENES'!$AE413="","-",'ORDENES'!$AE413))</f>
        <v/>
      </c>
      <c r="I435" s="3">
        <f>IF('ORDENES'!$A413="","",IF('ORDENES'!$AQ413="","-",'ORDENES'!$AQ413))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IF('ORDENES'!$A413="","",'ORDENES'!$AD413)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IF('ORDENES'!$A414="","",IF('ORDENES'!$AF414="","-",'ORDENES'!$AF414))</f>
        <v/>
      </c>
      <c r="D436" s="3">
        <f>IF('ORDENES'!$A414="","",IF('ORDENES'!$X414="","-",'ORDENES'!$X414))</f>
        <v/>
      </c>
      <c r="E436" s="3">
        <f>IF('ORDENES'!$A414="","",IF('ORDENES'!$V414="","-",'ORDENES'!$V414))</f>
        <v/>
      </c>
      <c r="F436" s="3">
        <f>IF('ORDENES'!$A414="","",IF('ORDENES'!$Y414="","-",'ORDENES'!$Y414))</f>
        <v/>
      </c>
      <c r="G436" s="3">
        <f>IF('ORDENES'!$A414="","",IF('ORDENES'!$W414="","-",'ORDENES'!$W414))</f>
        <v/>
      </c>
      <c r="H436" s="3">
        <f>IF('ORDENES'!$A414="","",IF('ORDENES'!$AE414="","-",'ORDENES'!$AE414))</f>
        <v/>
      </c>
      <c r="I436" s="3">
        <f>IF('ORDENES'!$A414="","",IF('ORDENES'!$AQ414="","-",'ORDENES'!$AQ414))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IF('ORDENES'!$A414="","",'ORDENES'!$AD414)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IF('ORDENES'!$A415="","",IF('ORDENES'!$AF415="","-",'ORDENES'!$AF415))</f>
        <v/>
      </c>
      <c r="D437" s="3">
        <f>IF('ORDENES'!$A415="","",IF('ORDENES'!$X415="","-",'ORDENES'!$X415))</f>
        <v/>
      </c>
      <c r="E437" s="3">
        <f>IF('ORDENES'!$A415="","",IF('ORDENES'!$V415="","-",'ORDENES'!$V415))</f>
        <v/>
      </c>
      <c r="F437" s="3">
        <f>IF('ORDENES'!$A415="","",IF('ORDENES'!$Y415="","-",'ORDENES'!$Y415))</f>
        <v/>
      </c>
      <c r="G437" s="3">
        <f>IF('ORDENES'!$A415="","",IF('ORDENES'!$W415="","-",'ORDENES'!$W415))</f>
        <v/>
      </c>
      <c r="H437" s="3">
        <f>IF('ORDENES'!$A415="","",IF('ORDENES'!$AE415="","-",'ORDENES'!$AE415))</f>
        <v/>
      </c>
      <c r="I437" s="3">
        <f>IF('ORDENES'!$A415="","",IF('ORDENES'!$AQ415="","-",'ORDENES'!$AQ415))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IF('ORDENES'!$A415="","",'ORDENES'!$AD415)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IF('ORDENES'!$A416="","",IF('ORDENES'!$AF416="","-",'ORDENES'!$AF416))</f>
        <v/>
      </c>
      <c r="D438" s="3">
        <f>IF('ORDENES'!$A416="","",IF('ORDENES'!$X416="","-",'ORDENES'!$X416))</f>
        <v/>
      </c>
      <c r="E438" s="3">
        <f>IF('ORDENES'!$A416="","",IF('ORDENES'!$V416="","-",'ORDENES'!$V416))</f>
        <v/>
      </c>
      <c r="F438" s="3">
        <f>IF('ORDENES'!$A416="","",IF('ORDENES'!$Y416="","-",'ORDENES'!$Y416))</f>
        <v/>
      </c>
      <c r="G438" s="3">
        <f>IF('ORDENES'!$A416="","",IF('ORDENES'!$W416="","-",'ORDENES'!$W416))</f>
        <v/>
      </c>
      <c r="H438" s="3">
        <f>IF('ORDENES'!$A416="","",IF('ORDENES'!$AE416="","-",'ORDENES'!$AE416))</f>
        <v/>
      </c>
      <c r="I438" s="3">
        <f>IF('ORDENES'!$A416="","",IF('ORDENES'!$AQ416="","-",'ORDENES'!$AQ416))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IF('ORDENES'!$A416="","",'ORDENES'!$AD416)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IF('ORDENES'!$A417="","",IF('ORDENES'!$AF417="","-",'ORDENES'!$AF417))</f>
        <v/>
      </c>
      <c r="D439" s="3">
        <f>IF('ORDENES'!$A417="","",IF('ORDENES'!$X417="","-",'ORDENES'!$X417))</f>
        <v/>
      </c>
      <c r="E439" s="3">
        <f>IF('ORDENES'!$A417="","",IF('ORDENES'!$V417="","-",'ORDENES'!$V417))</f>
        <v/>
      </c>
      <c r="F439" s="3">
        <f>IF('ORDENES'!$A417="","",IF('ORDENES'!$Y417="","-",'ORDENES'!$Y417))</f>
        <v/>
      </c>
      <c r="G439" s="3">
        <f>IF('ORDENES'!$A417="","",IF('ORDENES'!$W417="","-",'ORDENES'!$W417))</f>
        <v/>
      </c>
      <c r="H439" s="3">
        <f>IF('ORDENES'!$A417="","",IF('ORDENES'!$AE417="","-",'ORDENES'!$AE417))</f>
        <v/>
      </c>
      <c r="I439" s="3">
        <f>IF('ORDENES'!$A417="","",IF('ORDENES'!$AQ417="","-",'ORDENES'!$AQ417))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IF('ORDENES'!$A417="","",'ORDENES'!$AD417)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IF('ORDENES'!$A418="","",IF('ORDENES'!$AF418="","-",'ORDENES'!$AF418))</f>
        <v/>
      </c>
      <c r="D440" s="3">
        <f>IF('ORDENES'!$A418="","",IF('ORDENES'!$X418="","-",'ORDENES'!$X418))</f>
        <v/>
      </c>
      <c r="E440" s="3">
        <f>IF('ORDENES'!$A418="","",IF('ORDENES'!$V418="","-",'ORDENES'!$V418))</f>
        <v/>
      </c>
      <c r="F440" s="3">
        <f>IF('ORDENES'!$A418="","",IF('ORDENES'!$Y418="","-",'ORDENES'!$Y418))</f>
        <v/>
      </c>
      <c r="G440" s="3">
        <f>IF('ORDENES'!$A418="","",IF('ORDENES'!$W418="","-",'ORDENES'!$W418))</f>
        <v/>
      </c>
      <c r="H440" s="3">
        <f>IF('ORDENES'!$A418="","",IF('ORDENES'!$AE418="","-",'ORDENES'!$AE418))</f>
        <v/>
      </c>
      <c r="I440" s="3">
        <f>IF('ORDENES'!$A418="","",IF('ORDENES'!$AQ418="","-",'ORDENES'!$AQ418))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IF('ORDENES'!$A418="","",'ORDENES'!$AD418)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IF('ORDENES'!$A419="","",IF('ORDENES'!$AF419="","-",'ORDENES'!$AF419))</f>
        <v/>
      </c>
      <c r="D441" s="3">
        <f>IF('ORDENES'!$A419="","",IF('ORDENES'!$X419="","-",'ORDENES'!$X419))</f>
        <v/>
      </c>
      <c r="E441" s="3">
        <f>IF('ORDENES'!$A419="","",IF('ORDENES'!$V419="","-",'ORDENES'!$V419))</f>
        <v/>
      </c>
      <c r="F441" s="3">
        <f>IF('ORDENES'!$A419="","",IF('ORDENES'!$Y419="","-",'ORDENES'!$Y419))</f>
        <v/>
      </c>
      <c r="G441" s="3">
        <f>IF('ORDENES'!$A419="","",IF('ORDENES'!$W419="","-",'ORDENES'!$W419))</f>
        <v/>
      </c>
      <c r="H441" s="3">
        <f>IF('ORDENES'!$A419="","",IF('ORDENES'!$AE419="","-",'ORDENES'!$AE419))</f>
        <v/>
      </c>
      <c r="I441" s="3">
        <f>IF('ORDENES'!$A419="","",IF('ORDENES'!$AQ419="","-",'ORDENES'!$AQ419))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IF('ORDENES'!$A419="","",'ORDENES'!$AD419)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IF('ORDENES'!$A420="","",IF('ORDENES'!$AF420="","-",'ORDENES'!$AF420))</f>
        <v/>
      </c>
      <c r="D442" s="3">
        <f>IF('ORDENES'!$A420="","",IF('ORDENES'!$X420="","-",'ORDENES'!$X420))</f>
        <v/>
      </c>
      <c r="E442" s="3">
        <f>IF('ORDENES'!$A420="","",IF('ORDENES'!$V420="","-",'ORDENES'!$V420))</f>
        <v/>
      </c>
      <c r="F442" s="3">
        <f>IF('ORDENES'!$A420="","",IF('ORDENES'!$Y420="","-",'ORDENES'!$Y420))</f>
        <v/>
      </c>
      <c r="G442" s="3">
        <f>IF('ORDENES'!$A420="","",IF('ORDENES'!$W420="","-",'ORDENES'!$W420))</f>
        <v/>
      </c>
      <c r="H442" s="3">
        <f>IF('ORDENES'!$A420="","",IF('ORDENES'!$AE420="","-",'ORDENES'!$AE420))</f>
        <v/>
      </c>
      <c r="I442" s="3">
        <f>IF('ORDENES'!$A420="","",IF('ORDENES'!$AQ420="","-",'ORDENES'!$AQ420))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IF('ORDENES'!$A420="","",'ORDENES'!$AD420)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IF('ORDENES'!$A421="","",IF('ORDENES'!$AF421="","-",'ORDENES'!$AF421))</f>
        <v/>
      </c>
      <c r="D443" s="3">
        <f>IF('ORDENES'!$A421="","",IF('ORDENES'!$X421="","-",'ORDENES'!$X421))</f>
        <v/>
      </c>
      <c r="E443" s="3">
        <f>IF('ORDENES'!$A421="","",IF('ORDENES'!$V421="","-",'ORDENES'!$V421))</f>
        <v/>
      </c>
      <c r="F443" s="3">
        <f>IF('ORDENES'!$A421="","",IF('ORDENES'!$Y421="","-",'ORDENES'!$Y421))</f>
        <v/>
      </c>
      <c r="G443" s="3">
        <f>IF('ORDENES'!$A421="","",IF('ORDENES'!$W421="","-",'ORDENES'!$W421))</f>
        <v/>
      </c>
      <c r="H443" s="3">
        <f>IF('ORDENES'!$A421="","",IF('ORDENES'!$AE421="","-",'ORDENES'!$AE421))</f>
        <v/>
      </c>
      <c r="I443" s="3">
        <f>IF('ORDENES'!$A421="","",IF('ORDENES'!$AQ421="","-",'ORDENES'!$AQ421))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IF('ORDENES'!$A421="","",'ORDENES'!$AD421)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IF('ORDENES'!$A422="","",IF('ORDENES'!$AF422="","-",'ORDENES'!$AF422))</f>
        <v/>
      </c>
      <c r="D444" s="3">
        <f>IF('ORDENES'!$A422="","",IF('ORDENES'!$X422="","-",'ORDENES'!$X422))</f>
        <v/>
      </c>
      <c r="E444" s="3">
        <f>IF('ORDENES'!$A422="","",IF('ORDENES'!$V422="","-",'ORDENES'!$V422))</f>
        <v/>
      </c>
      <c r="F444" s="3">
        <f>IF('ORDENES'!$A422="","",IF('ORDENES'!$Y422="","-",'ORDENES'!$Y422))</f>
        <v/>
      </c>
      <c r="G444" s="3">
        <f>IF('ORDENES'!$A422="","",IF('ORDENES'!$W422="","-",'ORDENES'!$W422))</f>
        <v/>
      </c>
      <c r="H444" s="3">
        <f>IF('ORDENES'!$A422="","",IF('ORDENES'!$AE422="","-",'ORDENES'!$AE422))</f>
        <v/>
      </c>
      <c r="I444" s="3">
        <f>IF('ORDENES'!$A422="","",IF('ORDENES'!$AQ422="","-",'ORDENES'!$AQ422))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IF('ORDENES'!$A422="","",'ORDENES'!$AD422)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IF('ORDENES'!$A423="","",IF('ORDENES'!$AF423="","-",'ORDENES'!$AF423))</f>
        <v/>
      </c>
      <c r="D445" s="3">
        <f>IF('ORDENES'!$A423="","",IF('ORDENES'!$X423="","-",'ORDENES'!$X423))</f>
        <v/>
      </c>
      <c r="E445" s="3">
        <f>IF('ORDENES'!$A423="","",IF('ORDENES'!$V423="","-",'ORDENES'!$V423))</f>
        <v/>
      </c>
      <c r="F445" s="3">
        <f>IF('ORDENES'!$A423="","",IF('ORDENES'!$Y423="","-",'ORDENES'!$Y423))</f>
        <v/>
      </c>
      <c r="G445" s="3">
        <f>IF('ORDENES'!$A423="","",IF('ORDENES'!$W423="","-",'ORDENES'!$W423))</f>
        <v/>
      </c>
      <c r="H445" s="3">
        <f>IF('ORDENES'!$A423="","",IF('ORDENES'!$AE423="","-",'ORDENES'!$AE423))</f>
        <v/>
      </c>
      <c r="I445" s="3">
        <f>IF('ORDENES'!$A423="","",IF('ORDENES'!$AQ423="","-",'ORDENES'!$AQ423))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IF('ORDENES'!$A423="","",'ORDENES'!$AD423)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IF('ORDENES'!$A424="","",IF('ORDENES'!$AF424="","-",'ORDENES'!$AF424))</f>
        <v/>
      </c>
      <c r="D446" s="3">
        <f>IF('ORDENES'!$A424="","",IF('ORDENES'!$X424="","-",'ORDENES'!$X424))</f>
        <v/>
      </c>
      <c r="E446" s="3">
        <f>IF('ORDENES'!$A424="","",IF('ORDENES'!$V424="","-",'ORDENES'!$V424))</f>
        <v/>
      </c>
      <c r="F446" s="3">
        <f>IF('ORDENES'!$A424="","",IF('ORDENES'!$Y424="","-",'ORDENES'!$Y424))</f>
        <v/>
      </c>
      <c r="G446" s="3">
        <f>IF('ORDENES'!$A424="","",IF('ORDENES'!$W424="","-",'ORDENES'!$W424))</f>
        <v/>
      </c>
      <c r="H446" s="3">
        <f>IF('ORDENES'!$A424="","",IF('ORDENES'!$AE424="","-",'ORDENES'!$AE424))</f>
        <v/>
      </c>
      <c r="I446" s="3">
        <f>IF('ORDENES'!$A424="","",IF('ORDENES'!$AQ424="","-",'ORDENES'!$AQ424))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IF('ORDENES'!$A424="","",'ORDENES'!$AD424)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IF('ORDENES'!$A425="","",IF('ORDENES'!$AF425="","-",'ORDENES'!$AF425))</f>
        <v/>
      </c>
      <c r="D447" s="3">
        <f>IF('ORDENES'!$A425="","",IF('ORDENES'!$X425="","-",'ORDENES'!$X425))</f>
        <v/>
      </c>
      <c r="E447" s="3">
        <f>IF('ORDENES'!$A425="","",IF('ORDENES'!$V425="","-",'ORDENES'!$V425))</f>
        <v/>
      </c>
      <c r="F447" s="3">
        <f>IF('ORDENES'!$A425="","",IF('ORDENES'!$Y425="","-",'ORDENES'!$Y425))</f>
        <v/>
      </c>
      <c r="G447" s="3">
        <f>IF('ORDENES'!$A425="","",IF('ORDENES'!$W425="","-",'ORDENES'!$W425))</f>
        <v/>
      </c>
      <c r="H447" s="3">
        <f>IF('ORDENES'!$A425="","",IF('ORDENES'!$AE425="","-",'ORDENES'!$AE425))</f>
        <v/>
      </c>
      <c r="I447" s="3">
        <f>IF('ORDENES'!$A425="","",IF('ORDENES'!$AQ425="","-",'ORDENES'!$AQ425))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IF('ORDENES'!$A425="","",'ORDENES'!$AD425)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IF('ORDENES'!$A426="","",IF('ORDENES'!$AF426="","-",'ORDENES'!$AF426))</f>
        <v/>
      </c>
      <c r="D448" s="3">
        <f>IF('ORDENES'!$A426="","",IF('ORDENES'!$X426="","-",'ORDENES'!$X426))</f>
        <v/>
      </c>
      <c r="E448" s="3">
        <f>IF('ORDENES'!$A426="","",IF('ORDENES'!$V426="","-",'ORDENES'!$V426))</f>
        <v/>
      </c>
      <c r="F448" s="3">
        <f>IF('ORDENES'!$A426="","",IF('ORDENES'!$Y426="","-",'ORDENES'!$Y426))</f>
        <v/>
      </c>
      <c r="G448" s="3">
        <f>IF('ORDENES'!$A426="","",IF('ORDENES'!$W426="","-",'ORDENES'!$W426))</f>
        <v/>
      </c>
      <c r="H448" s="3">
        <f>IF('ORDENES'!$A426="","",IF('ORDENES'!$AE426="","-",'ORDENES'!$AE426))</f>
        <v/>
      </c>
      <c r="I448" s="3">
        <f>IF('ORDENES'!$A426="","",IF('ORDENES'!$AQ426="","-",'ORDENES'!$AQ426))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IF('ORDENES'!$A426="","",'ORDENES'!$AD426)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IF('ORDENES'!$A427="","",IF('ORDENES'!$AF427="","-",'ORDENES'!$AF427))</f>
        <v/>
      </c>
      <c r="D449" s="3">
        <f>IF('ORDENES'!$A427="","",IF('ORDENES'!$X427="","-",'ORDENES'!$X427))</f>
        <v/>
      </c>
      <c r="E449" s="3">
        <f>IF('ORDENES'!$A427="","",IF('ORDENES'!$V427="","-",'ORDENES'!$V427))</f>
        <v/>
      </c>
      <c r="F449" s="3">
        <f>IF('ORDENES'!$A427="","",IF('ORDENES'!$Y427="","-",'ORDENES'!$Y427))</f>
        <v/>
      </c>
      <c r="G449" s="3">
        <f>IF('ORDENES'!$A427="","",IF('ORDENES'!$W427="","-",'ORDENES'!$W427))</f>
        <v/>
      </c>
      <c r="H449" s="3">
        <f>IF('ORDENES'!$A427="","",IF('ORDENES'!$AE427="","-",'ORDENES'!$AE427))</f>
        <v/>
      </c>
      <c r="I449" s="3">
        <f>IF('ORDENES'!$A427="","",IF('ORDENES'!$AQ427="","-",'ORDENES'!$AQ427))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IF('ORDENES'!$A427="","",'ORDENES'!$AD427)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IF('ORDENES'!$A428="","",IF('ORDENES'!$AF428="","-",'ORDENES'!$AF428))</f>
        <v/>
      </c>
      <c r="D450" s="3">
        <f>IF('ORDENES'!$A428="","",IF('ORDENES'!$X428="","-",'ORDENES'!$X428))</f>
        <v/>
      </c>
      <c r="E450" s="3">
        <f>IF('ORDENES'!$A428="","",IF('ORDENES'!$V428="","-",'ORDENES'!$V428))</f>
        <v/>
      </c>
      <c r="F450" s="3">
        <f>IF('ORDENES'!$A428="","",IF('ORDENES'!$Y428="","-",'ORDENES'!$Y428))</f>
        <v/>
      </c>
      <c r="G450" s="3">
        <f>IF('ORDENES'!$A428="","",IF('ORDENES'!$W428="","-",'ORDENES'!$W428))</f>
        <v/>
      </c>
      <c r="H450" s="3">
        <f>IF('ORDENES'!$A428="","",IF('ORDENES'!$AE428="","-",'ORDENES'!$AE428))</f>
        <v/>
      </c>
      <c r="I450" s="3">
        <f>IF('ORDENES'!$A428="","",IF('ORDENES'!$AQ428="","-",'ORDENES'!$AQ428))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IF('ORDENES'!$A428="","",'ORDENES'!$AD428)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IF('ORDENES'!$A429="","",IF('ORDENES'!$AF429="","-",'ORDENES'!$AF429))</f>
        <v/>
      </c>
      <c r="D451" s="3">
        <f>IF('ORDENES'!$A429="","",IF('ORDENES'!$X429="","-",'ORDENES'!$X429))</f>
        <v/>
      </c>
      <c r="E451" s="3">
        <f>IF('ORDENES'!$A429="","",IF('ORDENES'!$V429="","-",'ORDENES'!$V429))</f>
        <v/>
      </c>
      <c r="F451" s="3">
        <f>IF('ORDENES'!$A429="","",IF('ORDENES'!$Y429="","-",'ORDENES'!$Y429))</f>
        <v/>
      </c>
      <c r="G451" s="3">
        <f>IF('ORDENES'!$A429="","",IF('ORDENES'!$W429="","-",'ORDENES'!$W429))</f>
        <v/>
      </c>
      <c r="H451" s="3">
        <f>IF('ORDENES'!$A429="","",IF('ORDENES'!$AE429="","-",'ORDENES'!$AE429))</f>
        <v/>
      </c>
      <c r="I451" s="3">
        <f>IF('ORDENES'!$A429="","",IF('ORDENES'!$AQ429="","-",'ORDENES'!$AQ429))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IF('ORDENES'!$A429="","",'ORDENES'!$AD429)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IF('ORDENES'!$A430="","",IF('ORDENES'!$AF430="","-",'ORDENES'!$AF430))</f>
        <v/>
      </c>
      <c r="D452" s="3">
        <f>IF('ORDENES'!$A430="","",IF('ORDENES'!$X430="","-",'ORDENES'!$X430))</f>
        <v/>
      </c>
      <c r="E452" s="3">
        <f>IF('ORDENES'!$A430="","",IF('ORDENES'!$V430="","-",'ORDENES'!$V430))</f>
        <v/>
      </c>
      <c r="F452" s="3">
        <f>IF('ORDENES'!$A430="","",IF('ORDENES'!$Y430="","-",'ORDENES'!$Y430))</f>
        <v/>
      </c>
      <c r="G452" s="3">
        <f>IF('ORDENES'!$A430="","",IF('ORDENES'!$W430="","-",'ORDENES'!$W430))</f>
        <v/>
      </c>
      <c r="H452" s="3">
        <f>IF('ORDENES'!$A430="","",IF('ORDENES'!$AE430="","-",'ORDENES'!$AE430))</f>
        <v/>
      </c>
      <c r="I452" s="3">
        <f>IF('ORDENES'!$A430="","",IF('ORDENES'!$AQ430="","-",'ORDENES'!$AQ430))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IF('ORDENES'!$A430="","",'ORDENES'!$AD430)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IF('ORDENES'!$A431="","",IF('ORDENES'!$AF431="","-",'ORDENES'!$AF431))</f>
        <v/>
      </c>
      <c r="D453" s="3">
        <f>IF('ORDENES'!$A431="","",IF('ORDENES'!$X431="","-",'ORDENES'!$X431))</f>
        <v/>
      </c>
      <c r="E453" s="3">
        <f>IF('ORDENES'!$A431="","",IF('ORDENES'!$V431="","-",'ORDENES'!$V431))</f>
        <v/>
      </c>
      <c r="F453" s="3">
        <f>IF('ORDENES'!$A431="","",IF('ORDENES'!$Y431="","-",'ORDENES'!$Y431))</f>
        <v/>
      </c>
      <c r="G453" s="3">
        <f>IF('ORDENES'!$A431="","",IF('ORDENES'!$W431="","-",'ORDENES'!$W431))</f>
        <v/>
      </c>
      <c r="H453" s="3">
        <f>IF('ORDENES'!$A431="","",IF('ORDENES'!$AE431="","-",'ORDENES'!$AE431))</f>
        <v/>
      </c>
      <c r="I453" s="3">
        <f>IF('ORDENES'!$A431="","",IF('ORDENES'!$AQ431="","-",'ORDENES'!$AQ431))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IF('ORDENES'!$A431="","",'ORDENES'!$AD431)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IF('ORDENES'!$A432="","",IF('ORDENES'!$AF432="","-",'ORDENES'!$AF432))</f>
        <v/>
      </c>
      <c r="D454" s="3">
        <f>IF('ORDENES'!$A432="","",IF('ORDENES'!$X432="","-",'ORDENES'!$X432))</f>
        <v/>
      </c>
      <c r="E454" s="3">
        <f>IF('ORDENES'!$A432="","",IF('ORDENES'!$V432="","-",'ORDENES'!$V432))</f>
        <v/>
      </c>
      <c r="F454" s="3">
        <f>IF('ORDENES'!$A432="","",IF('ORDENES'!$Y432="","-",'ORDENES'!$Y432))</f>
        <v/>
      </c>
      <c r="G454" s="3">
        <f>IF('ORDENES'!$A432="","",IF('ORDENES'!$W432="","-",'ORDENES'!$W432))</f>
        <v/>
      </c>
      <c r="H454" s="3">
        <f>IF('ORDENES'!$A432="","",IF('ORDENES'!$AE432="","-",'ORDENES'!$AE432))</f>
        <v/>
      </c>
      <c r="I454" s="3">
        <f>IF('ORDENES'!$A432="","",IF('ORDENES'!$AQ432="","-",'ORDENES'!$AQ432))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IF('ORDENES'!$A432="","",'ORDENES'!$AD432)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IF('ORDENES'!$A433="","",IF('ORDENES'!$AF433="","-",'ORDENES'!$AF433))</f>
        <v/>
      </c>
      <c r="D455" s="3">
        <f>IF('ORDENES'!$A433="","",IF('ORDENES'!$X433="","-",'ORDENES'!$X433))</f>
        <v/>
      </c>
      <c r="E455" s="3">
        <f>IF('ORDENES'!$A433="","",IF('ORDENES'!$V433="","-",'ORDENES'!$V433))</f>
        <v/>
      </c>
      <c r="F455" s="3">
        <f>IF('ORDENES'!$A433="","",IF('ORDENES'!$Y433="","-",'ORDENES'!$Y433))</f>
        <v/>
      </c>
      <c r="G455" s="3">
        <f>IF('ORDENES'!$A433="","",IF('ORDENES'!$W433="","-",'ORDENES'!$W433))</f>
        <v/>
      </c>
      <c r="H455" s="3">
        <f>IF('ORDENES'!$A433="","",IF('ORDENES'!$AE433="","-",'ORDENES'!$AE433))</f>
        <v/>
      </c>
      <c r="I455" s="3">
        <f>IF('ORDENES'!$A433="","",IF('ORDENES'!$AQ433="","-",'ORDENES'!$AQ433))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IF('ORDENES'!$A433="","",'ORDENES'!$AD433)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IF('ORDENES'!$A434="","",IF('ORDENES'!$AF434="","-",'ORDENES'!$AF434))</f>
        <v/>
      </c>
      <c r="D456" s="3">
        <f>IF('ORDENES'!$A434="","",IF('ORDENES'!$X434="","-",'ORDENES'!$X434))</f>
        <v/>
      </c>
      <c r="E456" s="3">
        <f>IF('ORDENES'!$A434="","",IF('ORDENES'!$V434="","-",'ORDENES'!$V434))</f>
        <v/>
      </c>
      <c r="F456" s="3">
        <f>IF('ORDENES'!$A434="","",IF('ORDENES'!$Y434="","-",'ORDENES'!$Y434))</f>
        <v/>
      </c>
      <c r="G456" s="3">
        <f>IF('ORDENES'!$A434="","",IF('ORDENES'!$W434="","-",'ORDENES'!$W434))</f>
        <v/>
      </c>
      <c r="H456" s="3">
        <f>IF('ORDENES'!$A434="","",IF('ORDENES'!$AE434="","-",'ORDENES'!$AE434))</f>
        <v/>
      </c>
      <c r="I456" s="3">
        <f>IF('ORDENES'!$A434="","",IF('ORDENES'!$AQ434="","-",'ORDENES'!$AQ434))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IF('ORDENES'!$A434="","",'ORDENES'!$AD434)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IF('ORDENES'!$A435="","",IF('ORDENES'!$AF435="","-",'ORDENES'!$AF435))</f>
        <v/>
      </c>
      <c r="D457" s="3">
        <f>IF('ORDENES'!$A435="","",IF('ORDENES'!$X435="","-",'ORDENES'!$X435))</f>
        <v/>
      </c>
      <c r="E457" s="3">
        <f>IF('ORDENES'!$A435="","",IF('ORDENES'!$V435="","-",'ORDENES'!$V435))</f>
        <v/>
      </c>
      <c r="F457" s="3">
        <f>IF('ORDENES'!$A435="","",IF('ORDENES'!$Y435="","-",'ORDENES'!$Y435))</f>
        <v/>
      </c>
      <c r="G457" s="3">
        <f>IF('ORDENES'!$A435="","",IF('ORDENES'!$W435="","-",'ORDENES'!$W435))</f>
        <v/>
      </c>
      <c r="H457" s="3">
        <f>IF('ORDENES'!$A435="","",IF('ORDENES'!$AE435="","-",'ORDENES'!$AE435))</f>
        <v/>
      </c>
      <c r="I457" s="3">
        <f>IF('ORDENES'!$A435="","",IF('ORDENES'!$AQ435="","-",'ORDENES'!$AQ435))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IF('ORDENES'!$A435="","",'ORDENES'!$AD435)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IF('ORDENES'!$A436="","",IF('ORDENES'!$AF436="","-",'ORDENES'!$AF436))</f>
        <v/>
      </c>
      <c r="D458" s="3">
        <f>IF('ORDENES'!$A436="","",IF('ORDENES'!$X436="","-",'ORDENES'!$X436))</f>
        <v/>
      </c>
      <c r="E458" s="3">
        <f>IF('ORDENES'!$A436="","",IF('ORDENES'!$V436="","-",'ORDENES'!$V436))</f>
        <v/>
      </c>
      <c r="F458" s="3">
        <f>IF('ORDENES'!$A436="","",IF('ORDENES'!$Y436="","-",'ORDENES'!$Y436))</f>
        <v/>
      </c>
      <c r="G458" s="3">
        <f>IF('ORDENES'!$A436="","",IF('ORDENES'!$W436="","-",'ORDENES'!$W436))</f>
        <v/>
      </c>
      <c r="H458" s="3">
        <f>IF('ORDENES'!$A436="","",IF('ORDENES'!$AE436="","-",'ORDENES'!$AE436))</f>
        <v/>
      </c>
      <c r="I458" s="3">
        <f>IF('ORDENES'!$A436="","",IF('ORDENES'!$AQ436="","-",'ORDENES'!$AQ436))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IF('ORDENES'!$A436="","",'ORDENES'!$AD436)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IF('ORDENES'!$A437="","",IF('ORDENES'!$AF437="","-",'ORDENES'!$AF437))</f>
        <v/>
      </c>
      <c r="D459" s="3">
        <f>IF('ORDENES'!$A437="","",IF('ORDENES'!$X437="","-",'ORDENES'!$X437))</f>
        <v/>
      </c>
      <c r="E459" s="3">
        <f>IF('ORDENES'!$A437="","",IF('ORDENES'!$V437="","-",'ORDENES'!$V437))</f>
        <v/>
      </c>
      <c r="F459" s="3">
        <f>IF('ORDENES'!$A437="","",IF('ORDENES'!$Y437="","-",'ORDENES'!$Y437))</f>
        <v/>
      </c>
      <c r="G459" s="3">
        <f>IF('ORDENES'!$A437="","",IF('ORDENES'!$W437="","-",'ORDENES'!$W437))</f>
        <v/>
      </c>
      <c r="H459" s="3">
        <f>IF('ORDENES'!$A437="","",IF('ORDENES'!$AE437="","-",'ORDENES'!$AE437))</f>
        <v/>
      </c>
      <c r="I459" s="3">
        <f>IF('ORDENES'!$A437="","",IF('ORDENES'!$AQ437="","-",'ORDENES'!$AQ437))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IF('ORDENES'!$A437="","",'ORDENES'!$AD437)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IF('ORDENES'!$A438="","",IF('ORDENES'!$AF438="","-",'ORDENES'!$AF438))</f>
        <v/>
      </c>
      <c r="D460" s="3">
        <f>IF('ORDENES'!$A438="","",IF('ORDENES'!$X438="","-",'ORDENES'!$X438))</f>
        <v/>
      </c>
      <c r="E460" s="3">
        <f>IF('ORDENES'!$A438="","",IF('ORDENES'!$V438="","-",'ORDENES'!$V438))</f>
        <v/>
      </c>
      <c r="F460" s="3">
        <f>IF('ORDENES'!$A438="","",IF('ORDENES'!$Y438="","-",'ORDENES'!$Y438))</f>
        <v/>
      </c>
      <c r="G460" s="3">
        <f>IF('ORDENES'!$A438="","",IF('ORDENES'!$W438="","-",'ORDENES'!$W438))</f>
        <v/>
      </c>
      <c r="H460" s="3">
        <f>IF('ORDENES'!$A438="","",IF('ORDENES'!$AE438="","-",'ORDENES'!$AE438))</f>
        <v/>
      </c>
      <c r="I460" s="3">
        <f>IF('ORDENES'!$A438="","",IF('ORDENES'!$AQ438="","-",'ORDENES'!$AQ438))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IF('ORDENES'!$A438="","",'ORDENES'!$AD438)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IF('ORDENES'!$A439="","",IF('ORDENES'!$AF439="","-",'ORDENES'!$AF439))</f>
        <v/>
      </c>
      <c r="D461" s="3">
        <f>IF('ORDENES'!$A439="","",IF('ORDENES'!$X439="","-",'ORDENES'!$X439))</f>
        <v/>
      </c>
      <c r="E461" s="3">
        <f>IF('ORDENES'!$A439="","",IF('ORDENES'!$V439="","-",'ORDENES'!$V439))</f>
        <v/>
      </c>
      <c r="F461" s="3">
        <f>IF('ORDENES'!$A439="","",IF('ORDENES'!$Y439="","-",'ORDENES'!$Y439))</f>
        <v/>
      </c>
      <c r="G461" s="3">
        <f>IF('ORDENES'!$A439="","",IF('ORDENES'!$W439="","-",'ORDENES'!$W439))</f>
        <v/>
      </c>
      <c r="H461" s="3">
        <f>IF('ORDENES'!$A439="","",IF('ORDENES'!$AE439="","-",'ORDENES'!$AE439))</f>
        <v/>
      </c>
      <c r="I461" s="3">
        <f>IF('ORDENES'!$A439="","",IF('ORDENES'!$AQ439="","-",'ORDENES'!$AQ439))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IF('ORDENES'!$A439="","",'ORDENES'!$AD439)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IF('ORDENES'!$A440="","",IF('ORDENES'!$AF440="","-",'ORDENES'!$AF440))</f>
        <v/>
      </c>
      <c r="D462" s="3">
        <f>IF('ORDENES'!$A440="","",IF('ORDENES'!$X440="","-",'ORDENES'!$X440))</f>
        <v/>
      </c>
      <c r="E462" s="3">
        <f>IF('ORDENES'!$A440="","",IF('ORDENES'!$V440="","-",'ORDENES'!$V440))</f>
        <v/>
      </c>
      <c r="F462" s="3">
        <f>IF('ORDENES'!$A440="","",IF('ORDENES'!$Y440="","-",'ORDENES'!$Y440))</f>
        <v/>
      </c>
      <c r="G462" s="3">
        <f>IF('ORDENES'!$A440="","",IF('ORDENES'!$W440="","-",'ORDENES'!$W440))</f>
        <v/>
      </c>
      <c r="H462" s="3">
        <f>IF('ORDENES'!$A440="","",IF('ORDENES'!$AE440="","-",'ORDENES'!$AE440))</f>
        <v/>
      </c>
      <c r="I462" s="3">
        <f>IF('ORDENES'!$A440="","",IF('ORDENES'!$AQ440="","-",'ORDENES'!$AQ440))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IF('ORDENES'!$A440="","",'ORDENES'!$AD440)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IF('ORDENES'!$A441="","",IF('ORDENES'!$AF441="","-",'ORDENES'!$AF441))</f>
        <v/>
      </c>
      <c r="D463" s="3">
        <f>IF('ORDENES'!$A441="","",IF('ORDENES'!$X441="","-",'ORDENES'!$X441))</f>
        <v/>
      </c>
      <c r="E463" s="3">
        <f>IF('ORDENES'!$A441="","",IF('ORDENES'!$V441="","-",'ORDENES'!$V441))</f>
        <v/>
      </c>
      <c r="F463" s="3">
        <f>IF('ORDENES'!$A441="","",IF('ORDENES'!$Y441="","-",'ORDENES'!$Y441))</f>
        <v/>
      </c>
      <c r="G463" s="3">
        <f>IF('ORDENES'!$A441="","",IF('ORDENES'!$W441="","-",'ORDENES'!$W441))</f>
        <v/>
      </c>
      <c r="H463" s="3">
        <f>IF('ORDENES'!$A441="","",IF('ORDENES'!$AE441="","-",'ORDENES'!$AE441))</f>
        <v/>
      </c>
      <c r="I463" s="3">
        <f>IF('ORDENES'!$A441="","",IF('ORDENES'!$AQ441="","-",'ORDENES'!$AQ441))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IF('ORDENES'!$A441="","",'ORDENES'!$AD441)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IF('ORDENES'!$A442="","",IF('ORDENES'!$AF442="","-",'ORDENES'!$AF442))</f>
        <v/>
      </c>
      <c r="D464" s="3">
        <f>IF('ORDENES'!$A442="","",IF('ORDENES'!$X442="","-",'ORDENES'!$X442))</f>
        <v/>
      </c>
      <c r="E464" s="3">
        <f>IF('ORDENES'!$A442="","",IF('ORDENES'!$V442="","-",'ORDENES'!$V442))</f>
        <v/>
      </c>
      <c r="F464" s="3">
        <f>IF('ORDENES'!$A442="","",IF('ORDENES'!$Y442="","-",'ORDENES'!$Y442))</f>
        <v/>
      </c>
      <c r="G464" s="3">
        <f>IF('ORDENES'!$A442="","",IF('ORDENES'!$W442="","-",'ORDENES'!$W442))</f>
        <v/>
      </c>
      <c r="H464" s="3">
        <f>IF('ORDENES'!$A442="","",IF('ORDENES'!$AE442="","-",'ORDENES'!$AE442))</f>
        <v/>
      </c>
      <c r="I464" s="3">
        <f>IF('ORDENES'!$A442="","",IF('ORDENES'!$AQ442="","-",'ORDENES'!$AQ442))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IF('ORDENES'!$A442="","",'ORDENES'!$AD442)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IF('ORDENES'!$A443="","",IF('ORDENES'!$AF443="","-",'ORDENES'!$AF443))</f>
        <v/>
      </c>
      <c r="D465" s="3">
        <f>IF('ORDENES'!$A443="","",IF('ORDENES'!$X443="","-",'ORDENES'!$X443))</f>
        <v/>
      </c>
      <c r="E465" s="3">
        <f>IF('ORDENES'!$A443="","",IF('ORDENES'!$V443="","-",'ORDENES'!$V443))</f>
        <v/>
      </c>
      <c r="F465" s="3">
        <f>IF('ORDENES'!$A443="","",IF('ORDENES'!$Y443="","-",'ORDENES'!$Y443))</f>
        <v/>
      </c>
      <c r="G465" s="3">
        <f>IF('ORDENES'!$A443="","",IF('ORDENES'!$W443="","-",'ORDENES'!$W443))</f>
        <v/>
      </c>
      <c r="H465" s="3">
        <f>IF('ORDENES'!$A443="","",IF('ORDENES'!$AE443="","-",'ORDENES'!$AE443))</f>
        <v/>
      </c>
      <c r="I465" s="3">
        <f>IF('ORDENES'!$A443="","",IF('ORDENES'!$AQ443="","-",'ORDENES'!$AQ443))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IF('ORDENES'!$A443="","",'ORDENES'!$AD443)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IF('ORDENES'!$A444="","",IF('ORDENES'!$AF444="","-",'ORDENES'!$AF444))</f>
        <v/>
      </c>
      <c r="D466" s="3">
        <f>IF('ORDENES'!$A444="","",IF('ORDENES'!$X444="","-",'ORDENES'!$X444))</f>
        <v/>
      </c>
      <c r="E466" s="3">
        <f>IF('ORDENES'!$A444="","",IF('ORDENES'!$V444="","-",'ORDENES'!$V444))</f>
        <v/>
      </c>
      <c r="F466" s="3">
        <f>IF('ORDENES'!$A444="","",IF('ORDENES'!$Y444="","-",'ORDENES'!$Y444))</f>
        <v/>
      </c>
      <c r="G466" s="3">
        <f>IF('ORDENES'!$A444="","",IF('ORDENES'!$W444="","-",'ORDENES'!$W444))</f>
        <v/>
      </c>
      <c r="H466" s="3">
        <f>IF('ORDENES'!$A444="","",IF('ORDENES'!$AE444="","-",'ORDENES'!$AE444))</f>
        <v/>
      </c>
      <c r="I466" s="3">
        <f>IF('ORDENES'!$A444="","",IF('ORDENES'!$AQ444="","-",'ORDENES'!$AQ444))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IF('ORDENES'!$A444="","",'ORDENES'!$AD444)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IF('ORDENES'!$A445="","",IF('ORDENES'!$AF445="","-",'ORDENES'!$AF445))</f>
        <v/>
      </c>
      <c r="D467" s="3">
        <f>IF('ORDENES'!$A445="","",IF('ORDENES'!$X445="","-",'ORDENES'!$X445))</f>
        <v/>
      </c>
      <c r="E467" s="3">
        <f>IF('ORDENES'!$A445="","",IF('ORDENES'!$V445="","-",'ORDENES'!$V445))</f>
        <v/>
      </c>
      <c r="F467" s="3">
        <f>IF('ORDENES'!$A445="","",IF('ORDENES'!$Y445="","-",'ORDENES'!$Y445))</f>
        <v/>
      </c>
      <c r="G467" s="3">
        <f>IF('ORDENES'!$A445="","",IF('ORDENES'!$W445="","-",'ORDENES'!$W445))</f>
        <v/>
      </c>
      <c r="H467" s="3">
        <f>IF('ORDENES'!$A445="","",IF('ORDENES'!$AE445="","-",'ORDENES'!$AE445))</f>
        <v/>
      </c>
      <c r="I467" s="3">
        <f>IF('ORDENES'!$A445="","",IF('ORDENES'!$AQ445="","-",'ORDENES'!$AQ445))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IF('ORDENES'!$A445="","",'ORDENES'!$AD445)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IF('ORDENES'!$A446="","",IF('ORDENES'!$AF446="","-",'ORDENES'!$AF446))</f>
        <v/>
      </c>
      <c r="D468" s="3">
        <f>IF('ORDENES'!$A446="","",IF('ORDENES'!$X446="","-",'ORDENES'!$X446))</f>
        <v/>
      </c>
      <c r="E468" s="3">
        <f>IF('ORDENES'!$A446="","",IF('ORDENES'!$V446="","-",'ORDENES'!$V446))</f>
        <v/>
      </c>
      <c r="F468" s="3">
        <f>IF('ORDENES'!$A446="","",IF('ORDENES'!$Y446="","-",'ORDENES'!$Y446))</f>
        <v/>
      </c>
      <c r="G468" s="3">
        <f>IF('ORDENES'!$A446="","",IF('ORDENES'!$W446="","-",'ORDENES'!$W446))</f>
        <v/>
      </c>
      <c r="H468" s="3">
        <f>IF('ORDENES'!$A446="","",IF('ORDENES'!$AE446="","-",'ORDENES'!$AE446))</f>
        <v/>
      </c>
      <c r="I468" s="3">
        <f>IF('ORDENES'!$A446="","",IF('ORDENES'!$AQ446="","-",'ORDENES'!$AQ446))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IF('ORDENES'!$A446="","",'ORDENES'!$AD446)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IF('ORDENES'!$A447="","",IF('ORDENES'!$AF447="","-",'ORDENES'!$AF447))</f>
        <v/>
      </c>
      <c r="D469" s="3">
        <f>IF('ORDENES'!$A447="","",IF('ORDENES'!$X447="","-",'ORDENES'!$X447))</f>
        <v/>
      </c>
      <c r="E469" s="3">
        <f>IF('ORDENES'!$A447="","",IF('ORDENES'!$V447="","-",'ORDENES'!$V447))</f>
        <v/>
      </c>
      <c r="F469" s="3">
        <f>IF('ORDENES'!$A447="","",IF('ORDENES'!$Y447="","-",'ORDENES'!$Y447))</f>
        <v/>
      </c>
      <c r="G469" s="3">
        <f>IF('ORDENES'!$A447="","",IF('ORDENES'!$W447="","-",'ORDENES'!$W447))</f>
        <v/>
      </c>
      <c r="H469" s="3">
        <f>IF('ORDENES'!$A447="","",IF('ORDENES'!$AE447="","-",'ORDENES'!$AE447))</f>
        <v/>
      </c>
      <c r="I469" s="3">
        <f>IF('ORDENES'!$A447="","",IF('ORDENES'!$AQ447="","-",'ORDENES'!$AQ447))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IF('ORDENES'!$A447="","",'ORDENES'!$AD447)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IF('ORDENES'!$A448="","",IF('ORDENES'!$AF448="","-",'ORDENES'!$AF448))</f>
        <v/>
      </c>
      <c r="D470" s="3">
        <f>IF('ORDENES'!$A448="","",IF('ORDENES'!$X448="","-",'ORDENES'!$X448))</f>
        <v/>
      </c>
      <c r="E470" s="3">
        <f>IF('ORDENES'!$A448="","",IF('ORDENES'!$V448="","-",'ORDENES'!$V448))</f>
        <v/>
      </c>
      <c r="F470" s="3">
        <f>IF('ORDENES'!$A448="","",IF('ORDENES'!$Y448="","-",'ORDENES'!$Y448))</f>
        <v/>
      </c>
      <c r="G470" s="3">
        <f>IF('ORDENES'!$A448="","",IF('ORDENES'!$W448="","-",'ORDENES'!$W448))</f>
        <v/>
      </c>
      <c r="H470" s="3">
        <f>IF('ORDENES'!$A448="","",IF('ORDENES'!$AE448="","-",'ORDENES'!$AE448))</f>
        <v/>
      </c>
      <c r="I470" s="3">
        <f>IF('ORDENES'!$A448="","",IF('ORDENES'!$AQ448="","-",'ORDENES'!$AQ448))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IF('ORDENES'!$A448="","",'ORDENES'!$AD448)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IF('ORDENES'!$A449="","",IF('ORDENES'!$AF449="","-",'ORDENES'!$AF449))</f>
        <v/>
      </c>
      <c r="D471" s="3">
        <f>IF('ORDENES'!$A449="","",IF('ORDENES'!$X449="","-",'ORDENES'!$X449))</f>
        <v/>
      </c>
      <c r="E471" s="3">
        <f>IF('ORDENES'!$A449="","",IF('ORDENES'!$V449="","-",'ORDENES'!$V449))</f>
        <v/>
      </c>
      <c r="F471" s="3">
        <f>IF('ORDENES'!$A449="","",IF('ORDENES'!$Y449="","-",'ORDENES'!$Y449))</f>
        <v/>
      </c>
      <c r="G471" s="3">
        <f>IF('ORDENES'!$A449="","",IF('ORDENES'!$W449="","-",'ORDENES'!$W449))</f>
        <v/>
      </c>
      <c r="H471" s="3">
        <f>IF('ORDENES'!$A449="","",IF('ORDENES'!$AE449="","-",'ORDENES'!$AE449))</f>
        <v/>
      </c>
      <c r="I471" s="3">
        <f>IF('ORDENES'!$A449="","",IF('ORDENES'!$AQ449="","-",'ORDENES'!$AQ449))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IF('ORDENES'!$A449="","",'ORDENES'!$AD449)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IF('ORDENES'!$A450="","",IF('ORDENES'!$AF450="","-",'ORDENES'!$AF450))</f>
        <v/>
      </c>
      <c r="D472" s="3">
        <f>IF('ORDENES'!$A450="","",IF('ORDENES'!$X450="","-",'ORDENES'!$X450))</f>
        <v/>
      </c>
      <c r="E472" s="3">
        <f>IF('ORDENES'!$A450="","",IF('ORDENES'!$V450="","-",'ORDENES'!$V450))</f>
        <v/>
      </c>
      <c r="F472" s="3">
        <f>IF('ORDENES'!$A450="","",IF('ORDENES'!$Y450="","-",'ORDENES'!$Y450))</f>
        <v/>
      </c>
      <c r="G472" s="3">
        <f>IF('ORDENES'!$A450="","",IF('ORDENES'!$W450="","-",'ORDENES'!$W450))</f>
        <v/>
      </c>
      <c r="H472" s="3">
        <f>IF('ORDENES'!$A450="","",IF('ORDENES'!$AE450="","-",'ORDENES'!$AE450))</f>
        <v/>
      </c>
      <c r="I472" s="3">
        <f>IF('ORDENES'!$A450="","",IF('ORDENES'!$AQ450="","-",'ORDENES'!$AQ450))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IF('ORDENES'!$A450="","",'ORDENES'!$AD450)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IF('ORDENES'!$A451="","",IF('ORDENES'!$AF451="","-",'ORDENES'!$AF451))</f>
        <v/>
      </c>
      <c r="D473" s="3">
        <f>IF('ORDENES'!$A451="","",IF('ORDENES'!$X451="","-",'ORDENES'!$X451))</f>
        <v/>
      </c>
      <c r="E473" s="3">
        <f>IF('ORDENES'!$A451="","",IF('ORDENES'!$V451="","-",'ORDENES'!$V451))</f>
        <v/>
      </c>
      <c r="F473" s="3">
        <f>IF('ORDENES'!$A451="","",IF('ORDENES'!$Y451="","-",'ORDENES'!$Y451))</f>
        <v/>
      </c>
      <c r="G473" s="3">
        <f>IF('ORDENES'!$A451="","",IF('ORDENES'!$W451="","-",'ORDENES'!$W451))</f>
        <v/>
      </c>
      <c r="H473" s="3">
        <f>IF('ORDENES'!$A451="","",IF('ORDENES'!$AE451="","-",'ORDENES'!$AE451))</f>
        <v/>
      </c>
      <c r="I473" s="3">
        <f>IF('ORDENES'!$A451="","",IF('ORDENES'!$AQ451="","-",'ORDENES'!$AQ451))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IF('ORDENES'!$A451="","",'ORDENES'!$AD451)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IF('ORDENES'!$A452="","",IF('ORDENES'!$AF452="","-",'ORDENES'!$AF452))</f>
        <v/>
      </c>
      <c r="D474" s="3">
        <f>IF('ORDENES'!$A452="","",IF('ORDENES'!$X452="","-",'ORDENES'!$X452))</f>
        <v/>
      </c>
      <c r="E474" s="3">
        <f>IF('ORDENES'!$A452="","",IF('ORDENES'!$V452="","-",'ORDENES'!$V452))</f>
        <v/>
      </c>
      <c r="F474" s="3">
        <f>IF('ORDENES'!$A452="","",IF('ORDENES'!$Y452="","-",'ORDENES'!$Y452))</f>
        <v/>
      </c>
      <c r="G474" s="3">
        <f>IF('ORDENES'!$A452="","",IF('ORDENES'!$W452="","-",'ORDENES'!$W452))</f>
        <v/>
      </c>
      <c r="H474" s="3">
        <f>IF('ORDENES'!$A452="","",IF('ORDENES'!$AE452="","-",'ORDENES'!$AE452))</f>
        <v/>
      </c>
      <c r="I474" s="3">
        <f>IF('ORDENES'!$A452="","",IF('ORDENES'!$AQ452="","-",'ORDENES'!$AQ452))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IF('ORDENES'!$A452="","",'ORDENES'!$AD452)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IF('ORDENES'!$A453="","",IF('ORDENES'!$AF453="","-",'ORDENES'!$AF453))</f>
        <v/>
      </c>
      <c r="D475" s="3">
        <f>IF('ORDENES'!$A453="","",IF('ORDENES'!$X453="","-",'ORDENES'!$X453))</f>
        <v/>
      </c>
      <c r="E475" s="3">
        <f>IF('ORDENES'!$A453="","",IF('ORDENES'!$V453="","-",'ORDENES'!$V453))</f>
        <v/>
      </c>
      <c r="F475" s="3">
        <f>IF('ORDENES'!$A453="","",IF('ORDENES'!$Y453="","-",'ORDENES'!$Y453))</f>
        <v/>
      </c>
      <c r="G475" s="3">
        <f>IF('ORDENES'!$A453="","",IF('ORDENES'!$W453="","-",'ORDENES'!$W453))</f>
        <v/>
      </c>
      <c r="H475" s="3">
        <f>IF('ORDENES'!$A453="","",IF('ORDENES'!$AE453="","-",'ORDENES'!$AE453))</f>
        <v/>
      </c>
      <c r="I475" s="3">
        <f>IF('ORDENES'!$A453="","",IF('ORDENES'!$AQ453="","-",'ORDENES'!$AQ453))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IF('ORDENES'!$A453="","",'ORDENES'!$AD453)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IF('ORDENES'!$A454="","",IF('ORDENES'!$AF454="","-",'ORDENES'!$AF454))</f>
        <v/>
      </c>
      <c r="D476" s="3">
        <f>IF('ORDENES'!$A454="","",IF('ORDENES'!$X454="","-",'ORDENES'!$X454))</f>
        <v/>
      </c>
      <c r="E476" s="3">
        <f>IF('ORDENES'!$A454="","",IF('ORDENES'!$V454="","-",'ORDENES'!$V454))</f>
        <v/>
      </c>
      <c r="F476" s="3">
        <f>IF('ORDENES'!$A454="","",IF('ORDENES'!$Y454="","-",'ORDENES'!$Y454))</f>
        <v/>
      </c>
      <c r="G476" s="3">
        <f>IF('ORDENES'!$A454="","",IF('ORDENES'!$W454="","-",'ORDENES'!$W454))</f>
        <v/>
      </c>
      <c r="H476" s="3">
        <f>IF('ORDENES'!$A454="","",IF('ORDENES'!$AE454="","-",'ORDENES'!$AE454))</f>
        <v/>
      </c>
      <c r="I476" s="3">
        <f>IF('ORDENES'!$A454="","",IF('ORDENES'!$AQ454="","-",'ORDENES'!$AQ454))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IF('ORDENES'!$A454="","",'ORDENES'!$AD454)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IF('ORDENES'!$A455="","",IF('ORDENES'!$AF455="","-",'ORDENES'!$AF455))</f>
        <v/>
      </c>
      <c r="D477" s="3">
        <f>IF('ORDENES'!$A455="","",IF('ORDENES'!$X455="","-",'ORDENES'!$X455))</f>
        <v/>
      </c>
      <c r="E477" s="3">
        <f>IF('ORDENES'!$A455="","",IF('ORDENES'!$V455="","-",'ORDENES'!$V455))</f>
        <v/>
      </c>
      <c r="F477" s="3">
        <f>IF('ORDENES'!$A455="","",IF('ORDENES'!$Y455="","-",'ORDENES'!$Y455))</f>
        <v/>
      </c>
      <c r="G477" s="3">
        <f>IF('ORDENES'!$A455="","",IF('ORDENES'!$W455="","-",'ORDENES'!$W455))</f>
        <v/>
      </c>
      <c r="H477" s="3">
        <f>IF('ORDENES'!$A455="","",IF('ORDENES'!$AE455="","-",'ORDENES'!$AE455))</f>
        <v/>
      </c>
      <c r="I477" s="3">
        <f>IF('ORDENES'!$A455="","",IF('ORDENES'!$AQ455="","-",'ORDENES'!$AQ455))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IF('ORDENES'!$A455="","",'ORDENES'!$AD455)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IF('ORDENES'!$A456="","",IF('ORDENES'!$AF456="","-",'ORDENES'!$AF456))</f>
        <v/>
      </c>
      <c r="D478" s="3">
        <f>IF('ORDENES'!$A456="","",IF('ORDENES'!$X456="","-",'ORDENES'!$X456))</f>
        <v/>
      </c>
      <c r="E478" s="3">
        <f>IF('ORDENES'!$A456="","",IF('ORDENES'!$V456="","-",'ORDENES'!$V456))</f>
        <v/>
      </c>
      <c r="F478" s="3">
        <f>IF('ORDENES'!$A456="","",IF('ORDENES'!$Y456="","-",'ORDENES'!$Y456))</f>
        <v/>
      </c>
      <c r="G478" s="3">
        <f>IF('ORDENES'!$A456="","",IF('ORDENES'!$W456="","-",'ORDENES'!$W456))</f>
        <v/>
      </c>
      <c r="H478" s="3">
        <f>IF('ORDENES'!$A456="","",IF('ORDENES'!$AE456="","-",'ORDENES'!$AE456))</f>
        <v/>
      </c>
      <c r="I478" s="3">
        <f>IF('ORDENES'!$A456="","",IF('ORDENES'!$AQ456="","-",'ORDENES'!$AQ456))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IF('ORDENES'!$A456="","",'ORDENES'!$AD456)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IF('ORDENES'!$A457="","",IF('ORDENES'!$AF457="","-",'ORDENES'!$AF457))</f>
        <v/>
      </c>
      <c r="D479" s="3">
        <f>IF('ORDENES'!$A457="","",IF('ORDENES'!$X457="","-",'ORDENES'!$X457))</f>
        <v/>
      </c>
      <c r="E479" s="3">
        <f>IF('ORDENES'!$A457="","",IF('ORDENES'!$V457="","-",'ORDENES'!$V457))</f>
        <v/>
      </c>
      <c r="F479" s="3">
        <f>IF('ORDENES'!$A457="","",IF('ORDENES'!$Y457="","-",'ORDENES'!$Y457))</f>
        <v/>
      </c>
      <c r="G479" s="3">
        <f>IF('ORDENES'!$A457="","",IF('ORDENES'!$W457="","-",'ORDENES'!$W457))</f>
        <v/>
      </c>
      <c r="H479" s="3">
        <f>IF('ORDENES'!$A457="","",IF('ORDENES'!$AE457="","-",'ORDENES'!$AE457))</f>
        <v/>
      </c>
      <c r="I479" s="3">
        <f>IF('ORDENES'!$A457="","",IF('ORDENES'!$AQ457="","-",'ORDENES'!$AQ457))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IF('ORDENES'!$A457="","",'ORDENES'!$AD457)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IF('ORDENES'!$A458="","",IF('ORDENES'!$AF458="","-",'ORDENES'!$AF458))</f>
        <v/>
      </c>
      <c r="D480" s="3">
        <f>IF('ORDENES'!$A458="","",IF('ORDENES'!$X458="","-",'ORDENES'!$X458))</f>
        <v/>
      </c>
      <c r="E480" s="3">
        <f>IF('ORDENES'!$A458="","",IF('ORDENES'!$V458="","-",'ORDENES'!$V458))</f>
        <v/>
      </c>
      <c r="F480" s="3">
        <f>IF('ORDENES'!$A458="","",IF('ORDENES'!$Y458="","-",'ORDENES'!$Y458))</f>
        <v/>
      </c>
      <c r="G480" s="3">
        <f>IF('ORDENES'!$A458="","",IF('ORDENES'!$W458="","-",'ORDENES'!$W458))</f>
        <v/>
      </c>
      <c r="H480" s="3">
        <f>IF('ORDENES'!$A458="","",IF('ORDENES'!$AE458="","-",'ORDENES'!$AE458))</f>
        <v/>
      </c>
      <c r="I480" s="3">
        <f>IF('ORDENES'!$A458="","",IF('ORDENES'!$AQ458="","-",'ORDENES'!$AQ458))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IF('ORDENES'!$A458="","",'ORDENES'!$AD458)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IF('ORDENES'!$A459="","",IF('ORDENES'!$AF459="","-",'ORDENES'!$AF459))</f>
        <v/>
      </c>
      <c r="D481" s="3">
        <f>IF('ORDENES'!$A459="","",IF('ORDENES'!$X459="","-",'ORDENES'!$X459))</f>
        <v/>
      </c>
      <c r="E481" s="3">
        <f>IF('ORDENES'!$A459="","",IF('ORDENES'!$V459="","-",'ORDENES'!$V459))</f>
        <v/>
      </c>
      <c r="F481" s="3">
        <f>IF('ORDENES'!$A459="","",IF('ORDENES'!$Y459="","-",'ORDENES'!$Y459))</f>
        <v/>
      </c>
      <c r="G481" s="3">
        <f>IF('ORDENES'!$A459="","",IF('ORDENES'!$W459="","-",'ORDENES'!$W459))</f>
        <v/>
      </c>
      <c r="H481" s="3">
        <f>IF('ORDENES'!$A459="","",IF('ORDENES'!$AE459="","-",'ORDENES'!$AE459))</f>
        <v/>
      </c>
      <c r="I481" s="3">
        <f>IF('ORDENES'!$A459="","",IF('ORDENES'!$AQ459="","-",'ORDENES'!$AQ459))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IF('ORDENES'!$A459="","",'ORDENES'!$AD459)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IF('ORDENES'!$A460="","",IF('ORDENES'!$AF460="","-",'ORDENES'!$AF460))</f>
        <v/>
      </c>
      <c r="D482" s="3">
        <f>IF('ORDENES'!$A460="","",IF('ORDENES'!$X460="","-",'ORDENES'!$X460))</f>
        <v/>
      </c>
      <c r="E482" s="3">
        <f>IF('ORDENES'!$A460="","",IF('ORDENES'!$V460="","-",'ORDENES'!$V460))</f>
        <v/>
      </c>
      <c r="F482" s="3">
        <f>IF('ORDENES'!$A460="","",IF('ORDENES'!$Y460="","-",'ORDENES'!$Y460))</f>
        <v/>
      </c>
      <c r="G482" s="3">
        <f>IF('ORDENES'!$A460="","",IF('ORDENES'!$W460="","-",'ORDENES'!$W460))</f>
        <v/>
      </c>
      <c r="H482" s="3">
        <f>IF('ORDENES'!$A460="","",IF('ORDENES'!$AE460="","-",'ORDENES'!$AE460))</f>
        <v/>
      </c>
      <c r="I482" s="3">
        <f>IF('ORDENES'!$A460="","",IF('ORDENES'!$AQ460="","-",'ORDENES'!$AQ460))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IF('ORDENES'!$A460="","",'ORDENES'!$AD460)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IF('ORDENES'!$A461="","",IF('ORDENES'!$AF461="","-",'ORDENES'!$AF461))</f>
        <v/>
      </c>
      <c r="D483" s="3">
        <f>IF('ORDENES'!$A461="","",IF('ORDENES'!$X461="","-",'ORDENES'!$X461))</f>
        <v/>
      </c>
      <c r="E483" s="3">
        <f>IF('ORDENES'!$A461="","",IF('ORDENES'!$V461="","-",'ORDENES'!$V461))</f>
        <v/>
      </c>
      <c r="F483" s="3">
        <f>IF('ORDENES'!$A461="","",IF('ORDENES'!$Y461="","-",'ORDENES'!$Y461))</f>
        <v/>
      </c>
      <c r="G483" s="3">
        <f>IF('ORDENES'!$A461="","",IF('ORDENES'!$W461="","-",'ORDENES'!$W461))</f>
        <v/>
      </c>
      <c r="H483" s="3">
        <f>IF('ORDENES'!$A461="","",IF('ORDENES'!$AE461="","-",'ORDENES'!$AE461))</f>
        <v/>
      </c>
      <c r="I483" s="3">
        <f>IF('ORDENES'!$A461="","",IF('ORDENES'!$AQ461="","-",'ORDENES'!$AQ461))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IF('ORDENES'!$A461="","",'ORDENES'!$AD461)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IF('ORDENES'!$A462="","",IF('ORDENES'!$AF462="","-",'ORDENES'!$AF462))</f>
        <v/>
      </c>
      <c r="D484" s="3">
        <f>IF('ORDENES'!$A462="","",IF('ORDENES'!$X462="","-",'ORDENES'!$X462))</f>
        <v/>
      </c>
      <c r="E484" s="3">
        <f>IF('ORDENES'!$A462="","",IF('ORDENES'!$V462="","-",'ORDENES'!$V462))</f>
        <v/>
      </c>
      <c r="F484" s="3">
        <f>IF('ORDENES'!$A462="","",IF('ORDENES'!$Y462="","-",'ORDENES'!$Y462))</f>
        <v/>
      </c>
      <c r="G484" s="3">
        <f>IF('ORDENES'!$A462="","",IF('ORDENES'!$W462="","-",'ORDENES'!$W462))</f>
        <v/>
      </c>
      <c r="H484" s="3">
        <f>IF('ORDENES'!$A462="","",IF('ORDENES'!$AE462="","-",'ORDENES'!$AE462))</f>
        <v/>
      </c>
      <c r="I484" s="3">
        <f>IF('ORDENES'!$A462="","",IF('ORDENES'!$AQ462="","-",'ORDENES'!$AQ462))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IF('ORDENES'!$A462="","",'ORDENES'!$AD462)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IF('ORDENES'!$A463="","",IF('ORDENES'!$AF463="","-",'ORDENES'!$AF463))</f>
        <v/>
      </c>
      <c r="D485" s="3">
        <f>IF('ORDENES'!$A463="","",IF('ORDENES'!$X463="","-",'ORDENES'!$X463))</f>
        <v/>
      </c>
      <c r="E485" s="3">
        <f>IF('ORDENES'!$A463="","",IF('ORDENES'!$V463="","-",'ORDENES'!$V463))</f>
        <v/>
      </c>
      <c r="F485" s="3">
        <f>IF('ORDENES'!$A463="","",IF('ORDENES'!$Y463="","-",'ORDENES'!$Y463))</f>
        <v/>
      </c>
      <c r="G485" s="3">
        <f>IF('ORDENES'!$A463="","",IF('ORDENES'!$W463="","-",'ORDENES'!$W463))</f>
        <v/>
      </c>
      <c r="H485" s="3">
        <f>IF('ORDENES'!$A463="","",IF('ORDENES'!$AE463="","-",'ORDENES'!$AE463))</f>
        <v/>
      </c>
      <c r="I485" s="3">
        <f>IF('ORDENES'!$A463="","",IF('ORDENES'!$AQ463="","-",'ORDENES'!$AQ463))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IF('ORDENES'!$A463="","",'ORDENES'!$AD463)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IF('ORDENES'!$A464="","",IF('ORDENES'!$AF464="","-",'ORDENES'!$AF464))</f>
        <v/>
      </c>
      <c r="D486" s="3">
        <f>IF('ORDENES'!$A464="","",IF('ORDENES'!$X464="","-",'ORDENES'!$X464))</f>
        <v/>
      </c>
      <c r="E486" s="3">
        <f>IF('ORDENES'!$A464="","",IF('ORDENES'!$V464="","-",'ORDENES'!$V464))</f>
        <v/>
      </c>
      <c r="F486" s="3">
        <f>IF('ORDENES'!$A464="","",IF('ORDENES'!$Y464="","-",'ORDENES'!$Y464))</f>
        <v/>
      </c>
      <c r="G486" s="3">
        <f>IF('ORDENES'!$A464="","",IF('ORDENES'!$W464="","-",'ORDENES'!$W464))</f>
        <v/>
      </c>
      <c r="H486" s="3">
        <f>IF('ORDENES'!$A464="","",IF('ORDENES'!$AE464="","-",'ORDENES'!$AE464))</f>
        <v/>
      </c>
      <c r="I486" s="3">
        <f>IF('ORDENES'!$A464="","",IF('ORDENES'!$AQ464="","-",'ORDENES'!$AQ464))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IF('ORDENES'!$A464="","",'ORDENES'!$AD464)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IF('ORDENES'!$A465="","",IF('ORDENES'!$AF465="","-",'ORDENES'!$AF465))</f>
        <v/>
      </c>
      <c r="D487" s="3">
        <f>IF('ORDENES'!$A465="","",IF('ORDENES'!$X465="","-",'ORDENES'!$X465))</f>
        <v/>
      </c>
      <c r="E487" s="3">
        <f>IF('ORDENES'!$A465="","",IF('ORDENES'!$V465="","-",'ORDENES'!$V465))</f>
        <v/>
      </c>
      <c r="F487" s="3">
        <f>IF('ORDENES'!$A465="","",IF('ORDENES'!$Y465="","-",'ORDENES'!$Y465))</f>
        <v/>
      </c>
      <c r="G487" s="3">
        <f>IF('ORDENES'!$A465="","",IF('ORDENES'!$W465="","-",'ORDENES'!$W465))</f>
        <v/>
      </c>
      <c r="H487" s="3">
        <f>IF('ORDENES'!$A465="","",IF('ORDENES'!$AE465="","-",'ORDENES'!$AE465))</f>
        <v/>
      </c>
      <c r="I487" s="3">
        <f>IF('ORDENES'!$A465="","",IF('ORDENES'!$AQ465="","-",'ORDENES'!$AQ465))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IF('ORDENES'!$A465="","",'ORDENES'!$AD465)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IF('ORDENES'!$A466="","",IF('ORDENES'!$AF466="","-",'ORDENES'!$AF466))</f>
        <v/>
      </c>
      <c r="D488" s="3">
        <f>IF('ORDENES'!$A466="","",IF('ORDENES'!$X466="","-",'ORDENES'!$X466))</f>
        <v/>
      </c>
      <c r="E488" s="3">
        <f>IF('ORDENES'!$A466="","",IF('ORDENES'!$V466="","-",'ORDENES'!$V466))</f>
        <v/>
      </c>
      <c r="F488" s="3">
        <f>IF('ORDENES'!$A466="","",IF('ORDENES'!$Y466="","-",'ORDENES'!$Y466))</f>
        <v/>
      </c>
      <c r="G488" s="3">
        <f>IF('ORDENES'!$A466="","",IF('ORDENES'!$W466="","-",'ORDENES'!$W466))</f>
        <v/>
      </c>
      <c r="H488" s="3">
        <f>IF('ORDENES'!$A466="","",IF('ORDENES'!$AE466="","-",'ORDENES'!$AE466))</f>
        <v/>
      </c>
      <c r="I488" s="3">
        <f>IF('ORDENES'!$A466="","",IF('ORDENES'!$AQ466="","-",'ORDENES'!$AQ466))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IF('ORDENES'!$A466="","",'ORDENES'!$AD466)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IF('ORDENES'!$A467="","",IF('ORDENES'!$AF467="","-",'ORDENES'!$AF467))</f>
        <v/>
      </c>
      <c r="D489" s="3">
        <f>IF('ORDENES'!$A467="","",IF('ORDENES'!$X467="","-",'ORDENES'!$X467))</f>
        <v/>
      </c>
      <c r="E489" s="3">
        <f>IF('ORDENES'!$A467="","",IF('ORDENES'!$V467="","-",'ORDENES'!$V467))</f>
        <v/>
      </c>
      <c r="F489" s="3">
        <f>IF('ORDENES'!$A467="","",IF('ORDENES'!$Y467="","-",'ORDENES'!$Y467))</f>
        <v/>
      </c>
      <c r="G489" s="3">
        <f>IF('ORDENES'!$A467="","",IF('ORDENES'!$W467="","-",'ORDENES'!$W467))</f>
        <v/>
      </c>
      <c r="H489" s="3">
        <f>IF('ORDENES'!$A467="","",IF('ORDENES'!$AE467="","-",'ORDENES'!$AE467))</f>
        <v/>
      </c>
      <c r="I489" s="3">
        <f>IF('ORDENES'!$A467="","",IF('ORDENES'!$AQ467="","-",'ORDENES'!$AQ467))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IF('ORDENES'!$A467="","",'ORDENES'!$AD467)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IF('ORDENES'!$A468="","",IF('ORDENES'!$AF468="","-",'ORDENES'!$AF468))</f>
        <v/>
      </c>
      <c r="D490" s="3">
        <f>IF('ORDENES'!$A468="","",IF('ORDENES'!$X468="","-",'ORDENES'!$X468))</f>
        <v/>
      </c>
      <c r="E490" s="3">
        <f>IF('ORDENES'!$A468="","",IF('ORDENES'!$V468="","-",'ORDENES'!$V468))</f>
        <v/>
      </c>
      <c r="F490" s="3">
        <f>IF('ORDENES'!$A468="","",IF('ORDENES'!$Y468="","-",'ORDENES'!$Y468))</f>
        <v/>
      </c>
      <c r="G490" s="3">
        <f>IF('ORDENES'!$A468="","",IF('ORDENES'!$W468="","-",'ORDENES'!$W468))</f>
        <v/>
      </c>
      <c r="H490" s="3">
        <f>IF('ORDENES'!$A468="","",IF('ORDENES'!$AE468="","-",'ORDENES'!$AE468))</f>
        <v/>
      </c>
      <c r="I490" s="3">
        <f>IF('ORDENES'!$A468="","",IF('ORDENES'!$AQ468="","-",'ORDENES'!$AQ468))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IF('ORDENES'!$A468="","",'ORDENES'!$AD468)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IF('ORDENES'!$A469="","",IF('ORDENES'!$AF469="","-",'ORDENES'!$AF469))</f>
        <v/>
      </c>
      <c r="D491" s="3">
        <f>IF('ORDENES'!$A469="","",IF('ORDENES'!$X469="","-",'ORDENES'!$X469))</f>
        <v/>
      </c>
      <c r="E491" s="3">
        <f>IF('ORDENES'!$A469="","",IF('ORDENES'!$V469="","-",'ORDENES'!$V469))</f>
        <v/>
      </c>
      <c r="F491" s="3">
        <f>IF('ORDENES'!$A469="","",IF('ORDENES'!$Y469="","-",'ORDENES'!$Y469))</f>
        <v/>
      </c>
      <c r="G491" s="3">
        <f>IF('ORDENES'!$A469="","",IF('ORDENES'!$W469="","-",'ORDENES'!$W469))</f>
        <v/>
      </c>
      <c r="H491" s="3">
        <f>IF('ORDENES'!$A469="","",IF('ORDENES'!$AE469="","-",'ORDENES'!$AE469))</f>
        <v/>
      </c>
      <c r="I491" s="3">
        <f>IF('ORDENES'!$A469="","",IF('ORDENES'!$AQ469="","-",'ORDENES'!$AQ469))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IF('ORDENES'!$A469="","",'ORDENES'!$AD469)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IF('ORDENES'!$A470="","",IF('ORDENES'!$AF470="","-",'ORDENES'!$AF470))</f>
        <v/>
      </c>
      <c r="D492" s="3">
        <f>IF('ORDENES'!$A470="","",IF('ORDENES'!$X470="","-",'ORDENES'!$X470))</f>
        <v/>
      </c>
      <c r="E492" s="3">
        <f>IF('ORDENES'!$A470="","",IF('ORDENES'!$V470="","-",'ORDENES'!$V470))</f>
        <v/>
      </c>
      <c r="F492" s="3">
        <f>IF('ORDENES'!$A470="","",IF('ORDENES'!$Y470="","-",'ORDENES'!$Y470))</f>
        <v/>
      </c>
      <c r="G492" s="3">
        <f>IF('ORDENES'!$A470="","",IF('ORDENES'!$W470="","-",'ORDENES'!$W470))</f>
        <v/>
      </c>
      <c r="H492" s="3">
        <f>IF('ORDENES'!$A470="","",IF('ORDENES'!$AE470="","-",'ORDENES'!$AE470))</f>
        <v/>
      </c>
      <c r="I492" s="3">
        <f>IF('ORDENES'!$A470="","",IF('ORDENES'!$AQ470="","-",'ORDENES'!$AQ470))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IF('ORDENES'!$A470="","",'ORDENES'!$AD470)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IF('ORDENES'!$A471="","",IF('ORDENES'!$AF471="","-",'ORDENES'!$AF471))</f>
        <v/>
      </c>
      <c r="D493" s="3">
        <f>IF('ORDENES'!$A471="","",IF('ORDENES'!$X471="","-",'ORDENES'!$X471))</f>
        <v/>
      </c>
      <c r="E493" s="3">
        <f>IF('ORDENES'!$A471="","",IF('ORDENES'!$V471="","-",'ORDENES'!$V471))</f>
        <v/>
      </c>
      <c r="F493" s="3">
        <f>IF('ORDENES'!$A471="","",IF('ORDENES'!$Y471="","-",'ORDENES'!$Y471))</f>
        <v/>
      </c>
      <c r="G493" s="3">
        <f>IF('ORDENES'!$A471="","",IF('ORDENES'!$W471="","-",'ORDENES'!$W471))</f>
        <v/>
      </c>
      <c r="H493" s="3">
        <f>IF('ORDENES'!$A471="","",IF('ORDENES'!$AE471="","-",'ORDENES'!$AE471))</f>
        <v/>
      </c>
      <c r="I493" s="3">
        <f>IF('ORDENES'!$A471="","",IF('ORDENES'!$AQ471="","-",'ORDENES'!$AQ471))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IF('ORDENES'!$A471="","",'ORDENES'!$AD471)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IF('ORDENES'!$A472="","",IF('ORDENES'!$AF472="","-",'ORDENES'!$AF472))</f>
        <v/>
      </c>
      <c r="D494" s="3">
        <f>IF('ORDENES'!$A472="","",IF('ORDENES'!$X472="","-",'ORDENES'!$X472))</f>
        <v/>
      </c>
      <c r="E494" s="3">
        <f>IF('ORDENES'!$A472="","",IF('ORDENES'!$V472="","-",'ORDENES'!$V472))</f>
        <v/>
      </c>
      <c r="F494" s="3">
        <f>IF('ORDENES'!$A472="","",IF('ORDENES'!$Y472="","-",'ORDENES'!$Y472))</f>
        <v/>
      </c>
      <c r="G494" s="3">
        <f>IF('ORDENES'!$A472="","",IF('ORDENES'!$W472="","-",'ORDENES'!$W472))</f>
        <v/>
      </c>
      <c r="H494" s="3">
        <f>IF('ORDENES'!$A472="","",IF('ORDENES'!$AE472="","-",'ORDENES'!$AE472))</f>
        <v/>
      </c>
      <c r="I494" s="3">
        <f>IF('ORDENES'!$A472="","",IF('ORDENES'!$AQ472="","-",'ORDENES'!$AQ472))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IF('ORDENES'!$A472="","",'ORDENES'!$AD472)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IF('ORDENES'!$A473="","",IF('ORDENES'!$AF473="","-",'ORDENES'!$AF473))</f>
        <v/>
      </c>
      <c r="D495" s="3">
        <f>IF('ORDENES'!$A473="","",IF('ORDENES'!$X473="","-",'ORDENES'!$X473))</f>
        <v/>
      </c>
      <c r="E495" s="3">
        <f>IF('ORDENES'!$A473="","",IF('ORDENES'!$V473="","-",'ORDENES'!$V473))</f>
        <v/>
      </c>
      <c r="F495" s="3">
        <f>IF('ORDENES'!$A473="","",IF('ORDENES'!$Y473="","-",'ORDENES'!$Y473))</f>
        <v/>
      </c>
      <c r="G495" s="3">
        <f>IF('ORDENES'!$A473="","",IF('ORDENES'!$W473="","-",'ORDENES'!$W473))</f>
        <v/>
      </c>
      <c r="H495" s="3">
        <f>IF('ORDENES'!$A473="","",IF('ORDENES'!$AE473="","-",'ORDENES'!$AE473))</f>
        <v/>
      </c>
      <c r="I495" s="3">
        <f>IF('ORDENES'!$A473="","",IF('ORDENES'!$AQ473="","-",'ORDENES'!$AQ473))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IF('ORDENES'!$A473="","",'ORDENES'!$AD473)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IF('ORDENES'!$A474="","",IF('ORDENES'!$AF474="","-",'ORDENES'!$AF474))</f>
        <v/>
      </c>
      <c r="D496" s="3">
        <f>IF('ORDENES'!$A474="","",IF('ORDENES'!$X474="","-",'ORDENES'!$X474))</f>
        <v/>
      </c>
      <c r="E496" s="3">
        <f>IF('ORDENES'!$A474="","",IF('ORDENES'!$V474="","-",'ORDENES'!$V474))</f>
        <v/>
      </c>
      <c r="F496" s="3">
        <f>IF('ORDENES'!$A474="","",IF('ORDENES'!$Y474="","-",'ORDENES'!$Y474))</f>
        <v/>
      </c>
      <c r="G496" s="3">
        <f>IF('ORDENES'!$A474="","",IF('ORDENES'!$W474="","-",'ORDENES'!$W474))</f>
        <v/>
      </c>
      <c r="H496" s="3">
        <f>IF('ORDENES'!$A474="","",IF('ORDENES'!$AE474="","-",'ORDENES'!$AE474))</f>
        <v/>
      </c>
      <c r="I496" s="3">
        <f>IF('ORDENES'!$A474="","",IF('ORDENES'!$AQ474="","-",'ORDENES'!$AQ474))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IF('ORDENES'!$A474="","",'ORDENES'!$AD474)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IF('ORDENES'!$A475="","",IF('ORDENES'!$AF475="","-",'ORDENES'!$AF475))</f>
        <v/>
      </c>
      <c r="D497" s="3">
        <f>IF('ORDENES'!$A475="","",IF('ORDENES'!$X475="","-",'ORDENES'!$X475))</f>
        <v/>
      </c>
      <c r="E497" s="3">
        <f>IF('ORDENES'!$A475="","",IF('ORDENES'!$V475="","-",'ORDENES'!$V475))</f>
        <v/>
      </c>
      <c r="F497" s="3">
        <f>IF('ORDENES'!$A475="","",IF('ORDENES'!$Y475="","-",'ORDENES'!$Y475))</f>
        <v/>
      </c>
      <c r="G497" s="3">
        <f>IF('ORDENES'!$A475="","",IF('ORDENES'!$W475="","-",'ORDENES'!$W475))</f>
        <v/>
      </c>
      <c r="H497" s="3">
        <f>IF('ORDENES'!$A475="","",IF('ORDENES'!$AE475="","-",'ORDENES'!$AE475))</f>
        <v/>
      </c>
      <c r="I497" s="3">
        <f>IF('ORDENES'!$A475="","",IF('ORDENES'!$AQ475="","-",'ORDENES'!$AQ475))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IF('ORDENES'!$A475="","",'ORDENES'!$AD475)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IF('ORDENES'!$A476="","",IF('ORDENES'!$AF476="","-",'ORDENES'!$AF476))</f>
        <v/>
      </c>
      <c r="D498" s="3">
        <f>IF('ORDENES'!$A476="","",IF('ORDENES'!$X476="","-",'ORDENES'!$X476))</f>
        <v/>
      </c>
      <c r="E498" s="3">
        <f>IF('ORDENES'!$A476="","",IF('ORDENES'!$V476="","-",'ORDENES'!$V476))</f>
        <v/>
      </c>
      <c r="F498" s="3">
        <f>IF('ORDENES'!$A476="","",IF('ORDENES'!$Y476="","-",'ORDENES'!$Y476))</f>
        <v/>
      </c>
      <c r="G498" s="3">
        <f>IF('ORDENES'!$A476="","",IF('ORDENES'!$W476="","-",'ORDENES'!$W476))</f>
        <v/>
      </c>
      <c r="H498" s="3">
        <f>IF('ORDENES'!$A476="","",IF('ORDENES'!$AE476="","-",'ORDENES'!$AE476))</f>
        <v/>
      </c>
      <c r="I498" s="3">
        <f>IF('ORDENES'!$A476="","",IF('ORDENES'!$AQ476="","-",'ORDENES'!$AQ476))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IF('ORDENES'!$A476="","",'ORDENES'!$AD476)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IF('ORDENES'!$A477="","",IF('ORDENES'!$AF477="","-",'ORDENES'!$AF477))</f>
        <v/>
      </c>
      <c r="D499" s="3">
        <f>IF('ORDENES'!$A477="","",IF('ORDENES'!$X477="","-",'ORDENES'!$X477))</f>
        <v/>
      </c>
      <c r="E499" s="3">
        <f>IF('ORDENES'!$A477="","",IF('ORDENES'!$V477="","-",'ORDENES'!$V477))</f>
        <v/>
      </c>
      <c r="F499" s="3">
        <f>IF('ORDENES'!$A477="","",IF('ORDENES'!$Y477="","-",'ORDENES'!$Y477))</f>
        <v/>
      </c>
      <c r="G499" s="3">
        <f>IF('ORDENES'!$A477="","",IF('ORDENES'!$W477="","-",'ORDENES'!$W477))</f>
        <v/>
      </c>
      <c r="H499" s="3">
        <f>IF('ORDENES'!$A477="","",IF('ORDENES'!$AE477="","-",'ORDENES'!$AE477))</f>
        <v/>
      </c>
      <c r="I499" s="3">
        <f>IF('ORDENES'!$A477="","",IF('ORDENES'!$AQ477="","-",'ORDENES'!$AQ477))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IF('ORDENES'!$A477="","",'ORDENES'!$AD477)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IF('ORDENES'!$A478="","",IF('ORDENES'!$AF478="","-",'ORDENES'!$AF478))</f>
        <v/>
      </c>
      <c r="D500" s="3">
        <f>IF('ORDENES'!$A478="","",IF('ORDENES'!$X478="","-",'ORDENES'!$X478))</f>
        <v/>
      </c>
      <c r="E500" s="3">
        <f>IF('ORDENES'!$A478="","",IF('ORDENES'!$V478="","-",'ORDENES'!$V478))</f>
        <v/>
      </c>
      <c r="F500" s="3">
        <f>IF('ORDENES'!$A478="","",IF('ORDENES'!$Y478="","-",'ORDENES'!$Y478))</f>
        <v/>
      </c>
      <c r="G500" s="3">
        <f>IF('ORDENES'!$A478="","",IF('ORDENES'!$W478="","-",'ORDENES'!$W478))</f>
        <v/>
      </c>
      <c r="H500" s="3">
        <f>IF('ORDENES'!$A478="","",IF('ORDENES'!$AE478="","-",'ORDENES'!$AE478))</f>
        <v/>
      </c>
      <c r="I500" s="3">
        <f>IF('ORDENES'!$A478="","",IF('ORDENES'!$AQ478="","-",'ORDENES'!$AQ478))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IF('ORDENES'!$A478="","",'ORDENES'!$AD478)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IF('ORDENES'!$A479="","",IF('ORDENES'!$AF479="","-",'ORDENES'!$AF479))</f>
        <v/>
      </c>
      <c r="D501" s="3">
        <f>IF('ORDENES'!$A479="","",IF('ORDENES'!$X479="","-",'ORDENES'!$X479))</f>
        <v/>
      </c>
      <c r="E501" s="3">
        <f>IF('ORDENES'!$A479="","",IF('ORDENES'!$V479="","-",'ORDENES'!$V479))</f>
        <v/>
      </c>
      <c r="F501" s="3">
        <f>IF('ORDENES'!$A479="","",IF('ORDENES'!$Y479="","-",'ORDENES'!$Y479))</f>
        <v/>
      </c>
      <c r="G501" s="3">
        <f>IF('ORDENES'!$A479="","",IF('ORDENES'!$W479="","-",'ORDENES'!$W479))</f>
        <v/>
      </c>
      <c r="H501" s="3">
        <f>IF('ORDENES'!$A479="","",IF('ORDENES'!$AE479="","-",'ORDENES'!$AE479))</f>
        <v/>
      </c>
      <c r="I501" s="3">
        <f>IF('ORDENES'!$A479="","",IF('ORDENES'!$AQ479="","-",'ORDENES'!$AQ479))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IF('ORDENES'!$A479="","",'ORDENES'!$AD479)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IF('ORDENES'!$A480="","",IF('ORDENES'!$AF480="","-",'ORDENES'!$AF480))</f>
        <v/>
      </c>
      <c r="D502" s="3">
        <f>IF('ORDENES'!$A480="","",IF('ORDENES'!$X480="","-",'ORDENES'!$X480))</f>
        <v/>
      </c>
      <c r="E502" s="3">
        <f>IF('ORDENES'!$A480="","",IF('ORDENES'!$V480="","-",'ORDENES'!$V480))</f>
        <v/>
      </c>
      <c r="F502" s="3">
        <f>IF('ORDENES'!$A480="","",IF('ORDENES'!$Y480="","-",'ORDENES'!$Y480))</f>
        <v/>
      </c>
      <c r="G502" s="3">
        <f>IF('ORDENES'!$A480="","",IF('ORDENES'!$W480="","-",'ORDENES'!$W480))</f>
        <v/>
      </c>
      <c r="H502" s="3">
        <f>IF('ORDENES'!$A480="","",IF('ORDENES'!$AE480="","-",'ORDENES'!$AE480))</f>
        <v/>
      </c>
      <c r="I502" s="3">
        <f>IF('ORDENES'!$A480="","",IF('ORDENES'!$AQ480="","-",'ORDENES'!$AQ480))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IF('ORDENES'!$A480="","",'ORDENES'!$AD480)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IF('ORDENES'!$A481="","",IF('ORDENES'!$AF481="","-",'ORDENES'!$AF481))</f>
        <v/>
      </c>
      <c r="D503" s="3">
        <f>IF('ORDENES'!$A481="","",IF('ORDENES'!$X481="","-",'ORDENES'!$X481))</f>
        <v/>
      </c>
      <c r="E503" s="3">
        <f>IF('ORDENES'!$A481="","",IF('ORDENES'!$V481="","-",'ORDENES'!$V481))</f>
        <v/>
      </c>
      <c r="F503" s="3">
        <f>IF('ORDENES'!$A481="","",IF('ORDENES'!$Y481="","-",'ORDENES'!$Y481))</f>
        <v/>
      </c>
      <c r="G503" s="3">
        <f>IF('ORDENES'!$A481="","",IF('ORDENES'!$W481="","-",'ORDENES'!$W481))</f>
        <v/>
      </c>
      <c r="H503" s="3">
        <f>IF('ORDENES'!$A481="","",IF('ORDENES'!$AE481="","-",'ORDENES'!$AE481))</f>
        <v/>
      </c>
      <c r="I503" s="3">
        <f>IF('ORDENES'!$A481="","",IF('ORDENES'!$AQ481="","-",'ORDENES'!$AQ481))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IF('ORDENES'!$A481="","",'ORDENES'!$AD481)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IF('ORDENES'!$A482="","",IF('ORDENES'!$AF482="","-",'ORDENES'!$AF482))</f>
        <v/>
      </c>
      <c r="D504" s="3">
        <f>IF('ORDENES'!$A482="","",IF('ORDENES'!$X482="","-",'ORDENES'!$X482))</f>
        <v/>
      </c>
      <c r="E504" s="3">
        <f>IF('ORDENES'!$A482="","",IF('ORDENES'!$V482="","-",'ORDENES'!$V482))</f>
        <v/>
      </c>
      <c r="F504" s="3">
        <f>IF('ORDENES'!$A482="","",IF('ORDENES'!$Y482="","-",'ORDENES'!$Y482))</f>
        <v/>
      </c>
      <c r="G504" s="3">
        <f>IF('ORDENES'!$A482="","",IF('ORDENES'!$W482="","-",'ORDENES'!$W482))</f>
        <v/>
      </c>
      <c r="H504" s="3">
        <f>IF('ORDENES'!$A482="","",IF('ORDENES'!$AE482="","-",'ORDENES'!$AE482))</f>
        <v/>
      </c>
      <c r="I504" s="3">
        <f>IF('ORDENES'!$A482="","",IF('ORDENES'!$AQ482="","-",'ORDENES'!$AQ482))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IF('ORDENES'!$A482="","",'ORDENES'!$AD482)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IF('ORDENES'!$A483="","",IF('ORDENES'!$AF483="","-",'ORDENES'!$AF483))</f>
        <v/>
      </c>
      <c r="D505" s="3">
        <f>IF('ORDENES'!$A483="","",IF('ORDENES'!$X483="","-",'ORDENES'!$X483))</f>
        <v/>
      </c>
      <c r="E505" s="3">
        <f>IF('ORDENES'!$A483="","",IF('ORDENES'!$V483="","-",'ORDENES'!$V483))</f>
        <v/>
      </c>
      <c r="F505" s="3">
        <f>IF('ORDENES'!$A483="","",IF('ORDENES'!$Y483="","-",'ORDENES'!$Y483))</f>
        <v/>
      </c>
      <c r="G505" s="3">
        <f>IF('ORDENES'!$A483="","",IF('ORDENES'!$W483="","-",'ORDENES'!$W483))</f>
        <v/>
      </c>
      <c r="H505" s="3">
        <f>IF('ORDENES'!$A483="","",IF('ORDENES'!$AE483="","-",'ORDENES'!$AE483))</f>
        <v/>
      </c>
      <c r="I505" s="3">
        <f>IF('ORDENES'!$A483="","",IF('ORDENES'!$AQ483="","-",'ORDENES'!$AQ483))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IF('ORDENES'!$A483="","",'ORDENES'!$AD483)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IF('ORDENES'!$A484="","",IF('ORDENES'!$AF484="","-",'ORDENES'!$AF484))</f>
        <v/>
      </c>
      <c r="D506" s="3">
        <f>IF('ORDENES'!$A484="","",IF('ORDENES'!$X484="","-",'ORDENES'!$X484))</f>
        <v/>
      </c>
      <c r="E506" s="3">
        <f>IF('ORDENES'!$A484="","",IF('ORDENES'!$V484="","-",'ORDENES'!$V484))</f>
        <v/>
      </c>
      <c r="F506" s="3">
        <f>IF('ORDENES'!$A484="","",IF('ORDENES'!$Y484="","-",'ORDENES'!$Y484))</f>
        <v/>
      </c>
      <c r="G506" s="3">
        <f>IF('ORDENES'!$A484="","",IF('ORDENES'!$W484="","-",'ORDENES'!$W484))</f>
        <v/>
      </c>
      <c r="H506" s="3">
        <f>IF('ORDENES'!$A484="","",IF('ORDENES'!$AE484="","-",'ORDENES'!$AE484))</f>
        <v/>
      </c>
      <c r="I506" s="3">
        <f>IF('ORDENES'!$A484="","",IF('ORDENES'!$AQ484="","-",'ORDENES'!$AQ484))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IF('ORDENES'!$A484="","",'ORDENES'!$AD484)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IF('ORDENES'!$A485="","",IF('ORDENES'!$AF485="","-",'ORDENES'!$AF485))</f>
        <v/>
      </c>
      <c r="D507" s="3">
        <f>IF('ORDENES'!$A485="","",IF('ORDENES'!$X485="","-",'ORDENES'!$X485))</f>
        <v/>
      </c>
      <c r="E507" s="3">
        <f>IF('ORDENES'!$A485="","",IF('ORDENES'!$V485="","-",'ORDENES'!$V485))</f>
        <v/>
      </c>
      <c r="F507" s="3">
        <f>IF('ORDENES'!$A485="","",IF('ORDENES'!$Y485="","-",'ORDENES'!$Y485))</f>
        <v/>
      </c>
      <c r="G507" s="3">
        <f>IF('ORDENES'!$A485="","",IF('ORDENES'!$W485="","-",'ORDENES'!$W485))</f>
        <v/>
      </c>
      <c r="H507" s="3">
        <f>IF('ORDENES'!$A485="","",IF('ORDENES'!$AE485="","-",'ORDENES'!$AE485))</f>
        <v/>
      </c>
      <c r="I507" s="3">
        <f>IF('ORDENES'!$A485="","",IF('ORDENES'!$AQ485="","-",'ORDENES'!$AQ485))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IF('ORDENES'!$A485="","",'ORDENES'!$AD485)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IF('ORDENES'!$A486="","",IF('ORDENES'!$AF486="","-",'ORDENES'!$AF486))</f>
        <v/>
      </c>
      <c r="D508" s="3">
        <f>IF('ORDENES'!$A486="","",IF('ORDENES'!$X486="","-",'ORDENES'!$X486))</f>
        <v/>
      </c>
      <c r="E508" s="3">
        <f>IF('ORDENES'!$A486="","",IF('ORDENES'!$V486="","-",'ORDENES'!$V486))</f>
        <v/>
      </c>
      <c r="F508" s="3">
        <f>IF('ORDENES'!$A486="","",IF('ORDENES'!$Y486="","-",'ORDENES'!$Y486))</f>
        <v/>
      </c>
      <c r="G508" s="3">
        <f>IF('ORDENES'!$A486="","",IF('ORDENES'!$W486="","-",'ORDENES'!$W486))</f>
        <v/>
      </c>
      <c r="H508" s="3">
        <f>IF('ORDENES'!$A486="","",IF('ORDENES'!$AE486="","-",'ORDENES'!$AE486))</f>
        <v/>
      </c>
      <c r="I508" s="3">
        <f>IF('ORDENES'!$A486="","",IF('ORDENES'!$AQ486="","-",'ORDENES'!$AQ486))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IF('ORDENES'!$A486="","",'ORDENES'!$AD486)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IF('ORDENES'!$A487="","",IF('ORDENES'!$AF487="","-",'ORDENES'!$AF487))</f>
        <v/>
      </c>
      <c r="D509" s="3">
        <f>IF('ORDENES'!$A487="","",IF('ORDENES'!$X487="","-",'ORDENES'!$X487))</f>
        <v/>
      </c>
      <c r="E509" s="3">
        <f>IF('ORDENES'!$A487="","",IF('ORDENES'!$V487="","-",'ORDENES'!$V487))</f>
        <v/>
      </c>
      <c r="F509" s="3">
        <f>IF('ORDENES'!$A487="","",IF('ORDENES'!$Y487="","-",'ORDENES'!$Y487))</f>
        <v/>
      </c>
      <c r="G509" s="3">
        <f>IF('ORDENES'!$A487="","",IF('ORDENES'!$W487="","-",'ORDENES'!$W487))</f>
        <v/>
      </c>
      <c r="H509" s="3">
        <f>IF('ORDENES'!$A487="","",IF('ORDENES'!$AE487="","-",'ORDENES'!$AE487))</f>
        <v/>
      </c>
      <c r="I509" s="3">
        <f>IF('ORDENES'!$A487="","",IF('ORDENES'!$AQ487="","-",'ORDENES'!$AQ487))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IF('ORDENES'!$A487="","",'ORDENES'!$AD487)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IF('ORDENES'!$A488="","",IF('ORDENES'!$AF488="","-",'ORDENES'!$AF488))</f>
        <v/>
      </c>
      <c r="D510" s="3">
        <f>IF('ORDENES'!$A488="","",IF('ORDENES'!$X488="","-",'ORDENES'!$X488))</f>
        <v/>
      </c>
      <c r="E510" s="3">
        <f>IF('ORDENES'!$A488="","",IF('ORDENES'!$V488="","-",'ORDENES'!$V488))</f>
        <v/>
      </c>
      <c r="F510" s="3">
        <f>IF('ORDENES'!$A488="","",IF('ORDENES'!$Y488="","-",'ORDENES'!$Y488))</f>
        <v/>
      </c>
      <c r="G510" s="3">
        <f>IF('ORDENES'!$A488="","",IF('ORDENES'!$W488="","-",'ORDENES'!$W488))</f>
        <v/>
      </c>
      <c r="H510" s="3">
        <f>IF('ORDENES'!$A488="","",IF('ORDENES'!$AE488="","-",'ORDENES'!$AE488))</f>
        <v/>
      </c>
      <c r="I510" s="3">
        <f>IF('ORDENES'!$A488="","",IF('ORDENES'!$AQ488="","-",'ORDENES'!$AQ488))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IF('ORDENES'!$A488="","",'ORDENES'!$AD488)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IF('ORDENES'!$A489="","",IF('ORDENES'!$AF489="","-",'ORDENES'!$AF489))</f>
        <v/>
      </c>
      <c r="D511" s="3">
        <f>IF('ORDENES'!$A489="","",IF('ORDENES'!$X489="","-",'ORDENES'!$X489))</f>
        <v/>
      </c>
      <c r="E511" s="3">
        <f>IF('ORDENES'!$A489="","",IF('ORDENES'!$V489="","-",'ORDENES'!$V489))</f>
        <v/>
      </c>
      <c r="F511" s="3">
        <f>IF('ORDENES'!$A489="","",IF('ORDENES'!$Y489="","-",'ORDENES'!$Y489))</f>
        <v/>
      </c>
      <c r="G511" s="3">
        <f>IF('ORDENES'!$A489="","",IF('ORDENES'!$W489="","-",'ORDENES'!$W489))</f>
        <v/>
      </c>
      <c r="H511" s="3">
        <f>IF('ORDENES'!$A489="","",IF('ORDENES'!$AE489="","-",'ORDENES'!$AE489))</f>
        <v/>
      </c>
      <c r="I511" s="3">
        <f>IF('ORDENES'!$A489="","",IF('ORDENES'!$AQ489="","-",'ORDENES'!$AQ489))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IF('ORDENES'!$A489="","",'ORDENES'!$AD489)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IF('ORDENES'!$A490="","",IF('ORDENES'!$AF490="","-",'ORDENES'!$AF490))</f>
        <v/>
      </c>
      <c r="D512" s="3">
        <f>IF('ORDENES'!$A490="","",IF('ORDENES'!$X490="","-",'ORDENES'!$X490))</f>
        <v/>
      </c>
      <c r="E512" s="3">
        <f>IF('ORDENES'!$A490="","",IF('ORDENES'!$V490="","-",'ORDENES'!$V490))</f>
        <v/>
      </c>
      <c r="F512" s="3">
        <f>IF('ORDENES'!$A490="","",IF('ORDENES'!$Y490="","-",'ORDENES'!$Y490))</f>
        <v/>
      </c>
      <c r="G512" s="3">
        <f>IF('ORDENES'!$A490="","",IF('ORDENES'!$W490="","-",'ORDENES'!$W490))</f>
        <v/>
      </c>
      <c r="H512" s="3">
        <f>IF('ORDENES'!$A490="","",IF('ORDENES'!$AE490="","-",'ORDENES'!$AE490))</f>
        <v/>
      </c>
      <c r="I512" s="3">
        <f>IF('ORDENES'!$A490="","",IF('ORDENES'!$AQ490="","-",'ORDENES'!$AQ490))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IF('ORDENES'!$A490="","",'ORDENES'!$AD490)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IF('ORDENES'!$A491="","",IF('ORDENES'!$AF491="","-",'ORDENES'!$AF491))</f>
        <v/>
      </c>
      <c r="D513" s="3">
        <f>IF('ORDENES'!$A491="","",IF('ORDENES'!$X491="","-",'ORDENES'!$X491))</f>
        <v/>
      </c>
      <c r="E513" s="3">
        <f>IF('ORDENES'!$A491="","",IF('ORDENES'!$V491="","-",'ORDENES'!$V491))</f>
        <v/>
      </c>
      <c r="F513" s="3">
        <f>IF('ORDENES'!$A491="","",IF('ORDENES'!$Y491="","-",'ORDENES'!$Y491))</f>
        <v/>
      </c>
      <c r="G513" s="3">
        <f>IF('ORDENES'!$A491="","",IF('ORDENES'!$W491="","-",'ORDENES'!$W491))</f>
        <v/>
      </c>
      <c r="H513" s="3">
        <f>IF('ORDENES'!$A491="","",IF('ORDENES'!$AE491="","-",'ORDENES'!$AE491))</f>
        <v/>
      </c>
      <c r="I513" s="3">
        <f>IF('ORDENES'!$A491="","",IF('ORDENES'!$AQ491="","-",'ORDENES'!$AQ491))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IF('ORDENES'!$A491="","",'ORDENES'!$AD491)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IF('ORDENES'!$A492="","",IF('ORDENES'!$AF492="","-",'ORDENES'!$AF492))</f>
        <v/>
      </c>
      <c r="D514" s="3">
        <f>IF('ORDENES'!$A492="","",IF('ORDENES'!$X492="","-",'ORDENES'!$X492))</f>
        <v/>
      </c>
      <c r="E514" s="3">
        <f>IF('ORDENES'!$A492="","",IF('ORDENES'!$V492="","-",'ORDENES'!$V492))</f>
        <v/>
      </c>
      <c r="F514" s="3">
        <f>IF('ORDENES'!$A492="","",IF('ORDENES'!$Y492="","-",'ORDENES'!$Y492))</f>
        <v/>
      </c>
      <c r="G514" s="3">
        <f>IF('ORDENES'!$A492="","",IF('ORDENES'!$W492="","-",'ORDENES'!$W492))</f>
        <v/>
      </c>
      <c r="H514" s="3">
        <f>IF('ORDENES'!$A492="","",IF('ORDENES'!$AE492="","-",'ORDENES'!$AE492))</f>
        <v/>
      </c>
      <c r="I514" s="3">
        <f>IF('ORDENES'!$A492="","",IF('ORDENES'!$AQ492="","-",'ORDENES'!$AQ492))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IF('ORDENES'!$A492="","",'ORDENES'!$AD492)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IF('ORDENES'!$A493="","",IF('ORDENES'!$AF493="","-",'ORDENES'!$AF493))</f>
        <v/>
      </c>
      <c r="D515" s="3">
        <f>IF('ORDENES'!$A493="","",IF('ORDENES'!$X493="","-",'ORDENES'!$X493))</f>
        <v/>
      </c>
      <c r="E515" s="3">
        <f>IF('ORDENES'!$A493="","",IF('ORDENES'!$V493="","-",'ORDENES'!$V493))</f>
        <v/>
      </c>
      <c r="F515" s="3">
        <f>IF('ORDENES'!$A493="","",IF('ORDENES'!$Y493="","-",'ORDENES'!$Y493))</f>
        <v/>
      </c>
      <c r="G515" s="3">
        <f>IF('ORDENES'!$A493="","",IF('ORDENES'!$W493="","-",'ORDENES'!$W493))</f>
        <v/>
      </c>
      <c r="H515" s="3">
        <f>IF('ORDENES'!$A493="","",IF('ORDENES'!$AE493="","-",'ORDENES'!$AE493))</f>
        <v/>
      </c>
      <c r="I515" s="3">
        <f>IF('ORDENES'!$A493="","",IF('ORDENES'!$AQ493="","-",'ORDENES'!$AQ493))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IF('ORDENES'!$A493="","",'ORDENES'!$AD493)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IF('ORDENES'!$A494="","",IF('ORDENES'!$AF494="","-",'ORDENES'!$AF494))</f>
        <v/>
      </c>
      <c r="D516" s="3">
        <f>IF('ORDENES'!$A494="","",IF('ORDENES'!$X494="","-",'ORDENES'!$X494))</f>
        <v/>
      </c>
      <c r="E516" s="3">
        <f>IF('ORDENES'!$A494="","",IF('ORDENES'!$V494="","-",'ORDENES'!$V494))</f>
        <v/>
      </c>
      <c r="F516" s="3">
        <f>IF('ORDENES'!$A494="","",IF('ORDENES'!$Y494="","-",'ORDENES'!$Y494))</f>
        <v/>
      </c>
      <c r="G516" s="3">
        <f>IF('ORDENES'!$A494="","",IF('ORDENES'!$W494="","-",'ORDENES'!$W494))</f>
        <v/>
      </c>
      <c r="H516" s="3">
        <f>IF('ORDENES'!$A494="","",IF('ORDENES'!$AE494="","-",'ORDENES'!$AE494))</f>
        <v/>
      </c>
      <c r="I516" s="3">
        <f>IF('ORDENES'!$A494="","",IF('ORDENES'!$AQ494="","-",'ORDENES'!$AQ494))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IF('ORDENES'!$A494="","",'ORDENES'!$AD494)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IF('ORDENES'!$A495="","",IF('ORDENES'!$AF495="","-",'ORDENES'!$AF495))</f>
        <v/>
      </c>
      <c r="D517" s="3">
        <f>IF('ORDENES'!$A495="","",IF('ORDENES'!$X495="","-",'ORDENES'!$X495))</f>
        <v/>
      </c>
      <c r="E517" s="3">
        <f>IF('ORDENES'!$A495="","",IF('ORDENES'!$V495="","-",'ORDENES'!$V495))</f>
        <v/>
      </c>
      <c r="F517" s="3">
        <f>IF('ORDENES'!$A495="","",IF('ORDENES'!$Y495="","-",'ORDENES'!$Y495))</f>
        <v/>
      </c>
      <c r="G517" s="3">
        <f>IF('ORDENES'!$A495="","",IF('ORDENES'!$W495="","-",'ORDENES'!$W495))</f>
        <v/>
      </c>
      <c r="H517" s="3">
        <f>IF('ORDENES'!$A495="","",IF('ORDENES'!$AE495="","-",'ORDENES'!$AE495))</f>
        <v/>
      </c>
      <c r="I517" s="3">
        <f>IF('ORDENES'!$A495="","",IF('ORDENES'!$AQ495="","-",'ORDENES'!$AQ495))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IF('ORDENES'!$A495="","",'ORDENES'!$AD495)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IF('ORDENES'!$A496="","",IF('ORDENES'!$AF496="","-",'ORDENES'!$AF496))</f>
        <v/>
      </c>
      <c r="D518" s="3">
        <f>IF('ORDENES'!$A496="","",IF('ORDENES'!$X496="","-",'ORDENES'!$X496))</f>
        <v/>
      </c>
      <c r="E518" s="3">
        <f>IF('ORDENES'!$A496="","",IF('ORDENES'!$V496="","-",'ORDENES'!$V496))</f>
        <v/>
      </c>
      <c r="F518" s="3">
        <f>IF('ORDENES'!$A496="","",IF('ORDENES'!$Y496="","-",'ORDENES'!$Y496))</f>
        <v/>
      </c>
      <c r="G518" s="3">
        <f>IF('ORDENES'!$A496="","",IF('ORDENES'!$W496="","-",'ORDENES'!$W496))</f>
        <v/>
      </c>
      <c r="H518" s="3">
        <f>IF('ORDENES'!$A496="","",IF('ORDENES'!$AE496="","-",'ORDENES'!$AE496))</f>
        <v/>
      </c>
      <c r="I518" s="3">
        <f>IF('ORDENES'!$A496="","",IF('ORDENES'!$AQ496="","-",'ORDENES'!$AQ496))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IF('ORDENES'!$A496="","",'ORDENES'!$AD496)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IF('ORDENES'!$A497="","",IF('ORDENES'!$AF497="","-",'ORDENES'!$AF497))</f>
        <v/>
      </c>
      <c r="D519" s="3">
        <f>IF('ORDENES'!$A497="","",IF('ORDENES'!$X497="","-",'ORDENES'!$X497))</f>
        <v/>
      </c>
      <c r="E519" s="3">
        <f>IF('ORDENES'!$A497="","",IF('ORDENES'!$V497="","-",'ORDENES'!$V497))</f>
        <v/>
      </c>
      <c r="F519" s="3">
        <f>IF('ORDENES'!$A497="","",IF('ORDENES'!$Y497="","-",'ORDENES'!$Y497))</f>
        <v/>
      </c>
      <c r="G519" s="3">
        <f>IF('ORDENES'!$A497="","",IF('ORDENES'!$W497="","-",'ORDENES'!$W497))</f>
        <v/>
      </c>
      <c r="H519" s="3">
        <f>IF('ORDENES'!$A497="","",IF('ORDENES'!$AE497="","-",'ORDENES'!$AE497))</f>
        <v/>
      </c>
      <c r="I519" s="3">
        <f>IF('ORDENES'!$A497="","",IF('ORDENES'!$AQ497="","-",'ORDENES'!$AQ497))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IF('ORDENES'!$A497="","",'ORDENES'!$AD497)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IF('ORDENES'!$A498="","",IF('ORDENES'!$AF498="","-",'ORDENES'!$AF498))</f>
        <v/>
      </c>
      <c r="D520" s="3">
        <f>IF('ORDENES'!$A498="","",IF('ORDENES'!$X498="","-",'ORDENES'!$X498))</f>
        <v/>
      </c>
      <c r="E520" s="3">
        <f>IF('ORDENES'!$A498="","",IF('ORDENES'!$V498="","-",'ORDENES'!$V498))</f>
        <v/>
      </c>
      <c r="F520" s="3">
        <f>IF('ORDENES'!$A498="","",IF('ORDENES'!$Y498="","-",'ORDENES'!$Y498))</f>
        <v/>
      </c>
      <c r="G520" s="3">
        <f>IF('ORDENES'!$A498="","",IF('ORDENES'!$W498="","-",'ORDENES'!$W498))</f>
        <v/>
      </c>
      <c r="H520" s="3">
        <f>IF('ORDENES'!$A498="","",IF('ORDENES'!$AE498="","-",'ORDENES'!$AE498))</f>
        <v/>
      </c>
      <c r="I520" s="3">
        <f>IF('ORDENES'!$A498="","",IF('ORDENES'!$AQ498="","-",'ORDENES'!$AQ498))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IF('ORDENES'!$A498="","",'ORDENES'!$AD498)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IF('ORDENES'!$A499="","",IF('ORDENES'!$AF499="","-",'ORDENES'!$AF499))</f>
        <v/>
      </c>
      <c r="D521" s="3">
        <f>IF('ORDENES'!$A499="","",IF('ORDENES'!$X499="","-",'ORDENES'!$X499))</f>
        <v/>
      </c>
      <c r="E521" s="3">
        <f>IF('ORDENES'!$A499="","",IF('ORDENES'!$V499="","-",'ORDENES'!$V499))</f>
        <v/>
      </c>
      <c r="F521" s="3">
        <f>IF('ORDENES'!$A499="","",IF('ORDENES'!$Y499="","-",'ORDENES'!$Y499))</f>
        <v/>
      </c>
      <c r="G521" s="3">
        <f>IF('ORDENES'!$A499="","",IF('ORDENES'!$W499="","-",'ORDENES'!$W499))</f>
        <v/>
      </c>
      <c r="H521" s="3">
        <f>IF('ORDENES'!$A499="","",IF('ORDENES'!$AE499="","-",'ORDENES'!$AE499))</f>
        <v/>
      </c>
      <c r="I521" s="3">
        <f>IF('ORDENES'!$A499="","",IF('ORDENES'!$AQ499="","-",'ORDENES'!$AQ499))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IF('ORDENES'!$A499="","",'ORDENES'!$AD499)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IF('ORDENES'!$A500="","",IF('ORDENES'!$AF500="","-",'ORDENES'!$AF500))</f>
        <v/>
      </c>
      <c r="D522" s="3">
        <f>IF('ORDENES'!$A500="","",IF('ORDENES'!$X500="","-",'ORDENES'!$X500))</f>
        <v/>
      </c>
      <c r="E522" s="3">
        <f>IF('ORDENES'!$A500="","",IF('ORDENES'!$V500="","-",'ORDENES'!$V500))</f>
        <v/>
      </c>
      <c r="F522" s="3">
        <f>IF('ORDENES'!$A500="","",IF('ORDENES'!$Y500="","-",'ORDENES'!$Y500))</f>
        <v/>
      </c>
      <c r="G522" s="3">
        <f>IF('ORDENES'!$A500="","",IF('ORDENES'!$W500="","-",'ORDENES'!$W500))</f>
        <v/>
      </c>
      <c r="H522" s="3">
        <f>IF('ORDENES'!$A500="","",IF('ORDENES'!$AE500="","-",'ORDENES'!$AE500))</f>
        <v/>
      </c>
      <c r="I522" s="3">
        <f>IF('ORDENES'!$A500="","",IF('ORDENES'!$AQ500="","-",'ORDENES'!$AQ500))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IF('ORDENES'!$A500="","",'ORDENES'!$AD500)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IF('ORDENES'!$A501="","",IF('ORDENES'!$AF501="","-",'ORDENES'!$AF501))</f>
        <v/>
      </c>
      <c r="D523" s="3">
        <f>IF('ORDENES'!$A501="","",IF('ORDENES'!$X501="","-",'ORDENES'!$X501))</f>
        <v/>
      </c>
      <c r="E523" s="3">
        <f>IF('ORDENES'!$A501="","",IF('ORDENES'!$V501="","-",'ORDENES'!$V501))</f>
        <v/>
      </c>
      <c r="F523" s="3">
        <f>IF('ORDENES'!$A501="","",IF('ORDENES'!$Y501="","-",'ORDENES'!$Y501))</f>
        <v/>
      </c>
      <c r="G523" s="3">
        <f>IF('ORDENES'!$A501="","",IF('ORDENES'!$W501="","-",'ORDENES'!$W501))</f>
        <v/>
      </c>
      <c r="H523" s="3">
        <f>IF('ORDENES'!$A501="","",IF('ORDENES'!$AE501="","-",'ORDENES'!$AE501))</f>
        <v/>
      </c>
      <c r="I523" s="3">
        <f>IF('ORDENES'!$A501="","",IF('ORDENES'!$AQ501="","-",'ORDENES'!$AQ501))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IF('ORDENES'!$A501="","",'ORDENES'!$AD501)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IF('ORDENES'!$A502="","",IF('ORDENES'!$AF502="","-",'ORDENES'!$AF502))</f>
        <v/>
      </c>
      <c r="D524" s="3">
        <f>IF('ORDENES'!$A502="","",IF('ORDENES'!$X502="","-",'ORDENES'!$X502))</f>
        <v/>
      </c>
      <c r="E524" s="3">
        <f>IF('ORDENES'!$A502="","",IF('ORDENES'!$V502="","-",'ORDENES'!$V502))</f>
        <v/>
      </c>
      <c r="F524" s="3">
        <f>IF('ORDENES'!$A502="","",IF('ORDENES'!$Y502="","-",'ORDENES'!$Y502))</f>
        <v/>
      </c>
      <c r="G524" s="3">
        <f>IF('ORDENES'!$A502="","",IF('ORDENES'!$W502="","-",'ORDENES'!$W502))</f>
        <v/>
      </c>
      <c r="H524" s="3">
        <f>IF('ORDENES'!$A502="","",IF('ORDENES'!$AE502="","-",'ORDENES'!$AE502))</f>
        <v/>
      </c>
      <c r="I524" s="3">
        <f>IF('ORDENES'!$A502="","",IF('ORDENES'!$AQ502="","-",'ORDENES'!$AQ502))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IF('ORDENES'!$A502="","",'ORDENES'!$AD502)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IF('ORDENES'!$A503="","",IF('ORDENES'!$AF503="","-",'ORDENES'!$AF503))</f>
        <v/>
      </c>
      <c r="D525" s="3">
        <f>IF('ORDENES'!$A503="","",IF('ORDENES'!$X503="","-",'ORDENES'!$X503))</f>
        <v/>
      </c>
      <c r="E525" s="3">
        <f>IF('ORDENES'!$A503="","",IF('ORDENES'!$V503="","-",'ORDENES'!$V503))</f>
        <v/>
      </c>
      <c r="F525" s="3">
        <f>IF('ORDENES'!$A503="","",IF('ORDENES'!$Y503="","-",'ORDENES'!$Y503))</f>
        <v/>
      </c>
      <c r="G525" s="3">
        <f>IF('ORDENES'!$A503="","",IF('ORDENES'!$W503="","-",'ORDENES'!$W503))</f>
        <v/>
      </c>
      <c r="H525" s="3">
        <f>IF('ORDENES'!$A503="","",IF('ORDENES'!$AE503="","-",'ORDENES'!$AE503))</f>
        <v/>
      </c>
      <c r="I525" s="3">
        <f>IF('ORDENES'!$A503="","",IF('ORDENES'!$AQ503="","-",'ORDENES'!$AQ503))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IF('ORDENES'!$A503="","",'ORDENES'!$AD503)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IF('ORDENES'!$A504="","",IF('ORDENES'!$AF504="","-",'ORDENES'!$AF504))</f>
        <v/>
      </c>
      <c r="D526" s="3">
        <f>IF('ORDENES'!$A504="","",IF('ORDENES'!$X504="","-",'ORDENES'!$X504))</f>
        <v/>
      </c>
      <c r="E526" s="3">
        <f>IF('ORDENES'!$A504="","",IF('ORDENES'!$V504="","-",'ORDENES'!$V504))</f>
        <v/>
      </c>
      <c r="F526" s="3">
        <f>IF('ORDENES'!$A504="","",IF('ORDENES'!$Y504="","-",'ORDENES'!$Y504))</f>
        <v/>
      </c>
      <c r="G526" s="3">
        <f>IF('ORDENES'!$A504="","",IF('ORDENES'!$W504="","-",'ORDENES'!$W504))</f>
        <v/>
      </c>
      <c r="H526" s="3">
        <f>IF('ORDENES'!$A504="","",IF('ORDENES'!$AE504="","-",'ORDENES'!$AE504))</f>
        <v/>
      </c>
      <c r="I526" s="3">
        <f>IF('ORDENES'!$A504="","",IF('ORDENES'!$AQ504="","-",'ORDENES'!$AQ504))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IF('ORDENES'!$A504="","",'ORDENES'!$AD504)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IF('ORDENES'!$A505="","",IF('ORDENES'!$AF505="","-",'ORDENES'!$AF505))</f>
        <v/>
      </c>
      <c r="D527" s="3">
        <f>IF('ORDENES'!$A505="","",IF('ORDENES'!$X505="","-",'ORDENES'!$X505))</f>
        <v/>
      </c>
      <c r="E527" s="3">
        <f>IF('ORDENES'!$A505="","",IF('ORDENES'!$V505="","-",'ORDENES'!$V505))</f>
        <v/>
      </c>
      <c r="F527" s="3">
        <f>IF('ORDENES'!$A505="","",IF('ORDENES'!$Y505="","-",'ORDENES'!$Y505))</f>
        <v/>
      </c>
      <c r="G527" s="3">
        <f>IF('ORDENES'!$A505="","",IF('ORDENES'!$W505="","-",'ORDENES'!$W505))</f>
        <v/>
      </c>
      <c r="H527" s="3">
        <f>IF('ORDENES'!$A505="","",IF('ORDENES'!$AE505="","-",'ORDENES'!$AE505))</f>
        <v/>
      </c>
      <c r="I527" s="3">
        <f>IF('ORDENES'!$A505="","",IF('ORDENES'!$AQ505="","-",'ORDENES'!$AQ505))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IF('ORDENES'!$A505="","",'ORDENES'!$AD505)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IF('ORDENES'!$A506="","",IF('ORDENES'!$AF506="","-",'ORDENES'!$AF506))</f>
        <v/>
      </c>
      <c r="D528" s="3">
        <f>IF('ORDENES'!$A506="","",IF('ORDENES'!$X506="","-",'ORDENES'!$X506))</f>
        <v/>
      </c>
      <c r="E528" s="3">
        <f>IF('ORDENES'!$A506="","",IF('ORDENES'!$V506="","-",'ORDENES'!$V506))</f>
        <v/>
      </c>
      <c r="F528" s="3">
        <f>IF('ORDENES'!$A506="","",IF('ORDENES'!$Y506="","-",'ORDENES'!$Y506))</f>
        <v/>
      </c>
      <c r="G528" s="3">
        <f>IF('ORDENES'!$A506="","",IF('ORDENES'!$W506="","-",'ORDENES'!$W506))</f>
        <v/>
      </c>
      <c r="H528" s="3">
        <f>IF('ORDENES'!$A506="","",IF('ORDENES'!$AE506="","-",'ORDENES'!$AE506))</f>
        <v/>
      </c>
      <c r="I528" s="3">
        <f>IF('ORDENES'!$A506="","",IF('ORDENES'!$AQ506="","-",'ORDENES'!$AQ506))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IF('ORDENES'!$A506="","",'ORDENES'!$AD506)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IF('ORDENES'!$A507="","",IF('ORDENES'!$AF507="","-",'ORDENES'!$AF507))</f>
        <v/>
      </c>
      <c r="D529" s="3">
        <f>IF('ORDENES'!$A507="","",IF('ORDENES'!$X507="","-",'ORDENES'!$X507))</f>
        <v/>
      </c>
      <c r="E529" s="3">
        <f>IF('ORDENES'!$A507="","",IF('ORDENES'!$V507="","-",'ORDENES'!$V507))</f>
        <v/>
      </c>
      <c r="F529" s="3">
        <f>IF('ORDENES'!$A507="","",IF('ORDENES'!$Y507="","-",'ORDENES'!$Y507))</f>
        <v/>
      </c>
      <c r="G529" s="3">
        <f>IF('ORDENES'!$A507="","",IF('ORDENES'!$W507="","-",'ORDENES'!$W507))</f>
        <v/>
      </c>
      <c r="H529" s="3">
        <f>IF('ORDENES'!$A507="","",IF('ORDENES'!$AE507="","-",'ORDENES'!$AE507))</f>
        <v/>
      </c>
      <c r="I529" s="3">
        <f>IF('ORDENES'!$A507="","",IF('ORDENES'!$AQ507="","-",'ORDENES'!$AQ507))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IF('ORDENES'!$A507="","",'ORDENES'!$AD507)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IF('ORDENES'!$A508="","",IF('ORDENES'!$AF508="","-",'ORDENES'!$AF508))</f>
        <v/>
      </c>
      <c r="D530" s="3">
        <f>IF('ORDENES'!$A508="","",IF('ORDENES'!$X508="","-",'ORDENES'!$X508))</f>
        <v/>
      </c>
      <c r="E530" s="3">
        <f>IF('ORDENES'!$A508="","",IF('ORDENES'!$V508="","-",'ORDENES'!$V508))</f>
        <v/>
      </c>
      <c r="F530" s="3">
        <f>IF('ORDENES'!$A508="","",IF('ORDENES'!$Y508="","-",'ORDENES'!$Y508))</f>
        <v/>
      </c>
      <c r="G530" s="3">
        <f>IF('ORDENES'!$A508="","",IF('ORDENES'!$W508="","-",'ORDENES'!$W508))</f>
        <v/>
      </c>
      <c r="H530" s="3">
        <f>IF('ORDENES'!$A508="","",IF('ORDENES'!$AE508="","-",'ORDENES'!$AE508))</f>
        <v/>
      </c>
      <c r="I530" s="3">
        <f>IF('ORDENES'!$A508="","",IF('ORDENES'!$AQ508="","-",'ORDENES'!$AQ508))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IF('ORDENES'!$A508="","",'ORDENES'!$AD508)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IF('ORDENES'!$A509="","",IF('ORDENES'!$AF509="","-",'ORDENES'!$AF509))</f>
        <v/>
      </c>
      <c r="D531" s="3">
        <f>IF('ORDENES'!$A509="","",IF('ORDENES'!$X509="","-",'ORDENES'!$X509))</f>
        <v/>
      </c>
      <c r="E531" s="3">
        <f>IF('ORDENES'!$A509="","",IF('ORDENES'!$V509="","-",'ORDENES'!$V509))</f>
        <v/>
      </c>
      <c r="F531" s="3">
        <f>IF('ORDENES'!$A509="","",IF('ORDENES'!$Y509="","-",'ORDENES'!$Y509))</f>
        <v/>
      </c>
      <c r="G531" s="3">
        <f>IF('ORDENES'!$A509="","",IF('ORDENES'!$W509="","-",'ORDENES'!$W509))</f>
        <v/>
      </c>
      <c r="H531" s="3">
        <f>IF('ORDENES'!$A509="","",IF('ORDENES'!$AE509="","-",'ORDENES'!$AE509))</f>
        <v/>
      </c>
      <c r="I531" s="3">
        <f>IF('ORDENES'!$A509="","",IF('ORDENES'!$AQ509="","-",'ORDENES'!$AQ509))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IF('ORDENES'!$A509="","",'ORDENES'!$AD509)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IF('ORDENES'!$A510="","",IF('ORDENES'!$AF510="","-",'ORDENES'!$AF510))</f>
        <v/>
      </c>
      <c r="D532" s="3">
        <f>IF('ORDENES'!$A510="","",IF('ORDENES'!$X510="","-",'ORDENES'!$X510))</f>
        <v/>
      </c>
      <c r="E532" s="3">
        <f>IF('ORDENES'!$A510="","",IF('ORDENES'!$V510="","-",'ORDENES'!$V510))</f>
        <v/>
      </c>
      <c r="F532" s="3">
        <f>IF('ORDENES'!$A510="","",IF('ORDENES'!$Y510="","-",'ORDENES'!$Y510))</f>
        <v/>
      </c>
      <c r="G532" s="3">
        <f>IF('ORDENES'!$A510="","",IF('ORDENES'!$W510="","-",'ORDENES'!$W510))</f>
        <v/>
      </c>
      <c r="H532" s="3">
        <f>IF('ORDENES'!$A510="","",IF('ORDENES'!$AE510="","-",'ORDENES'!$AE510))</f>
        <v/>
      </c>
      <c r="I532" s="3">
        <f>IF('ORDENES'!$A510="","",IF('ORDENES'!$AQ510="","-",'ORDENES'!$AQ510))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IF('ORDENES'!$A510="","",'ORDENES'!$AD510)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IF('ORDENES'!$A511="","",IF('ORDENES'!$AF511="","-",'ORDENES'!$AF511))</f>
        <v/>
      </c>
      <c r="D533" s="3">
        <f>IF('ORDENES'!$A511="","",IF('ORDENES'!$X511="","-",'ORDENES'!$X511))</f>
        <v/>
      </c>
      <c r="E533" s="3">
        <f>IF('ORDENES'!$A511="","",IF('ORDENES'!$V511="","-",'ORDENES'!$V511))</f>
        <v/>
      </c>
      <c r="F533" s="3">
        <f>IF('ORDENES'!$A511="","",IF('ORDENES'!$Y511="","-",'ORDENES'!$Y511))</f>
        <v/>
      </c>
      <c r="G533" s="3">
        <f>IF('ORDENES'!$A511="","",IF('ORDENES'!$W511="","-",'ORDENES'!$W511))</f>
        <v/>
      </c>
      <c r="H533" s="3">
        <f>IF('ORDENES'!$A511="","",IF('ORDENES'!$AE511="","-",'ORDENES'!$AE511))</f>
        <v/>
      </c>
      <c r="I533" s="3">
        <f>IF('ORDENES'!$A511="","",IF('ORDENES'!$AQ511="","-",'ORDENES'!$AQ511))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IF('ORDENES'!$A511="","",'ORDENES'!$AD511)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IF('ORDENES'!$A512="","",IF('ORDENES'!$AF512="","-",'ORDENES'!$AF512))</f>
        <v/>
      </c>
      <c r="D534" s="3">
        <f>IF('ORDENES'!$A512="","",IF('ORDENES'!$X512="","-",'ORDENES'!$X512))</f>
        <v/>
      </c>
      <c r="E534" s="3">
        <f>IF('ORDENES'!$A512="","",IF('ORDENES'!$V512="","-",'ORDENES'!$V512))</f>
        <v/>
      </c>
      <c r="F534" s="3">
        <f>IF('ORDENES'!$A512="","",IF('ORDENES'!$Y512="","-",'ORDENES'!$Y512))</f>
        <v/>
      </c>
      <c r="G534" s="3">
        <f>IF('ORDENES'!$A512="","",IF('ORDENES'!$W512="","-",'ORDENES'!$W512))</f>
        <v/>
      </c>
      <c r="H534" s="3">
        <f>IF('ORDENES'!$A512="","",IF('ORDENES'!$AE512="","-",'ORDENES'!$AE512))</f>
        <v/>
      </c>
      <c r="I534" s="3">
        <f>IF('ORDENES'!$A512="","",IF('ORDENES'!$AQ512="","-",'ORDENES'!$AQ512))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IF('ORDENES'!$A512="","",'ORDENES'!$AD512)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IF('ORDENES'!$A513="","",IF('ORDENES'!$AF513="","-",'ORDENES'!$AF513))</f>
        <v/>
      </c>
      <c r="D535" s="3">
        <f>IF('ORDENES'!$A513="","",IF('ORDENES'!$X513="","-",'ORDENES'!$X513))</f>
        <v/>
      </c>
      <c r="E535" s="3">
        <f>IF('ORDENES'!$A513="","",IF('ORDENES'!$V513="","-",'ORDENES'!$V513))</f>
        <v/>
      </c>
      <c r="F535" s="3">
        <f>IF('ORDENES'!$A513="","",IF('ORDENES'!$Y513="","-",'ORDENES'!$Y513))</f>
        <v/>
      </c>
      <c r="G535" s="3">
        <f>IF('ORDENES'!$A513="","",IF('ORDENES'!$W513="","-",'ORDENES'!$W513))</f>
        <v/>
      </c>
      <c r="H535" s="3">
        <f>IF('ORDENES'!$A513="","",IF('ORDENES'!$AE513="","-",'ORDENES'!$AE513))</f>
        <v/>
      </c>
      <c r="I535" s="3">
        <f>IF('ORDENES'!$A513="","",IF('ORDENES'!$AQ513="","-",'ORDENES'!$AQ513))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IF('ORDENES'!$A513="","",'ORDENES'!$AD513)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IF('ORDENES'!$A514="","",IF('ORDENES'!$AF514="","-",'ORDENES'!$AF514))</f>
        <v/>
      </c>
      <c r="D536" s="3">
        <f>IF('ORDENES'!$A514="","",IF('ORDENES'!$X514="","-",'ORDENES'!$X514))</f>
        <v/>
      </c>
      <c r="E536" s="3">
        <f>IF('ORDENES'!$A514="","",IF('ORDENES'!$V514="","-",'ORDENES'!$V514))</f>
        <v/>
      </c>
      <c r="F536" s="3">
        <f>IF('ORDENES'!$A514="","",IF('ORDENES'!$Y514="","-",'ORDENES'!$Y514))</f>
        <v/>
      </c>
      <c r="G536" s="3">
        <f>IF('ORDENES'!$A514="","",IF('ORDENES'!$W514="","-",'ORDENES'!$W514))</f>
        <v/>
      </c>
      <c r="H536" s="3">
        <f>IF('ORDENES'!$A514="","",IF('ORDENES'!$AE514="","-",'ORDENES'!$AE514))</f>
        <v/>
      </c>
      <c r="I536" s="3">
        <f>IF('ORDENES'!$A514="","",IF('ORDENES'!$AQ514="","-",'ORDENES'!$AQ514))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IF('ORDENES'!$A514="","",'ORDENES'!$AD514)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IF('ORDENES'!$A515="","",IF('ORDENES'!$AF515="","-",'ORDENES'!$AF515))</f>
        <v/>
      </c>
      <c r="D537" s="3">
        <f>IF('ORDENES'!$A515="","",IF('ORDENES'!$X515="","-",'ORDENES'!$X515))</f>
        <v/>
      </c>
      <c r="E537" s="3">
        <f>IF('ORDENES'!$A515="","",IF('ORDENES'!$V515="","-",'ORDENES'!$V515))</f>
        <v/>
      </c>
      <c r="F537" s="3">
        <f>IF('ORDENES'!$A515="","",IF('ORDENES'!$Y515="","-",'ORDENES'!$Y515))</f>
        <v/>
      </c>
      <c r="G537" s="3">
        <f>IF('ORDENES'!$A515="","",IF('ORDENES'!$W515="","-",'ORDENES'!$W515))</f>
        <v/>
      </c>
      <c r="H537" s="3">
        <f>IF('ORDENES'!$A515="","",IF('ORDENES'!$AE515="","-",'ORDENES'!$AE515))</f>
        <v/>
      </c>
      <c r="I537" s="3">
        <f>IF('ORDENES'!$A515="","",IF('ORDENES'!$AQ515="","-",'ORDENES'!$AQ515))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IF('ORDENES'!$A515="","",'ORDENES'!$AD515)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IF('ORDENES'!$A516="","",IF('ORDENES'!$AF516="","-",'ORDENES'!$AF516))</f>
        <v/>
      </c>
      <c r="D538" s="3">
        <f>IF('ORDENES'!$A516="","",IF('ORDENES'!$X516="","-",'ORDENES'!$X516))</f>
        <v/>
      </c>
      <c r="E538" s="3">
        <f>IF('ORDENES'!$A516="","",IF('ORDENES'!$V516="","-",'ORDENES'!$V516))</f>
        <v/>
      </c>
      <c r="F538" s="3">
        <f>IF('ORDENES'!$A516="","",IF('ORDENES'!$Y516="","-",'ORDENES'!$Y516))</f>
        <v/>
      </c>
      <c r="G538" s="3">
        <f>IF('ORDENES'!$A516="","",IF('ORDENES'!$W516="","-",'ORDENES'!$W516))</f>
        <v/>
      </c>
      <c r="H538" s="3">
        <f>IF('ORDENES'!$A516="","",IF('ORDENES'!$AE516="","-",'ORDENES'!$AE516))</f>
        <v/>
      </c>
      <c r="I538" s="3">
        <f>IF('ORDENES'!$A516="","",IF('ORDENES'!$AQ516="","-",'ORDENES'!$AQ516))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IF('ORDENES'!$A516="","",'ORDENES'!$AD516)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IF('ORDENES'!$A517="","",IF('ORDENES'!$AF517="","-",'ORDENES'!$AF517))</f>
        <v/>
      </c>
      <c r="D539" s="3">
        <f>IF('ORDENES'!$A517="","",IF('ORDENES'!$X517="","-",'ORDENES'!$X517))</f>
        <v/>
      </c>
      <c r="E539" s="3">
        <f>IF('ORDENES'!$A517="","",IF('ORDENES'!$V517="","-",'ORDENES'!$V517))</f>
        <v/>
      </c>
      <c r="F539" s="3">
        <f>IF('ORDENES'!$A517="","",IF('ORDENES'!$Y517="","-",'ORDENES'!$Y517))</f>
        <v/>
      </c>
      <c r="G539" s="3">
        <f>IF('ORDENES'!$A517="","",IF('ORDENES'!$W517="","-",'ORDENES'!$W517))</f>
        <v/>
      </c>
      <c r="H539" s="3">
        <f>IF('ORDENES'!$A517="","",IF('ORDENES'!$AE517="","-",'ORDENES'!$AE517))</f>
        <v/>
      </c>
      <c r="I539" s="3">
        <f>IF('ORDENES'!$A517="","",IF('ORDENES'!$AQ517="","-",'ORDENES'!$AQ517))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IF('ORDENES'!$A517="","",'ORDENES'!$AD517)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IF('ORDENES'!$A518="","",IF('ORDENES'!$AF518="","-",'ORDENES'!$AF518))</f>
        <v/>
      </c>
      <c r="D540" s="3">
        <f>IF('ORDENES'!$A518="","",IF('ORDENES'!$X518="","-",'ORDENES'!$X518))</f>
        <v/>
      </c>
      <c r="E540" s="3">
        <f>IF('ORDENES'!$A518="","",IF('ORDENES'!$V518="","-",'ORDENES'!$V518))</f>
        <v/>
      </c>
      <c r="F540" s="3">
        <f>IF('ORDENES'!$A518="","",IF('ORDENES'!$Y518="","-",'ORDENES'!$Y518))</f>
        <v/>
      </c>
      <c r="G540" s="3">
        <f>IF('ORDENES'!$A518="","",IF('ORDENES'!$W518="","-",'ORDENES'!$W518))</f>
        <v/>
      </c>
      <c r="H540" s="3">
        <f>IF('ORDENES'!$A518="","",IF('ORDENES'!$AE518="","-",'ORDENES'!$AE518))</f>
        <v/>
      </c>
      <c r="I540" s="3">
        <f>IF('ORDENES'!$A518="","",IF('ORDENES'!$AQ518="","-",'ORDENES'!$AQ518))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IF('ORDENES'!$A518="","",'ORDENES'!$AD518)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IF('ORDENES'!$A519="","",IF('ORDENES'!$AF519="","-",'ORDENES'!$AF519))</f>
        <v/>
      </c>
      <c r="D541" s="3">
        <f>IF('ORDENES'!$A519="","",IF('ORDENES'!$X519="","-",'ORDENES'!$X519))</f>
        <v/>
      </c>
      <c r="E541" s="3">
        <f>IF('ORDENES'!$A519="","",IF('ORDENES'!$V519="","-",'ORDENES'!$V519))</f>
        <v/>
      </c>
      <c r="F541" s="3">
        <f>IF('ORDENES'!$A519="","",IF('ORDENES'!$Y519="","-",'ORDENES'!$Y519))</f>
        <v/>
      </c>
      <c r="G541" s="3">
        <f>IF('ORDENES'!$A519="","",IF('ORDENES'!$W519="","-",'ORDENES'!$W519))</f>
        <v/>
      </c>
      <c r="H541" s="3">
        <f>IF('ORDENES'!$A519="","",IF('ORDENES'!$AE519="","-",'ORDENES'!$AE519))</f>
        <v/>
      </c>
      <c r="I541" s="3">
        <f>IF('ORDENES'!$A519="","",IF('ORDENES'!$AQ519="","-",'ORDENES'!$AQ519))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IF('ORDENES'!$A519="","",'ORDENES'!$AD519)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IF('ORDENES'!$A520="","",IF('ORDENES'!$AF520="","-",'ORDENES'!$AF520))</f>
        <v/>
      </c>
      <c r="D542" s="3">
        <f>IF('ORDENES'!$A520="","",IF('ORDENES'!$X520="","-",'ORDENES'!$X520))</f>
        <v/>
      </c>
      <c r="E542" s="3">
        <f>IF('ORDENES'!$A520="","",IF('ORDENES'!$V520="","-",'ORDENES'!$V520))</f>
        <v/>
      </c>
      <c r="F542" s="3">
        <f>IF('ORDENES'!$A520="","",IF('ORDENES'!$Y520="","-",'ORDENES'!$Y520))</f>
        <v/>
      </c>
      <c r="G542" s="3">
        <f>IF('ORDENES'!$A520="","",IF('ORDENES'!$W520="","-",'ORDENES'!$W520))</f>
        <v/>
      </c>
      <c r="H542" s="3">
        <f>IF('ORDENES'!$A520="","",IF('ORDENES'!$AE520="","-",'ORDENES'!$AE520))</f>
        <v/>
      </c>
      <c r="I542" s="3">
        <f>IF('ORDENES'!$A520="","",IF('ORDENES'!$AQ520="","-",'ORDENES'!$AQ520))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IF('ORDENES'!$A520="","",'ORDENES'!$AD520)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IF('ORDENES'!$A521="","",IF('ORDENES'!$AF521="","-",'ORDENES'!$AF521))</f>
        <v/>
      </c>
      <c r="D543" s="3">
        <f>IF('ORDENES'!$A521="","",IF('ORDENES'!$X521="","-",'ORDENES'!$X521))</f>
        <v/>
      </c>
      <c r="E543" s="3">
        <f>IF('ORDENES'!$A521="","",IF('ORDENES'!$V521="","-",'ORDENES'!$V521))</f>
        <v/>
      </c>
      <c r="F543" s="3">
        <f>IF('ORDENES'!$A521="","",IF('ORDENES'!$Y521="","-",'ORDENES'!$Y521))</f>
        <v/>
      </c>
      <c r="G543" s="3">
        <f>IF('ORDENES'!$A521="","",IF('ORDENES'!$W521="","-",'ORDENES'!$W521))</f>
        <v/>
      </c>
      <c r="H543" s="3">
        <f>IF('ORDENES'!$A521="","",IF('ORDENES'!$AE521="","-",'ORDENES'!$AE521))</f>
        <v/>
      </c>
      <c r="I543" s="3">
        <f>IF('ORDENES'!$A521="","",IF('ORDENES'!$AQ521="","-",'ORDENES'!$AQ521))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IF('ORDENES'!$A521="","",'ORDENES'!$AD521)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IF('ORDENES'!$A522="","",IF('ORDENES'!$AF522="","-",'ORDENES'!$AF522))</f>
        <v/>
      </c>
      <c r="D544" s="3">
        <f>IF('ORDENES'!$A522="","",IF('ORDENES'!$X522="","-",'ORDENES'!$X522))</f>
        <v/>
      </c>
      <c r="E544" s="3">
        <f>IF('ORDENES'!$A522="","",IF('ORDENES'!$V522="","-",'ORDENES'!$V522))</f>
        <v/>
      </c>
      <c r="F544" s="3">
        <f>IF('ORDENES'!$A522="","",IF('ORDENES'!$Y522="","-",'ORDENES'!$Y522))</f>
        <v/>
      </c>
      <c r="G544" s="3">
        <f>IF('ORDENES'!$A522="","",IF('ORDENES'!$W522="","-",'ORDENES'!$W522))</f>
        <v/>
      </c>
      <c r="H544" s="3">
        <f>IF('ORDENES'!$A522="","",IF('ORDENES'!$AE522="","-",'ORDENES'!$AE522))</f>
        <v/>
      </c>
      <c r="I544" s="3">
        <f>IF('ORDENES'!$A522="","",IF('ORDENES'!$AQ522="","-",'ORDENES'!$AQ522))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IF('ORDENES'!$A522="","",'ORDENES'!$AD522)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IF('ORDENES'!$A523="","",IF('ORDENES'!$AF523="","-",'ORDENES'!$AF523))</f>
        <v/>
      </c>
      <c r="D545" s="3">
        <f>IF('ORDENES'!$A523="","",IF('ORDENES'!$X523="","-",'ORDENES'!$X523))</f>
        <v/>
      </c>
      <c r="E545" s="3">
        <f>IF('ORDENES'!$A523="","",IF('ORDENES'!$V523="","-",'ORDENES'!$V523))</f>
        <v/>
      </c>
      <c r="F545" s="3">
        <f>IF('ORDENES'!$A523="","",IF('ORDENES'!$Y523="","-",'ORDENES'!$Y523))</f>
        <v/>
      </c>
      <c r="G545" s="3">
        <f>IF('ORDENES'!$A523="","",IF('ORDENES'!$W523="","-",'ORDENES'!$W523))</f>
        <v/>
      </c>
      <c r="H545" s="3">
        <f>IF('ORDENES'!$A523="","",IF('ORDENES'!$AE523="","-",'ORDENES'!$AE523))</f>
        <v/>
      </c>
      <c r="I545" s="3">
        <f>IF('ORDENES'!$A523="","",IF('ORDENES'!$AQ523="","-",'ORDENES'!$AQ523))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IF('ORDENES'!$A523="","",'ORDENES'!$AD523)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IF('ORDENES'!$A524="","",IF('ORDENES'!$AF524="","-",'ORDENES'!$AF524))</f>
        <v/>
      </c>
      <c r="D546" s="3">
        <f>IF('ORDENES'!$A524="","",IF('ORDENES'!$X524="","-",'ORDENES'!$X524))</f>
        <v/>
      </c>
      <c r="E546" s="3">
        <f>IF('ORDENES'!$A524="","",IF('ORDENES'!$V524="","-",'ORDENES'!$V524))</f>
        <v/>
      </c>
      <c r="F546" s="3">
        <f>IF('ORDENES'!$A524="","",IF('ORDENES'!$Y524="","-",'ORDENES'!$Y524))</f>
        <v/>
      </c>
      <c r="G546" s="3">
        <f>IF('ORDENES'!$A524="","",IF('ORDENES'!$W524="","-",'ORDENES'!$W524))</f>
        <v/>
      </c>
      <c r="H546" s="3">
        <f>IF('ORDENES'!$A524="","",IF('ORDENES'!$AE524="","-",'ORDENES'!$AE524))</f>
        <v/>
      </c>
      <c r="I546" s="3">
        <f>IF('ORDENES'!$A524="","",IF('ORDENES'!$AQ524="","-",'ORDENES'!$AQ524))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IF('ORDENES'!$A524="","",'ORDENES'!$AD524)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IF('ORDENES'!$A525="","",IF('ORDENES'!$AF525="","-",'ORDENES'!$AF525))</f>
        <v/>
      </c>
      <c r="D547" s="3">
        <f>IF('ORDENES'!$A525="","",IF('ORDENES'!$X525="","-",'ORDENES'!$X525))</f>
        <v/>
      </c>
      <c r="E547" s="3">
        <f>IF('ORDENES'!$A525="","",IF('ORDENES'!$V525="","-",'ORDENES'!$V525))</f>
        <v/>
      </c>
      <c r="F547" s="3">
        <f>IF('ORDENES'!$A525="","",IF('ORDENES'!$Y525="","-",'ORDENES'!$Y525))</f>
        <v/>
      </c>
      <c r="G547" s="3">
        <f>IF('ORDENES'!$A525="","",IF('ORDENES'!$W525="","-",'ORDENES'!$W525))</f>
        <v/>
      </c>
      <c r="H547" s="3">
        <f>IF('ORDENES'!$A525="","",IF('ORDENES'!$AE525="","-",'ORDENES'!$AE525))</f>
        <v/>
      </c>
      <c r="I547" s="3">
        <f>IF('ORDENES'!$A525="","",IF('ORDENES'!$AQ525="","-",'ORDENES'!$AQ525))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IF('ORDENES'!$A525="","",'ORDENES'!$AD525)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IF('ORDENES'!$A526="","",IF('ORDENES'!$AF526="","-",'ORDENES'!$AF526))</f>
        <v/>
      </c>
      <c r="D548" s="3">
        <f>IF('ORDENES'!$A526="","",IF('ORDENES'!$X526="","-",'ORDENES'!$X526))</f>
        <v/>
      </c>
      <c r="E548" s="3">
        <f>IF('ORDENES'!$A526="","",IF('ORDENES'!$V526="","-",'ORDENES'!$V526))</f>
        <v/>
      </c>
      <c r="F548" s="3">
        <f>IF('ORDENES'!$A526="","",IF('ORDENES'!$Y526="","-",'ORDENES'!$Y526))</f>
        <v/>
      </c>
      <c r="G548" s="3">
        <f>IF('ORDENES'!$A526="","",IF('ORDENES'!$W526="","-",'ORDENES'!$W526))</f>
        <v/>
      </c>
      <c r="H548" s="3">
        <f>IF('ORDENES'!$A526="","",IF('ORDENES'!$AE526="","-",'ORDENES'!$AE526))</f>
        <v/>
      </c>
      <c r="I548" s="3">
        <f>IF('ORDENES'!$A526="","",IF('ORDENES'!$AQ526="","-",'ORDENES'!$AQ526))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IF('ORDENES'!$A526="","",'ORDENES'!$AD526)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IF('ORDENES'!$A527="","",IF('ORDENES'!$AF527="","-",'ORDENES'!$AF527))</f>
        <v/>
      </c>
      <c r="D549" s="3">
        <f>IF('ORDENES'!$A527="","",IF('ORDENES'!$X527="","-",'ORDENES'!$X527))</f>
        <v/>
      </c>
      <c r="E549" s="3">
        <f>IF('ORDENES'!$A527="","",IF('ORDENES'!$V527="","-",'ORDENES'!$V527))</f>
        <v/>
      </c>
      <c r="F549" s="3">
        <f>IF('ORDENES'!$A527="","",IF('ORDENES'!$Y527="","-",'ORDENES'!$Y527))</f>
        <v/>
      </c>
      <c r="G549" s="3">
        <f>IF('ORDENES'!$A527="","",IF('ORDENES'!$W527="","-",'ORDENES'!$W527))</f>
        <v/>
      </c>
      <c r="H549" s="3">
        <f>IF('ORDENES'!$A527="","",IF('ORDENES'!$AE527="","-",'ORDENES'!$AE527))</f>
        <v/>
      </c>
      <c r="I549" s="3">
        <f>IF('ORDENES'!$A527="","",IF('ORDENES'!$AQ527="","-",'ORDENES'!$AQ527))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IF('ORDENES'!$A527="","",'ORDENES'!$AD527)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IF('ORDENES'!$A528="","",IF('ORDENES'!$AF528="","-",'ORDENES'!$AF528))</f>
        <v/>
      </c>
      <c r="D550" s="3">
        <f>IF('ORDENES'!$A528="","",IF('ORDENES'!$X528="","-",'ORDENES'!$X528))</f>
        <v/>
      </c>
      <c r="E550" s="3">
        <f>IF('ORDENES'!$A528="","",IF('ORDENES'!$V528="","-",'ORDENES'!$V528))</f>
        <v/>
      </c>
      <c r="F550" s="3">
        <f>IF('ORDENES'!$A528="","",IF('ORDENES'!$Y528="","-",'ORDENES'!$Y528))</f>
        <v/>
      </c>
      <c r="G550" s="3">
        <f>IF('ORDENES'!$A528="","",IF('ORDENES'!$W528="","-",'ORDENES'!$W528))</f>
        <v/>
      </c>
      <c r="H550" s="3">
        <f>IF('ORDENES'!$A528="","",IF('ORDENES'!$AE528="","-",'ORDENES'!$AE528))</f>
        <v/>
      </c>
      <c r="I550" s="3">
        <f>IF('ORDENES'!$A528="","",IF('ORDENES'!$AQ528="","-",'ORDENES'!$AQ528))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IF('ORDENES'!$A528="","",'ORDENES'!$AD528)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IF('ORDENES'!$A529="","",IF('ORDENES'!$AF529="","-",'ORDENES'!$AF529))</f>
        <v/>
      </c>
      <c r="D551" s="3">
        <f>IF('ORDENES'!$A529="","",IF('ORDENES'!$X529="","-",'ORDENES'!$X529))</f>
        <v/>
      </c>
      <c r="E551" s="3">
        <f>IF('ORDENES'!$A529="","",IF('ORDENES'!$V529="","-",'ORDENES'!$V529))</f>
        <v/>
      </c>
      <c r="F551" s="3">
        <f>IF('ORDENES'!$A529="","",IF('ORDENES'!$Y529="","-",'ORDENES'!$Y529))</f>
        <v/>
      </c>
      <c r="G551" s="3">
        <f>IF('ORDENES'!$A529="","",IF('ORDENES'!$W529="","-",'ORDENES'!$W529))</f>
        <v/>
      </c>
      <c r="H551" s="3">
        <f>IF('ORDENES'!$A529="","",IF('ORDENES'!$AE529="","-",'ORDENES'!$AE529))</f>
        <v/>
      </c>
      <c r="I551" s="3">
        <f>IF('ORDENES'!$A529="","",IF('ORDENES'!$AQ529="","-",'ORDENES'!$AQ529))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IF('ORDENES'!$A529="","",'ORDENES'!$AD529)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IF('ORDENES'!$A530="","",IF('ORDENES'!$AF530="","-",'ORDENES'!$AF530))</f>
        <v/>
      </c>
      <c r="D552" s="3">
        <f>IF('ORDENES'!$A530="","",IF('ORDENES'!$X530="","-",'ORDENES'!$X530))</f>
        <v/>
      </c>
      <c r="E552" s="3">
        <f>IF('ORDENES'!$A530="","",IF('ORDENES'!$V530="","-",'ORDENES'!$V530))</f>
        <v/>
      </c>
      <c r="F552" s="3">
        <f>IF('ORDENES'!$A530="","",IF('ORDENES'!$Y530="","-",'ORDENES'!$Y530))</f>
        <v/>
      </c>
      <c r="G552" s="3">
        <f>IF('ORDENES'!$A530="","",IF('ORDENES'!$W530="","-",'ORDENES'!$W530))</f>
        <v/>
      </c>
      <c r="H552" s="3">
        <f>IF('ORDENES'!$A530="","",IF('ORDENES'!$AE530="","-",'ORDENES'!$AE530))</f>
        <v/>
      </c>
      <c r="I552" s="3">
        <f>IF('ORDENES'!$A530="","",IF('ORDENES'!$AQ530="","-",'ORDENES'!$AQ530))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IF('ORDENES'!$A530="","",'ORDENES'!$AD530)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IF('ORDENES'!$A531="","",IF('ORDENES'!$AF531="","-",'ORDENES'!$AF531))</f>
        <v/>
      </c>
      <c r="D553" s="3">
        <f>IF('ORDENES'!$A531="","",IF('ORDENES'!$X531="","-",'ORDENES'!$X531))</f>
        <v/>
      </c>
      <c r="E553" s="3">
        <f>IF('ORDENES'!$A531="","",IF('ORDENES'!$V531="","-",'ORDENES'!$V531))</f>
        <v/>
      </c>
      <c r="F553" s="3">
        <f>IF('ORDENES'!$A531="","",IF('ORDENES'!$Y531="","-",'ORDENES'!$Y531))</f>
        <v/>
      </c>
      <c r="G553" s="3">
        <f>IF('ORDENES'!$A531="","",IF('ORDENES'!$W531="","-",'ORDENES'!$W531))</f>
        <v/>
      </c>
      <c r="H553" s="3">
        <f>IF('ORDENES'!$A531="","",IF('ORDENES'!$AE531="","-",'ORDENES'!$AE531))</f>
        <v/>
      </c>
      <c r="I553" s="3">
        <f>IF('ORDENES'!$A531="","",IF('ORDENES'!$AQ531="","-",'ORDENES'!$AQ531))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IF('ORDENES'!$A531="","",'ORDENES'!$AD531)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IF('ORDENES'!$A532="","",IF('ORDENES'!$AF532="","-",'ORDENES'!$AF532))</f>
        <v/>
      </c>
      <c r="D554" s="3">
        <f>IF('ORDENES'!$A532="","",IF('ORDENES'!$X532="","-",'ORDENES'!$X532))</f>
        <v/>
      </c>
      <c r="E554" s="3">
        <f>IF('ORDENES'!$A532="","",IF('ORDENES'!$V532="","-",'ORDENES'!$V532))</f>
        <v/>
      </c>
      <c r="F554" s="3">
        <f>IF('ORDENES'!$A532="","",IF('ORDENES'!$Y532="","-",'ORDENES'!$Y532))</f>
        <v/>
      </c>
      <c r="G554" s="3">
        <f>IF('ORDENES'!$A532="","",IF('ORDENES'!$W532="","-",'ORDENES'!$W532))</f>
        <v/>
      </c>
      <c r="H554" s="3">
        <f>IF('ORDENES'!$A532="","",IF('ORDENES'!$AE532="","-",'ORDENES'!$AE532))</f>
        <v/>
      </c>
      <c r="I554" s="3">
        <f>IF('ORDENES'!$A532="","",IF('ORDENES'!$AQ532="","-",'ORDENES'!$AQ532))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IF('ORDENES'!$A532="","",'ORDENES'!$AD532)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IF('ORDENES'!$A533="","",IF('ORDENES'!$AF533="","-",'ORDENES'!$AF533))</f>
        <v/>
      </c>
      <c r="D555" s="3">
        <f>IF('ORDENES'!$A533="","",IF('ORDENES'!$X533="","-",'ORDENES'!$X533))</f>
        <v/>
      </c>
      <c r="E555" s="3">
        <f>IF('ORDENES'!$A533="","",IF('ORDENES'!$V533="","-",'ORDENES'!$V533))</f>
        <v/>
      </c>
      <c r="F555" s="3">
        <f>IF('ORDENES'!$A533="","",IF('ORDENES'!$Y533="","-",'ORDENES'!$Y533))</f>
        <v/>
      </c>
      <c r="G555" s="3">
        <f>IF('ORDENES'!$A533="","",IF('ORDENES'!$W533="","-",'ORDENES'!$W533))</f>
        <v/>
      </c>
      <c r="H555" s="3">
        <f>IF('ORDENES'!$A533="","",IF('ORDENES'!$AE533="","-",'ORDENES'!$AE533))</f>
        <v/>
      </c>
      <c r="I555" s="3">
        <f>IF('ORDENES'!$A533="","",IF('ORDENES'!$AQ533="","-",'ORDENES'!$AQ533))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IF('ORDENES'!$A533="","",'ORDENES'!$AD533)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IF('ORDENES'!$A534="","",IF('ORDENES'!$AF534="","-",'ORDENES'!$AF534))</f>
        <v/>
      </c>
      <c r="D556" s="3">
        <f>IF('ORDENES'!$A534="","",IF('ORDENES'!$X534="","-",'ORDENES'!$X534))</f>
        <v/>
      </c>
      <c r="E556" s="3">
        <f>IF('ORDENES'!$A534="","",IF('ORDENES'!$V534="","-",'ORDENES'!$V534))</f>
        <v/>
      </c>
      <c r="F556" s="3">
        <f>IF('ORDENES'!$A534="","",IF('ORDENES'!$Y534="","-",'ORDENES'!$Y534))</f>
        <v/>
      </c>
      <c r="G556" s="3">
        <f>IF('ORDENES'!$A534="","",IF('ORDENES'!$W534="","-",'ORDENES'!$W534))</f>
        <v/>
      </c>
      <c r="H556" s="3">
        <f>IF('ORDENES'!$A534="","",IF('ORDENES'!$AE534="","-",'ORDENES'!$AE534))</f>
        <v/>
      </c>
      <c r="I556" s="3">
        <f>IF('ORDENES'!$A534="","",IF('ORDENES'!$AQ534="","-",'ORDENES'!$AQ534))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IF('ORDENES'!$A534="","",'ORDENES'!$AD534)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IF('ORDENES'!$A535="","",IF('ORDENES'!$AF535="","-",'ORDENES'!$AF535))</f>
        <v/>
      </c>
      <c r="D557" s="3">
        <f>IF('ORDENES'!$A535="","",IF('ORDENES'!$X535="","-",'ORDENES'!$X535))</f>
        <v/>
      </c>
      <c r="E557" s="3">
        <f>IF('ORDENES'!$A535="","",IF('ORDENES'!$V535="","-",'ORDENES'!$V535))</f>
        <v/>
      </c>
      <c r="F557" s="3">
        <f>IF('ORDENES'!$A535="","",IF('ORDENES'!$Y535="","-",'ORDENES'!$Y535))</f>
        <v/>
      </c>
      <c r="G557" s="3">
        <f>IF('ORDENES'!$A535="","",IF('ORDENES'!$W535="","-",'ORDENES'!$W535))</f>
        <v/>
      </c>
      <c r="H557" s="3">
        <f>IF('ORDENES'!$A535="","",IF('ORDENES'!$AE535="","-",'ORDENES'!$AE535))</f>
        <v/>
      </c>
      <c r="I557" s="3">
        <f>IF('ORDENES'!$A535="","",IF('ORDENES'!$AQ535="","-",'ORDENES'!$AQ535))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IF('ORDENES'!$A535="","",'ORDENES'!$AD535)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IF('ORDENES'!$A536="","",IF('ORDENES'!$AF536="","-",'ORDENES'!$AF536))</f>
        <v/>
      </c>
      <c r="D558" s="3">
        <f>IF('ORDENES'!$A536="","",IF('ORDENES'!$X536="","-",'ORDENES'!$X536))</f>
        <v/>
      </c>
      <c r="E558" s="3">
        <f>IF('ORDENES'!$A536="","",IF('ORDENES'!$V536="","-",'ORDENES'!$V536))</f>
        <v/>
      </c>
      <c r="F558" s="3">
        <f>IF('ORDENES'!$A536="","",IF('ORDENES'!$Y536="","-",'ORDENES'!$Y536))</f>
        <v/>
      </c>
      <c r="G558" s="3">
        <f>IF('ORDENES'!$A536="","",IF('ORDENES'!$W536="","-",'ORDENES'!$W536))</f>
        <v/>
      </c>
      <c r="H558" s="3">
        <f>IF('ORDENES'!$A536="","",IF('ORDENES'!$AE536="","-",'ORDENES'!$AE536))</f>
        <v/>
      </c>
      <c r="I558" s="3">
        <f>IF('ORDENES'!$A536="","",IF('ORDENES'!$AQ536="","-",'ORDENES'!$AQ536))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IF('ORDENES'!$A536="","",'ORDENES'!$AD536)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IF('ORDENES'!$A537="","",IF('ORDENES'!$AF537="","-",'ORDENES'!$AF537))</f>
        <v/>
      </c>
      <c r="D559" s="3">
        <f>IF('ORDENES'!$A537="","",IF('ORDENES'!$X537="","-",'ORDENES'!$X537))</f>
        <v/>
      </c>
      <c r="E559" s="3">
        <f>IF('ORDENES'!$A537="","",IF('ORDENES'!$V537="","-",'ORDENES'!$V537))</f>
        <v/>
      </c>
      <c r="F559" s="3">
        <f>IF('ORDENES'!$A537="","",IF('ORDENES'!$Y537="","-",'ORDENES'!$Y537))</f>
        <v/>
      </c>
      <c r="G559" s="3">
        <f>IF('ORDENES'!$A537="","",IF('ORDENES'!$W537="","-",'ORDENES'!$W537))</f>
        <v/>
      </c>
      <c r="H559" s="3">
        <f>IF('ORDENES'!$A537="","",IF('ORDENES'!$AE537="","-",'ORDENES'!$AE537))</f>
        <v/>
      </c>
      <c r="I559" s="3">
        <f>IF('ORDENES'!$A537="","",IF('ORDENES'!$AQ537="","-",'ORDENES'!$AQ537))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IF('ORDENES'!$A537="","",'ORDENES'!$AD537)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IF('ORDENES'!$A538="","",IF('ORDENES'!$AF538="","-",'ORDENES'!$AF538))</f>
        <v/>
      </c>
      <c r="D560" s="3">
        <f>IF('ORDENES'!$A538="","",IF('ORDENES'!$X538="","-",'ORDENES'!$X538))</f>
        <v/>
      </c>
      <c r="E560" s="3">
        <f>IF('ORDENES'!$A538="","",IF('ORDENES'!$V538="","-",'ORDENES'!$V538))</f>
        <v/>
      </c>
      <c r="F560" s="3">
        <f>IF('ORDENES'!$A538="","",IF('ORDENES'!$Y538="","-",'ORDENES'!$Y538))</f>
        <v/>
      </c>
      <c r="G560" s="3">
        <f>IF('ORDENES'!$A538="","",IF('ORDENES'!$W538="","-",'ORDENES'!$W538))</f>
        <v/>
      </c>
      <c r="H560" s="3">
        <f>IF('ORDENES'!$A538="","",IF('ORDENES'!$AE538="","-",'ORDENES'!$AE538))</f>
        <v/>
      </c>
      <c r="I560" s="3">
        <f>IF('ORDENES'!$A538="","",IF('ORDENES'!$AQ538="","-",'ORDENES'!$AQ538))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IF('ORDENES'!$A538="","",'ORDENES'!$AD538)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IF('ORDENES'!$A539="","",IF('ORDENES'!$AF539="","-",'ORDENES'!$AF539))</f>
        <v/>
      </c>
      <c r="D561" s="3">
        <f>IF('ORDENES'!$A539="","",IF('ORDENES'!$X539="","-",'ORDENES'!$X539))</f>
        <v/>
      </c>
      <c r="E561" s="3">
        <f>IF('ORDENES'!$A539="","",IF('ORDENES'!$V539="","-",'ORDENES'!$V539))</f>
        <v/>
      </c>
      <c r="F561" s="3">
        <f>IF('ORDENES'!$A539="","",IF('ORDENES'!$Y539="","-",'ORDENES'!$Y539))</f>
        <v/>
      </c>
      <c r="G561" s="3">
        <f>IF('ORDENES'!$A539="","",IF('ORDENES'!$W539="","-",'ORDENES'!$W539))</f>
        <v/>
      </c>
      <c r="H561" s="3">
        <f>IF('ORDENES'!$A539="","",IF('ORDENES'!$AE539="","-",'ORDENES'!$AE539))</f>
        <v/>
      </c>
      <c r="I561" s="3">
        <f>IF('ORDENES'!$A539="","",IF('ORDENES'!$AQ539="","-",'ORDENES'!$AQ539))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IF('ORDENES'!$A539="","",'ORDENES'!$AD539)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IF('ORDENES'!$A540="","",IF('ORDENES'!$AF540="","-",'ORDENES'!$AF540))</f>
        <v/>
      </c>
      <c r="D562" s="3">
        <f>IF('ORDENES'!$A540="","",IF('ORDENES'!$X540="","-",'ORDENES'!$X540))</f>
        <v/>
      </c>
      <c r="E562" s="3">
        <f>IF('ORDENES'!$A540="","",IF('ORDENES'!$V540="","-",'ORDENES'!$V540))</f>
        <v/>
      </c>
      <c r="F562" s="3">
        <f>IF('ORDENES'!$A540="","",IF('ORDENES'!$Y540="","-",'ORDENES'!$Y540))</f>
        <v/>
      </c>
      <c r="G562" s="3">
        <f>IF('ORDENES'!$A540="","",IF('ORDENES'!$W540="","-",'ORDENES'!$W540))</f>
        <v/>
      </c>
      <c r="H562" s="3">
        <f>IF('ORDENES'!$A540="","",IF('ORDENES'!$AE540="","-",'ORDENES'!$AE540))</f>
        <v/>
      </c>
      <c r="I562" s="3">
        <f>IF('ORDENES'!$A540="","",IF('ORDENES'!$AQ540="","-",'ORDENES'!$AQ540))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IF('ORDENES'!$A540="","",'ORDENES'!$AD540)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IF('ORDENES'!$A541="","",IF('ORDENES'!$AF541="","-",'ORDENES'!$AF541))</f>
        <v/>
      </c>
      <c r="D563" s="3">
        <f>IF('ORDENES'!$A541="","",IF('ORDENES'!$X541="","-",'ORDENES'!$X541))</f>
        <v/>
      </c>
      <c r="E563" s="3">
        <f>IF('ORDENES'!$A541="","",IF('ORDENES'!$V541="","-",'ORDENES'!$V541))</f>
        <v/>
      </c>
      <c r="F563" s="3">
        <f>IF('ORDENES'!$A541="","",IF('ORDENES'!$Y541="","-",'ORDENES'!$Y541))</f>
        <v/>
      </c>
      <c r="G563" s="3">
        <f>IF('ORDENES'!$A541="","",IF('ORDENES'!$W541="","-",'ORDENES'!$W541))</f>
        <v/>
      </c>
      <c r="H563" s="3">
        <f>IF('ORDENES'!$A541="","",IF('ORDENES'!$AE541="","-",'ORDENES'!$AE541))</f>
        <v/>
      </c>
      <c r="I563" s="3">
        <f>IF('ORDENES'!$A541="","",IF('ORDENES'!$AQ541="","-",'ORDENES'!$AQ541))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IF('ORDENES'!$A541="","",'ORDENES'!$AD541)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IF('ORDENES'!$A542="","",IF('ORDENES'!$AF542="","-",'ORDENES'!$AF542))</f>
        <v/>
      </c>
      <c r="D564" s="3">
        <f>IF('ORDENES'!$A542="","",IF('ORDENES'!$X542="","-",'ORDENES'!$X542))</f>
        <v/>
      </c>
      <c r="E564" s="3">
        <f>IF('ORDENES'!$A542="","",IF('ORDENES'!$V542="","-",'ORDENES'!$V542))</f>
        <v/>
      </c>
      <c r="F564" s="3">
        <f>IF('ORDENES'!$A542="","",IF('ORDENES'!$Y542="","-",'ORDENES'!$Y542))</f>
        <v/>
      </c>
      <c r="G564" s="3">
        <f>IF('ORDENES'!$A542="","",IF('ORDENES'!$W542="","-",'ORDENES'!$W542))</f>
        <v/>
      </c>
      <c r="H564" s="3">
        <f>IF('ORDENES'!$A542="","",IF('ORDENES'!$AE542="","-",'ORDENES'!$AE542))</f>
        <v/>
      </c>
      <c r="I564" s="3">
        <f>IF('ORDENES'!$A542="","",IF('ORDENES'!$AQ542="","-",'ORDENES'!$AQ542))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IF('ORDENES'!$A542="","",'ORDENES'!$AD542)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IF('ORDENES'!$A543="","",IF('ORDENES'!$AF543="","-",'ORDENES'!$AF543))</f>
        <v/>
      </c>
      <c r="D565" s="3">
        <f>IF('ORDENES'!$A543="","",IF('ORDENES'!$X543="","-",'ORDENES'!$X543))</f>
        <v/>
      </c>
      <c r="E565" s="3">
        <f>IF('ORDENES'!$A543="","",IF('ORDENES'!$V543="","-",'ORDENES'!$V543))</f>
        <v/>
      </c>
      <c r="F565" s="3">
        <f>IF('ORDENES'!$A543="","",IF('ORDENES'!$Y543="","-",'ORDENES'!$Y543))</f>
        <v/>
      </c>
      <c r="G565" s="3">
        <f>IF('ORDENES'!$A543="","",IF('ORDENES'!$W543="","-",'ORDENES'!$W543))</f>
        <v/>
      </c>
      <c r="H565" s="3">
        <f>IF('ORDENES'!$A543="","",IF('ORDENES'!$AE543="","-",'ORDENES'!$AE543))</f>
        <v/>
      </c>
      <c r="I565" s="3">
        <f>IF('ORDENES'!$A543="","",IF('ORDENES'!$AQ543="","-",'ORDENES'!$AQ543))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IF('ORDENES'!$A543="","",'ORDENES'!$AD543)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IF('ORDENES'!$A544="","",IF('ORDENES'!$AF544="","-",'ORDENES'!$AF544))</f>
        <v/>
      </c>
      <c r="D566" s="3">
        <f>IF('ORDENES'!$A544="","",IF('ORDENES'!$X544="","-",'ORDENES'!$X544))</f>
        <v/>
      </c>
      <c r="E566" s="3">
        <f>IF('ORDENES'!$A544="","",IF('ORDENES'!$V544="","-",'ORDENES'!$V544))</f>
        <v/>
      </c>
      <c r="F566" s="3">
        <f>IF('ORDENES'!$A544="","",IF('ORDENES'!$Y544="","-",'ORDENES'!$Y544))</f>
        <v/>
      </c>
      <c r="G566" s="3">
        <f>IF('ORDENES'!$A544="","",IF('ORDENES'!$W544="","-",'ORDENES'!$W544))</f>
        <v/>
      </c>
      <c r="H566" s="3">
        <f>IF('ORDENES'!$A544="","",IF('ORDENES'!$AE544="","-",'ORDENES'!$AE544))</f>
        <v/>
      </c>
      <c r="I566" s="3">
        <f>IF('ORDENES'!$A544="","",IF('ORDENES'!$AQ544="","-",'ORDENES'!$AQ544))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IF('ORDENES'!$A544="","",'ORDENES'!$AD544)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IF('ORDENES'!$A545="","",IF('ORDENES'!$AF545="","-",'ORDENES'!$AF545))</f>
        <v/>
      </c>
      <c r="D567" s="3">
        <f>IF('ORDENES'!$A545="","",IF('ORDENES'!$X545="","-",'ORDENES'!$X545))</f>
        <v/>
      </c>
      <c r="E567" s="3">
        <f>IF('ORDENES'!$A545="","",IF('ORDENES'!$V545="","-",'ORDENES'!$V545))</f>
        <v/>
      </c>
      <c r="F567" s="3">
        <f>IF('ORDENES'!$A545="","",IF('ORDENES'!$Y545="","-",'ORDENES'!$Y545))</f>
        <v/>
      </c>
      <c r="G567" s="3">
        <f>IF('ORDENES'!$A545="","",IF('ORDENES'!$W545="","-",'ORDENES'!$W545))</f>
        <v/>
      </c>
      <c r="H567" s="3">
        <f>IF('ORDENES'!$A545="","",IF('ORDENES'!$AE545="","-",'ORDENES'!$AE545))</f>
        <v/>
      </c>
      <c r="I567" s="3">
        <f>IF('ORDENES'!$A545="","",IF('ORDENES'!$AQ545="","-",'ORDENES'!$AQ545))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IF('ORDENES'!$A545="","",'ORDENES'!$AD545)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IF('ORDENES'!$A546="","",IF('ORDENES'!$AF546="","-",'ORDENES'!$AF546))</f>
        <v/>
      </c>
      <c r="D568" s="3">
        <f>IF('ORDENES'!$A546="","",IF('ORDENES'!$X546="","-",'ORDENES'!$X546))</f>
        <v/>
      </c>
      <c r="E568" s="3">
        <f>IF('ORDENES'!$A546="","",IF('ORDENES'!$V546="","-",'ORDENES'!$V546))</f>
        <v/>
      </c>
      <c r="F568" s="3">
        <f>IF('ORDENES'!$A546="","",IF('ORDENES'!$Y546="","-",'ORDENES'!$Y546))</f>
        <v/>
      </c>
      <c r="G568" s="3">
        <f>IF('ORDENES'!$A546="","",IF('ORDENES'!$W546="","-",'ORDENES'!$W546))</f>
        <v/>
      </c>
      <c r="H568" s="3">
        <f>IF('ORDENES'!$A546="","",IF('ORDENES'!$AE546="","-",'ORDENES'!$AE546))</f>
        <v/>
      </c>
      <c r="I568" s="3">
        <f>IF('ORDENES'!$A546="","",IF('ORDENES'!$AQ546="","-",'ORDENES'!$AQ546))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IF('ORDENES'!$A546="","",'ORDENES'!$AD546)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IF('ORDENES'!$A547="","",IF('ORDENES'!$AF547="","-",'ORDENES'!$AF547))</f>
        <v/>
      </c>
      <c r="D569" s="3">
        <f>IF('ORDENES'!$A547="","",IF('ORDENES'!$X547="","-",'ORDENES'!$X547))</f>
        <v/>
      </c>
      <c r="E569" s="3">
        <f>IF('ORDENES'!$A547="","",IF('ORDENES'!$V547="","-",'ORDENES'!$V547))</f>
        <v/>
      </c>
      <c r="F569" s="3">
        <f>IF('ORDENES'!$A547="","",IF('ORDENES'!$Y547="","-",'ORDENES'!$Y547))</f>
        <v/>
      </c>
      <c r="G569" s="3">
        <f>IF('ORDENES'!$A547="","",IF('ORDENES'!$W547="","-",'ORDENES'!$W547))</f>
        <v/>
      </c>
      <c r="H569" s="3">
        <f>IF('ORDENES'!$A547="","",IF('ORDENES'!$AE547="","-",'ORDENES'!$AE547))</f>
        <v/>
      </c>
      <c r="I569" s="3">
        <f>IF('ORDENES'!$A547="","",IF('ORDENES'!$AQ547="","-",'ORDENES'!$AQ547))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IF('ORDENES'!$A547="","",'ORDENES'!$AD547)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IF('ORDENES'!$A548="","",IF('ORDENES'!$AF548="","-",'ORDENES'!$AF548))</f>
        <v/>
      </c>
      <c r="D570" s="3">
        <f>IF('ORDENES'!$A548="","",IF('ORDENES'!$X548="","-",'ORDENES'!$X548))</f>
        <v/>
      </c>
      <c r="E570" s="3">
        <f>IF('ORDENES'!$A548="","",IF('ORDENES'!$V548="","-",'ORDENES'!$V548))</f>
        <v/>
      </c>
      <c r="F570" s="3">
        <f>IF('ORDENES'!$A548="","",IF('ORDENES'!$Y548="","-",'ORDENES'!$Y548))</f>
        <v/>
      </c>
      <c r="G570" s="3">
        <f>IF('ORDENES'!$A548="","",IF('ORDENES'!$W548="","-",'ORDENES'!$W548))</f>
        <v/>
      </c>
      <c r="H570" s="3">
        <f>IF('ORDENES'!$A548="","",IF('ORDENES'!$AE548="","-",'ORDENES'!$AE548))</f>
        <v/>
      </c>
      <c r="I570" s="3">
        <f>IF('ORDENES'!$A548="","",IF('ORDENES'!$AQ548="","-",'ORDENES'!$AQ548))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IF('ORDENES'!$A548="","",'ORDENES'!$AD548)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IF('ORDENES'!$A549="","",IF('ORDENES'!$AF549="","-",'ORDENES'!$AF549))</f>
        <v/>
      </c>
      <c r="D571" s="3">
        <f>IF('ORDENES'!$A549="","",IF('ORDENES'!$X549="","-",'ORDENES'!$X549))</f>
        <v/>
      </c>
      <c r="E571" s="3">
        <f>IF('ORDENES'!$A549="","",IF('ORDENES'!$V549="","-",'ORDENES'!$V549))</f>
        <v/>
      </c>
      <c r="F571" s="3">
        <f>IF('ORDENES'!$A549="","",IF('ORDENES'!$Y549="","-",'ORDENES'!$Y549))</f>
        <v/>
      </c>
      <c r="G571" s="3">
        <f>IF('ORDENES'!$A549="","",IF('ORDENES'!$W549="","-",'ORDENES'!$W549))</f>
        <v/>
      </c>
      <c r="H571" s="3">
        <f>IF('ORDENES'!$A549="","",IF('ORDENES'!$AE549="","-",'ORDENES'!$AE549))</f>
        <v/>
      </c>
      <c r="I571" s="3">
        <f>IF('ORDENES'!$A549="","",IF('ORDENES'!$AQ549="","-",'ORDENES'!$AQ549))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IF('ORDENES'!$A549="","",'ORDENES'!$AD549)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IF('ORDENES'!$A550="","",IF('ORDENES'!$AF550="","-",'ORDENES'!$AF550))</f>
        <v/>
      </c>
      <c r="D572" s="3">
        <f>IF('ORDENES'!$A550="","",IF('ORDENES'!$X550="","-",'ORDENES'!$X550))</f>
        <v/>
      </c>
      <c r="E572" s="3">
        <f>IF('ORDENES'!$A550="","",IF('ORDENES'!$V550="","-",'ORDENES'!$V550))</f>
        <v/>
      </c>
      <c r="F572" s="3">
        <f>IF('ORDENES'!$A550="","",IF('ORDENES'!$Y550="","-",'ORDENES'!$Y550))</f>
        <v/>
      </c>
      <c r="G572" s="3">
        <f>IF('ORDENES'!$A550="","",IF('ORDENES'!$W550="","-",'ORDENES'!$W550))</f>
        <v/>
      </c>
      <c r="H572" s="3">
        <f>IF('ORDENES'!$A550="","",IF('ORDENES'!$AE550="","-",'ORDENES'!$AE550))</f>
        <v/>
      </c>
      <c r="I572" s="3">
        <f>IF('ORDENES'!$A550="","",IF('ORDENES'!$AQ550="","-",'ORDENES'!$AQ550))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IF('ORDENES'!$A550="","",'ORDENES'!$AD550)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IF('ORDENES'!$A551="","",IF('ORDENES'!$AF551="","-",'ORDENES'!$AF551))</f>
        <v/>
      </c>
      <c r="D573" s="3">
        <f>IF('ORDENES'!$A551="","",IF('ORDENES'!$X551="","-",'ORDENES'!$X551))</f>
        <v/>
      </c>
      <c r="E573" s="3">
        <f>IF('ORDENES'!$A551="","",IF('ORDENES'!$V551="","-",'ORDENES'!$V551))</f>
        <v/>
      </c>
      <c r="F573" s="3">
        <f>IF('ORDENES'!$A551="","",IF('ORDENES'!$Y551="","-",'ORDENES'!$Y551))</f>
        <v/>
      </c>
      <c r="G573" s="3">
        <f>IF('ORDENES'!$A551="","",IF('ORDENES'!$W551="","-",'ORDENES'!$W551))</f>
        <v/>
      </c>
      <c r="H573" s="3">
        <f>IF('ORDENES'!$A551="","",IF('ORDENES'!$AE551="","-",'ORDENES'!$AE551))</f>
        <v/>
      </c>
      <c r="I573" s="3">
        <f>IF('ORDENES'!$A551="","",IF('ORDENES'!$AQ551="","-",'ORDENES'!$AQ551))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IF('ORDENES'!$A551="","",'ORDENES'!$AD551)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IF('ORDENES'!$A552="","",IF('ORDENES'!$AF552="","-",'ORDENES'!$AF552))</f>
        <v/>
      </c>
      <c r="D574" s="3">
        <f>IF('ORDENES'!$A552="","",IF('ORDENES'!$X552="","-",'ORDENES'!$X552))</f>
        <v/>
      </c>
      <c r="E574" s="3">
        <f>IF('ORDENES'!$A552="","",IF('ORDENES'!$V552="","-",'ORDENES'!$V552))</f>
        <v/>
      </c>
      <c r="F574" s="3">
        <f>IF('ORDENES'!$A552="","",IF('ORDENES'!$Y552="","-",'ORDENES'!$Y552))</f>
        <v/>
      </c>
      <c r="G574" s="3">
        <f>IF('ORDENES'!$A552="","",IF('ORDENES'!$W552="","-",'ORDENES'!$W552))</f>
        <v/>
      </c>
      <c r="H574" s="3">
        <f>IF('ORDENES'!$A552="","",IF('ORDENES'!$AE552="","-",'ORDENES'!$AE552))</f>
        <v/>
      </c>
      <c r="I574" s="3">
        <f>IF('ORDENES'!$A552="","",IF('ORDENES'!$AQ552="","-",'ORDENES'!$AQ552))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IF('ORDENES'!$A552="","",'ORDENES'!$AD552)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IF('ORDENES'!$A553="","",IF('ORDENES'!$AF553="","-",'ORDENES'!$AF553))</f>
        <v/>
      </c>
      <c r="D575" s="3">
        <f>IF('ORDENES'!$A553="","",IF('ORDENES'!$X553="","-",'ORDENES'!$X553))</f>
        <v/>
      </c>
      <c r="E575" s="3">
        <f>IF('ORDENES'!$A553="","",IF('ORDENES'!$V553="","-",'ORDENES'!$V553))</f>
        <v/>
      </c>
      <c r="F575" s="3">
        <f>IF('ORDENES'!$A553="","",IF('ORDENES'!$Y553="","-",'ORDENES'!$Y553))</f>
        <v/>
      </c>
      <c r="G575" s="3">
        <f>IF('ORDENES'!$A553="","",IF('ORDENES'!$W553="","-",'ORDENES'!$W553))</f>
        <v/>
      </c>
      <c r="H575" s="3">
        <f>IF('ORDENES'!$A553="","",IF('ORDENES'!$AE553="","-",'ORDENES'!$AE553))</f>
        <v/>
      </c>
      <c r="I575" s="3">
        <f>IF('ORDENES'!$A553="","",IF('ORDENES'!$AQ553="","-",'ORDENES'!$AQ553))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IF('ORDENES'!$A553="","",'ORDENES'!$AD553)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IF('ORDENES'!$A554="","",IF('ORDENES'!$AF554="","-",'ORDENES'!$AF554))</f>
        <v/>
      </c>
      <c r="D576" s="3">
        <f>IF('ORDENES'!$A554="","",IF('ORDENES'!$X554="","-",'ORDENES'!$X554))</f>
        <v/>
      </c>
      <c r="E576" s="3">
        <f>IF('ORDENES'!$A554="","",IF('ORDENES'!$V554="","-",'ORDENES'!$V554))</f>
        <v/>
      </c>
      <c r="F576" s="3">
        <f>IF('ORDENES'!$A554="","",IF('ORDENES'!$Y554="","-",'ORDENES'!$Y554))</f>
        <v/>
      </c>
      <c r="G576" s="3">
        <f>IF('ORDENES'!$A554="","",IF('ORDENES'!$W554="","-",'ORDENES'!$W554))</f>
        <v/>
      </c>
      <c r="H576" s="3">
        <f>IF('ORDENES'!$A554="","",IF('ORDENES'!$AE554="","-",'ORDENES'!$AE554))</f>
        <v/>
      </c>
      <c r="I576" s="3">
        <f>IF('ORDENES'!$A554="","",IF('ORDENES'!$AQ554="","-",'ORDENES'!$AQ554))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IF('ORDENES'!$A554="","",'ORDENES'!$AD554)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IF('ORDENES'!$A555="","",IF('ORDENES'!$AF555="","-",'ORDENES'!$AF555))</f>
        <v/>
      </c>
      <c r="D577" s="3">
        <f>IF('ORDENES'!$A555="","",IF('ORDENES'!$X555="","-",'ORDENES'!$X555))</f>
        <v/>
      </c>
      <c r="E577" s="3">
        <f>IF('ORDENES'!$A555="","",IF('ORDENES'!$V555="","-",'ORDENES'!$V555))</f>
        <v/>
      </c>
      <c r="F577" s="3">
        <f>IF('ORDENES'!$A555="","",IF('ORDENES'!$Y555="","-",'ORDENES'!$Y555))</f>
        <v/>
      </c>
      <c r="G577" s="3">
        <f>IF('ORDENES'!$A555="","",IF('ORDENES'!$W555="","-",'ORDENES'!$W555))</f>
        <v/>
      </c>
      <c r="H577" s="3">
        <f>IF('ORDENES'!$A555="","",IF('ORDENES'!$AE555="","-",'ORDENES'!$AE555))</f>
        <v/>
      </c>
      <c r="I577" s="3">
        <f>IF('ORDENES'!$A555="","",IF('ORDENES'!$AQ555="","-",'ORDENES'!$AQ555))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IF('ORDENES'!$A555="","",'ORDENES'!$AD555)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IF('ORDENES'!$A556="","",IF('ORDENES'!$AF556="","-",'ORDENES'!$AF556))</f>
        <v/>
      </c>
      <c r="D578" s="3">
        <f>IF('ORDENES'!$A556="","",IF('ORDENES'!$X556="","-",'ORDENES'!$X556))</f>
        <v/>
      </c>
      <c r="E578" s="3">
        <f>IF('ORDENES'!$A556="","",IF('ORDENES'!$V556="","-",'ORDENES'!$V556))</f>
        <v/>
      </c>
      <c r="F578" s="3">
        <f>IF('ORDENES'!$A556="","",IF('ORDENES'!$Y556="","-",'ORDENES'!$Y556))</f>
        <v/>
      </c>
      <c r="G578" s="3">
        <f>IF('ORDENES'!$A556="","",IF('ORDENES'!$W556="","-",'ORDENES'!$W556))</f>
        <v/>
      </c>
      <c r="H578" s="3">
        <f>IF('ORDENES'!$A556="","",IF('ORDENES'!$AE556="","-",'ORDENES'!$AE556))</f>
        <v/>
      </c>
      <c r="I578" s="3">
        <f>IF('ORDENES'!$A556="","",IF('ORDENES'!$AQ556="","-",'ORDENES'!$AQ556))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IF('ORDENES'!$A556="","",'ORDENES'!$AD556)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IF('ORDENES'!$A557="","",IF('ORDENES'!$AF557="","-",'ORDENES'!$AF557))</f>
        <v/>
      </c>
      <c r="D579" s="3">
        <f>IF('ORDENES'!$A557="","",IF('ORDENES'!$X557="","-",'ORDENES'!$X557))</f>
        <v/>
      </c>
      <c r="E579" s="3">
        <f>IF('ORDENES'!$A557="","",IF('ORDENES'!$V557="","-",'ORDENES'!$V557))</f>
        <v/>
      </c>
      <c r="F579" s="3">
        <f>IF('ORDENES'!$A557="","",IF('ORDENES'!$Y557="","-",'ORDENES'!$Y557))</f>
        <v/>
      </c>
      <c r="G579" s="3">
        <f>IF('ORDENES'!$A557="","",IF('ORDENES'!$W557="","-",'ORDENES'!$W557))</f>
        <v/>
      </c>
      <c r="H579" s="3">
        <f>IF('ORDENES'!$A557="","",IF('ORDENES'!$AE557="","-",'ORDENES'!$AE557))</f>
        <v/>
      </c>
      <c r="I579" s="3">
        <f>IF('ORDENES'!$A557="","",IF('ORDENES'!$AQ557="","-",'ORDENES'!$AQ557))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IF('ORDENES'!$A557="","",'ORDENES'!$AD557)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IF('ORDENES'!$A558="","",IF('ORDENES'!$AF558="","-",'ORDENES'!$AF558))</f>
        <v/>
      </c>
      <c r="D580" s="3">
        <f>IF('ORDENES'!$A558="","",IF('ORDENES'!$X558="","-",'ORDENES'!$X558))</f>
        <v/>
      </c>
      <c r="E580" s="3">
        <f>IF('ORDENES'!$A558="","",IF('ORDENES'!$V558="","-",'ORDENES'!$V558))</f>
        <v/>
      </c>
      <c r="F580" s="3">
        <f>IF('ORDENES'!$A558="","",IF('ORDENES'!$Y558="","-",'ORDENES'!$Y558))</f>
        <v/>
      </c>
      <c r="G580" s="3">
        <f>IF('ORDENES'!$A558="","",IF('ORDENES'!$W558="","-",'ORDENES'!$W558))</f>
        <v/>
      </c>
      <c r="H580" s="3">
        <f>IF('ORDENES'!$A558="","",IF('ORDENES'!$AE558="","-",'ORDENES'!$AE558))</f>
        <v/>
      </c>
      <c r="I580" s="3">
        <f>IF('ORDENES'!$A558="","",IF('ORDENES'!$AQ558="","-",'ORDENES'!$AQ558))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IF('ORDENES'!$A558="","",'ORDENES'!$AD558)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IF('ORDENES'!$A559="","",IF('ORDENES'!$AF559="","-",'ORDENES'!$AF559))</f>
        <v/>
      </c>
      <c r="D581" s="3">
        <f>IF('ORDENES'!$A559="","",IF('ORDENES'!$X559="","-",'ORDENES'!$X559))</f>
        <v/>
      </c>
      <c r="E581" s="3">
        <f>IF('ORDENES'!$A559="","",IF('ORDENES'!$V559="","-",'ORDENES'!$V559))</f>
        <v/>
      </c>
      <c r="F581" s="3">
        <f>IF('ORDENES'!$A559="","",IF('ORDENES'!$Y559="","-",'ORDENES'!$Y559))</f>
        <v/>
      </c>
      <c r="G581" s="3">
        <f>IF('ORDENES'!$A559="","",IF('ORDENES'!$W559="","-",'ORDENES'!$W559))</f>
        <v/>
      </c>
      <c r="H581" s="3">
        <f>IF('ORDENES'!$A559="","",IF('ORDENES'!$AE559="","-",'ORDENES'!$AE559))</f>
        <v/>
      </c>
      <c r="I581" s="3">
        <f>IF('ORDENES'!$A559="","",IF('ORDENES'!$AQ559="","-",'ORDENES'!$AQ559))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IF('ORDENES'!$A559="","",'ORDENES'!$AD559)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IF('ORDENES'!$A560="","",IF('ORDENES'!$AF560="","-",'ORDENES'!$AF560))</f>
        <v/>
      </c>
      <c r="D582" s="3">
        <f>IF('ORDENES'!$A560="","",IF('ORDENES'!$X560="","-",'ORDENES'!$X560))</f>
        <v/>
      </c>
      <c r="E582" s="3">
        <f>IF('ORDENES'!$A560="","",IF('ORDENES'!$V560="","-",'ORDENES'!$V560))</f>
        <v/>
      </c>
      <c r="F582" s="3">
        <f>IF('ORDENES'!$A560="","",IF('ORDENES'!$Y560="","-",'ORDENES'!$Y560))</f>
        <v/>
      </c>
      <c r="G582" s="3">
        <f>IF('ORDENES'!$A560="","",IF('ORDENES'!$W560="","-",'ORDENES'!$W560))</f>
        <v/>
      </c>
      <c r="H582" s="3">
        <f>IF('ORDENES'!$A560="","",IF('ORDENES'!$AE560="","-",'ORDENES'!$AE560))</f>
        <v/>
      </c>
      <c r="I582" s="3">
        <f>IF('ORDENES'!$A560="","",IF('ORDENES'!$AQ560="","-",'ORDENES'!$AQ560))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IF('ORDENES'!$A560="","",'ORDENES'!$AD560)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IF('ORDENES'!$A561="","",IF('ORDENES'!$AF561="","-",'ORDENES'!$AF561))</f>
        <v/>
      </c>
      <c r="D583" s="3">
        <f>IF('ORDENES'!$A561="","",IF('ORDENES'!$X561="","-",'ORDENES'!$X561))</f>
        <v/>
      </c>
      <c r="E583" s="3">
        <f>IF('ORDENES'!$A561="","",IF('ORDENES'!$V561="","-",'ORDENES'!$V561))</f>
        <v/>
      </c>
      <c r="F583" s="3">
        <f>IF('ORDENES'!$A561="","",IF('ORDENES'!$Y561="","-",'ORDENES'!$Y561))</f>
        <v/>
      </c>
      <c r="G583" s="3">
        <f>IF('ORDENES'!$A561="","",IF('ORDENES'!$W561="","-",'ORDENES'!$W561))</f>
        <v/>
      </c>
      <c r="H583" s="3">
        <f>IF('ORDENES'!$A561="","",IF('ORDENES'!$AE561="","-",'ORDENES'!$AE561))</f>
        <v/>
      </c>
      <c r="I583" s="3">
        <f>IF('ORDENES'!$A561="","",IF('ORDENES'!$AQ561="","-",'ORDENES'!$AQ561))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IF('ORDENES'!$A561="","",'ORDENES'!$AD561)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IF('ORDENES'!$A562="","",IF('ORDENES'!$AF562="","-",'ORDENES'!$AF562))</f>
        <v/>
      </c>
      <c r="D584" s="3">
        <f>IF('ORDENES'!$A562="","",IF('ORDENES'!$X562="","-",'ORDENES'!$X562))</f>
        <v/>
      </c>
      <c r="E584" s="3">
        <f>IF('ORDENES'!$A562="","",IF('ORDENES'!$V562="","-",'ORDENES'!$V562))</f>
        <v/>
      </c>
      <c r="F584" s="3">
        <f>IF('ORDENES'!$A562="","",IF('ORDENES'!$Y562="","-",'ORDENES'!$Y562))</f>
        <v/>
      </c>
      <c r="G584" s="3">
        <f>IF('ORDENES'!$A562="","",IF('ORDENES'!$W562="","-",'ORDENES'!$W562))</f>
        <v/>
      </c>
      <c r="H584" s="3">
        <f>IF('ORDENES'!$A562="","",IF('ORDENES'!$AE562="","-",'ORDENES'!$AE562))</f>
        <v/>
      </c>
      <c r="I584" s="3">
        <f>IF('ORDENES'!$A562="","",IF('ORDENES'!$AQ562="","-",'ORDENES'!$AQ562))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IF('ORDENES'!$A562="","",'ORDENES'!$AD562)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IF('ORDENES'!$A563="","",IF('ORDENES'!$AF563="","-",'ORDENES'!$AF563))</f>
        <v/>
      </c>
      <c r="D585" s="3">
        <f>IF('ORDENES'!$A563="","",IF('ORDENES'!$X563="","-",'ORDENES'!$X563))</f>
        <v/>
      </c>
      <c r="E585" s="3">
        <f>IF('ORDENES'!$A563="","",IF('ORDENES'!$V563="","-",'ORDENES'!$V563))</f>
        <v/>
      </c>
      <c r="F585" s="3">
        <f>IF('ORDENES'!$A563="","",IF('ORDENES'!$Y563="","-",'ORDENES'!$Y563))</f>
        <v/>
      </c>
      <c r="G585" s="3">
        <f>IF('ORDENES'!$A563="","",IF('ORDENES'!$W563="","-",'ORDENES'!$W563))</f>
        <v/>
      </c>
      <c r="H585" s="3">
        <f>IF('ORDENES'!$A563="","",IF('ORDENES'!$AE563="","-",'ORDENES'!$AE563))</f>
        <v/>
      </c>
      <c r="I585" s="3">
        <f>IF('ORDENES'!$A563="","",IF('ORDENES'!$AQ563="","-",'ORDENES'!$AQ563))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IF('ORDENES'!$A563="","",'ORDENES'!$AD563)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IF('ORDENES'!$A564="","",IF('ORDENES'!$AF564="","-",'ORDENES'!$AF564))</f>
        <v/>
      </c>
      <c r="D586" s="3">
        <f>IF('ORDENES'!$A564="","",IF('ORDENES'!$X564="","-",'ORDENES'!$X564))</f>
        <v/>
      </c>
      <c r="E586" s="3">
        <f>IF('ORDENES'!$A564="","",IF('ORDENES'!$V564="","-",'ORDENES'!$V564))</f>
        <v/>
      </c>
      <c r="F586" s="3">
        <f>IF('ORDENES'!$A564="","",IF('ORDENES'!$Y564="","-",'ORDENES'!$Y564))</f>
        <v/>
      </c>
      <c r="G586" s="3">
        <f>IF('ORDENES'!$A564="","",IF('ORDENES'!$W564="","-",'ORDENES'!$W564))</f>
        <v/>
      </c>
      <c r="H586" s="3">
        <f>IF('ORDENES'!$A564="","",IF('ORDENES'!$AE564="","-",'ORDENES'!$AE564))</f>
        <v/>
      </c>
      <c r="I586" s="3">
        <f>IF('ORDENES'!$A564="","",IF('ORDENES'!$AQ564="","-",'ORDENES'!$AQ564))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IF('ORDENES'!$A564="","",'ORDENES'!$AD564)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IF('ORDENES'!$A565="","",IF('ORDENES'!$AF565="","-",'ORDENES'!$AF565))</f>
        <v/>
      </c>
      <c r="D587" s="3">
        <f>IF('ORDENES'!$A565="","",IF('ORDENES'!$X565="","-",'ORDENES'!$X565))</f>
        <v/>
      </c>
      <c r="E587" s="3">
        <f>IF('ORDENES'!$A565="","",IF('ORDENES'!$V565="","-",'ORDENES'!$V565))</f>
        <v/>
      </c>
      <c r="F587" s="3">
        <f>IF('ORDENES'!$A565="","",IF('ORDENES'!$Y565="","-",'ORDENES'!$Y565))</f>
        <v/>
      </c>
      <c r="G587" s="3">
        <f>IF('ORDENES'!$A565="","",IF('ORDENES'!$W565="","-",'ORDENES'!$W565))</f>
        <v/>
      </c>
      <c r="H587" s="3">
        <f>IF('ORDENES'!$A565="","",IF('ORDENES'!$AE565="","-",'ORDENES'!$AE565))</f>
        <v/>
      </c>
      <c r="I587" s="3">
        <f>IF('ORDENES'!$A565="","",IF('ORDENES'!$AQ565="","-",'ORDENES'!$AQ565))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IF('ORDENES'!$A565="","",'ORDENES'!$AD565)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IF('ORDENES'!$A566="","",IF('ORDENES'!$AF566="","-",'ORDENES'!$AF566))</f>
        <v/>
      </c>
      <c r="D588" s="3">
        <f>IF('ORDENES'!$A566="","",IF('ORDENES'!$X566="","-",'ORDENES'!$X566))</f>
        <v/>
      </c>
      <c r="E588" s="3">
        <f>IF('ORDENES'!$A566="","",IF('ORDENES'!$V566="","-",'ORDENES'!$V566))</f>
        <v/>
      </c>
      <c r="F588" s="3">
        <f>IF('ORDENES'!$A566="","",IF('ORDENES'!$Y566="","-",'ORDENES'!$Y566))</f>
        <v/>
      </c>
      <c r="G588" s="3">
        <f>IF('ORDENES'!$A566="","",IF('ORDENES'!$W566="","-",'ORDENES'!$W566))</f>
        <v/>
      </c>
      <c r="H588" s="3">
        <f>IF('ORDENES'!$A566="","",IF('ORDENES'!$AE566="","-",'ORDENES'!$AE566))</f>
        <v/>
      </c>
      <c r="I588" s="3">
        <f>IF('ORDENES'!$A566="","",IF('ORDENES'!$AQ566="","-",'ORDENES'!$AQ566))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IF('ORDENES'!$A566="","",'ORDENES'!$AD566)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IF('ORDENES'!$A567="","",IF('ORDENES'!$AF567="","-",'ORDENES'!$AF567))</f>
        <v/>
      </c>
      <c r="D589" s="3">
        <f>IF('ORDENES'!$A567="","",IF('ORDENES'!$X567="","-",'ORDENES'!$X567))</f>
        <v/>
      </c>
      <c r="E589" s="3">
        <f>IF('ORDENES'!$A567="","",IF('ORDENES'!$V567="","-",'ORDENES'!$V567))</f>
        <v/>
      </c>
      <c r="F589" s="3">
        <f>IF('ORDENES'!$A567="","",IF('ORDENES'!$Y567="","-",'ORDENES'!$Y567))</f>
        <v/>
      </c>
      <c r="G589" s="3">
        <f>IF('ORDENES'!$A567="","",IF('ORDENES'!$W567="","-",'ORDENES'!$W567))</f>
        <v/>
      </c>
      <c r="H589" s="3">
        <f>IF('ORDENES'!$A567="","",IF('ORDENES'!$AE567="","-",'ORDENES'!$AE567))</f>
        <v/>
      </c>
      <c r="I589" s="3">
        <f>IF('ORDENES'!$A567="","",IF('ORDENES'!$AQ567="","-",'ORDENES'!$AQ567))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IF('ORDENES'!$A567="","",'ORDENES'!$AD567)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IF('ORDENES'!$A568="","",IF('ORDENES'!$AF568="","-",'ORDENES'!$AF568))</f>
        <v/>
      </c>
      <c r="D590" s="3">
        <f>IF('ORDENES'!$A568="","",IF('ORDENES'!$X568="","-",'ORDENES'!$X568))</f>
        <v/>
      </c>
      <c r="E590" s="3">
        <f>IF('ORDENES'!$A568="","",IF('ORDENES'!$V568="","-",'ORDENES'!$V568))</f>
        <v/>
      </c>
      <c r="F590" s="3">
        <f>IF('ORDENES'!$A568="","",IF('ORDENES'!$Y568="","-",'ORDENES'!$Y568))</f>
        <v/>
      </c>
      <c r="G590" s="3">
        <f>IF('ORDENES'!$A568="","",IF('ORDENES'!$W568="","-",'ORDENES'!$W568))</f>
        <v/>
      </c>
      <c r="H590" s="3">
        <f>IF('ORDENES'!$A568="","",IF('ORDENES'!$AE568="","-",'ORDENES'!$AE568))</f>
        <v/>
      </c>
      <c r="I590" s="3">
        <f>IF('ORDENES'!$A568="","",IF('ORDENES'!$AQ568="","-",'ORDENES'!$AQ568))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IF('ORDENES'!$A568="","",'ORDENES'!$AD568)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IF('ORDENES'!$A569="","",IF('ORDENES'!$AF569="","-",'ORDENES'!$AF569))</f>
        <v/>
      </c>
      <c r="D591" s="3">
        <f>IF('ORDENES'!$A569="","",IF('ORDENES'!$X569="","-",'ORDENES'!$X569))</f>
        <v/>
      </c>
      <c r="E591" s="3">
        <f>IF('ORDENES'!$A569="","",IF('ORDENES'!$V569="","-",'ORDENES'!$V569))</f>
        <v/>
      </c>
      <c r="F591" s="3">
        <f>IF('ORDENES'!$A569="","",IF('ORDENES'!$Y569="","-",'ORDENES'!$Y569))</f>
        <v/>
      </c>
      <c r="G591" s="3">
        <f>IF('ORDENES'!$A569="","",IF('ORDENES'!$W569="","-",'ORDENES'!$W569))</f>
        <v/>
      </c>
      <c r="H591" s="3">
        <f>IF('ORDENES'!$A569="","",IF('ORDENES'!$AE569="","-",'ORDENES'!$AE569))</f>
        <v/>
      </c>
      <c r="I591" s="3">
        <f>IF('ORDENES'!$A569="","",IF('ORDENES'!$AQ569="","-",'ORDENES'!$AQ569))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IF('ORDENES'!$A569="","",'ORDENES'!$AD569)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IF('ORDENES'!$A570="","",IF('ORDENES'!$AF570="","-",'ORDENES'!$AF570))</f>
        <v/>
      </c>
      <c r="D592" s="3">
        <f>IF('ORDENES'!$A570="","",IF('ORDENES'!$X570="","-",'ORDENES'!$X570))</f>
        <v/>
      </c>
      <c r="E592" s="3">
        <f>IF('ORDENES'!$A570="","",IF('ORDENES'!$V570="","-",'ORDENES'!$V570))</f>
        <v/>
      </c>
      <c r="F592" s="3">
        <f>IF('ORDENES'!$A570="","",IF('ORDENES'!$Y570="","-",'ORDENES'!$Y570))</f>
        <v/>
      </c>
      <c r="G592" s="3">
        <f>IF('ORDENES'!$A570="","",IF('ORDENES'!$W570="","-",'ORDENES'!$W570))</f>
        <v/>
      </c>
      <c r="H592" s="3">
        <f>IF('ORDENES'!$A570="","",IF('ORDENES'!$AE570="","-",'ORDENES'!$AE570))</f>
        <v/>
      </c>
      <c r="I592" s="3">
        <f>IF('ORDENES'!$A570="","",IF('ORDENES'!$AQ570="","-",'ORDENES'!$AQ570))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IF('ORDENES'!$A570="","",'ORDENES'!$AD570)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IF('ORDENES'!$A571="","",IF('ORDENES'!$AF571="","-",'ORDENES'!$AF571))</f>
        <v/>
      </c>
      <c r="D593" s="3">
        <f>IF('ORDENES'!$A571="","",IF('ORDENES'!$X571="","-",'ORDENES'!$X571))</f>
        <v/>
      </c>
      <c r="E593" s="3">
        <f>IF('ORDENES'!$A571="","",IF('ORDENES'!$V571="","-",'ORDENES'!$V571))</f>
        <v/>
      </c>
      <c r="F593" s="3">
        <f>IF('ORDENES'!$A571="","",IF('ORDENES'!$Y571="","-",'ORDENES'!$Y571))</f>
        <v/>
      </c>
      <c r="G593" s="3">
        <f>IF('ORDENES'!$A571="","",IF('ORDENES'!$W571="","-",'ORDENES'!$W571))</f>
        <v/>
      </c>
      <c r="H593" s="3">
        <f>IF('ORDENES'!$A571="","",IF('ORDENES'!$AE571="","-",'ORDENES'!$AE571))</f>
        <v/>
      </c>
      <c r="I593" s="3">
        <f>IF('ORDENES'!$A571="","",IF('ORDENES'!$AQ571="","-",'ORDENES'!$AQ571))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IF('ORDENES'!$A571="","",'ORDENES'!$AD571)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IF('ORDENES'!$A572="","",IF('ORDENES'!$AF572="","-",'ORDENES'!$AF572))</f>
        <v/>
      </c>
      <c r="D594" s="3">
        <f>IF('ORDENES'!$A572="","",IF('ORDENES'!$X572="","-",'ORDENES'!$X572))</f>
        <v/>
      </c>
      <c r="E594" s="3">
        <f>IF('ORDENES'!$A572="","",IF('ORDENES'!$V572="","-",'ORDENES'!$V572))</f>
        <v/>
      </c>
      <c r="F594" s="3">
        <f>IF('ORDENES'!$A572="","",IF('ORDENES'!$Y572="","-",'ORDENES'!$Y572))</f>
        <v/>
      </c>
      <c r="G594" s="3">
        <f>IF('ORDENES'!$A572="","",IF('ORDENES'!$W572="","-",'ORDENES'!$W572))</f>
        <v/>
      </c>
      <c r="H594" s="3">
        <f>IF('ORDENES'!$A572="","",IF('ORDENES'!$AE572="","-",'ORDENES'!$AE572))</f>
        <v/>
      </c>
      <c r="I594" s="3">
        <f>IF('ORDENES'!$A572="","",IF('ORDENES'!$AQ572="","-",'ORDENES'!$AQ572))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IF('ORDENES'!$A572="","",'ORDENES'!$AD572)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IF('ORDENES'!$A573="","",IF('ORDENES'!$AF573="","-",'ORDENES'!$AF573))</f>
        <v/>
      </c>
      <c r="D595" s="3">
        <f>IF('ORDENES'!$A573="","",IF('ORDENES'!$X573="","-",'ORDENES'!$X573))</f>
        <v/>
      </c>
      <c r="E595" s="3">
        <f>IF('ORDENES'!$A573="","",IF('ORDENES'!$V573="","-",'ORDENES'!$V573))</f>
        <v/>
      </c>
      <c r="F595" s="3">
        <f>IF('ORDENES'!$A573="","",IF('ORDENES'!$Y573="","-",'ORDENES'!$Y573))</f>
        <v/>
      </c>
      <c r="G595" s="3">
        <f>IF('ORDENES'!$A573="","",IF('ORDENES'!$W573="","-",'ORDENES'!$W573))</f>
        <v/>
      </c>
      <c r="H595" s="3">
        <f>IF('ORDENES'!$A573="","",IF('ORDENES'!$AE573="","-",'ORDENES'!$AE573))</f>
        <v/>
      </c>
      <c r="I595" s="3">
        <f>IF('ORDENES'!$A573="","",IF('ORDENES'!$AQ573="","-",'ORDENES'!$AQ573))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IF('ORDENES'!$A573="","",'ORDENES'!$AD573)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IF('ORDENES'!$A574="","",IF('ORDENES'!$AF574="","-",'ORDENES'!$AF574))</f>
        <v/>
      </c>
      <c r="D596" s="3">
        <f>IF('ORDENES'!$A574="","",IF('ORDENES'!$X574="","-",'ORDENES'!$X574))</f>
        <v/>
      </c>
      <c r="E596" s="3">
        <f>IF('ORDENES'!$A574="","",IF('ORDENES'!$V574="","-",'ORDENES'!$V574))</f>
        <v/>
      </c>
      <c r="F596" s="3">
        <f>IF('ORDENES'!$A574="","",IF('ORDENES'!$Y574="","-",'ORDENES'!$Y574))</f>
        <v/>
      </c>
      <c r="G596" s="3">
        <f>IF('ORDENES'!$A574="","",IF('ORDENES'!$W574="","-",'ORDENES'!$W574))</f>
        <v/>
      </c>
      <c r="H596" s="3">
        <f>IF('ORDENES'!$A574="","",IF('ORDENES'!$AE574="","-",'ORDENES'!$AE574))</f>
        <v/>
      </c>
      <c r="I596" s="3">
        <f>IF('ORDENES'!$A574="","",IF('ORDENES'!$AQ574="","-",'ORDENES'!$AQ574))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IF('ORDENES'!$A574="","",'ORDENES'!$AD574)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IF('ORDENES'!$A575="","",IF('ORDENES'!$AF575="","-",'ORDENES'!$AF575))</f>
        <v/>
      </c>
      <c r="D597" s="3">
        <f>IF('ORDENES'!$A575="","",IF('ORDENES'!$X575="","-",'ORDENES'!$X575))</f>
        <v/>
      </c>
      <c r="E597" s="3">
        <f>IF('ORDENES'!$A575="","",IF('ORDENES'!$V575="","-",'ORDENES'!$V575))</f>
        <v/>
      </c>
      <c r="F597" s="3">
        <f>IF('ORDENES'!$A575="","",IF('ORDENES'!$Y575="","-",'ORDENES'!$Y575))</f>
        <v/>
      </c>
      <c r="G597" s="3">
        <f>IF('ORDENES'!$A575="","",IF('ORDENES'!$W575="","-",'ORDENES'!$W575))</f>
        <v/>
      </c>
      <c r="H597" s="3">
        <f>IF('ORDENES'!$A575="","",IF('ORDENES'!$AE575="","-",'ORDENES'!$AE575))</f>
        <v/>
      </c>
      <c r="I597" s="3">
        <f>IF('ORDENES'!$A575="","",IF('ORDENES'!$AQ575="","-",'ORDENES'!$AQ575))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IF('ORDENES'!$A575="","",'ORDENES'!$AD575)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IF('ORDENES'!$A576="","",IF('ORDENES'!$AF576="","-",'ORDENES'!$AF576))</f>
        <v/>
      </c>
      <c r="D598" s="3">
        <f>IF('ORDENES'!$A576="","",IF('ORDENES'!$X576="","-",'ORDENES'!$X576))</f>
        <v/>
      </c>
      <c r="E598" s="3">
        <f>IF('ORDENES'!$A576="","",IF('ORDENES'!$V576="","-",'ORDENES'!$V576))</f>
        <v/>
      </c>
      <c r="F598" s="3">
        <f>IF('ORDENES'!$A576="","",IF('ORDENES'!$Y576="","-",'ORDENES'!$Y576))</f>
        <v/>
      </c>
      <c r="G598" s="3">
        <f>IF('ORDENES'!$A576="","",IF('ORDENES'!$W576="","-",'ORDENES'!$W576))</f>
        <v/>
      </c>
      <c r="H598" s="3">
        <f>IF('ORDENES'!$A576="","",IF('ORDENES'!$AE576="","-",'ORDENES'!$AE576))</f>
        <v/>
      </c>
      <c r="I598" s="3">
        <f>IF('ORDENES'!$A576="","",IF('ORDENES'!$AQ576="","-",'ORDENES'!$AQ576))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IF('ORDENES'!$A576="","",'ORDENES'!$AD576)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IF('ORDENES'!$A577="","",IF('ORDENES'!$AF577="","-",'ORDENES'!$AF577))</f>
        <v/>
      </c>
      <c r="D599" s="3">
        <f>IF('ORDENES'!$A577="","",IF('ORDENES'!$X577="","-",'ORDENES'!$X577))</f>
        <v/>
      </c>
      <c r="E599" s="3">
        <f>IF('ORDENES'!$A577="","",IF('ORDENES'!$V577="","-",'ORDENES'!$V577))</f>
        <v/>
      </c>
      <c r="F599" s="3">
        <f>IF('ORDENES'!$A577="","",IF('ORDENES'!$Y577="","-",'ORDENES'!$Y577))</f>
        <v/>
      </c>
      <c r="G599" s="3">
        <f>IF('ORDENES'!$A577="","",IF('ORDENES'!$W577="","-",'ORDENES'!$W577))</f>
        <v/>
      </c>
      <c r="H599" s="3">
        <f>IF('ORDENES'!$A577="","",IF('ORDENES'!$AE577="","-",'ORDENES'!$AE577))</f>
        <v/>
      </c>
      <c r="I599" s="3">
        <f>IF('ORDENES'!$A577="","",IF('ORDENES'!$AQ577="","-",'ORDENES'!$AQ577))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IF('ORDENES'!$A577="","",'ORDENES'!$AD577)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IF('ORDENES'!$A578="","",IF('ORDENES'!$AF578="","-",'ORDENES'!$AF578))</f>
        <v/>
      </c>
      <c r="D600" s="3">
        <f>IF('ORDENES'!$A578="","",IF('ORDENES'!$X578="","-",'ORDENES'!$X578))</f>
        <v/>
      </c>
      <c r="E600" s="3">
        <f>IF('ORDENES'!$A578="","",IF('ORDENES'!$V578="","-",'ORDENES'!$V578))</f>
        <v/>
      </c>
      <c r="F600" s="3">
        <f>IF('ORDENES'!$A578="","",IF('ORDENES'!$Y578="","-",'ORDENES'!$Y578))</f>
        <v/>
      </c>
      <c r="G600" s="3">
        <f>IF('ORDENES'!$A578="","",IF('ORDENES'!$W578="","-",'ORDENES'!$W578))</f>
        <v/>
      </c>
      <c r="H600" s="3">
        <f>IF('ORDENES'!$A578="","",IF('ORDENES'!$AE578="","-",'ORDENES'!$AE578))</f>
        <v/>
      </c>
      <c r="I600" s="3">
        <f>IF('ORDENES'!$A578="","",IF('ORDENES'!$AQ578="","-",'ORDENES'!$AQ578))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IF('ORDENES'!$A578="","",'ORDENES'!$AD578)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IF('ORDENES'!$A579="","",IF('ORDENES'!$AF579="","-",'ORDENES'!$AF579))</f>
        <v/>
      </c>
      <c r="D601" s="3">
        <f>IF('ORDENES'!$A579="","",IF('ORDENES'!$X579="","-",'ORDENES'!$X579))</f>
        <v/>
      </c>
      <c r="E601" s="3">
        <f>IF('ORDENES'!$A579="","",IF('ORDENES'!$V579="","-",'ORDENES'!$V579))</f>
        <v/>
      </c>
      <c r="F601" s="3">
        <f>IF('ORDENES'!$A579="","",IF('ORDENES'!$Y579="","-",'ORDENES'!$Y579))</f>
        <v/>
      </c>
      <c r="G601" s="3">
        <f>IF('ORDENES'!$A579="","",IF('ORDENES'!$W579="","-",'ORDENES'!$W579))</f>
        <v/>
      </c>
      <c r="H601" s="3">
        <f>IF('ORDENES'!$A579="","",IF('ORDENES'!$AE579="","-",'ORDENES'!$AE579))</f>
        <v/>
      </c>
      <c r="I601" s="3">
        <f>IF('ORDENES'!$A579="","",IF('ORDENES'!$AQ579="","-",'ORDENES'!$AQ579))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IF('ORDENES'!$A579="","",'ORDENES'!$AD579)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IF('ORDENES'!$A580="","",IF('ORDENES'!$AF580="","-",'ORDENES'!$AF580))</f>
        <v/>
      </c>
      <c r="D602" s="3">
        <f>IF('ORDENES'!$A580="","",IF('ORDENES'!$X580="","-",'ORDENES'!$X580))</f>
        <v/>
      </c>
      <c r="E602" s="3">
        <f>IF('ORDENES'!$A580="","",IF('ORDENES'!$V580="","-",'ORDENES'!$V580))</f>
        <v/>
      </c>
      <c r="F602" s="3">
        <f>IF('ORDENES'!$A580="","",IF('ORDENES'!$Y580="","-",'ORDENES'!$Y580))</f>
        <v/>
      </c>
      <c r="G602" s="3">
        <f>IF('ORDENES'!$A580="","",IF('ORDENES'!$W580="","-",'ORDENES'!$W580))</f>
        <v/>
      </c>
      <c r="H602" s="3">
        <f>IF('ORDENES'!$A580="","",IF('ORDENES'!$AE580="","-",'ORDENES'!$AE580))</f>
        <v/>
      </c>
      <c r="I602" s="3">
        <f>IF('ORDENES'!$A580="","",IF('ORDENES'!$AQ580="","-",'ORDENES'!$AQ580))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IF('ORDENES'!$A580="","",'ORDENES'!$AD580)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IF('ORDENES'!$A581="","",IF('ORDENES'!$AF581="","-",'ORDENES'!$AF581))</f>
        <v/>
      </c>
      <c r="D603" s="3">
        <f>IF('ORDENES'!$A581="","",IF('ORDENES'!$X581="","-",'ORDENES'!$X581))</f>
        <v/>
      </c>
      <c r="E603" s="3">
        <f>IF('ORDENES'!$A581="","",IF('ORDENES'!$V581="","-",'ORDENES'!$V581))</f>
        <v/>
      </c>
      <c r="F603" s="3">
        <f>IF('ORDENES'!$A581="","",IF('ORDENES'!$Y581="","-",'ORDENES'!$Y581))</f>
        <v/>
      </c>
      <c r="G603" s="3">
        <f>IF('ORDENES'!$A581="","",IF('ORDENES'!$W581="","-",'ORDENES'!$W581))</f>
        <v/>
      </c>
      <c r="H603" s="3">
        <f>IF('ORDENES'!$A581="","",IF('ORDENES'!$AE581="","-",'ORDENES'!$AE581))</f>
        <v/>
      </c>
      <c r="I603" s="3">
        <f>IF('ORDENES'!$A581="","",IF('ORDENES'!$AQ581="","-",'ORDENES'!$AQ581))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IF('ORDENES'!$A581="","",'ORDENES'!$AD581)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IF('ORDENES'!$A582="","",IF('ORDENES'!$AF582="","-",'ORDENES'!$AF582))</f>
        <v/>
      </c>
      <c r="D604" s="3">
        <f>IF('ORDENES'!$A582="","",IF('ORDENES'!$X582="","-",'ORDENES'!$X582))</f>
        <v/>
      </c>
      <c r="E604" s="3">
        <f>IF('ORDENES'!$A582="","",IF('ORDENES'!$V582="","-",'ORDENES'!$V582))</f>
        <v/>
      </c>
      <c r="F604" s="3">
        <f>IF('ORDENES'!$A582="","",IF('ORDENES'!$Y582="","-",'ORDENES'!$Y582))</f>
        <v/>
      </c>
      <c r="G604" s="3">
        <f>IF('ORDENES'!$A582="","",IF('ORDENES'!$W582="","-",'ORDENES'!$W582))</f>
        <v/>
      </c>
      <c r="H604" s="3">
        <f>IF('ORDENES'!$A582="","",IF('ORDENES'!$AE582="","-",'ORDENES'!$AE582))</f>
        <v/>
      </c>
      <c r="I604" s="3">
        <f>IF('ORDENES'!$A582="","",IF('ORDENES'!$AQ582="","-",'ORDENES'!$AQ582))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IF('ORDENES'!$A582="","",'ORDENES'!$AD582)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IF('ORDENES'!$A583="","",IF('ORDENES'!$AF583="","-",'ORDENES'!$AF583))</f>
        <v/>
      </c>
      <c r="D605" s="3">
        <f>IF('ORDENES'!$A583="","",IF('ORDENES'!$X583="","-",'ORDENES'!$X583))</f>
        <v/>
      </c>
      <c r="E605" s="3">
        <f>IF('ORDENES'!$A583="","",IF('ORDENES'!$V583="","-",'ORDENES'!$V583))</f>
        <v/>
      </c>
      <c r="F605" s="3">
        <f>IF('ORDENES'!$A583="","",IF('ORDENES'!$Y583="","-",'ORDENES'!$Y583))</f>
        <v/>
      </c>
      <c r="G605" s="3">
        <f>IF('ORDENES'!$A583="","",IF('ORDENES'!$W583="","-",'ORDENES'!$W583))</f>
        <v/>
      </c>
      <c r="H605" s="3">
        <f>IF('ORDENES'!$A583="","",IF('ORDENES'!$AE583="","-",'ORDENES'!$AE583))</f>
        <v/>
      </c>
      <c r="I605" s="3">
        <f>IF('ORDENES'!$A583="","",IF('ORDENES'!$AQ583="","-",'ORDENES'!$AQ583))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IF('ORDENES'!$A583="","",'ORDENES'!$AD583)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IF('ORDENES'!$A584="","",IF('ORDENES'!$AF584="","-",'ORDENES'!$AF584))</f>
        <v/>
      </c>
      <c r="D606" s="3">
        <f>IF('ORDENES'!$A584="","",IF('ORDENES'!$X584="","-",'ORDENES'!$X584))</f>
        <v/>
      </c>
      <c r="E606" s="3">
        <f>IF('ORDENES'!$A584="","",IF('ORDENES'!$V584="","-",'ORDENES'!$V584))</f>
        <v/>
      </c>
      <c r="F606" s="3">
        <f>IF('ORDENES'!$A584="","",IF('ORDENES'!$Y584="","-",'ORDENES'!$Y584))</f>
        <v/>
      </c>
      <c r="G606" s="3">
        <f>IF('ORDENES'!$A584="","",IF('ORDENES'!$W584="","-",'ORDENES'!$W584))</f>
        <v/>
      </c>
      <c r="H606" s="3">
        <f>IF('ORDENES'!$A584="","",IF('ORDENES'!$AE584="","-",'ORDENES'!$AE584))</f>
        <v/>
      </c>
      <c r="I606" s="3">
        <f>IF('ORDENES'!$A584="","",IF('ORDENES'!$AQ584="","-",'ORDENES'!$AQ584))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IF('ORDENES'!$A584="","",'ORDENES'!$AD584)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IF('ORDENES'!$A585="","",IF('ORDENES'!$AF585="","-",'ORDENES'!$AF585))</f>
        <v/>
      </c>
      <c r="D607" s="3">
        <f>IF('ORDENES'!$A585="","",IF('ORDENES'!$X585="","-",'ORDENES'!$X585))</f>
        <v/>
      </c>
      <c r="E607" s="3">
        <f>IF('ORDENES'!$A585="","",IF('ORDENES'!$V585="","-",'ORDENES'!$V585))</f>
        <v/>
      </c>
      <c r="F607" s="3">
        <f>IF('ORDENES'!$A585="","",IF('ORDENES'!$Y585="","-",'ORDENES'!$Y585))</f>
        <v/>
      </c>
      <c r="G607" s="3">
        <f>IF('ORDENES'!$A585="","",IF('ORDENES'!$W585="","-",'ORDENES'!$W585))</f>
        <v/>
      </c>
      <c r="H607" s="3">
        <f>IF('ORDENES'!$A585="","",IF('ORDENES'!$AE585="","-",'ORDENES'!$AE585))</f>
        <v/>
      </c>
      <c r="I607" s="3">
        <f>IF('ORDENES'!$A585="","",IF('ORDENES'!$AQ585="","-",'ORDENES'!$AQ585))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IF('ORDENES'!$A585="","",'ORDENES'!$AD585)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IF('ORDENES'!$A586="","",IF('ORDENES'!$AF586="","-",'ORDENES'!$AF586))</f>
        <v/>
      </c>
      <c r="D608" s="3">
        <f>IF('ORDENES'!$A586="","",IF('ORDENES'!$X586="","-",'ORDENES'!$X586))</f>
        <v/>
      </c>
      <c r="E608" s="3">
        <f>IF('ORDENES'!$A586="","",IF('ORDENES'!$V586="","-",'ORDENES'!$V586))</f>
        <v/>
      </c>
      <c r="F608" s="3">
        <f>IF('ORDENES'!$A586="","",IF('ORDENES'!$Y586="","-",'ORDENES'!$Y586))</f>
        <v/>
      </c>
      <c r="G608" s="3">
        <f>IF('ORDENES'!$A586="","",IF('ORDENES'!$W586="","-",'ORDENES'!$W586))</f>
        <v/>
      </c>
      <c r="H608" s="3">
        <f>IF('ORDENES'!$A586="","",IF('ORDENES'!$AE586="","-",'ORDENES'!$AE586))</f>
        <v/>
      </c>
      <c r="I608" s="3">
        <f>IF('ORDENES'!$A586="","",IF('ORDENES'!$AQ586="","-",'ORDENES'!$AQ586))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IF('ORDENES'!$A586="","",'ORDENES'!$AD586)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IF('ORDENES'!$A587="","",IF('ORDENES'!$AF587="","-",'ORDENES'!$AF587))</f>
        <v/>
      </c>
      <c r="D609" s="3">
        <f>IF('ORDENES'!$A587="","",IF('ORDENES'!$X587="","-",'ORDENES'!$X587))</f>
        <v/>
      </c>
      <c r="E609" s="3">
        <f>IF('ORDENES'!$A587="","",IF('ORDENES'!$V587="","-",'ORDENES'!$V587))</f>
        <v/>
      </c>
      <c r="F609" s="3">
        <f>IF('ORDENES'!$A587="","",IF('ORDENES'!$Y587="","-",'ORDENES'!$Y587))</f>
        <v/>
      </c>
      <c r="G609" s="3">
        <f>IF('ORDENES'!$A587="","",IF('ORDENES'!$W587="","-",'ORDENES'!$W587))</f>
        <v/>
      </c>
      <c r="H609" s="3">
        <f>IF('ORDENES'!$A587="","",IF('ORDENES'!$AE587="","-",'ORDENES'!$AE587))</f>
        <v/>
      </c>
      <c r="I609" s="3">
        <f>IF('ORDENES'!$A587="","",IF('ORDENES'!$AQ587="","-",'ORDENES'!$AQ587))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IF('ORDENES'!$A587="","",'ORDENES'!$AD587)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IF('ORDENES'!$A588="","",IF('ORDENES'!$AF588="","-",'ORDENES'!$AF588))</f>
        <v/>
      </c>
      <c r="D610" s="3">
        <f>IF('ORDENES'!$A588="","",IF('ORDENES'!$X588="","-",'ORDENES'!$X588))</f>
        <v/>
      </c>
      <c r="E610" s="3">
        <f>IF('ORDENES'!$A588="","",IF('ORDENES'!$V588="","-",'ORDENES'!$V588))</f>
        <v/>
      </c>
      <c r="F610" s="3">
        <f>IF('ORDENES'!$A588="","",IF('ORDENES'!$Y588="","-",'ORDENES'!$Y588))</f>
        <v/>
      </c>
      <c r="G610" s="3">
        <f>IF('ORDENES'!$A588="","",IF('ORDENES'!$W588="","-",'ORDENES'!$W588))</f>
        <v/>
      </c>
      <c r="H610" s="3">
        <f>IF('ORDENES'!$A588="","",IF('ORDENES'!$AE588="","-",'ORDENES'!$AE588))</f>
        <v/>
      </c>
      <c r="I610" s="3">
        <f>IF('ORDENES'!$A588="","",IF('ORDENES'!$AQ588="","-",'ORDENES'!$AQ588))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IF('ORDENES'!$A588="","",'ORDENES'!$AD588)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IF('ORDENES'!$A589="","",IF('ORDENES'!$AF589="","-",'ORDENES'!$AF589))</f>
        <v/>
      </c>
      <c r="D611" s="3">
        <f>IF('ORDENES'!$A589="","",IF('ORDENES'!$X589="","-",'ORDENES'!$X589))</f>
        <v/>
      </c>
      <c r="E611" s="3">
        <f>IF('ORDENES'!$A589="","",IF('ORDENES'!$V589="","-",'ORDENES'!$V589))</f>
        <v/>
      </c>
      <c r="F611" s="3">
        <f>IF('ORDENES'!$A589="","",IF('ORDENES'!$Y589="","-",'ORDENES'!$Y589))</f>
        <v/>
      </c>
      <c r="G611" s="3">
        <f>IF('ORDENES'!$A589="","",IF('ORDENES'!$W589="","-",'ORDENES'!$W589))</f>
        <v/>
      </c>
      <c r="H611" s="3">
        <f>IF('ORDENES'!$A589="","",IF('ORDENES'!$AE589="","-",'ORDENES'!$AE589))</f>
        <v/>
      </c>
      <c r="I611" s="3">
        <f>IF('ORDENES'!$A589="","",IF('ORDENES'!$AQ589="","-",'ORDENES'!$AQ589))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IF('ORDENES'!$A589="","",'ORDENES'!$AD589)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IF('ORDENES'!$A590="","",IF('ORDENES'!$AF590="","-",'ORDENES'!$AF590))</f>
        <v/>
      </c>
      <c r="D612" s="3">
        <f>IF('ORDENES'!$A590="","",IF('ORDENES'!$X590="","-",'ORDENES'!$X590))</f>
        <v/>
      </c>
      <c r="E612" s="3">
        <f>IF('ORDENES'!$A590="","",IF('ORDENES'!$V590="","-",'ORDENES'!$V590))</f>
        <v/>
      </c>
      <c r="F612" s="3">
        <f>IF('ORDENES'!$A590="","",IF('ORDENES'!$Y590="","-",'ORDENES'!$Y590))</f>
        <v/>
      </c>
      <c r="G612" s="3">
        <f>IF('ORDENES'!$A590="","",IF('ORDENES'!$W590="","-",'ORDENES'!$W590))</f>
        <v/>
      </c>
      <c r="H612" s="3">
        <f>IF('ORDENES'!$A590="","",IF('ORDENES'!$AE590="","-",'ORDENES'!$AE590))</f>
        <v/>
      </c>
      <c r="I612" s="3">
        <f>IF('ORDENES'!$A590="","",IF('ORDENES'!$AQ590="","-",'ORDENES'!$AQ590))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IF('ORDENES'!$A590="","",'ORDENES'!$AD590)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IF('ORDENES'!$A591="","",IF('ORDENES'!$AF591="","-",'ORDENES'!$AF591))</f>
        <v/>
      </c>
      <c r="D613" s="3">
        <f>IF('ORDENES'!$A591="","",IF('ORDENES'!$X591="","-",'ORDENES'!$X591))</f>
        <v/>
      </c>
      <c r="E613" s="3">
        <f>IF('ORDENES'!$A591="","",IF('ORDENES'!$V591="","-",'ORDENES'!$V591))</f>
        <v/>
      </c>
      <c r="F613" s="3">
        <f>IF('ORDENES'!$A591="","",IF('ORDENES'!$Y591="","-",'ORDENES'!$Y591))</f>
        <v/>
      </c>
      <c r="G613" s="3">
        <f>IF('ORDENES'!$A591="","",IF('ORDENES'!$W591="","-",'ORDENES'!$W591))</f>
        <v/>
      </c>
      <c r="H613" s="3">
        <f>IF('ORDENES'!$A591="","",IF('ORDENES'!$AE591="","-",'ORDENES'!$AE591))</f>
        <v/>
      </c>
      <c r="I613" s="3">
        <f>IF('ORDENES'!$A591="","",IF('ORDENES'!$AQ591="","-",'ORDENES'!$AQ591))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IF('ORDENES'!$A591="","",'ORDENES'!$AD591)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IF('ORDENES'!$A592="","",IF('ORDENES'!$AF592="","-",'ORDENES'!$AF592))</f>
        <v/>
      </c>
      <c r="D614" s="3">
        <f>IF('ORDENES'!$A592="","",IF('ORDENES'!$X592="","-",'ORDENES'!$X592))</f>
        <v/>
      </c>
      <c r="E614" s="3">
        <f>IF('ORDENES'!$A592="","",IF('ORDENES'!$V592="","-",'ORDENES'!$V592))</f>
        <v/>
      </c>
      <c r="F614" s="3">
        <f>IF('ORDENES'!$A592="","",IF('ORDENES'!$Y592="","-",'ORDENES'!$Y592))</f>
        <v/>
      </c>
      <c r="G614" s="3">
        <f>IF('ORDENES'!$A592="","",IF('ORDENES'!$W592="","-",'ORDENES'!$W592))</f>
        <v/>
      </c>
      <c r="H614" s="3">
        <f>IF('ORDENES'!$A592="","",IF('ORDENES'!$AE592="","-",'ORDENES'!$AE592))</f>
        <v/>
      </c>
      <c r="I614" s="3">
        <f>IF('ORDENES'!$A592="","",IF('ORDENES'!$AQ592="","-",'ORDENES'!$AQ592))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IF('ORDENES'!$A592="","",'ORDENES'!$AD592)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IF('ORDENES'!$A593="","",IF('ORDENES'!$AF593="","-",'ORDENES'!$AF593))</f>
        <v/>
      </c>
      <c r="D615" s="3">
        <f>IF('ORDENES'!$A593="","",IF('ORDENES'!$X593="","-",'ORDENES'!$X593))</f>
        <v/>
      </c>
      <c r="E615" s="3">
        <f>IF('ORDENES'!$A593="","",IF('ORDENES'!$V593="","-",'ORDENES'!$V593))</f>
        <v/>
      </c>
      <c r="F615" s="3">
        <f>IF('ORDENES'!$A593="","",IF('ORDENES'!$Y593="","-",'ORDENES'!$Y593))</f>
        <v/>
      </c>
      <c r="G615" s="3">
        <f>IF('ORDENES'!$A593="","",IF('ORDENES'!$W593="","-",'ORDENES'!$W593))</f>
        <v/>
      </c>
      <c r="H615" s="3">
        <f>IF('ORDENES'!$A593="","",IF('ORDENES'!$AE593="","-",'ORDENES'!$AE593))</f>
        <v/>
      </c>
      <c r="I615" s="3">
        <f>IF('ORDENES'!$A593="","",IF('ORDENES'!$AQ593="","-",'ORDENES'!$AQ593))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IF('ORDENES'!$A593="","",'ORDENES'!$AD593)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IF('ORDENES'!$A594="","",IF('ORDENES'!$AF594="","-",'ORDENES'!$AF594))</f>
        <v/>
      </c>
      <c r="D616" s="3">
        <f>IF('ORDENES'!$A594="","",IF('ORDENES'!$X594="","-",'ORDENES'!$X594))</f>
        <v/>
      </c>
      <c r="E616" s="3">
        <f>IF('ORDENES'!$A594="","",IF('ORDENES'!$V594="","-",'ORDENES'!$V594))</f>
        <v/>
      </c>
      <c r="F616" s="3">
        <f>IF('ORDENES'!$A594="","",IF('ORDENES'!$Y594="","-",'ORDENES'!$Y594))</f>
        <v/>
      </c>
      <c r="G616" s="3">
        <f>IF('ORDENES'!$A594="","",IF('ORDENES'!$W594="","-",'ORDENES'!$W594))</f>
        <v/>
      </c>
      <c r="H616" s="3">
        <f>IF('ORDENES'!$A594="","",IF('ORDENES'!$AE594="","-",'ORDENES'!$AE594))</f>
        <v/>
      </c>
      <c r="I616" s="3">
        <f>IF('ORDENES'!$A594="","",IF('ORDENES'!$AQ594="","-",'ORDENES'!$AQ594))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IF('ORDENES'!$A594="","",'ORDENES'!$AD594)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IF('ORDENES'!$A595="","",IF('ORDENES'!$AF595="","-",'ORDENES'!$AF595))</f>
        <v/>
      </c>
      <c r="D617" s="3">
        <f>IF('ORDENES'!$A595="","",IF('ORDENES'!$X595="","-",'ORDENES'!$X595))</f>
        <v/>
      </c>
      <c r="E617" s="3">
        <f>IF('ORDENES'!$A595="","",IF('ORDENES'!$V595="","-",'ORDENES'!$V595))</f>
        <v/>
      </c>
      <c r="F617" s="3">
        <f>IF('ORDENES'!$A595="","",IF('ORDENES'!$Y595="","-",'ORDENES'!$Y595))</f>
        <v/>
      </c>
      <c r="G617" s="3">
        <f>IF('ORDENES'!$A595="","",IF('ORDENES'!$W595="","-",'ORDENES'!$W595))</f>
        <v/>
      </c>
      <c r="H617" s="3">
        <f>IF('ORDENES'!$A595="","",IF('ORDENES'!$AE595="","-",'ORDENES'!$AE595))</f>
        <v/>
      </c>
      <c r="I617" s="3">
        <f>IF('ORDENES'!$A595="","",IF('ORDENES'!$AQ595="","-",'ORDENES'!$AQ595))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IF('ORDENES'!$A595="","",'ORDENES'!$AD595)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IF('ORDENES'!$A596="","",IF('ORDENES'!$AF596="","-",'ORDENES'!$AF596))</f>
        <v/>
      </c>
      <c r="D618" s="3">
        <f>IF('ORDENES'!$A596="","",IF('ORDENES'!$X596="","-",'ORDENES'!$X596))</f>
        <v/>
      </c>
      <c r="E618" s="3">
        <f>IF('ORDENES'!$A596="","",IF('ORDENES'!$V596="","-",'ORDENES'!$V596))</f>
        <v/>
      </c>
      <c r="F618" s="3">
        <f>IF('ORDENES'!$A596="","",IF('ORDENES'!$Y596="","-",'ORDENES'!$Y596))</f>
        <v/>
      </c>
      <c r="G618" s="3">
        <f>IF('ORDENES'!$A596="","",IF('ORDENES'!$W596="","-",'ORDENES'!$W596))</f>
        <v/>
      </c>
      <c r="H618" s="3">
        <f>IF('ORDENES'!$A596="","",IF('ORDENES'!$AE596="","-",'ORDENES'!$AE596))</f>
        <v/>
      </c>
      <c r="I618" s="3">
        <f>IF('ORDENES'!$A596="","",IF('ORDENES'!$AQ596="","-",'ORDENES'!$AQ596))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IF('ORDENES'!$A596="","",'ORDENES'!$AD596)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IF('ORDENES'!$A597="","",IF('ORDENES'!$AF597="","-",'ORDENES'!$AF597))</f>
        <v/>
      </c>
      <c r="D619" s="3">
        <f>IF('ORDENES'!$A597="","",IF('ORDENES'!$X597="","-",'ORDENES'!$X597))</f>
        <v/>
      </c>
      <c r="E619" s="3">
        <f>IF('ORDENES'!$A597="","",IF('ORDENES'!$V597="","-",'ORDENES'!$V597))</f>
        <v/>
      </c>
      <c r="F619" s="3">
        <f>IF('ORDENES'!$A597="","",IF('ORDENES'!$Y597="","-",'ORDENES'!$Y597))</f>
        <v/>
      </c>
      <c r="G619" s="3">
        <f>IF('ORDENES'!$A597="","",IF('ORDENES'!$W597="","-",'ORDENES'!$W597))</f>
        <v/>
      </c>
      <c r="H619" s="3">
        <f>IF('ORDENES'!$A597="","",IF('ORDENES'!$AE597="","-",'ORDENES'!$AE597))</f>
        <v/>
      </c>
      <c r="I619" s="3">
        <f>IF('ORDENES'!$A597="","",IF('ORDENES'!$AQ597="","-",'ORDENES'!$AQ597))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IF('ORDENES'!$A597="","",'ORDENES'!$AD597)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IF('ORDENES'!$A598="","",IF('ORDENES'!$AF598="","-",'ORDENES'!$AF598))</f>
        <v/>
      </c>
      <c r="D620" s="3">
        <f>IF('ORDENES'!$A598="","",IF('ORDENES'!$X598="","-",'ORDENES'!$X598))</f>
        <v/>
      </c>
      <c r="E620" s="3">
        <f>IF('ORDENES'!$A598="","",IF('ORDENES'!$V598="","-",'ORDENES'!$V598))</f>
        <v/>
      </c>
      <c r="F620" s="3">
        <f>IF('ORDENES'!$A598="","",IF('ORDENES'!$Y598="","-",'ORDENES'!$Y598))</f>
        <v/>
      </c>
      <c r="G620" s="3">
        <f>IF('ORDENES'!$A598="","",IF('ORDENES'!$W598="","-",'ORDENES'!$W598))</f>
        <v/>
      </c>
      <c r="H620" s="3">
        <f>IF('ORDENES'!$A598="","",IF('ORDENES'!$AE598="","-",'ORDENES'!$AE598))</f>
        <v/>
      </c>
      <c r="I620" s="3">
        <f>IF('ORDENES'!$A598="","",IF('ORDENES'!$AQ598="","-",'ORDENES'!$AQ598))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IF('ORDENES'!$A598="","",'ORDENES'!$AD598)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IF('ORDENES'!$A599="","",IF('ORDENES'!$AF599="","-",'ORDENES'!$AF599))</f>
        <v/>
      </c>
      <c r="D621" s="3">
        <f>IF('ORDENES'!$A599="","",IF('ORDENES'!$X599="","-",'ORDENES'!$X599))</f>
        <v/>
      </c>
      <c r="E621" s="3">
        <f>IF('ORDENES'!$A599="","",IF('ORDENES'!$V599="","-",'ORDENES'!$V599))</f>
        <v/>
      </c>
      <c r="F621" s="3">
        <f>IF('ORDENES'!$A599="","",IF('ORDENES'!$Y599="","-",'ORDENES'!$Y599))</f>
        <v/>
      </c>
      <c r="G621" s="3">
        <f>IF('ORDENES'!$A599="","",IF('ORDENES'!$W599="","-",'ORDENES'!$W599))</f>
        <v/>
      </c>
      <c r="H621" s="3">
        <f>IF('ORDENES'!$A599="","",IF('ORDENES'!$AE599="","-",'ORDENES'!$AE599))</f>
        <v/>
      </c>
      <c r="I621" s="3">
        <f>IF('ORDENES'!$A599="","",IF('ORDENES'!$AQ599="","-",'ORDENES'!$AQ599))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IF('ORDENES'!$A599="","",'ORDENES'!$AD599)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IF('ORDENES'!$A600="","",IF('ORDENES'!$AF600="","-",'ORDENES'!$AF600))</f>
        <v/>
      </c>
      <c r="D622" s="3">
        <f>IF('ORDENES'!$A600="","",IF('ORDENES'!$X600="","-",'ORDENES'!$X600))</f>
        <v/>
      </c>
      <c r="E622" s="3">
        <f>IF('ORDENES'!$A600="","",IF('ORDENES'!$V600="","-",'ORDENES'!$V600))</f>
        <v/>
      </c>
      <c r="F622" s="3">
        <f>IF('ORDENES'!$A600="","",IF('ORDENES'!$Y600="","-",'ORDENES'!$Y600))</f>
        <v/>
      </c>
      <c r="G622" s="3">
        <f>IF('ORDENES'!$A600="","",IF('ORDENES'!$W600="","-",'ORDENES'!$W600))</f>
        <v/>
      </c>
      <c r="H622" s="3">
        <f>IF('ORDENES'!$A600="","",IF('ORDENES'!$AE600="","-",'ORDENES'!$AE600))</f>
        <v/>
      </c>
      <c r="I622" s="3">
        <f>IF('ORDENES'!$A600="","",IF('ORDENES'!$AQ600="","-",'ORDENES'!$AQ600))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IF('ORDENES'!$A600="","",'ORDENES'!$AD600)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IF('ORDENES'!$A601="","",IF('ORDENES'!$AF601="","-",'ORDENES'!$AF601))</f>
        <v/>
      </c>
      <c r="D623" s="3">
        <f>IF('ORDENES'!$A601="","",IF('ORDENES'!$X601="","-",'ORDENES'!$X601))</f>
        <v/>
      </c>
      <c r="E623" s="3">
        <f>IF('ORDENES'!$A601="","",IF('ORDENES'!$V601="","-",'ORDENES'!$V601))</f>
        <v/>
      </c>
      <c r="F623" s="3">
        <f>IF('ORDENES'!$A601="","",IF('ORDENES'!$Y601="","-",'ORDENES'!$Y601))</f>
        <v/>
      </c>
      <c r="G623" s="3">
        <f>IF('ORDENES'!$A601="","",IF('ORDENES'!$W601="","-",'ORDENES'!$W601))</f>
        <v/>
      </c>
      <c r="H623" s="3">
        <f>IF('ORDENES'!$A601="","",IF('ORDENES'!$AE601="","-",'ORDENES'!$AE601))</f>
        <v/>
      </c>
      <c r="I623" s="3">
        <f>IF('ORDENES'!$A601="","",IF('ORDENES'!$AQ601="","-",'ORDENES'!$AQ601))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IF('ORDENES'!$A601="","",'ORDENES'!$AD601)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IF('ORDENES'!$A602="","",IF('ORDENES'!$AF602="","-",'ORDENES'!$AF602))</f>
        <v/>
      </c>
      <c r="D624" s="3">
        <f>IF('ORDENES'!$A602="","",IF('ORDENES'!$X602="","-",'ORDENES'!$X602))</f>
        <v/>
      </c>
      <c r="E624" s="3">
        <f>IF('ORDENES'!$A602="","",IF('ORDENES'!$V602="","-",'ORDENES'!$V602))</f>
        <v/>
      </c>
      <c r="F624" s="3">
        <f>IF('ORDENES'!$A602="","",IF('ORDENES'!$Y602="","-",'ORDENES'!$Y602))</f>
        <v/>
      </c>
      <c r="G624" s="3">
        <f>IF('ORDENES'!$A602="","",IF('ORDENES'!$W602="","-",'ORDENES'!$W602))</f>
        <v/>
      </c>
      <c r="H624" s="3">
        <f>IF('ORDENES'!$A602="","",IF('ORDENES'!$AE602="","-",'ORDENES'!$AE602))</f>
        <v/>
      </c>
      <c r="I624" s="3">
        <f>IF('ORDENES'!$A602="","",IF('ORDENES'!$AQ602="","-",'ORDENES'!$AQ602))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IF('ORDENES'!$A602="","",'ORDENES'!$AD602)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IF('ORDENES'!$A603="","",IF('ORDENES'!$AF603="","-",'ORDENES'!$AF603))</f>
        <v/>
      </c>
      <c r="D625" s="3">
        <f>IF('ORDENES'!$A603="","",IF('ORDENES'!$X603="","-",'ORDENES'!$X603))</f>
        <v/>
      </c>
      <c r="E625" s="3">
        <f>IF('ORDENES'!$A603="","",IF('ORDENES'!$V603="","-",'ORDENES'!$V603))</f>
        <v/>
      </c>
      <c r="F625" s="3">
        <f>IF('ORDENES'!$A603="","",IF('ORDENES'!$Y603="","-",'ORDENES'!$Y603))</f>
        <v/>
      </c>
      <c r="G625" s="3">
        <f>IF('ORDENES'!$A603="","",IF('ORDENES'!$W603="","-",'ORDENES'!$W603))</f>
        <v/>
      </c>
      <c r="H625" s="3">
        <f>IF('ORDENES'!$A603="","",IF('ORDENES'!$AE603="","-",'ORDENES'!$AE603))</f>
        <v/>
      </c>
      <c r="I625" s="3">
        <f>IF('ORDENES'!$A603="","",IF('ORDENES'!$AQ603="","-",'ORDENES'!$AQ603))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IF('ORDENES'!$A603="","",'ORDENES'!$AD603)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IF('ORDENES'!$A604="","",IF('ORDENES'!$AF604="","-",'ORDENES'!$AF604))</f>
        <v/>
      </c>
      <c r="D626" s="3">
        <f>IF('ORDENES'!$A604="","",IF('ORDENES'!$X604="","-",'ORDENES'!$X604))</f>
        <v/>
      </c>
      <c r="E626" s="3">
        <f>IF('ORDENES'!$A604="","",IF('ORDENES'!$V604="","-",'ORDENES'!$V604))</f>
        <v/>
      </c>
      <c r="F626" s="3">
        <f>IF('ORDENES'!$A604="","",IF('ORDENES'!$Y604="","-",'ORDENES'!$Y604))</f>
        <v/>
      </c>
      <c r="G626" s="3">
        <f>IF('ORDENES'!$A604="","",IF('ORDENES'!$W604="","-",'ORDENES'!$W604))</f>
        <v/>
      </c>
      <c r="H626" s="3">
        <f>IF('ORDENES'!$A604="","",IF('ORDENES'!$AE604="","-",'ORDENES'!$AE604))</f>
        <v/>
      </c>
      <c r="I626" s="3">
        <f>IF('ORDENES'!$A604="","",IF('ORDENES'!$AQ604="","-",'ORDENES'!$AQ604))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IF('ORDENES'!$A604="","",'ORDENES'!$AD604)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IF('ORDENES'!$A605="","",IF('ORDENES'!$AF605="","-",'ORDENES'!$AF605))</f>
        <v/>
      </c>
      <c r="D627" s="3">
        <f>IF('ORDENES'!$A605="","",IF('ORDENES'!$X605="","-",'ORDENES'!$X605))</f>
        <v/>
      </c>
      <c r="E627" s="3">
        <f>IF('ORDENES'!$A605="","",IF('ORDENES'!$V605="","-",'ORDENES'!$V605))</f>
        <v/>
      </c>
      <c r="F627" s="3">
        <f>IF('ORDENES'!$A605="","",IF('ORDENES'!$Y605="","-",'ORDENES'!$Y605))</f>
        <v/>
      </c>
      <c r="G627" s="3">
        <f>IF('ORDENES'!$A605="","",IF('ORDENES'!$W605="","-",'ORDENES'!$W605))</f>
        <v/>
      </c>
      <c r="H627" s="3">
        <f>IF('ORDENES'!$A605="","",IF('ORDENES'!$AE605="","-",'ORDENES'!$AE605))</f>
        <v/>
      </c>
      <c r="I627" s="3">
        <f>IF('ORDENES'!$A605="","",IF('ORDENES'!$AQ605="","-",'ORDENES'!$AQ605))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IF('ORDENES'!$A605="","",'ORDENES'!$AD605)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IF('ORDENES'!$A606="","",IF('ORDENES'!$AF606="","-",'ORDENES'!$AF606))</f>
        <v/>
      </c>
      <c r="D628" s="3">
        <f>IF('ORDENES'!$A606="","",IF('ORDENES'!$X606="","-",'ORDENES'!$X606))</f>
        <v/>
      </c>
      <c r="E628" s="3">
        <f>IF('ORDENES'!$A606="","",IF('ORDENES'!$V606="","-",'ORDENES'!$V606))</f>
        <v/>
      </c>
      <c r="F628" s="3">
        <f>IF('ORDENES'!$A606="","",IF('ORDENES'!$Y606="","-",'ORDENES'!$Y606))</f>
        <v/>
      </c>
      <c r="G628" s="3">
        <f>IF('ORDENES'!$A606="","",IF('ORDENES'!$W606="","-",'ORDENES'!$W606))</f>
        <v/>
      </c>
      <c r="H628" s="3">
        <f>IF('ORDENES'!$A606="","",IF('ORDENES'!$AE606="","-",'ORDENES'!$AE606))</f>
        <v/>
      </c>
      <c r="I628" s="3">
        <f>IF('ORDENES'!$A606="","",IF('ORDENES'!$AQ606="","-",'ORDENES'!$AQ606))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IF('ORDENES'!$A606="","",'ORDENES'!$AD606)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IF('ORDENES'!$A607="","",IF('ORDENES'!$AF607="","-",'ORDENES'!$AF607))</f>
        <v/>
      </c>
      <c r="D629" s="3">
        <f>IF('ORDENES'!$A607="","",IF('ORDENES'!$X607="","-",'ORDENES'!$X607))</f>
        <v/>
      </c>
      <c r="E629" s="3">
        <f>IF('ORDENES'!$A607="","",IF('ORDENES'!$V607="","-",'ORDENES'!$V607))</f>
        <v/>
      </c>
      <c r="F629" s="3">
        <f>IF('ORDENES'!$A607="","",IF('ORDENES'!$Y607="","-",'ORDENES'!$Y607))</f>
        <v/>
      </c>
      <c r="G629" s="3">
        <f>IF('ORDENES'!$A607="","",IF('ORDENES'!$W607="","-",'ORDENES'!$W607))</f>
        <v/>
      </c>
      <c r="H629" s="3">
        <f>IF('ORDENES'!$A607="","",IF('ORDENES'!$AE607="","-",'ORDENES'!$AE607))</f>
        <v/>
      </c>
      <c r="I629" s="3">
        <f>IF('ORDENES'!$A607="","",IF('ORDENES'!$AQ607="","-",'ORDENES'!$AQ607))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IF('ORDENES'!$A607="","",'ORDENES'!$AD607)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IF('ORDENES'!$A608="","",IF('ORDENES'!$AF608="","-",'ORDENES'!$AF608))</f>
        <v/>
      </c>
      <c r="D630" s="3">
        <f>IF('ORDENES'!$A608="","",IF('ORDENES'!$X608="","-",'ORDENES'!$X608))</f>
        <v/>
      </c>
      <c r="E630" s="3">
        <f>IF('ORDENES'!$A608="","",IF('ORDENES'!$V608="","-",'ORDENES'!$V608))</f>
        <v/>
      </c>
      <c r="F630" s="3">
        <f>IF('ORDENES'!$A608="","",IF('ORDENES'!$Y608="","-",'ORDENES'!$Y608))</f>
        <v/>
      </c>
      <c r="G630" s="3">
        <f>IF('ORDENES'!$A608="","",IF('ORDENES'!$W608="","-",'ORDENES'!$W608))</f>
        <v/>
      </c>
      <c r="H630" s="3">
        <f>IF('ORDENES'!$A608="","",IF('ORDENES'!$AE608="","-",'ORDENES'!$AE608))</f>
        <v/>
      </c>
      <c r="I630" s="3">
        <f>IF('ORDENES'!$A608="","",IF('ORDENES'!$AQ608="","-",'ORDENES'!$AQ608))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IF('ORDENES'!$A608="","",'ORDENES'!$AD608)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IF('ORDENES'!$A609="","",IF('ORDENES'!$AF609="","-",'ORDENES'!$AF609))</f>
        <v/>
      </c>
      <c r="D631" s="3">
        <f>IF('ORDENES'!$A609="","",IF('ORDENES'!$X609="","-",'ORDENES'!$X609))</f>
        <v/>
      </c>
      <c r="E631" s="3">
        <f>IF('ORDENES'!$A609="","",IF('ORDENES'!$V609="","-",'ORDENES'!$V609))</f>
        <v/>
      </c>
      <c r="F631" s="3">
        <f>IF('ORDENES'!$A609="","",IF('ORDENES'!$Y609="","-",'ORDENES'!$Y609))</f>
        <v/>
      </c>
      <c r="G631" s="3">
        <f>IF('ORDENES'!$A609="","",IF('ORDENES'!$W609="","-",'ORDENES'!$W609))</f>
        <v/>
      </c>
      <c r="H631" s="3">
        <f>IF('ORDENES'!$A609="","",IF('ORDENES'!$AE609="","-",'ORDENES'!$AE609))</f>
        <v/>
      </c>
      <c r="I631" s="3">
        <f>IF('ORDENES'!$A609="","",IF('ORDENES'!$AQ609="","-",'ORDENES'!$AQ609))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IF('ORDENES'!$A609="","",'ORDENES'!$AD609)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IF('ORDENES'!$A610="","",IF('ORDENES'!$AF610="","-",'ORDENES'!$AF610))</f>
        <v/>
      </c>
      <c r="D632" s="3">
        <f>IF('ORDENES'!$A610="","",IF('ORDENES'!$X610="","-",'ORDENES'!$X610))</f>
        <v/>
      </c>
      <c r="E632" s="3">
        <f>IF('ORDENES'!$A610="","",IF('ORDENES'!$V610="","-",'ORDENES'!$V610))</f>
        <v/>
      </c>
      <c r="F632" s="3">
        <f>IF('ORDENES'!$A610="","",IF('ORDENES'!$Y610="","-",'ORDENES'!$Y610))</f>
        <v/>
      </c>
      <c r="G632" s="3">
        <f>IF('ORDENES'!$A610="","",IF('ORDENES'!$W610="","-",'ORDENES'!$W610))</f>
        <v/>
      </c>
      <c r="H632" s="3">
        <f>IF('ORDENES'!$A610="","",IF('ORDENES'!$AE610="","-",'ORDENES'!$AE610))</f>
        <v/>
      </c>
      <c r="I632" s="3">
        <f>IF('ORDENES'!$A610="","",IF('ORDENES'!$AQ610="","-",'ORDENES'!$AQ610))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IF('ORDENES'!$A610="","",'ORDENES'!$AD610)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IF('ORDENES'!$A611="","",IF('ORDENES'!$AF611="","-",'ORDENES'!$AF611))</f>
        <v/>
      </c>
      <c r="D633" s="3">
        <f>IF('ORDENES'!$A611="","",IF('ORDENES'!$X611="","-",'ORDENES'!$X611))</f>
        <v/>
      </c>
      <c r="E633" s="3">
        <f>IF('ORDENES'!$A611="","",IF('ORDENES'!$V611="","-",'ORDENES'!$V611))</f>
        <v/>
      </c>
      <c r="F633" s="3">
        <f>IF('ORDENES'!$A611="","",IF('ORDENES'!$Y611="","-",'ORDENES'!$Y611))</f>
        <v/>
      </c>
      <c r="G633" s="3">
        <f>IF('ORDENES'!$A611="","",IF('ORDENES'!$W611="","-",'ORDENES'!$W611))</f>
        <v/>
      </c>
      <c r="H633" s="3">
        <f>IF('ORDENES'!$A611="","",IF('ORDENES'!$AE611="","-",'ORDENES'!$AE611))</f>
        <v/>
      </c>
      <c r="I633" s="3">
        <f>IF('ORDENES'!$A611="","",IF('ORDENES'!$AQ611="","-",'ORDENES'!$AQ611))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IF('ORDENES'!$A611="","",'ORDENES'!$AD611)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IF('ORDENES'!$A612="","",IF('ORDENES'!$AF612="","-",'ORDENES'!$AF612))</f>
        <v/>
      </c>
      <c r="D634" s="3">
        <f>IF('ORDENES'!$A612="","",IF('ORDENES'!$X612="","-",'ORDENES'!$X612))</f>
        <v/>
      </c>
      <c r="E634" s="3">
        <f>IF('ORDENES'!$A612="","",IF('ORDENES'!$V612="","-",'ORDENES'!$V612))</f>
        <v/>
      </c>
      <c r="F634" s="3">
        <f>IF('ORDENES'!$A612="","",IF('ORDENES'!$Y612="","-",'ORDENES'!$Y612))</f>
        <v/>
      </c>
      <c r="G634" s="3">
        <f>IF('ORDENES'!$A612="","",IF('ORDENES'!$W612="","-",'ORDENES'!$W612))</f>
        <v/>
      </c>
      <c r="H634" s="3">
        <f>IF('ORDENES'!$A612="","",IF('ORDENES'!$AE612="","-",'ORDENES'!$AE612))</f>
        <v/>
      </c>
      <c r="I634" s="3">
        <f>IF('ORDENES'!$A612="","",IF('ORDENES'!$AQ612="","-",'ORDENES'!$AQ612))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IF('ORDENES'!$A612="","",'ORDENES'!$AD612)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IF('ORDENES'!$A613="","",IF('ORDENES'!$AF613="","-",'ORDENES'!$AF613))</f>
        <v/>
      </c>
      <c r="D635" s="3">
        <f>IF('ORDENES'!$A613="","",IF('ORDENES'!$X613="","-",'ORDENES'!$X613))</f>
        <v/>
      </c>
      <c r="E635" s="3">
        <f>IF('ORDENES'!$A613="","",IF('ORDENES'!$V613="","-",'ORDENES'!$V613))</f>
        <v/>
      </c>
      <c r="F635" s="3">
        <f>IF('ORDENES'!$A613="","",IF('ORDENES'!$Y613="","-",'ORDENES'!$Y613))</f>
        <v/>
      </c>
      <c r="G635" s="3">
        <f>IF('ORDENES'!$A613="","",IF('ORDENES'!$W613="","-",'ORDENES'!$W613))</f>
        <v/>
      </c>
      <c r="H635" s="3">
        <f>IF('ORDENES'!$A613="","",IF('ORDENES'!$AE613="","-",'ORDENES'!$AE613))</f>
        <v/>
      </c>
      <c r="I635" s="3">
        <f>IF('ORDENES'!$A613="","",IF('ORDENES'!$AQ613="","-",'ORDENES'!$AQ613))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IF('ORDENES'!$A613="","",'ORDENES'!$AD613)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IF('ORDENES'!$A614="","",IF('ORDENES'!$AF614="","-",'ORDENES'!$AF614))</f>
        <v/>
      </c>
      <c r="D636" s="3">
        <f>IF('ORDENES'!$A614="","",IF('ORDENES'!$X614="","-",'ORDENES'!$X614))</f>
        <v/>
      </c>
      <c r="E636" s="3">
        <f>IF('ORDENES'!$A614="","",IF('ORDENES'!$V614="","-",'ORDENES'!$V614))</f>
        <v/>
      </c>
      <c r="F636" s="3">
        <f>IF('ORDENES'!$A614="","",IF('ORDENES'!$Y614="","-",'ORDENES'!$Y614))</f>
        <v/>
      </c>
      <c r="G636" s="3">
        <f>IF('ORDENES'!$A614="","",IF('ORDENES'!$W614="","-",'ORDENES'!$W614))</f>
        <v/>
      </c>
      <c r="H636" s="3">
        <f>IF('ORDENES'!$A614="","",IF('ORDENES'!$AE614="","-",'ORDENES'!$AE614))</f>
        <v/>
      </c>
      <c r="I636" s="3">
        <f>IF('ORDENES'!$A614="","",IF('ORDENES'!$AQ614="","-",'ORDENES'!$AQ614))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IF('ORDENES'!$A614="","",'ORDENES'!$AD614)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IF('ORDENES'!$A615="","",IF('ORDENES'!$AF615="","-",'ORDENES'!$AF615))</f>
        <v/>
      </c>
      <c r="D637" s="3">
        <f>IF('ORDENES'!$A615="","",IF('ORDENES'!$X615="","-",'ORDENES'!$X615))</f>
        <v/>
      </c>
      <c r="E637" s="3">
        <f>IF('ORDENES'!$A615="","",IF('ORDENES'!$V615="","-",'ORDENES'!$V615))</f>
        <v/>
      </c>
      <c r="F637" s="3">
        <f>IF('ORDENES'!$A615="","",IF('ORDENES'!$Y615="","-",'ORDENES'!$Y615))</f>
        <v/>
      </c>
      <c r="G637" s="3">
        <f>IF('ORDENES'!$A615="","",IF('ORDENES'!$W615="","-",'ORDENES'!$W615))</f>
        <v/>
      </c>
      <c r="H637" s="3">
        <f>IF('ORDENES'!$A615="","",IF('ORDENES'!$AE615="","-",'ORDENES'!$AE615))</f>
        <v/>
      </c>
      <c r="I637" s="3">
        <f>IF('ORDENES'!$A615="","",IF('ORDENES'!$AQ615="","-",'ORDENES'!$AQ615))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IF('ORDENES'!$A615="","",'ORDENES'!$AD615)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IF('ORDENES'!$A616="","",IF('ORDENES'!$AF616="","-",'ORDENES'!$AF616))</f>
        <v/>
      </c>
      <c r="D638" s="3">
        <f>IF('ORDENES'!$A616="","",IF('ORDENES'!$X616="","-",'ORDENES'!$X616))</f>
        <v/>
      </c>
      <c r="E638" s="3">
        <f>IF('ORDENES'!$A616="","",IF('ORDENES'!$V616="","-",'ORDENES'!$V616))</f>
        <v/>
      </c>
      <c r="F638" s="3">
        <f>IF('ORDENES'!$A616="","",IF('ORDENES'!$Y616="","-",'ORDENES'!$Y616))</f>
        <v/>
      </c>
      <c r="G638" s="3">
        <f>IF('ORDENES'!$A616="","",IF('ORDENES'!$W616="","-",'ORDENES'!$W616))</f>
        <v/>
      </c>
      <c r="H638" s="3">
        <f>IF('ORDENES'!$A616="","",IF('ORDENES'!$AE616="","-",'ORDENES'!$AE616))</f>
        <v/>
      </c>
      <c r="I638" s="3">
        <f>IF('ORDENES'!$A616="","",IF('ORDENES'!$AQ616="","-",'ORDENES'!$AQ616))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IF('ORDENES'!$A616="","",'ORDENES'!$AD616)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IF('ORDENES'!$A617="","",IF('ORDENES'!$AF617="","-",'ORDENES'!$AF617))</f>
        <v/>
      </c>
      <c r="D639" s="3">
        <f>IF('ORDENES'!$A617="","",IF('ORDENES'!$X617="","-",'ORDENES'!$X617))</f>
        <v/>
      </c>
      <c r="E639" s="3">
        <f>IF('ORDENES'!$A617="","",IF('ORDENES'!$V617="","-",'ORDENES'!$V617))</f>
        <v/>
      </c>
      <c r="F639" s="3">
        <f>IF('ORDENES'!$A617="","",IF('ORDENES'!$Y617="","-",'ORDENES'!$Y617))</f>
        <v/>
      </c>
      <c r="G639" s="3">
        <f>IF('ORDENES'!$A617="","",IF('ORDENES'!$W617="","-",'ORDENES'!$W617))</f>
        <v/>
      </c>
      <c r="H639" s="3">
        <f>IF('ORDENES'!$A617="","",IF('ORDENES'!$AE617="","-",'ORDENES'!$AE617))</f>
        <v/>
      </c>
      <c r="I639" s="3">
        <f>IF('ORDENES'!$A617="","",IF('ORDENES'!$AQ617="","-",'ORDENES'!$AQ617))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IF('ORDENES'!$A617="","",'ORDENES'!$AD617)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IF('ORDENES'!$A618="","",IF('ORDENES'!$AF618="","-",'ORDENES'!$AF618))</f>
        <v/>
      </c>
      <c r="D640" s="3">
        <f>IF('ORDENES'!$A618="","",IF('ORDENES'!$X618="","-",'ORDENES'!$X618))</f>
        <v/>
      </c>
      <c r="E640" s="3">
        <f>IF('ORDENES'!$A618="","",IF('ORDENES'!$V618="","-",'ORDENES'!$V618))</f>
        <v/>
      </c>
      <c r="F640" s="3">
        <f>IF('ORDENES'!$A618="","",IF('ORDENES'!$Y618="","-",'ORDENES'!$Y618))</f>
        <v/>
      </c>
      <c r="G640" s="3">
        <f>IF('ORDENES'!$A618="","",IF('ORDENES'!$W618="","-",'ORDENES'!$W618))</f>
        <v/>
      </c>
      <c r="H640" s="3">
        <f>IF('ORDENES'!$A618="","",IF('ORDENES'!$AE618="","-",'ORDENES'!$AE618))</f>
        <v/>
      </c>
      <c r="I640" s="3">
        <f>IF('ORDENES'!$A618="","",IF('ORDENES'!$AQ618="","-",'ORDENES'!$AQ618))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IF('ORDENES'!$A618="","",'ORDENES'!$AD618)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IF('ORDENES'!$A619="","",IF('ORDENES'!$AF619="","-",'ORDENES'!$AF619))</f>
        <v/>
      </c>
      <c r="D641" s="3">
        <f>IF('ORDENES'!$A619="","",IF('ORDENES'!$X619="","-",'ORDENES'!$X619))</f>
        <v/>
      </c>
      <c r="E641" s="3">
        <f>IF('ORDENES'!$A619="","",IF('ORDENES'!$V619="","-",'ORDENES'!$V619))</f>
        <v/>
      </c>
      <c r="F641" s="3">
        <f>IF('ORDENES'!$A619="","",IF('ORDENES'!$Y619="","-",'ORDENES'!$Y619))</f>
        <v/>
      </c>
      <c r="G641" s="3">
        <f>IF('ORDENES'!$A619="","",IF('ORDENES'!$W619="","-",'ORDENES'!$W619))</f>
        <v/>
      </c>
      <c r="H641" s="3">
        <f>IF('ORDENES'!$A619="","",IF('ORDENES'!$AE619="","-",'ORDENES'!$AE619))</f>
        <v/>
      </c>
      <c r="I641" s="3">
        <f>IF('ORDENES'!$A619="","",IF('ORDENES'!$AQ619="","-",'ORDENES'!$AQ619))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IF('ORDENES'!$A619="","",'ORDENES'!$AD619)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IF('ORDENES'!$A620="","",IF('ORDENES'!$AF620="","-",'ORDENES'!$AF620))</f>
        <v/>
      </c>
      <c r="D642" s="3">
        <f>IF('ORDENES'!$A620="","",IF('ORDENES'!$X620="","-",'ORDENES'!$X620))</f>
        <v/>
      </c>
      <c r="E642" s="3">
        <f>IF('ORDENES'!$A620="","",IF('ORDENES'!$V620="","-",'ORDENES'!$V620))</f>
        <v/>
      </c>
      <c r="F642" s="3">
        <f>IF('ORDENES'!$A620="","",IF('ORDENES'!$Y620="","-",'ORDENES'!$Y620))</f>
        <v/>
      </c>
      <c r="G642" s="3">
        <f>IF('ORDENES'!$A620="","",IF('ORDENES'!$W620="","-",'ORDENES'!$W620))</f>
        <v/>
      </c>
      <c r="H642" s="3">
        <f>IF('ORDENES'!$A620="","",IF('ORDENES'!$AE620="","-",'ORDENES'!$AE620))</f>
        <v/>
      </c>
      <c r="I642" s="3">
        <f>IF('ORDENES'!$A620="","",IF('ORDENES'!$AQ620="","-",'ORDENES'!$AQ620))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IF('ORDENES'!$A620="","",'ORDENES'!$AD620)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IF('ORDENES'!$A621="","",IF('ORDENES'!$AF621="","-",'ORDENES'!$AF621))</f>
        <v/>
      </c>
      <c r="D643" s="3">
        <f>IF('ORDENES'!$A621="","",IF('ORDENES'!$X621="","-",'ORDENES'!$X621))</f>
        <v/>
      </c>
      <c r="E643" s="3">
        <f>IF('ORDENES'!$A621="","",IF('ORDENES'!$V621="","-",'ORDENES'!$V621))</f>
        <v/>
      </c>
      <c r="F643" s="3">
        <f>IF('ORDENES'!$A621="","",IF('ORDENES'!$Y621="","-",'ORDENES'!$Y621))</f>
        <v/>
      </c>
      <c r="G643" s="3">
        <f>IF('ORDENES'!$A621="","",IF('ORDENES'!$W621="","-",'ORDENES'!$W621))</f>
        <v/>
      </c>
      <c r="H643" s="3">
        <f>IF('ORDENES'!$A621="","",IF('ORDENES'!$AE621="","-",'ORDENES'!$AE621))</f>
        <v/>
      </c>
      <c r="I643" s="3">
        <f>IF('ORDENES'!$A621="","",IF('ORDENES'!$AQ621="","-",'ORDENES'!$AQ621))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IF('ORDENES'!$A621="","",'ORDENES'!$AD621)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IF('ORDENES'!$A622="","",IF('ORDENES'!$AF622="","-",'ORDENES'!$AF622))</f>
        <v/>
      </c>
      <c r="D644" s="3">
        <f>IF('ORDENES'!$A622="","",IF('ORDENES'!$X622="","-",'ORDENES'!$X622))</f>
        <v/>
      </c>
      <c r="E644" s="3">
        <f>IF('ORDENES'!$A622="","",IF('ORDENES'!$V622="","-",'ORDENES'!$V622))</f>
        <v/>
      </c>
      <c r="F644" s="3">
        <f>IF('ORDENES'!$A622="","",IF('ORDENES'!$Y622="","-",'ORDENES'!$Y622))</f>
        <v/>
      </c>
      <c r="G644" s="3">
        <f>IF('ORDENES'!$A622="","",IF('ORDENES'!$W622="","-",'ORDENES'!$W622))</f>
        <v/>
      </c>
      <c r="H644" s="3">
        <f>IF('ORDENES'!$A622="","",IF('ORDENES'!$AE622="","-",'ORDENES'!$AE622))</f>
        <v/>
      </c>
      <c r="I644" s="3">
        <f>IF('ORDENES'!$A622="","",IF('ORDENES'!$AQ622="","-",'ORDENES'!$AQ622))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IF('ORDENES'!$A622="","",'ORDENES'!$AD622)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IF('ORDENES'!$A623="","",IF('ORDENES'!$AF623="","-",'ORDENES'!$AF623))</f>
        <v/>
      </c>
      <c r="D645" s="3">
        <f>IF('ORDENES'!$A623="","",IF('ORDENES'!$X623="","-",'ORDENES'!$X623))</f>
        <v/>
      </c>
      <c r="E645" s="3">
        <f>IF('ORDENES'!$A623="","",IF('ORDENES'!$V623="","-",'ORDENES'!$V623))</f>
        <v/>
      </c>
      <c r="F645" s="3">
        <f>IF('ORDENES'!$A623="","",IF('ORDENES'!$Y623="","-",'ORDENES'!$Y623))</f>
        <v/>
      </c>
      <c r="G645" s="3">
        <f>IF('ORDENES'!$A623="","",IF('ORDENES'!$W623="","-",'ORDENES'!$W623))</f>
        <v/>
      </c>
      <c r="H645" s="3">
        <f>IF('ORDENES'!$A623="","",IF('ORDENES'!$AE623="","-",'ORDENES'!$AE623))</f>
        <v/>
      </c>
      <c r="I645" s="3">
        <f>IF('ORDENES'!$A623="","",IF('ORDENES'!$AQ623="","-",'ORDENES'!$AQ623))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IF('ORDENES'!$A623="","",'ORDENES'!$AD623)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IF('ORDENES'!$A624="","",IF('ORDENES'!$AF624="","-",'ORDENES'!$AF624))</f>
        <v/>
      </c>
      <c r="D646" s="3">
        <f>IF('ORDENES'!$A624="","",IF('ORDENES'!$X624="","-",'ORDENES'!$X624))</f>
        <v/>
      </c>
      <c r="E646" s="3">
        <f>IF('ORDENES'!$A624="","",IF('ORDENES'!$V624="","-",'ORDENES'!$V624))</f>
        <v/>
      </c>
      <c r="F646" s="3">
        <f>IF('ORDENES'!$A624="","",IF('ORDENES'!$Y624="","-",'ORDENES'!$Y624))</f>
        <v/>
      </c>
      <c r="G646" s="3">
        <f>IF('ORDENES'!$A624="","",IF('ORDENES'!$W624="","-",'ORDENES'!$W624))</f>
        <v/>
      </c>
      <c r="H646" s="3">
        <f>IF('ORDENES'!$A624="","",IF('ORDENES'!$AE624="","-",'ORDENES'!$AE624))</f>
        <v/>
      </c>
      <c r="I646" s="3">
        <f>IF('ORDENES'!$A624="","",IF('ORDENES'!$AQ624="","-",'ORDENES'!$AQ624))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IF('ORDENES'!$A624="","",'ORDENES'!$AD624)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IF('ORDENES'!$A625="","",IF('ORDENES'!$AF625="","-",'ORDENES'!$AF625))</f>
        <v/>
      </c>
      <c r="D647" s="3">
        <f>IF('ORDENES'!$A625="","",IF('ORDENES'!$X625="","-",'ORDENES'!$X625))</f>
        <v/>
      </c>
      <c r="E647" s="3">
        <f>IF('ORDENES'!$A625="","",IF('ORDENES'!$V625="","-",'ORDENES'!$V625))</f>
        <v/>
      </c>
      <c r="F647" s="3">
        <f>IF('ORDENES'!$A625="","",IF('ORDENES'!$Y625="","-",'ORDENES'!$Y625))</f>
        <v/>
      </c>
      <c r="G647" s="3">
        <f>IF('ORDENES'!$A625="","",IF('ORDENES'!$W625="","-",'ORDENES'!$W625))</f>
        <v/>
      </c>
      <c r="H647" s="3">
        <f>IF('ORDENES'!$A625="","",IF('ORDENES'!$AE625="","-",'ORDENES'!$AE625))</f>
        <v/>
      </c>
      <c r="I647" s="3">
        <f>IF('ORDENES'!$A625="","",IF('ORDENES'!$AQ625="","-",'ORDENES'!$AQ625))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IF('ORDENES'!$A625="","",'ORDENES'!$AD625)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IF('ORDENES'!$A626="","",IF('ORDENES'!$AF626="","-",'ORDENES'!$AF626))</f>
        <v/>
      </c>
      <c r="D648" s="3">
        <f>IF('ORDENES'!$A626="","",IF('ORDENES'!$X626="","-",'ORDENES'!$X626))</f>
        <v/>
      </c>
      <c r="E648" s="3">
        <f>IF('ORDENES'!$A626="","",IF('ORDENES'!$V626="","-",'ORDENES'!$V626))</f>
        <v/>
      </c>
      <c r="F648" s="3">
        <f>IF('ORDENES'!$A626="","",IF('ORDENES'!$Y626="","-",'ORDENES'!$Y626))</f>
        <v/>
      </c>
      <c r="G648" s="3">
        <f>IF('ORDENES'!$A626="","",IF('ORDENES'!$W626="","-",'ORDENES'!$W626))</f>
        <v/>
      </c>
      <c r="H648" s="3">
        <f>IF('ORDENES'!$A626="","",IF('ORDENES'!$AE626="","-",'ORDENES'!$AE626))</f>
        <v/>
      </c>
      <c r="I648" s="3">
        <f>IF('ORDENES'!$A626="","",IF('ORDENES'!$AQ626="","-",'ORDENES'!$AQ626))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IF('ORDENES'!$A626="","",'ORDENES'!$AD626)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IF('ORDENES'!$A627="","",IF('ORDENES'!$AF627="","-",'ORDENES'!$AF627))</f>
        <v/>
      </c>
      <c r="D649" s="3">
        <f>IF('ORDENES'!$A627="","",IF('ORDENES'!$X627="","-",'ORDENES'!$X627))</f>
        <v/>
      </c>
      <c r="E649" s="3">
        <f>IF('ORDENES'!$A627="","",IF('ORDENES'!$V627="","-",'ORDENES'!$V627))</f>
        <v/>
      </c>
      <c r="F649" s="3">
        <f>IF('ORDENES'!$A627="","",IF('ORDENES'!$Y627="","-",'ORDENES'!$Y627))</f>
        <v/>
      </c>
      <c r="G649" s="3">
        <f>IF('ORDENES'!$A627="","",IF('ORDENES'!$W627="","-",'ORDENES'!$W627))</f>
        <v/>
      </c>
      <c r="H649" s="3">
        <f>IF('ORDENES'!$A627="","",IF('ORDENES'!$AE627="","-",'ORDENES'!$AE627))</f>
        <v/>
      </c>
      <c r="I649" s="3">
        <f>IF('ORDENES'!$A627="","",IF('ORDENES'!$AQ627="","-",'ORDENES'!$AQ627))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IF('ORDENES'!$A627="","",'ORDENES'!$AD627)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IF('ORDENES'!$A628="","",IF('ORDENES'!$AF628="","-",'ORDENES'!$AF628))</f>
        <v/>
      </c>
      <c r="D650" s="3">
        <f>IF('ORDENES'!$A628="","",IF('ORDENES'!$X628="","-",'ORDENES'!$X628))</f>
        <v/>
      </c>
      <c r="E650" s="3">
        <f>IF('ORDENES'!$A628="","",IF('ORDENES'!$V628="","-",'ORDENES'!$V628))</f>
        <v/>
      </c>
      <c r="F650" s="3">
        <f>IF('ORDENES'!$A628="","",IF('ORDENES'!$Y628="","-",'ORDENES'!$Y628))</f>
        <v/>
      </c>
      <c r="G650" s="3">
        <f>IF('ORDENES'!$A628="","",IF('ORDENES'!$W628="","-",'ORDENES'!$W628))</f>
        <v/>
      </c>
      <c r="H650" s="3">
        <f>IF('ORDENES'!$A628="","",IF('ORDENES'!$AE628="","-",'ORDENES'!$AE628))</f>
        <v/>
      </c>
      <c r="I650" s="3">
        <f>IF('ORDENES'!$A628="","",IF('ORDENES'!$AQ628="","-",'ORDENES'!$AQ628))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IF('ORDENES'!$A628="","",'ORDENES'!$AD628)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IF('ORDENES'!$A629="","",IF('ORDENES'!$AF629="","-",'ORDENES'!$AF629))</f>
        <v/>
      </c>
      <c r="D651" s="3">
        <f>IF('ORDENES'!$A629="","",IF('ORDENES'!$X629="","-",'ORDENES'!$X629))</f>
        <v/>
      </c>
      <c r="E651" s="3">
        <f>IF('ORDENES'!$A629="","",IF('ORDENES'!$V629="","-",'ORDENES'!$V629))</f>
        <v/>
      </c>
      <c r="F651" s="3">
        <f>IF('ORDENES'!$A629="","",IF('ORDENES'!$Y629="","-",'ORDENES'!$Y629))</f>
        <v/>
      </c>
      <c r="G651" s="3">
        <f>IF('ORDENES'!$A629="","",IF('ORDENES'!$W629="","-",'ORDENES'!$W629))</f>
        <v/>
      </c>
      <c r="H651" s="3">
        <f>IF('ORDENES'!$A629="","",IF('ORDENES'!$AE629="","-",'ORDENES'!$AE629))</f>
        <v/>
      </c>
      <c r="I651" s="3">
        <f>IF('ORDENES'!$A629="","",IF('ORDENES'!$AQ629="","-",'ORDENES'!$AQ629))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IF('ORDENES'!$A629="","",'ORDENES'!$AD629)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IF('ORDENES'!$A630="","",IF('ORDENES'!$AF630="","-",'ORDENES'!$AF630))</f>
        <v/>
      </c>
      <c r="D652" s="3">
        <f>IF('ORDENES'!$A630="","",IF('ORDENES'!$X630="","-",'ORDENES'!$X630))</f>
        <v/>
      </c>
      <c r="E652" s="3">
        <f>IF('ORDENES'!$A630="","",IF('ORDENES'!$V630="","-",'ORDENES'!$V630))</f>
        <v/>
      </c>
      <c r="F652" s="3">
        <f>IF('ORDENES'!$A630="","",IF('ORDENES'!$Y630="","-",'ORDENES'!$Y630))</f>
        <v/>
      </c>
      <c r="G652" s="3">
        <f>IF('ORDENES'!$A630="","",IF('ORDENES'!$W630="","-",'ORDENES'!$W630))</f>
        <v/>
      </c>
      <c r="H652" s="3">
        <f>IF('ORDENES'!$A630="","",IF('ORDENES'!$AE630="","-",'ORDENES'!$AE630))</f>
        <v/>
      </c>
      <c r="I652" s="3">
        <f>IF('ORDENES'!$A630="","",IF('ORDENES'!$AQ630="","-",'ORDENES'!$AQ630))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IF('ORDENES'!$A630="","",'ORDENES'!$AD630)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IF('ORDENES'!$A631="","",IF('ORDENES'!$AF631="","-",'ORDENES'!$AF631))</f>
        <v/>
      </c>
      <c r="D653" s="3">
        <f>IF('ORDENES'!$A631="","",IF('ORDENES'!$X631="","-",'ORDENES'!$X631))</f>
        <v/>
      </c>
      <c r="E653" s="3">
        <f>IF('ORDENES'!$A631="","",IF('ORDENES'!$V631="","-",'ORDENES'!$V631))</f>
        <v/>
      </c>
      <c r="F653" s="3">
        <f>IF('ORDENES'!$A631="","",IF('ORDENES'!$Y631="","-",'ORDENES'!$Y631))</f>
        <v/>
      </c>
      <c r="G653" s="3">
        <f>IF('ORDENES'!$A631="","",IF('ORDENES'!$W631="","-",'ORDENES'!$W631))</f>
        <v/>
      </c>
      <c r="H653" s="3">
        <f>IF('ORDENES'!$A631="","",IF('ORDENES'!$AE631="","-",'ORDENES'!$AE631))</f>
        <v/>
      </c>
      <c r="I653" s="3">
        <f>IF('ORDENES'!$A631="","",IF('ORDENES'!$AQ631="","-",'ORDENES'!$AQ631))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IF('ORDENES'!$A631="","",'ORDENES'!$AD631)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IF('ORDENES'!$A632="","",IF('ORDENES'!$AF632="","-",'ORDENES'!$AF632))</f>
        <v/>
      </c>
      <c r="D654" s="3">
        <f>IF('ORDENES'!$A632="","",IF('ORDENES'!$X632="","-",'ORDENES'!$X632))</f>
        <v/>
      </c>
      <c r="E654" s="3">
        <f>IF('ORDENES'!$A632="","",IF('ORDENES'!$V632="","-",'ORDENES'!$V632))</f>
        <v/>
      </c>
      <c r="F654" s="3">
        <f>IF('ORDENES'!$A632="","",IF('ORDENES'!$Y632="","-",'ORDENES'!$Y632))</f>
        <v/>
      </c>
      <c r="G654" s="3">
        <f>IF('ORDENES'!$A632="","",IF('ORDENES'!$W632="","-",'ORDENES'!$W632))</f>
        <v/>
      </c>
      <c r="H654" s="3">
        <f>IF('ORDENES'!$A632="","",IF('ORDENES'!$AE632="","-",'ORDENES'!$AE632))</f>
        <v/>
      </c>
      <c r="I654" s="3">
        <f>IF('ORDENES'!$A632="","",IF('ORDENES'!$AQ632="","-",'ORDENES'!$AQ632))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IF('ORDENES'!$A632="","",'ORDENES'!$AD632)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IF('ORDENES'!$A633="","",IF('ORDENES'!$AF633="","-",'ORDENES'!$AF633))</f>
        <v/>
      </c>
      <c r="D655" s="3">
        <f>IF('ORDENES'!$A633="","",IF('ORDENES'!$X633="","-",'ORDENES'!$X633))</f>
        <v/>
      </c>
      <c r="E655" s="3">
        <f>IF('ORDENES'!$A633="","",IF('ORDENES'!$V633="","-",'ORDENES'!$V633))</f>
        <v/>
      </c>
      <c r="F655" s="3">
        <f>IF('ORDENES'!$A633="","",IF('ORDENES'!$Y633="","-",'ORDENES'!$Y633))</f>
        <v/>
      </c>
      <c r="G655" s="3">
        <f>IF('ORDENES'!$A633="","",IF('ORDENES'!$W633="","-",'ORDENES'!$W633))</f>
        <v/>
      </c>
      <c r="H655" s="3">
        <f>IF('ORDENES'!$A633="","",IF('ORDENES'!$AE633="","-",'ORDENES'!$AE633))</f>
        <v/>
      </c>
      <c r="I655" s="3">
        <f>IF('ORDENES'!$A633="","",IF('ORDENES'!$AQ633="","-",'ORDENES'!$AQ633))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IF('ORDENES'!$A633="","",'ORDENES'!$AD633)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IF('ORDENES'!$A634="","",IF('ORDENES'!$AF634="","-",'ORDENES'!$AF634))</f>
        <v/>
      </c>
      <c r="D656" s="3">
        <f>IF('ORDENES'!$A634="","",IF('ORDENES'!$X634="","-",'ORDENES'!$X634))</f>
        <v/>
      </c>
      <c r="E656" s="3">
        <f>IF('ORDENES'!$A634="","",IF('ORDENES'!$V634="","-",'ORDENES'!$V634))</f>
        <v/>
      </c>
      <c r="F656" s="3">
        <f>IF('ORDENES'!$A634="","",IF('ORDENES'!$Y634="","-",'ORDENES'!$Y634))</f>
        <v/>
      </c>
      <c r="G656" s="3">
        <f>IF('ORDENES'!$A634="","",IF('ORDENES'!$W634="","-",'ORDENES'!$W634))</f>
        <v/>
      </c>
      <c r="H656" s="3">
        <f>IF('ORDENES'!$A634="","",IF('ORDENES'!$AE634="","-",'ORDENES'!$AE634))</f>
        <v/>
      </c>
      <c r="I656" s="3">
        <f>IF('ORDENES'!$A634="","",IF('ORDENES'!$AQ634="","-",'ORDENES'!$AQ634))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IF('ORDENES'!$A634="","",'ORDENES'!$AD634)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IF('ORDENES'!$A635="","",IF('ORDENES'!$AF635="","-",'ORDENES'!$AF635))</f>
        <v/>
      </c>
      <c r="D657" s="3">
        <f>IF('ORDENES'!$A635="","",IF('ORDENES'!$X635="","-",'ORDENES'!$X635))</f>
        <v/>
      </c>
      <c r="E657" s="3">
        <f>IF('ORDENES'!$A635="","",IF('ORDENES'!$V635="","-",'ORDENES'!$V635))</f>
        <v/>
      </c>
      <c r="F657" s="3">
        <f>IF('ORDENES'!$A635="","",IF('ORDENES'!$Y635="","-",'ORDENES'!$Y635))</f>
        <v/>
      </c>
      <c r="G657" s="3">
        <f>IF('ORDENES'!$A635="","",IF('ORDENES'!$W635="","-",'ORDENES'!$W635))</f>
        <v/>
      </c>
      <c r="H657" s="3">
        <f>IF('ORDENES'!$A635="","",IF('ORDENES'!$AE635="","-",'ORDENES'!$AE635))</f>
        <v/>
      </c>
      <c r="I657" s="3">
        <f>IF('ORDENES'!$A635="","",IF('ORDENES'!$AQ635="","-",'ORDENES'!$AQ635))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IF('ORDENES'!$A635="","",'ORDENES'!$AD635)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IF('ORDENES'!$A636="","",IF('ORDENES'!$AF636="","-",'ORDENES'!$AF636))</f>
        <v/>
      </c>
      <c r="D658" s="3">
        <f>IF('ORDENES'!$A636="","",IF('ORDENES'!$X636="","-",'ORDENES'!$X636))</f>
        <v/>
      </c>
      <c r="E658" s="3">
        <f>IF('ORDENES'!$A636="","",IF('ORDENES'!$V636="","-",'ORDENES'!$V636))</f>
        <v/>
      </c>
      <c r="F658" s="3">
        <f>IF('ORDENES'!$A636="","",IF('ORDENES'!$Y636="","-",'ORDENES'!$Y636))</f>
        <v/>
      </c>
      <c r="G658" s="3">
        <f>IF('ORDENES'!$A636="","",IF('ORDENES'!$W636="","-",'ORDENES'!$W636))</f>
        <v/>
      </c>
      <c r="H658" s="3">
        <f>IF('ORDENES'!$A636="","",IF('ORDENES'!$AE636="","-",'ORDENES'!$AE636))</f>
        <v/>
      </c>
      <c r="I658" s="3">
        <f>IF('ORDENES'!$A636="","",IF('ORDENES'!$AQ636="","-",'ORDENES'!$AQ636))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IF('ORDENES'!$A636="","",'ORDENES'!$AD636)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IF('ORDENES'!$A637="","",IF('ORDENES'!$AF637="","-",'ORDENES'!$AF637))</f>
        <v/>
      </c>
      <c r="D659" s="3">
        <f>IF('ORDENES'!$A637="","",IF('ORDENES'!$X637="","-",'ORDENES'!$X637))</f>
        <v/>
      </c>
      <c r="E659" s="3">
        <f>IF('ORDENES'!$A637="","",IF('ORDENES'!$V637="","-",'ORDENES'!$V637))</f>
        <v/>
      </c>
      <c r="F659" s="3">
        <f>IF('ORDENES'!$A637="","",IF('ORDENES'!$Y637="","-",'ORDENES'!$Y637))</f>
        <v/>
      </c>
      <c r="G659" s="3">
        <f>IF('ORDENES'!$A637="","",IF('ORDENES'!$W637="","-",'ORDENES'!$W637))</f>
        <v/>
      </c>
      <c r="H659" s="3">
        <f>IF('ORDENES'!$A637="","",IF('ORDENES'!$AE637="","-",'ORDENES'!$AE637))</f>
        <v/>
      </c>
      <c r="I659" s="3">
        <f>IF('ORDENES'!$A637="","",IF('ORDENES'!$AQ637="","-",'ORDENES'!$AQ637))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IF('ORDENES'!$A637="","",'ORDENES'!$AD637)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IF('ORDENES'!$A638="","",IF('ORDENES'!$AF638="","-",'ORDENES'!$AF638))</f>
        <v/>
      </c>
      <c r="D660" s="3">
        <f>IF('ORDENES'!$A638="","",IF('ORDENES'!$X638="","-",'ORDENES'!$X638))</f>
        <v/>
      </c>
      <c r="E660" s="3">
        <f>IF('ORDENES'!$A638="","",IF('ORDENES'!$V638="","-",'ORDENES'!$V638))</f>
        <v/>
      </c>
      <c r="F660" s="3">
        <f>IF('ORDENES'!$A638="","",IF('ORDENES'!$Y638="","-",'ORDENES'!$Y638))</f>
        <v/>
      </c>
      <c r="G660" s="3">
        <f>IF('ORDENES'!$A638="","",IF('ORDENES'!$W638="","-",'ORDENES'!$W638))</f>
        <v/>
      </c>
      <c r="H660" s="3">
        <f>IF('ORDENES'!$A638="","",IF('ORDENES'!$AE638="","-",'ORDENES'!$AE638))</f>
        <v/>
      </c>
      <c r="I660" s="3">
        <f>IF('ORDENES'!$A638="","",IF('ORDENES'!$AQ638="","-",'ORDENES'!$AQ638))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IF('ORDENES'!$A638="","",'ORDENES'!$AD638)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IF('ORDENES'!$A639="","",IF('ORDENES'!$AF639="","-",'ORDENES'!$AF639))</f>
        <v/>
      </c>
      <c r="D661" s="3">
        <f>IF('ORDENES'!$A639="","",IF('ORDENES'!$X639="","-",'ORDENES'!$X639))</f>
        <v/>
      </c>
      <c r="E661" s="3">
        <f>IF('ORDENES'!$A639="","",IF('ORDENES'!$V639="","-",'ORDENES'!$V639))</f>
        <v/>
      </c>
      <c r="F661" s="3">
        <f>IF('ORDENES'!$A639="","",IF('ORDENES'!$Y639="","-",'ORDENES'!$Y639))</f>
        <v/>
      </c>
      <c r="G661" s="3">
        <f>IF('ORDENES'!$A639="","",IF('ORDENES'!$W639="","-",'ORDENES'!$W639))</f>
        <v/>
      </c>
      <c r="H661" s="3">
        <f>IF('ORDENES'!$A639="","",IF('ORDENES'!$AE639="","-",'ORDENES'!$AE639))</f>
        <v/>
      </c>
      <c r="I661" s="3">
        <f>IF('ORDENES'!$A639="","",IF('ORDENES'!$AQ639="","-",'ORDENES'!$AQ639))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IF('ORDENES'!$A639="","",'ORDENES'!$AD639)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IF('ORDENES'!$A640="","",IF('ORDENES'!$AF640="","-",'ORDENES'!$AF640))</f>
        <v/>
      </c>
      <c r="D662" s="3">
        <f>IF('ORDENES'!$A640="","",IF('ORDENES'!$X640="","-",'ORDENES'!$X640))</f>
        <v/>
      </c>
      <c r="E662" s="3">
        <f>IF('ORDENES'!$A640="","",IF('ORDENES'!$V640="","-",'ORDENES'!$V640))</f>
        <v/>
      </c>
      <c r="F662" s="3">
        <f>IF('ORDENES'!$A640="","",IF('ORDENES'!$Y640="","-",'ORDENES'!$Y640))</f>
        <v/>
      </c>
      <c r="G662" s="3">
        <f>IF('ORDENES'!$A640="","",IF('ORDENES'!$W640="","-",'ORDENES'!$W640))</f>
        <v/>
      </c>
      <c r="H662" s="3">
        <f>IF('ORDENES'!$A640="","",IF('ORDENES'!$AE640="","-",'ORDENES'!$AE640))</f>
        <v/>
      </c>
      <c r="I662" s="3">
        <f>IF('ORDENES'!$A640="","",IF('ORDENES'!$AQ640="","-",'ORDENES'!$AQ640))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IF('ORDENES'!$A640="","",'ORDENES'!$AD640)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IF('ORDENES'!$A641="","",IF('ORDENES'!$AF641="","-",'ORDENES'!$AF641))</f>
        <v/>
      </c>
      <c r="D663" s="3">
        <f>IF('ORDENES'!$A641="","",IF('ORDENES'!$X641="","-",'ORDENES'!$X641))</f>
        <v/>
      </c>
      <c r="E663" s="3">
        <f>IF('ORDENES'!$A641="","",IF('ORDENES'!$V641="","-",'ORDENES'!$V641))</f>
        <v/>
      </c>
      <c r="F663" s="3">
        <f>IF('ORDENES'!$A641="","",IF('ORDENES'!$Y641="","-",'ORDENES'!$Y641))</f>
        <v/>
      </c>
      <c r="G663" s="3">
        <f>IF('ORDENES'!$A641="","",IF('ORDENES'!$W641="","-",'ORDENES'!$W641))</f>
        <v/>
      </c>
      <c r="H663" s="3">
        <f>IF('ORDENES'!$A641="","",IF('ORDENES'!$AE641="","-",'ORDENES'!$AE641))</f>
        <v/>
      </c>
      <c r="I663" s="3">
        <f>IF('ORDENES'!$A641="","",IF('ORDENES'!$AQ641="","-",'ORDENES'!$AQ641))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IF('ORDENES'!$A641="","",'ORDENES'!$AD641)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IF('ORDENES'!$A642="","",IF('ORDENES'!$AF642="","-",'ORDENES'!$AF642))</f>
        <v/>
      </c>
      <c r="D664" s="3">
        <f>IF('ORDENES'!$A642="","",IF('ORDENES'!$X642="","-",'ORDENES'!$X642))</f>
        <v/>
      </c>
      <c r="E664" s="3">
        <f>IF('ORDENES'!$A642="","",IF('ORDENES'!$V642="","-",'ORDENES'!$V642))</f>
        <v/>
      </c>
      <c r="F664" s="3">
        <f>IF('ORDENES'!$A642="","",IF('ORDENES'!$Y642="","-",'ORDENES'!$Y642))</f>
        <v/>
      </c>
      <c r="G664" s="3">
        <f>IF('ORDENES'!$A642="","",IF('ORDENES'!$W642="","-",'ORDENES'!$W642))</f>
        <v/>
      </c>
      <c r="H664" s="3">
        <f>IF('ORDENES'!$A642="","",IF('ORDENES'!$AE642="","-",'ORDENES'!$AE642))</f>
        <v/>
      </c>
      <c r="I664" s="3">
        <f>IF('ORDENES'!$A642="","",IF('ORDENES'!$AQ642="","-",'ORDENES'!$AQ642))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IF('ORDENES'!$A642="","",'ORDENES'!$AD642)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IF('ORDENES'!$A643="","",IF('ORDENES'!$AF643="","-",'ORDENES'!$AF643))</f>
        <v/>
      </c>
      <c r="D665" s="3">
        <f>IF('ORDENES'!$A643="","",IF('ORDENES'!$X643="","-",'ORDENES'!$X643))</f>
        <v/>
      </c>
      <c r="E665" s="3">
        <f>IF('ORDENES'!$A643="","",IF('ORDENES'!$V643="","-",'ORDENES'!$V643))</f>
        <v/>
      </c>
      <c r="F665" s="3">
        <f>IF('ORDENES'!$A643="","",IF('ORDENES'!$Y643="","-",'ORDENES'!$Y643))</f>
        <v/>
      </c>
      <c r="G665" s="3">
        <f>IF('ORDENES'!$A643="","",IF('ORDENES'!$W643="","-",'ORDENES'!$W643))</f>
        <v/>
      </c>
      <c r="H665" s="3">
        <f>IF('ORDENES'!$A643="","",IF('ORDENES'!$AE643="","-",'ORDENES'!$AE643))</f>
        <v/>
      </c>
      <c r="I665" s="3">
        <f>IF('ORDENES'!$A643="","",IF('ORDENES'!$AQ643="","-",'ORDENES'!$AQ643))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IF('ORDENES'!$A643="","",'ORDENES'!$AD643)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IF('ORDENES'!$A644="","",IF('ORDENES'!$AF644="","-",'ORDENES'!$AF644))</f>
        <v/>
      </c>
      <c r="D666" s="3">
        <f>IF('ORDENES'!$A644="","",IF('ORDENES'!$X644="","-",'ORDENES'!$X644))</f>
        <v/>
      </c>
      <c r="E666" s="3">
        <f>IF('ORDENES'!$A644="","",IF('ORDENES'!$V644="","-",'ORDENES'!$V644))</f>
        <v/>
      </c>
      <c r="F666" s="3">
        <f>IF('ORDENES'!$A644="","",IF('ORDENES'!$Y644="","-",'ORDENES'!$Y644))</f>
        <v/>
      </c>
      <c r="G666" s="3">
        <f>IF('ORDENES'!$A644="","",IF('ORDENES'!$W644="","-",'ORDENES'!$W644))</f>
        <v/>
      </c>
      <c r="H666" s="3">
        <f>IF('ORDENES'!$A644="","",IF('ORDENES'!$AE644="","-",'ORDENES'!$AE644))</f>
        <v/>
      </c>
      <c r="I666" s="3">
        <f>IF('ORDENES'!$A644="","",IF('ORDENES'!$AQ644="","-",'ORDENES'!$AQ644))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IF('ORDENES'!$A644="","",'ORDENES'!$AD644)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IF('ORDENES'!$A645="","",IF('ORDENES'!$AF645="","-",'ORDENES'!$AF645))</f>
        <v/>
      </c>
      <c r="D667" s="3">
        <f>IF('ORDENES'!$A645="","",IF('ORDENES'!$X645="","-",'ORDENES'!$X645))</f>
        <v/>
      </c>
      <c r="E667" s="3">
        <f>IF('ORDENES'!$A645="","",IF('ORDENES'!$V645="","-",'ORDENES'!$V645))</f>
        <v/>
      </c>
      <c r="F667" s="3">
        <f>IF('ORDENES'!$A645="","",IF('ORDENES'!$Y645="","-",'ORDENES'!$Y645))</f>
        <v/>
      </c>
      <c r="G667" s="3">
        <f>IF('ORDENES'!$A645="","",IF('ORDENES'!$W645="","-",'ORDENES'!$W645))</f>
        <v/>
      </c>
      <c r="H667" s="3">
        <f>IF('ORDENES'!$A645="","",IF('ORDENES'!$AE645="","-",'ORDENES'!$AE645))</f>
        <v/>
      </c>
      <c r="I667" s="3">
        <f>IF('ORDENES'!$A645="","",IF('ORDENES'!$AQ645="","-",'ORDENES'!$AQ645))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IF('ORDENES'!$A645="","",'ORDENES'!$AD645)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IF('ORDENES'!$A646="","",IF('ORDENES'!$AF646="","-",'ORDENES'!$AF646))</f>
        <v/>
      </c>
      <c r="D668" s="3">
        <f>IF('ORDENES'!$A646="","",IF('ORDENES'!$X646="","-",'ORDENES'!$X646))</f>
        <v/>
      </c>
      <c r="E668" s="3">
        <f>IF('ORDENES'!$A646="","",IF('ORDENES'!$V646="","-",'ORDENES'!$V646))</f>
        <v/>
      </c>
      <c r="F668" s="3">
        <f>IF('ORDENES'!$A646="","",IF('ORDENES'!$Y646="","-",'ORDENES'!$Y646))</f>
        <v/>
      </c>
      <c r="G668" s="3">
        <f>IF('ORDENES'!$A646="","",IF('ORDENES'!$W646="","-",'ORDENES'!$W646))</f>
        <v/>
      </c>
      <c r="H668" s="3">
        <f>IF('ORDENES'!$A646="","",IF('ORDENES'!$AE646="","-",'ORDENES'!$AE646))</f>
        <v/>
      </c>
      <c r="I668" s="3">
        <f>IF('ORDENES'!$A646="","",IF('ORDENES'!$AQ646="","-",'ORDENES'!$AQ646))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IF('ORDENES'!$A646="","",'ORDENES'!$AD646)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IF('ORDENES'!$A647="","",IF('ORDENES'!$AF647="","-",'ORDENES'!$AF647))</f>
        <v/>
      </c>
      <c r="D669" s="3">
        <f>IF('ORDENES'!$A647="","",IF('ORDENES'!$X647="","-",'ORDENES'!$X647))</f>
        <v/>
      </c>
      <c r="E669" s="3">
        <f>IF('ORDENES'!$A647="","",IF('ORDENES'!$V647="","-",'ORDENES'!$V647))</f>
        <v/>
      </c>
      <c r="F669" s="3">
        <f>IF('ORDENES'!$A647="","",IF('ORDENES'!$Y647="","-",'ORDENES'!$Y647))</f>
        <v/>
      </c>
      <c r="G669" s="3">
        <f>IF('ORDENES'!$A647="","",IF('ORDENES'!$W647="","-",'ORDENES'!$W647))</f>
        <v/>
      </c>
      <c r="H669" s="3">
        <f>IF('ORDENES'!$A647="","",IF('ORDENES'!$AE647="","-",'ORDENES'!$AE647))</f>
        <v/>
      </c>
      <c r="I669" s="3">
        <f>IF('ORDENES'!$A647="","",IF('ORDENES'!$AQ647="","-",'ORDENES'!$AQ647))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IF('ORDENES'!$A647="","",'ORDENES'!$AD647)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IF('ORDENES'!$A648="","",IF('ORDENES'!$AF648="","-",'ORDENES'!$AF648))</f>
        <v/>
      </c>
      <c r="D670" s="3">
        <f>IF('ORDENES'!$A648="","",IF('ORDENES'!$X648="","-",'ORDENES'!$X648))</f>
        <v/>
      </c>
      <c r="E670" s="3">
        <f>IF('ORDENES'!$A648="","",IF('ORDENES'!$V648="","-",'ORDENES'!$V648))</f>
        <v/>
      </c>
      <c r="F670" s="3">
        <f>IF('ORDENES'!$A648="","",IF('ORDENES'!$Y648="","-",'ORDENES'!$Y648))</f>
        <v/>
      </c>
      <c r="G670" s="3">
        <f>IF('ORDENES'!$A648="","",IF('ORDENES'!$W648="","-",'ORDENES'!$W648))</f>
        <v/>
      </c>
      <c r="H670" s="3">
        <f>IF('ORDENES'!$A648="","",IF('ORDENES'!$AE648="","-",'ORDENES'!$AE648))</f>
        <v/>
      </c>
      <c r="I670" s="3">
        <f>IF('ORDENES'!$A648="","",IF('ORDENES'!$AQ648="","-",'ORDENES'!$AQ648))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IF('ORDENES'!$A648="","",'ORDENES'!$AD648)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IF('ORDENES'!$A649="","",IF('ORDENES'!$AF649="","-",'ORDENES'!$AF649))</f>
        <v/>
      </c>
      <c r="D671" s="3">
        <f>IF('ORDENES'!$A649="","",IF('ORDENES'!$X649="","-",'ORDENES'!$X649))</f>
        <v/>
      </c>
      <c r="E671" s="3">
        <f>IF('ORDENES'!$A649="","",IF('ORDENES'!$V649="","-",'ORDENES'!$V649))</f>
        <v/>
      </c>
      <c r="F671" s="3">
        <f>IF('ORDENES'!$A649="","",IF('ORDENES'!$Y649="","-",'ORDENES'!$Y649))</f>
        <v/>
      </c>
      <c r="G671" s="3">
        <f>IF('ORDENES'!$A649="","",IF('ORDENES'!$W649="","-",'ORDENES'!$W649))</f>
        <v/>
      </c>
      <c r="H671" s="3">
        <f>IF('ORDENES'!$A649="","",IF('ORDENES'!$AE649="","-",'ORDENES'!$AE649))</f>
        <v/>
      </c>
      <c r="I671" s="3">
        <f>IF('ORDENES'!$A649="","",IF('ORDENES'!$AQ649="","-",'ORDENES'!$AQ649))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IF('ORDENES'!$A649="","",'ORDENES'!$AD649)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IF('ORDENES'!$A650="","",IF('ORDENES'!$AF650="","-",'ORDENES'!$AF650))</f>
        <v/>
      </c>
      <c r="D672" s="3">
        <f>IF('ORDENES'!$A650="","",IF('ORDENES'!$X650="","-",'ORDENES'!$X650))</f>
        <v/>
      </c>
      <c r="E672" s="3">
        <f>IF('ORDENES'!$A650="","",IF('ORDENES'!$V650="","-",'ORDENES'!$V650))</f>
        <v/>
      </c>
      <c r="F672" s="3">
        <f>IF('ORDENES'!$A650="","",IF('ORDENES'!$Y650="","-",'ORDENES'!$Y650))</f>
        <v/>
      </c>
      <c r="G672" s="3">
        <f>IF('ORDENES'!$A650="","",IF('ORDENES'!$W650="","-",'ORDENES'!$W650))</f>
        <v/>
      </c>
      <c r="H672" s="3">
        <f>IF('ORDENES'!$A650="","",IF('ORDENES'!$AE650="","-",'ORDENES'!$AE650))</f>
        <v/>
      </c>
      <c r="I672" s="3">
        <f>IF('ORDENES'!$A650="","",IF('ORDENES'!$AQ650="","-",'ORDENES'!$AQ650))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IF('ORDENES'!$A650="","",'ORDENES'!$AD650)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IF('ORDENES'!$A651="","",IF('ORDENES'!$AF651="","-",'ORDENES'!$AF651))</f>
        <v/>
      </c>
      <c r="D673" s="3">
        <f>IF('ORDENES'!$A651="","",IF('ORDENES'!$X651="","-",'ORDENES'!$X651))</f>
        <v/>
      </c>
      <c r="E673" s="3">
        <f>IF('ORDENES'!$A651="","",IF('ORDENES'!$V651="","-",'ORDENES'!$V651))</f>
        <v/>
      </c>
      <c r="F673" s="3">
        <f>IF('ORDENES'!$A651="","",IF('ORDENES'!$Y651="","-",'ORDENES'!$Y651))</f>
        <v/>
      </c>
      <c r="G673" s="3">
        <f>IF('ORDENES'!$A651="","",IF('ORDENES'!$W651="","-",'ORDENES'!$W651))</f>
        <v/>
      </c>
      <c r="H673" s="3">
        <f>IF('ORDENES'!$A651="","",IF('ORDENES'!$AE651="","-",'ORDENES'!$AE651))</f>
        <v/>
      </c>
      <c r="I673" s="3">
        <f>IF('ORDENES'!$A651="","",IF('ORDENES'!$AQ651="","-",'ORDENES'!$AQ651))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IF('ORDENES'!$A651="","",'ORDENES'!$AD651)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IF('ORDENES'!$A652="","",IF('ORDENES'!$AF652="","-",'ORDENES'!$AF652))</f>
        <v/>
      </c>
      <c r="D674" s="3">
        <f>IF('ORDENES'!$A652="","",IF('ORDENES'!$X652="","-",'ORDENES'!$X652))</f>
        <v/>
      </c>
      <c r="E674" s="3">
        <f>IF('ORDENES'!$A652="","",IF('ORDENES'!$V652="","-",'ORDENES'!$V652))</f>
        <v/>
      </c>
      <c r="F674" s="3">
        <f>IF('ORDENES'!$A652="","",IF('ORDENES'!$Y652="","-",'ORDENES'!$Y652))</f>
        <v/>
      </c>
      <c r="G674" s="3">
        <f>IF('ORDENES'!$A652="","",IF('ORDENES'!$W652="","-",'ORDENES'!$W652))</f>
        <v/>
      </c>
      <c r="H674" s="3">
        <f>IF('ORDENES'!$A652="","",IF('ORDENES'!$AE652="","-",'ORDENES'!$AE652))</f>
        <v/>
      </c>
      <c r="I674" s="3">
        <f>IF('ORDENES'!$A652="","",IF('ORDENES'!$AQ652="","-",'ORDENES'!$AQ652))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IF('ORDENES'!$A652="","",'ORDENES'!$AD652)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IF('ORDENES'!$A653="","",IF('ORDENES'!$AF653="","-",'ORDENES'!$AF653))</f>
        <v/>
      </c>
      <c r="D675" s="3">
        <f>IF('ORDENES'!$A653="","",IF('ORDENES'!$X653="","-",'ORDENES'!$X653))</f>
        <v/>
      </c>
      <c r="E675" s="3">
        <f>IF('ORDENES'!$A653="","",IF('ORDENES'!$V653="","-",'ORDENES'!$V653))</f>
        <v/>
      </c>
      <c r="F675" s="3">
        <f>IF('ORDENES'!$A653="","",IF('ORDENES'!$Y653="","-",'ORDENES'!$Y653))</f>
        <v/>
      </c>
      <c r="G675" s="3">
        <f>IF('ORDENES'!$A653="","",IF('ORDENES'!$W653="","-",'ORDENES'!$W653))</f>
        <v/>
      </c>
      <c r="H675" s="3">
        <f>IF('ORDENES'!$A653="","",IF('ORDENES'!$AE653="","-",'ORDENES'!$AE653))</f>
        <v/>
      </c>
      <c r="I675" s="3">
        <f>IF('ORDENES'!$A653="","",IF('ORDENES'!$AQ653="","-",'ORDENES'!$AQ653))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IF('ORDENES'!$A653="","",'ORDENES'!$AD653)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IF('ORDENES'!$A654="","",IF('ORDENES'!$AF654="","-",'ORDENES'!$AF654))</f>
        <v/>
      </c>
      <c r="D676" s="3">
        <f>IF('ORDENES'!$A654="","",IF('ORDENES'!$X654="","-",'ORDENES'!$X654))</f>
        <v/>
      </c>
      <c r="E676" s="3">
        <f>IF('ORDENES'!$A654="","",IF('ORDENES'!$V654="","-",'ORDENES'!$V654))</f>
        <v/>
      </c>
      <c r="F676" s="3">
        <f>IF('ORDENES'!$A654="","",IF('ORDENES'!$Y654="","-",'ORDENES'!$Y654))</f>
        <v/>
      </c>
      <c r="G676" s="3">
        <f>IF('ORDENES'!$A654="","",IF('ORDENES'!$W654="","-",'ORDENES'!$W654))</f>
        <v/>
      </c>
      <c r="H676" s="3">
        <f>IF('ORDENES'!$A654="","",IF('ORDENES'!$AE654="","-",'ORDENES'!$AE654))</f>
        <v/>
      </c>
      <c r="I676" s="3">
        <f>IF('ORDENES'!$A654="","",IF('ORDENES'!$AQ654="","-",'ORDENES'!$AQ654))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IF('ORDENES'!$A654="","",'ORDENES'!$AD654)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IF('ORDENES'!$A655="","",IF('ORDENES'!$AF655="","-",'ORDENES'!$AF655))</f>
        <v/>
      </c>
      <c r="D677" s="3">
        <f>IF('ORDENES'!$A655="","",IF('ORDENES'!$X655="","-",'ORDENES'!$X655))</f>
        <v/>
      </c>
      <c r="E677" s="3">
        <f>IF('ORDENES'!$A655="","",IF('ORDENES'!$V655="","-",'ORDENES'!$V655))</f>
        <v/>
      </c>
      <c r="F677" s="3">
        <f>IF('ORDENES'!$A655="","",IF('ORDENES'!$Y655="","-",'ORDENES'!$Y655))</f>
        <v/>
      </c>
      <c r="G677" s="3">
        <f>IF('ORDENES'!$A655="","",IF('ORDENES'!$W655="","-",'ORDENES'!$W655))</f>
        <v/>
      </c>
      <c r="H677" s="3">
        <f>IF('ORDENES'!$A655="","",IF('ORDENES'!$AE655="","-",'ORDENES'!$AE655))</f>
        <v/>
      </c>
      <c r="I677" s="3">
        <f>IF('ORDENES'!$A655="","",IF('ORDENES'!$AQ655="","-",'ORDENES'!$AQ655))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IF('ORDENES'!$A655="","",'ORDENES'!$AD655)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IF('ORDENES'!$A656="","",IF('ORDENES'!$AF656="","-",'ORDENES'!$AF656))</f>
        <v/>
      </c>
      <c r="D678" s="3">
        <f>IF('ORDENES'!$A656="","",IF('ORDENES'!$X656="","-",'ORDENES'!$X656))</f>
        <v/>
      </c>
      <c r="E678" s="3">
        <f>IF('ORDENES'!$A656="","",IF('ORDENES'!$V656="","-",'ORDENES'!$V656))</f>
        <v/>
      </c>
      <c r="F678" s="3">
        <f>IF('ORDENES'!$A656="","",IF('ORDENES'!$Y656="","-",'ORDENES'!$Y656))</f>
        <v/>
      </c>
      <c r="G678" s="3">
        <f>IF('ORDENES'!$A656="","",IF('ORDENES'!$W656="","-",'ORDENES'!$W656))</f>
        <v/>
      </c>
      <c r="H678" s="3">
        <f>IF('ORDENES'!$A656="","",IF('ORDENES'!$AE656="","-",'ORDENES'!$AE656))</f>
        <v/>
      </c>
      <c r="I678" s="3">
        <f>IF('ORDENES'!$A656="","",IF('ORDENES'!$AQ656="","-",'ORDENES'!$AQ656))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IF('ORDENES'!$A656="","",'ORDENES'!$AD656)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IF('ORDENES'!$A657="","",IF('ORDENES'!$AF657="","-",'ORDENES'!$AF657))</f>
        <v/>
      </c>
      <c r="D679" s="3">
        <f>IF('ORDENES'!$A657="","",IF('ORDENES'!$X657="","-",'ORDENES'!$X657))</f>
        <v/>
      </c>
      <c r="E679" s="3">
        <f>IF('ORDENES'!$A657="","",IF('ORDENES'!$V657="","-",'ORDENES'!$V657))</f>
        <v/>
      </c>
      <c r="F679" s="3">
        <f>IF('ORDENES'!$A657="","",IF('ORDENES'!$Y657="","-",'ORDENES'!$Y657))</f>
        <v/>
      </c>
      <c r="G679" s="3">
        <f>IF('ORDENES'!$A657="","",IF('ORDENES'!$W657="","-",'ORDENES'!$W657))</f>
        <v/>
      </c>
      <c r="H679" s="3">
        <f>IF('ORDENES'!$A657="","",IF('ORDENES'!$AE657="","-",'ORDENES'!$AE657))</f>
        <v/>
      </c>
      <c r="I679" s="3">
        <f>IF('ORDENES'!$A657="","",IF('ORDENES'!$AQ657="","-",'ORDENES'!$AQ657))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IF('ORDENES'!$A657="","",'ORDENES'!$AD657)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IF('ORDENES'!$A658="","",IF('ORDENES'!$AF658="","-",'ORDENES'!$AF658))</f>
        <v/>
      </c>
      <c r="D680" s="3">
        <f>IF('ORDENES'!$A658="","",IF('ORDENES'!$X658="","-",'ORDENES'!$X658))</f>
        <v/>
      </c>
      <c r="E680" s="3">
        <f>IF('ORDENES'!$A658="","",IF('ORDENES'!$V658="","-",'ORDENES'!$V658))</f>
        <v/>
      </c>
      <c r="F680" s="3">
        <f>IF('ORDENES'!$A658="","",IF('ORDENES'!$Y658="","-",'ORDENES'!$Y658))</f>
        <v/>
      </c>
      <c r="G680" s="3">
        <f>IF('ORDENES'!$A658="","",IF('ORDENES'!$W658="","-",'ORDENES'!$W658))</f>
        <v/>
      </c>
      <c r="H680" s="3">
        <f>IF('ORDENES'!$A658="","",IF('ORDENES'!$AE658="","-",'ORDENES'!$AE658))</f>
        <v/>
      </c>
      <c r="I680" s="3">
        <f>IF('ORDENES'!$A658="","",IF('ORDENES'!$AQ658="","-",'ORDENES'!$AQ658))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IF('ORDENES'!$A658="","",'ORDENES'!$AD658)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IF('ORDENES'!$A659="","",IF('ORDENES'!$AF659="","-",'ORDENES'!$AF659))</f>
        <v/>
      </c>
      <c r="D681" s="3">
        <f>IF('ORDENES'!$A659="","",IF('ORDENES'!$X659="","-",'ORDENES'!$X659))</f>
        <v/>
      </c>
      <c r="E681" s="3">
        <f>IF('ORDENES'!$A659="","",IF('ORDENES'!$V659="","-",'ORDENES'!$V659))</f>
        <v/>
      </c>
      <c r="F681" s="3">
        <f>IF('ORDENES'!$A659="","",IF('ORDENES'!$Y659="","-",'ORDENES'!$Y659))</f>
        <v/>
      </c>
      <c r="G681" s="3">
        <f>IF('ORDENES'!$A659="","",IF('ORDENES'!$W659="","-",'ORDENES'!$W659))</f>
        <v/>
      </c>
      <c r="H681" s="3">
        <f>IF('ORDENES'!$A659="","",IF('ORDENES'!$AE659="","-",'ORDENES'!$AE659))</f>
        <v/>
      </c>
      <c r="I681" s="3">
        <f>IF('ORDENES'!$A659="","",IF('ORDENES'!$AQ659="","-",'ORDENES'!$AQ659))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IF('ORDENES'!$A659="","",'ORDENES'!$AD659)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IF('ORDENES'!$A660="","",IF('ORDENES'!$AF660="","-",'ORDENES'!$AF660))</f>
        <v/>
      </c>
      <c r="D682" s="3">
        <f>IF('ORDENES'!$A660="","",IF('ORDENES'!$X660="","-",'ORDENES'!$X660))</f>
        <v/>
      </c>
      <c r="E682" s="3">
        <f>IF('ORDENES'!$A660="","",IF('ORDENES'!$V660="","-",'ORDENES'!$V660))</f>
        <v/>
      </c>
      <c r="F682" s="3">
        <f>IF('ORDENES'!$A660="","",IF('ORDENES'!$Y660="","-",'ORDENES'!$Y660))</f>
        <v/>
      </c>
      <c r="G682" s="3">
        <f>IF('ORDENES'!$A660="","",IF('ORDENES'!$W660="","-",'ORDENES'!$W660))</f>
        <v/>
      </c>
      <c r="H682" s="3">
        <f>IF('ORDENES'!$A660="","",IF('ORDENES'!$AE660="","-",'ORDENES'!$AE660))</f>
        <v/>
      </c>
      <c r="I682" s="3">
        <f>IF('ORDENES'!$A660="","",IF('ORDENES'!$AQ660="","-",'ORDENES'!$AQ660))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IF('ORDENES'!$A660="","",'ORDENES'!$AD660)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IF('ORDENES'!$A661="","",IF('ORDENES'!$AF661="","-",'ORDENES'!$AF661))</f>
        <v/>
      </c>
      <c r="D683" s="3">
        <f>IF('ORDENES'!$A661="","",IF('ORDENES'!$X661="","-",'ORDENES'!$X661))</f>
        <v/>
      </c>
      <c r="E683" s="3">
        <f>IF('ORDENES'!$A661="","",IF('ORDENES'!$V661="","-",'ORDENES'!$V661))</f>
        <v/>
      </c>
      <c r="F683" s="3">
        <f>IF('ORDENES'!$A661="","",IF('ORDENES'!$Y661="","-",'ORDENES'!$Y661))</f>
        <v/>
      </c>
      <c r="G683" s="3">
        <f>IF('ORDENES'!$A661="","",IF('ORDENES'!$W661="","-",'ORDENES'!$W661))</f>
        <v/>
      </c>
      <c r="H683" s="3">
        <f>IF('ORDENES'!$A661="","",IF('ORDENES'!$AE661="","-",'ORDENES'!$AE661))</f>
        <v/>
      </c>
      <c r="I683" s="3">
        <f>IF('ORDENES'!$A661="","",IF('ORDENES'!$AQ661="","-",'ORDENES'!$AQ661))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IF('ORDENES'!$A661="","",'ORDENES'!$AD661)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IF('ORDENES'!$A662="","",IF('ORDENES'!$AF662="","-",'ORDENES'!$AF662))</f>
        <v/>
      </c>
      <c r="D684" s="3">
        <f>IF('ORDENES'!$A662="","",IF('ORDENES'!$X662="","-",'ORDENES'!$X662))</f>
        <v/>
      </c>
      <c r="E684" s="3">
        <f>IF('ORDENES'!$A662="","",IF('ORDENES'!$V662="","-",'ORDENES'!$V662))</f>
        <v/>
      </c>
      <c r="F684" s="3">
        <f>IF('ORDENES'!$A662="","",IF('ORDENES'!$Y662="","-",'ORDENES'!$Y662))</f>
        <v/>
      </c>
      <c r="G684" s="3">
        <f>IF('ORDENES'!$A662="","",IF('ORDENES'!$W662="","-",'ORDENES'!$W662))</f>
        <v/>
      </c>
      <c r="H684" s="3">
        <f>IF('ORDENES'!$A662="","",IF('ORDENES'!$AE662="","-",'ORDENES'!$AE662))</f>
        <v/>
      </c>
      <c r="I684" s="3">
        <f>IF('ORDENES'!$A662="","",IF('ORDENES'!$AQ662="","-",'ORDENES'!$AQ662))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IF('ORDENES'!$A662="","",'ORDENES'!$AD662)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IF('ORDENES'!$A663="","",IF('ORDENES'!$AF663="","-",'ORDENES'!$AF663))</f>
        <v/>
      </c>
      <c r="D685" s="3">
        <f>IF('ORDENES'!$A663="","",IF('ORDENES'!$X663="","-",'ORDENES'!$X663))</f>
        <v/>
      </c>
      <c r="E685" s="3">
        <f>IF('ORDENES'!$A663="","",IF('ORDENES'!$V663="","-",'ORDENES'!$V663))</f>
        <v/>
      </c>
      <c r="F685" s="3">
        <f>IF('ORDENES'!$A663="","",IF('ORDENES'!$Y663="","-",'ORDENES'!$Y663))</f>
        <v/>
      </c>
      <c r="G685" s="3">
        <f>IF('ORDENES'!$A663="","",IF('ORDENES'!$W663="","-",'ORDENES'!$W663))</f>
        <v/>
      </c>
      <c r="H685" s="3">
        <f>IF('ORDENES'!$A663="","",IF('ORDENES'!$AE663="","-",'ORDENES'!$AE663))</f>
        <v/>
      </c>
      <c r="I685" s="3">
        <f>IF('ORDENES'!$A663="","",IF('ORDENES'!$AQ663="","-",'ORDENES'!$AQ663))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IF('ORDENES'!$A663="","",'ORDENES'!$AD663)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IF('ORDENES'!$A664="","",IF('ORDENES'!$AF664="","-",'ORDENES'!$AF664))</f>
        <v/>
      </c>
      <c r="D686" s="3">
        <f>IF('ORDENES'!$A664="","",IF('ORDENES'!$X664="","-",'ORDENES'!$X664))</f>
        <v/>
      </c>
      <c r="E686" s="3">
        <f>IF('ORDENES'!$A664="","",IF('ORDENES'!$V664="","-",'ORDENES'!$V664))</f>
        <v/>
      </c>
      <c r="F686" s="3">
        <f>IF('ORDENES'!$A664="","",IF('ORDENES'!$Y664="","-",'ORDENES'!$Y664))</f>
        <v/>
      </c>
      <c r="G686" s="3">
        <f>IF('ORDENES'!$A664="","",IF('ORDENES'!$W664="","-",'ORDENES'!$W664))</f>
        <v/>
      </c>
      <c r="H686" s="3">
        <f>IF('ORDENES'!$A664="","",IF('ORDENES'!$AE664="","-",'ORDENES'!$AE664))</f>
        <v/>
      </c>
      <c r="I686" s="3">
        <f>IF('ORDENES'!$A664="","",IF('ORDENES'!$AQ664="","-",'ORDENES'!$AQ664))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IF('ORDENES'!$A664="","",'ORDENES'!$AD664)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IF('ORDENES'!$A665="","",IF('ORDENES'!$AF665="","-",'ORDENES'!$AF665))</f>
        <v/>
      </c>
      <c r="D687" s="3">
        <f>IF('ORDENES'!$A665="","",IF('ORDENES'!$X665="","-",'ORDENES'!$X665))</f>
        <v/>
      </c>
      <c r="E687" s="3">
        <f>IF('ORDENES'!$A665="","",IF('ORDENES'!$V665="","-",'ORDENES'!$V665))</f>
        <v/>
      </c>
      <c r="F687" s="3">
        <f>IF('ORDENES'!$A665="","",IF('ORDENES'!$Y665="","-",'ORDENES'!$Y665))</f>
        <v/>
      </c>
      <c r="G687" s="3">
        <f>IF('ORDENES'!$A665="","",IF('ORDENES'!$W665="","-",'ORDENES'!$W665))</f>
        <v/>
      </c>
      <c r="H687" s="3">
        <f>IF('ORDENES'!$A665="","",IF('ORDENES'!$AE665="","-",'ORDENES'!$AE665))</f>
        <v/>
      </c>
      <c r="I687" s="3">
        <f>IF('ORDENES'!$A665="","",IF('ORDENES'!$AQ665="","-",'ORDENES'!$AQ665))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IF('ORDENES'!$A665="","",'ORDENES'!$AD665)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IF('ORDENES'!$A666="","",IF('ORDENES'!$AF666="","-",'ORDENES'!$AF666))</f>
        <v/>
      </c>
      <c r="D688" s="3">
        <f>IF('ORDENES'!$A666="","",IF('ORDENES'!$X666="","-",'ORDENES'!$X666))</f>
        <v/>
      </c>
      <c r="E688" s="3">
        <f>IF('ORDENES'!$A666="","",IF('ORDENES'!$V666="","-",'ORDENES'!$V666))</f>
        <v/>
      </c>
      <c r="F688" s="3">
        <f>IF('ORDENES'!$A666="","",IF('ORDENES'!$Y666="","-",'ORDENES'!$Y666))</f>
        <v/>
      </c>
      <c r="G688" s="3">
        <f>IF('ORDENES'!$A666="","",IF('ORDENES'!$W666="","-",'ORDENES'!$W666))</f>
        <v/>
      </c>
      <c r="H688" s="3">
        <f>IF('ORDENES'!$A666="","",IF('ORDENES'!$AE666="","-",'ORDENES'!$AE666))</f>
        <v/>
      </c>
      <c r="I688" s="3">
        <f>IF('ORDENES'!$A666="","",IF('ORDENES'!$AQ666="","-",'ORDENES'!$AQ666))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IF('ORDENES'!$A666="","",'ORDENES'!$AD666)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IF('ORDENES'!$A667="","",IF('ORDENES'!$AF667="","-",'ORDENES'!$AF667))</f>
        <v/>
      </c>
      <c r="D689" s="3">
        <f>IF('ORDENES'!$A667="","",IF('ORDENES'!$X667="","-",'ORDENES'!$X667))</f>
        <v/>
      </c>
      <c r="E689" s="3">
        <f>IF('ORDENES'!$A667="","",IF('ORDENES'!$V667="","-",'ORDENES'!$V667))</f>
        <v/>
      </c>
      <c r="F689" s="3">
        <f>IF('ORDENES'!$A667="","",IF('ORDENES'!$Y667="","-",'ORDENES'!$Y667))</f>
        <v/>
      </c>
      <c r="G689" s="3">
        <f>IF('ORDENES'!$A667="","",IF('ORDENES'!$W667="","-",'ORDENES'!$W667))</f>
        <v/>
      </c>
      <c r="H689" s="3">
        <f>IF('ORDENES'!$A667="","",IF('ORDENES'!$AE667="","-",'ORDENES'!$AE667))</f>
        <v/>
      </c>
      <c r="I689" s="3">
        <f>IF('ORDENES'!$A667="","",IF('ORDENES'!$AQ667="","-",'ORDENES'!$AQ667))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IF('ORDENES'!$A667="","",'ORDENES'!$AD667)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IF('ORDENES'!$A668="","",IF('ORDENES'!$AF668="","-",'ORDENES'!$AF668))</f>
        <v/>
      </c>
      <c r="D690" s="3">
        <f>IF('ORDENES'!$A668="","",IF('ORDENES'!$X668="","-",'ORDENES'!$X668))</f>
        <v/>
      </c>
      <c r="E690" s="3">
        <f>IF('ORDENES'!$A668="","",IF('ORDENES'!$V668="","-",'ORDENES'!$V668))</f>
        <v/>
      </c>
      <c r="F690" s="3">
        <f>IF('ORDENES'!$A668="","",IF('ORDENES'!$Y668="","-",'ORDENES'!$Y668))</f>
        <v/>
      </c>
      <c r="G690" s="3">
        <f>IF('ORDENES'!$A668="","",IF('ORDENES'!$W668="","-",'ORDENES'!$W668))</f>
        <v/>
      </c>
      <c r="H690" s="3">
        <f>IF('ORDENES'!$A668="","",IF('ORDENES'!$AE668="","-",'ORDENES'!$AE668))</f>
        <v/>
      </c>
      <c r="I690" s="3">
        <f>IF('ORDENES'!$A668="","",IF('ORDENES'!$AQ668="","-",'ORDENES'!$AQ668))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IF('ORDENES'!$A668="","",'ORDENES'!$AD668)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IF('ORDENES'!$A669="","",IF('ORDENES'!$AF669="","-",'ORDENES'!$AF669))</f>
        <v/>
      </c>
      <c r="D691" s="3">
        <f>IF('ORDENES'!$A669="","",IF('ORDENES'!$X669="","-",'ORDENES'!$X669))</f>
        <v/>
      </c>
      <c r="E691" s="3">
        <f>IF('ORDENES'!$A669="","",IF('ORDENES'!$V669="","-",'ORDENES'!$V669))</f>
        <v/>
      </c>
      <c r="F691" s="3">
        <f>IF('ORDENES'!$A669="","",IF('ORDENES'!$Y669="","-",'ORDENES'!$Y669))</f>
        <v/>
      </c>
      <c r="G691" s="3">
        <f>IF('ORDENES'!$A669="","",IF('ORDENES'!$W669="","-",'ORDENES'!$W669))</f>
        <v/>
      </c>
      <c r="H691" s="3">
        <f>IF('ORDENES'!$A669="","",IF('ORDENES'!$AE669="","-",'ORDENES'!$AE669))</f>
        <v/>
      </c>
      <c r="I691" s="3">
        <f>IF('ORDENES'!$A669="","",IF('ORDENES'!$AQ669="","-",'ORDENES'!$AQ669))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IF('ORDENES'!$A669="","",'ORDENES'!$AD669)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IF('ORDENES'!$A670="","",IF('ORDENES'!$AF670="","-",'ORDENES'!$AF670))</f>
        <v/>
      </c>
      <c r="D692" s="3">
        <f>IF('ORDENES'!$A670="","",IF('ORDENES'!$X670="","-",'ORDENES'!$X670))</f>
        <v/>
      </c>
      <c r="E692" s="3">
        <f>IF('ORDENES'!$A670="","",IF('ORDENES'!$V670="","-",'ORDENES'!$V670))</f>
        <v/>
      </c>
      <c r="F692" s="3">
        <f>IF('ORDENES'!$A670="","",IF('ORDENES'!$Y670="","-",'ORDENES'!$Y670))</f>
        <v/>
      </c>
      <c r="G692" s="3">
        <f>IF('ORDENES'!$A670="","",IF('ORDENES'!$W670="","-",'ORDENES'!$W670))</f>
        <v/>
      </c>
      <c r="H692" s="3">
        <f>IF('ORDENES'!$A670="","",IF('ORDENES'!$AE670="","-",'ORDENES'!$AE670))</f>
        <v/>
      </c>
      <c r="I692" s="3">
        <f>IF('ORDENES'!$A670="","",IF('ORDENES'!$AQ670="","-",'ORDENES'!$AQ670))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IF('ORDENES'!$A670="","",'ORDENES'!$AD670)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IF('ORDENES'!$A671="","",IF('ORDENES'!$AF671="","-",'ORDENES'!$AF671))</f>
        <v/>
      </c>
      <c r="D693" s="3">
        <f>IF('ORDENES'!$A671="","",IF('ORDENES'!$X671="","-",'ORDENES'!$X671))</f>
        <v/>
      </c>
      <c r="E693" s="3">
        <f>IF('ORDENES'!$A671="","",IF('ORDENES'!$V671="","-",'ORDENES'!$V671))</f>
        <v/>
      </c>
      <c r="F693" s="3">
        <f>IF('ORDENES'!$A671="","",IF('ORDENES'!$Y671="","-",'ORDENES'!$Y671))</f>
        <v/>
      </c>
      <c r="G693" s="3">
        <f>IF('ORDENES'!$A671="","",IF('ORDENES'!$W671="","-",'ORDENES'!$W671))</f>
        <v/>
      </c>
      <c r="H693" s="3">
        <f>IF('ORDENES'!$A671="","",IF('ORDENES'!$AE671="","-",'ORDENES'!$AE671))</f>
        <v/>
      </c>
      <c r="I693" s="3">
        <f>IF('ORDENES'!$A671="","",IF('ORDENES'!$AQ671="","-",'ORDENES'!$AQ671))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IF('ORDENES'!$A671="","",'ORDENES'!$AD671)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IF('ORDENES'!$A672="","",IF('ORDENES'!$AF672="","-",'ORDENES'!$AF672))</f>
        <v/>
      </c>
      <c r="D694" s="3">
        <f>IF('ORDENES'!$A672="","",IF('ORDENES'!$X672="","-",'ORDENES'!$X672))</f>
        <v/>
      </c>
      <c r="E694" s="3">
        <f>IF('ORDENES'!$A672="","",IF('ORDENES'!$V672="","-",'ORDENES'!$V672))</f>
        <v/>
      </c>
      <c r="F694" s="3">
        <f>IF('ORDENES'!$A672="","",IF('ORDENES'!$Y672="","-",'ORDENES'!$Y672))</f>
        <v/>
      </c>
      <c r="G694" s="3">
        <f>IF('ORDENES'!$A672="","",IF('ORDENES'!$W672="","-",'ORDENES'!$W672))</f>
        <v/>
      </c>
      <c r="H694" s="3">
        <f>IF('ORDENES'!$A672="","",IF('ORDENES'!$AE672="","-",'ORDENES'!$AE672))</f>
        <v/>
      </c>
      <c r="I694" s="3">
        <f>IF('ORDENES'!$A672="","",IF('ORDENES'!$AQ672="","-",'ORDENES'!$AQ672))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IF('ORDENES'!$A672="","",'ORDENES'!$AD672)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IF('ORDENES'!$A673="","",IF('ORDENES'!$AF673="","-",'ORDENES'!$AF673))</f>
        <v/>
      </c>
      <c r="D695" s="3">
        <f>IF('ORDENES'!$A673="","",IF('ORDENES'!$X673="","-",'ORDENES'!$X673))</f>
        <v/>
      </c>
      <c r="E695" s="3">
        <f>IF('ORDENES'!$A673="","",IF('ORDENES'!$V673="","-",'ORDENES'!$V673))</f>
        <v/>
      </c>
      <c r="F695" s="3">
        <f>IF('ORDENES'!$A673="","",IF('ORDENES'!$Y673="","-",'ORDENES'!$Y673))</f>
        <v/>
      </c>
      <c r="G695" s="3">
        <f>IF('ORDENES'!$A673="","",IF('ORDENES'!$W673="","-",'ORDENES'!$W673))</f>
        <v/>
      </c>
      <c r="H695" s="3">
        <f>IF('ORDENES'!$A673="","",IF('ORDENES'!$AE673="","-",'ORDENES'!$AE673))</f>
        <v/>
      </c>
      <c r="I695" s="3">
        <f>IF('ORDENES'!$A673="","",IF('ORDENES'!$AQ673="","-",'ORDENES'!$AQ673))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IF('ORDENES'!$A673="","",'ORDENES'!$AD673)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IF('ORDENES'!$A674="","",IF('ORDENES'!$AF674="","-",'ORDENES'!$AF674))</f>
        <v/>
      </c>
      <c r="D696" s="3">
        <f>IF('ORDENES'!$A674="","",IF('ORDENES'!$X674="","-",'ORDENES'!$X674))</f>
        <v/>
      </c>
      <c r="E696" s="3">
        <f>IF('ORDENES'!$A674="","",IF('ORDENES'!$V674="","-",'ORDENES'!$V674))</f>
        <v/>
      </c>
      <c r="F696" s="3">
        <f>IF('ORDENES'!$A674="","",IF('ORDENES'!$Y674="","-",'ORDENES'!$Y674))</f>
        <v/>
      </c>
      <c r="G696" s="3">
        <f>IF('ORDENES'!$A674="","",IF('ORDENES'!$W674="","-",'ORDENES'!$W674))</f>
        <v/>
      </c>
      <c r="H696" s="3">
        <f>IF('ORDENES'!$A674="","",IF('ORDENES'!$AE674="","-",'ORDENES'!$AE674))</f>
        <v/>
      </c>
      <c r="I696" s="3">
        <f>IF('ORDENES'!$A674="","",IF('ORDENES'!$AQ674="","-",'ORDENES'!$AQ674))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IF('ORDENES'!$A674="","",'ORDENES'!$AD674)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IF('ORDENES'!$A675="","",IF('ORDENES'!$AF675="","-",'ORDENES'!$AF675))</f>
        <v/>
      </c>
      <c r="D697" s="3">
        <f>IF('ORDENES'!$A675="","",IF('ORDENES'!$X675="","-",'ORDENES'!$X675))</f>
        <v/>
      </c>
      <c r="E697" s="3">
        <f>IF('ORDENES'!$A675="","",IF('ORDENES'!$V675="","-",'ORDENES'!$V675))</f>
        <v/>
      </c>
      <c r="F697" s="3">
        <f>IF('ORDENES'!$A675="","",IF('ORDENES'!$Y675="","-",'ORDENES'!$Y675))</f>
        <v/>
      </c>
      <c r="G697" s="3">
        <f>IF('ORDENES'!$A675="","",IF('ORDENES'!$W675="","-",'ORDENES'!$W675))</f>
        <v/>
      </c>
      <c r="H697" s="3">
        <f>IF('ORDENES'!$A675="","",IF('ORDENES'!$AE675="","-",'ORDENES'!$AE675))</f>
        <v/>
      </c>
      <c r="I697" s="3">
        <f>IF('ORDENES'!$A675="","",IF('ORDENES'!$AQ675="","-",'ORDENES'!$AQ675))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IF('ORDENES'!$A675="","",'ORDENES'!$AD675)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IF('ORDENES'!$A676="","",IF('ORDENES'!$AF676="","-",'ORDENES'!$AF676))</f>
        <v/>
      </c>
      <c r="D698" s="3">
        <f>IF('ORDENES'!$A676="","",IF('ORDENES'!$X676="","-",'ORDENES'!$X676))</f>
        <v/>
      </c>
      <c r="E698" s="3">
        <f>IF('ORDENES'!$A676="","",IF('ORDENES'!$V676="","-",'ORDENES'!$V676))</f>
        <v/>
      </c>
      <c r="F698" s="3">
        <f>IF('ORDENES'!$A676="","",IF('ORDENES'!$Y676="","-",'ORDENES'!$Y676))</f>
        <v/>
      </c>
      <c r="G698" s="3">
        <f>IF('ORDENES'!$A676="","",IF('ORDENES'!$W676="","-",'ORDENES'!$W676))</f>
        <v/>
      </c>
      <c r="H698" s="3">
        <f>IF('ORDENES'!$A676="","",IF('ORDENES'!$AE676="","-",'ORDENES'!$AE676))</f>
        <v/>
      </c>
      <c r="I698" s="3">
        <f>IF('ORDENES'!$A676="","",IF('ORDENES'!$AQ676="","-",'ORDENES'!$AQ676))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IF('ORDENES'!$A676="","",'ORDENES'!$AD676)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IF('ORDENES'!$A677="","",IF('ORDENES'!$AF677="","-",'ORDENES'!$AF677))</f>
        <v/>
      </c>
      <c r="D699" s="3">
        <f>IF('ORDENES'!$A677="","",IF('ORDENES'!$X677="","-",'ORDENES'!$X677))</f>
        <v/>
      </c>
      <c r="E699" s="3">
        <f>IF('ORDENES'!$A677="","",IF('ORDENES'!$V677="","-",'ORDENES'!$V677))</f>
        <v/>
      </c>
      <c r="F699" s="3">
        <f>IF('ORDENES'!$A677="","",IF('ORDENES'!$Y677="","-",'ORDENES'!$Y677))</f>
        <v/>
      </c>
      <c r="G699" s="3">
        <f>IF('ORDENES'!$A677="","",IF('ORDENES'!$W677="","-",'ORDENES'!$W677))</f>
        <v/>
      </c>
      <c r="H699" s="3">
        <f>IF('ORDENES'!$A677="","",IF('ORDENES'!$AE677="","-",'ORDENES'!$AE677))</f>
        <v/>
      </c>
      <c r="I699" s="3">
        <f>IF('ORDENES'!$A677="","",IF('ORDENES'!$AQ677="","-",'ORDENES'!$AQ677))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IF('ORDENES'!$A677="","",'ORDENES'!$AD677)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IF('ORDENES'!$A678="","",IF('ORDENES'!$AF678="","-",'ORDENES'!$AF678))</f>
        <v/>
      </c>
      <c r="D700" s="3">
        <f>IF('ORDENES'!$A678="","",IF('ORDENES'!$X678="","-",'ORDENES'!$X678))</f>
        <v/>
      </c>
      <c r="E700" s="3">
        <f>IF('ORDENES'!$A678="","",IF('ORDENES'!$V678="","-",'ORDENES'!$V678))</f>
        <v/>
      </c>
      <c r="F700" s="3">
        <f>IF('ORDENES'!$A678="","",IF('ORDENES'!$Y678="","-",'ORDENES'!$Y678))</f>
        <v/>
      </c>
      <c r="G700" s="3">
        <f>IF('ORDENES'!$A678="","",IF('ORDENES'!$W678="","-",'ORDENES'!$W678))</f>
        <v/>
      </c>
      <c r="H700" s="3">
        <f>IF('ORDENES'!$A678="","",IF('ORDENES'!$AE678="","-",'ORDENES'!$AE678))</f>
        <v/>
      </c>
      <c r="I700" s="3">
        <f>IF('ORDENES'!$A678="","",IF('ORDENES'!$AQ678="","-",'ORDENES'!$AQ678))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IF('ORDENES'!$A678="","",'ORDENES'!$AD678)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IF('ORDENES'!$A679="","",IF('ORDENES'!$AF679="","-",'ORDENES'!$AF679))</f>
        <v/>
      </c>
      <c r="D701" s="3">
        <f>IF('ORDENES'!$A679="","",IF('ORDENES'!$X679="","-",'ORDENES'!$X679))</f>
        <v/>
      </c>
      <c r="E701" s="3">
        <f>IF('ORDENES'!$A679="","",IF('ORDENES'!$V679="","-",'ORDENES'!$V679))</f>
        <v/>
      </c>
      <c r="F701" s="3">
        <f>IF('ORDENES'!$A679="","",IF('ORDENES'!$Y679="","-",'ORDENES'!$Y679))</f>
        <v/>
      </c>
      <c r="G701" s="3">
        <f>IF('ORDENES'!$A679="","",IF('ORDENES'!$W679="","-",'ORDENES'!$W679))</f>
        <v/>
      </c>
      <c r="H701" s="3">
        <f>IF('ORDENES'!$A679="","",IF('ORDENES'!$AE679="","-",'ORDENES'!$AE679))</f>
        <v/>
      </c>
      <c r="I701" s="3">
        <f>IF('ORDENES'!$A679="","",IF('ORDENES'!$AQ679="","-",'ORDENES'!$AQ679))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IF('ORDENES'!$A679="","",'ORDENES'!$AD679)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IF('ORDENES'!$A680="","",IF('ORDENES'!$AF680="","-",'ORDENES'!$AF680))</f>
        <v/>
      </c>
      <c r="D702" s="3">
        <f>IF('ORDENES'!$A680="","",IF('ORDENES'!$X680="","-",'ORDENES'!$X680))</f>
        <v/>
      </c>
      <c r="E702" s="3">
        <f>IF('ORDENES'!$A680="","",IF('ORDENES'!$V680="","-",'ORDENES'!$V680))</f>
        <v/>
      </c>
      <c r="F702" s="3">
        <f>IF('ORDENES'!$A680="","",IF('ORDENES'!$Y680="","-",'ORDENES'!$Y680))</f>
        <v/>
      </c>
      <c r="G702" s="3">
        <f>IF('ORDENES'!$A680="","",IF('ORDENES'!$W680="","-",'ORDENES'!$W680))</f>
        <v/>
      </c>
      <c r="H702" s="3">
        <f>IF('ORDENES'!$A680="","",IF('ORDENES'!$AE680="","-",'ORDENES'!$AE680))</f>
        <v/>
      </c>
      <c r="I702" s="3">
        <f>IF('ORDENES'!$A680="","",IF('ORDENES'!$AQ680="","-",'ORDENES'!$AQ680))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IF('ORDENES'!$A680="","",'ORDENES'!$AD680)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IF('ORDENES'!$A681="","",IF('ORDENES'!$AF681="","-",'ORDENES'!$AF681))</f>
        <v/>
      </c>
      <c r="D703" s="3">
        <f>IF('ORDENES'!$A681="","",IF('ORDENES'!$X681="","-",'ORDENES'!$X681))</f>
        <v/>
      </c>
      <c r="E703" s="3">
        <f>IF('ORDENES'!$A681="","",IF('ORDENES'!$V681="","-",'ORDENES'!$V681))</f>
        <v/>
      </c>
      <c r="F703" s="3">
        <f>IF('ORDENES'!$A681="","",IF('ORDENES'!$Y681="","-",'ORDENES'!$Y681))</f>
        <v/>
      </c>
      <c r="G703" s="3">
        <f>IF('ORDENES'!$A681="","",IF('ORDENES'!$W681="","-",'ORDENES'!$W681))</f>
        <v/>
      </c>
      <c r="H703" s="3">
        <f>IF('ORDENES'!$A681="","",IF('ORDENES'!$AE681="","-",'ORDENES'!$AE681))</f>
        <v/>
      </c>
      <c r="I703" s="3">
        <f>IF('ORDENES'!$A681="","",IF('ORDENES'!$AQ681="","-",'ORDENES'!$AQ681))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IF('ORDENES'!$A681="","",'ORDENES'!$AD681)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IF('ORDENES'!$A682="","",IF('ORDENES'!$AF682="","-",'ORDENES'!$AF682))</f>
        <v/>
      </c>
      <c r="D704" s="3">
        <f>IF('ORDENES'!$A682="","",IF('ORDENES'!$X682="","-",'ORDENES'!$X682))</f>
        <v/>
      </c>
      <c r="E704" s="3">
        <f>IF('ORDENES'!$A682="","",IF('ORDENES'!$V682="","-",'ORDENES'!$V682))</f>
        <v/>
      </c>
      <c r="F704" s="3">
        <f>IF('ORDENES'!$A682="","",IF('ORDENES'!$Y682="","-",'ORDENES'!$Y682))</f>
        <v/>
      </c>
      <c r="G704" s="3">
        <f>IF('ORDENES'!$A682="","",IF('ORDENES'!$W682="","-",'ORDENES'!$W682))</f>
        <v/>
      </c>
      <c r="H704" s="3">
        <f>IF('ORDENES'!$A682="","",IF('ORDENES'!$AE682="","-",'ORDENES'!$AE682))</f>
        <v/>
      </c>
      <c r="I704" s="3">
        <f>IF('ORDENES'!$A682="","",IF('ORDENES'!$AQ682="","-",'ORDENES'!$AQ682))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IF('ORDENES'!$A682="","",'ORDENES'!$AD682)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IF('ORDENES'!$A683="","",IF('ORDENES'!$AF683="","-",'ORDENES'!$AF683))</f>
        <v/>
      </c>
      <c r="D705" s="3">
        <f>IF('ORDENES'!$A683="","",IF('ORDENES'!$X683="","-",'ORDENES'!$X683))</f>
        <v/>
      </c>
      <c r="E705" s="3">
        <f>IF('ORDENES'!$A683="","",IF('ORDENES'!$V683="","-",'ORDENES'!$V683))</f>
        <v/>
      </c>
      <c r="F705" s="3">
        <f>IF('ORDENES'!$A683="","",IF('ORDENES'!$Y683="","-",'ORDENES'!$Y683))</f>
        <v/>
      </c>
      <c r="G705" s="3">
        <f>IF('ORDENES'!$A683="","",IF('ORDENES'!$W683="","-",'ORDENES'!$W683))</f>
        <v/>
      </c>
      <c r="H705" s="3">
        <f>IF('ORDENES'!$A683="","",IF('ORDENES'!$AE683="","-",'ORDENES'!$AE683))</f>
        <v/>
      </c>
      <c r="I705" s="3">
        <f>IF('ORDENES'!$A683="","",IF('ORDENES'!$AQ683="","-",'ORDENES'!$AQ683))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IF('ORDENES'!$A683="","",'ORDENES'!$AD683)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IF('ORDENES'!$A684="","",IF('ORDENES'!$AF684="","-",'ORDENES'!$AF684))</f>
        <v/>
      </c>
      <c r="D706" s="3">
        <f>IF('ORDENES'!$A684="","",IF('ORDENES'!$X684="","-",'ORDENES'!$X684))</f>
        <v/>
      </c>
      <c r="E706" s="3">
        <f>IF('ORDENES'!$A684="","",IF('ORDENES'!$V684="","-",'ORDENES'!$V684))</f>
        <v/>
      </c>
      <c r="F706" s="3">
        <f>IF('ORDENES'!$A684="","",IF('ORDENES'!$Y684="","-",'ORDENES'!$Y684))</f>
        <v/>
      </c>
      <c r="G706" s="3">
        <f>IF('ORDENES'!$A684="","",IF('ORDENES'!$W684="","-",'ORDENES'!$W684))</f>
        <v/>
      </c>
      <c r="H706" s="3">
        <f>IF('ORDENES'!$A684="","",IF('ORDENES'!$AE684="","-",'ORDENES'!$AE684))</f>
        <v/>
      </c>
      <c r="I706" s="3">
        <f>IF('ORDENES'!$A684="","",IF('ORDENES'!$AQ684="","-",'ORDENES'!$AQ684))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IF('ORDENES'!$A684="","",'ORDENES'!$AD684)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IF('ORDENES'!$A685="","",IF('ORDENES'!$AF685="","-",'ORDENES'!$AF685))</f>
        <v/>
      </c>
      <c r="D707" s="3">
        <f>IF('ORDENES'!$A685="","",IF('ORDENES'!$X685="","-",'ORDENES'!$X685))</f>
        <v/>
      </c>
      <c r="E707" s="3">
        <f>IF('ORDENES'!$A685="","",IF('ORDENES'!$V685="","-",'ORDENES'!$V685))</f>
        <v/>
      </c>
      <c r="F707" s="3">
        <f>IF('ORDENES'!$A685="","",IF('ORDENES'!$Y685="","-",'ORDENES'!$Y685))</f>
        <v/>
      </c>
      <c r="G707" s="3">
        <f>IF('ORDENES'!$A685="","",IF('ORDENES'!$W685="","-",'ORDENES'!$W685))</f>
        <v/>
      </c>
      <c r="H707" s="3">
        <f>IF('ORDENES'!$A685="","",IF('ORDENES'!$AE685="","-",'ORDENES'!$AE685))</f>
        <v/>
      </c>
      <c r="I707" s="3">
        <f>IF('ORDENES'!$A685="","",IF('ORDENES'!$AQ685="","-",'ORDENES'!$AQ685))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IF('ORDENES'!$A685="","",'ORDENES'!$AD685)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IF('ORDENES'!$A686="","",IF('ORDENES'!$AF686="","-",'ORDENES'!$AF686))</f>
        <v/>
      </c>
      <c r="D708" s="3">
        <f>IF('ORDENES'!$A686="","",IF('ORDENES'!$X686="","-",'ORDENES'!$X686))</f>
        <v/>
      </c>
      <c r="E708" s="3">
        <f>IF('ORDENES'!$A686="","",IF('ORDENES'!$V686="","-",'ORDENES'!$V686))</f>
        <v/>
      </c>
      <c r="F708" s="3">
        <f>IF('ORDENES'!$A686="","",IF('ORDENES'!$Y686="","-",'ORDENES'!$Y686))</f>
        <v/>
      </c>
      <c r="G708" s="3">
        <f>IF('ORDENES'!$A686="","",IF('ORDENES'!$W686="","-",'ORDENES'!$W686))</f>
        <v/>
      </c>
      <c r="H708" s="3">
        <f>IF('ORDENES'!$A686="","",IF('ORDENES'!$AE686="","-",'ORDENES'!$AE686))</f>
        <v/>
      </c>
      <c r="I708" s="3">
        <f>IF('ORDENES'!$A686="","",IF('ORDENES'!$AQ686="","-",'ORDENES'!$AQ686))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IF('ORDENES'!$A686="","",'ORDENES'!$AD686)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IF('ORDENES'!$A687="","",IF('ORDENES'!$AF687="","-",'ORDENES'!$AF687))</f>
        <v/>
      </c>
      <c r="D709" s="3">
        <f>IF('ORDENES'!$A687="","",IF('ORDENES'!$X687="","-",'ORDENES'!$X687))</f>
        <v/>
      </c>
      <c r="E709" s="3">
        <f>IF('ORDENES'!$A687="","",IF('ORDENES'!$V687="","-",'ORDENES'!$V687))</f>
        <v/>
      </c>
      <c r="F709" s="3">
        <f>IF('ORDENES'!$A687="","",IF('ORDENES'!$Y687="","-",'ORDENES'!$Y687))</f>
        <v/>
      </c>
      <c r="G709" s="3">
        <f>IF('ORDENES'!$A687="","",IF('ORDENES'!$W687="","-",'ORDENES'!$W687))</f>
        <v/>
      </c>
      <c r="H709" s="3">
        <f>IF('ORDENES'!$A687="","",IF('ORDENES'!$AE687="","-",'ORDENES'!$AE687))</f>
        <v/>
      </c>
      <c r="I709" s="3">
        <f>IF('ORDENES'!$A687="","",IF('ORDENES'!$AQ687="","-",'ORDENES'!$AQ687))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IF('ORDENES'!$A687="","",'ORDENES'!$AD687)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IF('ORDENES'!$A688="","",IF('ORDENES'!$AF688="","-",'ORDENES'!$AF688))</f>
        <v/>
      </c>
      <c r="D710" s="3">
        <f>IF('ORDENES'!$A688="","",IF('ORDENES'!$X688="","-",'ORDENES'!$X688))</f>
        <v/>
      </c>
      <c r="E710" s="3">
        <f>IF('ORDENES'!$A688="","",IF('ORDENES'!$V688="","-",'ORDENES'!$V688))</f>
        <v/>
      </c>
      <c r="F710" s="3">
        <f>IF('ORDENES'!$A688="","",IF('ORDENES'!$Y688="","-",'ORDENES'!$Y688))</f>
        <v/>
      </c>
      <c r="G710" s="3">
        <f>IF('ORDENES'!$A688="","",IF('ORDENES'!$W688="","-",'ORDENES'!$W688))</f>
        <v/>
      </c>
      <c r="H710" s="3">
        <f>IF('ORDENES'!$A688="","",IF('ORDENES'!$AE688="","-",'ORDENES'!$AE688))</f>
        <v/>
      </c>
      <c r="I710" s="3">
        <f>IF('ORDENES'!$A688="","",IF('ORDENES'!$AQ688="","-",'ORDENES'!$AQ688))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IF('ORDENES'!$A688="","",'ORDENES'!$AD688)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IF('ORDENES'!$A689="","",IF('ORDENES'!$AF689="","-",'ORDENES'!$AF689))</f>
        <v/>
      </c>
      <c r="D711" s="3">
        <f>IF('ORDENES'!$A689="","",IF('ORDENES'!$X689="","-",'ORDENES'!$X689))</f>
        <v/>
      </c>
      <c r="E711" s="3">
        <f>IF('ORDENES'!$A689="","",IF('ORDENES'!$V689="","-",'ORDENES'!$V689))</f>
        <v/>
      </c>
      <c r="F711" s="3">
        <f>IF('ORDENES'!$A689="","",IF('ORDENES'!$Y689="","-",'ORDENES'!$Y689))</f>
        <v/>
      </c>
      <c r="G711" s="3">
        <f>IF('ORDENES'!$A689="","",IF('ORDENES'!$W689="","-",'ORDENES'!$W689))</f>
        <v/>
      </c>
      <c r="H711" s="3">
        <f>IF('ORDENES'!$A689="","",IF('ORDENES'!$AE689="","-",'ORDENES'!$AE689))</f>
        <v/>
      </c>
      <c r="I711" s="3">
        <f>IF('ORDENES'!$A689="","",IF('ORDENES'!$AQ689="","-",'ORDENES'!$AQ689))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IF('ORDENES'!$A689="","",'ORDENES'!$AD689)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IF('ORDENES'!$A690="","",IF('ORDENES'!$AF690="","-",'ORDENES'!$AF690))</f>
        <v/>
      </c>
      <c r="D712" s="3">
        <f>IF('ORDENES'!$A690="","",IF('ORDENES'!$X690="","-",'ORDENES'!$X690))</f>
        <v/>
      </c>
      <c r="E712" s="3">
        <f>IF('ORDENES'!$A690="","",IF('ORDENES'!$V690="","-",'ORDENES'!$V690))</f>
        <v/>
      </c>
      <c r="F712" s="3">
        <f>IF('ORDENES'!$A690="","",IF('ORDENES'!$Y690="","-",'ORDENES'!$Y690))</f>
        <v/>
      </c>
      <c r="G712" s="3">
        <f>IF('ORDENES'!$A690="","",IF('ORDENES'!$W690="","-",'ORDENES'!$W690))</f>
        <v/>
      </c>
      <c r="H712" s="3">
        <f>IF('ORDENES'!$A690="","",IF('ORDENES'!$AE690="","-",'ORDENES'!$AE690))</f>
        <v/>
      </c>
      <c r="I712" s="3">
        <f>IF('ORDENES'!$A690="","",IF('ORDENES'!$AQ690="","-",'ORDENES'!$AQ690))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IF('ORDENES'!$A690="","",'ORDENES'!$AD690)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IF('ORDENES'!$A691="","",IF('ORDENES'!$AF691="","-",'ORDENES'!$AF691))</f>
        <v/>
      </c>
      <c r="D713" s="3">
        <f>IF('ORDENES'!$A691="","",IF('ORDENES'!$X691="","-",'ORDENES'!$X691))</f>
        <v/>
      </c>
      <c r="E713" s="3">
        <f>IF('ORDENES'!$A691="","",IF('ORDENES'!$V691="","-",'ORDENES'!$V691))</f>
        <v/>
      </c>
      <c r="F713" s="3">
        <f>IF('ORDENES'!$A691="","",IF('ORDENES'!$Y691="","-",'ORDENES'!$Y691))</f>
        <v/>
      </c>
      <c r="G713" s="3">
        <f>IF('ORDENES'!$A691="","",IF('ORDENES'!$W691="","-",'ORDENES'!$W691))</f>
        <v/>
      </c>
      <c r="H713" s="3">
        <f>IF('ORDENES'!$A691="","",IF('ORDENES'!$AE691="","-",'ORDENES'!$AE691))</f>
        <v/>
      </c>
      <c r="I713" s="3">
        <f>IF('ORDENES'!$A691="","",IF('ORDENES'!$AQ691="","-",'ORDENES'!$AQ691))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IF('ORDENES'!$A691="","",'ORDENES'!$AD691)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IF('ORDENES'!$A692="","",IF('ORDENES'!$AF692="","-",'ORDENES'!$AF692))</f>
        <v/>
      </c>
      <c r="D714" s="3">
        <f>IF('ORDENES'!$A692="","",IF('ORDENES'!$X692="","-",'ORDENES'!$X692))</f>
        <v/>
      </c>
      <c r="E714" s="3">
        <f>IF('ORDENES'!$A692="","",IF('ORDENES'!$V692="","-",'ORDENES'!$V692))</f>
        <v/>
      </c>
      <c r="F714" s="3">
        <f>IF('ORDENES'!$A692="","",IF('ORDENES'!$Y692="","-",'ORDENES'!$Y692))</f>
        <v/>
      </c>
      <c r="G714" s="3">
        <f>IF('ORDENES'!$A692="","",IF('ORDENES'!$W692="","-",'ORDENES'!$W692))</f>
        <v/>
      </c>
      <c r="H714" s="3">
        <f>IF('ORDENES'!$A692="","",IF('ORDENES'!$AE692="","-",'ORDENES'!$AE692))</f>
        <v/>
      </c>
      <c r="I714" s="3">
        <f>IF('ORDENES'!$A692="","",IF('ORDENES'!$AQ692="","-",'ORDENES'!$AQ692))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IF('ORDENES'!$A692="","",'ORDENES'!$AD692)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IF('ORDENES'!$A693="","",IF('ORDENES'!$AF693="","-",'ORDENES'!$AF693))</f>
        <v/>
      </c>
      <c r="D715" s="3">
        <f>IF('ORDENES'!$A693="","",IF('ORDENES'!$X693="","-",'ORDENES'!$X693))</f>
        <v/>
      </c>
      <c r="E715" s="3">
        <f>IF('ORDENES'!$A693="","",IF('ORDENES'!$V693="","-",'ORDENES'!$V693))</f>
        <v/>
      </c>
      <c r="F715" s="3">
        <f>IF('ORDENES'!$A693="","",IF('ORDENES'!$Y693="","-",'ORDENES'!$Y693))</f>
        <v/>
      </c>
      <c r="G715" s="3">
        <f>IF('ORDENES'!$A693="","",IF('ORDENES'!$W693="","-",'ORDENES'!$W693))</f>
        <v/>
      </c>
      <c r="H715" s="3">
        <f>IF('ORDENES'!$A693="","",IF('ORDENES'!$AE693="","-",'ORDENES'!$AE693))</f>
        <v/>
      </c>
      <c r="I715" s="3">
        <f>IF('ORDENES'!$A693="","",IF('ORDENES'!$AQ693="","-",'ORDENES'!$AQ693))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IF('ORDENES'!$A693="","",'ORDENES'!$AD693)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IF('ORDENES'!$A694="","",IF('ORDENES'!$AF694="","-",'ORDENES'!$AF694))</f>
        <v/>
      </c>
      <c r="D716" s="3">
        <f>IF('ORDENES'!$A694="","",IF('ORDENES'!$X694="","-",'ORDENES'!$X694))</f>
        <v/>
      </c>
      <c r="E716" s="3">
        <f>IF('ORDENES'!$A694="","",IF('ORDENES'!$V694="","-",'ORDENES'!$V694))</f>
        <v/>
      </c>
      <c r="F716" s="3">
        <f>IF('ORDENES'!$A694="","",IF('ORDENES'!$Y694="","-",'ORDENES'!$Y694))</f>
        <v/>
      </c>
      <c r="G716" s="3">
        <f>IF('ORDENES'!$A694="","",IF('ORDENES'!$W694="","-",'ORDENES'!$W694))</f>
        <v/>
      </c>
      <c r="H716" s="3">
        <f>IF('ORDENES'!$A694="","",IF('ORDENES'!$AE694="","-",'ORDENES'!$AE694))</f>
        <v/>
      </c>
      <c r="I716" s="3">
        <f>IF('ORDENES'!$A694="","",IF('ORDENES'!$AQ694="","-",'ORDENES'!$AQ694))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IF('ORDENES'!$A694="","",'ORDENES'!$AD694)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IF('ORDENES'!$A695="","",IF('ORDENES'!$AF695="","-",'ORDENES'!$AF695))</f>
        <v/>
      </c>
      <c r="D717" s="3">
        <f>IF('ORDENES'!$A695="","",IF('ORDENES'!$X695="","-",'ORDENES'!$X695))</f>
        <v/>
      </c>
      <c r="E717" s="3">
        <f>IF('ORDENES'!$A695="","",IF('ORDENES'!$V695="","-",'ORDENES'!$V695))</f>
        <v/>
      </c>
      <c r="F717" s="3">
        <f>IF('ORDENES'!$A695="","",IF('ORDENES'!$Y695="","-",'ORDENES'!$Y695))</f>
        <v/>
      </c>
      <c r="G717" s="3">
        <f>IF('ORDENES'!$A695="","",IF('ORDENES'!$W695="","-",'ORDENES'!$W695))</f>
        <v/>
      </c>
      <c r="H717" s="3">
        <f>IF('ORDENES'!$A695="","",IF('ORDENES'!$AE695="","-",'ORDENES'!$AE695))</f>
        <v/>
      </c>
      <c r="I717" s="3">
        <f>IF('ORDENES'!$A695="","",IF('ORDENES'!$AQ695="","-",'ORDENES'!$AQ695))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IF('ORDENES'!$A695="","",'ORDENES'!$AD695)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IF('ORDENES'!$A696="","",IF('ORDENES'!$AF696="","-",'ORDENES'!$AF696))</f>
        <v/>
      </c>
      <c r="D718" s="3">
        <f>IF('ORDENES'!$A696="","",IF('ORDENES'!$X696="","-",'ORDENES'!$X696))</f>
        <v/>
      </c>
      <c r="E718" s="3">
        <f>IF('ORDENES'!$A696="","",IF('ORDENES'!$V696="","-",'ORDENES'!$V696))</f>
        <v/>
      </c>
      <c r="F718" s="3">
        <f>IF('ORDENES'!$A696="","",IF('ORDENES'!$Y696="","-",'ORDENES'!$Y696))</f>
        <v/>
      </c>
      <c r="G718" s="3">
        <f>IF('ORDENES'!$A696="","",IF('ORDENES'!$W696="","-",'ORDENES'!$W696))</f>
        <v/>
      </c>
      <c r="H718" s="3">
        <f>IF('ORDENES'!$A696="","",IF('ORDENES'!$AE696="","-",'ORDENES'!$AE696))</f>
        <v/>
      </c>
      <c r="I718" s="3">
        <f>IF('ORDENES'!$A696="","",IF('ORDENES'!$AQ696="","-",'ORDENES'!$AQ696))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IF('ORDENES'!$A696="","",'ORDENES'!$AD696)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IF('ORDENES'!$A697="","",IF('ORDENES'!$AF697="","-",'ORDENES'!$AF697))</f>
        <v/>
      </c>
      <c r="D719" s="3">
        <f>IF('ORDENES'!$A697="","",IF('ORDENES'!$X697="","-",'ORDENES'!$X697))</f>
        <v/>
      </c>
      <c r="E719" s="3">
        <f>IF('ORDENES'!$A697="","",IF('ORDENES'!$V697="","-",'ORDENES'!$V697))</f>
        <v/>
      </c>
      <c r="F719" s="3">
        <f>IF('ORDENES'!$A697="","",IF('ORDENES'!$Y697="","-",'ORDENES'!$Y697))</f>
        <v/>
      </c>
      <c r="G719" s="3">
        <f>IF('ORDENES'!$A697="","",IF('ORDENES'!$W697="","-",'ORDENES'!$W697))</f>
        <v/>
      </c>
      <c r="H719" s="3">
        <f>IF('ORDENES'!$A697="","",IF('ORDENES'!$AE697="","-",'ORDENES'!$AE697))</f>
        <v/>
      </c>
      <c r="I719" s="3">
        <f>IF('ORDENES'!$A697="","",IF('ORDENES'!$AQ697="","-",'ORDENES'!$AQ697))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IF('ORDENES'!$A697="","",'ORDENES'!$AD697)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IF('ORDENES'!$A698="","",IF('ORDENES'!$AF698="","-",'ORDENES'!$AF698))</f>
        <v/>
      </c>
      <c r="D720" s="3">
        <f>IF('ORDENES'!$A698="","",IF('ORDENES'!$X698="","-",'ORDENES'!$X698))</f>
        <v/>
      </c>
      <c r="E720" s="3">
        <f>IF('ORDENES'!$A698="","",IF('ORDENES'!$V698="","-",'ORDENES'!$V698))</f>
        <v/>
      </c>
      <c r="F720" s="3">
        <f>IF('ORDENES'!$A698="","",IF('ORDENES'!$Y698="","-",'ORDENES'!$Y698))</f>
        <v/>
      </c>
      <c r="G720" s="3">
        <f>IF('ORDENES'!$A698="","",IF('ORDENES'!$W698="","-",'ORDENES'!$W698))</f>
        <v/>
      </c>
      <c r="H720" s="3">
        <f>IF('ORDENES'!$A698="","",IF('ORDENES'!$AE698="","-",'ORDENES'!$AE698))</f>
        <v/>
      </c>
      <c r="I720" s="3">
        <f>IF('ORDENES'!$A698="","",IF('ORDENES'!$AQ698="","-",'ORDENES'!$AQ698))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IF('ORDENES'!$A698="","",'ORDENES'!$AD698)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IF('ORDENES'!$A699="","",IF('ORDENES'!$AF699="","-",'ORDENES'!$AF699))</f>
        <v/>
      </c>
      <c r="D721" s="3">
        <f>IF('ORDENES'!$A699="","",IF('ORDENES'!$X699="","-",'ORDENES'!$X699))</f>
        <v/>
      </c>
      <c r="E721" s="3">
        <f>IF('ORDENES'!$A699="","",IF('ORDENES'!$V699="","-",'ORDENES'!$V699))</f>
        <v/>
      </c>
      <c r="F721" s="3">
        <f>IF('ORDENES'!$A699="","",IF('ORDENES'!$Y699="","-",'ORDENES'!$Y699))</f>
        <v/>
      </c>
      <c r="G721" s="3">
        <f>IF('ORDENES'!$A699="","",IF('ORDENES'!$W699="","-",'ORDENES'!$W699))</f>
        <v/>
      </c>
      <c r="H721" s="3">
        <f>IF('ORDENES'!$A699="","",IF('ORDENES'!$AE699="","-",'ORDENES'!$AE699))</f>
        <v/>
      </c>
      <c r="I721" s="3">
        <f>IF('ORDENES'!$A699="","",IF('ORDENES'!$AQ699="","-",'ORDENES'!$AQ699))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IF('ORDENES'!$A699="","",'ORDENES'!$AD699)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IF('ORDENES'!$A700="","",IF('ORDENES'!$AF700="","-",'ORDENES'!$AF700))</f>
        <v/>
      </c>
      <c r="D722" s="3">
        <f>IF('ORDENES'!$A700="","",IF('ORDENES'!$X700="","-",'ORDENES'!$X700))</f>
        <v/>
      </c>
      <c r="E722" s="3">
        <f>IF('ORDENES'!$A700="","",IF('ORDENES'!$V700="","-",'ORDENES'!$V700))</f>
        <v/>
      </c>
      <c r="F722" s="3">
        <f>IF('ORDENES'!$A700="","",IF('ORDENES'!$Y700="","-",'ORDENES'!$Y700))</f>
        <v/>
      </c>
      <c r="G722" s="3">
        <f>IF('ORDENES'!$A700="","",IF('ORDENES'!$W700="","-",'ORDENES'!$W700))</f>
        <v/>
      </c>
      <c r="H722" s="3">
        <f>IF('ORDENES'!$A700="","",IF('ORDENES'!$AE700="","-",'ORDENES'!$AE700))</f>
        <v/>
      </c>
      <c r="I722" s="3">
        <f>IF('ORDENES'!$A700="","",IF('ORDENES'!$AQ700="","-",'ORDENES'!$AQ700))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IF('ORDENES'!$A700="","",'ORDENES'!$AD700)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IF('ORDENES'!$A701="","",IF('ORDENES'!$AF701="","-",'ORDENES'!$AF701))</f>
        <v/>
      </c>
      <c r="D723" s="3">
        <f>IF('ORDENES'!$A701="","",IF('ORDENES'!$X701="","-",'ORDENES'!$X701))</f>
        <v/>
      </c>
      <c r="E723" s="3">
        <f>IF('ORDENES'!$A701="","",IF('ORDENES'!$V701="","-",'ORDENES'!$V701))</f>
        <v/>
      </c>
      <c r="F723" s="3">
        <f>IF('ORDENES'!$A701="","",IF('ORDENES'!$Y701="","-",'ORDENES'!$Y701))</f>
        <v/>
      </c>
      <c r="G723" s="3">
        <f>IF('ORDENES'!$A701="","",IF('ORDENES'!$W701="","-",'ORDENES'!$W701))</f>
        <v/>
      </c>
      <c r="H723" s="3">
        <f>IF('ORDENES'!$A701="","",IF('ORDENES'!$AE701="","-",'ORDENES'!$AE701))</f>
        <v/>
      </c>
      <c r="I723" s="3">
        <f>IF('ORDENES'!$A701="","",IF('ORDENES'!$AQ701="","-",'ORDENES'!$AQ701))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IF('ORDENES'!$A701="","",'ORDENES'!$AD701)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IF('ORDENES'!$A702="","",IF('ORDENES'!$AF702="","-",'ORDENES'!$AF702))</f>
        <v/>
      </c>
      <c r="D724" s="3">
        <f>IF('ORDENES'!$A702="","",IF('ORDENES'!$X702="","-",'ORDENES'!$X702))</f>
        <v/>
      </c>
      <c r="E724" s="3">
        <f>IF('ORDENES'!$A702="","",IF('ORDENES'!$V702="","-",'ORDENES'!$V702))</f>
        <v/>
      </c>
      <c r="F724" s="3">
        <f>IF('ORDENES'!$A702="","",IF('ORDENES'!$Y702="","-",'ORDENES'!$Y702))</f>
        <v/>
      </c>
      <c r="G724" s="3">
        <f>IF('ORDENES'!$A702="","",IF('ORDENES'!$W702="","-",'ORDENES'!$W702))</f>
        <v/>
      </c>
      <c r="H724" s="3">
        <f>IF('ORDENES'!$A702="","",IF('ORDENES'!$AE702="","-",'ORDENES'!$AE702))</f>
        <v/>
      </c>
      <c r="I724" s="3">
        <f>IF('ORDENES'!$A702="","",IF('ORDENES'!$AQ702="","-",'ORDENES'!$AQ702))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IF('ORDENES'!$A702="","",'ORDENES'!$AD702)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IF('ORDENES'!$A703="","",IF('ORDENES'!$AF703="","-",'ORDENES'!$AF703))</f>
        <v/>
      </c>
      <c r="D725" s="3">
        <f>IF('ORDENES'!$A703="","",IF('ORDENES'!$X703="","-",'ORDENES'!$X703))</f>
        <v/>
      </c>
      <c r="E725" s="3">
        <f>IF('ORDENES'!$A703="","",IF('ORDENES'!$V703="","-",'ORDENES'!$V703))</f>
        <v/>
      </c>
      <c r="F725" s="3">
        <f>IF('ORDENES'!$A703="","",IF('ORDENES'!$Y703="","-",'ORDENES'!$Y703))</f>
        <v/>
      </c>
      <c r="G725" s="3">
        <f>IF('ORDENES'!$A703="","",IF('ORDENES'!$W703="","-",'ORDENES'!$W703))</f>
        <v/>
      </c>
      <c r="H725" s="3">
        <f>IF('ORDENES'!$A703="","",IF('ORDENES'!$AE703="","-",'ORDENES'!$AE703))</f>
        <v/>
      </c>
      <c r="I725" s="3">
        <f>IF('ORDENES'!$A703="","",IF('ORDENES'!$AQ703="","-",'ORDENES'!$AQ703))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IF('ORDENES'!$A703="","",'ORDENES'!$AD703)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IF('ORDENES'!$A704="","",IF('ORDENES'!$AF704="","-",'ORDENES'!$AF704))</f>
        <v/>
      </c>
      <c r="D726" s="3">
        <f>IF('ORDENES'!$A704="","",IF('ORDENES'!$X704="","-",'ORDENES'!$X704))</f>
        <v/>
      </c>
      <c r="E726" s="3">
        <f>IF('ORDENES'!$A704="","",IF('ORDENES'!$V704="","-",'ORDENES'!$V704))</f>
        <v/>
      </c>
      <c r="F726" s="3">
        <f>IF('ORDENES'!$A704="","",IF('ORDENES'!$Y704="","-",'ORDENES'!$Y704))</f>
        <v/>
      </c>
      <c r="G726" s="3">
        <f>IF('ORDENES'!$A704="","",IF('ORDENES'!$W704="","-",'ORDENES'!$W704))</f>
        <v/>
      </c>
      <c r="H726" s="3">
        <f>IF('ORDENES'!$A704="","",IF('ORDENES'!$AE704="","-",'ORDENES'!$AE704))</f>
        <v/>
      </c>
      <c r="I726" s="3">
        <f>IF('ORDENES'!$A704="","",IF('ORDENES'!$AQ704="","-",'ORDENES'!$AQ704))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IF('ORDENES'!$A704="","",'ORDENES'!$AD704)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IF('ORDENES'!$A705="","",IF('ORDENES'!$AF705="","-",'ORDENES'!$AF705))</f>
        <v/>
      </c>
      <c r="D727" s="3">
        <f>IF('ORDENES'!$A705="","",IF('ORDENES'!$X705="","-",'ORDENES'!$X705))</f>
        <v/>
      </c>
      <c r="E727" s="3">
        <f>IF('ORDENES'!$A705="","",IF('ORDENES'!$V705="","-",'ORDENES'!$V705))</f>
        <v/>
      </c>
      <c r="F727" s="3">
        <f>IF('ORDENES'!$A705="","",IF('ORDENES'!$Y705="","-",'ORDENES'!$Y705))</f>
        <v/>
      </c>
      <c r="G727" s="3">
        <f>IF('ORDENES'!$A705="","",IF('ORDENES'!$W705="","-",'ORDENES'!$W705))</f>
        <v/>
      </c>
      <c r="H727" s="3">
        <f>IF('ORDENES'!$A705="","",IF('ORDENES'!$AE705="","-",'ORDENES'!$AE705))</f>
        <v/>
      </c>
      <c r="I727" s="3">
        <f>IF('ORDENES'!$A705="","",IF('ORDENES'!$AQ705="","-",'ORDENES'!$AQ705))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IF('ORDENES'!$A705="","",'ORDENES'!$AD705)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IF('ORDENES'!$A706="","",IF('ORDENES'!$AF706="","-",'ORDENES'!$AF706))</f>
        <v/>
      </c>
      <c r="D728" s="3">
        <f>IF('ORDENES'!$A706="","",IF('ORDENES'!$X706="","-",'ORDENES'!$X706))</f>
        <v/>
      </c>
      <c r="E728" s="3">
        <f>IF('ORDENES'!$A706="","",IF('ORDENES'!$V706="","-",'ORDENES'!$V706))</f>
        <v/>
      </c>
      <c r="F728" s="3">
        <f>IF('ORDENES'!$A706="","",IF('ORDENES'!$Y706="","-",'ORDENES'!$Y706))</f>
        <v/>
      </c>
      <c r="G728" s="3">
        <f>IF('ORDENES'!$A706="","",IF('ORDENES'!$W706="","-",'ORDENES'!$W706))</f>
        <v/>
      </c>
      <c r="H728" s="3">
        <f>IF('ORDENES'!$A706="","",IF('ORDENES'!$AE706="","-",'ORDENES'!$AE706))</f>
        <v/>
      </c>
      <c r="I728" s="3">
        <f>IF('ORDENES'!$A706="","",IF('ORDENES'!$AQ706="","-",'ORDENES'!$AQ706))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IF('ORDENES'!$A706="","",'ORDENES'!$AD706)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IF('ORDENES'!$A707="","",IF('ORDENES'!$AF707="","-",'ORDENES'!$AF707))</f>
        <v/>
      </c>
      <c r="D729" s="3">
        <f>IF('ORDENES'!$A707="","",IF('ORDENES'!$X707="","-",'ORDENES'!$X707))</f>
        <v/>
      </c>
      <c r="E729" s="3">
        <f>IF('ORDENES'!$A707="","",IF('ORDENES'!$V707="","-",'ORDENES'!$V707))</f>
        <v/>
      </c>
      <c r="F729" s="3">
        <f>IF('ORDENES'!$A707="","",IF('ORDENES'!$Y707="","-",'ORDENES'!$Y707))</f>
        <v/>
      </c>
      <c r="G729" s="3">
        <f>IF('ORDENES'!$A707="","",IF('ORDENES'!$W707="","-",'ORDENES'!$W707))</f>
        <v/>
      </c>
      <c r="H729" s="3">
        <f>IF('ORDENES'!$A707="","",IF('ORDENES'!$AE707="","-",'ORDENES'!$AE707))</f>
        <v/>
      </c>
      <c r="I729" s="3">
        <f>IF('ORDENES'!$A707="","",IF('ORDENES'!$AQ707="","-",'ORDENES'!$AQ707))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IF('ORDENES'!$A707="","",'ORDENES'!$AD707)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IF('ORDENES'!$A708="","",IF('ORDENES'!$AF708="","-",'ORDENES'!$AF708))</f>
        <v/>
      </c>
      <c r="D730" s="3">
        <f>IF('ORDENES'!$A708="","",IF('ORDENES'!$X708="","-",'ORDENES'!$X708))</f>
        <v/>
      </c>
      <c r="E730" s="3">
        <f>IF('ORDENES'!$A708="","",IF('ORDENES'!$V708="","-",'ORDENES'!$V708))</f>
        <v/>
      </c>
      <c r="F730" s="3">
        <f>IF('ORDENES'!$A708="","",IF('ORDENES'!$Y708="","-",'ORDENES'!$Y708))</f>
        <v/>
      </c>
      <c r="G730" s="3">
        <f>IF('ORDENES'!$A708="","",IF('ORDENES'!$W708="","-",'ORDENES'!$W708))</f>
        <v/>
      </c>
      <c r="H730" s="3">
        <f>IF('ORDENES'!$A708="","",IF('ORDENES'!$AE708="","-",'ORDENES'!$AE708))</f>
        <v/>
      </c>
      <c r="I730" s="3">
        <f>IF('ORDENES'!$A708="","",IF('ORDENES'!$AQ708="","-",'ORDENES'!$AQ708))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IF('ORDENES'!$A708="","",'ORDENES'!$AD708)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IF('ORDENES'!$A709="","",IF('ORDENES'!$AF709="","-",'ORDENES'!$AF709))</f>
        <v/>
      </c>
      <c r="D731" s="3">
        <f>IF('ORDENES'!$A709="","",IF('ORDENES'!$X709="","-",'ORDENES'!$X709))</f>
        <v/>
      </c>
      <c r="E731" s="3">
        <f>IF('ORDENES'!$A709="","",IF('ORDENES'!$V709="","-",'ORDENES'!$V709))</f>
        <v/>
      </c>
      <c r="F731" s="3">
        <f>IF('ORDENES'!$A709="","",IF('ORDENES'!$Y709="","-",'ORDENES'!$Y709))</f>
        <v/>
      </c>
      <c r="G731" s="3">
        <f>IF('ORDENES'!$A709="","",IF('ORDENES'!$W709="","-",'ORDENES'!$W709))</f>
        <v/>
      </c>
      <c r="H731" s="3">
        <f>IF('ORDENES'!$A709="","",IF('ORDENES'!$AE709="","-",'ORDENES'!$AE709))</f>
        <v/>
      </c>
      <c r="I731" s="3">
        <f>IF('ORDENES'!$A709="","",IF('ORDENES'!$AQ709="","-",'ORDENES'!$AQ709))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IF('ORDENES'!$A709="","",'ORDENES'!$AD709)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IF('ORDENES'!$A710="","",IF('ORDENES'!$AF710="","-",'ORDENES'!$AF710))</f>
        <v/>
      </c>
      <c r="D732" s="3">
        <f>IF('ORDENES'!$A710="","",IF('ORDENES'!$X710="","-",'ORDENES'!$X710))</f>
        <v/>
      </c>
      <c r="E732" s="3">
        <f>IF('ORDENES'!$A710="","",IF('ORDENES'!$V710="","-",'ORDENES'!$V710))</f>
        <v/>
      </c>
      <c r="F732" s="3">
        <f>IF('ORDENES'!$A710="","",IF('ORDENES'!$Y710="","-",'ORDENES'!$Y710))</f>
        <v/>
      </c>
      <c r="G732" s="3">
        <f>IF('ORDENES'!$A710="","",IF('ORDENES'!$W710="","-",'ORDENES'!$W710))</f>
        <v/>
      </c>
      <c r="H732" s="3">
        <f>IF('ORDENES'!$A710="","",IF('ORDENES'!$AE710="","-",'ORDENES'!$AE710))</f>
        <v/>
      </c>
      <c r="I732" s="3">
        <f>IF('ORDENES'!$A710="","",IF('ORDENES'!$AQ710="","-",'ORDENES'!$AQ710))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IF('ORDENES'!$A710="","",'ORDENES'!$AD710)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IF('ORDENES'!$A711="","",IF('ORDENES'!$AF711="","-",'ORDENES'!$AF711))</f>
        <v/>
      </c>
      <c r="D733" s="3">
        <f>IF('ORDENES'!$A711="","",IF('ORDENES'!$X711="","-",'ORDENES'!$X711))</f>
        <v/>
      </c>
      <c r="E733" s="3">
        <f>IF('ORDENES'!$A711="","",IF('ORDENES'!$V711="","-",'ORDENES'!$V711))</f>
        <v/>
      </c>
      <c r="F733" s="3">
        <f>IF('ORDENES'!$A711="","",IF('ORDENES'!$Y711="","-",'ORDENES'!$Y711))</f>
        <v/>
      </c>
      <c r="G733" s="3">
        <f>IF('ORDENES'!$A711="","",IF('ORDENES'!$W711="","-",'ORDENES'!$W711))</f>
        <v/>
      </c>
      <c r="H733" s="3">
        <f>IF('ORDENES'!$A711="","",IF('ORDENES'!$AE711="","-",'ORDENES'!$AE711))</f>
        <v/>
      </c>
      <c r="I733" s="3">
        <f>IF('ORDENES'!$A711="","",IF('ORDENES'!$AQ711="","-",'ORDENES'!$AQ711))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IF('ORDENES'!$A711="","",'ORDENES'!$AD711)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IF('ORDENES'!$A712="","",IF('ORDENES'!$AF712="","-",'ORDENES'!$AF712))</f>
        <v/>
      </c>
      <c r="D734" s="3">
        <f>IF('ORDENES'!$A712="","",IF('ORDENES'!$X712="","-",'ORDENES'!$X712))</f>
        <v/>
      </c>
      <c r="E734" s="3">
        <f>IF('ORDENES'!$A712="","",IF('ORDENES'!$V712="","-",'ORDENES'!$V712))</f>
        <v/>
      </c>
      <c r="F734" s="3">
        <f>IF('ORDENES'!$A712="","",IF('ORDENES'!$Y712="","-",'ORDENES'!$Y712))</f>
        <v/>
      </c>
      <c r="G734" s="3">
        <f>IF('ORDENES'!$A712="","",IF('ORDENES'!$W712="","-",'ORDENES'!$W712))</f>
        <v/>
      </c>
      <c r="H734" s="3">
        <f>IF('ORDENES'!$A712="","",IF('ORDENES'!$AE712="","-",'ORDENES'!$AE712))</f>
        <v/>
      </c>
      <c r="I734" s="3">
        <f>IF('ORDENES'!$A712="","",IF('ORDENES'!$AQ712="","-",'ORDENES'!$AQ712))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IF('ORDENES'!$A712="","",'ORDENES'!$AD712)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IF('ORDENES'!$A713="","",IF('ORDENES'!$AF713="","-",'ORDENES'!$AF713))</f>
        <v/>
      </c>
      <c r="D735" s="3">
        <f>IF('ORDENES'!$A713="","",IF('ORDENES'!$X713="","-",'ORDENES'!$X713))</f>
        <v/>
      </c>
      <c r="E735" s="3">
        <f>IF('ORDENES'!$A713="","",IF('ORDENES'!$V713="","-",'ORDENES'!$V713))</f>
        <v/>
      </c>
      <c r="F735" s="3">
        <f>IF('ORDENES'!$A713="","",IF('ORDENES'!$Y713="","-",'ORDENES'!$Y713))</f>
        <v/>
      </c>
      <c r="G735" s="3">
        <f>IF('ORDENES'!$A713="","",IF('ORDENES'!$W713="","-",'ORDENES'!$W713))</f>
        <v/>
      </c>
      <c r="H735" s="3">
        <f>IF('ORDENES'!$A713="","",IF('ORDENES'!$AE713="","-",'ORDENES'!$AE713))</f>
        <v/>
      </c>
      <c r="I735" s="3">
        <f>IF('ORDENES'!$A713="","",IF('ORDENES'!$AQ713="","-",'ORDENES'!$AQ713))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IF('ORDENES'!$A713="","",'ORDENES'!$AD713)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IF('ORDENES'!$A714="","",IF('ORDENES'!$AF714="","-",'ORDENES'!$AF714))</f>
        <v/>
      </c>
      <c r="D736" s="3">
        <f>IF('ORDENES'!$A714="","",IF('ORDENES'!$X714="","-",'ORDENES'!$X714))</f>
        <v/>
      </c>
      <c r="E736" s="3">
        <f>IF('ORDENES'!$A714="","",IF('ORDENES'!$V714="","-",'ORDENES'!$V714))</f>
        <v/>
      </c>
      <c r="F736" s="3">
        <f>IF('ORDENES'!$A714="","",IF('ORDENES'!$Y714="","-",'ORDENES'!$Y714))</f>
        <v/>
      </c>
      <c r="G736" s="3">
        <f>IF('ORDENES'!$A714="","",IF('ORDENES'!$W714="","-",'ORDENES'!$W714))</f>
        <v/>
      </c>
      <c r="H736" s="3">
        <f>IF('ORDENES'!$A714="","",IF('ORDENES'!$AE714="","-",'ORDENES'!$AE714))</f>
        <v/>
      </c>
      <c r="I736" s="3">
        <f>IF('ORDENES'!$A714="","",IF('ORDENES'!$AQ714="","-",'ORDENES'!$AQ714))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IF('ORDENES'!$A714="","",'ORDENES'!$AD714)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IF('ORDENES'!$A715="","",IF('ORDENES'!$AF715="","-",'ORDENES'!$AF715))</f>
        <v/>
      </c>
      <c r="D737" s="3">
        <f>IF('ORDENES'!$A715="","",IF('ORDENES'!$X715="","-",'ORDENES'!$X715))</f>
        <v/>
      </c>
      <c r="E737" s="3">
        <f>IF('ORDENES'!$A715="","",IF('ORDENES'!$V715="","-",'ORDENES'!$V715))</f>
        <v/>
      </c>
      <c r="F737" s="3">
        <f>IF('ORDENES'!$A715="","",IF('ORDENES'!$Y715="","-",'ORDENES'!$Y715))</f>
        <v/>
      </c>
      <c r="G737" s="3">
        <f>IF('ORDENES'!$A715="","",IF('ORDENES'!$W715="","-",'ORDENES'!$W715))</f>
        <v/>
      </c>
      <c r="H737" s="3">
        <f>IF('ORDENES'!$A715="","",IF('ORDENES'!$AE715="","-",'ORDENES'!$AE715))</f>
        <v/>
      </c>
      <c r="I737" s="3">
        <f>IF('ORDENES'!$A715="","",IF('ORDENES'!$AQ715="","-",'ORDENES'!$AQ715))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IF('ORDENES'!$A715="","",'ORDENES'!$AD715)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IF('ORDENES'!$A716="","",IF('ORDENES'!$AF716="","-",'ORDENES'!$AF716))</f>
        <v/>
      </c>
      <c r="D738" s="3">
        <f>IF('ORDENES'!$A716="","",IF('ORDENES'!$X716="","-",'ORDENES'!$X716))</f>
        <v/>
      </c>
      <c r="E738" s="3">
        <f>IF('ORDENES'!$A716="","",IF('ORDENES'!$V716="","-",'ORDENES'!$V716))</f>
        <v/>
      </c>
      <c r="F738" s="3">
        <f>IF('ORDENES'!$A716="","",IF('ORDENES'!$Y716="","-",'ORDENES'!$Y716))</f>
        <v/>
      </c>
      <c r="G738" s="3">
        <f>IF('ORDENES'!$A716="","",IF('ORDENES'!$W716="","-",'ORDENES'!$W716))</f>
        <v/>
      </c>
      <c r="H738" s="3">
        <f>IF('ORDENES'!$A716="","",IF('ORDENES'!$AE716="","-",'ORDENES'!$AE716))</f>
        <v/>
      </c>
      <c r="I738" s="3">
        <f>IF('ORDENES'!$A716="","",IF('ORDENES'!$AQ716="","-",'ORDENES'!$AQ716))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IF('ORDENES'!$A716="","",'ORDENES'!$AD716)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IF('ORDENES'!$A717="","",IF('ORDENES'!$AF717="","-",'ORDENES'!$AF717))</f>
        <v/>
      </c>
      <c r="D739" s="3">
        <f>IF('ORDENES'!$A717="","",IF('ORDENES'!$X717="","-",'ORDENES'!$X717))</f>
        <v/>
      </c>
      <c r="E739" s="3">
        <f>IF('ORDENES'!$A717="","",IF('ORDENES'!$V717="","-",'ORDENES'!$V717))</f>
        <v/>
      </c>
      <c r="F739" s="3">
        <f>IF('ORDENES'!$A717="","",IF('ORDENES'!$Y717="","-",'ORDENES'!$Y717))</f>
        <v/>
      </c>
      <c r="G739" s="3">
        <f>IF('ORDENES'!$A717="","",IF('ORDENES'!$W717="","-",'ORDENES'!$W717))</f>
        <v/>
      </c>
      <c r="H739" s="3">
        <f>IF('ORDENES'!$A717="","",IF('ORDENES'!$AE717="","-",'ORDENES'!$AE717))</f>
        <v/>
      </c>
      <c r="I739" s="3">
        <f>IF('ORDENES'!$A717="","",IF('ORDENES'!$AQ717="","-",'ORDENES'!$AQ717))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IF('ORDENES'!$A717="","",'ORDENES'!$AD717)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IF('ORDENES'!$A718="","",IF('ORDENES'!$AF718="","-",'ORDENES'!$AF718))</f>
        <v/>
      </c>
      <c r="D740" s="3">
        <f>IF('ORDENES'!$A718="","",IF('ORDENES'!$X718="","-",'ORDENES'!$X718))</f>
        <v/>
      </c>
      <c r="E740" s="3">
        <f>IF('ORDENES'!$A718="","",IF('ORDENES'!$V718="","-",'ORDENES'!$V718))</f>
        <v/>
      </c>
      <c r="F740" s="3">
        <f>IF('ORDENES'!$A718="","",IF('ORDENES'!$Y718="","-",'ORDENES'!$Y718))</f>
        <v/>
      </c>
      <c r="G740" s="3">
        <f>IF('ORDENES'!$A718="","",IF('ORDENES'!$W718="","-",'ORDENES'!$W718))</f>
        <v/>
      </c>
      <c r="H740" s="3">
        <f>IF('ORDENES'!$A718="","",IF('ORDENES'!$AE718="","-",'ORDENES'!$AE718))</f>
        <v/>
      </c>
      <c r="I740" s="3">
        <f>IF('ORDENES'!$A718="","",IF('ORDENES'!$AQ718="","-",'ORDENES'!$AQ718))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IF('ORDENES'!$A718="","",'ORDENES'!$AD718)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IF('ORDENES'!$A719="","",IF('ORDENES'!$AF719="","-",'ORDENES'!$AF719))</f>
        <v/>
      </c>
      <c r="D741" s="3">
        <f>IF('ORDENES'!$A719="","",IF('ORDENES'!$X719="","-",'ORDENES'!$X719))</f>
        <v/>
      </c>
      <c r="E741" s="3">
        <f>IF('ORDENES'!$A719="","",IF('ORDENES'!$V719="","-",'ORDENES'!$V719))</f>
        <v/>
      </c>
      <c r="F741" s="3">
        <f>IF('ORDENES'!$A719="","",IF('ORDENES'!$Y719="","-",'ORDENES'!$Y719))</f>
        <v/>
      </c>
      <c r="G741" s="3">
        <f>IF('ORDENES'!$A719="","",IF('ORDENES'!$W719="","-",'ORDENES'!$W719))</f>
        <v/>
      </c>
      <c r="H741" s="3">
        <f>IF('ORDENES'!$A719="","",IF('ORDENES'!$AE719="","-",'ORDENES'!$AE719))</f>
        <v/>
      </c>
      <c r="I741" s="3">
        <f>IF('ORDENES'!$A719="","",IF('ORDENES'!$AQ719="","-",'ORDENES'!$AQ719))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IF('ORDENES'!$A719="","",'ORDENES'!$AD719)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IF('ORDENES'!$A720="","",IF('ORDENES'!$AF720="","-",'ORDENES'!$AF720))</f>
        <v/>
      </c>
      <c r="D742" s="3">
        <f>IF('ORDENES'!$A720="","",IF('ORDENES'!$X720="","-",'ORDENES'!$X720))</f>
        <v/>
      </c>
      <c r="E742" s="3">
        <f>IF('ORDENES'!$A720="","",IF('ORDENES'!$V720="","-",'ORDENES'!$V720))</f>
        <v/>
      </c>
      <c r="F742" s="3">
        <f>IF('ORDENES'!$A720="","",IF('ORDENES'!$Y720="","-",'ORDENES'!$Y720))</f>
        <v/>
      </c>
      <c r="G742" s="3">
        <f>IF('ORDENES'!$A720="","",IF('ORDENES'!$W720="","-",'ORDENES'!$W720))</f>
        <v/>
      </c>
      <c r="H742" s="3">
        <f>IF('ORDENES'!$A720="","",IF('ORDENES'!$AE720="","-",'ORDENES'!$AE720))</f>
        <v/>
      </c>
      <c r="I742" s="3">
        <f>IF('ORDENES'!$A720="","",IF('ORDENES'!$AQ720="","-",'ORDENES'!$AQ720))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IF('ORDENES'!$A720="","",'ORDENES'!$AD720)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IF('ORDENES'!$A721="","",IF('ORDENES'!$AF721="","-",'ORDENES'!$AF721))</f>
        <v/>
      </c>
      <c r="D743" s="3">
        <f>IF('ORDENES'!$A721="","",IF('ORDENES'!$X721="","-",'ORDENES'!$X721))</f>
        <v/>
      </c>
      <c r="E743" s="3">
        <f>IF('ORDENES'!$A721="","",IF('ORDENES'!$V721="","-",'ORDENES'!$V721))</f>
        <v/>
      </c>
      <c r="F743" s="3">
        <f>IF('ORDENES'!$A721="","",IF('ORDENES'!$Y721="","-",'ORDENES'!$Y721))</f>
        <v/>
      </c>
      <c r="G743" s="3">
        <f>IF('ORDENES'!$A721="","",IF('ORDENES'!$W721="","-",'ORDENES'!$W721))</f>
        <v/>
      </c>
      <c r="H743" s="3">
        <f>IF('ORDENES'!$A721="","",IF('ORDENES'!$AE721="","-",'ORDENES'!$AE721))</f>
        <v/>
      </c>
      <c r="I743" s="3">
        <f>IF('ORDENES'!$A721="","",IF('ORDENES'!$AQ721="","-",'ORDENES'!$AQ721))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IF('ORDENES'!$A721="","",'ORDENES'!$AD721)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IF('ORDENES'!$A722="","",IF('ORDENES'!$AF722="","-",'ORDENES'!$AF722))</f>
        <v/>
      </c>
      <c r="D744" s="3">
        <f>IF('ORDENES'!$A722="","",IF('ORDENES'!$X722="","-",'ORDENES'!$X722))</f>
        <v/>
      </c>
      <c r="E744" s="3">
        <f>IF('ORDENES'!$A722="","",IF('ORDENES'!$V722="","-",'ORDENES'!$V722))</f>
        <v/>
      </c>
      <c r="F744" s="3">
        <f>IF('ORDENES'!$A722="","",IF('ORDENES'!$Y722="","-",'ORDENES'!$Y722))</f>
        <v/>
      </c>
      <c r="G744" s="3">
        <f>IF('ORDENES'!$A722="","",IF('ORDENES'!$W722="","-",'ORDENES'!$W722))</f>
        <v/>
      </c>
      <c r="H744" s="3">
        <f>IF('ORDENES'!$A722="","",IF('ORDENES'!$AE722="","-",'ORDENES'!$AE722))</f>
        <v/>
      </c>
      <c r="I744" s="3">
        <f>IF('ORDENES'!$A722="","",IF('ORDENES'!$AQ722="","-",'ORDENES'!$AQ722))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IF('ORDENES'!$A722="","",'ORDENES'!$AD722)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IF('ORDENES'!$A723="","",IF('ORDENES'!$AF723="","-",'ORDENES'!$AF723))</f>
        <v/>
      </c>
      <c r="D745" s="3">
        <f>IF('ORDENES'!$A723="","",IF('ORDENES'!$X723="","-",'ORDENES'!$X723))</f>
        <v/>
      </c>
      <c r="E745" s="3">
        <f>IF('ORDENES'!$A723="","",IF('ORDENES'!$V723="","-",'ORDENES'!$V723))</f>
        <v/>
      </c>
      <c r="F745" s="3">
        <f>IF('ORDENES'!$A723="","",IF('ORDENES'!$Y723="","-",'ORDENES'!$Y723))</f>
        <v/>
      </c>
      <c r="G745" s="3">
        <f>IF('ORDENES'!$A723="","",IF('ORDENES'!$W723="","-",'ORDENES'!$W723))</f>
        <v/>
      </c>
      <c r="H745" s="3">
        <f>IF('ORDENES'!$A723="","",IF('ORDENES'!$AE723="","-",'ORDENES'!$AE723))</f>
        <v/>
      </c>
      <c r="I745" s="3">
        <f>IF('ORDENES'!$A723="","",IF('ORDENES'!$AQ723="","-",'ORDENES'!$AQ723))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IF('ORDENES'!$A723="","",'ORDENES'!$AD723)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IF('ORDENES'!$A724="","",IF('ORDENES'!$AF724="","-",'ORDENES'!$AF724))</f>
        <v/>
      </c>
      <c r="D746" s="3">
        <f>IF('ORDENES'!$A724="","",IF('ORDENES'!$X724="","-",'ORDENES'!$X724))</f>
        <v/>
      </c>
      <c r="E746" s="3">
        <f>IF('ORDENES'!$A724="","",IF('ORDENES'!$V724="","-",'ORDENES'!$V724))</f>
        <v/>
      </c>
      <c r="F746" s="3">
        <f>IF('ORDENES'!$A724="","",IF('ORDENES'!$Y724="","-",'ORDENES'!$Y724))</f>
        <v/>
      </c>
      <c r="G746" s="3">
        <f>IF('ORDENES'!$A724="","",IF('ORDENES'!$W724="","-",'ORDENES'!$W724))</f>
        <v/>
      </c>
      <c r="H746" s="3">
        <f>IF('ORDENES'!$A724="","",IF('ORDENES'!$AE724="","-",'ORDENES'!$AE724))</f>
        <v/>
      </c>
      <c r="I746" s="3">
        <f>IF('ORDENES'!$A724="","",IF('ORDENES'!$AQ724="","-",'ORDENES'!$AQ724))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IF('ORDENES'!$A724="","",'ORDENES'!$AD724)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IF('ORDENES'!$A725="","",IF('ORDENES'!$AF725="","-",'ORDENES'!$AF725))</f>
        <v/>
      </c>
      <c r="D747" s="3">
        <f>IF('ORDENES'!$A725="","",IF('ORDENES'!$X725="","-",'ORDENES'!$X725))</f>
        <v/>
      </c>
      <c r="E747" s="3">
        <f>IF('ORDENES'!$A725="","",IF('ORDENES'!$V725="","-",'ORDENES'!$V725))</f>
        <v/>
      </c>
      <c r="F747" s="3">
        <f>IF('ORDENES'!$A725="","",IF('ORDENES'!$Y725="","-",'ORDENES'!$Y725))</f>
        <v/>
      </c>
      <c r="G747" s="3">
        <f>IF('ORDENES'!$A725="","",IF('ORDENES'!$W725="","-",'ORDENES'!$W725))</f>
        <v/>
      </c>
      <c r="H747" s="3">
        <f>IF('ORDENES'!$A725="","",IF('ORDENES'!$AE725="","-",'ORDENES'!$AE725))</f>
        <v/>
      </c>
      <c r="I747" s="3">
        <f>IF('ORDENES'!$A725="","",IF('ORDENES'!$AQ725="","-",'ORDENES'!$AQ725))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IF('ORDENES'!$A725="","",'ORDENES'!$AD725)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IF('ORDENES'!$A726="","",IF('ORDENES'!$AF726="","-",'ORDENES'!$AF726))</f>
        <v/>
      </c>
      <c r="D748" s="3">
        <f>IF('ORDENES'!$A726="","",IF('ORDENES'!$X726="","-",'ORDENES'!$X726))</f>
        <v/>
      </c>
      <c r="E748" s="3">
        <f>IF('ORDENES'!$A726="","",IF('ORDENES'!$V726="","-",'ORDENES'!$V726))</f>
        <v/>
      </c>
      <c r="F748" s="3">
        <f>IF('ORDENES'!$A726="","",IF('ORDENES'!$Y726="","-",'ORDENES'!$Y726))</f>
        <v/>
      </c>
      <c r="G748" s="3">
        <f>IF('ORDENES'!$A726="","",IF('ORDENES'!$W726="","-",'ORDENES'!$W726))</f>
        <v/>
      </c>
      <c r="H748" s="3">
        <f>IF('ORDENES'!$A726="","",IF('ORDENES'!$AE726="","-",'ORDENES'!$AE726))</f>
        <v/>
      </c>
      <c r="I748" s="3">
        <f>IF('ORDENES'!$A726="","",IF('ORDENES'!$AQ726="","-",'ORDENES'!$AQ726))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IF('ORDENES'!$A726="","",'ORDENES'!$AD726)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IF('ORDENES'!$A727="","",IF('ORDENES'!$AF727="","-",'ORDENES'!$AF727))</f>
        <v/>
      </c>
      <c r="D749" s="3">
        <f>IF('ORDENES'!$A727="","",IF('ORDENES'!$X727="","-",'ORDENES'!$X727))</f>
        <v/>
      </c>
      <c r="E749" s="3">
        <f>IF('ORDENES'!$A727="","",IF('ORDENES'!$V727="","-",'ORDENES'!$V727))</f>
        <v/>
      </c>
      <c r="F749" s="3">
        <f>IF('ORDENES'!$A727="","",IF('ORDENES'!$Y727="","-",'ORDENES'!$Y727))</f>
        <v/>
      </c>
      <c r="G749" s="3">
        <f>IF('ORDENES'!$A727="","",IF('ORDENES'!$W727="","-",'ORDENES'!$W727))</f>
        <v/>
      </c>
      <c r="H749" s="3">
        <f>IF('ORDENES'!$A727="","",IF('ORDENES'!$AE727="","-",'ORDENES'!$AE727))</f>
        <v/>
      </c>
      <c r="I749" s="3">
        <f>IF('ORDENES'!$A727="","",IF('ORDENES'!$AQ727="","-",'ORDENES'!$AQ727))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IF('ORDENES'!$A727="","",'ORDENES'!$AD727)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IF('ORDENES'!$A728="","",IF('ORDENES'!$AF728="","-",'ORDENES'!$AF728))</f>
        <v/>
      </c>
      <c r="D750" s="3">
        <f>IF('ORDENES'!$A728="","",IF('ORDENES'!$X728="","-",'ORDENES'!$X728))</f>
        <v/>
      </c>
      <c r="E750" s="3">
        <f>IF('ORDENES'!$A728="","",IF('ORDENES'!$V728="","-",'ORDENES'!$V728))</f>
        <v/>
      </c>
      <c r="F750" s="3">
        <f>IF('ORDENES'!$A728="","",IF('ORDENES'!$Y728="","-",'ORDENES'!$Y728))</f>
        <v/>
      </c>
      <c r="G750" s="3">
        <f>IF('ORDENES'!$A728="","",IF('ORDENES'!$W728="","-",'ORDENES'!$W728))</f>
        <v/>
      </c>
      <c r="H750" s="3">
        <f>IF('ORDENES'!$A728="","",IF('ORDENES'!$AE728="","-",'ORDENES'!$AE728))</f>
        <v/>
      </c>
      <c r="I750" s="3">
        <f>IF('ORDENES'!$A728="","",IF('ORDENES'!$AQ728="","-",'ORDENES'!$AQ728))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IF('ORDENES'!$A728="","",'ORDENES'!$AD728)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IF('ORDENES'!$A729="","",IF('ORDENES'!$AF729="","-",'ORDENES'!$AF729))</f>
        <v/>
      </c>
      <c r="D751" s="3">
        <f>IF('ORDENES'!$A729="","",IF('ORDENES'!$X729="","-",'ORDENES'!$X729))</f>
        <v/>
      </c>
      <c r="E751" s="3">
        <f>IF('ORDENES'!$A729="","",IF('ORDENES'!$V729="","-",'ORDENES'!$V729))</f>
        <v/>
      </c>
      <c r="F751" s="3">
        <f>IF('ORDENES'!$A729="","",IF('ORDENES'!$Y729="","-",'ORDENES'!$Y729))</f>
        <v/>
      </c>
      <c r="G751" s="3">
        <f>IF('ORDENES'!$A729="","",IF('ORDENES'!$W729="","-",'ORDENES'!$W729))</f>
        <v/>
      </c>
      <c r="H751" s="3">
        <f>IF('ORDENES'!$A729="","",IF('ORDENES'!$AE729="","-",'ORDENES'!$AE729))</f>
        <v/>
      </c>
      <c r="I751" s="3">
        <f>IF('ORDENES'!$A729="","",IF('ORDENES'!$AQ729="","-",'ORDENES'!$AQ729))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IF('ORDENES'!$A729="","",'ORDENES'!$AD729)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IF('ORDENES'!$A730="","",IF('ORDENES'!$AF730="","-",'ORDENES'!$AF730))</f>
        <v/>
      </c>
      <c r="D752" s="3">
        <f>IF('ORDENES'!$A730="","",IF('ORDENES'!$X730="","-",'ORDENES'!$X730))</f>
        <v/>
      </c>
      <c r="E752" s="3">
        <f>IF('ORDENES'!$A730="","",IF('ORDENES'!$V730="","-",'ORDENES'!$V730))</f>
        <v/>
      </c>
      <c r="F752" s="3">
        <f>IF('ORDENES'!$A730="","",IF('ORDENES'!$Y730="","-",'ORDENES'!$Y730))</f>
        <v/>
      </c>
      <c r="G752" s="3">
        <f>IF('ORDENES'!$A730="","",IF('ORDENES'!$W730="","-",'ORDENES'!$W730))</f>
        <v/>
      </c>
      <c r="H752" s="3">
        <f>IF('ORDENES'!$A730="","",IF('ORDENES'!$AE730="","-",'ORDENES'!$AE730))</f>
        <v/>
      </c>
      <c r="I752" s="3">
        <f>IF('ORDENES'!$A730="","",IF('ORDENES'!$AQ730="","-",'ORDENES'!$AQ730))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IF('ORDENES'!$A730="","",'ORDENES'!$AD730)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IF('ORDENES'!$A731="","",IF('ORDENES'!$AF731="","-",'ORDENES'!$AF731))</f>
        <v/>
      </c>
      <c r="D753" s="3">
        <f>IF('ORDENES'!$A731="","",IF('ORDENES'!$X731="","-",'ORDENES'!$X731))</f>
        <v/>
      </c>
      <c r="E753" s="3">
        <f>IF('ORDENES'!$A731="","",IF('ORDENES'!$V731="","-",'ORDENES'!$V731))</f>
        <v/>
      </c>
      <c r="F753" s="3">
        <f>IF('ORDENES'!$A731="","",IF('ORDENES'!$Y731="","-",'ORDENES'!$Y731))</f>
        <v/>
      </c>
      <c r="G753" s="3">
        <f>IF('ORDENES'!$A731="","",IF('ORDENES'!$W731="","-",'ORDENES'!$W731))</f>
        <v/>
      </c>
      <c r="H753" s="3">
        <f>IF('ORDENES'!$A731="","",IF('ORDENES'!$AE731="","-",'ORDENES'!$AE731))</f>
        <v/>
      </c>
      <c r="I753" s="3">
        <f>IF('ORDENES'!$A731="","",IF('ORDENES'!$AQ731="","-",'ORDENES'!$AQ731))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IF('ORDENES'!$A731="","",'ORDENES'!$AD731)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IF('ORDENES'!$A732="","",IF('ORDENES'!$AF732="","-",'ORDENES'!$AF732))</f>
        <v/>
      </c>
      <c r="D754" s="3">
        <f>IF('ORDENES'!$A732="","",IF('ORDENES'!$X732="","-",'ORDENES'!$X732))</f>
        <v/>
      </c>
      <c r="E754" s="3">
        <f>IF('ORDENES'!$A732="","",IF('ORDENES'!$V732="","-",'ORDENES'!$V732))</f>
        <v/>
      </c>
      <c r="F754" s="3">
        <f>IF('ORDENES'!$A732="","",IF('ORDENES'!$Y732="","-",'ORDENES'!$Y732))</f>
        <v/>
      </c>
      <c r="G754" s="3">
        <f>IF('ORDENES'!$A732="","",IF('ORDENES'!$W732="","-",'ORDENES'!$W732))</f>
        <v/>
      </c>
      <c r="H754" s="3">
        <f>IF('ORDENES'!$A732="","",IF('ORDENES'!$AE732="","-",'ORDENES'!$AE732))</f>
        <v/>
      </c>
      <c r="I754" s="3">
        <f>IF('ORDENES'!$A732="","",IF('ORDENES'!$AQ732="","-",'ORDENES'!$AQ732))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IF('ORDENES'!$A732="","",'ORDENES'!$AD732)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IF('ORDENES'!$A733="","",IF('ORDENES'!$AF733="","-",'ORDENES'!$AF733))</f>
        <v/>
      </c>
      <c r="D755" s="3">
        <f>IF('ORDENES'!$A733="","",IF('ORDENES'!$X733="","-",'ORDENES'!$X733))</f>
        <v/>
      </c>
      <c r="E755" s="3">
        <f>IF('ORDENES'!$A733="","",IF('ORDENES'!$V733="","-",'ORDENES'!$V733))</f>
        <v/>
      </c>
      <c r="F755" s="3">
        <f>IF('ORDENES'!$A733="","",IF('ORDENES'!$Y733="","-",'ORDENES'!$Y733))</f>
        <v/>
      </c>
      <c r="G755" s="3">
        <f>IF('ORDENES'!$A733="","",IF('ORDENES'!$W733="","-",'ORDENES'!$W733))</f>
        <v/>
      </c>
      <c r="H755" s="3">
        <f>IF('ORDENES'!$A733="","",IF('ORDENES'!$AE733="","-",'ORDENES'!$AE733))</f>
        <v/>
      </c>
      <c r="I755" s="3">
        <f>IF('ORDENES'!$A733="","",IF('ORDENES'!$AQ733="","-",'ORDENES'!$AQ733))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IF('ORDENES'!$A733="","",'ORDENES'!$AD733)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IF('ORDENES'!$A734="","",IF('ORDENES'!$AF734="","-",'ORDENES'!$AF734))</f>
        <v/>
      </c>
      <c r="D756" s="3">
        <f>IF('ORDENES'!$A734="","",IF('ORDENES'!$X734="","-",'ORDENES'!$X734))</f>
        <v/>
      </c>
      <c r="E756" s="3">
        <f>IF('ORDENES'!$A734="","",IF('ORDENES'!$V734="","-",'ORDENES'!$V734))</f>
        <v/>
      </c>
      <c r="F756" s="3">
        <f>IF('ORDENES'!$A734="","",IF('ORDENES'!$Y734="","-",'ORDENES'!$Y734))</f>
        <v/>
      </c>
      <c r="G756" s="3">
        <f>IF('ORDENES'!$A734="","",IF('ORDENES'!$W734="","-",'ORDENES'!$W734))</f>
        <v/>
      </c>
      <c r="H756" s="3">
        <f>IF('ORDENES'!$A734="","",IF('ORDENES'!$AE734="","-",'ORDENES'!$AE734))</f>
        <v/>
      </c>
      <c r="I756" s="3">
        <f>IF('ORDENES'!$A734="","",IF('ORDENES'!$AQ734="","-",'ORDENES'!$AQ734))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IF('ORDENES'!$A734="","",'ORDENES'!$AD734)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IF('ORDENES'!$A735="","",IF('ORDENES'!$AF735="","-",'ORDENES'!$AF735))</f>
        <v/>
      </c>
      <c r="D757" s="3">
        <f>IF('ORDENES'!$A735="","",IF('ORDENES'!$X735="","-",'ORDENES'!$X735))</f>
        <v/>
      </c>
      <c r="E757" s="3">
        <f>IF('ORDENES'!$A735="","",IF('ORDENES'!$V735="","-",'ORDENES'!$V735))</f>
        <v/>
      </c>
      <c r="F757" s="3">
        <f>IF('ORDENES'!$A735="","",IF('ORDENES'!$Y735="","-",'ORDENES'!$Y735))</f>
        <v/>
      </c>
      <c r="G757" s="3">
        <f>IF('ORDENES'!$A735="","",IF('ORDENES'!$W735="","-",'ORDENES'!$W735))</f>
        <v/>
      </c>
      <c r="H757" s="3">
        <f>IF('ORDENES'!$A735="","",IF('ORDENES'!$AE735="","-",'ORDENES'!$AE735))</f>
        <v/>
      </c>
      <c r="I757" s="3">
        <f>IF('ORDENES'!$A735="","",IF('ORDENES'!$AQ735="","-",'ORDENES'!$AQ735))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IF('ORDENES'!$A735="","",'ORDENES'!$AD735)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IF('ORDENES'!$A736="","",IF('ORDENES'!$AF736="","-",'ORDENES'!$AF736))</f>
        <v/>
      </c>
      <c r="D758" s="3">
        <f>IF('ORDENES'!$A736="","",IF('ORDENES'!$X736="","-",'ORDENES'!$X736))</f>
        <v/>
      </c>
      <c r="E758" s="3">
        <f>IF('ORDENES'!$A736="","",IF('ORDENES'!$V736="","-",'ORDENES'!$V736))</f>
        <v/>
      </c>
      <c r="F758" s="3">
        <f>IF('ORDENES'!$A736="","",IF('ORDENES'!$Y736="","-",'ORDENES'!$Y736))</f>
        <v/>
      </c>
      <c r="G758" s="3">
        <f>IF('ORDENES'!$A736="","",IF('ORDENES'!$W736="","-",'ORDENES'!$W736))</f>
        <v/>
      </c>
      <c r="H758" s="3">
        <f>IF('ORDENES'!$A736="","",IF('ORDENES'!$AE736="","-",'ORDENES'!$AE736))</f>
        <v/>
      </c>
      <c r="I758" s="3">
        <f>IF('ORDENES'!$A736="","",IF('ORDENES'!$AQ736="","-",'ORDENES'!$AQ736))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IF('ORDENES'!$A736="","",'ORDENES'!$AD736)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IF('ORDENES'!$A737="","",IF('ORDENES'!$AF737="","-",'ORDENES'!$AF737))</f>
        <v/>
      </c>
      <c r="D759" s="3">
        <f>IF('ORDENES'!$A737="","",IF('ORDENES'!$X737="","-",'ORDENES'!$X737))</f>
        <v/>
      </c>
      <c r="E759" s="3">
        <f>IF('ORDENES'!$A737="","",IF('ORDENES'!$V737="","-",'ORDENES'!$V737))</f>
        <v/>
      </c>
      <c r="F759" s="3">
        <f>IF('ORDENES'!$A737="","",IF('ORDENES'!$Y737="","-",'ORDENES'!$Y737))</f>
        <v/>
      </c>
      <c r="G759" s="3">
        <f>IF('ORDENES'!$A737="","",IF('ORDENES'!$W737="","-",'ORDENES'!$W737))</f>
        <v/>
      </c>
      <c r="H759" s="3">
        <f>IF('ORDENES'!$A737="","",IF('ORDENES'!$AE737="","-",'ORDENES'!$AE737))</f>
        <v/>
      </c>
      <c r="I759" s="3">
        <f>IF('ORDENES'!$A737="","",IF('ORDENES'!$AQ737="","-",'ORDENES'!$AQ737))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IF('ORDENES'!$A737="","",'ORDENES'!$AD737)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IF('ORDENES'!$A738="","",IF('ORDENES'!$AF738="","-",'ORDENES'!$AF738))</f>
        <v/>
      </c>
      <c r="D760" s="3">
        <f>IF('ORDENES'!$A738="","",IF('ORDENES'!$X738="","-",'ORDENES'!$X738))</f>
        <v/>
      </c>
      <c r="E760" s="3">
        <f>IF('ORDENES'!$A738="","",IF('ORDENES'!$V738="","-",'ORDENES'!$V738))</f>
        <v/>
      </c>
      <c r="F760" s="3">
        <f>IF('ORDENES'!$A738="","",IF('ORDENES'!$Y738="","-",'ORDENES'!$Y738))</f>
        <v/>
      </c>
      <c r="G760" s="3">
        <f>IF('ORDENES'!$A738="","",IF('ORDENES'!$W738="","-",'ORDENES'!$W738))</f>
        <v/>
      </c>
      <c r="H760" s="3">
        <f>IF('ORDENES'!$A738="","",IF('ORDENES'!$AE738="","-",'ORDENES'!$AE738))</f>
        <v/>
      </c>
      <c r="I760" s="3">
        <f>IF('ORDENES'!$A738="","",IF('ORDENES'!$AQ738="","-",'ORDENES'!$AQ738))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IF('ORDENES'!$A738="","",'ORDENES'!$AD738)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IF('ORDENES'!$A739="","",IF('ORDENES'!$AF739="","-",'ORDENES'!$AF739))</f>
        <v/>
      </c>
      <c r="D761" s="3">
        <f>IF('ORDENES'!$A739="","",IF('ORDENES'!$X739="","-",'ORDENES'!$X739))</f>
        <v/>
      </c>
      <c r="E761" s="3">
        <f>IF('ORDENES'!$A739="","",IF('ORDENES'!$V739="","-",'ORDENES'!$V739))</f>
        <v/>
      </c>
      <c r="F761" s="3">
        <f>IF('ORDENES'!$A739="","",IF('ORDENES'!$Y739="","-",'ORDENES'!$Y739))</f>
        <v/>
      </c>
      <c r="G761" s="3">
        <f>IF('ORDENES'!$A739="","",IF('ORDENES'!$W739="","-",'ORDENES'!$W739))</f>
        <v/>
      </c>
      <c r="H761" s="3">
        <f>IF('ORDENES'!$A739="","",IF('ORDENES'!$AE739="","-",'ORDENES'!$AE739))</f>
        <v/>
      </c>
      <c r="I761" s="3">
        <f>IF('ORDENES'!$A739="","",IF('ORDENES'!$AQ739="","-",'ORDENES'!$AQ739))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IF('ORDENES'!$A739="","",'ORDENES'!$AD739)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IF('ORDENES'!$A740="","",IF('ORDENES'!$AF740="","-",'ORDENES'!$AF740))</f>
        <v/>
      </c>
      <c r="D762" s="3">
        <f>IF('ORDENES'!$A740="","",IF('ORDENES'!$X740="","-",'ORDENES'!$X740))</f>
        <v/>
      </c>
      <c r="E762" s="3">
        <f>IF('ORDENES'!$A740="","",IF('ORDENES'!$V740="","-",'ORDENES'!$V740))</f>
        <v/>
      </c>
      <c r="F762" s="3">
        <f>IF('ORDENES'!$A740="","",IF('ORDENES'!$Y740="","-",'ORDENES'!$Y740))</f>
        <v/>
      </c>
      <c r="G762" s="3">
        <f>IF('ORDENES'!$A740="","",IF('ORDENES'!$W740="","-",'ORDENES'!$W740))</f>
        <v/>
      </c>
      <c r="H762" s="3">
        <f>IF('ORDENES'!$A740="","",IF('ORDENES'!$AE740="","-",'ORDENES'!$AE740))</f>
        <v/>
      </c>
      <c r="I762" s="3">
        <f>IF('ORDENES'!$A740="","",IF('ORDENES'!$AQ740="","-",'ORDENES'!$AQ740))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IF('ORDENES'!$A740="","",'ORDENES'!$AD740)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IF('ORDENES'!$A741="","",IF('ORDENES'!$AF741="","-",'ORDENES'!$AF741))</f>
        <v/>
      </c>
      <c r="D763" s="3">
        <f>IF('ORDENES'!$A741="","",IF('ORDENES'!$X741="","-",'ORDENES'!$X741))</f>
        <v/>
      </c>
      <c r="E763" s="3">
        <f>IF('ORDENES'!$A741="","",IF('ORDENES'!$V741="","-",'ORDENES'!$V741))</f>
        <v/>
      </c>
      <c r="F763" s="3">
        <f>IF('ORDENES'!$A741="","",IF('ORDENES'!$Y741="","-",'ORDENES'!$Y741))</f>
        <v/>
      </c>
      <c r="G763" s="3">
        <f>IF('ORDENES'!$A741="","",IF('ORDENES'!$W741="","-",'ORDENES'!$W741))</f>
        <v/>
      </c>
      <c r="H763" s="3">
        <f>IF('ORDENES'!$A741="","",IF('ORDENES'!$AE741="","-",'ORDENES'!$AE741))</f>
        <v/>
      </c>
      <c r="I763" s="3">
        <f>IF('ORDENES'!$A741="","",IF('ORDENES'!$AQ741="","-",'ORDENES'!$AQ741))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IF('ORDENES'!$A741="","",'ORDENES'!$AD741)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IF('ORDENES'!$A742="","",IF('ORDENES'!$AF742="","-",'ORDENES'!$AF742))</f>
        <v/>
      </c>
      <c r="D764" s="3">
        <f>IF('ORDENES'!$A742="","",IF('ORDENES'!$X742="","-",'ORDENES'!$X742))</f>
        <v/>
      </c>
      <c r="E764" s="3">
        <f>IF('ORDENES'!$A742="","",IF('ORDENES'!$V742="","-",'ORDENES'!$V742))</f>
        <v/>
      </c>
      <c r="F764" s="3">
        <f>IF('ORDENES'!$A742="","",IF('ORDENES'!$Y742="","-",'ORDENES'!$Y742))</f>
        <v/>
      </c>
      <c r="G764" s="3">
        <f>IF('ORDENES'!$A742="","",IF('ORDENES'!$W742="","-",'ORDENES'!$W742))</f>
        <v/>
      </c>
      <c r="H764" s="3">
        <f>IF('ORDENES'!$A742="","",IF('ORDENES'!$AE742="","-",'ORDENES'!$AE742))</f>
        <v/>
      </c>
      <c r="I764" s="3">
        <f>IF('ORDENES'!$A742="","",IF('ORDENES'!$AQ742="","-",'ORDENES'!$AQ742))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IF('ORDENES'!$A742="","",'ORDENES'!$AD742)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IF('ORDENES'!$A743="","",IF('ORDENES'!$AF743="","-",'ORDENES'!$AF743))</f>
        <v/>
      </c>
      <c r="D765" s="3">
        <f>IF('ORDENES'!$A743="","",IF('ORDENES'!$X743="","-",'ORDENES'!$X743))</f>
        <v/>
      </c>
      <c r="E765" s="3">
        <f>IF('ORDENES'!$A743="","",IF('ORDENES'!$V743="","-",'ORDENES'!$V743))</f>
        <v/>
      </c>
      <c r="F765" s="3">
        <f>IF('ORDENES'!$A743="","",IF('ORDENES'!$Y743="","-",'ORDENES'!$Y743))</f>
        <v/>
      </c>
      <c r="G765" s="3">
        <f>IF('ORDENES'!$A743="","",IF('ORDENES'!$W743="","-",'ORDENES'!$W743))</f>
        <v/>
      </c>
      <c r="H765" s="3">
        <f>IF('ORDENES'!$A743="","",IF('ORDENES'!$AE743="","-",'ORDENES'!$AE743))</f>
        <v/>
      </c>
      <c r="I765" s="3">
        <f>IF('ORDENES'!$A743="","",IF('ORDENES'!$AQ743="","-",'ORDENES'!$AQ743))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IF('ORDENES'!$A743="","",'ORDENES'!$AD743)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IF('ORDENES'!$A744="","",IF('ORDENES'!$AF744="","-",'ORDENES'!$AF744))</f>
        <v/>
      </c>
      <c r="D766" s="3">
        <f>IF('ORDENES'!$A744="","",IF('ORDENES'!$X744="","-",'ORDENES'!$X744))</f>
        <v/>
      </c>
      <c r="E766" s="3">
        <f>IF('ORDENES'!$A744="","",IF('ORDENES'!$V744="","-",'ORDENES'!$V744))</f>
        <v/>
      </c>
      <c r="F766" s="3">
        <f>IF('ORDENES'!$A744="","",IF('ORDENES'!$Y744="","-",'ORDENES'!$Y744))</f>
        <v/>
      </c>
      <c r="G766" s="3">
        <f>IF('ORDENES'!$A744="","",IF('ORDENES'!$W744="","-",'ORDENES'!$W744))</f>
        <v/>
      </c>
      <c r="H766" s="3">
        <f>IF('ORDENES'!$A744="","",IF('ORDENES'!$AE744="","-",'ORDENES'!$AE744))</f>
        <v/>
      </c>
      <c r="I766" s="3">
        <f>IF('ORDENES'!$A744="","",IF('ORDENES'!$AQ744="","-",'ORDENES'!$AQ744))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IF('ORDENES'!$A744="","",'ORDENES'!$AD744)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IF('ORDENES'!$A745="","",IF('ORDENES'!$AF745="","-",'ORDENES'!$AF745))</f>
        <v/>
      </c>
      <c r="D767" s="3">
        <f>IF('ORDENES'!$A745="","",IF('ORDENES'!$X745="","-",'ORDENES'!$X745))</f>
        <v/>
      </c>
      <c r="E767" s="3">
        <f>IF('ORDENES'!$A745="","",IF('ORDENES'!$V745="","-",'ORDENES'!$V745))</f>
        <v/>
      </c>
      <c r="F767" s="3">
        <f>IF('ORDENES'!$A745="","",IF('ORDENES'!$Y745="","-",'ORDENES'!$Y745))</f>
        <v/>
      </c>
      <c r="G767" s="3">
        <f>IF('ORDENES'!$A745="","",IF('ORDENES'!$W745="","-",'ORDENES'!$W745))</f>
        <v/>
      </c>
      <c r="H767" s="3">
        <f>IF('ORDENES'!$A745="","",IF('ORDENES'!$AE745="","-",'ORDENES'!$AE745))</f>
        <v/>
      </c>
      <c r="I767" s="3">
        <f>IF('ORDENES'!$A745="","",IF('ORDENES'!$AQ745="","-",'ORDENES'!$AQ745))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IF('ORDENES'!$A745="","",'ORDENES'!$AD745)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IF('ORDENES'!$A746="","",IF('ORDENES'!$AF746="","-",'ORDENES'!$AF746))</f>
        <v/>
      </c>
      <c r="D768" s="3">
        <f>IF('ORDENES'!$A746="","",IF('ORDENES'!$X746="","-",'ORDENES'!$X746))</f>
        <v/>
      </c>
      <c r="E768" s="3">
        <f>IF('ORDENES'!$A746="","",IF('ORDENES'!$V746="","-",'ORDENES'!$V746))</f>
        <v/>
      </c>
      <c r="F768" s="3">
        <f>IF('ORDENES'!$A746="","",IF('ORDENES'!$Y746="","-",'ORDENES'!$Y746))</f>
        <v/>
      </c>
      <c r="G768" s="3">
        <f>IF('ORDENES'!$A746="","",IF('ORDENES'!$W746="","-",'ORDENES'!$W746))</f>
        <v/>
      </c>
      <c r="H768" s="3">
        <f>IF('ORDENES'!$A746="","",IF('ORDENES'!$AE746="","-",'ORDENES'!$AE746))</f>
        <v/>
      </c>
      <c r="I768" s="3">
        <f>IF('ORDENES'!$A746="","",IF('ORDENES'!$AQ746="","-",'ORDENES'!$AQ746))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IF('ORDENES'!$A746="","",'ORDENES'!$AD746)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IF('ORDENES'!$A747="","",IF('ORDENES'!$AF747="","-",'ORDENES'!$AF747))</f>
        <v/>
      </c>
      <c r="D769" s="3">
        <f>IF('ORDENES'!$A747="","",IF('ORDENES'!$X747="","-",'ORDENES'!$X747))</f>
        <v/>
      </c>
      <c r="E769" s="3">
        <f>IF('ORDENES'!$A747="","",IF('ORDENES'!$V747="","-",'ORDENES'!$V747))</f>
        <v/>
      </c>
      <c r="F769" s="3">
        <f>IF('ORDENES'!$A747="","",IF('ORDENES'!$Y747="","-",'ORDENES'!$Y747))</f>
        <v/>
      </c>
      <c r="G769" s="3">
        <f>IF('ORDENES'!$A747="","",IF('ORDENES'!$W747="","-",'ORDENES'!$W747))</f>
        <v/>
      </c>
      <c r="H769" s="3">
        <f>IF('ORDENES'!$A747="","",IF('ORDENES'!$AE747="","-",'ORDENES'!$AE747))</f>
        <v/>
      </c>
      <c r="I769" s="3">
        <f>IF('ORDENES'!$A747="","",IF('ORDENES'!$AQ747="","-",'ORDENES'!$AQ747))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IF('ORDENES'!$A747="","",'ORDENES'!$AD747)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IF('ORDENES'!$A748="","",IF('ORDENES'!$AF748="","-",'ORDENES'!$AF748))</f>
        <v/>
      </c>
      <c r="D770" s="3">
        <f>IF('ORDENES'!$A748="","",IF('ORDENES'!$X748="","-",'ORDENES'!$X748))</f>
        <v/>
      </c>
      <c r="E770" s="3">
        <f>IF('ORDENES'!$A748="","",IF('ORDENES'!$V748="","-",'ORDENES'!$V748))</f>
        <v/>
      </c>
      <c r="F770" s="3">
        <f>IF('ORDENES'!$A748="","",IF('ORDENES'!$Y748="","-",'ORDENES'!$Y748))</f>
        <v/>
      </c>
      <c r="G770" s="3">
        <f>IF('ORDENES'!$A748="","",IF('ORDENES'!$W748="","-",'ORDENES'!$W748))</f>
        <v/>
      </c>
      <c r="H770" s="3">
        <f>IF('ORDENES'!$A748="","",IF('ORDENES'!$AE748="","-",'ORDENES'!$AE748))</f>
        <v/>
      </c>
      <c r="I770" s="3">
        <f>IF('ORDENES'!$A748="","",IF('ORDENES'!$AQ748="","-",'ORDENES'!$AQ748))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IF('ORDENES'!$A748="","",'ORDENES'!$AD748)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IF('ORDENES'!$A749="","",IF('ORDENES'!$AF749="","-",'ORDENES'!$AF749))</f>
        <v/>
      </c>
      <c r="D771" s="3">
        <f>IF('ORDENES'!$A749="","",IF('ORDENES'!$X749="","-",'ORDENES'!$X749))</f>
        <v/>
      </c>
      <c r="E771" s="3">
        <f>IF('ORDENES'!$A749="","",IF('ORDENES'!$V749="","-",'ORDENES'!$V749))</f>
        <v/>
      </c>
      <c r="F771" s="3">
        <f>IF('ORDENES'!$A749="","",IF('ORDENES'!$Y749="","-",'ORDENES'!$Y749))</f>
        <v/>
      </c>
      <c r="G771" s="3">
        <f>IF('ORDENES'!$A749="","",IF('ORDENES'!$W749="","-",'ORDENES'!$W749))</f>
        <v/>
      </c>
      <c r="H771" s="3">
        <f>IF('ORDENES'!$A749="","",IF('ORDENES'!$AE749="","-",'ORDENES'!$AE749))</f>
        <v/>
      </c>
      <c r="I771" s="3">
        <f>IF('ORDENES'!$A749="","",IF('ORDENES'!$AQ749="","-",'ORDENES'!$AQ749))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IF('ORDENES'!$A749="","",'ORDENES'!$AD749)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IF('ORDENES'!$A750="","",IF('ORDENES'!$AF750="","-",'ORDENES'!$AF750))</f>
        <v/>
      </c>
      <c r="D772" s="3">
        <f>IF('ORDENES'!$A750="","",IF('ORDENES'!$X750="","-",'ORDENES'!$X750))</f>
        <v/>
      </c>
      <c r="E772" s="3">
        <f>IF('ORDENES'!$A750="","",IF('ORDENES'!$V750="","-",'ORDENES'!$V750))</f>
        <v/>
      </c>
      <c r="F772" s="3">
        <f>IF('ORDENES'!$A750="","",IF('ORDENES'!$Y750="","-",'ORDENES'!$Y750))</f>
        <v/>
      </c>
      <c r="G772" s="3">
        <f>IF('ORDENES'!$A750="","",IF('ORDENES'!$W750="","-",'ORDENES'!$W750))</f>
        <v/>
      </c>
      <c r="H772" s="3">
        <f>IF('ORDENES'!$A750="","",IF('ORDENES'!$AE750="","-",'ORDENES'!$AE750))</f>
        <v/>
      </c>
      <c r="I772" s="3">
        <f>IF('ORDENES'!$A750="","",IF('ORDENES'!$AQ750="","-",'ORDENES'!$AQ750))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IF('ORDENES'!$A750="","",'ORDENES'!$AD750)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IF('ORDENES'!$A751="","",IF('ORDENES'!$AF751="","-",'ORDENES'!$AF751))</f>
        <v/>
      </c>
      <c r="D773" s="3">
        <f>IF('ORDENES'!$A751="","",IF('ORDENES'!$X751="","-",'ORDENES'!$X751))</f>
        <v/>
      </c>
      <c r="E773" s="3">
        <f>IF('ORDENES'!$A751="","",IF('ORDENES'!$V751="","-",'ORDENES'!$V751))</f>
        <v/>
      </c>
      <c r="F773" s="3">
        <f>IF('ORDENES'!$A751="","",IF('ORDENES'!$Y751="","-",'ORDENES'!$Y751))</f>
        <v/>
      </c>
      <c r="G773" s="3">
        <f>IF('ORDENES'!$A751="","",IF('ORDENES'!$W751="","-",'ORDENES'!$W751))</f>
        <v/>
      </c>
      <c r="H773" s="3">
        <f>IF('ORDENES'!$A751="","",IF('ORDENES'!$AE751="","-",'ORDENES'!$AE751))</f>
        <v/>
      </c>
      <c r="I773" s="3">
        <f>IF('ORDENES'!$A751="","",IF('ORDENES'!$AQ751="","-",'ORDENES'!$AQ751))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IF('ORDENES'!$A751="","",'ORDENES'!$AD751)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IF('ORDENES'!$A752="","",IF('ORDENES'!$AF752="","-",'ORDENES'!$AF752))</f>
        <v/>
      </c>
      <c r="D774" s="3">
        <f>IF('ORDENES'!$A752="","",IF('ORDENES'!$X752="","-",'ORDENES'!$X752))</f>
        <v/>
      </c>
      <c r="E774" s="3">
        <f>IF('ORDENES'!$A752="","",IF('ORDENES'!$V752="","-",'ORDENES'!$V752))</f>
        <v/>
      </c>
      <c r="F774" s="3">
        <f>IF('ORDENES'!$A752="","",IF('ORDENES'!$Y752="","-",'ORDENES'!$Y752))</f>
        <v/>
      </c>
      <c r="G774" s="3">
        <f>IF('ORDENES'!$A752="","",IF('ORDENES'!$W752="","-",'ORDENES'!$W752))</f>
        <v/>
      </c>
      <c r="H774" s="3">
        <f>IF('ORDENES'!$A752="","",IF('ORDENES'!$AE752="","-",'ORDENES'!$AE752))</f>
        <v/>
      </c>
      <c r="I774" s="3">
        <f>IF('ORDENES'!$A752="","",IF('ORDENES'!$AQ752="","-",'ORDENES'!$AQ752))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IF('ORDENES'!$A752="","",'ORDENES'!$AD752)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IF('ORDENES'!$A753="","",IF('ORDENES'!$AF753="","-",'ORDENES'!$AF753))</f>
        <v/>
      </c>
      <c r="D775" s="3">
        <f>IF('ORDENES'!$A753="","",IF('ORDENES'!$X753="","-",'ORDENES'!$X753))</f>
        <v/>
      </c>
      <c r="E775" s="3">
        <f>IF('ORDENES'!$A753="","",IF('ORDENES'!$V753="","-",'ORDENES'!$V753))</f>
        <v/>
      </c>
      <c r="F775" s="3">
        <f>IF('ORDENES'!$A753="","",IF('ORDENES'!$Y753="","-",'ORDENES'!$Y753))</f>
        <v/>
      </c>
      <c r="G775" s="3">
        <f>IF('ORDENES'!$A753="","",IF('ORDENES'!$W753="","-",'ORDENES'!$W753))</f>
        <v/>
      </c>
      <c r="H775" s="3">
        <f>IF('ORDENES'!$A753="","",IF('ORDENES'!$AE753="","-",'ORDENES'!$AE753))</f>
        <v/>
      </c>
      <c r="I775" s="3">
        <f>IF('ORDENES'!$A753="","",IF('ORDENES'!$AQ753="","-",'ORDENES'!$AQ753))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IF('ORDENES'!$A753="","",'ORDENES'!$AD753)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IF('ORDENES'!$A754="","",IF('ORDENES'!$AF754="","-",'ORDENES'!$AF754))</f>
        <v/>
      </c>
      <c r="D776" s="3">
        <f>IF('ORDENES'!$A754="","",IF('ORDENES'!$X754="","-",'ORDENES'!$X754))</f>
        <v/>
      </c>
      <c r="E776" s="3">
        <f>IF('ORDENES'!$A754="","",IF('ORDENES'!$V754="","-",'ORDENES'!$V754))</f>
        <v/>
      </c>
      <c r="F776" s="3">
        <f>IF('ORDENES'!$A754="","",IF('ORDENES'!$Y754="","-",'ORDENES'!$Y754))</f>
        <v/>
      </c>
      <c r="G776" s="3">
        <f>IF('ORDENES'!$A754="","",IF('ORDENES'!$W754="","-",'ORDENES'!$W754))</f>
        <v/>
      </c>
      <c r="H776" s="3">
        <f>IF('ORDENES'!$A754="","",IF('ORDENES'!$AE754="","-",'ORDENES'!$AE754))</f>
        <v/>
      </c>
      <c r="I776" s="3">
        <f>IF('ORDENES'!$A754="","",IF('ORDENES'!$AQ754="","-",'ORDENES'!$AQ754))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IF('ORDENES'!$A754="","",'ORDENES'!$AD754)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IF('ORDENES'!$A755="","",IF('ORDENES'!$AF755="","-",'ORDENES'!$AF755))</f>
        <v/>
      </c>
      <c r="D777" s="3">
        <f>IF('ORDENES'!$A755="","",IF('ORDENES'!$X755="","-",'ORDENES'!$X755))</f>
        <v/>
      </c>
      <c r="E777" s="3">
        <f>IF('ORDENES'!$A755="","",IF('ORDENES'!$V755="","-",'ORDENES'!$V755))</f>
        <v/>
      </c>
      <c r="F777" s="3">
        <f>IF('ORDENES'!$A755="","",IF('ORDENES'!$Y755="","-",'ORDENES'!$Y755))</f>
        <v/>
      </c>
      <c r="G777" s="3">
        <f>IF('ORDENES'!$A755="","",IF('ORDENES'!$W755="","-",'ORDENES'!$W755))</f>
        <v/>
      </c>
      <c r="H777" s="3">
        <f>IF('ORDENES'!$A755="","",IF('ORDENES'!$AE755="","-",'ORDENES'!$AE755))</f>
        <v/>
      </c>
      <c r="I777" s="3">
        <f>IF('ORDENES'!$A755="","",IF('ORDENES'!$AQ755="","-",'ORDENES'!$AQ755))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IF('ORDENES'!$A755="","",'ORDENES'!$AD755)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IF('ORDENES'!$A756="","",IF('ORDENES'!$AF756="","-",'ORDENES'!$AF756))</f>
        <v/>
      </c>
      <c r="D778" s="3">
        <f>IF('ORDENES'!$A756="","",IF('ORDENES'!$X756="","-",'ORDENES'!$X756))</f>
        <v/>
      </c>
      <c r="E778" s="3">
        <f>IF('ORDENES'!$A756="","",IF('ORDENES'!$V756="","-",'ORDENES'!$V756))</f>
        <v/>
      </c>
      <c r="F778" s="3">
        <f>IF('ORDENES'!$A756="","",IF('ORDENES'!$Y756="","-",'ORDENES'!$Y756))</f>
        <v/>
      </c>
      <c r="G778" s="3">
        <f>IF('ORDENES'!$A756="","",IF('ORDENES'!$W756="","-",'ORDENES'!$W756))</f>
        <v/>
      </c>
      <c r="H778" s="3">
        <f>IF('ORDENES'!$A756="","",IF('ORDENES'!$AE756="","-",'ORDENES'!$AE756))</f>
        <v/>
      </c>
      <c r="I778" s="3">
        <f>IF('ORDENES'!$A756="","",IF('ORDENES'!$AQ756="","-",'ORDENES'!$AQ756))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IF('ORDENES'!$A756="","",'ORDENES'!$AD756)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IF('ORDENES'!$A757="","",IF('ORDENES'!$AF757="","-",'ORDENES'!$AF757))</f>
        <v/>
      </c>
      <c r="D779" s="3">
        <f>IF('ORDENES'!$A757="","",IF('ORDENES'!$X757="","-",'ORDENES'!$X757))</f>
        <v/>
      </c>
      <c r="E779" s="3">
        <f>IF('ORDENES'!$A757="","",IF('ORDENES'!$V757="","-",'ORDENES'!$V757))</f>
        <v/>
      </c>
      <c r="F779" s="3">
        <f>IF('ORDENES'!$A757="","",IF('ORDENES'!$Y757="","-",'ORDENES'!$Y757))</f>
        <v/>
      </c>
      <c r="G779" s="3">
        <f>IF('ORDENES'!$A757="","",IF('ORDENES'!$W757="","-",'ORDENES'!$W757))</f>
        <v/>
      </c>
      <c r="H779" s="3">
        <f>IF('ORDENES'!$A757="","",IF('ORDENES'!$AE757="","-",'ORDENES'!$AE757))</f>
        <v/>
      </c>
      <c r="I779" s="3">
        <f>IF('ORDENES'!$A757="","",IF('ORDENES'!$AQ757="","-",'ORDENES'!$AQ757))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IF('ORDENES'!$A757="","",'ORDENES'!$AD757)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IF('ORDENES'!$A758="","",IF('ORDENES'!$AF758="","-",'ORDENES'!$AF758))</f>
        <v/>
      </c>
      <c r="D780" s="3">
        <f>IF('ORDENES'!$A758="","",IF('ORDENES'!$X758="","-",'ORDENES'!$X758))</f>
        <v/>
      </c>
      <c r="E780" s="3">
        <f>IF('ORDENES'!$A758="","",IF('ORDENES'!$V758="","-",'ORDENES'!$V758))</f>
        <v/>
      </c>
      <c r="F780" s="3">
        <f>IF('ORDENES'!$A758="","",IF('ORDENES'!$Y758="","-",'ORDENES'!$Y758))</f>
        <v/>
      </c>
      <c r="G780" s="3">
        <f>IF('ORDENES'!$A758="","",IF('ORDENES'!$W758="","-",'ORDENES'!$W758))</f>
        <v/>
      </c>
      <c r="H780" s="3">
        <f>IF('ORDENES'!$A758="","",IF('ORDENES'!$AE758="","-",'ORDENES'!$AE758))</f>
        <v/>
      </c>
      <c r="I780" s="3">
        <f>IF('ORDENES'!$A758="","",IF('ORDENES'!$AQ758="","-",'ORDENES'!$AQ758))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IF('ORDENES'!$A758="","",'ORDENES'!$AD758)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IF('ORDENES'!$A759="","",IF('ORDENES'!$AF759="","-",'ORDENES'!$AF759))</f>
        <v/>
      </c>
      <c r="D781" s="3">
        <f>IF('ORDENES'!$A759="","",IF('ORDENES'!$X759="","-",'ORDENES'!$X759))</f>
        <v/>
      </c>
      <c r="E781" s="3">
        <f>IF('ORDENES'!$A759="","",IF('ORDENES'!$V759="","-",'ORDENES'!$V759))</f>
        <v/>
      </c>
      <c r="F781" s="3">
        <f>IF('ORDENES'!$A759="","",IF('ORDENES'!$Y759="","-",'ORDENES'!$Y759))</f>
        <v/>
      </c>
      <c r="G781" s="3">
        <f>IF('ORDENES'!$A759="","",IF('ORDENES'!$W759="","-",'ORDENES'!$W759))</f>
        <v/>
      </c>
      <c r="H781" s="3">
        <f>IF('ORDENES'!$A759="","",IF('ORDENES'!$AE759="","-",'ORDENES'!$AE759))</f>
        <v/>
      </c>
      <c r="I781" s="3">
        <f>IF('ORDENES'!$A759="","",IF('ORDENES'!$AQ759="","-",'ORDENES'!$AQ759))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IF('ORDENES'!$A759="","",'ORDENES'!$AD759)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IF('ORDENES'!$A760="","",IF('ORDENES'!$AF760="","-",'ORDENES'!$AF760))</f>
        <v/>
      </c>
      <c r="D782" s="3">
        <f>IF('ORDENES'!$A760="","",IF('ORDENES'!$X760="","-",'ORDENES'!$X760))</f>
        <v/>
      </c>
      <c r="E782" s="3">
        <f>IF('ORDENES'!$A760="","",IF('ORDENES'!$V760="","-",'ORDENES'!$V760))</f>
        <v/>
      </c>
      <c r="F782" s="3">
        <f>IF('ORDENES'!$A760="","",IF('ORDENES'!$Y760="","-",'ORDENES'!$Y760))</f>
        <v/>
      </c>
      <c r="G782" s="3">
        <f>IF('ORDENES'!$A760="","",IF('ORDENES'!$W760="","-",'ORDENES'!$W760))</f>
        <v/>
      </c>
      <c r="H782" s="3">
        <f>IF('ORDENES'!$A760="","",IF('ORDENES'!$AE760="","-",'ORDENES'!$AE760))</f>
        <v/>
      </c>
      <c r="I782" s="3">
        <f>IF('ORDENES'!$A760="","",IF('ORDENES'!$AQ760="","-",'ORDENES'!$AQ760))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IF('ORDENES'!$A760="","",'ORDENES'!$AD760)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IF('ORDENES'!$A761="","",IF('ORDENES'!$AF761="","-",'ORDENES'!$AF761))</f>
        <v/>
      </c>
      <c r="D783" s="3">
        <f>IF('ORDENES'!$A761="","",IF('ORDENES'!$X761="","-",'ORDENES'!$X761))</f>
        <v/>
      </c>
      <c r="E783" s="3">
        <f>IF('ORDENES'!$A761="","",IF('ORDENES'!$V761="","-",'ORDENES'!$V761))</f>
        <v/>
      </c>
      <c r="F783" s="3">
        <f>IF('ORDENES'!$A761="","",IF('ORDENES'!$Y761="","-",'ORDENES'!$Y761))</f>
        <v/>
      </c>
      <c r="G783" s="3">
        <f>IF('ORDENES'!$A761="","",IF('ORDENES'!$W761="","-",'ORDENES'!$W761))</f>
        <v/>
      </c>
      <c r="H783" s="3">
        <f>IF('ORDENES'!$A761="","",IF('ORDENES'!$AE761="","-",'ORDENES'!$AE761))</f>
        <v/>
      </c>
      <c r="I783" s="3">
        <f>IF('ORDENES'!$A761="","",IF('ORDENES'!$AQ761="","-",'ORDENES'!$AQ761))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IF('ORDENES'!$A761="","",'ORDENES'!$AD761)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IF('ORDENES'!$A762="","",IF('ORDENES'!$AF762="","-",'ORDENES'!$AF762))</f>
        <v/>
      </c>
      <c r="D784" s="3">
        <f>IF('ORDENES'!$A762="","",IF('ORDENES'!$X762="","-",'ORDENES'!$X762))</f>
        <v/>
      </c>
      <c r="E784" s="3">
        <f>IF('ORDENES'!$A762="","",IF('ORDENES'!$V762="","-",'ORDENES'!$V762))</f>
        <v/>
      </c>
      <c r="F784" s="3">
        <f>IF('ORDENES'!$A762="","",IF('ORDENES'!$Y762="","-",'ORDENES'!$Y762))</f>
        <v/>
      </c>
      <c r="G784" s="3">
        <f>IF('ORDENES'!$A762="","",IF('ORDENES'!$W762="","-",'ORDENES'!$W762))</f>
        <v/>
      </c>
      <c r="H784" s="3">
        <f>IF('ORDENES'!$A762="","",IF('ORDENES'!$AE762="","-",'ORDENES'!$AE762))</f>
        <v/>
      </c>
      <c r="I784" s="3">
        <f>IF('ORDENES'!$A762="","",IF('ORDENES'!$AQ762="","-",'ORDENES'!$AQ762))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IF('ORDENES'!$A762="","",'ORDENES'!$AD762)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IF('ORDENES'!$A763="","",IF('ORDENES'!$AF763="","-",'ORDENES'!$AF763))</f>
        <v/>
      </c>
      <c r="D785" s="3">
        <f>IF('ORDENES'!$A763="","",IF('ORDENES'!$X763="","-",'ORDENES'!$X763))</f>
        <v/>
      </c>
      <c r="E785" s="3">
        <f>IF('ORDENES'!$A763="","",IF('ORDENES'!$V763="","-",'ORDENES'!$V763))</f>
        <v/>
      </c>
      <c r="F785" s="3">
        <f>IF('ORDENES'!$A763="","",IF('ORDENES'!$Y763="","-",'ORDENES'!$Y763))</f>
        <v/>
      </c>
      <c r="G785" s="3">
        <f>IF('ORDENES'!$A763="","",IF('ORDENES'!$W763="","-",'ORDENES'!$W763))</f>
        <v/>
      </c>
      <c r="H785" s="3">
        <f>IF('ORDENES'!$A763="","",IF('ORDENES'!$AE763="","-",'ORDENES'!$AE763))</f>
        <v/>
      </c>
      <c r="I785" s="3">
        <f>IF('ORDENES'!$A763="","",IF('ORDENES'!$AQ763="","-",'ORDENES'!$AQ763))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IF('ORDENES'!$A763="","",'ORDENES'!$AD763)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IF('ORDENES'!$A764="","",IF('ORDENES'!$AF764="","-",'ORDENES'!$AF764))</f>
        <v/>
      </c>
      <c r="D786" s="3">
        <f>IF('ORDENES'!$A764="","",IF('ORDENES'!$X764="","-",'ORDENES'!$X764))</f>
        <v/>
      </c>
      <c r="E786" s="3">
        <f>IF('ORDENES'!$A764="","",IF('ORDENES'!$V764="","-",'ORDENES'!$V764))</f>
        <v/>
      </c>
      <c r="F786" s="3">
        <f>IF('ORDENES'!$A764="","",IF('ORDENES'!$Y764="","-",'ORDENES'!$Y764))</f>
        <v/>
      </c>
      <c r="G786" s="3">
        <f>IF('ORDENES'!$A764="","",IF('ORDENES'!$W764="","-",'ORDENES'!$W764))</f>
        <v/>
      </c>
      <c r="H786" s="3">
        <f>IF('ORDENES'!$A764="","",IF('ORDENES'!$AE764="","-",'ORDENES'!$AE764))</f>
        <v/>
      </c>
      <c r="I786" s="3">
        <f>IF('ORDENES'!$A764="","",IF('ORDENES'!$AQ764="","-",'ORDENES'!$AQ764))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IF('ORDENES'!$A764="","",'ORDENES'!$AD764)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IF('ORDENES'!$A765="","",IF('ORDENES'!$AF765="","-",'ORDENES'!$AF765))</f>
        <v/>
      </c>
      <c r="D787" s="3">
        <f>IF('ORDENES'!$A765="","",IF('ORDENES'!$X765="","-",'ORDENES'!$X765))</f>
        <v/>
      </c>
      <c r="E787" s="3">
        <f>IF('ORDENES'!$A765="","",IF('ORDENES'!$V765="","-",'ORDENES'!$V765))</f>
        <v/>
      </c>
      <c r="F787" s="3">
        <f>IF('ORDENES'!$A765="","",IF('ORDENES'!$Y765="","-",'ORDENES'!$Y765))</f>
        <v/>
      </c>
      <c r="G787" s="3">
        <f>IF('ORDENES'!$A765="","",IF('ORDENES'!$W765="","-",'ORDENES'!$W765))</f>
        <v/>
      </c>
      <c r="H787" s="3">
        <f>IF('ORDENES'!$A765="","",IF('ORDENES'!$AE765="","-",'ORDENES'!$AE765))</f>
        <v/>
      </c>
      <c r="I787" s="3">
        <f>IF('ORDENES'!$A765="","",IF('ORDENES'!$AQ765="","-",'ORDENES'!$AQ765))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IF('ORDENES'!$A765="","",'ORDENES'!$AD765)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IF('ORDENES'!$A766="","",IF('ORDENES'!$AF766="","-",'ORDENES'!$AF766))</f>
        <v/>
      </c>
      <c r="D788" s="3">
        <f>IF('ORDENES'!$A766="","",IF('ORDENES'!$X766="","-",'ORDENES'!$X766))</f>
        <v/>
      </c>
      <c r="E788" s="3">
        <f>IF('ORDENES'!$A766="","",IF('ORDENES'!$V766="","-",'ORDENES'!$V766))</f>
        <v/>
      </c>
      <c r="F788" s="3">
        <f>IF('ORDENES'!$A766="","",IF('ORDENES'!$Y766="","-",'ORDENES'!$Y766))</f>
        <v/>
      </c>
      <c r="G788" s="3">
        <f>IF('ORDENES'!$A766="","",IF('ORDENES'!$W766="","-",'ORDENES'!$W766))</f>
        <v/>
      </c>
      <c r="H788" s="3">
        <f>IF('ORDENES'!$A766="","",IF('ORDENES'!$AE766="","-",'ORDENES'!$AE766))</f>
        <v/>
      </c>
      <c r="I788" s="3">
        <f>IF('ORDENES'!$A766="","",IF('ORDENES'!$AQ766="","-",'ORDENES'!$AQ766))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IF('ORDENES'!$A766="","",'ORDENES'!$AD766)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IF('ORDENES'!$A767="","",IF('ORDENES'!$AF767="","-",'ORDENES'!$AF767))</f>
        <v/>
      </c>
      <c r="D789" s="3">
        <f>IF('ORDENES'!$A767="","",IF('ORDENES'!$X767="","-",'ORDENES'!$X767))</f>
        <v/>
      </c>
      <c r="E789" s="3">
        <f>IF('ORDENES'!$A767="","",IF('ORDENES'!$V767="","-",'ORDENES'!$V767))</f>
        <v/>
      </c>
      <c r="F789" s="3">
        <f>IF('ORDENES'!$A767="","",IF('ORDENES'!$Y767="","-",'ORDENES'!$Y767))</f>
        <v/>
      </c>
      <c r="G789" s="3">
        <f>IF('ORDENES'!$A767="","",IF('ORDENES'!$W767="","-",'ORDENES'!$W767))</f>
        <v/>
      </c>
      <c r="H789" s="3">
        <f>IF('ORDENES'!$A767="","",IF('ORDENES'!$AE767="","-",'ORDENES'!$AE767))</f>
        <v/>
      </c>
      <c r="I789" s="3">
        <f>IF('ORDENES'!$A767="","",IF('ORDENES'!$AQ767="","-",'ORDENES'!$AQ767))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IF('ORDENES'!$A767="","",'ORDENES'!$AD767)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IF('ORDENES'!$A768="","",IF('ORDENES'!$AF768="","-",'ORDENES'!$AF768))</f>
        <v/>
      </c>
      <c r="D790" s="3">
        <f>IF('ORDENES'!$A768="","",IF('ORDENES'!$X768="","-",'ORDENES'!$X768))</f>
        <v/>
      </c>
      <c r="E790" s="3">
        <f>IF('ORDENES'!$A768="","",IF('ORDENES'!$V768="","-",'ORDENES'!$V768))</f>
        <v/>
      </c>
      <c r="F790" s="3">
        <f>IF('ORDENES'!$A768="","",IF('ORDENES'!$Y768="","-",'ORDENES'!$Y768))</f>
        <v/>
      </c>
      <c r="G790" s="3">
        <f>IF('ORDENES'!$A768="","",IF('ORDENES'!$W768="","-",'ORDENES'!$W768))</f>
        <v/>
      </c>
      <c r="H790" s="3">
        <f>IF('ORDENES'!$A768="","",IF('ORDENES'!$AE768="","-",'ORDENES'!$AE768))</f>
        <v/>
      </c>
      <c r="I790" s="3">
        <f>IF('ORDENES'!$A768="","",IF('ORDENES'!$AQ768="","-",'ORDENES'!$AQ768))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IF('ORDENES'!$A768="","",'ORDENES'!$AD768)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IF('ORDENES'!$A769="","",IF('ORDENES'!$AF769="","-",'ORDENES'!$AF769))</f>
        <v/>
      </c>
      <c r="D791" s="3">
        <f>IF('ORDENES'!$A769="","",IF('ORDENES'!$X769="","-",'ORDENES'!$X769))</f>
        <v/>
      </c>
      <c r="E791" s="3">
        <f>IF('ORDENES'!$A769="","",IF('ORDENES'!$V769="","-",'ORDENES'!$V769))</f>
        <v/>
      </c>
      <c r="F791" s="3">
        <f>IF('ORDENES'!$A769="","",IF('ORDENES'!$Y769="","-",'ORDENES'!$Y769))</f>
        <v/>
      </c>
      <c r="G791" s="3">
        <f>IF('ORDENES'!$A769="","",IF('ORDENES'!$W769="","-",'ORDENES'!$W769))</f>
        <v/>
      </c>
      <c r="H791" s="3">
        <f>IF('ORDENES'!$A769="","",IF('ORDENES'!$AE769="","-",'ORDENES'!$AE769))</f>
        <v/>
      </c>
      <c r="I791" s="3">
        <f>IF('ORDENES'!$A769="","",IF('ORDENES'!$AQ769="","-",'ORDENES'!$AQ769))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IF('ORDENES'!$A769="","",'ORDENES'!$AD769)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IF('ORDENES'!$A770="","",IF('ORDENES'!$AF770="","-",'ORDENES'!$AF770))</f>
        <v/>
      </c>
      <c r="D792" s="3">
        <f>IF('ORDENES'!$A770="","",IF('ORDENES'!$X770="","-",'ORDENES'!$X770))</f>
        <v/>
      </c>
      <c r="E792" s="3">
        <f>IF('ORDENES'!$A770="","",IF('ORDENES'!$V770="","-",'ORDENES'!$V770))</f>
        <v/>
      </c>
      <c r="F792" s="3">
        <f>IF('ORDENES'!$A770="","",IF('ORDENES'!$Y770="","-",'ORDENES'!$Y770))</f>
        <v/>
      </c>
      <c r="G792" s="3">
        <f>IF('ORDENES'!$A770="","",IF('ORDENES'!$W770="","-",'ORDENES'!$W770))</f>
        <v/>
      </c>
      <c r="H792" s="3">
        <f>IF('ORDENES'!$A770="","",IF('ORDENES'!$AE770="","-",'ORDENES'!$AE770))</f>
        <v/>
      </c>
      <c r="I792" s="3">
        <f>IF('ORDENES'!$A770="","",IF('ORDENES'!$AQ770="","-",'ORDENES'!$AQ770))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IF('ORDENES'!$A770="","",'ORDENES'!$AD770)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IF('ORDENES'!$A771="","",IF('ORDENES'!$AF771="","-",'ORDENES'!$AF771))</f>
        <v/>
      </c>
      <c r="D793" s="3">
        <f>IF('ORDENES'!$A771="","",IF('ORDENES'!$X771="","-",'ORDENES'!$X771))</f>
        <v/>
      </c>
      <c r="E793" s="3">
        <f>IF('ORDENES'!$A771="","",IF('ORDENES'!$V771="","-",'ORDENES'!$V771))</f>
        <v/>
      </c>
      <c r="F793" s="3">
        <f>IF('ORDENES'!$A771="","",IF('ORDENES'!$Y771="","-",'ORDENES'!$Y771))</f>
        <v/>
      </c>
      <c r="G793" s="3">
        <f>IF('ORDENES'!$A771="","",IF('ORDENES'!$W771="","-",'ORDENES'!$W771))</f>
        <v/>
      </c>
      <c r="H793" s="3">
        <f>IF('ORDENES'!$A771="","",IF('ORDENES'!$AE771="","-",'ORDENES'!$AE771))</f>
        <v/>
      </c>
      <c r="I793" s="3">
        <f>IF('ORDENES'!$A771="","",IF('ORDENES'!$AQ771="","-",'ORDENES'!$AQ771))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IF('ORDENES'!$A771="","",'ORDENES'!$AD771)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IF('ORDENES'!$A772="","",IF('ORDENES'!$AF772="","-",'ORDENES'!$AF772))</f>
        <v/>
      </c>
      <c r="D794" s="3">
        <f>IF('ORDENES'!$A772="","",IF('ORDENES'!$X772="","-",'ORDENES'!$X772))</f>
        <v/>
      </c>
      <c r="E794" s="3">
        <f>IF('ORDENES'!$A772="","",IF('ORDENES'!$V772="","-",'ORDENES'!$V772))</f>
        <v/>
      </c>
      <c r="F794" s="3">
        <f>IF('ORDENES'!$A772="","",IF('ORDENES'!$Y772="","-",'ORDENES'!$Y772))</f>
        <v/>
      </c>
      <c r="G794" s="3">
        <f>IF('ORDENES'!$A772="","",IF('ORDENES'!$W772="","-",'ORDENES'!$W772))</f>
        <v/>
      </c>
      <c r="H794" s="3">
        <f>IF('ORDENES'!$A772="","",IF('ORDENES'!$AE772="","-",'ORDENES'!$AE772))</f>
        <v/>
      </c>
      <c r="I794" s="3">
        <f>IF('ORDENES'!$A772="","",IF('ORDENES'!$AQ772="","-",'ORDENES'!$AQ772))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IF('ORDENES'!$A772="","",'ORDENES'!$AD772)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IF('ORDENES'!$A773="","",IF('ORDENES'!$AF773="","-",'ORDENES'!$AF773))</f>
        <v/>
      </c>
      <c r="D795" s="3">
        <f>IF('ORDENES'!$A773="","",IF('ORDENES'!$X773="","-",'ORDENES'!$X773))</f>
        <v/>
      </c>
      <c r="E795" s="3">
        <f>IF('ORDENES'!$A773="","",IF('ORDENES'!$V773="","-",'ORDENES'!$V773))</f>
        <v/>
      </c>
      <c r="F795" s="3">
        <f>IF('ORDENES'!$A773="","",IF('ORDENES'!$Y773="","-",'ORDENES'!$Y773))</f>
        <v/>
      </c>
      <c r="G795" s="3">
        <f>IF('ORDENES'!$A773="","",IF('ORDENES'!$W773="","-",'ORDENES'!$W773))</f>
        <v/>
      </c>
      <c r="H795" s="3">
        <f>IF('ORDENES'!$A773="","",IF('ORDENES'!$AE773="","-",'ORDENES'!$AE773))</f>
        <v/>
      </c>
      <c r="I795" s="3">
        <f>IF('ORDENES'!$A773="","",IF('ORDENES'!$AQ773="","-",'ORDENES'!$AQ773))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IF('ORDENES'!$A773="","",'ORDENES'!$AD773)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IF('ORDENES'!$A774="","",IF('ORDENES'!$AF774="","-",'ORDENES'!$AF774))</f>
        <v/>
      </c>
      <c r="D796" s="3">
        <f>IF('ORDENES'!$A774="","",IF('ORDENES'!$X774="","-",'ORDENES'!$X774))</f>
        <v/>
      </c>
      <c r="E796" s="3">
        <f>IF('ORDENES'!$A774="","",IF('ORDENES'!$V774="","-",'ORDENES'!$V774))</f>
        <v/>
      </c>
      <c r="F796" s="3">
        <f>IF('ORDENES'!$A774="","",IF('ORDENES'!$Y774="","-",'ORDENES'!$Y774))</f>
        <v/>
      </c>
      <c r="G796" s="3">
        <f>IF('ORDENES'!$A774="","",IF('ORDENES'!$W774="","-",'ORDENES'!$W774))</f>
        <v/>
      </c>
      <c r="H796" s="3">
        <f>IF('ORDENES'!$A774="","",IF('ORDENES'!$AE774="","-",'ORDENES'!$AE774))</f>
        <v/>
      </c>
      <c r="I796" s="3">
        <f>IF('ORDENES'!$A774="","",IF('ORDENES'!$AQ774="","-",'ORDENES'!$AQ774))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IF('ORDENES'!$A774="","",'ORDENES'!$AD774)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IF('ORDENES'!$A775="","",IF('ORDENES'!$AF775="","-",'ORDENES'!$AF775))</f>
        <v/>
      </c>
      <c r="D797" s="3">
        <f>IF('ORDENES'!$A775="","",IF('ORDENES'!$X775="","-",'ORDENES'!$X775))</f>
        <v/>
      </c>
      <c r="E797" s="3">
        <f>IF('ORDENES'!$A775="","",IF('ORDENES'!$V775="","-",'ORDENES'!$V775))</f>
        <v/>
      </c>
      <c r="F797" s="3">
        <f>IF('ORDENES'!$A775="","",IF('ORDENES'!$Y775="","-",'ORDENES'!$Y775))</f>
        <v/>
      </c>
      <c r="G797" s="3">
        <f>IF('ORDENES'!$A775="","",IF('ORDENES'!$W775="","-",'ORDENES'!$W775))</f>
        <v/>
      </c>
      <c r="H797" s="3">
        <f>IF('ORDENES'!$A775="","",IF('ORDENES'!$AE775="","-",'ORDENES'!$AE775))</f>
        <v/>
      </c>
      <c r="I797" s="3">
        <f>IF('ORDENES'!$A775="","",IF('ORDENES'!$AQ775="","-",'ORDENES'!$AQ775))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IF('ORDENES'!$A775="","",'ORDENES'!$AD775)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IF('ORDENES'!$A776="","",IF('ORDENES'!$AF776="","-",'ORDENES'!$AF776))</f>
        <v/>
      </c>
      <c r="D798" s="3">
        <f>IF('ORDENES'!$A776="","",IF('ORDENES'!$X776="","-",'ORDENES'!$X776))</f>
        <v/>
      </c>
      <c r="E798" s="3">
        <f>IF('ORDENES'!$A776="","",IF('ORDENES'!$V776="","-",'ORDENES'!$V776))</f>
        <v/>
      </c>
      <c r="F798" s="3">
        <f>IF('ORDENES'!$A776="","",IF('ORDENES'!$Y776="","-",'ORDENES'!$Y776))</f>
        <v/>
      </c>
      <c r="G798" s="3">
        <f>IF('ORDENES'!$A776="","",IF('ORDENES'!$W776="","-",'ORDENES'!$W776))</f>
        <v/>
      </c>
      <c r="H798" s="3">
        <f>IF('ORDENES'!$A776="","",IF('ORDENES'!$AE776="","-",'ORDENES'!$AE776))</f>
        <v/>
      </c>
      <c r="I798" s="3">
        <f>IF('ORDENES'!$A776="","",IF('ORDENES'!$AQ776="","-",'ORDENES'!$AQ776))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IF('ORDENES'!$A776="","",'ORDENES'!$AD776)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IF('ORDENES'!$A777="","",IF('ORDENES'!$AF777="","-",'ORDENES'!$AF777))</f>
        <v/>
      </c>
      <c r="D799" s="3">
        <f>IF('ORDENES'!$A777="","",IF('ORDENES'!$X777="","-",'ORDENES'!$X777))</f>
        <v/>
      </c>
      <c r="E799" s="3">
        <f>IF('ORDENES'!$A777="","",IF('ORDENES'!$V777="","-",'ORDENES'!$V777))</f>
        <v/>
      </c>
      <c r="F799" s="3">
        <f>IF('ORDENES'!$A777="","",IF('ORDENES'!$Y777="","-",'ORDENES'!$Y777))</f>
        <v/>
      </c>
      <c r="G799" s="3">
        <f>IF('ORDENES'!$A777="","",IF('ORDENES'!$W777="","-",'ORDENES'!$W777))</f>
        <v/>
      </c>
      <c r="H799" s="3">
        <f>IF('ORDENES'!$A777="","",IF('ORDENES'!$AE777="","-",'ORDENES'!$AE777))</f>
        <v/>
      </c>
      <c r="I799" s="3">
        <f>IF('ORDENES'!$A777="","",IF('ORDENES'!$AQ777="","-",'ORDENES'!$AQ777))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IF('ORDENES'!$A777="","",'ORDENES'!$AD777)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IF('ORDENES'!$A778="","",IF('ORDENES'!$AF778="","-",'ORDENES'!$AF778))</f>
        <v/>
      </c>
      <c r="D800" s="3">
        <f>IF('ORDENES'!$A778="","",IF('ORDENES'!$X778="","-",'ORDENES'!$X778))</f>
        <v/>
      </c>
      <c r="E800" s="3">
        <f>IF('ORDENES'!$A778="","",IF('ORDENES'!$V778="","-",'ORDENES'!$V778))</f>
        <v/>
      </c>
      <c r="F800" s="3">
        <f>IF('ORDENES'!$A778="","",IF('ORDENES'!$Y778="","-",'ORDENES'!$Y778))</f>
        <v/>
      </c>
      <c r="G800" s="3">
        <f>IF('ORDENES'!$A778="","",IF('ORDENES'!$W778="","-",'ORDENES'!$W778))</f>
        <v/>
      </c>
      <c r="H800" s="3">
        <f>IF('ORDENES'!$A778="","",IF('ORDENES'!$AE778="","-",'ORDENES'!$AE778))</f>
        <v/>
      </c>
      <c r="I800" s="3">
        <f>IF('ORDENES'!$A778="","",IF('ORDENES'!$AQ778="","-",'ORDENES'!$AQ778))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IF('ORDENES'!$A778="","",'ORDENES'!$AD778)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IF('ORDENES'!$A779="","",IF('ORDENES'!$AF779="","-",'ORDENES'!$AF779))</f>
        <v/>
      </c>
      <c r="D801" s="3">
        <f>IF('ORDENES'!$A779="","",IF('ORDENES'!$X779="","-",'ORDENES'!$X779))</f>
        <v/>
      </c>
      <c r="E801" s="3">
        <f>IF('ORDENES'!$A779="","",IF('ORDENES'!$V779="","-",'ORDENES'!$V779))</f>
        <v/>
      </c>
      <c r="F801" s="3">
        <f>IF('ORDENES'!$A779="","",IF('ORDENES'!$Y779="","-",'ORDENES'!$Y779))</f>
        <v/>
      </c>
      <c r="G801" s="3">
        <f>IF('ORDENES'!$A779="","",IF('ORDENES'!$W779="","-",'ORDENES'!$W779))</f>
        <v/>
      </c>
      <c r="H801" s="3">
        <f>IF('ORDENES'!$A779="","",IF('ORDENES'!$AE779="","-",'ORDENES'!$AE779))</f>
        <v/>
      </c>
      <c r="I801" s="3">
        <f>IF('ORDENES'!$A779="","",IF('ORDENES'!$AQ779="","-",'ORDENES'!$AQ779))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IF('ORDENES'!$A779="","",'ORDENES'!$AD779)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IF('ORDENES'!$A780="","",IF('ORDENES'!$AF780="","-",'ORDENES'!$AF780))</f>
        <v/>
      </c>
      <c r="D802" s="3">
        <f>IF('ORDENES'!$A780="","",IF('ORDENES'!$X780="","-",'ORDENES'!$X780))</f>
        <v/>
      </c>
      <c r="E802" s="3">
        <f>IF('ORDENES'!$A780="","",IF('ORDENES'!$V780="","-",'ORDENES'!$V780))</f>
        <v/>
      </c>
      <c r="F802" s="3">
        <f>IF('ORDENES'!$A780="","",IF('ORDENES'!$Y780="","-",'ORDENES'!$Y780))</f>
        <v/>
      </c>
      <c r="G802" s="3">
        <f>IF('ORDENES'!$A780="","",IF('ORDENES'!$W780="","-",'ORDENES'!$W780))</f>
        <v/>
      </c>
      <c r="H802" s="3">
        <f>IF('ORDENES'!$A780="","",IF('ORDENES'!$AE780="","-",'ORDENES'!$AE780))</f>
        <v/>
      </c>
      <c r="I802" s="3">
        <f>IF('ORDENES'!$A780="","",IF('ORDENES'!$AQ780="","-",'ORDENES'!$AQ780))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IF('ORDENES'!$A780="","",'ORDENES'!$AD780)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IF('ORDENES'!$A781="","",IF('ORDENES'!$AF781="","-",'ORDENES'!$AF781))</f>
        <v/>
      </c>
      <c r="D803" s="3">
        <f>IF('ORDENES'!$A781="","",IF('ORDENES'!$X781="","-",'ORDENES'!$X781))</f>
        <v/>
      </c>
      <c r="E803" s="3">
        <f>IF('ORDENES'!$A781="","",IF('ORDENES'!$V781="","-",'ORDENES'!$V781))</f>
        <v/>
      </c>
      <c r="F803" s="3">
        <f>IF('ORDENES'!$A781="","",IF('ORDENES'!$Y781="","-",'ORDENES'!$Y781))</f>
        <v/>
      </c>
      <c r="G803" s="3">
        <f>IF('ORDENES'!$A781="","",IF('ORDENES'!$W781="","-",'ORDENES'!$W781))</f>
        <v/>
      </c>
      <c r="H803" s="3">
        <f>IF('ORDENES'!$A781="","",IF('ORDENES'!$AE781="","-",'ORDENES'!$AE781))</f>
        <v/>
      </c>
      <c r="I803" s="3">
        <f>IF('ORDENES'!$A781="","",IF('ORDENES'!$AQ781="","-",'ORDENES'!$AQ781))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IF('ORDENES'!$A781="","",'ORDENES'!$AD781)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IF('ORDENES'!$A782="","",IF('ORDENES'!$AF782="","-",'ORDENES'!$AF782))</f>
        <v/>
      </c>
      <c r="D804" s="3">
        <f>IF('ORDENES'!$A782="","",IF('ORDENES'!$X782="","-",'ORDENES'!$X782))</f>
        <v/>
      </c>
      <c r="E804" s="3">
        <f>IF('ORDENES'!$A782="","",IF('ORDENES'!$V782="","-",'ORDENES'!$V782))</f>
        <v/>
      </c>
      <c r="F804" s="3">
        <f>IF('ORDENES'!$A782="","",IF('ORDENES'!$Y782="","-",'ORDENES'!$Y782))</f>
        <v/>
      </c>
      <c r="G804" s="3">
        <f>IF('ORDENES'!$A782="","",IF('ORDENES'!$W782="","-",'ORDENES'!$W782))</f>
        <v/>
      </c>
      <c r="H804" s="3">
        <f>IF('ORDENES'!$A782="","",IF('ORDENES'!$AE782="","-",'ORDENES'!$AE782))</f>
        <v/>
      </c>
      <c r="I804" s="3">
        <f>IF('ORDENES'!$A782="","",IF('ORDENES'!$AQ782="","-",'ORDENES'!$AQ782))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IF('ORDENES'!$A782="","",'ORDENES'!$AD782)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IF('ORDENES'!$A783="","",IF('ORDENES'!$AF783="","-",'ORDENES'!$AF783))</f>
        <v/>
      </c>
      <c r="D805" s="3">
        <f>IF('ORDENES'!$A783="","",IF('ORDENES'!$X783="","-",'ORDENES'!$X783))</f>
        <v/>
      </c>
      <c r="E805" s="3">
        <f>IF('ORDENES'!$A783="","",IF('ORDENES'!$V783="","-",'ORDENES'!$V783))</f>
        <v/>
      </c>
      <c r="F805" s="3">
        <f>IF('ORDENES'!$A783="","",IF('ORDENES'!$Y783="","-",'ORDENES'!$Y783))</f>
        <v/>
      </c>
      <c r="G805" s="3">
        <f>IF('ORDENES'!$A783="","",IF('ORDENES'!$W783="","-",'ORDENES'!$W783))</f>
        <v/>
      </c>
      <c r="H805" s="3">
        <f>IF('ORDENES'!$A783="","",IF('ORDENES'!$AE783="","-",'ORDENES'!$AE783))</f>
        <v/>
      </c>
      <c r="I805" s="3">
        <f>IF('ORDENES'!$A783="","",IF('ORDENES'!$AQ783="","-",'ORDENES'!$AQ783))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IF('ORDENES'!$A783="","",'ORDENES'!$AD783)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IF('ORDENES'!$A784="","",IF('ORDENES'!$AF784="","-",'ORDENES'!$AF784))</f>
        <v/>
      </c>
      <c r="D806" s="3">
        <f>IF('ORDENES'!$A784="","",IF('ORDENES'!$X784="","-",'ORDENES'!$X784))</f>
        <v/>
      </c>
      <c r="E806" s="3">
        <f>IF('ORDENES'!$A784="","",IF('ORDENES'!$V784="","-",'ORDENES'!$V784))</f>
        <v/>
      </c>
      <c r="F806" s="3">
        <f>IF('ORDENES'!$A784="","",IF('ORDENES'!$Y784="","-",'ORDENES'!$Y784))</f>
        <v/>
      </c>
      <c r="G806" s="3">
        <f>IF('ORDENES'!$A784="","",IF('ORDENES'!$W784="","-",'ORDENES'!$W784))</f>
        <v/>
      </c>
      <c r="H806" s="3">
        <f>IF('ORDENES'!$A784="","",IF('ORDENES'!$AE784="","-",'ORDENES'!$AE784))</f>
        <v/>
      </c>
      <c r="I806" s="3">
        <f>IF('ORDENES'!$A784="","",IF('ORDENES'!$AQ784="","-",'ORDENES'!$AQ784))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IF('ORDENES'!$A784="","",'ORDENES'!$AD784)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IF('ORDENES'!$A785="","",IF('ORDENES'!$AF785="","-",'ORDENES'!$AF785))</f>
        <v/>
      </c>
      <c r="D807" s="3">
        <f>IF('ORDENES'!$A785="","",IF('ORDENES'!$X785="","-",'ORDENES'!$X785))</f>
        <v/>
      </c>
      <c r="E807" s="3">
        <f>IF('ORDENES'!$A785="","",IF('ORDENES'!$V785="","-",'ORDENES'!$V785))</f>
        <v/>
      </c>
      <c r="F807" s="3">
        <f>IF('ORDENES'!$A785="","",IF('ORDENES'!$Y785="","-",'ORDENES'!$Y785))</f>
        <v/>
      </c>
      <c r="G807" s="3">
        <f>IF('ORDENES'!$A785="","",IF('ORDENES'!$W785="","-",'ORDENES'!$W785))</f>
        <v/>
      </c>
      <c r="H807" s="3">
        <f>IF('ORDENES'!$A785="","",IF('ORDENES'!$AE785="","-",'ORDENES'!$AE785))</f>
        <v/>
      </c>
      <c r="I807" s="3">
        <f>IF('ORDENES'!$A785="","",IF('ORDENES'!$AQ785="","-",'ORDENES'!$AQ785))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IF('ORDENES'!$A785="","",'ORDENES'!$AD785)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IF('ORDENES'!$A786="","",IF('ORDENES'!$AF786="","-",'ORDENES'!$AF786))</f>
        <v/>
      </c>
      <c r="D808" s="3">
        <f>IF('ORDENES'!$A786="","",IF('ORDENES'!$X786="","-",'ORDENES'!$X786))</f>
        <v/>
      </c>
      <c r="E808" s="3">
        <f>IF('ORDENES'!$A786="","",IF('ORDENES'!$V786="","-",'ORDENES'!$V786))</f>
        <v/>
      </c>
      <c r="F808" s="3">
        <f>IF('ORDENES'!$A786="","",IF('ORDENES'!$Y786="","-",'ORDENES'!$Y786))</f>
        <v/>
      </c>
      <c r="G808" s="3">
        <f>IF('ORDENES'!$A786="","",IF('ORDENES'!$W786="","-",'ORDENES'!$W786))</f>
        <v/>
      </c>
      <c r="H808" s="3">
        <f>IF('ORDENES'!$A786="","",IF('ORDENES'!$AE786="","-",'ORDENES'!$AE786))</f>
        <v/>
      </c>
      <c r="I808" s="3">
        <f>IF('ORDENES'!$A786="","",IF('ORDENES'!$AQ786="","-",'ORDENES'!$AQ786))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IF('ORDENES'!$A786="","",'ORDENES'!$AD786)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IF('ORDENES'!$A787="","",IF('ORDENES'!$AF787="","-",'ORDENES'!$AF787))</f>
        <v/>
      </c>
      <c r="D809" s="3">
        <f>IF('ORDENES'!$A787="","",IF('ORDENES'!$X787="","-",'ORDENES'!$X787))</f>
        <v/>
      </c>
      <c r="E809" s="3">
        <f>IF('ORDENES'!$A787="","",IF('ORDENES'!$V787="","-",'ORDENES'!$V787))</f>
        <v/>
      </c>
      <c r="F809" s="3">
        <f>IF('ORDENES'!$A787="","",IF('ORDENES'!$Y787="","-",'ORDENES'!$Y787))</f>
        <v/>
      </c>
      <c r="G809" s="3">
        <f>IF('ORDENES'!$A787="","",IF('ORDENES'!$W787="","-",'ORDENES'!$W787))</f>
        <v/>
      </c>
      <c r="H809" s="3">
        <f>IF('ORDENES'!$A787="","",IF('ORDENES'!$AE787="","-",'ORDENES'!$AE787))</f>
        <v/>
      </c>
      <c r="I809" s="3">
        <f>IF('ORDENES'!$A787="","",IF('ORDENES'!$AQ787="","-",'ORDENES'!$AQ787))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IF('ORDENES'!$A787="","",'ORDENES'!$AD787)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IF('ORDENES'!$A788="","",IF('ORDENES'!$AF788="","-",'ORDENES'!$AF788))</f>
        <v/>
      </c>
      <c r="D810" s="3">
        <f>IF('ORDENES'!$A788="","",IF('ORDENES'!$X788="","-",'ORDENES'!$X788))</f>
        <v/>
      </c>
      <c r="E810" s="3">
        <f>IF('ORDENES'!$A788="","",IF('ORDENES'!$V788="","-",'ORDENES'!$V788))</f>
        <v/>
      </c>
      <c r="F810" s="3">
        <f>IF('ORDENES'!$A788="","",IF('ORDENES'!$Y788="","-",'ORDENES'!$Y788))</f>
        <v/>
      </c>
      <c r="G810" s="3">
        <f>IF('ORDENES'!$A788="","",IF('ORDENES'!$W788="","-",'ORDENES'!$W788))</f>
        <v/>
      </c>
      <c r="H810" s="3">
        <f>IF('ORDENES'!$A788="","",IF('ORDENES'!$AE788="","-",'ORDENES'!$AE788))</f>
        <v/>
      </c>
      <c r="I810" s="3">
        <f>IF('ORDENES'!$A788="","",IF('ORDENES'!$AQ788="","-",'ORDENES'!$AQ788))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IF('ORDENES'!$A788="","",'ORDENES'!$AD788)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IF('ORDENES'!$A789="","",IF('ORDENES'!$AF789="","-",'ORDENES'!$AF789))</f>
        <v/>
      </c>
      <c r="D811" s="3">
        <f>IF('ORDENES'!$A789="","",IF('ORDENES'!$X789="","-",'ORDENES'!$X789))</f>
        <v/>
      </c>
      <c r="E811" s="3">
        <f>IF('ORDENES'!$A789="","",IF('ORDENES'!$V789="","-",'ORDENES'!$V789))</f>
        <v/>
      </c>
      <c r="F811" s="3">
        <f>IF('ORDENES'!$A789="","",IF('ORDENES'!$Y789="","-",'ORDENES'!$Y789))</f>
        <v/>
      </c>
      <c r="G811" s="3">
        <f>IF('ORDENES'!$A789="","",IF('ORDENES'!$W789="","-",'ORDENES'!$W789))</f>
        <v/>
      </c>
      <c r="H811" s="3">
        <f>IF('ORDENES'!$A789="","",IF('ORDENES'!$AE789="","-",'ORDENES'!$AE789))</f>
        <v/>
      </c>
      <c r="I811" s="3">
        <f>IF('ORDENES'!$A789="","",IF('ORDENES'!$AQ789="","-",'ORDENES'!$AQ789))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IF('ORDENES'!$A789="","",'ORDENES'!$AD789)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IF('ORDENES'!$A790="","",IF('ORDENES'!$AF790="","-",'ORDENES'!$AF790))</f>
        <v/>
      </c>
      <c r="D812" s="3">
        <f>IF('ORDENES'!$A790="","",IF('ORDENES'!$X790="","-",'ORDENES'!$X790))</f>
        <v/>
      </c>
      <c r="E812" s="3">
        <f>IF('ORDENES'!$A790="","",IF('ORDENES'!$V790="","-",'ORDENES'!$V790))</f>
        <v/>
      </c>
      <c r="F812" s="3">
        <f>IF('ORDENES'!$A790="","",IF('ORDENES'!$Y790="","-",'ORDENES'!$Y790))</f>
        <v/>
      </c>
      <c r="G812" s="3">
        <f>IF('ORDENES'!$A790="","",IF('ORDENES'!$W790="","-",'ORDENES'!$W790))</f>
        <v/>
      </c>
      <c r="H812" s="3">
        <f>IF('ORDENES'!$A790="","",IF('ORDENES'!$AE790="","-",'ORDENES'!$AE790))</f>
        <v/>
      </c>
      <c r="I812" s="3">
        <f>IF('ORDENES'!$A790="","",IF('ORDENES'!$AQ790="","-",'ORDENES'!$AQ790))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IF('ORDENES'!$A790="","",'ORDENES'!$AD790)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IF('ORDENES'!$A791="","",IF('ORDENES'!$AF791="","-",'ORDENES'!$AF791))</f>
        <v/>
      </c>
      <c r="D813" s="3">
        <f>IF('ORDENES'!$A791="","",IF('ORDENES'!$X791="","-",'ORDENES'!$X791))</f>
        <v/>
      </c>
      <c r="E813" s="3">
        <f>IF('ORDENES'!$A791="","",IF('ORDENES'!$V791="","-",'ORDENES'!$V791))</f>
        <v/>
      </c>
      <c r="F813" s="3">
        <f>IF('ORDENES'!$A791="","",IF('ORDENES'!$Y791="","-",'ORDENES'!$Y791))</f>
        <v/>
      </c>
      <c r="G813" s="3">
        <f>IF('ORDENES'!$A791="","",IF('ORDENES'!$W791="","-",'ORDENES'!$W791))</f>
        <v/>
      </c>
      <c r="H813" s="3">
        <f>IF('ORDENES'!$A791="","",IF('ORDENES'!$AE791="","-",'ORDENES'!$AE791))</f>
        <v/>
      </c>
      <c r="I813" s="3">
        <f>IF('ORDENES'!$A791="","",IF('ORDENES'!$AQ791="","-",'ORDENES'!$AQ791))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IF('ORDENES'!$A791="","",'ORDENES'!$AD791)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IF('ORDENES'!$A792="","",IF('ORDENES'!$AF792="","-",'ORDENES'!$AF792))</f>
        <v/>
      </c>
      <c r="D814" s="3">
        <f>IF('ORDENES'!$A792="","",IF('ORDENES'!$X792="","-",'ORDENES'!$X792))</f>
        <v/>
      </c>
      <c r="E814" s="3">
        <f>IF('ORDENES'!$A792="","",IF('ORDENES'!$V792="","-",'ORDENES'!$V792))</f>
        <v/>
      </c>
      <c r="F814" s="3">
        <f>IF('ORDENES'!$A792="","",IF('ORDENES'!$Y792="","-",'ORDENES'!$Y792))</f>
        <v/>
      </c>
      <c r="G814" s="3">
        <f>IF('ORDENES'!$A792="","",IF('ORDENES'!$W792="","-",'ORDENES'!$W792))</f>
        <v/>
      </c>
      <c r="H814" s="3">
        <f>IF('ORDENES'!$A792="","",IF('ORDENES'!$AE792="","-",'ORDENES'!$AE792))</f>
        <v/>
      </c>
      <c r="I814" s="3">
        <f>IF('ORDENES'!$A792="","",IF('ORDENES'!$AQ792="","-",'ORDENES'!$AQ792))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IF('ORDENES'!$A792="","",'ORDENES'!$AD792)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IF('ORDENES'!$A793="","",IF('ORDENES'!$AF793="","-",'ORDENES'!$AF793))</f>
        <v/>
      </c>
      <c r="D815" s="3">
        <f>IF('ORDENES'!$A793="","",IF('ORDENES'!$X793="","-",'ORDENES'!$X793))</f>
        <v/>
      </c>
      <c r="E815" s="3">
        <f>IF('ORDENES'!$A793="","",IF('ORDENES'!$V793="","-",'ORDENES'!$V793))</f>
        <v/>
      </c>
      <c r="F815" s="3">
        <f>IF('ORDENES'!$A793="","",IF('ORDENES'!$Y793="","-",'ORDENES'!$Y793))</f>
        <v/>
      </c>
      <c r="G815" s="3">
        <f>IF('ORDENES'!$A793="","",IF('ORDENES'!$W793="","-",'ORDENES'!$W793))</f>
        <v/>
      </c>
      <c r="H815" s="3">
        <f>IF('ORDENES'!$A793="","",IF('ORDENES'!$AE793="","-",'ORDENES'!$AE793))</f>
        <v/>
      </c>
      <c r="I815" s="3">
        <f>IF('ORDENES'!$A793="","",IF('ORDENES'!$AQ793="","-",'ORDENES'!$AQ793))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IF('ORDENES'!$A793="","",'ORDENES'!$AD793)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IF('ORDENES'!$A794="","",IF('ORDENES'!$AF794="","-",'ORDENES'!$AF794))</f>
        <v/>
      </c>
      <c r="D816" s="3">
        <f>IF('ORDENES'!$A794="","",IF('ORDENES'!$X794="","-",'ORDENES'!$X794))</f>
        <v/>
      </c>
      <c r="E816" s="3">
        <f>IF('ORDENES'!$A794="","",IF('ORDENES'!$V794="","-",'ORDENES'!$V794))</f>
        <v/>
      </c>
      <c r="F816" s="3">
        <f>IF('ORDENES'!$A794="","",IF('ORDENES'!$Y794="","-",'ORDENES'!$Y794))</f>
        <v/>
      </c>
      <c r="G816" s="3">
        <f>IF('ORDENES'!$A794="","",IF('ORDENES'!$W794="","-",'ORDENES'!$W794))</f>
        <v/>
      </c>
      <c r="H816" s="3">
        <f>IF('ORDENES'!$A794="","",IF('ORDENES'!$AE794="","-",'ORDENES'!$AE794))</f>
        <v/>
      </c>
      <c r="I816" s="3">
        <f>IF('ORDENES'!$A794="","",IF('ORDENES'!$AQ794="","-",'ORDENES'!$AQ794))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IF('ORDENES'!$A794="","",'ORDENES'!$AD794)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IF('ORDENES'!$A795="","",IF('ORDENES'!$AF795="","-",'ORDENES'!$AF795))</f>
        <v/>
      </c>
      <c r="D817" s="3">
        <f>IF('ORDENES'!$A795="","",IF('ORDENES'!$X795="","-",'ORDENES'!$X795))</f>
        <v/>
      </c>
      <c r="E817" s="3">
        <f>IF('ORDENES'!$A795="","",IF('ORDENES'!$V795="","-",'ORDENES'!$V795))</f>
        <v/>
      </c>
      <c r="F817" s="3">
        <f>IF('ORDENES'!$A795="","",IF('ORDENES'!$Y795="","-",'ORDENES'!$Y795))</f>
        <v/>
      </c>
      <c r="G817" s="3">
        <f>IF('ORDENES'!$A795="","",IF('ORDENES'!$W795="","-",'ORDENES'!$W795))</f>
        <v/>
      </c>
      <c r="H817" s="3">
        <f>IF('ORDENES'!$A795="","",IF('ORDENES'!$AE795="","-",'ORDENES'!$AE795))</f>
        <v/>
      </c>
      <c r="I817" s="3">
        <f>IF('ORDENES'!$A795="","",IF('ORDENES'!$AQ795="","-",'ORDENES'!$AQ795))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IF('ORDENES'!$A795="","",'ORDENES'!$AD795)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IF('ORDENES'!$A796="","",IF('ORDENES'!$AF796="","-",'ORDENES'!$AF796))</f>
        <v/>
      </c>
      <c r="D818" s="3">
        <f>IF('ORDENES'!$A796="","",IF('ORDENES'!$X796="","-",'ORDENES'!$X796))</f>
        <v/>
      </c>
      <c r="E818" s="3">
        <f>IF('ORDENES'!$A796="","",IF('ORDENES'!$V796="","-",'ORDENES'!$V796))</f>
        <v/>
      </c>
      <c r="F818" s="3">
        <f>IF('ORDENES'!$A796="","",IF('ORDENES'!$Y796="","-",'ORDENES'!$Y796))</f>
        <v/>
      </c>
      <c r="G818" s="3">
        <f>IF('ORDENES'!$A796="","",IF('ORDENES'!$W796="","-",'ORDENES'!$W796))</f>
        <v/>
      </c>
      <c r="H818" s="3">
        <f>IF('ORDENES'!$A796="","",IF('ORDENES'!$AE796="","-",'ORDENES'!$AE796))</f>
        <v/>
      </c>
      <c r="I818" s="3">
        <f>IF('ORDENES'!$A796="","",IF('ORDENES'!$AQ796="","-",'ORDENES'!$AQ796))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IF('ORDENES'!$A796="","",'ORDENES'!$AD796)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IF('ORDENES'!$A797="","",IF('ORDENES'!$AF797="","-",'ORDENES'!$AF797))</f>
        <v/>
      </c>
      <c r="D819" s="3">
        <f>IF('ORDENES'!$A797="","",IF('ORDENES'!$X797="","-",'ORDENES'!$X797))</f>
        <v/>
      </c>
      <c r="E819" s="3">
        <f>IF('ORDENES'!$A797="","",IF('ORDENES'!$V797="","-",'ORDENES'!$V797))</f>
        <v/>
      </c>
      <c r="F819" s="3">
        <f>IF('ORDENES'!$A797="","",IF('ORDENES'!$Y797="","-",'ORDENES'!$Y797))</f>
        <v/>
      </c>
      <c r="G819" s="3">
        <f>IF('ORDENES'!$A797="","",IF('ORDENES'!$W797="","-",'ORDENES'!$W797))</f>
        <v/>
      </c>
      <c r="H819" s="3">
        <f>IF('ORDENES'!$A797="","",IF('ORDENES'!$AE797="","-",'ORDENES'!$AE797))</f>
        <v/>
      </c>
      <c r="I819" s="3">
        <f>IF('ORDENES'!$A797="","",IF('ORDENES'!$AQ797="","-",'ORDENES'!$AQ797))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IF('ORDENES'!$A797="","",'ORDENES'!$AD797)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IF('ORDENES'!$A798="","",IF('ORDENES'!$AF798="","-",'ORDENES'!$AF798))</f>
        <v/>
      </c>
      <c r="D820" s="3">
        <f>IF('ORDENES'!$A798="","",IF('ORDENES'!$X798="","-",'ORDENES'!$X798))</f>
        <v/>
      </c>
      <c r="E820" s="3">
        <f>IF('ORDENES'!$A798="","",IF('ORDENES'!$V798="","-",'ORDENES'!$V798))</f>
        <v/>
      </c>
      <c r="F820" s="3">
        <f>IF('ORDENES'!$A798="","",IF('ORDENES'!$Y798="","-",'ORDENES'!$Y798))</f>
        <v/>
      </c>
      <c r="G820" s="3">
        <f>IF('ORDENES'!$A798="","",IF('ORDENES'!$W798="","-",'ORDENES'!$W798))</f>
        <v/>
      </c>
      <c r="H820" s="3">
        <f>IF('ORDENES'!$A798="","",IF('ORDENES'!$AE798="","-",'ORDENES'!$AE798))</f>
        <v/>
      </c>
      <c r="I820" s="3">
        <f>IF('ORDENES'!$A798="","",IF('ORDENES'!$AQ798="","-",'ORDENES'!$AQ798))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IF('ORDENES'!$A798="","",'ORDENES'!$AD798)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IF('ORDENES'!$A799="","",IF('ORDENES'!$AF799="","-",'ORDENES'!$AF799))</f>
        <v/>
      </c>
      <c r="D821" s="3">
        <f>IF('ORDENES'!$A799="","",IF('ORDENES'!$X799="","-",'ORDENES'!$X799))</f>
        <v/>
      </c>
      <c r="E821" s="3">
        <f>IF('ORDENES'!$A799="","",IF('ORDENES'!$V799="","-",'ORDENES'!$V799))</f>
        <v/>
      </c>
      <c r="F821" s="3">
        <f>IF('ORDENES'!$A799="","",IF('ORDENES'!$Y799="","-",'ORDENES'!$Y799))</f>
        <v/>
      </c>
      <c r="G821" s="3">
        <f>IF('ORDENES'!$A799="","",IF('ORDENES'!$W799="","-",'ORDENES'!$W799))</f>
        <v/>
      </c>
      <c r="H821" s="3">
        <f>IF('ORDENES'!$A799="","",IF('ORDENES'!$AE799="","-",'ORDENES'!$AE799))</f>
        <v/>
      </c>
      <c r="I821" s="3">
        <f>IF('ORDENES'!$A799="","",IF('ORDENES'!$AQ799="","-",'ORDENES'!$AQ799))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IF('ORDENES'!$A799="","",'ORDENES'!$AD799)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IF('ORDENES'!$A800="","",IF('ORDENES'!$AF800="","-",'ORDENES'!$AF800))</f>
        <v/>
      </c>
      <c r="D822" s="3">
        <f>IF('ORDENES'!$A800="","",IF('ORDENES'!$X800="","-",'ORDENES'!$X800))</f>
        <v/>
      </c>
      <c r="E822" s="3">
        <f>IF('ORDENES'!$A800="","",IF('ORDENES'!$V800="","-",'ORDENES'!$V800))</f>
        <v/>
      </c>
      <c r="F822" s="3">
        <f>IF('ORDENES'!$A800="","",IF('ORDENES'!$Y800="","-",'ORDENES'!$Y800))</f>
        <v/>
      </c>
      <c r="G822" s="3">
        <f>IF('ORDENES'!$A800="","",IF('ORDENES'!$W800="","-",'ORDENES'!$W800))</f>
        <v/>
      </c>
      <c r="H822" s="3">
        <f>IF('ORDENES'!$A800="","",IF('ORDENES'!$AE800="","-",'ORDENES'!$AE800))</f>
        <v/>
      </c>
      <c r="I822" s="3">
        <f>IF('ORDENES'!$A800="","",IF('ORDENES'!$AQ800="","-",'ORDENES'!$AQ800))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IF('ORDENES'!$A800="","",'ORDENES'!$AD800)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IF('ORDENES'!$A801="","",IF('ORDENES'!$AF801="","-",'ORDENES'!$AF801))</f>
        <v/>
      </c>
      <c r="D823" s="3">
        <f>IF('ORDENES'!$A801="","",IF('ORDENES'!$X801="","-",'ORDENES'!$X801))</f>
        <v/>
      </c>
      <c r="E823" s="3">
        <f>IF('ORDENES'!$A801="","",IF('ORDENES'!$V801="","-",'ORDENES'!$V801))</f>
        <v/>
      </c>
      <c r="F823" s="3">
        <f>IF('ORDENES'!$A801="","",IF('ORDENES'!$Y801="","-",'ORDENES'!$Y801))</f>
        <v/>
      </c>
      <c r="G823" s="3">
        <f>IF('ORDENES'!$A801="","",IF('ORDENES'!$W801="","-",'ORDENES'!$W801))</f>
        <v/>
      </c>
      <c r="H823" s="3">
        <f>IF('ORDENES'!$A801="","",IF('ORDENES'!$AE801="","-",'ORDENES'!$AE801))</f>
        <v/>
      </c>
      <c r="I823" s="3">
        <f>IF('ORDENES'!$A801="","",IF('ORDENES'!$AQ801="","-",'ORDENES'!$AQ801))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IF('ORDENES'!$A801="","",'ORDENES'!$AD801)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IF('ORDENES'!$A802="","",IF('ORDENES'!$AF802="","-",'ORDENES'!$AF802))</f>
        <v/>
      </c>
      <c r="D824" s="3">
        <f>IF('ORDENES'!$A802="","",IF('ORDENES'!$X802="","-",'ORDENES'!$X802))</f>
        <v/>
      </c>
      <c r="E824" s="3">
        <f>IF('ORDENES'!$A802="","",IF('ORDENES'!$V802="","-",'ORDENES'!$V802))</f>
        <v/>
      </c>
      <c r="F824" s="3">
        <f>IF('ORDENES'!$A802="","",IF('ORDENES'!$Y802="","-",'ORDENES'!$Y802))</f>
        <v/>
      </c>
      <c r="G824" s="3">
        <f>IF('ORDENES'!$A802="","",IF('ORDENES'!$W802="","-",'ORDENES'!$W802))</f>
        <v/>
      </c>
      <c r="H824" s="3">
        <f>IF('ORDENES'!$A802="","",IF('ORDENES'!$AE802="","-",'ORDENES'!$AE802))</f>
        <v/>
      </c>
      <c r="I824" s="3">
        <f>IF('ORDENES'!$A802="","",IF('ORDENES'!$AQ802="","-",'ORDENES'!$AQ802))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IF('ORDENES'!$A802="","",'ORDENES'!$AD802)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IF('ORDENES'!$A803="","",IF('ORDENES'!$AF803="","-",'ORDENES'!$AF803))</f>
        <v/>
      </c>
      <c r="D825" s="3">
        <f>IF('ORDENES'!$A803="","",IF('ORDENES'!$X803="","-",'ORDENES'!$X803))</f>
        <v/>
      </c>
      <c r="E825" s="3">
        <f>IF('ORDENES'!$A803="","",IF('ORDENES'!$V803="","-",'ORDENES'!$V803))</f>
        <v/>
      </c>
      <c r="F825" s="3">
        <f>IF('ORDENES'!$A803="","",IF('ORDENES'!$Y803="","-",'ORDENES'!$Y803))</f>
        <v/>
      </c>
      <c r="G825" s="3">
        <f>IF('ORDENES'!$A803="","",IF('ORDENES'!$W803="","-",'ORDENES'!$W803))</f>
        <v/>
      </c>
      <c r="H825" s="3">
        <f>IF('ORDENES'!$A803="","",IF('ORDENES'!$AE803="","-",'ORDENES'!$AE803))</f>
        <v/>
      </c>
      <c r="I825" s="3">
        <f>IF('ORDENES'!$A803="","",IF('ORDENES'!$AQ803="","-",'ORDENES'!$AQ803))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IF('ORDENES'!$A803="","",'ORDENES'!$AD803)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IF('ORDENES'!$A804="","",IF('ORDENES'!$AF804="","-",'ORDENES'!$AF804))</f>
        <v/>
      </c>
      <c r="D826" s="3">
        <f>IF('ORDENES'!$A804="","",IF('ORDENES'!$X804="","-",'ORDENES'!$X804))</f>
        <v/>
      </c>
      <c r="E826" s="3">
        <f>IF('ORDENES'!$A804="","",IF('ORDENES'!$V804="","-",'ORDENES'!$V804))</f>
        <v/>
      </c>
      <c r="F826" s="3">
        <f>IF('ORDENES'!$A804="","",IF('ORDENES'!$Y804="","-",'ORDENES'!$Y804))</f>
        <v/>
      </c>
      <c r="G826" s="3">
        <f>IF('ORDENES'!$A804="","",IF('ORDENES'!$W804="","-",'ORDENES'!$W804))</f>
        <v/>
      </c>
      <c r="H826" s="3">
        <f>IF('ORDENES'!$A804="","",IF('ORDENES'!$AE804="","-",'ORDENES'!$AE804))</f>
        <v/>
      </c>
      <c r="I826" s="3">
        <f>IF('ORDENES'!$A804="","",IF('ORDENES'!$AQ804="","-",'ORDENES'!$AQ804))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IF('ORDENES'!$A804="","",'ORDENES'!$AD804)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IF('ORDENES'!$A805="","",IF('ORDENES'!$AF805="","-",'ORDENES'!$AF805))</f>
        <v/>
      </c>
      <c r="D827" s="3">
        <f>IF('ORDENES'!$A805="","",IF('ORDENES'!$X805="","-",'ORDENES'!$X805))</f>
        <v/>
      </c>
      <c r="E827" s="3">
        <f>IF('ORDENES'!$A805="","",IF('ORDENES'!$V805="","-",'ORDENES'!$V805))</f>
        <v/>
      </c>
      <c r="F827" s="3">
        <f>IF('ORDENES'!$A805="","",IF('ORDENES'!$Y805="","-",'ORDENES'!$Y805))</f>
        <v/>
      </c>
      <c r="G827" s="3">
        <f>IF('ORDENES'!$A805="","",IF('ORDENES'!$W805="","-",'ORDENES'!$W805))</f>
        <v/>
      </c>
      <c r="H827" s="3">
        <f>IF('ORDENES'!$A805="","",IF('ORDENES'!$AE805="","-",'ORDENES'!$AE805))</f>
        <v/>
      </c>
      <c r="I827" s="3">
        <f>IF('ORDENES'!$A805="","",IF('ORDENES'!$AQ805="","-",'ORDENES'!$AQ805))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IF('ORDENES'!$A805="","",'ORDENES'!$AD805)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IF('ORDENES'!$A806="","",IF('ORDENES'!$AF806="","-",'ORDENES'!$AF806))</f>
        <v/>
      </c>
      <c r="D828" s="3">
        <f>IF('ORDENES'!$A806="","",IF('ORDENES'!$X806="","-",'ORDENES'!$X806))</f>
        <v/>
      </c>
      <c r="E828" s="3">
        <f>IF('ORDENES'!$A806="","",IF('ORDENES'!$V806="","-",'ORDENES'!$V806))</f>
        <v/>
      </c>
      <c r="F828" s="3">
        <f>IF('ORDENES'!$A806="","",IF('ORDENES'!$Y806="","-",'ORDENES'!$Y806))</f>
        <v/>
      </c>
      <c r="G828" s="3">
        <f>IF('ORDENES'!$A806="","",IF('ORDENES'!$W806="","-",'ORDENES'!$W806))</f>
        <v/>
      </c>
      <c r="H828" s="3">
        <f>IF('ORDENES'!$A806="","",IF('ORDENES'!$AE806="","-",'ORDENES'!$AE806))</f>
        <v/>
      </c>
      <c r="I828" s="3">
        <f>IF('ORDENES'!$A806="","",IF('ORDENES'!$AQ806="","-",'ORDENES'!$AQ806))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IF('ORDENES'!$A806="","",'ORDENES'!$AD806)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IF('ORDENES'!$A807="","",IF('ORDENES'!$AF807="","-",'ORDENES'!$AF807))</f>
        <v/>
      </c>
      <c r="D829" s="3">
        <f>IF('ORDENES'!$A807="","",IF('ORDENES'!$X807="","-",'ORDENES'!$X807))</f>
        <v/>
      </c>
      <c r="E829" s="3">
        <f>IF('ORDENES'!$A807="","",IF('ORDENES'!$V807="","-",'ORDENES'!$V807))</f>
        <v/>
      </c>
      <c r="F829" s="3">
        <f>IF('ORDENES'!$A807="","",IF('ORDENES'!$Y807="","-",'ORDENES'!$Y807))</f>
        <v/>
      </c>
      <c r="G829" s="3">
        <f>IF('ORDENES'!$A807="","",IF('ORDENES'!$W807="","-",'ORDENES'!$W807))</f>
        <v/>
      </c>
      <c r="H829" s="3">
        <f>IF('ORDENES'!$A807="","",IF('ORDENES'!$AE807="","-",'ORDENES'!$AE807))</f>
        <v/>
      </c>
      <c r="I829" s="3">
        <f>IF('ORDENES'!$A807="","",IF('ORDENES'!$AQ807="","-",'ORDENES'!$AQ807))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IF('ORDENES'!$A807="","",'ORDENES'!$AD807)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IF('ORDENES'!$A808="","",IF('ORDENES'!$AF808="","-",'ORDENES'!$AF808))</f>
        <v/>
      </c>
      <c r="D830" s="3">
        <f>IF('ORDENES'!$A808="","",IF('ORDENES'!$X808="","-",'ORDENES'!$X808))</f>
        <v/>
      </c>
      <c r="E830" s="3">
        <f>IF('ORDENES'!$A808="","",IF('ORDENES'!$V808="","-",'ORDENES'!$V808))</f>
        <v/>
      </c>
      <c r="F830" s="3">
        <f>IF('ORDENES'!$A808="","",IF('ORDENES'!$Y808="","-",'ORDENES'!$Y808))</f>
        <v/>
      </c>
      <c r="G830" s="3">
        <f>IF('ORDENES'!$A808="","",IF('ORDENES'!$W808="","-",'ORDENES'!$W808))</f>
        <v/>
      </c>
      <c r="H830" s="3">
        <f>IF('ORDENES'!$A808="","",IF('ORDENES'!$AE808="","-",'ORDENES'!$AE808))</f>
        <v/>
      </c>
      <c r="I830" s="3">
        <f>IF('ORDENES'!$A808="","",IF('ORDENES'!$AQ808="","-",'ORDENES'!$AQ808))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IF('ORDENES'!$A808="","",'ORDENES'!$AD808)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IF('ORDENES'!$A809="","",IF('ORDENES'!$AF809="","-",'ORDENES'!$AF809))</f>
        <v/>
      </c>
      <c r="D831" s="3">
        <f>IF('ORDENES'!$A809="","",IF('ORDENES'!$X809="","-",'ORDENES'!$X809))</f>
        <v/>
      </c>
      <c r="E831" s="3">
        <f>IF('ORDENES'!$A809="","",IF('ORDENES'!$V809="","-",'ORDENES'!$V809))</f>
        <v/>
      </c>
      <c r="F831" s="3">
        <f>IF('ORDENES'!$A809="","",IF('ORDENES'!$Y809="","-",'ORDENES'!$Y809))</f>
        <v/>
      </c>
      <c r="G831" s="3">
        <f>IF('ORDENES'!$A809="","",IF('ORDENES'!$W809="","-",'ORDENES'!$W809))</f>
        <v/>
      </c>
      <c r="H831" s="3">
        <f>IF('ORDENES'!$A809="","",IF('ORDENES'!$AE809="","-",'ORDENES'!$AE809))</f>
        <v/>
      </c>
      <c r="I831" s="3">
        <f>IF('ORDENES'!$A809="","",IF('ORDENES'!$AQ809="","-",'ORDENES'!$AQ809))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IF('ORDENES'!$A809="","",'ORDENES'!$AD809)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IF('ORDENES'!$A810="","",IF('ORDENES'!$AF810="","-",'ORDENES'!$AF810))</f>
        <v/>
      </c>
      <c r="D832" s="3">
        <f>IF('ORDENES'!$A810="","",IF('ORDENES'!$X810="","-",'ORDENES'!$X810))</f>
        <v/>
      </c>
      <c r="E832" s="3">
        <f>IF('ORDENES'!$A810="","",IF('ORDENES'!$V810="","-",'ORDENES'!$V810))</f>
        <v/>
      </c>
      <c r="F832" s="3">
        <f>IF('ORDENES'!$A810="","",IF('ORDENES'!$Y810="","-",'ORDENES'!$Y810))</f>
        <v/>
      </c>
      <c r="G832" s="3">
        <f>IF('ORDENES'!$A810="","",IF('ORDENES'!$W810="","-",'ORDENES'!$W810))</f>
        <v/>
      </c>
      <c r="H832" s="3">
        <f>IF('ORDENES'!$A810="","",IF('ORDENES'!$AE810="","-",'ORDENES'!$AE810))</f>
        <v/>
      </c>
      <c r="I832" s="3">
        <f>IF('ORDENES'!$A810="","",IF('ORDENES'!$AQ810="","-",'ORDENES'!$AQ810))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IF('ORDENES'!$A810="","",'ORDENES'!$AD810)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IF('ORDENES'!$A811="","",IF('ORDENES'!$AF811="","-",'ORDENES'!$AF811))</f>
        <v/>
      </c>
      <c r="D833" s="3">
        <f>IF('ORDENES'!$A811="","",IF('ORDENES'!$X811="","-",'ORDENES'!$X811))</f>
        <v/>
      </c>
      <c r="E833" s="3">
        <f>IF('ORDENES'!$A811="","",IF('ORDENES'!$V811="","-",'ORDENES'!$V811))</f>
        <v/>
      </c>
      <c r="F833" s="3">
        <f>IF('ORDENES'!$A811="","",IF('ORDENES'!$Y811="","-",'ORDENES'!$Y811))</f>
        <v/>
      </c>
      <c r="G833" s="3">
        <f>IF('ORDENES'!$A811="","",IF('ORDENES'!$W811="","-",'ORDENES'!$W811))</f>
        <v/>
      </c>
      <c r="H833" s="3">
        <f>IF('ORDENES'!$A811="","",IF('ORDENES'!$AE811="","-",'ORDENES'!$AE811))</f>
        <v/>
      </c>
      <c r="I833" s="3">
        <f>IF('ORDENES'!$A811="","",IF('ORDENES'!$AQ811="","-",'ORDENES'!$AQ811))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IF('ORDENES'!$A811="","",'ORDENES'!$AD811)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IF('ORDENES'!$A812="","",IF('ORDENES'!$AF812="","-",'ORDENES'!$AF812))</f>
        <v/>
      </c>
      <c r="D834" s="3">
        <f>IF('ORDENES'!$A812="","",IF('ORDENES'!$X812="","-",'ORDENES'!$X812))</f>
        <v/>
      </c>
      <c r="E834" s="3">
        <f>IF('ORDENES'!$A812="","",IF('ORDENES'!$V812="","-",'ORDENES'!$V812))</f>
        <v/>
      </c>
      <c r="F834" s="3">
        <f>IF('ORDENES'!$A812="","",IF('ORDENES'!$Y812="","-",'ORDENES'!$Y812))</f>
        <v/>
      </c>
      <c r="G834" s="3">
        <f>IF('ORDENES'!$A812="","",IF('ORDENES'!$W812="","-",'ORDENES'!$W812))</f>
        <v/>
      </c>
      <c r="H834" s="3">
        <f>IF('ORDENES'!$A812="","",IF('ORDENES'!$AE812="","-",'ORDENES'!$AE812))</f>
        <v/>
      </c>
      <c r="I834" s="3">
        <f>IF('ORDENES'!$A812="","",IF('ORDENES'!$AQ812="","-",'ORDENES'!$AQ812))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IF('ORDENES'!$A812="","",'ORDENES'!$AD812)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IF('ORDENES'!$A813="","",IF('ORDENES'!$AF813="","-",'ORDENES'!$AF813))</f>
        <v/>
      </c>
      <c r="D835" s="3">
        <f>IF('ORDENES'!$A813="","",IF('ORDENES'!$X813="","-",'ORDENES'!$X813))</f>
        <v/>
      </c>
      <c r="E835" s="3">
        <f>IF('ORDENES'!$A813="","",IF('ORDENES'!$V813="","-",'ORDENES'!$V813))</f>
        <v/>
      </c>
      <c r="F835" s="3">
        <f>IF('ORDENES'!$A813="","",IF('ORDENES'!$Y813="","-",'ORDENES'!$Y813))</f>
        <v/>
      </c>
      <c r="G835" s="3">
        <f>IF('ORDENES'!$A813="","",IF('ORDENES'!$W813="","-",'ORDENES'!$W813))</f>
        <v/>
      </c>
      <c r="H835" s="3">
        <f>IF('ORDENES'!$A813="","",IF('ORDENES'!$AE813="","-",'ORDENES'!$AE813))</f>
        <v/>
      </c>
      <c r="I835" s="3">
        <f>IF('ORDENES'!$A813="","",IF('ORDENES'!$AQ813="","-",'ORDENES'!$AQ813))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IF('ORDENES'!$A813="","",'ORDENES'!$AD813)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IF('ORDENES'!$A814="","",IF('ORDENES'!$AF814="","-",'ORDENES'!$AF814))</f>
        <v/>
      </c>
      <c r="D836" s="3">
        <f>IF('ORDENES'!$A814="","",IF('ORDENES'!$X814="","-",'ORDENES'!$X814))</f>
        <v/>
      </c>
      <c r="E836" s="3">
        <f>IF('ORDENES'!$A814="","",IF('ORDENES'!$V814="","-",'ORDENES'!$V814))</f>
        <v/>
      </c>
      <c r="F836" s="3">
        <f>IF('ORDENES'!$A814="","",IF('ORDENES'!$Y814="","-",'ORDENES'!$Y814))</f>
        <v/>
      </c>
      <c r="G836" s="3">
        <f>IF('ORDENES'!$A814="","",IF('ORDENES'!$W814="","-",'ORDENES'!$W814))</f>
        <v/>
      </c>
      <c r="H836" s="3">
        <f>IF('ORDENES'!$A814="","",IF('ORDENES'!$AE814="","-",'ORDENES'!$AE814))</f>
        <v/>
      </c>
      <c r="I836" s="3">
        <f>IF('ORDENES'!$A814="","",IF('ORDENES'!$AQ814="","-",'ORDENES'!$AQ814))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IF('ORDENES'!$A814="","",'ORDENES'!$AD814)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IF('ORDENES'!$A815="","",IF('ORDENES'!$AF815="","-",'ORDENES'!$AF815))</f>
        <v/>
      </c>
      <c r="D837" s="3">
        <f>IF('ORDENES'!$A815="","",IF('ORDENES'!$X815="","-",'ORDENES'!$X815))</f>
        <v/>
      </c>
      <c r="E837" s="3">
        <f>IF('ORDENES'!$A815="","",IF('ORDENES'!$V815="","-",'ORDENES'!$V815))</f>
        <v/>
      </c>
      <c r="F837" s="3">
        <f>IF('ORDENES'!$A815="","",IF('ORDENES'!$Y815="","-",'ORDENES'!$Y815))</f>
        <v/>
      </c>
      <c r="G837" s="3">
        <f>IF('ORDENES'!$A815="","",IF('ORDENES'!$W815="","-",'ORDENES'!$W815))</f>
        <v/>
      </c>
      <c r="H837" s="3">
        <f>IF('ORDENES'!$A815="","",IF('ORDENES'!$AE815="","-",'ORDENES'!$AE815))</f>
        <v/>
      </c>
      <c r="I837" s="3">
        <f>IF('ORDENES'!$A815="","",IF('ORDENES'!$AQ815="","-",'ORDENES'!$AQ815))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IF('ORDENES'!$A815="","",'ORDENES'!$AD815)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IF('ORDENES'!$A816="","",IF('ORDENES'!$AF816="","-",'ORDENES'!$AF816))</f>
        <v/>
      </c>
      <c r="D838" s="3">
        <f>IF('ORDENES'!$A816="","",IF('ORDENES'!$X816="","-",'ORDENES'!$X816))</f>
        <v/>
      </c>
      <c r="E838" s="3">
        <f>IF('ORDENES'!$A816="","",IF('ORDENES'!$V816="","-",'ORDENES'!$V816))</f>
        <v/>
      </c>
      <c r="F838" s="3">
        <f>IF('ORDENES'!$A816="","",IF('ORDENES'!$Y816="","-",'ORDENES'!$Y816))</f>
        <v/>
      </c>
      <c r="G838" s="3">
        <f>IF('ORDENES'!$A816="","",IF('ORDENES'!$W816="","-",'ORDENES'!$W816))</f>
        <v/>
      </c>
      <c r="H838" s="3">
        <f>IF('ORDENES'!$A816="","",IF('ORDENES'!$AE816="","-",'ORDENES'!$AE816))</f>
        <v/>
      </c>
      <c r="I838" s="3">
        <f>IF('ORDENES'!$A816="","",IF('ORDENES'!$AQ816="","-",'ORDENES'!$AQ816))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IF('ORDENES'!$A816="","",'ORDENES'!$AD816)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IF('ORDENES'!$A817="","",IF('ORDENES'!$AF817="","-",'ORDENES'!$AF817))</f>
        <v/>
      </c>
      <c r="D839" s="3">
        <f>IF('ORDENES'!$A817="","",IF('ORDENES'!$X817="","-",'ORDENES'!$X817))</f>
        <v/>
      </c>
      <c r="E839" s="3">
        <f>IF('ORDENES'!$A817="","",IF('ORDENES'!$V817="","-",'ORDENES'!$V817))</f>
        <v/>
      </c>
      <c r="F839" s="3">
        <f>IF('ORDENES'!$A817="","",IF('ORDENES'!$Y817="","-",'ORDENES'!$Y817))</f>
        <v/>
      </c>
      <c r="G839" s="3">
        <f>IF('ORDENES'!$A817="","",IF('ORDENES'!$W817="","-",'ORDENES'!$W817))</f>
        <v/>
      </c>
      <c r="H839" s="3">
        <f>IF('ORDENES'!$A817="","",IF('ORDENES'!$AE817="","-",'ORDENES'!$AE817))</f>
        <v/>
      </c>
      <c r="I839" s="3">
        <f>IF('ORDENES'!$A817="","",IF('ORDENES'!$AQ817="","-",'ORDENES'!$AQ817))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IF('ORDENES'!$A817="","",'ORDENES'!$AD817)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IF('ORDENES'!$A818="","",IF('ORDENES'!$AF818="","-",'ORDENES'!$AF818))</f>
        <v/>
      </c>
      <c r="D840" s="3">
        <f>IF('ORDENES'!$A818="","",IF('ORDENES'!$X818="","-",'ORDENES'!$X818))</f>
        <v/>
      </c>
      <c r="E840" s="3">
        <f>IF('ORDENES'!$A818="","",IF('ORDENES'!$V818="","-",'ORDENES'!$V818))</f>
        <v/>
      </c>
      <c r="F840" s="3">
        <f>IF('ORDENES'!$A818="","",IF('ORDENES'!$Y818="","-",'ORDENES'!$Y818))</f>
        <v/>
      </c>
      <c r="G840" s="3">
        <f>IF('ORDENES'!$A818="","",IF('ORDENES'!$W818="","-",'ORDENES'!$W818))</f>
        <v/>
      </c>
      <c r="H840" s="3">
        <f>IF('ORDENES'!$A818="","",IF('ORDENES'!$AE818="","-",'ORDENES'!$AE818))</f>
        <v/>
      </c>
      <c r="I840" s="3">
        <f>IF('ORDENES'!$A818="","",IF('ORDENES'!$AQ818="","-",'ORDENES'!$AQ818))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IF('ORDENES'!$A818="","",'ORDENES'!$AD818)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IF('ORDENES'!$A819="","",IF('ORDENES'!$AF819="","-",'ORDENES'!$AF819))</f>
        <v/>
      </c>
      <c r="D841" s="3">
        <f>IF('ORDENES'!$A819="","",IF('ORDENES'!$X819="","-",'ORDENES'!$X819))</f>
        <v/>
      </c>
      <c r="E841" s="3">
        <f>IF('ORDENES'!$A819="","",IF('ORDENES'!$V819="","-",'ORDENES'!$V819))</f>
        <v/>
      </c>
      <c r="F841" s="3">
        <f>IF('ORDENES'!$A819="","",IF('ORDENES'!$Y819="","-",'ORDENES'!$Y819))</f>
        <v/>
      </c>
      <c r="G841" s="3">
        <f>IF('ORDENES'!$A819="","",IF('ORDENES'!$W819="","-",'ORDENES'!$W819))</f>
        <v/>
      </c>
      <c r="H841" s="3">
        <f>IF('ORDENES'!$A819="","",IF('ORDENES'!$AE819="","-",'ORDENES'!$AE819))</f>
        <v/>
      </c>
      <c r="I841" s="3">
        <f>IF('ORDENES'!$A819="","",IF('ORDENES'!$AQ819="","-",'ORDENES'!$AQ819))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IF('ORDENES'!$A819="","",'ORDENES'!$AD819)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IF('ORDENES'!$A820="","",IF('ORDENES'!$AF820="","-",'ORDENES'!$AF820))</f>
        <v/>
      </c>
      <c r="D842" s="3">
        <f>IF('ORDENES'!$A820="","",IF('ORDENES'!$X820="","-",'ORDENES'!$X820))</f>
        <v/>
      </c>
      <c r="E842" s="3">
        <f>IF('ORDENES'!$A820="","",IF('ORDENES'!$V820="","-",'ORDENES'!$V820))</f>
        <v/>
      </c>
      <c r="F842" s="3">
        <f>IF('ORDENES'!$A820="","",IF('ORDENES'!$Y820="","-",'ORDENES'!$Y820))</f>
        <v/>
      </c>
      <c r="G842" s="3">
        <f>IF('ORDENES'!$A820="","",IF('ORDENES'!$W820="","-",'ORDENES'!$W820))</f>
        <v/>
      </c>
      <c r="H842" s="3">
        <f>IF('ORDENES'!$A820="","",IF('ORDENES'!$AE820="","-",'ORDENES'!$AE820))</f>
        <v/>
      </c>
      <c r="I842" s="3">
        <f>IF('ORDENES'!$A820="","",IF('ORDENES'!$AQ820="","-",'ORDENES'!$AQ820))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IF('ORDENES'!$A820="","",'ORDENES'!$AD820)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IF('ORDENES'!$A821="","",IF('ORDENES'!$AF821="","-",'ORDENES'!$AF821))</f>
        <v/>
      </c>
      <c r="D843" s="3">
        <f>IF('ORDENES'!$A821="","",IF('ORDENES'!$X821="","-",'ORDENES'!$X821))</f>
        <v/>
      </c>
      <c r="E843" s="3">
        <f>IF('ORDENES'!$A821="","",IF('ORDENES'!$V821="","-",'ORDENES'!$V821))</f>
        <v/>
      </c>
      <c r="F843" s="3">
        <f>IF('ORDENES'!$A821="","",IF('ORDENES'!$Y821="","-",'ORDENES'!$Y821))</f>
        <v/>
      </c>
      <c r="G843" s="3">
        <f>IF('ORDENES'!$A821="","",IF('ORDENES'!$W821="","-",'ORDENES'!$W821))</f>
        <v/>
      </c>
      <c r="H843" s="3">
        <f>IF('ORDENES'!$A821="","",IF('ORDENES'!$AE821="","-",'ORDENES'!$AE821))</f>
        <v/>
      </c>
      <c r="I843" s="3">
        <f>IF('ORDENES'!$A821="","",IF('ORDENES'!$AQ821="","-",'ORDENES'!$AQ821))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IF('ORDENES'!$A821="","",'ORDENES'!$AD821)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IF('ORDENES'!$A822="","",IF('ORDENES'!$AF822="","-",'ORDENES'!$AF822))</f>
        <v/>
      </c>
      <c r="D844" s="3">
        <f>IF('ORDENES'!$A822="","",IF('ORDENES'!$X822="","-",'ORDENES'!$X822))</f>
        <v/>
      </c>
      <c r="E844" s="3">
        <f>IF('ORDENES'!$A822="","",IF('ORDENES'!$V822="","-",'ORDENES'!$V822))</f>
        <v/>
      </c>
      <c r="F844" s="3">
        <f>IF('ORDENES'!$A822="","",IF('ORDENES'!$Y822="","-",'ORDENES'!$Y822))</f>
        <v/>
      </c>
      <c r="G844" s="3">
        <f>IF('ORDENES'!$A822="","",IF('ORDENES'!$W822="","-",'ORDENES'!$W822))</f>
        <v/>
      </c>
      <c r="H844" s="3">
        <f>IF('ORDENES'!$A822="","",IF('ORDENES'!$AE822="","-",'ORDENES'!$AE822))</f>
        <v/>
      </c>
      <c r="I844" s="3">
        <f>IF('ORDENES'!$A822="","",IF('ORDENES'!$AQ822="","-",'ORDENES'!$AQ822))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IF('ORDENES'!$A822="","",'ORDENES'!$AD822)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IF('ORDENES'!$A823="","",IF('ORDENES'!$AF823="","-",'ORDENES'!$AF823))</f>
        <v/>
      </c>
      <c r="D845" s="3">
        <f>IF('ORDENES'!$A823="","",IF('ORDENES'!$X823="","-",'ORDENES'!$X823))</f>
        <v/>
      </c>
      <c r="E845" s="3">
        <f>IF('ORDENES'!$A823="","",IF('ORDENES'!$V823="","-",'ORDENES'!$V823))</f>
        <v/>
      </c>
      <c r="F845" s="3">
        <f>IF('ORDENES'!$A823="","",IF('ORDENES'!$Y823="","-",'ORDENES'!$Y823))</f>
        <v/>
      </c>
      <c r="G845" s="3">
        <f>IF('ORDENES'!$A823="","",IF('ORDENES'!$W823="","-",'ORDENES'!$W823))</f>
        <v/>
      </c>
      <c r="H845" s="3">
        <f>IF('ORDENES'!$A823="","",IF('ORDENES'!$AE823="","-",'ORDENES'!$AE823))</f>
        <v/>
      </c>
      <c r="I845" s="3">
        <f>IF('ORDENES'!$A823="","",IF('ORDENES'!$AQ823="","-",'ORDENES'!$AQ823))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IF('ORDENES'!$A823="","",'ORDENES'!$AD823)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IF('ORDENES'!$A824="","",IF('ORDENES'!$AF824="","-",'ORDENES'!$AF824))</f>
        <v/>
      </c>
      <c r="D846" s="3">
        <f>IF('ORDENES'!$A824="","",IF('ORDENES'!$X824="","-",'ORDENES'!$X824))</f>
        <v/>
      </c>
      <c r="E846" s="3">
        <f>IF('ORDENES'!$A824="","",IF('ORDENES'!$V824="","-",'ORDENES'!$V824))</f>
        <v/>
      </c>
      <c r="F846" s="3">
        <f>IF('ORDENES'!$A824="","",IF('ORDENES'!$Y824="","-",'ORDENES'!$Y824))</f>
        <v/>
      </c>
      <c r="G846" s="3">
        <f>IF('ORDENES'!$A824="","",IF('ORDENES'!$W824="","-",'ORDENES'!$W824))</f>
        <v/>
      </c>
      <c r="H846" s="3">
        <f>IF('ORDENES'!$A824="","",IF('ORDENES'!$AE824="","-",'ORDENES'!$AE824))</f>
        <v/>
      </c>
      <c r="I846" s="3">
        <f>IF('ORDENES'!$A824="","",IF('ORDENES'!$AQ824="","-",'ORDENES'!$AQ824))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IF('ORDENES'!$A824="","",'ORDENES'!$AD824)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IF('ORDENES'!$A825="","",IF('ORDENES'!$AF825="","-",'ORDENES'!$AF825))</f>
        <v/>
      </c>
      <c r="D847" s="3">
        <f>IF('ORDENES'!$A825="","",IF('ORDENES'!$X825="","-",'ORDENES'!$X825))</f>
        <v/>
      </c>
      <c r="E847" s="3">
        <f>IF('ORDENES'!$A825="","",IF('ORDENES'!$V825="","-",'ORDENES'!$V825))</f>
        <v/>
      </c>
      <c r="F847" s="3">
        <f>IF('ORDENES'!$A825="","",IF('ORDENES'!$Y825="","-",'ORDENES'!$Y825))</f>
        <v/>
      </c>
      <c r="G847" s="3">
        <f>IF('ORDENES'!$A825="","",IF('ORDENES'!$W825="","-",'ORDENES'!$W825))</f>
        <v/>
      </c>
      <c r="H847" s="3">
        <f>IF('ORDENES'!$A825="","",IF('ORDENES'!$AE825="","-",'ORDENES'!$AE825))</f>
        <v/>
      </c>
      <c r="I847" s="3">
        <f>IF('ORDENES'!$A825="","",IF('ORDENES'!$AQ825="","-",'ORDENES'!$AQ825))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IF('ORDENES'!$A825="","",'ORDENES'!$AD825)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IF('ORDENES'!$A826="","",IF('ORDENES'!$AF826="","-",'ORDENES'!$AF826))</f>
        <v/>
      </c>
      <c r="D848" s="3">
        <f>IF('ORDENES'!$A826="","",IF('ORDENES'!$X826="","-",'ORDENES'!$X826))</f>
        <v/>
      </c>
      <c r="E848" s="3">
        <f>IF('ORDENES'!$A826="","",IF('ORDENES'!$V826="","-",'ORDENES'!$V826))</f>
        <v/>
      </c>
      <c r="F848" s="3">
        <f>IF('ORDENES'!$A826="","",IF('ORDENES'!$Y826="","-",'ORDENES'!$Y826))</f>
        <v/>
      </c>
      <c r="G848" s="3">
        <f>IF('ORDENES'!$A826="","",IF('ORDENES'!$W826="","-",'ORDENES'!$W826))</f>
        <v/>
      </c>
      <c r="H848" s="3">
        <f>IF('ORDENES'!$A826="","",IF('ORDENES'!$AE826="","-",'ORDENES'!$AE826))</f>
        <v/>
      </c>
      <c r="I848" s="3">
        <f>IF('ORDENES'!$A826="","",IF('ORDENES'!$AQ826="","-",'ORDENES'!$AQ826))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IF('ORDENES'!$A826="","",'ORDENES'!$AD826)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IF('ORDENES'!$A827="","",IF('ORDENES'!$AF827="","-",'ORDENES'!$AF827))</f>
        <v/>
      </c>
      <c r="D849" s="3">
        <f>IF('ORDENES'!$A827="","",IF('ORDENES'!$X827="","-",'ORDENES'!$X827))</f>
        <v/>
      </c>
      <c r="E849" s="3">
        <f>IF('ORDENES'!$A827="","",IF('ORDENES'!$V827="","-",'ORDENES'!$V827))</f>
        <v/>
      </c>
      <c r="F849" s="3">
        <f>IF('ORDENES'!$A827="","",IF('ORDENES'!$Y827="","-",'ORDENES'!$Y827))</f>
        <v/>
      </c>
      <c r="G849" s="3">
        <f>IF('ORDENES'!$A827="","",IF('ORDENES'!$W827="","-",'ORDENES'!$W827))</f>
        <v/>
      </c>
      <c r="H849" s="3">
        <f>IF('ORDENES'!$A827="","",IF('ORDENES'!$AE827="","-",'ORDENES'!$AE827))</f>
        <v/>
      </c>
      <c r="I849" s="3">
        <f>IF('ORDENES'!$A827="","",IF('ORDENES'!$AQ827="","-",'ORDENES'!$AQ827))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IF('ORDENES'!$A827="","",'ORDENES'!$AD827)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IF('ORDENES'!$A828="","",IF('ORDENES'!$AF828="","-",'ORDENES'!$AF828))</f>
        <v/>
      </c>
      <c r="D850" s="3">
        <f>IF('ORDENES'!$A828="","",IF('ORDENES'!$X828="","-",'ORDENES'!$X828))</f>
        <v/>
      </c>
      <c r="E850" s="3">
        <f>IF('ORDENES'!$A828="","",IF('ORDENES'!$V828="","-",'ORDENES'!$V828))</f>
        <v/>
      </c>
      <c r="F850" s="3">
        <f>IF('ORDENES'!$A828="","",IF('ORDENES'!$Y828="","-",'ORDENES'!$Y828))</f>
        <v/>
      </c>
      <c r="G850" s="3">
        <f>IF('ORDENES'!$A828="","",IF('ORDENES'!$W828="","-",'ORDENES'!$W828))</f>
        <v/>
      </c>
      <c r="H850" s="3">
        <f>IF('ORDENES'!$A828="","",IF('ORDENES'!$AE828="","-",'ORDENES'!$AE828))</f>
        <v/>
      </c>
      <c r="I850" s="3">
        <f>IF('ORDENES'!$A828="","",IF('ORDENES'!$AQ828="","-",'ORDENES'!$AQ828))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IF('ORDENES'!$A828="","",'ORDENES'!$AD828)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IF('ORDENES'!$A829="","",IF('ORDENES'!$AF829="","-",'ORDENES'!$AF829))</f>
        <v/>
      </c>
      <c r="D851" s="3">
        <f>IF('ORDENES'!$A829="","",IF('ORDENES'!$X829="","-",'ORDENES'!$X829))</f>
        <v/>
      </c>
      <c r="E851" s="3">
        <f>IF('ORDENES'!$A829="","",IF('ORDENES'!$V829="","-",'ORDENES'!$V829))</f>
        <v/>
      </c>
      <c r="F851" s="3">
        <f>IF('ORDENES'!$A829="","",IF('ORDENES'!$Y829="","-",'ORDENES'!$Y829))</f>
        <v/>
      </c>
      <c r="G851" s="3">
        <f>IF('ORDENES'!$A829="","",IF('ORDENES'!$W829="","-",'ORDENES'!$W829))</f>
        <v/>
      </c>
      <c r="H851" s="3">
        <f>IF('ORDENES'!$A829="","",IF('ORDENES'!$AE829="","-",'ORDENES'!$AE829))</f>
        <v/>
      </c>
      <c r="I851" s="3">
        <f>IF('ORDENES'!$A829="","",IF('ORDENES'!$AQ829="","-",'ORDENES'!$AQ829))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IF('ORDENES'!$A829="","",'ORDENES'!$AD829)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IF('ORDENES'!$A830="","",IF('ORDENES'!$AF830="","-",'ORDENES'!$AF830))</f>
        <v/>
      </c>
      <c r="D852" s="3">
        <f>IF('ORDENES'!$A830="","",IF('ORDENES'!$X830="","-",'ORDENES'!$X830))</f>
        <v/>
      </c>
      <c r="E852" s="3">
        <f>IF('ORDENES'!$A830="","",IF('ORDENES'!$V830="","-",'ORDENES'!$V830))</f>
        <v/>
      </c>
      <c r="F852" s="3">
        <f>IF('ORDENES'!$A830="","",IF('ORDENES'!$Y830="","-",'ORDENES'!$Y830))</f>
        <v/>
      </c>
      <c r="G852" s="3">
        <f>IF('ORDENES'!$A830="","",IF('ORDENES'!$W830="","-",'ORDENES'!$W830))</f>
        <v/>
      </c>
      <c r="H852" s="3">
        <f>IF('ORDENES'!$A830="","",IF('ORDENES'!$AE830="","-",'ORDENES'!$AE830))</f>
        <v/>
      </c>
      <c r="I852" s="3">
        <f>IF('ORDENES'!$A830="","",IF('ORDENES'!$AQ830="","-",'ORDENES'!$AQ830))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IF('ORDENES'!$A830="","",'ORDENES'!$AD830)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IF('ORDENES'!$A831="","",IF('ORDENES'!$AF831="","-",'ORDENES'!$AF831))</f>
        <v/>
      </c>
      <c r="D853" s="3">
        <f>IF('ORDENES'!$A831="","",IF('ORDENES'!$X831="","-",'ORDENES'!$X831))</f>
        <v/>
      </c>
      <c r="E853" s="3">
        <f>IF('ORDENES'!$A831="","",IF('ORDENES'!$V831="","-",'ORDENES'!$V831))</f>
        <v/>
      </c>
      <c r="F853" s="3">
        <f>IF('ORDENES'!$A831="","",IF('ORDENES'!$Y831="","-",'ORDENES'!$Y831))</f>
        <v/>
      </c>
      <c r="G853" s="3">
        <f>IF('ORDENES'!$A831="","",IF('ORDENES'!$W831="","-",'ORDENES'!$W831))</f>
        <v/>
      </c>
      <c r="H853" s="3">
        <f>IF('ORDENES'!$A831="","",IF('ORDENES'!$AE831="","-",'ORDENES'!$AE831))</f>
        <v/>
      </c>
      <c r="I853" s="3">
        <f>IF('ORDENES'!$A831="","",IF('ORDENES'!$AQ831="","-",'ORDENES'!$AQ831))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IF('ORDENES'!$A831="","",'ORDENES'!$AD831)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IF('ORDENES'!$A832="","",IF('ORDENES'!$AF832="","-",'ORDENES'!$AF832))</f>
        <v/>
      </c>
      <c r="D854" s="3">
        <f>IF('ORDENES'!$A832="","",IF('ORDENES'!$X832="","-",'ORDENES'!$X832))</f>
        <v/>
      </c>
      <c r="E854" s="3">
        <f>IF('ORDENES'!$A832="","",IF('ORDENES'!$V832="","-",'ORDENES'!$V832))</f>
        <v/>
      </c>
      <c r="F854" s="3">
        <f>IF('ORDENES'!$A832="","",IF('ORDENES'!$Y832="","-",'ORDENES'!$Y832))</f>
        <v/>
      </c>
      <c r="G854" s="3">
        <f>IF('ORDENES'!$A832="","",IF('ORDENES'!$W832="","-",'ORDENES'!$W832))</f>
        <v/>
      </c>
      <c r="H854" s="3">
        <f>IF('ORDENES'!$A832="","",IF('ORDENES'!$AE832="","-",'ORDENES'!$AE832))</f>
        <v/>
      </c>
      <c r="I854" s="3">
        <f>IF('ORDENES'!$A832="","",IF('ORDENES'!$AQ832="","-",'ORDENES'!$AQ832))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IF('ORDENES'!$A832="","",'ORDENES'!$AD832)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IF('ORDENES'!$A833="","",IF('ORDENES'!$AF833="","-",'ORDENES'!$AF833))</f>
        <v/>
      </c>
      <c r="D855" s="3">
        <f>IF('ORDENES'!$A833="","",IF('ORDENES'!$X833="","-",'ORDENES'!$X833))</f>
        <v/>
      </c>
      <c r="E855" s="3">
        <f>IF('ORDENES'!$A833="","",IF('ORDENES'!$V833="","-",'ORDENES'!$V833))</f>
        <v/>
      </c>
      <c r="F855" s="3">
        <f>IF('ORDENES'!$A833="","",IF('ORDENES'!$Y833="","-",'ORDENES'!$Y833))</f>
        <v/>
      </c>
      <c r="G855" s="3">
        <f>IF('ORDENES'!$A833="","",IF('ORDENES'!$W833="","-",'ORDENES'!$W833))</f>
        <v/>
      </c>
      <c r="H855" s="3">
        <f>IF('ORDENES'!$A833="","",IF('ORDENES'!$AE833="","-",'ORDENES'!$AE833))</f>
        <v/>
      </c>
      <c r="I855" s="3">
        <f>IF('ORDENES'!$A833="","",IF('ORDENES'!$AQ833="","-",'ORDENES'!$AQ833))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IF('ORDENES'!$A833="","",'ORDENES'!$AD833)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IF('ORDENES'!$A834="","",IF('ORDENES'!$AF834="","-",'ORDENES'!$AF834))</f>
        <v/>
      </c>
      <c r="D856" s="3">
        <f>IF('ORDENES'!$A834="","",IF('ORDENES'!$X834="","-",'ORDENES'!$X834))</f>
        <v/>
      </c>
      <c r="E856" s="3">
        <f>IF('ORDENES'!$A834="","",IF('ORDENES'!$V834="","-",'ORDENES'!$V834))</f>
        <v/>
      </c>
      <c r="F856" s="3">
        <f>IF('ORDENES'!$A834="","",IF('ORDENES'!$Y834="","-",'ORDENES'!$Y834))</f>
        <v/>
      </c>
      <c r="G856" s="3">
        <f>IF('ORDENES'!$A834="","",IF('ORDENES'!$W834="","-",'ORDENES'!$W834))</f>
        <v/>
      </c>
      <c r="H856" s="3">
        <f>IF('ORDENES'!$A834="","",IF('ORDENES'!$AE834="","-",'ORDENES'!$AE834))</f>
        <v/>
      </c>
      <c r="I856" s="3">
        <f>IF('ORDENES'!$A834="","",IF('ORDENES'!$AQ834="","-",'ORDENES'!$AQ834))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IF('ORDENES'!$A834="","",'ORDENES'!$AD834)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IF('ORDENES'!$A835="","",IF('ORDENES'!$AF835="","-",'ORDENES'!$AF835))</f>
        <v/>
      </c>
      <c r="D857" s="3">
        <f>IF('ORDENES'!$A835="","",IF('ORDENES'!$X835="","-",'ORDENES'!$X835))</f>
        <v/>
      </c>
      <c r="E857" s="3">
        <f>IF('ORDENES'!$A835="","",IF('ORDENES'!$V835="","-",'ORDENES'!$V835))</f>
        <v/>
      </c>
      <c r="F857" s="3">
        <f>IF('ORDENES'!$A835="","",IF('ORDENES'!$Y835="","-",'ORDENES'!$Y835))</f>
        <v/>
      </c>
      <c r="G857" s="3">
        <f>IF('ORDENES'!$A835="","",IF('ORDENES'!$W835="","-",'ORDENES'!$W835))</f>
        <v/>
      </c>
      <c r="H857" s="3">
        <f>IF('ORDENES'!$A835="","",IF('ORDENES'!$AE835="","-",'ORDENES'!$AE835))</f>
        <v/>
      </c>
      <c r="I857" s="3">
        <f>IF('ORDENES'!$A835="","",IF('ORDENES'!$AQ835="","-",'ORDENES'!$AQ835))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IF('ORDENES'!$A835="","",'ORDENES'!$AD835)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IF('ORDENES'!$A836="","",IF('ORDENES'!$AF836="","-",'ORDENES'!$AF836))</f>
        <v/>
      </c>
      <c r="D858" s="3">
        <f>IF('ORDENES'!$A836="","",IF('ORDENES'!$X836="","-",'ORDENES'!$X836))</f>
        <v/>
      </c>
      <c r="E858" s="3">
        <f>IF('ORDENES'!$A836="","",IF('ORDENES'!$V836="","-",'ORDENES'!$V836))</f>
        <v/>
      </c>
      <c r="F858" s="3">
        <f>IF('ORDENES'!$A836="","",IF('ORDENES'!$Y836="","-",'ORDENES'!$Y836))</f>
        <v/>
      </c>
      <c r="G858" s="3">
        <f>IF('ORDENES'!$A836="","",IF('ORDENES'!$W836="","-",'ORDENES'!$W836))</f>
        <v/>
      </c>
      <c r="H858" s="3">
        <f>IF('ORDENES'!$A836="","",IF('ORDENES'!$AE836="","-",'ORDENES'!$AE836))</f>
        <v/>
      </c>
      <c r="I858" s="3">
        <f>IF('ORDENES'!$A836="","",IF('ORDENES'!$AQ836="","-",'ORDENES'!$AQ836))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IF('ORDENES'!$A836="","",'ORDENES'!$AD836)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IF('ORDENES'!$A837="","",IF('ORDENES'!$AF837="","-",'ORDENES'!$AF837))</f>
        <v/>
      </c>
      <c r="D859" s="3">
        <f>IF('ORDENES'!$A837="","",IF('ORDENES'!$X837="","-",'ORDENES'!$X837))</f>
        <v/>
      </c>
      <c r="E859" s="3">
        <f>IF('ORDENES'!$A837="","",IF('ORDENES'!$V837="","-",'ORDENES'!$V837))</f>
        <v/>
      </c>
      <c r="F859" s="3">
        <f>IF('ORDENES'!$A837="","",IF('ORDENES'!$Y837="","-",'ORDENES'!$Y837))</f>
        <v/>
      </c>
      <c r="G859" s="3">
        <f>IF('ORDENES'!$A837="","",IF('ORDENES'!$W837="","-",'ORDENES'!$W837))</f>
        <v/>
      </c>
      <c r="H859" s="3">
        <f>IF('ORDENES'!$A837="","",IF('ORDENES'!$AE837="","-",'ORDENES'!$AE837))</f>
        <v/>
      </c>
      <c r="I859" s="3">
        <f>IF('ORDENES'!$A837="","",IF('ORDENES'!$AQ837="","-",'ORDENES'!$AQ837))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IF('ORDENES'!$A837="","",'ORDENES'!$AD837)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IF('ORDENES'!$A838="","",IF('ORDENES'!$AF838="","-",'ORDENES'!$AF838))</f>
        <v/>
      </c>
      <c r="D860" s="3">
        <f>IF('ORDENES'!$A838="","",IF('ORDENES'!$X838="","-",'ORDENES'!$X838))</f>
        <v/>
      </c>
      <c r="E860" s="3">
        <f>IF('ORDENES'!$A838="","",IF('ORDENES'!$V838="","-",'ORDENES'!$V838))</f>
        <v/>
      </c>
      <c r="F860" s="3">
        <f>IF('ORDENES'!$A838="","",IF('ORDENES'!$Y838="","-",'ORDENES'!$Y838))</f>
        <v/>
      </c>
      <c r="G860" s="3">
        <f>IF('ORDENES'!$A838="","",IF('ORDENES'!$W838="","-",'ORDENES'!$W838))</f>
        <v/>
      </c>
      <c r="H860" s="3">
        <f>IF('ORDENES'!$A838="","",IF('ORDENES'!$AE838="","-",'ORDENES'!$AE838))</f>
        <v/>
      </c>
      <c r="I860" s="3">
        <f>IF('ORDENES'!$A838="","",IF('ORDENES'!$AQ838="","-",'ORDENES'!$AQ838))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IF('ORDENES'!$A838="","",'ORDENES'!$AD838)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IF('ORDENES'!$A839="","",IF('ORDENES'!$AF839="","-",'ORDENES'!$AF839))</f>
        <v/>
      </c>
      <c r="D861" s="3">
        <f>IF('ORDENES'!$A839="","",IF('ORDENES'!$X839="","-",'ORDENES'!$X839))</f>
        <v/>
      </c>
      <c r="E861" s="3">
        <f>IF('ORDENES'!$A839="","",IF('ORDENES'!$V839="","-",'ORDENES'!$V839))</f>
        <v/>
      </c>
      <c r="F861" s="3">
        <f>IF('ORDENES'!$A839="","",IF('ORDENES'!$Y839="","-",'ORDENES'!$Y839))</f>
        <v/>
      </c>
      <c r="G861" s="3">
        <f>IF('ORDENES'!$A839="","",IF('ORDENES'!$W839="","-",'ORDENES'!$W839))</f>
        <v/>
      </c>
      <c r="H861" s="3">
        <f>IF('ORDENES'!$A839="","",IF('ORDENES'!$AE839="","-",'ORDENES'!$AE839))</f>
        <v/>
      </c>
      <c r="I861" s="3">
        <f>IF('ORDENES'!$A839="","",IF('ORDENES'!$AQ839="","-",'ORDENES'!$AQ839))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IF('ORDENES'!$A839="","",'ORDENES'!$AD839)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IF('ORDENES'!$A840="","",IF('ORDENES'!$AF840="","-",'ORDENES'!$AF840))</f>
        <v/>
      </c>
      <c r="D862" s="3">
        <f>IF('ORDENES'!$A840="","",IF('ORDENES'!$X840="","-",'ORDENES'!$X840))</f>
        <v/>
      </c>
      <c r="E862" s="3">
        <f>IF('ORDENES'!$A840="","",IF('ORDENES'!$V840="","-",'ORDENES'!$V840))</f>
        <v/>
      </c>
      <c r="F862" s="3">
        <f>IF('ORDENES'!$A840="","",IF('ORDENES'!$Y840="","-",'ORDENES'!$Y840))</f>
        <v/>
      </c>
      <c r="G862" s="3">
        <f>IF('ORDENES'!$A840="","",IF('ORDENES'!$W840="","-",'ORDENES'!$W840))</f>
        <v/>
      </c>
      <c r="H862" s="3">
        <f>IF('ORDENES'!$A840="","",IF('ORDENES'!$AE840="","-",'ORDENES'!$AE840))</f>
        <v/>
      </c>
      <c r="I862" s="3">
        <f>IF('ORDENES'!$A840="","",IF('ORDENES'!$AQ840="","-",'ORDENES'!$AQ840))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IF('ORDENES'!$A840="","",'ORDENES'!$AD840)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IF('ORDENES'!$A841="","",IF('ORDENES'!$AF841="","-",'ORDENES'!$AF841))</f>
        <v/>
      </c>
      <c r="D863" s="3">
        <f>IF('ORDENES'!$A841="","",IF('ORDENES'!$X841="","-",'ORDENES'!$X841))</f>
        <v/>
      </c>
      <c r="E863" s="3">
        <f>IF('ORDENES'!$A841="","",IF('ORDENES'!$V841="","-",'ORDENES'!$V841))</f>
        <v/>
      </c>
      <c r="F863" s="3">
        <f>IF('ORDENES'!$A841="","",IF('ORDENES'!$Y841="","-",'ORDENES'!$Y841))</f>
        <v/>
      </c>
      <c r="G863" s="3">
        <f>IF('ORDENES'!$A841="","",IF('ORDENES'!$W841="","-",'ORDENES'!$W841))</f>
        <v/>
      </c>
      <c r="H863" s="3">
        <f>IF('ORDENES'!$A841="","",IF('ORDENES'!$AE841="","-",'ORDENES'!$AE841))</f>
        <v/>
      </c>
      <c r="I863" s="3">
        <f>IF('ORDENES'!$A841="","",IF('ORDENES'!$AQ841="","-",'ORDENES'!$AQ841))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IF('ORDENES'!$A841="","",'ORDENES'!$AD841)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IF('ORDENES'!$A842="","",IF('ORDENES'!$AF842="","-",'ORDENES'!$AF842))</f>
        <v/>
      </c>
      <c r="D864" s="3">
        <f>IF('ORDENES'!$A842="","",IF('ORDENES'!$X842="","-",'ORDENES'!$X842))</f>
        <v/>
      </c>
      <c r="E864" s="3">
        <f>IF('ORDENES'!$A842="","",IF('ORDENES'!$V842="","-",'ORDENES'!$V842))</f>
        <v/>
      </c>
      <c r="F864" s="3">
        <f>IF('ORDENES'!$A842="","",IF('ORDENES'!$Y842="","-",'ORDENES'!$Y842))</f>
        <v/>
      </c>
      <c r="G864" s="3">
        <f>IF('ORDENES'!$A842="","",IF('ORDENES'!$W842="","-",'ORDENES'!$W842))</f>
        <v/>
      </c>
      <c r="H864" s="3">
        <f>IF('ORDENES'!$A842="","",IF('ORDENES'!$AE842="","-",'ORDENES'!$AE842))</f>
        <v/>
      </c>
      <c r="I864" s="3">
        <f>IF('ORDENES'!$A842="","",IF('ORDENES'!$AQ842="","-",'ORDENES'!$AQ842))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IF('ORDENES'!$A842="","",'ORDENES'!$AD842)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IF('ORDENES'!$A843="","",IF('ORDENES'!$AF843="","-",'ORDENES'!$AF843))</f>
        <v/>
      </c>
      <c r="D865" s="3">
        <f>IF('ORDENES'!$A843="","",IF('ORDENES'!$X843="","-",'ORDENES'!$X843))</f>
        <v/>
      </c>
      <c r="E865" s="3">
        <f>IF('ORDENES'!$A843="","",IF('ORDENES'!$V843="","-",'ORDENES'!$V843))</f>
        <v/>
      </c>
      <c r="F865" s="3">
        <f>IF('ORDENES'!$A843="","",IF('ORDENES'!$Y843="","-",'ORDENES'!$Y843))</f>
        <v/>
      </c>
      <c r="G865" s="3">
        <f>IF('ORDENES'!$A843="","",IF('ORDENES'!$W843="","-",'ORDENES'!$W843))</f>
        <v/>
      </c>
      <c r="H865" s="3">
        <f>IF('ORDENES'!$A843="","",IF('ORDENES'!$AE843="","-",'ORDENES'!$AE843))</f>
        <v/>
      </c>
      <c r="I865" s="3">
        <f>IF('ORDENES'!$A843="","",IF('ORDENES'!$AQ843="","-",'ORDENES'!$AQ843))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IF('ORDENES'!$A843="","",'ORDENES'!$AD843)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IF('ORDENES'!$A844="","",IF('ORDENES'!$AF844="","-",'ORDENES'!$AF844))</f>
        <v/>
      </c>
      <c r="D866" s="3">
        <f>IF('ORDENES'!$A844="","",IF('ORDENES'!$X844="","-",'ORDENES'!$X844))</f>
        <v/>
      </c>
      <c r="E866" s="3">
        <f>IF('ORDENES'!$A844="","",IF('ORDENES'!$V844="","-",'ORDENES'!$V844))</f>
        <v/>
      </c>
      <c r="F866" s="3">
        <f>IF('ORDENES'!$A844="","",IF('ORDENES'!$Y844="","-",'ORDENES'!$Y844))</f>
        <v/>
      </c>
      <c r="G866" s="3">
        <f>IF('ORDENES'!$A844="","",IF('ORDENES'!$W844="","-",'ORDENES'!$W844))</f>
        <v/>
      </c>
      <c r="H866" s="3">
        <f>IF('ORDENES'!$A844="","",IF('ORDENES'!$AE844="","-",'ORDENES'!$AE844))</f>
        <v/>
      </c>
      <c r="I866" s="3">
        <f>IF('ORDENES'!$A844="","",IF('ORDENES'!$AQ844="","-",'ORDENES'!$AQ844))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IF('ORDENES'!$A844="","",'ORDENES'!$AD844)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IF('ORDENES'!$A845="","",IF('ORDENES'!$AF845="","-",'ORDENES'!$AF845))</f>
        <v/>
      </c>
      <c r="D867" s="3">
        <f>IF('ORDENES'!$A845="","",IF('ORDENES'!$X845="","-",'ORDENES'!$X845))</f>
        <v/>
      </c>
      <c r="E867" s="3">
        <f>IF('ORDENES'!$A845="","",IF('ORDENES'!$V845="","-",'ORDENES'!$V845))</f>
        <v/>
      </c>
      <c r="F867" s="3">
        <f>IF('ORDENES'!$A845="","",IF('ORDENES'!$Y845="","-",'ORDENES'!$Y845))</f>
        <v/>
      </c>
      <c r="G867" s="3">
        <f>IF('ORDENES'!$A845="","",IF('ORDENES'!$W845="","-",'ORDENES'!$W845))</f>
        <v/>
      </c>
      <c r="H867" s="3">
        <f>IF('ORDENES'!$A845="","",IF('ORDENES'!$AE845="","-",'ORDENES'!$AE845))</f>
        <v/>
      </c>
      <c r="I867" s="3">
        <f>IF('ORDENES'!$A845="","",IF('ORDENES'!$AQ845="","-",'ORDENES'!$AQ845))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IF('ORDENES'!$A845="","",'ORDENES'!$AD845)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IF('ORDENES'!$A846="","",IF('ORDENES'!$AF846="","-",'ORDENES'!$AF846))</f>
        <v/>
      </c>
      <c r="D868" s="3">
        <f>IF('ORDENES'!$A846="","",IF('ORDENES'!$X846="","-",'ORDENES'!$X846))</f>
        <v/>
      </c>
      <c r="E868" s="3">
        <f>IF('ORDENES'!$A846="","",IF('ORDENES'!$V846="","-",'ORDENES'!$V846))</f>
        <v/>
      </c>
      <c r="F868" s="3">
        <f>IF('ORDENES'!$A846="","",IF('ORDENES'!$Y846="","-",'ORDENES'!$Y846))</f>
        <v/>
      </c>
      <c r="G868" s="3">
        <f>IF('ORDENES'!$A846="","",IF('ORDENES'!$W846="","-",'ORDENES'!$W846))</f>
        <v/>
      </c>
      <c r="H868" s="3">
        <f>IF('ORDENES'!$A846="","",IF('ORDENES'!$AE846="","-",'ORDENES'!$AE846))</f>
        <v/>
      </c>
      <c r="I868" s="3">
        <f>IF('ORDENES'!$A846="","",IF('ORDENES'!$AQ846="","-",'ORDENES'!$AQ846))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IF('ORDENES'!$A846="","",'ORDENES'!$AD846)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IF('ORDENES'!$A847="","",IF('ORDENES'!$AF847="","-",'ORDENES'!$AF847))</f>
        <v/>
      </c>
      <c r="D869" s="3">
        <f>IF('ORDENES'!$A847="","",IF('ORDENES'!$X847="","-",'ORDENES'!$X847))</f>
        <v/>
      </c>
      <c r="E869" s="3">
        <f>IF('ORDENES'!$A847="","",IF('ORDENES'!$V847="","-",'ORDENES'!$V847))</f>
        <v/>
      </c>
      <c r="F869" s="3">
        <f>IF('ORDENES'!$A847="","",IF('ORDENES'!$Y847="","-",'ORDENES'!$Y847))</f>
        <v/>
      </c>
      <c r="G869" s="3">
        <f>IF('ORDENES'!$A847="","",IF('ORDENES'!$W847="","-",'ORDENES'!$W847))</f>
        <v/>
      </c>
      <c r="H869" s="3">
        <f>IF('ORDENES'!$A847="","",IF('ORDENES'!$AE847="","-",'ORDENES'!$AE847))</f>
        <v/>
      </c>
      <c r="I869" s="3">
        <f>IF('ORDENES'!$A847="","",IF('ORDENES'!$AQ847="","-",'ORDENES'!$AQ847))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IF('ORDENES'!$A847="","",'ORDENES'!$AD847)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IF('ORDENES'!$A848="","",IF('ORDENES'!$AF848="","-",'ORDENES'!$AF848))</f>
        <v/>
      </c>
      <c r="D870" s="3">
        <f>IF('ORDENES'!$A848="","",IF('ORDENES'!$X848="","-",'ORDENES'!$X848))</f>
        <v/>
      </c>
      <c r="E870" s="3">
        <f>IF('ORDENES'!$A848="","",IF('ORDENES'!$V848="","-",'ORDENES'!$V848))</f>
        <v/>
      </c>
      <c r="F870" s="3">
        <f>IF('ORDENES'!$A848="","",IF('ORDENES'!$Y848="","-",'ORDENES'!$Y848))</f>
        <v/>
      </c>
      <c r="G870" s="3">
        <f>IF('ORDENES'!$A848="","",IF('ORDENES'!$W848="","-",'ORDENES'!$W848))</f>
        <v/>
      </c>
      <c r="H870" s="3">
        <f>IF('ORDENES'!$A848="","",IF('ORDENES'!$AE848="","-",'ORDENES'!$AE848))</f>
        <v/>
      </c>
      <c r="I870" s="3">
        <f>IF('ORDENES'!$A848="","",IF('ORDENES'!$AQ848="","-",'ORDENES'!$AQ848))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IF('ORDENES'!$A848="","",'ORDENES'!$AD848)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IF('ORDENES'!$A849="","",IF('ORDENES'!$AF849="","-",'ORDENES'!$AF849))</f>
        <v/>
      </c>
      <c r="D871" s="3">
        <f>IF('ORDENES'!$A849="","",IF('ORDENES'!$X849="","-",'ORDENES'!$X849))</f>
        <v/>
      </c>
      <c r="E871" s="3">
        <f>IF('ORDENES'!$A849="","",IF('ORDENES'!$V849="","-",'ORDENES'!$V849))</f>
        <v/>
      </c>
      <c r="F871" s="3">
        <f>IF('ORDENES'!$A849="","",IF('ORDENES'!$Y849="","-",'ORDENES'!$Y849))</f>
        <v/>
      </c>
      <c r="G871" s="3">
        <f>IF('ORDENES'!$A849="","",IF('ORDENES'!$W849="","-",'ORDENES'!$W849))</f>
        <v/>
      </c>
      <c r="H871" s="3">
        <f>IF('ORDENES'!$A849="","",IF('ORDENES'!$AE849="","-",'ORDENES'!$AE849))</f>
        <v/>
      </c>
      <c r="I871" s="3">
        <f>IF('ORDENES'!$A849="","",IF('ORDENES'!$AQ849="","-",'ORDENES'!$AQ849))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IF('ORDENES'!$A849="","",'ORDENES'!$AD849)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IF('ORDENES'!$A850="","",IF('ORDENES'!$AF850="","-",'ORDENES'!$AF850))</f>
        <v/>
      </c>
      <c r="D872" s="3">
        <f>IF('ORDENES'!$A850="","",IF('ORDENES'!$X850="","-",'ORDENES'!$X850))</f>
        <v/>
      </c>
      <c r="E872" s="3">
        <f>IF('ORDENES'!$A850="","",IF('ORDENES'!$V850="","-",'ORDENES'!$V850))</f>
        <v/>
      </c>
      <c r="F872" s="3">
        <f>IF('ORDENES'!$A850="","",IF('ORDENES'!$Y850="","-",'ORDENES'!$Y850))</f>
        <v/>
      </c>
      <c r="G872" s="3">
        <f>IF('ORDENES'!$A850="","",IF('ORDENES'!$W850="","-",'ORDENES'!$W850))</f>
        <v/>
      </c>
      <c r="H872" s="3">
        <f>IF('ORDENES'!$A850="","",IF('ORDENES'!$AE850="","-",'ORDENES'!$AE850))</f>
        <v/>
      </c>
      <c r="I872" s="3">
        <f>IF('ORDENES'!$A850="","",IF('ORDENES'!$AQ850="","-",'ORDENES'!$AQ850))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IF('ORDENES'!$A850="","",'ORDENES'!$AD850)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IF('ORDENES'!$A851="","",IF('ORDENES'!$AF851="","-",'ORDENES'!$AF851))</f>
        <v/>
      </c>
      <c r="D873" s="3">
        <f>IF('ORDENES'!$A851="","",IF('ORDENES'!$X851="","-",'ORDENES'!$X851))</f>
        <v/>
      </c>
      <c r="E873" s="3">
        <f>IF('ORDENES'!$A851="","",IF('ORDENES'!$V851="","-",'ORDENES'!$V851))</f>
        <v/>
      </c>
      <c r="F873" s="3">
        <f>IF('ORDENES'!$A851="","",IF('ORDENES'!$Y851="","-",'ORDENES'!$Y851))</f>
        <v/>
      </c>
      <c r="G873" s="3">
        <f>IF('ORDENES'!$A851="","",IF('ORDENES'!$W851="","-",'ORDENES'!$W851))</f>
        <v/>
      </c>
      <c r="H873" s="3">
        <f>IF('ORDENES'!$A851="","",IF('ORDENES'!$AE851="","-",'ORDENES'!$AE851))</f>
        <v/>
      </c>
      <c r="I873" s="3">
        <f>IF('ORDENES'!$A851="","",IF('ORDENES'!$AQ851="","-",'ORDENES'!$AQ851))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IF('ORDENES'!$A851="","",'ORDENES'!$AD851)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IF('ORDENES'!$A852="","",IF('ORDENES'!$AF852="","-",'ORDENES'!$AF852))</f>
        <v/>
      </c>
      <c r="D874" s="3">
        <f>IF('ORDENES'!$A852="","",IF('ORDENES'!$X852="","-",'ORDENES'!$X852))</f>
        <v/>
      </c>
      <c r="E874" s="3">
        <f>IF('ORDENES'!$A852="","",IF('ORDENES'!$V852="","-",'ORDENES'!$V852))</f>
        <v/>
      </c>
      <c r="F874" s="3">
        <f>IF('ORDENES'!$A852="","",IF('ORDENES'!$Y852="","-",'ORDENES'!$Y852))</f>
        <v/>
      </c>
      <c r="G874" s="3">
        <f>IF('ORDENES'!$A852="","",IF('ORDENES'!$W852="","-",'ORDENES'!$W852))</f>
        <v/>
      </c>
      <c r="H874" s="3">
        <f>IF('ORDENES'!$A852="","",IF('ORDENES'!$AE852="","-",'ORDENES'!$AE852))</f>
        <v/>
      </c>
      <c r="I874" s="3">
        <f>IF('ORDENES'!$A852="","",IF('ORDENES'!$AQ852="","-",'ORDENES'!$AQ852))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IF('ORDENES'!$A852="","",'ORDENES'!$AD852)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IF('ORDENES'!$A853="","",IF('ORDENES'!$AF853="","-",'ORDENES'!$AF853))</f>
        <v/>
      </c>
      <c r="D875" s="3">
        <f>IF('ORDENES'!$A853="","",IF('ORDENES'!$X853="","-",'ORDENES'!$X853))</f>
        <v/>
      </c>
      <c r="E875" s="3">
        <f>IF('ORDENES'!$A853="","",IF('ORDENES'!$V853="","-",'ORDENES'!$V853))</f>
        <v/>
      </c>
      <c r="F875" s="3">
        <f>IF('ORDENES'!$A853="","",IF('ORDENES'!$Y853="","-",'ORDENES'!$Y853))</f>
        <v/>
      </c>
      <c r="G875" s="3">
        <f>IF('ORDENES'!$A853="","",IF('ORDENES'!$W853="","-",'ORDENES'!$W853))</f>
        <v/>
      </c>
      <c r="H875" s="3">
        <f>IF('ORDENES'!$A853="","",IF('ORDENES'!$AE853="","-",'ORDENES'!$AE853))</f>
        <v/>
      </c>
      <c r="I875" s="3">
        <f>IF('ORDENES'!$A853="","",IF('ORDENES'!$AQ853="","-",'ORDENES'!$AQ853))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IF('ORDENES'!$A853="","",'ORDENES'!$AD853)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IF('ORDENES'!$A854="","",IF('ORDENES'!$AF854="","-",'ORDENES'!$AF854))</f>
        <v/>
      </c>
      <c r="D876" s="3">
        <f>IF('ORDENES'!$A854="","",IF('ORDENES'!$X854="","-",'ORDENES'!$X854))</f>
        <v/>
      </c>
      <c r="E876" s="3">
        <f>IF('ORDENES'!$A854="","",IF('ORDENES'!$V854="","-",'ORDENES'!$V854))</f>
        <v/>
      </c>
      <c r="F876" s="3">
        <f>IF('ORDENES'!$A854="","",IF('ORDENES'!$Y854="","-",'ORDENES'!$Y854))</f>
        <v/>
      </c>
      <c r="G876" s="3">
        <f>IF('ORDENES'!$A854="","",IF('ORDENES'!$W854="","-",'ORDENES'!$W854))</f>
        <v/>
      </c>
      <c r="H876" s="3">
        <f>IF('ORDENES'!$A854="","",IF('ORDENES'!$AE854="","-",'ORDENES'!$AE854))</f>
        <v/>
      </c>
      <c r="I876" s="3">
        <f>IF('ORDENES'!$A854="","",IF('ORDENES'!$AQ854="","-",'ORDENES'!$AQ854))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IF('ORDENES'!$A854="","",'ORDENES'!$AD854)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IF('ORDENES'!$A855="","",IF('ORDENES'!$AF855="","-",'ORDENES'!$AF855))</f>
        <v/>
      </c>
      <c r="D877" s="3">
        <f>IF('ORDENES'!$A855="","",IF('ORDENES'!$X855="","-",'ORDENES'!$X855))</f>
        <v/>
      </c>
      <c r="E877" s="3">
        <f>IF('ORDENES'!$A855="","",IF('ORDENES'!$V855="","-",'ORDENES'!$V855))</f>
        <v/>
      </c>
      <c r="F877" s="3">
        <f>IF('ORDENES'!$A855="","",IF('ORDENES'!$Y855="","-",'ORDENES'!$Y855))</f>
        <v/>
      </c>
      <c r="G877" s="3">
        <f>IF('ORDENES'!$A855="","",IF('ORDENES'!$W855="","-",'ORDENES'!$W855))</f>
        <v/>
      </c>
      <c r="H877" s="3">
        <f>IF('ORDENES'!$A855="","",IF('ORDENES'!$AE855="","-",'ORDENES'!$AE855))</f>
        <v/>
      </c>
      <c r="I877" s="3">
        <f>IF('ORDENES'!$A855="","",IF('ORDENES'!$AQ855="","-",'ORDENES'!$AQ855))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IF('ORDENES'!$A855="","",'ORDENES'!$AD855)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IF('ORDENES'!$A856="","",IF('ORDENES'!$AF856="","-",'ORDENES'!$AF856))</f>
        <v/>
      </c>
      <c r="D878" s="3">
        <f>IF('ORDENES'!$A856="","",IF('ORDENES'!$X856="","-",'ORDENES'!$X856))</f>
        <v/>
      </c>
      <c r="E878" s="3">
        <f>IF('ORDENES'!$A856="","",IF('ORDENES'!$V856="","-",'ORDENES'!$V856))</f>
        <v/>
      </c>
      <c r="F878" s="3">
        <f>IF('ORDENES'!$A856="","",IF('ORDENES'!$Y856="","-",'ORDENES'!$Y856))</f>
        <v/>
      </c>
      <c r="G878" s="3">
        <f>IF('ORDENES'!$A856="","",IF('ORDENES'!$W856="","-",'ORDENES'!$W856))</f>
        <v/>
      </c>
      <c r="H878" s="3">
        <f>IF('ORDENES'!$A856="","",IF('ORDENES'!$AE856="","-",'ORDENES'!$AE856))</f>
        <v/>
      </c>
      <c r="I878" s="3">
        <f>IF('ORDENES'!$A856="","",IF('ORDENES'!$AQ856="","-",'ORDENES'!$AQ856))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IF('ORDENES'!$A856="","",'ORDENES'!$AD856)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IF('ORDENES'!$A857="","",IF('ORDENES'!$AF857="","-",'ORDENES'!$AF857))</f>
        <v/>
      </c>
      <c r="D879" s="3">
        <f>IF('ORDENES'!$A857="","",IF('ORDENES'!$X857="","-",'ORDENES'!$X857))</f>
        <v/>
      </c>
      <c r="E879" s="3">
        <f>IF('ORDENES'!$A857="","",IF('ORDENES'!$V857="","-",'ORDENES'!$V857))</f>
        <v/>
      </c>
      <c r="F879" s="3">
        <f>IF('ORDENES'!$A857="","",IF('ORDENES'!$Y857="","-",'ORDENES'!$Y857))</f>
        <v/>
      </c>
      <c r="G879" s="3">
        <f>IF('ORDENES'!$A857="","",IF('ORDENES'!$W857="","-",'ORDENES'!$W857))</f>
        <v/>
      </c>
      <c r="H879" s="3">
        <f>IF('ORDENES'!$A857="","",IF('ORDENES'!$AE857="","-",'ORDENES'!$AE857))</f>
        <v/>
      </c>
      <c r="I879" s="3">
        <f>IF('ORDENES'!$A857="","",IF('ORDENES'!$AQ857="","-",'ORDENES'!$AQ857))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IF('ORDENES'!$A857="","",'ORDENES'!$AD857)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IF('ORDENES'!$A858="","",IF('ORDENES'!$AF858="","-",'ORDENES'!$AF858))</f>
        <v/>
      </c>
      <c r="D880" s="3">
        <f>IF('ORDENES'!$A858="","",IF('ORDENES'!$X858="","-",'ORDENES'!$X858))</f>
        <v/>
      </c>
      <c r="E880" s="3">
        <f>IF('ORDENES'!$A858="","",IF('ORDENES'!$V858="","-",'ORDENES'!$V858))</f>
        <v/>
      </c>
      <c r="F880" s="3">
        <f>IF('ORDENES'!$A858="","",IF('ORDENES'!$Y858="","-",'ORDENES'!$Y858))</f>
        <v/>
      </c>
      <c r="G880" s="3">
        <f>IF('ORDENES'!$A858="","",IF('ORDENES'!$W858="","-",'ORDENES'!$W858))</f>
        <v/>
      </c>
      <c r="H880" s="3">
        <f>IF('ORDENES'!$A858="","",IF('ORDENES'!$AE858="","-",'ORDENES'!$AE858))</f>
        <v/>
      </c>
      <c r="I880" s="3">
        <f>IF('ORDENES'!$A858="","",IF('ORDENES'!$AQ858="","-",'ORDENES'!$AQ858))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IF('ORDENES'!$A858="","",'ORDENES'!$AD858)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IF('ORDENES'!$A859="","",IF('ORDENES'!$AF859="","-",'ORDENES'!$AF859))</f>
        <v/>
      </c>
      <c r="D881" s="3">
        <f>IF('ORDENES'!$A859="","",IF('ORDENES'!$X859="","-",'ORDENES'!$X859))</f>
        <v/>
      </c>
      <c r="E881" s="3">
        <f>IF('ORDENES'!$A859="","",IF('ORDENES'!$V859="","-",'ORDENES'!$V859))</f>
        <v/>
      </c>
      <c r="F881" s="3">
        <f>IF('ORDENES'!$A859="","",IF('ORDENES'!$Y859="","-",'ORDENES'!$Y859))</f>
        <v/>
      </c>
      <c r="G881" s="3">
        <f>IF('ORDENES'!$A859="","",IF('ORDENES'!$W859="","-",'ORDENES'!$W859))</f>
        <v/>
      </c>
      <c r="H881" s="3">
        <f>IF('ORDENES'!$A859="","",IF('ORDENES'!$AE859="","-",'ORDENES'!$AE859))</f>
        <v/>
      </c>
      <c r="I881" s="3">
        <f>IF('ORDENES'!$A859="","",IF('ORDENES'!$AQ859="","-",'ORDENES'!$AQ859))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IF('ORDENES'!$A859="","",'ORDENES'!$AD859)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IF('ORDENES'!$A860="","",IF('ORDENES'!$AF860="","-",'ORDENES'!$AF860))</f>
        <v/>
      </c>
      <c r="D882" s="3">
        <f>IF('ORDENES'!$A860="","",IF('ORDENES'!$X860="","-",'ORDENES'!$X860))</f>
        <v/>
      </c>
      <c r="E882" s="3">
        <f>IF('ORDENES'!$A860="","",IF('ORDENES'!$V860="","-",'ORDENES'!$V860))</f>
        <v/>
      </c>
      <c r="F882" s="3">
        <f>IF('ORDENES'!$A860="","",IF('ORDENES'!$Y860="","-",'ORDENES'!$Y860))</f>
        <v/>
      </c>
      <c r="G882" s="3">
        <f>IF('ORDENES'!$A860="","",IF('ORDENES'!$W860="","-",'ORDENES'!$W860))</f>
        <v/>
      </c>
      <c r="H882" s="3">
        <f>IF('ORDENES'!$A860="","",IF('ORDENES'!$AE860="","-",'ORDENES'!$AE860))</f>
        <v/>
      </c>
      <c r="I882" s="3">
        <f>IF('ORDENES'!$A860="","",IF('ORDENES'!$AQ860="","-",'ORDENES'!$AQ860))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IF('ORDENES'!$A860="","",'ORDENES'!$AD860)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IF('ORDENES'!$A861="","",IF('ORDENES'!$AF861="","-",'ORDENES'!$AF861))</f>
        <v/>
      </c>
      <c r="D883" s="3">
        <f>IF('ORDENES'!$A861="","",IF('ORDENES'!$X861="","-",'ORDENES'!$X861))</f>
        <v/>
      </c>
      <c r="E883" s="3">
        <f>IF('ORDENES'!$A861="","",IF('ORDENES'!$V861="","-",'ORDENES'!$V861))</f>
        <v/>
      </c>
      <c r="F883" s="3">
        <f>IF('ORDENES'!$A861="","",IF('ORDENES'!$Y861="","-",'ORDENES'!$Y861))</f>
        <v/>
      </c>
      <c r="G883" s="3">
        <f>IF('ORDENES'!$A861="","",IF('ORDENES'!$W861="","-",'ORDENES'!$W861))</f>
        <v/>
      </c>
      <c r="H883" s="3">
        <f>IF('ORDENES'!$A861="","",IF('ORDENES'!$AE861="","-",'ORDENES'!$AE861))</f>
        <v/>
      </c>
      <c r="I883" s="3">
        <f>IF('ORDENES'!$A861="","",IF('ORDENES'!$AQ861="","-",'ORDENES'!$AQ861))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IF('ORDENES'!$A861="","",'ORDENES'!$AD861)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IF('ORDENES'!$A862="","",IF('ORDENES'!$AF862="","-",'ORDENES'!$AF862))</f>
        <v/>
      </c>
      <c r="D884" s="3">
        <f>IF('ORDENES'!$A862="","",IF('ORDENES'!$X862="","-",'ORDENES'!$X862))</f>
        <v/>
      </c>
      <c r="E884" s="3">
        <f>IF('ORDENES'!$A862="","",IF('ORDENES'!$V862="","-",'ORDENES'!$V862))</f>
        <v/>
      </c>
      <c r="F884" s="3">
        <f>IF('ORDENES'!$A862="","",IF('ORDENES'!$Y862="","-",'ORDENES'!$Y862))</f>
        <v/>
      </c>
      <c r="G884" s="3">
        <f>IF('ORDENES'!$A862="","",IF('ORDENES'!$W862="","-",'ORDENES'!$W862))</f>
        <v/>
      </c>
      <c r="H884" s="3">
        <f>IF('ORDENES'!$A862="","",IF('ORDENES'!$AE862="","-",'ORDENES'!$AE862))</f>
        <v/>
      </c>
      <c r="I884" s="3">
        <f>IF('ORDENES'!$A862="","",IF('ORDENES'!$AQ862="","-",'ORDENES'!$AQ862))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IF('ORDENES'!$A862="","",'ORDENES'!$AD862)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IF('ORDENES'!$A863="","",IF('ORDENES'!$AF863="","-",'ORDENES'!$AF863))</f>
        <v/>
      </c>
      <c r="D885" s="3">
        <f>IF('ORDENES'!$A863="","",IF('ORDENES'!$X863="","-",'ORDENES'!$X863))</f>
        <v/>
      </c>
      <c r="E885" s="3">
        <f>IF('ORDENES'!$A863="","",IF('ORDENES'!$V863="","-",'ORDENES'!$V863))</f>
        <v/>
      </c>
      <c r="F885" s="3">
        <f>IF('ORDENES'!$A863="","",IF('ORDENES'!$Y863="","-",'ORDENES'!$Y863))</f>
        <v/>
      </c>
      <c r="G885" s="3">
        <f>IF('ORDENES'!$A863="","",IF('ORDENES'!$W863="","-",'ORDENES'!$W863))</f>
        <v/>
      </c>
      <c r="H885" s="3">
        <f>IF('ORDENES'!$A863="","",IF('ORDENES'!$AE863="","-",'ORDENES'!$AE863))</f>
        <v/>
      </c>
      <c r="I885" s="3">
        <f>IF('ORDENES'!$A863="","",IF('ORDENES'!$AQ863="","-",'ORDENES'!$AQ863))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IF('ORDENES'!$A863="","",'ORDENES'!$AD863)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IF('ORDENES'!$A864="","",IF('ORDENES'!$AF864="","-",'ORDENES'!$AF864))</f>
        <v/>
      </c>
      <c r="D886" s="3">
        <f>IF('ORDENES'!$A864="","",IF('ORDENES'!$X864="","-",'ORDENES'!$X864))</f>
        <v/>
      </c>
      <c r="E886" s="3">
        <f>IF('ORDENES'!$A864="","",IF('ORDENES'!$V864="","-",'ORDENES'!$V864))</f>
        <v/>
      </c>
      <c r="F886" s="3">
        <f>IF('ORDENES'!$A864="","",IF('ORDENES'!$Y864="","-",'ORDENES'!$Y864))</f>
        <v/>
      </c>
      <c r="G886" s="3">
        <f>IF('ORDENES'!$A864="","",IF('ORDENES'!$W864="","-",'ORDENES'!$W864))</f>
        <v/>
      </c>
      <c r="H886" s="3">
        <f>IF('ORDENES'!$A864="","",IF('ORDENES'!$AE864="","-",'ORDENES'!$AE864))</f>
        <v/>
      </c>
      <c r="I886" s="3">
        <f>IF('ORDENES'!$A864="","",IF('ORDENES'!$AQ864="","-",'ORDENES'!$AQ864))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IF('ORDENES'!$A864="","",'ORDENES'!$AD864)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IF('ORDENES'!$A865="","",IF('ORDENES'!$AF865="","-",'ORDENES'!$AF865))</f>
        <v/>
      </c>
      <c r="D887" s="3">
        <f>IF('ORDENES'!$A865="","",IF('ORDENES'!$X865="","-",'ORDENES'!$X865))</f>
        <v/>
      </c>
      <c r="E887" s="3">
        <f>IF('ORDENES'!$A865="","",IF('ORDENES'!$V865="","-",'ORDENES'!$V865))</f>
        <v/>
      </c>
      <c r="F887" s="3">
        <f>IF('ORDENES'!$A865="","",IF('ORDENES'!$Y865="","-",'ORDENES'!$Y865))</f>
        <v/>
      </c>
      <c r="G887" s="3">
        <f>IF('ORDENES'!$A865="","",IF('ORDENES'!$W865="","-",'ORDENES'!$W865))</f>
        <v/>
      </c>
      <c r="H887" s="3">
        <f>IF('ORDENES'!$A865="","",IF('ORDENES'!$AE865="","-",'ORDENES'!$AE865))</f>
        <v/>
      </c>
      <c r="I887" s="3">
        <f>IF('ORDENES'!$A865="","",IF('ORDENES'!$AQ865="","-",'ORDENES'!$AQ865))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IF('ORDENES'!$A865="","",'ORDENES'!$AD865)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IF('ORDENES'!$A866="","",IF('ORDENES'!$AF866="","-",'ORDENES'!$AF866))</f>
        <v/>
      </c>
      <c r="D888" s="3">
        <f>IF('ORDENES'!$A866="","",IF('ORDENES'!$X866="","-",'ORDENES'!$X866))</f>
        <v/>
      </c>
      <c r="E888" s="3">
        <f>IF('ORDENES'!$A866="","",IF('ORDENES'!$V866="","-",'ORDENES'!$V866))</f>
        <v/>
      </c>
      <c r="F888" s="3">
        <f>IF('ORDENES'!$A866="","",IF('ORDENES'!$Y866="","-",'ORDENES'!$Y866))</f>
        <v/>
      </c>
      <c r="G888" s="3">
        <f>IF('ORDENES'!$A866="","",IF('ORDENES'!$W866="","-",'ORDENES'!$W866))</f>
        <v/>
      </c>
      <c r="H888" s="3">
        <f>IF('ORDENES'!$A866="","",IF('ORDENES'!$AE866="","-",'ORDENES'!$AE866))</f>
        <v/>
      </c>
      <c r="I888" s="3">
        <f>IF('ORDENES'!$A866="","",IF('ORDENES'!$AQ866="","-",'ORDENES'!$AQ866))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IF('ORDENES'!$A866="","",'ORDENES'!$AD866)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IF('ORDENES'!$A867="","",IF('ORDENES'!$AF867="","-",'ORDENES'!$AF867))</f>
        <v/>
      </c>
      <c r="D889" s="3">
        <f>IF('ORDENES'!$A867="","",IF('ORDENES'!$X867="","-",'ORDENES'!$X867))</f>
        <v/>
      </c>
      <c r="E889" s="3">
        <f>IF('ORDENES'!$A867="","",IF('ORDENES'!$V867="","-",'ORDENES'!$V867))</f>
        <v/>
      </c>
      <c r="F889" s="3">
        <f>IF('ORDENES'!$A867="","",IF('ORDENES'!$Y867="","-",'ORDENES'!$Y867))</f>
        <v/>
      </c>
      <c r="G889" s="3">
        <f>IF('ORDENES'!$A867="","",IF('ORDENES'!$W867="","-",'ORDENES'!$W867))</f>
        <v/>
      </c>
      <c r="H889" s="3">
        <f>IF('ORDENES'!$A867="","",IF('ORDENES'!$AE867="","-",'ORDENES'!$AE867))</f>
        <v/>
      </c>
      <c r="I889" s="3">
        <f>IF('ORDENES'!$A867="","",IF('ORDENES'!$AQ867="","-",'ORDENES'!$AQ867))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IF('ORDENES'!$A867="","",'ORDENES'!$AD867)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IF('ORDENES'!$A868="","",IF('ORDENES'!$AF868="","-",'ORDENES'!$AF868))</f>
        <v/>
      </c>
      <c r="D890" s="3">
        <f>IF('ORDENES'!$A868="","",IF('ORDENES'!$X868="","-",'ORDENES'!$X868))</f>
        <v/>
      </c>
      <c r="E890" s="3">
        <f>IF('ORDENES'!$A868="","",IF('ORDENES'!$V868="","-",'ORDENES'!$V868))</f>
        <v/>
      </c>
      <c r="F890" s="3">
        <f>IF('ORDENES'!$A868="","",IF('ORDENES'!$Y868="","-",'ORDENES'!$Y868))</f>
        <v/>
      </c>
      <c r="G890" s="3">
        <f>IF('ORDENES'!$A868="","",IF('ORDENES'!$W868="","-",'ORDENES'!$W868))</f>
        <v/>
      </c>
      <c r="H890" s="3">
        <f>IF('ORDENES'!$A868="","",IF('ORDENES'!$AE868="","-",'ORDENES'!$AE868))</f>
        <v/>
      </c>
      <c r="I890" s="3">
        <f>IF('ORDENES'!$A868="","",IF('ORDENES'!$AQ868="","-",'ORDENES'!$AQ868))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IF('ORDENES'!$A868="","",'ORDENES'!$AD868)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IF('ORDENES'!$A869="","",IF('ORDENES'!$AF869="","-",'ORDENES'!$AF869))</f>
        <v/>
      </c>
      <c r="D891" s="3">
        <f>IF('ORDENES'!$A869="","",IF('ORDENES'!$X869="","-",'ORDENES'!$X869))</f>
        <v/>
      </c>
      <c r="E891" s="3">
        <f>IF('ORDENES'!$A869="","",IF('ORDENES'!$V869="","-",'ORDENES'!$V869))</f>
        <v/>
      </c>
      <c r="F891" s="3">
        <f>IF('ORDENES'!$A869="","",IF('ORDENES'!$Y869="","-",'ORDENES'!$Y869))</f>
        <v/>
      </c>
      <c r="G891" s="3">
        <f>IF('ORDENES'!$A869="","",IF('ORDENES'!$W869="","-",'ORDENES'!$W869))</f>
        <v/>
      </c>
      <c r="H891" s="3">
        <f>IF('ORDENES'!$A869="","",IF('ORDENES'!$AE869="","-",'ORDENES'!$AE869))</f>
        <v/>
      </c>
      <c r="I891" s="3">
        <f>IF('ORDENES'!$A869="","",IF('ORDENES'!$AQ869="","-",'ORDENES'!$AQ869))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IF('ORDENES'!$A869="","",'ORDENES'!$AD869)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IF('ORDENES'!$A870="","",IF('ORDENES'!$AF870="","-",'ORDENES'!$AF870))</f>
        <v/>
      </c>
      <c r="D892" s="3">
        <f>IF('ORDENES'!$A870="","",IF('ORDENES'!$X870="","-",'ORDENES'!$X870))</f>
        <v/>
      </c>
      <c r="E892" s="3">
        <f>IF('ORDENES'!$A870="","",IF('ORDENES'!$V870="","-",'ORDENES'!$V870))</f>
        <v/>
      </c>
      <c r="F892" s="3">
        <f>IF('ORDENES'!$A870="","",IF('ORDENES'!$Y870="","-",'ORDENES'!$Y870))</f>
        <v/>
      </c>
      <c r="G892" s="3">
        <f>IF('ORDENES'!$A870="","",IF('ORDENES'!$W870="","-",'ORDENES'!$W870))</f>
        <v/>
      </c>
      <c r="H892" s="3">
        <f>IF('ORDENES'!$A870="","",IF('ORDENES'!$AE870="","-",'ORDENES'!$AE870))</f>
        <v/>
      </c>
      <c r="I892" s="3">
        <f>IF('ORDENES'!$A870="","",IF('ORDENES'!$AQ870="","-",'ORDENES'!$AQ870))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IF('ORDENES'!$A870="","",'ORDENES'!$AD870)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IF('ORDENES'!$A871="","",IF('ORDENES'!$AF871="","-",'ORDENES'!$AF871))</f>
        <v/>
      </c>
      <c r="D893" s="3">
        <f>IF('ORDENES'!$A871="","",IF('ORDENES'!$X871="","-",'ORDENES'!$X871))</f>
        <v/>
      </c>
      <c r="E893" s="3">
        <f>IF('ORDENES'!$A871="","",IF('ORDENES'!$V871="","-",'ORDENES'!$V871))</f>
        <v/>
      </c>
      <c r="F893" s="3">
        <f>IF('ORDENES'!$A871="","",IF('ORDENES'!$Y871="","-",'ORDENES'!$Y871))</f>
        <v/>
      </c>
      <c r="G893" s="3">
        <f>IF('ORDENES'!$A871="","",IF('ORDENES'!$W871="","-",'ORDENES'!$W871))</f>
        <v/>
      </c>
      <c r="H893" s="3">
        <f>IF('ORDENES'!$A871="","",IF('ORDENES'!$AE871="","-",'ORDENES'!$AE871))</f>
        <v/>
      </c>
      <c r="I893" s="3">
        <f>IF('ORDENES'!$A871="","",IF('ORDENES'!$AQ871="","-",'ORDENES'!$AQ871))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IF('ORDENES'!$A871="","",'ORDENES'!$AD871)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IF('ORDENES'!$A872="","",IF('ORDENES'!$AF872="","-",'ORDENES'!$AF872))</f>
        <v/>
      </c>
      <c r="D894" s="3">
        <f>IF('ORDENES'!$A872="","",IF('ORDENES'!$X872="","-",'ORDENES'!$X872))</f>
        <v/>
      </c>
      <c r="E894" s="3">
        <f>IF('ORDENES'!$A872="","",IF('ORDENES'!$V872="","-",'ORDENES'!$V872))</f>
        <v/>
      </c>
      <c r="F894" s="3">
        <f>IF('ORDENES'!$A872="","",IF('ORDENES'!$Y872="","-",'ORDENES'!$Y872))</f>
        <v/>
      </c>
      <c r="G894" s="3">
        <f>IF('ORDENES'!$A872="","",IF('ORDENES'!$W872="","-",'ORDENES'!$W872))</f>
        <v/>
      </c>
      <c r="H894" s="3">
        <f>IF('ORDENES'!$A872="","",IF('ORDENES'!$AE872="","-",'ORDENES'!$AE872))</f>
        <v/>
      </c>
      <c r="I894" s="3">
        <f>IF('ORDENES'!$A872="","",IF('ORDENES'!$AQ872="","-",'ORDENES'!$AQ872))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IF('ORDENES'!$A872="","",'ORDENES'!$AD872)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IF('ORDENES'!$A873="","",IF('ORDENES'!$AF873="","-",'ORDENES'!$AF873))</f>
        <v/>
      </c>
      <c r="D895" s="3">
        <f>IF('ORDENES'!$A873="","",IF('ORDENES'!$X873="","-",'ORDENES'!$X873))</f>
        <v/>
      </c>
      <c r="E895" s="3">
        <f>IF('ORDENES'!$A873="","",IF('ORDENES'!$V873="","-",'ORDENES'!$V873))</f>
        <v/>
      </c>
      <c r="F895" s="3">
        <f>IF('ORDENES'!$A873="","",IF('ORDENES'!$Y873="","-",'ORDENES'!$Y873))</f>
        <v/>
      </c>
      <c r="G895" s="3">
        <f>IF('ORDENES'!$A873="","",IF('ORDENES'!$W873="","-",'ORDENES'!$W873))</f>
        <v/>
      </c>
      <c r="H895" s="3">
        <f>IF('ORDENES'!$A873="","",IF('ORDENES'!$AE873="","-",'ORDENES'!$AE873))</f>
        <v/>
      </c>
      <c r="I895" s="3">
        <f>IF('ORDENES'!$A873="","",IF('ORDENES'!$AQ873="","-",'ORDENES'!$AQ873))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IF('ORDENES'!$A873="","",'ORDENES'!$AD873)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IF('ORDENES'!$A874="","",IF('ORDENES'!$AF874="","-",'ORDENES'!$AF874))</f>
        <v/>
      </c>
      <c r="D896" s="3">
        <f>IF('ORDENES'!$A874="","",IF('ORDENES'!$X874="","-",'ORDENES'!$X874))</f>
        <v/>
      </c>
      <c r="E896" s="3">
        <f>IF('ORDENES'!$A874="","",IF('ORDENES'!$V874="","-",'ORDENES'!$V874))</f>
        <v/>
      </c>
      <c r="F896" s="3">
        <f>IF('ORDENES'!$A874="","",IF('ORDENES'!$Y874="","-",'ORDENES'!$Y874))</f>
        <v/>
      </c>
      <c r="G896" s="3">
        <f>IF('ORDENES'!$A874="","",IF('ORDENES'!$W874="","-",'ORDENES'!$W874))</f>
        <v/>
      </c>
      <c r="H896" s="3">
        <f>IF('ORDENES'!$A874="","",IF('ORDENES'!$AE874="","-",'ORDENES'!$AE874))</f>
        <v/>
      </c>
      <c r="I896" s="3">
        <f>IF('ORDENES'!$A874="","",IF('ORDENES'!$AQ874="","-",'ORDENES'!$AQ874))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IF('ORDENES'!$A874="","",'ORDENES'!$AD874)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IF('ORDENES'!$A875="","",IF('ORDENES'!$AF875="","-",'ORDENES'!$AF875))</f>
        <v/>
      </c>
      <c r="D897" s="3">
        <f>IF('ORDENES'!$A875="","",IF('ORDENES'!$X875="","-",'ORDENES'!$X875))</f>
        <v/>
      </c>
      <c r="E897" s="3">
        <f>IF('ORDENES'!$A875="","",IF('ORDENES'!$V875="","-",'ORDENES'!$V875))</f>
        <v/>
      </c>
      <c r="F897" s="3">
        <f>IF('ORDENES'!$A875="","",IF('ORDENES'!$Y875="","-",'ORDENES'!$Y875))</f>
        <v/>
      </c>
      <c r="G897" s="3">
        <f>IF('ORDENES'!$A875="","",IF('ORDENES'!$W875="","-",'ORDENES'!$W875))</f>
        <v/>
      </c>
      <c r="H897" s="3">
        <f>IF('ORDENES'!$A875="","",IF('ORDENES'!$AE875="","-",'ORDENES'!$AE875))</f>
        <v/>
      </c>
      <c r="I897" s="3">
        <f>IF('ORDENES'!$A875="","",IF('ORDENES'!$AQ875="","-",'ORDENES'!$AQ875))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IF('ORDENES'!$A875="","",'ORDENES'!$AD875)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IF('ORDENES'!$A876="","",IF('ORDENES'!$AF876="","-",'ORDENES'!$AF876))</f>
        <v/>
      </c>
      <c r="D898" s="3">
        <f>IF('ORDENES'!$A876="","",IF('ORDENES'!$X876="","-",'ORDENES'!$X876))</f>
        <v/>
      </c>
      <c r="E898" s="3">
        <f>IF('ORDENES'!$A876="","",IF('ORDENES'!$V876="","-",'ORDENES'!$V876))</f>
        <v/>
      </c>
      <c r="F898" s="3">
        <f>IF('ORDENES'!$A876="","",IF('ORDENES'!$Y876="","-",'ORDENES'!$Y876))</f>
        <v/>
      </c>
      <c r="G898" s="3">
        <f>IF('ORDENES'!$A876="","",IF('ORDENES'!$W876="","-",'ORDENES'!$W876))</f>
        <v/>
      </c>
      <c r="H898" s="3">
        <f>IF('ORDENES'!$A876="","",IF('ORDENES'!$AE876="","-",'ORDENES'!$AE876))</f>
        <v/>
      </c>
      <c r="I898" s="3">
        <f>IF('ORDENES'!$A876="","",IF('ORDENES'!$AQ876="","-",'ORDENES'!$AQ876))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IF('ORDENES'!$A876="","",'ORDENES'!$AD876)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IF('ORDENES'!$A877="","",IF('ORDENES'!$AF877="","-",'ORDENES'!$AF877))</f>
        <v/>
      </c>
      <c r="D899" s="3">
        <f>IF('ORDENES'!$A877="","",IF('ORDENES'!$X877="","-",'ORDENES'!$X877))</f>
        <v/>
      </c>
      <c r="E899" s="3">
        <f>IF('ORDENES'!$A877="","",IF('ORDENES'!$V877="","-",'ORDENES'!$V877))</f>
        <v/>
      </c>
      <c r="F899" s="3">
        <f>IF('ORDENES'!$A877="","",IF('ORDENES'!$Y877="","-",'ORDENES'!$Y877))</f>
        <v/>
      </c>
      <c r="G899" s="3">
        <f>IF('ORDENES'!$A877="","",IF('ORDENES'!$W877="","-",'ORDENES'!$W877))</f>
        <v/>
      </c>
      <c r="H899" s="3">
        <f>IF('ORDENES'!$A877="","",IF('ORDENES'!$AE877="","-",'ORDENES'!$AE877))</f>
        <v/>
      </c>
      <c r="I899" s="3">
        <f>IF('ORDENES'!$A877="","",IF('ORDENES'!$AQ877="","-",'ORDENES'!$AQ877))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IF('ORDENES'!$A877="","",'ORDENES'!$AD877)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IF('ORDENES'!$A878="","",IF('ORDENES'!$AF878="","-",'ORDENES'!$AF878))</f>
        <v/>
      </c>
      <c r="D900" s="3">
        <f>IF('ORDENES'!$A878="","",IF('ORDENES'!$X878="","-",'ORDENES'!$X878))</f>
        <v/>
      </c>
      <c r="E900" s="3">
        <f>IF('ORDENES'!$A878="","",IF('ORDENES'!$V878="","-",'ORDENES'!$V878))</f>
        <v/>
      </c>
      <c r="F900" s="3">
        <f>IF('ORDENES'!$A878="","",IF('ORDENES'!$Y878="","-",'ORDENES'!$Y878))</f>
        <v/>
      </c>
      <c r="G900" s="3">
        <f>IF('ORDENES'!$A878="","",IF('ORDENES'!$W878="","-",'ORDENES'!$W878))</f>
        <v/>
      </c>
      <c r="H900" s="3">
        <f>IF('ORDENES'!$A878="","",IF('ORDENES'!$AE878="","-",'ORDENES'!$AE878))</f>
        <v/>
      </c>
      <c r="I900" s="3">
        <f>IF('ORDENES'!$A878="","",IF('ORDENES'!$AQ878="","-",'ORDENES'!$AQ878))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IF('ORDENES'!$A878="","",'ORDENES'!$AD878)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IF('ORDENES'!$A879="","",IF('ORDENES'!$AF879="","-",'ORDENES'!$AF879))</f>
        <v/>
      </c>
      <c r="D901" s="3">
        <f>IF('ORDENES'!$A879="","",IF('ORDENES'!$X879="","-",'ORDENES'!$X879))</f>
        <v/>
      </c>
      <c r="E901" s="3">
        <f>IF('ORDENES'!$A879="","",IF('ORDENES'!$V879="","-",'ORDENES'!$V879))</f>
        <v/>
      </c>
      <c r="F901" s="3">
        <f>IF('ORDENES'!$A879="","",IF('ORDENES'!$Y879="","-",'ORDENES'!$Y879))</f>
        <v/>
      </c>
      <c r="G901" s="3">
        <f>IF('ORDENES'!$A879="","",IF('ORDENES'!$W879="","-",'ORDENES'!$W879))</f>
        <v/>
      </c>
      <c r="H901" s="3">
        <f>IF('ORDENES'!$A879="","",IF('ORDENES'!$AE879="","-",'ORDENES'!$AE879))</f>
        <v/>
      </c>
      <c r="I901" s="3">
        <f>IF('ORDENES'!$A879="","",IF('ORDENES'!$AQ879="","-",'ORDENES'!$AQ879))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IF('ORDENES'!$A879="","",'ORDENES'!$AD879)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IF('ORDENES'!$A880="","",IF('ORDENES'!$AF880="","-",'ORDENES'!$AF880))</f>
        <v/>
      </c>
      <c r="D902" s="3">
        <f>IF('ORDENES'!$A880="","",IF('ORDENES'!$X880="","-",'ORDENES'!$X880))</f>
        <v/>
      </c>
      <c r="E902" s="3">
        <f>IF('ORDENES'!$A880="","",IF('ORDENES'!$V880="","-",'ORDENES'!$V880))</f>
        <v/>
      </c>
      <c r="F902" s="3">
        <f>IF('ORDENES'!$A880="","",IF('ORDENES'!$Y880="","-",'ORDENES'!$Y880))</f>
        <v/>
      </c>
      <c r="G902" s="3">
        <f>IF('ORDENES'!$A880="","",IF('ORDENES'!$W880="","-",'ORDENES'!$W880))</f>
        <v/>
      </c>
      <c r="H902" s="3">
        <f>IF('ORDENES'!$A880="","",IF('ORDENES'!$AE880="","-",'ORDENES'!$AE880))</f>
        <v/>
      </c>
      <c r="I902" s="3">
        <f>IF('ORDENES'!$A880="","",IF('ORDENES'!$AQ880="","-",'ORDENES'!$AQ880))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IF('ORDENES'!$A880="","",'ORDENES'!$AD880)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IF('ORDENES'!$A881="","",IF('ORDENES'!$AF881="","-",'ORDENES'!$AF881))</f>
        <v/>
      </c>
      <c r="D903" s="3">
        <f>IF('ORDENES'!$A881="","",IF('ORDENES'!$X881="","-",'ORDENES'!$X881))</f>
        <v/>
      </c>
      <c r="E903" s="3">
        <f>IF('ORDENES'!$A881="","",IF('ORDENES'!$V881="","-",'ORDENES'!$V881))</f>
        <v/>
      </c>
      <c r="F903" s="3">
        <f>IF('ORDENES'!$A881="","",IF('ORDENES'!$Y881="","-",'ORDENES'!$Y881))</f>
        <v/>
      </c>
      <c r="G903" s="3">
        <f>IF('ORDENES'!$A881="","",IF('ORDENES'!$W881="","-",'ORDENES'!$W881))</f>
        <v/>
      </c>
      <c r="H903" s="3">
        <f>IF('ORDENES'!$A881="","",IF('ORDENES'!$AE881="","-",'ORDENES'!$AE881))</f>
        <v/>
      </c>
      <c r="I903" s="3">
        <f>IF('ORDENES'!$A881="","",IF('ORDENES'!$AQ881="","-",'ORDENES'!$AQ881))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IF('ORDENES'!$A881="","",'ORDENES'!$AD881)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IF('ORDENES'!$A882="","",IF('ORDENES'!$AF882="","-",'ORDENES'!$AF882))</f>
        <v/>
      </c>
      <c r="D904" s="3">
        <f>IF('ORDENES'!$A882="","",IF('ORDENES'!$X882="","-",'ORDENES'!$X882))</f>
        <v/>
      </c>
      <c r="E904" s="3">
        <f>IF('ORDENES'!$A882="","",IF('ORDENES'!$V882="","-",'ORDENES'!$V882))</f>
        <v/>
      </c>
      <c r="F904" s="3">
        <f>IF('ORDENES'!$A882="","",IF('ORDENES'!$Y882="","-",'ORDENES'!$Y882))</f>
        <v/>
      </c>
      <c r="G904" s="3">
        <f>IF('ORDENES'!$A882="","",IF('ORDENES'!$W882="","-",'ORDENES'!$W882))</f>
        <v/>
      </c>
      <c r="H904" s="3">
        <f>IF('ORDENES'!$A882="","",IF('ORDENES'!$AE882="","-",'ORDENES'!$AE882))</f>
        <v/>
      </c>
      <c r="I904" s="3">
        <f>IF('ORDENES'!$A882="","",IF('ORDENES'!$AQ882="","-",'ORDENES'!$AQ882))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IF('ORDENES'!$A882="","",'ORDENES'!$AD882)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IF('ORDENES'!$A883="","",IF('ORDENES'!$AF883="","-",'ORDENES'!$AF883))</f>
        <v/>
      </c>
      <c r="D905" s="3">
        <f>IF('ORDENES'!$A883="","",IF('ORDENES'!$X883="","-",'ORDENES'!$X883))</f>
        <v/>
      </c>
      <c r="E905" s="3">
        <f>IF('ORDENES'!$A883="","",IF('ORDENES'!$V883="","-",'ORDENES'!$V883))</f>
        <v/>
      </c>
      <c r="F905" s="3">
        <f>IF('ORDENES'!$A883="","",IF('ORDENES'!$Y883="","-",'ORDENES'!$Y883))</f>
        <v/>
      </c>
      <c r="G905" s="3">
        <f>IF('ORDENES'!$A883="","",IF('ORDENES'!$W883="","-",'ORDENES'!$W883))</f>
        <v/>
      </c>
      <c r="H905" s="3">
        <f>IF('ORDENES'!$A883="","",IF('ORDENES'!$AE883="","-",'ORDENES'!$AE883))</f>
        <v/>
      </c>
      <c r="I905" s="3">
        <f>IF('ORDENES'!$A883="","",IF('ORDENES'!$AQ883="","-",'ORDENES'!$AQ883))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IF('ORDENES'!$A883="","",'ORDENES'!$AD883)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IF('ORDENES'!$A884="","",IF('ORDENES'!$AF884="","-",'ORDENES'!$AF884))</f>
        <v/>
      </c>
      <c r="D906" s="3">
        <f>IF('ORDENES'!$A884="","",IF('ORDENES'!$X884="","-",'ORDENES'!$X884))</f>
        <v/>
      </c>
      <c r="E906" s="3">
        <f>IF('ORDENES'!$A884="","",IF('ORDENES'!$V884="","-",'ORDENES'!$V884))</f>
        <v/>
      </c>
      <c r="F906" s="3">
        <f>IF('ORDENES'!$A884="","",IF('ORDENES'!$Y884="","-",'ORDENES'!$Y884))</f>
        <v/>
      </c>
      <c r="G906" s="3">
        <f>IF('ORDENES'!$A884="","",IF('ORDENES'!$W884="","-",'ORDENES'!$W884))</f>
        <v/>
      </c>
      <c r="H906" s="3">
        <f>IF('ORDENES'!$A884="","",IF('ORDENES'!$AE884="","-",'ORDENES'!$AE884))</f>
        <v/>
      </c>
      <c r="I906" s="3">
        <f>IF('ORDENES'!$A884="","",IF('ORDENES'!$AQ884="","-",'ORDENES'!$AQ884))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IF('ORDENES'!$A884="","",'ORDENES'!$AD884)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IF('ORDENES'!$A885="","",IF('ORDENES'!$AF885="","-",'ORDENES'!$AF885))</f>
        <v/>
      </c>
      <c r="D907" s="3">
        <f>IF('ORDENES'!$A885="","",IF('ORDENES'!$X885="","-",'ORDENES'!$X885))</f>
        <v/>
      </c>
      <c r="E907" s="3">
        <f>IF('ORDENES'!$A885="","",IF('ORDENES'!$V885="","-",'ORDENES'!$V885))</f>
        <v/>
      </c>
      <c r="F907" s="3">
        <f>IF('ORDENES'!$A885="","",IF('ORDENES'!$Y885="","-",'ORDENES'!$Y885))</f>
        <v/>
      </c>
      <c r="G907" s="3">
        <f>IF('ORDENES'!$A885="","",IF('ORDENES'!$W885="","-",'ORDENES'!$W885))</f>
        <v/>
      </c>
      <c r="H907" s="3">
        <f>IF('ORDENES'!$A885="","",IF('ORDENES'!$AE885="","-",'ORDENES'!$AE885))</f>
        <v/>
      </c>
      <c r="I907" s="3">
        <f>IF('ORDENES'!$A885="","",IF('ORDENES'!$AQ885="","-",'ORDENES'!$AQ885))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IF('ORDENES'!$A885="","",'ORDENES'!$AD885)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IF('ORDENES'!$A886="","",IF('ORDENES'!$AF886="","-",'ORDENES'!$AF886))</f>
        <v/>
      </c>
      <c r="D908" s="3">
        <f>IF('ORDENES'!$A886="","",IF('ORDENES'!$X886="","-",'ORDENES'!$X886))</f>
        <v/>
      </c>
      <c r="E908" s="3">
        <f>IF('ORDENES'!$A886="","",IF('ORDENES'!$V886="","-",'ORDENES'!$V886))</f>
        <v/>
      </c>
      <c r="F908" s="3">
        <f>IF('ORDENES'!$A886="","",IF('ORDENES'!$Y886="","-",'ORDENES'!$Y886))</f>
        <v/>
      </c>
      <c r="G908" s="3">
        <f>IF('ORDENES'!$A886="","",IF('ORDENES'!$W886="","-",'ORDENES'!$W886))</f>
        <v/>
      </c>
      <c r="H908" s="3">
        <f>IF('ORDENES'!$A886="","",IF('ORDENES'!$AE886="","-",'ORDENES'!$AE886))</f>
        <v/>
      </c>
      <c r="I908" s="3">
        <f>IF('ORDENES'!$A886="","",IF('ORDENES'!$AQ886="","-",'ORDENES'!$AQ886))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IF('ORDENES'!$A886="","",'ORDENES'!$AD886)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IF('ORDENES'!$A887="","",IF('ORDENES'!$AF887="","-",'ORDENES'!$AF887))</f>
        <v/>
      </c>
      <c r="D909" s="3">
        <f>IF('ORDENES'!$A887="","",IF('ORDENES'!$X887="","-",'ORDENES'!$X887))</f>
        <v/>
      </c>
      <c r="E909" s="3">
        <f>IF('ORDENES'!$A887="","",IF('ORDENES'!$V887="","-",'ORDENES'!$V887))</f>
        <v/>
      </c>
      <c r="F909" s="3">
        <f>IF('ORDENES'!$A887="","",IF('ORDENES'!$Y887="","-",'ORDENES'!$Y887))</f>
        <v/>
      </c>
      <c r="G909" s="3">
        <f>IF('ORDENES'!$A887="","",IF('ORDENES'!$W887="","-",'ORDENES'!$W887))</f>
        <v/>
      </c>
      <c r="H909" s="3">
        <f>IF('ORDENES'!$A887="","",IF('ORDENES'!$AE887="","-",'ORDENES'!$AE887))</f>
        <v/>
      </c>
      <c r="I909" s="3">
        <f>IF('ORDENES'!$A887="","",IF('ORDENES'!$AQ887="","-",'ORDENES'!$AQ887))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IF('ORDENES'!$A887="","",'ORDENES'!$AD887)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IF('ORDENES'!$A888="","",IF('ORDENES'!$AF888="","-",'ORDENES'!$AF888))</f>
        <v/>
      </c>
      <c r="D910" s="3">
        <f>IF('ORDENES'!$A888="","",IF('ORDENES'!$X888="","-",'ORDENES'!$X888))</f>
        <v/>
      </c>
      <c r="E910" s="3">
        <f>IF('ORDENES'!$A888="","",IF('ORDENES'!$V888="","-",'ORDENES'!$V888))</f>
        <v/>
      </c>
      <c r="F910" s="3">
        <f>IF('ORDENES'!$A888="","",IF('ORDENES'!$Y888="","-",'ORDENES'!$Y888))</f>
        <v/>
      </c>
      <c r="G910" s="3">
        <f>IF('ORDENES'!$A888="","",IF('ORDENES'!$W888="","-",'ORDENES'!$W888))</f>
        <v/>
      </c>
      <c r="H910" s="3">
        <f>IF('ORDENES'!$A888="","",IF('ORDENES'!$AE888="","-",'ORDENES'!$AE888))</f>
        <v/>
      </c>
      <c r="I910" s="3">
        <f>IF('ORDENES'!$A888="","",IF('ORDENES'!$AQ888="","-",'ORDENES'!$AQ888))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IF('ORDENES'!$A888="","",'ORDENES'!$AD888)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IF('ORDENES'!$A889="","",IF('ORDENES'!$AF889="","-",'ORDENES'!$AF889))</f>
        <v/>
      </c>
      <c r="D911" s="3">
        <f>IF('ORDENES'!$A889="","",IF('ORDENES'!$X889="","-",'ORDENES'!$X889))</f>
        <v/>
      </c>
      <c r="E911" s="3">
        <f>IF('ORDENES'!$A889="","",IF('ORDENES'!$V889="","-",'ORDENES'!$V889))</f>
        <v/>
      </c>
      <c r="F911" s="3">
        <f>IF('ORDENES'!$A889="","",IF('ORDENES'!$Y889="","-",'ORDENES'!$Y889))</f>
        <v/>
      </c>
      <c r="G911" s="3">
        <f>IF('ORDENES'!$A889="","",IF('ORDENES'!$W889="","-",'ORDENES'!$W889))</f>
        <v/>
      </c>
      <c r="H911" s="3">
        <f>IF('ORDENES'!$A889="","",IF('ORDENES'!$AE889="","-",'ORDENES'!$AE889))</f>
        <v/>
      </c>
      <c r="I911" s="3">
        <f>IF('ORDENES'!$A889="","",IF('ORDENES'!$AQ889="","-",'ORDENES'!$AQ889))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IF('ORDENES'!$A889="","",'ORDENES'!$AD889)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IF('ORDENES'!$A890="","",IF('ORDENES'!$AF890="","-",'ORDENES'!$AF890))</f>
        <v/>
      </c>
      <c r="D912" s="3">
        <f>IF('ORDENES'!$A890="","",IF('ORDENES'!$X890="","-",'ORDENES'!$X890))</f>
        <v/>
      </c>
      <c r="E912" s="3">
        <f>IF('ORDENES'!$A890="","",IF('ORDENES'!$V890="","-",'ORDENES'!$V890))</f>
        <v/>
      </c>
      <c r="F912" s="3">
        <f>IF('ORDENES'!$A890="","",IF('ORDENES'!$Y890="","-",'ORDENES'!$Y890))</f>
        <v/>
      </c>
      <c r="G912" s="3">
        <f>IF('ORDENES'!$A890="","",IF('ORDENES'!$W890="","-",'ORDENES'!$W890))</f>
        <v/>
      </c>
      <c r="H912" s="3">
        <f>IF('ORDENES'!$A890="","",IF('ORDENES'!$AE890="","-",'ORDENES'!$AE890))</f>
        <v/>
      </c>
      <c r="I912" s="3">
        <f>IF('ORDENES'!$A890="","",IF('ORDENES'!$AQ890="","-",'ORDENES'!$AQ890))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IF('ORDENES'!$A890="","",'ORDENES'!$AD890)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IF('ORDENES'!$A891="","",IF('ORDENES'!$AF891="","-",'ORDENES'!$AF891))</f>
        <v/>
      </c>
      <c r="D913" s="3">
        <f>IF('ORDENES'!$A891="","",IF('ORDENES'!$X891="","-",'ORDENES'!$X891))</f>
        <v/>
      </c>
      <c r="E913" s="3">
        <f>IF('ORDENES'!$A891="","",IF('ORDENES'!$V891="","-",'ORDENES'!$V891))</f>
        <v/>
      </c>
      <c r="F913" s="3">
        <f>IF('ORDENES'!$A891="","",IF('ORDENES'!$Y891="","-",'ORDENES'!$Y891))</f>
        <v/>
      </c>
      <c r="G913" s="3">
        <f>IF('ORDENES'!$A891="","",IF('ORDENES'!$W891="","-",'ORDENES'!$W891))</f>
        <v/>
      </c>
      <c r="H913" s="3">
        <f>IF('ORDENES'!$A891="","",IF('ORDENES'!$AE891="","-",'ORDENES'!$AE891))</f>
        <v/>
      </c>
      <c r="I913" s="3">
        <f>IF('ORDENES'!$A891="","",IF('ORDENES'!$AQ891="","-",'ORDENES'!$AQ891))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IF('ORDENES'!$A891="","",'ORDENES'!$AD891)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IF('ORDENES'!$A892="","",IF('ORDENES'!$AF892="","-",'ORDENES'!$AF892))</f>
        <v/>
      </c>
      <c r="D914" s="3">
        <f>IF('ORDENES'!$A892="","",IF('ORDENES'!$X892="","-",'ORDENES'!$X892))</f>
        <v/>
      </c>
      <c r="E914" s="3">
        <f>IF('ORDENES'!$A892="","",IF('ORDENES'!$V892="","-",'ORDENES'!$V892))</f>
        <v/>
      </c>
      <c r="F914" s="3">
        <f>IF('ORDENES'!$A892="","",IF('ORDENES'!$Y892="","-",'ORDENES'!$Y892))</f>
        <v/>
      </c>
      <c r="G914" s="3">
        <f>IF('ORDENES'!$A892="","",IF('ORDENES'!$W892="","-",'ORDENES'!$W892))</f>
        <v/>
      </c>
      <c r="H914" s="3">
        <f>IF('ORDENES'!$A892="","",IF('ORDENES'!$AE892="","-",'ORDENES'!$AE892))</f>
        <v/>
      </c>
      <c r="I914" s="3">
        <f>IF('ORDENES'!$A892="","",IF('ORDENES'!$AQ892="","-",'ORDENES'!$AQ892))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IF('ORDENES'!$A892="","",'ORDENES'!$AD892)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IF('ORDENES'!$A893="","",IF('ORDENES'!$AF893="","-",'ORDENES'!$AF893))</f>
        <v/>
      </c>
      <c r="D915" s="3">
        <f>IF('ORDENES'!$A893="","",IF('ORDENES'!$X893="","-",'ORDENES'!$X893))</f>
        <v/>
      </c>
      <c r="E915" s="3">
        <f>IF('ORDENES'!$A893="","",IF('ORDENES'!$V893="","-",'ORDENES'!$V893))</f>
        <v/>
      </c>
      <c r="F915" s="3">
        <f>IF('ORDENES'!$A893="","",IF('ORDENES'!$Y893="","-",'ORDENES'!$Y893))</f>
        <v/>
      </c>
      <c r="G915" s="3">
        <f>IF('ORDENES'!$A893="","",IF('ORDENES'!$W893="","-",'ORDENES'!$W893))</f>
        <v/>
      </c>
      <c r="H915" s="3">
        <f>IF('ORDENES'!$A893="","",IF('ORDENES'!$AE893="","-",'ORDENES'!$AE893))</f>
        <v/>
      </c>
      <c r="I915" s="3">
        <f>IF('ORDENES'!$A893="","",IF('ORDENES'!$AQ893="","-",'ORDENES'!$AQ893))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IF('ORDENES'!$A893="","",'ORDENES'!$AD893)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IF('ORDENES'!$A894="","",IF('ORDENES'!$AF894="","-",'ORDENES'!$AF894))</f>
        <v/>
      </c>
      <c r="D916" s="3">
        <f>IF('ORDENES'!$A894="","",IF('ORDENES'!$X894="","-",'ORDENES'!$X894))</f>
        <v/>
      </c>
      <c r="E916" s="3">
        <f>IF('ORDENES'!$A894="","",IF('ORDENES'!$V894="","-",'ORDENES'!$V894))</f>
        <v/>
      </c>
      <c r="F916" s="3">
        <f>IF('ORDENES'!$A894="","",IF('ORDENES'!$Y894="","-",'ORDENES'!$Y894))</f>
        <v/>
      </c>
      <c r="G916" s="3">
        <f>IF('ORDENES'!$A894="","",IF('ORDENES'!$W894="","-",'ORDENES'!$W894))</f>
        <v/>
      </c>
      <c r="H916" s="3">
        <f>IF('ORDENES'!$A894="","",IF('ORDENES'!$AE894="","-",'ORDENES'!$AE894))</f>
        <v/>
      </c>
      <c r="I916" s="3">
        <f>IF('ORDENES'!$A894="","",IF('ORDENES'!$AQ894="","-",'ORDENES'!$AQ894))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IF('ORDENES'!$A894="","",'ORDENES'!$AD894)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IF('ORDENES'!$A895="","",IF('ORDENES'!$AF895="","-",'ORDENES'!$AF895))</f>
        <v/>
      </c>
      <c r="D917" s="3">
        <f>IF('ORDENES'!$A895="","",IF('ORDENES'!$X895="","-",'ORDENES'!$X895))</f>
        <v/>
      </c>
      <c r="E917" s="3">
        <f>IF('ORDENES'!$A895="","",IF('ORDENES'!$V895="","-",'ORDENES'!$V895))</f>
        <v/>
      </c>
      <c r="F917" s="3">
        <f>IF('ORDENES'!$A895="","",IF('ORDENES'!$Y895="","-",'ORDENES'!$Y895))</f>
        <v/>
      </c>
      <c r="G917" s="3">
        <f>IF('ORDENES'!$A895="","",IF('ORDENES'!$W895="","-",'ORDENES'!$W895))</f>
        <v/>
      </c>
      <c r="H917" s="3">
        <f>IF('ORDENES'!$A895="","",IF('ORDENES'!$AE895="","-",'ORDENES'!$AE895))</f>
        <v/>
      </c>
      <c r="I917" s="3">
        <f>IF('ORDENES'!$A895="","",IF('ORDENES'!$AQ895="","-",'ORDENES'!$AQ895))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IF('ORDENES'!$A895="","",'ORDENES'!$AD895)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IF('ORDENES'!$A896="","",IF('ORDENES'!$AF896="","-",'ORDENES'!$AF896))</f>
        <v/>
      </c>
      <c r="D918" s="3">
        <f>IF('ORDENES'!$A896="","",IF('ORDENES'!$X896="","-",'ORDENES'!$X896))</f>
        <v/>
      </c>
      <c r="E918" s="3">
        <f>IF('ORDENES'!$A896="","",IF('ORDENES'!$V896="","-",'ORDENES'!$V896))</f>
        <v/>
      </c>
      <c r="F918" s="3">
        <f>IF('ORDENES'!$A896="","",IF('ORDENES'!$Y896="","-",'ORDENES'!$Y896))</f>
        <v/>
      </c>
      <c r="G918" s="3">
        <f>IF('ORDENES'!$A896="","",IF('ORDENES'!$W896="","-",'ORDENES'!$W896))</f>
        <v/>
      </c>
      <c r="H918" s="3">
        <f>IF('ORDENES'!$A896="","",IF('ORDENES'!$AE896="","-",'ORDENES'!$AE896))</f>
        <v/>
      </c>
      <c r="I918" s="3">
        <f>IF('ORDENES'!$A896="","",IF('ORDENES'!$AQ896="","-",'ORDENES'!$AQ896))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IF('ORDENES'!$A896="","",'ORDENES'!$AD896)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IF('ORDENES'!$A897="","",IF('ORDENES'!$AF897="","-",'ORDENES'!$AF897))</f>
        <v/>
      </c>
      <c r="D919" s="3">
        <f>IF('ORDENES'!$A897="","",IF('ORDENES'!$X897="","-",'ORDENES'!$X897))</f>
        <v/>
      </c>
      <c r="E919" s="3">
        <f>IF('ORDENES'!$A897="","",IF('ORDENES'!$V897="","-",'ORDENES'!$V897))</f>
        <v/>
      </c>
      <c r="F919" s="3">
        <f>IF('ORDENES'!$A897="","",IF('ORDENES'!$Y897="","-",'ORDENES'!$Y897))</f>
        <v/>
      </c>
      <c r="G919" s="3">
        <f>IF('ORDENES'!$A897="","",IF('ORDENES'!$W897="","-",'ORDENES'!$W897))</f>
        <v/>
      </c>
      <c r="H919" s="3">
        <f>IF('ORDENES'!$A897="","",IF('ORDENES'!$AE897="","-",'ORDENES'!$AE897))</f>
        <v/>
      </c>
      <c r="I919" s="3">
        <f>IF('ORDENES'!$A897="","",IF('ORDENES'!$AQ897="","-",'ORDENES'!$AQ897))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IF('ORDENES'!$A897="","",'ORDENES'!$AD897)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IF('ORDENES'!$A898="","",IF('ORDENES'!$AF898="","-",'ORDENES'!$AF898))</f>
        <v/>
      </c>
      <c r="D920" s="3">
        <f>IF('ORDENES'!$A898="","",IF('ORDENES'!$X898="","-",'ORDENES'!$X898))</f>
        <v/>
      </c>
      <c r="E920" s="3">
        <f>IF('ORDENES'!$A898="","",IF('ORDENES'!$V898="","-",'ORDENES'!$V898))</f>
        <v/>
      </c>
      <c r="F920" s="3">
        <f>IF('ORDENES'!$A898="","",IF('ORDENES'!$Y898="","-",'ORDENES'!$Y898))</f>
        <v/>
      </c>
      <c r="G920" s="3">
        <f>IF('ORDENES'!$A898="","",IF('ORDENES'!$W898="","-",'ORDENES'!$W898))</f>
        <v/>
      </c>
      <c r="H920" s="3">
        <f>IF('ORDENES'!$A898="","",IF('ORDENES'!$AE898="","-",'ORDENES'!$AE898))</f>
        <v/>
      </c>
      <c r="I920" s="3">
        <f>IF('ORDENES'!$A898="","",IF('ORDENES'!$AQ898="","-",'ORDENES'!$AQ898))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IF('ORDENES'!$A898="","",'ORDENES'!$AD898)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IF('ORDENES'!$A899="","",IF('ORDENES'!$AF899="","-",'ORDENES'!$AF899))</f>
        <v/>
      </c>
      <c r="D921" s="3">
        <f>IF('ORDENES'!$A899="","",IF('ORDENES'!$X899="","-",'ORDENES'!$X899))</f>
        <v/>
      </c>
      <c r="E921" s="3">
        <f>IF('ORDENES'!$A899="","",IF('ORDENES'!$V899="","-",'ORDENES'!$V899))</f>
        <v/>
      </c>
      <c r="F921" s="3">
        <f>IF('ORDENES'!$A899="","",IF('ORDENES'!$Y899="","-",'ORDENES'!$Y899))</f>
        <v/>
      </c>
      <c r="G921" s="3">
        <f>IF('ORDENES'!$A899="","",IF('ORDENES'!$W899="","-",'ORDENES'!$W899))</f>
        <v/>
      </c>
      <c r="H921" s="3">
        <f>IF('ORDENES'!$A899="","",IF('ORDENES'!$AE899="","-",'ORDENES'!$AE899))</f>
        <v/>
      </c>
      <c r="I921" s="3">
        <f>IF('ORDENES'!$A899="","",IF('ORDENES'!$AQ899="","-",'ORDENES'!$AQ899))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IF('ORDENES'!$A899="","",'ORDENES'!$AD899)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IF('ORDENES'!$A900="","",IF('ORDENES'!$AF900="","-",'ORDENES'!$AF900))</f>
        <v/>
      </c>
      <c r="D922" s="3">
        <f>IF('ORDENES'!$A900="","",IF('ORDENES'!$X900="","-",'ORDENES'!$X900))</f>
        <v/>
      </c>
      <c r="E922" s="3">
        <f>IF('ORDENES'!$A900="","",IF('ORDENES'!$V900="","-",'ORDENES'!$V900))</f>
        <v/>
      </c>
      <c r="F922" s="3">
        <f>IF('ORDENES'!$A900="","",IF('ORDENES'!$Y900="","-",'ORDENES'!$Y900))</f>
        <v/>
      </c>
      <c r="G922" s="3">
        <f>IF('ORDENES'!$A900="","",IF('ORDENES'!$W900="","-",'ORDENES'!$W900))</f>
        <v/>
      </c>
      <c r="H922" s="3">
        <f>IF('ORDENES'!$A900="","",IF('ORDENES'!$AE900="","-",'ORDENES'!$AE900))</f>
        <v/>
      </c>
      <c r="I922" s="3">
        <f>IF('ORDENES'!$A900="","",IF('ORDENES'!$AQ900="","-",'ORDENES'!$AQ900))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IF('ORDENES'!$A900="","",'ORDENES'!$AD900)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IF('ORDENES'!$A901="","",IF('ORDENES'!$AF901="","-",'ORDENES'!$AF901))</f>
        <v/>
      </c>
      <c r="D923" s="3">
        <f>IF('ORDENES'!$A901="","",IF('ORDENES'!$X901="","-",'ORDENES'!$X901))</f>
        <v/>
      </c>
      <c r="E923" s="3">
        <f>IF('ORDENES'!$A901="","",IF('ORDENES'!$V901="","-",'ORDENES'!$V901))</f>
        <v/>
      </c>
      <c r="F923" s="3">
        <f>IF('ORDENES'!$A901="","",IF('ORDENES'!$Y901="","-",'ORDENES'!$Y901))</f>
        <v/>
      </c>
      <c r="G923" s="3">
        <f>IF('ORDENES'!$A901="","",IF('ORDENES'!$W901="","-",'ORDENES'!$W901))</f>
        <v/>
      </c>
      <c r="H923" s="3">
        <f>IF('ORDENES'!$A901="","",IF('ORDENES'!$AE901="","-",'ORDENES'!$AE901))</f>
        <v/>
      </c>
      <c r="I923" s="3">
        <f>IF('ORDENES'!$A901="","",IF('ORDENES'!$AQ901="","-",'ORDENES'!$AQ901))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IF('ORDENES'!$A901="","",'ORDENES'!$AD901)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IF('ORDENES'!$A902="","",IF('ORDENES'!$AF902="","-",'ORDENES'!$AF902))</f>
        <v/>
      </c>
      <c r="D924" s="3">
        <f>IF('ORDENES'!$A902="","",IF('ORDENES'!$X902="","-",'ORDENES'!$X902))</f>
        <v/>
      </c>
      <c r="E924" s="3">
        <f>IF('ORDENES'!$A902="","",IF('ORDENES'!$V902="","-",'ORDENES'!$V902))</f>
        <v/>
      </c>
      <c r="F924" s="3">
        <f>IF('ORDENES'!$A902="","",IF('ORDENES'!$Y902="","-",'ORDENES'!$Y902))</f>
        <v/>
      </c>
      <c r="G924" s="3">
        <f>IF('ORDENES'!$A902="","",IF('ORDENES'!$W902="","-",'ORDENES'!$W902))</f>
        <v/>
      </c>
      <c r="H924" s="3">
        <f>IF('ORDENES'!$A902="","",IF('ORDENES'!$AE902="","-",'ORDENES'!$AE902))</f>
        <v/>
      </c>
      <c r="I924" s="3">
        <f>IF('ORDENES'!$A902="","",IF('ORDENES'!$AQ902="","-",'ORDENES'!$AQ902))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IF('ORDENES'!$A902="","",'ORDENES'!$AD902)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IF('ORDENES'!$A903="","",IF('ORDENES'!$AF903="","-",'ORDENES'!$AF903))</f>
        <v/>
      </c>
      <c r="D925" s="3">
        <f>IF('ORDENES'!$A903="","",IF('ORDENES'!$X903="","-",'ORDENES'!$X903))</f>
        <v/>
      </c>
      <c r="E925" s="3">
        <f>IF('ORDENES'!$A903="","",IF('ORDENES'!$V903="","-",'ORDENES'!$V903))</f>
        <v/>
      </c>
      <c r="F925" s="3">
        <f>IF('ORDENES'!$A903="","",IF('ORDENES'!$Y903="","-",'ORDENES'!$Y903))</f>
        <v/>
      </c>
      <c r="G925" s="3">
        <f>IF('ORDENES'!$A903="","",IF('ORDENES'!$W903="","-",'ORDENES'!$W903))</f>
        <v/>
      </c>
      <c r="H925" s="3">
        <f>IF('ORDENES'!$A903="","",IF('ORDENES'!$AE903="","-",'ORDENES'!$AE903))</f>
        <v/>
      </c>
      <c r="I925" s="3">
        <f>IF('ORDENES'!$A903="","",IF('ORDENES'!$AQ903="","-",'ORDENES'!$AQ903))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IF('ORDENES'!$A903="","",'ORDENES'!$AD903)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IF('ORDENES'!$A904="","",IF('ORDENES'!$AF904="","-",'ORDENES'!$AF904))</f>
        <v/>
      </c>
      <c r="D926" s="3">
        <f>IF('ORDENES'!$A904="","",IF('ORDENES'!$X904="","-",'ORDENES'!$X904))</f>
        <v/>
      </c>
      <c r="E926" s="3">
        <f>IF('ORDENES'!$A904="","",IF('ORDENES'!$V904="","-",'ORDENES'!$V904))</f>
        <v/>
      </c>
      <c r="F926" s="3">
        <f>IF('ORDENES'!$A904="","",IF('ORDENES'!$Y904="","-",'ORDENES'!$Y904))</f>
        <v/>
      </c>
      <c r="G926" s="3">
        <f>IF('ORDENES'!$A904="","",IF('ORDENES'!$W904="","-",'ORDENES'!$W904))</f>
        <v/>
      </c>
      <c r="H926" s="3">
        <f>IF('ORDENES'!$A904="","",IF('ORDENES'!$AE904="","-",'ORDENES'!$AE904))</f>
        <v/>
      </c>
      <c r="I926" s="3">
        <f>IF('ORDENES'!$A904="","",IF('ORDENES'!$AQ904="","-",'ORDENES'!$AQ904))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IF('ORDENES'!$A904="","",'ORDENES'!$AD904)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IF('ORDENES'!$A905="","",IF('ORDENES'!$AF905="","-",'ORDENES'!$AF905))</f>
        <v/>
      </c>
      <c r="D927" s="3">
        <f>IF('ORDENES'!$A905="","",IF('ORDENES'!$X905="","-",'ORDENES'!$X905))</f>
        <v/>
      </c>
      <c r="E927" s="3">
        <f>IF('ORDENES'!$A905="","",IF('ORDENES'!$V905="","-",'ORDENES'!$V905))</f>
        <v/>
      </c>
      <c r="F927" s="3">
        <f>IF('ORDENES'!$A905="","",IF('ORDENES'!$Y905="","-",'ORDENES'!$Y905))</f>
        <v/>
      </c>
      <c r="G927" s="3">
        <f>IF('ORDENES'!$A905="","",IF('ORDENES'!$W905="","-",'ORDENES'!$W905))</f>
        <v/>
      </c>
      <c r="H927" s="3">
        <f>IF('ORDENES'!$A905="","",IF('ORDENES'!$AE905="","-",'ORDENES'!$AE905))</f>
        <v/>
      </c>
      <c r="I927" s="3">
        <f>IF('ORDENES'!$A905="","",IF('ORDENES'!$AQ905="","-",'ORDENES'!$AQ905))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IF('ORDENES'!$A905="","",'ORDENES'!$AD905)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IF('ORDENES'!$A906="","",IF('ORDENES'!$AF906="","-",'ORDENES'!$AF906))</f>
        <v/>
      </c>
      <c r="D928" s="3">
        <f>IF('ORDENES'!$A906="","",IF('ORDENES'!$X906="","-",'ORDENES'!$X906))</f>
        <v/>
      </c>
      <c r="E928" s="3">
        <f>IF('ORDENES'!$A906="","",IF('ORDENES'!$V906="","-",'ORDENES'!$V906))</f>
        <v/>
      </c>
      <c r="F928" s="3">
        <f>IF('ORDENES'!$A906="","",IF('ORDENES'!$Y906="","-",'ORDENES'!$Y906))</f>
        <v/>
      </c>
      <c r="G928" s="3">
        <f>IF('ORDENES'!$A906="","",IF('ORDENES'!$W906="","-",'ORDENES'!$W906))</f>
        <v/>
      </c>
      <c r="H928" s="3">
        <f>IF('ORDENES'!$A906="","",IF('ORDENES'!$AE906="","-",'ORDENES'!$AE906))</f>
        <v/>
      </c>
      <c r="I928" s="3">
        <f>IF('ORDENES'!$A906="","",IF('ORDENES'!$AQ906="","-",'ORDENES'!$AQ906))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IF('ORDENES'!$A906="","",'ORDENES'!$AD906)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IF('ORDENES'!$A907="","",IF('ORDENES'!$AF907="","-",'ORDENES'!$AF907))</f>
        <v/>
      </c>
      <c r="D929" s="3">
        <f>IF('ORDENES'!$A907="","",IF('ORDENES'!$X907="","-",'ORDENES'!$X907))</f>
        <v/>
      </c>
      <c r="E929" s="3">
        <f>IF('ORDENES'!$A907="","",IF('ORDENES'!$V907="","-",'ORDENES'!$V907))</f>
        <v/>
      </c>
      <c r="F929" s="3">
        <f>IF('ORDENES'!$A907="","",IF('ORDENES'!$Y907="","-",'ORDENES'!$Y907))</f>
        <v/>
      </c>
      <c r="G929" s="3">
        <f>IF('ORDENES'!$A907="","",IF('ORDENES'!$W907="","-",'ORDENES'!$W907))</f>
        <v/>
      </c>
      <c r="H929" s="3">
        <f>IF('ORDENES'!$A907="","",IF('ORDENES'!$AE907="","-",'ORDENES'!$AE907))</f>
        <v/>
      </c>
      <c r="I929" s="3">
        <f>IF('ORDENES'!$A907="","",IF('ORDENES'!$AQ907="","-",'ORDENES'!$AQ907))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IF('ORDENES'!$A907="","",'ORDENES'!$AD907)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IF('ORDENES'!$A908="","",IF('ORDENES'!$AF908="","-",'ORDENES'!$AF908))</f>
        <v/>
      </c>
      <c r="D930" s="3">
        <f>IF('ORDENES'!$A908="","",IF('ORDENES'!$X908="","-",'ORDENES'!$X908))</f>
        <v/>
      </c>
      <c r="E930" s="3">
        <f>IF('ORDENES'!$A908="","",IF('ORDENES'!$V908="","-",'ORDENES'!$V908))</f>
        <v/>
      </c>
      <c r="F930" s="3">
        <f>IF('ORDENES'!$A908="","",IF('ORDENES'!$Y908="","-",'ORDENES'!$Y908))</f>
        <v/>
      </c>
      <c r="G930" s="3">
        <f>IF('ORDENES'!$A908="","",IF('ORDENES'!$W908="","-",'ORDENES'!$W908))</f>
        <v/>
      </c>
      <c r="H930" s="3">
        <f>IF('ORDENES'!$A908="","",IF('ORDENES'!$AE908="","-",'ORDENES'!$AE908))</f>
        <v/>
      </c>
      <c r="I930" s="3">
        <f>IF('ORDENES'!$A908="","",IF('ORDENES'!$AQ908="","-",'ORDENES'!$AQ908))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IF('ORDENES'!$A908="","",'ORDENES'!$AD908)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IF('ORDENES'!$A909="","",IF('ORDENES'!$AF909="","-",'ORDENES'!$AF909))</f>
        <v/>
      </c>
      <c r="D931" s="3">
        <f>IF('ORDENES'!$A909="","",IF('ORDENES'!$X909="","-",'ORDENES'!$X909))</f>
        <v/>
      </c>
      <c r="E931" s="3">
        <f>IF('ORDENES'!$A909="","",IF('ORDENES'!$V909="","-",'ORDENES'!$V909))</f>
        <v/>
      </c>
      <c r="F931" s="3">
        <f>IF('ORDENES'!$A909="","",IF('ORDENES'!$Y909="","-",'ORDENES'!$Y909))</f>
        <v/>
      </c>
      <c r="G931" s="3">
        <f>IF('ORDENES'!$A909="","",IF('ORDENES'!$W909="","-",'ORDENES'!$W909))</f>
        <v/>
      </c>
      <c r="H931" s="3">
        <f>IF('ORDENES'!$A909="","",IF('ORDENES'!$AE909="","-",'ORDENES'!$AE909))</f>
        <v/>
      </c>
      <c r="I931" s="3">
        <f>IF('ORDENES'!$A909="","",IF('ORDENES'!$AQ909="","-",'ORDENES'!$AQ909))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IF('ORDENES'!$A909="","",'ORDENES'!$AD909)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IF('ORDENES'!$A910="","",IF('ORDENES'!$AF910="","-",'ORDENES'!$AF910))</f>
        <v/>
      </c>
      <c r="D932" s="3">
        <f>IF('ORDENES'!$A910="","",IF('ORDENES'!$X910="","-",'ORDENES'!$X910))</f>
        <v/>
      </c>
      <c r="E932" s="3">
        <f>IF('ORDENES'!$A910="","",IF('ORDENES'!$V910="","-",'ORDENES'!$V910))</f>
        <v/>
      </c>
      <c r="F932" s="3">
        <f>IF('ORDENES'!$A910="","",IF('ORDENES'!$Y910="","-",'ORDENES'!$Y910))</f>
        <v/>
      </c>
      <c r="G932" s="3">
        <f>IF('ORDENES'!$A910="","",IF('ORDENES'!$W910="","-",'ORDENES'!$W910))</f>
        <v/>
      </c>
      <c r="H932" s="3">
        <f>IF('ORDENES'!$A910="","",IF('ORDENES'!$AE910="","-",'ORDENES'!$AE910))</f>
        <v/>
      </c>
      <c r="I932" s="3">
        <f>IF('ORDENES'!$A910="","",IF('ORDENES'!$AQ910="","-",'ORDENES'!$AQ910))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IF('ORDENES'!$A910="","",'ORDENES'!$AD910)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IF('ORDENES'!$A911="","",IF('ORDENES'!$AF911="","-",'ORDENES'!$AF911))</f>
        <v/>
      </c>
      <c r="D933" s="3">
        <f>IF('ORDENES'!$A911="","",IF('ORDENES'!$X911="","-",'ORDENES'!$X911))</f>
        <v/>
      </c>
      <c r="E933" s="3">
        <f>IF('ORDENES'!$A911="","",IF('ORDENES'!$V911="","-",'ORDENES'!$V911))</f>
        <v/>
      </c>
      <c r="F933" s="3">
        <f>IF('ORDENES'!$A911="","",IF('ORDENES'!$Y911="","-",'ORDENES'!$Y911))</f>
        <v/>
      </c>
      <c r="G933" s="3">
        <f>IF('ORDENES'!$A911="","",IF('ORDENES'!$W911="","-",'ORDENES'!$W911))</f>
        <v/>
      </c>
      <c r="H933" s="3">
        <f>IF('ORDENES'!$A911="","",IF('ORDENES'!$AE911="","-",'ORDENES'!$AE911))</f>
        <v/>
      </c>
      <c r="I933" s="3">
        <f>IF('ORDENES'!$A911="","",IF('ORDENES'!$AQ911="","-",'ORDENES'!$AQ911))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IF('ORDENES'!$A911="","",'ORDENES'!$AD911)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IF('ORDENES'!$A912="","",IF('ORDENES'!$AF912="","-",'ORDENES'!$AF912))</f>
        <v/>
      </c>
      <c r="D934" s="3">
        <f>IF('ORDENES'!$A912="","",IF('ORDENES'!$X912="","-",'ORDENES'!$X912))</f>
        <v/>
      </c>
      <c r="E934" s="3">
        <f>IF('ORDENES'!$A912="","",IF('ORDENES'!$V912="","-",'ORDENES'!$V912))</f>
        <v/>
      </c>
      <c r="F934" s="3">
        <f>IF('ORDENES'!$A912="","",IF('ORDENES'!$Y912="","-",'ORDENES'!$Y912))</f>
        <v/>
      </c>
      <c r="G934" s="3">
        <f>IF('ORDENES'!$A912="","",IF('ORDENES'!$W912="","-",'ORDENES'!$W912))</f>
        <v/>
      </c>
      <c r="H934" s="3">
        <f>IF('ORDENES'!$A912="","",IF('ORDENES'!$AE912="","-",'ORDENES'!$AE912))</f>
        <v/>
      </c>
      <c r="I934" s="3">
        <f>IF('ORDENES'!$A912="","",IF('ORDENES'!$AQ912="","-",'ORDENES'!$AQ912))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IF('ORDENES'!$A912="","",'ORDENES'!$AD912)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IF('ORDENES'!$A913="","",IF('ORDENES'!$AF913="","-",'ORDENES'!$AF913))</f>
        <v/>
      </c>
      <c r="D935" s="3">
        <f>IF('ORDENES'!$A913="","",IF('ORDENES'!$X913="","-",'ORDENES'!$X913))</f>
        <v/>
      </c>
      <c r="E935" s="3">
        <f>IF('ORDENES'!$A913="","",IF('ORDENES'!$V913="","-",'ORDENES'!$V913))</f>
        <v/>
      </c>
      <c r="F935" s="3">
        <f>IF('ORDENES'!$A913="","",IF('ORDENES'!$Y913="","-",'ORDENES'!$Y913))</f>
        <v/>
      </c>
      <c r="G935" s="3">
        <f>IF('ORDENES'!$A913="","",IF('ORDENES'!$W913="","-",'ORDENES'!$W913))</f>
        <v/>
      </c>
      <c r="H935" s="3">
        <f>IF('ORDENES'!$A913="","",IF('ORDENES'!$AE913="","-",'ORDENES'!$AE913))</f>
        <v/>
      </c>
      <c r="I935" s="3">
        <f>IF('ORDENES'!$A913="","",IF('ORDENES'!$AQ913="","-",'ORDENES'!$AQ913))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IF('ORDENES'!$A913="","",'ORDENES'!$AD913)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IF('ORDENES'!$A914="","",IF('ORDENES'!$AF914="","-",'ORDENES'!$AF914))</f>
        <v/>
      </c>
      <c r="D936" s="3">
        <f>IF('ORDENES'!$A914="","",IF('ORDENES'!$X914="","-",'ORDENES'!$X914))</f>
        <v/>
      </c>
      <c r="E936" s="3">
        <f>IF('ORDENES'!$A914="","",IF('ORDENES'!$V914="","-",'ORDENES'!$V914))</f>
        <v/>
      </c>
      <c r="F936" s="3">
        <f>IF('ORDENES'!$A914="","",IF('ORDENES'!$Y914="","-",'ORDENES'!$Y914))</f>
        <v/>
      </c>
      <c r="G936" s="3">
        <f>IF('ORDENES'!$A914="","",IF('ORDENES'!$W914="","-",'ORDENES'!$W914))</f>
        <v/>
      </c>
      <c r="H936" s="3">
        <f>IF('ORDENES'!$A914="","",IF('ORDENES'!$AE914="","-",'ORDENES'!$AE914))</f>
        <v/>
      </c>
      <c r="I936" s="3">
        <f>IF('ORDENES'!$A914="","",IF('ORDENES'!$AQ914="","-",'ORDENES'!$AQ914))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IF('ORDENES'!$A914="","",'ORDENES'!$AD914)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IF('ORDENES'!$A915="","",IF('ORDENES'!$AF915="","-",'ORDENES'!$AF915))</f>
        <v/>
      </c>
      <c r="D937" s="3">
        <f>IF('ORDENES'!$A915="","",IF('ORDENES'!$X915="","-",'ORDENES'!$X915))</f>
        <v/>
      </c>
      <c r="E937" s="3">
        <f>IF('ORDENES'!$A915="","",IF('ORDENES'!$V915="","-",'ORDENES'!$V915))</f>
        <v/>
      </c>
      <c r="F937" s="3">
        <f>IF('ORDENES'!$A915="","",IF('ORDENES'!$Y915="","-",'ORDENES'!$Y915))</f>
        <v/>
      </c>
      <c r="G937" s="3">
        <f>IF('ORDENES'!$A915="","",IF('ORDENES'!$W915="","-",'ORDENES'!$W915))</f>
        <v/>
      </c>
      <c r="H937" s="3">
        <f>IF('ORDENES'!$A915="","",IF('ORDENES'!$AE915="","-",'ORDENES'!$AE915))</f>
        <v/>
      </c>
      <c r="I937" s="3">
        <f>IF('ORDENES'!$A915="","",IF('ORDENES'!$AQ915="","-",'ORDENES'!$AQ915))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IF('ORDENES'!$A915="","",'ORDENES'!$AD915)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IF('ORDENES'!$A916="","",IF('ORDENES'!$AF916="","-",'ORDENES'!$AF916))</f>
        <v/>
      </c>
      <c r="D938" s="3">
        <f>IF('ORDENES'!$A916="","",IF('ORDENES'!$X916="","-",'ORDENES'!$X916))</f>
        <v/>
      </c>
      <c r="E938" s="3">
        <f>IF('ORDENES'!$A916="","",IF('ORDENES'!$V916="","-",'ORDENES'!$V916))</f>
        <v/>
      </c>
      <c r="F938" s="3">
        <f>IF('ORDENES'!$A916="","",IF('ORDENES'!$Y916="","-",'ORDENES'!$Y916))</f>
        <v/>
      </c>
      <c r="G938" s="3">
        <f>IF('ORDENES'!$A916="","",IF('ORDENES'!$W916="","-",'ORDENES'!$W916))</f>
        <v/>
      </c>
      <c r="H938" s="3">
        <f>IF('ORDENES'!$A916="","",IF('ORDENES'!$AE916="","-",'ORDENES'!$AE916))</f>
        <v/>
      </c>
      <c r="I938" s="3">
        <f>IF('ORDENES'!$A916="","",IF('ORDENES'!$AQ916="","-",'ORDENES'!$AQ916))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IF('ORDENES'!$A916="","",'ORDENES'!$AD916)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IF('ORDENES'!$A917="","",IF('ORDENES'!$AF917="","-",'ORDENES'!$AF917))</f>
        <v/>
      </c>
      <c r="D939" s="3">
        <f>IF('ORDENES'!$A917="","",IF('ORDENES'!$X917="","-",'ORDENES'!$X917))</f>
        <v/>
      </c>
      <c r="E939" s="3">
        <f>IF('ORDENES'!$A917="","",IF('ORDENES'!$V917="","-",'ORDENES'!$V917))</f>
        <v/>
      </c>
      <c r="F939" s="3">
        <f>IF('ORDENES'!$A917="","",IF('ORDENES'!$Y917="","-",'ORDENES'!$Y917))</f>
        <v/>
      </c>
      <c r="G939" s="3">
        <f>IF('ORDENES'!$A917="","",IF('ORDENES'!$W917="","-",'ORDENES'!$W917))</f>
        <v/>
      </c>
      <c r="H939" s="3">
        <f>IF('ORDENES'!$A917="","",IF('ORDENES'!$AE917="","-",'ORDENES'!$AE917))</f>
        <v/>
      </c>
      <c r="I939" s="3">
        <f>IF('ORDENES'!$A917="","",IF('ORDENES'!$AQ917="","-",'ORDENES'!$AQ917))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IF('ORDENES'!$A917="","",'ORDENES'!$AD917)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IF('ORDENES'!$A918="","",IF('ORDENES'!$AF918="","-",'ORDENES'!$AF918))</f>
        <v/>
      </c>
      <c r="D940" s="3">
        <f>IF('ORDENES'!$A918="","",IF('ORDENES'!$X918="","-",'ORDENES'!$X918))</f>
        <v/>
      </c>
      <c r="E940" s="3">
        <f>IF('ORDENES'!$A918="","",IF('ORDENES'!$V918="","-",'ORDENES'!$V918))</f>
        <v/>
      </c>
      <c r="F940" s="3">
        <f>IF('ORDENES'!$A918="","",IF('ORDENES'!$Y918="","-",'ORDENES'!$Y918))</f>
        <v/>
      </c>
      <c r="G940" s="3">
        <f>IF('ORDENES'!$A918="","",IF('ORDENES'!$W918="","-",'ORDENES'!$W918))</f>
        <v/>
      </c>
      <c r="H940" s="3">
        <f>IF('ORDENES'!$A918="","",IF('ORDENES'!$AE918="","-",'ORDENES'!$AE918))</f>
        <v/>
      </c>
      <c r="I940" s="3">
        <f>IF('ORDENES'!$A918="","",IF('ORDENES'!$AQ918="","-",'ORDENES'!$AQ918))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IF('ORDENES'!$A918="","",'ORDENES'!$AD918)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IF('ORDENES'!$A919="","",IF('ORDENES'!$AF919="","-",'ORDENES'!$AF919))</f>
        <v/>
      </c>
      <c r="D941" s="3">
        <f>IF('ORDENES'!$A919="","",IF('ORDENES'!$X919="","-",'ORDENES'!$X919))</f>
        <v/>
      </c>
      <c r="E941" s="3">
        <f>IF('ORDENES'!$A919="","",IF('ORDENES'!$V919="","-",'ORDENES'!$V919))</f>
        <v/>
      </c>
      <c r="F941" s="3">
        <f>IF('ORDENES'!$A919="","",IF('ORDENES'!$Y919="","-",'ORDENES'!$Y919))</f>
        <v/>
      </c>
      <c r="G941" s="3">
        <f>IF('ORDENES'!$A919="","",IF('ORDENES'!$W919="","-",'ORDENES'!$W919))</f>
        <v/>
      </c>
      <c r="H941" s="3">
        <f>IF('ORDENES'!$A919="","",IF('ORDENES'!$AE919="","-",'ORDENES'!$AE919))</f>
        <v/>
      </c>
      <c r="I941" s="3">
        <f>IF('ORDENES'!$A919="","",IF('ORDENES'!$AQ919="","-",'ORDENES'!$AQ919))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IF('ORDENES'!$A919="","",'ORDENES'!$AD919)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IF('ORDENES'!$A920="","",IF('ORDENES'!$AF920="","-",'ORDENES'!$AF920))</f>
        <v/>
      </c>
      <c r="D942" s="3">
        <f>IF('ORDENES'!$A920="","",IF('ORDENES'!$X920="","-",'ORDENES'!$X920))</f>
        <v/>
      </c>
      <c r="E942" s="3">
        <f>IF('ORDENES'!$A920="","",IF('ORDENES'!$V920="","-",'ORDENES'!$V920))</f>
        <v/>
      </c>
      <c r="F942" s="3">
        <f>IF('ORDENES'!$A920="","",IF('ORDENES'!$Y920="","-",'ORDENES'!$Y920))</f>
        <v/>
      </c>
      <c r="G942" s="3">
        <f>IF('ORDENES'!$A920="","",IF('ORDENES'!$W920="","-",'ORDENES'!$W920))</f>
        <v/>
      </c>
      <c r="H942" s="3">
        <f>IF('ORDENES'!$A920="","",IF('ORDENES'!$AE920="","-",'ORDENES'!$AE920))</f>
        <v/>
      </c>
      <c r="I942" s="3">
        <f>IF('ORDENES'!$A920="","",IF('ORDENES'!$AQ920="","-",'ORDENES'!$AQ920))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IF('ORDENES'!$A920="","",'ORDENES'!$AD920)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IF('ORDENES'!$A921="","",IF('ORDENES'!$AF921="","-",'ORDENES'!$AF921))</f>
        <v/>
      </c>
      <c r="D943" s="3">
        <f>IF('ORDENES'!$A921="","",IF('ORDENES'!$X921="","-",'ORDENES'!$X921))</f>
        <v/>
      </c>
      <c r="E943" s="3">
        <f>IF('ORDENES'!$A921="","",IF('ORDENES'!$V921="","-",'ORDENES'!$V921))</f>
        <v/>
      </c>
      <c r="F943" s="3">
        <f>IF('ORDENES'!$A921="","",IF('ORDENES'!$Y921="","-",'ORDENES'!$Y921))</f>
        <v/>
      </c>
      <c r="G943" s="3">
        <f>IF('ORDENES'!$A921="","",IF('ORDENES'!$W921="","-",'ORDENES'!$W921))</f>
        <v/>
      </c>
      <c r="H943" s="3">
        <f>IF('ORDENES'!$A921="","",IF('ORDENES'!$AE921="","-",'ORDENES'!$AE921))</f>
        <v/>
      </c>
      <c r="I943" s="3">
        <f>IF('ORDENES'!$A921="","",IF('ORDENES'!$AQ921="","-",'ORDENES'!$AQ921))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IF('ORDENES'!$A921="","",'ORDENES'!$AD921)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IF('ORDENES'!$A922="","",IF('ORDENES'!$AF922="","-",'ORDENES'!$AF922))</f>
        <v/>
      </c>
      <c r="D944" s="3">
        <f>IF('ORDENES'!$A922="","",IF('ORDENES'!$X922="","-",'ORDENES'!$X922))</f>
        <v/>
      </c>
      <c r="E944" s="3">
        <f>IF('ORDENES'!$A922="","",IF('ORDENES'!$V922="","-",'ORDENES'!$V922))</f>
        <v/>
      </c>
      <c r="F944" s="3">
        <f>IF('ORDENES'!$A922="","",IF('ORDENES'!$Y922="","-",'ORDENES'!$Y922))</f>
        <v/>
      </c>
      <c r="G944" s="3">
        <f>IF('ORDENES'!$A922="","",IF('ORDENES'!$W922="","-",'ORDENES'!$W922))</f>
        <v/>
      </c>
      <c r="H944" s="3">
        <f>IF('ORDENES'!$A922="","",IF('ORDENES'!$AE922="","-",'ORDENES'!$AE922))</f>
        <v/>
      </c>
      <c r="I944" s="3">
        <f>IF('ORDENES'!$A922="","",IF('ORDENES'!$AQ922="","-",'ORDENES'!$AQ922))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IF('ORDENES'!$A922="","",'ORDENES'!$AD922)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IF('ORDENES'!$A923="","",IF('ORDENES'!$AF923="","-",'ORDENES'!$AF923))</f>
        <v/>
      </c>
      <c r="D945" s="3">
        <f>IF('ORDENES'!$A923="","",IF('ORDENES'!$X923="","-",'ORDENES'!$X923))</f>
        <v/>
      </c>
      <c r="E945" s="3">
        <f>IF('ORDENES'!$A923="","",IF('ORDENES'!$V923="","-",'ORDENES'!$V923))</f>
        <v/>
      </c>
      <c r="F945" s="3">
        <f>IF('ORDENES'!$A923="","",IF('ORDENES'!$Y923="","-",'ORDENES'!$Y923))</f>
        <v/>
      </c>
      <c r="G945" s="3">
        <f>IF('ORDENES'!$A923="","",IF('ORDENES'!$W923="","-",'ORDENES'!$W923))</f>
        <v/>
      </c>
      <c r="H945" s="3">
        <f>IF('ORDENES'!$A923="","",IF('ORDENES'!$AE923="","-",'ORDENES'!$AE923))</f>
        <v/>
      </c>
      <c r="I945" s="3">
        <f>IF('ORDENES'!$A923="","",IF('ORDENES'!$AQ923="","-",'ORDENES'!$AQ923))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IF('ORDENES'!$A923="","",'ORDENES'!$AD923)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IF('ORDENES'!$A924="","",IF('ORDENES'!$AF924="","-",'ORDENES'!$AF924))</f>
        <v/>
      </c>
      <c r="D946" s="3">
        <f>IF('ORDENES'!$A924="","",IF('ORDENES'!$X924="","-",'ORDENES'!$X924))</f>
        <v/>
      </c>
      <c r="E946" s="3">
        <f>IF('ORDENES'!$A924="","",IF('ORDENES'!$V924="","-",'ORDENES'!$V924))</f>
        <v/>
      </c>
      <c r="F946" s="3">
        <f>IF('ORDENES'!$A924="","",IF('ORDENES'!$Y924="","-",'ORDENES'!$Y924))</f>
        <v/>
      </c>
      <c r="G946" s="3">
        <f>IF('ORDENES'!$A924="","",IF('ORDENES'!$W924="","-",'ORDENES'!$W924))</f>
        <v/>
      </c>
      <c r="H946" s="3">
        <f>IF('ORDENES'!$A924="","",IF('ORDENES'!$AE924="","-",'ORDENES'!$AE924))</f>
        <v/>
      </c>
      <c r="I946" s="3">
        <f>IF('ORDENES'!$A924="","",IF('ORDENES'!$AQ924="","-",'ORDENES'!$AQ924))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IF('ORDENES'!$A924="","",'ORDENES'!$AD924)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IF('ORDENES'!$A925="","",IF('ORDENES'!$AF925="","-",'ORDENES'!$AF925))</f>
        <v/>
      </c>
      <c r="D947" s="3">
        <f>IF('ORDENES'!$A925="","",IF('ORDENES'!$X925="","-",'ORDENES'!$X925))</f>
        <v/>
      </c>
      <c r="E947" s="3">
        <f>IF('ORDENES'!$A925="","",IF('ORDENES'!$V925="","-",'ORDENES'!$V925))</f>
        <v/>
      </c>
      <c r="F947" s="3">
        <f>IF('ORDENES'!$A925="","",IF('ORDENES'!$Y925="","-",'ORDENES'!$Y925))</f>
        <v/>
      </c>
      <c r="G947" s="3">
        <f>IF('ORDENES'!$A925="","",IF('ORDENES'!$W925="","-",'ORDENES'!$W925))</f>
        <v/>
      </c>
      <c r="H947" s="3">
        <f>IF('ORDENES'!$A925="","",IF('ORDENES'!$AE925="","-",'ORDENES'!$AE925))</f>
        <v/>
      </c>
      <c r="I947" s="3">
        <f>IF('ORDENES'!$A925="","",IF('ORDENES'!$AQ925="","-",'ORDENES'!$AQ925))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IF('ORDENES'!$A925="","",'ORDENES'!$AD925)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IF('ORDENES'!$A926="","",IF('ORDENES'!$AF926="","-",'ORDENES'!$AF926))</f>
        <v/>
      </c>
      <c r="D948" s="3">
        <f>IF('ORDENES'!$A926="","",IF('ORDENES'!$X926="","-",'ORDENES'!$X926))</f>
        <v/>
      </c>
      <c r="E948" s="3">
        <f>IF('ORDENES'!$A926="","",IF('ORDENES'!$V926="","-",'ORDENES'!$V926))</f>
        <v/>
      </c>
      <c r="F948" s="3">
        <f>IF('ORDENES'!$A926="","",IF('ORDENES'!$Y926="","-",'ORDENES'!$Y926))</f>
        <v/>
      </c>
      <c r="G948" s="3">
        <f>IF('ORDENES'!$A926="","",IF('ORDENES'!$W926="","-",'ORDENES'!$W926))</f>
        <v/>
      </c>
      <c r="H948" s="3">
        <f>IF('ORDENES'!$A926="","",IF('ORDENES'!$AE926="","-",'ORDENES'!$AE926))</f>
        <v/>
      </c>
      <c r="I948" s="3">
        <f>IF('ORDENES'!$A926="","",IF('ORDENES'!$AQ926="","-",'ORDENES'!$AQ926))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IF('ORDENES'!$A926="","",'ORDENES'!$AD926)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IF('ORDENES'!$A927="","",IF('ORDENES'!$AF927="","-",'ORDENES'!$AF927))</f>
        <v/>
      </c>
      <c r="D949" s="3">
        <f>IF('ORDENES'!$A927="","",IF('ORDENES'!$X927="","-",'ORDENES'!$X927))</f>
        <v/>
      </c>
      <c r="E949" s="3">
        <f>IF('ORDENES'!$A927="","",IF('ORDENES'!$V927="","-",'ORDENES'!$V927))</f>
        <v/>
      </c>
      <c r="F949" s="3">
        <f>IF('ORDENES'!$A927="","",IF('ORDENES'!$Y927="","-",'ORDENES'!$Y927))</f>
        <v/>
      </c>
      <c r="G949" s="3">
        <f>IF('ORDENES'!$A927="","",IF('ORDENES'!$W927="","-",'ORDENES'!$W927))</f>
        <v/>
      </c>
      <c r="H949" s="3">
        <f>IF('ORDENES'!$A927="","",IF('ORDENES'!$AE927="","-",'ORDENES'!$AE927))</f>
        <v/>
      </c>
      <c r="I949" s="3">
        <f>IF('ORDENES'!$A927="","",IF('ORDENES'!$AQ927="","-",'ORDENES'!$AQ927))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IF('ORDENES'!$A927="","",'ORDENES'!$AD927)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IF('ORDENES'!$A928="","",IF('ORDENES'!$AF928="","-",'ORDENES'!$AF928))</f>
        <v/>
      </c>
      <c r="D950" s="3">
        <f>IF('ORDENES'!$A928="","",IF('ORDENES'!$X928="","-",'ORDENES'!$X928))</f>
        <v/>
      </c>
      <c r="E950" s="3">
        <f>IF('ORDENES'!$A928="","",IF('ORDENES'!$V928="","-",'ORDENES'!$V928))</f>
        <v/>
      </c>
      <c r="F950" s="3">
        <f>IF('ORDENES'!$A928="","",IF('ORDENES'!$Y928="","-",'ORDENES'!$Y928))</f>
        <v/>
      </c>
      <c r="G950" s="3">
        <f>IF('ORDENES'!$A928="","",IF('ORDENES'!$W928="","-",'ORDENES'!$W928))</f>
        <v/>
      </c>
      <c r="H950" s="3">
        <f>IF('ORDENES'!$A928="","",IF('ORDENES'!$AE928="","-",'ORDENES'!$AE928))</f>
        <v/>
      </c>
      <c r="I950" s="3">
        <f>IF('ORDENES'!$A928="","",IF('ORDENES'!$AQ928="","-",'ORDENES'!$AQ928))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IF('ORDENES'!$A928="","",'ORDENES'!$AD928)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IF('ORDENES'!$A929="","",IF('ORDENES'!$AF929="","-",'ORDENES'!$AF929))</f>
        <v/>
      </c>
      <c r="D951" s="3">
        <f>IF('ORDENES'!$A929="","",IF('ORDENES'!$X929="","-",'ORDENES'!$X929))</f>
        <v/>
      </c>
      <c r="E951" s="3">
        <f>IF('ORDENES'!$A929="","",IF('ORDENES'!$V929="","-",'ORDENES'!$V929))</f>
        <v/>
      </c>
      <c r="F951" s="3">
        <f>IF('ORDENES'!$A929="","",IF('ORDENES'!$Y929="","-",'ORDENES'!$Y929))</f>
        <v/>
      </c>
      <c r="G951" s="3">
        <f>IF('ORDENES'!$A929="","",IF('ORDENES'!$W929="","-",'ORDENES'!$W929))</f>
        <v/>
      </c>
      <c r="H951" s="3">
        <f>IF('ORDENES'!$A929="","",IF('ORDENES'!$AE929="","-",'ORDENES'!$AE929))</f>
        <v/>
      </c>
      <c r="I951" s="3">
        <f>IF('ORDENES'!$A929="","",IF('ORDENES'!$AQ929="","-",'ORDENES'!$AQ929))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IF('ORDENES'!$A929="","",'ORDENES'!$AD929)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IF('ORDENES'!$A930="","",IF('ORDENES'!$AF930="","-",'ORDENES'!$AF930))</f>
        <v/>
      </c>
      <c r="D952" s="3">
        <f>IF('ORDENES'!$A930="","",IF('ORDENES'!$X930="","-",'ORDENES'!$X930))</f>
        <v/>
      </c>
      <c r="E952" s="3">
        <f>IF('ORDENES'!$A930="","",IF('ORDENES'!$V930="","-",'ORDENES'!$V930))</f>
        <v/>
      </c>
      <c r="F952" s="3">
        <f>IF('ORDENES'!$A930="","",IF('ORDENES'!$Y930="","-",'ORDENES'!$Y930))</f>
        <v/>
      </c>
      <c r="G952" s="3">
        <f>IF('ORDENES'!$A930="","",IF('ORDENES'!$W930="","-",'ORDENES'!$W930))</f>
        <v/>
      </c>
      <c r="H952" s="3">
        <f>IF('ORDENES'!$A930="","",IF('ORDENES'!$AE930="","-",'ORDENES'!$AE930))</f>
        <v/>
      </c>
      <c r="I952" s="3">
        <f>IF('ORDENES'!$A930="","",IF('ORDENES'!$AQ930="","-",'ORDENES'!$AQ930))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IF('ORDENES'!$A930="","",'ORDENES'!$AD930)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IF('ORDENES'!$A931="","",IF('ORDENES'!$AF931="","-",'ORDENES'!$AF931))</f>
        <v/>
      </c>
      <c r="D953" s="3">
        <f>IF('ORDENES'!$A931="","",IF('ORDENES'!$X931="","-",'ORDENES'!$X931))</f>
        <v/>
      </c>
      <c r="E953" s="3">
        <f>IF('ORDENES'!$A931="","",IF('ORDENES'!$V931="","-",'ORDENES'!$V931))</f>
        <v/>
      </c>
      <c r="F953" s="3">
        <f>IF('ORDENES'!$A931="","",IF('ORDENES'!$Y931="","-",'ORDENES'!$Y931))</f>
        <v/>
      </c>
      <c r="G953" s="3">
        <f>IF('ORDENES'!$A931="","",IF('ORDENES'!$W931="","-",'ORDENES'!$W931))</f>
        <v/>
      </c>
      <c r="H953" s="3">
        <f>IF('ORDENES'!$A931="","",IF('ORDENES'!$AE931="","-",'ORDENES'!$AE931))</f>
        <v/>
      </c>
      <c r="I953" s="3">
        <f>IF('ORDENES'!$A931="","",IF('ORDENES'!$AQ931="","-",'ORDENES'!$AQ931))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IF('ORDENES'!$A931="","",'ORDENES'!$AD931)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IF('ORDENES'!$A932="","",IF('ORDENES'!$AF932="","-",'ORDENES'!$AF932))</f>
        <v/>
      </c>
      <c r="D954" s="3">
        <f>IF('ORDENES'!$A932="","",IF('ORDENES'!$X932="","-",'ORDENES'!$X932))</f>
        <v/>
      </c>
      <c r="E954" s="3">
        <f>IF('ORDENES'!$A932="","",IF('ORDENES'!$V932="","-",'ORDENES'!$V932))</f>
        <v/>
      </c>
      <c r="F954" s="3">
        <f>IF('ORDENES'!$A932="","",IF('ORDENES'!$Y932="","-",'ORDENES'!$Y932))</f>
        <v/>
      </c>
      <c r="G954" s="3">
        <f>IF('ORDENES'!$A932="","",IF('ORDENES'!$W932="","-",'ORDENES'!$W932))</f>
        <v/>
      </c>
      <c r="H954" s="3">
        <f>IF('ORDENES'!$A932="","",IF('ORDENES'!$AE932="","-",'ORDENES'!$AE932))</f>
        <v/>
      </c>
      <c r="I954" s="3">
        <f>IF('ORDENES'!$A932="","",IF('ORDENES'!$AQ932="","-",'ORDENES'!$AQ932))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IF('ORDENES'!$A932="","",'ORDENES'!$AD932)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IF('ORDENES'!$A933="","",IF('ORDENES'!$AF933="","-",'ORDENES'!$AF933))</f>
        <v/>
      </c>
      <c r="D955" s="3">
        <f>IF('ORDENES'!$A933="","",IF('ORDENES'!$X933="","-",'ORDENES'!$X933))</f>
        <v/>
      </c>
      <c r="E955" s="3">
        <f>IF('ORDENES'!$A933="","",IF('ORDENES'!$V933="","-",'ORDENES'!$V933))</f>
        <v/>
      </c>
      <c r="F955" s="3">
        <f>IF('ORDENES'!$A933="","",IF('ORDENES'!$Y933="","-",'ORDENES'!$Y933))</f>
        <v/>
      </c>
      <c r="G955" s="3">
        <f>IF('ORDENES'!$A933="","",IF('ORDENES'!$W933="","-",'ORDENES'!$W933))</f>
        <v/>
      </c>
      <c r="H955" s="3">
        <f>IF('ORDENES'!$A933="","",IF('ORDENES'!$AE933="","-",'ORDENES'!$AE933))</f>
        <v/>
      </c>
      <c r="I955" s="3">
        <f>IF('ORDENES'!$A933="","",IF('ORDENES'!$AQ933="","-",'ORDENES'!$AQ933))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IF('ORDENES'!$A933="","",'ORDENES'!$AD933)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IF('ORDENES'!$A934="","",IF('ORDENES'!$AF934="","-",'ORDENES'!$AF934))</f>
        <v/>
      </c>
      <c r="D956" s="3">
        <f>IF('ORDENES'!$A934="","",IF('ORDENES'!$X934="","-",'ORDENES'!$X934))</f>
        <v/>
      </c>
      <c r="E956" s="3">
        <f>IF('ORDENES'!$A934="","",IF('ORDENES'!$V934="","-",'ORDENES'!$V934))</f>
        <v/>
      </c>
      <c r="F956" s="3">
        <f>IF('ORDENES'!$A934="","",IF('ORDENES'!$Y934="","-",'ORDENES'!$Y934))</f>
        <v/>
      </c>
      <c r="G956" s="3">
        <f>IF('ORDENES'!$A934="","",IF('ORDENES'!$W934="","-",'ORDENES'!$W934))</f>
        <v/>
      </c>
      <c r="H956" s="3">
        <f>IF('ORDENES'!$A934="","",IF('ORDENES'!$AE934="","-",'ORDENES'!$AE934))</f>
        <v/>
      </c>
      <c r="I956" s="3">
        <f>IF('ORDENES'!$A934="","",IF('ORDENES'!$AQ934="","-",'ORDENES'!$AQ934))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IF('ORDENES'!$A934="","",'ORDENES'!$AD934)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IF('ORDENES'!$A935="","",IF('ORDENES'!$AF935="","-",'ORDENES'!$AF935))</f>
        <v/>
      </c>
      <c r="D957" s="3">
        <f>IF('ORDENES'!$A935="","",IF('ORDENES'!$X935="","-",'ORDENES'!$X935))</f>
        <v/>
      </c>
      <c r="E957" s="3">
        <f>IF('ORDENES'!$A935="","",IF('ORDENES'!$V935="","-",'ORDENES'!$V935))</f>
        <v/>
      </c>
      <c r="F957" s="3">
        <f>IF('ORDENES'!$A935="","",IF('ORDENES'!$Y935="","-",'ORDENES'!$Y935))</f>
        <v/>
      </c>
      <c r="G957" s="3">
        <f>IF('ORDENES'!$A935="","",IF('ORDENES'!$W935="","-",'ORDENES'!$W935))</f>
        <v/>
      </c>
      <c r="H957" s="3">
        <f>IF('ORDENES'!$A935="","",IF('ORDENES'!$AE935="","-",'ORDENES'!$AE935))</f>
        <v/>
      </c>
      <c r="I957" s="3">
        <f>IF('ORDENES'!$A935="","",IF('ORDENES'!$AQ935="","-",'ORDENES'!$AQ935))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IF('ORDENES'!$A935="","",'ORDENES'!$AD935)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IF('ORDENES'!$A936="","",IF('ORDENES'!$AF936="","-",'ORDENES'!$AF936))</f>
        <v/>
      </c>
      <c r="D958" s="3">
        <f>IF('ORDENES'!$A936="","",IF('ORDENES'!$X936="","-",'ORDENES'!$X936))</f>
        <v/>
      </c>
      <c r="E958" s="3">
        <f>IF('ORDENES'!$A936="","",IF('ORDENES'!$V936="","-",'ORDENES'!$V936))</f>
        <v/>
      </c>
      <c r="F958" s="3">
        <f>IF('ORDENES'!$A936="","",IF('ORDENES'!$Y936="","-",'ORDENES'!$Y936))</f>
        <v/>
      </c>
      <c r="G958" s="3">
        <f>IF('ORDENES'!$A936="","",IF('ORDENES'!$W936="","-",'ORDENES'!$W936))</f>
        <v/>
      </c>
      <c r="H958" s="3">
        <f>IF('ORDENES'!$A936="","",IF('ORDENES'!$AE936="","-",'ORDENES'!$AE936))</f>
        <v/>
      </c>
      <c r="I958" s="3">
        <f>IF('ORDENES'!$A936="","",IF('ORDENES'!$AQ936="","-",'ORDENES'!$AQ936))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IF('ORDENES'!$A936="","",'ORDENES'!$AD936)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IF('ORDENES'!$A937="","",IF('ORDENES'!$AF937="","-",'ORDENES'!$AF937))</f>
        <v/>
      </c>
      <c r="D959" s="3">
        <f>IF('ORDENES'!$A937="","",IF('ORDENES'!$X937="","-",'ORDENES'!$X937))</f>
        <v/>
      </c>
      <c r="E959" s="3">
        <f>IF('ORDENES'!$A937="","",IF('ORDENES'!$V937="","-",'ORDENES'!$V937))</f>
        <v/>
      </c>
      <c r="F959" s="3">
        <f>IF('ORDENES'!$A937="","",IF('ORDENES'!$Y937="","-",'ORDENES'!$Y937))</f>
        <v/>
      </c>
      <c r="G959" s="3">
        <f>IF('ORDENES'!$A937="","",IF('ORDENES'!$W937="","-",'ORDENES'!$W937))</f>
        <v/>
      </c>
      <c r="H959" s="3">
        <f>IF('ORDENES'!$A937="","",IF('ORDENES'!$AE937="","-",'ORDENES'!$AE937))</f>
        <v/>
      </c>
      <c r="I959" s="3">
        <f>IF('ORDENES'!$A937="","",IF('ORDENES'!$AQ937="","-",'ORDENES'!$AQ937))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IF('ORDENES'!$A937="","",'ORDENES'!$AD937)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IF('ORDENES'!$A938="","",IF('ORDENES'!$AF938="","-",'ORDENES'!$AF938))</f>
        <v/>
      </c>
      <c r="D960" s="3">
        <f>IF('ORDENES'!$A938="","",IF('ORDENES'!$X938="","-",'ORDENES'!$X938))</f>
        <v/>
      </c>
      <c r="E960" s="3">
        <f>IF('ORDENES'!$A938="","",IF('ORDENES'!$V938="","-",'ORDENES'!$V938))</f>
        <v/>
      </c>
      <c r="F960" s="3">
        <f>IF('ORDENES'!$A938="","",IF('ORDENES'!$Y938="","-",'ORDENES'!$Y938))</f>
        <v/>
      </c>
      <c r="G960" s="3">
        <f>IF('ORDENES'!$A938="","",IF('ORDENES'!$W938="","-",'ORDENES'!$W938))</f>
        <v/>
      </c>
      <c r="H960" s="3">
        <f>IF('ORDENES'!$A938="","",IF('ORDENES'!$AE938="","-",'ORDENES'!$AE938))</f>
        <v/>
      </c>
      <c r="I960" s="3">
        <f>IF('ORDENES'!$A938="","",IF('ORDENES'!$AQ938="","-",'ORDENES'!$AQ938))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IF('ORDENES'!$A938="","",'ORDENES'!$AD938)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IF('ORDENES'!$A939="","",IF('ORDENES'!$AF939="","-",'ORDENES'!$AF939))</f>
        <v/>
      </c>
      <c r="D961" s="3">
        <f>IF('ORDENES'!$A939="","",IF('ORDENES'!$X939="","-",'ORDENES'!$X939))</f>
        <v/>
      </c>
      <c r="E961" s="3">
        <f>IF('ORDENES'!$A939="","",IF('ORDENES'!$V939="","-",'ORDENES'!$V939))</f>
        <v/>
      </c>
      <c r="F961" s="3">
        <f>IF('ORDENES'!$A939="","",IF('ORDENES'!$Y939="","-",'ORDENES'!$Y939))</f>
        <v/>
      </c>
      <c r="G961" s="3">
        <f>IF('ORDENES'!$A939="","",IF('ORDENES'!$W939="","-",'ORDENES'!$W939))</f>
        <v/>
      </c>
      <c r="H961" s="3">
        <f>IF('ORDENES'!$A939="","",IF('ORDENES'!$AE939="","-",'ORDENES'!$AE939))</f>
        <v/>
      </c>
      <c r="I961" s="3">
        <f>IF('ORDENES'!$A939="","",IF('ORDENES'!$AQ939="","-",'ORDENES'!$AQ939))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IF('ORDENES'!$A939="","",'ORDENES'!$AD939)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IF('ORDENES'!$A940="","",IF('ORDENES'!$AF940="","-",'ORDENES'!$AF940))</f>
        <v/>
      </c>
      <c r="D962" s="3">
        <f>IF('ORDENES'!$A940="","",IF('ORDENES'!$X940="","-",'ORDENES'!$X940))</f>
        <v/>
      </c>
      <c r="E962" s="3">
        <f>IF('ORDENES'!$A940="","",IF('ORDENES'!$V940="","-",'ORDENES'!$V940))</f>
        <v/>
      </c>
      <c r="F962" s="3">
        <f>IF('ORDENES'!$A940="","",IF('ORDENES'!$Y940="","-",'ORDENES'!$Y940))</f>
        <v/>
      </c>
      <c r="G962" s="3">
        <f>IF('ORDENES'!$A940="","",IF('ORDENES'!$W940="","-",'ORDENES'!$W940))</f>
        <v/>
      </c>
      <c r="H962" s="3">
        <f>IF('ORDENES'!$A940="","",IF('ORDENES'!$AE940="","-",'ORDENES'!$AE940))</f>
        <v/>
      </c>
      <c r="I962" s="3">
        <f>IF('ORDENES'!$A940="","",IF('ORDENES'!$AQ940="","-",'ORDENES'!$AQ940))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IF('ORDENES'!$A940="","",'ORDENES'!$AD940)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IF('ORDENES'!$A941="","",IF('ORDENES'!$AF941="","-",'ORDENES'!$AF941))</f>
        <v/>
      </c>
      <c r="D963" s="3">
        <f>IF('ORDENES'!$A941="","",IF('ORDENES'!$X941="","-",'ORDENES'!$X941))</f>
        <v/>
      </c>
      <c r="E963" s="3">
        <f>IF('ORDENES'!$A941="","",IF('ORDENES'!$V941="","-",'ORDENES'!$V941))</f>
        <v/>
      </c>
      <c r="F963" s="3">
        <f>IF('ORDENES'!$A941="","",IF('ORDENES'!$Y941="","-",'ORDENES'!$Y941))</f>
        <v/>
      </c>
      <c r="G963" s="3">
        <f>IF('ORDENES'!$A941="","",IF('ORDENES'!$W941="","-",'ORDENES'!$W941))</f>
        <v/>
      </c>
      <c r="H963" s="3">
        <f>IF('ORDENES'!$A941="","",IF('ORDENES'!$AE941="","-",'ORDENES'!$AE941))</f>
        <v/>
      </c>
      <c r="I963" s="3">
        <f>IF('ORDENES'!$A941="","",IF('ORDENES'!$AQ941="","-",'ORDENES'!$AQ941))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IF('ORDENES'!$A941="","",'ORDENES'!$AD941)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IF('ORDENES'!$A942="","",IF('ORDENES'!$AF942="","-",'ORDENES'!$AF942))</f>
        <v/>
      </c>
      <c r="D964" s="3">
        <f>IF('ORDENES'!$A942="","",IF('ORDENES'!$X942="","-",'ORDENES'!$X942))</f>
        <v/>
      </c>
      <c r="E964" s="3">
        <f>IF('ORDENES'!$A942="","",IF('ORDENES'!$V942="","-",'ORDENES'!$V942))</f>
        <v/>
      </c>
      <c r="F964" s="3">
        <f>IF('ORDENES'!$A942="","",IF('ORDENES'!$Y942="","-",'ORDENES'!$Y942))</f>
        <v/>
      </c>
      <c r="G964" s="3">
        <f>IF('ORDENES'!$A942="","",IF('ORDENES'!$W942="","-",'ORDENES'!$W942))</f>
        <v/>
      </c>
      <c r="H964" s="3">
        <f>IF('ORDENES'!$A942="","",IF('ORDENES'!$AE942="","-",'ORDENES'!$AE942))</f>
        <v/>
      </c>
      <c r="I964" s="3">
        <f>IF('ORDENES'!$A942="","",IF('ORDENES'!$AQ942="","-",'ORDENES'!$AQ942))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IF('ORDENES'!$A942="","",'ORDENES'!$AD942)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IF('ORDENES'!$A943="","",IF('ORDENES'!$AF943="","-",'ORDENES'!$AF943))</f>
        <v/>
      </c>
      <c r="D965" s="3">
        <f>IF('ORDENES'!$A943="","",IF('ORDENES'!$X943="","-",'ORDENES'!$X943))</f>
        <v/>
      </c>
      <c r="E965" s="3">
        <f>IF('ORDENES'!$A943="","",IF('ORDENES'!$V943="","-",'ORDENES'!$V943))</f>
        <v/>
      </c>
      <c r="F965" s="3">
        <f>IF('ORDENES'!$A943="","",IF('ORDENES'!$Y943="","-",'ORDENES'!$Y943))</f>
        <v/>
      </c>
      <c r="G965" s="3">
        <f>IF('ORDENES'!$A943="","",IF('ORDENES'!$W943="","-",'ORDENES'!$W943))</f>
        <v/>
      </c>
      <c r="H965" s="3">
        <f>IF('ORDENES'!$A943="","",IF('ORDENES'!$AE943="","-",'ORDENES'!$AE943))</f>
        <v/>
      </c>
      <c r="I965" s="3">
        <f>IF('ORDENES'!$A943="","",IF('ORDENES'!$AQ943="","-",'ORDENES'!$AQ943))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IF('ORDENES'!$A943="","",'ORDENES'!$AD943)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IF('ORDENES'!$A944="","",IF('ORDENES'!$AF944="","-",'ORDENES'!$AF944))</f>
        <v/>
      </c>
      <c r="D966" s="3">
        <f>IF('ORDENES'!$A944="","",IF('ORDENES'!$X944="","-",'ORDENES'!$X944))</f>
        <v/>
      </c>
      <c r="E966" s="3">
        <f>IF('ORDENES'!$A944="","",IF('ORDENES'!$V944="","-",'ORDENES'!$V944))</f>
        <v/>
      </c>
      <c r="F966" s="3">
        <f>IF('ORDENES'!$A944="","",IF('ORDENES'!$Y944="","-",'ORDENES'!$Y944))</f>
        <v/>
      </c>
      <c r="G966" s="3">
        <f>IF('ORDENES'!$A944="","",IF('ORDENES'!$W944="","-",'ORDENES'!$W944))</f>
        <v/>
      </c>
      <c r="H966" s="3">
        <f>IF('ORDENES'!$A944="","",IF('ORDENES'!$AE944="","-",'ORDENES'!$AE944))</f>
        <v/>
      </c>
      <c r="I966" s="3">
        <f>IF('ORDENES'!$A944="","",IF('ORDENES'!$AQ944="","-",'ORDENES'!$AQ944))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IF('ORDENES'!$A944="","",'ORDENES'!$AD944)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IF('ORDENES'!$A945="","",IF('ORDENES'!$AF945="","-",'ORDENES'!$AF945))</f>
        <v/>
      </c>
      <c r="D967" s="3">
        <f>IF('ORDENES'!$A945="","",IF('ORDENES'!$X945="","-",'ORDENES'!$X945))</f>
        <v/>
      </c>
      <c r="E967" s="3">
        <f>IF('ORDENES'!$A945="","",IF('ORDENES'!$V945="","-",'ORDENES'!$V945))</f>
        <v/>
      </c>
      <c r="F967" s="3">
        <f>IF('ORDENES'!$A945="","",IF('ORDENES'!$Y945="","-",'ORDENES'!$Y945))</f>
        <v/>
      </c>
      <c r="G967" s="3">
        <f>IF('ORDENES'!$A945="","",IF('ORDENES'!$W945="","-",'ORDENES'!$W945))</f>
        <v/>
      </c>
      <c r="H967" s="3">
        <f>IF('ORDENES'!$A945="","",IF('ORDENES'!$AE945="","-",'ORDENES'!$AE945))</f>
        <v/>
      </c>
      <c r="I967" s="3">
        <f>IF('ORDENES'!$A945="","",IF('ORDENES'!$AQ945="","-",'ORDENES'!$AQ945))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IF('ORDENES'!$A945="","",'ORDENES'!$AD945)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IF('ORDENES'!$A946="","",IF('ORDENES'!$AF946="","-",'ORDENES'!$AF946))</f>
        <v/>
      </c>
      <c r="D968" s="3">
        <f>IF('ORDENES'!$A946="","",IF('ORDENES'!$X946="","-",'ORDENES'!$X946))</f>
        <v/>
      </c>
      <c r="E968" s="3">
        <f>IF('ORDENES'!$A946="","",IF('ORDENES'!$V946="","-",'ORDENES'!$V946))</f>
        <v/>
      </c>
      <c r="F968" s="3">
        <f>IF('ORDENES'!$A946="","",IF('ORDENES'!$Y946="","-",'ORDENES'!$Y946))</f>
        <v/>
      </c>
      <c r="G968" s="3">
        <f>IF('ORDENES'!$A946="","",IF('ORDENES'!$W946="","-",'ORDENES'!$W946))</f>
        <v/>
      </c>
      <c r="H968" s="3">
        <f>IF('ORDENES'!$A946="","",IF('ORDENES'!$AE946="","-",'ORDENES'!$AE946))</f>
        <v/>
      </c>
      <c r="I968" s="3">
        <f>IF('ORDENES'!$A946="","",IF('ORDENES'!$AQ946="","-",'ORDENES'!$AQ946))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IF('ORDENES'!$A946="","",'ORDENES'!$AD946)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IF('ORDENES'!$A947="","",IF('ORDENES'!$AF947="","-",'ORDENES'!$AF947))</f>
        <v/>
      </c>
      <c r="D969" s="3">
        <f>IF('ORDENES'!$A947="","",IF('ORDENES'!$X947="","-",'ORDENES'!$X947))</f>
        <v/>
      </c>
      <c r="E969" s="3">
        <f>IF('ORDENES'!$A947="","",IF('ORDENES'!$V947="","-",'ORDENES'!$V947))</f>
        <v/>
      </c>
      <c r="F969" s="3">
        <f>IF('ORDENES'!$A947="","",IF('ORDENES'!$Y947="","-",'ORDENES'!$Y947))</f>
        <v/>
      </c>
      <c r="G969" s="3">
        <f>IF('ORDENES'!$A947="","",IF('ORDENES'!$W947="","-",'ORDENES'!$W947))</f>
        <v/>
      </c>
      <c r="H969" s="3">
        <f>IF('ORDENES'!$A947="","",IF('ORDENES'!$AE947="","-",'ORDENES'!$AE947))</f>
        <v/>
      </c>
      <c r="I969" s="3">
        <f>IF('ORDENES'!$A947="","",IF('ORDENES'!$AQ947="","-",'ORDENES'!$AQ947))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IF('ORDENES'!$A947="","",'ORDENES'!$AD947)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IF('ORDENES'!$A948="","",IF('ORDENES'!$AF948="","-",'ORDENES'!$AF948))</f>
        <v/>
      </c>
      <c r="D970" s="3">
        <f>IF('ORDENES'!$A948="","",IF('ORDENES'!$X948="","-",'ORDENES'!$X948))</f>
        <v/>
      </c>
      <c r="E970" s="3">
        <f>IF('ORDENES'!$A948="","",IF('ORDENES'!$V948="","-",'ORDENES'!$V948))</f>
        <v/>
      </c>
      <c r="F970" s="3">
        <f>IF('ORDENES'!$A948="","",IF('ORDENES'!$Y948="","-",'ORDENES'!$Y948))</f>
        <v/>
      </c>
      <c r="G970" s="3">
        <f>IF('ORDENES'!$A948="","",IF('ORDENES'!$W948="","-",'ORDENES'!$W948))</f>
        <v/>
      </c>
      <c r="H970" s="3">
        <f>IF('ORDENES'!$A948="","",IF('ORDENES'!$AE948="","-",'ORDENES'!$AE948))</f>
        <v/>
      </c>
      <c r="I970" s="3">
        <f>IF('ORDENES'!$A948="","",IF('ORDENES'!$AQ948="","-",'ORDENES'!$AQ948))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IF('ORDENES'!$A948="","",'ORDENES'!$AD948)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IF('ORDENES'!$A949="","",IF('ORDENES'!$AF949="","-",'ORDENES'!$AF949))</f>
        <v/>
      </c>
      <c r="D971" s="3">
        <f>IF('ORDENES'!$A949="","",IF('ORDENES'!$X949="","-",'ORDENES'!$X949))</f>
        <v/>
      </c>
      <c r="E971" s="3">
        <f>IF('ORDENES'!$A949="","",IF('ORDENES'!$V949="","-",'ORDENES'!$V949))</f>
        <v/>
      </c>
      <c r="F971" s="3">
        <f>IF('ORDENES'!$A949="","",IF('ORDENES'!$Y949="","-",'ORDENES'!$Y949))</f>
        <v/>
      </c>
      <c r="G971" s="3">
        <f>IF('ORDENES'!$A949="","",IF('ORDENES'!$W949="","-",'ORDENES'!$W949))</f>
        <v/>
      </c>
      <c r="H971" s="3">
        <f>IF('ORDENES'!$A949="","",IF('ORDENES'!$AE949="","-",'ORDENES'!$AE949))</f>
        <v/>
      </c>
      <c r="I971" s="3">
        <f>IF('ORDENES'!$A949="","",IF('ORDENES'!$AQ949="","-",'ORDENES'!$AQ949))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IF('ORDENES'!$A949="","",'ORDENES'!$AD949)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IF('ORDENES'!$A950="","",IF('ORDENES'!$AF950="","-",'ORDENES'!$AF950))</f>
        <v/>
      </c>
      <c r="D972" s="3">
        <f>IF('ORDENES'!$A950="","",IF('ORDENES'!$X950="","-",'ORDENES'!$X950))</f>
        <v/>
      </c>
      <c r="E972" s="3">
        <f>IF('ORDENES'!$A950="","",IF('ORDENES'!$V950="","-",'ORDENES'!$V950))</f>
        <v/>
      </c>
      <c r="F972" s="3">
        <f>IF('ORDENES'!$A950="","",IF('ORDENES'!$Y950="","-",'ORDENES'!$Y950))</f>
        <v/>
      </c>
      <c r="G972" s="3">
        <f>IF('ORDENES'!$A950="","",IF('ORDENES'!$W950="","-",'ORDENES'!$W950))</f>
        <v/>
      </c>
      <c r="H972" s="3">
        <f>IF('ORDENES'!$A950="","",IF('ORDENES'!$AE950="","-",'ORDENES'!$AE950))</f>
        <v/>
      </c>
      <c r="I972" s="3">
        <f>IF('ORDENES'!$A950="","",IF('ORDENES'!$AQ950="","-",'ORDENES'!$AQ950))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IF('ORDENES'!$A950="","",'ORDENES'!$AD950)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IF('ORDENES'!$A951="","",IF('ORDENES'!$AF951="","-",'ORDENES'!$AF951))</f>
        <v/>
      </c>
      <c r="D973" s="3">
        <f>IF('ORDENES'!$A951="","",IF('ORDENES'!$X951="","-",'ORDENES'!$X951))</f>
        <v/>
      </c>
      <c r="E973" s="3">
        <f>IF('ORDENES'!$A951="","",IF('ORDENES'!$V951="","-",'ORDENES'!$V951))</f>
        <v/>
      </c>
      <c r="F973" s="3">
        <f>IF('ORDENES'!$A951="","",IF('ORDENES'!$Y951="","-",'ORDENES'!$Y951))</f>
        <v/>
      </c>
      <c r="G973" s="3">
        <f>IF('ORDENES'!$A951="","",IF('ORDENES'!$W951="","-",'ORDENES'!$W951))</f>
        <v/>
      </c>
      <c r="H973" s="3">
        <f>IF('ORDENES'!$A951="","",IF('ORDENES'!$AE951="","-",'ORDENES'!$AE951))</f>
        <v/>
      </c>
      <c r="I973" s="3">
        <f>IF('ORDENES'!$A951="","",IF('ORDENES'!$AQ951="","-",'ORDENES'!$AQ951))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IF('ORDENES'!$A951="","",'ORDENES'!$AD951)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IF('ORDENES'!$A952="","",IF('ORDENES'!$AF952="","-",'ORDENES'!$AF952))</f>
        <v/>
      </c>
      <c r="D974" s="3">
        <f>IF('ORDENES'!$A952="","",IF('ORDENES'!$X952="","-",'ORDENES'!$X952))</f>
        <v/>
      </c>
      <c r="E974" s="3">
        <f>IF('ORDENES'!$A952="","",IF('ORDENES'!$V952="","-",'ORDENES'!$V952))</f>
        <v/>
      </c>
      <c r="F974" s="3">
        <f>IF('ORDENES'!$A952="","",IF('ORDENES'!$Y952="","-",'ORDENES'!$Y952))</f>
        <v/>
      </c>
      <c r="G974" s="3">
        <f>IF('ORDENES'!$A952="","",IF('ORDENES'!$W952="","-",'ORDENES'!$W952))</f>
        <v/>
      </c>
      <c r="H974" s="3">
        <f>IF('ORDENES'!$A952="","",IF('ORDENES'!$AE952="","-",'ORDENES'!$AE952))</f>
        <v/>
      </c>
      <c r="I974" s="3">
        <f>IF('ORDENES'!$A952="","",IF('ORDENES'!$AQ952="","-",'ORDENES'!$AQ952))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IF('ORDENES'!$A952="","",'ORDENES'!$AD952)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IF('ORDENES'!$A953="","",IF('ORDENES'!$AF953="","-",'ORDENES'!$AF953))</f>
        <v/>
      </c>
      <c r="D975" s="3">
        <f>IF('ORDENES'!$A953="","",IF('ORDENES'!$X953="","-",'ORDENES'!$X953))</f>
        <v/>
      </c>
      <c r="E975" s="3">
        <f>IF('ORDENES'!$A953="","",IF('ORDENES'!$V953="","-",'ORDENES'!$V953))</f>
        <v/>
      </c>
      <c r="F975" s="3">
        <f>IF('ORDENES'!$A953="","",IF('ORDENES'!$Y953="","-",'ORDENES'!$Y953))</f>
        <v/>
      </c>
      <c r="G975" s="3">
        <f>IF('ORDENES'!$A953="","",IF('ORDENES'!$W953="","-",'ORDENES'!$W953))</f>
        <v/>
      </c>
      <c r="H975" s="3">
        <f>IF('ORDENES'!$A953="","",IF('ORDENES'!$AE953="","-",'ORDENES'!$AE953))</f>
        <v/>
      </c>
      <c r="I975" s="3">
        <f>IF('ORDENES'!$A953="","",IF('ORDENES'!$AQ953="","-",'ORDENES'!$AQ953))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IF('ORDENES'!$A953="","",'ORDENES'!$AD953)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IF('ORDENES'!$A954="","",IF('ORDENES'!$AF954="","-",'ORDENES'!$AF954))</f>
        <v/>
      </c>
      <c r="D976" s="3">
        <f>IF('ORDENES'!$A954="","",IF('ORDENES'!$X954="","-",'ORDENES'!$X954))</f>
        <v/>
      </c>
      <c r="E976" s="3">
        <f>IF('ORDENES'!$A954="","",IF('ORDENES'!$V954="","-",'ORDENES'!$V954))</f>
        <v/>
      </c>
      <c r="F976" s="3">
        <f>IF('ORDENES'!$A954="","",IF('ORDENES'!$Y954="","-",'ORDENES'!$Y954))</f>
        <v/>
      </c>
      <c r="G976" s="3">
        <f>IF('ORDENES'!$A954="","",IF('ORDENES'!$W954="","-",'ORDENES'!$W954))</f>
        <v/>
      </c>
      <c r="H976" s="3">
        <f>IF('ORDENES'!$A954="","",IF('ORDENES'!$AE954="","-",'ORDENES'!$AE954))</f>
        <v/>
      </c>
      <c r="I976" s="3">
        <f>IF('ORDENES'!$A954="","",IF('ORDENES'!$AQ954="","-",'ORDENES'!$AQ954))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IF('ORDENES'!$A954="","",'ORDENES'!$AD954)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IF('ORDENES'!$A955="","",IF('ORDENES'!$AF955="","-",'ORDENES'!$AF955))</f>
        <v/>
      </c>
      <c r="D977" s="3">
        <f>IF('ORDENES'!$A955="","",IF('ORDENES'!$X955="","-",'ORDENES'!$X955))</f>
        <v/>
      </c>
      <c r="E977" s="3">
        <f>IF('ORDENES'!$A955="","",IF('ORDENES'!$V955="","-",'ORDENES'!$V955))</f>
        <v/>
      </c>
      <c r="F977" s="3">
        <f>IF('ORDENES'!$A955="","",IF('ORDENES'!$Y955="","-",'ORDENES'!$Y955))</f>
        <v/>
      </c>
      <c r="G977" s="3">
        <f>IF('ORDENES'!$A955="","",IF('ORDENES'!$W955="","-",'ORDENES'!$W955))</f>
        <v/>
      </c>
      <c r="H977" s="3">
        <f>IF('ORDENES'!$A955="","",IF('ORDENES'!$AE955="","-",'ORDENES'!$AE955))</f>
        <v/>
      </c>
      <c r="I977" s="3">
        <f>IF('ORDENES'!$A955="","",IF('ORDENES'!$AQ955="","-",'ORDENES'!$AQ955))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IF('ORDENES'!$A955="","",'ORDENES'!$AD955)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IF('ORDENES'!$A956="","",IF('ORDENES'!$AF956="","-",'ORDENES'!$AF956))</f>
        <v/>
      </c>
      <c r="D978" s="3">
        <f>IF('ORDENES'!$A956="","",IF('ORDENES'!$X956="","-",'ORDENES'!$X956))</f>
        <v/>
      </c>
      <c r="E978" s="3">
        <f>IF('ORDENES'!$A956="","",IF('ORDENES'!$V956="","-",'ORDENES'!$V956))</f>
        <v/>
      </c>
      <c r="F978" s="3">
        <f>IF('ORDENES'!$A956="","",IF('ORDENES'!$Y956="","-",'ORDENES'!$Y956))</f>
        <v/>
      </c>
      <c r="G978" s="3">
        <f>IF('ORDENES'!$A956="","",IF('ORDENES'!$W956="","-",'ORDENES'!$W956))</f>
        <v/>
      </c>
      <c r="H978" s="3">
        <f>IF('ORDENES'!$A956="","",IF('ORDENES'!$AE956="","-",'ORDENES'!$AE956))</f>
        <v/>
      </c>
      <c r="I978" s="3">
        <f>IF('ORDENES'!$A956="","",IF('ORDENES'!$AQ956="","-",'ORDENES'!$AQ956))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IF('ORDENES'!$A956="","",'ORDENES'!$AD956)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IF('ORDENES'!$A957="","",IF('ORDENES'!$AF957="","-",'ORDENES'!$AF957))</f>
        <v/>
      </c>
      <c r="D979" s="3">
        <f>IF('ORDENES'!$A957="","",IF('ORDENES'!$X957="","-",'ORDENES'!$X957))</f>
        <v/>
      </c>
      <c r="E979" s="3">
        <f>IF('ORDENES'!$A957="","",IF('ORDENES'!$V957="","-",'ORDENES'!$V957))</f>
        <v/>
      </c>
      <c r="F979" s="3">
        <f>IF('ORDENES'!$A957="","",IF('ORDENES'!$Y957="","-",'ORDENES'!$Y957))</f>
        <v/>
      </c>
      <c r="G979" s="3">
        <f>IF('ORDENES'!$A957="","",IF('ORDENES'!$W957="","-",'ORDENES'!$W957))</f>
        <v/>
      </c>
      <c r="H979" s="3">
        <f>IF('ORDENES'!$A957="","",IF('ORDENES'!$AE957="","-",'ORDENES'!$AE957))</f>
        <v/>
      </c>
      <c r="I979" s="3">
        <f>IF('ORDENES'!$A957="","",IF('ORDENES'!$AQ957="","-",'ORDENES'!$AQ957))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IF('ORDENES'!$A957="","",'ORDENES'!$AD957)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IF('ORDENES'!$A958="","",IF('ORDENES'!$AF958="","-",'ORDENES'!$AF958))</f>
        <v/>
      </c>
      <c r="D980" s="3">
        <f>IF('ORDENES'!$A958="","",IF('ORDENES'!$X958="","-",'ORDENES'!$X958))</f>
        <v/>
      </c>
      <c r="E980" s="3">
        <f>IF('ORDENES'!$A958="","",IF('ORDENES'!$V958="","-",'ORDENES'!$V958))</f>
        <v/>
      </c>
      <c r="F980" s="3">
        <f>IF('ORDENES'!$A958="","",IF('ORDENES'!$Y958="","-",'ORDENES'!$Y958))</f>
        <v/>
      </c>
      <c r="G980" s="3">
        <f>IF('ORDENES'!$A958="","",IF('ORDENES'!$W958="","-",'ORDENES'!$W958))</f>
        <v/>
      </c>
      <c r="H980" s="3">
        <f>IF('ORDENES'!$A958="","",IF('ORDENES'!$AE958="","-",'ORDENES'!$AE958))</f>
        <v/>
      </c>
      <c r="I980" s="3">
        <f>IF('ORDENES'!$A958="","",IF('ORDENES'!$AQ958="","-",'ORDENES'!$AQ958))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IF('ORDENES'!$A958="","",'ORDENES'!$AD958)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IF('ORDENES'!$A959="","",IF('ORDENES'!$AF959="","-",'ORDENES'!$AF959))</f>
        <v/>
      </c>
      <c r="D981" s="3">
        <f>IF('ORDENES'!$A959="","",IF('ORDENES'!$X959="","-",'ORDENES'!$X959))</f>
        <v/>
      </c>
      <c r="E981" s="3">
        <f>IF('ORDENES'!$A959="","",IF('ORDENES'!$V959="","-",'ORDENES'!$V959))</f>
        <v/>
      </c>
      <c r="F981" s="3">
        <f>IF('ORDENES'!$A959="","",IF('ORDENES'!$Y959="","-",'ORDENES'!$Y959))</f>
        <v/>
      </c>
      <c r="G981" s="3">
        <f>IF('ORDENES'!$A959="","",IF('ORDENES'!$W959="","-",'ORDENES'!$W959))</f>
        <v/>
      </c>
      <c r="H981" s="3">
        <f>IF('ORDENES'!$A959="","",IF('ORDENES'!$AE959="","-",'ORDENES'!$AE959))</f>
        <v/>
      </c>
      <c r="I981" s="3">
        <f>IF('ORDENES'!$A959="","",IF('ORDENES'!$AQ959="","-",'ORDENES'!$AQ959))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IF('ORDENES'!$A959="","",'ORDENES'!$AD959)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IF('ORDENES'!$A960="","",IF('ORDENES'!$AF960="","-",'ORDENES'!$AF960))</f>
        <v/>
      </c>
      <c r="D982" s="3">
        <f>IF('ORDENES'!$A960="","",IF('ORDENES'!$X960="","-",'ORDENES'!$X960))</f>
        <v/>
      </c>
      <c r="E982" s="3">
        <f>IF('ORDENES'!$A960="","",IF('ORDENES'!$V960="","-",'ORDENES'!$V960))</f>
        <v/>
      </c>
      <c r="F982" s="3">
        <f>IF('ORDENES'!$A960="","",IF('ORDENES'!$Y960="","-",'ORDENES'!$Y960))</f>
        <v/>
      </c>
      <c r="G982" s="3">
        <f>IF('ORDENES'!$A960="","",IF('ORDENES'!$W960="","-",'ORDENES'!$W960))</f>
        <v/>
      </c>
      <c r="H982" s="3">
        <f>IF('ORDENES'!$A960="","",IF('ORDENES'!$AE960="","-",'ORDENES'!$AE960))</f>
        <v/>
      </c>
      <c r="I982" s="3">
        <f>IF('ORDENES'!$A960="","",IF('ORDENES'!$AQ960="","-",'ORDENES'!$AQ960))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IF('ORDENES'!$A960="","",'ORDENES'!$AD960)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IF('ORDENES'!$A961="","",IF('ORDENES'!$AF961="","-",'ORDENES'!$AF961))</f>
        <v/>
      </c>
      <c r="D983" s="3">
        <f>IF('ORDENES'!$A961="","",IF('ORDENES'!$X961="","-",'ORDENES'!$X961))</f>
        <v/>
      </c>
      <c r="E983" s="3">
        <f>IF('ORDENES'!$A961="","",IF('ORDENES'!$V961="","-",'ORDENES'!$V961))</f>
        <v/>
      </c>
      <c r="F983" s="3">
        <f>IF('ORDENES'!$A961="","",IF('ORDENES'!$Y961="","-",'ORDENES'!$Y961))</f>
        <v/>
      </c>
      <c r="G983" s="3">
        <f>IF('ORDENES'!$A961="","",IF('ORDENES'!$W961="","-",'ORDENES'!$W961))</f>
        <v/>
      </c>
      <c r="H983" s="3">
        <f>IF('ORDENES'!$A961="","",IF('ORDENES'!$AE961="","-",'ORDENES'!$AE961))</f>
        <v/>
      </c>
      <c r="I983" s="3">
        <f>IF('ORDENES'!$A961="","",IF('ORDENES'!$AQ961="","-",'ORDENES'!$AQ961))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IF('ORDENES'!$A961="","",'ORDENES'!$AD961)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IF('ORDENES'!$A962="","",IF('ORDENES'!$AF962="","-",'ORDENES'!$AF962))</f>
        <v/>
      </c>
      <c r="D984" s="3">
        <f>IF('ORDENES'!$A962="","",IF('ORDENES'!$X962="","-",'ORDENES'!$X962))</f>
        <v/>
      </c>
      <c r="E984" s="3">
        <f>IF('ORDENES'!$A962="","",IF('ORDENES'!$V962="","-",'ORDENES'!$V962))</f>
        <v/>
      </c>
      <c r="F984" s="3">
        <f>IF('ORDENES'!$A962="","",IF('ORDENES'!$Y962="","-",'ORDENES'!$Y962))</f>
        <v/>
      </c>
      <c r="G984" s="3">
        <f>IF('ORDENES'!$A962="","",IF('ORDENES'!$W962="","-",'ORDENES'!$W962))</f>
        <v/>
      </c>
      <c r="H984" s="3">
        <f>IF('ORDENES'!$A962="","",IF('ORDENES'!$AE962="","-",'ORDENES'!$AE962))</f>
        <v/>
      </c>
      <c r="I984" s="3">
        <f>IF('ORDENES'!$A962="","",IF('ORDENES'!$AQ962="","-",'ORDENES'!$AQ962))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IF('ORDENES'!$A962="","",'ORDENES'!$AD962)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IF('ORDENES'!$A963="","",IF('ORDENES'!$AF963="","-",'ORDENES'!$AF963))</f>
        <v/>
      </c>
      <c r="D985" s="3">
        <f>IF('ORDENES'!$A963="","",IF('ORDENES'!$X963="","-",'ORDENES'!$X963))</f>
        <v/>
      </c>
      <c r="E985" s="3">
        <f>IF('ORDENES'!$A963="","",IF('ORDENES'!$V963="","-",'ORDENES'!$V963))</f>
        <v/>
      </c>
      <c r="F985" s="3">
        <f>IF('ORDENES'!$A963="","",IF('ORDENES'!$Y963="","-",'ORDENES'!$Y963))</f>
        <v/>
      </c>
      <c r="G985" s="3">
        <f>IF('ORDENES'!$A963="","",IF('ORDENES'!$W963="","-",'ORDENES'!$W963))</f>
        <v/>
      </c>
      <c r="H985" s="3">
        <f>IF('ORDENES'!$A963="","",IF('ORDENES'!$AE963="","-",'ORDENES'!$AE963))</f>
        <v/>
      </c>
      <c r="I985" s="3">
        <f>IF('ORDENES'!$A963="","",IF('ORDENES'!$AQ963="","-",'ORDENES'!$AQ963))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IF('ORDENES'!$A963="","",'ORDENES'!$AD963)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IF('ORDENES'!$A964="","",IF('ORDENES'!$AF964="","-",'ORDENES'!$AF964))</f>
        <v/>
      </c>
      <c r="D986" s="3">
        <f>IF('ORDENES'!$A964="","",IF('ORDENES'!$X964="","-",'ORDENES'!$X964))</f>
        <v/>
      </c>
      <c r="E986" s="3">
        <f>IF('ORDENES'!$A964="","",IF('ORDENES'!$V964="","-",'ORDENES'!$V964))</f>
        <v/>
      </c>
      <c r="F986" s="3">
        <f>IF('ORDENES'!$A964="","",IF('ORDENES'!$Y964="","-",'ORDENES'!$Y964))</f>
        <v/>
      </c>
      <c r="G986" s="3">
        <f>IF('ORDENES'!$A964="","",IF('ORDENES'!$W964="","-",'ORDENES'!$W964))</f>
        <v/>
      </c>
      <c r="H986" s="3">
        <f>IF('ORDENES'!$A964="","",IF('ORDENES'!$AE964="","-",'ORDENES'!$AE964))</f>
        <v/>
      </c>
      <c r="I986" s="3">
        <f>IF('ORDENES'!$A964="","",IF('ORDENES'!$AQ964="","-",'ORDENES'!$AQ964))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IF('ORDENES'!$A964="","",'ORDENES'!$AD964)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IF('ORDENES'!$A965="","",IF('ORDENES'!$AF965="","-",'ORDENES'!$AF965))</f>
        <v/>
      </c>
      <c r="D987" s="3">
        <f>IF('ORDENES'!$A965="","",IF('ORDENES'!$X965="","-",'ORDENES'!$X965))</f>
        <v/>
      </c>
      <c r="E987" s="3">
        <f>IF('ORDENES'!$A965="","",IF('ORDENES'!$V965="","-",'ORDENES'!$V965))</f>
        <v/>
      </c>
      <c r="F987" s="3">
        <f>IF('ORDENES'!$A965="","",IF('ORDENES'!$Y965="","-",'ORDENES'!$Y965))</f>
        <v/>
      </c>
      <c r="G987" s="3">
        <f>IF('ORDENES'!$A965="","",IF('ORDENES'!$W965="","-",'ORDENES'!$W965))</f>
        <v/>
      </c>
      <c r="H987" s="3">
        <f>IF('ORDENES'!$A965="","",IF('ORDENES'!$AE965="","-",'ORDENES'!$AE965))</f>
        <v/>
      </c>
      <c r="I987" s="3">
        <f>IF('ORDENES'!$A965="","",IF('ORDENES'!$AQ965="","-",'ORDENES'!$AQ965))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IF('ORDENES'!$A965="","",'ORDENES'!$AD965)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IF('ORDENES'!$A966="","",IF('ORDENES'!$AF966="","-",'ORDENES'!$AF966))</f>
        <v/>
      </c>
      <c r="D988" s="3">
        <f>IF('ORDENES'!$A966="","",IF('ORDENES'!$X966="","-",'ORDENES'!$X966))</f>
        <v/>
      </c>
      <c r="E988" s="3">
        <f>IF('ORDENES'!$A966="","",IF('ORDENES'!$V966="","-",'ORDENES'!$V966))</f>
        <v/>
      </c>
      <c r="F988" s="3">
        <f>IF('ORDENES'!$A966="","",IF('ORDENES'!$Y966="","-",'ORDENES'!$Y966))</f>
        <v/>
      </c>
      <c r="G988" s="3">
        <f>IF('ORDENES'!$A966="","",IF('ORDENES'!$W966="","-",'ORDENES'!$W966))</f>
        <v/>
      </c>
      <c r="H988" s="3">
        <f>IF('ORDENES'!$A966="","",IF('ORDENES'!$AE966="","-",'ORDENES'!$AE966))</f>
        <v/>
      </c>
      <c r="I988" s="3">
        <f>IF('ORDENES'!$A966="","",IF('ORDENES'!$AQ966="","-",'ORDENES'!$AQ966))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IF('ORDENES'!$A966="","",'ORDENES'!$AD966)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IF('ORDENES'!$A967="","",IF('ORDENES'!$AF967="","-",'ORDENES'!$AF967))</f>
        <v/>
      </c>
      <c r="D989" s="3">
        <f>IF('ORDENES'!$A967="","",IF('ORDENES'!$X967="","-",'ORDENES'!$X967))</f>
        <v/>
      </c>
      <c r="E989" s="3">
        <f>IF('ORDENES'!$A967="","",IF('ORDENES'!$V967="","-",'ORDENES'!$V967))</f>
        <v/>
      </c>
      <c r="F989" s="3">
        <f>IF('ORDENES'!$A967="","",IF('ORDENES'!$Y967="","-",'ORDENES'!$Y967))</f>
        <v/>
      </c>
      <c r="G989" s="3">
        <f>IF('ORDENES'!$A967="","",IF('ORDENES'!$W967="","-",'ORDENES'!$W967))</f>
        <v/>
      </c>
      <c r="H989" s="3">
        <f>IF('ORDENES'!$A967="","",IF('ORDENES'!$AE967="","-",'ORDENES'!$AE967))</f>
        <v/>
      </c>
      <c r="I989" s="3">
        <f>IF('ORDENES'!$A967="","",IF('ORDENES'!$AQ967="","-",'ORDENES'!$AQ967))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IF('ORDENES'!$A967="","",'ORDENES'!$AD967)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IF('ORDENES'!$A968="","",IF('ORDENES'!$AF968="","-",'ORDENES'!$AF968))</f>
        <v/>
      </c>
      <c r="D990" s="3">
        <f>IF('ORDENES'!$A968="","",IF('ORDENES'!$X968="","-",'ORDENES'!$X968))</f>
        <v/>
      </c>
      <c r="E990" s="3">
        <f>IF('ORDENES'!$A968="","",IF('ORDENES'!$V968="","-",'ORDENES'!$V968))</f>
        <v/>
      </c>
      <c r="F990" s="3">
        <f>IF('ORDENES'!$A968="","",IF('ORDENES'!$Y968="","-",'ORDENES'!$Y968))</f>
        <v/>
      </c>
      <c r="G990" s="3">
        <f>IF('ORDENES'!$A968="","",IF('ORDENES'!$W968="","-",'ORDENES'!$W968))</f>
        <v/>
      </c>
      <c r="H990" s="3">
        <f>IF('ORDENES'!$A968="","",IF('ORDENES'!$AE968="","-",'ORDENES'!$AE968))</f>
        <v/>
      </c>
      <c r="I990" s="3">
        <f>IF('ORDENES'!$A968="","",IF('ORDENES'!$AQ968="","-",'ORDENES'!$AQ968))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IF('ORDENES'!$A968="","",'ORDENES'!$AD968)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IF('ORDENES'!$A969="","",IF('ORDENES'!$AF969="","-",'ORDENES'!$AF969))</f>
        <v/>
      </c>
      <c r="D991" s="3">
        <f>IF('ORDENES'!$A969="","",IF('ORDENES'!$X969="","-",'ORDENES'!$X969))</f>
        <v/>
      </c>
      <c r="E991" s="3">
        <f>IF('ORDENES'!$A969="","",IF('ORDENES'!$V969="","-",'ORDENES'!$V969))</f>
        <v/>
      </c>
      <c r="F991" s="3">
        <f>IF('ORDENES'!$A969="","",IF('ORDENES'!$Y969="","-",'ORDENES'!$Y969))</f>
        <v/>
      </c>
      <c r="G991" s="3">
        <f>IF('ORDENES'!$A969="","",IF('ORDENES'!$W969="","-",'ORDENES'!$W969))</f>
        <v/>
      </c>
      <c r="H991" s="3">
        <f>IF('ORDENES'!$A969="","",IF('ORDENES'!$AE969="","-",'ORDENES'!$AE969))</f>
        <v/>
      </c>
      <c r="I991" s="3">
        <f>IF('ORDENES'!$A969="","",IF('ORDENES'!$AQ969="","-",'ORDENES'!$AQ969))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IF('ORDENES'!$A969="","",'ORDENES'!$AD969)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IF('ORDENES'!$A970="","",IF('ORDENES'!$AF970="","-",'ORDENES'!$AF970))</f>
        <v/>
      </c>
      <c r="D992" s="3">
        <f>IF('ORDENES'!$A970="","",IF('ORDENES'!$X970="","-",'ORDENES'!$X970))</f>
        <v/>
      </c>
      <c r="E992" s="3">
        <f>IF('ORDENES'!$A970="","",IF('ORDENES'!$V970="","-",'ORDENES'!$V970))</f>
        <v/>
      </c>
      <c r="F992" s="3">
        <f>IF('ORDENES'!$A970="","",IF('ORDENES'!$Y970="","-",'ORDENES'!$Y970))</f>
        <v/>
      </c>
      <c r="G992" s="3">
        <f>IF('ORDENES'!$A970="","",IF('ORDENES'!$W970="","-",'ORDENES'!$W970))</f>
        <v/>
      </c>
      <c r="H992" s="3">
        <f>IF('ORDENES'!$A970="","",IF('ORDENES'!$AE970="","-",'ORDENES'!$AE970))</f>
        <v/>
      </c>
      <c r="I992" s="3">
        <f>IF('ORDENES'!$A970="","",IF('ORDENES'!$AQ970="","-",'ORDENES'!$AQ970))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IF('ORDENES'!$A970="","",'ORDENES'!$AD970)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IF('ORDENES'!$A971="","",IF('ORDENES'!$AF971="","-",'ORDENES'!$AF971))</f>
        <v/>
      </c>
      <c r="D993" s="3">
        <f>IF('ORDENES'!$A971="","",IF('ORDENES'!$X971="","-",'ORDENES'!$X971))</f>
        <v/>
      </c>
      <c r="E993" s="3">
        <f>IF('ORDENES'!$A971="","",IF('ORDENES'!$V971="","-",'ORDENES'!$V971))</f>
        <v/>
      </c>
      <c r="F993" s="3">
        <f>IF('ORDENES'!$A971="","",IF('ORDENES'!$Y971="","-",'ORDENES'!$Y971))</f>
        <v/>
      </c>
      <c r="G993" s="3">
        <f>IF('ORDENES'!$A971="","",IF('ORDENES'!$W971="","-",'ORDENES'!$W971))</f>
        <v/>
      </c>
      <c r="H993" s="3">
        <f>IF('ORDENES'!$A971="","",IF('ORDENES'!$AE971="","-",'ORDENES'!$AE971))</f>
        <v/>
      </c>
      <c r="I993" s="3">
        <f>IF('ORDENES'!$A971="","",IF('ORDENES'!$AQ971="","-",'ORDENES'!$AQ971))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IF('ORDENES'!$A971="","",'ORDENES'!$AD971)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IF('ORDENES'!$A972="","",IF('ORDENES'!$AF972="","-",'ORDENES'!$AF972))</f>
        <v/>
      </c>
      <c r="D994" s="3">
        <f>IF('ORDENES'!$A972="","",IF('ORDENES'!$X972="","-",'ORDENES'!$X972))</f>
        <v/>
      </c>
      <c r="E994" s="3">
        <f>IF('ORDENES'!$A972="","",IF('ORDENES'!$V972="","-",'ORDENES'!$V972))</f>
        <v/>
      </c>
      <c r="F994" s="3">
        <f>IF('ORDENES'!$A972="","",IF('ORDENES'!$Y972="","-",'ORDENES'!$Y972))</f>
        <v/>
      </c>
      <c r="G994" s="3">
        <f>IF('ORDENES'!$A972="","",IF('ORDENES'!$W972="","-",'ORDENES'!$W972))</f>
        <v/>
      </c>
      <c r="H994" s="3">
        <f>IF('ORDENES'!$A972="","",IF('ORDENES'!$AE972="","-",'ORDENES'!$AE972))</f>
        <v/>
      </c>
      <c r="I994" s="3">
        <f>IF('ORDENES'!$A972="","",IF('ORDENES'!$AQ972="","-",'ORDENES'!$AQ972))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IF('ORDENES'!$A972="","",'ORDENES'!$AD972)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IF('ORDENES'!$A973="","",IF('ORDENES'!$AF973="","-",'ORDENES'!$AF973))</f>
        <v/>
      </c>
      <c r="D995" s="3">
        <f>IF('ORDENES'!$A973="","",IF('ORDENES'!$X973="","-",'ORDENES'!$X973))</f>
        <v/>
      </c>
      <c r="E995" s="3">
        <f>IF('ORDENES'!$A973="","",IF('ORDENES'!$V973="","-",'ORDENES'!$V973))</f>
        <v/>
      </c>
      <c r="F995" s="3">
        <f>IF('ORDENES'!$A973="","",IF('ORDENES'!$Y973="","-",'ORDENES'!$Y973))</f>
        <v/>
      </c>
      <c r="G995" s="3">
        <f>IF('ORDENES'!$A973="","",IF('ORDENES'!$W973="","-",'ORDENES'!$W973))</f>
        <v/>
      </c>
      <c r="H995" s="3">
        <f>IF('ORDENES'!$A973="","",IF('ORDENES'!$AE973="","-",'ORDENES'!$AE973))</f>
        <v/>
      </c>
      <c r="I995" s="3">
        <f>IF('ORDENES'!$A973="","",IF('ORDENES'!$AQ973="","-",'ORDENES'!$AQ973))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IF('ORDENES'!$A973="","",'ORDENES'!$AD973)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IF('ORDENES'!$A974="","",IF('ORDENES'!$AF974="","-",'ORDENES'!$AF974))</f>
        <v/>
      </c>
      <c r="D996" s="3">
        <f>IF('ORDENES'!$A974="","",IF('ORDENES'!$X974="","-",'ORDENES'!$X974))</f>
        <v/>
      </c>
      <c r="E996" s="3">
        <f>IF('ORDENES'!$A974="","",IF('ORDENES'!$V974="","-",'ORDENES'!$V974))</f>
        <v/>
      </c>
      <c r="F996" s="3">
        <f>IF('ORDENES'!$A974="","",IF('ORDENES'!$Y974="","-",'ORDENES'!$Y974))</f>
        <v/>
      </c>
      <c r="G996" s="3">
        <f>IF('ORDENES'!$A974="","",IF('ORDENES'!$W974="","-",'ORDENES'!$W974))</f>
        <v/>
      </c>
      <c r="H996" s="3">
        <f>IF('ORDENES'!$A974="","",IF('ORDENES'!$AE974="","-",'ORDENES'!$AE974))</f>
        <v/>
      </c>
      <c r="I996" s="3">
        <f>IF('ORDENES'!$A974="","",IF('ORDENES'!$AQ974="","-",'ORDENES'!$AQ974))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IF('ORDENES'!$A974="","",'ORDENES'!$AD974)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IF('ORDENES'!$A975="","",IF('ORDENES'!$AF975="","-",'ORDENES'!$AF975))</f>
        <v/>
      </c>
      <c r="D997" s="3">
        <f>IF('ORDENES'!$A975="","",IF('ORDENES'!$X975="","-",'ORDENES'!$X975))</f>
        <v/>
      </c>
      <c r="E997" s="3">
        <f>IF('ORDENES'!$A975="","",IF('ORDENES'!$V975="","-",'ORDENES'!$V975))</f>
        <v/>
      </c>
      <c r="F997" s="3">
        <f>IF('ORDENES'!$A975="","",IF('ORDENES'!$Y975="","-",'ORDENES'!$Y975))</f>
        <v/>
      </c>
      <c r="G997" s="3">
        <f>IF('ORDENES'!$A975="","",IF('ORDENES'!$W975="","-",'ORDENES'!$W975))</f>
        <v/>
      </c>
      <c r="H997" s="3">
        <f>IF('ORDENES'!$A975="","",IF('ORDENES'!$AE975="","-",'ORDENES'!$AE975))</f>
        <v/>
      </c>
      <c r="I997" s="3">
        <f>IF('ORDENES'!$A975="","",IF('ORDENES'!$AQ975="","-",'ORDENES'!$AQ975))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IF('ORDENES'!$A975="","",'ORDENES'!$AD975)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IF('ORDENES'!$A976="","",IF('ORDENES'!$AF976="","-",'ORDENES'!$AF976))</f>
        <v/>
      </c>
      <c r="D998" s="3">
        <f>IF('ORDENES'!$A976="","",IF('ORDENES'!$X976="","-",'ORDENES'!$X976))</f>
        <v/>
      </c>
      <c r="E998" s="3">
        <f>IF('ORDENES'!$A976="","",IF('ORDENES'!$V976="","-",'ORDENES'!$V976))</f>
        <v/>
      </c>
      <c r="F998" s="3">
        <f>IF('ORDENES'!$A976="","",IF('ORDENES'!$Y976="","-",'ORDENES'!$Y976))</f>
        <v/>
      </c>
      <c r="G998" s="3">
        <f>IF('ORDENES'!$A976="","",IF('ORDENES'!$W976="","-",'ORDENES'!$W976))</f>
        <v/>
      </c>
      <c r="H998" s="3">
        <f>IF('ORDENES'!$A976="","",IF('ORDENES'!$AE976="","-",'ORDENES'!$AE976))</f>
        <v/>
      </c>
      <c r="I998" s="3">
        <f>IF('ORDENES'!$A976="","",IF('ORDENES'!$AQ976="","-",'ORDENES'!$AQ976))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IF('ORDENES'!$A976="","",'ORDENES'!$AD976)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IF('ORDENES'!$A977="","",IF('ORDENES'!$AF977="","-",'ORDENES'!$AF977))</f>
        <v/>
      </c>
      <c r="D999" s="3">
        <f>IF('ORDENES'!$A977="","",IF('ORDENES'!$X977="","-",'ORDENES'!$X977))</f>
        <v/>
      </c>
      <c r="E999" s="3">
        <f>IF('ORDENES'!$A977="","",IF('ORDENES'!$V977="","-",'ORDENES'!$V977))</f>
        <v/>
      </c>
      <c r="F999" s="3">
        <f>IF('ORDENES'!$A977="","",IF('ORDENES'!$Y977="","-",'ORDENES'!$Y977))</f>
        <v/>
      </c>
      <c r="G999" s="3">
        <f>IF('ORDENES'!$A977="","",IF('ORDENES'!$W977="","-",'ORDENES'!$W977))</f>
        <v/>
      </c>
      <c r="H999" s="3">
        <f>IF('ORDENES'!$A977="","",IF('ORDENES'!$AE977="","-",'ORDENES'!$AE977))</f>
        <v/>
      </c>
      <c r="I999" s="3">
        <f>IF('ORDENES'!$A977="","",IF('ORDENES'!$AQ977="","-",'ORDENES'!$AQ977))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IF('ORDENES'!$A977="","",'ORDENES'!$AD977)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IF('ORDENES'!$A978="","",IF('ORDENES'!$AF978="","-",'ORDENES'!$AF978))</f>
        <v/>
      </c>
      <c r="D1000" s="3">
        <f>IF('ORDENES'!$A978="","",IF('ORDENES'!$X978="","-",'ORDENES'!$X978))</f>
        <v/>
      </c>
      <c r="E1000" s="3">
        <f>IF('ORDENES'!$A978="","",IF('ORDENES'!$V978="","-",'ORDENES'!$V978))</f>
        <v/>
      </c>
      <c r="F1000" s="3">
        <f>IF('ORDENES'!$A978="","",IF('ORDENES'!$Y978="","-",'ORDENES'!$Y978))</f>
        <v/>
      </c>
      <c r="G1000" s="3">
        <f>IF('ORDENES'!$A978="","",IF('ORDENES'!$W978="","-",'ORDENES'!$W978))</f>
        <v/>
      </c>
      <c r="H1000" s="3">
        <f>IF('ORDENES'!$A978="","",IF('ORDENES'!$AE978="","-",'ORDENES'!$AE978))</f>
        <v/>
      </c>
      <c r="I1000" s="3">
        <f>IF('ORDENES'!$A978="","",IF('ORDENES'!$AQ978="","-",'ORDENES'!$AQ978))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IF('ORDENES'!$A978="","",'ORDENES'!$AD978)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IF('ORDENES'!$A979="","",IF('ORDENES'!$AF979="","-",'ORDENES'!$AF979))</f>
        <v/>
      </c>
      <c r="D1001" s="3">
        <f>IF('ORDENES'!$A979="","",IF('ORDENES'!$X979="","-",'ORDENES'!$X979))</f>
        <v/>
      </c>
      <c r="E1001" s="3">
        <f>IF('ORDENES'!$A979="","",IF('ORDENES'!$V979="","-",'ORDENES'!$V979))</f>
        <v/>
      </c>
      <c r="F1001" s="3">
        <f>IF('ORDENES'!$A979="","",IF('ORDENES'!$Y979="","-",'ORDENES'!$Y979))</f>
        <v/>
      </c>
      <c r="G1001" s="3">
        <f>IF('ORDENES'!$A979="","",IF('ORDENES'!$W979="","-",'ORDENES'!$W979))</f>
        <v/>
      </c>
      <c r="H1001" s="3">
        <f>IF('ORDENES'!$A979="","",IF('ORDENES'!$AE979="","-",'ORDENES'!$AE979))</f>
        <v/>
      </c>
      <c r="I1001" s="3">
        <f>IF('ORDENES'!$A979="","",IF('ORDENES'!$AQ979="","-",'ORDENES'!$AQ979))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IF('ORDENES'!$A979="","",'ORDENES'!$AD979)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IF('ORDENES'!$A980="","",IF('ORDENES'!$AF980="","-",'ORDENES'!$AF980))</f>
        <v/>
      </c>
      <c r="D1002" s="3">
        <f>IF('ORDENES'!$A980="","",IF('ORDENES'!$X980="","-",'ORDENES'!$X980))</f>
        <v/>
      </c>
      <c r="E1002" s="3">
        <f>IF('ORDENES'!$A980="","",IF('ORDENES'!$V980="","-",'ORDENES'!$V980))</f>
        <v/>
      </c>
      <c r="F1002" s="3">
        <f>IF('ORDENES'!$A980="","",IF('ORDENES'!$Y980="","-",'ORDENES'!$Y980))</f>
        <v/>
      </c>
      <c r="G1002" s="3">
        <f>IF('ORDENES'!$A980="","",IF('ORDENES'!$W980="","-",'ORDENES'!$W980))</f>
        <v/>
      </c>
      <c r="H1002" s="3">
        <f>IF('ORDENES'!$A980="","",IF('ORDENES'!$AE980="","-",'ORDENES'!$AE980))</f>
        <v/>
      </c>
      <c r="I1002" s="3">
        <f>IF('ORDENES'!$A980="","",IF('ORDENES'!$AQ980="","-",'ORDENES'!$AQ980))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IF('ORDENES'!$A980="","",'ORDENES'!$AD980)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IF('ORDENES'!$A981="","",IF('ORDENES'!$AF981="","-",'ORDENES'!$AF981))</f>
        <v/>
      </c>
      <c r="D1003" s="3">
        <f>IF('ORDENES'!$A981="","",IF('ORDENES'!$X981="","-",'ORDENES'!$X981))</f>
        <v/>
      </c>
      <c r="E1003" s="3">
        <f>IF('ORDENES'!$A981="","",IF('ORDENES'!$V981="","-",'ORDENES'!$V981))</f>
        <v/>
      </c>
      <c r="F1003" s="3">
        <f>IF('ORDENES'!$A981="","",IF('ORDENES'!$Y981="","-",'ORDENES'!$Y981))</f>
        <v/>
      </c>
      <c r="G1003" s="3">
        <f>IF('ORDENES'!$A981="","",IF('ORDENES'!$W981="","-",'ORDENES'!$W981))</f>
        <v/>
      </c>
      <c r="H1003" s="3">
        <f>IF('ORDENES'!$A981="","",IF('ORDENES'!$AE981="","-",'ORDENES'!$AE981))</f>
        <v/>
      </c>
      <c r="I1003" s="3">
        <f>IF('ORDENES'!$A981="","",IF('ORDENES'!$AQ981="","-",'ORDENES'!$AQ981))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IF('ORDENES'!$A981="","",'ORDENES'!$AD981)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IF('ORDENES'!$A982="","",IF('ORDENES'!$AF982="","-",'ORDENES'!$AF982))</f>
        <v/>
      </c>
      <c r="D1004" s="3">
        <f>IF('ORDENES'!$A982="","",IF('ORDENES'!$X982="","-",'ORDENES'!$X982))</f>
        <v/>
      </c>
      <c r="E1004" s="3">
        <f>IF('ORDENES'!$A982="","",IF('ORDENES'!$V982="","-",'ORDENES'!$V982))</f>
        <v/>
      </c>
      <c r="F1004" s="3">
        <f>IF('ORDENES'!$A982="","",IF('ORDENES'!$Y982="","-",'ORDENES'!$Y982))</f>
        <v/>
      </c>
      <c r="G1004" s="3">
        <f>IF('ORDENES'!$A982="","",IF('ORDENES'!$W982="","-",'ORDENES'!$W982))</f>
        <v/>
      </c>
      <c r="H1004" s="3">
        <f>IF('ORDENES'!$A982="","",IF('ORDENES'!$AE982="","-",'ORDENES'!$AE982))</f>
        <v/>
      </c>
      <c r="I1004" s="3">
        <f>IF('ORDENES'!$A982="","",IF('ORDENES'!$AQ982="","-",'ORDENES'!$AQ982))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IF('ORDENES'!$A982="","",'ORDENES'!$AD982)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IF('ORDENES'!$A983="","",IF('ORDENES'!$AF983="","-",'ORDENES'!$AF983))</f>
        <v/>
      </c>
      <c r="D1005" s="3">
        <f>IF('ORDENES'!$A983="","",IF('ORDENES'!$X983="","-",'ORDENES'!$X983))</f>
        <v/>
      </c>
      <c r="E1005" s="3">
        <f>IF('ORDENES'!$A983="","",IF('ORDENES'!$V983="","-",'ORDENES'!$V983))</f>
        <v/>
      </c>
      <c r="F1005" s="3">
        <f>IF('ORDENES'!$A983="","",IF('ORDENES'!$Y983="","-",'ORDENES'!$Y983))</f>
        <v/>
      </c>
      <c r="G1005" s="3">
        <f>IF('ORDENES'!$A983="","",IF('ORDENES'!$W983="","-",'ORDENES'!$W983))</f>
        <v/>
      </c>
      <c r="H1005" s="3">
        <f>IF('ORDENES'!$A983="","",IF('ORDENES'!$AE983="","-",'ORDENES'!$AE983))</f>
        <v/>
      </c>
      <c r="I1005" s="3">
        <f>IF('ORDENES'!$A983="","",IF('ORDENES'!$AQ983="","-",'ORDENES'!$AQ983))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IF('ORDENES'!$A983="","",'ORDENES'!$AD983)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IF('ORDENES'!$A984="","",IF('ORDENES'!$AF984="","-",'ORDENES'!$AF984))</f>
        <v/>
      </c>
      <c r="D1006" s="3">
        <f>IF('ORDENES'!$A984="","",IF('ORDENES'!$X984="","-",'ORDENES'!$X984))</f>
        <v/>
      </c>
      <c r="E1006" s="3">
        <f>IF('ORDENES'!$A984="","",IF('ORDENES'!$V984="","-",'ORDENES'!$V984))</f>
        <v/>
      </c>
      <c r="F1006" s="3">
        <f>IF('ORDENES'!$A984="","",IF('ORDENES'!$Y984="","-",'ORDENES'!$Y984))</f>
        <v/>
      </c>
      <c r="G1006" s="3">
        <f>IF('ORDENES'!$A984="","",IF('ORDENES'!$W984="","-",'ORDENES'!$W984))</f>
        <v/>
      </c>
      <c r="H1006" s="3">
        <f>IF('ORDENES'!$A984="","",IF('ORDENES'!$AE984="","-",'ORDENES'!$AE984))</f>
        <v/>
      </c>
      <c r="I1006" s="3">
        <f>IF('ORDENES'!$A984="","",IF('ORDENES'!$AQ984="","-",'ORDENES'!$AQ984))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IF('ORDENES'!$A984="","",'ORDENES'!$AD984)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IF('ORDENES'!$A985="","",IF('ORDENES'!$AF985="","-",'ORDENES'!$AF985))</f>
        <v/>
      </c>
      <c r="D1007" s="3">
        <f>IF('ORDENES'!$A985="","",IF('ORDENES'!$X985="","-",'ORDENES'!$X985))</f>
        <v/>
      </c>
      <c r="E1007" s="3">
        <f>IF('ORDENES'!$A985="","",IF('ORDENES'!$V985="","-",'ORDENES'!$V985))</f>
        <v/>
      </c>
      <c r="F1007" s="3">
        <f>IF('ORDENES'!$A985="","",IF('ORDENES'!$Y985="","-",'ORDENES'!$Y985))</f>
        <v/>
      </c>
      <c r="G1007" s="3">
        <f>IF('ORDENES'!$A985="","",IF('ORDENES'!$W985="","-",'ORDENES'!$W985))</f>
        <v/>
      </c>
      <c r="H1007" s="3">
        <f>IF('ORDENES'!$A985="","",IF('ORDENES'!$AE985="","-",'ORDENES'!$AE985))</f>
        <v/>
      </c>
      <c r="I1007" s="3">
        <f>IF('ORDENES'!$A985="","",IF('ORDENES'!$AQ985="","-",'ORDENES'!$AQ985))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IF('ORDENES'!$A985="","",'ORDENES'!$AD985)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IF('ORDENES'!$A986="","",IF('ORDENES'!$AF986="","-",'ORDENES'!$AF986))</f>
        <v/>
      </c>
      <c r="D1008" s="3">
        <f>IF('ORDENES'!$A986="","",IF('ORDENES'!$X986="","-",'ORDENES'!$X986))</f>
        <v/>
      </c>
      <c r="E1008" s="3">
        <f>IF('ORDENES'!$A986="","",IF('ORDENES'!$V986="","-",'ORDENES'!$V986))</f>
        <v/>
      </c>
      <c r="F1008" s="3">
        <f>IF('ORDENES'!$A986="","",IF('ORDENES'!$Y986="","-",'ORDENES'!$Y986))</f>
        <v/>
      </c>
      <c r="G1008" s="3">
        <f>IF('ORDENES'!$A986="","",IF('ORDENES'!$W986="","-",'ORDENES'!$W986))</f>
        <v/>
      </c>
      <c r="H1008" s="3">
        <f>IF('ORDENES'!$A986="","",IF('ORDENES'!$AE986="","-",'ORDENES'!$AE986))</f>
        <v/>
      </c>
      <c r="I1008" s="3">
        <f>IF('ORDENES'!$A986="","",IF('ORDENES'!$AQ986="","-",'ORDENES'!$AQ986))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IF('ORDENES'!$A986="","",'ORDENES'!$AD986)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IF('ORDENES'!$A987="","",IF('ORDENES'!$AF987="","-",'ORDENES'!$AF987))</f>
        <v/>
      </c>
      <c r="D1009" s="3">
        <f>IF('ORDENES'!$A987="","",IF('ORDENES'!$X987="","-",'ORDENES'!$X987))</f>
        <v/>
      </c>
      <c r="E1009" s="3">
        <f>IF('ORDENES'!$A987="","",IF('ORDENES'!$V987="","-",'ORDENES'!$V987))</f>
        <v/>
      </c>
      <c r="F1009" s="3">
        <f>IF('ORDENES'!$A987="","",IF('ORDENES'!$Y987="","-",'ORDENES'!$Y987))</f>
        <v/>
      </c>
      <c r="G1009" s="3">
        <f>IF('ORDENES'!$A987="","",IF('ORDENES'!$W987="","-",'ORDENES'!$W987))</f>
        <v/>
      </c>
      <c r="H1009" s="3">
        <f>IF('ORDENES'!$A987="","",IF('ORDENES'!$AE987="","-",'ORDENES'!$AE987))</f>
        <v/>
      </c>
      <c r="I1009" s="3">
        <f>IF('ORDENES'!$A987="","",IF('ORDENES'!$AQ987="","-",'ORDENES'!$AQ987))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IF('ORDENES'!$A987="","",'ORDENES'!$AD987)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IF('ORDENES'!$A988="","",IF('ORDENES'!$AF988="","-",'ORDENES'!$AF988))</f>
        <v/>
      </c>
      <c r="D1010" s="3">
        <f>IF('ORDENES'!$A988="","",IF('ORDENES'!$X988="","-",'ORDENES'!$X988))</f>
        <v/>
      </c>
      <c r="E1010" s="3">
        <f>IF('ORDENES'!$A988="","",IF('ORDENES'!$V988="","-",'ORDENES'!$V988))</f>
        <v/>
      </c>
      <c r="F1010" s="3">
        <f>IF('ORDENES'!$A988="","",IF('ORDENES'!$Y988="","-",'ORDENES'!$Y988))</f>
        <v/>
      </c>
      <c r="G1010" s="3">
        <f>IF('ORDENES'!$A988="","",IF('ORDENES'!$W988="","-",'ORDENES'!$W988))</f>
        <v/>
      </c>
      <c r="H1010" s="3">
        <f>IF('ORDENES'!$A988="","",IF('ORDENES'!$AE988="","-",'ORDENES'!$AE988))</f>
        <v/>
      </c>
      <c r="I1010" s="3">
        <f>IF('ORDENES'!$A988="","",IF('ORDENES'!$AQ988="","-",'ORDENES'!$AQ988))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IF('ORDENES'!$A988="","",'ORDENES'!$AD988)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IF('ORDENES'!$A989="","",IF('ORDENES'!$AF989="","-",'ORDENES'!$AF989))</f>
        <v/>
      </c>
      <c r="D1011" s="3">
        <f>IF('ORDENES'!$A989="","",IF('ORDENES'!$X989="","-",'ORDENES'!$X989))</f>
        <v/>
      </c>
      <c r="E1011" s="3">
        <f>IF('ORDENES'!$A989="","",IF('ORDENES'!$V989="","-",'ORDENES'!$V989))</f>
        <v/>
      </c>
      <c r="F1011" s="3">
        <f>IF('ORDENES'!$A989="","",IF('ORDENES'!$Y989="","-",'ORDENES'!$Y989))</f>
        <v/>
      </c>
      <c r="G1011" s="3">
        <f>IF('ORDENES'!$A989="","",IF('ORDENES'!$W989="","-",'ORDENES'!$W989))</f>
        <v/>
      </c>
      <c r="H1011" s="3">
        <f>IF('ORDENES'!$A989="","",IF('ORDENES'!$AE989="","-",'ORDENES'!$AE989))</f>
        <v/>
      </c>
      <c r="I1011" s="3">
        <f>IF('ORDENES'!$A989="","",IF('ORDENES'!$AQ989="","-",'ORDENES'!$AQ989))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IF('ORDENES'!$A989="","",'ORDENES'!$AD989)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IF('ORDENES'!$A990="","",IF('ORDENES'!$AF990="","-",'ORDENES'!$AF990))</f>
        <v/>
      </c>
      <c r="D1012" s="3">
        <f>IF('ORDENES'!$A990="","",IF('ORDENES'!$X990="","-",'ORDENES'!$X990))</f>
        <v/>
      </c>
      <c r="E1012" s="3">
        <f>IF('ORDENES'!$A990="","",IF('ORDENES'!$V990="","-",'ORDENES'!$V990))</f>
        <v/>
      </c>
      <c r="F1012" s="3">
        <f>IF('ORDENES'!$A990="","",IF('ORDENES'!$Y990="","-",'ORDENES'!$Y990))</f>
        <v/>
      </c>
      <c r="G1012" s="3">
        <f>IF('ORDENES'!$A990="","",IF('ORDENES'!$W990="","-",'ORDENES'!$W990))</f>
        <v/>
      </c>
      <c r="H1012" s="3">
        <f>IF('ORDENES'!$A990="","",IF('ORDENES'!$AE990="","-",'ORDENES'!$AE990))</f>
        <v/>
      </c>
      <c r="I1012" s="3">
        <f>IF('ORDENES'!$A990="","",IF('ORDENES'!$AQ990="","-",'ORDENES'!$AQ990))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IF('ORDENES'!$A990="","",'ORDENES'!$AD990)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IF('ORDENES'!$A991="","",IF('ORDENES'!$AF991="","-",'ORDENES'!$AF991))</f>
        <v/>
      </c>
      <c r="D1013" s="3">
        <f>IF('ORDENES'!$A991="","",IF('ORDENES'!$X991="","-",'ORDENES'!$X991))</f>
        <v/>
      </c>
      <c r="E1013" s="3">
        <f>IF('ORDENES'!$A991="","",IF('ORDENES'!$V991="","-",'ORDENES'!$V991))</f>
        <v/>
      </c>
      <c r="F1013" s="3">
        <f>IF('ORDENES'!$A991="","",IF('ORDENES'!$Y991="","-",'ORDENES'!$Y991))</f>
        <v/>
      </c>
      <c r="G1013" s="3">
        <f>IF('ORDENES'!$A991="","",IF('ORDENES'!$W991="","-",'ORDENES'!$W991))</f>
        <v/>
      </c>
      <c r="H1013" s="3">
        <f>IF('ORDENES'!$A991="","",IF('ORDENES'!$AE991="","-",'ORDENES'!$AE991))</f>
        <v/>
      </c>
      <c r="I1013" s="3">
        <f>IF('ORDENES'!$A991="","",IF('ORDENES'!$AQ991="","-",'ORDENES'!$AQ991))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IF('ORDENES'!$A991="","",'ORDENES'!$AD991)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IF('ORDENES'!$A992="","",IF('ORDENES'!$AF992="","-",'ORDENES'!$AF992))</f>
        <v/>
      </c>
      <c r="D1014" s="3">
        <f>IF('ORDENES'!$A992="","",IF('ORDENES'!$X992="","-",'ORDENES'!$X992))</f>
        <v/>
      </c>
      <c r="E1014" s="3">
        <f>IF('ORDENES'!$A992="","",IF('ORDENES'!$V992="","-",'ORDENES'!$V992))</f>
        <v/>
      </c>
      <c r="F1014" s="3">
        <f>IF('ORDENES'!$A992="","",IF('ORDENES'!$Y992="","-",'ORDENES'!$Y992))</f>
        <v/>
      </c>
      <c r="G1014" s="3">
        <f>IF('ORDENES'!$A992="","",IF('ORDENES'!$W992="","-",'ORDENES'!$W992))</f>
        <v/>
      </c>
      <c r="H1014" s="3">
        <f>IF('ORDENES'!$A992="","",IF('ORDENES'!$AE992="","-",'ORDENES'!$AE992))</f>
        <v/>
      </c>
      <c r="I1014" s="3">
        <f>IF('ORDENES'!$A992="","",IF('ORDENES'!$AQ992="","-",'ORDENES'!$AQ992))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IF('ORDENES'!$A992="","",'ORDENES'!$AD992)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IF('ORDENES'!$A993="","",IF('ORDENES'!$AF993="","-",'ORDENES'!$AF993))</f>
        <v/>
      </c>
      <c r="D1015" s="3">
        <f>IF('ORDENES'!$A993="","",IF('ORDENES'!$X993="","-",'ORDENES'!$X993))</f>
        <v/>
      </c>
      <c r="E1015" s="3">
        <f>IF('ORDENES'!$A993="","",IF('ORDENES'!$V993="","-",'ORDENES'!$V993))</f>
        <v/>
      </c>
      <c r="F1015" s="3">
        <f>IF('ORDENES'!$A993="","",IF('ORDENES'!$Y993="","-",'ORDENES'!$Y993))</f>
        <v/>
      </c>
      <c r="G1015" s="3">
        <f>IF('ORDENES'!$A993="","",IF('ORDENES'!$W993="","-",'ORDENES'!$W993))</f>
        <v/>
      </c>
      <c r="H1015" s="3">
        <f>IF('ORDENES'!$A993="","",IF('ORDENES'!$AE993="","-",'ORDENES'!$AE993))</f>
        <v/>
      </c>
      <c r="I1015" s="3">
        <f>IF('ORDENES'!$A993="","",IF('ORDENES'!$AQ993="","-",'ORDENES'!$AQ993))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IF('ORDENES'!$A993="","",'ORDENES'!$AD993)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IF('ORDENES'!$A994="","",IF('ORDENES'!$AF994="","-",'ORDENES'!$AF994))</f>
        <v/>
      </c>
      <c r="D1016" s="3">
        <f>IF('ORDENES'!$A994="","",IF('ORDENES'!$X994="","-",'ORDENES'!$X994))</f>
        <v/>
      </c>
      <c r="E1016" s="3">
        <f>IF('ORDENES'!$A994="","",IF('ORDENES'!$V994="","-",'ORDENES'!$V994))</f>
        <v/>
      </c>
      <c r="F1016" s="3">
        <f>IF('ORDENES'!$A994="","",IF('ORDENES'!$Y994="","-",'ORDENES'!$Y994))</f>
        <v/>
      </c>
      <c r="G1016" s="3">
        <f>IF('ORDENES'!$A994="","",IF('ORDENES'!$W994="","-",'ORDENES'!$W994))</f>
        <v/>
      </c>
      <c r="H1016" s="3">
        <f>IF('ORDENES'!$A994="","",IF('ORDENES'!$AE994="","-",'ORDENES'!$AE994))</f>
        <v/>
      </c>
      <c r="I1016" s="3">
        <f>IF('ORDENES'!$A994="","",IF('ORDENES'!$AQ994="","-",'ORDENES'!$AQ994))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IF('ORDENES'!$A994="","",'ORDENES'!$AD994)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IF('ORDENES'!$A995="","",IF('ORDENES'!$AF995="","-",'ORDENES'!$AF995))</f>
        <v/>
      </c>
      <c r="D1017" s="3">
        <f>IF('ORDENES'!$A995="","",IF('ORDENES'!$X995="","-",'ORDENES'!$X995))</f>
        <v/>
      </c>
      <c r="E1017" s="3">
        <f>IF('ORDENES'!$A995="","",IF('ORDENES'!$V995="","-",'ORDENES'!$V995))</f>
        <v/>
      </c>
      <c r="F1017" s="3">
        <f>IF('ORDENES'!$A995="","",IF('ORDENES'!$Y995="","-",'ORDENES'!$Y995))</f>
        <v/>
      </c>
      <c r="G1017" s="3">
        <f>IF('ORDENES'!$A995="","",IF('ORDENES'!$W995="","-",'ORDENES'!$W995))</f>
        <v/>
      </c>
      <c r="H1017" s="3">
        <f>IF('ORDENES'!$A995="","",IF('ORDENES'!$AE995="","-",'ORDENES'!$AE995))</f>
        <v/>
      </c>
      <c r="I1017" s="3">
        <f>IF('ORDENES'!$A995="","",IF('ORDENES'!$AQ995="","-",'ORDENES'!$AQ995))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IF('ORDENES'!$A995="","",'ORDENES'!$AD995)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IF('ORDENES'!$A996="","",IF('ORDENES'!$AF996="","-",'ORDENES'!$AF996))</f>
        <v/>
      </c>
      <c r="D1018" s="3">
        <f>IF('ORDENES'!$A996="","",IF('ORDENES'!$X996="","-",'ORDENES'!$X996))</f>
        <v/>
      </c>
      <c r="E1018" s="3">
        <f>IF('ORDENES'!$A996="","",IF('ORDENES'!$V996="","-",'ORDENES'!$V996))</f>
        <v/>
      </c>
      <c r="F1018" s="3">
        <f>IF('ORDENES'!$A996="","",IF('ORDENES'!$Y996="","-",'ORDENES'!$Y996))</f>
        <v/>
      </c>
      <c r="G1018" s="3">
        <f>IF('ORDENES'!$A996="","",IF('ORDENES'!$W996="","-",'ORDENES'!$W996))</f>
        <v/>
      </c>
      <c r="H1018" s="3">
        <f>IF('ORDENES'!$A996="","",IF('ORDENES'!$AE996="","-",'ORDENES'!$AE996))</f>
        <v/>
      </c>
      <c r="I1018" s="3">
        <f>IF('ORDENES'!$A996="","",IF('ORDENES'!$AQ996="","-",'ORDENES'!$AQ996))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IF('ORDENES'!$A996="","",'ORDENES'!$AD996)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IF('ORDENES'!$A997="","",IF('ORDENES'!$AF997="","-",'ORDENES'!$AF997))</f>
        <v/>
      </c>
      <c r="D1019" s="3">
        <f>IF('ORDENES'!$A997="","",IF('ORDENES'!$X997="","-",'ORDENES'!$X997))</f>
        <v/>
      </c>
      <c r="E1019" s="3">
        <f>IF('ORDENES'!$A997="","",IF('ORDENES'!$V997="","-",'ORDENES'!$V997))</f>
        <v/>
      </c>
      <c r="F1019" s="3">
        <f>IF('ORDENES'!$A997="","",IF('ORDENES'!$Y997="","-",'ORDENES'!$Y997))</f>
        <v/>
      </c>
      <c r="G1019" s="3">
        <f>IF('ORDENES'!$A997="","",IF('ORDENES'!$W997="","-",'ORDENES'!$W997))</f>
        <v/>
      </c>
      <c r="H1019" s="3">
        <f>IF('ORDENES'!$A997="","",IF('ORDENES'!$AE997="","-",'ORDENES'!$AE997))</f>
        <v/>
      </c>
      <c r="I1019" s="3">
        <f>IF('ORDENES'!$A997="","",IF('ORDENES'!$AQ997="","-",'ORDENES'!$AQ997))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IF('ORDENES'!$A997="","",'ORDENES'!$AD997)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IF('ORDENES'!$A998="","",IF('ORDENES'!$AF998="","-",'ORDENES'!$AF998))</f>
        <v/>
      </c>
      <c r="D1020" s="3">
        <f>IF('ORDENES'!$A998="","",IF('ORDENES'!$X998="","-",'ORDENES'!$X998))</f>
        <v/>
      </c>
      <c r="E1020" s="3">
        <f>IF('ORDENES'!$A998="","",IF('ORDENES'!$V998="","-",'ORDENES'!$V998))</f>
        <v/>
      </c>
      <c r="F1020" s="3">
        <f>IF('ORDENES'!$A998="","",IF('ORDENES'!$Y998="","-",'ORDENES'!$Y998))</f>
        <v/>
      </c>
      <c r="G1020" s="3">
        <f>IF('ORDENES'!$A998="","",IF('ORDENES'!$W998="","-",'ORDENES'!$W998))</f>
        <v/>
      </c>
      <c r="H1020" s="3">
        <f>IF('ORDENES'!$A998="","",IF('ORDENES'!$AE998="","-",'ORDENES'!$AE998))</f>
        <v/>
      </c>
      <c r="I1020" s="3">
        <f>IF('ORDENES'!$A998="","",IF('ORDENES'!$AQ998="","-",'ORDENES'!$AQ998))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IF('ORDENES'!$A998="","",'ORDENES'!$AD998)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IF('ORDENES'!$A999="","",IF('ORDENES'!$AF999="","-",'ORDENES'!$AF999))</f>
        <v/>
      </c>
      <c r="D1021" s="3">
        <f>IF('ORDENES'!$A999="","",IF('ORDENES'!$X999="","-",'ORDENES'!$X999))</f>
        <v/>
      </c>
      <c r="E1021" s="3">
        <f>IF('ORDENES'!$A999="","",IF('ORDENES'!$V999="","-",'ORDENES'!$V999))</f>
        <v/>
      </c>
      <c r="F1021" s="3">
        <f>IF('ORDENES'!$A999="","",IF('ORDENES'!$Y999="","-",'ORDENES'!$Y999))</f>
        <v/>
      </c>
      <c r="G1021" s="3">
        <f>IF('ORDENES'!$A999="","",IF('ORDENES'!$W999="","-",'ORDENES'!$W999))</f>
        <v/>
      </c>
      <c r="H1021" s="3">
        <f>IF('ORDENES'!$A999="","",IF('ORDENES'!$AE999="","-",'ORDENES'!$AE999))</f>
        <v/>
      </c>
      <c r="I1021" s="3">
        <f>IF('ORDENES'!$A999="","",IF('ORDENES'!$AQ999="","-",'ORDENES'!$AQ999))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IF('ORDENES'!$A999="","",'ORDENES'!$AD999)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IF('ORDENES'!$A1000="","",IF('ORDENES'!$AF1000="","-",'ORDENES'!$AF1000))</f>
        <v/>
      </c>
      <c r="D1022" s="3">
        <f>IF('ORDENES'!$A1000="","",IF('ORDENES'!$X1000="","-",'ORDENES'!$X1000))</f>
        <v/>
      </c>
      <c r="E1022" s="3">
        <f>IF('ORDENES'!$A1000="","",IF('ORDENES'!$V1000="","-",'ORDENES'!$V1000))</f>
        <v/>
      </c>
      <c r="F1022" s="3">
        <f>IF('ORDENES'!$A1000="","",IF('ORDENES'!$Y1000="","-",'ORDENES'!$Y1000))</f>
        <v/>
      </c>
      <c r="G1022" s="3">
        <f>IF('ORDENES'!$A1000="","",IF('ORDENES'!$W1000="","-",'ORDENES'!$W1000))</f>
        <v/>
      </c>
      <c r="H1022" s="3">
        <f>IF('ORDENES'!$A1000="","",IF('ORDENES'!$AE1000="","-",'ORDENES'!$AE1000))</f>
        <v/>
      </c>
      <c r="I1022" s="3">
        <f>IF('ORDENES'!$A1000="","",IF('ORDENES'!$AQ1000="","-",'ORDENES'!$AQ1000))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IF('ORDENES'!$A1000="","",'ORDENES'!$AD1000)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IF('ORDENES'!$A1001="","",IF('ORDENES'!$AF1001="","-",'ORDENES'!$AF1001))</f>
        <v/>
      </c>
      <c r="D1023" s="3">
        <f>IF('ORDENES'!$A1001="","",IF('ORDENES'!$X1001="","-",'ORDENES'!$X1001))</f>
        <v/>
      </c>
      <c r="E1023" s="3">
        <f>IF('ORDENES'!$A1001="","",IF('ORDENES'!$V1001="","-",'ORDENES'!$V1001))</f>
        <v/>
      </c>
      <c r="F1023" s="3">
        <f>IF('ORDENES'!$A1001="","",IF('ORDENES'!$Y1001="","-",'ORDENES'!$Y1001))</f>
        <v/>
      </c>
      <c r="G1023" s="3">
        <f>IF('ORDENES'!$A1001="","",IF('ORDENES'!$W1001="","-",'ORDENES'!$W1001))</f>
        <v/>
      </c>
      <c r="H1023" s="3">
        <f>IF('ORDENES'!$A1001="","",IF('ORDENES'!$AE1001="","-",'ORDENES'!$AE1001))</f>
        <v/>
      </c>
      <c r="I1023" s="3">
        <f>IF('ORDENES'!$A1001="","",IF('ORDENES'!$AQ1001="","-",'ORDENES'!$AQ1001))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IF('ORDENES'!$A1001="","",'ORDENES'!$AD1001)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IF('ORDENES'!$A1002="","",IF('ORDENES'!$AF1002="","-",'ORDENES'!$AF1002))</f>
        <v/>
      </c>
      <c r="D1024" s="3">
        <f>IF('ORDENES'!$A1002="","",IF('ORDENES'!$X1002="","-",'ORDENES'!$X1002))</f>
        <v/>
      </c>
      <c r="E1024" s="3">
        <f>IF('ORDENES'!$A1002="","",IF('ORDENES'!$V1002="","-",'ORDENES'!$V1002))</f>
        <v/>
      </c>
      <c r="F1024" s="3">
        <f>IF('ORDENES'!$A1002="","",IF('ORDENES'!$Y1002="","-",'ORDENES'!$Y1002))</f>
        <v/>
      </c>
      <c r="G1024" s="3">
        <f>IF('ORDENES'!$A1002="","",IF('ORDENES'!$W1002="","-",'ORDENES'!$W1002))</f>
        <v/>
      </c>
      <c r="H1024" s="3">
        <f>IF('ORDENES'!$A1002="","",IF('ORDENES'!$AE1002="","-",'ORDENES'!$AE1002))</f>
        <v/>
      </c>
      <c r="I1024" s="3">
        <f>IF('ORDENES'!$A1002="","",IF('ORDENES'!$AQ1002="","-",'ORDENES'!$AQ1002))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IF('ORDENES'!$A1002="","",'ORDENES'!$AD1002)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IF('ORDENES'!$A1003="","",IF('ORDENES'!$AF1003="","-",'ORDENES'!$AF1003))</f>
        <v/>
      </c>
      <c r="D1025" s="3">
        <f>IF('ORDENES'!$A1003="","",IF('ORDENES'!$X1003="","-",'ORDENES'!$X1003))</f>
        <v/>
      </c>
      <c r="E1025" s="3">
        <f>IF('ORDENES'!$A1003="","",IF('ORDENES'!$V1003="","-",'ORDENES'!$V1003))</f>
        <v/>
      </c>
      <c r="F1025" s="3">
        <f>IF('ORDENES'!$A1003="","",IF('ORDENES'!$Y1003="","-",'ORDENES'!$Y1003))</f>
        <v/>
      </c>
      <c r="G1025" s="3">
        <f>IF('ORDENES'!$A1003="","",IF('ORDENES'!$W1003="","-",'ORDENES'!$W1003))</f>
        <v/>
      </c>
      <c r="H1025" s="3">
        <f>IF('ORDENES'!$A1003="","",IF('ORDENES'!$AE1003="","-",'ORDENES'!$AE1003))</f>
        <v/>
      </c>
      <c r="I1025" s="3">
        <f>IF('ORDENES'!$A1003="","",IF('ORDENES'!$AQ1003="","-",'ORDENES'!$AQ1003))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IF('ORDENES'!$A1003="","",'ORDENES'!$AD1003)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IF('ORDENES'!$A1004="","",IF('ORDENES'!$AF1004="","-",'ORDENES'!$AF1004))</f>
        <v/>
      </c>
      <c r="D1026" s="3">
        <f>IF('ORDENES'!$A1004="","",IF('ORDENES'!$X1004="","-",'ORDENES'!$X1004))</f>
        <v/>
      </c>
      <c r="E1026" s="3">
        <f>IF('ORDENES'!$A1004="","",IF('ORDENES'!$V1004="","-",'ORDENES'!$V1004))</f>
        <v/>
      </c>
      <c r="F1026" s="3">
        <f>IF('ORDENES'!$A1004="","",IF('ORDENES'!$Y1004="","-",'ORDENES'!$Y1004))</f>
        <v/>
      </c>
      <c r="G1026" s="3">
        <f>IF('ORDENES'!$A1004="","",IF('ORDENES'!$W1004="","-",'ORDENES'!$W1004))</f>
        <v/>
      </c>
      <c r="H1026" s="3">
        <f>IF('ORDENES'!$A1004="","",IF('ORDENES'!$AE1004="","-",'ORDENES'!$AE1004))</f>
        <v/>
      </c>
      <c r="I1026" s="3">
        <f>IF('ORDENES'!$A1004="","",IF('ORDENES'!$AQ1004="","-",'ORDENES'!$AQ1004))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IF('ORDENES'!$A1004="","",'ORDENES'!$AD1004)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IF('ORDENES'!$A1005="","",IF('ORDENES'!$AF1005="","-",'ORDENES'!$AF1005))</f>
        <v/>
      </c>
      <c r="D1027" s="3">
        <f>IF('ORDENES'!$A1005="","",IF('ORDENES'!$X1005="","-",'ORDENES'!$X1005))</f>
        <v/>
      </c>
      <c r="E1027" s="3">
        <f>IF('ORDENES'!$A1005="","",IF('ORDENES'!$V1005="","-",'ORDENES'!$V1005))</f>
        <v/>
      </c>
      <c r="F1027" s="3">
        <f>IF('ORDENES'!$A1005="","",IF('ORDENES'!$Y1005="","-",'ORDENES'!$Y1005))</f>
        <v/>
      </c>
      <c r="G1027" s="3">
        <f>IF('ORDENES'!$A1005="","",IF('ORDENES'!$W1005="","-",'ORDENES'!$W1005))</f>
        <v/>
      </c>
      <c r="H1027" s="3">
        <f>IF('ORDENES'!$A1005="","",IF('ORDENES'!$AE1005="","-",'ORDENES'!$AE1005))</f>
        <v/>
      </c>
      <c r="I1027" s="3">
        <f>IF('ORDENES'!$A1005="","",IF('ORDENES'!$AQ1005="","-",'ORDENES'!$AQ1005))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IF('ORDENES'!$A1005="","",'ORDENES'!$AD1005)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IF('ORDENES'!$A1006="","",IF('ORDENES'!$AF1006="","-",'ORDENES'!$AF1006))</f>
        <v/>
      </c>
      <c r="D1028" s="3">
        <f>IF('ORDENES'!$A1006="","",IF('ORDENES'!$X1006="","-",'ORDENES'!$X1006))</f>
        <v/>
      </c>
      <c r="E1028" s="3">
        <f>IF('ORDENES'!$A1006="","",IF('ORDENES'!$V1006="","-",'ORDENES'!$V1006))</f>
        <v/>
      </c>
      <c r="F1028" s="3">
        <f>IF('ORDENES'!$A1006="","",IF('ORDENES'!$Y1006="","-",'ORDENES'!$Y1006))</f>
        <v/>
      </c>
      <c r="G1028" s="3">
        <f>IF('ORDENES'!$A1006="","",IF('ORDENES'!$W1006="","-",'ORDENES'!$W1006))</f>
        <v/>
      </c>
      <c r="H1028" s="3">
        <f>IF('ORDENES'!$A1006="","",IF('ORDENES'!$AE1006="","-",'ORDENES'!$AE1006))</f>
        <v/>
      </c>
      <c r="I1028" s="3">
        <f>IF('ORDENES'!$A1006="","",IF('ORDENES'!$AQ1006="","-",'ORDENES'!$AQ1006))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IF('ORDENES'!$A1006="","",'ORDENES'!$AD1006)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IF('ORDENES'!$A1007="","",IF('ORDENES'!$AF1007="","-",'ORDENES'!$AF1007))</f>
        <v/>
      </c>
      <c r="D1029" s="3">
        <f>IF('ORDENES'!$A1007="","",IF('ORDENES'!$X1007="","-",'ORDENES'!$X1007))</f>
        <v/>
      </c>
      <c r="E1029" s="3">
        <f>IF('ORDENES'!$A1007="","",IF('ORDENES'!$V1007="","-",'ORDENES'!$V1007))</f>
        <v/>
      </c>
      <c r="F1029" s="3">
        <f>IF('ORDENES'!$A1007="","",IF('ORDENES'!$Y1007="","-",'ORDENES'!$Y1007))</f>
        <v/>
      </c>
      <c r="G1029" s="3">
        <f>IF('ORDENES'!$A1007="","",IF('ORDENES'!$W1007="","-",'ORDENES'!$W1007))</f>
        <v/>
      </c>
      <c r="H1029" s="3">
        <f>IF('ORDENES'!$A1007="","",IF('ORDENES'!$AE1007="","-",'ORDENES'!$AE1007))</f>
        <v/>
      </c>
      <c r="I1029" s="3">
        <f>IF('ORDENES'!$A1007="","",IF('ORDENES'!$AQ1007="","-",'ORDENES'!$AQ1007))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IF('ORDENES'!$A1007="","",'ORDENES'!$AD1007)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IF('ORDENES'!$A1008="","",IF('ORDENES'!$AF1008="","-",'ORDENES'!$AF1008))</f>
        <v/>
      </c>
      <c r="D1030" s="3">
        <f>IF('ORDENES'!$A1008="","",IF('ORDENES'!$X1008="","-",'ORDENES'!$X1008))</f>
        <v/>
      </c>
      <c r="E1030" s="3">
        <f>IF('ORDENES'!$A1008="","",IF('ORDENES'!$V1008="","-",'ORDENES'!$V1008))</f>
        <v/>
      </c>
      <c r="F1030" s="3">
        <f>IF('ORDENES'!$A1008="","",IF('ORDENES'!$Y1008="","-",'ORDENES'!$Y1008))</f>
        <v/>
      </c>
      <c r="G1030" s="3">
        <f>IF('ORDENES'!$A1008="","",IF('ORDENES'!$W1008="","-",'ORDENES'!$W1008))</f>
        <v/>
      </c>
      <c r="H1030" s="3">
        <f>IF('ORDENES'!$A1008="","",IF('ORDENES'!$AE1008="","-",'ORDENES'!$AE1008))</f>
        <v/>
      </c>
      <c r="I1030" s="3">
        <f>IF('ORDENES'!$A1008="","",IF('ORDENES'!$AQ1008="","-",'ORDENES'!$AQ1008))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IF('ORDENES'!$A1008="","",'ORDENES'!$AD1008)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IF('ORDENES'!$A1009="","",IF('ORDENES'!$AF1009="","-",'ORDENES'!$AF1009))</f>
        <v/>
      </c>
      <c r="D1031" s="3">
        <f>IF('ORDENES'!$A1009="","",IF('ORDENES'!$X1009="","-",'ORDENES'!$X1009))</f>
        <v/>
      </c>
      <c r="E1031" s="3">
        <f>IF('ORDENES'!$A1009="","",IF('ORDENES'!$V1009="","-",'ORDENES'!$V1009))</f>
        <v/>
      </c>
      <c r="F1031" s="3">
        <f>IF('ORDENES'!$A1009="","",IF('ORDENES'!$Y1009="","-",'ORDENES'!$Y1009))</f>
        <v/>
      </c>
      <c r="G1031" s="3">
        <f>IF('ORDENES'!$A1009="","",IF('ORDENES'!$W1009="","-",'ORDENES'!$W1009))</f>
        <v/>
      </c>
      <c r="H1031" s="3">
        <f>IF('ORDENES'!$A1009="","",IF('ORDENES'!$AE1009="","-",'ORDENES'!$AE1009))</f>
        <v/>
      </c>
      <c r="I1031" s="3">
        <f>IF('ORDENES'!$A1009="","",IF('ORDENES'!$AQ1009="","-",'ORDENES'!$AQ1009))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IF('ORDENES'!$A1009="","",'ORDENES'!$AD1009)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IF('ORDENES'!$A1010="","",IF('ORDENES'!$AF1010="","-",'ORDENES'!$AF1010))</f>
        <v/>
      </c>
      <c r="D1032" s="3">
        <f>IF('ORDENES'!$A1010="","",IF('ORDENES'!$X1010="","-",'ORDENES'!$X1010))</f>
        <v/>
      </c>
      <c r="E1032" s="3">
        <f>IF('ORDENES'!$A1010="","",IF('ORDENES'!$V1010="","-",'ORDENES'!$V1010))</f>
        <v/>
      </c>
      <c r="F1032" s="3">
        <f>IF('ORDENES'!$A1010="","",IF('ORDENES'!$Y1010="","-",'ORDENES'!$Y1010))</f>
        <v/>
      </c>
      <c r="G1032" s="3">
        <f>IF('ORDENES'!$A1010="","",IF('ORDENES'!$W1010="","-",'ORDENES'!$W1010))</f>
        <v/>
      </c>
      <c r="H1032" s="3">
        <f>IF('ORDENES'!$A1010="","",IF('ORDENES'!$AE1010="","-",'ORDENES'!$AE1010))</f>
        <v/>
      </c>
      <c r="I1032" s="3">
        <f>IF('ORDENES'!$A1010="","",IF('ORDENES'!$AQ1010="","-",'ORDENES'!$AQ1010))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IF('ORDENES'!$A1010="","",'ORDENES'!$AD1010)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IF('ORDENES'!$A1011="","",IF('ORDENES'!$AF1011="","-",'ORDENES'!$AF1011))</f>
        <v/>
      </c>
      <c r="D1033" s="3">
        <f>IF('ORDENES'!$A1011="","",IF('ORDENES'!$X1011="","-",'ORDENES'!$X1011))</f>
        <v/>
      </c>
      <c r="E1033" s="3">
        <f>IF('ORDENES'!$A1011="","",IF('ORDENES'!$V1011="","-",'ORDENES'!$V1011))</f>
        <v/>
      </c>
      <c r="F1033" s="3">
        <f>IF('ORDENES'!$A1011="","",IF('ORDENES'!$Y1011="","-",'ORDENES'!$Y1011))</f>
        <v/>
      </c>
      <c r="G1033" s="3">
        <f>IF('ORDENES'!$A1011="","",IF('ORDENES'!$W1011="","-",'ORDENES'!$W1011))</f>
        <v/>
      </c>
      <c r="H1033" s="3">
        <f>IF('ORDENES'!$A1011="","",IF('ORDENES'!$AE1011="","-",'ORDENES'!$AE1011))</f>
        <v/>
      </c>
      <c r="I1033" s="3">
        <f>IF('ORDENES'!$A1011="","",IF('ORDENES'!$AQ1011="","-",'ORDENES'!$AQ1011))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IF('ORDENES'!$A1011="","",'ORDENES'!$AD1011)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IF('ORDENES'!$A1012="","",IF('ORDENES'!$AF1012="","-",'ORDENES'!$AF1012))</f>
        <v/>
      </c>
      <c r="D1034" s="3">
        <f>IF('ORDENES'!$A1012="","",IF('ORDENES'!$X1012="","-",'ORDENES'!$X1012))</f>
        <v/>
      </c>
      <c r="E1034" s="3">
        <f>IF('ORDENES'!$A1012="","",IF('ORDENES'!$V1012="","-",'ORDENES'!$V1012))</f>
        <v/>
      </c>
      <c r="F1034" s="3">
        <f>IF('ORDENES'!$A1012="","",IF('ORDENES'!$Y1012="","-",'ORDENES'!$Y1012))</f>
        <v/>
      </c>
      <c r="G1034" s="3">
        <f>IF('ORDENES'!$A1012="","",IF('ORDENES'!$W1012="","-",'ORDENES'!$W1012))</f>
        <v/>
      </c>
      <c r="H1034" s="3">
        <f>IF('ORDENES'!$A1012="","",IF('ORDENES'!$AE1012="","-",'ORDENES'!$AE1012))</f>
        <v/>
      </c>
      <c r="I1034" s="3">
        <f>IF('ORDENES'!$A1012="","",IF('ORDENES'!$AQ1012="","-",'ORDENES'!$AQ1012))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IF('ORDENES'!$A1012="","",'ORDENES'!$AD1012)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IF('ORDENES'!$A1013="","",IF('ORDENES'!$AF1013="","-",'ORDENES'!$AF1013))</f>
        <v/>
      </c>
      <c r="D1035" s="3">
        <f>IF('ORDENES'!$A1013="","",IF('ORDENES'!$X1013="","-",'ORDENES'!$X1013))</f>
        <v/>
      </c>
      <c r="E1035" s="3">
        <f>IF('ORDENES'!$A1013="","",IF('ORDENES'!$V1013="","-",'ORDENES'!$V1013))</f>
        <v/>
      </c>
      <c r="F1035" s="3">
        <f>IF('ORDENES'!$A1013="","",IF('ORDENES'!$Y1013="","-",'ORDENES'!$Y1013))</f>
        <v/>
      </c>
      <c r="G1035" s="3">
        <f>IF('ORDENES'!$A1013="","",IF('ORDENES'!$W1013="","-",'ORDENES'!$W1013))</f>
        <v/>
      </c>
      <c r="H1035" s="3">
        <f>IF('ORDENES'!$A1013="","",IF('ORDENES'!$AE1013="","-",'ORDENES'!$AE1013))</f>
        <v/>
      </c>
      <c r="I1035" s="3">
        <f>IF('ORDENES'!$A1013="","",IF('ORDENES'!$AQ1013="","-",'ORDENES'!$AQ1013))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IF('ORDENES'!$A1013="","",'ORDENES'!$AD1013)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IF('ORDENES'!$A1014="","",IF('ORDENES'!$AF1014="","-",'ORDENES'!$AF1014))</f>
        <v/>
      </c>
      <c r="D1036" s="3">
        <f>IF('ORDENES'!$A1014="","",IF('ORDENES'!$X1014="","-",'ORDENES'!$X1014))</f>
        <v/>
      </c>
      <c r="E1036" s="3">
        <f>IF('ORDENES'!$A1014="","",IF('ORDENES'!$V1014="","-",'ORDENES'!$V1014))</f>
        <v/>
      </c>
      <c r="F1036" s="3">
        <f>IF('ORDENES'!$A1014="","",IF('ORDENES'!$Y1014="","-",'ORDENES'!$Y1014))</f>
        <v/>
      </c>
      <c r="G1036" s="3">
        <f>IF('ORDENES'!$A1014="","",IF('ORDENES'!$W1014="","-",'ORDENES'!$W1014))</f>
        <v/>
      </c>
      <c r="H1036" s="3">
        <f>IF('ORDENES'!$A1014="","",IF('ORDENES'!$AE1014="","-",'ORDENES'!$AE1014))</f>
        <v/>
      </c>
      <c r="I1036" s="3">
        <f>IF('ORDENES'!$A1014="","",IF('ORDENES'!$AQ1014="","-",'ORDENES'!$AQ1014))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IF('ORDENES'!$A1014="","",'ORDENES'!$AD1014)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IF('ORDENES'!$A1015="","",IF('ORDENES'!$AF1015="","-",'ORDENES'!$AF1015))</f>
        <v/>
      </c>
      <c r="D1037" s="3">
        <f>IF('ORDENES'!$A1015="","",IF('ORDENES'!$X1015="","-",'ORDENES'!$X1015))</f>
        <v/>
      </c>
      <c r="E1037" s="3">
        <f>IF('ORDENES'!$A1015="","",IF('ORDENES'!$V1015="","-",'ORDENES'!$V1015))</f>
        <v/>
      </c>
      <c r="F1037" s="3">
        <f>IF('ORDENES'!$A1015="","",IF('ORDENES'!$Y1015="","-",'ORDENES'!$Y1015))</f>
        <v/>
      </c>
      <c r="G1037" s="3">
        <f>IF('ORDENES'!$A1015="","",IF('ORDENES'!$W1015="","-",'ORDENES'!$W1015))</f>
        <v/>
      </c>
      <c r="H1037" s="3">
        <f>IF('ORDENES'!$A1015="","",IF('ORDENES'!$AE1015="","-",'ORDENES'!$AE1015))</f>
        <v/>
      </c>
      <c r="I1037" s="3">
        <f>IF('ORDENES'!$A1015="","",IF('ORDENES'!$AQ1015="","-",'ORDENES'!$AQ1015))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IF('ORDENES'!$A1015="","",'ORDENES'!$AD1015)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IF('ORDENES'!$A1016="","",IF('ORDENES'!$AF1016="","-",'ORDENES'!$AF1016))</f>
        <v/>
      </c>
      <c r="D1038" s="3">
        <f>IF('ORDENES'!$A1016="","",IF('ORDENES'!$X1016="","-",'ORDENES'!$X1016))</f>
        <v/>
      </c>
      <c r="E1038" s="3">
        <f>IF('ORDENES'!$A1016="","",IF('ORDENES'!$V1016="","-",'ORDENES'!$V1016))</f>
        <v/>
      </c>
      <c r="F1038" s="3">
        <f>IF('ORDENES'!$A1016="","",IF('ORDENES'!$Y1016="","-",'ORDENES'!$Y1016))</f>
        <v/>
      </c>
      <c r="G1038" s="3">
        <f>IF('ORDENES'!$A1016="","",IF('ORDENES'!$W1016="","-",'ORDENES'!$W1016))</f>
        <v/>
      </c>
      <c r="H1038" s="3">
        <f>IF('ORDENES'!$A1016="","",IF('ORDENES'!$AE1016="","-",'ORDENES'!$AE1016))</f>
        <v/>
      </c>
      <c r="I1038" s="3">
        <f>IF('ORDENES'!$A1016="","",IF('ORDENES'!$AQ1016="","-",'ORDENES'!$AQ1016))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IF('ORDENES'!$A1016="","",'ORDENES'!$AD1016)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IF('ORDENES'!$A1017="","",IF('ORDENES'!$AF1017="","-",'ORDENES'!$AF1017))</f>
        <v/>
      </c>
      <c r="D1039" s="3">
        <f>IF('ORDENES'!$A1017="","",IF('ORDENES'!$X1017="","-",'ORDENES'!$X1017))</f>
        <v/>
      </c>
      <c r="E1039" s="3">
        <f>IF('ORDENES'!$A1017="","",IF('ORDENES'!$V1017="","-",'ORDENES'!$V1017))</f>
        <v/>
      </c>
      <c r="F1039" s="3">
        <f>IF('ORDENES'!$A1017="","",IF('ORDENES'!$Y1017="","-",'ORDENES'!$Y1017))</f>
        <v/>
      </c>
      <c r="G1039" s="3">
        <f>IF('ORDENES'!$A1017="","",IF('ORDENES'!$W1017="","-",'ORDENES'!$W1017))</f>
        <v/>
      </c>
      <c r="H1039" s="3">
        <f>IF('ORDENES'!$A1017="","",IF('ORDENES'!$AE1017="","-",'ORDENES'!$AE1017))</f>
        <v/>
      </c>
      <c r="I1039" s="3">
        <f>IF('ORDENES'!$A1017="","",IF('ORDENES'!$AQ1017="","-",'ORDENES'!$AQ1017))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IF('ORDENES'!$A1017="","",'ORDENES'!$AD1017)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IF('ORDENES'!$A1018="","",IF('ORDENES'!$AF1018="","-",'ORDENES'!$AF1018))</f>
        <v/>
      </c>
      <c r="D1040" s="3">
        <f>IF('ORDENES'!$A1018="","",IF('ORDENES'!$X1018="","-",'ORDENES'!$X1018))</f>
        <v/>
      </c>
      <c r="E1040" s="3">
        <f>IF('ORDENES'!$A1018="","",IF('ORDENES'!$V1018="","-",'ORDENES'!$V1018))</f>
        <v/>
      </c>
      <c r="F1040" s="3">
        <f>IF('ORDENES'!$A1018="","",IF('ORDENES'!$Y1018="","-",'ORDENES'!$Y1018))</f>
        <v/>
      </c>
      <c r="G1040" s="3">
        <f>IF('ORDENES'!$A1018="","",IF('ORDENES'!$W1018="","-",'ORDENES'!$W1018))</f>
        <v/>
      </c>
      <c r="H1040" s="3">
        <f>IF('ORDENES'!$A1018="","",IF('ORDENES'!$AE1018="","-",'ORDENES'!$AE1018))</f>
        <v/>
      </c>
      <c r="I1040" s="3">
        <f>IF('ORDENES'!$A1018="","",IF('ORDENES'!$AQ1018="","-",'ORDENES'!$AQ1018))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IF('ORDENES'!$A1018="","",'ORDENES'!$AD1018)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IF('ORDENES'!$A1019="","",IF('ORDENES'!$AF1019="","-",'ORDENES'!$AF1019))</f>
        <v/>
      </c>
      <c r="D1041" s="3">
        <f>IF('ORDENES'!$A1019="","",IF('ORDENES'!$X1019="","-",'ORDENES'!$X1019))</f>
        <v/>
      </c>
      <c r="E1041" s="3">
        <f>IF('ORDENES'!$A1019="","",IF('ORDENES'!$V1019="","-",'ORDENES'!$V1019))</f>
        <v/>
      </c>
      <c r="F1041" s="3">
        <f>IF('ORDENES'!$A1019="","",IF('ORDENES'!$Y1019="","-",'ORDENES'!$Y1019))</f>
        <v/>
      </c>
      <c r="G1041" s="3">
        <f>IF('ORDENES'!$A1019="","",IF('ORDENES'!$W1019="","-",'ORDENES'!$W1019))</f>
        <v/>
      </c>
      <c r="H1041" s="3">
        <f>IF('ORDENES'!$A1019="","",IF('ORDENES'!$AE1019="","-",'ORDENES'!$AE1019))</f>
        <v/>
      </c>
      <c r="I1041" s="3">
        <f>IF('ORDENES'!$A1019="","",IF('ORDENES'!$AQ1019="","-",'ORDENES'!$AQ1019))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IF('ORDENES'!$A1019="","",'ORDENES'!$AD1019)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IF('ORDENES'!$A1020="","",IF('ORDENES'!$AF1020="","-",'ORDENES'!$AF1020))</f>
        <v/>
      </c>
      <c r="D1042" s="3">
        <f>IF('ORDENES'!$A1020="","",IF('ORDENES'!$X1020="","-",'ORDENES'!$X1020))</f>
        <v/>
      </c>
      <c r="E1042" s="3">
        <f>IF('ORDENES'!$A1020="","",IF('ORDENES'!$V1020="","-",'ORDENES'!$V1020))</f>
        <v/>
      </c>
      <c r="F1042" s="3">
        <f>IF('ORDENES'!$A1020="","",IF('ORDENES'!$Y1020="","-",'ORDENES'!$Y1020))</f>
        <v/>
      </c>
      <c r="G1042" s="3">
        <f>IF('ORDENES'!$A1020="","",IF('ORDENES'!$W1020="","-",'ORDENES'!$W1020))</f>
        <v/>
      </c>
      <c r="H1042" s="3">
        <f>IF('ORDENES'!$A1020="","",IF('ORDENES'!$AE1020="","-",'ORDENES'!$AE1020))</f>
        <v/>
      </c>
      <c r="I1042" s="3">
        <f>IF('ORDENES'!$A1020="","",IF('ORDENES'!$AQ1020="","-",'ORDENES'!$AQ1020))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IF('ORDENES'!$A1020="","",'ORDENES'!$AD1020)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IF('ORDENES'!$A1021="","",IF('ORDENES'!$AF1021="","-",'ORDENES'!$AF1021))</f>
        <v/>
      </c>
      <c r="D1043" s="3">
        <f>IF('ORDENES'!$A1021="","",IF('ORDENES'!$X1021="","-",'ORDENES'!$X1021))</f>
        <v/>
      </c>
      <c r="E1043" s="3">
        <f>IF('ORDENES'!$A1021="","",IF('ORDENES'!$V1021="","-",'ORDENES'!$V1021))</f>
        <v/>
      </c>
      <c r="F1043" s="3">
        <f>IF('ORDENES'!$A1021="","",IF('ORDENES'!$Y1021="","-",'ORDENES'!$Y1021))</f>
        <v/>
      </c>
      <c r="G1043" s="3">
        <f>IF('ORDENES'!$A1021="","",IF('ORDENES'!$W1021="","-",'ORDENES'!$W1021))</f>
        <v/>
      </c>
      <c r="H1043" s="3">
        <f>IF('ORDENES'!$A1021="","",IF('ORDENES'!$AE1021="","-",'ORDENES'!$AE1021))</f>
        <v/>
      </c>
      <c r="I1043" s="3">
        <f>IF('ORDENES'!$A1021="","",IF('ORDENES'!$AQ1021="","-",'ORDENES'!$AQ1021))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IF('ORDENES'!$A1021="","",'ORDENES'!$AD1021)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IF('ORDENES'!$A1022="","",IF('ORDENES'!$AF1022="","-",'ORDENES'!$AF1022))</f>
        <v/>
      </c>
      <c r="D1044" s="3">
        <f>IF('ORDENES'!$A1022="","",IF('ORDENES'!$X1022="","-",'ORDENES'!$X1022))</f>
        <v/>
      </c>
      <c r="E1044" s="3">
        <f>IF('ORDENES'!$A1022="","",IF('ORDENES'!$V1022="","-",'ORDENES'!$V1022))</f>
        <v/>
      </c>
      <c r="F1044" s="3">
        <f>IF('ORDENES'!$A1022="","",IF('ORDENES'!$Y1022="","-",'ORDENES'!$Y1022))</f>
        <v/>
      </c>
      <c r="G1044" s="3">
        <f>IF('ORDENES'!$A1022="","",IF('ORDENES'!$W1022="","-",'ORDENES'!$W1022))</f>
        <v/>
      </c>
      <c r="H1044" s="3">
        <f>IF('ORDENES'!$A1022="","",IF('ORDENES'!$AE1022="","-",'ORDENES'!$AE1022))</f>
        <v/>
      </c>
      <c r="I1044" s="3">
        <f>IF('ORDENES'!$A1022="","",IF('ORDENES'!$AQ1022="","-",'ORDENES'!$AQ1022))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IF('ORDENES'!$A1022="","",'ORDENES'!$AD1022)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IF('ORDENES'!$A1023="","",IF('ORDENES'!$AF1023="","-",'ORDENES'!$AF1023))</f>
        <v/>
      </c>
      <c r="D1045" s="3">
        <f>IF('ORDENES'!$A1023="","",IF('ORDENES'!$X1023="","-",'ORDENES'!$X1023))</f>
        <v/>
      </c>
      <c r="E1045" s="3">
        <f>IF('ORDENES'!$A1023="","",IF('ORDENES'!$V1023="","-",'ORDENES'!$V1023))</f>
        <v/>
      </c>
      <c r="F1045" s="3">
        <f>IF('ORDENES'!$A1023="","",IF('ORDENES'!$Y1023="","-",'ORDENES'!$Y1023))</f>
        <v/>
      </c>
      <c r="G1045" s="3">
        <f>IF('ORDENES'!$A1023="","",IF('ORDENES'!$W1023="","-",'ORDENES'!$W1023))</f>
        <v/>
      </c>
      <c r="H1045" s="3">
        <f>IF('ORDENES'!$A1023="","",IF('ORDENES'!$AE1023="","-",'ORDENES'!$AE1023))</f>
        <v/>
      </c>
      <c r="I1045" s="3">
        <f>IF('ORDENES'!$A1023="","",IF('ORDENES'!$AQ1023="","-",'ORDENES'!$AQ1023))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IF('ORDENES'!$A1023="","",'ORDENES'!$AD1023)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IF('ORDENES'!$A1024="","",IF('ORDENES'!$AF1024="","-",'ORDENES'!$AF1024))</f>
        <v/>
      </c>
      <c r="D1046" s="3">
        <f>IF('ORDENES'!$A1024="","",IF('ORDENES'!$X1024="","-",'ORDENES'!$X1024))</f>
        <v/>
      </c>
      <c r="E1046" s="3">
        <f>IF('ORDENES'!$A1024="","",IF('ORDENES'!$V1024="","-",'ORDENES'!$V1024))</f>
        <v/>
      </c>
      <c r="F1046" s="3">
        <f>IF('ORDENES'!$A1024="","",IF('ORDENES'!$Y1024="","-",'ORDENES'!$Y1024))</f>
        <v/>
      </c>
      <c r="G1046" s="3">
        <f>IF('ORDENES'!$A1024="","",IF('ORDENES'!$W1024="","-",'ORDENES'!$W1024))</f>
        <v/>
      </c>
      <c r="H1046" s="3">
        <f>IF('ORDENES'!$A1024="","",IF('ORDENES'!$AE1024="","-",'ORDENES'!$AE1024))</f>
        <v/>
      </c>
      <c r="I1046" s="3">
        <f>IF('ORDENES'!$A1024="","",IF('ORDENES'!$AQ1024="","-",'ORDENES'!$AQ1024))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IF('ORDENES'!$A1024="","",'ORDENES'!$AD1024)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IF('ORDENES'!$A1025="","",IF('ORDENES'!$AF1025="","-",'ORDENES'!$AF1025))</f>
        <v/>
      </c>
      <c r="D1047" s="3">
        <f>IF('ORDENES'!$A1025="","",IF('ORDENES'!$X1025="","-",'ORDENES'!$X1025))</f>
        <v/>
      </c>
      <c r="E1047" s="3">
        <f>IF('ORDENES'!$A1025="","",IF('ORDENES'!$V1025="","-",'ORDENES'!$V1025))</f>
        <v/>
      </c>
      <c r="F1047" s="3">
        <f>IF('ORDENES'!$A1025="","",IF('ORDENES'!$Y1025="","-",'ORDENES'!$Y1025))</f>
        <v/>
      </c>
      <c r="G1047" s="3">
        <f>IF('ORDENES'!$A1025="","",IF('ORDENES'!$W1025="","-",'ORDENES'!$W1025))</f>
        <v/>
      </c>
      <c r="H1047" s="3">
        <f>IF('ORDENES'!$A1025="","",IF('ORDENES'!$AE1025="","-",'ORDENES'!$AE1025))</f>
        <v/>
      </c>
      <c r="I1047" s="3">
        <f>IF('ORDENES'!$A1025="","",IF('ORDENES'!$AQ1025="","-",'ORDENES'!$AQ1025))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IF('ORDENES'!$A1025="","",'ORDENES'!$AD1025)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IF('ORDENES'!$A1026="","",IF('ORDENES'!$AF1026="","-",'ORDENES'!$AF1026))</f>
        <v/>
      </c>
      <c r="D1048" s="3">
        <f>IF('ORDENES'!$A1026="","",IF('ORDENES'!$X1026="","-",'ORDENES'!$X1026))</f>
        <v/>
      </c>
      <c r="E1048" s="3">
        <f>IF('ORDENES'!$A1026="","",IF('ORDENES'!$V1026="","-",'ORDENES'!$V1026))</f>
        <v/>
      </c>
      <c r="F1048" s="3">
        <f>IF('ORDENES'!$A1026="","",IF('ORDENES'!$Y1026="","-",'ORDENES'!$Y1026))</f>
        <v/>
      </c>
      <c r="G1048" s="3">
        <f>IF('ORDENES'!$A1026="","",IF('ORDENES'!$W1026="","-",'ORDENES'!$W1026))</f>
        <v/>
      </c>
      <c r="H1048" s="3">
        <f>IF('ORDENES'!$A1026="","",IF('ORDENES'!$AE1026="","-",'ORDENES'!$AE1026))</f>
        <v/>
      </c>
      <c r="I1048" s="3">
        <f>IF('ORDENES'!$A1026="","",IF('ORDENES'!$AQ1026="","-",'ORDENES'!$AQ1026))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IF('ORDENES'!$A1026="","",'ORDENES'!$AD1026)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IF('ORDENES'!$A1027="","",IF('ORDENES'!$AF1027="","-",'ORDENES'!$AF1027))</f>
        <v/>
      </c>
      <c r="D1049" s="3">
        <f>IF('ORDENES'!$A1027="","",IF('ORDENES'!$X1027="","-",'ORDENES'!$X1027))</f>
        <v/>
      </c>
      <c r="E1049" s="3">
        <f>IF('ORDENES'!$A1027="","",IF('ORDENES'!$V1027="","-",'ORDENES'!$V1027))</f>
        <v/>
      </c>
      <c r="F1049" s="3">
        <f>IF('ORDENES'!$A1027="","",IF('ORDENES'!$Y1027="","-",'ORDENES'!$Y1027))</f>
        <v/>
      </c>
      <c r="G1049" s="3">
        <f>IF('ORDENES'!$A1027="","",IF('ORDENES'!$W1027="","-",'ORDENES'!$W1027))</f>
        <v/>
      </c>
      <c r="H1049" s="3">
        <f>IF('ORDENES'!$A1027="","",IF('ORDENES'!$AE1027="","-",'ORDENES'!$AE1027))</f>
        <v/>
      </c>
      <c r="I1049" s="3">
        <f>IF('ORDENES'!$A1027="","",IF('ORDENES'!$AQ1027="","-",'ORDENES'!$AQ1027))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IF('ORDENES'!$A1027="","",'ORDENES'!$AD1027)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IF('ORDENES'!$A1028="","",IF('ORDENES'!$AF1028="","-",'ORDENES'!$AF1028))</f>
        <v/>
      </c>
      <c r="D1050" s="3">
        <f>IF('ORDENES'!$A1028="","",IF('ORDENES'!$X1028="","-",'ORDENES'!$X1028))</f>
        <v/>
      </c>
      <c r="E1050" s="3">
        <f>IF('ORDENES'!$A1028="","",IF('ORDENES'!$V1028="","-",'ORDENES'!$V1028))</f>
        <v/>
      </c>
      <c r="F1050" s="3">
        <f>IF('ORDENES'!$A1028="","",IF('ORDENES'!$Y1028="","-",'ORDENES'!$Y1028))</f>
        <v/>
      </c>
      <c r="G1050" s="3">
        <f>IF('ORDENES'!$A1028="","",IF('ORDENES'!$W1028="","-",'ORDENES'!$W1028))</f>
        <v/>
      </c>
      <c r="H1050" s="3">
        <f>IF('ORDENES'!$A1028="","",IF('ORDENES'!$AE1028="","-",'ORDENES'!$AE1028))</f>
        <v/>
      </c>
      <c r="I1050" s="3">
        <f>IF('ORDENES'!$A1028="","",IF('ORDENES'!$AQ1028="","-",'ORDENES'!$AQ1028))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IF('ORDENES'!$A1028="","",'ORDENES'!$AD1028)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IF('ORDENES'!$A1029="","",IF('ORDENES'!$AF1029="","-",'ORDENES'!$AF1029))</f>
        <v/>
      </c>
      <c r="D1051" s="3">
        <f>IF('ORDENES'!$A1029="","",IF('ORDENES'!$X1029="","-",'ORDENES'!$X1029))</f>
        <v/>
      </c>
      <c r="E1051" s="3">
        <f>IF('ORDENES'!$A1029="","",IF('ORDENES'!$V1029="","-",'ORDENES'!$V1029))</f>
        <v/>
      </c>
      <c r="F1051" s="3">
        <f>IF('ORDENES'!$A1029="","",IF('ORDENES'!$Y1029="","-",'ORDENES'!$Y1029))</f>
        <v/>
      </c>
      <c r="G1051" s="3">
        <f>IF('ORDENES'!$A1029="","",IF('ORDENES'!$W1029="","-",'ORDENES'!$W1029))</f>
        <v/>
      </c>
      <c r="H1051" s="3">
        <f>IF('ORDENES'!$A1029="","",IF('ORDENES'!$AE1029="","-",'ORDENES'!$AE1029))</f>
        <v/>
      </c>
      <c r="I1051" s="3">
        <f>IF('ORDENES'!$A1029="","",IF('ORDENES'!$AQ1029="","-",'ORDENES'!$AQ1029))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IF('ORDENES'!$A1029="","",'ORDENES'!$AD1029)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IF('ORDENES'!$A1030="","",IF('ORDENES'!$AF1030="","-",'ORDENES'!$AF1030))</f>
        <v/>
      </c>
      <c r="D1052" s="3">
        <f>IF('ORDENES'!$A1030="","",IF('ORDENES'!$X1030="","-",'ORDENES'!$X1030))</f>
        <v/>
      </c>
      <c r="E1052" s="3">
        <f>IF('ORDENES'!$A1030="","",IF('ORDENES'!$V1030="","-",'ORDENES'!$V1030))</f>
        <v/>
      </c>
      <c r="F1052" s="3">
        <f>IF('ORDENES'!$A1030="","",IF('ORDENES'!$Y1030="","-",'ORDENES'!$Y1030))</f>
        <v/>
      </c>
      <c r="G1052" s="3">
        <f>IF('ORDENES'!$A1030="","",IF('ORDENES'!$W1030="","-",'ORDENES'!$W1030))</f>
        <v/>
      </c>
      <c r="H1052" s="3">
        <f>IF('ORDENES'!$A1030="","",IF('ORDENES'!$AE1030="","-",'ORDENES'!$AE1030))</f>
        <v/>
      </c>
      <c r="I1052" s="3">
        <f>IF('ORDENES'!$A1030="","",IF('ORDENES'!$AQ1030="","-",'ORDENES'!$AQ1030))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IF('ORDENES'!$A1030="","",'ORDENES'!$AD1030)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IF('ORDENES'!$A1031="","",IF('ORDENES'!$AF1031="","-",'ORDENES'!$AF1031))</f>
        <v/>
      </c>
      <c r="D1053" s="3">
        <f>IF('ORDENES'!$A1031="","",IF('ORDENES'!$X1031="","-",'ORDENES'!$X1031))</f>
        <v/>
      </c>
      <c r="E1053" s="3">
        <f>IF('ORDENES'!$A1031="","",IF('ORDENES'!$V1031="","-",'ORDENES'!$V1031))</f>
        <v/>
      </c>
      <c r="F1053" s="3">
        <f>IF('ORDENES'!$A1031="","",IF('ORDENES'!$Y1031="","-",'ORDENES'!$Y1031))</f>
        <v/>
      </c>
      <c r="G1053" s="3">
        <f>IF('ORDENES'!$A1031="","",IF('ORDENES'!$W1031="","-",'ORDENES'!$W1031))</f>
        <v/>
      </c>
      <c r="H1053" s="3">
        <f>IF('ORDENES'!$A1031="","",IF('ORDENES'!$AE1031="","-",'ORDENES'!$AE1031))</f>
        <v/>
      </c>
      <c r="I1053" s="3">
        <f>IF('ORDENES'!$A1031="","",IF('ORDENES'!$AQ1031="","-",'ORDENES'!$AQ1031))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IF('ORDENES'!$A1031="","",'ORDENES'!$AD1031)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IF('ORDENES'!$A1032="","",IF('ORDENES'!$AF1032="","-",'ORDENES'!$AF1032))</f>
        <v/>
      </c>
      <c r="D1054" s="3">
        <f>IF('ORDENES'!$A1032="","",IF('ORDENES'!$X1032="","-",'ORDENES'!$X1032))</f>
        <v/>
      </c>
      <c r="E1054" s="3">
        <f>IF('ORDENES'!$A1032="","",IF('ORDENES'!$V1032="","-",'ORDENES'!$V1032))</f>
        <v/>
      </c>
      <c r="F1054" s="3">
        <f>IF('ORDENES'!$A1032="","",IF('ORDENES'!$Y1032="","-",'ORDENES'!$Y1032))</f>
        <v/>
      </c>
      <c r="G1054" s="3">
        <f>IF('ORDENES'!$A1032="","",IF('ORDENES'!$W1032="","-",'ORDENES'!$W1032))</f>
        <v/>
      </c>
      <c r="H1054" s="3">
        <f>IF('ORDENES'!$A1032="","",IF('ORDENES'!$AE1032="","-",'ORDENES'!$AE1032))</f>
        <v/>
      </c>
      <c r="I1054" s="3">
        <f>IF('ORDENES'!$A1032="","",IF('ORDENES'!$AQ1032="","-",'ORDENES'!$AQ1032))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IF('ORDENES'!$A1032="","",'ORDENES'!$AD1032)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IF('ORDENES'!$A1033="","",IF('ORDENES'!$AF1033="","-",'ORDENES'!$AF1033))</f>
        <v/>
      </c>
      <c r="D1055" s="3">
        <f>IF('ORDENES'!$A1033="","",IF('ORDENES'!$X1033="","-",'ORDENES'!$X1033))</f>
        <v/>
      </c>
      <c r="E1055" s="3">
        <f>IF('ORDENES'!$A1033="","",IF('ORDENES'!$V1033="","-",'ORDENES'!$V1033))</f>
        <v/>
      </c>
      <c r="F1055" s="3">
        <f>IF('ORDENES'!$A1033="","",IF('ORDENES'!$Y1033="","-",'ORDENES'!$Y1033))</f>
        <v/>
      </c>
      <c r="G1055" s="3">
        <f>IF('ORDENES'!$A1033="","",IF('ORDENES'!$W1033="","-",'ORDENES'!$W1033))</f>
        <v/>
      </c>
      <c r="H1055" s="3">
        <f>IF('ORDENES'!$A1033="","",IF('ORDENES'!$AE1033="","-",'ORDENES'!$AE1033))</f>
        <v/>
      </c>
      <c r="I1055" s="3">
        <f>IF('ORDENES'!$A1033="","",IF('ORDENES'!$AQ1033="","-",'ORDENES'!$AQ1033))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IF('ORDENES'!$A1033="","",'ORDENES'!$AD1033)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IF('ORDENES'!$A1034="","",IF('ORDENES'!$AF1034="","-",'ORDENES'!$AF1034))</f>
        <v/>
      </c>
      <c r="D1056" s="3">
        <f>IF('ORDENES'!$A1034="","",IF('ORDENES'!$X1034="","-",'ORDENES'!$X1034))</f>
        <v/>
      </c>
      <c r="E1056" s="3">
        <f>IF('ORDENES'!$A1034="","",IF('ORDENES'!$V1034="","-",'ORDENES'!$V1034))</f>
        <v/>
      </c>
      <c r="F1056" s="3">
        <f>IF('ORDENES'!$A1034="","",IF('ORDENES'!$Y1034="","-",'ORDENES'!$Y1034))</f>
        <v/>
      </c>
      <c r="G1056" s="3">
        <f>IF('ORDENES'!$A1034="","",IF('ORDENES'!$W1034="","-",'ORDENES'!$W1034))</f>
        <v/>
      </c>
      <c r="H1056" s="3">
        <f>IF('ORDENES'!$A1034="","",IF('ORDENES'!$AE1034="","-",'ORDENES'!$AE1034))</f>
        <v/>
      </c>
      <c r="I1056" s="3">
        <f>IF('ORDENES'!$A1034="","",IF('ORDENES'!$AQ1034="","-",'ORDENES'!$AQ1034))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IF('ORDENES'!$A1034="","",'ORDENES'!$AD1034)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IF('ORDENES'!$A1035="","",IF('ORDENES'!$AF1035="","-",'ORDENES'!$AF1035))</f>
        <v/>
      </c>
      <c r="D1057" s="3">
        <f>IF('ORDENES'!$A1035="","",IF('ORDENES'!$X1035="","-",'ORDENES'!$X1035))</f>
        <v/>
      </c>
      <c r="E1057" s="3">
        <f>IF('ORDENES'!$A1035="","",IF('ORDENES'!$V1035="","-",'ORDENES'!$V1035))</f>
        <v/>
      </c>
      <c r="F1057" s="3">
        <f>IF('ORDENES'!$A1035="","",IF('ORDENES'!$Y1035="","-",'ORDENES'!$Y1035))</f>
        <v/>
      </c>
      <c r="G1057" s="3">
        <f>IF('ORDENES'!$A1035="","",IF('ORDENES'!$W1035="","-",'ORDENES'!$W1035))</f>
        <v/>
      </c>
      <c r="H1057" s="3">
        <f>IF('ORDENES'!$A1035="","",IF('ORDENES'!$AE1035="","-",'ORDENES'!$AE1035))</f>
        <v/>
      </c>
      <c r="I1057" s="3">
        <f>IF('ORDENES'!$A1035="","",IF('ORDENES'!$AQ1035="","-",'ORDENES'!$AQ1035))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IF('ORDENES'!$A1035="","",'ORDENES'!$AD1035)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IF('ORDENES'!$A1036="","",IF('ORDENES'!$AF1036="","-",'ORDENES'!$AF1036))</f>
        <v/>
      </c>
      <c r="D1058" s="3">
        <f>IF('ORDENES'!$A1036="","",IF('ORDENES'!$X1036="","-",'ORDENES'!$X1036))</f>
        <v/>
      </c>
      <c r="E1058" s="3">
        <f>IF('ORDENES'!$A1036="","",IF('ORDENES'!$V1036="","-",'ORDENES'!$V1036))</f>
        <v/>
      </c>
      <c r="F1058" s="3">
        <f>IF('ORDENES'!$A1036="","",IF('ORDENES'!$Y1036="","-",'ORDENES'!$Y1036))</f>
        <v/>
      </c>
      <c r="G1058" s="3">
        <f>IF('ORDENES'!$A1036="","",IF('ORDENES'!$W1036="","-",'ORDENES'!$W1036))</f>
        <v/>
      </c>
      <c r="H1058" s="3">
        <f>IF('ORDENES'!$A1036="","",IF('ORDENES'!$AE1036="","-",'ORDENES'!$AE1036))</f>
        <v/>
      </c>
      <c r="I1058" s="3">
        <f>IF('ORDENES'!$A1036="","",IF('ORDENES'!$AQ1036="","-",'ORDENES'!$AQ1036))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IF('ORDENES'!$A1036="","",'ORDENES'!$AD1036)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IF('ORDENES'!$A1037="","",IF('ORDENES'!$AF1037="","-",'ORDENES'!$AF1037))</f>
        <v/>
      </c>
      <c r="D1059" s="3">
        <f>IF('ORDENES'!$A1037="","",IF('ORDENES'!$X1037="","-",'ORDENES'!$X1037))</f>
        <v/>
      </c>
      <c r="E1059" s="3">
        <f>IF('ORDENES'!$A1037="","",IF('ORDENES'!$V1037="","-",'ORDENES'!$V1037))</f>
        <v/>
      </c>
      <c r="F1059" s="3">
        <f>IF('ORDENES'!$A1037="","",IF('ORDENES'!$Y1037="","-",'ORDENES'!$Y1037))</f>
        <v/>
      </c>
      <c r="G1059" s="3">
        <f>IF('ORDENES'!$A1037="","",IF('ORDENES'!$W1037="","-",'ORDENES'!$W1037))</f>
        <v/>
      </c>
      <c r="H1059" s="3">
        <f>IF('ORDENES'!$A1037="","",IF('ORDENES'!$AE1037="","-",'ORDENES'!$AE1037))</f>
        <v/>
      </c>
      <c r="I1059" s="3">
        <f>IF('ORDENES'!$A1037="","",IF('ORDENES'!$AQ1037="","-",'ORDENES'!$AQ1037))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IF('ORDENES'!$A1037="","",'ORDENES'!$AD1037)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IF('ORDENES'!$A1038="","",IF('ORDENES'!$AF1038="","-",'ORDENES'!$AF1038))</f>
        <v/>
      </c>
      <c r="D1060" s="3">
        <f>IF('ORDENES'!$A1038="","",IF('ORDENES'!$X1038="","-",'ORDENES'!$X1038))</f>
        <v/>
      </c>
      <c r="E1060" s="3">
        <f>IF('ORDENES'!$A1038="","",IF('ORDENES'!$V1038="","-",'ORDENES'!$V1038))</f>
        <v/>
      </c>
      <c r="F1060" s="3">
        <f>IF('ORDENES'!$A1038="","",IF('ORDENES'!$Y1038="","-",'ORDENES'!$Y1038))</f>
        <v/>
      </c>
      <c r="G1060" s="3">
        <f>IF('ORDENES'!$A1038="","",IF('ORDENES'!$W1038="","-",'ORDENES'!$W1038))</f>
        <v/>
      </c>
      <c r="H1060" s="3">
        <f>IF('ORDENES'!$A1038="","",IF('ORDENES'!$AE1038="","-",'ORDENES'!$AE1038))</f>
        <v/>
      </c>
      <c r="I1060" s="3">
        <f>IF('ORDENES'!$A1038="","",IF('ORDENES'!$AQ1038="","-",'ORDENES'!$AQ1038))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IF('ORDENES'!$A1038="","",'ORDENES'!$AD1038)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IF('ORDENES'!$A1039="","",IF('ORDENES'!$AF1039="","-",'ORDENES'!$AF1039))</f>
        <v/>
      </c>
      <c r="D1061" s="3">
        <f>IF('ORDENES'!$A1039="","",IF('ORDENES'!$X1039="","-",'ORDENES'!$X1039))</f>
        <v/>
      </c>
      <c r="E1061" s="3">
        <f>IF('ORDENES'!$A1039="","",IF('ORDENES'!$V1039="","-",'ORDENES'!$V1039))</f>
        <v/>
      </c>
      <c r="F1061" s="3">
        <f>IF('ORDENES'!$A1039="","",IF('ORDENES'!$Y1039="","-",'ORDENES'!$Y1039))</f>
        <v/>
      </c>
      <c r="G1061" s="3">
        <f>IF('ORDENES'!$A1039="","",IF('ORDENES'!$W1039="","-",'ORDENES'!$W1039))</f>
        <v/>
      </c>
      <c r="H1061" s="3">
        <f>IF('ORDENES'!$A1039="","",IF('ORDENES'!$AE1039="","-",'ORDENES'!$AE1039))</f>
        <v/>
      </c>
      <c r="I1061" s="3">
        <f>IF('ORDENES'!$A1039="","",IF('ORDENES'!$AQ1039="","-",'ORDENES'!$AQ1039))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IF('ORDENES'!$A1039="","",'ORDENES'!$AD1039)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IF('ORDENES'!$A1040="","",IF('ORDENES'!$AF1040="","-",'ORDENES'!$AF1040))</f>
        <v/>
      </c>
      <c r="D1062" s="3">
        <f>IF('ORDENES'!$A1040="","",IF('ORDENES'!$X1040="","-",'ORDENES'!$X1040))</f>
        <v/>
      </c>
      <c r="E1062" s="3">
        <f>IF('ORDENES'!$A1040="","",IF('ORDENES'!$V1040="","-",'ORDENES'!$V1040))</f>
        <v/>
      </c>
      <c r="F1062" s="3">
        <f>IF('ORDENES'!$A1040="","",IF('ORDENES'!$Y1040="","-",'ORDENES'!$Y1040))</f>
        <v/>
      </c>
      <c r="G1062" s="3">
        <f>IF('ORDENES'!$A1040="","",IF('ORDENES'!$W1040="","-",'ORDENES'!$W1040))</f>
        <v/>
      </c>
      <c r="H1062" s="3">
        <f>IF('ORDENES'!$A1040="","",IF('ORDENES'!$AE1040="","-",'ORDENES'!$AE1040))</f>
        <v/>
      </c>
      <c r="I1062" s="3">
        <f>IF('ORDENES'!$A1040="","",IF('ORDENES'!$AQ1040="","-",'ORDENES'!$AQ1040))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IF('ORDENES'!$A1040="","",'ORDENES'!$AD1040)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IF('ORDENES'!$A1041="","",IF('ORDENES'!$AF1041="","-",'ORDENES'!$AF1041))</f>
        <v/>
      </c>
      <c r="D1063" s="3">
        <f>IF('ORDENES'!$A1041="","",IF('ORDENES'!$X1041="","-",'ORDENES'!$X1041))</f>
        <v/>
      </c>
      <c r="E1063" s="3">
        <f>IF('ORDENES'!$A1041="","",IF('ORDENES'!$V1041="","-",'ORDENES'!$V1041))</f>
        <v/>
      </c>
      <c r="F1063" s="3">
        <f>IF('ORDENES'!$A1041="","",IF('ORDENES'!$Y1041="","-",'ORDENES'!$Y1041))</f>
        <v/>
      </c>
      <c r="G1063" s="3">
        <f>IF('ORDENES'!$A1041="","",IF('ORDENES'!$W1041="","-",'ORDENES'!$W1041))</f>
        <v/>
      </c>
      <c r="H1063" s="3">
        <f>IF('ORDENES'!$A1041="","",IF('ORDENES'!$AE1041="","-",'ORDENES'!$AE1041))</f>
        <v/>
      </c>
      <c r="I1063" s="3">
        <f>IF('ORDENES'!$A1041="","",IF('ORDENES'!$AQ1041="","-",'ORDENES'!$AQ1041))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IF('ORDENES'!$A1041="","",'ORDENES'!$AD1041)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IF('ORDENES'!$A1042="","",IF('ORDENES'!$AF1042="","-",'ORDENES'!$AF1042))</f>
        <v/>
      </c>
      <c r="D1064" s="3">
        <f>IF('ORDENES'!$A1042="","",IF('ORDENES'!$X1042="","-",'ORDENES'!$X1042))</f>
        <v/>
      </c>
      <c r="E1064" s="3">
        <f>IF('ORDENES'!$A1042="","",IF('ORDENES'!$V1042="","-",'ORDENES'!$V1042))</f>
        <v/>
      </c>
      <c r="F1064" s="3">
        <f>IF('ORDENES'!$A1042="","",IF('ORDENES'!$Y1042="","-",'ORDENES'!$Y1042))</f>
        <v/>
      </c>
      <c r="G1064" s="3">
        <f>IF('ORDENES'!$A1042="","",IF('ORDENES'!$W1042="","-",'ORDENES'!$W1042))</f>
        <v/>
      </c>
      <c r="H1064" s="3">
        <f>IF('ORDENES'!$A1042="","",IF('ORDENES'!$AE1042="","-",'ORDENES'!$AE1042))</f>
        <v/>
      </c>
      <c r="I1064" s="3">
        <f>IF('ORDENES'!$A1042="","",IF('ORDENES'!$AQ1042="","-",'ORDENES'!$AQ1042))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IF('ORDENES'!$A1042="","",'ORDENES'!$AD1042)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IF('ORDENES'!$A1043="","",IF('ORDENES'!$AF1043="","-",'ORDENES'!$AF1043))</f>
        <v/>
      </c>
      <c r="D1065" s="3">
        <f>IF('ORDENES'!$A1043="","",IF('ORDENES'!$X1043="","-",'ORDENES'!$X1043))</f>
        <v/>
      </c>
      <c r="E1065" s="3">
        <f>IF('ORDENES'!$A1043="","",IF('ORDENES'!$V1043="","-",'ORDENES'!$V1043))</f>
        <v/>
      </c>
      <c r="F1065" s="3">
        <f>IF('ORDENES'!$A1043="","",IF('ORDENES'!$Y1043="","-",'ORDENES'!$Y1043))</f>
        <v/>
      </c>
      <c r="G1065" s="3">
        <f>IF('ORDENES'!$A1043="","",IF('ORDENES'!$W1043="","-",'ORDENES'!$W1043))</f>
        <v/>
      </c>
      <c r="H1065" s="3">
        <f>IF('ORDENES'!$A1043="","",IF('ORDENES'!$AE1043="","-",'ORDENES'!$AE1043))</f>
        <v/>
      </c>
      <c r="I1065" s="3">
        <f>IF('ORDENES'!$A1043="","",IF('ORDENES'!$AQ1043="","-",'ORDENES'!$AQ1043))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IF('ORDENES'!$A1043="","",'ORDENES'!$AD1043)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IF('ORDENES'!$A1044="","",IF('ORDENES'!$AF1044="","-",'ORDENES'!$AF1044))</f>
        <v/>
      </c>
      <c r="D1066" s="3">
        <f>IF('ORDENES'!$A1044="","",IF('ORDENES'!$X1044="","-",'ORDENES'!$X1044))</f>
        <v/>
      </c>
      <c r="E1066" s="3">
        <f>IF('ORDENES'!$A1044="","",IF('ORDENES'!$V1044="","-",'ORDENES'!$V1044))</f>
        <v/>
      </c>
      <c r="F1066" s="3">
        <f>IF('ORDENES'!$A1044="","",IF('ORDENES'!$Y1044="","-",'ORDENES'!$Y1044))</f>
        <v/>
      </c>
      <c r="G1066" s="3">
        <f>IF('ORDENES'!$A1044="","",IF('ORDENES'!$W1044="","-",'ORDENES'!$W1044))</f>
        <v/>
      </c>
      <c r="H1066" s="3">
        <f>IF('ORDENES'!$A1044="","",IF('ORDENES'!$AE1044="","-",'ORDENES'!$AE1044))</f>
        <v/>
      </c>
      <c r="I1066" s="3">
        <f>IF('ORDENES'!$A1044="","",IF('ORDENES'!$AQ1044="","-",'ORDENES'!$AQ1044))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IF('ORDENES'!$A1044="","",'ORDENES'!$AD1044)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IF('ORDENES'!$A1045="","",IF('ORDENES'!$AF1045="","-",'ORDENES'!$AF1045))</f>
        <v/>
      </c>
      <c r="D1067" s="3">
        <f>IF('ORDENES'!$A1045="","",IF('ORDENES'!$X1045="","-",'ORDENES'!$X1045))</f>
        <v/>
      </c>
      <c r="E1067" s="3">
        <f>IF('ORDENES'!$A1045="","",IF('ORDENES'!$V1045="","-",'ORDENES'!$V1045))</f>
        <v/>
      </c>
      <c r="F1067" s="3">
        <f>IF('ORDENES'!$A1045="","",IF('ORDENES'!$Y1045="","-",'ORDENES'!$Y1045))</f>
        <v/>
      </c>
      <c r="G1067" s="3">
        <f>IF('ORDENES'!$A1045="","",IF('ORDENES'!$W1045="","-",'ORDENES'!$W1045))</f>
        <v/>
      </c>
      <c r="H1067" s="3">
        <f>IF('ORDENES'!$A1045="","",IF('ORDENES'!$AE1045="","-",'ORDENES'!$AE1045))</f>
        <v/>
      </c>
      <c r="I1067" s="3">
        <f>IF('ORDENES'!$A1045="","",IF('ORDENES'!$AQ1045="","-",'ORDENES'!$AQ1045))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IF('ORDENES'!$A1045="","",'ORDENES'!$AD1045)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IF('ORDENES'!$A1046="","",IF('ORDENES'!$AF1046="","-",'ORDENES'!$AF1046))</f>
        <v/>
      </c>
      <c r="D1068" s="3">
        <f>IF('ORDENES'!$A1046="","",IF('ORDENES'!$X1046="","-",'ORDENES'!$X1046))</f>
        <v/>
      </c>
      <c r="E1068" s="3">
        <f>IF('ORDENES'!$A1046="","",IF('ORDENES'!$V1046="","-",'ORDENES'!$V1046))</f>
        <v/>
      </c>
      <c r="F1068" s="3">
        <f>IF('ORDENES'!$A1046="","",IF('ORDENES'!$Y1046="","-",'ORDENES'!$Y1046))</f>
        <v/>
      </c>
      <c r="G1068" s="3">
        <f>IF('ORDENES'!$A1046="","",IF('ORDENES'!$W1046="","-",'ORDENES'!$W1046))</f>
        <v/>
      </c>
      <c r="H1068" s="3">
        <f>IF('ORDENES'!$A1046="","",IF('ORDENES'!$AE1046="","-",'ORDENES'!$AE1046))</f>
        <v/>
      </c>
      <c r="I1068" s="3">
        <f>IF('ORDENES'!$A1046="","",IF('ORDENES'!$AQ1046="","-",'ORDENES'!$AQ1046))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IF('ORDENES'!$A1046="","",'ORDENES'!$AD1046)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IF('ORDENES'!$A1047="","",IF('ORDENES'!$AF1047="","-",'ORDENES'!$AF1047))</f>
        <v/>
      </c>
      <c r="D1069" s="3">
        <f>IF('ORDENES'!$A1047="","",IF('ORDENES'!$X1047="","-",'ORDENES'!$X1047))</f>
        <v/>
      </c>
      <c r="E1069" s="3">
        <f>IF('ORDENES'!$A1047="","",IF('ORDENES'!$V1047="","-",'ORDENES'!$V1047))</f>
        <v/>
      </c>
      <c r="F1069" s="3">
        <f>IF('ORDENES'!$A1047="","",IF('ORDENES'!$Y1047="","-",'ORDENES'!$Y1047))</f>
        <v/>
      </c>
      <c r="G1069" s="3">
        <f>IF('ORDENES'!$A1047="","",IF('ORDENES'!$W1047="","-",'ORDENES'!$W1047))</f>
        <v/>
      </c>
      <c r="H1069" s="3">
        <f>IF('ORDENES'!$A1047="","",IF('ORDENES'!$AE1047="","-",'ORDENES'!$AE1047))</f>
        <v/>
      </c>
      <c r="I1069" s="3">
        <f>IF('ORDENES'!$A1047="","",IF('ORDENES'!$AQ1047="","-",'ORDENES'!$AQ1047))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IF('ORDENES'!$A1047="","",'ORDENES'!$AD1047)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IF('ORDENES'!$A1048="","",IF('ORDENES'!$AF1048="","-",'ORDENES'!$AF1048))</f>
        <v/>
      </c>
      <c r="D1070" s="3">
        <f>IF('ORDENES'!$A1048="","",IF('ORDENES'!$X1048="","-",'ORDENES'!$X1048))</f>
        <v/>
      </c>
      <c r="E1070" s="3">
        <f>IF('ORDENES'!$A1048="","",IF('ORDENES'!$V1048="","-",'ORDENES'!$V1048))</f>
        <v/>
      </c>
      <c r="F1070" s="3">
        <f>IF('ORDENES'!$A1048="","",IF('ORDENES'!$Y1048="","-",'ORDENES'!$Y1048))</f>
        <v/>
      </c>
      <c r="G1070" s="3">
        <f>IF('ORDENES'!$A1048="","",IF('ORDENES'!$W1048="","-",'ORDENES'!$W1048))</f>
        <v/>
      </c>
      <c r="H1070" s="3">
        <f>IF('ORDENES'!$A1048="","",IF('ORDENES'!$AE1048="","-",'ORDENES'!$AE1048))</f>
        <v/>
      </c>
      <c r="I1070" s="3">
        <f>IF('ORDENES'!$A1048="","",IF('ORDENES'!$AQ1048="","-",'ORDENES'!$AQ1048))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IF('ORDENES'!$A1048="","",'ORDENES'!$AD1048)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IF('ORDENES'!$A1049="","",IF('ORDENES'!$AF1049="","-",'ORDENES'!$AF1049))</f>
        <v/>
      </c>
      <c r="D1071" s="3">
        <f>IF('ORDENES'!$A1049="","",IF('ORDENES'!$X1049="","-",'ORDENES'!$X1049))</f>
        <v/>
      </c>
      <c r="E1071" s="3">
        <f>IF('ORDENES'!$A1049="","",IF('ORDENES'!$V1049="","-",'ORDENES'!$V1049))</f>
        <v/>
      </c>
      <c r="F1071" s="3">
        <f>IF('ORDENES'!$A1049="","",IF('ORDENES'!$Y1049="","-",'ORDENES'!$Y1049))</f>
        <v/>
      </c>
      <c r="G1071" s="3">
        <f>IF('ORDENES'!$A1049="","",IF('ORDENES'!$W1049="","-",'ORDENES'!$W1049))</f>
        <v/>
      </c>
      <c r="H1071" s="3">
        <f>IF('ORDENES'!$A1049="","",IF('ORDENES'!$AE1049="","-",'ORDENES'!$AE1049))</f>
        <v/>
      </c>
      <c r="I1071" s="3">
        <f>IF('ORDENES'!$A1049="","",IF('ORDENES'!$AQ1049="","-",'ORDENES'!$AQ1049))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IF('ORDENES'!$A1049="","",'ORDENES'!$AD1049)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IF('ORDENES'!$A1050="","",IF('ORDENES'!$AF1050="","-",'ORDENES'!$AF1050))</f>
        <v/>
      </c>
      <c r="D1072" s="3">
        <f>IF('ORDENES'!$A1050="","",IF('ORDENES'!$X1050="","-",'ORDENES'!$X1050))</f>
        <v/>
      </c>
      <c r="E1072" s="3">
        <f>IF('ORDENES'!$A1050="","",IF('ORDENES'!$V1050="","-",'ORDENES'!$V1050))</f>
        <v/>
      </c>
      <c r="F1072" s="3">
        <f>IF('ORDENES'!$A1050="","",IF('ORDENES'!$Y1050="","-",'ORDENES'!$Y1050))</f>
        <v/>
      </c>
      <c r="G1072" s="3">
        <f>IF('ORDENES'!$A1050="","",IF('ORDENES'!$W1050="","-",'ORDENES'!$W1050))</f>
        <v/>
      </c>
      <c r="H1072" s="3">
        <f>IF('ORDENES'!$A1050="","",IF('ORDENES'!$AE1050="","-",'ORDENES'!$AE1050))</f>
        <v/>
      </c>
      <c r="I1072" s="3">
        <f>IF('ORDENES'!$A1050="","",IF('ORDENES'!$AQ1050="","-",'ORDENES'!$AQ1050))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IF('ORDENES'!$A1050="","",'ORDENES'!$AD1050)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IF('ORDENES'!$A1051="","",IF('ORDENES'!$AF1051="","-",'ORDENES'!$AF1051))</f>
        <v/>
      </c>
      <c r="D1073" s="3">
        <f>IF('ORDENES'!$A1051="","",IF('ORDENES'!$X1051="","-",'ORDENES'!$X1051))</f>
        <v/>
      </c>
      <c r="E1073" s="3">
        <f>IF('ORDENES'!$A1051="","",IF('ORDENES'!$V1051="","-",'ORDENES'!$V1051))</f>
        <v/>
      </c>
      <c r="F1073" s="3">
        <f>IF('ORDENES'!$A1051="","",IF('ORDENES'!$Y1051="","-",'ORDENES'!$Y1051))</f>
        <v/>
      </c>
      <c r="G1073" s="3">
        <f>IF('ORDENES'!$A1051="","",IF('ORDENES'!$W1051="","-",'ORDENES'!$W1051))</f>
        <v/>
      </c>
      <c r="H1073" s="3">
        <f>IF('ORDENES'!$A1051="","",IF('ORDENES'!$AE1051="","-",'ORDENES'!$AE1051))</f>
        <v/>
      </c>
      <c r="I1073" s="3">
        <f>IF('ORDENES'!$A1051="","",IF('ORDENES'!$AQ1051="","-",'ORDENES'!$AQ1051))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IF('ORDENES'!$A1051="","",'ORDENES'!$AD1051)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IF('ORDENES'!$A1052="","",IF('ORDENES'!$AF1052="","-",'ORDENES'!$AF1052))</f>
        <v/>
      </c>
      <c r="D1074" s="3">
        <f>IF('ORDENES'!$A1052="","",IF('ORDENES'!$X1052="","-",'ORDENES'!$X1052))</f>
        <v/>
      </c>
      <c r="E1074" s="3">
        <f>IF('ORDENES'!$A1052="","",IF('ORDENES'!$V1052="","-",'ORDENES'!$V1052))</f>
        <v/>
      </c>
      <c r="F1074" s="3">
        <f>IF('ORDENES'!$A1052="","",IF('ORDENES'!$Y1052="","-",'ORDENES'!$Y1052))</f>
        <v/>
      </c>
      <c r="G1074" s="3">
        <f>IF('ORDENES'!$A1052="","",IF('ORDENES'!$W1052="","-",'ORDENES'!$W1052))</f>
        <v/>
      </c>
      <c r="H1074" s="3">
        <f>IF('ORDENES'!$A1052="","",IF('ORDENES'!$AE1052="","-",'ORDENES'!$AE1052))</f>
        <v/>
      </c>
      <c r="I1074" s="3">
        <f>IF('ORDENES'!$A1052="","",IF('ORDENES'!$AQ1052="","-",'ORDENES'!$AQ1052))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IF('ORDENES'!$A1052="","",'ORDENES'!$AD1052)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IF('ORDENES'!$A1053="","",IF('ORDENES'!$AF1053="","-",'ORDENES'!$AF1053))</f>
        <v/>
      </c>
      <c r="D1075" s="3">
        <f>IF('ORDENES'!$A1053="","",IF('ORDENES'!$X1053="","-",'ORDENES'!$X1053))</f>
        <v/>
      </c>
      <c r="E1075" s="3">
        <f>IF('ORDENES'!$A1053="","",IF('ORDENES'!$V1053="","-",'ORDENES'!$V1053))</f>
        <v/>
      </c>
      <c r="F1075" s="3">
        <f>IF('ORDENES'!$A1053="","",IF('ORDENES'!$Y1053="","-",'ORDENES'!$Y1053))</f>
        <v/>
      </c>
      <c r="G1075" s="3">
        <f>IF('ORDENES'!$A1053="","",IF('ORDENES'!$W1053="","-",'ORDENES'!$W1053))</f>
        <v/>
      </c>
      <c r="H1075" s="3">
        <f>IF('ORDENES'!$A1053="","",IF('ORDENES'!$AE1053="","-",'ORDENES'!$AE1053))</f>
        <v/>
      </c>
      <c r="I1075" s="3">
        <f>IF('ORDENES'!$A1053="","",IF('ORDENES'!$AQ1053="","-",'ORDENES'!$AQ1053))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IF('ORDENES'!$A1053="","",'ORDENES'!$AD1053)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IF('ORDENES'!$A1054="","",IF('ORDENES'!$AF1054="","-",'ORDENES'!$AF1054))</f>
        <v/>
      </c>
      <c r="D1076" s="3">
        <f>IF('ORDENES'!$A1054="","",IF('ORDENES'!$X1054="","-",'ORDENES'!$X1054))</f>
        <v/>
      </c>
      <c r="E1076" s="3">
        <f>IF('ORDENES'!$A1054="","",IF('ORDENES'!$V1054="","-",'ORDENES'!$V1054))</f>
        <v/>
      </c>
      <c r="F1076" s="3">
        <f>IF('ORDENES'!$A1054="","",IF('ORDENES'!$Y1054="","-",'ORDENES'!$Y1054))</f>
        <v/>
      </c>
      <c r="G1076" s="3">
        <f>IF('ORDENES'!$A1054="","",IF('ORDENES'!$W1054="","-",'ORDENES'!$W1054))</f>
        <v/>
      </c>
      <c r="H1076" s="3">
        <f>IF('ORDENES'!$A1054="","",IF('ORDENES'!$AE1054="","-",'ORDENES'!$AE1054))</f>
        <v/>
      </c>
      <c r="I1076" s="3">
        <f>IF('ORDENES'!$A1054="","",IF('ORDENES'!$AQ1054="","-",'ORDENES'!$AQ1054))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IF('ORDENES'!$A1054="","",'ORDENES'!$AD1054)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IF('ORDENES'!$A1055="","",IF('ORDENES'!$AF1055="","-",'ORDENES'!$AF1055))</f>
        <v/>
      </c>
      <c r="D1077" s="3">
        <f>IF('ORDENES'!$A1055="","",IF('ORDENES'!$X1055="","-",'ORDENES'!$X1055))</f>
        <v/>
      </c>
      <c r="E1077" s="3">
        <f>IF('ORDENES'!$A1055="","",IF('ORDENES'!$V1055="","-",'ORDENES'!$V1055))</f>
        <v/>
      </c>
      <c r="F1077" s="3">
        <f>IF('ORDENES'!$A1055="","",IF('ORDENES'!$Y1055="","-",'ORDENES'!$Y1055))</f>
        <v/>
      </c>
      <c r="G1077" s="3">
        <f>IF('ORDENES'!$A1055="","",IF('ORDENES'!$W1055="","-",'ORDENES'!$W1055))</f>
        <v/>
      </c>
      <c r="H1077" s="3">
        <f>IF('ORDENES'!$A1055="","",IF('ORDENES'!$AE1055="","-",'ORDENES'!$AE1055))</f>
        <v/>
      </c>
      <c r="I1077" s="3">
        <f>IF('ORDENES'!$A1055="","",IF('ORDENES'!$AQ1055="","-",'ORDENES'!$AQ1055))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IF('ORDENES'!$A1055="","",'ORDENES'!$AD1055)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IF('ORDENES'!$A1056="","",IF('ORDENES'!$AF1056="","-",'ORDENES'!$AF1056))</f>
        <v/>
      </c>
      <c r="D1078" s="3">
        <f>IF('ORDENES'!$A1056="","",IF('ORDENES'!$X1056="","-",'ORDENES'!$X1056))</f>
        <v/>
      </c>
      <c r="E1078" s="3">
        <f>IF('ORDENES'!$A1056="","",IF('ORDENES'!$V1056="","-",'ORDENES'!$V1056))</f>
        <v/>
      </c>
      <c r="F1078" s="3">
        <f>IF('ORDENES'!$A1056="","",IF('ORDENES'!$Y1056="","-",'ORDENES'!$Y1056))</f>
        <v/>
      </c>
      <c r="G1078" s="3">
        <f>IF('ORDENES'!$A1056="","",IF('ORDENES'!$W1056="","-",'ORDENES'!$W1056))</f>
        <v/>
      </c>
      <c r="H1078" s="3">
        <f>IF('ORDENES'!$A1056="","",IF('ORDENES'!$AE1056="","-",'ORDENES'!$AE1056))</f>
        <v/>
      </c>
      <c r="I1078" s="3">
        <f>IF('ORDENES'!$A1056="","",IF('ORDENES'!$AQ1056="","-",'ORDENES'!$AQ1056))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IF('ORDENES'!$A1056="","",'ORDENES'!$AD1056)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IF('ORDENES'!$A1057="","",IF('ORDENES'!$AF1057="","-",'ORDENES'!$AF1057))</f>
        <v/>
      </c>
      <c r="D1079" s="3">
        <f>IF('ORDENES'!$A1057="","",IF('ORDENES'!$X1057="","-",'ORDENES'!$X1057))</f>
        <v/>
      </c>
      <c r="E1079" s="3">
        <f>IF('ORDENES'!$A1057="","",IF('ORDENES'!$V1057="","-",'ORDENES'!$V1057))</f>
        <v/>
      </c>
      <c r="F1079" s="3">
        <f>IF('ORDENES'!$A1057="","",IF('ORDENES'!$Y1057="","-",'ORDENES'!$Y1057))</f>
        <v/>
      </c>
      <c r="G1079" s="3">
        <f>IF('ORDENES'!$A1057="","",IF('ORDENES'!$W1057="","-",'ORDENES'!$W1057))</f>
        <v/>
      </c>
      <c r="H1079" s="3">
        <f>IF('ORDENES'!$A1057="","",IF('ORDENES'!$AE1057="","-",'ORDENES'!$AE1057))</f>
        <v/>
      </c>
      <c r="I1079" s="3">
        <f>IF('ORDENES'!$A1057="","",IF('ORDENES'!$AQ1057="","-",'ORDENES'!$AQ1057))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IF('ORDENES'!$A1057="","",'ORDENES'!$AD1057)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IF('ORDENES'!$A1058="","",IF('ORDENES'!$AF1058="","-",'ORDENES'!$AF1058))</f>
        <v/>
      </c>
      <c r="D1080" s="3">
        <f>IF('ORDENES'!$A1058="","",IF('ORDENES'!$X1058="","-",'ORDENES'!$X1058))</f>
        <v/>
      </c>
      <c r="E1080" s="3">
        <f>IF('ORDENES'!$A1058="","",IF('ORDENES'!$V1058="","-",'ORDENES'!$V1058))</f>
        <v/>
      </c>
      <c r="F1080" s="3">
        <f>IF('ORDENES'!$A1058="","",IF('ORDENES'!$Y1058="","-",'ORDENES'!$Y1058))</f>
        <v/>
      </c>
      <c r="G1080" s="3">
        <f>IF('ORDENES'!$A1058="","",IF('ORDENES'!$W1058="","-",'ORDENES'!$W1058))</f>
        <v/>
      </c>
      <c r="H1080" s="3">
        <f>IF('ORDENES'!$A1058="","",IF('ORDENES'!$AE1058="","-",'ORDENES'!$AE1058))</f>
        <v/>
      </c>
      <c r="I1080" s="3">
        <f>IF('ORDENES'!$A1058="","",IF('ORDENES'!$AQ1058="","-",'ORDENES'!$AQ1058))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IF('ORDENES'!$A1058="","",'ORDENES'!$AD1058)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IF('ORDENES'!$A1059="","",IF('ORDENES'!$AF1059="","-",'ORDENES'!$AF1059))</f>
        <v/>
      </c>
      <c r="D1081" s="3">
        <f>IF('ORDENES'!$A1059="","",IF('ORDENES'!$X1059="","-",'ORDENES'!$X1059))</f>
        <v/>
      </c>
      <c r="E1081" s="3">
        <f>IF('ORDENES'!$A1059="","",IF('ORDENES'!$V1059="","-",'ORDENES'!$V1059))</f>
        <v/>
      </c>
      <c r="F1081" s="3">
        <f>IF('ORDENES'!$A1059="","",IF('ORDENES'!$Y1059="","-",'ORDENES'!$Y1059))</f>
        <v/>
      </c>
      <c r="G1081" s="3">
        <f>IF('ORDENES'!$A1059="","",IF('ORDENES'!$W1059="","-",'ORDENES'!$W1059))</f>
        <v/>
      </c>
      <c r="H1081" s="3">
        <f>IF('ORDENES'!$A1059="","",IF('ORDENES'!$AE1059="","-",'ORDENES'!$AE1059))</f>
        <v/>
      </c>
      <c r="I1081" s="3">
        <f>IF('ORDENES'!$A1059="","",IF('ORDENES'!$AQ1059="","-",'ORDENES'!$AQ1059))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IF('ORDENES'!$A1059="","",'ORDENES'!$AD1059)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IF('ORDENES'!$A1060="","",IF('ORDENES'!$AF1060="","-",'ORDENES'!$AF1060))</f>
        <v/>
      </c>
      <c r="D1082" s="3">
        <f>IF('ORDENES'!$A1060="","",IF('ORDENES'!$X1060="","-",'ORDENES'!$X1060))</f>
        <v/>
      </c>
      <c r="E1082" s="3">
        <f>IF('ORDENES'!$A1060="","",IF('ORDENES'!$V1060="","-",'ORDENES'!$V1060))</f>
        <v/>
      </c>
      <c r="F1082" s="3">
        <f>IF('ORDENES'!$A1060="","",IF('ORDENES'!$Y1060="","-",'ORDENES'!$Y1060))</f>
        <v/>
      </c>
      <c r="G1082" s="3">
        <f>IF('ORDENES'!$A1060="","",IF('ORDENES'!$W1060="","-",'ORDENES'!$W1060))</f>
        <v/>
      </c>
      <c r="H1082" s="3">
        <f>IF('ORDENES'!$A1060="","",IF('ORDENES'!$AE1060="","-",'ORDENES'!$AE1060))</f>
        <v/>
      </c>
      <c r="I1082" s="3">
        <f>IF('ORDENES'!$A1060="","",IF('ORDENES'!$AQ1060="","-",'ORDENES'!$AQ1060))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IF('ORDENES'!$A1060="","",'ORDENES'!$AD1060)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IF('ORDENES'!$A1061="","",IF('ORDENES'!$AF1061="","-",'ORDENES'!$AF1061))</f>
        <v/>
      </c>
      <c r="D1083" s="3">
        <f>IF('ORDENES'!$A1061="","",IF('ORDENES'!$X1061="","-",'ORDENES'!$X1061))</f>
        <v/>
      </c>
      <c r="E1083" s="3">
        <f>IF('ORDENES'!$A1061="","",IF('ORDENES'!$V1061="","-",'ORDENES'!$V1061))</f>
        <v/>
      </c>
      <c r="F1083" s="3">
        <f>IF('ORDENES'!$A1061="","",IF('ORDENES'!$Y1061="","-",'ORDENES'!$Y1061))</f>
        <v/>
      </c>
      <c r="G1083" s="3">
        <f>IF('ORDENES'!$A1061="","",IF('ORDENES'!$W1061="","-",'ORDENES'!$W1061))</f>
        <v/>
      </c>
      <c r="H1083" s="3">
        <f>IF('ORDENES'!$A1061="","",IF('ORDENES'!$AE1061="","-",'ORDENES'!$AE1061))</f>
        <v/>
      </c>
      <c r="I1083" s="3">
        <f>IF('ORDENES'!$A1061="","",IF('ORDENES'!$AQ1061="","-",'ORDENES'!$AQ1061))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IF('ORDENES'!$A1061="","",'ORDENES'!$AD1061)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IF('ORDENES'!$A1062="","",IF('ORDENES'!$AF1062="","-",'ORDENES'!$AF1062))</f>
        <v/>
      </c>
      <c r="D1084" s="3">
        <f>IF('ORDENES'!$A1062="","",IF('ORDENES'!$X1062="","-",'ORDENES'!$X1062))</f>
        <v/>
      </c>
      <c r="E1084" s="3">
        <f>IF('ORDENES'!$A1062="","",IF('ORDENES'!$V1062="","-",'ORDENES'!$V1062))</f>
        <v/>
      </c>
      <c r="F1084" s="3">
        <f>IF('ORDENES'!$A1062="","",IF('ORDENES'!$Y1062="","-",'ORDENES'!$Y1062))</f>
        <v/>
      </c>
      <c r="G1084" s="3">
        <f>IF('ORDENES'!$A1062="","",IF('ORDENES'!$W1062="","-",'ORDENES'!$W1062))</f>
        <v/>
      </c>
      <c r="H1084" s="3">
        <f>IF('ORDENES'!$A1062="","",IF('ORDENES'!$AE1062="","-",'ORDENES'!$AE1062))</f>
        <v/>
      </c>
      <c r="I1084" s="3">
        <f>IF('ORDENES'!$A1062="","",IF('ORDENES'!$AQ1062="","-",'ORDENES'!$AQ1062))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IF('ORDENES'!$A1062="","",'ORDENES'!$AD1062)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IF('ORDENES'!$A1063="","",IF('ORDENES'!$AF1063="","-",'ORDENES'!$AF1063))</f>
        <v/>
      </c>
      <c r="D1085" s="3">
        <f>IF('ORDENES'!$A1063="","",IF('ORDENES'!$X1063="","-",'ORDENES'!$X1063))</f>
        <v/>
      </c>
      <c r="E1085" s="3">
        <f>IF('ORDENES'!$A1063="","",IF('ORDENES'!$V1063="","-",'ORDENES'!$V1063))</f>
        <v/>
      </c>
      <c r="F1085" s="3">
        <f>IF('ORDENES'!$A1063="","",IF('ORDENES'!$Y1063="","-",'ORDENES'!$Y1063))</f>
        <v/>
      </c>
      <c r="G1085" s="3">
        <f>IF('ORDENES'!$A1063="","",IF('ORDENES'!$W1063="","-",'ORDENES'!$W1063))</f>
        <v/>
      </c>
      <c r="H1085" s="3">
        <f>IF('ORDENES'!$A1063="","",IF('ORDENES'!$AE1063="","-",'ORDENES'!$AE1063))</f>
        <v/>
      </c>
      <c r="I1085" s="3">
        <f>IF('ORDENES'!$A1063="","",IF('ORDENES'!$AQ1063="","-",'ORDENES'!$AQ1063))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IF('ORDENES'!$A1063="","",'ORDENES'!$AD1063)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IF('ORDENES'!$A1064="","",IF('ORDENES'!$AF1064="","-",'ORDENES'!$AF1064))</f>
        <v/>
      </c>
      <c r="D1086" s="3">
        <f>IF('ORDENES'!$A1064="","",IF('ORDENES'!$X1064="","-",'ORDENES'!$X1064))</f>
        <v/>
      </c>
      <c r="E1086" s="3">
        <f>IF('ORDENES'!$A1064="","",IF('ORDENES'!$V1064="","-",'ORDENES'!$V1064))</f>
        <v/>
      </c>
      <c r="F1086" s="3">
        <f>IF('ORDENES'!$A1064="","",IF('ORDENES'!$Y1064="","-",'ORDENES'!$Y1064))</f>
        <v/>
      </c>
      <c r="G1086" s="3">
        <f>IF('ORDENES'!$A1064="","",IF('ORDENES'!$W1064="","-",'ORDENES'!$W1064))</f>
        <v/>
      </c>
      <c r="H1086" s="3">
        <f>IF('ORDENES'!$A1064="","",IF('ORDENES'!$AE1064="","-",'ORDENES'!$AE1064))</f>
        <v/>
      </c>
      <c r="I1086" s="3">
        <f>IF('ORDENES'!$A1064="","",IF('ORDENES'!$AQ1064="","-",'ORDENES'!$AQ1064))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IF('ORDENES'!$A1064="","",'ORDENES'!$AD1064)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IF('ORDENES'!$A1065="","",IF('ORDENES'!$AF1065="","-",'ORDENES'!$AF1065))</f>
        <v/>
      </c>
      <c r="D1087" s="3">
        <f>IF('ORDENES'!$A1065="","",IF('ORDENES'!$X1065="","-",'ORDENES'!$X1065))</f>
        <v/>
      </c>
      <c r="E1087" s="3">
        <f>IF('ORDENES'!$A1065="","",IF('ORDENES'!$V1065="","-",'ORDENES'!$V1065))</f>
        <v/>
      </c>
      <c r="F1087" s="3">
        <f>IF('ORDENES'!$A1065="","",IF('ORDENES'!$Y1065="","-",'ORDENES'!$Y1065))</f>
        <v/>
      </c>
      <c r="G1087" s="3">
        <f>IF('ORDENES'!$A1065="","",IF('ORDENES'!$W1065="","-",'ORDENES'!$W1065))</f>
        <v/>
      </c>
      <c r="H1087" s="3">
        <f>IF('ORDENES'!$A1065="","",IF('ORDENES'!$AE1065="","-",'ORDENES'!$AE1065))</f>
        <v/>
      </c>
      <c r="I1087" s="3">
        <f>IF('ORDENES'!$A1065="","",IF('ORDENES'!$AQ1065="","-",'ORDENES'!$AQ1065))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IF('ORDENES'!$A1065="","",'ORDENES'!$AD1065)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IF('ORDENES'!$A1066="","",IF('ORDENES'!$AF1066="","-",'ORDENES'!$AF1066))</f>
        <v/>
      </c>
      <c r="D1088" s="3">
        <f>IF('ORDENES'!$A1066="","",IF('ORDENES'!$X1066="","-",'ORDENES'!$X1066))</f>
        <v/>
      </c>
      <c r="E1088" s="3">
        <f>IF('ORDENES'!$A1066="","",IF('ORDENES'!$V1066="","-",'ORDENES'!$V1066))</f>
        <v/>
      </c>
      <c r="F1088" s="3">
        <f>IF('ORDENES'!$A1066="","",IF('ORDENES'!$Y1066="","-",'ORDENES'!$Y1066))</f>
        <v/>
      </c>
      <c r="G1088" s="3">
        <f>IF('ORDENES'!$A1066="","",IF('ORDENES'!$W1066="","-",'ORDENES'!$W1066))</f>
        <v/>
      </c>
      <c r="H1088" s="3">
        <f>IF('ORDENES'!$A1066="","",IF('ORDENES'!$AE1066="","-",'ORDENES'!$AE1066))</f>
        <v/>
      </c>
      <c r="I1088" s="3">
        <f>IF('ORDENES'!$A1066="","",IF('ORDENES'!$AQ1066="","-",'ORDENES'!$AQ1066))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IF('ORDENES'!$A1066="","",'ORDENES'!$AD1066)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IF('ORDENES'!$A1067="","",IF('ORDENES'!$AF1067="","-",'ORDENES'!$AF1067))</f>
        <v/>
      </c>
      <c r="D1089" s="3">
        <f>IF('ORDENES'!$A1067="","",IF('ORDENES'!$X1067="","-",'ORDENES'!$X1067))</f>
        <v/>
      </c>
      <c r="E1089" s="3">
        <f>IF('ORDENES'!$A1067="","",IF('ORDENES'!$V1067="","-",'ORDENES'!$V1067))</f>
        <v/>
      </c>
      <c r="F1089" s="3">
        <f>IF('ORDENES'!$A1067="","",IF('ORDENES'!$Y1067="","-",'ORDENES'!$Y1067))</f>
        <v/>
      </c>
      <c r="G1089" s="3">
        <f>IF('ORDENES'!$A1067="","",IF('ORDENES'!$W1067="","-",'ORDENES'!$W1067))</f>
        <v/>
      </c>
      <c r="H1089" s="3">
        <f>IF('ORDENES'!$A1067="","",IF('ORDENES'!$AE1067="","-",'ORDENES'!$AE1067))</f>
        <v/>
      </c>
      <c r="I1089" s="3">
        <f>IF('ORDENES'!$A1067="","",IF('ORDENES'!$AQ1067="","-",'ORDENES'!$AQ1067))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IF('ORDENES'!$A1067="","",'ORDENES'!$AD1067)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IF('ORDENES'!$A1068="","",IF('ORDENES'!$AF1068="","-",'ORDENES'!$AF1068))</f>
        <v/>
      </c>
      <c r="D1090" s="3">
        <f>IF('ORDENES'!$A1068="","",IF('ORDENES'!$X1068="","-",'ORDENES'!$X1068))</f>
        <v/>
      </c>
      <c r="E1090" s="3">
        <f>IF('ORDENES'!$A1068="","",IF('ORDENES'!$V1068="","-",'ORDENES'!$V1068))</f>
        <v/>
      </c>
      <c r="F1090" s="3">
        <f>IF('ORDENES'!$A1068="","",IF('ORDENES'!$Y1068="","-",'ORDENES'!$Y1068))</f>
        <v/>
      </c>
      <c r="G1090" s="3">
        <f>IF('ORDENES'!$A1068="","",IF('ORDENES'!$W1068="","-",'ORDENES'!$W1068))</f>
        <v/>
      </c>
      <c r="H1090" s="3">
        <f>IF('ORDENES'!$A1068="","",IF('ORDENES'!$AE1068="","-",'ORDENES'!$AE1068))</f>
        <v/>
      </c>
      <c r="I1090" s="3">
        <f>IF('ORDENES'!$A1068="","",IF('ORDENES'!$AQ1068="","-",'ORDENES'!$AQ1068))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IF('ORDENES'!$A1068="","",'ORDENES'!$AD1068)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IF('ORDENES'!$A1069="","",IF('ORDENES'!$AF1069="","-",'ORDENES'!$AF1069))</f>
        <v/>
      </c>
      <c r="D1091" s="3">
        <f>IF('ORDENES'!$A1069="","",IF('ORDENES'!$X1069="","-",'ORDENES'!$X1069))</f>
        <v/>
      </c>
      <c r="E1091" s="3">
        <f>IF('ORDENES'!$A1069="","",IF('ORDENES'!$V1069="","-",'ORDENES'!$V1069))</f>
        <v/>
      </c>
      <c r="F1091" s="3">
        <f>IF('ORDENES'!$A1069="","",IF('ORDENES'!$Y1069="","-",'ORDENES'!$Y1069))</f>
        <v/>
      </c>
      <c r="G1091" s="3">
        <f>IF('ORDENES'!$A1069="","",IF('ORDENES'!$W1069="","-",'ORDENES'!$W1069))</f>
        <v/>
      </c>
      <c r="H1091" s="3">
        <f>IF('ORDENES'!$A1069="","",IF('ORDENES'!$AE1069="","-",'ORDENES'!$AE1069))</f>
        <v/>
      </c>
      <c r="I1091" s="3">
        <f>IF('ORDENES'!$A1069="","",IF('ORDENES'!$AQ1069="","-",'ORDENES'!$AQ1069))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IF('ORDENES'!$A1069="","",'ORDENES'!$AD1069)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IF('ORDENES'!$A1070="","",IF('ORDENES'!$AF1070="","-",'ORDENES'!$AF1070))</f>
        <v/>
      </c>
      <c r="D1092" s="3">
        <f>IF('ORDENES'!$A1070="","",IF('ORDENES'!$X1070="","-",'ORDENES'!$X1070))</f>
        <v/>
      </c>
      <c r="E1092" s="3">
        <f>IF('ORDENES'!$A1070="","",IF('ORDENES'!$V1070="","-",'ORDENES'!$V1070))</f>
        <v/>
      </c>
      <c r="F1092" s="3">
        <f>IF('ORDENES'!$A1070="","",IF('ORDENES'!$Y1070="","-",'ORDENES'!$Y1070))</f>
        <v/>
      </c>
      <c r="G1092" s="3">
        <f>IF('ORDENES'!$A1070="","",IF('ORDENES'!$W1070="","-",'ORDENES'!$W1070))</f>
        <v/>
      </c>
      <c r="H1092" s="3">
        <f>IF('ORDENES'!$A1070="","",IF('ORDENES'!$AE1070="","-",'ORDENES'!$AE1070))</f>
        <v/>
      </c>
      <c r="I1092" s="3">
        <f>IF('ORDENES'!$A1070="","",IF('ORDENES'!$AQ1070="","-",'ORDENES'!$AQ1070))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IF('ORDENES'!$A1070="","",'ORDENES'!$AD1070)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IF('ORDENES'!$A1071="","",IF('ORDENES'!$AF1071="","-",'ORDENES'!$AF1071))</f>
        <v/>
      </c>
      <c r="D1093" s="3">
        <f>IF('ORDENES'!$A1071="","",IF('ORDENES'!$X1071="","-",'ORDENES'!$X1071))</f>
        <v/>
      </c>
      <c r="E1093" s="3">
        <f>IF('ORDENES'!$A1071="","",IF('ORDENES'!$V1071="","-",'ORDENES'!$V1071))</f>
        <v/>
      </c>
      <c r="F1093" s="3">
        <f>IF('ORDENES'!$A1071="","",IF('ORDENES'!$Y1071="","-",'ORDENES'!$Y1071))</f>
        <v/>
      </c>
      <c r="G1093" s="3">
        <f>IF('ORDENES'!$A1071="","",IF('ORDENES'!$W1071="","-",'ORDENES'!$W1071))</f>
        <v/>
      </c>
      <c r="H1093" s="3">
        <f>IF('ORDENES'!$A1071="","",IF('ORDENES'!$AE1071="","-",'ORDENES'!$AE1071))</f>
        <v/>
      </c>
      <c r="I1093" s="3">
        <f>IF('ORDENES'!$A1071="","",IF('ORDENES'!$AQ1071="","-",'ORDENES'!$AQ1071))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IF('ORDENES'!$A1071="","",'ORDENES'!$AD1071)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IF('ORDENES'!$A1072="","",IF('ORDENES'!$AF1072="","-",'ORDENES'!$AF1072))</f>
        <v/>
      </c>
      <c r="D1094" s="3">
        <f>IF('ORDENES'!$A1072="","",IF('ORDENES'!$X1072="","-",'ORDENES'!$X1072))</f>
        <v/>
      </c>
      <c r="E1094" s="3">
        <f>IF('ORDENES'!$A1072="","",IF('ORDENES'!$V1072="","-",'ORDENES'!$V1072))</f>
        <v/>
      </c>
      <c r="F1094" s="3">
        <f>IF('ORDENES'!$A1072="","",IF('ORDENES'!$Y1072="","-",'ORDENES'!$Y1072))</f>
        <v/>
      </c>
      <c r="G1094" s="3">
        <f>IF('ORDENES'!$A1072="","",IF('ORDENES'!$W1072="","-",'ORDENES'!$W1072))</f>
        <v/>
      </c>
      <c r="H1094" s="3">
        <f>IF('ORDENES'!$A1072="","",IF('ORDENES'!$AE1072="","-",'ORDENES'!$AE1072))</f>
        <v/>
      </c>
      <c r="I1094" s="3">
        <f>IF('ORDENES'!$A1072="","",IF('ORDENES'!$AQ1072="","-",'ORDENES'!$AQ1072))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IF('ORDENES'!$A1072="","",'ORDENES'!$AD1072)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IF('ORDENES'!$A1073="","",IF('ORDENES'!$AF1073="","-",'ORDENES'!$AF1073))</f>
        <v/>
      </c>
      <c r="D1095" s="3">
        <f>IF('ORDENES'!$A1073="","",IF('ORDENES'!$X1073="","-",'ORDENES'!$X1073))</f>
        <v/>
      </c>
      <c r="E1095" s="3">
        <f>IF('ORDENES'!$A1073="","",IF('ORDENES'!$V1073="","-",'ORDENES'!$V1073))</f>
        <v/>
      </c>
      <c r="F1095" s="3">
        <f>IF('ORDENES'!$A1073="","",IF('ORDENES'!$Y1073="","-",'ORDENES'!$Y1073))</f>
        <v/>
      </c>
      <c r="G1095" s="3">
        <f>IF('ORDENES'!$A1073="","",IF('ORDENES'!$W1073="","-",'ORDENES'!$W1073))</f>
        <v/>
      </c>
      <c r="H1095" s="3">
        <f>IF('ORDENES'!$A1073="","",IF('ORDENES'!$AE1073="","-",'ORDENES'!$AE1073))</f>
        <v/>
      </c>
      <c r="I1095" s="3">
        <f>IF('ORDENES'!$A1073="","",IF('ORDENES'!$AQ1073="","-",'ORDENES'!$AQ1073))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IF('ORDENES'!$A1073="","",'ORDENES'!$AD1073)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IF('ORDENES'!$A1074="","",IF('ORDENES'!$AF1074="","-",'ORDENES'!$AF1074))</f>
        <v/>
      </c>
      <c r="D1096" s="3">
        <f>IF('ORDENES'!$A1074="","",IF('ORDENES'!$X1074="","-",'ORDENES'!$X1074))</f>
        <v/>
      </c>
      <c r="E1096" s="3">
        <f>IF('ORDENES'!$A1074="","",IF('ORDENES'!$V1074="","-",'ORDENES'!$V1074))</f>
        <v/>
      </c>
      <c r="F1096" s="3">
        <f>IF('ORDENES'!$A1074="","",IF('ORDENES'!$Y1074="","-",'ORDENES'!$Y1074))</f>
        <v/>
      </c>
      <c r="G1096" s="3">
        <f>IF('ORDENES'!$A1074="","",IF('ORDENES'!$W1074="","-",'ORDENES'!$W1074))</f>
        <v/>
      </c>
      <c r="H1096" s="3">
        <f>IF('ORDENES'!$A1074="","",IF('ORDENES'!$AE1074="","-",'ORDENES'!$AE1074))</f>
        <v/>
      </c>
      <c r="I1096" s="3">
        <f>IF('ORDENES'!$A1074="","",IF('ORDENES'!$AQ1074="","-",'ORDENES'!$AQ1074))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IF('ORDENES'!$A1074="","",'ORDENES'!$AD1074)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IF('ORDENES'!$A1075="","",IF('ORDENES'!$AF1075="","-",'ORDENES'!$AF1075))</f>
        <v/>
      </c>
      <c r="D1097" s="3">
        <f>IF('ORDENES'!$A1075="","",IF('ORDENES'!$X1075="","-",'ORDENES'!$X1075))</f>
        <v/>
      </c>
      <c r="E1097" s="3">
        <f>IF('ORDENES'!$A1075="","",IF('ORDENES'!$V1075="","-",'ORDENES'!$V1075))</f>
        <v/>
      </c>
      <c r="F1097" s="3">
        <f>IF('ORDENES'!$A1075="","",IF('ORDENES'!$Y1075="","-",'ORDENES'!$Y1075))</f>
        <v/>
      </c>
      <c r="G1097" s="3">
        <f>IF('ORDENES'!$A1075="","",IF('ORDENES'!$W1075="","-",'ORDENES'!$W1075))</f>
        <v/>
      </c>
      <c r="H1097" s="3">
        <f>IF('ORDENES'!$A1075="","",IF('ORDENES'!$AE1075="","-",'ORDENES'!$AE1075))</f>
        <v/>
      </c>
      <c r="I1097" s="3">
        <f>IF('ORDENES'!$A1075="","",IF('ORDENES'!$AQ1075="","-",'ORDENES'!$AQ1075))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IF('ORDENES'!$A1075="","",'ORDENES'!$AD1075)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IF('ORDENES'!$A1076="","",IF('ORDENES'!$AF1076="","-",'ORDENES'!$AF1076))</f>
        <v/>
      </c>
      <c r="D1098" s="3">
        <f>IF('ORDENES'!$A1076="","",IF('ORDENES'!$X1076="","-",'ORDENES'!$X1076))</f>
        <v/>
      </c>
      <c r="E1098" s="3">
        <f>IF('ORDENES'!$A1076="","",IF('ORDENES'!$V1076="","-",'ORDENES'!$V1076))</f>
        <v/>
      </c>
      <c r="F1098" s="3">
        <f>IF('ORDENES'!$A1076="","",IF('ORDENES'!$Y1076="","-",'ORDENES'!$Y1076))</f>
        <v/>
      </c>
      <c r="G1098" s="3">
        <f>IF('ORDENES'!$A1076="","",IF('ORDENES'!$W1076="","-",'ORDENES'!$W1076))</f>
        <v/>
      </c>
      <c r="H1098" s="3">
        <f>IF('ORDENES'!$A1076="","",IF('ORDENES'!$AE1076="","-",'ORDENES'!$AE1076))</f>
        <v/>
      </c>
      <c r="I1098" s="3">
        <f>IF('ORDENES'!$A1076="","",IF('ORDENES'!$AQ1076="","-",'ORDENES'!$AQ1076))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IF('ORDENES'!$A1076="","",'ORDENES'!$AD1076)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IF('ORDENES'!$A1077="","",IF('ORDENES'!$AF1077="","-",'ORDENES'!$AF1077))</f>
        <v/>
      </c>
      <c r="D1099" s="3">
        <f>IF('ORDENES'!$A1077="","",IF('ORDENES'!$X1077="","-",'ORDENES'!$X1077))</f>
        <v/>
      </c>
      <c r="E1099" s="3">
        <f>IF('ORDENES'!$A1077="","",IF('ORDENES'!$V1077="","-",'ORDENES'!$V1077))</f>
        <v/>
      </c>
      <c r="F1099" s="3">
        <f>IF('ORDENES'!$A1077="","",IF('ORDENES'!$Y1077="","-",'ORDENES'!$Y1077))</f>
        <v/>
      </c>
      <c r="G1099" s="3">
        <f>IF('ORDENES'!$A1077="","",IF('ORDENES'!$W1077="","-",'ORDENES'!$W1077))</f>
        <v/>
      </c>
      <c r="H1099" s="3">
        <f>IF('ORDENES'!$A1077="","",IF('ORDENES'!$AE1077="","-",'ORDENES'!$AE1077))</f>
        <v/>
      </c>
      <c r="I1099" s="3">
        <f>IF('ORDENES'!$A1077="","",IF('ORDENES'!$AQ1077="","-",'ORDENES'!$AQ1077))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IF('ORDENES'!$A1077="","",'ORDENES'!$AD1077)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IF('ORDENES'!$A1078="","",IF('ORDENES'!$AF1078="","-",'ORDENES'!$AF1078))</f>
        <v/>
      </c>
      <c r="D1100" s="3">
        <f>IF('ORDENES'!$A1078="","",IF('ORDENES'!$X1078="","-",'ORDENES'!$X1078))</f>
        <v/>
      </c>
      <c r="E1100" s="3">
        <f>IF('ORDENES'!$A1078="","",IF('ORDENES'!$V1078="","-",'ORDENES'!$V1078))</f>
        <v/>
      </c>
      <c r="F1100" s="3">
        <f>IF('ORDENES'!$A1078="","",IF('ORDENES'!$Y1078="","-",'ORDENES'!$Y1078))</f>
        <v/>
      </c>
      <c r="G1100" s="3">
        <f>IF('ORDENES'!$A1078="","",IF('ORDENES'!$W1078="","-",'ORDENES'!$W1078))</f>
        <v/>
      </c>
      <c r="H1100" s="3">
        <f>IF('ORDENES'!$A1078="","",IF('ORDENES'!$AE1078="","-",'ORDENES'!$AE1078))</f>
        <v/>
      </c>
      <c r="I1100" s="3">
        <f>IF('ORDENES'!$A1078="","",IF('ORDENES'!$AQ1078="","-",'ORDENES'!$AQ1078))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IF('ORDENES'!$A1078="","",'ORDENES'!$AD1078)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IF('ORDENES'!$A1079="","",IF('ORDENES'!$AF1079="","-",'ORDENES'!$AF1079))</f>
        <v/>
      </c>
      <c r="D1101" s="3">
        <f>IF('ORDENES'!$A1079="","",IF('ORDENES'!$X1079="","-",'ORDENES'!$X1079))</f>
        <v/>
      </c>
      <c r="E1101" s="3">
        <f>IF('ORDENES'!$A1079="","",IF('ORDENES'!$V1079="","-",'ORDENES'!$V1079))</f>
        <v/>
      </c>
      <c r="F1101" s="3">
        <f>IF('ORDENES'!$A1079="","",IF('ORDENES'!$Y1079="","-",'ORDENES'!$Y1079))</f>
        <v/>
      </c>
      <c r="G1101" s="3">
        <f>IF('ORDENES'!$A1079="","",IF('ORDENES'!$W1079="","-",'ORDENES'!$W1079))</f>
        <v/>
      </c>
      <c r="H1101" s="3">
        <f>IF('ORDENES'!$A1079="","",IF('ORDENES'!$AE1079="","-",'ORDENES'!$AE1079))</f>
        <v/>
      </c>
      <c r="I1101" s="3">
        <f>IF('ORDENES'!$A1079="","",IF('ORDENES'!$AQ1079="","-",'ORDENES'!$AQ1079))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IF('ORDENES'!$A1079="","",'ORDENES'!$AD1079)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IF('ORDENES'!$A1080="","",IF('ORDENES'!$AF1080="","-",'ORDENES'!$AF1080))</f>
        <v/>
      </c>
      <c r="D1102" s="3">
        <f>IF('ORDENES'!$A1080="","",IF('ORDENES'!$X1080="","-",'ORDENES'!$X1080))</f>
        <v/>
      </c>
      <c r="E1102" s="3">
        <f>IF('ORDENES'!$A1080="","",IF('ORDENES'!$V1080="","-",'ORDENES'!$V1080))</f>
        <v/>
      </c>
      <c r="F1102" s="3">
        <f>IF('ORDENES'!$A1080="","",IF('ORDENES'!$Y1080="","-",'ORDENES'!$Y1080))</f>
        <v/>
      </c>
      <c r="G1102" s="3">
        <f>IF('ORDENES'!$A1080="","",IF('ORDENES'!$W1080="","-",'ORDENES'!$W1080))</f>
        <v/>
      </c>
      <c r="H1102" s="3">
        <f>IF('ORDENES'!$A1080="","",IF('ORDENES'!$AE1080="","-",'ORDENES'!$AE1080))</f>
        <v/>
      </c>
      <c r="I1102" s="3">
        <f>IF('ORDENES'!$A1080="","",IF('ORDENES'!$AQ1080="","-",'ORDENES'!$AQ1080))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IF('ORDENES'!$A1080="","",'ORDENES'!$AD1080)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IF('ORDENES'!$A1081="","",IF('ORDENES'!$AF1081="","-",'ORDENES'!$AF1081))</f>
        <v/>
      </c>
      <c r="D1103" s="3">
        <f>IF('ORDENES'!$A1081="","",IF('ORDENES'!$X1081="","-",'ORDENES'!$X1081))</f>
        <v/>
      </c>
      <c r="E1103" s="3">
        <f>IF('ORDENES'!$A1081="","",IF('ORDENES'!$V1081="","-",'ORDENES'!$V1081))</f>
        <v/>
      </c>
      <c r="F1103" s="3">
        <f>IF('ORDENES'!$A1081="","",IF('ORDENES'!$Y1081="","-",'ORDENES'!$Y1081))</f>
        <v/>
      </c>
      <c r="G1103" s="3">
        <f>IF('ORDENES'!$A1081="","",IF('ORDENES'!$W1081="","-",'ORDENES'!$W1081))</f>
        <v/>
      </c>
      <c r="H1103" s="3">
        <f>IF('ORDENES'!$A1081="","",IF('ORDENES'!$AE1081="","-",'ORDENES'!$AE1081))</f>
        <v/>
      </c>
      <c r="I1103" s="3">
        <f>IF('ORDENES'!$A1081="","",IF('ORDENES'!$AQ1081="","-",'ORDENES'!$AQ1081))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IF('ORDENES'!$A1081="","",'ORDENES'!$AD1081)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IF('ORDENES'!$A1082="","",IF('ORDENES'!$AF1082="","-",'ORDENES'!$AF1082))</f>
        <v/>
      </c>
      <c r="D1104" s="3">
        <f>IF('ORDENES'!$A1082="","",IF('ORDENES'!$X1082="","-",'ORDENES'!$X1082))</f>
        <v/>
      </c>
      <c r="E1104" s="3">
        <f>IF('ORDENES'!$A1082="","",IF('ORDENES'!$V1082="","-",'ORDENES'!$V1082))</f>
        <v/>
      </c>
      <c r="F1104" s="3">
        <f>IF('ORDENES'!$A1082="","",IF('ORDENES'!$Y1082="","-",'ORDENES'!$Y1082))</f>
        <v/>
      </c>
      <c r="G1104" s="3">
        <f>IF('ORDENES'!$A1082="","",IF('ORDENES'!$W1082="","-",'ORDENES'!$W1082))</f>
        <v/>
      </c>
      <c r="H1104" s="3">
        <f>IF('ORDENES'!$A1082="","",IF('ORDENES'!$AE1082="","-",'ORDENES'!$AE1082))</f>
        <v/>
      </c>
      <c r="I1104" s="3">
        <f>IF('ORDENES'!$A1082="","",IF('ORDENES'!$AQ1082="","-",'ORDENES'!$AQ1082))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IF('ORDENES'!$A1082="","",'ORDENES'!$AD1082)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IF('ORDENES'!$A1083="","",IF('ORDENES'!$AF1083="","-",'ORDENES'!$AF1083))</f>
        <v/>
      </c>
      <c r="D1105" s="3">
        <f>IF('ORDENES'!$A1083="","",IF('ORDENES'!$X1083="","-",'ORDENES'!$X1083))</f>
        <v/>
      </c>
      <c r="E1105" s="3">
        <f>IF('ORDENES'!$A1083="","",IF('ORDENES'!$V1083="","-",'ORDENES'!$V1083))</f>
        <v/>
      </c>
      <c r="F1105" s="3">
        <f>IF('ORDENES'!$A1083="","",IF('ORDENES'!$Y1083="","-",'ORDENES'!$Y1083))</f>
        <v/>
      </c>
      <c r="G1105" s="3">
        <f>IF('ORDENES'!$A1083="","",IF('ORDENES'!$W1083="","-",'ORDENES'!$W1083))</f>
        <v/>
      </c>
      <c r="H1105" s="3">
        <f>IF('ORDENES'!$A1083="","",IF('ORDENES'!$AE1083="","-",'ORDENES'!$AE1083))</f>
        <v/>
      </c>
      <c r="I1105" s="3">
        <f>IF('ORDENES'!$A1083="","",IF('ORDENES'!$AQ1083="","-",'ORDENES'!$AQ1083))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IF('ORDENES'!$A1083="","",'ORDENES'!$AD1083)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IF('ORDENES'!$A1084="","",IF('ORDENES'!$AF1084="","-",'ORDENES'!$AF1084))</f>
        <v/>
      </c>
      <c r="D1106" s="3">
        <f>IF('ORDENES'!$A1084="","",IF('ORDENES'!$X1084="","-",'ORDENES'!$X1084))</f>
        <v/>
      </c>
      <c r="E1106" s="3">
        <f>IF('ORDENES'!$A1084="","",IF('ORDENES'!$V1084="","-",'ORDENES'!$V1084))</f>
        <v/>
      </c>
      <c r="F1106" s="3">
        <f>IF('ORDENES'!$A1084="","",IF('ORDENES'!$Y1084="","-",'ORDENES'!$Y1084))</f>
        <v/>
      </c>
      <c r="G1106" s="3">
        <f>IF('ORDENES'!$A1084="","",IF('ORDENES'!$W1084="","-",'ORDENES'!$W1084))</f>
        <v/>
      </c>
      <c r="H1106" s="3">
        <f>IF('ORDENES'!$A1084="","",IF('ORDENES'!$AE1084="","-",'ORDENES'!$AE1084))</f>
        <v/>
      </c>
      <c r="I1106" s="3">
        <f>IF('ORDENES'!$A1084="","",IF('ORDENES'!$AQ1084="","-",'ORDENES'!$AQ1084))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IF('ORDENES'!$A1084="","",'ORDENES'!$AD1084)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IF('ORDENES'!$A1085="","",IF('ORDENES'!$AF1085="","-",'ORDENES'!$AF1085))</f>
        <v/>
      </c>
      <c r="D1107" s="3">
        <f>IF('ORDENES'!$A1085="","",IF('ORDENES'!$X1085="","-",'ORDENES'!$X1085))</f>
        <v/>
      </c>
      <c r="E1107" s="3">
        <f>IF('ORDENES'!$A1085="","",IF('ORDENES'!$V1085="","-",'ORDENES'!$V1085))</f>
        <v/>
      </c>
      <c r="F1107" s="3">
        <f>IF('ORDENES'!$A1085="","",IF('ORDENES'!$Y1085="","-",'ORDENES'!$Y1085))</f>
        <v/>
      </c>
      <c r="G1107" s="3">
        <f>IF('ORDENES'!$A1085="","",IF('ORDENES'!$W1085="","-",'ORDENES'!$W1085))</f>
        <v/>
      </c>
      <c r="H1107" s="3">
        <f>IF('ORDENES'!$A1085="","",IF('ORDENES'!$AE1085="","-",'ORDENES'!$AE1085))</f>
        <v/>
      </c>
      <c r="I1107" s="3">
        <f>IF('ORDENES'!$A1085="","",IF('ORDENES'!$AQ1085="","-",'ORDENES'!$AQ1085))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IF('ORDENES'!$A1085="","",'ORDENES'!$AD1085)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IF('ORDENES'!$A1086="","",IF('ORDENES'!$AF1086="","-",'ORDENES'!$AF1086))</f>
        <v/>
      </c>
      <c r="D1108" s="3">
        <f>IF('ORDENES'!$A1086="","",IF('ORDENES'!$X1086="","-",'ORDENES'!$X1086))</f>
        <v/>
      </c>
      <c r="E1108" s="3">
        <f>IF('ORDENES'!$A1086="","",IF('ORDENES'!$V1086="","-",'ORDENES'!$V1086))</f>
        <v/>
      </c>
      <c r="F1108" s="3">
        <f>IF('ORDENES'!$A1086="","",IF('ORDENES'!$Y1086="","-",'ORDENES'!$Y1086))</f>
        <v/>
      </c>
      <c r="G1108" s="3">
        <f>IF('ORDENES'!$A1086="","",IF('ORDENES'!$W1086="","-",'ORDENES'!$W1086))</f>
        <v/>
      </c>
      <c r="H1108" s="3">
        <f>IF('ORDENES'!$A1086="","",IF('ORDENES'!$AE1086="","-",'ORDENES'!$AE1086))</f>
        <v/>
      </c>
      <c r="I1108" s="3">
        <f>IF('ORDENES'!$A1086="","",IF('ORDENES'!$AQ1086="","-",'ORDENES'!$AQ1086))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IF('ORDENES'!$A1086="","",'ORDENES'!$AD1086)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IF('ORDENES'!$A1087="","",IF('ORDENES'!$AF1087="","-",'ORDENES'!$AF1087))</f>
        <v/>
      </c>
      <c r="D1109" s="3">
        <f>IF('ORDENES'!$A1087="","",IF('ORDENES'!$X1087="","-",'ORDENES'!$X1087))</f>
        <v/>
      </c>
      <c r="E1109" s="3">
        <f>IF('ORDENES'!$A1087="","",IF('ORDENES'!$V1087="","-",'ORDENES'!$V1087))</f>
        <v/>
      </c>
      <c r="F1109" s="3">
        <f>IF('ORDENES'!$A1087="","",IF('ORDENES'!$Y1087="","-",'ORDENES'!$Y1087))</f>
        <v/>
      </c>
      <c r="G1109" s="3">
        <f>IF('ORDENES'!$A1087="","",IF('ORDENES'!$W1087="","-",'ORDENES'!$W1087))</f>
        <v/>
      </c>
      <c r="H1109" s="3">
        <f>IF('ORDENES'!$A1087="","",IF('ORDENES'!$AE1087="","-",'ORDENES'!$AE1087))</f>
        <v/>
      </c>
      <c r="I1109" s="3">
        <f>IF('ORDENES'!$A1087="","",IF('ORDENES'!$AQ1087="","-",'ORDENES'!$AQ1087))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IF('ORDENES'!$A1087="","",'ORDENES'!$AD1087)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IF('ORDENES'!$A1088="","",IF('ORDENES'!$AF1088="","-",'ORDENES'!$AF1088))</f>
        <v/>
      </c>
      <c r="D1110" s="3">
        <f>IF('ORDENES'!$A1088="","",IF('ORDENES'!$X1088="","-",'ORDENES'!$X1088))</f>
        <v/>
      </c>
      <c r="E1110" s="3">
        <f>IF('ORDENES'!$A1088="","",IF('ORDENES'!$V1088="","-",'ORDENES'!$V1088))</f>
        <v/>
      </c>
      <c r="F1110" s="3">
        <f>IF('ORDENES'!$A1088="","",IF('ORDENES'!$Y1088="","-",'ORDENES'!$Y1088))</f>
        <v/>
      </c>
      <c r="G1110" s="3">
        <f>IF('ORDENES'!$A1088="","",IF('ORDENES'!$W1088="","-",'ORDENES'!$W1088))</f>
        <v/>
      </c>
      <c r="H1110" s="3">
        <f>IF('ORDENES'!$A1088="","",IF('ORDENES'!$AE1088="","-",'ORDENES'!$AE1088))</f>
        <v/>
      </c>
      <c r="I1110" s="3">
        <f>IF('ORDENES'!$A1088="","",IF('ORDENES'!$AQ1088="","-",'ORDENES'!$AQ1088))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IF('ORDENES'!$A1088="","",'ORDENES'!$AD1088)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IF('ORDENES'!$A1089="","",IF('ORDENES'!$AF1089="","-",'ORDENES'!$AF1089))</f>
        <v/>
      </c>
      <c r="D1111" s="3">
        <f>IF('ORDENES'!$A1089="","",IF('ORDENES'!$X1089="","-",'ORDENES'!$X1089))</f>
        <v/>
      </c>
      <c r="E1111" s="3">
        <f>IF('ORDENES'!$A1089="","",IF('ORDENES'!$V1089="","-",'ORDENES'!$V1089))</f>
        <v/>
      </c>
      <c r="F1111" s="3">
        <f>IF('ORDENES'!$A1089="","",IF('ORDENES'!$Y1089="","-",'ORDENES'!$Y1089))</f>
        <v/>
      </c>
      <c r="G1111" s="3">
        <f>IF('ORDENES'!$A1089="","",IF('ORDENES'!$W1089="","-",'ORDENES'!$W1089))</f>
        <v/>
      </c>
      <c r="H1111" s="3">
        <f>IF('ORDENES'!$A1089="","",IF('ORDENES'!$AE1089="","-",'ORDENES'!$AE1089))</f>
        <v/>
      </c>
      <c r="I1111" s="3">
        <f>IF('ORDENES'!$A1089="","",IF('ORDENES'!$AQ1089="","-",'ORDENES'!$AQ1089))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IF('ORDENES'!$A1089="","",'ORDENES'!$AD1089)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IF('ORDENES'!$A1090="","",IF('ORDENES'!$AF1090="","-",'ORDENES'!$AF1090))</f>
        <v/>
      </c>
      <c r="D1112" s="3">
        <f>IF('ORDENES'!$A1090="","",IF('ORDENES'!$X1090="","-",'ORDENES'!$X1090))</f>
        <v/>
      </c>
      <c r="E1112" s="3">
        <f>IF('ORDENES'!$A1090="","",IF('ORDENES'!$V1090="","-",'ORDENES'!$V1090))</f>
        <v/>
      </c>
      <c r="F1112" s="3">
        <f>IF('ORDENES'!$A1090="","",IF('ORDENES'!$Y1090="","-",'ORDENES'!$Y1090))</f>
        <v/>
      </c>
      <c r="G1112" s="3">
        <f>IF('ORDENES'!$A1090="","",IF('ORDENES'!$W1090="","-",'ORDENES'!$W1090))</f>
        <v/>
      </c>
      <c r="H1112" s="3">
        <f>IF('ORDENES'!$A1090="","",IF('ORDENES'!$AE1090="","-",'ORDENES'!$AE1090))</f>
        <v/>
      </c>
      <c r="I1112" s="3">
        <f>IF('ORDENES'!$A1090="","",IF('ORDENES'!$AQ1090="","-",'ORDENES'!$AQ1090))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IF('ORDENES'!$A1090="","",'ORDENES'!$AD1090)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IF('ORDENES'!$A1091="","",IF('ORDENES'!$AF1091="","-",'ORDENES'!$AF1091))</f>
        <v/>
      </c>
      <c r="D1113" s="3">
        <f>IF('ORDENES'!$A1091="","",IF('ORDENES'!$X1091="","-",'ORDENES'!$X1091))</f>
        <v/>
      </c>
      <c r="E1113" s="3">
        <f>IF('ORDENES'!$A1091="","",IF('ORDENES'!$V1091="","-",'ORDENES'!$V1091))</f>
        <v/>
      </c>
      <c r="F1113" s="3">
        <f>IF('ORDENES'!$A1091="","",IF('ORDENES'!$Y1091="","-",'ORDENES'!$Y1091))</f>
        <v/>
      </c>
      <c r="G1113" s="3">
        <f>IF('ORDENES'!$A1091="","",IF('ORDENES'!$W1091="","-",'ORDENES'!$W1091))</f>
        <v/>
      </c>
      <c r="H1113" s="3">
        <f>IF('ORDENES'!$A1091="","",IF('ORDENES'!$AE1091="","-",'ORDENES'!$AE1091))</f>
        <v/>
      </c>
      <c r="I1113" s="3">
        <f>IF('ORDENES'!$A1091="","",IF('ORDENES'!$AQ1091="","-",'ORDENES'!$AQ1091))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IF('ORDENES'!$A1091="","",'ORDENES'!$AD1091)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IF('ORDENES'!$A1092="","",IF('ORDENES'!$AF1092="","-",'ORDENES'!$AF1092))</f>
        <v/>
      </c>
      <c r="D1114" s="3">
        <f>IF('ORDENES'!$A1092="","",IF('ORDENES'!$X1092="","-",'ORDENES'!$X1092))</f>
        <v/>
      </c>
      <c r="E1114" s="3">
        <f>IF('ORDENES'!$A1092="","",IF('ORDENES'!$V1092="","-",'ORDENES'!$V1092))</f>
        <v/>
      </c>
      <c r="F1114" s="3">
        <f>IF('ORDENES'!$A1092="","",IF('ORDENES'!$Y1092="","-",'ORDENES'!$Y1092))</f>
        <v/>
      </c>
      <c r="G1114" s="3">
        <f>IF('ORDENES'!$A1092="","",IF('ORDENES'!$W1092="","-",'ORDENES'!$W1092))</f>
        <v/>
      </c>
      <c r="H1114" s="3">
        <f>IF('ORDENES'!$A1092="","",IF('ORDENES'!$AE1092="","-",'ORDENES'!$AE1092))</f>
        <v/>
      </c>
      <c r="I1114" s="3">
        <f>IF('ORDENES'!$A1092="","",IF('ORDENES'!$AQ1092="","-",'ORDENES'!$AQ1092))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IF('ORDENES'!$A1092="","",'ORDENES'!$AD1092)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IF('ORDENES'!$A1093="","",IF('ORDENES'!$AF1093="","-",'ORDENES'!$AF1093))</f>
        <v/>
      </c>
      <c r="D1115" s="3">
        <f>IF('ORDENES'!$A1093="","",IF('ORDENES'!$X1093="","-",'ORDENES'!$X1093))</f>
        <v/>
      </c>
      <c r="E1115" s="3">
        <f>IF('ORDENES'!$A1093="","",IF('ORDENES'!$V1093="","-",'ORDENES'!$V1093))</f>
        <v/>
      </c>
      <c r="F1115" s="3">
        <f>IF('ORDENES'!$A1093="","",IF('ORDENES'!$Y1093="","-",'ORDENES'!$Y1093))</f>
        <v/>
      </c>
      <c r="G1115" s="3">
        <f>IF('ORDENES'!$A1093="","",IF('ORDENES'!$W1093="","-",'ORDENES'!$W1093))</f>
        <v/>
      </c>
      <c r="H1115" s="3">
        <f>IF('ORDENES'!$A1093="","",IF('ORDENES'!$AE1093="","-",'ORDENES'!$AE1093))</f>
        <v/>
      </c>
      <c r="I1115" s="3">
        <f>IF('ORDENES'!$A1093="","",IF('ORDENES'!$AQ1093="","-",'ORDENES'!$AQ1093))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IF('ORDENES'!$A1093="","",'ORDENES'!$AD1093)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IF('ORDENES'!$A1094="","",IF('ORDENES'!$AF1094="","-",'ORDENES'!$AF1094))</f>
        <v/>
      </c>
      <c r="D1116" s="3">
        <f>IF('ORDENES'!$A1094="","",IF('ORDENES'!$X1094="","-",'ORDENES'!$X1094))</f>
        <v/>
      </c>
      <c r="E1116" s="3">
        <f>IF('ORDENES'!$A1094="","",IF('ORDENES'!$V1094="","-",'ORDENES'!$V1094))</f>
        <v/>
      </c>
      <c r="F1116" s="3">
        <f>IF('ORDENES'!$A1094="","",IF('ORDENES'!$Y1094="","-",'ORDENES'!$Y1094))</f>
        <v/>
      </c>
      <c r="G1116" s="3">
        <f>IF('ORDENES'!$A1094="","",IF('ORDENES'!$W1094="","-",'ORDENES'!$W1094))</f>
        <v/>
      </c>
      <c r="H1116" s="3">
        <f>IF('ORDENES'!$A1094="","",IF('ORDENES'!$AE1094="","-",'ORDENES'!$AE1094))</f>
        <v/>
      </c>
      <c r="I1116" s="3">
        <f>IF('ORDENES'!$A1094="","",IF('ORDENES'!$AQ1094="","-",'ORDENES'!$AQ1094))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IF('ORDENES'!$A1094="","",'ORDENES'!$AD1094)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IF('ORDENES'!$A1095="","",IF('ORDENES'!$AF1095="","-",'ORDENES'!$AF1095))</f>
        <v/>
      </c>
      <c r="D1117" s="3">
        <f>IF('ORDENES'!$A1095="","",IF('ORDENES'!$X1095="","-",'ORDENES'!$X1095))</f>
        <v/>
      </c>
      <c r="E1117" s="3">
        <f>IF('ORDENES'!$A1095="","",IF('ORDENES'!$V1095="","-",'ORDENES'!$V1095))</f>
        <v/>
      </c>
      <c r="F1117" s="3">
        <f>IF('ORDENES'!$A1095="","",IF('ORDENES'!$Y1095="","-",'ORDENES'!$Y1095))</f>
        <v/>
      </c>
      <c r="G1117" s="3">
        <f>IF('ORDENES'!$A1095="","",IF('ORDENES'!$W1095="","-",'ORDENES'!$W1095))</f>
        <v/>
      </c>
      <c r="H1117" s="3">
        <f>IF('ORDENES'!$A1095="","",IF('ORDENES'!$AE1095="","-",'ORDENES'!$AE1095))</f>
        <v/>
      </c>
      <c r="I1117" s="3">
        <f>IF('ORDENES'!$A1095="","",IF('ORDENES'!$AQ1095="","-",'ORDENES'!$AQ1095))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IF('ORDENES'!$A1095="","",'ORDENES'!$AD1095)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IF('ORDENES'!$A1096="","",IF('ORDENES'!$AF1096="","-",'ORDENES'!$AF1096))</f>
        <v/>
      </c>
      <c r="D1118" s="3">
        <f>IF('ORDENES'!$A1096="","",IF('ORDENES'!$X1096="","-",'ORDENES'!$X1096))</f>
        <v/>
      </c>
      <c r="E1118" s="3">
        <f>IF('ORDENES'!$A1096="","",IF('ORDENES'!$V1096="","-",'ORDENES'!$V1096))</f>
        <v/>
      </c>
      <c r="F1118" s="3">
        <f>IF('ORDENES'!$A1096="","",IF('ORDENES'!$Y1096="","-",'ORDENES'!$Y1096))</f>
        <v/>
      </c>
      <c r="G1118" s="3">
        <f>IF('ORDENES'!$A1096="","",IF('ORDENES'!$W1096="","-",'ORDENES'!$W1096))</f>
        <v/>
      </c>
      <c r="H1118" s="3">
        <f>IF('ORDENES'!$A1096="","",IF('ORDENES'!$AE1096="","-",'ORDENES'!$AE1096))</f>
        <v/>
      </c>
      <c r="I1118" s="3">
        <f>IF('ORDENES'!$A1096="","",IF('ORDENES'!$AQ1096="","-",'ORDENES'!$AQ1096))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IF('ORDENES'!$A1096="","",'ORDENES'!$AD1096)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IF('ORDENES'!$A1097="","",IF('ORDENES'!$AF1097="","-",'ORDENES'!$AF1097))</f>
        <v/>
      </c>
      <c r="D1119" s="3">
        <f>IF('ORDENES'!$A1097="","",IF('ORDENES'!$X1097="","-",'ORDENES'!$X1097))</f>
        <v/>
      </c>
      <c r="E1119" s="3">
        <f>IF('ORDENES'!$A1097="","",IF('ORDENES'!$V1097="","-",'ORDENES'!$V1097))</f>
        <v/>
      </c>
      <c r="F1119" s="3">
        <f>IF('ORDENES'!$A1097="","",IF('ORDENES'!$Y1097="","-",'ORDENES'!$Y1097))</f>
        <v/>
      </c>
      <c r="G1119" s="3">
        <f>IF('ORDENES'!$A1097="","",IF('ORDENES'!$W1097="","-",'ORDENES'!$W1097))</f>
        <v/>
      </c>
      <c r="H1119" s="3">
        <f>IF('ORDENES'!$A1097="","",IF('ORDENES'!$AE1097="","-",'ORDENES'!$AE1097))</f>
        <v/>
      </c>
      <c r="I1119" s="3">
        <f>IF('ORDENES'!$A1097="","",IF('ORDENES'!$AQ1097="","-",'ORDENES'!$AQ1097))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IF('ORDENES'!$A1097="","",'ORDENES'!$AD1097)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IF('ORDENES'!$A1098="","",IF('ORDENES'!$AF1098="","-",'ORDENES'!$AF1098))</f>
        <v/>
      </c>
      <c r="D1120" s="3">
        <f>IF('ORDENES'!$A1098="","",IF('ORDENES'!$X1098="","-",'ORDENES'!$X1098))</f>
        <v/>
      </c>
      <c r="E1120" s="3">
        <f>IF('ORDENES'!$A1098="","",IF('ORDENES'!$V1098="","-",'ORDENES'!$V1098))</f>
        <v/>
      </c>
      <c r="F1120" s="3">
        <f>IF('ORDENES'!$A1098="","",IF('ORDENES'!$Y1098="","-",'ORDENES'!$Y1098))</f>
        <v/>
      </c>
      <c r="G1120" s="3">
        <f>IF('ORDENES'!$A1098="","",IF('ORDENES'!$W1098="","-",'ORDENES'!$W1098))</f>
        <v/>
      </c>
      <c r="H1120" s="3">
        <f>IF('ORDENES'!$A1098="","",IF('ORDENES'!$AE1098="","-",'ORDENES'!$AE1098))</f>
        <v/>
      </c>
      <c r="I1120" s="3">
        <f>IF('ORDENES'!$A1098="","",IF('ORDENES'!$AQ1098="","-",'ORDENES'!$AQ1098))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IF('ORDENES'!$A1098="","",'ORDENES'!$AD1098)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IF('ORDENES'!$A1099="","",IF('ORDENES'!$AF1099="","-",'ORDENES'!$AF1099))</f>
        <v/>
      </c>
      <c r="D1121" s="3">
        <f>IF('ORDENES'!$A1099="","",IF('ORDENES'!$X1099="","-",'ORDENES'!$X1099))</f>
        <v/>
      </c>
      <c r="E1121" s="3">
        <f>IF('ORDENES'!$A1099="","",IF('ORDENES'!$V1099="","-",'ORDENES'!$V1099))</f>
        <v/>
      </c>
      <c r="F1121" s="3">
        <f>IF('ORDENES'!$A1099="","",IF('ORDENES'!$Y1099="","-",'ORDENES'!$Y1099))</f>
        <v/>
      </c>
      <c r="G1121" s="3">
        <f>IF('ORDENES'!$A1099="","",IF('ORDENES'!$W1099="","-",'ORDENES'!$W1099))</f>
        <v/>
      </c>
      <c r="H1121" s="3">
        <f>IF('ORDENES'!$A1099="","",IF('ORDENES'!$AE1099="","-",'ORDENES'!$AE1099))</f>
        <v/>
      </c>
      <c r="I1121" s="3">
        <f>IF('ORDENES'!$A1099="","",IF('ORDENES'!$AQ1099="","-",'ORDENES'!$AQ1099))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IF('ORDENES'!$A1099="","",'ORDENES'!$AD1099)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IF('ORDENES'!$A1100="","",IF('ORDENES'!$AF1100="","-",'ORDENES'!$AF1100))</f>
        <v/>
      </c>
      <c r="D1122" s="3">
        <f>IF('ORDENES'!$A1100="","",IF('ORDENES'!$X1100="","-",'ORDENES'!$X1100))</f>
        <v/>
      </c>
      <c r="E1122" s="3">
        <f>IF('ORDENES'!$A1100="","",IF('ORDENES'!$V1100="","-",'ORDENES'!$V1100))</f>
        <v/>
      </c>
      <c r="F1122" s="3">
        <f>IF('ORDENES'!$A1100="","",IF('ORDENES'!$Y1100="","-",'ORDENES'!$Y1100))</f>
        <v/>
      </c>
      <c r="G1122" s="3">
        <f>IF('ORDENES'!$A1100="","",IF('ORDENES'!$W1100="","-",'ORDENES'!$W1100))</f>
        <v/>
      </c>
      <c r="H1122" s="3">
        <f>IF('ORDENES'!$A1100="","",IF('ORDENES'!$AE1100="","-",'ORDENES'!$AE1100))</f>
        <v/>
      </c>
      <c r="I1122" s="3">
        <f>IF('ORDENES'!$A1100="","",IF('ORDENES'!$AQ1100="","-",'ORDENES'!$AQ1100))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IF('ORDENES'!$A1100="","",'ORDENES'!$AD1100)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IF('ORDENES'!$A1101="","",IF('ORDENES'!$AF1101="","-",'ORDENES'!$AF1101))</f>
        <v/>
      </c>
      <c r="D1123" s="3">
        <f>IF('ORDENES'!$A1101="","",IF('ORDENES'!$X1101="","-",'ORDENES'!$X1101))</f>
        <v/>
      </c>
      <c r="E1123" s="3">
        <f>IF('ORDENES'!$A1101="","",IF('ORDENES'!$V1101="","-",'ORDENES'!$V1101))</f>
        <v/>
      </c>
      <c r="F1123" s="3">
        <f>IF('ORDENES'!$A1101="","",IF('ORDENES'!$Y1101="","-",'ORDENES'!$Y1101))</f>
        <v/>
      </c>
      <c r="G1123" s="3">
        <f>IF('ORDENES'!$A1101="","",IF('ORDENES'!$W1101="","-",'ORDENES'!$W1101))</f>
        <v/>
      </c>
      <c r="H1123" s="3">
        <f>IF('ORDENES'!$A1101="","",IF('ORDENES'!$AE1101="","-",'ORDENES'!$AE1101))</f>
        <v/>
      </c>
      <c r="I1123" s="3">
        <f>IF('ORDENES'!$A1101="","",IF('ORDENES'!$AQ1101="","-",'ORDENES'!$AQ1101))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IF('ORDENES'!$A1101="","",'ORDENES'!$AD1101)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IF('ORDENES'!$A1102="","",IF('ORDENES'!$AF1102="","-",'ORDENES'!$AF1102))</f>
        <v/>
      </c>
      <c r="D1124" s="3">
        <f>IF('ORDENES'!$A1102="","",IF('ORDENES'!$X1102="","-",'ORDENES'!$X1102))</f>
        <v/>
      </c>
      <c r="E1124" s="3">
        <f>IF('ORDENES'!$A1102="","",IF('ORDENES'!$V1102="","-",'ORDENES'!$V1102))</f>
        <v/>
      </c>
      <c r="F1124" s="3">
        <f>IF('ORDENES'!$A1102="","",IF('ORDENES'!$Y1102="","-",'ORDENES'!$Y1102))</f>
        <v/>
      </c>
      <c r="G1124" s="3">
        <f>IF('ORDENES'!$A1102="","",IF('ORDENES'!$W1102="","-",'ORDENES'!$W1102))</f>
        <v/>
      </c>
      <c r="H1124" s="3">
        <f>IF('ORDENES'!$A1102="","",IF('ORDENES'!$AE1102="","-",'ORDENES'!$AE1102))</f>
        <v/>
      </c>
      <c r="I1124" s="3">
        <f>IF('ORDENES'!$A1102="","",IF('ORDENES'!$AQ1102="","-",'ORDENES'!$AQ1102))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IF('ORDENES'!$A1102="","",'ORDENES'!$AD1102)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IF('ORDENES'!$A1103="","",IF('ORDENES'!$AF1103="","-",'ORDENES'!$AF1103))</f>
        <v/>
      </c>
      <c r="D1125" s="3">
        <f>IF('ORDENES'!$A1103="","",IF('ORDENES'!$X1103="","-",'ORDENES'!$X1103))</f>
        <v/>
      </c>
      <c r="E1125" s="3">
        <f>IF('ORDENES'!$A1103="","",IF('ORDENES'!$V1103="","-",'ORDENES'!$V1103))</f>
        <v/>
      </c>
      <c r="F1125" s="3">
        <f>IF('ORDENES'!$A1103="","",IF('ORDENES'!$Y1103="","-",'ORDENES'!$Y1103))</f>
        <v/>
      </c>
      <c r="G1125" s="3">
        <f>IF('ORDENES'!$A1103="","",IF('ORDENES'!$W1103="","-",'ORDENES'!$W1103))</f>
        <v/>
      </c>
      <c r="H1125" s="3">
        <f>IF('ORDENES'!$A1103="","",IF('ORDENES'!$AE1103="","-",'ORDENES'!$AE1103))</f>
        <v/>
      </c>
      <c r="I1125" s="3">
        <f>IF('ORDENES'!$A1103="","",IF('ORDENES'!$AQ1103="","-",'ORDENES'!$AQ1103))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IF('ORDENES'!$A1103="","",'ORDENES'!$AD1103)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IF('ORDENES'!$A1104="","",IF('ORDENES'!$AF1104="","-",'ORDENES'!$AF1104))</f>
        <v/>
      </c>
      <c r="D1126" s="3">
        <f>IF('ORDENES'!$A1104="","",IF('ORDENES'!$X1104="","-",'ORDENES'!$X1104))</f>
        <v/>
      </c>
      <c r="E1126" s="3">
        <f>IF('ORDENES'!$A1104="","",IF('ORDENES'!$V1104="","-",'ORDENES'!$V1104))</f>
        <v/>
      </c>
      <c r="F1126" s="3">
        <f>IF('ORDENES'!$A1104="","",IF('ORDENES'!$Y1104="","-",'ORDENES'!$Y1104))</f>
        <v/>
      </c>
      <c r="G1126" s="3">
        <f>IF('ORDENES'!$A1104="","",IF('ORDENES'!$W1104="","-",'ORDENES'!$W1104))</f>
        <v/>
      </c>
      <c r="H1126" s="3">
        <f>IF('ORDENES'!$A1104="","",IF('ORDENES'!$AE1104="","-",'ORDENES'!$AE1104))</f>
        <v/>
      </c>
      <c r="I1126" s="3">
        <f>IF('ORDENES'!$A1104="","",IF('ORDENES'!$AQ1104="","-",'ORDENES'!$AQ1104))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IF('ORDENES'!$A1104="","",'ORDENES'!$AD1104)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IF('ORDENES'!$A1105="","",IF('ORDENES'!$AF1105="","-",'ORDENES'!$AF1105))</f>
        <v/>
      </c>
      <c r="D1127" s="3">
        <f>IF('ORDENES'!$A1105="","",IF('ORDENES'!$X1105="","-",'ORDENES'!$X1105))</f>
        <v/>
      </c>
      <c r="E1127" s="3">
        <f>IF('ORDENES'!$A1105="","",IF('ORDENES'!$V1105="","-",'ORDENES'!$V1105))</f>
        <v/>
      </c>
      <c r="F1127" s="3">
        <f>IF('ORDENES'!$A1105="","",IF('ORDENES'!$Y1105="","-",'ORDENES'!$Y1105))</f>
        <v/>
      </c>
      <c r="G1127" s="3">
        <f>IF('ORDENES'!$A1105="","",IF('ORDENES'!$W1105="","-",'ORDENES'!$W1105))</f>
        <v/>
      </c>
      <c r="H1127" s="3">
        <f>IF('ORDENES'!$A1105="","",IF('ORDENES'!$AE1105="","-",'ORDENES'!$AE1105))</f>
        <v/>
      </c>
      <c r="I1127" s="3">
        <f>IF('ORDENES'!$A1105="","",IF('ORDENES'!$AQ1105="","-",'ORDENES'!$AQ1105))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IF('ORDENES'!$A1105="","",'ORDENES'!$AD1105)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IF('ORDENES'!$A1106="","",IF('ORDENES'!$AF1106="","-",'ORDENES'!$AF1106))</f>
        <v/>
      </c>
      <c r="D1128" s="3">
        <f>IF('ORDENES'!$A1106="","",IF('ORDENES'!$X1106="","-",'ORDENES'!$X1106))</f>
        <v/>
      </c>
      <c r="E1128" s="3">
        <f>IF('ORDENES'!$A1106="","",IF('ORDENES'!$V1106="","-",'ORDENES'!$V1106))</f>
        <v/>
      </c>
      <c r="F1128" s="3">
        <f>IF('ORDENES'!$A1106="","",IF('ORDENES'!$Y1106="","-",'ORDENES'!$Y1106))</f>
        <v/>
      </c>
      <c r="G1128" s="3">
        <f>IF('ORDENES'!$A1106="","",IF('ORDENES'!$W1106="","-",'ORDENES'!$W1106))</f>
        <v/>
      </c>
      <c r="H1128" s="3">
        <f>IF('ORDENES'!$A1106="","",IF('ORDENES'!$AE1106="","-",'ORDENES'!$AE1106))</f>
        <v/>
      </c>
      <c r="I1128" s="3">
        <f>IF('ORDENES'!$A1106="","",IF('ORDENES'!$AQ1106="","-",'ORDENES'!$AQ1106))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IF('ORDENES'!$A1106="","",'ORDENES'!$AD1106)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IF('ORDENES'!$A1107="","",IF('ORDENES'!$AF1107="","-",'ORDENES'!$AF1107))</f>
        <v/>
      </c>
      <c r="D1129" s="3">
        <f>IF('ORDENES'!$A1107="","",IF('ORDENES'!$X1107="","-",'ORDENES'!$X1107))</f>
        <v/>
      </c>
      <c r="E1129" s="3">
        <f>IF('ORDENES'!$A1107="","",IF('ORDENES'!$V1107="","-",'ORDENES'!$V1107))</f>
        <v/>
      </c>
      <c r="F1129" s="3">
        <f>IF('ORDENES'!$A1107="","",IF('ORDENES'!$Y1107="","-",'ORDENES'!$Y1107))</f>
        <v/>
      </c>
      <c r="G1129" s="3">
        <f>IF('ORDENES'!$A1107="","",IF('ORDENES'!$W1107="","-",'ORDENES'!$W1107))</f>
        <v/>
      </c>
      <c r="H1129" s="3">
        <f>IF('ORDENES'!$A1107="","",IF('ORDENES'!$AE1107="","-",'ORDENES'!$AE1107))</f>
        <v/>
      </c>
      <c r="I1129" s="3">
        <f>IF('ORDENES'!$A1107="","",IF('ORDENES'!$AQ1107="","-",'ORDENES'!$AQ1107))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IF('ORDENES'!$A1107="","",'ORDENES'!$AD1107)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IF('ORDENES'!$A1108="","",IF('ORDENES'!$AF1108="","-",'ORDENES'!$AF1108))</f>
        <v/>
      </c>
      <c r="D1130" s="3">
        <f>IF('ORDENES'!$A1108="","",IF('ORDENES'!$X1108="","-",'ORDENES'!$X1108))</f>
        <v/>
      </c>
      <c r="E1130" s="3">
        <f>IF('ORDENES'!$A1108="","",IF('ORDENES'!$V1108="","-",'ORDENES'!$V1108))</f>
        <v/>
      </c>
      <c r="F1130" s="3">
        <f>IF('ORDENES'!$A1108="","",IF('ORDENES'!$Y1108="","-",'ORDENES'!$Y1108))</f>
        <v/>
      </c>
      <c r="G1130" s="3">
        <f>IF('ORDENES'!$A1108="","",IF('ORDENES'!$W1108="","-",'ORDENES'!$W1108))</f>
        <v/>
      </c>
      <c r="H1130" s="3">
        <f>IF('ORDENES'!$A1108="","",IF('ORDENES'!$AE1108="","-",'ORDENES'!$AE1108))</f>
        <v/>
      </c>
      <c r="I1130" s="3">
        <f>IF('ORDENES'!$A1108="","",IF('ORDENES'!$AQ1108="","-",'ORDENES'!$AQ1108))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IF('ORDENES'!$A1108="","",'ORDENES'!$AD1108)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IF('ORDENES'!$A1109="","",IF('ORDENES'!$AF1109="","-",'ORDENES'!$AF1109))</f>
        <v/>
      </c>
      <c r="D1131" s="3">
        <f>IF('ORDENES'!$A1109="","",IF('ORDENES'!$X1109="","-",'ORDENES'!$X1109))</f>
        <v/>
      </c>
      <c r="E1131" s="3">
        <f>IF('ORDENES'!$A1109="","",IF('ORDENES'!$V1109="","-",'ORDENES'!$V1109))</f>
        <v/>
      </c>
      <c r="F1131" s="3">
        <f>IF('ORDENES'!$A1109="","",IF('ORDENES'!$Y1109="","-",'ORDENES'!$Y1109))</f>
        <v/>
      </c>
      <c r="G1131" s="3">
        <f>IF('ORDENES'!$A1109="","",IF('ORDENES'!$W1109="","-",'ORDENES'!$W1109))</f>
        <v/>
      </c>
      <c r="H1131" s="3">
        <f>IF('ORDENES'!$A1109="","",IF('ORDENES'!$AE1109="","-",'ORDENES'!$AE1109))</f>
        <v/>
      </c>
      <c r="I1131" s="3">
        <f>IF('ORDENES'!$A1109="","",IF('ORDENES'!$AQ1109="","-",'ORDENES'!$AQ1109))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IF('ORDENES'!$A1109="","",'ORDENES'!$AD1109)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IF('ORDENES'!$A1110="","",IF('ORDENES'!$AF1110="","-",'ORDENES'!$AF1110))</f>
        <v/>
      </c>
      <c r="D1132" s="3">
        <f>IF('ORDENES'!$A1110="","",IF('ORDENES'!$X1110="","-",'ORDENES'!$X1110))</f>
        <v/>
      </c>
      <c r="E1132" s="3">
        <f>IF('ORDENES'!$A1110="","",IF('ORDENES'!$V1110="","-",'ORDENES'!$V1110))</f>
        <v/>
      </c>
      <c r="F1132" s="3">
        <f>IF('ORDENES'!$A1110="","",IF('ORDENES'!$Y1110="","-",'ORDENES'!$Y1110))</f>
        <v/>
      </c>
      <c r="G1132" s="3">
        <f>IF('ORDENES'!$A1110="","",IF('ORDENES'!$W1110="","-",'ORDENES'!$W1110))</f>
        <v/>
      </c>
      <c r="H1132" s="3">
        <f>IF('ORDENES'!$A1110="","",IF('ORDENES'!$AE1110="","-",'ORDENES'!$AE1110))</f>
        <v/>
      </c>
      <c r="I1132" s="3">
        <f>IF('ORDENES'!$A1110="","",IF('ORDENES'!$AQ1110="","-",'ORDENES'!$AQ1110))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IF('ORDENES'!$A1110="","",'ORDENES'!$AD1110)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IF('ORDENES'!$A1111="","",IF('ORDENES'!$AF1111="","-",'ORDENES'!$AF1111))</f>
        <v/>
      </c>
      <c r="D1133" s="3">
        <f>IF('ORDENES'!$A1111="","",IF('ORDENES'!$X1111="","-",'ORDENES'!$X1111))</f>
        <v/>
      </c>
      <c r="E1133" s="3">
        <f>IF('ORDENES'!$A1111="","",IF('ORDENES'!$V1111="","-",'ORDENES'!$V1111))</f>
        <v/>
      </c>
      <c r="F1133" s="3">
        <f>IF('ORDENES'!$A1111="","",IF('ORDENES'!$Y1111="","-",'ORDENES'!$Y1111))</f>
        <v/>
      </c>
      <c r="G1133" s="3">
        <f>IF('ORDENES'!$A1111="","",IF('ORDENES'!$W1111="","-",'ORDENES'!$W1111))</f>
        <v/>
      </c>
      <c r="H1133" s="3">
        <f>IF('ORDENES'!$A1111="","",IF('ORDENES'!$AE1111="","-",'ORDENES'!$AE1111))</f>
        <v/>
      </c>
      <c r="I1133" s="3">
        <f>IF('ORDENES'!$A1111="","",IF('ORDENES'!$AQ1111="","-",'ORDENES'!$AQ1111))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IF('ORDENES'!$A1111="","",'ORDENES'!$AD1111)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IF('ORDENES'!$A1112="","",IF('ORDENES'!$AF1112="","-",'ORDENES'!$AF1112))</f>
        <v/>
      </c>
      <c r="D1134" s="3">
        <f>IF('ORDENES'!$A1112="","",IF('ORDENES'!$X1112="","-",'ORDENES'!$X1112))</f>
        <v/>
      </c>
      <c r="E1134" s="3">
        <f>IF('ORDENES'!$A1112="","",IF('ORDENES'!$V1112="","-",'ORDENES'!$V1112))</f>
        <v/>
      </c>
      <c r="F1134" s="3">
        <f>IF('ORDENES'!$A1112="","",IF('ORDENES'!$Y1112="","-",'ORDENES'!$Y1112))</f>
        <v/>
      </c>
      <c r="G1134" s="3">
        <f>IF('ORDENES'!$A1112="","",IF('ORDENES'!$W1112="","-",'ORDENES'!$W1112))</f>
        <v/>
      </c>
      <c r="H1134" s="3">
        <f>IF('ORDENES'!$A1112="","",IF('ORDENES'!$AE1112="","-",'ORDENES'!$AE1112))</f>
        <v/>
      </c>
      <c r="I1134" s="3">
        <f>IF('ORDENES'!$A1112="","",IF('ORDENES'!$AQ1112="","-",'ORDENES'!$AQ1112))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IF('ORDENES'!$A1112="","",'ORDENES'!$AD1112)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IF('ORDENES'!$A1113="","",IF('ORDENES'!$AF1113="","-",'ORDENES'!$AF1113))</f>
        <v/>
      </c>
      <c r="D1135" s="3">
        <f>IF('ORDENES'!$A1113="","",IF('ORDENES'!$X1113="","-",'ORDENES'!$X1113))</f>
        <v/>
      </c>
      <c r="E1135" s="3">
        <f>IF('ORDENES'!$A1113="","",IF('ORDENES'!$V1113="","-",'ORDENES'!$V1113))</f>
        <v/>
      </c>
      <c r="F1135" s="3">
        <f>IF('ORDENES'!$A1113="","",IF('ORDENES'!$Y1113="","-",'ORDENES'!$Y1113))</f>
        <v/>
      </c>
      <c r="G1135" s="3">
        <f>IF('ORDENES'!$A1113="","",IF('ORDENES'!$W1113="","-",'ORDENES'!$W1113))</f>
        <v/>
      </c>
      <c r="H1135" s="3">
        <f>IF('ORDENES'!$A1113="","",IF('ORDENES'!$AE1113="","-",'ORDENES'!$AE1113))</f>
        <v/>
      </c>
      <c r="I1135" s="3">
        <f>IF('ORDENES'!$A1113="","",IF('ORDENES'!$AQ1113="","-",'ORDENES'!$AQ1113))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IF('ORDENES'!$A1113="","",'ORDENES'!$AD1113)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IF('ORDENES'!$A1114="","",IF('ORDENES'!$AF1114="","-",'ORDENES'!$AF1114))</f>
        <v/>
      </c>
      <c r="D1136" s="3">
        <f>IF('ORDENES'!$A1114="","",IF('ORDENES'!$X1114="","-",'ORDENES'!$X1114))</f>
        <v/>
      </c>
      <c r="E1136" s="3">
        <f>IF('ORDENES'!$A1114="","",IF('ORDENES'!$V1114="","-",'ORDENES'!$V1114))</f>
        <v/>
      </c>
      <c r="F1136" s="3">
        <f>IF('ORDENES'!$A1114="","",IF('ORDENES'!$Y1114="","-",'ORDENES'!$Y1114))</f>
        <v/>
      </c>
      <c r="G1136" s="3">
        <f>IF('ORDENES'!$A1114="","",IF('ORDENES'!$W1114="","-",'ORDENES'!$W1114))</f>
        <v/>
      </c>
      <c r="H1136" s="3">
        <f>IF('ORDENES'!$A1114="","",IF('ORDENES'!$AE1114="","-",'ORDENES'!$AE1114))</f>
        <v/>
      </c>
      <c r="I1136" s="3">
        <f>IF('ORDENES'!$A1114="","",IF('ORDENES'!$AQ1114="","-",'ORDENES'!$AQ1114))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IF('ORDENES'!$A1114="","",'ORDENES'!$AD1114)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IF('ORDENES'!$A1115="","",IF('ORDENES'!$AF1115="","-",'ORDENES'!$AF1115))</f>
        <v/>
      </c>
      <c r="D1137" s="3">
        <f>IF('ORDENES'!$A1115="","",IF('ORDENES'!$X1115="","-",'ORDENES'!$X1115))</f>
        <v/>
      </c>
      <c r="E1137" s="3">
        <f>IF('ORDENES'!$A1115="","",IF('ORDENES'!$V1115="","-",'ORDENES'!$V1115))</f>
        <v/>
      </c>
      <c r="F1137" s="3">
        <f>IF('ORDENES'!$A1115="","",IF('ORDENES'!$Y1115="","-",'ORDENES'!$Y1115))</f>
        <v/>
      </c>
      <c r="G1137" s="3">
        <f>IF('ORDENES'!$A1115="","",IF('ORDENES'!$W1115="","-",'ORDENES'!$W1115))</f>
        <v/>
      </c>
      <c r="H1137" s="3">
        <f>IF('ORDENES'!$A1115="","",IF('ORDENES'!$AE1115="","-",'ORDENES'!$AE1115))</f>
        <v/>
      </c>
      <c r="I1137" s="3">
        <f>IF('ORDENES'!$A1115="","",IF('ORDENES'!$AQ1115="","-",'ORDENES'!$AQ1115))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IF('ORDENES'!$A1115="","",'ORDENES'!$AD1115)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IF('ORDENES'!$A1116="","",IF('ORDENES'!$AF1116="","-",'ORDENES'!$AF1116))</f>
        <v/>
      </c>
      <c r="D1138" s="3">
        <f>IF('ORDENES'!$A1116="","",IF('ORDENES'!$X1116="","-",'ORDENES'!$X1116))</f>
        <v/>
      </c>
      <c r="E1138" s="3">
        <f>IF('ORDENES'!$A1116="","",IF('ORDENES'!$V1116="","-",'ORDENES'!$V1116))</f>
        <v/>
      </c>
      <c r="F1138" s="3">
        <f>IF('ORDENES'!$A1116="","",IF('ORDENES'!$Y1116="","-",'ORDENES'!$Y1116))</f>
        <v/>
      </c>
      <c r="G1138" s="3">
        <f>IF('ORDENES'!$A1116="","",IF('ORDENES'!$W1116="","-",'ORDENES'!$W1116))</f>
        <v/>
      </c>
      <c r="H1138" s="3">
        <f>IF('ORDENES'!$A1116="","",IF('ORDENES'!$AE1116="","-",'ORDENES'!$AE1116))</f>
        <v/>
      </c>
      <c r="I1138" s="3">
        <f>IF('ORDENES'!$A1116="","",IF('ORDENES'!$AQ1116="","-",'ORDENES'!$AQ1116))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IF('ORDENES'!$A1116="","",'ORDENES'!$AD1116)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IF('ORDENES'!$A1117="","",IF('ORDENES'!$AF1117="","-",'ORDENES'!$AF1117))</f>
        <v/>
      </c>
      <c r="D1139" s="3">
        <f>IF('ORDENES'!$A1117="","",IF('ORDENES'!$X1117="","-",'ORDENES'!$X1117))</f>
        <v/>
      </c>
      <c r="E1139" s="3">
        <f>IF('ORDENES'!$A1117="","",IF('ORDENES'!$V1117="","-",'ORDENES'!$V1117))</f>
        <v/>
      </c>
      <c r="F1139" s="3">
        <f>IF('ORDENES'!$A1117="","",IF('ORDENES'!$Y1117="","-",'ORDENES'!$Y1117))</f>
        <v/>
      </c>
      <c r="G1139" s="3">
        <f>IF('ORDENES'!$A1117="","",IF('ORDENES'!$W1117="","-",'ORDENES'!$W1117))</f>
        <v/>
      </c>
      <c r="H1139" s="3">
        <f>IF('ORDENES'!$A1117="","",IF('ORDENES'!$AE1117="","-",'ORDENES'!$AE1117))</f>
        <v/>
      </c>
      <c r="I1139" s="3">
        <f>IF('ORDENES'!$A1117="","",IF('ORDENES'!$AQ1117="","-",'ORDENES'!$AQ1117))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IF('ORDENES'!$A1117="","",'ORDENES'!$AD1117)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IF('ORDENES'!$A1118="","",IF('ORDENES'!$AF1118="","-",'ORDENES'!$AF1118))</f>
        <v/>
      </c>
      <c r="D1140" s="3">
        <f>IF('ORDENES'!$A1118="","",IF('ORDENES'!$X1118="","-",'ORDENES'!$X1118))</f>
        <v/>
      </c>
      <c r="E1140" s="3">
        <f>IF('ORDENES'!$A1118="","",IF('ORDENES'!$V1118="","-",'ORDENES'!$V1118))</f>
        <v/>
      </c>
      <c r="F1140" s="3">
        <f>IF('ORDENES'!$A1118="","",IF('ORDENES'!$Y1118="","-",'ORDENES'!$Y1118))</f>
        <v/>
      </c>
      <c r="G1140" s="3">
        <f>IF('ORDENES'!$A1118="","",IF('ORDENES'!$W1118="","-",'ORDENES'!$W1118))</f>
        <v/>
      </c>
      <c r="H1140" s="3">
        <f>IF('ORDENES'!$A1118="","",IF('ORDENES'!$AE1118="","-",'ORDENES'!$AE1118))</f>
        <v/>
      </c>
      <c r="I1140" s="3">
        <f>IF('ORDENES'!$A1118="","",IF('ORDENES'!$AQ1118="","-",'ORDENES'!$AQ1118))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IF('ORDENES'!$A1118="","",'ORDENES'!$AD1118)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IF('ORDENES'!$A1119="","",IF('ORDENES'!$AF1119="","-",'ORDENES'!$AF1119))</f>
        <v/>
      </c>
      <c r="D1141" s="3">
        <f>IF('ORDENES'!$A1119="","",IF('ORDENES'!$X1119="","-",'ORDENES'!$X1119))</f>
        <v/>
      </c>
      <c r="E1141" s="3">
        <f>IF('ORDENES'!$A1119="","",IF('ORDENES'!$V1119="","-",'ORDENES'!$V1119))</f>
        <v/>
      </c>
      <c r="F1141" s="3">
        <f>IF('ORDENES'!$A1119="","",IF('ORDENES'!$Y1119="","-",'ORDENES'!$Y1119))</f>
        <v/>
      </c>
      <c r="G1141" s="3">
        <f>IF('ORDENES'!$A1119="","",IF('ORDENES'!$W1119="","-",'ORDENES'!$W1119))</f>
        <v/>
      </c>
      <c r="H1141" s="3">
        <f>IF('ORDENES'!$A1119="","",IF('ORDENES'!$AE1119="","-",'ORDENES'!$AE1119))</f>
        <v/>
      </c>
      <c r="I1141" s="3">
        <f>IF('ORDENES'!$A1119="","",IF('ORDENES'!$AQ1119="","-",'ORDENES'!$AQ1119))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IF('ORDENES'!$A1119="","",'ORDENES'!$AD1119)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IF('ORDENES'!$A1120="","",IF('ORDENES'!$AF1120="","-",'ORDENES'!$AF1120))</f>
        <v/>
      </c>
      <c r="D1142" s="3">
        <f>IF('ORDENES'!$A1120="","",IF('ORDENES'!$X1120="","-",'ORDENES'!$X1120))</f>
        <v/>
      </c>
      <c r="E1142" s="3">
        <f>IF('ORDENES'!$A1120="","",IF('ORDENES'!$V1120="","-",'ORDENES'!$V1120))</f>
        <v/>
      </c>
      <c r="F1142" s="3">
        <f>IF('ORDENES'!$A1120="","",IF('ORDENES'!$Y1120="","-",'ORDENES'!$Y1120))</f>
        <v/>
      </c>
      <c r="G1142" s="3">
        <f>IF('ORDENES'!$A1120="","",IF('ORDENES'!$W1120="","-",'ORDENES'!$W1120))</f>
        <v/>
      </c>
      <c r="H1142" s="3">
        <f>IF('ORDENES'!$A1120="","",IF('ORDENES'!$AE1120="","-",'ORDENES'!$AE1120))</f>
        <v/>
      </c>
      <c r="I1142" s="3">
        <f>IF('ORDENES'!$A1120="","",IF('ORDENES'!$AQ1120="","-",'ORDENES'!$AQ1120))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IF('ORDENES'!$A1120="","",'ORDENES'!$AD1120)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IF('ORDENES'!$A1121="","",IF('ORDENES'!$AF1121="","-",'ORDENES'!$AF1121))</f>
        <v/>
      </c>
      <c r="D1143" s="3">
        <f>IF('ORDENES'!$A1121="","",IF('ORDENES'!$X1121="","-",'ORDENES'!$X1121))</f>
        <v/>
      </c>
      <c r="E1143" s="3">
        <f>IF('ORDENES'!$A1121="","",IF('ORDENES'!$V1121="","-",'ORDENES'!$V1121))</f>
        <v/>
      </c>
      <c r="F1143" s="3">
        <f>IF('ORDENES'!$A1121="","",IF('ORDENES'!$Y1121="","-",'ORDENES'!$Y1121))</f>
        <v/>
      </c>
      <c r="G1143" s="3">
        <f>IF('ORDENES'!$A1121="","",IF('ORDENES'!$W1121="","-",'ORDENES'!$W1121))</f>
        <v/>
      </c>
      <c r="H1143" s="3">
        <f>IF('ORDENES'!$A1121="","",IF('ORDENES'!$AE1121="","-",'ORDENES'!$AE1121))</f>
        <v/>
      </c>
      <c r="I1143" s="3">
        <f>IF('ORDENES'!$A1121="","",IF('ORDENES'!$AQ1121="","-",'ORDENES'!$AQ1121))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IF('ORDENES'!$A1121="","",'ORDENES'!$AD1121)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IF('ORDENES'!$A1122="","",IF('ORDENES'!$AF1122="","-",'ORDENES'!$AF1122))</f>
        <v/>
      </c>
      <c r="D1144" s="3">
        <f>IF('ORDENES'!$A1122="","",IF('ORDENES'!$X1122="","-",'ORDENES'!$X1122))</f>
        <v/>
      </c>
      <c r="E1144" s="3">
        <f>IF('ORDENES'!$A1122="","",IF('ORDENES'!$V1122="","-",'ORDENES'!$V1122))</f>
        <v/>
      </c>
      <c r="F1144" s="3">
        <f>IF('ORDENES'!$A1122="","",IF('ORDENES'!$Y1122="","-",'ORDENES'!$Y1122))</f>
        <v/>
      </c>
      <c r="G1144" s="3">
        <f>IF('ORDENES'!$A1122="","",IF('ORDENES'!$W1122="","-",'ORDENES'!$W1122))</f>
        <v/>
      </c>
      <c r="H1144" s="3">
        <f>IF('ORDENES'!$A1122="","",IF('ORDENES'!$AE1122="","-",'ORDENES'!$AE1122))</f>
        <v/>
      </c>
      <c r="I1144" s="3">
        <f>IF('ORDENES'!$A1122="","",IF('ORDENES'!$AQ1122="","-",'ORDENES'!$AQ1122))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IF('ORDENES'!$A1122="","",'ORDENES'!$AD1122)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IF('ORDENES'!$A1123="","",IF('ORDENES'!$AF1123="","-",'ORDENES'!$AF1123))</f>
        <v/>
      </c>
      <c r="D1145" s="3">
        <f>IF('ORDENES'!$A1123="","",IF('ORDENES'!$X1123="","-",'ORDENES'!$X1123))</f>
        <v/>
      </c>
      <c r="E1145" s="3">
        <f>IF('ORDENES'!$A1123="","",IF('ORDENES'!$V1123="","-",'ORDENES'!$V1123))</f>
        <v/>
      </c>
      <c r="F1145" s="3">
        <f>IF('ORDENES'!$A1123="","",IF('ORDENES'!$Y1123="","-",'ORDENES'!$Y1123))</f>
        <v/>
      </c>
      <c r="G1145" s="3">
        <f>IF('ORDENES'!$A1123="","",IF('ORDENES'!$W1123="","-",'ORDENES'!$W1123))</f>
        <v/>
      </c>
      <c r="H1145" s="3">
        <f>IF('ORDENES'!$A1123="","",IF('ORDENES'!$AE1123="","-",'ORDENES'!$AE1123))</f>
        <v/>
      </c>
      <c r="I1145" s="3">
        <f>IF('ORDENES'!$A1123="","",IF('ORDENES'!$AQ1123="","-",'ORDENES'!$AQ1123))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IF('ORDENES'!$A1123="","",'ORDENES'!$AD1123)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IF('ORDENES'!$A1124="","",IF('ORDENES'!$AF1124="","-",'ORDENES'!$AF1124))</f>
        <v/>
      </c>
      <c r="D1146" s="3">
        <f>IF('ORDENES'!$A1124="","",IF('ORDENES'!$X1124="","-",'ORDENES'!$X1124))</f>
        <v/>
      </c>
      <c r="E1146" s="3">
        <f>IF('ORDENES'!$A1124="","",IF('ORDENES'!$V1124="","-",'ORDENES'!$V1124))</f>
        <v/>
      </c>
      <c r="F1146" s="3">
        <f>IF('ORDENES'!$A1124="","",IF('ORDENES'!$Y1124="","-",'ORDENES'!$Y1124))</f>
        <v/>
      </c>
      <c r="G1146" s="3">
        <f>IF('ORDENES'!$A1124="","",IF('ORDENES'!$W1124="","-",'ORDENES'!$W1124))</f>
        <v/>
      </c>
      <c r="H1146" s="3">
        <f>IF('ORDENES'!$A1124="","",IF('ORDENES'!$AE1124="","-",'ORDENES'!$AE1124))</f>
        <v/>
      </c>
      <c r="I1146" s="3">
        <f>IF('ORDENES'!$A1124="","",IF('ORDENES'!$AQ1124="","-",'ORDENES'!$AQ1124))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IF('ORDENES'!$A1124="","",'ORDENES'!$AD1124)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IF('ORDENES'!$A1125="","",IF('ORDENES'!$AF1125="","-",'ORDENES'!$AF1125))</f>
        <v/>
      </c>
      <c r="D1147" s="3">
        <f>IF('ORDENES'!$A1125="","",IF('ORDENES'!$X1125="","-",'ORDENES'!$X1125))</f>
        <v/>
      </c>
      <c r="E1147" s="3">
        <f>IF('ORDENES'!$A1125="","",IF('ORDENES'!$V1125="","-",'ORDENES'!$V1125))</f>
        <v/>
      </c>
      <c r="F1147" s="3">
        <f>IF('ORDENES'!$A1125="","",IF('ORDENES'!$Y1125="","-",'ORDENES'!$Y1125))</f>
        <v/>
      </c>
      <c r="G1147" s="3">
        <f>IF('ORDENES'!$A1125="","",IF('ORDENES'!$W1125="","-",'ORDENES'!$W1125))</f>
        <v/>
      </c>
      <c r="H1147" s="3">
        <f>IF('ORDENES'!$A1125="","",IF('ORDENES'!$AE1125="","-",'ORDENES'!$AE1125))</f>
        <v/>
      </c>
      <c r="I1147" s="3">
        <f>IF('ORDENES'!$A1125="","",IF('ORDENES'!$AQ1125="","-",'ORDENES'!$AQ1125))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IF('ORDENES'!$A1125="","",'ORDENES'!$AD1125)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IF('ORDENES'!$A1126="","",IF('ORDENES'!$AF1126="","-",'ORDENES'!$AF1126))</f>
        <v/>
      </c>
      <c r="D1148" s="3">
        <f>IF('ORDENES'!$A1126="","",IF('ORDENES'!$X1126="","-",'ORDENES'!$X1126))</f>
        <v/>
      </c>
      <c r="E1148" s="3">
        <f>IF('ORDENES'!$A1126="","",IF('ORDENES'!$V1126="","-",'ORDENES'!$V1126))</f>
        <v/>
      </c>
      <c r="F1148" s="3">
        <f>IF('ORDENES'!$A1126="","",IF('ORDENES'!$Y1126="","-",'ORDENES'!$Y1126))</f>
        <v/>
      </c>
      <c r="G1148" s="3">
        <f>IF('ORDENES'!$A1126="","",IF('ORDENES'!$W1126="","-",'ORDENES'!$W1126))</f>
        <v/>
      </c>
      <c r="H1148" s="3">
        <f>IF('ORDENES'!$A1126="","",IF('ORDENES'!$AE1126="","-",'ORDENES'!$AE1126))</f>
        <v/>
      </c>
      <c r="I1148" s="3">
        <f>IF('ORDENES'!$A1126="","",IF('ORDENES'!$AQ1126="","-",'ORDENES'!$AQ1126))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IF('ORDENES'!$A1126="","",'ORDENES'!$AD1126)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IF('ORDENES'!$A1127="","",IF('ORDENES'!$AF1127="","-",'ORDENES'!$AF1127))</f>
        <v/>
      </c>
      <c r="D1149" s="3">
        <f>IF('ORDENES'!$A1127="","",IF('ORDENES'!$X1127="","-",'ORDENES'!$X1127))</f>
        <v/>
      </c>
      <c r="E1149" s="3">
        <f>IF('ORDENES'!$A1127="","",IF('ORDENES'!$V1127="","-",'ORDENES'!$V1127))</f>
        <v/>
      </c>
      <c r="F1149" s="3">
        <f>IF('ORDENES'!$A1127="","",IF('ORDENES'!$Y1127="","-",'ORDENES'!$Y1127))</f>
        <v/>
      </c>
      <c r="G1149" s="3">
        <f>IF('ORDENES'!$A1127="","",IF('ORDENES'!$W1127="","-",'ORDENES'!$W1127))</f>
        <v/>
      </c>
      <c r="H1149" s="3">
        <f>IF('ORDENES'!$A1127="","",IF('ORDENES'!$AE1127="","-",'ORDENES'!$AE1127))</f>
        <v/>
      </c>
      <c r="I1149" s="3">
        <f>IF('ORDENES'!$A1127="","",IF('ORDENES'!$AQ1127="","-",'ORDENES'!$AQ1127))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IF('ORDENES'!$A1127="","",'ORDENES'!$AD1127)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IF('ORDENES'!$A1128="","",IF('ORDENES'!$AF1128="","-",'ORDENES'!$AF1128))</f>
        <v/>
      </c>
      <c r="D1150" s="3">
        <f>IF('ORDENES'!$A1128="","",IF('ORDENES'!$X1128="","-",'ORDENES'!$X1128))</f>
        <v/>
      </c>
      <c r="E1150" s="3">
        <f>IF('ORDENES'!$A1128="","",IF('ORDENES'!$V1128="","-",'ORDENES'!$V1128))</f>
        <v/>
      </c>
      <c r="F1150" s="3">
        <f>IF('ORDENES'!$A1128="","",IF('ORDENES'!$Y1128="","-",'ORDENES'!$Y1128))</f>
        <v/>
      </c>
      <c r="G1150" s="3">
        <f>IF('ORDENES'!$A1128="","",IF('ORDENES'!$W1128="","-",'ORDENES'!$W1128))</f>
        <v/>
      </c>
      <c r="H1150" s="3">
        <f>IF('ORDENES'!$A1128="","",IF('ORDENES'!$AE1128="","-",'ORDENES'!$AE1128))</f>
        <v/>
      </c>
      <c r="I1150" s="3">
        <f>IF('ORDENES'!$A1128="","",IF('ORDENES'!$AQ1128="","-",'ORDENES'!$AQ1128))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IF('ORDENES'!$A1128="","",'ORDENES'!$AD1128)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IF('ORDENES'!$A1129="","",IF('ORDENES'!$AF1129="","-",'ORDENES'!$AF1129))</f>
        <v/>
      </c>
      <c r="D1151" s="3">
        <f>IF('ORDENES'!$A1129="","",IF('ORDENES'!$X1129="","-",'ORDENES'!$X1129))</f>
        <v/>
      </c>
      <c r="E1151" s="3">
        <f>IF('ORDENES'!$A1129="","",IF('ORDENES'!$V1129="","-",'ORDENES'!$V1129))</f>
        <v/>
      </c>
      <c r="F1151" s="3">
        <f>IF('ORDENES'!$A1129="","",IF('ORDENES'!$Y1129="","-",'ORDENES'!$Y1129))</f>
        <v/>
      </c>
      <c r="G1151" s="3">
        <f>IF('ORDENES'!$A1129="","",IF('ORDENES'!$W1129="","-",'ORDENES'!$W1129))</f>
        <v/>
      </c>
      <c r="H1151" s="3">
        <f>IF('ORDENES'!$A1129="","",IF('ORDENES'!$AE1129="","-",'ORDENES'!$AE1129))</f>
        <v/>
      </c>
      <c r="I1151" s="3">
        <f>IF('ORDENES'!$A1129="","",IF('ORDENES'!$AQ1129="","-",'ORDENES'!$AQ1129))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IF('ORDENES'!$A1129="","",'ORDENES'!$AD1129)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IF('ORDENES'!$A1130="","",IF('ORDENES'!$AF1130="","-",'ORDENES'!$AF1130))</f>
        <v/>
      </c>
      <c r="D1152" s="3">
        <f>IF('ORDENES'!$A1130="","",IF('ORDENES'!$X1130="","-",'ORDENES'!$X1130))</f>
        <v/>
      </c>
      <c r="E1152" s="3">
        <f>IF('ORDENES'!$A1130="","",IF('ORDENES'!$V1130="","-",'ORDENES'!$V1130))</f>
        <v/>
      </c>
      <c r="F1152" s="3">
        <f>IF('ORDENES'!$A1130="","",IF('ORDENES'!$Y1130="","-",'ORDENES'!$Y1130))</f>
        <v/>
      </c>
      <c r="G1152" s="3">
        <f>IF('ORDENES'!$A1130="","",IF('ORDENES'!$W1130="","-",'ORDENES'!$W1130))</f>
        <v/>
      </c>
      <c r="H1152" s="3">
        <f>IF('ORDENES'!$A1130="","",IF('ORDENES'!$AE1130="","-",'ORDENES'!$AE1130))</f>
        <v/>
      </c>
      <c r="I1152" s="3">
        <f>IF('ORDENES'!$A1130="","",IF('ORDENES'!$AQ1130="","-",'ORDENES'!$AQ1130))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IF('ORDENES'!$A1130="","",'ORDENES'!$AD1130)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IF('ORDENES'!$A1131="","",IF('ORDENES'!$AF1131="","-",'ORDENES'!$AF1131))</f>
        <v/>
      </c>
      <c r="D1153" s="3">
        <f>IF('ORDENES'!$A1131="","",IF('ORDENES'!$X1131="","-",'ORDENES'!$X1131))</f>
        <v/>
      </c>
      <c r="E1153" s="3">
        <f>IF('ORDENES'!$A1131="","",IF('ORDENES'!$V1131="","-",'ORDENES'!$V1131))</f>
        <v/>
      </c>
      <c r="F1153" s="3">
        <f>IF('ORDENES'!$A1131="","",IF('ORDENES'!$Y1131="","-",'ORDENES'!$Y1131))</f>
        <v/>
      </c>
      <c r="G1153" s="3">
        <f>IF('ORDENES'!$A1131="","",IF('ORDENES'!$W1131="","-",'ORDENES'!$W1131))</f>
        <v/>
      </c>
      <c r="H1153" s="3">
        <f>IF('ORDENES'!$A1131="","",IF('ORDENES'!$AE1131="","-",'ORDENES'!$AE1131))</f>
        <v/>
      </c>
      <c r="I1153" s="3">
        <f>IF('ORDENES'!$A1131="","",IF('ORDENES'!$AQ1131="","-",'ORDENES'!$AQ1131))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IF('ORDENES'!$A1131="","",'ORDENES'!$AD1131)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IF('ORDENES'!$A1132="","",IF('ORDENES'!$AF1132="","-",'ORDENES'!$AF1132))</f>
        <v/>
      </c>
      <c r="D1154" s="3">
        <f>IF('ORDENES'!$A1132="","",IF('ORDENES'!$X1132="","-",'ORDENES'!$X1132))</f>
        <v/>
      </c>
      <c r="E1154" s="3">
        <f>IF('ORDENES'!$A1132="","",IF('ORDENES'!$V1132="","-",'ORDENES'!$V1132))</f>
        <v/>
      </c>
      <c r="F1154" s="3">
        <f>IF('ORDENES'!$A1132="","",IF('ORDENES'!$Y1132="","-",'ORDENES'!$Y1132))</f>
        <v/>
      </c>
      <c r="G1154" s="3">
        <f>IF('ORDENES'!$A1132="","",IF('ORDENES'!$W1132="","-",'ORDENES'!$W1132))</f>
        <v/>
      </c>
      <c r="H1154" s="3">
        <f>IF('ORDENES'!$A1132="","",IF('ORDENES'!$AE1132="","-",'ORDENES'!$AE1132))</f>
        <v/>
      </c>
      <c r="I1154" s="3">
        <f>IF('ORDENES'!$A1132="","",IF('ORDENES'!$AQ1132="","-",'ORDENES'!$AQ1132))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IF('ORDENES'!$A1132="","",'ORDENES'!$AD1132)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IF('ORDENES'!$A1133="","",IF('ORDENES'!$AF1133="","-",'ORDENES'!$AF1133))</f>
        <v/>
      </c>
      <c r="D1155" s="3">
        <f>IF('ORDENES'!$A1133="","",IF('ORDENES'!$X1133="","-",'ORDENES'!$X1133))</f>
        <v/>
      </c>
      <c r="E1155" s="3">
        <f>IF('ORDENES'!$A1133="","",IF('ORDENES'!$V1133="","-",'ORDENES'!$V1133))</f>
        <v/>
      </c>
      <c r="F1155" s="3">
        <f>IF('ORDENES'!$A1133="","",IF('ORDENES'!$Y1133="","-",'ORDENES'!$Y1133))</f>
        <v/>
      </c>
      <c r="G1155" s="3">
        <f>IF('ORDENES'!$A1133="","",IF('ORDENES'!$W1133="","-",'ORDENES'!$W1133))</f>
        <v/>
      </c>
      <c r="H1155" s="3">
        <f>IF('ORDENES'!$A1133="","",IF('ORDENES'!$AE1133="","-",'ORDENES'!$AE1133))</f>
        <v/>
      </c>
      <c r="I1155" s="3">
        <f>IF('ORDENES'!$A1133="","",IF('ORDENES'!$AQ1133="","-",'ORDENES'!$AQ1133))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IF('ORDENES'!$A1133="","",'ORDENES'!$AD1133)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IF('ORDENES'!$A1134="","",IF('ORDENES'!$AF1134="","-",'ORDENES'!$AF1134))</f>
        <v/>
      </c>
      <c r="D1156" s="3">
        <f>IF('ORDENES'!$A1134="","",IF('ORDENES'!$X1134="","-",'ORDENES'!$X1134))</f>
        <v/>
      </c>
      <c r="E1156" s="3">
        <f>IF('ORDENES'!$A1134="","",IF('ORDENES'!$V1134="","-",'ORDENES'!$V1134))</f>
        <v/>
      </c>
      <c r="F1156" s="3">
        <f>IF('ORDENES'!$A1134="","",IF('ORDENES'!$Y1134="","-",'ORDENES'!$Y1134))</f>
        <v/>
      </c>
      <c r="G1156" s="3">
        <f>IF('ORDENES'!$A1134="","",IF('ORDENES'!$W1134="","-",'ORDENES'!$W1134))</f>
        <v/>
      </c>
      <c r="H1156" s="3">
        <f>IF('ORDENES'!$A1134="","",IF('ORDENES'!$AE1134="","-",'ORDENES'!$AE1134))</f>
        <v/>
      </c>
      <c r="I1156" s="3">
        <f>IF('ORDENES'!$A1134="","",IF('ORDENES'!$AQ1134="","-",'ORDENES'!$AQ1134))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IF('ORDENES'!$A1134="","",'ORDENES'!$AD1134)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IF('ORDENES'!$A1135="","",IF('ORDENES'!$AF1135="","-",'ORDENES'!$AF1135))</f>
        <v/>
      </c>
      <c r="D1157" s="3">
        <f>IF('ORDENES'!$A1135="","",IF('ORDENES'!$X1135="","-",'ORDENES'!$X1135))</f>
        <v/>
      </c>
      <c r="E1157" s="3">
        <f>IF('ORDENES'!$A1135="","",IF('ORDENES'!$V1135="","-",'ORDENES'!$V1135))</f>
        <v/>
      </c>
      <c r="F1157" s="3">
        <f>IF('ORDENES'!$A1135="","",IF('ORDENES'!$Y1135="","-",'ORDENES'!$Y1135))</f>
        <v/>
      </c>
      <c r="G1157" s="3">
        <f>IF('ORDENES'!$A1135="","",IF('ORDENES'!$W1135="","-",'ORDENES'!$W1135))</f>
        <v/>
      </c>
      <c r="H1157" s="3">
        <f>IF('ORDENES'!$A1135="","",IF('ORDENES'!$AE1135="","-",'ORDENES'!$AE1135))</f>
        <v/>
      </c>
      <c r="I1157" s="3">
        <f>IF('ORDENES'!$A1135="","",IF('ORDENES'!$AQ1135="","-",'ORDENES'!$AQ1135))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IF('ORDENES'!$A1135="","",'ORDENES'!$AD1135)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IF('ORDENES'!$A1136="","",IF('ORDENES'!$AF1136="","-",'ORDENES'!$AF1136))</f>
        <v/>
      </c>
      <c r="D1158" s="3">
        <f>IF('ORDENES'!$A1136="","",IF('ORDENES'!$X1136="","-",'ORDENES'!$X1136))</f>
        <v/>
      </c>
      <c r="E1158" s="3">
        <f>IF('ORDENES'!$A1136="","",IF('ORDENES'!$V1136="","-",'ORDENES'!$V1136))</f>
        <v/>
      </c>
      <c r="F1158" s="3">
        <f>IF('ORDENES'!$A1136="","",IF('ORDENES'!$Y1136="","-",'ORDENES'!$Y1136))</f>
        <v/>
      </c>
      <c r="G1158" s="3">
        <f>IF('ORDENES'!$A1136="","",IF('ORDENES'!$W1136="","-",'ORDENES'!$W1136))</f>
        <v/>
      </c>
      <c r="H1158" s="3">
        <f>IF('ORDENES'!$A1136="","",IF('ORDENES'!$AE1136="","-",'ORDENES'!$AE1136))</f>
        <v/>
      </c>
      <c r="I1158" s="3">
        <f>IF('ORDENES'!$A1136="","",IF('ORDENES'!$AQ1136="","-",'ORDENES'!$AQ1136))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IF('ORDENES'!$A1136="","",'ORDENES'!$AD1136)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IF('ORDENES'!$A1137="","",IF('ORDENES'!$AF1137="","-",'ORDENES'!$AF1137))</f>
        <v/>
      </c>
      <c r="D1159" s="3">
        <f>IF('ORDENES'!$A1137="","",IF('ORDENES'!$X1137="","-",'ORDENES'!$X1137))</f>
        <v/>
      </c>
      <c r="E1159" s="3">
        <f>IF('ORDENES'!$A1137="","",IF('ORDENES'!$V1137="","-",'ORDENES'!$V1137))</f>
        <v/>
      </c>
      <c r="F1159" s="3">
        <f>IF('ORDENES'!$A1137="","",IF('ORDENES'!$Y1137="","-",'ORDENES'!$Y1137))</f>
        <v/>
      </c>
      <c r="G1159" s="3">
        <f>IF('ORDENES'!$A1137="","",IF('ORDENES'!$W1137="","-",'ORDENES'!$W1137))</f>
        <v/>
      </c>
      <c r="H1159" s="3">
        <f>IF('ORDENES'!$A1137="","",IF('ORDENES'!$AE1137="","-",'ORDENES'!$AE1137))</f>
        <v/>
      </c>
      <c r="I1159" s="3">
        <f>IF('ORDENES'!$A1137="","",IF('ORDENES'!$AQ1137="","-",'ORDENES'!$AQ1137))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IF('ORDENES'!$A1137="","",'ORDENES'!$AD1137)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IF('ORDENES'!$A1138="","",IF('ORDENES'!$AF1138="","-",'ORDENES'!$AF1138))</f>
        <v/>
      </c>
      <c r="D1160" s="3">
        <f>IF('ORDENES'!$A1138="","",IF('ORDENES'!$X1138="","-",'ORDENES'!$X1138))</f>
        <v/>
      </c>
      <c r="E1160" s="3">
        <f>IF('ORDENES'!$A1138="","",IF('ORDENES'!$V1138="","-",'ORDENES'!$V1138))</f>
        <v/>
      </c>
      <c r="F1160" s="3">
        <f>IF('ORDENES'!$A1138="","",IF('ORDENES'!$Y1138="","-",'ORDENES'!$Y1138))</f>
        <v/>
      </c>
      <c r="G1160" s="3">
        <f>IF('ORDENES'!$A1138="","",IF('ORDENES'!$W1138="","-",'ORDENES'!$W1138))</f>
        <v/>
      </c>
      <c r="H1160" s="3">
        <f>IF('ORDENES'!$A1138="","",IF('ORDENES'!$AE1138="","-",'ORDENES'!$AE1138))</f>
        <v/>
      </c>
      <c r="I1160" s="3">
        <f>IF('ORDENES'!$A1138="","",IF('ORDENES'!$AQ1138="","-",'ORDENES'!$AQ1138))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IF('ORDENES'!$A1138="","",'ORDENES'!$AD1138)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IF('ORDENES'!$A1139="","",IF('ORDENES'!$AF1139="","-",'ORDENES'!$AF1139))</f>
        <v/>
      </c>
      <c r="D1161" s="3">
        <f>IF('ORDENES'!$A1139="","",IF('ORDENES'!$X1139="","-",'ORDENES'!$X1139))</f>
        <v/>
      </c>
      <c r="E1161" s="3">
        <f>IF('ORDENES'!$A1139="","",IF('ORDENES'!$V1139="","-",'ORDENES'!$V1139))</f>
        <v/>
      </c>
      <c r="F1161" s="3">
        <f>IF('ORDENES'!$A1139="","",IF('ORDENES'!$Y1139="","-",'ORDENES'!$Y1139))</f>
        <v/>
      </c>
      <c r="G1161" s="3">
        <f>IF('ORDENES'!$A1139="","",IF('ORDENES'!$W1139="","-",'ORDENES'!$W1139))</f>
        <v/>
      </c>
      <c r="H1161" s="3">
        <f>IF('ORDENES'!$A1139="","",IF('ORDENES'!$AE1139="","-",'ORDENES'!$AE1139))</f>
        <v/>
      </c>
      <c r="I1161" s="3">
        <f>IF('ORDENES'!$A1139="","",IF('ORDENES'!$AQ1139="","-",'ORDENES'!$AQ1139))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IF('ORDENES'!$A1139="","",'ORDENES'!$AD1139)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IF('ORDENES'!$A1140="","",IF('ORDENES'!$AF1140="","-",'ORDENES'!$AF1140))</f>
        <v/>
      </c>
      <c r="D1162" s="3">
        <f>IF('ORDENES'!$A1140="","",IF('ORDENES'!$X1140="","-",'ORDENES'!$X1140))</f>
        <v/>
      </c>
      <c r="E1162" s="3">
        <f>IF('ORDENES'!$A1140="","",IF('ORDENES'!$V1140="","-",'ORDENES'!$V1140))</f>
        <v/>
      </c>
      <c r="F1162" s="3">
        <f>IF('ORDENES'!$A1140="","",IF('ORDENES'!$Y1140="","-",'ORDENES'!$Y1140))</f>
        <v/>
      </c>
      <c r="G1162" s="3">
        <f>IF('ORDENES'!$A1140="","",IF('ORDENES'!$W1140="","-",'ORDENES'!$W1140))</f>
        <v/>
      </c>
      <c r="H1162" s="3">
        <f>IF('ORDENES'!$A1140="","",IF('ORDENES'!$AE1140="","-",'ORDENES'!$AE1140))</f>
        <v/>
      </c>
      <c r="I1162" s="3">
        <f>IF('ORDENES'!$A1140="","",IF('ORDENES'!$AQ1140="","-",'ORDENES'!$AQ1140))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IF('ORDENES'!$A1140="","",'ORDENES'!$AD1140)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IF('ORDENES'!$A1141="","",IF('ORDENES'!$AF1141="","-",'ORDENES'!$AF1141))</f>
        <v/>
      </c>
      <c r="D1163" s="3">
        <f>IF('ORDENES'!$A1141="","",IF('ORDENES'!$X1141="","-",'ORDENES'!$X1141))</f>
        <v/>
      </c>
      <c r="E1163" s="3">
        <f>IF('ORDENES'!$A1141="","",IF('ORDENES'!$V1141="","-",'ORDENES'!$V1141))</f>
        <v/>
      </c>
      <c r="F1163" s="3">
        <f>IF('ORDENES'!$A1141="","",IF('ORDENES'!$Y1141="","-",'ORDENES'!$Y1141))</f>
        <v/>
      </c>
      <c r="G1163" s="3">
        <f>IF('ORDENES'!$A1141="","",IF('ORDENES'!$W1141="","-",'ORDENES'!$W1141))</f>
        <v/>
      </c>
      <c r="H1163" s="3">
        <f>IF('ORDENES'!$A1141="","",IF('ORDENES'!$AE1141="","-",'ORDENES'!$AE1141))</f>
        <v/>
      </c>
      <c r="I1163" s="3">
        <f>IF('ORDENES'!$A1141="","",IF('ORDENES'!$AQ1141="","-",'ORDENES'!$AQ1141))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IF('ORDENES'!$A1141="","",'ORDENES'!$AD1141)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IF('ORDENES'!$A1142="","",IF('ORDENES'!$AF1142="","-",'ORDENES'!$AF1142))</f>
        <v/>
      </c>
      <c r="D1164" s="3">
        <f>IF('ORDENES'!$A1142="","",IF('ORDENES'!$X1142="","-",'ORDENES'!$X1142))</f>
        <v/>
      </c>
      <c r="E1164" s="3">
        <f>IF('ORDENES'!$A1142="","",IF('ORDENES'!$V1142="","-",'ORDENES'!$V1142))</f>
        <v/>
      </c>
      <c r="F1164" s="3">
        <f>IF('ORDENES'!$A1142="","",IF('ORDENES'!$Y1142="","-",'ORDENES'!$Y1142))</f>
        <v/>
      </c>
      <c r="G1164" s="3">
        <f>IF('ORDENES'!$A1142="","",IF('ORDENES'!$W1142="","-",'ORDENES'!$W1142))</f>
        <v/>
      </c>
      <c r="H1164" s="3">
        <f>IF('ORDENES'!$A1142="","",IF('ORDENES'!$AE1142="","-",'ORDENES'!$AE1142))</f>
        <v/>
      </c>
      <c r="I1164" s="3">
        <f>IF('ORDENES'!$A1142="","",IF('ORDENES'!$AQ1142="","-",'ORDENES'!$AQ1142))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IF('ORDENES'!$A1142="","",'ORDENES'!$AD1142)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IF('ORDENES'!$A1143="","",IF('ORDENES'!$AF1143="","-",'ORDENES'!$AF1143))</f>
        <v/>
      </c>
      <c r="D1165" s="3">
        <f>IF('ORDENES'!$A1143="","",IF('ORDENES'!$X1143="","-",'ORDENES'!$X1143))</f>
        <v/>
      </c>
      <c r="E1165" s="3">
        <f>IF('ORDENES'!$A1143="","",IF('ORDENES'!$V1143="","-",'ORDENES'!$V1143))</f>
        <v/>
      </c>
      <c r="F1165" s="3">
        <f>IF('ORDENES'!$A1143="","",IF('ORDENES'!$Y1143="","-",'ORDENES'!$Y1143))</f>
        <v/>
      </c>
      <c r="G1165" s="3">
        <f>IF('ORDENES'!$A1143="","",IF('ORDENES'!$W1143="","-",'ORDENES'!$W1143))</f>
        <v/>
      </c>
      <c r="H1165" s="3">
        <f>IF('ORDENES'!$A1143="","",IF('ORDENES'!$AE1143="","-",'ORDENES'!$AE1143))</f>
        <v/>
      </c>
      <c r="I1165" s="3">
        <f>IF('ORDENES'!$A1143="","",IF('ORDENES'!$AQ1143="","-",'ORDENES'!$AQ1143))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IF('ORDENES'!$A1143="","",'ORDENES'!$AD1143)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IF('ORDENES'!$A1144="","",IF('ORDENES'!$AF1144="","-",'ORDENES'!$AF1144))</f>
        <v/>
      </c>
      <c r="D1166" s="3">
        <f>IF('ORDENES'!$A1144="","",IF('ORDENES'!$X1144="","-",'ORDENES'!$X1144))</f>
        <v/>
      </c>
      <c r="E1166" s="3">
        <f>IF('ORDENES'!$A1144="","",IF('ORDENES'!$V1144="","-",'ORDENES'!$V1144))</f>
        <v/>
      </c>
      <c r="F1166" s="3">
        <f>IF('ORDENES'!$A1144="","",IF('ORDENES'!$Y1144="","-",'ORDENES'!$Y1144))</f>
        <v/>
      </c>
      <c r="G1166" s="3">
        <f>IF('ORDENES'!$A1144="","",IF('ORDENES'!$W1144="","-",'ORDENES'!$W1144))</f>
        <v/>
      </c>
      <c r="H1166" s="3">
        <f>IF('ORDENES'!$A1144="","",IF('ORDENES'!$AE1144="","-",'ORDENES'!$AE1144))</f>
        <v/>
      </c>
      <c r="I1166" s="3">
        <f>IF('ORDENES'!$A1144="","",IF('ORDENES'!$AQ1144="","-",'ORDENES'!$AQ1144))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IF('ORDENES'!$A1144="","",'ORDENES'!$AD1144)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IF('ORDENES'!$A1145="","",IF('ORDENES'!$AF1145="","-",'ORDENES'!$AF1145))</f>
        <v/>
      </c>
      <c r="D1167" s="3">
        <f>IF('ORDENES'!$A1145="","",IF('ORDENES'!$X1145="","-",'ORDENES'!$X1145))</f>
        <v/>
      </c>
      <c r="E1167" s="3">
        <f>IF('ORDENES'!$A1145="","",IF('ORDENES'!$V1145="","-",'ORDENES'!$V1145))</f>
        <v/>
      </c>
      <c r="F1167" s="3">
        <f>IF('ORDENES'!$A1145="","",IF('ORDENES'!$Y1145="","-",'ORDENES'!$Y1145))</f>
        <v/>
      </c>
      <c r="G1167" s="3">
        <f>IF('ORDENES'!$A1145="","",IF('ORDENES'!$W1145="","-",'ORDENES'!$W1145))</f>
        <v/>
      </c>
      <c r="H1167" s="3">
        <f>IF('ORDENES'!$A1145="","",IF('ORDENES'!$AE1145="","-",'ORDENES'!$AE1145))</f>
        <v/>
      </c>
      <c r="I1167" s="3">
        <f>IF('ORDENES'!$A1145="","",IF('ORDENES'!$AQ1145="","-",'ORDENES'!$AQ1145))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IF('ORDENES'!$A1145="","",'ORDENES'!$AD1145)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IF('ORDENES'!$A1146="","",IF('ORDENES'!$AF1146="","-",'ORDENES'!$AF1146))</f>
        <v/>
      </c>
      <c r="D1168" s="3">
        <f>IF('ORDENES'!$A1146="","",IF('ORDENES'!$X1146="","-",'ORDENES'!$X1146))</f>
        <v/>
      </c>
      <c r="E1168" s="3">
        <f>IF('ORDENES'!$A1146="","",IF('ORDENES'!$V1146="","-",'ORDENES'!$V1146))</f>
        <v/>
      </c>
      <c r="F1168" s="3">
        <f>IF('ORDENES'!$A1146="","",IF('ORDENES'!$Y1146="","-",'ORDENES'!$Y1146))</f>
        <v/>
      </c>
      <c r="G1168" s="3">
        <f>IF('ORDENES'!$A1146="","",IF('ORDENES'!$W1146="","-",'ORDENES'!$W1146))</f>
        <v/>
      </c>
      <c r="H1168" s="3">
        <f>IF('ORDENES'!$A1146="","",IF('ORDENES'!$AE1146="","-",'ORDENES'!$AE1146))</f>
        <v/>
      </c>
      <c r="I1168" s="3">
        <f>IF('ORDENES'!$A1146="","",IF('ORDENES'!$AQ1146="","-",'ORDENES'!$AQ1146))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IF('ORDENES'!$A1146="","",'ORDENES'!$AD1146)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IF('ORDENES'!$A1147="","",IF('ORDENES'!$AF1147="","-",'ORDENES'!$AF1147))</f>
        <v/>
      </c>
      <c r="D1169" s="3">
        <f>IF('ORDENES'!$A1147="","",IF('ORDENES'!$X1147="","-",'ORDENES'!$X1147))</f>
        <v/>
      </c>
      <c r="E1169" s="3">
        <f>IF('ORDENES'!$A1147="","",IF('ORDENES'!$V1147="","-",'ORDENES'!$V1147))</f>
        <v/>
      </c>
      <c r="F1169" s="3">
        <f>IF('ORDENES'!$A1147="","",IF('ORDENES'!$Y1147="","-",'ORDENES'!$Y1147))</f>
        <v/>
      </c>
      <c r="G1169" s="3">
        <f>IF('ORDENES'!$A1147="","",IF('ORDENES'!$W1147="","-",'ORDENES'!$W1147))</f>
        <v/>
      </c>
      <c r="H1169" s="3">
        <f>IF('ORDENES'!$A1147="","",IF('ORDENES'!$AE1147="","-",'ORDENES'!$AE1147))</f>
        <v/>
      </c>
      <c r="I1169" s="3">
        <f>IF('ORDENES'!$A1147="","",IF('ORDENES'!$AQ1147="","-",'ORDENES'!$AQ1147))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IF('ORDENES'!$A1147="","",'ORDENES'!$AD1147)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IF('ORDENES'!$A1148="","",IF('ORDENES'!$AF1148="","-",'ORDENES'!$AF1148))</f>
        <v/>
      </c>
      <c r="D1170" s="3">
        <f>IF('ORDENES'!$A1148="","",IF('ORDENES'!$X1148="","-",'ORDENES'!$X1148))</f>
        <v/>
      </c>
      <c r="E1170" s="3">
        <f>IF('ORDENES'!$A1148="","",IF('ORDENES'!$V1148="","-",'ORDENES'!$V1148))</f>
        <v/>
      </c>
      <c r="F1170" s="3">
        <f>IF('ORDENES'!$A1148="","",IF('ORDENES'!$Y1148="","-",'ORDENES'!$Y1148))</f>
        <v/>
      </c>
      <c r="G1170" s="3">
        <f>IF('ORDENES'!$A1148="","",IF('ORDENES'!$W1148="","-",'ORDENES'!$W1148))</f>
        <v/>
      </c>
      <c r="H1170" s="3">
        <f>IF('ORDENES'!$A1148="","",IF('ORDENES'!$AE1148="","-",'ORDENES'!$AE1148))</f>
        <v/>
      </c>
      <c r="I1170" s="3">
        <f>IF('ORDENES'!$A1148="","",IF('ORDENES'!$AQ1148="","-",'ORDENES'!$AQ1148))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IF('ORDENES'!$A1148="","",'ORDENES'!$AD1148)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IF('ORDENES'!$A1149="","",IF('ORDENES'!$AF1149="","-",'ORDENES'!$AF1149))</f>
        <v/>
      </c>
      <c r="D1171" s="3">
        <f>IF('ORDENES'!$A1149="","",IF('ORDENES'!$X1149="","-",'ORDENES'!$X1149))</f>
        <v/>
      </c>
      <c r="E1171" s="3">
        <f>IF('ORDENES'!$A1149="","",IF('ORDENES'!$V1149="","-",'ORDENES'!$V1149))</f>
        <v/>
      </c>
      <c r="F1171" s="3">
        <f>IF('ORDENES'!$A1149="","",IF('ORDENES'!$Y1149="","-",'ORDENES'!$Y1149))</f>
        <v/>
      </c>
      <c r="G1171" s="3">
        <f>IF('ORDENES'!$A1149="","",IF('ORDENES'!$W1149="","-",'ORDENES'!$W1149))</f>
        <v/>
      </c>
      <c r="H1171" s="3">
        <f>IF('ORDENES'!$A1149="","",IF('ORDENES'!$AE1149="","-",'ORDENES'!$AE1149))</f>
        <v/>
      </c>
      <c r="I1171" s="3">
        <f>IF('ORDENES'!$A1149="","",IF('ORDENES'!$AQ1149="","-",'ORDENES'!$AQ1149))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IF('ORDENES'!$A1149="","",'ORDENES'!$AD1149)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IF('ORDENES'!$A1150="","",IF('ORDENES'!$AF1150="","-",'ORDENES'!$AF1150))</f>
        <v/>
      </c>
      <c r="D1172" s="3">
        <f>IF('ORDENES'!$A1150="","",IF('ORDENES'!$X1150="","-",'ORDENES'!$X1150))</f>
        <v/>
      </c>
      <c r="E1172" s="3">
        <f>IF('ORDENES'!$A1150="","",IF('ORDENES'!$V1150="","-",'ORDENES'!$V1150))</f>
        <v/>
      </c>
      <c r="F1172" s="3">
        <f>IF('ORDENES'!$A1150="","",IF('ORDENES'!$Y1150="","-",'ORDENES'!$Y1150))</f>
        <v/>
      </c>
      <c r="G1172" s="3">
        <f>IF('ORDENES'!$A1150="","",IF('ORDENES'!$W1150="","-",'ORDENES'!$W1150))</f>
        <v/>
      </c>
      <c r="H1172" s="3">
        <f>IF('ORDENES'!$A1150="","",IF('ORDENES'!$AE1150="","-",'ORDENES'!$AE1150))</f>
        <v/>
      </c>
      <c r="I1172" s="3">
        <f>IF('ORDENES'!$A1150="","",IF('ORDENES'!$AQ1150="","-",'ORDENES'!$AQ1150))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IF('ORDENES'!$A1150="","",'ORDENES'!$AD1150)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IF('ORDENES'!$A1151="","",IF('ORDENES'!$AF1151="","-",'ORDENES'!$AF1151))</f>
        <v/>
      </c>
      <c r="D1173" s="3">
        <f>IF('ORDENES'!$A1151="","",IF('ORDENES'!$X1151="","-",'ORDENES'!$X1151))</f>
        <v/>
      </c>
      <c r="E1173" s="3">
        <f>IF('ORDENES'!$A1151="","",IF('ORDENES'!$V1151="","-",'ORDENES'!$V1151))</f>
        <v/>
      </c>
      <c r="F1173" s="3">
        <f>IF('ORDENES'!$A1151="","",IF('ORDENES'!$Y1151="","-",'ORDENES'!$Y1151))</f>
        <v/>
      </c>
      <c r="G1173" s="3">
        <f>IF('ORDENES'!$A1151="","",IF('ORDENES'!$W1151="","-",'ORDENES'!$W1151))</f>
        <v/>
      </c>
      <c r="H1173" s="3">
        <f>IF('ORDENES'!$A1151="","",IF('ORDENES'!$AE1151="","-",'ORDENES'!$AE1151))</f>
        <v/>
      </c>
      <c r="I1173" s="3">
        <f>IF('ORDENES'!$A1151="","",IF('ORDENES'!$AQ1151="","-",'ORDENES'!$AQ1151))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IF('ORDENES'!$A1151="","",'ORDENES'!$AD1151)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IF('ORDENES'!$A1152="","",IF('ORDENES'!$AF1152="","-",'ORDENES'!$AF1152))</f>
        <v/>
      </c>
      <c r="D1174" s="3">
        <f>IF('ORDENES'!$A1152="","",IF('ORDENES'!$X1152="","-",'ORDENES'!$X1152))</f>
        <v/>
      </c>
      <c r="E1174" s="3">
        <f>IF('ORDENES'!$A1152="","",IF('ORDENES'!$V1152="","-",'ORDENES'!$V1152))</f>
        <v/>
      </c>
      <c r="F1174" s="3">
        <f>IF('ORDENES'!$A1152="","",IF('ORDENES'!$Y1152="","-",'ORDENES'!$Y1152))</f>
        <v/>
      </c>
      <c r="G1174" s="3">
        <f>IF('ORDENES'!$A1152="","",IF('ORDENES'!$W1152="","-",'ORDENES'!$W1152))</f>
        <v/>
      </c>
      <c r="H1174" s="3">
        <f>IF('ORDENES'!$A1152="","",IF('ORDENES'!$AE1152="","-",'ORDENES'!$AE1152))</f>
        <v/>
      </c>
      <c r="I1174" s="3">
        <f>IF('ORDENES'!$A1152="","",IF('ORDENES'!$AQ1152="","-",'ORDENES'!$AQ1152))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IF('ORDENES'!$A1152="","",'ORDENES'!$AD1152)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IF('ORDENES'!$A1153="","",IF('ORDENES'!$AF1153="","-",'ORDENES'!$AF1153))</f>
        <v/>
      </c>
      <c r="D1175" s="3">
        <f>IF('ORDENES'!$A1153="","",IF('ORDENES'!$X1153="","-",'ORDENES'!$X1153))</f>
        <v/>
      </c>
      <c r="E1175" s="3">
        <f>IF('ORDENES'!$A1153="","",IF('ORDENES'!$V1153="","-",'ORDENES'!$V1153))</f>
        <v/>
      </c>
      <c r="F1175" s="3">
        <f>IF('ORDENES'!$A1153="","",IF('ORDENES'!$Y1153="","-",'ORDENES'!$Y1153))</f>
        <v/>
      </c>
      <c r="G1175" s="3">
        <f>IF('ORDENES'!$A1153="","",IF('ORDENES'!$W1153="","-",'ORDENES'!$W1153))</f>
        <v/>
      </c>
      <c r="H1175" s="3">
        <f>IF('ORDENES'!$A1153="","",IF('ORDENES'!$AE1153="","-",'ORDENES'!$AE1153))</f>
        <v/>
      </c>
      <c r="I1175" s="3">
        <f>IF('ORDENES'!$A1153="","",IF('ORDENES'!$AQ1153="","-",'ORDENES'!$AQ1153))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IF('ORDENES'!$A1153="","",'ORDENES'!$AD1153)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IF('ORDENES'!$A1154="","",IF('ORDENES'!$AF1154="","-",'ORDENES'!$AF1154))</f>
        <v/>
      </c>
      <c r="D1176" s="3">
        <f>IF('ORDENES'!$A1154="","",IF('ORDENES'!$X1154="","-",'ORDENES'!$X1154))</f>
        <v/>
      </c>
      <c r="E1176" s="3">
        <f>IF('ORDENES'!$A1154="","",IF('ORDENES'!$V1154="","-",'ORDENES'!$V1154))</f>
        <v/>
      </c>
      <c r="F1176" s="3">
        <f>IF('ORDENES'!$A1154="","",IF('ORDENES'!$Y1154="","-",'ORDENES'!$Y1154))</f>
        <v/>
      </c>
      <c r="G1176" s="3">
        <f>IF('ORDENES'!$A1154="","",IF('ORDENES'!$W1154="","-",'ORDENES'!$W1154))</f>
        <v/>
      </c>
      <c r="H1176" s="3">
        <f>IF('ORDENES'!$A1154="","",IF('ORDENES'!$AE1154="","-",'ORDENES'!$AE1154))</f>
        <v/>
      </c>
      <c r="I1176" s="3">
        <f>IF('ORDENES'!$A1154="","",IF('ORDENES'!$AQ1154="","-",'ORDENES'!$AQ1154))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IF('ORDENES'!$A1154="","",'ORDENES'!$AD1154)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IF('ORDENES'!$A1155="","",IF('ORDENES'!$AF1155="","-",'ORDENES'!$AF1155))</f>
        <v/>
      </c>
      <c r="D1177" s="3">
        <f>IF('ORDENES'!$A1155="","",IF('ORDENES'!$X1155="","-",'ORDENES'!$X1155))</f>
        <v/>
      </c>
      <c r="E1177" s="3">
        <f>IF('ORDENES'!$A1155="","",IF('ORDENES'!$V1155="","-",'ORDENES'!$V1155))</f>
        <v/>
      </c>
      <c r="F1177" s="3">
        <f>IF('ORDENES'!$A1155="","",IF('ORDENES'!$Y1155="","-",'ORDENES'!$Y1155))</f>
        <v/>
      </c>
      <c r="G1177" s="3">
        <f>IF('ORDENES'!$A1155="","",IF('ORDENES'!$W1155="","-",'ORDENES'!$W1155))</f>
        <v/>
      </c>
      <c r="H1177" s="3">
        <f>IF('ORDENES'!$A1155="","",IF('ORDENES'!$AE1155="","-",'ORDENES'!$AE1155))</f>
        <v/>
      </c>
      <c r="I1177" s="3">
        <f>IF('ORDENES'!$A1155="","",IF('ORDENES'!$AQ1155="","-",'ORDENES'!$AQ1155))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IF('ORDENES'!$A1155="","",'ORDENES'!$AD1155)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IF('ORDENES'!$A1156="","",IF('ORDENES'!$AF1156="","-",'ORDENES'!$AF1156))</f>
        <v/>
      </c>
      <c r="D1178" s="3">
        <f>IF('ORDENES'!$A1156="","",IF('ORDENES'!$X1156="","-",'ORDENES'!$X1156))</f>
        <v/>
      </c>
      <c r="E1178" s="3">
        <f>IF('ORDENES'!$A1156="","",IF('ORDENES'!$V1156="","-",'ORDENES'!$V1156))</f>
        <v/>
      </c>
      <c r="F1178" s="3">
        <f>IF('ORDENES'!$A1156="","",IF('ORDENES'!$Y1156="","-",'ORDENES'!$Y1156))</f>
        <v/>
      </c>
      <c r="G1178" s="3">
        <f>IF('ORDENES'!$A1156="","",IF('ORDENES'!$W1156="","-",'ORDENES'!$W1156))</f>
        <v/>
      </c>
      <c r="H1178" s="3">
        <f>IF('ORDENES'!$A1156="","",IF('ORDENES'!$AE1156="","-",'ORDENES'!$AE1156))</f>
        <v/>
      </c>
      <c r="I1178" s="3">
        <f>IF('ORDENES'!$A1156="","",IF('ORDENES'!$AQ1156="","-",'ORDENES'!$AQ1156))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IF('ORDENES'!$A1156="","",'ORDENES'!$AD1156)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IF('ORDENES'!$A1157="","",IF('ORDENES'!$AF1157="","-",'ORDENES'!$AF1157))</f>
        <v/>
      </c>
      <c r="D1179" s="3">
        <f>IF('ORDENES'!$A1157="","",IF('ORDENES'!$X1157="","-",'ORDENES'!$X1157))</f>
        <v/>
      </c>
      <c r="E1179" s="3">
        <f>IF('ORDENES'!$A1157="","",IF('ORDENES'!$V1157="","-",'ORDENES'!$V1157))</f>
        <v/>
      </c>
      <c r="F1179" s="3">
        <f>IF('ORDENES'!$A1157="","",IF('ORDENES'!$Y1157="","-",'ORDENES'!$Y1157))</f>
        <v/>
      </c>
      <c r="G1179" s="3">
        <f>IF('ORDENES'!$A1157="","",IF('ORDENES'!$W1157="","-",'ORDENES'!$W1157))</f>
        <v/>
      </c>
      <c r="H1179" s="3">
        <f>IF('ORDENES'!$A1157="","",IF('ORDENES'!$AE1157="","-",'ORDENES'!$AE1157))</f>
        <v/>
      </c>
      <c r="I1179" s="3">
        <f>IF('ORDENES'!$A1157="","",IF('ORDENES'!$AQ1157="","-",'ORDENES'!$AQ1157))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IF('ORDENES'!$A1157="","",'ORDENES'!$AD1157)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IF('ORDENES'!$A1158="","",IF('ORDENES'!$AF1158="","-",'ORDENES'!$AF1158))</f>
        <v/>
      </c>
      <c r="D1180" s="3">
        <f>IF('ORDENES'!$A1158="","",IF('ORDENES'!$X1158="","-",'ORDENES'!$X1158))</f>
        <v/>
      </c>
      <c r="E1180" s="3">
        <f>IF('ORDENES'!$A1158="","",IF('ORDENES'!$V1158="","-",'ORDENES'!$V1158))</f>
        <v/>
      </c>
      <c r="F1180" s="3">
        <f>IF('ORDENES'!$A1158="","",IF('ORDENES'!$Y1158="","-",'ORDENES'!$Y1158))</f>
        <v/>
      </c>
      <c r="G1180" s="3">
        <f>IF('ORDENES'!$A1158="","",IF('ORDENES'!$W1158="","-",'ORDENES'!$W1158))</f>
        <v/>
      </c>
      <c r="H1180" s="3">
        <f>IF('ORDENES'!$A1158="","",IF('ORDENES'!$AE1158="","-",'ORDENES'!$AE1158))</f>
        <v/>
      </c>
      <c r="I1180" s="3">
        <f>IF('ORDENES'!$A1158="","",IF('ORDENES'!$AQ1158="","-",'ORDENES'!$AQ1158))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IF('ORDENES'!$A1158="","",'ORDENES'!$AD1158)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IF('ORDENES'!$A1159="","",IF('ORDENES'!$AF1159="","-",'ORDENES'!$AF1159))</f>
        <v/>
      </c>
      <c r="D1181" s="3">
        <f>IF('ORDENES'!$A1159="","",IF('ORDENES'!$X1159="","-",'ORDENES'!$X1159))</f>
        <v/>
      </c>
      <c r="E1181" s="3">
        <f>IF('ORDENES'!$A1159="","",IF('ORDENES'!$V1159="","-",'ORDENES'!$V1159))</f>
        <v/>
      </c>
      <c r="F1181" s="3">
        <f>IF('ORDENES'!$A1159="","",IF('ORDENES'!$Y1159="","-",'ORDENES'!$Y1159))</f>
        <v/>
      </c>
      <c r="G1181" s="3">
        <f>IF('ORDENES'!$A1159="","",IF('ORDENES'!$W1159="","-",'ORDENES'!$W1159))</f>
        <v/>
      </c>
      <c r="H1181" s="3">
        <f>IF('ORDENES'!$A1159="","",IF('ORDENES'!$AE1159="","-",'ORDENES'!$AE1159))</f>
        <v/>
      </c>
      <c r="I1181" s="3">
        <f>IF('ORDENES'!$A1159="","",IF('ORDENES'!$AQ1159="","-",'ORDENES'!$AQ1159))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IF('ORDENES'!$A1159="","",'ORDENES'!$AD1159)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IF('ORDENES'!$A1160="","",IF('ORDENES'!$AF1160="","-",'ORDENES'!$AF1160))</f>
        <v/>
      </c>
      <c r="D1182" s="3">
        <f>IF('ORDENES'!$A1160="","",IF('ORDENES'!$X1160="","-",'ORDENES'!$X1160))</f>
        <v/>
      </c>
      <c r="E1182" s="3">
        <f>IF('ORDENES'!$A1160="","",IF('ORDENES'!$V1160="","-",'ORDENES'!$V1160))</f>
        <v/>
      </c>
      <c r="F1182" s="3">
        <f>IF('ORDENES'!$A1160="","",IF('ORDENES'!$Y1160="","-",'ORDENES'!$Y1160))</f>
        <v/>
      </c>
      <c r="G1182" s="3">
        <f>IF('ORDENES'!$A1160="","",IF('ORDENES'!$W1160="","-",'ORDENES'!$W1160))</f>
        <v/>
      </c>
      <c r="H1182" s="3">
        <f>IF('ORDENES'!$A1160="","",IF('ORDENES'!$AE1160="","-",'ORDENES'!$AE1160))</f>
        <v/>
      </c>
      <c r="I1182" s="3">
        <f>IF('ORDENES'!$A1160="","",IF('ORDENES'!$AQ1160="","-",'ORDENES'!$AQ1160))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IF('ORDENES'!$A1160="","",'ORDENES'!$AD1160)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IF('ORDENES'!$A1161="","",IF('ORDENES'!$AF1161="","-",'ORDENES'!$AF1161))</f>
        <v/>
      </c>
      <c r="D1183" s="3">
        <f>IF('ORDENES'!$A1161="","",IF('ORDENES'!$X1161="","-",'ORDENES'!$X1161))</f>
        <v/>
      </c>
      <c r="E1183" s="3">
        <f>IF('ORDENES'!$A1161="","",IF('ORDENES'!$V1161="","-",'ORDENES'!$V1161))</f>
        <v/>
      </c>
      <c r="F1183" s="3">
        <f>IF('ORDENES'!$A1161="","",IF('ORDENES'!$Y1161="","-",'ORDENES'!$Y1161))</f>
        <v/>
      </c>
      <c r="G1183" s="3">
        <f>IF('ORDENES'!$A1161="","",IF('ORDENES'!$W1161="","-",'ORDENES'!$W1161))</f>
        <v/>
      </c>
      <c r="H1183" s="3">
        <f>IF('ORDENES'!$A1161="","",IF('ORDENES'!$AE1161="","-",'ORDENES'!$AE1161))</f>
        <v/>
      </c>
      <c r="I1183" s="3">
        <f>IF('ORDENES'!$A1161="","",IF('ORDENES'!$AQ1161="","-",'ORDENES'!$AQ1161))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IF('ORDENES'!$A1161="","",'ORDENES'!$AD1161)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IF('ORDENES'!$A1162="","",IF('ORDENES'!$AF1162="","-",'ORDENES'!$AF1162))</f>
        <v/>
      </c>
      <c r="D1184" s="3">
        <f>IF('ORDENES'!$A1162="","",IF('ORDENES'!$X1162="","-",'ORDENES'!$X1162))</f>
        <v/>
      </c>
      <c r="E1184" s="3">
        <f>IF('ORDENES'!$A1162="","",IF('ORDENES'!$V1162="","-",'ORDENES'!$V1162))</f>
        <v/>
      </c>
      <c r="F1184" s="3">
        <f>IF('ORDENES'!$A1162="","",IF('ORDENES'!$Y1162="","-",'ORDENES'!$Y1162))</f>
        <v/>
      </c>
      <c r="G1184" s="3">
        <f>IF('ORDENES'!$A1162="","",IF('ORDENES'!$W1162="","-",'ORDENES'!$W1162))</f>
        <v/>
      </c>
      <c r="H1184" s="3">
        <f>IF('ORDENES'!$A1162="","",IF('ORDENES'!$AE1162="","-",'ORDENES'!$AE1162))</f>
        <v/>
      </c>
      <c r="I1184" s="3">
        <f>IF('ORDENES'!$A1162="","",IF('ORDENES'!$AQ1162="","-",'ORDENES'!$AQ1162))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IF('ORDENES'!$A1162="","",'ORDENES'!$AD1162)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IF('ORDENES'!$A1163="","",IF('ORDENES'!$AF1163="","-",'ORDENES'!$AF1163))</f>
        <v/>
      </c>
      <c r="D1185" s="3">
        <f>IF('ORDENES'!$A1163="","",IF('ORDENES'!$X1163="","-",'ORDENES'!$X1163))</f>
        <v/>
      </c>
      <c r="E1185" s="3">
        <f>IF('ORDENES'!$A1163="","",IF('ORDENES'!$V1163="","-",'ORDENES'!$V1163))</f>
        <v/>
      </c>
      <c r="F1185" s="3">
        <f>IF('ORDENES'!$A1163="","",IF('ORDENES'!$Y1163="","-",'ORDENES'!$Y1163))</f>
        <v/>
      </c>
      <c r="G1185" s="3">
        <f>IF('ORDENES'!$A1163="","",IF('ORDENES'!$W1163="","-",'ORDENES'!$W1163))</f>
        <v/>
      </c>
      <c r="H1185" s="3">
        <f>IF('ORDENES'!$A1163="","",IF('ORDENES'!$AE1163="","-",'ORDENES'!$AE1163))</f>
        <v/>
      </c>
      <c r="I1185" s="3">
        <f>IF('ORDENES'!$A1163="","",IF('ORDENES'!$AQ1163="","-",'ORDENES'!$AQ1163))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IF('ORDENES'!$A1163="","",'ORDENES'!$AD1163)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IF('ORDENES'!$A1164="","",IF('ORDENES'!$AF1164="","-",'ORDENES'!$AF1164))</f>
        <v/>
      </c>
      <c r="D1186" s="3">
        <f>IF('ORDENES'!$A1164="","",IF('ORDENES'!$X1164="","-",'ORDENES'!$X1164))</f>
        <v/>
      </c>
      <c r="E1186" s="3">
        <f>IF('ORDENES'!$A1164="","",IF('ORDENES'!$V1164="","-",'ORDENES'!$V1164))</f>
        <v/>
      </c>
      <c r="F1186" s="3">
        <f>IF('ORDENES'!$A1164="","",IF('ORDENES'!$Y1164="","-",'ORDENES'!$Y1164))</f>
        <v/>
      </c>
      <c r="G1186" s="3">
        <f>IF('ORDENES'!$A1164="","",IF('ORDENES'!$W1164="","-",'ORDENES'!$W1164))</f>
        <v/>
      </c>
      <c r="H1186" s="3">
        <f>IF('ORDENES'!$A1164="","",IF('ORDENES'!$AE1164="","-",'ORDENES'!$AE1164))</f>
        <v/>
      </c>
      <c r="I1186" s="3">
        <f>IF('ORDENES'!$A1164="","",IF('ORDENES'!$AQ1164="","-",'ORDENES'!$AQ1164))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IF('ORDENES'!$A1164="","",'ORDENES'!$AD1164)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IF('ORDENES'!$A1165="","",IF('ORDENES'!$AF1165="","-",'ORDENES'!$AF1165))</f>
        <v/>
      </c>
      <c r="D1187" s="3">
        <f>IF('ORDENES'!$A1165="","",IF('ORDENES'!$X1165="","-",'ORDENES'!$X1165))</f>
        <v/>
      </c>
      <c r="E1187" s="3">
        <f>IF('ORDENES'!$A1165="","",IF('ORDENES'!$V1165="","-",'ORDENES'!$V1165))</f>
        <v/>
      </c>
      <c r="F1187" s="3">
        <f>IF('ORDENES'!$A1165="","",IF('ORDENES'!$Y1165="","-",'ORDENES'!$Y1165))</f>
        <v/>
      </c>
      <c r="G1187" s="3">
        <f>IF('ORDENES'!$A1165="","",IF('ORDENES'!$W1165="","-",'ORDENES'!$W1165))</f>
        <v/>
      </c>
      <c r="H1187" s="3">
        <f>IF('ORDENES'!$A1165="","",IF('ORDENES'!$AE1165="","-",'ORDENES'!$AE1165))</f>
        <v/>
      </c>
      <c r="I1187" s="3">
        <f>IF('ORDENES'!$A1165="","",IF('ORDENES'!$AQ1165="","-",'ORDENES'!$AQ1165))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IF('ORDENES'!$A1165="","",'ORDENES'!$AD1165)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IF('ORDENES'!$A1166="","",IF('ORDENES'!$AF1166="","-",'ORDENES'!$AF1166))</f>
        <v/>
      </c>
      <c r="D1188" s="3">
        <f>IF('ORDENES'!$A1166="","",IF('ORDENES'!$X1166="","-",'ORDENES'!$X1166))</f>
        <v/>
      </c>
      <c r="E1188" s="3">
        <f>IF('ORDENES'!$A1166="","",IF('ORDENES'!$V1166="","-",'ORDENES'!$V1166))</f>
        <v/>
      </c>
      <c r="F1188" s="3">
        <f>IF('ORDENES'!$A1166="","",IF('ORDENES'!$Y1166="","-",'ORDENES'!$Y1166))</f>
        <v/>
      </c>
      <c r="G1188" s="3">
        <f>IF('ORDENES'!$A1166="","",IF('ORDENES'!$W1166="","-",'ORDENES'!$W1166))</f>
        <v/>
      </c>
      <c r="H1188" s="3">
        <f>IF('ORDENES'!$A1166="","",IF('ORDENES'!$AE1166="","-",'ORDENES'!$AE1166))</f>
        <v/>
      </c>
      <c r="I1188" s="3">
        <f>IF('ORDENES'!$A1166="","",IF('ORDENES'!$AQ1166="","-",'ORDENES'!$AQ1166))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IF('ORDENES'!$A1166="","",'ORDENES'!$AD1166)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IF('ORDENES'!$A1167="","",IF('ORDENES'!$AF1167="","-",'ORDENES'!$AF1167))</f>
        <v/>
      </c>
      <c r="D1189" s="3">
        <f>IF('ORDENES'!$A1167="","",IF('ORDENES'!$X1167="","-",'ORDENES'!$X1167))</f>
        <v/>
      </c>
      <c r="E1189" s="3">
        <f>IF('ORDENES'!$A1167="","",IF('ORDENES'!$V1167="","-",'ORDENES'!$V1167))</f>
        <v/>
      </c>
      <c r="F1189" s="3">
        <f>IF('ORDENES'!$A1167="","",IF('ORDENES'!$Y1167="","-",'ORDENES'!$Y1167))</f>
        <v/>
      </c>
      <c r="G1189" s="3">
        <f>IF('ORDENES'!$A1167="","",IF('ORDENES'!$W1167="","-",'ORDENES'!$W1167))</f>
        <v/>
      </c>
      <c r="H1189" s="3">
        <f>IF('ORDENES'!$A1167="","",IF('ORDENES'!$AE1167="","-",'ORDENES'!$AE1167))</f>
        <v/>
      </c>
      <c r="I1189" s="3">
        <f>IF('ORDENES'!$A1167="","",IF('ORDENES'!$AQ1167="","-",'ORDENES'!$AQ1167))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IF('ORDENES'!$A1167="","",'ORDENES'!$AD1167)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IF('ORDENES'!$A1168="","",IF('ORDENES'!$AF1168="","-",'ORDENES'!$AF1168))</f>
        <v/>
      </c>
      <c r="D1190" s="3">
        <f>IF('ORDENES'!$A1168="","",IF('ORDENES'!$X1168="","-",'ORDENES'!$X1168))</f>
        <v/>
      </c>
      <c r="E1190" s="3">
        <f>IF('ORDENES'!$A1168="","",IF('ORDENES'!$V1168="","-",'ORDENES'!$V1168))</f>
        <v/>
      </c>
      <c r="F1190" s="3">
        <f>IF('ORDENES'!$A1168="","",IF('ORDENES'!$Y1168="","-",'ORDENES'!$Y1168))</f>
        <v/>
      </c>
      <c r="G1190" s="3">
        <f>IF('ORDENES'!$A1168="","",IF('ORDENES'!$W1168="","-",'ORDENES'!$W1168))</f>
        <v/>
      </c>
      <c r="H1190" s="3">
        <f>IF('ORDENES'!$A1168="","",IF('ORDENES'!$AE1168="","-",'ORDENES'!$AE1168))</f>
        <v/>
      </c>
      <c r="I1190" s="3">
        <f>IF('ORDENES'!$A1168="","",IF('ORDENES'!$AQ1168="","-",'ORDENES'!$AQ1168))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IF('ORDENES'!$A1168="","",'ORDENES'!$AD1168)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IF('ORDENES'!$A1169="","",IF('ORDENES'!$AF1169="","-",'ORDENES'!$AF1169))</f>
        <v/>
      </c>
      <c r="D1191" s="3">
        <f>IF('ORDENES'!$A1169="","",IF('ORDENES'!$X1169="","-",'ORDENES'!$X1169))</f>
        <v/>
      </c>
      <c r="E1191" s="3">
        <f>IF('ORDENES'!$A1169="","",IF('ORDENES'!$V1169="","-",'ORDENES'!$V1169))</f>
        <v/>
      </c>
      <c r="F1191" s="3">
        <f>IF('ORDENES'!$A1169="","",IF('ORDENES'!$Y1169="","-",'ORDENES'!$Y1169))</f>
        <v/>
      </c>
      <c r="G1191" s="3">
        <f>IF('ORDENES'!$A1169="","",IF('ORDENES'!$W1169="","-",'ORDENES'!$W1169))</f>
        <v/>
      </c>
      <c r="H1191" s="3">
        <f>IF('ORDENES'!$A1169="","",IF('ORDENES'!$AE1169="","-",'ORDENES'!$AE1169))</f>
        <v/>
      </c>
      <c r="I1191" s="3">
        <f>IF('ORDENES'!$A1169="","",IF('ORDENES'!$AQ1169="","-",'ORDENES'!$AQ1169))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IF('ORDENES'!$A1169="","",'ORDENES'!$AD1169)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IF('ORDENES'!$A1170="","",IF('ORDENES'!$AF1170="","-",'ORDENES'!$AF1170))</f>
        <v/>
      </c>
      <c r="D1192" s="3">
        <f>IF('ORDENES'!$A1170="","",IF('ORDENES'!$X1170="","-",'ORDENES'!$X1170))</f>
        <v/>
      </c>
      <c r="E1192" s="3">
        <f>IF('ORDENES'!$A1170="","",IF('ORDENES'!$V1170="","-",'ORDENES'!$V1170))</f>
        <v/>
      </c>
      <c r="F1192" s="3">
        <f>IF('ORDENES'!$A1170="","",IF('ORDENES'!$Y1170="","-",'ORDENES'!$Y1170))</f>
        <v/>
      </c>
      <c r="G1192" s="3">
        <f>IF('ORDENES'!$A1170="","",IF('ORDENES'!$W1170="","-",'ORDENES'!$W1170))</f>
        <v/>
      </c>
      <c r="H1192" s="3">
        <f>IF('ORDENES'!$A1170="","",IF('ORDENES'!$AE1170="","-",'ORDENES'!$AE1170))</f>
        <v/>
      </c>
      <c r="I1192" s="3">
        <f>IF('ORDENES'!$A1170="","",IF('ORDENES'!$AQ1170="","-",'ORDENES'!$AQ1170))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IF('ORDENES'!$A1170="","",'ORDENES'!$AD1170)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IF('ORDENES'!$A1171="","",IF('ORDENES'!$AF1171="","-",'ORDENES'!$AF1171))</f>
        <v/>
      </c>
      <c r="D1193" s="3">
        <f>IF('ORDENES'!$A1171="","",IF('ORDENES'!$X1171="","-",'ORDENES'!$X1171))</f>
        <v/>
      </c>
      <c r="E1193" s="3">
        <f>IF('ORDENES'!$A1171="","",IF('ORDENES'!$V1171="","-",'ORDENES'!$V1171))</f>
        <v/>
      </c>
      <c r="F1193" s="3">
        <f>IF('ORDENES'!$A1171="","",IF('ORDENES'!$Y1171="","-",'ORDENES'!$Y1171))</f>
        <v/>
      </c>
      <c r="G1193" s="3">
        <f>IF('ORDENES'!$A1171="","",IF('ORDENES'!$W1171="","-",'ORDENES'!$W1171))</f>
        <v/>
      </c>
      <c r="H1193" s="3">
        <f>IF('ORDENES'!$A1171="","",IF('ORDENES'!$AE1171="","-",'ORDENES'!$AE1171))</f>
        <v/>
      </c>
      <c r="I1193" s="3">
        <f>IF('ORDENES'!$A1171="","",IF('ORDENES'!$AQ1171="","-",'ORDENES'!$AQ1171))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IF('ORDENES'!$A1171="","",'ORDENES'!$AD1171)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IF('ORDENES'!$A1172="","",IF('ORDENES'!$AF1172="","-",'ORDENES'!$AF1172))</f>
        <v/>
      </c>
      <c r="D1194" s="3">
        <f>IF('ORDENES'!$A1172="","",IF('ORDENES'!$X1172="","-",'ORDENES'!$X1172))</f>
        <v/>
      </c>
      <c r="E1194" s="3">
        <f>IF('ORDENES'!$A1172="","",IF('ORDENES'!$V1172="","-",'ORDENES'!$V1172))</f>
        <v/>
      </c>
      <c r="F1194" s="3">
        <f>IF('ORDENES'!$A1172="","",IF('ORDENES'!$Y1172="","-",'ORDENES'!$Y1172))</f>
        <v/>
      </c>
      <c r="G1194" s="3">
        <f>IF('ORDENES'!$A1172="","",IF('ORDENES'!$W1172="","-",'ORDENES'!$W1172))</f>
        <v/>
      </c>
      <c r="H1194" s="3">
        <f>IF('ORDENES'!$A1172="","",IF('ORDENES'!$AE1172="","-",'ORDENES'!$AE1172))</f>
        <v/>
      </c>
      <c r="I1194" s="3">
        <f>IF('ORDENES'!$A1172="","",IF('ORDENES'!$AQ1172="","-",'ORDENES'!$AQ1172))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IF('ORDENES'!$A1172="","",'ORDENES'!$AD1172)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IF('ORDENES'!$A1173="","",IF('ORDENES'!$AF1173="","-",'ORDENES'!$AF1173))</f>
        <v/>
      </c>
      <c r="D1195" s="3">
        <f>IF('ORDENES'!$A1173="","",IF('ORDENES'!$X1173="","-",'ORDENES'!$X1173))</f>
        <v/>
      </c>
      <c r="E1195" s="3">
        <f>IF('ORDENES'!$A1173="","",IF('ORDENES'!$V1173="","-",'ORDENES'!$V1173))</f>
        <v/>
      </c>
      <c r="F1195" s="3">
        <f>IF('ORDENES'!$A1173="","",IF('ORDENES'!$Y1173="","-",'ORDENES'!$Y1173))</f>
        <v/>
      </c>
      <c r="G1195" s="3">
        <f>IF('ORDENES'!$A1173="","",IF('ORDENES'!$W1173="","-",'ORDENES'!$W1173))</f>
        <v/>
      </c>
      <c r="H1195" s="3">
        <f>IF('ORDENES'!$A1173="","",IF('ORDENES'!$AE1173="","-",'ORDENES'!$AE1173))</f>
        <v/>
      </c>
      <c r="I1195" s="3">
        <f>IF('ORDENES'!$A1173="","",IF('ORDENES'!$AQ1173="","-",'ORDENES'!$AQ1173))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IF('ORDENES'!$A1173="","",'ORDENES'!$AD1173)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IF('ORDENES'!$A1174="","",IF('ORDENES'!$AF1174="","-",'ORDENES'!$AF1174))</f>
        <v/>
      </c>
      <c r="D1196" s="3">
        <f>IF('ORDENES'!$A1174="","",IF('ORDENES'!$X1174="","-",'ORDENES'!$X1174))</f>
        <v/>
      </c>
      <c r="E1196" s="3">
        <f>IF('ORDENES'!$A1174="","",IF('ORDENES'!$V1174="","-",'ORDENES'!$V1174))</f>
        <v/>
      </c>
      <c r="F1196" s="3">
        <f>IF('ORDENES'!$A1174="","",IF('ORDENES'!$Y1174="","-",'ORDENES'!$Y1174))</f>
        <v/>
      </c>
      <c r="G1196" s="3">
        <f>IF('ORDENES'!$A1174="","",IF('ORDENES'!$W1174="","-",'ORDENES'!$W1174))</f>
        <v/>
      </c>
      <c r="H1196" s="3">
        <f>IF('ORDENES'!$A1174="","",IF('ORDENES'!$AE1174="","-",'ORDENES'!$AE1174))</f>
        <v/>
      </c>
      <c r="I1196" s="3">
        <f>IF('ORDENES'!$A1174="","",IF('ORDENES'!$AQ1174="","-",'ORDENES'!$AQ1174))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IF('ORDENES'!$A1174="","",'ORDENES'!$AD1174)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IF('ORDENES'!$A1175="","",IF('ORDENES'!$AF1175="","-",'ORDENES'!$AF1175))</f>
        <v/>
      </c>
      <c r="D1197" s="3">
        <f>IF('ORDENES'!$A1175="","",IF('ORDENES'!$X1175="","-",'ORDENES'!$X1175))</f>
        <v/>
      </c>
      <c r="E1197" s="3">
        <f>IF('ORDENES'!$A1175="","",IF('ORDENES'!$V1175="","-",'ORDENES'!$V1175))</f>
        <v/>
      </c>
      <c r="F1197" s="3">
        <f>IF('ORDENES'!$A1175="","",IF('ORDENES'!$Y1175="","-",'ORDENES'!$Y1175))</f>
        <v/>
      </c>
      <c r="G1197" s="3">
        <f>IF('ORDENES'!$A1175="","",IF('ORDENES'!$W1175="","-",'ORDENES'!$W1175))</f>
        <v/>
      </c>
      <c r="H1197" s="3">
        <f>IF('ORDENES'!$A1175="","",IF('ORDENES'!$AE1175="","-",'ORDENES'!$AE1175))</f>
        <v/>
      </c>
      <c r="I1197" s="3">
        <f>IF('ORDENES'!$A1175="","",IF('ORDENES'!$AQ1175="","-",'ORDENES'!$AQ1175))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IF('ORDENES'!$A1175="","",'ORDENES'!$AD1175)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IF('ORDENES'!$A1176="","",IF('ORDENES'!$AF1176="","-",'ORDENES'!$AF1176))</f>
        <v/>
      </c>
      <c r="D1198" s="3">
        <f>IF('ORDENES'!$A1176="","",IF('ORDENES'!$X1176="","-",'ORDENES'!$X1176))</f>
        <v/>
      </c>
      <c r="E1198" s="3">
        <f>IF('ORDENES'!$A1176="","",IF('ORDENES'!$V1176="","-",'ORDENES'!$V1176))</f>
        <v/>
      </c>
      <c r="F1198" s="3">
        <f>IF('ORDENES'!$A1176="","",IF('ORDENES'!$Y1176="","-",'ORDENES'!$Y1176))</f>
        <v/>
      </c>
      <c r="G1198" s="3">
        <f>IF('ORDENES'!$A1176="","",IF('ORDENES'!$W1176="","-",'ORDENES'!$W1176))</f>
        <v/>
      </c>
      <c r="H1198" s="3">
        <f>IF('ORDENES'!$A1176="","",IF('ORDENES'!$AE1176="","-",'ORDENES'!$AE1176))</f>
        <v/>
      </c>
      <c r="I1198" s="3">
        <f>IF('ORDENES'!$A1176="","",IF('ORDENES'!$AQ1176="","-",'ORDENES'!$AQ1176))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IF('ORDENES'!$A1176="","",'ORDENES'!$AD1176)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IF('ORDENES'!$A1177="","",IF('ORDENES'!$AF1177="","-",'ORDENES'!$AF1177))</f>
        <v/>
      </c>
      <c r="D1199" s="3">
        <f>IF('ORDENES'!$A1177="","",IF('ORDENES'!$X1177="","-",'ORDENES'!$X1177))</f>
        <v/>
      </c>
      <c r="E1199" s="3">
        <f>IF('ORDENES'!$A1177="","",IF('ORDENES'!$V1177="","-",'ORDENES'!$V1177))</f>
        <v/>
      </c>
      <c r="F1199" s="3">
        <f>IF('ORDENES'!$A1177="","",IF('ORDENES'!$Y1177="","-",'ORDENES'!$Y1177))</f>
        <v/>
      </c>
      <c r="G1199" s="3">
        <f>IF('ORDENES'!$A1177="","",IF('ORDENES'!$W1177="","-",'ORDENES'!$W1177))</f>
        <v/>
      </c>
      <c r="H1199" s="3">
        <f>IF('ORDENES'!$A1177="","",IF('ORDENES'!$AE1177="","-",'ORDENES'!$AE1177))</f>
        <v/>
      </c>
      <c r="I1199" s="3">
        <f>IF('ORDENES'!$A1177="","",IF('ORDENES'!$AQ1177="","-",'ORDENES'!$AQ1177))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IF('ORDENES'!$A1177="","",'ORDENES'!$AD1177)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IF('ORDENES'!$A1178="","",IF('ORDENES'!$AF1178="","-",'ORDENES'!$AF1178))</f>
        <v/>
      </c>
      <c r="D1200" s="3">
        <f>IF('ORDENES'!$A1178="","",IF('ORDENES'!$X1178="","-",'ORDENES'!$X1178))</f>
        <v/>
      </c>
      <c r="E1200" s="3">
        <f>IF('ORDENES'!$A1178="","",IF('ORDENES'!$V1178="","-",'ORDENES'!$V1178))</f>
        <v/>
      </c>
      <c r="F1200" s="3">
        <f>IF('ORDENES'!$A1178="","",IF('ORDENES'!$Y1178="","-",'ORDENES'!$Y1178))</f>
        <v/>
      </c>
      <c r="G1200" s="3">
        <f>IF('ORDENES'!$A1178="","",IF('ORDENES'!$W1178="","-",'ORDENES'!$W1178))</f>
        <v/>
      </c>
      <c r="H1200" s="3">
        <f>IF('ORDENES'!$A1178="","",IF('ORDENES'!$AE1178="","-",'ORDENES'!$AE1178))</f>
        <v/>
      </c>
      <c r="I1200" s="3">
        <f>IF('ORDENES'!$A1178="","",IF('ORDENES'!$AQ1178="","-",'ORDENES'!$AQ1178))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IF('ORDENES'!$A1178="","",'ORDENES'!$AD1178)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IF('ORDENES'!$A1179="","",IF('ORDENES'!$AF1179="","-",'ORDENES'!$AF1179))</f>
        <v/>
      </c>
      <c r="D1201" s="3">
        <f>IF('ORDENES'!$A1179="","",IF('ORDENES'!$X1179="","-",'ORDENES'!$X1179))</f>
        <v/>
      </c>
      <c r="E1201" s="3">
        <f>IF('ORDENES'!$A1179="","",IF('ORDENES'!$V1179="","-",'ORDENES'!$V1179))</f>
        <v/>
      </c>
      <c r="F1201" s="3">
        <f>IF('ORDENES'!$A1179="","",IF('ORDENES'!$Y1179="","-",'ORDENES'!$Y1179))</f>
        <v/>
      </c>
      <c r="G1201" s="3">
        <f>IF('ORDENES'!$A1179="","",IF('ORDENES'!$W1179="","-",'ORDENES'!$W1179))</f>
        <v/>
      </c>
      <c r="H1201" s="3">
        <f>IF('ORDENES'!$A1179="","",IF('ORDENES'!$AE1179="","-",'ORDENES'!$AE1179))</f>
        <v/>
      </c>
      <c r="I1201" s="3">
        <f>IF('ORDENES'!$A1179="","",IF('ORDENES'!$AQ1179="","-",'ORDENES'!$AQ1179))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IF('ORDENES'!$A1179="","",'ORDENES'!$AD1179)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IF('ORDENES'!$A1180="","",IF('ORDENES'!$AF1180="","-",'ORDENES'!$AF1180))</f>
        <v/>
      </c>
      <c r="D1202" s="3">
        <f>IF('ORDENES'!$A1180="","",IF('ORDENES'!$X1180="","-",'ORDENES'!$X1180))</f>
        <v/>
      </c>
      <c r="E1202" s="3">
        <f>IF('ORDENES'!$A1180="","",IF('ORDENES'!$V1180="","-",'ORDENES'!$V1180))</f>
        <v/>
      </c>
      <c r="F1202" s="3">
        <f>IF('ORDENES'!$A1180="","",IF('ORDENES'!$Y1180="","-",'ORDENES'!$Y1180))</f>
        <v/>
      </c>
      <c r="G1202" s="3">
        <f>IF('ORDENES'!$A1180="","",IF('ORDENES'!$W1180="","-",'ORDENES'!$W1180))</f>
        <v/>
      </c>
      <c r="H1202" s="3">
        <f>IF('ORDENES'!$A1180="","",IF('ORDENES'!$AE1180="","-",'ORDENES'!$AE1180))</f>
        <v/>
      </c>
      <c r="I1202" s="3">
        <f>IF('ORDENES'!$A1180="","",IF('ORDENES'!$AQ1180="","-",'ORDENES'!$AQ1180))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IF('ORDENES'!$A1180="","",'ORDENES'!$AD1180)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IF('ORDENES'!$A1181="","",IF('ORDENES'!$AF1181="","-",'ORDENES'!$AF1181))</f>
        <v/>
      </c>
      <c r="D1203" s="3">
        <f>IF('ORDENES'!$A1181="","",IF('ORDENES'!$X1181="","-",'ORDENES'!$X1181))</f>
        <v/>
      </c>
      <c r="E1203" s="3">
        <f>IF('ORDENES'!$A1181="","",IF('ORDENES'!$V1181="","-",'ORDENES'!$V1181))</f>
        <v/>
      </c>
      <c r="F1203" s="3">
        <f>IF('ORDENES'!$A1181="","",IF('ORDENES'!$Y1181="","-",'ORDENES'!$Y1181))</f>
        <v/>
      </c>
      <c r="G1203" s="3">
        <f>IF('ORDENES'!$A1181="","",IF('ORDENES'!$W1181="","-",'ORDENES'!$W1181))</f>
        <v/>
      </c>
      <c r="H1203" s="3">
        <f>IF('ORDENES'!$A1181="","",IF('ORDENES'!$AE1181="","-",'ORDENES'!$AE1181))</f>
        <v/>
      </c>
      <c r="I1203" s="3">
        <f>IF('ORDENES'!$A1181="","",IF('ORDENES'!$AQ1181="","-",'ORDENES'!$AQ1181))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IF('ORDENES'!$A1181="","",'ORDENES'!$AD1181)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IF('ORDENES'!$A1182="","",IF('ORDENES'!$AF1182="","-",'ORDENES'!$AF1182))</f>
        <v/>
      </c>
      <c r="D1204" s="3">
        <f>IF('ORDENES'!$A1182="","",IF('ORDENES'!$X1182="","-",'ORDENES'!$X1182))</f>
        <v/>
      </c>
      <c r="E1204" s="3">
        <f>IF('ORDENES'!$A1182="","",IF('ORDENES'!$V1182="","-",'ORDENES'!$V1182))</f>
        <v/>
      </c>
      <c r="F1204" s="3">
        <f>IF('ORDENES'!$A1182="","",IF('ORDENES'!$Y1182="","-",'ORDENES'!$Y1182))</f>
        <v/>
      </c>
      <c r="G1204" s="3">
        <f>IF('ORDENES'!$A1182="","",IF('ORDENES'!$W1182="","-",'ORDENES'!$W1182))</f>
        <v/>
      </c>
      <c r="H1204" s="3">
        <f>IF('ORDENES'!$A1182="","",IF('ORDENES'!$AE1182="","-",'ORDENES'!$AE1182))</f>
        <v/>
      </c>
      <c r="I1204" s="3">
        <f>IF('ORDENES'!$A1182="","",IF('ORDENES'!$AQ1182="","-",'ORDENES'!$AQ1182))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IF('ORDENES'!$A1182="","",'ORDENES'!$AD1182)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IF('ORDENES'!$A1183="","",IF('ORDENES'!$AF1183="","-",'ORDENES'!$AF1183))</f>
        <v/>
      </c>
      <c r="D1205" s="3">
        <f>IF('ORDENES'!$A1183="","",IF('ORDENES'!$X1183="","-",'ORDENES'!$X1183))</f>
        <v/>
      </c>
      <c r="E1205" s="3">
        <f>IF('ORDENES'!$A1183="","",IF('ORDENES'!$V1183="","-",'ORDENES'!$V1183))</f>
        <v/>
      </c>
      <c r="F1205" s="3">
        <f>IF('ORDENES'!$A1183="","",IF('ORDENES'!$Y1183="","-",'ORDENES'!$Y1183))</f>
        <v/>
      </c>
      <c r="G1205" s="3">
        <f>IF('ORDENES'!$A1183="","",IF('ORDENES'!$W1183="","-",'ORDENES'!$W1183))</f>
        <v/>
      </c>
      <c r="H1205" s="3">
        <f>IF('ORDENES'!$A1183="","",IF('ORDENES'!$AE1183="","-",'ORDENES'!$AE1183))</f>
        <v/>
      </c>
      <c r="I1205" s="3">
        <f>IF('ORDENES'!$A1183="","",IF('ORDENES'!$AQ1183="","-",'ORDENES'!$AQ1183))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IF('ORDENES'!$A1183="","",'ORDENES'!$AD1183)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IF('ORDENES'!$A1184="","",IF('ORDENES'!$AF1184="","-",'ORDENES'!$AF1184))</f>
        <v/>
      </c>
      <c r="D1206" s="3">
        <f>IF('ORDENES'!$A1184="","",IF('ORDENES'!$X1184="","-",'ORDENES'!$X1184))</f>
        <v/>
      </c>
      <c r="E1206" s="3">
        <f>IF('ORDENES'!$A1184="","",IF('ORDENES'!$V1184="","-",'ORDENES'!$V1184))</f>
        <v/>
      </c>
      <c r="F1206" s="3">
        <f>IF('ORDENES'!$A1184="","",IF('ORDENES'!$Y1184="","-",'ORDENES'!$Y1184))</f>
        <v/>
      </c>
      <c r="G1206" s="3">
        <f>IF('ORDENES'!$A1184="","",IF('ORDENES'!$W1184="","-",'ORDENES'!$W1184))</f>
        <v/>
      </c>
      <c r="H1206" s="3">
        <f>IF('ORDENES'!$A1184="","",IF('ORDENES'!$AE1184="","-",'ORDENES'!$AE1184))</f>
        <v/>
      </c>
      <c r="I1206" s="3">
        <f>IF('ORDENES'!$A1184="","",IF('ORDENES'!$AQ1184="","-",'ORDENES'!$AQ1184))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IF('ORDENES'!$A1184="","",'ORDENES'!$AD1184)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IF('ORDENES'!$A1185="","",IF('ORDENES'!$AF1185="","-",'ORDENES'!$AF1185))</f>
        <v/>
      </c>
      <c r="D1207" s="3">
        <f>IF('ORDENES'!$A1185="","",IF('ORDENES'!$X1185="","-",'ORDENES'!$X1185))</f>
        <v/>
      </c>
      <c r="E1207" s="3">
        <f>IF('ORDENES'!$A1185="","",IF('ORDENES'!$V1185="","-",'ORDENES'!$V1185))</f>
        <v/>
      </c>
      <c r="F1207" s="3">
        <f>IF('ORDENES'!$A1185="","",IF('ORDENES'!$Y1185="","-",'ORDENES'!$Y1185))</f>
        <v/>
      </c>
      <c r="G1207" s="3">
        <f>IF('ORDENES'!$A1185="","",IF('ORDENES'!$W1185="","-",'ORDENES'!$W1185))</f>
        <v/>
      </c>
      <c r="H1207" s="3">
        <f>IF('ORDENES'!$A1185="","",IF('ORDENES'!$AE1185="","-",'ORDENES'!$AE1185))</f>
        <v/>
      </c>
      <c r="I1207" s="3">
        <f>IF('ORDENES'!$A1185="","",IF('ORDENES'!$AQ1185="","-",'ORDENES'!$AQ1185))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IF('ORDENES'!$A1185="","",'ORDENES'!$AD1185)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IF('ORDENES'!$A1186="","",IF('ORDENES'!$AF1186="","-",'ORDENES'!$AF1186))</f>
        <v/>
      </c>
      <c r="D1208" s="3">
        <f>IF('ORDENES'!$A1186="","",IF('ORDENES'!$X1186="","-",'ORDENES'!$X1186))</f>
        <v/>
      </c>
      <c r="E1208" s="3">
        <f>IF('ORDENES'!$A1186="","",IF('ORDENES'!$V1186="","-",'ORDENES'!$V1186))</f>
        <v/>
      </c>
      <c r="F1208" s="3">
        <f>IF('ORDENES'!$A1186="","",IF('ORDENES'!$Y1186="","-",'ORDENES'!$Y1186))</f>
        <v/>
      </c>
      <c r="G1208" s="3">
        <f>IF('ORDENES'!$A1186="","",IF('ORDENES'!$W1186="","-",'ORDENES'!$W1186))</f>
        <v/>
      </c>
      <c r="H1208" s="3">
        <f>IF('ORDENES'!$A1186="","",IF('ORDENES'!$AE1186="","-",'ORDENES'!$AE1186))</f>
        <v/>
      </c>
      <c r="I1208" s="3">
        <f>IF('ORDENES'!$A1186="","",IF('ORDENES'!$AQ1186="","-",'ORDENES'!$AQ1186))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IF('ORDENES'!$A1186="","",'ORDENES'!$AD1186)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IF('ORDENES'!$A1187="","",IF('ORDENES'!$AF1187="","-",'ORDENES'!$AF1187))</f>
        <v/>
      </c>
      <c r="D1209" s="3">
        <f>IF('ORDENES'!$A1187="","",IF('ORDENES'!$X1187="","-",'ORDENES'!$X1187))</f>
        <v/>
      </c>
      <c r="E1209" s="3">
        <f>IF('ORDENES'!$A1187="","",IF('ORDENES'!$V1187="","-",'ORDENES'!$V1187))</f>
        <v/>
      </c>
      <c r="F1209" s="3">
        <f>IF('ORDENES'!$A1187="","",IF('ORDENES'!$Y1187="","-",'ORDENES'!$Y1187))</f>
        <v/>
      </c>
      <c r="G1209" s="3">
        <f>IF('ORDENES'!$A1187="","",IF('ORDENES'!$W1187="","-",'ORDENES'!$W1187))</f>
        <v/>
      </c>
      <c r="H1209" s="3">
        <f>IF('ORDENES'!$A1187="","",IF('ORDENES'!$AE1187="","-",'ORDENES'!$AE1187))</f>
        <v/>
      </c>
      <c r="I1209" s="3">
        <f>IF('ORDENES'!$A1187="","",IF('ORDENES'!$AQ1187="","-",'ORDENES'!$AQ1187))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IF('ORDENES'!$A1187="","",'ORDENES'!$AD1187)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IF('ORDENES'!$A1188="","",IF('ORDENES'!$AF1188="","-",'ORDENES'!$AF1188))</f>
        <v/>
      </c>
      <c r="D1210" s="3">
        <f>IF('ORDENES'!$A1188="","",IF('ORDENES'!$X1188="","-",'ORDENES'!$X1188))</f>
        <v/>
      </c>
      <c r="E1210" s="3">
        <f>IF('ORDENES'!$A1188="","",IF('ORDENES'!$V1188="","-",'ORDENES'!$V1188))</f>
        <v/>
      </c>
      <c r="F1210" s="3">
        <f>IF('ORDENES'!$A1188="","",IF('ORDENES'!$Y1188="","-",'ORDENES'!$Y1188))</f>
        <v/>
      </c>
      <c r="G1210" s="3">
        <f>IF('ORDENES'!$A1188="","",IF('ORDENES'!$W1188="","-",'ORDENES'!$W1188))</f>
        <v/>
      </c>
      <c r="H1210" s="3">
        <f>IF('ORDENES'!$A1188="","",IF('ORDENES'!$AE1188="","-",'ORDENES'!$AE1188))</f>
        <v/>
      </c>
      <c r="I1210" s="3">
        <f>IF('ORDENES'!$A1188="","",IF('ORDENES'!$AQ1188="","-",'ORDENES'!$AQ1188))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IF('ORDENES'!$A1188="","",'ORDENES'!$AD1188)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IF('ORDENES'!$A1189="","",IF('ORDENES'!$AF1189="","-",'ORDENES'!$AF1189))</f>
        <v/>
      </c>
      <c r="D1211" s="3">
        <f>IF('ORDENES'!$A1189="","",IF('ORDENES'!$X1189="","-",'ORDENES'!$X1189))</f>
        <v/>
      </c>
      <c r="E1211" s="3">
        <f>IF('ORDENES'!$A1189="","",IF('ORDENES'!$V1189="","-",'ORDENES'!$V1189))</f>
        <v/>
      </c>
      <c r="F1211" s="3">
        <f>IF('ORDENES'!$A1189="","",IF('ORDENES'!$Y1189="","-",'ORDENES'!$Y1189))</f>
        <v/>
      </c>
      <c r="G1211" s="3">
        <f>IF('ORDENES'!$A1189="","",IF('ORDENES'!$W1189="","-",'ORDENES'!$W1189))</f>
        <v/>
      </c>
      <c r="H1211" s="3">
        <f>IF('ORDENES'!$A1189="","",IF('ORDENES'!$AE1189="","-",'ORDENES'!$AE1189))</f>
        <v/>
      </c>
      <c r="I1211" s="3">
        <f>IF('ORDENES'!$A1189="","",IF('ORDENES'!$AQ1189="","-",'ORDENES'!$AQ1189))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IF('ORDENES'!$A1189="","",'ORDENES'!$AD1189)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IF('ORDENES'!$A1190="","",IF('ORDENES'!$AF1190="","-",'ORDENES'!$AF1190))</f>
        <v/>
      </c>
      <c r="D1212" s="3">
        <f>IF('ORDENES'!$A1190="","",IF('ORDENES'!$X1190="","-",'ORDENES'!$X1190))</f>
        <v/>
      </c>
      <c r="E1212" s="3">
        <f>IF('ORDENES'!$A1190="","",IF('ORDENES'!$V1190="","-",'ORDENES'!$V1190))</f>
        <v/>
      </c>
      <c r="F1212" s="3">
        <f>IF('ORDENES'!$A1190="","",IF('ORDENES'!$Y1190="","-",'ORDENES'!$Y1190))</f>
        <v/>
      </c>
      <c r="G1212" s="3">
        <f>IF('ORDENES'!$A1190="","",IF('ORDENES'!$W1190="","-",'ORDENES'!$W1190))</f>
        <v/>
      </c>
      <c r="H1212" s="3">
        <f>IF('ORDENES'!$A1190="","",IF('ORDENES'!$AE1190="","-",'ORDENES'!$AE1190))</f>
        <v/>
      </c>
      <c r="I1212" s="3">
        <f>IF('ORDENES'!$A1190="","",IF('ORDENES'!$AQ1190="","-",'ORDENES'!$AQ1190))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IF('ORDENES'!$A1190="","",'ORDENES'!$AD1190)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IF('ORDENES'!$A1191="","",IF('ORDENES'!$AF1191="","-",'ORDENES'!$AF1191))</f>
        <v/>
      </c>
      <c r="D1213" s="3">
        <f>IF('ORDENES'!$A1191="","",IF('ORDENES'!$X1191="","-",'ORDENES'!$X1191))</f>
        <v/>
      </c>
      <c r="E1213" s="3">
        <f>IF('ORDENES'!$A1191="","",IF('ORDENES'!$V1191="","-",'ORDENES'!$V1191))</f>
        <v/>
      </c>
      <c r="F1213" s="3">
        <f>IF('ORDENES'!$A1191="","",IF('ORDENES'!$Y1191="","-",'ORDENES'!$Y1191))</f>
        <v/>
      </c>
      <c r="G1213" s="3">
        <f>IF('ORDENES'!$A1191="","",IF('ORDENES'!$W1191="","-",'ORDENES'!$W1191))</f>
        <v/>
      </c>
      <c r="H1213" s="3">
        <f>IF('ORDENES'!$A1191="","",IF('ORDENES'!$AE1191="","-",'ORDENES'!$AE1191))</f>
        <v/>
      </c>
      <c r="I1213" s="3">
        <f>IF('ORDENES'!$A1191="","",IF('ORDENES'!$AQ1191="","-",'ORDENES'!$AQ1191))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IF('ORDENES'!$A1191="","",'ORDENES'!$AD1191)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IF('ORDENES'!$A1192="","",IF('ORDENES'!$AF1192="","-",'ORDENES'!$AF1192))</f>
        <v/>
      </c>
      <c r="D1214" s="3">
        <f>IF('ORDENES'!$A1192="","",IF('ORDENES'!$X1192="","-",'ORDENES'!$X1192))</f>
        <v/>
      </c>
      <c r="E1214" s="3">
        <f>IF('ORDENES'!$A1192="","",IF('ORDENES'!$V1192="","-",'ORDENES'!$V1192))</f>
        <v/>
      </c>
      <c r="F1214" s="3">
        <f>IF('ORDENES'!$A1192="","",IF('ORDENES'!$Y1192="","-",'ORDENES'!$Y1192))</f>
        <v/>
      </c>
      <c r="G1214" s="3">
        <f>IF('ORDENES'!$A1192="","",IF('ORDENES'!$W1192="","-",'ORDENES'!$W1192))</f>
        <v/>
      </c>
      <c r="H1214" s="3">
        <f>IF('ORDENES'!$A1192="","",IF('ORDENES'!$AE1192="","-",'ORDENES'!$AE1192))</f>
        <v/>
      </c>
      <c r="I1214" s="3">
        <f>IF('ORDENES'!$A1192="","",IF('ORDENES'!$AQ1192="","-",'ORDENES'!$AQ1192))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IF('ORDENES'!$A1192="","",'ORDENES'!$AD1192)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IF('ORDENES'!$A1193="","",IF('ORDENES'!$AF1193="","-",'ORDENES'!$AF1193))</f>
        <v/>
      </c>
      <c r="D1215" s="3">
        <f>IF('ORDENES'!$A1193="","",IF('ORDENES'!$X1193="","-",'ORDENES'!$X1193))</f>
        <v/>
      </c>
      <c r="E1215" s="3">
        <f>IF('ORDENES'!$A1193="","",IF('ORDENES'!$V1193="","-",'ORDENES'!$V1193))</f>
        <v/>
      </c>
      <c r="F1215" s="3">
        <f>IF('ORDENES'!$A1193="","",IF('ORDENES'!$Y1193="","-",'ORDENES'!$Y1193))</f>
        <v/>
      </c>
      <c r="G1215" s="3">
        <f>IF('ORDENES'!$A1193="","",IF('ORDENES'!$W1193="","-",'ORDENES'!$W1193))</f>
        <v/>
      </c>
      <c r="H1215" s="3">
        <f>IF('ORDENES'!$A1193="","",IF('ORDENES'!$AE1193="","-",'ORDENES'!$AE1193))</f>
        <v/>
      </c>
      <c r="I1215" s="3">
        <f>IF('ORDENES'!$A1193="","",IF('ORDENES'!$AQ1193="","-",'ORDENES'!$AQ1193))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IF('ORDENES'!$A1193="","",'ORDENES'!$AD1193)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IF('ORDENES'!$A1194="","",IF('ORDENES'!$AF1194="","-",'ORDENES'!$AF1194))</f>
        <v/>
      </c>
      <c r="D1216" s="3">
        <f>IF('ORDENES'!$A1194="","",IF('ORDENES'!$X1194="","-",'ORDENES'!$X1194))</f>
        <v/>
      </c>
      <c r="E1216" s="3">
        <f>IF('ORDENES'!$A1194="","",IF('ORDENES'!$V1194="","-",'ORDENES'!$V1194))</f>
        <v/>
      </c>
      <c r="F1216" s="3">
        <f>IF('ORDENES'!$A1194="","",IF('ORDENES'!$Y1194="","-",'ORDENES'!$Y1194))</f>
        <v/>
      </c>
      <c r="G1216" s="3">
        <f>IF('ORDENES'!$A1194="","",IF('ORDENES'!$W1194="","-",'ORDENES'!$W1194))</f>
        <v/>
      </c>
      <c r="H1216" s="3">
        <f>IF('ORDENES'!$A1194="","",IF('ORDENES'!$AE1194="","-",'ORDENES'!$AE1194))</f>
        <v/>
      </c>
      <c r="I1216" s="3">
        <f>IF('ORDENES'!$A1194="","",IF('ORDENES'!$AQ1194="","-",'ORDENES'!$AQ1194))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IF('ORDENES'!$A1194="","",'ORDENES'!$AD1194)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IF('ORDENES'!$A1195="","",IF('ORDENES'!$AF1195="","-",'ORDENES'!$AF1195))</f>
        <v/>
      </c>
      <c r="D1217" s="3">
        <f>IF('ORDENES'!$A1195="","",IF('ORDENES'!$X1195="","-",'ORDENES'!$X1195))</f>
        <v/>
      </c>
      <c r="E1217" s="3">
        <f>IF('ORDENES'!$A1195="","",IF('ORDENES'!$V1195="","-",'ORDENES'!$V1195))</f>
        <v/>
      </c>
      <c r="F1217" s="3">
        <f>IF('ORDENES'!$A1195="","",IF('ORDENES'!$Y1195="","-",'ORDENES'!$Y1195))</f>
        <v/>
      </c>
      <c r="G1217" s="3">
        <f>IF('ORDENES'!$A1195="","",IF('ORDENES'!$W1195="","-",'ORDENES'!$W1195))</f>
        <v/>
      </c>
      <c r="H1217" s="3">
        <f>IF('ORDENES'!$A1195="","",IF('ORDENES'!$AE1195="","-",'ORDENES'!$AE1195))</f>
        <v/>
      </c>
      <c r="I1217" s="3">
        <f>IF('ORDENES'!$A1195="","",IF('ORDENES'!$AQ1195="","-",'ORDENES'!$AQ1195))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IF('ORDENES'!$A1195="","",'ORDENES'!$AD1195)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IF('ORDENES'!$A1196="","",IF('ORDENES'!$AF1196="","-",'ORDENES'!$AF1196))</f>
        <v/>
      </c>
      <c r="D1218" s="3">
        <f>IF('ORDENES'!$A1196="","",IF('ORDENES'!$X1196="","-",'ORDENES'!$X1196))</f>
        <v/>
      </c>
      <c r="E1218" s="3">
        <f>IF('ORDENES'!$A1196="","",IF('ORDENES'!$V1196="","-",'ORDENES'!$V1196))</f>
        <v/>
      </c>
      <c r="F1218" s="3">
        <f>IF('ORDENES'!$A1196="","",IF('ORDENES'!$Y1196="","-",'ORDENES'!$Y1196))</f>
        <v/>
      </c>
      <c r="G1218" s="3">
        <f>IF('ORDENES'!$A1196="","",IF('ORDENES'!$W1196="","-",'ORDENES'!$W1196))</f>
        <v/>
      </c>
      <c r="H1218" s="3">
        <f>IF('ORDENES'!$A1196="","",IF('ORDENES'!$AE1196="","-",'ORDENES'!$AE1196))</f>
        <v/>
      </c>
      <c r="I1218" s="3">
        <f>IF('ORDENES'!$A1196="","",IF('ORDENES'!$AQ1196="","-",'ORDENES'!$AQ1196))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IF('ORDENES'!$A1196="","",'ORDENES'!$AD1196)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IF('ORDENES'!$A1197="","",IF('ORDENES'!$AF1197="","-",'ORDENES'!$AF1197))</f>
        <v/>
      </c>
      <c r="D1219" s="3">
        <f>IF('ORDENES'!$A1197="","",IF('ORDENES'!$X1197="","-",'ORDENES'!$X1197))</f>
        <v/>
      </c>
      <c r="E1219" s="3">
        <f>IF('ORDENES'!$A1197="","",IF('ORDENES'!$V1197="","-",'ORDENES'!$V1197))</f>
        <v/>
      </c>
      <c r="F1219" s="3">
        <f>IF('ORDENES'!$A1197="","",IF('ORDENES'!$Y1197="","-",'ORDENES'!$Y1197))</f>
        <v/>
      </c>
      <c r="G1219" s="3">
        <f>IF('ORDENES'!$A1197="","",IF('ORDENES'!$W1197="","-",'ORDENES'!$W1197))</f>
        <v/>
      </c>
      <c r="H1219" s="3">
        <f>IF('ORDENES'!$A1197="","",IF('ORDENES'!$AE1197="","-",'ORDENES'!$AE1197))</f>
        <v/>
      </c>
      <c r="I1219" s="3">
        <f>IF('ORDENES'!$A1197="","",IF('ORDENES'!$AQ1197="","-",'ORDENES'!$AQ1197))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IF('ORDENES'!$A1197="","",'ORDENES'!$AD1197)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IF('ORDENES'!$A1198="","",IF('ORDENES'!$AF1198="","-",'ORDENES'!$AF1198))</f>
        <v/>
      </c>
      <c r="D1220" s="3">
        <f>IF('ORDENES'!$A1198="","",IF('ORDENES'!$X1198="","-",'ORDENES'!$X1198))</f>
        <v/>
      </c>
      <c r="E1220" s="3">
        <f>IF('ORDENES'!$A1198="","",IF('ORDENES'!$V1198="","-",'ORDENES'!$V1198))</f>
        <v/>
      </c>
      <c r="F1220" s="3">
        <f>IF('ORDENES'!$A1198="","",IF('ORDENES'!$Y1198="","-",'ORDENES'!$Y1198))</f>
        <v/>
      </c>
      <c r="G1220" s="3">
        <f>IF('ORDENES'!$A1198="","",IF('ORDENES'!$W1198="","-",'ORDENES'!$W1198))</f>
        <v/>
      </c>
      <c r="H1220" s="3">
        <f>IF('ORDENES'!$A1198="","",IF('ORDENES'!$AE1198="","-",'ORDENES'!$AE1198))</f>
        <v/>
      </c>
      <c r="I1220" s="3">
        <f>IF('ORDENES'!$A1198="","",IF('ORDENES'!$AQ1198="","-",'ORDENES'!$AQ1198))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IF('ORDENES'!$A1198="","",'ORDENES'!$AD1198)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IF('ORDENES'!$A1199="","",IF('ORDENES'!$AF1199="","-",'ORDENES'!$AF1199))</f>
        <v/>
      </c>
      <c r="D1221" s="3">
        <f>IF('ORDENES'!$A1199="","",IF('ORDENES'!$X1199="","-",'ORDENES'!$X1199))</f>
        <v/>
      </c>
      <c r="E1221" s="3">
        <f>IF('ORDENES'!$A1199="","",IF('ORDENES'!$V1199="","-",'ORDENES'!$V1199))</f>
        <v/>
      </c>
      <c r="F1221" s="3">
        <f>IF('ORDENES'!$A1199="","",IF('ORDENES'!$Y1199="","-",'ORDENES'!$Y1199))</f>
        <v/>
      </c>
      <c r="G1221" s="3">
        <f>IF('ORDENES'!$A1199="","",IF('ORDENES'!$W1199="","-",'ORDENES'!$W1199))</f>
        <v/>
      </c>
      <c r="H1221" s="3">
        <f>IF('ORDENES'!$A1199="","",IF('ORDENES'!$AE1199="","-",'ORDENES'!$AE1199))</f>
        <v/>
      </c>
      <c r="I1221" s="3">
        <f>IF('ORDENES'!$A1199="","",IF('ORDENES'!$AQ1199="","-",'ORDENES'!$AQ1199))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IF('ORDENES'!$A1199="","",'ORDENES'!$AD1199)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IF('ORDENES'!$A1200="","",IF('ORDENES'!$AF1200="","-",'ORDENES'!$AF1200))</f>
        <v/>
      </c>
      <c r="D1222" s="3">
        <f>IF('ORDENES'!$A1200="","",IF('ORDENES'!$X1200="","-",'ORDENES'!$X1200))</f>
        <v/>
      </c>
      <c r="E1222" s="3">
        <f>IF('ORDENES'!$A1200="","",IF('ORDENES'!$V1200="","-",'ORDENES'!$V1200))</f>
        <v/>
      </c>
      <c r="F1222" s="3">
        <f>IF('ORDENES'!$A1200="","",IF('ORDENES'!$Y1200="","-",'ORDENES'!$Y1200))</f>
        <v/>
      </c>
      <c r="G1222" s="3">
        <f>IF('ORDENES'!$A1200="","",IF('ORDENES'!$W1200="","-",'ORDENES'!$W1200))</f>
        <v/>
      </c>
      <c r="H1222" s="3">
        <f>IF('ORDENES'!$A1200="","",IF('ORDENES'!$AE1200="","-",'ORDENES'!$AE1200))</f>
        <v/>
      </c>
      <c r="I1222" s="3">
        <f>IF('ORDENES'!$A1200="","",IF('ORDENES'!$AQ1200="","-",'ORDENES'!$AQ1200))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IF('ORDENES'!$A1200="","",'ORDENES'!$AD1200)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IF('ORDENES'!$A1201="","",IF('ORDENES'!$AF1201="","-",'ORDENES'!$AF1201))</f>
        <v/>
      </c>
      <c r="D1223" s="3">
        <f>IF('ORDENES'!$A1201="","",IF('ORDENES'!$X1201="","-",'ORDENES'!$X1201))</f>
        <v/>
      </c>
      <c r="E1223" s="3">
        <f>IF('ORDENES'!$A1201="","",IF('ORDENES'!$V1201="","-",'ORDENES'!$V1201))</f>
        <v/>
      </c>
      <c r="F1223" s="3">
        <f>IF('ORDENES'!$A1201="","",IF('ORDENES'!$Y1201="","-",'ORDENES'!$Y1201))</f>
        <v/>
      </c>
      <c r="G1223" s="3">
        <f>IF('ORDENES'!$A1201="","",IF('ORDENES'!$W1201="","-",'ORDENES'!$W1201))</f>
        <v/>
      </c>
      <c r="H1223" s="3">
        <f>IF('ORDENES'!$A1201="","",IF('ORDENES'!$AE1201="","-",'ORDENES'!$AE1201))</f>
        <v/>
      </c>
      <c r="I1223" s="3">
        <f>IF('ORDENES'!$A1201="","",IF('ORDENES'!$AQ1201="","-",'ORDENES'!$AQ1201))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IF('ORDENES'!$A1201="","",'ORDENES'!$AD1201)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IF('ORDENES'!$A1202="","",IF('ORDENES'!$AF1202="","-",'ORDENES'!$AF1202))</f>
        <v/>
      </c>
      <c r="D1224" s="3">
        <f>IF('ORDENES'!$A1202="","",IF('ORDENES'!$X1202="","-",'ORDENES'!$X1202))</f>
        <v/>
      </c>
      <c r="E1224" s="3">
        <f>IF('ORDENES'!$A1202="","",IF('ORDENES'!$V1202="","-",'ORDENES'!$V1202))</f>
        <v/>
      </c>
      <c r="F1224" s="3">
        <f>IF('ORDENES'!$A1202="","",IF('ORDENES'!$Y1202="","-",'ORDENES'!$Y1202))</f>
        <v/>
      </c>
      <c r="G1224" s="3">
        <f>IF('ORDENES'!$A1202="","",IF('ORDENES'!$W1202="","-",'ORDENES'!$W1202))</f>
        <v/>
      </c>
      <c r="H1224" s="3">
        <f>IF('ORDENES'!$A1202="","",IF('ORDENES'!$AE1202="","-",'ORDENES'!$AE1202))</f>
        <v/>
      </c>
      <c r="I1224" s="3">
        <f>IF('ORDENES'!$A1202="","",IF('ORDENES'!$AQ1202="","-",'ORDENES'!$AQ1202))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IF('ORDENES'!$A1202="","",'ORDENES'!$AD1202)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IF('ORDENES'!$A1203="","",IF('ORDENES'!$AF1203="","-",'ORDENES'!$AF1203))</f>
        <v/>
      </c>
      <c r="D1225" s="3">
        <f>IF('ORDENES'!$A1203="","",IF('ORDENES'!$X1203="","-",'ORDENES'!$X1203))</f>
        <v/>
      </c>
      <c r="E1225" s="3">
        <f>IF('ORDENES'!$A1203="","",IF('ORDENES'!$V1203="","-",'ORDENES'!$V1203))</f>
        <v/>
      </c>
      <c r="F1225" s="3">
        <f>IF('ORDENES'!$A1203="","",IF('ORDENES'!$Y1203="","-",'ORDENES'!$Y1203))</f>
        <v/>
      </c>
      <c r="G1225" s="3">
        <f>IF('ORDENES'!$A1203="","",IF('ORDENES'!$W1203="","-",'ORDENES'!$W1203))</f>
        <v/>
      </c>
      <c r="H1225" s="3">
        <f>IF('ORDENES'!$A1203="","",IF('ORDENES'!$AE1203="","-",'ORDENES'!$AE1203))</f>
        <v/>
      </c>
      <c r="I1225" s="3">
        <f>IF('ORDENES'!$A1203="","",IF('ORDENES'!$AQ1203="","-",'ORDENES'!$AQ1203))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IF('ORDENES'!$A1203="","",'ORDENES'!$AD1203)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95 %. Solo días hábiles: las órdenes en día no laborable no penalizan (se reportan en VALIDACION).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COUNTIFS('ORDENES'!$O$4:$O$1203,$A5,'ORDENES'!$S$4:$S$1203,"sí")</f>
        <v/>
      </c>
      <c r="C5" s="3">
        <f>COUNTIFS('ORDENES'!$O$4:$O$1203,$A5,'ORDENES'!$N$4:$N$1203,"Cerrada",'ORDENES'!$S$4:$S$1203,"sí")</f>
        <v/>
      </c>
      <c r="D5" s="18">
        <f>IF(B5=0,"",C5/B5)</f>
        <v/>
      </c>
      <c r="E5" s="17">
        <f>SUMIFS('ORDENES'!$M$4:$M$1203,'ORDENES'!$O$4:$O$1203,$A5,'ORDENES'!$S$4:$S$1203,"sí")</f>
        <v/>
      </c>
      <c r="F5" s="17">
        <f>SUMIFS('ORDENES'!$M$4:$M$1203,'ORDENES'!$O$4:$O$1203,$A5,'ORDENES'!$N$4:$N$1203,"Cerrada",'ORDENES'!$S$4:$S$1203,"sí")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COUNTIFS('ORDENES'!$O$4:$O$1203,$A6,'ORDENES'!$S$4:$S$1203,"sí")</f>
        <v/>
      </c>
      <c r="C6" s="3">
        <f>COUNTIFS('ORDENES'!$O$4:$O$1203,$A6,'ORDENES'!$N$4:$N$1203,"Cerrada",'ORDENES'!$S$4:$S$1203,"sí")</f>
        <v/>
      </c>
      <c r="D6" s="18">
        <f>IF(B6=0,"",C6/B6)</f>
        <v/>
      </c>
      <c r="E6" s="17">
        <f>SUMIFS('ORDENES'!$M$4:$M$1203,'ORDENES'!$O$4:$O$1203,$A6,'ORDENES'!$S$4:$S$1203,"sí")</f>
        <v/>
      </c>
      <c r="F6" s="17">
        <f>SUMIFS('ORDENES'!$M$4:$M$1203,'ORDENES'!$O$4:$O$1203,$A6,'ORDENES'!$N$4:$N$1203,"Cerrada",'ORDENES'!$S$4:$S$1203,"sí")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COUNTIFS('ORDENES'!$O$4:$O$1203,$A7,'ORDENES'!$S$4:$S$1203,"sí")</f>
        <v/>
      </c>
      <c r="C7" s="3">
        <f>COUNTIFS('ORDENES'!$O$4:$O$1203,$A7,'ORDENES'!$N$4:$N$1203,"Cerrada",'ORDENES'!$S$4:$S$1203,"sí")</f>
        <v/>
      </c>
      <c r="D7" s="18">
        <f>IF(B7=0,"",C7/B7)</f>
        <v/>
      </c>
      <c r="E7" s="17">
        <f>SUMIFS('ORDENES'!$M$4:$M$1203,'ORDENES'!$O$4:$O$1203,$A7,'ORDENES'!$S$4:$S$1203,"sí")</f>
        <v/>
      </c>
      <c r="F7" s="17">
        <f>SUMIFS('ORDENES'!$M$4:$M$1203,'ORDENES'!$O$4:$O$1203,$A7,'ORDENES'!$N$4:$N$1203,"Cerrada",'ORDENES'!$S$4:$S$1203,"sí")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COUNTIFS('ORDENES'!$O$4:$O$1203,$A8,'ORDENES'!$S$4:$S$1203,"sí")</f>
        <v/>
      </c>
      <c r="C8" s="3">
        <f>COUNTIFS('ORDENES'!$O$4:$O$1203,$A8,'ORDENES'!$N$4:$N$1203,"Cerrada",'ORDENES'!$S$4:$S$1203,"sí")</f>
        <v/>
      </c>
      <c r="D8" s="18">
        <f>IF(B8=0,"",C8/B8)</f>
        <v/>
      </c>
      <c r="E8" s="17">
        <f>SUMIFS('ORDENES'!$M$4:$M$1203,'ORDENES'!$O$4:$O$1203,$A8,'ORDENES'!$S$4:$S$1203,"sí")</f>
        <v/>
      </c>
      <c r="F8" s="17">
        <f>SUMIFS('ORDENES'!$M$4:$M$1203,'ORDENES'!$O$4:$O$1203,$A8,'ORDENES'!$N$4:$N$1203,"Cerrada",'ORDENES'!$S$4:$S$1203,"sí")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COUNTIFS('ORDENES'!$O$4:$O$1203,$A9,'ORDENES'!$S$4:$S$1203,"sí")</f>
        <v/>
      </c>
      <c r="C9" s="3">
        <f>COUNTIFS('ORDENES'!$O$4:$O$1203,$A9,'ORDENES'!$N$4:$N$1203,"Cerrada",'ORDENES'!$S$4:$S$1203,"sí")</f>
        <v/>
      </c>
      <c r="D9" s="18">
        <f>IF(B9=0,"",C9/B9)</f>
        <v/>
      </c>
      <c r="E9" s="17">
        <f>SUMIFS('ORDENES'!$M$4:$M$1203,'ORDENES'!$O$4:$O$1203,$A9,'ORDENES'!$S$4:$S$1203,"sí")</f>
        <v/>
      </c>
      <c r="F9" s="17">
        <f>SUMIFS('ORDENES'!$M$4:$M$1203,'ORDENES'!$O$4:$O$1203,$A9,'ORDENES'!$N$4:$N$1203,"Cerrada",'ORDENES'!$S$4:$S$1203,"sí")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COUNTIFS('ORDENES'!$O$4:$O$1203,$A10,'ORDENES'!$S$4:$S$1203,"sí")</f>
        <v/>
      </c>
      <c r="C10" s="3">
        <f>COUNTIFS('ORDENES'!$O$4:$O$1203,$A10,'ORDENES'!$N$4:$N$1203,"Cerrada",'ORDENES'!$S$4:$S$1203,"sí")</f>
        <v/>
      </c>
      <c r="D10" s="18">
        <f>IF(B10=0,"",C10/B10)</f>
        <v/>
      </c>
      <c r="E10" s="17">
        <f>SUMIFS('ORDENES'!$M$4:$M$1203,'ORDENES'!$O$4:$O$1203,$A10,'ORDENES'!$S$4:$S$1203,"sí")</f>
        <v/>
      </c>
      <c r="F10" s="17">
        <f>SUMIFS('ORDENES'!$M$4:$M$1203,'ORDENES'!$O$4:$O$1203,$A10,'ORDENES'!$N$4:$N$1203,"Cerrada",'ORDENES'!$S$4:$S$1203,"sí")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COUNTIFS('ORDENES'!$O$4:$O$1203,$A11,'ORDENES'!$S$4:$S$1203,"sí")</f>
        <v/>
      </c>
      <c r="C11" s="3">
        <f>COUNTIFS('ORDENES'!$O$4:$O$1203,$A11,'ORDENES'!$N$4:$N$1203,"Cerrada",'ORDENES'!$S$4:$S$1203,"sí")</f>
        <v/>
      </c>
      <c r="D11" s="18">
        <f>IF(B11=0,"",C11/B11)</f>
        <v/>
      </c>
      <c r="E11" s="17">
        <f>SUMIFS('ORDENES'!$M$4:$M$1203,'ORDENES'!$O$4:$O$1203,$A11,'ORDENES'!$S$4:$S$1203,"sí")</f>
        <v/>
      </c>
      <c r="F11" s="17">
        <f>SUMIFS('ORDENES'!$M$4:$M$1203,'ORDENES'!$O$4:$O$1203,$A11,'ORDENES'!$N$4:$N$1203,"Cerrada",'ORDENES'!$S$4:$S$1203,"sí")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COUNTIFS('ORDENES'!$O$4:$O$1203,$A12,'ORDENES'!$S$4:$S$1203,"sí")</f>
        <v/>
      </c>
      <c r="C12" s="3">
        <f>COUNTIFS('ORDENES'!$O$4:$O$1203,$A12,'ORDENES'!$N$4:$N$1203,"Cerrada",'ORDENES'!$S$4:$S$1203,"sí")</f>
        <v/>
      </c>
      <c r="D12" s="18">
        <f>IF(B12=0,"",C12/B12)</f>
        <v/>
      </c>
      <c r="E12" s="17">
        <f>SUMIFS('ORDENES'!$M$4:$M$1203,'ORDENES'!$O$4:$O$1203,$A12,'ORDENES'!$S$4:$S$1203,"sí")</f>
        <v/>
      </c>
      <c r="F12" s="17">
        <f>SUMIFS('ORDENES'!$M$4:$M$1203,'ORDENES'!$O$4:$O$1203,$A12,'ORDENES'!$N$4:$N$1203,"Cerrada",'ORDENES'!$S$4:$S$1203,"sí")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COUNTIFS('ORDENES'!$O$4:$O$1203,$A13,'ORDENES'!$S$4:$S$1203,"sí")</f>
        <v/>
      </c>
      <c r="C13" s="3">
        <f>COUNTIFS('ORDENES'!$O$4:$O$1203,$A13,'ORDENES'!$N$4:$N$1203,"Cerrada",'ORDENES'!$S$4:$S$1203,"sí")</f>
        <v/>
      </c>
      <c r="D13" s="18">
        <f>IF(B13=0,"",C13/B13)</f>
        <v/>
      </c>
      <c r="E13" s="17">
        <f>SUMIFS('ORDENES'!$M$4:$M$1203,'ORDENES'!$O$4:$O$1203,$A13,'ORDENES'!$S$4:$S$1203,"sí")</f>
        <v/>
      </c>
      <c r="F13" s="17">
        <f>SUMIFS('ORDENES'!$M$4:$M$1203,'ORDENES'!$O$4:$O$1203,$A13,'ORDENES'!$N$4:$N$1203,"Cerrada",'ORDENES'!$S$4:$S$1203,"sí")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COUNTIFS('ORDENES'!$O$4:$O$1203,$A14,'ORDENES'!$S$4:$S$1203,"sí")</f>
        <v/>
      </c>
      <c r="C14" s="3">
        <f>COUNTIFS('ORDENES'!$O$4:$O$1203,$A14,'ORDENES'!$N$4:$N$1203,"Cerrada",'ORDENES'!$S$4:$S$1203,"sí")</f>
        <v/>
      </c>
      <c r="D14" s="18">
        <f>IF(B14=0,"",C14/B14)</f>
        <v/>
      </c>
      <c r="E14" s="17">
        <f>SUMIFS('ORDENES'!$M$4:$M$1203,'ORDENES'!$O$4:$O$1203,$A14,'ORDENES'!$S$4:$S$1203,"sí")</f>
        <v/>
      </c>
      <c r="F14" s="17">
        <f>SUMIFS('ORDENES'!$M$4:$M$1203,'ORDENES'!$O$4:$O$1203,$A14,'ORDENES'!$N$4:$N$1203,"Cerrada",'ORDENES'!$S$4:$S$1203,"sí")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COUNTIFS('ORDENES'!$O$4:$O$1203,$A15,'ORDENES'!$S$4:$S$1203,"sí")</f>
        <v/>
      </c>
      <c r="C15" s="3">
        <f>COUNTIFS('ORDENES'!$O$4:$O$1203,$A15,'ORDENES'!$N$4:$N$1203,"Cerrada",'ORDENES'!$S$4:$S$1203,"sí")</f>
        <v/>
      </c>
      <c r="D15" s="18">
        <f>IF(B15=0,"",C15/B15)</f>
        <v/>
      </c>
      <c r="E15" s="17">
        <f>SUMIFS('ORDENES'!$M$4:$M$1203,'ORDENES'!$O$4:$O$1203,$A15,'ORDENES'!$S$4:$S$1203,"sí")</f>
        <v/>
      </c>
      <c r="F15" s="17">
        <f>SUMIFS('ORDENES'!$M$4:$M$1203,'ORDENES'!$O$4:$O$1203,$A15,'ORDENES'!$N$4:$N$1203,"Cerrada",'ORDENES'!$S$4:$S$1203,"sí")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COUNTIFS('ORDENES'!$O$4:$O$1203,$A16,'ORDENES'!$S$4:$S$1203,"sí")</f>
        <v/>
      </c>
      <c r="C16" s="3">
        <f>COUNTIFS('ORDENES'!$O$4:$O$1203,$A16,'ORDENES'!$N$4:$N$1203,"Cerrada",'ORDENES'!$S$4:$S$1203,"sí")</f>
        <v/>
      </c>
      <c r="D16" s="18">
        <f>IF(B16=0,"",C16/B16)</f>
        <v/>
      </c>
      <c r="E16" s="17">
        <f>SUMIFS('ORDENES'!$M$4:$M$1203,'ORDENES'!$O$4:$O$1203,$A16,'ORDENES'!$S$4:$S$1203,"sí")</f>
        <v/>
      </c>
      <c r="F16" s="17">
        <f>SUMIFS('ORDENES'!$M$4:$M$1203,'ORDENES'!$O$4:$O$1203,$A16,'ORDENES'!$N$4:$N$1203,"Cerrada",'ORDENES'!$S$4:$S$1203,"sí")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COUNTIFS('ORDENES'!$O$4:$O$1203,$A17,'ORDENES'!$S$4:$S$1203,"sí")</f>
        <v/>
      </c>
      <c r="C17" s="3">
        <f>COUNTIFS('ORDENES'!$O$4:$O$1203,$A17,'ORDENES'!$N$4:$N$1203,"Cerrada",'ORDENES'!$S$4:$S$1203,"sí")</f>
        <v/>
      </c>
      <c r="D17" s="18">
        <f>IF(B17=0,"",C17/B17)</f>
        <v/>
      </c>
      <c r="E17" s="17">
        <f>SUMIFS('ORDENES'!$M$4:$M$1203,'ORDENES'!$O$4:$O$1203,$A17,'ORDENES'!$S$4:$S$1203,"sí")</f>
        <v/>
      </c>
      <c r="F17" s="17">
        <f>SUMIFS('ORDENES'!$M$4:$M$1203,'ORDENES'!$O$4:$O$1203,$A17,'ORDENES'!$N$4:$N$1203,"Cerrada",'ORDENES'!$S$4:$S$1203,"sí")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COUNTIFS('ORDENES'!$O$4:$O$1203,$A18,'ORDENES'!$S$4:$S$1203,"sí")</f>
        <v/>
      </c>
      <c r="C18" s="3">
        <f>COUNTIFS('ORDENES'!$O$4:$O$1203,$A18,'ORDENES'!$N$4:$N$1203,"Cerrada",'ORDENES'!$S$4:$S$1203,"sí")</f>
        <v/>
      </c>
      <c r="D18" s="18">
        <f>IF(B18=0,"",C18/B18)</f>
        <v/>
      </c>
      <c r="E18" s="17">
        <f>SUMIFS('ORDENES'!$M$4:$M$1203,'ORDENES'!$O$4:$O$1203,$A18,'ORDENES'!$S$4:$S$1203,"sí")</f>
        <v/>
      </c>
      <c r="F18" s="17">
        <f>SUMIFS('ORDENES'!$M$4:$M$1203,'ORDENES'!$O$4:$O$1203,$A18,'ORDENES'!$N$4:$N$1203,"Cerrada",'ORDENES'!$S$4:$S$1203,"sí")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COUNTIFS('ORDENES'!$O$4:$O$1203,$A19,'ORDENES'!$S$4:$S$1203,"sí")</f>
        <v/>
      </c>
      <c r="C19" s="3">
        <f>COUNTIFS('ORDENES'!$O$4:$O$1203,$A19,'ORDENES'!$N$4:$N$1203,"Cerrada",'ORDENES'!$S$4:$S$1203,"sí")</f>
        <v/>
      </c>
      <c r="D19" s="18">
        <f>IF(B19=0,"",C19/B19)</f>
        <v/>
      </c>
      <c r="E19" s="17">
        <f>SUMIFS('ORDENES'!$M$4:$M$1203,'ORDENES'!$O$4:$O$1203,$A19,'ORDENES'!$S$4:$S$1203,"sí")</f>
        <v/>
      </c>
      <c r="F19" s="17">
        <f>SUMIFS('ORDENES'!$M$4:$M$1203,'ORDENES'!$O$4:$O$1203,$A19,'ORDENES'!$N$4:$N$1203,"Cerrada",'ORDENES'!$S$4:$S$1203,"sí")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COUNTIFS('ORDENES'!$O$4:$O$1203,$A20,'ORDENES'!$S$4:$S$1203,"sí")</f>
        <v/>
      </c>
      <c r="C20" s="3">
        <f>COUNTIFS('ORDENES'!$O$4:$O$1203,$A20,'ORDENES'!$N$4:$N$1203,"Cerrada",'ORDENES'!$S$4:$S$1203,"sí")</f>
        <v/>
      </c>
      <c r="D20" s="18">
        <f>IF(B20=0,"",C20/B20)</f>
        <v/>
      </c>
      <c r="E20" s="17">
        <f>SUMIFS('ORDENES'!$M$4:$M$1203,'ORDENES'!$O$4:$O$1203,$A20,'ORDENES'!$S$4:$S$1203,"sí")</f>
        <v/>
      </c>
      <c r="F20" s="17">
        <f>SUMIFS('ORDENES'!$M$4:$M$1203,'ORDENES'!$O$4:$O$1203,$A20,'ORDENES'!$N$4:$N$1203,"Cerrada",'ORDENES'!$S$4:$S$1203,"sí")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COUNTIFS('ORDENES'!$O$4:$O$1203,$A21,'ORDENES'!$S$4:$S$1203,"sí")</f>
        <v/>
      </c>
      <c r="C21" s="3">
        <f>COUNTIFS('ORDENES'!$O$4:$O$1203,$A21,'ORDENES'!$N$4:$N$1203,"Cerrada",'ORDENES'!$S$4:$S$1203,"sí")</f>
        <v/>
      </c>
      <c r="D21" s="18">
        <f>IF(B21=0,"",C21/B21)</f>
        <v/>
      </c>
      <c r="E21" s="17">
        <f>SUMIFS('ORDENES'!$M$4:$M$1203,'ORDENES'!$O$4:$O$1203,$A21,'ORDENES'!$S$4:$S$1203,"sí")</f>
        <v/>
      </c>
      <c r="F21" s="17">
        <f>SUMIFS('ORDENES'!$M$4:$M$1203,'ORDENES'!$O$4:$O$1203,$A21,'ORDENES'!$N$4:$N$1203,"Cerrada",'ORDENES'!$S$4:$S$1203,"sí")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COUNTIFS('ORDENES'!$O$4:$O$1203,$A22,'ORDENES'!$S$4:$S$1203,"sí")</f>
        <v/>
      </c>
      <c r="C22" s="3">
        <f>COUNTIFS('ORDENES'!$O$4:$O$1203,$A22,'ORDENES'!$N$4:$N$1203,"Cerrada",'ORDENES'!$S$4:$S$1203,"sí")</f>
        <v/>
      </c>
      <c r="D22" s="18">
        <f>IF(B22=0,"",C22/B22)</f>
        <v/>
      </c>
      <c r="E22" s="17">
        <f>SUMIFS('ORDENES'!$M$4:$M$1203,'ORDENES'!$O$4:$O$1203,$A22,'ORDENES'!$S$4:$S$1203,"sí")</f>
        <v/>
      </c>
      <c r="F22" s="17">
        <f>SUMIFS('ORDENES'!$M$4:$M$1203,'ORDENES'!$O$4:$O$1203,$A22,'ORDENES'!$N$4:$N$1203,"Cerrada",'ORDENES'!$S$4:$S$1203,"sí")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COUNTIFS('ORDENES'!$O$4:$O$1203,$A23,'ORDENES'!$S$4:$S$1203,"sí")</f>
        <v/>
      </c>
      <c r="C23" s="3">
        <f>COUNTIFS('ORDENES'!$O$4:$O$1203,$A23,'ORDENES'!$N$4:$N$1203,"Cerrada",'ORDENES'!$S$4:$S$1203,"sí")</f>
        <v/>
      </c>
      <c r="D23" s="18">
        <f>IF(B23=0,"",C23/B23)</f>
        <v/>
      </c>
      <c r="E23" s="17">
        <f>SUMIFS('ORDENES'!$M$4:$M$1203,'ORDENES'!$O$4:$O$1203,$A23,'ORDENES'!$S$4:$S$1203,"sí")</f>
        <v/>
      </c>
      <c r="F23" s="17">
        <f>SUMIFS('ORDENES'!$M$4:$M$1203,'ORDENES'!$O$4:$O$1203,$A23,'ORDENES'!$N$4:$N$1203,"Cerrada",'ORDENES'!$S$4:$S$1203,"sí")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COUNTIFS('ORDENES'!$O$4:$O$1203,$A24,'ORDENES'!$S$4:$S$1203,"sí")</f>
        <v/>
      </c>
      <c r="C24" s="3">
        <f>COUNTIFS('ORDENES'!$O$4:$O$1203,$A24,'ORDENES'!$N$4:$N$1203,"Cerrada",'ORDENES'!$S$4:$S$1203,"sí")</f>
        <v/>
      </c>
      <c r="D24" s="18">
        <f>IF(B24=0,"",C24/B24)</f>
        <v/>
      </c>
      <c r="E24" s="17">
        <f>SUMIFS('ORDENES'!$M$4:$M$1203,'ORDENES'!$O$4:$O$1203,$A24,'ORDENES'!$S$4:$S$1203,"sí")</f>
        <v/>
      </c>
      <c r="F24" s="17">
        <f>SUMIFS('ORDENES'!$M$4:$M$1203,'ORDENES'!$O$4:$O$1203,$A24,'ORDENES'!$N$4:$N$1203,"Cerrada",'ORDENES'!$S$4:$S$1203,"sí")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COUNTIFS('ORDENES'!$O$4:$O$1203,$A25,'ORDENES'!$S$4:$S$1203,"sí")</f>
        <v/>
      </c>
      <c r="C25" s="3">
        <f>COUNTIFS('ORDENES'!$O$4:$O$1203,$A25,'ORDENES'!$N$4:$N$1203,"Cerrada",'ORDENES'!$S$4:$S$1203,"sí")</f>
        <v/>
      </c>
      <c r="D25" s="18">
        <f>IF(B25=0,"",C25/B25)</f>
        <v/>
      </c>
      <c r="E25" s="17">
        <f>SUMIFS('ORDENES'!$M$4:$M$1203,'ORDENES'!$O$4:$O$1203,$A25,'ORDENES'!$S$4:$S$1203,"sí")</f>
        <v/>
      </c>
      <c r="F25" s="17">
        <f>SUMIFS('ORDENES'!$M$4:$M$1203,'ORDENES'!$O$4:$O$1203,$A25,'ORDENES'!$N$4:$N$1203,"Cerrada",'ORDENES'!$S$4:$S$1203,"sí")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COUNTIFS('ORDENES'!$O$4:$O$1203,$A26,'ORDENES'!$S$4:$S$1203,"sí")</f>
        <v/>
      </c>
      <c r="C26" s="3">
        <f>COUNTIFS('ORDENES'!$O$4:$O$1203,$A26,'ORDENES'!$N$4:$N$1203,"Cerrada",'ORDENES'!$S$4:$S$1203,"sí")</f>
        <v/>
      </c>
      <c r="D26" s="18">
        <f>IF(B26=0,"",C26/B26)</f>
        <v/>
      </c>
      <c r="E26" s="17">
        <f>SUMIFS('ORDENES'!$M$4:$M$1203,'ORDENES'!$O$4:$O$1203,$A26,'ORDENES'!$S$4:$S$1203,"sí")</f>
        <v/>
      </c>
      <c r="F26" s="17">
        <f>SUMIFS('ORDENES'!$M$4:$M$1203,'ORDENES'!$O$4:$O$1203,$A26,'ORDENES'!$N$4:$N$1203,"Cerrada",'ORDENES'!$S$4:$S$1203,"sí")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COUNTIFS('ORDENES'!$O$4:$O$1203,$A27,'ORDENES'!$S$4:$S$1203,"sí")</f>
        <v/>
      </c>
      <c r="C27" s="3">
        <f>COUNTIFS('ORDENES'!$O$4:$O$1203,$A27,'ORDENES'!$N$4:$N$1203,"Cerrada",'ORDENES'!$S$4:$S$1203,"sí")</f>
        <v/>
      </c>
      <c r="D27" s="18">
        <f>IF(B27=0,"",C27/B27)</f>
        <v/>
      </c>
      <c r="E27" s="17">
        <f>SUMIFS('ORDENES'!$M$4:$M$1203,'ORDENES'!$O$4:$O$1203,$A27,'ORDENES'!$S$4:$S$1203,"sí")</f>
        <v/>
      </c>
      <c r="F27" s="17">
        <f>SUMIFS('ORDENES'!$M$4:$M$1203,'ORDENES'!$O$4:$O$1203,$A27,'ORDENES'!$N$4:$N$1203,"Cerrada",'ORDENES'!$S$4:$S$1203,"sí")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COUNTIFS('ORDENES'!$O$4:$O$1203,$A28,'ORDENES'!$S$4:$S$1203,"sí")</f>
        <v/>
      </c>
      <c r="C28" s="3">
        <f>COUNTIFS('ORDENES'!$O$4:$O$1203,$A28,'ORDENES'!$N$4:$N$1203,"Cerrada",'ORDENES'!$S$4:$S$1203,"sí")</f>
        <v/>
      </c>
      <c r="D28" s="18">
        <f>IF(B28=0,"",C28/B28)</f>
        <v/>
      </c>
      <c r="E28" s="17">
        <f>SUMIFS('ORDENES'!$M$4:$M$1203,'ORDENES'!$O$4:$O$1203,$A28,'ORDENES'!$S$4:$S$1203,"sí")</f>
        <v/>
      </c>
      <c r="F28" s="17">
        <f>SUMIFS('ORDENES'!$M$4:$M$1203,'ORDENES'!$O$4:$O$1203,$A28,'ORDENES'!$N$4:$N$1203,"Cerrada",'ORDENES'!$S$4:$S$1203,"sí")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COUNTIFS('ORDENES'!$O$4:$O$1203,$A29,'ORDENES'!$S$4:$S$1203,"sí")</f>
        <v/>
      </c>
      <c r="C29" s="3">
        <f>COUNTIFS('ORDENES'!$O$4:$O$1203,$A29,'ORDENES'!$N$4:$N$1203,"Cerrada",'ORDENES'!$S$4:$S$1203,"sí")</f>
        <v/>
      </c>
      <c r="D29" s="18">
        <f>IF(B29=0,"",C29/B29)</f>
        <v/>
      </c>
      <c r="E29" s="17">
        <f>SUMIFS('ORDENES'!$M$4:$M$1203,'ORDENES'!$O$4:$O$1203,$A29,'ORDENES'!$S$4:$S$1203,"sí")</f>
        <v/>
      </c>
      <c r="F29" s="17">
        <f>SUMIFS('ORDENES'!$M$4:$M$1203,'ORDENES'!$O$4:$O$1203,$A29,'ORDENES'!$N$4:$N$1203,"Cerrada",'ORDENES'!$S$4:$S$1203,"sí")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COUNTIFS('ORDENES'!$O$4:$O$1203,$A30,'ORDENES'!$S$4:$S$1203,"sí")</f>
        <v/>
      </c>
      <c r="C30" s="3">
        <f>COUNTIFS('ORDENES'!$O$4:$O$1203,$A30,'ORDENES'!$N$4:$N$1203,"Cerrada",'ORDENES'!$S$4:$S$1203,"sí")</f>
        <v/>
      </c>
      <c r="D30" s="18">
        <f>IF(B30=0,"",C30/B30)</f>
        <v/>
      </c>
      <c r="E30" s="17">
        <f>SUMIFS('ORDENES'!$M$4:$M$1203,'ORDENES'!$O$4:$O$1203,$A30,'ORDENES'!$S$4:$S$1203,"sí")</f>
        <v/>
      </c>
      <c r="F30" s="17">
        <f>SUMIFS('ORDENES'!$M$4:$M$1203,'ORDENES'!$O$4:$O$1203,$A30,'ORDENES'!$N$4:$N$1203,"Cerrada",'ORDENES'!$S$4:$S$1203,"sí")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COUNTIFS('ORDENES'!$O$4:$O$1203,$A31,'ORDENES'!$S$4:$S$1203,"sí")</f>
        <v/>
      </c>
      <c r="C31" s="3">
        <f>COUNTIFS('ORDENES'!$O$4:$O$1203,$A31,'ORDENES'!$N$4:$N$1203,"Cerrada",'ORDENES'!$S$4:$S$1203,"sí")</f>
        <v/>
      </c>
      <c r="D31" s="18">
        <f>IF(B31=0,"",C31/B31)</f>
        <v/>
      </c>
      <c r="E31" s="17">
        <f>SUMIFS('ORDENES'!$M$4:$M$1203,'ORDENES'!$O$4:$O$1203,$A31,'ORDENES'!$S$4:$S$1203,"sí")</f>
        <v/>
      </c>
      <c r="F31" s="17">
        <f>SUMIFS('ORDENES'!$M$4:$M$1203,'ORDENES'!$O$4:$O$1203,$A31,'ORDENES'!$N$4:$N$1203,"Cerrada",'ORDENES'!$S$4:$S$1203,"sí")</f>
        <v/>
      </c>
      <c r="G31" s="18">
        <f>IF(E31=0,"",F31/E31)</f>
        <v/>
      </c>
      <c r="H31" s="20">
        <f>p_meta_adherencia</f>
        <v/>
      </c>
    </row>
    <row r="32" hidden="1">
      <c r="A32" s="3">
        <f>'PERFIL_HH'!$O$31</f>
        <v/>
      </c>
      <c r="B32" s="3">
        <f>COUNTIFS('ORDENES'!$O$4:$O$1203,$A32,'ORDENES'!$S$4:$S$1203,"sí")</f>
        <v/>
      </c>
      <c r="C32" s="3">
        <f>COUNTIFS('ORDENES'!$O$4:$O$1203,$A32,'ORDENES'!$N$4:$N$1203,"Cerrada",'ORDENES'!$S$4:$S$1203,"sí")</f>
        <v/>
      </c>
      <c r="D32" s="18">
        <f>IF(B32=0,"",C32/B32)</f>
        <v/>
      </c>
      <c r="E32" s="17">
        <f>SUMIFS('ORDENES'!$M$4:$M$1203,'ORDENES'!$O$4:$O$1203,$A32,'ORDENES'!$S$4:$S$1203,"sí")</f>
        <v/>
      </c>
      <c r="F32" s="17">
        <f>SUMIFS('ORDENES'!$M$4:$M$1203,'ORDENES'!$O$4:$O$1203,$A32,'ORDENES'!$N$4:$N$1203,"Cerrada",'ORDENES'!$S$4:$S$1203,"sí")</f>
        <v/>
      </c>
      <c r="G32" s="18">
        <f>IF(E32=0,"",F32/E32)</f>
        <v/>
      </c>
      <c r="H32" s="20">
        <f>p_meta_adherencia</f>
        <v/>
      </c>
    </row>
    <row r="33">
      <c r="A33" s="3">
        <f>'PERFIL_HH'!$O$32</f>
        <v/>
      </c>
      <c r="B33" s="3">
        <f>COUNTIFS('ORDENES'!$O$4:$O$1203,$A33,'ORDENES'!$S$4:$S$1203,"sí")</f>
        <v/>
      </c>
      <c r="C33" s="3">
        <f>COUNTIFS('ORDENES'!$O$4:$O$1203,$A33,'ORDENES'!$N$4:$N$1203,"Cerrada",'ORDENES'!$S$4:$S$1203,"sí")</f>
        <v/>
      </c>
      <c r="D33" s="18">
        <f>IF(B33=0,"",C33/B33)</f>
        <v/>
      </c>
      <c r="E33" s="17">
        <f>SUMIFS('ORDENES'!$M$4:$M$1203,'ORDENES'!$O$4:$O$1203,$A33,'ORDENES'!$S$4:$S$1203,"sí")</f>
        <v/>
      </c>
      <c r="F33" s="17">
        <f>SUMIFS('ORDENES'!$M$4:$M$1203,'ORDENES'!$O$4:$O$1203,$A33,'ORDENES'!$N$4:$N$1203,"Cerrada",'ORDENES'!$S$4:$S$1203,"sí")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COUNTIFS('ORDENES'!$O$4:$O$1203,$A34,'ORDENES'!$S$4:$S$1203,"sí")</f>
        <v/>
      </c>
      <c r="C34" s="3">
        <f>COUNTIFS('ORDENES'!$O$4:$O$1203,$A34,'ORDENES'!$N$4:$N$1203,"Cerrada",'ORDENES'!$S$4:$S$1203,"sí")</f>
        <v/>
      </c>
      <c r="D34" s="18">
        <f>IF(B34=0,"",C34/B34)</f>
        <v/>
      </c>
      <c r="E34" s="17">
        <f>SUMIFS('ORDENES'!$M$4:$M$1203,'ORDENES'!$O$4:$O$1203,$A34,'ORDENES'!$S$4:$S$1203,"sí")</f>
        <v/>
      </c>
      <c r="F34" s="17">
        <f>SUMIFS('ORDENES'!$M$4:$M$1203,'ORDENES'!$O$4:$O$1203,$A34,'ORDENES'!$N$4:$N$1203,"Cerrada",'ORDENES'!$S$4:$S$1203,"sí")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COUNTIFS('ORDENES'!$O$4:$O$1203,$A35,'ORDENES'!$S$4:$S$1203,"sí")</f>
        <v/>
      </c>
      <c r="C35" s="3">
        <f>COUNTIFS('ORDENES'!$O$4:$O$1203,$A35,'ORDENES'!$N$4:$N$1203,"Cerrada",'ORDENES'!$S$4:$S$1203,"sí")</f>
        <v/>
      </c>
      <c r="D35" s="18">
        <f>IF(B35=0,"",C35/B35)</f>
        <v/>
      </c>
      <c r="E35" s="17">
        <f>SUMIFS('ORDENES'!$M$4:$M$1203,'ORDENES'!$O$4:$O$1203,$A35,'ORDENES'!$S$4:$S$1203,"sí")</f>
        <v/>
      </c>
      <c r="F35" s="17">
        <f>SUMIFS('ORDENES'!$M$4:$M$1203,'ORDENES'!$O$4:$O$1203,$A35,'ORDENES'!$N$4:$N$1203,"Cerrada",'ORDENES'!$S$4:$S$1203,"sí")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COUNTIFS('ORDENES'!$O$4:$O$1203,$A36,'ORDENES'!$S$4:$S$1203,"sí")</f>
        <v/>
      </c>
      <c r="C36" s="3">
        <f>COUNTIFS('ORDENES'!$O$4:$O$1203,$A36,'ORDENES'!$N$4:$N$1203,"Cerrada",'ORDENES'!$S$4:$S$1203,"sí")</f>
        <v/>
      </c>
      <c r="D36" s="18">
        <f>IF(B36=0,"",C36/B36)</f>
        <v/>
      </c>
      <c r="E36" s="17">
        <f>SUMIFS('ORDENES'!$M$4:$M$1203,'ORDENES'!$O$4:$O$1203,$A36,'ORDENES'!$S$4:$S$1203,"sí")</f>
        <v/>
      </c>
      <c r="F36" s="17">
        <f>SUMIFS('ORDENES'!$M$4:$M$1203,'ORDENES'!$O$4:$O$1203,$A36,'ORDENES'!$N$4:$N$1203,"Cerrada",'ORDENES'!$S$4:$S$1203,"sí")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COUNTIFS('ORDENES'!$O$4:$O$1203,$A37,'ORDENES'!$S$4:$S$1203,"sí")</f>
        <v/>
      </c>
      <c r="C37" s="3">
        <f>COUNTIFS('ORDENES'!$O$4:$O$1203,$A37,'ORDENES'!$N$4:$N$1203,"Cerrada",'ORDENES'!$S$4:$S$1203,"sí")</f>
        <v/>
      </c>
      <c r="D37" s="18">
        <f>IF(B37=0,"",C37/B37)</f>
        <v/>
      </c>
      <c r="E37" s="17">
        <f>SUMIFS('ORDENES'!$M$4:$M$1203,'ORDENES'!$O$4:$O$1203,$A37,'ORDENES'!$S$4:$S$1203,"sí")</f>
        <v/>
      </c>
      <c r="F37" s="17">
        <f>SUMIFS('ORDENES'!$M$4:$M$1203,'ORDENES'!$O$4:$O$1203,$A37,'ORDENES'!$N$4:$N$1203,"Cerrada",'ORDENES'!$S$4:$S$1203,"sí")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COUNTIFS('ORDENES'!$O$4:$O$1203,$A38,'ORDENES'!$S$4:$S$1203,"sí")</f>
        <v/>
      </c>
      <c r="C38" s="3">
        <f>COUNTIFS('ORDENES'!$O$4:$O$1203,$A38,'ORDENES'!$N$4:$N$1203,"Cerrada",'ORDENES'!$S$4:$S$1203,"sí")</f>
        <v/>
      </c>
      <c r="D38" s="18">
        <f>IF(B38=0,"",C38/B38)</f>
        <v/>
      </c>
      <c r="E38" s="17">
        <f>SUMIFS('ORDENES'!$M$4:$M$1203,'ORDENES'!$O$4:$O$1203,$A38,'ORDENES'!$S$4:$S$1203,"sí")</f>
        <v/>
      </c>
      <c r="F38" s="17">
        <f>SUMIFS('ORDENES'!$M$4:$M$1203,'ORDENES'!$O$4:$O$1203,$A38,'ORDENES'!$N$4:$N$1203,"Cerrada",'ORDENES'!$S$4:$S$1203,"sí")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COUNTIFS('ORDENES'!$O$4:$O$1203,$A39,'ORDENES'!$S$4:$S$1203,"sí")</f>
        <v/>
      </c>
      <c r="C39" s="3">
        <f>COUNTIFS('ORDENES'!$O$4:$O$1203,$A39,'ORDENES'!$N$4:$N$1203,"Cerrada",'ORDENES'!$S$4:$S$1203,"sí")</f>
        <v/>
      </c>
      <c r="D39" s="18">
        <f>IF(B39=0,"",C39/B39)</f>
        <v/>
      </c>
      <c r="E39" s="17">
        <f>SUMIFS('ORDENES'!$M$4:$M$1203,'ORDENES'!$O$4:$O$1203,$A39,'ORDENES'!$S$4:$S$1203,"sí")</f>
        <v/>
      </c>
      <c r="F39" s="17">
        <f>SUMIFS('ORDENES'!$M$4:$M$1203,'ORDENES'!$O$4:$O$1203,$A39,'ORDENES'!$N$4:$N$1203,"Cerrada",'ORDENES'!$S$4:$S$1203,"sí")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COUNTIFS('ORDENES'!$O$4:$O$1203,$A40,'ORDENES'!$S$4:$S$1203,"sí")</f>
        <v/>
      </c>
      <c r="C40" s="3">
        <f>COUNTIFS('ORDENES'!$O$4:$O$1203,$A40,'ORDENES'!$N$4:$N$1203,"Cerrada",'ORDENES'!$S$4:$S$1203,"sí")</f>
        <v/>
      </c>
      <c r="D40" s="18">
        <f>IF(B40=0,"",C40/B40)</f>
        <v/>
      </c>
      <c r="E40" s="17">
        <f>SUMIFS('ORDENES'!$M$4:$M$1203,'ORDENES'!$O$4:$O$1203,$A40,'ORDENES'!$S$4:$S$1203,"sí")</f>
        <v/>
      </c>
      <c r="F40" s="17">
        <f>SUMIFS('ORDENES'!$M$4:$M$1203,'ORDENES'!$O$4:$O$1203,$A40,'ORDENES'!$N$4:$N$1203,"Cerrada",'ORDENES'!$S$4:$S$1203,"sí")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COUNTIFS('ORDENES'!$O$4:$O$1203,$A41,'ORDENES'!$S$4:$S$1203,"sí")</f>
        <v/>
      </c>
      <c r="C41" s="3">
        <f>COUNTIFS('ORDENES'!$O$4:$O$1203,$A41,'ORDENES'!$N$4:$N$1203,"Cerrada",'ORDENES'!$S$4:$S$1203,"sí")</f>
        <v/>
      </c>
      <c r="D41" s="18">
        <f>IF(B41=0,"",C41/B41)</f>
        <v/>
      </c>
      <c r="E41" s="17">
        <f>SUMIFS('ORDENES'!$M$4:$M$1203,'ORDENES'!$O$4:$O$1203,$A41,'ORDENES'!$S$4:$S$1203,"sí")</f>
        <v/>
      </c>
      <c r="F41" s="17">
        <f>SUMIFS('ORDENES'!$M$4:$M$1203,'ORDENES'!$O$4:$O$1203,$A41,'ORDENES'!$N$4:$N$1203,"Cerrada",'ORDENES'!$S$4:$S$1203,"sí")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COUNTIFS('ORDENES'!$O$4:$O$1203,$A42,'ORDENES'!$S$4:$S$1203,"sí")</f>
        <v/>
      </c>
      <c r="C42" s="3">
        <f>COUNTIFS('ORDENES'!$O$4:$O$1203,$A42,'ORDENES'!$N$4:$N$1203,"Cerrada",'ORDENES'!$S$4:$S$1203,"sí")</f>
        <v/>
      </c>
      <c r="D42" s="18">
        <f>IF(B42=0,"",C42/B42)</f>
        <v/>
      </c>
      <c r="E42" s="17">
        <f>SUMIFS('ORDENES'!$M$4:$M$1203,'ORDENES'!$O$4:$O$1203,$A42,'ORDENES'!$S$4:$S$1203,"sí")</f>
        <v/>
      </c>
      <c r="F42" s="17">
        <f>SUMIFS('ORDENES'!$M$4:$M$1203,'ORDENES'!$O$4:$O$1203,$A42,'ORDENES'!$N$4:$N$1203,"Cerrada",'ORDENES'!$S$4:$S$1203,"sí")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COUNTIFS('ORDENES'!$O$4:$O$1203,$A43,'ORDENES'!$S$4:$S$1203,"sí")</f>
        <v/>
      </c>
      <c r="C43" s="3">
        <f>COUNTIFS('ORDENES'!$O$4:$O$1203,$A43,'ORDENES'!$N$4:$N$1203,"Cerrada",'ORDENES'!$S$4:$S$1203,"sí")</f>
        <v/>
      </c>
      <c r="D43" s="18">
        <f>IF(B43=0,"",C43/B43)</f>
        <v/>
      </c>
      <c r="E43" s="17">
        <f>SUMIFS('ORDENES'!$M$4:$M$1203,'ORDENES'!$O$4:$O$1203,$A43,'ORDENES'!$S$4:$S$1203,"sí")</f>
        <v/>
      </c>
      <c r="F43" s="17">
        <f>SUMIFS('ORDENES'!$M$4:$M$1203,'ORDENES'!$O$4:$O$1203,$A43,'ORDENES'!$N$4:$N$1203,"Cerrada",'ORDENES'!$S$4:$S$1203,"sí")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COUNTIFS('ORDENES'!$O$4:$O$1203,$A44,'ORDENES'!$S$4:$S$1203,"sí")</f>
        <v/>
      </c>
      <c r="C44" s="3">
        <f>COUNTIFS('ORDENES'!$O$4:$O$1203,$A44,'ORDENES'!$N$4:$N$1203,"Cerrada",'ORDENES'!$S$4:$S$1203,"sí")</f>
        <v/>
      </c>
      <c r="D44" s="18">
        <f>IF(B44=0,"",C44/B44)</f>
        <v/>
      </c>
      <c r="E44" s="17">
        <f>SUMIFS('ORDENES'!$M$4:$M$1203,'ORDENES'!$O$4:$O$1203,$A44,'ORDENES'!$S$4:$S$1203,"sí")</f>
        <v/>
      </c>
      <c r="F44" s="17">
        <f>SUMIFS('ORDENES'!$M$4:$M$1203,'ORDENES'!$O$4:$O$1203,$A44,'ORDENES'!$N$4:$N$1203,"Cerrada",'ORDENES'!$S$4:$S$1203,"sí")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COUNTIFS('ORDENES'!$O$4:$O$1203,$A45,'ORDENES'!$S$4:$S$1203,"sí")</f>
        <v/>
      </c>
      <c r="C45" s="3">
        <f>COUNTIFS('ORDENES'!$O$4:$O$1203,$A45,'ORDENES'!$N$4:$N$1203,"Cerrada",'ORDENES'!$S$4:$S$1203,"sí")</f>
        <v/>
      </c>
      <c r="D45" s="18">
        <f>IF(B45=0,"",C45/B45)</f>
        <v/>
      </c>
      <c r="E45" s="17">
        <f>SUMIFS('ORDENES'!$M$4:$M$1203,'ORDENES'!$O$4:$O$1203,$A45,'ORDENES'!$S$4:$S$1203,"sí")</f>
        <v/>
      </c>
      <c r="F45" s="17">
        <f>SUMIFS('ORDENES'!$M$4:$M$1203,'ORDENES'!$O$4:$O$1203,$A45,'ORDENES'!$N$4:$N$1203,"Cerrada",'ORDENES'!$S$4:$S$1203,"sí")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COUNTIFS('ORDENES'!$O$4:$O$1203,$A46,'ORDENES'!$S$4:$S$1203,"sí")</f>
        <v/>
      </c>
      <c r="C46" s="3">
        <f>COUNTIFS('ORDENES'!$O$4:$O$1203,$A46,'ORDENES'!$N$4:$N$1203,"Cerrada",'ORDENES'!$S$4:$S$1203,"sí")</f>
        <v/>
      </c>
      <c r="D46" s="18">
        <f>IF(B46=0,"",C46/B46)</f>
        <v/>
      </c>
      <c r="E46" s="17">
        <f>SUMIFS('ORDENES'!$M$4:$M$1203,'ORDENES'!$O$4:$O$1203,$A46,'ORDENES'!$S$4:$S$1203,"sí")</f>
        <v/>
      </c>
      <c r="F46" s="17">
        <f>SUMIFS('ORDENES'!$M$4:$M$1203,'ORDENES'!$O$4:$O$1203,$A46,'ORDENES'!$N$4:$N$1203,"Cerrada",'ORDENES'!$S$4:$S$1203,"sí")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COUNTIFS('ORDENES'!$O$4:$O$1203,$A47,'ORDENES'!$S$4:$S$1203,"sí")</f>
        <v/>
      </c>
      <c r="C47" s="3">
        <f>COUNTIFS('ORDENES'!$O$4:$O$1203,$A47,'ORDENES'!$N$4:$N$1203,"Cerrada",'ORDENES'!$S$4:$S$1203,"sí")</f>
        <v/>
      </c>
      <c r="D47" s="18">
        <f>IF(B47=0,"",C47/B47)</f>
        <v/>
      </c>
      <c r="E47" s="17">
        <f>SUMIFS('ORDENES'!$M$4:$M$1203,'ORDENES'!$O$4:$O$1203,$A47,'ORDENES'!$S$4:$S$1203,"sí")</f>
        <v/>
      </c>
      <c r="F47" s="17">
        <f>SUMIFS('ORDENES'!$M$4:$M$1203,'ORDENES'!$O$4:$O$1203,$A47,'ORDENES'!$N$4:$N$1203,"Cerrada",'ORDENES'!$S$4:$S$1203,"sí")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COUNTIFS('ORDENES'!$O$4:$O$1203,$A48,'ORDENES'!$S$4:$S$1203,"sí")</f>
        <v/>
      </c>
      <c r="C48" s="3">
        <f>COUNTIFS('ORDENES'!$O$4:$O$1203,$A48,'ORDENES'!$N$4:$N$1203,"Cerrada",'ORDENES'!$S$4:$S$1203,"sí")</f>
        <v/>
      </c>
      <c r="D48" s="18">
        <f>IF(B48=0,"",C48/B48)</f>
        <v/>
      </c>
      <c r="E48" s="17">
        <f>SUMIFS('ORDENES'!$M$4:$M$1203,'ORDENES'!$O$4:$O$1203,$A48,'ORDENES'!$S$4:$S$1203,"sí")</f>
        <v/>
      </c>
      <c r="F48" s="17">
        <f>SUMIFS('ORDENES'!$M$4:$M$1203,'ORDENES'!$O$4:$O$1203,$A48,'ORDENES'!$N$4:$N$1203,"Cerrada",'ORDENES'!$S$4:$S$1203,"sí")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COUNTIFS('ORDENES'!$O$4:$O$1203,$A49,'ORDENES'!$S$4:$S$1203,"sí")</f>
        <v/>
      </c>
      <c r="C49" s="3">
        <f>COUNTIFS('ORDENES'!$O$4:$O$1203,$A49,'ORDENES'!$N$4:$N$1203,"Cerrada",'ORDENES'!$S$4:$S$1203,"sí")</f>
        <v/>
      </c>
      <c r="D49" s="18">
        <f>IF(B49=0,"",C49/B49)</f>
        <v/>
      </c>
      <c r="E49" s="17">
        <f>SUMIFS('ORDENES'!$M$4:$M$1203,'ORDENES'!$O$4:$O$1203,$A49,'ORDENES'!$S$4:$S$1203,"sí")</f>
        <v/>
      </c>
      <c r="F49" s="17">
        <f>SUMIFS('ORDENES'!$M$4:$M$1203,'ORDENES'!$O$4:$O$1203,$A49,'ORDENES'!$N$4:$N$1203,"Cerrada",'ORDENES'!$S$4:$S$1203,"sí")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COUNTIFS('ORDENES'!$O$4:$O$1203,$A50,'ORDENES'!$S$4:$S$1203,"sí")</f>
        <v/>
      </c>
      <c r="C50" s="3">
        <f>COUNTIFS('ORDENES'!$O$4:$O$1203,$A50,'ORDENES'!$N$4:$N$1203,"Cerrada",'ORDENES'!$S$4:$S$1203,"sí")</f>
        <v/>
      </c>
      <c r="D50" s="18">
        <f>IF(B50=0,"",C50/B50)</f>
        <v/>
      </c>
      <c r="E50" s="17">
        <f>SUMIFS('ORDENES'!$M$4:$M$1203,'ORDENES'!$O$4:$O$1203,$A50,'ORDENES'!$S$4:$S$1203,"sí")</f>
        <v/>
      </c>
      <c r="F50" s="17">
        <f>SUMIFS('ORDENES'!$M$4:$M$1203,'ORDENES'!$O$4:$O$1203,$A50,'ORDENES'!$N$4:$N$1203,"Cerrada",'ORDENES'!$S$4:$S$1203,"sí")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COUNTIFS('ORDENES'!$O$4:$O$1203,$A51,'ORDENES'!$S$4:$S$1203,"sí")</f>
        <v/>
      </c>
      <c r="C51" s="3">
        <f>COUNTIFS('ORDENES'!$O$4:$O$1203,$A51,'ORDENES'!$N$4:$N$1203,"Cerrada",'ORDENES'!$S$4:$S$1203,"sí")</f>
        <v/>
      </c>
      <c r="D51" s="18">
        <f>IF(B51=0,"",C51/B51)</f>
        <v/>
      </c>
      <c r="E51" s="17">
        <f>SUMIFS('ORDENES'!$M$4:$M$1203,'ORDENES'!$O$4:$O$1203,$A51,'ORDENES'!$S$4:$S$1203,"sí")</f>
        <v/>
      </c>
      <c r="F51" s="17">
        <f>SUMIFS('ORDENES'!$M$4:$M$1203,'ORDENES'!$O$4:$O$1203,$A51,'ORDENES'!$N$4:$N$1203,"Cerrada",'ORDENES'!$S$4:$S$1203,"sí")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COUNTIFS('ORDENES'!$O$4:$O$1203,$A52,'ORDENES'!$S$4:$S$1203,"sí")</f>
        <v/>
      </c>
      <c r="C52" s="3">
        <f>COUNTIFS('ORDENES'!$O$4:$O$1203,$A52,'ORDENES'!$N$4:$N$1203,"Cerrada",'ORDENES'!$S$4:$S$1203,"sí")</f>
        <v/>
      </c>
      <c r="D52" s="18">
        <f>IF(B52=0,"",C52/B52)</f>
        <v/>
      </c>
      <c r="E52" s="17">
        <f>SUMIFS('ORDENES'!$M$4:$M$1203,'ORDENES'!$O$4:$O$1203,$A52,'ORDENES'!$S$4:$S$1203,"sí")</f>
        <v/>
      </c>
      <c r="F52" s="17">
        <f>SUMIFS('ORDENES'!$M$4:$M$1203,'ORDENES'!$O$4:$O$1203,$A52,'ORDENES'!$N$4:$N$1203,"Cerrada",'ORDENES'!$S$4:$S$1203,"sí")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COUNTIFS('ORDENES'!$O$4:$O$1203,$A53,'ORDENES'!$S$4:$S$1203,"sí")</f>
        <v/>
      </c>
      <c r="C53" s="3">
        <f>COUNTIFS('ORDENES'!$O$4:$O$1203,$A53,'ORDENES'!$N$4:$N$1203,"Cerrada",'ORDENES'!$S$4:$S$1203,"sí")</f>
        <v/>
      </c>
      <c r="D53" s="18">
        <f>IF(B53=0,"",C53/B53)</f>
        <v/>
      </c>
      <c r="E53" s="17">
        <f>SUMIFS('ORDENES'!$M$4:$M$1203,'ORDENES'!$O$4:$O$1203,$A53,'ORDENES'!$S$4:$S$1203,"sí")</f>
        <v/>
      </c>
      <c r="F53" s="17">
        <f>SUMIFS('ORDENES'!$M$4:$M$1203,'ORDENES'!$O$4:$O$1203,$A53,'ORDENES'!$N$4:$N$1203,"Cerrada",'ORDENES'!$S$4:$S$1203,"sí")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COUNTIFS('ORDENES'!$O$4:$O$1203,$A54,'ORDENES'!$S$4:$S$1203,"sí")</f>
        <v/>
      </c>
      <c r="C54" s="3">
        <f>COUNTIFS('ORDENES'!$O$4:$O$1203,$A54,'ORDENES'!$N$4:$N$1203,"Cerrada",'ORDENES'!$S$4:$S$1203,"sí")</f>
        <v/>
      </c>
      <c r="D54" s="18">
        <f>IF(B54=0,"",C54/B54)</f>
        <v/>
      </c>
      <c r="E54" s="17">
        <f>SUMIFS('ORDENES'!$M$4:$M$1203,'ORDENES'!$O$4:$O$1203,$A54,'ORDENES'!$S$4:$S$1203,"sí")</f>
        <v/>
      </c>
      <c r="F54" s="17">
        <f>SUMIFS('ORDENES'!$M$4:$M$1203,'ORDENES'!$O$4:$O$1203,$A54,'ORDENES'!$N$4:$N$1203,"Cerrada",'ORDENES'!$S$4:$S$1203,"sí")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COUNTIFS('ORDENES'!$O$4:$O$1203,$A55,'ORDENES'!$S$4:$S$1203,"sí")</f>
        <v/>
      </c>
      <c r="C55" s="3">
        <f>COUNTIFS('ORDENES'!$O$4:$O$1203,$A55,'ORDENES'!$N$4:$N$1203,"Cerrada",'ORDENES'!$S$4:$S$1203,"sí")</f>
        <v/>
      </c>
      <c r="D55" s="18">
        <f>IF(B55=0,"",C55/B55)</f>
        <v/>
      </c>
      <c r="E55" s="17">
        <f>SUMIFS('ORDENES'!$M$4:$M$1203,'ORDENES'!$O$4:$O$1203,$A55,'ORDENES'!$S$4:$S$1203,"sí")</f>
        <v/>
      </c>
      <c r="F55" s="17">
        <f>SUMIFS('ORDENES'!$M$4:$M$1203,'ORDENES'!$O$4:$O$1203,$A55,'ORDENES'!$N$4:$N$1203,"Cerrada",'ORDENES'!$S$4:$S$1203,"sí")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COUNTIFS('ORDENES'!$O$4:$O$1203,$A56,'ORDENES'!$S$4:$S$1203,"sí")</f>
        <v/>
      </c>
      <c r="C56" s="3">
        <f>COUNTIFS('ORDENES'!$O$4:$O$1203,$A56,'ORDENES'!$N$4:$N$1203,"Cerrada",'ORDENES'!$S$4:$S$1203,"sí")</f>
        <v/>
      </c>
      <c r="D56" s="18">
        <f>IF(B56=0,"",C56/B56)</f>
        <v/>
      </c>
      <c r="E56" s="17">
        <f>SUMIFS('ORDENES'!$M$4:$M$1203,'ORDENES'!$O$4:$O$1203,$A56,'ORDENES'!$S$4:$S$1203,"sí")</f>
        <v/>
      </c>
      <c r="F56" s="17">
        <f>SUMIFS('ORDENES'!$M$4:$M$1203,'ORDENES'!$O$4:$O$1203,$A56,'ORDENES'!$N$4:$N$1203,"Cerrada",'ORDENES'!$S$4:$S$1203,"sí")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COUNTIFS('ORDENES'!$O$4:$O$1203,$A57,'ORDENES'!$S$4:$S$1203,"sí")</f>
        <v/>
      </c>
      <c r="C57" s="3">
        <f>COUNTIFS('ORDENES'!$O$4:$O$1203,$A57,'ORDENES'!$N$4:$N$1203,"Cerrada",'ORDENES'!$S$4:$S$1203,"sí")</f>
        <v/>
      </c>
      <c r="D57" s="18">
        <f>IF(B57=0,"",C57/B57)</f>
        <v/>
      </c>
      <c r="E57" s="17">
        <f>SUMIFS('ORDENES'!$M$4:$M$1203,'ORDENES'!$O$4:$O$1203,$A57,'ORDENES'!$S$4:$S$1203,"sí")</f>
        <v/>
      </c>
      <c r="F57" s="17">
        <f>SUMIFS('ORDENES'!$M$4:$M$1203,'ORDENES'!$O$4:$O$1203,$A57,'ORDENES'!$N$4:$N$1203,"Cerrada",'ORDENES'!$S$4:$S$1203,"sí")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COUNTIFS('ORDENES'!$O$4:$O$1203,$A58,'ORDENES'!$S$4:$S$1203,"sí")</f>
        <v/>
      </c>
      <c r="C58" s="3">
        <f>COUNTIFS('ORDENES'!$O$4:$O$1203,$A58,'ORDENES'!$N$4:$N$1203,"Cerrada",'ORDENES'!$S$4:$S$1203,"sí")</f>
        <v/>
      </c>
      <c r="D58" s="18">
        <f>IF(B58=0,"",C58/B58)</f>
        <v/>
      </c>
      <c r="E58" s="17">
        <f>SUMIFS('ORDENES'!$M$4:$M$1203,'ORDENES'!$O$4:$O$1203,$A58,'ORDENES'!$S$4:$S$1203,"sí")</f>
        <v/>
      </c>
      <c r="F58" s="17">
        <f>SUMIFS('ORDENES'!$M$4:$M$1203,'ORDENES'!$O$4:$O$1203,$A58,'ORDENES'!$N$4:$N$1203,"Cerrada",'ORDENES'!$S$4:$S$1203,"sí")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COUNTIFS('ORDENES'!$O$4:$O$1203,$A59,'ORDENES'!$S$4:$S$1203,"sí")</f>
        <v/>
      </c>
      <c r="C59" s="3">
        <f>COUNTIFS('ORDENES'!$O$4:$O$1203,$A59,'ORDENES'!$N$4:$N$1203,"Cerrada",'ORDENES'!$S$4:$S$1203,"sí")</f>
        <v/>
      </c>
      <c r="D59" s="18">
        <f>IF(B59=0,"",C59/B59)</f>
        <v/>
      </c>
      <c r="E59" s="17">
        <f>SUMIFS('ORDENES'!$M$4:$M$1203,'ORDENES'!$O$4:$O$1203,$A59,'ORDENES'!$S$4:$S$1203,"sí")</f>
        <v/>
      </c>
      <c r="F59" s="17">
        <f>SUMIFS('ORDENES'!$M$4:$M$1203,'ORDENES'!$O$4:$O$1203,$A59,'ORDENES'!$N$4:$N$1203,"Cerrada",'ORDENES'!$S$4:$S$1203,"sí")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COUNTIFS('ORDENES'!$O$4:$O$1203,$A60,'ORDENES'!$S$4:$S$1203,"sí")</f>
        <v/>
      </c>
      <c r="C60" s="3">
        <f>COUNTIFS('ORDENES'!$O$4:$O$1203,$A60,'ORDENES'!$N$4:$N$1203,"Cerrada",'ORDENES'!$S$4:$S$1203,"sí")</f>
        <v/>
      </c>
      <c r="D60" s="18">
        <f>IF(B60=0,"",C60/B60)</f>
        <v/>
      </c>
      <c r="E60" s="17">
        <f>SUMIFS('ORDENES'!$M$4:$M$1203,'ORDENES'!$O$4:$O$1203,$A60,'ORDENES'!$S$4:$S$1203,"sí")</f>
        <v/>
      </c>
      <c r="F60" s="17">
        <f>SUMIFS('ORDENES'!$M$4:$M$1203,'ORDENES'!$O$4:$O$1203,$A60,'ORDENES'!$N$4:$N$1203,"Cerrada",'ORDENES'!$S$4:$S$1203,"sí")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COUNTIFS('ORDENES'!$O$4:$O$1203,$A61,'ORDENES'!$S$4:$S$1203,"sí")</f>
        <v/>
      </c>
      <c r="C61" s="3">
        <f>COUNTIFS('ORDENES'!$O$4:$O$1203,$A61,'ORDENES'!$N$4:$N$1203,"Cerrada",'ORDENES'!$S$4:$S$1203,"sí")</f>
        <v/>
      </c>
      <c r="D61" s="18">
        <f>IF(B61=0,"",C61/B61)</f>
        <v/>
      </c>
      <c r="E61" s="17">
        <f>SUMIFS('ORDENES'!$M$4:$M$1203,'ORDENES'!$O$4:$O$1203,$A61,'ORDENES'!$S$4:$S$1203,"sí")</f>
        <v/>
      </c>
      <c r="F61" s="17">
        <f>SUMIFS('ORDENES'!$M$4:$M$1203,'ORDENES'!$O$4:$O$1203,$A61,'ORDENES'!$N$4:$N$1203,"Cerrada",'ORDENES'!$S$4:$S$1203,"sí")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COUNTIFS('ORDENES'!$O$4:$O$1203,$A62,'ORDENES'!$S$4:$S$1203,"sí")</f>
        <v/>
      </c>
      <c r="C62" s="3">
        <f>COUNTIFS('ORDENES'!$O$4:$O$1203,$A62,'ORDENES'!$N$4:$N$1203,"Cerrada",'ORDENES'!$S$4:$S$1203,"sí")</f>
        <v/>
      </c>
      <c r="D62" s="18">
        <f>IF(B62=0,"",C62/B62)</f>
        <v/>
      </c>
      <c r="E62" s="17">
        <f>SUMIFS('ORDENES'!$M$4:$M$1203,'ORDENES'!$O$4:$O$1203,$A62,'ORDENES'!$S$4:$S$1203,"sí")</f>
        <v/>
      </c>
      <c r="F62" s="17">
        <f>SUMIFS('ORDENES'!$M$4:$M$1203,'ORDENES'!$O$4:$O$1203,$A62,'ORDENES'!$N$4:$N$1203,"Cerrada",'ORDENES'!$S$4:$S$1203,"sí")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COUNTIFS('ORDENES'!$O$4:$O$1203,$A63,'ORDENES'!$S$4:$S$1203,"sí")</f>
        <v/>
      </c>
      <c r="C63" s="3">
        <f>COUNTIFS('ORDENES'!$O$4:$O$1203,$A63,'ORDENES'!$N$4:$N$1203,"Cerrada",'ORDENES'!$S$4:$S$1203,"sí")</f>
        <v/>
      </c>
      <c r="D63" s="18">
        <f>IF(B63=0,"",C63/B63)</f>
        <v/>
      </c>
      <c r="E63" s="17">
        <f>SUMIFS('ORDENES'!$M$4:$M$1203,'ORDENES'!$O$4:$O$1203,$A63,'ORDENES'!$S$4:$S$1203,"sí")</f>
        <v/>
      </c>
      <c r="F63" s="17">
        <f>SUMIFS('ORDENES'!$M$4:$M$1203,'ORDENES'!$O$4:$O$1203,$A63,'ORDENES'!$N$4:$N$1203,"Cerrada",'ORDENES'!$S$4:$S$1203,"sí")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COUNTIFS('ORDENES'!$O$4:$O$1203,$A64,'ORDENES'!$S$4:$S$1203,"sí")</f>
        <v/>
      </c>
      <c r="C64" s="3">
        <f>COUNTIFS('ORDENES'!$O$4:$O$1203,$A64,'ORDENES'!$N$4:$N$1203,"Cerrada",'ORDENES'!$S$4:$S$1203,"sí")</f>
        <v/>
      </c>
      <c r="D64" s="18">
        <f>IF(B64=0,"",C64/B64)</f>
        <v/>
      </c>
      <c r="E64" s="17">
        <f>SUMIFS('ORDENES'!$M$4:$M$1203,'ORDENES'!$O$4:$O$1203,$A64,'ORDENES'!$S$4:$S$1203,"sí")</f>
        <v/>
      </c>
      <c r="F64" s="17">
        <f>SUMIFS('ORDENES'!$M$4:$M$1203,'ORDENES'!$O$4:$O$1203,$A64,'ORDENES'!$N$4:$N$1203,"Cerrada",'ORDENES'!$S$4:$S$1203,"sí")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COUNTIFS('ORDENES'!$V$4:$V$1203,$A68,'ORDENES'!$S$4:$S$1203,"sí")</f>
        <v/>
      </c>
      <c r="C68" s="3">
        <f>COUNTIFS('ORDENES'!$V$4:$V$1203,$A68,'ORDENES'!$N$4:$N$1203,"Cerrada",'ORDENES'!$S$4:$S$1203,"sí")</f>
        <v/>
      </c>
      <c r="D68" s="18">
        <f>IF(B68=0,"",C68/B68)</f>
        <v/>
      </c>
      <c r="E68" s="17">
        <f>SUMIFS('ORDENES'!$M$4:$M$1203,'ORDENES'!$V$4:$V$1203,$A68,'ORDENES'!$S$4:$S$1203,"sí")</f>
        <v/>
      </c>
      <c r="F68" s="17">
        <f>SUMIFS('ORDENES'!$M$4:$M$1203,'ORDENES'!$V$4:$V$1203,$A68,'ORDENES'!$N$4:$N$1203,"Cerrada",'ORDENES'!$S$4:$S$1203,"sí")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COUNTIFS('ORDENES'!$V$4:$V$1203,$A69,'ORDENES'!$S$4:$S$1203,"sí")</f>
        <v/>
      </c>
      <c r="C69" s="3">
        <f>COUNTIFS('ORDENES'!$V$4:$V$1203,$A69,'ORDENES'!$N$4:$N$1203,"Cerrada",'ORDENES'!$S$4:$S$1203,"sí")</f>
        <v/>
      </c>
      <c r="D69" s="18">
        <f>IF(B69=0,"",C69/B69)</f>
        <v/>
      </c>
      <c r="E69" s="17">
        <f>SUMIFS('ORDENES'!$M$4:$M$1203,'ORDENES'!$V$4:$V$1203,$A69,'ORDENES'!$S$4:$S$1203,"sí")</f>
        <v/>
      </c>
      <c r="F69" s="17">
        <f>SUMIFS('ORDENES'!$M$4:$M$1203,'ORDENES'!$V$4:$V$1203,$A69,'ORDENES'!$N$4:$N$1203,"Cerrada",'ORDENES'!$S$4:$S$1203,"sí")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COUNTIFS('ORDENES'!$V$4:$V$1203,$A70,'ORDENES'!$S$4:$S$1203,"sí")</f>
        <v/>
      </c>
      <c r="C70" s="3">
        <f>COUNTIFS('ORDENES'!$V$4:$V$1203,$A70,'ORDENES'!$N$4:$N$1203,"Cerrada",'ORDENES'!$S$4:$S$1203,"sí")</f>
        <v/>
      </c>
      <c r="D70" s="18">
        <f>IF(B70=0,"",C70/B70)</f>
        <v/>
      </c>
      <c r="E70" s="17">
        <f>SUMIFS('ORDENES'!$M$4:$M$1203,'ORDENES'!$V$4:$V$1203,$A70,'ORDENES'!$S$4:$S$1203,"sí")</f>
        <v/>
      </c>
      <c r="F70" s="17">
        <f>SUMIFS('ORDENES'!$M$4:$M$1203,'ORDENES'!$V$4:$V$1203,$A70,'ORDENES'!$N$4:$N$1203,"Cerrada",'ORDENES'!$S$4:$S$1203,"sí")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COUNTIFS('ORDENES'!$W$4:$W$1203,$A74,'ORDENES'!$S$4:$S$1203,"sí")</f>
        <v/>
      </c>
      <c r="C74" s="3">
        <f>COUNTIFS('ORDENES'!$W$4:$W$1203,$A74,'ORDENES'!$N$4:$N$1203,"Cerrada",'ORDENES'!$S$4:$S$1203,"sí")</f>
        <v/>
      </c>
      <c r="D74" s="18">
        <f>IF(B74=0,"",C74/B74)</f>
        <v/>
      </c>
      <c r="E74" s="17">
        <f>SUMIFS('ORDENES'!$M$4:$M$1203,'ORDENES'!$W$4:$W$1203,$A74,'ORDENES'!$S$4:$S$1203,"sí")</f>
        <v/>
      </c>
      <c r="F74" s="17">
        <f>SUMIFS('ORDENES'!$M$4:$M$1203,'ORDENES'!$W$4:$W$1203,$A74,'ORDENES'!$N$4:$N$1203,"Cerrada",'ORDENES'!$S$4:$S$1203,"sí")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COUNTIFS('ORDENES'!$W$4:$W$1203,$A75,'ORDENES'!$S$4:$S$1203,"sí")</f>
        <v/>
      </c>
      <c r="C75" s="3">
        <f>COUNTIFS('ORDENES'!$W$4:$W$1203,$A75,'ORDENES'!$N$4:$N$1203,"Cerrada",'ORDENES'!$S$4:$S$1203,"sí")</f>
        <v/>
      </c>
      <c r="D75" s="18">
        <f>IF(B75=0,"",C75/B75)</f>
        <v/>
      </c>
      <c r="E75" s="17">
        <f>SUMIFS('ORDENES'!$M$4:$M$1203,'ORDENES'!$W$4:$W$1203,$A75,'ORDENES'!$S$4:$S$1203,"sí")</f>
        <v/>
      </c>
      <c r="F75" s="17">
        <f>SUMIFS('ORDENES'!$M$4:$M$1203,'ORDENES'!$W$4:$W$1203,$A75,'ORDENES'!$N$4:$N$1203,"Cerrada",'ORDENES'!$S$4:$S$1203,"sí")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COUNTIFS('ORDENES'!$W$4:$W$1203,$A76,'ORDENES'!$S$4:$S$1203,"sí")</f>
        <v/>
      </c>
      <c r="C76" s="3">
        <f>COUNTIFS('ORDENES'!$W$4:$W$1203,$A76,'ORDENES'!$N$4:$N$1203,"Cerrada",'ORDENES'!$S$4:$S$1203,"sí")</f>
        <v/>
      </c>
      <c r="D76" s="18">
        <f>IF(B76=0,"",C76/B76)</f>
        <v/>
      </c>
      <c r="E76" s="17">
        <f>SUMIFS('ORDENES'!$M$4:$M$1203,'ORDENES'!$W$4:$W$1203,$A76,'ORDENES'!$S$4:$S$1203,"sí")</f>
        <v/>
      </c>
      <c r="F76" s="17">
        <f>SUMIFS('ORDENES'!$M$4:$M$1203,'ORDENES'!$W$4:$W$1203,$A76,'ORDENES'!$N$4:$N$1203,"Cerrada",'ORDENES'!$S$4:$S$1203,"sí")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COUNTIFS('ORDENES'!$W$4:$W$1203,$A77,'ORDENES'!$S$4:$S$1203,"sí")</f>
        <v/>
      </c>
      <c r="C77" s="3">
        <f>COUNTIFS('ORDENES'!$W$4:$W$1203,$A77,'ORDENES'!$N$4:$N$1203,"Cerrada",'ORDENES'!$S$4:$S$1203,"sí")</f>
        <v/>
      </c>
      <c r="D77" s="18">
        <f>IF(B77=0,"",C77/B77)</f>
        <v/>
      </c>
      <c r="E77" s="17">
        <f>SUMIFS('ORDENES'!$M$4:$M$1203,'ORDENES'!$W$4:$W$1203,$A77,'ORDENES'!$S$4:$S$1203,"sí")</f>
        <v/>
      </c>
      <c r="F77" s="17">
        <f>SUMIFS('ORDENES'!$M$4:$M$1203,'ORDENES'!$W$4:$W$1203,$A77,'ORDENES'!$N$4:$N$1203,"Cerrada",'ORDENES'!$S$4:$S$1203,"sí")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COUNTIFS('ORDENES'!$W$4:$W$1203,$A78,'ORDENES'!$S$4:$S$1203,"sí")</f>
        <v/>
      </c>
      <c r="C78" s="3">
        <f>COUNTIFS('ORDENES'!$W$4:$W$1203,$A78,'ORDENES'!$N$4:$N$1203,"Cerrada",'ORDENES'!$S$4:$S$1203,"sí")</f>
        <v/>
      </c>
      <c r="D78" s="18">
        <f>IF(B78=0,"",C78/B78)</f>
        <v/>
      </c>
      <c r="E78" s="17">
        <f>SUMIFS('ORDENES'!$M$4:$M$1203,'ORDENES'!$W$4:$W$1203,$A78,'ORDENES'!$S$4:$S$1203,"sí")</f>
        <v/>
      </c>
      <c r="F78" s="17">
        <f>SUMIFS('ORDENES'!$M$4:$M$1203,'ORDENES'!$W$4:$W$1203,$A78,'ORDENES'!$N$4:$N$1203,"Cerrada",'ORDENES'!$S$4:$S$1203,"sí")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COUNTIFS('ORDENES'!$W$4:$W$1203,$A79,'ORDENES'!$S$4:$S$1203,"sí")</f>
        <v/>
      </c>
      <c r="C79" s="3">
        <f>COUNTIFS('ORDENES'!$W$4:$W$1203,$A79,'ORDENES'!$N$4:$N$1203,"Cerrada",'ORDENES'!$S$4:$S$1203,"sí")</f>
        <v/>
      </c>
      <c r="D79" s="18">
        <f>IF(B79=0,"",C79/B79)</f>
        <v/>
      </c>
      <c r="E79" s="17">
        <f>SUMIFS('ORDENES'!$M$4:$M$1203,'ORDENES'!$W$4:$W$1203,$A79,'ORDENES'!$S$4:$S$1203,"sí")</f>
        <v/>
      </c>
      <c r="F79" s="17">
        <f>SUMIFS('ORDENES'!$M$4:$M$1203,'ORDENES'!$W$4:$W$1203,$A79,'ORDENES'!$N$4:$N$1203,"Cerrada",'ORDENES'!$S$4:$S$1203,"sí")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COUNTIFS('ORDENES'!$Y$4:$Y$1203,$A83,'ORDENES'!$S$4:$S$1203,"sí")</f>
        <v/>
      </c>
      <c r="C83" s="3">
        <f>COUNTIFS('ORDENES'!$Y$4:$Y$1203,$A83,'ORDENES'!$N$4:$N$1203,"Cerrada",'ORDENES'!$S$4:$S$1203,"sí")</f>
        <v/>
      </c>
      <c r="D83" s="18">
        <f>IF(B83=0,"",C83/B83)</f>
        <v/>
      </c>
      <c r="E83" s="17">
        <f>SUMIFS('ORDENES'!$M$4:$M$1203,'ORDENES'!$Y$4:$Y$1203,$A83,'ORDENES'!$S$4:$S$1203,"sí")</f>
        <v/>
      </c>
      <c r="F83" s="17">
        <f>SUMIFS('ORDENES'!$M$4:$M$1203,'ORDENES'!$Y$4:$Y$1203,$A83,'ORDENES'!$N$4:$N$1203,"Cerrada",'ORDENES'!$S$4:$S$1203,"sí")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COUNTIFS('ORDENES'!$Y$4:$Y$1203,$A84,'ORDENES'!$S$4:$S$1203,"sí")</f>
        <v/>
      </c>
      <c r="C84" s="3">
        <f>COUNTIFS('ORDENES'!$Y$4:$Y$1203,$A84,'ORDENES'!$N$4:$N$1203,"Cerrada",'ORDENES'!$S$4:$S$1203,"sí")</f>
        <v/>
      </c>
      <c r="D84" s="18">
        <f>IF(B84=0,"",C84/B84)</f>
        <v/>
      </c>
      <c r="E84" s="17">
        <f>SUMIFS('ORDENES'!$M$4:$M$1203,'ORDENES'!$Y$4:$Y$1203,$A84,'ORDENES'!$S$4:$S$1203,"sí")</f>
        <v/>
      </c>
      <c r="F84" s="17">
        <f>SUMIFS('ORDENES'!$M$4:$M$1203,'ORDENES'!$Y$4:$Y$1203,$A84,'ORDENES'!$N$4:$N$1203,"Cerrada",'ORDENES'!$S$4:$S$1203,"sí")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COUNTIFS('ORDENES'!$Y$4:$Y$1203,$A85,'ORDENES'!$S$4:$S$1203,"sí")</f>
        <v/>
      </c>
      <c r="C85" s="3">
        <f>COUNTIFS('ORDENES'!$Y$4:$Y$1203,$A85,'ORDENES'!$N$4:$N$1203,"Cerrada",'ORDENES'!$S$4:$S$1203,"sí")</f>
        <v/>
      </c>
      <c r="D85" s="18">
        <f>IF(B85=0,"",C85/B85)</f>
        <v/>
      </c>
      <c r="E85" s="17">
        <f>SUMIFS('ORDENES'!$M$4:$M$1203,'ORDENES'!$Y$4:$Y$1203,$A85,'ORDENES'!$S$4:$S$1203,"sí")</f>
        <v/>
      </c>
      <c r="F85" s="17">
        <f>SUMIFS('ORDENES'!$M$4:$M$1203,'ORDENES'!$Y$4:$Y$1203,$A85,'ORDENES'!$N$4:$N$1203,"Cerrada",'ORDENES'!$S$4:$S$1203,"sí")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COUNTIFS('ORDENES'!$Y$4:$Y$1203,$A86,'ORDENES'!$S$4:$S$1203,"sí")</f>
        <v/>
      </c>
      <c r="C86" s="3">
        <f>COUNTIFS('ORDENES'!$Y$4:$Y$1203,$A86,'ORDENES'!$N$4:$N$1203,"Cerrada",'ORDENES'!$S$4:$S$1203,"sí")</f>
        <v/>
      </c>
      <c r="D86" s="18">
        <f>IF(B86=0,"",C86/B86)</f>
        <v/>
      </c>
      <c r="E86" s="17">
        <f>SUMIFS('ORDENES'!$M$4:$M$1203,'ORDENES'!$Y$4:$Y$1203,$A86,'ORDENES'!$S$4:$S$1203,"sí")</f>
        <v/>
      </c>
      <c r="F86" s="17">
        <f>SUMIFS('ORDENES'!$M$4:$M$1203,'ORDENES'!$Y$4:$Y$1203,$A86,'ORDENES'!$N$4:$N$1203,"Cerrada",'ORDENES'!$S$4:$S$1203,"sí")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COUNTIFS('ORDENES'!$Y$4:$Y$1203,$A87,'ORDENES'!$S$4:$S$1203,"sí")</f>
        <v/>
      </c>
      <c r="C87" s="3">
        <f>COUNTIFS('ORDENES'!$Y$4:$Y$1203,$A87,'ORDENES'!$N$4:$N$1203,"Cerrada",'ORDENES'!$S$4:$S$1203,"sí")</f>
        <v/>
      </c>
      <c r="D87" s="18">
        <f>IF(B87=0,"",C87/B87)</f>
        <v/>
      </c>
      <c r="E87" s="17">
        <f>SUMIFS('ORDENES'!$M$4:$M$1203,'ORDENES'!$Y$4:$Y$1203,$A87,'ORDENES'!$S$4:$S$1203,"sí")</f>
        <v/>
      </c>
      <c r="F87" s="17">
        <f>SUMIFS('ORDENES'!$M$4:$M$1203,'ORDENES'!$Y$4:$Y$1203,$A87,'ORDENES'!$N$4:$N$1203,"Cerrada",'ORDENES'!$S$4:$S$1203,"sí")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COUNTIFS('ORDENES'!$X$4:$X$1203,$A91,'ORDENES'!$S$4:$S$1203,"sí")</f>
        <v/>
      </c>
      <c r="C91" s="3">
        <f>COUNTIFS('ORDENES'!$X$4:$X$1203,$A91,'ORDENES'!$N$4:$N$1203,"Cerrada",'ORDENES'!$S$4:$S$1203,"sí")</f>
        <v/>
      </c>
      <c r="D91" s="18">
        <f>IF(B91=0,"",C91/B91)</f>
        <v/>
      </c>
      <c r="E91" s="17">
        <f>SUMIFS('ORDENES'!$M$4:$M$1203,'ORDENES'!$X$4:$X$1203,$A91,'ORDENES'!$S$4:$S$1203,"sí")</f>
        <v/>
      </c>
      <c r="F91" s="17">
        <f>SUMIFS('ORDENES'!$M$4:$M$1203,'ORDENES'!$X$4:$X$1203,$A91,'ORDENES'!$N$4:$N$1203,"Cerrada",'ORDENES'!$S$4:$S$1203,"sí")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COUNTIFS('ORDENES'!$X$4:$X$1203,$A92,'ORDENES'!$S$4:$S$1203,"sí")</f>
        <v/>
      </c>
      <c r="C92" s="3">
        <f>COUNTIFS('ORDENES'!$X$4:$X$1203,$A92,'ORDENES'!$N$4:$N$1203,"Cerrada",'ORDENES'!$S$4:$S$1203,"sí")</f>
        <v/>
      </c>
      <c r="D92" s="18">
        <f>IF(B92=0,"",C92/B92)</f>
        <v/>
      </c>
      <c r="E92" s="17">
        <f>SUMIFS('ORDENES'!$M$4:$M$1203,'ORDENES'!$X$4:$X$1203,$A92,'ORDENES'!$S$4:$S$1203,"sí")</f>
        <v/>
      </c>
      <c r="F92" s="17">
        <f>SUMIFS('ORDENES'!$M$4:$M$1203,'ORDENES'!$X$4:$X$1203,$A92,'ORDENES'!$N$4:$N$1203,"Cerrada",'ORDENES'!$S$4:$S$1203,"sí")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COUNTIFS('ORDENES'!$X$4:$X$1203,$A93,'ORDENES'!$S$4:$S$1203,"sí")</f>
        <v/>
      </c>
      <c r="C93" s="3">
        <f>COUNTIFS('ORDENES'!$X$4:$X$1203,$A93,'ORDENES'!$N$4:$N$1203,"Cerrada",'ORDENES'!$S$4:$S$1203,"sí")</f>
        <v/>
      </c>
      <c r="D93" s="18">
        <f>IF(B93=0,"",C93/B93)</f>
        <v/>
      </c>
      <c r="E93" s="17">
        <f>SUMIFS('ORDENES'!$M$4:$M$1203,'ORDENES'!$X$4:$X$1203,$A93,'ORDENES'!$S$4:$S$1203,"sí")</f>
        <v/>
      </c>
      <c r="F93" s="17">
        <f>SUMIFS('ORDENES'!$M$4:$M$1203,'ORDENES'!$X$4:$X$1203,$A93,'ORDENES'!$N$4:$N$1203,"Cerrada",'ORDENES'!$S$4:$S$1203,"sí")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COUNTIFS('ORDENES'!$T$4:$T$1203,$A97,'ORDENES'!$S$4:$S$1203,"sí")</f>
        <v/>
      </c>
      <c r="C97" s="3">
        <f>COUNTIFS('ORDENES'!$T$4:$T$1203,$A97,'ORDENES'!$N$4:$N$1203,"Cerrada",'ORDENES'!$S$4:$S$1203,"sí")</f>
        <v/>
      </c>
      <c r="D97" s="18">
        <f>IF(B97=0,"",C97/B97)</f>
        <v/>
      </c>
      <c r="E97" s="17">
        <f>SUMIFS('ORDENES'!$M$4:$M$1203,'ORDENES'!$T$4:$T$1203,$A97,'ORDENES'!$S$4:$S$1203,"sí")</f>
        <v/>
      </c>
      <c r="F97" s="17">
        <f>SUMIFS('ORDENES'!$M$4:$M$1203,'ORDENES'!$T$4:$T$1203,$A97,'ORDENES'!$N$4:$N$1203,"Cerrada",'ORDENES'!$S$4:$S$1203,"sí")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COUNTIFS('ORDENES'!$T$4:$T$1203,$A98,'ORDENES'!$S$4:$S$1203,"sí")</f>
        <v/>
      </c>
      <c r="C98" s="3">
        <f>COUNTIFS('ORDENES'!$T$4:$T$1203,$A98,'ORDENES'!$N$4:$N$1203,"Cerrada",'ORDENES'!$S$4:$S$1203,"sí")</f>
        <v/>
      </c>
      <c r="D98" s="18">
        <f>IF(B98=0,"",C98/B98)</f>
        <v/>
      </c>
      <c r="E98" s="17">
        <f>SUMIFS('ORDENES'!$M$4:$M$1203,'ORDENES'!$T$4:$T$1203,$A98,'ORDENES'!$S$4:$S$1203,"sí")</f>
        <v/>
      </c>
      <c r="F98" s="17">
        <f>SUMIFS('ORDENES'!$M$4:$M$1203,'ORDENES'!$T$4:$T$1203,$A98,'ORDENES'!$N$4:$N$1203,"Cerrada",'ORDENES'!$S$4:$S$1203,"sí")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COUNTIFS('ORDENES'!$T$4:$T$1203,$A99,'ORDENES'!$S$4:$S$1203,"sí")</f>
        <v/>
      </c>
      <c r="C99" s="3">
        <f>COUNTIFS('ORDENES'!$T$4:$T$1203,$A99,'ORDENES'!$N$4:$N$1203,"Cerrada",'ORDENES'!$S$4:$S$1203,"sí")</f>
        <v/>
      </c>
      <c r="D99" s="18">
        <f>IF(B99=0,"",C99/B99)</f>
        <v/>
      </c>
      <c r="E99" s="17">
        <f>SUMIFS('ORDENES'!$M$4:$M$1203,'ORDENES'!$T$4:$T$1203,$A99,'ORDENES'!$S$4:$S$1203,"sí")</f>
        <v/>
      </c>
      <c r="F99" s="17">
        <f>SUMIFS('ORDENES'!$M$4:$M$1203,'ORDENES'!$T$4:$T$1203,$A99,'ORDENES'!$N$4:$N$1203,"Cerrada",'ORDENES'!$S$4:$S$1203,"sí")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COUNTIFS('ORDENES'!$AE$4:$AE$1203,$A103,'ORDENES'!$S$4:$S$1203,"sí")</f>
        <v/>
      </c>
      <c r="C103" s="3">
        <f>COUNTIFS('ORDENES'!$AE$4:$AE$1203,$A103,'ORDENES'!$N$4:$N$1203,"Cerrada",'ORDENES'!$S$4:$S$1203,"sí")</f>
        <v/>
      </c>
      <c r="D103" s="18">
        <f>IF(B103=0,"",C103/B103)</f>
        <v/>
      </c>
      <c r="E103" s="17">
        <f>SUMIFS('ORDENES'!$M$4:$M$1203,'ORDENES'!$AE$4:$AE$1203,$A103,'ORDENES'!$S$4:$S$1203,"sí")</f>
        <v/>
      </c>
      <c r="F103" s="17">
        <f>SUMIFS('ORDENES'!$M$4:$M$1203,'ORDENES'!$AE$4:$AE$1203,$A103,'ORDENES'!$N$4:$N$1203,"Cerrada",'ORDENES'!$S$4:$S$1203,"sí")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COUNTIFS('ORDENES'!$AE$4:$AE$1203,$A104,'ORDENES'!$S$4:$S$1203,"sí")</f>
        <v/>
      </c>
      <c r="C104" s="3">
        <f>COUNTIFS('ORDENES'!$AE$4:$AE$1203,$A104,'ORDENES'!$N$4:$N$1203,"Cerrada",'ORDENES'!$S$4:$S$1203,"sí")</f>
        <v/>
      </c>
      <c r="D104" s="18">
        <f>IF(B104=0,"",C104/B104)</f>
        <v/>
      </c>
      <c r="E104" s="17">
        <f>SUMIFS('ORDENES'!$M$4:$M$1203,'ORDENES'!$AE$4:$AE$1203,$A104,'ORDENES'!$S$4:$S$1203,"sí")</f>
        <v/>
      </c>
      <c r="F104" s="17">
        <f>SUMIFS('ORDENES'!$M$4:$M$1203,'ORDENES'!$AE$4:$AE$1203,$A104,'ORDENES'!$N$4:$N$1203,"Cerrada",'ORDENES'!$S$4:$S$1203,"sí")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COUNTIFS('ORDENES'!$AE$4:$AE$1203,$A105,'ORDENES'!$S$4:$S$1203,"sí")</f>
        <v/>
      </c>
      <c r="C105" s="3">
        <f>COUNTIFS('ORDENES'!$AE$4:$AE$1203,$A105,'ORDENES'!$N$4:$N$1203,"Cerrada",'ORDENES'!$S$4:$S$1203,"sí")</f>
        <v/>
      </c>
      <c r="D105" s="18">
        <f>IF(B105=0,"",C105/B105)</f>
        <v/>
      </c>
      <c r="E105" s="17">
        <f>SUMIFS('ORDENES'!$M$4:$M$1203,'ORDENES'!$AE$4:$AE$1203,$A105,'ORDENES'!$S$4:$S$1203,"sí")</f>
        <v/>
      </c>
      <c r="F105" s="17">
        <f>SUMIFS('ORDENES'!$M$4:$M$1203,'ORDENES'!$AE$4:$AE$1203,$A105,'ORDENES'!$N$4:$N$1203,"Cerrada",'ORDENES'!$S$4:$S$1203,"sí")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COUNTIFS('ORDENES'!$AE$4:$AE$1203,$A106,'ORDENES'!$S$4:$S$1203,"sí")</f>
        <v/>
      </c>
      <c r="C106" s="3">
        <f>COUNTIFS('ORDENES'!$AE$4:$AE$1203,$A106,'ORDENES'!$N$4:$N$1203,"Cerrada",'ORDENES'!$S$4:$S$1203,"sí")</f>
        <v/>
      </c>
      <c r="D106" s="18">
        <f>IF(B106=0,"",C106/B106)</f>
        <v/>
      </c>
      <c r="E106" s="17">
        <f>SUMIFS('ORDENES'!$M$4:$M$1203,'ORDENES'!$AE$4:$AE$1203,$A106,'ORDENES'!$S$4:$S$1203,"sí")</f>
        <v/>
      </c>
      <c r="F106" s="17">
        <f>SUMIFS('ORDENES'!$M$4:$M$1203,'ORDENES'!$AE$4:$AE$1203,$A106,'ORDENES'!$N$4:$N$1203,"Cerrada",'ORDENES'!$S$4:$S$1203,"sí")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COUNTIFS('ORDENES'!$AE$4:$AE$1203,$A107,'ORDENES'!$S$4:$S$1203,"sí")</f>
        <v/>
      </c>
      <c r="C107" s="3">
        <f>COUNTIFS('ORDENES'!$AE$4:$AE$1203,$A107,'ORDENES'!$N$4:$N$1203,"Cerrada",'ORDENES'!$S$4:$S$1203,"sí")</f>
        <v/>
      </c>
      <c r="D107" s="18">
        <f>IF(B107=0,"",C107/B107)</f>
        <v/>
      </c>
      <c r="E107" s="17">
        <f>SUMIFS('ORDENES'!$M$4:$M$1203,'ORDENES'!$AE$4:$AE$1203,$A107,'ORDENES'!$S$4:$S$1203,"sí")</f>
        <v/>
      </c>
      <c r="F107" s="17">
        <f>SUMIFS('ORDENES'!$M$4:$M$1203,'ORDENES'!$AE$4:$AE$1203,$A107,'ORDENES'!$N$4:$N$1203,"Cerrada",'ORDENES'!$S$4:$S$1203,"sí")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COUNTIFS('ORDENES'!$AE$4:$AE$1203,$A108,'ORDENES'!$S$4:$S$1203,"sí")</f>
        <v/>
      </c>
      <c r="C108" s="3">
        <f>COUNTIFS('ORDENES'!$AE$4:$AE$1203,$A108,'ORDENES'!$N$4:$N$1203,"Cerrada",'ORDENES'!$S$4:$S$1203,"sí")</f>
        <v/>
      </c>
      <c r="D108" s="18">
        <f>IF(B108=0,"",C108/B108)</f>
        <v/>
      </c>
      <c r="E108" s="17">
        <f>SUMIFS('ORDENES'!$M$4:$M$1203,'ORDENES'!$AE$4:$AE$1203,$A108,'ORDENES'!$S$4:$S$1203,"sí")</f>
        <v/>
      </c>
      <c r="F108" s="17">
        <f>SUMIFS('ORDENES'!$M$4:$M$1203,'ORDENES'!$AE$4:$AE$1203,$A108,'ORDENES'!$N$4:$N$1203,"Cerrada",'ORDENES'!$S$4:$S$1203,"sí")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COUNTIFS('ORDENES'!$AE$4:$AE$1203,$A109,'ORDENES'!$S$4:$S$1203,"sí")</f>
        <v/>
      </c>
      <c r="C109" s="3">
        <f>COUNTIFS('ORDENES'!$AE$4:$AE$1203,$A109,'ORDENES'!$N$4:$N$1203,"Cerrada",'ORDENES'!$S$4:$S$1203,"sí")</f>
        <v/>
      </c>
      <c r="D109" s="18">
        <f>IF(B109=0,"",C109/B109)</f>
        <v/>
      </c>
      <c r="E109" s="17">
        <f>SUMIFS('ORDENES'!$M$4:$M$1203,'ORDENES'!$AE$4:$AE$1203,$A109,'ORDENES'!$S$4:$S$1203,"sí")</f>
        <v/>
      </c>
      <c r="F109" s="17">
        <f>SUMIFS('ORDENES'!$M$4:$M$1203,'ORDENES'!$AE$4:$AE$1203,$A109,'ORDENES'!$N$4:$N$1203,"Cerrada",'ORDENES'!$S$4:$S$1203,"sí")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COUNTIFS('ORDENES'!$AE$4:$AE$1203,$A110,'ORDENES'!$S$4:$S$1203,"sí")</f>
        <v/>
      </c>
      <c r="C110" s="3">
        <f>COUNTIFS('ORDENES'!$AE$4:$AE$1203,$A110,'ORDENES'!$N$4:$N$1203,"Cerrada",'ORDENES'!$S$4:$S$1203,"sí")</f>
        <v/>
      </c>
      <c r="D110" s="18">
        <f>IF(B110=0,"",C110/B110)</f>
        <v/>
      </c>
      <c r="E110" s="17">
        <f>SUMIFS('ORDENES'!$M$4:$M$1203,'ORDENES'!$AE$4:$AE$1203,$A110,'ORDENES'!$S$4:$S$1203,"sí")</f>
        <v/>
      </c>
      <c r="F110" s="17">
        <f>SUMIFS('ORDENES'!$M$4:$M$1203,'ORDENES'!$AE$4:$AE$1203,$A110,'ORDENES'!$N$4:$N$1203,"Cerrada",'ORDENES'!$S$4:$S$1203,"sí")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COUNTIFS('ORDENES'!$AE$4:$AE$1203,$A111,'ORDENES'!$S$4:$S$1203,"sí")</f>
        <v/>
      </c>
      <c r="C111" s="3">
        <f>COUNTIFS('ORDENES'!$AE$4:$AE$1203,$A111,'ORDENES'!$N$4:$N$1203,"Cerrada",'ORDENES'!$S$4:$S$1203,"sí")</f>
        <v/>
      </c>
      <c r="D111" s="18">
        <f>IF(B111=0,"",C111/B111)</f>
        <v/>
      </c>
      <c r="E111" s="17">
        <f>SUMIFS('ORDENES'!$M$4:$M$1203,'ORDENES'!$AE$4:$AE$1203,$A111,'ORDENES'!$S$4:$S$1203,"sí")</f>
        <v/>
      </c>
      <c r="F111" s="17">
        <f>SUMIFS('ORDENES'!$M$4:$M$1203,'ORDENES'!$AE$4:$AE$1203,$A111,'ORDENES'!$N$4:$N$1203,"Cerrada",'ORDENES'!$S$4:$S$1203,"sí")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COUNTIFS('ORDENES'!$AE$4:$AE$1203,$A112,'ORDENES'!$S$4:$S$1203,"sí")</f>
        <v/>
      </c>
      <c r="C112" s="3">
        <f>COUNTIFS('ORDENES'!$AE$4:$AE$1203,$A112,'ORDENES'!$N$4:$N$1203,"Cerrada",'ORDENES'!$S$4:$S$1203,"sí")</f>
        <v/>
      </c>
      <c r="D112" s="18">
        <f>IF(B112=0,"",C112/B112)</f>
        <v/>
      </c>
      <c r="E112" s="17">
        <f>SUMIFS('ORDENES'!$M$4:$M$1203,'ORDENES'!$AE$4:$AE$1203,$A112,'ORDENES'!$S$4:$S$1203,"sí")</f>
        <v/>
      </c>
      <c r="F112" s="17">
        <f>SUMIFS('ORDENES'!$M$4:$M$1203,'ORDENES'!$AE$4:$AE$1203,$A112,'ORDENES'!$N$4:$N$1203,"Cerrada",'ORDENES'!$S$4:$S$1203,"sí")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COUNTIFS('ORDENES'!$AE$4:$AE$1203,$A113,'ORDENES'!$S$4:$S$1203,"sí")</f>
        <v/>
      </c>
      <c r="C113" s="3">
        <f>COUNTIFS('ORDENES'!$AE$4:$AE$1203,$A113,'ORDENES'!$N$4:$N$1203,"Cerrada",'ORDENES'!$S$4:$S$1203,"sí")</f>
        <v/>
      </c>
      <c r="D113" s="18">
        <f>IF(B113=0,"",C113/B113)</f>
        <v/>
      </c>
      <c r="E113" s="17">
        <f>SUMIFS('ORDENES'!$M$4:$M$1203,'ORDENES'!$AE$4:$AE$1203,$A113,'ORDENES'!$S$4:$S$1203,"sí")</f>
        <v/>
      </c>
      <c r="F113" s="17">
        <f>SUMIFS('ORDENES'!$M$4:$M$1203,'ORDENES'!$AE$4:$AE$1203,$A113,'ORDENES'!$N$4:$N$1203,"Cerrada",'ORDENES'!$S$4:$S$1203,"sí")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COUNTIFS('ORDENES'!$AE$4:$AE$1203,$A114,'ORDENES'!$S$4:$S$1203,"sí")</f>
        <v/>
      </c>
      <c r="C114" s="3">
        <f>COUNTIFS('ORDENES'!$AE$4:$AE$1203,$A114,'ORDENES'!$N$4:$N$1203,"Cerrada",'ORDENES'!$S$4:$S$1203,"sí")</f>
        <v/>
      </c>
      <c r="D114" s="18">
        <f>IF(B114=0,"",C114/B114)</f>
        <v/>
      </c>
      <c r="E114" s="17">
        <f>SUMIFS('ORDENES'!$M$4:$M$1203,'ORDENES'!$AE$4:$AE$1203,$A114,'ORDENES'!$S$4:$S$1203,"sí")</f>
        <v/>
      </c>
      <c r="F114" s="17">
        <f>SUMIFS('ORDENES'!$M$4:$M$1203,'ORDENES'!$AE$4:$AE$1203,$A114,'ORDENES'!$N$4:$N$1203,"Cerrada",'ORDENES'!$S$4:$S$1203,"sí")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SUMIFS('ORDENES'!$L$4:$L$1203,'ORDENES'!$V$4:$V$1203,$A6,'ORDENES'!$P$4:$P$1203,B$4,'ORDENES'!$Q$4:$Q$1203,B$5)</f>
        <v/>
      </c>
      <c r="C6" s="10">
        <f>SUMIFS('ORDENES'!$L$4:$L$1203,'ORDENES'!$V$4:$V$1203,$A6,'ORDENES'!$P$4:$P$1203,C$4,'ORDENES'!$Q$4:$Q$1203,C$5)</f>
        <v/>
      </c>
      <c r="D6" s="10">
        <f>SUMIFS('ORDENES'!$L$4:$L$1203,'ORDENES'!$V$4:$V$1203,$A6,'ORDENES'!$P$4:$P$1203,D$4,'ORDENES'!$Q$4:$Q$1203,D$5)</f>
        <v/>
      </c>
      <c r="E6" s="10">
        <f>SUMIFS('ORDENES'!$L$4:$L$1203,'ORDENES'!$V$4:$V$1203,$A6,'ORDENES'!$P$4:$P$1203,E$4,'ORDENES'!$Q$4:$Q$1203,E$5)</f>
        <v/>
      </c>
      <c r="F6" s="10">
        <f>SUMIFS('ORDENES'!$L$4:$L$1203,'ORDENES'!$V$4:$V$1203,$A6,'ORDENES'!$P$4:$P$1203,F$4,'ORDENES'!$Q$4:$Q$1203,F$5)</f>
        <v/>
      </c>
      <c r="G6" s="10">
        <f>SUMIFS('ORDENES'!$L$4:$L$1203,'ORDENES'!$V$4:$V$1203,$A6,'ORDENES'!$P$4:$P$1203,G$4,'ORDENES'!$Q$4:$Q$1203,G$5)</f>
        <v/>
      </c>
      <c r="H6" s="10">
        <f>SUMIFS('ORDENES'!$L$4:$L$1203,'ORDENES'!$V$4:$V$1203,$A6,'ORDENES'!$P$4:$P$1203,H$4,'ORDENES'!$Q$4:$Q$1203,H$5)</f>
        <v/>
      </c>
      <c r="I6" s="10">
        <f>SUMIFS('ORDENES'!$L$4:$L$1203,'ORDENES'!$V$4:$V$1203,$A6,'ORDENES'!$P$4:$P$1203,I$4,'ORDENES'!$Q$4:$Q$1203,I$5)</f>
        <v/>
      </c>
      <c r="J6" s="10">
        <f>SUMIFS('ORDENES'!$L$4:$L$1203,'ORDENES'!$V$4:$V$1203,$A6,'ORDENES'!$P$4:$P$1203,J$4,'ORDENES'!$Q$4:$Q$1203,J$5)</f>
        <v/>
      </c>
      <c r="K6" s="10">
        <f>SUMIFS('ORDENES'!$L$4:$L$1203,'ORDENES'!$V$4:$V$1203,$A6,'ORDENES'!$P$4:$P$1203,K$4,'ORDENES'!$Q$4:$Q$1203,K$5)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SUMIFS('ORDENES'!$L$4:$L$1203,'ORDENES'!$V$4:$V$1203,$A7,'ORDENES'!$P$4:$P$1203,B$4,'ORDENES'!$Q$4:$Q$1203,B$5)</f>
        <v/>
      </c>
      <c r="C7" s="10">
        <f>SUMIFS('ORDENES'!$L$4:$L$1203,'ORDENES'!$V$4:$V$1203,$A7,'ORDENES'!$P$4:$P$1203,C$4,'ORDENES'!$Q$4:$Q$1203,C$5)</f>
        <v/>
      </c>
      <c r="D7" s="10">
        <f>SUMIFS('ORDENES'!$L$4:$L$1203,'ORDENES'!$V$4:$V$1203,$A7,'ORDENES'!$P$4:$P$1203,D$4,'ORDENES'!$Q$4:$Q$1203,D$5)</f>
        <v/>
      </c>
      <c r="E7" s="10">
        <f>SUMIFS('ORDENES'!$L$4:$L$1203,'ORDENES'!$V$4:$V$1203,$A7,'ORDENES'!$P$4:$P$1203,E$4,'ORDENES'!$Q$4:$Q$1203,E$5)</f>
        <v/>
      </c>
      <c r="F7" s="10">
        <f>SUMIFS('ORDENES'!$L$4:$L$1203,'ORDENES'!$V$4:$V$1203,$A7,'ORDENES'!$P$4:$P$1203,F$4,'ORDENES'!$Q$4:$Q$1203,F$5)</f>
        <v/>
      </c>
      <c r="G7" s="10">
        <f>SUMIFS('ORDENES'!$L$4:$L$1203,'ORDENES'!$V$4:$V$1203,$A7,'ORDENES'!$P$4:$P$1203,G$4,'ORDENES'!$Q$4:$Q$1203,G$5)</f>
        <v/>
      </c>
      <c r="H7" s="10">
        <f>SUMIFS('ORDENES'!$L$4:$L$1203,'ORDENES'!$V$4:$V$1203,$A7,'ORDENES'!$P$4:$P$1203,H$4,'ORDENES'!$Q$4:$Q$1203,H$5)</f>
        <v/>
      </c>
      <c r="I7" s="10">
        <f>SUMIFS('ORDENES'!$L$4:$L$1203,'ORDENES'!$V$4:$V$1203,$A7,'ORDENES'!$P$4:$P$1203,I$4,'ORDENES'!$Q$4:$Q$1203,I$5)</f>
        <v/>
      </c>
      <c r="J7" s="10">
        <f>SUMIFS('ORDENES'!$L$4:$L$1203,'ORDENES'!$V$4:$V$1203,$A7,'ORDENES'!$P$4:$P$1203,J$4,'ORDENES'!$Q$4:$Q$1203,J$5)</f>
        <v/>
      </c>
      <c r="K7" s="10">
        <f>SUMIFS('ORDENES'!$L$4:$L$1203,'ORDENES'!$V$4:$V$1203,$A7,'ORDENES'!$P$4:$P$1203,K$4,'ORDENES'!$Q$4:$Q$1203,K$5)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SUMIFS('ORDENES'!$L$4:$L$1203,'ORDENES'!$V$4:$V$1203,$A8,'ORDENES'!$P$4:$P$1203,B$4,'ORDENES'!$Q$4:$Q$1203,B$5)</f>
        <v/>
      </c>
      <c r="C8" s="10">
        <f>SUMIFS('ORDENES'!$L$4:$L$1203,'ORDENES'!$V$4:$V$1203,$A8,'ORDENES'!$P$4:$P$1203,C$4,'ORDENES'!$Q$4:$Q$1203,C$5)</f>
        <v/>
      </c>
      <c r="D8" s="10">
        <f>SUMIFS('ORDENES'!$L$4:$L$1203,'ORDENES'!$V$4:$V$1203,$A8,'ORDENES'!$P$4:$P$1203,D$4,'ORDENES'!$Q$4:$Q$1203,D$5)</f>
        <v/>
      </c>
      <c r="E8" s="10">
        <f>SUMIFS('ORDENES'!$L$4:$L$1203,'ORDENES'!$V$4:$V$1203,$A8,'ORDENES'!$P$4:$P$1203,E$4,'ORDENES'!$Q$4:$Q$1203,E$5)</f>
        <v/>
      </c>
      <c r="F8" s="10">
        <f>SUMIFS('ORDENES'!$L$4:$L$1203,'ORDENES'!$V$4:$V$1203,$A8,'ORDENES'!$P$4:$P$1203,F$4,'ORDENES'!$Q$4:$Q$1203,F$5)</f>
        <v/>
      </c>
      <c r="G8" s="10">
        <f>SUMIFS('ORDENES'!$L$4:$L$1203,'ORDENES'!$V$4:$V$1203,$A8,'ORDENES'!$P$4:$P$1203,G$4,'ORDENES'!$Q$4:$Q$1203,G$5)</f>
        <v/>
      </c>
      <c r="H8" s="10">
        <f>SUMIFS('ORDENES'!$L$4:$L$1203,'ORDENES'!$V$4:$V$1203,$A8,'ORDENES'!$P$4:$P$1203,H$4,'ORDENES'!$Q$4:$Q$1203,H$5)</f>
        <v/>
      </c>
      <c r="I8" s="10">
        <f>SUMIFS('ORDENES'!$L$4:$L$1203,'ORDENES'!$V$4:$V$1203,$A8,'ORDENES'!$P$4:$P$1203,I$4,'ORDENES'!$Q$4:$Q$1203,I$5)</f>
        <v/>
      </c>
      <c r="J8" s="10">
        <f>SUMIFS('ORDENES'!$L$4:$L$1203,'ORDENES'!$V$4:$V$1203,$A8,'ORDENES'!$P$4:$P$1203,J$4,'ORDENES'!$Q$4:$Q$1203,J$5)</f>
        <v/>
      </c>
      <c r="K8" s="10">
        <f>SUMIFS('ORDENES'!$L$4:$L$1203,'ORDENES'!$V$4:$V$1203,$A8,'ORDENES'!$P$4:$P$1203,K$4,'ORDENES'!$Q$4:$Q$1203,K$5)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SUMIFS('ORDENES'!$AK$4:$AK$1203,'ORDENES'!$V$4:$V$1203,$A14,'ORDENES'!$P$4:$P$1203,B$12,'ORDENES'!$Q$4:$Q$1203,B$13)</f>
        <v/>
      </c>
      <c r="C14" s="10">
        <f>SUMIFS('ORDENES'!$AK$4:$AK$1203,'ORDENES'!$V$4:$V$1203,$A14,'ORDENES'!$P$4:$P$1203,C$12,'ORDENES'!$Q$4:$Q$1203,C$13)</f>
        <v/>
      </c>
      <c r="D14" s="10">
        <f>SUMIFS('ORDENES'!$AK$4:$AK$1203,'ORDENES'!$V$4:$V$1203,$A14,'ORDENES'!$P$4:$P$1203,D$12,'ORDENES'!$Q$4:$Q$1203,D$13)</f>
        <v/>
      </c>
      <c r="E14" s="10">
        <f>SUMIFS('ORDENES'!$AK$4:$AK$1203,'ORDENES'!$V$4:$V$1203,$A14,'ORDENES'!$P$4:$P$1203,E$12,'ORDENES'!$Q$4:$Q$1203,E$13)</f>
        <v/>
      </c>
      <c r="F14" s="10">
        <f>SUMIFS('ORDENES'!$AK$4:$AK$1203,'ORDENES'!$V$4:$V$1203,$A14,'ORDENES'!$P$4:$P$1203,F$12,'ORDENES'!$Q$4:$Q$1203,F$13)</f>
        <v/>
      </c>
      <c r="G14" s="10">
        <f>SUMIFS('ORDENES'!$AK$4:$AK$1203,'ORDENES'!$V$4:$V$1203,$A14,'ORDENES'!$P$4:$P$1203,G$12,'ORDENES'!$Q$4:$Q$1203,G$13)</f>
        <v/>
      </c>
      <c r="H14" s="10">
        <f>SUMIFS('ORDENES'!$AK$4:$AK$1203,'ORDENES'!$V$4:$V$1203,$A14,'ORDENES'!$P$4:$P$1203,H$12,'ORDENES'!$Q$4:$Q$1203,H$13)</f>
        <v/>
      </c>
      <c r="I14" s="10">
        <f>SUMIFS('ORDENES'!$AK$4:$AK$1203,'ORDENES'!$V$4:$V$1203,$A14,'ORDENES'!$P$4:$P$1203,I$12,'ORDENES'!$Q$4:$Q$1203,I$13)</f>
        <v/>
      </c>
      <c r="J14" s="10">
        <f>SUMIFS('ORDENES'!$AK$4:$AK$1203,'ORDENES'!$V$4:$V$1203,$A14,'ORDENES'!$P$4:$P$1203,J$12,'ORDENES'!$Q$4:$Q$1203,J$13)</f>
        <v/>
      </c>
      <c r="K14" s="10">
        <f>SUMIFS('ORDENES'!$AK$4:$AK$1203,'ORDENES'!$V$4:$V$1203,$A14,'ORDENES'!$P$4:$P$1203,K$12,'ORDENES'!$Q$4:$Q$1203,K$13)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SUMIFS('ORDENES'!$AK$4:$AK$1203,'ORDENES'!$V$4:$V$1203,$A15,'ORDENES'!$P$4:$P$1203,B$12,'ORDENES'!$Q$4:$Q$1203,B$13)</f>
        <v/>
      </c>
      <c r="C15" s="10">
        <f>SUMIFS('ORDENES'!$AK$4:$AK$1203,'ORDENES'!$V$4:$V$1203,$A15,'ORDENES'!$P$4:$P$1203,C$12,'ORDENES'!$Q$4:$Q$1203,C$13)</f>
        <v/>
      </c>
      <c r="D15" s="10">
        <f>SUMIFS('ORDENES'!$AK$4:$AK$1203,'ORDENES'!$V$4:$V$1203,$A15,'ORDENES'!$P$4:$P$1203,D$12,'ORDENES'!$Q$4:$Q$1203,D$13)</f>
        <v/>
      </c>
      <c r="E15" s="10">
        <f>SUMIFS('ORDENES'!$AK$4:$AK$1203,'ORDENES'!$V$4:$V$1203,$A15,'ORDENES'!$P$4:$P$1203,E$12,'ORDENES'!$Q$4:$Q$1203,E$13)</f>
        <v/>
      </c>
      <c r="F15" s="10">
        <f>SUMIFS('ORDENES'!$AK$4:$AK$1203,'ORDENES'!$V$4:$V$1203,$A15,'ORDENES'!$P$4:$P$1203,F$12,'ORDENES'!$Q$4:$Q$1203,F$13)</f>
        <v/>
      </c>
      <c r="G15" s="10">
        <f>SUMIFS('ORDENES'!$AK$4:$AK$1203,'ORDENES'!$V$4:$V$1203,$A15,'ORDENES'!$P$4:$P$1203,G$12,'ORDENES'!$Q$4:$Q$1203,G$13)</f>
        <v/>
      </c>
      <c r="H15" s="10">
        <f>SUMIFS('ORDENES'!$AK$4:$AK$1203,'ORDENES'!$V$4:$V$1203,$A15,'ORDENES'!$P$4:$P$1203,H$12,'ORDENES'!$Q$4:$Q$1203,H$13)</f>
        <v/>
      </c>
      <c r="I15" s="10">
        <f>SUMIFS('ORDENES'!$AK$4:$AK$1203,'ORDENES'!$V$4:$V$1203,$A15,'ORDENES'!$P$4:$P$1203,I$12,'ORDENES'!$Q$4:$Q$1203,I$13)</f>
        <v/>
      </c>
      <c r="J15" s="10">
        <f>SUMIFS('ORDENES'!$AK$4:$AK$1203,'ORDENES'!$V$4:$V$1203,$A15,'ORDENES'!$P$4:$P$1203,J$12,'ORDENES'!$Q$4:$Q$1203,J$13)</f>
        <v/>
      </c>
      <c r="K15" s="10">
        <f>SUMIFS('ORDENES'!$AK$4:$AK$1203,'ORDENES'!$V$4:$V$1203,$A15,'ORDENES'!$P$4:$P$1203,K$12,'ORDENES'!$Q$4:$Q$1203,K$13)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SUMIFS('ORDENES'!$AK$4:$AK$1203,'ORDENES'!$V$4:$V$1203,$A16,'ORDENES'!$P$4:$P$1203,B$12,'ORDENES'!$Q$4:$Q$1203,B$13)</f>
        <v/>
      </c>
      <c r="C16" s="10">
        <f>SUMIFS('ORDENES'!$AK$4:$AK$1203,'ORDENES'!$V$4:$V$1203,$A16,'ORDENES'!$P$4:$P$1203,C$12,'ORDENES'!$Q$4:$Q$1203,C$13)</f>
        <v/>
      </c>
      <c r="D16" s="10">
        <f>SUMIFS('ORDENES'!$AK$4:$AK$1203,'ORDENES'!$V$4:$V$1203,$A16,'ORDENES'!$P$4:$P$1203,D$12,'ORDENES'!$Q$4:$Q$1203,D$13)</f>
        <v/>
      </c>
      <c r="E16" s="10">
        <f>SUMIFS('ORDENES'!$AK$4:$AK$1203,'ORDENES'!$V$4:$V$1203,$A16,'ORDENES'!$P$4:$P$1203,E$12,'ORDENES'!$Q$4:$Q$1203,E$13)</f>
        <v/>
      </c>
      <c r="F16" s="10">
        <f>SUMIFS('ORDENES'!$AK$4:$AK$1203,'ORDENES'!$V$4:$V$1203,$A16,'ORDENES'!$P$4:$P$1203,F$12,'ORDENES'!$Q$4:$Q$1203,F$13)</f>
        <v/>
      </c>
      <c r="G16" s="10">
        <f>SUMIFS('ORDENES'!$AK$4:$AK$1203,'ORDENES'!$V$4:$V$1203,$A16,'ORDENES'!$P$4:$P$1203,G$12,'ORDENES'!$Q$4:$Q$1203,G$13)</f>
        <v/>
      </c>
      <c r="H16" s="10">
        <f>SUMIFS('ORDENES'!$AK$4:$AK$1203,'ORDENES'!$V$4:$V$1203,$A16,'ORDENES'!$P$4:$P$1203,H$12,'ORDENES'!$Q$4:$Q$1203,H$13)</f>
        <v/>
      </c>
      <c r="I16" s="10">
        <f>SUMIFS('ORDENES'!$AK$4:$AK$1203,'ORDENES'!$V$4:$V$1203,$A16,'ORDENES'!$P$4:$P$1203,I$12,'ORDENES'!$Q$4:$Q$1203,I$13)</f>
        <v/>
      </c>
      <c r="J16" s="10">
        <f>SUMIFS('ORDENES'!$AK$4:$AK$1203,'ORDENES'!$V$4:$V$1203,$A16,'ORDENES'!$P$4:$P$1203,J$12,'ORDENES'!$Q$4:$Q$1203,J$13)</f>
        <v/>
      </c>
      <c r="K16" s="10">
        <f>SUMIFS('ORDENES'!$AK$4:$AK$1203,'ORDENES'!$V$4:$V$1203,$A16,'ORDENES'!$P$4:$P$1203,K$12,'ORDENES'!$Q$4:$Q$1203,K$13)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SUMIFS('ORDENES'!$AK$4:$AK$1203,'ORDENES'!$W$4:$W$1203,$A28,'ORDENES'!$P$4:$P$1203,B$26,'ORDENES'!$Q$4:$Q$1203,B$27)</f>
        <v/>
      </c>
      <c r="C28" s="10">
        <f>SUMIFS('ORDENES'!$AK$4:$AK$1203,'ORDENES'!$W$4:$W$1203,$A28,'ORDENES'!$P$4:$P$1203,C$26,'ORDENES'!$Q$4:$Q$1203,C$27)</f>
        <v/>
      </c>
      <c r="D28" s="10">
        <f>SUMIFS('ORDENES'!$AK$4:$AK$1203,'ORDENES'!$W$4:$W$1203,$A28,'ORDENES'!$P$4:$P$1203,D$26,'ORDENES'!$Q$4:$Q$1203,D$27)</f>
        <v/>
      </c>
      <c r="E28" s="10">
        <f>SUMIFS('ORDENES'!$AK$4:$AK$1203,'ORDENES'!$W$4:$W$1203,$A28,'ORDENES'!$P$4:$P$1203,E$26,'ORDENES'!$Q$4:$Q$1203,E$27)</f>
        <v/>
      </c>
      <c r="F28" s="10">
        <f>SUMIFS('ORDENES'!$AK$4:$AK$1203,'ORDENES'!$W$4:$W$1203,$A28,'ORDENES'!$P$4:$P$1203,F$26,'ORDENES'!$Q$4:$Q$1203,F$27)</f>
        <v/>
      </c>
      <c r="G28" s="10">
        <f>SUMIFS('ORDENES'!$AK$4:$AK$1203,'ORDENES'!$W$4:$W$1203,$A28,'ORDENES'!$P$4:$P$1203,G$26,'ORDENES'!$Q$4:$Q$1203,G$27)</f>
        <v/>
      </c>
      <c r="H28" s="10">
        <f>SUMIFS('ORDENES'!$AK$4:$AK$1203,'ORDENES'!$W$4:$W$1203,$A28,'ORDENES'!$P$4:$P$1203,H$26,'ORDENES'!$Q$4:$Q$1203,H$27)</f>
        <v/>
      </c>
      <c r="I28" s="10">
        <f>SUMIFS('ORDENES'!$AK$4:$AK$1203,'ORDENES'!$W$4:$W$1203,$A28,'ORDENES'!$P$4:$P$1203,I$26,'ORDENES'!$Q$4:$Q$1203,I$27)</f>
        <v/>
      </c>
      <c r="J28" s="10">
        <f>SUMIFS('ORDENES'!$AK$4:$AK$1203,'ORDENES'!$W$4:$W$1203,$A28,'ORDENES'!$P$4:$P$1203,J$26,'ORDENES'!$Q$4:$Q$1203,J$27)</f>
        <v/>
      </c>
      <c r="K28" s="10">
        <f>SUMIFS('ORDENES'!$AK$4:$AK$1203,'ORDENES'!$W$4:$W$1203,$A28,'ORDENES'!$P$4:$P$1203,K$26,'ORDENES'!$Q$4:$Q$1203,K$27)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SUMIFS('ORDENES'!$AK$4:$AK$1203,'ORDENES'!$W$4:$W$1203,$A29,'ORDENES'!$P$4:$P$1203,B$26,'ORDENES'!$Q$4:$Q$1203,B$27)</f>
        <v/>
      </c>
      <c r="C29" s="10">
        <f>SUMIFS('ORDENES'!$AK$4:$AK$1203,'ORDENES'!$W$4:$W$1203,$A29,'ORDENES'!$P$4:$P$1203,C$26,'ORDENES'!$Q$4:$Q$1203,C$27)</f>
        <v/>
      </c>
      <c r="D29" s="10">
        <f>SUMIFS('ORDENES'!$AK$4:$AK$1203,'ORDENES'!$W$4:$W$1203,$A29,'ORDENES'!$P$4:$P$1203,D$26,'ORDENES'!$Q$4:$Q$1203,D$27)</f>
        <v/>
      </c>
      <c r="E29" s="10">
        <f>SUMIFS('ORDENES'!$AK$4:$AK$1203,'ORDENES'!$W$4:$W$1203,$A29,'ORDENES'!$P$4:$P$1203,E$26,'ORDENES'!$Q$4:$Q$1203,E$27)</f>
        <v/>
      </c>
      <c r="F29" s="10">
        <f>SUMIFS('ORDENES'!$AK$4:$AK$1203,'ORDENES'!$W$4:$W$1203,$A29,'ORDENES'!$P$4:$P$1203,F$26,'ORDENES'!$Q$4:$Q$1203,F$27)</f>
        <v/>
      </c>
      <c r="G29" s="10">
        <f>SUMIFS('ORDENES'!$AK$4:$AK$1203,'ORDENES'!$W$4:$W$1203,$A29,'ORDENES'!$P$4:$P$1203,G$26,'ORDENES'!$Q$4:$Q$1203,G$27)</f>
        <v/>
      </c>
      <c r="H29" s="10">
        <f>SUMIFS('ORDENES'!$AK$4:$AK$1203,'ORDENES'!$W$4:$W$1203,$A29,'ORDENES'!$P$4:$P$1203,H$26,'ORDENES'!$Q$4:$Q$1203,H$27)</f>
        <v/>
      </c>
      <c r="I29" s="10">
        <f>SUMIFS('ORDENES'!$AK$4:$AK$1203,'ORDENES'!$W$4:$W$1203,$A29,'ORDENES'!$P$4:$P$1203,I$26,'ORDENES'!$Q$4:$Q$1203,I$27)</f>
        <v/>
      </c>
      <c r="J29" s="10">
        <f>SUMIFS('ORDENES'!$AK$4:$AK$1203,'ORDENES'!$W$4:$W$1203,$A29,'ORDENES'!$P$4:$P$1203,J$26,'ORDENES'!$Q$4:$Q$1203,J$27)</f>
        <v/>
      </c>
      <c r="K29" s="10">
        <f>SUMIFS('ORDENES'!$AK$4:$AK$1203,'ORDENES'!$W$4:$W$1203,$A29,'ORDENES'!$P$4:$P$1203,K$26,'ORDENES'!$Q$4:$Q$1203,K$27)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SUMIFS('ORDENES'!$AK$4:$AK$1203,'ORDENES'!$W$4:$W$1203,$A30,'ORDENES'!$P$4:$P$1203,B$26,'ORDENES'!$Q$4:$Q$1203,B$27)</f>
        <v/>
      </c>
      <c r="C30" s="10">
        <f>SUMIFS('ORDENES'!$AK$4:$AK$1203,'ORDENES'!$W$4:$W$1203,$A30,'ORDENES'!$P$4:$P$1203,C$26,'ORDENES'!$Q$4:$Q$1203,C$27)</f>
        <v/>
      </c>
      <c r="D30" s="10">
        <f>SUMIFS('ORDENES'!$AK$4:$AK$1203,'ORDENES'!$W$4:$W$1203,$A30,'ORDENES'!$P$4:$P$1203,D$26,'ORDENES'!$Q$4:$Q$1203,D$27)</f>
        <v/>
      </c>
      <c r="E30" s="10">
        <f>SUMIFS('ORDENES'!$AK$4:$AK$1203,'ORDENES'!$W$4:$W$1203,$A30,'ORDENES'!$P$4:$P$1203,E$26,'ORDENES'!$Q$4:$Q$1203,E$27)</f>
        <v/>
      </c>
      <c r="F30" s="10">
        <f>SUMIFS('ORDENES'!$AK$4:$AK$1203,'ORDENES'!$W$4:$W$1203,$A30,'ORDENES'!$P$4:$P$1203,F$26,'ORDENES'!$Q$4:$Q$1203,F$27)</f>
        <v/>
      </c>
      <c r="G30" s="10">
        <f>SUMIFS('ORDENES'!$AK$4:$AK$1203,'ORDENES'!$W$4:$W$1203,$A30,'ORDENES'!$P$4:$P$1203,G$26,'ORDENES'!$Q$4:$Q$1203,G$27)</f>
        <v/>
      </c>
      <c r="H30" s="10">
        <f>SUMIFS('ORDENES'!$AK$4:$AK$1203,'ORDENES'!$W$4:$W$1203,$A30,'ORDENES'!$P$4:$P$1203,H$26,'ORDENES'!$Q$4:$Q$1203,H$27)</f>
        <v/>
      </c>
      <c r="I30" s="10">
        <f>SUMIFS('ORDENES'!$AK$4:$AK$1203,'ORDENES'!$W$4:$W$1203,$A30,'ORDENES'!$P$4:$P$1203,I$26,'ORDENES'!$Q$4:$Q$1203,I$27)</f>
        <v/>
      </c>
      <c r="J30" s="10">
        <f>SUMIFS('ORDENES'!$AK$4:$AK$1203,'ORDENES'!$W$4:$W$1203,$A30,'ORDENES'!$P$4:$P$1203,J$26,'ORDENES'!$Q$4:$Q$1203,J$27)</f>
        <v/>
      </c>
      <c r="K30" s="10">
        <f>SUMIFS('ORDENES'!$AK$4:$AK$1203,'ORDENES'!$W$4:$W$1203,$A30,'ORDENES'!$P$4:$P$1203,K$26,'ORDENES'!$Q$4:$Q$1203,K$27)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SUMIFS('ORDENES'!$AK$4:$AK$1203,'ORDENES'!$W$4:$W$1203,$A31,'ORDENES'!$P$4:$P$1203,B$26,'ORDENES'!$Q$4:$Q$1203,B$27)</f>
        <v/>
      </c>
      <c r="C31" s="10">
        <f>SUMIFS('ORDENES'!$AK$4:$AK$1203,'ORDENES'!$W$4:$W$1203,$A31,'ORDENES'!$P$4:$P$1203,C$26,'ORDENES'!$Q$4:$Q$1203,C$27)</f>
        <v/>
      </c>
      <c r="D31" s="10">
        <f>SUMIFS('ORDENES'!$AK$4:$AK$1203,'ORDENES'!$W$4:$W$1203,$A31,'ORDENES'!$P$4:$P$1203,D$26,'ORDENES'!$Q$4:$Q$1203,D$27)</f>
        <v/>
      </c>
      <c r="E31" s="10">
        <f>SUMIFS('ORDENES'!$AK$4:$AK$1203,'ORDENES'!$W$4:$W$1203,$A31,'ORDENES'!$P$4:$P$1203,E$26,'ORDENES'!$Q$4:$Q$1203,E$27)</f>
        <v/>
      </c>
      <c r="F31" s="10">
        <f>SUMIFS('ORDENES'!$AK$4:$AK$1203,'ORDENES'!$W$4:$W$1203,$A31,'ORDENES'!$P$4:$P$1203,F$26,'ORDENES'!$Q$4:$Q$1203,F$27)</f>
        <v/>
      </c>
      <c r="G31" s="10">
        <f>SUMIFS('ORDENES'!$AK$4:$AK$1203,'ORDENES'!$W$4:$W$1203,$A31,'ORDENES'!$P$4:$P$1203,G$26,'ORDENES'!$Q$4:$Q$1203,G$27)</f>
        <v/>
      </c>
      <c r="H31" s="10">
        <f>SUMIFS('ORDENES'!$AK$4:$AK$1203,'ORDENES'!$W$4:$W$1203,$A31,'ORDENES'!$P$4:$P$1203,H$26,'ORDENES'!$Q$4:$Q$1203,H$27)</f>
        <v/>
      </c>
      <c r="I31" s="10">
        <f>SUMIFS('ORDENES'!$AK$4:$AK$1203,'ORDENES'!$W$4:$W$1203,$A31,'ORDENES'!$P$4:$P$1203,I$26,'ORDENES'!$Q$4:$Q$1203,I$27)</f>
        <v/>
      </c>
      <c r="J31" s="10">
        <f>SUMIFS('ORDENES'!$AK$4:$AK$1203,'ORDENES'!$W$4:$W$1203,$A31,'ORDENES'!$P$4:$P$1203,J$26,'ORDENES'!$Q$4:$Q$1203,J$27)</f>
        <v/>
      </c>
      <c r="K31" s="10">
        <f>SUMIFS('ORDENES'!$AK$4:$AK$1203,'ORDENES'!$W$4:$W$1203,$A31,'ORDENES'!$P$4:$P$1203,K$26,'ORDENES'!$Q$4:$Q$1203,K$27)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SUMIFS('ORDENES'!$AK$4:$AK$1203,'ORDENES'!$W$4:$W$1203,$A32,'ORDENES'!$P$4:$P$1203,B$26,'ORDENES'!$Q$4:$Q$1203,B$27)</f>
        <v/>
      </c>
      <c r="C32" s="10">
        <f>SUMIFS('ORDENES'!$AK$4:$AK$1203,'ORDENES'!$W$4:$W$1203,$A32,'ORDENES'!$P$4:$P$1203,C$26,'ORDENES'!$Q$4:$Q$1203,C$27)</f>
        <v/>
      </c>
      <c r="D32" s="10">
        <f>SUMIFS('ORDENES'!$AK$4:$AK$1203,'ORDENES'!$W$4:$W$1203,$A32,'ORDENES'!$P$4:$P$1203,D$26,'ORDENES'!$Q$4:$Q$1203,D$27)</f>
        <v/>
      </c>
      <c r="E32" s="10">
        <f>SUMIFS('ORDENES'!$AK$4:$AK$1203,'ORDENES'!$W$4:$W$1203,$A32,'ORDENES'!$P$4:$P$1203,E$26,'ORDENES'!$Q$4:$Q$1203,E$27)</f>
        <v/>
      </c>
      <c r="F32" s="10">
        <f>SUMIFS('ORDENES'!$AK$4:$AK$1203,'ORDENES'!$W$4:$W$1203,$A32,'ORDENES'!$P$4:$P$1203,F$26,'ORDENES'!$Q$4:$Q$1203,F$27)</f>
        <v/>
      </c>
      <c r="G32" s="10">
        <f>SUMIFS('ORDENES'!$AK$4:$AK$1203,'ORDENES'!$W$4:$W$1203,$A32,'ORDENES'!$P$4:$P$1203,G$26,'ORDENES'!$Q$4:$Q$1203,G$27)</f>
        <v/>
      </c>
      <c r="H32" s="10">
        <f>SUMIFS('ORDENES'!$AK$4:$AK$1203,'ORDENES'!$W$4:$W$1203,$A32,'ORDENES'!$P$4:$P$1203,H$26,'ORDENES'!$Q$4:$Q$1203,H$27)</f>
        <v/>
      </c>
      <c r="I32" s="10">
        <f>SUMIFS('ORDENES'!$AK$4:$AK$1203,'ORDENES'!$W$4:$W$1203,$A32,'ORDENES'!$P$4:$P$1203,I$26,'ORDENES'!$Q$4:$Q$1203,I$27)</f>
        <v/>
      </c>
      <c r="J32" s="10">
        <f>SUMIFS('ORDENES'!$AK$4:$AK$1203,'ORDENES'!$W$4:$W$1203,$A32,'ORDENES'!$P$4:$P$1203,J$26,'ORDENES'!$Q$4:$Q$1203,J$27)</f>
        <v/>
      </c>
      <c r="K32" s="10">
        <f>SUMIFS('ORDENES'!$AK$4:$AK$1203,'ORDENES'!$W$4:$W$1203,$A32,'ORDENES'!$P$4:$P$1203,K$26,'ORDENES'!$Q$4:$Q$1203,K$27)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SUMIFS('ORDENES'!$AK$4:$AK$1203,'ORDENES'!$W$4:$W$1203,$A33,'ORDENES'!$P$4:$P$1203,B$26,'ORDENES'!$Q$4:$Q$1203,B$27)</f>
        <v/>
      </c>
      <c r="C33" s="10">
        <f>SUMIFS('ORDENES'!$AK$4:$AK$1203,'ORDENES'!$W$4:$W$1203,$A33,'ORDENES'!$P$4:$P$1203,C$26,'ORDENES'!$Q$4:$Q$1203,C$27)</f>
        <v/>
      </c>
      <c r="D33" s="10">
        <f>SUMIFS('ORDENES'!$AK$4:$AK$1203,'ORDENES'!$W$4:$W$1203,$A33,'ORDENES'!$P$4:$P$1203,D$26,'ORDENES'!$Q$4:$Q$1203,D$27)</f>
        <v/>
      </c>
      <c r="E33" s="10">
        <f>SUMIFS('ORDENES'!$AK$4:$AK$1203,'ORDENES'!$W$4:$W$1203,$A33,'ORDENES'!$P$4:$P$1203,E$26,'ORDENES'!$Q$4:$Q$1203,E$27)</f>
        <v/>
      </c>
      <c r="F33" s="10">
        <f>SUMIFS('ORDENES'!$AK$4:$AK$1203,'ORDENES'!$W$4:$W$1203,$A33,'ORDENES'!$P$4:$P$1203,F$26,'ORDENES'!$Q$4:$Q$1203,F$27)</f>
        <v/>
      </c>
      <c r="G33" s="10">
        <f>SUMIFS('ORDENES'!$AK$4:$AK$1203,'ORDENES'!$W$4:$W$1203,$A33,'ORDENES'!$P$4:$P$1203,G$26,'ORDENES'!$Q$4:$Q$1203,G$27)</f>
        <v/>
      </c>
      <c r="H33" s="10">
        <f>SUMIFS('ORDENES'!$AK$4:$AK$1203,'ORDENES'!$W$4:$W$1203,$A33,'ORDENES'!$P$4:$P$1203,H$26,'ORDENES'!$Q$4:$Q$1203,H$27)</f>
        <v/>
      </c>
      <c r="I33" s="10">
        <f>SUMIFS('ORDENES'!$AK$4:$AK$1203,'ORDENES'!$W$4:$W$1203,$A33,'ORDENES'!$P$4:$P$1203,I$26,'ORDENES'!$Q$4:$Q$1203,I$27)</f>
        <v/>
      </c>
      <c r="J33" s="10">
        <f>SUMIFS('ORDENES'!$AK$4:$AK$1203,'ORDENES'!$W$4:$W$1203,$A33,'ORDENES'!$P$4:$P$1203,J$26,'ORDENES'!$Q$4:$Q$1203,J$27)</f>
        <v/>
      </c>
      <c r="K33" s="10">
        <f>SUMIFS('ORDENES'!$AK$4:$AK$1203,'ORDENES'!$W$4:$W$1203,$A33,'ORDENES'!$P$4:$P$1203,K$26,'ORDENES'!$Q$4:$Q$1203,K$27)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SUMIFS('ORDENES'!$AK$4:$AK$1203,'ORDENES'!$U$4:$U$1203,$A39,'ORDENES'!$P$4:$P$1203,B$37,'ORDENES'!$Q$4:$Q$1203,B$38)</f>
        <v/>
      </c>
      <c r="C39" s="10">
        <f>SUMIFS('ORDENES'!$AK$4:$AK$1203,'ORDENES'!$U$4:$U$1203,$A39,'ORDENES'!$P$4:$P$1203,C$37,'ORDENES'!$Q$4:$Q$1203,C$38)</f>
        <v/>
      </c>
      <c r="D39" s="10">
        <f>SUMIFS('ORDENES'!$AK$4:$AK$1203,'ORDENES'!$U$4:$U$1203,$A39,'ORDENES'!$P$4:$P$1203,D$37,'ORDENES'!$Q$4:$Q$1203,D$38)</f>
        <v/>
      </c>
      <c r="E39" s="10">
        <f>SUMIFS('ORDENES'!$AK$4:$AK$1203,'ORDENES'!$U$4:$U$1203,$A39,'ORDENES'!$P$4:$P$1203,E$37,'ORDENES'!$Q$4:$Q$1203,E$38)</f>
        <v/>
      </c>
      <c r="F39" s="10">
        <f>SUMIFS('ORDENES'!$AK$4:$AK$1203,'ORDENES'!$U$4:$U$1203,$A39,'ORDENES'!$P$4:$P$1203,F$37,'ORDENES'!$Q$4:$Q$1203,F$38)</f>
        <v/>
      </c>
      <c r="G39" s="10">
        <f>SUMIFS('ORDENES'!$AK$4:$AK$1203,'ORDENES'!$U$4:$U$1203,$A39,'ORDENES'!$P$4:$P$1203,G$37,'ORDENES'!$Q$4:$Q$1203,G$38)</f>
        <v/>
      </c>
      <c r="H39" s="10">
        <f>SUMIFS('ORDENES'!$AK$4:$AK$1203,'ORDENES'!$U$4:$U$1203,$A39,'ORDENES'!$P$4:$P$1203,H$37,'ORDENES'!$Q$4:$Q$1203,H$38)</f>
        <v/>
      </c>
      <c r="I39" s="10">
        <f>SUMIFS('ORDENES'!$AK$4:$AK$1203,'ORDENES'!$U$4:$U$1203,$A39,'ORDENES'!$P$4:$P$1203,I$37,'ORDENES'!$Q$4:$Q$1203,I$38)</f>
        <v/>
      </c>
      <c r="J39" s="10">
        <f>SUMIFS('ORDENES'!$AK$4:$AK$1203,'ORDENES'!$U$4:$U$1203,$A39,'ORDENES'!$P$4:$P$1203,J$37,'ORDENES'!$Q$4:$Q$1203,J$38)</f>
        <v/>
      </c>
      <c r="K39" s="10">
        <f>SUMIFS('ORDENES'!$AK$4:$AK$1203,'ORDENES'!$U$4:$U$1203,$A39,'ORDENES'!$P$4:$P$1203,K$37,'ORDENES'!$Q$4:$Q$1203,K$38)</f>
        <v/>
      </c>
      <c r="L39" s="10">
        <f>SUM(B39:K39)</f>
        <v/>
      </c>
    </row>
    <row r="40">
      <c r="A40" s="3" t="inlineStr">
        <is>
          <t>L2</t>
        </is>
      </c>
      <c r="B40" s="10">
        <f>SUMIFS('ORDENES'!$AK$4:$AK$1203,'ORDENES'!$U$4:$U$1203,$A40,'ORDENES'!$P$4:$P$1203,B$37,'ORDENES'!$Q$4:$Q$1203,B$38)</f>
        <v/>
      </c>
      <c r="C40" s="10">
        <f>SUMIFS('ORDENES'!$AK$4:$AK$1203,'ORDENES'!$U$4:$U$1203,$A40,'ORDENES'!$P$4:$P$1203,C$37,'ORDENES'!$Q$4:$Q$1203,C$38)</f>
        <v/>
      </c>
      <c r="D40" s="10">
        <f>SUMIFS('ORDENES'!$AK$4:$AK$1203,'ORDENES'!$U$4:$U$1203,$A40,'ORDENES'!$P$4:$P$1203,D$37,'ORDENES'!$Q$4:$Q$1203,D$38)</f>
        <v/>
      </c>
      <c r="E40" s="10">
        <f>SUMIFS('ORDENES'!$AK$4:$AK$1203,'ORDENES'!$U$4:$U$1203,$A40,'ORDENES'!$P$4:$P$1203,E$37,'ORDENES'!$Q$4:$Q$1203,E$38)</f>
        <v/>
      </c>
      <c r="F40" s="10">
        <f>SUMIFS('ORDENES'!$AK$4:$AK$1203,'ORDENES'!$U$4:$U$1203,$A40,'ORDENES'!$P$4:$P$1203,F$37,'ORDENES'!$Q$4:$Q$1203,F$38)</f>
        <v/>
      </c>
      <c r="G40" s="10">
        <f>SUMIFS('ORDENES'!$AK$4:$AK$1203,'ORDENES'!$U$4:$U$1203,$A40,'ORDENES'!$P$4:$P$1203,G$37,'ORDENES'!$Q$4:$Q$1203,G$38)</f>
        <v/>
      </c>
      <c r="H40" s="10">
        <f>SUMIFS('ORDENES'!$AK$4:$AK$1203,'ORDENES'!$U$4:$U$1203,$A40,'ORDENES'!$P$4:$P$1203,H$37,'ORDENES'!$Q$4:$Q$1203,H$38)</f>
        <v/>
      </c>
      <c r="I40" s="10">
        <f>SUMIFS('ORDENES'!$AK$4:$AK$1203,'ORDENES'!$U$4:$U$1203,$A40,'ORDENES'!$P$4:$P$1203,I$37,'ORDENES'!$Q$4:$Q$1203,I$38)</f>
        <v/>
      </c>
      <c r="J40" s="10">
        <f>SUMIFS('ORDENES'!$AK$4:$AK$1203,'ORDENES'!$U$4:$U$1203,$A40,'ORDENES'!$P$4:$P$1203,J$37,'ORDENES'!$Q$4:$Q$1203,J$38)</f>
        <v/>
      </c>
      <c r="K40" s="10">
        <f>SUMIFS('ORDENES'!$AK$4:$AK$1203,'ORDENES'!$U$4:$U$1203,$A40,'ORDENES'!$P$4:$P$1203,K$37,'ORDENES'!$Q$4:$Q$1203,K$38)</f>
        <v/>
      </c>
      <c r="L40" s="10">
        <f>SUM(B40:K40)</f>
        <v/>
      </c>
    </row>
    <row r="41">
      <c r="A41" s="3" t="inlineStr">
        <is>
          <t>L3</t>
        </is>
      </c>
      <c r="B41" s="10">
        <f>SUMIFS('ORDENES'!$AK$4:$AK$1203,'ORDENES'!$U$4:$U$1203,$A41,'ORDENES'!$P$4:$P$1203,B$37,'ORDENES'!$Q$4:$Q$1203,B$38)</f>
        <v/>
      </c>
      <c r="C41" s="10">
        <f>SUMIFS('ORDENES'!$AK$4:$AK$1203,'ORDENES'!$U$4:$U$1203,$A41,'ORDENES'!$P$4:$P$1203,C$37,'ORDENES'!$Q$4:$Q$1203,C$38)</f>
        <v/>
      </c>
      <c r="D41" s="10">
        <f>SUMIFS('ORDENES'!$AK$4:$AK$1203,'ORDENES'!$U$4:$U$1203,$A41,'ORDENES'!$P$4:$P$1203,D$37,'ORDENES'!$Q$4:$Q$1203,D$38)</f>
        <v/>
      </c>
      <c r="E41" s="10">
        <f>SUMIFS('ORDENES'!$AK$4:$AK$1203,'ORDENES'!$U$4:$U$1203,$A41,'ORDENES'!$P$4:$P$1203,E$37,'ORDENES'!$Q$4:$Q$1203,E$38)</f>
        <v/>
      </c>
      <c r="F41" s="10">
        <f>SUMIFS('ORDENES'!$AK$4:$AK$1203,'ORDENES'!$U$4:$U$1203,$A41,'ORDENES'!$P$4:$P$1203,F$37,'ORDENES'!$Q$4:$Q$1203,F$38)</f>
        <v/>
      </c>
      <c r="G41" s="10">
        <f>SUMIFS('ORDENES'!$AK$4:$AK$1203,'ORDENES'!$U$4:$U$1203,$A41,'ORDENES'!$P$4:$P$1203,G$37,'ORDENES'!$Q$4:$Q$1203,G$38)</f>
        <v/>
      </c>
      <c r="H41" s="10">
        <f>SUMIFS('ORDENES'!$AK$4:$AK$1203,'ORDENES'!$U$4:$U$1203,$A41,'ORDENES'!$P$4:$P$1203,H$37,'ORDENES'!$Q$4:$Q$1203,H$38)</f>
        <v/>
      </c>
      <c r="I41" s="10">
        <f>SUMIFS('ORDENES'!$AK$4:$AK$1203,'ORDENES'!$U$4:$U$1203,$A41,'ORDENES'!$P$4:$P$1203,I$37,'ORDENES'!$Q$4:$Q$1203,I$38)</f>
        <v/>
      </c>
      <c r="J41" s="10">
        <f>SUMIFS('ORDENES'!$AK$4:$AK$1203,'ORDENES'!$U$4:$U$1203,$A41,'ORDENES'!$P$4:$P$1203,J$37,'ORDENES'!$Q$4:$Q$1203,J$38)</f>
        <v/>
      </c>
      <c r="K41" s="10">
        <f>SUMIFS('ORDENES'!$AK$4:$AK$1203,'ORDENES'!$U$4:$U$1203,$A41,'ORDENES'!$P$4:$P$1203,K$37,'ORDENES'!$Q$4:$Q$1203,K$38)</f>
        <v/>
      </c>
      <c r="L41" s="10">
        <f>SUM(B41:K41)</f>
        <v/>
      </c>
    </row>
    <row r="42">
      <c r="A42" s="3" t="inlineStr">
        <is>
          <t>L4</t>
        </is>
      </c>
      <c r="B42" s="10">
        <f>SUMIFS('ORDENES'!$AK$4:$AK$1203,'ORDENES'!$U$4:$U$1203,$A42,'ORDENES'!$P$4:$P$1203,B$37,'ORDENES'!$Q$4:$Q$1203,B$38)</f>
        <v/>
      </c>
      <c r="C42" s="10">
        <f>SUMIFS('ORDENES'!$AK$4:$AK$1203,'ORDENES'!$U$4:$U$1203,$A42,'ORDENES'!$P$4:$P$1203,C$37,'ORDENES'!$Q$4:$Q$1203,C$38)</f>
        <v/>
      </c>
      <c r="D42" s="10">
        <f>SUMIFS('ORDENES'!$AK$4:$AK$1203,'ORDENES'!$U$4:$U$1203,$A42,'ORDENES'!$P$4:$P$1203,D$37,'ORDENES'!$Q$4:$Q$1203,D$38)</f>
        <v/>
      </c>
      <c r="E42" s="10">
        <f>SUMIFS('ORDENES'!$AK$4:$AK$1203,'ORDENES'!$U$4:$U$1203,$A42,'ORDENES'!$P$4:$P$1203,E$37,'ORDENES'!$Q$4:$Q$1203,E$38)</f>
        <v/>
      </c>
      <c r="F42" s="10">
        <f>SUMIFS('ORDENES'!$AK$4:$AK$1203,'ORDENES'!$U$4:$U$1203,$A42,'ORDENES'!$P$4:$P$1203,F$37,'ORDENES'!$Q$4:$Q$1203,F$38)</f>
        <v/>
      </c>
      <c r="G42" s="10">
        <f>SUMIFS('ORDENES'!$AK$4:$AK$1203,'ORDENES'!$U$4:$U$1203,$A42,'ORDENES'!$P$4:$P$1203,G$37,'ORDENES'!$Q$4:$Q$1203,G$38)</f>
        <v/>
      </c>
      <c r="H42" s="10">
        <f>SUMIFS('ORDENES'!$AK$4:$AK$1203,'ORDENES'!$U$4:$U$1203,$A42,'ORDENES'!$P$4:$P$1203,H$37,'ORDENES'!$Q$4:$Q$1203,H$38)</f>
        <v/>
      </c>
      <c r="I42" s="10">
        <f>SUMIFS('ORDENES'!$AK$4:$AK$1203,'ORDENES'!$U$4:$U$1203,$A42,'ORDENES'!$P$4:$P$1203,I$37,'ORDENES'!$Q$4:$Q$1203,I$38)</f>
        <v/>
      </c>
      <c r="J42" s="10">
        <f>SUMIFS('ORDENES'!$AK$4:$AK$1203,'ORDENES'!$U$4:$U$1203,$A42,'ORDENES'!$P$4:$P$1203,J$37,'ORDENES'!$Q$4:$Q$1203,J$38)</f>
        <v/>
      </c>
      <c r="K42" s="10">
        <f>SUMIFS('ORDENES'!$AK$4:$AK$1203,'ORDENES'!$U$4:$U$1203,$A42,'ORDENES'!$P$4:$P$1203,K$37,'ORDENES'!$Q$4:$Q$1203,K$38)</f>
        <v/>
      </c>
      <c r="L42" s="10">
        <f>SUM(B42:K42)</f>
        <v/>
      </c>
    </row>
    <row r="43">
      <c r="A43" s="3" t="inlineStr">
        <is>
          <t>SG</t>
        </is>
      </c>
      <c r="B43" s="10">
        <f>SUMIFS('ORDENES'!$AK$4:$AK$1203,'ORDENES'!$U$4:$U$1203,$A43,'ORDENES'!$P$4:$P$1203,B$37,'ORDENES'!$Q$4:$Q$1203,B$38)</f>
        <v/>
      </c>
      <c r="C43" s="10">
        <f>SUMIFS('ORDENES'!$AK$4:$AK$1203,'ORDENES'!$U$4:$U$1203,$A43,'ORDENES'!$P$4:$P$1203,C$37,'ORDENES'!$Q$4:$Q$1203,C$38)</f>
        <v/>
      </c>
      <c r="D43" s="10">
        <f>SUMIFS('ORDENES'!$AK$4:$AK$1203,'ORDENES'!$U$4:$U$1203,$A43,'ORDENES'!$P$4:$P$1203,D$37,'ORDENES'!$Q$4:$Q$1203,D$38)</f>
        <v/>
      </c>
      <c r="E43" s="10">
        <f>SUMIFS('ORDENES'!$AK$4:$AK$1203,'ORDENES'!$U$4:$U$1203,$A43,'ORDENES'!$P$4:$P$1203,E$37,'ORDENES'!$Q$4:$Q$1203,E$38)</f>
        <v/>
      </c>
      <c r="F43" s="10">
        <f>SUMIFS('ORDENES'!$AK$4:$AK$1203,'ORDENES'!$U$4:$U$1203,$A43,'ORDENES'!$P$4:$P$1203,F$37,'ORDENES'!$Q$4:$Q$1203,F$38)</f>
        <v/>
      </c>
      <c r="G43" s="10">
        <f>SUMIFS('ORDENES'!$AK$4:$AK$1203,'ORDENES'!$U$4:$U$1203,$A43,'ORDENES'!$P$4:$P$1203,G$37,'ORDENES'!$Q$4:$Q$1203,G$38)</f>
        <v/>
      </c>
      <c r="H43" s="10">
        <f>SUMIFS('ORDENES'!$AK$4:$AK$1203,'ORDENES'!$U$4:$U$1203,$A43,'ORDENES'!$P$4:$P$1203,H$37,'ORDENES'!$Q$4:$Q$1203,H$38)</f>
        <v/>
      </c>
      <c r="I43" s="10">
        <f>SUMIFS('ORDENES'!$AK$4:$AK$1203,'ORDENES'!$U$4:$U$1203,$A43,'ORDENES'!$P$4:$P$1203,I$37,'ORDENES'!$Q$4:$Q$1203,I$38)</f>
        <v/>
      </c>
      <c r="J43" s="10">
        <f>SUMIFS('ORDENES'!$AK$4:$AK$1203,'ORDENES'!$U$4:$U$1203,$A43,'ORDENES'!$P$4:$P$1203,J$37,'ORDENES'!$Q$4:$Q$1203,J$38)</f>
        <v/>
      </c>
      <c r="K43" s="10">
        <f>SUMIFS('ORDENES'!$AK$4:$AK$1203,'ORDENES'!$U$4:$U$1203,$A43,'ORDENES'!$P$4:$P$1203,K$37,'ORDENES'!$Q$4:$Q$1203,K$38)</f>
        <v/>
      </c>
      <c r="L43" s="10">
        <f>SUM(B43:K43)</f>
        <v/>
      </c>
    </row>
    <row r="44">
      <c r="A44" s="3" t="inlineStr">
        <is>
          <t>SG</t>
        </is>
      </c>
      <c r="B44" s="10">
        <f>SUMIFS('ORDENES'!$AK$4:$AK$1203,'ORDENES'!$U$4:$U$1203,$A44,'ORDENES'!$P$4:$P$1203,B$37,'ORDENES'!$Q$4:$Q$1203,B$38)</f>
        <v/>
      </c>
      <c r="C44" s="10">
        <f>SUMIFS('ORDENES'!$AK$4:$AK$1203,'ORDENES'!$U$4:$U$1203,$A44,'ORDENES'!$P$4:$P$1203,C$37,'ORDENES'!$Q$4:$Q$1203,C$38)</f>
        <v/>
      </c>
      <c r="D44" s="10">
        <f>SUMIFS('ORDENES'!$AK$4:$AK$1203,'ORDENES'!$U$4:$U$1203,$A44,'ORDENES'!$P$4:$P$1203,D$37,'ORDENES'!$Q$4:$Q$1203,D$38)</f>
        <v/>
      </c>
      <c r="E44" s="10">
        <f>SUMIFS('ORDENES'!$AK$4:$AK$1203,'ORDENES'!$U$4:$U$1203,$A44,'ORDENES'!$P$4:$P$1203,E$37,'ORDENES'!$Q$4:$Q$1203,E$38)</f>
        <v/>
      </c>
      <c r="F44" s="10">
        <f>SUMIFS('ORDENES'!$AK$4:$AK$1203,'ORDENES'!$U$4:$U$1203,$A44,'ORDENES'!$P$4:$P$1203,F$37,'ORDENES'!$Q$4:$Q$1203,F$38)</f>
        <v/>
      </c>
      <c r="G44" s="10">
        <f>SUMIFS('ORDENES'!$AK$4:$AK$1203,'ORDENES'!$U$4:$U$1203,$A44,'ORDENES'!$P$4:$P$1203,G$37,'ORDENES'!$Q$4:$Q$1203,G$38)</f>
        <v/>
      </c>
      <c r="H44" s="10">
        <f>SUMIFS('ORDENES'!$AK$4:$AK$1203,'ORDENES'!$U$4:$U$1203,$A44,'ORDENES'!$P$4:$P$1203,H$37,'ORDENES'!$Q$4:$Q$1203,H$38)</f>
        <v/>
      </c>
      <c r="I44" s="10">
        <f>SUMIFS('ORDENES'!$AK$4:$AK$1203,'ORDENES'!$U$4:$U$1203,$A44,'ORDENES'!$P$4:$P$1203,I$37,'ORDENES'!$Q$4:$Q$1203,I$38)</f>
        <v/>
      </c>
      <c r="J44" s="10">
        <f>SUMIFS('ORDENES'!$AK$4:$AK$1203,'ORDENES'!$U$4:$U$1203,$A44,'ORDENES'!$P$4:$P$1203,J$37,'ORDENES'!$Q$4:$Q$1203,J$38)</f>
        <v/>
      </c>
      <c r="K44" s="10">
        <f>SUMIFS('ORDENES'!$AK$4:$AK$1203,'ORDENES'!$U$4:$U$1203,$A44,'ORDENES'!$P$4:$P$1203,K$37,'ORDENES'!$Q$4:$Q$1203,K$38)</f>
        <v/>
      </c>
      <c r="L44" s="10">
        <f>SUM(B44:K44)</f>
        <v/>
      </c>
    </row>
    <row r="45">
      <c r="A45" s="3" t="inlineStr">
        <is>
          <t>TC</t>
        </is>
      </c>
      <c r="B45" s="10">
        <f>SUMIFS('ORDENES'!$AK$4:$AK$1203,'ORDENES'!$U$4:$U$1203,$A45,'ORDENES'!$P$4:$P$1203,B$37,'ORDENES'!$Q$4:$Q$1203,B$38)</f>
        <v/>
      </c>
      <c r="C45" s="10">
        <f>SUMIFS('ORDENES'!$AK$4:$AK$1203,'ORDENES'!$U$4:$U$1203,$A45,'ORDENES'!$P$4:$P$1203,C$37,'ORDENES'!$Q$4:$Q$1203,C$38)</f>
        <v/>
      </c>
      <c r="D45" s="10">
        <f>SUMIFS('ORDENES'!$AK$4:$AK$1203,'ORDENES'!$U$4:$U$1203,$A45,'ORDENES'!$P$4:$P$1203,D$37,'ORDENES'!$Q$4:$Q$1203,D$38)</f>
        <v/>
      </c>
      <c r="E45" s="10">
        <f>SUMIFS('ORDENES'!$AK$4:$AK$1203,'ORDENES'!$U$4:$U$1203,$A45,'ORDENES'!$P$4:$P$1203,E$37,'ORDENES'!$Q$4:$Q$1203,E$38)</f>
        <v/>
      </c>
      <c r="F45" s="10">
        <f>SUMIFS('ORDENES'!$AK$4:$AK$1203,'ORDENES'!$U$4:$U$1203,$A45,'ORDENES'!$P$4:$P$1203,F$37,'ORDENES'!$Q$4:$Q$1203,F$38)</f>
        <v/>
      </c>
      <c r="G45" s="10">
        <f>SUMIFS('ORDENES'!$AK$4:$AK$1203,'ORDENES'!$U$4:$U$1203,$A45,'ORDENES'!$P$4:$P$1203,G$37,'ORDENES'!$Q$4:$Q$1203,G$38)</f>
        <v/>
      </c>
      <c r="H45" s="10">
        <f>SUMIFS('ORDENES'!$AK$4:$AK$1203,'ORDENES'!$U$4:$U$1203,$A45,'ORDENES'!$P$4:$P$1203,H$37,'ORDENES'!$Q$4:$Q$1203,H$38)</f>
        <v/>
      </c>
      <c r="I45" s="10">
        <f>SUMIFS('ORDENES'!$AK$4:$AK$1203,'ORDENES'!$U$4:$U$1203,$A45,'ORDENES'!$P$4:$P$1203,I$37,'ORDENES'!$Q$4:$Q$1203,I$38)</f>
        <v/>
      </c>
      <c r="J45" s="10">
        <f>SUMIFS('ORDENES'!$AK$4:$AK$1203,'ORDENES'!$U$4:$U$1203,$A45,'ORDENES'!$P$4:$P$1203,J$37,'ORDENES'!$Q$4:$Q$1203,J$38)</f>
        <v/>
      </c>
      <c r="K45" s="10">
        <f>SUMIFS('ORDENES'!$AK$4:$AK$1203,'ORDENES'!$U$4:$U$1203,$A45,'ORDENES'!$P$4:$P$1203,K$37,'ORDENES'!$Q$4:$Q$1203,K$38)</f>
        <v/>
      </c>
      <c r="L45" s="10">
        <f>SUM(B45:K45)</f>
        <v/>
      </c>
    </row>
    <row r="46">
      <c r="A46" s="3" t="inlineStr">
        <is>
          <t>TC</t>
        </is>
      </c>
      <c r="B46" s="10">
        <f>SUMIFS('ORDENES'!$AK$4:$AK$1203,'ORDENES'!$U$4:$U$1203,$A46,'ORDENES'!$P$4:$P$1203,B$37,'ORDENES'!$Q$4:$Q$1203,B$38)</f>
        <v/>
      </c>
      <c r="C46" s="10">
        <f>SUMIFS('ORDENES'!$AK$4:$AK$1203,'ORDENES'!$U$4:$U$1203,$A46,'ORDENES'!$P$4:$P$1203,C$37,'ORDENES'!$Q$4:$Q$1203,C$38)</f>
        <v/>
      </c>
      <c r="D46" s="10">
        <f>SUMIFS('ORDENES'!$AK$4:$AK$1203,'ORDENES'!$U$4:$U$1203,$A46,'ORDENES'!$P$4:$P$1203,D$37,'ORDENES'!$Q$4:$Q$1203,D$38)</f>
        <v/>
      </c>
      <c r="E46" s="10">
        <f>SUMIFS('ORDENES'!$AK$4:$AK$1203,'ORDENES'!$U$4:$U$1203,$A46,'ORDENES'!$P$4:$P$1203,E$37,'ORDENES'!$Q$4:$Q$1203,E$38)</f>
        <v/>
      </c>
      <c r="F46" s="10">
        <f>SUMIFS('ORDENES'!$AK$4:$AK$1203,'ORDENES'!$U$4:$U$1203,$A46,'ORDENES'!$P$4:$P$1203,F$37,'ORDENES'!$Q$4:$Q$1203,F$38)</f>
        <v/>
      </c>
      <c r="G46" s="10">
        <f>SUMIFS('ORDENES'!$AK$4:$AK$1203,'ORDENES'!$U$4:$U$1203,$A46,'ORDENES'!$P$4:$P$1203,G$37,'ORDENES'!$Q$4:$Q$1203,G$38)</f>
        <v/>
      </c>
      <c r="H46" s="10">
        <f>SUMIFS('ORDENES'!$AK$4:$AK$1203,'ORDENES'!$U$4:$U$1203,$A46,'ORDENES'!$P$4:$P$1203,H$37,'ORDENES'!$Q$4:$Q$1203,H$38)</f>
        <v/>
      </c>
      <c r="I46" s="10">
        <f>SUMIFS('ORDENES'!$AK$4:$AK$1203,'ORDENES'!$U$4:$U$1203,$A46,'ORDENES'!$P$4:$P$1203,I$37,'ORDENES'!$Q$4:$Q$1203,I$38)</f>
        <v/>
      </c>
      <c r="J46" s="10">
        <f>SUMIFS('ORDENES'!$AK$4:$AK$1203,'ORDENES'!$U$4:$U$1203,$A46,'ORDENES'!$P$4:$P$1203,J$37,'ORDENES'!$Q$4:$Q$1203,J$38)</f>
        <v/>
      </c>
      <c r="K46" s="10">
        <f>SUMIFS('ORDENES'!$AK$4:$AK$1203,'ORDENES'!$U$4:$U$1203,$A46,'ORDENES'!$P$4:$P$1203,K$37,'ORDENES'!$Q$4:$Q$1203,K$38)</f>
        <v/>
      </c>
      <c r="L46" s="10">
        <f>SUM(B46:K46)</f>
        <v/>
      </c>
    </row>
    <row r="47">
      <c r="A47" s="3" t="inlineStr">
        <is>
          <t>CO</t>
        </is>
      </c>
      <c r="B47" s="10">
        <f>SUMIFS('ORDENES'!$AK$4:$AK$1203,'ORDENES'!$U$4:$U$1203,$A47,'ORDENES'!$P$4:$P$1203,B$37,'ORDENES'!$Q$4:$Q$1203,B$38)</f>
        <v/>
      </c>
      <c r="C47" s="10">
        <f>SUMIFS('ORDENES'!$AK$4:$AK$1203,'ORDENES'!$U$4:$U$1203,$A47,'ORDENES'!$P$4:$P$1203,C$37,'ORDENES'!$Q$4:$Q$1203,C$38)</f>
        <v/>
      </c>
      <c r="D47" s="10">
        <f>SUMIFS('ORDENES'!$AK$4:$AK$1203,'ORDENES'!$U$4:$U$1203,$A47,'ORDENES'!$P$4:$P$1203,D$37,'ORDENES'!$Q$4:$Q$1203,D$38)</f>
        <v/>
      </c>
      <c r="E47" s="10">
        <f>SUMIFS('ORDENES'!$AK$4:$AK$1203,'ORDENES'!$U$4:$U$1203,$A47,'ORDENES'!$P$4:$P$1203,E$37,'ORDENES'!$Q$4:$Q$1203,E$38)</f>
        <v/>
      </c>
      <c r="F47" s="10">
        <f>SUMIFS('ORDENES'!$AK$4:$AK$1203,'ORDENES'!$U$4:$U$1203,$A47,'ORDENES'!$P$4:$P$1203,F$37,'ORDENES'!$Q$4:$Q$1203,F$38)</f>
        <v/>
      </c>
      <c r="G47" s="10">
        <f>SUMIFS('ORDENES'!$AK$4:$AK$1203,'ORDENES'!$U$4:$U$1203,$A47,'ORDENES'!$P$4:$P$1203,G$37,'ORDENES'!$Q$4:$Q$1203,G$38)</f>
        <v/>
      </c>
      <c r="H47" s="10">
        <f>SUMIFS('ORDENES'!$AK$4:$AK$1203,'ORDENES'!$U$4:$U$1203,$A47,'ORDENES'!$P$4:$P$1203,H$37,'ORDENES'!$Q$4:$Q$1203,H$38)</f>
        <v/>
      </c>
      <c r="I47" s="10">
        <f>SUMIFS('ORDENES'!$AK$4:$AK$1203,'ORDENES'!$U$4:$U$1203,$A47,'ORDENES'!$P$4:$P$1203,I$37,'ORDENES'!$Q$4:$Q$1203,I$38)</f>
        <v/>
      </c>
      <c r="J47" s="10">
        <f>SUMIFS('ORDENES'!$AK$4:$AK$1203,'ORDENES'!$U$4:$U$1203,$A47,'ORDENES'!$P$4:$P$1203,J$37,'ORDENES'!$Q$4:$Q$1203,J$38)</f>
        <v/>
      </c>
      <c r="K47" s="10">
        <f>SUMIFS('ORDENES'!$AK$4:$AK$1203,'ORDENES'!$U$4:$U$1203,$A47,'ORDENES'!$P$4:$P$1203,K$37,'ORDENES'!$Q$4:$Q$1203,K$38)</f>
        <v/>
      </c>
      <c r="L47" s="10">
        <f>SUM(B47:K47)</f>
        <v/>
      </c>
    </row>
    <row r="48">
      <c r="A48" s="3" t="inlineStr">
        <is>
          <t>AC</t>
        </is>
      </c>
      <c r="B48" s="10">
        <f>SUMIFS('ORDENES'!$AK$4:$AK$1203,'ORDENES'!$U$4:$U$1203,$A48,'ORDENES'!$P$4:$P$1203,B$37,'ORDENES'!$Q$4:$Q$1203,B$38)</f>
        <v/>
      </c>
      <c r="C48" s="10">
        <f>SUMIFS('ORDENES'!$AK$4:$AK$1203,'ORDENES'!$U$4:$U$1203,$A48,'ORDENES'!$P$4:$P$1203,C$37,'ORDENES'!$Q$4:$Q$1203,C$38)</f>
        <v/>
      </c>
      <c r="D48" s="10">
        <f>SUMIFS('ORDENES'!$AK$4:$AK$1203,'ORDENES'!$U$4:$U$1203,$A48,'ORDENES'!$P$4:$P$1203,D$37,'ORDENES'!$Q$4:$Q$1203,D$38)</f>
        <v/>
      </c>
      <c r="E48" s="10">
        <f>SUMIFS('ORDENES'!$AK$4:$AK$1203,'ORDENES'!$U$4:$U$1203,$A48,'ORDENES'!$P$4:$P$1203,E$37,'ORDENES'!$Q$4:$Q$1203,E$38)</f>
        <v/>
      </c>
      <c r="F48" s="10">
        <f>SUMIFS('ORDENES'!$AK$4:$AK$1203,'ORDENES'!$U$4:$U$1203,$A48,'ORDENES'!$P$4:$P$1203,F$37,'ORDENES'!$Q$4:$Q$1203,F$38)</f>
        <v/>
      </c>
      <c r="G48" s="10">
        <f>SUMIFS('ORDENES'!$AK$4:$AK$1203,'ORDENES'!$U$4:$U$1203,$A48,'ORDENES'!$P$4:$P$1203,G$37,'ORDENES'!$Q$4:$Q$1203,G$38)</f>
        <v/>
      </c>
      <c r="H48" s="10">
        <f>SUMIFS('ORDENES'!$AK$4:$AK$1203,'ORDENES'!$U$4:$U$1203,$A48,'ORDENES'!$P$4:$P$1203,H$37,'ORDENES'!$Q$4:$Q$1203,H$38)</f>
        <v/>
      </c>
      <c r="I48" s="10">
        <f>SUMIFS('ORDENES'!$AK$4:$AK$1203,'ORDENES'!$U$4:$U$1203,$A48,'ORDENES'!$P$4:$P$1203,I$37,'ORDENES'!$Q$4:$Q$1203,I$38)</f>
        <v/>
      </c>
      <c r="J48" s="10">
        <f>SUMIFS('ORDENES'!$AK$4:$AK$1203,'ORDENES'!$U$4:$U$1203,$A48,'ORDENES'!$P$4:$P$1203,J$37,'ORDENES'!$Q$4:$Q$1203,J$38)</f>
        <v/>
      </c>
      <c r="K48" s="10">
        <f>SUMIFS('ORDENES'!$AK$4:$AK$1203,'ORDENES'!$U$4:$U$1203,$A48,'ORDENES'!$P$4:$P$1203,K$37,'ORDENES'!$Q$4:$Q$1203,K$38)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COUNTIFS('ORDENES'!$N$4:$N$1203,"Pendiente",'ORDENES'!$AA$4:$AA$1203,"&gt;=0",'ORDENES'!$AA$4:$AA$1203,"&lt;=30")</f>
        <v/>
      </c>
      <c r="C4" s="17">
        <f>SUMIFS('ORDENES'!$M$4:$M$1203,'ORDENES'!$N$4:$N$1203,"Pendiente",'ORDENES'!$AA$4:$AA$1203,"&gt;=0",'ORDENES'!$AA$4:$AA$1203,"&lt;=30")</f>
        <v/>
      </c>
    </row>
    <row r="5">
      <c r="A5" s="3" t="inlineStr">
        <is>
          <t>31-60</t>
        </is>
      </c>
      <c r="B5" s="3">
        <f>COUNTIFS('ORDENES'!$N$4:$N$1203,"Pendiente",'ORDENES'!$AA$4:$AA$1203,"&gt;=31",'ORDENES'!$AA$4:$AA$1203,"&lt;=60")</f>
        <v/>
      </c>
      <c r="C5" s="17">
        <f>SUMIFS('ORDENES'!$M$4:$M$1203,'ORDENES'!$N$4:$N$1203,"Pendiente",'ORDENES'!$AA$4:$AA$1203,"&gt;=31",'ORDENES'!$AA$4:$AA$1203,"&lt;=60")</f>
        <v/>
      </c>
    </row>
    <row r="6">
      <c r="A6" s="3" t="inlineStr">
        <is>
          <t>61-90</t>
        </is>
      </c>
      <c r="B6" s="3">
        <f>COUNTIFS('ORDENES'!$N$4:$N$1203,"Pendiente",'ORDENES'!$AA$4:$AA$1203,"&gt;=61",'ORDENES'!$AA$4:$AA$1203,"&lt;=90")</f>
        <v/>
      </c>
      <c r="C6" s="17">
        <f>SUMIFS('ORDENES'!$M$4:$M$1203,'ORDENES'!$N$4:$N$1203,"Pendiente",'ORDENES'!$AA$4:$AA$1203,"&gt;=61",'ORDENES'!$AA$4:$AA$1203,"&lt;=90")</f>
        <v/>
      </c>
    </row>
    <row r="7">
      <c r="A7" s="3" t="inlineStr">
        <is>
          <t>&gt;90</t>
        </is>
      </c>
      <c r="B7" s="3">
        <f>COUNTIFS('ORDENES'!$N$4:$N$1203,"Pendiente",'ORDENES'!$AA$4:$AA$1203,"&gt;90")</f>
        <v/>
      </c>
      <c r="C7" s="17">
        <f>SUMIFS('ORDENES'!$M$4:$M$1203,'ORDENES'!$N$4:$N$1203,"Pendiente",'ORDENES'!$AA$4:$AA$1203,"&gt;90")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COUNTIFS('ORDENES'!$N$4:$N$1203,"Pendiente",'ORDENES'!$AA$4:$AA$1203,"&gt;=0",'ORDENES'!$AA$4:$AA$1203,"&lt;=30",'ORDENES'!$Y$4:$Y$1203,$A12)</f>
        <v/>
      </c>
      <c r="C12" s="3">
        <f>COUNTIFS('ORDENES'!$N$4:$N$1203,"Pendiente",'ORDENES'!$AA$4:$AA$1203,"&gt;=31",'ORDENES'!$AA$4:$AA$1203,"&lt;=60",'ORDENES'!$Y$4:$Y$1203,$A12)</f>
        <v/>
      </c>
      <c r="D12" s="3">
        <f>COUNTIFS('ORDENES'!$N$4:$N$1203,"Pendiente",'ORDENES'!$AA$4:$AA$1203,"&gt;=61",'ORDENES'!$AA$4:$AA$1203,"&lt;=90",'ORDENES'!$Y$4:$Y$1203,$A12)</f>
        <v/>
      </c>
      <c r="E12" s="3">
        <f>COUNTIFS('ORDENES'!$N$4:$N$1203,"Pendiente",'ORDENES'!$AA$4:$AA$1203,"&gt;90",'ORDENES'!$Y$4:$Y$1203,$A12)</f>
        <v/>
      </c>
    </row>
    <row r="13">
      <c r="A13" s="3" t="inlineStr">
        <is>
          <t>ELE</t>
        </is>
      </c>
      <c r="B13" s="3">
        <f>COUNTIFS('ORDENES'!$N$4:$N$1203,"Pendiente",'ORDENES'!$AA$4:$AA$1203,"&gt;=0",'ORDENES'!$AA$4:$AA$1203,"&lt;=30",'ORDENES'!$Y$4:$Y$1203,$A13)</f>
        <v/>
      </c>
      <c r="C13" s="3">
        <f>COUNTIFS('ORDENES'!$N$4:$N$1203,"Pendiente",'ORDENES'!$AA$4:$AA$1203,"&gt;=31",'ORDENES'!$AA$4:$AA$1203,"&lt;=60",'ORDENES'!$Y$4:$Y$1203,$A13)</f>
        <v/>
      </c>
      <c r="D13" s="3">
        <f>COUNTIFS('ORDENES'!$N$4:$N$1203,"Pendiente",'ORDENES'!$AA$4:$AA$1203,"&gt;=61",'ORDENES'!$AA$4:$AA$1203,"&lt;=90",'ORDENES'!$Y$4:$Y$1203,$A13)</f>
        <v/>
      </c>
      <c r="E13" s="3">
        <f>COUNTIFS('ORDENES'!$N$4:$N$1203,"Pendiente",'ORDENES'!$AA$4:$AA$1203,"&gt;90",'ORDENES'!$Y$4:$Y$1203,$A13)</f>
        <v/>
      </c>
    </row>
    <row r="14">
      <c r="A14" s="3" t="inlineStr">
        <is>
          <t>AUT</t>
        </is>
      </c>
      <c r="B14" s="3">
        <f>COUNTIFS('ORDENES'!$N$4:$N$1203,"Pendiente",'ORDENES'!$AA$4:$AA$1203,"&gt;=0",'ORDENES'!$AA$4:$AA$1203,"&lt;=30",'ORDENES'!$Y$4:$Y$1203,$A14)</f>
        <v/>
      </c>
      <c r="C14" s="3">
        <f>COUNTIFS('ORDENES'!$N$4:$N$1203,"Pendiente",'ORDENES'!$AA$4:$AA$1203,"&gt;=31",'ORDENES'!$AA$4:$AA$1203,"&lt;=60",'ORDENES'!$Y$4:$Y$1203,$A14)</f>
        <v/>
      </c>
      <c r="D14" s="3">
        <f>COUNTIFS('ORDENES'!$N$4:$N$1203,"Pendiente",'ORDENES'!$AA$4:$AA$1203,"&gt;=61",'ORDENES'!$AA$4:$AA$1203,"&lt;=90",'ORDENES'!$Y$4:$Y$1203,$A14)</f>
        <v/>
      </c>
      <c r="E14" s="3">
        <f>COUNTIFS('ORDENES'!$N$4:$N$1203,"Pendiente",'ORDENES'!$AA$4:$AA$1203,"&gt;90",'ORDENES'!$Y$4:$Y$1203,$A14)</f>
        <v/>
      </c>
    </row>
    <row r="15">
      <c r="A15" s="3" t="inlineStr">
        <is>
          <t>OP</t>
        </is>
      </c>
      <c r="B15" s="3">
        <f>COUNTIFS('ORDENES'!$N$4:$N$1203,"Pendiente",'ORDENES'!$AA$4:$AA$1203,"&gt;=0",'ORDENES'!$AA$4:$AA$1203,"&lt;=30",'ORDENES'!$Y$4:$Y$1203,$A15)</f>
        <v/>
      </c>
      <c r="C15" s="3">
        <f>COUNTIFS('ORDENES'!$N$4:$N$1203,"Pendiente",'ORDENES'!$AA$4:$AA$1203,"&gt;=31",'ORDENES'!$AA$4:$AA$1203,"&lt;=60",'ORDENES'!$Y$4:$Y$1203,$A15)</f>
        <v/>
      </c>
      <c r="D15" s="3">
        <f>COUNTIFS('ORDENES'!$N$4:$N$1203,"Pendiente",'ORDENES'!$AA$4:$AA$1203,"&gt;=61",'ORDENES'!$AA$4:$AA$1203,"&lt;=90",'ORDENES'!$Y$4:$Y$1203,$A15)</f>
        <v/>
      </c>
      <c r="E15" s="3">
        <f>COUNTIFS('ORDENES'!$N$4:$N$1203,"Pendiente",'ORDENES'!$AA$4:$AA$1203,"&gt;90",'ORDENES'!$Y$4:$Y$1203,$A15)</f>
        <v/>
      </c>
    </row>
    <row r="16">
      <c r="A16" s="3" t="inlineStr">
        <is>
          <t>TERCERO</t>
        </is>
      </c>
      <c r="B16" s="3">
        <f>COUNTIFS('ORDENES'!$N$4:$N$1203,"Pendiente",'ORDENES'!$AA$4:$AA$1203,"&gt;=0",'ORDENES'!$AA$4:$AA$1203,"&lt;=30",'ORDENES'!$Y$4:$Y$1203,$A16)</f>
        <v/>
      </c>
      <c r="C16" s="3">
        <f>COUNTIFS('ORDENES'!$N$4:$N$1203,"Pendiente",'ORDENES'!$AA$4:$AA$1203,"&gt;=31",'ORDENES'!$AA$4:$AA$1203,"&lt;=60",'ORDENES'!$Y$4:$Y$1203,$A16)</f>
        <v/>
      </c>
      <c r="D16" s="3">
        <f>COUNTIFS('ORDENES'!$N$4:$N$1203,"Pendiente",'ORDENES'!$AA$4:$AA$1203,"&gt;=61",'ORDENES'!$AA$4:$AA$1203,"&lt;=90",'ORDENES'!$Y$4:$Y$1203,$A16)</f>
        <v/>
      </c>
      <c r="E16" s="3">
        <f>COUNTIFS('ORDENES'!$N$4:$N$1203,"Pendiente",'ORDENES'!$AA$4:$AA$1203,"&gt;90",'ORDENES'!$Y$4:$Y$1203,$A16)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COUNTIFS('ORDENES'!$N$4:$N$1203,"Pendiente",'ORDENES'!$AA$4:$AA$1203,"&gt;=0",'ORDENES'!$AA$4:$AA$1203,"&lt;=30",'ORDENES'!$V$4:$V$1203,$A20)</f>
        <v/>
      </c>
      <c r="C20" s="3">
        <f>COUNTIFS('ORDENES'!$N$4:$N$1203,"Pendiente",'ORDENES'!$AA$4:$AA$1203,"&gt;=31",'ORDENES'!$AA$4:$AA$1203,"&lt;=60",'ORDENES'!$V$4:$V$1203,$A20)</f>
        <v/>
      </c>
      <c r="D20" s="3">
        <f>COUNTIFS('ORDENES'!$N$4:$N$1203,"Pendiente",'ORDENES'!$AA$4:$AA$1203,"&gt;=61",'ORDENES'!$AA$4:$AA$1203,"&lt;=90",'ORDENES'!$V$4:$V$1203,$A20)</f>
        <v/>
      </c>
      <c r="E20" s="3">
        <f>COUNTIFS('ORDENES'!$N$4:$N$1203,"Pendiente",'ORDENES'!$AA$4:$AA$1203,"&gt;90",'ORDENES'!$V$4:$V$1203,$A20)</f>
        <v/>
      </c>
    </row>
    <row r="21">
      <c r="A21" s="3" t="inlineStr">
        <is>
          <t>EMPAQUE</t>
        </is>
      </c>
      <c r="B21" s="3">
        <f>COUNTIFS('ORDENES'!$N$4:$N$1203,"Pendiente",'ORDENES'!$AA$4:$AA$1203,"&gt;=0",'ORDENES'!$AA$4:$AA$1203,"&lt;=30",'ORDENES'!$V$4:$V$1203,$A21)</f>
        <v/>
      </c>
      <c r="C21" s="3">
        <f>COUNTIFS('ORDENES'!$N$4:$N$1203,"Pendiente",'ORDENES'!$AA$4:$AA$1203,"&gt;=31",'ORDENES'!$AA$4:$AA$1203,"&lt;=60",'ORDENES'!$V$4:$V$1203,$A21)</f>
        <v/>
      </c>
      <c r="D21" s="3">
        <f>COUNTIFS('ORDENES'!$N$4:$N$1203,"Pendiente",'ORDENES'!$AA$4:$AA$1203,"&gt;=61",'ORDENES'!$AA$4:$AA$1203,"&lt;=90",'ORDENES'!$V$4:$V$1203,$A21)</f>
        <v/>
      </c>
      <c r="E21" s="3">
        <f>COUNTIFS('ORDENES'!$N$4:$N$1203,"Pendiente",'ORDENES'!$AA$4:$AA$1203,"&gt;90",'ORDENES'!$V$4:$V$1203,$A21)</f>
        <v/>
      </c>
    </row>
    <row r="22">
      <c r="A22" s="3" t="inlineStr">
        <is>
          <t>SERVICIOS</t>
        </is>
      </c>
      <c r="B22" s="3">
        <f>COUNTIFS('ORDENES'!$N$4:$N$1203,"Pendiente",'ORDENES'!$AA$4:$AA$1203,"&gt;=0",'ORDENES'!$AA$4:$AA$1203,"&lt;=30",'ORDENES'!$V$4:$V$1203,$A22)</f>
        <v/>
      </c>
      <c r="C22" s="3">
        <f>COUNTIFS('ORDENES'!$N$4:$N$1203,"Pendiente",'ORDENES'!$AA$4:$AA$1203,"&gt;=31",'ORDENES'!$AA$4:$AA$1203,"&lt;=60",'ORDENES'!$V$4:$V$1203,$A22)</f>
        <v/>
      </c>
      <c r="D22" s="3">
        <f>COUNTIFS('ORDENES'!$N$4:$N$1203,"Pendiente",'ORDENES'!$AA$4:$AA$1203,"&gt;=61",'ORDENES'!$AA$4:$AA$1203,"&lt;=90",'ORDENES'!$V$4:$V$1203,$A22)</f>
        <v/>
      </c>
      <c r="E22" s="3">
        <f>COUNTIFS('ORDENES'!$N$4:$N$1203,"Pendiente",'ORDENES'!$AA$4:$AA$1203,"&gt;90",'ORDENES'!$V$4:$V$1203,$A22)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COUNTIFS('ORDENES'!$N$4:$N$1203,"Pendiente",'ORDENES'!$AA$4:$AA$1203,"&gt;=0",'ORDENES'!$AA$4:$AA$1203,"&lt;=30",'ORDENES'!$W$4:$W$1203,$A26)</f>
        <v/>
      </c>
      <c r="C26" s="3">
        <f>COUNTIFS('ORDENES'!$N$4:$N$1203,"Pendiente",'ORDENES'!$AA$4:$AA$1203,"&gt;=31",'ORDENES'!$AA$4:$AA$1203,"&lt;=60",'ORDENES'!$W$4:$W$1203,$A26)</f>
        <v/>
      </c>
      <c r="D26" s="3">
        <f>COUNTIFS('ORDENES'!$N$4:$N$1203,"Pendiente",'ORDENES'!$AA$4:$AA$1203,"&gt;=61",'ORDENES'!$AA$4:$AA$1203,"&lt;=90",'ORDENES'!$W$4:$W$1203,$A26)</f>
        <v/>
      </c>
      <c r="E26" s="3">
        <f>COUNTIFS('ORDENES'!$N$4:$N$1203,"Pendiente",'ORDENES'!$AA$4:$AA$1203,"&gt;90",'ORDENES'!$W$4:$W$1203,$A26)</f>
        <v/>
      </c>
    </row>
    <row r="27">
      <c r="A27" s="3" t="inlineStr">
        <is>
          <t>EMPAQUE</t>
        </is>
      </c>
      <c r="B27" s="3">
        <f>COUNTIFS('ORDENES'!$N$4:$N$1203,"Pendiente",'ORDENES'!$AA$4:$AA$1203,"&gt;=0",'ORDENES'!$AA$4:$AA$1203,"&lt;=30",'ORDENES'!$W$4:$W$1203,$A27)</f>
        <v/>
      </c>
      <c r="C27" s="3">
        <f>COUNTIFS('ORDENES'!$N$4:$N$1203,"Pendiente",'ORDENES'!$AA$4:$AA$1203,"&gt;=31",'ORDENES'!$AA$4:$AA$1203,"&lt;=60",'ORDENES'!$W$4:$W$1203,$A27)</f>
        <v/>
      </c>
      <c r="D27" s="3">
        <f>COUNTIFS('ORDENES'!$N$4:$N$1203,"Pendiente",'ORDENES'!$AA$4:$AA$1203,"&gt;=61",'ORDENES'!$AA$4:$AA$1203,"&lt;=90",'ORDENES'!$W$4:$W$1203,$A27)</f>
        <v/>
      </c>
      <c r="E27" s="3">
        <f>COUNTIFS('ORDENES'!$N$4:$N$1203,"Pendiente",'ORDENES'!$AA$4:$AA$1203,"&gt;90",'ORDENES'!$W$4:$W$1203,$A27)</f>
        <v/>
      </c>
    </row>
    <row r="28">
      <c r="A28" s="3" t="inlineStr">
        <is>
          <t>Vapor</t>
        </is>
      </c>
      <c r="B28" s="3">
        <f>COUNTIFS('ORDENES'!$N$4:$N$1203,"Pendiente",'ORDENES'!$AA$4:$AA$1203,"&gt;=0",'ORDENES'!$AA$4:$AA$1203,"&lt;=30",'ORDENES'!$W$4:$W$1203,$A28)</f>
        <v/>
      </c>
      <c r="C28" s="3">
        <f>COUNTIFS('ORDENES'!$N$4:$N$1203,"Pendiente",'ORDENES'!$AA$4:$AA$1203,"&gt;=31",'ORDENES'!$AA$4:$AA$1203,"&lt;=60",'ORDENES'!$W$4:$W$1203,$A28)</f>
        <v/>
      </c>
      <c r="D28" s="3">
        <f>COUNTIFS('ORDENES'!$N$4:$N$1203,"Pendiente",'ORDENES'!$AA$4:$AA$1203,"&gt;=61",'ORDENES'!$AA$4:$AA$1203,"&lt;=90",'ORDENES'!$W$4:$W$1203,$A28)</f>
        <v/>
      </c>
      <c r="E28" s="3">
        <f>COUNTIFS('ORDENES'!$N$4:$N$1203,"Pendiente",'ORDENES'!$AA$4:$AA$1203,"&gt;90",'ORDENES'!$W$4:$W$1203,$A28)</f>
        <v/>
      </c>
    </row>
    <row r="29">
      <c r="A29" s="3" t="inlineStr">
        <is>
          <t>Refrigeración</t>
        </is>
      </c>
      <c r="B29" s="3">
        <f>COUNTIFS('ORDENES'!$N$4:$N$1203,"Pendiente",'ORDENES'!$AA$4:$AA$1203,"&gt;=0",'ORDENES'!$AA$4:$AA$1203,"&lt;=30",'ORDENES'!$W$4:$W$1203,$A29)</f>
        <v/>
      </c>
      <c r="C29" s="3">
        <f>COUNTIFS('ORDENES'!$N$4:$N$1203,"Pendiente",'ORDENES'!$AA$4:$AA$1203,"&gt;=31",'ORDENES'!$AA$4:$AA$1203,"&lt;=60",'ORDENES'!$W$4:$W$1203,$A29)</f>
        <v/>
      </c>
      <c r="D29" s="3">
        <f>COUNTIFS('ORDENES'!$N$4:$N$1203,"Pendiente",'ORDENES'!$AA$4:$AA$1203,"&gt;=61",'ORDENES'!$AA$4:$AA$1203,"&lt;=90",'ORDENES'!$W$4:$W$1203,$A29)</f>
        <v/>
      </c>
      <c r="E29" s="3">
        <f>COUNTIFS('ORDENES'!$N$4:$N$1203,"Pendiente",'ORDENES'!$AA$4:$AA$1203,"&gt;90",'ORDENES'!$W$4:$W$1203,$A29)</f>
        <v/>
      </c>
    </row>
    <row r="30">
      <c r="A30" s="3" t="inlineStr">
        <is>
          <t>CO2</t>
        </is>
      </c>
      <c r="B30" s="3">
        <f>COUNTIFS('ORDENES'!$N$4:$N$1203,"Pendiente",'ORDENES'!$AA$4:$AA$1203,"&gt;=0",'ORDENES'!$AA$4:$AA$1203,"&lt;=30",'ORDENES'!$W$4:$W$1203,$A30)</f>
        <v/>
      </c>
      <c r="C30" s="3">
        <f>COUNTIFS('ORDENES'!$N$4:$N$1203,"Pendiente",'ORDENES'!$AA$4:$AA$1203,"&gt;=31",'ORDENES'!$AA$4:$AA$1203,"&lt;=60",'ORDENES'!$W$4:$W$1203,$A30)</f>
        <v/>
      </c>
      <c r="D30" s="3">
        <f>COUNTIFS('ORDENES'!$N$4:$N$1203,"Pendiente",'ORDENES'!$AA$4:$AA$1203,"&gt;=61",'ORDENES'!$AA$4:$AA$1203,"&lt;=90",'ORDENES'!$W$4:$W$1203,$A30)</f>
        <v/>
      </c>
      <c r="E30" s="3">
        <f>COUNTIFS('ORDENES'!$N$4:$N$1203,"Pendiente",'ORDENES'!$AA$4:$AA$1203,"&gt;90",'ORDENES'!$W$4:$W$1203,$A30)</f>
        <v/>
      </c>
    </row>
    <row r="31">
      <c r="A31" s="3" t="inlineStr">
        <is>
          <t>Aire comprimido</t>
        </is>
      </c>
      <c r="B31" s="3">
        <f>COUNTIFS('ORDENES'!$N$4:$N$1203,"Pendiente",'ORDENES'!$AA$4:$AA$1203,"&gt;=0",'ORDENES'!$AA$4:$AA$1203,"&lt;=30",'ORDENES'!$W$4:$W$1203,$A31)</f>
        <v/>
      </c>
      <c r="C31" s="3">
        <f>COUNTIFS('ORDENES'!$N$4:$N$1203,"Pendiente",'ORDENES'!$AA$4:$AA$1203,"&gt;=31",'ORDENES'!$AA$4:$AA$1203,"&lt;=60",'ORDENES'!$W$4:$W$1203,$A31)</f>
        <v/>
      </c>
      <c r="D31" s="3">
        <f>COUNTIFS('ORDENES'!$N$4:$N$1203,"Pendiente",'ORDENES'!$AA$4:$AA$1203,"&gt;=61",'ORDENES'!$AA$4:$AA$1203,"&lt;=90",'ORDENES'!$W$4:$W$1203,$A31)</f>
        <v/>
      </c>
      <c r="E31" s="3">
        <f>COUNTIFS('ORDENES'!$N$4:$N$1203,"Pendiente",'ORDENES'!$AA$4:$AA$1203,"&gt;90",'ORDENES'!$W$4:$W$1203,$A31)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SUMIFS('ORDENES'!$AK$4:$AK$1203,'ORDENES'!$E$4:$E$1203,$A5,'ORDENES'!$P$4:$P$1203,B$3,'ORDENES'!$Q$4:$Q$1203,B$4)</f>
        <v/>
      </c>
      <c r="C5" s="10">
        <f>SUMIFS('ORDENES'!$AK$4:$AK$1203,'ORDENES'!$E$4:$E$1203,$A5,'ORDENES'!$P$4:$P$1203,C$3,'ORDENES'!$Q$4:$Q$1203,C$4)</f>
        <v/>
      </c>
      <c r="D5" s="10">
        <f>SUMIFS('ORDENES'!$AK$4:$AK$1203,'ORDENES'!$E$4:$E$1203,$A5,'ORDENES'!$P$4:$P$1203,D$3,'ORDENES'!$Q$4:$Q$1203,D$4)</f>
        <v/>
      </c>
      <c r="E5" s="10">
        <f>SUMIFS('ORDENES'!$AK$4:$AK$1203,'ORDENES'!$E$4:$E$1203,$A5,'ORDENES'!$P$4:$P$1203,E$3,'ORDENES'!$Q$4:$Q$1203,E$4)</f>
        <v/>
      </c>
      <c r="F5" s="10">
        <f>SUMIFS('ORDENES'!$AK$4:$AK$1203,'ORDENES'!$E$4:$E$1203,$A5,'ORDENES'!$P$4:$P$1203,F$3,'ORDENES'!$Q$4:$Q$1203,F$4)</f>
        <v/>
      </c>
      <c r="G5" s="10">
        <f>SUMIFS('ORDENES'!$AK$4:$AK$1203,'ORDENES'!$E$4:$E$1203,$A5,'ORDENES'!$P$4:$P$1203,G$3,'ORDENES'!$Q$4:$Q$1203,G$4)</f>
        <v/>
      </c>
      <c r="H5" s="10">
        <f>SUMIFS('ORDENES'!$AK$4:$AK$1203,'ORDENES'!$E$4:$E$1203,$A5,'ORDENES'!$P$4:$P$1203,H$3,'ORDENES'!$Q$4:$Q$1203,H$4)</f>
        <v/>
      </c>
      <c r="I5" s="10">
        <f>SUMIFS('ORDENES'!$AK$4:$AK$1203,'ORDENES'!$E$4:$E$1203,$A5,'ORDENES'!$P$4:$P$1203,I$3,'ORDENES'!$Q$4:$Q$1203,I$4)</f>
        <v/>
      </c>
      <c r="J5" s="10">
        <f>SUMIFS('ORDENES'!$AK$4:$AK$1203,'ORDENES'!$E$4:$E$1203,$A5,'ORDENES'!$P$4:$P$1203,J$3,'ORDENES'!$Q$4:$Q$1203,J$4)</f>
        <v/>
      </c>
      <c r="K5" s="10">
        <f>SUMIFS('ORDENES'!$AK$4:$AK$1203,'ORDENES'!$E$4:$E$1203,$A5,'ORDENES'!$P$4:$P$1203,K$3,'ORDENES'!$Q$4:$Q$1203,K$4)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EQ-106</t>
        </is>
      </c>
      <c r="B6" s="10">
        <f>SUMIFS('ORDENES'!$AK$4:$AK$1203,'ORDENES'!$E$4:$E$1203,$A6,'ORDENES'!$P$4:$P$1203,B$3,'ORDENES'!$Q$4:$Q$1203,B$4)</f>
        <v/>
      </c>
      <c r="C6" s="10">
        <f>SUMIFS('ORDENES'!$AK$4:$AK$1203,'ORDENES'!$E$4:$E$1203,$A6,'ORDENES'!$P$4:$P$1203,C$3,'ORDENES'!$Q$4:$Q$1203,C$4)</f>
        <v/>
      </c>
      <c r="D6" s="10">
        <f>SUMIFS('ORDENES'!$AK$4:$AK$1203,'ORDENES'!$E$4:$E$1203,$A6,'ORDENES'!$P$4:$P$1203,D$3,'ORDENES'!$Q$4:$Q$1203,D$4)</f>
        <v/>
      </c>
      <c r="E6" s="10">
        <f>SUMIFS('ORDENES'!$AK$4:$AK$1203,'ORDENES'!$E$4:$E$1203,$A6,'ORDENES'!$P$4:$P$1203,E$3,'ORDENES'!$Q$4:$Q$1203,E$4)</f>
        <v/>
      </c>
      <c r="F6" s="10">
        <f>SUMIFS('ORDENES'!$AK$4:$AK$1203,'ORDENES'!$E$4:$E$1203,$A6,'ORDENES'!$P$4:$P$1203,F$3,'ORDENES'!$Q$4:$Q$1203,F$4)</f>
        <v/>
      </c>
      <c r="G6" s="10">
        <f>SUMIFS('ORDENES'!$AK$4:$AK$1203,'ORDENES'!$E$4:$E$1203,$A6,'ORDENES'!$P$4:$P$1203,G$3,'ORDENES'!$Q$4:$Q$1203,G$4)</f>
        <v/>
      </c>
      <c r="H6" s="10">
        <f>SUMIFS('ORDENES'!$AK$4:$AK$1203,'ORDENES'!$E$4:$E$1203,$A6,'ORDENES'!$P$4:$P$1203,H$3,'ORDENES'!$Q$4:$Q$1203,H$4)</f>
        <v/>
      </c>
      <c r="I6" s="10">
        <f>SUMIFS('ORDENES'!$AK$4:$AK$1203,'ORDENES'!$E$4:$E$1203,$A6,'ORDENES'!$P$4:$P$1203,I$3,'ORDENES'!$Q$4:$Q$1203,I$4)</f>
        <v/>
      </c>
      <c r="J6" s="10">
        <f>SUMIFS('ORDENES'!$AK$4:$AK$1203,'ORDENES'!$E$4:$E$1203,$A6,'ORDENES'!$P$4:$P$1203,J$3,'ORDENES'!$Q$4:$Q$1203,J$4)</f>
        <v/>
      </c>
      <c r="K6" s="10">
        <f>SUMIFS('ORDENES'!$AK$4:$AK$1203,'ORDENES'!$E$4:$E$1203,$A6,'ORDENES'!$P$4:$P$1203,K$3,'ORDENES'!$Q$4:$Q$1203,K$4)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EQ-103</t>
        </is>
      </c>
      <c r="B7" s="10">
        <f>SUMIFS('ORDENES'!$AK$4:$AK$1203,'ORDENES'!$E$4:$E$1203,$A7,'ORDENES'!$P$4:$P$1203,B$3,'ORDENES'!$Q$4:$Q$1203,B$4)</f>
        <v/>
      </c>
      <c r="C7" s="10">
        <f>SUMIFS('ORDENES'!$AK$4:$AK$1203,'ORDENES'!$E$4:$E$1203,$A7,'ORDENES'!$P$4:$P$1203,C$3,'ORDENES'!$Q$4:$Q$1203,C$4)</f>
        <v/>
      </c>
      <c r="D7" s="10">
        <f>SUMIFS('ORDENES'!$AK$4:$AK$1203,'ORDENES'!$E$4:$E$1203,$A7,'ORDENES'!$P$4:$P$1203,D$3,'ORDENES'!$Q$4:$Q$1203,D$4)</f>
        <v/>
      </c>
      <c r="E7" s="10">
        <f>SUMIFS('ORDENES'!$AK$4:$AK$1203,'ORDENES'!$E$4:$E$1203,$A7,'ORDENES'!$P$4:$P$1203,E$3,'ORDENES'!$Q$4:$Q$1203,E$4)</f>
        <v/>
      </c>
      <c r="F7" s="10">
        <f>SUMIFS('ORDENES'!$AK$4:$AK$1203,'ORDENES'!$E$4:$E$1203,$A7,'ORDENES'!$P$4:$P$1203,F$3,'ORDENES'!$Q$4:$Q$1203,F$4)</f>
        <v/>
      </c>
      <c r="G7" s="10">
        <f>SUMIFS('ORDENES'!$AK$4:$AK$1203,'ORDENES'!$E$4:$E$1203,$A7,'ORDENES'!$P$4:$P$1203,G$3,'ORDENES'!$Q$4:$Q$1203,G$4)</f>
        <v/>
      </c>
      <c r="H7" s="10">
        <f>SUMIFS('ORDENES'!$AK$4:$AK$1203,'ORDENES'!$E$4:$E$1203,$A7,'ORDENES'!$P$4:$P$1203,H$3,'ORDENES'!$Q$4:$Q$1203,H$4)</f>
        <v/>
      </c>
      <c r="I7" s="10">
        <f>SUMIFS('ORDENES'!$AK$4:$AK$1203,'ORDENES'!$E$4:$E$1203,$A7,'ORDENES'!$P$4:$P$1203,I$3,'ORDENES'!$Q$4:$Q$1203,I$4)</f>
        <v/>
      </c>
      <c r="J7" s="10">
        <f>SUMIFS('ORDENES'!$AK$4:$AK$1203,'ORDENES'!$E$4:$E$1203,$A7,'ORDENES'!$P$4:$P$1203,J$3,'ORDENES'!$Q$4:$Q$1203,J$4)</f>
        <v/>
      </c>
      <c r="K7" s="10">
        <f>SUMIFS('ORDENES'!$AK$4:$AK$1203,'ORDENES'!$E$4:$E$1203,$A7,'ORDENES'!$P$4:$P$1203,K$3,'ORDENES'!$Q$4:$Q$1203,K$4)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EQ-102</t>
        </is>
      </c>
      <c r="B8" s="10">
        <f>SUMIFS('ORDENES'!$AK$4:$AK$1203,'ORDENES'!$E$4:$E$1203,$A8,'ORDENES'!$P$4:$P$1203,B$3,'ORDENES'!$Q$4:$Q$1203,B$4)</f>
        <v/>
      </c>
      <c r="C8" s="10">
        <f>SUMIFS('ORDENES'!$AK$4:$AK$1203,'ORDENES'!$E$4:$E$1203,$A8,'ORDENES'!$P$4:$P$1203,C$3,'ORDENES'!$Q$4:$Q$1203,C$4)</f>
        <v/>
      </c>
      <c r="D8" s="10">
        <f>SUMIFS('ORDENES'!$AK$4:$AK$1203,'ORDENES'!$E$4:$E$1203,$A8,'ORDENES'!$P$4:$P$1203,D$3,'ORDENES'!$Q$4:$Q$1203,D$4)</f>
        <v/>
      </c>
      <c r="E8" s="10">
        <f>SUMIFS('ORDENES'!$AK$4:$AK$1203,'ORDENES'!$E$4:$E$1203,$A8,'ORDENES'!$P$4:$P$1203,E$3,'ORDENES'!$Q$4:$Q$1203,E$4)</f>
        <v/>
      </c>
      <c r="F8" s="10">
        <f>SUMIFS('ORDENES'!$AK$4:$AK$1203,'ORDENES'!$E$4:$E$1203,$A8,'ORDENES'!$P$4:$P$1203,F$3,'ORDENES'!$Q$4:$Q$1203,F$4)</f>
        <v/>
      </c>
      <c r="G8" s="10">
        <f>SUMIFS('ORDENES'!$AK$4:$AK$1203,'ORDENES'!$E$4:$E$1203,$A8,'ORDENES'!$P$4:$P$1203,G$3,'ORDENES'!$Q$4:$Q$1203,G$4)</f>
        <v/>
      </c>
      <c r="H8" s="10">
        <f>SUMIFS('ORDENES'!$AK$4:$AK$1203,'ORDENES'!$E$4:$E$1203,$A8,'ORDENES'!$P$4:$P$1203,H$3,'ORDENES'!$Q$4:$Q$1203,H$4)</f>
        <v/>
      </c>
      <c r="I8" s="10">
        <f>SUMIFS('ORDENES'!$AK$4:$AK$1203,'ORDENES'!$E$4:$E$1203,$A8,'ORDENES'!$P$4:$P$1203,I$3,'ORDENES'!$Q$4:$Q$1203,I$4)</f>
        <v/>
      </c>
      <c r="J8" s="10">
        <f>SUMIFS('ORDENES'!$AK$4:$AK$1203,'ORDENES'!$E$4:$E$1203,$A8,'ORDENES'!$P$4:$P$1203,J$3,'ORDENES'!$Q$4:$Q$1203,J$4)</f>
        <v/>
      </c>
      <c r="K8" s="10">
        <f>SUMIFS('ORDENES'!$AK$4:$AK$1203,'ORDENES'!$E$4:$E$1203,$A8,'ORDENES'!$P$4:$P$1203,K$3,'ORDENES'!$Q$4:$Q$1203,K$4)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EQ-105</t>
        </is>
      </c>
      <c r="B9" s="10">
        <f>SUMIFS('ORDENES'!$AK$4:$AK$1203,'ORDENES'!$E$4:$E$1203,$A9,'ORDENES'!$P$4:$P$1203,B$3,'ORDENES'!$Q$4:$Q$1203,B$4)</f>
        <v/>
      </c>
      <c r="C9" s="10">
        <f>SUMIFS('ORDENES'!$AK$4:$AK$1203,'ORDENES'!$E$4:$E$1203,$A9,'ORDENES'!$P$4:$P$1203,C$3,'ORDENES'!$Q$4:$Q$1203,C$4)</f>
        <v/>
      </c>
      <c r="D9" s="10">
        <f>SUMIFS('ORDENES'!$AK$4:$AK$1203,'ORDENES'!$E$4:$E$1203,$A9,'ORDENES'!$P$4:$P$1203,D$3,'ORDENES'!$Q$4:$Q$1203,D$4)</f>
        <v/>
      </c>
      <c r="E9" s="10">
        <f>SUMIFS('ORDENES'!$AK$4:$AK$1203,'ORDENES'!$E$4:$E$1203,$A9,'ORDENES'!$P$4:$P$1203,E$3,'ORDENES'!$Q$4:$Q$1203,E$4)</f>
        <v/>
      </c>
      <c r="F9" s="10">
        <f>SUMIFS('ORDENES'!$AK$4:$AK$1203,'ORDENES'!$E$4:$E$1203,$A9,'ORDENES'!$P$4:$P$1203,F$3,'ORDENES'!$Q$4:$Q$1203,F$4)</f>
        <v/>
      </c>
      <c r="G9" s="10">
        <f>SUMIFS('ORDENES'!$AK$4:$AK$1203,'ORDENES'!$E$4:$E$1203,$A9,'ORDENES'!$P$4:$P$1203,G$3,'ORDENES'!$Q$4:$Q$1203,G$4)</f>
        <v/>
      </c>
      <c r="H9" s="10">
        <f>SUMIFS('ORDENES'!$AK$4:$AK$1203,'ORDENES'!$E$4:$E$1203,$A9,'ORDENES'!$P$4:$P$1203,H$3,'ORDENES'!$Q$4:$Q$1203,H$4)</f>
        <v/>
      </c>
      <c r="I9" s="10">
        <f>SUMIFS('ORDENES'!$AK$4:$AK$1203,'ORDENES'!$E$4:$E$1203,$A9,'ORDENES'!$P$4:$P$1203,I$3,'ORDENES'!$Q$4:$Q$1203,I$4)</f>
        <v/>
      </c>
      <c r="J9" s="10">
        <f>SUMIFS('ORDENES'!$AK$4:$AK$1203,'ORDENES'!$E$4:$E$1203,$A9,'ORDENES'!$P$4:$P$1203,J$3,'ORDENES'!$Q$4:$Q$1203,J$4)</f>
        <v/>
      </c>
      <c r="K9" s="10">
        <f>SUMIFS('ORDENES'!$AK$4:$AK$1203,'ORDENES'!$E$4:$E$1203,$A9,'ORDENES'!$P$4:$P$1203,K$3,'ORDENES'!$Q$4:$Q$1203,K$4)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EQ-108</t>
        </is>
      </c>
      <c r="B10" s="10">
        <f>SUMIFS('ORDENES'!$AK$4:$AK$1203,'ORDENES'!$E$4:$E$1203,$A10,'ORDENES'!$P$4:$P$1203,B$3,'ORDENES'!$Q$4:$Q$1203,B$4)</f>
        <v/>
      </c>
      <c r="C10" s="10">
        <f>SUMIFS('ORDENES'!$AK$4:$AK$1203,'ORDENES'!$E$4:$E$1203,$A10,'ORDENES'!$P$4:$P$1203,C$3,'ORDENES'!$Q$4:$Q$1203,C$4)</f>
        <v/>
      </c>
      <c r="D10" s="10">
        <f>SUMIFS('ORDENES'!$AK$4:$AK$1203,'ORDENES'!$E$4:$E$1203,$A10,'ORDENES'!$P$4:$P$1203,D$3,'ORDENES'!$Q$4:$Q$1203,D$4)</f>
        <v/>
      </c>
      <c r="E10" s="10">
        <f>SUMIFS('ORDENES'!$AK$4:$AK$1203,'ORDENES'!$E$4:$E$1203,$A10,'ORDENES'!$P$4:$P$1203,E$3,'ORDENES'!$Q$4:$Q$1203,E$4)</f>
        <v/>
      </c>
      <c r="F10" s="10">
        <f>SUMIFS('ORDENES'!$AK$4:$AK$1203,'ORDENES'!$E$4:$E$1203,$A10,'ORDENES'!$P$4:$P$1203,F$3,'ORDENES'!$Q$4:$Q$1203,F$4)</f>
        <v/>
      </c>
      <c r="G10" s="10">
        <f>SUMIFS('ORDENES'!$AK$4:$AK$1203,'ORDENES'!$E$4:$E$1203,$A10,'ORDENES'!$P$4:$P$1203,G$3,'ORDENES'!$Q$4:$Q$1203,G$4)</f>
        <v/>
      </c>
      <c r="H10" s="10">
        <f>SUMIFS('ORDENES'!$AK$4:$AK$1203,'ORDENES'!$E$4:$E$1203,$A10,'ORDENES'!$P$4:$P$1203,H$3,'ORDENES'!$Q$4:$Q$1203,H$4)</f>
        <v/>
      </c>
      <c r="I10" s="10">
        <f>SUMIFS('ORDENES'!$AK$4:$AK$1203,'ORDENES'!$E$4:$E$1203,$A10,'ORDENES'!$P$4:$P$1203,I$3,'ORDENES'!$Q$4:$Q$1203,I$4)</f>
        <v/>
      </c>
      <c r="J10" s="10">
        <f>SUMIFS('ORDENES'!$AK$4:$AK$1203,'ORDENES'!$E$4:$E$1203,$A10,'ORDENES'!$P$4:$P$1203,J$3,'ORDENES'!$Q$4:$Q$1203,J$4)</f>
        <v/>
      </c>
      <c r="K10" s="10">
        <f>SUMIFS('ORDENES'!$AK$4:$AK$1203,'ORDENES'!$E$4:$E$1203,$A10,'ORDENES'!$P$4:$P$1203,K$3,'ORDENES'!$Q$4:$Q$1203,K$4)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SUMIFS('ORDENES'!$AK$4:$AK$1203,'ORDENES'!$E$4:$E$1203,$A11,'ORDENES'!$P$4:$P$1203,B$3,'ORDENES'!$Q$4:$Q$1203,B$4)</f>
        <v/>
      </c>
      <c r="C11" s="10">
        <f>SUMIFS('ORDENES'!$AK$4:$AK$1203,'ORDENES'!$E$4:$E$1203,$A11,'ORDENES'!$P$4:$P$1203,C$3,'ORDENES'!$Q$4:$Q$1203,C$4)</f>
        <v/>
      </c>
      <c r="D11" s="10">
        <f>SUMIFS('ORDENES'!$AK$4:$AK$1203,'ORDENES'!$E$4:$E$1203,$A11,'ORDENES'!$P$4:$P$1203,D$3,'ORDENES'!$Q$4:$Q$1203,D$4)</f>
        <v/>
      </c>
      <c r="E11" s="10">
        <f>SUMIFS('ORDENES'!$AK$4:$AK$1203,'ORDENES'!$E$4:$E$1203,$A11,'ORDENES'!$P$4:$P$1203,E$3,'ORDENES'!$Q$4:$Q$1203,E$4)</f>
        <v/>
      </c>
      <c r="F11" s="10">
        <f>SUMIFS('ORDENES'!$AK$4:$AK$1203,'ORDENES'!$E$4:$E$1203,$A11,'ORDENES'!$P$4:$P$1203,F$3,'ORDENES'!$Q$4:$Q$1203,F$4)</f>
        <v/>
      </c>
      <c r="G11" s="10">
        <f>SUMIFS('ORDENES'!$AK$4:$AK$1203,'ORDENES'!$E$4:$E$1203,$A11,'ORDENES'!$P$4:$P$1203,G$3,'ORDENES'!$Q$4:$Q$1203,G$4)</f>
        <v/>
      </c>
      <c r="H11" s="10">
        <f>SUMIFS('ORDENES'!$AK$4:$AK$1203,'ORDENES'!$E$4:$E$1203,$A11,'ORDENES'!$P$4:$P$1203,H$3,'ORDENES'!$Q$4:$Q$1203,H$4)</f>
        <v/>
      </c>
      <c r="I11" s="10">
        <f>SUMIFS('ORDENES'!$AK$4:$AK$1203,'ORDENES'!$E$4:$E$1203,$A11,'ORDENES'!$P$4:$P$1203,I$3,'ORDENES'!$Q$4:$Q$1203,I$4)</f>
        <v/>
      </c>
      <c r="J11" s="10">
        <f>SUMIFS('ORDENES'!$AK$4:$AK$1203,'ORDENES'!$E$4:$E$1203,$A11,'ORDENES'!$P$4:$P$1203,J$3,'ORDENES'!$Q$4:$Q$1203,J$4)</f>
        <v/>
      </c>
      <c r="K11" s="10">
        <f>SUMIFS('ORDENES'!$AK$4:$AK$1203,'ORDENES'!$E$4:$E$1203,$A11,'ORDENES'!$P$4:$P$1203,K$3,'ORDENES'!$Q$4:$Q$1203,K$4)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EQ-111</t>
        </is>
      </c>
      <c r="B12" s="10">
        <f>SUMIFS('ORDENES'!$AK$4:$AK$1203,'ORDENES'!$E$4:$E$1203,$A12,'ORDENES'!$P$4:$P$1203,B$3,'ORDENES'!$Q$4:$Q$1203,B$4)</f>
        <v/>
      </c>
      <c r="C12" s="10">
        <f>SUMIFS('ORDENES'!$AK$4:$AK$1203,'ORDENES'!$E$4:$E$1203,$A12,'ORDENES'!$P$4:$P$1203,C$3,'ORDENES'!$Q$4:$Q$1203,C$4)</f>
        <v/>
      </c>
      <c r="D12" s="10">
        <f>SUMIFS('ORDENES'!$AK$4:$AK$1203,'ORDENES'!$E$4:$E$1203,$A12,'ORDENES'!$P$4:$P$1203,D$3,'ORDENES'!$Q$4:$Q$1203,D$4)</f>
        <v/>
      </c>
      <c r="E12" s="10">
        <f>SUMIFS('ORDENES'!$AK$4:$AK$1203,'ORDENES'!$E$4:$E$1203,$A12,'ORDENES'!$P$4:$P$1203,E$3,'ORDENES'!$Q$4:$Q$1203,E$4)</f>
        <v/>
      </c>
      <c r="F12" s="10">
        <f>SUMIFS('ORDENES'!$AK$4:$AK$1203,'ORDENES'!$E$4:$E$1203,$A12,'ORDENES'!$P$4:$P$1203,F$3,'ORDENES'!$Q$4:$Q$1203,F$4)</f>
        <v/>
      </c>
      <c r="G12" s="10">
        <f>SUMIFS('ORDENES'!$AK$4:$AK$1203,'ORDENES'!$E$4:$E$1203,$A12,'ORDENES'!$P$4:$P$1203,G$3,'ORDENES'!$Q$4:$Q$1203,G$4)</f>
        <v/>
      </c>
      <c r="H12" s="10">
        <f>SUMIFS('ORDENES'!$AK$4:$AK$1203,'ORDENES'!$E$4:$E$1203,$A12,'ORDENES'!$P$4:$P$1203,H$3,'ORDENES'!$Q$4:$Q$1203,H$4)</f>
        <v/>
      </c>
      <c r="I12" s="10">
        <f>SUMIFS('ORDENES'!$AK$4:$AK$1203,'ORDENES'!$E$4:$E$1203,$A12,'ORDENES'!$P$4:$P$1203,I$3,'ORDENES'!$Q$4:$Q$1203,I$4)</f>
        <v/>
      </c>
      <c r="J12" s="10">
        <f>SUMIFS('ORDENES'!$AK$4:$AK$1203,'ORDENES'!$E$4:$E$1203,$A12,'ORDENES'!$P$4:$P$1203,J$3,'ORDENES'!$Q$4:$Q$1203,J$4)</f>
        <v/>
      </c>
      <c r="K12" s="10">
        <f>SUMIFS('ORDENES'!$AK$4:$AK$1203,'ORDENES'!$E$4:$E$1203,$A12,'ORDENES'!$P$4:$P$1203,K$3,'ORDENES'!$Q$4:$Q$1203,K$4)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EQ-101</t>
        </is>
      </c>
      <c r="B13" s="10">
        <f>SUMIFS('ORDENES'!$AK$4:$AK$1203,'ORDENES'!$E$4:$E$1203,$A13,'ORDENES'!$P$4:$P$1203,B$3,'ORDENES'!$Q$4:$Q$1203,B$4)</f>
        <v/>
      </c>
      <c r="C13" s="10">
        <f>SUMIFS('ORDENES'!$AK$4:$AK$1203,'ORDENES'!$E$4:$E$1203,$A13,'ORDENES'!$P$4:$P$1203,C$3,'ORDENES'!$Q$4:$Q$1203,C$4)</f>
        <v/>
      </c>
      <c r="D13" s="10">
        <f>SUMIFS('ORDENES'!$AK$4:$AK$1203,'ORDENES'!$E$4:$E$1203,$A13,'ORDENES'!$P$4:$P$1203,D$3,'ORDENES'!$Q$4:$Q$1203,D$4)</f>
        <v/>
      </c>
      <c r="E13" s="10">
        <f>SUMIFS('ORDENES'!$AK$4:$AK$1203,'ORDENES'!$E$4:$E$1203,$A13,'ORDENES'!$P$4:$P$1203,E$3,'ORDENES'!$Q$4:$Q$1203,E$4)</f>
        <v/>
      </c>
      <c r="F13" s="10">
        <f>SUMIFS('ORDENES'!$AK$4:$AK$1203,'ORDENES'!$E$4:$E$1203,$A13,'ORDENES'!$P$4:$P$1203,F$3,'ORDENES'!$Q$4:$Q$1203,F$4)</f>
        <v/>
      </c>
      <c r="G13" s="10">
        <f>SUMIFS('ORDENES'!$AK$4:$AK$1203,'ORDENES'!$E$4:$E$1203,$A13,'ORDENES'!$P$4:$P$1203,G$3,'ORDENES'!$Q$4:$Q$1203,G$4)</f>
        <v/>
      </c>
      <c r="H13" s="10">
        <f>SUMIFS('ORDENES'!$AK$4:$AK$1203,'ORDENES'!$E$4:$E$1203,$A13,'ORDENES'!$P$4:$P$1203,H$3,'ORDENES'!$Q$4:$Q$1203,H$4)</f>
        <v/>
      </c>
      <c r="I13" s="10">
        <f>SUMIFS('ORDENES'!$AK$4:$AK$1203,'ORDENES'!$E$4:$E$1203,$A13,'ORDENES'!$P$4:$P$1203,I$3,'ORDENES'!$Q$4:$Q$1203,I$4)</f>
        <v/>
      </c>
      <c r="J13" s="10">
        <f>SUMIFS('ORDENES'!$AK$4:$AK$1203,'ORDENES'!$E$4:$E$1203,$A13,'ORDENES'!$P$4:$P$1203,J$3,'ORDENES'!$Q$4:$Q$1203,J$4)</f>
        <v/>
      </c>
      <c r="K13" s="10">
        <f>SUMIFS('ORDENES'!$AK$4:$AK$1203,'ORDENES'!$E$4:$E$1203,$A13,'ORDENES'!$P$4:$P$1203,K$3,'ORDENES'!$Q$4:$Q$1203,K$4)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SUMIFS('ORDENES'!$AK$4:$AK$1203,'ORDENES'!$E$4:$E$1203,$A14,'ORDENES'!$P$4:$P$1203,B$3,'ORDENES'!$Q$4:$Q$1203,B$4)</f>
        <v/>
      </c>
      <c r="C14" s="10">
        <f>SUMIFS('ORDENES'!$AK$4:$AK$1203,'ORDENES'!$E$4:$E$1203,$A14,'ORDENES'!$P$4:$P$1203,C$3,'ORDENES'!$Q$4:$Q$1203,C$4)</f>
        <v/>
      </c>
      <c r="D14" s="10">
        <f>SUMIFS('ORDENES'!$AK$4:$AK$1203,'ORDENES'!$E$4:$E$1203,$A14,'ORDENES'!$P$4:$P$1203,D$3,'ORDENES'!$Q$4:$Q$1203,D$4)</f>
        <v/>
      </c>
      <c r="E14" s="10">
        <f>SUMIFS('ORDENES'!$AK$4:$AK$1203,'ORDENES'!$E$4:$E$1203,$A14,'ORDENES'!$P$4:$P$1203,E$3,'ORDENES'!$Q$4:$Q$1203,E$4)</f>
        <v/>
      </c>
      <c r="F14" s="10">
        <f>SUMIFS('ORDENES'!$AK$4:$AK$1203,'ORDENES'!$E$4:$E$1203,$A14,'ORDENES'!$P$4:$P$1203,F$3,'ORDENES'!$Q$4:$Q$1203,F$4)</f>
        <v/>
      </c>
      <c r="G14" s="10">
        <f>SUMIFS('ORDENES'!$AK$4:$AK$1203,'ORDENES'!$E$4:$E$1203,$A14,'ORDENES'!$P$4:$P$1203,G$3,'ORDENES'!$Q$4:$Q$1203,G$4)</f>
        <v/>
      </c>
      <c r="H14" s="10">
        <f>SUMIFS('ORDENES'!$AK$4:$AK$1203,'ORDENES'!$E$4:$E$1203,$A14,'ORDENES'!$P$4:$P$1203,H$3,'ORDENES'!$Q$4:$Q$1203,H$4)</f>
        <v/>
      </c>
      <c r="I14" s="10">
        <f>SUMIFS('ORDENES'!$AK$4:$AK$1203,'ORDENES'!$E$4:$E$1203,$A14,'ORDENES'!$P$4:$P$1203,I$3,'ORDENES'!$Q$4:$Q$1203,I$4)</f>
        <v/>
      </c>
      <c r="J14" s="10">
        <f>SUMIFS('ORDENES'!$AK$4:$AK$1203,'ORDENES'!$E$4:$E$1203,$A14,'ORDENES'!$P$4:$P$1203,J$3,'ORDENES'!$Q$4:$Q$1203,J$4)</f>
        <v/>
      </c>
      <c r="K14" s="10">
        <f>SUMIFS('ORDENES'!$AK$4:$AK$1203,'ORDENES'!$E$4:$E$1203,$A14,'ORDENES'!$P$4:$P$1203,K$3,'ORDENES'!$Q$4:$Q$1203,K$4)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EQ-104</t>
        </is>
      </c>
      <c r="B15" s="10">
        <f>SUMIFS('ORDENES'!$AK$4:$AK$1203,'ORDENES'!$E$4:$E$1203,$A15,'ORDENES'!$P$4:$P$1203,B$3,'ORDENES'!$Q$4:$Q$1203,B$4)</f>
        <v/>
      </c>
      <c r="C15" s="10">
        <f>SUMIFS('ORDENES'!$AK$4:$AK$1203,'ORDENES'!$E$4:$E$1203,$A15,'ORDENES'!$P$4:$P$1203,C$3,'ORDENES'!$Q$4:$Q$1203,C$4)</f>
        <v/>
      </c>
      <c r="D15" s="10">
        <f>SUMIFS('ORDENES'!$AK$4:$AK$1203,'ORDENES'!$E$4:$E$1203,$A15,'ORDENES'!$P$4:$P$1203,D$3,'ORDENES'!$Q$4:$Q$1203,D$4)</f>
        <v/>
      </c>
      <c r="E15" s="10">
        <f>SUMIFS('ORDENES'!$AK$4:$AK$1203,'ORDENES'!$E$4:$E$1203,$A15,'ORDENES'!$P$4:$P$1203,E$3,'ORDENES'!$Q$4:$Q$1203,E$4)</f>
        <v/>
      </c>
      <c r="F15" s="10">
        <f>SUMIFS('ORDENES'!$AK$4:$AK$1203,'ORDENES'!$E$4:$E$1203,$A15,'ORDENES'!$P$4:$P$1203,F$3,'ORDENES'!$Q$4:$Q$1203,F$4)</f>
        <v/>
      </c>
      <c r="G15" s="10">
        <f>SUMIFS('ORDENES'!$AK$4:$AK$1203,'ORDENES'!$E$4:$E$1203,$A15,'ORDENES'!$P$4:$P$1203,G$3,'ORDENES'!$Q$4:$Q$1203,G$4)</f>
        <v/>
      </c>
      <c r="H15" s="10">
        <f>SUMIFS('ORDENES'!$AK$4:$AK$1203,'ORDENES'!$E$4:$E$1203,$A15,'ORDENES'!$P$4:$P$1203,H$3,'ORDENES'!$Q$4:$Q$1203,H$4)</f>
        <v/>
      </c>
      <c r="I15" s="10">
        <f>SUMIFS('ORDENES'!$AK$4:$AK$1203,'ORDENES'!$E$4:$E$1203,$A15,'ORDENES'!$P$4:$P$1203,I$3,'ORDENES'!$Q$4:$Q$1203,I$4)</f>
        <v/>
      </c>
      <c r="J15" s="10">
        <f>SUMIFS('ORDENES'!$AK$4:$AK$1203,'ORDENES'!$E$4:$E$1203,$A15,'ORDENES'!$P$4:$P$1203,J$3,'ORDENES'!$Q$4:$Q$1203,J$4)</f>
        <v/>
      </c>
      <c r="K15" s="10">
        <f>SUMIFS('ORDENES'!$AK$4:$AK$1203,'ORDENES'!$E$4:$E$1203,$A15,'ORDENES'!$P$4:$P$1203,K$3,'ORDENES'!$Q$4:$Q$1203,K$4)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EQ-112</t>
        </is>
      </c>
      <c r="B16" s="10">
        <f>SUMIFS('ORDENES'!$AK$4:$AK$1203,'ORDENES'!$E$4:$E$1203,$A16,'ORDENES'!$P$4:$P$1203,B$3,'ORDENES'!$Q$4:$Q$1203,B$4)</f>
        <v/>
      </c>
      <c r="C16" s="10">
        <f>SUMIFS('ORDENES'!$AK$4:$AK$1203,'ORDENES'!$E$4:$E$1203,$A16,'ORDENES'!$P$4:$P$1203,C$3,'ORDENES'!$Q$4:$Q$1203,C$4)</f>
        <v/>
      </c>
      <c r="D16" s="10">
        <f>SUMIFS('ORDENES'!$AK$4:$AK$1203,'ORDENES'!$E$4:$E$1203,$A16,'ORDENES'!$P$4:$P$1203,D$3,'ORDENES'!$Q$4:$Q$1203,D$4)</f>
        <v/>
      </c>
      <c r="E16" s="10">
        <f>SUMIFS('ORDENES'!$AK$4:$AK$1203,'ORDENES'!$E$4:$E$1203,$A16,'ORDENES'!$P$4:$P$1203,E$3,'ORDENES'!$Q$4:$Q$1203,E$4)</f>
        <v/>
      </c>
      <c r="F16" s="10">
        <f>SUMIFS('ORDENES'!$AK$4:$AK$1203,'ORDENES'!$E$4:$E$1203,$A16,'ORDENES'!$P$4:$P$1203,F$3,'ORDENES'!$Q$4:$Q$1203,F$4)</f>
        <v/>
      </c>
      <c r="G16" s="10">
        <f>SUMIFS('ORDENES'!$AK$4:$AK$1203,'ORDENES'!$E$4:$E$1203,$A16,'ORDENES'!$P$4:$P$1203,G$3,'ORDENES'!$Q$4:$Q$1203,G$4)</f>
        <v/>
      </c>
      <c r="H16" s="10">
        <f>SUMIFS('ORDENES'!$AK$4:$AK$1203,'ORDENES'!$E$4:$E$1203,$A16,'ORDENES'!$P$4:$P$1203,H$3,'ORDENES'!$Q$4:$Q$1203,H$4)</f>
        <v/>
      </c>
      <c r="I16" s="10">
        <f>SUMIFS('ORDENES'!$AK$4:$AK$1203,'ORDENES'!$E$4:$E$1203,$A16,'ORDENES'!$P$4:$P$1203,I$3,'ORDENES'!$Q$4:$Q$1203,I$4)</f>
        <v/>
      </c>
      <c r="J16" s="10">
        <f>SUMIFS('ORDENES'!$AK$4:$AK$1203,'ORDENES'!$E$4:$E$1203,$A16,'ORDENES'!$P$4:$P$1203,J$3,'ORDENES'!$Q$4:$Q$1203,J$4)</f>
        <v/>
      </c>
      <c r="K16" s="10">
        <f>SUMIFS('ORDENES'!$AK$4:$AK$1203,'ORDENES'!$E$4:$E$1203,$A16,'ORDENES'!$P$4:$P$1203,K$3,'ORDENES'!$Q$4:$Q$1203,K$4)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00000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SUMPRODUCT(--('ORDENES'!$AQ$4:$AQ$1203&lt;&gt;""),--(COUNTIF('ORDENES'!$AQ$4:$AQ$1203,'ORDENES'!$AQ$4:$AQ$1203)&gt;1))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SUMPRODUCT(--('2_IMPORTAR_EJECUCION'!$J$9:$J$1208&lt;&gt;""),--ISNA(MATCH('2_IMPORTAR_EJECUCION'!$J$9:$J$1208,'ORDENES'!$AQ$4:$AQ$1203,0)))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SUMPRODUCT(--('ORDENES'!$AQ$4:$AQ$1203&lt;&gt;""),--ISNA(MATCH('ORDENES'!$AQ$4:$AQ$1203,'2_IMPORTAR_EJECUCION'!$J$9:$J$1208,0)))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SUMPRODUCT(--('ORDENES'!$AQ$4:$AQ$1203&lt;&gt;""),--ISNUMBER(MATCH('ORDENES'!$AQ$4:$AQ$1203,'AJUSTES'!$A$4:$A$303,0)))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SUMPRODUCT(--('AJUSTES'!$A$4:$A$303&lt;&gt;""),--ISNA(MATCH('AJUSTES'!$A$4:$A$303,'ORDENES'!$AQ$4:$AQ$1203,0)))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7">
      <c r="A17" s="3" t="inlineStr">
        <is>
          <t>Órdenes programadas en día NO laborable</t>
        </is>
      </c>
      <c r="B17" s="3">
        <f>SUMPRODUCT(--('ORDENES'!$AQ$4:$AQ$1203&lt;&gt;""),--('ORDENES'!$S$4:$S$1203="no"))</f>
        <v/>
      </c>
      <c r="C17" s="2" t="inlineStr">
        <is>
          <t>Posible error de programación; o una excepción laborable que falta cargar.</t>
        </is>
      </c>
    </row>
    <row r="18">
      <c r="A18" s="3" t="inlineStr">
        <is>
          <t>Excepciones con área fuera de catálogo</t>
        </is>
      </c>
      <c r="B18" s="3">
        <f>SUMPRODUCT(--('CALENDARIO'!$D$15:$D$214&lt;&gt;""),--ISNA(MATCH('CALENDARIO'!$D$15:$D$214,'CAT_CENTROS_COSTO'!$D$4:$D$13,0)))</f>
        <v/>
      </c>
      <c r="C18" s="2" t="inlineStr">
        <is>
          <t>Revisar la columna area de CALENDARIO contra CAT_CENTROS_COSTO.</t>
        </is>
      </c>
    </row>
    <row r="19">
      <c r="A19" s="3" t="inlineStr">
        <is>
          <t>Excepciones con sub-área fuera de catálogo</t>
        </is>
      </c>
      <c r="B19" s="3">
        <f>SUMPRODUCT(--('CALENDARIO'!$E$15:$E$214&lt;&gt;""),--ISNA(MATCH('CALENDARIO'!$E$15:$E$214,'CAT_CENTROS_COSTO'!$E$4:$E$13,0)))</f>
        <v/>
      </c>
      <c r="C19" s="2" t="inlineStr">
        <is>
          <t>Revisar la columna sub_area de CALENDARIO contra CAT_CENTROS_COSTO.</t>
        </is>
      </c>
    </row>
    <row r="21">
      <c r="A21" s="2" t="inlineStr">
        <is>
          <t>La validación no bloquea: todo se importa y aquí se reporta (REGLA-10).</t>
        </is>
      </c>
    </row>
  </sheetData>
  <conditionalFormatting sqref="B4:B19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7" max="7"/>
  </cols>
  <sheetData>
    <row r="1">
      <c r="A1" s="4" t="inlineStr">
        <is>
          <t>Turnos con su franja horaria (metadato; la capacidad no se deriva de ella) — editable</t>
        </is>
      </c>
      <c r="G1" s="2" t="inlineStr">
        <is>
          <t>lista de validación (turnos + no disponible) — no editar</t>
        </is>
      </c>
    </row>
    <row r="3">
      <c r="A3" s="5" t="inlineStr">
        <is>
          <t>turno</t>
        </is>
      </c>
      <c r="B3" s="5" t="inlineStr">
        <is>
          <t>nombre</t>
        </is>
      </c>
      <c r="C3" s="5" t="inlineStr">
        <is>
          <t>hora_inicio</t>
        </is>
      </c>
      <c r="D3" s="5" t="inlineStr">
        <is>
          <t>hora_fin</t>
        </is>
      </c>
      <c r="E3" s="5" t="inlineStr">
        <is>
          <t>tipo</t>
        </is>
      </c>
    </row>
    <row r="4">
      <c r="A4" s="6" t="inlineStr">
        <is>
          <t>B</t>
        </is>
      </c>
      <c r="B4" s="6" t="inlineStr">
        <is>
          <t>Banco</t>
        </is>
      </c>
      <c r="C4" s="6" t="inlineStr">
        <is>
          <t>07:00</t>
        </is>
      </c>
      <c r="D4" s="6" t="inlineStr">
        <is>
          <t>16:00</t>
        </is>
      </c>
      <c r="E4" s="6" t="inlineStr">
        <is>
          <t>banco</t>
        </is>
      </c>
      <c r="G4" s="3">
        <f>A4</f>
        <v/>
      </c>
    </row>
    <row r="5">
      <c r="A5" s="6" t="inlineStr">
        <is>
          <t>T1</t>
        </is>
      </c>
      <c r="B5" s="6" t="inlineStr">
        <is>
          <t>Turno 1</t>
        </is>
      </c>
      <c r="C5" s="6" t="inlineStr">
        <is>
          <t>06:00</t>
        </is>
      </c>
      <c r="D5" s="6" t="inlineStr">
        <is>
          <t>15:00</t>
        </is>
      </c>
      <c r="E5" s="6" t="inlineStr">
        <is>
          <t>rotativo</t>
        </is>
      </c>
      <c r="G5" s="3">
        <f>A5</f>
        <v/>
      </c>
    </row>
    <row r="6">
      <c r="A6" s="6" t="inlineStr">
        <is>
          <t>T2</t>
        </is>
      </c>
      <c r="B6" s="6" t="inlineStr">
        <is>
          <t>Turno 2</t>
        </is>
      </c>
      <c r="C6" s="6" t="inlineStr">
        <is>
          <t>15:00</t>
        </is>
      </c>
      <c r="D6" s="6" t="inlineStr">
        <is>
          <t>22:00</t>
        </is>
      </c>
      <c r="E6" s="6" t="inlineStr">
        <is>
          <t>rotativo</t>
        </is>
      </c>
      <c r="G6" s="3">
        <f>A6</f>
        <v/>
      </c>
    </row>
    <row r="7">
      <c r="A7" s="6" t="inlineStr">
        <is>
          <t>T3</t>
        </is>
      </c>
      <c r="B7" s="6" t="inlineStr">
        <is>
          <t>Turno 3</t>
        </is>
      </c>
      <c r="C7" s="6" t="inlineStr">
        <is>
          <t>22:00</t>
        </is>
      </c>
      <c r="D7" s="6" t="inlineStr">
        <is>
          <t>06:00</t>
        </is>
      </c>
      <c r="E7" s="6" t="inlineStr">
        <is>
          <t>rotativo</t>
        </is>
      </c>
      <c r="G7" s="3">
        <f>A7</f>
        <v/>
      </c>
    </row>
    <row r="8">
      <c r="G8" s="3">
        <f>PARAMETROS!$G$5</f>
        <v/>
      </c>
    </row>
    <row r="9">
      <c r="G9" s="3">
        <f>PARAMETROS!$G$6</f>
        <v/>
      </c>
    </row>
  </sheetData>
  <dataValidations count="1">
    <dataValidation sqref="E4:E7" showDropDown="0" showInputMessage="0" showErrorMessage="0" allowBlank="0" type="list">
      <formula1>"banco,rotativo"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IF(AND(IF($B$3="(todos)",TRUE,'ORDENES'!$O4=$B$3),IF($D$3="(todos)",TRUE,'ORDENES'!$AF4=$D$3),IF($F$3="(todos)",TRUE,'ORDENES'!$X4=$F$3),IF($H$3="(todos)",TRUE,'ORDENES'!$W4=$H$3),'ORDENES'!$AD4=TRUE,'ORDENES'!$A4&lt;&gt;""),1,0)</f>
        <v/>
      </c>
      <c r="L8" s="3">
        <f>IF(K8=1,IFERROR(MATCH('ORDENES'!$R4,lista_dias,0),9)*1000000000+IFERROR(MATCH('ORDENES'!$AF4,lista_turnos,0),9)*10000000+IFERROR(MATCH('ORDENES'!$AE4,'TECNICOS'!$B$4:$B$15,0),99)*100000+1,9000000000000+1)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IF('ORDENES'!$T4="preventiva",N8,0)</f>
        <v/>
      </c>
      <c r="P8" s="17">
        <f>IF('ORDENES'!$T4="correctiva",N8,0)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"&amp;IF(INDEX('ORDENES'!$AF$4:$AF$1203,U8)="","(s/t)",INDEX('ORDENES'!$AF$4:$AF$1203,U8))&amp;" · "&amp;IF(INDEX('ORDENES'!$AE$4:$AE$1203,U8)="","(sin técnico)",INDEX('ORDENES'!$AE$4:$AE$1203,U8))&amp;" · "&amp;INDEX('ORDENES'!$AQ$4:$AQ$1203,U8)&amp;"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"&amp;IF(INDEX('ORDENES'!$AE$4:$AE$1203,Y8)="","(sin técnico)",INDEX('ORDENES'!$AE$4:$AE$1203,Y8))&amp;IF(INDEX('ORDENES'!$AL$4:$AL$1203,Y8)&lt;&gt;""," · permiso de trabajo","")&amp;IF(INDEX('ORDENES'!$AM$4:$AM$1203,Y8)&lt;&gt;""," · bloqueo de energía (LOTO)",""))</f>
        <v/>
      </c>
      <c r="AB8" s="3">
        <f>'TECNICOS'!$B$4</f>
        <v/>
      </c>
      <c r="AC8" s="17">
        <f>SUMPRODUCT($N$8:$N$1207,--('ORDENES'!$AE$4:$AE$1203=AB8))</f>
        <v/>
      </c>
      <c r="AD8" s="17">
        <f>p_factor_productividad*SUMIFS('ASIGNACIONES'!$I$4:$I$339,'ASIGNACIONES'!$C$4:$C$339,AB8,'ASIGNACIONES'!$A$4:$A$339,IF($B$3="(todos)","*",$B$3))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IF(SUMPRODUCT($K$8:$K$1207,--('ORDENES'!$AE$4:$AE$1203=AB8))&gt;0,1,0)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IF(AND(IF($B$3="(todos)",TRUE,'ORDENES'!$O5=$B$3),IF($D$3="(todos)",TRUE,'ORDENES'!$AF5=$D$3),IF($F$3="(todos)",TRUE,'ORDENES'!$X5=$F$3),IF($H$3="(todos)",TRUE,'ORDENES'!$W5=$H$3),'ORDENES'!$AD5=TRUE,'ORDENES'!$A5&lt;&gt;""),1,0)</f>
        <v/>
      </c>
      <c r="L9" s="3">
        <f>IF(K9=1,IFERROR(MATCH('ORDENES'!$R5,lista_dias,0),9)*1000000000+IFERROR(MATCH('ORDENES'!$AF5,lista_turnos,0),9)*10000000+IFERROR(MATCH('ORDENES'!$AE5,'TECNICOS'!$B$4:$B$15,0),99)*100000+2,9000000000000+2)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IF('ORDENES'!$T5="preventiva",N9,0)</f>
        <v/>
      </c>
      <c r="P9" s="17">
        <f>IF('ORDENES'!$T5="correctiva",N9,0)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"&amp;IF(INDEX('ORDENES'!$AF$4:$AF$1203,U9)="","(s/t)",INDEX('ORDENES'!$AF$4:$AF$1203,U9))&amp;" · "&amp;IF(INDEX('ORDENES'!$AE$4:$AE$1203,U9)="","(sin técnico)",INDEX('ORDENES'!$AE$4:$AE$1203,U9))&amp;" · "&amp;INDEX('ORDENES'!$AQ$4:$AQ$1203,U9)&amp;"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"&amp;IF(INDEX('ORDENES'!$AE$4:$AE$1203,Y9)="","(sin técnico)",INDEX('ORDENES'!$AE$4:$AE$1203,Y9))&amp;IF(INDEX('ORDENES'!$AL$4:$AL$1203,Y9)&lt;&gt;""," · permiso de trabajo","")&amp;IF(INDEX('ORDENES'!$AM$4:$AM$1203,Y9)&lt;&gt;""," · bloqueo de energía (LOTO)",""))</f>
        <v/>
      </c>
      <c r="AB9" s="3">
        <f>'TECNICOS'!$B$5</f>
        <v/>
      </c>
      <c r="AC9" s="17">
        <f>SUMPRODUCT($N$8:$N$1207,--('ORDENES'!$AE$4:$AE$1203=AB9))</f>
        <v/>
      </c>
      <c r="AD9" s="17">
        <f>p_factor_productividad*SUMIFS('ASIGNACIONES'!$I$4:$I$339,'ASIGNACIONES'!$C$4:$C$339,AB9,'ASIGNACIONES'!$A$4:$A$339,IF($B$3="(todos)","*",$B$3))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IF(SUMPRODUCT($K$8:$K$1207,--('ORDENES'!$AE$4:$AE$1203=AB9))&gt;0,1,0)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IF(AND(IF($B$3="(todos)",TRUE,'ORDENES'!$O6=$B$3),IF($D$3="(todos)",TRUE,'ORDENES'!$AF6=$D$3),IF($F$3="(todos)",TRUE,'ORDENES'!$X6=$F$3),IF($H$3="(todos)",TRUE,'ORDENES'!$W6=$H$3),'ORDENES'!$AD6=TRUE,'ORDENES'!$A6&lt;&gt;""),1,0)</f>
        <v/>
      </c>
      <c r="L10" s="3">
        <f>IF(K10=1,IFERROR(MATCH('ORDENES'!$R6,lista_dias,0),9)*1000000000+IFERROR(MATCH('ORDENES'!$AF6,lista_turnos,0),9)*10000000+IFERROR(MATCH('ORDENES'!$AE6,'TECNICOS'!$B$4:$B$15,0),99)*100000+3,9000000000000+3)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IF('ORDENES'!$T6="preventiva",N10,0)</f>
        <v/>
      </c>
      <c r="P10" s="17">
        <f>IF('ORDENES'!$T6="correctiva",N10,0)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"&amp;IF(INDEX('ORDENES'!$AF$4:$AF$1203,U10)="","(s/t)",INDEX('ORDENES'!$AF$4:$AF$1203,U10))&amp;" · "&amp;IF(INDEX('ORDENES'!$AE$4:$AE$1203,U10)="","(sin técnico)",INDEX('ORDENES'!$AE$4:$AE$1203,U10))&amp;" · "&amp;INDEX('ORDENES'!$AQ$4:$AQ$1203,U10)&amp;"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"&amp;IF(INDEX('ORDENES'!$AE$4:$AE$1203,Y10)="","(sin técnico)",INDEX('ORDENES'!$AE$4:$AE$1203,Y10))&amp;IF(INDEX('ORDENES'!$AL$4:$AL$1203,Y10)&lt;&gt;""," · permiso de trabajo","")&amp;IF(INDEX('ORDENES'!$AM$4:$AM$1203,Y10)&lt;&gt;""," · bloqueo de energía (LOTO)",""))</f>
        <v/>
      </c>
      <c r="AB10" s="3">
        <f>'TECNICOS'!$B$6</f>
        <v/>
      </c>
      <c r="AC10" s="17">
        <f>SUMPRODUCT($N$8:$N$1207,--('ORDENES'!$AE$4:$AE$1203=AB10))</f>
        <v/>
      </c>
      <c r="AD10" s="17">
        <f>p_factor_productividad*SUMIFS('ASIGNACIONES'!$I$4:$I$339,'ASIGNACIONES'!$C$4:$C$339,AB10,'ASIGNACIONES'!$A$4:$A$339,IF($B$3="(todos)","*",$B$3))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IF(SUMPRODUCT($K$8:$K$1207,--('ORDENES'!$AE$4:$AE$1203=AB10))&gt;0,1,0)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IF(AND(IF($B$3="(todos)",TRUE,'ORDENES'!$O7=$B$3),IF($D$3="(todos)",TRUE,'ORDENES'!$AF7=$D$3),IF($F$3="(todos)",TRUE,'ORDENES'!$X7=$F$3),IF($H$3="(todos)",TRUE,'ORDENES'!$W7=$H$3),'ORDENES'!$AD7=TRUE,'ORDENES'!$A7&lt;&gt;""),1,0)</f>
        <v/>
      </c>
      <c r="L11" s="3">
        <f>IF(K11=1,IFERROR(MATCH('ORDENES'!$R7,lista_dias,0),9)*1000000000+IFERROR(MATCH('ORDENES'!$AF7,lista_turnos,0),9)*10000000+IFERROR(MATCH('ORDENES'!$AE7,'TECNICOS'!$B$4:$B$15,0),99)*100000+4,9000000000000+4)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IF('ORDENES'!$T7="preventiva",N11,0)</f>
        <v/>
      </c>
      <c r="P11" s="17">
        <f>IF('ORDENES'!$T7="correctiva",N11,0)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"&amp;IF(INDEX('ORDENES'!$AF$4:$AF$1203,U11)="","(s/t)",INDEX('ORDENES'!$AF$4:$AF$1203,U11))&amp;" · "&amp;IF(INDEX('ORDENES'!$AE$4:$AE$1203,U11)="","(sin técnico)",INDEX('ORDENES'!$AE$4:$AE$1203,U11))&amp;" · "&amp;INDEX('ORDENES'!$AQ$4:$AQ$1203,U11)&amp;"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"&amp;IF(INDEX('ORDENES'!$AE$4:$AE$1203,Y11)="","(sin técnico)",INDEX('ORDENES'!$AE$4:$AE$1203,Y11))&amp;IF(INDEX('ORDENES'!$AL$4:$AL$1203,Y11)&lt;&gt;""," · permiso de trabajo","")&amp;IF(INDEX('ORDENES'!$AM$4:$AM$1203,Y11)&lt;&gt;""," · bloqueo de energía (LOTO)",""))</f>
        <v/>
      </c>
      <c r="AB11" s="3">
        <f>'TECNICOS'!$B$7</f>
        <v/>
      </c>
      <c r="AC11" s="17">
        <f>SUMPRODUCT($N$8:$N$1207,--('ORDENES'!$AE$4:$AE$1203=AB11))</f>
        <v/>
      </c>
      <c r="AD11" s="17">
        <f>p_factor_productividad*SUMIFS('ASIGNACIONES'!$I$4:$I$339,'ASIGNACIONES'!$C$4:$C$339,AB11,'ASIGNACIONES'!$A$4:$A$339,IF($B$3="(todos)","*",$B$3))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IF(SUMPRODUCT($K$8:$K$1207,--('ORDENES'!$AE$4:$AE$1203=AB11))&gt;0,1,0)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IF(AND(IF($B$3="(todos)",TRUE,'ORDENES'!$O8=$B$3),IF($D$3="(todos)",TRUE,'ORDENES'!$AF8=$D$3),IF($F$3="(todos)",TRUE,'ORDENES'!$X8=$F$3),IF($H$3="(todos)",TRUE,'ORDENES'!$W8=$H$3),'ORDENES'!$AD8=TRUE,'ORDENES'!$A8&lt;&gt;""),1,0)</f>
        <v/>
      </c>
      <c r="L12" s="3">
        <f>IF(K12=1,IFERROR(MATCH('ORDENES'!$R8,lista_dias,0),9)*1000000000+IFERROR(MATCH('ORDENES'!$AF8,lista_turnos,0),9)*10000000+IFERROR(MATCH('ORDENES'!$AE8,'TECNICOS'!$B$4:$B$15,0),99)*100000+5,9000000000000+5)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IF('ORDENES'!$T8="preventiva",N12,0)</f>
        <v/>
      </c>
      <c r="P12" s="17">
        <f>IF('ORDENES'!$T8="correctiva",N12,0)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"&amp;IF(INDEX('ORDENES'!$AF$4:$AF$1203,U12)="","(s/t)",INDEX('ORDENES'!$AF$4:$AF$1203,U12))&amp;" · "&amp;IF(INDEX('ORDENES'!$AE$4:$AE$1203,U12)="","(sin técnico)",INDEX('ORDENES'!$AE$4:$AE$1203,U12))&amp;" · "&amp;INDEX('ORDENES'!$AQ$4:$AQ$1203,U12)&amp;"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"&amp;IF(INDEX('ORDENES'!$AE$4:$AE$1203,Y12)="","(sin técnico)",INDEX('ORDENES'!$AE$4:$AE$1203,Y12))&amp;IF(INDEX('ORDENES'!$AL$4:$AL$1203,Y12)&lt;&gt;""," · permiso de trabajo","")&amp;IF(INDEX('ORDENES'!$AM$4:$AM$1203,Y12)&lt;&gt;""," · bloqueo de energía (LOTO)",""))</f>
        <v/>
      </c>
      <c r="AB12" s="3">
        <f>'TECNICOS'!$B$8</f>
        <v/>
      </c>
      <c r="AC12" s="17">
        <f>SUMPRODUCT($N$8:$N$1207,--('ORDENES'!$AE$4:$AE$1203=AB12))</f>
        <v/>
      </c>
      <c r="AD12" s="17">
        <f>p_factor_productividad*SUMIFS('ASIGNACIONES'!$I$4:$I$339,'ASIGNACIONES'!$C$4:$C$339,AB12,'ASIGNACIONES'!$A$4:$A$339,IF($B$3="(todos)","*",$B$3))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IF(SUMPRODUCT($K$8:$K$1207,--('ORDENES'!$AE$4:$AE$1203=AB12))&gt;0,1,0)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IF(AND(IF($B$3="(todos)",TRUE,'ORDENES'!$O9=$B$3),IF($D$3="(todos)",TRUE,'ORDENES'!$AF9=$D$3),IF($F$3="(todos)",TRUE,'ORDENES'!$X9=$F$3),IF($H$3="(todos)",TRUE,'ORDENES'!$W9=$H$3),'ORDENES'!$AD9=TRUE,'ORDENES'!$A9&lt;&gt;""),1,0)</f>
        <v/>
      </c>
      <c r="L13" s="3">
        <f>IF(K13=1,IFERROR(MATCH('ORDENES'!$R9,lista_dias,0),9)*1000000000+IFERROR(MATCH('ORDENES'!$AF9,lista_turnos,0),9)*10000000+IFERROR(MATCH('ORDENES'!$AE9,'TECNICOS'!$B$4:$B$15,0),99)*100000+6,9000000000000+6)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IF('ORDENES'!$T9="preventiva",N13,0)</f>
        <v/>
      </c>
      <c r="P13" s="17">
        <f>IF('ORDENES'!$T9="correctiva",N13,0)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"&amp;IF(INDEX('ORDENES'!$AF$4:$AF$1203,U13)="","(s/t)",INDEX('ORDENES'!$AF$4:$AF$1203,U13))&amp;" · "&amp;IF(INDEX('ORDENES'!$AE$4:$AE$1203,U13)="","(sin técnico)",INDEX('ORDENES'!$AE$4:$AE$1203,U13))&amp;" · "&amp;INDEX('ORDENES'!$AQ$4:$AQ$1203,U13)&amp;"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"&amp;IF(INDEX('ORDENES'!$AE$4:$AE$1203,Y13)="","(sin técnico)",INDEX('ORDENES'!$AE$4:$AE$1203,Y13))&amp;IF(INDEX('ORDENES'!$AL$4:$AL$1203,Y13)&lt;&gt;""," · permiso de trabajo","")&amp;IF(INDEX('ORDENES'!$AM$4:$AM$1203,Y13)&lt;&gt;""," · bloqueo de energía (LOTO)",""))</f>
        <v/>
      </c>
      <c r="AB13" s="3">
        <f>'TECNICOS'!$B$9</f>
        <v/>
      </c>
      <c r="AC13" s="17">
        <f>SUMPRODUCT($N$8:$N$1207,--('ORDENES'!$AE$4:$AE$1203=AB13))</f>
        <v/>
      </c>
      <c r="AD13" s="17">
        <f>p_factor_productividad*SUMIFS('ASIGNACIONES'!$I$4:$I$339,'ASIGNACIONES'!$C$4:$C$339,AB13,'ASIGNACIONES'!$A$4:$A$339,IF($B$3="(todos)","*",$B$3))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IF(SUMPRODUCT($K$8:$K$1207,--('ORDENES'!$AE$4:$AE$1203=AB13))&gt;0,1,0)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IF(AND(IF($B$3="(todos)",TRUE,'ORDENES'!$O10=$B$3),IF($D$3="(todos)",TRUE,'ORDENES'!$AF10=$D$3),IF($F$3="(todos)",TRUE,'ORDENES'!$X10=$F$3),IF($H$3="(todos)",TRUE,'ORDENES'!$W10=$H$3),'ORDENES'!$AD10=TRUE,'ORDENES'!$A10&lt;&gt;""),1,0)</f>
        <v/>
      </c>
      <c r="L14" s="3">
        <f>IF(K14=1,IFERROR(MATCH('ORDENES'!$R10,lista_dias,0),9)*1000000000+IFERROR(MATCH('ORDENES'!$AF10,lista_turnos,0),9)*10000000+IFERROR(MATCH('ORDENES'!$AE10,'TECNICOS'!$B$4:$B$15,0),99)*100000+7,9000000000000+7)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IF('ORDENES'!$T10="preventiva",N14,0)</f>
        <v/>
      </c>
      <c r="P14" s="17">
        <f>IF('ORDENES'!$T10="correctiva",N14,0)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"&amp;IF(INDEX('ORDENES'!$AF$4:$AF$1203,U14)="","(s/t)",INDEX('ORDENES'!$AF$4:$AF$1203,U14))&amp;" · "&amp;IF(INDEX('ORDENES'!$AE$4:$AE$1203,U14)="","(sin técnico)",INDEX('ORDENES'!$AE$4:$AE$1203,U14))&amp;" · "&amp;INDEX('ORDENES'!$AQ$4:$AQ$1203,U14)&amp;"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"&amp;IF(INDEX('ORDENES'!$AE$4:$AE$1203,Y14)="","(sin técnico)",INDEX('ORDENES'!$AE$4:$AE$1203,Y14))&amp;IF(INDEX('ORDENES'!$AL$4:$AL$1203,Y14)&lt;&gt;""," · permiso de trabajo","")&amp;IF(INDEX('ORDENES'!$AM$4:$AM$1203,Y14)&lt;&gt;""," · bloqueo de energía (LOTO)",""))</f>
        <v/>
      </c>
      <c r="AB14" s="3">
        <f>'TECNICOS'!$B$10</f>
        <v/>
      </c>
      <c r="AC14" s="17">
        <f>SUMPRODUCT($N$8:$N$1207,--('ORDENES'!$AE$4:$AE$1203=AB14))</f>
        <v/>
      </c>
      <c r="AD14" s="17">
        <f>p_factor_productividad*SUMIFS('ASIGNACIONES'!$I$4:$I$339,'ASIGNACIONES'!$C$4:$C$339,AB14,'ASIGNACIONES'!$A$4:$A$339,IF($B$3="(todos)","*",$B$3))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IF(SUMPRODUCT($K$8:$K$1207,--('ORDENES'!$AE$4:$AE$1203=AB14))&gt;0,1,0)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IF(AND(IF($B$3="(todos)",TRUE,'ORDENES'!$O11=$B$3),IF($D$3="(todos)",TRUE,'ORDENES'!$AF11=$D$3),IF($F$3="(todos)",TRUE,'ORDENES'!$X11=$F$3),IF($H$3="(todos)",TRUE,'ORDENES'!$W11=$H$3),'ORDENES'!$AD11=TRUE,'ORDENES'!$A11&lt;&gt;""),1,0)</f>
        <v/>
      </c>
      <c r="L15" s="3">
        <f>IF(K15=1,IFERROR(MATCH('ORDENES'!$R11,lista_dias,0),9)*1000000000+IFERROR(MATCH('ORDENES'!$AF11,lista_turnos,0),9)*10000000+IFERROR(MATCH('ORDENES'!$AE11,'TECNICOS'!$B$4:$B$15,0),99)*100000+8,9000000000000+8)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IF('ORDENES'!$T11="preventiva",N15,0)</f>
        <v/>
      </c>
      <c r="P15" s="17">
        <f>IF('ORDENES'!$T11="correctiva",N15,0)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"&amp;IF(INDEX('ORDENES'!$AF$4:$AF$1203,U15)="","(s/t)",INDEX('ORDENES'!$AF$4:$AF$1203,U15))&amp;" · "&amp;IF(INDEX('ORDENES'!$AE$4:$AE$1203,U15)="","(sin técnico)",INDEX('ORDENES'!$AE$4:$AE$1203,U15))&amp;" · "&amp;INDEX('ORDENES'!$AQ$4:$AQ$1203,U15)&amp;"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"&amp;IF(INDEX('ORDENES'!$AE$4:$AE$1203,Y15)="","(sin técnico)",INDEX('ORDENES'!$AE$4:$AE$1203,Y15))&amp;IF(INDEX('ORDENES'!$AL$4:$AL$1203,Y15)&lt;&gt;""," · permiso de trabajo","")&amp;IF(INDEX('ORDENES'!$AM$4:$AM$1203,Y15)&lt;&gt;""," · bloqueo de energía (LOTO)",""))</f>
        <v/>
      </c>
      <c r="AB15" s="3">
        <f>'TECNICOS'!$B$11</f>
        <v/>
      </c>
      <c r="AC15" s="17">
        <f>SUMPRODUCT($N$8:$N$1207,--('ORDENES'!$AE$4:$AE$1203=AB15))</f>
        <v/>
      </c>
      <c r="AD15" s="17">
        <f>p_factor_productividad*SUMIFS('ASIGNACIONES'!$I$4:$I$339,'ASIGNACIONES'!$C$4:$C$339,AB15,'ASIGNACIONES'!$A$4:$A$339,IF($B$3="(todos)","*",$B$3))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IF(SUMPRODUCT($K$8:$K$1207,--('ORDENES'!$AE$4:$AE$1203=AB15))&gt;0,1,0)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IF(AND(IF($B$3="(todos)",TRUE,'ORDENES'!$O12=$B$3),IF($D$3="(todos)",TRUE,'ORDENES'!$AF12=$D$3),IF($F$3="(todos)",TRUE,'ORDENES'!$X12=$F$3),IF($H$3="(todos)",TRUE,'ORDENES'!$W12=$H$3),'ORDENES'!$AD12=TRUE,'ORDENES'!$A12&lt;&gt;""),1,0)</f>
        <v/>
      </c>
      <c r="L16" s="3">
        <f>IF(K16=1,IFERROR(MATCH('ORDENES'!$R12,lista_dias,0),9)*1000000000+IFERROR(MATCH('ORDENES'!$AF12,lista_turnos,0),9)*10000000+IFERROR(MATCH('ORDENES'!$AE12,'TECNICOS'!$B$4:$B$15,0),99)*100000+9,9000000000000+9)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IF('ORDENES'!$T12="preventiva",N16,0)</f>
        <v/>
      </c>
      <c r="P16" s="17">
        <f>IF('ORDENES'!$T12="correctiva",N16,0)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"&amp;IF(INDEX('ORDENES'!$AF$4:$AF$1203,U16)="","(s/t)",INDEX('ORDENES'!$AF$4:$AF$1203,U16))&amp;" · "&amp;IF(INDEX('ORDENES'!$AE$4:$AE$1203,U16)="","(sin técnico)",INDEX('ORDENES'!$AE$4:$AE$1203,U16))&amp;" · "&amp;INDEX('ORDENES'!$AQ$4:$AQ$1203,U16)&amp;"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"&amp;IF(INDEX('ORDENES'!$AE$4:$AE$1203,Y16)="","(sin técnico)",INDEX('ORDENES'!$AE$4:$AE$1203,Y16))&amp;IF(INDEX('ORDENES'!$AL$4:$AL$1203,Y16)&lt;&gt;""," · permiso de trabajo","")&amp;IF(INDEX('ORDENES'!$AM$4:$AM$1203,Y16)&lt;&gt;""," · bloqueo de energía (LOTO)",""))</f>
        <v/>
      </c>
      <c r="AB16" s="3">
        <f>'TECNICOS'!$B$12</f>
        <v/>
      </c>
      <c r="AC16" s="17">
        <f>SUMPRODUCT($N$8:$N$1207,--('ORDENES'!$AE$4:$AE$1203=AB16))</f>
        <v/>
      </c>
      <c r="AD16" s="17">
        <f>p_factor_productividad*SUMIFS('ASIGNACIONES'!$I$4:$I$339,'ASIGNACIONES'!$C$4:$C$339,AB16,'ASIGNACIONES'!$A$4:$A$339,IF($B$3="(todos)","*",$B$3))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IF(SUMPRODUCT($K$8:$K$1207,--('ORDENES'!$AE$4:$AE$1203=AB16))&gt;0,1,0)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IF(AND(IF($B$3="(todos)",TRUE,'ORDENES'!$O13=$B$3),IF($D$3="(todos)",TRUE,'ORDENES'!$AF13=$D$3),IF($F$3="(todos)",TRUE,'ORDENES'!$X13=$F$3),IF($H$3="(todos)",TRUE,'ORDENES'!$W13=$H$3),'ORDENES'!$AD13=TRUE,'ORDENES'!$A13&lt;&gt;""),1,0)</f>
        <v/>
      </c>
      <c r="L17" s="3">
        <f>IF(K17=1,IFERROR(MATCH('ORDENES'!$R13,lista_dias,0),9)*1000000000+IFERROR(MATCH('ORDENES'!$AF13,lista_turnos,0),9)*10000000+IFERROR(MATCH('ORDENES'!$AE13,'TECNICOS'!$B$4:$B$15,0),99)*100000+10,9000000000000+10)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IF('ORDENES'!$T13="preventiva",N17,0)</f>
        <v/>
      </c>
      <c r="P17" s="17">
        <f>IF('ORDENES'!$T13="correctiva",N17,0)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"&amp;IF(INDEX('ORDENES'!$AF$4:$AF$1203,U17)="","(s/t)",INDEX('ORDENES'!$AF$4:$AF$1203,U17))&amp;" · "&amp;IF(INDEX('ORDENES'!$AE$4:$AE$1203,U17)="","(sin técnico)",INDEX('ORDENES'!$AE$4:$AE$1203,U17))&amp;" · "&amp;INDEX('ORDENES'!$AQ$4:$AQ$1203,U17)&amp;"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"&amp;IF(INDEX('ORDENES'!$AE$4:$AE$1203,Y17)="","(sin técnico)",INDEX('ORDENES'!$AE$4:$AE$1203,Y17))&amp;IF(INDEX('ORDENES'!$AL$4:$AL$1203,Y17)&lt;&gt;""," · permiso de trabajo","")&amp;IF(INDEX('ORDENES'!$AM$4:$AM$1203,Y17)&lt;&gt;""," · bloqueo de energía (LOTO)",""))</f>
        <v/>
      </c>
      <c r="AB17" s="3">
        <f>'TECNICOS'!$B$13</f>
        <v/>
      </c>
      <c r="AC17" s="17">
        <f>SUMPRODUCT($N$8:$N$1207,--('ORDENES'!$AE$4:$AE$1203=AB17))</f>
        <v/>
      </c>
      <c r="AD17" s="17">
        <f>p_factor_productividad*SUMIFS('ASIGNACIONES'!$I$4:$I$339,'ASIGNACIONES'!$C$4:$C$339,AB17,'ASIGNACIONES'!$A$4:$A$339,IF($B$3="(todos)","*",$B$3))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IF(SUMPRODUCT($K$8:$K$1207,--('ORDENES'!$AE$4:$AE$1203=AB17))&gt;0,1,0)</f>
        <v/>
      </c>
    </row>
    <row r="18">
      <c r="K18" s="3">
        <f>IF(AND(IF($B$3="(todos)",TRUE,'ORDENES'!$O14=$B$3),IF($D$3="(todos)",TRUE,'ORDENES'!$AF14=$D$3),IF($F$3="(todos)",TRUE,'ORDENES'!$X14=$F$3),IF($H$3="(todos)",TRUE,'ORDENES'!$W14=$H$3),'ORDENES'!$AD14=TRUE,'ORDENES'!$A14&lt;&gt;""),1,0)</f>
        <v/>
      </c>
      <c r="L18" s="3">
        <f>IF(K18=1,IFERROR(MATCH('ORDENES'!$R14,lista_dias,0),9)*1000000000+IFERROR(MATCH('ORDENES'!$AF14,lista_turnos,0),9)*10000000+IFERROR(MATCH('ORDENES'!$AE14,'TECNICOS'!$B$4:$B$15,0),99)*100000+11,9000000000000+11)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IF('ORDENES'!$T14="preventiva",N18,0)</f>
        <v/>
      </c>
      <c r="P18" s="17">
        <f>IF('ORDENES'!$T14="correctiva",N18,0)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"&amp;IF(INDEX('ORDENES'!$AF$4:$AF$1203,U18)="","(s/t)",INDEX('ORDENES'!$AF$4:$AF$1203,U18))&amp;" · "&amp;IF(INDEX('ORDENES'!$AE$4:$AE$1203,U18)="","(sin técnico)",INDEX('ORDENES'!$AE$4:$AE$1203,U18))&amp;" · "&amp;INDEX('ORDENES'!$AQ$4:$AQ$1203,U18)&amp;"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"&amp;IF(INDEX('ORDENES'!$AE$4:$AE$1203,Y18)="","(sin técnico)",INDEX('ORDENES'!$AE$4:$AE$1203,Y18))&amp;IF(INDEX('ORDENES'!$AL$4:$AL$1203,Y18)&lt;&gt;""," · permiso de trabajo","")&amp;IF(INDEX('ORDENES'!$AM$4:$AM$1203,Y18)&lt;&gt;""," · bloqueo de energía (LOTO)",""))</f>
        <v/>
      </c>
      <c r="AB18" s="3">
        <f>'TECNICOS'!$B$14</f>
        <v/>
      </c>
      <c r="AC18" s="17">
        <f>SUMPRODUCT($N$8:$N$1207,--('ORDENES'!$AE$4:$AE$1203=AB18))</f>
        <v/>
      </c>
      <c r="AD18" s="17">
        <f>p_factor_productividad*SUMIFS('ASIGNACIONES'!$I$4:$I$339,'ASIGNACIONES'!$C$4:$C$339,AB18,'ASIGNACIONES'!$A$4:$A$339,IF($B$3="(todos)","*",$B$3))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IF(SUMPRODUCT($K$8:$K$1207,--('ORDENES'!$AE$4:$AE$1203=AB18))&gt;0,1,0)</f>
        <v/>
      </c>
    </row>
    <row r="19">
      <c r="K19" s="3">
        <f>IF(AND(IF($B$3="(todos)",TRUE,'ORDENES'!$O15=$B$3),IF($D$3="(todos)",TRUE,'ORDENES'!$AF15=$D$3),IF($F$3="(todos)",TRUE,'ORDENES'!$X15=$F$3),IF($H$3="(todos)",TRUE,'ORDENES'!$W15=$H$3),'ORDENES'!$AD15=TRUE,'ORDENES'!$A15&lt;&gt;""),1,0)</f>
        <v/>
      </c>
      <c r="L19" s="3">
        <f>IF(K19=1,IFERROR(MATCH('ORDENES'!$R15,lista_dias,0),9)*1000000000+IFERROR(MATCH('ORDENES'!$AF15,lista_turnos,0),9)*10000000+IFERROR(MATCH('ORDENES'!$AE15,'TECNICOS'!$B$4:$B$15,0),99)*100000+12,9000000000000+12)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IF('ORDENES'!$T15="preventiva",N19,0)</f>
        <v/>
      </c>
      <c r="P19" s="17">
        <f>IF('ORDENES'!$T15="correctiva",N19,0)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"&amp;IF(INDEX('ORDENES'!$AF$4:$AF$1203,U19)="","(s/t)",INDEX('ORDENES'!$AF$4:$AF$1203,U19))&amp;" · "&amp;IF(INDEX('ORDENES'!$AE$4:$AE$1203,U19)="","(sin técnico)",INDEX('ORDENES'!$AE$4:$AE$1203,U19))&amp;" · "&amp;INDEX('ORDENES'!$AQ$4:$AQ$1203,U19)&amp;"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"&amp;IF(INDEX('ORDENES'!$AE$4:$AE$1203,Y19)="","(sin técnico)",INDEX('ORDENES'!$AE$4:$AE$1203,Y19))&amp;IF(INDEX('ORDENES'!$AL$4:$AL$1203,Y19)&lt;&gt;""," · permiso de trabajo","")&amp;IF(INDEX('ORDENES'!$AM$4:$AM$1203,Y19)&lt;&gt;""," · bloqueo de energía (LOTO)",""))</f>
        <v/>
      </c>
      <c r="AB19" s="3">
        <f>'TECNICOS'!$B$15</f>
        <v/>
      </c>
      <c r="AC19" s="17">
        <f>SUMPRODUCT($N$8:$N$1207,--('ORDENES'!$AE$4:$AE$1203=AB19))</f>
        <v/>
      </c>
      <c r="AD19" s="17">
        <f>p_factor_productividad*SUMIFS('ASIGNACIONES'!$I$4:$I$339,'ASIGNACIONES'!$C$4:$C$339,AB19,'ASIGNACIONES'!$A$4:$A$339,IF($B$3="(todos)","*",$B$3))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IF(SUMPRODUCT($K$8:$K$1207,--('ORDENES'!$AE$4:$AE$1203=AB19))&gt;0,1,0)</f>
        <v/>
      </c>
    </row>
    <row r="20">
      <c r="K20" s="3">
        <f>IF(AND(IF($B$3="(todos)",TRUE,'ORDENES'!$O16=$B$3),IF($D$3="(todos)",TRUE,'ORDENES'!$AF16=$D$3),IF($F$3="(todos)",TRUE,'ORDENES'!$X16=$F$3),IF($H$3="(todos)",TRUE,'ORDENES'!$W16=$H$3),'ORDENES'!$AD16=TRUE,'ORDENES'!$A16&lt;&gt;""),1,0)</f>
        <v/>
      </c>
      <c r="L20" s="3">
        <f>IF(K20=1,IFERROR(MATCH('ORDENES'!$R16,lista_dias,0),9)*1000000000+IFERROR(MATCH('ORDENES'!$AF16,lista_turnos,0),9)*10000000+IFERROR(MATCH('ORDENES'!$AE16,'TECNICOS'!$B$4:$B$15,0),99)*100000+13,9000000000000+13)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IF('ORDENES'!$T16="preventiva",N20,0)</f>
        <v/>
      </c>
      <c r="P20" s="17">
        <f>IF('ORDENES'!$T16="correctiva",N20,0)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"&amp;IF(INDEX('ORDENES'!$AF$4:$AF$1203,U20)="","(s/t)",INDEX('ORDENES'!$AF$4:$AF$1203,U20))&amp;" · "&amp;IF(INDEX('ORDENES'!$AE$4:$AE$1203,U20)="","(sin técnico)",INDEX('ORDENES'!$AE$4:$AE$1203,U20))&amp;" · "&amp;INDEX('ORDENES'!$AQ$4:$AQ$1203,U20)&amp;"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"&amp;IF(INDEX('ORDENES'!$AE$4:$AE$1203,Y20)="","(sin técnico)",INDEX('ORDENES'!$AE$4:$AE$1203,Y20))&amp;IF(INDEX('ORDENES'!$AL$4:$AL$1203,Y20)&lt;&gt;""," · permiso de trabajo","")&amp;IF(INDEX('ORDENES'!$AM$4:$AM$1203,Y20)&lt;&gt;""," · bloqueo de energía (LOTO)",""))</f>
        <v/>
      </c>
    </row>
    <row r="21">
      <c r="K21" s="3">
        <f>IF(AND(IF($B$3="(todos)",TRUE,'ORDENES'!$O17=$B$3),IF($D$3="(todos)",TRUE,'ORDENES'!$AF17=$D$3),IF($F$3="(todos)",TRUE,'ORDENES'!$X17=$F$3),IF($H$3="(todos)",TRUE,'ORDENES'!$W17=$H$3),'ORDENES'!$AD17=TRUE,'ORDENES'!$A17&lt;&gt;""),1,0)</f>
        <v/>
      </c>
      <c r="L21" s="3">
        <f>IF(K21=1,IFERROR(MATCH('ORDENES'!$R17,lista_dias,0),9)*1000000000+IFERROR(MATCH('ORDENES'!$AF17,lista_turnos,0),9)*10000000+IFERROR(MATCH('ORDENES'!$AE17,'TECNICOS'!$B$4:$B$15,0),99)*100000+14,9000000000000+14)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IF('ORDENES'!$T17="preventiva",N21,0)</f>
        <v/>
      </c>
      <c r="P21" s="17">
        <f>IF('ORDENES'!$T17="correctiva",N21,0)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"&amp;IF(INDEX('ORDENES'!$AF$4:$AF$1203,U21)="","(s/t)",INDEX('ORDENES'!$AF$4:$AF$1203,U21))&amp;" · "&amp;IF(INDEX('ORDENES'!$AE$4:$AE$1203,U21)="","(sin técnico)",INDEX('ORDENES'!$AE$4:$AE$1203,U21))&amp;" · "&amp;INDEX('ORDENES'!$AQ$4:$AQ$1203,U21)&amp;"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"&amp;IF(INDEX('ORDENES'!$AE$4:$AE$1203,Y21)="","(sin técnico)",INDEX('ORDENES'!$AE$4:$AE$1203,Y21))&amp;IF(INDEX('ORDENES'!$AL$4:$AL$1203,Y21)&lt;&gt;""," · permiso de trabajo","")&amp;IF(INDEX('ORDENES'!$AM$4:$AM$1203,Y21)&lt;&gt;""," · bloqueo de energía (LOTO)",""))</f>
        <v/>
      </c>
    </row>
    <row r="22">
      <c r="K22" s="3">
        <f>IF(AND(IF($B$3="(todos)",TRUE,'ORDENES'!$O18=$B$3),IF($D$3="(todos)",TRUE,'ORDENES'!$AF18=$D$3),IF($F$3="(todos)",TRUE,'ORDENES'!$X18=$F$3),IF($H$3="(todos)",TRUE,'ORDENES'!$W18=$H$3),'ORDENES'!$AD18=TRUE,'ORDENES'!$A18&lt;&gt;""),1,0)</f>
        <v/>
      </c>
      <c r="L22" s="3">
        <f>IF(K22=1,IFERROR(MATCH('ORDENES'!$R18,lista_dias,0),9)*1000000000+IFERROR(MATCH('ORDENES'!$AF18,lista_turnos,0),9)*10000000+IFERROR(MATCH('ORDENES'!$AE18,'TECNICOS'!$B$4:$B$15,0),99)*100000+15,9000000000000+15)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IF('ORDENES'!$T18="preventiva",N22,0)</f>
        <v/>
      </c>
      <c r="P22" s="17">
        <f>IF('ORDENES'!$T18="correctiva",N22,0)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"&amp;IF(INDEX('ORDENES'!$AF$4:$AF$1203,U22)="","(s/t)",INDEX('ORDENES'!$AF$4:$AF$1203,U22))&amp;" · "&amp;IF(INDEX('ORDENES'!$AE$4:$AE$1203,U22)="","(sin técnico)",INDEX('ORDENES'!$AE$4:$AE$1203,U22))&amp;" · "&amp;INDEX('ORDENES'!$AQ$4:$AQ$1203,U22)&amp;"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"&amp;IF(INDEX('ORDENES'!$AE$4:$AE$1203,Y22)="","(sin técnico)",INDEX('ORDENES'!$AE$4:$AE$1203,Y22))&amp;IF(INDEX('ORDENES'!$AL$4:$AL$1203,Y22)&lt;&gt;""," · permiso de trabajo","")&amp;IF(INDEX('ORDENES'!$AM$4:$AM$1203,Y22)&lt;&gt;""," · bloqueo de energía (LOTO)",""))</f>
        <v/>
      </c>
    </row>
    <row r="23">
      <c r="K23" s="3">
        <f>IF(AND(IF($B$3="(todos)",TRUE,'ORDENES'!$O19=$B$3),IF($D$3="(todos)",TRUE,'ORDENES'!$AF19=$D$3),IF($F$3="(todos)",TRUE,'ORDENES'!$X19=$F$3),IF($H$3="(todos)",TRUE,'ORDENES'!$W19=$H$3),'ORDENES'!$AD19=TRUE,'ORDENES'!$A19&lt;&gt;""),1,0)</f>
        <v/>
      </c>
      <c r="L23" s="3">
        <f>IF(K23=1,IFERROR(MATCH('ORDENES'!$R19,lista_dias,0),9)*1000000000+IFERROR(MATCH('ORDENES'!$AF19,lista_turnos,0),9)*10000000+IFERROR(MATCH('ORDENES'!$AE19,'TECNICOS'!$B$4:$B$15,0),99)*100000+16,9000000000000+16)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IF('ORDENES'!$T19="preventiva",N23,0)</f>
        <v/>
      </c>
      <c r="P23" s="17">
        <f>IF('ORDENES'!$T19="correctiva",N23,0)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"&amp;IF(INDEX('ORDENES'!$AF$4:$AF$1203,U23)="","(s/t)",INDEX('ORDENES'!$AF$4:$AF$1203,U23))&amp;" · "&amp;IF(INDEX('ORDENES'!$AE$4:$AE$1203,U23)="","(sin técnico)",INDEX('ORDENES'!$AE$4:$AE$1203,U23))&amp;" · "&amp;INDEX('ORDENES'!$AQ$4:$AQ$1203,U23)&amp;"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"&amp;IF(INDEX('ORDENES'!$AE$4:$AE$1203,Y23)="","(sin técnico)",INDEX('ORDENES'!$AE$4:$AE$1203,Y23))&amp;IF(INDEX('ORDENES'!$AL$4:$AL$1203,Y23)&lt;&gt;""," · permiso de trabajo","")&amp;IF(INDEX('ORDENES'!$AM$4:$AM$1203,Y23)&lt;&gt;""," · bloqueo de energía (LOTO)",""))</f>
        <v/>
      </c>
    </row>
    <row r="24">
      <c r="K24" s="3">
        <f>IF(AND(IF($B$3="(todos)",TRUE,'ORDENES'!$O20=$B$3),IF($D$3="(todos)",TRUE,'ORDENES'!$AF20=$D$3),IF($F$3="(todos)",TRUE,'ORDENES'!$X20=$F$3),IF($H$3="(todos)",TRUE,'ORDENES'!$W20=$H$3),'ORDENES'!$AD20=TRUE,'ORDENES'!$A20&lt;&gt;""),1,0)</f>
        <v/>
      </c>
      <c r="L24" s="3">
        <f>IF(K24=1,IFERROR(MATCH('ORDENES'!$R20,lista_dias,0),9)*1000000000+IFERROR(MATCH('ORDENES'!$AF20,lista_turnos,0),9)*10000000+IFERROR(MATCH('ORDENES'!$AE20,'TECNICOS'!$B$4:$B$15,0),99)*100000+17,9000000000000+17)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IF('ORDENES'!$T20="preventiva",N24,0)</f>
        <v/>
      </c>
      <c r="P24" s="17">
        <f>IF('ORDENES'!$T20="correctiva",N24,0)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"&amp;IF(INDEX('ORDENES'!$AF$4:$AF$1203,U24)="","(s/t)",INDEX('ORDENES'!$AF$4:$AF$1203,U24))&amp;" · "&amp;IF(INDEX('ORDENES'!$AE$4:$AE$1203,U24)="","(sin técnico)",INDEX('ORDENES'!$AE$4:$AE$1203,U24))&amp;" · "&amp;INDEX('ORDENES'!$AQ$4:$AQ$1203,U24)&amp;"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"&amp;IF(INDEX('ORDENES'!$AE$4:$AE$1203,Y24)="","(sin técnico)",INDEX('ORDENES'!$AE$4:$AE$1203,Y24))&amp;IF(INDEX('ORDENES'!$AL$4:$AL$1203,Y24)&lt;&gt;""," · permiso de trabajo","")&amp;IF(INDEX('ORDENES'!$AM$4:$AM$1203,Y24)&lt;&gt;""," · bloqueo de energía (LOTO)",""))</f>
        <v/>
      </c>
    </row>
    <row r="25">
      <c r="K25" s="3">
        <f>IF(AND(IF($B$3="(todos)",TRUE,'ORDENES'!$O21=$B$3),IF($D$3="(todos)",TRUE,'ORDENES'!$AF21=$D$3),IF($F$3="(todos)",TRUE,'ORDENES'!$X21=$F$3),IF($H$3="(todos)",TRUE,'ORDENES'!$W21=$H$3),'ORDENES'!$AD21=TRUE,'ORDENES'!$A21&lt;&gt;""),1,0)</f>
        <v/>
      </c>
      <c r="L25" s="3">
        <f>IF(K25=1,IFERROR(MATCH('ORDENES'!$R21,lista_dias,0),9)*1000000000+IFERROR(MATCH('ORDENES'!$AF21,lista_turnos,0),9)*10000000+IFERROR(MATCH('ORDENES'!$AE21,'TECNICOS'!$B$4:$B$15,0),99)*100000+18,9000000000000+18)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IF('ORDENES'!$T21="preventiva",N25,0)</f>
        <v/>
      </c>
      <c r="P25" s="17">
        <f>IF('ORDENES'!$T21="correctiva",N25,0)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"&amp;IF(INDEX('ORDENES'!$AF$4:$AF$1203,U25)="","(s/t)",INDEX('ORDENES'!$AF$4:$AF$1203,U25))&amp;" · "&amp;IF(INDEX('ORDENES'!$AE$4:$AE$1203,U25)="","(sin técnico)",INDEX('ORDENES'!$AE$4:$AE$1203,U25))&amp;" · "&amp;INDEX('ORDENES'!$AQ$4:$AQ$1203,U25)&amp;"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"&amp;IF(INDEX('ORDENES'!$AE$4:$AE$1203,Y25)="","(sin técnico)",INDEX('ORDENES'!$AE$4:$AE$1203,Y25))&amp;IF(INDEX('ORDENES'!$AL$4:$AL$1203,Y25)&lt;&gt;""," · permiso de trabajo","")&amp;IF(INDEX('ORDENES'!$AM$4:$AM$1203,Y25)&lt;&gt;""," · bloqueo de energía (LOTO)",""))</f>
        <v/>
      </c>
    </row>
    <row r="26">
      <c r="K26" s="3">
        <f>IF(AND(IF($B$3="(todos)",TRUE,'ORDENES'!$O22=$B$3),IF($D$3="(todos)",TRUE,'ORDENES'!$AF22=$D$3),IF($F$3="(todos)",TRUE,'ORDENES'!$X22=$F$3),IF($H$3="(todos)",TRUE,'ORDENES'!$W22=$H$3),'ORDENES'!$AD22=TRUE,'ORDENES'!$A22&lt;&gt;""),1,0)</f>
        <v/>
      </c>
      <c r="L26" s="3">
        <f>IF(K26=1,IFERROR(MATCH('ORDENES'!$R22,lista_dias,0),9)*1000000000+IFERROR(MATCH('ORDENES'!$AF22,lista_turnos,0),9)*10000000+IFERROR(MATCH('ORDENES'!$AE22,'TECNICOS'!$B$4:$B$15,0),99)*100000+19,9000000000000+19)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IF('ORDENES'!$T22="preventiva",N26,0)</f>
        <v/>
      </c>
      <c r="P26" s="17">
        <f>IF('ORDENES'!$T22="correctiva",N26,0)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"&amp;IF(INDEX('ORDENES'!$AF$4:$AF$1203,U26)="","(s/t)",INDEX('ORDENES'!$AF$4:$AF$1203,U26))&amp;" · "&amp;IF(INDEX('ORDENES'!$AE$4:$AE$1203,U26)="","(sin técnico)",INDEX('ORDENES'!$AE$4:$AE$1203,U26))&amp;" · "&amp;INDEX('ORDENES'!$AQ$4:$AQ$1203,U26)&amp;"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"&amp;IF(INDEX('ORDENES'!$AE$4:$AE$1203,Y26)="","(sin técnico)",INDEX('ORDENES'!$AE$4:$AE$1203,Y26))&amp;IF(INDEX('ORDENES'!$AL$4:$AL$1203,Y26)&lt;&gt;""," · permiso de trabajo","")&amp;IF(INDEX('ORDENES'!$AM$4:$AM$1203,Y26)&lt;&gt;""," · bloqueo de energía (LOTO)",""))</f>
        <v/>
      </c>
    </row>
    <row r="27">
      <c r="K27" s="3">
        <f>IF(AND(IF($B$3="(todos)",TRUE,'ORDENES'!$O23=$B$3),IF($D$3="(todos)",TRUE,'ORDENES'!$AF23=$D$3),IF($F$3="(todos)",TRUE,'ORDENES'!$X23=$F$3),IF($H$3="(todos)",TRUE,'ORDENES'!$W23=$H$3),'ORDENES'!$AD23=TRUE,'ORDENES'!$A23&lt;&gt;""),1,0)</f>
        <v/>
      </c>
      <c r="L27" s="3">
        <f>IF(K27=1,IFERROR(MATCH('ORDENES'!$R23,lista_dias,0),9)*1000000000+IFERROR(MATCH('ORDENES'!$AF23,lista_turnos,0),9)*10000000+IFERROR(MATCH('ORDENES'!$AE23,'TECNICOS'!$B$4:$B$15,0),99)*100000+20,9000000000000+20)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IF('ORDENES'!$T23="preventiva",N27,0)</f>
        <v/>
      </c>
      <c r="P27" s="17">
        <f>IF('ORDENES'!$T23="correctiva",N27,0)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"&amp;IF(INDEX('ORDENES'!$AF$4:$AF$1203,U27)="","(s/t)",INDEX('ORDENES'!$AF$4:$AF$1203,U27))&amp;" · "&amp;IF(INDEX('ORDENES'!$AE$4:$AE$1203,U27)="","(sin técnico)",INDEX('ORDENES'!$AE$4:$AE$1203,U27))&amp;" · "&amp;INDEX('ORDENES'!$AQ$4:$AQ$1203,U27)&amp;"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"&amp;IF(INDEX('ORDENES'!$AE$4:$AE$1203,Y27)="","(sin técnico)",INDEX('ORDENES'!$AE$4:$AE$1203,Y27))&amp;IF(INDEX('ORDENES'!$AL$4:$AL$1203,Y27)&lt;&gt;""," · permiso de trabajo","")&amp;IF(INDEX('ORDENES'!$AM$4:$AM$1203,Y27)&lt;&gt;""," · bloqueo de energía (LOTO)",""))</f>
        <v/>
      </c>
    </row>
    <row r="28">
      <c r="K28" s="3">
        <f>IF(AND(IF($B$3="(todos)",TRUE,'ORDENES'!$O24=$B$3),IF($D$3="(todos)",TRUE,'ORDENES'!$AF24=$D$3),IF($F$3="(todos)",TRUE,'ORDENES'!$X24=$F$3),IF($H$3="(todos)",TRUE,'ORDENES'!$W24=$H$3),'ORDENES'!$AD24=TRUE,'ORDENES'!$A24&lt;&gt;""),1,0)</f>
        <v/>
      </c>
      <c r="L28" s="3">
        <f>IF(K28=1,IFERROR(MATCH('ORDENES'!$R24,lista_dias,0),9)*1000000000+IFERROR(MATCH('ORDENES'!$AF24,lista_turnos,0),9)*10000000+IFERROR(MATCH('ORDENES'!$AE24,'TECNICOS'!$B$4:$B$15,0),99)*100000+21,9000000000000+21)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IF('ORDENES'!$T24="preventiva",N28,0)</f>
        <v/>
      </c>
      <c r="P28" s="17">
        <f>IF('ORDENES'!$T24="correctiva",N28,0)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"&amp;IF(INDEX('ORDENES'!$AF$4:$AF$1203,U28)="","(s/t)",INDEX('ORDENES'!$AF$4:$AF$1203,U28))&amp;" · "&amp;IF(INDEX('ORDENES'!$AE$4:$AE$1203,U28)="","(sin técnico)",INDEX('ORDENES'!$AE$4:$AE$1203,U28))&amp;" · "&amp;INDEX('ORDENES'!$AQ$4:$AQ$1203,U28)&amp;"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IF(AND(IF($B$3="(todos)",TRUE,'ORDENES'!$O25=$B$3),IF($D$3="(todos)",TRUE,'ORDENES'!$AF25=$D$3),IF($F$3="(todos)",TRUE,'ORDENES'!$X25=$F$3),IF($H$3="(todos)",TRUE,'ORDENES'!$W25=$H$3),'ORDENES'!$AD25=TRUE,'ORDENES'!$A25&lt;&gt;""),1,0)</f>
        <v/>
      </c>
      <c r="L29" s="3">
        <f>IF(K29=1,IFERROR(MATCH('ORDENES'!$R25,lista_dias,0),9)*1000000000+IFERROR(MATCH('ORDENES'!$AF25,lista_turnos,0),9)*10000000+IFERROR(MATCH('ORDENES'!$AE25,'TECNICOS'!$B$4:$B$15,0),99)*100000+22,9000000000000+22)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IF('ORDENES'!$T25="preventiva",N29,0)</f>
        <v/>
      </c>
      <c r="P29" s="17">
        <f>IF('ORDENES'!$T25="correctiva",N29,0)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"&amp;IF(INDEX('ORDENES'!$AF$4:$AF$1203,U29)="","(s/t)",INDEX('ORDENES'!$AF$4:$AF$1203,U29))&amp;" · "&amp;IF(INDEX('ORDENES'!$AE$4:$AE$1203,U29)="","(sin técnico)",INDEX('ORDENES'!$AE$4:$AE$1203,U29))&amp;" · "&amp;INDEX('ORDENES'!$AQ$4:$AQ$1203,U29)&amp;"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IF(AND(IF($B$3="(todos)",TRUE,'ORDENES'!$O26=$B$3),IF($D$3="(todos)",TRUE,'ORDENES'!$AF26=$D$3),IF($F$3="(todos)",TRUE,'ORDENES'!$X26=$F$3),IF($H$3="(todos)",TRUE,'ORDENES'!$W26=$H$3),'ORDENES'!$AD26=TRUE,'ORDENES'!$A26&lt;&gt;""),1,0)</f>
        <v/>
      </c>
      <c r="L30" s="3">
        <f>IF(K30=1,IFERROR(MATCH('ORDENES'!$R26,lista_dias,0),9)*1000000000+IFERROR(MATCH('ORDENES'!$AF26,lista_turnos,0),9)*10000000+IFERROR(MATCH('ORDENES'!$AE26,'TECNICOS'!$B$4:$B$15,0),99)*100000+23,9000000000000+23)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IF('ORDENES'!$T26="preventiva",N30,0)</f>
        <v/>
      </c>
      <c r="P30" s="17">
        <f>IF('ORDENES'!$T26="correctiva",N30,0)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"&amp;IF(INDEX('ORDENES'!$AF$4:$AF$1203,U30)="","(s/t)",INDEX('ORDENES'!$AF$4:$AF$1203,U30))&amp;" · "&amp;IF(INDEX('ORDENES'!$AE$4:$AE$1203,U30)="","(sin técnico)",INDEX('ORDENES'!$AE$4:$AE$1203,U30))&amp;" · "&amp;INDEX('ORDENES'!$AQ$4:$AQ$1203,U30)&amp;"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IF(AND(IF($B$3="(todos)",TRUE,'ORDENES'!$O27=$B$3),IF($D$3="(todos)",TRUE,'ORDENES'!$AF27=$D$3),IF($F$3="(todos)",TRUE,'ORDENES'!$X27=$F$3),IF($H$3="(todos)",TRUE,'ORDENES'!$W27=$H$3),'ORDENES'!$AD27=TRUE,'ORDENES'!$A27&lt;&gt;""),1,0)</f>
        <v/>
      </c>
      <c r="L31" s="3">
        <f>IF(K31=1,IFERROR(MATCH('ORDENES'!$R27,lista_dias,0),9)*1000000000+IFERROR(MATCH('ORDENES'!$AF27,lista_turnos,0),9)*10000000+IFERROR(MATCH('ORDENES'!$AE27,'TECNICOS'!$B$4:$B$15,0),99)*100000+24,9000000000000+24)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IF('ORDENES'!$T27="preventiva",N31,0)</f>
        <v/>
      </c>
      <c r="P31" s="17">
        <f>IF('ORDENES'!$T27="correctiva",N31,0)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"&amp;IF(INDEX('ORDENES'!$AF$4:$AF$1203,U31)="","(s/t)",INDEX('ORDENES'!$AF$4:$AF$1203,U31))&amp;" · "&amp;IF(INDEX('ORDENES'!$AE$4:$AE$1203,U31)="","(sin técnico)",INDEX('ORDENES'!$AE$4:$AE$1203,U31))&amp;" · "&amp;INDEX('ORDENES'!$AQ$4:$AQ$1203,U31)&amp;"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IF(AND(IF($B$3="(todos)",TRUE,'ORDENES'!$O28=$B$3),IF($D$3="(todos)",TRUE,'ORDENES'!$AF28=$D$3),IF($F$3="(todos)",TRUE,'ORDENES'!$X28=$F$3),IF($H$3="(todos)",TRUE,'ORDENES'!$W28=$H$3),'ORDENES'!$AD28=TRUE,'ORDENES'!$A28&lt;&gt;""),1,0)</f>
        <v/>
      </c>
      <c r="L32" s="3">
        <f>IF(K32=1,IFERROR(MATCH('ORDENES'!$R28,lista_dias,0),9)*1000000000+IFERROR(MATCH('ORDENES'!$AF28,lista_turnos,0),9)*10000000+IFERROR(MATCH('ORDENES'!$AE28,'TECNICOS'!$B$4:$B$15,0),99)*100000+25,9000000000000+25)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IF('ORDENES'!$T28="preventiva",N32,0)</f>
        <v/>
      </c>
      <c r="P32" s="17">
        <f>IF('ORDENES'!$T28="correctiva",N32,0)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"&amp;IF(INDEX('ORDENES'!$AF$4:$AF$1203,U32)="","(s/t)",INDEX('ORDENES'!$AF$4:$AF$1203,U32))&amp;" · "&amp;IF(INDEX('ORDENES'!$AE$4:$AE$1203,U32)="","(sin técnico)",INDEX('ORDENES'!$AE$4:$AE$1203,U32))&amp;" · "&amp;INDEX('ORDENES'!$AQ$4:$AQ$1203,U32)&amp;"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IF(AND(IF($B$3="(todos)",TRUE,'ORDENES'!$O29=$B$3),IF($D$3="(todos)",TRUE,'ORDENES'!$AF29=$D$3),IF($F$3="(todos)",TRUE,'ORDENES'!$X29=$F$3),IF($H$3="(todos)",TRUE,'ORDENES'!$W29=$H$3),'ORDENES'!$AD29=TRUE,'ORDENES'!$A29&lt;&gt;""),1,0)</f>
        <v/>
      </c>
      <c r="L33" s="3">
        <f>IF(K33=1,IFERROR(MATCH('ORDENES'!$R29,lista_dias,0),9)*1000000000+IFERROR(MATCH('ORDENES'!$AF29,lista_turnos,0),9)*10000000+IFERROR(MATCH('ORDENES'!$AE29,'TECNICOS'!$B$4:$B$15,0),99)*100000+26,9000000000000+26)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IF('ORDENES'!$T29="preventiva",N33,0)</f>
        <v/>
      </c>
      <c r="P33" s="17">
        <f>IF('ORDENES'!$T29="correctiva",N33,0)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"&amp;IF(INDEX('ORDENES'!$AF$4:$AF$1203,U33)="","(s/t)",INDEX('ORDENES'!$AF$4:$AF$1203,U33))&amp;" · "&amp;IF(INDEX('ORDENES'!$AE$4:$AE$1203,U33)="","(sin técnico)",INDEX('ORDENES'!$AE$4:$AE$1203,U33))&amp;" · "&amp;INDEX('ORDENES'!$AQ$4:$AQ$1203,U33)&amp;"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IF(AND(IF($B$3="(todos)",TRUE,'ORDENES'!$O30=$B$3),IF($D$3="(todos)",TRUE,'ORDENES'!$AF30=$D$3),IF($F$3="(todos)",TRUE,'ORDENES'!$X30=$F$3),IF($H$3="(todos)",TRUE,'ORDENES'!$W30=$H$3),'ORDENES'!$AD30=TRUE,'ORDENES'!$A30&lt;&gt;""),1,0)</f>
        <v/>
      </c>
      <c r="L34" s="3">
        <f>IF(K34=1,IFERROR(MATCH('ORDENES'!$R30,lista_dias,0),9)*1000000000+IFERROR(MATCH('ORDENES'!$AF30,lista_turnos,0),9)*10000000+IFERROR(MATCH('ORDENES'!$AE30,'TECNICOS'!$B$4:$B$15,0),99)*100000+27,9000000000000+27)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IF('ORDENES'!$T30="preventiva",N34,0)</f>
        <v/>
      </c>
      <c r="P34" s="17">
        <f>IF('ORDENES'!$T30="correctiva",N34,0)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"&amp;IF(INDEX('ORDENES'!$AF$4:$AF$1203,U34)="","(s/t)",INDEX('ORDENES'!$AF$4:$AF$1203,U34))&amp;" · "&amp;IF(INDEX('ORDENES'!$AE$4:$AE$1203,U34)="","(sin técnico)",INDEX('ORDENES'!$AE$4:$AE$1203,U34))&amp;" · "&amp;INDEX('ORDENES'!$AQ$4:$AQ$1203,U34)&amp;"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IF(AND(IF($B$3="(todos)",TRUE,'ORDENES'!$O31=$B$3),IF($D$3="(todos)",TRUE,'ORDENES'!$AF31=$D$3),IF($F$3="(todos)",TRUE,'ORDENES'!$X31=$F$3),IF($H$3="(todos)",TRUE,'ORDENES'!$W31=$H$3),'ORDENES'!$AD31=TRUE,'ORDENES'!$A31&lt;&gt;""),1,0)</f>
        <v/>
      </c>
      <c r="L35" s="3">
        <f>IF(K35=1,IFERROR(MATCH('ORDENES'!$R31,lista_dias,0),9)*1000000000+IFERROR(MATCH('ORDENES'!$AF31,lista_turnos,0),9)*10000000+IFERROR(MATCH('ORDENES'!$AE31,'TECNICOS'!$B$4:$B$15,0),99)*100000+28,9000000000000+28)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IF('ORDENES'!$T31="preventiva",N35,0)</f>
        <v/>
      </c>
      <c r="P35" s="17">
        <f>IF('ORDENES'!$T31="correctiva",N35,0)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"&amp;IF(INDEX('ORDENES'!$AF$4:$AF$1203,U35)="","(s/t)",INDEX('ORDENES'!$AF$4:$AF$1203,U35))&amp;" · "&amp;IF(INDEX('ORDENES'!$AE$4:$AE$1203,U35)="","(sin técnico)",INDEX('ORDENES'!$AE$4:$AE$1203,U35))&amp;" · "&amp;INDEX('ORDENES'!$AQ$4:$AQ$1203,U35)&amp;"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IF(AND(IF($B$3="(todos)",TRUE,'ORDENES'!$O32=$B$3),IF($D$3="(todos)",TRUE,'ORDENES'!$AF32=$D$3),IF($F$3="(todos)",TRUE,'ORDENES'!$X32=$F$3),IF($H$3="(todos)",TRUE,'ORDENES'!$W32=$H$3),'ORDENES'!$AD32=TRUE,'ORDENES'!$A32&lt;&gt;""),1,0)</f>
        <v/>
      </c>
      <c r="L36" s="3">
        <f>IF(K36=1,IFERROR(MATCH('ORDENES'!$R32,lista_dias,0),9)*1000000000+IFERROR(MATCH('ORDENES'!$AF32,lista_turnos,0),9)*10000000+IFERROR(MATCH('ORDENES'!$AE32,'TECNICOS'!$B$4:$B$15,0),99)*100000+29,9000000000000+29)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IF('ORDENES'!$T32="preventiva",N36,0)</f>
        <v/>
      </c>
      <c r="P36" s="17">
        <f>IF('ORDENES'!$T32="correctiva",N36,0)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"&amp;IF(INDEX('ORDENES'!$AF$4:$AF$1203,U36)="","(s/t)",INDEX('ORDENES'!$AF$4:$AF$1203,U36))&amp;" · "&amp;IF(INDEX('ORDENES'!$AE$4:$AE$1203,U36)="","(sin técnico)",INDEX('ORDENES'!$AE$4:$AE$1203,U36))&amp;" · "&amp;INDEX('ORDENES'!$AQ$4:$AQ$1203,U36)&amp;"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IF(AND(IF($B$3="(todos)",TRUE,'ORDENES'!$O33=$B$3),IF($D$3="(todos)",TRUE,'ORDENES'!$AF33=$D$3),IF($F$3="(todos)",TRUE,'ORDENES'!$X33=$F$3),IF($H$3="(todos)",TRUE,'ORDENES'!$W33=$H$3),'ORDENES'!$AD33=TRUE,'ORDENES'!$A33&lt;&gt;""),1,0)</f>
        <v/>
      </c>
      <c r="L37" s="3">
        <f>IF(K37=1,IFERROR(MATCH('ORDENES'!$R33,lista_dias,0),9)*1000000000+IFERROR(MATCH('ORDENES'!$AF33,lista_turnos,0),9)*10000000+IFERROR(MATCH('ORDENES'!$AE33,'TECNICOS'!$B$4:$B$15,0),99)*100000+30,9000000000000+30)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IF('ORDENES'!$T33="preventiva",N37,0)</f>
        <v/>
      </c>
      <c r="P37" s="17">
        <f>IF('ORDENES'!$T33="correctiva",N37,0)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"&amp;IF(INDEX('ORDENES'!$AF$4:$AF$1203,U37)="","(s/t)",INDEX('ORDENES'!$AF$4:$AF$1203,U37))&amp;" · "&amp;IF(INDEX('ORDENES'!$AE$4:$AE$1203,U37)="","(sin técnico)",INDEX('ORDENES'!$AE$4:$AE$1203,U37))&amp;" · "&amp;INDEX('ORDENES'!$AQ$4:$AQ$1203,U37)&amp;"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IF(AND(IF($B$3="(todos)",TRUE,'ORDENES'!$O34=$B$3),IF($D$3="(todos)",TRUE,'ORDENES'!$AF34=$D$3),IF($F$3="(todos)",TRUE,'ORDENES'!$X34=$F$3),IF($H$3="(todos)",TRUE,'ORDENES'!$W34=$H$3),'ORDENES'!$AD34=TRUE,'ORDENES'!$A34&lt;&gt;""),1,0)</f>
        <v/>
      </c>
      <c r="L38" s="3">
        <f>IF(K38=1,IFERROR(MATCH('ORDENES'!$R34,lista_dias,0),9)*1000000000+IFERROR(MATCH('ORDENES'!$AF34,lista_turnos,0),9)*10000000+IFERROR(MATCH('ORDENES'!$AE34,'TECNICOS'!$B$4:$B$15,0),99)*100000+31,9000000000000+31)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IF('ORDENES'!$T34="preventiva",N38,0)</f>
        <v/>
      </c>
      <c r="P38" s="17">
        <f>IF('ORDENES'!$T34="correctiva",N38,0)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"&amp;IF(INDEX('ORDENES'!$AF$4:$AF$1203,U38)="","(s/t)",INDEX('ORDENES'!$AF$4:$AF$1203,U38))&amp;" · "&amp;IF(INDEX('ORDENES'!$AE$4:$AE$1203,U38)="","(sin técnico)",INDEX('ORDENES'!$AE$4:$AE$1203,U38))&amp;" · "&amp;INDEX('ORDENES'!$AQ$4:$AQ$1203,U38)&amp;"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IF(AND(IF($B$3="(todos)",TRUE,'ORDENES'!$O35=$B$3),IF($D$3="(todos)",TRUE,'ORDENES'!$AF35=$D$3),IF($F$3="(todos)",TRUE,'ORDENES'!$X35=$F$3),IF($H$3="(todos)",TRUE,'ORDENES'!$W35=$H$3),'ORDENES'!$AD35=TRUE,'ORDENES'!$A35&lt;&gt;""),1,0)</f>
        <v/>
      </c>
      <c r="L39" s="3">
        <f>IF(K39=1,IFERROR(MATCH('ORDENES'!$R35,lista_dias,0),9)*1000000000+IFERROR(MATCH('ORDENES'!$AF35,lista_turnos,0),9)*10000000+IFERROR(MATCH('ORDENES'!$AE35,'TECNICOS'!$B$4:$B$15,0),99)*100000+32,9000000000000+32)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IF('ORDENES'!$T35="preventiva",N39,0)</f>
        <v/>
      </c>
      <c r="P39" s="17">
        <f>IF('ORDENES'!$T35="correctiva",N39,0)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"&amp;IF(INDEX('ORDENES'!$AF$4:$AF$1203,U39)="","(s/t)",INDEX('ORDENES'!$AF$4:$AF$1203,U39))&amp;" · "&amp;IF(INDEX('ORDENES'!$AE$4:$AE$1203,U39)="","(sin técnico)",INDEX('ORDENES'!$AE$4:$AE$1203,U39))&amp;" · "&amp;INDEX('ORDENES'!$AQ$4:$AQ$1203,U39)&amp;"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IF(AND(IF($B$3="(todos)",TRUE,'ORDENES'!$O36=$B$3),IF($D$3="(todos)",TRUE,'ORDENES'!$AF36=$D$3),IF($F$3="(todos)",TRUE,'ORDENES'!$X36=$F$3),IF($H$3="(todos)",TRUE,'ORDENES'!$W36=$H$3),'ORDENES'!$AD36=TRUE,'ORDENES'!$A36&lt;&gt;""),1,0)</f>
        <v/>
      </c>
      <c r="L40" s="3">
        <f>IF(K40=1,IFERROR(MATCH('ORDENES'!$R36,lista_dias,0),9)*1000000000+IFERROR(MATCH('ORDENES'!$AF36,lista_turnos,0),9)*10000000+IFERROR(MATCH('ORDENES'!$AE36,'TECNICOS'!$B$4:$B$15,0),99)*100000+33,9000000000000+33)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IF('ORDENES'!$T36="preventiva",N40,0)</f>
        <v/>
      </c>
      <c r="P40" s="17">
        <f>IF('ORDENES'!$T36="correctiva",N40,0)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"&amp;IF(INDEX('ORDENES'!$AF$4:$AF$1203,U40)="","(s/t)",INDEX('ORDENES'!$AF$4:$AF$1203,U40))&amp;" · "&amp;IF(INDEX('ORDENES'!$AE$4:$AE$1203,U40)="","(sin técnico)",INDEX('ORDENES'!$AE$4:$AE$1203,U40))&amp;" · "&amp;INDEX('ORDENES'!$AQ$4:$AQ$1203,U40)&amp;"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IF(AND(IF($B$3="(todos)",TRUE,'ORDENES'!$O37=$B$3),IF($D$3="(todos)",TRUE,'ORDENES'!$AF37=$D$3),IF($F$3="(todos)",TRUE,'ORDENES'!$X37=$F$3),IF($H$3="(todos)",TRUE,'ORDENES'!$W37=$H$3),'ORDENES'!$AD37=TRUE,'ORDENES'!$A37&lt;&gt;""),1,0)</f>
        <v/>
      </c>
      <c r="L41" s="3">
        <f>IF(K41=1,IFERROR(MATCH('ORDENES'!$R37,lista_dias,0),9)*1000000000+IFERROR(MATCH('ORDENES'!$AF37,lista_turnos,0),9)*10000000+IFERROR(MATCH('ORDENES'!$AE37,'TECNICOS'!$B$4:$B$15,0),99)*100000+34,9000000000000+34)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IF('ORDENES'!$T37="preventiva",N41,0)</f>
        <v/>
      </c>
      <c r="P41" s="17">
        <f>IF('ORDENES'!$T37="correctiva",N41,0)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"&amp;IF(INDEX('ORDENES'!$AF$4:$AF$1203,U41)="","(s/t)",INDEX('ORDENES'!$AF$4:$AF$1203,U41))&amp;" · "&amp;IF(INDEX('ORDENES'!$AE$4:$AE$1203,U41)="","(sin técnico)",INDEX('ORDENES'!$AE$4:$AE$1203,U41))&amp;" · "&amp;INDEX('ORDENES'!$AQ$4:$AQ$1203,U41)&amp;"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IF(AND(IF($B$3="(todos)",TRUE,'ORDENES'!$O38=$B$3),IF($D$3="(todos)",TRUE,'ORDENES'!$AF38=$D$3),IF($F$3="(todos)",TRUE,'ORDENES'!$X38=$F$3),IF($H$3="(todos)",TRUE,'ORDENES'!$W38=$H$3),'ORDENES'!$AD38=TRUE,'ORDENES'!$A38&lt;&gt;""),1,0)</f>
        <v/>
      </c>
      <c r="L42" s="3">
        <f>IF(K42=1,IFERROR(MATCH('ORDENES'!$R38,lista_dias,0),9)*1000000000+IFERROR(MATCH('ORDENES'!$AF38,lista_turnos,0),9)*10000000+IFERROR(MATCH('ORDENES'!$AE38,'TECNICOS'!$B$4:$B$15,0),99)*100000+35,9000000000000+35)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IF('ORDENES'!$T38="preventiva",N42,0)</f>
        <v/>
      </c>
      <c r="P42" s="17">
        <f>IF('ORDENES'!$T38="correctiva",N42,0)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"&amp;IF(INDEX('ORDENES'!$AF$4:$AF$1203,U42)="","(s/t)",INDEX('ORDENES'!$AF$4:$AF$1203,U42))&amp;" · "&amp;IF(INDEX('ORDENES'!$AE$4:$AE$1203,U42)="","(sin técnico)",INDEX('ORDENES'!$AE$4:$AE$1203,U42))&amp;" · "&amp;INDEX('ORDENES'!$AQ$4:$AQ$1203,U42)&amp;"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IF(AND(IF($B$3="(todos)",TRUE,'ORDENES'!$O39=$B$3),IF($D$3="(todos)",TRUE,'ORDENES'!$AF39=$D$3),IF($F$3="(todos)",TRUE,'ORDENES'!$X39=$F$3),IF($H$3="(todos)",TRUE,'ORDENES'!$W39=$H$3),'ORDENES'!$AD39=TRUE,'ORDENES'!$A39&lt;&gt;""),1,0)</f>
        <v/>
      </c>
      <c r="L43" s="3">
        <f>IF(K43=1,IFERROR(MATCH('ORDENES'!$R39,lista_dias,0),9)*1000000000+IFERROR(MATCH('ORDENES'!$AF39,lista_turnos,0),9)*10000000+IFERROR(MATCH('ORDENES'!$AE39,'TECNICOS'!$B$4:$B$15,0),99)*100000+36,9000000000000+36)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IF('ORDENES'!$T39="preventiva",N43,0)</f>
        <v/>
      </c>
      <c r="P43" s="17">
        <f>IF('ORDENES'!$T39="correctiva",N43,0)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"&amp;IF(INDEX('ORDENES'!$AF$4:$AF$1203,U43)="","(s/t)",INDEX('ORDENES'!$AF$4:$AF$1203,U43))&amp;" · "&amp;IF(INDEX('ORDENES'!$AE$4:$AE$1203,U43)="","(sin técnico)",INDEX('ORDENES'!$AE$4:$AE$1203,U43))&amp;" · "&amp;INDEX('ORDENES'!$AQ$4:$AQ$1203,U43)&amp;"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IF(AND(IF($B$3="(todos)",TRUE,'ORDENES'!$O40=$B$3),IF($D$3="(todos)",TRUE,'ORDENES'!$AF40=$D$3),IF($F$3="(todos)",TRUE,'ORDENES'!$X40=$F$3),IF($H$3="(todos)",TRUE,'ORDENES'!$W40=$H$3),'ORDENES'!$AD40=TRUE,'ORDENES'!$A40&lt;&gt;""),1,0)</f>
        <v/>
      </c>
      <c r="L44" s="3">
        <f>IF(K44=1,IFERROR(MATCH('ORDENES'!$R40,lista_dias,0),9)*1000000000+IFERROR(MATCH('ORDENES'!$AF40,lista_turnos,0),9)*10000000+IFERROR(MATCH('ORDENES'!$AE40,'TECNICOS'!$B$4:$B$15,0),99)*100000+37,9000000000000+37)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IF('ORDENES'!$T40="preventiva",N44,0)</f>
        <v/>
      </c>
      <c r="P44" s="17">
        <f>IF('ORDENES'!$T40="correctiva",N44,0)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"&amp;IF(INDEX('ORDENES'!$AF$4:$AF$1203,U44)="","(s/t)",INDEX('ORDENES'!$AF$4:$AF$1203,U44))&amp;" · "&amp;IF(INDEX('ORDENES'!$AE$4:$AE$1203,U44)="","(sin técnico)",INDEX('ORDENES'!$AE$4:$AE$1203,U44))&amp;" · "&amp;INDEX('ORDENES'!$AQ$4:$AQ$1203,U44)&amp;"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IF(AND(IF($B$3="(todos)",TRUE,'ORDENES'!$O41=$B$3),IF($D$3="(todos)",TRUE,'ORDENES'!$AF41=$D$3),IF($F$3="(todos)",TRUE,'ORDENES'!$X41=$F$3),IF($H$3="(todos)",TRUE,'ORDENES'!$W41=$H$3),'ORDENES'!$AD41=TRUE,'ORDENES'!$A41&lt;&gt;""),1,0)</f>
        <v/>
      </c>
      <c r="L45" s="3">
        <f>IF(K45=1,IFERROR(MATCH('ORDENES'!$R41,lista_dias,0),9)*1000000000+IFERROR(MATCH('ORDENES'!$AF41,lista_turnos,0),9)*10000000+IFERROR(MATCH('ORDENES'!$AE41,'TECNICOS'!$B$4:$B$15,0),99)*100000+38,9000000000000+38)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IF('ORDENES'!$T41="preventiva",N45,0)</f>
        <v/>
      </c>
      <c r="P45" s="17">
        <f>IF('ORDENES'!$T41="correctiva",N45,0)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"&amp;IF(INDEX('ORDENES'!$AF$4:$AF$1203,U45)="","(s/t)",INDEX('ORDENES'!$AF$4:$AF$1203,U45))&amp;" · "&amp;IF(INDEX('ORDENES'!$AE$4:$AE$1203,U45)="","(sin técnico)",INDEX('ORDENES'!$AE$4:$AE$1203,U45))&amp;" · "&amp;INDEX('ORDENES'!$AQ$4:$AQ$1203,U45)&amp;"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IF(AND(IF($B$3="(todos)",TRUE,'ORDENES'!$O42=$B$3),IF($D$3="(todos)",TRUE,'ORDENES'!$AF42=$D$3),IF($F$3="(todos)",TRUE,'ORDENES'!$X42=$F$3),IF($H$3="(todos)",TRUE,'ORDENES'!$W42=$H$3),'ORDENES'!$AD42=TRUE,'ORDENES'!$A42&lt;&gt;""),1,0)</f>
        <v/>
      </c>
      <c r="L46" s="3">
        <f>IF(K46=1,IFERROR(MATCH('ORDENES'!$R42,lista_dias,0),9)*1000000000+IFERROR(MATCH('ORDENES'!$AF42,lista_turnos,0),9)*10000000+IFERROR(MATCH('ORDENES'!$AE42,'TECNICOS'!$B$4:$B$15,0),99)*100000+39,9000000000000+39)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IF('ORDENES'!$T42="preventiva",N46,0)</f>
        <v/>
      </c>
      <c r="P46" s="17">
        <f>IF('ORDENES'!$T42="correctiva",N46,0)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"&amp;IF(INDEX('ORDENES'!$AF$4:$AF$1203,U46)="","(s/t)",INDEX('ORDENES'!$AF$4:$AF$1203,U46))&amp;" · "&amp;IF(INDEX('ORDENES'!$AE$4:$AE$1203,U46)="","(sin técnico)",INDEX('ORDENES'!$AE$4:$AE$1203,U46))&amp;" · "&amp;INDEX('ORDENES'!$AQ$4:$AQ$1203,U46)&amp;"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IF(AND(IF($B$3="(todos)",TRUE,'ORDENES'!$O43=$B$3),IF($D$3="(todos)",TRUE,'ORDENES'!$AF43=$D$3),IF($F$3="(todos)",TRUE,'ORDENES'!$X43=$F$3),IF($H$3="(todos)",TRUE,'ORDENES'!$W43=$H$3),'ORDENES'!$AD43=TRUE,'ORDENES'!$A43&lt;&gt;""),1,0)</f>
        <v/>
      </c>
      <c r="L47" s="3">
        <f>IF(K47=1,IFERROR(MATCH('ORDENES'!$R43,lista_dias,0),9)*1000000000+IFERROR(MATCH('ORDENES'!$AF43,lista_turnos,0),9)*10000000+IFERROR(MATCH('ORDENES'!$AE43,'TECNICOS'!$B$4:$B$15,0),99)*100000+40,9000000000000+40)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IF('ORDENES'!$T43="preventiva",N47,0)</f>
        <v/>
      </c>
      <c r="P47" s="17">
        <f>IF('ORDENES'!$T43="correctiva",N47,0)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"&amp;IF(INDEX('ORDENES'!$AF$4:$AF$1203,U47)="","(s/t)",INDEX('ORDENES'!$AF$4:$AF$1203,U47))&amp;" · "&amp;IF(INDEX('ORDENES'!$AE$4:$AE$1203,U47)="","(sin técnico)",INDEX('ORDENES'!$AE$4:$AE$1203,U47))&amp;" · "&amp;INDEX('ORDENES'!$AQ$4:$AQ$1203,U47)&amp;"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IF(AND(IF($B$3="(todos)",TRUE,'ORDENES'!$O44=$B$3),IF($D$3="(todos)",TRUE,'ORDENES'!$AF44=$D$3),IF($F$3="(todos)",TRUE,'ORDENES'!$X44=$F$3),IF($H$3="(todos)",TRUE,'ORDENES'!$W44=$H$3),'ORDENES'!$AD44=TRUE,'ORDENES'!$A44&lt;&gt;""),1,0)</f>
        <v/>
      </c>
      <c r="L48" s="3">
        <f>IF(K48=1,IFERROR(MATCH('ORDENES'!$R44,lista_dias,0),9)*1000000000+IFERROR(MATCH('ORDENES'!$AF44,lista_turnos,0),9)*10000000+IFERROR(MATCH('ORDENES'!$AE44,'TECNICOS'!$B$4:$B$15,0),99)*100000+41,9000000000000+41)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IF('ORDENES'!$T44="preventiva",N48,0)</f>
        <v/>
      </c>
      <c r="P48" s="17">
        <f>IF('ORDENES'!$T44="correctiva",N48,0)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"&amp;IF(INDEX('ORDENES'!$AF$4:$AF$1203,U48)="","(s/t)",INDEX('ORDENES'!$AF$4:$AF$1203,U48))&amp;" · "&amp;IF(INDEX('ORDENES'!$AE$4:$AE$1203,U48)="","(sin técnico)",INDEX('ORDENES'!$AE$4:$AE$1203,U48))&amp;" · "&amp;INDEX('ORDENES'!$AQ$4:$AQ$1203,U48)&amp;"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IF(AND(IF($B$3="(todos)",TRUE,'ORDENES'!$O45=$B$3),IF($D$3="(todos)",TRUE,'ORDENES'!$AF45=$D$3),IF($F$3="(todos)",TRUE,'ORDENES'!$X45=$F$3),IF($H$3="(todos)",TRUE,'ORDENES'!$W45=$H$3),'ORDENES'!$AD45=TRUE,'ORDENES'!$A45&lt;&gt;""),1,0)</f>
        <v/>
      </c>
      <c r="L49" s="3">
        <f>IF(K49=1,IFERROR(MATCH('ORDENES'!$R45,lista_dias,0),9)*1000000000+IFERROR(MATCH('ORDENES'!$AF45,lista_turnos,0),9)*10000000+IFERROR(MATCH('ORDENES'!$AE45,'TECNICOS'!$B$4:$B$15,0),99)*100000+42,9000000000000+42)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IF('ORDENES'!$T45="preventiva",N49,0)</f>
        <v/>
      </c>
      <c r="P49" s="17">
        <f>IF('ORDENES'!$T45="correctiva",N49,0)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"&amp;IF(INDEX('ORDENES'!$AF$4:$AF$1203,U49)="","(s/t)",INDEX('ORDENES'!$AF$4:$AF$1203,U49))&amp;" · "&amp;IF(INDEX('ORDENES'!$AE$4:$AE$1203,U49)="","(sin técnico)",INDEX('ORDENES'!$AE$4:$AE$1203,U49))&amp;" · "&amp;INDEX('ORDENES'!$AQ$4:$AQ$1203,U49)&amp;"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IF(AND(IF($B$3="(todos)",TRUE,'ORDENES'!$O46=$B$3),IF($D$3="(todos)",TRUE,'ORDENES'!$AF46=$D$3),IF($F$3="(todos)",TRUE,'ORDENES'!$X46=$F$3),IF($H$3="(todos)",TRUE,'ORDENES'!$W46=$H$3),'ORDENES'!$AD46=TRUE,'ORDENES'!$A46&lt;&gt;""),1,0)</f>
        <v/>
      </c>
      <c r="L50" s="3">
        <f>IF(K50=1,IFERROR(MATCH('ORDENES'!$R46,lista_dias,0),9)*1000000000+IFERROR(MATCH('ORDENES'!$AF46,lista_turnos,0),9)*10000000+IFERROR(MATCH('ORDENES'!$AE46,'TECNICOS'!$B$4:$B$15,0),99)*100000+43,9000000000000+43)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IF('ORDENES'!$T46="preventiva",N50,0)</f>
        <v/>
      </c>
      <c r="P50" s="17">
        <f>IF('ORDENES'!$T46="correctiva",N50,0)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"&amp;IF(INDEX('ORDENES'!$AF$4:$AF$1203,U50)="","(s/t)",INDEX('ORDENES'!$AF$4:$AF$1203,U50))&amp;" · "&amp;IF(INDEX('ORDENES'!$AE$4:$AE$1203,U50)="","(sin técnico)",INDEX('ORDENES'!$AE$4:$AE$1203,U50))&amp;" · "&amp;INDEX('ORDENES'!$AQ$4:$AQ$1203,U50)&amp;"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IF(AND(IF($B$3="(todos)",TRUE,'ORDENES'!$O47=$B$3),IF($D$3="(todos)",TRUE,'ORDENES'!$AF47=$D$3),IF($F$3="(todos)",TRUE,'ORDENES'!$X47=$F$3),IF($H$3="(todos)",TRUE,'ORDENES'!$W47=$H$3),'ORDENES'!$AD47=TRUE,'ORDENES'!$A47&lt;&gt;""),1,0)</f>
        <v/>
      </c>
      <c r="L51" s="3">
        <f>IF(K51=1,IFERROR(MATCH('ORDENES'!$R47,lista_dias,0),9)*1000000000+IFERROR(MATCH('ORDENES'!$AF47,lista_turnos,0),9)*10000000+IFERROR(MATCH('ORDENES'!$AE47,'TECNICOS'!$B$4:$B$15,0),99)*100000+44,9000000000000+44)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IF('ORDENES'!$T47="preventiva",N51,0)</f>
        <v/>
      </c>
      <c r="P51" s="17">
        <f>IF('ORDENES'!$T47="correctiva",N51,0)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"&amp;IF(INDEX('ORDENES'!$AF$4:$AF$1203,U51)="","(s/t)",INDEX('ORDENES'!$AF$4:$AF$1203,U51))&amp;" · "&amp;IF(INDEX('ORDENES'!$AE$4:$AE$1203,U51)="","(sin técnico)",INDEX('ORDENES'!$AE$4:$AE$1203,U51))&amp;" · "&amp;INDEX('ORDENES'!$AQ$4:$AQ$1203,U51)&amp;"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IF(AND(IF($B$3="(todos)",TRUE,'ORDENES'!$O48=$B$3),IF($D$3="(todos)",TRUE,'ORDENES'!$AF48=$D$3),IF($F$3="(todos)",TRUE,'ORDENES'!$X48=$F$3),IF($H$3="(todos)",TRUE,'ORDENES'!$W48=$H$3),'ORDENES'!$AD48=TRUE,'ORDENES'!$A48&lt;&gt;""),1,0)</f>
        <v/>
      </c>
      <c r="L52" s="3">
        <f>IF(K52=1,IFERROR(MATCH('ORDENES'!$R48,lista_dias,0),9)*1000000000+IFERROR(MATCH('ORDENES'!$AF48,lista_turnos,0),9)*10000000+IFERROR(MATCH('ORDENES'!$AE48,'TECNICOS'!$B$4:$B$15,0),99)*100000+45,9000000000000+45)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IF('ORDENES'!$T48="preventiva",N52,0)</f>
        <v/>
      </c>
      <c r="P52" s="17">
        <f>IF('ORDENES'!$T48="correctiva",N52,0)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"&amp;IF(INDEX('ORDENES'!$AF$4:$AF$1203,U52)="","(s/t)",INDEX('ORDENES'!$AF$4:$AF$1203,U52))&amp;" · "&amp;IF(INDEX('ORDENES'!$AE$4:$AE$1203,U52)="","(sin técnico)",INDEX('ORDENES'!$AE$4:$AE$1203,U52))&amp;" · "&amp;INDEX('ORDENES'!$AQ$4:$AQ$1203,U52)&amp;"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IF(AND(IF($B$3="(todos)",TRUE,'ORDENES'!$O49=$B$3),IF($D$3="(todos)",TRUE,'ORDENES'!$AF49=$D$3),IF($F$3="(todos)",TRUE,'ORDENES'!$X49=$F$3),IF($H$3="(todos)",TRUE,'ORDENES'!$W49=$H$3),'ORDENES'!$AD49=TRUE,'ORDENES'!$A49&lt;&gt;""),1,0)</f>
        <v/>
      </c>
      <c r="L53" s="3">
        <f>IF(K53=1,IFERROR(MATCH('ORDENES'!$R49,lista_dias,0),9)*1000000000+IFERROR(MATCH('ORDENES'!$AF49,lista_turnos,0),9)*10000000+IFERROR(MATCH('ORDENES'!$AE49,'TECNICOS'!$B$4:$B$15,0),99)*100000+46,9000000000000+46)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IF('ORDENES'!$T49="preventiva",N53,0)</f>
        <v/>
      </c>
      <c r="P53" s="17">
        <f>IF('ORDENES'!$T49="correctiva",N53,0)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"&amp;IF(INDEX('ORDENES'!$AF$4:$AF$1203,U53)="","(s/t)",INDEX('ORDENES'!$AF$4:$AF$1203,U53))&amp;" · "&amp;IF(INDEX('ORDENES'!$AE$4:$AE$1203,U53)="","(sin técnico)",INDEX('ORDENES'!$AE$4:$AE$1203,U53))&amp;" · "&amp;INDEX('ORDENES'!$AQ$4:$AQ$1203,U53)&amp;"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IF(AND(IF($B$3="(todos)",TRUE,'ORDENES'!$O50=$B$3),IF($D$3="(todos)",TRUE,'ORDENES'!$AF50=$D$3),IF($F$3="(todos)",TRUE,'ORDENES'!$X50=$F$3),IF($H$3="(todos)",TRUE,'ORDENES'!$W50=$H$3),'ORDENES'!$AD50=TRUE,'ORDENES'!$A50&lt;&gt;""),1,0)</f>
        <v/>
      </c>
      <c r="L54" s="3">
        <f>IF(K54=1,IFERROR(MATCH('ORDENES'!$R50,lista_dias,0),9)*1000000000+IFERROR(MATCH('ORDENES'!$AF50,lista_turnos,0),9)*10000000+IFERROR(MATCH('ORDENES'!$AE50,'TECNICOS'!$B$4:$B$15,0),99)*100000+47,9000000000000+47)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IF('ORDENES'!$T50="preventiva",N54,0)</f>
        <v/>
      </c>
      <c r="P54" s="17">
        <f>IF('ORDENES'!$T50="correctiva",N54,0)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"&amp;IF(INDEX('ORDENES'!$AF$4:$AF$1203,U54)="","(s/t)",INDEX('ORDENES'!$AF$4:$AF$1203,U54))&amp;" · "&amp;IF(INDEX('ORDENES'!$AE$4:$AE$1203,U54)="","(sin técnico)",INDEX('ORDENES'!$AE$4:$AE$1203,U54))&amp;" · "&amp;INDEX('ORDENES'!$AQ$4:$AQ$1203,U54)&amp;"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IF(AND(IF($B$3="(todos)",TRUE,'ORDENES'!$O51=$B$3),IF($D$3="(todos)",TRUE,'ORDENES'!$AF51=$D$3),IF($F$3="(todos)",TRUE,'ORDENES'!$X51=$F$3),IF($H$3="(todos)",TRUE,'ORDENES'!$W51=$H$3),'ORDENES'!$AD51=TRUE,'ORDENES'!$A51&lt;&gt;""),1,0)</f>
        <v/>
      </c>
      <c r="L55" s="3">
        <f>IF(K55=1,IFERROR(MATCH('ORDENES'!$R51,lista_dias,0),9)*1000000000+IFERROR(MATCH('ORDENES'!$AF51,lista_turnos,0),9)*10000000+IFERROR(MATCH('ORDENES'!$AE51,'TECNICOS'!$B$4:$B$15,0),99)*100000+48,9000000000000+48)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IF('ORDENES'!$T51="preventiva",N55,0)</f>
        <v/>
      </c>
      <c r="P55" s="17">
        <f>IF('ORDENES'!$T51="correctiva",N55,0)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"&amp;IF(INDEX('ORDENES'!$AF$4:$AF$1203,U55)="","(s/t)",INDEX('ORDENES'!$AF$4:$AF$1203,U55))&amp;" · "&amp;IF(INDEX('ORDENES'!$AE$4:$AE$1203,U55)="","(sin técnico)",INDEX('ORDENES'!$AE$4:$AE$1203,U55))&amp;" · "&amp;INDEX('ORDENES'!$AQ$4:$AQ$1203,U55)&amp;"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IF(AND(IF($B$3="(todos)",TRUE,'ORDENES'!$O52=$B$3),IF($D$3="(todos)",TRUE,'ORDENES'!$AF52=$D$3),IF($F$3="(todos)",TRUE,'ORDENES'!$X52=$F$3),IF($H$3="(todos)",TRUE,'ORDENES'!$W52=$H$3),'ORDENES'!$AD52=TRUE,'ORDENES'!$A52&lt;&gt;""),1,0)</f>
        <v/>
      </c>
      <c r="L56" s="3">
        <f>IF(K56=1,IFERROR(MATCH('ORDENES'!$R52,lista_dias,0),9)*1000000000+IFERROR(MATCH('ORDENES'!$AF52,lista_turnos,0),9)*10000000+IFERROR(MATCH('ORDENES'!$AE52,'TECNICOS'!$B$4:$B$15,0),99)*100000+49,9000000000000+49)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IF('ORDENES'!$T52="preventiva",N56,0)</f>
        <v/>
      </c>
      <c r="P56" s="17">
        <f>IF('ORDENES'!$T52="correctiva",N56,0)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"&amp;IF(INDEX('ORDENES'!$AF$4:$AF$1203,U56)="","(s/t)",INDEX('ORDENES'!$AF$4:$AF$1203,U56))&amp;" · "&amp;IF(INDEX('ORDENES'!$AE$4:$AE$1203,U56)="","(sin técnico)",INDEX('ORDENES'!$AE$4:$AE$1203,U56))&amp;" · "&amp;INDEX('ORDENES'!$AQ$4:$AQ$1203,U56)&amp;"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IF(AND(IF($B$3="(todos)",TRUE,'ORDENES'!$O53=$B$3),IF($D$3="(todos)",TRUE,'ORDENES'!$AF53=$D$3),IF($F$3="(todos)",TRUE,'ORDENES'!$X53=$F$3),IF($H$3="(todos)",TRUE,'ORDENES'!$W53=$H$3),'ORDENES'!$AD53=TRUE,'ORDENES'!$A53&lt;&gt;""),1,0)</f>
        <v/>
      </c>
      <c r="L57" s="3">
        <f>IF(K57=1,IFERROR(MATCH('ORDENES'!$R53,lista_dias,0),9)*1000000000+IFERROR(MATCH('ORDENES'!$AF53,lista_turnos,0),9)*10000000+IFERROR(MATCH('ORDENES'!$AE53,'TECNICOS'!$B$4:$B$15,0),99)*100000+50,9000000000000+50)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IF('ORDENES'!$T53="preventiva",N57,0)</f>
        <v/>
      </c>
      <c r="P57" s="17">
        <f>IF('ORDENES'!$T53="correctiva",N57,0)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"&amp;IF(INDEX('ORDENES'!$AF$4:$AF$1203,U57)="","(s/t)",INDEX('ORDENES'!$AF$4:$AF$1203,U57))&amp;" · "&amp;IF(INDEX('ORDENES'!$AE$4:$AE$1203,U57)="","(sin técnico)",INDEX('ORDENES'!$AE$4:$AE$1203,U57))&amp;" · "&amp;INDEX('ORDENES'!$AQ$4:$AQ$1203,U57)&amp;"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IF(AND(IF($B$3="(todos)",TRUE,'ORDENES'!$O54=$B$3),IF($D$3="(todos)",TRUE,'ORDENES'!$AF54=$D$3),IF($F$3="(todos)",TRUE,'ORDENES'!$X54=$F$3),IF($H$3="(todos)",TRUE,'ORDENES'!$W54=$H$3),'ORDENES'!$AD54=TRUE,'ORDENES'!$A54&lt;&gt;""),1,0)</f>
        <v/>
      </c>
      <c r="L58" s="3">
        <f>IF(K58=1,IFERROR(MATCH('ORDENES'!$R54,lista_dias,0),9)*1000000000+IFERROR(MATCH('ORDENES'!$AF54,lista_turnos,0),9)*10000000+IFERROR(MATCH('ORDENES'!$AE54,'TECNICOS'!$B$4:$B$15,0),99)*100000+51,9000000000000+51)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IF('ORDENES'!$T54="preventiva",N58,0)</f>
        <v/>
      </c>
      <c r="P58" s="17">
        <f>IF('ORDENES'!$T54="correctiva",N58,0)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"&amp;IF(INDEX('ORDENES'!$AF$4:$AF$1203,U58)="","(s/t)",INDEX('ORDENES'!$AF$4:$AF$1203,U58))&amp;" · "&amp;IF(INDEX('ORDENES'!$AE$4:$AE$1203,U58)="","(sin técnico)",INDEX('ORDENES'!$AE$4:$AE$1203,U58))&amp;" · "&amp;INDEX('ORDENES'!$AQ$4:$AQ$1203,U58)&amp;"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IF(AND(IF($B$3="(todos)",TRUE,'ORDENES'!$O55=$B$3),IF($D$3="(todos)",TRUE,'ORDENES'!$AF55=$D$3),IF($F$3="(todos)",TRUE,'ORDENES'!$X55=$F$3),IF($H$3="(todos)",TRUE,'ORDENES'!$W55=$H$3),'ORDENES'!$AD55=TRUE,'ORDENES'!$A55&lt;&gt;""),1,0)</f>
        <v/>
      </c>
      <c r="L59" s="3">
        <f>IF(K59=1,IFERROR(MATCH('ORDENES'!$R55,lista_dias,0),9)*1000000000+IFERROR(MATCH('ORDENES'!$AF55,lista_turnos,0),9)*10000000+IFERROR(MATCH('ORDENES'!$AE55,'TECNICOS'!$B$4:$B$15,0),99)*100000+52,9000000000000+52)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IF('ORDENES'!$T55="preventiva",N59,0)</f>
        <v/>
      </c>
      <c r="P59" s="17">
        <f>IF('ORDENES'!$T55="correctiva",N59,0)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"&amp;IF(INDEX('ORDENES'!$AF$4:$AF$1203,U59)="","(s/t)",INDEX('ORDENES'!$AF$4:$AF$1203,U59))&amp;" · "&amp;IF(INDEX('ORDENES'!$AE$4:$AE$1203,U59)="","(sin técnico)",INDEX('ORDENES'!$AE$4:$AE$1203,U59))&amp;" · "&amp;INDEX('ORDENES'!$AQ$4:$AQ$1203,U59)&amp;"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IF(AND(IF($B$3="(todos)",TRUE,'ORDENES'!$O56=$B$3),IF($D$3="(todos)",TRUE,'ORDENES'!$AF56=$D$3),IF($F$3="(todos)",TRUE,'ORDENES'!$X56=$F$3),IF($H$3="(todos)",TRUE,'ORDENES'!$W56=$H$3),'ORDENES'!$AD56=TRUE,'ORDENES'!$A56&lt;&gt;""),1,0)</f>
        <v/>
      </c>
      <c r="L60" s="3">
        <f>IF(K60=1,IFERROR(MATCH('ORDENES'!$R56,lista_dias,0),9)*1000000000+IFERROR(MATCH('ORDENES'!$AF56,lista_turnos,0),9)*10000000+IFERROR(MATCH('ORDENES'!$AE56,'TECNICOS'!$B$4:$B$15,0),99)*100000+53,9000000000000+53)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IF('ORDENES'!$T56="preventiva",N60,0)</f>
        <v/>
      </c>
      <c r="P60" s="17">
        <f>IF('ORDENES'!$T56="correctiva",N60,0)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"&amp;IF(INDEX('ORDENES'!$AF$4:$AF$1203,U60)="","(s/t)",INDEX('ORDENES'!$AF$4:$AF$1203,U60))&amp;" · "&amp;IF(INDEX('ORDENES'!$AE$4:$AE$1203,U60)="","(sin técnico)",INDEX('ORDENES'!$AE$4:$AE$1203,U60))&amp;" · "&amp;INDEX('ORDENES'!$AQ$4:$AQ$1203,U60)&amp;"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IF(AND(IF($B$3="(todos)",TRUE,'ORDENES'!$O57=$B$3),IF($D$3="(todos)",TRUE,'ORDENES'!$AF57=$D$3),IF($F$3="(todos)",TRUE,'ORDENES'!$X57=$F$3),IF($H$3="(todos)",TRUE,'ORDENES'!$W57=$H$3),'ORDENES'!$AD57=TRUE,'ORDENES'!$A57&lt;&gt;""),1,0)</f>
        <v/>
      </c>
      <c r="L61" s="3">
        <f>IF(K61=1,IFERROR(MATCH('ORDENES'!$R57,lista_dias,0),9)*1000000000+IFERROR(MATCH('ORDENES'!$AF57,lista_turnos,0),9)*10000000+IFERROR(MATCH('ORDENES'!$AE57,'TECNICOS'!$B$4:$B$15,0),99)*100000+54,9000000000000+54)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IF('ORDENES'!$T57="preventiva",N61,0)</f>
        <v/>
      </c>
      <c r="P61" s="17">
        <f>IF('ORDENES'!$T57="correctiva",N61,0)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"&amp;IF(INDEX('ORDENES'!$AF$4:$AF$1203,U61)="","(s/t)",INDEX('ORDENES'!$AF$4:$AF$1203,U61))&amp;" · "&amp;IF(INDEX('ORDENES'!$AE$4:$AE$1203,U61)="","(sin técnico)",INDEX('ORDENES'!$AE$4:$AE$1203,U61))&amp;" · "&amp;INDEX('ORDENES'!$AQ$4:$AQ$1203,U61)&amp;"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IF(AND(IF($B$3="(todos)",TRUE,'ORDENES'!$O58=$B$3),IF($D$3="(todos)",TRUE,'ORDENES'!$AF58=$D$3),IF($F$3="(todos)",TRUE,'ORDENES'!$X58=$F$3),IF($H$3="(todos)",TRUE,'ORDENES'!$W58=$H$3),'ORDENES'!$AD58=TRUE,'ORDENES'!$A58&lt;&gt;""),1,0)</f>
        <v/>
      </c>
      <c r="L62" s="3">
        <f>IF(K62=1,IFERROR(MATCH('ORDENES'!$R58,lista_dias,0),9)*1000000000+IFERROR(MATCH('ORDENES'!$AF58,lista_turnos,0),9)*10000000+IFERROR(MATCH('ORDENES'!$AE58,'TECNICOS'!$B$4:$B$15,0),99)*100000+55,9000000000000+55)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IF('ORDENES'!$T58="preventiva",N62,0)</f>
        <v/>
      </c>
      <c r="P62" s="17">
        <f>IF('ORDENES'!$T58="correctiva",N62,0)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"&amp;IF(INDEX('ORDENES'!$AF$4:$AF$1203,U62)="","(s/t)",INDEX('ORDENES'!$AF$4:$AF$1203,U62))&amp;" · "&amp;IF(INDEX('ORDENES'!$AE$4:$AE$1203,U62)="","(sin técnico)",INDEX('ORDENES'!$AE$4:$AE$1203,U62))&amp;" · "&amp;INDEX('ORDENES'!$AQ$4:$AQ$1203,U62)&amp;"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IF(AND(IF($B$3="(todos)",TRUE,'ORDENES'!$O59=$B$3),IF($D$3="(todos)",TRUE,'ORDENES'!$AF59=$D$3),IF($F$3="(todos)",TRUE,'ORDENES'!$X59=$F$3),IF($H$3="(todos)",TRUE,'ORDENES'!$W59=$H$3),'ORDENES'!$AD59=TRUE,'ORDENES'!$A59&lt;&gt;""),1,0)</f>
        <v/>
      </c>
      <c r="L63" s="3">
        <f>IF(K63=1,IFERROR(MATCH('ORDENES'!$R59,lista_dias,0),9)*1000000000+IFERROR(MATCH('ORDENES'!$AF59,lista_turnos,0),9)*10000000+IFERROR(MATCH('ORDENES'!$AE59,'TECNICOS'!$B$4:$B$15,0),99)*100000+56,9000000000000+56)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IF('ORDENES'!$T59="preventiva",N63,0)</f>
        <v/>
      </c>
      <c r="P63" s="17">
        <f>IF('ORDENES'!$T59="correctiva",N63,0)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"&amp;IF(INDEX('ORDENES'!$AF$4:$AF$1203,U63)="","(s/t)",INDEX('ORDENES'!$AF$4:$AF$1203,U63))&amp;" · "&amp;IF(INDEX('ORDENES'!$AE$4:$AE$1203,U63)="","(sin técnico)",INDEX('ORDENES'!$AE$4:$AE$1203,U63))&amp;" · "&amp;INDEX('ORDENES'!$AQ$4:$AQ$1203,U63)&amp;"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IF(AND(IF($B$3="(todos)",TRUE,'ORDENES'!$O60=$B$3),IF($D$3="(todos)",TRUE,'ORDENES'!$AF60=$D$3),IF($F$3="(todos)",TRUE,'ORDENES'!$X60=$F$3),IF($H$3="(todos)",TRUE,'ORDENES'!$W60=$H$3),'ORDENES'!$AD60=TRUE,'ORDENES'!$A60&lt;&gt;""),1,0)</f>
        <v/>
      </c>
      <c r="L64" s="3">
        <f>IF(K64=1,IFERROR(MATCH('ORDENES'!$R60,lista_dias,0),9)*1000000000+IFERROR(MATCH('ORDENES'!$AF60,lista_turnos,0),9)*10000000+IFERROR(MATCH('ORDENES'!$AE60,'TECNICOS'!$B$4:$B$15,0),99)*100000+57,9000000000000+57)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IF('ORDENES'!$T60="preventiva",N64,0)</f>
        <v/>
      </c>
      <c r="P64" s="17">
        <f>IF('ORDENES'!$T60="correctiva",N64,0)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"&amp;IF(INDEX('ORDENES'!$AF$4:$AF$1203,U64)="","(s/t)",INDEX('ORDENES'!$AF$4:$AF$1203,U64))&amp;" · "&amp;IF(INDEX('ORDENES'!$AE$4:$AE$1203,U64)="","(sin técnico)",INDEX('ORDENES'!$AE$4:$AE$1203,U64))&amp;" · "&amp;INDEX('ORDENES'!$AQ$4:$AQ$1203,U64)&amp;"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IF(AND(IF($B$3="(todos)",TRUE,'ORDENES'!$O61=$B$3),IF($D$3="(todos)",TRUE,'ORDENES'!$AF61=$D$3),IF($F$3="(todos)",TRUE,'ORDENES'!$X61=$F$3),IF($H$3="(todos)",TRUE,'ORDENES'!$W61=$H$3),'ORDENES'!$AD61=TRUE,'ORDENES'!$A61&lt;&gt;""),1,0)</f>
        <v/>
      </c>
      <c r="L65" s="3">
        <f>IF(K65=1,IFERROR(MATCH('ORDENES'!$R61,lista_dias,0),9)*1000000000+IFERROR(MATCH('ORDENES'!$AF61,lista_turnos,0),9)*10000000+IFERROR(MATCH('ORDENES'!$AE61,'TECNICOS'!$B$4:$B$15,0),99)*100000+58,9000000000000+58)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IF('ORDENES'!$T61="preventiva",N65,0)</f>
        <v/>
      </c>
      <c r="P65" s="17">
        <f>IF('ORDENES'!$T61="correctiva",N65,0)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"&amp;IF(INDEX('ORDENES'!$AF$4:$AF$1203,U65)="","(s/t)",INDEX('ORDENES'!$AF$4:$AF$1203,U65))&amp;" · "&amp;IF(INDEX('ORDENES'!$AE$4:$AE$1203,U65)="","(sin técnico)",INDEX('ORDENES'!$AE$4:$AE$1203,U65))&amp;" · "&amp;INDEX('ORDENES'!$AQ$4:$AQ$1203,U65)&amp;"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IF(AND(IF($B$3="(todos)",TRUE,'ORDENES'!$O62=$B$3),IF($D$3="(todos)",TRUE,'ORDENES'!$AF62=$D$3),IF($F$3="(todos)",TRUE,'ORDENES'!$X62=$F$3),IF($H$3="(todos)",TRUE,'ORDENES'!$W62=$H$3),'ORDENES'!$AD62=TRUE,'ORDENES'!$A62&lt;&gt;""),1,0)</f>
        <v/>
      </c>
      <c r="L66" s="3">
        <f>IF(K66=1,IFERROR(MATCH('ORDENES'!$R62,lista_dias,0),9)*1000000000+IFERROR(MATCH('ORDENES'!$AF62,lista_turnos,0),9)*10000000+IFERROR(MATCH('ORDENES'!$AE62,'TECNICOS'!$B$4:$B$15,0),99)*100000+59,9000000000000+59)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IF('ORDENES'!$T62="preventiva",N66,0)</f>
        <v/>
      </c>
      <c r="P66" s="17">
        <f>IF('ORDENES'!$T62="correctiva",N66,0)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"&amp;IF(INDEX('ORDENES'!$AF$4:$AF$1203,U66)="","(s/t)",INDEX('ORDENES'!$AF$4:$AF$1203,U66))&amp;" · "&amp;IF(INDEX('ORDENES'!$AE$4:$AE$1203,U66)="","(sin técnico)",INDEX('ORDENES'!$AE$4:$AE$1203,U66))&amp;" · "&amp;INDEX('ORDENES'!$AQ$4:$AQ$1203,U66)&amp;"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IF(AND(IF($B$3="(todos)",TRUE,'ORDENES'!$O63=$B$3),IF($D$3="(todos)",TRUE,'ORDENES'!$AF63=$D$3),IF($F$3="(todos)",TRUE,'ORDENES'!$X63=$F$3),IF($H$3="(todos)",TRUE,'ORDENES'!$W63=$H$3),'ORDENES'!$AD63=TRUE,'ORDENES'!$A63&lt;&gt;""),1,0)</f>
        <v/>
      </c>
      <c r="L67" s="3">
        <f>IF(K67=1,IFERROR(MATCH('ORDENES'!$R63,lista_dias,0),9)*1000000000+IFERROR(MATCH('ORDENES'!$AF63,lista_turnos,0),9)*10000000+IFERROR(MATCH('ORDENES'!$AE63,'TECNICOS'!$B$4:$B$15,0),99)*100000+60,9000000000000+60)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IF('ORDENES'!$T63="preventiva",N67,0)</f>
        <v/>
      </c>
      <c r="P67" s="17">
        <f>IF('ORDENES'!$T63="correctiva",N67,0)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"&amp;IF(INDEX('ORDENES'!$AF$4:$AF$1203,U67)="","(s/t)",INDEX('ORDENES'!$AF$4:$AF$1203,U67))&amp;" · "&amp;IF(INDEX('ORDENES'!$AE$4:$AE$1203,U67)="","(sin técnico)",INDEX('ORDENES'!$AE$4:$AE$1203,U67))&amp;" · "&amp;INDEX('ORDENES'!$AQ$4:$AQ$1203,U67)&amp;"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IF(AND(IF($B$3="(todos)",TRUE,'ORDENES'!$O64=$B$3),IF($D$3="(todos)",TRUE,'ORDENES'!$AF64=$D$3),IF($F$3="(todos)",TRUE,'ORDENES'!$X64=$F$3),IF($H$3="(todos)",TRUE,'ORDENES'!$W64=$H$3),'ORDENES'!$AD64=TRUE,'ORDENES'!$A64&lt;&gt;""),1,0)</f>
        <v/>
      </c>
      <c r="L68" s="3">
        <f>IF(K68=1,IFERROR(MATCH('ORDENES'!$R64,lista_dias,0),9)*1000000000+IFERROR(MATCH('ORDENES'!$AF64,lista_turnos,0),9)*10000000+IFERROR(MATCH('ORDENES'!$AE64,'TECNICOS'!$B$4:$B$15,0),99)*100000+61,9000000000000+61)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IF('ORDENES'!$T64="preventiva",N68,0)</f>
        <v/>
      </c>
      <c r="P68" s="17">
        <f>IF('ORDENES'!$T64="correctiva",N68,0)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"&amp;IF(INDEX('ORDENES'!$AF$4:$AF$1203,U68)="","(s/t)",INDEX('ORDENES'!$AF$4:$AF$1203,U68))&amp;" · "&amp;IF(INDEX('ORDENES'!$AE$4:$AE$1203,U68)="","(sin técnico)",INDEX('ORDENES'!$AE$4:$AE$1203,U68))&amp;" · "&amp;INDEX('ORDENES'!$AQ$4:$AQ$1203,U68)&amp;"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IF(AND(IF($B$3="(todos)",TRUE,'ORDENES'!$O65=$B$3),IF($D$3="(todos)",TRUE,'ORDENES'!$AF65=$D$3),IF($F$3="(todos)",TRUE,'ORDENES'!$X65=$F$3),IF($H$3="(todos)",TRUE,'ORDENES'!$W65=$H$3),'ORDENES'!$AD65=TRUE,'ORDENES'!$A65&lt;&gt;""),1,0)</f>
        <v/>
      </c>
      <c r="L69" s="3">
        <f>IF(K69=1,IFERROR(MATCH('ORDENES'!$R65,lista_dias,0),9)*1000000000+IFERROR(MATCH('ORDENES'!$AF65,lista_turnos,0),9)*10000000+IFERROR(MATCH('ORDENES'!$AE65,'TECNICOS'!$B$4:$B$15,0),99)*100000+62,9000000000000+62)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IF('ORDENES'!$T65="preventiva",N69,0)</f>
        <v/>
      </c>
      <c r="P69" s="17">
        <f>IF('ORDENES'!$T65="correctiva",N69,0)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"&amp;IF(INDEX('ORDENES'!$AF$4:$AF$1203,U69)="","(s/t)",INDEX('ORDENES'!$AF$4:$AF$1203,U69))&amp;" · "&amp;IF(INDEX('ORDENES'!$AE$4:$AE$1203,U69)="","(sin técnico)",INDEX('ORDENES'!$AE$4:$AE$1203,U69))&amp;" · "&amp;INDEX('ORDENES'!$AQ$4:$AQ$1203,U69)&amp;"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IF(AND(IF($B$3="(todos)",TRUE,'ORDENES'!$O66=$B$3),IF($D$3="(todos)",TRUE,'ORDENES'!$AF66=$D$3),IF($F$3="(todos)",TRUE,'ORDENES'!$X66=$F$3),IF($H$3="(todos)",TRUE,'ORDENES'!$W66=$H$3),'ORDENES'!$AD66=TRUE,'ORDENES'!$A66&lt;&gt;""),1,0)</f>
        <v/>
      </c>
      <c r="L70" s="3">
        <f>IF(K70=1,IFERROR(MATCH('ORDENES'!$R66,lista_dias,0),9)*1000000000+IFERROR(MATCH('ORDENES'!$AF66,lista_turnos,0),9)*10000000+IFERROR(MATCH('ORDENES'!$AE66,'TECNICOS'!$B$4:$B$15,0),99)*100000+63,9000000000000+63)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IF('ORDENES'!$T66="preventiva",N70,0)</f>
        <v/>
      </c>
      <c r="P70" s="17">
        <f>IF('ORDENES'!$T66="correctiva",N70,0)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"&amp;IF(INDEX('ORDENES'!$AF$4:$AF$1203,U70)="","(s/t)",INDEX('ORDENES'!$AF$4:$AF$1203,U70))&amp;" · "&amp;IF(INDEX('ORDENES'!$AE$4:$AE$1203,U70)="","(sin técnico)",INDEX('ORDENES'!$AE$4:$AE$1203,U70))&amp;" · "&amp;INDEX('ORDENES'!$AQ$4:$AQ$1203,U70)&amp;"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IF(AND(IF($B$3="(todos)",TRUE,'ORDENES'!$O67=$B$3),IF($D$3="(todos)",TRUE,'ORDENES'!$AF67=$D$3),IF($F$3="(todos)",TRUE,'ORDENES'!$X67=$F$3),IF($H$3="(todos)",TRUE,'ORDENES'!$W67=$H$3),'ORDENES'!$AD67=TRUE,'ORDENES'!$A67&lt;&gt;""),1,0)</f>
        <v/>
      </c>
      <c r="L71" s="3">
        <f>IF(K71=1,IFERROR(MATCH('ORDENES'!$R67,lista_dias,0),9)*1000000000+IFERROR(MATCH('ORDENES'!$AF67,lista_turnos,0),9)*10000000+IFERROR(MATCH('ORDENES'!$AE67,'TECNICOS'!$B$4:$B$15,0),99)*100000+64,9000000000000+64)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IF('ORDENES'!$T67="preventiva",N71,0)</f>
        <v/>
      </c>
      <c r="P71" s="17">
        <f>IF('ORDENES'!$T67="correctiva",N71,0)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"&amp;IF(INDEX('ORDENES'!$AF$4:$AF$1203,U71)="","(s/t)",INDEX('ORDENES'!$AF$4:$AF$1203,U71))&amp;" · "&amp;IF(INDEX('ORDENES'!$AE$4:$AE$1203,U71)="","(sin técnico)",INDEX('ORDENES'!$AE$4:$AE$1203,U71))&amp;" · "&amp;INDEX('ORDENES'!$AQ$4:$AQ$1203,U71)&amp;"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IF(AND(IF($B$3="(todos)",TRUE,'ORDENES'!$O68=$B$3),IF($D$3="(todos)",TRUE,'ORDENES'!$AF68=$D$3),IF($F$3="(todos)",TRUE,'ORDENES'!$X68=$F$3),IF($H$3="(todos)",TRUE,'ORDENES'!$W68=$H$3),'ORDENES'!$AD68=TRUE,'ORDENES'!$A68&lt;&gt;""),1,0)</f>
        <v/>
      </c>
      <c r="L72" s="3">
        <f>IF(K72=1,IFERROR(MATCH('ORDENES'!$R68,lista_dias,0),9)*1000000000+IFERROR(MATCH('ORDENES'!$AF68,lista_turnos,0),9)*10000000+IFERROR(MATCH('ORDENES'!$AE68,'TECNICOS'!$B$4:$B$15,0),99)*100000+65,9000000000000+65)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IF('ORDENES'!$T68="preventiva",N72,0)</f>
        <v/>
      </c>
      <c r="P72" s="17">
        <f>IF('ORDENES'!$T68="correctiva",N72,0)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"&amp;IF(INDEX('ORDENES'!$AF$4:$AF$1203,U72)="","(s/t)",INDEX('ORDENES'!$AF$4:$AF$1203,U72))&amp;" · "&amp;IF(INDEX('ORDENES'!$AE$4:$AE$1203,U72)="","(sin técnico)",INDEX('ORDENES'!$AE$4:$AE$1203,U72))&amp;" · "&amp;INDEX('ORDENES'!$AQ$4:$AQ$1203,U72)&amp;"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IF(AND(IF($B$3="(todos)",TRUE,'ORDENES'!$O69=$B$3),IF($D$3="(todos)",TRUE,'ORDENES'!$AF69=$D$3),IF($F$3="(todos)",TRUE,'ORDENES'!$X69=$F$3),IF($H$3="(todos)",TRUE,'ORDENES'!$W69=$H$3),'ORDENES'!$AD69=TRUE,'ORDENES'!$A69&lt;&gt;""),1,0)</f>
        <v/>
      </c>
      <c r="L73" s="3">
        <f>IF(K73=1,IFERROR(MATCH('ORDENES'!$R69,lista_dias,0),9)*1000000000+IFERROR(MATCH('ORDENES'!$AF69,lista_turnos,0),9)*10000000+IFERROR(MATCH('ORDENES'!$AE69,'TECNICOS'!$B$4:$B$15,0),99)*100000+66,9000000000000+66)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IF('ORDENES'!$T69="preventiva",N73,0)</f>
        <v/>
      </c>
      <c r="P73" s="17">
        <f>IF('ORDENES'!$T69="correctiva",N73,0)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"&amp;IF(INDEX('ORDENES'!$AF$4:$AF$1203,U73)="","(s/t)",INDEX('ORDENES'!$AF$4:$AF$1203,U73))&amp;" · "&amp;IF(INDEX('ORDENES'!$AE$4:$AE$1203,U73)="","(sin técnico)",INDEX('ORDENES'!$AE$4:$AE$1203,U73))&amp;" · "&amp;INDEX('ORDENES'!$AQ$4:$AQ$1203,U73)&amp;"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IF(AND(IF($B$3="(todos)",TRUE,'ORDENES'!$O70=$B$3),IF($D$3="(todos)",TRUE,'ORDENES'!$AF70=$D$3),IF($F$3="(todos)",TRUE,'ORDENES'!$X70=$F$3),IF($H$3="(todos)",TRUE,'ORDENES'!$W70=$H$3),'ORDENES'!$AD70=TRUE,'ORDENES'!$A70&lt;&gt;""),1,0)</f>
        <v/>
      </c>
      <c r="L74" s="3">
        <f>IF(K74=1,IFERROR(MATCH('ORDENES'!$R70,lista_dias,0),9)*1000000000+IFERROR(MATCH('ORDENES'!$AF70,lista_turnos,0),9)*10000000+IFERROR(MATCH('ORDENES'!$AE70,'TECNICOS'!$B$4:$B$15,0),99)*100000+67,9000000000000+67)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IF('ORDENES'!$T70="preventiva",N74,0)</f>
        <v/>
      </c>
      <c r="P74" s="17">
        <f>IF('ORDENES'!$T70="correctiva",N74,0)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"&amp;IF(INDEX('ORDENES'!$AF$4:$AF$1203,U74)="","(s/t)",INDEX('ORDENES'!$AF$4:$AF$1203,U74))&amp;" · "&amp;IF(INDEX('ORDENES'!$AE$4:$AE$1203,U74)="","(sin técnico)",INDEX('ORDENES'!$AE$4:$AE$1203,U74))&amp;" · "&amp;INDEX('ORDENES'!$AQ$4:$AQ$1203,U74)&amp;"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IF(AND(IF($B$3="(todos)",TRUE,'ORDENES'!$O71=$B$3),IF($D$3="(todos)",TRUE,'ORDENES'!$AF71=$D$3),IF($F$3="(todos)",TRUE,'ORDENES'!$X71=$F$3),IF($H$3="(todos)",TRUE,'ORDENES'!$W71=$H$3),'ORDENES'!$AD71=TRUE,'ORDENES'!$A71&lt;&gt;""),1,0)</f>
        <v/>
      </c>
      <c r="L75" s="3">
        <f>IF(K75=1,IFERROR(MATCH('ORDENES'!$R71,lista_dias,0),9)*1000000000+IFERROR(MATCH('ORDENES'!$AF71,lista_turnos,0),9)*10000000+IFERROR(MATCH('ORDENES'!$AE71,'TECNICOS'!$B$4:$B$15,0),99)*100000+68,9000000000000+68)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IF('ORDENES'!$T71="preventiva",N75,0)</f>
        <v/>
      </c>
      <c r="P75" s="17">
        <f>IF('ORDENES'!$T71="correctiva",N75,0)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"&amp;IF(INDEX('ORDENES'!$AF$4:$AF$1203,U75)="","(s/t)",INDEX('ORDENES'!$AF$4:$AF$1203,U75))&amp;" · "&amp;IF(INDEX('ORDENES'!$AE$4:$AE$1203,U75)="","(sin técnico)",INDEX('ORDENES'!$AE$4:$AE$1203,U75))&amp;" · "&amp;INDEX('ORDENES'!$AQ$4:$AQ$1203,U75)&amp;"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IF(AND(IF($B$3="(todos)",TRUE,'ORDENES'!$O72=$B$3),IF($D$3="(todos)",TRUE,'ORDENES'!$AF72=$D$3),IF($F$3="(todos)",TRUE,'ORDENES'!$X72=$F$3),IF($H$3="(todos)",TRUE,'ORDENES'!$W72=$H$3),'ORDENES'!$AD72=TRUE,'ORDENES'!$A72&lt;&gt;""),1,0)</f>
        <v/>
      </c>
      <c r="L76" s="3">
        <f>IF(K76=1,IFERROR(MATCH('ORDENES'!$R72,lista_dias,0),9)*1000000000+IFERROR(MATCH('ORDENES'!$AF72,lista_turnos,0),9)*10000000+IFERROR(MATCH('ORDENES'!$AE72,'TECNICOS'!$B$4:$B$15,0),99)*100000+69,9000000000000+69)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IF('ORDENES'!$T72="preventiva",N76,0)</f>
        <v/>
      </c>
      <c r="P76" s="17">
        <f>IF('ORDENES'!$T72="correctiva",N76,0)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"&amp;IF(INDEX('ORDENES'!$AF$4:$AF$1203,U76)="","(s/t)",INDEX('ORDENES'!$AF$4:$AF$1203,U76))&amp;" · "&amp;IF(INDEX('ORDENES'!$AE$4:$AE$1203,U76)="","(sin técnico)",INDEX('ORDENES'!$AE$4:$AE$1203,U76))&amp;" · "&amp;INDEX('ORDENES'!$AQ$4:$AQ$1203,U76)&amp;"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IF(AND(IF($B$3="(todos)",TRUE,'ORDENES'!$O73=$B$3),IF($D$3="(todos)",TRUE,'ORDENES'!$AF73=$D$3),IF($F$3="(todos)",TRUE,'ORDENES'!$X73=$F$3),IF($H$3="(todos)",TRUE,'ORDENES'!$W73=$H$3),'ORDENES'!$AD73=TRUE,'ORDENES'!$A73&lt;&gt;""),1,0)</f>
        <v/>
      </c>
      <c r="L77" s="3">
        <f>IF(K77=1,IFERROR(MATCH('ORDENES'!$R73,lista_dias,0),9)*1000000000+IFERROR(MATCH('ORDENES'!$AF73,lista_turnos,0),9)*10000000+IFERROR(MATCH('ORDENES'!$AE73,'TECNICOS'!$B$4:$B$15,0),99)*100000+70,9000000000000+70)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IF('ORDENES'!$T73="preventiva",N77,0)</f>
        <v/>
      </c>
      <c r="P77" s="17">
        <f>IF('ORDENES'!$T73="correctiva",N77,0)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"&amp;IF(INDEX('ORDENES'!$AF$4:$AF$1203,U77)="","(s/t)",INDEX('ORDENES'!$AF$4:$AF$1203,U77))&amp;" · "&amp;IF(INDEX('ORDENES'!$AE$4:$AE$1203,U77)="","(sin técnico)",INDEX('ORDENES'!$AE$4:$AE$1203,U77))&amp;" · "&amp;INDEX('ORDENES'!$AQ$4:$AQ$1203,U77)&amp;"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IF(AND(IF($B$3="(todos)",TRUE,'ORDENES'!$O74=$B$3),IF($D$3="(todos)",TRUE,'ORDENES'!$AF74=$D$3),IF($F$3="(todos)",TRUE,'ORDENES'!$X74=$F$3),IF($H$3="(todos)",TRUE,'ORDENES'!$W74=$H$3),'ORDENES'!$AD74=TRUE,'ORDENES'!$A74&lt;&gt;""),1,0)</f>
        <v/>
      </c>
      <c r="L78" s="3">
        <f>IF(K78=1,IFERROR(MATCH('ORDENES'!$R74,lista_dias,0),9)*1000000000+IFERROR(MATCH('ORDENES'!$AF74,lista_turnos,0),9)*10000000+IFERROR(MATCH('ORDENES'!$AE74,'TECNICOS'!$B$4:$B$15,0),99)*100000+71,9000000000000+71)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IF('ORDENES'!$T74="preventiva",N78,0)</f>
        <v/>
      </c>
      <c r="P78" s="17">
        <f>IF('ORDENES'!$T74="correctiva",N78,0)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"&amp;IF(INDEX('ORDENES'!$AF$4:$AF$1203,U78)="","(s/t)",INDEX('ORDENES'!$AF$4:$AF$1203,U78))&amp;" · "&amp;IF(INDEX('ORDENES'!$AE$4:$AE$1203,U78)="","(sin técnico)",INDEX('ORDENES'!$AE$4:$AE$1203,U78))&amp;" · "&amp;INDEX('ORDENES'!$AQ$4:$AQ$1203,U78)&amp;"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IF(AND(IF($B$3="(todos)",TRUE,'ORDENES'!$O75=$B$3),IF($D$3="(todos)",TRUE,'ORDENES'!$AF75=$D$3),IF($F$3="(todos)",TRUE,'ORDENES'!$X75=$F$3),IF($H$3="(todos)",TRUE,'ORDENES'!$W75=$H$3),'ORDENES'!$AD75=TRUE,'ORDENES'!$A75&lt;&gt;""),1,0)</f>
        <v/>
      </c>
      <c r="L79" s="3">
        <f>IF(K79=1,IFERROR(MATCH('ORDENES'!$R75,lista_dias,0),9)*1000000000+IFERROR(MATCH('ORDENES'!$AF75,lista_turnos,0),9)*10000000+IFERROR(MATCH('ORDENES'!$AE75,'TECNICOS'!$B$4:$B$15,0),99)*100000+72,9000000000000+72)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IF('ORDENES'!$T75="preventiva",N79,0)</f>
        <v/>
      </c>
      <c r="P79" s="17">
        <f>IF('ORDENES'!$T75="correctiva",N79,0)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"&amp;IF(INDEX('ORDENES'!$AF$4:$AF$1203,U79)="","(s/t)",INDEX('ORDENES'!$AF$4:$AF$1203,U79))&amp;" · "&amp;IF(INDEX('ORDENES'!$AE$4:$AE$1203,U79)="","(sin técnico)",INDEX('ORDENES'!$AE$4:$AE$1203,U79))&amp;" · "&amp;INDEX('ORDENES'!$AQ$4:$AQ$1203,U79)&amp;"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IF(AND(IF($B$3="(todos)",TRUE,'ORDENES'!$O76=$B$3),IF($D$3="(todos)",TRUE,'ORDENES'!$AF76=$D$3),IF($F$3="(todos)",TRUE,'ORDENES'!$X76=$F$3),IF($H$3="(todos)",TRUE,'ORDENES'!$W76=$H$3),'ORDENES'!$AD76=TRUE,'ORDENES'!$A76&lt;&gt;""),1,0)</f>
        <v/>
      </c>
      <c r="L80" s="3">
        <f>IF(K80=1,IFERROR(MATCH('ORDENES'!$R76,lista_dias,0),9)*1000000000+IFERROR(MATCH('ORDENES'!$AF76,lista_turnos,0),9)*10000000+IFERROR(MATCH('ORDENES'!$AE76,'TECNICOS'!$B$4:$B$15,0),99)*100000+73,9000000000000+73)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IF('ORDENES'!$T76="preventiva",N80,0)</f>
        <v/>
      </c>
      <c r="P80" s="17">
        <f>IF('ORDENES'!$T76="correctiva",N80,0)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"&amp;IF(INDEX('ORDENES'!$AF$4:$AF$1203,U80)="","(s/t)",INDEX('ORDENES'!$AF$4:$AF$1203,U80))&amp;" · "&amp;IF(INDEX('ORDENES'!$AE$4:$AE$1203,U80)="","(sin técnico)",INDEX('ORDENES'!$AE$4:$AE$1203,U80))&amp;" · "&amp;INDEX('ORDENES'!$AQ$4:$AQ$1203,U80)&amp;"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IF(AND(IF($B$3="(todos)",TRUE,'ORDENES'!$O77=$B$3),IF($D$3="(todos)",TRUE,'ORDENES'!$AF77=$D$3),IF($F$3="(todos)",TRUE,'ORDENES'!$X77=$F$3),IF($H$3="(todos)",TRUE,'ORDENES'!$W77=$H$3),'ORDENES'!$AD77=TRUE,'ORDENES'!$A77&lt;&gt;""),1,0)</f>
        <v/>
      </c>
      <c r="L81" s="3">
        <f>IF(K81=1,IFERROR(MATCH('ORDENES'!$R77,lista_dias,0),9)*1000000000+IFERROR(MATCH('ORDENES'!$AF77,lista_turnos,0),9)*10000000+IFERROR(MATCH('ORDENES'!$AE77,'TECNICOS'!$B$4:$B$15,0),99)*100000+74,9000000000000+74)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IF('ORDENES'!$T77="preventiva",N81,0)</f>
        <v/>
      </c>
      <c r="P81" s="17">
        <f>IF('ORDENES'!$T77="correctiva",N81,0)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"&amp;IF(INDEX('ORDENES'!$AF$4:$AF$1203,U81)="","(s/t)",INDEX('ORDENES'!$AF$4:$AF$1203,U81))&amp;" · "&amp;IF(INDEX('ORDENES'!$AE$4:$AE$1203,U81)="","(sin técnico)",INDEX('ORDENES'!$AE$4:$AE$1203,U81))&amp;" · "&amp;INDEX('ORDENES'!$AQ$4:$AQ$1203,U81)&amp;"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IF(AND(IF($B$3="(todos)",TRUE,'ORDENES'!$O78=$B$3),IF($D$3="(todos)",TRUE,'ORDENES'!$AF78=$D$3),IF($F$3="(todos)",TRUE,'ORDENES'!$X78=$F$3),IF($H$3="(todos)",TRUE,'ORDENES'!$W78=$H$3),'ORDENES'!$AD78=TRUE,'ORDENES'!$A78&lt;&gt;""),1,0)</f>
        <v/>
      </c>
      <c r="L82" s="3">
        <f>IF(K82=1,IFERROR(MATCH('ORDENES'!$R78,lista_dias,0),9)*1000000000+IFERROR(MATCH('ORDENES'!$AF78,lista_turnos,0),9)*10000000+IFERROR(MATCH('ORDENES'!$AE78,'TECNICOS'!$B$4:$B$15,0),99)*100000+75,9000000000000+75)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IF('ORDENES'!$T78="preventiva",N82,0)</f>
        <v/>
      </c>
      <c r="P82" s="17">
        <f>IF('ORDENES'!$T78="correctiva",N82,0)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"&amp;IF(INDEX('ORDENES'!$AF$4:$AF$1203,U82)="","(s/t)",INDEX('ORDENES'!$AF$4:$AF$1203,U82))&amp;" · "&amp;IF(INDEX('ORDENES'!$AE$4:$AE$1203,U82)="","(sin técnico)",INDEX('ORDENES'!$AE$4:$AE$1203,U82))&amp;" · "&amp;INDEX('ORDENES'!$AQ$4:$AQ$1203,U82)&amp;"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IF(AND(IF($B$3="(todos)",TRUE,'ORDENES'!$O79=$B$3),IF($D$3="(todos)",TRUE,'ORDENES'!$AF79=$D$3),IF($F$3="(todos)",TRUE,'ORDENES'!$X79=$F$3),IF($H$3="(todos)",TRUE,'ORDENES'!$W79=$H$3),'ORDENES'!$AD79=TRUE,'ORDENES'!$A79&lt;&gt;""),1,0)</f>
        <v/>
      </c>
      <c r="L83" s="3">
        <f>IF(K83=1,IFERROR(MATCH('ORDENES'!$R79,lista_dias,0),9)*1000000000+IFERROR(MATCH('ORDENES'!$AF79,lista_turnos,0),9)*10000000+IFERROR(MATCH('ORDENES'!$AE79,'TECNICOS'!$B$4:$B$15,0),99)*100000+76,9000000000000+76)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IF('ORDENES'!$T79="preventiva",N83,0)</f>
        <v/>
      </c>
      <c r="P83" s="17">
        <f>IF('ORDENES'!$T79="correctiva",N83,0)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"&amp;IF(INDEX('ORDENES'!$AF$4:$AF$1203,U83)="","(s/t)",INDEX('ORDENES'!$AF$4:$AF$1203,U83))&amp;" · "&amp;IF(INDEX('ORDENES'!$AE$4:$AE$1203,U83)="","(sin técnico)",INDEX('ORDENES'!$AE$4:$AE$1203,U83))&amp;" · "&amp;INDEX('ORDENES'!$AQ$4:$AQ$1203,U83)&amp;"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IF(AND(IF($B$3="(todos)",TRUE,'ORDENES'!$O80=$B$3),IF($D$3="(todos)",TRUE,'ORDENES'!$AF80=$D$3),IF($F$3="(todos)",TRUE,'ORDENES'!$X80=$F$3),IF($H$3="(todos)",TRUE,'ORDENES'!$W80=$H$3),'ORDENES'!$AD80=TRUE,'ORDENES'!$A80&lt;&gt;""),1,0)</f>
        <v/>
      </c>
      <c r="L84" s="3">
        <f>IF(K84=1,IFERROR(MATCH('ORDENES'!$R80,lista_dias,0),9)*1000000000+IFERROR(MATCH('ORDENES'!$AF80,lista_turnos,0),9)*10000000+IFERROR(MATCH('ORDENES'!$AE80,'TECNICOS'!$B$4:$B$15,0),99)*100000+77,9000000000000+77)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IF('ORDENES'!$T80="preventiva",N84,0)</f>
        <v/>
      </c>
      <c r="P84" s="17">
        <f>IF('ORDENES'!$T80="correctiva",N84,0)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"&amp;IF(INDEX('ORDENES'!$AF$4:$AF$1203,U84)="","(s/t)",INDEX('ORDENES'!$AF$4:$AF$1203,U84))&amp;" · "&amp;IF(INDEX('ORDENES'!$AE$4:$AE$1203,U84)="","(sin técnico)",INDEX('ORDENES'!$AE$4:$AE$1203,U84))&amp;" · "&amp;INDEX('ORDENES'!$AQ$4:$AQ$1203,U84)&amp;"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IF(AND(IF($B$3="(todos)",TRUE,'ORDENES'!$O81=$B$3),IF($D$3="(todos)",TRUE,'ORDENES'!$AF81=$D$3),IF($F$3="(todos)",TRUE,'ORDENES'!$X81=$F$3),IF($H$3="(todos)",TRUE,'ORDENES'!$W81=$H$3),'ORDENES'!$AD81=TRUE,'ORDENES'!$A81&lt;&gt;""),1,0)</f>
        <v/>
      </c>
      <c r="L85" s="3">
        <f>IF(K85=1,IFERROR(MATCH('ORDENES'!$R81,lista_dias,0),9)*1000000000+IFERROR(MATCH('ORDENES'!$AF81,lista_turnos,0),9)*10000000+IFERROR(MATCH('ORDENES'!$AE81,'TECNICOS'!$B$4:$B$15,0),99)*100000+78,9000000000000+78)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IF('ORDENES'!$T81="preventiva",N85,0)</f>
        <v/>
      </c>
      <c r="P85" s="17">
        <f>IF('ORDENES'!$T81="correctiva",N85,0)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"&amp;IF(INDEX('ORDENES'!$AF$4:$AF$1203,U85)="","(s/t)",INDEX('ORDENES'!$AF$4:$AF$1203,U85))&amp;" · "&amp;IF(INDEX('ORDENES'!$AE$4:$AE$1203,U85)="","(sin técnico)",INDEX('ORDENES'!$AE$4:$AE$1203,U85))&amp;" · "&amp;INDEX('ORDENES'!$AQ$4:$AQ$1203,U85)&amp;"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IF(AND(IF($B$3="(todos)",TRUE,'ORDENES'!$O82=$B$3),IF($D$3="(todos)",TRUE,'ORDENES'!$AF82=$D$3),IF($F$3="(todos)",TRUE,'ORDENES'!$X82=$F$3),IF($H$3="(todos)",TRUE,'ORDENES'!$W82=$H$3),'ORDENES'!$AD82=TRUE,'ORDENES'!$A82&lt;&gt;""),1,0)</f>
        <v/>
      </c>
      <c r="L86" s="3">
        <f>IF(K86=1,IFERROR(MATCH('ORDENES'!$R82,lista_dias,0),9)*1000000000+IFERROR(MATCH('ORDENES'!$AF82,lista_turnos,0),9)*10000000+IFERROR(MATCH('ORDENES'!$AE82,'TECNICOS'!$B$4:$B$15,0),99)*100000+79,9000000000000+79)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IF('ORDENES'!$T82="preventiva",N86,0)</f>
        <v/>
      </c>
      <c r="P86" s="17">
        <f>IF('ORDENES'!$T82="correctiva",N86,0)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"&amp;IF(INDEX('ORDENES'!$AF$4:$AF$1203,U86)="","(s/t)",INDEX('ORDENES'!$AF$4:$AF$1203,U86))&amp;" · "&amp;IF(INDEX('ORDENES'!$AE$4:$AE$1203,U86)="","(sin técnico)",INDEX('ORDENES'!$AE$4:$AE$1203,U86))&amp;" · "&amp;INDEX('ORDENES'!$AQ$4:$AQ$1203,U86)&amp;"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IF(AND(IF($B$3="(todos)",TRUE,'ORDENES'!$O83=$B$3),IF($D$3="(todos)",TRUE,'ORDENES'!$AF83=$D$3),IF($F$3="(todos)",TRUE,'ORDENES'!$X83=$F$3),IF($H$3="(todos)",TRUE,'ORDENES'!$W83=$H$3),'ORDENES'!$AD83=TRUE,'ORDENES'!$A83&lt;&gt;""),1,0)</f>
        <v/>
      </c>
      <c r="L87" s="3">
        <f>IF(K87=1,IFERROR(MATCH('ORDENES'!$R83,lista_dias,0),9)*1000000000+IFERROR(MATCH('ORDENES'!$AF83,lista_turnos,0),9)*10000000+IFERROR(MATCH('ORDENES'!$AE83,'TECNICOS'!$B$4:$B$15,0),99)*100000+80,9000000000000+80)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IF('ORDENES'!$T83="preventiva",N87,0)</f>
        <v/>
      </c>
      <c r="P87" s="17">
        <f>IF('ORDENES'!$T83="correctiva",N87,0)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"&amp;IF(INDEX('ORDENES'!$AF$4:$AF$1203,U87)="","(s/t)",INDEX('ORDENES'!$AF$4:$AF$1203,U87))&amp;" · "&amp;IF(INDEX('ORDENES'!$AE$4:$AE$1203,U87)="","(sin técnico)",INDEX('ORDENES'!$AE$4:$AE$1203,U87))&amp;" · "&amp;INDEX('ORDENES'!$AQ$4:$AQ$1203,U87)&amp;"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IF(AND(IF($B$3="(todos)",TRUE,'ORDENES'!$O84=$B$3),IF($D$3="(todos)",TRUE,'ORDENES'!$AF84=$D$3),IF($F$3="(todos)",TRUE,'ORDENES'!$X84=$F$3),IF($H$3="(todos)",TRUE,'ORDENES'!$W84=$H$3),'ORDENES'!$AD84=TRUE,'ORDENES'!$A84&lt;&gt;""),1,0)</f>
        <v/>
      </c>
      <c r="L88" s="3">
        <f>IF(K88=1,IFERROR(MATCH('ORDENES'!$R84,lista_dias,0),9)*1000000000+IFERROR(MATCH('ORDENES'!$AF84,lista_turnos,0),9)*10000000+IFERROR(MATCH('ORDENES'!$AE84,'TECNICOS'!$B$4:$B$15,0),99)*100000+81,9000000000000+81)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IF('ORDENES'!$T84="preventiva",N88,0)</f>
        <v/>
      </c>
      <c r="P88" s="17">
        <f>IF('ORDENES'!$T84="correctiva",N88,0)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"&amp;IF(INDEX('ORDENES'!$AF$4:$AF$1203,U88)="","(s/t)",INDEX('ORDENES'!$AF$4:$AF$1203,U88))&amp;" · "&amp;IF(INDEX('ORDENES'!$AE$4:$AE$1203,U88)="","(sin técnico)",INDEX('ORDENES'!$AE$4:$AE$1203,U88))&amp;" · "&amp;INDEX('ORDENES'!$AQ$4:$AQ$1203,U88)&amp;"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IF(AND(IF($B$3="(todos)",TRUE,'ORDENES'!$O85=$B$3),IF($D$3="(todos)",TRUE,'ORDENES'!$AF85=$D$3),IF($F$3="(todos)",TRUE,'ORDENES'!$X85=$F$3),IF($H$3="(todos)",TRUE,'ORDENES'!$W85=$H$3),'ORDENES'!$AD85=TRUE,'ORDENES'!$A85&lt;&gt;""),1,0)</f>
        <v/>
      </c>
      <c r="L89" s="3">
        <f>IF(K89=1,IFERROR(MATCH('ORDENES'!$R85,lista_dias,0),9)*1000000000+IFERROR(MATCH('ORDENES'!$AF85,lista_turnos,0),9)*10000000+IFERROR(MATCH('ORDENES'!$AE85,'TECNICOS'!$B$4:$B$15,0),99)*100000+82,9000000000000+82)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IF('ORDENES'!$T85="preventiva",N89,0)</f>
        <v/>
      </c>
      <c r="P89" s="17">
        <f>IF('ORDENES'!$T85="correctiva",N89,0)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"&amp;IF(INDEX('ORDENES'!$AF$4:$AF$1203,U89)="","(s/t)",INDEX('ORDENES'!$AF$4:$AF$1203,U89))&amp;" · "&amp;IF(INDEX('ORDENES'!$AE$4:$AE$1203,U89)="","(sin técnico)",INDEX('ORDENES'!$AE$4:$AE$1203,U89))&amp;" · "&amp;INDEX('ORDENES'!$AQ$4:$AQ$1203,U89)&amp;"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IF(AND(IF($B$3="(todos)",TRUE,'ORDENES'!$O86=$B$3),IF($D$3="(todos)",TRUE,'ORDENES'!$AF86=$D$3),IF($F$3="(todos)",TRUE,'ORDENES'!$X86=$F$3),IF($H$3="(todos)",TRUE,'ORDENES'!$W86=$H$3),'ORDENES'!$AD86=TRUE,'ORDENES'!$A86&lt;&gt;""),1,0)</f>
        <v/>
      </c>
      <c r="L90" s="3">
        <f>IF(K90=1,IFERROR(MATCH('ORDENES'!$R86,lista_dias,0),9)*1000000000+IFERROR(MATCH('ORDENES'!$AF86,lista_turnos,0),9)*10000000+IFERROR(MATCH('ORDENES'!$AE86,'TECNICOS'!$B$4:$B$15,0),99)*100000+83,9000000000000+83)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IF('ORDENES'!$T86="preventiva",N90,0)</f>
        <v/>
      </c>
      <c r="P90" s="17">
        <f>IF('ORDENES'!$T86="correctiva",N90,0)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"&amp;IF(INDEX('ORDENES'!$AF$4:$AF$1203,U90)="","(s/t)",INDEX('ORDENES'!$AF$4:$AF$1203,U90))&amp;" · "&amp;IF(INDEX('ORDENES'!$AE$4:$AE$1203,U90)="","(sin técnico)",INDEX('ORDENES'!$AE$4:$AE$1203,U90))&amp;" · "&amp;INDEX('ORDENES'!$AQ$4:$AQ$1203,U90)&amp;"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IF(AND(IF($B$3="(todos)",TRUE,'ORDENES'!$O87=$B$3),IF($D$3="(todos)",TRUE,'ORDENES'!$AF87=$D$3),IF($F$3="(todos)",TRUE,'ORDENES'!$X87=$F$3),IF($H$3="(todos)",TRUE,'ORDENES'!$W87=$H$3),'ORDENES'!$AD87=TRUE,'ORDENES'!$A87&lt;&gt;""),1,0)</f>
        <v/>
      </c>
      <c r="L91" s="3">
        <f>IF(K91=1,IFERROR(MATCH('ORDENES'!$R87,lista_dias,0),9)*1000000000+IFERROR(MATCH('ORDENES'!$AF87,lista_turnos,0),9)*10000000+IFERROR(MATCH('ORDENES'!$AE87,'TECNICOS'!$B$4:$B$15,0),99)*100000+84,9000000000000+84)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IF('ORDENES'!$T87="preventiva",N91,0)</f>
        <v/>
      </c>
      <c r="P91" s="17">
        <f>IF('ORDENES'!$T87="correctiva",N91,0)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"&amp;IF(INDEX('ORDENES'!$AF$4:$AF$1203,U91)="","(s/t)",INDEX('ORDENES'!$AF$4:$AF$1203,U91))&amp;" · "&amp;IF(INDEX('ORDENES'!$AE$4:$AE$1203,U91)="","(sin técnico)",INDEX('ORDENES'!$AE$4:$AE$1203,U91))&amp;" · "&amp;INDEX('ORDENES'!$AQ$4:$AQ$1203,U91)&amp;"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IF(AND(IF($B$3="(todos)",TRUE,'ORDENES'!$O88=$B$3),IF($D$3="(todos)",TRUE,'ORDENES'!$AF88=$D$3),IF($F$3="(todos)",TRUE,'ORDENES'!$X88=$F$3),IF($H$3="(todos)",TRUE,'ORDENES'!$W88=$H$3),'ORDENES'!$AD88=TRUE,'ORDENES'!$A88&lt;&gt;""),1,0)</f>
        <v/>
      </c>
      <c r="L92" s="3">
        <f>IF(K92=1,IFERROR(MATCH('ORDENES'!$R88,lista_dias,0),9)*1000000000+IFERROR(MATCH('ORDENES'!$AF88,lista_turnos,0),9)*10000000+IFERROR(MATCH('ORDENES'!$AE88,'TECNICOS'!$B$4:$B$15,0),99)*100000+85,9000000000000+85)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IF('ORDENES'!$T88="preventiva",N92,0)</f>
        <v/>
      </c>
      <c r="P92" s="17">
        <f>IF('ORDENES'!$T88="correctiva",N92,0)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"&amp;IF(INDEX('ORDENES'!$AF$4:$AF$1203,U92)="","(s/t)",INDEX('ORDENES'!$AF$4:$AF$1203,U92))&amp;" · "&amp;IF(INDEX('ORDENES'!$AE$4:$AE$1203,U92)="","(sin técnico)",INDEX('ORDENES'!$AE$4:$AE$1203,U92))&amp;" · "&amp;INDEX('ORDENES'!$AQ$4:$AQ$1203,U92)&amp;"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IF(AND(IF($B$3="(todos)",TRUE,'ORDENES'!$O89=$B$3),IF($D$3="(todos)",TRUE,'ORDENES'!$AF89=$D$3),IF($F$3="(todos)",TRUE,'ORDENES'!$X89=$F$3),IF($H$3="(todos)",TRUE,'ORDENES'!$W89=$H$3),'ORDENES'!$AD89=TRUE,'ORDENES'!$A89&lt;&gt;""),1,0)</f>
        <v/>
      </c>
      <c r="L93" s="3">
        <f>IF(K93=1,IFERROR(MATCH('ORDENES'!$R89,lista_dias,0),9)*1000000000+IFERROR(MATCH('ORDENES'!$AF89,lista_turnos,0),9)*10000000+IFERROR(MATCH('ORDENES'!$AE89,'TECNICOS'!$B$4:$B$15,0),99)*100000+86,9000000000000+86)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IF('ORDENES'!$T89="preventiva",N93,0)</f>
        <v/>
      </c>
      <c r="P93" s="17">
        <f>IF('ORDENES'!$T89="correctiva",N93,0)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"&amp;IF(INDEX('ORDENES'!$AF$4:$AF$1203,U93)="","(s/t)",INDEX('ORDENES'!$AF$4:$AF$1203,U93))&amp;" · "&amp;IF(INDEX('ORDENES'!$AE$4:$AE$1203,U93)="","(sin técnico)",INDEX('ORDENES'!$AE$4:$AE$1203,U93))&amp;" · "&amp;INDEX('ORDENES'!$AQ$4:$AQ$1203,U93)&amp;"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IF(AND(IF($B$3="(todos)",TRUE,'ORDENES'!$O90=$B$3),IF($D$3="(todos)",TRUE,'ORDENES'!$AF90=$D$3),IF($F$3="(todos)",TRUE,'ORDENES'!$X90=$F$3),IF($H$3="(todos)",TRUE,'ORDENES'!$W90=$H$3),'ORDENES'!$AD90=TRUE,'ORDENES'!$A90&lt;&gt;""),1,0)</f>
        <v/>
      </c>
      <c r="L94" s="3">
        <f>IF(K94=1,IFERROR(MATCH('ORDENES'!$R90,lista_dias,0),9)*1000000000+IFERROR(MATCH('ORDENES'!$AF90,lista_turnos,0),9)*10000000+IFERROR(MATCH('ORDENES'!$AE90,'TECNICOS'!$B$4:$B$15,0),99)*100000+87,9000000000000+87)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IF('ORDENES'!$T90="preventiva",N94,0)</f>
        <v/>
      </c>
      <c r="P94" s="17">
        <f>IF('ORDENES'!$T90="correctiva",N94,0)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"&amp;IF(INDEX('ORDENES'!$AF$4:$AF$1203,U94)="","(s/t)",INDEX('ORDENES'!$AF$4:$AF$1203,U94))&amp;" · "&amp;IF(INDEX('ORDENES'!$AE$4:$AE$1203,U94)="","(sin técnico)",INDEX('ORDENES'!$AE$4:$AE$1203,U94))&amp;" · "&amp;INDEX('ORDENES'!$AQ$4:$AQ$1203,U94)&amp;"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IF(AND(IF($B$3="(todos)",TRUE,'ORDENES'!$O91=$B$3),IF($D$3="(todos)",TRUE,'ORDENES'!$AF91=$D$3),IF($F$3="(todos)",TRUE,'ORDENES'!$X91=$F$3),IF($H$3="(todos)",TRUE,'ORDENES'!$W91=$H$3),'ORDENES'!$AD91=TRUE,'ORDENES'!$A91&lt;&gt;""),1,0)</f>
        <v/>
      </c>
      <c r="L95" s="3">
        <f>IF(K95=1,IFERROR(MATCH('ORDENES'!$R91,lista_dias,0),9)*1000000000+IFERROR(MATCH('ORDENES'!$AF91,lista_turnos,0),9)*10000000+IFERROR(MATCH('ORDENES'!$AE91,'TECNICOS'!$B$4:$B$15,0),99)*100000+88,9000000000000+88)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IF('ORDENES'!$T91="preventiva",N95,0)</f>
        <v/>
      </c>
      <c r="P95" s="17">
        <f>IF('ORDENES'!$T91="correctiva",N95,0)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"&amp;IF(INDEX('ORDENES'!$AF$4:$AF$1203,U95)="","(s/t)",INDEX('ORDENES'!$AF$4:$AF$1203,U95))&amp;" · "&amp;IF(INDEX('ORDENES'!$AE$4:$AE$1203,U95)="","(sin técnico)",INDEX('ORDENES'!$AE$4:$AE$1203,U95))&amp;" · "&amp;INDEX('ORDENES'!$AQ$4:$AQ$1203,U95)&amp;"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IF(AND(IF($B$3="(todos)",TRUE,'ORDENES'!$O92=$B$3),IF($D$3="(todos)",TRUE,'ORDENES'!$AF92=$D$3),IF($F$3="(todos)",TRUE,'ORDENES'!$X92=$F$3),IF($H$3="(todos)",TRUE,'ORDENES'!$W92=$H$3),'ORDENES'!$AD92=TRUE,'ORDENES'!$A92&lt;&gt;""),1,0)</f>
        <v/>
      </c>
      <c r="L96" s="3">
        <f>IF(K96=1,IFERROR(MATCH('ORDENES'!$R92,lista_dias,0),9)*1000000000+IFERROR(MATCH('ORDENES'!$AF92,lista_turnos,0),9)*10000000+IFERROR(MATCH('ORDENES'!$AE92,'TECNICOS'!$B$4:$B$15,0),99)*100000+89,9000000000000+89)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IF('ORDENES'!$T92="preventiva",N96,0)</f>
        <v/>
      </c>
      <c r="P96" s="17">
        <f>IF('ORDENES'!$T92="correctiva",N96,0)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"&amp;IF(INDEX('ORDENES'!$AF$4:$AF$1203,U96)="","(s/t)",INDEX('ORDENES'!$AF$4:$AF$1203,U96))&amp;" · "&amp;IF(INDEX('ORDENES'!$AE$4:$AE$1203,U96)="","(sin técnico)",INDEX('ORDENES'!$AE$4:$AE$1203,U96))&amp;" · "&amp;INDEX('ORDENES'!$AQ$4:$AQ$1203,U96)&amp;"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IF(AND(IF($B$3="(todos)",TRUE,'ORDENES'!$O93=$B$3),IF($D$3="(todos)",TRUE,'ORDENES'!$AF93=$D$3),IF($F$3="(todos)",TRUE,'ORDENES'!$X93=$F$3),IF($H$3="(todos)",TRUE,'ORDENES'!$W93=$H$3),'ORDENES'!$AD93=TRUE,'ORDENES'!$A93&lt;&gt;""),1,0)</f>
        <v/>
      </c>
      <c r="L97" s="3">
        <f>IF(K97=1,IFERROR(MATCH('ORDENES'!$R93,lista_dias,0),9)*1000000000+IFERROR(MATCH('ORDENES'!$AF93,lista_turnos,0),9)*10000000+IFERROR(MATCH('ORDENES'!$AE93,'TECNICOS'!$B$4:$B$15,0),99)*100000+90,9000000000000+90)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IF('ORDENES'!$T93="preventiva",N97,0)</f>
        <v/>
      </c>
      <c r="P97" s="17">
        <f>IF('ORDENES'!$T93="correctiva",N97,0)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"&amp;IF(INDEX('ORDENES'!$AF$4:$AF$1203,U97)="","(s/t)",INDEX('ORDENES'!$AF$4:$AF$1203,U97))&amp;" · "&amp;IF(INDEX('ORDENES'!$AE$4:$AE$1203,U97)="","(sin técnico)",INDEX('ORDENES'!$AE$4:$AE$1203,U97))&amp;" · "&amp;INDEX('ORDENES'!$AQ$4:$AQ$1203,U97)&amp;"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IF(AND(IF($B$3="(todos)",TRUE,'ORDENES'!$O94=$B$3),IF($D$3="(todos)",TRUE,'ORDENES'!$AF94=$D$3),IF($F$3="(todos)",TRUE,'ORDENES'!$X94=$F$3),IF($H$3="(todos)",TRUE,'ORDENES'!$W94=$H$3),'ORDENES'!$AD94=TRUE,'ORDENES'!$A94&lt;&gt;""),1,0)</f>
        <v/>
      </c>
      <c r="L98" s="3">
        <f>IF(K98=1,IFERROR(MATCH('ORDENES'!$R94,lista_dias,0),9)*1000000000+IFERROR(MATCH('ORDENES'!$AF94,lista_turnos,0),9)*10000000+IFERROR(MATCH('ORDENES'!$AE94,'TECNICOS'!$B$4:$B$15,0),99)*100000+91,9000000000000+91)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IF('ORDENES'!$T94="preventiva",N98,0)</f>
        <v/>
      </c>
      <c r="P98" s="17">
        <f>IF('ORDENES'!$T94="correctiva",N98,0)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"&amp;IF(INDEX('ORDENES'!$AF$4:$AF$1203,U98)="","(s/t)",INDEX('ORDENES'!$AF$4:$AF$1203,U98))&amp;" · "&amp;IF(INDEX('ORDENES'!$AE$4:$AE$1203,U98)="","(sin técnico)",INDEX('ORDENES'!$AE$4:$AE$1203,U98))&amp;" · "&amp;INDEX('ORDENES'!$AQ$4:$AQ$1203,U98)&amp;"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IF(AND(IF($B$3="(todos)",TRUE,'ORDENES'!$O95=$B$3),IF($D$3="(todos)",TRUE,'ORDENES'!$AF95=$D$3),IF($F$3="(todos)",TRUE,'ORDENES'!$X95=$F$3),IF($H$3="(todos)",TRUE,'ORDENES'!$W95=$H$3),'ORDENES'!$AD95=TRUE,'ORDENES'!$A95&lt;&gt;""),1,0)</f>
        <v/>
      </c>
      <c r="L99" s="3">
        <f>IF(K99=1,IFERROR(MATCH('ORDENES'!$R95,lista_dias,0),9)*1000000000+IFERROR(MATCH('ORDENES'!$AF95,lista_turnos,0),9)*10000000+IFERROR(MATCH('ORDENES'!$AE95,'TECNICOS'!$B$4:$B$15,0),99)*100000+92,9000000000000+92)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IF('ORDENES'!$T95="preventiva",N99,0)</f>
        <v/>
      </c>
      <c r="P99" s="17">
        <f>IF('ORDENES'!$T95="correctiva",N99,0)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"&amp;IF(INDEX('ORDENES'!$AF$4:$AF$1203,U99)="","(s/t)",INDEX('ORDENES'!$AF$4:$AF$1203,U99))&amp;" · "&amp;IF(INDEX('ORDENES'!$AE$4:$AE$1203,U99)="","(sin técnico)",INDEX('ORDENES'!$AE$4:$AE$1203,U99))&amp;" · "&amp;INDEX('ORDENES'!$AQ$4:$AQ$1203,U99)&amp;"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IF(AND(IF($B$3="(todos)",TRUE,'ORDENES'!$O96=$B$3),IF($D$3="(todos)",TRUE,'ORDENES'!$AF96=$D$3),IF($F$3="(todos)",TRUE,'ORDENES'!$X96=$F$3),IF($H$3="(todos)",TRUE,'ORDENES'!$W96=$H$3),'ORDENES'!$AD96=TRUE,'ORDENES'!$A96&lt;&gt;""),1,0)</f>
        <v/>
      </c>
      <c r="L100" s="3">
        <f>IF(K100=1,IFERROR(MATCH('ORDENES'!$R96,lista_dias,0),9)*1000000000+IFERROR(MATCH('ORDENES'!$AF96,lista_turnos,0),9)*10000000+IFERROR(MATCH('ORDENES'!$AE96,'TECNICOS'!$B$4:$B$15,0),99)*100000+93,9000000000000+93)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IF('ORDENES'!$T96="preventiva",N100,0)</f>
        <v/>
      </c>
      <c r="P100" s="17">
        <f>IF('ORDENES'!$T96="correctiva",N100,0)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"&amp;IF(INDEX('ORDENES'!$AF$4:$AF$1203,U100)="","(s/t)",INDEX('ORDENES'!$AF$4:$AF$1203,U100))&amp;" · "&amp;IF(INDEX('ORDENES'!$AE$4:$AE$1203,U100)="","(sin técnico)",INDEX('ORDENES'!$AE$4:$AE$1203,U100))&amp;" · "&amp;INDEX('ORDENES'!$AQ$4:$AQ$1203,U100)&amp;"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IF(AND(IF($B$3="(todos)",TRUE,'ORDENES'!$O97=$B$3),IF($D$3="(todos)",TRUE,'ORDENES'!$AF97=$D$3),IF($F$3="(todos)",TRUE,'ORDENES'!$X97=$F$3),IF($H$3="(todos)",TRUE,'ORDENES'!$W97=$H$3),'ORDENES'!$AD97=TRUE,'ORDENES'!$A97&lt;&gt;""),1,0)</f>
        <v/>
      </c>
      <c r="L101" s="3">
        <f>IF(K101=1,IFERROR(MATCH('ORDENES'!$R97,lista_dias,0),9)*1000000000+IFERROR(MATCH('ORDENES'!$AF97,lista_turnos,0),9)*10000000+IFERROR(MATCH('ORDENES'!$AE97,'TECNICOS'!$B$4:$B$15,0),99)*100000+94,9000000000000+94)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IF('ORDENES'!$T97="preventiva",N101,0)</f>
        <v/>
      </c>
      <c r="P101" s="17">
        <f>IF('ORDENES'!$T97="correctiva",N101,0)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"&amp;IF(INDEX('ORDENES'!$AF$4:$AF$1203,U101)="","(s/t)",INDEX('ORDENES'!$AF$4:$AF$1203,U101))&amp;" · "&amp;IF(INDEX('ORDENES'!$AE$4:$AE$1203,U101)="","(sin técnico)",INDEX('ORDENES'!$AE$4:$AE$1203,U101))&amp;" · "&amp;INDEX('ORDENES'!$AQ$4:$AQ$1203,U101)&amp;"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IF(AND(IF($B$3="(todos)",TRUE,'ORDENES'!$O98=$B$3),IF($D$3="(todos)",TRUE,'ORDENES'!$AF98=$D$3),IF($F$3="(todos)",TRUE,'ORDENES'!$X98=$F$3),IF($H$3="(todos)",TRUE,'ORDENES'!$W98=$H$3),'ORDENES'!$AD98=TRUE,'ORDENES'!$A98&lt;&gt;""),1,0)</f>
        <v/>
      </c>
      <c r="L102" s="3">
        <f>IF(K102=1,IFERROR(MATCH('ORDENES'!$R98,lista_dias,0),9)*1000000000+IFERROR(MATCH('ORDENES'!$AF98,lista_turnos,0),9)*10000000+IFERROR(MATCH('ORDENES'!$AE98,'TECNICOS'!$B$4:$B$15,0),99)*100000+95,9000000000000+95)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IF('ORDENES'!$T98="preventiva",N102,0)</f>
        <v/>
      </c>
      <c r="P102" s="17">
        <f>IF('ORDENES'!$T98="correctiva",N102,0)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"&amp;IF(INDEX('ORDENES'!$AF$4:$AF$1203,U102)="","(s/t)",INDEX('ORDENES'!$AF$4:$AF$1203,U102))&amp;" · "&amp;IF(INDEX('ORDENES'!$AE$4:$AE$1203,U102)="","(sin técnico)",INDEX('ORDENES'!$AE$4:$AE$1203,U102))&amp;" · "&amp;INDEX('ORDENES'!$AQ$4:$AQ$1203,U102)&amp;"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IF(AND(IF($B$3="(todos)",TRUE,'ORDENES'!$O99=$B$3),IF($D$3="(todos)",TRUE,'ORDENES'!$AF99=$D$3),IF($F$3="(todos)",TRUE,'ORDENES'!$X99=$F$3),IF($H$3="(todos)",TRUE,'ORDENES'!$W99=$H$3),'ORDENES'!$AD99=TRUE,'ORDENES'!$A99&lt;&gt;""),1,0)</f>
        <v/>
      </c>
      <c r="L103" s="3">
        <f>IF(K103=1,IFERROR(MATCH('ORDENES'!$R99,lista_dias,0),9)*1000000000+IFERROR(MATCH('ORDENES'!$AF99,lista_turnos,0),9)*10000000+IFERROR(MATCH('ORDENES'!$AE99,'TECNICOS'!$B$4:$B$15,0),99)*100000+96,9000000000000+96)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IF('ORDENES'!$T99="preventiva",N103,0)</f>
        <v/>
      </c>
      <c r="P103" s="17">
        <f>IF('ORDENES'!$T99="correctiva",N103,0)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"&amp;IF(INDEX('ORDENES'!$AF$4:$AF$1203,U103)="","(s/t)",INDEX('ORDENES'!$AF$4:$AF$1203,U103))&amp;" · "&amp;IF(INDEX('ORDENES'!$AE$4:$AE$1203,U103)="","(sin técnico)",INDEX('ORDENES'!$AE$4:$AE$1203,U103))&amp;" · "&amp;INDEX('ORDENES'!$AQ$4:$AQ$1203,U103)&amp;"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IF(AND(IF($B$3="(todos)",TRUE,'ORDENES'!$O100=$B$3),IF($D$3="(todos)",TRUE,'ORDENES'!$AF100=$D$3),IF($F$3="(todos)",TRUE,'ORDENES'!$X100=$F$3),IF($H$3="(todos)",TRUE,'ORDENES'!$W100=$H$3),'ORDENES'!$AD100=TRUE,'ORDENES'!$A100&lt;&gt;""),1,0)</f>
        <v/>
      </c>
      <c r="L104" s="3">
        <f>IF(K104=1,IFERROR(MATCH('ORDENES'!$R100,lista_dias,0),9)*1000000000+IFERROR(MATCH('ORDENES'!$AF100,lista_turnos,0),9)*10000000+IFERROR(MATCH('ORDENES'!$AE100,'TECNICOS'!$B$4:$B$15,0),99)*100000+97,9000000000000+97)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IF('ORDENES'!$T100="preventiva",N104,0)</f>
        <v/>
      </c>
      <c r="P104" s="17">
        <f>IF('ORDENES'!$T100="correctiva",N104,0)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"&amp;IF(INDEX('ORDENES'!$AF$4:$AF$1203,U104)="","(s/t)",INDEX('ORDENES'!$AF$4:$AF$1203,U104))&amp;" · "&amp;IF(INDEX('ORDENES'!$AE$4:$AE$1203,U104)="","(sin técnico)",INDEX('ORDENES'!$AE$4:$AE$1203,U104))&amp;" · "&amp;INDEX('ORDENES'!$AQ$4:$AQ$1203,U104)&amp;"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IF(AND(IF($B$3="(todos)",TRUE,'ORDENES'!$O101=$B$3),IF($D$3="(todos)",TRUE,'ORDENES'!$AF101=$D$3),IF($F$3="(todos)",TRUE,'ORDENES'!$X101=$F$3),IF($H$3="(todos)",TRUE,'ORDENES'!$W101=$H$3),'ORDENES'!$AD101=TRUE,'ORDENES'!$A101&lt;&gt;""),1,0)</f>
        <v/>
      </c>
      <c r="L105" s="3">
        <f>IF(K105=1,IFERROR(MATCH('ORDENES'!$R101,lista_dias,0),9)*1000000000+IFERROR(MATCH('ORDENES'!$AF101,lista_turnos,0),9)*10000000+IFERROR(MATCH('ORDENES'!$AE101,'TECNICOS'!$B$4:$B$15,0),99)*100000+98,9000000000000+98)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IF('ORDENES'!$T101="preventiva",N105,0)</f>
        <v/>
      </c>
      <c r="P105" s="17">
        <f>IF('ORDENES'!$T101="correctiva",N105,0)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"&amp;IF(INDEX('ORDENES'!$AF$4:$AF$1203,U105)="","(s/t)",INDEX('ORDENES'!$AF$4:$AF$1203,U105))&amp;" · "&amp;IF(INDEX('ORDENES'!$AE$4:$AE$1203,U105)="","(sin técnico)",INDEX('ORDENES'!$AE$4:$AE$1203,U105))&amp;" · "&amp;INDEX('ORDENES'!$AQ$4:$AQ$1203,U105)&amp;"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IF(AND(IF($B$3="(todos)",TRUE,'ORDENES'!$O102=$B$3),IF($D$3="(todos)",TRUE,'ORDENES'!$AF102=$D$3),IF($F$3="(todos)",TRUE,'ORDENES'!$X102=$F$3),IF($H$3="(todos)",TRUE,'ORDENES'!$W102=$H$3),'ORDENES'!$AD102=TRUE,'ORDENES'!$A102&lt;&gt;""),1,0)</f>
        <v/>
      </c>
      <c r="L106" s="3">
        <f>IF(K106=1,IFERROR(MATCH('ORDENES'!$R102,lista_dias,0),9)*1000000000+IFERROR(MATCH('ORDENES'!$AF102,lista_turnos,0),9)*10000000+IFERROR(MATCH('ORDENES'!$AE102,'TECNICOS'!$B$4:$B$15,0),99)*100000+99,9000000000000+99)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IF('ORDENES'!$T102="preventiva",N106,0)</f>
        <v/>
      </c>
      <c r="P106" s="17">
        <f>IF('ORDENES'!$T102="correctiva",N106,0)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"&amp;IF(INDEX('ORDENES'!$AF$4:$AF$1203,U106)="","(s/t)",INDEX('ORDENES'!$AF$4:$AF$1203,U106))&amp;" · "&amp;IF(INDEX('ORDENES'!$AE$4:$AE$1203,U106)="","(sin técnico)",INDEX('ORDENES'!$AE$4:$AE$1203,U106))&amp;" · "&amp;INDEX('ORDENES'!$AQ$4:$AQ$1203,U106)&amp;"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IF(AND(IF($B$3="(todos)",TRUE,'ORDENES'!$O103=$B$3),IF($D$3="(todos)",TRUE,'ORDENES'!$AF103=$D$3),IF($F$3="(todos)",TRUE,'ORDENES'!$X103=$F$3),IF($H$3="(todos)",TRUE,'ORDENES'!$W103=$H$3),'ORDENES'!$AD103=TRUE,'ORDENES'!$A103&lt;&gt;""),1,0)</f>
        <v/>
      </c>
      <c r="L107" s="3">
        <f>IF(K107=1,IFERROR(MATCH('ORDENES'!$R103,lista_dias,0),9)*1000000000+IFERROR(MATCH('ORDENES'!$AF103,lista_turnos,0),9)*10000000+IFERROR(MATCH('ORDENES'!$AE103,'TECNICOS'!$B$4:$B$15,0),99)*100000+100,9000000000000+100)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IF('ORDENES'!$T103="preventiva",N107,0)</f>
        <v/>
      </c>
      <c r="P107" s="17">
        <f>IF('ORDENES'!$T103="correctiva",N107,0)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"&amp;IF(INDEX('ORDENES'!$AF$4:$AF$1203,U107)="","(s/t)",INDEX('ORDENES'!$AF$4:$AF$1203,U107))&amp;" · "&amp;IF(INDEX('ORDENES'!$AE$4:$AE$1203,U107)="","(sin técnico)",INDEX('ORDENES'!$AE$4:$AE$1203,U107))&amp;" · "&amp;INDEX('ORDENES'!$AQ$4:$AQ$1203,U107)&amp;"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IF(AND(IF($B$3="(todos)",TRUE,'ORDENES'!$O104=$B$3),IF($D$3="(todos)",TRUE,'ORDENES'!$AF104=$D$3),IF($F$3="(todos)",TRUE,'ORDENES'!$X104=$F$3),IF($H$3="(todos)",TRUE,'ORDENES'!$W104=$H$3),'ORDENES'!$AD104=TRUE,'ORDENES'!$A104&lt;&gt;""),1,0)</f>
        <v/>
      </c>
      <c r="L108" s="3">
        <f>IF(K108=1,IFERROR(MATCH('ORDENES'!$R104,lista_dias,0),9)*1000000000+IFERROR(MATCH('ORDENES'!$AF104,lista_turnos,0),9)*10000000+IFERROR(MATCH('ORDENES'!$AE104,'TECNICOS'!$B$4:$B$15,0),99)*100000+101,9000000000000+101)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IF('ORDENES'!$T104="preventiva",N108,0)</f>
        <v/>
      </c>
      <c r="P108" s="17">
        <f>IF('ORDENES'!$T104="correctiva",N108,0)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"&amp;IF(INDEX('ORDENES'!$AF$4:$AF$1203,U108)="","(s/t)",INDEX('ORDENES'!$AF$4:$AF$1203,U108))&amp;" · "&amp;IF(INDEX('ORDENES'!$AE$4:$AE$1203,U108)="","(sin técnico)",INDEX('ORDENES'!$AE$4:$AE$1203,U108))&amp;" · "&amp;INDEX('ORDENES'!$AQ$4:$AQ$1203,U108)&amp;"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IF(AND(IF($B$3="(todos)",TRUE,'ORDENES'!$O105=$B$3),IF($D$3="(todos)",TRUE,'ORDENES'!$AF105=$D$3),IF($F$3="(todos)",TRUE,'ORDENES'!$X105=$F$3),IF($H$3="(todos)",TRUE,'ORDENES'!$W105=$H$3),'ORDENES'!$AD105=TRUE,'ORDENES'!$A105&lt;&gt;""),1,0)</f>
        <v/>
      </c>
      <c r="L109" s="3">
        <f>IF(K109=1,IFERROR(MATCH('ORDENES'!$R105,lista_dias,0),9)*1000000000+IFERROR(MATCH('ORDENES'!$AF105,lista_turnos,0),9)*10000000+IFERROR(MATCH('ORDENES'!$AE105,'TECNICOS'!$B$4:$B$15,0),99)*100000+102,9000000000000+102)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IF('ORDENES'!$T105="preventiva",N109,0)</f>
        <v/>
      </c>
      <c r="P109" s="17">
        <f>IF('ORDENES'!$T105="correctiva",N109,0)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"&amp;IF(INDEX('ORDENES'!$AF$4:$AF$1203,U109)="","(s/t)",INDEX('ORDENES'!$AF$4:$AF$1203,U109))&amp;" · "&amp;IF(INDEX('ORDENES'!$AE$4:$AE$1203,U109)="","(sin técnico)",INDEX('ORDENES'!$AE$4:$AE$1203,U109))&amp;" · "&amp;INDEX('ORDENES'!$AQ$4:$AQ$1203,U109)&amp;"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IF(AND(IF($B$3="(todos)",TRUE,'ORDENES'!$O106=$B$3),IF($D$3="(todos)",TRUE,'ORDENES'!$AF106=$D$3),IF($F$3="(todos)",TRUE,'ORDENES'!$X106=$F$3),IF($H$3="(todos)",TRUE,'ORDENES'!$W106=$H$3),'ORDENES'!$AD106=TRUE,'ORDENES'!$A106&lt;&gt;""),1,0)</f>
        <v/>
      </c>
      <c r="L110" s="3">
        <f>IF(K110=1,IFERROR(MATCH('ORDENES'!$R106,lista_dias,0),9)*1000000000+IFERROR(MATCH('ORDENES'!$AF106,lista_turnos,0),9)*10000000+IFERROR(MATCH('ORDENES'!$AE106,'TECNICOS'!$B$4:$B$15,0),99)*100000+103,9000000000000+103)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IF('ORDENES'!$T106="preventiva",N110,0)</f>
        <v/>
      </c>
      <c r="P110" s="17">
        <f>IF('ORDENES'!$T106="correctiva",N110,0)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"&amp;IF(INDEX('ORDENES'!$AF$4:$AF$1203,U110)="","(s/t)",INDEX('ORDENES'!$AF$4:$AF$1203,U110))&amp;" · "&amp;IF(INDEX('ORDENES'!$AE$4:$AE$1203,U110)="","(sin técnico)",INDEX('ORDENES'!$AE$4:$AE$1203,U110))&amp;" · "&amp;INDEX('ORDENES'!$AQ$4:$AQ$1203,U110)&amp;"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IF(AND(IF($B$3="(todos)",TRUE,'ORDENES'!$O107=$B$3),IF($D$3="(todos)",TRUE,'ORDENES'!$AF107=$D$3),IF($F$3="(todos)",TRUE,'ORDENES'!$X107=$F$3),IF($H$3="(todos)",TRUE,'ORDENES'!$W107=$H$3),'ORDENES'!$AD107=TRUE,'ORDENES'!$A107&lt;&gt;""),1,0)</f>
        <v/>
      </c>
      <c r="L111" s="3">
        <f>IF(K111=1,IFERROR(MATCH('ORDENES'!$R107,lista_dias,0),9)*1000000000+IFERROR(MATCH('ORDENES'!$AF107,lista_turnos,0),9)*10000000+IFERROR(MATCH('ORDENES'!$AE107,'TECNICOS'!$B$4:$B$15,0),99)*100000+104,9000000000000+104)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IF('ORDENES'!$T107="preventiva",N111,0)</f>
        <v/>
      </c>
      <c r="P111" s="17">
        <f>IF('ORDENES'!$T107="correctiva",N111,0)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"&amp;IF(INDEX('ORDENES'!$AF$4:$AF$1203,U111)="","(s/t)",INDEX('ORDENES'!$AF$4:$AF$1203,U111))&amp;" · "&amp;IF(INDEX('ORDENES'!$AE$4:$AE$1203,U111)="","(sin técnico)",INDEX('ORDENES'!$AE$4:$AE$1203,U111))&amp;" · "&amp;INDEX('ORDENES'!$AQ$4:$AQ$1203,U111)&amp;"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IF(AND(IF($B$3="(todos)",TRUE,'ORDENES'!$O108=$B$3),IF($D$3="(todos)",TRUE,'ORDENES'!$AF108=$D$3),IF($F$3="(todos)",TRUE,'ORDENES'!$X108=$F$3),IF($H$3="(todos)",TRUE,'ORDENES'!$W108=$H$3),'ORDENES'!$AD108=TRUE,'ORDENES'!$A108&lt;&gt;""),1,0)</f>
        <v/>
      </c>
      <c r="L112" s="3">
        <f>IF(K112=1,IFERROR(MATCH('ORDENES'!$R108,lista_dias,0),9)*1000000000+IFERROR(MATCH('ORDENES'!$AF108,lista_turnos,0),9)*10000000+IFERROR(MATCH('ORDENES'!$AE108,'TECNICOS'!$B$4:$B$15,0),99)*100000+105,9000000000000+105)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IF('ORDENES'!$T108="preventiva",N112,0)</f>
        <v/>
      </c>
      <c r="P112" s="17">
        <f>IF('ORDENES'!$T108="correctiva",N112,0)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"&amp;IF(INDEX('ORDENES'!$AF$4:$AF$1203,U112)="","(s/t)",INDEX('ORDENES'!$AF$4:$AF$1203,U112))&amp;" · "&amp;IF(INDEX('ORDENES'!$AE$4:$AE$1203,U112)="","(sin técnico)",INDEX('ORDENES'!$AE$4:$AE$1203,U112))&amp;" · "&amp;INDEX('ORDENES'!$AQ$4:$AQ$1203,U112)&amp;"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IF(AND(IF($B$3="(todos)",TRUE,'ORDENES'!$O109=$B$3),IF($D$3="(todos)",TRUE,'ORDENES'!$AF109=$D$3),IF($F$3="(todos)",TRUE,'ORDENES'!$X109=$F$3),IF($H$3="(todos)",TRUE,'ORDENES'!$W109=$H$3),'ORDENES'!$AD109=TRUE,'ORDENES'!$A109&lt;&gt;""),1,0)</f>
        <v/>
      </c>
      <c r="L113" s="3">
        <f>IF(K113=1,IFERROR(MATCH('ORDENES'!$R109,lista_dias,0),9)*1000000000+IFERROR(MATCH('ORDENES'!$AF109,lista_turnos,0),9)*10000000+IFERROR(MATCH('ORDENES'!$AE109,'TECNICOS'!$B$4:$B$15,0),99)*100000+106,9000000000000+106)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IF('ORDENES'!$T109="preventiva",N113,0)</f>
        <v/>
      </c>
      <c r="P113" s="17">
        <f>IF('ORDENES'!$T109="correctiva",N113,0)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"&amp;IF(INDEX('ORDENES'!$AF$4:$AF$1203,U113)="","(s/t)",INDEX('ORDENES'!$AF$4:$AF$1203,U113))&amp;" · "&amp;IF(INDEX('ORDENES'!$AE$4:$AE$1203,U113)="","(sin técnico)",INDEX('ORDENES'!$AE$4:$AE$1203,U113))&amp;" · "&amp;INDEX('ORDENES'!$AQ$4:$AQ$1203,U113)&amp;"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IF(AND(IF($B$3="(todos)",TRUE,'ORDENES'!$O110=$B$3),IF($D$3="(todos)",TRUE,'ORDENES'!$AF110=$D$3),IF($F$3="(todos)",TRUE,'ORDENES'!$X110=$F$3),IF($H$3="(todos)",TRUE,'ORDENES'!$W110=$H$3),'ORDENES'!$AD110=TRUE,'ORDENES'!$A110&lt;&gt;""),1,0)</f>
        <v/>
      </c>
      <c r="L114" s="3">
        <f>IF(K114=1,IFERROR(MATCH('ORDENES'!$R110,lista_dias,0),9)*1000000000+IFERROR(MATCH('ORDENES'!$AF110,lista_turnos,0),9)*10000000+IFERROR(MATCH('ORDENES'!$AE110,'TECNICOS'!$B$4:$B$15,0),99)*100000+107,9000000000000+107)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IF('ORDENES'!$T110="preventiva",N114,0)</f>
        <v/>
      </c>
      <c r="P114" s="17">
        <f>IF('ORDENES'!$T110="correctiva",N114,0)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"&amp;IF(INDEX('ORDENES'!$AF$4:$AF$1203,U114)="","(s/t)",INDEX('ORDENES'!$AF$4:$AF$1203,U114))&amp;" · "&amp;IF(INDEX('ORDENES'!$AE$4:$AE$1203,U114)="","(sin técnico)",INDEX('ORDENES'!$AE$4:$AE$1203,U114))&amp;" · "&amp;INDEX('ORDENES'!$AQ$4:$AQ$1203,U114)&amp;"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IF(AND(IF($B$3="(todos)",TRUE,'ORDENES'!$O111=$B$3),IF($D$3="(todos)",TRUE,'ORDENES'!$AF111=$D$3),IF($F$3="(todos)",TRUE,'ORDENES'!$X111=$F$3),IF($H$3="(todos)",TRUE,'ORDENES'!$W111=$H$3),'ORDENES'!$AD111=TRUE,'ORDENES'!$A111&lt;&gt;""),1,0)</f>
        <v/>
      </c>
      <c r="L115" s="3">
        <f>IF(K115=1,IFERROR(MATCH('ORDENES'!$R111,lista_dias,0),9)*1000000000+IFERROR(MATCH('ORDENES'!$AF111,lista_turnos,0),9)*10000000+IFERROR(MATCH('ORDENES'!$AE111,'TECNICOS'!$B$4:$B$15,0),99)*100000+108,9000000000000+108)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IF('ORDENES'!$T111="preventiva",N115,0)</f>
        <v/>
      </c>
      <c r="P115" s="17">
        <f>IF('ORDENES'!$T111="correctiva",N115,0)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"&amp;IF(INDEX('ORDENES'!$AF$4:$AF$1203,U115)="","(s/t)",INDEX('ORDENES'!$AF$4:$AF$1203,U115))&amp;" · "&amp;IF(INDEX('ORDENES'!$AE$4:$AE$1203,U115)="","(sin técnico)",INDEX('ORDENES'!$AE$4:$AE$1203,U115))&amp;" · "&amp;INDEX('ORDENES'!$AQ$4:$AQ$1203,U115)&amp;"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IF(AND(IF($B$3="(todos)",TRUE,'ORDENES'!$O112=$B$3),IF($D$3="(todos)",TRUE,'ORDENES'!$AF112=$D$3),IF($F$3="(todos)",TRUE,'ORDENES'!$X112=$F$3),IF($H$3="(todos)",TRUE,'ORDENES'!$W112=$H$3),'ORDENES'!$AD112=TRUE,'ORDENES'!$A112&lt;&gt;""),1,0)</f>
        <v/>
      </c>
      <c r="L116" s="3">
        <f>IF(K116=1,IFERROR(MATCH('ORDENES'!$R112,lista_dias,0),9)*1000000000+IFERROR(MATCH('ORDENES'!$AF112,lista_turnos,0),9)*10000000+IFERROR(MATCH('ORDENES'!$AE112,'TECNICOS'!$B$4:$B$15,0),99)*100000+109,9000000000000+109)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IF('ORDENES'!$T112="preventiva",N116,0)</f>
        <v/>
      </c>
      <c r="P116" s="17">
        <f>IF('ORDENES'!$T112="correctiva",N116,0)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"&amp;IF(INDEX('ORDENES'!$AF$4:$AF$1203,U116)="","(s/t)",INDEX('ORDENES'!$AF$4:$AF$1203,U116))&amp;" · "&amp;IF(INDEX('ORDENES'!$AE$4:$AE$1203,U116)="","(sin técnico)",INDEX('ORDENES'!$AE$4:$AE$1203,U116))&amp;" · "&amp;INDEX('ORDENES'!$AQ$4:$AQ$1203,U116)&amp;"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IF(AND(IF($B$3="(todos)",TRUE,'ORDENES'!$O113=$B$3),IF($D$3="(todos)",TRUE,'ORDENES'!$AF113=$D$3),IF($F$3="(todos)",TRUE,'ORDENES'!$X113=$F$3),IF($H$3="(todos)",TRUE,'ORDENES'!$W113=$H$3),'ORDENES'!$AD113=TRUE,'ORDENES'!$A113&lt;&gt;""),1,0)</f>
        <v/>
      </c>
      <c r="L117" s="3">
        <f>IF(K117=1,IFERROR(MATCH('ORDENES'!$R113,lista_dias,0),9)*1000000000+IFERROR(MATCH('ORDENES'!$AF113,lista_turnos,0),9)*10000000+IFERROR(MATCH('ORDENES'!$AE113,'TECNICOS'!$B$4:$B$15,0),99)*100000+110,9000000000000+110)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IF('ORDENES'!$T113="preventiva",N117,0)</f>
        <v/>
      </c>
      <c r="P117" s="17">
        <f>IF('ORDENES'!$T113="correctiva",N117,0)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"&amp;IF(INDEX('ORDENES'!$AF$4:$AF$1203,U117)="","(s/t)",INDEX('ORDENES'!$AF$4:$AF$1203,U117))&amp;" · "&amp;IF(INDEX('ORDENES'!$AE$4:$AE$1203,U117)="","(sin técnico)",INDEX('ORDENES'!$AE$4:$AE$1203,U117))&amp;" · "&amp;INDEX('ORDENES'!$AQ$4:$AQ$1203,U117)&amp;"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IF(AND(IF($B$3="(todos)",TRUE,'ORDENES'!$O114=$B$3),IF($D$3="(todos)",TRUE,'ORDENES'!$AF114=$D$3),IF($F$3="(todos)",TRUE,'ORDENES'!$X114=$F$3),IF($H$3="(todos)",TRUE,'ORDENES'!$W114=$H$3),'ORDENES'!$AD114=TRUE,'ORDENES'!$A114&lt;&gt;""),1,0)</f>
        <v/>
      </c>
      <c r="L118" s="3">
        <f>IF(K118=1,IFERROR(MATCH('ORDENES'!$R114,lista_dias,0),9)*1000000000+IFERROR(MATCH('ORDENES'!$AF114,lista_turnos,0),9)*10000000+IFERROR(MATCH('ORDENES'!$AE114,'TECNICOS'!$B$4:$B$15,0),99)*100000+111,9000000000000+111)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IF('ORDENES'!$T114="preventiva",N118,0)</f>
        <v/>
      </c>
      <c r="P118" s="17">
        <f>IF('ORDENES'!$T114="correctiva",N118,0)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"&amp;IF(INDEX('ORDENES'!$AF$4:$AF$1203,U118)="","(s/t)",INDEX('ORDENES'!$AF$4:$AF$1203,U118))&amp;" · "&amp;IF(INDEX('ORDENES'!$AE$4:$AE$1203,U118)="","(sin técnico)",INDEX('ORDENES'!$AE$4:$AE$1203,U118))&amp;" · "&amp;INDEX('ORDENES'!$AQ$4:$AQ$1203,U118)&amp;"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IF(AND(IF($B$3="(todos)",TRUE,'ORDENES'!$O115=$B$3),IF($D$3="(todos)",TRUE,'ORDENES'!$AF115=$D$3),IF($F$3="(todos)",TRUE,'ORDENES'!$X115=$F$3),IF($H$3="(todos)",TRUE,'ORDENES'!$W115=$H$3),'ORDENES'!$AD115=TRUE,'ORDENES'!$A115&lt;&gt;""),1,0)</f>
        <v/>
      </c>
      <c r="L119" s="3">
        <f>IF(K119=1,IFERROR(MATCH('ORDENES'!$R115,lista_dias,0),9)*1000000000+IFERROR(MATCH('ORDENES'!$AF115,lista_turnos,0),9)*10000000+IFERROR(MATCH('ORDENES'!$AE115,'TECNICOS'!$B$4:$B$15,0),99)*100000+112,9000000000000+112)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IF('ORDENES'!$T115="preventiva",N119,0)</f>
        <v/>
      </c>
      <c r="P119" s="17">
        <f>IF('ORDENES'!$T115="correctiva",N119,0)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"&amp;IF(INDEX('ORDENES'!$AF$4:$AF$1203,U119)="","(s/t)",INDEX('ORDENES'!$AF$4:$AF$1203,U119))&amp;" · "&amp;IF(INDEX('ORDENES'!$AE$4:$AE$1203,U119)="","(sin técnico)",INDEX('ORDENES'!$AE$4:$AE$1203,U119))&amp;" · "&amp;INDEX('ORDENES'!$AQ$4:$AQ$1203,U119)&amp;"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IF(AND(IF($B$3="(todos)",TRUE,'ORDENES'!$O116=$B$3),IF($D$3="(todos)",TRUE,'ORDENES'!$AF116=$D$3),IF($F$3="(todos)",TRUE,'ORDENES'!$X116=$F$3),IF($H$3="(todos)",TRUE,'ORDENES'!$W116=$H$3),'ORDENES'!$AD116=TRUE,'ORDENES'!$A116&lt;&gt;""),1,0)</f>
        <v/>
      </c>
      <c r="L120" s="3">
        <f>IF(K120=1,IFERROR(MATCH('ORDENES'!$R116,lista_dias,0),9)*1000000000+IFERROR(MATCH('ORDENES'!$AF116,lista_turnos,0),9)*10000000+IFERROR(MATCH('ORDENES'!$AE116,'TECNICOS'!$B$4:$B$15,0),99)*100000+113,9000000000000+113)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IF('ORDENES'!$T116="preventiva",N120,0)</f>
        <v/>
      </c>
      <c r="P120" s="17">
        <f>IF('ORDENES'!$T116="correctiva",N120,0)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"&amp;IF(INDEX('ORDENES'!$AF$4:$AF$1203,U120)="","(s/t)",INDEX('ORDENES'!$AF$4:$AF$1203,U120))&amp;" · "&amp;IF(INDEX('ORDENES'!$AE$4:$AE$1203,U120)="","(sin técnico)",INDEX('ORDENES'!$AE$4:$AE$1203,U120))&amp;" · "&amp;INDEX('ORDENES'!$AQ$4:$AQ$1203,U120)&amp;"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IF(AND(IF($B$3="(todos)",TRUE,'ORDENES'!$O117=$B$3),IF($D$3="(todos)",TRUE,'ORDENES'!$AF117=$D$3),IF($F$3="(todos)",TRUE,'ORDENES'!$X117=$F$3),IF($H$3="(todos)",TRUE,'ORDENES'!$W117=$H$3),'ORDENES'!$AD117=TRUE,'ORDENES'!$A117&lt;&gt;""),1,0)</f>
        <v/>
      </c>
      <c r="L121" s="3">
        <f>IF(K121=1,IFERROR(MATCH('ORDENES'!$R117,lista_dias,0),9)*1000000000+IFERROR(MATCH('ORDENES'!$AF117,lista_turnos,0),9)*10000000+IFERROR(MATCH('ORDENES'!$AE117,'TECNICOS'!$B$4:$B$15,0),99)*100000+114,9000000000000+114)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IF('ORDENES'!$T117="preventiva",N121,0)</f>
        <v/>
      </c>
      <c r="P121" s="17">
        <f>IF('ORDENES'!$T117="correctiva",N121,0)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"&amp;IF(INDEX('ORDENES'!$AF$4:$AF$1203,U121)="","(s/t)",INDEX('ORDENES'!$AF$4:$AF$1203,U121))&amp;" · "&amp;IF(INDEX('ORDENES'!$AE$4:$AE$1203,U121)="","(sin técnico)",INDEX('ORDENES'!$AE$4:$AE$1203,U121))&amp;" · "&amp;INDEX('ORDENES'!$AQ$4:$AQ$1203,U121)&amp;"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IF(AND(IF($B$3="(todos)",TRUE,'ORDENES'!$O118=$B$3),IF($D$3="(todos)",TRUE,'ORDENES'!$AF118=$D$3),IF($F$3="(todos)",TRUE,'ORDENES'!$X118=$F$3),IF($H$3="(todos)",TRUE,'ORDENES'!$W118=$H$3),'ORDENES'!$AD118=TRUE,'ORDENES'!$A118&lt;&gt;""),1,0)</f>
        <v/>
      </c>
      <c r="L122" s="3">
        <f>IF(K122=1,IFERROR(MATCH('ORDENES'!$R118,lista_dias,0),9)*1000000000+IFERROR(MATCH('ORDENES'!$AF118,lista_turnos,0),9)*10000000+IFERROR(MATCH('ORDENES'!$AE118,'TECNICOS'!$B$4:$B$15,0),99)*100000+115,9000000000000+115)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IF('ORDENES'!$T118="preventiva",N122,0)</f>
        <v/>
      </c>
      <c r="P122" s="17">
        <f>IF('ORDENES'!$T118="correctiva",N122,0)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"&amp;IF(INDEX('ORDENES'!$AF$4:$AF$1203,U122)="","(s/t)",INDEX('ORDENES'!$AF$4:$AF$1203,U122))&amp;" · "&amp;IF(INDEX('ORDENES'!$AE$4:$AE$1203,U122)="","(sin técnico)",INDEX('ORDENES'!$AE$4:$AE$1203,U122))&amp;" · "&amp;INDEX('ORDENES'!$AQ$4:$AQ$1203,U122)&amp;"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IF(AND(IF($B$3="(todos)",TRUE,'ORDENES'!$O119=$B$3),IF($D$3="(todos)",TRUE,'ORDENES'!$AF119=$D$3),IF($F$3="(todos)",TRUE,'ORDENES'!$X119=$F$3),IF($H$3="(todos)",TRUE,'ORDENES'!$W119=$H$3),'ORDENES'!$AD119=TRUE,'ORDENES'!$A119&lt;&gt;""),1,0)</f>
        <v/>
      </c>
      <c r="L123" s="3">
        <f>IF(K123=1,IFERROR(MATCH('ORDENES'!$R119,lista_dias,0),9)*1000000000+IFERROR(MATCH('ORDENES'!$AF119,lista_turnos,0),9)*10000000+IFERROR(MATCH('ORDENES'!$AE119,'TECNICOS'!$B$4:$B$15,0),99)*100000+116,9000000000000+116)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IF('ORDENES'!$T119="preventiva",N123,0)</f>
        <v/>
      </c>
      <c r="P123" s="17">
        <f>IF('ORDENES'!$T119="correctiva",N123,0)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"&amp;IF(INDEX('ORDENES'!$AF$4:$AF$1203,U123)="","(s/t)",INDEX('ORDENES'!$AF$4:$AF$1203,U123))&amp;" · "&amp;IF(INDEX('ORDENES'!$AE$4:$AE$1203,U123)="","(sin técnico)",INDEX('ORDENES'!$AE$4:$AE$1203,U123))&amp;" · "&amp;INDEX('ORDENES'!$AQ$4:$AQ$1203,U123)&amp;"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IF(AND(IF($B$3="(todos)",TRUE,'ORDENES'!$O120=$B$3),IF($D$3="(todos)",TRUE,'ORDENES'!$AF120=$D$3),IF($F$3="(todos)",TRUE,'ORDENES'!$X120=$F$3),IF($H$3="(todos)",TRUE,'ORDENES'!$W120=$H$3),'ORDENES'!$AD120=TRUE,'ORDENES'!$A120&lt;&gt;""),1,0)</f>
        <v/>
      </c>
      <c r="L124" s="3">
        <f>IF(K124=1,IFERROR(MATCH('ORDENES'!$R120,lista_dias,0),9)*1000000000+IFERROR(MATCH('ORDENES'!$AF120,lista_turnos,0),9)*10000000+IFERROR(MATCH('ORDENES'!$AE120,'TECNICOS'!$B$4:$B$15,0),99)*100000+117,9000000000000+117)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IF('ORDENES'!$T120="preventiva",N124,0)</f>
        <v/>
      </c>
      <c r="P124" s="17">
        <f>IF('ORDENES'!$T120="correctiva",N124,0)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"&amp;IF(INDEX('ORDENES'!$AF$4:$AF$1203,U124)="","(s/t)",INDEX('ORDENES'!$AF$4:$AF$1203,U124))&amp;" · "&amp;IF(INDEX('ORDENES'!$AE$4:$AE$1203,U124)="","(sin técnico)",INDEX('ORDENES'!$AE$4:$AE$1203,U124))&amp;" · "&amp;INDEX('ORDENES'!$AQ$4:$AQ$1203,U124)&amp;"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IF(AND(IF($B$3="(todos)",TRUE,'ORDENES'!$O121=$B$3),IF($D$3="(todos)",TRUE,'ORDENES'!$AF121=$D$3),IF($F$3="(todos)",TRUE,'ORDENES'!$X121=$F$3),IF($H$3="(todos)",TRUE,'ORDENES'!$W121=$H$3),'ORDENES'!$AD121=TRUE,'ORDENES'!$A121&lt;&gt;""),1,0)</f>
        <v/>
      </c>
      <c r="L125" s="3">
        <f>IF(K125=1,IFERROR(MATCH('ORDENES'!$R121,lista_dias,0),9)*1000000000+IFERROR(MATCH('ORDENES'!$AF121,lista_turnos,0),9)*10000000+IFERROR(MATCH('ORDENES'!$AE121,'TECNICOS'!$B$4:$B$15,0),99)*100000+118,9000000000000+118)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IF('ORDENES'!$T121="preventiva",N125,0)</f>
        <v/>
      </c>
      <c r="P125" s="17">
        <f>IF('ORDENES'!$T121="correctiva",N125,0)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"&amp;IF(INDEX('ORDENES'!$AF$4:$AF$1203,U125)="","(s/t)",INDEX('ORDENES'!$AF$4:$AF$1203,U125))&amp;" · "&amp;IF(INDEX('ORDENES'!$AE$4:$AE$1203,U125)="","(sin técnico)",INDEX('ORDENES'!$AE$4:$AE$1203,U125))&amp;" · "&amp;INDEX('ORDENES'!$AQ$4:$AQ$1203,U125)&amp;"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IF(AND(IF($B$3="(todos)",TRUE,'ORDENES'!$O122=$B$3),IF($D$3="(todos)",TRUE,'ORDENES'!$AF122=$D$3),IF($F$3="(todos)",TRUE,'ORDENES'!$X122=$F$3),IF($H$3="(todos)",TRUE,'ORDENES'!$W122=$H$3),'ORDENES'!$AD122=TRUE,'ORDENES'!$A122&lt;&gt;""),1,0)</f>
        <v/>
      </c>
      <c r="L126" s="3">
        <f>IF(K126=1,IFERROR(MATCH('ORDENES'!$R122,lista_dias,0),9)*1000000000+IFERROR(MATCH('ORDENES'!$AF122,lista_turnos,0),9)*10000000+IFERROR(MATCH('ORDENES'!$AE122,'TECNICOS'!$B$4:$B$15,0),99)*100000+119,9000000000000+119)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IF('ORDENES'!$T122="preventiva",N126,0)</f>
        <v/>
      </c>
      <c r="P126" s="17">
        <f>IF('ORDENES'!$T122="correctiva",N126,0)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"&amp;IF(INDEX('ORDENES'!$AF$4:$AF$1203,U126)="","(s/t)",INDEX('ORDENES'!$AF$4:$AF$1203,U126))&amp;" · "&amp;IF(INDEX('ORDENES'!$AE$4:$AE$1203,U126)="","(sin técnico)",INDEX('ORDENES'!$AE$4:$AE$1203,U126))&amp;" · "&amp;INDEX('ORDENES'!$AQ$4:$AQ$1203,U126)&amp;"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IF(AND(IF($B$3="(todos)",TRUE,'ORDENES'!$O123=$B$3),IF($D$3="(todos)",TRUE,'ORDENES'!$AF123=$D$3),IF($F$3="(todos)",TRUE,'ORDENES'!$X123=$F$3),IF($H$3="(todos)",TRUE,'ORDENES'!$W123=$H$3),'ORDENES'!$AD123=TRUE,'ORDENES'!$A123&lt;&gt;""),1,0)</f>
        <v/>
      </c>
      <c r="L127" s="3">
        <f>IF(K127=1,IFERROR(MATCH('ORDENES'!$R123,lista_dias,0),9)*1000000000+IFERROR(MATCH('ORDENES'!$AF123,lista_turnos,0),9)*10000000+IFERROR(MATCH('ORDENES'!$AE123,'TECNICOS'!$B$4:$B$15,0),99)*100000+120,9000000000000+120)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IF('ORDENES'!$T123="preventiva",N127,0)</f>
        <v/>
      </c>
      <c r="P127" s="17">
        <f>IF('ORDENES'!$T123="correctiva",N127,0)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"&amp;IF(INDEX('ORDENES'!$AF$4:$AF$1203,U127)="","(s/t)",INDEX('ORDENES'!$AF$4:$AF$1203,U127))&amp;" · "&amp;IF(INDEX('ORDENES'!$AE$4:$AE$1203,U127)="","(sin técnico)",INDEX('ORDENES'!$AE$4:$AE$1203,U127))&amp;" · "&amp;INDEX('ORDENES'!$AQ$4:$AQ$1203,U127)&amp;"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IF(AND(IF($B$3="(todos)",TRUE,'ORDENES'!$O124=$B$3),IF($D$3="(todos)",TRUE,'ORDENES'!$AF124=$D$3),IF($F$3="(todos)",TRUE,'ORDENES'!$X124=$F$3),IF($H$3="(todos)",TRUE,'ORDENES'!$W124=$H$3),'ORDENES'!$AD124=TRUE,'ORDENES'!$A124&lt;&gt;""),1,0)</f>
        <v/>
      </c>
      <c r="L128" s="3">
        <f>IF(K128=1,IFERROR(MATCH('ORDENES'!$R124,lista_dias,0),9)*1000000000+IFERROR(MATCH('ORDENES'!$AF124,lista_turnos,0),9)*10000000+IFERROR(MATCH('ORDENES'!$AE124,'TECNICOS'!$B$4:$B$15,0),99)*100000+121,9000000000000+121)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IF('ORDENES'!$T124="preventiva",N128,0)</f>
        <v/>
      </c>
      <c r="P128" s="17">
        <f>IF('ORDENES'!$T124="correctiva",N128,0)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"&amp;IF(INDEX('ORDENES'!$AF$4:$AF$1203,U128)="","(s/t)",INDEX('ORDENES'!$AF$4:$AF$1203,U128))&amp;" · "&amp;IF(INDEX('ORDENES'!$AE$4:$AE$1203,U128)="","(sin técnico)",INDEX('ORDENES'!$AE$4:$AE$1203,U128))&amp;" · "&amp;INDEX('ORDENES'!$AQ$4:$AQ$1203,U128)&amp;"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IF(AND(IF($B$3="(todos)",TRUE,'ORDENES'!$O125=$B$3),IF($D$3="(todos)",TRUE,'ORDENES'!$AF125=$D$3),IF($F$3="(todos)",TRUE,'ORDENES'!$X125=$F$3),IF($H$3="(todos)",TRUE,'ORDENES'!$W125=$H$3),'ORDENES'!$AD125=TRUE,'ORDENES'!$A125&lt;&gt;""),1,0)</f>
        <v/>
      </c>
      <c r="L129" s="3">
        <f>IF(K129=1,IFERROR(MATCH('ORDENES'!$R125,lista_dias,0),9)*1000000000+IFERROR(MATCH('ORDENES'!$AF125,lista_turnos,0),9)*10000000+IFERROR(MATCH('ORDENES'!$AE125,'TECNICOS'!$B$4:$B$15,0),99)*100000+122,9000000000000+122)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IF('ORDENES'!$T125="preventiva",N129,0)</f>
        <v/>
      </c>
      <c r="P129" s="17">
        <f>IF('ORDENES'!$T125="correctiva",N129,0)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"&amp;IF(INDEX('ORDENES'!$AF$4:$AF$1203,U129)="","(s/t)",INDEX('ORDENES'!$AF$4:$AF$1203,U129))&amp;" · "&amp;IF(INDEX('ORDENES'!$AE$4:$AE$1203,U129)="","(sin técnico)",INDEX('ORDENES'!$AE$4:$AE$1203,U129))&amp;" · "&amp;INDEX('ORDENES'!$AQ$4:$AQ$1203,U129)&amp;"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IF(AND(IF($B$3="(todos)",TRUE,'ORDENES'!$O126=$B$3),IF($D$3="(todos)",TRUE,'ORDENES'!$AF126=$D$3),IF($F$3="(todos)",TRUE,'ORDENES'!$X126=$F$3),IF($H$3="(todos)",TRUE,'ORDENES'!$W126=$H$3),'ORDENES'!$AD126=TRUE,'ORDENES'!$A126&lt;&gt;""),1,0)</f>
        <v/>
      </c>
      <c r="L130" s="3">
        <f>IF(K130=1,IFERROR(MATCH('ORDENES'!$R126,lista_dias,0),9)*1000000000+IFERROR(MATCH('ORDENES'!$AF126,lista_turnos,0),9)*10000000+IFERROR(MATCH('ORDENES'!$AE126,'TECNICOS'!$B$4:$B$15,0),99)*100000+123,9000000000000+123)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IF('ORDENES'!$T126="preventiva",N130,0)</f>
        <v/>
      </c>
      <c r="P130" s="17">
        <f>IF('ORDENES'!$T126="correctiva",N130,0)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"&amp;IF(INDEX('ORDENES'!$AF$4:$AF$1203,U130)="","(s/t)",INDEX('ORDENES'!$AF$4:$AF$1203,U130))&amp;" · "&amp;IF(INDEX('ORDENES'!$AE$4:$AE$1203,U130)="","(sin técnico)",INDEX('ORDENES'!$AE$4:$AE$1203,U130))&amp;" · "&amp;INDEX('ORDENES'!$AQ$4:$AQ$1203,U130)&amp;"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IF(AND(IF($B$3="(todos)",TRUE,'ORDENES'!$O127=$B$3),IF($D$3="(todos)",TRUE,'ORDENES'!$AF127=$D$3),IF($F$3="(todos)",TRUE,'ORDENES'!$X127=$F$3),IF($H$3="(todos)",TRUE,'ORDENES'!$W127=$H$3),'ORDENES'!$AD127=TRUE,'ORDENES'!$A127&lt;&gt;""),1,0)</f>
        <v/>
      </c>
      <c r="L131" s="3">
        <f>IF(K131=1,IFERROR(MATCH('ORDENES'!$R127,lista_dias,0),9)*1000000000+IFERROR(MATCH('ORDENES'!$AF127,lista_turnos,0),9)*10000000+IFERROR(MATCH('ORDENES'!$AE127,'TECNICOS'!$B$4:$B$15,0),99)*100000+124,9000000000000+124)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IF('ORDENES'!$T127="preventiva",N131,0)</f>
        <v/>
      </c>
      <c r="P131" s="17">
        <f>IF('ORDENES'!$T127="correctiva",N131,0)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"&amp;IF(INDEX('ORDENES'!$AF$4:$AF$1203,U131)="","(s/t)",INDEX('ORDENES'!$AF$4:$AF$1203,U131))&amp;" · "&amp;IF(INDEX('ORDENES'!$AE$4:$AE$1203,U131)="","(sin técnico)",INDEX('ORDENES'!$AE$4:$AE$1203,U131))&amp;" · "&amp;INDEX('ORDENES'!$AQ$4:$AQ$1203,U131)&amp;"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IF(AND(IF($B$3="(todos)",TRUE,'ORDENES'!$O128=$B$3),IF($D$3="(todos)",TRUE,'ORDENES'!$AF128=$D$3),IF($F$3="(todos)",TRUE,'ORDENES'!$X128=$F$3),IF($H$3="(todos)",TRUE,'ORDENES'!$W128=$H$3),'ORDENES'!$AD128=TRUE,'ORDENES'!$A128&lt;&gt;""),1,0)</f>
        <v/>
      </c>
      <c r="L132" s="3">
        <f>IF(K132=1,IFERROR(MATCH('ORDENES'!$R128,lista_dias,0),9)*1000000000+IFERROR(MATCH('ORDENES'!$AF128,lista_turnos,0),9)*10000000+IFERROR(MATCH('ORDENES'!$AE128,'TECNICOS'!$B$4:$B$15,0),99)*100000+125,9000000000000+125)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IF('ORDENES'!$T128="preventiva",N132,0)</f>
        <v/>
      </c>
      <c r="P132" s="17">
        <f>IF('ORDENES'!$T128="correctiva",N132,0)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"&amp;IF(INDEX('ORDENES'!$AF$4:$AF$1203,U132)="","(s/t)",INDEX('ORDENES'!$AF$4:$AF$1203,U132))&amp;" · "&amp;IF(INDEX('ORDENES'!$AE$4:$AE$1203,U132)="","(sin técnico)",INDEX('ORDENES'!$AE$4:$AE$1203,U132))&amp;" · "&amp;INDEX('ORDENES'!$AQ$4:$AQ$1203,U132)&amp;"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IF(AND(IF($B$3="(todos)",TRUE,'ORDENES'!$O129=$B$3),IF($D$3="(todos)",TRUE,'ORDENES'!$AF129=$D$3),IF($F$3="(todos)",TRUE,'ORDENES'!$X129=$F$3),IF($H$3="(todos)",TRUE,'ORDENES'!$W129=$H$3),'ORDENES'!$AD129=TRUE,'ORDENES'!$A129&lt;&gt;""),1,0)</f>
        <v/>
      </c>
      <c r="L133" s="3">
        <f>IF(K133=1,IFERROR(MATCH('ORDENES'!$R129,lista_dias,0),9)*1000000000+IFERROR(MATCH('ORDENES'!$AF129,lista_turnos,0),9)*10000000+IFERROR(MATCH('ORDENES'!$AE129,'TECNICOS'!$B$4:$B$15,0),99)*100000+126,9000000000000+126)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IF('ORDENES'!$T129="preventiva",N133,0)</f>
        <v/>
      </c>
      <c r="P133" s="17">
        <f>IF('ORDENES'!$T129="correctiva",N133,0)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"&amp;IF(INDEX('ORDENES'!$AF$4:$AF$1203,U133)="","(s/t)",INDEX('ORDENES'!$AF$4:$AF$1203,U133))&amp;" · "&amp;IF(INDEX('ORDENES'!$AE$4:$AE$1203,U133)="","(sin técnico)",INDEX('ORDENES'!$AE$4:$AE$1203,U133))&amp;" · "&amp;INDEX('ORDENES'!$AQ$4:$AQ$1203,U133)&amp;"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IF(AND(IF($B$3="(todos)",TRUE,'ORDENES'!$O130=$B$3),IF($D$3="(todos)",TRUE,'ORDENES'!$AF130=$D$3),IF($F$3="(todos)",TRUE,'ORDENES'!$X130=$F$3),IF($H$3="(todos)",TRUE,'ORDENES'!$W130=$H$3),'ORDENES'!$AD130=TRUE,'ORDENES'!$A130&lt;&gt;""),1,0)</f>
        <v/>
      </c>
      <c r="L134" s="3">
        <f>IF(K134=1,IFERROR(MATCH('ORDENES'!$R130,lista_dias,0),9)*1000000000+IFERROR(MATCH('ORDENES'!$AF130,lista_turnos,0),9)*10000000+IFERROR(MATCH('ORDENES'!$AE130,'TECNICOS'!$B$4:$B$15,0),99)*100000+127,9000000000000+127)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IF('ORDENES'!$T130="preventiva",N134,0)</f>
        <v/>
      </c>
      <c r="P134" s="17">
        <f>IF('ORDENES'!$T130="correctiva",N134,0)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"&amp;IF(INDEX('ORDENES'!$AF$4:$AF$1203,U134)="","(s/t)",INDEX('ORDENES'!$AF$4:$AF$1203,U134))&amp;" · "&amp;IF(INDEX('ORDENES'!$AE$4:$AE$1203,U134)="","(sin técnico)",INDEX('ORDENES'!$AE$4:$AE$1203,U134))&amp;" · "&amp;INDEX('ORDENES'!$AQ$4:$AQ$1203,U134)&amp;"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IF(AND(IF($B$3="(todos)",TRUE,'ORDENES'!$O131=$B$3),IF($D$3="(todos)",TRUE,'ORDENES'!$AF131=$D$3),IF($F$3="(todos)",TRUE,'ORDENES'!$X131=$F$3),IF($H$3="(todos)",TRUE,'ORDENES'!$W131=$H$3),'ORDENES'!$AD131=TRUE,'ORDENES'!$A131&lt;&gt;""),1,0)</f>
        <v/>
      </c>
      <c r="L135" s="3">
        <f>IF(K135=1,IFERROR(MATCH('ORDENES'!$R131,lista_dias,0),9)*1000000000+IFERROR(MATCH('ORDENES'!$AF131,lista_turnos,0),9)*10000000+IFERROR(MATCH('ORDENES'!$AE131,'TECNICOS'!$B$4:$B$15,0),99)*100000+128,9000000000000+128)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IF('ORDENES'!$T131="preventiva",N135,0)</f>
        <v/>
      </c>
      <c r="P135" s="17">
        <f>IF('ORDENES'!$T131="correctiva",N135,0)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"&amp;IF(INDEX('ORDENES'!$AF$4:$AF$1203,U135)="","(s/t)",INDEX('ORDENES'!$AF$4:$AF$1203,U135))&amp;" · "&amp;IF(INDEX('ORDENES'!$AE$4:$AE$1203,U135)="","(sin técnico)",INDEX('ORDENES'!$AE$4:$AE$1203,U135))&amp;" · "&amp;INDEX('ORDENES'!$AQ$4:$AQ$1203,U135)&amp;"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IF(AND(IF($B$3="(todos)",TRUE,'ORDENES'!$O132=$B$3),IF($D$3="(todos)",TRUE,'ORDENES'!$AF132=$D$3),IF($F$3="(todos)",TRUE,'ORDENES'!$X132=$F$3),IF($H$3="(todos)",TRUE,'ORDENES'!$W132=$H$3),'ORDENES'!$AD132=TRUE,'ORDENES'!$A132&lt;&gt;""),1,0)</f>
        <v/>
      </c>
      <c r="L136" s="3">
        <f>IF(K136=1,IFERROR(MATCH('ORDENES'!$R132,lista_dias,0),9)*1000000000+IFERROR(MATCH('ORDENES'!$AF132,lista_turnos,0),9)*10000000+IFERROR(MATCH('ORDENES'!$AE132,'TECNICOS'!$B$4:$B$15,0),99)*100000+129,9000000000000+129)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IF('ORDENES'!$T132="preventiva",N136,0)</f>
        <v/>
      </c>
      <c r="P136" s="17">
        <f>IF('ORDENES'!$T132="correctiva",N136,0)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"&amp;IF(INDEX('ORDENES'!$AF$4:$AF$1203,U136)="","(s/t)",INDEX('ORDENES'!$AF$4:$AF$1203,U136))&amp;" · "&amp;IF(INDEX('ORDENES'!$AE$4:$AE$1203,U136)="","(sin técnico)",INDEX('ORDENES'!$AE$4:$AE$1203,U136))&amp;" · "&amp;INDEX('ORDENES'!$AQ$4:$AQ$1203,U136)&amp;"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IF(AND(IF($B$3="(todos)",TRUE,'ORDENES'!$O133=$B$3),IF($D$3="(todos)",TRUE,'ORDENES'!$AF133=$D$3),IF($F$3="(todos)",TRUE,'ORDENES'!$X133=$F$3),IF($H$3="(todos)",TRUE,'ORDENES'!$W133=$H$3),'ORDENES'!$AD133=TRUE,'ORDENES'!$A133&lt;&gt;""),1,0)</f>
        <v/>
      </c>
      <c r="L137" s="3">
        <f>IF(K137=1,IFERROR(MATCH('ORDENES'!$R133,lista_dias,0),9)*1000000000+IFERROR(MATCH('ORDENES'!$AF133,lista_turnos,0),9)*10000000+IFERROR(MATCH('ORDENES'!$AE133,'TECNICOS'!$B$4:$B$15,0),99)*100000+130,9000000000000+130)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IF('ORDENES'!$T133="preventiva",N137,0)</f>
        <v/>
      </c>
      <c r="P137" s="17">
        <f>IF('ORDENES'!$T133="correctiva",N137,0)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"&amp;IF(INDEX('ORDENES'!$AF$4:$AF$1203,U137)="","(s/t)",INDEX('ORDENES'!$AF$4:$AF$1203,U137))&amp;" · "&amp;IF(INDEX('ORDENES'!$AE$4:$AE$1203,U137)="","(sin técnico)",INDEX('ORDENES'!$AE$4:$AE$1203,U137))&amp;" · "&amp;INDEX('ORDENES'!$AQ$4:$AQ$1203,U137)&amp;"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IF(AND(IF($B$3="(todos)",TRUE,'ORDENES'!$O134=$B$3),IF($D$3="(todos)",TRUE,'ORDENES'!$AF134=$D$3),IF($F$3="(todos)",TRUE,'ORDENES'!$X134=$F$3),IF($H$3="(todos)",TRUE,'ORDENES'!$W134=$H$3),'ORDENES'!$AD134=TRUE,'ORDENES'!$A134&lt;&gt;""),1,0)</f>
        <v/>
      </c>
      <c r="L138" s="3">
        <f>IF(K138=1,IFERROR(MATCH('ORDENES'!$R134,lista_dias,0),9)*1000000000+IFERROR(MATCH('ORDENES'!$AF134,lista_turnos,0),9)*10000000+IFERROR(MATCH('ORDENES'!$AE134,'TECNICOS'!$B$4:$B$15,0),99)*100000+131,9000000000000+131)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IF('ORDENES'!$T134="preventiva",N138,0)</f>
        <v/>
      </c>
      <c r="P138" s="17">
        <f>IF('ORDENES'!$T134="correctiva",N138,0)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"&amp;IF(INDEX('ORDENES'!$AF$4:$AF$1203,U138)="","(s/t)",INDEX('ORDENES'!$AF$4:$AF$1203,U138))&amp;" · "&amp;IF(INDEX('ORDENES'!$AE$4:$AE$1203,U138)="","(sin técnico)",INDEX('ORDENES'!$AE$4:$AE$1203,U138))&amp;" · "&amp;INDEX('ORDENES'!$AQ$4:$AQ$1203,U138)&amp;"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IF(AND(IF($B$3="(todos)",TRUE,'ORDENES'!$O135=$B$3),IF($D$3="(todos)",TRUE,'ORDENES'!$AF135=$D$3),IF($F$3="(todos)",TRUE,'ORDENES'!$X135=$F$3),IF($H$3="(todos)",TRUE,'ORDENES'!$W135=$H$3),'ORDENES'!$AD135=TRUE,'ORDENES'!$A135&lt;&gt;""),1,0)</f>
        <v/>
      </c>
      <c r="L139" s="3">
        <f>IF(K139=1,IFERROR(MATCH('ORDENES'!$R135,lista_dias,0),9)*1000000000+IFERROR(MATCH('ORDENES'!$AF135,lista_turnos,0),9)*10000000+IFERROR(MATCH('ORDENES'!$AE135,'TECNICOS'!$B$4:$B$15,0),99)*100000+132,9000000000000+132)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IF('ORDENES'!$T135="preventiva",N139,0)</f>
        <v/>
      </c>
      <c r="P139" s="17">
        <f>IF('ORDENES'!$T135="correctiva",N139,0)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"&amp;IF(INDEX('ORDENES'!$AF$4:$AF$1203,U139)="","(s/t)",INDEX('ORDENES'!$AF$4:$AF$1203,U139))&amp;" · "&amp;IF(INDEX('ORDENES'!$AE$4:$AE$1203,U139)="","(sin técnico)",INDEX('ORDENES'!$AE$4:$AE$1203,U139))&amp;" · "&amp;INDEX('ORDENES'!$AQ$4:$AQ$1203,U139)&amp;"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IF(AND(IF($B$3="(todos)",TRUE,'ORDENES'!$O136=$B$3),IF($D$3="(todos)",TRUE,'ORDENES'!$AF136=$D$3),IF($F$3="(todos)",TRUE,'ORDENES'!$X136=$F$3),IF($H$3="(todos)",TRUE,'ORDENES'!$W136=$H$3),'ORDENES'!$AD136=TRUE,'ORDENES'!$A136&lt;&gt;""),1,0)</f>
        <v/>
      </c>
      <c r="L140" s="3">
        <f>IF(K140=1,IFERROR(MATCH('ORDENES'!$R136,lista_dias,0),9)*1000000000+IFERROR(MATCH('ORDENES'!$AF136,lista_turnos,0),9)*10000000+IFERROR(MATCH('ORDENES'!$AE136,'TECNICOS'!$B$4:$B$15,0),99)*100000+133,9000000000000+133)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IF('ORDENES'!$T136="preventiva",N140,0)</f>
        <v/>
      </c>
      <c r="P140" s="17">
        <f>IF('ORDENES'!$T136="correctiva",N140,0)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"&amp;IF(INDEX('ORDENES'!$AF$4:$AF$1203,U140)="","(s/t)",INDEX('ORDENES'!$AF$4:$AF$1203,U140))&amp;" · "&amp;IF(INDEX('ORDENES'!$AE$4:$AE$1203,U140)="","(sin técnico)",INDEX('ORDENES'!$AE$4:$AE$1203,U140))&amp;" · "&amp;INDEX('ORDENES'!$AQ$4:$AQ$1203,U140)&amp;"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IF(AND(IF($B$3="(todos)",TRUE,'ORDENES'!$O137=$B$3),IF($D$3="(todos)",TRUE,'ORDENES'!$AF137=$D$3),IF($F$3="(todos)",TRUE,'ORDENES'!$X137=$F$3),IF($H$3="(todos)",TRUE,'ORDENES'!$W137=$H$3),'ORDENES'!$AD137=TRUE,'ORDENES'!$A137&lt;&gt;""),1,0)</f>
        <v/>
      </c>
      <c r="L141" s="3">
        <f>IF(K141=1,IFERROR(MATCH('ORDENES'!$R137,lista_dias,0),9)*1000000000+IFERROR(MATCH('ORDENES'!$AF137,lista_turnos,0),9)*10000000+IFERROR(MATCH('ORDENES'!$AE137,'TECNICOS'!$B$4:$B$15,0),99)*100000+134,9000000000000+134)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IF('ORDENES'!$T137="preventiva",N141,0)</f>
        <v/>
      </c>
      <c r="P141" s="17">
        <f>IF('ORDENES'!$T137="correctiva",N141,0)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"&amp;IF(INDEX('ORDENES'!$AF$4:$AF$1203,U141)="","(s/t)",INDEX('ORDENES'!$AF$4:$AF$1203,U141))&amp;" · "&amp;IF(INDEX('ORDENES'!$AE$4:$AE$1203,U141)="","(sin técnico)",INDEX('ORDENES'!$AE$4:$AE$1203,U141))&amp;" · "&amp;INDEX('ORDENES'!$AQ$4:$AQ$1203,U141)&amp;"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IF(AND(IF($B$3="(todos)",TRUE,'ORDENES'!$O138=$B$3),IF($D$3="(todos)",TRUE,'ORDENES'!$AF138=$D$3),IF($F$3="(todos)",TRUE,'ORDENES'!$X138=$F$3),IF($H$3="(todos)",TRUE,'ORDENES'!$W138=$H$3),'ORDENES'!$AD138=TRUE,'ORDENES'!$A138&lt;&gt;""),1,0)</f>
        <v/>
      </c>
      <c r="L142" s="3">
        <f>IF(K142=1,IFERROR(MATCH('ORDENES'!$R138,lista_dias,0),9)*1000000000+IFERROR(MATCH('ORDENES'!$AF138,lista_turnos,0),9)*10000000+IFERROR(MATCH('ORDENES'!$AE138,'TECNICOS'!$B$4:$B$15,0),99)*100000+135,9000000000000+135)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IF('ORDENES'!$T138="preventiva",N142,0)</f>
        <v/>
      </c>
      <c r="P142" s="17">
        <f>IF('ORDENES'!$T138="correctiva",N142,0)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"&amp;IF(INDEX('ORDENES'!$AF$4:$AF$1203,U142)="","(s/t)",INDEX('ORDENES'!$AF$4:$AF$1203,U142))&amp;" · "&amp;IF(INDEX('ORDENES'!$AE$4:$AE$1203,U142)="","(sin técnico)",INDEX('ORDENES'!$AE$4:$AE$1203,U142))&amp;" · "&amp;INDEX('ORDENES'!$AQ$4:$AQ$1203,U142)&amp;"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IF(AND(IF($B$3="(todos)",TRUE,'ORDENES'!$O139=$B$3),IF($D$3="(todos)",TRUE,'ORDENES'!$AF139=$D$3),IF($F$3="(todos)",TRUE,'ORDENES'!$X139=$F$3),IF($H$3="(todos)",TRUE,'ORDENES'!$W139=$H$3),'ORDENES'!$AD139=TRUE,'ORDENES'!$A139&lt;&gt;""),1,0)</f>
        <v/>
      </c>
      <c r="L143" s="3">
        <f>IF(K143=1,IFERROR(MATCH('ORDENES'!$R139,lista_dias,0),9)*1000000000+IFERROR(MATCH('ORDENES'!$AF139,lista_turnos,0),9)*10000000+IFERROR(MATCH('ORDENES'!$AE139,'TECNICOS'!$B$4:$B$15,0),99)*100000+136,9000000000000+136)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IF('ORDENES'!$T139="preventiva",N143,0)</f>
        <v/>
      </c>
      <c r="P143" s="17">
        <f>IF('ORDENES'!$T139="correctiva",N143,0)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"&amp;IF(INDEX('ORDENES'!$AF$4:$AF$1203,U143)="","(s/t)",INDEX('ORDENES'!$AF$4:$AF$1203,U143))&amp;" · "&amp;IF(INDEX('ORDENES'!$AE$4:$AE$1203,U143)="","(sin técnico)",INDEX('ORDENES'!$AE$4:$AE$1203,U143))&amp;" · "&amp;INDEX('ORDENES'!$AQ$4:$AQ$1203,U143)&amp;"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IF(AND(IF($B$3="(todos)",TRUE,'ORDENES'!$O140=$B$3),IF($D$3="(todos)",TRUE,'ORDENES'!$AF140=$D$3),IF($F$3="(todos)",TRUE,'ORDENES'!$X140=$F$3),IF($H$3="(todos)",TRUE,'ORDENES'!$W140=$H$3),'ORDENES'!$AD140=TRUE,'ORDENES'!$A140&lt;&gt;""),1,0)</f>
        <v/>
      </c>
      <c r="L144" s="3">
        <f>IF(K144=1,IFERROR(MATCH('ORDENES'!$R140,lista_dias,0),9)*1000000000+IFERROR(MATCH('ORDENES'!$AF140,lista_turnos,0),9)*10000000+IFERROR(MATCH('ORDENES'!$AE140,'TECNICOS'!$B$4:$B$15,0),99)*100000+137,9000000000000+137)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IF('ORDENES'!$T140="preventiva",N144,0)</f>
        <v/>
      </c>
      <c r="P144" s="17">
        <f>IF('ORDENES'!$T140="correctiva",N144,0)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"&amp;IF(INDEX('ORDENES'!$AF$4:$AF$1203,U144)="","(s/t)",INDEX('ORDENES'!$AF$4:$AF$1203,U144))&amp;" · "&amp;IF(INDEX('ORDENES'!$AE$4:$AE$1203,U144)="","(sin técnico)",INDEX('ORDENES'!$AE$4:$AE$1203,U144))&amp;" · "&amp;INDEX('ORDENES'!$AQ$4:$AQ$1203,U144)&amp;"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IF(AND(IF($B$3="(todos)",TRUE,'ORDENES'!$O141=$B$3),IF($D$3="(todos)",TRUE,'ORDENES'!$AF141=$D$3),IF($F$3="(todos)",TRUE,'ORDENES'!$X141=$F$3),IF($H$3="(todos)",TRUE,'ORDENES'!$W141=$H$3),'ORDENES'!$AD141=TRUE,'ORDENES'!$A141&lt;&gt;""),1,0)</f>
        <v/>
      </c>
      <c r="L145" s="3">
        <f>IF(K145=1,IFERROR(MATCH('ORDENES'!$R141,lista_dias,0),9)*1000000000+IFERROR(MATCH('ORDENES'!$AF141,lista_turnos,0),9)*10000000+IFERROR(MATCH('ORDENES'!$AE141,'TECNICOS'!$B$4:$B$15,0),99)*100000+138,9000000000000+138)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IF('ORDENES'!$T141="preventiva",N145,0)</f>
        <v/>
      </c>
      <c r="P145" s="17">
        <f>IF('ORDENES'!$T141="correctiva",N145,0)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"&amp;IF(INDEX('ORDENES'!$AF$4:$AF$1203,U145)="","(s/t)",INDEX('ORDENES'!$AF$4:$AF$1203,U145))&amp;" · "&amp;IF(INDEX('ORDENES'!$AE$4:$AE$1203,U145)="","(sin técnico)",INDEX('ORDENES'!$AE$4:$AE$1203,U145))&amp;" · "&amp;INDEX('ORDENES'!$AQ$4:$AQ$1203,U145)&amp;"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IF(AND(IF($B$3="(todos)",TRUE,'ORDENES'!$O142=$B$3),IF($D$3="(todos)",TRUE,'ORDENES'!$AF142=$D$3),IF($F$3="(todos)",TRUE,'ORDENES'!$X142=$F$3),IF($H$3="(todos)",TRUE,'ORDENES'!$W142=$H$3),'ORDENES'!$AD142=TRUE,'ORDENES'!$A142&lt;&gt;""),1,0)</f>
        <v/>
      </c>
      <c r="L146" s="3">
        <f>IF(K146=1,IFERROR(MATCH('ORDENES'!$R142,lista_dias,0),9)*1000000000+IFERROR(MATCH('ORDENES'!$AF142,lista_turnos,0),9)*10000000+IFERROR(MATCH('ORDENES'!$AE142,'TECNICOS'!$B$4:$B$15,0),99)*100000+139,9000000000000+139)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IF('ORDENES'!$T142="preventiva",N146,0)</f>
        <v/>
      </c>
      <c r="P146" s="17">
        <f>IF('ORDENES'!$T142="correctiva",N146,0)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"&amp;IF(INDEX('ORDENES'!$AF$4:$AF$1203,U146)="","(s/t)",INDEX('ORDENES'!$AF$4:$AF$1203,U146))&amp;" · "&amp;IF(INDEX('ORDENES'!$AE$4:$AE$1203,U146)="","(sin técnico)",INDEX('ORDENES'!$AE$4:$AE$1203,U146))&amp;" · "&amp;INDEX('ORDENES'!$AQ$4:$AQ$1203,U146)&amp;"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IF(AND(IF($B$3="(todos)",TRUE,'ORDENES'!$O143=$B$3),IF($D$3="(todos)",TRUE,'ORDENES'!$AF143=$D$3),IF($F$3="(todos)",TRUE,'ORDENES'!$X143=$F$3),IF($H$3="(todos)",TRUE,'ORDENES'!$W143=$H$3),'ORDENES'!$AD143=TRUE,'ORDENES'!$A143&lt;&gt;""),1,0)</f>
        <v/>
      </c>
      <c r="L147" s="3">
        <f>IF(K147=1,IFERROR(MATCH('ORDENES'!$R143,lista_dias,0),9)*1000000000+IFERROR(MATCH('ORDENES'!$AF143,lista_turnos,0),9)*10000000+IFERROR(MATCH('ORDENES'!$AE143,'TECNICOS'!$B$4:$B$15,0),99)*100000+140,9000000000000+140)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IF('ORDENES'!$T143="preventiva",N147,0)</f>
        <v/>
      </c>
      <c r="P147" s="17">
        <f>IF('ORDENES'!$T143="correctiva",N147,0)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"&amp;IF(INDEX('ORDENES'!$AF$4:$AF$1203,U147)="","(s/t)",INDEX('ORDENES'!$AF$4:$AF$1203,U147))&amp;" · "&amp;IF(INDEX('ORDENES'!$AE$4:$AE$1203,U147)="","(sin técnico)",INDEX('ORDENES'!$AE$4:$AE$1203,U147))&amp;" · "&amp;INDEX('ORDENES'!$AQ$4:$AQ$1203,U147)&amp;"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IF(AND(IF($B$3="(todos)",TRUE,'ORDENES'!$O144=$B$3),IF($D$3="(todos)",TRUE,'ORDENES'!$AF144=$D$3),IF($F$3="(todos)",TRUE,'ORDENES'!$X144=$F$3),IF($H$3="(todos)",TRUE,'ORDENES'!$W144=$H$3),'ORDENES'!$AD144=TRUE,'ORDENES'!$A144&lt;&gt;""),1,0)</f>
        <v/>
      </c>
      <c r="L148" s="3">
        <f>IF(K148=1,IFERROR(MATCH('ORDENES'!$R144,lista_dias,0),9)*1000000000+IFERROR(MATCH('ORDENES'!$AF144,lista_turnos,0),9)*10000000+IFERROR(MATCH('ORDENES'!$AE144,'TECNICOS'!$B$4:$B$15,0),99)*100000+141,9000000000000+141)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IF('ORDENES'!$T144="preventiva",N148,0)</f>
        <v/>
      </c>
      <c r="P148" s="17">
        <f>IF('ORDENES'!$T144="correctiva",N148,0)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"&amp;IF(INDEX('ORDENES'!$AF$4:$AF$1203,U148)="","(s/t)",INDEX('ORDENES'!$AF$4:$AF$1203,U148))&amp;" · "&amp;IF(INDEX('ORDENES'!$AE$4:$AE$1203,U148)="","(sin técnico)",INDEX('ORDENES'!$AE$4:$AE$1203,U148))&amp;" · "&amp;INDEX('ORDENES'!$AQ$4:$AQ$1203,U148)&amp;"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IF(AND(IF($B$3="(todos)",TRUE,'ORDENES'!$O145=$B$3),IF($D$3="(todos)",TRUE,'ORDENES'!$AF145=$D$3),IF($F$3="(todos)",TRUE,'ORDENES'!$X145=$F$3),IF($H$3="(todos)",TRUE,'ORDENES'!$W145=$H$3),'ORDENES'!$AD145=TRUE,'ORDENES'!$A145&lt;&gt;""),1,0)</f>
        <v/>
      </c>
      <c r="L149" s="3">
        <f>IF(K149=1,IFERROR(MATCH('ORDENES'!$R145,lista_dias,0),9)*1000000000+IFERROR(MATCH('ORDENES'!$AF145,lista_turnos,0),9)*10000000+IFERROR(MATCH('ORDENES'!$AE145,'TECNICOS'!$B$4:$B$15,0),99)*100000+142,9000000000000+142)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IF('ORDENES'!$T145="preventiva",N149,0)</f>
        <v/>
      </c>
      <c r="P149" s="17">
        <f>IF('ORDENES'!$T145="correctiva",N149,0)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"&amp;IF(INDEX('ORDENES'!$AF$4:$AF$1203,U149)="","(s/t)",INDEX('ORDENES'!$AF$4:$AF$1203,U149))&amp;" · "&amp;IF(INDEX('ORDENES'!$AE$4:$AE$1203,U149)="","(sin técnico)",INDEX('ORDENES'!$AE$4:$AE$1203,U149))&amp;" · "&amp;INDEX('ORDENES'!$AQ$4:$AQ$1203,U149)&amp;"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IF(AND(IF($B$3="(todos)",TRUE,'ORDENES'!$O146=$B$3),IF($D$3="(todos)",TRUE,'ORDENES'!$AF146=$D$3),IF($F$3="(todos)",TRUE,'ORDENES'!$X146=$F$3),IF($H$3="(todos)",TRUE,'ORDENES'!$W146=$H$3),'ORDENES'!$AD146=TRUE,'ORDENES'!$A146&lt;&gt;""),1,0)</f>
        <v/>
      </c>
      <c r="L150" s="3">
        <f>IF(K150=1,IFERROR(MATCH('ORDENES'!$R146,lista_dias,0),9)*1000000000+IFERROR(MATCH('ORDENES'!$AF146,lista_turnos,0),9)*10000000+IFERROR(MATCH('ORDENES'!$AE146,'TECNICOS'!$B$4:$B$15,0),99)*100000+143,9000000000000+143)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IF('ORDENES'!$T146="preventiva",N150,0)</f>
        <v/>
      </c>
      <c r="P150" s="17">
        <f>IF('ORDENES'!$T146="correctiva",N150,0)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"&amp;IF(INDEX('ORDENES'!$AF$4:$AF$1203,U150)="","(s/t)",INDEX('ORDENES'!$AF$4:$AF$1203,U150))&amp;" · "&amp;IF(INDEX('ORDENES'!$AE$4:$AE$1203,U150)="","(sin técnico)",INDEX('ORDENES'!$AE$4:$AE$1203,U150))&amp;" · "&amp;INDEX('ORDENES'!$AQ$4:$AQ$1203,U150)&amp;"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IF(AND(IF($B$3="(todos)",TRUE,'ORDENES'!$O147=$B$3),IF($D$3="(todos)",TRUE,'ORDENES'!$AF147=$D$3),IF($F$3="(todos)",TRUE,'ORDENES'!$X147=$F$3),IF($H$3="(todos)",TRUE,'ORDENES'!$W147=$H$3),'ORDENES'!$AD147=TRUE,'ORDENES'!$A147&lt;&gt;""),1,0)</f>
        <v/>
      </c>
      <c r="L151" s="3">
        <f>IF(K151=1,IFERROR(MATCH('ORDENES'!$R147,lista_dias,0),9)*1000000000+IFERROR(MATCH('ORDENES'!$AF147,lista_turnos,0),9)*10000000+IFERROR(MATCH('ORDENES'!$AE147,'TECNICOS'!$B$4:$B$15,0),99)*100000+144,9000000000000+144)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IF('ORDENES'!$T147="preventiva",N151,0)</f>
        <v/>
      </c>
      <c r="P151" s="17">
        <f>IF('ORDENES'!$T147="correctiva",N151,0)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"&amp;IF(INDEX('ORDENES'!$AF$4:$AF$1203,U151)="","(s/t)",INDEX('ORDENES'!$AF$4:$AF$1203,U151))&amp;" · "&amp;IF(INDEX('ORDENES'!$AE$4:$AE$1203,U151)="","(sin técnico)",INDEX('ORDENES'!$AE$4:$AE$1203,U151))&amp;" · "&amp;INDEX('ORDENES'!$AQ$4:$AQ$1203,U151)&amp;"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IF(AND(IF($B$3="(todos)",TRUE,'ORDENES'!$O148=$B$3),IF($D$3="(todos)",TRUE,'ORDENES'!$AF148=$D$3),IF($F$3="(todos)",TRUE,'ORDENES'!$X148=$F$3),IF($H$3="(todos)",TRUE,'ORDENES'!$W148=$H$3),'ORDENES'!$AD148=TRUE,'ORDENES'!$A148&lt;&gt;""),1,0)</f>
        <v/>
      </c>
      <c r="L152" s="3">
        <f>IF(K152=1,IFERROR(MATCH('ORDENES'!$R148,lista_dias,0),9)*1000000000+IFERROR(MATCH('ORDENES'!$AF148,lista_turnos,0),9)*10000000+IFERROR(MATCH('ORDENES'!$AE148,'TECNICOS'!$B$4:$B$15,0),99)*100000+145,9000000000000+145)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IF('ORDENES'!$T148="preventiva",N152,0)</f>
        <v/>
      </c>
      <c r="P152" s="17">
        <f>IF('ORDENES'!$T148="correctiva",N152,0)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"&amp;IF(INDEX('ORDENES'!$AF$4:$AF$1203,U152)="","(s/t)",INDEX('ORDENES'!$AF$4:$AF$1203,U152))&amp;" · "&amp;IF(INDEX('ORDENES'!$AE$4:$AE$1203,U152)="","(sin técnico)",INDEX('ORDENES'!$AE$4:$AE$1203,U152))&amp;" · "&amp;INDEX('ORDENES'!$AQ$4:$AQ$1203,U152)&amp;"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IF(AND(IF($B$3="(todos)",TRUE,'ORDENES'!$O149=$B$3),IF($D$3="(todos)",TRUE,'ORDENES'!$AF149=$D$3),IF($F$3="(todos)",TRUE,'ORDENES'!$X149=$F$3),IF($H$3="(todos)",TRUE,'ORDENES'!$W149=$H$3),'ORDENES'!$AD149=TRUE,'ORDENES'!$A149&lt;&gt;""),1,0)</f>
        <v/>
      </c>
      <c r="L153" s="3">
        <f>IF(K153=1,IFERROR(MATCH('ORDENES'!$R149,lista_dias,0),9)*1000000000+IFERROR(MATCH('ORDENES'!$AF149,lista_turnos,0),9)*10000000+IFERROR(MATCH('ORDENES'!$AE149,'TECNICOS'!$B$4:$B$15,0),99)*100000+146,9000000000000+146)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IF('ORDENES'!$T149="preventiva",N153,0)</f>
        <v/>
      </c>
      <c r="P153" s="17">
        <f>IF('ORDENES'!$T149="correctiva",N153,0)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"&amp;IF(INDEX('ORDENES'!$AF$4:$AF$1203,U153)="","(s/t)",INDEX('ORDENES'!$AF$4:$AF$1203,U153))&amp;" · "&amp;IF(INDEX('ORDENES'!$AE$4:$AE$1203,U153)="","(sin técnico)",INDEX('ORDENES'!$AE$4:$AE$1203,U153))&amp;" · "&amp;INDEX('ORDENES'!$AQ$4:$AQ$1203,U153)&amp;"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IF(AND(IF($B$3="(todos)",TRUE,'ORDENES'!$O150=$B$3),IF($D$3="(todos)",TRUE,'ORDENES'!$AF150=$D$3),IF($F$3="(todos)",TRUE,'ORDENES'!$X150=$F$3),IF($H$3="(todos)",TRUE,'ORDENES'!$W150=$H$3),'ORDENES'!$AD150=TRUE,'ORDENES'!$A150&lt;&gt;""),1,0)</f>
        <v/>
      </c>
      <c r="L154" s="3">
        <f>IF(K154=1,IFERROR(MATCH('ORDENES'!$R150,lista_dias,0),9)*1000000000+IFERROR(MATCH('ORDENES'!$AF150,lista_turnos,0),9)*10000000+IFERROR(MATCH('ORDENES'!$AE150,'TECNICOS'!$B$4:$B$15,0),99)*100000+147,9000000000000+147)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IF('ORDENES'!$T150="preventiva",N154,0)</f>
        <v/>
      </c>
      <c r="P154" s="17">
        <f>IF('ORDENES'!$T150="correctiva",N154,0)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"&amp;IF(INDEX('ORDENES'!$AF$4:$AF$1203,U154)="","(s/t)",INDEX('ORDENES'!$AF$4:$AF$1203,U154))&amp;" · "&amp;IF(INDEX('ORDENES'!$AE$4:$AE$1203,U154)="","(sin técnico)",INDEX('ORDENES'!$AE$4:$AE$1203,U154))&amp;" · "&amp;INDEX('ORDENES'!$AQ$4:$AQ$1203,U154)&amp;"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IF(AND(IF($B$3="(todos)",TRUE,'ORDENES'!$O151=$B$3),IF($D$3="(todos)",TRUE,'ORDENES'!$AF151=$D$3),IF($F$3="(todos)",TRUE,'ORDENES'!$X151=$F$3),IF($H$3="(todos)",TRUE,'ORDENES'!$W151=$H$3),'ORDENES'!$AD151=TRUE,'ORDENES'!$A151&lt;&gt;""),1,0)</f>
        <v/>
      </c>
      <c r="L155" s="3">
        <f>IF(K155=1,IFERROR(MATCH('ORDENES'!$R151,lista_dias,0),9)*1000000000+IFERROR(MATCH('ORDENES'!$AF151,lista_turnos,0),9)*10000000+IFERROR(MATCH('ORDENES'!$AE151,'TECNICOS'!$B$4:$B$15,0),99)*100000+148,9000000000000+148)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IF('ORDENES'!$T151="preventiva",N155,0)</f>
        <v/>
      </c>
      <c r="P155" s="17">
        <f>IF('ORDENES'!$T151="correctiva",N155,0)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"&amp;IF(INDEX('ORDENES'!$AF$4:$AF$1203,U155)="","(s/t)",INDEX('ORDENES'!$AF$4:$AF$1203,U155))&amp;" · "&amp;IF(INDEX('ORDENES'!$AE$4:$AE$1203,U155)="","(sin técnico)",INDEX('ORDENES'!$AE$4:$AE$1203,U155))&amp;" · "&amp;INDEX('ORDENES'!$AQ$4:$AQ$1203,U155)&amp;"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IF(AND(IF($B$3="(todos)",TRUE,'ORDENES'!$O152=$B$3),IF($D$3="(todos)",TRUE,'ORDENES'!$AF152=$D$3),IF($F$3="(todos)",TRUE,'ORDENES'!$X152=$F$3),IF($H$3="(todos)",TRUE,'ORDENES'!$W152=$H$3),'ORDENES'!$AD152=TRUE,'ORDENES'!$A152&lt;&gt;""),1,0)</f>
        <v/>
      </c>
      <c r="L156" s="3">
        <f>IF(K156=1,IFERROR(MATCH('ORDENES'!$R152,lista_dias,0),9)*1000000000+IFERROR(MATCH('ORDENES'!$AF152,lista_turnos,0),9)*10000000+IFERROR(MATCH('ORDENES'!$AE152,'TECNICOS'!$B$4:$B$15,0),99)*100000+149,9000000000000+149)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IF('ORDENES'!$T152="preventiva",N156,0)</f>
        <v/>
      </c>
      <c r="P156" s="17">
        <f>IF('ORDENES'!$T152="correctiva",N156,0)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"&amp;IF(INDEX('ORDENES'!$AF$4:$AF$1203,U156)="","(s/t)",INDEX('ORDENES'!$AF$4:$AF$1203,U156))&amp;" · "&amp;IF(INDEX('ORDENES'!$AE$4:$AE$1203,U156)="","(sin técnico)",INDEX('ORDENES'!$AE$4:$AE$1203,U156))&amp;" · "&amp;INDEX('ORDENES'!$AQ$4:$AQ$1203,U156)&amp;"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IF(AND(IF($B$3="(todos)",TRUE,'ORDENES'!$O153=$B$3),IF($D$3="(todos)",TRUE,'ORDENES'!$AF153=$D$3),IF($F$3="(todos)",TRUE,'ORDENES'!$X153=$F$3),IF($H$3="(todos)",TRUE,'ORDENES'!$W153=$H$3),'ORDENES'!$AD153=TRUE,'ORDENES'!$A153&lt;&gt;""),1,0)</f>
        <v/>
      </c>
      <c r="L157" s="3">
        <f>IF(K157=1,IFERROR(MATCH('ORDENES'!$R153,lista_dias,0),9)*1000000000+IFERROR(MATCH('ORDENES'!$AF153,lista_turnos,0),9)*10000000+IFERROR(MATCH('ORDENES'!$AE153,'TECNICOS'!$B$4:$B$15,0),99)*100000+150,9000000000000+150)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IF('ORDENES'!$T153="preventiva",N157,0)</f>
        <v/>
      </c>
      <c r="P157" s="17">
        <f>IF('ORDENES'!$T153="correctiva",N157,0)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"&amp;IF(INDEX('ORDENES'!$AF$4:$AF$1203,U157)="","(s/t)",INDEX('ORDENES'!$AF$4:$AF$1203,U157))&amp;" · "&amp;IF(INDEX('ORDENES'!$AE$4:$AE$1203,U157)="","(sin técnico)",INDEX('ORDENES'!$AE$4:$AE$1203,U157))&amp;" · "&amp;INDEX('ORDENES'!$AQ$4:$AQ$1203,U157)&amp;"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IF(AND(IF($B$3="(todos)",TRUE,'ORDENES'!$O154=$B$3),IF($D$3="(todos)",TRUE,'ORDENES'!$AF154=$D$3),IF($F$3="(todos)",TRUE,'ORDENES'!$X154=$F$3),IF($H$3="(todos)",TRUE,'ORDENES'!$W154=$H$3),'ORDENES'!$AD154=TRUE,'ORDENES'!$A154&lt;&gt;""),1,0)</f>
        <v/>
      </c>
      <c r="L158" s="3">
        <f>IF(K158=1,IFERROR(MATCH('ORDENES'!$R154,lista_dias,0),9)*1000000000+IFERROR(MATCH('ORDENES'!$AF154,lista_turnos,0),9)*10000000+IFERROR(MATCH('ORDENES'!$AE154,'TECNICOS'!$B$4:$B$15,0),99)*100000+151,9000000000000+151)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IF('ORDENES'!$T154="preventiva",N158,0)</f>
        <v/>
      </c>
      <c r="P158" s="17">
        <f>IF('ORDENES'!$T154="correctiva",N158,0)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"&amp;IF(INDEX('ORDENES'!$AF$4:$AF$1203,U158)="","(s/t)",INDEX('ORDENES'!$AF$4:$AF$1203,U158))&amp;" · "&amp;IF(INDEX('ORDENES'!$AE$4:$AE$1203,U158)="","(sin técnico)",INDEX('ORDENES'!$AE$4:$AE$1203,U158))&amp;" · "&amp;INDEX('ORDENES'!$AQ$4:$AQ$1203,U158)&amp;"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IF(AND(IF($B$3="(todos)",TRUE,'ORDENES'!$O155=$B$3),IF($D$3="(todos)",TRUE,'ORDENES'!$AF155=$D$3),IF($F$3="(todos)",TRUE,'ORDENES'!$X155=$F$3),IF($H$3="(todos)",TRUE,'ORDENES'!$W155=$H$3),'ORDENES'!$AD155=TRUE,'ORDENES'!$A155&lt;&gt;""),1,0)</f>
        <v/>
      </c>
      <c r="L159" s="3">
        <f>IF(K159=1,IFERROR(MATCH('ORDENES'!$R155,lista_dias,0),9)*1000000000+IFERROR(MATCH('ORDENES'!$AF155,lista_turnos,0),9)*10000000+IFERROR(MATCH('ORDENES'!$AE155,'TECNICOS'!$B$4:$B$15,0),99)*100000+152,9000000000000+152)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IF('ORDENES'!$T155="preventiva",N159,0)</f>
        <v/>
      </c>
      <c r="P159" s="17">
        <f>IF('ORDENES'!$T155="correctiva",N159,0)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"&amp;IF(INDEX('ORDENES'!$AF$4:$AF$1203,U159)="","(s/t)",INDEX('ORDENES'!$AF$4:$AF$1203,U159))&amp;" · "&amp;IF(INDEX('ORDENES'!$AE$4:$AE$1203,U159)="","(sin técnico)",INDEX('ORDENES'!$AE$4:$AE$1203,U159))&amp;" · "&amp;INDEX('ORDENES'!$AQ$4:$AQ$1203,U159)&amp;"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IF(AND(IF($B$3="(todos)",TRUE,'ORDENES'!$O156=$B$3),IF($D$3="(todos)",TRUE,'ORDENES'!$AF156=$D$3),IF($F$3="(todos)",TRUE,'ORDENES'!$X156=$F$3),IF($H$3="(todos)",TRUE,'ORDENES'!$W156=$H$3),'ORDENES'!$AD156=TRUE,'ORDENES'!$A156&lt;&gt;""),1,0)</f>
        <v/>
      </c>
      <c r="L160" s="3">
        <f>IF(K160=1,IFERROR(MATCH('ORDENES'!$R156,lista_dias,0),9)*1000000000+IFERROR(MATCH('ORDENES'!$AF156,lista_turnos,0),9)*10000000+IFERROR(MATCH('ORDENES'!$AE156,'TECNICOS'!$B$4:$B$15,0),99)*100000+153,9000000000000+153)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IF('ORDENES'!$T156="preventiva",N160,0)</f>
        <v/>
      </c>
      <c r="P160" s="17">
        <f>IF('ORDENES'!$T156="correctiva",N160,0)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"&amp;IF(INDEX('ORDENES'!$AF$4:$AF$1203,U160)="","(s/t)",INDEX('ORDENES'!$AF$4:$AF$1203,U160))&amp;" · "&amp;IF(INDEX('ORDENES'!$AE$4:$AE$1203,U160)="","(sin técnico)",INDEX('ORDENES'!$AE$4:$AE$1203,U160))&amp;" · "&amp;INDEX('ORDENES'!$AQ$4:$AQ$1203,U160)&amp;"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IF(AND(IF($B$3="(todos)",TRUE,'ORDENES'!$O157=$B$3),IF($D$3="(todos)",TRUE,'ORDENES'!$AF157=$D$3),IF($F$3="(todos)",TRUE,'ORDENES'!$X157=$F$3),IF($H$3="(todos)",TRUE,'ORDENES'!$W157=$H$3),'ORDENES'!$AD157=TRUE,'ORDENES'!$A157&lt;&gt;""),1,0)</f>
        <v/>
      </c>
      <c r="L161" s="3">
        <f>IF(K161=1,IFERROR(MATCH('ORDENES'!$R157,lista_dias,0),9)*1000000000+IFERROR(MATCH('ORDENES'!$AF157,lista_turnos,0),9)*10000000+IFERROR(MATCH('ORDENES'!$AE157,'TECNICOS'!$B$4:$B$15,0),99)*100000+154,9000000000000+154)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IF('ORDENES'!$T157="preventiva",N161,0)</f>
        <v/>
      </c>
      <c r="P161" s="17">
        <f>IF('ORDENES'!$T157="correctiva",N161,0)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"&amp;IF(INDEX('ORDENES'!$AF$4:$AF$1203,U161)="","(s/t)",INDEX('ORDENES'!$AF$4:$AF$1203,U161))&amp;" · "&amp;IF(INDEX('ORDENES'!$AE$4:$AE$1203,U161)="","(sin técnico)",INDEX('ORDENES'!$AE$4:$AE$1203,U161))&amp;" · "&amp;INDEX('ORDENES'!$AQ$4:$AQ$1203,U161)&amp;"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IF(AND(IF($B$3="(todos)",TRUE,'ORDENES'!$O158=$B$3),IF($D$3="(todos)",TRUE,'ORDENES'!$AF158=$D$3),IF($F$3="(todos)",TRUE,'ORDENES'!$X158=$F$3),IF($H$3="(todos)",TRUE,'ORDENES'!$W158=$H$3),'ORDENES'!$AD158=TRUE,'ORDENES'!$A158&lt;&gt;""),1,0)</f>
        <v/>
      </c>
      <c r="L162" s="3">
        <f>IF(K162=1,IFERROR(MATCH('ORDENES'!$R158,lista_dias,0),9)*1000000000+IFERROR(MATCH('ORDENES'!$AF158,lista_turnos,0),9)*10000000+IFERROR(MATCH('ORDENES'!$AE158,'TECNICOS'!$B$4:$B$15,0),99)*100000+155,9000000000000+155)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IF('ORDENES'!$T158="preventiva",N162,0)</f>
        <v/>
      </c>
      <c r="P162" s="17">
        <f>IF('ORDENES'!$T158="correctiva",N162,0)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"&amp;IF(INDEX('ORDENES'!$AF$4:$AF$1203,U162)="","(s/t)",INDEX('ORDENES'!$AF$4:$AF$1203,U162))&amp;" · "&amp;IF(INDEX('ORDENES'!$AE$4:$AE$1203,U162)="","(sin técnico)",INDEX('ORDENES'!$AE$4:$AE$1203,U162))&amp;" · "&amp;INDEX('ORDENES'!$AQ$4:$AQ$1203,U162)&amp;"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IF(AND(IF($B$3="(todos)",TRUE,'ORDENES'!$O159=$B$3),IF($D$3="(todos)",TRUE,'ORDENES'!$AF159=$D$3),IF($F$3="(todos)",TRUE,'ORDENES'!$X159=$F$3),IF($H$3="(todos)",TRUE,'ORDENES'!$W159=$H$3),'ORDENES'!$AD159=TRUE,'ORDENES'!$A159&lt;&gt;""),1,0)</f>
        <v/>
      </c>
      <c r="L163" s="3">
        <f>IF(K163=1,IFERROR(MATCH('ORDENES'!$R159,lista_dias,0),9)*1000000000+IFERROR(MATCH('ORDENES'!$AF159,lista_turnos,0),9)*10000000+IFERROR(MATCH('ORDENES'!$AE159,'TECNICOS'!$B$4:$B$15,0),99)*100000+156,9000000000000+156)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IF('ORDENES'!$T159="preventiva",N163,0)</f>
        <v/>
      </c>
      <c r="P163" s="17">
        <f>IF('ORDENES'!$T159="correctiva",N163,0)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"&amp;IF(INDEX('ORDENES'!$AF$4:$AF$1203,U163)="","(s/t)",INDEX('ORDENES'!$AF$4:$AF$1203,U163))&amp;" · "&amp;IF(INDEX('ORDENES'!$AE$4:$AE$1203,U163)="","(sin técnico)",INDEX('ORDENES'!$AE$4:$AE$1203,U163))&amp;" · "&amp;INDEX('ORDENES'!$AQ$4:$AQ$1203,U163)&amp;"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IF(AND(IF($B$3="(todos)",TRUE,'ORDENES'!$O160=$B$3),IF($D$3="(todos)",TRUE,'ORDENES'!$AF160=$D$3),IF($F$3="(todos)",TRUE,'ORDENES'!$X160=$F$3),IF($H$3="(todos)",TRUE,'ORDENES'!$W160=$H$3),'ORDENES'!$AD160=TRUE,'ORDENES'!$A160&lt;&gt;""),1,0)</f>
        <v/>
      </c>
      <c r="L164" s="3">
        <f>IF(K164=1,IFERROR(MATCH('ORDENES'!$R160,lista_dias,0),9)*1000000000+IFERROR(MATCH('ORDENES'!$AF160,lista_turnos,0),9)*10000000+IFERROR(MATCH('ORDENES'!$AE160,'TECNICOS'!$B$4:$B$15,0),99)*100000+157,9000000000000+157)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IF('ORDENES'!$T160="preventiva",N164,0)</f>
        <v/>
      </c>
      <c r="P164" s="17">
        <f>IF('ORDENES'!$T160="correctiva",N164,0)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"&amp;IF(INDEX('ORDENES'!$AF$4:$AF$1203,U164)="","(s/t)",INDEX('ORDENES'!$AF$4:$AF$1203,U164))&amp;" · "&amp;IF(INDEX('ORDENES'!$AE$4:$AE$1203,U164)="","(sin técnico)",INDEX('ORDENES'!$AE$4:$AE$1203,U164))&amp;" · "&amp;INDEX('ORDENES'!$AQ$4:$AQ$1203,U164)&amp;"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IF(AND(IF($B$3="(todos)",TRUE,'ORDENES'!$O161=$B$3),IF($D$3="(todos)",TRUE,'ORDENES'!$AF161=$D$3),IF($F$3="(todos)",TRUE,'ORDENES'!$X161=$F$3),IF($H$3="(todos)",TRUE,'ORDENES'!$W161=$H$3),'ORDENES'!$AD161=TRUE,'ORDENES'!$A161&lt;&gt;""),1,0)</f>
        <v/>
      </c>
      <c r="L165" s="3">
        <f>IF(K165=1,IFERROR(MATCH('ORDENES'!$R161,lista_dias,0),9)*1000000000+IFERROR(MATCH('ORDENES'!$AF161,lista_turnos,0),9)*10000000+IFERROR(MATCH('ORDENES'!$AE161,'TECNICOS'!$B$4:$B$15,0),99)*100000+158,9000000000000+158)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IF('ORDENES'!$T161="preventiva",N165,0)</f>
        <v/>
      </c>
      <c r="P165" s="17">
        <f>IF('ORDENES'!$T161="correctiva",N165,0)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"&amp;IF(INDEX('ORDENES'!$AF$4:$AF$1203,U165)="","(s/t)",INDEX('ORDENES'!$AF$4:$AF$1203,U165))&amp;" · "&amp;IF(INDEX('ORDENES'!$AE$4:$AE$1203,U165)="","(sin técnico)",INDEX('ORDENES'!$AE$4:$AE$1203,U165))&amp;" · "&amp;INDEX('ORDENES'!$AQ$4:$AQ$1203,U165)&amp;"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IF(AND(IF($B$3="(todos)",TRUE,'ORDENES'!$O162=$B$3),IF($D$3="(todos)",TRUE,'ORDENES'!$AF162=$D$3),IF($F$3="(todos)",TRUE,'ORDENES'!$X162=$F$3),IF($H$3="(todos)",TRUE,'ORDENES'!$W162=$H$3),'ORDENES'!$AD162=TRUE,'ORDENES'!$A162&lt;&gt;""),1,0)</f>
        <v/>
      </c>
      <c r="L166" s="3">
        <f>IF(K166=1,IFERROR(MATCH('ORDENES'!$R162,lista_dias,0),9)*1000000000+IFERROR(MATCH('ORDENES'!$AF162,lista_turnos,0),9)*10000000+IFERROR(MATCH('ORDENES'!$AE162,'TECNICOS'!$B$4:$B$15,0),99)*100000+159,9000000000000+159)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IF('ORDENES'!$T162="preventiva",N166,0)</f>
        <v/>
      </c>
      <c r="P166" s="17">
        <f>IF('ORDENES'!$T162="correctiva",N166,0)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"&amp;IF(INDEX('ORDENES'!$AF$4:$AF$1203,U166)="","(s/t)",INDEX('ORDENES'!$AF$4:$AF$1203,U166))&amp;" · "&amp;IF(INDEX('ORDENES'!$AE$4:$AE$1203,U166)="","(sin técnico)",INDEX('ORDENES'!$AE$4:$AE$1203,U166))&amp;" · "&amp;INDEX('ORDENES'!$AQ$4:$AQ$1203,U166)&amp;"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IF(AND(IF($B$3="(todos)",TRUE,'ORDENES'!$O163=$B$3),IF($D$3="(todos)",TRUE,'ORDENES'!$AF163=$D$3),IF($F$3="(todos)",TRUE,'ORDENES'!$X163=$F$3),IF($H$3="(todos)",TRUE,'ORDENES'!$W163=$H$3),'ORDENES'!$AD163=TRUE,'ORDENES'!$A163&lt;&gt;""),1,0)</f>
        <v/>
      </c>
      <c r="L167" s="3">
        <f>IF(K167=1,IFERROR(MATCH('ORDENES'!$R163,lista_dias,0),9)*1000000000+IFERROR(MATCH('ORDENES'!$AF163,lista_turnos,0),9)*10000000+IFERROR(MATCH('ORDENES'!$AE163,'TECNICOS'!$B$4:$B$15,0),99)*100000+160,9000000000000+160)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IF('ORDENES'!$T163="preventiva",N167,0)</f>
        <v/>
      </c>
      <c r="P167" s="17">
        <f>IF('ORDENES'!$T163="correctiva",N167,0)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"&amp;IF(INDEX('ORDENES'!$AF$4:$AF$1203,U167)="","(s/t)",INDEX('ORDENES'!$AF$4:$AF$1203,U167))&amp;" · "&amp;IF(INDEX('ORDENES'!$AE$4:$AE$1203,U167)="","(sin técnico)",INDEX('ORDENES'!$AE$4:$AE$1203,U167))&amp;" · "&amp;INDEX('ORDENES'!$AQ$4:$AQ$1203,U167)&amp;"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IF(AND(IF($B$3="(todos)",TRUE,'ORDENES'!$O164=$B$3),IF($D$3="(todos)",TRUE,'ORDENES'!$AF164=$D$3),IF($F$3="(todos)",TRUE,'ORDENES'!$X164=$F$3),IF($H$3="(todos)",TRUE,'ORDENES'!$W164=$H$3),'ORDENES'!$AD164=TRUE,'ORDENES'!$A164&lt;&gt;""),1,0)</f>
        <v/>
      </c>
      <c r="L168" s="3">
        <f>IF(K168=1,IFERROR(MATCH('ORDENES'!$R164,lista_dias,0),9)*1000000000+IFERROR(MATCH('ORDENES'!$AF164,lista_turnos,0),9)*10000000+IFERROR(MATCH('ORDENES'!$AE164,'TECNICOS'!$B$4:$B$15,0),99)*100000+161,9000000000000+161)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IF('ORDENES'!$T164="preventiva",N168,0)</f>
        <v/>
      </c>
      <c r="P168" s="17">
        <f>IF('ORDENES'!$T164="correctiva",N168,0)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"&amp;IF(INDEX('ORDENES'!$AF$4:$AF$1203,U168)="","(s/t)",INDEX('ORDENES'!$AF$4:$AF$1203,U168))&amp;" · "&amp;IF(INDEX('ORDENES'!$AE$4:$AE$1203,U168)="","(sin técnico)",INDEX('ORDENES'!$AE$4:$AE$1203,U168))&amp;" · "&amp;INDEX('ORDENES'!$AQ$4:$AQ$1203,U168)&amp;"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IF(AND(IF($B$3="(todos)",TRUE,'ORDENES'!$O165=$B$3),IF($D$3="(todos)",TRUE,'ORDENES'!$AF165=$D$3),IF($F$3="(todos)",TRUE,'ORDENES'!$X165=$F$3),IF($H$3="(todos)",TRUE,'ORDENES'!$W165=$H$3),'ORDENES'!$AD165=TRUE,'ORDENES'!$A165&lt;&gt;""),1,0)</f>
        <v/>
      </c>
      <c r="L169" s="3">
        <f>IF(K169=1,IFERROR(MATCH('ORDENES'!$R165,lista_dias,0),9)*1000000000+IFERROR(MATCH('ORDENES'!$AF165,lista_turnos,0),9)*10000000+IFERROR(MATCH('ORDENES'!$AE165,'TECNICOS'!$B$4:$B$15,0),99)*100000+162,9000000000000+162)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IF('ORDENES'!$T165="preventiva",N169,0)</f>
        <v/>
      </c>
      <c r="P169" s="17">
        <f>IF('ORDENES'!$T165="correctiva",N169,0)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"&amp;IF(INDEX('ORDENES'!$AF$4:$AF$1203,U169)="","(s/t)",INDEX('ORDENES'!$AF$4:$AF$1203,U169))&amp;" · "&amp;IF(INDEX('ORDENES'!$AE$4:$AE$1203,U169)="","(sin técnico)",INDEX('ORDENES'!$AE$4:$AE$1203,U169))&amp;" · "&amp;INDEX('ORDENES'!$AQ$4:$AQ$1203,U169)&amp;"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IF(AND(IF($B$3="(todos)",TRUE,'ORDENES'!$O166=$B$3),IF($D$3="(todos)",TRUE,'ORDENES'!$AF166=$D$3),IF($F$3="(todos)",TRUE,'ORDENES'!$X166=$F$3),IF($H$3="(todos)",TRUE,'ORDENES'!$W166=$H$3),'ORDENES'!$AD166=TRUE,'ORDENES'!$A166&lt;&gt;""),1,0)</f>
        <v/>
      </c>
      <c r="L170" s="3">
        <f>IF(K170=1,IFERROR(MATCH('ORDENES'!$R166,lista_dias,0),9)*1000000000+IFERROR(MATCH('ORDENES'!$AF166,lista_turnos,0),9)*10000000+IFERROR(MATCH('ORDENES'!$AE166,'TECNICOS'!$B$4:$B$15,0),99)*100000+163,9000000000000+163)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IF('ORDENES'!$T166="preventiva",N170,0)</f>
        <v/>
      </c>
      <c r="P170" s="17">
        <f>IF('ORDENES'!$T166="correctiva",N170,0)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"&amp;IF(INDEX('ORDENES'!$AF$4:$AF$1203,U170)="","(s/t)",INDEX('ORDENES'!$AF$4:$AF$1203,U170))&amp;" · "&amp;IF(INDEX('ORDENES'!$AE$4:$AE$1203,U170)="","(sin técnico)",INDEX('ORDENES'!$AE$4:$AE$1203,U170))&amp;" · "&amp;INDEX('ORDENES'!$AQ$4:$AQ$1203,U170)&amp;"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IF(AND(IF($B$3="(todos)",TRUE,'ORDENES'!$O167=$B$3),IF($D$3="(todos)",TRUE,'ORDENES'!$AF167=$D$3),IF($F$3="(todos)",TRUE,'ORDENES'!$X167=$F$3),IF($H$3="(todos)",TRUE,'ORDENES'!$W167=$H$3),'ORDENES'!$AD167=TRUE,'ORDENES'!$A167&lt;&gt;""),1,0)</f>
        <v/>
      </c>
      <c r="L171" s="3">
        <f>IF(K171=1,IFERROR(MATCH('ORDENES'!$R167,lista_dias,0),9)*1000000000+IFERROR(MATCH('ORDENES'!$AF167,lista_turnos,0),9)*10000000+IFERROR(MATCH('ORDENES'!$AE167,'TECNICOS'!$B$4:$B$15,0),99)*100000+164,9000000000000+164)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IF('ORDENES'!$T167="preventiva",N171,0)</f>
        <v/>
      </c>
      <c r="P171" s="17">
        <f>IF('ORDENES'!$T167="correctiva",N171,0)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"&amp;IF(INDEX('ORDENES'!$AF$4:$AF$1203,U171)="","(s/t)",INDEX('ORDENES'!$AF$4:$AF$1203,U171))&amp;" · "&amp;IF(INDEX('ORDENES'!$AE$4:$AE$1203,U171)="","(sin técnico)",INDEX('ORDENES'!$AE$4:$AE$1203,U171))&amp;" · "&amp;INDEX('ORDENES'!$AQ$4:$AQ$1203,U171)&amp;"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IF(AND(IF($B$3="(todos)",TRUE,'ORDENES'!$O168=$B$3),IF($D$3="(todos)",TRUE,'ORDENES'!$AF168=$D$3),IF($F$3="(todos)",TRUE,'ORDENES'!$X168=$F$3),IF($H$3="(todos)",TRUE,'ORDENES'!$W168=$H$3),'ORDENES'!$AD168=TRUE,'ORDENES'!$A168&lt;&gt;""),1,0)</f>
        <v/>
      </c>
      <c r="L172" s="3">
        <f>IF(K172=1,IFERROR(MATCH('ORDENES'!$R168,lista_dias,0),9)*1000000000+IFERROR(MATCH('ORDENES'!$AF168,lista_turnos,0),9)*10000000+IFERROR(MATCH('ORDENES'!$AE168,'TECNICOS'!$B$4:$B$15,0),99)*100000+165,9000000000000+165)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IF('ORDENES'!$T168="preventiva",N172,0)</f>
        <v/>
      </c>
      <c r="P172" s="17">
        <f>IF('ORDENES'!$T168="correctiva",N172,0)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"&amp;IF(INDEX('ORDENES'!$AF$4:$AF$1203,U172)="","(s/t)",INDEX('ORDENES'!$AF$4:$AF$1203,U172))&amp;" · "&amp;IF(INDEX('ORDENES'!$AE$4:$AE$1203,U172)="","(sin técnico)",INDEX('ORDENES'!$AE$4:$AE$1203,U172))&amp;" · "&amp;INDEX('ORDENES'!$AQ$4:$AQ$1203,U172)&amp;"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IF(AND(IF($B$3="(todos)",TRUE,'ORDENES'!$O169=$B$3),IF($D$3="(todos)",TRUE,'ORDENES'!$AF169=$D$3),IF($F$3="(todos)",TRUE,'ORDENES'!$X169=$F$3),IF($H$3="(todos)",TRUE,'ORDENES'!$W169=$H$3),'ORDENES'!$AD169=TRUE,'ORDENES'!$A169&lt;&gt;""),1,0)</f>
        <v/>
      </c>
      <c r="L173" s="3">
        <f>IF(K173=1,IFERROR(MATCH('ORDENES'!$R169,lista_dias,0),9)*1000000000+IFERROR(MATCH('ORDENES'!$AF169,lista_turnos,0),9)*10000000+IFERROR(MATCH('ORDENES'!$AE169,'TECNICOS'!$B$4:$B$15,0),99)*100000+166,9000000000000+166)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IF('ORDENES'!$T169="preventiva",N173,0)</f>
        <v/>
      </c>
      <c r="P173" s="17">
        <f>IF('ORDENES'!$T169="correctiva",N173,0)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"&amp;IF(INDEX('ORDENES'!$AF$4:$AF$1203,U173)="","(s/t)",INDEX('ORDENES'!$AF$4:$AF$1203,U173))&amp;" · "&amp;IF(INDEX('ORDENES'!$AE$4:$AE$1203,U173)="","(sin técnico)",INDEX('ORDENES'!$AE$4:$AE$1203,U173))&amp;" · "&amp;INDEX('ORDENES'!$AQ$4:$AQ$1203,U173)&amp;"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IF(AND(IF($B$3="(todos)",TRUE,'ORDENES'!$O170=$B$3),IF($D$3="(todos)",TRUE,'ORDENES'!$AF170=$D$3),IF($F$3="(todos)",TRUE,'ORDENES'!$X170=$F$3),IF($H$3="(todos)",TRUE,'ORDENES'!$W170=$H$3),'ORDENES'!$AD170=TRUE,'ORDENES'!$A170&lt;&gt;""),1,0)</f>
        <v/>
      </c>
      <c r="L174" s="3">
        <f>IF(K174=1,IFERROR(MATCH('ORDENES'!$R170,lista_dias,0),9)*1000000000+IFERROR(MATCH('ORDENES'!$AF170,lista_turnos,0),9)*10000000+IFERROR(MATCH('ORDENES'!$AE170,'TECNICOS'!$B$4:$B$15,0),99)*100000+167,9000000000000+167)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IF('ORDENES'!$T170="preventiva",N174,0)</f>
        <v/>
      </c>
      <c r="P174" s="17">
        <f>IF('ORDENES'!$T170="correctiva",N174,0)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"&amp;IF(INDEX('ORDENES'!$AF$4:$AF$1203,U174)="","(s/t)",INDEX('ORDENES'!$AF$4:$AF$1203,U174))&amp;" · "&amp;IF(INDEX('ORDENES'!$AE$4:$AE$1203,U174)="","(sin técnico)",INDEX('ORDENES'!$AE$4:$AE$1203,U174))&amp;" · "&amp;INDEX('ORDENES'!$AQ$4:$AQ$1203,U174)&amp;"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IF(AND(IF($B$3="(todos)",TRUE,'ORDENES'!$O171=$B$3),IF($D$3="(todos)",TRUE,'ORDENES'!$AF171=$D$3),IF($F$3="(todos)",TRUE,'ORDENES'!$X171=$F$3),IF($H$3="(todos)",TRUE,'ORDENES'!$W171=$H$3),'ORDENES'!$AD171=TRUE,'ORDENES'!$A171&lt;&gt;""),1,0)</f>
        <v/>
      </c>
      <c r="L175" s="3">
        <f>IF(K175=1,IFERROR(MATCH('ORDENES'!$R171,lista_dias,0),9)*1000000000+IFERROR(MATCH('ORDENES'!$AF171,lista_turnos,0),9)*10000000+IFERROR(MATCH('ORDENES'!$AE171,'TECNICOS'!$B$4:$B$15,0),99)*100000+168,9000000000000+168)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IF('ORDENES'!$T171="preventiva",N175,0)</f>
        <v/>
      </c>
      <c r="P175" s="17">
        <f>IF('ORDENES'!$T171="correctiva",N175,0)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"&amp;IF(INDEX('ORDENES'!$AF$4:$AF$1203,U175)="","(s/t)",INDEX('ORDENES'!$AF$4:$AF$1203,U175))&amp;" · "&amp;IF(INDEX('ORDENES'!$AE$4:$AE$1203,U175)="","(sin técnico)",INDEX('ORDENES'!$AE$4:$AE$1203,U175))&amp;" · "&amp;INDEX('ORDENES'!$AQ$4:$AQ$1203,U175)&amp;"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IF(AND(IF($B$3="(todos)",TRUE,'ORDENES'!$O172=$B$3),IF($D$3="(todos)",TRUE,'ORDENES'!$AF172=$D$3),IF($F$3="(todos)",TRUE,'ORDENES'!$X172=$F$3),IF($H$3="(todos)",TRUE,'ORDENES'!$W172=$H$3),'ORDENES'!$AD172=TRUE,'ORDENES'!$A172&lt;&gt;""),1,0)</f>
        <v/>
      </c>
      <c r="L176" s="3">
        <f>IF(K176=1,IFERROR(MATCH('ORDENES'!$R172,lista_dias,0),9)*1000000000+IFERROR(MATCH('ORDENES'!$AF172,lista_turnos,0),9)*10000000+IFERROR(MATCH('ORDENES'!$AE172,'TECNICOS'!$B$4:$B$15,0),99)*100000+169,9000000000000+169)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IF('ORDENES'!$T172="preventiva",N176,0)</f>
        <v/>
      </c>
      <c r="P176" s="17">
        <f>IF('ORDENES'!$T172="correctiva",N176,0)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"&amp;IF(INDEX('ORDENES'!$AF$4:$AF$1203,U176)="","(s/t)",INDEX('ORDENES'!$AF$4:$AF$1203,U176))&amp;" · "&amp;IF(INDEX('ORDENES'!$AE$4:$AE$1203,U176)="","(sin técnico)",INDEX('ORDENES'!$AE$4:$AE$1203,U176))&amp;" · "&amp;INDEX('ORDENES'!$AQ$4:$AQ$1203,U176)&amp;"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IF(AND(IF($B$3="(todos)",TRUE,'ORDENES'!$O173=$B$3),IF($D$3="(todos)",TRUE,'ORDENES'!$AF173=$D$3),IF($F$3="(todos)",TRUE,'ORDENES'!$X173=$F$3),IF($H$3="(todos)",TRUE,'ORDENES'!$W173=$H$3),'ORDENES'!$AD173=TRUE,'ORDENES'!$A173&lt;&gt;""),1,0)</f>
        <v/>
      </c>
      <c r="L177" s="3">
        <f>IF(K177=1,IFERROR(MATCH('ORDENES'!$R173,lista_dias,0),9)*1000000000+IFERROR(MATCH('ORDENES'!$AF173,lista_turnos,0),9)*10000000+IFERROR(MATCH('ORDENES'!$AE173,'TECNICOS'!$B$4:$B$15,0),99)*100000+170,9000000000000+170)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IF('ORDENES'!$T173="preventiva",N177,0)</f>
        <v/>
      </c>
      <c r="P177" s="17">
        <f>IF('ORDENES'!$T173="correctiva",N177,0)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"&amp;IF(INDEX('ORDENES'!$AF$4:$AF$1203,U177)="","(s/t)",INDEX('ORDENES'!$AF$4:$AF$1203,U177))&amp;" · "&amp;IF(INDEX('ORDENES'!$AE$4:$AE$1203,U177)="","(sin técnico)",INDEX('ORDENES'!$AE$4:$AE$1203,U177))&amp;" · "&amp;INDEX('ORDENES'!$AQ$4:$AQ$1203,U177)&amp;"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IF(AND(IF($B$3="(todos)",TRUE,'ORDENES'!$O174=$B$3),IF($D$3="(todos)",TRUE,'ORDENES'!$AF174=$D$3),IF($F$3="(todos)",TRUE,'ORDENES'!$X174=$F$3),IF($H$3="(todos)",TRUE,'ORDENES'!$W174=$H$3),'ORDENES'!$AD174=TRUE,'ORDENES'!$A174&lt;&gt;""),1,0)</f>
        <v/>
      </c>
      <c r="L178" s="3">
        <f>IF(K178=1,IFERROR(MATCH('ORDENES'!$R174,lista_dias,0),9)*1000000000+IFERROR(MATCH('ORDENES'!$AF174,lista_turnos,0),9)*10000000+IFERROR(MATCH('ORDENES'!$AE174,'TECNICOS'!$B$4:$B$15,0),99)*100000+171,9000000000000+171)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IF('ORDENES'!$T174="preventiva",N178,0)</f>
        <v/>
      </c>
      <c r="P178" s="17">
        <f>IF('ORDENES'!$T174="correctiva",N178,0)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"&amp;IF(INDEX('ORDENES'!$AF$4:$AF$1203,U178)="","(s/t)",INDEX('ORDENES'!$AF$4:$AF$1203,U178))&amp;" · "&amp;IF(INDEX('ORDENES'!$AE$4:$AE$1203,U178)="","(sin técnico)",INDEX('ORDENES'!$AE$4:$AE$1203,U178))&amp;" · "&amp;INDEX('ORDENES'!$AQ$4:$AQ$1203,U178)&amp;"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IF(AND(IF($B$3="(todos)",TRUE,'ORDENES'!$O175=$B$3),IF($D$3="(todos)",TRUE,'ORDENES'!$AF175=$D$3),IF($F$3="(todos)",TRUE,'ORDENES'!$X175=$F$3),IF($H$3="(todos)",TRUE,'ORDENES'!$W175=$H$3),'ORDENES'!$AD175=TRUE,'ORDENES'!$A175&lt;&gt;""),1,0)</f>
        <v/>
      </c>
      <c r="L179" s="3">
        <f>IF(K179=1,IFERROR(MATCH('ORDENES'!$R175,lista_dias,0),9)*1000000000+IFERROR(MATCH('ORDENES'!$AF175,lista_turnos,0),9)*10000000+IFERROR(MATCH('ORDENES'!$AE175,'TECNICOS'!$B$4:$B$15,0),99)*100000+172,9000000000000+172)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IF('ORDENES'!$T175="preventiva",N179,0)</f>
        <v/>
      </c>
      <c r="P179" s="17">
        <f>IF('ORDENES'!$T175="correctiva",N179,0)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"&amp;IF(INDEX('ORDENES'!$AF$4:$AF$1203,U179)="","(s/t)",INDEX('ORDENES'!$AF$4:$AF$1203,U179))&amp;" · "&amp;IF(INDEX('ORDENES'!$AE$4:$AE$1203,U179)="","(sin técnico)",INDEX('ORDENES'!$AE$4:$AE$1203,U179))&amp;" · "&amp;INDEX('ORDENES'!$AQ$4:$AQ$1203,U179)&amp;"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IF(AND(IF($B$3="(todos)",TRUE,'ORDENES'!$O176=$B$3),IF($D$3="(todos)",TRUE,'ORDENES'!$AF176=$D$3),IF($F$3="(todos)",TRUE,'ORDENES'!$X176=$F$3),IF($H$3="(todos)",TRUE,'ORDENES'!$W176=$H$3),'ORDENES'!$AD176=TRUE,'ORDENES'!$A176&lt;&gt;""),1,0)</f>
        <v/>
      </c>
      <c r="L180" s="3">
        <f>IF(K180=1,IFERROR(MATCH('ORDENES'!$R176,lista_dias,0),9)*1000000000+IFERROR(MATCH('ORDENES'!$AF176,lista_turnos,0),9)*10000000+IFERROR(MATCH('ORDENES'!$AE176,'TECNICOS'!$B$4:$B$15,0),99)*100000+173,9000000000000+173)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IF('ORDENES'!$T176="preventiva",N180,0)</f>
        <v/>
      </c>
      <c r="P180" s="17">
        <f>IF('ORDENES'!$T176="correctiva",N180,0)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"&amp;IF(INDEX('ORDENES'!$AF$4:$AF$1203,U180)="","(s/t)",INDEX('ORDENES'!$AF$4:$AF$1203,U180))&amp;" · "&amp;IF(INDEX('ORDENES'!$AE$4:$AE$1203,U180)="","(sin técnico)",INDEX('ORDENES'!$AE$4:$AE$1203,U180))&amp;" · "&amp;INDEX('ORDENES'!$AQ$4:$AQ$1203,U180)&amp;"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IF(AND(IF($B$3="(todos)",TRUE,'ORDENES'!$O177=$B$3),IF($D$3="(todos)",TRUE,'ORDENES'!$AF177=$D$3),IF($F$3="(todos)",TRUE,'ORDENES'!$X177=$F$3),IF($H$3="(todos)",TRUE,'ORDENES'!$W177=$H$3),'ORDENES'!$AD177=TRUE,'ORDENES'!$A177&lt;&gt;""),1,0)</f>
        <v/>
      </c>
      <c r="L181" s="3">
        <f>IF(K181=1,IFERROR(MATCH('ORDENES'!$R177,lista_dias,0),9)*1000000000+IFERROR(MATCH('ORDENES'!$AF177,lista_turnos,0),9)*10000000+IFERROR(MATCH('ORDENES'!$AE177,'TECNICOS'!$B$4:$B$15,0),99)*100000+174,9000000000000+174)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IF('ORDENES'!$T177="preventiva",N181,0)</f>
        <v/>
      </c>
      <c r="P181" s="17">
        <f>IF('ORDENES'!$T177="correctiva",N181,0)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"&amp;IF(INDEX('ORDENES'!$AF$4:$AF$1203,U181)="","(s/t)",INDEX('ORDENES'!$AF$4:$AF$1203,U181))&amp;" · "&amp;IF(INDEX('ORDENES'!$AE$4:$AE$1203,U181)="","(sin técnico)",INDEX('ORDENES'!$AE$4:$AE$1203,U181))&amp;" · "&amp;INDEX('ORDENES'!$AQ$4:$AQ$1203,U181)&amp;"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IF(AND(IF($B$3="(todos)",TRUE,'ORDENES'!$O178=$B$3),IF($D$3="(todos)",TRUE,'ORDENES'!$AF178=$D$3),IF($F$3="(todos)",TRUE,'ORDENES'!$X178=$F$3),IF($H$3="(todos)",TRUE,'ORDENES'!$W178=$H$3),'ORDENES'!$AD178=TRUE,'ORDENES'!$A178&lt;&gt;""),1,0)</f>
        <v/>
      </c>
      <c r="L182" s="3">
        <f>IF(K182=1,IFERROR(MATCH('ORDENES'!$R178,lista_dias,0),9)*1000000000+IFERROR(MATCH('ORDENES'!$AF178,lista_turnos,0),9)*10000000+IFERROR(MATCH('ORDENES'!$AE178,'TECNICOS'!$B$4:$B$15,0),99)*100000+175,9000000000000+175)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IF('ORDENES'!$T178="preventiva",N182,0)</f>
        <v/>
      </c>
      <c r="P182" s="17">
        <f>IF('ORDENES'!$T178="correctiva",N182,0)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"&amp;IF(INDEX('ORDENES'!$AF$4:$AF$1203,U182)="","(s/t)",INDEX('ORDENES'!$AF$4:$AF$1203,U182))&amp;" · "&amp;IF(INDEX('ORDENES'!$AE$4:$AE$1203,U182)="","(sin técnico)",INDEX('ORDENES'!$AE$4:$AE$1203,U182))&amp;" · "&amp;INDEX('ORDENES'!$AQ$4:$AQ$1203,U182)&amp;"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IF(AND(IF($B$3="(todos)",TRUE,'ORDENES'!$O179=$B$3),IF($D$3="(todos)",TRUE,'ORDENES'!$AF179=$D$3),IF($F$3="(todos)",TRUE,'ORDENES'!$X179=$F$3),IF($H$3="(todos)",TRUE,'ORDENES'!$W179=$H$3),'ORDENES'!$AD179=TRUE,'ORDENES'!$A179&lt;&gt;""),1,0)</f>
        <v/>
      </c>
      <c r="L183" s="3">
        <f>IF(K183=1,IFERROR(MATCH('ORDENES'!$R179,lista_dias,0),9)*1000000000+IFERROR(MATCH('ORDENES'!$AF179,lista_turnos,0),9)*10000000+IFERROR(MATCH('ORDENES'!$AE179,'TECNICOS'!$B$4:$B$15,0),99)*100000+176,9000000000000+176)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IF('ORDENES'!$T179="preventiva",N183,0)</f>
        <v/>
      </c>
      <c r="P183" s="17">
        <f>IF('ORDENES'!$T179="correctiva",N183,0)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"&amp;IF(INDEX('ORDENES'!$AF$4:$AF$1203,U183)="","(s/t)",INDEX('ORDENES'!$AF$4:$AF$1203,U183))&amp;" · "&amp;IF(INDEX('ORDENES'!$AE$4:$AE$1203,U183)="","(sin técnico)",INDEX('ORDENES'!$AE$4:$AE$1203,U183))&amp;" · "&amp;INDEX('ORDENES'!$AQ$4:$AQ$1203,U183)&amp;"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IF(AND(IF($B$3="(todos)",TRUE,'ORDENES'!$O180=$B$3),IF($D$3="(todos)",TRUE,'ORDENES'!$AF180=$D$3),IF($F$3="(todos)",TRUE,'ORDENES'!$X180=$F$3),IF($H$3="(todos)",TRUE,'ORDENES'!$W180=$H$3),'ORDENES'!$AD180=TRUE,'ORDENES'!$A180&lt;&gt;""),1,0)</f>
        <v/>
      </c>
      <c r="L184" s="3">
        <f>IF(K184=1,IFERROR(MATCH('ORDENES'!$R180,lista_dias,0),9)*1000000000+IFERROR(MATCH('ORDENES'!$AF180,lista_turnos,0),9)*10000000+IFERROR(MATCH('ORDENES'!$AE180,'TECNICOS'!$B$4:$B$15,0),99)*100000+177,9000000000000+177)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IF('ORDENES'!$T180="preventiva",N184,0)</f>
        <v/>
      </c>
      <c r="P184" s="17">
        <f>IF('ORDENES'!$T180="correctiva",N184,0)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"&amp;IF(INDEX('ORDENES'!$AF$4:$AF$1203,U184)="","(s/t)",INDEX('ORDENES'!$AF$4:$AF$1203,U184))&amp;" · "&amp;IF(INDEX('ORDENES'!$AE$4:$AE$1203,U184)="","(sin técnico)",INDEX('ORDENES'!$AE$4:$AE$1203,U184))&amp;" · "&amp;INDEX('ORDENES'!$AQ$4:$AQ$1203,U184)&amp;"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IF(AND(IF($B$3="(todos)",TRUE,'ORDENES'!$O181=$B$3),IF($D$3="(todos)",TRUE,'ORDENES'!$AF181=$D$3),IF($F$3="(todos)",TRUE,'ORDENES'!$X181=$F$3),IF($H$3="(todos)",TRUE,'ORDENES'!$W181=$H$3),'ORDENES'!$AD181=TRUE,'ORDENES'!$A181&lt;&gt;""),1,0)</f>
        <v/>
      </c>
      <c r="L185" s="3">
        <f>IF(K185=1,IFERROR(MATCH('ORDENES'!$R181,lista_dias,0),9)*1000000000+IFERROR(MATCH('ORDENES'!$AF181,lista_turnos,0),9)*10000000+IFERROR(MATCH('ORDENES'!$AE181,'TECNICOS'!$B$4:$B$15,0),99)*100000+178,9000000000000+178)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IF('ORDENES'!$T181="preventiva",N185,0)</f>
        <v/>
      </c>
      <c r="P185" s="17">
        <f>IF('ORDENES'!$T181="correctiva",N185,0)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"&amp;IF(INDEX('ORDENES'!$AF$4:$AF$1203,U185)="","(s/t)",INDEX('ORDENES'!$AF$4:$AF$1203,U185))&amp;" · "&amp;IF(INDEX('ORDENES'!$AE$4:$AE$1203,U185)="","(sin técnico)",INDEX('ORDENES'!$AE$4:$AE$1203,U185))&amp;" · "&amp;INDEX('ORDENES'!$AQ$4:$AQ$1203,U185)&amp;"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IF(AND(IF($B$3="(todos)",TRUE,'ORDENES'!$O182=$B$3),IF($D$3="(todos)",TRUE,'ORDENES'!$AF182=$D$3),IF($F$3="(todos)",TRUE,'ORDENES'!$X182=$F$3),IF($H$3="(todos)",TRUE,'ORDENES'!$W182=$H$3),'ORDENES'!$AD182=TRUE,'ORDENES'!$A182&lt;&gt;""),1,0)</f>
        <v/>
      </c>
      <c r="L186" s="3">
        <f>IF(K186=1,IFERROR(MATCH('ORDENES'!$R182,lista_dias,0),9)*1000000000+IFERROR(MATCH('ORDENES'!$AF182,lista_turnos,0),9)*10000000+IFERROR(MATCH('ORDENES'!$AE182,'TECNICOS'!$B$4:$B$15,0),99)*100000+179,9000000000000+179)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IF('ORDENES'!$T182="preventiva",N186,0)</f>
        <v/>
      </c>
      <c r="P186" s="17">
        <f>IF('ORDENES'!$T182="correctiva",N186,0)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"&amp;IF(INDEX('ORDENES'!$AF$4:$AF$1203,U186)="","(s/t)",INDEX('ORDENES'!$AF$4:$AF$1203,U186))&amp;" · "&amp;IF(INDEX('ORDENES'!$AE$4:$AE$1203,U186)="","(sin técnico)",INDEX('ORDENES'!$AE$4:$AE$1203,U186))&amp;" · "&amp;INDEX('ORDENES'!$AQ$4:$AQ$1203,U186)&amp;"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IF(AND(IF($B$3="(todos)",TRUE,'ORDENES'!$O183=$B$3),IF($D$3="(todos)",TRUE,'ORDENES'!$AF183=$D$3),IF($F$3="(todos)",TRUE,'ORDENES'!$X183=$F$3),IF($H$3="(todos)",TRUE,'ORDENES'!$W183=$H$3),'ORDENES'!$AD183=TRUE,'ORDENES'!$A183&lt;&gt;""),1,0)</f>
        <v/>
      </c>
      <c r="L187" s="3">
        <f>IF(K187=1,IFERROR(MATCH('ORDENES'!$R183,lista_dias,0),9)*1000000000+IFERROR(MATCH('ORDENES'!$AF183,lista_turnos,0),9)*10000000+IFERROR(MATCH('ORDENES'!$AE183,'TECNICOS'!$B$4:$B$15,0),99)*100000+180,9000000000000+180)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IF('ORDENES'!$T183="preventiva",N187,0)</f>
        <v/>
      </c>
      <c r="P187" s="17">
        <f>IF('ORDENES'!$T183="correctiva",N187,0)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"&amp;IF(INDEX('ORDENES'!$AF$4:$AF$1203,U187)="","(s/t)",INDEX('ORDENES'!$AF$4:$AF$1203,U187))&amp;" · "&amp;IF(INDEX('ORDENES'!$AE$4:$AE$1203,U187)="","(sin técnico)",INDEX('ORDENES'!$AE$4:$AE$1203,U187))&amp;" · "&amp;INDEX('ORDENES'!$AQ$4:$AQ$1203,U187)&amp;"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IF(AND(IF($B$3="(todos)",TRUE,'ORDENES'!$O184=$B$3),IF($D$3="(todos)",TRUE,'ORDENES'!$AF184=$D$3),IF($F$3="(todos)",TRUE,'ORDENES'!$X184=$F$3),IF($H$3="(todos)",TRUE,'ORDENES'!$W184=$H$3),'ORDENES'!$AD184=TRUE,'ORDENES'!$A184&lt;&gt;""),1,0)</f>
        <v/>
      </c>
      <c r="L188" s="3">
        <f>IF(K188=1,IFERROR(MATCH('ORDENES'!$R184,lista_dias,0),9)*1000000000+IFERROR(MATCH('ORDENES'!$AF184,lista_turnos,0),9)*10000000+IFERROR(MATCH('ORDENES'!$AE184,'TECNICOS'!$B$4:$B$15,0),99)*100000+181,9000000000000+181)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IF('ORDENES'!$T184="preventiva",N188,0)</f>
        <v/>
      </c>
      <c r="P188" s="17">
        <f>IF('ORDENES'!$T184="correctiva",N188,0)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"&amp;IF(INDEX('ORDENES'!$AF$4:$AF$1203,U188)="","(s/t)",INDEX('ORDENES'!$AF$4:$AF$1203,U188))&amp;" · "&amp;IF(INDEX('ORDENES'!$AE$4:$AE$1203,U188)="","(sin técnico)",INDEX('ORDENES'!$AE$4:$AE$1203,U188))&amp;" · "&amp;INDEX('ORDENES'!$AQ$4:$AQ$1203,U188)&amp;"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IF(AND(IF($B$3="(todos)",TRUE,'ORDENES'!$O185=$B$3),IF($D$3="(todos)",TRUE,'ORDENES'!$AF185=$D$3),IF($F$3="(todos)",TRUE,'ORDENES'!$X185=$F$3),IF($H$3="(todos)",TRUE,'ORDENES'!$W185=$H$3),'ORDENES'!$AD185=TRUE,'ORDENES'!$A185&lt;&gt;""),1,0)</f>
        <v/>
      </c>
      <c r="L189" s="3">
        <f>IF(K189=1,IFERROR(MATCH('ORDENES'!$R185,lista_dias,0),9)*1000000000+IFERROR(MATCH('ORDENES'!$AF185,lista_turnos,0),9)*10000000+IFERROR(MATCH('ORDENES'!$AE185,'TECNICOS'!$B$4:$B$15,0),99)*100000+182,9000000000000+182)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IF('ORDENES'!$T185="preventiva",N189,0)</f>
        <v/>
      </c>
      <c r="P189" s="17">
        <f>IF('ORDENES'!$T185="correctiva",N189,0)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"&amp;IF(INDEX('ORDENES'!$AF$4:$AF$1203,U189)="","(s/t)",INDEX('ORDENES'!$AF$4:$AF$1203,U189))&amp;" · "&amp;IF(INDEX('ORDENES'!$AE$4:$AE$1203,U189)="","(sin técnico)",INDEX('ORDENES'!$AE$4:$AE$1203,U189))&amp;" · "&amp;INDEX('ORDENES'!$AQ$4:$AQ$1203,U189)&amp;"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IF(AND(IF($B$3="(todos)",TRUE,'ORDENES'!$O186=$B$3),IF($D$3="(todos)",TRUE,'ORDENES'!$AF186=$D$3),IF($F$3="(todos)",TRUE,'ORDENES'!$X186=$F$3),IF($H$3="(todos)",TRUE,'ORDENES'!$W186=$H$3),'ORDENES'!$AD186=TRUE,'ORDENES'!$A186&lt;&gt;""),1,0)</f>
        <v/>
      </c>
      <c r="L190" s="3">
        <f>IF(K190=1,IFERROR(MATCH('ORDENES'!$R186,lista_dias,0),9)*1000000000+IFERROR(MATCH('ORDENES'!$AF186,lista_turnos,0),9)*10000000+IFERROR(MATCH('ORDENES'!$AE186,'TECNICOS'!$B$4:$B$15,0),99)*100000+183,9000000000000+183)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IF('ORDENES'!$T186="preventiva",N190,0)</f>
        <v/>
      </c>
      <c r="P190" s="17">
        <f>IF('ORDENES'!$T186="correctiva",N190,0)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"&amp;IF(INDEX('ORDENES'!$AF$4:$AF$1203,U190)="","(s/t)",INDEX('ORDENES'!$AF$4:$AF$1203,U190))&amp;" · "&amp;IF(INDEX('ORDENES'!$AE$4:$AE$1203,U190)="","(sin técnico)",INDEX('ORDENES'!$AE$4:$AE$1203,U190))&amp;" · "&amp;INDEX('ORDENES'!$AQ$4:$AQ$1203,U190)&amp;"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IF(AND(IF($B$3="(todos)",TRUE,'ORDENES'!$O187=$B$3),IF($D$3="(todos)",TRUE,'ORDENES'!$AF187=$D$3),IF($F$3="(todos)",TRUE,'ORDENES'!$X187=$F$3),IF($H$3="(todos)",TRUE,'ORDENES'!$W187=$H$3),'ORDENES'!$AD187=TRUE,'ORDENES'!$A187&lt;&gt;""),1,0)</f>
        <v/>
      </c>
      <c r="L191" s="3">
        <f>IF(K191=1,IFERROR(MATCH('ORDENES'!$R187,lista_dias,0),9)*1000000000+IFERROR(MATCH('ORDENES'!$AF187,lista_turnos,0),9)*10000000+IFERROR(MATCH('ORDENES'!$AE187,'TECNICOS'!$B$4:$B$15,0),99)*100000+184,9000000000000+184)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IF('ORDENES'!$T187="preventiva",N191,0)</f>
        <v/>
      </c>
      <c r="P191" s="17">
        <f>IF('ORDENES'!$T187="correctiva",N191,0)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"&amp;IF(INDEX('ORDENES'!$AF$4:$AF$1203,U191)="","(s/t)",INDEX('ORDENES'!$AF$4:$AF$1203,U191))&amp;" · "&amp;IF(INDEX('ORDENES'!$AE$4:$AE$1203,U191)="","(sin técnico)",INDEX('ORDENES'!$AE$4:$AE$1203,U191))&amp;" · "&amp;INDEX('ORDENES'!$AQ$4:$AQ$1203,U191)&amp;"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IF(AND(IF($B$3="(todos)",TRUE,'ORDENES'!$O188=$B$3),IF($D$3="(todos)",TRUE,'ORDENES'!$AF188=$D$3),IF($F$3="(todos)",TRUE,'ORDENES'!$X188=$F$3),IF($H$3="(todos)",TRUE,'ORDENES'!$W188=$H$3),'ORDENES'!$AD188=TRUE,'ORDENES'!$A188&lt;&gt;""),1,0)</f>
        <v/>
      </c>
      <c r="L192" s="3">
        <f>IF(K192=1,IFERROR(MATCH('ORDENES'!$R188,lista_dias,0),9)*1000000000+IFERROR(MATCH('ORDENES'!$AF188,lista_turnos,0),9)*10000000+IFERROR(MATCH('ORDENES'!$AE188,'TECNICOS'!$B$4:$B$15,0),99)*100000+185,9000000000000+185)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IF('ORDENES'!$T188="preventiva",N192,0)</f>
        <v/>
      </c>
      <c r="P192" s="17">
        <f>IF('ORDENES'!$T188="correctiva",N192,0)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"&amp;IF(INDEX('ORDENES'!$AF$4:$AF$1203,U192)="","(s/t)",INDEX('ORDENES'!$AF$4:$AF$1203,U192))&amp;" · "&amp;IF(INDEX('ORDENES'!$AE$4:$AE$1203,U192)="","(sin técnico)",INDEX('ORDENES'!$AE$4:$AE$1203,U192))&amp;" · "&amp;INDEX('ORDENES'!$AQ$4:$AQ$1203,U192)&amp;"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IF(AND(IF($B$3="(todos)",TRUE,'ORDENES'!$O189=$B$3),IF($D$3="(todos)",TRUE,'ORDENES'!$AF189=$D$3),IF($F$3="(todos)",TRUE,'ORDENES'!$X189=$F$3),IF($H$3="(todos)",TRUE,'ORDENES'!$W189=$H$3),'ORDENES'!$AD189=TRUE,'ORDENES'!$A189&lt;&gt;""),1,0)</f>
        <v/>
      </c>
      <c r="L193" s="3">
        <f>IF(K193=1,IFERROR(MATCH('ORDENES'!$R189,lista_dias,0),9)*1000000000+IFERROR(MATCH('ORDENES'!$AF189,lista_turnos,0),9)*10000000+IFERROR(MATCH('ORDENES'!$AE189,'TECNICOS'!$B$4:$B$15,0),99)*100000+186,9000000000000+186)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IF('ORDENES'!$T189="preventiva",N193,0)</f>
        <v/>
      </c>
      <c r="P193" s="17">
        <f>IF('ORDENES'!$T189="correctiva",N193,0)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"&amp;IF(INDEX('ORDENES'!$AF$4:$AF$1203,U193)="","(s/t)",INDEX('ORDENES'!$AF$4:$AF$1203,U193))&amp;" · "&amp;IF(INDEX('ORDENES'!$AE$4:$AE$1203,U193)="","(sin técnico)",INDEX('ORDENES'!$AE$4:$AE$1203,U193))&amp;" · "&amp;INDEX('ORDENES'!$AQ$4:$AQ$1203,U193)&amp;"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IF(AND(IF($B$3="(todos)",TRUE,'ORDENES'!$O190=$B$3),IF($D$3="(todos)",TRUE,'ORDENES'!$AF190=$D$3),IF($F$3="(todos)",TRUE,'ORDENES'!$X190=$F$3),IF($H$3="(todos)",TRUE,'ORDENES'!$W190=$H$3),'ORDENES'!$AD190=TRUE,'ORDENES'!$A190&lt;&gt;""),1,0)</f>
        <v/>
      </c>
      <c r="L194" s="3">
        <f>IF(K194=1,IFERROR(MATCH('ORDENES'!$R190,lista_dias,0),9)*1000000000+IFERROR(MATCH('ORDENES'!$AF190,lista_turnos,0),9)*10000000+IFERROR(MATCH('ORDENES'!$AE190,'TECNICOS'!$B$4:$B$15,0),99)*100000+187,9000000000000+187)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IF('ORDENES'!$T190="preventiva",N194,0)</f>
        <v/>
      </c>
      <c r="P194" s="17">
        <f>IF('ORDENES'!$T190="correctiva",N194,0)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"&amp;IF(INDEX('ORDENES'!$AF$4:$AF$1203,U194)="","(s/t)",INDEX('ORDENES'!$AF$4:$AF$1203,U194))&amp;" · "&amp;IF(INDEX('ORDENES'!$AE$4:$AE$1203,U194)="","(sin técnico)",INDEX('ORDENES'!$AE$4:$AE$1203,U194))&amp;" · "&amp;INDEX('ORDENES'!$AQ$4:$AQ$1203,U194)&amp;"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IF(AND(IF($B$3="(todos)",TRUE,'ORDENES'!$O191=$B$3),IF($D$3="(todos)",TRUE,'ORDENES'!$AF191=$D$3),IF($F$3="(todos)",TRUE,'ORDENES'!$X191=$F$3),IF($H$3="(todos)",TRUE,'ORDENES'!$W191=$H$3),'ORDENES'!$AD191=TRUE,'ORDENES'!$A191&lt;&gt;""),1,0)</f>
        <v/>
      </c>
      <c r="L195" s="3">
        <f>IF(K195=1,IFERROR(MATCH('ORDENES'!$R191,lista_dias,0),9)*1000000000+IFERROR(MATCH('ORDENES'!$AF191,lista_turnos,0),9)*10000000+IFERROR(MATCH('ORDENES'!$AE191,'TECNICOS'!$B$4:$B$15,0),99)*100000+188,9000000000000+188)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IF('ORDENES'!$T191="preventiva",N195,0)</f>
        <v/>
      </c>
      <c r="P195" s="17">
        <f>IF('ORDENES'!$T191="correctiva",N195,0)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"&amp;IF(INDEX('ORDENES'!$AF$4:$AF$1203,U195)="","(s/t)",INDEX('ORDENES'!$AF$4:$AF$1203,U195))&amp;" · "&amp;IF(INDEX('ORDENES'!$AE$4:$AE$1203,U195)="","(sin técnico)",INDEX('ORDENES'!$AE$4:$AE$1203,U195))&amp;" · "&amp;INDEX('ORDENES'!$AQ$4:$AQ$1203,U195)&amp;"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IF(AND(IF($B$3="(todos)",TRUE,'ORDENES'!$O192=$B$3),IF($D$3="(todos)",TRUE,'ORDENES'!$AF192=$D$3),IF($F$3="(todos)",TRUE,'ORDENES'!$X192=$F$3),IF($H$3="(todos)",TRUE,'ORDENES'!$W192=$H$3),'ORDENES'!$AD192=TRUE,'ORDENES'!$A192&lt;&gt;""),1,0)</f>
        <v/>
      </c>
      <c r="L196" s="3">
        <f>IF(K196=1,IFERROR(MATCH('ORDENES'!$R192,lista_dias,0),9)*1000000000+IFERROR(MATCH('ORDENES'!$AF192,lista_turnos,0),9)*10000000+IFERROR(MATCH('ORDENES'!$AE192,'TECNICOS'!$B$4:$B$15,0),99)*100000+189,9000000000000+189)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IF('ORDENES'!$T192="preventiva",N196,0)</f>
        <v/>
      </c>
      <c r="P196" s="17">
        <f>IF('ORDENES'!$T192="correctiva",N196,0)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"&amp;IF(INDEX('ORDENES'!$AF$4:$AF$1203,U196)="","(s/t)",INDEX('ORDENES'!$AF$4:$AF$1203,U196))&amp;" · "&amp;IF(INDEX('ORDENES'!$AE$4:$AE$1203,U196)="","(sin técnico)",INDEX('ORDENES'!$AE$4:$AE$1203,U196))&amp;" · "&amp;INDEX('ORDENES'!$AQ$4:$AQ$1203,U196)&amp;"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IF(AND(IF($B$3="(todos)",TRUE,'ORDENES'!$O193=$B$3),IF($D$3="(todos)",TRUE,'ORDENES'!$AF193=$D$3),IF($F$3="(todos)",TRUE,'ORDENES'!$X193=$F$3),IF($H$3="(todos)",TRUE,'ORDENES'!$W193=$H$3),'ORDENES'!$AD193=TRUE,'ORDENES'!$A193&lt;&gt;""),1,0)</f>
        <v/>
      </c>
      <c r="L197" s="3">
        <f>IF(K197=1,IFERROR(MATCH('ORDENES'!$R193,lista_dias,0),9)*1000000000+IFERROR(MATCH('ORDENES'!$AF193,lista_turnos,0),9)*10000000+IFERROR(MATCH('ORDENES'!$AE193,'TECNICOS'!$B$4:$B$15,0),99)*100000+190,9000000000000+190)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IF('ORDENES'!$T193="preventiva",N197,0)</f>
        <v/>
      </c>
      <c r="P197" s="17">
        <f>IF('ORDENES'!$T193="correctiva",N197,0)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"&amp;IF(INDEX('ORDENES'!$AF$4:$AF$1203,U197)="","(s/t)",INDEX('ORDENES'!$AF$4:$AF$1203,U197))&amp;" · "&amp;IF(INDEX('ORDENES'!$AE$4:$AE$1203,U197)="","(sin técnico)",INDEX('ORDENES'!$AE$4:$AE$1203,U197))&amp;" · "&amp;INDEX('ORDENES'!$AQ$4:$AQ$1203,U197)&amp;"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IF(AND(IF($B$3="(todos)",TRUE,'ORDENES'!$O194=$B$3),IF($D$3="(todos)",TRUE,'ORDENES'!$AF194=$D$3),IF($F$3="(todos)",TRUE,'ORDENES'!$X194=$F$3),IF($H$3="(todos)",TRUE,'ORDENES'!$W194=$H$3),'ORDENES'!$AD194=TRUE,'ORDENES'!$A194&lt;&gt;""),1,0)</f>
        <v/>
      </c>
      <c r="L198" s="3">
        <f>IF(K198=1,IFERROR(MATCH('ORDENES'!$R194,lista_dias,0),9)*1000000000+IFERROR(MATCH('ORDENES'!$AF194,lista_turnos,0),9)*10000000+IFERROR(MATCH('ORDENES'!$AE194,'TECNICOS'!$B$4:$B$15,0),99)*100000+191,9000000000000+191)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IF('ORDENES'!$T194="preventiva",N198,0)</f>
        <v/>
      </c>
      <c r="P198" s="17">
        <f>IF('ORDENES'!$T194="correctiva",N198,0)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"&amp;IF(INDEX('ORDENES'!$AF$4:$AF$1203,U198)="","(s/t)",INDEX('ORDENES'!$AF$4:$AF$1203,U198))&amp;" · "&amp;IF(INDEX('ORDENES'!$AE$4:$AE$1203,U198)="","(sin técnico)",INDEX('ORDENES'!$AE$4:$AE$1203,U198))&amp;" · "&amp;INDEX('ORDENES'!$AQ$4:$AQ$1203,U198)&amp;"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IF(AND(IF($B$3="(todos)",TRUE,'ORDENES'!$O195=$B$3),IF($D$3="(todos)",TRUE,'ORDENES'!$AF195=$D$3),IF($F$3="(todos)",TRUE,'ORDENES'!$X195=$F$3),IF($H$3="(todos)",TRUE,'ORDENES'!$W195=$H$3),'ORDENES'!$AD195=TRUE,'ORDENES'!$A195&lt;&gt;""),1,0)</f>
        <v/>
      </c>
      <c r="L199" s="3">
        <f>IF(K199=1,IFERROR(MATCH('ORDENES'!$R195,lista_dias,0),9)*1000000000+IFERROR(MATCH('ORDENES'!$AF195,lista_turnos,0),9)*10000000+IFERROR(MATCH('ORDENES'!$AE195,'TECNICOS'!$B$4:$B$15,0),99)*100000+192,9000000000000+192)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IF('ORDENES'!$T195="preventiva",N199,0)</f>
        <v/>
      </c>
      <c r="P199" s="17">
        <f>IF('ORDENES'!$T195="correctiva",N199,0)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"&amp;IF(INDEX('ORDENES'!$AF$4:$AF$1203,U199)="","(s/t)",INDEX('ORDENES'!$AF$4:$AF$1203,U199))&amp;" · "&amp;IF(INDEX('ORDENES'!$AE$4:$AE$1203,U199)="","(sin técnico)",INDEX('ORDENES'!$AE$4:$AE$1203,U199))&amp;" · "&amp;INDEX('ORDENES'!$AQ$4:$AQ$1203,U199)&amp;"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IF(AND(IF($B$3="(todos)",TRUE,'ORDENES'!$O196=$B$3),IF($D$3="(todos)",TRUE,'ORDENES'!$AF196=$D$3),IF($F$3="(todos)",TRUE,'ORDENES'!$X196=$F$3),IF($H$3="(todos)",TRUE,'ORDENES'!$W196=$H$3),'ORDENES'!$AD196=TRUE,'ORDENES'!$A196&lt;&gt;""),1,0)</f>
        <v/>
      </c>
      <c r="L200" s="3">
        <f>IF(K200=1,IFERROR(MATCH('ORDENES'!$R196,lista_dias,0),9)*1000000000+IFERROR(MATCH('ORDENES'!$AF196,lista_turnos,0),9)*10000000+IFERROR(MATCH('ORDENES'!$AE196,'TECNICOS'!$B$4:$B$15,0),99)*100000+193,9000000000000+193)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IF('ORDENES'!$T196="preventiva",N200,0)</f>
        <v/>
      </c>
      <c r="P200" s="17">
        <f>IF('ORDENES'!$T196="correctiva",N200,0)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"&amp;IF(INDEX('ORDENES'!$AF$4:$AF$1203,U200)="","(s/t)",INDEX('ORDENES'!$AF$4:$AF$1203,U200))&amp;" · "&amp;IF(INDEX('ORDENES'!$AE$4:$AE$1203,U200)="","(sin técnico)",INDEX('ORDENES'!$AE$4:$AE$1203,U200))&amp;" · "&amp;INDEX('ORDENES'!$AQ$4:$AQ$1203,U200)&amp;"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IF(AND(IF($B$3="(todos)",TRUE,'ORDENES'!$O197=$B$3),IF($D$3="(todos)",TRUE,'ORDENES'!$AF197=$D$3),IF($F$3="(todos)",TRUE,'ORDENES'!$X197=$F$3),IF($H$3="(todos)",TRUE,'ORDENES'!$W197=$H$3),'ORDENES'!$AD197=TRUE,'ORDENES'!$A197&lt;&gt;""),1,0)</f>
        <v/>
      </c>
      <c r="L201" s="3">
        <f>IF(K201=1,IFERROR(MATCH('ORDENES'!$R197,lista_dias,0),9)*1000000000+IFERROR(MATCH('ORDENES'!$AF197,lista_turnos,0),9)*10000000+IFERROR(MATCH('ORDENES'!$AE197,'TECNICOS'!$B$4:$B$15,0),99)*100000+194,9000000000000+194)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IF('ORDENES'!$T197="preventiva",N201,0)</f>
        <v/>
      </c>
      <c r="P201" s="17">
        <f>IF('ORDENES'!$T197="correctiva",N201,0)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"&amp;IF(INDEX('ORDENES'!$AF$4:$AF$1203,U201)="","(s/t)",INDEX('ORDENES'!$AF$4:$AF$1203,U201))&amp;" · "&amp;IF(INDEX('ORDENES'!$AE$4:$AE$1203,U201)="","(sin técnico)",INDEX('ORDENES'!$AE$4:$AE$1203,U201))&amp;" · "&amp;INDEX('ORDENES'!$AQ$4:$AQ$1203,U201)&amp;"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IF(AND(IF($B$3="(todos)",TRUE,'ORDENES'!$O198=$B$3),IF($D$3="(todos)",TRUE,'ORDENES'!$AF198=$D$3),IF($F$3="(todos)",TRUE,'ORDENES'!$X198=$F$3),IF($H$3="(todos)",TRUE,'ORDENES'!$W198=$H$3),'ORDENES'!$AD198=TRUE,'ORDENES'!$A198&lt;&gt;""),1,0)</f>
        <v/>
      </c>
      <c r="L202" s="3">
        <f>IF(K202=1,IFERROR(MATCH('ORDENES'!$R198,lista_dias,0),9)*1000000000+IFERROR(MATCH('ORDENES'!$AF198,lista_turnos,0),9)*10000000+IFERROR(MATCH('ORDENES'!$AE198,'TECNICOS'!$B$4:$B$15,0),99)*100000+195,9000000000000+195)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IF('ORDENES'!$T198="preventiva",N202,0)</f>
        <v/>
      </c>
      <c r="P202" s="17">
        <f>IF('ORDENES'!$T198="correctiva",N202,0)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"&amp;IF(INDEX('ORDENES'!$AF$4:$AF$1203,U202)="","(s/t)",INDEX('ORDENES'!$AF$4:$AF$1203,U202))&amp;" · "&amp;IF(INDEX('ORDENES'!$AE$4:$AE$1203,U202)="","(sin técnico)",INDEX('ORDENES'!$AE$4:$AE$1203,U202))&amp;" · "&amp;INDEX('ORDENES'!$AQ$4:$AQ$1203,U202)&amp;"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IF(AND(IF($B$3="(todos)",TRUE,'ORDENES'!$O199=$B$3),IF($D$3="(todos)",TRUE,'ORDENES'!$AF199=$D$3),IF($F$3="(todos)",TRUE,'ORDENES'!$X199=$F$3),IF($H$3="(todos)",TRUE,'ORDENES'!$W199=$H$3),'ORDENES'!$AD199=TRUE,'ORDENES'!$A199&lt;&gt;""),1,0)</f>
        <v/>
      </c>
      <c r="L203" s="3">
        <f>IF(K203=1,IFERROR(MATCH('ORDENES'!$R199,lista_dias,0),9)*1000000000+IFERROR(MATCH('ORDENES'!$AF199,lista_turnos,0),9)*10000000+IFERROR(MATCH('ORDENES'!$AE199,'TECNICOS'!$B$4:$B$15,0),99)*100000+196,9000000000000+196)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IF('ORDENES'!$T199="preventiva",N203,0)</f>
        <v/>
      </c>
      <c r="P203" s="17">
        <f>IF('ORDENES'!$T199="correctiva",N203,0)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"&amp;IF(INDEX('ORDENES'!$AF$4:$AF$1203,U203)="","(s/t)",INDEX('ORDENES'!$AF$4:$AF$1203,U203))&amp;" · "&amp;IF(INDEX('ORDENES'!$AE$4:$AE$1203,U203)="","(sin técnico)",INDEX('ORDENES'!$AE$4:$AE$1203,U203))&amp;" · "&amp;INDEX('ORDENES'!$AQ$4:$AQ$1203,U203)&amp;"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IF(AND(IF($B$3="(todos)",TRUE,'ORDENES'!$O200=$B$3),IF($D$3="(todos)",TRUE,'ORDENES'!$AF200=$D$3),IF($F$3="(todos)",TRUE,'ORDENES'!$X200=$F$3),IF($H$3="(todos)",TRUE,'ORDENES'!$W200=$H$3),'ORDENES'!$AD200=TRUE,'ORDENES'!$A200&lt;&gt;""),1,0)</f>
        <v/>
      </c>
      <c r="L204" s="3">
        <f>IF(K204=1,IFERROR(MATCH('ORDENES'!$R200,lista_dias,0),9)*1000000000+IFERROR(MATCH('ORDENES'!$AF200,lista_turnos,0),9)*10000000+IFERROR(MATCH('ORDENES'!$AE200,'TECNICOS'!$B$4:$B$15,0),99)*100000+197,9000000000000+197)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IF('ORDENES'!$T200="preventiva",N204,0)</f>
        <v/>
      </c>
      <c r="P204" s="17">
        <f>IF('ORDENES'!$T200="correctiva",N204,0)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"&amp;IF(INDEX('ORDENES'!$AF$4:$AF$1203,U204)="","(s/t)",INDEX('ORDENES'!$AF$4:$AF$1203,U204))&amp;" · "&amp;IF(INDEX('ORDENES'!$AE$4:$AE$1203,U204)="","(sin técnico)",INDEX('ORDENES'!$AE$4:$AE$1203,U204))&amp;" · "&amp;INDEX('ORDENES'!$AQ$4:$AQ$1203,U204)&amp;"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IF(AND(IF($B$3="(todos)",TRUE,'ORDENES'!$O201=$B$3),IF($D$3="(todos)",TRUE,'ORDENES'!$AF201=$D$3),IF($F$3="(todos)",TRUE,'ORDENES'!$X201=$F$3),IF($H$3="(todos)",TRUE,'ORDENES'!$W201=$H$3),'ORDENES'!$AD201=TRUE,'ORDENES'!$A201&lt;&gt;""),1,0)</f>
        <v/>
      </c>
      <c r="L205" s="3">
        <f>IF(K205=1,IFERROR(MATCH('ORDENES'!$R201,lista_dias,0),9)*1000000000+IFERROR(MATCH('ORDENES'!$AF201,lista_turnos,0),9)*10000000+IFERROR(MATCH('ORDENES'!$AE201,'TECNICOS'!$B$4:$B$15,0),99)*100000+198,9000000000000+198)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IF('ORDENES'!$T201="preventiva",N205,0)</f>
        <v/>
      </c>
      <c r="P205" s="17">
        <f>IF('ORDENES'!$T201="correctiva",N205,0)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"&amp;IF(INDEX('ORDENES'!$AF$4:$AF$1203,U205)="","(s/t)",INDEX('ORDENES'!$AF$4:$AF$1203,U205))&amp;" · "&amp;IF(INDEX('ORDENES'!$AE$4:$AE$1203,U205)="","(sin técnico)",INDEX('ORDENES'!$AE$4:$AE$1203,U205))&amp;" · "&amp;INDEX('ORDENES'!$AQ$4:$AQ$1203,U205)&amp;"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IF(AND(IF($B$3="(todos)",TRUE,'ORDENES'!$O202=$B$3),IF($D$3="(todos)",TRUE,'ORDENES'!$AF202=$D$3),IF($F$3="(todos)",TRUE,'ORDENES'!$X202=$F$3),IF($H$3="(todos)",TRUE,'ORDENES'!$W202=$H$3),'ORDENES'!$AD202=TRUE,'ORDENES'!$A202&lt;&gt;""),1,0)</f>
        <v/>
      </c>
      <c r="L206" s="3">
        <f>IF(K206=1,IFERROR(MATCH('ORDENES'!$R202,lista_dias,0),9)*1000000000+IFERROR(MATCH('ORDENES'!$AF202,lista_turnos,0),9)*10000000+IFERROR(MATCH('ORDENES'!$AE202,'TECNICOS'!$B$4:$B$15,0),99)*100000+199,9000000000000+199)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IF('ORDENES'!$T202="preventiva",N206,0)</f>
        <v/>
      </c>
      <c r="P206" s="17">
        <f>IF('ORDENES'!$T202="correctiva",N206,0)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"&amp;IF(INDEX('ORDENES'!$AF$4:$AF$1203,U206)="","(s/t)",INDEX('ORDENES'!$AF$4:$AF$1203,U206))&amp;" · "&amp;IF(INDEX('ORDENES'!$AE$4:$AE$1203,U206)="","(sin técnico)",INDEX('ORDENES'!$AE$4:$AE$1203,U206))&amp;" · "&amp;INDEX('ORDENES'!$AQ$4:$AQ$1203,U206)&amp;"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IF(AND(IF($B$3="(todos)",TRUE,'ORDENES'!$O203=$B$3),IF($D$3="(todos)",TRUE,'ORDENES'!$AF203=$D$3),IF($F$3="(todos)",TRUE,'ORDENES'!$X203=$F$3),IF($H$3="(todos)",TRUE,'ORDENES'!$W203=$H$3),'ORDENES'!$AD203=TRUE,'ORDENES'!$A203&lt;&gt;""),1,0)</f>
        <v/>
      </c>
      <c r="L207" s="3">
        <f>IF(K207=1,IFERROR(MATCH('ORDENES'!$R203,lista_dias,0),9)*1000000000+IFERROR(MATCH('ORDENES'!$AF203,lista_turnos,0),9)*10000000+IFERROR(MATCH('ORDENES'!$AE203,'TECNICOS'!$B$4:$B$15,0),99)*100000+200,9000000000000+200)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IF('ORDENES'!$T203="preventiva",N207,0)</f>
        <v/>
      </c>
      <c r="P207" s="17">
        <f>IF('ORDENES'!$T203="correctiva",N207,0)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"&amp;IF(INDEX('ORDENES'!$AF$4:$AF$1203,U207)="","(s/t)",INDEX('ORDENES'!$AF$4:$AF$1203,U207))&amp;" · "&amp;IF(INDEX('ORDENES'!$AE$4:$AE$1203,U207)="","(sin técnico)",INDEX('ORDENES'!$AE$4:$AE$1203,U207))&amp;" · "&amp;INDEX('ORDENES'!$AQ$4:$AQ$1203,U207)&amp;"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IF(AND(IF($B$3="(todos)",TRUE,'ORDENES'!$O204=$B$3),IF($D$3="(todos)",TRUE,'ORDENES'!$AF204=$D$3),IF($F$3="(todos)",TRUE,'ORDENES'!$X204=$F$3),IF($H$3="(todos)",TRUE,'ORDENES'!$W204=$H$3),'ORDENES'!$AD204=TRUE,'ORDENES'!$A204&lt;&gt;""),1,0)</f>
        <v/>
      </c>
      <c r="L208" s="3">
        <f>IF(K208=1,IFERROR(MATCH('ORDENES'!$R204,lista_dias,0),9)*1000000000+IFERROR(MATCH('ORDENES'!$AF204,lista_turnos,0),9)*10000000+IFERROR(MATCH('ORDENES'!$AE204,'TECNICOS'!$B$4:$B$15,0),99)*100000+201,9000000000000+201)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IF('ORDENES'!$T204="preventiva",N208,0)</f>
        <v/>
      </c>
      <c r="P208" s="17">
        <f>IF('ORDENES'!$T204="correctiva",N208,0)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IF(AND(IF($B$3="(todos)",TRUE,'ORDENES'!$O205=$B$3),IF($D$3="(todos)",TRUE,'ORDENES'!$AF205=$D$3),IF($F$3="(todos)",TRUE,'ORDENES'!$X205=$F$3),IF($H$3="(todos)",TRUE,'ORDENES'!$W205=$H$3),'ORDENES'!$AD205=TRUE,'ORDENES'!$A205&lt;&gt;""),1,0)</f>
        <v/>
      </c>
      <c r="L209" s="3">
        <f>IF(K209=1,IFERROR(MATCH('ORDENES'!$R205,lista_dias,0),9)*1000000000+IFERROR(MATCH('ORDENES'!$AF205,lista_turnos,0),9)*10000000+IFERROR(MATCH('ORDENES'!$AE205,'TECNICOS'!$B$4:$B$15,0),99)*100000+202,9000000000000+202)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IF('ORDENES'!$T205="preventiva",N209,0)</f>
        <v/>
      </c>
      <c r="P209" s="17">
        <f>IF('ORDENES'!$T205="correctiva",N209,0)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IF(AND(IF($B$3="(todos)",TRUE,'ORDENES'!$O206=$B$3),IF($D$3="(todos)",TRUE,'ORDENES'!$AF206=$D$3),IF($F$3="(todos)",TRUE,'ORDENES'!$X206=$F$3),IF($H$3="(todos)",TRUE,'ORDENES'!$W206=$H$3),'ORDENES'!$AD206=TRUE,'ORDENES'!$A206&lt;&gt;""),1,0)</f>
        <v/>
      </c>
      <c r="L210" s="3">
        <f>IF(K210=1,IFERROR(MATCH('ORDENES'!$R206,lista_dias,0),9)*1000000000+IFERROR(MATCH('ORDENES'!$AF206,lista_turnos,0),9)*10000000+IFERROR(MATCH('ORDENES'!$AE206,'TECNICOS'!$B$4:$B$15,0),99)*100000+203,9000000000000+203)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IF('ORDENES'!$T206="preventiva",N210,0)</f>
        <v/>
      </c>
      <c r="P210" s="17">
        <f>IF('ORDENES'!$T206="correctiva",N210,0)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IF(AND(IF($B$3="(todos)",TRUE,'ORDENES'!$O207=$B$3),IF($D$3="(todos)",TRUE,'ORDENES'!$AF207=$D$3),IF($F$3="(todos)",TRUE,'ORDENES'!$X207=$F$3),IF($H$3="(todos)",TRUE,'ORDENES'!$W207=$H$3),'ORDENES'!$AD207=TRUE,'ORDENES'!$A207&lt;&gt;""),1,0)</f>
        <v/>
      </c>
      <c r="L211" s="3">
        <f>IF(K211=1,IFERROR(MATCH('ORDENES'!$R207,lista_dias,0),9)*1000000000+IFERROR(MATCH('ORDENES'!$AF207,lista_turnos,0),9)*10000000+IFERROR(MATCH('ORDENES'!$AE207,'TECNICOS'!$B$4:$B$15,0),99)*100000+204,9000000000000+204)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IF('ORDENES'!$T207="preventiva",N211,0)</f>
        <v/>
      </c>
      <c r="P211" s="17">
        <f>IF('ORDENES'!$T207="correctiva",N211,0)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IF(AND(IF($B$3="(todos)",TRUE,'ORDENES'!$O208=$B$3),IF($D$3="(todos)",TRUE,'ORDENES'!$AF208=$D$3),IF($F$3="(todos)",TRUE,'ORDENES'!$X208=$F$3),IF($H$3="(todos)",TRUE,'ORDENES'!$W208=$H$3),'ORDENES'!$AD208=TRUE,'ORDENES'!$A208&lt;&gt;""),1,0)</f>
        <v/>
      </c>
      <c r="L212" s="3">
        <f>IF(K212=1,IFERROR(MATCH('ORDENES'!$R208,lista_dias,0),9)*1000000000+IFERROR(MATCH('ORDENES'!$AF208,lista_turnos,0),9)*10000000+IFERROR(MATCH('ORDENES'!$AE208,'TECNICOS'!$B$4:$B$15,0),99)*100000+205,9000000000000+205)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IF('ORDENES'!$T208="preventiva",N212,0)</f>
        <v/>
      </c>
      <c r="P212" s="17">
        <f>IF('ORDENES'!$T208="correctiva",N212,0)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IF(AND(IF($B$3="(todos)",TRUE,'ORDENES'!$O209=$B$3),IF($D$3="(todos)",TRUE,'ORDENES'!$AF209=$D$3),IF($F$3="(todos)",TRUE,'ORDENES'!$X209=$F$3),IF($H$3="(todos)",TRUE,'ORDENES'!$W209=$H$3),'ORDENES'!$AD209=TRUE,'ORDENES'!$A209&lt;&gt;""),1,0)</f>
        <v/>
      </c>
      <c r="L213" s="3">
        <f>IF(K213=1,IFERROR(MATCH('ORDENES'!$R209,lista_dias,0),9)*1000000000+IFERROR(MATCH('ORDENES'!$AF209,lista_turnos,0),9)*10000000+IFERROR(MATCH('ORDENES'!$AE209,'TECNICOS'!$B$4:$B$15,0),99)*100000+206,9000000000000+206)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IF('ORDENES'!$T209="preventiva",N213,0)</f>
        <v/>
      </c>
      <c r="P213" s="17">
        <f>IF('ORDENES'!$T209="correctiva",N213,0)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IF(AND(IF($B$3="(todos)",TRUE,'ORDENES'!$O210=$B$3),IF($D$3="(todos)",TRUE,'ORDENES'!$AF210=$D$3),IF($F$3="(todos)",TRUE,'ORDENES'!$X210=$F$3),IF($H$3="(todos)",TRUE,'ORDENES'!$W210=$H$3),'ORDENES'!$AD210=TRUE,'ORDENES'!$A210&lt;&gt;""),1,0)</f>
        <v/>
      </c>
      <c r="L214" s="3">
        <f>IF(K214=1,IFERROR(MATCH('ORDENES'!$R210,lista_dias,0),9)*1000000000+IFERROR(MATCH('ORDENES'!$AF210,lista_turnos,0),9)*10000000+IFERROR(MATCH('ORDENES'!$AE210,'TECNICOS'!$B$4:$B$15,0),99)*100000+207,9000000000000+207)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IF('ORDENES'!$T210="preventiva",N214,0)</f>
        <v/>
      </c>
      <c r="P214" s="17">
        <f>IF('ORDENES'!$T210="correctiva",N214,0)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IF(AND(IF($B$3="(todos)",TRUE,'ORDENES'!$O211=$B$3),IF($D$3="(todos)",TRUE,'ORDENES'!$AF211=$D$3),IF($F$3="(todos)",TRUE,'ORDENES'!$X211=$F$3),IF($H$3="(todos)",TRUE,'ORDENES'!$W211=$H$3),'ORDENES'!$AD211=TRUE,'ORDENES'!$A211&lt;&gt;""),1,0)</f>
        <v/>
      </c>
      <c r="L215" s="3">
        <f>IF(K215=1,IFERROR(MATCH('ORDENES'!$R211,lista_dias,0),9)*1000000000+IFERROR(MATCH('ORDENES'!$AF211,lista_turnos,0),9)*10000000+IFERROR(MATCH('ORDENES'!$AE211,'TECNICOS'!$B$4:$B$15,0),99)*100000+208,9000000000000+208)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IF('ORDENES'!$T211="preventiva",N215,0)</f>
        <v/>
      </c>
      <c r="P215" s="17">
        <f>IF('ORDENES'!$T211="correctiva",N215,0)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IF(AND(IF($B$3="(todos)",TRUE,'ORDENES'!$O212=$B$3),IF($D$3="(todos)",TRUE,'ORDENES'!$AF212=$D$3),IF($F$3="(todos)",TRUE,'ORDENES'!$X212=$F$3),IF($H$3="(todos)",TRUE,'ORDENES'!$W212=$H$3),'ORDENES'!$AD212=TRUE,'ORDENES'!$A212&lt;&gt;""),1,0)</f>
        <v/>
      </c>
      <c r="L216" s="3">
        <f>IF(K216=1,IFERROR(MATCH('ORDENES'!$R212,lista_dias,0),9)*1000000000+IFERROR(MATCH('ORDENES'!$AF212,lista_turnos,0),9)*10000000+IFERROR(MATCH('ORDENES'!$AE212,'TECNICOS'!$B$4:$B$15,0),99)*100000+209,9000000000000+209)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IF('ORDENES'!$T212="preventiva",N216,0)</f>
        <v/>
      </c>
      <c r="P216" s="17">
        <f>IF('ORDENES'!$T212="correctiva",N216,0)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IF(AND(IF($B$3="(todos)",TRUE,'ORDENES'!$O213=$B$3),IF($D$3="(todos)",TRUE,'ORDENES'!$AF213=$D$3),IF($F$3="(todos)",TRUE,'ORDENES'!$X213=$F$3),IF($H$3="(todos)",TRUE,'ORDENES'!$W213=$H$3),'ORDENES'!$AD213=TRUE,'ORDENES'!$A213&lt;&gt;""),1,0)</f>
        <v/>
      </c>
      <c r="L217" s="3">
        <f>IF(K217=1,IFERROR(MATCH('ORDENES'!$R213,lista_dias,0),9)*1000000000+IFERROR(MATCH('ORDENES'!$AF213,lista_turnos,0),9)*10000000+IFERROR(MATCH('ORDENES'!$AE213,'TECNICOS'!$B$4:$B$15,0),99)*100000+210,9000000000000+210)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IF('ORDENES'!$T213="preventiva",N217,0)</f>
        <v/>
      </c>
      <c r="P217" s="17">
        <f>IF('ORDENES'!$T213="correctiva",N217,0)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IF(AND(IF($B$3="(todos)",TRUE,'ORDENES'!$O214=$B$3),IF($D$3="(todos)",TRUE,'ORDENES'!$AF214=$D$3),IF($F$3="(todos)",TRUE,'ORDENES'!$X214=$F$3),IF($H$3="(todos)",TRUE,'ORDENES'!$W214=$H$3),'ORDENES'!$AD214=TRUE,'ORDENES'!$A214&lt;&gt;""),1,0)</f>
        <v/>
      </c>
      <c r="L218" s="3">
        <f>IF(K218=1,IFERROR(MATCH('ORDENES'!$R214,lista_dias,0),9)*1000000000+IFERROR(MATCH('ORDENES'!$AF214,lista_turnos,0),9)*10000000+IFERROR(MATCH('ORDENES'!$AE214,'TECNICOS'!$B$4:$B$15,0),99)*100000+211,9000000000000+211)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IF('ORDENES'!$T214="preventiva",N218,0)</f>
        <v/>
      </c>
      <c r="P218" s="17">
        <f>IF('ORDENES'!$T214="correctiva",N218,0)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IF(AND(IF($B$3="(todos)",TRUE,'ORDENES'!$O215=$B$3),IF($D$3="(todos)",TRUE,'ORDENES'!$AF215=$D$3),IF($F$3="(todos)",TRUE,'ORDENES'!$X215=$F$3),IF($H$3="(todos)",TRUE,'ORDENES'!$W215=$H$3),'ORDENES'!$AD215=TRUE,'ORDENES'!$A215&lt;&gt;""),1,0)</f>
        <v/>
      </c>
      <c r="L219" s="3">
        <f>IF(K219=1,IFERROR(MATCH('ORDENES'!$R215,lista_dias,0),9)*1000000000+IFERROR(MATCH('ORDENES'!$AF215,lista_turnos,0),9)*10000000+IFERROR(MATCH('ORDENES'!$AE215,'TECNICOS'!$B$4:$B$15,0),99)*100000+212,9000000000000+212)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IF('ORDENES'!$T215="preventiva",N219,0)</f>
        <v/>
      </c>
      <c r="P219" s="17">
        <f>IF('ORDENES'!$T215="correctiva",N219,0)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IF(AND(IF($B$3="(todos)",TRUE,'ORDENES'!$O216=$B$3),IF($D$3="(todos)",TRUE,'ORDENES'!$AF216=$D$3),IF($F$3="(todos)",TRUE,'ORDENES'!$X216=$F$3),IF($H$3="(todos)",TRUE,'ORDENES'!$W216=$H$3),'ORDENES'!$AD216=TRUE,'ORDENES'!$A216&lt;&gt;""),1,0)</f>
        <v/>
      </c>
      <c r="L220" s="3">
        <f>IF(K220=1,IFERROR(MATCH('ORDENES'!$R216,lista_dias,0),9)*1000000000+IFERROR(MATCH('ORDENES'!$AF216,lista_turnos,0),9)*10000000+IFERROR(MATCH('ORDENES'!$AE216,'TECNICOS'!$B$4:$B$15,0),99)*100000+213,9000000000000+213)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IF('ORDENES'!$T216="preventiva",N220,0)</f>
        <v/>
      </c>
      <c r="P220" s="17">
        <f>IF('ORDENES'!$T216="correctiva",N220,0)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IF(AND(IF($B$3="(todos)",TRUE,'ORDENES'!$O217=$B$3),IF($D$3="(todos)",TRUE,'ORDENES'!$AF217=$D$3),IF($F$3="(todos)",TRUE,'ORDENES'!$X217=$F$3),IF($H$3="(todos)",TRUE,'ORDENES'!$W217=$H$3),'ORDENES'!$AD217=TRUE,'ORDENES'!$A217&lt;&gt;""),1,0)</f>
        <v/>
      </c>
      <c r="L221" s="3">
        <f>IF(K221=1,IFERROR(MATCH('ORDENES'!$R217,lista_dias,0),9)*1000000000+IFERROR(MATCH('ORDENES'!$AF217,lista_turnos,0),9)*10000000+IFERROR(MATCH('ORDENES'!$AE217,'TECNICOS'!$B$4:$B$15,0),99)*100000+214,9000000000000+214)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IF('ORDENES'!$T217="preventiva",N221,0)</f>
        <v/>
      </c>
      <c r="P221" s="17">
        <f>IF('ORDENES'!$T217="correctiva",N221,0)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IF(AND(IF($B$3="(todos)",TRUE,'ORDENES'!$O218=$B$3),IF($D$3="(todos)",TRUE,'ORDENES'!$AF218=$D$3),IF($F$3="(todos)",TRUE,'ORDENES'!$X218=$F$3),IF($H$3="(todos)",TRUE,'ORDENES'!$W218=$H$3),'ORDENES'!$AD218=TRUE,'ORDENES'!$A218&lt;&gt;""),1,0)</f>
        <v/>
      </c>
      <c r="L222" s="3">
        <f>IF(K222=1,IFERROR(MATCH('ORDENES'!$R218,lista_dias,0),9)*1000000000+IFERROR(MATCH('ORDENES'!$AF218,lista_turnos,0),9)*10000000+IFERROR(MATCH('ORDENES'!$AE218,'TECNICOS'!$B$4:$B$15,0),99)*100000+215,9000000000000+215)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IF('ORDENES'!$T218="preventiva",N222,0)</f>
        <v/>
      </c>
      <c r="P222" s="17">
        <f>IF('ORDENES'!$T218="correctiva",N222,0)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IF(AND(IF($B$3="(todos)",TRUE,'ORDENES'!$O219=$B$3),IF($D$3="(todos)",TRUE,'ORDENES'!$AF219=$D$3),IF($F$3="(todos)",TRUE,'ORDENES'!$X219=$F$3),IF($H$3="(todos)",TRUE,'ORDENES'!$W219=$H$3),'ORDENES'!$AD219=TRUE,'ORDENES'!$A219&lt;&gt;""),1,0)</f>
        <v/>
      </c>
      <c r="L223" s="3">
        <f>IF(K223=1,IFERROR(MATCH('ORDENES'!$R219,lista_dias,0),9)*1000000000+IFERROR(MATCH('ORDENES'!$AF219,lista_turnos,0),9)*10000000+IFERROR(MATCH('ORDENES'!$AE219,'TECNICOS'!$B$4:$B$15,0),99)*100000+216,9000000000000+216)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IF('ORDENES'!$T219="preventiva",N223,0)</f>
        <v/>
      </c>
      <c r="P223" s="17">
        <f>IF('ORDENES'!$T219="correctiva",N223,0)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IF(AND(IF($B$3="(todos)",TRUE,'ORDENES'!$O220=$B$3),IF($D$3="(todos)",TRUE,'ORDENES'!$AF220=$D$3),IF($F$3="(todos)",TRUE,'ORDENES'!$X220=$F$3),IF($H$3="(todos)",TRUE,'ORDENES'!$W220=$H$3),'ORDENES'!$AD220=TRUE,'ORDENES'!$A220&lt;&gt;""),1,0)</f>
        <v/>
      </c>
      <c r="L224" s="3">
        <f>IF(K224=1,IFERROR(MATCH('ORDENES'!$R220,lista_dias,0),9)*1000000000+IFERROR(MATCH('ORDENES'!$AF220,lista_turnos,0),9)*10000000+IFERROR(MATCH('ORDENES'!$AE220,'TECNICOS'!$B$4:$B$15,0),99)*100000+217,9000000000000+217)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IF('ORDENES'!$T220="preventiva",N224,0)</f>
        <v/>
      </c>
      <c r="P224" s="17">
        <f>IF('ORDENES'!$T220="correctiva",N224,0)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IF(AND(IF($B$3="(todos)",TRUE,'ORDENES'!$O221=$B$3),IF($D$3="(todos)",TRUE,'ORDENES'!$AF221=$D$3),IF($F$3="(todos)",TRUE,'ORDENES'!$X221=$F$3),IF($H$3="(todos)",TRUE,'ORDENES'!$W221=$H$3),'ORDENES'!$AD221=TRUE,'ORDENES'!$A221&lt;&gt;""),1,0)</f>
        <v/>
      </c>
      <c r="L225" s="3">
        <f>IF(K225=1,IFERROR(MATCH('ORDENES'!$R221,lista_dias,0),9)*1000000000+IFERROR(MATCH('ORDENES'!$AF221,lista_turnos,0),9)*10000000+IFERROR(MATCH('ORDENES'!$AE221,'TECNICOS'!$B$4:$B$15,0),99)*100000+218,9000000000000+218)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IF('ORDENES'!$T221="preventiva",N225,0)</f>
        <v/>
      </c>
      <c r="P225" s="17">
        <f>IF('ORDENES'!$T221="correctiva",N225,0)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IF(AND(IF($B$3="(todos)",TRUE,'ORDENES'!$O222=$B$3),IF($D$3="(todos)",TRUE,'ORDENES'!$AF222=$D$3),IF($F$3="(todos)",TRUE,'ORDENES'!$X222=$F$3),IF($H$3="(todos)",TRUE,'ORDENES'!$W222=$H$3),'ORDENES'!$AD222=TRUE,'ORDENES'!$A222&lt;&gt;""),1,0)</f>
        <v/>
      </c>
      <c r="L226" s="3">
        <f>IF(K226=1,IFERROR(MATCH('ORDENES'!$R222,lista_dias,0),9)*1000000000+IFERROR(MATCH('ORDENES'!$AF222,lista_turnos,0),9)*10000000+IFERROR(MATCH('ORDENES'!$AE222,'TECNICOS'!$B$4:$B$15,0),99)*100000+219,9000000000000+219)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IF('ORDENES'!$T222="preventiva",N226,0)</f>
        <v/>
      </c>
      <c r="P226" s="17">
        <f>IF('ORDENES'!$T222="correctiva",N226,0)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IF(AND(IF($B$3="(todos)",TRUE,'ORDENES'!$O223=$B$3),IF($D$3="(todos)",TRUE,'ORDENES'!$AF223=$D$3),IF($F$3="(todos)",TRUE,'ORDENES'!$X223=$F$3),IF($H$3="(todos)",TRUE,'ORDENES'!$W223=$H$3),'ORDENES'!$AD223=TRUE,'ORDENES'!$A223&lt;&gt;""),1,0)</f>
        <v/>
      </c>
      <c r="L227" s="3">
        <f>IF(K227=1,IFERROR(MATCH('ORDENES'!$R223,lista_dias,0),9)*1000000000+IFERROR(MATCH('ORDENES'!$AF223,lista_turnos,0),9)*10000000+IFERROR(MATCH('ORDENES'!$AE223,'TECNICOS'!$B$4:$B$15,0),99)*100000+220,9000000000000+220)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IF('ORDENES'!$T223="preventiva",N227,0)</f>
        <v/>
      </c>
      <c r="P227" s="17">
        <f>IF('ORDENES'!$T223="correctiva",N227,0)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IF(AND(IF($B$3="(todos)",TRUE,'ORDENES'!$O224=$B$3),IF($D$3="(todos)",TRUE,'ORDENES'!$AF224=$D$3),IF($F$3="(todos)",TRUE,'ORDENES'!$X224=$F$3),IF($H$3="(todos)",TRUE,'ORDENES'!$W224=$H$3),'ORDENES'!$AD224=TRUE,'ORDENES'!$A224&lt;&gt;""),1,0)</f>
        <v/>
      </c>
      <c r="L228" s="3">
        <f>IF(K228=1,IFERROR(MATCH('ORDENES'!$R224,lista_dias,0),9)*1000000000+IFERROR(MATCH('ORDENES'!$AF224,lista_turnos,0),9)*10000000+IFERROR(MATCH('ORDENES'!$AE224,'TECNICOS'!$B$4:$B$15,0),99)*100000+221,9000000000000+221)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IF('ORDENES'!$T224="preventiva",N228,0)</f>
        <v/>
      </c>
      <c r="P228" s="17">
        <f>IF('ORDENES'!$T224="correctiva",N228,0)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IF(AND(IF($B$3="(todos)",TRUE,'ORDENES'!$O225=$B$3),IF($D$3="(todos)",TRUE,'ORDENES'!$AF225=$D$3),IF($F$3="(todos)",TRUE,'ORDENES'!$X225=$F$3),IF($H$3="(todos)",TRUE,'ORDENES'!$W225=$H$3),'ORDENES'!$AD225=TRUE,'ORDENES'!$A225&lt;&gt;""),1,0)</f>
        <v/>
      </c>
      <c r="L229" s="3">
        <f>IF(K229=1,IFERROR(MATCH('ORDENES'!$R225,lista_dias,0),9)*1000000000+IFERROR(MATCH('ORDENES'!$AF225,lista_turnos,0),9)*10000000+IFERROR(MATCH('ORDENES'!$AE225,'TECNICOS'!$B$4:$B$15,0),99)*100000+222,9000000000000+222)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IF('ORDENES'!$T225="preventiva",N229,0)</f>
        <v/>
      </c>
      <c r="P229" s="17">
        <f>IF('ORDENES'!$T225="correctiva",N229,0)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IF(AND(IF($B$3="(todos)",TRUE,'ORDENES'!$O226=$B$3),IF($D$3="(todos)",TRUE,'ORDENES'!$AF226=$D$3),IF($F$3="(todos)",TRUE,'ORDENES'!$X226=$F$3),IF($H$3="(todos)",TRUE,'ORDENES'!$W226=$H$3),'ORDENES'!$AD226=TRUE,'ORDENES'!$A226&lt;&gt;""),1,0)</f>
        <v/>
      </c>
      <c r="L230" s="3">
        <f>IF(K230=1,IFERROR(MATCH('ORDENES'!$R226,lista_dias,0),9)*1000000000+IFERROR(MATCH('ORDENES'!$AF226,lista_turnos,0),9)*10000000+IFERROR(MATCH('ORDENES'!$AE226,'TECNICOS'!$B$4:$B$15,0),99)*100000+223,9000000000000+223)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IF('ORDENES'!$T226="preventiva",N230,0)</f>
        <v/>
      </c>
      <c r="P230" s="17">
        <f>IF('ORDENES'!$T226="correctiva",N230,0)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IF(AND(IF($B$3="(todos)",TRUE,'ORDENES'!$O227=$B$3),IF($D$3="(todos)",TRUE,'ORDENES'!$AF227=$D$3),IF($F$3="(todos)",TRUE,'ORDENES'!$X227=$F$3),IF($H$3="(todos)",TRUE,'ORDENES'!$W227=$H$3),'ORDENES'!$AD227=TRUE,'ORDENES'!$A227&lt;&gt;""),1,0)</f>
        <v/>
      </c>
      <c r="L231" s="3">
        <f>IF(K231=1,IFERROR(MATCH('ORDENES'!$R227,lista_dias,0),9)*1000000000+IFERROR(MATCH('ORDENES'!$AF227,lista_turnos,0),9)*10000000+IFERROR(MATCH('ORDENES'!$AE227,'TECNICOS'!$B$4:$B$15,0),99)*100000+224,9000000000000+224)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IF('ORDENES'!$T227="preventiva",N231,0)</f>
        <v/>
      </c>
      <c r="P231" s="17">
        <f>IF('ORDENES'!$T227="correctiva",N231,0)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IF(AND(IF($B$3="(todos)",TRUE,'ORDENES'!$O228=$B$3),IF($D$3="(todos)",TRUE,'ORDENES'!$AF228=$D$3),IF($F$3="(todos)",TRUE,'ORDENES'!$X228=$F$3),IF($H$3="(todos)",TRUE,'ORDENES'!$W228=$H$3),'ORDENES'!$AD228=TRUE,'ORDENES'!$A228&lt;&gt;""),1,0)</f>
        <v/>
      </c>
      <c r="L232" s="3">
        <f>IF(K232=1,IFERROR(MATCH('ORDENES'!$R228,lista_dias,0),9)*1000000000+IFERROR(MATCH('ORDENES'!$AF228,lista_turnos,0),9)*10000000+IFERROR(MATCH('ORDENES'!$AE228,'TECNICOS'!$B$4:$B$15,0),99)*100000+225,9000000000000+225)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IF('ORDENES'!$T228="preventiva",N232,0)</f>
        <v/>
      </c>
      <c r="P232" s="17">
        <f>IF('ORDENES'!$T228="correctiva",N232,0)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IF(AND(IF($B$3="(todos)",TRUE,'ORDENES'!$O229=$B$3),IF($D$3="(todos)",TRUE,'ORDENES'!$AF229=$D$3),IF($F$3="(todos)",TRUE,'ORDENES'!$X229=$F$3),IF($H$3="(todos)",TRUE,'ORDENES'!$W229=$H$3),'ORDENES'!$AD229=TRUE,'ORDENES'!$A229&lt;&gt;""),1,0)</f>
        <v/>
      </c>
      <c r="L233" s="3">
        <f>IF(K233=1,IFERROR(MATCH('ORDENES'!$R229,lista_dias,0),9)*1000000000+IFERROR(MATCH('ORDENES'!$AF229,lista_turnos,0),9)*10000000+IFERROR(MATCH('ORDENES'!$AE229,'TECNICOS'!$B$4:$B$15,0),99)*100000+226,9000000000000+226)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IF('ORDENES'!$T229="preventiva",N233,0)</f>
        <v/>
      </c>
      <c r="P233" s="17">
        <f>IF('ORDENES'!$T229="correctiva",N233,0)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IF(AND(IF($B$3="(todos)",TRUE,'ORDENES'!$O230=$B$3),IF($D$3="(todos)",TRUE,'ORDENES'!$AF230=$D$3),IF($F$3="(todos)",TRUE,'ORDENES'!$X230=$F$3),IF($H$3="(todos)",TRUE,'ORDENES'!$W230=$H$3),'ORDENES'!$AD230=TRUE,'ORDENES'!$A230&lt;&gt;""),1,0)</f>
        <v/>
      </c>
      <c r="L234" s="3">
        <f>IF(K234=1,IFERROR(MATCH('ORDENES'!$R230,lista_dias,0),9)*1000000000+IFERROR(MATCH('ORDENES'!$AF230,lista_turnos,0),9)*10000000+IFERROR(MATCH('ORDENES'!$AE230,'TECNICOS'!$B$4:$B$15,0),99)*100000+227,9000000000000+227)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IF('ORDENES'!$T230="preventiva",N234,0)</f>
        <v/>
      </c>
      <c r="P234" s="17">
        <f>IF('ORDENES'!$T230="correctiva",N234,0)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IF(AND(IF($B$3="(todos)",TRUE,'ORDENES'!$O231=$B$3),IF($D$3="(todos)",TRUE,'ORDENES'!$AF231=$D$3),IF($F$3="(todos)",TRUE,'ORDENES'!$X231=$F$3),IF($H$3="(todos)",TRUE,'ORDENES'!$W231=$H$3),'ORDENES'!$AD231=TRUE,'ORDENES'!$A231&lt;&gt;""),1,0)</f>
        <v/>
      </c>
      <c r="L235" s="3">
        <f>IF(K235=1,IFERROR(MATCH('ORDENES'!$R231,lista_dias,0),9)*1000000000+IFERROR(MATCH('ORDENES'!$AF231,lista_turnos,0),9)*10000000+IFERROR(MATCH('ORDENES'!$AE231,'TECNICOS'!$B$4:$B$15,0),99)*100000+228,9000000000000+228)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IF('ORDENES'!$T231="preventiva",N235,0)</f>
        <v/>
      </c>
      <c r="P235" s="17">
        <f>IF('ORDENES'!$T231="correctiva",N235,0)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IF(AND(IF($B$3="(todos)",TRUE,'ORDENES'!$O232=$B$3),IF($D$3="(todos)",TRUE,'ORDENES'!$AF232=$D$3),IF($F$3="(todos)",TRUE,'ORDENES'!$X232=$F$3),IF($H$3="(todos)",TRUE,'ORDENES'!$W232=$H$3),'ORDENES'!$AD232=TRUE,'ORDENES'!$A232&lt;&gt;""),1,0)</f>
        <v/>
      </c>
      <c r="L236" s="3">
        <f>IF(K236=1,IFERROR(MATCH('ORDENES'!$R232,lista_dias,0),9)*1000000000+IFERROR(MATCH('ORDENES'!$AF232,lista_turnos,0),9)*10000000+IFERROR(MATCH('ORDENES'!$AE232,'TECNICOS'!$B$4:$B$15,0),99)*100000+229,9000000000000+229)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IF('ORDENES'!$T232="preventiva",N236,0)</f>
        <v/>
      </c>
      <c r="P236" s="17">
        <f>IF('ORDENES'!$T232="correctiva",N236,0)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IF(AND(IF($B$3="(todos)",TRUE,'ORDENES'!$O233=$B$3),IF($D$3="(todos)",TRUE,'ORDENES'!$AF233=$D$3),IF($F$3="(todos)",TRUE,'ORDENES'!$X233=$F$3),IF($H$3="(todos)",TRUE,'ORDENES'!$W233=$H$3),'ORDENES'!$AD233=TRUE,'ORDENES'!$A233&lt;&gt;""),1,0)</f>
        <v/>
      </c>
      <c r="L237" s="3">
        <f>IF(K237=1,IFERROR(MATCH('ORDENES'!$R233,lista_dias,0),9)*1000000000+IFERROR(MATCH('ORDENES'!$AF233,lista_turnos,0),9)*10000000+IFERROR(MATCH('ORDENES'!$AE233,'TECNICOS'!$B$4:$B$15,0),99)*100000+230,9000000000000+230)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IF('ORDENES'!$T233="preventiva",N237,0)</f>
        <v/>
      </c>
      <c r="P237" s="17">
        <f>IF('ORDENES'!$T233="correctiva",N237,0)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IF(AND(IF($B$3="(todos)",TRUE,'ORDENES'!$O234=$B$3),IF($D$3="(todos)",TRUE,'ORDENES'!$AF234=$D$3),IF($F$3="(todos)",TRUE,'ORDENES'!$X234=$F$3),IF($H$3="(todos)",TRUE,'ORDENES'!$W234=$H$3),'ORDENES'!$AD234=TRUE,'ORDENES'!$A234&lt;&gt;""),1,0)</f>
        <v/>
      </c>
      <c r="L238" s="3">
        <f>IF(K238=1,IFERROR(MATCH('ORDENES'!$R234,lista_dias,0),9)*1000000000+IFERROR(MATCH('ORDENES'!$AF234,lista_turnos,0),9)*10000000+IFERROR(MATCH('ORDENES'!$AE234,'TECNICOS'!$B$4:$B$15,0),99)*100000+231,9000000000000+231)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IF('ORDENES'!$T234="preventiva",N238,0)</f>
        <v/>
      </c>
      <c r="P238" s="17">
        <f>IF('ORDENES'!$T234="correctiva",N238,0)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IF(AND(IF($B$3="(todos)",TRUE,'ORDENES'!$O235=$B$3),IF($D$3="(todos)",TRUE,'ORDENES'!$AF235=$D$3),IF($F$3="(todos)",TRUE,'ORDENES'!$X235=$F$3),IF($H$3="(todos)",TRUE,'ORDENES'!$W235=$H$3),'ORDENES'!$AD235=TRUE,'ORDENES'!$A235&lt;&gt;""),1,0)</f>
        <v/>
      </c>
      <c r="L239" s="3">
        <f>IF(K239=1,IFERROR(MATCH('ORDENES'!$R235,lista_dias,0),9)*1000000000+IFERROR(MATCH('ORDENES'!$AF235,lista_turnos,0),9)*10000000+IFERROR(MATCH('ORDENES'!$AE235,'TECNICOS'!$B$4:$B$15,0),99)*100000+232,9000000000000+232)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IF('ORDENES'!$T235="preventiva",N239,0)</f>
        <v/>
      </c>
      <c r="P239" s="17">
        <f>IF('ORDENES'!$T235="correctiva",N239,0)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IF(AND(IF($B$3="(todos)",TRUE,'ORDENES'!$O236=$B$3),IF($D$3="(todos)",TRUE,'ORDENES'!$AF236=$D$3),IF($F$3="(todos)",TRUE,'ORDENES'!$X236=$F$3),IF($H$3="(todos)",TRUE,'ORDENES'!$W236=$H$3),'ORDENES'!$AD236=TRUE,'ORDENES'!$A236&lt;&gt;""),1,0)</f>
        <v/>
      </c>
      <c r="L240" s="3">
        <f>IF(K240=1,IFERROR(MATCH('ORDENES'!$R236,lista_dias,0),9)*1000000000+IFERROR(MATCH('ORDENES'!$AF236,lista_turnos,0),9)*10000000+IFERROR(MATCH('ORDENES'!$AE236,'TECNICOS'!$B$4:$B$15,0),99)*100000+233,9000000000000+233)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IF('ORDENES'!$T236="preventiva",N240,0)</f>
        <v/>
      </c>
      <c r="P240" s="17">
        <f>IF('ORDENES'!$T236="correctiva",N240,0)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IF(AND(IF($B$3="(todos)",TRUE,'ORDENES'!$O237=$B$3),IF($D$3="(todos)",TRUE,'ORDENES'!$AF237=$D$3),IF($F$3="(todos)",TRUE,'ORDENES'!$X237=$F$3),IF($H$3="(todos)",TRUE,'ORDENES'!$W237=$H$3),'ORDENES'!$AD237=TRUE,'ORDENES'!$A237&lt;&gt;""),1,0)</f>
        <v/>
      </c>
      <c r="L241" s="3">
        <f>IF(K241=1,IFERROR(MATCH('ORDENES'!$R237,lista_dias,0),9)*1000000000+IFERROR(MATCH('ORDENES'!$AF237,lista_turnos,0),9)*10000000+IFERROR(MATCH('ORDENES'!$AE237,'TECNICOS'!$B$4:$B$15,0),99)*100000+234,9000000000000+234)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IF('ORDENES'!$T237="preventiva",N241,0)</f>
        <v/>
      </c>
      <c r="P241" s="17">
        <f>IF('ORDENES'!$T237="correctiva",N241,0)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IF(AND(IF($B$3="(todos)",TRUE,'ORDENES'!$O238=$B$3),IF($D$3="(todos)",TRUE,'ORDENES'!$AF238=$D$3),IF($F$3="(todos)",TRUE,'ORDENES'!$X238=$F$3),IF($H$3="(todos)",TRUE,'ORDENES'!$W238=$H$3),'ORDENES'!$AD238=TRUE,'ORDENES'!$A238&lt;&gt;""),1,0)</f>
        <v/>
      </c>
      <c r="L242" s="3">
        <f>IF(K242=1,IFERROR(MATCH('ORDENES'!$R238,lista_dias,0),9)*1000000000+IFERROR(MATCH('ORDENES'!$AF238,lista_turnos,0),9)*10000000+IFERROR(MATCH('ORDENES'!$AE238,'TECNICOS'!$B$4:$B$15,0),99)*100000+235,9000000000000+235)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IF('ORDENES'!$T238="preventiva",N242,0)</f>
        <v/>
      </c>
      <c r="P242" s="17">
        <f>IF('ORDENES'!$T238="correctiva",N242,0)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IF(AND(IF($B$3="(todos)",TRUE,'ORDENES'!$O239=$B$3),IF($D$3="(todos)",TRUE,'ORDENES'!$AF239=$D$3),IF($F$3="(todos)",TRUE,'ORDENES'!$X239=$F$3),IF($H$3="(todos)",TRUE,'ORDENES'!$W239=$H$3),'ORDENES'!$AD239=TRUE,'ORDENES'!$A239&lt;&gt;""),1,0)</f>
        <v/>
      </c>
      <c r="L243" s="3">
        <f>IF(K243=1,IFERROR(MATCH('ORDENES'!$R239,lista_dias,0),9)*1000000000+IFERROR(MATCH('ORDENES'!$AF239,lista_turnos,0),9)*10000000+IFERROR(MATCH('ORDENES'!$AE239,'TECNICOS'!$B$4:$B$15,0),99)*100000+236,9000000000000+236)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IF('ORDENES'!$T239="preventiva",N243,0)</f>
        <v/>
      </c>
      <c r="P243" s="17">
        <f>IF('ORDENES'!$T239="correctiva",N243,0)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IF(AND(IF($B$3="(todos)",TRUE,'ORDENES'!$O240=$B$3),IF($D$3="(todos)",TRUE,'ORDENES'!$AF240=$D$3),IF($F$3="(todos)",TRUE,'ORDENES'!$X240=$F$3),IF($H$3="(todos)",TRUE,'ORDENES'!$W240=$H$3),'ORDENES'!$AD240=TRUE,'ORDENES'!$A240&lt;&gt;""),1,0)</f>
        <v/>
      </c>
      <c r="L244" s="3">
        <f>IF(K244=1,IFERROR(MATCH('ORDENES'!$R240,lista_dias,0),9)*1000000000+IFERROR(MATCH('ORDENES'!$AF240,lista_turnos,0),9)*10000000+IFERROR(MATCH('ORDENES'!$AE240,'TECNICOS'!$B$4:$B$15,0),99)*100000+237,9000000000000+237)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IF('ORDENES'!$T240="preventiva",N244,0)</f>
        <v/>
      </c>
      <c r="P244" s="17">
        <f>IF('ORDENES'!$T240="correctiva",N244,0)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IF(AND(IF($B$3="(todos)",TRUE,'ORDENES'!$O241=$B$3),IF($D$3="(todos)",TRUE,'ORDENES'!$AF241=$D$3),IF($F$3="(todos)",TRUE,'ORDENES'!$X241=$F$3),IF($H$3="(todos)",TRUE,'ORDENES'!$W241=$H$3),'ORDENES'!$AD241=TRUE,'ORDENES'!$A241&lt;&gt;""),1,0)</f>
        <v/>
      </c>
      <c r="L245" s="3">
        <f>IF(K245=1,IFERROR(MATCH('ORDENES'!$R241,lista_dias,0),9)*1000000000+IFERROR(MATCH('ORDENES'!$AF241,lista_turnos,0),9)*10000000+IFERROR(MATCH('ORDENES'!$AE241,'TECNICOS'!$B$4:$B$15,0),99)*100000+238,9000000000000+238)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IF('ORDENES'!$T241="preventiva",N245,0)</f>
        <v/>
      </c>
      <c r="P245" s="17">
        <f>IF('ORDENES'!$T241="correctiva",N245,0)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IF(AND(IF($B$3="(todos)",TRUE,'ORDENES'!$O242=$B$3),IF($D$3="(todos)",TRUE,'ORDENES'!$AF242=$D$3),IF($F$3="(todos)",TRUE,'ORDENES'!$X242=$F$3),IF($H$3="(todos)",TRUE,'ORDENES'!$W242=$H$3),'ORDENES'!$AD242=TRUE,'ORDENES'!$A242&lt;&gt;""),1,0)</f>
        <v/>
      </c>
      <c r="L246" s="3">
        <f>IF(K246=1,IFERROR(MATCH('ORDENES'!$R242,lista_dias,0),9)*1000000000+IFERROR(MATCH('ORDENES'!$AF242,lista_turnos,0),9)*10000000+IFERROR(MATCH('ORDENES'!$AE242,'TECNICOS'!$B$4:$B$15,0),99)*100000+239,9000000000000+239)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IF('ORDENES'!$T242="preventiva",N246,0)</f>
        <v/>
      </c>
      <c r="P246" s="17">
        <f>IF('ORDENES'!$T242="correctiva",N246,0)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IF(AND(IF($B$3="(todos)",TRUE,'ORDENES'!$O243=$B$3),IF($D$3="(todos)",TRUE,'ORDENES'!$AF243=$D$3),IF($F$3="(todos)",TRUE,'ORDENES'!$X243=$F$3),IF($H$3="(todos)",TRUE,'ORDENES'!$W243=$H$3),'ORDENES'!$AD243=TRUE,'ORDENES'!$A243&lt;&gt;""),1,0)</f>
        <v/>
      </c>
      <c r="L247" s="3">
        <f>IF(K247=1,IFERROR(MATCH('ORDENES'!$R243,lista_dias,0),9)*1000000000+IFERROR(MATCH('ORDENES'!$AF243,lista_turnos,0),9)*10000000+IFERROR(MATCH('ORDENES'!$AE243,'TECNICOS'!$B$4:$B$15,0),99)*100000+240,9000000000000+240)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IF('ORDENES'!$T243="preventiva",N247,0)</f>
        <v/>
      </c>
      <c r="P247" s="17">
        <f>IF('ORDENES'!$T243="correctiva",N247,0)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IF(AND(IF($B$3="(todos)",TRUE,'ORDENES'!$O244=$B$3),IF($D$3="(todos)",TRUE,'ORDENES'!$AF244=$D$3),IF($F$3="(todos)",TRUE,'ORDENES'!$X244=$F$3),IF($H$3="(todos)",TRUE,'ORDENES'!$W244=$H$3),'ORDENES'!$AD244=TRUE,'ORDENES'!$A244&lt;&gt;""),1,0)</f>
        <v/>
      </c>
      <c r="L248" s="3">
        <f>IF(K248=1,IFERROR(MATCH('ORDENES'!$R244,lista_dias,0),9)*1000000000+IFERROR(MATCH('ORDENES'!$AF244,lista_turnos,0),9)*10000000+IFERROR(MATCH('ORDENES'!$AE244,'TECNICOS'!$B$4:$B$15,0),99)*100000+241,9000000000000+241)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IF('ORDENES'!$T244="preventiva",N248,0)</f>
        <v/>
      </c>
      <c r="P248" s="17">
        <f>IF('ORDENES'!$T244="correctiva",N248,0)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IF(AND(IF($B$3="(todos)",TRUE,'ORDENES'!$O245=$B$3),IF($D$3="(todos)",TRUE,'ORDENES'!$AF245=$D$3),IF($F$3="(todos)",TRUE,'ORDENES'!$X245=$F$3),IF($H$3="(todos)",TRUE,'ORDENES'!$W245=$H$3),'ORDENES'!$AD245=TRUE,'ORDENES'!$A245&lt;&gt;""),1,0)</f>
        <v/>
      </c>
      <c r="L249" s="3">
        <f>IF(K249=1,IFERROR(MATCH('ORDENES'!$R245,lista_dias,0),9)*1000000000+IFERROR(MATCH('ORDENES'!$AF245,lista_turnos,0),9)*10000000+IFERROR(MATCH('ORDENES'!$AE245,'TECNICOS'!$B$4:$B$15,0),99)*100000+242,9000000000000+242)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IF('ORDENES'!$T245="preventiva",N249,0)</f>
        <v/>
      </c>
      <c r="P249" s="17">
        <f>IF('ORDENES'!$T245="correctiva",N249,0)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IF(AND(IF($B$3="(todos)",TRUE,'ORDENES'!$O246=$B$3),IF($D$3="(todos)",TRUE,'ORDENES'!$AF246=$D$3),IF($F$3="(todos)",TRUE,'ORDENES'!$X246=$F$3),IF($H$3="(todos)",TRUE,'ORDENES'!$W246=$H$3),'ORDENES'!$AD246=TRUE,'ORDENES'!$A246&lt;&gt;""),1,0)</f>
        <v/>
      </c>
      <c r="L250" s="3">
        <f>IF(K250=1,IFERROR(MATCH('ORDENES'!$R246,lista_dias,0),9)*1000000000+IFERROR(MATCH('ORDENES'!$AF246,lista_turnos,0),9)*10000000+IFERROR(MATCH('ORDENES'!$AE246,'TECNICOS'!$B$4:$B$15,0),99)*100000+243,9000000000000+243)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IF('ORDENES'!$T246="preventiva",N250,0)</f>
        <v/>
      </c>
      <c r="P250" s="17">
        <f>IF('ORDENES'!$T246="correctiva",N250,0)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IF(AND(IF($B$3="(todos)",TRUE,'ORDENES'!$O247=$B$3),IF($D$3="(todos)",TRUE,'ORDENES'!$AF247=$D$3),IF($F$3="(todos)",TRUE,'ORDENES'!$X247=$F$3),IF($H$3="(todos)",TRUE,'ORDENES'!$W247=$H$3),'ORDENES'!$AD247=TRUE,'ORDENES'!$A247&lt;&gt;""),1,0)</f>
        <v/>
      </c>
      <c r="L251" s="3">
        <f>IF(K251=1,IFERROR(MATCH('ORDENES'!$R247,lista_dias,0),9)*1000000000+IFERROR(MATCH('ORDENES'!$AF247,lista_turnos,0),9)*10000000+IFERROR(MATCH('ORDENES'!$AE247,'TECNICOS'!$B$4:$B$15,0),99)*100000+244,9000000000000+244)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IF('ORDENES'!$T247="preventiva",N251,0)</f>
        <v/>
      </c>
      <c r="P251" s="17">
        <f>IF('ORDENES'!$T247="correctiva",N251,0)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IF(AND(IF($B$3="(todos)",TRUE,'ORDENES'!$O248=$B$3),IF($D$3="(todos)",TRUE,'ORDENES'!$AF248=$D$3),IF($F$3="(todos)",TRUE,'ORDENES'!$X248=$F$3),IF($H$3="(todos)",TRUE,'ORDENES'!$W248=$H$3),'ORDENES'!$AD248=TRUE,'ORDENES'!$A248&lt;&gt;""),1,0)</f>
        <v/>
      </c>
      <c r="L252" s="3">
        <f>IF(K252=1,IFERROR(MATCH('ORDENES'!$R248,lista_dias,0),9)*1000000000+IFERROR(MATCH('ORDENES'!$AF248,lista_turnos,0),9)*10000000+IFERROR(MATCH('ORDENES'!$AE248,'TECNICOS'!$B$4:$B$15,0),99)*100000+245,9000000000000+245)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IF('ORDENES'!$T248="preventiva",N252,0)</f>
        <v/>
      </c>
      <c r="P252" s="17">
        <f>IF('ORDENES'!$T248="correctiva",N252,0)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IF(AND(IF($B$3="(todos)",TRUE,'ORDENES'!$O249=$B$3),IF($D$3="(todos)",TRUE,'ORDENES'!$AF249=$D$3),IF($F$3="(todos)",TRUE,'ORDENES'!$X249=$F$3),IF($H$3="(todos)",TRUE,'ORDENES'!$W249=$H$3),'ORDENES'!$AD249=TRUE,'ORDENES'!$A249&lt;&gt;""),1,0)</f>
        <v/>
      </c>
      <c r="L253" s="3">
        <f>IF(K253=1,IFERROR(MATCH('ORDENES'!$R249,lista_dias,0),9)*1000000000+IFERROR(MATCH('ORDENES'!$AF249,lista_turnos,0),9)*10000000+IFERROR(MATCH('ORDENES'!$AE249,'TECNICOS'!$B$4:$B$15,0),99)*100000+246,9000000000000+246)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IF('ORDENES'!$T249="preventiva",N253,0)</f>
        <v/>
      </c>
      <c r="P253" s="17">
        <f>IF('ORDENES'!$T249="correctiva",N253,0)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IF(AND(IF($B$3="(todos)",TRUE,'ORDENES'!$O250=$B$3),IF($D$3="(todos)",TRUE,'ORDENES'!$AF250=$D$3),IF($F$3="(todos)",TRUE,'ORDENES'!$X250=$F$3),IF($H$3="(todos)",TRUE,'ORDENES'!$W250=$H$3),'ORDENES'!$AD250=TRUE,'ORDENES'!$A250&lt;&gt;""),1,0)</f>
        <v/>
      </c>
      <c r="L254" s="3">
        <f>IF(K254=1,IFERROR(MATCH('ORDENES'!$R250,lista_dias,0),9)*1000000000+IFERROR(MATCH('ORDENES'!$AF250,lista_turnos,0),9)*10000000+IFERROR(MATCH('ORDENES'!$AE250,'TECNICOS'!$B$4:$B$15,0),99)*100000+247,9000000000000+247)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IF('ORDENES'!$T250="preventiva",N254,0)</f>
        <v/>
      </c>
      <c r="P254" s="17">
        <f>IF('ORDENES'!$T250="correctiva",N254,0)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IF(AND(IF($B$3="(todos)",TRUE,'ORDENES'!$O251=$B$3),IF($D$3="(todos)",TRUE,'ORDENES'!$AF251=$D$3),IF($F$3="(todos)",TRUE,'ORDENES'!$X251=$F$3),IF($H$3="(todos)",TRUE,'ORDENES'!$W251=$H$3),'ORDENES'!$AD251=TRUE,'ORDENES'!$A251&lt;&gt;""),1,0)</f>
        <v/>
      </c>
      <c r="L255" s="3">
        <f>IF(K255=1,IFERROR(MATCH('ORDENES'!$R251,lista_dias,0),9)*1000000000+IFERROR(MATCH('ORDENES'!$AF251,lista_turnos,0),9)*10000000+IFERROR(MATCH('ORDENES'!$AE251,'TECNICOS'!$B$4:$B$15,0),99)*100000+248,9000000000000+248)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IF('ORDENES'!$T251="preventiva",N255,0)</f>
        <v/>
      </c>
      <c r="P255" s="17">
        <f>IF('ORDENES'!$T251="correctiva",N255,0)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IF(AND(IF($B$3="(todos)",TRUE,'ORDENES'!$O252=$B$3),IF($D$3="(todos)",TRUE,'ORDENES'!$AF252=$D$3),IF($F$3="(todos)",TRUE,'ORDENES'!$X252=$F$3),IF($H$3="(todos)",TRUE,'ORDENES'!$W252=$H$3),'ORDENES'!$AD252=TRUE,'ORDENES'!$A252&lt;&gt;""),1,0)</f>
        <v/>
      </c>
      <c r="L256" s="3">
        <f>IF(K256=1,IFERROR(MATCH('ORDENES'!$R252,lista_dias,0),9)*1000000000+IFERROR(MATCH('ORDENES'!$AF252,lista_turnos,0),9)*10000000+IFERROR(MATCH('ORDENES'!$AE252,'TECNICOS'!$B$4:$B$15,0),99)*100000+249,9000000000000+249)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IF('ORDENES'!$T252="preventiva",N256,0)</f>
        <v/>
      </c>
      <c r="P256" s="17">
        <f>IF('ORDENES'!$T252="correctiva",N256,0)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IF(AND(IF($B$3="(todos)",TRUE,'ORDENES'!$O253=$B$3),IF($D$3="(todos)",TRUE,'ORDENES'!$AF253=$D$3),IF($F$3="(todos)",TRUE,'ORDENES'!$X253=$F$3),IF($H$3="(todos)",TRUE,'ORDENES'!$W253=$H$3),'ORDENES'!$AD253=TRUE,'ORDENES'!$A253&lt;&gt;""),1,0)</f>
        <v/>
      </c>
      <c r="L257" s="3">
        <f>IF(K257=1,IFERROR(MATCH('ORDENES'!$R253,lista_dias,0),9)*1000000000+IFERROR(MATCH('ORDENES'!$AF253,lista_turnos,0),9)*10000000+IFERROR(MATCH('ORDENES'!$AE253,'TECNICOS'!$B$4:$B$15,0),99)*100000+250,9000000000000+250)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IF('ORDENES'!$T253="preventiva",N257,0)</f>
        <v/>
      </c>
      <c r="P257" s="17">
        <f>IF('ORDENES'!$T253="correctiva",N257,0)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IF(AND(IF($B$3="(todos)",TRUE,'ORDENES'!$O254=$B$3),IF($D$3="(todos)",TRUE,'ORDENES'!$AF254=$D$3),IF($F$3="(todos)",TRUE,'ORDENES'!$X254=$F$3),IF($H$3="(todos)",TRUE,'ORDENES'!$W254=$H$3),'ORDENES'!$AD254=TRUE,'ORDENES'!$A254&lt;&gt;""),1,0)</f>
        <v/>
      </c>
      <c r="L258" s="3">
        <f>IF(K258=1,IFERROR(MATCH('ORDENES'!$R254,lista_dias,0),9)*1000000000+IFERROR(MATCH('ORDENES'!$AF254,lista_turnos,0),9)*10000000+IFERROR(MATCH('ORDENES'!$AE254,'TECNICOS'!$B$4:$B$15,0),99)*100000+251,9000000000000+251)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IF('ORDENES'!$T254="preventiva",N258,0)</f>
        <v/>
      </c>
      <c r="P258" s="17">
        <f>IF('ORDENES'!$T254="correctiva",N258,0)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IF(AND(IF($B$3="(todos)",TRUE,'ORDENES'!$O255=$B$3),IF($D$3="(todos)",TRUE,'ORDENES'!$AF255=$D$3),IF($F$3="(todos)",TRUE,'ORDENES'!$X255=$F$3),IF($H$3="(todos)",TRUE,'ORDENES'!$W255=$H$3),'ORDENES'!$AD255=TRUE,'ORDENES'!$A255&lt;&gt;""),1,0)</f>
        <v/>
      </c>
      <c r="L259" s="3">
        <f>IF(K259=1,IFERROR(MATCH('ORDENES'!$R255,lista_dias,0),9)*1000000000+IFERROR(MATCH('ORDENES'!$AF255,lista_turnos,0),9)*10000000+IFERROR(MATCH('ORDENES'!$AE255,'TECNICOS'!$B$4:$B$15,0),99)*100000+252,9000000000000+252)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IF('ORDENES'!$T255="preventiva",N259,0)</f>
        <v/>
      </c>
      <c r="P259" s="17">
        <f>IF('ORDENES'!$T255="correctiva",N259,0)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IF(AND(IF($B$3="(todos)",TRUE,'ORDENES'!$O256=$B$3),IF($D$3="(todos)",TRUE,'ORDENES'!$AF256=$D$3),IF($F$3="(todos)",TRUE,'ORDENES'!$X256=$F$3),IF($H$3="(todos)",TRUE,'ORDENES'!$W256=$H$3),'ORDENES'!$AD256=TRUE,'ORDENES'!$A256&lt;&gt;""),1,0)</f>
        <v/>
      </c>
      <c r="L260" s="3">
        <f>IF(K260=1,IFERROR(MATCH('ORDENES'!$R256,lista_dias,0),9)*1000000000+IFERROR(MATCH('ORDENES'!$AF256,lista_turnos,0),9)*10000000+IFERROR(MATCH('ORDENES'!$AE256,'TECNICOS'!$B$4:$B$15,0),99)*100000+253,9000000000000+253)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IF('ORDENES'!$T256="preventiva",N260,0)</f>
        <v/>
      </c>
      <c r="P260" s="17">
        <f>IF('ORDENES'!$T256="correctiva",N260,0)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IF(AND(IF($B$3="(todos)",TRUE,'ORDENES'!$O257=$B$3),IF($D$3="(todos)",TRUE,'ORDENES'!$AF257=$D$3),IF($F$3="(todos)",TRUE,'ORDENES'!$X257=$F$3),IF($H$3="(todos)",TRUE,'ORDENES'!$W257=$H$3),'ORDENES'!$AD257=TRUE,'ORDENES'!$A257&lt;&gt;""),1,0)</f>
        <v/>
      </c>
      <c r="L261" s="3">
        <f>IF(K261=1,IFERROR(MATCH('ORDENES'!$R257,lista_dias,0),9)*1000000000+IFERROR(MATCH('ORDENES'!$AF257,lista_turnos,0),9)*10000000+IFERROR(MATCH('ORDENES'!$AE257,'TECNICOS'!$B$4:$B$15,0),99)*100000+254,9000000000000+254)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IF('ORDENES'!$T257="preventiva",N261,0)</f>
        <v/>
      </c>
      <c r="P261" s="17">
        <f>IF('ORDENES'!$T257="correctiva",N261,0)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IF(AND(IF($B$3="(todos)",TRUE,'ORDENES'!$O258=$B$3),IF($D$3="(todos)",TRUE,'ORDENES'!$AF258=$D$3),IF($F$3="(todos)",TRUE,'ORDENES'!$X258=$F$3),IF($H$3="(todos)",TRUE,'ORDENES'!$W258=$H$3),'ORDENES'!$AD258=TRUE,'ORDENES'!$A258&lt;&gt;""),1,0)</f>
        <v/>
      </c>
      <c r="L262" s="3">
        <f>IF(K262=1,IFERROR(MATCH('ORDENES'!$R258,lista_dias,0),9)*1000000000+IFERROR(MATCH('ORDENES'!$AF258,lista_turnos,0),9)*10000000+IFERROR(MATCH('ORDENES'!$AE258,'TECNICOS'!$B$4:$B$15,0),99)*100000+255,9000000000000+255)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IF('ORDENES'!$T258="preventiva",N262,0)</f>
        <v/>
      </c>
      <c r="P262" s="17">
        <f>IF('ORDENES'!$T258="correctiva",N262,0)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IF(AND(IF($B$3="(todos)",TRUE,'ORDENES'!$O259=$B$3),IF($D$3="(todos)",TRUE,'ORDENES'!$AF259=$D$3),IF($F$3="(todos)",TRUE,'ORDENES'!$X259=$F$3),IF($H$3="(todos)",TRUE,'ORDENES'!$W259=$H$3),'ORDENES'!$AD259=TRUE,'ORDENES'!$A259&lt;&gt;""),1,0)</f>
        <v/>
      </c>
      <c r="L263" s="3">
        <f>IF(K263=1,IFERROR(MATCH('ORDENES'!$R259,lista_dias,0),9)*1000000000+IFERROR(MATCH('ORDENES'!$AF259,lista_turnos,0),9)*10000000+IFERROR(MATCH('ORDENES'!$AE259,'TECNICOS'!$B$4:$B$15,0),99)*100000+256,9000000000000+256)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IF('ORDENES'!$T259="preventiva",N263,0)</f>
        <v/>
      </c>
      <c r="P263" s="17">
        <f>IF('ORDENES'!$T259="correctiva",N263,0)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IF(AND(IF($B$3="(todos)",TRUE,'ORDENES'!$O260=$B$3),IF($D$3="(todos)",TRUE,'ORDENES'!$AF260=$D$3),IF($F$3="(todos)",TRUE,'ORDENES'!$X260=$F$3),IF($H$3="(todos)",TRUE,'ORDENES'!$W260=$H$3),'ORDENES'!$AD260=TRUE,'ORDENES'!$A260&lt;&gt;""),1,0)</f>
        <v/>
      </c>
      <c r="L264" s="3">
        <f>IF(K264=1,IFERROR(MATCH('ORDENES'!$R260,lista_dias,0),9)*1000000000+IFERROR(MATCH('ORDENES'!$AF260,lista_turnos,0),9)*10000000+IFERROR(MATCH('ORDENES'!$AE260,'TECNICOS'!$B$4:$B$15,0),99)*100000+257,9000000000000+257)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IF('ORDENES'!$T260="preventiva",N264,0)</f>
        <v/>
      </c>
      <c r="P264" s="17">
        <f>IF('ORDENES'!$T260="correctiva",N264,0)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IF(AND(IF($B$3="(todos)",TRUE,'ORDENES'!$O261=$B$3),IF($D$3="(todos)",TRUE,'ORDENES'!$AF261=$D$3),IF($F$3="(todos)",TRUE,'ORDENES'!$X261=$F$3),IF($H$3="(todos)",TRUE,'ORDENES'!$W261=$H$3),'ORDENES'!$AD261=TRUE,'ORDENES'!$A261&lt;&gt;""),1,0)</f>
        <v/>
      </c>
      <c r="L265" s="3">
        <f>IF(K265=1,IFERROR(MATCH('ORDENES'!$R261,lista_dias,0),9)*1000000000+IFERROR(MATCH('ORDENES'!$AF261,lista_turnos,0),9)*10000000+IFERROR(MATCH('ORDENES'!$AE261,'TECNICOS'!$B$4:$B$15,0),99)*100000+258,9000000000000+258)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IF('ORDENES'!$T261="preventiva",N265,0)</f>
        <v/>
      </c>
      <c r="P265" s="17">
        <f>IF('ORDENES'!$T261="correctiva",N265,0)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IF(AND(IF($B$3="(todos)",TRUE,'ORDENES'!$O262=$B$3),IF($D$3="(todos)",TRUE,'ORDENES'!$AF262=$D$3),IF($F$3="(todos)",TRUE,'ORDENES'!$X262=$F$3),IF($H$3="(todos)",TRUE,'ORDENES'!$W262=$H$3),'ORDENES'!$AD262=TRUE,'ORDENES'!$A262&lt;&gt;""),1,0)</f>
        <v/>
      </c>
      <c r="L266" s="3">
        <f>IF(K266=1,IFERROR(MATCH('ORDENES'!$R262,lista_dias,0),9)*1000000000+IFERROR(MATCH('ORDENES'!$AF262,lista_turnos,0),9)*10000000+IFERROR(MATCH('ORDENES'!$AE262,'TECNICOS'!$B$4:$B$15,0),99)*100000+259,9000000000000+259)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IF('ORDENES'!$T262="preventiva",N266,0)</f>
        <v/>
      </c>
      <c r="P266" s="17">
        <f>IF('ORDENES'!$T262="correctiva",N266,0)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IF(AND(IF($B$3="(todos)",TRUE,'ORDENES'!$O263=$B$3),IF($D$3="(todos)",TRUE,'ORDENES'!$AF263=$D$3),IF($F$3="(todos)",TRUE,'ORDENES'!$X263=$F$3),IF($H$3="(todos)",TRUE,'ORDENES'!$W263=$H$3),'ORDENES'!$AD263=TRUE,'ORDENES'!$A263&lt;&gt;""),1,0)</f>
        <v/>
      </c>
      <c r="L267" s="3">
        <f>IF(K267=1,IFERROR(MATCH('ORDENES'!$R263,lista_dias,0),9)*1000000000+IFERROR(MATCH('ORDENES'!$AF263,lista_turnos,0),9)*10000000+IFERROR(MATCH('ORDENES'!$AE263,'TECNICOS'!$B$4:$B$15,0),99)*100000+260,9000000000000+260)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IF('ORDENES'!$T263="preventiva",N267,0)</f>
        <v/>
      </c>
      <c r="P267" s="17">
        <f>IF('ORDENES'!$T263="correctiva",N267,0)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IF(AND(IF($B$3="(todos)",TRUE,'ORDENES'!$O264=$B$3),IF($D$3="(todos)",TRUE,'ORDENES'!$AF264=$D$3),IF($F$3="(todos)",TRUE,'ORDENES'!$X264=$F$3),IF($H$3="(todos)",TRUE,'ORDENES'!$W264=$H$3),'ORDENES'!$AD264=TRUE,'ORDENES'!$A264&lt;&gt;""),1,0)</f>
        <v/>
      </c>
      <c r="L268" s="3">
        <f>IF(K268=1,IFERROR(MATCH('ORDENES'!$R264,lista_dias,0),9)*1000000000+IFERROR(MATCH('ORDENES'!$AF264,lista_turnos,0),9)*10000000+IFERROR(MATCH('ORDENES'!$AE264,'TECNICOS'!$B$4:$B$15,0),99)*100000+261,9000000000000+261)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IF('ORDENES'!$T264="preventiva",N268,0)</f>
        <v/>
      </c>
      <c r="P268" s="17">
        <f>IF('ORDENES'!$T264="correctiva",N268,0)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IF(AND(IF($B$3="(todos)",TRUE,'ORDENES'!$O265=$B$3),IF($D$3="(todos)",TRUE,'ORDENES'!$AF265=$D$3),IF($F$3="(todos)",TRUE,'ORDENES'!$X265=$F$3),IF($H$3="(todos)",TRUE,'ORDENES'!$W265=$H$3),'ORDENES'!$AD265=TRUE,'ORDENES'!$A265&lt;&gt;""),1,0)</f>
        <v/>
      </c>
      <c r="L269" s="3">
        <f>IF(K269=1,IFERROR(MATCH('ORDENES'!$R265,lista_dias,0),9)*1000000000+IFERROR(MATCH('ORDENES'!$AF265,lista_turnos,0),9)*10000000+IFERROR(MATCH('ORDENES'!$AE265,'TECNICOS'!$B$4:$B$15,0),99)*100000+262,9000000000000+262)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IF('ORDENES'!$T265="preventiva",N269,0)</f>
        <v/>
      </c>
      <c r="P269" s="17">
        <f>IF('ORDENES'!$T265="correctiva",N269,0)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IF(AND(IF($B$3="(todos)",TRUE,'ORDENES'!$O266=$B$3),IF($D$3="(todos)",TRUE,'ORDENES'!$AF266=$D$3),IF($F$3="(todos)",TRUE,'ORDENES'!$X266=$F$3),IF($H$3="(todos)",TRUE,'ORDENES'!$W266=$H$3),'ORDENES'!$AD266=TRUE,'ORDENES'!$A266&lt;&gt;""),1,0)</f>
        <v/>
      </c>
      <c r="L270" s="3">
        <f>IF(K270=1,IFERROR(MATCH('ORDENES'!$R266,lista_dias,0),9)*1000000000+IFERROR(MATCH('ORDENES'!$AF266,lista_turnos,0),9)*10000000+IFERROR(MATCH('ORDENES'!$AE266,'TECNICOS'!$B$4:$B$15,0),99)*100000+263,9000000000000+263)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IF('ORDENES'!$T266="preventiva",N270,0)</f>
        <v/>
      </c>
      <c r="P270" s="17">
        <f>IF('ORDENES'!$T266="correctiva",N270,0)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IF(AND(IF($B$3="(todos)",TRUE,'ORDENES'!$O267=$B$3),IF($D$3="(todos)",TRUE,'ORDENES'!$AF267=$D$3),IF($F$3="(todos)",TRUE,'ORDENES'!$X267=$F$3),IF($H$3="(todos)",TRUE,'ORDENES'!$W267=$H$3),'ORDENES'!$AD267=TRUE,'ORDENES'!$A267&lt;&gt;""),1,0)</f>
        <v/>
      </c>
      <c r="L271" s="3">
        <f>IF(K271=1,IFERROR(MATCH('ORDENES'!$R267,lista_dias,0),9)*1000000000+IFERROR(MATCH('ORDENES'!$AF267,lista_turnos,0),9)*10000000+IFERROR(MATCH('ORDENES'!$AE267,'TECNICOS'!$B$4:$B$15,0),99)*100000+264,9000000000000+264)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IF('ORDENES'!$T267="preventiva",N271,0)</f>
        <v/>
      </c>
      <c r="P271" s="17">
        <f>IF('ORDENES'!$T267="correctiva",N271,0)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IF(AND(IF($B$3="(todos)",TRUE,'ORDENES'!$O268=$B$3),IF($D$3="(todos)",TRUE,'ORDENES'!$AF268=$D$3),IF($F$3="(todos)",TRUE,'ORDENES'!$X268=$F$3),IF($H$3="(todos)",TRUE,'ORDENES'!$W268=$H$3),'ORDENES'!$AD268=TRUE,'ORDENES'!$A268&lt;&gt;""),1,0)</f>
        <v/>
      </c>
      <c r="L272" s="3">
        <f>IF(K272=1,IFERROR(MATCH('ORDENES'!$R268,lista_dias,0),9)*1000000000+IFERROR(MATCH('ORDENES'!$AF268,lista_turnos,0),9)*10000000+IFERROR(MATCH('ORDENES'!$AE268,'TECNICOS'!$B$4:$B$15,0),99)*100000+265,9000000000000+265)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IF('ORDENES'!$T268="preventiva",N272,0)</f>
        <v/>
      </c>
      <c r="P272" s="17">
        <f>IF('ORDENES'!$T268="correctiva",N272,0)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IF(AND(IF($B$3="(todos)",TRUE,'ORDENES'!$O269=$B$3),IF($D$3="(todos)",TRUE,'ORDENES'!$AF269=$D$3),IF($F$3="(todos)",TRUE,'ORDENES'!$X269=$F$3),IF($H$3="(todos)",TRUE,'ORDENES'!$W269=$H$3),'ORDENES'!$AD269=TRUE,'ORDENES'!$A269&lt;&gt;""),1,0)</f>
        <v/>
      </c>
      <c r="L273" s="3">
        <f>IF(K273=1,IFERROR(MATCH('ORDENES'!$R269,lista_dias,0),9)*1000000000+IFERROR(MATCH('ORDENES'!$AF269,lista_turnos,0),9)*10000000+IFERROR(MATCH('ORDENES'!$AE269,'TECNICOS'!$B$4:$B$15,0),99)*100000+266,9000000000000+266)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IF('ORDENES'!$T269="preventiva",N273,0)</f>
        <v/>
      </c>
      <c r="P273" s="17">
        <f>IF('ORDENES'!$T269="correctiva",N273,0)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IF(AND(IF($B$3="(todos)",TRUE,'ORDENES'!$O270=$B$3),IF($D$3="(todos)",TRUE,'ORDENES'!$AF270=$D$3),IF($F$3="(todos)",TRUE,'ORDENES'!$X270=$F$3),IF($H$3="(todos)",TRUE,'ORDENES'!$W270=$H$3),'ORDENES'!$AD270=TRUE,'ORDENES'!$A270&lt;&gt;""),1,0)</f>
        <v/>
      </c>
      <c r="L274" s="3">
        <f>IF(K274=1,IFERROR(MATCH('ORDENES'!$R270,lista_dias,0),9)*1000000000+IFERROR(MATCH('ORDENES'!$AF270,lista_turnos,0),9)*10000000+IFERROR(MATCH('ORDENES'!$AE270,'TECNICOS'!$B$4:$B$15,0),99)*100000+267,9000000000000+267)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IF('ORDENES'!$T270="preventiva",N274,0)</f>
        <v/>
      </c>
      <c r="P274" s="17">
        <f>IF('ORDENES'!$T270="correctiva",N274,0)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IF(AND(IF($B$3="(todos)",TRUE,'ORDENES'!$O271=$B$3),IF($D$3="(todos)",TRUE,'ORDENES'!$AF271=$D$3),IF($F$3="(todos)",TRUE,'ORDENES'!$X271=$F$3),IF($H$3="(todos)",TRUE,'ORDENES'!$W271=$H$3),'ORDENES'!$AD271=TRUE,'ORDENES'!$A271&lt;&gt;""),1,0)</f>
        <v/>
      </c>
      <c r="L275" s="3">
        <f>IF(K275=1,IFERROR(MATCH('ORDENES'!$R271,lista_dias,0),9)*1000000000+IFERROR(MATCH('ORDENES'!$AF271,lista_turnos,0),9)*10000000+IFERROR(MATCH('ORDENES'!$AE271,'TECNICOS'!$B$4:$B$15,0),99)*100000+268,9000000000000+268)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IF('ORDENES'!$T271="preventiva",N275,0)</f>
        <v/>
      </c>
      <c r="P275" s="17">
        <f>IF('ORDENES'!$T271="correctiva",N275,0)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IF(AND(IF($B$3="(todos)",TRUE,'ORDENES'!$O272=$B$3),IF($D$3="(todos)",TRUE,'ORDENES'!$AF272=$D$3),IF($F$3="(todos)",TRUE,'ORDENES'!$X272=$F$3),IF($H$3="(todos)",TRUE,'ORDENES'!$W272=$H$3),'ORDENES'!$AD272=TRUE,'ORDENES'!$A272&lt;&gt;""),1,0)</f>
        <v/>
      </c>
      <c r="L276" s="3">
        <f>IF(K276=1,IFERROR(MATCH('ORDENES'!$R272,lista_dias,0),9)*1000000000+IFERROR(MATCH('ORDENES'!$AF272,lista_turnos,0),9)*10000000+IFERROR(MATCH('ORDENES'!$AE272,'TECNICOS'!$B$4:$B$15,0),99)*100000+269,9000000000000+269)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IF('ORDENES'!$T272="preventiva",N276,0)</f>
        <v/>
      </c>
      <c r="P276" s="17">
        <f>IF('ORDENES'!$T272="correctiva",N276,0)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IF(AND(IF($B$3="(todos)",TRUE,'ORDENES'!$O273=$B$3),IF($D$3="(todos)",TRUE,'ORDENES'!$AF273=$D$3),IF($F$3="(todos)",TRUE,'ORDENES'!$X273=$F$3),IF($H$3="(todos)",TRUE,'ORDENES'!$W273=$H$3),'ORDENES'!$AD273=TRUE,'ORDENES'!$A273&lt;&gt;""),1,0)</f>
        <v/>
      </c>
      <c r="L277" s="3">
        <f>IF(K277=1,IFERROR(MATCH('ORDENES'!$R273,lista_dias,0),9)*1000000000+IFERROR(MATCH('ORDENES'!$AF273,lista_turnos,0),9)*10000000+IFERROR(MATCH('ORDENES'!$AE273,'TECNICOS'!$B$4:$B$15,0),99)*100000+270,9000000000000+270)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IF('ORDENES'!$T273="preventiva",N277,0)</f>
        <v/>
      </c>
      <c r="P277" s="17">
        <f>IF('ORDENES'!$T273="correctiva",N277,0)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IF(AND(IF($B$3="(todos)",TRUE,'ORDENES'!$O274=$B$3),IF($D$3="(todos)",TRUE,'ORDENES'!$AF274=$D$3),IF($F$3="(todos)",TRUE,'ORDENES'!$X274=$F$3),IF($H$3="(todos)",TRUE,'ORDENES'!$W274=$H$3),'ORDENES'!$AD274=TRUE,'ORDENES'!$A274&lt;&gt;""),1,0)</f>
        <v/>
      </c>
      <c r="L278" s="3">
        <f>IF(K278=1,IFERROR(MATCH('ORDENES'!$R274,lista_dias,0),9)*1000000000+IFERROR(MATCH('ORDENES'!$AF274,lista_turnos,0),9)*10000000+IFERROR(MATCH('ORDENES'!$AE274,'TECNICOS'!$B$4:$B$15,0),99)*100000+271,9000000000000+271)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IF('ORDENES'!$T274="preventiva",N278,0)</f>
        <v/>
      </c>
      <c r="P278" s="17">
        <f>IF('ORDENES'!$T274="correctiva",N278,0)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IF(AND(IF($B$3="(todos)",TRUE,'ORDENES'!$O275=$B$3),IF($D$3="(todos)",TRUE,'ORDENES'!$AF275=$D$3),IF($F$3="(todos)",TRUE,'ORDENES'!$X275=$F$3),IF($H$3="(todos)",TRUE,'ORDENES'!$W275=$H$3),'ORDENES'!$AD275=TRUE,'ORDENES'!$A275&lt;&gt;""),1,0)</f>
        <v/>
      </c>
      <c r="L279" s="3">
        <f>IF(K279=1,IFERROR(MATCH('ORDENES'!$R275,lista_dias,0),9)*1000000000+IFERROR(MATCH('ORDENES'!$AF275,lista_turnos,0),9)*10000000+IFERROR(MATCH('ORDENES'!$AE275,'TECNICOS'!$B$4:$B$15,0),99)*100000+272,9000000000000+272)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IF('ORDENES'!$T275="preventiva",N279,0)</f>
        <v/>
      </c>
      <c r="P279" s="17">
        <f>IF('ORDENES'!$T275="correctiva",N279,0)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IF(AND(IF($B$3="(todos)",TRUE,'ORDENES'!$O276=$B$3),IF($D$3="(todos)",TRUE,'ORDENES'!$AF276=$D$3),IF($F$3="(todos)",TRUE,'ORDENES'!$X276=$F$3),IF($H$3="(todos)",TRUE,'ORDENES'!$W276=$H$3),'ORDENES'!$AD276=TRUE,'ORDENES'!$A276&lt;&gt;""),1,0)</f>
        <v/>
      </c>
      <c r="L280" s="3">
        <f>IF(K280=1,IFERROR(MATCH('ORDENES'!$R276,lista_dias,0),9)*1000000000+IFERROR(MATCH('ORDENES'!$AF276,lista_turnos,0),9)*10000000+IFERROR(MATCH('ORDENES'!$AE276,'TECNICOS'!$B$4:$B$15,0),99)*100000+273,9000000000000+273)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IF('ORDENES'!$T276="preventiva",N280,0)</f>
        <v/>
      </c>
      <c r="P280" s="17">
        <f>IF('ORDENES'!$T276="correctiva",N280,0)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IF(AND(IF($B$3="(todos)",TRUE,'ORDENES'!$O277=$B$3),IF($D$3="(todos)",TRUE,'ORDENES'!$AF277=$D$3),IF($F$3="(todos)",TRUE,'ORDENES'!$X277=$F$3),IF($H$3="(todos)",TRUE,'ORDENES'!$W277=$H$3),'ORDENES'!$AD277=TRUE,'ORDENES'!$A277&lt;&gt;""),1,0)</f>
        <v/>
      </c>
      <c r="L281" s="3">
        <f>IF(K281=1,IFERROR(MATCH('ORDENES'!$R277,lista_dias,0),9)*1000000000+IFERROR(MATCH('ORDENES'!$AF277,lista_turnos,0),9)*10000000+IFERROR(MATCH('ORDENES'!$AE277,'TECNICOS'!$B$4:$B$15,0),99)*100000+274,9000000000000+274)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IF('ORDENES'!$T277="preventiva",N281,0)</f>
        <v/>
      </c>
      <c r="P281" s="17">
        <f>IF('ORDENES'!$T277="correctiva",N281,0)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IF(AND(IF($B$3="(todos)",TRUE,'ORDENES'!$O278=$B$3),IF($D$3="(todos)",TRUE,'ORDENES'!$AF278=$D$3),IF($F$3="(todos)",TRUE,'ORDENES'!$X278=$F$3),IF($H$3="(todos)",TRUE,'ORDENES'!$W278=$H$3),'ORDENES'!$AD278=TRUE,'ORDENES'!$A278&lt;&gt;""),1,0)</f>
        <v/>
      </c>
      <c r="L282" s="3">
        <f>IF(K282=1,IFERROR(MATCH('ORDENES'!$R278,lista_dias,0),9)*1000000000+IFERROR(MATCH('ORDENES'!$AF278,lista_turnos,0),9)*10000000+IFERROR(MATCH('ORDENES'!$AE278,'TECNICOS'!$B$4:$B$15,0),99)*100000+275,9000000000000+275)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IF('ORDENES'!$T278="preventiva",N282,0)</f>
        <v/>
      </c>
      <c r="P282" s="17">
        <f>IF('ORDENES'!$T278="correctiva",N282,0)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IF(AND(IF($B$3="(todos)",TRUE,'ORDENES'!$O279=$B$3),IF($D$3="(todos)",TRUE,'ORDENES'!$AF279=$D$3),IF($F$3="(todos)",TRUE,'ORDENES'!$X279=$F$3),IF($H$3="(todos)",TRUE,'ORDENES'!$W279=$H$3),'ORDENES'!$AD279=TRUE,'ORDENES'!$A279&lt;&gt;""),1,0)</f>
        <v/>
      </c>
      <c r="L283" s="3">
        <f>IF(K283=1,IFERROR(MATCH('ORDENES'!$R279,lista_dias,0),9)*1000000000+IFERROR(MATCH('ORDENES'!$AF279,lista_turnos,0),9)*10000000+IFERROR(MATCH('ORDENES'!$AE279,'TECNICOS'!$B$4:$B$15,0),99)*100000+276,9000000000000+276)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IF('ORDENES'!$T279="preventiva",N283,0)</f>
        <v/>
      </c>
      <c r="P283" s="17">
        <f>IF('ORDENES'!$T279="correctiva",N283,0)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IF(AND(IF($B$3="(todos)",TRUE,'ORDENES'!$O280=$B$3),IF($D$3="(todos)",TRUE,'ORDENES'!$AF280=$D$3),IF($F$3="(todos)",TRUE,'ORDENES'!$X280=$F$3),IF($H$3="(todos)",TRUE,'ORDENES'!$W280=$H$3),'ORDENES'!$AD280=TRUE,'ORDENES'!$A280&lt;&gt;""),1,0)</f>
        <v/>
      </c>
      <c r="L284" s="3">
        <f>IF(K284=1,IFERROR(MATCH('ORDENES'!$R280,lista_dias,0),9)*1000000000+IFERROR(MATCH('ORDENES'!$AF280,lista_turnos,0),9)*10000000+IFERROR(MATCH('ORDENES'!$AE280,'TECNICOS'!$B$4:$B$15,0),99)*100000+277,9000000000000+277)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IF('ORDENES'!$T280="preventiva",N284,0)</f>
        <v/>
      </c>
      <c r="P284" s="17">
        <f>IF('ORDENES'!$T280="correctiva",N284,0)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IF(AND(IF($B$3="(todos)",TRUE,'ORDENES'!$O281=$B$3),IF($D$3="(todos)",TRUE,'ORDENES'!$AF281=$D$3),IF($F$3="(todos)",TRUE,'ORDENES'!$X281=$F$3),IF($H$3="(todos)",TRUE,'ORDENES'!$W281=$H$3),'ORDENES'!$AD281=TRUE,'ORDENES'!$A281&lt;&gt;""),1,0)</f>
        <v/>
      </c>
      <c r="L285" s="3">
        <f>IF(K285=1,IFERROR(MATCH('ORDENES'!$R281,lista_dias,0),9)*1000000000+IFERROR(MATCH('ORDENES'!$AF281,lista_turnos,0),9)*10000000+IFERROR(MATCH('ORDENES'!$AE281,'TECNICOS'!$B$4:$B$15,0),99)*100000+278,9000000000000+278)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IF('ORDENES'!$T281="preventiva",N285,0)</f>
        <v/>
      </c>
      <c r="P285" s="17">
        <f>IF('ORDENES'!$T281="correctiva",N285,0)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IF(AND(IF($B$3="(todos)",TRUE,'ORDENES'!$O282=$B$3),IF($D$3="(todos)",TRUE,'ORDENES'!$AF282=$D$3),IF($F$3="(todos)",TRUE,'ORDENES'!$X282=$F$3),IF($H$3="(todos)",TRUE,'ORDENES'!$W282=$H$3),'ORDENES'!$AD282=TRUE,'ORDENES'!$A282&lt;&gt;""),1,0)</f>
        <v/>
      </c>
      <c r="L286" s="3">
        <f>IF(K286=1,IFERROR(MATCH('ORDENES'!$R282,lista_dias,0),9)*1000000000+IFERROR(MATCH('ORDENES'!$AF282,lista_turnos,0),9)*10000000+IFERROR(MATCH('ORDENES'!$AE282,'TECNICOS'!$B$4:$B$15,0),99)*100000+279,9000000000000+279)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IF('ORDENES'!$T282="preventiva",N286,0)</f>
        <v/>
      </c>
      <c r="P286" s="17">
        <f>IF('ORDENES'!$T282="correctiva",N286,0)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IF(AND(IF($B$3="(todos)",TRUE,'ORDENES'!$O283=$B$3),IF($D$3="(todos)",TRUE,'ORDENES'!$AF283=$D$3),IF($F$3="(todos)",TRUE,'ORDENES'!$X283=$F$3),IF($H$3="(todos)",TRUE,'ORDENES'!$W283=$H$3),'ORDENES'!$AD283=TRUE,'ORDENES'!$A283&lt;&gt;""),1,0)</f>
        <v/>
      </c>
      <c r="L287" s="3">
        <f>IF(K287=1,IFERROR(MATCH('ORDENES'!$R283,lista_dias,0),9)*1000000000+IFERROR(MATCH('ORDENES'!$AF283,lista_turnos,0),9)*10000000+IFERROR(MATCH('ORDENES'!$AE283,'TECNICOS'!$B$4:$B$15,0),99)*100000+280,9000000000000+280)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IF('ORDENES'!$T283="preventiva",N287,0)</f>
        <v/>
      </c>
      <c r="P287" s="17">
        <f>IF('ORDENES'!$T283="correctiva",N287,0)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IF(AND(IF($B$3="(todos)",TRUE,'ORDENES'!$O284=$B$3),IF($D$3="(todos)",TRUE,'ORDENES'!$AF284=$D$3),IF($F$3="(todos)",TRUE,'ORDENES'!$X284=$F$3),IF($H$3="(todos)",TRUE,'ORDENES'!$W284=$H$3),'ORDENES'!$AD284=TRUE,'ORDENES'!$A284&lt;&gt;""),1,0)</f>
        <v/>
      </c>
      <c r="L288" s="3">
        <f>IF(K288=1,IFERROR(MATCH('ORDENES'!$R284,lista_dias,0),9)*1000000000+IFERROR(MATCH('ORDENES'!$AF284,lista_turnos,0),9)*10000000+IFERROR(MATCH('ORDENES'!$AE284,'TECNICOS'!$B$4:$B$15,0),99)*100000+281,9000000000000+281)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IF('ORDENES'!$T284="preventiva",N288,0)</f>
        <v/>
      </c>
      <c r="P288" s="17">
        <f>IF('ORDENES'!$T284="correctiva",N288,0)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IF(AND(IF($B$3="(todos)",TRUE,'ORDENES'!$O285=$B$3),IF($D$3="(todos)",TRUE,'ORDENES'!$AF285=$D$3),IF($F$3="(todos)",TRUE,'ORDENES'!$X285=$F$3),IF($H$3="(todos)",TRUE,'ORDENES'!$W285=$H$3),'ORDENES'!$AD285=TRUE,'ORDENES'!$A285&lt;&gt;""),1,0)</f>
        <v/>
      </c>
      <c r="L289" s="3">
        <f>IF(K289=1,IFERROR(MATCH('ORDENES'!$R285,lista_dias,0),9)*1000000000+IFERROR(MATCH('ORDENES'!$AF285,lista_turnos,0),9)*10000000+IFERROR(MATCH('ORDENES'!$AE285,'TECNICOS'!$B$4:$B$15,0),99)*100000+282,9000000000000+282)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IF('ORDENES'!$T285="preventiva",N289,0)</f>
        <v/>
      </c>
      <c r="P289" s="17">
        <f>IF('ORDENES'!$T285="correctiva",N289,0)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IF(AND(IF($B$3="(todos)",TRUE,'ORDENES'!$O286=$B$3),IF($D$3="(todos)",TRUE,'ORDENES'!$AF286=$D$3),IF($F$3="(todos)",TRUE,'ORDENES'!$X286=$F$3),IF($H$3="(todos)",TRUE,'ORDENES'!$W286=$H$3),'ORDENES'!$AD286=TRUE,'ORDENES'!$A286&lt;&gt;""),1,0)</f>
        <v/>
      </c>
      <c r="L290" s="3">
        <f>IF(K290=1,IFERROR(MATCH('ORDENES'!$R286,lista_dias,0),9)*1000000000+IFERROR(MATCH('ORDENES'!$AF286,lista_turnos,0),9)*10000000+IFERROR(MATCH('ORDENES'!$AE286,'TECNICOS'!$B$4:$B$15,0),99)*100000+283,9000000000000+283)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IF('ORDENES'!$T286="preventiva",N290,0)</f>
        <v/>
      </c>
      <c r="P290" s="17">
        <f>IF('ORDENES'!$T286="correctiva",N290,0)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IF(AND(IF($B$3="(todos)",TRUE,'ORDENES'!$O287=$B$3),IF($D$3="(todos)",TRUE,'ORDENES'!$AF287=$D$3),IF($F$3="(todos)",TRUE,'ORDENES'!$X287=$F$3),IF($H$3="(todos)",TRUE,'ORDENES'!$W287=$H$3),'ORDENES'!$AD287=TRUE,'ORDENES'!$A287&lt;&gt;""),1,0)</f>
        <v/>
      </c>
      <c r="L291" s="3">
        <f>IF(K291=1,IFERROR(MATCH('ORDENES'!$R287,lista_dias,0),9)*1000000000+IFERROR(MATCH('ORDENES'!$AF287,lista_turnos,0),9)*10000000+IFERROR(MATCH('ORDENES'!$AE287,'TECNICOS'!$B$4:$B$15,0),99)*100000+284,9000000000000+284)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IF('ORDENES'!$T287="preventiva",N291,0)</f>
        <v/>
      </c>
      <c r="P291" s="17">
        <f>IF('ORDENES'!$T287="correctiva",N291,0)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IF(AND(IF($B$3="(todos)",TRUE,'ORDENES'!$O288=$B$3),IF($D$3="(todos)",TRUE,'ORDENES'!$AF288=$D$3),IF($F$3="(todos)",TRUE,'ORDENES'!$X288=$F$3),IF($H$3="(todos)",TRUE,'ORDENES'!$W288=$H$3),'ORDENES'!$AD288=TRUE,'ORDENES'!$A288&lt;&gt;""),1,0)</f>
        <v/>
      </c>
      <c r="L292" s="3">
        <f>IF(K292=1,IFERROR(MATCH('ORDENES'!$R288,lista_dias,0),9)*1000000000+IFERROR(MATCH('ORDENES'!$AF288,lista_turnos,0),9)*10000000+IFERROR(MATCH('ORDENES'!$AE288,'TECNICOS'!$B$4:$B$15,0),99)*100000+285,9000000000000+285)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IF('ORDENES'!$T288="preventiva",N292,0)</f>
        <v/>
      </c>
      <c r="P292" s="17">
        <f>IF('ORDENES'!$T288="correctiva",N292,0)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IF(AND(IF($B$3="(todos)",TRUE,'ORDENES'!$O289=$B$3),IF($D$3="(todos)",TRUE,'ORDENES'!$AF289=$D$3),IF($F$3="(todos)",TRUE,'ORDENES'!$X289=$F$3),IF($H$3="(todos)",TRUE,'ORDENES'!$W289=$H$3),'ORDENES'!$AD289=TRUE,'ORDENES'!$A289&lt;&gt;""),1,0)</f>
        <v/>
      </c>
      <c r="L293" s="3">
        <f>IF(K293=1,IFERROR(MATCH('ORDENES'!$R289,lista_dias,0),9)*1000000000+IFERROR(MATCH('ORDENES'!$AF289,lista_turnos,0),9)*10000000+IFERROR(MATCH('ORDENES'!$AE289,'TECNICOS'!$B$4:$B$15,0),99)*100000+286,9000000000000+286)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IF('ORDENES'!$T289="preventiva",N293,0)</f>
        <v/>
      </c>
      <c r="P293" s="17">
        <f>IF('ORDENES'!$T289="correctiva",N293,0)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IF(AND(IF($B$3="(todos)",TRUE,'ORDENES'!$O290=$B$3),IF($D$3="(todos)",TRUE,'ORDENES'!$AF290=$D$3),IF($F$3="(todos)",TRUE,'ORDENES'!$X290=$F$3),IF($H$3="(todos)",TRUE,'ORDENES'!$W290=$H$3),'ORDENES'!$AD290=TRUE,'ORDENES'!$A290&lt;&gt;""),1,0)</f>
        <v/>
      </c>
      <c r="L294" s="3">
        <f>IF(K294=1,IFERROR(MATCH('ORDENES'!$R290,lista_dias,0),9)*1000000000+IFERROR(MATCH('ORDENES'!$AF290,lista_turnos,0),9)*10000000+IFERROR(MATCH('ORDENES'!$AE290,'TECNICOS'!$B$4:$B$15,0),99)*100000+287,9000000000000+287)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IF('ORDENES'!$T290="preventiva",N294,0)</f>
        <v/>
      </c>
      <c r="P294" s="17">
        <f>IF('ORDENES'!$T290="correctiva",N294,0)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IF(AND(IF($B$3="(todos)",TRUE,'ORDENES'!$O291=$B$3),IF($D$3="(todos)",TRUE,'ORDENES'!$AF291=$D$3),IF($F$3="(todos)",TRUE,'ORDENES'!$X291=$F$3),IF($H$3="(todos)",TRUE,'ORDENES'!$W291=$H$3),'ORDENES'!$AD291=TRUE,'ORDENES'!$A291&lt;&gt;""),1,0)</f>
        <v/>
      </c>
      <c r="L295" s="3">
        <f>IF(K295=1,IFERROR(MATCH('ORDENES'!$R291,lista_dias,0),9)*1000000000+IFERROR(MATCH('ORDENES'!$AF291,lista_turnos,0),9)*10000000+IFERROR(MATCH('ORDENES'!$AE291,'TECNICOS'!$B$4:$B$15,0),99)*100000+288,9000000000000+288)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IF('ORDENES'!$T291="preventiva",N295,0)</f>
        <v/>
      </c>
      <c r="P295" s="17">
        <f>IF('ORDENES'!$T291="correctiva",N295,0)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IF(AND(IF($B$3="(todos)",TRUE,'ORDENES'!$O292=$B$3),IF($D$3="(todos)",TRUE,'ORDENES'!$AF292=$D$3),IF($F$3="(todos)",TRUE,'ORDENES'!$X292=$F$3),IF($H$3="(todos)",TRUE,'ORDENES'!$W292=$H$3),'ORDENES'!$AD292=TRUE,'ORDENES'!$A292&lt;&gt;""),1,0)</f>
        <v/>
      </c>
      <c r="L296" s="3">
        <f>IF(K296=1,IFERROR(MATCH('ORDENES'!$R292,lista_dias,0),9)*1000000000+IFERROR(MATCH('ORDENES'!$AF292,lista_turnos,0),9)*10000000+IFERROR(MATCH('ORDENES'!$AE292,'TECNICOS'!$B$4:$B$15,0),99)*100000+289,9000000000000+289)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IF('ORDENES'!$T292="preventiva",N296,0)</f>
        <v/>
      </c>
      <c r="P296" s="17">
        <f>IF('ORDENES'!$T292="correctiva",N296,0)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IF(AND(IF($B$3="(todos)",TRUE,'ORDENES'!$O293=$B$3),IF($D$3="(todos)",TRUE,'ORDENES'!$AF293=$D$3),IF($F$3="(todos)",TRUE,'ORDENES'!$X293=$F$3),IF($H$3="(todos)",TRUE,'ORDENES'!$W293=$H$3),'ORDENES'!$AD293=TRUE,'ORDENES'!$A293&lt;&gt;""),1,0)</f>
        <v/>
      </c>
      <c r="L297" s="3">
        <f>IF(K297=1,IFERROR(MATCH('ORDENES'!$R293,lista_dias,0),9)*1000000000+IFERROR(MATCH('ORDENES'!$AF293,lista_turnos,0),9)*10000000+IFERROR(MATCH('ORDENES'!$AE293,'TECNICOS'!$B$4:$B$15,0),99)*100000+290,9000000000000+290)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IF('ORDENES'!$T293="preventiva",N297,0)</f>
        <v/>
      </c>
      <c r="P297" s="17">
        <f>IF('ORDENES'!$T293="correctiva",N297,0)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IF(AND(IF($B$3="(todos)",TRUE,'ORDENES'!$O294=$B$3),IF($D$3="(todos)",TRUE,'ORDENES'!$AF294=$D$3),IF($F$3="(todos)",TRUE,'ORDENES'!$X294=$F$3),IF($H$3="(todos)",TRUE,'ORDENES'!$W294=$H$3),'ORDENES'!$AD294=TRUE,'ORDENES'!$A294&lt;&gt;""),1,0)</f>
        <v/>
      </c>
      <c r="L298" s="3">
        <f>IF(K298=1,IFERROR(MATCH('ORDENES'!$R294,lista_dias,0),9)*1000000000+IFERROR(MATCH('ORDENES'!$AF294,lista_turnos,0),9)*10000000+IFERROR(MATCH('ORDENES'!$AE294,'TECNICOS'!$B$4:$B$15,0),99)*100000+291,9000000000000+291)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IF('ORDENES'!$T294="preventiva",N298,0)</f>
        <v/>
      </c>
      <c r="P298" s="17">
        <f>IF('ORDENES'!$T294="correctiva",N298,0)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IF(AND(IF($B$3="(todos)",TRUE,'ORDENES'!$O295=$B$3),IF($D$3="(todos)",TRUE,'ORDENES'!$AF295=$D$3),IF($F$3="(todos)",TRUE,'ORDENES'!$X295=$F$3),IF($H$3="(todos)",TRUE,'ORDENES'!$W295=$H$3),'ORDENES'!$AD295=TRUE,'ORDENES'!$A295&lt;&gt;""),1,0)</f>
        <v/>
      </c>
      <c r="L299" s="3">
        <f>IF(K299=1,IFERROR(MATCH('ORDENES'!$R295,lista_dias,0),9)*1000000000+IFERROR(MATCH('ORDENES'!$AF295,lista_turnos,0),9)*10000000+IFERROR(MATCH('ORDENES'!$AE295,'TECNICOS'!$B$4:$B$15,0),99)*100000+292,9000000000000+292)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IF('ORDENES'!$T295="preventiva",N299,0)</f>
        <v/>
      </c>
      <c r="P299" s="17">
        <f>IF('ORDENES'!$T295="correctiva",N299,0)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IF(AND(IF($B$3="(todos)",TRUE,'ORDENES'!$O296=$B$3),IF($D$3="(todos)",TRUE,'ORDENES'!$AF296=$D$3),IF($F$3="(todos)",TRUE,'ORDENES'!$X296=$F$3),IF($H$3="(todos)",TRUE,'ORDENES'!$W296=$H$3),'ORDENES'!$AD296=TRUE,'ORDENES'!$A296&lt;&gt;""),1,0)</f>
        <v/>
      </c>
      <c r="L300" s="3">
        <f>IF(K300=1,IFERROR(MATCH('ORDENES'!$R296,lista_dias,0),9)*1000000000+IFERROR(MATCH('ORDENES'!$AF296,lista_turnos,0),9)*10000000+IFERROR(MATCH('ORDENES'!$AE296,'TECNICOS'!$B$4:$B$15,0),99)*100000+293,9000000000000+293)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IF('ORDENES'!$T296="preventiva",N300,0)</f>
        <v/>
      </c>
      <c r="P300" s="17">
        <f>IF('ORDENES'!$T296="correctiva",N300,0)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IF(AND(IF($B$3="(todos)",TRUE,'ORDENES'!$O297=$B$3),IF($D$3="(todos)",TRUE,'ORDENES'!$AF297=$D$3),IF($F$3="(todos)",TRUE,'ORDENES'!$X297=$F$3),IF($H$3="(todos)",TRUE,'ORDENES'!$W297=$H$3),'ORDENES'!$AD297=TRUE,'ORDENES'!$A297&lt;&gt;""),1,0)</f>
        <v/>
      </c>
      <c r="L301" s="3">
        <f>IF(K301=1,IFERROR(MATCH('ORDENES'!$R297,lista_dias,0),9)*1000000000+IFERROR(MATCH('ORDENES'!$AF297,lista_turnos,0),9)*10000000+IFERROR(MATCH('ORDENES'!$AE297,'TECNICOS'!$B$4:$B$15,0),99)*100000+294,9000000000000+294)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IF('ORDENES'!$T297="preventiva",N301,0)</f>
        <v/>
      </c>
      <c r="P301" s="17">
        <f>IF('ORDENES'!$T297="correctiva",N301,0)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IF(AND(IF($B$3="(todos)",TRUE,'ORDENES'!$O298=$B$3),IF($D$3="(todos)",TRUE,'ORDENES'!$AF298=$D$3),IF($F$3="(todos)",TRUE,'ORDENES'!$X298=$F$3),IF($H$3="(todos)",TRUE,'ORDENES'!$W298=$H$3),'ORDENES'!$AD298=TRUE,'ORDENES'!$A298&lt;&gt;""),1,0)</f>
        <v/>
      </c>
      <c r="L302" s="3">
        <f>IF(K302=1,IFERROR(MATCH('ORDENES'!$R298,lista_dias,0),9)*1000000000+IFERROR(MATCH('ORDENES'!$AF298,lista_turnos,0),9)*10000000+IFERROR(MATCH('ORDENES'!$AE298,'TECNICOS'!$B$4:$B$15,0),99)*100000+295,9000000000000+295)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IF('ORDENES'!$T298="preventiva",N302,0)</f>
        <v/>
      </c>
      <c r="P302" s="17">
        <f>IF('ORDENES'!$T298="correctiva",N302,0)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IF(AND(IF($B$3="(todos)",TRUE,'ORDENES'!$O299=$B$3),IF($D$3="(todos)",TRUE,'ORDENES'!$AF299=$D$3),IF($F$3="(todos)",TRUE,'ORDENES'!$X299=$F$3),IF($H$3="(todos)",TRUE,'ORDENES'!$W299=$H$3),'ORDENES'!$AD299=TRUE,'ORDENES'!$A299&lt;&gt;""),1,0)</f>
        <v/>
      </c>
      <c r="L303" s="3">
        <f>IF(K303=1,IFERROR(MATCH('ORDENES'!$R299,lista_dias,0),9)*1000000000+IFERROR(MATCH('ORDENES'!$AF299,lista_turnos,0),9)*10000000+IFERROR(MATCH('ORDENES'!$AE299,'TECNICOS'!$B$4:$B$15,0),99)*100000+296,9000000000000+296)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IF('ORDENES'!$T299="preventiva",N303,0)</f>
        <v/>
      </c>
      <c r="P303" s="17">
        <f>IF('ORDENES'!$T299="correctiva",N303,0)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IF(AND(IF($B$3="(todos)",TRUE,'ORDENES'!$O300=$B$3),IF($D$3="(todos)",TRUE,'ORDENES'!$AF300=$D$3),IF($F$3="(todos)",TRUE,'ORDENES'!$X300=$F$3),IF($H$3="(todos)",TRUE,'ORDENES'!$W300=$H$3),'ORDENES'!$AD300=TRUE,'ORDENES'!$A300&lt;&gt;""),1,0)</f>
        <v/>
      </c>
      <c r="L304" s="3">
        <f>IF(K304=1,IFERROR(MATCH('ORDENES'!$R300,lista_dias,0),9)*1000000000+IFERROR(MATCH('ORDENES'!$AF300,lista_turnos,0),9)*10000000+IFERROR(MATCH('ORDENES'!$AE300,'TECNICOS'!$B$4:$B$15,0),99)*100000+297,9000000000000+297)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IF('ORDENES'!$T300="preventiva",N304,0)</f>
        <v/>
      </c>
      <c r="P304" s="17">
        <f>IF('ORDENES'!$T300="correctiva",N304,0)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IF(AND(IF($B$3="(todos)",TRUE,'ORDENES'!$O301=$B$3),IF($D$3="(todos)",TRUE,'ORDENES'!$AF301=$D$3),IF($F$3="(todos)",TRUE,'ORDENES'!$X301=$F$3),IF($H$3="(todos)",TRUE,'ORDENES'!$W301=$H$3),'ORDENES'!$AD301=TRUE,'ORDENES'!$A301&lt;&gt;""),1,0)</f>
        <v/>
      </c>
      <c r="L305" s="3">
        <f>IF(K305=1,IFERROR(MATCH('ORDENES'!$R301,lista_dias,0),9)*1000000000+IFERROR(MATCH('ORDENES'!$AF301,lista_turnos,0),9)*10000000+IFERROR(MATCH('ORDENES'!$AE301,'TECNICOS'!$B$4:$B$15,0),99)*100000+298,9000000000000+298)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IF('ORDENES'!$T301="preventiva",N305,0)</f>
        <v/>
      </c>
      <c r="P305" s="17">
        <f>IF('ORDENES'!$T301="correctiva",N305,0)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IF(AND(IF($B$3="(todos)",TRUE,'ORDENES'!$O302=$B$3),IF($D$3="(todos)",TRUE,'ORDENES'!$AF302=$D$3),IF($F$3="(todos)",TRUE,'ORDENES'!$X302=$F$3),IF($H$3="(todos)",TRUE,'ORDENES'!$W302=$H$3),'ORDENES'!$AD302=TRUE,'ORDENES'!$A302&lt;&gt;""),1,0)</f>
        <v/>
      </c>
      <c r="L306" s="3">
        <f>IF(K306=1,IFERROR(MATCH('ORDENES'!$R302,lista_dias,0),9)*1000000000+IFERROR(MATCH('ORDENES'!$AF302,lista_turnos,0),9)*10000000+IFERROR(MATCH('ORDENES'!$AE302,'TECNICOS'!$B$4:$B$15,0),99)*100000+299,9000000000000+299)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IF('ORDENES'!$T302="preventiva",N306,0)</f>
        <v/>
      </c>
      <c r="P306" s="17">
        <f>IF('ORDENES'!$T302="correctiva",N306,0)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IF(AND(IF($B$3="(todos)",TRUE,'ORDENES'!$O303=$B$3),IF($D$3="(todos)",TRUE,'ORDENES'!$AF303=$D$3),IF($F$3="(todos)",TRUE,'ORDENES'!$X303=$F$3),IF($H$3="(todos)",TRUE,'ORDENES'!$W303=$H$3),'ORDENES'!$AD303=TRUE,'ORDENES'!$A303&lt;&gt;""),1,0)</f>
        <v/>
      </c>
      <c r="L307" s="3">
        <f>IF(K307=1,IFERROR(MATCH('ORDENES'!$R303,lista_dias,0),9)*1000000000+IFERROR(MATCH('ORDENES'!$AF303,lista_turnos,0),9)*10000000+IFERROR(MATCH('ORDENES'!$AE303,'TECNICOS'!$B$4:$B$15,0),99)*100000+300,9000000000000+300)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IF('ORDENES'!$T303="preventiva",N307,0)</f>
        <v/>
      </c>
      <c r="P307" s="17">
        <f>IF('ORDENES'!$T303="correctiva",N307,0)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IF(AND(IF($B$3="(todos)",TRUE,'ORDENES'!$O304=$B$3),IF($D$3="(todos)",TRUE,'ORDENES'!$AF304=$D$3),IF($F$3="(todos)",TRUE,'ORDENES'!$X304=$F$3),IF($H$3="(todos)",TRUE,'ORDENES'!$W304=$H$3),'ORDENES'!$AD304=TRUE,'ORDENES'!$A304&lt;&gt;""),1,0)</f>
        <v/>
      </c>
      <c r="L308" s="3">
        <f>IF(K308=1,IFERROR(MATCH('ORDENES'!$R304,lista_dias,0),9)*1000000000+IFERROR(MATCH('ORDENES'!$AF304,lista_turnos,0),9)*10000000+IFERROR(MATCH('ORDENES'!$AE304,'TECNICOS'!$B$4:$B$15,0),99)*100000+301,9000000000000+301)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IF('ORDENES'!$T304="preventiva",N308,0)</f>
        <v/>
      </c>
      <c r="P308" s="17">
        <f>IF('ORDENES'!$T304="correctiva",N308,0)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IF(AND(IF($B$3="(todos)",TRUE,'ORDENES'!$O305=$B$3),IF($D$3="(todos)",TRUE,'ORDENES'!$AF305=$D$3),IF($F$3="(todos)",TRUE,'ORDENES'!$X305=$F$3),IF($H$3="(todos)",TRUE,'ORDENES'!$W305=$H$3),'ORDENES'!$AD305=TRUE,'ORDENES'!$A305&lt;&gt;""),1,0)</f>
        <v/>
      </c>
      <c r="L309" s="3">
        <f>IF(K309=1,IFERROR(MATCH('ORDENES'!$R305,lista_dias,0),9)*1000000000+IFERROR(MATCH('ORDENES'!$AF305,lista_turnos,0),9)*10000000+IFERROR(MATCH('ORDENES'!$AE305,'TECNICOS'!$B$4:$B$15,0),99)*100000+302,9000000000000+302)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IF('ORDENES'!$T305="preventiva",N309,0)</f>
        <v/>
      </c>
      <c r="P309" s="17">
        <f>IF('ORDENES'!$T305="correctiva",N309,0)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IF(AND(IF($B$3="(todos)",TRUE,'ORDENES'!$O306=$B$3),IF($D$3="(todos)",TRUE,'ORDENES'!$AF306=$D$3),IF($F$3="(todos)",TRUE,'ORDENES'!$X306=$F$3),IF($H$3="(todos)",TRUE,'ORDENES'!$W306=$H$3),'ORDENES'!$AD306=TRUE,'ORDENES'!$A306&lt;&gt;""),1,0)</f>
        <v/>
      </c>
      <c r="L310" s="3">
        <f>IF(K310=1,IFERROR(MATCH('ORDENES'!$R306,lista_dias,0),9)*1000000000+IFERROR(MATCH('ORDENES'!$AF306,lista_turnos,0),9)*10000000+IFERROR(MATCH('ORDENES'!$AE306,'TECNICOS'!$B$4:$B$15,0),99)*100000+303,9000000000000+303)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IF('ORDENES'!$T306="preventiva",N310,0)</f>
        <v/>
      </c>
      <c r="P310" s="17">
        <f>IF('ORDENES'!$T306="correctiva",N310,0)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IF(AND(IF($B$3="(todos)",TRUE,'ORDENES'!$O307=$B$3),IF($D$3="(todos)",TRUE,'ORDENES'!$AF307=$D$3),IF($F$3="(todos)",TRUE,'ORDENES'!$X307=$F$3),IF($H$3="(todos)",TRUE,'ORDENES'!$W307=$H$3),'ORDENES'!$AD307=TRUE,'ORDENES'!$A307&lt;&gt;""),1,0)</f>
        <v/>
      </c>
      <c r="L311" s="3">
        <f>IF(K311=1,IFERROR(MATCH('ORDENES'!$R307,lista_dias,0),9)*1000000000+IFERROR(MATCH('ORDENES'!$AF307,lista_turnos,0),9)*10000000+IFERROR(MATCH('ORDENES'!$AE307,'TECNICOS'!$B$4:$B$15,0),99)*100000+304,9000000000000+304)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IF('ORDENES'!$T307="preventiva",N311,0)</f>
        <v/>
      </c>
      <c r="P311" s="17">
        <f>IF('ORDENES'!$T307="correctiva",N311,0)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IF(AND(IF($B$3="(todos)",TRUE,'ORDENES'!$O308=$B$3),IF($D$3="(todos)",TRUE,'ORDENES'!$AF308=$D$3),IF($F$3="(todos)",TRUE,'ORDENES'!$X308=$F$3),IF($H$3="(todos)",TRUE,'ORDENES'!$W308=$H$3),'ORDENES'!$AD308=TRUE,'ORDENES'!$A308&lt;&gt;""),1,0)</f>
        <v/>
      </c>
      <c r="L312" s="3">
        <f>IF(K312=1,IFERROR(MATCH('ORDENES'!$R308,lista_dias,0),9)*1000000000+IFERROR(MATCH('ORDENES'!$AF308,lista_turnos,0),9)*10000000+IFERROR(MATCH('ORDENES'!$AE308,'TECNICOS'!$B$4:$B$15,0),99)*100000+305,9000000000000+305)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IF('ORDENES'!$T308="preventiva",N312,0)</f>
        <v/>
      </c>
      <c r="P312" s="17">
        <f>IF('ORDENES'!$T308="correctiva",N312,0)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IF(AND(IF($B$3="(todos)",TRUE,'ORDENES'!$O309=$B$3),IF($D$3="(todos)",TRUE,'ORDENES'!$AF309=$D$3),IF($F$3="(todos)",TRUE,'ORDENES'!$X309=$F$3),IF($H$3="(todos)",TRUE,'ORDENES'!$W309=$H$3),'ORDENES'!$AD309=TRUE,'ORDENES'!$A309&lt;&gt;""),1,0)</f>
        <v/>
      </c>
      <c r="L313" s="3">
        <f>IF(K313=1,IFERROR(MATCH('ORDENES'!$R309,lista_dias,0),9)*1000000000+IFERROR(MATCH('ORDENES'!$AF309,lista_turnos,0),9)*10000000+IFERROR(MATCH('ORDENES'!$AE309,'TECNICOS'!$B$4:$B$15,0),99)*100000+306,9000000000000+306)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IF('ORDENES'!$T309="preventiva",N313,0)</f>
        <v/>
      </c>
      <c r="P313" s="17">
        <f>IF('ORDENES'!$T309="correctiva",N313,0)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IF(AND(IF($B$3="(todos)",TRUE,'ORDENES'!$O310=$B$3),IF($D$3="(todos)",TRUE,'ORDENES'!$AF310=$D$3),IF($F$3="(todos)",TRUE,'ORDENES'!$X310=$F$3),IF($H$3="(todos)",TRUE,'ORDENES'!$W310=$H$3),'ORDENES'!$AD310=TRUE,'ORDENES'!$A310&lt;&gt;""),1,0)</f>
        <v/>
      </c>
      <c r="L314" s="3">
        <f>IF(K314=1,IFERROR(MATCH('ORDENES'!$R310,lista_dias,0),9)*1000000000+IFERROR(MATCH('ORDENES'!$AF310,lista_turnos,0),9)*10000000+IFERROR(MATCH('ORDENES'!$AE310,'TECNICOS'!$B$4:$B$15,0),99)*100000+307,9000000000000+307)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IF('ORDENES'!$T310="preventiva",N314,0)</f>
        <v/>
      </c>
      <c r="P314" s="17">
        <f>IF('ORDENES'!$T310="correctiva",N314,0)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IF(AND(IF($B$3="(todos)",TRUE,'ORDENES'!$O311=$B$3),IF($D$3="(todos)",TRUE,'ORDENES'!$AF311=$D$3),IF($F$3="(todos)",TRUE,'ORDENES'!$X311=$F$3),IF($H$3="(todos)",TRUE,'ORDENES'!$W311=$H$3),'ORDENES'!$AD311=TRUE,'ORDENES'!$A311&lt;&gt;""),1,0)</f>
        <v/>
      </c>
      <c r="L315" s="3">
        <f>IF(K315=1,IFERROR(MATCH('ORDENES'!$R311,lista_dias,0),9)*1000000000+IFERROR(MATCH('ORDENES'!$AF311,lista_turnos,0),9)*10000000+IFERROR(MATCH('ORDENES'!$AE311,'TECNICOS'!$B$4:$B$15,0),99)*100000+308,9000000000000+308)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IF('ORDENES'!$T311="preventiva",N315,0)</f>
        <v/>
      </c>
      <c r="P315" s="17">
        <f>IF('ORDENES'!$T311="correctiva",N315,0)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IF(AND(IF($B$3="(todos)",TRUE,'ORDENES'!$O312=$B$3),IF($D$3="(todos)",TRUE,'ORDENES'!$AF312=$D$3),IF($F$3="(todos)",TRUE,'ORDENES'!$X312=$F$3),IF($H$3="(todos)",TRUE,'ORDENES'!$W312=$H$3),'ORDENES'!$AD312=TRUE,'ORDENES'!$A312&lt;&gt;""),1,0)</f>
        <v/>
      </c>
      <c r="L316" s="3">
        <f>IF(K316=1,IFERROR(MATCH('ORDENES'!$R312,lista_dias,0),9)*1000000000+IFERROR(MATCH('ORDENES'!$AF312,lista_turnos,0),9)*10000000+IFERROR(MATCH('ORDENES'!$AE312,'TECNICOS'!$B$4:$B$15,0),99)*100000+309,9000000000000+309)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IF('ORDENES'!$T312="preventiva",N316,0)</f>
        <v/>
      </c>
      <c r="P316" s="17">
        <f>IF('ORDENES'!$T312="correctiva",N316,0)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IF(AND(IF($B$3="(todos)",TRUE,'ORDENES'!$O313=$B$3),IF($D$3="(todos)",TRUE,'ORDENES'!$AF313=$D$3),IF($F$3="(todos)",TRUE,'ORDENES'!$X313=$F$3),IF($H$3="(todos)",TRUE,'ORDENES'!$W313=$H$3),'ORDENES'!$AD313=TRUE,'ORDENES'!$A313&lt;&gt;""),1,0)</f>
        <v/>
      </c>
      <c r="L317" s="3">
        <f>IF(K317=1,IFERROR(MATCH('ORDENES'!$R313,lista_dias,0),9)*1000000000+IFERROR(MATCH('ORDENES'!$AF313,lista_turnos,0),9)*10000000+IFERROR(MATCH('ORDENES'!$AE313,'TECNICOS'!$B$4:$B$15,0),99)*100000+310,9000000000000+310)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IF('ORDENES'!$T313="preventiva",N317,0)</f>
        <v/>
      </c>
      <c r="P317" s="17">
        <f>IF('ORDENES'!$T313="correctiva",N317,0)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IF(AND(IF($B$3="(todos)",TRUE,'ORDENES'!$O314=$B$3),IF($D$3="(todos)",TRUE,'ORDENES'!$AF314=$D$3),IF($F$3="(todos)",TRUE,'ORDENES'!$X314=$F$3),IF($H$3="(todos)",TRUE,'ORDENES'!$W314=$H$3),'ORDENES'!$AD314=TRUE,'ORDENES'!$A314&lt;&gt;""),1,0)</f>
        <v/>
      </c>
      <c r="L318" s="3">
        <f>IF(K318=1,IFERROR(MATCH('ORDENES'!$R314,lista_dias,0),9)*1000000000+IFERROR(MATCH('ORDENES'!$AF314,lista_turnos,0),9)*10000000+IFERROR(MATCH('ORDENES'!$AE314,'TECNICOS'!$B$4:$B$15,0),99)*100000+311,9000000000000+311)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IF('ORDENES'!$T314="preventiva",N318,0)</f>
        <v/>
      </c>
      <c r="P318" s="17">
        <f>IF('ORDENES'!$T314="correctiva",N318,0)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IF(AND(IF($B$3="(todos)",TRUE,'ORDENES'!$O315=$B$3),IF($D$3="(todos)",TRUE,'ORDENES'!$AF315=$D$3),IF($F$3="(todos)",TRUE,'ORDENES'!$X315=$F$3),IF($H$3="(todos)",TRUE,'ORDENES'!$W315=$H$3),'ORDENES'!$AD315=TRUE,'ORDENES'!$A315&lt;&gt;""),1,0)</f>
        <v/>
      </c>
      <c r="L319" s="3">
        <f>IF(K319=1,IFERROR(MATCH('ORDENES'!$R315,lista_dias,0),9)*1000000000+IFERROR(MATCH('ORDENES'!$AF315,lista_turnos,0),9)*10000000+IFERROR(MATCH('ORDENES'!$AE315,'TECNICOS'!$B$4:$B$15,0),99)*100000+312,9000000000000+312)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IF('ORDENES'!$T315="preventiva",N319,0)</f>
        <v/>
      </c>
      <c r="P319" s="17">
        <f>IF('ORDENES'!$T315="correctiva",N319,0)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IF(AND(IF($B$3="(todos)",TRUE,'ORDENES'!$O316=$B$3),IF($D$3="(todos)",TRUE,'ORDENES'!$AF316=$D$3),IF($F$3="(todos)",TRUE,'ORDENES'!$X316=$F$3),IF($H$3="(todos)",TRUE,'ORDENES'!$W316=$H$3),'ORDENES'!$AD316=TRUE,'ORDENES'!$A316&lt;&gt;""),1,0)</f>
        <v/>
      </c>
      <c r="L320" s="3">
        <f>IF(K320=1,IFERROR(MATCH('ORDENES'!$R316,lista_dias,0),9)*1000000000+IFERROR(MATCH('ORDENES'!$AF316,lista_turnos,0),9)*10000000+IFERROR(MATCH('ORDENES'!$AE316,'TECNICOS'!$B$4:$B$15,0),99)*100000+313,9000000000000+313)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IF('ORDENES'!$T316="preventiva",N320,0)</f>
        <v/>
      </c>
      <c r="P320" s="17">
        <f>IF('ORDENES'!$T316="correctiva",N320,0)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IF(AND(IF($B$3="(todos)",TRUE,'ORDENES'!$O317=$B$3),IF($D$3="(todos)",TRUE,'ORDENES'!$AF317=$D$3),IF($F$3="(todos)",TRUE,'ORDENES'!$X317=$F$3),IF($H$3="(todos)",TRUE,'ORDENES'!$W317=$H$3),'ORDENES'!$AD317=TRUE,'ORDENES'!$A317&lt;&gt;""),1,0)</f>
        <v/>
      </c>
      <c r="L321" s="3">
        <f>IF(K321=1,IFERROR(MATCH('ORDENES'!$R317,lista_dias,0),9)*1000000000+IFERROR(MATCH('ORDENES'!$AF317,lista_turnos,0),9)*10000000+IFERROR(MATCH('ORDENES'!$AE317,'TECNICOS'!$B$4:$B$15,0),99)*100000+314,9000000000000+314)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IF('ORDENES'!$T317="preventiva",N321,0)</f>
        <v/>
      </c>
      <c r="P321" s="17">
        <f>IF('ORDENES'!$T317="correctiva",N321,0)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IF(AND(IF($B$3="(todos)",TRUE,'ORDENES'!$O318=$B$3),IF($D$3="(todos)",TRUE,'ORDENES'!$AF318=$D$3),IF($F$3="(todos)",TRUE,'ORDENES'!$X318=$F$3),IF($H$3="(todos)",TRUE,'ORDENES'!$W318=$H$3),'ORDENES'!$AD318=TRUE,'ORDENES'!$A318&lt;&gt;""),1,0)</f>
        <v/>
      </c>
      <c r="L322" s="3">
        <f>IF(K322=1,IFERROR(MATCH('ORDENES'!$R318,lista_dias,0),9)*1000000000+IFERROR(MATCH('ORDENES'!$AF318,lista_turnos,0),9)*10000000+IFERROR(MATCH('ORDENES'!$AE318,'TECNICOS'!$B$4:$B$15,0),99)*100000+315,9000000000000+315)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IF('ORDENES'!$T318="preventiva",N322,0)</f>
        <v/>
      </c>
      <c r="P322" s="17">
        <f>IF('ORDENES'!$T318="correctiva",N322,0)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IF(AND(IF($B$3="(todos)",TRUE,'ORDENES'!$O319=$B$3),IF($D$3="(todos)",TRUE,'ORDENES'!$AF319=$D$3),IF($F$3="(todos)",TRUE,'ORDENES'!$X319=$F$3),IF($H$3="(todos)",TRUE,'ORDENES'!$W319=$H$3),'ORDENES'!$AD319=TRUE,'ORDENES'!$A319&lt;&gt;""),1,0)</f>
        <v/>
      </c>
      <c r="L323" s="3">
        <f>IF(K323=1,IFERROR(MATCH('ORDENES'!$R319,lista_dias,0),9)*1000000000+IFERROR(MATCH('ORDENES'!$AF319,lista_turnos,0),9)*10000000+IFERROR(MATCH('ORDENES'!$AE319,'TECNICOS'!$B$4:$B$15,0),99)*100000+316,9000000000000+316)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IF('ORDENES'!$T319="preventiva",N323,0)</f>
        <v/>
      </c>
      <c r="P323" s="17">
        <f>IF('ORDENES'!$T319="correctiva",N323,0)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IF(AND(IF($B$3="(todos)",TRUE,'ORDENES'!$O320=$B$3),IF($D$3="(todos)",TRUE,'ORDENES'!$AF320=$D$3),IF($F$3="(todos)",TRUE,'ORDENES'!$X320=$F$3),IF($H$3="(todos)",TRUE,'ORDENES'!$W320=$H$3),'ORDENES'!$AD320=TRUE,'ORDENES'!$A320&lt;&gt;""),1,0)</f>
        <v/>
      </c>
      <c r="L324" s="3">
        <f>IF(K324=1,IFERROR(MATCH('ORDENES'!$R320,lista_dias,0),9)*1000000000+IFERROR(MATCH('ORDENES'!$AF320,lista_turnos,0),9)*10000000+IFERROR(MATCH('ORDENES'!$AE320,'TECNICOS'!$B$4:$B$15,0),99)*100000+317,9000000000000+317)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IF('ORDENES'!$T320="preventiva",N324,0)</f>
        <v/>
      </c>
      <c r="P324" s="17">
        <f>IF('ORDENES'!$T320="correctiva",N324,0)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IF(AND(IF($B$3="(todos)",TRUE,'ORDENES'!$O321=$B$3),IF($D$3="(todos)",TRUE,'ORDENES'!$AF321=$D$3),IF($F$3="(todos)",TRUE,'ORDENES'!$X321=$F$3),IF($H$3="(todos)",TRUE,'ORDENES'!$W321=$H$3),'ORDENES'!$AD321=TRUE,'ORDENES'!$A321&lt;&gt;""),1,0)</f>
        <v/>
      </c>
      <c r="L325" s="3">
        <f>IF(K325=1,IFERROR(MATCH('ORDENES'!$R321,lista_dias,0),9)*1000000000+IFERROR(MATCH('ORDENES'!$AF321,lista_turnos,0),9)*10000000+IFERROR(MATCH('ORDENES'!$AE321,'TECNICOS'!$B$4:$B$15,0),99)*100000+318,9000000000000+318)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IF('ORDENES'!$T321="preventiva",N325,0)</f>
        <v/>
      </c>
      <c r="P325" s="17">
        <f>IF('ORDENES'!$T321="correctiva",N325,0)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IF(AND(IF($B$3="(todos)",TRUE,'ORDENES'!$O322=$B$3),IF($D$3="(todos)",TRUE,'ORDENES'!$AF322=$D$3),IF($F$3="(todos)",TRUE,'ORDENES'!$X322=$F$3),IF($H$3="(todos)",TRUE,'ORDENES'!$W322=$H$3),'ORDENES'!$AD322=TRUE,'ORDENES'!$A322&lt;&gt;""),1,0)</f>
        <v/>
      </c>
      <c r="L326" s="3">
        <f>IF(K326=1,IFERROR(MATCH('ORDENES'!$R322,lista_dias,0),9)*1000000000+IFERROR(MATCH('ORDENES'!$AF322,lista_turnos,0),9)*10000000+IFERROR(MATCH('ORDENES'!$AE322,'TECNICOS'!$B$4:$B$15,0),99)*100000+319,9000000000000+319)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IF('ORDENES'!$T322="preventiva",N326,0)</f>
        <v/>
      </c>
      <c r="P326" s="17">
        <f>IF('ORDENES'!$T322="correctiva",N326,0)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IF(AND(IF($B$3="(todos)",TRUE,'ORDENES'!$O323=$B$3),IF($D$3="(todos)",TRUE,'ORDENES'!$AF323=$D$3),IF($F$3="(todos)",TRUE,'ORDENES'!$X323=$F$3),IF($H$3="(todos)",TRUE,'ORDENES'!$W323=$H$3),'ORDENES'!$AD323=TRUE,'ORDENES'!$A323&lt;&gt;""),1,0)</f>
        <v/>
      </c>
      <c r="L327" s="3">
        <f>IF(K327=1,IFERROR(MATCH('ORDENES'!$R323,lista_dias,0),9)*1000000000+IFERROR(MATCH('ORDENES'!$AF323,lista_turnos,0),9)*10000000+IFERROR(MATCH('ORDENES'!$AE323,'TECNICOS'!$B$4:$B$15,0),99)*100000+320,9000000000000+320)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IF('ORDENES'!$T323="preventiva",N327,0)</f>
        <v/>
      </c>
      <c r="P327" s="17">
        <f>IF('ORDENES'!$T323="correctiva",N327,0)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IF(AND(IF($B$3="(todos)",TRUE,'ORDENES'!$O324=$B$3),IF($D$3="(todos)",TRUE,'ORDENES'!$AF324=$D$3),IF($F$3="(todos)",TRUE,'ORDENES'!$X324=$F$3),IF($H$3="(todos)",TRUE,'ORDENES'!$W324=$H$3),'ORDENES'!$AD324=TRUE,'ORDENES'!$A324&lt;&gt;""),1,0)</f>
        <v/>
      </c>
      <c r="L328" s="3">
        <f>IF(K328=1,IFERROR(MATCH('ORDENES'!$R324,lista_dias,0),9)*1000000000+IFERROR(MATCH('ORDENES'!$AF324,lista_turnos,0),9)*10000000+IFERROR(MATCH('ORDENES'!$AE324,'TECNICOS'!$B$4:$B$15,0),99)*100000+321,9000000000000+321)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IF('ORDENES'!$T324="preventiva",N328,0)</f>
        <v/>
      </c>
      <c r="P328" s="17">
        <f>IF('ORDENES'!$T324="correctiva",N328,0)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IF(AND(IF($B$3="(todos)",TRUE,'ORDENES'!$O325=$B$3),IF($D$3="(todos)",TRUE,'ORDENES'!$AF325=$D$3),IF($F$3="(todos)",TRUE,'ORDENES'!$X325=$F$3),IF($H$3="(todos)",TRUE,'ORDENES'!$W325=$H$3),'ORDENES'!$AD325=TRUE,'ORDENES'!$A325&lt;&gt;""),1,0)</f>
        <v/>
      </c>
      <c r="L329" s="3">
        <f>IF(K329=1,IFERROR(MATCH('ORDENES'!$R325,lista_dias,0),9)*1000000000+IFERROR(MATCH('ORDENES'!$AF325,lista_turnos,0),9)*10000000+IFERROR(MATCH('ORDENES'!$AE325,'TECNICOS'!$B$4:$B$15,0),99)*100000+322,9000000000000+322)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IF('ORDENES'!$T325="preventiva",N329,0)</f>
        <v/>
      </c>
      <c r="P329" s="17">
        <f>IF('ORDENES'!$T325="correctiva",N329,0)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IF(AND(IF($B$3="(todos)",TRUE,'ORDENES'!$O326=$B$3),IF($D$3="(todos)",TRUE,'ORDENES'!$AF326=$D$3),IF($F$3="(todos)",TRUE,'ORDENES'!$X326=$F$3),IF($H$3="(todos)",TRUE,'ORDENES'!$W326=$H$3),'ORDENES'!$AD326=TRUE,'ORDENES'!$A326&lt;&gt;""),1,0)</f>
        <v/>
      </c>
      <c r="L330" s="3">
        <f>IF(K330=1,IFERROR(MATCH('ORDENES'!$R326,lista_dias,0),9)*1000000000+IFERROR(MATCH('ORDENES'!$AF326,lista_turnos,0),9)*10000000+IFERROR(MATCH('ORDENES'!$AE326,'TECNICOS'!$B$4:$B$15,0),99)*100000+323,9000000000000+323)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IF('ORDENES'!$T326="preventiva",N330,0)</f>
        <v/>
      </c>
      <c r="P330" s="17">
        <f>IF('ORDENES'!$T326="correctiva",N330,0)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IF(AND(IF($B$3="(todos)",TRUE,'ORDENES'!$O327=$B$3),IF($D$3="(todos)",TRUE,'ORDENES'!$AF327=$D$3),IF($F$3="(todos)",TRUE,'ORDENES'!$X327=$F$3),IF($H$3="(todos)",TRUE,'ORDENES'!$W327=$H$3),'ORDENES'!$AD327=TRUE,'ORDENES'!$A327&lt;&gt;""),1,0)</f>
        <v/>
      </c>
      <c r="L331" s="3">
        <f>IF(K331=1,IFERROR(MATCH('ORDENES'!$R327,lista_dias,0),9)*1000000000+IFERROR(MATCH('ORDENES'!$AF327,lista_turnos,0),9)*10000000+IFERROR(MATCH('ORDENES'!$AE327,'TECNICOS'!$B$4:$B$15,0),99)*100000+324,9000000000000+324)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IF('ORDENES'!$T327="preventiva",N331,0)</f>
        <v/>
      </c>
      <c r="P331" s="17">
        <f>IF('ORDENES'!$T327="correctiva",N331,0)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IF(AND(IF($B$3="(todos)",TRUE,'ORDENES'!$O328=$B$3),IF($D$3="(todos)",TRUE,'ORDENES'!$AF328=$D$3),IF($F$3="(todos)",TRUE,'ORDENES'!$X328=$F$3),IF($H$3="(todos)",TRUE,'ORDENES'!$W328=$H$3),'ORDENES'!$AD328=TRUE,'ORDENES'!$A328&lt;&gt;""),1,0)</f>
        <v/>
      </c>
      <c r="L332" s="3">
        <f>IF(K332=1,IFERROR(MATCH('ORDENES'!$R328,lista_dias,0),9)*1000000000+IFERROR(MATCH('ORDENES'!$AF328,lista_turnos,0),9)*10000000+IFERROR(MATCH('ORDENES'!$AE328,'TECNICOS'!$B$4:$B$15,0),99)*100000+325,9000000000000+325)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IF('ORDENES'!$T328="preventiva",N332,0)</f>
        <v/>
      </c>
      <c r="P332" s="17">
        <f>IF('ORDENES'!$T328="correctiva",N332,0)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IF(AND(IF($B$3="(todos)",TRUE,'ORDENES'!$O329=$B$3),IF($D$3="(todos)",TRUE,'ORDENES'!$AF329=$D$3),IF($F$3="(todos)",TRUE,'ORDENES'!$X329=$F$3),IF($H$3="(todos)",TRUE,'ORDENES'!$W329=$H$3),'ORDENES'!$AD329=TRUE,'ORDENES'!$A329&lt;&gt;""),1,0)</f>
        <v/>
      </c>
      <c r="L333" s="3">
        <f>IF(K333=1,IFERROR(MATCH('ORDENES'!$R329,lista_dias,0),9)*1000000000+IFERROR(MATCH('ORDENES'!$AF329,lista_turnos,0),9)*10000000+IFERROR(MATCH('ORDENES'!$AE329,'TECNICOS'!$B$4:$B$15,0),99)*100000+326,9000000000000+326)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IF('ORDENES'!$T329="preventiva",N333,0)</f>
        <v/>
      </c>
      <c r="P333" s="17">
        <f>IF('ORDENES'!$T329="correctiva",N333,0)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IF(AND(IF($B$3="(todos)",TRUE,'ORDENES'!$O330=$B$3),IF($D$3="(todos)",TRUE,'ORDENES'!$AF330=$D$3),IF($F$3="(todos)",TRUE,'ORDENES'!$X330=$F$3),IF($H$3="(todos)",TRUE,'ORDENES'!$W330=$H$3),'ORDENES'!$AD330=TRUE,'ORDENES'!$A330&lt;&gt;""),1,0)</f>
        <v/>
      </c>
      <c r="L334" s="3">
        <f>IF(K334=1,IFERROR(MATCH('ORDENES'!$R330,lista_dias,0),9)*1000000000+IFERROR(MATCH('ORDENES'!$AF330,lista_turnos,0),9)*10000000+IFERROR(MATCH('ORDENES'!$AE330,'TECNICOS'!$B$4:$B$15,0),99)*100000+327,9000000000000+327)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IF('ORDENES'!$T330="preventiva",N334,0)</f>
        <v/>
      </c>
      <c r="P334" s="17">
        <f>IF('ORDENES'!$T330="correctiva",N334,0)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IF(AND(IF($B$3="(todos)",TRUE,'ORDENES'!$O331=$B$3),IF($D$3="(todos)",TRUE,'ORDENES'!$AF331=$D$3),IF($F$3="(todos)",TRUE,'ORDENES'!$X331=$F$3),IF($H$3="(todos)",TRUE,'ORDENES'!$W331=$H$3),'ORDENES'!$AD331=TRUE,'ORDENES'!$A331&lt;&gt;""),1,0)</f>
        <v/>
      </c>
      <c r="L335" s="3">
        <f>IF(K335=1,IFERROR(MATCH('ORDENES'!$R331,lista_dias,0),9)*1000000000+IFERROR(MATCH('ORDENES'!$AF331,lista_turnos,0),9)*10000000+IFERROR(MATCH('ORDENES'!$AE331,'TECNICOS'!$B$4:$B$15,0),99)*100000+328,9000000000000+328)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IF('ORDENES'!$T331="preventiva",N335,0)</f>
        <v/>
      </c>
      <c r="P335" s="17">
        <f>IF('ORDENES'!$T331="correctiva",N335,0)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IF(AND(IF($B$3="(todos)",TRUE,'ORDENES'!$O332=$B$3),IF($D$3="(todos)",TRUE,'ORDENES'!$AF332=$D$3),IF($F$3="(todos)",TRUE,'ORDENES'!$X332=$F$3),IF($H$3="(todos)",TRUE,'ORDENES'!$W332=$H$3),'ORDENES'!$AD332=TRUE,'ORDENES'!$A332&lt;&gt;""),1,0)</f>
        <v/>
      </c>
      <c r="L336" s="3">
        <f>IF(K336=1,IFERROR(MATCH('ORDENES'!$R332,lista_dias,0),9)*1000000000+IFERROR(MATCH('ORDENES'!$AF332,lista_turnos,0),9)*10000000+IFERROR(MATCH('ORDENES'!$AE332,'TECNICOS'!$B$4:$B$15,0),99)*100000+329,9000000000000+329)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IF('ORDENES'!$T332="preventiva",N336,0)</f>
        <v/>
      </c>
      <c r="P336" s="17">
        <f>IF('ORDENES'!$T332="correctiva",N336,0)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IF(AND(IF($B$3="(todos)",TRUE,'ORDENES'!$O333=$B$3),IF($D$3="(todos)",TRUE,'ORDENES'!$AF333=$D$3),IF($F$3="(todos)",TRUE,'ORDENES'!$X333=$F$3),IF($H$3="(todos)",TRUE,'ORDENES'!$W333=$H$3),'ORDENES'!$AD333=TRUE,'ORDENES'!$A333&lt;&gt;""),1,0)</f>
        <v/>
      </c>
      <c r="L337" s="3">
        <f>IF(K337=1,IFERROR(MATCH('ORDENES'!$R333,lista_dias,0),9)*1000000000+IFERROR(MATCH('ORDENES'!$AF333,lista_turnos,0),9)*10000000+IFERROR(MATCH('ORDENES'!$AE333,'TECNICOS'!$B$4:$B$15,0),99)*100000+330,9000000000000+330)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IF('ORDENES'!$T333="preventiva",N337,0)</f>
        <v/>
      </c>
      <c r="P337" s="17">
        <f>IF('ORDENES'!$T333="correctiva",N337,0)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IF(AND(IF($B$3="(todos)",TRUE,'ORDENES'!$O334=$B$3),IF($D$3="(todos)",TRUE,'ORDENES'!$AF334=$D$3),IF($F$3="(todos)",TRUE,'ORDENES'!$X334=$F$3),IF($H$3="(todos)",TRUE,'ORDENES'!$W334=$H$3),'ORDENES'!$AD334=TRUE,'ORDENES'!$A334&lt;&gt;""),1,0)</f>
        <v/>
      </c>
      <c r="L338" s="3">
        <f>IF(K338=1,IFERROR(MATCH('ORDENES'!$R334,lista_dias,0),9)*1000000000+IFERROR(MATCH('ORDENES'!$AF334,lista_turnos,0),9)*10000000+IFERROR(MATCH('ORDENES'!$AE334,'TECNICOS'!$B$4:$B$15,0),99)*100000+331,9000000000000+331)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IF('ORDENES'!$T334="preventiva",N338,0)</f>
        <v/>
      </c>
      <c r="P338" s="17">
        <f>IF('ORDENES'!$T334="correctiva",N338,0)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IF(AND(IF($B$3="(todos)",TRUE,'ORDENES'!$O335=$B$3),IF($D$3="(todos)",TRUE,'ORDENES'!$AF335=$D$3),IF($F$3="(todos)",TRUE,'ORDENES'!$X335=$F$3),IF($H$3="(todos)",TRUE,'ORDENES'!$W335=$H$3),'ORDENES'!$AD335=TRUE,'ORDENES'!$A335&lt;&gt;""),1,0)</f>
        <v/>
      </c>
      <c r="L339" s="3">
        <f>IF(K339=1,IFERROR(MATCH('ORDENES'!$R335,lista_dias,0),9)*1000000000+IFERROR(MATCH('ORDENES'!$AF335,lista_turnos,0),9)*10000000+IFERROR(MATCH('ORDENES'!$AE335,'TECNICOS'!$B$4:$B$15,0),99)*100000+332,9000000000000+332)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IF('ORDENES'!$T335="preventiva",N339,0)</f>
        <v/>
      </c>
      <c r="P339" s="17">
        <f>IF('ORDENES'!$T335="correctiva",N339,0)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IF(AND(IF($B$3="(todos)",TRUE,'ORDENES'!$O336=$B$3),IF($D$3="(todos)",TRUE,'ORDENES'!$AF336=$D$3),IF($F$3="(todos)",TRUE,'ORDENES'!$X336=$F$3),IF($H$3="(todos)",TRUE,'ORDENES'!$W336=$H$3),'ORDENES'!$AD336=TRUE,'ORDENES'!$A336&lt;&gt;""),1,0)</f>
        <v/>
      </c>
      <c r="L340" s="3">
        <f>IF(K340=1,IFERROR(MATCH('ORDENES'!$R336,lista_dias,0),9)*1000000000+IFERROR(MATCH('ORDENES'!$AF336,lista_turnos,0),9)*10000000+IFERROR(MATCH('ORDENES'!$AE336,'TECNICOS'!$B$4:$B$15,0),99)*100000+333,9000000000000+333)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IF('ORDENES'!$T336="preventiva",N340,0)</f>
        <v/>
      </c>
      <c r="P340" s="17">
        <f>IF('ORDENES'!$T336="correctiva",N340,0)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IF(AND(IF($B$3="(todos)",TRUE,'ORDENES'!$O337=$B$3),IF($D$3="(todos)",TRUE,'ORDENES'!$AF337=$D$3),IF($F$3="(todos)",TRUE,'ORDENES'!$X337=$F$3),IF($H$3="(todos)",TRUE,'ORDENES'!$W337=$H$3),'ORDENES'!$AD337=TRUE,'ORDENES'!$A337&lt;&gt;""),1,0)</f>
        <v/>
      </c>
      <c r="L341" s="3">
        <f>IF(K341=1,IFERROR(MATCH('ORDENES'!$R337,lista_dias,0),9)*1000000000+IFERROR(MATCH('ORDENES'!$AF337,lista_turnos,0),9)*10000000+IFERROR(MATCH('ORDENES'!$AE337,'TECNICOS'!$B$4:$B$15,0),99)*100000+334,9000000000000+334)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IF('ORDENES'!$T337="preventiva",N341,0)</f>
        <v/>
      </c>
      <c r="P341" s="17">
        <f>IF('ORDENES'!$T337="correctiva",N341,0)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IF(AND(IF($B$3="(todos)",TRUE,'ORDENES'!$O338=$B$3),IF($D$3="(todos)",TRUE,'ORDENES'!$AF338=$D$3),IF($F$3="(todos)",TRUE,'ORDENES'!$X338=$F$3),IF($H$3="(todos)",TRUE,'ORDENES'!$W338=$H$3),'ORDENES'!$AD338=TRUE,'ORDENES'!$A338&lt;&gt;""),1,0)</f>
        <v/>
      </c>
      <c r="L342" s="3">
        <f>IF(K342=1,IFERROR(MATCH('ORDENES'!$R338,lista_dias,0),9)*1000000000+IFERROR(MATCH('ORDENES'!$AF338,lista_turnos,0),9)*10000000+IFERROR(MATCH('ORDENES'!$AE338,'TECNICOS'!$B$4:$B$15,0),99)*100000+335,9000000000000+335)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IF('ORDENES'!$T338="preventiva",N342,0)</f>
        <v/>
      </c>
      <c r="P342" s="17">
        <f>IF('ORDENES'!$T338="correctiva",N342,0)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IF(AND(IF($B$3="(todos)",TRUE,'ORDENES'!$O339=$B$3),IF($D$3="(todos)",TRUE,'ORDENES'!$AF339=$D$3),IF($F$3="(todos)",TRUE,'ORDENES'!$X339=$F$3),IF($H$3="(todos)",TRUE,'ORDENES'!$W339=$H$3),'ORDENES'!$AD339=TRUE,'ORDENES'!$A339&lt;&gt;""),1,0)</f>
        <v/>
      </c>
      <c r="L343" s="3">
        <f>IF(K343=1,IFERROR(MATCH('ORDENES'!$R339,lista_dias,0),9)*1000000000+IFERROR(MATCH('ORDENES'!$AF339,lista_turnos,0),9)*10000000+IFERROR(MATCH('ORDENES'!$AE339,'TECNICOS'!$B$4:$B$15,0),99)*100000+336,9000000000000+336)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IF('ORDENES'!$T339="preventiva",N343,0)</f>
        <v/>
      </c>
      <c r="P343" s="17">
        <f>IF('ORDENES'!$T339="correctiva",N343,0)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IF(AND(IF($B$3="(todos)",TRUE,'ORDENES'!$O340=$B$3),IF($D$3="(todos)",TRUE,'ORDENES'!$AF340=$D$3),IF($F$3="(todos)",TRUE,'ORDENES'!$X340=$F$3),IF($H$3="(todos)",TRUE,'ORDENES'!$W340=$H$3),'ORDENES'!$AD340=TRUE,'ORDENES'!$A340&lt;&gt;""),1,0)</f>
        <v/>
      </c>
      <c r="L344" s="3">
        <f>IF(K344=1,IFERROR(MATCH('ORDENES'!$R340,lista_dias,0),9)*1000000000+IFERROR(MATCH('ORDENES'!$AF340,lista_turnos,0),9)*10000000+IFERROR(MATCH('ORDENES'!$AE340,'TECNICOS'!$B$4:$B$15,0),99)*100000+337,9000000000000+337)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IF('ORDENES'!$T340="preventiva",N344,0)</f>
        <v/>
      </c>
      <c r="P344" s="17">
        <f>IF('ORDENES'!$T340="correctiva",N344,0)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IF(AND(IF($B$3="(todos)",TRUE,'ORDENES'!$O341=$B$3),IF($D$3="(todos)",TRUE,'ORDENES'!$AF341=$D$3),IF($F$3="(todos)",TRUE,'ORDENES'!$X341=$F$3),IF($H$3="(todos)",TRUE,'ORDENES'!$W341=$H$3),'ORDENES'!$AD341=TRUE,'ORDENES'!$A341&lt;&gt;""),1,0)</f>
        <v/>
      </c>
      <c r="L345" s="3">
        <f>IF(K345=1,IFERROR(MATCH('ORDENES'!$R341,lista_dias,0),9)*1000000000+IFERROR(MATCH('ORDENES'!$AF341,lista_turnos,0),9)*10000000+IFERROR(MATCH('ORDENES'!$AE341,'TECNICOS'!$B$4:$B$15,0),99)*100000+338,9000000000000+338)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IF('ORDENES'!$T341="preventiva",N345,0)</f>
        <v/>
      </c>
      <c r="P345" s="17">
        <f>IF('ORDENES'!$T341="correctiva",N345,0)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IF(AND(IF($B$3="(todos)",TRUE,'ORDENES'!$O342=$B$3),IF($D$3="(todos)",TRUE,'ORDENES'!$AF342=$D$3),IF($F$3="(todos)",TRUE,'ORDENES'!$X342=$F$3),IF($H$3="(todos)",TRUE,'ORDENES'!$W342=$H$3),'ORDENES'!$AD342=TRUE,'ORDENES'!$A342&lt;&gt;""),1,0)</f>
        <v/>
      </c>
      <c r="L346" s="3">
        <f>IF(K346=1,IFERROR(MATCH('ORDENES'!$R342,lista_dias,0),9)*1000000000+IFERROR(MATCH('ORDENES'!$AF342,lista_turnos,0),9)*10000000+IFERROR(MATCH('ORDENES'!$AE342,'TECNICOS'!$B$4:$B$15,0),99)*100000+339,9000000000000+339)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IF('ORDENES'!$T342="preventiva",N346,0)</f>
        <v/>
      </c>
      <c r="P346" s="17">
        <f>IF('ORDENES'!$T342="correctiva",N346,0)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IF(AND(IF($B$3="(todos)",TRUE,'ORDENES'!$O343=$B$3),IF($D$3="(todos)",TRUE,'ORDENES'!$AF343=$D$3),IF($F$3="(todos)",TRUE,'ORDENES'!$X343=$F$3),IF($H$3="(todos)",TRUE,'ORDENES'!$W343=$H$3),'ORDENES'!$AD343=TRUE,'ORDENES'!$A343&lt;&gt;""),1,0)</f>
        <v/>
      </c>
      <c r="L347" s="3">
        <f>IF(K347=1,IFERROR(MATCH('ORDENES'!$R343,lista_dias,0),9)*1000000000+IFERROR(MATCH('ORDENES'!$AF343,lista_turnos,0),9)*10000000+IFERROR(MATCH('ORDENES'!$AE343,'TECNICOS'!$B$4:$B$15,0),99)*100000+340,9000000000000+340)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IF('ORDENES'!$T343="preventiva",N347,0)</f>
        <v/>
      </c>
      <c r="P347" s="17">
        <f>IF('ORDENES'!$T343="correctiva",N347,0)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IF(AND(IF($B$3="(todos)",TRUE,'ORDENES'!$O344=$B$3),IF($D$3="(todos)",TRUE,'ORDENES'!$AF344=$D$3),IF($F$3="(todos)",TRUE,'ORDENES'!$X344=$F$3),IF($H$3="(todos)",TRUE,'ORDENES'!$W344=$H$3),'ORDENES'!$AD344=TRUE,'ORDENES'!$A344&lt;&gt;""),1,0)</f>
        <v/>
      </c>
      <c r="L348" s="3">
        <f>IF(K348=1,IFERROR(MATCH('ORDENES'!$R344,lista_dias,0),9)*1000000000+IFERROR(MATCH('ORDENES'!$AF344,lista_turnos,0),9)*10000000+IFERROR(MATCH('ORDENES'!$AE344,'TECNICOS'!$B$4:$B$15,0),99)*100000+341,9000000000000+341)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IF('ORDENES'!$T344="preventiva",N348,0)</f>
        <v/>
      </c>
      <c r="P348" s="17">
        <f>IF('ORDENES'!$T344="correctiva",N348,0)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IF(AND(IF($B$3="(todos)",TRUE,'ORDENES'!$O345=$B$3),IF($D$3="(todos)",TRUE,'ORDENES'!$AF345=$D$3),IF($F$3="(todos)",TRUE,'ORDENES'!$X345=$F$3),IF($H$3="(todos)",TRUE,'ORDENES'!$W345=$H$3),'ORDENES'!$AD345=TRUE,'ORDENES'!$A345&lt;&gt;""),1,0)</f>
        <v/>
      </c>
      <c r="L349" s="3">
        <f>IF(K349=1,IFERROR(MATCH('ORDENES'!$R345,lista_dias,0),9)*1000000000+IFERROR(MATCH('ORDENES'!$AF345,lista_turnos,0),9)*10000000+IFERROR(MATCH('ORDENES'!$AE345,'TECNICOS'!$B$4:$B$15,0),99)*100000+342,9000000000000+342)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IF('ORDENES'!$T345="preventiva",N349,0)</f>
        <v/>
      </c>
      <c r="P349" s="17">
        <f>IF('ORDENES'!$T345="correctiva",N349,0)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IF(AND(IF($B$3="(todos)",TRUE,'ORDENES'!$O346=$B$3),IF($D$3="(todos)",TRUE,'ORDENES'!$AF346=$D$3),IF($F$3="(todos)",TRUE,'ORDENES'!$X346=$F$3),IF($H$3="(todos)",TRUE,'ORDENES'!$W346=$H$3),'ORDENES'!$AD346=TRUE,'ORDENES'!$A346&lt;&gt;""),1,0)</f>
        <v/>
      </c>
      <c r="L350" s="3">
        <f>IF(K350=1,IFERROR(MATCH('ORDENES'!$R346,lista_dias,0),9)*1000000000+IFERROR(MATCH('ORDENES'!$AF346,lista_turnos,0),9)*10000000+IFERROR(MATCH('ORDENES'!$AE346,'TECNICOS'!$B$4:$B$15,0),99)*100000+343,9000000000000+343)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IF('ORDENES'!$T346="preventiva",N350,0)</f>
        <v/>
      </c>
      <c r="P350" s="17">
        <f>IF('ORDENES'!$T346="correctiva",N350,0)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IF(AND(IF($B$3="(todos)",TRUE,'ORDENES'!$O347=$B$3),IF($D$3="(todos)",TRUE,'ORDENES'!$AF347=$D$3),IF($F$3="(todos)",TRUE,'ORDENES'!$X347=$F$3),IF($H$3="(todos)",TRUE,'ORDENES'!$W347=$H$3),'ORDENES'!$AD347=TRUE,'ORDENES'!$A347&lt;&gt;""),1,0)</f>
        <v/>
      </c>
      <c r="L351" s="3">
        <f>IF(K351=1,IFERROR(MATCH('ORDENES'!$R347,lista_dias,0),9)*1000000000+IFERROR(MATCH('ORDENES'!$AF347,lista_turnos,0),9)*10000000+IFERROR(MATCH('ORDENES'!$AE347,'TECNICOS'!$B$4:$B$15,0),99)*100000+344,9000000000000+344)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IF('ORDENES'!$T347="preventiva",N351,0)</f>
        <v/>
      </c>
      <c r="P351" s="17">
        <f>IF('ORDENES'!$T347="correctiva",N351,0)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IF(AND(IF($B$3="(todos)",TRUE,'ORDENES'!$O348=$B$3),IF($D$3="(todos)",TRUE,'ORDENES'!$AF348=$D$3),IF($F$3="(todos)",TRUE,'ORDENES'!$X348=$F$3),IF($H$3="(todos)",TRUE,'ORDENES'!$W348=$H$3),'ORDENES'!$AD348=TRUE,'ORDENES'!$A348&lt;&gt;""),1,0)</f>
        <v/>
      </c>
      <c r="L352" s="3">
        <f>IF(K352=1,IFERROR(MATCH('ORDENES'!$R348,lista_dias,0),9)*1000000000+IFERROR(MATCH('ORDENES'!$AF348,lista_turnos,0),9)*10000000+IFERROR(MATCH('ORDENES'!$AE348,'TECNICOS'!$B$4:$B$15,0),99)*100000+345,9000000000000+345)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IF('ORDENES'!$T348="preventiva",N352,0)</f>
        <v/>
      </c>
      <c r="P352" s="17">
        <f>IF('ORDENES'!$T348="correctiva",N352,0)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IF(AND(IF($B$3="(todos)",TRUE,'ORDENES'!$O349=$B$3),IF($D$3="(todos)",TRUE,'ORDENES'!$AF349=$D$3),IF($F$3="(todos)",TRUE,'ORDENES'!$X349=$F$3),IF($H$3="(todos)",TRUE,'ORDENES'!$W349=$H$3),'ORDENES'!$AD349=TRUE,'ORDENES'!$A349&lt;&gt;""),1,0)</f>
        <v/>
      </c>
      <c r="L353" s="3">
        <f>IF(K353=1,IFERROR(MATCH('ORDENES'!$R349,lista_dias,0),9)*1000000000+IFERROR(MATCH('ORDENES'!$AF349,lista_turnos,0),9)*10000000+IFERROR(MATCH('ORDENES'!$AE349,'TECNICOS'!$B$4:$B$15,0),99)*100000+346,9000000000000+346)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IF('ORDENES'!$T349="preventiva",N353,0)</f>
        <v/>
      </c>
      <c r="P353" s="17">
        <f>IF('ORDENES'!$T349="correctiva",N353,0)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IF(AND(IF($B$3="(todos)",TRUE,'ORDENES'!$O350=$B$3),IF($D$3="(todos)",TRUE,'ORDENES'!$AF350=$D$3),IF($F$3="(todos)",TRUE,'ORDENES'!$X350=$F$3),IF($H$3="(todos)",TRUE,'ORDENES'!$W350=$H$3),'ORDENES'!$AD350=TRUE,'ORDENES'!$A350&lt;&gt;""),1,0)</f>
        <v/>
      </c>
      <c r="L354" s="3">
        <f>IF(K354=1,IFERROR(MATCH('ORDENES'!$R350,lista_dias,0),9)*1000000000+IFERROR(MATCH('ORDENES'!$AF350,lista_turnos,0),9)*10000000+IFERROR(MATCH('ORDENES'!$AE350,'TECNICOS'!$B$4:$B$15,0),99)*100000+347,9000000000000+347)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IF('ORDENES'!$T350="preventiva",N354,0)</f>
        <v/>
      </c>
      <c r="P354" s="17">
        <f>IF('ORDENES'!$T350="correctiva",N354,0)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IF(AND(IF($B$3="(todos)",TRUE,'ORDENES'!$O351=$B$3),IF($D$3="(todos)",TRUE,'ORDENES'!$AF351=$D$3),IF($F$3="(todos)",TRUE,'ORDENES'!$X351=$F$3),IF($H$3="(todos)",TRUE,'ORDENES'!$W351=$H$3),'ORDENES'!$AD351=TRUE,'ORDENES'!$A351&lt;&gt;""),1,0)</f>
        <v/>
      </c>
      <c r="L355" s="3">
        <f>IF(K355=1,IFERROR(MATCH('ORDENES'!$R351,lista_dias,0),9)*1000000000+IFERROR(MATCH('ORDENES'!$AF351,lista_turnos,0),9)*10000000+IFERROR(MATCH('ORDENES'!$AE351,'TECNICOS'!$B$4:$B$15,0),99)*100000+348,9000000000000+348)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IF('ORDENES'!$T351="preventiva",N355,0)</f>
        <v/>
      </c>
      <c r="P355" s="17">
        <f>IF('ORDENES'!$T351="correctiva",N355,0)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IF(AND(IF($B$3="(todos)",TRUE,'ORDENES'!$O352=$B$3),IF($D$3="(todos)",TRUE,'ORDENES'!$AF352=$D$3),IF($F$3="(todos)",TRUE,'ORDENES'!$X352=$F$3),IF($H$3="(todos)",TRUE,'ORDENES'!$W352=$H$3),'ORDENES'!$AD352=TRUE,'ORDENES'!$A352&lt;&gt;""),1,0)</f>
        <v/>
      </c>
      <c r="L356" s="3">
        <f>IF(K356=1,IFERROR(MATCH('ORDENES'!$R352,lista_dias,0),9)*1000000000+IFERROR(MATCH('ORDENES'!$AF352,lista_turnos,0),9)*10000000+IFERROR(MATCH('ORDENES'!$AE352,'TECNICOS'!$B$4:$B$15,0),99)*100000+349,9000000000000+349)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IF('ORDENES'!$T352="preventiva",N356,0)</f>
        <v/>
      </c>
      <c r="P356" s="17">
        <f>IF('ORDENES'!$T352="correctiva",N356,0)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IF(AND(IF($B$3="(todos)",TRUE,'ORDENES'!$O353=$B$3),IF($D$3="(todos)",TRUE,'ORDENES'!$AF353=$D$3),IF($F$3="(todos)",TRUE,'ORDENES'!$X353=$F$3),IF($H$3="(todos)",TRUE,'ORDENES'!$W353=$H$3),'ORDENES'!$AD353=TRUE,'ORDENES'!$A353&lt;&gt;""),1,0)</f>
        <v/>
      </c>
      <c r="L357" s="3">
        <f>IF(K357=1,IFERROR(MATCH('ORDENES'!$R353,lista_dias,0),9)*1000000000+IFERROR(MATCH('ORDENES'!$AF353,lista_turnos,0),9)*10000000+IFERROR(MATCH('ORDENES'!$AE353,'TECNICOS'!$B$4:$B$15,0),99)*100000+350,9000000000000+350)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IF('ORDENES'!$T353="preventiva",N357,0)</f>
        <v/>
      </c>
      <c r="P357" s="17">
        <f>IF('ORDENES'!$T353="correctiva",N357,0)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IF(AND(IF($B$3="(todos)",TRUE,'ORDENES'!$O354=$B$3),IF($D$3="(todos)",TRUE,'ORDENES'!$AF354=$D$3),IF($F$3="(todos)",TRUE,'ORDENES'!$X354=$F$3),IF($H$3="(todos)",TRUE,'ORDENES'!$W354=$H$3),'ORDENES'!$AD354=TRUE,'ORDENES'!$A354&lt;&gt;""),1,0)</f>
        <v/>
      </c>
      <c r="L358" s="3">
        <f>IF(K358=1,IFERROR(MATCH('ORDENES'!$R354,lista_dias,0),9)*1000000000+IFERROR(MATCH('ORDENES'!$AF354,lista_turnos,0),9)*10000000+IFERROR(MATCH('ORDENES'!$AE354,'TECNICOS'!$B$4:$B$15,0),99)*100000+351,9000000000000+351)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IF('ORDENES'!$T354="preventiva",N358,0)</f>
        <v/>
      </c>
      <c r="P358" s="17">
        <f>IF('ORDENES'!$T354="correctiva",N358,0)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IF(AND(IF($B$3="(todos)",TRUE,'ORDENES'!$O355=$B$3),IF($D$3="(todos)",TRUE,'ORDENES'!$AF355=$D$3),IF($F$3="(todos)",TRUE,'ORDENES'!$X355=$F$3),IF($H$3="(todos)",TRUE,'ORDENES'!$W355=$H$3),'ORDENES'!$AD355=TRUE,'ORDENES'!$A355&lt;&gt;""),1,0)</f>
        <v/>
      </c>
      <c r="L359" s="3">
        <f>IF(K359=1,IFERROR(MATCH('ORDENES'!$R355,lista_dias,0),9)*1000000000+IFERROR(MATCH('ORDENES'!$AF355,lista_turnos,0),9)*10000000+IFERROR(MATCH('ORDENES'!$AE355,'TECNICOS'!$B$4:$B$15,0),99)*100000+352,9000000000000+352)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IF('ORDENES'!$T355="preventiva",N359,0)</f>
        <v/>
      </c>
      <c r="P359" s="17">
        <f>IF('ORDENES'!$T355="correctiva",N359,0)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IF(AND(IF($B$3="(todos)",TRUE,'ORDENES'!$O356=$B$3),IF($D$3="(todos)",TRUE,'ORDENES'!$AF356=$D$3),IF($F$3="(todos)",TRUE,'ORDENES'!$X356=$F$3),IF($H$3="(todos)",TRUE,'ORDENES'!$W356=$H$3),'ORDENES'!$AD356=TRUE,'ORDENES'!$A356&lt;&gt;""),1,0)</f>
        <v/>
      </c>
      <c r="L360" s="3">
        <f>IF(K360=1,IFERROR(MATCH('ORDENES'!$R356,lista_dias,0),9)*1000000000+IFERROR(MATCH('ORDENES'!$AF356,lista_turnos,0),9)*10000000+IFERROR(MATCH('ORDENES'!$AE356,'TECNICOS'!$B$4:$B$15,0),99)*100000+353,9000000000000+353)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IF('ORDENES'!$T356="preventiva",N360,0)</f>
        <v/>
      </c>
      <c r="P360" s="17">
        <f>IF('ORDENES'!$T356="correctiva",N360,0)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IF(AND(IF($B$3="(todos)",TRUE,'ORDENES'!$O357=$B$3),IF($D$3="(todos)",TRUE,'ORDENES'!$AF357=$D$3),IF($F$3="(todos)",TRUE,'ORDENES'!$X357=$F$3),IF($H$3="(todos)",TRUE,'ORDENES'!$W357=$H$3),'ORDENES'!$AD357=TRUE,'ORDENES'!$A357&lt;&gt;""),1,0)</f>
        <v/>
      </c>
      <c r="L361" s="3">
        <f>IF(K361=1,IFERROR(MATCH('ORDENES'!$R357,lista_dias,0),9)*1000000000+IFERROR(MATCH('ORDENES'!$AF357,lista_turnos,0),9)*10000000+IFERROR(MATCH('ORDENES'!$AE357,'TECNICOS'!$B$4:$B$15,0),99)*100000+354,9000000000000+354)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IF('ORDENES'!$T357="preventiva",N361,0)</f>
        <v/>
      </c>
      <c r="P361" s="17">
        <f>IF('ORDENES'!$T357="correctiva",N361,0)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IF(AND(IF($B$3="(todos)",TRUE,'ORDENES'!$O358=$B$3),IF($D$3="(todos)",TRUE,'ORDENES'!$AF358=$D$3),IF($F$3="(todos)",TRUE,'ORDENES'!$X358=$F$3),IF($H$3="(todos)",TRUE,'ORDENES'!$W358=$H$3),'ORDENES'!$AD358=TRUE,'ORDENES'!$A358&lt;&gt;""),1,0)</f>
        <v/>
      </c>
      <c r="L362" s="3">
        <f>IF(K362=1,IFERROR(MATCH('ORDENES'!$R358,lista_dias,0),9)*1000000000+IFERROR(MATCH('ORDENES'!$AF358,lista_turnos,0),9)*10000000+IFERROR(MATCH('ORDENES'!$AE358,'TECNICOS'!$B$4:$B$15,0),99)*100000+355,9000000000000+355)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IF('ORDENES'!$T358="preventiva",N362,0)</f>
        <v/>
      </c>
      <c r="P362" s="17">
        <f>IF('ORDENES'!$T358="correctiva",N362,0)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IF(AND(IF($B$3="(todos)",TRUE,'ORDENES'!$O359=$B$3),IF($D$3="(todos)",TRUE,'ORDENES'!$AF359=$D$3),IF($F$3="(todos)",TRUE,'ORDENES'!$X359=$F$3),IF($H$3="(todos)",TRUE,'ORDENES'!$W359=$H$3),'ORDENES'!$AD359=TRUE,'ORDENES'!$A359&lt;&gt;""),1,0)</f>
        <v/>
      </c>
      <c r="L363" s="3">
        <f>IF(K363=1,IFERROR(MATCH('ORDENES'!$R359,lista_dias,0),9)*1000000000+IFERROR(MATCH('ORDENES'!$AF359,lista_turnos,0),9)*10000000+IFERROR(MATCH('ORDENES'!$AE359,'TECNICOS'!$B$4:$B$15,0),99)*100000+356,9000000000000+356)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IF('ORDENES'!$T359="preventiva",N363,0)</f>
        <v/>
      </c>
      <c r="P363" s="17">
        <f>IF('ORDENES'!$T359="correctiva",N363,0)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IF(AND(IF($B$3="(todos)",TRUE,'ORDENES'!$O360=$B$3),IF($D$3="(todos)",TRUE,'ORDENES'!$AF360=$D$3),IF($F$3="(todos)",TRUE,'ORDENES'!$X360=$F$3),IF($H$3="(todos)",TRUE,'ORDENES'!$W360=$H$3),'ORDENES'!$AD360=TRUE,'ORDENES'!$A360&lt;&gt;""),1,0)</f>
        <v/>
      </c>
      <c r="L364" s="3">
        <f>IF(K364=1,IFERROR(MATCH('ORDENES'!$R360,lista_dias,0),9)*1000000000+IFERROR(MATCH('ORDENES'!$AF360,lista_turnos,0),9)*10000000+IFERROR(MATCH('ORDENES'!$AE360,'TECNICOS'!$B$4:$B$15,0),99)*100000+357,9000000000000+357)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IF('ORDENES'!$T360="preventiva",N364,0)</f>
        <v/>
      </c>
      <c r="P364" s="17">
        <f>IF('ORDENES'!$T360="correctiva",N364,0)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IF(AND(IF($B$3="(todos)",TRUE,'ORDENES'!$O361=$B$3),IF($D$3="(todos)",TRUE,'ORDENES'!$AF361=$D$3),IF($F$3="(todos)",TRUE,'ORDENES'!$X361=$F$3),IF($H$3="(todos)",TRUE,'ORDENES'!$W361=$H$3),'ORDENES'!$AD361=TRUE,'ORDENES'!$A361&lt;&gt;""),1,0)</f>
        <v/>
      </c>
      <c r="L365" s="3">
        <f>IF(K365=1,IFERROR(MATCH('ORDENES'!$R361,lista_dias,0),9)*1000000000+IFERROR(MATCH('ORDENES'!$AF361,lista_turnos,0),9)*10000000+IFERROR(MATCH('ORDENES'!$AE361,'TECNICOS'!$B$4:$B$15,0),99)*100000+358,9000000000000+358)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IF('ORDENES'!$T361="preventiva",N365,0)</f>
        <v/>
      </c>
      <c r="P365" s="17">
        <f>IF('ORDENES'!$T361="correctiva",N365,0)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IF(AND(IF($B$3="(todos)",TRUE,'ORDENES'!$O362=$B$3),IF($D$3="(todos)",TRUE,'ORDENES'!$AF362=$D$3),IF($F$3="(todos)",TRUE,'ORDENES'!$X362=$F$3),IF($H$3="(todos)",TRUE,'ORDENES'!$W362=$H$3),'ORDENES'!$AD362=TRUE,'ORDENES'!$A362&lt;&gt;""),1,0)</f>
        <v/>
      </c>
      <c r="L366" s="3">
        <f>IF(K366=1,IFERROR(MATCH('ORDENES'!$R362,lista_dias,0),9)*1000000000+IFERROR(MATCH('ORDENES'!$AF362,lista_turnos,0),9)*10000000+IFERROR(MATCH('ORDENES'!$AE362,'TECNICOS'!$B$4:$B$15,0),99)*100000+359,9000000000000+359)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IF('ORDENES'!$T362="preventiva",N366,0)</f>
        <v/>
      </c>
      <c r="P366" s="17">
        <f>IF('ORDENES'!$T362="correctiva",N366,0)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IF(AND(IF($B$3="(todos)",TRUE,'ORDENES'!$O363=$B$3),IF($D$3="(todos)",TRUE,'ORDENES'!$AF363=$D$3),IF($F$3="(todos)",TRUE,'ORDENES'!$X363=$F$3),IF($H$3="(todos)",TRUE,'ORDENES'!$W363=$H$3),'ORDENES'!$AD363=TRUE,'ORDENES'!$A363&lt;&gt;""),1,0)</f>
        <v/>
      </c>
      <c r="L367" s="3">
        <f>IF(K367=1,IFERROR(MATCH('ORDENES'!$R363,lista_dias,0),9)*1000000000+IFERROR(MATCH('ORDENES'!$AF363,lista_turnos,0),9)*10000000+IFERROR(MATCH('ORDENES'!$AE363,'TECNICOS'!$B$4:$B$15,0),99)*100000+360,9000000000000+360)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IF('ORDENES'!$T363="preventiva",N367,0)</f>
        <v/>
      </c>
      <c r="P367" s="17">
        <f>IF('ORDENES'!$T363="correctiva",N367,0)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IF(AND(IF($B$3="(todos)",TRUE,'ORDENES'!$O364=$B$3),IF($D$3="(todos)",TRUE,'ORDENES'!$AF364=$D$3),IF($F$3="(todos)",TRUE,'ORDENES'!$X364=$F$3),IF($H$3="(todos)",TRUE,'ORDENES'!$W364=$H$3),'ORDENES'!$AD364=TRUE,'ORDENES'!$A364&lt;&gt;""),1,0)</f>
        <v/>
      </c>
      <c r="L368" s="3">
        <f>IF(K368=1,IFERROR(MATCH('ORDENES'!$R364,lista_dias,0),9)*1000000000+IFERROR(MATCH('ORDENES'!$AF364,lista_turnos,0),9)*10000000+IFERROR(MATCH('ORDENES'!$AE364,'TECNICOS'!$B$4:$B$15,0),99)*100000+361,9000000000000+361)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IF('ORDENES'!$T364="preventiva",N368,0)</f>
        <v/>
      </c>
      <c r="P368" s="17">
        <f>IF('ORDENES'!$T364="correctiva",N368,0)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IF(AND(IF($B$3="(todos)",TRUE,'ORDENES'!$O365=$B$3),IF($D$3="(todos)",TRUE,'ORDENES'!$AF365=$D$3),IF($F$3="(todos)",TRUE,'ORDENES'!$X365=$F$3),IF($H$3="(todos)",TRUE,'ORDENES'!$W365=$H$3),'ORDENES'!$AD365=TRUE,'ORDENES'!$A365&lt;&gt;""),1,0)</f>
        <v/>
      </c>
      <c r="L369" s="3">
        <f>IF(K369=1,IFERROR(MATCH('ORDENES'!$R365,lista_dias,0),9)*1000000000+IFERROR(MATCH('ORDENES'!$AF365,lista_turnos,0),9)*10000000+IFERROR(MATCH('ORDENES'!$AE365,'TECNICOS'!$B$4:$B$15,0),99)*100000+362,9000000000000+362)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IF('ORDENES'!$T365="preventiva",N369,0)</f>
        <v/>
      </c>
      <c r="P369" s="17">
        <f>IF('ORDENES'!$T365="correctiva",N369,0)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IF(AND(IF($B$3="(todos)",TRUE,'ORDENES'!$O366=$B$3),IF($D$3="(todos)",TRUE,'ORDENES'!$AF366=$D$3),IF($F$3="(todos)",TRUE,'ORDENES'!$X366=$F$3),IF($H$3="(todos)",TRUE,'ORDENES'!$W366=$H$3),'ORDENES'!$AD366=TRUE,'ORDENES'!$A366&lt;&gt;""),1,0)</f>
        <v/>
      </c>
      <c r="L370" s="3">
        <f>IF(K370=1,IFERROR(MATCH('ORDENES'!$R366,lista_dias,0),9)*1000000000+IFERROR(MATCH('ORDENES'!$AF366,lista_turnos,0),9)*10000000+IFERROR(MATCH('ORDENES'!$AE366,'TECNICOS'!$B$4:$B$15,0),99)*100000+363,9000000000000+363)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IF('ORDENES'!$T366="preventiva",N370,0)</f>
        <v/>
      </c>
      <c r="P370" s="17">
        <f>IF('ORDENES'!$T366="correctiva",N370,0)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IF(AND(IF($B$3="(todos)",TRUE,'ORDENES'!$O367=$B$3),IF($D$3="(todos)",TRUE,'ORDENES'!$AF367=$D$3),IF($F$3="(todos)",TRUE,'ORDENES'!$X367=$F$3),IF($H$3="(todos)",TRUE,'ORDENES'!$W367=$H$3),'ORDENES'!$AD367=TRUE,'ORDENES'!$A367&lt;&gt;""),1,0)</f>
        <v/>
      </c>
      <c r="L371" s="3">
        <f>IF(K371=1,IFERROR(MATCH('ORDENES'!$R367,lista_dias,0),9)*1000000000+IFERROR(MATCH('ORDENES'!$AF367,lista_turnos,0),9)*10000000+IFERROR(MATCH('ORDENES'!$AE367,'TECNICOS'!$B$4:$B$15,0),99)*100000+364,9000000000000+364)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IF('ORDENES'!$T367="preventiva",N371,0)</f>
        <v/>
      </c>
      <c r="P371" s="17">
        <f>IF('ORDENES'!$T367="correctiva",N371,0)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IF(AND(IF($B$3="(todos)",TRUE,'ORDENES'!$O368=$B$3),IF($D$3="(todos)",TRUE,'ORDENES'!$AF368=$D$3),IF($F$3="(todos)",TRUE,'ORDENES'!$X368=$F$3),IF($H$3="(todos)",TRUE,'ORDENES'!$W368=$H$3),'ORDENES'!$AD368=TRUE,'ORDENES'!$A368&lt;&gt;""),1,0)</f>
        <v/>
      </c>
      <c r="L372" s="3">
        <f>IF(K372=1,IFERROR(MATCH('ORDENES'!$R368,lista_dias,0),9)*1000000000+IFERROR(MATCH('ORDENES'!$AF368,lista_turnos,0),9)*10000000+IFERROR(MATCH('ORDENES'!$AE368,'TECNICOS'!$B$4:$B$15,0),99)*100000+365,9000000000000+365)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IF('ORDENES'!$T368="preventiva",N372,0)</f>
        <v/>
      </c>
      <c r="P372" s="17">
        <f>IF('ORDENES'!$T368="correctiva",N372,0)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IF(AND(IF($B$3="(todos)",TRUE,'ORDENES'!$O369=$B$3),IF($D$3="(todos)",TRUE,'ORDENES'!$AF369=$D$3),IF($F$3="(todos)",TRUE,'ORDENES'!$X369=$F$3),IF($H$3="(todos)",TRUE,'ORDENES'!$W369=$H$3),'ORDENES'!$AD369=TRUE,'ORDENES'!$A369&lt;&gt;""),1,0)</f>
        <v/>
      </c>
      <c r="L373" s="3">
        <f>IF(K373=1,IFERROR(MATCH('ORDENES'!$R369,lista_dias,0),9)*1000000000+IFERROR(MATCH('ORDENES'!$AF369,lista_turnos,0),9)*10000000+IFERROR(MATCH('ORDENES'!$AE369,'TECNICOS'!$B$4:$B$15,0),99)*100000+366,9000000000000+366)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IF('ORDENES'!$T369="preventiva",N373,0)</f>
        <v/>
      </c>
      <c r="P373" s="17">
        <f>IF('ORDENES'!$T369="correctiva",N373,0)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IF(AND(IF($B$3="(todos)",TRUE,'ORDENES'!$O370=$B$3),IF($D$3="(todos)",TRUE,'ORDENES'!$AF370=$D$3),IF($F$3="(todos)",TRUE,'ORDENES'!$X370=$F$3),IF($H$3="(todos)",TRUE,'ORDENES'!$W370=$H$3),'ORDENES'!$AD370=TRUE,'ORDENES'!$A370&lt;&gt;""),1,0)</f>
        <v/>
      </c>
      <c r="L374" s="3">
        <f>IF(K374=1,IFERROR(MATCH('ORDENES'!$R370,lista_dias,0),9)*1000000000+IFERROR(MATCH('ORDENES'!$AF370,lista_turnos,0),9)*10000000+IFERROR(MATCH('ORDENES'!$AE370,'TECNICOS'!$B$4:$B$15,0),99)*100000+367,9000000000000+367)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IF('ORDENES'!$T370="preventiva",N374,0)</f>
        <v/>
      </c>
      <c r="P374" s="17">
        <f>IF('ORDENES'!$T370="correctiva",N374,0)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IF(AND(IF($B$3="(todos)",TRUE,'ORDENES'!$O371=$B$3),IF($D$3="(todos)",TRUE,'ORDENES'!$AF371=$D$3),IF($F$3="(todos)",TRUE,'ORDENES'!$X371=$F$3),IF($H$3="(todos)",TRUE,'ORDENES'!$W371=$H$3),'ORDENES'!$AD371=TRUE,'ORDENES'!$A371&lt;&gt;""),1,0)</f>
        <v/>
      </c>
      <c r="L375" s="3">
        <f>IF(K375=1,IFERROR(MATCH('ORDENES'!$R371,lista_dias,0),9)*1000000000+IFERROR(MATCH('ORDENES'!$AF371,lista_turnos,0),9)*10000000+IFERROR(MATCH('ORDENES'!$AE371,'TECNICOS'!$B$4:$B$15,0),99)*100000+368,9000000000000+368)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IF('ORDENES'!$T371="preventiva",N375,0)</f>
        <v/>
      </c>
      <c r="P375" s="17">
        <f>IF('ORDENES'!$T371="correctiva",N375,0)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IF(AND(IF($B$3="(todos)",TRUE,'ORDENES'!$O372=$B$3),IF($D$3="(todos)",TRUE,'ORDENES'!$AF372=$D$3),IF($F$3="(todos)",TRUE,'ORDENES'!$X372=$F$3),IF($H$3="(todos)",TRUE,'ORDENES'!$W372=$H$3),'ORDENES'!$AD372=TRUE,'ORDENES'!$A372&lt;&gt;""),1,0)</f>
        <v/>
      </c>
      <c r="L376" s="3">
        <f>IF(K376=1,IFERROR(MATCH('ORDENES'!$R372,lista_dias,0),9)*1000000000+IFERROR(MATCH('ORDENES'!$AF372,lista_turnos,0),9)*10000000+IFERROR(MATCH('ORDENES'!$AE372,'TECNICOS'!$B$4:$B$15,0),99)*100000+369,9000000000000+369)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IF('ORDENES'!$T372="preventiva",N376,0)</f>
        <v/>
      </c>
      <c r="P376" s="17">
        <f>IF('ORDENES'!$T372="correctiva",N376,0)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IF(AND(IF($B$3="(todos)",TRUE,'ORDENES'!$O373=$B$3),IF($D$3="(todos)",TRUE,'ORDENES'!$AF373=$D$3),IF($F$3="(todos)",TRUE,'ORDENES'!$X373=$F$3),IF($H$3="(todos)",TRUE,'ORDENES'!$W373=$H$3),'ORDENES'!$AD373=TRUE,'ORDENES'!$A373&lt;&gt;""),1,0)</f>
        <v/>
      </c>
      <c r="L377" s="3">
        <f>IF(K377=1,IFERROR(MATCH('ORDENES'!$R373,lista_dias,0),9)*1000000000+IFERROR(MATCH('ORDENES'!$AF373,lista_turnos,0),9)*10000000+IFERROR(MATCH('ORDENES'!$AE373,'TECNICOS'!$B$4:$B$15,0),99)*100000+370,9000000000000+370)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IF('ORDENES'!$T373="preventiva",N377,0)</f>
        <v/>
      </c>
      <c r="P377" s="17">
        <f>IF('ORDENES'!$T373="correctiva",N377,0)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IF(AND(IF($B$3="(todos)",TRUE,'ORDENES'!$O374=$B$3),IF($D$3="(todos)",TRUE,'ORDENES'!$AF374=$D$3),IF($F$3="(todos)",TRUE,'ORDENES'!$X374=$F$3),IF($H$3="(todos)",TRUE,'ORDENES'!$W374=$H$3),'ORDENES'!$AD374=TRUE,'ORDENES'!$A374&lt;&gt;""),1,0)</f>
        <v/>
      </c>
      <c r="L378" s="3">
        <f>IF(K378=1,IFERROR(MATCH('ORDENES'!$R374,lista_dias,0),9)*1000000000+IFERROR(MATCH('ORDENES'!$AF374,lista_turnos,0),9)*10000000+IFERROR(MATCH('ORDENES'!$AE374,'TECNICOS'!$B$4:$B$15,0),99)*100000+371,9000000000000+371)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IF('ORDENES'!$T374="preventiva",N378,0)</f>
        <v/>
      </c>
      <c r="P378" s="17">
        <f>IF('ORDENES'!$T374="correctiva",N378,0)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IF(AND(IF($B$3="(todos)",TRUE,'ORDENES'!$O375=$B$3),IF($D$3="(todos)",TRUE,'ORDENES'!$AF375=$D$3),IF($F$3="(todos)",TRUE,'ORDENES'!$X375=$F$3),IF($H$3="(todos)",TRUE,'ORDENES'!$W375=$H$3),'ORDENES'!$AD375=TRUE,'ORDENES'!$A375&lt;&gt;""),1,0)</f>
        <v/>
      </c>
      <c r="L379" s="3">
        <f>IF(K379=1,IFERROR(MATCH('ORDENES'!$R375,lista_dias,0),9)*1000000000+IFERROR(MATCH('ORDENES'!$AF375,lista_turnos,0),9)*10000000+IFERROR(MATCH('ORDENES'!$AE375,'TECNICOS'!$B$4:$B$15,0),99)*100000+372,9000000000000+372)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IF('ORDENES'!$T375="preventiva",N379,0)</f>
        <v/>
      </c>
      <c r="P379" s="17">
        <f>IF('ORDENES'!$T375="correctiva",N379,0)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IF(AND(IF($B$3="(todos)",TRUE,'ORDENES'!$O376=$B$3),IF($D$3="(todos)",TRUE,'ORDENES'!$AF376=$D$3),IF($F$3="(todos)",TRUE,'ORDENES'!$X376=$F$3),IF($H$3="(todos)",TRUE,'ORDENES'!$W376=$H$3),'ORDENES'!$AD376=TRUE,'ORDENES'!$A376&lt;&gt;""),1,0)</f>
        <v/>
      </c>
      <c r="L380" s="3">
        <f>IF(K380=1,IFERROR(MATCH('ORDENES'!$R376,lista_dias,0),9)*1000000000+IFERROR(MATCH('ORDENES'!$AF376,lista_turnos,0),9)*10000000+IFERROR(MATCH('ORDENES'!$AE376,'TECNICOS'!$B$4:$B$15,0),99)*100000+373,9000000000000+373)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IF('ORDENES'!$T376="preventiva",N380,0)</f>
        <v/>
      </c>
      <c r="P380" s="17">
        <f>IF('ORDENES'!$T376="correctiva",N380,0)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IF(AND(IF($B$3="(todos)",TRUE,'ORDENES'!$O377=$B$3),IF($D$3="(todos)",TRUE,'ORDENES'!$AF377=$D$3),IF($F$3="(todos)",TRUE,'ORDENES'!$X377=$F$3),IF($H$3="(todos)",TRUE,'ORDENES'!$W377=$H$3),'ORDENES'!$AD377=TRUE,'ORDENES'!$A377&lt;&gt;""),1,0)</f>
        <v/>
      </c>
      <c r="L381" s="3">
        <f>IF(K381=1,IFERROR(MATCH('ORDENES'!$R377,lista_dias,0),9)*1000000000+IFERROR(MATCH('ORDENES'!$AF377,lista_turnos,0),9)*10000000+IFERROR(MATCH('ORDENES'!$AE377,'TECNICOS'!$B$4:$B$15,0),99)*100000+374,9000000000000+374)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IF('ORDENES'!$T377="preventiva",N381,0)</f>
        <v/>
      </c>
      <c r="P381" s="17">
        <f>IF('ORDENES'!$T377="correctiva",N381,0)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IF(AND(IF($B$3="(todos)",TRUE,'ORDENES'!$O378=$B$3),IF($D$3="(todos)",TRUE,'ORDENES'!$AF378=$D$3),IF($F$3="(todos)",TRUE,'ORDENES'!$X378=$F$3),IF($H$3="(todos)",TRUE,'ORDENES'!$W378=$H$3),'ORDENES'!$AD378=TRUE,'ORDENES'!$A378&lt;&gt;""),1,0)</f>
        <v/>
      </c>
      <c r="L382" s="3">
        <f>IF(K382=1,IFERROR(MATCH('ORDENES'!$R378,lista_dias,0),9)*1000000000+IFERROR(MATCH('ORDENES'!$AF378,lista_turnos,0),9)*10000000+IFERROR(MATCH('ORDENES'!$AE378,'TECNICOS'!$B$4:$B$15,0),99)*100000+375,9000000000000+375)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IF('ORDENES'!$T378="preventiva",N382,0)</f>
        <v/>
      </c>
      <c r="P382" s="17">
        <f>IF('ORDENES'!$T378="correctiva",N382,0)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IF(AND(IF($B$3="(todos)",TRUE,'ORDENES'!$O379=$B$3),IF($D$3="(todos)",TRUE,'ORDENES'!$AF379=$D$3),IF($F$3="(todos)",TRUE,'ORDENES'!$X379=$F$3),IF($H$3="(todos)",TRUE,'ORDENES'!$W379=$H$3),'ORDENES'!$AD379=TRUE,'ORDENES'!$A379&lt;&gt;""),1,0)</f>
        <v/>
      </c>
      <c r="L383" s="3">
        <f>IF(K383=1,IFERROR(MATCH('ORDENES'!$R379,lista_dias,0),9)*1000000000+IFERROR(MATCH('ORDENES'!$AF379,lista_turnos,0),9)*10000000+IFERROR(MATCH('ORDENES'!$AE379,'TECNICOS'!$B$4:$B$15,0),99)*100000+376,9000000000000+376)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IF('ORDENES'!$T379="preventiva",N383,0)</f>
        <v/>
      </c>
      <c r="P383" s="17">
        <f>IF('ORDENES'!$T379="correctiva",N383,0)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IF(AND(IF($B$3="(todos)",TRUE,'ORDENES'!$O380=$B$3),IF($D$3="(todos)",TRUE,'ORDENES'!$AF380=$D$3),IF($F$3="(todos)",TRUE,'ORDENES'!$X380=$F$3),IF($H$3="(todos)",TRUE,'ORDENES'!$W380=$H$3),'ORDENES'!$AD380=TRUE,'ORDENES'!$A380&lt;&gt;""),1,0)</f>
        <v/>
      </c>
      <c r="L384" s="3">
        <f>IF(K384=1,IFERROR(MATCH('ORDENES'!$R380,lista_dias,0),9)*1000000000+IFERROR(MATCH('ORDENES'!$AF380,lista_turnos,0),9)*10000000+IFERROR(MATCH('ORDENES'!$AE380,'TECNICOS'!$B$4:$B$15,0),99)*100000+377,9000000000000+377)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IF('ORDENES'!$T380="preventiva",N384,0)</f>
        <v/>
      </c>
      <c r="P384" s="17">
        <f>IF('ORDENES'!$T380="correctiva",N384,0)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IF(AND(IF($B$3="(todos)",TRUE,'ORDENES'!$O381=$B$3),IF($D$3="(todos)",TRUE,'ORDENES'!$AF381=$D$3),IF($F$3="(todos)",TRUE,'ORDENES'!$X381=$F$3),IF($H$3="(todos)",TRUE,'ORDENES'!$W381=$H$3),'ORDENES'!$AD381=TRUE,'ORDENES'!$A381&lt;&gt;""),1,0)</f>
        <v/>
      </c>
      <c r="L385" s="3">
        <f>IF(K385=1,IFERROR(MATCH('ORDENES'!$R381,lista_dias,0),9)*1000000000+IFERROR(MATCH('ORDENES'!$AF381,lista_turnos,0),9)*10000000+IFERROR(MATCH('ORDENES'!$AE381,'TECNICOS'!$B$4:$B$15,0),99)*100000+378,9000000000000+378)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IF('ORDENES'!$T381="preventiva",N385,0)</f>
        <v/>
      </c>
      <c r="P385" s="17">
        <f>IF('ORDENES'!$T381="correctiva",N385,0)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IF(AND(IF($B$3="(todos)",TRUE,'ORDENES'!$O382=$B$3),IF($D$3="(todos)",TRUE,'ORDENES'!$AF382=$D$3),IF($F$3="(todos)",TRUE,'ORDENES'!$X382=$F$3),IF($H$3="(todos)",TRUE,'ORDENES'!$W382=$H$3),'ORDENES'!$AD382=TRUE,'ORDENES'!$A382&lt;&gt;""),1,0)</f>
        <v/>
      </c>
      <c r="L386" s="3">
        <f>IF(K386=1,IFERROR(MATCH('ORDENES'!$R382,lista_dias,0),9)*1000000000+IFERROR(MATCH('ORDENES'!$AF382,lista_turnos,0),9)*10000000+IFERROR(MATCH('ORDENES'!$AE382,'TECNICOS'!$B$4:$B$15,0),99)*100000+379,9000000000000+379)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IF('ORDENES'!$T382="preventiva",N386,0)</f>
        <v/>
      </c>
      <c r="P386" s="17">
        <f>IF('ORDENES'!$T382="correctiva",N386,0)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IF(AND(IF($B$3="(todos)",TRUE,'ORDENES'!$O383=$B$3),IF($D$3="(todos)",TRUE,'ORDENES'!$AF383=$D$3),IF($F$3="(todos)",TRUE,'ORDENES'!$X383=$F$3),IF($H$3="(todos)",TRUE,'ORDENES'!$W383=$H$3),'ORDENES'!$AD383=TRUE,'ORDENES'!$A383&lt;&gt;""),1,0)</f>
        <v/>
      </c>
      <c r="L387" s="3">
        <f>IF(K387=1,IFERROR(MATCH('ORDENES'!$R383,lista_dias,0),9)*1000000000+IFERROR(MATCH('ORDENES'!$AF383,lista_turnos,0),9)*10000000+IFERROR(MATCH('ORDENES'!$AE383,'TECNICOS'!$B$4:$B$15,0),99)*100000+380,9000000000000+380)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IF('ORDENES'!$T383="preventiva",N387,0)</f>
        <v/>
      </c>
      <c r="P387" s="17">
        <f>IF('ORDENES'!$T383="correctiva",N387,0)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IF(AND(IF($B$3="(todos)",TRUE,'ORDENES'!$O384=$B$3),IF($D$3="(todos)",TRUE,'ORDENES'!$AF384=$D$3),IF($F$3="(todos)",TRUE,'ORDENES'!$X384=$F$3),IF($H$3="(todos)",TRUE,'ORDENES'!$W384=$H$3),'ORDENES'!$AD384=TRUE,'ORDENES'!$A384&lt;&gt;""),1,0)</f>
        <v/>
      </c>
      <c r="L388" s="3">
        <f>IF(K388=1,IFERROR(MATCH('ORDENES'!$R384,lista_dias,0),9)*1000000000+IFERROR(MATCH('ORDENES'!$AF384,lista_turnos,0),9)*10000000+IFERROR(MATCH('ORDENES'!$AE384,'TECNICOS'!$B$4:$B$15,0),99)*100000+381,9000000000000+381)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IF('ORDENES'!$T384="preventiva",N388,0)</f>
        <v/>
      </c>
      <c r="P388" s="17">
        <f>IF('ORDENES'!$T384="correctiva",N388,0)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IF(AND(IF($B$3="(todos)",TRUE,'ORDENES'!$O385=$B$3),IF($D$3="(todos)",TRUE,'ORDENES'!$AF385=$D$3),IF($F$3="(todos)",TRUE,'ORDENES'!$X385=$F$3),IF($H$3="(todos)",TRUE,'ORDENES'!$W385=$H$3),'ORDENES'!$AD385=TRUE,'ORDENES'!$A385&lt;&gt;""),1,0)</f>
        <v/>
      </c>
      <c r="L389" s="3">
        <f>IF(K389=1,IFERROR(MATCH('ORDENES'!$R385,lista_dias,0),9)*1000000000+IFERROR(MATCH('ORDENES'!$AF385,lista_turnos,0),9)*10000000+IFERROR(MATCH('ORDENES'!$AE385,'TECNICOS'!$B$4:$B$15,0),99)*100000+382,9000000000000+382)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IF('ORDENES'!$T385="preventiva",N389,0)</f>
        <v/>
      </c>
      <c r="P389" s="17">
        <f>IF('ORDENES'!$T385="correctiva",N389,0)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IF(AND(IF($B$3="(todos)",TRUE,'ORDENES'!$O386=$B$3),IF($D$3="(todos)",TRUE,'ORDENES'!$AF386=$D$3),IF($F$3="(todos)",TRUE,'ORDENES'!$X386=$F$3),IF($H$3="(todos)",TRUE,'ORDENES'!$W386=$H$3),'ORDENES'!$AD386=TRUE,'ORDENES'!$A386&lt;&gt;""),1,0)</f>
        <v/>
      </c>
      <c r="L390" s="3">
        <f>IF(K390=1,IFERROR(MATCH('ORDENES'!$R386,lista_dias,0),9)*1000000000+IFERROR(MATCH('ORDENES'!$AF386,lista_turnos,0),9)*10000000+IFERROR(MATCH('ORDENES'!$AE386,'TECNICOS'!$B$4:$B$15,0),99)*100000+383,9000000000000+383)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IF('ORDENES'!$T386="preventiva",N390,0)</f>
        <v/>
      </c>
      <c r="P390" s="17">
        <f>IF('ORDENES'!$T386="correctiva",N390,0)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IF(AND(IF($B$3="(todos)",TRUE,'ORDENES'!$O387=$B$3),IF($D$3="(todos)",TRUE,'ORDENES'!$AF387=$D$3),IF($F$3="(todos)",TRUE,'ORDENES'!$X387=$F$3),IF($H$3="(todos)",TRUE,'ORDENES'!$W387=$H$3),'ORDENES'!$AD387=TRUE,'ORDENES'!$A387&lt;&gt;""),1,0)</f>
        <v/>
      </c>
      <c r="L391" s="3">
        <f>IF(K391=1,IFERROR(MATCH('ORDENES'!$R387,lista_dias,0),9)*1000000000+IFERROR(MATCH('ORDENES'!$AF387,lista_turnos,0),9)*10000000+IFERROR(MATCH('ORDENES'!$AE387,'TECNICOS'!$B$4:$B$15,0),99)*100000+384,9000000000000+384)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IF('ORDENES'!$T387="preventiva",N391,0)</f>
        <v/>
      </c>
      <c r="P391" s="17">
        <f>IF('ORDENES'!$T387="correctiva",N391,0)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IF(AND(IF($B$3="(todos)",TRUE,'ORDENES'!$O388=$B$3),IF($D$3="(todos)",TRUE,'ORDENES'!$AF388=$D$3),IF($F$3="(todos)",TRUE,'ORDENES'!$X388=$F$3),IF($H$3="(todos)",TRUE,'ORDENES'!$W388=$H$3),'ORDENES'!$AD388=TRUE,'ORDENES'!$A388&lt;&gt;""),1,0)</f>
        <v/>
      </c>
      <c r="L392" s="3">
        <f>IF(K392=1,IFERROR(MATCH('ORDENES'!$R388,lista_dias,0),9)*1000000000+IFERROR(MATCH('ORDENES'!$AF388,lista_turnos,0),9)*10000000+IFERROR(MATCH('ORDENES'!$AE388,'TECNICOS'!$B$4:$B$15,0),99)*100000+385,9000000000000+385)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IF('ORDENES'!$T388="preventiva",N392,0)</f>
        <v/>
      </c>
      <c r="P392" s="17">
        <f>IF('ORDENES'!$T388="correctiva",N392,0)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IF(AND(IF($B$3="(todos)",TRUE,'ORDENES'!$O389=$B$3),IF($D$3="(todos)",TRUE,'ORDENES'!$AF389=$D$3),IF($F$3="(todos)",TRUE,'ORDENES'!$X389=$F$3),IF($H$3="(todos)",TRUE,'ORDENES'!$W389=$H$3),'ORDENES'!$AD389=TRUE,'ORDENES'!$A389&lt;&gt;""),1,0)</f>
        <v/>
      </c>
      <c r="L393" s="3">
        <f>IF(K393=1,IFERROR(MATCH('ORDENES'!$R389,lista_dias,0),9)*1000000000+IFERROR(MATCH('ORDENES'!$AF389,lista_turnos,0),9)*10000000+IFERROR(MATCH('ORDENES'!$AE389,'TECNICOS'!$B$4:$B$15,0),99)*100000+386,9000000000000+386)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IF('ORDENES'!$T389="preventiva",N393,0)</f>
        <v/>
      </c>
      <c r="P393" s="17">
        <f>IF('ORDENES'!$T389="correctiva",N393,0)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IF(AND(IF($B$3="(todos)",TRUE,'ORDENES'!$O390=$B$3),IF($D$3="(todos)",TRUE,'ORDENES'!$AF390=$D$3),IF($F$3="(todos)",TRUE,'ORDENES'!$X390=$F$3),IF($H$3="(todos)",TRUE,'ORDENES'!$W390=$H$3),'ORDENES'!$AD390=TRUE,'ORDENES'!$A390&lt;&gt;""),1,0)</f>
        <v/>
      </c>
      <c r="L394" s="3">
        <f>IF(K394=1,IFERROR(MATCH('ORDENES'!$R390,lista_dias,0),9)*1000000000+IFERROR(MATCH('ORDENES'!$AF390,lista_turnos,0),9)*10000000+IFERROR(MATCH('ORDENES'!$AE390,'TECNICOS'!$B$4:$B$15,0),99)*100000+387,9000000000000+387)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IF('ORDENES'!$T390="preventiva",N394,0)</f>
        <v/>
      </c>
      <c r="P394" s="17">
        <f>IF('ORDENES'!$T390="correctiva",N394,0)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IF(AND(IF($B$3="(todos)",TRUE,'ORDENES'!$O391=$B$3),IF($D$3="(todos)",TRUE,'ORDENES'!$AF391=$D$3),IF($F$3="(todos)",TRUE,'ORDENES'!$X391=$F$3),IF($H$3="(todos)",TRUE,'ORDENES'!$W391=$H$3),'ORDENES'!$AD391=TRUE,'ORDENES'!$A391&lt;&gt;""),1,0)</f>
        <v/>
      </c>
      <c r="L395" s="3">
        <f>IF(K395=1,IFERROR(MATCH('ORDENES'!$R391,lista_dias,0),9)*1000000000+IFERROR(MATCH('ORDENES'!$AF391,lista_turnos,0),9)*10000000+IFERROR(MATCH('ORDENES'!$AE391,'TECNICOS'!$B$4:$B$15,0),99)*100000+388,9000000000000+388)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IF('ORDENES'!$T391="preventiva",N395,0)</f>
        <v/>
      </c>
      <c r="P395" s="17">
        <f>IF('ORDENES'!$T391="correctiva",N395,0)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IF(AND(IF($B$3="(todos)",TRUE,'ORDENES'!$O392=$B$3),IF($D$3="(todos)",TRUE,'ORDENES'!$AF392=$D$3),IF($F$3="(todos)",TRUE,'ORDENES'!$X392=$F$3),IF($H$3="(todos)",TRUE,'ORDENES'!$W392=$H$3),'ORDENES'!$AD392=TRUE,'ORDENES'!$A392&lt;&gt;""),1,0)</f>
        <v/>
      </c>
      <c r="L396" s="3">
        <f>IF(K396=1,IFERROR(MATCH('ORDENES'!$R392,lista_dias,0),9)*1000000000+IFERROR(MATCH('ORDENES'!$AF392,lista_turnos,0),9)*10000000+IFERROR(MATCH('ORDENES'!$AE392,'TECNICOS'!$B$4:$B$15,0),99)*100000+389,9000000000000+389)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IF('ORDENES'!$T392="preventiva",N396,0)</f>
        <v/>
      </c>
      <c r="P396" s="17">
        <f>IF('ORDENES'!$T392="correctiva",N396,0)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IF(AND(IF($B$3="(todos)",TRUE,'ORDENES'!$O393=$B$3),IF($D$3="(todos)",TRUE,'ORDENES'!$AF393=$D$3),IF($F$3="(todos)",TRUE,'ORDENES'!$X393=$F$3),IF($H$3="(todos)",TRUE,'ORDENES'!$W393=$H$3),'ORDENES'!$AD393=TRUE,'ORDENES'!$A393&lt;&gt;""),1,0)</f>
        <v/>
      </c>
      <c r="L397" s="3">
        <f>IF(K397=1,IFERROR(MATCH('ORDENES'!$R393,lista_dias,0),9)*1000000000+IFERROR(MATCH('ORDENES'!$AF393,lista_turnos,0),9)*10000000+IFERROR(MATCH('ORDENES'!$AE393,'TECNICOS'!$B$4:$B$15,0),99)*100000+390,9000000000000+390)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IF('ORDENES'!$T393="preventiva",N397,0)</f>
        <v/>
      </c>
      <c r="P397" s="17">
        <f>IF('ORDENES'!$T393="correctiva",N397,0)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IF(AND(IF($B$3="(todos)",TRUE,'ORDENES'!$O394=$B$3),IF($D$3="(todos)",TRUE,'ORDENES'!$AF394=$D$3),IF($F$3="(todos)",TRUE,'ORDENES'!$X394=$F$3),IF($H$3="(todos)",TRUE,'ORDENES'!$W394=$H$3),'ORDENES'!$AD394=TRUE,'ORDENES'!$A394&lt;&gt;""),1,0)</f>
        <v/>
      </c>
      <c r="L398" s="3">
        <f>IF(K398=1,IFERROR(MATCH('ORDENES'!$R394,lista_dias,0),9)*1000000000+IFERROR(MATCH('ORDENES'!$AF394,lista_turnos,0),9)*10000000+IFERROR(MATCH('ORDENES'!$AE394,'TECNICOS'!$B$4:$B$15,0),99)*100000+391,9000000000000+391)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IF('ORDENES'!$T394="preventiva",N398,0)</f>
        <v/>
      </c>
      <c r="P398" s="17">
        <f>IF('ORDENES'!$T394="correctiva",N398,0)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IF(AND(IF($B$3="(todos)",TRUE,'ORDENES'!$O395=$B$3),IF($D$3="(todos)",TRUE,'ORDENES'!$AF395=$D$3),IF($F$3="(todos)",TRUE,'ORDENES'!$X395=$F$3),IF($H$3="(todos)",TRUE,'ORDENES'!$W395=$H$3),'ORDENES'!$AD395=TRUE,'ORDENES'!$A395&lt;&gt;""),1,0)</f>
        <v/>
      </c>
      <c r="L399" s="3">
        <f>IF(K399=1,IFERROR(MATCH('ORDENES'!$R395,lista_dias,0),9)*1000000000+IFERROR(MATCH('ORDENES'!$AF395,lista_turnos,0),9)*10000000+IFERROR(MATCH('ORDENES'!$AE395,'TECNICOS'!$B$4:$B$15,0),99)*100000+392,9000000000000+392)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IF('ORDENES'!$T395="preventiva",N399,0)</f>
        <v/>
      </c>
      <c r="P399" s="17">
        <f>IF('ORDENES'!$T395="correctiva",N399,0)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IF(AND(IF($B$3="(todos)",TRUE,'ORDENES'!$O396=$B$3),IF($D$3="(todos)",TRUE,'ORDENES'!$AF396=$D$3),IF($F$3="(todos)",TRUE,'ORDENES'!$X396=$F$3),IF($H$3="(todos)",TRUE,'ORDENES'!$W396=$H$3),'ORDENES'!$AD396=TRUE,'ORDENES'!$A396&lt;&gt;""),1,0)</f>
        <v/>
      </c>
      <c r="L400" s="3">
        <f>IF(K400=1,IFERROR(MATCH('ORDENES'!$R396,lista_dias,0),9)*1000000000+IFERROR(MATCH('ORDENES'!$AF396,lista_turnos,0),9)*10000000+IFERROR(MATCH('ORDENES'!$AE396,'TECNICOS'!$B$4:$B$15,0),99)*100000+393,9000000000000+393)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IF('ORDENES'!$T396="preventiva",N400,0)</f>
        <v/>
      </c>
      <c r="P400" s="17">
        <f>IF('ORDENES'!$T396="correctiva",N400,0)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IF(AND(IF($B$3="(todos)",TRUE,'ORDENES'!$O397=$B$3),IF($D$3="(todos)",TRUE,'ORDENES'!$AF397=$D$3),IF($F$3="(todos)",TRUE,'ORDENES'!$X397=$F$3),IF($H$3="(todos)",TRUE,'ORDENES'!$W397=$H$3),'ORDENES'!$AD397=TRUE,'ORDENES'!$A397&lt;&gt;""),1,0)</f>
        <v/>
      </c>
      <c r="L401" s="3">
        <f>IF(K401=1,IFERROR(MATCH('ORDENES'!$R397,lista_dias,0),9)*1000000000+IFERROR(MATCH('ORDENES'!$AF397,lista_turnos,0),9)*10000000+IFERROR(MATCH('ORDENES'!$AE397,'TECNICOS'!$B$4:$B$15,0),99)*100000+394,9000000000000+394)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IF('ORDENES'!$T397="preventiva",N401,0)</f>
        <v/>
      </c>
      <c r="P401" s="17">
        <f>IF('ORDENES'!$T397="correctiva",N401,0)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IF(AND(IF($B$3="(todos)",TRUE,'ORDENES'!$O398=$B$3),IF($D$3="(todos)",TRUE,'ORDENES'!$AF398=$D$3),IF($F$3="(todos)",TRUE,'ORDENES'!$X398=$F$3),IF($H$3="(todos)",TRUE,'ORDENES'!$W398=$H$3),'ORDENES'!$AD398=TRUE,'ORDENES'!$A398&lt;&gt;""),1,0)</f>
        <v/>
      </c>
      <c r="L402" s="3">
        <f>IF(K402=1,IFERROR(MATCH('ORDENES'!$R398,lista_dias,0),9)*1000000000+IFERROR(MATCH('ORDENES'!$AF398,lista_turnos,0),9)*10000000+IFERROR(MATCH('ORDENES'!$AE398,'TECNICOS'!$B$4:$B$15,0),99)*100000+395,9000000000000+395)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IF('ORDENES'!$T398="preventiva",N402,0)</f>
        <v/>
      </c>
      <c r="P402" s="17">
        <f>IF('ORDENES'!$T398="correctiva",N402,0)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IF(AND(IF($B$3="(todos)",TRUE,'ORDENES'!$O399=$B$3),IF($D$3="(todos)",TRUE,'ORDENES'!$AF399=$D$3),IF($F$3="(todos)",TRUE,'ORDENES'!$X399=$F$3),IF($H$3="(todos)",TRUE,'ORDENES'!$W399=$H$3),'ORDENES'!$AD399=TRUE,'ORDENES'!$A399&lt;&gt;""),1,0)</f>
        <v/>
      </c>
      <c r="L403" s="3">
        <f>IF(K403=1,IFERROR(MATCH('ORDENES'!$R399,lista_dias,0),9)*1000000000+IFERROR(MATCH('ORDENES'!$AF399,lista_turnos,0),9)*10000000+IFERROR(MATCH('ORDENES'!$AE399,'TECNICOS'!$B$4:$B$15,0),99)*100000+396,9000000000000+396)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IF('ORDENES'!$T399="preventiva",N403,0)</f>
        <v/>
      </c>
      <c r="P403" s="17">
        <f>IF('ORDENES'!$T399="correctiva",N403,0)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IF(AND(IF($B$3="(todos)",TRUE,'ORDENES'!$O400=$B$3),IF($D$3="(todos)",TRUE,'ORDENES'!$AF400=$D$3),IF($F$3="(todos)",TRUE,'ORDENES'!$X400=$F$3),IF($H$3="(todos)",TRUE,'ORDENES'!$W400=$H$3),'ORDENES'!$AD400=TRUE,'ORDENES'!$A400&lt;&gt;""),1,0)</f>
        <v/>
      </c>
      <c r="L404" s="3">
        <f>IF(K404=1,IFERROR(MATCH('ORDENES'!$R400,lista_dias,0),9)*1000000000+IFERROR(MATCH('ORDENES'!$AF400,lista_turnos,0),9)*10000000+IFERROR(MATCH('ORDENES'!$AE400,'TECNICOS'!$B$4:$B$15,0),99)*100000+397,9000000000000+397)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IF('ORDENES'!$T400="preventiva",N404,0)</f>
        <v/>
      </c>
      <c r="P404" s="17">
        <f>IF('ORDENES'!$T400="correctiva",N404,0)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IF(AND(IF($B$3="(todos)",TRUE,'ORDENES'!$O401=$B$3),IF($D$3="(todos)",TRUE,'ORDENES'!$AF401=$D$3),IF($F$3="(todos)",TRUE,'ORDENES'!$X401=$F$3),IF($H$3="(todos)",TRUE,'ORDENES'!$W401=$H$3),'ORDENES'!$AD401=TRUE,'ORDENES'!$A401&lt;&gt;""),1,0)</f>
        <v/>
      </c>
      <c r="L405" s="3">
        <f>IF(K405=1,IFERROR(MATCH('ORDENES'!$R401,lista_dias,0),9)*1000000000+IFERROR(MATCH('ORDENES'!$AF401,lista_turnos,0),9)*10000000+IFERROR(MATCH('ORDENES'!$AE401,'TECNICOS'!$B$4:$B$15,0),99)*100000+398,9000000000000+398)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IF('ORDENES'!$T401="preventiva",N405,0)</f>
        <v/>
      </c>
      <c r="P405" s="17">
        <f>IF('ORDENES'!$T401="correctiva",N405,0)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IF(AND(IF($B$3="(todos)",TRUE,'ORDENES'!$O402=$B$3),IF($D$3="(todos)",TRUE,'ORDENES'!$AF402=$D$3),IF($F$3="(todos)",TRUE,'ORDENES'!$X402=$F$3),IF($H$3="(todos)",TRUE,'ORDENES'!$W402=$H$3),'ORDENES'!$AD402=TRUE,'ORDENES'!$A402&lt;&gt;""),1,0)</f>
        <v/>
      </c>
      <c r="L406" s="3">
        <f>IF(K406=1,IFERROR(MATCH('ORDENES'!$R402,lista_dias,0),9)*1000000000+IFERROR(MATCH('ORDENES'!$AF402,lista_turnos,0),9)*10000000+IFERROR(MATCH('ORDENES'!$AE402,'TECNICOS'!$B$4:$B$15,0),99)*100000+399,9000000000000+399)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IF('ORDENES'!$T402="preventiva",N406,0)</f>
        <v/>
      </c>
      <c r="P406" s="17">
        <f>IF('ORDENES'!$T402="correctiva",N406,0)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IF(AND(IF($B$3="(todos)",TRUE,'ORDENES'!$O403=$B$3),IF($D$3="(todos)",TRUE,'ORDENES'!$AF403=$D$3),IF($F$3="(todos)",TRUE,'ORDENES'!$X403=$F$3),IF($H$3="(todos)",TRUE,'ORDENES'!$W403=$H$3),'ORDENES'!$AD403=TRUE,'ORDENES'!$A403&lt;&gt;""),1,0)</f>
        <v/>
      </c>
      <c r="L407" s="3">
        <f>IF(K407=1,IFERROR(MATCH('ORDENES'!$R403,lista_dias,0),9)*1000000000+IFERROR(MATCH('ORDENES'!$AF403,lista_turnos,0),9)*10000000+IFERROR(MATCH('ORDENES'!$AE403,'TECNICOS'!$B$4:$B$15,0),99)*100000+400,9000000000000+400)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IF('ORDENES'!$T403="preventiva",N407,0)</f>
        <v/>
      </c>
      <c r="P407" s="17">
        <f>IF('ORDENES'!$T403="correctiva",N407,0)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IF(AND(IF($B$3="(todos)",TRUE,'ORDENES'!$O404=$B$3),IF($D$3="(todos)",TRUE,'ORDENES'!$AF404=$D$3),IF($F$3="(todos)",TRUE,'ORDENES'!$X404=$F$3),IF($H$3="(todos)",TRUE,'ORDENES'!$W404=$H$3),'ORDENES'!$AD404=TRUE,'ORDENES'!$A404&lt;&gt;""),1,0)</f>
        <v/>
      </c>
      <c r="L408" s="3">
        <f>IF(K408=1,IFERROR(MATCH('ORDENES'!$R404,lista_dias,0),9)*1000000000+IFERROR(MATCH('ORDENES'!$AF404,lista_turnos,0),9)*10000000+IFERROR(MATCH('ORDENES'!$AE404,'TECNICOS'!$B$4:$B$15,0),99)*100000+401,9000000000000+401)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IF('ORDENES'!$T404="preventiva",N408,0)</f>
        <v/>
      </c>
      <c r="P408" s="17">
        <f>IF('ORDENES'!$T404="correctiva",N408,0)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IF(AND(IF($B$3="(todos)",TRUE,'ORDENES'!$O405=$B$3),IF($D$3="(todos)",TRUE,'ORDENES'!$AF405=$D$3),IF($F$3="(todos)",TRUE,'ORDENES'!$X405=$F$3),IF($H$3="(todos)",TRUE,'ORDENES'!$W405=$H$3),'ORDENES'!$AD405=TRUE,'ORDENES'!$A405&lt;&gt;""),1,0)</f>
        <v/>
      </c>
      <c r="L409" s="3">
        <f>IF(K409=1,IFERROR(MATCH('ORDENES'!$R405,lista_dias,0),9)*1000000000+IFERROR(MATCH('ORDENES'!$AF405,lista_turnos,0),9)*10000000+IFERROR(MATCH('ORDENES'!$AE405,'TECNICOS'!$B$4:$B$15,0),99)*100000+402,9000000000000+402)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IF('ORDENES'!$T405="preventiva",N409,0)</f>
        <v/>
      </c>
      <c r="P409" s="17">
        <f>IF('ORDENES'!$T405="correctiva",N409,0)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IF(AND(IF($B$3="(todos)",TRUE,'ORDENES'!$O406=$B$3),IF($D$3="(todos)",TRUE,'ORDENES'!$AF406=$D$3),IF($F$3="(todos)",TRUE,'ORDENES'!$X406=$F$3),IF($H$3="(todos)",TRUE,'ORDENES'!$W406=$H$3),'ORDENES'!$AD406=TRUE,'ORDENES'!$A406&lt;&gt;""),1,0)</f>
        <v/>
      </c>
      <c r="L410" s="3">
        <f>IF(K410=1,IFERROR(MATCH('ORDENES'!$R406,lista_dias,0),9)*1000000000+IFERROR(MATCH('ORDENES'!$AF406,lista_turnos,0),9)*10000000+IFERROR(MATCH('ORDENES'!$AE406,'TECNICOS'!$B$4:$B$15,0),99)*100000+403,9000000000000+403)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IF('ORDENES'!$T406="preventiva",N410,0)</f>
        <v/>
      </c>
      <c r="P410" s="17">
        <f>IF('ORDENES'!$T406="correctiva",N410,0)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IF(AND(IF($B$3="(todos)",TRUE,'ORDENES'!$O407=$B$3),IF($D$3="(todos)",TRUE,'ORDENES'!$AF407=$D$3),IF($F$3="(todos)",TRUE,'ORDENES'!$X407=$F$3),IF($H$3="(todos)",TRUE,'ORDENES'!$W407=$H$3),'ORDENES'!$AD407=TRUE,'ORDENES'!$A407&lt;&gt;""),1,0)</f>
        <v/>
      </c>
      <c r="L411" s="3">
        <f>IF(K411=1,IFERROR(MATCH('ORDENES'!$R407,lista_dias,0),9)*1000000000+IFERROR(MATCH('ORDENES'!$AF407,lista_turnos,0),9)*10000000+IFERROR(MATCH('ORDENES'!$AE407,'TECNICOS'!$B$4:$B$15,0),99)*100000+404,9000000000000+404)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IF('ORDENES'!$T407="preventiva",N411,0)</f>
        <v/>
      </c>
      <c r="P411" s="17">
        <f>IF('ORDENES'!$T407="correctiva",N411,0)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IF(AND(IF($B$3="(todos)",TRUE,'ORDENES'!$O408=$B$3),IF($D$3="(todos)",TRUE,'ORDENES'!$AF408=$D$3),IF($F$3="(todos)",TRUE,'ORDENES'!$X408=$F$3),IF($H$3="(todos)",TRUE,'ORDENES'!$W408=$H$3),'ORDENES'!$AD408=TRUE,'ORDENES'!$A408&lt;&gt;""),1,0)</f>
        <v/>
      </c>
      <c r="L412" s="3">
        <f>IF(K412=1,IFERROR(MATCH('ORDENES'!$R408,lista_dias,0),9)*1000000000+IFERROR(MATCH('ORDENES'!$AF408,lista_turnos,0),9)*10000000+IFERROR(MATCH('ORDENES'!$AE408,'TECNICOS'!$B$4:$B$15,0),99)*100000+405,9000000000000+405)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IF('ORDENES'!$T408="preventiva",N412,0)</f>
        <v/>
      </c>
      <c r="P412" s="17">
        <f>IF('ORDENES'!$T408="correctiva",N412,0)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IF(AND(IF($B$3="(todos)",TRUE,'ORDENES'!$O409=$B$3),IF($D$3="(todos)",TRUE,'ORDENES'!$AF409=$D$3),IF($F$3="(todos)",TRUE,'ORDENES'!$X409=$F$3),IF($H$3="(todos)",TRUE,'ORDENES'!$W409=$H$3),'ORDENES'!$AD409=TRUE,'ORDENES'!$A409&lt;&gt;""),1,0)</f>
        <v/>
      </c>
      <c r="L413" s="3">
        <f>IF(K413=1,IFERROR(MATCH('ORDENES'!$R409,lista_dias,0),9)*1000000000+IFERROR(MATCH('ORDENES'!$AF409,lista_turnos,0),9)*10000000+IFERROR(MATCH('ORDENES'!$AE409,'TECNICOS'!$B$4:$B$15,0),99)*100000+406,9000000000000+406)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IF('ORDENES'!$T409="preventiva",N413,0)</f>
        <v/>
      </c>
      <c r="P413" s="17">
        <f>IF('ORDENES'!$T409="correctiva",N413,0)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IF(AND(IF($B$3="(todos)",TRUE,'ORDENES'!$O410=$B$3),IF($D$3="(todos)",TRUE,'ORDENES'!$AF410=$D$3),IF($F$3="(todos)",TRUE,'ORDENES'!$X410=$F$3),IF($H$3="(todos)",TRUE,'ORDENES'!$W410=$H$3),'ORDENES'!$AD410=TRUE,'ORDENES'!$A410&lt;&gt;""),1,0)</f>
        <v/>
      </c>
      <c r="L414" s="3">
        <f>IF(K414=1,IFERROR(MATCH('ORDENES'!$R410,lista_dias,0),9)*1000000000+IFERROR(MATCH('ORDENES'!$AF410,lista_turnos,0),9)*10000000+IFERROR(MATCH('ORDENES'!$AE410,'TECNICOS'!$B$4:$B$15,0),99)*100000+407,9000000000000+407)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IF('ORDENES'!$T410="preventiva",N414,0)</f>
        <v/>
      </c>
      <c r="P414" s="17">
        <f>IF('ORDENES'!$T410="correctiva",N414,0)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IF(AND(IF($B$3="(todos)",TRUE,'ORDENES'!$O411=$B$3),IF($D$3="(todos)",TRUE,'ORDENES'!$AF411=$D$3),IF($F$3="(todos)",TRUE,'ORDENES'!$X411=$F$3),IF($H$3="(todos)",TRUE,'ORDENES'!$W411=$H$3),'ORDENES'!$AD411=TRUE,'ORDENES'!$A411&lt;&gt;""),1,0)</f>
        <v/>
      </c>
      <c r="L415" s="3">
        <f>IF(K415=1,IFERROR(MATCH('ORDENES'!$R411,lista_dias,0),9)*1000000000+IFERROR(MATCH('ORDENES'!$AF411,lista_turnos,0),9)*10000000+IFERROR(MATCH('ORDENES'!$AE411,'TECNICOS'!$B$4:$B$15,0),99)*100000+408,9000000000000+408)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IF('ORDENES'!$T411="preventiva",N415,0)</f>
        <v/>
      </c>
      <c r="P415" s="17">
        <f>IF('ORDENES'!$T411="correctiva",N415,0)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IF(AND(IF($B$3="(todos)",TRUE,'ORDENES'!$O412=$B$3),IF($D$3="(todos)",TRUE,'ORDENES'!$AF412=$D$3),IF($F$3="(todos)",TRUE,'ORDENES'!$X412=$F$3),IF($H$3="(todos)",TRUE,'ORDENES'!$W412=$H$3),'ORDENES'!$AD412=TRUE,'ORDENES'!$A412&lt;&gt;""),1,0)</f>
        <v/>
      </c>
      <c r="L416" s="3">
        <f>IF(K416=1,IFERROR(MATCH('ORDENES'!$R412,lista_dias,0),9)*1000000000+IFERROR(MATCH('ORDENES'!$AF412,lista_turnos,0),9)*10000000+IFERROR(MATCH('ORDENES'!$AE412,'TECNICOS'!$B$4:$B$15,0),99)*100000+409,9000000000000+409)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IF('ORDENES'!$T412="preventiva",N416,0)</f>
        <v/>
      </c>
      <c r="P416" s="17">
        <f>IF('ORDENES'!$T412="correctiva",N416,0)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IF(AND(IF($B$3="(todos)",TRUE,'ORDENES'!$O413=$B$3),IF($D$3="(todos)",TRUE,'ORDENES'!$AF413=$D$3),IF($F$3="(todos)",TRUE,'ORDENES'!$X413=$F$3),IF($H$3="(todos)",TRUE,'ORDENES'!$W413=$H$3),'ORDENES'!$AD413=TRUE,'ORDENES'!$A413&lt;&gt;""),1,0)</f>
        <v/>
      </c>
      <c r="L417" s="3">
        <f>IF(K417=1,IFERROR(MATCH('ORDENES'!$R413,lista_dias,0),9)*1000000000+IFERROR(MATCH('ORDENES'!$AF413,lista_turnos,0),9)*10000000+IFERROR(MATCH('ORDENES'!$AE413,'TECNICOS'!$B$4:$B$15,0),99)*100000+410,9000000000000+410)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IF('ORDENES'!$T413="preventiva",N417,0)</f>
        <v/>
      </c>
      <c r="P417" s="17">
        <f>IF('ORDENES'!$T413="correctiva",N417,0)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IF(AND(IF($B$3="(todos)",TRUE,'ORDENES'!$O414=$B$3),IF($D$3="(todos)",TRUE,'ORDENES'!$AF414=$D$3),IF($F$3="(todos)",TRUE,'ORDENES'!$X414=$F$3),IF($H$3="(todos)",TRUE,'ORDENES'!$W414=$H$3),'ORDENES'!$AD414=TRUE,'ORDENES'!$A414&lt;&gt;""),1,0)</f>
        <v/>
      </c>
      <c r="L418" s="3">
        <f>IF(K418=1,IFERROR(MATCH('ORDENES'!$R414,lista_dias,0),9)*1000000000+IFERROR(MATCH('ORDENES'!$AF414,lista_turnos,0),9)*10000000+IFERROR(MATCH('ORDENES'!$AE414,'TECNICOS'!$B$4:$B$15,0),99)*100000+411,9000000000000+411)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IF('ORDENES'!$T414="preventiva",N418,0)</f>
        <v/>
      </c>
      <c r="P418" s="17">
        <f>IF('ORDENES'!$T414="correctiva",N418,0)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IF(AND(IF($B$3="(todos)",TRUE,'ORDENES'!$O415=$B$3),IF($D$3="(todos)",TRUE,'ORDENES'!$AF415=$D$3),IF($F$3="(todos)",TRUE,'ORDENES'!$X415=$F$3),IF($H$3="(todos)",TRUE,'ORDENES'!$W415=$H$3),'ORDENES'!$AD415=TRUE,'ORDENES'!$A415&lt;&gt;""),1,0)</f>
        <v/>
      </c>
      <c r="L419" s="3">
        <f>IF(K419=1,IFERROR(MATCH('ORDENES'!$R415,lista_dias,0),9)*1000000000+IFERROR(MATCH('ORDENES'!$AF415,lista_turnos,0),9)*10000000+IFERROR(MATCH('ORDENES'!$AE415,'TECNICOS'!$B$4:$B$15,0),99)*100000+412,9000000000000+412)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IF('ORDENES'!$T415="preventiva",N419,0)</f>
        <v/>
      </c>
      <c r="P419" s="17">
        <f>IF('ORDENES'!$T415="correctiva",N419,0)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IF(AND(IF($B$3="(todos)",TRUE,'ORDENES'!$O416=$B$3),IF($D$3="(todos)",TRUE,'ORDENES'!$AF416=$D$3),IF($F$3="(todos)",TRUE,'ORDENES'!$X416=$F$3),IF($H$3="(todos)",TRUE,'ORDENES'!$W416=$H$3),'ORDENES'!$AD416=TRUE,'ORDENES'!$A416&lt;&gt;""),1,0)</f>
        <v/>
      </c>
      <c r="L420" s="3">
        <f>IF(K420=1,IFERROR(MATCH('ORDENES'!$R416,lista_dias,0),9)*1000000000+IFERROR(MATCH('ORDENES'!$AF416,lista_turnos,0),9)*10000000+IFERROR(MATCH('ORDENES'!$AE416,'TECNICOS'!$B$4:$B$15,0),99)*100000+413,9000000000000+413)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IF('ORDENES'!$T416="preventiva",N420,0)</f>
        <v/>
      </c>
      <c r="P420" s="17">
        <f>IF('ORDENES'!$T416="correctiva",N420,0)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IF(AND(IF($B$3="(todos)",TRUE,'ORDENES'!$O417=$B$3),IF($D$3="(todos)",TRUE,'ORDENES'!$AF417=$D$3),IF($F$3="(todos)",TRUE,'ORDENES'!$X417=$F$3),IF($H$3="(todos)",TRUE,'ORDENES'!$W417=$H$3),'ORDENES'!$AD417=TRUE,'ORDENES'!$A417&lt;&gt;""),1,0)</f>
        <v/>
      </c>
      <c r="L421" s="3">
        <f>IF(K421=1,IFERROR(MATCH('ORDENES'!$R417,lista_dias,0),9)*1000000000+IFERROR(MATCH('ORDENES'!$AF417,lista_turnos,0),9)*10000000+IFERROR(MATCH('ORDENES'!$AE417,'TECNICOS'!$B$4:$B$15,0),99)*100000+414,9000000000000+414)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IF('ORDENES'!$T417="preventiva",N421,0)</f>
        <v/>
      </c>
      <c r="P421" s="17">
        <f>IF('ORDENES'!$T417="correctiva",N421,0)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IF(AND(IF($B$3="(todos)",TRUE,'ORDENES'!$O418=$B$3),IF($D$3="(todos)",TRUE,'ORDENES'!$AF418=$D$3),IF($F$3="(todos)",TRUE,'ORDENES'!$X418=$F$3),IF($H$3="(todos)",TRUE,'ORDENES'!$W418=$H$3),'ORDENES'!$AD418=TRUE,'ORDENES'!$A418&lt;&gt;""),1,0)</f>
        <v/>
      </c>
      <c r="L422" s="3">
        <f>IF(K422=1,IFERROR(MATCH('ORDENES'!$R418,lista_dias,0),9)*1000000000+IFERROR(MATCH('ORDENES'!$AF418,lista_turnos,0),9)*10000000+IFERROR(MATCH('ORDENES'!$AE418,'TECNICOS'!$B$4:$B$15,0),99)*100000+415,9000000000000+415)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IF('ORDENES'!$T418="preventiva",N422,0)</f>
        <v/>
      </c>
      <c r="P422" s="17">
        <f>IF('ORDENES'!$T418="correctiva",N422,0)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IF(AND(IF($B$3="(todos)",TRUE,'ORDENES'!$O419=$B$3),IF($D$3="(todos)",TRUE,'ORDENES'!$AF419=$D$3),IF($F$3="(todos)",TRUE,'ORDENES'!$X419=$F$3),IF($H$3="(todos)",TRUE,'ORDENES'!$W419=$H$3),'ORDENES'!$AD419=TRUE,'ORDENES'!$A419&lt;&gt;""),1,0)</f>
        <v/>
      </c>
      <c r="L423" s="3">
        <f>IF(K423=1,IFERROR(MATCH('ORDENES'!$R419,lista_dias,0),9)*1000000000+IFERROR(MATCH('ORDENES'!$AF419,lista_turnos,0),9)*10000000+IFERROR(MATCH('ORDENES'!$AE419,'TECNICOS'!$B$4:$B$15,0),99)*100000+416,9000000000000+416)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IF('ORDENES'!$T419="preventiva",N423,0)</f>
        <v/>
      </c>
      <c r="P423" s="17">
        <f>IF('ORDENES'!$T419="correctiva",N423,0)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IF(AND(IF($B$3="(todos)",TRUE,'ORDENES'!$O420=$B$3),IF($D$3="(todos)",TRUE,'ORDENES'!$AF420=$D$3),IF($F$3="(todos)",TRUE,'ORDENES'!$X420=$F$3),IF($H$3="(todos)",TRUE,'ORDENES'!$W420=$H$3),'ORDENES'!$AD420=TRUE,'ORDENES'!$A420&lt;&gt;""),1,0)</f>
        <v/>
      </c>
      <c r="L424" s="3">
        <f>IF(K424=1,IFERROR(MATCH('ORDENES'!$R420,lista_dias,0),9)*1000000000+IFERROR(MATCH('ORDENES'!$AF420,lista_turnos,0),9)*10000000+IFERROR(MATCH('ORDENES'!$AE420,'TECNICOS'!$B$4:$B$15,0),99)*100000+417,9000000000000+417)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IF('ORDENES'!$T420="preventiva",N424,0)</f>
        <v/>
      </c>
      <c r="P424" s="17">
        <f>IF('ORDENES'!$T420="correctiva",N424,0)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IF(AND(IF($B$3="(todos)",TRUE,'ORDENES'!$O421=$B$3),IF($D$3="(todos)",TRUE,'ORDENES'!$AF421=$D$3),IF($F$3="(todos)",TRUE,'ORDENES'!$X421=$F$3),IF($H$3="(todos)",TRUE,'ORDENES'!$W421=$H$3),'ORDENES'!$AD421=TRUE,'ORDENES'!$A421&lt;&gt;""),1,0)</f>
        <v/>
      </c>
      <c r="L425" s="3">
        <f>IF(K425=1,IFERROR(MATCH('ORDENES'!$R421,lista_dias,0),9)*1000000000+IFERROR(MATCH('ORDENES'!$AF421,lista_turnos,0),9)*10000000+IFERROR(MATCH('ORDENES'!$AE421,'TECNICOS'!$B$4:$B$15,0),99)*100000+418,9000000000000+418)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IF('ORDENES'!$T421="preventiva",N425,0)</f>
        <v/>
      </c>
      <c r="P425" s="17">
        <f>IF('ORDENES'!$T421="correctiva",N425,0)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IF(AND(IF($B$3="(todos)",TRUE,'ORDENES'!$O422=$B$3),IF($D$3="(todos)",TRUE,'ORDENES'!$AF422=$D$3),IF($F$3="(todos)",TRUE,'ORDENES'!$X422=$F$3),IF($H$3="(todos)",TRUE,'ORDENES'!$W422=$H$3),'ORDENES'!$AD422=TRUE,'ORDENES'!$A422&lt;&gt;""),1,0)</f>
        <v/>
      </c>
      <c r="L426" s="3">
        <f>IF(K426=1,IFERROR(MATCH('ORDENES'!$R422,lista_dias,0),9)*1000000000+IFERROR(MATCH('ORDENES'!$AF422,lista_turnos,0),9)*10000000+IFERROR(MATCH('ORDENES'!$AE422,'TECNICOS'!$B$4:$B$15,0),99)*100000+419,9000000000000+419)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IF('ORDENES'!$T422="preventiva",N426,0)</f>
        <v/>
      </c>
      <c r="P426" s="17">
        <f>IF('ORDENES'!$T422="correctiva",N426,0)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IF(AND(IF($B$3="(todos)",TRUE,'ORDENES'!$O423=$B$3),IF($D$3="(todos)",TRUE,'ORDENES'!$AF423=$D$3),IF($F$3="(todos)",TRUE,'ORDENES'!$X423=$F$3),IF($H$3="(todos)",TRUE,'ORDENES'!$W423=$H$3),'ORDENES'!$AD423=TRUE,'ORDENES'!$A423&lt;&gt;""),1,0)</f>
        <v/>
      </c>
      <c r="L427" s="3">
        <f>IF(K427=1,IFERROR(MATCH('ORDENES'!$R423,lista_dias,0),9)*1000000000+IFERROR(MATCH('ORDENES'!$AF423,lista_turnos,0),9)*10000000+IFERROR(MATCH('ORDENES'!$AE423,'TECNICOS'!$B$4:$B$15,0),99)*100000+420,9000000000000+420)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IF('ORDENES'!$T423="preventiva",N427,0)</f>
        <v/>
      </c>
      <c r="P427" s="17">
        <f>IF('ORDENES'!$T423="correctiva",N427,0)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IF(AND(IF($B$3="(todos)",TRUE,'ORDENES'!$O424=$B$3),IF($D$3="(todos)",TRUE,'ORDENES'!$AF424=$D$3),IF($F$3="(todos)",TRUE,'ORDENES'!$X424=$F$3),IF($H$3="(todos)",TRUE,'ORDENES'!$W424=$H$3),'ORDENES'!$AD424=TRUE,'ORDENES'!$A424&lt;&gt;""),1,0)</f>
        <v/>
      </c>
      <c r="L428" s="3">
        <f>IF(K428=1,IFERROR(MATCH('ORDENES'!$R424,lista_dias,0),9)*1000000000+IFERROR(MATCH('ORDENES'!$AF424,lista_turnos,0),9)*10000000+IFERROR(MATCH('ORDENES'!$AE424,'TECNICOS'!$B$4:$B$15,0),99)*100000+421,9000000000000+421)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IF('ORDENES'!$T424="preventiva",N428,0)</f>
        <v/>
      </c>
      <c r="P428" s="17">
        <f>IF('ORDENES'!$T424="correctiva",N428,0)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IF(AND(IF($B$3="(todos)",TRUE,'ORDENES'!$O425=$B$3),IF($D$3="(todos)",TRUE,'ORDENES'!$AF425=$D$3),IF($F$3="(todos)",TRUE,'ORDENES'!$X425=$F$3),IF($H$3="(todos)",TRUE,'ORDENES'!$W425=$H$3),'ORDENES'!$AD425=TRUE,'ORDENES'!$A425&lt;&gt;""),1,0)</f>
        <v/>
      </c>
      <c r="L429" s="3">
        <f>IF(K429=1,IFERROR(MATCH('ORDENES'!$R425,lista_dias,0),9)*1000000000+IFERROR(MATCH('ORDENES'!$AF425,lista_turnos,0),9)*10000000+IFERROR(MATCH('ORDENES'!$AE425,'TECNICOS'!$B$4:$B$15,0),99)*100000+422,9000000000000+422)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IF('ORDENES'!$T425="preventiva",N429,0)</f>
        <v/>
      </c>
      <c r="P429" s="17">
        <f>IF('ORDENES'!$T425="correctiva",N429,0)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IF(AND(IF($B$3="(todos)",TRUE,'ORDENES'!$O426=$B$3),IF($D$3="(todos)",TRUE,'ORDENES'!$AF426=$D$3),IF($F$3="(todos)",TRUE,'ORDENES'!$X426=$F$3),IF($H$3="(todos)",TRUE,'ORDENES'!$W426=$H$3),'ORDENES'!$AD426=TRUE,'ORDENES'!$A426&lt;&gt;""),1,0)</f>
        <v/>
      </c>
      <c r="L430" s="3">
        <f>IF(K430=1,IFERROR(MATCH('ORDENES'!$R426,lista_dias,0),9)*1000000000+IFERROR(MATCH('ORDENES'!$AF426,lista_turnos,0),9)*10000000+IFERROR(MATCH('ORDENES'!$AE426,'TECNICOS'!$B$4:$B$15,0),99)*100000+423,9000000000000+423)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IF('ORDENES'!$T426="preventiva",N430,0)</f>
        <v/>
      </c>
      <c r="P430" s="17">
        <f>IF('ORDENES'!$T426="correctiva",N430,0)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IF(AND(IF($B$3="(todos)",TRUE,'ORDENES'!$O427=$B$3),IF($D$3="(todos)",TRUE,'ORDENES'!$AF427=$D$3),IF($F$3="(todos)",TRUE,'ORDENES'!$X427=$F$3),IF($H$3="(todos)",TRUE,'ORDENES'!$W427=$H$3),'ORDENES'!$AD427=TRUE,'ORDENES'!$A427&lt;&gt;""),1,0)</f>
        <v/>
      </c>
      <c r="L431" s="3">
        <f>IF(K431=1,IFERROR(MATCH('ORDENES'!$R427,lista_dias,0),9)*1000000000+IFERROR(MATCH('ORDENES'!$AF427,lista_turnos,0),9)*10000000+IFERROR(MATCH('ORDENES'!$AE427,'TECNICOS'!$B$4:$B$15,0),99)*100000+424,9000000000000+424)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IF('ORDENES'!$T427="preventiva",N431,0)</f>
        <v/>
      </c>
      <c r="P431" s="17">
        <f>IF('ORDENES'!$T427="correctiva",N431,0)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IF(AND(IF($B$3="(todos)",TRUE,'ORDENES'!$O428=$B$3),IF($D$3="(todos)",TRUE,'ORDENES'!$AF428=$D$3),IF($F$3="(todos)",TRUE,'ORDENES'!$X428=$F$3),IF($H$3="(todos)",TRUE,'ORDENES'!$W428=$H$3),'ORDENES'!$AD428=TRUE,'ORDENES'!$A428&lt;&gt;""),1,0)</f>
        <v/>
      </c>
      <c r="L432" s="3">
        <f>IF(K432=1,IFERROR(MATCH('ORDENES'!$R428,lista_dias,0),9)*1000000000+IFERROR(MATCH('ORDENES'!$AF428,lista_turnos,0),9)*10000000+IFERROR(MATCH('ORDENES'!$AE428,'TECNICOS'!$B$4:$B$15,0),99)*100000+425,9000000000000+425)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IF('ORDENES'!$T428="preventiva",N432,0)</f>
        <v/>
      </c>
      <c r="P432" s="17">
        <f>IF('ORDENES'!$T428="correctiva",N432,0)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IF(AND(IF($B$3="(todos)",TRUE,'ORDENES'!$O429=$B$3),IF($D$3="(todos)",TRUE,'ORDENES'!$AF429=$D$3),IF($F$3="(todos)",TRUE,'ORDENES'!$X429=$F$3),IF($H$3="(todos)",TRUE,'ORDENES'!$W429=$H$3),'ORDENES'!$AD429=TRUE,'ORDENES'!$A429&lt;&gt;""),1,0)</f>
        <v/>
      </c>
      <c r="L433" s="3">
        <f>IF(K433=1,IFERROR(MATCH('ORDENES'!$R429,lista_dias,0),9)*1000000000+IFERROR(MATCH('ORDENES'!$AF429,lista_turnos,0),9)*10000000+IFERROR(MATCH('ORDENES'!$AE429,'TECNICOS'!$B$4:$B$15,0),99)*100000+426,9000000000000+426)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IF('ORDENES'!$T429="preventiva",N433,0)</f>
        <v/>
      </c>
      <c r="P433" s="17">
        <f>IF('ORDENES'!$T429="correctiva",N433,0)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IF(AND(IF($B$3="(todos)",TRUE,'ORDENES'!$O430=$B$3),IF($D$3="(todos)",TRUE,'ORDENES'!$AF430=$D$3),IF($F$3="(todos)",TRUE,'ORDENES'!$X430=$F$3),IF($H$3="(todos)",TRUE,'ORDENES'!$W430=$H$3),'ORDENES'!$AD430=TRUE,'ORDENES'!$A430&lt;&gt;""),1,0)</f>
        <v/>
      </c>
      <c r="L434" s="3">
        <f>IF(K434=1,IFERROR(MATCH('ORDENES'!$R430,lista_dias,0),9)*1000000000+IFERROR(MATCH('ORDENES'!$AF430,lista_turnos,0),9)*10000000+IFERROR(MATCH('ORDENES'!$AE430,'TECNICOS'!$B$4:$B$15,0),99)*100000+427,9000000000000+427)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IF('ORDENES'!$T430="preventiva",N434,0)</f>
        <v/>
      </c>
      <c r="P434" s="17">
        <f>IF('ORDENES'!$T430="correctiva",N434,0)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IF(AND(IF($B$3="(todos)",TRUE,'ORDENES'!$O431=$B$3),IF($D$3="(todos)",TRUE,'ORDENES'!$AF431=$D$3),IF($F$3="(todos)",TRUE,'ORDENES'!$X431=$F$3),IF($H$3="(todos)",TRUE,'ORDENES'!$W431=$H$3),'ORDENES'!$AD431=TRUE,'ORDENES'!$A431&lt;&gt;""),1,0)</f>
        <v/>
      </c>
      <c r="L435" s="3">
        <f>IF(K435=1,IFERROR(MATCH('ORDENES'!$R431,lista_dias,0),9)*1000000000+IFERROR(MATCH('ORDENES'!$AF431,lista_turnos,0),9)*10000000+IFERROR(MATCH('ORDENES'!$AE431,'TECNICOS'!$B$4:$B$15,0),99)*100000+428,9000000000000+428)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IF('ORDENES'!$T431="preventiva",N435,0)</f>
        <v/>
      </c>
      <c r="P435" s="17">
        <f>IF('ORDENES'!$T431="correctiva",N435,0)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IF(AND(IF($B$3="(todos)",TRUE,'ORDENES'!$O432=$B$3),IF($D$3="(todos)",TRUE,'ORDENES'!$AF432=$D$3),IF($F$3="(todos)",TRUE,'ORDENES'!$X432=$F$3),IF($H$3="(todos)",TRUE,'ORDENES'!$W432=$H$3),'ORDENES'!$AD432=TRUE,'ORDENES'!$A432&lt;&gt;""),1,0)</f>
        <v/>
      </c>
      <c r="L436" s="3">
        <f>IF(K436=1,IFERROR(MATCH('ORDENES'!$R432,lista_dias,0),9)*1000000000+IFERROR(MATCH('ORDENES'!$AF432,lista_turnos,0),9)*10000000+IFERROR(MATCH('ORDENES'!$AE432,'TECNICOS'!$B$4:$B$15,0),99)*100000+429,9000000000000+429)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IF('ORDENES'!$T432="preventiva",N436,0)</f>
        <v/>
      </c>
      <c r="P436" s="17">
        <f>IF('ORDENES'!$T432="correctiva",N436,0)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IF(AND(IF($B$3="(todos)",TRUE,'ORDENES'!$O433=$B$3),IF($D$3="(todos)",TRUE,'ORDENES'!$AF433=$D$3),IF($F$3="(todos)",TRUE,'ORDENES'!$X433=$F$3),IF($H$3="(todos)",TRUE,'ORDENES'!$W433=$H$3),'ORDENES'!$AD433=TRUE,'ORDENES'!$A433&lt;&gt;""),1,0)</f>
        <v/>
      </c>
      <c r="L437" s="3">
        <f>IF(K437=1,IFERROR(MATCH('ORDENES'!$R433,lista_dias,0),9)*1000000000+IFERROR(MATCH('ORDENES'!$AF433,lista_turnos,0),9)*10000000+IFERROR(MATCH('ORDENES'!$AE433,'TECNICOS'!$B$4:$B$15,0),99)*100000+430,9000000000000+430)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IF('ORDENES'!$T433="preventiva",N437,0)</f>
        <v/>
      </c>
      <c r="P437" s="17">
        <f>IF('ORDENES'!$T433="correctiva",N437,0)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IF(AND(IF($B$3="(todos)",TRUE,'ORDENES'!$O434=$B$3),IF($D$3="(todos)",TRUE,'ORDENES'!$AF434=$D$3),IF($F$3="(todos)",TRUE,'ORDENES'!$X434=$F$3),IF($H$3="(todos)",TRUE,'ORDENES'!$W434=$H$3),'ORDENES'!$AD434=TRUE,'ORDENES'!$A434&lt;&gt;""),1,0)</f>
        <v/>
      </c>
      <c r="L438" s="3">
        <f>IF(K438=1,IFERROR(MATCH('ORDENES'!$R434,lista_dias,0),9)*1000000000+IFERROR(MATCH('ORDENES'!$AF434,lista_turnos,0),9)*10000000+IFERROR(MATCH('ORDENES'!$AE434,'TECNICOS'!$B$4:$B$15,0),99)*100000+431,9000000000000+431)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IF('ORDENES'!$T434="preventiva",N438,0)</f>
        <v/>
      </c>
      <c r="P438" s="17">
        <f>IF('ORDENES'!$T434="correctiva",N438,0)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IF(AND(IF($B$3="(todos)",TRUE,'ORDENES'!$O435=$B$3),IF($D$3="(todos)",TRUE,'ORDENES'!$AF435=$D$3),IF($F$3="(todos)",TRUE,'ORDENES'!$X435=$F$3),IF($H$3="(todos)",TRUE,'ORDENES'!$W435=$H$3),'ORDENES'!$AD435=TRUE,'ORDENES'!$A435&lt;&gt;""),1,0)</f>
        <v/>
      </c>
      <c r="L439" s="3">
        <f>IF(K439=1,IFERROR(MATCH('ORDENES'!$R435,lista_dias,0),9)*1000000000+IFERROR(MATCH('ORDENES'!$AF435,lista_turnos,0),9)*10000000+IFERROR(MATCH('ORDENES'!$AE435,'TECNICOS'!$B$4:$B$15,0),99)*100000+432,9000000000000+432)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IF('ORDENES'!$T435="preventiva",N439,0)</f>
        <v/>
      </c>
      <c r="P439" s="17">
        <f>IF('ORDENES'!$T435="correctiva",N439,0)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IF(AND(IF($B$3="(todos)",TRUE,'ORDENES'!$O436=$B$3),IF($D$3="(todos)",TRUE,'ORDENES'!$AF436=$D$3),IF($F$3="(todos)",TRUE,'ORDENES'!$X436=$F$3),IF($H$3="(todos)",TRUE,'ORDENES'!$W436=$H$3),'ORDENES'!$AD436=TRUE,'ORDENES'!$A436&lt;&gt;""),1,0)</f>
        <v/>
      </c>
      <c r="L440" s="3">
        <f>IF(K440=1,IFERROR(MATCH('ORDENES'!$R436,lista_dias,0),9)*1000000000+IFERROR(MATCH('ORDENES'!$AF436,lista_turnos,0),9)*10000000+IFERROR(MATCH('ORDENES'!$AE436,'TECNICOS'!$B$4:$B$15,0),99)*100000+433,9000000000000+433)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IF('ORDENES'!$T436="preventiva",N440,0)</f>
        <v/>
      </c>
      <c r="P440" s="17">
        <f>IF('ORDENES'!$T436="correctiva",N440,0)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IF(AND(IF($B$3="(todos)",TRUE,'ORDENES'!$O437=$B$3),IF($D$3="(todos)",TRUE,'ORDENES'!$AF437=$D$3),IF($F$3="(todos)",TRUE,'ORDENES'!$X437=$F$3),IF($H$3="(todos)",TRUE,'ORDENES'!$W437=$H$3),'ORDENES'!$AD437=TRUE,'ORDENES'!$A437&lt;&gt;""),1,0)</f>
        <v/>
      </c>
      <c r="L441" s="3">
        <f>IF(K441=1,IFERROR(MATCH('ORDENES'!$R437,lista_dias,0),9)*1000000000+IFERROR(MATCH('ORDENES'!$AF437,lista_turnos,0),9)*10000000+IFERROR(MATCH('ORDENES'!$AE437,'TECNICOS'!$B$4:$B$15,0),99)*100000+434,9000000000000+434)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IF('ORDENES'!$T437="preventiva",N441,0)</f>
        <v/>
      </c>
      <c r="P441" s="17">
        <f>IF('ORDENES'!$T437="correctiva",N441,0)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IF(AND(IF($B$3="(todos)",TRUE,'ORDENES'!$O438=$B$3),IF($D$3="(todos)",TRUE,'ORDENES'!$AF438=$D$3),IF($F$3="(todos)",TRUE,'ORDENES'!$X438=$F$3),IF($H$3="(todos)",TRUE,'ORDENES'!$W438=$H$3),'ORDENES'!$AD438=TRUE,'ORDENES'!$A438&lt;&gt;""),1,0)</f>
        <v/>
      </c>
      <c r="L442" s="3">
        <f>IF(K442=1,IFERROR(MATCH('ORDENES'!$R438,lista_dias,0),9)*1000000000+IFERROR(MATCH('ORDENES'!$AF438,lista_turnos,0),9)*10000000+IFERROR(MATCH('ORDENES'!$AE438,'TECNICOS'!$B$4:$B$15,0),99)*100000+435,9000000000000+435)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IF('ORDENES'!$T438="preventiva",N442,0)</f>
        <v/>
      </c>
      <c r="P442" s="17">
        <f>IF('ORDENES'!$T438="correctiva",N442,0)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IF(AND(IF($B$3="(todos)",TRUE,'ORDENES'!$O439=$B$3),IF($D$3="(todos)",TRUE,'ORDENES'!$AF439=$D$3),IF($F$3="(todos)",TRUE,'ORDENES'!$X439=$F$3),IF($H$3="(todos)",TRUE,'ORDENES'!$W439=$H$3),'ORDENES'!$AD439=TRUE,'ORDENES'!$A439&lt;&gt;""),1,0)</f>
        <v/>
      </c>
      <c r="L443" s="3">
        <f>IF(K443=1,IFERROR(MATCH('ORDENES'!$R439,lista_dias,0),9)*1000000000+IFERROR(MATCH('ORDENES'!$AF439,lista_turnos,0),9)*10000000+IFERROR(MATCH('ORDENES'!$AE439,'TECNICOS'!$B$4:$B$15,0),99)*100000+436,9000000000000+436)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IF('ORDENES'!$T439="preventiva",N443,0)</f>
        <v/>
      </c>
      <c r="P443" s="17">
        <f>IF('ORDENES'!$T439="correctiva",N443,0)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IF(AND(IF($B$3="(todos)",TRUE,'ORDENES'!$O440=$B$3),IF($D$3="(todos)",TRUE,'ORDENES'!$AF440=$D$3),IF($F$3="(todos)",TRUE,'ORDENES'!$X440=$F$3),IF($H$3="(todos)",TRUE,'ORDENES'!$W440=$H$3),'ORDENES'!$AD440=TRUE,'ORDENES'!$A440&lt;&gt;""),1,0)</f>
        <v/>
      </c>
      <c r="L444" s="3">
        <f>IF(K444=1,IFERROR(MATCH('ORDENES'!$R440,lista_dias,0),9)*1000000000+IFERROR(MATCH('ORDENES'!$AF440,lista_turnos,0),9)*10000000+IFERROR(MATCH('ORDENES'!$AE440,'TECNICOS'!$B$4:$B$15,0),99)*100000+437,9000000000000+437)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IF('ORDENES'!$T440="preventiva",N444,0)</f>
        <v/>
      </c>
      <c r="P444" s="17">
        <f>IF('ORDENES'!$T440="correctiva",N444,0)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IF(AND(IF($B$3="(todos)",TRUE,'ORDENES'!$O441=$B$3),IF($D$3="(todos)",TRUE,'ORDENES'!$AF441=$D$3),IF($F$3="(todos)",TRUE,'ORDENES'!$X441=$F$3),IF($H$3="(todos)",TRUE,'ORDENES'!$W441=$H$3),'ORDENES'!$AD441=TRUE,'ORDENES'!$A441&lt;&gt;""),1,0)</f>
        <v/>
      </c>
      <c r="L445" s="3">
        <f>IF(K445=1,IFERROR(MATCH('ORDENES'!$R441,lista_dias,0),9)*1000000000+IFERROR(MATCH('ORDENES'!$AF441,lista_turnos,0),9)*10000000+IFERROR(MATCH('ORDENES'!$AE441,'TECNICOS'!$B$4:$B$15,0),99)*100000+438,9000000000000+438)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IF('ORDENES'!$T441="preventiva",N445,0)</f>
        <v/>
      </c>
      <c r="P445" s="17">
        <f>IF('ORDENES'!$T441="correctiva",N445,0)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IF(AND(IF($B$3="(todos)",TRUE,'ORDENES'!$O442=$B$3),IF($D$3="(todos)",TRUE,'ORDENES'!$AF442=$D$3),IF($F$3="(todos)",TRUE,'ORDENES'!$X442=$F$3),IF($H$3="(todos)",TRUE,'ORDENES'!$W442=$H$3),'ORDENES'!$AD442=TRUE,'ORDENES'!$A442&lt;&gt;""),1,0)</f>
        <v/>
      </c>
      <c r="L446" s="3">
        <f>IF(K446=1,IFERROR(MATCH('ORDENES'!$R442,lista_dias,0),9)*1000000000+IFERROR(MATCH('ORDENES'!$AF442,lista_turnos,0),9)*10000000+IFERROR(MATCH('ORDENES'!$AE442,'TECNICOS'!$B$4:$B$15,0),99)*100000+439,9000000000000+439)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IF('ORDENES'!$T442="preventiva",N446,0)</f>
        <v/>
      </c>
      <c r="P446" s="17">
        <f>IF('ORDENES'!$T442="correctiva",N446,0)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IF(AND(IF($B$3="(todos)",TRUE,'ORDENES'!$O443=$B$3),IF($D$3="(todos)",TRUE,'ORDENES'!$AF443=$D$3),IF($F$3="(todos)",TRUE,'ORDENES'!$X443=$F$3),IF($H$3="(todos)",TRUE,'ORDENES'!$W443=$H$3),'ORDENES'!$AD443=TRUE,'ORDENES'!$A443&lt;&gt;""),1,0)</f>
        <v/>
      </c>
      <c r="L447" s="3">
        <f>IF(K447=1,IFERROR(MATCH('ORDENES'!$R443,lista_dias,0),9)*1000000000+IFERROR(MATCH('ORDENES'!$AF443,lista_turnos,0),9)*10000000+IFERROR(MATCH('ORDENES'!$AE443,'TECNICOS'!$B$4:$B$15,0),99)*100000+440,9000000000000+440)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IF('ORDENES'!$T443="preventiva",N447,0)</f>
        <v/>
      </c>
      <c r="P447" s="17">
        <f>IF('ORDENES'!$T443="correctiva",N447,0)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IF(AND(IF($B$3="(todos)",TRUE,'ORDENES'!$O444=$B$3),IF($D$3="(todos)",TRUE,'ORDENES'!$AF444=$D$3),IF($F$3="(todos)",TRUE,'ORDENES'!$X444=$F$3),IF($H$3="(todos)",TRUE,'ORDENES'!$W444=$H$3),'ORDENES'!$AD444=TRUE,'ORDENES'!$A444&lt;&gt;""),1,0)</f>
        <v/>
      </c>
      <c r="L448" s="3">
        <f>IF(K448=1,IFERROR(MATCH('ORDENES'!$R444,lista_dias,0),9)*1000000000+IFERROR(MATCH('ORDENES'!$AF444,lista_turnos,0),9)*10000000+IFERROR(MATCH('ORDENES'!$AE444,'TECNICOS'!$B$4:$B$15,0),99)*100000+441,9000000000000+441)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IF('ORDENES'!$T444="preventiva",N448,0)</f>
        <v/>
      </c>
      <c r="P448" s="17">
        <f>IF('ORDENES'!$T444="correctiva",N448,0)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IF(AND(IF($B$3="(todos)",TRUE,'ORDENES'!$O445=$B$3),IF($D$3="(todos)",TRUE,'ORDENES'!$AF445=$D$3),IF($F$3="(todos)",TRUE,'ORDENES'!$X445=$F$3),IF($H$3="(todos)",TRUE,'ORDENES'!$W445=$H$3),'ORDENES'!$AD445=TRUE,'ORDENES'!$A445&lt;&gt;""),1,0)</f>
        <v/>
      </c>
      <c r="L449" s="3">
        <f>IF(K449=1,IFERROR(MATCH('ORDENES'!$R445,lista_dias,0),9)*1000000000+IFERROR(MATCH('ORDENES'!$AF445,lista_turnos,0),9)*10000000+IFERROR(MATCH('ORDENES'!$AE445,'TECNICOS'!$B$4:$B$15,0),99)*100000+442,9000000000000+442)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IF('ORDENES'!$T445="preventiva",N449,0)</f>
        <v/>
      </c>
      <c r="P449" s="17">
        <f>IF('ORDENES'!$T445="correctiva",N449,0)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IF(AND(IF($B$3="(todos)",TRUE,'ORDENES'!$O446=$B$3),IF($D$3="(todos)",TRUE,'ORDENES'!$AF446=$D$3),IF($F$3="(todos)",TRUE,'ORDENES'!$X446=$F$3),IF($H$3="(todos)",TRUE,'ORDENES'!$W446=$H$3),'ORDENES'!$AD446=TRUE,'ORDENES'!$A446&lt;&gt;""),1,0)</f>
        <v/>
      </c>
      <c r="L450" s="3">
        <f>IF(K450=1,IFERROR(MATCH('ORDENES'!$R446,lista_dias,0),9)*1000000000+IFERROR(MATCH('ORDENES'!$AF446,lista_turnos,0),9)*10000000+IFERROR(MATCH('ORDENES'!$AE446,'TECNICOS'!$B$4:$B$15,0),99)*100000+443,9000000000000+443)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IF('ORDENES'!$T446="preventiva",N450,0)</f>
        <v/>
      </c>
      <c r="P450" s="17">
        <f>IF('ORDENES'!$T446="correctiva",N450,0)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IF(AND(IF($B$3="(todos)",TRUE,'ORDENES'!$O447=$B$3),IF($D$3="(todos)",TRUE,'ORDENES'!$AF447=$D$3),IF($F$3="(todos)",TRUE,'ORDENES'!$X447=$F$3),IF($H$3="(todos)",TRUE,'ORDENES'!$W447=$H$3),'ORDENES'!$AD447=TRUE,'ORDENES'!$A447&lt;&gt;""),1,0)</f>
        <v/>
      </c>
      <c r="L451" s="3">
        <f>IF(K451=1,IFERROR(MATCH('ORDENES'!$R447,lista_dias,0),9)*1000000000+IFERROR(MATCH('ORDENES'!$AF447,lista_turnos,0),9)*10000000+IFERROR(MATCH('ORDENES'!$AE447,'TECNICOS'!$B$4:$B$15,0),99)*100000+444,9000000000000+444)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IF('ORDENES'!$T447="preventiva",N451,0)</f>
        <v/>
      </c>
      <c r="P451" s="17">
        <f>IF('ORDENES'!$T447="correctiva",N451,0)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IF(AND(IF($B$3="(todos)",TRUE,'ORDENES'!$O448=$B$3),IF($D$3="(todos)",TRUE,'ORDENES'!$AF448=$D$3),IF($F$3="(todos)",TRUE,'ORDENES'!$X448=$F$3),IF($H$3="(todos)",TRUE,'ORDENES'!$W448=$H$3),'ORDENES'!$AD448=TRUE,'ORDENES'!$A448&lt;&gt;""),1,0)</f>
        <v/>
      </c>
      <c r="L452" s="3">
        <f>IF(K452=1,IFERROR(MATCH('ORDENES'!$R448,lista_dias,0),9)*1000000000+IFERROR(MATCH('ORDENES'!$AF448,lista_turnos,0),9)*10000000+IFERROR(MATCH('ORDENES'!$AE448,'TECNICOS'!$B$4:$B$15,0),99)*100000+445,9000000000000+445)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IF('ORDENES'!$T448="preventiva",N452,0)</f>
        <v/>
      </c>
      <c r="P452" s="17">
        <f>IF('ORDENES'!$T448="correctiva",N452,0)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IF(AND(IF($B$3="(todos)",TRUE,'ORDENES'!$O449=$B$3),IF($D$3="(todos)",TRUE,'ORDENES'!$AF449=$D$3),IF($F$3="(todos)",TRUE,'ORDENES'!$X449=$F$3),IF($H$3="(todos)",TRUE,'ORDENES'!$W449=$H$3),'ORDENES'!$AD449=TRUE,'ORDENES'!$A449&lt;&gt;""),1,0)</f>
        <v/>
      </c>
      <c r="L453" s="3">
        <f>IF(K453=1,IFERROR(MATCH('ORDENES'!$R449,lista_dias,0),9)*1000000000+IFERROR(MATCH('ORDENES'!$AF449,lista_turnos,0),9)*10000000+IFERROR(MATCH('ORDENES'!$AE449,'TECNICOS'!$B$4:$B$15,0),99)*100000+446,9000000000000+446)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IF('ORDENES'!$T449="preventiva",N453,0)</f>
        <v/>
      </c>
      <c r="P453" s="17">
        <f>IF('ORDENES'!$T449="correctiva",N453,0)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IF(AND(IF($B$3="(todos)",TRUE,'ORDENES'!$O450=$B$3),IF($D$3="(todos)",TRUE,'ORDENES'!$AF450=$D$3),IF($F$3="(todos)",TRUE,'ORDENES'!$X450=$F$3),IF($H$3="(todos)",TRUE,'ORDENES'!$W450=$H$3),'ORDENES'!$AD450=TRUE,'ORDENES'!$A450&lt;&gt;""),1,0)</f>
        <v/>
      </c>
      <c r="L454" s="3">
        <f>IF(K454=1,IFERROR(MATCH('ORDENES'!$R450,lista_dias,0),9)*1000000000+IFERROR(MATCH('ORDENES'!$AF450,lista_turnos,0),9)*10000000+IFERROR(MATCH('ORDENES'!$AE450,'TECNICOS'!$B$4:$B$15,0),99)*100000+447,9000000000000+447)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IF('ORDENES'!$T450="preventiva",N454,0)</f>
        <v/>
      </c>
      <c r="P454" s="17">
        <f>IF('ORDENES'!$T450="correctiva",N454,0)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IF(AND(IF($B$3="(todos)",TRUE,'ORDENES'!$O451=$B$3),IF($D$3="(todos)",TRUE,'ORDENES'!$AF451=$D$3),IF($F$3="(todos)",TRUE,'ORDENES'!$X451=$F$3),IF($H$3="(todos)",TRUE,'ORDENES'!$W451=$H$3),'ORDENES'!$AD451=TRUE,'ORDENES'!$A451&lt;&gt;""),1,0)</f>
        <v/>
      </c>
      <c r="L455" s="3">
        <f>IF(K455=1,IFERROR(MATCH('ORDENES'!$R451,lista_dias,0),9)*1000000000+IFERROR(MATCH('ORDENES'!$AF451,lista_turnos,0),9)*10000000+IFERROR(MATCH('ORDENES'!$AE451,'TECNICOS'!$B$4:$B$15,0),99)*100000+448,9000000000000+448)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IF('ORDENES'!$T451="preventiva",N455,0)</f>
        <v/>
      </c>
      <c r="P455" s="17">
        <f>IF('ORDENES'!$T451="correctiva",N455,0)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IF(AND(IF($B$3="(todos)",TRUE,'ORDENES'!$O452=$B$3),IF($D$3="(todos)",TRUE,'ORDENES'!$AF452=$D$3),IF($F$3="(todos)",TRUE,'ORDENES'!$X452=$F$3),IF($H$3="(todos)",TRUE,'ORDENES'!$W452=$H$3),'ORDENES'!$AD452=TRUE,'ORDENES'!$A452&lt;&gt;""),1,0)</f>
        <v/>
      </c>
      <c r="L456" s="3">
        <f>IF(K456=1,IFERROR(MATCH('ORDENES'!$R452,lista_dias,0),9)*1000000000+IFERROR(MATCH('ORDENES'!$AF452,lista_turnos,0),9)*10000000+IFERROR(MATCH('ORDENES'!$AE452,'TECNICOS'!$B$4:$B$15,0),99)*100000+449,9000000000000+449)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IF('ORDENES'!$T452="preventiva",N456,0)</f>
        <v/>
      </c>
      <c r="P456" s="17">
        <f>IF('ORDENES'!$T452="correctiva",N456,0)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IF(AND(IF($B$3="(todos)",TRUE,'ORDENES'!$O453=$B$3),IF($D$3="(todos)",TRUE,'ORDENES'!$AF453=$D$3),IF($F$3="(todos)",TRUE,'ORDENES'!$X453=$F$3),IF($H$3="(todos)",TRUE,'ORDENES'!$W453=$H$3),'ORDENES'!$AD453=TRUE,'ORDENES'!$A453&lt;&gt;""),1,0)</f>
        <v/>
      </c>
      <c r="L457" s="3">
        <f>IF(K457=1,IFERROR(MATCH('ORDENES'!$R453,lista_dias,0),9)*1000000000+IFERROR(MATCH('ORDENES'!$AF453,lista_turnos,0),9)*10000000+IFERROR(MATCH('ORDENES'!$AE453,'TECNICOS'!$B$4:$B$15,0),99)*100000+450,9000000000000+450)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IF('ORDENES'!$T453="preventiva",N457,0)</f>
        <v/>
      </c>
      <c r="P457" s="17">
        <f>IF('ORDENES'!$T453="correctiva",N457,0)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IF(AND(IF($B$3="(todos)",TRUE,'ORDENES'!$O454=$B$3),IF($D$3="(todos)",TRUE,'ORDENES'!$AF454=$D$3),IF($F$3="(todos)",TRUE,'ORDENES'!$X454=$F$3),IF($H$3="(todos)",TRUE,'ORDENES'!$W454=$H$3),'ORDENES'!$AD454=TRUE,'ORDENES'!$A454&lt;&gt;""),1,0)</f>
        <v/>
      </c>
      <c r="L458" s="3">
        <f>IF(K458=1,IFERROR(MATCH('ORDENES'!$R454,lista_dias,0),9)*1000000000+IFERROR(MATCH('ORDENES'!$AF454,lista_turnos,0),9)*10000000+IFERROR(MATCH('ORDENES'!$AE454,'TECNICOS'!$B$4:$B$15,0),99)*100000+451,9000000000000+451)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IF('ORDENES'!$T454="preventiva",N458,0)</f>
        <v/>
      </c>
      <c r="P458" s="17">
        <f>IF('ORDENES'!$T454="correctiva",N458,0)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IF(AND(IF($B$3="(todos)",TRUE,'ORDENES'!$O455=$B$3),IF($D$3="(todos)",TRUE,'ORDENES'!$AF455=$D$3),IF($F$3="(todos)",TRUE,'ORDENES'!$X455=$F$3),IF($H$3="(todos)",TRUE,'ORDENES'!$W455=$H$3),'ORDENES'!$AD455=TRUE,'ORDENES'!$A455&lt;&gt;""),1,0)</f>
        <v/>
      </c>
      <c r="L459" s="3">
        <f>IF(K459=1,IFERROR(MATCH('ORDENES'!$R455,lista_dias,0),9)*1000000000+IFERROR(MATCH('ORDENES'!$AF455,lista_turnos,0),9)*10000000+IFERROR(MATCH('ORDENES'!$AE455,'TECNICOS'!$B$4:$B$15,0),99)*100000+452,9000000000000+452)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IF('ORDENES'!$T455="preventiva",N459,0)</f>
        <v/>
      </c>
      <c r="P459" s="17">
        <f>IF('ORDENES'!$T455="correctiva",N459,0)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IF(AND(IF($B$3="(todos)",TRUE,'ORDENES'!$O456=$B$3),IF($D$3="(todos)",TRUE,'ORDENES'!$AF456=$D$3),IF($F$3="(todos)",TRUE,'ORDENES'!$X456=$F$3),IF($H$3="(todos)",TRUE,'ORDENES'!$W456=$H$3),'ORDENES'!$AD456=TRUE,'ORDENES'!$A456&lt;&gt;""),1,0)</f>
        <v/>
      </c>
      <c r="L460" s="3">
        <f>IF(K460=1,IFERROR(MATCH('ORDENES'!$R456,lista_dias,0),9)*1000000000+IFERROR(MATCH('ORDENES'!$AF456,lista_turnos,0),9)*10000000+IFERROR(MATCH('ORDENES'!$AE456,'TECNICOS'!$B$4:$B$15,0),99)*100000+453,9000000000000+453)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IF('ORDENES'!$T456="preventiva",N460,0)</f>
        <v/>
      </c>
      <c r="P460" s="17">
        <f>IF('ORDENES'!$T456="correctiva",N460,0)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IF(AND(IF($B$3="(todos)",TRUE,'ORDENES'!$O457=$B$3),IF($D$3="(todos)",TRUE,'ORDENES'!$AF457=$D$3),IF($F$3="(todos)",TRUE,'ORDENES'!$X457=$F$3),IF($H$3="(todos)",TRUE,'ORDENES'!$W457=$H$3),'ORDENES'!$AD457=TRUE,'ORDENES'!$A457&lt;&gt;""),1,0)</f>
        <v/>
      </c>
      <c r="L461" s="3">
        <f>IF(K461=1,IFERROR(MATCH('ORDENES'!$R457,lista_dias,0),9)*1000000000+IFERROR(MATCH('ORDENES'!$AF457,lista_turnos,0),9)*10000000+IFERROR(MATCH('ORDENES'!$AE457,'TECNICOS'!$B$4:$B$15,0),99)*100000+454,9000000000000+454)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IF('ORDENES'!$T457="preventiva",N461,0)</f>
        <v/>
      </c>
      <c r="P461" s="17">
        <f>IF('ORDENES'!$T457="correctiva",N461,0)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IF(AND(IF($B$3="(todos)",TRUE,'ORDENES'!$O458=$B$3),IF($D$3="(todos)",TRUE,'ORDENES'!$AF458=$D$3),IF($F$3="(todos)",TRUE,'ORDENES'!$X458=$F$3),IF($H$3="(todos)",TRUE,'ORDENES'!$W458=$H$3),'ORDENES'!$AD458=TRUE,'ORDENES'!$A458&lt;&gt;""),1,0)</f>
        <v/>
      </c>
      <c r="L462" s="3">
        <f>IF(K462=1,IFERROR(MATCH('ORDENES'!$R458,lista_dias,0),9)*1000000000+IFERROR(MATCH('ORDENES'!$AF458,lista_turnos,0),9)*10000000+IFERROR(MATCH('ORDENES'!$AE458,'TECNICOS'!$B$4:$B$15,0),99)*100000+455,9000000000000+455)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IF('ORDENES'!$T458="preventiva",N462,0)</f>
        <v/>
      </c>
      <c r="P462" s="17">
        <f>IF('ORDENES'!$T458="correctiva",N462,0)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IF(AND(IF($B$3="(todos)",TRUE,'ORDENES'!$O459=$B$3),IF($D$3="(todos)",TRUE,'ORDENES'!$AF459=$D$3),IF($F$3="(todos)",TRUE,'ORDENES'!$X459=$F$3),IF($H$3="(todos)",TRUE,'ORDENES'!$W459=$H$3),'ORDENES'!$AD459=TRUE,'ORDENES'!$A459&lt;&gt;""),1,0)</f>
        <v/>
      </c>
      <c r="L463" s="3">
        <f>IF(K463=1,IFERROR(MATCH('ORDENES'!$R459,lista_dias,0),9)*1000000000+IFERROR(MATCH('ORDENES'!$AF459,lista_turnos,0),9)*10000000+IFERROR(MATCH('ORDENES'!$AE459,'TECNICOS'!$B$4:$B$15,0),99)*100000+456,9000000000000+456)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IF('ORDENES'!$T459="preventiva",N463,0)</f>
        <v/>
      </c>
      <c r="P463" s="17">
        <f>IF('ORDENES'!$T459="correctiva",N463,0)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IF(AND(IF($B$3="(todos)",TRUE,'ORDENES'!$O460=$B$3),IF($D$3="(todos)",TRUE,'ORDENES'!$AF460=$D$3),IF($F$3="(todos)",TRUE,'ORDENES'!$X460=$F$3),IF($H$3="(todos)",TRUE,'ORDENES'!$W460=$H$3),'ORDENES'!$AD460=TRUE,'ORDENES'!$A460&lt;&gt;""),1,0)</f>
        <v/>
      </c>
      <c r="L464" s="3">
        <f>IF(K464=1,IFERROR(MATCH('ORDENES'!$R460,lista_dias,0),9)*1000000000+IFERROR(MATCH('ORDENES'!$AF460,lista_turnos,0),9)*10000000+IFERROR(MATCH('ORDENES'!$AE460,'TECNICOS'!$B$4:$B$15,0),99)*100000+457,9000000000000+457)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IF('ORDENES'!$T460="preventiva",N464,0)</f>
        <v/>
      </c>
      <c r="P464" s="17">
        <f>IF('ORDENES'!$T460="correctiva",N464,0)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IF(AND(IF($B$3="(todos)",TRUE,'ORDENES'!$O461=$B$3),IF($D$3="(todos)",TRUE,'ORDENES'!$AF461=$D$3),IF($F$3="(todos)",TRUE,'ORDENES'!$X461=$F$3),IF($H$3="(todos)",TRUE,'ORDENES'!$W461=$H$3),'ORDENES'!$AD461=TRUE,'ORDENES'!$A461&lt;&gt;""),1,0)</f>
        <v/>
      </c>
      <c r="L465" s="3">
        <f>IF(K465=1,IFERROR(MATCH('ORDENES'!$R461,lista_dias,0),9)*1000000000+IFERROR(MATCH('ORDENES'!$AF461,lista_turnos,0),9)*10000000+IFERROR(MATCH('ORDENES'!$AE461,'TECNICOS'!$B$4:$B$15,0),99)*100000+458,9000000000000+458)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IF('ORDENES'!$T461="preventiva",N465,0)</f>
        <v/>
      </c>
      <c r="P465" s="17">
        <f>IF('ORDENES'!$T461="correctiva",N465,0)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IF(AND(IF($B$3="(todos)",TRUE,'ORDENES'!$O462=$B$3),IF($D$3="(todos)",TRUE,'ORDENES'!$AF462=$D$3),IF($F$3="(todos)",TRUE,'ORDENES'!$X462=$F$3),IF($H$3="(todos)",TRUE,'ORDENES'!$W462=$H$3),'ORDENES'!$AD462=TRUE,'ORDENES'!$A462&lt;&gt;""),1,0)</f>
        <v/>
      </c>
      <c r="L466" s="3">
        <f>IF(K466=1,IFERROR(MATCH('ORDENES'!$R462,lista_dias,0),9)*1000000000+IFERROR(MATCH('ORDENES'!$AF462,lista_turnos,0),9)*10000000+IFERROR(MATCH('ORDENES'!$AE462,'TECNICOS'!$B$4:$B$15,0),99)*100000+459,9000000000000+459)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IF('ORDENES'!$T462="preventiva",N466,0)</f>
        <v/>
      </c>
      <c r="P466" s="17">
        <f>IF('ORDENES'!$T462="correctiva",N466,0)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IF(AND(IF($B$3="(todos)",TRUE,'ORDENES'!$O463=$B$3),IF($D$3="(todos)",TRUE,'ORDENES'!$AF463=$D$3),IF($F$3="(todos)",TRUE,'ORDENES'!$X463=$F$3),IF($H$3="(todos)",TRUE,'ORDENES'!$W463=$H$3),'ORDENES'!$AD463=TRUE,'ORDENES'!$A463&lt;&gt;""),1,0)</f>
        <v/>
      </c>
      <c r="L467" s="3">
        <f>IF(K467=1,IFERROR(MATCH('ORDENES'!$R463,lista_dias,0),9)*1000000000+IFERROR(MATCH('ORDENES'!$AF463,lista_turnos,0),9)*10000000+IFERROR(MATCH('ORDENES'!$AE463,'TECNICOS'!$B$4:$B$15,0),99)*100000+460,9000000000000+460)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IF('ORDENES'!$T463="preventiva",N467,0)</f>
        <v/>
      </c>
      <c r="P467" s="17">
        <f>IF('ORDENES'!$T463="correctiva",N467,0)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IF(AND(IF($B$3="(todos)",TRUE,'ORDENES'!$O464=$B$3),IF($D$3="(todos)",TRUE,'ORDENES'!$AF464=$D$3),IF($F$3="(todos)",TRUE,'ORDENES'!$X464=$F$3),IF($H$3="(todos)",TRUE,'ORDENES'!$W464=$H$3),'ORDENES'!$AD464=TRUE,'ORDENES'!$A464&lt;&gt;""),1,0)</f>
        <v/>
      </c>
      <c r="L468" s="3">
        <f>IF(K468=1,IFERROR(MATCH('ORDENES'!$R464,lista_dias,0),9)*1000000000+IFERROR(MATCH('ORDENES'!$AF464,lista_turnos,0),9)*10000000+IFERROR(MATCH('ORDENES'!$AE464,'TECNICOS'!$B$4:$B$15,0),99)*100000+461,9000000000000+461)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IF('ORDENES'!$T464="preventiva",N468,0)</f>
        <v/>
      </c>
      <c r="P468" s="17">
        <f>IF('ORDENES'!$T464="correctiva",N468,0)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IF(AND(IF($B$3="(todos)",TRUE,'ORDENES'!$O465=$B$3),IF($D$3="(todos)",TRUE,'ORDENES'!$AF465=$D$3),IF($F$3="(todos)",TRUE,'ORDENES'!$X465=$F$3),IF($H$3="(todos)",TRUE,'ORDENES'!$W465=$H$3),'ORDENES'!$AD465=TRUE,'ORDENES'!$A465&lt;&gt;""),1,0)</f>
        <v/>
      </c>
      <c r="L469" s="3">
        <f>IF(K469=1,IFERROR(MATCH('ORDENES'!$R465,lista_dias,0),9)*1000000000+IFERROR(MATCH('ORDENES'!$AF465,lista_turnos,0),9)*10000000+IFERROR(MATCH('ORDENES'!$AE465,'TECNICOS'!$B$4:$B$15,0),99)*100000+462,9000000000000+462)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IF('ORDENES'!$T465="preventiva",N469,0)</f>
        <v/>
      </c>
      <c r="P469" s="17">
        <f>IF('ORDENES'!$T465="correctiva",N469,0)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IF(AND(IF($B$3="(todos)",TRUE,'ORDENES'!$O466=$B$3),IF($D$3="(todos)",TRUE,'ORDENES'!$AF466=$D$3),IF($F$3="(todos)",TRUE,'ORDENES'!$X466=$F$3),IF($H$3="(todos)",TRUE,'ORDENES'!$W466=$H$3),'ORDENES'!$AD466=TRUE,'ORDENES'!$A466&lt;&gt;""),1,0)</f>
        <v/>
      </c>
      <c r="L470" s="3">
        <f>IF(K470=1,IFERROR(MATCH('ORDENES'!$R466,lista_dias,0),9)*1000000000+IFERROR(MATCH('ORDENES'!$AF466,lista_turnos,0),9)*10000000+IFERROR(MATCH('ORDENES'!$AE466,'TECNICOS'!$B$4:$B$15,0),99)*100000+463,9000000000000+463)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IF('ORDENES'!$T466="preventiva",N470,0)</f>
        <v/>
      </c>
      <c r="P470" s="17">
        <f>IF('ORDENES'!$T466="correctiva",N470,0)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IF(AND(IF($B$3="(todos)",TRUE,'ORDENES'!$O467=$B$3),IF($D$3="(todos)",TRUE,'ORDENES'!$AF467=$D$3),IF($F$3="(todos)",TRUE,'ORDENES'!$X467=$F$3),IF($H$3="(todos)",TRUE,'ORDENES'!$W467=$H$3),'ORDENES'!$AD467=TRUE,'ORDENES'!$A467&lt;&gt;""),1,0)</f>
        <v/>
      </c>
      <c r="L471" s="3">
        <f>IF(K471=1,IFERROR(MATCH('ORDENES'!$R467,lista_dias,0),9)*1000000000+IFERROR(MATCH('ORDENES'!$AF467,lista_turnos,0),9)*10000000+IFERROR(MATCH('ORDENES'!$AE467,'TECNICOS'!$B$4:$B$15,0),99)*100000+464,9000000000000+464)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IF('ORDENES'!$T467="preventiva",N471,0)</f>
        <v/>
      </c>
      <c r="P471" s="17">
        <f>IF('ORDENES'!$T467="correctiva",N471,0)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IF(AND(IF($B$3="(todos)",TRUE,'ORDENES'!$O468=$B$3),IF($D$3="(todos)",TRUE,'ORDENES'!$AF468=$D$3),IF($F$3="(todos)",TRUE,'ORDENES'!$X468=$F$3),IF($H$3="(todos)",TRUE,'ORDENES'!$W468=$H$3),'ORDENES'!$AD468=TRUE,'ORDENES'!$A468&lt;&gt;""),1,0)</f>
        <v/>
      </c>
      <c r="L472" s="3">
        <f>IF(K472=1,IFERROR(MATCH('ORDENES'!$R468,lista_dias,0),9)*1000000000+IFERROR(MATCH('ORDENES'!$AF468,lista_turnos,0),9)*10000000+IFERROR(MATCH('ORDENES'!$AE468,'TECNICOS'!$B$4:$B$15,0),99)*100000+465,9000000000000+465)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IF('ORDENES'!$T468="preventiva",N472,0)</f>
        <v/>
      </c>
      <c r="P472" s="17">
        <f>IF('ORDENES'!$T468="correctiva",N472,0)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IF(AND(IF($B$3="(todos)",TRUE,'ORDENES'!$O469=$B$3),IF($D$3="(todos)",TRUE,'ORDENES'!$AF469=$D$3),IF($F$3="(todos)",TRUE,'ORDENES'!$X469=$F$3),IF($H$3="(todos)",TRUE,'ORDENES'!$W469=$H$3),'ORDENES'!$AD469=TRUE,'ORDENES'!$A469&lt;&gt;""),1,0)</f>
        <v/>
      </c>
      <c r="L473" s="3">
        <f>IF(K473=1,IFERROR(MATCH('ORDENES'!$R469,lista_dias,0),9)*1000000000+IFERROR(MATCH('ORDENES'!$AF469,lista_turnos,0),9)*10000000+IFERROR(MATCH('ORDENES'!$AE469,'TECNICOS'!$B$4:$B$15,0),99)*100000+466,9000000000000+466)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IF('ORDENES'!$T469="preventiva",N473,0)</f>
        <v/>
      </c>
      <c r="P473" s="17">
        <f>IF('ORDENES'!$T469="correctiva",N473,0)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IF(AND(IF($B$3="(todos)",TRUE,'ORDENES'!$O470=$B$3),IF($D$3="(todos)",TRUE,'ORDENES'!$AF470=$D$3),IF($F$3="(todos)",TRUE,'ORDENES'!$X470=$F$3),IF($H$3="(todos)",TRUE,'ORDENES'!$W470=$H$3),'ORDENES'!$AD470=TRUE,'ORDENES'!$A470&lt;&gt;""),1,0)</f>
        <v/>
      </c>
      <c r="L474" s="3">
        <f>IF(K474=1,IFERROR(MATCH('ORDENES'!$R470,lista_dias,0),9)*1000000000+IFERROR(MATCH('ORDENES'!$AF470,lista_turnos,0),9)*10000000+IFERROR(MATCH('ORDENES'!$AE470,'TECNICOS'!$B$4:$B$15,0),99)*100000+467,9000000000000+467)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IF('ORDENES'!$T470="preventiva",N474,0)</f>
        <v/>
      </c>
      <c r="P474" s="17">
        <f>IF('ORDENES'!$T470="correctiva",N474,0)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IF(AND(IF($B$3="(todos)",TRUE,'ORDENES'!$O471=$B$3),IF($D$3="(todos)",TRUE,'ORDENES'!$AF471=$D$3),IF($F$3="(todos)",TRUE,'ORDENES'!$X471=$F$3),IF($H$3="(todos)",TRUE,'ORDENES'!$W471=$H$3),'ORDENES'!$AD471=TRUE,'ORDENES'!$A471&lt;&gt;""),1,0)</f>
        <v/>
      </c>
      <c r="L475" s="3">
        <f>IF(K475=1,IFERROR(MATCH('ORDENES'!$R471,lista_dias,0),9)*1000000000+IFERROR(MATCH('ORDENES'!$AF471,lista_turnos,0),9)*10000000+IFERROR(MATCH('ORDENES'!$AE471,'TECNICOS'!$B$4:$B$15,0),99)*100000+468,9000000000000+468)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IF('ORDENES'!$T471="preventiva",N475,0)</f>
        <v/>
      </c>
      <c r="P475" s="17">
        <f>IF('ORDENES'!$T471="correctiva",N475,0)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IF(AND(IF($B$3="(todos)",TRUE,'ORDENES'!$O472=$B$3),IF($D$3="(todos)",TRUE,'ORDENES'!$AF472=$D$3),IF($F$3="(todos)",TRUE,'ORDENES'!$X472=$F$3),IF($H$3="(todos)",TRUE,'ORDENES'!$W472=$H$3),'ORDENES'!$AD472=TRUE,'ORDENES'!$A472&lt;&gt;""),1,0)</f>
        <v/>
      </c>
      <c r="L476" s="3">
        <f>IF(K476=1,IFERROR(MATCH('ORDENES'!$R472,lista_dias,0),9)*1000000000+IFERROR(MATCH('ORDENES'!$AF472,lista_turnos,0),9)*10000000+IFERROR(MATCH('ORDENES'!$AE472,'TECNICOS'!$B$4:$B$15,0),99)*100000+469,9000000000000+469)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IF('ORDENES'!$T472="preventiva",N476,0)</f>
        <v/>
      </c>
      <c r="P476" s="17">
        <f>IF('ORDENES'!$T472="correctiva",N476,0)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IF(AND(IF($B$3="(todos)",TRUE,'ORDENES'!$O473=$B$3),IF($D$3="(todos)",TRUE,'ORDENES'!$AF473=$D$3),IF($F$3="(todos)",TRUE,'ORDENES'!$X473=$F$3),IF($H$3="(todos)",TRUE,'ORDENES'!$W473=$H$3),'ORDENES'!$AD473=TRUE,'ORDENES'!$A473&lt;&gt;""),1,0)</f>
        <v/>
      </c>
      <c r="L477" s="3">
        <f>IF(K477=1,IFERROR(MATCH('ORDENES'!$R473,lista_dias,0),9)*1000000000+IFERROR(MATCH('ORDENES'!$AF473,lista_turnos,0),9)*10000000+IFERROR(MATCH('ORDENES'!$AE473,'TECNICOS'!$B$4:$B$15,0),99)*100000+470,9000000000000+470)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IF('ORDENES'!$T473="preventiva",N477,0)</f>
        <v/>
      </c>
      <c r="P477" s="17">
        <f>IF('ORDENES'!$T473="correctiva",N477,0)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IF(AND(IF($B$3="(todos)",TRUE,'ORDENES'!$O474=$B$3),IF($D$3="(todos)",TRUE,'ORDENES'!$AF474=$D$3),IF($F$3="(todos)",TRUE,'ORDENES'!$X474=$F$3),IF($H$3="(todos)",TRUE,'ORDENES'!$W474=$H$3),'ORDENES'!$AD474=TRUE,'ORDENES'!$A474&lt;&gt;""),1,0)</f>
        <v/>
      </c>
      <c r="L478" s="3">
        <f>IF(K478=1,IFERROR(MATCH('ORDENES'!$R474,lista_dias,0),9)*1000000000+IFERROR(MATCH('ORDENES'!$AF474,lista_turnos,0),9)*10000000+IFERROR(MATCH('ORDENES'!$AE474,'TECNICOS'!$B$4:$B$15,0),99)*100000+471,9000000000000+471)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IF('ORDENES'!$T474="preventiva",N478,0)</f>
        <v/>
      </c>
      <c r="P478" s="17">
        <f>IF('ORDENES'!$T474="correctiva",N478,0)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IF(AND(IF($B$3="(todos)",TRUE,'ORDENES'!$O475=$B$3),IF($D$3="(todos)",TRUE,'ORDENES'!$AF475=$D$3),IF($F$3="(todos)",TRUE,'ORDENES'!$X475=$F$3),IF($H$3="(todos)",TRUE,'ORDENES'!$W475=$H$3),'ORDENES'!$AD475=TRUE,'ORDENES'!$A475&lt;&gt;""),1,0)</f>
        <v/>
      </c>
      <c r="L479" s="3">
        <f>IF(K479=1,IFERROR(MATCH('ORDENES'!$R475,lista_dias,0),9)*1000000000+IFERROR(MATCH('ORDENES'!$AF475,lista_turnos,0),9)*10000000+IFERROR(MATCH('ORDENES'!$AE475,'TECNICOS'!$B$4:$B$15,0),99)*100000+472,9000000000000+472)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IF('ORDENES'!$T475="preventiva",N479,0)</f>
        <v/>
      </c>
      <c r="P479" s="17">
        <f>IF('ORDENES'!$T475="correctiva",N479,0)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IF(AND(IF($B$3="(todos)",TRUE,'ORDENES'!$O476=$B$3),IF($D$3="(todos)",TRUE,'ORDENES'!$AF476=$D$3),IF($F$3="(todos)",TRUE,'ORDENES'!$X476=$F$3),IF($H$3="(todos)",TRUE,'ORDENES'!$W476=$H$3),'ORDENES'!$AD476=TRUE,'ORDENES'!$A476&lt;&gt;""),1,0)</f>
        <v/>
      </c>
      <c r="L480" s="3">
        <f>IF(K480=1,IFERROR(MATCH('ORDENES'!$R476,lista_dias,0),9)*1000000000+IFERROR(MATCH('ORDENES'!$AF476,lista_turnos,0),9)*10000000+IFERROR(MATCH('ORDENES'!$AE476,'TECNICOS'!$B$4:$B$15,0),99)*100000+473,9000000000000+473)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IF('ORDENES'!$T476="preventiva",N480,0)</f>
        <v/>
      </c>
      <c r="P480" s="17">
        <f>IF('ORDENES'!$T476="correctiva",N480,0)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IF(AND(IF($B$3="(todos)",TRUE,'ORDENES'!$O477=$B$3),IF($D$3="(todos)",TRUE,'ORDENES'!$AF477=$D$3),IF($F$3="(todos)",TRUE,'ORDENES'!$X477=$F$3),IF($H$3="(todos)",TRUE,'ORDENES'!$W477=$H$3),'ORDENES'!$AD477=TRUE,'ORDENES'!$A477&lt;&gt;""),1,0)</f>
        <v/>
      </c>
      <c r="L481" s="3">
        <f>IF(K481=1,IFERROR(MATCH('ORDENES'!$R477,lista_dias,0),9)*1000000000+IFERROR(MATCH('ORDENES'!$AF477,lista_turnos,0),9)*10000000+IFERROR(MATCH('ORDENES'!$AE477,'TECNICOS'!$B$4:$B$15,0),99)*100000+474,9000000000000+474)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IF('ORDENES'!$T477="preventiva",N481,0)</f>
        <v/>
      </c>
      <c r="P481" s="17">
        <f>IF('ORDENES'!$T477="correctiva",N481,0)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IF(AND(IF($B$3="(todos)",TRUE,'ORDENES'!$O478=$B$3),IF($D$3="(todos)",TRUE,'ORDENES'!$AF478=$D$3),IF($F$3="(todos)",TRUE,'ORDENES'!$X478=$F$3),IF($H$3="(todos)",TRUE,'ORDENES'!$W478=$H$3),'ORDENES'!$AD478=TRUE,'ORDENES'!$A478&lt;&gt;""),1,0)</f>
        <v/>
      </c>
      <c r="L482" s="3">
        <f>IF(K482=1,IFERROR(MATCH('ORDENES'!$R478,lista_dias,0),9)*1000000000+IFERROR(MATCH('ORDENES'!$AF478,lista_turnos,0),9)*10000000+IFERROR(MATCH('ORDENES'!$AE478,'TECNICOS'!$B$4:$B$15,0),99)*100000+475,9000000000000+475)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IF('ORDENES'!$T478="preventiva",N482,0)</f>
        <v/>
      </c>
      <c r="P482" s="17">
        <f>IF('ORDENES'!$T478="correctiva",N482,0)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IF(AND(IF($B$3="(todos)",TRUE,'ORDENES'!$O479=$B$3),IF($D$3="(todos)",TRUE,'ORDENES'!$AF479=$D$3),IF($F$3="(todos)",TRUE,'ORDENES'!$X479=$F$3),IF($H$3="(todos)",TRUE,'ORDENES'!$W479=$H$3),'ORDENES'!$AD479=TRUE,'ORDENES'!$A479&lt;&gt;""),1,0)</f>
        <v/>
      </c>
      <c r="L483" s="3">
        <f>IF(K483=1,IFERROR(MATCH('ORDENES'!$R479,lista_dias,0),9)*1000000000+IFERROR(MATCH('ORDENES'!$AF479,lista_turnos,0),9)*10000000+IFERROR(MATCH('ORDENES'!$AE479,'TECNICOS'!$B$4:$B$15,0),99)*100000+476,9000000000000+476)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IF('ORDENES'!$T479="preventiva",N483,0)</f>
        <v/>
      </c>
      <c r="P483" s="17">
        <f>IF('ORDENES'!$T479="correctiva",N483,0)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IF(AND(IF($B$3="(todos)",TRUE,'ORDENES'!$O480=$B$3),IF($D$3="(todos)",TRUE,'ORDENES'!$AF480=$D$3),IF($F$3="(todos)",TRUE,'ORDENES'!$X480=$F$3),IF($H$3="(todos)",TRUE,'ORDENES'!$W480=$H$3),'ORDENES'!$AD480=TRUE,'ORDENES'!$A480&lt;&gt;""),1,0)</f>
        <v/>
      </c>
      <c r="L484" s="3">
        <f>IF(K484=1,IFERROR(MATCH('ORDENES'!$R480,lista_dias,0),9)*1000000000+IFERROR(MATCH('ORDENES'!$AF480,lista_turnos,0),9)*10000000+IFERROR(MATCH('ORDENES'!$AE480,'TECNICOS'!$B$4:$B$15,0),99)*100000+477,9000000000000+477)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IF('ORDENES'!$T480="preventiva",N484,0)</f>
        <v/>
      </c>
      <c r="P484" s="17">
        <f>IF('ORDENES'!$T480="correctiva",N484,0)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IF(AND(IF($B$3="(todos)",TRUE,'ORDENES'!$O481=$B$3),IF($D$3="(todos)",TRUE,'ORDENES'!$AF481=$D$3),IF($F$3="(todos)",TRUE,'ORDENES'!$X481=$F$3),IF($H$3="(todos)",TRUE,'ORDENES'!$W481=$H$3),'ORDENES'!$AD481=TRUE,'ORDENES'!$A481&lt;&gt;""),1,0)</f>
        <v/>
      </c>
      <c r="L485" s="3">
        <f>IF(K485=1,IFERROR(MATCH('ORDENES'!$R481,lista_dias,0),9)*1000000000+IFERROR(MATCH('ORDENES'!$AF481,lista_turnos,0),9)*10000000+IFERROR(MATCH('ORDENES'!$AE481,'TECNICOS'!$B$4:$B$15,0),99)*100000+478,9000000000000+478)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IF('ORDENES'!$T481="preventiva",N485,0)</f>
        <v/>
      </c>
      <c r="P485" s="17">
        <f>IF('ORDENES'!$T481="correctiva",N485,0)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IF(AND(IF($B$3="(todos)",TRUE,'ORDENES'!$O482=$B$3),IF($D$3="(todos)",TRUE,'ORDENES'!$AF482=$D$3),IF($F$3="(todos)",TRUE,'ORDENES'!$X482=$F$3),IF($H$3="(todos)",TRUE,'ORDENES'!$W482=$H$3),'ORDENES'!$AD482=TRUE,'ORDENES'!$A482&lt;&gt;""),1,0)</f>
        <v/>
      </c>
      <c r="L486" s="3">
        <f>IF(K486=1,IFERROR(MATCH('ORDENES'!$R482,lista_dias,0),9)*1000000000+IFERROR(MATCH('ORDENES'!$AF482,lista_turnos,0),9)*10000000+IFERROR(MATCH('ORDENES'!$AE482,'TECNICOS'!$B$4:$B$15,0),99)*100000+479,9000000000000+479)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IF('ORDENES'!$T482="preventiva",N486,0)</f>
        <v/>
      </c>
      <c r="P486" s="17">
        <f>IF('ORDENES'!$T482="correctiva",N486,0)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IF(AND(IF($B$3="(todos)",TRUE,'ORDENES'!$O483=$B$3),IF($D$3="(todos)",TRUE,'ORDENES'!$AF483=$D$3),IF($F$3="(todos)",TRUE,'ORDENES'!$X483=$F$3),IF($H$3="(todos)",TRUE,'ORDENES'!$W483=$H$3),'ORDENES'!$AD483=TRUE,'ORDENES'!$A483&lt;&gt;""),1,0)</f>
        <v/>
      </c>
      <c r="L487" s="3">
        <f>IF(K487=1,IFERROR(MATCH('ORDENES'!$R483,lista_dias,0),9)*1000000000+IFERROR(MATCH('ORDENES'!$AF483,lista_turnos,0),9)*10000000+IFERROR(MATCH('ORDENES'!$AE483,'TECNICOS'!$B$4:$B$15,0),99)*100000+480,9000000000000+480)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IF('ORDENES'!$T483="preventiva",N487,0)</f>
        <v/>
      </c>
      <c r="P487" s="17">
        <f>IF('ORDENES'!$T483="correctiva",N487,0)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IF(AND(IF($B$3="(todos)",TRUE,'ORDENES'!$O484=$B$3),IF($D$3="(todos)",TRUE,'ORDENES'!$AF484=$D$3),IF($F$3="(todos)",TRUE,'ORDENES'!$X484=$F$3),IF($H$3="(todos)",TRUE,'ORDENES'!$W484=$H$3),'ORDENES'!$AD484=TRUE,'ORDENES'!$A484&lt;&gt;""),1,0)</f>
        <v/>
      </c>
      <c r="L488" s="3">
        <f>IF(K488=1,IFERROR(MATCH('ORDENES'!$R484,lista_dias,0),9)*1000000000+IFERROR(MATCH('ORDENES'!$AF484,lista_turnos,0),9)*10000000+IFERROR(MATCH('ORDENES'!$AE484,'TECNICOS'!$B$4:$B$15,0),99)*100000+481,9000000000000+481)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IF('ORDENES'!$T484="preventiva",N488,0)</f>
        <v/>
      </c>
      <c r="P488" s="17">
        <f>IF('ORDENES'!$T484="correctiva",N488,0)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IF(AND(IF($B$3="(todos)",TRUE,'ORDENES'!$O485=$B$3),IF($D$3="(todos)",TRUE,'ORDENES'!$AF485=$D$3),IF($F$3="(todos)",TRUE,'ORDENES'!$X485=$F$3),IF($H$3="(todos)",TRUE,'ORDENES'!$W485=$H$3),'ORDENES'!$AD485=TRUE,'ORDENES'!$A485&lt;&gt;""),1,0)</f>
        <v/>
      </c>
      <c r="L489" s="3">
        <f>IF(K489=1,IFERROR(MATCH('ORDENES'!$R485,lista_dias,0),9)*1000000000+IFERROR(MATCH('ORDENES'!$AF485,lista_turnos,0),9)*10000000+IFERROR(MATCH('ORDENES'!$AE485,'TECNICOS'!$B$4:$B$15,0),99)*100000+482,9000000000000+482)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IF('ORDENES'!$T485="preventiva",N489,0)</f>
        <v/>
      </c>
      <c r="P489" s="17">
        <f>IF('ORDENES'!$T485="correctiva",N489,0)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IF(AND(IF($B$3="(todos)",TRUE,'ORDENES'!$O486=$B$3),IF($D$3="(todos)",TRUE,'ORDENES'!$AF486=$D$3),IF($F$3="(todos)",TRUE,'ORDENES'!$X486=$F$3),IF($H$3="(todos)",TRUE,'ORDENES'!$W486=$H$3),'ORDENES'!$AD486=TRUE,'ORDENES'!$A486&lt;&gt;""),1,0)</f>
        <v/>
      </c>
      <c r="L490" s="3">
        <f>IF(K490=1,IFERROR(MATCH('ORDENES'!$R486,lista_dias,0),9)*1000000000+IFERROR(MATCH('ORDENES'!$AF486,lista_turnos,0),9)*10000000+IFERROR(MATCH('ORDENES'!$AE486,'TECNICOS'!$B$4:$B$15,0),99)*100000+483,9000000000000+483)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IF('ORDENES'!$T486="preventiva",N490,0)</f>
        <v/>
      </c>
      <c r="P490" s="17">
        <f>IF('ORDENES'!$T486="correctiva",N490,0)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IF(AND(IF($B$3="(todos)",TRUE,'ORDENES'!$O487=$B$3),IF($D$3="(todos)",TRUE,'ORDENES'!$AF487=$D$3),IF($F$3="(todos)",TRUE,'ORDENES'!$X487=$F$3),IF($H$3="(todos)",TRUE,'ORDENES'!$W487=$H$3),'ORDENES'!$AD487=TRUE,'ORDENES'!$A487&lt;&gt;""),1,0)</f>
        <v/>
      </c>
      <c r="L491" s="3">
        <f>IF(K491=1,IFERROR(MATCH('ORDENES'!$R487,lista_dias,0),9)*1000000000+IFERROR(MATCH('ORDENES'!$AF487,lista_turnos,0),9)*10000000+IFERROR(MATCH('ORDENES'!$AE487,'TECNICOS'!$B$4:$B$15,0),99)*100000+484,9000000000000+484)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IF('ORDENES'!$T487="preventiva",N491,0)</f>
        <v/>
      </c>
      <c r="P491" s="17">
        <f>IF('ORDENES'!$T487="correctiva",N491,0)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IF(AND(IF($B$3="(todos)",TRUE,'ORDENES'!$O488=$B$3),IF($D$3="(todos)",TRUE,'ORDENES'!$AF488=$D$3),IF($F$3="(todos)",TRUE,'ORDENES'!$X488=$F$3),IF($H$3="(todos)",TRUE,'ORDENES'!$W488=$H$3),'ORDENES'!$AD488=TRUE,'ORDENES'!$A488&lt;&gt;""),1,0)</f>
        <v/>
      </c>
      <c r="L492" s="3">
        <f>IF(K492=1,IFERROR(MATCH('ORDENES'!$R488,lista_dias,0),9)*1000000000+IFERROR(MATCH('ORDENES'!$AF488,lista_turnos,0),9)*10000000+IFERROR(MATCH('ORDENES'!$AE488,'TECNICOS'!$B$4:$B$15,0),99)*100000+485,9000000000000+485)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IF('ORDENES'!$T488="preventiva",N492,0)</f>
        <v/>
      </c>
      <c r="P492" s="17">
        <f>IF('ORDENES'!$T488="correctiva",N492,0)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IF(AND(IF($B$3="(todos)",TRUE,'ORDENES'!$O489=$B$3),IF($D$3="(todos)",TRUE,'ORDENES'!$AF489=$D$3),IF($F$3="(todos)",TRUE,'ORDENES'!$X489=$F$3),IF($H$3="(todos)",TRUE,'ORDENES'!$W489=$H$3),'ORDENES'!$AD489=TRUE,'ORDENES'!$A489&lt;&gt;""),1,0)</f>
        <v/>
      </c>
      <c r="L493" s="3">
        <f>IF(K493=1,IFERROR(MATCH('ORDENES'!$R489,lista_dias,0),9)*1000000000+IFERROR(MATCH('ORDENES'!$AF489,lista_turnos,0),9)*10000000+IFERROR(MATCH('ORDENES'!$AE489,'TECNICOS'!$B$4:$B$15,0),99)*100000+486,9000000000000+486)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IF('ORDENES'!$T489="preventiva",N493,0)</f>
        <v/>
      </c>
      <c r="P493" s="17">
        <f>IF('ORDENES'!$T489="correctiva",N493,0)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IF(AND(IF($B$3="(todos)",TRUE,'ORDENES'!$O490=$B$3),IF($D$3="(todos)",TRUE,'ORDENES'!$AF490=$D$3),IF($F$3="(todos)",TRUE,'ORDENES'!$X490=$F$3),IF($H$3="(todos)",TRUE,'ORDENES'!$W490=$H$3),'ORDENES'!$AD490=TRUE,'ORDENES'!$A490&lt;&gt;""),1,0)</f>
        <v/>
      </c>
      <c r="L494" s="3">
        <f>IF(K494=1,IFERROR(MATCH('ORDENES'!$R490,lista_dias,0),9)*1000000000+IFERROR(MATCH('ORDENES'!$AF490,lista_turnos,0),9)*10000000+IFERROR(MATCH('ORDENES'!$AE490,'TECNICOS'!$B$4:$B$15,0),99)*100000+487,9000000000000+487)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IF('ORDENES'!$T490="preventiva",N494,0)</f>
        <v/>
      </c>
      <c r="P494" s="17">
        <f>IF('ORDENES'!$T490="correctiva",N494,0)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IF(AND(IF($B$3="(todos)",TRUE,'ORDENES'!$O491=$B$3),IF($D$3="(todos)",TRUE,'ORDENES'!$AF491=$D$3),IF($F$3="(todos)",TRUE,'ORDENES'!$X491=$F$3),IF($H$3="(todos)",TRUE,'ORDENES'!$W491=$H$3),'ORDENES'!$AD491=TRUE,'ORDENES'!$A491&lt;&gt;""),1,0)</f>
        <v/>
      </c>
      <c r="L495" s="3">
        <f>IF(K495=1,IFERROR(MATCH('ORDENES'!$R491,lista_dias,0),9)*1000000000+IFERROR(MATCH('ORDENES'!$AF491,lista_turnos,0),9)*10000000+IFERROR(MATCH('ORDENES'!$AE491,'TECNICOS'!$B$4:$B$15,0),99)*100000+488,9000000000000+488)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IF('ORDENES'!$T491="preventiva",N495,0)</f>
        <v/>
      </c>
      <c r="P495" s="17">
        <f>IF('ORDENES'!$T491="correctiva",N495,0)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IF(AND(IF($B$3="(todos)",TRUE,'ORDENES'!$O492=$B$3),IF($D$3="(todos)",TRUE,'ORDENES'!$AF492=$D$3),IF($F$3="(todos)",TRUE,'ORDENES'!$X492=$F$3),IF($H$3="(todos)",TRUE,'ORDENES'!$W492=$H$3),'ORDENES'!$AD492=TRUE,'ORDENES'!$A492&lt;&gt;""),1,0)</f>
        <v/>
      </c>
      <c r="L496" s="3">
        <f>IF(K496=1,IFERROR(MATCH('ORDENES'!$R492,lista_dias,0),9)*1000000000+IFERROR(MATCH('ORDENES'!$AF492,lista_turnos,0),9)*10000000+IFERROR(MATCH('ORDENES'!$AE492,'TECNICOS'!$B$4:$B$15,0),99)*100000+489,9000000000000+489)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IF('ORDENES'!$T492="preventiva",N496,0)</f>
        <v/>
      </c>
      <c r="P496" s="17">
        <f>IF('ORDENES'!$T492="correctiva",N496,0)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IF(AND(IF($B$3="(todos)",TRUE,'ORDENES'!$O493=$B$3),IF($D$3="(todos)",TRUE,'ORDENES'!$AF493=$D$3),IF($F$3="(todos)",TRUE,'ORDENES'!$X493=$F$3),IF($H$3="(todos)",TRUE,'ORDENES'!$W493=$H$3),'ORDENES'!$AD493=TRUE,'ORDENES'!$A493&lt;&gt;""),1,0)</f>
        <v/>
      </c>
      <c r="L497" s="3">
        <f>IF(K497=1,IFERROR(MATCH('ORDENES'!$R493,lista_dias,0),9)*1000000000+IFERROR(MATCH('ORDENES'!$AF493,lista_turnos,0),9)*10000000+IFERROR(MATCH('ORDENES'!$AE493,'TECNICOS'!$B$4:$B$15,0),99)*100000+490,9000000000000+490)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IF('ORDENES'!$T493="preventiva",N497,0)</f>
        <v/>
      </c>
      <c r="P497" s="17">
        <f>IF('ORDENES'!$T493="correctiva",N497,0)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IF(AND(IF($B$3="(todos)",TRUE,'ORDENES'!$O494=$B$3),IF($D$3="(todos)",TRUE,'ORDENES'!$AF494=$D$3),IF($F$3="(todos)",TRUE,'ORDENES'!$X494=$F$3),IF($H$3="(todos)",TRUE,'ORDENES'!$W494=$H$3),'ORDENES'!$AD494=TRUE,'ORDENES'!$A494&lt;&gt;""),1,0)</f>
        <v/>
      </c>
      <c r="L498" s="3">
        <f>IF(K498=1,IFERROR(MATCH('ORDENES'!$R494,lista_dias,0),9)*1000000000+IFERROR(MATCH('ORDENES'!$AF494,lista_turnos,0),9)*10000000+IFERROR(MATCH('ORDENES'!$AE494,'TECNICOS'!$B$4:$B$15,0),99)*100000+491,9000000000000+491)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IF('ORDENES'!$T494="preventiva",N498,0)</f>
        <v/>
      </c>
      <c r="P498" s="17">
        <f>IF('ORDENES'!$T494="correctiva",N498,0)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IF(AND(IF($B$3="(todos)",TRUE,'ORDENES'!$O495=$B$3),IF($D$3="(todos)",TRUE,'ORDENES'!$AF495=$D$3),IF($F$3="(todos)",TRUE,'ORDENES'!$X495=$F$3),IF($H$3="(todos)",TRUE,'ORDENES'!$W495=$H$3),'ORDENES'!$AD495=TRUE,'ORDENES'!$A495&lt;&gt;""),1,0)</f>
        <v/>
      </c>
      <c r="L499" s="3">
        <f>IF(K499=1,IFERROR(MATCH('ORDENES'!$R495,lista_dias,0),9)*1000000000+IFERROR(MATCH('ORDENES'!$AF495,lista_turnos,0),9)*10000000+IFERROR(MATCH('ORDENES'!$AE495,'TECNICOS'!$B$4:$B$15,0),99)*100000+492,9000000000000+492)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IF('ORDENES'!$T495="preventiva",N499,0)</f>
        <v/>
      </c>
      <c r="P499" s="17">
        <f>IF('ORDENES'!$T495="correctiva",N499,0)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IF(AND(IF($B$3="(todos)",TRUE,'ORDENES'!$O496=$B$3),IF($D$3="(todos)",TRUE,'ORDENES'!$AF496=$D$3),IF($F$3="(todos)",TRUE,'ORDENES'!$X496=$F$3),IF($H$3="(todos)",TRUE,'ORDENES'!$W496=$H$3),'ORDENES'!$AD496=TRUE,'ORDENES'!$A496&lt;&gt;""),1,0)</f>
        <v/>
      </c>
      <c r="L500" s="3">
        <f>IF(K500=1,IFERROR(MATCH('ORDENES'!$R496,lista_dias,0),9)*1000000000+IFERROR(MATCH('ORDENES'!$AF496,lista_turnos,0),9)*10000000+IFERROR(MATCH('ORDENES'!$AE496,'TECNICOS'!$B$4:$B$15,0),99)*100000+493,9000000000000+493)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IF('ORDENES'!$T496="preventiva",N500,0)</f>
        <v/>
      </c>
      <c r="P500" s="17">
        <f>IF('ORDENES'!$T496="correctiva",N500,0)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IF(AND(IF($B$3="(todos)",TRUE,'ORDENES'!$O497=$B$3),IF($D$3="(todos)",TRUE,'ORDENES'!$AF497=$D$3),IF($F$3="(todos)",TRUE,'ORDENES'!$X497=$F$3),IF($H$3="(todos)",TRUE,'ORDENES'!$W497=$H$3),'ORDENES'!$AD497=TRUE,'ORDENES'!$A497&lt;&gt;""),1,0)</f>
        <v/>
      </c>
      <c r="L501" s="3">
        <f>IF(K501=1,IFERROR(MATCH('ORDENES'!$R497,lista_dias,0),9)*1000000000+IFERROR(MATCH('ORDENES'!$AF497,lista_turnos,0),9)*10000000+IFERROR(MATCH('ORDENES'!$AE497,'TECNICOS'!$B$4:$B$15,0),99)*100000+494,9000000000000+494)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IF('ORDENES'!$T497="preventiva",N501,0)</f>
        <v/>
      </c>
      <c r="P501" s="17">
        <f>IF('ORDENES'!$T497="correctiva",N501,0)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IF(AND(IF($B$3="(todos)",TRUE,'ORDENES'!$O498=$B$3),IF($D$3="(todos)",TRUE,'ORDENES'!$AF498=$D$3),IF($F$3="(todos)",TRUE,'ORDENES'!$X498=$F$3),IF($H$3="(todos)",TRUE,'ORDENES'!$W498=$H$3),'ORDENES'!$AD498=TRUE,'ORDENES'!$A498&lt;&gt;""),1,0)</f>
        <v/>
      </c>
      <c r="L502" s="3">
        <f>IF(K502=1,IFERROR(MATCH('ORDENES'!$R498,lista_dias,0),9)*1000000000+IFERROR(MATCH('ORDENES'!$AF498,lista_turnos,0),9)*10000000+IFERROR(MATCH('ORDENES'!$AE498,'TECNICOS'!$B$4:$B$15,0),99)*100000+495,9000000000000+495)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IF('ORDENES'!$T498="preventiva",N502,0)</f>
        <v/>
      </c>
      <c r="P502" s="17">
        <f>IF('ORDENES'!$T498="correctiva",N502,0)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IF(AND(IF($B$3="(todos)",TRUE,'ORDENES'!$O499=$B$3),IF($D$3="(todos)",TRUE,'ORDENES'!$AF499=$D$3),IF($F$3="(todos)",TRUE,'ORDENES'!$X499=$F$3),IF($H$3="(todos)",TRUE,'ORDENES'!$W499=$H$3),'ORDENES'!$AD499=TRUE,'ORDENES'!$A499&lt;&gt;""),1,0)</f>
        <v/>
      </c>
      <c r="L503" s="3">
        <f>IF(K503=1,IFERROR(MATCH('ORDENES'!$R499,lista_dias,0),9)*1000000000+IFERROR(MATCH('ORDENES'!$AF499,lista_turnos,0),9)*10000000+IFERROR(MATCH('ORDENES'!$AE499,'TECNICOS'!$B$4:$B$15,0),99)*100000+496,9000000000000+496)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IF('ORDENES'!$T499="preventiva",N503,0)</f>
        <v/>
      </c>
      <c r="P503" s="17">
        <f>IF('ORDENES'!$T499="correctiva",N503,0)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IF(AND(IF($B$3="(todos)",TRUE,'ORDENES'!$O500=$B$3),IF($D$3="(todos)",TRUE,'ORDENES'!$AF500=$D$3),IF($F$3="(todos)",TRUE,'ORDENES'!$X500=$F$3),IF($H$3="(todos)",TRUE,'ORDENES'!$W500=$H$3),'ORDENES'!$AD500=TRUE,'ORDENES'!$A500&lt;&gt;""),1,0)</f>
        <v/>
      </c>
      <c r="L504" s="3">
        <f>IF(K504=1,IFERROR(MATCH('ORDENES'!$R500,lista_dias,0),9)*1000000000+IFERROR(MATCH('ORDENES'!$AF500,lista_turnos,0),9)*10000000+IFERROR(MATCH('ORDENES'!$AE500,'TECNICOS'!$B$4:$B$15,0),99)*100000+497,9000000000000+497)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IF('ORDENES'!$T500="preventiva",N504,0)</f>
        <v/>
      </c>
      <c r="P504" s="17">
        <f>IF('ORDENES'!$T500="correctiva",N504,0)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IF(AND(IF($B$3="(todos)",TRUE,'ORDENES'!$O501=$B$3),IF($D$3="(todos)",TRUE,'ORDENES'!$AF501=$D$3),IF($F$3="(todos)",TRUE,'ORDENES'!$X501=$F$3),IF($H$3="(todos)",TRUE,'ORDENES'!$W501=$H$3),'ORDENES'!$AD501=TRUE,'ORDENES'!$A501&lt;&gt;""),1,0)</f>
        <v/>
      </c>
      <c r="L505" s="3">
        <f>IF(K505=1,IFERROR(MATCH('ORDENES'!$R501,lista_dias,0),9)*1000000000+IFERROR(MATCH('ORDENES'!$AF501,lista_turnos,0),9)*10000000+IFERROR(MATCH('ORDENES'!$AE501,'TECNICOS'!$B$4:$B$15,0),99)*100000+498,9000000000000+498)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IF('ORDENES'!$T501="preventiva",N505,0)</f>
        <v/>
      </c>
      <c r="P505" s="17">
        <f>IF('ORDENES'!$T501="correctiva",N505,0)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IF(AND(IF($B$3="(todos)",TRUE,'ORDENES'!$O502=$B$3),IF($D$3="(todos)",TRUE,'ORDENES'!$AF502=$D$3),IF($F$3="(todos)",TRUE,'ORDENES'!$X502=$F$3),IF($H$3="(todos)",TRUE,'ORDENES'!$W502=$H$3),'ORDENES'!$AD502=TRUE,'ORDENES'!$A502&lt;&gt;""),1,0)</f>
        <v/>
      </c>
      <c r="L506" s="3">
        <f>IF(K506=1,IFERROR(MATCH('ORDENES'!$R502,lista_dias,0),9)*1000000000+IFERROR(MATCH('ORDENES'!$AF502,lista_turnos,0),9)*10000000+IFERROR(MATCH('ORDENES'!$AE502,'TECNICOS'!$B$4:$B$15,0),99)*100000+499,9000000000000+499)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IF('ORDENES'!$T502="preventiva",N506,0)</f>
        <v/>
      </c>
      <c r="P506" s="17">
        <f>IF('ORDENES'!$T502="correctiva",N506,0)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IF(AND(IF($B$3="(todos)",TRUE,'ORDENES'!$O503=$B$3),IF($D$3="(todos)",TRUE,'ORDENES'!$AF503=$D$3),IF($F$3="(todos)",TRUE,'ORDENES'!$X503=$F$3),IF($H$3="(todos)",TRUE,'ORDENES'!$W503=$H$3),'ORDENES'!$AD503=TRUE,'ORDENES'!$A503&lt;&gt;""),1,0)</f>
        <v/>
      </c>
      <c r="L507" s="3">
        <f>IF(K507=1,IFERROR(MATCH('ORDENES'!$R503,lista_dias,0),9)*1000000000+IFERROR(MATCH('ORDENES'!$AF503,lista_turnos,0),9)*10000000+IFERROR(MATCH('ORDENES'!$AE503,'TECNICOS'!$B$4:$B$15,0),99)*100000+500,9000000000000+500)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IF('ORDENES'!$T503="preventiva",N507,0)</f>
        <v/>
      </c>
      <c r="P507" s="17">
        <f>IF('ORDENES'!$T503="correctiva",N507,0)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IF(AND(IF($B$3="(todos)",TRUE,'ORDENES'!$O504=$B$3),IF($D$3="(todos)",TRUE,'ORDENES'!$AF504=$D$3),IF($F$3="(todos)",TRUE,'ORDENES'!$X504=$F$3),IF($H$3="(todos)",TRUE,'ORDENES'!$W504=$H$3),'ORDENES'!$AD504=TRUE,'ORDENES'!$A504&lt;&gt;""),1,0)</f>
        <v/>
      </c>
      <c r="L508" s="3">
        <f>IF(K508=1,IFERROR(MATCH('ORDENES'!$R504,lista_dias,0),9)*1000000000+IFERROR(MATCH('ORDENES'!$AF504,lista_turnos,0),9)*10000000+IFERROR(MATCH('ORDENES'!$AE504,'TECNICOS'!$B$4:$B$15,0),99)*100000+501,9000000000000+501)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IF('ORDENES'!$T504="preventiva",N508,0)</f>
        <v/>
      </c>
      <c r="P508" s="17">
        <f>IF('ORDENES'!$T504="correctiva",N508,0)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IF(AND(IF($B$3="(todos)",TRUE,'ORDENES'!$O505=$B$3),IF($D$3="(todos)",TRUE,'ORDENES'!$AF505=$D$3),IF($F$3="(todos)",TRUE,'ORDENES'!$X505=$F$3),IF($H$3="(todos)",TRUE,'ORDENES'!$W505=$H$3),'ORDENES'!$AD505=TRUE,'ORDENES'!$A505&lt;&gt;""),1,0)</f>
        <v/>
      </c>
      <c r="L509" s="3">
        <f>IF(K509=1,IFERROR(MATCH('ORDENES'!$R505,lista_dias,0),9)*1000000000+IFERROR(MATCH('ORDENES'!$AF505,lista_turnos,0),9)*10000000+IFERROR(MATCH('ORDENES'!$AE505,'TECNICOS'!$B$4:$B$15,0),99)*100000+502,9000000000000+502)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IF('ORDENES'!$T505="preventiva",N509,0)</f>
        <v/>
      </c>
      <c r="P509" s="17">
        <f>IF('ORDENES'!$T505="correctiva",N509,0)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IF(AND(IF($B$3="(todos)",TRUE,'ORDENES'!$O506=$B$3),IF($D$3="(todos)",TRUE,'ORDENES'!$AF506=$D$3),IF($F$3="(todos)",TRUE,'ORDENES'!$X506=$F$3),IF($H$3="(todos)",TRUE,'ORDENES'!$W506=$H$3),'ORDENES'!$AD506=TRUE,'ORDENES'!$A506&lt;&gt;""),1,0)</f>
        <v/>
      </c>
      <c r="L510" s="3">
        <f>IF(K510=1,IFERROR(MATCH('ORDENES'!$R506,lista_dias,0),9)*1000000000+IFERROR(MATCH('ORDENES'!$AF506,lista_turnos,0),9)*10000000+IFERROR(MATCH('ORDENES'!$AE506,'TECNICOS'!$B$4:$B$15,0),99)*100000+503,9000000000000+503)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IF('ORDENES'!$T506="preventiva",N510,0)</f>
        <v/>
      </c>
      <c r="P510" s="17">
        <f>IF('ORDENES'!$T506="correctiva",N510,0)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IF(AND(IF($B$3="(todos)",TRUE,'ORDENES'!$O507=$B$3),IF($D$3="(todos)",TRUE,'ORDENES'!$AF507=$D$3),IF($F$3="(todos)",TRUE,'ORDENES'!$X507=$F$3),IF($H$3="(todos)",TRUE,'ORDENES'!$W507=$H$3),'ORDENES'!$AD507=TRUE,'ORDENES'!$A507&lt;&gt;""),1,0)</f>
        <v/>
      </c>
      <c r="L511" s="3">
        <f>IF(K511=1,IFERROR(MATCH('ORDENES'!$R507,lista_dias,0),9)*1000000000+IFERROR(MATCH('ORDENES'!$AF507,lista_turnos,0),9)*10000000+IFERROR(MATCH('ORDENES'!$AE507,'TECNICOS'!$B$4:$B$15,0),99)*100000+504,9000000000000+504)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IF('ORDENES'!$T507="preventiva",N511,0)</f>
        <v/>
      </c>
      <c r="P511" s="17">
        <f>IF('ORDENES'!$T507="correctiva",N511,0)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IF(AND(IF($B$3="(todos)",TRUE,'ORDENES'!$O508=$B$3),IF($D$3="(todos)",TRUE,'ORDENES'!$AF508=$D$3),IF($F$3="(todos)",TRUE,'ORDENES'!$X508=$F$3),IF($H$3="(todos)",TRUE,'ORDENES'!$W508=$H$3),'ORDENES'!$AD508=TRUE,'ORDENES'!$A508&lt;&gt;""),1,0)</f>
        <v/>
      </c>
      <c r="L512" s="3">
        <f>IF(K512=1,IFERROR(MATCH('ORDENES'!$R508,lista_dias,0),9)*1000000000+IFERROR(MATCH('ORDENES'!$AF508,lista_turnos,0),9)*10000000+IFERROR(MATCH('ORDENES'!$AE508,'TECNICOS'!$B$4:$B$15,0),99)*100000+505,9000000000000+505)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IF('ORDENES'!$T508="preventiva",N512,0)</f>
        <v/>
      </c>
      <c r="P512" s="17">
        <f>IF('ORDENES'!$T508="correctiva",N512,0)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IF(AND(IF($B$3="(todos)",TRUE,'ORDENES'!$O509=$B$3),IF($D$3="(todos)",TRUE,'ORDENES'!$AF509=$D$3),IF($F$3="(todos)",TRUE,'ORDENES'!$X509=$F$3),IF($H$3="(todos)",TRUE,'ORDENES'!$W509=$H$3),'ORDENES'!$AD509=TRUE,'ORDENES'!$A509&lt;&gt;""),1,0)</f>
        <v/>
      </c>
      <c r="L513" s="3">
        <f>IF(K513=1,IFERROR(MATCH('ORDENES'!$R509,lista_dias,0),9)*1000000000+IFERROR(MATCH('ORDENES'!$AF509,lista_turnos,0),9)*10000000+IFERROR(MATCH('ORDENES'!$AE509,'TECNICOS'!$B$4:$B$15,0),99)*100000+506,9000000000000+506)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IF('ORDENES'!$T509="preventiva",N513,0)</f>
        <v/>
      </c>
      <c r="P513" s="17">
        <f>IF('ORDENES'!$T509="correctiva",N513,0)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IF(AND(IF($B$3="(todos)",TRUE,'ORDENES'!$O510=$B$3),IF($D$3="(todos)",TRUE,'ORDENES'!$AF510=$D$3),IF($F$3="(todos)",TRUE,'ORDENES'!$X510=$F$3),IF($H$3="(todos)",TRUE,'ORDENES'!$W510=$H$3),'ORDENES'!$AD510=TRUE,'ORDENES'!$A510&lt;&gt;""),1,0)</f>
        <v/>
      </c>
      <c r="L514" s="3">
        <f>IF(K514=1,IFERROR(MATCH('ORDENES'!$R510,lista_dias,0),9)*1000000000+IFERROR(MATCH('ORDENES'!$AF510,lista_turnos,0),9)*10000000+IFERROR(MATCH('ORDENES'!$AE510,'TECNICOS'!$B$4:$B$15,0),99)*100000+507,9000000000000+507)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IF('ORDENES'!$T510="preventiva",N514,0)</f>
        <v/>
      </c>
      <c r="P514" s="17">
        <f>IF('ORDENES'!$T510="correctiva",N514,0)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IF(AND(IF($B$3="(todos)",TRUE,'ORDENES'!$O511=$B$3),IF($D$3="(todos)",TRUE,'ORDENES'!$AF511=$D$3),IF($F$3="(todos)",TRUE,'ORDENES'!$X511=$F$3),IF($H$3="(todos)",TRUE,'ORDENES'!$W511=$H$3),'ORDENES'!$AD511=TRUE,'ORDENES'!$A511&lt;&gt;""),1,0)</f>
        <v/>
      </c>
      <c r="L515" s="3">
        <f>IF(K515=1,IFERROR(MATCH('ORDENES'!$R511,lista_dias,0),9)*1000000000+IFERROR(MATCH('ORDENES'!$AF511,lista_turnos,0),9)*10000000+IFERROR(MATCH('ORDENES'!$AE511,'TECNICOS'!$B$4:$B$15,0),99)*100000+508,9000000000000+508)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IF('ORDENES'!$T511="preventiva",N515,0)</f>
        <v/>
      </c>
      <c r="P515" s="17">
        <f>IF('ORDENES'!$T511="correctiva",N515,0)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IF(AND(IF($B$3="(todos)",TRUE,'ORDENES'!$O512=$B$3),IF($D$3="(todos)",TRUE,'ORDENES'!$AF512=$D$3),IF($F$3="(todos)",TRUE,'ORDENES'!$X512=$F$3),IF($H$3="(todos)",TRUE,'ORDENES'!$W512=$H$3),'ORDENES'!$AD512=TRUE,'ORDENES'!$A512&lt;&gt;""),1,0)</f>
        <v/>
      </c>
      <c r="L516" s="3">
        <f>IF(K516=1,IFERROR(MATCH('ORDENES'!$R512,lista_dias,0),9)*1000000000+IFERROR(MATCH('ORDENES'!$AF512,lista_turnos,0),9)*10000000+IFERROR(MATCH('ORDENES'!$AE512,'TECNICOS'!$B$4:$B$15,0),99)*100000+509,9000000000000+509)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IF('ORDENES'!$T512="preventiva",N516,0)</f>
        <v/>
      </c>
      <c r="P516" s="17">
        <f>IF('ORDENES'!$T512="correctiva",N516,0)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IF(AND(IF($B$3="(todos)",TRUE,'ORDENES'!$O513=$B$3),IF($D$3="(todos)",TRUE,'ORDENES'!$AF513=$D$3),IF($F$3="(todos)",TRUE,'ORDENES'!$X513=$F$3),IF($H$3="(todos)",TRUE,'ORDENES'!$W513=$H$3),'ORDENES'!$AD513=TRUE,'ORDENES'!$A513&lt;&gt;""),1,0)</f>
        <v/>
      </c>
      <c r="L517" s="3">
        <f>IF(K517=1,IFERROR(MATCH('ORDENES'!$R513,lista_dias,0),9)*1000000000+IFERROR(MATCH('ORDENES'!$AF513,lista_turnos,0),9)*10000000+IFERROR(MATCH('ORDENES'!$AE513,'TECNICOS'!$B$4:$B$15,0),99)*100000+510,9000000000000+510)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IF('ORDENES'!$T513="preventiva",N517,0)</f>
        <v/>
      </c>
      <c r="P517" s="17">
        <f>IF('ORDENES'!$T513="correctiva",N517,0)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IF(AND(IF($B$3="(todos)",TRUE,'ORDENES'!$O514=$B$3),IF($D$3="(todos)",TRUE,'ORDENES'!$AF514=$D$3),IF($F$3="(todos)",TRUE,'ORDENES'!$X514=$F$3),IF($H$3="(todos)",TRUE,'ORDENES'!$W514=$H$3),'ORDENES'!$AD514=TRUE,'ORDENES'!$A514&lt;&gt;""),1,0)</f>
        <v/>
      </c>
      <c r="L518" s="3">
        <f>IF(K518=1,IFERROR(MATCH('ORDENES'!$R514,lista_dias,0),9)*1000000000+IFERROR(MATCH('ORDENES'!$AF514,lista_turnos,0),9)*10000000+IFERROR(MATCH('ORDENES'!$AE514,'TECNICOS'!$B$4:$B$15,0),99)*100000+511,9000000000000+511)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IF('ORDENES'!$T514="preventiva",N518,0)</f>
        <v/>
      </c>
      <c r="P518" s="17">
        <f>IF('ORDENES'!$T514="correctiva",N518,0)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IF(AND(IF($B$3="(todos)",TRUE,'ORDENES'!$O515=$B$3),IF($D$3="(todos)",TRUE,'ORDENES'!$AF515=$D$3),IF($F$3="(todos)",TRUE,'ORDENES'!$X515=$F$3),IF($H$3="(todos)",TRUE,'ORDENES'!$W515=$H$3),'ORDENES'!$AD515=TRUE,'ORDENES'!$A515&lt;&gt;""),1,0)</f>
        <v/>
      </c>
      <c r="L519" s="3">
        <f>IF(K519=1,IFERROR(MATCH('ORDENES'!$R515,lista_dias,0),9)*1000000000+IFERROR(MATCH('ORDENES'!$AF515,lista_turnos,0),9)*10000000+IFERROR(MATCH('ORDENES'!$AE515,'TECNICOS'!$B$4:$B$15,0),99)*100000+512,9000000000000+512)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IF('ORDENES'!$T515="preventiva",N519,0)</f>
        <v/>
      </c>
      <c r="P519" s="17">
        <f>IF('ORDENES'!$T515="correctiva",N519,0)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IF(AND(IF($B$3="(todos)",TRUE,'ORDENES'!$O516=$B$3),IF($D$3="(todos)",TRUE,'ORDENES'!$AF516=$D$3),IF($F$3="(todos)",TRUE,'ORDENES'!$X516=$F$3),IF($H$3="(todos)",TRUE,'ORDENES'!$W516=$H$3),'ORDENES'!$AD516=TRUE,'ORDENES'!$A516&lt;&gt;""),1,0)</f>
        <v/>
      </c>
      <c r="L520" s="3">
        <f>IF(K520=1,IFERROR(MATCH('ORDENES'!$R516,lista_dias,0),9)*1000000000+IFERROR(MATCH('ORDENES'!$AF516,lista_turnos,0),9)*10000000+IFERROR(MATCH('ORDENES'!$AE516,'TECNICOS'!$B$4:$B$15,0),99)*100000+513,9000000000000+513)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IF('ORDENES'!$T516="preventiva",N520,0)</f>
        <v/>
      </c>
      <c r="P520" s="17">
        <f>IF('ORDENES'!$T516="correctiva",N520,0)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IF(AND(IF($B$3="(todos)",TRUE,'ORDENES'!$O517=$B$3),IF($D$3="(todos)",TRUE,'ORDENES'!$AF517=$D$3),IF($F$3="(todos)",TRUE,'ORDENES'!$X517=$F$3),IF($H$3="(todos)",TRUE,'ORDENES'!$W517=$H$3),'ORDENES'!$AD517=TRUE,'ORDENES'!$A517&lt;&gt;""),1,0)</f>
        <v/>
      </c>
      <c r="L521" s="3">
        <f>IF(K521=1,IFERROR(MATCH('ORDENES'!$R517,lista_dias,0),9)*1000000000+IFERROR(MATCH('ORDENES'!$AF517,lista_turnos,0),9)*10000000+IFERROR(MATCH('ORDENES'!$AE517,'TECNICOS'!$B$4:$B$15,0),99)*100000+514,9000000000000+514)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IF('ORDENES'!$T517="preventiva",N521,0)</f>
        <v/>
      </c>
      <c r="P521" s="17">
        <f>IF('ORDENES'!$T517="correctiva",N521,0)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IF(AND(IF($B$3="(todos)",TRUE,'ORDENES'!$O518=$B$3),IF($D$3="(todos)",TRUE,'ORDENES'!$AF518=$D$3),IF($F$3="(todos)",TRUE,'ORDENES'!$X518=$F$3),IF($H$3="(todos)",TRUE,'ORDENES'!$W518=$H$3),'ORDENES'!$AD518=TRUE,'ORDENES'!$A518&lt;&gt;""),1,0)</f>
        <v/>
      </c>
      <c r="L522" s="3">
        <f>IF(K522=1,IFERROR(MATCH('ORDENES'!$R518,lista_dias,0),9)*1000000000+IFERROR(MATCH('ORDENES'!$AF518,lista_turnos,0),9)*10000000+IFERROR(MATCH('ORDENES'!$AE518,'TECNICOS'!$B$4:$B$15,0),99)*100000+515,9000000000000+515)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IF('ORDENES'!$T518="preventiva",N522,0)</f>
        <v/>
      </c>
      <c r="P522" s="17">
        <f>IF('ORDENES'!$T518="correctiva",N522,0)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IF(AND(IF($B$3="(todos)",TRUE,'ORDENES'!$O519=$B$3),IF($D$3="(todos)",TRUE,'ORDENES'!$AF519=$D$3),IF($F$3="(todos)",TRUE,'ORDENES'!$X519=$F$3),IF($H$3="(todos)",TRUE,'ORDENES'!$W519=$H$3),'ORDENES'!$AD519=TRUE,'ORDENES'!$A519&lt;&gt;""),1,0)</f>
        <v/>
      </c>
      <c r="L523" s="3">
        <f>IF(K523=1,IFERROR(MATCH('ORDENES'!$R519,lista_dias,0),9)*1000000000+IFERROR(MATCH('ORDENES'!$AF519,lista_turnos,0),9)*10000000+IFERROR(MATCH('ORDENES'!$AE519,'TECNICOS'!$B$4:$B$15,0),99)*100000+516,9000000000000+516)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IF('ORDENES'!$T519="preventiva",N523,0)</f>
        <v/>
      </c>
      <c r="P523" s="17">
        <f>IF('ORDENES'!$T519="correctiva",N523,0)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IF(AND(IF($B$3="(todos)",TRUE,'ORDENES'!$O520=$B$3),IF($D$3="(todos)",TRUE,'ORDENES'!$AF520=$D$3),IF($F$3="(todos)",TRUE,'ORDENES'!$X520=$F$3),IF($H$3="(todos)",TRUE,'ORDENES'!$W520=$H$3),'ORDENES'!$AD520=TRUE,'ORDENES'!$A520&lt;&gt;""),1,0)</f>
        <v/>
      </c>
      <c r="L524" s="3">
        <f>IF(K524=1,IFERROR(MATCH('ORDENES'!$R520,lista_dias,0),9)*1000000000+IFERROR(MATCH('ORDENES'!$AF520,lista_turnos,0),9)*10000000+IFERROR(MATCH('ORDENES'!$AE520,'TECNICOS'!$B$4:$B$15,0),99)*100000+517,9000000000000+517)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IF('ORDENES'!$T520="preventiva",N524,0)</f>
        <v/>
      </c>
      <c r="P524" s="17">
        <f>IF('ORDENES'!$T520="correctiva",N524,0)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IF(AND(IF($B$3="(todos)",TRUE,'ORDENES'!$O521=$B$3),IF($D$3="(todos)",TRUE,'ORDENES'!$AF521=$D$3),IF($F$3="(todos)",TRUE,'ORDENES'!$X521=$F$3),IF($H$3="(todos)",TRUE,'ORDENES'!$W521=$H$3),'ORDENES'!$AD521=TRUE,'ORDENES'!$A521&lt;&gt;""),1,0)</f>
        <v/>
      </c>
      <c r="L525" s="3">
        <f>IF(K525=1,IFERROR(MATCH('ORDENES'!$R521,lista_dias,0),9)*1000000000+IFERROR(MATCH('ORDENES'!$AF521,lista_turnos,0),9)*10000000+IFERROR(MATCH('ORDENES'!$AE521,'TECNICOS'!$B$4:$B$15,0),99)*100000+518,9000000000000+518)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IF('ORDENES'!$T521="preventiva",N525,0)</f>
        <v/>
      </c>
      <c r="P525" s="17">
        <f>IF('ORDENES'!$T521="correctiva",N525,0)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IF(AND(IF($B$3="(todos)",TRUE,'ORDENES'!$O522=$B$3),IF($D$3="(todos)",TRUE,'ORDENES'!$AF522=$D$3),IF($F$3="(todos)",TRUE,'ORDENES'!$X522=$F$3),IF($H$3="(todos)",TRUE,'ORDENES'!$W522=$H$3),'ORDENES'!$AD522=TRUE,'ORDENES'!$A522&lt;&gt;""),1,0)</f>
        <v/>
      </c>
      <c r="L526" s="3">
        <f>IF(K526=1,IFERROR(MATCH('ORDENES'!$R522,lista_dias,0),9)*1000000000+IFERROR(MATCH('ORDENES'!$AF522,lista_turnos,0),9)*10000000+IFERROR(MATCH('ORDENES'!$AE522,'TECNICOS'!$B$4:$B$15,0),99)*100000+519,9000000000000+519)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IF('ORDENES'!$T522="preventiva",N526,0)</f>
        <v/>
      </c>
      <c r="P526" s="17">
        <f>IF('ORDENES'!$T522="correctiva",N526,0)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IF(AND(IF($B$3="(todos)",TRUE,'ORDENES'!$O523=$B$3),IF($D$3="(todos)",TRUE,'ORDENES'!$AF523=$D$3),IF($F$3="(todos)",TRUE,'ORDENES'!$X523=$F$3),IF($H$3="(todos)",TRUE,'ORDENES'!$W523=$H$3),'ORDENES'!$AD523=TRUE,'ORDENES'!$A523&lt;&gt;""),1,0)</f>
        <v/>
      </c>
      <c r="L527" s="3">
        <f>IF(K527=1,IFERROR(MATCH('ORDENES'!$R523,lista_dias,0),9)*1000000000+IFERROR(MATCH('ORDENES'!$AF523,lista_turnos,0),9)*10000000+IFERROR(MATCH('ORDENES'!$AE523,'TECNICOS'!$B$4:$B$15,0),99)*100000+520,9000000000000+520)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IF('ORDENES'!$T523="preventiva",N527,0)</f>
        <v/>
      </c>
      <c r="P527" s="17">
        <f>IF('ORDENES'!$T523="correctiva",N527,0)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IF(AND(IF($B$3="(todos)",TRUE,'ORDENES'!$O524=$B$3),IF($D$3="(todos)",TRUE,'ORDENES'!$AF524=$D$3),IF($F$3="(todos)",TRUE,'ORDENES'!$X524=$F$3),IF($H$3="(todos)",TRUE,'ORDENES'!$W524=$H$3),'ORDENES'!$AD524=TRUE,'ORDENES'!$A524&lt;&gt;""),1,0)</f>
        <v/>
      </c>
      <c r="L528" s="3">
        <f>IF(K528=1,IFERROR(MATCH('ORDENES'!$R524,lista_dias,0),9)*1000000000+IFERROR(MATCH('ORDENES'!$AF524,lista_turnos,0),9)*10000000+IFERROR(MATCH('ORDENES'!$AE524,'TECNICOS'!$B$4:$B$15,0),99)*100000+521,9000000000000+521)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IF('ORDENES'!$T524="preventiva",N528,0)</f>
        <v/>
      </c>
      <c r="P528" s="17">
        <f>IF('ORDENES'!$T524="correctiva",N528,0)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IF(AND(IF($B$3="(todos)",TRUE,'ORDENES'!$O525=$B$3),IF($D$3="(todos)",TRUE,'ORDENES'!$AF525=$D$3),IF($F$3="(todos)",TRUE,'ORDENES'!$X525=$F$3),IF($H$3="(todos)",TRUE,'ORDENES'!$W525=$H$3),'ORDENES'!$AD525=TRUE,'ORDENES'!$A525&lt;&gt;""),1,0)</f>
        <v/>
      </c>
      <c r="L529" s="3">
        <f>IF(K529=1,IFERROR(MATCH('ORDENES'!$R525,lista_dias,0),9)*1000000000+IFERROR(MATCH('ORDENES'!$AF525,lista_turnos,0),9)*10000000+IFERROR(MATCH('ORDENES'!$AE525,'TECNICOS'!$B$4:$B$15,0),99)*100000+522,9000000000000+522)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IF('ORDENES'!$T525="preventiva",N529,0)</f>
        <v/>
      </c>
      <c r="P529" s="17">
        <f>IF('ORDENES'!$T525="correctiva",N529,0)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IF(AND(IF($B$3="(todos)",TRUE,'ORDENES'!$O526=$B$3),IF($D$3="(todos)",TRUE,'ORDENES'!$AF526=$D$3),IF($F$3="(todos)",TRUE,'ORDENES'!$X526=$F$3),IF($H$3="(todos)",TRUE,'ORDENES'!$W526=$H$3),'ORDENES'!$AD526=TRUE,'ORDENES'!$A526&lt;&gt;""),1,0)</f>
        <v/>
      </c>
      <c r="L530" s="3">
        <f>IF(K530=1,IFERROR(MATCH('ORDENES'!$R526,lista_dias,0),9)*1000000000+IFERROR(MATCH('ORDENES'!$AF526,lista_turnos,0),9)*10000000+IFERROR(MATCH('ORDENES'!$AE526,'TECNICOS'!$B$4:$B$15,0),99)*100000+523,9000000000000+523)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IF('ORDENES'!$T526="preventiva",N530,0)</f>
        <v/>
      </c>
      <c r="P530" s="17">
        <f>IF('ORDENES'!$T526="correctiva",N530,0)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IF(AND(IF($B$3="(todos)",TRUE,'ORDENES'!$O527=$B$3),IF($D$3="(todos)",TRUE,'ORDENES'!$AF527=$D$3),IF($F$3="(todos)",TRUE,'ORDENES'!$X527=$F$3),IF($H$3="(todos)",TRUE,'ORDENES'!$W527=$H$3),'ORDENES'!$AD527=TRUE,'ORDENES'!$A527&lt;&gt;""),1,0)</f>
        <v/>
      </c>
      <c r="L531" s="3">
        <f>IF(K531=1,IFERROR(MATCH('ORDENES'!$R527,lista_dias,0),9)*1000000000+IFERROR(MATCH('ORDENES'!$AF527,lista_turnos,0),9)*10000000+IFERROR(MATCH('ORDENES'!$AE527,'TECNICOS'!$B$4:$B$15,0),99)*100000+524,9000000000000+524)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IF('ORDENES'!$T527="preventiva",N531,0)</f>
        <v/>
      </c>
      <c r="P531" s="17">
        <f>IF('ORDENES'!$T527="correctiva",N531,0)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IF(AND(IF($B$3="(todos)",TRUE,'ORDENES'!$O528=$B$3),IF($D$3="(todos)",TRUE,'ORDENES'!$AF528=$D$3),IF($F$3="(todos)",TRUE,'ORDENES'!$X528=$F$3),IF($H$3="(todos)",TRUE,'ORDENES'!$W528=$H$3),'ORDENES'!$AD528=TRUE,'ORDENES'!$A528&lt;&gt;""),1,0)</f>
        <v/>
      </c>
      <c r="L532" s="3">
        <f>IF(K532=1,IFERROR(MATCH('ORDENES'!$R528,lista_dias,0),9)*1000000000+IFERROR(MATCH('ORDENES'!$AF528,lista_turnos,0),9)*10000000+IFERROR(MATCH('ORDENES'!$AE528,'TECNICOS'!$B$4:$B$15,0),99)*100000+525,9000000000000+525)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IF('ORDENES'!$T528="preventiva",N532,0)</f>
        <v/>
      </c>
      <c r="P532" s="17">
        <f>IF('ORDENES'!$T528="correctiva",N532,0)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IF(AND(IF($B$3="(todos)",TRUE,'ORDENES'!$O529=$B$3),IF($D$3="(todos)",TRUE,'ORDENES'!$AF529=$D$3),IF($F$3="(todos)",TRUE,'ORDENES'!$X529=$F$3),IF($H$3="(todos)",TRUE,'ORDENES'!$W529=$H$3),'ORDENES'!$AD529=TRUE,'ORDENES'!$A529&lt;&gt;""),1,0)</f>
        <v/>
      </c>
      <c r="L533" s="3">
        <f>IF(K533=1,IFERROR(MATCH('ORDENES'!$R529,lista_dias,0),9)*1000000000+IFERROR(MATCH('ORDENES'!$AF529,lista_turnos,0),9)*10000000+IFERROR(MATCH('ORDENES'!$AE529,'TECNICOS'!$B$4:$B$15,0),99)*100000+526,9000000000000+526)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IF('ORDENES'!$T529="preventiva",N533,0)</f>
        <v/>
      </c>
      <c r="P533" s="17">
        <f>IF('ORDENES'!$T529="correctiva",N533,0)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IF(AND(IF($B$3="(todos)",TRUE,'ORDENES'!$O530=$B$3),IF($D$3="(todos)",TRUE,'ORDENES'!$AF530=$D$3),IF($F$3="(todos)",TRUE,'ORDENES'!$X530=$F$3),IF($H$3="(todos)",TRUE,'ORDENES'!$W530=$H$3),'ORDENES'!$AD530=TRUE,'ORDENES'!$A530&lt;&gt;""),1,0)</f>
        <v/>
      </c>
      <c r="L534" s="3">
        <f>IF(K534=1,IFERROR(MATCH('ORDENES'!$R530,lista_dias,0),9)*1000000000+IFERROR(MATCH('ORDENES'!$AF530,lista_turnos,0),9)*10000000+IFERROR(MATCH('ORDENES'!$AE530,'TECNICOS'!$B$4:$B$15,0),99)*100000+527,9000000000000+527)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IF('ORDENES'!$T530="preventiva",N534,0)</f>
        <v/>
      </c>
      <c r="P534" s="17">
        <f>IF('ORDENES'!$T530="correctiva",N534,0)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IF(AND(IF($B$3="(todos)",TRUE,'ORDENES'!$O531=$B$3),IF($D$3="(todos)",TRUE,'ORDENES'!$AF531=$D$3),IF($F$3="(todos)",TRUE,'ORDENES'!$X531=$F$3),IF($H$3="(todos)",TRUE,'ORDENES'!$W531=$H$3),'ORDENES'!$AD531=TRUE,'ORDENES'!$A531&lt;&gt;""),1,0)</f>
        <v/>
      </c>
      <c r="L535" s="3">
        <f>IF(K535=1,IFERROR(MATCH('ORDENES'!$R531,lista_dias,0),9)*1000000000+IFERROR(MATCH('ORDENES'!$AF531,lista_turnos,0),9)*10000000+IFERROR(MATCH('ORDENES'!$AE531,'TECNICOS'!$B$4:$B$15,0),99)*100000+528,9000000000000+528)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IF('ORDENES'!$T531="preventiva",N535,0)</f>
        <v/>
      </c>
      <c r="P535" s="17">
        <f>IF('ORDENES'!$T531="correctiva",N535,0)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IF(AND(IF($B$3="(todos)",TRUE,'ORDENES'!$O532=$B$3),IF($D$3="(todos)",TRUE,'ORDENES'!$AF532=$D$3),IF($F$3="(todos)",TRUE,'ORDENES'!$X532=$F$3),IF($H$3="(todos)",TRUE,'ORDENES'!$W532=$H$3),'ORDENES'!$AD532=TRUE,'ORDENES'!$A532&lt;&gt;""),1,0)</f>
        <v/>
      </c>
      <c r="L536" s="3">
        <f>IF(K536=1,IFERROR(MATCH('ORDENES'!$R532,lista_dias,0),9)*1000000000+IFERROR(MATCH('ORDENES'!$AF532,lista_turnos,0),9)*10000000+IFERROR(MATCH('ORDENES'!$AE532,'TECNICOS'!$B$4:$B$15,0),99)*100000+529,9000000000000+529)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IF('ORDENES'!$T532="preventiva",N536,0)</f>
        <v/>
      </c>
      <c r="P536" s="17">
        <f>IF('ORDENES'!$T532="correctiva",N536,0)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IF(AND(IF($B$3="(todos)",TRUE,'ORDENES'!$O533=$B$3),IF($D$3="(todos)",TRUE,'ORDENES'!$AF533=$D$3),IF($F$3="(todos)",TRUE,'ORDENES'!$X533=$F$3),IF($H$3="(todos)",TRUE,'ORDENES'!$W533=$H$3),'ORDENES'!$AD533=TRUE,'ORDENES'!$A533&lt;&gt;""),1,0)</f>
        <v/>
      </c>
      <c r="L537" s="3">
        <f>IF(K537=1,IFERROR(MATCH('ORDENES'!$R533,lista_dias,0),9)*1000000000+IFERROR(MATCH('ORDENES'!$AF533,lista_turnos,0),9)*10000000+IFERROR(MATCH('ORDENES'!$AE533,'TECNICOS'!$B$4:$B$15,0),99)*100000+530,9000000000000+530)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IF('ORDENES'!$T533="preventiva",N537,0)</f>
        <v/>
      </c>
      <c r="P537" s="17">
        <f>IF('ORDENES'!$T533="correctiva",N537,0)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IF(AND(IF($B$3="(todos)",TRUE,'ORDENES'!$O534=$B$3),IF($D$3="(todos)",TRUE,'ORDENES'!$AF534=$D$3),IF($F$3="(todos)",TRUE,'ORDENES'!$X534=$F$3),IF($H$3="(todos)",TRUE,'ORDENES'!$W534=$H$3),'ORDENES'!$AD534=TRUE,'ORDENES'!$A534&lt;&gt;""),1,0)</f>
        <v/>
      </c>
      <c r="L538" s="3">
        <f>IF(K538=1,IFERROR(MATCH('ORDENES'!$R534,lista_dias,0),9)*1000000000+IFERROR(MATCH('ORDENES'!$AF534,lista_turnos,0),9)*10000000+IFERROR(MATCH('ORDENES'!$AE534,'TECNICOS'!$B$4:$B$15,0),99)*100000+531,9000000000000+531)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IF('ORDENES'!$T534="preventiva",N538,0)</f>
        <v/>
      </c>
      <c r="P538" s="17">
        <f>IF('ORDENES'!$T534="correctiva",N538,0)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IF(AND(IF($B$3="(todos)",TRUE,'ORDENES'!$O535=$B$3),IF($D$3="(todos)",TRUE,'ORDENES'!$AF535=$D$3),IF($F$3="(todos)",TRUE,'ORDENES'!$X535=$F$3),IF($H$3="(todos)",TRUE,'ORDENES'!$W535=$H$3),'ORDENES'!$AD535=TRUE,'ORDENES'!$A535&lt;&gt;""),1,0)</f>
        <v/>
      </c>
      <c r="L539" s="3">
        <f>IF(K539=1,IFERROR(MATCH('ORDENES'!$R535,lista_dias,0),9)*1000000000+IFERROR(MATCH('ORDENES'!$AF535,lista_turnos,0),9)*10000000+IFERROR(MATCH('ORDENES'!$AE535,'TECNICOS'!$B$4:$B$15,0),99)*100000+532,9000000000000+532)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IF('ORDENES'!$T535="preventiva",N539,0)</f>
        <v/>
      </c>
      <c r="P539" s="17">
        <f>IF('ORDENES'!$T535="correctiva",N539,0)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IF(AND(IF($B$3="(todos)",TRUE,'ORDENES'!$O536=$B$3),IF($D$3="(todos)",TRUE,'ORDENES'!$AF536=$D$3),IF($F$3="(todos)",TRUE,'ORDENES'!$X536=$F$3),IF($H$3="(todos)",TRUE,'ORDENES'!$W536=$H$3),'ORDENES'!$AD536=TRUE,'ORDENES'!$A536&lt;&gt;""),1,0)</f>
        <v/>
      </c>
      <c r="L540" s="3">
        <f>IF(K540=1,IFERROR(MATCH('ORDENES'!$R536,lista_dias,0),9)*1000000000+IFERROR(MATCH('ORDENES'!$AF536,lista_turnos,0),9)*10000000+IFERROR(MATCH('ORDENES'!$AE536,'TECNICOS'!$B$4:$B$15,0),99)*100000+533,9000000000000+533)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IF('ORDENES'!$T536="preventiva",N540,0)</f>
        <v/>
      </c>
      <c r="P540" s="17">
        <f>IF('ORDENES'!$T536="correctiva",N540,0)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IF(AND(IF($B$3="(todos)",TRUE,'ORDENES'!$O537=$B$3),IF($D$3="(todos)",TRUE,'ORDENES'!$AF537=$D$3),IF($F$3="(todos)",TRUE,'ORDENES'!$X537=$F$3),IF($H$3="(todos)",TRUE,'ORDENES'!$W537=$H$3),'ORDENES'!$AD537=TRUE,'ORDENES'!$A537&lt;&gt;""),1,0)</f>
        <v/>
      </c>
      <c r="L541" s="3">
        <f>IF(K541=1,IFERROR(MATCH('ORDENES'!$R537,lista_dias,0),9)*1000000000+IFERROR(MATCH('ORDENES'!$AF537,lista_turnos,0),9)*10000000+IFERROR(MATCH('ORDENES'!$AE537,'TECNICOS'!$B$4:$B$15,0),99)*100000+534,9000000000000+534)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IF('ORDENES'!$T537="preventiva",N541,0)</f>
        <v/>
      </c>
      <c r="P541" s="17">
        <f>IF('ORDENES'!$T537="correctiva",N541,0)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IF(AND(IF($B$3="(todos)",TRUE,'ORDENES'!$O538=$B$3),IF($D$3="(todos)",TRUE,'ORDENES'!$AF538=$D$3),IF($F$3="(todos)",TRUE,'ORDENES'!$X538=$F$3),IF($H$3="(todos)",TRUE,'ORDENES'!$W538=$H$3),'ORDENES'!$AD538=TRUE,'ORDENES'!$A538&lt;&gt;""),1,0)</f>
        <v/>
      </c>
      <c r="L542" s="3">
        <f>IF(K542=1,IFERROR(MATCH('ORDENES'!$R538,lista_dias,0),9)*1000000000+IFERROR(MATCH('ORDENES'!$AF538,lista_turnos,0),9)*10000000+IFERROR(MATCH('ORDENES'!$AE538,'TECNICOS'!$B$4:$B$15,0),99)*100000+535,9000000000000+535)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IF('ORDENES'!$T538="preventiva",N542,0)</f>
        <v/>
      </c>
      <c r="P542" s="17">
        <f>IF('ORDENES'!$T538="correctiva",N542,0)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IF(AND(IF($B$3="(todos)",TRUE,'ORDENES'!$O539=$B$3),IF($D$3="(todos)",TRUE,'ORDENES'!$AF539=$D$3),IF($F$3="(todos)",TRUE,'ORDENES'!$X539=$F$3),IF($H$3="(todos)",TRUE,'ORDENES'!$W539=$H$3),'ORDENES'!$AD539=TRUE,'ORDENES'!$A539&lt;&gt;""),1,0)</f>
        <v/>
      </c>
      <c r="L543" s="3">
        <f>IF(K543=1,IFERROR(MATCH('ORDENES'!$R539,lista_dias,0),9)*1000000000+IFERROR(MATCH('ORDENES'!$AF539,lista_turnos,0),9)*10000000+IFERROR(MATCH('ORDENES'!$AE539,'TECNICOS'!$B$4:$B$15,0),99)*100000+536,9000000000000+536)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IF('ORDENES'!$T539="preventiva",N543,0)</f>
        <v/>
      </c>
      <c r="P543" s="17">
        <f>IF('ORDENES'!$T539="correctiva",N543,0)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IF(AND(IF($B$3="(todos)",TRUE,'ORDENES'!$O540=$B$3),IF($D$3="(todos)",TRUE,'ORDENES'!$AF540=$D$3),IF($F$3="(todos)",TRUE,'ORDENES'!$X540=$F$3),IF($H$3="(todos)",TRUE,'ORDENES'!$W540=$H$3),'ORDENES'!$AD540=TRUE,'ORDENES'!$A540&lt;&gt;""),1,0)</f>
        <v/>
      </c>
      <c r="L544" s="3">
        <f>IF(K544=1,IFERROR(MATCH('ORDENES'!$R540,lista_dias,0),9)*1000000000+IFERROR(MATCH('ORDENES'!$AF540,lista_turnos,0),9)*10000000+IFERROR(MATCH('ORDENES'!$AE540,'TECNICOS'!$B$4:$B$15,0),99)*100000+537,9000000000000+537)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IF('ORDENES'!$T540="preventiva",N544,0)</f>
        <v/>
      </c>
      <c r="P544" s="17">
        <f>IF('ORDENES'!$T540="correctiva",N544,0)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IF(AND(IF($B$3="(todos)",TRUE,'ORDENES'!$O541=$B$3),IF($D$3="(todos)",TRUE,'ORDENES'!$AF541=$D$3),IF($F$3="(todos)",TRUE,'ORDENES'!$X541=$F$3),IF($H$3="(todos)",TRUE,'ORDENES'!$W541=$H$3),'ORDENES'!$AD541=TRUE,'ORDENES'!$A541&lt;&gt;""),1,0)</f>
        <v/>
      </c>
      <c r="L545" s="3">
        <f>IF(K545=1,IFERROR(MATCH('ORDENES'!$R541,lista_dias,0),9)*1000000000+IFERROR(MATCH('ORDENES'!$AF541,lista_turnos,0),9)*10000000+IFERROR(MATCH('ORDENES'!$AE541,'TECNICOS'!$B$4:$B$15,0),99)*100000+538,9000000000000+538)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IF('ORDENES'!$T541="preventiva",N545,0)</f>
        <v/>
      </c>
      <c r="P545" s="17">
        <f>IF('ORDENES'!$T541="correctiva",N545,0)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IF(AND(IF($B$3="(todos)",TRUE,'ORDENES'!$O542=$B$3),IF($D$3="(todos)",TRUE,'ORDENES'!$AF542=$D$3),IF($F$3="(todos)",TRUE,'ORDENES'!$X542=$F$3),IF($H$3="(todos)",TRUE,'ORDENES'!$W542=$H$3),'ORDENES'!$AD542=TRUE,'ORDENES'!$A542&lt;&gt;""),1,0)</f>
        <v/>
      </c>
      <c r="L546" s="3">
        <f>IF(K546=1,IFERROR(MATCH('ORDENES'!$R542,lista_dias,0),9)*1000000000+IFERROR(MATCH('ORDENES'!$AF542,lista_turnos,0),9)*10000000+IFERROR(MATCH('ORDENES'!$AE542,'TECNICOS'!$B$4:$B$15,0),99)*100000+539,9000000000000+539)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IF('ORDENES'!$T542="preventiva",N546,0)</f>
        <v/>
      </c>
      <c r="P546" s="17">
        <f>IF('ORDENES'!$T542="correctiva",N546,0)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IF(AND(IF($B$3="(todos)",TRUE,'ORDENES'!$O543=$B$3),IF($D$3="(todos)",TRUE,'ORDENES'!$AF543=$D$3),IF($F$3="(todos)",TRUE,'ORDENES'!$X543=$F$3),IF($H$3="(todos)",TRUE,'ORDENES'!$W543=$H$3),'ORDENES'!$AD543=TRUE,'ORDENES'!$A543&lt;&gt;""),1,0)</f>
        <v/>
      </c>
      <c r="L547" s="3">
        <f>IF(K547=1,IFERROR(MATCH('ORDENES'!$R543,lista_dias,0),9)*1000000000+IFERROR(MATCH('ORDENES'!$AF543,lista_turnos,0),9)*10000000+IFERROR(MATCH('ORDENES'!$AE543,'TECNICOS'!$B$4:$B$15,0),99)*100000+540,9000000000000+540)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IF('ORDENES'!$T543="preventiva",N547,0)</f>
        <v/>
      </c>
      <c r="P547" s="17">
        <f>IF('ORDENES'!$T543="correctiva",N547,0)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IF(AND(IF($B$3="(todos)",TRUE,'ORDENES'!$O544=$B$3),IF($D$3="(todos)",TRUE,'ORDENES'!$AF544=$D$3),IF($F$3="(todos)",TRUE,'ORDENES'!$X544=$F$3),IF($H$3="(todos)",TRUE,'ORDENES'!$W544=$H$3),'ORDENES'!$AD544=TRUE,'ORDENES'!$A544&lt;&gt;""),1,0)</f>
        <v/>
      </c>
      <c r="L548" s="3">
        <f>IF(K548=1,IFERROR(MATCH('ORDENES'!$R544,lista_dias,0),9)*1000000000+IFERROR(MATCH('ORDENES'!$AF544,lista_turnos,0),9)*10000000+IFERROR(MATCH('ORDENES'!$AE544,'TECNICOS'!$B$4:$B$15,0),99)*100000+541,9000000000000+541)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IF('ORDENES'!$T544="preventiva",N548,0)</f>
        <v/>
      </c>
      <c r="P548" s="17">
        <f>IF('ORDENES'!$T544="correctiva",N548,0)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IF(AND(IF($B$3="(todos)",TRUE,'ORDENES'!$O545=$B$3),IF($D$3="(todos)",TRUE,'ORDENES'!$AF545=$D$3),IF($F$3="(todos)",TRUE,'ORDENES'!$X545=$F$3),IF($H$3="(todos)",TRUE,'ORDENES'!$W545=$H$3),'ORDENES'!$AD545=TRUE,'ORDENES'!$A545&lt;&gt;""),1,0)</f>
        <v/>
      </c>
      <c r="L549" s="3">
        <f>IF(K549=1,IFERROR(MATCH('ORDENES'!$R545,lista_dias,0),9)*1000000000+IFERROR(MATCH('ORDENES'!$AF545,lista_turnos,0),9)*10000000+IFERROR(MATCH('ORDENES'!$AE545,'TECNICOS'!$B$4:$B$15,0),99)*100000+542,9000000000000+542)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IF('ORDENES'!$T545="preventiva",N549,0)</f>
        <v/>
      </c>
      <c r="P549" s="17">
        <f>IF('ORDENES'!$T545="correctiva",N549,0)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IF(AND(IF($B$3="(todos)",TRUE,'ORDENES'!$O546=$B$3),IF($D$3="(todos)",TRUE,'ORDENES'!$AF546=$D$3),IF($F$3="(todos)",TRUE,'ORDENES'!$X546=$F$3),IF($H$3="(todos)",TRUE,'ORDENES'!$W546=$H$3),'ORDENES'!$AD546=TRUE,'ORDENES'!$A546&lt;&gt;""),1,0)</f>
        <v/>
      </c>
      <c r="L550" s="3">
        <f>IF(K550=1,IFERROR(MATCH('ORDENES'!$R546,lista_dias,0),9)*1000000000+IFERROR(MATCH('ORDENES'!$AF546,lista_turnos,0),9)*10000000+IFERROR(MATCH('ORDENES'!$AE546,'TECNICOS'!$B$4:$B$15,0),99)*100000+543,9000000000000+543)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IF('ORDENES'!$T546="preventiva",N550,0)</f>
        <v/>
      </c>
      <c r="P550" s="17">
        <f>IF('ORDENES'!$T546="correctiva",N550,0)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IF(AND(IF($B$3="(todos)",TRUE,'ORDENES'!$O547=$B$3),IF($D$3="(todos)",TRUE,'ORDENES'!$AF547=$D$3),IF($F$3="(todos)",TRUE,'ORDENES'!$X547=$F$3),IF($H$3="(todos)",TRUE,'ORDENES'!$W547=$H$3),'ORDENES'!$AD547=TRUE,'ORDENES'!$A547&lt;&gt;""),1,0)</f>
        <v/>
      </c>
      <c r="L551" s="3">
        <f>IF(K551=1,IFERROR(MATCH('ORDENES'!$R547,lista_dias,0),9)*1000000000+IFERROR(MATCH('ORDENES'!$AF547,lista_turnos,0),9)*10000000+IFERROR(MATCH('ORDENES'!$AE547,'TECNICOS'!$B$4:$B$15,0),99)*100000+544,9000000000000+544)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IF('ORDENES'!$T547="preventiva",N551,0)</f>
        <v/>
      </c>
      <c r="P551" s="17">
        <f>IF('ORDENES'!$T547="correctiva",N551,0)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IF(AND(IF($B$3="(todos)",TRUE,'ORDENES'!$O548=$B$3),IF($D$3="(todos)",TRUE,'ORDENES'!$AF548=$D$3),IF($F$3="(todos)",TRUE,'ORDENES'!$X548=$F$3),IF($H$3="(todos)",TRUE,'ORDENES'!$W548=$H$3),'ORDENES'!$AD548=TRUE,'ORDENES'!$A548&lt;&gt;""),1,0)</f>
        <v/>
      </c>
      <c r="L552" s="3">
        <f>IF(K552=1,IFERROR(MATCH('ORDENES'!$R548,lista_dias,0),9)*1000000000+IFERROR(MATCH('ORDENES'!$AF548,lista_turnos,0),9)*10000000+IFERROR(MATCH('ORDENES'!$AE548,'TECNICOS'!$B$4:$B$15,0),99)*100000+545,9000000000000+545)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IF('ORDENES'!$T548="preventiva",N552,0)</f>
        <v/>
      </c>
      <c r="P552" s="17">
        <f>IF('ORDENES'!$T548="correctiva",N552,0)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IF(AND(IF($B$3="(todos)",TRUE,'ORDENES'!$O549=$B$3),IF($D$3="(todos)",TRUE,'ORDENES'!$AF549=$D$3),IF($F$3="(todos)",TRUE,'ORDENES'!$X549=$F$3),IF($H$3="(todos)",TRUE,'ORDENES'!$W549=$H$3),'ORDENES'!$AD549=TRUE,'ORDENES'!$A549&lt;&gt;""),1,0)</f>
        <v/>
      </c>
      <c r="L553" s="3">
        <f>IF(K553=1,IFERROR(MATCH('ORDENES'!$R549,lista_dias,0),9)*1000000000+IFERROR(MATCH('ORDENES'!$AF549,lista_turnos,0),9)*10000000+IFERROR(MATCH('ORDENES'!$AE549,'TECNICOS'!$B$4:$B$15,0),99)*100000+546,9000000000000+546)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IF('ORDENES'!$T549="preventiva",N553,0)</f>
        <v/>
      </c>
      <c r="P553" s="17">
        <f>IF('ORDENES'!$T549="correctiva",N553,0)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IF(AND(IF($B$3="(todos)",TRUE,'ORDENES'!$O550=$B$3),IF($D$3="(todos)",TRUE,'ORDENES'!$AF550=$D$3),IF($F$3="(todos)",TRUE,'ORDENES'!$X550=$F$3),IF($H$3="(todos)",TRUE,'ORDENES'!$W550=$H$3),'ORDENES'!$AD550=TRUE,'ORDENES'!$A550&lt;&gt;""),1,0)</f>
        <v/>
      </c>
      <c r="L554" s="3">
        <f>IF(K554=1,IFERROR(MATCH('ORDENES'!$R550,lista_dias,0),9)*1000000000+IFERROR(MATCH('ORDENES'!$AF550,lista_turnos,0),9)*10000000+IFERROR(MATCH('ORDENES'!$AE550,'TECNICOS'!$B$4:$B$15,0),99)*100000+547,9000000000000+547)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IF('ORDENES'!$T550="preventiva",N554,0)</f>
        <v/>
      </c>
      <c r="P554" s="17">
        <f>IF('ORDENES'!$T550="correctiva",N554,0)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IF(AND(IF($B$3="(todos)",TRUE,'ORDENES'!$O551=$B$3),IF($D$3="(todos)",TRUE,'ORDENES'!$AF551=$D$3),IF($F$3="(todos)",TRUE,'ORDENES'!$X551=$F$3),IF($H$3="(todos)",TRUE,'ORDENES'!$W551=$H$3),'ORDENES'!$AD551=TRUE,'ORDENES'!$A551&lt;&gt;""),1,0)</f>
        <v/>
      </c>
      <c r="L555" s="3">
        <f>IF(K555=1,IFERROR(MATCH('ORDENES'!$R551,lista_dias,0),9)*1000000000+IFERROR(MATCH('ORDENES'!$AF551,lista_turnos,0),9)*10000000+IFERROR(MATCH('ORDENES'!$AE551,'TECNICOS'!$B$4:$B$15,0),99)*100000+548,9000000000000+548)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IF('ORDENES'!$T551="preventiva",N555,0)</f>
        <v/>
      </c>
      <c r="P555" s="17">
        <f>IF('ORDENES'!$T551="correctiva",N555,0)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IF(AND(IF($B$3="(todos)",TRUE,'ORDENES'!$O552=$B$3),IF($D$3="(todos)",TRUE,'ORDENES'!$AF552=$D$3),IF($F$3="(todos)",TRUE,'ORDENES'!$X552=$F$3),IF($H$3="(todos)",TRUE,'ORDENES'!$W552=$H$3),'ORDENES'!$AD552=TRUE,'ORDENES'!$A552&lt;&gt;""),1,0)</f>
        <v/>
      </c>
      <c r="L556" s="3">
        <f>IF(K556=1,IFERROR(MATCH('ORDENES'!$R552,lista_dias,0),9)*1000000000+IFERROR(MATCH('ORDENES'!$AF552,lista_turnos,0),9)*10000000+IFERROR(MATCH('ORDENES'!$AE552,'TECNICOS'!$B$4:$B$15,0),99)*100000+549,9000000000000+549)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IF('ORDENES'!$T552="preventiva",N556,0)</f>
        <v/>
      </c>
      <c r="P556" s="17">
        <f>IF('ORDENES'!$T552="correctiva",N556,0)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IF(AND(IF($B$3="(todos)",TRUE,'ORDENES'!$O553=$B$3),IF($D$3="(todos)",TRUE,'ORDENES'!$AF553=$D$3),IF($F$3="(todos)",TRUE,'ORDENES'!$X553=$F$3),IF($H$3="(todos)",TRUE,'ORDENES'!$W553=$H$3),'ORDENES'!$AD553=TRUE,'ORDENES'!$A553&lt;&gt;""),1,0)</f>
        <v/>
      </c>
      <c r="L557" s="3">
        <f>IF(K557=1,IFERROR(MATCH('ORDENES'!$R553,lista_dias,0),9)*1000000000+IFERROR(MATCH('ORDENES'!$AF553,lista_turnos,0),9)*10000000+IFERROR(MATCH('ORDENES'!$AE553,'TECNICOS'!$B$4:$B$15,0),99)*100000+550,9000000000000+550)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IF('ORDENES'!$T553="preventiva",N557,0)</f>
        <v/>
      </c>
      <c r="P557" s="17">
        <f>IF('ORDENES'!$T553="correctiva",N557,0)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IF(AND(IF($B$3="(todos)",TRUE,'ORDENES'!$O554=$B$3),IF($D$3="(todos)",TRUE,'ORDENES'!$AF554=$D$3),IF($F$3="(todos)",TRUE,'ORDENES'!$X554=$F$3),IF($H$3="(todos)",TRUE,'ORDENES'!$W554=$H$3),'ORDENES'!$AD554=TRUE,'ORDENES'!$A554&lt;&gt;""),1,0)</f>
        <v/>
      </c>
      <c r="L558" s="3">
        <f>IF(K558=1,IFERROR(MATCH('ORDENES'!$R554,lista_dias,0),9)*1000000000+IFERROR(MATCH('ORDENES'!$AF554,lista_turnos,0),9)*10000000+IFERROR(MATCH('ORDENES'!$AE554,'TECNICOS'!$B$4:$B$15,0),99)*100000+551,9000000000000+551)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IF('ORDENES'!$T554="preventiva",N558,0)</f>
        <v/>
      </c>
      <c r="P558" s="17">
        <f>IF('ORDENES'!$T554="correctiva",N558,0)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IF(AND(IF($B$3="(todos)",TRUE,'ORDENES'!$O555=$B$3),IF($D$3="(todos)",TRUE,'ORDENES'!$AF555=$D$3),IF($F$3="(todos)",TRUE,'ORDENES'!$X555=$F$3),IF($H$3="(todos)",TRUE,'ORDENES'!$W555=$H$3),'ORDENES'!$AD555=TRUE,'ORDENES'!$A555&lt;&gt;""),1,0)</f>
        <v/>
      </c>
      <c r="L559" s="3">
        <f>IF(K559=1,IFERROR(MATCH('ORDENES'!$R555,lista_dias,0),9)*1000000000+IFERROR(MATCH('ORDENES'!$AF555,lista_turnos,0),9)*10000000+IFERROR(MATCH('ORDENES'!$AE555,'TECNICOS'!$B$4:$B$15,0),99)*100000+552,9000000000000+552)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IF('ORDENES'!$T555="preventiva",N559,0)</f>
        <v/>
      </c>
      <c r="P559" s="17">
        <f>IF('ORDENES'!$T555="correctiva",N559,0)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IF(AND(IF($B$3="(todos)",TRUE,'ORDENES'!$O556=$B$3),IF($D$3="(todos)",TRUE,'ORDENES'!$AF556=$D$3),IF($F$3="(todos)",TRUE,'ORDENES'!$X556=$F$3),IF($H$3="(todos)",TRUE,'ORDENES'!$W556=$H$3),'ORDENES'!$AD556=TRUE,'ORDENES'!$A556&lt;&gt;""),1,0)</f>
        <v/>
      </c>
      <c r="L560" s="3">
        <f>IF(K560=1,IFERROR(MATCH('ORDENES'!$R556,lista_dias,0),9)*1000000000+IFERROR(MATCH('ORDENES'!$AF556,lista_turnos,0),9)*10000000+IFERROR(MATCH('ORDENES'!$AE556,'TECNICOS'!$B$4:$B$15,0),99)*100000+553,9000000000000+553)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IF('ORDENES'!$T556="preventiva",N560,0)</f>
        <v/>
      </c>
      <c r="P560" s="17">
        <f>IF('ORDENES'!$T556="correctiva",N560,0)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IF(AND(IF($B$3="(todos)",TRUE,'ORDENES'!$O557=$B$3),IF($D$3="(todos)",TRUE,'ORDENES'!$AF557=$D$3),IF($F$3="(todos)",TRUE,'ORDENES'!$X557=$F$3),IF($H$3="(todos)",TRUE,'ORDENES'!$W557=$H$3),'ORDENES'!$AD557=TRUE,'ORDENES'!$A557&lt;&gt;""),1,0)</f>
        <v/>
      </c>
      <c r="L561" s="3">
        <f>IF(K561=1,IFERROR(MATCH('ORDENES'!$R557,lista_dias,0),9)*1000000000+IFERROR(MATCH('ORDENES'!$AF557,lista_turnos,0),9)*10000000+IFERROR(MATCH('ORDENES'!$AE557,'TECNICOS'!$B$4:$B$15,0),99)*100000+554,9000000000000+554)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IF('ORDENES'!$T557="preventiva",N561,0)</f>
        <v/>
      </c>
      <c r="P561" s="17">
        <f>IF('ORDENES'!$T557="correctiva",N561,0)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IF(AND(IF($B$3="(todos)",TRUE,'ORDENES'!$O558=$B$3),IF($D$3="(todos)",TRUE,'ORDENES'!$AF558=$D$3),IF($F$3="(todos)",TRUE,'ORDENES'!$X558=$F$3),IF($H$3="(todos)",TRUE,'ORDENES'!$W558=$H$3),'ORDENES'!$AD558=TRUE,'ORDENES'!$A558&lt;&gt;""),1,0)</f>
        <v/>
      </c>
      <c r="L562" s="3">
        <f>IF(K562=1,IFERROR(MATCH('ORDENES'!$R558,lista_dias,0),9)*1000000000+IFERROR(MATCH('ORDENES'!$AF558,lista_turnos,0),9)*10000000+IFERROR(MATCH('ORDENES'!$AE558,'TECNICOS'!$B$4:$B$15,0),99)*100000+555,9000000000000+555)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IF('ORDENES'!$T558="preventiva",N562,0)</f>
        <v/>
      </c>
      <c r="P562" s="17">
        <f>IF('ORDENES'!$T558="correctiva",N562,0)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IF(AND(IF($B$3="(todos)",TRUE,'ORDENES'!$O559=$B$3),IF($D$3="(todos)",TRUE,'ORDENES'!$AF559=$D$3),IF($F$3="(todos)",TRUE,'ORDENES'!$X559=$F$3),IF($H$3="(todos)",TRUE,'ORDENES'!$W559=$H$3),'ORDENES'!$AD559=TRUE,'ORDENES'!$A559&lt;&gt;""),1,0)</f>
        <v/>
      </c>
      <c r="L563" s="3">
        <f>IF(K563=1,IFERROR(MATCH('ORDENES'!$R559,lista_dias,0),9)*1000000000+IFERROR(MATCH('ORDENES'!$AF559,lista_turnos,0),9)*10000000+IFERROR(MATCH('ORDENES'!$AE559,'TECNICOS'!$B$4:$B$15,0),99)*100000+556,9000000000000+556)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IF('ORDENES'!$T559="preventiva",N563,0)</f>
        <v/>
      </c>
      <c r="P563" s="17">
        <f>IF('ORDENES'!$T559="correctiva",N563,0)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IF(AND(IF($B$3="(todos)",TRUE,'ORDENES'!$O560=$B$3),IF($D$3="(todos)",TRUE,'ORDENES'!$AF560=$D$3),IF($F$3="(todos)",TRUE,'ORDENES'!$X560=$F$3),IF($H$3="(todos)",TRUE,'ORDENES'!$W560=$H$3),'ORDENES'!$AD560=TRUE,'ORDENES'!$A560&lt;&gt;""),1,0)</f>
        <v/>
      </c>
      <c r="L564" s="3">
        <f>IF(K564=1,IFERROR(MATCH('ORDENES'!$R560,lista_dias,0),9)*1000000000+IFERROR(MATCH('ORDENES'!$AF560,lista_turnos,0),9)*10000000+IFERROR(MATCH('ORDENES'!$AE560,'TECNICOS'!$B$4:$B$15,0),99)*100000+557,9000000000000+557)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IF('ORDENES'!$T560="preventiva",N564,0)</f>
        <v/>
      </c>
      <c r="P564" s="17">
        <f>IF('ORDENES'!$T560="correctiva",N564,0)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IF(AND(IF($B$3="(todos)",TRUE,'ORDENES'!$O561=$B$3),IF($D$3="(todos)",TRUE,'ORDENES'!$AF561=$D$3),IF($F$3="(todos)",TRUE,'ORDENES'!$X561=$F$3),IF($H$3="(todos)",TRUE,'ORDENES'!$W561=$H$3),'ORDENES'!$AD561=TRUE,'ORDENES'!$A561&lt;&gt;""),1,0)</f>
        <v/>
      </c>
      <c r="L565" s="3">
        <f>IF(K565=1,IFERROR(MATCH('ORDENES'!$R561,lista_dias,0),9)*1000000000+IFERROR(MATCH('ORDENES'!$AF561,lista_turnos,0),9)*10000000+IFERROR(MATCH('ORDENES'!$AE561,'TECNICOS'!$B$4:$B$15,0),99)*100000+558,9000000000000+558)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IF('ORDENES'!$T561="preventiva",N565,0)</f>
        <v/>
      </c>
      <c r="P565" s="17">
        <f>IF('ORDENES'!$T561="correctiva",N565,0)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IF(AND(IF($B$3="(todos)",TRUE,'ORDENES'!$O562=$B$3),IF($D$3="(todos)",TRUE,'ORDENES'!$AF562=$D$3),IF($F$3="(todos)",TRUE,'ORDENES'!$X562=$F$3),IF($H$3="(todos)",TRUE,'ORDENES'!$W562=$H$3),'ORDENES'!$AD562=TRUE,'ORDENES'!$A562&lt;&gt;""),1,0)</f>
        <v/>
      </c>
      <c r="L566" s="3">
        <f>IF(K566=1,IFERROR(MATCH('ORDENES'!$R562,lista_dias,0),9)*1000000000+IFERROR(MATCH('ORDENES'!$AF562,lista_turnos,0),9)*10000000+IFERROR(MATCH('ORDENES'!$AE562,'TECNICOS'!$B$4:$B$15,0),99)*100000+559,9000000000000+559)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IF('ORDENES'!$T562="preventiva",N566,0)</f>
        <v/>
      </c>
      <c r="P566" s="17">
        <f>IF('ORDENES'!$T562="correctiva",N566,0)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IF(AND(IF($B$3="(todos)",TRUE,'ORDENES'!$O563=$B$3),IF($D$3="(todos)",TRUE,'ORDENES'!$AF563=$D$3),IF($F$3="(todos)",TRUE,'ORDENES'!$X563=$F$3),IF($H$3="(todos)",TRUE,'ORDENES'!$W563=$H$3),'ORDENES'!$AD563=TRUE,'ORDENES'!$A563&lt;&gt;""),1,0)</f>
        <v/>
      </c>
      <c r="L567" s="3">
        <f>IF(K567=1,IFERROR(MATCH('ORDENES'!$R563,lista_dias,0),9)*1000000000+IFERROR(MATCH('ORDENES'!$AF563,lista_turnos,0),9)*10000000+IFERROR(MATCH('ORDENES'!$AE563,'TECNICOS'!$B$4:$B$15,0),99)*100000+560,9000000000000+560)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IF('ORDENES'!$T563="preventiva",N567,0)</f>
        <v/>
      </c>
      <c r="P567" s="17">
        <f>IF('ORDENES'!$T563="correctiva",N567,0)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IF(AND(IF($B$3="(todos)",TRUE,'ORDENES'!$O564=$B$3),IF($D$3="(todos)",TRUE,'ORDENES'!$AF564=$D$3),IF($F$3="(todos)",TRUE,'ORDENES'!$X564=$F$3),IF($H$3="(todos)",TRUE,'ORDENES'!$W564=$H$3),'ORDENES'!$AD564=TRUE,'ORDENES'!$A564&lt;&gt;""),1,0)</f>
        <v/>
      </c>
      <c r="L568" s="3">
        <f>IF(K568=1,IFERROR(MATCH('ORDENES'!$R564,lista_dias,0),9)*1000000000+IFERROR(MATCH('ORDENES'!$AF564,lista_turnos,0),9)*10000000+IFERROR(MATCH('ORDENES'!$AE564,'TECNICOS'!$B$4:$B$15,0),99)*100000+561,9000000000000+561)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IF('ORDENES'!$T564="preventiva",N568,0)</f>
        <v/>
      </c>
      <c r="P568" s="17">
        <f>IF('ORDENES'!$T564="correctiva",N568,0)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IF(AND(IF($B$3="(todos)",TRUE,'ORDENES'!$O565=$B$3),IF($D$3="(todos)",TRUE,'ORDENES'!$AF565=$D$3),IF($F$3="(todos)",TRUE,'ORDENES'!$X565=$F$3),IF($H$3="(todos)",TRUE,'ORDENES'!$W565=$H$3),'ORDENES'!$AD565=TRUE,'ORDENES'!$A565&lt;&gt;""),1,0)</f>
        <v/>
      </c>
      <c r="L569" s="3">
        <f>IF(K569=1,IFERROR(MATCH('ORDENES'!$R565,lista_dias,0),9)*1000000000+IFERROR(MATCH('ORDENES'!$AF565,lista_turnos,0),9)*10000000+IFERROR(MATCH('ORDENES'!$AE565,'TECNICOS'!$B$4:$B$15,0),99)*100000+562,9000000000000+562)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IF('ORDENES'!$T565="preventiva",N569,0)</f>
        <v/>
      </c>
      <c r="P569" s="17">
        <f>IF('ORDENES'!$T565="correctiva",N569,0)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IF(AND(IF($B$3="(todos)",TRUE,'ORDENES'!$O566=$B$3),IF($D$3="(todos)",TRUE,'ORDENES'!$AF566=$D$3),IF($F$3="(todos)",TRUE,'ORDENES'!$X566=$F$3),IF($H$3="(todos)",TRUE,'ORDENES'!$W566=$H$3),'ORDENES'!$AD566=TRUE,'ORDENES'!$A566&lt;&gt;""),1,0)</f>
        <v/>
      </c>
      <c r="L570" s="3">
        <f>IF(K570=1,IFERROR(MATCH('ORDENES'!$R566,lista_dias,0),9)*1000000000+IFERROR(MATCH('ORDENES'!$AF566,lista_turnos,0),9)*10000000+IFERROR(MATCH('ORDENES'!$AE566,'TECNICOS'!$B$4:$B$15,0),99)*100000+563,9000000000000+563)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IF('ORDENES'!$T566="preventiva",N570,0)</f>
        <v/>
      </c>
      <c r="P570" s="17">
        <f>IF('ORDENES'!$T566="correctiva",N570,0)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IF(AND(IF($B$3="(todos)",TRUE,'ORDENES'!$O567=$B$3),IF($D$3="(todos)",TRUE,'ORDENES'!$AF567=$D$3),IF($F$3="(todos)",TRUE,'ORDENES'!$X567=$F$3),IF($H$3="(todos)",TRUE,'ORDENES'!$W567=$H$3),'ORDENES'!$AD567=TRUE,'ORDENES'!$A567&lt;&gt;""),1,0)</f>
        <v/>
      </c>
      <c r="L571" s="3">
        <f>IF(K571=1,IFERROR(MATCH('ORDENES'!$R567,lista_dias,0),9)*1000000000+IFERROR(MATCH('ORDENES'!$AF567,lista_turnos,0),9)*10000000+IFERROR(MATCH('ORDENES'!$AE567,'TECNICOS'!$B$4:$B$15,0),99)*100000+564,9000000000000+564)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IF('ORDENES'!$T567="preventiva",N571,0)</f>
        <v/>
      </c>
      <c r="P571" s="17">
        <f>IF('ORDENES'!$T567="correctiva",N571,0)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IF(AND(IF($B$3="(todos)",TRUE,'ORDENES'!$O568=$B$3),IF($D$3="(todos)",TRUE,'ORDENES'!$AF568=$D$3),IF($F$3="(todos)",TRUE,'ORDENES'!$X568=$F$3),IF($H$3="(todos)",TRUE,'ORDENES'!$W568=$H$3),'ORDENES'!$AD568=TRUE,'ORDENES'!$A568&lt;&gt;""),1,0)</f>
        <v/>
      </c>
      <c r="L572" s="3">
        <f>IF(K572=1,IFERROR(MATCH('ORDENES'!$R568,lista_dias,0),9)*1000000000+IFERROR(MATCH('ORDENES'!$AF568,lista_turnos,0),9)*10000000+IFERROR(MATCH('ORDENES'!$AE568,'TECNICOS'!$B$4:$B$15,0),99)*100000+565,9000000000000+565)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IF('ORDENES'!$T568="preventiva",N572,0)</f>
        <v/>
      </c>
      <c r="P572" s="17">
        <f>IF('ORDENES'!$T568="correctiva",N572,0)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IF(AND(IF($B$3="(todos)",TRUE,'ORDENES'!$O569=$B$3),IF($D$3="(todos)",TRUE,'ORDENES'!$AF569=$D$3),IF($F$3="(todos)",TRUE,'ORDENES'!$X569=$F$3),IF($H$3="(todos)",TRUE,'ORDENES'!$W569=$H$3),'ORDENES'!$AD569=TRUE,'ORDENES'!$A569&lt;&gt;""),1,0)</f>
        <v/>
      </c>
      <c r="L573" s="3">
        <f>IF(K573=1,IFERROR(MATCH('ORDENES'!$R569,lista_dias,0),9)*1000000000+IFERROR(MATCH('ORDENES'!$AF569,lista_turnos,0),9)*10000000+IFERROR(MATCH('ORDENES'!$AE569,'TECNICOS'!$B$4:$B$15,0),99)*100000+566,9000000000000+566)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IF('ORDENES'!$T569="preventiva",N573,0)</f>
        <v/>
      </c>
      <c r="P573" s="17">
        <f>IF('ORDENES'!$T569="correctiva",N573,0)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IF(AND(IF($B$3="(todos)",TRUE,'ORDENES'!$O570=$B$3),IF($D$3="(todos)",TRUE,'ORDENES'!$AF570=$D$3),IF($F$3="(todos)",TRUE,'ORDENES'!$X570=$F$3),IF($H$3="(todos)",TRUE,'ORDENES'!$W570=$H$3),'ORDENES'!$AD570=TRUE,'ORDENES'!$A570&lt;&gt;""),1,0)</f>
        <v/>
      </c>
      <c r="L574" s="3">
        <f>IF(K574=1,IFERROR(MATCH('ORDENES'!$R570,lista_dias,0),9)*1000000000+IFERROR(MATCH('ORDENES'!$AF570,lista_turnos,0),9)*10000000+IFERROR(MATCH('ORDENES'!$AE570,'TECNICOS'!$B$4:$B$15,0),99)*100000+567,9000000000000+567)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IF('ORDENES'!$T570="preventiva",N574,0)</f>
        <v/>
      </c>
      <c r="P574" s="17">
        <f>IF('ORDENES'!$T570="correctiva",N574,0)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IF(AND(IF($B$3="(todos)",TRUE,'ORDENES'!$O571=$B$3),IF($D$3="(todos)",TRUE,'ORDENES'!$AF571=$D$3),IF($F$3="(todos)",TRUE,'ORDENES'!$X571=$F$3),IF($H$3="(todos)",TRUE,'ORDENES'!$W571=$H$3),'ORDENES'!$AD571=TRUE,'ORDENES'!$A571&lt;&gt;""),1,0)</f>
        <v/>
      </c>
      <c r="L575" s="3">
        <f>IF(K575=1,IFERROR(MATCH('ORDENES'!$R571,lista_dias,0),9)*1000000000+IFERROR(MATCH('ORDENES'!$AF571,lista_turnos,0),9)*10000000+IFERROR(MATCH('ORDENES'!$AE571,'TECNICOS'!$B$4:$B$15,0),99)*100000+568,9000000000000+568)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IF('ORDENES'!$T571="preventiva",N575,0)</f>
        <v/>
      </c>
      <c r="P575" s="17">
        <f>IF('ORDENES'!$T571="correctiva",N575,0)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IF(AND(IF($B$3="(todos)",TRUE,'ORDENES'!$O572=$B$3),IF($D$3="(todos)",TRUE,'ORDENES'!$AF572=$D$3),IF($F$3="(todos)",TRUE,'ORDENES'!$X572=$F$3),IF($H$3="(todos)",TRUE,'ORDENES'!$W572=$H$3),'ORDENES'!$AD572=TRUE,'ORDENES'!$A572&lt;&gt;""),1,0)</f>
        <v/>
      </c>
      <c r="L576" s="3">
        <f>IF(K576=1,IFERROR(MATCH('ORDENES'!$R572,lista_dias,0),9)*1000000000+IFERROR(MATCH('ORDENES'!$AF572,lista_turnos,0),9)*10000000+IFERROR(MATCH('ORDENES'!$AE572,'TECNICOS'!$B$4:$B$15,0),99)*100000+569,9000000000000+569)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IF('ORDENES'!$T572="preventiva",N576,0)</f>
        <v/>
      </c>
      <c r="P576" s="17">
        <f>IF('ORDENES'!$T572="correctiva",N576,0)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IF(AND(IF($B$3="(todos)",TRUE,'ORDENES'!$O573=$B$3),IF($D$3="(todos)",TRUE,'ORDENES'!$AF573=$D$3),IF($F$3="(todos)",TRUE,'ORDENES'!$X573=$F$3),IF($H$3="(todos)",TRUE,'ORDENES'!$W573=$H$3),'ORDENES'!$AD573=TRUE,'ORDENES'!$A573&lt;&gt;""),1,0)</f>
        <v/>
      </c>
      <c r="L577" s="3">
        <f>IF(K577=1,IFERROR(MATCH('ORDENES'!$R573,lista_dias,0),9)*1000000000+IFERROR(MATCH('ORDENES'!$AF573,lista_turnos,0),9)*10000000+IFERROR(MATCH('ORDENES'!$AE573,'TECNICOS'!$B$4:$B$15,0),99)*100000+570,9000000000000+570)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IF('ORDENES'!$T573="preventiva",N577,0)</f>
        <v/>
      </c>
      <c r="P577" s="17">
        <f>IF('ORDENES'!$T573="correctiva",N577,0)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IF(AND(IF($B$3="(todos)",TRUE,'ORDENES'!$O574=$B$3),IF($D$3="(todos)",TRUE,'ORDENES'!$AF574=$D$3),IF($F$3="(todos)",TRUE,'ORDENES'!$X574=$F$3),IF($H$3="(todos)",TRUE,'ORDENES'!$W574=$H$3),'ORDENES'!$AD574=TRUE,'ORDENES'!$A574&lt;&gt;""),1,0)</f>
        <v/>
      </c>
      <c r="L578" s="3">
        <f>IF(K578=1,IFERROR(MATCH('ORDENES'!$R574,lista_dias,0),9)*1000000000+IFERROR(MATCH('ORDENES'!$AF574,lista_turnos,0),9)*10000000+IFERROR(MATCH('ORDENES'!$AE574,'TECNICOS'!$B$4:$B$15,0),99)*100000+571,9000000000000+571)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IF('ORDENES'!$T574="preventiva",N578,0)</f>
        <v/>
      </c>
      <c r="P578" s="17">
        <f>IF('ORDENES'!$T574="correctiva",N578,0)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IF(AND(IF($B$3="(todos)",TRUE,'ORDENES'!$O575=$B$3),IF($D$3="(todos)",TRUE,'ORDENES'!$AF575=$D$3),IF($F$3="(todos)",TRUE,'ORDENES'!$X575=$F$3),IF($H$3="(todos)",TRUE,'ORDENES'!$W575=$H$3),'ORDENES'!$AD575=TRUE,'ORDENES'!$A575&lt;&gt;""),1,0)</f>
        <v/>
      </c>
      <c r="L579" s="3">
        <f>IF(K579=1,IFERROR(MATCH('ORDENES'!$R575,lista_dias,0),9)*1000000000+IFERROR(MATCH('ORDENES'!$AF575,lista_turnos,0),9)*10000000+IFERROR(MATCH('ORDENES'!$AE575,'TECNICOS'!$B$4:$B$15,0),99)*100000+572,9000000000000+572)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IF('ORDENES'!$T575="preventiva",N579,0)</f>
        <v/>
      </c>
      <c r="P579" s="17">
        <f>IF('ORDENES'!$T575="correctiva",N579,0)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IF(AND(IF($B$3="(todos)",TRUE,'ORDENES'!$O576=$B$3),IF($D$3="(todos)",TRUE,'ORDENES'!$AF576=$D$3),IF($F$3="(todos)",TRUE,'ORDENES'!$X576=$F$3),IF($H$3="(todos)",TRUE,'ORDENES'!$W576=$H$3),'ORDENES'!$AD576=TRUE,'ORDENES'!$A576&lt;&gt;""),1,0)</f>
        <v/>
      </c>
      <c r="L580" s="3">
        <f>IF(K580=1,IFERROR(MATCH('ORDENES'!$R576,lista_dias,0),9)*1000000000+IFERROR(MATCH('ORDENES'!$AF576,lista_turnos,0),9)*10000000+IFERROR(MATCH('ORDENES'!$AE576,'TECNICOS'!$B$4:$B$15,0),99)*100000+573,9000000000000+573)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IF('ORDENES'!$T576="preventiva",N580,0)</f>
        <v/>
      </c>
      <c r="P580" s="17">
        <f>IF('ORDENES'!$T576="correctiva",N580,0)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IF(AND(IF($B$3="(todos)",TRUE,'ORDENES'!$O577=$B$3),IF($D$3="(todos)",TRUE,'ORDENES'!$AF577=$D$3),IF($F$3="(todos)",TRUE,'ORDENES'!$X577=$F$3),IF($H$3="(todos)",TRUE,'ORDENES'!$W577=$H$3),'ORDENES'!$AD577=TRUE,'ORDENES'!$A577&lt;&gt;""),1,0)</f>
        <v/>
      </c>
      <c r="L581" s="3">
        <f>IF(K581=1,IFERROR(MATCH('ORDENES'!$R577,lista_dias,0),9)*1000000000+IFERROR(MATCH('ORDENES'!$AF577,lista_turnos,0),9)*10000000+IFERROR(MATCH('ORDENES'!$AE577,'TECNICOS'!$B$4:$B$15,0),99)*100000+574,9000000000000+574)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IF('ORDENES'!$T577="preventiva",N581,0)</f>
        <v/>
      </c>
      <c r="P581" s="17">
        <f>IF('ORDENES'!$T577="correctiva",N581,0)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IF(AND(IF($B$3="(todos)",TRUE,'ORDENES'!$O578=$B$3),IF($D$3="(todos)",TRUE,'ORDENES'!$AF578=$D$3),IF($F$3="(todos)",TRUE,'ORDENES'!$X578=$F$3),IF($H$3="(todos)",TRUE,'ORDENES'!$W578=$H$3),'ORDENES'!$AD578=TRUE,'ORDENES'!$A578&lt;&gt;""),1,0)</f>
        <v/>
      </c>
      <c r="L582" s="3">
        <f>IF(K582=1,IFERROR(MATCH('ORDENES'!$R578,lista_dias,0),9)*1000000000+IFERROR(MATCH('ORDENES'!$AF578,lista_turnos,0),9)*10000000+IFERROR(MATCH('ORDENES'!$AE578,'TECNICOS'!$B$4:$B$15,0),99)*100000+575,9000000000000+575)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IF('ORDENES'!$T578="preventiva",N582,0)</f>
        <v/>
      </c>
      <c r="P582" s="17">
        <f>IF('ORDENES'!$T578="correctiva",N582,0)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IF(AND(IF($B$3="(todos)",TRUE,'ORDENES'!$O579=$B$3),IF($D$3="(todos)",TRUE,'ORDENES'!$AF579=$D$3),IF($F$3="(todos)",TRUE,'ORDENES'!$X579=$F$3),IF($H$3="(todos)",TRUE,'ORDENES'!$W579=$H$3),'ORDENES'!$AD579=TRUE,'ORDENES'!$A579&lt;&gt;""),1,0)</f>
        <v/>
      </c>
      <c r="L583" s="3">
        <f>IF(K583=1,IFERROR(MATCH('ORDENES'!$R579,lista_dias,0),9)*1000000000+IFERROR(MATCH('ORDENES'!$AF579,lista_turnos,0),9)*10000000+IFERROR(MATCH('ORDENES'!$AE579,'TECNICOS'!$B$4:$B$15,0),99)*100000+576,9000000000000+576)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IF('ORDENES'!$T579="preventiva",N583,0)</f>
        <v/>
      </c>
      <c r="P583" s="17">
        <f>IF('ORDENES'!$T579="correctiva",N583,0)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IF(AND(IF($B$3="(todos)",TRUE,'ORDENES'!$O580=$B$3),IF($D$3="(todos)",TRUE,'ORDENES'!$AF580=$D$3),IF($F$3="(todos)",TRUE,'ORDENES'!$X580=$F$3),IF($H$3="(todos)",TRUE,'ORDENES'!$W580=$H$3),'ORDENES'!$AD580=TRUE,'ORDENES'!$A580&lt;&gt;""),1,0)</f>
        <v/>
      </c>
      <c r="L584" s="3">
        <f>IF(K584=1,IFERROR(MATCH('ORDENES'!$R580,lista_dias,0),9)*1000000000+IFERROR(MATCH('ORDENES'!$AF580,lista_turnos,0),9)*10000000+IFERROR(MATCH('ORDENES'!$AE580,'TECNICOS'!$B$4:$B$15,0),99)*100000+577,9000000000000+577)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IF('ORDENES'!$T580="preventiva",N584,0)</f>
        <v/>
      </c>
      <c r="P584" s="17">
        <f>IF('ORDENES'!$T580="correctiva",N584,0)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IF(AND(IF($B$3="(todos)",TRUE,'ORDENES'!$O581=$B$3),IF($D$3="(todos)",TRUE,'ORDENES'!$AF581=$D$3),IF($F$3="(todos)",TRUE,'ORDENES'!$X581=$F$3),IF($H$3="(todos)",TRUE,'ORDENES'!$W581=$H$3),'ORDENES'!$AD581=TRUE,'ORDENES'!$A581&lt;&gt;""),1,0)</f>
        <v/>
      </c>
      <c r="L585" s="3">
        <f>IF(K585=1,IFERROR(MATCH('ORDENES'!$R581,lista_dias,0),9)*1000000000+IFERROR(MATCH('ORDENES'!$AF581,lista_turnos,0),9)*10000000+IFERROR(MATCH('ORDENES'!$AE581,'TECNICOS'!$B$4:$B$15,0),99)*100000+578,9000000000000+578)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IF('ORDENES'!$T581="preventiva",N585,0)</f>
        <v/>
      </c>
      <c r="P585" s="17">
        <f>IF('ORDENES'!$T581="correctiva",N585,0)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IF(AND(IF($B$3="(todos)",TRUE,'ORDENES'!$O582=$B$3),IF($D$3="(todos)",TRUE,'ORDENES'!$AF582=$D$3),IF($F$3="(todos)",TRUE,'ORDENES'!$X582=$F$3),IF($H$3="(todos)",TRUE,'ORDENES'!$W582=$H$3),'ORDENES'!$AD582=TRUE,'ORDENES'!$A582&lt;&gt;""),1,0)</f>
        <v/>
      </c>
      <c r="L586" s="3">
        <f>IF(K586=1,IFERROR(MATCH('ORDENES'!$R582,lista_dias,0),9)*1000000000+IFERROR(MATCH('ORDENES'!$AF582,lista_turnos,0),9)*10000000+IFERROR(MATCH('ORDENES'!$AE582,'TECNICOS'!$B$4:$B$15,0),99)*100000+579,9000000000000+579)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IF('ORDENES'!$T582="preventiva",N586,0)</f>
        <v/>
      </c>
      <c r="P586" s="17">
        <f>IF('ORDENES'!$T582="correctiva",N586,0)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IF(AND(IF($B$3="(todos)",TRUE,'ORDENES'!$O583=$B$3),IF($D$3="(todos)",TRUE,'ORDENES'!$AF583=$D$3),IF($F$3="(todos)",TRUE,'ORDENES'!$X583=$F$3),IF($H$3="(todos)",TRUE,'ORDENES'!$W583=$H$3),'ORDENES'!$AD583=TRUE,'ORDENES'!$A583&lt;&gt;""),1,0)</f>
        <v/>
      </c>
      <c r="L587" s="3">
        <f>IF(K587=1,IFERROR(MATCH('ORDENES'!$R583,lista_dias,0),9)*1000000000+IFERROR(MATCH('ORDENES'!$AF583,lista_turnos,0),9)*10000000+IFERROR(MATCH('ORDENES'!$AE583,'TECNICOS'!$B$4:$B$15,0),99)*100000+580,9000000000000+580)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IF('ORDENES'!$T583="preventiva",N587,0)</f>
        <v/>
      </c>
      <c r="P587" s="17">
        <f>IF('ORDENES'!$T583="correctiva",N587,0)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IF(AND(IF($B$3="(todos)",TRUE,'ORDENES'!$O584=$B$3),IF($D$3="(todos)",TRUE,'ORDENES'!$AF584=$D$3),IF($F$3="(todos)",TRUE,'ORDENES'!$X584=$F$3),IF($H$3="(todos)",TRUE,'ORDENES'!$W584=$H$3),'ORDENES'!$AD584=TRUE,'ORDENES'!$A584&lt;&gt;""),1,0)</f>
        <v/>
      </c>
      <c r="L588" s="3">
        <f>IF(K588=1,IFERROR(MATCH('ORDENES'!$R584,lista_dias,0),9)*1000000000+IFERROR(MATCH('ORDENES'!$AF584,lista_turnos,0),9)*10000000+IFERROR(MATCH('ORDENES'!$AE584,'TECNICOS'!$B$4:$B$15,0),99)*100000+581,9000000000000+581)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IF('ORDENES'!$T584="preventiva",N588,0)</f>
        <v/>
      </c>
      <c r="P588" s="17">
        <f>IF('ORDENES'!$T584="correctiva",N588,0)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IF(AND(IF($B$3="(todos)",TRUE,'ORDENES'!$O585=$B$3),IF($D$3="(todos)",TRUE,'ORDENES'!$AF585=$D$3),IF($F$3="(todos)",TRUE,'ORDENES'!$X585=$F$3),IF($H$3="(todos)",TRUE,'ORDENES'!$W585=$H$3),'ORDENES'!$AD585=TRUE,'ORDENES'!$A585&lt;&gt;""),1,0)</f>
        <v/>
      </c>
      <c r="L589" s="3">
        <f>IF(K589=1,IFERROR(MATCH('ORDENES'!$R585,lista_dias,0),9)*1000000000+IFERROR(MATCH('ORDENES'!$AF585,lista_turnos,0),9)*10000000+IFERROR(MATCH('ORDENES'!$AE585,'TECNICOS'!$B$4:$B$15,0),99)*100000+582,9000000000000+582)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IF('ORDENES'!$T585="preventiva",N589,0)</f>
        <v/>
      </c>
      <c r="P589" s="17">
        <f>IF('ORDENES'!$T585="correctiva",N589,0)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IF(AND(IF($B$3="(todos)",TRUE,'ORDENES'!$O586=$B$3),IF($D$3="(todos)",TRUE,'ORDENES'!$AF586=$D$3),IF($F$3="(todos)",TRUE,'ORDENES'!$X586=$F$3),IF($H$3="(todos)",TRUE,'ORDENES'!$W586=$H$3),'ORDENES'!$AD586=TRUE,'ORDENES'!$A586&lt;&gt;""),1,0)</f>
        <v/>
      </c>
      <c r="L590" s="3">
        <f>IF(K590=1,IFERROR(MATCH('ORDENES'!$R586,lista_dias,0),9)*1000000000+IFERROR(MATCH('ORDENES'!$AF586,lista_turnos,0),9)*10000000+IFERROR(MATCH('ORDENES'!$AE586,'TECNICOS'!$B$4:$B$15,0),99)*100000+583,9000000000000+583)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IF('ORDENES'!$T586="preventiva",N590,0)</f>
        <v/>
      </c>
      <c r="P590" s="17">
        <f>IF('ORDENES'!$T586="correctiva",N590,0)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IF(AND(IF($B$3="(todos)",TRUE,'ORDENES'!$O587=$B$3),IF($D$3="(todos)",TRUE,'ORDENES'!$AF587=$D$3),IF($F$3="(todos)",TRUE,'ORDENES'!$X587=$F$3),IF($H$3="(todos)",TRUE,'ORDENES'!$W587=$H$3),'ORDENES'!$AD587=TRUE,'ORDENES'!$A587&lt;&gt;""),1,0)</f>
        <v/>
      </c>
      <c r="L591" s="3">
        <f>IF(K591=1,IFERROR(MATCH('ORDENES'!$R587,lista_dias,0),9)*1000000000+IFERROR(MATCH('ORDENES'!$AF587,lista_turnos,0),9)*10000000+IFERROR(MATCH('ORDENES'!$AE587,'TECNICOS'!$B$4:$B$15,0),99)*100000+584,9000000000000+584)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IF('ORDENES'!$T587="preventiva",N591,0)</f>
        <v/>
      </c>
      <c r="P591" s="17">
        <f>IF('ORDENES'!$T587="correctiva",N591,0)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IF(AND(IF($B$3="(todos)",TRUE,'ORDENES'!$O588=$B$3),IF($D$3="(todos)",TRUE,'ORDENES'!$AF588=$D$3),IF($F$3="(todos)",TRUE,'ORDENES'!$X588=$F$3),IF($H$3="(todos)",TRUE,'ORDENES'!$W588=$H$3),'ORDENES'!$AD588=TRUE,'ORDENES'!$A588&lt;&gt;""),1,0)</f>
        <v/>
      </c>
      <c r="L592" s="3">
        <f>IF(K592=1,IFERROR(MATCH('ORDENES'!$R588,lista_dias,0),9)*1000000000+IFERROR(MATCH('ORDENES'!$AF588,lista_turnos,0),9)*10000000+IFERROR(MATCH('ORDENES'!$AE588,'TECNICOS'!$B$4:$B$15,0),99)*100000+585,9000000000000+585)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IF('ORDENES'!$T588="preventiva",N592,0)</f>
        <v/>
      </c>
      <c r="P592" s="17">
        <f>IF('ORDENES'!$T588="correctiva",N592,0)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IF(AND(IF($B$3="(todos)",TRUE,'ORDENES'!$O589=$B$3),IF($D$3="(todos)",TRUE,'ORDENES'!$AF589=$D$3),IF($F$3="(todos)",TRUE,'ORDENES'!$X589=$F$3),IF($H$3="(todos)",TRUE,'ORDENES'!$W589=$H$3),'ORDENES'!$AD589=TRUE,'ORDENES'!$A589&lt;&gt;""),1,0)</f>
        <v/>
      </c>
      <c r="L593" s="3">
        <f>IF(K593=1,IFERROR(MATCH('ORDENES'!$R589,lista_dias,0),9)*1000000000+IFERROR(MATCH('ORDENES'!$AF589,lista_turnos,0),9)*10000000+IFERROR(MATCH('ORDENES'!$AE589,'TECNICOS'!$B$4:$B$15,0),99)*100000+586,9000000000000+586)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IF('ORDENES'!$T589="preventiva",N593,0)</f>
        <v/>
      </c>
      <c r="P593" s="17">
        <f>IF('ORDENES'!$T589="correctiva",N593,0)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IF(AND(IF($B$3="(todos)",TRUE,'ORDENES'!$O590=$B$3),IF($D$3="(todos)",TRUE,'ORDENES'!$AF590=$D$3),IF($F$3="(todos)",TRUE,'ORDENES'!$X590=$F$3),IF($H$3="(todos)",TRUE,'ORDENES'!$W590=$H$3),'ORDENES'!$AD590=TRUE,'ORDENES'!$A590&lt;&gt;""),1,0)</f>
        <v/>
      </c>
      <c r="L594" s="3">
        <f>IF(K594=1,IFERROR(MATCH('ORDENES'!$R590,lista_dias,0),9)*1000000000+IFERROR(MATCH('ORDENES'!$AF590,lista_turnos,0),9)*10000000+IFERROR(MATCH('ORDENES'!$AE590,'TECNICOS'!$B$4:$B$15,0),99)*100000+587,9000000000000+587)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IF('ORDENES'!$T590="preventiva",N594,0)</f>
        <v/>
      </c>
      <c r="P594" s="17">
        <f>IF('ORDENES'!$T590="correctiva",N594,0)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IF(AND(IF($B$3="(todos)",TRUE,'ORDENES'!$O591=$B$3),IF($D$3="(todos)",TRUE,'ORDENES'!$AF591=$D$3),IF($F$3="(todos)",TRUE,'ORDENES'!$X591=$F$3),IF($H$3="(todos)",TRUE,'ORDENES'!$W591=$H$3),'ORDENES'!$AD591=TRUE,'ORDENES'!$A591&lt;&gt;""),1,0)</f>
        <v/>
      </c>
      <c r="L595" s="3">
        <f>IF(K595=1,IFERROR(MATCH('ORDENES'!$R591,lista_dias,0),9)*1000000000+IFERROR(MATCH('ORDENES'!$AF591,lista_turnos,0),9)*10000000+IFERROR(MATCH('ORDENES'!$AE591,'TECNICOS'!$B$4:$B$15,0),99)*100000+588,9000000000000+588)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IF('ORDENES'!$T591="preventiva",N595,0)</f>
        <v/>
      </c>
      <c r="P595" s="17">
        <f>IF('ORDENES'!$T591="correctiva",N595,0)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IF(AND(IF($B$3="(todos)",TRUE,'ORDENES'!$O592=$B$3),IF($D$3="(todos)",TRUE,'ORDENES'!$AF592=$D$3),IF($F$3="(todos)",TRUE,'ORDENES'!$X592=$F$3),IF($H$3="(todos)",TRUE,'ORDENES'!$W592=$H$3),'ORDENES'!$AD592=TRUE,'ORDENES'!$A592&lt;&gt;""),1,0)</f>
        <v/>
      </c>
      <c r="L596" s="3">
        <f>IF(K596=1,IFERROR(MATCH('ORDENES'!$R592,lista_dias,0),9)*1000000000+IFERROR(MATCH('ORDENES'!$AF592,lista_turnos,0),9)*10000000+IFERROR(MATCH('ORDENES'!$AE592,'TECNICOS'!$B$4:$B$15,0),99)*100000+589,9000000000000+589)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IF('ORDENES'!$T592="preventiva",N596,0)</f>
        <v/>
      </c>
      <c r="P596" s="17">
        <f>IF('ORDENES'!$T592="correctiva",N596,0)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IF(AND(IF($B$3="(todos)",TRUE,'ORDENES'!$O593=$B$3),IF($D$3="(todos)",TRUE,'ORDENES'!$AF593=$D$3),IF($F$3="(todos)",TRUE,'ORDENES'!$X593=$F$3),IF($H$3="(todos)",TRUE,'ORDENES'!$W593=$H$3),'ORDENES'!$AD593=TRUE,'ORDENES'!$A593&lt;&gt;""),1,0)</f>
        <v/>
      </c>
      <c r="L597" s="3">
        <f>IF(K597=1,IFERROR(MATCH('ORDENES'!$R593,lista_dias,0),9)*1000000000+IFERROR(MATCH('ORDENES'!$AF593,lista_turnos,0),9)*10000000+IFERROR(MATCH('ORDENES'!$AE593,'TECNICOS'!$B$4:$B$15,0),99)*100000+590,9000000000000+590)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IF('ORDENES'!$T593="preventiva",N597,0)</f>
        <v/>
      </c>
      <c r="P597" s="17">
        <f>IF('ORDENES'!$T593="correctiva",N597,0)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IF(AND(IF($B$3="(todos)",TRUE,'ORDENES'!$O594=$B$3),IF($D$3="(todos)",TRUE,'ORDENES'!$AF594=$D$3),IF($F$3="(todos)",TRUE,'ORDENES'!$X594=$F$3),IF($H$3="(todos)",TRUE,'ORDENES'!$W594=$H$3),'ORDENES'!$AD594=TRUE,'ORDENES'!$A594&lt;&gt;""),1,0)</f>
        <v/>
      </c>
      <c r="L598" s="3">
        <f>IF(K598=1,IFERROR(MATCH('ORDENES'!$R594,lista_dias,0),9)*1000000000+IFERROR(MATCH('ORDENES'!$AF594,lista_turnos,0),9)*10000000+IFERROR(MATCH('ORDENES'!$AE594,'TECNICOS'!$B$4:$B$15,0),99)*100000+591,9000000000000+591)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IF('ORDENES'!$T594="preventiva",N598,0)</f>
        <v/>
      </c>
      <c r="P598" s="17">
        <f>IF('ORDENES'!$T594="correctiva",N598,0)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IF(AND(IF($B$3="(todos)",TRUE,'ORDENES'!$O595=$B$3),IF($D$3="(todos)",TRUE,'ORDENES'!$AF595=$D$3),IF($F$3="(todos)",TRUE,'ORDENES'!$X595=$F$3),IF($H$3="(todos)",TRUE,'ORDENES'!$W595=$H$3),'ORDENES'!$AD595=TRUE,'ORDENES'!$A595&lt;&gt;""),1,0)</f>
        <v/>
      </c>
      <c r="L599" s="3">
        <f>IF(K599=1,IFERROR(MATCH('ORDENES'!$R595,lista_dias,0),9)*1000000000+IFERROR(MATCH('ORDENES'!$AF595,lista_turnos,0),9)*10000000+IFERROR(MATCH('ORDENES'!$AE595,'TECNICOS'!$B$4:$B$15,0),99)*100000+592,9000000000000+592)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IF('ORDENES'!$T595="preventiva",N599,0)</f>
        <v/>
      </c>
      <c r="P599" s="17">
        <f>IF('ORDENES'!$T595="correctiva",N599,0)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IF(AND(IF($B$3="(todos)",TRUE,'ORDENES'!$O596=$B$3),IF($D$3="(todos)",TRUE,'ORDENES'!$AF596=$D$3),IF($F$3="(todos)",TRUE,'ORDENES'!$X596=$F$3),IF($H$3="(todos)",TRUE,'ORDENES'!$W596=$H$3),'ORDENES'!$AD596=TRUE,'ORDENES'!$A596&lt;&gt;""),1,0)</f>
        <v/>
      </c>
      <c r="L600" s="3">
        <f>IF(K600=1,IFERROR(MATCH('ORDENES'!$R596,lista_dias,0),9)*1000000000+IFERROR(MATCH('ORDENES'!$AF596,lista_turnos,0),9)*10000000+IFERROR(MATCH('ORDENES'!$AE596,'TECNICOS'!$B$4:$B$15,0),99)*100000+593,9000000000000+593)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IF('ORDENES'!$T596="preventiva",N600,0)</f>
        <v/>
      </c>
      <c r="P600" s="17">
        <f>IF('ORDENES'!$T596="correctiva",N600,0)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IF(AND(IF($B$3="(todos)",TRUE,'ORDENES'!$O597=$B$3),IF($D$3="(todos)",TRUE,'ORDENES'!$AF597=$D$3),IF($F$3="(todos)",TRUE,'ORDENES'!$X597=$F$3),IF($H$3="(todos)",TRUE,'ORDENES'!$W597=$H$3),'ORDENES'!$AD597=TRUE,'ORDENES'!$A597&lt;&gt;""),1,0)</f>
        <v/>
      </c>
      <c r="L601" s="3">
        <f>IF(K601=1,IFERROR(MATCH('ORDENES'!$R597,lista_dias,0),9)*1000000000+IFERROR(MATCH('ORDENES'!$AF597,lista_turnos,0),9)*10000000+IFERROR(MATCH('ORDENES'!$AE597,'TECNICOS'!$B$4:$B$15,0),99)*100000+594,9000000000000+594)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IF('ORDENES'!$T597="preventiva",N601,0)</f>
        <v/>
      </c>
      <c r="P601" s="17">
        <f>IF('ORDENES'!$T597="correctiva",N601,0)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IF(AND(IF($B$3="(todos)",TRUE,'ORDENES'!$O598=$B$3),IF($D$3="(todos)",TRUE,'ORDENES'!$AF598=$D$3),IF($F$3="(todos)",TRUE,'ORDENES'!$X598=$F$3),IF($H$3="(todos)",TRUE,'ORDENES'!$W598=$H$3),'ORDENES'!$AD598=TRUE,'ORDENES'!$A598&lt;&gt;""),1,0)</f>
        <v/>
      </c>
      <c r="L602" s="3">
        <f>IF(K602=1,IFERROR(MATCH('ORDENES'!$R598,lista_dias,0),9)*1000000000+IFERROR(MATCH('ORDENES'!$AF598,lista_turnos,0),9)*10000000+IFERROR(MATCH('ORDENES'!$AE598,'TECNICOS'!$B$4:$B$15,0),99)*100000+595,9000000000000+595)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IF('ORDENES'!$T598="preventiva",N602,0)</f>
        <v/>
      </c>
      <c r="P602" s="17">
        <f>IF('ORDENES'!$T598="correctiva",N602,0)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IF(AND(IF($B$3="(todos)",TRUE,'ORDENES'!$O599=$B$3),IF($D$3="(todos)",TRUE,'ORDENES'!$AF599=$D$3),IF($F$3="(todos)",TRUE,'ORDENES'!$X599=$F$3),IF($H$3="(todos)",TRUE,'ORDENES'!$W599=$H$3),'ORDENES'!$AD599=TRUE,'ORDENES'!$A599&lt;&gt;""),1,0)</f>
        <v/>
      </c>
      <c r="L603" s="3">
        <f>IF(K603=1,IFERROR(MATCH('ORDENES'!$R599,lista_dias,0),9)*1000000000+IFERROR(MATCH('ORDENES'!$AF599,lista_turnos,0),9)*10000000+IFERROR(MATCH('ORDENES'!$AE599,'TECNICOS'!$B$4:$B$15,0),99)*100000+596,9000000000000+596)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IF('ORDENES'!$T599="preventiva",N603,0)</f>
        <v/>
      </c>
      <c r="P603" s="17">
        <f>IF('ORDENES'!$T599="correctiva",N603,0)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IF(AND(IF($B$3="(todos)",TRUE,'ORDENES'!$O600=$B$3),IF($D$3="(todos)",TRUE,'ORDENES'!$AF600=$D$3),IF($F$3="(todos)",TRUE,'ORDENES'!$X600=$F$3),IF($H$3="(todos)",TRUE,'ORDENES'!$W600=$H$3),'ORDENES'!$AD600=TRUE,'ORDENES'!$A600&lt;&gt;""),1,0)</f>
        <v/>
      </c>
      <c r="L604" s="3">
        <f>IF(K604=1,IFERROR(MATCH('ORDENES'!$R600,lista_dias,0),9)*1000000000+IFERROR(MATCH('ORDENES'!$AF600,lista_turnos,0),9)*10000000+IFERROR(MATCH('ORDENES'!$AE600,'TECNICOS'!$B$4:$B$15,0),99)*100000+597,9000000000000+597)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IF('ORDENES'!$T600="preventiva",N604,0)</f>
        <v/>
      </c>
      <c r="P604" s="17">
        <f>IF('ORDENES'!$T600="correctiva",N604,0)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IF(AND(IF($B$3="(todos)",TRUE,'ORDENES'!$O601=$B$3),IF($D$3="(todos)",TRUE,'ORDENES'!$AF601=$D$3),IF($F$3="(todos)",TRUE,'ORDENES'!$X601=$F$3),IF($H$3="(todos)",TRUE,'ORDENES'!$W601=$H$3),'ORDENES'!$AD601=TRUE,'ORDENES'!$A601&lt;&gt;""),1,0)</f>
        <v/>
      </c>
      <c r="L605" s="3">
        <f>IF(K605=1,IFERROR(MATCH('ORDENES'!$R601,lista_dias,0),9)*1000000000+IFERROR(MATCH('ORDENES'!$AF601,lista_turnos,0),9)*10000000+IFERROR(MATCH('ORDENES'!$AE601,'TECNICOS'!$B$4:$B$15,0),99)*100000+598,9000000000000+598)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IF('ORDENES'!$T601="preventiva",N605,0)</f>
        <v/>
      </c>
      <c r="P605" s="17">
        <f>IF('ORDENES'!$T601="correctiva",N605,0)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IF(AND(IF($B$3="(todos)",TRUE,'ORDENES'!$O602=$B$3),IF($D$3="(todos)",TRUE,'ORDENES'!$AF602=$D$3),IF($F$3="(todos)",TRUE,'ORDENES'!$X602=$F$3),IF($H$3="(todos)",TRUE,'ORDENES'!$W602=$H$3),'ORDENES'!$AD602=TRUE,'ORDENES'!$A602&lt;&gt;""),1,0)</f>
        <v/>
      </c>
      <c r="L606" s="3">
        <f>IF(K606=1,IFERROR(MATCH('ORDENES'!$R602,lista_dias,0),9)*1000000000+IFERROR(MATCH('ORDENES'!$AF602,lista_turnos,0),9)*10000000+IFERROR(MATCH('ORDENES'!$AE602,'TECNICOS'!$B$4:$B$15,0),99)*100000+599,9000000000000+599)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IF('ORDENES'!$T602="preventiva",N606,0)</f>
        <v/>
      </c>
      <c r="P606" s="17">
        <f>IF('ORDENES'!$T602="correctiva",N606,0)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IF(AND(IF($B$3="(todos)",TRUE,'ORDENES'!$O603=$B$3),IF($D$3="(todos)",TRUE,'ORDENES'!$AF603=$D$3),IF($F$3="(todos)",TRUE,'ORDENES'!$X603=$F$3),IF($H$3="(todos)",TRUE,'ORDENES'!$W603=$H$3),'ORDENES'!$AD603=TRUE,'ORDENES'!$A603&lt;&gt;""),1,0)</f>
        <v/>
      </c>
      <c r="L607" s="3">
        <f>IF(K607=1,IFERROR(MATCH('ORDENES'!$R603,lista_dias,0),9)*1000000000+IFERROR(MATCH('ORDENES'!$AF603,lista_turnos,0),9)*10000000+IFERROR(MATCH('ORDENES'!$AE603,'TECNICOS'!$B$4:$B$15,0),99)*100000+600,9000000000000+600)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IF('ORDENES'!$T603="preventiva",N607,0)</f>
        <v/>
      </c>
      <c r="P607" s="17">
        <f>IF('ORDENES'!$T603="correctiva",N607,0)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IF(AND(IF($B$3="(todos)",TRUE,'ORDENES'!$O604=$B$3),IF($D$3="(todos)",TRUE,'ORDENES'!$AF604=$D$3),IF($F$3="(todos)",TRUE,'ORDENES'!$X604=$F$3),IF($H$3="(todos)",TRUE,'ORDENES'!$W604=$H$3),'ORDENES'!$AD604=TRUE,'ORDENES'!$A604&lt;&gt;""),1,0)</f>
        <v/>
      </c>
      <c r="L608" s="3">
        <f>IF(K608=1,IFERROR(MATCH('ORDENES'!$R604,lista_dias,0),9)*1000000000+IFERROR(MATCH('ORDENES'!$AF604,lista_turnos,0),9)*10000000+IFERROR(MATCH('ORDENES'!$AE604,'TECNICOS'!$B$4:$B$15,0),99)*100000+601,9000000000000+601)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IF('ORDENES'!$T604="preventiva",N608,0)</f>
        <v/>
      </c>
      <c r="P608" s="17">
        <f>IF('ORDENES'!$T604="correctiva",N608,0)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IF(AND(IF($B$3="(todos)",TRUE,'ORDENES'!$O605=$B$3),IF($D$3="(todos)",TRUE,'ORDENES'!$AF605=$D$3),IF($F$3="(todos)",TRUE,'ORDENES'!$X605=$F$3),IF($H$3="(todos)",TRUE,'ORDENES'!$W605=$H$3),'ORDENES'!$AD605=TRUE,'ORDENES'!$A605&lt;&gt;""),1,0)</f>
        <v/>
      </c>
      <c r="L609" s="3">
        <f>IF(K609=1,IFERROR(MATCH('ORDENES'!$R605,lista_dias,0),9)*1000000000+IFERROR(MATCH('ORDENES'!$AF605,lista_turnos,0),9)*10000000+IFERROR(MATCH('ORDENES'!$AE605,'TECNICOS'!$B$4:$B$15,0),99)*100000+602,9000000000000+602)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IF('ORDENES'!$T605="preventiva",N609,0)</f>
        <v/>
      </c>
      <c r="P609" s="17">
        <f>IF('ORDENES'!$T605="correctiva",N609,0)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IF(AND(IF($B$3="(todos)",TRUE,'ORDENES'!$O606=$B$3),IF($D$3="(todos)",TRUE,'ORDENES'!$AF606=$D$3),IF($F$3="(todos)",TRUE,'ORDENES'!$X606=$F$3),IF($H$3="(todos)",TRUE,'ORDENES'!$W606=$H$3),'ORDENES'!$AD606=TRUE,'ORDENES'!$A606&lt;&gt;""),1,0)</f>
        <v/>
      </c>
      <c r="L610" s="3">
        <f>IF(K610=1,IFERROR(MATCH('ORDENES'!$R606,lista_dias,0),9)*1000000000+IFERROR(MATCH('ORDENES'!$AF606,lista_turnos,0),9)*10000000+IFERROR(MATCH('ORDENES'!$AE606,'TECNICOS'!$B$4:$B$15,0),99)*100000+603,9000000000000+603)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IF('ORDENES'!$T606="preventiva",N610,0)</f>
        <v/>
      </c>
      <c r="P610" s="17">
        <f>IF('ORDENES'!$T606="correctiva",N610,0)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IF(AND(IF($B$3="(todos)",TRUE,'ORDENES'!$O607=$B$3),IF($D$3="(todos)",TRUE,'ORDENES'!$AF607=$D$3),IF($F$3="(todos)",TRUE,'ORDENES'!$X607=$F$3),IF($H$3="(todos)",TRUE,'ORDENES'!$W607=$H$3),'ORDENES'!$AD607=TRUE,'ORDENES'!$A607&lt;&gt;""),1,0)</f>
        <v/>
      </c>
      <c r="L611" s="3">
        <f>IF(K611=1,IFERROR(MATCH('ORDENES'!$R607,lista_dias,0),9)*1000000000+IFERROR(MATCH('ORDENES'!$AF607,lista_turnos,0),9)*10000000+IFERROR(MATCH('ORDENES'!$AE607,'TECNICOS'!$B$4:$B$15,0),99)*100000+604,9000000000000+604)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IF('ORDENES'!$T607="preventiva",N611,0)</f>
        <v/>
      </c>
      <c r="P611" s="17">
        <f>IF('ORDENES'!$T607="correctiva",N611,0)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IF(AND(IF($B$3="(todos)",TRUE,'ORDENES'!$O608=$B$3),IF($D$3="(todos)",TRUE,'ORDENES'!$AF608=$D$3),IF($F$3="(todos)",TRUE,'ORDENES'!$X608=$F$3),IF($H$3="(todos)",TRUE,'ORDENES'!$W608=$H$3),'ORDENES'!$AD608=TRUE,'ORDENES'!$A608&lt;&gt;""),1,0)</f>
        <v/>
      </c>
      <c r="L612" s="3">
        <f>IF(K612=1,IFERROR(MATCH('ORDENES'!$R608,lista_dias,0),9)*1000000000+IFERROR(MATCH('ORDENES'!$AF608,lista_turnos,0),9)*10000000+IFERROR(MATCH('ORDENES'!$AE608,'TECNICOS'!$B$4:$B$15,0),99)*100000+605,9000000000000+605)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IF('ORDENES'!$T608="preventiva",N612,0)</f>
        <v/>
      </c>
      <c r="P612" s="17">
        <f>IF('ORDENES'!$T608="correctiva",N612,0)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IF(AND(IF($B$3="(todos)",TRUE,'ORDENES'!$O609=$B$3),IF($D$3="(todos)",TRUE,'ORDENES'!$AF609=$D$3),IF($F$3="(todos)",TRUE,'ORDENES'!$X609=$F$3),IF($H$3="(todos)",TRUE,'ORDENES'!$W609=$H$3),'ORDENES'!$AD609=TRUE,'ORDENES'!$A609&lt;&gt;""),1,0)</f>
        <v/>
      </c>
      <c r="L613" s="3">
        <f>IF(K613=1,IFERROR(MATCH('ORDENES'!$R609,lista_dias,0),9)*1000000000+IFERROR(MATCH('ORDENES'!$AF609,lista_turnos,0),9)*10000000+IFERROR(MATCH('ORDENES'!$AE609,'TECNICOS'!$B$4:$B$15,0),99)*100000+606,9000000000000+606)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IF('ORDENES'!$T609="preventiva",N613,0)</f>
        <v/>
      </c>
      <c r="P613" s="17">
        <f>IF('ORDENES'!$T609="correctiva",N613,0)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IF(AND(IF($B$3="(todos)",TRUE,'ORDENES'!$O610=$B$3),IF($D$3="(todos)",TRUE,'ORDENES'!$AF610=$D$3),IF($F$3="(todos)",TRUE,'ORDENES'!$X610=$F$3),IF($H$3="(todos)",TRUE,'ORDENES'!$W610=$H$3),'ORDENES'!$AD610=TRUE,'ORDENES'!$A610&lt;&gt;""),1,0)</f>
        <v/>
      </c>
      <c r="L614" s="3">
        <f>IF(K614=1,IFERROR(MATCH('ORDENES'!$R610,lista_dias,0),9)*1000000000+IFERROR(MATCH('ORDENES'!$AF610,lista_turnos,0),9)*10000000+IFERROR(MATCH('ORDENES'!$AE610,'TECNICOS'!$B$4:$B$15,0),99)*100000+607,9000000000000+607)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IF('ORDENES'!$T610="preventiva",N614,0)</f>
        <v/>
      </c>
      <c r="P614" s="17">
        <f>IF('ORDENES'!$T610="correctiva",N614,0)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IF(AND(IF($B$3="(todos)",TRUE,'ORDENES'!$O611=$B$3),IF($D$3="(todos)",TRUE,'ORDENES'!$AF611=$D$3),IF($F$3="(todos)",TRUE,'ORDENES'!$X611=$F$3),IF($H$3="(todos)",TRUE,'ORDENES'!$W611=$H$3),'ORDENES'!$AD611=TRUE,'ORDENES'!$A611&lt;&gt;""),1,0)</f>
        <v/>
      </c>
      <c r="L615" s="3">
        <f>IF(K615=1,IFERROR(MATCH('ORDENES'!$R611,lista_dias,0),9)*1000000000+IFERROR(MATCH('ORDENES'!$AF611,lista_turnos,0),9)*10000000+IFERROR(MATCH('ORDENES'!$AE611,'TECNICOS'!$B$4:$B$15,0),99)*100000+608,9000000000000+608)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IF('ORDENES'!$T611="preventiva",N615,0)</f>
        <v/>
      </c>
      <c r="P615" s="17">
        <f>IF('ORDENES'!$T611="correctiva",N615,0)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IF(AND(IF($B$3="(todos)",TRUE,'ORDENES'!$O612=$B$3),IF($D$3="(todos)",TRUE,'ORDENES'!$AF612=$D$3),IF($F$3="(todos)",TRUE,'ORDENES'!$X612=$F$3),IF($H$3="(todos)",TRUE,'ORDENES'!$W612=$H$3),'ORDENES'!$AD612=TRUE,'ORDENES'!$A612&lt;&gt;""),1,0)</f>
        <v/>
      </c>
      <c r="L616" s="3">
        <f>IF(K616=1,IFERROR(MATCH('ORDENES'!$R612,lista_dias,0),9)*1000000000+IFERROR(MATCH('ORDENES'!$AF612,lista_turnos,0),9)*10000000+IFERROR(MATCH('ORDENES'!$AE612,'TECNICOS'!$B$4:$B$15,0),99)*100000+609,9000000000000+609)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IF('ORDENES'!$T612="preventiva",N616,0)</f>
        <v/>
      </c>
      <c r="P616" s="17">
        <f>IF('ORDENES'!$T612="correctiva",N616,0)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IF(AND(IF($B$3="(todos)",TRUE,'ORDENES'!$O613=$B$3),IF($D$3="(todos)",TRUE,'ORDENES'!$AF613=$D$3),IF($F$3="(todos)",TRUE,'ORDENES'!$X613=$F$3),IF($H$3="(todos)",TRUE,'ORDENES'!$W613=$H$3),'ORDENES'!$AD613=TRUE,'ORDENES'!$A613&lt;&gt;""),1,0)</f>
        <v/>
      </c>
      <c r="L617" s="3">
        <f>IF(K617=1,IFERROR(MATCH('ORDENES'!$R613,lista_dias,0),9)*1000000000+IFERROR(MATCH('ORDENES'!$AF613,lista_turnos,0),9)*10000000+IFERROR(MATCH('ORDENES'!$AE613,'TECNICOS'!$B$4:$B$15,0),99)*100000+610,9000000000000+610)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IF('ORDENES'!$T613="preventiva",N617,0)</f>
        <v/>
      </c>
      <c r="P617" s="17">
        <f>IF('ORDENES'!$T613="correctiva",N617,0)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IF(AND(IF($B$3="(todos)",TRUE,'ORDENES'!$O614=$B$3),IF($D$3="(todos)",TRUE,'ORDENES'!$AF614=$D$3),IF($F$3="(todos)",TRUE,'ORDENES'!$X614=$F$3),IF($H$3="(todos)",TRUE,'ORDENES'!$W614=$H$3),'ORDENES'!$AD614=TRUE,'ORDENES'!$A614&lt;&gt;""),1,0)</f>
        <v/>
      </c>
      <c r="L618" s="3">
        <f>IF(K618=1,IFERROR(MATCH('ORDENES'!$R614,lista_dias,0),9)*1000000000+IFERROR(MATCH('ORDENES'!$AF614,lista_turnos,0),9)*10000000+IFERROR(MATCH('ORDENES'!$AE614,'TECNICOS'!$B$4:$B$15,0),99)*100000+611,9000000000000+611)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IF('ORDENES'!$T614="preventiva",N618,0)</f>
        <v/>
      </c>
      <c r="P618" s="17">
        <f>IF('ORDENES'!$T614="correctiva",N618,0)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IF(AND(IF($B$3="(todos)",TRUE,'ORDENES'!$O615=$B$3),IF($D$3="(todos)",TRUE,'ORDENES'!$AF615=$D$3),IF($F$3="(todos)",TRUE,'ORDENES'!$X615=$F$3),IF($H$3="(todos)",TRUE,'ORDENES'!$W615=$H$3),'ORDENES'!$AD615=TRUE,'ORDENES'!$A615&lt;&gt;""),1,0)</f>
        <v/>
      </c>
      <c r="L619" s="3">
        <f>IF(K619=1,IFERROR(MATCH('ORDENES'!$R615,lista_dias,0),9)*1000000000+IFERROR(MATCH('ORDENES'!$AF615,lista_turnos,0),9)*10000000+IFERROR(MATCH('ORDENES'!$AE615,'TECNICOS'!$B$4:$B$15,0),99)*100000+612,9000000000000+612)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IF('ORDENES'!$T615="preventiva",N619,0)</f>
        <v/>
      </c>
      <c r="P619" s="17">
        <f>IF('ORDENES'!$T615="correctiva",N619,0)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IF(AND(IF($B$3="(todos)",TRUE,'ORDENES'!$O616=$B$3),IF($D$3="(todos)",TRUE,'ORDENES'!$AF616=$D$3),IF($F$3="(todos)",TRUE,'ORDENES'!$X616=$F$3),IF($H$3="(todos)",TRUE,'ORDENES'!$W616=$H$3),'ORDENES'!$AD616=TRUE,'ORDENES'!$A616&lt;&gt;""),1,0)</f>
        <v/>
      </c>
      <c r="L620" s="3">
        <f>IF(K620=1,IFERROR(MATCH('ORDENES'!$R616,lista_dias,0),9)*1000000000+IFERROR(MATCH('ORDENES'!$AF616,lista_turnos,0),9)*10000000+IFERROR(MATCH('ORDENES'!$AE616,'TECNICOS'!$B$4:$B$15,0),99)*100000+613,9000000000000+613)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IF('ORDENES'!$T616="preventiva",N620,0)</f>
        <v/>
      </c>
      <c r="P620" s="17">
        <f>IF('ORDENES'!$T616="correctiva",N620,0)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IF(AND(IF($B$3="(todos)",TRUE,'ORDENES'!$O617=$B$3),IF($D$3="(todos)",TRUE,'ORDENES'!$AF617=$D$3),IF($F$3="(todos)",TRUE,'ORDENES'!$X617=$F$3),IF($H$3="(todos)",TRUE,'ORDENES'!$W617=$H$3),'ORDENES'!$AD617=TRUE,'ORDENES'!$A617&lt;&gt;""),1,0)</f>
        <v/>
      </c>
      <c r="L621" s="3">
        <f>IF(K621=1,IFERROR(MATCH('ORDENES'!$R617,lista_dias,0),9)*1000000000+IFERROR(MATCH('ORDENES'!$AF617,lista_turnos,0),9)*10000000+IFERROR(MATCH('ORDENES'!$AE617,'TECNICOS'!$B$4:$B$15,0),99)*100000+614,9000000000000+614)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IF('ORDENES'!$T617="preventiva",N621,0)</f>
        <v/>
      </c>
      <c r="P621" s="17">
        <f>IF('ORDENES'!$T617="correctiva",N621,0)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IF(AND(IF($B$3="(todos)",TRUE,'ORDENES'!$O618=$B$3),IF($D$3="(todos)",TRUE,'ORDENES'!$AF618=$D$3),IF($F$3="(todos)",TRUE,'ORDENES'!$X618=$F$3),IF($H$3="(todos)",TRUE,'ORDENES'!$W618=$H$3),'ORDENES'!$AD618=TRUE,'ORDENES'!$A618&lt;&gt;""),1,0)</f>
        <v/>
      </c>
      <c r="L622" s="3">
        <f>IF(K622=1,IFERROR(MATCH('ORDENES'!$R618,lista_dias,0),9)*1000000000+IFERROR(MATCH('ORDENES'!$AF618,lista_turnos,0),9)*10000000+IFERROR(MATCH('ORDENES'!$AE618,'TECNICOS'!$B$4:$B$15,0),99)*100000+615,9000000000000+615)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IF('ORDENES'!$T618="preventiva",N622,0)</f>
        <v/>
      </c>
      <c r="P622" s="17">
        <f>IF('ORDENES'!$T618="correctiva",N622,0)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IF(AND(IF($B$3="(todos)",TRUE,'ORDENES'!$O619=$B$3),IF($D$3="(todos)",TRUE,'ORDENES'!$AF619=$D$3),IF($F$3="(todos)",TRUE,'ORDENES'!$X619=$F$3),IF($H$3="(todos)",TRUE,'ORDENES'!$W619=$H$3),'ORDENES'!$AD619=TRUE,'ORDENES'!$A619&lt;&gt;""),1,0)</f>
        <v/>
      </c>
      <c r="L623" s="3">
        <f>IF(K623=1,IFERROR(MATCH('ORDENES'!$R619,lista_dias,0),9)*1000000000+IFERROR(MATCH('ORDENES'!$AF619,lista_turnos,0),9)*10000000+IFERROR(MATCH('ORDENES'!$AE619,'TECNICOS'!$B$4:$B$15,0),99)*100000+616,9000000000000+616)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IF('ORDENES'!$T619="preventiva",N623,0)</f>
        <v/>
      </c>
      <c r="P623" s="17">
        <f>IF('ORDENES'!$T619="correctiva",N623,0)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IF(AND(IF($B$3="(todos)",TRUE,'ORDENES'!$O620=$B$3),IF($D$3="(todos)",TRUE,'ORDENES'!$AF620=$D$3),IF($F$3="(todos)",TRUE,'ORDENES'!$X620=$F$3),IF($H$3="(todos)",TRUE,'ORDENES'!$W620=$H$3),'ORDENES'!$AD620=TRUE,'ORDENES'!$A620&lt;&gt;""),1,0)</f>
        <v/>
      </c>
      <c r="L624" s="3">
        <f>IF(K624=1,IFERROR(MATCH('ORDENES'!$R620,lista_dias,0),9)*1000000000+IFERROR(MATCH('ORDENES'!$AF620,lista_turnos,0),9)*10000000+IFERROR(MATCH('ORDENES'!$AE620,'TECNICOS'!$B$4:$B$15,0),99)*100000+617,9000000000000+617)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IF('ORDENES'!$T620="preventiva",N624,0)</f>
        <v/>
      </c>
      <c r="P624" s="17">
        <f>IF('ORDENES'!$T620="correctiva",N624,0)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IF(AND(IF($B$3="(todos)",TRUE,'ORDENES'!$O621=$B$3),IF($D$3="(todos)",TRUE,'ORDENES'!$AF621=$D$3),IF($F$3="(todos)",TRUE,'ORDENES'!$X621=$F$3),IF($H$3="(todos)",TRUE,'ORDENES'!$W621=$H$3),'ORDENES'!$AD621=TRUE,'ORDENES'!$A621&lt;&gt;""),1,0)</f>
        <v/>
      </c>
      <c r="L625" s="3">
        <f>IF(K625=1,IFERROR(MATCH('ORDENES'!$R621,lista_dias,0),9)*1000000000+IFERROR(MATCH('ORDENES'!$AF621,lista_turnos,0),9)*10000000+IFERROR(MATCH('ORDENES'!$AE621,'TECNICOS'!$B$4:$B$15,0),99)*100000+618,9000000000000+618)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IF('ORDENES'!$T621="preventiva",N625,0)</f>
        <v/>
      </c>
      <c r="P625" s="17">
        <f>IF('ORDENES'!$T621="correctiva",N625,0)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IF(AND(IF($B$3="(todos)",TRUE,'ORDENES'!$O622=$B$3),IF($D$3="(todos)",TRUE,'ORDENES'!$AF622=$D$3),IF($F$3="(todos)",TRUE,'ORDENES'!$X622=$F$3),IF($H$3="(todos)",TRUE,'ORDENES'!$W622=$H$3),'ORDENES'!$AD622=TRUE,'ORDENES'!$A622&lt;&gt;""),1,0)</f>
        <v/>
      </c>
      <c r="L626" s="3">
        <f>IF(K626=1,IFERROR(MATCH('ORDENES'!$R622,lista_dias,0),9)*1000000000+IFERROR(MATCH('ORDENES'!$AF622,lista_turnos,0),9)*10000000+IFERROR(MATCH('ORDENES'!$AE622,'TECNICOS'!$B$4:$B$15,0),99)*100000+619,9000000000000+619)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IF('ORDENES'!$T622="preventiva",N626,0)</f>
        <v/>
      </c>
      <c r="P626" s="17">
        <f>IF('ORDENES'!$T622="correctiva",N626,0)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IF(AND(IF($B$3="(todos)",TRUE,'ORDENES'!$O623=$B$3),IF($D$3="(todos)",TRUE,'ORDENES'!$AF623=$D$3),IF($F$3="(todos)",TRUE,'ORDENES'!$X623=$F$3),IF($H$3="(todos)",TRUE,'ORDENES'!$W623=$H$3),'ORDENES'!$AD623=TRUE,'ORDENES'!$A623&lt;&gt;""),1,0)</f>
        <v/>
      </c>
      <c r="L627" s="3">
        <f>IF(K627=1,IFERROR(MATCH('ORDENES'!$R623,lista_dias,0),9)*1000000000+IFERROR(MATCH('ORDENES'!$AF623,lista_turnos,0),9)*10000000+IFERROR(MATCH('ORDENES'!$AE623,'TECNICOS'!$B$4:$B$15,0),99)*100000+620,9000000000000+620)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IF('ORDENES'!$T623="preventiva",N627,0)</f>
        <v/>
      </c>
      <c r="P627" s="17">
        <f>IF('ORDENES'!$T623="correctiva",N627,0)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IF(AND(IF($B$3="(todos)",TRUE,'ORDENES'!$O624=$B$3),IF($D$3="(todos)",TRUE,'ORDENES'!$AF624=$D$3),IF($F$3="(todos)",TRUE,'ORDENES'!$X624=$F$3),IF($H$3="(todos)",TRUE,'ORDENES'!$W624=$H$3),'ORDENES'!$AD624=TRUE,'ORDENES'!$A624&lt;&gt;""),1,0)</f>
        <v/>
      </c>
      <c r="L628" s="3">
        <f>IF(K628=1,IFERROR(MATCH('ORDENES'!$R624,lista_dias,0),9)*1000000000+IFERROR(MATCH('ORDENES'!$AF624,lista_turnos,0),9)*10000000+IFERROR(MATCH('ORDENES'!$AE624,'TECNICOS'!$B$4:$B$15,0),99)*100000+621,9000000000000+621)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IF('ORDENES'!$T624="preventiva",N628,0)</f>
        <v/>
      </c>
      <c r="P628" s="17">
        <f>IF('ORDENES'!$T624="correctiva",N628,0)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IF(AND(IF($B$3="(todos)",TRUE,'ORDENES'!$O625=$B$3),IF($D$3="(todos)",TRUE,'ORDENES'!$AF625=$D$3),IF($F$3="(todos)",TRUE,'ORDENES'!$X625=$F$3),IF($H$3="(todos)",TRUE,'ORDENES'!$W625=$H$3),'ORDENES'!$AD625=TRUE,'ORDENES'!$A625&lt;&gt;""),1,0)</f>
        <v/>
      </c>
      <c r="L629" s="3">
        <f>IF(K629=1,IFERROR(MATCH('ORDENES'!$R625,lista_dias,0),9)*1000000000+IFERROR(MATCH('ORDENES'!$AF625,lista_turnos,0),9)*10000000+IFERROR(MATCH('ORDENES'!$AE625,'TECNICOS'!$B$4:$B$15,0),99)*100000+622,9000000000000+622)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IF('ORDENES'!$T625="preventiva",N629,0)</f>
        <v/>
      </c>
      <c r="P629" s="17">
        <f>IF('ORDENES'!$T625="correctiva",N629,0)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IF(AND(IF($B$3="(todos)",TRUE,'ORDENES'!$O626=$B$3),IF($D$3="(todos)",TRUE,'ORDENES'!$AF626=$D$3),IF($F$3="(todos)",TRUE,'ORDENES'!$X626=$F$3),IF($H$3="(todos)",TRUE,'ORDENES'!$W626=$H$3),'ORDENES'!$AD626=TRUE,'ORDENES'!$A626&lt;&gt;""),1,0)</f>
        <v/>
      </c>
      <c r="L630" s="3">
        <f>IF(K630=1,IFERROR(MATCH('ORDENES'!$R626,lista_dias,0),9)*1000000000+IFERROR(MATCH('ORDENES'!$AF626,lista_turnos,0),9)*10000000+IFERROR(MATCH('ORDENES'!$AE626,'TECNICOS'!$B$4:$B$15,0),99)*100000+623,9000000000000+623)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IF('ORDENES'!$T626="preventiva",N630,0)</f>
        <v/>
      </c>
      <c r="P630" s="17">
        <f>IF('ORDENES'!$T626="correctiva",N630,0)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IF(AND(IF($B$3="(todos)",TRUE,'ORDENES'!$O627=$B$3),IF($D$3="(todos)",TRUE,'ORDENES'!$AF627=$D$3),IF($F$3="(todos)",TRUE,'ORDENES'!$X627=$F$3),IF($H$3="(todos)",TRUE,'ORDENES'!$W627=$H$3),'ORDENES'!$AD627=TRUE,'ORDENES'!$A627&lt;&gt;""),1,0)</f>
        <v/>
      </c>
      <c r="L631" s="3">
        <f>IF(K631=1,IFERROR(MATCH('ORDENES'!$R627,lista_dias,0),9)*1000000000+IFERROR(MATCH('ORDENES'!$AF627,lista_turnos,0),9)*10000000+IFERROR(MATCH('ORDENES'!$AE627,'TECNICOS'!$B$4:$B$15,0),99)*100000+624,9000000000000+624)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IF('ORDENES'!$T627="preventiva",N631,0)</f>
        <v/>
      </c>
      <c r="P631" s="17">
        <f>IF('ORDENES'!$T627="correctiva",N631,0)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IF(AND(IF($B$3="(todos)",TRUE,'ORDENES'!$O628=$B$3),IF($D$3="(todos)",TRUE,'ORDENES'!$AF628=$D$3),IF($F$3="(todos)",TRUE,'ORDENES'!$X628=$F$3),IF($H$3="(todos)",TRUE,'ORDENES'!$W628=$H$3),'ORDENES'!$AD628=TRUE,'ORDENES'!$A628&lt;&gt;""),1,0)</f>
        <v/>
      </c>
      <c r="L632" s="3">
        <f>IF(K632=1,IFERROR(MATCH('ORDENES'!$R628,lista_dias,0),9)*1000000000+IFERROR(MATCH('ORDENES'!$AF628,lista_turnos,0),9)*10000000+IFERROR(MATCH('ORDENES'!$AE628,'TECNICOS'!$B$4:$B$15,0),99)*100000+625,9000000000000+625)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IF('ORDENES'!$T628="preventiva",N632,0)</f>
        <v/>
      </c>
      <c r="P632" s="17">
        <f>IF('ORDENES'!$T628="correctiva",N632,0)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IF(AND(IF($B$3="(todos)",TRUE,'ORDENES'!$O629=$B$3),IF($D$3="(todos)",TRUE,'ORDENES'!$AF629=$D$3),IF($F$3="(todos)",TRUE,'ORDENES'!$X629=$F$3),IF($H$3="(todos)",TRUE,'ORDENES'!$W629=$H$3),'ORDENES'!$AD629=TRUE,'ORDENES'!$A629&lt;&gt;""),1,0)</f>
        <v/>
      </c>
      <c r="L633" s="3">
        <f>IF(K633=1,IFERROR(MATCH('ORDENES'!$R629,lista_dias,0),9)*1000000000+IFERROR(MATCH('ORDENES'!$AF629,lista_turnos,0),9)*10000000+IFERROR(MATCH('ORDENES'!$AE629,'TECNICOS'!$B$4:$B$15,0),99)*100000+626,9000000000000+626)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IF('ORDENES'!$T629="preventiva",N633,0)</f>
        <v/>
      </c>
      <c r="P633" s="17">
        <f>IF('ORDENES'!$T629="correctiva",N633,0)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IF(AND(IF($B$3="(todos)",TRUE,'ORDENES'!$O630=$B$3),IF($D$3="(todos)",TRUE,'ORDENES'!$AF630=$D$3),IF($F$3="(todos)",TRUE,'ORDENES'!$X630=$F$3),IF($H$3="(todos)",TRUE,'ORDENES'!$W630=$H$3),'ORDENES'!$AD630=TRUE,'ORDENES'!$A630&lt;&gt;""),1,0)</f>
        <v/>
      </c>
      <c r="L634" s="3">
        <f>IF(K634=1,IFERROR(MATCH('ORDENES'!$R630,lista_dias,0),9)*1000000000+IFERROR(MATCH('ORDENES'!$AF630,lista_turnos,0),9)*10000000+IFERROR(MATCH('ORDENES'!$AE630,'TECNICOS'!$B$4:$B$15,0),99)*100000+627,9000000000000+627)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IF('ORDENES'!$T630="preventiva",N634,0)</f>
        <v/>
      </c>
      <c r="P634" s="17">
        <f>IF('ORDENES'!$T630="correctiva",N634,0)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IF(AND(IF($B$3="(todos)",TRUE,'ORDENES'!$O631=$B$3),IF($D$3="(todos)",TRUE,'ORDENES'!$AF631=$D$3),IF($F$3="(todos)",TRUE,'ORDENES'!$X631=$F$3),IF($H$3="(todos)",TRUE,'ORDENES'!$W631=$H$3),'ORDENES'!$AD631=TRUE,'ORDENES'!$A631&lt;&gt;""),1,0)</f>
        <v/>
      </c>
      <c r="L635" s="3">
        <f>IF(K635=1,IFERROR(MATCH('ORDENES'!$R631,lista_dias,0),9)*1000000000+IFERROR(MATCH('ORDENES'!$AF631,lista_turnos,0),9)*10000000+IFERROR(MATCH('ORDENES'!$AE631,'TECNICOS'!$B$4:$B$15,0),99)*100000+628,9000000000000+628)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IF('ORDENES'!$T631="preventiva",N635,0)</f>
        <v/>
      </c>
      <c r="P635" s="17">
        <f>IF('ORDENES'!$T631="correctiva",N635,0)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IF(AND(IF($B$3="(todos)",TRUE,'ORDENES'!$O632=$B$3),IF($D$3="(todos)",TRUE,'ORDENES'!$AF632=$D$3),IF($F$3="(todos)",TRUE,'ORDENES'!$X632=$F$3),IF($H$3="(todos)",TRUE,'ORDENES'!$W632=$H$3),'ORDENES'!$AD632=TRUE,'ORDENES'!$A632&lt;&gt;""),1,0)</f>
        <v/>
      </c>
      <c r="L636" s="3">
        <f>IF(K636=1,IFERROR(MATCH('ORDENES'!$R632,lista_dias,0),9)*1000000000+IFERROR(MATCH('ORDENES'!$AF632,lista_turnos,0),9)*10000000+IFERROR(MATCH('ORDENES'!$AE632,'TECNICOS'!$B$4:$B$15,0),99)*100000+629,9000000000000+629)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IF('ORDENES'!$T632="preventiva",N636,0)</f>
        <v/>
      </c>
      <c r="P636" s="17">
        <f>IF('ORDENES'!$T632="correctiva",N636,0)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IF(AND(IF($B$3="(todos)",TRUE,'ORDENES'!$O633=$B$3),IF($D$3="(todos)",TRUE,'ORDENES'!$AF633=$D$3),IF($F$3="(todos)",TRUE,'ORDENES'!$X633=$F$3),IF($H$3="(todos)",TRUE,'ORDENES'!$W633=$H$3),'ORDENES'!$AD633=TRUE,'ORDENES'!$A633&lt;&gt;""),1,0)</f>
        <v/>
      </c>
      <c r="L637" s="3">
        <f>IF(K637=1,IFERROR(MATCH('ORDENES'!$R633,lista_dias,0),9)*1000000000+IFERROR(MATCH('ORDENES'!$AF633,lista_turnos,0),9)*10000000+IFERROR(MATCH('ORDENES'!$AE633,'TECNICOS'!$B$4:$B$15,0),99)*100000+630,9000000000000+630)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IF('ORDENES'!$T633="preventiva",N637,0)</f>
        <v/>
      </c>
      <c r="P637" s="17">
        <f>IF('ORDENES'!$T633="correctiva",N637,0)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IF(AND(IF($B$3="(todos)",TRUE,'ORDENES'!$O634=$B$3),IF($D$3="(todos)",TRUE,'ORDENES'!$AF634=$D$3),IF($F$3="(todos)",TRUE,'ORDENES'!$X634=$F$3),IF($H$3="(todos)",TRUE,'ORDENES'!$W634=$H$3),'ORDENES'!$AD634=TRUE,'ORDENES'!$A634&lt;&gt;""),1,0)</f>
        <v/>
      </c>
      <c r="L638" s="3">
        <f>IF(K638=1,IFERROR(MATCH('ORDENES'!$R634,lista_dias,0),9)*1000000000+IFERROR(MATCH('ORDENES'!$AF634,lista_turnos,0),9)*10000000+IFERROR(MATCH('ORDENES'!$AE634,'TECNICOS'!$B$4:$B$15,0),99)*100000+631,9000000000000+631)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IF('ORDENES'!$T634="preventiva",N638,0)</f>
        <v/>
      </c>
      <c r="P638" s="17">
        <f>IF('ORDENES'!$T634="correctiva",N638,0)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IF(AND(IF($B$3="(todos)",TRUE,'ORDENES'!$O635=$B$3),IF($D$3="(todos)",TRUE,'ORDENES'!$AF635=$D$3),IF($F$3="(todos)",TRUE,'ORDENES'!$X635=$F$3),IF($H$3="(todos)",TRUE,'ORDENES'!$W635=$H$3),'ORDENES'!$AD635=TRUE,'ORDENES'!$A635&lt;&gt;""),1,0)</f>
        <v/>
      </c>
      <c r="L639" s="3">
        <f>IF(K639=1,IFERROR(MATCH('ORDENES'!$R635,lista_dias,0),9)*1000000000+IFERROR(MATCH('ORDENES'!$AF635,lista_turnos,0),9)*10000000+IFERROR(MATCH('ORDENES'!$AE635,'TECNICOS'!$B$4:$B$15,0),99)*100000+632,9000000000000+632)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IF('ORDENES'!$T635="preventiva",N639,0)</f>
        <v/>
      </c>
      <c r="P639" s="17">
        <f>IF('ORDENES'!$T635="correctiva",N639,0)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IF(AND(IF($B$3="(todos)",TRUE,'ORDENES'!$O636=$B$3),IF($D$3="(todos)",TRUE,'ORDENES'!$AF636=$D$3),IF($F$3="(todos)",TRUE,'ORDENES'!$X636=$F$3),IF($H$3="(todos)",TRUE,'ORDENES'!$W636=$H$3),'ORDENES'!$AD636=TRUE,'ORDENES'!$A636&lt;&gt;""),1,0)</f>
        <v/>
      </c>
      <c r="L640" s="3">
        <f>IF(K640=1,IFERROR(MATCH('ORDENES'!$R636,lista_dias,0),9)*1000000000+IFERROR(MATCH('ORDENES'!$AF636,lista_turnos,0),9)*10000000+IFERROR(MATCH('ORDENES'!$AE636,'TECNICOS'!$B$4:$B$15,0),99)*100000+633,9000000000000+633)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IF('ORDENES'!$T636="preventiva",N640,0)</f>
        <v/>
      </c>
      <c r="P640" s="17">
        <f>IF('ORDENES'!$T636="correctiva",N640,0)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IF(AND(IF($B$3="(todos)",TRUE,'ORDENES'!$O637=$B$3),IF($D$3="(todos)",TRUE,'ORDENES'!$AF637=$D$3),IF($F$3="(todos)",TRUE,'ORDENES'!$X637=$F$3),IF($H$3="(todos)",TRUE,'ORDENES'!$W637=$H$3),'ORDENES'!$AD637=TRUE,'ORDENES'!$A637&lt;&gt;""),1,0)</f>
        <v/>
      </c>
      <c r="L641" s="3">
        <f>IF(K641=1,IFERROR(MATCH('ORDENES'!$R637,lista_dias,0),9)*1000000000+IFERROR(MATCH('ORDENES'!$AF637,lista_turnos,0),9)*10000000+IFERROR(MATCH('ORDENES'!$AE637,'TECNICOS'!$B$4:$B$15,0),99)*100000+634,9000000000000+634)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IF('ORDENES'!$T637="preventiva",N641,0)</f>
        <v/>
      </c>
      <c r="P641" s="17">
        <f>IF('ORDENES'!$T637="correctiva",N641,0)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IF(AND(IF($B$3="(todos)",TRUE,'ORDENES'!$O638=$B$3),IF($D$3="(todos)",TRUE,'ORDENES'!$AF638=$D$3),IF($F$3="(todos)",TRUE,'ORDENES'!$X638=$F$3),IF($H$3="(todos)",TRUE,'ORDENES'!$W638=$H$3),'ORDENES'!$AD638=TRUE,'ORDENES'!$A638&lt;&gt;""),1,0)</f>
        <v/>
      </c>
      <c r="L642" s="3">
        <f>IF(K642=1,IFERROR(MATCH('ORDENES'!$R638,lista_dias,0),9)*1000000000+IFERROR(MATCH('ORDENES'!$AF638,lista_turnos,0),9)*10000000+IFERROR(MATCH('ORDENES'!$AE638,'TECNICOS'!$B$4:$B$15,0),99)*100000+635,9000000000000+635)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IF('ORDENES'!$T638="preventiva",N642,0)</f>
        <v/>
      </c>
      <c r="P642" s="17">
        <f>IF('ORDENES'!$T638="correctiva",N642,0)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IF(AND(IF($B$3="(todos)",TRUE,'ORDENES'!$O639=$B$3),IF($D$3="(todos)",TRUE,'ORDENES'!$AF639=$D$3),IF($F$3="(todos)",TRUE,'ORDENES'!$X639=$F$3),IF($H$3="(todos)",TRUE,'ORDENES'!$W639=$H$3),'ORDENES'!$AD639=TRUE,'ORDENES'!$A639&lt;&gt;""),1,0)</f>
        <v/>
      </c>
      <c r="L643" s="3">
        <f>IF(K643=1,IFERROR(MATCH('ORDENES'!$R639,lista_dias,0),9)*1000000000+IFERROR(MATCH('ORDENES'!$AF639,lista_turnos,0),9)*10000000+IFERROR(MATCH('ORDENES'!$AE639,'TECNICOS'!$B$4:$B$15,0),99)*100000+636,9000000000000+636)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IF('ORDENES'!$T639="preventiva",N643,0)</f>
        <v/>
      </c>
      <c r="P643" s="17">
        <f>IF('ORDENES'!$T639="correctiva",N643,0)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IF(AND(IF($B$3="(todos)",TRUE,'ORDENES'!$O640=$B$3),IF($D$3="(todos)",TRUE,'ORDENES'!$AF640=$D$3),IF($F$3="(todos)",TRUE,'ORDENES'!$X640=$F$3),IF($H$3="(todos)",TRUE,'ORDENES'!$W640=$H$3),'ORDENES'!$AD640=TRUE,'ORDENES'!$A640&lt;&gt;""),1,0)</f>
        <v/>
      </c>
      <c r="L644" s="3">
        <f>IF(K644=1,IFERROR(MATCH('ORDENES'!$R640,lista_dias,0),9)*1000000000+IFERROR(MATCH('ORDENES'!$AF640,lista_turnos,0),9)*10000000+IFERROR(MATCH('ORDENES'!$AE640,'TECNICOS'!$B$4:$B$15,0),99)*100000+637,9000000000000+637)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IF('ORDENES'!$T640="preventiva",N644,0)</f>
        <v/>
      </c>
      <c r="P644" s="17">
        <f>IF('ORDENES'!$T640="correctiva",N644,0)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IF(AND(IF($B$3="(todos)",TRUE,'ORDENES'!$O641=$B$3),IF($D$3="(todos)",TRUE,'ORDENES'!$AF641=$D$3),IF($F$3="(todos)",TRUE,'ORDENES'!$X641=$F$3),IF($H$3="(todos)",TRUE,'ORDENES'!$W641=$H$3),'ORDENES'!$AD641=TRUE,'ORDENES'!$A641&lt;&gt;""),1,0)</f>
        <v/>
      </c>
      <c r="L645" s="3">
        <f>IF(K645=1,IFERROR(MATCH('ORDENES'!$R641,lista_dias,0),9)*1000000000+IFERROR(MATCH('ORDENES'!$AF641,lista_turnos,0),9)*10000000+IFERROR(MATCH('ORDENES'!$AE641,'TECNICOS'!$B$4:$B$15,0),99)*100000+638,9000000000000+638)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IF('ORDENES'!$T641="preventiva",N645,0)</f>
        <v/>
      </c>
      <c r="P645" s="17">
        <f>IF('ORDENES'!$T641="correctiva",N645,0)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IF(AND(IF($B$3="(todos)",TRUE,'ORDENES'!$O642=$B$3),IF($D$3="(todos)",TRUE,'ORDENES'!$AF642=$D$3),IF($F$3="(todos)",TRUE,'ORDENES'!$X642=$F$3),IF($H$3="(todos)",TRUE,'ORDENES'!$W642=$H$3),'ORDENES'!$AD642=TRUE,'ORDENES'!$A642&lt;&gt;""),1,0)</f>
        <v/>
      </c>
      <c r="L646" s="3">
        <f>IF(K646=1,IFERROR(MATCH('ORDENES'!$R642,lista_dias,0),9)*1000000000+IFERROR(MATCH('ORDENES'!$AF642,lista_turnos,0),9)*10000000+IFERROR(MATCH('ORDENES'!$AE642,'TECNICOS'!$B$4:$B$15,0),99)*100000+639,9000000000000+639)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IF('ORDENES'!$T642="preventiva",N646,0)</f>
        <v/>
      </c>
      <c r="P646" s="17">
        <f>IF('ORDENES'!$T642="correctiva",N646,0)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IF(AND(IF($B$3="(todos)",TRUE,'ORDENES'!$O643=$B$3),IF($D$3="(todos)",TRUE,'ORDENES'!$AF643=$D$3),IF($F$3="(todos)",TRUE,'ORDENES'!$X643=$F$3),IF($H$3="(todos)",TRUE,'ORDENES'!$W643=$H$3),'ORDENES'!$AD643=TRUE,'ORDENES'!$A643&lt;&gt;""),1,0)</f>
        <v/>
      </c>
      <c r="L647" s="3">
        <f>IF(K647=1,IFERROR(MATCH('ORDENES'!$R643,lista_dias,0),9)*1000000000+IFERROR(MATCH('ORDENES'!$AF643,lista_turnos,0),9)*10000000+IFERROR(MATCH('ORDENES'!$AE643,'TECNICOS'!$B$4:$B$15,0),99)*100000+640,9000000000000+640)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IF('ORDENES'!$T643="preventiva",N647,0)</f>
        <v/>
      </c>
      <c r="P647" s="17">
        <f>IF('ORDENES'!$T643="correctiva",N647,0)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IF(AND(IF($B$3="(todos)",TRUE,'ORDENES'!$O644=$B$3),IF($D$3="(todos)",TRUE,'ORDENES'!$AF644=$D$3),IF($F$3="(todos)",TRUE,'ORDENES'!$X644=$F$3),IF($H$3="(todos)",TRUE,'ORDENES'!$W644=$H$3),'ORDENES'!$AD644=TRUE,'ORDENES'!$A644&lt;&gt;""),1,0)</f>
        <v/>
      </c>
      <c r="L648" s="3">
        <f>IF(K648=1,IFERROR(MATCH('ORDENES'!$R644,lista_dias,0),9)*1000000000+IFERROR(MATCH('ORDENES'!$AF644,lista_turnos,0),9)*10000000+IFERROR(MATCH('ORDENES'!$AE644,'TECNICOS'!$B$4:$B$15,0),99)*100000+641,9000000000000+641)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IF('ORDENES'!$T644="preventiva",N648,0)</f>
        <v/>
      </c>
      <c r="P648" s="17">
        <f>IF('ORDENES'!$T644="correctiva",N648,0)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IF(AND(IF($B$3="(todos)",TRUE,'ORDENES'!$O645=$B$3),IF($D$3="(todos)",TRUE,'ORDENES'!$AF645=$D$3),IF($F$3="(todos)",TRUE,'ORDENES'!$X645=$F$3),IF($H$3="(todos)",TRUE,'ORDENES'!$W645=$H$3),'ORDENES'!$AD645=TRUE,'ORDENES'!$A645&lt;&gt;""),1,0)</f>
        <v/>
      </c>
      <c r="L649" s="3">
        <f>IF(K649=1,IFERROR(MATCH('ORDENES'!$R645,lista_dias,0),9)*1000000000+IFERROR(MATCH('ORDENES'!$AF645,lista_turnos,0),9)*10000000+IFERROR(MATCH('ORDENES'!$AE645,'TECNICOS'!$B$4:$B$15,0),99)*100000+642,9000000000000+642)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IF('ORDENES'!$T645="preventiva",N649,0)</f>
        <v/>
      </c>
      <c r="P649" s="17">
        <f>IF('ORDENES'!$T645="correctiva",N649,0)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IF(AND(IF($B$3="(todos)",TRUE,'ORDENES'!$O646=$B$3),IF($D$3="(todos)",TRUE,'ORDENES'!$AF646=$D$3),IF($F$3="(todos)",TRUE,'ORDENES'!$X646=$F$3),IF($H$3="(todos)",TRUE,'ORDENES'!$W646=$H$3),'ORDENES'!$AD646=TRUE,'ORDENES'!$A646&lt;&gt;""),1,0)</f>
        <v/>
      </c>
      <c r="L650" s="3">
        <f>IF(K650=1,IFERROR(MATCH('ORDENES'!$R646,lista_dias,0),9)*1000000000+IFERROR(MATCH('ORDENES'!$AF646,lista_turnos,0),9)*10000000+IFERROR(MATCH('ORDENES'!$AE646,'TECNICOS'!$B$4:$B$15,0),99)*100000+643,9000000000000+643)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IF('ORDENES'!$T646="preventiva",N650,0)</f>
        <v/>
      </c>
      <c r="P650" s="17">
        <f>IF('ORDENES'!$T646="correctiva",N650,0)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IF(AND(IF($B$3="(todos)",TRUE,'ORDENES'!$O647=$B$3),IF($D$3="(todos)",TRUE,'ORDENES'!$AF647=$D$3),IF($F$3="(todos)",TRUE,'ORDENES'!$X647=$F$3),IF($H$3="(todos)",TRUE,'ORDENES'!$W647=$H$3),'ORDENES'!$AD647=TRUE,'ORDENES'!$A647&lt;&gt;""),1,0)</f>
        <v/>
      </c>
      <c r="L651" s="3">
        <f>IF(K651=1,IFERROR(MATCH('ORDENES'!$R647,lista_dias,0),9)*1000000000+IFERROR(MATCH('ORDENES'!$AF647,lista_turnos,0),9)*10000000+IFERROR(MATCH('ORDENES'!$AE647,'TECNICOS'!$B$4:$B$15,0),99)*100000+644,9000000000000+644)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IF('ORDENES'!$T647="preventiva",N651,0)</f>
        <v/>
      </c>
      <c r="P651" s="17">
        <f>IF('ORDENES'!$T647="correctiva",N651,0)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IF(AND(IF($B$3="(todos)",TRUE,'ORDENES'!$O648=$B$3),IF($D$3="(todos)",TRUE,'ORDENES'!$AF648=$D$3),IF($F$3="(todos)",TRUE,'ORDENES'!$X648=$F$3),IF($H$3="(todos)",TRUE,'ORDENES'!$W648=$H$3),'ORDENES'!$AD648=TRUE,'ORDENES'!$A648&lt;&gt;""),1,0)</f>
        <v/>
      </c>
      <c r="L652" s="3">
        <f>IF(K652=1,IFERROR(MATCH('ORDENES'!$R648,lista_dias,0),9)*1000000000+IFERROR(MATCH('ORDENES'!$AF648,lista_turnos,0),9)*10000000+IFERROR(MATCH('ORDENES'!$AE648,'TECNICOS'!$B$4:$B$15,0),99)*100000+645,9000000000000+645)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IF('ORDENES'!$T648="preventiva",N652,0)</f>
        <v/>
      </c>
      <c r="P652" s="17">
        <f>IF('ORDENES'!$T648="correctiva",N652,0)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IF(AND(IF($B$3="(todos)",TRUE,'ORDENES'!$O649=$B$3),IF($D$3="(todos)",TRUE,'ORDENES'!$AF649=$D$3),IF($F$3="(todos)",TRUE,'ORDENES'!$X649=$F$3),IF($H$3="(todos)",TRUE,'ORDENES'!$W649=$H$3),'ORDENES'!$AD649=TRUE,'ORDENES'!$A649&lt;&gt;""),1,0)</f>
        <v/>
      </c>
      <c r="L653" s="3">
        <f>IF(K653=1,IFERROR(MATCH('ORDENES'!$R649,lista_dias,0),9)*1000000000+IFERROR(MATCH('ORDENES'!$AF649,lista_turnos,0),9)*10000000+IFERROR(MATCH('ORDENES'!$AE649,'TECNICOS'!$B$4:$B$15,0),99)*100000+646,9000000000000+646)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IF('ORDENES'!$T649="preventiva",N653,0)</f>
        <v/>
      </c>
      <c r="P653" s="17">
        <f>IF('ORDENES'!$T649="correctiva",N653,0)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IF(AND(IF($B$3="(todos)",TRUE,'ORDENES'!$O650=$B$3),IF($D$3="(todos)",TRUE,'ORDENES'!$AF650=$D$3),IF($F$3="(todos)",TRUE,'ORDENES'!$X650=$F$3),IF($H$3="(todos)",TRUE,'ORDENES'!$W650=$H$3),'ORDENES'!$AD650=TRUE,'ORDENES'!$A650&lt;&gt;""),1,0)</f>
        <v/>
      </c>
      <c r="L654" s="3">
        <f>IF(K654=1,IFERROR(MATCH('ORDENES'!$R650,lista_dias,0),9)*1000000000+IFERROR(MATCH('ORDENES'!$AF650,lista_turnos,0),9)*10000000+IFERROR(MATCH('ORDENES'!$AE650,'TECNICOS'!$B$4:$B$15,0),99)*100000+647,9000000000000+647)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IF('ORDENES'!$T650="preventiva",N654,0)</f>
        <v/>
      </c>
      <c r="P654" s="17">
        <f>IF('ORDENES'!$T650="correctiva",N654,0)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IF(AND(IF($B$3="(todos)",TRUE,'ORDENES'!$O651=$B$3),IF($D$3="(todos)",TRUE,'ORDENES'!$AF651=$D$3),IF($F$3="(todos)",TRUE,'ORDENES'!$X651=$F$3),IF($H$3="(todos)",TRUE,'ORDENES'!$W651=$H$3),'ORDENES'!$AD651=TRUE,'ORDENES'!$A651&lt;&gt;""),1,0)</f>
        <v/>
      </c>
      <c r="L655" s="3">
        <f>IF(K655=1,IFERROR(MATCH('ORDENES'!$R651,lista_dias,0),9)*1000000000+IFERROR(MATCH('ORDENES'!$AF651,lista_turnos,0),9)*10000000+IFERROR(MATCH('ORDENES'!$AE651,'TECNICOS'!$B$4:$B$15,0),99)*100000+648,9000000000000+648)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IF('ORDENES'!$T651="preventiva",N655,0)</f>
        <v/>
      </c>
      <c r="P655" s="17">
        <f>IF('ORDENES'!$T651="correctiva",N655,0)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IF(AND(IF($B$3="(todos)",TRUE,'ORDENES'!$O652=$B$3),IF($D$3="(todos)",TRUE,'ORDENES'!$AF652=$D$3),IF($F$3="(todos)",TRUE,'ORDENES'!$X652=$F$3),IF($H$3="(todos)",TRUE,'ORDENES'!$W652=$H$3),'ORDENES'!$AD652=TRUE,'ORDENES'!$A652&lt;&gt;""),1,0)</f>
        <v/>
      </c>
      <c r="L656" s="3">
        <f>IF(K656=1,IFERROR(MATCH('ORDENES'!$R652,lista_dias,0),9)*1000000000+IFERROR(MATCH('ORDENES'!$AF652,lista_turnos,0),9)*10000000+IFERROR(MATCH('ORDENES'!$AE652,'TECNICOS'!$B$4:$B$15,0),99)*100000+649,9000000000000+649)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IF('ORDENES'!$T652="preventiva",N656,0)</f>
        <v/>
      </c>
      <c r="P656" s="17">
        <f>IF('ORDENES'!$T652="correctiva",N656,0)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IF(AND(IF($B$3="(todos)",TRUE,'ORDENES'!$O653=$B$3),IF($D$3="(todos)",TRUE,'ORDENES'!$AF653=$D$3),IF($F$3="(todos)",TRUE,'ORDENES'!$X653=$F$3),IF($H$3="(todos)",TRUE,'ORDENES'!$W653=$H$3),'ORDENES'!$AD653=TRUE,'ORDENES'!$A653&lt;&gt;""),1,0)</f>
        <v/>
      </c>
      <c r="L657" s="3">
        <f>IF(K657=1,IFERROR(MATCH('ORDENES'!$R653,lista_dias,0),9)*1000000000+IFERROR(MATCH('ORDENES'!$AF653,lista_turnos,0),9)*10000000+IFERROR(MATCH('ORDENES'!$AE653,'TECNICOS'!$B$4:$B$15,0),99)*100000+650,9000000000000+650)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IF('ORDENES'!$T653="preventiva",N657,0)</f>
        <v/>
      </c>
      <c r="P657" s="17">
        <f>IF('ORDENES'!$T653="correctiva",N657,0)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IF(AND(IF($B$3="(todos)",TRUE,'ORDENES'!$O654=$B$3),IF($D$3="(todos)",TRUE,'ORDENES'!$AF654=$D$3),IF($F$3="(todos)",TRUE,'ORDENES'!$X654=$F$3),IF($H$3="(todos)",TRUE,'ORDENES'!$W654=$H$3),'ORDENES'!$AD654=TRUE,'ORDENES'!$A654&lt;&gt;""),1,0)</f>
        <v/>
      </c>
      <c r="L658" s="3">
        <f>IF(K658=1,IFERROR(MATCH('ORDENES'!$R654,lista_dias,0),9)*1000000000+IFERROR(MATCH('ORDENES'!$AF654,lista_turnos,0),9)*10000000+IFERROR(MATCH('ORDENES'!$AE654,'TECNICOS'!$B$4:$B$15,0),99)*100000+651,9000000000000+651)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IF('ORDENES'!$T654="preventiva",N658,0)</f>
        <v/>
      </c>
      <c r="P658" s="17">
        <f>IF('ORDENES'!$T654="correctiva",N658,0)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IF(AND(IF($B$3="(todos)",TRUE,'ORDENES'!$O655=$B$3),IF($D$3="(todos)",TRUE,'ORDENES'!$AF655=$D$3),IF($F$3="(todos)",TRUE,'ORDENES'!$X655=$F$3),IF($H$3="(todos)",TRUE,'ORDENES'!$W655=$H$3),'ORDENES'!$AD655=TRUE,'ORDENES'!$A655&lt;&gt;""),1,0)</f>
        <v/>
      </c>
      <c r="L659" s="3">
        <f>IF(K659=1,IFERROR(MATCH('ORDENES'!$R655,lista_dias,0),9)*1000000000+IFERROR(MATCH('ORDENES'!$AF655,lista_turnos,0),9)*10000000+IFERROR(MATCH('ORDENES'!$AE655,'TECNICOS'!$B$4:$B$15,0),99)*100000+652,9000000000000+652)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IF('ORDENES'!$T655="preventiva",N659,0)</f>
        <v/>
      </c>
      <c r="P659" s="17">
        <f>IF('ORDENES'!$T655="correctiva",N659,0)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IF(AND(IF($B$3="(todos)",TRUE,'ORDENES'!$O656=$B$3),IF($D$3="(todos)",TRUE,'ORDENES'!$AF656=$D$3),IF($F$3="(todos)",TRUE,'ORDENES'!$X656=$F$3),IF($H$3="(todos)",TRUE,'ORDENES'!$W656=$H$3),'ORDENES'!$AD656=TRUE,'ORDENES'!$A656&lt;&gt;""),1,0)</f>
        <v/>
      </c>
      <c r="L660" s="3">
        <f>IF(K660=1,IFERROR(MATCH('ORDENES'!$R656,lista_dias,0),9)*1000000000+IFERROR(MATCH('ORDENES'!$AF656,lista_turnos,0),9)*10000000+IFERROR(MATCH('ORDENES'!$AE656,'TECNICOS'!$B$4:$B$15,0),99)*100000+653,9000000000000+653)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IF('ORDENES'!$T656="preventiva",N660,0)</f>
        <v/>
      </c>
      <c r="P660" s="17">
        <f>IF('ORDENES'!$T656="correctiva",N660,0)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IF(AND(IF($B$3="(todos)",TRUE,'ORDENES'!$O657=$B$3),IF($D$3="(todos)",TRUE,'ORDENES'!$AF657=$D$3),IF($F$3="(todos)",TRUE,'ORDENES'!$X657=$F$3),IF($H$3="(todos)",TRUE,'ORDENES'!$W657=$H$3),'ORDENES'!$AD657=TRUE,'ORDENES'!$A657&lt;&gt;""),1,0)</f>
        <v/>
      </c>
      <c r="L661" s="3">
        <f>IF(K661=1,IFERROR(MATCH('ORDENES'!$R657,lista_dias,0),9)*1000000000+IFERROR(MATCH('ORDENES'!$AF657,lista_turnos,0),9)*10000000+IFERROR(MATCH('ORDENES'!$AE657,'TECNICOS'!$B$4:$B$15,0),99)*100000+654,9000000000000+654)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IF('ORDENES'!$T657="preventiva",N661,0)</f>
        <v/>
      </c>
      <c r="P661" s="17">
        <f>IF('ORDENES'!$T657="correctiva",N661,0)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IF(AND(IF($B$3="(todos)",TRUE,'ORDENES'!$O658=$B$3),IF($D$3="(todos)",TRUE,'ORDENES'!$AF658=$D$3),IF($F$3="(todos)",TRUE,'ORDENES'!$X658=$F$3),IF($H$3="(todos)",TRUE,'ORDENES'!$W658=$H$3),'ORDENES'!$AD658=TRUE,'ORDENES'!$A658&lt;&gt;""),1,0)</f>
        <v/>
      </c>
      <c r="L662" s="3">
        <f>IF(K662=1,IFERROR(MATCH('ORDENES'!$R658,lista_dias,0),9)*1000000000+IFERROR(MATCH('ORDENES'!$AF658,lista_turnos,0),9)*10000000+IFERROR(MATCH('ORDENES'!$AE658,'TECNICOS'!$B$4:$B$15,0),99)*100000+655,9000000000000+655)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IF('ORDENES'!$T658="preventiva",N662,0)</f>
        <v/>
      </c>
      <c r="P662" s="17">
        <f>IF('ORDENES'!$T658="correctiva",N662,0)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IF(AND(IF($B$3="(todos)",TRUE,'ORDENES'!$O659=$B$3),IF($D$3="(todos)",TRUE,'ORDENES'!$AF659=$D$3),IF($F$3="(todos)",TRUE,'ORDENES'!$X659=$F$3),IF($H$3="(todos)",TRUE,'ORDENES'!$W659=$H$3),'ORDENES'!$AD659=TRUE,'ORDENES'!$A659&lt;&gt;""),1,0)</f>
        <v/>
      </c>
      <c r="L663" s="3">
        <f>IF(K663=1,IFERROR(MATCH('ORDENES'!$R659,lista_dias,0),9)*1000000000+IFERROR(MATCH('ORDENES'!$AF659,lista_turnos,0),9)*10000000+IFERROR(MATCH('ORDENES'!$AE659,'TECNICOS'!$B$4:$B$15,0),99)*100000+656,9000000000000+656)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IF('ORDENES'!$T659="preventiva",N663,0)</f>
        <v/>
      </c>
      <c r="P663" s="17">
        <f>IF('ORDENES'!$T659="correctiva",N663,0)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IF(AND(IF($B$3="(todos)",TRUE,'ORDENES'!$O660=$B$3),IF($D$3="(todos)",TRUE,'ORDENES'!$AF660=$D$3),IF($F$3="(todos)",TRUE,'ORDENES'!$X660=$F$3),IF($H$3="(todos)",TRUE,'ORDENES'!$W660=$H$3),'ORDENES'!$AD660=TRUE,'ORDENES'!$A660&lt;&gt;""),1,0)</f>
        <v/>
      </c>
      <c r="L664" s="3">
        <f>IF(K664=1,IFERROR(MATCH('ORDENES'!$R660,lista_dias,0),9)*1000000000+IFERROR(MATCH('ORDENES'!$AF660,lista_turnos,0),9)*10000000+IFERROR(MATCH('ORDENES'!$AE660,'TECNICOS'!$B$4:$B$15,0),99)*100000+657,9000000000000+657)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IF('ORDENES'!$T660="preventiva",N664,0)</f>
        <v/>
      </c>
      <c r="P664" s="17">
        <f>IF('ORDENES'!$T660="correctiva",N664,0)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IF(AND(IF($B$3="(todos)",TRUE,'ORDENES'!$O661=$B$3),IF($D$3="(todos)",TRUE,'ORDENES'!$AF661=$D$3),IF($F$3="(todos)",TRUE,'ORDENES'!$X661=$F$3),IF($H$3="(todos)",TRUE,'ORDENES'!$W661=$H$3),'ORDENES'!$AD661=TRUE,'ORDENES'!$A661&lt;&gt;""),1,0)</f>
        <v/>
      </c>
      <c r="L665" s="3">
        <f>IF(K665=1,IFERROR(MATCH('ORDENES'!$R661,lista_dias,0),9)*1000000000+IFERROR(MATCH('ORDENES'!$AF661,lista_turnos,0),9)*10000000+IFERROR(MATCH('ORDENES'!$AE661,'TECNICOS'!$B$4:$B$15,0),99)*100000+658,9000000000000+658)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IF('ORDENES'!$T661="preventiva",N665,0)</f>
        <v/>
      </c>
      <c r="P665" s="17">
        <f>IF('ORDENES'!$T661="correctiva",N665,0)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IF(AND(IF($B$3="(todos)",TRUE,'ORDENES'!$O662=$B$3),IF($D$3="(todos)",TRUE,'ORDENES'!$AF662=$D$3),IF($F$3="(todos)",TRUE,'ORDENES'!$X662=$F$3),IF($H$3="(todos)",TRUE,'ORDENES'!$W662=$H$3),'ORDENES'!$AD662=TRUE,'ORDENES'!$A662&lt;&gt;""),1,0)</f>
        <v/>
      </c>
      <c r="L666" s="3">
        <f>IF(K666=1,IFERROR(MATCH('ORDENES'!$R662,lista_dias,0),9)*1000000000+IFERROR(MATCH('ORDENES'!$AF662,lista_turnos,0),9)*10000000+IFERROR(MATCH('ORDENES'!$AE662,'TECNICOS'!$B$4:$B$15,0),99)*100000+659,9000000000000+659)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IF('ORDENES'!$T662="preventiva",N666,0)</f>
        <v/>
      </c>
      <c r="P666" s="17">
        <f>IF('ORDENES'!$T662="correctiva",N666,0)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IF(AND(IF($B$3="(todos)",TRUE,'ORDENES'!$O663=$B$3),IF($D$3="(todos)",TRUE,'ORDENES'!$AF663=$D$3),IF($F$3="(todos)",TRUE,'ORDENES'!$X663=$F$3),IF($H$3="(todos)",TRUE,'ORDENES'!$W663=$H$3),'ORDENES'!$AD663=TRUE,'ORDENES'!$A663&lt;&gt;""),1,0)</f>
        <v/>
      </c>
      <c r="L667" s="3">
        <f>IF(K667=1,IFERROR(MATCH('ORDENES'!$R663,lista_dias,0),9)*1000000000+IFERROR(MATCH('ORDENES'!$AF663,lista_turnos,0),9)*10000000+IFERROR(MATCH('ORDENES'!$AE663,'TECNICOS'!$B$4:$B$15,0),99)*100000+660,9000000000000+660)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IF('ORDENES'!$T663="preventiva",N667,0)</f>
        <v/>
      </c>
      <c r="P667" s="17">
        <f>IF('ORDENES'!$T663="correctiva",N667,0)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IF(AND(IF($B$3="(todos)",TRUE,'ORDENES'!$O664=$B$3),IF($D$3="(todos)",TRUE,'ORDENES'!$AF664=$D$3),IF($F$3="(todos)",TRUE,'ORDENES'!$X664=$F$3),IF($H$3="(todos)",TRUE,'ORDENES'!$W664=$H$3),'ORDENES'!$AD664=TRUE,'ORDENES'!$A664&lt;&gt;""),1,0)</f>
        <v/>
      </c>
      <c r="L668" s="3">
        <f>IF(K668=1,IFERROR(MATCH('ORDENES'!$R664,lista_dias,0),9)*1000000000+IFERROR(MATCH('ORDENES'!$AF664,lista_turnos,0),9)*10000000+IFERROR(MATCH('ORDENES'!$AE664,'TECNICOS'!$B$4:$B$15,0),99)*100000+661,9000000000000+661)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IF('ORDENES'!$T664="preventiva",N668,0)</f>
        <v/>
      </c>
      <c r="P668" s="17">
        <f>IF('ORDENES'!$T664="correctiva",N668,0)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IF(AND(IF($B$3="(todos)",TRUE,'ORDENES'!$O665=$B$3),IF($D$3="(todos)",TRUE,'ORDENES'!$AF665=$D$3),IF($F$3="(todos)",TRUE,'ORDENES'!$X665=$F$3),IF($H$3="(todos)",TRUE,'ORDENES'!$W665=$H$3),'ORDENES'!$AD665=TRUE,'ORDENES'!$A665&lt;&gt;""),1,0)</f>
        <v/>
      </c>
      <c r="L669" s="3">
        <f>IF(K669=1,IFERROR(MATCH('ORDENES'!$R665,lista_dias,0),9)*1000000000+IFERROR(MATCH('ORDENES'!$AF665,lista_turnos,0),9)*10000000+IFERROR(MATCH('ORDENES'!$AE665,'TECNICOS'!$B$4:$B$15,0),99)*100000+662,9000000000000+662)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IF('ORDENES'!$T665="preventiva",N669,0)</f>
        <v/>
      </c>
      <c r="P669" s="17">
        <f>IF('ORDENES'!$T665="correctiva",N669,0)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IF(AND(IF($B$3="(todos)",TRUE,'ORDENES'!$O666=$B$3),IF($D$3="(todos)",TRUE,'ORDENES'!$AF666=$D$3),IF($F$3="(todos)",TRUE,'ORDENES'!$X666=$F$3),IF($H$3="(todos)",TRUE,'ORDENES'!$W666=$H$3),'ORDENES'!$AD666=TRUE,'ORDENES'!$A666&lt;&gt;""),1,0)</f>
        <v/>
      </c>
      <c r="L670" s="3">
        <f>IF(K670=1,IFERROR(MATCH('ORDENES'!$R666,lista_dias,0),9)*1000000000+IFERROR(MATCH('ORDENES'!$AF666,lista_turnos,0),9)*10000000+IFERROR(MATCH('ORDENES'!$AE666,'TECNICOS'!$B$4:$B$15,0),99)*100000+663,9000000000000+663)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IF('ORDENES'!$T666="preventiva",N670,0)</f>
        <v/>
      </c>
      <c r="P670" s="17">
        <f>IF('ORDENES'!$T666="correctiva",N670,0)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IF(AND(IF($B$3="(todos)",TRUE,'ORDENES'!$O667=$B$3),IF($D$3="(todos)",TRUE,'ORDENES'!$AF667=$D$3),IF($F$3="(todos)",TRUE,'ORDENES'!$X667=$F$3),IF($H$3="(todos)",TRUE,'ORDENES'!$W667=$H$3),'ORDENES'!$AD667=TRUE,'ORDENES'!$A667&lt;&gt;""),1,0)</f>
        <v/>
      </c>
      <c r="L671" s="3">
        <f>IF(K671=1,IFERROR(MATCH('ORDENES'!$R667,lista_dias,0),9)*1000000000+IFERROR(MATCH('ORDENES'!$AF667,lista_turnos,0),9)*10000000+IFERROR(MATCH('ORDENES'!$AE667,'TECNICOS'!$B$4:$B$15,0),99)*100000+664,9000000000000+664)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IF('ORDENES'!$T667="preventiva",N671,0)</f>
        <v/>
      </c>
      <c r="P671" s="17">
        <f>IF('ORDENES'!$T667="correctiva",N671,0)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IF(AND(IF($B$3="(todos)",TRUE,'ORDENES'!$O668=$B$3),IF($D$3="(todos)",TRUE,'ORDENES'!$AF668=$D$3),IF($F$3="(todos)",TRUE,'ORDENES'!$X668=$F$3),IF($H$3="(todos)",TRUE,'ORDENES'!$W668=$H$3),'ORDENES'!$AD668=TRUE,'ORDENES'!$A668&lt;&gt;""),1,0)</f>
        <v/>
      </c>
      <c r="L672" s="3">
        <f>IF(K672=1,IFERROR(MATCH('ORDENES'!$R668,lista_dias,0),9)*1000000000+IFERROR(MATCH('ORDENES'!$AF668,lista_turnos,0),9)*10000000+IFERROR(MATCH('ORDENES'!$AE668,'TECNICOS'!$B$4:$B$15,0),99)*100000+665,9000000000000+665)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IF('ORDENES'!$T668="preventiva",N672,0)</f>
        <v/>
      </c>
      <c r="P672" s="17">
        <f>IF('ORDENES'!$T668="correctiva",N672,0)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IF(AND(IF($B$3="(todos)",TRUE,'ORDENES'!$O669=$B$3),IF($D$3="(todos)",TRUE,'ORDENES'!$AF669=$D$3),IF($F$3="(todos)",TRUE,'ORDENES'!$X669=$F$3),IF($H$3="(todos)",TRUE,'ORDENES'!$W669=$H$3),'ORDENES'!$AD669=TRUE,'ORDENES'!$A669&lt;&gt;""),1,0)</f>
        <v/>
      </c>
      <c r="L673" s="3">
        <f>IF(K673=1,IFERROR(MATCH('ORDENES'!$R669,lista_dias,0),9)*1000000000+IFERROR(MATCH('ORDENES'!$AF669,lista_turnos,0),9)*10000000+IFERROR(MATCH('ORDENES'!$AE669,'TECNICOS'!$B$4:$B$15,0),99)*100000+666,9000000000000+666)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IF('ORDENES'!$T669="preventiva",N673,0)</f>
        <v/>
      </c>
      <c r="P673" s="17">
        <f>IF('ORDENES'!$T669="correctiva",N673,0)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IF(AND(IF($B$3="(todos)",TRUE,'ORDENES'!$O670=$B$3),IF($D$3="(todos)",TRUE,'ORDENES'!$AF670=$D$3),IF($F$3="(todos)",TRUE,'ORDENES'!$X670=$F$3),IF($H$3="(todos)",TRUE,'ORDENES'!$W670=$H$3),'ORDENES'!$AD670=TRUE,'ORDENES'!$A670&lt;&gt;""),1,0)</f>
        <v/>
      </c>
      <c r="L674" s="3">
        <f>IF(K674=1,IFERROR(MATCH('ORDENES'!$R670,lista_dias,0),9)*1000000000+IFERROR(MATCH('ORDENES'!$AF670,lista_turnos,0),9)*10000000+IFERROR(MATCH('ORDENES'!$AE670,'TECNICOS'!$B$4:$B$15,0),99)*100000+667,9000000000000+667)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IF('ORDENES'!$T670="preventiva",N674,0)</f>
        <v/>
      </c>
      <c r="P674" s="17">
        <f>IF('ORDENES'!$T670="correctiva",N674,0)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IF(AND(IF($B$3="(todos)",TRUE,'ORDENES'!$O671=$B$3),IF($D$3="(todos)",TRUE,'ORDENES'!$AF671=$D$3),IF($F$3="(todos)",TRUE,'ORDENES'!$X671=$F$3),IF($H$3="(todos)",TRUE,'ORDENES'!$W671=$H$3),'ORDENES'!$AD671=TRUE,'ORDENES'!$A671&lt;&gt;""),1,0)</f>
        <v/>
      </c>
      <c r="L675" s="3">
        <f>IF(K675=1,IFERROR(MATCH('ORDENES'!$R671,lista_dias,0),9)*1000000000+IFERROR(MATCH('ORDENES'!$AF671,lista_turnos,0),9)*10000000+IFERROR(MATCH('ORDENES'!$AE671,'TECNICOS'!$B$4:$B$15,0),99)*100000+668,9000000000000+668)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IF('ORDENES'!$T671="preventiva",N675,0)</f>
        <v/>
      </c>
      <c r="P675" s="17">
        <f>IF('ORDENES'!$T671="correctiva",N675,0)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IF(AND(IF($B$3="(todos)",TRUE,'ORDENES'!$O672=$B$3),IF($D$3="(todos)",TRUE,'ORDENES'!$AF672=$D$3),IF($F$3="(todos)",TRUE,'ORDENES'!$X672=$F$3),IF($H$3="(todos)",TRUE,'ORDENES'!$W672=$H$3),'ORDENES'!$AD672=TRUE,'ORDENES'!$A672&lt;&gt;""),1,0)</f>
        <v/>
      </c>
      <c r="L676" s="3">
        <f>IF(K676=1,IFERROR(MATCH('ORDENES'!$R672,lista_dias,0),9)*1000000000+IFERROR(MATCH('ORDENES'!$AF672,lista_turnos,0),9)*10000000+IFERROR(MATCH('ORDENES'!$AE672,'TECNICOS'!$B$4:$B$15,0),99)*100000+669,9000000000000+669)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IF('ORDENES'!$T672="preventiva",N676,0)</f>
        <v/>
      </c>
      <c r="P676" s="17">
        <f>IF('ORDENES'!$T672="correctiva",N676,0)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IF(AND(IF($B$3="(todos)",TRUE,'ORDENES'!$O673=$B$3),IF($D$3="(todos)",TRUE,'ORDENES'!$AF673=$D$3),IF($F$3="(todos)",TRUE,'ORDENES'!$X673=$F$3),IF($H$3="(todos)",TRUE,'ORDENES'!$W673=$H$3),'ORDENES'!$AD673=TRUE,'ORDENES'!$A673&lt;&gt;""),1,0)</f>
        <v/>
      </c>
      <c r="L677" s="3">
        <f>IF(K677=1,IFERROR(MATCH('ORDENES'!$R673,lista_dias,0),9)*1000000000+IFERROR(MATCH('ORDENES'!$AF673,lista_turnos,0),9)*10000000+IFERROR(MATCH('ORDENES'!$AE673,'TECNICOS'!$B$4:$B$15,0),99)*100000+670,9000000000000+670)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IF('ORDENES'!$T673="preventiva",N677,0)</f>
        <v/>
      </c>
      <c r="P677" s="17">
        <f>IF('ORDENES'!$T673="correctiva",N677,0)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IF(AND(IF($B$3="(todos)",TRUE,'ORDENES'!$O674=$B$3),IF($D$3="(todos)",TRUE,'ORDENES'!$AF674=$D$3),IF($F$3="(todos)",TRUE,'ORDENES'!$X674=$F$3),IF($H$3="(todos)",TRUE,'ORDENES'!$W674=$H$3),'ORDENES'!$AD674=TRUE,'ORDENES'!$A674&lt;&gt;""),1,0)</f>
        <v/>
      </c>
      <c r="L678" s="3">
        <f>IF(K678=1,IFERROR(MATCH('ORDENES'!$R674,lista_dias,0),9)*1000000000+IFERROR(MATCH('ORDENES'!$AF674,lista_turnos,0),9)*10000000+IFERROR(MATCH('ORDENES'!$AE674,'TECNICOS'!$B$4:$B$15,0),99)*100000+671,9000000000000+671)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IF('ORDENES'!$T674="preventiva",N678,0)</f>
        <v/>
      </c>
      <c r="P678" s="17">
        <f>IF('ORDENES'!$T674="correctiva",N678,0)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IF(AND(IF($B$3="(todos)",TRUE,'ORDENES'!$O675=$B$3),IF($D$3="(todos)",TRUE,'ORDENES'!$AF675=$D$3),IF($F$3="(todos)",TRUE,'ORDENES'!$X675=$F$3),IF($H$3="(todos)",TRUE,'ORDENES'!$W675=$H$3),'ORDENES'!$AD675=TRUE,'ORDENES'!$A675&lt;&gt;""),1,0)</f>
        <v/>
      </c>
      <c r="L679" s="3">
        <f>IF(K679=1,IFERROR(MATCH('ORDENES'!$R675,lista_dias,0),9)*1000000000+IFERROR(MATCH('ORDENES'!$AF675,lista_turnos,0),9)*10000000+IFERROR(MATCH('ORDENES'!$AE675,'TECNICOS'!$B$4:$B$15,0),99)*100000+672,9000000000000+672)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IF('ORDENES'!$T675="preventiva",N679,0)</f>
        <v/>
      </c>
      <c r="P679" s="17">
        <f>IF('ORDENES'!$T675="correctiva",N679,0)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IF(AND(IF($B$3="(todos)",TRUE,'ORDENES'!$O676=$B$3),IF($D$3="(todos)",TRUE,'ORDENES'!$AF676=$D$3),IF($F$3="(todos)",TRUE,'ORDENES'!$X676=$F$3),IF($H$3="(todos)",TRUE,'ORDENES'!$W676=$H$3),'ORDENES'!$AD676=TRUE,'ORDENES'!$A676&lt;&gt;""),1,0)</f>
        <v/>
      </c>
      <c r="L680" s="3">
        <f>IF(K680=1,IFERROR(MATCH('ORDENES'!$R676,lista_dias,0),9)*1000000000+IFERROR(MATCH('ORDENES'!$AF676,lista_turnos,0),9)*10000000+IFERROR(MATCH('ORDENES'!$AE676,'TECNICOS'!$B$4:$B$15,0),99)*100000+673,9000000000000+673)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IF('ORDENES'!$T676="preventiva",N680,0)</f>
        <v/>
      </c>
      <c r="P680" s="17">
        <f>IF('ORDENES'!$T676="correctiva",N680,0)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IF(AND(IF($B$3="(todos)",TRUE,'ORDENES'!$O677=$B$3),IF($D$3="(todos)",TRUE,'ORDENES'!$AF677=$D$3),IF($F$3="(todos)",TRUE,'ORDENES'!$X677=$F$3),IF($H$3="(todos)",TRUE,'ORDENES'!$W677=$H$3),'ORDENES'!$AD677=TRUE,'ORDENES'!$A677&lt;&gt;""),1,0)</f>
        <v/>
      </c>
      <c r="L681" s="3">
        <f>IF(K681=1,IFERROR(MATCH('ORDENES'!$R677,lista_dias,0),9)*1000000000+IFERROR(MATCH('ORDENES'!$AF677,lista_turnos,0),9)*10000000+IFERROR(MATCH('ORDENES'!$AE677,'TECNICOS'!$B$4:$B$15,0),99)*100000+674,9000000000000+674)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IF('ORDENES'!$T677="preventiva",N681,0)</f>
        <v/>
      </c>
      <c r="P681" s="17">
        <f>IF('ORDENES'!$T677="correctiva",N681,0)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IF(AND(IF($B$3="(todos)",TRUE,'ORDENES'!$O678=$B$3),IF($D$3="(todos)",TRUE,'ORDENES'!$AF678=$D$3),IF($F$3="(todos)",TRUE,'ORDENES'!$X678=$F$3),IF($H$3="(todos)",TRUE,'ORDENES'!$W678=$H$3),'ORDENES'!$AD678=TRUE,'ORDENES'!$A678&lt;&gt;""),1,0)</f>
        <v/>
      </c>
      <c r="L682" s="3">
        <f>IF(K682=1,IFERROR(MATCH('ORDENES'!$R678,lista_dias,0),9)*1000000000+IFERROR(MATCH('ORDENES'!$AF678,lista_turnos,0),9)*10000000+IFERROR(MATCH('ORDENES'!$AE678,'TECNICOS'!$B$4:$B$15,0),99)*100000+675,9000000000000+675)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IF('ORDENES'!$T678="preventiva",N682,0)</f>
        <v/>
      </c>
      <c r="P682" s="17">
        <f>IF('ORDENES'!$T678="correctiva",N682,0)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IF(AND(IF($B$3="(todos)",TRUE,'ORDENES'!$O679=$B$3),IF($D$3="(todos)",TRUE,'ORDENES'!$AF679=$D$3),IF($F$3="(todos)",TRUE,'ORDENES'!$X679=$F$3),IF($H$3="(todos)",TRUE,'ORDENES'!$W679=$H$3),'ORDENES'!$AD679=TRUE,'ORDENES'!$A679&lt;&gt;""),1,0)</f>
        <v/>
      </c>
      <c r="L683" s="3">
        <f>IF(K683=1,IFERROR(MATCH('ORDENES'!$R679,lista_dias,0),9)*1000000000+IFERROR(MATCH('ORDENES'!$AF679,lista_turnos,0),9)*10000000+IFERROR(MATCH('ORDENES'!$AE679,'TECNICOS'!$B$4:$B$15,0),99)*100000+676,9000000000000+676)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IF('ORDENES'!$T679="preventiva",N683,0)</f>
        <v/>
      </c>
      <c r="P683" s="17">
        <f>IF('ORDENES'!$T679="correctiva",N683,0)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IF(AND(IF($B$3="(todos)",TRUE,'ORDENES'!$O680=$B$3),IF($D$3="(todos)",TRUE,'ORDENES'!$AF680=$D$3),IF($F$3="(todos)",TRUE,'ORDENES'!$X680=$F$3),IF($H$3="(todos)",TRUE,'ORDENES'!$W680=$H$3),'ORDENES'!$AD680=TRUE,'ORDENES'!$A680&lt;&gt;""),1,0)</f>
        <v/>
      </c>
      <c r="L684" s="3">
        <f>IF(K684=1,IFERROR(MATCH('ORDENES'!$R680,lista_dias,0),9)*1000000000+IFERROR(MATCH('ORDENES'!$AF680,lista_turnos,0),9)*10000000+IFERROR(MATCH('ORDENES'!$AE680,'TECNICOS'!$B$4:$B$15,0),99)*100000+677,9000000000000+677)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IF('ORDENES'!$T680="preventiva",N684,0)</f>
        <v/>
      </c>
      <c r="P684" s="17">
        <f>IF('ORDENES'!$T680="correctiva",N684,0)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IF(AND(IF($B$3="(todos)",TRUE,'ORDENES'!$O681=$B$3),IF($D$3="(todos)",TRUE,'ORDENES'!$AF681=$D$3),IF($F$3="(todos)",TRUE,'ORDENES'!$X681=$F$3),IF($H$3="(todos)",TRUE,'ORDENES'!$W681=$H$3),'ORDENES'!$AD681=TRUE,'ORDENES'!$A681&lt;&gt;""),1,0)</f>
        <v/>
      </c>
      <c r="L685" s="3">
        <f>IF(K685=1,IFERROR(MATCH('ORDENES'!$R681,lista_dias,0),9)*1000000000+IFERROR(MATCH('ORDENES'!$AF681,lista_turnos,0),9)*10000000+IFERROR(MATCH('ORDENES'!$AE681,'TECNICOS'!$B$4:$B$15,0),99)*100000+678,9000000000000+678)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IF('ORDENES'!$T681="preventiva",N685,0)</f>
        <v/>
      </c>
      <c r="P685" s="17">
        <f>IF('ORDENES'!$T681="correctiva",N685,0)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IF(AND(IF($B$3="(todos)",TRUE,'ORDENES'!$O682=$B$3),IF($D$3="(todos)",TRUE,'ORDENES'!$AF682=$D$3),IF($F$3="(todos)",TRUE,'ORDENES'!$X682=$F$3),IF($H$3="(todos)",TRUE,'ORDENES'!$W682=$H$3),'ORDENES'!$AD682=TRUE,'ORDENES'!$A682&lt;&gt;""),1,0)</f>
        <v/>
      </c>
      <c r="L686" s="3">
        <f>IF(K686=1,IFERROR(MATCH('ORDENES'!$R682,lista_dias,0),9)*1000000000+IFERROR(MATCH('ORDENES'!$AF682,lista_turnos,0),9)*10000000+IFERROR(MATCH('ORDENES'!$AE682,'TECNICOS'!$B$4:$B$15,0),99)*100000+679,9000000000000+679)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IF('ORDENES'!$T682="preventiva",N686,0)</f>
        <v/>
      </c>
      <c r="P686" s="17">
        <f>IF('ORDENES'!$T682="correctiva",N686,0)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IF(AND(IF($B$3="(todos)",TRUE,'ORDENES'!$O683=$B$3),IF($D$3="(todos)",TRUE,'ORDENES'!$AF683=$D$3),IF($F$3="(todos)",TRUE,'ORDENES'!$X683=$F$3),IF($H$3="(todos)",TRUE,'ORDENES'!$W683=$H$3),'ORDENES'!$AD683=TRUE,'ORDENES'!$A683&lt;&gt;""),1,0)</f>
        <v/>
      </c>
      <c r="L687" s="3">
        <f>IF(K687=1,IFERROR(MATCH('ORDENES'!$R683,lista_dias,0),9)*1000000000+IFERROR(MATCH('ORDENES'!$AF683,lista_turnos,0),9)*10000000+IFERROR(MATCH('ORDENES'!$AE683,'TECNICOS'!$B$4:$B$15,0),99)*100000+680,9000000000000+680)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IF('ORDENES'!$T683="preventiva",N687,0)</f>
        <v/>
      </c>
      <c r="P687" s="17">
        <f>IF('ORDENES'!$T683="correctiva",N687,0)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IF(AND(IF($B$3="(todos)",TRUE,'ORDENES'!$O684=$B$3),IF($D$3="(todos)",TRUE,'ORDENES'!$AF684=$D$3),IF($F$3="(todos)",TRUE,'ORDENES'!$X684=$F$3),IF($H$3="(todos)",TRUE,'ORDENES'!$W684=$H$3),'ORDENES'!$AD684=TRUE,'ORDENES'!$A684&lt;&gt;""),1,0)</f>
        <v/>
      </c>
      <c r="L688" s="3">
        <f>IF(K688=1,IFERROR(MATCH('ORDENES'!$R684,lista_dias,0),9)*1000000000+IFERROR(MATCH('ORDENES'!$AF684,lista_turnos,0),9)*10000000+IFERROR(MATCH('ORDENES'!$AE684,'TECNICOS'!$B$4:$B$15,0),99)*100000+681,9000000000000+681)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IF('ORDENES'!$T684="preventiva",N688,0)</f>
        <v/>
      </c>
      <c r="P688" s="17">
        <f>IF('ORDENES'!$T684="correctiva",N688,0)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IF(AND(IF($B$3="(todos)",TRUE,'ORDENES'!$O685=$B$3),IF($D$3="(todos)",TRUE,'ORDENES'!$AF685=$D$3),IF($F$3="(todos)",TRUE,'ORDENES'!$X685=$F$3),IF($H$3="(todos)",TRUE,'ORDENES'!$W685=$H$3),'ORDENES'!$AD685=TRUE,'ORDENES'!$A685&lt;&gt;""),1,0)</f>
        <v/>
      </c>
      <c r="L689" s="3">
        <f>IF(K689=1,IFERROR(MATCH('ORDENES'!$R685,lista_dias,0),9)*1000000000+IFERROR(MATCH('ORDENES'!$AF685,lista_turnos,0),9)*10000000+IFERROR(MATCH('ORDENES'!$AE685,'TECNICOS'!$B$4:$B$15,0),99)*100000+682,9000000000000+682)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IF('ORDENES'!$T685="preventiva",N689,0)</f>
        <v/>
      </c>
      <c r="P689" s="17">
        <f>IF('ORDENES'!$T685="correctiva",N689,0)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IF(AND(IF($B$3="(todos)",TRUE,'ORDENES'!$O686=$B$3),IF($D$3="(todos)",TRUE,'ORDENES'!$AF686=$D$3),IF($F$3="(todos)",TRUE,'ORDENES'!$X686=$F$3),IF($H$3="(todos)",TRUE,'ORDENES'!$W686=$H$3),'ORDENES'!$AD686=TRUE,'ORDENES'!$A686&lt;&gt;""),1,0)</f>
        <v/>
      </c>
      <c r="L690" s="3">
        <f>IF(K690=1,IFERROR(MATCH('ORDENES'!$R686,lista_dias,0),9)*1000000000+IFERROR(MATCH('ORDENES'!$AF686,lista_turnos,0),9)*10000000+IFERROR(MATCH('ORDENES'!$AE686,'TECNICOS'!$B$4:$B$15,0),99)*100000+683,9000000000000+683)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IF('ORDENES'!$T686="preventiva",N690,0)</f>
        <v/>
      </c>
      <c r="P690" s="17">
        <f>IF('ORDENES'!$T686="correctiva",N690,0)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IF(AND(IF($B$3="(todos)",TRUE,'ORDENES'!$O687=$B$3),IF($D$3="(todos)",TRUE,'ORDENES'!$AF687=$D$3),IF($F$3="(todos)",TRUE,'ORDENES'!$X687=$F$3),IF($H$3="(todos)",TRUE,'ORDENES'!$W687=$H$3),'ORDENES'!$AD687=TRUE,'ORDENES'!$A687&lt;&gt;""),1,0)</f>
        <v/>
      </c>
      <c r="L691" s="3">
        <f>IF(K691=1,IFERROR(MATCH('ORDENES'!$R687,lista_dias,0),9)*1000000000+IFERROR(MATCH('ORDENES'!$AF687,lista_turnos,0),9)*10000000+IFERROR(MATCH('ORDENES'!$AE687,'TECNICOS'!$B$4:$B$15,0),99)*100000+684,9000000000000+684)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IF('ORDENES'!$T687="preventiva",N691,0)</f>
        <v/>
      </c>
      <c r="P691" s="17">
        <f>IF('ORDENES'!$T687="correctiva",N691,0)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IF(AND(IF($B$3="(todos)",TRUE,'ORDENES'!$O688=$B$3),IF($D$3="(todos)",TRUE,'ORDENES'!$AF688=$D$3),IF($F$3="(todos)",TRUE,'ORDENES'!$X688=$F$3),IF($H$3="(todos)",TRUE,'ORDENES'!$W688=$H$3),'ORDENES'!$AD688=TRUE,'ORDENES'!$A688&lt;&gt;""),1,0)</f>
        <v/>
      </c>
      <c r="L692" s="3">
        <f>IF(K692=1,IFERROR(MATCH('ORDENES'!$R688,lista_dias,0),9)*1000000000+IFERROR(MATCH('ORDENES'!$AF688,lista_turnos,0),9)*10000000+IFERROR(MATCH('ORDENES'!$AE688,'TECNICOS'!$B$4:$B$15,0),99)*100000+685,9000000000000+685)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IF('ORDENES'!$T688="preventiva",N692,0)</f>
        <v/>
      </c>
      <c r="P692" s="17">
        <f>IF('ORDENES'!$T688="correctiva",N692,0)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IF(AND(IF($B$3="(todos)",TRUE,'ORDENES'!$O689=$B$3),IF($D$3="(todos)",TRUE,'ORDENES'!$AF689=$D$3),IF($F$3="(todos)",TRUE,'ORDENES'!$X689=$F$3),IF($H$3="(todos)",TRUE,'ORDENES'!$W689=$H$3),'ORDENES'!$AD689=TRUE,'ORDENES'!$A689&lt;&gt;""),1,0)</f>
        <v/>
      </c>
      <c r="L693" s="3">
        <f>IF(K693=1,IFERROR(MATCH('ORDENES'!$R689,lista_dias,0),9)*1000000000+IFERROR(MATCH('ORDENES'!$AF689,lista_turnos,0),9)*10000000+IFERROR(MATCH('ORDENES'!$AE689,'TECNICOS'!$B$4:$B$15,0),99)*100000+686,9000000000000+686)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IF('ORDENES'!$T689="preventiva",N693,0)</f>
        <v/>
      </c>
      <c r="P693" s="17">
        <f>IF('ORDENES'!$T689="correctiva",N693,0)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IF(AND(IF($B$3="(todos)",TRUE,'ORDENES'!$O690=$B$3),IF($D$3="(todos)",TRUE,'ORDENES'!$AF690=$D$3),IF($F$3="(todos)",TRUE,'ORDENES'!$X690=$F$3),IF($H$3="(todos)",TRUE,'ORDENES'!$W690=$H$3),'ORDENES'!$AD690=TRUE,'ORDENES'!$A690&lt;&gt;""),1,0)</f>
        <v/>
      </c>
      <c r="L694" s="3">
        <f>IF(K694=1,IFERROR(MATCH('ORDENES'!$R690,lista_dias,0),9)*1000000000+IFERROR(MATCH('ORDENES'!$AF690,lista_turnos,0),9)*10000000+IFERROR(MATCH('ORDENES'!$AE690,'TECNICOS'!$B$4:$B$15,0),99)*100000+687,9000000000000+687)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IF('ORDENES'!$T690="preventiva",N694,0)</f>
        <v/>
      </c>
      <c r="P694" s="17">
        <f>IF('ORDENES'!$T690="correctiva",N694,0)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IF(AND(IF($B$3="(todos)",TRUE,'ORDENES'!$O691=$B$3),IF($D$3="(todos)",TRUE,'ORDENES'!$AF691=$D$3),IF($F$3="(todos)",TRUE,'ORDENES'!$X691=$F$3),IF($H$3="(todos)",TRUE,'ORDENES'!$W691=$H$3),'ORDENES'!$AD691=TRUE,'ORDENES'!$A691&lt;&gt;""),1,0)</f>
        <v/>
      </c>
      <c r="L695" s="3">
        <f>IF(K695=1,IFERROR(MATCH('ORDENES'!$R691,lista_dias,0),9)*1000000000+IFERROR(MATCH('ORDENES'!$AF691,lista_turnos,0),9)*10000000+IFERROR(MATCH('ORDENES'!$AE691,'TECNICOS'!$B$4:$B$15,0),99)*100000+688,9000000000000+688)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IF('ORDENES'!$T691="preventiva",N695,0)</f>
        <v/>
      </c>
      <c r="P695" s="17">
        <f>IF('ORDENES'!$T691="correctiva",N695,0)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IF(AND(IF($B$3="(todos)",TRUE,'ORDENES'!$O692=$B$3),IF($D$3="(todos)",TRUE,'ORDENES'!$AF692=$D$3),IF($F$3="(todos)",TRUE,'ORDENES'!$X692=$F$3),IF($H$3="(todos)",TRUE,'ORDENES'!$W692=$H$3),'ORDENES'!$AD692=TRUE,'ORDENES'!$A692&lt;&gt;""),1,0)</f>
        <v/>
      </c>
      <c r="L696" s="3">
        <f>IF(K696=1,IFERROR(MATCH('ORDENES'!$R692,lista_dias,0),9)*1000000000+IFERROR(MATCH('ORDENES'!$AF692,lista_turnos,0),9)*10000000+IFERROR(MATCH('ORDENES'!$AE692,'TECNICOS'!$B$4:$B$15,0),99)*100000+689,9000000000000+689)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IF('ORDENES'!$T692="preventiva",N696,0)</f>
        <v/>
      </c>
      <c r="P696" s="17">
        <f>IF('ORDENES'!$T692="correctiva",N696,0)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IF(AND(IF($B$3="(todos)",TRUE,'ORDENES'!$O693=$B$3),IF($D$3="(todos)",TRUE,'ORDENES'!$AF693=$D$3),IF($F$3="(todos)",TRUE,'ORDENES'!$X693=$F$3),IF($H$3="(todos)",TRUE,'ORDENES'!$W693=$H$3),'ORDENES'!$AD693=TRUE,'ORDENES'!$A693&lt;&gt;""),1,0)</f>
        <v/>
      </c>
      <c r="L697" s="3">
        <f>IF(K697=1,IFERROR(MATCH('ORDENES'!$R693,lista_dias,0),9)*1000000000+IFERROR(MATCH('ORDENES'!$AF693,lista_turnos,0),9)*10000000+IFERROR(MATCH('ORDENES'!$AE693,'TECNICOS'!$B$4:$B$15,0),99)*100000+690,9000000000000+690)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IF('ORDENES'!$T693="preventiva",N697,0)</f>
        <v/>
      </c>
      <c r="P697" s="17">
        <f>IF('ORDENES'!$T693="correctiva",N697,0)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IF(AND(IF($B$3="(todos)",TRUE,'ORDENES'!$O694=$B$3),IF($D$3="(todos)",TRUE,'ORDENES'!$AF694=$D$3),IF($F$3="(todos)",TRUE,'ORDENES'!$X694=$F$3),IF($H$3="(todos)",TRUE,'ORDENES'!$W694=$H$3),'ORDENES'!$AD694=TRUE,'ORDENES'!$A694&lt;&gt;""),1,0)</f>
        <v/>
      </c>
      <c r="L698" s="3">
        <f>IF(K698=1,IFERROR(MATCH('ORDENES'!$R694,lista_dias,0),9)*1000000000+IFERROR(MATCH('ORDENES'!$AF694,lista_turnos,0),9)*10000000+IFERROR(MATCH('ORDENES'!$AE694,'TECNICOS'!$B$4:$B$15,0),99)*100000+691,9000000000000+691)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IF('ORDENES'!$T694="preventiva",N698,0)</f>
        <v/>
      </c>
      <c r="P698" s="17">
        <f>IF('ORDENES'!$T694="correctiva",N698,0)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IF(AND(IF($B$3="(todos)",TRUE,'ORDENES'!$O695=$B$3),IF($D$3="(todos)",TRUE,'ORDENES'!$AF695=$D$3),IF($F$3="(todos)",TRUE,'ORDENES'!$X695=$F$3),IF($H$3="(todos)",TRUE,'ORDENES'!$W695=$H$3),'ORDENES'!$AD695=TRUE,'ORDENES'!$A695&lt;&gt;""),1,0)</f>
        <v/>
      </c>
      <c r="L699" s="3">
        <f>IF(K699=1,IFERROR(MATCH('ORDENES'!$R695,lista_dias,0),9)*1000000000+IFERROR(MATCH('ORDENES'!$AF695,lista_turnos,0),9)*10000000+IFERROR(MATCH('ORDENES'!$AE695,'TECNICOS'!$B$4:$B$15,0),99)*100000+692,9000000000000+692)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IF('ORDENES'!$T695="preventiva",N699,0)</f>
        <v/>
      </c>
      <c r="P699" s="17">
        <f>IF('ORDENES'!$T695="correctiva",N699,0)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IF(AND(IF($B$3="(todos)",TRUE,'ORDENES'!$O696=$B$3),IF($D$3="(todos)",TRUE,'ORDENES'!$AF696=$D$3),IF($F$3="(todos)",TRUE,'ORDENES'!$X696=$F$3),IF($H$3="(todos)",TRUE,'ORDENES'!$W696=$H$3),'ORDENES'!$AD696=TRUE,'ORDENES'!$A696&lt;&gt;""),1,0)</f>
        <v/>
      </c>
      <c r="L700" s="3">
        <f>IF(K700=1,IFERROR(MATCH('ORDENES'!$R696,lista_dias,0),9)*1000000000+IFERROR(MATCH('ORDENES'!$AF696,lista_turnos,0),9)*10000000+IFERROR(MATCH('ORDENES'!$AE696,'TECNICOS'!$B$4:$B$15,0),99)*100000+693,9000000000000+693)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IF('ORDENES'!$T696="preventiva",N700,0)</f>
        <v/>
      </c>
      <c r="P700" s="17">
        <f>IF('ORDENES'!$T696="correctiva",N700,0)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IF(AND(IF($B$3="(todos)",TRUE,'ORDENES'!$O697=$B$3),IF($D$3="(todos)",TRUE,'ORDENES'!$AF697=$D$3),IF($F$3="(todos)",TRUE,'ORDENES'!$X697=$F$3),IF($H$3="(todos)",TRUE,'ORDENES'!$W697=$H$3),'ORDENES'!$AD697=TRUE,'ORDENES'!$A697&lt;&gt;""),1,0)</f>
        <v/>
      </c>
      <c r="L701" s="3">
        <f>IF(K701=1,IFERROR(MATCH('ORDENES'!$R697,lista_dias,0),9)*1000000000+IFERROR(MATCH('ORDENES'!$AF697,lista_turnos,0),9)*10000000+IFERROR(MATCH('ORDENES'!$AE697,'TECNICOS'!$B$4:$B$15,0),99)*100000+694,9000000000000+694)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IF('ORDENES'!$T697="preventiva",N701,0)</f>
        <v/>
      </c>
      <c r="P701" s="17">
        <f>IF('ORDENES'!$T697="correctiva",N701,0)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IF(AND(IF($B$3="(todos)",TRUE,'ORDENES'!$O698=$B$3),IF($D$3="(todos)",TRUE,'ORDENES'!$AF698=$D$3),IF($F$3="(todos)",TRUE,'ORDENES'!$X698=$F$3),IF($H$3="(todos)",TRUE,'ORDENES'!$W698=$H$3),'ORDENES'!$AD698=TRUE,'ORDENES'!$A698&lt;&gt;""),1,0)</f>
        <v/>
      </c>
      <c r="L702" s="3">
        <f>IF(K702=1,IFERROR(MATCH('ORDENES'!$R698,lista_dias,0),9)*1000000000+IFERROR(MATCH('ORDENES'!$AF698,lista_turnos,0),9)*10000000+IFERROR(MATCH('ORDENES'!$AE698,'TECNICOS'!$B$4:$B$15,0),99)*100000+695,9000000000000+695)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IF('ORDENES'!$T698="preventiva",N702,0)</f>
        <v/>
      </c>
      <c r="P702" s="17">
        <f>IF('ORDENES'!$T698="correctiva",N702,0)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IF(AND(IF($B$3="(todos)",TRUE,'ORDENES'!$O699=$B$3),IF($D$3="(todos)",TRUE,'ORDENES'!$AF699=$D$3),IF($F$3="(todos)",TRUE,'ORDENES'!$X699=$F$3),IF($H$3="(todos)",TRUE,'ORDENES'!$W699=$H$3),'ORDENES'!$AD699=TRUE,'ORDENES'!$A699&lt;&gt;""),1,0)</f>
        <v/>
      </c>
      <c r="L703" s="3">
        <f>IF(K703=1,IFERROR(MATCH('ORDENES'!$R699,lista_dias,0),9)*1000000000+IFERROR(MATCH('ORDENES'!$AF699,lista_turnos,0),9)*10000000+IFERROR(MATCH('ORDENES'!$AE699,'TECNICOS'!$B$4:$B$15,0),99)*100000+696,9000000000000+696)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IF('ORDENES'!$T699="preventiva",N703,0)</f>
        <v/>
      </c>
      <c r="P703" s="17">
        <f>IF('ORDENES'!$T699="correctiva",N703,0)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IF(AND(IF($B$3="(todos)",TRUE,'ORDENES'!$O700=$B$3),IF($D$3="(todos)",TRUE,'ORDENES'!$AF700=$D$3),IF($F$3="(todos)",TRUE,'ORDENES'!$X700=$F$3),IF($H$3="(todos)",TRUE,'ORDENES'!$W700=$H$3),'ORDENES'!$AD700=TRUE,'ORDENES'!$A700&lt;&gt;""),1,0)</f>
        <v/>
      </c>
      <c r="L704" s="3">
        <f>IF(K704=1,IFERROR(MATCH('ORDENES'!$R700,lista_dias,0),9)*1000000000+IFERROR(MATCH('ORDENES'!$AF700,lista_turnos,0),9)*10000000+IFERROR(MATCH('ORDENES'!$AE700,'TECNICOS'!$B$4:$B$15,0),99)*100000+697,9000000000000+697)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IF('ORDENES'!$T700="preventiva",N704,0)</f>
        <v/>
      </c>
      <c r="P704" s="17">
        <f>IF('ORDENES'!$T700="correctiva",N704,0)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IF(AND(IF($B$3="(todos)",TRUE,'ORDENES'!$O701=$B$3),IF($D$3="(todos)",TRUE,'ORDENES'!$AF701=$D$3),IF($F$3="(todos)",TRUE,'ORDENES'!$X701=$F$3),IF($H$3="(todos)",TRUE,'ORDENES'!$W701=$H$3),'ORDENES'!$AD701=TRUE,'ORDENES'!$A701&lt;&gt;""),1,0)</f>
        <v/>
      </c>
      <c r="L705" s="3">
        <f>IF(K705=1,IFERROR(MATCH('ORDENES'!$R701,lista_dias,0),9)*1000000000+IFERROR(MATCH('ORDENES'!$AF701,lista_turnos,0),9)*10000000+IFERROR(MATCH('ORDENES'!$AE701,'TECNICOS'!$B$4:$B$15,0),99)*100000+698,9000000000000+698)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IF('ORDENES'!$T701="preventiva",N705,0)</f>
        <v/>
      </c>
      <c r="P705" s="17">
        <f>IF('ORDENES'!$T701="correctiva",N705,0)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IF(AND(IF($B$3="(todos)",TRUE,'ORDENES'!$O702=$B$3),IF($D$3="(todos)",TRUE,'ORDENES'!$AF702=$D$3),IF($F$3="(todos)",TRUE,'ORDENES'!$X702=$F$3),IF($H$3="(todos)",TRUE,'ORDENES'!$W702=$H$3),'ORDENES'!$AD702=TRUE,'ORDENES'!$A702&lt;&gt;""),1,0)</f>
        <v/>
      </c>
      <c r="L706" s="3">
        <f>IF(K706=1,IFERROR(MATCH('ORDENES'!$R702,lista_dias,0),9)*1000000000+IFERROR(MATCH('ORDENES'!$AF702,lista_turnos,0),9)*10000000+IFERROR(MATCH('ORDENES'!$AE702,'TECNICOS'!$B$4:$B$15,0),99)*100000+699,9000000000000+699)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IF('ORDENES'!$T702="preventiva",N706,0)</f>
        <v/>
      </c>
      <c r="P706" s="17">
        <f>IF('ORDENES'!$T702="correctiva",N706,0)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IF(AND(IF($B$3="(todos)",TRUE,'ORDENES'!$O703=$B$3),IF($D$3="(todos)",TRUE,'ORDENES'!$AF703=$D$3),IF($F$3="(todos)",TRUE,'ORDENES'!$X703=$F$3),IF($H$3="(todos)",TRUE,'ORDENES'!$W703=$H$3),'ORDENES'!$AD703=TRUE,'ORDENES'!$A703&lt;&gt;""),1,0)</f>
        <v/>
      </c>
      <c r="L707" s="3">
        <f>IF(K707=1,IFERROR(MATCH('ORDENES'!$R703,lista_dias,0),9)*1000000000+IFERROR(MATCH('ORDENES'!$AF703,lista_turnos,0),9)*10000000+IFERROR(MATCH('ORDENES'!$AE703,'TECNICOS'!$B$4:$B$15,0),99)*100000+700,9000000000000+700)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IF('ORDENES'!$T703="preventiva",N707,0)</f>
        <v/>
      </c>
      <c r="P707" s="17">
        <f>IF('ORDENES'!$T703="correctiva",N707,0)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IF(AND(IF($B$3="(todos)",TRUE,'ORDENES'!$O704=$B$3),IF($D$3="(todos)",TRUE,'ORDENES'!$AF704=$D$3),IF($F$3="(todos)",TRUE,'ORDENES'!$X704=$F$3),IF($H$3="(todos)",TRUE,'ORDENES'!$W704=$H$3),'ORDENES'!$AD704=TRUE,'ORDENES'!$A704&lt;&gt;""),1,0)</f>
        <v/>
      </c>
      <c r="L708" s="3">
        <f>IF(K708=1,IFERROR(MATCH('ORDENES'!$R704,lista_dias,0),9)*1000000000+IFERROR(MATCH('ORDENES'!$AF704,lista_turnos,0),9)*10000000+IFERROR(MATCH('ORDENES'!$AE704,'TECNICOS'!$B$4:$B$15,0),99)*100000+701,9000000000000+701)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IF('ORDENES'!$T704="preventiva",N708,0)</f>
        <v/>
      </c>
      <c r="P708" s="17">
        <f>IF('ORDENES'!$T704="correctiva",N708,0)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IF(AND(IF($B$3="(todos)",TRUE,'ORDENES'!$O705=$B$3),IF($D$3="(todos)",TRUE,'ORDENES'!$AF705=$D$3),IF($F$3="(todos)",TRUE,'ORDENES'!$X705=$F$3),IF($H$3="(todos)",TRUE,'ORDENES'!$W705=$H$3),'ORDENES'!$AD705=TRUE,'ORDENES'!$A705&lt;&gt;""),1,0)</f>
        <v/>
      </c>
      <c r="L709" s="3">
        <f>IF(K709=1,IFERROR(MATCH('ORDENES'!$R705,lista_dias,0),9)*1000000000+IFERROR(MATCH('ORDENES'!$AF705,lista_turnos,0),9)*10000000+IFERROR(MATCH('ORDENES'!$AE705,'TECNICOS'!$B$4:$B$15,0),99)*100000+702,9000000000000+702)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IF('ORDENES'!$T705="preventiva",N709,0)</f>
        <v/>
      </c>
      <c r="P709" s="17">
        <f>IF('ORDENES'!$T705="correctiva",N709,0)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IF(AND(IF($B$3="(todos)",TRUE,'ORDENES'!$O706=$B$3),IF($D$3="(todos)",TRUE,'ORDENES'!$AF706=$D$3),IF($F$3="(todos)",TRUE,'ORDENES'!$X706=$F$3),IF($H$3="(todos)",TRUE,'ORDENES'!$W706=$H$3),'ORDENES'!$AD706=TRUE,'ORDENES'!$A706&lt;&gt;""),1,0)</f>
        <v/>
      </c>
      <c r="L710" s="3">
        <f>IF(K710=1,IFERROR(MATCH('ORDENES'!$R706,lista_dias,0),9)*1000000000+IFERROR(MATCH('ORDENES'!$AF706,lista_turnos,0),9)*10000000+IFERROR(MATCH('ORDENES'!$AE706,'TECNICOS'!$B$4:$B$15,0),99)*100000+703,9000000000000+703)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IF('ORDENES'!$T706="preventiva",N710,0)</f>
        <v/>
      </c>
      <c r="P710" s="17">
        <f>IF('ORDENES'!$T706="correctiva",N710,0)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IF(AND(IF($B$3="(todos)",TRUE,'ORDENES'!$O707=$B$3),IF($D$3="(todos)",TRUE,'ORDENES'!$AF707=$D$3),IF($F$3="(todos)",TRUE,'ORDENES'!$X707=$F$3),IF($H$3="(todos)",TRUE,'ORDENES'!$W707=$H$3),'ORDENES'!$AD707=TRUE,'ORDENES'!$A707&lt;&gt;""),1,0)</f>
        <v/>
      </c>
      <c r="L711" s="3">
        <f>IF(K711=1,IFERROR(MATCH('ORDENES'!$R707,lista_dias,0),9)*1000000000+IFERROR(MATCH('ORDENES'!$AF707,lista_turnos,0),9)*10000000+IFERROR(MATCH('ORDENES'!$AE707,'TECNICOS'!$B$4:$B$15,0),99)*100000+704,9000000000000+704)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IF('ORDENES'!$T707="preventiva",N711,0)</f>
        <v/>
      </c>
      <c r="P711" s="17">
        <f>IF('ORDENES'!$T707="correctiva",N711,0)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IF(AND(IF($B$3="(todos)",TRUE,'ORDENES'!$O708=$B$3),IF($D$3="(todos)",TRUE,'ORDENES'!$AF708=$D$3),IF($F$3="(todos)",TRUE,'ORDENES'!$X708=$F$3),IF($H$3="(todos)",TRUE,'ORDENES'!$W708=$H$3),'ORDENES'!$AD708=TRUE,'ORDENES'!$A708&lt;&gt;""),1,0)</f>
        <v/>
      </c>
      <c r="L712" s="3">
        <f>IF(K712=1,IFERROR(MATCH('ORDENES'!$R708,lista_dias,0),9)*1000000000+IFERROR(MATCH('ORDENES'!$AF708,lista_turnos,0),9)*10000000+IFERROR(MATCH('ORDENES'!$AE708,'TECNICOS'!$B$4:$B$15,0),99)*100000+705,9000000000000+705)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IF('ORDENES'!$T708="preventiva",N712,0)</f>
        <v/>
      </c>
      <c r="P712" s="17">
        <f>IF('ORDENES'!$T708="correctiva",N712,0)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IF(AND(IF($B$3="(todos)",TRUE,'ORDENES'!$O709=$B$3),IF($D$3="(todos)",TRUE,'ORDENES'!$AF709=$D$3),IF($F$3="(todos)",TRUE,'ORDENES'!$X709=$F$3),IF($H$3="(todos)",TRUE,'ORDENES'!$W709=$H$3),'ORDENES'!$AD709=TRUE,'ORDENES'!$A709&lt;&gt;""),1,0)</f>
        <v/>
      </c>
      <c r="L713" s="3">
        <f>IF(K713=1,IFERROR(MATCH('ORDENES'!$R709,lista_dias,0),9)*1000000000+IFERROR(MATCH('ORDENES'!$AF709,lista_turnos,0),9)*10000000+IFERROR(MATCH('ORDENES'!$AE709,'TECNICOS'!$B$4:$B$15,0),99)*100000+706,9000000000000+706)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IF('ORDENES'!$T709="preventiva",N713,0)</f>
        <v/>
      </c>
      <c r="P713" s="17">
        <f>IF('ORDENES'!$T709="correctiva",N713,0)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IF(AND(IF($B$3="(todos)",TRUE,'ORDENES'!$O710=$B$3),IF($D$3="(todos)",TRUE,'ORDENES'!$AF710=$D$3),IF($F$3="(todos)",TRUE,'ORDENES'!$X710=$F$3),IF($H$3="(todos)",TRUE,'ORDENES'!$W710=$H$3),'ORDENES'!$AD710=TRUE,'ORDENES'!$A710&lt;&gt;""),1,0)</f>
        <v/>
      </c>
      <c r="L714" s="3">
        <f>IF(K714=1,IFERROR(MATCH('ORDENES'!$R710,lista_dias,0),9)*1000000000+IFERROR(MATCH('ORDENES'!$AF710,lista_turnos,0),9)*10000000+IFERROR(MATCH('ORDENES'!$AE710,'TECNICOS'!$B$4:$B$15,0),99)*100000+707,9000000000000+707)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IF('ORDENES'!$T710="preventiva",N714,0)</f>
        <v/>
      </c>
      <c r="P714" s="17">
        <f>IF('ORDENES'!$T710="correctiva",N714,0)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IF(AND(IF($B$3="(todos)",TRUE,'ORDENES'!$O711=$B$3),IF($D$3="(todos)",TRUE,'ORDENES'!$AF711=$D$3),IF($F$3="(todos)",TRUE,'ORDENES'!$X711=$F$3),IF($H$3="(todos)",TRUE,'ORDENES'!$W711=$H$3),'ORDENES'!$AD711=TRUE,'ORDENES'!$A711&lt;&gt;""),1,0)</f>
        <v/>
      </c>
      <c r="L715" s="3">
        <f>IF(K715=1,IFERROR(MATCH('ORDENES'!$R711,lista_dias,0),9)*1000000000+IFERROR(MATCH('ORDENES'!$AF711,lista_turnos,0),9)*10000000+IFERROR(MATCH('ORDENES'!$AE711,'TECNICOS'!$B$4:$B$15,0),99)*100000+708,9000000000000+708)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IF('ORDENES'!$T711="preventiva",N715,0)</f>
        <v/>
      </c>
      <c r="P715" s="17">
        <f>IF('ORDENES'!$T711="correctiva",N715,0)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IF(AND(IF($B$3="(todos)",TRUE,'ORDENES'!$O712=$B$3),IF($D$3="(todos)",TRUE,'ORDENES'!$AF712=$D$3),IF($F$3="(todos)",TRUE,'ORDENES'!$X712=$F$3),IF($H$3="(todos)",TRUE,'ORDENES'!$W712=$H$3),'ORDENES'!$AD712=TRUE,'ORDENES'!$A712&lt;&gt;""),1,0)</f>
        <v/>
      </c>
      <c r="L716" s="3">
        <f>IF(K716=1,IFERROR(MATCH('ORDENES'!$R712,lista_dias,0),9)*1000000000+IFERROR(MATCH('ORDENES'!$AF712,lista_turnos,0),9)*10000000+IFERROR(MATCH('ORDENES'!$AE712,'TECNICOS'!$B$4:$B$15,0),99)*100000+709,9000000000000+709)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IF('ORDENES'!$T712="preventiva",N716,0)</f>
        <v/>
      </c>
      <c r="P716" s="17">
        <f>IF('ORDENES'!$T712="correctiva",N716,0)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IF(AND(IF($B$3="(todos)",TRUE,'ORDENES'!$O713=$B$3),IF($D$3="(todos)",TRUE,'ORDENES'!$AF713=$D$3),IF($F$3="(todos)",TRUE,'ORDENES'!$X713=$F$3),IF($H$3="(todos)",TRUE,'ORDENES'!$W713=$H$3),'ORDENES'!$AD713=TRUE,'ORDENES'!$A713&lt;&gt;""),1,0)</f>
        <v/>
      </c>
      <c r="L717" s="3">
        <f>IF(K717=1,IFERROR(MATCH('ORDENES'!$R713,lista_dias,0),9)*1000000000+IFERROR(MATCH('ORDENES'!$AF713,lista_turnos,0),9)*10000000+IFERROR(MATCH('ORDENES'!$AE713,'TECNICOS'!$B$4:$B$15,0),99)*100000+710,9000000000000+710)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IF('ORDENES'!$T713="preventiva",N717,0)</f>
        <v/>
      </c>
      <c r="P717" s="17">
        <f>IF('ORDENES'!$T713="correctiva",N717,0)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IF(AND(IF($B$3="(todos)",TRUE,'ORDENES'!$O714=$B$3),IF($D$3="(todos)",TRUE,'ORDENES'!$AF714=$D$3),IF($F$3="(todos)",TRUE,'ORDENES'!$X714=$F$3),IF($H$3="(todos)",TRUE,'ORDENES'!$W714=$H$3),'ORDENES'!$AD714=TRUE,'ORDENES'!$A714&lt;&gt;""),1,0)</f>
        <v/>
      </c>
      <c r="L718" s="3">
        <f>IF(K718=1,IFERROR(MATCH('ORDENES'!$R714,lista_dias,0),9)*1000000000+IFERROR(MATCH('ORDENES'!$AF714,lista_turnos,0),9)*10000000+IFERROR(MATCH('ORDENES'!$AE714,'TECNICOS'!$B$4:$B$15,0),99)*100000+711,9000000000000+711)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IF('ORDENES'!$T714="preventiva",N718,0)</f>
        <v/>
      </c>
      <c r="P718" s="17">
        <f>IF('ORDENES'!$T714="correctiva",N718,0)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IF(AND(IF($B$3="(todos)",TRUE,'ORDENES'!$O715=$B$3),IF($D$3="(todos)",TRUE,'ORDENES'!$AF715=$D$3),IF($F$3="(todos)",TRUE,'ORDENES'!$X715=$F$3),IF($H$3="(todos)",TRUE,'ORDENES'!$W715=$H$3),'ORDENES'!$AD715=TRUE,'ORDENES'!$A715&lt;&gt;""),1,0)</f>
        <v/>
      </c>
      <c r="L719" s="3">
        <f>IF(K719=1,IFERROR(MATCH('ORDENES'!$R715,lista_dias,0),9)*1000000000+IFERROR(MATCH('ORDENES'!$AF715,lista_turnos,0),9)*10000000+IFERROR(MATCH('ORDENES'!$AE715,'TECNICOS'!$B$4:$B$15,0),99)*100000+712,9000000000000+712)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IF('ORDENES'!$T715="preventiva",N719,0)</f>
        <v/>
      </c>
      <c r="P719" s="17">
        <f>IF('ORDENES'!$T715="correctiva",N719,0)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IF(AND(IF($B$3="(todos)",TRUE,'ORDENES'!$O716=$B$3),IF($D$3="(todos)",TRUE,'ORDENES'!$AF716=$D$3),IF($F$3="(todos)",TRUE,'ORDENES'!$X716=$F$3),IF($H$3="(todos)",TRUE,'ORDENES'!$W716=$H$3),'ORDENES'!$AD716=TRUE,'ORDENES'!$A716&lt;&gt;""),1,0)</f>
        <v/>
      </c>
      <c r="L720" s="3">
        <f>IF(K720=1,IFERROR(MATCH('ORDENES'!$R716,lista_dias,0),9)*1000000000+IFERROR(MATCH('ORDENES'!$AF716,lista_turnos,0),9)*10000000+IFERROR(MATCH('ORDENES'!$AE716,'TECNICOS'!$B$4:$B$15,0),99)*100000+713,9000000000000+713)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IF('ORDENES'!$T716="preventiva",N720,0)</f>
        <v/>
      </c>
      <c r="P720" s="17">
        <f>IF('ORDENES'!$T716="correctiva",N720,0)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IF(AND(IF($B$3="(todos)",TRUE,'ORDENES'!$O717=$B$3),IF($D$3="(todos)",TRUE,'ORDENES'!$AF717=$D$3),IF($F$3="(todos)",TRUE,'ORDENES'!$X717=$F$3),IF($H$3="(todos)",TRUE,'ORDENES'!$W717=$H$3),'ORDENES'!$AD717=TRUE,'ORDENES'!$A717&lt;&gt;""),1,0)</f>
        <v/>
      </c>
      <c r="L721" s="3">
        <f>IF(K721=1,IFERROR(MATCH('ORDENES'!$R717,lista_dias,0),9)*1000000000+IFERROR(MATCH('ORDENES'!$AF717,lista_turnos,0),9)*10000000+IFERROR(MATCH('ORDENES'!$AE717,'TECNICOS'!$B$4:$B$15,0),99)*100000+714,9000000000000+714)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IF('ORDENES'!$T717="preventiva",N721,0)</f>
        <v/>
      </c>
      <c r="P721" s="17">
        <f>IF('ORDENES'!$T717="correctiva",N721,0)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IF(AND(IF($B$3="(todos)",TRUE,'ORDENES'!$O718=$B$3),IF($D$3="(todos)",TRUE,'ORDENES'!$AF718=$D$3),IF($F$3="(todos)",TRUE,'ORDENES'!$X718=$F$3),IF($H$3="(todos)",TRUE,'ORDENES'!$W718=$H$3),'ORDENES'!$AD718=TRUE,'ORDENES'!$A718&lt;&gt;""),1,0)</f>
        <v/>
      </c>
      <c r="L722" s="3">
        <f>IF(K722=1,IFERROR(MATCH('ORDENES'!$R718,lista_dias,0),9)*1000000000+IFERROR(MATCH('ORDENES'!$AF718,lista_turnos,0),9)*10000000+IFERROR(MATCH('ORDENES'!$AE718,'TECNICOS'!$B$4:$B$15,0),99)*100000+715,9000000000000+715)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IF('ORDENES'!$T718="preventiva",N722,0)</f>
        <v/>
      </c>
      <c r="P722" s="17">
        <f>IF('ORDENES'!$T718="correctiva",N722,0)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IF(AND(IF($B$3="(todos)",TRUE,'ORDENES'!$O719=$B$3),IF($D$3="(todos)",TRUE,'ORDENES'!$AF719=$D$3),IF($F$3="(todos)",TRUE,'ORDENES'!$X719=$F$3),IF($H$3="(todos)",TRUE,'ORDENES'!$W719=$H$3),'ORDENES'!$AD719=TRUE,'ORDENES'!$A719&lt;&gt;""),1,0)</f>
        <v/>
      </c>
      <c r="L723" s="3">
        <f>IF(K723=1,IFERROR(MATCH('ORDENES'!$R719,lista_dias,0),9)*1000000000+IFERROR(MATCH('ORDENES'!$AF719,lista_turnos,0),9)*10000000+IFERROR(MATCH('ORDENES'!$AE719,'TECNICOS'!$B$4:$B$15,0),99)*100000+716,9000000000000+716)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IF('ORDENES'!$T719="preventiva",N723,0)</f>
        <v/>
      </c>
      <c r="P723" s="17">
        <f>IF('ORDENES'!$T719="correctiva",N723,0)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IF(AND(IF($B$3="(todos)",TRUE,'ORDENES'!$O720=$B$3),IF($D$3="(todos)",TRUE,'ORDENES'!$AF720=$D$3),IF($F$3="(todos)",TRUE,'ORDENES'!$X720=$F$3),IF($H$3="(todos)",TRUE,'ORDENES'!$W720=$H$3),'ORDENES'!$AD720=TRUE,'ORDENES'!$A720&lt;&gt;""),1,0)</f>
        <v/>
      </c>
      <c r="L724" s="3">
        <f>IF(K724=1,IFERROR(MATCH('ORDENES'!$R720,lista_dias,0),9)*1000000000+IFERROR(MATCH('ORDENES'!$AF720,lista_turnos,0),9)*10000000+IFERROR(MATCH('ORDENES'!$AE720,'TECNICOS'!$B$4:$B$15,0),99)*100000+717,9000000000000+717)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IF('ORDENES'!$T720="preventiva",N724,0)</f>
        <v/>
      </c>
      <c r="P724" s="17">
        <f>IF('ORDENES'!$T720="correctiva",N724,0)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IF(AND(IF($B$3="(todos)",TRUE,'ORDENES'!$O721=$B$3),IF($D$3="(todos)",TRUE,'ORDENES'!$AF721=$D$3),IF($F$3="(todos)",TRUE,'ORDENES'!$X721=$F$3),IF($H$3="(todos)",TRUE,'ORDENES'!$W721=$H$3),'ORDENES'!$AD721=TRUE,'ORDENES'!$A721&lt;&gt;""),1,0)</f>
        <v/>
      </c>
      <c r="L725" s="3">
        <f>IF(K725=1,IFERROR(MATCH('ORDENES'!$R721,lista_dias,0),9)*1000000000+IFERROR(MATCH('ORDENES'!$AF721,lista_turnos,0),9)*10000000+IFERROR(MATCH('ORDENES'!$AE721,'TECNICOS'!$B$4:$B$15,0),99)*100000+718,9000000000000+718)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IF('ORDENES'!$T721="preventiva",N725,0)</f>
        <v/>
      </c>
      <c r="P725" s="17">
        <f>IF('ORDENES'!$T721="correctiva",N725,0)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IF(AND(IF($B$3="(todos)",TRUE,'ORDENES'!$O722=$B$3),IF($D$3="(todos)",TRUE,'ORDENES'!$AF722=$D$3),IF($F$3="(todos)",TRUE,'ORDENES'!$X722=$F$3),IF($H$3="(todos)",TRUE,'ORDENES'!$W722=$H$3),'ORDENES'!$AD722=TRUE,'ORDENES'!$A722&lt;&gt;""),1,0)</f>
        <v/>
      </c>
      <c r="L726" s="3">
        <f>IF(K726=1,IFERROR(MATCH('ORDENES'!$R722,lista_dias,0),9)*1000000000+IFERROR(MATCH('ORDENES'!$AF722,lista_turnos,0),9)*10000000+IFERROR(MATCH('ORDENES'!$AE722,'TECNICOS'!$B$4:$B$15,0),99)*100000+719,9000000000000+719)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IF('ORDENES'!$T722="preventiva",N726,0)</f>
        <v/>
      </c>
      <c r="P726" s="17">
        <f>IF('ORDENES'!$T722="correctiva",N726,0)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IF(AND(IF($B$3="(todos)",TRUE,'ORDENES'!$O723=$B$3),IF($D$3="(todos)",TRUE,'ORDENES'!$AF723=$D$3),IF($F$3="(todos)",TRUE,'ORDENES'!$X723=$F$3),IF($H$3="(todos)",TRUE,'ORDENES'!$W723=$H$3),'ORDENES'!$AD723=TRUE,'ORDENES'!$A723&lt;&gt;""),1,0)</f>
        <v/>
      </c>
      <c r="L727" s="3">
        <f>IF(K727=1,IFERROR(MATCH('ORDENES'!$R723,lista_dias,0),9)*1000000000+IFERROR(MATCH('ORDENES'!$AF723,lista_turnos,0),9)*10000000+IFERROR(MATCH('ORDENES'!$AE723,'TECNICOS'!$B$4:$B$15,0),99)*100000+720,9000000000000+720)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IF('ORDENES'!$T723="preventiva",N727,0)</f>
        <v/>
      </c>
      <c r="P727" s="17">
        <f>IF('ORDENES'!$T723="correctiva",N727,0)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IF(AND(IF($B$3="(todos)",TRUE,'ORDENES'!$O724=$B$3),IF($D$3="(todos)",TRUE,'ORDENES'!$AF724=$D$3),IF($F$3="(todos)",TRUE,'ORDENES'!$X724=$F$3),IF($H$3="(todos)",TRUE,'ORDENES'!$W724=$H$3),'ORDENES'!$AD724=TRUE,'ORDENES'!$A724&lt;&gt;""),1,0)</f>
        <v/>
      </c>
      <c r="L728" s="3">
        <f>IF(K728=1,IFERROR(MATCH('ORDENES'!$R724,lista_dias,0),9)*1000000000+IFERROR(MATCH('ORDENES'!$AF724,lista_turnos,0),9)*10000000+IFERROR(MATCH('ORDENES'!$AE724,'TECNICOS'!$B$4:$B$15,0),99)*100000+721,9000000000000+721)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IF('ORDENES'!$T724="preventiva",N728,0)</f>
        <v/>
      </c>
      <c r="P728" s="17">
        <f>IF('ORDENES'!$T724="correctiva",N728,0)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IF(AND(IF($B$3="(todos)",TRUE,'ORDENES'!$O725=$B$3),IF($D$3="(todos)",TRUE,'ORDENES'!$AF725=$D$3),IF($F$3="(todos)",TRUE,'ORDENES'!$X725=$F$3),IF($H$3="(todos)",TRUE,'ORDENES'!$W725=$H$3),'ORDENES'!$AD725=TRUE,'ORDENES'!$A725&lt;&gt;""),1,0)</f>
        <v/>
      </c>
      <c r="L729" s="3">
        <f>IF(K729=1,IFERROR(MATCH('ORDENES'!$R725,lista_dias,0),9)*1000000000+IFERROR(MATCH('ORDENES'!$AF725,lista_turnos,0),9)*10000000+IFERROR(MATCH('ORDENES'!$AE725,'TECNICOS'!$B$4:$B$15,0),99)*100000+722,9000000000000+722)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IF('ORDENES'!$T725="preventiva",N729,0)</f>
        <v/>
      </c>
      <c r="P729" s="17">
        <f>IF('ORDENES'!$T725="correctiva",N729,0)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IF(AND(IF($B$3="(todos)",TRUE,'ORDENES'!$O726=$B$3),IF($D$3="(todos)",TRUE,'ORDENES'!$AF726=$D$3),IF($F$3="(todos)",TRUE,'ORDENES'!$X726=$F$3),IF($H$3="(todos)",TRUE,'ORDENES'!$W726=$H$3),'ORDENES'!$AD726=TRUE,'ORDENES'!$A726&lt;&gt;""),1,0)</f>
        <v/>
      </c>
      <c r="L730" s="3">
        <f>IF(K730=1,IFERROR(MATCH('ORDENES'!$R726,lista_dias,0),9)*1000000000+IFERROR(MATCH('ORDENES'!$AF726,lista_turnos,0),9)*10000000+IFERROR(MATCH('ORDENES'!$AE726,'TECNICOS'!$B$4:$B$15,0),99)*100000+723,9000000000000+723)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IF('ORDENES'!$T726="preventiva",N730,0)</f>
        <v/>
      </c>
      <c r="P730" s="17">
        <f>IF('ORDENES'!$T726="correctiva",N730,0)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IF(AND(IF($B$3="(todos)",TRUE,'ORDENES'!$O727=$B$3),IF($D$3="(todos)",TRUE,'ORDENES'!$AF727=$D$3),IF($F$3="(todos)",TRUE,'ORDENES'!$X727=$F$3),IF($H$3="(todos)",TRUE,'ORDENES'!$W727=$H$3),'ORDENES'!$AD727=TRUE,'ORDENES'!$A727&lt;&gt;""),1,0)</f>
        <v/>
      </c>
      <c r="L731" s="3">
        <f>IF(K731=1,IFERROR(MATCH('ORDENES'!$R727,lista_dias,0),9)*1000000000+IFERROR(MATCH('ORDENES'!$AF727,lista_turnos,0),9)*10000000+IFERROR(MATCH('ORDENES'!$AE727,'TECNICOS'!$B$4:$B$15,0),99)*100000+724,9000000000000+724)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IF('ORDENES'!$T727="preventiva",N731,0)</f>
        <v/>
      </c>
      <c r="P731" s="17">
        <f>IF('ORDENES'!$T727="correctiva",N731,0)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IF(AND(IF($B$3="(todos)",TRUE,'ORDENES'!$O728=$B$3),IF($D$3="(todos)",TRUE,'ORDENES'!$AF728=$D$3),IF($F$3="(todos)",TRUE,'ORDENES'!$X728=$F$3),IF($H$3="(todos)",TRUE,'ORDENES'!$W728=$H$3),'ORDENES'!$AD728=TRUE,'ORDENES'!$A728&lt;&gt;""),1,0)</f>
        <v/>
      </c>
      <c r="L732" s="3">
        <f>IF(K732=1,IFERROR(MATCH('ORDENES'!$R728,lista_dias,0),9)*1000000000+IFERROR(MATCH('ORDENES'!$AF728,lista_turnos,0),9)*10000000+IFERROR(MATCH('ORDENES'!$AE728,'TECNICOS'!$B$4:$B$15,0),99)*100000+725,9000000000000+725)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IF('ORDENES'!$T728="preventiva",N732,0)</f>
        <v/>
      </c>
      <c r="P732" s="17">
        <f>IF('ORDENES'!$T728="correctiva",N732,0)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IF(AND(IF($B$3="(todos)",TRUE,'ORDENES'!$O729=$B$3),IF($D$3="(todos)",TRUE,'ORDENES'!$AF729=$D$3),IF($F$3="(todos)",TRUE,'ORDENES'!$X729=$F$3),IF($H$3="(todos)",TRUE,'ORDENES'!$W729=$H$3),'ORDENES'!$AD729=TRUE,'ORDENES'!$A729&lt;&gt;""),1,0)</f>
        <v/>
      </c>
      <c r="L733" s="3">
        <f>IF(K733=1,IFERROR(MATCH('ORDENES'!$R729,lista_dias,0),9)*1000000000+IFERROR(MATCH('ORDENES'!$AF729,lista_turnos,0),9)*10000000+IFERROR(MATCH('ORDENES'!$AE729,'TECNICOS'!$B$4:$B$15,0),99)*100000+726,9000000000000+726)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IF('ORDENES'!$T729="preventiva",N733,0)</f>
        <v/>
      </c>
      <c r="P733" s="17">
        <f>IF('ORDENES'!$T729="correctiva",N733,0)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IF(AND(IF($B$3="(todos)",TRUE,'ORDENES'!$O730=$B$3),IF($D$3="(todos)",TRUE,'ORDENES'!$AF730=$D$3),IF($F$3="(todos)",TRUE,'ORDENES'!$X730=$F$3),IF($H$3="(todos)",TRUE,'ORDENES'!$W730=$H$3),'ORDENES'!$AD730=TRUE,'ORDENES'!$A730&lt;&gt;""),1,0)</f>
        <v/>
      </c>
      <c r="L734" s="3">
        <f>IF(K734=1,IFERROR(MATCH('ORDENES'!$R730,lista_dias,0),9)*1000000000+IFERROR(MATCH('ORDENES'!$AF730,lista_turnos,0),9)*10000000+IFERROR(MATCH('ORDENES'!$AE730,'TECNICOS'!$B$4:$B$15,0),99)*100000+727,9000000000000+727)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IF('ORDENES'!$T730="preventiva",N734,0)</f>
        <v/>
      </c>
      <c r="P734" s="17">
        <f>IF('ORDENES'!$T730="correctiva",N734,0)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IF(AND(IF($B$3="(todos)",TRUE,'ORDENES'!$O731=$B$3),IF($D$3="(todos)",TRUE,'ORDENES'!$AF731=$D$3),IF($F$3="(todos)",TRUE,'ORDENES'!$X731=$F$3),IF($H$3="(todos)",TRUE,'ORDENES'!$W731=$H$3),'ORDENES'!$AD731=TRUE,'ORDENES'!$A731&lt;&gt;""),1,0)</f>
        <v/>
      </c>
      <c r="L735" s="3">
        <f>IF(K735=1,IFERROR(MATCH('ORDENES'!$R731,lista_dias,0),9)*1000000000+IFERROR(MATCH('ORDENES'!$AF731,lista_turnos,0),9)*10000000+IFERROR(MATCH('ORDENES'!$AE731,'TECNICOS'!$B$4:$B$15,0),99)*100000+728,9000000000000+728)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IF('ORDENES'!$T731="preventiva",N735,0)</f>
        <v/>
      </c>
      <c r="P735" s="17">
        <f>IF('ORDENES'!$T731="correctiva",N735,0)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IF(AND(IF($B$3="(todos)",TRUE,'ORDENES'!$O732=$B$3),IF($D$3="(todos)",TRUE,'ORDENES'!$AF732=$D$3),IF($F$3="(todos)",TRUE,'ORDENES'!$X732=$F$3),IF($H$3="(todos)",TRUE,'ORDENES'!$W732=$H$3),'ORDENES'!$AD732=TRUE,'ORDENES'!$A732&lt;&gt;""),1,0)</f>
        <v/>
      </c>
      <c r="L736" s="3">
        <f>IF(K736=1,IFERROR(MATCH('ORDENES'!$R732,lista_dias,0),9)*1000000000+IFERROR(MATCH('ORDENES'!$AF732,lista_turnos,0),9)*10000000+IFERROR(MATCH('ORDENES'!$AE732,'TECNICOS'!$B$4:$B$15,0),99)*100000+729,9000000000000+729)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IF('ORDENES'!$T732="preventiva",N736,0)</f>
        <v/>
      </c>
      <c r="P736" s="17">
        <f>IF('ORDENES'!$T732="correctiva",N736,0)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IF(AND(IF($B$3="(todos)",TRUE,'ORDENES'!$O733=$B$3),IF($D$3="(todos)",TRUE,'ORDENES'!$AF733=$D$3),IF($F$3="(todos)",TRUE,'ORDENES'!$X733=$F$3),IF($H$3="(todos)",TRUE,'ORDENES'!$W733=$H$3),'ORDENES'!$AD733=TRUE,'ORDENES'!$A733&lt;&gt;""),1,0)</f>
        <v/>
      </c>
      <c r="L737" s="3">
        <f>IF(K737=1,IFERROR(MATCH('ORDENES'!$R733,lista_dias,0),9)*1000000000+IFERROR(MATCH('ORDENES'!$AF733,lista_turnos,0),9)*10000000+IFERROR(MATCH('ORDENES'!$AE733,'TECNICOS'!$B$4:$B$15,0),99)*100000+730,9000000000000+730)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IF('ORDENES'!$T733="preventiva",N737,0)</f>
        <v/>
      </c>
      <c r="P737" s="17">
        <f>IF('ORDENES'!$T733="correctiva",N737,0)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IF(AND(IF($B$3="(todos)",TRUE,'ORDENES'!$O734=$B$3),IF($D$3="(todos)",TRUE,'ORDENES'!$AF734=$D$3),IF($F$3="(todos)",TRUE,'ORDENES'!$X734=$F$3),IF($H$3="(todos)",TRUE,'ORDENES'!$W734=$H$3),'ORDENES'!$AD734=TRUE,'ORDENES'!$A734&lt;&gt;""),1,0)</f>
        <v/>
      </c>
      <c r="L738" s="3">
        <f>IF(K738=1,IFERROR(MATCH('ORDENES'!$R734,lista_dias,0),9)*1000000000+IFERROR(MATCH('ORDENES'!$AF734,lista_turnos,0),9)*10000000+IFERROR(MATCH('ORDENES'!$AE734,'TECNICOS'!$B$4:$B$15,0),99)*100000+731,9000000000000+731)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IF('ORDENES'!$T734="preventiva",N738,0)</f>
        <v/>
      </c>
      <c r="P738" s="17">
        <f>IF('ORDENES'!$T734="correctiva",N738,0)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IF(AND(IF($B$3="(todos)",TRUE,'ORDENES'!$O735=$B$3),IF($D$3="(todos)",TRUE,'ORDENES'!$AF735=$D$3),IF($F$3="(todos)",TRUE,'ORDENES'!$X735=$F$3),IF($H$3="(todos)",TRUE,'ORDENES'!$W735=$H$3),'ORDENES'!$AD735=TRUE,'ORDENES'!$A735&lt;&gt;""),1,0)</f>
        <v/>
      </c>
      <c r="L739" s="3">
        <f>IF(K739=1,IFERROR(MATCH('ORDENES'!$R735,lista_dias,0),9)*1000000000+IFERROR(MATCH('ORDENES'!$AF735,lista_turnos,0),9)*10000000+IFERROR(MATCH('ORDENES'!$AE735,'TECNICOS'!$B$4:$B$15,0),99)*100000+732,9000000000000+732)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IF('ORDENES'!$T735="preventiva",N739,0)</f>
        <v/>
      </c>
      <c r="P739" s="17">
        <f>IF('ORDENES'!$T735="correctiva",N739,0)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IF(AND(IF($B$3="(todos)",TRUE,'ORDENES'!$O736=$B$3),IF($D$3="(todos)",TRUE,'ORDENES'!$AF736=$D$3),IF($F$3="(todos)",TRUE,'ORDENES'!$X736=$F$3),IF($H$3="(todos)",TRUE,'ORDENES'!$W736=$H$3),'ORDENES'!$AD736=TRUE,'ORDENES'!$A736&lt;&gt;""),1,0)</f>
        <v/>
      </c>
      <c r="L740" s="3">
        <f>IF(K740=1,IFERROR(MATCH('ORDENES'!$R736,lista_dias,0),9)*1000000000+IFERROR(MATCH('ORDENES'!$AF736,lista_turnos,0),9)*10000000+IFERROR(MATCH('ORDENES'!$AE736,'TECNICOS'!$B$4:$B$15,0),99)*100000+733,9000000000000+733)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IF('ORDENES'!$T736="preventiva",N740,0)</f>
        <v/>
      </c>
      <c r="P740" s="17">
        <f>IF('ORDENES'!$T736="correctiva",N740,0)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IF(AND(IF($B$3="(todos)",TRUE,'ORDENES'!$O737=$B$3),IF($D$3="(todos)",TRUE,'ORDENES'!$AF737=$D$3),IF($F$3="(todos)",TRUE,'ORDENES'!$X737=$F$3),IF($H$3="(todos)",TRUE,'ORDENES'!$W737=$H$3),'ORDENES'!$AD737=TRUE,'ORDENES'!$A737&lt;&gt;""),1,0)</f>
        <v/>
      </c>
      <c r="L741" s="3">
        <f>IF(K741=1,IFERROR(MATCH('ORDENES'!$R737,lista_dias,0),9)*1000000000+IFERROR(MATCH('ORDENES'!$AF737,lista_turnos,0),9)*10000000+IFERROR(MATCH('ORDENES'!$AE737,'TECNICOS'!$B$4:$B$15,0),99)*100000+734,9000000000000+734)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IF('ORDENES'!$T737="preventiva",N741,0)</f>
        <v/>
      </c>
      <c r="P741" s="17">
        <f>IF('ORDENES'!$T737="correctiva",N741,0)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IF(AND(IF($B$3="(todos)",TRUE,'ORDENES'!$O738=$B$3),IF($D$3="(todos)",TRUE,'ORDENES'!$AF738=$D$3),IF($F$3="(todos)",TRUE,'ORDENES'!$X738=$F$3),IF($H$3="(todos)",TRUE,'ORDENES'!$W738=$H$3),'ORDENES'!$AD738=TRUE,'ORDENES'!$A738&lt;&gt;""),1,0)</f>
        <v/>
      </c>
      <c r="L742" s="3">
        <f>IF(K742=1,IFERROR(MATCH('ORDENES'!$R738,lista_dias,0),9)*1000000000+IFERROR(MATCH('ORDENES'!$AF738,lista_turnos,0),9)*10000000+IFERROR(MATCH('ORDENES'!$AE738,'TECNICOS'!$B$4:$B$15,0),99)*100000+735,9000000000000+735)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IF('ORDENES'!$T738="preventiva",N742,0)</f>
        <v/>
      </c>
      <c r="P742" s="17">
        <f>IF('ORDENES'!$T738="correctiva",N742,0)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IF(AND(IF($B$3="(todos)",TRUE,'ORDENES'!$O739=$B$3),IF($D$3="(todos)",TRUE,'ORDENES'!$AF739=$D$3),IF($F$3="(todos)",TRUE,'ORDENES'!$X739=$F$3),IF($H$3="(todos)",TRUE,'ORDENES'!$W739=$H$3),'ORDENES'!$AD739=TRUE,'ORDENES'!$A739&lt;&gt;""),1,0)</f>
        <v/>
      </c>
      <c r="L743" s="3">
        <f>IF(K743=1,IFERROR(MATCH('ORDENES'!$R739,lista_dias,0),9)*1000000000+IFERROR(MATCH('ORDENES'!$AF739,lista_turnos,0),9)*10000000+IFERROR(MATCH('ORDENES'!$AE739,'TECNICOS'!$B$4:$B$15,0),99)*100000+736,9000000000000+736)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IF('ORDENES'!$T739="preventiva",N743,0)</f>
        <v/>
      </c>
      <c r="P743" s="17">
        <f>IF('ORDENES'!$T739="correctiva",N743,0)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IF(AND(IF($B$3="(todos)",TRUE,'ORDENES'!$O740=$B$3),IF($D$3="(todos)",TRUE,'ORDENES'!$AF740=$D$3),IF($F$3="(todos)",TRUE,'ORDENES'!$X740=$F$3),IF($H$3="(todos)",TRUE,'ORDENES'!$W740=$H$3),'ORDENES'!$AD740=TRUE,'ORDENES'!$A740&lt;&gt;""),1,0)</f>
        <v/>
      </c>
      <c r="L744" s="3">
        <f>IF(K744=1,IFERROR(MATCH('ORDENES'!$R740,lista_dias,0),9)*1000000000+IFERROR(MATCH('ORDENES'!$AF740,lista_turnos,0),9)*10000000+IFERROR(MATCH('ORDENES'!$AE740,'TECNICOS'!$B$4:$B$15,0),99)*100000+737,9000000000000+737)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IF('ORDENES'!$T740="preventiva",N744,0)</f>
        <v/>
      </c>
      <c r="P744" s="17">
        <f>IF('ORDENES'!$T740="correctiva",N744,0)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IF(AND(IF($B$3="(todos)",TRUE,'ORDENES'!$O741=$B$3),IF($D$3="(todos)",TRUE,'ORDENES'!$AF741=$D$3),IF($F$3="(todos)",TRUE,'ORDENES'!$X741=$F$3),IF($H$3="(todos)",TRUE,'ORDENES'!$W741=$H$3),'ORDENES'!$AD741=TRUE,'ORDENES'!$A741&lt;&gt;""),1,0)</f>
        <v/>
      </c>
      <c r="L745" s="3">
        <f>IF(K745=1,IFERROR(MATCH('ORDENES'!$R741,lista_dias,0),9)*1000000000+IFERROR(MATCH('ORDENES'!$AF741,lista_turnos,0),9)*10000000+IFERROR(MATCH('ORDENES'!$AE741,'TECNICOS'!$B$4:$B$15,0),99)*100000+738,9000000000000+738)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IF('ORDENES'!$T741="preventiva",N745,0)</f>
        <v/>
      </c>
      <c r="P745" s="17">
        <f>IF('ORDENES'!$T741="correctiva",N745,0)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IF(AND(IF($B$3="(todos)",TRUE,'ORDENES'!$O742=$B$3),IF($D$3="(todos)",TRUE,'ORDENES'!$AF742=$D$3),IF($F$3="(todos)",TRUE,'ORDENES'!$X742=$F$3),IF($H$3="(todos)",TRUE,'ORDENES'!$W742=$H$3),'ORDENES'!$AD742=TRUE,'ORDENES'!$A742&lt;&gt;""),1,0)</f>
        <v/>
      </c>
      <c r="L746" s="3">
        <f>IF(K746=1,IFERROR(MATCH('ORDENES'!$R742,lista_dias,0),9)*1000000000+IFERROR(MATCH('ORDENES'!$AF742,lista_turnos,0),9)*10000000+IFERROR(MATCH('ORDENES'!$AE742,'TECNICOS'!$B$4:$B$15,0),99)*100000+739,9000000000000+739)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IF('ORDENES'!$T742="preventiva",N746,0)</f>
        <v/>
      </c>
      <c r="P746" s="17">
        <f>IF('ORDENES'!$T742="correctiva",N746,0)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IF(AND(IF($B$3="(todos)",TRUE,'ORDENES'!$O743=$B$3),IF($D$3="(todos)",TRUE,'ORDENES'!$AF743=$D$3),IF($F$3="(todos)",TRUE,'ORDENES'!$X743=$F$3),IF($H$3="(todos)",TRUE,'ORDENES'!$W743=$H$3),'ORDENES'!$AD743=TRUE,'ORDENES'!$A743&lt;&gt;""),1,0)</f>
        <v/>
      </c>
      <c r="L747" s="3">
        <f>IF(K747=1,IFERROR(MATCH('ORDENES'!$R743,lista_dias,0),9)*1000000000+IFERROR(MATCH('ORDENES'!$AF743,lista_turnos,0),9)*10000000+IFERROR(MATCH('ORDENES'!$AE743,'TECNICOS'!$B$4:$B$15,0),99)*100000+740,9000000000000+740)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IF('ORDENES'!$T743="preventiva",N747,0)</f>
        <v/>
      </c>
      <c r="P747" s="17">
        <f>IF('ORDENES'!$T743="correctiva",N747,0)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IF(AND(IF($B$3="(todos)",TRUE,'ORDENES'!$O744=$B$3),IF($D$3="(todos)",TRUE,'ORDENES'!$AF744=$D$3),IF($F$3="(todos)",TRUE,'ORDENES'!$X744=$F$3),IF($H$3="(todos)",TRUE,'ORDENES'!$W744=$H$3),'ORDENES'!$AD744=TRUE,'ORDENES'!$A744&lt;&gt;""),1,0)</f>
        <v/>
      </c>
      <c r="L748" s="3">
        <f>IF(K748=1,IFERROR(MATCH('ORDENES'!$R744,lista_dias,0),9)*1000000000+IFERROR(MATCH('ORDENES'!$AF744,lista_turnos,0),9)*10000000+IFERROR(MATCH('ORDENES'!$AE744,'TECNICOS'!$B$4:$B$15,0),99)*100000+741,9000000000000+741)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IF('ORDENES'!$T744="preventiva",N748,0)</f>
        <v/>
      </c>
      <c r="P748" s="17">
        <f>IF('ORDENES'!$T744="correctiva",N748,0)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IF(AND(IF($B$3="(todos)",TRUE,'ORDENES'!$O745=$B$3),IF($D$3="(todos)",TRUE,'ORDENES'!$AF745=$D$3),IF($F$3="(todos)",TRUE,'ORDENES'!$X745=$F$3),IF($H$3="(todos)",TRUE,'ORDENES'!$W745=$H$3),'ORDENES'!$AD745=TRUE,'ORDENES'!$A745&lt;&gt;""),1,0)</f>
        <v/>
      </c>
      <c r="L749" s="3">
        <f>IF(K749=1,IFERROR(MATCH('ORDENES'!$R745,lista_dias,0),9)*1000000000+IFERROR(MATCH('ORDENES'!$AF745,lista_turnos,0),9)*10000000+IFERROR(MATCH('ORDENES'!$AE745,'TECNICOS'!$B$4:$B$15,0),99)*100000+742,9000000000000+742)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IF('ORDENES'!$T745="preventiva",N749,0)</f>
        <v/>
      </c>
      <c r="P749" s="17">
        <f>IF('ORDENES'!$T745="correctiva",N749,0)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IF(AND(IF($B$3="(todos)",TRUE,'ORDENES'!$O746=$B$3),IF($D$3="(todos)",TRUE,'ORDENES'!$AF746=$D$3),IF($F$3="(todos)",TRUE,'ORDENES'!$X746=$F$3),IF($H$3="(todos)",TRUE,'ORDENES'!$W746=$H$3),'ORDENES'!$AD746=TRUE,'ORDENES'!$A746&lt;&gt;""),1,0)</f>
        <v/>
      </c>
      <c r="L750" s="3">
        <f>IF(K750=1,IFERROR(MATCH('ORDENES'!$R746,lista_dias,0),9)*1000000000+IFERROR(MATCH('ORDENES'!$AF746,lista_turnos,0),9)*10000000+IFERROR(MATCH('ORDENES'!$AE746,'TECNICOS'!$B$4:$B$15,0),99)*100000+743,9000000000000+743)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IF('ORDENES'!$T746="preventiva",N750,0)</f>
        <v/>
      </c>
      <c r="P750" s="17">
        <f>IF('ORDENES'!$T746="correctiva",N750,0)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IF(AND(IF($B$3="(todos)",TRUE,'ORDENES'!$O747=$B$3),IF($D$3="(todos)",TRUE,'ORDENES'!$AF747=$D$3),IF($F$3="(todos)",TRUE,'ORDENES'!$X747=$F$3),IF($H$3="(todos)",TRUE,'ORDENES'!$W747=$H$3),'ORDENES'!$AD747=TRUE,'ORDENES'!$A747&lt;&gt;""),1,0)</f>
        <v/>
      </c>
      <c r="L751" s="3">
        <f>IF(K751=1,IFERROR(MATCH('ORDENES'!$R747,lista_dias,0),9)*1000000000+IFERROR(MATCH('ORDENES'!$AF747,lista_turnos,0),9)*10000000+IFERROR(MATCH('ORDENES'!$AE747,'TECNICOS'!$B$4:$B$15,0),99)*100000+744,9000000000000+744)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IF('ORDENES'!$T747="preventiva",N751,0)</f>
        <v/>
      </c>
      <c r="P751" s="17">
        <f>IF('ORDENES'!$T747="correctiva",N751,0)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IF(AND(IF($B$3="(todos)",TRUE,'ORDENES'!$O748=$B$3),IF($D$3="(todos)",TRUE,'ORDENES'!$AF748=$D$3),IF($F$3="(todos)",TRUE,'ORDENES'!$X748=$F$3),IF($H$3="(todos)",TRUE,'ORDENES'!$W748=$H$3),'ORDENES'!$AD748=TRUE,'ORDENES'!$A748&lt;&gt;""),1,0)</f>
        <v/>
      </c>
      <c r="L752" s="3">
        <f>IF(K752=1,IFERROR(MATCH('ORDENES'!$R748,lista_dias,0),9)*1000000000+IFERROR(MATCH('ORDENES'!$AF748,lista_turnos,0),9)*10000000+IFERROR(MATCH('ORDENES'!$AE748,'TECNICOS'!$B$4:$B$15,0),99)*100000+745,9000000000000+745)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IF('ORDENES'!$T748="preventiva",N752,0)</f>
        <v/>
      </c>
      <c r="P752" s="17">
        <f>IF('ORDENES'!$T748="correctiva",N752,0)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IF(AND(IF($B$3="(todos)",TRUE,'ORDENES'!$O749=$B$3),IF($D$3="(todos)",TRUE,'ORDENES'!$AF749=$D$3),IF($F$3="(todos)",TRUE,'ORDENES'!$X749=$F$3),IF($H$3="(todos)",TRUE,'ORDENES'!$W749=$H$3),'ORDENES'!$AD749=TRUE,'ORDENES'!$A749&lt;&gt;""),1,0)</f>
        <v/>
      </c>
      <c r="L753" s="3">
        <f>IF(K753=1,IFERROR(MATCH('ORDENES'!$R749,lista_dias,0),9)*1000000000+IFERROR(MATCH('ORDENES'!$AF749,lista_turnos,0),9)*10000000+IFERROR(MATCH('ORDENES'!$AE749,'TECNICOS'!$B$4:$B$15,0),99)*100000+746,9000000000000+746)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IF('ORDENES'!$T749="preventiva",N753,0)</f>
        <v/>
      </c>
      <c r="P753" s="17">
        <f>IF('ORDENES'!$T749="correctiva",N753,0)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IF(AND(IF($B$3="(todos)",TRUE,'ORDENES'!$O750=$B$3),IF($D$3="(todos)",TRUE,'ORDENES'!$AF750=$D$3),IF($F$3="(todos)",TRUE,'ORDENES'!$X750=$F$3),IF($H$3="(todos)",TRUE,'ORDENES'!$W750=$H$3),'ORDENES'!$AD750=TRUE,'ORDENES'!$A750&lt;&gt;""),1,0)</f>
        <v/>
      </c>
      <c r="L754" s="3">
        <f>IF(K754=1,IFERROR(MATCH('ORDENES'!$R750,lista_dias,0),9)*1000000000+IFERROR(MATCH('ORDENES'!$AF750,lista_turnos,0),9)*10000000+IFERROR(MATCH('ORDENES'!$AE750,'TECNICOS'!$B$4:$B$15,0),99)*100000+747,9000000000000+747)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IF('ORDENES'!$T750="preventiva",N754,0)</f>
        <v/>
      </c>
      <c r="P754" s="17">
        <f>IF('ORDENES'!$T750="correctiva",N754,0)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IF(AND(IF($B$3="(todos)",TRUE,'ORDENES'!$O751=$B$3),IF($D$3="(todos)",TRUE,'ORDENES'!$AF751=$D$3),IF($F$3="(todos)",TRUE,'ORDENES'!$X751=$F$3),IF($H$3="(todos)",TRUE,'ORDENES'!$W751=$H$3),'ORDENES'!$AD751=TRUE,'ORDENES'!$A751&lt;&gt;""),1,0)</f>
        <v/>
      </c>
      <c r="L755" s="3">
        <f>IF(K755=1,IFERROR(MATCH('ORDENES'!$R751,lista_dias,0),9)*1000000000+IFERROR(MATCH('ORDENES'!$AF751,lista_turnos,0),9)*10000000+IFERROR(MATCH('ORDENES'!$AE751,'TECNICOS'!$B$4:$B$15,0),99)*100000+748,9000000000000+748)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IF('ORDENES'!$T751="preventiva",N755,0)</f>
        <v/>
      </c>
      <c r="P755" s="17">
        <f>IF('ORDENES'!$T751="correctiva",N755,0)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IF(AND(IF($B$3="(todos)",TRUE,'ORDENES'!$O752=$B$3),IF($D$3="(todos)",TRUE,'ORDENES'!$AF752=$D$3),IF($F$3="(todos)",TRUE,'ORDENES'!$X752=$F$3),IF($H$3="(todos)",TRUE,'ORDENES'!$W752=$H$3),'ORDENES'!$AD752=TRUE,'ORDENES'!$A752&lt;&gt;""),1,0)</f>
        <v/>
      </c>
      <c r="L756" s="3">
        <f>IF(K756=1,IFERROR(MATCH('ORDENES'!$R752,lista_dias,0),9)*1000000000+IFERROR(MATCH('ORDENES'!$AF752,lista_turnos,0),9)*10000000+IFERROR(MATCH('ORDENES'!$AE752,'TECNICOS'!$B$4:$B$15,0),99)*100000+749,9000000000000+749)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IF('ORDENES'!$T752="preventiva",N756,0)</f>
        <v/>
      </c>
      <c r="P756" s="17">
        <f>IF('ORDENES'!$T752="correctiva",N756,0)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IF(AND(IF($B$3="(todos)",TRUE,'ORDENES'!$O753=$B$3),IF($D$3="(todos)",TRUE,'ORDENES'!$AF753=$D$3),IF($F$3="(todos)",TRUE,'ORDENES'!$X753=$F$3),IF($H$3="(todos)",TRUE,'ORDENES'!$W753=$H$3),'ORDENES'!$AD753=TRUE,'ORDENES'!$A753&lt;&gt;""),1,0)</f>
        <v/>
      </c>
      <c r="L757" s="3">
        <f>IF(K757=1,IFERROR(MATCH('ORDENES'!$R753,lista_dias,0),9)*1000000000+IFERROR(MATCH('ORDENES'!$AF753,lista_turnos,0),9)*10000000+IFERROR(MATCH('ORDENES'!$AE753,'TECNICOS'!$B$4:$B$15,0),99)*100000+750,9000000000000+750)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IF('ORDENES'!$T753="preventiva",N757,0)</f>
        <v/>
      </c>
      <c r="P757" s="17">
        <f>IF('ORDENES'!$T753="correctiva",N757,0)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IF(AND(IF($B$3="(todos)",TRUE,'ORDENES'!$O754=$B$3),IF($D$3="(todos)",TRUE,'ORDENES'!$AF754=$D$3),IF($F$3="(todos)",TRUE,'ORDENES'!$X754=$F$3),IF($H$3="(todos)",TRUE,'ORDENES'!$W754=$H$3),'ORDENES'!$AD754=TRUE,'ORDENES'!$A754&lt;&gt;""),1,0)</f>
        <v/>
      </c>
      <c r="L758" s="3">
        <f>IF(K758=1,IFERROR(MATCH('ORDENES'!$R754,lista_dias,0),9)*1000000000+IFERROR(MATCH('ORDENES'!$AF754,lista_turnos,0),9)*10000000+IFERROR(MATCH('ORDENES'!$AE754,'TECNICOS'!$B$4:$B$15,0),99)*100000+751,9000000000000+751)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IF('ORDENES'!$T754="preventiva",N758,0)</f>
        <v/>
      </c>
      <c r="P758" s="17">
        <f>IF('ORDENES'!$T754="correctiva",N758,0)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IF(AND(IF($B$3="(todos)",TRUE,'ORDENES'!$O755=$B$3),IF($D$3="(todos)",TRUE,'ORDENES'!$AF755=$D$3),IF($F$3="(todos)",TRUE,'ORDENES'!$X755=$F$3),IF($H$3="(todos)",TRUE,'ORDENES'!$W755=$H$3),'ORDENES'!$AD755=TRUE,'ORDENES'!$A755&lt;&gt;""),1,0)</f>
        <v/>
      </c>
      <c r="L759" s="3">
        <f>IF(K759=1,IFERROR(MATCH('ORDENES'!$R755,lista_dias,0),9)*1000000000+IFERROR(MATCH('ORDENES'!$AF755,lista_turnos,0),9)*10000000+IFERROR(MATCH('ORDENES'!$AE755,'TECNICOS'!$B$4:$B$15,0),99)*100000+752,9000000000000+752)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IF('ORDENES'!$T755="preventiva",N759,0)</f>
        <v/>
      </c>
      <c r="P759" s="17">
        <f>IF('ORDENES'!$T755="correctiva",N759,0)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IF(AND(IF($B$3="(todos)",TRUE,'ORDENES'!$O756=$B$3),IF($D$3="(todos)",TRUE,'ORDENES'!$AF756=$D$3),IF($F$3="(todos)",TRUE,'ORDENES'!$X756=$F$3),IF($H$3="(todos)",TRUE,'ORDENES'!$W756=$H$3),'ORDENES'!$AD756=TRUE,'ORDENES'!$A756&lt;&gt;""),1,0)</f>
        <v/>
      </c>
      <c r="L760" s="3">
        <f>IF(K760=1,IFERROR(MATCH('ORDENES'!$R756,lista_dias,0),9)*1000000000+IFERROR(MATCH('ORDENES'!$AF756,lista_turnos,0),9)*10000000+IFERROR(MATCH('ORDENES'!$AE756,'TECNICOS'!$B$4:$B$15,0),99)*100000+753,9000000000000+753)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IF('ORDENES'!$T756="preventiva",N760,0)</f>
        <v/>
      </c>
      <c r="P760" s="17">
        <f>IF('ORDENES'!$T756="correctiva",N760,0)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IF(AND(IF($B$3="(todos)",TRUE,'ORDENES'!$O757=$B$3),IF($D$3="(todos)",TRUE,'ORDENES'!$AF757=$D$3),IF($F$3="(todos)",TRUE,'ORDENES'!$X757=$F$3),IF($H$3="(todos)",TRUE,'ORDENES'!$W757=$H$3),'ORDENES'!$AD757=TRUE,'ORDENES'!$A757&lt;&gt;""),1,0)</f>
        <v/>
      </c>
      <c r="L761" s="3">
        <f>IF(K761=1,IFERROR(MATCH('ORDENES'!$R757,lista_dias,0),9)*1000000000+IFERROR(MATCH('ORDENES'!$AF757,lista_turnos,0),9)*10000000+IFERROR(MATCH('ORDENES'!$AE757,'TECNICOS'!$B$4:$B$15,0),99)*100000+754,9000000000000+754)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IF('ORDENES'!$T757="preventiva",N761,0)</f>
        <v/>
      </c>
      <c r="P761" s="17">
        <f>IF('ORDENES'!$T757="correctiva",N761,0)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IF(AND(IF($B$3="(todos)",TRUE,'ORDENES'!$O758=$B$3),IF($D$3="(todos)",TRUE,'ORDENES'!$AF758=$D$3),IF($F$3="(todos)",TRUE,'ORDENES'!$X758=$F$3),IF($H$3="(todos)",TRUE,'ORDENES'!$W758=$H$3),'ORDENES'!$AD758=TRUE,'ORDENES'!$A758&lt;&gt;""),1,0)</f>
        <v/>
      </c>
      <c r="L762" s="3">
        <f>IF(K762=1,IFERROR(MATCH('ORDENES'!$R758,lista_dias,0),9)*1000000000+IFERROR(MATCH('ORDENES'!$AF758,lista_turnos,0),9)*10000000+IFERROR(MATCH('ORDENES'!$AE758,'TECNICOS'!$B$4:$B$15,0),99)*100000+755,9000000000000+755)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IF('ORDENES'!$T758="preventiva",N762,0)</f>
        <v/>
      </c>
      <c r="P762" s="17">
        <f>IF('ORDENES'!$T758="correctiva",N762,0)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IF(AND(IF($B$3="(todos)",TRUE,'ORDENES'!$O759=$B$3),IF($D$3="(todos)",TRUE,'ORDENES'!$AF759=$D$3),IF($F$3="(todos)",TRUE,'ORDENES'!$X759=$F$3),IF($H$3="(todos)",TRUE,'ORDENES'!$W759=$H$3),'ORDENES'!$AD759=TRUE,'ORDENES'!$A759&lt;&gt;""),1,0)</f>
        <v/>
      </c>
      <c r="L763" s="3">
        <f>IF(K763=1,IFERROR(MATCH('ORDENES'!$R759,lista_dias,0),9)*1000000000+IFERROR(MATCH('ORDENES'!$AF759,lista_turnos,0),9)*10000000+IFERROR(MATCH('ORDENES'!$AE759,'TECNICOS'!$B$4:$B$15,0),99)*100000+756,9000000000000+756)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IF('ORDENES'!$T759="preventiva",N763,0)</f>
        <v/>
      </c>
      <c r="P763" s="17">
        <f>IF('ORDENES'!$T759="correctiva",N763,0)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IF(AND(IF($B$3="(todos)",TRUE,'ORDENES'!$O760=$B$3),IF($D$3="(todos)",TRUE,'ORDENES'!$AF760=$D$3),IF($F$3="(todos)",TRUE,'ORDENES'!$X760=$F$3),IF($H$3="(todos)",TRUE,'ORDENES'!$W760=$H$3),'ORDENES'!$AD760=TRUE,'ORDENES'!$A760&lt;&gt;""),1,0)</f>
        <v/>
      </c>
      <c r="L764" s="3">
        <f>IF(K764=1,IFERROR(MATCH('ORDENES'!$R760,lista_dias,0),9)*1000000000+IFERROR(MATCH('ORDENES'!$AF760,lista_turnos,0),9)*10000000+IFERROR(MATCH('ORDENES'!$AE760,'TECNICOS'!$B$4:$B$15,0),99)*100000+757,9000000000000+757)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IF('ORDENES'!$T760="preventiva",N764,0)</f>
        <v/>
      </c>
      <c r="P764" s="17">
        <f>IF('ORDENES'!$T760="correctiva",N764,0)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IF(AND(IF($B$3="(todos)",TRUE,'ORDENES'!$O761=$B$3),IF($D$3="(todos)",TRUE,'ORDENES'!$AF761=$D$3),IF($F$3="(todos)",TRUE,'ORDENES'!$X761=$F$3),IF($H$3="(todos)",TRUE,'ORDENES'!$W761=$H$3),'ORDENES'!$AD761=TRUE,'ORDENES'!$A761&lt;&gt;""),1,0)</f>
        <v/>
      </c>
      <c r="L765" s="3">
        <f>IF(K765=1,IFERROR(MATCH('ORDENES'!$R761,lista_dias,0),9)*1000000000+IFERROR(MATCH('ORDENES'!$AF761,lista_turnos,0),9)*10000000+IFERROR(MATCH('ORDENES'!$AE761,'TECNICOS'!$B$4:$B$15,0),99)*100000+758,9000000000000+758)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IF('ORDENES'!$T761="preventiva",N765,0)</f>
        <v/>
      </c>
      <c r="P765" s="17">
        <f>IF('ORDENES'!$T761="correctiva",N765,0)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IF(AND(IF($B$3="(todos)",TRUE,'ORDENES'!$O762=$B$3),IF($D$3="(todos)",TRUE,'ORDENES'!$AF762=$D$3),IF($F$3="(todos)",TRUE,'ORDENES'!$X762=$F$3),IF($H$3="(todos)",TRUE,'ORDENES'!$W762=$H$3),'ORDENES'!$AD762=TRUE,'ORDENES'!$A762&lt;&gt;""),1,0)</f>
        <v/>
      </c>
      <c r="L766" s="3">
        <f>IF(K766=1,IFERROR(MATCH('ORDENES'!$R762,lista_dias,0),9)*1000000000+IFERROR(MATCH('ORDENES'!$AF762,lista_turnos,0),9)*10000000+IFERROR(MATCH('ORDENES'!$AE762,'TECNICOS'!$B$4:$B$15,0),99)*100000+759,9000000000000+759)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IF('ORDENES'!$T762="preventiva",N766,0)</f>
        <v/>
      </c>
      <c r="P766" s="17">
        <f>IF('ORDENES'!$T762="correctiva",N766,0)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IF(AND(IF($B$3="(todos)",TRUE,'ORDENES'!$O763=$B$3),IF($D$3="(todos)",TRUE,'ORDENES'!$AF763=$D$3),IF($F$3="(todos)",TRUE,'ORDENES'!$X763=$F$3),IF($H$3="(todos)",TRUE,'ORDENES'!$W763=$H$3),'ORDENES'!$AD763=TRUE,'ORDENES'!$A763&lt;&gt;""),1,0)</f>
        <v/>
      </c>
      <c r="L767" s="3">
        <f>IF(K767=1,IFERROR(MATCH('ORDENES'!$R763,lista_dias,0),9)*1000000000+IFERROR(MATCH('ORDENES'!$AF763,lista_turnos,0),9)*10000000+IFERROR(MATCH('ORDENES'!$AE763,'TECNICOS'!$B$4:$B$15,0),99)*100000+760,9000000000000+760)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IF('ORDENES'!$T763="preventiva",N767,0)</f>
        <v/>
      </c>
      <c r="P767" s="17">
        <f>IF('ORDENES'!$T763="correctiva",N767,0)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IF(AND(IF($B$3="(todos)",TRUE,'ORDENES'!$O764=$B$3),IF($D$3="(todos)",TRUE,'ORDENES'!$AF764=$D$3),IF($F$3="(todos)",TRUE,'ORDENES'!$X764=$F$3),IF($H$3="(todos)",TRUE,'ORDENES'!$W764=$H$3),'ORDENES'!$AD764=TRUE,'ORDENES'!$A764&lt;&gt;""),1,0)</f>
        <v/>
      </c>
      <c r="L768" s="3">
        <f>IF(K768=1,IFERROR(MATCH('ORDENES'!$R764,lista_dias,0),9)*1000000000+IFERROR(MATCH('ORDENES'!$AF764,lista_turnos,0),9)*10000000+IFERROR(MATCH('ORDENES'!$AE764,'TECNICOS'!$B$4:$B$15,0),99)*100000+761,9000000000000+761)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IF('ORDENES'!$T764="preventiva",N768,0)</f>
        <v/>
      </c>
      <c r="P768" s="17">
        <f>IF('ORDENES'!$T764="correctiva",N768,0)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IF(AND(IF($B$3="(todos)",TRUE,'ORDENES'!$O765=$B$3),IF($D$3="(todos)",TRUE,'ORDENES'!$AF765=$D$3),IF($F$3="(todos)",TRUE,'ORDENES'!$X765=$F$3),IF($H$3="(todos)",TRUE,'ORDENES'!$W765=$H$3),'ORDENES'!$AD765=TRUE,'ORDENES'!$A765&lt;&gt;""),1,0)</f>
        <v/>
      </c>
      <c r="L769" s="3">
        <f>IF(K769=1,IFERROR(MATCH('ORDENES'!$R765,lista_dias,0),9)*1000000000+IFERROR(MATCH('ORDENES'!$AF765,lista_turnos,0),9)*10000000+IFERROR(MATCH('ORDENES'!$AE765,'TECNICOS'!$B$4:$B$15,0),99)*100000+762,9000000000000+762)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IF('ORDENES'!$T765="preventiva",N769,0)</f>
        <v/>
      </c>
      <c r="P769" s="17">
        <f>IF('ORDENES'!$T765="correctiva",N769,0)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IF(AND(IF($B$3="(todos)",TRUE,'ORDENES'!$O766=$B$3),IF($D$3="(todos)",TRUE,'ORDENES'!$AF766=$D$3),IF($F$3="(todos)",TRUE,'ORDENES'!$X766=$F$3),IF($H$3="(todos)",TRUE,'ORDENES'!$W766=$H$3),'ORDENES'!$AD766=TRUE,'ORDENES'!$A766&lt;&gt;""),1,0)</f>
        <v/>
      </c>
      <c r="L770" s="3">
        <f>IF(K770=1,IFERROR(MATCH('ORDENES'!$R766,lista_dias,0),9)*1000000000+IFERROR(MATCH('ORDENES'!$AF766,lista_turnos,0),9)*10000000+IFERROR(MATCH('ORDENES'!$AE766,'TECNICOS'!$B$4:$B$15,0),99)*100000+763,9000000000000+763)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IF('ORDENES'!$T766="preventiva",N770,0)</f>
        <v/>
      </c>
      <c r="P770" s="17">
        <f>IF('ORDENES'!$T766="correctiva",N770,0)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IF(AND(IF($B$3="(todos)",TRUE,'ORDENES'!$O767=$B$3),IF($D$3="(todos)",TRUE,'ORDENES'!$AF767=$D$3),IF($F$3="(todos)",TRUE,'ORDENES'!$X767=$F$3),IF($H$3="(todos)",TRUE,'ORDENES'!$W767=$H$3),'ORDENES'!$AD767=TRUE,'ORDENES'!$A767&lt;&gt;""),1,0)</f>
        <v/>
      </c>
      <c r="L771" s="3">
        <f>IF(K771=1,IFERROR(MATCH('ORDENES'!$R767,lista_dias,0),9)*1000000000+IFERROR(MATCH('ORDENES'!$AF767,lista_turnos,0),9)*10000000+IFERROR(MATCH('ORDENES'!$AE767,'TECNICOS'!$B$4:$B$15,0),99)*100000+764,9000000000000+764)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IF('ORDENES'!$T767="preventiva",N771,0)</f>
        <v/>
      </c>
      <c r="P771" s="17">
        <f>IF('ORDENES'!$T767="correctiva",N771,0)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IF(AND(IF($B$3="(todos)",TRUE,'ORDENES'!$O768=$B$3),IF($D$3="(todos)",TRUE,'ORDENES'!$AF768=$D$3),IF($F$3="(todos)",TRUE,'ORDENES'!$X768=$F$3),IF($H$3="(todos)",TRUE,'ORDENES'!$W768=$H$3),'ORDENES'!$AD768=TRUE,'ORDENES'!$A768&lt;&gt;""),1,0)</f>
        <v/>
      </c>
      <c r="L772" s="3">
        <f>IF(K772=1,IFERROR(MATCH('ORDENES'!$R768,lista_dias,0),9)*1000000000+IFERROR(MATCH('ORDENES'!$AF768,lista_turnos,0),9)*10000000+IFERROR(MATCH('ORDENES'!$AE768,'TECNICOS'!$B$4:$B$15,0),99)*100000+765,9000000000000+765)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IF('ORDENES'!$T768="preventiva",N772,0)</f>
        <v/>
      </c>
      <c r="P772" s="17">
        <f>IF('ORDENES'!$T768="correctiva",N772,0)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IF(AND(IF($B$3="(todos)",TRUE,'ORDENES'!$O769=$B$3),IF($D$3="(todos)",TRUE,'ORDENES'!$AF769=$D$3),IF($F$3="(todos)",TRUE,'ORDENES'!$X769=$F$3),IF($H$3="(todos)",TRUE,'ORDENES'!$W769=$H$3),'ORDENES'!$AD769=TRUE,'ORDENES'!$A769&lt;&gt;""),1,0)</f>
        <v/>
      </c>
      <c r="L773" s="3">
        <f>IF(K773=1,IFERROR(MATCH('ORDENES'!$R769,lista_dias,0),9)*1000000000+IFERROR(MATCH('ORDENES'!$AF769,lista_turnos,0),9)*10000000+IFERROR(MATCH('ORDENES'!$AE769,'TECNICOS'!$B$4:$B$15,0),99)*100000+766,9000000000000+766)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IF('ORDENES'!$T769="preventiva",N773,0)</f>
        <v/>
      </c>
      <c r="P773" s="17">
        <f>IF('ORDENES'!$T769="correctiva",N773,0)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IF(AND(IF($B$3="(todos)",TRUE,'ORDENES'!$O770=$B$3),IF($D$3="(todos)",TRUE,'ORDENES'!$AF770=$D$3),IF($F$3="(todos)",TRUE,'ORDENES'!$X770=$F$3),IF($H$3="(todos)",TRUE,'ORDENES'!$W770=$H$3),'ORDENES'!$AD770=TRUE,'ORDENES'!$A770&lt;&gt;""),1,0)</f>
        <v/>
      </c>
      <c r="L774" s="3">
        <f>IF(K774=1,IFERROR(MATCH('ORDENES'!$R770,lista_dias,0),9)*1000000000+IFERROR(MATCH('ORDENES'!$AF770,lista_turnos,0),9)*10000000+IFERROR(MATCH('ORDENES'!$AE770,'TECNICOS'!$B$4:$B$15,0),99)*100000+767,9000000000000+767)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IF('ORDENES'!$T770="preventiva",N774,0)</f>
        <v/>
      </c>
      <c r="P774" s="17">
        <f>IF('ORDENES'!$T770="correctiva",N774,0)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IF(AND(IF($B$3="(todos)",TRUE,'ORDENES'!$O771=$B$3),IF($D$3="(todos)",TRUE,'ORDENES'!$AF771=$D$3),IF($F$3="(todos)",TRUE,'ORDENES'!$X771=$F$3),IF($H$3="(todos)",TRUE,'ORDENES'!$W771=$H$3),'ORDENES'!$AD771=TRUE,'ORDENES'!$A771&lt;&gt;""),1,0)</f>
        <v/>
      </c>
      <c r="L775" s="3">
        <f>IF(K775=1,IFERROR(MATCH('ORDENES'!$R771,lista_dias,0),9)*1000000000+IFERROR(MATCH('ORDENES'!$AF771,lista_turnos,0),9)*10000000+IFERROR(MATCH('ORDENES'!$AE771,'TECNICOS'!$B$4:$B$15,0),99)*100000+768,9000000000000+768)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IF('ORDENES'!$T771="preventiva",N775,0)</f>
        <v/>
      </c>
      <c r="P775" s="17">
        <f>IF('ORDENES'!$T771="correctiva",N775,0)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IF(AND(IF($B$3="(todos)",TRUE,'ORDENES'!$O772=$B$3),IF($D$3="(todos)",TRUE,'ORDENES'!$AF772=$D$3),IF($F$3="(todos)",TRUE,'ORDENES'!$X772=$F$3),IF($H$3="(todos)",TRUE,'ORDENES'!$W772=$H$3),'ORDENES'!$AD772=TRUE,'ORDENES'!$A772&lt;&gt;""),1,0)</f>
        <v/>
      </c>
      <c r="L776" s="3">
        <f>IF(K776=1,IFERROR(MATCH('ORDENES'!$R772,lista_dias,0),9)*1000000000+IFERROR(MATCH('ORDENES'!$AF772,lista_turnos,0),9)*10000000+IFERROR(MATCH('ORDENES'!$AE772,'TECNICOS'!$B$4:$B$15,0),99)*100000+769,9000000000000+769)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IF('ORDENES'!$T772="preventiva",N776,0)</f>
        <v/>
      </c>
      <c r="P776" s="17">
        <f>IF('ORDENES'!$T772="correctiva",N776,0)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IF(AND(IF($B$3="(todos)",TRUE,'ORDENES'!$O773=$B$3),IF($D$3="(todos)",TRUE,'ORDENES'!$AF773=$D$3),IF($F$3="(todos)",TRUE,'ORDENES'!$X773=$F$3),IF($H$3="(todos)",TRUE,'ORDENES'!$W773=$H$3),'ORDENES'!$AD773=TRUE,'ORDENES'!$A773&lt;&gt;""),1,0)</f>
        <v/>
      </c>
      <c r="L777" s="3">
        <f>IF(K777=1,IFERROR(MATCH('ORDENES'!$R773,lista_dias,0),9)*1000000000+IFERROR(MATCH('ORDENES'!$AF773,lista_turnos,0),9)*10000000+IFERROR(MATCH('ORDENES'!$AE773,'TECNICOS'!$B$4:$B$15,0),99)*100000+770,9000000000000+770)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IF('ORDENES'!$T773="preventiva",N777,0)</f>
        <v/>
      </c>
      <c r="P777" s="17">
        <f>IF('ORDENES'!$T773="correctiva",N777,0)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IF(AND(IF($B$3="(todos)",TRUE,'ORDENES'!$O774=$B$3),IF($D$3="(todos)",TRUE,'ORDENES'!$AF774=$D$3),IF($F$3="(todos)",TRUE,'ORDENES'!$X774=$F$3),IF($H$3="(todos)",TRUE,'ORDENES'!$W774=$H$3),'ORDENES'!$AD774=TRUE,'ORDENES'!$A774&lt;&gt;""),1,0)</f>
        <v/>
      </c>
      <c r="L778" s="3">
        <f>IF(K778=1,IFERROR(MATCH('ORDENES'!$R774,lista_dias,0),9)*1000000000+IFERROR(MATCH('ORDENES'!$AF774,lista_turnos,0),9)*10000000+IFERROR(MATCH('ORDENES'!$AE774,'TECNICOS'!$B$4:$B$15,0),99)*100000+771,9000000000000+771)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IF('ORDENES'!$T774="preventiva",N778,0)</f>
        <v/>
      </c>
      <c r="P778" s="17">
        <f>IF('ORDENES'!$T774="correctiva",N778,0)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IF(AND(IF($B$3="(todos)",TRUE,'ORDENES'!$O775=$B$3),IF($D$3="(todos)",TRUE,'ORDENES'!$AF775=$D$3),IF($F$3="(todos)",TRUE,'ORDENES'!$X775=$F$3),IF($H$3="(todos)",TRUE,'ORDENES'!$W775=$H$3),'ORDENES'!$AD775=TRUE,'ORDENES'!$A775&lt;&gt;""),1,0)</f>
        <v/>
      </c>
      <c r="L779" s="3">
        <f>IF(K779=1,IFERROR(MATCH('ORDENES'!$R775,lista_dias,0),9)*1000000000+IFERROR(MATCH('ORDENES'!$AF775,lista_turnos,0),9)*10000000+IFERROR(MATCH('ORDENES'!$AE775,'TECNICOS'!$B$4:$B$15,0),99)*100000+772,9000000000000+772)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IF('ORDENES'!$T775="preventiva",N779,0)</f>
        <v/>
      </c>
      <c r="P779" s="17">
        <f>IF('ORDENES'!$T775="correctiva",N779,0)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IF(AND(IF($B$3="(todos)",TRUE,'ORDENES'!$O776=$B$3),IF($D$3="(todos)",TRUE,'ORDENES'!$AF776=$D$3),IF($F$3="(todos)",TRUE,'ORDENES'!$X776=$F$3),IF($H$3="(todos)",TRUE,'ORDENES'!$W776=$H$3),'ORDENES'!$AD776=TRUE,'ORDENES'!$A776&lt;&gt;""),1,0)</f>
        <v/>
      </c>
      <c r="L780" s="3">
        <f>IF(K780=1,IFERROR(MATCH('ORDENES'!$R776,lista_dias,0),9)*1000000000+IFERROR(MATCH('ORDENES'!$AF776,lista_turnos,0),9)*10000000+IFERROR(MATCH('ORDENES'!$AE776,'TECNICOS'!$B$4:$B$15,0),99)*100000+773,9000000000000+773)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IF('ORDENES'!$T776="preventiva",N780,0)</f>
        <v/>
      </c>
      <c r="P780" s="17">
        <f>IF('ORDENES'!$T776="correctiva",N780,0)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IF(AND(IF($B$3="(todos)",TRUE,'ORDENES'!$O777=$B$3),IF($D$3="(todos)",TRUE,'ORDENES'!$AF777=$D$3),IF($F$3="(todos)",TRUE,'ORDENES'!$X777=$F$3),IF($H$3="(todos)",TRUE,'ORDENES'!$W777=$H$3),'ORDENES'!$AD777=TRUE,'ORDENES'!$A777&lt;&gt;""),1,0)</f>
        <v/>
      </c>
      <c r="L781" s="3">
        <f>IF(K781=1,IFERROR(MATCH('ORDENES'!$R777,lista_dias,0),9)*1000000000+IFERROR(MATCH('ORDENES'!$AF777,lista_turnos,0),9)*10000000+IFERROR(MATCH('ORDENES'!$AE777,'TECNICOS'!$B$4:$B$15,0),99)*100000+774,9000000000000+774)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IF('ORDENES'!$T777="preventiva",N781,0)</f>
        <v/>
      </c>
      <c r="P781" s="17">
        <f>IF('ORDENES'!$T777="correctiva",N781,0)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IF(AND(IF($B$3="(todos)",TRUE,'ORDENES'!$O778=$B$3),IF($D$3="(todos)",TRUE,'ORDENES'!$AF778=$D$3),IF($F$3="(todos)",TRUE,'ORDENES'!$X778=$F$3),IF($H$3="(todos)",TRUE,'ORDENES'!$W778=$H$3),'ORDENES'!$AD778=TRUE,'ORDENES'!$A778&lt;&gt;""),1,0)</f>
        <v/>
      </c>
      <c r="L782" s="3">
        <f>IF(K782=1,IFERROR(MATCH('ORDENES'!$R778,lista_dias,0),9)*1000000000+IFERROR(MATCH('ORDENES'!$AF778,lista_turnos,0),9)*10000000+IFERROR(MATCH('ORDENES'!$AE778,'TECNICOS'!$B$4:$B$15,0),99)*100000+775,9000000000000+775)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IF('ORDENES'!$T778="preventiva",N782,0)</f>
        <v/>
      </c>
      <c r="P782" s="17">
        <f>IF('ORDENES'!$T778="correctiva",N782,0)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IF(AND(IF($B$3="(todos)",TRUE,'ORDENES'!$O779=$B$3),IF($D$3="(todos)",TRUE,'ORDENES'!$AF779=$D$3),IF($F$3="(todos)",TRUE,'ORDENES'!$X779=$F$3),IF($H$3="(todos)",TRUE,'ORDENES'!$W779=$H$3),'ORDENES'!$AD779=TRUE,'ORDENES'!$A779&lt;&gt;""),1,0)</f>
        <v/>
      </c>
      <c r="L783" s="3">
        <f>IF(K783=1,IFERROR(MATCH('ORDENES'!$R779,lista_dias,0),9)*1000000000+IFERROR(MATCH('ORDENES'!$AF779,lista_turnos,0),9)*10000000+IFERROR(MATCH('ORDENES'!$AE779,'TECNICOS'!$B$4:$B$15,0),99)*100000+776,9000000000000+776)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IF('ORDENES'!$T779="preventiva",N783,0)</f>
        <v/>
      </c>
      <c r="P783" s="17">
        <f>IF('ORDENES'!$T779="correctiva",N783,0)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IF(AND(IF($B$3="(todos)",TRUE,'ORDENES'!$O780=$B$3),IF($D$3="(todos)",TRUE,'ORDENES'!$AF780=$D$3),IF($F$3="(todos)",TRUE,'ORDENES'!$X780=$F$3),IF($H$3="(todos)",TRUE,'ORDENES'!$W780=$H$3),'ORDENES'!$AD780=TRUE,'ORDENES'!$A780&lt;&gt;""),1,0)</f>
        <v/>
      </c>
      <c r="L784" s="3">
        <f>IF(K784=1,IFERROR(MATCH('ORDENES'!$R780,lista_dias,0),9)*1000000000+IFERROR(MATCH('ORDENES'!$AF780,lista_turnos,0),9)*10000000+IFERROR(MATCH('ORDENES'!$AE780,'TECNICOS'!$B$4:$B$15,0),99)*100000+777,9000000000000+777)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IF('ORDENES'!$T780="preventiva",N784,0)</f>
        <v/>
      </c>
      <c r="P784" s="17">
        <f>IF('ORDENES'!$T780="correctiva",N784,0)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IF(AND(IF($B$3="(todos)",TRUE,'ORDENES'!$O781=$B$3),IF($D$3="(todos)",TRUE,'ORDENES'!$AF781=$D$3),IF($F$3="(todos)",TRUE,'ORDENES'!$X781=$F$3),IF($H$3="(todos)",TRUE,'ORDENES'!$W781=$H$3),'ORDENES'!$AD781=TRUE,'ORDENES'!$A781&lt;&gt;""),1,0)</f>
        <v/>
      </c>
      <c r="L785" s="3">
        <f>IF(K785=1,IFERROR(MATCH('ORDENES'!$R781,lista_dias,0),9)*1000000000+IFERROR(MATCH('ORDENES'!$AF781,lista_turnos,0),9)*10000000+IFERROR(MATCH('ORDENES'!$AE781,'TECNICOS'!$B$4:$B$15,0),99)*100000+778,9000000000000+778)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IF('ORDENES'!$T781="preventiva",N785,0)</f>
        <v/>
      </c>
      <c r="P785" s="17">
        <f>IF('ORDENES'!$T781="correctiva",N785,0)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IF(AND(IF($B$3="(todos)",TRUE,'ORDENES'!$O782=$B$3),IF($D$3="(todos)",TRUE,'ORDENES'!$AF782=$D$3),IF($F$3="(todos)",TRUE,'ORDENES'!$X782=$F$3),IF($H$3="(todos)",TRUE,'ORDENES'!$W782=$H$3),'ORDENES'!$AD782=TRUE,'ORDENES'!$A782&lt;&gt;""),1,0)</f>
        <v/>
      </c>
      <c r="L786" s="3">
        <f>IF(K786=1,IFERROR(MATCH('ORDENES'!$R782,lista_dias,0),9)*1000000000+IFERROR(MATCH('ORDENES'!$AF782,lista_turnos,0),9)*10000000+IFERROR(MATCH('ORDENES'!$AE782,'TECNICOS'!$B$4:$B$15,0),99)*100000+779,9000000000000+779)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IF('ORDENES'!$T782="preventiva",N786,0)</f>
        <v/>
      </c>
      <c r="P786" s="17">
        <f>IF('ORDENES'!$T782="correctiva",N786,0)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IF(AND(IF($B$3="(todos)",TRUE,'ORDENES'!$O783=$B$3),IF($D$3="(todos)",TRUE,'ORDENES'!$AF783=$D$3),IF($F$3="(todos)",TRUE,'ORDENES'!$X783=$F$3),IF($H$3="(todos)",TRUE,'ORDENES'!$W783=$H$3),'ORDENES'!$AD783=TRUE,'ORDENES'!$A783&lt;&gt;""),1,0)</f>
        <v/>
      </c>
      <c r="L787" s="3">
        <f>IF(K787=1,IFERROR(MATCH('ORDENES'!$R783,lista_dias,0),9)*1000000000+IFERROR(MATCH('ORDENES'!$AF783,lista_turnos,0),9)*10000000+IFERROR(MATCH('ORDENES'!$AE783,'TECNICOS'!$B$4:$B$15,0),99)*100000+780,9000000000000+780)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IF('ORDENES'!$T783="preventiva",N787,0)</f>
        <v/>
      </c>
      <c r="P787" s="17">
        <f>IF('ORDENES'!$T783="correctiva",N787,0)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IF(AND(IF($B$3="(todos)",TRUE,'ORDENES'!$O784=$B$3),IF($D$3="(todos)",TRUE,'ORDENES'!$AF784=$D$3),IF($F$3="(todos)",TRUE,'ORDENES'!$X784=$F$3),IF($H$3="(todos)",TRUE,'ORDENES'!$W784=$H$3),'ORDENES'!$AD784=TRUE,'ORDENES'!$A784&lt;&gt;""),1,0)</f>
        <v/>
      </c>
      <c r="L788" s="3">
        <f>IF(K788=1,IFERROR(MATCH('ORDENES'!$R784,lista_dias,0),9)*1000000000+IFERROR(MATCH('ORDENES'!$AF784,lista_turnos,0),9)*10000000+IFERROR(MATCH('ORDENES'!$AE784,'TECNICOS'!$B$4:$B$15,0),99)*100000+781,9000000000000+781)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IF('ORDENES'!$T784="preventiva",N788,0)</f>
        <v/>
      </c>
      <c r="P788" s="17">
        <f>IF('ORDENES'!$T784="correctiva",N788,0)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IF(AND(IF($B$3="(todos)",TRUE,'ORDENES'!$O785=$B$3),IF($D$3="(todos)",TRUE,'ORDENES'!$AF785=$D$3),IF($F$3="(todos)",TRUE,'ORDENES'!$X785=$F$3),IF($H$3="(todos)",TRUE,'ORDENES'!$W785=$H$3),'ORDENES'!$AD785=TRUE,'ORDENES'!$A785&lt;&gt;""),1,0)</f>
        <v/>
      </c>
      <c r="L789" s="3">
        <f>IF(K789=1,IFERROR(MATCH('ORDENES'!$R785,lista_dias,0),9)*1000000000+IFERROR(MATCH('ORDENES'!$AF785,lista_turnos,0),9)*10000000+IFERROR(MATCH('ORDENES'!$AE785,'TECNICOS'!$B$4:$B$15,0),99)*100000+782,9000000000000+782)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IF('ORDENES'!$T785="preventiva",N789,0)</f>
        <v/>
      </c>
      <c r="P789" s="17">
        <f>IF('ORDENES'!$T785="correctiva",N789,0)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IF(AND(IF($B$3="(todos)",TRUE,'ORDENES'!$O786=$B$3),IF($D$3="(todos)",TRUE,'ORDENES'!$AF786=$D$3),IF($F$3="(todos)",TRUE,'ORDENES'!$X786=$F$3),IF($H$3="(todos)",TRUE,'ORDENES'!$W786=$H$3),'ORDENES'!$AD786=TRUE,'ORDENES'!$A786&lt;&gt;""),1,0)</f>
        <v/>
      </c>
      <c r="L790" s="3">
        <f>IF(K790=1,IFERROR(MATCH('ORDENES'!$R786,lista_dias,0),9)*1000000000+IFERROR(MATCH('ORDENES'!$AF786,lista_turnos,0),9)*10000000+IFERROR(MATCH('ORDENES'!$AE786,'TECNICOS'!$B$4:$B$15,0),99)*100000+783,9000000000000+783)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IF('ORDENES'!$T786="preventiva",N790,0)</f>
        <v/>
      </c>
      <c r="P790" s="17">
        <f>IF('ORDENES'!$T786="correctiva",N790,0)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IF(AND(IF($B$3="(todos)",TRUE,'ORDENES'!$O787=$B$3),IF($D$3="(todos)",TRUE,'ORDENES'!$AF787=$D$3),IF($F$3="(todos)",TRUE,'ORDENES'!$X787=$F$3),IF($H$3="(todos)",TRUE,'ORDENES'!$W787=$H$3),'ORDENES'!$AD787=TRUE,'ORDENES'!$A787&lt;&gt;""),1,0)</f>
        <v/>
      </c>
      <c r="L791" s="3">
        <f>IF(K791=1,IFERROR(MATCH('ORDENES'!$R787,lista_dias,0),9)*1000000000+IFERROR(MATCH('ORDENES'!$AF787,lista_turnos,0),9)*10000000+IFERROR(MATCH('ORDENES'!$AE787,'TECNICOS'!$B$4:$B$15,0),99)*100000+784,9000000000000+784)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IF('ORDENES'!$T787="preventiva",N791,0)</f>
        <v/>
      </c>
      <c r="P791" s="17">
        <f>IF('ORDENES'!$T787="correctiva",N791,0)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IF(AND(IF($B$3="(todos)",TRUE,'ORDENES'!$O788=$B$3),IF($D$3="(todos)",TRUE,'ORDENES'!$AF788=$D$3),IF($F$3="(todos)",TRUE,'ORDENES'!$X788=$F$3),IF($H$3="(todos)",TRUE,'ORDENES'!$W788=$H$3),'ORDENES'!$AD788=TRUE,'ORDENES'!$A788&lt;&gt;""),1,0)</f>
        <v/>
      </c>
      <c r="L792" s="3">
        <f>IF(K792=1,IFERROR(MATCH('ORDENES'!$R788,lista_dias,0),9)*1000000000+IFERROR(MATCH('ORDENES'!$AF788,lista_turnos,0),9)*10000000+IFERROR(MATCH('ORDENES'!$AE788,'TECNICOS'!$B$4:$B$15,0),99)*100000+785,9000000000000+785)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IF('ORDENES'!$T788="preventiva",N792,0)</f>
        <v/>
      </c>
      <c r="P792" s="17">
        <f>IF('ORDENES'!$T788="correctiva",N792,0)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IF(AND(IF($B$3="(todos)",TRUE,'ORDENES'!$O789=$B$3),IF($D$3="(todos)",TRUE,'ORDENES'!$AF789=$D$3),IF($F$3="(todos)",TRUE,'ORDENES'!$X789=$F$3),IF($H$3="(todos)",TRUE,'ORDENES'!$W789=$H$3),'ORDENES'!$AD789=TRUE,'ORDENES'!$A789&lt;&gt;""),1,0)</f>
        <v/>
      </c>
      <c r="L793" s="3">
        <f>IF(K793=1,IFERROR(MATCH('ORDENES'!$R789,lista_dias,0),9)*1000000000+IFERROR(MATCH('ORDENES'!$AF789,lista_turnos,0),9)*10000000+IFERROR(MATCH('ORDENES'!$AE789,'TECNICOS'!$B$4:$B$15,0),99)*100000+786,9000000000000+786)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IF('ORDENES'!$T789="preventiva",N793,0)</f>
        <v/>
      </c>
      <c r="P793" s="17">
        <f>IF('ORDENES'!$T789="correctiva",N793,0)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IF(AND(IF($B$3="(todos)",TRUE,'ORDENES'!$O790=$B$3),IF($D$3="(todos)",TRUE,'ORDENES'!$AF790=$D$3),IF($F$3="(todos)",TRUE,'ORDENES'!$X790=$F$3),IF($H$3="(todos)",TRUE,'ORDENES'!$W790=$H$3),'ORDENES'!$AD790=TRUE,'ORDENES'!$A790&lt;&gt;""),1,0)</f>
        <v/>
      </c>
      <c r="L794" s="3">
        <f>IF(K794=1,IFERROR(MATCH('ORDENES'!$R790,lista_dias,0),9)*1000000000+IFERROR(MATCH('ORDENES'!$AF790,lista_turnos,0),9)*10000000+IFERROR(MATCH('ORDENES'!$AE790,'TECNICOS'!$B$4:$B$15,0),99)*100000+787,9000000000000+787)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IF('ORDENES'!$T790="preventiva",N794,0)</f>
        <v/>
      </c>
      <c r="P794" s="17">
        <f>IF('ORDENES'!$T790="correctiva",N794,0)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IF(AND(IF($B$3="(todos)",TRUE,'ORDENES'!$O791=$B$3),IF($D$3="(todos)",TRUE,'ORDENES'!$AF791=$D$3),IF($F$3="(todos)",TRUE,'ORDENES'!$X791=$F$3),IF($H$3="(todos)",TRUE,'ORDENES'!$W791=$H$3),'ORDENES'!$AD791=TRUE,'ORDENES'!$A791&lt;&gt;""),1,0)</f>
        <v/>
      </c>
      <c r="L795" s="3">
        <f>IF(K795=1,IFERROR(MATCH('ORDENES'!$R791,lista_dias,0),9)*1000000000+IFERROR(MATCH('ORDENES'!$AF791,lista_turnos,0),9)*10000000+IFERROR(MATCH('ORDENES'!$AE791,'TECNICOS'!$B$4:$B$15,0),99)*100000+788,9000000000000+788)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IF('ORDENES'!$T791="preventiva",N795,0)</f>
        <v/>
      </c>
      <c r="P795" s="17">
        <f>IF('ORDENES'!$T791="correctiva",N795,0)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IF(AND(IF($B$3="(todos)",TRUE,'ORDENES'!$O792=$B$3),IF($D$3="(todos)",TRUE,'ORDENES'!$AF792=$D$3),IF($F$3="(todos)",TRUE,'ORDENES'!$X792=$F$3),IF($H$3="(todos)",TRUE,'ORDENES'!$W792=$H$3),'ORDENES'!$AD792=TRUE,'ORDENES'!$A792&lt;&gt;""),1,0)</f>
        <v/>
      </c>
      <c r="L796" s="3">
        <f>IF(K796=1,IFERROR(MATCH('ORDENES'!$R792,lista_dias,0),9)*1000000000+IFERROR(MATCH('ORDENES'!$AF792,lista_turnos,0),9)*10000000+IFERROR(MATCH('ORDENES'!$AE792,'TECNICOS'!$B$4:$B$15,0),99)*100000+789,9000000000000+789)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IF('ORDENES'!$T792="preventiva",N796,0)</f>
        <v/>
      </c>
      <c r="P796" s="17">
        <f>IF('ORDENES'!$T792="correctiva",N796,0)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IF(AND(IF($B$3="(todos)",TRUE,'ORDENES'!$O793=$B$3),IF($D$3="(todos)",TRUE,'ORDENES'!$AF793=$D$3),IF($F$3="(todos)",TRUE,'ORDENES'!$X793=$F$3),IF($H$3="(todos)",TRUE,'ORDENES'!$W793=$H$3),'ORDENES'!$AD793=TRUE,'ORDENES'!$A793&lt;&gt;""),1,0)</f>
        <v/>
      </c>
      <c r="L797" s="3">
        <f>IF(K797=1,IFERROR(MATCH('ORDENES'!$R793,lista_dias,0),9)*1000000000+IFERROR(MATCH('ORDENES'!$AF793,lista_turnos,0),9)*10000000+IFERROR(MATCH('ORDENES'!$AE793,'TECNICOS'!$B$4:$B$15,0),99)*100000+790,9000000000000+790)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IF('ORDENES'!$T793="preventiva",N797,0)</f>
        <v/>
      </c>
      <c r="P797" s="17">
        <f>IF('ORDENES'!$T793="correctiva",N797,0)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IF(AND(IF($B$3="(todos)",TRUE,'ORDENES'!$O794=$B$3),IF($D$3="(todos)",TRUE,'ORDENES'!$AF794=$D$3),IF($F$3="(todos)",TRUE,'ORDENES'!$X794=$F$3),IF($H$3="(todos)",TRUE,'ORDENES'!$W794=$H$3),'ORDENES'!$AD794=TRUE,'ORDENES'!$A794&lt;&gt;""),1,0)</f>
        <v/>
      </c>
      <c r="L798" s="3">
        <f>IF(K798=1,IFERROR(MATCH('ORDENES'!$R794,lista_dias,0),9)*1000000000+IFERROR(MATCH('ORDENES'!$AF794,lista_turnos,0),9)*10000000+IFERROR(MATCH('ORDENES'!$AE794,'TECNICOS'!$B$4:$B$15,0),99)*100000+791,9000000000000+791)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IF('ORDENES'!$T794="preventiva",N798,0)</f>
        <v/>
      </c>
      <c r="P798" s="17">
        <f>IF('ORDENES'!$T794="correctiva",N798,0)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IF(AND(IF($B$3="(todos)",TRUE,'ORDENES'!$O795=$B$3),IF($D$3="(todos)",TRUE,'ORDENES'!$AF795=$D$3),IF($F$3="(todos)",TRUE,'ORDENES'!$X795=$F$3),IF($H$3="(todos)",TRUE,'ORDENES'!$W795=$H$3),'ORDENES'!$AD795=TRUE,'ORDENES'!$A795&lt;&gt;""),1,0)</f>
        <v/>
      </c>
      <c r="L799" s="3">
        <f>IF(K799=1,IFERROR(MATCH('ORDENES'!$R795,lista_dias,0),9)*1000000000+IFERROR(MATCH('ORDENES'!$AF795,lista_turnos,0),9)*10000000+IFERROR(MATCH('ORDENES'!$AE795,'TECNICOS'!$B$4:$B$15,0),99)*100000+792,9000000000000+792)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IF('ORDENES'!$T795="preventiva",N799,0)</f>
        <v/>
      </c>
      <c r="P799" s="17">
        <f>IF('ORDENES'!$T795="correctiva",N799,0)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IF(AND(IF($B$3="(todos)",TRUE,'ORDENES'!$O796=$B$3),IF($D$3="(todos)",TRUE,'ORDENES'!$AF796=$D$3),IF($F$3="(todos)",TRUE,'ORDENES'!$X796=$F$3),IF($H$3="(todos)",TRUE,'ORDENES'!$W796=$H$3),'ORDENES'!$AD796=TRUE,'ORDENES'!$A796&lt;&gt;""),1,0)</f>
        <v/>
      </c>
      <c r="L800" s="3">
        <f>IF(K800=1,IFERROR(MATCH('ORDENES'!$R796,lista_dias,0),9)*1000000000+IFERROR(MATCH('ORDENES'!$AF796,lista_turnos,0),9)*10000000+IFERROR(MATCH('ORDENES'!$AE796,'TECNICOS'!$B$4:$B$15,0),99)*100000+793,9000000000000+793)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IF('ORDENES'!$T796="preventiva",N800,0)</f>
        <v/>
      </c>
      <c r="P800" s="17">
        <f>IF('ORDENES'!$T796="correctiva",N800,0)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IF(AND(IF($B$3="(todos)",TRUE,'ORDENES'!$O797=$B$3),IF($D$3="(todos)",TRUE,'ORDENES'!$AF797=$D$3),IF($F$3="(todos)",TRUE,'ORDENES'!$X797=$F$3),IF($H$3="(todos)",TRUE,'ORDENES'!$W797=$H$3),'ORDENES'!$AD797=TRUE,'ORDENES'!$A797&lt;&gt;""),1,0)</f>
        <v/>
      </c>
      <c r="L801" s="3">
        <f>IF(K801=1,IFERROR(MATCH('ORDENES'!$R797,lista_dias,0),9)*1000000000+IFERROR(MATCH('ORDENES'!$AF797,lista_turnos,0),9)*10000000+IFERROR(MATCH('ORDENES'!$AE797,'TECNICOS'!$B$4:$B$15,0),99)*100000+794,9000000000000+794)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IF('ORDENES'!$T797="preventiva",N801,0)</f>
        <v/>
      </c>
      <c r="P801" s="17">
        <f>IF('ORDENES'!$T797="correctiva",N801,0)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IF(AND(IF($B$3="(todos)",TRUE,'ORDENES'!$O798=$B$3),IF($D$3="(todos)",TRUE,'ORDENES'!$AF798=$D$3),IF($F$3="(todos)",TRUE,'ORDENES'!$X798=$F$3),IF($H$3="(todos)",TRUE,'ORDENES'!$W798=$H$3),'ORDENES'!$AD798=TRUE,'ORDENES'!$A798&lt;&gt;""),1,0)</f>
        <v/>
      </c>
      <c r="L802" s="3">
        <f>IF(K802=1,IFERROR(MATCH('ORDENES'!$R798,lista_dias,0),9)*1000000000+IFERROR(MATCH('ORDENES'!$AF798,lista_turnos,0),9)*10000000+IFERROR(MATCH('ORDENES'!$AE798,'TECNICOS'!$B$4:$B$15,0),99)*100000+795,9000000000000+795)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IF('ORDENES'!$T798="preventiva",N802,0)</f>
        <v/>
      </c>
      <c r="P802" s="17">
        <f>IF('ORDENES'!$T798="correctiva",N802,0)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IF(AND(IF($B$3="(todos)",TRUE,'ORDENES'!$O799=$B$3),IF($D$3="(todos)",TRUE,'ORDENES'!$AF799=$D$3),IF($F$3="(todos)",TRUE,'ORDENES'!$X799=$F$3),IF($H$3="(todos)",TRUE,'ORDENES'!$W799=$H$3),'ORDENES'!$AD799=TRUE,'ORDENES'!$A799&lt;&gt;""),1,0)</f>
        <v/>
      </c>
      <c r="L803" s="3">
        <f>IF(K803=1,IFERROR(MATCH('ORDENES'!$R799,lista_dias,0),9)*1000000000+IFERROR(MATCH('ORDENES'!$AF799,lista_turnos,0),9)*10000000+IFERROR(MATCH('ORDENES'!$AE799,'TECNICOS'!$B$4:$B$15,0),99)*100000+796,9000000000000+796)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IF('ORDENES'!$T799="preventiva",N803,0)</f>
        <v/>
      </c>
      <c r="P803" s="17">
        <f>IF('ORDENES'!$T799="correctiva",N803,0)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IF(AND(IF($B$3="(todos)",TRUE,'ORDENES'!$O800=$B$3),IF($D$3="(todos)",TRUE,'ORDENES'!$AF800=$D$3),IF($F$3="(todos)",TRUE,'ORDENES'!$X800=$F$3),IF($H$3="(todos)",TRUE,'ORDENES'!$W800=$H$3),'ORDENES'!$AD800=TRUE,'ORDENES'!$A800&lt;&gt;""),1,0)</f>
        <v/>
      </c>
      <c r="L804" s="3">
        <f>IF(K804=1,IFERROR(MATCH('ORDENES'!$R800,lista_dias,0),9)*1000000000+IFERROR(MATCH('ORDENES'!$AF800,lista_turnos,0),9)*10000000+IFERROR(MATCH('ORDENES'!$AE800,'TECNICOS'!$B$4:$B$15,0),99)*100000+797,9000000000000+797)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IF('ORDENES'!$T800="preventiva",N804,0)</f>
        <v/>
      </c>
      <c r="P804" s="17">
        <f>IF('ORDENES'!$T800="correctiva",N804,0)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IF(AND(IF($B$3="(todos)",TRUE,'ORDENES'!$O801=$B$3),IF($D$3="(todos)",TRUE,'ORDENES'!$AF801=$D$3),IF($F$3="(todos)",TRUE,'ORDENES'!$X801=$F$3),IF($H$3="(todos)",TRUE,'ORDENES'!$W801=$H$3),'ORDENES'!$AD801=TRUE,'ORDENES'!$A801&lt;&gt;""),1,0)</f>
        <v/>
      </c>
      <c r="L805" s="3">
        <f>IF(K805=1,IFERROR(MATCH('ORDENES'!$R801,lista_dias,0),9)*1000000000+IFERROR(MATCH('ORDENES'!$AF801,lista_turnos,0),9)*10000000+IFERROR(MATCH('ORDENES'!$AE801,'TECNICOS'!$B$4:$B$15,0),99)*100000+798,9000000000000+798)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IF('ORDENES'!$T801="preventiva",N805,0)</f>
        <v/>
      </c>
      <c r="P805" s="17">
        <f>IF('ORDENES'!$T801="correctiva",N805,0)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IF(AND(IF($B$3="(todos)",TRUE,'ORDENES'!$O802=$B$3),IF($D$3="(todos)",TRUE,'ORDENES'!$AF802=$D$3),IF($F$3="(todos)",TRUE,'ORDENES'!$X802=$F$3),IF($H$3="(todos)",TRUE,'ORDENES'!$W802=$H$3),'ORDENES'!$AD802=TRUE,'ORDENES'!$A802&lt;&gt;""),1,0)</f>
        <v/>
      </c>
      <c r="L806" s="3">
        <f>IF(K806=1,IFERROR(MATCH('ORDENES'!$R802,lista_dias,0),9)*1000000000+IFERROR(MATCH('ORDENES'!$AF802,lista_turnos,0),9)*10000000+IFERROR(MATCH('ORDENES'!$AE802,'TECNICOS'!$B$4:$B$15,0),99)*100000+799,9000000000000+799)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IF('ORDENES'!$T802="preventiva",N806,0)</f>
        <v/>
      </c>
      <c r="P806" s="17">
        <f>IF('ORDENES'!$T802="correctiva",N806,0)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IF(AND(IF($B$3="(todos)",TRUE,'ORDENES'!$O803=$B$3),IF($D$3="(todos)",TRUE,'ORDENES'!$AF803=$D$3),IF($F$3="(todos)",TRUE,'ORDENES'!$X803=$F$3),IF($H$3="(todos)",TRUE,'ORDENES'!$W803=$H$3),'ORDENES'!$AD803=TRUE,'ORDENES'!$A803&lt;&gt;""),1,0)</f>
        <v/>
      </c>
      <c r="L807" s="3">
        <f>IF(K807=1,IFERROR(MATCH('ORDENES'!$R803,lista_dias,0),9)*1000000000+IFERROR(MATCH('ORDENES'!$AF803,lista_turnos,0),9)*10000000+IFERROR(MATCH('ORDENES'!$AE803,'TECNICOS'!$B$4:$B$15,0),99)*100000+800,9000000000000+800)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IF('ORDENES'!$T803="preventiva",N807,0)</f>
        <v/>
      </c>
      <c r="P807" s="17">
        <f>IF('ORDENES'!$T803="correctiva",N807,0)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IF(AND(IF($B$3="(todos)",TRUE,'ORDENES'!$O804=$B$3),IF($D$3="(todos)",TRUE,'ORDENES'!$AF804=$D$3),IF($F$3="(todos)",TRUE,'ORDENES'!$X804=$F$3),IF($H$3="(todos)",TRUE,'ORDENES'!$W804=$H$3),'ORDENES'!$AD804=TRUE,'ORDENES'!$A804&lt;&gt;""),1,0)</f>
        <v/>
      </c>
      <c r="L808" s="3">
        <f>IF(K808=1,IFERROR(MATCH('ORDENES'!$R804,lista_dias,0),9)*1000000000+IFERROR(MATCH('ORDENES'!$AF804,lista_turnos,0),9)*10000000+IFERROR(MATCH('ORDENES'!$AE804,'TECNICOS'!$B$4:$B$15,0),99)*100000+801,9000000000000+801)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IF('ORDENES'!$T804="preventiva",N808,0)</f>
        <v/>
      </c>
      <c r="P808" s="17">
        <f>IF('ORDENES'!$T804="correctiva",N808,0)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IF(AND(IF($B$3="(todos)",TRUE,'ORDENES'!$O805=$B$3),IF($D$3="(todos)",TRUE,'ORDENES'!$AF805=$D$3),IF($F$3="(todos)",TRUE,'ORDENES'!$X805=$F$3),IF($H$3="(todos)",TRUE,'ORDENES'!$W805=$H$3),'ORDENES'!$AD805=TRUE,'ORDENES'!$A805&lt;&gt;""),1,0)</f>
        <v/>
      </c>
      <c r="L809" s="3">
        <f>IF(K809=1,IFERROR(MATCH('ORDENES'!$R805,lista_dias,0),9)*1000000000+IFERROR(MATCH('ORDENES'!$AF805,lista_turnos,0),9)*10000000+IFERROR(MATCH('ORDENES'!$AE805,'TECNICOS'!$B$4:$B$15,0),99)*100000+802,9000000000000+802)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IF('ORDENES'!$T805="preventiva",N809,0)</f>
        <v/>
      </c>
      <c r="P809" s="17">
        <f>IF('ORDENES'!$T805="correctiva",N809,0)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IF(AND(IF($B$3="(todos)",TRUE,'ORDENES'!$O806=$B$3),IF($D$3="(todos)",TRUE,'ORDENES'!$AF806=$D$3),IF($F$3="(todos)",TRUE,'ORDENES'!$X806=$F$3),IF($H$3="(todos)",TRUE,'ORDENES'!$W806=$H$3),'ORDENES'!$AD806=TRUE,'ORDENES'!$A806&lt;&gt;""),1,0)</f>
        <v/>
      </c>
      <c r="L810" s="3">
        <f>IF(K810=1,IFERROR(MATCH('ORDENES'!$R806,lista_dias,0),9)*1000000000+IFERROR(MATCH('ORDENES'!$AF806,lista_turnos,0),9)*10000000+IFERROR(MATCH('ORDENES'!$AE806,'TECNICOS'!$B$4:$B$15,0),99)*100000+803,9000000000000+803)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IF('ORDENES'!$T806="preventiva",N810,0)</f>
        <v/>
      </c>
      <c r="P810" s="17">
        <f>IF('ORDENES'!$T806="correctiva",N810,0)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IF(AND(IF($B$3="(todos)",TRUE,'ORDENES'!$O807=$B$3),IF($D$3="(todos)",TRUE,'ORDENES'!$AF807=$D$3),IF($F$3="(todos)",TRUE,'ORDENES'!$X807=$F$3),IF($H$3="(todos)",TRUE,'ORDENES'!$W807=$H$3),'ORDENES'!$AD807=TRUE,'ORDENES'!$A807&lt;&gt;""),1,0)</f>
        <v/>
      </c>
      <c r="L811" s="3">
        <f>IF(K811=1,IFERROR(MATCH('ORDENES'!$R807,lista_dias,0),9)*1000000000+IFERROR(MATCH('ORDENES'!$AF807,lista_turnos,0),9)*10000000+IFERROR(MATCH('ORDENES'!$AE807,'TECNICOS'!$B$4:$B$15,0),99)*100000+804,9000000000000+804)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IF('ORDENES'!$T807="preventiva",N811,0)</f>
        <v/>
      </c>
      <c r="P811" s="17">
        <f>IF('ORDENES'!$T807="correctiva",N811,0)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IF(AND(IF($B$3="(todos)",TRUE,'ORDENES'!$O808=$B$3),IF($D$3="(todos)",TRUE,'ORDENES'!$AF808=$D$3),IF($F$3="(todos)",TRUE,'ORDENES'!$X808=$F$3),IF($H$3="(todos)",TRUE,'ORDENES'!$W808=$H$3),'ORDENES'!$AD808=TRUE,'ORDENES'!$A808&lt;&gt;""),1,0)</f>
        <v/>
      </c>
      <c r="L812" s="3">
        <f>IF(K812=1,IFERROR(MATCH('ORDENES'!$R808,lista_dias,0),9)*1000000000+IFERROR(MATCH('ORDENES'!$AF808,lista_turnos,0),9)*10000000+IFERROR(MATCH('ORDENES'!$AE808,'TECNICOS'!$B$4:$B$15,0),99)*100000+805,9000000000000+805)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IF('ORDENES'!$T808="preventiva",N812,0)</f>
        <v/>
      </c>
      <c r="P812" s="17">
        <f>IF('ORDENES'!$T808="correctiva",N812,0)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IF(AND(IF($B$3="(todos)",TRUE,'ORDENES'!$O809=$B$3),IF($D$3="(todos)",TRUE,'ORDENES'!$AF809=$D$3),IF($F$3="(todos)",TRUE,'ORDENES'!$X809=$F$3),IF($H$3="(todos)",TRUE,'ORDENES'!$W809=$H$3),'ORDENES'!$AD809=TRUE,'ORDENES'!$A809&lt;&gt;""),1,0)</f>
        <v/>
      </c>
      <c r="L813" s="3">
        <f>IF(K813=1,IFERROR(MATCH('ORDENES'!$R809,lista_dias,0),9)*1000000000+IFERROR(MATCH('ORDENES'!$AF809,lista_turnos,0),9)*10000000+IFERROR(MATCH('ORDENES'!$AE809,'TECNICOS'!$B$4:$B$15,0),99)*100000+806,9000000000000+806)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IF('ORDENES'!$T809="preventiva",N813,0)</f>
        <v/>
      </c>
      <c r="P813" s="17">
        <f>IF('ORDENES'!$T809="correctiva",N813,0)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IF(AND(IF($B$3="(todos)",TRUE,'ORDENES'!$O810=$B$3),IF($D$3="(todos)",TRUE,'ORDENES'!$AF810=$D$3),IF($F$3="(todos)",TRUE,'ORDENES'!$X810=$F$3),IF($H$3="(todos)",TRUE,'ORDENES'!$W810=$H$3),'ORDENES'!$AD810=TRUE,'ORDENES'!$A810&lt;&gt;""),1,0)</f>
        <v/>
      </c>
      <c r="L814" s="3">
        <f>IF(K814=1,IFERROR(MATCH('ORDENES'!$R810,lista_dias,0),9)*1000000000+IFERROR(MATCH('ORDENES'!$AF810,lista_turnos,0),9)*10000000+IFERROR(MATCH('ORDENES'!$AE810,'TECNICOS'!$B$4:$B$15,0),99)*100000+807,9000000000000+807)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IF('ORDENES'!$T810="preventiva",N814,0)</f>
        <v/>
      </c>
      <c r="P814" s="17">
        <f>IF('ORDENES'!$T810="correctiva",N814,0)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IF(AND(IF($B$3="(todos)",TRUE,'ORDENES'!$O811=$B$3),IF($D$3="(todos)",TRUE,'ORDENES'!$AF811=$D$3),IF($F$3="(todos)",TRUE,'ORDENES'!$X811=$F$3),IF($H$3="(todos)",TRUE,'ORDENES'!$W811=$H$3),'ORDENES'!$AD811=TRUE,'ORDENES'!$A811&lt;&gt;""),1,0)</f>
        <v/>
      </c>
      <c r="L815" s="3">
        <f>IF(K815=1,IFERROR(MATCH('ORDENES'!$R811,lista_dias,0),9)*1000000000+IFERROR(MATCH('ORDENES'!$AF811,lista_turnos,0),9)*10000000+IFERROR(MATCH('ORDENES'!$AE811,'TECNICOS'!$B$4:$B$15,0),99)*100000+808,9000000000000+808)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IF('ORDENES'!$T811="preventiva",N815,0)</f>
        <v/>
      </c>
      <c r="P815" s="17">
        <f>IF('ORDENES'!$T811="correctiva",N815,0)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IF(AND(IF($B$3="(todos)",TRUE,'ORDENES'!$O812=$B$3),IF($D$3="(todos)",TRUE,'ORDENES'!$AF812=$D$3),IF($F$3="(todos)",TRUE,'ORDENES'!$X812=$F$3),IF($H$3="(todos)",TRUE,'ORDENES'!$W812=$H$3),'ORDENES'!$AD812=TRUE,'ORDENES'!$A812&lt;&gt;""),1,0)</f>
        <v/>
      </c>
      <c r="L816" s="3">
        <f>IF(K816=1,IFERROR(MATCH('ORDENES'!$R812,lista_dias,0),9)*1000000000+IFERROR(MATCH('ORDENES'!$AF812,lista_turnos,0),9)*10000000+IFERROR(MATCH('ORDENES'!$AE812,'TECNICOS'!$B$4:$B$15,0),99)*100000+809,9000000000000+809)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IF('ORDENES'!$T812="preventiva",N816,0)</f>
        <v/>
      </c>
      <c r="P816" s="17">
        <f>IF('ORDENES'!$T812="correctiva",N816,0)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IF(AND(IF($B$3="(todos)",TRUE,'ORDENES'!$O813=$B$3),IF($D$3="(todos)",TRUE,'ORDENES'!$AF813=$D$3),IF($F$3="(todos)",TRUE,'ORDENES'!$X813=$F$3),IF($H$3="(todos)",TRUE,'ORDENES'!$W813=$H$3),'ORDENES'!$AD813=TRUE,'ORDENES'!$A813&lt;&gt;""),1,0)</f>
        <v/>
      </c>
      <c r="L817" s="3">
        <f>IF(K817=1,IFERROR(MATCH('ORDENES'!$R813,lista_dias,0),9)*1000000000+IFERROR(MATCH('ORDENES'!$AF813,lista_turnos,0),9)*10000000+IFERROR(MATCH('ORDENES'!$AE813,'TECNICOS'!$B$4:$B$15,0),99)*100000+810,9000000000000+810)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IF('ORDENES'!$T813="preventiva",N817,0)</f>
        <v/>
      </c>
      <c r="P817" s="17">
        <f>IF('ORDENES'!$T813="correctiva",N817,0)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IF(AND(IF($B$3="(todos)",TRUE,'ORDENES'!$O814=$B$3),IF($D$3="(todos)",TRUE,'ORDENES'!$AF814=$D$3),IF($F$3="(todos)",TRUE,'ORDENES'!$X814=$F$3),IF($H$3="(todos)",TRUE,'ORDENES'!$W814=$H$3),'ORDENES'!$AD814=TRUE,'ORDENES'!$A814&lt;&gt;""),1,0)</f>
        <v/>
      </c>
      <c r="L818" s="3">
        <f>IF(K818=1,IFERROR(MATCH('ORDENES'!$R814,lista_dias,0),9)*1000000000+IFERROR(MATCH('ORDENES'!$AF814,lista_turnos,0),9)*10000000+IFERROR(MATCH('ORDENES'!$AE814,'TECNICOS'!$B$4:$B$15,0),99)*100000+811,9000000000000+811)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IF('ORDENES'!$T814="preventiva",N818,0)</f>
        <v/>
      </c>
      <c r="P818" s="17">
        <f>IF('ORDENES'!$T814="correctiva",N818,0)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IF(AND(IF($B$3="(todos)",TRUE,'ORDENES'!$O815=$B$3),IF($D$3="(todos)",TRUE,'ORDENES'!$AF815=$D$3),IF($F$3="(todos)",TRUE,'ORDENES'!$X815=$F$3),IF($H$3="(todos)",TRUE,'ORDENES'!$W815=$H$3),'ORDENES'!$AD815=TRUE,'ORDENES'!$A815&lt;&gt;""),1,0)</f>
        <v/>
      </c>
      <c r="L819" s="3">
        <f>IF(K819=1,IFERROR(MATCH('ORDENES'!$R815,lista_dias,0),9)*1000000000+IFERROR(MATCH('ORDENES'!$AF815,lista_turnos,0),9)*10000000+IFERROR(MATCH('ORDENES'!$AE815,'TECNICOS'!$B$4:$B$15,0),99)*100000+812,9000000000000+812)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IF('ORDENES'!$T815="preventiva",N819,0)</f>
        <v/>
      </c>
      <c r="P819" s="17">
        <f>IF('ORDENES'!$T815="correctiva",N819,0)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IF(AND(IF($B$3="(todos)",TRUE,'ORDENES'!$O816=$B$3),IF($D$3="(todos)",TRUE,'ORDENES'!$AF816=$D$3),IF($F$3="(todos)",TRUE,'ORDENES'!$X816=$F$3),IF($H$3="(todos)",TRUE,'ORDENES'!$W816=$H$3),'ORDENES'!$AD816=TRUE,'ORDENES'!$A816&lt;&gt;""),1,0)</f>
        <v/>
      </c>
      <c r="L820" s="3">
        <f>IF(K820=1,IFERROR(MATCH('ORDENES'!$R816,lista_dias,0),9)*1000000000+IFERROR(MATCH('ORDENES'!$AF816,lista_turnos,0),9)*10000000+IFERROR(MATCH('ORDENES'!$AE816,'TECNICOS'!$B$4:$B$15,0),99)*100000+813,9000000000000+813)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IF('ORDENES'!$T816="preventiva",N820,0)</f>
        <v/>
      </c>
      <c r="P820" s="17">
        <f>IF('ORDENES'!$T816="correctiva",N820,0)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IF(AND(IF($B$3="(todos)",TRUE,'ORDENES'!$O817=$B$3),IF($D$3="(todos)",TRUE,'ORDENES'!$AF817=$D$3),IF($F$3="(todos)",TRUE,'ORDENES'!$X817=$F$3),IF($H$3="(todos)",TRUE,'ORDENES'!$W817=$H$3),'ORDENES'!$AD817=TRUE,'ORDENES'!$A817&lt;&gt;""),1,0)</f>
        <v/>
      </c>
      <c r="L821" s="3">
        <f>IF(K821=1,IFERROR(MATCH('ORDENES'!$R817,lista_dias,0),9)*1000000000+IFERROR(MATCH('ORDENES'!$AF817,lista_turnos,0),9)*10000000+IFERROR(MATCH('ORDENES'!$AE817,'TECNICOS'!$B$4:$B$15,0),99)*100000+814,9000000000000+814)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IF('ORDENES'!$T817="preventiva",N821,0)</f>
        <v/>
      </c>
      <c r="P821" s="17">
        <f>IF('ORDENES'!$T817="correctiva",N821,0)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IF(AND(IF($B$3="(todos)",TRUE,'ORDENES'!$O818=$B$3),IF($D$3="(todos)",TRUE,'ORDENES'!$AF818=$D$3),IF($F$3="(todos)",TRUE,'ORDENES'!$X818=$F$3),IF($H$3="(todos)",TRUE,'ORDENES'!$W818=$H$3),'ORDENES'!$AD818=TRUE,'ORDENES'!$A818&lt;&gt;""),1,0)</f>
        <v/>
      </c>
      <c r="L822" s="3">
        <f>IF(K822=1,IFERROR(MATCH('ORDENES'!$R818,lista_dias,0),9)*1000000000+IFERROR(MATCH('ORDENES'!$AF818,lista_turnos,0),9)*10000000+IFERROR(MATCH('ORDENES'!$AE818,'TECNICOS'!$B$4:$B$15,0),99)*100000+815,9000000000000+815)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IF('ORDENES'!$T818="preventiva",N822,0)</f>
        <v/>
      </c>
      <c r="P822" s="17">
        <f>IF('ORDENES'!$T818="correctiva",N822,0)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IF(AND(IF($B$3="(todos)",TRUE,'ORDENES'!$O819=$B$3),IF($D$3="(todos)",TRUE,'ORDENES'!$AF819=$D$3),IF($F$3="(todos)",TRUE,'ORDENES'!$X819=$F$3),IF($H$3="(todos)",TRUE,'ORDENES'!$W819=$H$3),'ORDENES'!$AD819=TRUE,'ORDENES'!$A819&lt;&gt;""),1,0)</f>
        <v/>
      </c>
      <c r="L823" s="3">
        <f>IF(K823=1,IFERROR(MATCH('ORDENES'!$R819,lista_dias,0),9)*1000000000+IFERROR(MATCH('ORDENES'!$AF819,lista_turnos,0),9)*10000000+IFERROR(MATCH('ORDENES'!$AE819,'TECNICOS'!$B$4:$B$15,0),99)*100000+816,9000000000000+816)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IF('ORDENES'!$T819="preventiva",N823,0)</f>
        <v/>
      </c>
      <c r="P823" s="17">
        <f>IF('ORDENES'!$T819="correctiva",N823,0)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IF(AND(IF($B$3="(todos)",TRUE,'ORDENES'!$O820=$B$3),IF($D$3="(todos)",TRUE,'ORDENES'!$AF820=$D$3),IF($F$3="(todos)",TRUE,'ORDENES'!$X820=$F$3),IF($H$3="(todos)",TRUE,'ORDENES'!$W820=$H$3),'ORDENES'!$AD820=TRUE,'ORDENES'!$A820&lt;&gt;""),1,0)</f>
        <v/>
      </c>
      <c r="L824" s="3">
        <f>IF(K824=1,IFERROR(MATCH('ORDENES'!$R820,lista_dias,0),9)*1000000000+IFERROR(MATCH('ORDENES'!$AF820,lista_turnos,0),9)*10000000+IFERROR(MATCH('ORDENES'!$AE820,'TECNICOS'!$B$4:$B$15,0),99)*100000+817,9000000000000+817)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IF('ORDENES'!$T820="preventiva",N824,0)</f>
        <v/>
      </c>
      <c r="P824" s="17">
        <f>IF('ORDENES'!$T820="correctiva",N824,0)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IF(AND(IF($B$3="(todos)",TRUE,'ORDENES'!$O821=$B$3),IF($D$3="(todos)",TRUE,'ORDENES'!$AF821=$D$3),IF($F$3="(todos)",TRUE,'ORDENES'!$X821=$F$3),IF($H$3="(todos)",TRUE,'ORDENES'!$W821=$H$3),'ORDENES'!$AD821=TRUE,'ORDENES'!$A821&lt;&gt;""),1,0)</f>
        <v/>
      </c>
      <c r="L825" s="3">
        <f>IF(K825=1,IFERROR(MATCH('ORDENES'!$R821,lista_dias,0),9)*1000000000+IFERROR(MATCH('ORDENES'!$AF821,lista_turnos,0),9)*10000000+IFERROR(MATCH('ORDENES'!$AE821,'TECNICOS'!$B$4:$B$15,0),99)*100000+818,9000000000000+818)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IF('ORDENES'!$T821="preventiva",N825,0)</f>
        <v/>
      </c>
      <c r="P825" s="17">
        <f>IF('ORDENES'!$T821="correctiva",N825,0)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IF(AND(IF($B$3="(todos)",TRUE,'ORDENES'!$O822=$B$3),IF($D$3="(todos)",TRUE,'ORDENES'!$AF822=$D$3),IF($F$3="(todos)",TRUE,'ORDENES'!$X822=$F$3),IF($H$3="(todos)",TRUE,'ORDENES'!$W822=$H$3),'ORDENES'!$AD822=TRUE,'ORDENES'!$A822&lt;&gt;""),1,0)</f>
        <v/>
      </c>
      <c r="L826" s="3">
        <f>IF(K826=1,IFERROR(MATCH('ORDENES'!$R822,lista_dias,0),9)*1000000000+IFERROR(MATCH('ORDENES'!$AF822,lista_turnos,0),9)*10000000+IFERROR(MATCH('ORDENES'!$AE822,'TECNICOS'!$B$4:$B$15,0),99)*100000+819,9000000000000+819)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IF('ORDENES'!$T822="preventiva",N826,0)</f>
        <v/>
      </c>
      <c r="P826" s="17">
        <f>IF('ORDENES'!$T822="correctiva",N826,0)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IF(AND(IF($B$3="(todos)",TRUE,'ORDENES'!$O823=$B$3),IF($D$3="(todos)",TRUE,'ORDENES'!$AF823=$D$3),IF($F$3="(todos)",TRUE,'ORDENES'!$X823=$F$3),IF($H$3="(todos)",TRUE,'ORDENES'!$W823=$H$3),'ORDENES'!$AD823=TRUE,'ORDENES'!$A823&lt;&gt;""),1,0)</f>
        <v/>
      </c>
      <c r="L827" s="3">
        <f>IF(K827=1,IFERROR(MATCH('ORDENES'!$R823,lista_dias,0),9)*1000000000+IFERROR(MATCH('ORDENES'!$AF823,lista_turnos,0),9)*10000000+IFERROR(MATCH('ORDENES'!$AE823,'TECNICOS'!$B$4:$B$15,0),99)*100000+820,9000000000000+820)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IF('ORDENES'!$T823="preventiva",N827,0)</f>
        <v/>
      </c>
      <c r="P827" s="17">
        <f>IF('ORDENES'!$T823="correctiva",N827,0)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IF(AND(IF($B$3="(todos)",TRUE,'ORDENES'!$O824=$B$3),IF($D$3="(todos)",TRUE,'ORDENES'!$AF824=$D$3),IF($F$3="(todos)",TRUE,'ORDENES'!$X824=$F$3),IF($H$3="(todos)",TRUE,'ORDENES'!$W824=$H$3),'ORDENES'!$AD824=TRUE,'ORDENES'!$A824&lt;&gt;""),1,0)</f>
        <v/>
      </c>
      <c r="L828" s="3">
        <f>IF(K828=1,IFERROR(MATCH('ORDENES'!$R824,lista_dias,0),9)*1000000000+IFERROR(MATCH('ORDENES'!$AF824,lista_turnos,0),9)*10000000+IFERROR(MATCH('ORDENES'!$AE824,'TECNICOS'!$B$4:$B$15,0),99)*100000+821,9000000000000+821)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IF('ORDENES'!$T824="preventiva",N828,0)</f>
        <v/>
      </c>
      <c r="P828" s="17">
        <f>IF('ORDENES'!$T824="correctiva",N828,0)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IF(AND(IF($B$3="(todos)",TRUE,'ORDENES'!$O825=$B$3),IF($D$3="(todos)",TRUE,'ORDENES'!$AF825=$D$3),IF($F$3="(todos)",TRUE,'ORDENES'!$X825=$F$3),IF($H$3="(todos)",TRUE,'ORDENES'!$W825=$H$3),'ORDENES'!$AD825=TRUE,'ORDENES'!$A825&lt;&gt;""),1,0)</f>
        <v/>
      </c>
      <c r="L829" s="3">
        <f>IF(K829=1,IFERROR(MATCH('ORDENES'!$R825,lista_dias,0),9)*1000000000+IFERROR(MATCH('ORDENES'!$AF825,lista_turnos,0),9)*10000000+IFERROR(MATCH('ORDENES'!$AE825,'TECNICOS'!$B$4:$B$15,0),99)*100000+822,9000000000000+822)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IF('ORDENES'!$T825="preventiva",N829,0)</f>
        <v/>
      </c>
      <c r="P829" s="17">
        <f>IF('ORDENES'!$T825="correctiva",N829,0)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IF(AND(IF($B$3="(todos)",TRUE,'ORDENES'!$O826=$B$3),IF($D$3="(todos)",TRUE,'ORDENES'!$AF826=$D$3),IF($F$3="(todos)",TRUE,'ORDENES'!$X826=$F$3),IF($H$3="(todos)",TRUE,'ORDENES'!$W826=$H$3),'ORDENES'!$AD826=TRUE,'ORDENES'!$A826&lt;&gt;""),1,0)</f>
        <v/>
      </c>
      <c r="L830" s="3">
        <f>IF(K830=1,IFERROR(MATCH('ORDENES'!$R826,lista_dias,0),9)*1000000000+IFERROR(MATCH('ORDENES'!$AF826,lista_turnos,0),9)*10000000+IFERROR(MATCH('ORDENES'!$AE826,'TECNICOS'!$B$4:$B$15,0),99)*100000+823,9000000000000+823)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IF('ORDENES'!$T826="preventiva",N830,0)</f>
        <v/>
      </c>
      <c r="P830" s="17">
        <f>IF('ORDENES'!$T826="correctiva",N830,0)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IF(AND(IF($B$3="(todos)",TRUE,'ORDENES'!$O827=$B$3),IF($D$3="(todos)",TRUE,'ORDENES'!$AF827=$D$3),IF($F$3="(todos)",TRUE,'ORDENES'!$X827=$F$3),IF($H$3="(todos)",TRUE,'ORDENES'!$W827=$H$3),'ORDENES'!$AD827=TRUE,'ORDENES'!$A827&lt;&gt;""),1,0)</f>
        <v/>
      </c>
      <c r="L831" s="3">
        <f>IF(K831=1,IFERROR(MATCH('ORDENES'!$R827,lista_dias,0),9)*1000000000+IFERROR(MATCH('ORDENES'!$AF827,lista_turnos,0),9)*10000000+IFERROR(MATCH('ORDENES'!$AE827,'TECNICOS'!$B$4:$B$15,0),99)*100000+824,9000000000000+824)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IF('ORDENES'!$T827="preventiva",N831,0)</f>
        <v/>
      </c>
      <c r="P831" s="17">
        <f>IF('ORDENES'!$T827="correctiva",N831,0)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IF(AND(IF($B$3="(todos)",TRUE,'ORDENES'!$O828=$B$3),IF($D$3="(todos)",TRUE,'ORDENES'!$AF828=$D$3),IF($F$3="(todos)",TRUE,'ORDENES'!$X828=$F$3),IF($H$3="(todos)",TRUE,'ORDENES'!$W828=$H$3),'ORDENES'!$AD828=TRUE,'ORDENES'!$A828&lt;&gt;""),1,0)</f>
        <v/>
      </c>
      <c r="L832" s="3">
        <f>IF(K832=1,IFERROR(MATCH('ORDENES'!$R828,lista_dias,0),9)*1000000000+IFERROR(MATCH('ORDENES'!$AF828,lista_turnos,0),9)*10000000+IFERROR(MATCH('ORDENES'!$AE828,'TECNICOS'!$B$4:$B$15,0),99)*100000+825,9000000000000+825)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IF('ORDENES'!$T828="preventiva",N832,0)</f>
        <v/>
      </c>
      <c r="P832" s="17">
        <f>IF('ORDENES'!$T828="correctiva",N832,0)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IF(AND(IF($B$3="(todos)",TRUE,'ORDENES'!$O829=$B$3),IF($D$3="(todos)",TRUE,'ORDENES'!$AF829=$D$3),IF($F$3="(todos)",TRUE,'ORDENES'!$X829=$F$3),IF($H$3="(todos)",TRUE,'ORDENES'!$W829=$H$3),'ORDENES'!$AD829=TRUE,'ORDENES'!$A829&lt;&gt;""),1,0)</f>
        <v/>
      </c>
      <c r="L833" s="3">
        <f>IF(K833=1,IFERROR(MATCH('ORDENES'!$R829,lista_dias,0),9)*1000000000+IFERROR(MATCH('ORDENES'!$AF829,lista_turnos,0),9)*10000000+IFERROR(MATCH('ORDENES'!$AE829,'TECNICOS'!$B$4:$B$15,0),99)*100000+826,9000000000000+826)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IF('ORDENES'!$T829="preventiva",N833,0)</f>
        <v/>
      </c>
      <c r="P833" s="17">
        <f>IF('ORDENES'!$T829="correctiva",N833,0)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IF(AND(IF($B$3="(todos)",TRUE,'ORDENES'!$O830=$B$3),IF($D$3="(todos)",TRUE,'ORDENES'!$AF830=$D$3),IF($F$3="(todos)",TRUE,'ORDENES'!$X830=$F$3),IF($H$3="(todos)",TRUE,'ORDENES'!$W830=$H$3),'ORDENES'!$AD830=TRUE,'ORDENES'!$A830&lt;&gt;""),1,0)</f>
        <v/>
      </c>
      <c r="L834" s="3">
        <f>IF(K834=1,IFERROR(MATCH('ORDENES'!$R830,lista_dias,0),9)*1000000000+IFERROR(MATCH('ORDENES'!$AF830,lista_turnos,0),9)*10000000+IFERROR(MATCH('ORDENES'!$AE830,'TECNICOS'!$B$4:$B$15,0),99)*100000+827,9000000000000+827)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IF('ORDENES'!$T830="preventiva",N834,0)</f>
        <v/>
      </c>
      <c r="P834" s="17">
        <f>IF('ORDENES'!$T830="correctiva",N834,0)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IF(AND(IF($B$3="(todos)",TRUE,'ORDENES'!$O831=$B$3),IF($D$3="(todos)",TRUE,'ORDENES'!$AF831=$D$3),IF($F$3="(todos)",TRUE,'ORDENES'!$X831=$F$3),IF($H$3="(todos)",TRUE,'ORDENES'!$W831=$H$3),'ORDENES'!$AD831=TRUE,'ORDENES'!$A831&lt;&gt;""),1,0)</f>
        <v/>
      </c>
      <c r="L835" s="3">
        <f>IF(K835=1,IFERROR(MATCH('ORDENES'!$R831,lista_dias,0),9)*1000000000+IFERROR(MATCH('ORDENES'!$AF831,lista_turnos,0),9)*10000000+IFERROR(MATCH('ORDENES'!$AE831,'TECNICOS'!$B$4:$B$15,0),99)*100000+828,9000000000000+828)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IF('ORDENES'!$T831="preventiva",N835,0)</f>
        <v/>
      </c>
      <c r="P835" s="17">
        <f>IF('ORDENES'!$T831="correctiva",N835,0)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IF(AND(IF($B$3="(todos)",TRUE,'ORDENES'!$O832=$B$3),IF($D$3="(todos)",TRUE,'ORDENES'!$AF832=$D$3),IF($F$3="(todos)",TRUE,'ORDENES'!$X832=$F$3),IF($H$3="(todos)",TRUE,'ORDENES'!$W832=$H$3),'ORDENES'!$AD832=TRUE,'ORDENES'!$A832&lt;&gt;""),1,0)</f>
        <v/>
      </c>
      <c r="L836" s="3">
        <f>IF(K836=1,IFERROR(MATCH('ORDENES'!$R832,lista_dias,0),9)*1000000000+IFERROR(MATCH('ORDENES'!$AF832,lista_turnos,0),9)*10000000+IFERROR(MATCH('ORDENES'!$AE832,'TECNICOS'!$B$4:$B$15,0),99)*100000+829,9000000000000+829)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IF('ORDENES'!$T832="preventiva",N836,0)</f>
        <v/>
      </c>
      <c r="P836" s="17">
        <f>IF('ORDENES'!$T832="correctiva",N836,0)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IF(AND(IF($B$3="(todos)",TRUE,'ORDENES'!$O833=$B$3),IF($D$3="(todos)",TRUE,'ORDENES'!$AF833=$D$3),IF($F$3="(todos)",TRUE,'ORDENES'!$X833=$F$3),IF($H$3="(todos)",TRUE,'ORDENES'!$W833=$H$3),'ORDENES'!$AD833=TRUE,'ORDENES'!$A833&lt;&gt;""),1,0)</f>
        <v/>
      </c>
      <c r="L837" s="3">
        <f>IF(K837=1,IFERROR(MATCH('ORDENES'!$R833,lista_dias,0),9)*1000000000+IFERROR(MATCH('ORDENES'!$AF833,lista_turnos,0),9)*10000000+IFERROR(MATCH('ORDENES'!$AE833,'TECNICOS'!$B$4:$B$15,0),99)*100000+830,9000000000000+830)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IF('ORDENES'!$T833="preventiva",N837,0)</f>
        <v/>
      </c>
      <c r="P837" s="17">
        <f>IF('ORDENES'!$T833="correctiva",N837,0)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IF(AND(IF($B$3="(todos)",TRUE,'ORDENES'!$O834=$B$3),IF($D$3="(todos)",TRUE,'ORDENES'!$AF834=$D$3),IF($F$3="(todos)",TRUE,'ORDENES'!$X834=$F$3),IF($H$3="(todos)",TRUE,'ORDENES'!$W834=$H$3),'ORDENES'!$AD834=TRUE,'ORDENES'!$A834&lt;&gt;""),1,0)</f>
        <v/>
      </c>
      <c r="L838" s="3">
        <f>IF(K838=1,IFERROR(MATCH('ORDENES'!$R834,lista_dias,0),9)*1000000000+IFERROR(MATCH('ORDENES'!$AF834,lista_turnos,0),9)*10000000+IFERROR(MATCH('ORDENES'!$AE834,'TECNICOS'!$B$4:$B$15,0),99)*100000+831,9000000000000+831)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IF('ORDENES'!$T834="preventiva",N838,0)</f>
        <v/>
      </c>
      <c r="P838" s="17">
        <f>IF('ORDENES'!$T834="correctiva",N838,0)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IF(AND(IF($B$3="(todos)",TRUE,'ORDENES'!$O835=$B$3),IF($D$3="(todos)",TRUE,'ORDENES'!$AF835=$D$3),IF($F$3="(todos)",TRUE,'ORDENES'!$X835=$F$3),IF($H$3="(todos)",TRUE,'ORDENES'!$W835=$H$3),'ORDENES'!$AD835=TRUE,'ORDENES'!$A835&lt;&gt;""),1,0)</f>
        <v/>
      </c>
      <c r="L839" s="3">
        <f>IF(K839=1,IFERROR(MATCH('ORDENES'!$R835,lista_dias,0),9)*1000000000+IFERROR(MATCH('ORDENES'!$AF835,lista_turnos,0),9)*10000000+IFERROR(MATCH('ORDENES'!$AE835,'TECNICOS'!$B$4:$B$15,0),99)*100000+832,9000000000000+832)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IF('ORDENES'!$T835="preventiva",N839,0)</f>
        <v/>
      </c>
      <c r="P839" s="17">
        <f>IF('ORDENES'!$T835="correctiva",N839,0)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IF(AND(IF($B$3="(todos)",TRUE,'ORDENES'!$O836=$B$3),IF($D$3="(todos)",TRUE,'ORDENES'!$AF836=$D$3),IF($F$3="(todos)",TRUE,'ORDENES'!$X836=$F$3),IF($H$3="(todos)",TRUE,'ORDENES'!$W836=$H$3),'ORDENES'!$AD836=TRUE,'ORDENES'!$A836&lt;&gt;""),1,0)</f>
        <v/>
      </c>
      <c r="L840" s="3">
        <f>IF(K840=1,IFERROR(MATCH('ORDENES'!$R836,lista_dias,0),9)*1000000000+IFERROR(MATCH('ORDENES'!$AF836,lista_turnos,0),9)*10000000+IFERROR(MATCH('ORDENES'!$AE836,'TECNICOS'!$B$4:$B$15,0),99)*100000+833,9000000000000+833)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IF('ORDENES'!$T836="preventiva",N840,0)</f>
        <v/>
      </c>
      <c r="P840" s="17">
        <f>IF('ORDENES'!$T836="correctiva",N840,0)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IF(AND(IF($B$3="(todos)",TRUE,'ORDENES'!$O837=$B$3),IF($D$3="(todos)",TRUE,'ORDENES'!$AF837=$D$3),IF($F$3="(todos)",TRUE,'ORDENES'!$X837=$F$3),IF($H$3="(todos)",TRUE,'ORDENES'!$W837=$H$3),'ORDENES'!$AD837=TRUE,'ORDENES'!$A837&lt;&gt;""),1,0)</f>
        <v/>
      </c>
      <c r="L841" s="3">
        <f>IF(K841=1,IFERROR(MATCH('ORDENES'!$R837,lista_dias,0),9)*1000000000+IFERROR(MATCH('ORDENES'!$AF837,lista_turnos,0),9)*10000000+IFERROR(MATCH('ORDENES'!$AE837,'TECNICOS'!$B$4:$B$15,0),99)*100000+834,9000000000000+834)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IF('ORDENES'!$T837="preventiva",N841,0)</f>
        <v/>
      </c>
      <c r="P841" s="17">
        <f>IF('ORDENES'!$T837="correctiva",N841,0)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IF(AND(IF($B$3="(todos)",TRUE,'ORDENES'!$O838=$B$3),IF($D$3="(todos)",TRUE,'ORDENES'!$AF838=$D$3),IF($F$3="(todos)",TRUE,'ORDENES'!$X838=$F$3),IF($H$3="(todos)",TRUE,'ORDENES'!$W838=$H$3),'ORDENES'!$AD838=TRUE,'ORDENES'!$A838&lt;&gt;""),1,0)</f>
        <v/>
      </c>
      <c r="L842" s="3">
        <f>IF(K842=1,IFERROR(MATCH('ORDENES'!$R838,lista_dias,0),9)*1000000000+IFERROR(MATCH('ORDENES'!$AF838,lista_turnos,0),9)*10000000+IFERROR(MATCH('ORDENES'!$AE838,'TECNICOS'!$B$4:$B$15,0),99)*100000+835,9000000000000+835)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IF('ORDENES'!$T838="preventiva",N842,0)</f>
        <v/>
      </c>
      <c r="P842" s="17">
        <f>IF('ORDENES'!$T838="correctiva",N842,0)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IF(AND(IF($B$3="(todos)",TRUE,'ORDENES'!$O839=$B$3),IF($D$3="(todos)",TRUE,'ORDENES'!$AF839=$D$3),IF($F$3="(todos)",TRUE,'ORDENES'!$X839=$F$3),IF($H$3="(todos)",TRUE,'ORDENES'!$W839=$H$3),'ORDENES'!$AD839=TRUE,'ORDENES'!$A839&lt;&gt;""),1,0)</f>
        <v/>
      </c>
      <c r="L843" s="3">
        <f>IF(K843=1,IFERROR(MATCH('ORDENES'!$R839,lista_dias,0),9)*1000000000+IFERROR(MATCH('ORDENES'!$AF839,lista_turnos,0),9)*10000000+IFERROR(MATCH('ORDENES'!$AE839,'TECNICOS'!$B$4:$B$15,0),99)*100000+836,9000000000000+836)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IF('ORDENES'!$T839="preventiva",N843,0)</f>
        <v/>
      </c>
      <c r="P843" s="17">
        <f>IF('ORDENES'!$T839="correctiva",N843,0)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IF(AND(IF($B$3="(todos)",TRUE,'ORDENES'!$O840=$B$3),IF($D$3="(todos)",TRUE,'ORDENES'!$AF840=$D$3),IF($F$3="(todos)",TRUE,'ORDENES'!$X840=$F$3),IF($H$3="(todos)",TRUE,'ORDENES'!$W840=$H$3),'ORDENES'!$AD840=TRUE,'ORDENES'!$A840&lt;&gt;""),1,0)</f>
        <v/>
      </c>
      <c r="L844" s="3">
        <f>IF(K844=1,IFERROR(MATCH('ORDENES'!$R840,lista_dias,0),9)*1000000000+IFERROR(MATCH('ORDENES'!$AF840,lista_turnos,0),9)*10000000+IFERROR(MATCH('ORDENES'!$AE840,'TECNICOS'!$B$4:$B$15,0),99)*100000+837,9000000000000+837)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IF('ORDENES'!$T840="preventiva",N844,0)</f>
        <v/>
      </c>
      <c r="P844" s="17">
        <f>IF('ORDENES'!$T840="correctiva",N844,0)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IF(AND(IF($B$3="(todos)",TRUE,'ORDENES'!$O841=$B$3),IF($D$3="(todos)",TRUE,'ORDENES'!$AF841=$D$3),IF($F$3="(todos)",TRUE,'ORDENES'!$X841=$F$3),IF($H$3="(todos)",TRUE,'ORDENES'!$W841=$H$3),'ORDENES'!$AD841=TRUE,'ORDENES'!$A841&lt;&gt;""),1,0)</f>
        <v/>
      </c>
      <c r="L845" s="3">
        <f>IF(K845=1,IFERROR(MATCH('ORDENES'!$R841,lista_dias,0),9)*1000000000+IFERROR(MATCH('ORDENES'!$AF841,lista_turnos,0),9)*10000000+IFERROR(MATCH('ORDENES'!$AE841,'TECNICOS'!$B$4:$B$15,0),99)*100000+838,9000000000000+838)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IF('ORDENES'!$T841="preventiva",N845,0)</f>
        <v/>
      </c>
      <c r="P845" s="17">
        <f>IF('ORDENES'!$T841="correctiva",N845,0)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IF(AND(IF($B$3="(todos)",TRUE,'ORDENES'!$O842=$B$3),IF($D$3="(todos)",TRUE,'ORDENES'!$AF842=$D$3),IF($F$3="(todos)",TRUE,'ORDENES'!$X842=$F$3),IF($H$3="(todos)",TRUE,'ORDENES'!$W842=$H$3),'ORDENES'!$AD842=TRUE,'ORDENES'!$A842&lt;&gt;""),1,0)</f>
        <v/>
      </c>
      <c r="L846" s="3">
        <f>IF(K846=1,IFERROR(MATCH('ORDENES'!$R842,lista_dias,0),9)*1000000000+IFERROR(MATCH('ORDENES'!$AF842,lista_turnos,0),9)*10000000+IFERROR(MATCH('ORDENES'!$AE842,'TECNICOS'!$B$4:$B$15,0),99)*100000+839,9000000000000+839)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IF('ORDENES'!$T842="preventiva",N846,0)</f>
        <v/>
      </c>
      <c r="P846" s="17">
        <f>IF('ORDENES'!$T842="correctiva",N846,0)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IF(AND(IF($B$3="(todos)",TRUE,'ORDENES'!$O843=$B$3),IF($D$3="(todos)",TRUE,'ORDENES'!$AF843=$D$3),IF($F$3="(todos)",TRUE,'ORDENES'!$X843=$F$3),IF($H$3="(todos)",TRUE,'ORDENES'!$W843=$H$3),'ORDENES'!$AD843=TRUE,'ORDENES'!$A843&lt;&gt;""),1,0)</f>
        <v/>
      </c>
      <c r="L847" s="3">
        <f>IF(K847=1,IFERROR(MATCH('ORDENES'!$R843,lista_dias,0),9)*1000000000+IFERROR(MATCH('ORDENES'!$AF843,lista_turnos,0),9)*10000000+IFERROR(MATCH('ORDENES'!$AE843,'TECNICOS'!$B$4:$B$15,0),99)*100000+840,9000000000000+840)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IF('ORDENES'!$T843="preventiva",N847,0)</f>
        <v/>
      </c>
      <c r="P847" s="17">
        <f>IF('ORDENES'!$T843="correctiva",N847,0)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IF(AND(IF($B$3="(todos)",TRUE,'ORDENES'!$O844=$B$3),IF($D$3="(todos)",TRUE,'ORDENES'!$AF844=$D$3),IF($F$3="(todos)",TRUE,'ORDENES'!$X844=$F$3),IF($H$3="(todos)",TRUE,'ORDENES'!$W844=$H$3),'ORDENES'!$AD844=TRUE,'ORDENES'!$A844&lt;&gt;""),1,0)</f>
        <v/>
      </c>
      <c r="L848" s="3">
        <f>IF(K848=1,IFERROR(MATCH('ORDENES'!$R844,lista_dias,0),9)*1000000000+IFERROR(MATCH('ORDENES'!$AF844,lista_turnos,0),9)*10000000+IFERROR(MATCH('ORDENES'!$AE844,'TECNICOS'!$B$4:$B$15,0),99)*100000+841,9000000000000+841)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IF('ORDENES'!$T844="preventiva",N848,0)</f>
        <v/>
      </c>
      <c r="P848" s="17">
        <f>IF('ORDENES'!$T844="correctiva",N848,0)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IF(AND(IF($B$3="(todos)",TRUE,'ORDENES'!$O845=$B$3),IF($D$3="(todos)",TRUE,'ORDENES'!$AF845=$D$3),IF($F$3="(todos)",TRUE,'ORDENES'!$X845=$F$3),IF($H$3="(todos)",TRUE,'ORDENES'!$W845=$H$3),'ORDENES'!$AD845=TRUE,'ORDENES'!$A845&lt;&gt;""),1,0)</f>
        <v/>
      </c>
      <c r="L849" s="3">
        <f>IF(K849=1,IFERROR(MATCH('ORDENES'!$R845,lista_dias,0),9)*1000000000+IFERROR(MATCH('ORDENES'!$AF845,lista_turnos,0),9)*10000000+IFERROR(MATCH('ORDENES'!$AE845,'TECNICOS'!$B$4:$B$15,0),99)*100000+842,9000000000000+842)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IF('ORDENES'!$T845="preventiva",N849,0)</f>
        <v/>
      </c>
      <c r="P849" s="17">
        <f>IF('ORDENES'!$T845="correctiva",N849,0)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IF(AND(IF($B$3="(todos)",TRUE,'ORDENES'!$O846=$B$3),IF($D$3="(todos)",TRUE,'ORDENES'!$AF846=$D$3),IF($F$3="(todos)",TRUE,'ORDENES'!$X846=$F$3),IF($H$3="(todos)",TRUE,'ORDENES'!$W846=$H$3),'ORDENES'!$AD846=TRUE,'ORDENES'!$A846&lt;&gt;""),1,0)</f>
        <v/>
      </c>
      <c r="L850" s="3">
        <f>IF(K850=1,IFERROR(MATCH('ORDENES'!$R846,lista_dias,0),9)*1000000000+IFERROR(MATCH('ORDENES'!$AF846,lista_turnos,0),9)*10000000+IFERROR(MATCH('ORDENES'!$AE846,'TECNICOS'!$B$4:$B$15,0),99)*100000+843,9000000000000+843)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IF('ORDENES'!$T846="preventiva",N850,0)</f>
        <v/>
      </c>
      <c r="P850" s="17">
        <f>IF('ORDENES'!$T846="correctiva",N850,0)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IF(AND(IF($B$3="(todos)",TRUE,'ORDENES'!$O847=$B$3),IF($D$3="(todos)",TRUE,'ORDENES'!$AF847=$D$3),IF($F$3="(todos)",TRUE,'ORDENES'!$X847=$F$3),IF($H$3="(todos)",TRUE,'ORDENES'!$W847=$H$3),'ORDENES'!$AD847=TRUE,'ORDENES'!$A847&lt;&gt;""),1,0)</f>
        <v/>
      </c>
      <c r="L851" s="3">
        <f>IF(K851=1,IFERROR(MATCH('ORDENES'!$R847,lista_dias,0),9)*1000000000+IFERROR(MATCH('ORDENES'!$AF847,lista_turnos,0),9)*10000000+IFERROR(MATCH('ORDENES'!$AE847,'TECNICOS'!$B$4:$B$15,0),99)*100000+844,9000000000000+844)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IF('ORDENES'!$T847="preventiva",N851,0)</f>
        <v/>
      </c>
      <c r="P851" s="17">
        <f>IF('ORDENES'!$T847="correctiva",N851,0)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IF(AND(IF($B$3="(todos)",TRUE,'ORDENES'!$O848=$B$3),IF($D$3="(todos)",TRUE,'ORDENES'!$AF848=$D$3),IF($F$3="(todos)",TRUE,'ORDENES'!$X848=$F$3),IF($H$3="(todos)",TRUE,'ORDENES'!$W848=$H$3),'ORDENES'!$AD848=TRUE,'ORDENES'!$A848&lt;&gt;""),1,0)</f>
        <v/>
      </c>
      <c r="L852" s="3">
        <f>IF(K852=1,IFERROR(MATCH('ORDENES'!$R848,lista_dias,0),9)*1000000000+IFERROR(MATCH('ORDENES'!$AF848,lista_turnos,0),9)*10000000+IFERROR(MATCH('ORDENES'!$AE848,'TECNICOS'!$B$4:$B$15,0),99)*100000+845,9000000000000+845)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IF('ORDENES'!$T848="preventiva",N852,0)</f>
        <v/>
      </c>
      <c r="P852" s="17">
        <f>IF('ORDENES'!$T848="correctiva",N852,0)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IF(AND(IF($B$3="(todos)",TRUE,'ORDENES'!$O849=$B$3),IF($D$3="(todos)",TRUE,'ORDENES'!$AF849=$D$3),IF($F$3="(todos)",TRUE,'ORDENES'!$X849=$F$3),IF($H$3="(todos)",TRUE,'ORDENES'!$W849=$H$3),'ORDENES'!$AD849=TRUE,'ORDENES'!$A849&lt;&gt;""),1,0)</f>
        <v/>
      </c>
      <c r="L853" s="3">
        <f>IF(K853=1,IFERROR(MATCH('ORDENES'!$R849,lista_dias,0),9)*1000000000+IFERROR(MATCH('ORDENES'!$AF849,lista_turnos,0),9)*10000000+IFERROR(MATCH('ORDENES'!$AE849,'TECNICOS'!$B$4:$B$15,0),99)*100000+846,9000000000000+846)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IF('ORDENES'!$T849="preventiva",N853,0)</f>
        <v/>
      </c>
      <c r="P853" s="17">
        <f>IF('ORDENES'!$T849="correctiva",N853,0)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IF(AND(IF($B$3="(todos)",TRUE,'ORDENES'!$O850=$B$3),IF($D$3="(todos)",TRUE,'ORDENES'!$AF850=$D$3),IF($F$3="(todos)",TRUE,'ORDENES'!$X850=$F$3),IF($H$3="(todos)",TRUE,'ORDENES'!$W850=$H$3),'ORDENES'!$AD850=TRUE,'ORDENES'!$A850&lt;&gt;""),1,0)</f>
        <v/>
      </c>
      <c r="L854" s="3">
        <f>IF(K854=1,IFERROR(MATCH('ORDENES'!$R850,lista_dias,0),9)*1000000000+IFERROR(MATCH('ORDENES'!$AF850,lista_turnos,0),9)*10000000+IFERROR(MATCH('ORDENES'!$AE850,'TECNICOS'!$B$4:$B$15,0),99)*100000+847,9000000000000+847)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IF('ORDENES'!$T850="preventiva",N854,0)</f>
        <v/>
      </c>
      <c r="P854" s="17">
        <f>IF('ORDENES'!$T850="correctiva",N854,0)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IF(AND(IF($B$3="(todos)",TRUE,'ORDENES'!$O851=$B$3),IF($D$3="(todos)",TRUE,'ORDENES'!$AF851=$D$3),IF($F$3="(todos)",TRUE,'ORDENES'!$X851=$F$3),IF($H$3="(todos)",TRUE,'ORDENES'!$W851=$H$3),'ORDENES'!$AD851=TRUE,'ORDENES'!$A851&lt;&gt;""),1,0)</f>
        <v/>
      </c>
      <c r="L855" s="3">
        <f>IF(K855=1,IFERROR(MATCH('ORDENES'!$R851,lista_dias,0),9)*1000000000+IFERROR(MATCH('ORDENES'!$AF851,lista_turnos,0),9)*10000000+IFERROR(MATCH('ORDENES'!$AE851,'TECNICOS'!$B$4:$B$15,0),99)*100000+848,9000000000000+848)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IF('ORDENES'!$T851="preventiva",N855,0)</f>
        <v/>
      </c>
      <c r="P855" s="17">
        <f>IF('ORDENES'!$T851="correctiva",N855,0)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IF(AND(IF($B$3="(todos)",TRUE,'ORDENES'!$O852=$B$3),IF($D$3="(todos)",TRUE,'ORDENES'!$AF852=$D$3),IF($F$3="(todos)",TRUE,'ORDENES'!$X852=$F$3),IF($H$3="(todos)",TRUE,'ORDENES'!$W852=$H$3),'ORDENES'!$AD852=TRUE,'ORDENES'!$A852&lt;&gt;""),1,0)</f>
        <v/>
      </c>
      <c r="L856" s="3">
        <f>IF(K856=1,IFERROR(MATCH('ORDENES'!$R852,lista_dias,0),9)*1000000000+IFERROR(MATCH('ORDENES'!$AF852,lista_turnos,0),9)*10000000+IFERROR(MATCH('ORDENES'!$AE852,'TECNICOS'!$B$4:$B$15,0),99)*100000+849,9000000000000+849)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IF('ORDENES'!$T852="preventiva",N856,0)</f>
        <v/>
      </c>
      <c r="P856" s="17">
        <f>IF('ORDENES'!$T852="correctiva",N856,0)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IF(AND(IF($B$3="(todos)",TRUE,'ORDENES'!$O853=$B$3),IF($D$3="(todos)",TRUE,'ORDENES'!$AF853=$D$3),IF($F$3="(todos)",TRUE,'ORDENES'!$X853=$F$3),IF($H$3="(todos)",TRUE,'ORDENES'!$W853=$H$3),'ORDENES'!$AD853=TRUE,'ORDENES'!$A853&lt;&gt;""),1,0)</f>
        <v/>
      </c>
      <c r="L857" s="3">
        <f>IF(K857=1,IFERROR(MATCH('ORDENES'!$R853,lista_dias,0),9)*1000000000+IFERROR(MATCH('ORDENES'!$AF853,lista_turnos,0),9)*10000000+IFERROR(MATCH('ORDENES'!$AE853,'TECNICOS'!$B$4:$B$15,0),99)*100000+850,9000000000000+850)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IF('ORDENES'!$T853="preventiva",N857,0)</f>
        <v/>
      </c>
      <c r="P857" s="17">
        <f>IF('ORDENES'!$T853="correctiva",N857,0)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IF(AND(IF($B$3="(todos)",TRUE,'ORDENES'!$O854=$B$3),IF($D$3="(todos)",TRUE,'ORDENES'!$AF854=$D$3),IF($F$3="(todos)",TRUE,'ORDENES'!$X854=$F$3),IF($H$3="(todos)",TRUE,'ORDENES'!$W854=$H$3),'ORDENES'!$AD854=TRUE,'ORDENES'!$A854&lt;&gt;""),1,0)</f>
        <v/>
      </c>
      <c r="L858" s="3">
        <f>IF(K858=1,IFERROR(MATCH('ORDENES'!$R854,lista_dias,0),9)*1000000000+IFERROR(MATCH('ORDENES'!$AF854,lista_turnos,0),9)*10000000+IFERROR(MATCH('ORDENES'!$AE854,'TECNICOS'!$B$4:$B$15,0),99)*100000+851,9000000000000+851)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IF('ORDENES'!$T854="preventiva",N858,0)</f>
        <v/>
      </c>
      <c r="P858" s="17">
        <f>IF('ORDENES'!$T854="correctiva",N858,0)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IF(AND(IF($B$3="(todos)",TRUE,'ORDENES'!$O855=$B$3),IF($D$3="(todos)",TRUE,'ORDENES'!$AF855=$D$3),IF($F$3="(todos)",TRUE,'ORDENES'!$X855=$F$3),IF($H$3="(todos)",TRUE,'ORDENES'!$W855=$H$3),'ORDENES'!$AD855=TRUE,'ORDENES'!$A855&lt;&gt;""),1,0)</f>
        <v/>
      </c>
      <c r="L859" s="3">
        <f>IF(K859=1,IFERROR(MATCH('ORDENES'!$R855,lista_dias,0),9)*1000000000+IFERROR(MATCH('ORDENES'!$AF855,lista_turnos,0),9)*10000000+IFERROR(MATCH('ORDENES'!$AE855,'TECNICOS'!$B$4:$B$15,0),99)*100000+852,9000000000000+852)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IF('ORDENES'!$T855="preventiva",N859,0)</f>
        <v/>
      </c>
      <c r="P859" s="17">
        <f>IF('ORDENES'!$T855="correctiva",N859,0)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IF(AND(IF($B$3="(todos)",TRUE,'ORDENES'!$O856=$B$3),IF($D$3="(todos)",TRUE,'ORDENES'!$AF856=$D$3),IF($F$3="(todos)",TRUE,'ORDENES'!$X856=$F$3),IF($H$3="(todos)",TRUE,'ORDENES'!$W856=$H$3),'ORDENES'!$AD856=TRUE,'ORDENES'!$A856&lt;&gt;""),1,0)</f>
        <v/>
      </c>
      <c r="L860" s="3">
        <f>IF(K860=1,IFERROR(MATCH('ORDENES'!$R856,lista_dias,0),9)*1000000000+IFERROR(MATCH('ORDENES'!$AF856,lista_turnos,0),9)*10000000+IFERROR(MATCH('ORDENES'!$AE856,'TECNICOS'!$B$4:$B$15,0),99)*100000+853,9000000000000+853)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IF('ORDENES'!$T856="preventiva",N860,0)</f>
        <v/>
      </c>
      <c r="P860" s="17">
        <f>IF('ORDENES'!$T856="correctiva",N860,0)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IF(AND(IF($B$3="(todos)",TRUE,'ORDENES'!$O857=$B$3),IF($D$3="(todos)",TRUE,'ORDENES'!$AF857=$D$3),IF($F$3="(todos)",TRUE,'ORDENES'!$X857=$F$3),IF($H$3="(todos)",TRUE,'ORDENES'!$W857=$H$3),'ORDENES'!$AD857=TRUE,'ORDENES'!$A857&lt;&gt;""),1,0)</f>
        <v/>
      </c>
      <c r="L861" s="3">
        <f>IF(K861=1,IFERROR(MATCH('ORDENES'!$R857,lista_dias,0),9)*1000000000+IFERROR(MATCH('ORDENES'!$AF857,lista_turnos,0),9)*10000000+IFERROR(MATCH('ORDENES'!$AE857,'TECNICOS'!$B$4:$B$15,0),99)*100000+854,9000000000000+854)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IF('ORDENES'!$T857="preventiva",N861,0)</f>
        <v/>
      </c>
      <c r="P861" s="17">
        <f>IF('ORDENES'!$T857="correctiva",N861,0)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IF(AND(IF($B$3="(todos)",TRUE,'ORDENES'!$O858=$B$3),IF($D$3="(todos)",TRUE,'ORDENES'!$AF858=$D$3),IF($F$3="(todos)",TRUE,'ORDENES'!$X858=$F$3),IF($H$3="(todos)",TRUE,'ORDENES'!$W858=$H$3),'ORDENES'!$AD858=TRUE,'ORDENES'!$A858&lt;&gt;""),1,0)</f>
        <v/>
      </c>
      <c r="L862" s="3">
        <f>IF(K862=1,IFERROR(MATCH('ORDENES'!$R858,lista_dias,0),9)*1000000000+IFERROR(MATCH('ORDENES'!$AF858,lista_turnos,0),9)*10000000+IFERROR(MATCH('ORDENES'!$AE858,'TECNICOS'!$B$4:$B$15,0),99)*100000+855,9000000000000+855)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IF('ORDENES'!$T858="preventiva",N862,0)</f>
        <v/>
      </c>
      <c r="P862" s="17">
        <f>IF('ORDENES'!$T858="correctiva",N862,0)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IF(AND(IF($B$3="(todos)",TRUE,'ORDENES'!$O859=$B$3),IF($D$3="(todos)",TRUE,'ORDENES'!$AF859=$D$3),IF($F$3="(todos)",TRUE,'ORDENES'!$X859=$F$3),IF($H$3="(todos)",TRUE,'ORDENES'!$W859=$H$3),'ORDENES'!$AD859=TRUE,'ORDENES'!$A859&lt;&gt;""),1,0)</f>
        <v/>
      </c>
      <c r="L863" s="3">
        <f>IF(K863=1,IFERROR(MATCH('ORDENES'!$R859,lista_dias,0),9)*1000000000+IFERROR(MATCH('ORDENES'!$AF859,lista_turnos,0),9)*10000000+IFERROR(MATCH('ORDENES'!$AE859,'TECNICOS'!$B$4:$B$15,0),99)*100000+856,9000000000000+856)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IF('ORDENES'!$T859="preventiva",N863,0)</f>
        <v/>
      </c>
      <c r="P863" s="17">
        <f>IF('ORDENES'!$T859="correctiva",N863,0)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IF(AND(IF($B$3="(todos)",TRUE,'ORDENES'!$O860=$B$3),IF($D$3="(todos)",TRUE,'ORDENES'!$AF860=$D$3),IF($F$3="(todos)",TRUE,'ORDENES'!$X860=$F$3),IF($H$3="(todos)",TRUE,'ORDENES'!$W860=$H$3),'ORDENES'!$AD860=TRUE,'ORDENES'!$A860&lt;&gt;""),1,0)</f>
        <v/>
      </c>
      <c r="L864" s="3">
        <f>IF(K864=1,IFERROR(MATCH('ORDENES'!$R860,lista_dias,0),9)*1000000000+IFERROR(MATCH('ORDENES'!$AF860,lista_turnos,0),9)*10000000+IFERROR(MATCH('ORDENES'!$AE860,'TECNICOS'!$B$4:$B$15,0),99)*100000+857,9000000000000+857)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IF('ORDENES'!$T860="preventiva",N864,0)</f>
        <v/>
      </c>
      <c r="P864" s="17">
        <f>IF('ORDENES'!$T860="correctiva",N864,0)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IF(AND(IF($B$3="(todos)",TRUE,'ORDENES'!$O861=$B$3),IF($D$3="(todos)",TRUE,'ORDENES'!$AF861=$D$3),IF($F$3="(todos)",TRUE,'ORDENES'!$X861=$F$3),IF($H$3="(todos)",TRUE,'ORDENES'!$W861=$H$3),'ORDENES'!$AD861=TRUE,'ORDENES'!$A861&lt;&gt;""),1,0)</f>
        <v/>
      </c>
      <c r="L865" s="3">
        <f>IF(K865=1,IFERROR(MATCH('ORDENES'!$R861,lista_dias,0),9)*1000000000+IFERROR(MATCH('ORDENES'!$AF861,lista_turnos,0),9)*10000000+IFERROR(MATCH('ORDENES'!$AE861,'TECNICOS'!$B$4:$B$15,0),99)*100000+858,9000000000000+858)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IF('ORDENES'!$T861="preventiva",N865,0)</f>
        <v/>
      </c>
      <c r="P865" s="17">
        <f>IF('ORDENES'!$T861="correctiva",N865,0)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IF(AND(IF($B$3="(todos)",TRUE,'ORDENES'!$O862=$B$3),IF($D$3="(todos)",TRUE,'ORDENES'!$AF862=$D$3),IF($F$3="(todos)",TRUE,'ORDENES'!$X862=$F$3),IF($H$3="(todos)",TRUE,'ORDENES'!$W862=$H$3),'ORDENES'!$AD862=TRUE,'ORDENES'!$A862&lt;&gt;""),1,0)</f>
        <v/>
      </c>
      <c r="L866" s="3">
        <f>IF(K866=1,IFERROR(MATCH('ORDENES'!$R862,lista_dias,0),9)*1000000000+IFERROR(MATCH('ORDENES'!$AF862,lista_turnos,0),9)*10000000+IFERROR(MATCH('ORDENES'!$AE862,'TECNICOS'!$B$4:$B$15,0),99)*100000+859,9000000000000+859)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IF('ORDENES'!$T862="preventiva",N866,0)</f>
        <v/>
      </c>
      <c r="P866" s="17">
        <f>IF('ORDENES'!$T862="correctiva",N866,0)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IF(AND(IF($B$3="(todos)",TRUE,'ORDENES'!$O863=$B$3),IF($D$3="(todos)",TRUE,'ORDENES'!$AF863=$D$3),IF($F$3="(todos)",TRUE,'ORDENES'!$X863=$F$3),IF($H$3="(todos)",TRUE,'ORDENES'!$W863=$H$3),'ORDENES'!$AD863=TRUE,'ORDENES'!$A863&lt;&gt;""),1,0)</f>
        <v/>
      </c>
      <c r="L867" s="3">
        <f>IF(K867=1,IFERROR(MATCH('ORDENES'!$R863,lista_dias,0),9)*1000000000+IFERROR(MATCH('ORDENES'!$AF863,lista_turnos,0),9)*10000000+IFERROR(MATCH('ORDENES'!$AE863,'TECNICOS'!$B$4:$B$15,0),99)*100000+860,9000000000000+860)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IF('ORDENES'!$T863="preventiva",N867,0)</f>
        <v/>
      </c>
      <c r="P867" s="17">
        <f>IF('ORDENES'!$T863="correctiva",N867,0)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IF(AND(IF($B$3="(todos)",TRUE,'ORDENES'!$O864=$B$3),IF($D$3="(todos)",TRUE,'ORDENES'!$AF864=$D$3),IF($F$3="(todos)",TRUE,'ORDENES'!$X864=$F$3),IF($H$3="(todos)",TRUE,'ORDENES'!$W864=$H$3),'ORDENES'!$AD864=TRUE,'ORDENES'!$A864&lt;&gt;""),1,0)</f>
        <v/>
      </c>
      <c r="L868" s="3">
        <f>IF(K868=1,IFERROR(MATCH('ORDENES'!$R864,lista_dias,0),9)*1000000000+IFERROR(MATCH('ORDENES'!$AF864,lista_turnos,0),9)*10000000+IFERROR(MATCH('ORDENES'!$AE864,'TECNICOS'!$B$4:$B$15,0),99)*100000+861,9000000000000+861)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IF('ORDENES'!$T864="preventiva",N868,0)</f>
        <v/>
      </c>
      <c r="P868" s="17">
        <f>IF('ORDENES'!$T864="correctiva",N868,0)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IF(AND(IF($B$3="(todos)",TRUE,'ORDENES'!$O865=$B$3),IF($D$3="(todos)",TRUE,'ORDENES'!$AF865=$D$3),IF($F$3="(todos)",TRUE,'ORDENES'!$X865=$F$3),IF($H$3="(todos)",TRUE,'ORDENES'!$W865=$H$3),'ORDENES'!$AD865=TRUE,'ORDENES'!$A865&lt;&gt;""),1,0)</f>
        <v/>
      </c>
      <c r="L869" s="3">
        <f>IF(K869=1,IFERROR(MATCH('ORDENES'!$R865,lista_dias,0),9)*1000000000+IFERROR(MATCH('ORDENES'!$AF865,lista_turnos,0),9)*10000000+IFERROR(MATCH('ORDENES'!$AE865,'TECNICOS'!$B$4:$B$15,0),99)*100000+862,9000000000000+862)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IF('ORDENES'!$T865="preventiva",N869,0)</f>
        <v/>
      </c>
      <c r="P869" s="17">
        <f>IF('ORDENES'!$T865="correctiva",N869,0)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IF(AND(IF($B$3="(todos)",TRUE,'ORDENES'!$O866=$B$3),IF($D$3="(todos)",TRUE,'ORDENES'!$AF866=$D$3),IF($F$3="(todos)",TRUE,'ORDENES'!$X866=$F$3),IF($H$3="(todos)",TRUE,'ORDENES'!$W866=$H$3),'ORDENES'!$AD866=TRUE,'ORDENES'!$A866&lt;&gt;""),1,0)</f>
        <v/>
      </c>
      <c r="L870" s="3">
        <f>IF(K870=1,IFERROR(MATCH('ORDENES'!$R866,lista_dias,0),9)*1000000000+IFERROR(MATCH('ORDENES'!$AF866,lista_turnos,0),9)*10000000+IFERROR(MATCH('ORDENES'!$AE866,'TECNICOS'!$B$4:$B$15,0),99)*100000+863,9000000000000+863)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IF('ORDENES'!$T866="preventiva",N870,0)</f>
        <v/>
      </c>
      <c r="P870" s="17">
        <f>IF('ORDENES'!$T866="correctiva",N870,0)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IF(AND(IF($B$3="(todos)",TRUE,'ORDENES'!$O867=$B$3),IF($D$3="(todos)",TRUE,'ORDENES'!$AF867=$D$3),IF($F$3="(todos)",TRUE,'ORDENES'!$X867=$F$3),IF($H$3="(todos)",TRUE,'ORDENES'!$W867=$H$3),'ORDENES'!$AD867=TRUE,'ORDENES'!$A867&lt;&gt;""),1,0)</f>
        <v/>
      </c>
      <c r="L871" s="3">
        <f>IF(K871=1,IFERROR(MATCH('ORDENES'!$R867,lista_dias,0),9)*1000000000+IFERROR(MATCH('ORDENES'!$AF867,lista_turnos,0),9)*10000000+IFERROR(MATCH('ORDENES'!$AE867,'TECNICOS'!$B$4:$B$15,0),99)*100000+864,9000000000000+864)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IF('ORDENES'!$T867="preventiva",N871,0)</f>
        <v/>
      </c>
      <c r="P871" s="17">
        <f>IF('ORDENES'!$T867="correctiva",N871,0)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IF(AND(IF($B$3="(todos)",TRUE,'ORDENES'!$O868=$B$3),IF($D$3="(todos)",TRUE,'ORDENES'!$AF868=$D$3),IF($F$3="(todos)",TRUE,'ORDENES'!$X868=$F$3),IF($H$3="(todos)",TRUE,'ORDENES'!$W868=$H$3),'ORDENES'!$AD868=TRUE,'ORDENES'!$A868&lt;&gt;""),1,0)</f>
        <v/>
      </c>
      <c r="L872" s="3">
        <f>IF(K872=1,IFERROR(MATCH('ORDENES'!$R868,lista_dias,0),9)*1000000000+IFERROR(MATCH('ORDENES'!$AF868,lista_turnos,0),9)*10000000+IFERROR(MATCH('ORDENES'!$AE868,'TECNICOS'!$B$4:$B$15,0),99)*100000+865,9000000000000+865)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IF('ORDENES'!$T868="preventiva",N872,0)</f>
        <v/>
      </c>
      <c r="P872" s="17">
        <f>IF('ORDENES'!$T868="correctiva",N872,0)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IF(AND(IF($B$3="(todos)",TRUE,'ORDENES'!$O869=$B$3),IF($D$3="(todos)",TRUE,'ORDENES'!$AF869=$D$3),IF($F$3="(todos)",TRUE,'ORDENES'!$X869=$F$3),IF($H$3="(todos)",TRUE,'ORDENES'!$W869=$H$3),'ORDENES'!$AD869=TRUE,'ORDENES'!$A869&lt;&gt;""),1,0)</f>
        <v/>
      </c>
      <c r="L873" s="3">
        <f>IF(K873=1,IFERROR(MATCH('ORDENES'!$R869,lista_dias,0),9)*1000000000+IFERROR(MATCH('ORDENES'!$AF869,lista_turnos,0),9)*10000000+IFERROR(MATCH('ORDENES'!$AE869,'TECNICOS'!$B$4:$B$15,0),99)*100000+866,9000000000000+866)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IF('ORDENES'!$T869="preventiva",N873,0)</f>
        <v/>
      </c>
      <c r="P873" s="17">
        <f>IF('ORDENES'!$T869="correctiva",N873,0)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IF(AND(IF($B$3="(todos)",TRUE,'ORDENES'!$O870=$B$3),IF($D$3="(todos)",TRUE,'ORDENES'!$AF870=$D$3),IF($F$3="(todos)",TRUE,'ORDENES'!$X870=$F$3),IF($H$3="(todos)",TRUE,'ORDENES'!$W870=$H$3),'ORDENES'!$AD870=TRUE,'ORDENES'!$A870&lt;&gt;""),1,0)</f>
        <v/>
      </c>
      <c r="L874" s="3">
        <f>IF(K874=1,IFERROR(MATCH('ORDENES'!$R870,lista_dias,0),9)*1000000000+IFERROR(MATCH('ORDENES'!$AF870,lista_turnos,0),9)*10000000+IFERROR(MATCH('ORDENES'!$AE870,'TECNICOS'!$B$4:$B$15,0),99)*100000+867,9000000000000+867)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IF('ORDENES'!$T870="preventiva",N874,0)</f>
        <v/>
      </c>
      <c r="P874" s="17">
        <f>IF('ORDENES'!$T870="correctiva",N874,0)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IF(AND(IF($B$3="(todos)",TRUE,'ORDENES'!$O871=$B$3),IF($D$3="(todos)",TRUE,'ORDENES'!$AF871=$D$3),IF($F$3="(todos)",TRUE,'ORDENES'!$X871=$F$3),IF($H$3="(todos)",TRUE,'ORDENES'!$W871=$H$3),'ORDENES'!$AD871=TRUE,'ORDENES'!$A871&lt;&gt;""),1,0)</f>
        <v/>
      </c>
      <c r="L875" s="3">
        <f>IF(K875=1,IFERROR(MATCH('ORDENES'!$R871,lista_dias,0),9)*1000000000+IFERROR(MATCH('ORDENES'!$AF871,lista_turnos,0),9)*10000000+IFERROR(MATCH('ORDENES'!$AE871,'TECNICOS'!$B$4:$B$15,0),99)*100000+868,9000000000000+868)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IF('ORDENES'!$T871="preventiva",N875,0)</f>
        <v/>
      </c>
      <c r="P875" s="17">
        <f>IF('ORDENES'!$T871="correctiva",N875,0)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IF(AND(IF($B$3="(todos)",TRUE,'ORDENES'!$O872=$B$3),IF($D$3="(todos)",TRUE,'ORDENES'!$AF872=$D$3),IF($F$3="(todos)",TRUE,'ORDENES'!$X872=$F$3),IF($H$3="(todos)",TRUE,'ORDENES'!$W872=$H$3),'ORDENES'!$AD872=TRUE,'ORDENES'!$A872&lt;&gt;""),1,0)</f>
        <v/>
      </c>
      <c r="L876" s="3">
        <f>IF(K876=1,IFERROR(MATCH('ORDENES'!$R872,lista_dias,0),9)*1000000000+IFERROR(MATCH('ORDENES'!$AF872,lista_turnos,0),9)*10000000+IFERROR(MATCH('ORDENES'!$AE872,'TECNICOS'!$B$4:$B$15,0),99)*100000+869,9000000000000+869)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IF('ORDENES'!$T872="preventiva",N876,0)</f>
        <v/>
      </c>
      <c r="P876" s="17">
        <f>IF('ORDENES'!$T872="correctiva",N876,0)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IF(AND(IF($B$3="(todos)",TRUE,'ORDENES'!$O873=$B$3),IF($D$3="(todos)",TRUE,'ORDENES'!$AF873=$D$3),IF($F$3="(todos)",TRUE,'ORDENES'!$X873=$F$3),IF($H$3="(todos)",TRUE,'ORDENES'!$W873=$H$3),'ORDENES'!$AD873=TRUE,'ORDENES'!$A873&lt;&gt;""),1,0)</f>
        <v/>
      </c>
      <c r="L877" s="3">
        <f>IF(K877=1,IFERROR(MATCH('ORDENES'!$R873,lista_dias,0),9)*1000000000+IFERROR(MATCH('ORDENES'!$AF873,lista_turnos,0),9)*10000000+IFERROR(MATCH('ORDENES'!$AE873,'TECNICOS'!$B$4:$B$15,0),99)*100000+870,9000000000000+870)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IF('ORDENES'!$T873="preventiva",N877,0)</f>
        <v/>
      </c>
      <c r="P877" s="17">
        <f>IF('ORDENES'!$T873="correctiva",N877,0)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IF(AND(IF($B$3="(todos)",TRUE,'ORDENES'!$O874=$B$3),IF($D$3="(todos)",TRUE,'ORDENES'!$AF874=$D$3),IF($F$3="(todos)",TRUE,'ORDENES'!$X874=$F$3),IF($H$3="(todos)",TRUE,'ORDENES'!$W874=$H$3),'ORDENES'!$AD874=TRUE,'ORDENES'!$A874&lt;&gt;""),1,0)</f>
        <v/>
      </c>
      <c r="L878" s="3">
        <f>IF(K878=1,IFERROR(MATCH('ORDENES'!$R874,lista_dias,0),9)*1000000000+IFERROR(MATCH('ORDENES'!$AF874,lista_turnos,0),9)*10000000+IFERROR(MATCH('ORDENES'!$AE874,'TECNICOS'!$B$4:$B$15,0),99)*100000+871,9000000000000+871)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IF('ORDENES'!$T874="preventiva",N878,0)</f>
        <v/>
      </c>
      <c r="P878" s="17">
        <f>IF('ORDENES'!$T874="correctiva",N878,0)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IF(AND(IF($B$3="(todos)",TRUE,'ORDENES'!$O875=$B$3),IF($D$3="(todos)",TRUE,'ORDENES'!$AF875=$D$3),IF($F$3="(todos)",TRUE,'ORDENES'!$X875=$F$3),IF($H$3="(todos)",TRUE,'ORDENES'!$W875=$H$3),'ORDENES'!$AD875=TRUE,'ORDENES'!$A875&lt;&gt;""),1,0)</f>
        <v/>
      </c>
      <c r="L879" s="3">
        <f>IF(K879=1,IFERROR(MATCH('ORDENES'!$R875,lista_dias,0),9)*1000000000+IFERROR(MATCH('ORDENES'!$AF875,lista_turnos,0),9)*10000000+IFERROR(MATCH('ORDENES'!$AE875,'TECNICOS'!$B$4:$B$15,0),99)*100000+872,9000000000000+872)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IF('ORDENES'!$T875="preventiva",N879,0)</f>
        <v/>
      </c>
      <c r="P879" s="17">
        <f>IF('ORDENES'!$T875="correctiva",N879,0)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IF(AND(IF($B$3="(todos)",TRUE,'ORDENES'!$O876=$B$3),IF($D$3="(todos)",TRUE,'ORDENES'!$AF876=$D$3),IF($F$3="(todos)",TRUE,'ORDENES'!$X876=$F$3),IF($H$3="(todos)",TRUE,'ORDENES'!$W876=$H$3),'ORDENES'!$AD876=TRUE,'ORDENES'!$A876&lt;&gt;""),1,0)</f>
        <v/>
      </c>
      <c r="L880" s="3">
        <f>IF(K880=1,IFERROR(MATCH('ORDENES'!$R876,lista_dias,0),9)*1000000000+IFERROR(MATCH('ORDENES'!$AF876,lista_turnos,0),9)*10000000+IFERROR(MATCH('ORDENES'!$AE876,'TECNICOS'!$B$4:$B$15,0),99)*100000+873,9000000000000+873)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IF('ORDENES'!$T876="preventiva",N880,0)</f>
        <v/>
      </c>
      <c r="P880" s="17">
        <f>IF('ORDENES'!$T876="correctiva",N880,0)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IF(AND(IF($B$3="(todos)",TRUE,'ORDENES'!$O877=$B$3),IF($D$3="(todos)",TRUE,'ORDENES'!$AF877=$D$3),IF($F$3="(todos)",TRUE,'ORDENES'!$X877=$F$3),IF($H$3="(todos)",TRUE,'ORDENES'!$W877=$H$3),'ORDENES'!$AD877=TRUE,'ORDENES'!$A877&lt;&gt;""),1,0)</f>
        <v/>
      </c>
      <c r="L881" s="3">
        <f>IF(K881=1,IFERROR(MATCH('ORDENES'!$R877,lista_dias,0),9)*1000000000+IFERROR(MATCH('ORDENES'!$AF877,lista_turnos,0),9)*10000000+IFERROR(MATCH('ORDENES'!$AE877,'TECNICOS'!$B$4:$B$15,0),99)*100000+874,9000000000000+874)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IF('ORDENES'!$T877="preventiva",N881,0)</f>
        <v/>
      </c>
      <c r="P881" s="17">
        <f>IF('ORDENES'!$T877="correctiva",N881,0)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IF(AND(IF($B$3="(todos)",TRUE,'ORDENES'!$O878=$B$3),IF($D$3="(todos)",TRUE,'ORDENES'!$AF878=$D$3),IF($F$3="(todos)",TRUE,'ORDENES'!$X878=$F$3),IF($H$3="(todos)",TRUE,'ORDENES'!$W878=$H$3),'ORDENES'!$AD878=TRUE,'ORDENES'!$A878&lt;&gt;""),1,0)</f>
        <v/>
      </c>
      <c r="L882" s="3">
        <f>IF(K882=1,IFERROR(MATCH('ORDENES'!$R878,lista_dias,0),9)*1000000000+IFERROR(MATCH('ORDENES'!$AF878,lista_turnos,0),9)*10000000+IFERROR(MATCH('ORDENES'!$AE878,'TECNICOS'!$B$4:$B$15,0),99)*100000+875,9000000000000+875)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IF('ORDENES'!$T878="preventiva",N882,0)</f>
        <v/>
      </c>
      <c r="P882" s="17">
        <f>IF('ORDENES'!$T878="correctiva",N882,0)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IF(AND(IF($B$3="(todos)",TRUE,'ORDENES'!$O879=$B$3),IF($D$3="(todos)",TRUE,'ORDENES'!$AF879=$D$3),IF($F$3="(todos)",TRUE,'ORDENES'!$X879=$F$3),IF($H$3="(todos)",TRUE,'ORDENES'!$W879=$H$3),'ORDENES'!$AD879=TRUE,'ORDENES'!$A879&lt;&gt;""),1,0)</f>
        <v/>
      </c>
      <c r="L883" s="3">
        <f>IF(K883=1,IFERROR(MATCH('ORDENES'!$R879,lista_dias,0),9)*1000000000+IFERROR(MATCH('ORDENES'!$AF879,lista_turnos,0),9)*10000000+IFERROR(MATCH('ORDENES'!$AE879,'TECNICOS'!$B$4:$B$15,0),99)*100000+876,9000000000000+876)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IF('ORDENES'!$T879="preventiva",N883,0)</f>
        <v/>
      </c>
      <c r="P883" s="17">
        <f>IF('ORDENES'!$T879="correctiva",N883,0)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IF(AND(IF($B$3="(todos)",TRUE,'ORDENES'!$O880=$B$3),IF($D$3="(todos)",TRUE,'ORDENES'!$AF880=$D$3),IF($F$3="(todos)",TRUE,'ORDENES'!$X880=$F$3),IF($H$3="(todos)",TRUE,'ORDENES'!$W880=$H$3),'ORDENES'!$AD880=TRUE,'ORDENES'!$A880&lt;&gt;""),1,0)</f>
        <v/>
      </c>
      <c r="L884" s="3">
        <f>IF(K884=1,IFERROR(MATCH('ORDENES'!$R880,lista_dias,0),9)*1000000000+IFERROR(MATCH('ORDENES'!$AF880,lista_turnos,0),9)*10000000+IFERROR(MATCH('ORDENES'!$AE880,'TECNICOS'!$B$4:$B$15,0),99)*100000+877,9000000000000+877)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IF('ORDENES'!$T880="preventiva",N884,0)</f>
        <v/>
      </c>
      <c r="P884" s="17">
        <f>IF('ORDENES'!$T880="correctiva",N884,0)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IF(AND(IF($B$3="(todos)",TRUE,'ORDENES'!$O881=$B$3),IF($D$3="(todos)",TRUE,'ORDENES'!$AF881=$D$3),IF($F$3="(todos)",TRUE,'ORDENES'!$X881=$F$3),IF($H$3="(todos)",TRUE,'ORDENES'!$W881=$H$3),'ORDENES'!$AD881=TRUE,'ORDENES'!$A881&lt;&gt;""),1,0)</f>
        <v/>
      </c>
      <c r="L885" s="3">
        <f>IF(K885=1,IFERROR(MATCH('ORDENES'!$R881,lista_dias,0),9)*1000000000+IFERROR(MATCH('ORDENES'!$AF881,lista_turnos,0),9)*10000000+IFERROR(MATCH('ORDENES'!$AE881,'TECNICOS'!$B$4:$B$15,0),99)*100000+878,9000000000000+878)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IF('ORDENES'!$T881="preventiva",N885,0)</f>
        <v/>
      </c>
      <c r="P885" s="17">
        <f>IF('ORDENES'!$T881="correctiva",N885,0)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IF(AND(IF($B$3="(todos)",TRUE,'ORDENES'!$O882=$B$3),IF($D$3="(todos)",TRUE,'ORDENES'!$AF882=$D$3),IF($F$3="(todos)",TRUE,'ORDENES'!$X882=$F$3),IF($H$3="(todos)",TRUE,'ORDENES'!$W882=$H$3),'ORDENES'!$AD882=TRUE,'ORDENES'!$A882&lt;&gt;""),1,0)</f>
        <v/>
      </c>
      <c r="L886" s="3">
        <f>IF(K886=1,IFERROR(MATCH('ORDENES'!$R882,lista_dias,0),9)*1000000000+IFERROR(MATCH('ORDENES'!$AF882,lista_turnos,0),9)*10000000+IFERROR(MATCH('ORDENES'!$AE882,'TECNICOS'!$B$4:$B$15,0),99)*100000+879,9000000000000+879)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IF('ORDENES'!$T882="preventiva",N886,0)</f>
        <v/>
      </c>
      <c r="P886" s="17">
        <f>IF('ORDENES'!$T882="correctiva",N886,0)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IF(AND(IF($B$3="(todos)",TRUE,'ORDENES'!$O883=$B$3),IF($D$3="(todos)",TRUE,'ORDENES'!$AF883=$D$3),IF($F$3="(todos)",TRUE,'ORDENES'!$X883=$F$3),IF($H$3="(todos)",TRUE,'ORDENES'!$W883=$H$3),'ORDENES'!$AD883=TRUE,'ORDENES'!$A883&lt;&gt;""),1,0)</f>
        <v/>
      </c>
      <c r="L887" s="3">
        <f>IF(K887=1,IFERROR(MATCH('ORDENES'!$R883,lista_dias,0),9)*1000000000+IFERROR(MATCH('ORDENES'!$AF883,lista_turnos,0),9)*10000000+IFERROR(MATCH('ORDENES'!$AE883,'TECNICOS'!$B$4:$B$15,0),99)*100000+880,9000000000000+880)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IF('ORDENES'!$T883="preventiva",N887,0)</f>
        <v/>
      </c>
      <c r="P887" s="17">
        <f>IF('ORDENES'!$T883="correctiva",N887,0)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IF(AND(IF($B$3="(todos)",TRUE,'ORDENES'!$O884=$B$3),IF($D$3="(todos)",TRUE,'ORDENES'!$AF884=$D$3),IF($F$3="(todos)",TRUE,'ORDENES'!$X884=$F$3),IF($H$3="(todos)",TRUE,'ORDENES'!$W884=$H$3),'ORDENES'!$AD884=TRUE,'ORDENES'!$A884&lt;&gt;""),1,0)</f>
        <v/>
      </c>
      <c r="L888" s="3">
        <f>IF(K888=1,IFERROR(MATCH('ORDENES'!$R884,lista_dias,0),9)*1000000000+IFERROR(MATCH('ORDENES'!$AF884,lista_turnos,0),9)*10000000+IFERROR(MATCH('ORDENES'!$AE884,'TECNICOS'!$B$4:$B$15,0),99)*100000+881,9000000000000+881)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IF('ORDENES'!$T884="preventiva",N888,0)</f>
        <v/>
      </c>
      <c r="P888" s="17">
        <f>IF('ORDENES'!$T884="correctiva",N888,0)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IF(AND(IF($B$3="(todos)",TRUE,'ORDENES'!$O885=$B$3),IF($D$3="(todos)",TRUE,'ORDENES'!$AF885=$D$3),IF($F$3="(todos)",TRUE,'ORDENES'!$X885=$F$3),IF($H$3="(todos)",TRUE,'ORDENES'!$W885=$H$3),'ORDENES'!$AD885=TRUE,'ORDENES'!$A885&lt;&gt;""),1,0)</f>
        <v/>
      </c>
      <c r="L889" s="3">
        <f>IF(K889=1,IFERROR(MATCH('ORDENES'!$R885,lista_dias,0),9)*1000000000+IFERROR(MATCH('ORDENES'!$AF885,lista_turnos,0),9)*10000000+IFERROR(MATCH('ORDENES'!$AE885,'TECNICOS'!$B$4:$B$15,0),99)*100000+882,9000000000000+882)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IF('ORDENES'!$T885="preventiva",N889,0)</f>
        <v/>
      </c>
      <c r="P889" s="17">
        <f>IF('ORDENES'!$T885="correctiva",N889,0)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IF(AND(IF($B$3="(todos)",TRUE,'ORDENES'!$O886=$B$3),IF($D$3="(todos)",TRUE,'ORDENES'!$AF886=$D$3),IF($F$3="(todos)",TRUE,'ORDENES'!$X886=$F$3),IF($H$3="(todos)",TRUE,'ORDENES'!$W886=$H$3),'ORDENES'!$AD886=TRUE,'ORDENES'!$A886&lt;&gt;""),1,0)</f>
        <v/>
      </c>
      <c r="L890" s="3">
        <f>IF(K890=1,IFERROR(MATCH('ORDENES'!$R886,lista_dias,0),9)*1000000000+IFERROR(MATCH('ORDENES'!$AF886,lista_turnos,0),9)*10000000+IFERROR(MATCH('ORDENES'!$AE886,'TECNICOS'!$B$4:$B$15,0),99)*100000+883,9000000000000+883)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IF('ORDENES'!$T886="preventiva",N890,0)</f>
        <v/>
      </c>
      <c r="P890" s="17">
        <f>IF('ORDENES'!$T886="correctiva",N890,0)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IF(AND(IF($B$3="(todos)",TRUE,'ORDENES'!$O887=$B$3),IF($D$3="(todos)",TRUE,'ORDENES'!$AF887=$D$3),IF($F$3="(todos)",TRUE,'ORDENES'!$X887=$F$3),IF($H$3="(todos)",TRUE,'ORDENES'!$W887=$H$3),'ORDENES'!$AD887=TRUE,'ORDENES'!$A887&lt;&gt;""),1,0)</f>
        <v/>
      </c>
      <c r="L891" s="3">
        <f>IF(K891=1,IFERROR(MATCH('ORDENES'!$R887,lista_dias,0),9)*1000000000+IFERROR(MATCH('ORDENES'!$AF887,lista_turnos,0),9)*10000000+IFERROR(MATCH('ORDENES'!$AE887,'TECNICOS'!$B$4:$B$15,0),99)*100000+884,9000000000000+884)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IF('ORDENES'!$T887="preventiva",N891,0)</f>
        <v/>
      </c>
      <c r="P891" s="17">
        <f>IF('ORDENES'!$T887="correctiva",N891,0)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IF(AND(IF($B$3="(todos)",TRUE,'ORDENES'!$O888=$B$3),IF($D$3="(todos)",TRUE,'ORDENES'!$AF888=$D$3),IF($F$3="(todos)",TRUE,'ORDENES'!$X888=$F$3),IF($H$3="(todos)",TRUE,'ORDENES'!$W888=$H$3),'ORDENES'!$AD888=TRUE,'ORDENES'!$A888&lt;&gt;""),1,0)</f>
        <v/>
      </c>
      <c r="L892" s="3">
        <f>IF(K892=1,IFERROR(MATCH('ORDENES'!$R888,lista_dias,0),9)*1000000000+IFERROR(MATCH('ORDENES'!$AF888,lista_turnos,0),9)*10000000+IFERROR(MATCH('ORDENES'!$AE888,'TECNICOS'!$B$4:$B$15,0),99)*100000+885,9000000000000+885)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IF('ORDENES'!$T888="preventiva",N892,0)</f>
        <v/>
      </c>
      <c r="P892" s="17">
        <f>IF('ORDENES'!$T888="correctiva",N892,0)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IF(AND(IF($B$3="(todos)",TRUE,'ORDENES'!$O889=$B$3),IF($D$3="(todos)",TRUE,'ORDENES'!$AF889=$D$3),IF($F$3="(todos)",TRUE,'ORDENES'!$X889=$F$3),IF($H$3="(todos)",TRUE,'ORDENES'!$W889=$H$3),'ORDENES'!$AD889=TRUE,'ORDENES'!$A889&lt;&gt;""),1,0)</f>
        <v/>
      </c>
      <c r="L893" s="3">
        <f>IF(K893=1,IFERROR(MATCH('ORDENES'!$R889,lista_dias,0),9)*1000000000+IFERROR(MATCH('ORDENES'!$AF889,lista_turnos,0),9)*10000000+IFERROR(MATCH('ORDENES'!$AE889,'TECNICOS'!$B$4:$B$15,0),99)*100000+886,9000000000000+886)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IF('ORDENES'!$T889="preventiva",N893,0)</f>
        <v/>
      </c>
      <c r="P893" s="17">
        <f>IF('ORDENES'!$T889="correctiva",N893,0)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IF(AND(IF($B$3="(todos)",TRUE,'ORDENES'!$O890=$B$3),IF($D$3="(todos)",TRUE,'ORDENES'!$AF890=$D$3),IF($F$3="(todos)",TRUE,'ORDENES'!$X890=$F$3),IF($H$3="(todos)",TRUE,'ORDENES'!$W890=$H$3),'ORDENES'!$AD890=TRUE,'ORDENES'!$A890&lt;&gt;""),1,0)</f>
        <v/>
      </c>
      <c r="L894" s="3">
        <f>IF(K894=1,IFERROR(MATCH('ORDENES'!$R890,lista_dias,0),9)*1000000000+IFERROR(MATCH('ORDENES'!$AF890,lista_turnos,0),9)*10000000+IFERROR(MATCH('ORDENES'!$AE890,'TECNICOS'!$B$4:$B$15,0),99)*100000+887,9000000000000+887)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IF('ORDENES'!$T890="preventiva",N894,0)</f>
        <v/>
      </c>
      <c r="P894" s="17">
        <f>IF('ORDENES'!$T890="correctiva",N894,0)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IF(AND(IF($B$3="(todos)",TRUE,'ORDENES'!$O891=$B$3),IF($D$3="(todos)",TRUE,'ORDENES'!$AF891=$D$3),IF($F$3="(todos)",TRUE,'ORDENES'!$X891=$F$3),IF($H$3="(todos)",TRUE,'ORDENES'!$W891=$H$3),'ORDENES'!$AD891=TRUE,'ORDENES'!$A891&lt;&gt;""),1,0)</f>
        <v/>
      </c>
      <c r="L895" s="3">
        <f>IF(K895=1,IFERROR(MATCH('ORDENES'!$R891,lista_dias,0),9)*1000000000+IFERROR(MATCH('ORDENES'!$AF891,lista_turnos,0),9)*10000000+IFERROR(MATCH('ORDENES'!$AE891,'TECNICOS'!$B$4:$B$15,0),99)*100000+888,9000000000000+888)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IF('ORDENES'!$T891="preventiva",N895,0)</f>
        <v/>
      </c>
      <c r="P895" s="17">
        <f>IF('ORDENES'!$T891="correctiva",N895,0)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IF(AND(IF($B$3="(todos)",TRUE,'ORDENES'!$O892=$B$3),IF($D$3="(todos)",TRUE,'ORDENES'!$AF892=$D$3),IF($F$3="(todos)",TRUE,'ORDENES'!$X892=$F$3),IF($H$3="(todos)",TRUE,'ORDENES'!$W892=$H$3),'ORDENES'!$AD892=TRUE,'ORDENES'!$A892&lt;&gt;""),1,0)</f>
        <v/>
      </c>
      <c r="L896" s="3">
        <f>IF(K896=1,IFERROR(MATCH('ORDENES'!$R892,lista_dias,0),9)*1000000000+IFERROR(MATCH('ORDENES'!$AF892,lista_turnos,0),9)*10000000+IFERROR(MATCH('ORDENES'!$AE892,'TECNICOS'!$B$4:$B$15,0),99)*100000+889,9000000000000+889)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IF('ORDENES'!$T892="preventiva",N896,0)</f>
        <v/>
      </c>
      <c r="P896" s="17">
        <f>IF('ORDENES'!$T892="correctiva",N896,0)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IF(AND(IF($B$3="(todos)",TRUE,'ORDENES'!$O893=$B$3),IF($D$3="(todos)",TRUE,'ORDENES'!$AF893=$D$3),IF($F$3="(todos)",TRUE,'ORDENES'!$X893=$F$3),IF($H$3="(todos)",TRUE,'ORDENES'!$W893=$H$3),'ORDENES'!$AD893=TRUE,'ORDENES'!$A893&lt;&gt;""),1,0)</f>
        <v/>
      </c>
      <c r="L897" s="3">
        <f>IF(K897=1,IFERROR(MATCH('ORDENES'!$R893,lista_dias,0),9)*1000000000+IFERROR(MATCH('ORDENES'!$AF893,lista_turnos,0),9)*10000000+IFERROR(MATCH('ORDENES'!$AE893,'TECNICOS'!$B$4:$B$15,0),99)*100000+890,9000000000000+890)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IF('ORDENES'!$T893="preventiva",N897,0)</f>
        <v/>
      </c>
      <c r="P897" s="17">
        <f>IF('ORDENES'!$T893="correctiva",N897,0)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IF(AND(IF($B$3="(todos)",TRUE,'ORDENES'!$O894=$B$3),IF($D$3="(todos)",TRUE,'ORDENES'!$AF894=$D$3),IF($F$3="(todos)",TRUE,'ORDENES'!$X894=$F$3),IF($H$3="(todos)",TRUE,'ORDENES'!$W894=$H$3),'ORDENES'!$AD894=TRUE,'ORDENES'!$A894&lt;&gt;""),1,0)</f>
        <v/>
      </c>
      <c r="L898" s="3">
        <f>IF(K898=1,IFERROR(MATCH('ORDENES'!$R894,lista_dias,0),9)*1000000000+IFERROR(MATCH('ORDENES'!$AF894,lista_turnos,0),9)*10000000+IFERROR(MATCH('ORDENES'!$AE894,'TECNICOS'!$B$4:$B$15,0),99)*100000+891,9000000000000+891)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IF('ORDENES'!$T894="preventiva",N898,0)</f>
        <v/>
      </c>
      <c r="P898" s="17">
        <f>IF('ORDENES'!$T894="correctiva",N898,0)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IF(AND(IF($B$3="(todos)",TRUE,'ORDENES'!$O895=$B$3),IF($D$3="(todos)",TRUE,'ORDENES'!$AF895=$D$3),IF($F$3="(todos)",TRUE,'ORDENES'!$X895=$F$3),IF($H$3="(todos)",TRUE,'ORDENES'!$W895=$H$3),'ORDENES'!$AD895=TRUE,'ORDENES'!$A895&lt;&gt;""),1,0)</f>
        <v/>
      </c>
      <c r="L899" s="3">
        <f>IF(K899=1,IFERROR(MATCH('ORDENES'!$R895,lista_dias,0),9)*1000000000+IFERROR(MATCH('ORDENES'!$AF895,lista_turnos,0),9)*10000000+IFERROR(MATCH('ORDENES'!$AE895,'TECNICOS'!$B$4:$B$15,0),99)*100000+892,9000000000000+892)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IF('ORDENES'!$T895="preventiva",N899,0)</f>
        <v/>
      </c>
      <c r="P899" s="17">
        <f>IF('ORDENES'!$T895="correctiva",N899,0)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IF(AND(IF($B$3="(todos)",TRUE,'ORDENES'!$O896=$B$3),IF($D$3="(todos)",TRUE,'ORDENES'!$AF896=$D$3),IF($F$3="(todos)",TRUE,'ORDENES'!$X896=$F$3),IF($H$3="(todos)",TRUE,'ORDENES'!$W896=$H$3),'ORDENES'!$AD896=TRUE,'ORDENES'!$A896&lt;&gt;""),1,0)</f>
        <v/>
      </c>
      <c r="L900" s="3">
        <f>IF(K900=1,IFERROR(MATCH('ORDENES'!$R896,lista_dias,0),9)*1000000000+IFERROR(MATCH('ORDENES'!$AF896,lista_turnos,0),9)*10000000+IFERROR(MATCH('ORDENES'!$AE896,'TECNICOS'!$B$4:$B$15,0),99)*100000+893,9000000000000+893)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IF('ORDENES'!$T896="preventiva",N900,0)</f>
        <v/>
      </c>
      <c r="P900" s="17">
        <f>IF('ORDENES'!$T896="correctiva",N900,0)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IF(AND(IF($B$3="(todos)",TRUE,'ORDENES'!$O897=$B$3),IF($D$3="(todos)",TRUE,'ORDENES'!$AF897=$D$3),IF($F$3="(todos)",TRUE,'ORDENES'!$X897=$F$3),IF($H$3="(todos)",TRUE,'ORDENES'!$W897=$H$3),'ORDENES'!$AD897=TRUE,'ORDENES'!$A897&lt;&gt;""),1,0)</f>
        <v/>
      </c>
      <c r="L901" s="3">
        <f>IF(K901=1,IFERROR(MATCH('ORDENES'!$R897,lista_dias,0),9)*1000000000+IFERROR(MATCH('ORDENES'!$AF897,lista_turnos,0),9)*10000000+IFERROR(MATCH('ORDENES'!$AE897,'TECNICOS'!$B$4:$B$15,0),99)*100000+894,9000000000000+894)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IF('ORDENES'!$T897="preventiva",N901,0)</f>
        <v/>
      </c>
      <c r="P901" s="17">
        <f>IF('ORDENES'!$T897="correctiva",N901,0)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IF(AND(IF($B$3="(todos)",TRUE,'ORDENES'!$O898=$B$3),IF($D$3="(todos)",TRUE,'ORDENES'!$AF898=$D$3),IF($F$3="(todos)",TRUE,'ORDENES'!$X898=$F$3),IF($H$3="(todos)",TRUE,'ORDENES'!$W898=$H$3),'ORDENES'!$AD898=TRUE,'ORDENES'!$A898&lt;&gt;""),1,0)</f>
        <v/>
      </c>
      <c r="L902" s="3">
        <f>IF(K902=1,IFERROR(MATCH('ORDENES'!$R898,lista_dias,0),9)*1000000000+IFERROR(MATCH('ORDENES'!$AF898,lista_turnos,0),9)*10000000+IFERROR(MATCH('ORDENES'!$AE898,'TECNICOS'!$B$4:$B$15,0),99)*100000+895,9000000000000+895)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IF('ORDENES'!$T898="preventiva",N902,0)</f>
        <v/>
      </c>
      <c r="P902" s="17">
        <f>IF('ORDENES'!$T898="correctiva",N902,0)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IF(AND(IF($B$3="(todos)",TRUE,'ORDENES'!$O899=$B$3),IF($D$3="(todos)",TRUE,'ORDENES'!$AF899=$D$3),IF($F$3="(todos)",TRUE,'ORDENES'!$X899=$F$3),IF($H$3="(todos)",TRUE,'ORDENES'!$W899=$H$3),'ORDENES'!$AD899=TRUE,'ORDENES'!$A899&lt;&gt;""),1,0)</f>
        <v/>
      </c>
      <c r="L903" s="3">
        <f>IF(K903=1,IFERROR(MATCH('ORDENES'!$R899,lista_dias,0),9)*1000000000+IFERROR(MATCH('ORDENES'!$AF899,lista_turnos,0),9)*10000000+IFERROR(MATCH('ORDENES'!$AE899,'TECNICOS'!$B$4:$B$15,0),99)*100000+896,9000000000000+896)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IF('ORDENES'!$T899="preventiva",N903,0)</f>
        <v/>
      </c>
      <c r="P903" s="17">
        <f>IF('ORDENES'!$T899="correctiva",N903,0)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IF(AND(IF($B$3="(todos)",TRUE,'ORDENES'!$O900=$B$3),IF($D$3="(todos)",TRUE,'ORDENES'!$AF900=$D$3),IF($F$3="(todos)",TRUE,'ORDENES'!$X900=$F$3),IF($H$3="(todos)",TRUE,'ORDENES'!$W900=$H$3),'ORDENES'!$AD900=TRUE,'ORDENES'!$A900&lt;&gt;""),1,0)</f>
        <v/>
      </c>
      <c r="L904" s="3">
        <f>IF(K904=1,IFERROR(MATCH('ORDENES'!$R900,lista_dias,0),9)*1000000000+IFERROR(MATCH('ORDENES'!$AF900,lista_turnos,0),9)*10000000+IFERROR(MATCH('ORDENES'!$AE900,'TECNICOS'!$B$4:$B$15,0),99)*100000+897,9000000000000+897)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IF('ORDENES'!$T900="preventiva",N904,0)</f>
        <v/>
      </c>
      <c r="P904" s="17">
        <f>IF('ORDENES'!$T900="correctiva",N904,0)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IF(AND(IF($B$3="(todos)",TRUE,'ORDENES'!$O901=$B$3),IF($D$3="(todos)",TRUE,'ORDENES'!$AF901=$D$3),IF($F$3="(todos)",TRUE,'ORDENES'!$X901=$F$3),IF($H$3="(todos)",TRUE,'ORDENES'!$W901=$H$3),'ORDENES'!$AD901=TRUE,'ORDENES'!$A901&lt;&gt;""),1,0)</f>
        <v/>
      </c>
      <c r="L905" s="3">
        <f>IF(K905=1,IFERROR(MATCH('ORDENES'!$R901,lista_dias,0),9)*1000000000+IFERROR(MATCH('ORDENES'!$AF901,lista_turnos,0),9)*10000000+IFERROR(MATCH('ORDENES'!$AE901,'TECNICOS'!$B$4:$B$15,0),99)*100000+898,9000000000000+898)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IF('ORDENES'!$T901="preventiva",N905,0)</f>
        <v/>
      </c>
      <c r="P905" s="17">
        <f>IF('ORDENES'!$T901="correctiva",N905,0)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IF(AND(IF($B$3="(todos)",TRUE,'ORDENES'!$O902=$B$3),IF($D$3="(todos)",TRUE,'ORDENES'!$AF902=$D$3),IF($F$3="(todos)",TRUE,'ORDENES'!$X902=$F$3),IF($H$3="(todos)",TRUE,'ORDENES'!$W902=$H$3),'ORDENES'!$AD902=TRUE,'ORDENES'!$A902&lt;&gt;""),1,0)</f>
        <v/>
      </c>
      <c r="L906" s="3">
        <f>IF(K906=1,IFERROR(MATCH('ORDENES'!$R902,lista_dias,0),9)*1000000000+IFERROR(MATCH('ORDENES'!$AF902,lista_turnos,0),9)*10000000+IFERROR(MATCH('ORDENES'!$AE902,'TECNICOS'!$B$4:$B$15,0),99)*100000+899,9000000000000+899)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IF('ORDENES'!$T902="preventiva",N906,0)</f>
        <v/>
      </c>
      <c r="P906" s="17">
        <f>IF('ORDENES'!$T902="correctiva",N906,0)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IF(AND(IF($B$3="(todos)",TRUE,'ORDENES'!$O903=$B$3),IF($D$3="(todos)",TRUE,'ORDENES'!$AF903=$D$3),IF($F$3="(todos)",TRUE,'ORDENES'!$X903=$F$3),IF($H$3="(todos)",TRUE,'ORDENES'!$W903=$H$3),'ORDENES'!$AD903=TRUE,'ORDENES'!$A903&lt;&gt;""),1,0)</f>
        <v/>
      </c>
      <c r="L907" s="3">
        <f>IF(K907=1,IFERROR(MATCH('ORDENES'!$R903,lista_dias,0),9)*1000000000+IFERROR(MATCH('ORDENES'!$AF903,lista_turnos,0),9)*10000000+IFERROR(MATCH('ORDENES'!$AE903,'TECNICOS'!$B$4:$B$15,0),99)*100000+900,9000000000000+900)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IF('ORDENES'!$T903="preventiva",N907,0)</f>
        <v/>
      </c>
      <c r="P907" s="17">
        <f>IF('ORDENES'!$T903="correctiva",N907,0)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IF(AND(IF($B$3="(todos)",TRUE,'ORDENES'!$O904=$B$3),IF($D$3="(todos)",TRUE,'ORDENES'!$AF904=$D$3),IF($F$3="(todos)",TRUE,'ORDENES'!$X904=$F$3),IF($H$3="(todos)",TRUE,'ORDENES'!$W904=$H$3),'ORDENES'!$AD904=TRUE,'ORDENES'!$A904&lt;&gt;""),1,0)</f>
        <v/>
      </c>
      <c r="L908" s="3">
        <f>IF(K908=1,IFERROR(MATCH('ORDENES'!$R904,lista_dias,0),9)*1000000000+IFERROR(MATCH('ORDENES'!$AF904,lista_turnos,0),9)*10000000+IFERROR(MATCH('ORDENES'!$AE904,'TECNICOS'!$B$4:$B$15,0),99)*100000+901,9000000000000+901)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IF('ORDENES'!$T904="preventiva",N908,0)</f>
        <v/>
      </c>
      <c r="P908" s="17">
        <f>IF('ORDENES'!$T904="correctiva",N908,0)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IF(AND(IF($B$3="(todos)",TRUE,'ORDENES'!$O905=$B$3),IF($D$3="(todos)",TRUE,'ORDENES'!$AF905=$D$3),IF($F$3="(todos)",TRUE,'ORDENES'!$X905=$F$3),IF($H$3="(todos)",TRUE,'ORDENES'!$W905=$H$3),'ORDENES'!$AD905=TRUE,'ORDENES'!$A905&lt;&gt;""),1,0)</f>
        <v/>
      </c>
      <c r="L909" s="3">
        <f>IF(K909=1,IFERROR(MATCH('ORDENES'!$R905,lista_dias,0),9)*1000000000+IFERROR(MATCH('ORDENES'!$AF905,lista_turnos,0),9)*10000000+IFERROR(MATCH('ORDENES'!$AE905,'TECNICOS'!$B$4:$B$15,0),99)*100000+902,9000000000000+902)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IF('ORDENES'!$T905="preventiva",N909,0)</f>
        <v/>
      </c>
      <c r="P909" s="17">
        <f>IF('ORDENES'!$T905="correctiva",N909,0)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IF(AND(IF($B$3="(todos)",TRUE,'ORDENES'!$O906=$B$3),IF($D$3="(todos)",TRUE,'ORDENES'!$AF906=$D$3),IF($F$3="(todos)",TRUE,'ORDENES'!$X906=$F$3),IF($H$3="(todos)",TRUE,'ORDENES'!$W906=$H$3),'ORDENES'!$AD906=TRUE,'ORDENES'!$A906&lt;&gt;""),1,0)</f>
        <v/>
      </c>
      <c r="L910" s="3">
        <f>IF(K910=1,IFERROR(MATCH('ORDENES'!$R906,lista_dias,0),9)*1000000000+IFERROR(MATCH('ORDENES'!$AF906,lista_turnos,0),9)*10000000+IFERROR(MATCH('ORDENES'!$AE906,'TECNICOS'!$B$4:$B$15,0),99)*100000+903,9000000000000+903)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IF('ORDENES'!$T906="preventiva",N910,0)</f>
        <v/>
      </c>
      <c r="P910" s="17">
        <f>IF('ORDENES'!$T906="correctiva",N910,0)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IF(AND(IF($B$3="(todos)",TRUE,'ORDENES'!$O907=$B$3),IF($D$3="(todos)",TRUE,'ORDENES'!$AF907=$D$3),IF($F$3="(todos)",TRUE,'ORDENES'!$X907=$F$3),IF($H$3="(todos)",TRUE,'ORDENES'!$W907=$H$3),'ORDENES'!$AD907=TRUE,'ORDENES'!$A907&lt;&gt;""),1,0)</f>
        <v/>
      </c>
      <c r="L911" s="3">
        <f>IF(K911=1,IFERROR(MATCH('ORDENES'!$R907,lista_dias,0),9)*1000000000+IFERROR(MATCH('ORDENES'!$AF907,lista_turnos,0),9)*10000000+IFERROR(MATCH('ORDENES'!$AE907,'TECNICOS'!$B$4:$B$15,0),99)*100000+904,9000000000000+904)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IF('ORDENES'!$T907="preventiva",N911,0)</f>
        <v/>
      </c>
      <c r="P911" s="17">
        <f>IF('ORDENES'!$T907="correctiva",N911,0)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IF(AND(IF($B$3="(todos)",TRUE,'ORDENES'!$O908=$B$3),IF($D$3="(todos)",TRUE,'ORDENES'!$AF908=$D$3),IF($F$3="(todos)",TRUE,'ORDENES'!$X908=$F$3),IF($H$3="(todos)",TRUE,'ORDENES'!$W908=$H$3),'ORDENES'!$AD908=TRUE,'ORDENES'!$A908&lt;&gt;""),1,0)</f>
        <v/>
      </c>
      <c r="L912" s="3">
        <f>IF(K912=1,IFERROR(MATCH('ORDENES'!$R908,lista_dias,0),9)*1000000000+IFERROR(MATCH('ORDENES'!$AF908,lista_turnos,0),9)*10000000+IFERROR(MATCH('ORDENES'!$AE908,'TECNICOS'!$B$4:$B$15,0),99)*100000+905,9000000000000+905)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IF('ORDENES'!$T908="preventiva",N912,0)</f>
        <v/>
      </c>
      <c r="P912" s="17">
        <f>IF('ORDENES'!$T908="correctiva",N912,0)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IF(AND(IF($B$3="(todos)",TRUE,'ORDENES'!$O909=$B$3),IF($D$3="(todos)",TRUE,'ORDENES'!$AF909=$D$3),IF($F$3="(todos)",TRUE,'ORDENES'!$X909=$F$3),IF($H$3="(todos)",TRUE,'ORDENES'!$W909=$H$3),'ORDENES'!$AD909=TRUE,'ORDENES'!$A909&lt;&gt;""),1,0)</f>
        <v/>
      </c>
      <c r="L913" s="3">
        <f>IF(K913=1,IFERROR(MATCH('ORDENES'!$R909,lista_dias,0),9)*1000000000+IFERROR(MATCH('ORDENES'!$AF909,lista_turnos,0),9)*10000000+IFERROR(MATCH('ORDENES'!$AE909,'TECNICOS'!$B$4:$B$15,0),99)*100000+906,9000000000000+906)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IF('ORDENES'!$T909="preventiva",N913,0)</f>
        <v/>
      </c>
      <c r="P913" s="17">
        <f>IF('ORDENES'!$T909="correctiva",N913,0)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IF(AND(IF($B$3="(todos)",TRUE,'ORDENES'!$O910=$B$3),IF($D$3="(todos)",TRUE,'ORDENES'!$AF910=$D$3),IF($F$3="(todos)",TRUE,'ORDENES'!$X910=$F$3),IF($H$3="(todos)",TRUE,'ORDENES'!$W910=$H$3),'ORDENES'!$AD910=TRUE,'ORDENES'!$A910&lt;&gt;""),1,0)</f>
        <v/>
      </c>
      <c r="L914" s="3">
        <f>IF(K914=1,IFERROR(MATCH('ORDENES'!$R910,lista_dias,0),9)*1000000000+IFERROR(MATCH('ORDENES'!$AF910,lista_turnos,0),9)*10000000+IFERROR(MATCH('ORDENES'!$AE910,'TECNICOS'!$B$4:$B$15,0),99)*100000+907,9000000000000+907)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IF('ORDENES'!$T910="preventiva",N914,0)</f>
        <v/>
      </c>
      <c r="P914" s="17">
        <f>IF('ORDENES'!$T910="correctiva",N914,0)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IF(AND(IF($B$3="(todos)",TRUE,'ORDENES'!$O911=$B$3),IF($D$3="(todos)",TRUE,'ORDENES'!$AF911=$D$3),IF($F$3="(todos)",TRUE,'ORDENES'!$X911=$F$3),IF($H$3="(todos)",TRUE,'ORDENES'!$W911=$H$3),'ORDENES'!$AD911=TRUE,'ORDENES'!$A911&lt;&gt;""),1,0)</f>
        <v/>
      </c>
      <c r="L915" s="3">
        <f>IF(K915=1,IFERROR(MATCH('ORDENES'!$R911,lista_dias,0),9)*1000000000+IFERROR(MATCH('ORDENES'!$AF911,lista_turnos,0),9)*10000000+IFERROR(MATCH('ORDENES'!$AE911,'TECNICOS'!$B$4:$B$15,0),99)*100000+908,9000000000000+908)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IF('ORDENES'!$T911="preventiva",N915,0)</f>
        <v/>
      </c>
      <c r="P915" s="17">
        <f>IF('ORDENES'!$T911="correctiva",N915,0)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IF(AND(IF($B$3="(todos)",TRUE,'ORDENES'!$O912=$B$3),IF($D$3="(todos)",TRUE,'ORDENES'!$AF912=$D$3),IF($F$3="(todos)",TRUE,'ORDENES'!$X912=$F$3),IF($H$3="(todos)",TRUE,'ORDENES'!$W912=$H$3),'ORDENES'!$AD912=TRUE,'ORDENES'!$A912&lt;&gt;""),1,0)</f>
        <v/>
      </c>
      <c r="L916" s="3">
        <f>IF(K916=1,IFERROR(MATCH('ORDENES'!$R912,lista_dias,0),9)*1000000000+IFERROR(MATCH('ORDENES'!$AF912,lista_turnos,0),9)*10000000+IFERROR(MATCH('ORDENES'!$AE912,'TECNICOS'!$B$4:$B$15,0),99)*100000+909,9000000000000+909)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IF('ORDENES'!$T912="preventiva",N916,0)</f>
        <v/>
      </c>
      <c r="P916" s="17">
        <f>IF('ORDENES'!$T912="correctiva",N916,0)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IF(AND(IF($B$3="(todos)",TRUE,'ORDENES'!$O913=$B$3),IF($D$3="(todos)",TRUE,'ORDENES'!$AF913=$D$3),IF($F$3="(todos)",TRUE,'ORDENES'!$X913=$F$3),IF($H$3="(todos)",TRUE,'ORDENES'!$W913=$H$3),'ORDENES'!$AD913=TRUE,'ORDENES'!$A913&lt;&gt;""),1,0)</f>
        <v/>
      </c>
      <c r="L917" s="3">
        <f>IF(K917=1,IFERROR(MATCH('ORDENES'!$R913,lista_dias,0),9)*1000000000+IFERROR(MATCH('ORDENES'!$AF913,lista_turnos,0),9)*10000000+IFERROR(MATCH('ORDENES'!$AE913,'TECNICOS'!$B$4:$B$15,0),99)*100000+910,9000000000000+910)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IF('ORDENES'!$T913="preventiva",N917,0)</f>
        <v/>
      </c>
      <c r="P917" s="17">
        <f>IF('ORDENES'!$T913="correctiva",N917,0)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IF(AND(IF($B$3="(todos)",TRUE,'ORDENES'!$O914=$B$3),IF($D$3="(todos)",TRUE,'ORDENES'!$AF914=$D$3),IF($F$3="(todos)",TRUE,'ORDENES'!$X914=$F$3),IF($H$3="(todos)",TRUE,'ORDENES'!$W914=$H$3),'ORDENES'!$AD914=TRUE,'ORDENES'!$A914&lt;&gt;""),1,0)</f>
        <v/>
      </c>
      <c r="L918" s="3">
        <f>IF(K918=1,IFERROR(MATCH('ORDENES'!$R914,lista_dias,0),9)*1000000000+IFERROR(MATCH('ORDENES'!$AF914,lista_turnos,0),9)*10000000+IFERROR(MATCH('ORDENES'!$AE914,'TECNICOS'!$B$4:$B$15,0),99)*100000+911,9000000000000+911)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IF('ORDENES'!$T914="preventiva",N918,0)</f>
        <v/>
      </c>
      <c r="P918" s="17">
        <f>IF('ORDENES'!$T914="correctiva",N918,0)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IF(AND(IF($B$3="(todos)",TRUE,'ORDENES'!$O915=$B$3),IF($D$3="(todos)",TRUE,'ORDENES'!$AF915=$D$3),IF($F$3="(todos)",TRUE,'ORDENES'!$X915=$F$3),IF($H$3="(todos)",TRUE,'ORDENES'!$W915=$H$3),'ORDENES'!$AD915=TRUE,'ORDENES'!$A915&lt;&gt;""),1,0)</f>
        <v/>
      </c>
      <c r="L919" s="3">
        <f>IF(K919=1,IFERROR(MATCH('ORDENES'!$R915,lista_dias,0),9)*1000000000+IFERROR(MATCH('ORDENES'!$AF915,lista_turnos,0),9)*10000000+IFERROR(MATCH('ORDENES'!$AE915,'TECNICOS'!$B$4:$B$15,0),99)*100000+912,9000000000000+912)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IF('ORDENES'!$T915="preventiva",N919,0)</f>
        <v/>
      </c>
      <c r="P919" s="17">
        <f>IF('ORDENES'!$T915="correctiva",N919,0)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IF(AND(IF($B$3="(todos)",TRUE,'ORDENES'!$O916=$B$3),IF($D$3="(todos)",TRUE,'ORDENES'!$AF916=$D$3),IF($F$3="(todos)",TRUE,'ORDENES'!$X916=$F$3),IF($H$3="(todos)",TRUE,'ORDENES'!$W916=$H$3),'ORDENES'!$AD916=TRUE,'ORDENES'!$A916&lt;&gt;""),1,0)</f>
        <v/>
      </c>
      <c r="L920" s="3">
        <f>IF(K920=1,IFERROR(MATCH('ORDENES'!$R916,lista_dias,0),9)*1000000000+IFERROR(MATCH('ORDENES'!$AF916,lista_turnos,0),9)*10000000+IFERROR(MATCH('ORDENES'!$AE916,'TECNICOS'!$B$4:$B$15,0),99)*100000+913,9000000000000+913)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IF('ORDENES'!$T916="preventiva",N920,0)</f>
        <v/>
      </c>
      <c r="P920" s="17">
        <f>IF('ORDENES'!$T916="correctiva",N920,0)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IF(AND(IF($B$3="(todos)",TRUE,'ORDENES'!$O917=$B$3),IF($D$3="(todos)",TRUE,'ORDENES'!$AF917=$D$3),IF($F$3="(todos)",TRUE,'ORDENES'!$X917=$F$3),IF($H$3="(todos)",TRUE,'ORDENES'!$W917=$H$3),'ORDENES'!$AD917=TRUE,'ORDENES'!$A917&lt;&gt;""),1,0)</f>
        <v/>
      </c>
      <c r="L921" s="3">
        <f>IF(K921=1,IFERROR(MATCH('ORDENES'!$R917,lista_dias,0),9)*1000000000+IFERROR(MATCH('ORDENES'!$AF917,lista_turnos,0),9)*10000000+IFERROR(MATCH('ORDENES'!$AE917,'TECNICOS'!$B$4:$B$15,0),99)*100000+914,9000000000000+914)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IF('ORDENES'!$T917="preventiva",N921,0)</f>
        <v/>
      </c>
      <c r="P921" s="17">
        <f>IF('ORDENES'!$T917="correctiva",N921,0)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IF(AND(IF($B$3="(todos)",TRUE,'ORDENES'!$O918=$B$3),IF($D$3="(todos)",TRUE,'ORDENES'!$AF918=$D$3),IF($F$3="(todos)",TRUE,'ORDENES'!$X918=$F$3),IF($H$3="(todos)",TRUE,'ORDENES'!$W918=$H$3),'ORDENES'!$AD918=TRUE,'ORDENES'!$A918&lt;&gt;""),1,0)</f>
        <v/>
      </c>
      <c r="L922" s="3">
        <f>IF(K922=1,IFERROR(MATCH('ORDENES'!$R918,lista_dias,0),9)*1000000000+IFERROR(MATCH('ORDENES'!$AF918,lista_turnos,0),9)*10000000+IFERROR(MATCH('ORDENES'!$AE918,'TECNICOS'!$B$4:$B$15,0),99)*100000+915,9000000000000+915)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IF('ORDENES'!$T918="preventiva",N922,0)</f>
        <v/>
      </c>
      <c r="P922" s="17">
        <f>IF('ORDENES'!$T918="correctiva",N922,0)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IF(AND(IF($B$3="(todos)",TRUE,'ORDENES'!$O919=$B$3),IF($D$3="(todos)",TRUE,'ORDENES'!$AF919=$D$3),IF($F$3="(todos)",TRUE,'ORDENES'!$X919=$F$3),IF($H$3="(todos)",TRUE,'ORDENES'!$W919=$H$3),'ORDENES'!$AD919=TRUE,'ORDENES'!$A919&lt;&gt;""),1,0)</f>
        <v/>
      </c>
      <c r="L923" s="3">
        <f>IF(K923=1,IFERROR(MATCH('ORDENES'!$R919,lista_dias,0),9)*1000000000+IFERROR(MATCH('ORDENES'!$AF919,lista_turnos,0),9)*10000000+IFERROR(MATCH('ORDENES'!$AE919,'TECNICOS'!$B$4:$B$15,0),99)*100000+916,9000000000000+916)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IF('ORDENES'!$T919="preventiva",N923,0)</f>
        <v/>
      </c>
      <c r="P923" s="17">
        <f>IF('ORDENES'!$T919="correctiva",N923,0)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IF(AND(IF($B$3="(todos)",TRUE,'ORDENES'!$O920=$B$3),IF($D$3="(todos)",TRUE,'ORDENES'!$AF920=$D$3),IF($F$3="(todos)",TRUE,'ORDENES'!$X920=$F$3),IF($H$3="(todos)",TRUE,'ORDENES'!$W920=$H$3),'ORDENES'!$AD920=TRUE,'ORDENES'!$A920&lt;&gt;""),1,0)</f>
        <v/>
      </c>
      <c r="L924" s="3">
        <f>IF(K924=1,IFERROR(MATCH('ORDENES'!$R920,lista_dias,0),9)*1000000000+IFERROR(MATCH('ORDENES'!$AF920,lista_turnos,0),9)*10000000+IFERROR(MATCH('ORDENES'!$AE920,'TECNICOS'!$B$4:$B$15,0),99)*100000+917,9000000000000+917)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IF('ORDENES'!$T920="preventiva",N924,0)</f>
        <v/>
      </c>
      <c r="P924" s="17">
        <f>IF('ORDENES'!$T920="correctiva",N924,0)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IF(AND(IF($B$3="(todos)",TRUE,'ORDENES'!$O921=$B$3),IF($D$3="(todos)",TRUE,'ORDENES'!$AF921=$D$3),IF($F$3="(todos)",TRUE,'ORDENES'!$X921=$F$3),IF($H$3="(todos)",TRUE,'ORDENES'!$W921=$H$3),'ORDENES'!$AD921=TRUE,'ORDENES'!$A921&lt;&gt;""),1,0)</f>
        <v/>
      </c>
      <c r="L925" s="3">
        <f>IF(K925=1,IFERROR(MATCH('ORDENES'!$R921,lista_dias,0),9)*1000000000+IFERROR(MATCH('ORDENES'!$AF921,lista_turnos,0),9)*10000000+IFERROR(MATCH('ORDENES'!$AE921,'TECNICOS'!$B$4:$B$15,0),99)*100000+918,9000000000000+918)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IF('ORDENES'!$T921="preventiva",N925,0)</f>
        <v/>
      </c>
      <c r="P925" s="17">
        <f>IF('ORDENES'!$T921="correctiva",N925,0)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IF(AND(IF($B$3="(todos)",TRUE,'ORDENES'!$O922=$B$3),IF($D$3="(todos)",TRUE,'ORDENES'!$AF922=$D$3),IF($F$3="(todos)",TRUE,'ORDENES'!$X922=$F$3),IF($H$3="(todos)",TRUE,'ORDENES'!$W922=$H$3),'ORDENES'!$AD922=TRUE,'ORDENES'!$A922&lt;&gt;""),1,0)</f>
        <v/>
      </c>
      <c r="L926" s="3">
        <f>IF(K926=1,IFERROR(MATCH('ORDENES'!$R922,lista_dias,0),9)*1000000000+IFERROR(MATCH('ORDENES'!$AF922,lista_turnos,0),9)*10000000+IFERROR(MATCH('ORDENES'!$AE922,'TECNICOS'!$B$4:$B$15,0),99)*100000+919,9000000000000+919)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IF('ORDENES'!$T922="preventiva",N926,0)</f>
        <v/>
      </c>
      <c r="P926" s="17">
        <f>IF('ORDENES'!$T922="correctiva",N926,0)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IF(AND(IF($B$3="(todos)",TRUE,'ORDENES'!$O923=$B$3),IF($D$3="(todos)",TRUE,'ORDENES'!$AF923=$D$3),IF($F$3="(todos)",TRUE,'ORDENES'!$X923=$F$3),IF($H$3="(todos)",TRUE,'ORDENES'!$W923=$H$3),'ORDENES'!$AD923=TRUE,'ORDENES'!$A923&lt;&gt;""),1,0)</f>
        <v/>
      </c>
      <c r="L927" s="3">
        <f>IF(K927=1,IFERROR(MATCH('ORDENES'!$R923,lista_dias,0),9)*1000000000+IFERROR(MATCH('ORDENES'!$AF923,lista_turnos,0),9)*10000000+IFERROR(MATCH('ORDENES'!$AE923,'TECNICOS'!$B$4:$B$15,0),99)*100000+920,9000000000000+920)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IF('ORDENES'!$T923="preventiva",N927,0)</f>
        <v/>
      </c>
      <c r="P927" s="17">
        <f>IF('ORDENES'!$T923="correctiva",N927,0)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IF(AND(IF($B$3="(todos)",TRUE,'ORDENES'!$O924=$B$3),IF($D$3="(todos)",TRUE,'ORDENES'!$AF924=$D$3),IF($F$3="(todos)",TRUE,'ORDENES'!$X924=$F$3),IF($H$3="(todos)",TRUE,'ORDENES'!$W924=$H$3),'ORDENES'!$AD924=TRUE,'ORDENES'!$A924&lt;&gt;""),1,0)</f>
        <v/>
      </c>
      <c r="L928" s="3">
        <f>IF(K928=1,IFERROR(MATCH('ORDENES'!$R924,lista_dias,0),9)*1000000000+IFERROR(MATCH('ORDENES'!$AF924,lista_turnos,0),9)*10000000+IFERROR(MATCH('ORDENES'!$AE924,'TECNICOS'!$B$4:$B$15,0),99)*100000+921,9000000000000+921)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IF('ORDENES'!$T924="preventiva",N928,0)</f>
        <v/>
      </c>
      <c r="P928" s="17">
        <f>IF('ORDENES'!$T924="correctiva",N928,0)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IF(AND(IF($B$3="(todos)",TRUE,'ORDENES'!$O925=$B$3),IF($D$3="(todos)",TRUE,'ORDENES'!$AF925=$D$3),IF($F$3="(todos)",TRUE,'ORDENES'!$X925=$F$3),IF($H$3="(todos)",TRUE,'ORDENES'!$W925=$H$3),'ORDENES'!$AD925=TRUE,'ORDENES'!$A925&lt;&gt;""),1,0)</f>
        <v/>
      </c>
      <c r="L929" s="3">
        <f>IF(K929=1,IFERROR(MATCH('ORDENES'!$R925,lista_dias,0),9)*1000000000+IFERROR(MATCH('ORDENES'!$AF925,lista_turnos,0),9)*10000000+IFERROR(MATCH('ORDENES'!$AE925,'TECNICOS'!$B$4:$B$15,0),99)*100000+922,9000000000000+922)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IF('ORDENES'!$T925="preventiva",N929,0)</f>
        <v/>
      </c>
      <c r="P929" s="17">
        <f>IF('ORDENES'!$T925="correctiva",N929,0)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IF(AND(IF($B$3="(todos)",TRUE,'ORDENES'!$O926=$B$3),IF($D$3="(todos)",TRUE,'ORDENES'!$AF926=$D$3),IF($F$3="(todos)",TRUE,'ORDENES'!$X926=$F$3),IF($H$3="(todos)",TRUE,'ORDENES'!$W926=$H$3),'ORDENES'!$AD926=TRUE,'ORDENES'!$A926&lt;&gt;""),1,0)</f>
        <v/>
      </c>
      <c r="L930" s="3">
        <f>IF(K930=1,IFERROR(MATCH('ORDENES'!$R926,lista_dias,0),9)*1000000000+IFERROR(MATCH('ORDENES'!$AF926,lista_turnos,0),9)*10000000+IFERROR(MATCH('ORDENES'!$AE926,'TECNICOS'!$B$4:$B$15,0),99)*100000+923,9000000000000+923)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IF('ORDENES'!$T926="preventiva",N930,0)</f>
        <v/>
      </c>
      <c r="P930" s="17">
        <f>IF('ORDENES'!$T926="correctiva",N930,0)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IF(AND(IF($B$3="(todos)",TRUE,'ORDENES'!$O927=$B$3),IF($D$3="(todos)",TRUE,'ORDENES'!$AF927=$D$3),IF($F$3="(todos)",TRUE,'ORDENES'!$X927=$F$3),IF($H$3="(todos)",TRUE,'ORDENES'!$W927=$H$3),'ORDENES'!$AD927=TRUE,'ORDENES'!$A927&lt;&gt;""),1,0)</f>
        <v/>
      </c>
      <c r="L931" s="3">
        <f>IF(K931=1,IFERROR(MATCH('ORDENES'!$R927,lista_dias,0),9)*1000000000+IFERROR(MATCH('ORDENES'!$AF927,lista_turnos,0),9)*10000000+IFERROR(MATCH('ORDENES'!$AE927,'TECNICOS'!$B$4:$B$15,0),99)*100000+924,9000000000000+924)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IF('ORDENES'!$T927="preventiva",N931,0)</f>
        <v/>
      </c>
      <c r="P931" s="17">
        <f>IF('ORDENES'!$T927="correctiva",N931,0)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IF(AND(IF($B$3="(todos)",TRUE,'ORDENES'!$O928=$B$3),IF($D$3="(todos)",TRUE,'ORDENES'!$AF928=$D$3),IF($F$3="(todos)",TRUE,'ORDENES'!$X928=$F$3),IF($H$3="(todos)",TRUE,'ORDENES'!$W928=$H$3),'ORDENES'!$AD928=TRUE,'ORDENES'!$A928&lt;&gt;""),1,0)</f>
        <v/>
      </c>
      <c r="L932" s="3">
        <f>IF(K932=1,IFERROR(MATCH('ORDENES'!$R928,lista_dias,0),9)*1000000000+IFERROR(MATCH('ORDENES'!$AF928,lista_turnos,0),9)*10000000+IFERROR(MATCH('ORDENES'!$AE928,'TECNICOS'!$B$4:$B$15,0),99)*100000+925,9000000000000+925)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IF('ORDENES'!$T928="preventiva",N932,0)</f>
        <v/>
      </c>
      <c r="P932" s="17">
        <f>IF('ORDENES'!$T928="correctiva",N932,0)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IF(AND(IF($B$3="(todos)",TRUE,'ORDENES'!$O929=$B$3),IF($D$3="(todos)",TRUE,'ORDENES'!$AF929=$D$3),IF($F$3="(todos)",TRUE,'ORDENES'!$X929=$F$3),IF($H$3="(todos)",TRUE,'ORDENES'!$W929=$H$3),'ORDENES'!$AD929=TRUE,'ORDENES'!$A929&lt;&gt;""),1,0)</f>
        <v/>
      </c>
      <c r="L933" s="3">
        <f>IF(K933=1,IFERROR(MATCH('ORDENES'!$R929,lista_dias,0),9)*1000000000+IFERROR(MATCH('ORDENES'!$AF929,lista_turnos,0),9)*10000000+IFERROR(MATCH('ORDENES'!$AE929,'TECNICOS'!$B$4:$B$15,0),99)*100000+926,9000000000000+926)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IF('ORDENES'!$T929="preventiva",N933,0)</f>
        <v/>
      </c>
      <c r="P933" s="17">
        <f>IF('ORDENES'!$T929="correctiva",N933,0)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IF(AND(IF($B$3="(todos)",TRUE,'ORDENES'!$O930=$B$3),IF($D$3="(todos)",TRUE,'ORDENES'!$AF930=$D$3),IF($F$3="(todos)",TRUE,'ORDENES'!$X930=$F$3),IF($H$3="(todos)",TRUE,'ORDENES'!$W930=$H$3),'ORDENES'!$AD930=TRUE,'ORDENES'!$A930&lt;&gt;""),1,0)</f>
        <v/>
      </c>
      <c r="L934" s="3">
        <f>IF(K934=1,IFERROR(MATCH('ORDENES'!$R930,lista_dias,0),9)*1000000000+IFERROR(MATCH('ORDENES'!$AF930,lista_turnos,0),9)*10000000+IFERROR(MATCH('ORDENES'!$AE930,'TECNICOS'!$B$4:$B$15,0),99)*100000+927,9000000000000+927)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IF('ORDENES'!$T930="preventiva",N934,0)</f>
        <v/>
      </c>
      <c r="P934" s="17">
        <f>IF('ORDENES'!$T930="correctiva",N934,0)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IF(AND(IF($B$3="(todos)",TRUE,'ORDENES'!$O931=$B$3),IF($D$3="(todos)",TRUE,'ORDENES'!$AF931=$D$3),IF($F$3="(todos)",TRUE,'ORDENES'!$X931=$F$3),IF($H$3="(todos)",TRUE,'ORDENES'!$W931=$H$3),'ORDENES'!$AD931=TRUE,'ORDENES'!$A931&lt;&gt;""),1,0)</f>
        <v/>
      </c>
      <c r="L935" s="3">
        <f>IF(K935=1,IFERROR(MATCH('ORDENES'!$R931,lista_dias,0),9)*1000000000+IFERROR(MATCH('ORDENES'!$AF931,lista_turnos,0),9)*10000000+IFERROR(MATCH('ORDENES'!$AE931,'TECNICOS'!$B$4:$B$15,0),99)*100000+928,9000000000000+928)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IF('ORDENES'!$T931="preventiva",N935,0)</f>
        <v/>
      </c>
      <c r="P935" s="17">
        <f>IF('ORDENES'!$T931="correctiva",N935,0)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IF(AND(IF($B$3="(todos)",TRUE,'ORDENES'!$O932=$B$3),IF($D$3="(todos)",TRUE,'ORDENES'!$AF932=$D$3),IF($F$3="(todos)",TRUE,'ORDENES'!$X932=$F$3),IF($H$3="(todos)",TRUE,'ORDENES'!$W932=$H$3),'ORDENES'!$AD932=TRUE,'ORDENES'!$A932&lt;&gt;""),1,0)</f>
        <v/>
      </c>
      <c r="L936" s="3">
        <f>IF(K936=1,IFERROR(MATCH('ORDENES'!$R932,lista_dias,0),9)*1000000000+IFERROR(MATCH('ORDENES'!$AF932,lista_turnos,0),9)*10000000+IFERROR(MATCH('ORDENES'!$AE932,'TECNICOS'!$B$4:$B$15,0),99)*100000+929,9000000000000+929)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IF('ORDENES'!$T932="preventiva",N936,0)</f>
        <v/>
      </c>
      <c r="P936" s="17">
        <f>IF('ORDENES'!$T932="correctiva",N936,0)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IF(AND(IF($B$3="(todos)",TRUE,'ORDENES'!$O933=$B$3),IF($D$3="(todos)",TRUE,'ORDENES'!$AF933=$D$3),IF($F$3="(todos)",TRUE,'ORDENES'!$X933=$F$3),IF($H$3="(todos)",TRUE,'ORDENES'!$W933=$H$3),'ORDENES'!$AD933=TRUE,'ORDENES'!$A933&lt;&gt;""),1,0)</f>
        <v/>
      </c>
      <c r="L937" s="3">
        <f>IF(K937=1,IFERROR(MATCH('ORDENES'!$R933,lista_dias,0),9)*1000000000+IFERROR(MATCH('ORDENES'!$AF933,lista_turnos,0),9)*10000000+IFERROR(MATCH('ORDENES'!$AE933,'TECNICOS'!$B$4:$B$15,0),99)*100000+930,9000000000000+930)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IF('ORDENES'!$T933="preventiva",N937,0)</f>
        <v/>
      </c>
      <c r="P937" s="17">
        <f>IF('ORDENES'!$T933="correctiva",N937,0)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IF(AND(IF($B$3="(todos)",TRUE,'ORDENES'!$O934=$B$3),IF($D$3="(todos)",TRUE,'ORDENES'!$AF934=$D$3),IF($F$3="(todos)",TRUE,'ORDENES'!$X934=$F$3),IF($H$3="(todos)",TRUE,'ORDENES'!$W934=$H$3),'ORDENES'!$AD934=TRUE,'ORDENES'!$A934&lt;&gt;""),1,0)</f>
        <v/>
      </c>
      <c r="L938" s="3">
        <f>IF(K938=1,IFERROR(MATCH('ORDENES'!$R934,lista_dias,0),9)*1000000000+IFERROR(MATCH('ORDENES'!$AF934,lista_turnos,0),9)*10000000+IFERROR(MATCH('ORDENES'!$AE934,'TECNICOS'!$B$4:$B$15,0),99)*100000+931,9000000000000+931)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IF('ORDENES'!$T934="preventiva",N938,0)</f>
        <v/>
      </c>
      <c r="P938" s="17">
        <f>IF('ORDENES'!$T934="correctiva",N938,0)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IF(AND(IF($B$3="(todos)",TRUE,'ORDENES'!$O935=$B$3),IF($D$3="(todos)",TRUE,'ORDENES'!$AF935=$D$3),IF($F$3="(todos)",TRUE,'ORDENES'!$X935=$F$3),IF($H$3="(todos)",TRUE,'ORDENES'!$W935=$H$3),'ORDENES'!$AD935=TRUE,'ORDENES'!$A935&lt;&gt;""),1,0)</f>
        <v/>
      </c>
      <c r="L939" s="3">
        <f>IF(K939=1,IFERROR(MATCH('ORDENES'!$R935,lista_dias,0),9)*1000000000+IFERROR(MATCH('ORDENES'!$AF935,lista_turnos,0),9)*10000000+IFERROR(MATCH('ORDENES'!$AE935,'TECNICOS'!$B$4:$B$15,0),99)*100000+932,9000000000000+932)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IF('ORDENES'!$T935="preventiva",N939,0)</f>
        <v/>
      </c>
      <c r="P939" s="17">
        <f>IF('ORDENES'!$T935="correctiva",N939,0)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IF(AND(IF($B$3="(todos)",TRUE,'ORDENES'!$O936=$B$3),IF($D$3="(todos)",TRUE,'ORDENES'!$AF936=$D$3),IF($F$3="(todos)",TRUE,'ORDENES'!$X936=$F$3),IF($H$3="(todos)",TRUE,'ORDENES'!$W936=$H$3),'ORDENES'!$AD936=TRUE,'ORDENES'!$A936&lt;&gt;""),1,0)</f>
        <v/>
      </c>
      <c r="L940" s="3">
        <f>IF(K940=1,IFERROR(MATCH('ORDENES'!$R936,lista_dias,0),9)*1000000000+IFERROR(MATCH('ORDENES'!$AF936,lista_turnos,0),9)*10000000+IFERROR(MATCH('ORDENES'!$AE936,'TECNICOS'!$B$4:$B$15,0),99)*100000+933,9000000000000+933)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IF('ORDENES'!$T936="preventiva",N940,0)</f>
        <v/>
      </c>
      <c r="P940" s="17">
        <f>IF('ORDENES'!$T936="correctiva",N940,0)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IF(AND(IF($B$3="(todos)",TRUE,'ORDENES'!$O937=$B$3),IF($D$3="(todos)",TRUE,'ORDENES'!$AF937=$D$3),IF($F$3="(todos)",TRUE,'ORDENES'!$X937=$F$3),IF($H$3="(todos)",TRUE,'ORDENES'!$W937=$H$3),'ORDENES'!$AD937=TRUE,'ORDENES'!$A937&lt;&gt;""),1,0)</f>
        <v/>
      </c>
      <c r="L941" s="3">
        <f>IF(K941=1,IFERROR(MATCH('ORDENES'!$R937,lista_dias,0),9)*1000000000+IFERROR(MATCH('ORDENES'!$AF937,lista_turnos,0),9)*10000000+IFERROR(MATCH('ORDENES'!$AE937,'TECNICOS'!$B$4:$B$15,0),99)*100000+934,9000000000000+934)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IF('ORDENES'!$T937="preventiva",N941,0)</f>
        <v/>
      </c>
      <c r="P941" s="17">
        <f>IF('ORDENES'!$T937="correctiva",N941,0)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IF(AND(IF($B$3="(todos)",TRUE,'ORDENES'!$O938=$B$3),IF($D$3="(todos)",TRUE,'ORDENES'!$AF938=$D$3),IF($F$3="(todos)",TRUE,'ORDENES'!$X938=$F$3),IF($H$3="(todos)",TRUE,'ORDENES'!$W938=$H$3),'ORDENES'!$AD938=TRUE,'ORDENES'!$A938&lt;&gt;""),1,0)</f>
        <v/>
      </c>
      <c r="L942" s="3">
        <f>IF(K942=1,IFERROR(MATCH('ORDENES'!$R938,lista_dias,0),9)*1000000000+IFERROR(MATCH('ORDENES'!$AF938,lista_turnos,0),9)*10000000+IFERROR(MATCH('ORDENES'!$AE938,'TECNICOS'!$B$4:$B$15,0),99)*100000+935,9000000000000+935)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IF('ORDENES'!$T938="preventiva",N942,0)</f>
        <v/>
      </c>
      <c r="P942" s="17">
        <f>IF('ORDENES'!$T938="correctiva",N942,0)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IF(AND(IF($B$3="(todos)",TRUE,'ORDENES'!$O939=$B$3),IF($D$3="(todos)",TRUE,'ORDENES'!$AF939=$D$3),IF($F$3="(todos)",TRUE,'ORDENES'!$X939=$F$3),IF($H$3="(todos)",TRUE,'ORDENES'!$W939=$H$3),'ORDENES'!$AD939=TRUE,'ORDENES'!$A939&lt;&gt;""),1,0)</f>
        <v/>
      </c>
      <c r="L943" s="3">
        <f>IF(K943=1,IFERROR(MATCH('ORDENES'!$R939,lista_dias,0),9)*1000000000+IFERROR(MATCH('ORDENES'!$AF939,lista_turnos,0),9)*10000000+IFERROR(MATCH('ORDENES'!$AE939,'TECNICOS'!$B$4:$B$15,0),99)*100000+936,9000000000000+936)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IF('ORDENES'!$T939="preventiva",N943,0)</f>
        <v/>
      </c>
      <c r="P943" s="17">
        <f>IF('ORDENES'!$T939="correctiva",N943,0)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IF(AND(IF($B$3="(todos)",TRUE,'ORDENES'!$O940=$B$3),IF($D$3="(todos)",TRUE,'ORDENES'!$AF940=$D$3),IF($F$3="(todos)",TRUE,'ORDENES'!$X940=$F$3),IF($H$3="(todos)",TRUE,'ORDENES'!$W940=$H$3),'ORDENES'!$AD940=TRUE,'ORDENES'!$A940&lt;&gt;""),1,0)</f>
        <v/>
      </c>
      <c r="L944" s="3">
        <f>IF(K944=1,IFERROR(MATCH('ORDENES'!$R940,lista_dias,0),9)*1000000000+IFERROR(MATCH('ORDENES'!$AF940,lista_turnos,0),9)*10000000+IFERROR(MATCH('ORDENES'!$AE940,'TECNICOS'!$B$4:$B$15,0),99)*100000+937,9000000000000+937)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IF('ORDENES'!$T940="preventiva",N944,0)</f>
        <v/>
      </c>
      <c r="P944" s="17">
        <f>IF('ORDENES'!$T940="correctiva",N944,0)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IF(AND(IF($B$3="(todos)",TRUE,'ORDENES'!$O941=$B$3),IF($D$3="(todos)",TRUE,'ORDENES'!$AF941=$D$3),IF($F$3="(todos)",TRUE,'ORDENES'!$X941=$F$3),IF($H$3="(todos)",TRUE,'ORDENES'!$W941=$H$3),'ORDENES'!$AD941=TRUE,'ORDENES'!$A941&lt;&gt;""),1,0)</f>
        <v/>
      </c>
      <c r="L945" s="3">
        <f>IF(K945=1,IFERROR(MATCH('ORDENES'!$R941,lista_dias,0),9)*1000000000+IFERROR(MATCH('ORDENES'!$AF941,lista_turnos,0),9)*10000000+IFERROR(MATCH('ORDENES'!$AE941,'TECNICOS'!$B$4:$B$15,0),99)*100000+938,9000000000000+938)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IF('ORDENES'!$T941="preventiva",N945,0)</f>
        <v/>
      </c>
      <c r="P945" s="17">
        <f>IF('ORDENES'!$T941="correctiva",N945,0)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IF(AND(IF($B$3="(todos)",TRUE,'ORDENES'!$O942=$B$3),IF($D$3="(todos)",TRUE,'ORDENES'!$AF942=$D$3),IF($F$3="(todos)",TRUE,'ORDENES'!$X942=$F$3),IF($H$3="(todos)",TRUE,'ORDENES'!$W942=$H$3),'ORDENES'!$AD942=TRUE,'ORDENES'!$A942&lt;&gt;""),1,0)</f>
        <v/>
      </c>
      <c r="L946" s="3">
        <f>IF(K946=1,IFERROR(MATCH('ORDENES'!$R942,lista_dias,0),9)*1000000000+IFERROR(MATCH('ORDENES'!$AF942,lista_turnos,0),9)*10000000+IFERROR(MATCH('ORDENES'!$AE942,'TECNICOS'!$B$4:$B$15,0),99)*100000+939,9000000000000+939)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IF('ORDENES'!$T942="preventiva",N946,0)</f>
        <v/>
      </c>
      <c r="P946" s="17">
        <f>IF('ORDENES'!$T942="correctiva",N946,0)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IF(AND(IF($B$3="(todos)",TRUE,'ORDENES'!$O943=$B$3),IF($D$3="(todos)",TRUE,'ORDENES'!$AF943=$D$3),IF($F$3="(todos)",TRUE,'ORDENES'!$X943=$F$3),IF($H$3="(todos)",TRUE,'ORDENES'!$W943=$H$3),'ORDENES'!$AD943=TRUE,'ORDENES'!$A943&lt;&gt;""),1,0)</f>
        <v/>
      </c>
      <c r="L947" s="3">
        <f>IF(K947=1,IFERROR(MATCH('ORDENES'!$R943,lista_dias,0),9)*1000000000+IFERROR(MATCH('ORDENES'!$AF943,lista_turnos,0),9)*10000000+IFERROR(MATCH('ORDENES'!$AE943,'TECNICOS'!$B$4:$B$15,0),99)*100000+940,9000000000000+940)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IF('ORDENES'!$T943="preventiva",N947,0)</f>
        <v/>
      </c>
      <c r="P947" s="17">
        <f>IF('ORDENES'!$T943="correctiva",N947,0)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IF(AND(IF($B$3="(todos)",TRUE,'ORDENES'!$O944=$B$3),IF($D$3="(todos)",TRUE,'ORDENES'!$AF944=$D$3),IF($F$3="(todos)",TRUE,'ORDENES'!$X944=$F$3),IF($H$3="(todos)",TRUE,'ORDENES'!$W944=$H$3),'ORDENES'!$AD944=TRUE,'ORDENES'!$A944&lt;&gt;""),1,0)</f>
        <v/>
      </c>
      <c r="L948" s="3">
        <f>IF(K948=1,IFERROR(MATCH('ORDENES'!$R944,lista_dias,0),9)*1000000000+IFERROR(MATCH('ORDENES'!$AF944,lista_turnos,0),9)*10000000+IFERROR(MATCH('ORDENES'!$AE944,'TECNICOS'!$B$4:$B$15,0),99)*100000+941,9000000000000+941)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IF('ORDENES'!$T944="preventiva",N948,0)</f>
        <v/>
      </c>
      <c r="P948" s="17">
        <f>IF('ORDENES'!$T944="correctiva",N948,0)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IF(AND(IF($B$3="(todos)",TRUE,'ORDENES'!$O945=$B$3),IF($D$3="(todos)",TRUE,'ORDENES'!$AF945=$D$3),IF($F$3="(todos)",TRUE,'ORDENES'!$X945=$F$3),IF($H$3="(todos)",TRUE,'ORDENES'!$W945=$H$3),'ORDENES'!$AD945=TRUE,'ORDENES'!$A945&lt;&gt;""),1,0)</f>
        <v/>
      </c>
      <c r="L949" s="3">
        <f>IF(K949=1,IFERROR(MATCH('ORDENES'!$R945,lista_dias,0),9)*1000000000+IFERROR(MATCH('ORDENES'!$AF945,lista_turnos,0),9)*10000000+IFERROR(MATCH('ORDENES'!$AE945,'TECNICOS'!$B$4:$B$15,0),99)*100000+942,9000000000000+942)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IF('ORDENES'!$T945="preventiva",N949,0)</f>
        <v/>
      </c>
      <c r="P949" s="17">
        <f>IF('ORDENES'!$T945="correctiva",N949,0)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IF(AND(IF($B$3="(todos)",TRUE,'ORDENES'!$O946=$B$3),IF($D$3="(todos)",TRUE,'ORDENES'!$AF946=$D$3),IF($F$3="(todos)",TRUE,'ORDENES'!$X946=$F$3),IF($H$3="(todos)",TRUE,'ORDENES'!$W946=$H$3),'ORDENES'!$AD946=TRUE,'ORDENES'!$A946&lt;&gt;""),1,0)</f>
        <v/>
      </c>
      <c r="L950" s="3">
        <f>IF(K950=1,IFERROR(MATCH('ORDENES'!$R946,lista_dias,0),9)*1000000000+IFERROR(MATCH('ORDENES'!$AF946,lista_turnos,0),9)*10000000+IFERROR(MATCH('ORDENES'!$AE946,'TECNICOS'!$B$4:$B$15,0),99)*100000+943,9000000000000+943)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IF('ORDENES'!$T946="preventiva",N950,0)</f>
        <v/>
      </c>
      <c r="P950" s="17">
        <f>IF('ORDENES'!$T946="correctiva",N950,0)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IF(AND(IF($B$3="(todos)",TRUE,'ORDENES'!$O947=$B$3),IF($D$3="(todos)",TRUE,'ORDENES'!$AF947=$D$3),IF($F$3="(todos)",TRUE,'ORDENES'!$X947=$F$3),IF($H$3="(todos)",TRUE,'ORDENES'!$W947=$H$3),'ORDENES'!$AD947=TRUE,'ORDENES'!$A947&lt;&gt;""),1,0)</f>
        <v/>
      </c>
      <c r="L951" s="3">
        <f>IF(K951=1,IFERROR(MATCH('ORDENES'!$R947,lista_dias,0),9)*1000000000+IFERROR(MATCH('ORDENES'!$AF947,lista_turnos,0),9)*10000000+IFERROR(MATCH('ORDENES'!$AE947,'TECNICOS'!$B$4:$B$15,0),99)*100000+944,9000000000000+944)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IF('ORDENES'!$T947="preventiva",N951,0)</f>
        <v/>
      </c>
      <c r="P951" s="17">
        <f>IF('ORDENES'!$T947="correctiva",N951,0)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IF(AND(IF($B$3="(todos)",TRUE,'ORDENES'!$O948=$B$3),IF($D$3="(todos)",TRUE,'ORDENES'!$AF948=$D$3),IF($F$3="(todos)",TRUE,'ORDENES'!$X948=$F$3),IF($H$3="(todos)",TRUE,'ORDENES'!$W948=$H$3),'ORDENES'!$AD948=TRUE,'ORDENES'!$A948&lt;&gt;""),1,0)</f>
        <v/>
      </c>
      <c r="L952" s="3">
        <f>IF(K952=1,IFERROR(MATCH('ORDENES'!$R948,lista_dias,0),9)*1000000000+IFERROR(MATCH('ORDENES'!$AF948,lista_turnos,0),9)*10000000+IFERROR(MATCH('ORDENES'!$AE948,'TECNICOS'!$B$4:$B$15,0),99)*100000+945,9000000000000+945)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IF('ORDENES'!$T948="preventiva",N952,0)</f>
        <v/>
      </c>
      <c r="P952" s="17">
        <f>IF('ORDENES'!$T948="correctiva",N952,0)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IF(AND(IF($B$3="(todos)",TRUE,'ORDENES'!$O949=$B$3),IF($D$3="(todos)",TRUE,'ORDENES'!$AF949=$D$3),IF($F$3="(todos)",TRUE,'ORDENES'!$X949=$F$3),IF($H$3="(todos)",TRUE,'ORDENES'!$W949=$H$3),'ORDENES'!$AD949=TRUE,'ORDENES'!$A949&lt;&gt;""),1,0)</f>
        <v/>
      </c>
      <c r="L953" s="3">
        <f>IF(K953=1,IFERROR(MATCH('ORDENES'!$R949,lista_dias,0),9)*1000000000+IFERROR(MATCH('ORDENES'!$AF949,lista_turnos,0),9)*10000000+IFERROR(MATCH('ORDENES'!$AE949,'TECNICOS'!$B$4:$B$15,0),99)*100000+946,9000000000000+946)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IF('ORDENES'!$T949="preventiva",N953,0)</f>
        <v/>
      </c>
      <c r="P953" s="17">
        <f>IF('ORDENES'!$T949="correctiva",N953,0)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IF(AND(IF($B$3="(todos)",TRUE,'ORDENES'!$O950=$B$3),IF($D$3="(todos)",TRUE,'ORDENES'!$AF950=$D$3),IF($F$3="(todos)",TRUE,'ORDENES'!$X950=$F$3),IF($H$3="(todos)",TRUE,'ORDENES'!$W950=$H$3),'ORDENES'!$AD950=TRUE,'ORDENES'!$A950&lt;&gt;""),1,0)</f>
        <v/>
      </c>
      <c r="L954" s="3">
        <f>IF(K954=1,IFERROR(MATCH('ORDENES'!$R950,lista_dias,0),9)*1000000000+IFERROR(MATCH('ORDENES'!$AF950,lista_turnos,0),9)*10000000+IFERROR(MATCH('ORDENES'!$AE950,'TECNICOS'!$B$4:$B$15,0),99)*100000+947,9000000000000+947)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IF('ORDENES'!$T950="preventiva",N954,0)</f>
        <v/>
      </c>
      <c r="P954" s="17">
        <f>IF('ORDENES'!$T950="correctiva",N954,0)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IF(AND(IF($B$3="(todos)",TRUE,'ORDENES'!$O951=$B$3),IF($D$3="(todos)",TRUE,'ORDENES'!$AF951=$D$3),IF($F$3="(todos)",TRUE,'ORDENES'!$X951=$F$3),IF($H$3="(todos)",TRUE,'ORDENES'!$W951=$H$3),'ORDENES'!$AD951=TRUE,'ORDENES'!$A951&lt;&gt;""),1,0)</f>
        <v/>
      </c>
      <c r="L955" s="3">
        <f>IF(K955=1,IFERROR(MATCH('ORDENES'!$R951,lista_dias,0),9)*1000000000+IFERROR(MATCH('ORDENES'!$AF951,lista_turnos,0),9)*10000000+IFERROR(MATCH('ORDENES'!$AE951,'TECNICOS'!$B$4:$B$15,0),99)*100000+948,9000000000000+948)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IF('ORDENES'!$T951="preventiva",N955,0)</f>
        <v/>
      </c>
      <c r="P955" s="17">
        <f>IF('ORDENES'!$T951="correctiva",N955,0)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IF(AND(IF($B$3="(todos)",TRUE,'ORDENES'!$O952=$B$3),IF($D$3="(todos)",TRUE,'ORDENES'!$AF952=$D$3),IF($F$3="(todos)",TRUE,'ORDENES'!$X952=$F$3),IF($H$3="(todos)",TRUE,'ORDENES'!$W952=$H$3),'ORDENES'!$AD952=TRUE,'ORDENES'!$A952&lt;&gt;""),1,0)</f>
        <v/>
      </c>
      <c r="L956" s="3">
        <f>IF(K956=1,IFERROR(MATCH('ORDENES'!$R952,lista_dias,0),9)*1000000000+IFERROR(MATCH('ORDENES'!$AF952,lista_turnos,0),9)*10000000+IFERROR(MATCH('ORDENES'!$AE952,'TECNICOS'!$B$4:$B$15,0),99)*100000+949,9000000000000+949)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IF('ORDENES'!$T952="preventiva",N956,0)</f>
        <v/>
      </c>
      <c r="P956" s="17">
        <f>IF('ORDENES'!$T952="correctiva",N956,0)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IF(AND(IF($B$3="(todos)",TRUE,'ORDENES'!$O953=$B$3),IF($D$3="(todos)",TRUE,'ORDENES'!$AF953=$D$3),IF($F$3="(todos)",TRUE,'ORDENES'!$X953=$F$3),IF($H$3="(todos)",TRUE,'ORDENES'!$W953=$H$3),'ORDENES'!$AD953=TRUE,'ORDENES'!$A953&lt;&gt;""),1,0)</f>
        <v/>
      </c>
      <c r="L957" s="3">
        <f>IF(K957=1,IFERROR(MATCH('ORDENES'!$R953,lista_dias,0),9)*1000000000+IFERROR(MATCH('ORDENES'!$AF953,lista_turnos,0),9)*10000000+IFERROR(MATCH('ORDENES'!$AE953,'TECNICOS'!$B$4:$B$15,0),99)*100000+950,9000000000000+950)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IF('ORDENES'!$T953="preventiva",N957,0)</f>
        <v/>
      </c>
      <c r="P957" s="17">
        <f>IF('ORDENES'!$T953="correctiva",N957,0)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IF(AND(IF($B$3="(todos)",TRUE,'ORDENES'!$O954=$B$3),IF($D$3="(todos)",TRUE,'ORDENES'!$AF954=$D$3),IF($F$3="(todos)",TRUE,'ORDENES'!$X954=$F$3),IF($H$3="(todos)",TRUE,'ORDENES'!$W954=$H$3),'ORDENES'!$AD954=TRUE,'ORDENES'!$A954&lt;&gt;""),1,0)</f>
        <v/>
      </c>
      <c r="L958" s="3">
        <f>IF(K958=1,IFERROR(MATCH('ORDENES'!$R954,lista_dias,0),9)*1000000000+IFERROR(MATCH('ORDENES'!$AF954,lista_turnos,0),9)*10000000+IFERROR(MATCH('ORDENES'!$AE954,'TECNICOS'!$B$4:$B$15,0),99)*100000+951,9000000000000+951)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IF('ORDENES'!$T954="preventiva",N958,0)</f>
        <v/>
      </c>
      <c r="P958" s="17">
        <f>IF('ORDENES'!$T954="correctiva",N958,0)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IF(AND(IF($B$3="(todos)",TRUE,'ORDENES'!$O955=$B$3),IF($D$3="(todos)",TRUE,'ORDENES'!$AF955=$D$3),IF($F$3="(todos)",TRUE,'ORDENES'!$X955=$F$3),IF($H$3="(todos)",TRUE,'ORDENES'!$W955=$H$3),'ORDENES'!$AD955=TRUE,'ORDENES'!$A955&lt;&gt;""),1,0)</f>
        <v/>
      </c>
      <c r="L959" s="3">
        <f>IF(K959=1,IFERROR(MATCH('ORDENES'!$R955,lista_dias,0),9)*1000000000+IFERROR(MATCH('ORDENES'!$AF955,lista_turnos,0),9)*10000000+IFERROR(MATCH('ORDENES'!$AE955,'TECNICOS'!$B$4:$B$15,0),99)*100000+952,9000000000000+952)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IF('ORDENES'!$T955="preventiva",N959,0)</f>
        <v/>
      </c>
      <c r="P959" s="17">
        <f>IF('ORDENES'!$T955="correctiva",N959,0)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IF(AND(IF($B$3="(todos)",TRUE,'ORDENES'!$O956=$B$3),IF($D$3="(todos)",TRUE,'ORDENES'!$AF956=$D$3),IF($F$3="(todos)",TRUE,'ORDENES'!$X956=$F$3),IF($H$3="(todos)",TRUE,'ORDENES'!$W956=$H$3),'ORDENES'!$AD956=TRUE,'ORDENES'!$A956&lt;&gt;""),1,0)</f>
        <v/>
      </c>
      <c r="L960" s="3">
        <f>IF(K960=1,IFERROR(MATCH('ORDENES'!$R956,lista_dias,0),9)*1000000000+IFERROR(MATCH('ORDENES'!$AF956,lista_turnos,0),9)*10000000+IFERROR(MATCH('ORDENES'!$AE956,'TECNICOS'!$B$4:$B$15,0),99)*100000+953,9000000000000+953)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IF('ORDENES'!$T956="preventiva",N960,0)</f>
        <v/>
      </c>
      <c r="P960" s="17">
        <f>IF('ORDENES'!$T956="correctiva",N960,0)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IF(AND(IF($B$3="(todos)",TRUE,'ORDENES'!$O957=$B$3),IF($D$3="(todos)",TRUE,'ORDENES'!$AF957=$D$3),IF($F$3="(todos)",TRUE,'ORDENES'!$X957=$F$3),IF($H$3="(todos)",TRUE,'ORDENES'!$W957=$H$3),'ORDENES'!$AD957=TRUE,'ORDENES'!$A957&lt;&gt;""),1,0)</f>
        <v/>
      </c>
      <c r="L961" s="3">
        <f>IF(K961=1,IFERROR(MATCH('ORDENES'!$R957,lista_dias,0),9)*1000000000+IFERROR(MATCH('ORDENES'!$AF957,lista_turnos,0),9)*10000000+IFERROR(MATCH('ORDENES'!$AE957,'TECNICOS'!$B$4:$B$15,0),99)*100000+954,9000000000000+954)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IF('ORDENES'!$T957="preventiva",N961,0)</f>
        <v/>
      </c>
      <c r="P961" s="17">
        <f>IF('ORDENES'!$T957="correctiva",N961,0)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IF(AND(IF($B$3="(todos)",TRUE,'ORDENES'!$O958=$B$3),IF($D$3="(todos)",TRUE,'ORDENES'!$AF958=$D$3),IF($F$3="(todos)",TRUE,'ORDENES'!$X958=$F$3),IF($H$3="(todos)",TRUE,'ORDENES'!$W958=$H$3),'ORDENES'!$AD958=TRUE,'ORDENES'!$A958&lt;&gt;""),1,0)</f>
        <v/>
      </c>
      <c r="L962" s="3">
        <f>IF(K962=1,IFERROR(MATCH('ORDENES'!$R958,lista_dias,0),9)*1000000000+IFERROR(MATCH('ORDENES'!$AF958,lista_turnos,0),9)*10000000+IFERROR(MATCH('ORDENES'!$AE958,'TECNICOS'!$B$4:$B$15,0),99)*100000+955,9000000000000+955)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IF('ORDENES'!$T958="preventiva",N962,0)</f>
        <v/>
      </c>
      <c r="P962" s="17">
        <f>IF('ORDENES'!$T958="correctiva",N962,0)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IF(AND(IF($B$3="(todos)",TRUE,'ORDENES'!$O959=$B$3),IF($D$3="(todos)",TRUE,'ORDENES'!$AF959=$D$3),IF($F$3="(todos)",TRUE,'ORDENES'!$X959=$F$3),IF($H$3="(todos)",TRUE,'ORDENES'!$W959=$H$3),'ORDENES'!$AD959=TRUE,'ORDENES'!$A959&lt;&gt;""),1,0)</f>
        <v/>
      </c>
      <c r="L963" s="3">
        <f>IF(K963=1,IFERROR(MATCH('ORDENES'!$R959,lista_dias,0),9)*1000000000+IFERROR(MATCH('ORDENES'!$AF959,lista_turnos,0),9)*10000000+IFERROR(MATCH('ORDENES'!$AE959,'TECNICOS'!$B$4:$B$15,0),99)*100000+956,9000000000000+956)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IF('ORDENES'!$T959="preventiva",N963,0)</f>
        <v/>
      </c>
      <c r="P963" s="17">
        <f>IF('ORDENES'!$T959="correctiva",N963,0)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IF(AND(IF($B$3="(todos)",TRUE,'ORDENES'!$O960=$B$3),IF($D$3="(todos)",TRUE,'ORDENES'!$AF960=$D$3),IF($F$3="(todos)",TRUE,'ORDENES'!$X960=$F$3),IF($H$3="(todos)",TRUE,'ORDENES'!$W960=$H$3),'ORDENES'!$AD960=TRUE,'ORDENES'!$A960&lt;&gt;""),1,0)</f>
        <v/>
      </c>
      <c r="L964" s="3">
        <f>IF(K964=1,IFERROR(MATCH('ORDENES'!$R960,lista_dias,0),9)*1000000000+IFERROR(MATCH('ORDENES'!$AF960,lista_turnos,0),9)*10000000+IFERROR(MATCH('ORDENES'!$AE960,'TECNICOS'!$B$4:$B$15,0),99)*100000+957,9000000000000+957)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IF('ORDENES'!$T960="preventiva",N964,0)</f>
        <v/>
      </c>
      <c r="P964" s="17">
        <f>IF('ORDENES'!$T960="correctiva",N964,0)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IF(AND(IF($B$3="(todos)",TRUE,'ORDENES'!$O961=$B$3),IF($D$3="(todos)",TRUE,'ORDENES'!$AF961=$D$3),IF($F$3="(todos)",TRUE,'ORDENES'!$X961=$F$3),IF($H$3="(todos)",TRUE,'ORDENES'!$W961=$H$3),'ORDENES'!$AD961=TRUE,'ORDENES'!$A961&lt;&gt;""),1,0)</f>
        <v/>
      </c>
      <c r="L965" s="3">
        <f>IF(K965=1,IFERROR(MATCH('ORDENES'!$R961,lista_dias,0),9)*1000000000+IFERROR(MATCH('ORDENES'!$AF961,lista_turnos,0),9)*10000000+IFERROR(MATCH('ORDENES'!$AE961,'TECNICOS'!$B$4:$B$15,0),99)*100000+958,9000000000000+958)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IF('ORDENES'!$T961="preventiva",N965,0)</f>
        <v/>
      </c>
      <c r="P965" s="17">
        <f>IF('ORDENES'!$T961="correctiva",N965,0)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IF(AND(IF($B$3="(todos)",TRUE,'ORDENES'!$O962=$B$3),IF($D$3="(todos)",TRUE,'ORDENES'!$AF962=$D$3),IF($F$3="(todos)",TRUE,'ORDENES'!$X962=$F$3),IF($H$3="(todos)",TRUE,'ORDENES'!$W962=$H$3),'ORDENES'!$AD962=TRUE,'ORDENES'!$A962&lt;&gt;""),1,0)</f>
        <v/>
      </c>
      <c r="L966" s="3">
        <f>IF(K966=1,IFERROR(MATCH('ORDENES'!$R962,lista_dias,0),9)*1000000000+IFERROR(MATCH('ORDENES'!$AF962,lista_turnos,0),9)*10000000+IFERROR(MATCH('ORDENES'!$AE962,'TECNICOS'!$B$4:$B$15,0),99)*100000+959,9000000000000+959)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IF('ORDENES'!$T962="preventiva",N966,0)</f>
        <v/>
      </c>
      <c r="P966" s="17">
        <f>IF('ORDENES'!$T962="correctiva",N966,0)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IF(AND(IF($B$3="(todos)",TRUE,'ORDENES'!$O963=$B$3),IF($D$3="(todos)",TRUE,'ORDENES'!$AF963=$D$3),IF($F$3="(todos)",TRUE,'ORDENES'!$X963=$F$3),IF($H$3="(todos)",TRUE,'ORDENES'!$W963=$H$3),'ORDENES'!$AD963=TRUE,'ORDENES'!$A963&lt;&gt;""),1,0)</f>
        <v/>
      </c>
      <c r="L967" s="3">
        <f>IF(K967=1,IFERROR(MATCH('ORDENES'!$R963,lista_dias,0),9)*1000000000+IFERROR(MATCH('ORDENES'!$AF963,lista_turnos,0),9)*10000000+IFERROR(MATCH('ORDENES'!$AE963,'TECNICOS'!$B$4:$B$15,0),99)*100000+960,9000000000000+960)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IF('ORDENES'!$T963="preventiva",N967,0)</f>
        <v/>
      </c>
      <c r="P967" s="17">
        <f>IF('ORDENES'!$T963="correctiva",N967,0)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IF(AND(IF($B$3="(todos)",TRUE,'ORDENES'!$O964=$B$3),IF($D$3="(todos)",TRUE,'ORDENES'!$AF964=$D$3),IF($F$3="(todos)",TRUE,'ORDENES'!$X964=$F$3),IF($H$3="(todos)",TRUE,'ORDENES'!$W964=$H$3),'ORDENES'!$AD964=TRUE,'ORDENES'!$A964&lt;&gt;""),1,0)</f>
        <v/>
      </c>
      <c r="L968" s="3">
        <f>IF(K968=1,IFERROR(MATCH('ORDENES'!$R964,lista_dias,0),9)*1000000000+IFERROR(MATCH('ORDENES'!$AF964,lista_turnos,0),9)*10000000+IFERROR(MATCH('ORDENES'!$AE964,'TECNICOS'!$B$4:$B$15,0),99)*100000+961,9000000000000+961)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IF('ORDENES'!$T964="preventiva",N968,0)</f>
        <v/>
      </c>
      <c r="P968" s="17">
        <f>IF('ORDENES'!$T964="correctiva",N968,0)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IF(AND(IF($B$3="(todos)",TRUE,'ORDENES'!$O965=$B$3),IF($D$3="(todos)",TRUE,'ORDENES'!$AF965=$D$3),IF($F$3="(todos)",TRUE,'ORDENES'!$X965=$F$3),IF($H$3="(todos)",TRUE,'ORDENES'!$W965=$H$3),'ORDENES'!$AD965=TRUE,'ORDENES'!$A965&lt;&gt;""),1,0)</f>
        <v/>
      </c>
      <c r="L969" s="3">
        <f>IF(K969=1,IFERROR(MATCH('ORDENES'!$R965,lista_dias,0),9)*1000000000+IFERROR(MATCH('ORDENES'!$AF965,lista_turnos,0),9)*10000000+IFERROR(MATCH('ORDENES'!$AE965,'TECNICOS'!$B$4:$B$15,0),99)*100000+962,9000000000000+962)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IF('ORDENES'!$T965="preventiva",N969,0)</f>
        <v/>
      </c>
      <c r="P969" s="17">
        <f>IF('ORDENES'!$T965="correctiva",N969,0)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IF(AND(IF($B$3="(todos)",TRUE,'ORDENES'!$O966=$B$3),IF($D$3="(todos)",TRUE,'ORDENES'!$AF966=$D$3),IF($F$3="(todos)",TRUE,'ORDENES'!$X966=$F$3),IF($H$3="(todos)",TRUE,'ORDENES'!$W966=$H$3),'ORDENES'!$AD966=TRUE,'ORDENES'!$A966&lt;&gt;""),1,0)</f>
        <v/>
      </c>
      <c r="L970" s="3">
        <f>IF(K970=1,IFERROR(MATCH('ORDENES'!$R966,lista_dias,0),9)*1000000000+IFERROR(MATCH('ORDENES'!$AF966,lista_turnos,0),9)*10000000+IFERROR(MATCH('ORDENES'!$AE966,'TECNICOS'!$B$4:$B$15,0),99)*100000+963,9000000000000+963)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IF('ORDENES'!$T966="preventiva",N970,0)</f>
        <v/>
      </c>
      <c r="P970" s="17">
        <f>IF('ORDENES'!$T966="correctiva",N970,0)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IF(AND(IF($B$3="(todos)",TRUE,'ORDENES'!$O967=$B$3),IF($D$3="(todos)",TRUE,'ORDENES'!$AF967=$D$3),IF($F$3="(todos)",TRUE,'ORDENES'!$X967=$F$3),IF($H$3="(todos)",TRUE,'ORDENES'!$W967=$H$3),'ORDENES'!$AD967=TRUE,'ORDENES'!$A967&lt;&gt;""),1,0)</f>
        <v/>
      </c>
      <c r="L971" s="3">
        <f>IF(K971=1,IFERROR(MATCH('ORDENES'!$R967,lista_dias,0),9)*1000000000+IFERROR(MATCH('ORDENES'!$AF967,lista_turnos,0),9)*10000000+IFERROR(MATCH('ORDENES'!$AE967,'TECNICOS'!$B$4:$B$15,0),99)*100000+964,9000000000000+964)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IF('ORDENES'!$T967="preventiva",N971,0)</f>
        <v/>
      </c>
      <c r="P971" s="17">
        <f>IF('ORDENES'!$T967="correctiva",N971,0)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IF(AND(IF($B$3="(todos)",TRUE,'ORDENES'!$O968=$B$3),IF($D$3="(todos)",TRUE,'ORDENES'!$AF968=$D$3),IF($F$3="(todos)",TRUE,'ORDENES'!$X968=$F$3),IF($H$3="(todos)",TRUE,'ORDENES'!$W968=$H$3),'ORDENES'!$AD968=TRUE,'ORDENES'!$A968&lt;&gt;""),1,0)</f>
        <v/>
      </c>
      <c r="L972" s="3">
        <f>IF(K972=1,IFERROR(MATCH('ORDENES'!$R968,lista_dias,0),9)*1000000000+IFERROR(MATCH('ORDENES'!$AF968,lista_turnos,0),9)*10000000+IFERROR(MATCH('ORDENES'!$AE968,'TECNICOS'!$B$4:$B$15,0),99)*100000+965,9000000000000+965)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IF('ORDENES'!$T968="preventiva",N972,0)</f>
        <v/>
      </c>
      <c r="P972" s="17">
        <f>IF('ORDENES'!$T968="correctiva",N972,0)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IF(AND(IF($B$3="(todos)",TRUE,'ORDENES'!$O969=$B$3),IF($D$3="(todos)",TRUE,'ORDENES'!$AF969=$D$3),IF($F$3="(todos)",TRUE,'ORDENES'!$X969=$F$3),IF($H$3="(todos)",TRUE,'ORDENES'!$W969=$H$3),'ORDENES'!$AD969=TRUE,'ORDENES'!$A969&lt;&gt;""),1,0)</f>
        <v/>
      </c>
      <c r="L973" s="3">
        <f>IF(K973=1,IFERROR(MATCH('ORDENES'!$R969,lista_dias,0),9)*1000000000+IFERROR(MATCH('ORDENES'!$AF969,lista_turnos,0),9)*10000000+IFERROR(MATCH('ORDENES'!$AE969,'TECNICOS'!$B$4:$B$15,0),99)*100000+966,9000000000000+966)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IF('ORDENES'!$T969="preventiva",N973,0)</f>
        <v/>
      </c>
      <c r="P973" s="17">
        <f>IF('ORDENES'!$T969="correctiva",N973,0)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IF(AND(IF($B$3="(todos)",TRUE,'ORDENES'!$O970=$B$3),IF($D$3="(todos)",TRUE,'ORDENES'!$AF970=$D$3),IF($F$3="(todos)",TRUE,'ORDENES'!$X970=$F$3),IF($H$3="(todos)",TRUE,'ORDENES'!$W970=$H$3),'ORDENES'!$AD970=TRUE,'ORDENES'!$A970&lt;&gt;""),1,0)</f>
        <v/>
      </c>
      <c r="L974" s="3">
        <f>IF(K974=1,IFERROR(MATCH('ORDENES'!$R970,lista_dias,0),9)*1000000000+IFERROR(MATCH('ORDENES'!$AF970,lista_turnos,0),9)*10000000+IFERROR(MATCH('ORDENES'!$AE970,'TECNICOS'!$B$4:$B$15,0),99)*100000+967,9000000000000+967)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IF('ORDENES'!$T970="preventiva",N974,0)</f>
        <v/>
      </c>
      <c r="P974" s="17">
        <f>IF('ORDENES'!$T970="correctiva",N974,0)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IF(AND(IF($B$3="(todos)",TRUE,'ORDENES'!$O971=$B$3),IF($D$3="(todos)",TRUE,'ORDENES'!$AF971=$D$3),IF($F$3="(todos)",TRUE,'ORDENES'!$X971=$F$3),IF($H$3="(todos)",TRUE,'ORDENES'!$W971=$H$3),'ORDENES'!$AD971=TRUE,'ORDENES'!$A971&lt;&gt;""),1,0)</f>
        <v/>
      </c>
      <c r="L975" s="3">
        <f>IF(K975=1,IFERROR(MATCH('ORDENES'!$R971,lista_dias,0),9)*1000000000+IFERROR(MATCH('ORDENES'!$AF971,lista_turnos,0),9)*10000000+IFERROR(MATCH('ORDENES'!$AE971,'TECNICOS'!$B$4:$B$15,0),99)*100000+968,9000000000000+968)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IF('ORDENES'!$T971="preventiva",N975,0)</f>
        <v/>
      </c>
      <c r="P975" s="17">
        <f>IF('ORDENES'!$T971="correctiva",N975,0)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IF(AND(IF($B$3="(todos)",TRUE,'ORDENES'!$O972=$B$3),IF($D$3="(todos)",TRUE,'ORDENES'!$AF972=$D$3),IF($F$3="(todos)",TRUE,'ORDENES'!$X972=$F$3),IF($H$3="(todos)",TRUE,'ORDENES'!$W972=$H$3),'ORDENES'!$AD972=TRUE,'ORDENES'!$A972&lt;&gt;""),1,0)</f>
        <v/>
      </c>
      <c r="L976" s="3">
        <f>IF(K976=1,IFERROR(MATCH('ORDENES'!$R972,lista_dias,0),9)*1000000000+IFERROR(MATCH('ORDENES'!$AF972,lista_turnos,0),9)*10000000+IFERROR(MATCH('ORDENES'!$AE972,'TECNICOS'!$B$4:$B$15,0),99)*100000+969,9000000000000+969)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IF('ORDENES'!$T972="preventiva",N976,0)</f>
        <v/>
      </c>
      <c r="P976" s="17">
        <f>IF('ORDENES'!$T972="correctiva",N976,0)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IF(AND(IF($B$3="(todos)",TRUE,'ORDENES'!$O973=$B$3),IF($D$3="(todos)",TRUE,'ORDENES'!$AF973=$D$3),IF($F$3="(todos)",TRUE,'ORDENES'!$X973=$F$3),IF($H$3="(todos)",TRUE,'ORDENES'!$W973=$H$3),'ORDENES'!$AD973=TRUE,'ORDENES'!$A973&lt;&gt;""),1,0)</f>
        <v/>
      </c>
      <c r="L977" s="3">
        <f>IF(K977=1,IFERROR(MATCH('ORDENES'!$R973,lista_dias,0),9)*1000000000+IFERROR(MATCH('ORDENES'!$AF973,lista_turnos,0),9)*10000000+IFERROR(MATCH('ORDENES'!$AE973,'TECNICOS'!$B$4:$B$15,0),99)*100000+970,9000000000000+970)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IF('ORDENES'!$T973="preventiva",N977,0)</f>
        <v/>
      </c>
      <c r="P977" s="17">
        <f>IF('ORDENES'!$T973="correctiva",N977,0)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IF(AND(IF($B$3="(todos)",TRUE,'ORDENES'!$O974=$B$3),IF($D$3="(todos)",TRUE,'ORDENES'!$AF974=$D$3),IF($F$3="(todos)",TRUE,'ORDENES'!$X974=$F$3),IF($H$3="(todos)",TRUE,'ORDENES'!$W974=$H$3),'ORDENES'!$AD974=TRUE,'ORDENES'!$A974&lt;&gt;""),1,0)</f>
        <v/>
      </c>
      <c r="L978" s="3">
        <f>IF(K978=1,IFERROR(MATCH('ORDENES'!$R974,lista_dias,0),9)*1000000000+IFERROR(MATCH('ORDENES'!$AF974,lista_turnos,0),9)*10000000+IFERROR(MATCH('ORDENES'!$AE974,'TECNICOS'!$B$4:$B$15,0),99)*100000+971,9000000000000+971)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IF('ORDENES'!$T974="preventiva",N978,0)</f>
        <v/>
      </c>
      <c r="P978" s="17">
        <f>IF('ORDENES'!$T974="correctiva",N978,0)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IF(AND(IF($B$3="(todos)",TRUE,'ORDENES'!$O975=$B$3),IF($D$3="(todos)",TRUE,'ORDENES'!$AF975=$D$3),IF($F$3="(todos)",TRUE,'ORDENES'!$X975=$F$3),IF($H$3="(todos)",TRUE,'ORDENES'!$W975=$H$3),'ORDENES'!$AD975=TRUE,'ORDENES'!$A975&lt;&gt;""),1,0)</f>
        <v/>
      </c>
      <c r="L979" s="3">
        <f>IF(K979=1,IFERROR(MATCH('ORDENES'!$R975,lista_dias,0),9)*1000000000+IFERROR(MATCH('ORDENES'!$AF975,lista_turnos,0),9)*10000000+IFERROR(MATCH('ORDENES'!$AE975,'TECNICOS'!$B$4:$B$15,0),99)*100000+972,9000000000000+972)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IF('ORDENES'!$T975="preventiva",N979,0)</f>
        <v/>
      </c>
      <c r="P979" s="17">
        <f>IF('ORDENES'!$T975="correctiva",N979,0)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IF(AND(IF($B$3="(todos)",TRUE,'ORDENES'!$O976=$B$3),IF($D$3="(todos)",TRUE,'ORDENES'!$AF976=$D$3),IF($F$3="(todos)",TRUE,'ORDENES'!$X976=$F$3),IF($H$3="(todos)",TRUE,'ORDENES'!$W976=$H$3),'ORDENES'!$AD976=TRUE,'ORDENES'!$A976&lt;&gt;""),1,0)</f>
        <v/>
      </c>
      <c r="L980" s="3">
        <f>IF(K980=1,IFERROR(MATCH('ORDENES'!$R976,lista_dias,0),9)*1000000000+IFERROR(MATCH('ORDENES'!$AF976,lista_turnos,0),9)*10000000+IFERROR(MATCH('ORDENES'!$AE976,'TECNICOS'!$B$4:$B$15,0),99)*100000+973,9000000000000+973)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IF('ORDENES'!$T976="preventiva",N980,0)</f>
        <v/>
      </c>
      <c r="P980" s="17">
        <f>IF('ORDENES'!$T976="correctiva",N980,0)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IF(AND(IF($B$3="(todos)",TRUE,'ORDENES'!$O977=$B$3),IF($D$3="(todos)",TRUE,'ORDENES'!$AF977=$D$3),IF($F$3="(todos)",TRUE,'ORDENES'!$X977=$F$3),IF($H$3="(todos)",TRUE,'ORDENES'!$W977=$H$3),'ORDENES'!$AD977=TRUE,'ORDENES'!$A977&lt;&gt;""),1,0)</f>
        <v/>
      </c>
      <c r="L981" s="3">
        <f>IF(K981=1,IFERROR(MATCH('ORDENES'!$R977,lista_dias,0),9)*1000000000+IFERROR(MATCH('ORDENES'!$AF977,lista_turnos,0),9)*10000000+IFERROR(MATCH('ORDENES'!$AE977,'TECNICOS'!$B$4:$B$15,0),99)*100000+974,9000000000000+974)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IF('ORDENES'!$T977="preventiva",N981,0)</f>
        <v/>
      </c>
      <c r="P981" s="17">
        <f>IF('ORDENES'!$T977="correctiva",N981,0)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IF(AND(IF($B$3="(todos)",TRUE,'ORDENES'!$O978=$B$3),IF($D$3="(todos)",TRUE,'ORDENES'!$AF978=$D$3),IF($F$3="(todos)",TRUE,'ORDENES'!$X978=$F$3),IF($H$3="(todos)",TRUE,'ORDENES'!$W978=$H$3),'ORDENES'!$AD978=TRUE,'ORDENES'!$A978&lt;&gt;""),1,0)</f>
        <v/>
      </c>
      <c r="L982" s="3">
        <f>IF(K982=1,IFERROR(MATCH('ORDENES'!$R978,lista_dias,0),9)*1000000000+IFERROR(MATCH('ORDENES'!$AF978,lista_turnos,0),9)*10000000+IFERROR(MATCH('ORDENES'!$AE978,'TECNICOS'!$B$4:$B$15,0),99)*100000+975,9000000000000+975)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IF('ORDENES'!$T978="preventiva",N982,0)</f>
        <v/>
      </c>
      <c r="P982" s="17">
        <f>IF('ORDENES'!$T978="correctiva",N982,0)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IF(AND(IF($B$3="(todos)",TRUE,'ORDENES'!$O979=$B$3),IF($D$3="(todos)",TRUE,'ORDENES'!$AF979=$D$3),IF($F$3="(todos)",TRUE,'ORDENES'!$X979=$F$3),IF($H$3="(todos)",TRUE,'ORDENES'!$W979=$H$3),'ORDENES'!$AD979=TRUE,'ORDENES'!$A979&lt;&gt;""),1,0)</f>
        <v/>
      </c>
      <c r="L983" s="3">
        <f>IF(K983=1,IFERROR(MATCH('ORDENES'!$R979,lista_dias,0),9)*1000000000+IFERROR(MATCH('ORDENES'!$AF979,lista_turnos,0),9)*10000000+IFERROR(MATCH('ORDENES'!$AE979,'TECNICOS'!$B$4:$B$15,0),99)*100000+976,9000000000000+976)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IF('ORDENES'!$T979="preventiva",N983,0)</f>
        <v/>
      </c>
      <c r="P983" s="17">
        <f>IF('ORDENES'!$T979="correctiva",N983,0)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IF(AND(IF($B$3="(todos)",TRUE,'ORDENES'!$O980=$B$3),IF($D$3="(todos)",TRUE,'ORDENES'!$AF980=$D$3),IF($F$3="(todos)",TRUE,'ORDENES'!$X980=$F$3),IF($H$3="(todos)",TRUE,'ORDENES'!$W980=$H$3),'ORDENES'!$AD980=TRUE,'ORDENES'!$A980&lt;&gt;""),1,0)</f>
        <v/>
      </c>
      <c r="L984" s="3">
        <f>IF(K984=1,IFERROR(MATCH('ORDENES'!$R980,lista_dias,0),9)*1000000000+IFERROR(MATCH('ORDENES'!$AF980,lista_turnos,0),9)*10000000+IFERROR(MATCH('ORDENES'!$AE980,'TECNICOS'!$B$4:$B$15,0),99)*100000+977,9000000000000+977)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IF('ORDENES'!$T980="preventiva",N984,0)</f>
        <v/>
      </c>
      <c r="P984" s="17">
        <f>IF('ORDENES'!$T980="correctiva",N984,0)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IF(AND(IF($B$3="(todos)",TRUE,'ORDENES'!$O981=$B$3),IF($D$3="(todos)",TRUE,'ORDENES'!$AF981=$D$3),IF($F$3="(todos)",TRUE,'ORDENES'!$X981=$F$3),IF($H$3="(todos)",TRUE,'ORDENES'!$W981=$H$3),'ORDENES'!$AD981=TRUE,'ORDENES'!$A981&lt;&gt;""),1,0)</f>
        <v/>
      </c>
      <c r="L985" s="3">
        <f>IF(K985=1,IFERROR(MATCH('ORDENES'!$R981,lista_dias,0),9)*1000000000+IFERROR(MATCH('ORDENES'!$AF981,lista_turnos,0),9)*10000000+IFERROR(MATCH('ORDENES'!$AE981,'TECNICOS'!$B$4:$B$15,0),99)*100000+978,9000000000000+978)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IF('ORDENES'!$T981="preventiva",N985,0)</f>
        <v/>
      </c>
      <c r="P985" s="17">
        <f>IF('ORDENES'!$T981="correctiva",N985,0)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IF(AND(IF($B$3="(todos)",TRUE,'ORDENES'!$O982=$B$3),IF($D$3="(todos)",TRUE,'ORDENES'!$AF982=$D$3),IF($F$3="(todos)",TRUE,'ORDENES'!$X982=$F$3),IF($H$3="(todos)",TRUE,'ORDENES'!$W982=$H$3),'ORDENES'!$AD982=TRUE,'ORDENES'!$A982&lt;&gt;""),1,0)</f>
        <v/>
      </c>
      <c r="L986" s="3">
        <f>IF(K986=1,IFERROR(MATCH('ORDENES'!$R982,lista_dias,0),9)*1000000000+IFERROR(MATCH('ORDENES'!$AF982,lista_turnos,0),9)*10000000+IFERROR(MATCH('ORDENES'!$AE982,'TECNICOS'!$B$4:$B$15,0),99)*100000+979,9000000000000+979)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IF('ORDENES'!$T982="preventiva",N986,0)</f>
        <v/>
      </c>
      <c r="P986" s="17">
        <f>IF('ORDENES'!$T982="correctiva",N986,0)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IF(AND(IF($B$3="(todos)",TRUE,'ORDENES'!$O983=$B$3),IF($D$3="(todos)",TRUE,'ORDENES'!$AF983=$D$3),IF($F$3="(todos)",TRUE,'ORDENES'!$X983=$F$3),IF($H$3="(todos)",TRUE,'ORDENES'!$W983=$H$3),'ORDENES'!$AD983=TRUE,'ORDENES'!$A983&lt;&gt;""),1,0)</f>
        <v/>
      </c>
      <c r="L987" s="3">
        <f>IF(K987=1,IFERROR(MATCH('ORDENES'!$R983,lista_dias,0),9)*1000000000+IFERROR(MATCH('ORDENES'!$AF983,lista_turnos,0),9)*10000000+IFERROR(MATCH('ORDENES'!$AE983,'TECNICOS'!$B$4:$B$15,0),99)*100000+980,9000000000000+980)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IF('ORDENES'!$T983="preventiva",N987,0)</f>
        <v/>
      </c>
      <c r="P987" s="17">
        <f>IF('ORDENES'!$T983="correctiva",N987,0)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IF(AND(IF($B$3="(todos)",TRUE,'ORDENES'!$O984=$B$3),IF($D$3="(todos)",TRUE,'ORDENES'!$AF984=$D$3),IF($F$3="(todos)",TRUE,'ORDENES'!$X984=$F$3),IF($H$3="(todos)",TRUE,'ORDENES'!$W984=$H$3),'ORDENES'!$AD984=TRUE,'ORDENES'!$A984&lt;&gt;""),1,0)</f>
        <v/>
      </c>
      <c r="L988" s="3">
        <f>IF(K988=1,IFERROR(MATCH('ORDENES'!$R984,lista_dias,0),9)*1000000000+IFERROR(MATCH('ORDENES'!$AF984,lista_turnos,0),9)*10000000+IFERROR(MATCH('ORDENES'!$AE984,'TECNICOS'!$B$4:$B$15,0),99)*100000+981,9000000000000+981)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IF('ORDENES'!$T984="preventiva",N988,0)</f>
        <v/>
      </c>
      <c r="P988" s="17">
        <f>IF('ORDENES'!$T984="correctiva",N988,0)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IF(AND(IF($B$3="(todos)",TRUE,'ORDENES'!$O985=$B$3),IF($D$3="(todos)",TRUE,'ORDENES'!$AF985=$D$3),IF($F$3="(todos)",TRUE,'ORDENES'!$X985=$F$3),IF($H$3="(todos)",TRUE,'ORDENES'!$W985=$H$3),'ORDENES'!$AD985=TRUE,'ORDENES'!$A985&lt;&gt;""),1,0)</f>
        <v/>
      </c>
      <c r="L989" s="3">
        <f>IF(K989=1,IFERROR(MATCH('ORDENES'!$R985,lista_dias,0),9)*1000000000+IFERROR(MATCH('ORDENES'!$AF985,lista_turnos,0),9)*10000000+IFERROR(MATCH('ORDENES'!$AE985,'TECNICOS'!$B$4:$B$15,0),99)*100000+982,9000000000000+982)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IF('ORDENES'!$T985="preventiva",N989,0)</f>
        <v/>
      </c>
      <c r="P989" s="17">
        <f>IF('ORDENES'!$T985="correctiva",N989,0)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IF(AND(IF($B$3="(todos)",TRUE,'ORDENES'!$O986=$B$3),IF($D$3="(todos)",TRUE,'ORDENES'!$AF986=$D$3),IF($F$3="(todos)",TRUE,'ORDENES'!$X986=$F$3),IF($H$3="(todos)",TRUE,'ORDENES'!$W986=$H$3),'ORDENES'!$AD986=TRUE,'ORDENES'!$A986&lt;&gt;""),1,0)</f>
        <v/>
      </c>
      <c r="L990" s="3">
        <f>IF(K990=1,IFERROR(MATCH('ORDENES'!$R986,lista_dias,0),9)*1000000000+IFERROR(MATCH('ORDENES'!$AF986,lista_turnos,0),9)*10000000+IFERROR(MATCH('ORDENES'!$AE986,'TECNICOS'!$B$4:$B$15,0),99)*100000+983,9000000000000+983)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IF('ORDENES'!$T986="preventiva",N990,0)</f>
        <v/>
      </c>
      <c r="P990" s="17">
        <f>IF('ORDENES'!$T986="correctiva",N990,0)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IF(AND(IF($B$3="(todos)",TRUE,'ORDENES'!$O987=$B$3),IF($D$3="(todos)",TRUE,'ORDENES'!$AF987=$D$3),IF($F$3="(todos)",TRUE,'ORDENES'!$X987=$F$3),IF($H$3="(todos)",TRUE,'ORDENES'!$W987=$H$3),'ORDENES'!$AD987=TRUE,'ORDENES'!$A987&lt;&gt;""),1,0)</f>
        <v/>
      </c>
      <c r="L991" s="3">
        <f>IF(K991=1,IFERROR(MATCH('ORDENES'!$R987,lista_dias,0),9)*1000000000+IFERROR(MATCH('ORDENES'!$AF987,lista_turnos,0),9)*10000000+IFERROR(MATCH('ORDENES'!$AE987,'TECNICOS'!$B$4:$B$15,0),99)*100000+984,9000000000000+984)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IF('ORDENES'!$T987="preventiva",N991,0)</f>
        <v/>
      </c>
      <c r="P991" s="17">
        <f>IF('ORDENES'!$T987="correctiva",N991,0)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IF(AND(IF($B$3="(todos)",TRUE,'ORDENES'!$O988=$B$3),IF($D$3="(todos)",TRUE,'ORDENES'!$AF988=$D$3),IF($F$3="(todos)",TRUE,'ORDENES'!$X988=$F$3),IF($H$3="(todos)",TRUE,'ORDENES'!$W988=$H$3),'ORDENES'!$AD988=TRUE,'ORDENES'!$A988&lt;&gt;""),1,0)</f>
        <v/>
      </c>
      <c r="L992" s="3">
        <f>IF(K992=1,IFERROR(MATCH('ORDENES'!$R988,lista_dias,0),9)*1000000000+IFERROR(MATCH('ORDENES'!$AF988,lista_turnos,0),9)*10000000+IFERROR(MATCH('ORDENES'!$AE988,'TECNICOS'!$B$4:$B$15,0),99)*100000+985,9000000000000+985)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IF('ORDENES'!$T988="preventiva",N992,0)</f>
        <v/>
      </c>
      <c r="P992" s="17">
        <f>IF('ORDENES'!$T988="correctiva",N992,0)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IF(AND(IF($B$3="(todos)",TRUE,'ORDENES'!$O989=$B$3),IF($D$3="(todos)",TRUE,'ORDENES'!$AF989=$D$3),IF($F$3="(todos)",TRUE,'ORDENES'!$X989=$F$3),IF($H$3="(todos)",TRUE,'ORDENES'!$W989=$H$3),'ORDENES'!$AD989=TRUE,'ORDENES'!$A989&lt;&gt;""),1,0)</f>
        <v/>
      </c>
      <c r="L993" s="3">
        <f>IF(K993=1,IFERROR(MATCH('ORDENES'!$R989,lista_dias,0),9)*1000000000+IFERROR(MATCH('ORDENES'!$AF989,lista_turnos,0),9)*10000000+IFERROR(MATCH('ORDENES'!$AE989,'TECNICOS'!$B$4:$B$15,0),99)*100000+986,9000000000000+986)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IF('ORDENES'!$T989="preventiva",N993,0)</f>
        <v/>
      </c>
      <c r="P993" s="17">
        <f>IF('ORDENES'!$T989="correctiva",N993,0)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IF(AND(IF($B$3="(todos)",TRUE,'ORDENES'!$O990=$B$3),IF($D$3="(todos)",TRUE,'ORDENES'!$AF990=$D$3),IF($F$3="(todos)",TRUE,'ORDENES'!$X990=$F$3),IF($H$3="(todos)",TRUE,'ORDENES'!$W990=$H$3),'ORDENES'!$AD990=TRUE,'ORDENES'!$A990&lt;&gt;""),1,0)</f>
        <v/>
      </c>
      <c r="L994" s="3">
        <f>IF(K994=1,IFERROR(MATCH('ORDENES'!$R990,lista_dias,0),9)*1000000000+IFERROR(MATCH('ORDENES'!$AF990,lista_turnos,0),9)*10000000+IFERROR(MATCH('ORDENES'!$AE990,'TECNICOS'!$B$4:$B$15,0),99)*100000+987,9000000000000+987)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IF('ORDENES'!$T990="preventiva",N994,0)</f>
        <v/>
      </c>
      <c r="P994" s="17">
        <f>IF('ORDENES'!$T990="correctiva",N994,0)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IF(AND(IF($B$3="(todos)",TRUE,'ORDENES'!$O991=$B$3),IF($D$3="(todos)",TRUE,'ORDENES'!$AF991=$D$3),IF($F$3="(todos)",TRUE,'ORDENES'!$X991=$F$3),IF($H$3="(todos)",TRUE,'ORDENES'!$W991=$H$3),'ORDENES'!$AD991=TRUE,'ORDENES'!$A991&lt;&gt;""),1,0)</f>
        <v/>
      </c>
      <c r="L995" s="3">
        <f>IF(K995=1,IFERROR(MATCH('ORDENES'!$R991,lista_dias,0),9)*1000000000+IFERROR(MATCH('ORDENES'!$AF991,lista_turnos,0),9)*10000000+IFERROR(MATCH('ORDENES'!$AE991,'TECNICOS'!$B$4:$B$15,0),99)*100000+988,9000000000000+988)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IF('ORDENES'!$T991="preventiva",N995,0)</f>
        <v/>
      </c>
      <c r="P995" s="17">
        <f>IF('ORDENES'!$T991="correctiva",N995,0)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IF(AND(IF($B$3="(todos)",TRUE,'ORDENES'!$O992=$B$3),IF($D$3="(todos)",TRUE,'ORDENES'!$AF992=$D$3),IF($F$3="(todos)",TRUE,'ORDENES'!$X992=$F$3),IF($H$3="(todos)",TRUE,'ORDENES'!$W992=$H$3),'ORDENES'!$AD992=TRUE,'ORDENES'!$A992&lt;&gt;""),1,0)</f>
        <v/>
      </c>
      <c r="L996" s="3">
        <f>IF(K996=1,IFERROR(MATCH('ORDENES'!$R992,lista_dias,0),9)*1000000000+IFERROR(MATCH('ORDENES'!$AF992,lista_turnos,0),9)*10000000+IFERROR(MATCH('ORDENES'!$AE992,'TECNICOS'!$B$4:$B$15,0),99)*100000+989,9000000000000+989)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IF('ORDENES'!$T992="preventiva",N996,0)</f>
        <v/>
      </c>
      <c r="P996" s="17">
        <f>IF('ORDENES'!$T992="correctiva",N996,0)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IF(AND(IF($B$3="(todos)",TRUE,'ORDENES'!$O993=$B$3),IF($D$3="(todos)",TRUE,'ORDENES'!$AF993=$D$3),IF($F$3="(todos)",TRUE,'ORDENES'!$X993=$F$3),IF($H$3="(todos)",TRUE,'ORDENES'!$W993=$H$3),'ORDENES'!$AD993=TRUE,'ORDENES'!$A993&lt;&gt;""),1,0)</f>
        <v/>
      </c>
      <c r="L997" s="3">
        <f>IF(K997=1,IFERROR(MATCH('ORDENES'!$R993,lista_dias,0),9)*1000000000+IFERROR(MATCH('ORDENES'!$AF993,lista_turnos,0),9)*10000000+IFERROR(MATCH('ORDENES'!$AE993,'TECNICOS'!$B$4:$B$15,0),99)*100000+990,9000000000000+990)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IF('ORDENES'!$T993="preventiva",N997,0)</f>
        <v/>
      </c>
      <c r="P997" s="17">
        <f>IF('ORDENES'!$T993="correctiva",N997,0)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IF(AND(IF($B$3="(todos)",TRUE,'ORDENES'!$O994=$B$3),IF($D$3="(todos)",TRUE,'ORDENES'!$AF994=$D$3),IF($F$3="(todos)",TRUE,'ORDENES'!$X994=$F$3),IF($H$3="(todos)",TRUE,'ORDENES'!$W994=$H$3),'ORDENES'!$AD994=TRUE,'ORDENES'!$A994&lt;&gt;""),1,0)</f>
        <v/>
      </c>
      <c r="L998" s="3">
        <f>IF(K998=1,IFERROR(MATCH('ORDENES'!$R994,lista_dias,0),9)*1000000000+IFERROR(MATCH('ORDENES'!$AF994,lista_turnos,0),9)*10000000+IFERROR(MATCH('ORDENES'!$AE994,'TECNICOS'!$B$4:$B$15,0),99)*100000+991,9000000000000+991)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IF('ORDENES'!$T994="preventiva",N998,0)</f>
        <v/>
      </c>
      <c r="P998" s="17">
        <f>IF('ORDENES'!$T994="correctiva",N998,0)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IF(AND(IF($B$3="(todos)",TRUE,'ORDENES'!$O995=$B$3),IF($D$3="(todos)",TRUE,'ORDENES'!$AF995=$D$3),IF($F$3="(todos)",TRUE,'ORDENES'!$X995=$F$3),IF($H$3="(todos)",TRUE,'ORDENES'!$W995=$H$3),'ORDENES'!$AD995=TRUE,'ORDENES'!$A995&lt;&gt;""),1,0)</f>
        <v/>
      </c>
      <c r="L999" s="3">
        <f>IF(K999=1,IFERROR(MATCH('ORDENES'!$R995,lista_dias,0),9)*1000000000+IFERROR(MATCH('ORDENES'!$AF995,lista_turnos,0),9)*10000000+IFERROR(MATCH('ORDENES'!$AE995,'TECNICOS'!$B$4:$B$15,0),99)*100000+992,9000000000000+992)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IF('ORDENES'!$T995="preventiva",N999,0)</f>
        <v/>
      </c>
      <c r="P999" s="17">
        <f>IF('ORDENES'!$T995="correctiva",N999,0)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IF(AND(IF($B$3="(todos)",TRUE,'ORDENES'!$O996=$B$3),IF($D$3="(todos)",TRUE,'ORDENES'!$AF996=$D$3),IF($F$3="(todos)",TRUE,'ORDENES'!$X996=$F$3),IF($H$3="(todos)",TRUE,'ORDENES'!$W996=$H$3),'ORDENES'!$AD996=TRUE,'ORDENES'!$A996&lt;&gt;""),1,0)</f>
        <v/>
      </c>
      <c r="L1000" s="3">
        <f>IF(K1000=1,IFERROR(MATCH('ORDENES'!$R996,lista_dias,0),9)*1000000000+IFERROR(MATCH('ORDENES'!$AF996,lista_turnos,0),9)*10000000+IFERROR(MATCH('ORDENES'!$AE996,'TECNICOS'!$B$4:$B$15,0),99)*100000+993,9000000000000+993)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IF('ORDENES'!$T996="preventiva",N1000,0)</f>
        <v/>
      </c>
      <c r="P1000" s="17">
        <f>IF('ORDENES'!$T996="correctiva",N1000,0)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IF(AND(IF($B$3="(todos)",TRUE,'ORDENES'!$O997=$B$3),IF($D$3="(todos)",TRUE,'ORDENES'!$AF997=$D$3),IF($F$3="(todos)",TRUE,'ORDENES'!$X997=$F$3),IF($H$3="(todos)",TRUE,'ORDENES'!$W997=$H$3),'ORDENES'!$AD997=TRUE,'ORDENES'!$A997&lt;&gt;""),1,0)</f>
        <v/>
      </c>
      <c r="L1001" s="3">
        <f>IF(K1001=1,IFERROR(MATCH('ORDENES'!$R997,lista_dias,0),9)*1000000000+IFERROR(MATCH('ORDENES'!$AF997,lista_turnos,0),9)*10000000+IFERROR(MATCH('ORDENES'!$AE997,'TECNICOS'!$B$4:$B$15,0),99)*100000+994,9000000000000+994)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IF('ORDENES'!$T997="preventiva",N1001,0)</f>
        <v/>
      </c>
      <c r="P1001" s="17">
        <f>IF('ORDENES'!$T997="correctiva",N1001,0)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IF(AND(IF($B$3="(todos)",TRUE,'ORDENES'!$O998=$B$3),IF($D$3="(todos)",TRUE,'ORDENES'!$AF998=$D$3),IF($F$3="(todos)",TRUE,'ORDENES'!$X998=$F$3),IF($H$3="(todos)",TRUE,'ORDENES'!$W998=$H$3),'ORDENES'!$AD998=TRUE,'ORDENES'!$A998&lt;&gt;""),1,0)</f>
        <v/>
      </c>
      <c r="L1002" s="3">
        <f>IF(K1002=1,IFERROR(MATCH('ORDENES'!$R998,lista_dias,0),9)*1000000000+IFERROR(MATCH('ORDENES'!$AF998,lista_turnos,0),9)*10000000+IFERROR(MATCH('ORDENES'!$AE998,'TECNICOS'!$B$4:$B$15,0),99)*100000+995,9000000000000+995)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IF('ORDENES'!$T998="preventiva",N1002,0)</f>
        <v/>
      </c>
      <c r="P1002" s="17">
        <f>IF('ORDENES'!$T998="correctiva",N1002,0)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IF(AND(IF($B$3="(todos)",TRUE,'ORDENES'!$O999=$B$3),IF($D$3="(todos)",TRUE,'ORDENES'!$AF999=$D$3),IF($F$3="(todos)",TRUE,'ORDENES'!$X999=$F$3),IF($H$3="(todos)",TRUE,'ORDENES'!$W999=$H$3),'ORDENES'!$AD999=TRUE,'ORDENES'!$A999&lt;&gt;""),1,0)</f>
        <v/>
      </c>
      <c r="L1003" s="3">
        <f>IF(K1003=1,IFERROR(MATCH('ORDENES'!$R999,lista_dias,0),9)*1000000000+IFERROR(MATCH('ORDENES'!$AF999,lista_turnos,0),9)*10000000+IFERROR(MATCH('ORDENES'!$AE999,'TECNICOS'!$B$4:$B$15,0),99)*100000+996,9000000000000+996)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IF('ORDENES'!$T999="preventiva",N1003,0)</f>
        <v/>
      </c>
      <c r="P1003" s="17">
        <f>IF('ORDENES'!$T999="correctiva",N1003,0)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IF(AND(IF($B$3="(todos)",TRUE,'ORDENES'!$O1000=$B$3),IF($D$3="(todos)",TRUE,'ORDENES'!$AF1000=$D$3),IF($F$3="(todos)",TRUE,'ORDENES'!$X1000=$F$3),IF($H$3="(todos)",TRUE,'ORDENES'!$W1000=$H$3),'ORDENES'!$AD1000=TRUE,'ORDENES'!$A1000&lt;&gt;""),1,0)</f>
        <v/>
      </c>
      <c r="L1004" s="3">
        <f>IF(K1004=1,IFERROR(MATCH('ORDENES'!$R1000,lista_dias,0),9)*1000000000+IFERROR(MATCH('ORDENES'!$AF1000,lista_turnos,0),9)*10000000+IFERROR(MATCH('ORDENES'!$AE1000,'TECNICOS'!$B$4:$B$15,0),99)*100000+997,9000000000000+997)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IF('ORDENES'!$T1000="preventiva",N1004,0)</f>
        <v/>
      </c>
      <c r="P1004" s="17">
        <f>IF('ORDENES'!$T1000="correctiva",N1004,0)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IF(AND(IF($B$3="(todos)",TRUE,'ORDENES'!$O1001=$B$3),IF($D$3="(todos)",TRUE,'ORDENES'!$AF1001=$D$3),IF($F$3="(todos)",TRUE,'ORDENES'!$X1001=$F$3),IF($H$3="(todos)",TRUE,'ORDENES'!$W1001=$H$3),'ORDENES'!$AD1001=TRUE,'ORDENES'!$A1001&lt;&gt;""),1,0)</f>
        <v/>
      </c>
      <c r="L1005" s="3">
        <f>IF(K1005=1,IFERROR(MATCH('ORDENES'!$R1001,lista_dias,0),9)*1000000000+IFERROR(MATCH('ORDENES'!$AF1001,lista_turnos,0),9)*10000000+IFERROR(MATCH('ORDENES'!$AE1001,'TECNICOS'!$B$4:$B$15,0),99)*100000+998,9000000000000+998)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IF('ORDENES'!$T1001="preventiva",N1005,0)</f>
        <v/>
      </c>
      <c r="P1005" s="17">
        <f>IF('ORDENES'!$T1001="correctiva",N1005,0)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IF(AND(IF($B$3="(todos)",TRUE,'ORDENES'!$O1002=$B$3),IF($D$3="(todos)",TRUE,'ORDENES'!$AF1002=$D$3),IF($F$3="(todos)",TRUE,'ORDENES'!$X1002=$F$3),IF($H$3="(todos)",TRUE,'ORDENES'!$W1002=$H$3),'ORDENES'!$AD1002=TRUE,'ORDENES'!$A1002&lt;&gt;""),1,0)</f>
        <v/>
      </c>
      <c r="L1006" s="3">
        <f>IF(K1006=1,IFERROR(MATCH('ORDENES'!$R1002,lista_dias,0),9)*1000000000+IFERROR(MATCH('ORDENES'!$AF1002,lista_turnos,0),9)*10000000+IFERROR(MATCH('ORDENES'!$AE1002,'TECNICOS'!$B$4:$B$15,0),99)*100000+999,9000000000000+999)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IF('ORDENES'!$T1002="preventiva",N1006,0)</f>
        <v/>
      </c>
      <c r="P1006" s="17">
        <f>IF('ORDENES'!$T1002="correctiva",N1006,0)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IF(AND(IF($B$3="(todos)",TRUE,'ORDENES'!$O1003=$B$3),IF($D$3="(todos)",TRUE,'ORDENES'!$AF1003=$D$3),IF($F$3="(todos)",TRUE,'ORDENES'!$X1003=$F$3),IF($H$3="(todos)",TRUE,'ORDENES'!$W1003=$H$3),'ORDENES'!$AD1003=TRUE,'ORDENES'!$A1003&lt;&gt;""),1,0)</f>
        <v/>
      </c>
      <c r="L1007" s="3">
        <f>IF(K1007=1,IFERROR(MATCH('ORDENES'!$R1003,lista_dias,0),9)*1000000000+IFERROR(MATCH('ORDENES'!$AF1003,lista_turnos,0),9)*10000000+IFERROR(MATCH('ORDENES'!$AE1003,'TECNICOS'!$B$4:$B$15,0),99)*100000+1000,9000000000000+1000)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IF('ORDENES'!$T1003="preventiva",N1007,0)</f>
        <v/>
      </c>
      <c r="P1007" s="17">
        <f>IF('ORDENES'!$T1003="correctiva",N1007,0)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IF(AND(IF($B$3="(todos)",TRUE,'ORDENES'!$O1004=$B$3),IF($D$3="(todos)",TRUE,'ORDENES'!$AF1004=$D$3),IF($F$3="(todos)",TRUE,'ORDENES'!$X1004=$F$3),IF($H$3="(todos)",TRUE,'ORDENES'!$W1004=$H$3),'ORDENES'!$AD1004=TRUE,'ORDENES'!$A1004&lt;&gt;""),1,0)</f>
        <v/>
      </c>
      <c r="L1008" s="3">
        <f>IF(K1008=1,IFERROR(MATCH('ORDENES'!$R1004,lista_dias,0),9)*1000000000+IFERROR(MATCH('ORDENES'!$AF1004,lista_turnos,0),9)*10000000+IFERROR(MATCH('ORDENES'!$AE1004,'TECNICOS'!$B$4:$B$15,0),99)*100000+1001,9000000000000+1001)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IF('ORDENES'!$T1004="preventiva",N1008,0)</f>
        <v/>
      </c>
      <c r="P1008" s="17">
        <f>IF('ORDENES'!$T1004="correctiva",N1008,0)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IF(AND(IF($B$3="(todos)",TRUE,'ORDENES'!$O1005=$B$3),IF($D$3="(todos)",TRUE,'ORDENES'!$AF1005=$D$3),IF($F$3="(todos)",TRUE,'ORDENES'!$X1005=$F$3),IF($H$3="(todos)",TRUE,'ORDENES'!$W1005=$H$3),'ORDENES'!$AD1005=TRUE,'ORDENES'!$A1005&lt;&gt;""),1,0)</f>
        <v/>
      </c>
      <c r="L1009" s="3">
        <f>IF(K1009=1,IFERROR(MATCH('ORDENES'!$R1005,lista_dias,0),9)*1000000000+IFERROR(MATCH('ORDENES'!$AF1005,lista_turnos,0),9)*10000000+IFERROR(MATCH('ORDENES'!$AE1005,'TECNICOS'!$B$4:$B$15,0),99)*100000+1002,9000000000000+1002)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IF('ORDENES'!$T1005="preventiva",N1009,0)</f>
        <v/>
      </c>
      <c r="P1009" s="17">
        <f>IF('ORDENES'!$T1005="correctiva",N1009,0)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IF(AND(IF($B$3="(todos)",TRUE,'ORDENES'!$O1006=$B$3),IF($D$3="(todos)",TRUE,'ORDENES'!$AF1006=$D$3),IF($F$3="(todos)",TRUE,'ORDENES'!$X1006=$F$3),IF($H$3="(todos)",TRUE,'ORDENES'!$W1006=$H$3),'ORDENES'!$AD1006=TRUE,'ORDENES'!$A1006&lt;&gt;""),1,0)</f>
        <v/>
      </c>
      <c r="L1010" s="3">
        <f>IF(K1010=1,IFERROR(MATCH('ORDENES'!$R1006,lista_dias,0),9)*1000000000+IFERROR(MATCH('ORDENES'!$AF1006,lista_turnos,0),9)*10000000+IFERROR(MATCH('ORDENES'!$AE1006,'TECNICOS'!$B$4:$B$15,0),99)*100000+1003,9000000000000+1003)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IF('ORDENES'!$T1006="preventiva",N1010,0)</f>
        <v/>
      </c>
      <c r="P1010" s="17">
        <f>IF('ORDENES'!$T1006="correctiva",N1010,0)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IF(AND(IF($B$3="(todos)",TRUE,'ORDENES'!$O1007=$B$3),IF($D$3="(todos)",TRUE,'ORDENES'!$AF1007=$D$3),IF($F$3="(todos)",TRUE,'ORDENES'!$X1007=$F$3),IF($H$3="(todos)",TRUE,'ORDENES'!$W1007=$H$3),'ORDENES'!$AD1007=TRUE,'ORDENES'!$A1007&lt;&gt;""),1,0)</f>
        <v/>
      </c>
      <c r="L1011" s="3">
        <f>IF(K1011=1,IFERROR(MATCH('ORDENES'!$R1007,lista_dias,0),9)*1000000000+IFERROR(MATCH('ORDENES'!$AF1007,lista_turnos,0),9)*10000000+IFERROR(MATCH('ORDENES'!$AE1007,'TECNICOS'!$B$4:$B$15,0),99)*100000+1004,9000000000000+1004)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IF('ORDENES'!$T1007="preventiva",N1011,0)</f>
        <v/>
      </c>
      <c r="P1011" s="17">
        <f>IF('ORDENES'!$T1007="correctiva",N1011,0)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IF(AND(IF($B$3="(todos)",TRUE,'ORDENES'!$O1008=$B$3),IF($D$3="(todos)",TRUE,'ORDENES'!$AF1008=$D$3),IF($F$3="(todos)",TRUE,'ORDENES'!$X1008=$F$3),IF($H$3="(todos)",TRUE,'ORDENES'!$W1008=$H$3),'ORDENES'!$AD1008=TRUE,'ORDENES'!$A1008&lt;&gt;""),1,0)</f>
        <v/>
      </c>
      <c r="L1012" s="3">
        <f>IF(K1012=1,IFERROR(MATCH('ORDENES'!$R1008,lista_dias,0),9)*1000000000+IFERROR(MATCH('ORDENES'!$AF1008,lista_turnos,0),9)*10000000+IFERROR(MATCH('ORDENES'!$AE1008,'TECNICOS'!$B$4:$B$15,0),99)*100000+1005,9000000000000+1005)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IF('ORDENES'!$T1008="preventiva",N1012,0)</f>
        <v/>
      </c>
      <c r="P1012" s="17">
        <f>IF('ORDENES'!$T1008="correctiva",N1012,0)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IF(AND(IF($B$3="(todos)",TRUE,'ORDENES'!$O1009=$B$3),IF($D$3="(todos)",TRUE,'ORDENES'!$AF1009=$D$3),IF($F$3="(todos)",TRUE,'ORDENES'!$X1009=$F$3),IF($H$3="(todos)",TRUE,'ORDENES'!$W1009=$H$3),'ORDENES'!$AD1009=TRUE,'ORDENES'!$A1009&lt;&gt;""),1,0)</f>
        <v/>
      </c>
      <c r="L1013" s="3">
        <f>IF(K1013=1,IFERROR(MATCH('ORDENES'!$R1009,lista_dias,0),9)*1000000000+IFERROR(MATCH('ORDENES'!$AF1009,lista_turnos,0),9)*10000000+IFERROR(MATCH('ORDENES'!$AE1009,'TECNICOS'!$B$4:$B$15,0),99)*100000+1006,9000000000000+1006)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IF('ORDENES'!$T1009="preventiva",N1013,0)</f>
        <v/>
      </c>
      <c r="P1013" s="17">
        <f>IF('ORDENES'!$T1009="correctiva",N1013,0)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IF(AND(IF($B$3="(todos)",TRUE,'ORDENES'!$O1010=$B$3),IF($D$3="(todos)",TRUE,'ORDENES'!$AF1010=$D$3),IF($F$3="(todos)",TRUE,'ORDENES'!$X1010=$F$3),IF($H$3="(todos)",TRUE,'ORDENES'!$W1010=$H$3),'ORDENES'!$AD1010=TRUE,'ORDENES'!$A1010&lt;&gt;""),1,0)</f>
        <v/>
      </c>
      <c r="L1014" s="3">
        <f>IF(K1014=1,IFERROR(MATCH('ORDENES'!$R1010,lista_dias,0),9)*1000000000+IFERROR(MATCH('ORDENES'!$AF1010,lista_turnos,0),9)*10000000+IFERROR(MATCH('ORDENES'!$AE1010,'TECNICOS'!$B$4:$B$15,0),99)*100000+1007,9000000000000+1007)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IF('ORDENES'!$T1010="preventiva",N1014,0)</f>
        <v/>
      </c>
      <c r="P1014" s="17">
        <f>IF('ORDENES'!$T1010="correctiva",N1014,0)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IF(AND(IF($B$3="(todos)",TRUE,'ORDENES'!$O1011=$B$3),IF($D$3="(todos)",TRUE,'ORDENES'!$AF1011=$D$3),IF($F$3="(todos)",TRUE,'ORDENES'!$X1011=$F$3),IF($H$3="(todos)",TRUE,'ORDENES'!$W1011=$H$3),'ORDENES'!$AD1011=TRUE,'ORDENES'!$A1011&lt;&gt;""),1,0)</f>
        <v/>
      </c>
      <c r="L1015" s="3">
        <f>IF(K1015=1,IFERROR(MATCH('ORDENES'!$R1011,lista_dias,0),9)*1000000000+IFERROR(MATCH('ORDENES'!$AF1011,lista_turnos,0),9)*10000000+IFERROR(MATCH('ORDENES'!$AE1011,'TECNICOS'!$B$4:$B$15,0),99)*100000+1008,9000000000000+1008)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IF('ORDENES'!$T1011="preventiva",N1015,0)</f>
        <v/>
      </c>
      <c r="P1015" s="17">
        <f>IF('ORDENES'!$T1011="correctiva",N1015,0)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IF(AND(IF($B$3="(todos)",TRUE,'ORDENES'!$O1012=$B$3),IF($D$3="(todos)",TRUE,'ORDENES'!$AF1012=$D$3),IF($F$3="(todos)",TRUE,'ORDENES'!$X1012=$F$3),IF($H$3="(todos)",TRUE,'ORDENES'!$W1012=$H$3),'ORDENES'!$AD1012=TRUE,'ORDENES'!$A1012&lt;&gt;""),1,0)</f>
        <v/>
      </c>
      <c r="L1016" s="3">
        <f>IF(K1016=1,IFERROR(MATCH('ORDENES'!$R1012,lista_dias,0),9)*1000000000+IFERROR(MATCH('ORDENES'!$AF1012,lista_turnos,0),9)*10000000+IFERROR(MATCH('ORDENES'!$AE1012,'TECNICOS'!$B$4:$B$15,0),99)*100000+1009,9000000000000+1009)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IF('ORDENES'!$T1012="preventiva",N1016,0)</f>
        <v/>
      </c>
      <c r="P1016" s="17">
        <f>IF('ORDENES'!$T1012="correctiva",N1016,0)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IF(AND(IF($B$3="(todos)",TRUE,'ORDENES'!$O1013=$B$3),IF($D$3="(todos)",TRUE,'ORDENES'!$AF1013=$D$3),IF($F$3="(todos)",TRUE,'ORDENES'!$X1013=$F$3),IF($H$3="(todos)",TRUE,'ORDENES'!$W1013=$H$3),'ORDENES'!$AD1013=TRUE,'ORDENES'!$A1013&lt;&gt;""),1,0)</f>
        <v/>
      </c>
      <c r="L1017" s="3">
        <f>IF(K1017=1,IFERROR(MATCH('ORDENES'!$R1013,lista_dias,0),9)*1000000000+IFERROR(MATCH('ORDENES'!$AF1013,lista_turnos,0),9)*10000000+IFERROR(MATCH('ORDENES'!$AE1013,'TECNICOS'!$B$4:$B$15,0),99)*100000+1010,9000000000000+1010)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IF('ORDENES'!$T1013="preventiva",N1017,0)</f>
        <v/>
      </c>
      <c r="P1017" s="17">
        <f>IF('ORDENES'!$T1013="correctiva",N1017,0)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IF(AND(IF($B$3="(todos)",TRUE,'ORDENES'!$O1014=$B$3),IF($D$3="(todos)",TRUE,'ORDENES'!$AF1014=$D$3),IF($F$3="(todos)",TRUE,'ORDENES'!$X1014=$F$3),IF($H$3="(todos)",TRUE,'ORDENES'!$W1014=$H$3),'ORDENES'!$AD1014=TRUE,'ORDENES'!$A1014&lt;&gt;""),1,0)</f>
        <v/>
      </c>
      <c r="L1018" s="3">
        <f>IF(K1018=1,IFERROR(MATCH('ORDENES'!$R1014,lista_dias,0),9)*1000000000+IFERROR(MATCH('ORDENES'!$AF1014,lista_turnos,0),9)*10000000+IFERROR(MATCH('ORDENES'!$AE1014,'TECNICOS'!$B$4:$B$15,0),99)*100000+1011,9000000000000+1011)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IF('ORDENES'!$T1014="preventiva",N1018,0)</f>
        <v/>
      </c>
      <c r="P1018" s="17">
        <f>IF('ORDENES'!$T1014="correctiva",N1018,0)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IF(AND(IF($B$3="(todos)",TRUE,'ORDENES'!$O1015=$B$3),IF($D$3="(todos)",TRUE,'ORDENES'!$AF1015=$D$3),IF($F$3="(todos)",TRUE,'ORDENES'!$X1015=$F$3),IF($H$3="(todos)",TRUE,'ORDENES'!$W1015=$H$3),'ORDENES'!$AD1015=TRUE,'ORDENES'!$A1015&lt;&gt;""),1,0)</f>
        <v/>
      </c>
      <c r="L1019" s="3">
        <f>IF(K1019=1,IFERROR(MATCH('ORDENES'!$R1015,lista_dias,0),9)*1000000000+IFERROR(MATCH('ORDENES'!$AF1015,lista_turnos,0),9)*10000000+IFERROR(MATCH('ORDENES'!$AE1015,'TECNICOS'!$B$4:$B$15,0),99)*100000+1012,9000000000000+1012)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IF('ORDENES'!$T1015="preventiva",N1019,0)</f>
        <v/>
      </c>
      <c r="P1019" s="17">
        <f>IF('ORDENES'!$T1015="correctiva",N1019,0)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IF(AND(IF($B$3="(todos)",TRUE,'ORDENES'!$O1016=$B$3),IF($D$3="(todos)",TRUE,'ORDENES'!$AF1016=$D$3),IF($F$3="(todos)",TRUE,'ORDENES'!$X1016=$F$3),IF($H$3="(todos)",TRUE,'ORDENES'!$W1016=$H$3),'ORDENES'!$AD1016=TRUE,'ORDENES'!$A1016&lt;&gt;""),1,0)</f>
        <v/>
      </c>
      <c r="L1020" s="3">
        <f>IF(K1020=1,IFERROR(MATCH('ORDENES'!$R1016,lista_dias,0),9)*1000000000+IFERROR(MATCH('ORDENES'!$AF1016,lista_turnos,0),9)*10000000+IFERROR(MATCH('ORDENES'!$AE1016,'TECNICOS'!$B$4:$B$15,0),99)*100000+1013,9000000000000+1013)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IF('ORDENES'!$T1016="preventiva",N1020,0)</f>
        <v/>
      </c>
      <c r="P1020" s="17">
        <f>IF('ORDENES'!$T1016="correctiva",N1020,0)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IF(AND(IF($B$3="(todos)",TRUE,'ORDENES'!$O1017=$B$3),IF($D$3="(todos)",TRUE,'ORDENES'!$AF1017=$D$3),IF($F$3="(todos)",TRUE,'ORDENES'!$X1017=$F$3),IF($H$3="(todos)",TRUE,'ORDENES'!$W1017=$H$3),'ORDENES'!$AD1017=TRUE,'ORDENES'!$A1017&lt;&gt;""),1,0)</f>
        <v/>
      </c>
      <c r="L1021" s="3">
        <f>IF(K1021=1,IFERROR(MATCH('ORDENES'!$R1017,lista_dias,0),9)*1000000000+IFERROR(MATCH('ORDENES'!$AF1017,lista_turnos,0),9)*10000000+IFERROR(MATCH('ORDENES'!$AE1017,'TECNICOS'!$B$4:$B$15,0),99)*100000+1014,9000000000000+1014)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IF('ORDENES'!$T1017="preventiva",N1021,0)</f>
        <v/>
      </c>
      <c r="P1021" s="17">
        <f>IF('ORDENES'!$T1017="correctiva",N1021,0)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IF(AND(IF($B$3="(todos)",TRUE,'ORDENES'!$O1018=$B$3),IF($D$3="(todos)",TRUE,'ORDENES'!$AF1018=$D$3),IF($F$3="(todos)",TRUE,'ORDENES'!$X1018=$F$3),IF($H$3="(todos)",TRUE,'ORDENES'!$W1018=$H$3),'ORDENES'!$AD1018=TRUE,'ORDENES'!$A1018&lt;&gt;""),1,0)</f>
        <v/>
      </c>
      <c r="L1022" s="3">
        <f>IF(K1022=1,IFERROR(MATCH('ORDENES'!$R1018,lista_dias,0),9)*1000000000+IFERROR(MATCH('ORDENES'!$AF1018,lista_turnos,0),9)*10000000+IFERROR(MATCH('ORDENES'!$AE1018,'TECNICOS'!$B$4:$B$15,0),99)*100000+1015,9000000000000+1015)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IF('ORDENES'!$T1018="preventiva",N1022,0)</f>
        <v/>
      </c>
      <c r="P1022" s="17">
        <f>IF('ORDENES'!$T1018="correctiva",N1022,0)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IF(AND(IF($B$3="(todos)",TRUE,'ORDENES'!$O1019=$B$3),IF($D$3="(todos)",TRUE,'ORDENES'!$AF1019=$D$3),IF($F$3="(todos)",TRUE,'ORDENES'!$X1019=$F$3),IF($H$3="(todos)",TRUE,'ORDENES'!$W1019=$H$3),'ORDENES'!$AD1019=TRUE,'ORDENES'!$A1019&lt;&gt;""),1,0)</f>
        <v/>
      </c>
      <c r="L1023" s="3">
        <f>IF(K1023=1,IFERROR(MATCH('ORDENES'!$R1019,lista_dias,0),9)*1000000000+IFERROR(MATCH('ORDENES'!$AF1019,lista_turnos,0),9)*10000000+IFERROR(MATCH('ORDENES'!$AE1019,'TECNICOS'!$B$4:$B$15,0),99)*100000+1016,9000000000000+1016)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IF('ORDENES'!$T1019="preventiva",N1023,0)</f>
        <v/>
      </c>
      <c r="P1023" s="17">
        <f>IF('ORDENES'!$T1019="correctiva",N1023,0)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IF(AND(IF($B$3="(todos)",TRUE,'ORDENES'!$O1020=$B$3),IF($D$3="(todos)",TRUE,'ORDENES'!$AF1020=$D$3),IF($F$3="(todos)",TRUE,'ORDENES'!$X1020=$F$3),IF($H$3="(todos)",TRUE,'ORDENES'!$W1020=$H$3),'ORDENES'!$AD1020=TRUE,'ORDENES'!$A1020&lt;&gt;""),1,0)</f>
        <v/>
      </c>
      <c r="L1024" s="3">
        <f>IF(K1024=1,IFERROR(MATCH('ORDENES'!$R1020,lista_dias,0),9)*1000000000+IFERROR(MATCH('ORDENES'!$AF1020,lista_turnos,0),9)*10000000+IFERROR(MATCH('ORDENES'!$AE1020,'TECNICOS'!$B$4:$B$15,0),99)*100000+1017,9000000000000+1017)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IF('ORDENES'!$T1020="preventiva",N1024,0)</f>
        <v/>
      </c>
      <c r="P1024" s="17">
        <f>IF('ORDENES'!$T1020="correctiva",N1024,0)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IF(AND(IF($B$3="(todos)",TRUE,'ORDENES'!$O1021=$B$3),IF($D$3="(todos)",TRUE,'ORDENES'!$AF1021=$D$3),IF($F$3="(todos)",TRUE,'ORDENES'!$X1021=$F$3),IF($H$3="(todos)",TRUE,'ORDENES'!$W1021=$H$3),'ORDENES'!$AD1021=TRUE,'ORDENES'!$A1021&lt;&gt;""),1,0)</f>
        <v/>
      </c>
      <c r="L1025" s="3">
        <f>IF(K1025=1,IFERROR(MATCH('ORDENES'!$R1021,lista_dias,0),9)*1000000000+IFERROR(MATCH('ORDENES'!$AF1021,lista_turnos,0),9)*10000000+IFERROR(MATCH('ORDENES'!$AE1021,'TECNICOS'!$B$4:$B$15,0),99)*100000+1018,9000000000000+1018)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IF('ORDENES'!$T1021="preventiva",N1025,0)</f>
        <v/>
      </c>
      <c r="P1025" s="17">
        <f>IF('ORDENES'!$T1021="correctiva",N1025,0)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IF(AND(IF($B$3="(todos)",TRUE,'ORDENES'!$O1022=$B$3),IF($D$3="(todos)",TRUE,'ORDENES'!$AF1022=$D$3),IF($F$3="(todos)",TRUE,'ORDENES'!$X1022=$F$3),IF($H$3="(todos)",TRUE,'ORDENES'!$W1022=$H$3),'ORDENES'!$AD1022=TRUE,'ORDENES'!$A1022&lt;&gt;""),1,0)</f>
        <v/>
      </c>
      <c r="L1026" s="3">
        <f>IF(K1026=1,IFERROR(MATCH('ORDENES'!$R1022,lista_dias,0),9)*1000000000+IFERROR(MATCH('ORDENES'!$AF1022,lista_turnos,0),9)*10000000+IFERROR(MATCH('ORDENES'!$AE1022,'TECNICOS'!$B$4:$B$15,0),99)*100000+1019,9000000000000+1019)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IF('ORDENES'!$T1022="preventiva",N1026,0)</f>
        <v/>
      </c>
      <c r="P1026" s="17">
        <f>IF('ORDENES'!$T1022="correctiva",N1026,0)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IF(AND(IF($B$3="(todos)",TRUE,'ORDENES'!$O1023=$B$3),IF($D$3="(todos)",TRUE,'ORDENES'!$AF1023=$D$3),IF($F$3="(todos)",TRUE,'ORDENES'!$X1023=$F$3),IF($H$3="(todos)",TRUE,'ORDENES'!$W1023=$H$3),'ORDENES'!$AD1023=TRUE,'ORDENES'!$A1023&lt;&gt;""),1,0)</f>
        <v/>
      </c>
      <c r="L1027" s="3">
        <f>IF(K1027=1,IFERROR(MATCH('ORDENES'!$R1023,lista_dias,0),9)*1000000000+IFERROR(MATCH('ORDENES'!$AF1023,lista_turnos,0),9)*10000000+IFERROR(MATCH('ORDENES'!$AE1023,'TECNICOS'!$B$4:$B$15,0),99)*100000+1020,9000000000000+1020)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IF('ORDENES'!$T1023="preventiva",N1027,0)</f>
        <v/>
      </c>
      <c r="P1027" s="17">
        <f>IF('ORDENES'!$T1023="correctiva",N1027,0)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IF(AND(IF($B$3="(todos)",TRUE,'ORDENES'!$O1024=$B$3),IF($D$3="(todos)",TRUE,'ORDENES'!$AF1024=$D$3),IF($F$3="(todos)",TRUE,'ORDENES'!$X1024=$F$3),IF($H$3="(todos)",TRUE,'ORDENES'!$W1024=$H$3),'ORDENES'!$AD1024=TRUE,'ORDENES'!$A1024&lt;&gt;""),1,0)</f>
        <v/>
      </c>
      <c r="L1028" s="3">
        <f>IF(K1028=1,IFERROR(MATCH('ORDENES'!$R1024,lista_dias,0),9)*1000000000+IFERROR(MATCH('ORDENES'!$AF1024,lista_turnos,0),9)*10000000+IFERROR(MATCH('ORDENES'!$AE1024,'TECNICOS'!$B$4:$B$15,0),99)*100000+1021,9000000000000+1021)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IF('ORDENES'!$T1024="preventiva",N1028,0)</f>
        <v/>
      </c>
      <c r="P1028" s="17">
        <f>IF('ORDENES'!$T1024="correctiva",N1028,0)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IF(AND(IF($B$3="(todos)",TRUE,'ORDENES'!$O1025=$B$3),IF($D$3="(todos)",TRUE,'ORDENES'!$AF1025=$D$3),IF($F$3="(todos)",TRUE,'ORDENES'!$X1025=$F$3),IF($H$3="(todos)",TRUE,'ORDENES'!$W1025=$H$3),'ORDENES'!$AD1025=TRUE,'ORDENES'!$A1025&lt;&gt;""),1,0)</f>
        <v/>
      </c>
      <c r="L1029" s="3">
        <f>IF(K1029=1,IFERROR(MATCH('ORDENES'!$R1025,lista_dias,0),9)*1000000000+IFERROR(MATCH('ORDENES'!$AF1025,lista_turnos,0),9)*10000000+IFERROR(MATCH('ORDENES'!$AE1025,'TECNICOS'!$B$4:$B$15,0),99)*100000+1022,9000000000000+1022)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IF('ORDENES'!$T1025="preventiva",N1029,0)</f>
        <v/>
      </c>
      <c r="P1029" s="17">
        <f>IF('ORDENES'!$T1025="correctiva",N1029,0)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IF(AND(IF($B$3="(todos)",TRUE,'ORDENES'!$O1026=$B$3),IF($D$3="(todos)",TRUE,'ORDENES'!$AF1026=$D$3),IF($F$3="(todos)",TRUE,'ORDENES'!$X1026=$F$3),IF($H$3="(todos)",TRUE,'ORDENES'!$W1026=$H$3),'ORDENES'!$AD1026=TRUE,'ORDENES'!$A1026&lt;&gt;""),1,0)</f>
        <v/>
      </c>
      <c r="L1030" s="3">
        <f>IF(K1030=1,IFERROR(MATCH('ORDENES'!$R1026,lista_dias,0),9)*1000000000+IFERROR(MATCH('ORDENES'!$AF1026,lista_turnos,0),9)*10000000+IFERROR(MATCH('ORDENES'!$AE1026,'TECNICOS'!$B$4:$B$15,0),99)*100000+1023,9000000000000+1023)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IF('ORDENES'!$T1026="preventiva",N1030,0)</f>
        <v/>
      </c>
      <c r="P1030" s="17">
        <f>IF('ORDENES'!$T1026="correctiva",N1030,0)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IF(AND(IF($B$3="(todos)",TRUE,'ORDENES'!$O1027=$B$3),IF($D$3="(todos)",TRUE,'ORDENES'!$AF1027=$D$3),IF($F$3="(todos)",TRUE,'ORDENES'!$X1027=$F$3),IF($H$3="(todos)",TRUE,'ORDENES'!$W1027=$H$3),'ORDENES'!$AD1027=TRUE,'ORDENES'!$A1027&lt;&gt;""),1,0)</f>
        <v/>
      </c>
      <c r="L1031" s="3">
        <f>IF(K1031=1,IFERROR(MATCH('ORDENES'!$R1027,lista_dias,0),9)*1000000000+IFERROR(MATCH('ORDENES'!$AF1027,lista_turnos,0),9)*10000000+IFERROR(MATCH('ORDENES'!$AE1027,'TECNICOS'!$B$4:$B$15,0),99)*100000+1024,9000000000000+1024)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IF('ORDENES'!$T1027="preventiva",N1031,0)</f>
        <v/>
      </c>
      <c r="P1031" s="17">
        <f>IF('ORDENES'!$T1027="correctiva",N1031,0)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IF(AND(IF($B$3="(todos)",TRUE,'ORDENES'!$O1028=$B$3),IF($D$3="(todos)",TRUE,'ORDENES'!$AF1028=$D$3),IF($F$3="(todos)",TRUE,'ORDENES'!$X1028=$F$3),IF($H$3="(todos)",TRUE,'ORDENES'!$W1028=$H$3),'ORDENES'!$AD1028=TRUE,'ORDENES'!$A1028&lt;&gt;""),1,0)</f>
        <v/>
      </c>
      <c r="L1032" s="3">
        <f>IF(K1032=1,IFERROR(MATCH('ORDENES'!$R1028,lista_dias,0),9)*1000000000+IFERROR(MATCH('ORDENES'!$AF1028,lista_turnos,0),9)*10000000+IFERROR(MATCH('ORDENES'!$AE1028,'TECNICOS'!$B$4:$B$15,0),99)*100000+1025,9000000000000+1025)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IF('ORDENES'!$T1028="preventiva",N1032,0)</f>
        <v/>
      </c>
      <c r="P1032" s="17">
        <f>IF('ORDENES'!$T1028="correctiva",N1032,0)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IF(AND(IF($B$3="(todos)",TRUE,'ORDENES'!$O1029=$B$3),IF($D$3="(todos)",TRUE,'ORDENES'!$AF1029=$D$3),IF($F$3="(todos)",TRUE,'ORDENES'!$X1029=$F$3),IF($H$3="(todos)",TRUE,'ORDENES'!$W1029=$H$3),'ORDENES'!$AD1029=TRUE,'ORDENES'!$A1029&lt;&gt;""),1,0)</f>
        <v/>
      </c>
      <c r="L1033" s="3">
        <f>IF(K1033=1,IFERROR(MATCH('ORDENES'!$R1029,lista_dias,0),9)*1000000000+IFERROR(MATCH('ORDENES'!$AF1029,lista_turnos,0),9)*10000000+IFERROR(MATCH('ORDENES'!$AE1029,'TECNICOS'!$B$4:$B$15,0),99)*100000+1026,9000000000000+1026)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IF('ORDENES'!$T1029="preventiva",N1033,0)</f>
        <v/>
      </c>
      <c r="P1033" s="17">
        <f>IF('ORDENES'!$T1029="correctiva",N1033,0)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IF(AND(IF($B$3="(todos)",TRUE,'ORDENES'!$O1030=$B$3),IF($D$3="(todos)",TRUE,'ORDENES'!$AF1030=$D$3),IF($F$3="(todos)",TRUE,'ORDENES'!$X1030=$F$3),IF($H$3="(todos)",TRUE,'ORDENES'!$W1030=$H$3),'ORDENES'!$AD1030=TRUE,'ORDENES'!$A1030&lt;&gt;""),1,0)</f>
        <v/>
      </c>
      <c r="L1034" s="3">
        <f>IF(K1034=1,IFERROR(MATCH('ORDENES'!$R1030,lista_dias,0),9)*1000000000+IFERROR(MATCH('ORDENES'!$AF1030,lista_turnos,0),9)*10000000+IFERROR(MATCH('ORDENES'!$AE1030,'TECNICOS'!$B$4:$B$15,0),99)*100000+1027,9000000000000+1027)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IF('ORDENES'!$T1030="preventiva",N1034,0)</f>
        <v/>
      </c>
      <c r="P1034" s="17">
        <f>IF('ORDENES'!$T1030="correctiva",N1034,0)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IF(AND(IF($B$3="(todos)",TRUE,'ORDENES'!$O1031=$B$3),IF($D$3="(todos)",TRUE,'ORDENES'!$AF1031=$D$3),IF($F$3="(todos)",TRUE,'ORDENES'!$X1031=$F$3),IF($H$3="(todos)",TRUE,'ORDENES'!$W1031=$H$3),'ORDENES'!$AD1031=TRUE,'ORDENES'!$A1031&lt;&gt;""),1,0)</f>
        <v/>
      </c>
      <c r="L1035" s="3">
        <f>IF(K1035=1,IFERROR(MATCH('ORDENES'!$R1031,lista_dias,0),9)*1000000000+IFERROR(MATCH('ORDENES'!$AF1031,lista_turnos,0),9)*10000000+IFERROR(MATCH('ORDENES'!$AE1031,'TECNICOS'!$B$4:$B$15,0),99)*100000+1028,9000000000000+1028)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IF('ORDENES'!$T1031="preventiva",N1035,0)</f>
        <v/>
      </c>
      <c r="P1035" s="17">
        <f>IF('ORDENES'!$T1031="correctiva",N1035,0)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IF(AND(IF($B$3="(todos)",TRUE,'ORDENES'!$O1032=$B$3),IF($D$3="(todos)",TRUE,'ORDENES'!$AF1032=$D$3),IF($F$3="(todos)",TRUE,'ORDENES'!$X1032=$F$3),IF($H$3="(todos)",TRUE,'ORDENES'!$W1032=$H$3),'ORDENES'!$AD1032=TRUE,'ORDENES'!$A1032&lt;&gt;""),1,0)</f>
        <v/>
      </c>
      <c r="L1036" s="3">
        <f>IF(K1036=1,IFERROR(MATCH('ORDENES'!$R1032,lista_dias,0),9)*1000000000+IFERROR(MATCH('ORDENES'!$AF1032,lista_turnos,0),9)*10000000+IFERROR(MATCH('ORDENES'!$AE1032,'TECNICOS'!$B$4:$B$15,0),99)*100000+1029,9000000000000+1029)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IF('ORDENES'!$T1032="preventiva",N1036,0)</f>
        <v/>
      </c>
      <c r="P1036" s="17">
        <f>IF('ORDENES'!$T1032="correctiva",N1036,0)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IF(AND(IF($B$3="(todos)",TRUE,'ORDENES'!$O1033=$B$3),IF($D$3="(todos)",TRUE,'ORDENES'!$AF1033=$D$3),IF($F$3="(todos)",TRUE,'ORDENES'!$X1033=$F$3),IF($H$3="(todos)",TRUE,'ORDENES'!$W1033=$H$3),'ORDENES'!$AD1033=TRUE,'ORDENES'!$A1033&lt;&gt;""),1,0)</f>
        <v/>
      </c>
      <c r="L1037" s="3">
        <f>IF(K1037=1,IFERROR(MATCH('ORDENES'!$R1033,lista_dias,0),9)*1000000000+IFERROR(MATCH('ORDENES'!$AF1033,lista_turnos,0),9)*10000000+IFERROR(MATCH('ORDENES'!$AE1033,'TECNICOS'!$B$4:$B$15,0),99)*100000+1030,9000000000000+1030)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IF('ORDENES'!$T1033="preventiva",N1037,0)</f>
        <v/>
      </c>
      <c r="P1037" s="17">
        <f>IF('ORDENES'!$T1033="correctiva",N1037,0)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IF(AND(IF($B$3="(todos)",TRUE,'ORDENES'!$O1034=$B$3),IF($D$3="(todos)",TRUE,'ORDENES'!$AF1034=$D$3),IF($F$3="(todos)",TRUE,'ORDENES'!$X1034=$F$3),IF($H$3="(todos)",TRUE,'ORDENES'!$W1034=$H$3),'ORDENES'!$AD1034=TRUE,'ORDENES'!$A1034&lt;&gt;""),1,0)</f>
        <v/>
      </c>
      <c r="L1038" s="3">
        <f>IF(K1038=1,IFERROR(MATCH('ORDENES'!$R1034,lista_dias,0),9)*1000000000+IFERROR(MATCH('ORDENES'!$AF1034,lista_turnos,0),9)*10000000+IFERROR(MATCH('ORDENES'!$AE1034,'TECNICOS'!$B$4:$B$15,0),99)*100000+1031,9000000000000+1031)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IF('ORDENES'!$T1034="preventiva",N1038,0)</f>
        <v/>
      </c>
      <c r="P1038" s="17">
        <f>IF('ORDENES'!$T1034="correctiva",N1038,0)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IF(AND(IF($B$3="(todos)",TRUE,'ORDENES'!$O1035=$B$3),IF($D$3="(todos)",TRUE,'ORDENES'!$AF1035=$D$3),IF($F$3="(todos)",TRUE,'ORDENES'!$X1035=$F$3),IF($H$3="(todos)",TRUE,'ORDENES'!$W1035=$H$3),'ORDENES'!$AD1035=TRUE,'ORDENES'!$A1035&lt;&gt;""),1,0)</f>
        <v/>
      </c>
      <c r="L1039" s="3">
        <f>IF(K1039=1,IFERROR(MATCH('ORDENES'!$R1035,lista_dias,0),9)*1000000000+IFERROR(MATCH('ORDENES'!$AF1035,lista_turnos,0),9)*10000000+IFERROR(MATCH('ORDENES'!$AE1035,'TECNICOS'!$B$4:$B$15,0),99)*100000+1032,9000000000000+1032)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IF('ORDENES'!$T1035="preventiva",N1039,0)</f>
        <v/>
      </c>
      <c r="P1039" s="17">
        <f>IF('ORDENES'!$T1035="correctiva",N1039,0)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IF(AND(IF($B$3="(todos)",TRUE,'ORDENES'!$O1036=$B$3),IF($D$3="(todos)",TRUE,'ORDENES'!$AF1036=$D$3),IF($F$3="(todos)",TRUE,'ORDENES'!$X1036=$F$3),IF($H$3="(todos)",TRUE,'ORDENES'!$W1036=$H$3),'ORDENES'!$AD1036=TRUE,'ORDENES'!$A1036&lt;&gt;""),1,0)</f>
        <v/>
      </c>
      <c r="L1040" s="3">
        <f>IF(K1040=1,IFERROR(MATCH('ORDENES'!$R1036,lista_dias,0),9)*1000000000+IFERROR(MATCH('ORDENES'!$AF1036,lista_turnos,0),9)*10000000+IFERROR(MATCH('ORDENES'!$AE1036,'TECNICOS'!$B$4:$B$15,0),99)*100000+1033,9000000000000+1033)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IF('ORDENES'!$T1036="preventiva",N1040,0)</f>
        <v/>
      </c>
      <c r="P1040" s="17">
        <f>IF('ORDENES'!$T1036="correctiva",N1040,0)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IF(AND(IF($B$3="(todos)",TRUE,'ORDENES'!$O1037=$B$3),IF($D$3="(todos)",TRUE,'ORDENES'!$AF1037=$D$3),IF($F$3="(todos)",TRUE,'ORDENES'!$X1037=$F$3),IF($H$3="(todos)",TRUE,'ORDENES'!$W1037=$H$3),'ORDENES'!$AD1037=TRUE,'ORDENES'!$A1037&lt;&gt;""),1,0)</f>
        <v/>
      </c>
      <c r="L1041" s="3">
        <f>IF(K1041=1,IFERROR(MATCH('ORDENES'!$R1037,lista_dias,0),9)*1000000000+IFERROR(MATCH('ORDENES'!$AF1037,lista_turnos,0),9)*10000000+IFERROR(MATCH('ORDENES'!$AE1037,'TECNICOS'!$B$4:$B$15,0),99)*100000+1034,9000000000000+1034)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IF('ORDENES'!$T1037="preventiva",N1041,0)</f>
        <v/>
      </c>
      <c r="P1041" s="17">
        <f>IF('ORDENES'!$T1037="correctiva",N1041,0)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IF(AND(IF($B$3="(todos)",TRUE,'ORDENES'!$O1038=$B$3),IF($D$3="(todos)",TRUE,'ORDENES'!$AF1038=$D$3),IF($F$3="(todos)",TRUE,'ORDENES'!$X1038=$F$3),IF($H$3="(todos)",TRUE,'ORDENES'!$W1038=$H$3),'ORDENES'!$AD1038=TRUE,'ORDENES'!$A1038&lt;&gt;""),1,0)</f>
        <v/>
      </c>
      <c r="L1042" s="3">
        <f>IF(K1042=1,IFERROR(MATCH('ORDENES'!$R1038,lista_dias,0),9)*1000000000+IFERROR(MATCH('ORDENES'!$AF1038,lista_turnos,0),9)*10000000+IFERROR(MATCH('ORDENES'!$AE1038,'TECNICOS'!$B$4:$B$15,0),99)*100000+1035,9000000000000+1035)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IF('ORDENES'!$T1038="preventiva",N1042,0)</f>
        <v/>
      </c>
      <c r="P1042" s="17">
        <f>IF('ORDENES'!$T1038="correctiva",N1042,0)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IF(AND(IF($B$3="(todos)",TRUE,'ORDENES'!$O1039=$B$3),IF($D$3="(todos)",TRUE,'ORDENES'!$AF1039=$D$3),IF($F$3="(todos)",TRUE,'ORDENES'!$X1039=$F$3),IF($H$3="(todos)",TRUE,'ORDENES'!$W1039=$H$3),'ORDENES'!$AD1039=TRUE,'ORDENES'!$A1039&lt;&gt;""),1,0)</f>
        <v/>
      </c>
      <c r="L1043" s="3">
        <f>IF(K1043=1,IFERROR(MATCH('ORDENES'!$R1039,lista_dias,0),9)*1000000000+IFERROR(MATCH('ORDENES'!$AF1039,lista_turnos,0),9)*10000000+IFERROR(MATCH('ORDENES'!$AE1039,'TECNICOS'!$B$4:$B$15,0),99)*100000+1036,9000000000000+1036)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IF('ORDENES'!$T1039="preventiva",N1043,0)</f>
        <v/>
      </c>
      <c r="P1043" s="17">
        <f>IF('ORDENES'!$T1039="correctiva",N1043,0)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IF(AND(IF($B$3="(todos)",TRUE,'ORDENES'!$O1040=$B$3),IF($D$3="(todos)",TRUE,'ORDENES'!$AF1040=$D$3),IF($F$3="(todos)",TRUE,'ORDENES'!$X1040=$F$3),IF($H$3="(todos)",TRUE,'ORDENES'!$W1040=$H$3),'ORDENES'!$AD1040=TRUE,'ORDENES'!$A1040&lt;&gt;""),1,0)</f>
        <v/>
      </c>
      <c r="L1044" s="3">
        <f>IF(K1044=1,IFERROR(MATCH('ORDENES'!$R1040,lista_dias,0),9)*1000000000+IFERROR(MATCH('ORDENES'!$AF1040,lista_turnos,0),9)*10000000+IFERROR(MATCH('ORDENES'!$AE1040,'TECNICOS'!$B$4:$B$15,0),99)*100000+1037,9000000000000+1037)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IF('ORDENES'!$T1040="preventiva",N1044,0)</f>
        <v/>
      </c>
      <c r="P1044" s="17">
        <f>IF('ORDENES'!$T1040="correctiva",N1044,0)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IF(AND(IF($B$3="(todos)",TRUE,'ORDENES'!$O1041=$B$3),IF($D$3="(todos)",TRUE,'ORDENES'!$AF1041=$D$3),IF($F$3="(todos)",TRUE,'ORDENES'!$X1041=$F$3),IF($H$3="(todos)",TRUE,'ORDENES'!$W1041=$H$3),'ORDENES'!$AD1041=TRUE,'ORDENES'!$A1041&lt;&gt;""),1,0)</f>
        <v/>
      </c>
      <c r="L1045" s="3">
        <f>IF(K1045=1,IFERROR(MATCH('ORDENES'!$R1041,lista_dias,0),9)*1000000000+IFERROR(MATCH('ORDENES'!$AF1041,lista_turnos,0),9)*10000000+IFERROR(MATCH('ORDENES'!$AE1041,'TECNICOS'!$B$4:$B$15,0),99)*100000+1038,9000000000000+1038)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IF('ORDENES'!$T1041="preventiva",N1045,0)</f>
        <v/>
      </c>
      <c r="P1045" s="17">
        <f>IF('ORDENES'!$T1041="correctiva",N1045,0)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IF(AND(IF($B$3="(todos)",TRUE,'ORDENES'!$O1042=$B$3),IF($D$3="(todos)",TRUE,'ORDENES'!$AF1042=$D$3),IF($F$3="(todos)",TRUE,'ORDENES'!$X1042=$F$3),IF($H$3="(todos)",TRUE,'ORDENES'!$W1042=$H$3),'ORDENES'!$AD1042=TRUE,'ORDENES'!$A1042&lt;&gt;""),1,0)</f>
        <v/>
      </c>
      <c r="L1046" s="3">
        <f>IF(K1046=1,IFERROR(MATCH('ORDENES'!$R1042,lista_dias,0),9)*1000000000+IFERROR(MATCH('ORDENES'!$AF1042,lista_turnos,0),9)*10000000+IFERROR(MATCH('ORDENES'!$AE1042,'TECNICOS'!$B$4:$B$15,0),99)*100000+1039,9000000000000+1039)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IF('ORDENES'!$T1042="preventiva",N1046,0)</f>
        <v/>
      </c>
      <c r="P1046" s="17">
        <f>IF('ORDENES'!$T1042="correctiva",N1046,0)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IF(AND(IF($B$3="(todos)",TRUE,'ORDENES'!$O1043=$B$3),IF($D$3="(todos)",TRUE,'ORDENES'!$AF1043=$D$3),IF($F$3="(todos)",TRUE,'ORDENES'!$X1043=$F$3),IF($H$3="(todos)",TRUE,'ORDENES'!$W1043=$H$3),'ORDENES'!$AD1043=TRUE,'ORDENES'!$A1043&lt;&gt;""),1,0)</f>
        <v/>
      </c>
      <c r="L1047" s="3">
        <f>IF(K1047=1,IFERROR(MATCH('ORDENES'!$R1043,lista_dias,0),9)*1000000000+IFERROR(MATCH('ORDENES'!$AF1043,lista_turnos,0),9)*10000000+IFERROR(MATCH('ORDENES'!$AE1043,'TECNICOS'!$B$4:$B$15,0),99)*100000+1040,9000000000000+1040)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IF('ORDENES'!$T1043="preventiva",N1047,0)</f>
        <v/>
      </c>
      <c r="P1047" s="17">
        <f>IF('ORDENES'!$T1043="correctiva",N1047,0)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IF(AND(IF($B$3="(todos)",TRUE,'ORDENES'!$O1044=$B$3),IF($D$3="(todos)",TRUE,'ORDENES'!$AF1044=$D$3),IF($F$3="(todos)",TRUE,'ORDENES'!$X1044=$F$3),IF($H$3="(todos)",TRUE,'ORDENES'!$W1044=$H$3),'ORDENES'!$AD1044=TRUE,'ORDENES'!$A1044&lt;&gt;""),1,0)</f>
        <v/>
      </c>
      <c r="L1048" s="3">
        <f>IF(K1048=1,IFERROR(MATCH('ORDENES'!$R1044,lista_dias,0),9)*1000000000+IFERROR(MATCH('ORDENES'!$AF1044,lista_turnos,0),9)*10000000+IFERROR(MATCH('ORDENES'!$AE1044,'TECNICOS'!$B$4:$B$15,0),99)*100000+1041,9000000000000+1041)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IF('ORDENES'!$T1044="preventiva",N1048,0)</f>
        <v/>
      </c>
      <c r="P1048" s="17">
        <f>IF('ORDENES'!$T1044="correctiva",N1048,0)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IF(AND(IF($B$3="(todos)",TRUE,'ORDENES'!$O1045=$B$3),IF($D$3="(todos)",TRUE,'ORDENES'!$AF1045=$D$3),IF($F$3="(todos)",TRUE,'ORDENES'!$X1045=$F$3),IF($H$3="(todos)",TRUE,'ORDENES'!$W1045=$H$3),'ORDENES'!$AD1045=TRUE,'ORDENES'!$A1045&lt;&gt;""),1,0)</f>
        <v/>
      </c>
      <c r="L1049" s="3">
        <f>IF(K1049=1,IFERROR(MATCH('ORDENES'!$R1045,lista_dias,0),9)*1000000000+IFERROR(MATCH('ORDENES'!$AF1045,lista_turnos,0),9)*10000000+IFERROR(MATCH('ORDENES'!$AE1045,'TECNICOS'!$B$4:$B$15,0),99)*100000+1042,9000000000000+1042)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IF('ORDENES'!$T1045="preventiva",N1049,0)</f>
        <v/>
      </c>
      <c r="P1049" s="17">
        <f>IF('ORDENES'!$T1045="correctiva",N1049,0)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IF(AND(IF($B$3="(todos)",TRUE,'ORDENES'!$O1046=$B$3),IF($D$3="(todos)",TRUE,'ORDENES'!$AF1046=$D$3),IF($F$3="(todos)",TRUE,'ORDENES'!$X1046=$F$3),IF($H$3="(todos)",TRUE,'ORDENES'!$W1046=$H$3),'ORDENES'!$AD1046=TRUE,'ORDENES'!$A1046&lt;&gt;""),1,0)</f>
        <v/>
      </c>
      <c r="L1050" s="3">
        <f>IF(K1050=1,IFERROR(MATCH('ORDENES'!$R1046,lista_dias,0),9)*1000000000+IFERROR(MATCH('ORDENES'!$AF1046,lista_turnos,0),9)*10000000+IFERROR(MATCH('ORDENES'!$AE1046,'TECNICOS'!$B$4:$B$15,0),99)*100000+1043,9000000000000+1043)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IF('ORDENES'!$T1046="preventiva",N1050,0)</f>
        <v/>
      </c>
      <c r="P1050" s="17">
        <f>IF('ORDENES'!$T1046="correctiva",N1050,0)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IF(AND(IF($B$3="(todos)",TRUE,'ORDENES'!$O1047=$B$3),IF($D$3="(todos)",TRUE,'ORDENES'!$AF1047=$D$3),IF($F$3="(todos)",TRUE,'ORDENES'!$X1047=$F$3),IF($H$3="(todos)",TRUE,'ORDENES'!$W1047=$H$3),'ORDENES'!$AD1047=TRUE,'ORDENES'!$A1047&lt;&gt;""),1,0)</f>
        <v/>
      </c>
      <c r="L1051" s="3">
        <f>IF(K1051=1,IFERROR(MATCH('ORDENES'!$R1047,lista_dias,0),9)*1000000000+IFERROR(MATCH('ORDENES'!$AF1047,lista_turnos,0),9)*10000000+IFERROR(MATCH('ORDENES'!$AE1047,'TECNICOS'!$B$4:$B$15,0),99)*100000+1044,9000000000000+1044)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IF('ORDENES'!$T1047="preventiva",N1051,0)</f>
        <v/>
      </c>
      <c r="P1051" s="17">
        <f>IF('ORDENES'!$T1047="correctiva",N1051,0)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IF(AND(IF($B$3="(todos)",TRUE,'ORDENES'!$O1048=$B$3),IF($D$3="(todos)",TRUE,'ORDENES'!$AF1048=$D$3),IF($F$3="(todos)",TRUE,'ORDENES'!$X1048=$F$3),IF($H$3="(todos)",TRUE,'ORDENES'!$W1048=$H$3),'ORDENES'!$AD1048=TRUE,'ORDENES'!$A1048&lt;&gt;""),1,0)</f>
        <v/>
      </c>
      <c r="L1052" s="3">
        <f>IF(K1052=1,IFERROR(MATCH('ORDENES'!$R1048,lista_dias,0),9)*1000000000+IFERROR(MATCH('ORDENES'!$AF1048,lista_turnos,0),9)*10000000+IFERROR(MATCH('ORDENES'!$AE1048,'TECNICOS'!$B$4:$B$15,0),99)*100000+1045,9000000000000+1045)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IF('ORDENES'!$T1048="preventiva",N1052,0)</f>
        <v/>
      </c>
      <c r="P1052" s="17">
        <f>IF('ORDENES'!$T1048="correctiva",N1052,0)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IF(AND(IF($B$3="(todos)",TRUE,'ORDENES'!$O1049=$B$3),IF($D$3="(todos)",TRUE,'ORDENES'!$AF1049=$D$3),IF($F$3="(todos)",TRUE,'ORDENES'!$X1049=$F$3),IF($H$3="(todos)",TRUE,'ORDENES'!$W1049=$H$3),'ORDENES'!$AD1049=TRUE,'ORDENES'!$A1049&lt;&gt;""),1,0)</f>
        <v/>
      </c>
      <c r="L1053" s="3">
        <f>IF(K1053=1,IFERROR(MATCH('ORDENES'!$R1049,lista_dias,0),9)*1000000000+IFERROR(MATCH('ORDENES'!$AF1049,lista_turnos,0),9)*10000000+IFERROR(MATCH('ORDENES'!$AE1049,'TECNICOS'!$B$4:$B$15,0),99)*100000+1046,9000000000000+1046)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IF('ORDENES'!$T1049="preventiva",N1053,0)</f>
        <v/>
      </c>
      <c r="P1053" s="17">
        <f>IF('ORDENES'!$T1049="correctiva",N1053,0)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IF(AND(IF($B$3="(todos)",TRUE,'ORDENES'!$O1050=$B$3),IF($D$3="(todos)",TRUE,'ORDENES'!$AF1050=$D$3),IF($F$3="(todos)",TRUE,'ORDENES'!$X1050=$F$3),IF($H$3="(todos)",TRUE,'ORDENES'!$W1050=$H$3),'ORDENES'!$AD1050=TRUE,'ORDENES'!$A1050&lt;&gt;""),1,0)</f>
        <v/>
      </c>
      <c r="L1054" s="3">
        <f>IF(K1054=1,IFERROR(MATCH('ORDENES'!$R1050,lista_dias,0),9)*1000000000+IFERROR(MATCH('ORDENES'!$AF1050,lista_turnos,0),9)*10000000+IFERROR(MATCH('ORDENES'!$AE1050,'TECNICOS'!$B$4:$B$15,0),99)*100000+1047,9000000000000+1047)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IF('ORDENES'!$T1050="preventiva",N1054,0)</f>
        <v/>
      </c>
      <c r="P1054" s="17">
        <f>IF('ORDENES'!$T1050="correctiva",N1054,0)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IF(AND(IF($B$3="(todos)",TRUE,'ORDENES'!$O1051=$B$3),IF($D$3="(todos)",TRUE,'ORDENES'!$AF1051=$D$3),IF($F$3="(todos)",TRUE,'ORDENES'!$X1051=$F$3),IF($H$3="(todos)",TRUE,'ORDENES'!$W1051=$H$3),'ORDENES'!$AD1051=TRUE,'ORDENES'!$A1051&lt;&gt;""),1,0)</f>
        <v/>
      </c>
      <c r="L1055" s="3">
        <f>IF(K1055=1,IFERROR(MATCH('ORDENES'!$R1051,lista_dias,0),9)*1000000000+IFERROR(MATCH('ORDENES'!$AF1051,lista_turnos,0),9)*10000000+IFERROR(MATCH('ORDENES'!$AE1051,'TECNICOS'!$B$4:$B$15,0),99)*100000+1048,9000000000000+1048)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IF('ORDENES'!$T1051="preventiva",N1055,0)</f>
        <v/>
      </c>
      <c r="P1055" s="17">
        <f>IF('ORDENES'!$T1051="correctiva",N1055,0)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IF(AND(IF($B$3="(todos)",TRUE,'ORDENES'!$O1052=$B$3),IF($D$3="(todos)",TRUE,'ORDENES'!$AF1052=$D$3),IF($F$3="(todos)",TRUE,'ORDENES'!$X1052=$F$3),IF($H$3="(todos)",TRUE,'ORDENES'!$W1052=$H$3),'ORDENES'!$AD1052=TRUE,'ORDENES'!$A1052&lt;&gt;""),1,0)</f>
        <v/>
      </c>
      <c r="L1056" s="3">
        <f>IF(K1056=1,IFERROR(MATCH('ORDENES'!$R1052,lista_dias,0),9)*1000000000+IFERROR(MATCH('ORDENES'!$AF1052,lista_turnos,0),9)*10000000+IFERROR(MATCH('ORDENES'!$AE1052,'TECNICOS'!$B$4:$B$15,0),99)*100000+1049,9000000000000+1049)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IF('ORDENES'!$T1052="preventiva",N1056,0)</f>
        <v/>
      </c>
      <c r="P1056" s="17">
        <f>IF('ORDENES'!$T1052="correctiva",N1056,0)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IF(AND(IF($B$3="(todos)",TRUE,'ORDENES'!$O1053=$B$3),IF($D$3="(todos)",TRUE,'ORDENES'!$AF1053=$D$3),IF($F$3="(todos)",TRUE,'ORDENES'!$X1053=$F$3),IF($H$3="(todos)",TRUE,'ORDENES'!$W1053=$H$3),'ORDENES'!$AD1053=TRUE,'ORDENES'!$A1053&lt;&gt;""),1,0)</f>
        <v/>
      </c>
      <c r="L1057" s="3">
        <f>IF(K1057=1,IFERROR(MATCH('ORDENES'!$R1053,lista_dias,0),9)*1000000000+IFERROR(MATCH('ORDENES'!$AF1053,lista_turnos,0),9)*10000000+IFERROR(MATCH('ORDENES'!$AE1053,'TECNICOS'!$B$4:$B$15,0),99)*100000+1050,9000000000000+1050)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IF('ORDENES'!$T1053="preventiva",N1057,0)</f>
        <v/>
      </c>
      <c r="P1057" s="17">
        <f>IF('ORDENES'!$T1053="correctiva",N1057,0)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IF(AND(IF($B$3="(todos)",TRUE,'ORDENES'!$O1054=$B$3),IF($D$3="(todos)",TRUE,'ORDENES'!$AF1054=$D$3),IF($F$3="(todos)",TRUE,'ORDENES'!$X1054=$F$3),IF($H$3="(todos)",TRUE,'ORDENES'!$W1054=$H$3),'ORDENES'!$AD1054=TRUE,'ORDENES'!$A1054&lt;&gt;""),1,0)</f>
        <v/>
      </c>
      <c r="L1058" s="3">
        <f>IF(K1058=1,IFERROR(MATCH('ORDENES'!$R1054,lista_dias,0),9)*1000000000+IFERROR(MATCH('ORDENES'!$AF1054,lista_turnos,0),9)*10000000+IFERROR(MATCH('ORDENES'!$AE1054,'TECNICOS'!$B$4:$B$15,0),99)*100000+1051,9000000000000+1051)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IF('ORDENES'!$T1054="preventiva",N1058,0)</f>
        <v/>
      </c>
      <c r="P1058" s="17">
        <f>IF('ORDENES'!$T1054="correctiva",N1058,0)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IF(AND(IF($B$3="(todos)",TRUE,'ORDENES'!$O1055=$B$3),IF($D$3="(todos)",TRUE,'ORDENES'!$AF1055=$D$3),IF($F$3="(todos)",TRUE,'ORDENES'!$X1055=$F$3),IF($H$3="(todos)",TRUE,'ORDENES'!$W1055=$H$3),'ORDENES'!$AD1055=TRUE,'ORDENES'!$A1055&lt;&gt;""),1,0)</f>
        <v/>
      </c>
      <c r="L1059" s="3">
        <f>IF(K1059=1,IFERROR(MATCH('ORDENES'!$R1055,lista_dias,0),9)*1000000000+IFERROR(MATCH('ORDENES'!$AF1055,lista_turnos,0),9)*10000000+IFERROR(MATCH('ORDENES'!$AE1055,'TECNICOS'!$B$4:$B$15,0),99)*100000+1052,9000000000000+1052)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IF('ORDENES'!$T1055="preventiva",N1059,0)</f>
        <v/>
      </c>
      <c r="P1059" s="17">
        <f>IF('ORDENES'!$T1055="correctiva",N1059,0)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IF(AND(IF($B$3="(todos)",TRUE,'ORDENES'!$O1056=$B$3),IF($D$3="(todos)",TRUE,'ORDENES'!$AF1056=$D$3),IF($F$3="(todos)",TRUE,'ORDENES'!$X1056=$F$3),IF($H$3="(todos)",TRUE,'ORDENES'!$W1056=$H$3),'ORDENES'!$AD1056=TRUE,'ORDENES'!$A1056&lt;&gt;""),1,0)</f>
        <v/>
      </c>
      <c r="L1060" s="3">
        <f>IF(K1060=1,IFERROR(MATCH('ORDENES'!$R1056,lista_dias,0),9)*1000000000+IFERROR(MATCH('ORDENES'!$AF1056,lista_turnos,0),9)*10000000+IFERROR(MATCH('ORDENES'!$AE1056,'TECNICOS'!$B$4:$B$15,0),99)*100000+1053,9000000000000+1053)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IF('ORDENES'!$T1056="preventiva",N1060,0)</f>
        <v/>
      </c>
      <c r="P1060" s="17">
        <f>IF('ORDENES'!$T1056="correctiva",N1060,0)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IF(AND(IF($B$3="(todos)",TRUE,'ORDENES'!$O1057=$B$3),IF($D$3="(todos)",TRUE,'ORDENES'!$AF1057=$D$3),IF($F$3="(todos)",TRUE,'ORDENES'!$X1057=$F$3),IF($H$3="(todos)",TRUE,'ORDENES'!$W1057=$H$3),'ORDENES'!$AD1057=TRUE,'ORDENES'!$A1057&lt;&gt;""),1,0)</f>
        <v/>
      </c>
      <c r="L1061" s="3">
        <f>IF(K1061=1,IFERROR(MATCH('ORDENES'!$R1057,lista_dias,0),9)*1000000000+IFERROR(MATCH('ORDENES'!$AF1057,lista_turnos,0),9)*10000000+IFERROR(MATCH('ORDENES'!$AE1057,'TECNICOS'!$B$4:$B$15,0),99)*100000+1054,9000000000000+1054)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IF('ORDENES'!$T1057="preventiva",N1061,0)</f>
        <v/>
      </c>
      <c r="P1061" s="17">
        <f>IF('ORDENES'!$T1057="correctiva",N1061,0)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IF(AND(IF($B$3="(todos)",TRUE,'ORDENES'!$O1058=$B$3),IF($D$3="(todos)",TRUE,'ORDENES'!$AF1058=$D$3),IF($F$3="(todos)",TRUE,'ORDENES'!$X1058=$F$3),IF($H$3="(todos)",TRUE,'ORDENES'!$W1058=$H$3),'ORDENES'!$AD1058=TRUE,'ORDENES'!$A1058&lt;&gt;""),1,0)</f>
        <v/>
      </c>
      <c r="L1062" s="3">
        <f>IF(K1062=1,IFERROR(MATCH('ORDENES'!$R1058,lista_dias,0),9)*1000000000+IFERROR(MATCH('ORDENES'!$AF1058,lista_turnos,0),9)*10000000+IFERROR(MATCH('ORDENES'!$AE1058,'TECNICOS'!$B$4:$B$15,0),99)*100000+1055,9000000000000+1055)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IF('ORDENES'!$T1058="preventiva",N1062,0)</f>
        <v/>
      </c>
      <c r="P1062" s="17">
        <f>IF('ORDENES'!$T1058="correctiva",N1062,0)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IF(AND(IF($B$3="(todos)",TRUE,'ORDENES'!$O1059=$B$3),IF($D$3="(todos)",TRUE,'ORDENES'!$AF1059=$D$3),IF($F$3="(todos)",TRUE,'ORDENES'!$X1059=$F$3),IF($H$3="(todos)",TRUE,'ORDENES'!$W1059=$H$3),'ORDENES'!$AD1059=TRUE,'ORDENES'!$A1059&lt;&gt;""),1,0)</f>
        <v/>
      </c>
      <c r="L1063" s="3">
        <f>IF(K1063=1,IFERROR(MATCH('ORDENES'!$R1059,lista_dias,0),9)*1000000000+IFERROR(MATCH('ORDENES'!$AF1059,lista_turnos,0),9)*10000000+IFERROR(MATCH('ORDENES'!$AE1059,'TECNICOS'!$B$4:$B$15,0),99)*100000+1056,9000000000000+1056)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IF('ORDENES'!$T1059="preventiva",N1063,0)</f>
        <v/>
      </c>
      <c r="P1063" s="17">
        <f>IF('ORDENES'!$T1059="correctiva",N1063,0)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IF(AND(IF($B$3="(todos)",TRUE,'ORDENES'!$O1060=$B$3),IF($D$3="(todos)",TRUE,'ORDENES'!$AF1060=$D$3),IF($F$3="(todos)",TRUE,'ORDENES'!$X1060=$F$3),IF($H$3="(todos)",TRUE,'ORDENES'!$W1060=$H$3),'ORDENES'!$AD1060=TRUE,'ORDENES'!$A1060&lt;&gt;""),1,0)</f>
        <v/>
      </c>
      <c r="L1064" s="3">
        <f>IF(K1064=1,IFERROR(MATCH('ORDENES'!$R1060,lista_dias,0),9)*1000000000+IFERROR(MATCH('ORDENES'!$AF1060,lista_turnos,0),9)*10000000+IFERROR(MATCH('ORDENES'!$AE1060,'TECNICOS'!$B$4:$B$15,0),99)*100000+1057,9000000000000+1057)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IF('ORDENES'!$T1060="preventiva",N1064,0)</f>
        <v/>
      </c>
      <c r="P1064" s="17">
        <f>IF('ORDENES'!$T1060="correctiva",N1064,0)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IF(AND(IF($B$3="(todos)",TRUE,'ORDENES'!$O1061=$B$3),IF($D$3="(todos)",TRUE,'ORDENES'!$AF1061=$D$3),IF($F$3="(todos)",TRUE,'ORDENES'!$X1061=$F$3),IF($H$3="(todos)",TRUE,'ORDENES'!$W1061=$H$3),'ORDENES'!$AD1061=TRUE,'ORDENES'!$A1061&lt;&gt;""),1,0)</f>
        <v/>
      </c>
      <c r="L1065" s="3">
        <f>IF(K1065=1,IFERROR(MATCH('ORDENES'!$R1061,lista_dias,0),9)*1000000000+IFERROR(MATCH('ORDENES'!$AF1061,lista_turnos,0),9)*10000000+IFERROR(MATCH('ORDENES'!$AE1061,'TECNICOS'!$B$4:$B$15,0),99)*100000+1058,9000000000000+1058)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IF('ORDENES'!$T1061="preventiva",N1065,0)</f>
        <v/>
      </c>
      <c r="P1065" s="17">
        <f>IF('ORDENES'!$T1061="correctiva",N1065,0)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IF(AND(IF($B$3="(todos)",TRUE,'ORDENES'!$O1062=$B$3),IF($D$3="(todos)",TRUE,'ORDENES'!$AF1062=$D$3),IF($F$3="(todos)",TRUE,'ORDENES'!$X1062=$F$3),IF($H$3="(todos)",TRUE,'ORDENES'!$W1062=$H$3),'ORDENES'!$AD1062=TRUE,'ORDENES'!$A1062&lt;&gt;""),1,0)</f>
        <v/>
      </c>
      <c r="L1066" s="3">
        <f>IF(K1066=1,IFERROR(MATCH('ORDENES'!$R1062,lista_dias,0),9)*1000000000+IFERROR(MATCH('ORDENES'!$AF1062,lista_turnos,0),9)*10000000+IFERROR(MATCH('ORDENES'!$AE1062,'TECNICOS'!$B$4:$B$15,0),99)*100000+1059,9000000000000+1059)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IF('ORDENES'!$T1062="preventiva",N1066,0)</f>
        <v/>
      </c>
      <c r="P1066" s="17">
        <f>IF('ORDENES'!$T1062="correctiva",N1066,0)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IF(AND(IF($B$3="(todos)",TRUE,'ORDENES'!$O1063=$B$3),IF($D$3="(todos)",TRUE,'ORDENES'!$AF1063=$D$3),IF($F$3="(todos)",TRUE,'ORDENES'!$X1063=$F$3),IF($H$3="(todos)",TRUE,'ORDENES'!$W1063=$H$3),'ORDENES'!$AD1063=TRUE,'ORDENES'!$A1063&lt;&gt;""),1,0)</f>
        <v/>
      </c>
      <c r="L1067" s="3">
        <f>IF(K1067=1,IFERROR(MATCH('ORDENES'!$R1063,lista_dias,0),9)*1000000000+IFERROR(MATCH('ORDENES'!$AF1063,lista_turnos,0),9)*10000000+IFERROR(MATCH('ORDENES'!$AE1063,'TECNICOS'!$B$4:$B$15,0),99)*100000+1060,9000000000000+1060)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IF('ORDENES'!$T1063="preventiva",N1067,0)</f>
        <v/>
      </c>
      <c r="P1067" s="17">
        <f>IF('ORDENES'!$T1063="correctiva",N1067,0)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IF(AND(IF($B$3="(todos)",TRUE,'ORDENES'!$O1064=$B$3),IF($D$3="(todos)",TRUE,'ORDENES'!$AF1064=$D$3),IF($F$3="(todos)",TRUE,'ORDENES'!$X1064=$F$3),IF($H$3="(todos)",TRUE,'ORDENES'!$W1064=$H$3),'ORDENES'!$AD1064=TRUE,'ORDENES'!$A1064&lt;&gt;""),1,0)</f>
        <v/>
      </c>
      <c r="L1068" s="3">
        <f>IF(K1068=1,IFERROR(MATCH('ORDENES'!$R1064,lista_dias,0),9)*1000000000+IFERROR(MATCH('ORDENES'!$AF1064,lista_turnos,0),9)*10000000+IFERROR(MATCH('ORDENES'!$AE1064,'TECNICOS'!$B$4:$B$15,0),99)*100000+1061,9000000000000+1061)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IF('ORDENES'!$T1064="preventiva",N1068,0)</f>
        <v/>
      </c>
      <c r="P1068" s="17">
        <f>IF('ORDENES'!$T1064="correctiva",N1068,0)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IF(AND(IF($B$3="(todos)",TRUE,'ORDENES'!$O1065=$B$3),IF($D$3="(todos)",TRUE,'ORDENES'!$AF1065=$D$3),IF($F$3="(todos)",TRUE,'ORDENES'!$X1065=$F$3),IF($H$3="(todos)",TRUE,'ORDENES'!$W1065=$H$3),'ORDENES'!$AD1065=TRUE,'ORDENES'!$A1065&lt;&gt;""),1,0)</f>
        <v/>
      </c>
      <c r="L1069" s="3">
        <f>IF(K1069=1,IFERROR(MATCH('ORDENES'!$R1065,lista_dias,0),9)*1000000000+IFERROR(MATCH('ORDENES'!$AF1065,lista_turnos,0),9)*10000000+IFERROR(MATCH('ORDENES'!$AE1065,'TECNICOS'!$B$4:$B$15,0),99)*100000+1062,9000000000000+1062)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IF('ORDENES'!$T1065="preventiva",N1069,0)</f>
        <v/>
      </c>
      <c r="P1069" s="17">
        <f>IF('ORDENES'!$T1065="correctiva",N1069,0)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IF(AND(IF($B$3="(todos)",TRUE,'ORDENES'!$O1066=$B$3),IF($D$3="(todos)",TRUE,'ORDENES'!$AF1066=$D$3),IF($F$3="(todos)",TRUE,'ORDENES'!$X1066=$F$3),IF($H$3="(todos)",TRUE,'ORDENES'!$W1066=$H$3),'ORDENES'!$AD1066=TRUE,'ORDENES'!$A1066&lt;&gt;""),1,0)</f>
        <v/>
      </c>
      <c r="L1070" s="3">
        <f>IF(K1070=1,IFERROR(MATCH('ORDENES'!$R1066,lista_dias,0),9)*1000000000+IFERROR(MATCH('ORDENES'!$AF1066,lista_turnos,0),9)*10000000+IFERROR(MATCH('ORDENES'!$AE1066,'TECNICOS'!$B$4:$B$15,0),99)*100000+1063,9000000000000+1063)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IF('ORDENES'!$T1066="preventiva",N1070,0)</f>
        <v/>
      </c>
      <c r="P1070" s="17">
        <f>IF('ORDENES'!$T1066="correctiva",N1070,0)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IF(AND(IF($B$3="(todos)",TRUE,'ORDENES'!$O1067=$B$3),IF($D$3="(todos)",TRUE,'ORDENES'!$AF1067=$D$3),IF($F$3="(todos)",TRUE,'ORDENES'!$X1067=$F$3),IF($H$3="(todos)",TRUE,'ORDENES'!$W1067=$H$3),'ORDENES'!$AD1067=TRUE,'ORDENES'!$A1067&lt;&gt;""),1,0)</f>
        <v/>
      </c>
      <c r="L1071" s="3">
        <f>IF(K1071=1,IFERROR(MATCH('ORDENES'!$R1067,lista_dias,0),9)*1000000000+IFERROR(MATCH('ORDENES'!$AF1067,lista_turnos,0),9)*10000000+IFERROR(MATCH('ORDENES'!$AE1067,'TECNICOS'!$B$4:$B$15,0),99)*100000+1064,9000000000000+1064)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IF('ORDENES'!$T1067="preventiva",N1071,0)</f>
        <v/>
      </c>
      <c r="P1071" s="17">
        <f>IF('ORDENES'!$T1067="correctiva",N1071,0)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IF(AND(IF($B$3="(todos)",TRUE,'ORDENES'!$O1068=$B$3),IF($D$3="(todos)",TRUE,'ORDENES'!$AF1068=$D$3),IF($F$3="(todos)",TRUE,'ORDENES'!$X1068=$F$3),IF($H$3="(todos)",TRUE,'ORDENES'!$W1068=$H$3),'ORDENES'!$AD1068=TRUE,'ORDENES'!$A1068&lt;&gt;""),1,0)</f>
        <v/>
      </c>
      <c r="L1072" s="3">
        <f>IF(K1072=1,IFERROR(MATCH('ORDENES'!$R1068,lista_dias,0),9)*1000000000+IFERROR(MATCH('ORDENES'!$AF1068,lista_turnos,0),9)*10000000+IFERROR(MATCH('ORDENES'!$AE1068,'TECNICOS'!$B$4:$B$15,0),99)*100000+1065,9000000000000+1065)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IF('ORDENES'!$T1068="preventiva",N1072,0)</f>
        <v/>
      </c>
      <c r="P1072" s="17">
        <f>IF('ORDENES'!$T1068="correctiva",N1072,0)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IF(AND(IF($B$3="(todos)",TRUE,'ORDENES'!$O1069=$B$3),IF($D$3="(todos)",TRUE,'ORDENES'!$AF1069=$D$3),IF($F$3="(todos)",TRUE,'ORDENES'!$X1069=$F$3),IF($H$3="(todos)",TRUE,'ORDENES'!$W1069=$H$3),'ORDENES'!$AD1069=TRUE,'ORDENES'!$A1069&lt;&gt;""),1,0)</f>
        <v/>
      </c>
      <c r="L1073" s="3">
        <f>IF(K1073=1,IFERROR(MATCH('ORDENES'!$R1069,lista_dias,0),9)*1000000000+IFERROR(MATCH('ORDENES'!$AF1069,lista_turnos,0),9)*10000000+IFERROR(MATCH('ORDENES'!$AE1069,'TECNICOS'!$B$4:$B$15,0),99)*100000+1066,9000000000000+1066)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IF('ORDENES'!$T1069="preventiva",N1073,0)</f>
        <v/>
      </c>
      <c r="P1073" s="17">
        <f>IF('ORDENES'!$T1069="correctiva",N1073,0)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IF(AND(IF($B$3="(todos)",TRUE,'ORDENES'!$O1070=$B$3),IF($D$3="(todos)",TRUE,'ORDENES'!$AF1070=$D$3),IF($F$3="(todos)",TRUE,'ORDENES'!$X1070=$F$3),IF($H$3="(todos)",TRUE,'ORDENES'!$W1070=$H$3),'ORDENES'!$AD1070=TRUE,'ORDENES'!$A1070&lt;&gt;""),1,0)</f>
        <v/>
      </c>
      <c r="L1074" s="3">
        <f>IF(K1074=1,IFERROR(MATCH('ORDENES'!$R1070,lista_dias,0),9)*1000000000+IFERROR(MATCH('ORDENES'!$AF1070,lista_turnos,0),9)*10000000+IFERROR(MATCH('ORDENES'!$AE1070,'TECNICOS'!$B$4:$B$15,0),99)*100000+1067,9000000000000+1067)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IF('ORDENES'!$T1070="preventiva",N1074,0)</f>
        <v/>
      </c>
      <c r="P1074" s="17">
        <f>IF('ORDENES'!$T1070="correctiva",N1074,0)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IF(AND(IF($B$3="(todos)",TRUE,'ORDENES'!$O1071=$B$3),IF($D$3="(todos)",TRUE,'ORDENES'!$AF1071=$D$3),IF($F$3="(todos)",TRUE,'ORDENES'!$X1071=$F$3),IF($H$3="(todos)",TRUE,'ORDENES'!$W1071=$H$3),'ORDENES'!$AD1071=TRUE,'ORDENES'!$A1071&lt;&gt;""),1,0)</f>
        <v/>
      </c>
      <c r="L1075" s="3">
        <f>IF(K1075=1,IFERROR(MATCH('ORDENES'!$R1071,lista_dias,0),9)*1000000000+IFERROR(MATCH('ORDENES'!$AF1071,lista_turnos,0),9)*10000000+IFERROR(MATCH('ORDENES'!$AE1071,'TECNICOS'!$B$4:$B$15,0),99)*100000+1068,9000000000000+1068)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IF('ORDENES'!$T1071="preventiva",N1075,0)</f>
        <v/>
      </c>
      <c r="P1075" s="17">
        <f>IF('ORDENES'!$T1071="correctiva",N1075,0)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IF(AND(IF($B$3="(todos)",TRUE,'ORDENES'!$O1072=$B$3),IF($D$3="(todos)",TRUE,'ORDENES'!$AF1072=$D$3),IF($F$3="(todos)",TRUE,'ORDENES'!$X1072=$F$3),IF($H$3="(todos)",TRUE,'ORDENES'!$W1072=$H$3),'ORDENES'!$AD1072=TRUE,'ORDENES'!$A1072&lt;&gt;""),1,0)</f>
        <v/>
      </c>
      <c r="L1076" s="3">
        <f>IF(K1076=1,IFERROR(MATCH('ORDENES'!$R1072,lista_dias,0),9)*1000000000+IFERROR(MATCH('ORDENES'!$AF1072,lista_turnos,0),9)*10000000+IFERROR(MATCH('ORDENES'!$AE1072,'TECNICOS'!$B$4:$B$15,0),99)*100000+1069,9000000000000+1069)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IF('ORDENES'!$T1072="preventiva",N1076,0)</f>
        <v/>
      </c>
      <c r="P1076" s="17">
        <f>IF('ORDENES'!$T1072="correctiva",N1076,0)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IF(AND(IF($B$3="(todos)",TRUE,'ORDENES'!$O1073=$B$3),IF($D$3="(todos)",TRUE,'ORDENES'!$AF1073=$D$3),IF($F$3="(todos)",TRUE,'ORDENES'!$X1073=$F$3),IF($H$3="(todos)",TRUE,'ORDENES'!$W1073=$H$3),'ORDENES'!$AD1073=TRUE,'ORDENES'!$A1073&lt;&gt;""),1,0)</f>
        <v/>
      </c>
      <c r="L1077" s="3">
        <f>IF(K1077=1,IFERROR(MATCH('ORDENES'!$R1073,lista_dias,0),9)*1000000000+IFERROR(MATCH('ORDENES'!$AF1073,lista_turnos,0),9)*10000000+IFERROR(MATCH('ORDENES'!$AE1073,'TECNICOS'!$B$4:$B$15,0),99)*100000+1070,9000000000000+1070)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IF('ORDENES'!$T1073="preventiva",N1077,0)</f>
        <v/>
      </c>
      <c r="P1077" s="17">
        <f>IF('ORDENES'!$T1073="correctiva",N1077,0)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IF(AND(IF($B$3="(todos)",TRUE,'ORDENES'!$O1074=$B$3),IF($D$3="(todos)",TRUE,'ORDENES'!$AF1074=$D$3),IF($F$3="(todos)",TRUE,'ORDENES'!$X1074=$F$3),IF($H$3="(todos)",TRUE,'ORDENES'!$W1074=$H$3),'ORDENES'!$AD1074=TRUE,'ORDENES'!$A1074&lt;&gt;""),1,0)</f>
        <v/>
      </c>
      <c r="L1078" s="3">
        <f>IF(K1078=1,IFERROR(MATCH('ORDENES'!$R1074,lista_dias,0),9)*1000000000+IFERROR(MATCH('ORDENES'!$AF1074,lista_turnos,0),9)*10000000+IFERROR(MATCH('ORDENES'!$AE1074,'TECNICOS'!$B$4:$B$15,0),99)*100000+1071,9000000000000+1071)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IF('ORDENES'!$T1074="preventiva",N1078,0)</f>
        <v/>
      </c>
      <c r="P1078" s="17">
        <f>IF('ORDENES'!$T1074="correctiva",N1078,0)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IF(AND(IF($B$3="(todos)",TRUE,'ORDENES'!$O1075=$B$3),IF($D$3="(todos)",TRUE,'ORDENES'!$AF1075=$D$3),IF($F$3="(todos)",TRUE,'ORDENES'!$X1075=$F$3),IF($H$3="(todos)",TRUE,'ORDENES'!$W1075=$H$3),'ORDENES'!$AD1075=TRUE,'ORDENES'!$A1075&lt;&gt;""),1,0)</f>
        <v/>
      </c>
      <c r="L1079" s="3">
        <f>IF(K1079=1,IFERROR(MATCH('ORDENES'!$R1075,lista_dias,0),9)*1000000000+IFERROR(MATCH('ORDENES'!$AF1075,lista_turnos,0),9)*10000000+IFERROR(MATCH('ORDENES'!$AE1075,'TECNICOS'!$B$4:$B$15,0),99)*100000+1072,9000000000000+1072)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IF('ORDENES'!$T1075="preventiva",N1079,0)</f>
        <v/>
      </c>
      <c r="P1079" s="17">
        <f>IF('ORDENES'!$T1075="correctiva",N1079,0)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IF(AND(IF($B$3="(todos)",TRUE,'ORDENES'!$O1076=$B$3),IF($D$3="(todos)",TRUE,'ORDENES'!$AF1076=$D$3),IF($F$3="(todos)",TRUE,'ORDENES'!$X1076=$F$3),IF($H$3="(todos)",TRUE,'ORDENES'!$W1076=$H$3),'ORDENES'!$AD1076=TRUE,'ORDENES'!$A1076&lt;&gt;""),1,0)</f>
        <v/>
      </c>
      <c r="L1080" s="3">
        <f>IF(K1080=1,IFERROR(MATCH('ORDENES'!$R1076,lista_dias,0),9)*1000000000+IFERROR(MATCH('ORDENES'!$AF1076,lista_turnos,0),9)*10000000+IFERROR(MATCH('ORDENES'!$AE1076,'TECNICOS'!$B$4:$B$15,0),99)*100000+1073,9000000000000+1073)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IF('ORDENES'!$T1076="preventiva",N1080,0)</f>
        <v/>
      </c>
      <c r="P1080" s="17">
        <f>IF('ORDENES'!$T1076="correctiva",N1080,0)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IF(AND(IF($B$3="(todos)",TRUE,'ORDENES'!$O1077=$B$3),IF($D$3="(todos)",TRUE,'ORDENES'!$AF1077=$D$3),IF($F$3="(todos)",TRUE,'ORDENES'!$X1077=$F$3),IF($H$3="(todos)",TRUE,'ORDENES'!$W1077=$H$3),'ORDENES'!$AD1077=TRUE,'ORDENES'!$A1077&lt;&gt;""),1,0)</f>
        <v/>
      </c>
      <c r="L1081" s="3">
        <f>IF(K1081=1,IFERROR(MATCH('ORDENES'!$R1077,lista_dias,0),9)*1000000000+IFERROR(MATCH('ORDENES'!$AF1077,lista_turnos,0),9)*10000000+IFERROR(MATCH('ORDENES'!$AE1077,'TECNICOS'!$B$4:$B$15,0),99)*100000+1074,9000000000000+1074)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IF('ORDENES'!$T1077="preventiva",N1081,0)</f>
        <v/>
      </c>
      <c r="P1081" s="17">
        <f>IF('ORDENES'!$T1077="correctiva",N1081,0)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IF(AND(IF($B$3="(todos)",TRUE,'ORDENES'!$O1078=$B$3),IF($D$3="(todos)",TRUE,'ORDENES'!$AF1078=$D$3),IF($F$3="(todos)",TRUE,'ORDENES'!$X1078=$F$3),IF($H$3="(todos)",TRUE,'ORDENES'!$W1078=$H$3),'ORDENES'!$AD1078=TRUE,'ORDENES'!$A1078&lt;&gt;""),1,0)</f>
        <v/>
      </c>
      <c r="L1082" s="3">
        <f>IF(K1082=1,IFERROR(MATCH('ORDENES'!$R1078,lista_dias,0),9)*1000000000+IFERROR(MATCH('ORDENES'!$AF1078,lista_turnos,0),9)*10000000+IFERROR(MATCH('ORDENES'!$AE1078,'TECNICOS'!$B$4:$B$15,0),99)*100000+1075,9000000000000+1075)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IF('ORDENES'!$T1078="preventiva",N1082,0)</f>
        <v/>
      </c>
      <c r="P1082" s="17">
        <f>IF('ORDENES'!$T1078="correctiva",N1082,0)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IF(AND(IF($B$3="(todos)",TRUE,'ORDENES'!$O1079=$B$3),IF($D$3="(todos)",TRUE,'ORDENES'!$AF1079=$D$3),IF($F$3="(todos)",TRUE,'ORDENES'!$X1079=$F$3),IF($H$3="(todos)",TRUE,'ORDENES'!$W1079=$H$3),'ORDENES'!$AD1079=TRUE,'ORDENES'!$A1079&lt;&gt;""),1,0)</f>
        <v/>
      </c>
      <c r="L1083" s="3">
        <f>IF(K1083=1,IFERROR(MATCH('ORDENES'!$R1079,lista_dias,0),9)*1000000000+IFERROR(MATCH('ORDENES'!$AF1079,lista_turnos,0),9)*10000000+IFERROR(MATCH('ORDENES'!$AE1079,'TECNICOS'!$B$4:$B$15,0),99)*100000+1076,9000000000000+1076)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IF('ORDENES'!$T1079="preventiva",N1083,0)</f>
        <v/>
      </c>
      <c r="P1083" s="17">
        <f>IF('ORDENES'!$T1079="correctiva",N1083,0)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IF(AND(IF($B$3="(todos)",TRUE,'ORDENES'!$O1080=$B$3),IF($D$3="(todos)",TRUE,'ORDENES'!$AF1080=$D$3),IF($F$3="(todos)",TRUE,'ORDENES'!$X1080=$F$3),IF($H$3="(todos)",TRUE,'ORDENES'!$W1080=$H$3),'ORDENES'!$AD1080=TRUE,'ORDENES'!$A1080&lt;&gt;""),1,0)</f>
        <v/>
      </c>
      <c r="L1084" s="3">
        <f>IF(K1084=1,IFERROR(MATCH('ORDENES'!$R1080,lista_dias,0),9)*1000000000+IFERROR(MATCH('ORDENES'!$AF1080,lista_turnos,0),9)*10000000+IFERROR(MATCH('ORDENES'!$AE1080,'TECNICOS'!$B$4:$B$15,0),99)*100000+1077,9000000000000+1077)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IF('ORDENES'!$T1080="preventiva",N1084,0)</f>
        <v/>
      </c>
      <c r="P1084" s="17">
        <f>IF('ORDENES'!$T1080="correctiva",N1084,0)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IF(AND(IF($B$3="(todos)",TRUE,'ORDENES'!$O1081=$B$3),IF($D$3="(todos)",TRUE,'ORDENES'!$AF1081=$D$3),IF($F$3="(todos)",TRUE,'ORDENES'!$X1081=$F$3),IF($H$3="(todos)",TRUE,'ORDENES'!$W1081=$H$3),'ORDENES'!$AD1081=TRUE,'ORDENES'!$A1081&lt;&gt;""),1,0)</f>
        <v/>
      </c>
      <c r="L1085" s="3">
        <f>IF(K1085=1,IFERROR(MATCH('ORDENES'!$R1081,lista_dias,0),9)*1000000000+IFERROR(MATCH('ORDENES'!$AF1081,lista_turnos,0),9)*10000000+IFERROR(MATCH('ORDENES'!$AE1081,'TECNICOS'!$B$4:$B$15,0),99)*100000+1078,9000000000000+1078)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IF('ORDENES'!$T1081="preventiva",N1085,0)</f>
        <v/>
      </c>
      <c r="P1085" s="17">
        <f>IF('ORDENES'!$T1081="correctiva",N1085,0)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IF(AND(IF($B$3="(todos)",TRUE,'ORDENES'!$O1082=$B$3),IF($D$3="(todos)",TRUE,'ORDENES'!$AF1082=$D$3),IF($F$3="(todos)",TRUE,'ORDENES'!$X1082=$F$3),IF($H$3="(todos)",TRUE,'ORDENES'!$W1082=$H$3),'ORDENES'!$AD1082=TRUE,'ORDENES'!$A1082&lt;&gt;""),1,0)</f>
        <v/>
      </c>
      <c r="L1086" s="3">
        <f>IF(K1086=1,IFERROR(MATCH('ORDENES'!$R1082,lista_dias,0),9)*1000000000+IFERROR(MATCH('ORDENES'!$AF1082,lista_turnos,0),9)*10000000+IFERROR(MATCH('ORDENES'!$AE1082,'TECNICOS'!$B$4:$B$15,0),99)*100000+1079,9000000000000+1079)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IF('ORDENES'!$T1082="preventiva",N1086,0)</f>
        <v/>
      </c>
      <c r="P1086" s="17">
        <f>IF('ORDENES'!$T1082="correctiva",N1086,0)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IF(AND(IF($B$3="(todos)",TRUE,'ORDENES'!$O1083=$B$3),IF($D$3="(todos)",TRUE,'ORDENES'!$AF1083=$D$3),IF($F$3="(todos)",TRUE,'ORDENES'!$X1083=$F$3),IF($H$3="(todos)",TRUE,'ORDENES'!$W1083=$H$3),'ORDENES'!$AD1083=TRUE,'ORDENES'!$A1083&lt;&gt;""),1,0)</f>
        <v/>
      </c>
      <c r="L1087" s="3">
        <f>IF(K1087=1,IFERROR(MATCH('ORDENES'!$R1083,lista_dias,0),9)*1000000000+IFERROR(MATCH('ORDENES'!$AF1083,lista_turnos,0),9)*10000000+IFERROR(MATCH('ORDENES'!$AE1083,'TECNICOS'!$B$4:$B$15,0),99)*100000+1080,9000000000000+1080)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IF('ORDENES'!$T1083="preventiva",N1087,0)</f>
        <v/>
      </c>
      <c r="P1087" s="17">
        <f>IF('ORDENES'!$T1083="correctiva",N1087,0)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IF(AND(IF($B$3="(todos)",TRUE,'ORDENES'!$O1084=$B$3),IF($D$3="(todos)",TRUE,'ORDENES'!$AF1084=$D$3),IF($F$3="(todos)",TRUE,'ORDENES'!$X1084=$F$3),IF($H$3="(todos)",TRUE,'ORDENES'!$W1084=$H$3),'ORDENES'!$AD1084=TRUE,'ORDENES'!$A1084&lt;&gt;""),1,0)</f>
        <v/>
      </c>
      <c r="L1088" s="3">
        <f>IF(K1088=1,IFERROR(MATCH('ORDENES'!$R1084,lista_dias,0),9)*1000000000+IFERROR(MATCH('ORDENES'!$AF1084,lista_turnos,0),9)*10000000+IFERROR(MATCH('ORDENES'!$AE1084,'TECNICOS'!$B$4:$B$15,0),99)*100000+1081,9000000000000+1081)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IF('ORDENES'!$T1084="preventiva",N1088,0)</f>
        <v/>
      </c>
      <c r="P1088" s="17">
        <f>IF('ORDENES'!$T1084="correctiva",N1088,0)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IF(AND(IF($B$3="(todos)",TRUE,'ORDENES'!$O1085=$B$3),IF($D$3="(todos)",TRUE,'ORDENES'!$AF1085=$D$3),IF($F$3="(todos)",TRUE,'ORDENES'!$X1085=$F$3),IF($H$3="(todos)",TRUE,'ORDENES'!$W1085=$H$3),'ORDENES'!$AD1085=TRUE,'ORDENES'!$A1085&lt;&gt;""),1,0)</f>
        <v/>
      </c>
      <c r="L1089" s="3">
        <f>IF(K1089=1,IFERROR(MATCH('ORDENES'!$R1085,lista_dias,0),9)*1000000000+IFERROR(MATCH('ORDENES'!$AF1085,lista_turnos,0),9)*10000000+IFERROR(MATCH('ORDENES'!$AE1085,'TECNICOS'!$B$4:$B$15,0),99)*100000+1082,9000000000000+1082)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IF('ORDENES'!$T1085="preventiva",N1089,0)</f>
        <v/>
      </c>
      <c r="P1089" s="17">
        <f>IF('ORDENES'!$T1085="correctiva",N1089,0)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IF(AND(IF($B$3="(todos)",TRUE,'ORDENES'!$O1086=$B$3),IF($D$3="(todos)",TRUE,'ORDENES'!$AF1086=$D$3),IF($F$3="(todos)",TRUE,'ORDENES'!$X1086=$F$3),IF($H$3="(todos)",TRUE,'ORDENES'!$W1086=$H$3),'ORDENES'!$AD1086=TRUE,'ORDENES'!$A1086&lt;&gt;""),1,0)</f>
        <v/>
      </c>
      <c r="L1090" s="3">
        <f>IF(K1090=1,IFERROR(MATCH('ORDENES'!$R1086,lista_dias,0),9)*1000000000+IFERROR(MATCH('ORDENES'!$AF1086,lista_turnos,0),9)*10000000+IFERROR(MATCH('ORDENES'!$AE1086,'TECNICOS'!$B$4:$B$15,0),99)*100000+1083,9000000000000+1083)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IF('ORDENES'!$T1086="preventiva",N1090,0)</f>
        <v/>
      </c>
      <c r="P1090" s="17">
        <f>IF('ORDENES'!$T1086="correctiva",N1090,0)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IF(AND(IF($B$3="(todos)",TRUE,'ORDENES'!$O1087=$B$3),IF($D$3="(todos)",TRUE,'ORDENES'!$AF1087=$D$3),IF($F$3="(todos)",TRUE,'ORDENES'!$X1087=$F$3),IF($H$3="(todos)",TRUE,'ORDENES'!$W1087=$H$3),'ORDENES'!$AD1087=TRUE,'ORDENES'!$A1087&lt;&gt;""),1,0)</f>
        <v/>
      </c>
      <c r="L1091" s="3">
        <f>IF(K1091=1,IFERROR(MATCH('ORDENES'!$R1087,lista_dias,0),9)*1000000000+IFERROR(MATCH('ORDENES'!$AF1087,lista_turnos,0),9)*10000000+IFERROR(MATCH('ORDENES'!$AE1087,'TECNICOS'!$B$4:$B$15,0),99)*100000+1084,9000000000000+1084)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IF('ORDENES'!$T1087="preventiva",N1091,0)</f>
        <v/>
      </c>
      <c r="P1091" s="17">
        <f>IF('ORDENES'!$T1087="correctiva",N1091,0)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IF(AND(IF($B$3="(todos)",TRUE,'ORDENES'!$O1088=$B$3),IF($D$3="(todos)",TRUE,'ORDENES'!$AF1088=$D$3),IF($F$3="(todos)",TRUE,'ORDENES'!$X1088=$F$3),IF($H$3="(todos)",TRUE,'ORDENES'!$W1088=$H$3),'ORDENES'!$AD1088=TRUE,'ORDENES'!$A1088&lt;&gt;""),1,0)</f>
        <v/>
      </c>
      <c r="L1092" s="3">
        <f>IF(K1092=1,IFERROR(MATCH('ORDENES'!$R1088,lista_dias,0),9)*1000000000+IFERROR(MATCH('ORDENES'!$AF1088,lista_turnos,0),9)*10000000+IFERROR(MATCH('ORDENES'!$AE1088,'TECNICOS'!$B$4:$B$15,0),99)*100000+1085,9000000000000+1085)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IF('ORDENES'!$T1088="preventiva",N1092,0)</f>
        <v/>
      </c>
      <c r="P1092" s="17">
        <f>IF('ORDENES'!$T1088="correctiva",N1092,0)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IF(AND(IF($B$3="(todos)",TRUE,'ORDENES'!$O1089=$B$3),IF($D$3="(todos)",TRUE,'ORDENES'!$AF1089=$D$3),IF($F$3="(todos)",TRUE,'ORDENES'!$X1089=$F$3),IF($H$3="(todos)",TRUE,'ORDENES'!$W1089=$H$3),'ORDENES'!$AD1089=TRUE,'ORDENES'!$A1089&lt;&gt;""),1,0)</f>
        <v/>
      </c>
      <c r="L1093" s="3">
        <f>IF(K1093=1,IFERROR(MATCH('ORDENES'!$R1089,lista_dias,0),9)*1000000000+IFERROR(MATCH('ORDENES'!$AF1089,lista_turnos,0),9)*10000000+IFERROR(MATCH('ORDENES'!$AE1089,'TECNICOS'!$B$4:$B$15,0),99)*100000+1086,9000000000000+1086)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IF('ORDENES'!$T1089="preventiva",N1093,0)</f>
        <v/>
      </c>
      <c r="P1093" s="17">
        <f>IF('ORDENES'!$T1089="correctiva",N1093,0)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IF(AND(IF($B$3="(todos)",TRUE,'ORDENES'!$O1090=$B$3),IF($D$3="(todos)",TRUE,'ORDENES'!$AF1090=$D$3),IF($F$3="(todos)",TRUE,'ORDENES'!$X1090=$F$3),IF($H$3="(todos)",TRUE,'ORDENES'!$W1090=$H$3),'ORDENES'!$AD1090=TRUE,'ORDENES'!$A1090&lt;&gt;""),1,0)</f>
        <v/>
      </c>
      <c r="L1094" s="3">
        <f>IF(K1094=1,IFERROR(MATCH('ORDENES'!$R1090,lista_dias,0),9)*1000000000+IFERROR(MATCH('ORDENES'!$AF1090,lista_turnos,0),9)*10000000+IFERROR(MATCH('ORDENES'!$AE1090,'TECNICOS'!$B$4:$B$15,0),99)*100000+1087,9000000000000+1087)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IF('ORDENES'!$T1090="preventiva",N1094,0)</f>
        <v/>
      </c>
      <c r="P1094" s="17">
        <f>IF('ORDENES'!$T1090="correctiva",N1094,0)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IF(AND(IF($B$3="(todos)",TRUE,'ORDENES'!$O1091=$B$3),IF($D$3="(todos)",TRUE,'ORDENES'!$AF1091=$D$3),IF($F$3="(todos)",TRUE,'ORDENES'!$X1091=$F$3),IF($H$3="(todos)",TRUE,'ORDENES'!$W1091=$H$3),'ORDENES'!$AD1091=TRUE,'ORDENES'!$A1091&lt;&gt;""),1,0)</f>
        <v/>
      </c>
      <c r="L1095" s="3">
        <f>IF(K1095=1,IFERROR(MATCH('ORDENES'!$R1091,lista_dias,0),9)*1000000000+IFERROR(MATCH('ORDENES'!$AF1091,lista_turnos,0),9)*10000000+IFERROR(MATCH('ORDENES'!$AE1091,'TECNICOS'!$B$4:$B$15,0),99)*100000+1088,9000000000000+1088)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IF('ORDENES'!$T1091="preventiva",N1095,0)</f>
        <v/>
      </c>
      <c r="P1095" s="17">
        <f>IF('ORDENES'!$T1091="correctiva",N1095,0)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IF(AND(IF($B$3="(todos)",TRUE,'ORDENES'!$O1092=$B$3),IF($D$3="(todos)",TRUE,'ORDENES'!$AF1092=$D$3),IF($F$3="(todos)",TRUE,'ORDENES'!$X1092=$F$3),IF($H$3="(todos)",TRUE,'ORDENES'!$W1092=$H$3),'ORDENES'!$AD1092=TRUE,'ORDENES'!$A1092&lt;&gt;""),1,0)</f>
        <v/>
      </c>
      <c r="L1096" s="3">
        <f>IF(K1096=1,IFERROR(MATCH('ORDENES'!$R1092,lista_dias,0),9)*1000000000+IFERROR(MATCH('ORDENES'!$AF1092,lista_turnos,0),9)*10000000+IFERROR(MATCH('ORDENES'!$AE1092,'TECNICOS'!$B$4:$B$15,0),99)*100000+1089,9000000000000+1089)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IF('ORDENES'!$T1092="preventiva",N1096,0)</f>
        <v/>
      </c>
      <c r="P1096" s="17">
        <f>IF('ORDENES'!$T1092="correctiva",N1096,0)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IF(AND(IF($B$3="(todos)",TRUE,'ORDENES'!$O1093=$B$3),IF($D$3="(todos)",TRUE,'ORDENES'!$AF1093=$D$3),IF($F$3="(todos)",TRUE,'ORDENES'!$X1093=$F$3),IF($H$3="(todos)",TRUE,'ORDENES'!$W1093=$H$3),'ORDENES'!$AD1093=TRUE,'ORDENES'!$A1093&lt;&gt;""),1,0)</f>
        <v/>
      </c>
      <c r="L1097" s="3">
        <f>IF(K1097=1,IFERROR(MATCH('ORDENES'!$R1093,lista_dias,0),9)*1000000000+IFERROR(MATCH('ORDENES'!$AF1093,lista_turnos,0),9)*10000000+IFERROR(MATCH('ORDENES'!$AE1093,'TECNICOS'!$B$4:$B$15,0),99)*100000+1090,9000000000000+1090)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IF('ORDENES'!$T1093="preventiva",N1097,0)</f>
        <v/>
      </c>
      <c r="P1097" s="17">
        <f>IF('ORDENES'!$T1093="correctiva",N1097,0)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IF(AND(IF($B$3="(todos)",TRUE,'ORDENES'!$O1094=$B$3),IF($D$3="(todos)",TRUE,'ORDENES'!$AF1094=$D$3),IF($F$3="(todos)",TRUE,'ORDENES'!$X1094=$F$3),IF($H$3="(todos)",TRUE,'ORDENES'!$W1094=$H$3),'ORDENES'!$AD1094=TRUE,'ORDENES'!$A1094&lt;&gt;""),1,0)</f>
        <v/>
      </c>
      <c r="L1098" s="3">
        <f>IF(K1098=1,IFERROR(MATCH('ORDENES'!$R1094,lista_dias,0),9)*1000000000+IFERROR(MATCH('ORDENES'!$AF1094,lista_turnos,0),9)*10000000+IFERROR(MATCH('ORDENES'!$AE1094,'TECNICOS'!$B$4:$B$15,0),99)*100000+1091,9000000000000+1091)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IF('ORDENES'!$T1094="preventiva",N1098,0)</f>
        <v/>
      </c>
      <c r="P1098" s="17">
        <f>IF('ORDENES'!$T1094="correctiva",N1098,0)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IF(AND(IF($B$3="(todos)",TRUE,'ORDENES'!$O1095=$B$3),IF($D$3="(todos)",TRUE,'ORDENES'!$AF1095=$D$3),IF($F$3="(todos)",TRUE,'ORDENES'!$X1095=$F$3),IF($H$3="(todos)",TRUE,'ORDENES'!$W1095=$H$3),'ORDENES'!$AD1095=TRUE,'ORDENES'!$A1095&lt;&gt;""),1,0)</f>
        <v/>
      </c>
      <c r="L1099" s="3">
        <f>IF(K1099=1,IFERROR(MATCH('ORDENES'!$R1095,lista_dias,0),9)*1000000000+IFERROR(MATCH('ORDENES'!$AF1095,lista_turnos,0),9)*10000000+IFERROR(MATCH('ORDENES'!$AE1095,'TECNICOS'!$B$4:$B$15,0),99)*100000+1092,9000000000000+1092)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IF('ORDENES'!$T1095="preventiva",N1099,0)</f>
        <v/>
      </c>
      <c r="P1099" s="17">
        <f>IF('ORDENES'!$T1095="correctiva",N1099,0)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IF(AND(IF($B$3="(todos)",TRUE,'ORDENES'!$O1096=$B$3),IF($D$3="(todos)",TRUE,'ORDENES'!$AF1096=$D$3),IF($F$3="(todos)",TRUE,'ORDENES'!$X1096=$F$3),IF($H$3="(todos)",TRUE,'ORDENES'!$W1096=$H$3),'ORDENES'!$AD1096=TRUE,'ORDENES'!$A1096&lt;&gt;""),1,0)</f>
        <v/>
      </c>
      <c r="L1100" s="3">
        <f>IF(K1100=1,IFERROR(MATCH('ORDENES'!$R1096,lista_dias,0),9)*1000000000+IFERROR(MATCH('ORDENES'!$AF1096,lista_turnos,0),9)*10000000+IFERROR(MATCH('ORDENES'!$AE1096,'TECNICOS'!$B$4:$B$15,0),99)*100000+1093,9000000000000+1093)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IF('ORDENES'!$T1096="preventiva",N1100,0)</f>
        <v/>
      </c>
      <c r="P1100" s="17">
        <f>IF('ORDENES'!$T1096="correctiva",N1100,0)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IF(AND(IF($B$3="(todos)",TRUE,'ORDENES'!$O1097=$B$3),IF($D$3="(todos)",TRUE,'ORDENES'!$AF1097=$D$3),IF($F$3="(todos)",TRUE,'ORDENES'!$X1097=$F$3),IF($H$3="(todos)",TRUE,'ORDENES'!$W1097=$H$3),'ORDENES'!$AD1097=TRUE,'ORDENES'!$A1097&lt;&gt;""),1,0)</f>
        <v/>
      </c>
      <c r="L1101" s="3">
        <f>IF(K1101=1,IFERROR(MATCH('ORDENES'!$R1097,lista_dias,0),9)*1000000000+IFERROR(MATCH('ORDENES'!$AF1097,lista_turnos,0),9)*10000000+IFERROR(MATCH('ORDENES'!$AE1097,'TECNICOS'!$B$4:$B$15,0),99)*100000+1094,9000000000000+1094)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IF('ORDENES'!$T1097="preventiva",N1101,0)</f>
        <v/>
      </c>
      <c r="P1101" s="17">
        <f>IF('ORDENES'!$T1097="correctiva",N1101,0)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IF(AND(IF($B$3="(todos)",TRUE,'ORDENES'!$O1098=$B$3),IF($D$3="(todos)",TRUE,'ORDENES'!$AF1098=$D$3),IF($F$3="(todos)",TRUE,'ORDENES'!$X1098=$F$3),IF($H$3="(todos)",TRUE,'ORDENES'!$W1098=$H$3),'ORDENES'!$AD1098=TRUE,'ORDENES'!$A1098&lt;&gt;""),1,0)</f>
        <v/>
      </c>
      <c r="L1102" s="3">
        <f>IF(K1102=1,IFERROR(MATCH('ORDENES'!$R1098,lista_dias,0),9)*1000000000+IFERROR(MATCH('ORDENES'!$AF1098,lista_turnos,0),9)*10000000+IFERROR(MATCH('ORDENES'!$AE1098,'TECNICOS'!$B$4:$B$15,0),99)*100000+1095,9000000000000+1095)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IF('ORDENES'!$T1098="preventiva",N1102,0)</f>
        <v/>
      </c>
      <c r="P1102" s="17">
        <f>IF('ORDENES'!$T1098="correctiva",N1102,0)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IF(AND(IF($B$3="(todos)",TRUE,'ORDENES'!$O1099=$B$3),IF($D$3="(todos)",TRUE,'ORDENES'!$AF1099=$D$3),IF($F$3="(todos)",TRUE,'ORDENES'!$X1099=$F$3),IF($H$3="(todos)",TRUE,'ORDENES'!$W1099=$H$3),'ORDENES'!$AD1099=TRUE,'ORDENES'!$A1099&lt;&gt;""),1,0)</f>
        <v/>
      </c>
      <c r="L1103" s="3">
        <f>IF(K1103=1,IFERROR(MATCH('ORDENES'!$R1099,lista_dias,0),9)*1000000000+IFERROR(MATCH('ORDENES'!$AF1099,lista_turnos,0),9)*10000000+IFERROR(MATCH('ORDENES'!$AE1099,'TECNICOS'!$B$4:$B$15,0),99)*100000+1096,9000000000000+1096)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IF('ORDENES'!$T1099="preventiva",N1103,0)</f>
        <v/>
      </c>
      <c r="P1103" s="17">
        <f>IF('ORDENES'!$T1099="correctiva",N1103,0)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IF(AND(IF($B$3="(todos)",TRUE,'ORDENES'!$O1100=$B$3),IF($D$3="(todos)",TRUE,'ORDENES'!$AF1100=$D$3),IF($F$3="(todos)",TRUE,'ORDENES'!$X1100=$F$3),IF($H$3="(todos)",TRUE,'ORDENES'!$W1100=$H$3),'ORDENES'!$AD1100=TRUE,'ORDENES'!$A1100&lt;&gt;""),1,0)</f>
        <v/>
      </c>
      <c r="L1104" s="3">
        <f>IF(K1104=1,IFERROR(MATCH('ORDENES'!$R1100,lista_dias,0),9)*1000000000+IFERROR(MATCH('ORDENES'!$AF1100,lista_turnos,0),9)*10000000+IFERROR(MATCH('ORDENES'!$AE1100,'TECNICOS'!$B$4:$B$15,0),99)*100000+1097,9000000000000+1097)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IF('ORDENES'!$T1100="preventiva",N1104,0)</f>
        <v/>
      </c>
      <c r="P1104" s="17">
        <f>IF('ORDENES'!$T1100="correctiva",N1104,0)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IF(AND(IF($B$3="(todos)",TRUE,'ORDENES'!$O1101=$B$3),IF($D$3="(todos)",TRUE,'ORDENES'!$AF1101=$D$3),IF($F$3="(todos)",TRUE,'ORDENES'!$X1101=$F$3),IF($H$3="(todos)",TRUE,'ORDENES'!$W1101=$H$3),'ORDENES'!$AD1101=TRUE,'ORDENES'!$A1101&lt;&gt;""),1,0)</f>
        <v/>
      </c>
      <c r="L1105" s="3">
        <f>IF(K1105=1,IFERROR(MATCH('ORDENES'!$R1101,lista_dias,0),9)*1000000000+IFERROR(MATCH('ORDENES'!$AF1101,lista_turnos,0),9)*10000000+IFERROR(MATCH('ORDENES'!$AE1101,'TECNICOS'!$B$4:$B$15,0),99)*100000+1098,9000000000000+1098)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IF('ORDENES'!$T1101="preventiva",N1105,0)</f>
        <v/>
      </c>
      <c r="P1105" s="17">
        <f>IF('ORDENES'!$T1101="correctiva",N1105,0)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IF(AND(IF($B$3="(todos)",TRUE,'ORDENES'!$O1102=$B$3),IF($D$3="(todos)",TRUE,'ORDENES'!$AF1102=$D$3),IF($F$3="(todos)",TRUE,'ORDENES'!$X1102=$F$3),IF($H$3="(todos)",TRUE,'ORDENES'!$W1102=$H$3),'ORDENES'!$AD1102=TRUE,'ORDENES'!$A1102&lt;&gt;""),1,0)</f>
        <v/>
      </c>
      <c r="L1106" s="3">
        <f>IF(K1106=1,IFERROR(MATCH('ORDENES'!$R1102,lista_dias,0),9)*1000000000+IFERROR(MATCH('ORDENES'!$AF1102,lista_turnos,0),9)*10000000+IFERROR(MATCH('ORDENES'!$AE1102,'TECNICOS'!$B$4:$B$15,0),99)*100000+1099,9000000000000+1099)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IF('ORDENES'!$T1102="preventiva",N1106,0)</f>
        <v/>
      </c>
      <c r="P1106" s="17">
        <f>IF('ORDENES'!$T1102="correctiva",N1106,0)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IF(AND(IF($B$3="(todos)",TRUE,'ORDENES'!$O1103=$B$3),IF($D$3="(todos)",TRUE,'ORDENES'!$AF1103=$D$3),IF($F$3="(todos)",TRUE,'ORDENES'!$X1103=$F$3),IF($H$3="(todos)",TRUE,'ORDENES'!$W1103=$H$3),'ORDENES'!$AD1103=TRUE,'ORDENES'!$A1103&lt;&gt;""),1,0)</f>
        <v/>
      </c>
      <c r="L1107" s="3">
        <f>IF(K1107=1,IFERROR(MATCH('ORDENES'!$R1103,lista_dias,0),9)*1000000000+IFERROR(MATCH('ORDENES'!$AF1103,lista_turnos,0),9)*10000000+IFERROR(MATCH('ORDENES'!$AE1103,'TECNICOS'!$B$4:$B$15,0),99)*100000+1100,9000000000000+1100)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IF('ORDENES'!$T1103="preventiva",N1107,0)</f>
        <v/>
      </c>
      <c r="P1107" s="17">
        <f>IF('ORDENES'!$T1103="correctiva",N1107,0)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IF(AND(IF($B$3="(todos)",TRUE,'ORDENES'!$O1104=$B$3),IF($D$3="(todos)",TRUE,'ORDENES'!$AF1104=$D$3),IF($F$3="(todos)",TRUE,'ORDENES'!$X1104=$F$3),IF($H$3="(todos)",TRUE,'ORDENES'!$W1104=$H$3),'ORDENES'!$AD1104=TRUE,'ORDENES'!$A1104&lt;&gt;""),1,0)</f>
        <v/>
      </c>
      <c r="L1108" s="3">
        <f>IF(K1108=1,IFERROR(MATCH('ORDENES'!$R1104,lista_dias,0),9)*1000000000+IFERROR(MATCH('ORDENES'!$AF1104,lista_turnos,0),9)*10000000+IFERROR(MATCH('ORDENES'!$AE1104,'TECNICOS'!$B$4:$B$15,0),99)*100000+1101,9000000000000+1101)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IF('ORDENES'!$T1104="preventiva",N1108,0)</f>
        <v/>
      </c>
      <c r="P1108" s="17">
        <f>IF('ORDENES'!$T1104="correctiva",N1108,0)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IF(AND(IF($B$3="(todos)",TRUE,'ORDENES'!$O1105=$B$3),IF($D$3="(todos)",TRUE,'ORDENES'!$AF1105=$D$3),IF($F$3="(todos)",TRUE,'ORDENES'!$X1105=$F$3),IF($H$3="(todos)",TRUE,'ORDENES'!$W1105=$H$3),'ORDENES'!$AD1105=TRUE,'ORDENES'!$A1105&lt;&gt;""),1,0)</f>
        <v/>
      </c>
      <c r="L1109" s="3">
        <f>IF(K1109=1,IFERROR(MATCH('ORDENES'!$R1105,lista_dias,0),9)*1000000000+IFERROR(MATCH('ORDENES'!$AF1105,lista_turnos,0),9)*10000000+IFERROR(MATCH('ORDENES'!$AE1105,'TECNICOS'!$B$4:$B$15,0),99)*100000+1102,9000000000000+1102)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IF('ORDENES'!$T1105="preventiva",N1109,0)</f>
        <v/>
      </c>
      <c r="P1109" s="17">
        <f>IF('ORDENES'!$T1105="correctiva",N1109,0)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IF(AND(IF($B$3="(todos)",TRUE,'ORDENES'!$O1106=$B$3),IF($D$3="(todos)",TRUE,'ORDENES'!$AF1106=$D$3),IF($F$3="(todos)",TRUE,'ORDENES'!$X1106=$F$3),IF($H$3="(todos)",TRUE,'ORDENES'!$W1106=$H$3),'ORDENES'!$AD1106=TRUE,'ORDENES'!$A1106&lt;&gt;""),1,0)</f>
        <v/>
      </c>
      <c r="L1110" s="3">
        <f>IF(K1110=1,IFERROR(MATCH('ORDENES'!$R1106,lista_dias,0),9)*1000000000+IFERROR(MATCH('ORDENES'!$AF1106,lista_turnos,0),9)*10000000+IFERROR(MATCH('ORDENES'!$AE1106,'TECNICOS'!$B$4:$B$15,0),99)*100000+1103,9000000000000+1103)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IF('ORDENES'!$T1106="preventiva",N1110,0)</f>
        <v/>
      </c>
      <c r="P1110" s="17">
        <f>IF('ORDENES'!$T1106="correctiva",N1110,0)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IF(AND(IF($B$3="(todos)",TRUE,'ORDENES'!$O1107=$B$3),IF($D$3="(todos)",TRUE,'ORDENES'!$AF1107=$D$3),IF($F$3="(todos)",TRUE,'ORDENES'!$X1107=$F$3),IF($H$3="(todos)",TRUE,'ORDENES'!$W1107=$H$3),'ORDENES'!$AD1107=TRUE,'ORDENES'!$A1107&lt;&gt;""),1,0)</f>
        <v/>
      </c>
      <c r="L1111" s="3">
        <f>IF(K1111=1,IFERROR(MATCH('ORDENES'!$R1107,lista_dias,0),9)*1000000000+IFERROR(MATCH('ORDENES'!$AF1107,lista_turnos,0),9)*10000000+IFERROR(MATCH('ORDENES'!$AE1107,'TECNICOS'!$B$4:$B$15,0),99)*100000+1104,9000000000000+1104)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IF('ORDENES'!$T1107="preventiva",N1111,0)</f>
        <v/>
      </c>
      <c r="P1111" s="17">
        <f>IF('ORDENES'!$T1107="correctiva",N1111,0)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IF(AND(IF($B$3="(todos)",TRUE,'ORDENES'!$O1108=$B$3),IF($D$3="(todos)",TRUE,'ORDENES'!$AF1108=$D$3),IF($F$3="(todos)",TRUE,'ORDENES'!$X1108=$F$3),IF($H$3="(todos)",TRUE,'ORDENES'!$W1108=$H$3),'ORDENES'!$AD1108=TRUE,'ORDENES'!$A1108&lt;&gt;""),1,0)</f>
        <v/>
      </c>
      <c r="L1112" s="3">
        <f>IF(K1112=1,IFERROR(MATCH('ORDENES'!$R1108,lista_dias,0),9)*1000000000+IFERROR(MATCH('ORDENES'!$AF1108,lista_turnos,0),9)*10000000+IFERROR(MATCH('ORDENES'!$AE1108,'TECNICOS'!$B$4:$B$15,0),99)*100000+1105,9000000000000+1105)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IF('ORDENES'!$T1108="preventiva",N1112,0)</f>
        <v/>
      </c>
      <c r="P1112" s="17">
        <f>IF('ORDENES'!$T1108="correctiva",N1112,0)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IF(AND(IF($B$3="(todos)",TRUE,'ORDENES'!$O1109=$B$3),IF($D$3="(todos)",TRUE,'ORDENES'!$AF1109=$D$3),IF($F$3="(todos)",TRUE,'ORDENES'!$X1109=$F$3),IF($H$3="(todos)",TRUE,'ORDENES'!$W1109=$H$3),'ORDENES'!$AD1109=TRUE,'ORDENES'!$A1109&lt;&gt;""),1,0)</f>
        <v/>
      </c>
      <c r="L1113" s="3">
        <f>IF(K1113=1,IFERROR(MATCH('ORDENES'!$R1109,lista_dias,0),9)*1000000000+IFERROR(MATCH('ORDENES'!$AF1109,lista_turnos,0),9)*10000000+IFERROR(MATCH('ORDENES'!$AE1109,'TECNICOS'!$B$4:$B$15,0),99)*100000+1106,9000000000000+1106)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IF('ORDENES'!$T1109="preventiva",N1113,0)</f>
        <v/>
      </c>
      <c r="P1113" s="17">
        <f>IF('ORDENES'!$T1109="correctiva",N1113,0)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IF(AND(IF($B$3="(todos)",TRUE,'ORDENES'!$O1110=$B$3),IF($D$3="(todos)",TRUE,'ORDENES'!$AF1110=$D$3),IF($F$3="(todos)",TRUE,'ORDENES'!$X1110=$F$3),IF($H$3="(todos)",TRUE,'ORDENES'!$W1110=$H$3),'ORDENES'!$AD1110=TRUE,'ORDENES'!$A1110&lt;&gt;""),1,0)</f>
        <v/>
      </c>
      <c r="L1114" s="3">
        <f>IF(K1114=1,IFERROR(MATCH('ORDENES'!$R1110,lista_dias,0),9)*1000000000+IFERROR(MATCH('ORDENES'!$AF1110,lista_turnos,0),9)*10000000+IFERROR(MATCH('ORDENES'!$AE1110,'TECNICOS'!$B$4:$B$15,0),99)*100000+1107,9000000000000+1107)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IF('ORDENES'!$T1110="preventiva",N1114,0)</f>
        <v/>
      </c>
      <c r="P1114" s="17">
        <f>IF('ORDENES'!$T1110="correctiva",N1114,0)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IF(AND(IF($B$3="(todos)",TRUE,'ORDENES'!$O1111=$B$3),IF($D$3="(todos)",TRUE,'ORDENES'!$AF1111=$D$3),IF($F$3="(todos)",TRUE,'ORDENES'!$X1111=$F$3),IF($H$3="(todos)",TRUE,'ORDENES'!$W1111=$H$3),'ORDENES'!$AD1111=TRUE,'ORDENES'!$A1111&lt;&gt;""),1,0)</f>
        <v/>
      </c>
      <c r="L1115" s="3">
        <f>IF(K1115=1,IFERROR(MATCH('ORDENES'!$R1111,lista_dias,0),9)*1000000000+IFERROR(MATCH('ORDENES'!$AF1111,lista_turnos,0),9)*10000000+IFERROR(MATCH('ORDENES'!$AE1111,'TECNICOS'!$B$4:$B$15,0),99)*100000+1108,9000000000000+1108)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IF('ORDENES'!$T1111="preventiva",N1115,0)</f>
        <v/>
      </c>
      <c r="P1115" s="17">
        <f>IF('ORDENES'!$T1111="correctiva",N1115,0)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IF(AND(IF($B$3="(todos)",TRUE,'ORDENES'!$O1112=$B$3),IF($D$3="(todos)",TRUE,'ORDENES'!$AF1112=$D$3),IF($F$3="(todos)",TRUE,'ORDENES'!$X1112=$F$3),IF($H$3="(todos)",TRUE,'ORDENES'!$W1112=$H$3),'ORDENES'!$AD1112=TRUE,'ORDENES'!$A1112&lt;&gt;""),1,0)</f>
        <v/>
      </c>
      <c r="L1116" s="3">
        <f>IF(K1116=1,IFERROR(MATCH('ORDENES'!$R1112,lista_dias,0),9)*1000000000+IFERROR(MATCH('ORDENES'!$AF1112,lista_turnos,0),9)*10000000+IFERROR(MATCH('ORDENES'!$AE1112,'TECNICOS'!$B$4:$B$15,0),99)*100000+1109,9000000000000+1109)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IF('ORDENES'!$T1112="preventiva",N1116,0)</f>
        <v/>
      </c>
      <c r="P1116" s="17">
        <f>IF('ORDENES'!$T1112="correctiva",N1116,0)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IF(AND(IF($B$3="(todos)",TRUE,'ORDENES'!$O1113=$B$3),IF($D$3="(todos)",TRUE,'ORDENES'!$AF1113=$D$3),IF($F$3="(todos)",TRUE,'ORDENES'!$X1113=$F$3),IF($H$3="(todos)",TRUE,'ORDENES'!$W1113=$H$3),'ORDENES'!$AD1113=TRUE,'ORDENES'!$A1113&lt;&gt;""),1,0)</f>
        <v/>
      </c>
      <c r="L1117" s="3">
        <f>IF(K1117=1,IFERROR(MATCH('ORDENES'!$R1113,lista_dias,0),9)*1000000000+IFERROR(MATCH('ORDENES'!$AF1113,lista_turnos,0),9)*10000000+IFERROR(MATCH('ORDENES'!$AE1113,'TECNICOS'!$B$4:$B$15,0),99)*100000+1110,9000000000000+1110)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IF('ORDENES'!$T1113="preventiva",N1117,0)</f>
        <v/>
      </c>
      <c r="P1117" s="17">
        <f>IF('ORDENES'!$T1113="correctiva",N1117,0)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IF(AND(IF($B$3="(todos)",TRUE,'ORDENES'!$O1114=$B$3),IF($D$3="(todos)",TRUE,'ORDENES'!$AF1114=$D$3),IF($F$3="(todos)",TRUE,'ORDENES'!$X1114=$F$3),IF($H$3="(todos)",TRUE,'ORDENES'!$W1114=$H$3),'ORDENES'!$AD1114=TRUE,'ORDENES'!$A1114&lt;&gt;""),1,0)</f>
        <v/>
      </c>
      <c r="L1118" s="3">
        <f>IF(K1118=1,IFERROR(MATCH('ORDENES'!$R1114,lista_dias,0),9)*1000000000+IFERROR(MATCH('ORDENES'!$AF1114,lista_turnos,0),9)*10000000+IFERROR(MATCH('ORDENES'!$AE1114,'TECNICOS'!$B$4:$B$15,0),99)*100000+1111,9000000000000+1111)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IF('ORDENES'!$T1114="preventiva",N1118,0)</f>
        <v/>
      </c>
      <c r="P1118" s="17">
        <f>IF('ORDENES'!$T1114="correctiva",N1118,0)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IF(AND(IF($B$3="(todos)",TRUE,'ORDENES'!$O1115=$B$3),IF($D$3="(todos)",TRUE,'ORDENES'!$AF1115=$D$3),IF($F$3="(todos)",TRUE,'ORDENES'!$X1115=$F$3),IF($H$3="(todos)",TRUE,'ORDENES'!$W1115=$H$3),'ORDENES'!$AD1115=TRUE,'ORDENES'!$A1115&lt;&gt;""),1,0)</f>
        <v/>
      </c>
      <c r="L1119" s="3">
        <f>IF(K1119=1,IFERROR(MATCH('ORDENES'!$R1115,lista_dias,0),9)*1000000000+IFERROR(MATCH('ORDENES'!$AF1115,lista_turnos,0),9)*10000000+IFERROR(MATCH('ORDENES'!$AE1115,'TECNICOS'!$B$4:$B$15,0),99)*100000+1112,9000000000000+1112)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IF('ORDENES'!$T1115="preventiva",N1119,0)</f>
        <v/>
      </c>
      <c r="P1119" s="17">
        <f>IF('ORDENES'!$T1115="correctiva",N1119,0)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IF(AND(IF($B$3="(todos)",TRUE,'ORDENES'!$O1116=$B$3),IF($D$3="(todos)",TRUE,'ORDENES'!$AF1116=$D$3),IF($F$3="(todos)",TRUE,'ORDENES'!$X1116=$F$3),IF($H$3="(todos)",TRUE,'ORDENES'!$W1116=$H$3),'ORDENES'!$AD1116=TRUE,'ORDENES'!$A1116&lt;&gt;""),1,0)</f>
        <v/>
      </c>
      <c r="L1120" s="3">
        <f>IF(K1120=1,IFERROR(MATCH('ORDENES'!$R1116,lista_dias,0),9)*1000000000+IFERROR(MATCH('ORDENES'!$AF1116,lista_turnos,0),9)*10000000+IFERROR(MATCH('ORDENES'!$AE1116,'TECNICOS'!$B$4:$B$15,0),99)*100000+1113,9000000000000+1113)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IF('ORDENES'!$T1116="preventiva",N1120,0)</f>
        <v/>
      </c>
      <c r="P1120" s="17">
        <f>IF('ORDENES'!$T1116="correctiva",N1120,0)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IF(AND(IF($B$3="(todos)",TRUE,'ORDENES'!$O1117=$B$3),IF($D$3="(todos)",TRUE,'ORDENES'!$AF1117=$D$3),IF($F$3="(todos)",TRUE,'ORDENES'!$X1117=$F$3),IF($H$3="(todos)",TRUE,'ORDENES'!$W1117=$H$3),'ORDENES'!$AD1117=TRUE,'ORDENES'!$A1117&lt;&gt;""),1,0)</f>
        <v/>
      </c>
      <c r="L1121" s="3">
        <f>IF(K1121=1,IFERROR(MATCH('ORDENES'!$R1117,lista_dias,0),9)*1000000000+IFERROR(MATCH('ORDENES'!$AF1117,lista_turnos,0),9)*10000000+IFERROR(MATCH('ORDENES'!$AE1117,'TECNICOS'!$B$4:$B$15,0),99)*100000+1114,9000000000000+1114)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IF('ORDENES'!$T1117="preventiva",N1121,0)</f>
        <v/>
      </c>
      <c r="P1121" s="17">
        <f>IF('ORDENES'!$T1117="correctiva",N1121,0)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IF(AND(IF($B$3="(todos)",TRUE,'ORDENES'!$O1118=$B$3),IF($D$3="(todos)",TRUE,'ORDENES'!$AF1118=$D$3),IF($F$3="(todos)",TRUE,'ORDENES'!$X1118=$F$3),IF($H$3="(todos)",TRUE,'ORDENES'!$W1118=$H$3),'ORDENES'!$AD1118=TRUE,'ORDENES'!$A1118&lt;&gt;""),1,0)</f>
        <v/>
      </c>
      <c r="L1122" s="3">
        <f>IF(K1122=1,IFERROR(MATCH('ORDENES'!$R1118,lista_dias,0),9)*1000000000+IFERROR(MATCH('ORDENES'!$AF1118,lista_turnos,0),9)*10000000+IFERROR(MATCH('ORDENES'!$AE1118,'TECNICOS'!$B$4:$B$15,0),99)*100000+1115,9000000000000+1115)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IF('ORDENES'!$T1118="preventiva",N1122,0)</f>
        <v/>
      </c>
      <c r="P1122" s="17">
        <f>IF('ORDENES'!$T1118="correctiva",N1122,0)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IF(AND(IF($B$3="(todos)",TRUE,'ORDENES'!$O1119=$B$3),IF($D$3="(todos)",TRUE,'ORDENES'!$AF1119=$D$3),IF($F$3="(todos)",TRUE,'ORDENES'!$X1119=$F$3),IF($H$3="(todos)",TRUE,'ORDENES'!$W1119=$H$3),'ORDENES'!$AD1119=TRUE,'ORDENES'!$A1119&lt;&gt;""),1,0)</f>
        <v/>
      </c>
      <c r="L1123" s="3">
        <f>IF(K1123=1,IFERROR(MATCH('ORDENES'!$R1119,lista_dias,0),9)*1000000000+IFERROR(MATCH('ORDENES'!$AF1119,lista_turnos,0),9)*10000000+IFERROR(MATCH('ORDENES'!$AE1119,'TECNICOS'!$B$4:$B$15,0),99)*100000+1116,9000000000000+1116)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IF('ORDENES'!$T1119="preventiva",N1123,0)</f>
        <v/>
      </c>
      <c r="P1123" s="17">
        <f>IF('ORDENES'!$T1119="correctiva",N1123,0)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IF(AND(IF($B$3="(todos)",TRUE,'ORDENES'!$O1120=$B$3),IF($D$3="(todos)",TRUE,'ORDENES'!$AF1120=$D$3),IF($F$3="(todos)",TRUE,'ORDENES'!$X1120=$F$3),IF($H$3="(todos)",TRUE,'ORDENES'!$W1120=$H$3),'ORDENES'!$AD1120=TRUE,'ORDENES'!$A1120&lt;&gt;""),1,0)</f>
        <v/>
      </c>
      <c r="L1124" s="3">
        <f>IF(K1124=1,IFERROR(MATCH('ORDENES'!$R1120,lista_dias,0),9)*1000000000+IFERROR(MATCH('ORDENES'!$AF1120,lista_turnos,0),9)*10000000+IFERROR(MATCH('ORDENES'!$AE1120,'TECNICOS'!$B$4:$B$15,0),99)*100000+1117,9000000000000+1117)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IF('ORDENES'!$T1120="preventiva",N1124,0)</f>
        <v/>
      </c>
      <c r="P1124" s="17">
        <f>IF('ORDENES'!$T1120="correctiva",N1124,0)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IF(AND(IF($B$3="(todos)",TRUE,'ORDENES'!$O1121=$B$3),IF($D$3="(todos)",TRUE,'ORDENES'!$AF1121=$D$3),IF($F$3="(todos)",TRUE,'ORDENES'!$X1121=$F$3),IF($H$3="(todos)",TRUE,'ORDENES'!$W1121=$H$3),'ORDENES'!$AD1121=TRUE,'ORDENES'!$A1121&lt;&gt;""),1,0)</f>
        <v/>
      </c>
      <c r="L1125" s="3">
        <f>IF(K1125=1,IFERROR(MATCH('ORDENES'!$R1121,lista_dias,0),9)*1000000000+IFERROR(MATCH('ORDENES'!$AF1121,lista_turnos,0),9)*10000000+IFERROR(MATCH('ORDENES'!$AE1121,'TECNICOS'!$B$4:$B$15,0),99)*100000+1118,9000000000000+1118)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IF('ORDENES'!$T1121="preventiva",N1125,0)</f>
        <v/>
      </c>
      <c r="P1125" s="17">
        <f>IF('ORDENES'!$T1121="correctiva",N1125,0)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IF(AND(IF($B$3="(todos)",TRUE,'ORDENES'!$O1122=$B$3),IF($D$3="(todos)",TRUE,'ORDENES'!$AF1122=$D$3),IF($F$3="(todos)",TRUE,'ORDENES'!$X1122=$F$3),IF($H$3="(todos)",TRUE,'ORDENES'!$W1122=$H$3),'ORDENES'!$AD1122=TRUE,'ORDENES'!$A1122&lt;&gt;""),1,0)</f>
        <v/>
      </c>
      <c r="L1126" s="3">
        <f>IF(K1126=1,IFERROR(MATCH('ORDENES'!$R1122,lista_dias,0),9)*1000000000+IFERROR(MATCH('ORDENES'!$AF1122,lista_turnos,0),9)*10000000+IFERROR(MATCH('ORDENES'!$AE1122,'TECNICOS'!$B$4:$B$15,0),99)*100000+1119,9000000000000+1119)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IF('ORDENES'!$T1122="preventiva",N1126,0)</f>
        <v/>
      </c>
      <c r="P1126" s="17">
        <f>IF('ORDENES'!$T1122="correctiva",N1126,0)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IF(AND(IF($B$3="(todos)",TRUE,'ORDENES'!$O1123=$B$3),IF($D$3="(todos)",TRUE,'ORDENES'!$AF1123=$D$3),IF($F$3="(todos)",TRUE,'ORDENES'!$X1123=$F$3),IF($H$3="(todos)",TRUE,'ORDENES'!$W1123=$H$3),'ORDENES'!$AD1123=TRUE,'ORDENES'!$A1123&lt;&gt;""),1,0)</f>
        <v/>
      </c>
      <c r="L1127" s="3">
        <f>IF(K1127=1,IFERROR(MATCH('ORDENES'!$R1123,lista_dias,0),9)*1000000000+IFERROR(MATCH('ORDENES'!$AF1123,lista_turnos,0),9)*10000000+IFERROR(MATCH('ORDENES'!$AE1123,'TECNICOS'!$B$4:$B$15,0),99)*100000+1120,9000000000000+1120)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IF('ORDENES'!$T1123="preventiva",N1127,0)</f>
        <v/>
      </c>
      <c r="P1127" s="17">
        <f>IF('ORDENES'!$T1123="correctiva",N1127,0)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IF(AND(IF($B$3="(todos)",TRUE,'ORDENES'!$O1124=$B$3),IF($D$3="(todos)",TRUE,'ORDENES'!$AF1124=$D$3),IF($F$3="(todos)",TRUE,'ORDENES'!$X1124=$F$3),IF($H$3="(todos)",TRUE,'ORDENES'!$W1124=$H$3),'ORDENES'!$AD1124=TRUE,'ORDENES'!$A1124&lt;&gt;""),1,0)</f>
        <v/>
      </c>
      <c r="L1128" s="3">
        <f>IF(K1128=1,IFERROR(MATCH('ORDENES'!$R1124,lista_dias,0),9)*1000000000+IFERROR(MATCH('ORDENES'!$AF1124,lista_turnos,0),9)*10000000+IFERROR(MATCH('ORDENES'!$AE1124,'TECNICOS'!$B$4:$B$15,0),99)*100000+1121,9000000000000+1121)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IF('ORDENES'!$T1124="preventiva",N1128,0)</f>
        <v/>
      </c>
      <c r="P1128" s="17">
        <f>IF('ORDENES'!$T1124="correctiva",N1128,0)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IF(AND(IF($B$3="(todos)",TRUE,'ORDENES'!$O1125=$B$3),IF($D$3="(todos)",TRUE,'ORDENES'!$AF1125=$D$3),IF($F$3="(todos)",TRUE,'ORDENES'!$X1125=$F$3),IF($H$3="(todos)",TRUE,'ORDENES'!$W1125=$H$3),'ORDENES'!$AD1125=TRUE,'ORDENES'!$A1125&lt;&gt;""),1,0)</f>
        <v/>
      </c>
      <c r="L1129" s="3">
        <f>IF(K1129=1,IFERROR(MATCH('ORDENES'!$R1125,lista_dias,0),9)*1000000000+IFERROR(MATCH('ORDENES'!$AF1125,lista_turnos,0),9)*10000000+IFERROR(MATCH('ORDENES'!$AE1125,'TECNICOS'!$B$4:$B$15,0),99)*100000+1122,9000000000000+1122)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IF('ORDENES'!$T1125="preventiva",N1129,0)</f>
        <v/>
      </c>
      <c r="P1129" s="17">
        <f>IF('ORDENES'!$T1125="correctiva",N1129,0)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IF(AND(IF($B$3="(todos)",TRUE,'ORDENES'!$O1126=$B$3),IF($D$3="(todos)",TRUE,'ORDENES'!$AF1126=$D$3),IF($F$3="(todos)",TRUE,'ORDENES'!$X1126=$F$3),IF($H$3="(todos)",TRUE,'ORDENES'!$W1126=$H$3),'ORDENES'!$AD1126=TRUE,'ORDENES'!$A1126&lt;&gt;""),1,0)</f>
        <v/>
      </c>
      <c r="L1130" s="3">
        <f>IF(K1130=1,IFERROR(MATCH('ORDENES'!$R1126,lista_dias,0),9)*1000000000+IFERROR(MATCH('ORDENES'!$AF1126,lista_turnos,0),9)*10000000+IFERROR(MATCH('ORDENES'!$AE1126,'TECNICOS'!$B$4:$B$15,0),99)*100000+1123,9000000000000+1123)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IF('ORDENES'!$T1126="preventiva",N1130,0)</f>
        <v/>
      </c>
      <c r="P1130" s="17">
        <f>IF('ORDENES'!$T1126="correctiva",N1130,0)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IF(AND(IF($B$3="(todos)",TRUE,'ORDENES'!$O1127=$B$3),IF($D$3="(todos)",TRUE,'ORDENES'!$AF1127=$D$3),IF($F$3="(todos)",TRUE,'ORDENES'!$X1127=$F$3),IF($H$3="(todos)",TRUE,'ORDENES'!$W1127=$H$3),'ORDENES'!$AD1127=TRUE,'ORDENES'!$A1127&lt;&gt;""),1,0)</f>
        <v/>
      </c>
      <c r="L1131" s="3">
        <f>IF(K1131=1,IFERROR(MATCH('ORDENES'!$R1127,lista_dias,0),9)*1000000000+IFERROR(MATCH('ORDENES'!$AF1127,lista_turnos,0),9)*10000000+IFERROR(MATCH('ORDENES'!$AE1127,'TECNICOS'!$B$4:$B$15,0),99)*100000+1124,9000000000000+1124)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IF('ORDENES'!$T1127="preventiva",N1131,0)</f>
        <v/>
      </c>
      <c r="P1131" s="17">
        <f>IF('ORDENES'!$T1127="correctiva",N1131,0)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IF(AND(IF($B$3="(todos)",TRUE,'ORDENES'!$O1128=$B$3),IF($D$3="(todos)",TRUE,'ORDENES'!$AF1128=$D$3),IF($F$3="(todos)",TRUE,'ORDENES'!$X1128=$F$3),IF($H$3="(todos)",TRUE,'ORDENES'!$W1128=$H$3),'ORDENES'!$AD1128=TRUE,'ORDENES'!$A1128&lt;&gt;""),1,0)</f>
        <v/>
      </c>
      <c r="L1132" s="3">
        <f>IF(K1132=1,IFERROR(MATCH('ORDENES'!$R1128,lista_dias,0),9)*1000000000+IFERROR(MATCH('ORDENES'!$AF1128,lista_turnos,0),9)*10000000+IFERROR(MATCH('ORDENES'!$AE1128,'TECNICOS'!$B$4:$B$15,0),99)*100000+1125,9000000000000+1125)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IF('ORDENES'!$T1128="preventiva",N1132,0)</f>
        <v/>
      </c>
      <c r="P1132" s="17">
        <f>IF('ORDENES'!$T1128="correctiva",N1132,0)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IF(AND(IF($B$3="(todos)",TRUE,'ORDENES'!$O1129=$B$3),IF($D$3="(todos)",TRUE,'ORDENES'!$AF1129=$D$3),IF($F$3="(todos)",TRUE,'ORDENES'!$X1129=$F$3),IF($H$3="(todos)",TRUE,'ORDENES'!$W1129=$H$3),'ORDENES'!$AD1129=TRUE,'ORDENES'!$A1129&lt;&gt;""),1,0)</f>
        <v/>
      </c>
      <c r="L1133" s="3">
        <f>IF(K1133=1,IFERROR(MATCH('ORDENES'!$R1129,lista_dias,0),9)*1000000000+IFERROR(MATCH('ORDENES'!$AF1129,lista_turnos,0),9)*10000000+IFERROR(MATCH('ORDENES'!$AE1129,'TECNICOS'!$B$4:$B$15,0),99)*100000+1126,9000000000000+1126)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IF('ORDENES'!$T1129="preventiva",N1133,0)</f>
        <v/>
      </c>
      <c r="P1133" s="17">
        <f>IF('ORDENES'!$T1129="correctiva",N1133,0)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IF(AND(IF($B$3="(todos)",TRUE,'ORDENES'!$O1130=$B$3),IF($D$3="(todos)",TRUE,'ORDENES'!$AF1130=$D$3),IF($F$3="(todos)",TRUE,'ORDENES'!$X1130=$F$3),IF($H$3="(todos)",TRUE,'ORDENES'!$W1130=$H$3),'ORDENES'!$AD1130=TRUE,'ORDENES'!$A1130&lt;&gt;""),1,0)</f>
        <v/>
      </c>
      <c r="L1134" s="3">
        <f>IF(K1134=1,IFERROR(MATCH('ORDENES'!$R1130,lista_dias,0),9)*1000000000+IFERROR(MATCH('ORDENES'!$AF1130,lista_turnos,0),9)*10000000+IFERROR(MATCH('ORDENES'!$AE1130,'TECNICOS'!$B$4:$B$15,0),99)*100000+1127,9000000000000+1127)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IF('ORDENES'!$T1130="preventiva",N1134,0)</f>
        <v/>
      </c>
      <c r="P1134" s="17">
        <f>IF('ORDENES'!$T1130="correctiva",N1134,0)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IF(AND(IF($B$3="(todos)",TRUE,'ORDENES'!$O1131=$B$3),IF($D$3="(todos)",TRUE,'ORDENES'!$AF1131=$D$3),IF($F$3="(todos)",TRUE,'ORDENES'!$X1131=$F$3),IF($H$3="(todos)",TRUE,'ORDENES'!$W1131=$H$3),'ORDENES'!$AD1131=TRUE,'ORDENES'!$A1131&lt;&gt;""),1,0)</f>
        <v/>
      </c>
      <c r="L1135" s="3">
        <f>IF(K1135=1,IFERROR(MATCH('ORDENES'!$R1131,lista_dias,0),9)*1000000000+IFERROR(MATCH('ORDENES'!$AF1131,lista_turnos,0),9)*10000000+IFERROR(MATCH('ORDENES'!$AE1131,'TECNICOS'!$B$4:$B$15,0),99)*100000+1128,9000000000000+1128)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IF('ORDENES'!$T1131="preventiva",N1135,0)</f>
        <v/>
      </c>
      <c r="P1135" s="17">
        <f>IF('ORDENES'!$T1131="correctiva",N1135,0)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IF(AND(IF($B$3="(todos)",TRUE,'ORDENES'!$O1132=$B$3),IF($D$3="(todos)",TRUE,'ORDENES'!$AF1132=$D$3),IF($F$3="(todos)",TRUE,'ORDENES'!$X1132=$F$3),IF($H$3="(todos)",TRUE,'ORDENES'!$W1132=$H$3),'ORDENES'!$AD1132=TRUE,'ORDENES'!$A1132&lt;&gt;""),1,0)</f>
        <v/>
      </c>
      <c r="L1136" s="3">
        <f>IF(K1136=1,IFERROR(MATCH('ORDENES'!$R1132,lista_dias,0),9)*1000000000+IFERROR(MATCH('ORDENES'!$AF1132,lista_turnos,0),9)*10000000+IFERROR(MATCH('ORDENES'!$AE1132,'TECNICOS'!$B$4:$B$15,0),99)*100000+1129,9000000000000+1129)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IF('ORDENES'!$T1132="preventiva",N1136,0)</f>
        <v/>
      </c>
      <c r="P1136" s="17">
        <f>IF('ORDENES'!$T1132="correctiva",N1136,0)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IF(AND(IF($B$3="(todos)",TRUE,'ORDENES'!$O1133=$B$3),IF($D$3="(todos)",TRUE,'ORDENES'!$AF1133=$D$3),IF($F$3="(todos)",TRUE,'ORDENES'!$X1133=$F$3),IF($H$3="(todos)",TRUE,'ORDENES'!$W1133=$H$3),'ORDENES'!$AD1133=TRUE,'ORDENES'!$A1133&lt;&gt;""),1,0)</f>
        <v/>
      </c>
      <c r="L1137" s="3">
        <f>IF(K1137=1,IFERROR(MATCH('ORDENES'!$R1133,lista_dias,0),9)*1000000000+IFERROR(MATCH('ORDENES'!$AF1133,lista_turnos,0),9)*10000000+IFERROR(MATCH('ORDENES'!$AE1133,'TECNICOS'!$B$4:$B$15,0),99)*100000+1130,9000000000000+1130)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IF('ORDENES'!$T1133="preventiva",N1137,0)</f>
        <v/>
      </c>
      <c r="P1137" s="17">
        <f>IF('ORDENES'!$T1133="correctiva",N1137,0)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IF(AND(IF($B$3="(todos)",TRUE,'ORDENES'!$O1134=$B$3),IF($D$3="(todos)",TRUE,'ORDENES'!$AF1134=$D$3),IF($F$3="(todos)",TRUE,'ORDENES'!$X1134=$F$3),IF($H$3="(todos)",TRUE,'ORDENES'!$W1134=$H$3),'ORDENES'!$AD1134=TRUE,'ORDENES'!$A1134&lt;&gt;""),1,0)</f>
        <v/>
      </c>
      <c r="L1138" s="3">
        <f>IF(K1138=1,IFERROR(MATCH('ORDENES'!$R1134,lista_dias,0),9)*1000000000+IFERROR(MATCH('ORDENES'!$AF1134,lista_turnos,0),9)*10000000+IFERROR(MATCH('ORDENES'!$AE1134,'TECNICOS'!$B$4:$B$15,0),99)*100000+1131,9000000000000+1131)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IF('ORDENES'!$T1134="preventiva",N1138,0)</f>
        <v/>
      </c>
      <c r="P1138" s="17">
        <f>IF('ORDENES'!$T1134="correctiva",N1138,0)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IF(AND(IF($B$3="(todos)",TRUE,'ORDENES'!$O1135=$B$3),IF($D$3="(todos)",TRUE,'ORDENES'!$AF1135=$D$3),IF($F$3="(todos)",TRUE,'ORDENES'!$X1135=$F$3),IF($H$3="(todos)",TRUE,'ORDENES'!$W1135=$H$3),'ORDENES'!$AD1135=TRUE,'ORDENES'!$A1135&lt;&gt;""),1,0)</f>
        <v/>
      </c>
      <c r="L1139" s="3">
        <f>IF(K1139=1,IFERROR(MATCH('ORDENES'!$R1135,lista_dias,0),9)*1000000000+IFERROR(MATCH('ORDENES'!$AF1135,lista_turnos,0),9)*10000000+IFERROR(MATCH('ORDENES'!$AE1135,'TECNICOS'!$B$4:$B$15,0),99)*100000+1132,9000000000000+1132)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IF('ORDENES'!$T1135="preventiva",N1139,0)</f>
        <v/>
      </c>
      <c r="P1139" s="17">
        <f>IF('ORDENES'!$T1135="correctiva",N1139,0)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IF(AND(IF($B$3="(todos)",TRUE,'ORDENES'!$O1136=$B$3),IF($D$3="(todos)",TRUE,'ORDENES'!$AF1136=$D$3),IF($F$3="(todos)",TRUE,'ORDENES'!$X1136=$F$3),IF($H$3="(todos)",TRUE,'ORDENES'!$W1136=$H$3),'ORDENES'!$AD1136=TRUE,'ORDENES'!$A1136&lt;&gt;""),1,0)</f>
        <v/>
      </c>
      <c r="L1140" s="3">
        <f>IF(K1140=1,IFERROR(MATCH('ORDENES'!$R1136,lista_dias,0),9)*1000000000+IFERROR(MATCH('ORDENES'!$AF1136,lista_turnos,0),9)*10000000+IFERROR(MATCH('ORDENES'!$AE1136,'TECNICOS'!$B$4:$B$15,0),99)*100000+1133,9000000000000+1133)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IF('ORDENES'!$T1136="preventiva",N1140,0)</f>
        <v/>
      </c>
      <c r="P1140" s="17">
        <f>IF('ORDENES'!$T1136="correctiva",N1140,0)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IF(AND(IF($B$3="(todos)",TRUE,'ORDENES'!$O1137=$B$3),IF($D$3="(todos)",TRUE,'ORDENES'!$AF1137=$D$3),IF($F$3="(todos)",TRUE,'ORDENES'!$X1137=$F$3),IF($H$3="(todos)",TRUE,'ORDENES'!$W1137=$H$3),'ORDENES'!$AD1137=TRUE,'ORDENES'!$A1137&lt;&gt;""),1,0)</f>
        <v/>
      </c>
      <c r="L1141" s="3">
        <f>IF(K1141=1,IFERROR(MATCH('ORDENES'!$R1137,lista_dias,0),9)*1000000000+IFERROR(MATCH('ORDENES'!$AF1137,lista_turnos,0),9)*10000000+IFERROR(MATCH('ORDENES'!$AE1137,'TECNICOS'!$B$4:$B$15,0),99)*100000+1134,9000000000000+1134)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IF('ORDENES'!$T1137="preventiva",N1141,0)</f>
        <v/>
      </c>
      <c r="P1141" s="17">
        <f>IF('ORDENES'!$T1137="correctiva",N1141,0)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IF(AND(IF($B$3="(todos)",TRUE,'ORDENES'!$O1138=$B$3),IF($D$3="(todos)",TRUE,'ORDENES'!$AF1138=$D$3),IF($F$3="(todos)",TRUE,'ORDENES'!$X1138=$F$3),IF($H$3="(todos)",TRUE,'ORDENES'!$W1138=$H$3),'ORDENES'!$AD1138=TRUE,'ORDENES'!$A1138&lt;&gt;""),1,0)</f>
        <v/>
      </c>
      <c r="L1142" s="3">
        <f>IF(K1142=1,IFERROR(MATCH('ORDENES'!$R1138,lista_dias,0),9)*1000000000+IFERROR(MATCH('ORDENES'!$AF1138,lista_turnos,0),9)*10000000+IFERROR(MATCH('ORDENES'!$AE1138,'TECNICOS'!$B$4:$B$15,0),99)*100000+1135,9000000000000+1135)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IF('ORDENES'!$T1138="preventiva",N1142,0)</f>
        <v/>
      </c>
      <c r="P1142" s="17">
        <f>IF('ORDENES'!$T1138="correctiva",N1142,0)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IF(AND(IF($B$3="(todos)",TRUE,'ORDENES'!$O1139=$B$3),IF($D$3="(todos)",TRUE,'ORDENES'!$AF1139=$D$3),IF($F$3="(todos)",TRUE,'ORDENES'!$X1139=$F$3),IF($H$3="(todos)",TRUE,'ORDENES'!$W1139=$H$3),'ORDENES'!$AD1139=TRUE,'ORDENES'!$A1139&lt;&gt;""),1,0)</f>
        <v/>
      </c>
      <c r="L1143" s="3">
        <f>IF(K1143=1,IFERROR(MATCH('ORDENES'!$R1139,lista_dias,0),9)*1000000000+IFERROR(MATCH('ORDENES'!$AF1139,lista_turnos,0),9)*10000000+IFERROR(MATCH('ORDENES'!$AE1139,'TECNICOS'!$B$4:$B$15,0),99)*100000+1136,9000000000000+1136)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IF('ORDENES'!$T1139="preventiva",N1143,0)</f>
        <v/>
      </c>
      <c r="P1143" s="17">
        <f>IF('ORDENES'!$T1139="correctiva",N1143,0)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IF(AND(IF($B$3="(todos)",TRUE,'ORDENES'!$O1140=$B$3),IF($D$3="(todos)",TRUE,'ORDENES'!$AF1140=$D$3),IF($F$3="(todos)",TRUE,'ORDENES'!$X1140=$F$3),IF($H$3="(todos)",TRUE,'ORDENES'!$W1140=$H$3),'ORDENES'!$AD1140=TRUE,'ORDENES'!$A1140&lt;&gt;""),1,0)</f>
        <v/>
      </c>
      <c r="L1144" s="3">
        <f>IF(K1144=1,IFERROR(MATCH('ORDENES'!$R1140,lista_dias,0),9)*1000000000+IFERROR(MATCH('ORDENES'!$AF1140,lista_turnos,0),9)*10000000+IFERROR(MATCH('ORDENES'!$AE1140,'TECNICOS'!$B$4:$B$15,0),99)*100000+1137,9000000000000+1137)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IF('ORDENES'!$T1140="preventiva",N1144,0)</f>
        <v/>
      </c>
      <c r="P1144" s="17">
        <f>IF('ORDENES'!$T1140="correctiva",N1144,0)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IF(AND(IF($B$3="(todos)",TRUE,'ORDENES'!$O1141=$B$3),IF($D$3="(todos)",TRUE,'ORDENES'!$AF1141=$D$3),IF($F$3="(todos)",TRUE,'ORDENES'!$X1141=$F$3),IF($H$3="(todos)",TRUE,'ORDENES'!$W1141=$H$3),'ORDENES'!$AD1141=TRUE,'ORDENES'!$A1141&lt;&gt;""),1,0)</f>
        <v/>
      </c>
      <c r="L1145" s="3">
        <f>IF(K1145=1,IFERROR(MATCH('ORDENES'!$R1141,lista_dias,0),9)*1000000000+IFERROR(MATCH('ORDENES'!$AF1141,lista_turnos,0),9)*10000000+IFERROR(MATCH('ORDENES'!$AE1141,'TECNICOS'!$B$4:$B$15,0),99)*100000+1138,9000000000000+1138)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IF('ORDENES'!$T1141="preventiva",N1145,0)</f>
        <v/>
      </c>
      <c r="P1145" s="17">
        <f>IF('ORDENES'!$T1141="correctiva",N1145,0)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IF(AND(IF($B$3="(todos)",TRUE,'ORDENES'!$O1142=$B$3),IF($D$3="(todos)",TRUE,'ORDENES'!$AF1142=$D$3),IF($F$3="(todos)",TRUE,'ORDENES'!$X1142=$F$3),IF($H$3="(todos)",TRUE,'ORDENES'!$W1142=$H$3),'ORDENES'!$AD1142=TRUE,'ORDENES'!$A1142&lt;&gt;""),1,0)</f>
        <v/>
      </c>
      <c r="L1146" s="3">
        <f>IF(K1146=1,IFERROR(MATCH('ORDENES'!$R1142,lista_dias,0),9)*1000000000+IFERROR(MATCH('ORDENES'!$AF1142,lista_turnos,0),9)*10000000+IFERROR(MATCH('ORDENES'!$AE1142,'TECNICOS'!$B$4:$B$15,0),99)*100000+1139,9000000000000+1139)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IF('ORDENES'!$T1142="preventiva",N1146,0)</f>
        <v/>
      </c>
      <c r="P1146" s="17">
        <f>IF('ORDENES'!$T1142="correctiva",N1146,0)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IF(AND(IF($B$3="(todos)",TRUE,'ORDENES'!$O1143=$B$3),IF($D$3="(todos)",TRUE,'ORDENES'!$AF1143=$D$3),IF($F$3="(todos)",TRUE,'ORDENES'!$X1143=$F$3),IF($H$3="(todos)",TRUE,'ORDENES'!$W1143=$H$3),'ORDENES'!$AD1143=TRUE,'ORDENES'!$A1143&lt;&gt;""),1,0)</f>
        <v/>
      </c>
      <c r="L1147" s="3">
        <f>IF(K1147=1,IFERROR(MATCH('ORDENES'!$R1143,lista_dias,0),9)*1000000000+IFERROR(MATCH('ORDENES'!$AF1143,lista_turnos,0),9)*10000000+IFERROR(MATCH('ORDENES'!$AE1143,'TECNICOS'!$B$4:$B$15,0),99)*100000+1140,9000000000000+1140)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IF('ORDENES'!$T1143="preventiva",N1147,0)</f>
        <v/>
      </c>
      <c r="P1147" s="17">
        <f>IF('ORDENES'!$T1143="correctiva",N1147,0)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IF(AND(IF($B$3="(todos)",TRUE,'ORDENES'!$O1144=$B$3),IF($D$3="(todos)",TRUE,'ORDENES'!$AF1144=$D$3),IF($F$3="(todos)",TRUE,'ORDENES'!$X1144=$F$3),IF($H$3="(todos)",TRUE,'ORDENES'!$W1144=$H$3),'ORDENES'!$AD1144=TRUE,'ORDENES'!$A1144&lt;&gt;""),1,0)</f>
        <v/>
      </c>
      <c r="L1148" s="3">
        <f>IF(K1148=1,IFERROR(MATCH('ORDENES'!$R1144,lista_dias,0),9)*1000000000+IFERROR(MATCH('ORDENES'!$AF1144,lista_turnos,0),9)*10000000+IFERROR(MATCH('ORDENES'!$AE1144,'TECNICOS'!$B$4:$B$15,0),99)*100000+1141,9000000000000+1141)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IF('ORDENES'!$T1144="preventiva",N1148,0)</f>
        <v/>
      </c>
      <c r="P1148" s="17">
        <f>IF('ORDENES'!$T1144="correctiva",N1148,0)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IF(AND(IF($B$3="(todos)",TRUE,'ORDENES'!$O1145=$B$3),IF($D$3="(todos)",TRUE,'ORDENES'!$AF1145=$D$3),IF($F$3="(todos)",TRUE,'ORDENES'!$X1145=$F$3),IF($H$3="(todos)",TRUE,'ORDENES'!$W1145=$H$3),'ORDENES'!$AD1145=TRUE,'ORDENES'!$A1145&lt;&gt;""),1,0)</f>
        <v/>
      </c>
      <c r="L1149" s="3">
        <f>IF(K1149=1,IFERROR(MATCH('ORDENES'!$R1145,lista_dias,0),9)*1000000000+IFERROR(MATCH('ORDENES'!$AF1145,lista_turnos,0),9)*10000000+IFERROR(MATCH('ORDENES'!$AE1145,'TECNICOS'!$B$4:$B$15,0),99)*100000+1142,9000000000000+1142)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IF('ORDENES'!$T1145="preventiva",N1149,0)</f>
        <v/>
      </c>
      <c r="P1149" s="17">
        <f>IF('ORDENES'!$T1145="correctiva",N1149,0)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IF(AND(IF($B$3="(todos)",TRUE,'ORDENES'!$O1146=$B$3),IF($D$3="(todos)",TRUE,'ORDENES'!$AF1146=$D$3),IF($F$3="(todos)",TRUE,'ORDENES'!$X1146=$F$3),IF($H$3="(todos)",TRUE,'ORDENES'!$W1146=$H$3),'ORDENES'!$AD1146=TRUE,'ORDENES'!$A1146&lt;&gt;""),1,0)</f>
        <v/>
      </c>
      <c r="L1150" s="3">
        <f>IF(K1150=1,IFERROR(MATCH('ORDENES'!$R1146,lista_dias,0),9)*1000000000+IFERROR(MATCH('ORDENES'!$AF1146,lista_turnos,0),9)*10000000+IFERROR(MATCH('ORDENES'!$AE1146,'TECNICOS'!$B$4:$B$15,0),99)*100000+1143,9000000000000+1143)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IF('ORDENES'!$T1146="preventiva",N1150,0)</f>
        <v/>
      </c>
      <c r="P1150" s="17">
        <f>IF('ORDENES'!$T1146="correctiva",N1150,0)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IF(AND(IF($B$3="(todos)",TRUE,'ORDENES'!$O1147=$B$3),IF($D$3="(todos)",TRUE,'ORDENES'!$AF1147=$D$3),IF($F$3="(todos)",TRUE,'ORDENES'!$X1147=$F$3),IF($H$3="(todos)",TRUE,'ORDENES'!$W1147=$H$3),'ORDENES'!$AD1147=TRUE,'ORDENES'!$A1147&lt;&gt;""),1,0)</f>
        <v/>
      </c>
      <c r="L1151" s="3">
        <f>IF(K1151=1,IFERROR(MATCH('ORDENES'!$R1147,lista_dias,0),9)*1000000000+IFERROR(MATCH('ORDENES'!$AF1147,lista_turnos,0),9)*10000000+IFERROR(MATCH('ORDENES'!$AE1147,'TECNICOS'!$B$4:$B$15,0),99)*100000+1144,9000000000000+1144)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IF('ORDENES'!$T1147="preventiva",N1151,0)</f>
        <v/>
      </c>
      <c r="P1151" s="17">
        <f>IF('ORDENES'!$T1147="correctiva",N1151,0)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IF(AND(IF($B$3="(todos)",TRUE,'ORDENES'!$O1148=$B$3),IF($D$3="(todos)",TRUE,'ORDENES'!$AF1148=$D$3),IF($F$3="(todos)",TRUE,'ORDENES'!$X1148=$F$3),IF($H$3="(todos)",TRUE,'ORDENES'!$W1148=$H$3),'ORDENES'!$AD1148=TRUE,'ORDENES'!$A1148&lt;&gt;""),1,0)</f>
        <v/>
      </c>
      <c r="L1152" s="3">
        <f>IF(K1152=1,IFERROR(MATCH('ORDENES'!$R1148,lista_dias,0),9)*1000000000+IFERROR(MATCH('ORDENES'!$AF1148,lista_turnos,0),9)*10000000+IFERROR(MATCH('ORDENES'!$AE1148,'TECNICOS'!$B$4:$B$15,0),99)*100000+1145,9000000000000+1145)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IF('ORDENES'!$T1148="preventiva",N1152,0)</f>
        <v/>
      </c>
      <c r="P1152" s="17">
        <f>IF('ORDENES'!$T1148="correctiva",N1152,0)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IF(AND(IF($B$3="(todos)",TRUE,'ORDENES'!$O1149=$B$3),IF($D$3="(todos)",TRUE,'ORDENES'!$AF1149=$D$3),IF($F$3="(todos)",TRUE,'ORDENES'!$X1149=$F$3),IF($H$3="(todos)",TRUE,'ORDENES'!$W1149=$H$3),'ORDENES'!$AD1149=TRUE,'ORDENES'!$A1149&lt;&gt;""),1,0)</f>
        <v/>
      </c>
      <c r="L1153" s="3">
        <f>IF(K1153=1,IFERROR(MATCH('ORDENES'!$R1149,lista_dias,0),9)*1000000000+IFERROR(MATCH('ORDENES'!$AF1149,lista_turnos,0),9)*10000000+IFERROR(MATCH('ORDENES'!$AE1149,'TECNICOS'!$B$4:$B$15,0),99)*100000+1146,9000000000000+1146)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IF('ORDENES'!$T1149="preventiva",N1153,0)</f>
        <v/>
      </c>
      <c r="P1153" s="17">
        <f>IF('ORDENES'!$T1149="correctiva",N1153,0)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IF(AND(IF($B$3="(todos)",TRUE,'ORDENES'!$O1150=$B$3),IF($D$3="(todos)",TRUE,'ORDENES'!$AF1150=$D$3),IF($F$3="(todos)",TRUE,'ORDENES'!$X1150=$F$3),IF($H$3="(todos)",TRUE,'ORDENES'!$W1150=$H$3),'ORDENES'!$AD1150=TRUE,'ORDENES'!$A1150&lt;&gt;""),1,0)</f>
        <v/>
      </c>
      <c r="L1154" s="3">
        <f>IF(K1154=1,IFERROR(MATCH('ORDENES'!$R1150,lista_dias,0),9)*1000000000+IFERROR(MATCH('ORDENES'!$AF1150,lista_turnos,0),9)*10000000+IFERROR(MATCH('ORDENES'!$AE1150,'TECNICOS'!$B$4:$B$15,0),99)*100000+1147,9000000000000+1147)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IF('ORDENES'!$T1150="preventiva",N1154,0)</f>
        <v/>
      </c>
      <c r="P1154" s="17">
        <f>IF('ORDENES'!$T1150="correctiva",N1154,0)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IF(AND(IF($B$3="(todos)",TRUE,'ORDENES'!$O1151=$B$3),IF($D$3="(todos)",TRUE,'ORDENES'!$AF1151=$D$3),IF($F$3="(todos)",TRUE,'ORDENES'!$X1151=$F$3),IF($H$3="(todos)",TRUE,'ORDENES'!$W1151=$H$3),'ORDENES'!$AD1151=TRUE,'ORDENES'!$A1151&lt;&gt;""),1,0)</f>
        <v/>
      </c>
      <c r="L1155" s="3">
        <f>IF(K1155=1,IFERROR(MATCH('ORDENES'!$R1151,lista_dias,0),9)*1000000000+IFERROR(MATCH('ORDENES'!$AF1151,lista_turnos,0),9)*10000000+IFERROR(MATCH('ORDENES'!$AE1151,'TECNICOS'!$B$4:$B$15,0),99)*100000+1148,9000000000000+1148)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IF('ORDENES'!$T1151="preventiva",N1155,0)</f>
        <v/>
      </c>
      <c r="P1155" s="17">
        <f>IF('ORDENES'!$T1151="correctiva",N1155,0)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IF(AND(IF($B$3="(todos)",TRUE,'ORDENES'!$O1152=$B$3),IF($D$3="(todos)",TRUE,'ORDENES'!$AF1152=$D$3),IF($F$3="(todos)",TRUE,'ORDENES'!$X1152=$F$3),IF($H$3="(todos)",TRUE,'ORDENES'!$W1152=$H$3),'ORDENES'!$AD1152=TRUE,'ORDENES'!$A1152&lt;&gt;""),1,0)</f>
        <v/>
      </c>
      <c r="L1156" s="3">
        <f>IF(K1156=1,IFERROR(MATCH('ORDENES'!$R1152,lista_dias,0),9)*1000000000+IFERROR(MATCH('ORDENES'!$AF1152,lista_turnos,0),9)*10000000+IFERROR(MATCH('ORDENES'!$AE1152,'TECNICOS'!$B$4:$B$15,0),99)*100000+1149,9000000000000+1149)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IF('ORDENES'!$T1152="preventiva",N1156,0)</f>
        <v/>
      </c>
      <c r="P1156" s="17">
        <f>IF('ORDENES'!$T1152="correctiva",N1156,0)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IF(AND(IF($B$3="(todos)",TRUE,'ORDENES'!$O1153=$B$3),IF($D$3="(todos)",TRUE,'ORDENES'!$AF1153=$D$3),IF($F$3="(todos)",TRUE,'ORDENES'!$X1153=$F$3),IF($H$3="(todos)",TRUE,'ORDENES'!$W1153=$H$3),'ORDENES'!$AD1153=TRUE,'ORDENES'!$A1153&lt;&gt;""),1,0)</f>
        <v/>
      </c>
      <c r="L1157" s="3">
        <f>IF(K1157=1,IFERROR(MATCH('ORDENES'!$R1153,lista_dias,0),9)*1000000000+IFERROR(MATCH('ORDENES'!$AF1153,lista_turnos,0),9)*10000000+IFERROR(MATCH('ORDENES'!$AE1153,'TECNICOS'!$B$4:$B$15,0),99)*100000+1150,9000000000000+1150)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IF('ORDENES'!$T1153="preventiva",N1157,0)</f>
        <v/>
      </c>
      <c r="P1157" s="17">
        <f>IF('ORDENES'!$T1153="correctiva",N1157,0)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IF(AND(IF($B$3="(todos)",TRUE,'ORDENES'!$O1154=$B$3),IF($D$3="(todos)",TRUE,'ORDENES'!$AF1154=$D$3),IF($F$3="(todos)",TRUE,'ORDENES'!$X1154=$F$3),IF($H$3="(todos)",TRUE,'ORDENES'!$W1154=$H$3),'ORDENES'!$AD1154=TRUE,'ORDENES'!$A1154&lt;&gt;""),1,0)</f>
        <v/>
      </c>
      <c r="L1158" s="3">
        <f>IF(K1158=1,IFERROR(MATCH('ORDENES'!$R1154,lista_dias,0),9)*1000000000+IFERROR(MATCH('ORDENES'!$AF1154,lista_turnos,0),9)*10000000+IFERROR(MATCH('ORDENES'!$AE1154,'TECNICOS'!$B$4:$B$15,0),99)*100000+1151,9000000000000+1151)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IF('ORDENES'!$T1154="preventiva",N1158,0)</f>
        <v/>
      </c>
      <c r="P1158" s="17">
        <f>IF('ORDENES'!$T1154="correctiva",N1158,0)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IF(AND(IF($B$3="(todos)",TRUE,'ORDENES'!$O1155=$B$3),IF($D$3="(todos)",TRUE,'ORDENES'!$AF1155=$D$3),IF($F$3="(todos)",TRUE,'ORDENES'!$X1155=$F$3),IF($H$3="(todos)",TRUE,'ORDENES'!$W1155=$H$3),'ORDENES'!$AD1155=TRUE,'ORDENES'!$A1155&lt;&gt;""),1,0)</f>
        <v/>
      </c>
      <c r="L1159" s="3">
        <f>IF(K1159=1,IFERROR(MATCH('ORDENES'!$R1155,lista_dias,0),9)*1000000000+IFERROR(MATCH('ORDENES'!$AF1155,lista_turnos,0),9)*10000000+IFERROR(MATCH('ORDENES'!$AE1155,'TECNICOS'!$B$4:$B$15,0),99)*100000+1152,9000000000000+1152)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IF('ORDENES'!$T1155="preventiva",N1159,0)</f>
        <v/>
      </c>
      <c r="P1159" s="17">
        <f>IF('ORDENES'!$T1155="correctiva",N1159,0)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IF(AND(IF($B$3="(todos)",TRUE,'ORDENES'!$O1156=$B$3),IF($D$3="(todos)",TRUE,'ORDENES'!$AF1156=$D$3),IF($F$3="(todos)",TRUE,'ORDENES'!$X1156=$F$3),IF($H$3="(todos)",TRUE,'ORDENES'!$W1156=$H$3),'ORDENES'!$AD1156=TRUE,'ORDENES'!$A1156&lt;&gt;""),1,0)</f>
        <v/>
      </c>
      <c r="L1160" s="3">
        <f>IF(K1160=1,IFERROR(MATCH('ORDENES'!$R1156,lista_dias,0),9)*1000000000+IFERROR(MATCH('ORDENES'!$AF1156,lista_turnos,0),9)*10000000+IFERROR(MATCH('ORDENES'!$AE1156,'TECNICOS'!$B$4:$B$15,0),99)*100000+1153,9000000000000+1153)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IF('ORDENES'!$T1156="preventiva",N1160,0)</f>
        <v/>
      </c>
      <c r="P1160" s="17">
        <f>IF('ORDENES'!$T1156="correctiva",N1160,0)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IF(AND(IF($B$3="(todos)",TRUE,'ORDENES'!$O1157=$B$3),IF($D$3="(todos)",TRUE,'ORDENES'!$AF1157=$D$3),IF($F$3="(todos)",TRUE,'ORDENES'!$X1157=$F$3),IF($H$3="(todos)",TRUE,'ORDENES'!$W1157=$H$3),'ORDENES'!$AD1157=TRUE,'ORDENES'!$A1157&lt;&gt;""),1,0)</f>
        <v/>
      </c>
      <c r="L1161" s="3">
        <f>IF(K1161=1,IFERROR(MATCH('ORDENES'!$R1157,lista_dias,0),9)*1000000000+IFERROR(MATCH('ORDENES'!$AF1157,lista_turnos,0),9)*10000000+IFERROR(MATCH('ORDENES'!$AE1157,'TECNICOS'!$B$4:$B$15,0),99)*100000+1154,9000000000000+1154)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IF('ORDENES'!$T1157="preventiva",N1161,0)</f>
        <v/>
      </c>
      <c r="P1161" s="17">
        <f>IF('ORDENES'!$T1157="correctiva",N1161,0)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IF(AND(IF($B$3="(todos)",TRUE,'ORDENES'!$O1158=$B$3),IF($D$3="(todos)",TRUE,'ORDENES'!$AF1158=$D$3),IF($F$3="(todos)",TRUE,'ORDENES'!$X1158=$F$3),IF($H$3="(todos)",TRUE,'ORDENES'!$W1158=$H$3),'ORDENES'!$AD1158=TRUE,'ORDENES'!$A1158&lt;&gt;""),1,0)</f>
        <v/>
      </c>
      <c r="L1162" s="3">
        <f>IF(K1162=1,IFERROR(MATCH('ORDENES'!$R1158,lista_dias,0),9)*1000000000+IFERROR(MATCH('ORDENES'!$AF1158,lista_turnos,0),9)*10000000+IFERROR(MATCH('ORDENES'!$AE1158,'TECNICOS'!$B$4:$B$15,0),99)*100000+1155,9000000000000+1155)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IF('ORDENES'!$T1158="preventiva",N1162,0)</f>
        <v/>
      </c>
      <c r="P1162" s="17">
        <f>IF('ORDENES'!$T1158="correctiva",N1162,0)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IF(AND(IF($B$3="(todos)",TRUE,'ORDENES'!$O1159=$B$3),IF($D$3="(todos)",TRUE,'ORDENES'!$AF1159=$D$3),IF($F$3="(todos)",TRUE,'ORDENES'!$X1159=$F$3),IF($H$3="(todos)",TRUE,'ORDENES'!$W1159=$H$3),'ORDENES'!$AD1159=TRUE,'ORDENES'!$A1159&lt;&gt;""),1,0)</f>
        <v/>
      </c>
      <c r="L1163" s="3">
        <f>IF(K1163=1,IFERROR(MATCH('ORDENES'!$R1159,lista_dias,0),9)*1000000000+IFERROR(MATCH('ORDENES'!$AF1159,lista_turnos,0),9)*10000000+IFERROR(MATCH('ORDENES'!$AE1159,'TECNICOS'!$B$4:$B$15,0),99)*100000+1156,9000000000000+1156)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IF('ORDENES'!$T1159="preventiva",N1163,0)</f>
        <v/>
      </c>
      <c r="P1163" s="17">
        <f>IF('ORDENES'!$T1159="correctiva",N1163,0)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IF(AND(IF($B$3="(todos)",TRUE,'ORDENES'!$O1160=$B$3),IF($D$3="(todos)",TRUE,'ORDENES'!$AF1160=$D$3),IF($F$3="(todos)",TRUE,'ORDENES'!$X1160=$F$3),IF($H$3="(todos)",TRUE,'ORDENES'!$W1160=$H$3),'ORDENES'!$AD1160=TRUE,'ORDENES'!$A1160&lt;&gt;""),1,0)</f>
        <v/>
      </c>
      <c r="L1164" s="3">
        <f>IF(K1164=1,IFERROR(MATCH('ORDENES'!$R1160,lista_dias,0),9)*1000000000+IFERROR(MATCH('ORDENES'!$AF1160,lista_turnos,0),9)*10000000+IFERROR(MATCH('ORDENES'!$AE1160,'TECNICOS'!$B$4:$B$15,0),99)*100000+1157,9000000000000+1157)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IF('ORDENES'!$T1160="preventiva",N1164,0)</f>
        <v/>
      </c>
      <c r="P1164" s="17">
        <f>IF('ORDENES'!$T1160="correctiva",N1164,0)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IF(AND(IF($B$3="(todos)",TRUE,'ORDENES'!$O1161=$B$3),IF($D$3="(todos)",TRUE,'ORDENES'!$AF1161=$D$3),IF($F$3="(todos)",TRUE,'ORDENES'!$X1161=$F$3),IF($H$3="(todos)",TRUE,'ORDENES'!$W1161=$H$3),'ORDENES'!$AD1161=TRUE,'ORDENES'!$A1161&lt;&gt;""),1,0)</f>
        <v/>
      </c>
      <c r="L1165" s="3">
        <f>IF(K1165=1,IFERROR(MATCH('ORDENES'!$R1161,lista_dias,0),9)*1000000000+IFERROR(MATCH('ORDENES'!$AF1161,lista_turnos,0),9)*10000000+IFERROR(MATCH('ORDENES'!$AE1161,'TECNICOS'!$B$4:$B$15,0),99)*100000+1158,9000000000000+1158)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IF('ORDENES'!$T1161="preventiva",N1165,0)</f>
        <v/>
      </c>
      <c r="P1165" s="17">
        <f>IF('ORDENES'!$T1161="correctiva",N1165,0)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IF(AND(IF($B$3="(todos)",TRUE,'ORDENES'!$O1162=$B$3),IF($D$3="(todos)",TRUE,'ORDENES'!$AF1162=$D$3),IF($F$3="(todos)",TRUE,'ORDENES'!$X1162=$F$3),IF($H$3="(todos)",TRUE,'ORDENES'!$W1162=$H$3),'ORDENES'!$AD1162=TRUE,'ORDENES'!$A1162&lt;&gt;""),1,0)</f>
        <v/>
      </c>
      <c r="L1166" s="3">
        <f>IF(K1166=1,IFERROR(MATCH('ORDENES'!$R1162,lista_dias,0),9)*1000000000+IFERROR(MATCH('ORDENES'!$AF1162,lista_turnos,0),9)*10000000+IFERROR(MATCH('ORDENES'!$AE1162,'TECNICOS'!$B$4:$B$15,0),99)*100000+1159,9000000000000+1159)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IF('ORDENES'!$T1162="preventiva",N1166,0)</f>
        <v/>
      </c>
      <c r="P1166" s="17">
        <f>IF('ORDENES'!$T1162="correctiva",N1166,0)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IF(AND(IF($B$3="(todos)",TRUE,'ORDENES'!$O1163=$B$3),IF($D$3="(todos)",TRUE,'ORDENES'!$AF1163=$D$3),IF($F$3="(todos)",TRUE,'ORDENES'!$X1163=$F$3),IF($H$3="(todos)",TRUE,'ORDENES'!$W1163=$H$3),'ORDENES'!$AD1163=TRUE,'ORDENES'!$A1163&lt;&gt;""),1,0)</f>
        <v/>
      </c>
      <c r="L1167" s="3">
        <f>IF(K1167=1,IFERROR(MATCH('ORDENES'!$R1163,lista_dias,0),9)*1000000000+IFERROR(MATCH('ORDENES'!$AF1163,lista_turnos,0),9)*10000000+IFERROR(MATCH('ORDENES'!$AE1163,'TECNICOS'!$B$4:$B$15,0),99)*100000+1160,9000000000000+1160)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IF('ORDENES'!$T1163="preventiva",N1167,0)</f>
        <v/>
      </c>
      <c r="P1167" s="17">
        <f>IF('ORDENES'!$T1163="correctiva",N1167,0)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IF(AND(IF($B$3="(todos)",TRUE,'ORDENES'!$O1164=$B$3),IF($D$3="(todos)",TRUE,'ORDENES'!$AF1164=$D$3),IF($F$3="(todos)",TRUE,'ORDENES'!$X1164=$F$3),IF($H$3="(todos)",TRUE,'ORDENES'!$W1164=$H$3),'ORDENES'!$AD1164=TRUE,'ORDENES'!$A1164&lt;&gt;""),1,0)</f>
        <v/>
      </c>
      <c r="L1168" s="3">
        <f>IF(K1168=1,IFERROR(MATCH('ORDENES'!$R1164,lista_dias,0),9)*1000000000+IFERROR(MATCH('ORDENES'!$AF1164,lista_turnos,0),9)*10000000+IFERROR(MATCH('ORDENES'!$AE1164,'TECNICOS'!$B$4:$B$15,0),99)*100000+1161,9000000000000+1161)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IF('ORDENES'!$T1164="preventiva",N1168,0)</f>
        <v/>
      </c>
      <c r="P1168" s="17">
        <f>IF('ORDENES'!$T1164="correctiva",N1168,0)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IF(AND(IF($B$3="(todos)",TRUE,'ORDENES'!$O1165=$B$3),IF($D$3="(todos)",TRUE,'ORDENES'!$AF1165=$D$3),IF($F$3="(todos)",TRUE,'ORDENES'!$X1165=$F$3),IF($H$3="(todos)",TRUE,'ORDENES'!$W1165=$H$3),'ORDENES'!$AD1165=TRUE,'ORDENES'!$A1165&lt;&gt;""),1,0)</f>
        <v/>
      </c>
      <c r="L1169" s="3">
        <f>IF(K1169=1,IFERROR(MATCH('ORDENES'!$R1165,lista_dias,0),9)*1000000000+IFERROR(MATCH('ORDENES'!$AF1165,lista_turnos,0),9)*10000000+IFERROR(MATCH('ORDENES'!$AE1165,'TECNICOS'!$B$4:$B$15,0),99)*100000+1162,9000000000000+1162)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IF('ORDENES'!$T1165="preventiva",N1169,0)</f>
        <v/>
      </c>
      <c r="P1169" s="17">
        <f>IF('ORDENES'!$T1165="correctiva",N1169,0)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IF(AND(IF($B$3="(todos)",TRUE,'ORDENES'!$O1166=$B$3),IF($D$3="(todos)",TRUE,'ORDENES'!$AF1166=$D$3),IF($F$3="(todos)",TRUE,'ORDENES'!$X1166=$F$3),IF($H$3="(todos)",TRUE,'ORDENES'!$W1166=$H$3),'ORDENES'!$AD1166=TRUE,'ORDENES'!$A1166&lt;&gt;""),1,0)</f>
        <v/>
      </c>
      <c r="L1170" s="3">
        <f>IF(K1170=1,IFERROR(MATCH('ORDENES'!$R1166,lista_dias,0),9)*1000000000+IFERROR(MATCH('ORDENES'!$AF1166,lista_turnos,0),9)*10000000+IFERROR(MATCH('ORDENES'!$AE1166,'TECNICOS'!$B$4:$B$15,0),99)*100000+1163,9000000000000+1163)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IF('ORDENES'!$T1166="preventiva",N1170,0)</f>
        <v/>
      </c>
      <c r="P1170" s="17">
        <f>IF('ORDENES'!$T1166="correctiva",N1170,0)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IF(AND(IF($B$3="(todos)",TRUE,'ORDENES'!$O1167=$B$3),IF($D$3="(todos)",TRUE,'ORDENES'!$AF1167=$D$3),IF($F$3="(todos)",TRUE,'ORDENES'!$X1167=$F$3),IF($H$3="(todos)",TRUE,'ORDENES'!$W1167=$H$3),'ORDENES'!$AD1167=TRUE,'ORDENES'!$A1167&lt;&gt;""),1,0)</f>
        <v/>
      </c>
      <c r="L1171" s="3">
        <f>IF(K1171=1,IFERROR(MATCH('ORDENES'!$R1167,lista_dias,0),9)*1000000000+IFERROR(MATCH('ORDENES'!$AF1167,lista_turnos,0),9)*10000000+IFERROR(MATCH('ORDENES'!$AE1167,'TECNICOS'!$B$4:$B$15,0),99)*100000+1164,9000000000000+1164)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IF('ORDENES'!$T1167="preventiva",N1171,0)</f>
        <v/>
      </c>
      <c r="P1171" s="17">
        <f>IF('ORDENES'!$T1167="correctiva",N1171,0)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IF(AND(IF($B$3="(todos)",TRUE,'ORDENES'!$O1168=$B$3),IF($D$3="(todos)",TRUE,'ORDENES'!$AF1168=$D$3),IF($F$3="(todos)",TRUE,'ORDENES'!$X1168=$F$3),IF($H$3="(todos)",TRUE,'ORDENES'!$W1168=$H$3),'ORDENES'!$AD1168=TRUE,'ORDENES'!$A1168&lt;&gt;""),1,0)</f>
        <v/>
      </c>
      <c r="L1172" s="3">
        <f>IF(K1172=1,IFERROR(MATCH('ORDENES'!$R1168,lista_dias,0),9)*1000000000+IFERROR(MATCH('ORDENES'!$AF1168,lista_turnos,0),9)*10000000+IFERROR(MATCH('ORDENES'!$AE1168,'TECNICOS'!$B$4:$B$15,0),99)*100000+1165,9000000000000+1165)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IF('ORDENES'!$T1168="preventiva",N1172,0)</f>
        <v/>
      </c>
      <c r="P1172" s="17">
        <f>IF('ORDENES'!$T1168="correctiva",N1172,0)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IF(AND(IF($B$3="(todos)",TRUE,'ORDENES'!$O1169=$B$3),IF($D$3="(todos)",TRUE,'ORDENES'!$AF1169=$D$3),IF($F$3="(todos)",TRUE,'ORDENES'!$X1169=$F$3),IF($H$3="(todos)",TRUE,'ORDENES'!$W1169=$H$3),'ORDENES'!$AD1169=TRUE,'ORDENES'!$A1169&lt;&gt;""),1,0)</f>
        <v/>
      </c>
      <c r="L1173" s="3">
        <f>IF(K1173=1,IFERROR(MATCH('ORDENES'!$R1169,lista_dias,0),9)*1000000000+IFERROR(MATCH('ORDENES'!$AF1169,lista_turnos,0),9)*10000000+IFERROR(MATCH('ORDENES'!$AE1169,'TECNICOS'!$B$4:$B$15,0),99)*100000+1166,9000000000000+1166)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IF('ORDENES'!$T1169="preventiva",N1173,0)</f>
        <v/>
      </c>
      <c r="P1173" s="17">
        <f>IF('ORDENES'!$T1169="correctiva",N1173,0)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IF(AND(IF($B$3="(todos)",TRUE,'ORDENES'!$O1170=$B$3),IF($D$3="(todos)",TRUE,'ORDENES'!$AF1170=$D$3),IF($F$3="(todos)",TRUE,'ORDENES'!$X1170=$F$3),IF($H$3="(todos)",TRUE,'ORDENES'!$W1170=$H$3),'ORDENES'!$AD1170=TRUE,'ORDENES'!$A1170&lt;&gt;""),1,0)</f>
        <v/>
      </c>
      <c r="L1174" s="3">
        <f>IF(K1174=1,IFERROR(MATCH('ORDENES'!$R1170,lista_dias,0),9)*1000000000+IFERROR(MATCH('ORDENES'!$AF1170,lista_turnos,0),9)*10000000+IFERROR(MATCH('ORDENES'!$AE1170,'TECNICOS'!$B$4:$B$15,0),99)*100000+1167,9000000000000+1167)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IF('ORDENES'!$T1170="preventiva",N1174,0)</f>
        <v/>
      </c>
      <c r="P1174" s="17">
        <f>IF('ORDENES'!$T1170="correctiva",N1174,0)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IF(AND(IF($B$3="(todos)",TRUE,'ORDENES'!$O1171=$B$3),IF($D$3="(todos)",TRUE,'ORDENES'!$AF1171=$D$3),IF($F$3="(todos)",TRUE,'ORDENES'!$X1171=$F$3),IF($H$3="(todos)",TRUE,'ORDENES'!$W1171=$H$3),'ORDENES'!$AD1171=TRUE,'ORDENES'!$A1171&lt;&gt;""),1,0)</f>
        <v/>
      </c>
      <c r="L1175" s="3">
        <f>IF(K1175=1,IFERROR(MATCH('ORDENES'!$R1171,lista_dias,0),9)*1000000000+IFERROR(MATCH('ORDENES'!$AF1171,lista_turnos,0),9)*10000000+IFERROR(MATCH('ORDENES'!$AE1171,'TECNICOS'!$B$4:$B$15,0),99)*100000+1168,9000000000000+1168)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IF('ORDENES'!$T1171="preventiva",N1175,0)</f>
        <v/>
      </c>
      <c r="P1175" s="17">
        <f>IF('ORDENES'!$T1171="correctiva",N1175,0)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IF(AND(IF($B$3="(todos)",TRUE,'ORDENES'!$O1172=$B$3),IF($D$3="(todos)",TRUE,'ORDENES'!$AF1172=$D$3),IF($F$3="(todos)",TRUE,'ORDENES'!$X1172=$F$3),IF($H$3="(todos)",TRUE,'ORDENES'!$W1172=$H$3),'ORDENES'!$AD1172=TRUE,'ORDENES'!$A1172&lt;&gt;""),1,0)</f>
        <v/>
      </c>
      <c r="L1176" s="3">
        <f>IF(K1176=1,IFERROR(MATCH('ORDENES'!$R1172,lista_dias,0),9)*1000000000+IFERROR(MATCH('ORDENES'!$AF1172,lista_turnos,0),9)*10000000+IFERROR(MATCH('ORDENES'!$AE1172,'TECNICOS'!$B$4:$B$15,0),99)*100000+1169,9000000000000+1169)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IF('ORDENES'!$T1172="preventiva",N1176,0)</f>
        <v/>
      </c>
      <c r="P1176" s="17">
        <f>IF('ORDENES'!$T1172="correctiva",N1176,0)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IF(AND(IF($B$3="(todos)",TRUE,'ORDENES'!$O1173=$B$3),IF($D$3="(todos)",TRUE,'ORDENES'!$AF1173=$D$3),IF($F$3="(todos)",TRUE,'ORDENES'!$X1173=$F$3),IF($H$3="(todos)",TRUE,'ORDENES'!$W1173=$H$3),'ORDENES'!$AD1173=TRUE,'ORDENES'!$A1173&lt;&gt;""),1,0)</f>
        <v/>
      </c>
      <c r="L1177" s="3">
        <f>IF(K1177=1,IFERROR(MATCH('ORDENES'!$R1173,lista_dias,0),9)*1000000000+IFERROR(MATCH('ORDENES'!$AF1173,lista_turnos,0),9)*10000000+IFERROR(MATCH('ORDENES'!$AE1173,'TECNICOS'!$B$4:$B$15,0),99)*100000+1170,9000000000000+1170)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IF('ORDENES'!$T1173="preventiva",N1177,0)</f>
        <v/>
      </c>
      <c r="P1177" s="17">
        <f>IF('ORDENES'!$T1173="correctiva",N1177,0)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IF(AND(IF($B$3="(todos)",TRUE,'ORDENES'!$O1174=$B$3),IF($D$3="(todos)",TRUE,'ORDENES'!$AF1174=$D$3),IF($F$3="(todos)",TRUE,'ORDENES'!$X1174=$F$3),IF($H$3="(todos)",TRUE,'ORDENES'!$W1174=$H$3),'ORDENES'!$AD1174=TRUE,'ORDENES'!$A1174&lt;&gt;""),1,0)</f>
        <v/>
      </c>
      <c r="L1178" s="3">
        <f>IF(K1178=1,IFERROR(MATCH('ORDENES'!$R1174,lista_dias,0),9)*1000000000+IFERROR(MATCH('ORDENES'!$AF1174,lista_turnos,0),9)*10000000+IFERROR(MATCH('ORDENES'!$AE1174,'TECNICOS'!$B$4:$B$15,0),99)*100000+1171,9000000000000+1171)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IF('ORDENES'!$T1174="preventiva",N1178,0)</f>
        <v/>
      </c>
      <c r="P1178" s="17">
        <f>IF('ORDENES'!$T1174="correctiva",N1178,0)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IF(AND(IF($B$3="(todos)",TRUE,'ORDENES'!$O1175=$B$3),IF($D$3="(todos)",TRUE,'ORDENES'!$AF1175=$D$3),IF($F$3="(todos)",TRUE,'ORDENES'!$X1175=$F$3),IF($H$3="(todos)",TRUE,'ORDENES'!$W1175=$H$3),'ORDENES'!$AD1175=TRUE,'ORDENES'!$A1175&lt;&gt;""),1,0)</f>
        <v/>
      </c>
      <c r="L1179" s="3">
        <f>IF(K1179=1,IFERROR(MATCH('ORDENES'!$R1175,lista_dias,0),9)*1000000000+IFERROR(MATCH('ORDENES'!$AF1175,lista_turnos,0),9)*10000000+IFERROR(MATCH('ORDENES'!$AE1175,'TECNICOS'!$B$4:$B$15,0),99)*100000+1172,9000000000000+1172)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IF('ORDENES'!$T1175="preventiva",N1179,0)</f>
        <v/>
      </c>
      <c r="P1179" s="17">
        <f>IF('ORDENES'!$T1175="correctiva",N1179,0)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IF(AND(IF($B$3="(todos)",TRUE,'ORDENES'!$O1176=$B$3),IF($D$3="(todos)",TRUE,'ORDENES'!$AF1176=$D$3),IF($F$3="(todos)",TRUE,'ORDENES'!$X1176=$F$3),IF($H$3="(todos)",TRUE,'ORDENES'!$W1176=$H$3),'ORDENES'!$AD1176=TRUE,'ORDENES'!$A1176&lt;&gt;""),1,0)</f>
        <v/>
      </c>
      <c r="L1180" s="3">
        <f>IF(K1180=1,IFERROR(MATCH('ORDENES'!$R1176,lista_dias,0),9)*1000000000+IFERROR(MATCH('ORDENES'!$AF1176,lista_turnos,0),9)*10000000+IFERROR(MATCH('ORDENES'!$AE1176,'TECNICOS'!$B$4:$B$15,0),99)*100000+1173,9000000000000+1173)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IF('ORDENES'!$T1176="preventiva",N1180,0)</f>
        <v/>
      </c>
      <c r="P1180" s="17">
        <f>IF('ORDENES'!$T1176="correctiva",N1180,0)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IF(AND(IF($B$3="(todos)",TRUE,'ORDENES'!$O1177=$B$3),IF($D$3="(todos)",TRUE,'ORDENES'!$AF1177=$D$3),IF($F$3="(todos)",TRUE,'ORDENES'!$X1177=$F$3),IF($H$3="(todos)",TRUE,'ORDENES'!$W1177=$H$3),'ORDENES'!$AD1177=TRUE,'ORDENES'!$A1177&lt;&gt;""),1,0)</f>
        <v/>
      </c>
      <c r="L1181" s="3">
        <f>IF(K1181=1,IFERROR(MATCH('ORDENES'!$R1177,lista_dias,0),9)*1000000000+IFERROR(MATCH('ORDENES'!$AF1177,lista_turnos,0),9)*10000000+IFERROR(MATCH('ORDENES'!$AE1177,'TECNICOS'!$B$4:$B$15,0),99)*100000+1174,9000000000000+1174)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IF('ORDENES'!$T1177="preventiva",N1181,0)</f>
        <v/>
      </c>
      <c r="P1181" s="17">
        <f>IF('ORDENES'!$T1177="correctiva",N1181,0)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IF(AND(IF($B$3="(todos)",TRUE,'ORDENES'!$O1178=$B$3),IF($D$3="(todos)",TRUE,'ORDENES'!$AF1178=$D$3),IF($F$3="(todos)",TRUE,'ORDENES'!$X1178=$F$3),IF($H$3="(todos)",TRUE,'ORDENES'!$W1178=$H$3),'ORDENES'!$AD1178=TRUE,'ORDENES'!$A1178&lt;&gt;""),1,0)</f>
        <v/>
      </c>
      <c r="L1182" s="3">
        <f>IF(K1182=1,IFERROR(MATCH('ORDENES'!$R1178,lista_dias,0),9)*1000000000+IFERROR(MATCH('ORDENES'!$AF1178,lista_turnos,0),9)*10000000+IFERROR(MATCH('ORDENES'!$AE1178,'TECNICOS'!$B$4:$B$15,0),99)*100000+1175,9000000000000+1175)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IF('ORDENES'!$T1178="preventiva",N1182,0)</f>
        <v/>
      </c>
      <c r="P1182" s="17">
        <f>IF('ORDENES'!$T1178="correctiva",N1182,0)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IF(AND(IF($B$3="(todos)",TRUE,'ORDENES'!$O1179=$B$3),IF($D$3="(todos)",TRUE,'ORDENES'!$AF1179=$D$3),IF($F$3="(todos)",TRUE,'ORDENES'!$X1179=$F$3),IF($H$3="(todos)",TRUE,'ORDENES'!$W1179=$H$3),'ORDENES'!$AD1179=TRUE,'ORDENES'!$A1179&lt;&gt;""),1,0)</f>
        <v/>
      </c>
      <c r="L1183" s="3">
        <f>IF(K1183=1,IFERROR(MATCH('ORDENES'!$R1179,lista_dias,0),9)*1000000000+IFERROR(MATCH('ORDENES'!$AF1179,lista_turnos,0),9)*10000000+IFERROR(MATCH('ORDENES'!$AE1179,'TECNICOS'!$B$4:$B$15,0),99)*100000+1176,9000000000000+1176)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IF('ORDENES'!$T1179="preventiva",N1183,0)</f>
        <v/>
      </c>
      <c r="P1183" s="17">
        <f>IF('ORDENES'!$T1179="correctiva",N1183,0)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IF(AND(IF($B$3="(todos)",TRUE,'ORDENES'!$O1180=$B$3),IF($D$3="(todos)",TRUE,'ORDENES'!$AF1180=$D$3),IF($F$3="(todos)",TRUE,'ORDENES'!$X1180=$F$3),IF($H$3="(todos)",TRUE,'ORDENES'!$W1180=$H$3),'ORDENES'!$AD1180=TRUE,'ORDENES'!$A1180&lt;&gt;""),1,0)</f>
        <v/>
      </c>
      <c r="L1184" s="3">
        <f>IF(K1184=1,IFERROR(MATCH('ORDENES'!$R1180,lista_dias,0),9)*1000000000+IFERROR(MATCH('ORDENES'!$AF1180,lista_turnos,0),9)*10000000+IFERROR(MATCH('ORDENES'!$AE1180,'TECNICOS'!$B$4:$B$15,0),99)*100000+1177,9000000000000+1177)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IF('ORDENES'!$T1180="preventiva",N1184,0)</f>
        <v/>
      </c>
      <c r="P1184" s="17">
        <f>IF('ORDENES'!$T1180="correctiva",N1184,0)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IF(AND(IF($B$3="(todos)",TRUE,'ORDENES'!$O1181=$B$3),IF($D$3="(todos)",TRUE,'ORDENES'!$AF1181=$D$3),IF($F$3="(todos)",TRUE,'ORDENES'!$X1181=$F$3),IF($H$3="(todos)",TRUE,'ORDENES'!$W1181=$H$3),'ORDENES'!$AD1181=TRUE,'ORDENES'!$A1181&lt;&gt;""),1,0)</f>
        <v/>
      </c>
      <c r="L1185" s="3">
        <f>IF(K1185=1,IFERROR(MATCH('ORDENES'!$R1181,lista_dias,0),9)*1000000000+IFERROR(MATCH('ORDENES'!$AF1181,lista_turnos,0),9)*10000000+IFERROR(MATCH('ORDENES'!$AE1181,'TECNICOS'!$B$4:$B$15,0),99)*100000+1178,9000000000000+1178)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IF('ORDENES'!$T1181="preventiva",N1185,0)</f>
        <v/>
      </c>
      <c r="P1185" s="17">
        <f>IF('ORDENES'!$T1181="correctiva",N1185,0)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IF(AND(IF($B$3="(todos)",TRUE,'ORDENES'!$O1182=$B$3),IF($D$3="(todos)",TRUE,'ORDENES'!$AF1182=$D$3),IF($F$3="(todos)",TRUE,'ORDENES'!$X1182=$F$3),IF($H$3="(todos)",TRUE,'ORDENES'!$W1182=$H$3),'ORDENES'!$AD1182=TRUE,'ORDENES'!$A1182&lt;&gt;""),1,0)</f>
        <v/>
      </c>
      <c r="L1186" s="3">
        <f>IF(K1186=1,IFERROR(MATCH('ORDENES'!$R1182,lista_dias,0),9)*1000000000+IFERROR(MATCH('ORDENES'!$AF1182,lista_turnos,0),9)*10000000+IFERROR(MATCH('ORDENES'!$AE1182,'TECNICOS'!$B$4:$B$15,0),99)*100000+1179,9000000000000+1179)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IF('ORDENES'!$T1182="preventiva",N1186,0)</f>
        <v/>
      </c>
      <c r="P1186" s="17">
        <f>IF('ORDENES'!$T1182="correctiva",N1186,0)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IF(AND(IF($B$3="(todos)",TRUE,'ORDENES'!$O1183=$B$3),IF($D$3="(todos)",TRUE,'ORDENES'!$AF1183=$D$3),IF($F$3="(todos)",TRUE,'ORDENES'!$X1183=$F$3),IF($H$3="(todos)",TRUE,'ORDENES'!$W1183=$H$3),'ORDENES'!$AD1183=TRUE,'ORDENES'!$A1183&lt;&gt;""),1,0)</f>
        <v/>
      </c>
      <c r="L1187" s="3">
        <f>IF(K1187=1,IFERROR(MATCH('ORDENES'!$R1183,lista_dias,0),9)*1000000000+IFERROR(MATCH('ORDENES'!$AF1183,lista_turnos,0),9)*10000000+IFERROR(MATCH('ORDENES'!$AE1183,'TECNICOS'!$B$4:$B$15,0),99)*100000+1180,9000000000000+1180)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IF('ORDENES'!$T1183="preventiva",N1187,0)</f>
        <v/>
      </c>
      <c r="P1187" s="17">
        <f>IF('ORDENES'!$T1183="correctiva",N1187,0)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IF(AND(IF($B$3="(todos)",TRUE,'ORDENES'!$O1184=$B$3),IF($D$3="(todos)",TRUE,'ORDENES'!$AF1184=$D$3),IF($F$3="(todos)",TRUE,'ORDENES'!$X1184=$F$3),IF($H$3="(todos)",TRUE,'ORDENES'!$W1184=$H$3),'ORDENES'!$AD1184=TRUE,'ORDENES'!$A1184&lt;&gt;""),1,0)</f>
        <v/>
      </c>
      <c r="L1188" s="3">
        <f>IF(K1188=1,IFERROR(MATCH('ORDENES'!$R1184,lista_dias,0),9)*1000000000+IFERROR(MATCH('ORDENES'!$AF1184,lista_turnos,0),9)*10000000+IFERROR(MATCH('ORDENES'!$AE1184,'TECNICOS'!$B$4:$B$15,0),99)*100000+1181,9000000000000+1181)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IF('ORDENES'!$T1184="preventiva",N1188,0)</f>
        <v/>
      </c>
      <c r="P1188" s="17">
        <f>IF('ORDENES'!$T1184="correctiva",N1188,0)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IF(AND(IF($B$3="(todos)",TRUE,'ORDENES'!$O1185=$B$3),IF($D$3="(todos)",TRUE,'ORDENES'!$AF1185=$D$3),IF($F$3="(todos)",TRUE,'ORDENES'!$X1185=$F$3),IF($H$3="(todos)",TRUE,'ORDENES'!$W1185=$H$3),'ORDENES'!$AD1185=TRUE,'ORDENES'!$A1185&lt;&gt;""),1,0)</f>
        <v/>
      </c>
      <c r="L1189" s="3">
        <f>IF(K1189=1,IFERROR(MATCH('ORDENES'!$R1185,lista_dias,0),9)*1000000000+IFERROR(MATCH('ORDENES'!$AF1185,lista_turnos,0),9)*10000000+IFERROR(MATCH('ORDENES'!$AE1185,'TECNICOS'!$B$4:$B$15,0),99)*100000+1182,9000000000000+1182)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IF('ORDENES'!$T1185="preventiva",N1189,0)</f>
        <v/>
      </c>
      <c r="P1189" s="17">
        <f>IF('ORDENES'!$T1185="correctiva",N1189,0)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IF(AND(IF($B$3="(todos)",TRUE,'ORDENES'!$O1186=$B$3),IF($D$3="(todos)",TRUE,'ORDENES'!$AF1186=$D$3),IF($F$3="(todos)",TRUE,'ORDENES'!$X1186=$F$3),IF($H$3="(todos)",TRUE,'ORDENES'!$W1186=$H$3),'ORDENES'!$AD1186=TRUE,'ORDENES'!$A1186&lt;&gt;""),1,0)</f>
        <v/>
      </c>
      <c r="L1190" s="3">
        <f>IF(K1190=1,IFERROR(MATCH('ORDENES'!$R1186,lista_dias,0),9)*1000000000+IFERROR(MATCH('ORDENES'!$AF1186,lista_turnos,0),9)*10000000+IFERROR(MATCH('ORDENES'!$AE1186,'TECNICOS'!$B$4:$B$15,0),99)*100000+1183,9000000000000+1183)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IF('ORDENES'!$T1186="preventiva",N1190,0)</f>
        <v/>
      </c>
      <c r="P1190" s="17">
        <f>IF('ORDENES'!$T1186="correctiva",N1190,0)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IF(AND(IF($B$3="(todos)",TRUE,'ORDENES'!$O1187=$B$3),IF($D$3="(todos)",TRUE,'ORDENES'!$AF1187=$D$3),IF($F$3="(todos)",TRUE,'ORDENES'!$X1187=$F$3),IF($H$3="(todos)",TRUE,'ORDENES'!$W1187=$H$3),'ORDENES'!$AD1187=TRUE,'ORDENES'!$A1187&lt;&gt;""),1,0)</f>
        <v/>
      </c>
      <c r="L1191" s="3">
        <f>IF(K1191=1,IFERROR(MATCH('ORDENES'!$R1187,lista_dias,0),9)*1000000000+IFERROR(MATCH('ORDENES'!$AF1187,lista_turnos,0),9)*10000000+IFERROR(MATCH('ORDENES'!$AE1187,'TECNICOS'!$B$4:$B$15,0),99)*100000+1184,9000000000000+1184)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IF('ORDENES'!$T1187="preventiva",N1191,0)</f>
        <v/>
      </c>
      <c r="P1191" s="17">
        <f>IF('ORDENES'!$T1187="correctiva",N1191,0)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IF(AND(IF($B$3="(todos)",TRUE,'ORDENES'!$O1188=$B$3),IF($D$3="(todos)",TRUE,'ORDENES'!$AF1188=$D$3),IF($F$3="(todos)",TRUE,'ORDENES'!$X1188=$F$3),IF($H$3="(todos)",TRUE,'ORDENES'!$W1188=$H$3),'ORDENES'!$AD1188=TRUE,'ORDENES'!$A1188&lt;&gt;""),1,0)</f>
        <v/>
      </c>
      <c r="L1192" s="3">
        <f>IF(K1192=1,IFERROR(MATCH('ORDENES'!$R1188,lista_dias,0),9)*1000000000+IFERROR(MATCH('ORDENES'!$AF1188,lista_turnos,0),9)*10000000+IFERROR(MATCH('ORDENES'!$AE1188,'TECNICOS'!$B$4:$B$15,0),99)*100000+1185,9000000000000+1185)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IF('ORDENES'!$T1188="preventiva",N1192,0)</f>
        <v/>
      </c>
      <c r="P1192" s="17">
        <f>IF('ORDENES'!$T1188="correctiva",N1192,0)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IF(AND(IF($B$3="(todos)",TRUE,'ORDENES'!$O1189=$B$3),IF($D$3="(todos)",TRUE,'ORDENES'!$AF1189=$D$3),IF($F$3="(todos)",TRUE,'ORDENES'!$X1189=$F$3),IF($H$3="(todos)",TRUE,'ORDENES'!$W1189=$H$3),'ORDENES'!$AD1189=TRUE,'ORDENES'!$A1189&lt;&gt;""),1,0)</f>
        <v/>
      </c>
      <c r="L1193" s="3">
        <f>IF(K1193=1,IFERROR(MATCH('ORDENES'!$R1189,lista_dias,0),9)*1000000000+IFERROR(MATCH('ORDENES'!$AF1189,lista_turnos,0),9)*10000000+IFERROR(MATCH('ORDENES'!$AE1189,'TECNICOS'!$B$4:$B$15,0),99)*100000+1186,9000000000000+1186)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IF('ORDENES'!$T1189="preventiva",N1193,0)</f>
        <v/>
      </c>
      <c r="P1193" s="17">
        <f>IF('ORDENES'!$T1189="correctiva",N1193,0)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IF(AND(IF($B$3="(todos)",TRUE,'ORDENES'!$O1190=$B$3),IF($D$3="(todos)",TRUE,'ORDENES'!$AF1190=$D$3),IF($F$3="(todos)",TRUE,'ORDENES'!$X1190=$F$3),IF($H$3="(todos)",TRUE,'ORDENES'!$W1190=$H$3),'ORDENES'!$AD1190=TRUE,'ORDENES'!$A1190&lt;&gt;""),1,0)</f>
        <v/>
      </c>
      <c r="L1194" s="3">
        <f>IF(K1194=1,IFERROR(MATCH('ORDENES'!$R1190,lista_dias,0),9)*1000000000+IFERROR(MATCH('ORDENES'!$AF1190,lista_turnos,0),9)*10000000+IFERROR(MATCH('ORDENES'!$AE1190,'TECNICOS'!$B$4:$B$15,0),99)*100000+1187,9000000000000+1187)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IF('ORDENES'!$T1190="preventiva",N1194,0)</f>
        <v/>
      </c>
      <c r="P1194" s="17">
        <f>IF('ORDENES'!$T1190="correctiva",N1194,0)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IF(AND(IF($B$3="(todos)",TRUE,'ORDENES'!$O1191=$B$3),IF($D$3="(todos)",TRUE,'ORDENES'!$AF1191=$D$3),IF($F$3="(todos)",TRUE,'ORDENES'!$X1191=$F$3),IF($H$3="(todos)",TRUE,'ORDENES'!$W1191=$H$3),'ORDENES'!$AD1191=TRUE,'ORDENES'!$A1191&lt;&gt;""),1,0)</f>
        <v/>
      </c>
      <c r="L1195" s="3">
        <f>IF(K1195=1,IFERROR(MATCH('ORDENES'!$R1191,lista_dias,0),9)*1000000000+IFERROR(MATCH('ORDENES'!$AF1191,lista_turnos,0),9)*10000000+IFERROR(MATCH('ORDENES'!$AE1191,'TECNICOS'!$B$4:$B$15,0),99)*100000+1188,9000000000000+1188)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IF('ORDENES'!$T1191="preventiva",N1195,0)</f>
        <v/>
      </c>
      <c r="P1195" s="17">
        <f>IF('ORDENES'!$T1191="correctiva",N1195,0)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IF(AND(IF($B$3="(todos)",TRUE,'ORDENES'!$O1192=$B$3),IF($D$3="(todos)",TRUE,'ORDENES'!$AF1192=$D$3),IF($F$3="(todos)",TRUE,'ORDENES'!$X1192=$F$3),IF($H$3="(todos)",TRUE,'ORDENES'!$W1192=$H$3),'ORDENES'!$AD1192=TRUE,'ORDENES'!$A1192&lt;&gt;""),1,0)</f>
        <v/>
      </c>
      <c r="L1196" s="3">
        <f>IF(K1196=1,IFERROR(MATCH('ORDENES'!$R1192,lista_dias,0),9)*1000000000+IFERROR(MATCH('ORDENES'!$AF1192,lista_turnos,0),9)*10000000+IFERROR(MATCH('ORDENES'!$AE1192,'TECNICOS'!$B$4:$B$15,0),99)*100000+1189,9000000000000+1189)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IF('ORDENES'!$T1192="preventiva",N1196,0)</f>
        <v/>
      </c>
      <c r="P1196" s="17">
        <f>IF('ORDENES'!$T1192="correctiva",N1196,0)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IF(AND(IF($B$3="(todos)",TRUE,'ORDENES'!$O1193=$B$3),IF($D$3="(todos)",TRUE,'ORDENES'!$AF1193=$D$3),IF($F$3="(todos)",TRUE,'ORDENES'!$X1193=$F$3),IF($H$3="(todos)",TRUE,'ORDENES'!$W1193=$H$3),'ORDENES'!$AD1193=TRUE,'ORDENES'!$A1193&lt;&gt;""),1,0)</f>
        <v/>
      </c>
      <c r="L1197" s="3">
        <f>IF(K1197=1,IFERROR(MATCH('ORDENES'!$R1193,lista_dias,0),9)*1000000000+IFERROR(MATCH('ORDENES'!$AF1193,lista_turnos,0),9)*10000000+IFERROR(MATCH('ORDENES'!$AE1193,'TECNICOS'!$B$4:$B$15,0),99)*100000+1190,9000000000000+1190)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IF('ORDENES'!$T1193="preventiva",N1197,0)</f>
        <v/>
      </c>
      <c r="P1197" s="17">
        <f>IF('ORDENES'!$T1193="correctiva",N1197,0)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IF(AND(IF($B$3="(todos)",TRUE,'ORDENES'!$O1194=$B$3),IF($D$3="(todos)",TRUE,'ORDENES'!$AF1194=$D$3),IF($F$3="(todos)",TRUE,'ORDENES'!$X1194=$F$3),IF($H$3="(todos)",TRUE,'ORDENES'!$W1194=$H$3),'ORDENES'!$AD1194=TRUE,'ORDENES'!$A1194&lt;&gt;""),1,0)</f>
        <v/>
      </c>
      <c r="L1198" s="3">
        <f>IF(K1198=1,IFERROR(MATCH('ORDENES'!$R1194,lista_dias,0),9)*1000000000+IFERROR(MATCH('ORDENES'!$AF1194,lista_turnos,0),9)*10000000+IFERROR(MATCH('ORDENES'!$AE1194,'TECNICOS'!$B$4:$B$15,0),99)*100000+1191,9000000000000+1191)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IF('ORDENES'!$T1194="preventiva",N1198,0)</f>
        <v/>
      </c>
      <c r="P1198" s="17">
        <f>IF('ORDENES'!$T1194="correctiva",N1198,0)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IF(AND(IF($B$3="(todos)",TRUE,'ORDENES'!$O1195=$B$3),IF($D$3="(todos)",TRUE,'ORDENES'!$AF1195=$D$3),IF($F$3="(todos)",TRUE,'ORDENES'!$X1195=$F$3),IF($H$3="(todos)",TRUE,'ORDENES'!$W1195=$H$3),'ORDENES'!$AD1195=TRUE,'ORDENES'!$A1195&lt;&gt;""),1,0)</f>
        <v/>
      </c>
      <c r="L1199" s="3">
        <f>IF(K1199=1,IFERROR(MATCH('ORDENES'!$R1195,lista_dias,0),9)*1000000000+IFERROR(MATCH('ORDENES'!$AF1195,lista_turnos,0),9)*10000000+IFERROR(MATCH('ORDENES'!$AE1195,'TECNICOS'!$B$4:$B$15,0),99)*100000+1192,9000000000000+1192)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IF('ORDENES'!$T1195="preventiva",N1199,0)</f>
        <v/>
      </c>
      <c r="P1199" s="17">
        <f>IF('ORDENES'!$T1195="correctiva",N1199,0)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IF(AND(IF($B$3="(todos)",TRUE,'ORDENES'!$O1196=$B$3),IF($D$3="(todos)",TRUE,'ORDENES'!$AF1196=$D$3),IF($F$3="(todos)",TRUE,'ORDENES'!$X1196=$F$3),IF($H$3="(todos)",TRUE,'ORDENES'!$W1196=$H$3),'ORDENES'!$AD1196=TRUE,'ORDENES'!$A1196&lt;&gt;""),1,0)</f>
        <v/>
      </c>
      <c r="L1200" s="3">
        <f>IF(K1200=1,IFERROR(MATCH('ORDENES'!$R1196,lista_dias,0),9)*1000000000+IFERROR(MATCH('ORDENES'!$AF1196,lista_turnos,0),9)*10000000+IFERROR(MATCH('ORDENES'!$AE1196,'TECNICOS'!$B$4:$B$15,0),99)*100000+1193,9000000000000+1193)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IF('ORDENES'!$T1196="preventiva",N1200,0)</f>
        <v/>
      </c>
      <c r="P1200" s="17">
        <f>IF('ORDENES'!$T1196="correctiva",N1200,0)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IF(AND(IF($B$3="(todos)",TRUE,'ORDENES'!$O1197=$B$3),IF($D$3="(todos)",TRUE,'ORDENES'!$AF1197=$D$3),IF($F$3="(todos)",TRUE,'ORDENES'!$X1197=$F$3),IF($H$3="(todos)",TRUE,'ORDENES'!$W1197=$H$3),'ORDENES'!$AD1197=TRUE,'ORDENES'!$A1197&lt;&gt;""),1,0)</f>
        <v/>
      </c>
      <c r="L1201" s="3">
        <f>IF(K1201=1,IFERROR(MATCH('ORDENES'!$R1197,lista_dias,0),9)*1000000000+IFERROR(MATCH('ORDENES'!$AF1197,lista_turnos,0),9)*10000000+IFERROR(MATCH('ORDENES'!$AE1197,'TECNICOS'!$B$4:$B$15,0),99)*100000+1194,9000000000000+1194)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IF('ORDENES'!$T1197="preventiva",N1201,0)</f>
        <v/>
      </c>
      <c r="P1201" s="17">
        <f>IF('ORDENES'!$T1197="correctiva",N1201,0)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IF(AND(IF($B$3="(todos)",TRUE,'ORDENES'!$O1198=$B$3),IF($D$3="(todos)",TRUE,'ORDENES'!$AF1198=$D$3),IF($F$3="(todos)",TRUE,'ORDENES'!$X1198=$F$3),IF($H$3="(todos)",TRUE,'ORDENES'!$W1198=$H$3),'ORDENES'!$AD1198=TRUE,'ORDENES'!$A1198&lt;&gt;""),1,0)</f>
        <v/>
      </c>
      <c r="L1202" s="3">
        <f>IF(K1202=1,IFERROR(MATCH('ORDENES'!$R1198,lista_dias,0),9)*1000000000+IFERROR(MATCH('ORDENES'!$AF1198,lista_turnos,0),9)*10000000+IFERROR(MATCH('ORDENES'!$AE1198,'TECNICOS'!$B$4:$B$15,0),99)*100000+1195,9000000000000+1195)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IF('ORDENES'!$T1198="preventiva",N1202,0)</f>
        <v/>
      </c>
      <c r="P1202" s="17">
        <f>IF('ORDENES'!$T1198="correctiva",N1202,0)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IF(AND(IF($B$3="(todos)",TRUE,'ORDENES'!$O1199=$B$3),IF($D$3="(todos)",TRUE,'ORDENES'!$AF1199=$D$3),IF($F$3="(todos)",TRUE,'ORDENES'!$X1199=$F$3),IF($H$3="(todos)",TRUE,'ORDENES'!$W1199=$H$3),'ORDENES'!$AD1199=TRUE,'ORDENES'!$A1199&lt;&gt;""),1,0)</f>
        <v/>
      </c>
      <c r="L1203" s="3">
        <f>IF(K1203=1,IFERROR(MATCH('ORDENES'!$R1199,lista_dias,0),9)*1000000000+IFERROR(MATCH('ORDENES'!$AF1199,lista_turnos,0),9)*10000000+IFERROR(MATCH('ORDENES'!$AE1199,'TECNICOS'!$B$4:$B$15,0),99)*100000+1196,9000000000000+1196)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IF('ORDENES'!$T1199="preventiva",N1203,0)</f>
        <v/>
      </c>
      <c r="P1203" s="17">
        <f>IF('ORDENES'!$T1199="correctiva",N1203,0)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IF(AND(IF($B$3="(todos)",TRUE,'ORDENES'!$O1200=$B$3),IF($D$3="(todos)",TRUE,'ORDENES'!$AF1200=$D$3),IF($F$3="(todos)",TRUE,'ORDENES'!$X1200=$F$3),IF($H$3="(todos)",TRUE,'ORDENES'!$W1200=$H$3),'ORDENES'!$AD1200=TRUE,'ORDENES'!$A1200&lt;&gt;""),1,0)</f>
        <v/>
      </c>
      <c r="L1204" s="3">
        <f>IF(K1204=1,IFERROR(MATCH('ORDENES'!$R1200,lista_dias,0),9)*1000000000+IFERROR(MATCH('ORDENES'!$AF1200,lista_turnos,0),9)*10000000+IFERROR(MATCH('ORDENES'!$AE1200,'TECNICOS'!$B$4:$B$15,0),99)*100000+1197,9000000000000+1197)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IF('ORDENES'!$T1200="preventiva",N1204,0)</f>
        <v/>
      </c>
      <c r="P1204" s="17">
        <f>IF('ORDENES'!$T1200="correctiva",N1204,0)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IF(AND(IF($B$3="(todos)",TRUE,'ORDENES'!$O1201=$B$3),IF($D$3="(todos)",TRUE,'ORDENES'!$AF1201=$D$3),IF($F$3="(todos)",TRUE,'ORDENES'!$X1201=$F$3),IF($H$3="(todos)",TRUE,'ORDENES'!$W1201=$H$3),'ORDENES'!$AD1201=TRUE,'ORDENES'!$A1201&lt;&gt;""),1,0)</f>
        <v/>
      </c>
      <c r="L1205" s="3">
        <f>IF(K1205=1,IFERROR(MATCH('ORDENES'!$R1201,lista_dias,0),9)*1000000000+IFERROR(MATCH('ORDENES'!$AF1201,lista_turnos,0),9)*10000000+IFERROR(MATCH('ORDENES'!$AE1201,'TECNICOS'!$B$4:$B$15,0),99)*100000+1198,9000000000000+1198)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IF('ORDENES'!$T1201="preventiva",N1205,0)</f>
        <v/>
      </c>
      <c r="P1205" s="17">
        <f>IF('ORDENES'!$T1201="correctiva",N1205,0)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IF(AND(IF($B$3="(todos)",TRUE,'ORDENES'!$O1202=$B$3),IF($D$3="(todos)",TRUE,'ORDENES'!$AF1202=$D$3),IF($F$3="(todos)",TRUE,'ORDENES'!$X1202=$F$3),IF($H$3="(todos)",TRUE,'ORDENES'!$W1202=$H$3),'ORDENES'!$AD1202=TRUE,'ORDENES'!$A1202&lt;&gt;""),1,0)</f>
        <v/>
      </c>
      <c r="L1206" s="3">
        <f>IF(K1206=1,IFERROR(MATCH('ORDENES'!$R1202,lista_dias,0),9)*1000000000+IFERROR(MATCH('ORDENES'!$AF1202,lista_turnos,0),9)*10000000+IFERROR(MATCH('ORDENES'!$AE1202,'TECNICOS'!$B$4:$B$15,0),99)*100000+1199,9000000000000+1199)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IF('ORDENES'!$T1202="preventiva",N1206,0)</f>
        <v/>
      </c>
      <c r="P1206" s="17">
        <f>IF('ORDENES'!$T1202="correctiva",N1206,0)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IF(AND(IF($B$3="(todos)",TRUE,'ORDENES'!$O1203=$B$3),IF($D$3="(todos)",TRUE,'ORDENES'!$AF1203=$D$3),IF($F$3="(todos)",TRUE,'ORDENES'!$X1203=$F$3),IF($H$3="(todos)",TRUE,'ORDENES'!$W1203=$H$3),'ORDENES'!$AD1203=TRUE,'ORDENES'!$A1203&lt;&gt;""),1,0)</f>
        <v/>
      </c>
      <c r="L1207" s="3">
        <f>IF(K1207=1,IFERROR(MATCH('ORDENES'!$R1203,lista_dias,0),9)*1000000000+IFERROR(MATCH('ORDENES'!$AF1203,lista_turnos,0),9)*10000000+IFERROR(MATCH('ORDENES'!$AE1203,'TECNICOS'!$B$4:$B$15,0),99)*100000+1200,9000000000000+1200)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IF('ORDENES'!$T1203="preventiva",N1207,0)</f>
        <v/>
      </c>
      <c r="P1207" s="17">
        <f>IF('ORDENES'!$T1203="correctiva",N1207,0)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08080"/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IFERROR(INDEX('CAT_ESTADOS_ERP'!$B$4:$B$7,MATCH(IFERROR(INDEX('2_IMPORTAR_EJECUCION'!$C$9:$C$1208,MATCH('ORDENES'!$AQ$4,'2_IMPORTAR_EJECUCION'!$J$9:$J$1208,0)),""),'CAT_ESTADOS_ERP'!$A$4:$A$7,0)),"Pendiente")</t>
        </is>
      </c>
      <c r="D5" s="3">
        <f>IFERROR(INDEX('CAT_ESTADOS_ERP'!$B$4:$B$7,MATCH(IFERROR(INDEX('2_IMPORTAR_EJECUCION'!$C$9:$C$1208,MATCH('ORDENES'!$AQ$4,'2_IMPORTAR_EJECUCION'!$J$9:$J$1208,0)),""),'CAT_ESTADOS_ERP'!$A$4:$A$7,0)),"Pendiente")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es_habil</t>
        </is>
      </c>
      <c r="B13" s="22" t="inlineStr">
        <is>
          <t>IF(tblOrdenes[[#This Row],[fecha_inicio]]="","",XLOOKUP(TEXT(tblOrdenes[[#This Row],[fecha_inicio]],"yyyy-mm-dd")&amp;"|"&amp;tblOrdenes[[#This Row],[area]]&amp;"|"&amp;tblOrdenes[[#This Row],[sub_area]],tblExcepciones[clave],tblExcepciones[habil],XLOOKUP(TEXT(tblOrdenes[[#This Row],[fecha_inicio]],"yyyy-mm-dd")&amp;"|"&amp;tblOrdenes[[#This Row],[area]]&amp;"|",tblExcepciones[clave],tblExcepciones[habil],XLOOKUP(TEXT(tblOrdenes[[#This Row],[fecha_inicio]],"yyyy-mm-dd")&amp;"||",tblExcepciones[clave],tblExcepciones[habil],INDEX(patronHabil,WEEKDAY(tblOrdenes[[#This Row],[fecha_inicio]],2))))))</t>
        </is>
      </c>
      <c r="C13" s="22" t="inlineStr">
        <is>
          <t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t>
        </is>
      </c>
      <c r="D13" s="3">
        <f>IF('ORDENES'!$J$4="","",IFERROR(INDEX('CALENDARIO'!$C$15:$C$214,MATCH(TEXT('ORDENES'!$J$4,"yyyy-mm-dd")&amp;"|"&amp;'ORDENES'!$V$4&amp;"|"&amp;'ORDENES'!$W$4,'CALENDARIO'!$G$15:$G$214,0)),IFERROR(INDEX('CALENDARIO'!$C$15:$C$214,MATCH(TEXT('ORDENES'!$J$4,"yyyy-mm-dd")&amp;"|"&amp;'ORDENES'!$V$4&amp;"|",'CALENDARIO'!$G$15:$G$214,0)),IFERROR(INDEX('CALENDARIO'!$C$15:$C$214,MATCH(TEXT('ORDENES'!$J$4,"yyyy-mm-dd")&amp;"||",'CALENDARIO'!$G$15:$G$214,0)),INDEX(patronHabil,WEEKDAY('ORDENES'!$J$4,2))))))</f>
        <v/>
      </c>
    </row>
    <row r="14">
      <c r="A14" s="3" t="inlineStr">
        <is>
          <t>horas_efectivas</t>
        </is>
      </c>
      <c r="B14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4" s="22" t="inlineStr">
        <is>
          <t>IFERROR(INDEX('AJUSTES'!$B$4:$B$303,MATCH('ORDENES'!$AQ$4,'AJUSTES'!$A$4:$A$303,0)),IF('ORDENES'!$K$4="","",'ORDENES'!$K$4))</t>
        </is>
      </c>
      <c r="D14" s="3">
        <f>IFERROR(INDEX('AJUSTES'!$B$4:$B$303,MATCH('ORDENES'!$AQ$4,'AJUSTES'!$A$4:$A$303,0)),IF('ORDENES'!$K$4="","",'ORDENES'!$K$4))</f>
        <v/>
      </c>
    </row>
    <row r="15">
      <c r="A15" s="3" t="inlineStr">
        <is>
          <t>turno_asignado</t>
        </is>
      </c>
      <c r="B15" s="22" t="inlineStr">
        <is>
          <t>IF(tblOrdenes[[#This Row],[tecnico_asignado]]="","",IF((XLOOKUP(tblOrdenes[[#This Row],[semana]]&amp;"|"&amp;tblOrdenes[[#This Row],[dia_semana]]&amp;"|"&amp;tblOrdenes[[#This Row],[tecnico_asignado]],tblAsignaciones[clave],tblAsignaciones[turno],""))=0,"",XLOOKUP(tblOrdenes[[#This Row],[semana]]&amp;"|"&amp;tblOrdenes[[#This Row],[dia_semana]]&amp;"|"&amp;tblOrdenes[[#This Row],[tecnico_asignado]],tblAsignaciones[clave],tblAsignaciones[turno],"")))</t>
        </is>
      </c>
      <c r="C15" s="22" t="inlineStr">
        <is>
          <t>IF('ORDENES'!$AE$4="","",IFERROR(INDEX('ASIGNACIONES'!$F$4:$F$339,MATCH('ORDENES'!$O$4&amp;"|"&amp;'ORDENES'!$R$4&amp;"|"&amp;'ORDENES'!$AE$4,'ASIGNACIONES'!$J$4:$J$339,0)),""))</t>
        </is>
      </c>
      <c r="D15" s="3">
        <f>IF('ORDENES'!$AE$4="","",IFERROR(INDEX('ASIGNACIONES'!$F$4:$F$339,MATCH('ORDENES'!$O$4&amp;"|"&amp;'ORDENES'!$R$4&amp;"|"&amp;'ORDENES'!$AE$4,'ASIGNACIONES'!$J$4:$J$339,0)),""))</f>
        <v/>
      </c>
    </row>
    <row r="16">
      <c r="A16" s="3" t="inlineStr">
        <is>
          <t>costo_servicio</t>
        </is>
      </c>
      <c r="B16" s="22" t="inlineStr">
        <is>
          <t>IF(tblOrdenes[[#This Row],[orden]]="","",XLOOKUP(tblOrdenes[[#This Row],[id_operacion]],tblEjecucion[id_operacion],tblEjecucion[precio],0))</t>
        </is>
      </c>
      <c r="C16" s="22" t="inlineStr">
        <is>
          <t>IFERROR(INDEX('2_IMPORTAR_EJECUCION'!$F$9:$F$1208,MATCH('ORDENES'!$AQ$4,'2_IMPORTAR_EJECUCION'!$J$9:$J$1208,0)),0)</t>
        </is>
      </c>
      <c r="D16" s="3">
        <f>IFERROR(INDEX('2_IMPORTAR_EJECUCION'!$F$9:$F$1208,MATCH('ORDENES'!$AQ$4,'2_IMPORTAR_EJECUCION'!$J$9:$J$1208,0)),0)</f>
        <v/>
      </c>
    </row>
    <row r="17">
      <c r="A17" s="3" t="inlineStr">
        <is>
          <t>costo_materiales</t>
        </is>
      </c>
      <c r="B17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7" s="22" t="inlineStr">
        <is>
          <t>MAX(0,IFERROR(INDEX('2_IMPORTAR_EJECUCION'!$H$9:$H$1208,MATCH('ORDENES'!$AQ$4,'2_IMPORTAR_EJECUCION'!$J$9:$J$1208,0)),0)-'ORDENES'!$AI$4)</t>
        </is>
      </c>
      <c r="D17" s="3">
        <f>MAX(0,IFERROR(INDEX('2_IMPORTAR_EJECUCION'!$H$9:$H$1208,MATCH('ORDENES'!$AQ$4,'2_IMPORTAR_EJECUCION'!$J$9:$J$1208,0)),0)-'ORDENES'!$AI$4)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2026-07-22T20:46:12Z</dcterms:created>
  <dcterms:modified xsi:type="dcterms:W3CDTF">2026-07-22T20:46:13Z</dcterms:modified>
</cp:coreProperties>
</file>